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3.이마트\"/>
    </mc:Choice>
  </mc:AlternateContent>
  <xr:revisionPtr revIDLastSave="0" documentId="13_ncr:1_{A71BC753-B237-41AD-9BAE-3E78D61E827D}" xr6:coauthVersionLast="47" xr6:coauthVersionMax="47" xr10:uidLastSave="{00000000-0000-0000-0000-000000000000}"/>
  <bookViews>
    <workbookView xWindow="28680" yWindow="-120" windowWidth="29040" windowHeight="15840" tabRatio="758" activeTab="3" xr2:uid="{00000000-000D-0000-FFFF-FFFF00000000}"/>
  </bookViews>
  <sheets>
    <sheet name="Raw data" sheetId="68" r:id="rId1"/>
    <sheet name="SUM(히아풀젤,폼 아이캐쳐붙인걸로)" sheetId="67" r:id="rId2"/>
    <sheet name="서식(직납)" sheetId="56" r:id="rId3"/>
    <sheet name="Summary(수주업로드용)" sheetId="69" r:id="rId4"/>
    <sheet name="제품명" sheetId="2" r:id="rId5"/>
    <sheet name="점포코드 " sheetId="3" r:id="rId6"/>
    <sheet name="Sheet1" sheetId="70" r:id="rId7"/>
  </sheets>
  <definedNames>
    <definedName name="_xlnm._FilterDatabase" localSheetId="0" hidden="1">'Raw data'!$A$1:$W$599</definedName>
    <definedName name="_xlnm._FilterDatabase" localSheetId="3" hidden="1">'Summary(수주업로드용)'!$A$2:$P$432</definedName>
    <definedName name="_xlnm._FilterDatabase" localSheetId="2" hidden="1">'서식(직납)'!$A$1:$T$6094</definedName>
    <definedName name="_xlnm._FilterDatabase" localSheetId="5" hidden="1">'점포코드 '!$A$2:$C$37</definedName>
    <definedName name="_xlnm._FilterDatabase" localSheetId="4" hidden="1">제품명!$A$1:$G$64</definedName>
  </definedNames>
  <calcPr calcId="191029"/>
  <pivotCaches>
    <pivotCache cacheId="64" r:id="rId8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" i="69" l="1"/>
  <c r="A172" i="69"/>
  <c r="K172" i="69"/>
  <c r="G38" i="56"/>
  <c r="K85" i="69" l="1"/>
  <c r="K86" i="69"/>
  <c r="K87" i="69"/>
  <c r="K88" i="69"/>
  <c r="K89" i="69"/>
  <c r="K90" i="69"/>
  <c r="K91" i="69"/>
  <c r="K92" i="69"/>
  <c r="K93" i="69"/>
  <c r="K94" i="69"/>
  <c r="A87" i="69"/>
  <c r="A68" i="69"/>
  <c r="A239" i="69"/>
  <c r="A153" i="69"/>
  <c r="C641" i="56"/>
  <c r="D641" i="56" s="1"/>
  <c r="E641" i="56"/>
  <c r="F641" i="56" s="1"/>
  <c r="G641" i="56"/>
  <c r="I641" i="56" s="1"/>
  <c r="H641" i="56"/>
  <c r="J641" i="56"/>
  <c r="K641" i="56"/>
  <c r="C642" i="56"/>
  <c r="D642" i="56" s="1"/>
  <c r="E642" i="56"/>
  <c r="F642" i="56" s="1"/>
  <c r="G642" i="56"/>
  <c r="I642" i="56" s="1"/>
  <c r="H642" i="56"/>
  <c r="J642" i="56"/>
  <c r="K642" i="56"/>
  <c r="C643" i="56"/>
  <c r="D643" i="56" s="1"/>
  <c r="E643" i="56"/>
  <c r="F643" i="56" s="1"/>
  <c r="G643" i="56"/>
  <c r="I643" i="56" s="1"/>
  <c r="H643" i="56"/>
  <c r="J643" i="56"/>
  <c r="K643" i="56"/>
  <c r="C644" i="56"/>
  <c r="D644" i="56" s="1"/>
  <c r="E644" i="56"/>
  <c r="F644" i="56" s="1"/>
  <c r="G644" i="56"/>
  <c r="I644" i="56" s="1"/>
  <c r="H644" i="56"/>
  <c r="J644" i="56"/>
  <c r="K644" i="56"/>
  <c r="C645" i="56"/>
  <c r="D645" i="56" s="1"/>
  <c r="E645" i="56"/>
  <c r="F645" i="56" s="1"/>
  <c r="G645" i="56"/>
  <c r="I645" i="56" s="1"/>
  <c r="H645" i="56"/>
  <c r="J645" i="56"/>
  <c r="K645" i="56"/>
  <c r="B642" i="56" l="1"/>
  <c r="L641" i="56"/>
  <c r="L644" i="56"/>
  <c r="B641" i="56"/>
  <c r="B643" i="56"/>
  <c r="L645" i="56"/>
  <c r="L642" i="56"/>
  <c r="L643" i="56"/>
  <c r="B645" i="56"/>
  <c r="B644" i="56"/>
  <c r="J1790" i="56" l="1"/>
  <c r="J1791" i="56"/>
  <c r="J1792" i="56"/>
  <c r="J1793" i="56"/>
  <c r="J1794" i="56"/>
  <c r="J1795" i="56"/>
  <c r="J1796" i="56"/>
  <c r="J1797" i="56"/>
  <c r="J1798" i="56"/>
  <c r="J1799" i="56"/>
  <c r="J1800" i="56"/>
  <c r="J1801" i="56"/>
  <c r="J1802" i="56"/>
  <c r="J1803" i="56"/>
  <c r="J1804" i="56"/>
  <c r="J1805" i="56"/>
  <c r="J1806" i="56"/>
  <c r="J1807" i="56"/>
  <c r="J1808" i="56"/>
  <c r="J1809" i="56"/>
  <c r="J1810" i="56"/>
  <c r="J1811" i="56"/>
  <c r="J1812" i="56"/>
  <c r="J1813" i="56"/>
  <c r="J1814" i="56"/>
  <c r="J1815" i="56"/>
  <c r="J1816" i="56"/>
  <c r="J1817" i="56"/>
  <c r="J1818" i="56"/>
  <c r="J1819" i="56"/>
  <c r="J1820" i="56"/>
  <c r="J1821" i="56"/>
  <c r="J1822" i="56"/>
  <c r="J1823" i="56"/>
  <c r="J1824" i="56"/>
  <c r="J1825" i="56"/>
  <c r="J1826" i="56"/>
  <c r="J1827" i="56"/>
  <c r="J1828" i="56"/>
  <c r="J1829" i="56"/>
  <c r="J1830" i="56"/>
  <c r="J1831" i="56"/>
  <c r="J1832" i="56"/>
  <c r="J1833" i="56"/>
  <c r="J1834" i="56"/>
  <c r="J1835" i="56"/>
  <c r="J1836" i="56"/>
  <c r="J1837" i="56"/>
  <c r="J1838" i="56"/>
  <c r="J1839" i="56"/>
  <c r="J1840" i="56"/>
  <c r="J1841" i="56"/>
  <c r="J1842" i="56"/>
  <c r="J1843" i="56"/>
  <c r="J1844" i="56"/>
  <c r="J1845" i="56"/>
  <c r="J1846" i="56"/>
  <c r="J1847" i="56"/>
  <c r="J1848" i="56"/>
  <c r="J1849" i="56"/>
  <c r="J1850" i="56"/>
  <c r="J1851" i="56"/>
  <c r="J1852" i="56"/>
  <c r="J1853" i="56"/>
  <c r="J1854" i="56"/>
  <c r="J1855" i="56"/>
  <c r="J1856" i="56"/>
  <c r="J1857" i="56"/>
  <c r="J1858" i="56"/>
  <c r="J1859" i="56"/>
  <c r="J1860" i="56"/>
  <c r="J1861" i="56"/>
  <c r="J1862" i="56"/>
  <c r="J1863" i="56"/>
  <c r="J1864" i="56"/>
  <c r="J1865" i="56"/>
  <c r="J1866" i="56"/>
  <c r="J1867" i="56"/>
  <c r="J1868" i="56"/>
  <c r="J1869" i="56"/>
  <c r="J1870" i="56"/>
  <c r="J1871" i="56"/>
  <c r="J1872" i="56"/>
  <c r="J1873" i="56"/>
  <c r="J1874" i="56"/>
  <c r="J1875" i="56"/>
  <c r="J1876" i="56"/>
  <c r="J1877" i="56"/>
  <c r="J1878" i="56"/>
  <c r="J1879" i="56"/>
  <c r="J1880" i="56"/>
  <c r="J1881" i="56"/>
  <c r="J1882" i="56"/>
  <c r="J1883" i="56"/>
  <c r="J1884" i="56"/>
  <c r="J1885" i="56"/>
  <c r="J1886" i="56"/>
  <c r="J1887" i="56"/>
  <c r="J1888" i="56"/>
  <c r="J1889" i="56"/>
  <c r="J1890" i="56"/>
  <c r="J1891" i="56"/>
  <c r="J1892" i="56"/>
  <c r="J1893" i="56"/>
  <c r="J1894" i="56"/>
  <c r="J1895" i="56"/>
  <c r="J1896" i="56"/>
  <c r="J1897" i="56"/>
  <c r="J1898" i="56"/>
  <c r="J1899" i="56"/>
  <c r="J1900" i="56"/>
  <c r="J1901" i="56"/>
  <c r="J1902" i="56"/>
  <c r="J1903" i="56"/>
  <c r="J1904" i="56"/>
  <c r="J1905" i="56"/>
  <c r="J1906" i="56"/>
  <c r="J1907" i="56"/>
  <c r="J1908" i="56"/>
  <c r="J1909" i="56"/>
  <c r="J1910" i="56"/>
  <c r="J1911" i="56"/>
  <c r="J1912" i="56"/>
  <c r="J1913" i="56"/>
  <c r="J1914" i="56"/>
  <c r="J1915" i="56"/>
  <c r="J1916" i="56"/>
  <c r="J1917" i="56"/>
  <c r="J1918" i="56"/>
  <c r="J1919" i="56"/>
  <c r="J1920" i="56"/>
  <c r="J1921" i="56"/>
  <c r="J1922" i="56"/>
  <c r="J1923" i="56"/>
  <c r="J1924" i="56"/>
  <c r="J1925" i="56"/>
  <c r="J1926" i="56"/>
  <c r="J1927" i="56"/>
  <c r="J1928" i="56"/>
  <c r="J1929" i="56"/>
  <c r="J1930" i="56"/>
  <c r="J1931" i="56"/>
  <c r="J1932" i="56"/>
  <c r="J1933" i="56"/>
  <c r="J1934" i="56"/>
  <c r="J1935" i="56"/>
  <c r="J1936" i="56"/>
  <c r="J1937" i="56"/>
  <c r="J1938" i="56"/>
  <c r="J1939" i="56"/>
  <c r="J1940" i="56"/>
  <c r="J1941" i="56"/>
  <c r="J1942" i="56"/>
  <c r="J1943" i="56"/>
  <c r="J1944" i="56"/>
  <c r="J1945" i="56"/>
  <c r="J1946" i="56"/>
  <c r="J1947" i="56"/>
  <c r="J1948" i="56"/>
  <c r="J1949" i="56"/>
  <c r="J1950" i="56"/>
  <c r="J1951" i="56"/>
  <c r="J1952" i="56"/>
  <c r="J1953" i="56"/>
  <c r="J1954" i="56"/>
  <c r="J1955" i="56"/>
  <c r="J1956" i="56"/>
  <c r="J1957" i="56"/>
  <c r="J1958" i="56"/>
  <c r="J1959" i="56"/>
  <c r="J1960" i="56"/>
  <c r="J1961" i="56"/>
  <c r="J1962" i="56"/>
  <c r="J1963" i="56"/>
  <c r="J1964" i="56"/>
  <c r="J1965" i="56"/>
  <c r="J1966" i="56"/>
  <c r="J1967" i="56"/>
  <c r="J1968" i="56"/>
  <c r="J1969" i="56"/>
  <c r="J1970" i="56"/>
  <c r="J1971" i="56"/>
  <c r="J1972" i="56"/>
  <c r="J1973" i="56"/>
  <c r="J1974" i="56"/>
  <c r="J1975" i="56"/>
  <c r="J1976" i="56"/>
  <c r="J1977" i="56"/>
  <c r="J1978" i="56"/>
  <c r="J1979" i="56"/>
  <c r="J1980" i="56"/>
  <c r="J1981" i="56"/>
  <c r="J1982" i="56"/>
  <c r="J1983" i="56"/>
  <c r="J1984" i="56"/>
  <c r="J1985" i="56"/>
  <c r="J1986" i="56"/>
  <c r="J1987" i="56"/>
  <c r="J1988" i="56"/>
  <c r="J1989" i="56"/>
  <c r="J1990" i="56"/>
  <c r="J1991" i="56"/>
  <c r="J1992" i="56"/>
  <c r="J1993" i="56"/>
  <c r="J1994" i="56"/>
  <c r="J1995" i="56"/>
  <c r="J1996" i="56"/>
  <c r="J1997" i="56"/>
  <c r="J1998" i="56"/>
  <c r="J1999" i="56"/>
  <c r="J2000" i="56"/>
  <c r="J2001" i="56"/>
  <c r="J2002" i="56"/>
  <c r="J2003" i="56"/>
  <c r="J2004" i="56"/>
  <c r="J2005" i="56"/>
  <c r="J2006" i="56"/>
  <c r="J2007" i="56"/>
  <c r="J2008" i="56"/>
  <c r="J2009" i="56"/>
  <c r="J2010" i="56"/>
  <c r="J2011" i="56"/>
  <c r="J2012" i="56"/>
  <c r="J2013" i="56"/>
  <c r="J2014" i="56"/>
  <c r="J2015" i="56"/>
  <c r="J2016" i="56"/>
  <c r="J2017" i="56"/>
  <c r="J2018" i="56"/>
  <c r="J2019" i="56"/>
  <c r="J2020" i="56"/>
  <c r="J2021" i="56"/>
  <c r="J2022" i="56"/>
  <c r="J2023" i="56"/>
  <c r="J2024" i="56"/>
  <c r="J2025" i="56"/>
  <c r="J2026" i="56"/>
  <c r="J2027" i="56"/>
  <c r="J2028" i="56"/>
  <c r="J2029" i="56"/>
  <c r="J2030" i="56"/>
  <c r="J2031" i="56"/>
  <c r="J2032" i="56"/>
  <c r="J2033" i="56"/>
  <c r="J2034" i="56"/>
  <c r="J2035" i="56"/>
  <c r="J2036" i="56"/>
  <c r="J2037" i="56"/>
  <c r="J2038" i="56"/>
  <c r="J2039" i="56"/>
  <c r="J2040" i="56"/>
  <c r="J2041" i="56"/>
  <c r="J2042" i="56"/>
  <c r="J2043" i="56"/>
  <c r="J2044" i="56"/>
  <c r="J2045" i="56"/>
  <c r="J2046" i="56"/>
  <c r="J2047" i="56"/>
  <c r="J2048" i="56"/>
  <c r="J2049" i="56"/>
  <c r="J2050" i="56"/>
  <c r="J2051" i="56"/>
  <c r="J2052" i="56"/>
  <c r="J2053" i="56"/>
  <c r="J2054" i="56"/>
  <c r="J2055" i="56"/>
  <c r="J2056" i="56"/>
  <c r="J2057" i="56"/>
  <c r="J2058" i="56"/>
  <c r="J2059" i="56"/>
  <c r="J2060" i="56"/>
  <c r="J2061" i="56"/>
  <c r="J2062" i="56"/>
  <c r="J2063" i="56"/>
  <c r="J2064" i="56"/>
  <c r="J2065" i="56"/>
  <c r="J2066" i="56"/>
  <c r="J2067" i="56"/>
  <c r="J2068" i="56"/>
  <c r="J2069" i="56"/>
  <c r="J2070" i="56"/>
  <c r="J2071" i="56"/>
  <c r="J2072" i="56"/>
  <c r="J2073" i="56"/>
  <c r="J2074" i="56"/>
  <c r="J2075" i="56"/>
  <c r="J2076" i="56"/>
  <c r="J2077" i="56"/>
  <c r="J2078" i="56"/>
  <c r="J2079" i="56"/>
  <c r="J2080" i="56"/>
  <c r="J2081" i="56"/>
  <c r="J2082" i="56"/>
  <c r="J2083" i="56"/>
  <c r="J2084" i="56"/>
  <c r="J2085" i="56"/>
  <c r="J2086" i="56"/>
  <c r="J2087" i="56"/>
  <c r="J2088" i="56"/>
  <c r="J2089" i="56"/>
  <c r="J2090" i="56"/>
  <c r="J2091" i="56"/>
  <c r="J2092" i="56"/>
  <c r="J2093" i="56"/>
  <c r="J2094" i="56"/>
  <c r="J2095" i="56"/>
  <c r="J2096" i="56"/>
  <c r="J2097" i="56"/>
  <c r="J2098" i="56"/>
  <c r="J2099" i="56"/>
  <c r="J2100" i="56"/>
  <c r="J2101" i="56"/>
  <c r="J2102" i="56"/>
  <c r="J2103" i="56"/>
  <c r="J2104" i="56"/>
  <c r="J2105" i="56"/>
  <c r="J2106" i="56"/>
  <c r="J2107" i="56"/>
  <c r="J2108" i="56"/>
  <c r="J2109" i="56"/>
  <c r="J2110" i="56"/>
  <c r="J2111" i="56"/>
  <c r="J2112" i="56"/>
  <c r="J2113" i="56"/>
  <c r="J2114" i="56"/>
  <c r="J2115" i="56"/>
  <c r="J2116" i="56"/>
  <c r="J2117" i="56"/>
  <c r="J2118" i="56"/>
  <c r="J2119" i="56"/>
  <c r="J2120" i="56"/>
  <c r="J2121" i="56"/>
  <c r="J2122" i="56"/>
  <c r="J2123" i="56"/>
  <c r="J2124" i="56"/>
  <c r="J2125" i="56"/>
  <c r="J2126" i="56"/>
  <c r="J2127" i="56"/>
  <c r="J2128" i="56"/>
  <c r="J2129" i="56"/>
  <c r="J2130" i="56"/>
  <c r="J2131" i="56"/>
  <c r="J2132" i="56"/>
  <c r="J2133" i="56"/>
  <c r="J2134" i="56"/>
  <c r="J2135" i="56"/>
  <c r="J2136" i="56"/>
  <c r="J2137" i="56"/>
  <c r="J2138" i="56"/>
  <c r="J2139" i="56"/>
  <c r="J2140" i="56"/>
  <c r="J2141" i="56"/>
  <c r="J2142" i="56"/>
  <c r="J2143" i="56"/>
  <c r="J2144" i="56"/>
  <c r="J2145" i="56"/>
  <c r="J2146" i="56"/>
  <c r="J2147" i="56"/>
  <c r="J2148" i="56"/>
  <c r="J2149" i="56"/>
  <c r="J2150" i="56"/>
  <c r="J2151" i="56"/>
  <c r="J2152" i="56"/>
  <c r="J2153" i="56"/>
  <c r="J2154" i="56"/>
  <c r="J2155" i="56"/>
  <c r="J2156" i="56"/>
  <c r="J2157" i="56"/>
  <c r="J2158" i="56"/>
  <c r="J2159" i="56"/>
  <c r="J2160" i="56"/>
  <c r="J2161" i="56"/>
  <c r="J2162" i="56"/>
  <c r="J2163" i="56"/>
  <c r="J2164" i="56"/>
  <c r="J2165" i="56"/>
  <c r="J2166" i="56"/>
  <c r="J2167" i="56"/>
  <c r="J2168" i="56"/>
  <c r="J2169" i="56"/>
  <c r="J2170" i="56"/>
  <c r="J2171" i="56"/>
  <c r="J2172" i="56"/>
  <c r="J2173" i="56"/>
  <c r="J2174" i="56"/>
  <c r="J2175" i="56"/>
  <c r="J2176" i="56"/>
  <c r="J2177" i="56"/>
  <c r="J2178" i="56"/>
  <c r="J2179" i="56"/>
  <c r="J2180" i="56"/>
  <c r="J2181" i="56"/>
  <c r="J2182" i="56"/>
  <c r="J2183" i="56"/>
  <c r="J2184" i="56"/>
  <c r="J2185" i="56"/>
  <c r="J2186" i="56"/>
  <c r="J2187" i="56"/>
  <c r="J2188" i="56"/>
  <c r="J2189" i="56"/>
  <c r="J2190" i="56"/>
  <c r="J2191" i="56"/>
  <c r="J2192" i="56"/>
  <c r="J2193" i="56"/>
  <c r="J2194" i="56"/>
  <c r="J2195" i="56"/>
  <c r="J2196" i="56"/>
  <c r="J2197" i="56"/>
  <c r="J2198" i="56"/>
  <c r="J2199" i="56"/>
  <c r="J2200" i="56"/>
  <c r="J2201" i="56"/>
  <c r="J2202" i="56"/>
  <c r="J2203" i="56"/>
  <c r="J2204" i="56"/>
  <c r="J2205" i="56"/>
  <c r="J2206" i="56"/>
  <c r="J2207" i="56"/>
  <c r="J2208" i="56"/>
  <c r="J2209" i="56"/>
  <c r="J2210" i="56"/>
  <c r="J2211" i="56"/>
  <c r="J2212" i="56"/>
  <c r="J2213" i="56"/>
  <c r="J2214" i="56"/>
  <c r="J2215" i="56"/>
  <c r="J2216" i="56"/>
  <c r="J2217" i="56"/>
  <c r="J2218" i="56"/>
  <c r="J2219" i="56"/>
  <c r="J2220" i="56"/>
  <c r="J2221" i="56"/>
  <c r="J2222" i="56"/>
  <c r="J2223" i="56"/>
  <c r="J2224" i="56"/>
  <c r="J2225" i="56"/>
  <c r="J2226" i="56"/>
  <c r="J2227" i="56"/>
  <c r="J2228" i="56"/>
  <c r="J2229" i="56"/>
  <c r="J2230" i="56"/>
  <c r="J2231" i="56"/>
  <c r="J2232" i="56"/>
  <c r="J2233" i="56"/>
  <c r="J2234" i="56"/>
  <c r="J2235" i="56"/>
  <c r="J2236" i="56"/>
  <c r="J2237" i="56"/>
  <c r="J2238" i="56"/>
  <c r="J2239" i="56"/>
  <c r="J2240" i="56"/>
  <c r="J2241" i="56"/>
  <c r="J2242" i="56"/>
  <c r="J2243" i="56"/>
  <c r="J2244" i="56"/>
  <c r="J2245" i="56"/>
  <c r="J2246" i="56"/>
  <c r="J2247" i="56"/>
  <c r="J2248" i="56"/>
  <c r="J2249" i="56"/>
  <c r="J2250" i="56"/>
  <c r="J2251" i="56"/>
  <c r="J2252" i="56"/>
  <c r="J2253" i="56"/>
  <c r="J2254" i="56"/>
  <c r="J2255" i="56"/>
  <c r="J2256" i="56"/>
  <c r="J2257" i="56"/>
  <c r="J2258" i="56"/>
  <c r="J2259" i="56"/>
  <c r="J2260" i="56"/>
  <c r="J2261" i="56"/>
  <c r="J2262" i="56"/>
  <c r="J2263" i="56"/>
  <c r="J2264" i="56"/>
  <c r="J2265" i="56"/>
  <c r="J2266" i="56"/>
  <c r="J2267" i="56"/>
  <c r="J2268" i="56"/>
  <c r="J2269" i="56"/>
  <c r="J2270" i="56"/>
  <c r="J2271" i="56"/>
  <c r="J2272" i="56"/>
  <c r="J2273" i="56"/>
  <c r="J2274" i="56"/>
  <c r="J2275" i="56"/>
  <c r="J2276" i="56"/>
  <c r="J2277" i="56"/>
  <c r="J2278" i="56"/>
  <c r="J2279" i="56"/>
  <c r="J2280" i="56"/>
  <c r="J2281" i="56"/>
  <c r="J2282" i="56"/>
  <c r="J2283" i="56"/>
  <c r="J2284" i="56"/>
  <c r="J2285" i="56"/>
  <c r="J2286" i="56"/>
  <c r="J2287" i="56"/>
  <c r="J2288" i="56"/>
  <c r="J2289" i="56"/>
  <c r="J2290" i="56"/>
  <c r="J2291" i="56"/>
  <c r="J2292" i="56"/>
  <c r="J2293" i="56"/>
  <c r="J2294" i="56"/>
  <c r="J2295" i="56"/>
  <c r="J2296" i="56"/>
  <c r="J2297" i="56"/>
  <c r="J2298" i="56"/>
  <c r="J2299" i="56"/>
  <c r="J2300" i="56"/>
  <c r="J2301" i="56"/>
  <c r="J2302" i="56"/>
  <c r="J2303" i="56"/>
  <c r="J2304" i="56"/>
  <c r="J2305" i="56"/>
  <c r="J2306" i="56"/>
  <c r="J2307" i="56"/>
  <c r="J2308" i="56"/>
  <c r="J2309" i="56"/>
  <c r="J2310" i="56"/>
  <c r="J2311" i="56"/>
  <c r="J2312" i="56"/>
  <c r="J2313" i="56"/>
  <c r="J2314" i="56"/>
  <c r="J2315" i="56"/>
  <c r="J2316" i="56"/>
  <c r="J2317" i="56"/>
  <c r="J2318" i="56"/>
  <c r="J2319" i="56"/>
  <c r="J2320" i="56"/>
  <c r="J2321" i="56"/>
  <c r="J2322" i="56"/>
  <c r="J2323" i="56"/>
  <c r="J2324" i="56"/>
  <c r="J2325" i="56"/>
  <c r="J2326" i="56"/>
  <c r="J2327" i="56"/>
  <c r="J2328" i="56"/>
  <c r="J2329" i="56"/>
  <c r="J2330" i="56"/>
  <c r="J2331" i="56"/>
  <c r="J2332" i="56"/>
  <c r="J2333" i="56"/>
  <c r="J2334" i="56"/>
  <c r="J2335" i="56"/>
  <c r="J2336" i="56"/>
  <c r="J2337" i="56"/>
  <c r="J2338" i="56"/>
  <c r="J2339" i="56"/>
  <c r="J2340" i="56"/>
  <c r="J2341" i="56"/>
  <c r="J2342" i="56"/>
  <c r="J2343" i="56"/>
  <c r="J2344" i="56"/>
  <c r="J2345" i="56"/>
  <c r="J2346" i="56"/>
  <c r="J2347" i="56"/>
  <c r="J2348" i="56"/>
  <c r="J2349" i="56"/>
  <c r="J2350" i="56"/>
  <c r="J2351" i="56"/>
  <c r="J2352" i="56"/>
  <c r="J2353" i="56"/>
  <c r="J2354" i="56"/>
  <c r="J2355" i="56"/>
  <c r="J2356" i="56"/>
  <c r="J2357" i="56"/>
  <c r="J2358" i="56"/>
  <c r="J2359" i="56"/>
  <c r="J2360" i="56"/>
  <c r="J2361" i="56"/>
  <c r="J2362" i="56"/>
  <c r="J2363" i="56"/>
  <c r="J2364" i="56"/>
  <c r="J2365" i="56"/>
  <c r="J2366" i="56"/>
  <c r="J2367" i="56"/>
  <c r="J2368" i="56"/>
  <c r="J2369" i="56"/>
  <c r="J2370" i="56"/>
  <c r="J2371" i="56"/>
  <c r="J2372" i="56"/>
  <c r="J2373" i="56"/>
  <c r="J2374" i="56"/>
  <c r="J2375" i="56"/>
  <c r="J2376" i="56"/>
  <c r="J2377" i="56"/>
  <c r="J2378" i="56"/>
  <c r="J2379" i="56"/>
  <c r="J2380" i="56"/>
  <c r="J2381" i="56"/>
  <c r="J2382" i="56"/>
  <c r="J2383" i="56"/>
  <c r="J2384" i="56"/>
  <c r="J2385" i="56"/>
  <c r="J2386" i="56"/>
  <c r="J2387" i="56"/>
  <c r="J2388" i="56"/>
  <c r="J2389" i="56"/>
  <c r="J2390" i="56"/>
  <c r="J2391" i="56"/>
  <c r="J2392" i="56"/>
  <c r="J2393" i="56"/>
  <c r="J2394" i="56"/>
  <c r="J2395" i="56"/>
  <c r="J2396" i="56"/>
  <c r="J2397" i="56"/>
  <c r="J2398" i="56"/>
  <c r="J2399" i="56"/>
  <c r="J2400" i="56"/>
  <c r="J2401" i="56"/>
  <c r="J2402" i="56"/>
  <c r="J2403" i="56"/>
  <c r="J2404" i="56"/>
  <c r="J2405" i="56"/>
  <c r="J2406" i="56"/>
  <c r="J2407" i="56"/>
  <c r="J2408" i="56"/>
  <c r="J2409" i="56"/>
  <c r="J2410" i="56"/>
  <c r="J2411" i="56"/>
  <c r="J2412" i="56"/>
  <c r="J2413" i="56"/>
  <c r="J2414" i="56"/>
  <c r="J2415" i="56"/>
  <c r="J2416" i="56"/>
  <c r="J2417" i="56"/>
  <c r="J2418" i="56"/>
  <c r="J2419" i="56"/>
  <c r="J2420" i="56"/>
  <c r="J2421" i="56"/>
  <c r="J2422" i="56"/>
  <c r="J2423" i="56"/>
  <c r="J2424" i="56"/>
  <c r="J2425" i="56"/>
  <c r="J2426" i="56"/>
  <c r="J2427" i="56"/>
  <c r="J2428" i="56"/>
  <c r="J2429" i="56"/>
  <c r="J2430" i="56"/>
  <c r="J2431" i="56"/>
  <c r="J2432" i="56"/>
  <c r="J2433" i="56"/>
  <c r="J2434" i="56"/>
  <c r="J2435" i="56"/>
  <c r="J2436" i="56"/>
  <c r="J2437" i="56"/>
  <c r="J2438" i="56"/>
  <c r="J2439" i="56"/>
  <c r="J2440" i="56"/>
  <c r="J2441" i="56"/>
  <c r="J2442" i="56"/>
  <c r="J2443" i="56"/>
  <c r="J2444" i="56"/>
  <c r="J2445" i="56"/>
  <c r="J2446" i="56"/>
  <c r="J2447" i="56"/>
  <c r="J2448" i="56"/>
  <c r="J2449" i="56"/>
  <c r="J2450" i="56"/>
  <c r="J2451" i="56"/>
  <c r="J2452" i="56"/>
  <c r="J2453" i="56"/>
  <c r="J2454" i="56"/>
  <c r="J2455" i="56"/>
  <c r="J2456" i="56"/>
  <c r="J2457" i="56"/>
  <c r="J2458" i="56"/>
  <c r="J2459" i="56"/>
  <c r="J2460" i="56"/>
  <c r="J2461" i="56"/>
  <c r="J2462" i="56"/>
  <c r="J2463" i="56"/>
  <c r="J2464" i="56"/>
  <c r="J2465" i="56"/>
  <c r="J2466" i="56"/>
  <c r="J2467" i="56"/>
  <c r="J2468" i="56"/>
  <c r="J2469" i="56"/>
  <c r="J2470" i="56"/>
  <c r="J2471" i="56"/>
  <c r="J2472" i="56"/>
  <c r="J2473" i="56"/>
  <c r="J2474" i="56"/>
  <c r="J2475" i="56"/>
  <c r="J2476" i="56"/>
  <c r="J2477" i="56"/>
  <c r="J2478" i="56"/>
  <c r="J2479" i="56"/>
  <c r="J2480" i="56"/>
  <c r="J2481" i="56"/>
  <c r="J2482" i="56"/>
  <c r="J2483" i="56"/>
  <c r="J2484" i="56"/>
  <c r="J2485" i="56"/>
  <c r="J2486" i="56"/>
  <c r="J2487" i="56"/>
  <c r="J2488" i="56"/>
  <c r="J2489" i="56"/>
  <c r="J2490" i="56"/>
  <c r="J2491" i="56"/>
  <c r="J2492" i="56"/>
  <c r="J2493" i="56"/>
  <c r="J2494" i="56"/>
  <c r="J2495" i="56"/>
  <c r="J2496" i="56"/>
  <c r="J2497" i="56"/>
  <c r="J2498" i="56"/>
  <c r="J2499" i="56"/>
  <c r="J2500" i="56"/>
  <c r="J2501" i="56"/>
  <c r="J2502" i="56"/>
  <c r="J2503" i="56"/>
  <c r="J2504" i="56"/>
  <c r="J2505" i="56"/>
  <c r="J2506" i="56"/>
  <c r="J2507" i="56"/>
  <c r="J2508" i="56"/>
  <c r="J2509" i="56"/>
  <c r="J2510" i="56"/>
  <c r="J2511" i="56"/>
  <c r="J2512" i="56"/>
  <c r="J2513" i="56"/>
  <c r="J2514" i="56"/>
  <c r="J2515" i="56"/>
  <c r="J2516" i="56"/>
  <c r="J2517" i="56"/>
  <c r="J2518" i="56"/>
  <c r="J2519" i="56"/>
  <c r="J2520" i="56"/>
  <c r="J2521" i="56"/>
  <c r="J2522" i="56"/>
  <c r="J2523" i="56"/>
  <c r="J2524" i="56"/>
  <c r="J2525" i="56"/>
  <c r="J2526" i="56"/>
  <c r="J2527" i="56"/>
  <c r="J2528" i="56"/>
  <c r="J2529" i="56"/>
  <c r="J2530" i="56"/>
  <c r="J2531" i="56"/>
  <c r="J2532" i="56"/>
  <c r="J2533" i="56"/>
  <c r="J2534" i="56"/>
  <c r="J2535" i="56"/>
  <c r="J2536" i="56"/>
  <c r="J2537" i="56"/>
  <c r="J2538" i="56"/>
  <c r="J2539" i="56"/>
  <c r="J2540" i="56"/>
  <c r="J2541" i="56"/>
  <c r="J2542" i="56"/>
  <c r="J2543" i="56"/>
  <c r="J2544" i="56"/>
  <c r="J2545" i="56"/>
  <c r="J2546" i="56"/>
  <c r="J2547" i="56"/>
  <c r="J2548" i="56"/>
  <c r="J2549" i="56"/>
  <c r="J2550" i="56"/>
  <c r="J2551" i="56"/>
  <c r="J2552" i="56"/>
  <c r="J2553" i="56"/>
  <c r="J2554" i="56"/>
  <c r="J2555" i="56"/>
  <c r="J2556" i="56"/>
  <c r="J2557" i="56"/>
  <c r="J2558" i="56"/>
  <c r="J2559" i="56"/>
  <c r="J2560" i="56"/>
  <c r="J2561" i="56"/>
  <c r="J2562" i="56"/>
  <c r="J2563" i="56"/>
  <c r="J2564" i="56"/>
  <c r="J2565" i="56"/>
  <c r="J2566" i="56"/>
  <c r="J2567" i="56"/>
  <c r="J2568" i="56"/>
  <c r="J2569" i="56"/>
  <c r="J2570" i="56"/>
  <c r="J2571" i="56"/>
  <c r="J2572" i="56"/>
  <c r="J2573" i="56"/>
  <c r="J2574" i="56"/>
  <c r="J2575" i="56"/>
  <c r="J2576" i="56"/>
  <c r="J2577" i="56"/>
  <c r="J2578" i="56"/>
  <c r="J2579" i="56"/>
  <c r="J2580" i="56"/>
  <c r="J2581" i="56"/>
  <c r="J2582" i="56"/>
  <c r="J2583" i="56"/>
  <c r="J2584" i="56"/>
  <c r="J2585" i="56"/>
  <c r="J2586" i="56"/>
  <c r="J2587" i="56"/>
  <c r="J2588" i="56"/>
  <c r="J2589" i="56"/>
  <c r="J2590" i="56"/>
  <c r="J2591" i="56"/>
  <c r="J2592" i="56"/>
  <c r="J2593" i="56"/>
  <c r="J2594" i="56"/>
  <c r="J2595" i="56"/>
  <c r="J2596" i="56"/>
  <c r="J2597" i="56"/>
  <c r="J2598" i="56"/>
  <c r="J2599" i="56"/>
  <c r="J2600" i="56"/>
  <c r="J2601" i="56"/>
  <c r="J2602" i="56"/>
  <c r="J2603" i="56"/>
  <c r="J2604" i="56"/>
  <c r="J2605" i="56"/>
  <c r="J2606" i="56"/>
  <c r="J2607" i="56"/>
  <c r="J2608" i="56"/>
  <c r="J2609" i="56"/>
  <c r="J2610" i="56"/>
  <c r="J2611" i="56"/>
  <c r="J2612" i="56"/>
  <c r="J2613" i="56"/>
  <c r="J2614" i="56"/>
  <c r="J2615" i="56"/>
  <c r="J2616" i="56"/>
  <c r="J2617" i="56"/>
  <c r="J2618" i="56"/>
  <c r="J2619" i="56"/>
  <c r="J2620" i="56"/>
  <c r="J2621" i="56"/>
  <c r="J2622" i="56"/>
  <c r="J2623" i="56"/>
  <c r="J2624" i="56"/>
  <c r="J2625" i="56"/>
  <c r="J2626" i="56"/>
  <c r="J2627" i="56"/>
  <c r="J2628" i="56"/>
  <c r="J2629" i="56"/>
  <c r="J2630" i="56"/>
  <c r="J2631" i="56"/>
  <c r="J2632" i="56"/>
  <c r="J2633" i="56"/>
  <c r="J2634" i="56"/>
  <c r="J2635" i="56"/>
  <c r="J2636" i="56"/>
  <c r="J2637" i="56"/>
  <c r="J2638" i="56"/>
  <c r="J2639" i="56"/>
  <c r="J2640" i="56"/>
  <c r="J2641" i="56"/>
  <c r="J2642" i="56"/>
  <c r="J2643" i="56"/>
  <c r="J2644" i="56"/>
  <c r="J2645" i="56"/>
  <c r="J2646" i="56"/>
  <c r="J2647" i="56"/>
  <c r="J2648" i="56"/>
  <c r="J2649" i="56"/>
  <c r="J2650" i="56"/>
  <c r="J2651" i="56"/>
  <c r="J2652" i="56"/>
  <c r="J2653" i="56"/>
  <c r="J2654" i="56"/>
  <c r="J2655" i="56"/>
  <c r="J2656" i="56"/>
  <c r="J2657" i="56"/>
  <c r="J2658" i="56"/>
  <c r="J2659" i="56"/>
  <c r="J2660" i="56"/>
  <c r="J2661" i="56"/>
  <c r="J2662" i="56"/>
  <c r="J2663" i="56"/>
  <c r="J2664" i="56"/>
  <c r="J2665" i="56"/>
  <c r="J2666" i="56"/>
  <c r="J2667" i="56"/>
  <c r="J2668" i="56"/>
  <c r="J2669" i="56"/>
  <c r="J2670" i="56"/>
  <c r="J2671" i="56"/>
  <c r="J2672" i="56"/>
  <c r="J2673" i="56"/>
  <c r="J2674" i="56"/>
  <c r="J2675" i="56"/>
  <c r="J2676" i="56"/>
  <c r="J2677" i="56"/>
  <c r="J2678" i="56"/>
  <c r="J2679" i="56"/>
  <c r="J2680" i="56"/>
  <c r="J2681" i="56"/>
  <c r="J2682" i="56"/>
  <c r="J2683" i="56"/>
  <c r="J2684" i="56"/>
  <c r="J2685" i="56"/>
  <c r="J2686" i="56"/>
  <c r="J2687" i="56"/>
  <c r="J2688" i="56"/>
  <c r="J2689" i="56"/>
  <c r="J2690" i="56"/>
  <c r="J2691" i="56"/>
  <c r="J2692" i="56"/>
  <c r="J2693" i="56"/>
  <c r="J2694" i="56"/>
  <c r="J2695" i="56"/>
  <c r="J2696" i="56"/>
  <c r="J2697" i="56"/>
  <c r="J2698" i="56"/>
  <c r="J2699" i="56"/>
  <c r="J2700" i="56"/>
  <c r="J2701" i="56"/>
  <c r="J2702" i="56"/>
  <c r="J2703" i="56"/>
  <c r="J2704" i="56"/>
  <c r="J2705" i="56"/>
  <c r="J2706" i="56"/>
  <c r="J2707" i="56"/>
  <c r="J2708" i="56"/>
  <c r="J2709" i="56"/>
  <c r="J2710" i="56"/>
  <c r="J2711" i="56"/>
  <c r="J2712" i="56"/>
  <c r="J2713" i="56"/>
  <c r="J2714" i="56"/>
  <c r="J2715" i="56"/>
  <c r="J2716" i="56"/>
  <c r="J2717" i="56"/>
  <c r="J2718" i="56"/>
  <c r="J2719" i="56"/>
  <c r="J2720" i="56"/>
  <c r="J2721" i="56"/>
  <c r="J2722" i="56"/>
  <c r="J2723" i="56"/>
  <c r="J2724" i="56"/>
  <c r="J2725" i="56"/>
  <c r="J2726" i="56"/>
  <c r="J2727" i="56"/>
  <c r="J2728" i="56"/>
  <c r="J2729" i="56"/>
  <c r="J2730" i="56"/>
  <c r="J2731" i="56"/>
  <c r="J2732" i="56"/>
  <c r="J2733" i="56"/>
  <c r="J2734" i="56"/>
  <c r="J2735" i="56"/>
  <c r="J2736" i="56"/>
  <c r="J2737" i="56"/>
  <c r="J2738" i="56"/>
  <c r="J2739" i="56"/>
  <c r="J2740" i="56"/>
  <c r="J2741" i="56"/>
  <c r="J2742" i="56"/>
  <c r="J2743" i="56"/>
  <c r="J2744" i="56"/>
  <c r="J2745" i="56"/>
  <c r="J2746" i="56"/>
  <c r="J2747" i="56"/>
  <c r="J2748" i="56"/>
  <c r="J2749" i="56"/>
  <c r="J2750" i="56"/>
  <c r="J2751" i="56"/>
  <c r="J2752" i="56"/>
  <c r="J2753" i="56"/>
  <c r="J2754" i="56"/>
  <c r="J2755" i="56"/>
  <c r="J2756" i="56"/>
  <c r="J2757" i="56"/>
  <c r="J2758" i="56"/>
  <c r="J2759" i="56"/>
  <c r="J2760" i="56"/>
  <c r="J2761" i="56"/>
  <c r="J2762" i="56"/>
  <c r="J2763" i="56"/>
  <c r="J2764" i="56"/>
  <c r="J2765" i="56"/>
  <c r="J2766" i="56"/>
  <c r="J2767" i="56"/>
  <c r="J2768" i="56"/>
  <c r="J2769" i="56"/>
  <c r="J2770" i="56"/>
  <c r="J2771" i="56"/>
  <c r="J2772" i="56"/>
  <c r="J2773" i="56"/>
  <c r="J2774" i="56"/>
  <c r="J2775" i="56"/>
  <c r="J2776" i="56"/>
  <c r="J2777" i="56"/>
  <c r="J2778" i="56"/>
  <c r="J2779" i="56"/>
  <c r="J2780" i="56"/>
  <c r="J2781" i="56"/>
  <c r="J2782" i="56"/>
  <c r="J2783" i="56"/>
  <c r="J2784" i="56"/>
  <c r="J2785" i="56"/>
  <c r="J2786" i="56"/>
  <c r="J2787" i="56"/>
  <c r="J2788" i="56"/>
  <c r="J2789" i="56"/>
  <c r="J2790" i="56"/>
  <c r="J2791" i="56"/>
  <c r="J2792" i="56"/>
  <c r="J2793" i="56"/>
  <c r="J2794" i="56"/>
  <c r="J2795" i="56"/>
  <c r="J2796" i="56"/>
  <c r="J2797" i="56"/>
  <c r="J2798" i="56"/>
  <c r="J2799" i="56"/>
  <c r="J2800" i="56"/>
  <c r="J2801" i="56"/>
  <c r="J2802" i="56"/>
  <c r="J2803" i="56"/>
  <c r="J2804" i="56"/>
  <c r="J2805" i="56"/>
  <c r="J2806" i="56"/>
  <c r="J2807" i="56"/>
  <c r="J2808" i="56"/>
  <c r="J2809" i="56"/>
  <c r="J2810" i="56"/>
  <c r="J2811" i="56"/>
  <c r="J2812" i="56"/>
  <c r="J2813" i="56"/>
  <c r="J2814" i="56"/>
  <c r="J2815" i="56"/>
  <c r="J2816" i="56"/>
  <c r="J2817" i="56"/>
  <c r="J2818" i="56"/>
  <c r="J2819" i="56"/>
  <c r="J2820" i="56"/>
  <c r="J2821" i="56"/>
  <c r="J2822" i="56"/>
  <c r="J2823" i="56"/>
  <c r="J2824" i="56"/>
  <c r="J2825" i="56"/>
  <c r="J2826" i="56"/>
  <c r="J2827" i="56"/>
  <c r="J2828" i="56"/>
  <c r="J2829" i="56"/>
  <c r="J2830" i="56"/>
  <c r="J2831" i="56"/>
  <c r="J2832" i="56"/>
  <c r="J2833" i="56"/>
  <c r="J2834" i="56"/>
  <c r="J2835" i="56"/>
  <c r="J2836" i="56"/>
  <c r="J2837" i="56"/>
  <c r="J2838" i="56"/>
  <c r="J2839" i="56"/>
  <c r="J2840" i="56"/>
  <c r="J2841" i="56"/>
  <c r="J2842" i="56"/>
  <c r="J2843" i="56"/>
  <c r="J2844" i="56"/>
  <c r="J2845" i="56"/>
  <c r="J2846" i="56"/>
  <c r="J2847" i="56"/>
  <c r="J2848" i="56"/>
  <c r="J2849" i="56"/>
  <c r="J2850" i="56"/>
  <c r="J2851" i="56"/>
  <c r="J2852" i="56"/>
  <c r="J2853" i="56"/>
  <c r="J2854" i="56"/>
  <c r="J2855" i="56"/>
  <c r="J2856" i="56"/>
  <c r="J2857" i="56"/>
  <c r="J2858" i="56"/>
  <c r="J2859" i="56"/>
  <c r="J2860" i="56"/>
  <c r="J2861" i="56"/>
  <c r="J2862" i="56"/>
  <c r="J2863" i="56"/>
  <c r="J2864" i="56"/>
  <c r="J2865" i="56"/>
  <c r="J2866" i="56"/>
  <c r="J2867" i="56"/>
  <c r="J2868" i="56"/>
  <c r="J2869" i="56"/>
  <c r="J2870" i="56"/>
  <c r="J2871" i="56"/>
  <c r="J2872" i="56"/>
  <c r="J2873" i="56"/>
  <c r="J2874" i="56"/>
  <c r="J2875" i="56"/>
  <c r="J2876" i="56"/>
  <c r="J2877" i="56"/>
  <c r="J2878" i="56"/>
  <c r="J2879" i="56"/>
  <c r="J2880" i="56"/>
  <c r="J2881" i="56"/>
  <c r="J2882" i="56"/>
  <c r="J2883" i="56"/>
  <c r="J2884" i="56"/>
  <c r="J2885" i="56"/>
  <c r="J2886" i="56"/>
  <c r="J2887" i="56"/>
  <c r="J2888" i="56"/>
  <c r="J2889" i="56"/>
  <c r="J2890" i="56"/>
  <c r="J2891" i="56"/>
  <c r="J2892" i="56"/>
  <c r="J2893" i="56"/>
  <c r="J2894" i="56"/>
  <c r="J2895" i="56"/>
  <c r="J2896" i="56"/>
  <c r="J2897" i="56"/>
  <c r="J2898" i="56"/>
  <c r="J2899" i="56"/>
  <c r="J2900" i="56"/>
  <c r="J2901" i="56"/>
  <c r="J2902" i="56"/>
  <c r="J2903" i="56"/>
  <c r="J2904" i="56"/>
  <c r="J2905" i="56"/>
  <c r="J2906" i="56"/>
  <c r="J2907" i="56"/>
  <c r="J2908" i="56"/>
  <c r="J2909" i="56"/>
  <c r="J2910" i="56"/>
  <c r="J2911" i="56"/>
  <c r="J2912" i="56"/>
  <c r="J2913" i="56"/>
  <c r="J2914" i="56"/>
  <c r="J2915" i="56"/>
  <c r="J2916" i="56"/>
  <c r="J2917" i="56"/>
  <c r="J2918" i="56"/>
  <c r="J2919" i="56"/>
  <c r="J2920" i="56"/>
  <c r="J2921" i="56"/>
  <c r="J2922" i="56"/>
  <c r="J2923" i="56"/>
  <c r="J2924" i="56"/>
  <c r="J2925" i="56"/>
  <c r="J2926" i="56"/>
  <c r="J2927" i="56"/>
  <c r="J2928" i="56"/>
  <c r="J2929" i="56"/>
  <c r="J2930" i="56"/>
  <c r="J2931" i="56"/>
  <c r="J2932" i="56"/>
  <c r="J2933" i="56"/>
  <c r="J2934" i="56"/>
  <c r="J2935" i="56"/>
  <c r="J2936" i="56"/>
  <c r="J2937" i="56"/>
  <c r="J2938" i="56"/>
  <c r="J2939" i="56"/>
  <c r="J2940" i="56"/>
  <c r="J2941" i="56"/>
  <c r="J2942" i="56"/>
  <c r="J2943" i="56"/>
  <c r="J2944" i="56"/>
  <c r="J2945" i="56"/>
  <c r="J2946" i="56"/>
  <c r="J2947" i="56"/>
  <c r="J2948" i="56"/>
  <c r="J2949" i="56"/>
  <c r="J2950" i="56"/>
  <c r="J2951" i="56"/>
  <c r="J2952" i="56"/>
  <c r="J2953" i="56"/>
  <c r="J2954" i="56"/>
  <c r="J2955" i="56"/>
  <c r="J2956" i="56"/>
  <c r="J2957" i="56"/>
  <c r="J2958" i="56"/>
  <c r="J2959" i="56"/>
  <c r="J2960" i="56"/>
  <c r="J2961" i="56"/>
  <c r="J2962" i="56"/>
  <c r="J2963" i="56"/>
  <c r="J2964" i="56"/>
  <c r="J2965" i="56"/>
  <c r="J2966" i="56"/>
  <c r="J2967" i="56"/>
  <c r="J2968" i="56"/>
  <c r="J2969" i="56"/>
  <c r="J2970" i="56"/>
  <c r="J2971" i="56"/>
  <c r="J2972" i="56"/>
  <c r="J2973" i="56"/>
  <c r="J2974" i="56"/>
  <c r="J2975" i="56"/>
  <c r="J2976" i="56"/>
  <c r="J2977" i="56"/>
  <c r="J2978" i="56"/>
  <c r="J2979" i="56"/>
  <c r="J2980" i="56"/>
  <c r="J2981" i="56"/>
  <c r="J2982" i="56"/>
  <c r="J2983" i="56"/>
  <c r="J2984" i="56"/>
  <c r="J2985" i="56"/>
  <c r="J2986" i="56"/>
  <c r="J2987" i="56"/>
  <c r="J2988" i="56"/>
  <c r="J2989" i="56"/>
  <c r="J2990" i="56"/>
  <c r="J2991" i="56"/>
  <c r="J2992" i="56"/>
  <c r="J2993" i="56"/>
  <c r="J2994" i="56"/>
  <c r="J2995" i="56"/>
  <c r="J2996" i="56"/>
  <c r="J2997" i="56"/>
  <c r="J2998" i="56"/>
  <c r="J2999" i="56"/>
  <c r="J3000" i="56"/>
  <c r="J3001" i="56"/>
  <c r="J3002" i="56"/>
  <c r="J3003" i="56"/>
  <c r="J3004" i="56"/>
  <c r="J3005" i="56"/>
  <c r="J3006" i="56"/>
  <c r="J3007" i="56"/>
  <c r="J3008" i="56"/>
  <c r="J3009" i="56"/>
  <c r="J3010" i="56"/>
  <c r="J3011" i="56"/>
  <c r="J3012" i="56"/>
  <c r="J3013" i="56"/>
  <c r="J3014" i="56"/>
  <c r="J3015" i="56"/>
  <c r="J3016" i="56"/>
  <c r="J3017" i="56"/>
  <c r="J3018" i="56"/>
  <c r="J3019" i="56"/>
  <c r="J3020" i="56"/>
  <c r="J3021" i="56"/>
  <c r="J3022" i="56"/>
  <c r="J3023" i="56"/>
  <c r="J3024" i="56"/>
  <c r="J3025" i="56"/>
  <c r="J3026" i="56"/>
  <c r="J3027" i="56"/>
  <c r="J3028" i="56"/>
  <c r="J3029" i="56"/>
  <c r="J3030" i="56"/>
  <c r="J3031" i="56"/>
  <c r="J3032" i="56"/>
  <c r="J3033" i="56"/>
  <c r="J3034" i="56"/>
  <c r="J3035" i="56"/>
  <c r="J3036" i="56"/>
  <c r="J3037" i="56"/>
  <c r="J3038" i="56"/>
  <c r="J3039" i="56"/>
  <c r="J3040" i="56"/>
  <c r="J3041" i="56"/>
  <c r="J3042" i="56"/>
  <c r="J3043" i="56"/>
  <c r="J3044" i="56"/>
  <c r="J3045" i="56"/>
  <c r="J3046" i="56"/>
  <c r="J3047" i="56"/>
  <c r="J3048" i="56"/>
  <c r="J3049" i="56"/>
  <c r="J3050" i="56"/>
  <c r="J3051" i="56"/>
  <c r="J3052" i="56"/>
  <c r="J3053" i="56"/>
  <c r="J3054" i="56"/>
  <c r="J3055" i="56"/>
  <c r="J3056" i="56"/>
  <c r="J3057" i="56"/>
  <c r="J3058" i="56"/>
  <c r="J3059" i="56"/>
  <c r="J3060" i="56"/>
  <c r="J3061" i="56"/>
  <c r="J3062" i="56"/>
  <c r="J3063" i="56"/>
  <c r="J3064" i="56"/>
  <c r="J3065" i="56"/>
  <c r="J3066" i="56"/>
  <c r="J3067" i="56"/>
  <c r="J3068" i="56"/>
  <c r="J3069" i="56"/>
  <c r="J3070" i="56"/>
  <c r="J3071" i="56"/>
  <c r="J3072" i="56"/>
  <c r="J3073" i="56"/>
  <c r="J3074" i="56"/>
  <c r="J3075" i="56"/>
  <c r="J3076" i="56"/>
  <c r="J3077" i="56"/>
  <c r="J3078" i="56"/>
  <c r="J3079" i="56"/>
  <c r="J3080" i="56"/>
  <c r="J3081" i="56"/>
  <c r="J3082" i="56"/>
  <c r="J3083" i="56"/>
  <c r="J3084" i="56"/>
  <c r="J3085" i="56"/>
  <c r="J3086" i="56"/>
  <c r="J3087" i="56"/>
  <c r="J3088" i="56"/>
  <c r="J3089" i="56"/>
  <c r="J3090" i="56"/>
  <c r="J3091" i="56"/>
  <c r="J3092" i="56"/>
  <c r="J3093" i="56"/>
  <c r="J3094" i="56"/>
  <c r="J3095" i="56"/>
  <c r="J3096" i="56"/>
  <c r="J3097" i="56"/>
  <c r="J3098" i="56"/>
  <c r="J3099" i="56"/>
  <c r="J3100" i="56"/>
  <c r="J3101" i="56"/>
  <c r="J3102" i="56"/>
  <c r="J3103" i="56"/>
  <c r="J3104" i="56"/>
  <c r="J3105" i="56"/>
  <c r="J3106" i="56"/>
  <c r="J3107" i="56"/>
  <c r="J3108" i="56"/>
  <c r="J3109" i="56"/>
  <c r="J3110" i="56"/>
  <c r="J3111" i="56"/>
  <c r="J3112" i="56"/>
  <c r="J3113" i="56"/>
  <c r="J3114" i="56"/>
  <c r="J3115" i="56"/>
  <c r="J3116" i="56"/>
  <c r="J3117" i="56"/>
  <c r="J3118" i="56"/>
  <c r="J3119" i="56"/>
  <c r="J3120" i="56"/>
  <c r="J3121" i="56"/>
  <c r="J3122" i="56"/>
  <c r="J3123" i="56"/>
  <c r="J3124" i="56"/>
  <c r="J3125" i="56"/>
  <c r="J3126" i="56"/>
  <c r="J3127" i="56"/>
  <c r="J3128" i="56"/>
  <c r="J3129" i="56"/>
  <c r="J3130" i="56"/>
  <c r="J3131" i="56"/>
  <c r="J3132" i="56"/>
  <c r="J3133" i="56"/>
  <c r="J3134" i="56"/>
  <c r="J3135" i="56"/>
  <c r="J3136" i="56"/>
  <c r="J3137" i="56"/>
  <c r="J3138" i="56"/>
  <c r="J3139" i="56"/>
  <c r="J3140" i="56"/>
  <c r="J3141" i="56"/>
  <c r="J3142" i="56"/>
  <c r="J3143" i="56"/>
  <c r="J3144" i="56"/>
  <c r="J3145" i="56"/>
  <c r="J3146" i="56"/>
  <c r="J3147" i="56"/>
  <c r="J3148" i="56"/>
  <c r="J3149" i="56"/>
  <c r="J3150" i="56"/>
  <c r="J3151" i="56"/>
  <c r="J3152" i="56"/>
  <c r="J3153" i="56"/>
  <c r="J3154" i="56"/>
  <c r="J3155" i="56"/>
  <c r="J3156" i="56"/>
  <c r="J3157" i="56"/>
  <c r="J3158" i="56"/>
  <c r="J3159" i="56"/>
  <c r="J3160" i="56"/>
  <c r="J3161" i="56"/>
  <c r="J3162" i="56"/>
  <c r="J3163" i="56"/>
  <c r="J3164" i="56"/>
  <c r="J3165" i="56"/>
  <c r="J3166" i="56"/>
  <c r="J3167" i="56"/>
  <c r="J3168" i="56"/>
  <c r="J3169" i="56"/>
  <c r="J3170" i="56"/>
  <c r="J3171" i="56"/>
  <c r="J3172" i="56"/>
  <c r="J3173" i="56"/>
  <c r="J3174" i="56"/>
  <c r="J3175" i="56"/>
  <c r="J3176" i="56"/>
  <c r="J3177" i="56"/>
  <c r="J3178" i="56"/>
  <c r="J3179" i="56"/>
  <c r="J3180" i="56"/>
  <c r="J3181" i="56"/>
  <c r="J3182" i="56"/>
  <c r="J3183" i="56"/>
  <c r="J3184" i="56"/>
  <c r="J3185" i="56"/>
  <c r="J3186" i="56"/>
  <c r="J3187" i="56"/>
  <c r="J3188" i="56"/>
  <c r="J3189" i="56"/>
  <c r="J3190" i="56"/>
  <c r="J3191" i="56"/>
  <c r="J3192" i="56"/>
  <c r="J3193" i="56"/>
  <c r="J3194" i="56"/>
  <c r="J3195" i="56"/>
  <c r="J3196" i="56"/>
  <c r="J3197" i="56"/>
  <c r="J3198" i="56"/>
  <c r="J3199" i="56"/>
  <c r="J3200" i="56"/>
  <c r="J3201" i="56"/>
  <c r="J3202" i="56"/>
  <c r="J3203" i="56"/>
  <c r="J3204" i="56"/>
  <c r="J3205" i="56"/>
  <c r="J3206" i="56"/>
  <c r="J3207" i="56"/>
  <c r="J3208" i="56"/>
  <c r="J3209" i="56"/>
  <c r="J3210" i="56"/>
  <c r="J3211" i="56"/>
  <c r="J3212" i="56"/>
  <c r="J3213" i="56"/>
  <c r="J3214" i="56"/>
  <c r="J3215" i="56"/>
  <c r="J3216" i="56"/>
  <c r="J3217" i="56"/>
  <c r="J3218" i="56"/>
  <c r="J3219" i="56"/>
  <c r="J3220" i="56"/>
  <c r="J3221" i="56"/>
  <c r="J3222" i="56"/>
  <c r="J3223" i="56"/>
  <c r="J3224" i="56"/>
  <c r="J3225" i="56"/>
  <c r="J3226" i="56"/>
  <c r="J3227" i="56"/>
  <c r="J3228" i="56"/>
  <c r="J3229" i="56"/>
  <c r="J3230" i="56"/>
  <c r="J3231" i="56"/>
  <c r="J3232" i="56"/>
  <c r="J3233" i="56"/>
  <c r="J3234" i="56"/>
  <c r="J3235" i="56"/>
  <c r="J3236" i="56"/>
  <c r="J3237" i="56"/>
  <c r="J3238" i="56"/>
  <c r="J3239" i="56"/>
  <c r="J3240" i="56"/>
  <c r="J3241" i="56"/>
  <c r="J3242" i="56"/>
  <c r="J3243" i="56"/>
  <c r="J3244" i="56"/>
  <c r="J3245" i="56"/>
  <c r="J3246" i="56"/>
  <c r="J3247" i="56"/>
  <c r="J3248" i="56"/>
  <c r="J3249" i="56"/>
  <c r="J3250" i="56"/>
  <c r="J3251" i="56"/>
  <c r="J3252" i="56"/>
  <c r="J3253" i="56"/>
  <c r="J3254" i="56"/>
  <c r="J3255" i="56"/>
  <c r="J3256" i="56"/>
  <c r="J3257" i="56"/>
  <c r="J3258" i="56"/>
  <c r="J3259" i="56"/>
  <c r="J3260" i="56"/>
  <c r="J3261" i="56"/>
  <c r="J3262" i="56"/>
  <c r="J3263" i="56"/>
  <c r="J3264" i="56"/>
  <c r="J3265" i="56"/>
  <c r="J3266" i="56"/>
  <c r="J3267" i="56"/>
  <c r="J3268" i="56"/>
  <c r="J3269" i="56"/>
  <c r="J3270" i="56"/>
  <c r="J3271" i="56"/>
  <c r="J3272" i="56"/>
  <c r="J3273" i="56"/>
  <c r="J3274" i="56"/>
  <c r="J3275" i="56"/>
  <c r="J3276" i="56"/>
  <c r="J3277" i="56"/>
  <c r="J3278" i="56"/>
  <c r="J3279" i="56"/>
  <c r="J3280" i="56"/>
  <c r="J3281" i="56"/>
  <c r="J3282" i="56"/>
  <c r="J3283" i="56"/>
  <c r="J3284" i="56"/>
  <c r="J3285" i="56"/>
  <c r="J3286" i="56"/>
  <c r="J3287" i="56"/>
  <c r="J3288" i="56"/>
  <c r="J3289" i="56"/>
  <c r="J3290" i="56"/>
  <c r="J3291" i="56"/>
  <c r="J3292" i="56"/>
  <c r="J3293" i="56"/>
  <c r="J3294" i="56"/>
  <c r="J3295" i="56"/>
  <c r="J3296" i="56"/>
  <c r="J3297" i="56"/>
  <c r="J3298" i="56"/>
  <c r="J3299" i="56"/>
  <c r="J3300" i="56"/>
  <c r="J3301" i="56"/>
  <c r="J3302" i="56"/>
  <c r="J3303" i="56"/>
  <c r="J3304" i="56"/>
  <c r="J3305" i="56"/>
  <c r="J3306" i="56"/>
  <c r="J3307" i="56"/>
  <c r="J3308" i="56"/>
  <c r="J3309" i="56"/>
  <c r="J3310" i="56"/>
  <c r="J3311" i="56"/>
  <c r="J3312" i="56"/>
  <c r="J3313" i="56"/>
  <c r="J3314" i="56"/>
  <c r="J3315" i="56"/>
  <c r="J3316" i="56"/>
  <c r="J3317" i="56"/>
  <c r="J3318" i="56"/>
  <c r="J3319" i="56"/>
  <c r="J3320" i="56"/>
  <c r="J3321" i="56"/>
  <c r="J3322" i="56"/>
  <c r="J3323" i="56"/>
  <c r="J3324" i="56"/>
  <c r="J3325" i="56"/>
  <c r="J3326" i="56"/>
  <c r="J3327" i="56"/>
  <c r="J3328" i="56"/>
  <c r="J3329" i="56"/>
  <c r="J3330" i="56"/>
  <c r="J3331" i="56"/>
  <c r="J3332" i="56"/>
  <c r="J3333" i="56"/>
  <c r="J3334" i="56"/>
  <c r="J3335" i="56"/>
  <c r="J3336" i="56"/>
  <c r="J3337" i="56"/>
  <c r="J3338" i="56"/>
  <c r="J3339" i="56"/>
  <c r="J3340" i="56"/>
  <c r="J3341" i="56"/>
  <c r="J3342" i="56"/>
  <c r="J3343" i="56"/>
  <c r="J3344" i="56"/>
  <c r="J3345" i="56"/>
  <c r="J3346" i="56"/>
  <c r="J3347" i="56"/>
  <c r="J3348" i="56"/>
  <c r="J3349" i="56"/>
  <c r="J3350" i="56"/>
  <c r="J3351" i="56"/>
  <c r="J3352" i="56"/>
  <c r="J3353" i="56"/>
  <c r="J3354" i="56"/>
  <c r="J3355" i="56"/>
  <c r="J3356" i="56"/>
  <c r="J3357" i="56"/>
  <c r="J3358" i="56"/>
  <c r="J3359" i="56"/>
  <c r="J3360" i="56"/>
  <c r="J3361" i="56"/>
  <c r="J3362" i="56"/>
  <c r="J3363" i="56"/>
  <c r="J3364" i="56"/>
  <c r="J3365" i="56"/>
  <c r="J3366" i="56"/>
  <c r="J3367" i="56"/>
  <c r="J3368" i="56"/>
  <c r="J3369" i="56"/>
  <c r="J3370" i="56"/>
  <c r="J3371" i="56"/>
  <c r="J3372" i="56"/>
  <c r="J3373" i="56"/>
  <c r="J3374" i="56"/>
  <c r="J3375" i="56"/>
  <c r="J3376" i="56"/>
  <c r="J3377" i="56"/>
  <c r="J3378" i="56"/>
  <c r="J3379" i="56"/>
  <c r="J3380" i="56"/>
  <c r="J3381" i="56"/>
  <c r="J3382" i="56"/>
  <c r="J3383" i="56"/>
  <c r="J3384" i="56"/>
  <c r="J3385" i="56"/>
  <c r="J3386" i="56"/>
  <c r="J3387" i="56"/>
  <c r="J3388" i="56"/>
  <c r="J3389" i="56"/>
  <c r="J3390" i="56"/>
  <c r="J3391" i="56"/>
  <c r="J3392" i="56"/>
  <c r="J3393" i="56"/>
  <c r="J3394" i="56"/>
  <c r="J3395" i="56"/>
  <c r="J3396" i="56"/>
  <c r="J3397" i="56"/>
  <c r="J3398" i="56"/>
  <c r="J3399" i="56"/>
  <c r="J3400" i="56"/>
  <c r="J3401" i="56"/>
  <c r="J3402" i="56"/>
  <c r="J3403" i="56"/>
  <c r="J3404" i="56"/>
  <c r="J3405" i="56"/>
  <c r="J3406" i="56"/>
  <c r="J3407" i="56"/>
  <c r="J3408" i="56"/>
  <c r="J3409" i="56"/>
  <c r="J3410" i="56"/>
  <c r="J3411" i="56"/>
  <c r="J3412" i="56"/>
  <c r="J3413" i="56"/>
  <c r="J3414" i="56"/>
  <c r="J3415" i="56"/>
  <c r="J3416" i="56"/>
  <c r="J3417" i="56"/>
  <c r="J3418" i="56"/>
  <c r="J3419" i="56"/>
  <c r="J3420" i="56"/>
  <c r="J3421" i="56"/>
  <c r="J3422" i="56"/>
  <c r="J3423" i="56"/>
  <c r="J3424" i="56"/>
  <c r="J3425" i="56"/>
  <c r="J3426" i="56"/>
  <c r="J3427" i="56"/>
  <c r="J3428" i="56"/>
  <c r="J3429" i="56"/>
  <c r="J3430" i="56"/>
  <c r="J3431" i="56"/>
  <c r="J3432" i="56"/>
  <c r="J3433" i="56"/>
  <c r="J3434" i="56"/>
  <c r="J3435" i="56"/>
  <c r="J3436" i="56"/>
  <c r="J3437" i="56"/>
  <c r="J3438" i="56"/>
  <c r="J3439" i="56"/>
  <c r="J3440" i="56"/>
  <c r="J3441" i="56"/>
  <c r="J3442" i="56"/>
  <c r="J3443" i="56"/>
  <c r="J3444" i="56"/>
  <c r="J3445" i="56"/>
  <c r="J3446" i="56"/>
  <c r="J3447" i="56"/>
  <c r="J3448" i="56"/>
  <c r="J3449" i="56"/>
  <c r="J3450" i="56"/>
  <c r="J3451" i="56"/>
  <c r="J3452" i="56"/>
  <c r="J3453" i="56"/>
  <c r="J3454" i="56"/>
  <c r="J3455" i="56"/>
  <c r="J3456" i="56"/>
  <c r="J3457" i="56"/>
  <c r="J3458" i="56"/>
  <c r="J3459" i="56"/>
  <c r="J3460" i="56"/>
  <c r="J3461" i="56"/>
  <c r="J3462" i="56"/>
  <c r="J3463" i="56"/>
  <c r="J3464" i="56"/>
  <c r="J3465" i="56"/>
  <c r="J3466" i="56"/>
  <c r="J3467" i="56"/>
  <c r="J3468" i="56"/>
  <c r="J3469" i="56"/>
  <c r="J3470" i="56"/>
  <c r="J3471" i="56"/>
  <c r="J3472" i="56"/>
  <c r="J3473" i="56"/>
  <c r="J3474" i="56"/>
  <c r="J3475" i="56"/>
  <c r="J3476" i="56"/>
  <c r="J3477" i="56"/>
  <c r="J3478" i="56"/>
  <c r="J3479" i="56"/>
  <c r="J3480" i="56"/>
  <c r="J3481" i="56"/>
  <c r="J3482" i="56"/>
  <c r="J3483" i="56"/>
  <c r="J3484" i="56"/>
  <c r="J3485" i="56"/>
  <c r="J3486" i="56"/>
  <c r="J3487" i="56"/>
  <c r="J3488" i="56"/>
  <c r="J3489" i="56"/>
  <c r="J3490" i="56"/>
  <c r="J3491" i="56"/>
  <c r="J3492" i="56"/>
  <c r="J3493" i="56"/>
  <c r="J3494" i="56"/>
  <c r="J3495" i="56"/>
  <c r="J3496" i="56"/>
  <c r="J3497" i="56"/>
  <c r="J3498" i="56"/>
  <c r="J3499" i="56"/>
  <c r="J3500" i="56"/>
  <c r="J3501" i="56"/>
  <c r="J3502" i="56"/>
  <c r="J3503" i="56"/>
  <c r="J3504" i="56"/>
  <c r="J3505" i="56"/>
  <c r="J3506" i="56"/>
  <c r="J3507" i="56"/>
  <c r="J3508" i="56"/>
  <c r="J3509" i="56"/>
  <c r="J3510" i="56"/>
  <c r="J3511" i="56"/>
  <c r="J3512" i="56"/>
  <c r="J3513" i="56"/>
  <c r="J3514" i="56"/>
  <c r="J3515" i="56"/>
  <c r="J3516" i="56"/>
  <c r="J3517" i="56"/>
  <c r="J3518" i="56"/>
  <c r="J3519" i="56"/>
  <c r="J3520" i="56"/>
  <c r="J3521" i="56"/>
  <c r="J3522" i="56"/>
  <c r="J3523" i="56"/>
  <c r="J3524" i="56"/>
  <c r="J3525" i="56"/>
  <c r="J3526" i="56"/>
  <c r="J3527" i="56"/>
  <c r="J3528" i="56"/>
  <c r="J3529" i="56"/>
  <c r="J3530" i="56"/>
  <c r="J3531" i="56"/>
  <c r="J3532" i="56"/>
  <c r="J3533" i="56"/>
  <c r="J3534" i="56"/>
  <c r="J3535" i="56"/>
  <c r="J3536" i="56"/>
  <c r="J3537" i="56"/>
  <c r="J3538" i="56"/>
  <c r="J3539" i="56"/>
  <c r="J3540" i="56"/>
  <c r="J3541" i="56"/>
  <c r="J3542" i="56"/>
  <c r="J3543" i="56"/>
  <c r="J3544" i="56"/>
  <c r="J3545" i="56"/>
  <c r="J3546" i="56"/>
  <c r="J3547" i="56"/>
  <c r="J3548" i="56"/>
  <c r="J3549" i="56"/>
  <c r="J3550" i="56"/>
  <c r="J3551" i="56"/>
  <c r="J3552" i="56"/>
  <c r="J3553" i="56"/>
  <c r="J3554" i="56"/>
  <c r="J3555" i="56"/>
  <c r="J3556" i="56"/>
  <c r="J3557" i="56"/>
  <c r="J3558" i="56"/>
  <c r="J3559" i="56"/>
  <c r="J3560" i="56"/>
  <c r="J3561" i="56"/>
  <c r="J3562" i="56"/>
  <c r="J3563" i="56"/>
  <c r="J3564" i="56"/>
  <c r="J3565" i="56"/>
  <c r="J3566" i="56"/>
  <c r="J3567" i="56"/>
  <c r="J3568" i="56"/>
  <c r="J3569" i="56"/>
  <c r="J3570" i="56"/>
  <c r="J3571" i="56"/>
  <c r="J3572" i="56"/>
  <c r="J3573" i="56"/>
  <c r="J3574" i="56"/>
  <c r="J3575" i="56"/>
  <c r="J3576" i="56"/>
  <c r="J3577" i="56"/>
  <c r="J3578" i="56"/>
  <c r="J3579" i="56"/>
  <c r="J3580" i="56"/>
  <c r="J3581" i="56"/>
  <c r="J3582" i="56"/>
  <c r="J3583" i="56"/>
  <c r="J3584" i="56"/>
  <c r="J3585" i="56"/>
  <c r="J3586" i="56"/>
  <c r="J3587" i="56"/>
  <c r="J3588" i="56"/>
  <c r="J3589" i="56"/>
  <c r="J3590" i="56"/>
  <c r="J3591" i="56"/>
  <c r="J3592" i="56"/>
  <c r="J3593" i="56"/>
  <c r="J3594" i="56"/>
  <c r="J3595" i="56"/>
  <c r="J3596" i="56"/>
  <c r="J3597" i="56"/>
  <c r="J3598" i="56"/>
  <c r="J3599" i="56"/>
  <c r="J3600" i="56"/>
  <c r="J3601" i="56"/>
  <c r="J3602" i="56"/>
  <c r="J3603" i="56"/>
  <c r="J3604" i="56"/>
  <c r="J3605" i="56"/>
  <c r="J3606" i="56"/>
  <c r="J3607" i="56"/>
  <c r="J3608" i="56"/>
  <c r="J3609" i="56"/>
  <c r="J3610" i="56"/>
  <c r="J3611" i="56"/>
  <c r="J3612" i="56"/>
  <c r="J3613" i="56"/>
  <c r="J3614" i="56"/>
  <c r="J3615" i="56"/>
  <c r="J3616" i="56"/>
  <c r="J3617" i="56"/>
  <c r="J3618" i="56"/>
  <c r="J3619" i="56"/>
  <c r="J3620" i="56"/>
  <c r="J3621" i="56"/>
  <c r="J3622" i="56"/>
  <c r="J3623" i="56"/>
  <c r="J3624" i="56"/>
  <c r="J3625" i="56"/>
  <c r="J3626" i="56"/>
  <c r="J3627" i="56"/>
  <c r="J3628" i="56"/>
  <c r="J3629" i="56"/>
  <c r="J3630" i="56"/>
  <c r="J3631" i="56"/>
  <c r="J3632" i="56"/>
  <c r="J3633" i="56"/>
  <c r="J3634" i="56"/>
  <c r="J3635" i="56"/>
  <c r="J3636" i="56"/>
  <c r="J3637" i="56"/>
  <c r="J3638" i="56"/>
  <c r="J3639" i="56"/>
  <c r="J3640" i="56"/>
  <c r="J3641" i="56"/>
  <c r="J3642" i="56"/>
  <c r="J3643" i="56"/>
  <c r="J3644" i="56"/>
  <c r="J3645" i="56"/>
  <c r="J3646" i="56"/>
  <c r="J3647" i="56"/>
  <c r="J3648" i="56"/>
  <c r="J3649" i="56"/>
  <c r="J3650" i="56"/>
  <c r="J3651" i="56"/>
  <c r="J3652" i="56"/>
  <c r="J3653" i="56"/>
  <c r="J3654" i="56"/>
  <c r="J3655" i="56"/>
  <c r="J3656" i="56"/>
  <c r="J3657" i="56"/>
  <c r="J3658" i="56"/>
  <c r="J3659" i="56"/>
  <c r="J3660" i="56"/>
  <c r="J3661" i="56"/>
  <c r="J3662" i="56"/>
  <c r="J3663" i="56"/>
  <c r="J3664" i="56"/>
  <c r="J3665" i="56"/>
  <c r="J3666" i="56"/>
  <c r="J3667" i="56"/>
  <c r="J3668" i="56"/>
  <c r="J3669" i="56"/>
  <c r="J3670" i="56"/>
  <c r="J3671" i="56"/>
  <c r="J3672" i="56"/>
  <c r="J3673" i="56"/>
  <c r="J3674" i="56"/>
  <c r="J3675" i="56"/>
  <c r="J3676" i="56"/>
  <c r="J3677" i="56"/>
  <c r="J3678" i="56"/>
  <c r="J3679" i="56"/>
  <c r="J3680" i="56"/>
  <c r="J3681" i="56"/>
  <c r="J3682" i="56"/>
  <c r="J3683" i="56"/>
  <c r="J3684" i="56"/>
  <c r="J3685" i="56"/>
  <c r="J3686" i="56"/>
  <c r="J3687" i="56"/>
  <c r="J3688" i="56"/>
  <c r="J3689" i="56"/>
  <c r="J3690" i="56"/>
  <c r="J3691" i="56"/>
  <c r="J3692" i="56"/>
  <c r="J3693" i="56"/>
  <c r="J3694" i="56"/>
  <c r="J3695" i="56"/>
  <c r="J3696" i="56"/>
  <c r="J3697" i="56"/>
  <c r="J3698" i="56"/>
  <c r="J3699" i="56"/>
  <c r="J3700" i="56"/>
  <c r="J3701" i="56"/>
  <c r="J3702" i="56"/>
  <c r="J3703" i="56"/>
  <c r="J3704" i="56"/>
  <c r="J3705" i="56"/>
  <c r="J3706" i="56"/>
  <c r="J3707" i="56"/>
  <c r="J3708" i="56"/>
  <c r="J3709" i="56"/>
  <c r="J3710" i="56"/>
  <c r="J3711" i="56"/>
  <c r="J3712" i="56"/>
  <c r="J3713" i="56"/>
  <c r="J3714" i="56"/>
  <c r="J3715" i="56"/>
  <c r="J3716" i="56"/>
  <c r="J3717" i="56"/>
  <c r="J3718" i="56"/>
  <c r="J3719" i="56"/>
  <c r="J3720" i="56"/>
  <c r="J3721" i="56"/>
  <c r="J3722" i="56"/>
  <c r="J3723" i="56"/>
  <c r="J3724" i="56"/>
  <c r="J3725" i="56"/>
  <c r="J3726" i="56"/>
  <c r="J3727" i="56"/>
  <c r="J3728" i="56"/>
  <c r="J3729" i="56"/>
  <c r="J3730" i="56"/>
  <c r="J3731" i="56"/>
  <c r="J3732" i="56"/>
  <c r="J3733" i="56"/>
  <c r="J3734" i="56"/>
  <c r="J3735" i="56"/>
  <c r="J3736" i="56"/>
  <c r="J3737" i="56"/>
  <c r="J3738" i="56"/>
  <c r="J3739" i="56"/>
  <c r="J3740" i="56"/>
  <c r="J3741" i="56"/>
  <c r="J3742" i="56"/>
  <c r="J3743" i="56"/>
  <c r="J3744" i="56"/>
  <c r="J3745" i="56"/>
  <c r="J3746" i="56"/>
  <c r="J3747" i="56"/>
  <c r="J3748" i="56"/>
  <c r="J3749" i="56"/>
  <c r="J3750" i="56"/>
  <c r="J3751" i="56"/>
  <c r="J3752" i="56"/>
  <c r="J3753" i="56"/>
  <c r="J3754" i="56"/>
  <c r="J3755" i="56"/>
  <c r="J3756" i="56"/>
  <c r="J3757" i="56"/>
  <c r="J3758" i="56"/>
  <c r="J3759" i="56"/>
  <c r="J3760" i="56"/>
  <c r="J3761" i="56"/>
  <c r="J3762" i="56"/>
  <c r="J3763" i="56"/>
  <c r="J3764" i="56"/>
  <c r="J3765" i="56"/>
  <c r="J3766" i="56"/>
  <c r="J3767" i="56"/>
  <c r="J3768" i="56"/>
  <c r="J3769" i="56"/>
  <c r="J3770" i="56"/>
  <c r="J3771" i="56"/>
  <c r="J3772" i="56"/>
  <c r="J3773" i="56"/>
  <c r="J3774" i="56"/>
  <c r="J3775" i="56"/>
  <c r="J3776" i="56"/>
  <c r="J3777" i="56"/>
  <c r="J3778" i="56"/>
  <c r="J3779" i="56"/>
  <c r="J3780" i="56"/>
  <c r="J3781" i="56"/>
  <c r="J3782" i="56"/>
  <c r="J3783" i="56"/>
  <c r="J3784" i="56"/>
  <c r="J3785" i="56"/>
  <c r="J3786" i="56"/>
  <c r="J3787" i="56"/>
  <c r="J3788" i="56"/>
  <c r="J3789" i="56"/>
  <c r="J3790" i="56"/>
  <c r="J3791" i="56"/>
  <c r="J3792" i="56"/>
  <c r="J3793" i="56"/>
  <c r="J3794" i="56"/>
  <c r="J3795" i="56"/>
  <c r="J3796" i="56"/>
  <c r="J3797" i="56"/>
  <c r="J3798" i="56"/>
  <c r="J3799" i="56"/>
  <c r="J3800" i="56"/>
  <c r="J3801" i="56"/>
  <c r="J3802" i="56"/>
  <c r="J3803" i="56"/>
  <c r="J3804" i="56"/>
  <c r="J3805" i="56"/>
  <c r="J3806" i="56"/>
  <c r="J3807" i="56"/>
  <c r="J3808" i="56"/>
  <c r="J3809" i="56"/>
  <c r="J3810" i="56"/>
  <c r="J3811" i="56"/>
  <c r="J3812" i="56"/>
  <c r="J3813" i="56"/>
  <c r="J3814" i="56"/>
  <c r="J3815" i="56"/>
  <c r="J3816" i="56"/>
  <c r="J3817" i="56"/>
  <c r="J3818" i="56"/>
  <c r="J3819" i="56"/>
  <c r="J3820" i="56"/>
  <c r="J3821" i="56"/>
  <c r="J3822" i="56"/>
  <c r="J3823" i="56"/>
  <c r="J3824" i="56"/>
  <c r="J3825" i="56"/>
  <c r="J3826" i="56"/>
  <c r="J3827" i="56"/>
  <c r="J3828" i="56"/>
  <c r="J3829" i="56"/>
  <c r="J3830" i="56"/>
  <c r="J3831" i="56"/>
  <c r="J3832" i="56"/>
  <c r="J3833" i="56"/>
  <c r="J3834" i="56"/>
  <c r="J3835" i="56"/>
  <c r="J3836" i="56"/>
  <c r="J3837" i="56"/>
  <c r="J3838" i="56"/>
  <c r="J3839" i="56"/>
  <c r="J3840" i="56"/>
  <c r="J3841" i="56"/>
  <c r="J3842" i="56"/>
  <c r="J3843" i="56"/>
  <c r="J3844" i="56"/>
  <c r="J3845" i="56"/>
  <c r="J3846" i="56"/>
  <c r="J3847" i="56"/>
  <c r="J3848" i="56"/>
  <c r="J3849" i="56"/>
  <c r="J3850" i="56"/>
  <c r="J3851" i="56"/>
  <c r="J3852" i="56"/>
  <c r="J3853" i="56"/>
  <c r="J3854" i="56"/>
  <c r="J3855" i="56"/>
  <c r="J3856" i="56"/>
  <c r="J3857" i="56"/>
  <c r="J3858" i="56"/>
  <c r="J3859" i="56"/>
  <c r="J3860" i="56"/>
  <c r="J3861" i="56"/>
  <c r="J3862" i="56"/>
  <c r="J3863" i="56"/>
  <c r="J3864" i="56"/>
  <c r="J3865" i="56"/>
  <c r="J3866" i="56"/>
  <c r="J3867" i="56"/>
  <c r="J3868" i="56"/>
  <c r="J3869" i="56"/>
  <c r="J3870" i="56"/>
  <c r="J3871" i="56"/>
  <c r="J3872" i="56"/>
  <c r="J3873" i="56"/>
  <c r="J3874" i="56"/>
  <c r="J3875" i="56"/>
  <c r="J3876" i="56"/>
  <c r="J3877" i="56"/>
  <c r="J3878" i="56"/>
  <c r="J3879" i="56"/>
  <c r="J3880" i="56"/>
  <c r="J3881" i="56"/>
  <c r="J3882" i="56"/>
  <c r="J3883" i="56"/>
  <c r="J3884" i="56"/>
  <c r="J3885" i="56"/>
  <c r="J3886" i="56"/>
  <c r="J3887" i="56"/>
  <c r="J3888" i="56"/>
  <c r="J3889" i="56"/>
  <c r="J3890" i="56"/>
  <c r="J3891" i="56"/>
  <c r="J3892" i="56"/>
  <c r="J3893" i="56"/>
  <c r="J3894" i="56"/>
  <c r="J3895" i="56"/>
  <c r="J3896" i="56"/>
  <c r="J3897" i="56"/>
  <c r="J3898" i="56"/>
  <c r="J3899" i="56"/>
  <c r="J3900" i="56"/>
  <c r="J3901" i="56"/>
  <c r="J3902" i="56"/>
  <c r="J3903" i="56"/>
  <c r="J3904" i="56"/>
  <c r="J3905" i="56"/>
  <c r="J3906" i="56"/>
  <c r="J3907" i="56"/>
  <c r="J3908" i="56"/>
  <c r="J3909" i="56"/>
  <c r="J3910" i="56"/>
  <c r="J3911" i="56"/>
  <c r="J3912" i="56"/>
  <c r="J3913" i="56"/>
  <c r="J3914" i="56"/>
  <c r="J3915" i="56"/>
  <c r="J3916" i="56"/>
  <c r="J3917" i="56"/>
  <c r="J3918" i="56"/>
  <c r="J3919" i="56"/>
  <c r="J3920" i="56"/>
  <c r="J3921" i="56"/>
  <c r="J3922" i="56"/>
  <c r="J3923" i="56"/>
  <c r="J3924" i="56"/>
  <c r="J3925" i="56"/>
  <c r="J3926" i="56"/>
  <c r="J3927" i="56"/>
  <c r="J3928" i="56"/>
  <c r="J3929" i="56"/>
  <c r="J3930" i="56"/>
  <c r="J3931" i="56"/>
  <c r="J3932" i="56"/>
  <c r="J3933" i="56"/>
  <c r="J3934" i="56"/>
  <c r="J3935" i="56"/>
  <c r="J3936" i="56"/>
  <c r="J3937" i="56"/>
  <c r="J3938" i="56"/>
  <c r="J3939" i="56"/>
  <c r="J3940" i="56"/>
  <c r="J3941" i="56"/>
  <c r="J3942" i="56"/>
  <c r="J3943" i="56"/>
  <c r="J3944" i="56"/>
  <c r="J3945" i="56"/>
  <c r="J3946" i="56"/>
  <c r="J3947" i="56"/>
  <c r="J3948" i="56"/>
  <c r="J3949" i="56"/>
  <c r="J3950" i="56"/>
  <c r="J3951" i="56"/>
  <c r="J3952" i="56"/>
  <c r="J3953" i="56"/>
  <c r="J3954" i="56"/>
  <c r="J3955" i="56"/>
  <c r="J3956" i="56"/>
  <c r="J3957" i="56"/>
  <c r="J3958" i="56"/>
  <c r="J3959" i="56"/>
  <c r="J3960" i="56"/>
  <c r="J3961" i="56"/>
  <c r="J3962" i="56"/>
  <c r="J3963" i="56"/>
  <c r="J3964" i="56"/>
  <c r="J3965" i="56"/>
  <c r="J3966" i="56"/>
  <c r="J3967" i="56"/>
  <c r="J3968" i="56"/>
  <c r="J3969" i="56"/>
  <c r="J3970" i="56"/>
  <c r="J3971" i="56"/>
  <c r="J3972" i="56"/>
  <c r="J3973" i="56"/>
  <c r="J3974" i="56"/>
  <c r="J3975" i="56"/>
  <c r="J3976" i="56"/>
  <c r="J3977" i="56"/>
  <c r="J3978" i="56"/>
  <c r="J3979" i="56"/>
  <c r="J3980" i="56"/>
  <c r="J3981" i="56"/>
  <c r="J3982" i="56"/>
  <c r="J3983" i="56"/>
  <c r="J3984" i="56"/>
  <c r="J3985" i="56"/>
  <c r="J3986" i="56"/>
  <c r="J3987" i="56"/>
  <c r="J3988" i="56"/>
  <c r="J3989" i="56"/>
  <c r="J3990" i="56"/>
  <c r="J3991" i="56"/>
  <c r="J3992" i="56"/>
  <c r="J3993" i="56"/>
  <c r="J3994" i="56"/>
  <c r="J3995" i="56"/>
  <c r="J3996" i="56"/>
  <c r="J3997" i="56"/>
  <c r="J3998" i="56"/>
  <c r="J3999" i="56"/>
  <c r="J4000" i="56"/>
  <c r="J4001" i="56"/>
  <c r="J4002" i="56"/>
  <c r="J4003" i="56"/>
  <c r="J4004" i="56"/>
  <c r="J4005" i="56"/>
  <c r="J4006" i="56"/>
  <c r="J4007" i="56"/>
  <c r="J4008" i="56"/>
  <c r="J4009" i="56"/>
  <c r="J4010" i="56"/>
  <c r="J4011" i="56"/>
  <c r="J4012" i="56"/>
  <c r="J4013" i="56"/>
  <c r="J4014" i="56"/>
  <c r="J4015" i="56"/>
  <c r="J4016" i="56"/>
  <c r="J4017" i="56"/>
  <c r="J4018" i="56"/>
  <c r="J4019" i="56"/>
  <c r="J4020" i="56"/>
  <c r="J4021" i="56"/>
  <c r="J4022" i="56"/>
  <c r="J4023" i="56"/>
  <c r="J4024" i="56"/>
  <c r="J4025" i="56"/>
  <c r="J4026" i="56"/>
  <c r="J4027" i="56"/>
  <c r="J4028" i="56"/>
  <c r="J4029" i="56"/>
  <c r="J4030" i="56"/>
  <c r="J4031" i="56"/>
  <c r="J4032" i="56"/>
  <c r="J4033" i="56"/>
  <c r="J4034" i="56"/>
  <c r="J4035" i="56"/>
  <c r="J4036" i="56"/>
  <c r="J4037" i="56"/>
  <c r="J4038" i="56"/>
  <c r="J4039" i="56"/>
  <c r="J4040" i="56"/>
  <c r="J4041" i="56"/>
  <c r="J4042" i="56"/>
  <c r="J4043" i="56"/>
  <c r="J4044" i="56"/>
  <c r="J4045" i="56"/>
  <c r="J4046" i="56"/>
  <c r="J4047" i="56"/>
  <c r="J4048" i="56"/>
  <c r="J4049" i="56"/>
  <c r="J4050" i="56"/>
  <c r="J4051" i="56"/>
  <c r="J4052" i="56"/>
  <c r="J4053" i="56"/>
  <c r="J4054" i="56"/>
  <c r="J4055" i="56"/>
  <c r="J4056" i="56"/>
  <c r="J4057" i="56"/>
  <c r="J4058" i="56"/>
  <c r="J4059" i="56"/>
  <c r="J4060" i="56"/>
  <c r="J4061" i="56"/>
  <c r="J4062" i="56"/>
  <c r="J4063" i="56"/>
  <c r="J4064" i="56"/>
  <c r="J4065" i="56"/>
  <c r="J4066" i="56"/>
  <c r="J4067" i="56"/>
  <c r="J4068" i="56"/>
  <c r="J4069" i="56"/>
  <c r="J4070" i="56"/>
  <c r="J4071" i="56"/>
  <c r="J4072" i="56"/>
  <c r="J4073" i="56"/>
  <c r="J4074" i="56"/>
  <c r="J4075" i="56"/>
  <c r="J4076" i="56"/>
  <c r="J4077" i="56"/>
  <c r="J4078" i="56"/>
  <c r="J4079" i="56"/>
  <c r="J4080" i="56"/>
  <c r="J4081" i="56"/>
  <c r="J4082" i="56"/>
  <c r="J4083" i="56"/>
  <c r="J4084" i="56"/>
  <c r="J4085" i="56"/>
  <c r="J4086" i="56"/>
  <c r="J4087" i="56"/>
  <c r="J4088" i="56"/>
  <c r="J4089" i="56"/>
  <c r="J4090" i="56"/>
  <c r="J4091" i="56"/>
  <c r="J4092" i="56"/>
  <c r="J4093" i="56"/>
  <c r="J4094" i="56"/>
  <c r="J4095" i="56"/>
  <c r="J4096" i="56"/>
  <c r="J4097" i="56"/>
  <c r="J4098" i="56"/>
  <c r="J4099" i="56"/>
  <c r="J4100" i="56"/>
  <c r="J4101" i="56"/>
  <c r="J4102" i="56"/>
  <c r="J4103" i="56"/>
  <c r="J4104" i="56"/>
  <c r="J4105" i="56"/>
  <c r="J4106" i="56"/>
  <c r="J4107" i="56"/>
  <c r="J4108" i="56"/>
  <c r="J4109" i="56"/>
  <c r="J4110" i="56"/>
  <c r="J4111" i="56"/>
  <c r="J4112" i="56"/>
  <c r="J4113" i="56"/>
  <c r="J4114" i="56"/>
  <c r="J4115" i="56"/>
  <c r="J4116" i="56"/>
  <c r="J4117" i="56"/>
  <c r="J4118" i="56"/>
  <c r="J4119" i="56"/>
  <c r="J4120" i="56"/>
  <c r="J4121" i="56"/>
  <c r="J4122" i="56"/>
  <c r="J4123" i="56"/>
  <c r="J4124" i="56"/>
  <c r="J4125" i="56"/>
  <c r="J4126" i="56"/>
  <c r="J4127" i="56"/>
  <c r="J4128" i="56"/>
  <c r="J4129" i="56"/>
  <c r="J4130" i="56"/>
  <c r="J4131" i="56"/>
  <c r="J4132" i="56"/>
  <c r="J4133" i="56"/>
  <c r="J4134" i="56"/>
  <c r="J4135" i="56"/>
  <c r="J4136" i="56"/>
  <c r="J4137" i="56"/>
  <c r="J4138" i="56"/>
  <c r="J4139" i="56"/>
  <c r="J4140" i="56"/>
  <c r="J4141" i="56"/>
  <c r="J4142" i="56"/>
  <c r="J4143" i="56"/>
  <c r="J4144" i="56"/>
  <c r="J4145" i="56"/>
  <c r="J4146" i="56"/>
  <c r="J4147" i="56"/>
  <c r="J4148" i="56"/>
  <c r="J4149" i="56"/>
  <c r="J4150" i="56"/>
  <c r="J4151" i="56"/>
  <c r="J4152" i="56"/>
  <c r="J4153" i="56"/>
  <c r="J4154" i="56"/>
  <c r="J4155" i="56"/>
  <c r="J4156" i="56"/>
  <c r="J4157" i="56"/>
  <c r="J4158" i="56"/>
  <c r="J4159" i="56"/>
  <c r="J4160" i="56"/>
  <c r="J4161" i="56"/>
  <c r="J4162" i="56"/>
  <c r="J4163" i="56"/>
  <c r="J4164" i="56"/>
  <c r="J4165" i="56"/>
  <c r="J4166" i="56"/>
  <c r="J4167" i="56"/>
  <c r="J4168" i="56"/>
  <c r="J4169" i="56"/>
  <c r="J4170" i="56"/>
  <c r="J4171" i="56"/>
  <c r="J4172" i="56"/>
  <c r="J4173" i="56"/>
  <c r="J4174" i="56"/>
  <c r="J4175" i="56"/>
  <c r="J4176" i="56"/>
  <c r="J4177" i="56"/>
  <c r="J4178" i="56"/>
  <c r="J4179" i="56"/>
  <c r="J4180" i="56"/>
  <c r="J4181" i="56"/>
  <c r="J4182" i="56"/>
  <c r="J4183" i="56"/>
  <c r="J4184" i="56"/>
  <c r="J4185" i="56"/>
  <c r="J4186" i="56"/>
  <c r="J4187" i="56"/>
  <c r="J4188" i="56"/>
  <c r="J4189" i="56"/>
  <c r="J4190" i="56"/>
  <c r="J4191" i="56"/>
  <c r="J4192" i="56"/>
  <c r="J4193" i="56"/>
  <c r="J4194" i="56"/>
  <c r="J4195" i="56"/>
  <c r="J4196" i="56"/>
  <c r="J4197" i="56"/>
  <c r="J4198" i="56"/>
  <c r="J4199" i="56"/>
  <c r="J4200" i="56"/>
  <c r="J4201" i="56"/>
  <c r="J4202" i="56"/>
  <c r="J4203" i="56"/>
  <c r="J4204" i="56"/>
  <c r="J4205" i="56"/>
  <c r="J4206" i="56"/>
  <c r="J4207" i="56"/>
  <c r="J4208" i="56"/>
  <c r="J4209" i="56"/>
  <c r="J4210" i="56"/>
  <c r="J4211" i="56"/>
  <c r="J4212" i="56"/>
  <c r="J4213" i="56"/>
  <c r="J4214" i="56"/>
  <c r="J4215" i="56"/>
  <c r="J4216" i="56"/>
  <c r="J4217" i="56"/>
  <c r="J4218" i="56"/>
  <c r="J4219" i="56"/>
  <c r="J4220" i="56"/>
  <c r="J4221" i="56"/>
  <c r="J4222" i="56"/>
  <c r="J4223" i="56"/>
  <c r="J4224" i="56"/>
  <c r="J4225" i="56"/>
  <c r="J4226" i="56"/>
  <c r="J4227" i="56"/>
  <c r="J4228" i="56"/>
  <c r="J4229" i="56"/>
  <c r="J4230" i="56"/>
  <c r="J4231" i="56"/>
  <c r="J4232" i="56"/>
  <c r="J4233" i="56"/>
  <c r="J4234" i="56"/>
  <c r="J4235" i="56"/>
  <c r="J4236" i="56"/>
  <c r="J4237" i="56"/>
  <c r="J4238" i="56"/>
  <c r="J4239" i="56"/>
  <c r="J4240" i="56"/>
  <c r="J4241" i="56"/>
  <c r="J4242" i="56"/>
  <c r="J4243" i="56"/>
  <c r="J4244" i="56"/>
  <c r="J4245" i="56"/>
  <c r="J4246" i="56"/>
  <c r="J4247" i="56"/>
  <c r="J4248" i="56"/>
  <c r="J4249" i="56"/>
  <c r="J4250" i="56"/>
  <c r="J4251" i="56"/>
  <c r="J4252" i="56"/>
  <c r="J4253" i="56"/>
  <c r="J4254" i="56"/>
  <c r="J4255" i="56"/>
  <c r="J4256" i="56"/>
  <c r="J4257" i="56"/>
  <c r="J4258" i="56"/>
  <c r="J4259" i="56"/>
  <c r="J4260" i="56"/>
  <c r="J4261" i="56"/>
  <c r="J4262" i="56"/>
  <c r="J4263" i="56"/>
  <c r="J4264" i="56"/>
  <c r="J4265" i="56"/>
  <c r="J4266" i="56"/>
  <c r="J4267" i="56"/>
  <c r="J4268" i="56"/>
  <c r="J4269" i="56"/>
  <c r="J4270" i="56"/>
  <c r="J4271" i="56"/>
  <c r="J4272" i="56"/>
  <c r="J4273" i="56"/>
  <c r="J4274" i="56"/>
  <c r="J4275" i="56"/>
  <c r="J4276" i="56"/>
  <c r="J4277" i="56"/>
  <c r="J4278" i="56"/>
  <c r="J4279" i="56"/>
  <c r="J4280" i="56"/>
  <c r="J4281" i="56"/>
  <c r="J4282" i="56"/>
  <c r="J4283" i="56"/>
  <c r="J4284" i="56"/>
  <c r="J4285" i="56"/>
  <c r="J4286" i="56"/>
  <c r="J4287" i="56"/>
  <c r="J4288" i="56"/>
  <c r="J4289" i="56"/>
  <c r="J4290" i="56"/>
  <c r="J4291" i="56"/>
  <c r="J4292" i="56"/>
  <c r="J4293" i="56"/>
  <c r="J4294" i="56"/>
  <c r="J4295" i="56"/>
  <c r="J4296" i="56"/>
  <c r="J4297" i="56"/>
  <c r="J4298" i="56"/>
  <c r="J4299" i="56"/>
  <c r="J4300" i="56"/>
  <c r="J4301" i="56"/>
  <c r="J4302" i="56"/>
  <c r="J4303" i="56"/>
  <c r="J4304" i="56"/>
  <c r="J4305" i="56"/>
  <c r="J4306" i="56"/>
  <c r="J4307" i="56"/>
  <c r="J4308" i="56"/>
  <c r="J4309" i="56"/>
  <c r="J4310" i="56"/>
  <c r="J4311" i="56"/>
  <c r="J4312" i="56"/>
  <c r="J4313" i="56"/>
  <c r="J4314" i="56"/>
  <c r="J4315" i="56"/>
  <c r="J4316" i="56"/>
  <c r="J4317" i="56"/>
  <c r="J4318" i="56"/>
  <c r="J4319" i="56"/>
  <c r="J4320" i="56"/>
  <c r="J4321" i="56"/>
  <c r="J4322" i="56"/>
  <c r="J4323" i="56"/>
  <c r="J4324" i="56"/>
  <c r="J4325" i="56"/>
  <c r="J4326" i="56"/>
  <c r="J4327" i="56"/>
  <c r="J4328" i="56"/>
  <c r="J4329" i="56"/>
  <c r="J4330" i="56"/>
  <c r="J4331" i="56"/>
  <c r="J4332" i="56"/>
  <c r="J4333" i="56"/>
  <c r="J4334" i="56"/>
  <c r="J4335" i="56"/>
  <c r="J4336" i="56"/>
  <c r="J4337" i="56"/>
  <c r="J4338" i="56"/>
  <c r="J4339" i="56"/>
  <c r="J4340" i="56"/>
  <c r="J4341" i="56"/>
  <c r="J4342" i="56"/>
  <c r="J4343" i="56"/>
  <c r="J4344" i="56"/>
  <c r="J4345" i="56"/>
  <c r="J4346" i="56"/>
  <c r="J4347" i="56"/>
  <c r="J4348" i="56"/>
  <c r="J4349" i="56"/>
  <c r="J4350" i="56"/>
  <c r="J4351" i="56"/>
  <c r="J4352" i="56"/>
  <c r="J4353" i="56"/>
  <c r="J4354" i="56"/>
  <c r="J4355" i="56"/>
  <c r="J4356" i="56"/>
  <c r="J4357" i="56"/>
  <c r="J4358" i="56"/>
  <c r="J4359" i="56"/>
  <c r="J4360" i="56"/>
  <c r="J4361" i="56"/>
  <c r="J4362" i="56"/>
  <c r="J4363" i="56"/>
  <c r="J4364" i="56"/>
  <c r="J4365" i="56"/>
  <c r="J4366" i="56"/>
  <c r="J4367" i="56"/>
  <c r="J4368" i="56"/>
  <c r="J4369" i="56"/>
  <c r="J4370" i="56"/>
  <c r="J4371" i="56"/>
  <c r="J4372" i="56"/>
  <c r="J4373" i="56"/>
  <c r="J4374" i="56"/>
  <c r="J4375" i="56"/>
  <c r="J4376" i="56"/>
  <c r="J4377" i="56"/>
  <c r="J4378" i="56"/>
  <c r="J4379" i="56"/>
  <c r="J4380" i="56"/>
  <c r="J4381" i="56"/>
  <c r="J4382" i="56"/>
  <c r="J4383" i="56"/>
  <c r="J4384" i="56"/>
  <c r="J4385" i="56"/>
  <c r="J4386" i="56"/>
  <c r="J4387" i="56"/>
  <c r="J4388" i="56"/>
  <c r="J4389" i="56"/>
  <c r="J4390" i="56"/>
  <c r="J4391" i="56"/>
  <c r="J4392" i="56"/>
  <c r="J4393" i="56"/>
  <c r="J4394" i="56"/>
  <c r="J4395" i="56"/>
  <c r="J4396" i="56"/>
  <c r="J4397" i="56"/>
  <c r="J4398" i="56"/>
  <c r="J4399" i="56"/>
  <c r="J4400" i="56"/>
  <c r="J4401" i="56"/>
  <c r="J4402" i="56"/>
  <c r="J4403" i="56"/>
  <c r="J4404" i="56"/>
  <c r="J4405" i="56"/>
  <c r="J4406" i="56"/>
  <c r="J4407" i="56"/>
  <c r="J4408" i="56"/>
  <c r="J4409" i="56"/>
  <c r="J4410" i="56"/>
  <c r="J4411" i="56"/>
  <c r="J4412" i="56"/>
  <c r="J4413" i="56"/>
  <c r="J4414" i="56"/>
  <c r="J4415" i="56"/>
  <c r="J4416" i="56"/>
  <c r="J4417" i="56"/>
  <c r="J4418" i="56"/>
  <c r="J4419" i="56"/>
  <c r="J4420" i="56"/>
  <c r="J4421" i="56"/>
  <c r="J4422" i="56"/>
  <c r="J4423" i="56"/>
  <c r="J4424" i="56"/>
  <c r="J4425" i="56"/>
  <c r="J4426" i="56"/>
  <c r="J4427" i="56"/>
  <c r="J4428" i="56"/>
  <c r="J4429" i="56"/>
  <c r="J4430" i="56"/>
  <c r="J4431" i="56"/>
  <c r="J4432" i="56"/>
  <c r="J4433" i="56"/>
  <c r="J4434" i="56"/>
  <c r="J4435" i="56"/>
  <c r="J4436" i="56"/>
  <c r="J4437" i="56"/>
  <c r="J4438" i="56"/>
  <c r="J4439" i="56"/>
  <c r="J4440" i="56"/>
  <c r="J4441" i="56"/>
  <c r="J4442" i="56"/>
  <c r="J4443" i="56"/>
  <c r="J4444" i="56"/>
  <c r="J4445" i="56"/>
  <c r="J4446" i="56"/>
  <c r="J4447" i="56"/>
  <c r="J4448" i="56"/>
  <c r="J4449" i="56"/>
  <c r="J4450" i="56"/>
  <c r="J4451" i="56"/>
  <c r="J4452" i="56"/>
  <c r="J4453" i="56"/>
  <c r="J4454" i="56"/>
  <c r="J4455" i="56"/>
  <c r="J4456" i="56"/>
  <c r="J4457" i="56"/>
  <c r="J4458" i="56"/>
  <c r="J4459" i="56"/>
  <c r="J4460" i="56"/>
  <c r="J4461" i="56"/>
  <c r="J4462" i="56"/>
  <c r="J4463" i="56"/>
  <c r="J4464" i="56"/>
  <c r="J4465" i="56"/>
  <c r="J4466" i="56"/>
  <c r="J4467" i="56"/>
  <c r="J4468" i="56"/>
  <c r="J4469" i="56"/>
  <c r="J4470" i="56"/>
  <c r="J4471" i="56"/>
  <c r="J4472" i="56"/>
  <c r="J4473" i="56"/>
  <c r="J4474" i="56"/>
  <c r="J4475" i="56"/>
  <c r="J4476" i="56"/>
  <c r="J4477" i="56"/>
  <c r="J4478" i="56"/>
  <c r="J4479" i="56"/>
  <c r="J4480" i="56"/>
  <c r="J4481" i="56"/>
  <c r="J4482" i="56"/>
  <c r="J4483" i="56"/>
  <c r="J4484" i="56"/>
  <c r="J4485" i="56"/>
  <c r="J4486" i="56"/>
  <c r="J4487" i="56"/>
  <c r="J4488" i="56"/>
  <c r="J4489" i="56"/>
  <c r="J4490" i="56"/>
  <c r="J4491" i="56"/>
  <c r="J4492" i="56"/>
  <c r="J4493" i="56"/>
  <c r="J4494" i="56"/>
  <c r="J4495" i="56"/>
  <c r="J4496" i="56"/>
  <c r="J4497" i="56"/>
  <c r="J4498" i="56"/>
  <c r="J4499" i="56"/>
  <c r="J4500" i="56"/>
  <c r="J4501" i="56"/>
  <c r="J4502" i="56"/>
  <c r="J4503" i="56"/>
  <c r="J4504" i="56"/>
  <c r="J4505" i="56"/>
  <c r="J4506" i="56"/>
  <c r="J4507" i="56"/>
  <c r="J4508" i="56"/>
  <c r="J4509" i="56"/>
  <c r="J4510" i="56"/>
  <c r="J4511" i="56"/>
  <c r="J4512" i="56"/>
  <c r="J4513" i="56"/>
  <c r="J4514" i="56"/>
  <c r="J4515" i="56"/>
  <c r="J4516" i="56"/>
  <c r="J4517" i="56"/>
  <c r="J4518" i="56"/>
  <c r="J4519" i="56"/>
  <c r="J4520" i="56"/>
  <c r="J4521" i="56"/>
  <c r="J4522" i="56"/>
  <c r="J4523" i="56"/>
  <c r="J4524" i="56"/>
  <c r="J4525" i="56"/>
  <c r="J4526" i="56"/>
  <c r="J4527" i="56"/>
  <c r="J4528" i="56"/>
  <c r="J4529" i="56"/>
  <c r="J4530" i="56"/>
  <c r="J4531" i="56"/>
  <c r="J4532" i="56"/>
  <c r="J4533" i="56"/>
  <c r="J4534" i="56"/>
  <c r="J4535" i="56"/>
  <c r="J4536" i="56"/>
  <c r="J4537" i="56"/>
  <c r="J4538" i="56"/>
  <c r="J4539" i="56"/>
  <c r="J4540" i="56"/>
  <c r="J4541" i="56"/>
  <c r="J4542" i="56"/>
  <c r="J4543" i="56"/>
  <c r="J4544" i="56"/>
  <c r="J4545" i="56"/>
  <c r="J4546" i="56"/>
  <c r="J4547" i="56"/>
  <c r="J4548" i="56"/>
  <c r="J4549" i="56"/>
  <c r="J4550" i="56"/>
  <c r="J4551" i="56"/>
  <c r="J4552" i="56"/>
  <c r="J4553" i="56"/>
  <c r="J4554" i="56"/>
  <c r="J4555" i="56"/>
  <c r="J4556" i="56"/>
  <c r="J4557" i="56"/>
  <c r="J4558" i="56"/>
  <c r="J4559" i="56"/>
  <c r="J4560" i="56"/>
  <c r="J4561" i="56"/>
  <c r="J4562" i="56"/>
  <c r="J4563" i="56"/>
  <c r="J4564" i="56"/>
  <c r="J4565" i="56"/>
  <c r="J4566" i="56"/>
  <c r="J4567" i="56"/>
  <c r="J4568" i="56"/>
  <c r="J4569" i="56"/>
  <c r="J4570" i="56"/>
  <c r="J4571" i="56"/>
  <c r="J4572" i="56"/>
  <c r="J4573" i="56"/>
  <c r="J4574" i="56"/>
  <c r="J4575" i="56"/>
  <c r="J4576" i="56"/>
  <c r="J4577" i="56"/>
  <c r="J4578" i="56"/>
  <c r="J4579" i="56"/>
  <c r="J4580" i="56"/>
  <c r="J4581" i="56"/>
  <c r="J4582" i="56"/>
  <c r="J4583" i="56"/>
  <c r="J4584" i="56"/>
  <c r="J4585" i="56"/>
  <c r="J4586" i="56"/>
  <c r="J4587" i="56"/>
  <c r="J4588" i="56"/>
  <c r="J4589" i="56"/>
  <c r="J4590" i="56"/>
  <c r="J4591" i="56"/>
  <c r="J4592" i="56"/>
  <c r="J4593" i="56"/>
  <c r="J4594" i="56"/>
  <c r="J4595" i="56"/>
  <c r="J4596" i="56"/>
  <c r="J4597" i="56"/>
  <c r="J4598" i="56"/>
  <c r="J4599" i="56"/>
  <c r="J4600" i="56"/>
  <c r="J4601" i="56"/>
  <c r="J4602" i="56"/>
  <c r="J4603" i="56"/>
  <c r="J4604" i="56"/>
  <c r="J4605" i="56"/>
  <c r="J4606" i="56"/>
  <c r="J4607" i="56"/>
  <c r="J4608" i="56"/>
  <c r="J4609" i="56"/>
  <c r="J4610" i="56"/>
  <c r="J4611" i="56"/>
  <c r="J4612" i="56"/>
  <c r="J4613" i="56"/>
  <c r="J4614" i="56"/>
  <c r="J4615" i="56"/>
  <c r="J4616" i="56"/>
  <c r="J4617" i="56"/>
  <c r="J4618" i="56"/>
  <c r="J4619" i="56"/>
  <c r="J4620" i="56"/>
  <c r="J4621" i="56"/>
  <c r="J4622" i="56"/>
  <c r="J4623" i="56"/>
  <c r="J4624" i="56"/>
  <c r="J4625" i="56"/>
  <c r="J4626" i="56"/>
  <c r="J4627" i="56"/>
  <c r="J4628" i="56"/>
  <c r="J4629" i="56"/>
  <c r="J4630" i="56"/>
  <c r="J4631" i="56"/>
  <c r="J4632" i="56"/>
  <c r="J4633" i="56"/>
  <c r="J4634" i="56"/>
  <c r="J4635" i="56"/>
  <c r="J4636" i="56"/>
  <c r="J4637" i="56"/>
  <c r="J4638" i="56"/>
  <c r="J4639" i="56"/>
  <c r="J4640" i="56"/>
  <c r="J4641" i="56"/>
  <c r="J4642" i="56"/>
  <c r="J4643" i="56"/>
  <c r="J4644" i="56"/>
  <c r="J4645" i="56"/>
  <c r="J4646" i="56"/>
  <c r="J4647" i="56"/>
  <c r="J4648" i="56"/>
  <c r="J4649" i="56"/>
  <c r="J4650" i="56"/>
  <c r="J4651" i="56"/>
  <c r="J4652" i="56"/>
  <c r="J4653" i="56"/>
  <c r="J4654" i="56"/>
  <c r="J4655" i="56"/>
  <c r="J4656" i="56"/>
  <c r="J4657" i="56"/>
  <c r="J4658" i="56"/>
  <c r="J4659" i="56"/>
  <c r="J4660" i="56"/>
  <c r="J4661" i="56"/>
  <c r="J4662" i="56"/>
  <c r="J4663" i="56"/>
  <c r="J4664" i="56"/>
  <c r="J4665" i="56"/>
  <c r="J4666" i="56"/>
  <c r="J4667" i="56"/>
  <c r="J4668" i="56"/>
  <c r="J4669" i="56"/>
  <c r="J4670" i="56"/>
  <c r="J4671" i="56"/>
  <c r="J4672" i="56"/>
  <c r="J4673" i="56"/>
  <c r="J4674" i="56"/>
  <c r="J4675" i="56"/>
  <c r="J4676" i="56"/>
  <c r="J4677" i="56"/>
  <c r="J4678" i="56"/>
  <c r="J4679" i="56"/>
  <c r="J4680" i="56"/>
  <c r="J4681" i="56"/>
  <c r="J4682" i="56"/>
  <c r="J4683" i="56"/>
  <c r="J4684" i="56"/>
  <c r="J4685" i="56"/>
  <c r="J4686" i="56"/>
  <c r="J4687" i="56"/>
  <c r="J4688" i="56"/>
  <c r="J4689" i="56"/>
  <c r="J4690" i="56"/>
  <c r="J4691" i="56"/>
  <c r="J4692" i="56"/>
  <c r="J4693" i="56"/>
  <c r="J4694" i="56"/>
  <c r="J4695" i="56"/>
  <c r="J4696" i="56"/>
  <c r="J4697" i="56"/>
  <c r="J4698" i="56"/>
  <c r="J4699" i="56"/>
  <c r="J4700" i="56"/>
  <c r="J4701" i="56"/>
  <c r="J4702" i="56"/>
  <c r="J4703" i="56"/>
  <c r="J4704" i="56"/>
  <c r="J4705" i="56"/>
  <c r="J4706" i="56"/>
  <c r="J4707" i="56"/>
  <c r="J4708" i="56"/>
  <c r="J4709" i="56"/>
  <c r="J4710" i="56"/>
  <c r="J4711" i="56"/>
  <c r="J4712" i="56"/>
  <c r="J4713" i="56"/>
  <c r="J4714" i="56"/>
  <c r="J4715" i="56"/>
  <c r="J4716" i="56"/>
  <c r="J4717" i="56"/>
  <c r="J4718" i="56"/>
  <c r="J4719" i="56"/>
  <c r="J4720" i="56"/>
  <c r="J4721" i="56"/>
  <c r="J4722" i="56"/>
  <c r="J4723" i="56"/>
  <c r="J4724" i="56"/>
  <c r="J4725" i="56"/>
  <c r="J4726" i="56"/>
  <c r="J4727" i="56"/>
  <c r="J4728" i="56"/>
  <c r="J4729" i="56"/>
  <c r="J4730" i="56"/>
  <c r="J4731" i="56"/>
  <c r="J4732" i="56"/>
  <c r="J4733" i="56"/>
  <c r="J4734" i="56"/>
  <c r="J4735" i="56"/>
  <c r="J4736" i="56"/>
  <c r="J4737" i="56"/>
  <c r="J4738" i="56"/>
  <c r="J4739" i="56"/>
  <c r="J4740" i="56"/>
  <c r="J4741" i="56"/>
  <c r="J4742" i="56"/>
  <c r="J4743" i="56"/>
  <c r="J4744" i="56"/>
  <c r="J4745" i="56"/>
  <c r="J4746" i="56"/>
  <c r="J4747" i="56"/>
  <c r="J4748" i="56"/>
  <c r="J4749" i="56"/>
  <c r="J4750" i="56"/>
  <c r="J4751" i="56"/>
  <c r="J4752" i="56"/>
  <c r="J4753" i="56"/>
  <c r="J4754" i="56"/>
  <c r="J4755" i="56"/>
  <c r="J4756" i="56"/>
  <c r="J4757" i="56"/>
  <c r="J4758" i="56"/>
  <c r="J4759" i="56"/>
  <c r="J4760" i="56"/>
  <c r="J4761" i="56"/>
  <c r="J4762" i="56"/>
  <c r="J4763" i="56"/>
  <c r="J4764" i="56"/>
  <c r="J4765" i="56"/>
  <c r="J4766" i="56"/>
  <c r="J4767" i="56"/>
  <c r="J4768" i="56"/>
  <c r="J4769" i="56"/>
  <c r="J4770" i="56"/>
  <c r="J4771" i="56"/>
  <c r="J4772" i="56"/>
  <c r="J4773" i="56"/>
  <c r="J4774" i="56"/>
  <c r="J4775" i="56"/>
  <c r="J4776" i="56"/>
  <c r="J4777" i="56"/>
  <c r="J4778" i="56"/>
  <c r="J4779" i="56"/>
  <c r="J4780" i="56"/>
  <c r="J4781" i="56"/>
  <c r="J4782" i="56"/>
  <c r="J4783" i="56"/>
  <c r="J4784" i="56"/>
  <c r="J4785" i="56"/>
  <c r="J4786" i="56"/>
  <c r="J4787" i="56"/>
  <c r="J4788" i="56"/>
  <c r="J4789" i="56"/>
  <c r="J4790" i="56"/>
  <c r="J4791" i="56"/>
  <c r="J4792" i="56"/>
  <c r="J4793" i="56"/>
  <c r="J4794" i="56"/>
  <c r="J4795" i="56"/>
  <c r="J4796" i="56"/>
  <c r="J4797" i="56"/>
  <c r="J4798" i="56"/>
  <c r="J4799" i="56"/>
  <c r="J4800" i="56"/>
  <c r="J4801" i="56"/>
  <c r="J4802" i="56"/>
  <c r="J4803" i="56"/>
  <c r="J4804" i="56"/>
  <c r="J4805" i="56"/>
  <c r="J4806" i="56"/>
  <c r="J4807" i="56"/>
  <c r="J4808" i="56"/>
  <c r="J4809" i="56"/>
  <c r="J4810" i="56"/>
  <c r="J4811" i="56"/>
  <c r="J4812" i="56"/>
  <c r="J4813" i="56"/>
  <c r="J4814" i="56"/>
  <c r="J4815" i="56"/>
  <c r="J4816" i="56"/>
  <c r="J4817" i="56"/>
  <c r="J4818" i="56"/>
  <c r="J4819" i="56"/>
  <c r="J4820" i="56"/>
  <c r="J4821" i="56"/>
  <c r="J4822" i="56"/>
  <c r="J4823" i="56"/>
  <c r="J4824" i="56"/>
  <c r="J4825" i="56"/>
  <c r="J4826" i="56"/>
  <c r="J4827" i="56"/>
  <c r="J4828" i="56"/>
  <c r="J4829" i="56"/>
  <c r="J4830" i="56"/>
  <c r="J4831" i="56"/>
  <c r="J4832" i="56"/>
  <c r="J4833" i="56"/>
  <c r="J4834" i="56"/>
  <c r="J4835" i="56"/>
  <c r="J4836" i="56"/>
  <c r="J4837" i="56"/>
  <c r="J4838" i="56"/>
  <c r="J4839" i="56"/>
  <c r="J4840" i="56"/>
  <c r="J4841" i="56"/>
  <c r="J4842" i="56"/>
  <c r="J4843" i="56"/>
  <c r="J4844" i="56"/>
  <c r="J4845" i="56"/>
  <c r="J4846" i="56"/>
  <c r="J4847" i="56"/>
  <c r="J4848" i="56"/>
  <c r="J4849" i="56"/>
  <c r="J4850" i="56"/>
  <c r="J4851" i="56"/>
  <c r="J4852" i="56"/>
  <c r="J4853" i="56"/>
  <c r="J4854" i="56"/>
  <c r="J4855" i="56"/>
  <c r="J4856" i="56"/>
  <c r="J4857" i="56"/>
  <c r="J4858" i="56"/>
  <c r="J4859" i="56"/>
  <c r="J4860" i="56"/>
  <c r="J4861" i="56"/>
  <c r="J4862" i="56"/>
  <c r="J4863" i="56"/>
  <c r="J4864" i="56"/>
  <c r="J4865" i="56"/>
  <c r="J4866" i="56"/>
  <c r="J4867" i="56"/>
  <c r="J4868" i="56"/>
  <c r="J4869" i="56"/>
  <c r="J4870" i="56"/>
  <c r="J4871" i="56"/>
  <c r="J4872" i="56"/>
  <c r="J4873" i="56"/>
  <c r="J4874" i="56"/>
  <c r="J4875" i="56"/>
  <c r="J4876" i="56"/>
  <c r="J4877" i="56"/>
  <c r="J4878" i="56"/>
  <c r="J4879" i="56"/>
  <c r="J4880" i="56"/>
  <c r="J4881" i="56"/>
  <c r="J4882" i="56"/>
  <c r="J4883" i="56"/>
  <c r="J4884" i="56"/>
  <c r="J4885" i="56"/>
  <c r="J4886" i="56"/>
  <c r="J4887" i="56"/>
  <c r="J4888" i="56"/>
  <c r="J4889" i="56"/>
  <c r="J4890" i="56"/>
  <c r="J4891" i="56"/>
  <c r="J4892" i="56"/>
  <c r="J4893" i="56"/>
  <c r="J4894" i="56"/>
  <c r="J4895" i="56"/>
  <c r="J4896" i="56"/>
  <c r="J4897" i="56"/>
  <c r="J4898" i="56"/>
  <c r="J4899" i="56"/>
  <c r="J4900" i="56"/>
  <c r="J4901" i="56"/>
  <c r="J4902" i="56"/>
  <c r="J4903" i="56"/>
  <c r="J4904" i="56"/>
  <c r="J4905" i="56"/>
  <c r="J4906" i="56"/>
  <c r="J4907" i="56"/>
  <c r="J4908" i="56"/>
  <c r="J4909" i="56"/>
  <c r="J4910" i="56"/>
  <c r="J4911" i="56"/>
  <c r="J4912" i="56"/>
  <c r="J4913" i="56"/>
  <c r="J4914" i="56"/>
  <c r="J4915" i="56"/>
  <c r="J4916" i="56"/>
  <c r="J4917" i="56"/>
  <c r="J4918" i="56"/>
  <c r="J4919" i="56"/>
  <c r="J4920" i="56"/>
  <c r="J4921" i="56"/>
  <c r="J4922" i="56"/>
  <c r="J4923" i="56"/>
  <c r="J4924" i="56"/>
  <c r="J4925" i="56"/>
  <c r="J4926" i="56"/>
  <c r="J4927" i="56"/>
  <c r="J4928" i="56"/>
  <c r="J4929" i="56"/>
  <c r="J4930" i="56"/>
  <c r="J4931" i="56"/>
  <c r="J4932" i="56"/>
  <c r="J4933" i="56"/>
  <c r="J4934" i="56"/>
  <c r="J4935" i="56"/>
  <c r="J4936" i="56"/>
  <c r="J4937" i="56"/>
  <c r="J4938" i="56"/>
  <c r="J4939" i="56"/>
  <c r="J4940" i="56"/>
  <c r="J4941" i="56"/>
  <c r="J4942" i="56"/>
  <c r="J4943" i="56"/>
  <c r="J4944" i="56"/>
  <c r="J4945" i="56"/>
  <c r="J4946" i="56"/>
  <c r="J4947" i="56"/>
  <c r="J4948" i="56"/>
  <c r="J4949" i="56"/>
  <c r="J4950" i="56"/>
  <c r="J4951" i="56"/>
  <c r="J4952" i="56"/>
  <c r="J4953" i="56"/>
  <c r="J4954" i="56"/>
  <c r="J4955" i="56"/>
  <c r="J4956" i="56"/>
  <c r="J4957" i="56"/>
  <c r="J4958" i="56"/>
  <c r="J4959" i="56"/>
  <c r="J4960" i="56"/>
  <c r="J4961" i="56"/>
  <c r="J4962" i="56"/>
  <c r="J4963" i="56"/>
  <c r="J4964" i="56"/>
  <c r="J4965" i="56"/>
  <c r="J4966" i="56"/>
  <c r="J4967" i="56"/>
  <c r="J4968" i="56"/>
  <c r="J4969" i="56"/>
  <c r="J4970" i="56"/>
  <c r="J4971" i="56"/>
  <c r="J4972" i="56"/>
  <c r="J4973" i="56"/>
  <c r="J4974" i="56"/>
  <c r="J4975" i="56"/>
  <c r="J4976" i="56"/>
  <c r="J4977" i="56"/>
  <c r="J4978" i="56"/>
  <c r="J4979" i="56"/>
  <c r="J4980" i="56"/>
  <c r="J4981" i="56"/>
  <c r="J4982" i="56"/>
  <c r="J4983" i="56"/>
  <c r="J4984" i="56"/>
  <c r="J4985" i="56"/>
  <c r="J4986" i="56"/>
  <c r="J4987" i="56"/>
  <c r="J4988" i="56"/>
  <c r="J4989" i="56"/>
  <c r="J4990" i="56"/>
  <c r="J4991" i="56"/>
  <c r="J4992" i="56"/>
  <c r="J4993" i="56"/>
  <c r="J4994" i="56"/>
  <c r="J4995" i="56"/>
  <c r="J4996" i="56"/>
  <c r="J4997" i="56"/>
  <c r="J4998" i="56"/>
  <c r="J4999" i="56"/>
  <c r="J5000" i="56"/>
  <c r="J5001" i="56"/>
  <c r="J5002" i="56"/>
  <c r="J5003" i="56"/>
  <c r="J5004" i="56"/>
  <c r="J5005" i="56"/>
  <c r="J5006" i="56"/>
  <c r="J5007" i="56"/>
  <c r="J5008" i="56"/>
  <c r="J5009" i="56"/>
  <c r="J5010" i="56"/>
  <c r="J5011" i="56"/>
  <c r="J5012" i="56"/>
  <c r="J5013" i="56"/>
  <c r="J5014" i="56"/>
  <c r="J5015" i="56"/>
  <c r="J5016" i="56"/>
  <c r="J5017" i="56"/>
  <c r="J5018" i="56"/>
  <c r="J5019" i="56"/>
  <c r="J5020" i="56"/>
  <c r="J5021" i="56"/>
  <c r="J5022" i="56"/>
  <c r="J5023" i="56"/>
  <c r="J5024" i="56"/>
  <c r="J5025" i="56"/>
  <c r="J5026" i="56"/>
  <c r="J5027" i="56"/>
  <c r="J5028" i="56"/>
  <c r="J5029" i="56"/>
  <c r="J5030" i="56"/>
  <c r="J5031" i="56"/>
  <c r="J5032" i="56"/>
  <c r="J5033" i="56"/>
  <c r="J5034" i="56"/>
  <c r="J5035" i="56"/>
  <c r="J5036" i="56"/>
  <c r="J5037" i="56"/>
  <c r="J5038" i="56"/>
  <c r="J5039" i="56"/>
  <c r="J5040" i="56"/>
  <c r="J5041" i="56"/>
  <c r="J5042" i="56"/>
  <c r="J5043" i="56"/>
  <c r="J5044" i="56"/>
  <c r="J5045" i="56"/>
  <c r="J5046" i="56"/>
  <c r="J5047" i="56"/>
  <c r="J5048" i="56"/>
  <c r="J5049" i="56"/>
  <c r="J5050" i="56"/>
  <c r="J5051" i="56"/>
  <c r="J5052" i="56"/>
  <c r="J5053" i="56"/>
  <c r="J5054" i="56"/>
  <c r="J5055" i="56"/>
  <c r="J5056" i="56"/>
  <c r="J5057" i="56"/>
  <c r="J5058" i="56"/>
  <c r="J5059" i="56"/>
  <c r="J5060" i="56"/>
  <c r="J5061" i="56"/>
  <c r="J5062" i="56"/>
  <c r="J5063" i="56"/>
  <c r="J5064" i="56"/>
  <c r="J5065" i="56"/>
  <c r="J5066" i="56"/>
  <c r="J5067" i="56"/>
  <c r="J5068" i="56"/>
  <c r="J5069" i="56"/>
  <c r="J5070" i="56"/>
  <c r="J5071" i="56"/>
  <c r="J5072" i="56"/>
  <c r="J5073" i="56"/>
  <c r="J5074" i="56"/>
  <c r="J5075" i="56"/>
  <c r="J5076" i="56"/>
  <c r="J5077" i="56"/>
  <c r="J5078" i="56"/>
  <c r="J5079" i="56"/>
  <c r="J5080" i="56"/>
  <c r="J5081" i="56"/>
  <c r="J5082" i="56"/>
  <c r="J5083" i="56"/>
  <c r="J5084" i="56"/>
  <c r="J5085" i="56"/>
  <c r="J5086" i="56"/>
  <c r="J5087" i="56"/>
  <c r="J5088" i="56"/>
  <c r="J5089" i="56"/>
  <c r="J5090" i="56"/>
  <c r="J5091" i="56"/>
  <c r="J5092" i="56"/>
  <c r="J5093" i="56"/>
  <c r="J5094" i="56"/>
  <c r="J5095" i="56"/>
  <c r="J5096" i="56"/>
  <c r="J5097" i="56"/>
  <c r="J5098" i="56"/>
  <c r="J5099" i="56"/>
  <c r="J5100" i="56"/>
  <c r="J5101" i="56"/>
  <c r="J5102" i="56"/>
  <c r="J5103" i="56"/>
  <c r="J5104" i="56"/>
  <c r="J5105" i="56"/>
  <c r="J5106" i="56"/>
  <c r="J5107" i="56"/>
  <c r="J5108" i="56"/>
  <c r="J5109" i="56"/>
  <c r="J5110" i="56"/>
  <c r="J5111" i="56"/>
  <c r="J5112" i="56"/>
  <c r="J5113" i="56"/>
  <c r="J5114" i="56"/>
  <c r="J5115" i="56"/>
  <c r="J5116" i="56"/>
  <c r="J5117" i="56"/>
  <c r="J5118" i="56"/>
  <c r="J5119" i="56"/>
  <c r="J5120" i="56"/>
  <c r="J5121" i="56"/>
  <c r="J5122" i="56"/>
  <c r="J5123" i="56"/>
  <c r="J5124" i="56"/>
  <c r="J5125" i="56"/>
  <c r="J5126" i="56"/>
  <c r="J5127" i="56"/>
  <c r="J5128" i="56"/>
  <c r="J5129" i="56"/>
  <c r="J5130" i="56"/>
  <c r="J5131" i="56"/>
  <c r="J5132" i="56"/>
  <c r="J5133" i="56"/>
  <c r="J5134" i="56"/>
  <c r="J5135" i="56"/>
  <c r="J5136" i="56"/>
  <c r="J5137" i="56"/>
  <c r="J5138" i="56"/>
  <c r="J5139" i="56"/>
  <c r="J5140" i="56"/>
  <c r="J5141" i="56"/>
  <c r="J5142" i="56"/>
  <c r="J5143" i="56"/>
  <c r="J5144" i="56"/>
  <c r="J5145" i="56"/>
  <c r="J5146" i="56"/>
  <c r="J5147" i="56"/>
  <c r="J5148" i="56"/>
  <c r="J5149" i="56"/>
  <c r="J5150" i="56"/>
  <c r="J5151" i="56"/>
  <c r="J5152" i="56"/>
  <c r="J5153" i="56"/>
  <c r="J5154" i="56"/>
  <c r="J5155" i="56"/>
  <c r="J5156" i="56"/>
  <c r="J5157" i="56"/>
  <c r="J5158" i="56"/>
  <c r="J5159" i="56"/>
  <c r="J5160" i="56"/>
  <c r="J5161" i="56"/>
  <c r="J5162" i="56"/>
  <c r="J5163" i="56"/>
  <c r="J5164" i="56"/>
  <c r="J5165" i="56"/>
  <c r="J5166" i="56"/>
  <c r="J5167" i="56"/>
  <c r="J5168" i="56"/>
  <c r="J5169" i="56"/>
  <c r="J5170" i="56"/>
  <c r="J5171" i="56"/>
  <c r="J5172" i="56"/>
  <c r="J5173" i="56"/>
  <c r="J5174" i="56"/>
  <c r="J5175" i="56"/>
  <c r="J5176" i="56"/>
  <c r="J5177" i="56"/>
  <c r="J5178" i="56"/>
  <c r="J5179" i="56"/>
  <c r="J5180" i="56"/>
  <c r="J5181" i="56"/>
  <c r="J5182" i="56"/>
  <c r="J5183" i="56"/>
  <c r="J5184" i="56"/>
  <c r="J5185" i="56"/>
  <c r="J5186" i="56"/>
  <c r="J5187" i="56"/>
  <c r="J5188" i="56"/>
  <c r="J5189" i="56"/>
  <c r="J5190" i="56"/>
  <c r="J5191" i="56"/>
  <c r="J5192" i="56"/>
  <c r="J5193" i="56"/>
  <c r="J5194" i="56"/>
  <c r="J5195" i="56"/>
  <c r="J5196" i="56"/>
  <c r="J5197" i="56"/>
  <c r="J5198" i="56"/>
  <c r="J5199" i="56"/>
  <c r="J5200" i="56"/>
  <c r="J5201" i="56"/>
  <c r="J5202" i="56"/>
  <c r="J5203" i="56"/>
  <c r="J5204" i="56"/>
  <c r="J5205" i="56"/>
  <c r="J5206" i="56"/>
  <c r="J5207" i="56"/>
  <c r="J5208" i="56"/>
  <c r="J5209" i="56"/>
  <c r="J5210" i="56"/>
  <c r="J5211" i="56"/>
  <c r="J5212" i="56"/>
  <c r="J5213" i="56"/>
  <c r="J5214" i="56"/>
  <c r="J5215" i="56"/>
  <c r="J5216" i="56"/>
  <c r="J5217" i="56"/>
  <c r="J5218" i="56"/>
  <c r="J5219" i="56"/>
  <c r="J5220" i="56"/>
  <c r="J5221" i="56"/>
  <c r="J5222" i="56"/>
  <c r="J5223" i="56"/>
  <c r="J5224" i="56"/>
  <c r="J5225" i="56"/>
  <c r="J5226" i="56"/>
  <c r="J5227" i="56"/>
  <c r="J5228" i="56"/>
  <c r="J5229" i="56"/>
  <c r="J5230" i="56"/>
  <c r="J5231" i="56"/>
  <c r="J5232" i="56"/>
  <c r="J5233" i="56"/>
  <c r="J5234" i="56"/>
  <c r="J5235" i="56"/>
  <c r="J5236" i="56"/>
  <c r="J5237" i="56"/>
  <c r="J5238" i="56"/>
  <c r="J5239" i="56"/>
  <c r="J5240" i="56"/>
  <c r="J5241" i="56"/>
  <c r="J5242" i="56"/>
  <c r="J5243" i="56"/>
  <c r="J5244" i="56"/>
  <c r="J5245" i="56"/>
  <c r="J5246" i="56"/>
  <c r="J5247" i="56"/>
  <c r="J5248" i="56"/>
  <c r="J5249" i="56"/>
  <c r="J5250" i="56"/>
  <c r="J5251" i="56"/>
  <c r="J5252" i="56"/>
  <c r="J5253" i="56"/>
  <c r="J5254" i="56"/>
  <c r="J5255" i="56"/>
  <c r="J5256" i="56"/>
  <c r="J5257" i="56"/>
  <c r="J5258" i="56"/>
  <c r="J5259" i="56"/>
  <c r="J5260" i="56"/>
  <c r="J5261" i="56"/>
  <c r="J5262" i="56"/>
  <c r="J5263" i="56"/>
  <c r="J5264" i="56"/>
  <c r="J5265" i="56"/>
  <c r="J5266" i="56"/>
  <c r="J5267" i="56"/>
  <c r="J5268" i="56"/>
  <c r="J5269" i="56"/>
  <c r="J5270" i="56"/>
  <c r="J5271" i="56"/>
  <c r="J5272" i="56"/>
  <c r="J5273" i="56"/>
  <c r="J5274" i="56"/>
  <c r="J5275" i="56"/>
  <c r="J5276" i="56"/>
  <c r="J5277" i="56"/>
  <c r="J5278" i="56"/>
  <c r="J5279" i="56"/>
  <c r="J5280" i="56"/>
  <c r="J5281" i="56"/>
  <c r="J5282" i="56"/>
  <c r="J5283" i="56"/>
  <c r="J5284" i="56"/>
  <c r="J5285" i="56"/>
  <c r="J5286" i="56"/>
  <c r="J5287" i="56"/>
  <c r="J5288" i="56"/>
  <c r="J5289" i="56"/>
  <c r="J5290" i="56"/>
  <c r="J5291" i="56"/>
  <c r="J5292" i="56"/>
  <c r="J5293" i="56"/>
  <c r="J5294" i="56"/>
  <c r="J5295" i="56"/>
  <c r="J5296" i="56"/>
  <c r="J5297" i="56"/>
  <c r="J5298" i="56"/>
  <c r="J5299" i="56"/>
  <c r="J5300" i="56"/>
  <c r="J5301" i="56"/>
  <c r="J5302" i="56"/>
  <c r="J5303" i="56"/>
  <c r="J5304" i="56"/>
  <c r="J5305" i="56"/>
  <c r="J5306" i="56"/>
  <c r="J5307" i="56"/>
  <c r="J5308" i="56"/>
  <c r="J5309" i="56"/>
  <c r="J5310" i="56"/>
  <c r="J5311" i="56"/>
  <c r="J5312" i="56"/>
  <c r="J5313" i="56"/>
  <c r="J5314" i="56"/>
  <c r="J5315" i="56"/>
  <c r="J5316" i="56"/>
  <c r="J5317" i="56"/>
  <c r="J5318" i="56"/>
  <c r="J5319" i="56"/>
  <c r="J5320" i="56"/>
  <c r="J5321" i="56"/>
  <c r="J5322" i="56"/>
  <c r="J5323" i="56"/>
  <c r="J5324" i="56"/>
  <c r="J5325" i="56"/>
  <c r="J5326" i="56"/>
  <c r="J5327" i="56"/>
  <c r="J5328" i="56"/>
  <c r="J5329" i="56"/>
  <c r="J5330" i="56"/>
  <c r="J5331" i="56"/>
  <c r="J5332" i="56"/>
  <c r="J5333" i="56"/>
  <c r="J5334" i="56"/>
  <c r="J5335" i="56"/>
  <c r="J5336" i="56"/>
  <c r="J5337" i="56"/>
  <c r="J5338" i="56"/>
  <c r="J5339" i="56"/>
  <c r="J5340" i="56"/>
  <c r="J5341" i="56"/>
  <c r="J5342" i="56"/>
  <c r="J5343" i="56"/>
  <c r="J5344" i="56"/>
  <c r="J5345" i="56"/>
  <c r="J5346" i="56"/>
  <c r="J5347" i="56"/>
  <c r="J5348" i="56"/>
  <c r="J5349" i="56"/>
  <c r="J5350" i="56"/>
  <c r="J5351" i="56"/>
  <c r="J5352" i="56"/>
  <c r="J5353" i="56"/>
  <c r="J5354" i="56"/>
  <c r="J5355" i="56"/>
  <c r="J5356" i="56"/>
  <c r="J5357" i="56"/>
  <c r="J5358" i="56"/>
  <c r="J5359" i="56"/>
  <c r="J5360" i="56"/>
  <c r="J5361" i="56"/>
  <c r="J5362" i="56"/>
  <c r="J5363" i="56"/>
  <c r="J5364" i="56"/>
  <c r="J5365" i="56"/>
  <c r="J5366" i="56"/>
  <c r="J5367" i="56"/>
  <c r="J5368" i="56"/>
  <c r="J5369" i="56"/>
  <c r="J5370" i="56"/>
  <c r="J5371" i="56"/>
  <c r="J5372" i="56"/>
  <c r="J5373" i="56"/>
  <c r="J5374" i="56"/>
  <c r="J5375" i="56"/>
  <c r="J5376" i="56"/>
  <c r="J5377" i="56"/>
  <c r="J5378" i="56"/>
  <c r="J5379" i="56"/>
  <c r="J5380" i="56"/>
  <c r="J5381" i="56"/>
  <c r="J5382" i="56"/>
  <c r="J5383" i="56"/>
  <c r="J5384" i="56"/>
  <c r="J5385" i="56"/>
  <c r="J5386" i="56"/>
  <c r="J5387" i="56"/>
  <c r="J5388" i="56"/>
  <c r="J5389" i="56"/>
  <c r="J5390" i="56"/>
  <c r="J5391" i="56"/>
  <c r="J5392" i="56"/>
  <c r="J5393" i="56"/>
  <c r="J5394" i="56"/>
  <c r="J5395" i="56"/>
  <c r="J5396" i="56"/>
  <c r="J5397" i="56"/>
  <c r="J5398" i="56"/>
  <c r="J5399" i="56"/>
  <c r="J5400" i="56"/>
  <c r="J5401" i="56"/>
  <c r="J5402" i="56"/>
  <c r="J5403" i="56"/>
  <c r="J5404" i="56"/>
  <c r="J5405" i="56"/>
  <c r="J5406" i="56"/>
  <c r="J5407" i="56"/>
  <c r="J5408" i="56"/>
  <c r="J5409" i="56"/>
  <c r="J5410" i="56"/>
  <c r="J5411" i="56"/>
  <c r="J5412" i="56"/>
  <c r="J5413" i="56"/>
  <c r="J5414" i="56"/>
  <c r="J5415" i="56"/>
  <c r="J5416" i="56"/>
  <c r="J5417" i="56"/>
  <c r="J5418" i="56"/>
  <c r="J5419" i="56"/>
  <c r="J5420" i="56"/>
  <c r="J5421" i="56"/>
  <c r="J5422" i="56"/>
  <c r="J5423" i="56"/>
  <c r="J5424" i="56"/>
  <c r="J5425" i="56"/>
  <c r="J5426" i="56"/>
  <c r="J5427" i="56"/>
  <c r="J5428" i="56"/>
  <c r="J5429" i="56"/>
  <c r="J5430" i="56"/>
  <c r="J5431" i="56"/>
  <c r="J5432" i="56"/>
  <c r="J5433" i="56"/>
  <c r="J5434" i="56"/>
  <c r="J5435" i="56"/>
  <c r="J5436" i="56"/>
  <c r="J5437" i="56"/>
  <c r="J5438" i="56"/>
  <c r="J5439" i="56"/>
  <c r="J5440" i="56"/>
  <c r="J5441" i="56"/>
  <c r="J5442" i="56"/>
  <c r="J5443" i="56"/>
  <c r="J5444" i="56"/>
  <c r="J5445" i="56"/>
  <c r="J5446" i="56"/>
  <c r="J5447" i="56"/>
  <c r="J5448" i="56"/>
  <c r="J5449" i="56"/>
  <c r="J5450" i="56"/>
  <c r="J5451" i="56"/>
  <c r="J5452" i="56"/>
  <c r="J5453" i="56"/>
  <c r="J5454" i="56"/>
  <c r="J5455" i="56"/>
  <c r="J5456" i="56"/>
  <c r="J5457" i="56"/>
  <c r="J5458" i="56"/>
  <c r="J5459" i="56"/>
  <c r="J5460" i="56"/>
  <c r="J5461" i="56"/>
  <c r="J5462" i="56"/>
  <c r="J5463" i="56"/>
  <c r="J5464" i="56"/>
  <c r="J5465" i="56"/>
  <c r="J5466" i="56"/>
  <c r="J5467" i="56"/>
  <c r="J5468" i="56"/>
  <c r="J5469" i="56"/>
  <c r="J5470" i="56"/>
  <c r="J5471" i="56"/>
  <c r="J5472" i="56"/>
  <c r="J5473" i="56"/>
  <c r="J5474" i="56"/>
  <c r="J5475" i="56"/>
  <c r="J5476" i="56"/>
  <c r="J5477" i="56"/>
  <c r="J5478" i="56"/>
  <c r="J5479" i="56"/>
  <c r="J5480" i="56"/>
  <c r="J5481" i="56"/>
  <c r="J5482" i="56"/>
  <c r="J5483" i="56"/>
  <c r="J5484" i="56"/>
  <c r="J5485" i="56"/>
  <c r="J5486" i="56"/>
  <c r="J5487" i="56"/>
  <c r="J5488" i="56"/>
  <c r="J5489" i="56"/>
  <c r="J5490" i="56"/>
  <c r="J5491" i="56"/>
  <c r="J5492" i="56"/>
  <c r="J5493" i="56"/>
  <c r="J5494" i="56"/>
  <c r="J5495" i="56"/>
  <c r="J5496" i="56"/>
  <c r="J5497" i="56"/>
  <c r="J5498" i="56"/>
  <c r="J5499" i="56"/>
  <c r="J5500" i="56"/>
  <c r="J5501" i="56"/>
  <c r="J5502" i="56"/>
  <c r="J5503" i="56"/>
  <c r="J5504" i="56"/>
  <c r="J5505" i="56"/>
  <c r="J5506" i="56"/>
  <c r="J5507" i="56"/>
  <c r="J5508" i="56"/>
  <c r="J5509" i="56"/>
  <c r="J5510" i="56"/>
  <c r="J5511" i="56"/>
  <c r="J5512" i="56"/>
  <c r="J5513" i="56"/>
  <c r="J5514" i="56"/>
  <c r="J5515" i="56"/>
  <c r="J5516" i="56"/>
  <c r="J5517" i="56"/>
  <c r="J5518" i="56"/>
  <c r="J5519" i="56"/>
  <c r="J5520" i="56"/>
  <c r="J5521" i="56"/>
  <c r="J5522" i="56"/>
  <c r="J5523" i="56"/>
  <c r="J5524" i="56"/>
  <c r="J5525" i="56"/>
  <c r="J5526" i="56"/>
  <c r="J5527" i="56"/>
  <c r="J5528" i="56"/>
  <c r="J5529" i="56"/>
  <c r="J5530" i="56"/>
  <c r="J5531" i="56"/>
  <c r="J5532" i="56"/>
  <c r="J5533" i="56"/>
  <c r="J5534" i="56"/>
  <c r="J5535" i="56"/>
  <c r="J5536" i="56"/>
  <c r="J5537" i="56"/>
  <c r="J5538" i="56"/>
  <c r="J5539" i="56"/>
  <c r="J5540" i="56"/>
  <c r="J5541" i="56"/>
  <c r="J5542" i="56"/>
  <c r="J5543" i="56"/>
  <c r="J5544" i="56"/>
  <c r="J5545" i="56"/>
  <c r="J5546" i="56"/>
  <c r="J5547" i="56"/>
  <c r="J5548" i="56"/>
  <c r="J5549" i="56"/>
  <c r="J5550" i="56"/>
  <c r="J5551" i="56"/>
  <c r="J5552" i="56"/>
  <c r="J5553" i="56"/>
  <c r="J5554" i="56"/>
  <c r="J5555" i="56"/>
  <c r="J5556" i="56"/>
  <c r="J5557" i="56"/>
  <c r="J5558" i="56"/>
  <c r="J5559" i="56"/>
  <c r="J5560" i="56"/>
  <c r="J5561" i="56"/>
  <c r="J5562" i="56"/>
  <c r="J5563" i="56"/>
  <c r="J5564" i="56"/>
  <c r="J5565" i="56"/>
  <c r="J5566" i="56"/>
  <c r="J5567" i="56"/>
  <c r="J5568" i="56"/>
  <c r="J5569" i="56"/>
  <c r="J5570" i="56"/>
  <c r="J5571" i="56"/>
  <c r="J5572" i="56"/>
  <c r="J5573" i="56"/>
  <c r="J5574" i="56"/>
  <c r="J5575" i="56"/>
  <c r="J5576" i="56"/>
  <c r="J5577" i="56"/>
  <c r="J5578" i="56"/>
  <c r="J5579" i="56"/>
  <c r="J5580" i="56"/>
  <c r="J5581" i="56"/>
  <c r="J5582" i="56"/>
  <c r="J5583" i="56"/>
  <c r="J5584" i="56"/>
  <c r="J5585" i="56"/>
  <c r="J5586" i="56"/>
  <c r="J5587" i="56"/>
  <c r="J5588" i="56"/>
  <c r="J5589" i="56"/>
  <c r="J5590" i="56"/>
  <c r="J5591" i="56"/>
  <c r="J5592" i="56"/>
  <c r="J5593" i="56"/>
  <c r="J5594" i="56"/>
  <c r="J5595" i="56"/>
  <c r="J5596" i="56"/>
  <c r="J5597" i="56"/>
  <c r="J5598" i="56"/>
  <c r="J5599" i="56"/>
  <c r="J5600" i="56"/>
  <c r="J5601" i="56"/>
  <c r="J5602" i="56"/>
  <c r="J5603" i="56"/>
  <c r="J5604" i="56"/>
  <c r="J5605" i="56"/>
  <c r="J5606" i="56"/>
  <c r="J5607" i="56"/>
  <c r="J5608" i="56"/>
  <c r="J5609" i="56"/>
  <c r="J5610" i="56"/>
  <c r="J5611" i="56"/>
  <c r="J5612" i="56"/>
  <c r="J5613" i="56"/>
  <c r="J5614" i="56"/>
  <c r="J5615" i="56"/>
  <c r="J5616" i="56"/>
  <c r="J5617" i="56"/>
  <c r="J5618" i="56"/>
  <c r="J5619" i="56"/>
  <c r="J5620" i="56"/>
  <c r="J5621" i="56"/>
  <c r="J5622" i="56"/>
  <c r="J5623" i="56"/>
  <c r="J5624" i="56"/>
  <c r="J5625" i="56"/>
  <c r="J5626" i="56"/>
  <c r="J5627" i="56"/>
  <c r="J5628" i="56"/>
  <c r="J5629" i="56"/>
  <c r="J5630" i="56"/>
  <c r="J5631" i="56"/>
  <c r="J5632" i="56"/>
  <c r="J5633" i="56"/>
  <c r="J5634" i="56"/>
  <c r="J5635" i="56"/>
  <c r="J5636" i="56"/>
  <c r="J5637" i="56"/>
  <c r="J5638" i="56"/>
  <c r="J5639" i="56"/>
  <c r="J5640" i="56"/>
  <c r="J5641" i="56"/>
  <c r="J5642" i="56"/>
  <c r="J5643" i="56"/>
  <c r="J5644" i="56"/>
  <c r="J5645" i="56"/>
  <c r="J5646" i="56"/>
  <c r="J5647" i="56"/>
  <c r="J5648" i="56"/>
  <c r="J5649" i="56"/>
  <c r="J5650" i="56"/>
  <c r="J5651" i="56"/>
  <c r="J5652" i="56"/>
  <c r="J5653" i="56"/>
  <c r="J5654" i="56"/>
  <c r="J5655" i="56"/>
  <c r="J5656" i="56"/>
  <c r="J5657" i="56"/>
  <c r="J5658" i="56"/>
  <c r="J5659" i="56"/>
  <c r="J5660" i="56"/>
  <c r="J5661" i="56"/>
  <c r="J5662" i="56"/>
  <c r="J5663" i="56"/>
  <c r="J5664" i="56"/>
  <c r="J5665" i="56"/>
  <c r="J5666" i="56"/>
  <c r="J5667" i="56"/>
  <c r="J5668" i="56"/>
  <c r="J5669" i="56"/>
  <c r="J5670" i="56"/>
  <c r="J5671" i="56"/>
  <c r="J5672" i="56"/>
  <c r="J5673" i="56"/>
  <c r="J5674" i="56"/>
  <c r="J5675" i="56"/>
  <c r="J5676" i="56"/>
  <c r="J5677" i="56"/>
  <c r="J5678" i="56"/>
  <c r="J5679" i="56"/>
  <c r="J5680" i="56"/>
  <c r="J5681" i="56"/>
  <c r="J5682" i="56"/>
  <c r="J5683" i="56"/>
  <c r="J5684" i="56"/>
  <c r="J5685" i="56"/>
  <c r="J5686" i="56"/>
  <c r="J5687" i="56"/>
  <c r="J5688" i="56"/>
  <c r="J5689" i="56"/>
  <c r="J5690" i="56"/>
  <c r="J5691" i="56"/>
  <c r="J5692" i="56"/>
  <c r="J5693" i="56"/>
  <c r="J5694" i="56"/>
  <c r="J5695" i="56"/>
  <c r="J5696" i="56"/>
  <c r="J5697" i="56"/>
  <c r="J5698" i="56"/>
  <c r="J5699" i="56"/>
  <c r="J5700" i="56"/>
  <c r="J5701" i="56"/>
  <c r="J5702" i="56"/>
  <c r="J5703" i="56"/>
  <c r="J5704" i="56"/>
  <c r="J5705" i="56"/>
  <c r="J5706" i="56"/>
  <c r="J5707" i="56"/>
  <c r="J5708" i="56"/>
  <c r="J5709" i="56"/>
  <c r="J5710" i="56"/>
  <c r="J5711" i="56"/>
  <c r="J5712" i="56"/>
  <c r="J5713" i="56"/>
  <c r="J5714" i="56"/>
  <c r="J5715" i="56"/>
  <c r="J5716" i="56"/>
  <c r="J5717" i="56"/>
  <c r="J5718" i="56"/>
  <c r="J5719" i="56"/>
  <c r="J5720" i="56"/>
  <c r="J5721" i="56"/>
  <c r="J5722" i="56"/>
  <c r="J5723" i="56"/>
  <c r="J5724" i="56"/>
  <c r="J5725" i="56"/>
  <c r="J5726" i="56"/>
  <c r="J5727" i="56"/>
  <c r="J5728" i="56"/>
  <c r="J5729" i="56"/>
  <c r="J5730" i="56"/>
  <c r="J5731" i="56"/>
  <c r="J5732" i="56"/>
  <c r="J5733" i="56"/>
  <c r="J5734" i="56"/>
  <c r="J5735" i="56"/>
  <c r="J5736" i="56"/>
  <c r="J5737" i="56"/>
  <c r="J5738" i="56"/>
  <c r="J5739" i="56"/>
  <c r="J5740" i="56"/>
  <c r="J5741" i="56"/>
  <c r="J5742" i="56"/>
  <c r="J5743" i="56"/>
  <c r="J5744" i="56"/>
  <c r="J5745" i="56"/>
  <c r="J5746" i="56"/>
  <c r="J5747" i="56"/>
  <c r="J5748" i="56"/>
  <c r="J5749" i="56"/>
  <c r="J5750" i="56"/>
  <c r="J5751" i="56"/>
  <c r="J5752" i="56"/>
  <c r="J5753" i="56"/>
  <c r="J5754" i="56"/>
  <c r="J5755" i="56"/>
  <c r="J5756" i="56"/>
  <c r="J5757" i="56"/>
  <c r="J5758" i="56"/>
  <c r="J5759" i="56"/>
  <c r="J5760" i="56"/>
  <c r="J5761" i="56"/>
  <c r="J5762" i="56"/>
  <c r="J5763" i="56"/>
  <c r="J5764" i="56"/>
  <c r="J5765" i="56"/>
  <c r="J5766" i="56"/>
  <c r="J5767" i="56"/>
  <c r="J5768" i="56"/>
  <c r="J5769" i="56"/>
  <c r="J5770" i="56"/>
  <c r="J5771" i="56"/>
  <c r="J5772" i="56"/>
  <c r="J5773" i="56"/>
  <c r="J5774" i="56"/>
  <c r="J5775" i="56"/>
  <c r="J5776" i="56"/>
  <c r="J5777" i="56"/>
  <c r="J5778" i="56"/>
  <c r="J5779" i="56"/>
  <c r="J5780" i="56"/>
  <c r="J5781" i="56"/>
  <c r="J5782" i="56"/>
  <c r="J5783" i="56"/>
  <c r="J5784" i="56"/>
  <c r="J5785" i="56"/>
  <c r="J5786" i="56"/>
  <c r="J5787" i="56"/>
  <c r="J5788" i="56"/>
  <c r="J5789" i="56"/>
  <c r="J5790" i="56"/>
  <c r="J5791" i="56"/>
  <c r="J5792" i="56"/>
  <c r="J5793" i="56"/>
  <c r="J5794" i="56"/>
  <c r="J5795" i="56"/>
  <c r="J5796" i="56"/>
  <c r="J5797" i="56"/>
  <c r="J5798" i="56"/>
  <c r="J5799" i="56"/>
  <c r="J5800" i="56"/>
  <c r="J5801" i="56"/>
  <c r="J5802" i="56"/>
  <c r="J5803" i="56"/>
  <c r="J5804" i="56"/>
  <c r="J5805" i="56"/>
  <c r="J5806" i="56"/>
  <c r="J5807" i="56"/>
  <c r="J5808" i="56"/>
  <c r="J5809" i="56"/>
  <c r="J5810" i="56"/>
  <c r="J5811" i="56"/>
  <c r="J5812" i="56"/>
  <c r="J5813" i="56"/>
  <c r="J5814" i="56"/>
  <c r="J5815" i="56"/>
  <c r="J5816" i="56"/>
  <c r="J5817" i="56"/>
  <c r="J5818" i="56"/>
  <c r="J5819" i="56"/>
  <c r="J5820" i="56"/>
  <c r="J5821" i="56"/>
  <c r="J5822" i="56"/>
  <c r="J5823" i="56"/>
  <c r="J5824" i="56"/>
  <c r="J5825" i="56"/>
  <c r="J5826" i="56"/>
  <c r="J5827" i="56"/>
  <c r="J5828" i="56"/>
  <c r="J5829" i="56"/>
  <c r="J5830" i="56"/>
  <c r="J5831" i="56"/>
  <c r="J5832" i="56"/>
  <c r="J5833" i="56"/>
  <c r="J5834" i="56"/>
  <c r="J5835" i="56"/>
  <c r="J5836" i="56"/>
  <c r="J5837" i="56"/>
  <c r="J5838" i="56"/>
  <c r="J5839" i="56"/>
  <c r="J5840" i="56"/>
  <c r="J5841" i="56"/>
  <c r="J5842" i="56"/>
  <c r="J5843" i="56"/>
  <c r="J5844" i="56"/>
  <c r="J5845" i="56"/>
  <c r="J5846" i="56"/>
  <c r="J5847" i="56"/>
  <c r="J5848" i="56"/>
  <c r="J5849" i="56"/>
  <c r="J5850" i="56"/>
  <c r="J5851" i="56"/>
  <c r="J5852" i="56"/>
  <c r="J5853" i="56"/>
  <c r="J5854" i="56"/>
  <c r="J5855" i="56"/>
  <c r="J5856" i="56"/>
  <c r="J5857" i="56"/>
  <c r="J5858" i="56"/>
  <c r="J5859" i="56"/>
  <c r="J5860" i="56"/>
  <c r="J5861" i="56"/>
  <c r="J5862" i="56"/>
  <c r="J5863" i="56"/>
  <c r="J5864" i="56"/>
  <c r="J5865" i="56"/>
  <c r="J5866" i="56"/>
  <c r="J5867" i="56"/>
  <c r="J5868" i="56"/>
  <c r="J5869" i="56"/>
  <c r="J5870" i="56"/>
  <c r="J5871" i="56"/>
  <c r="J5872" i="56"/>
  <c r="J5873" i="56"/>
  <c r="J5874" i="56"/>
  <c r="J5875" i="56"/>
  <c r="J5876" i="56"/>
  <c r="J5877" i="56"/>
  <c r="J5878" i="56"/>
  <c r="J5879" i="56"/>
  <c r="J5880" i="56"/>
  <c r="J5881" i="56"/>
  <c r="J5882" i="56"/>
  <c r="J5883" i="56"/>
  <c r="J5884" i="56"/>
  <c r="J5885" i="56"/>
  <c r="J5886" i="56"/>
  <c r="J5887" i="56"/>
  <c r="J5888" i="56"/>
  <c r="J5889" i="56"/>
  <c r="J5890" i="56"/>
  <c r="J5891" i="56"/>
  <c r="J5892" i="56"/>
  <c r="J5893" i="56"/>
  <c r="J5894" i="56"/>
  <c r="J5895" i="56"/>
  <c r="J5896" i="56"/>
  <c r="J5897" i="56"/>
  <c r="J5898" i="56"/>
  <c r="J5899" i="56"/>
  <c r="J5900" i="56"/>
  <c r="J5901" i="56"/>
  <c r="J5902" i="56"/>
  <c r="J5903" i="56"/>
  <c r="J5904" i="56"/>
  <c r="J5905" i="56"/>
  <c r="J5906" i="56"/>
  <c r="J5907" i="56"/>
  <c r="J5908" i="56"/>
  <c r="J5909" i="56"/>
  <c r="J5910" i="56"/>
  <c r="J5911" i="56"/>
  <c r="J5912" i="56"/>
  <c r="J5913" i="56"/>
  <c r="J5914" i="56"/>
  <c r="J5915" i="56"/>
  <c r="J5916" i="56"/>
  <c r="J5917" i="56"/>
  <c r="J5918" i="56"/>
  <c r="J5919" i="56"/>
  <c r="J5920" i="56"/>
  <c r="J5921" i="56"/>
  <c r="J5922" i="56"/>
  <c r="J5923" i="56"/>
  <c r="J5924" i="56"/>
  <c r="J5925" i="56"/>
  <c r="J5926" i="56"/>
  <c r="J5927" i="56"/>
  <c r="J5928" i="56"/>
  <c r="J5929" i="56"/>
  <c r="J5930" i="56"/>
  <c r="J5931" i="56"/>
  <c r="J5932" i="56"/>
  <c r="J5933" i="56"/>
  <c r="J5934" i="56"/>
  <c r="J5935" i="56"/>
  <c r="J5936" i="56"/>
  <c r="J5937" i="56"/>
  <c r="J5938" i="56"/>
  <c r="J5939" i="56"/>
  <c r="J5940" i="56"/>
  <c r="J5941" i="56"/>
  <c r="J5942" i="56"/>
  <c r="J5943" i="56"/>
  <c r="J5944" i="56"/>
  <c r="J5945" i="56"/>
  <c r="J5946" i="56"/>
  <c r="J5947" i="56"/>
  <c r="J5948" i="56"/>
  <c r="J5949" i="56"/>
  <c r="J5950" i="56"/>
  <c r="J5951" i="56"/>
  <c r="J5952" i="56"/>
  <c r="J5953" i="56"/>
  <c r="J5954" i="56"/>
  <c r="J5955" i="56"/>
  <c r="J5956" i="56"/>
  <c r="J5957" i="56"/>
  <c r="J5958" i="56"/>
  <c r="J5959" i="56"/>
  <c r="J5960" i="56"/>
  <c r="J5961" i="56"/>
  <c r="J5962" i="56"/>
  <c r="J5963" i="56"/>
  <c r="J5964" i="56"/>
  <c r="J5965" i="56"/>
  <c r="J5966" i="56"/>
  <c r="J5967" i="56"/>
  <c r="J5968" i="56"/>
  <c r="J5969" i="56"/>
  <c r="J5970" i="56"/>
  <c r="J5971" i="56"/>
  <c r="J5972" i="56"/>
  <c r="J5973" i="56"/>
  <c r="J5974" i="56"/>
  <c r="J5975" i="56"/>
  <c r="J5976" i="56"/>
  <c r="J5977" i="56"/>
  <c r="J5978" i="56"/>
  <c r="J5979" i="56"/>
  <c r="J5980" i="56"/>
  <c r="J5981" i="56"/>
  <c r="J5982" i="56"/>
  <c r="J5983" i="56"/>
  <c r="J5984" i="56"/>
  <c r="J5985" i="56"/>
  <c r="J5986" i="56"/>
  <c r="J5987" i="56"/>
  <c r="J5988" i="56"/>
  <c r="J5989" i="56"/>
  <c r="J5990" i="56"/>
  <c r="J5991" i="56"/>
  <c r="J5992" i="56"/>
  <c r="J5993" i="56"/>
  <c r="J5994" i="56"/>
  <c r="J5995" i="56"/>
  <c r="J5996" i="56"/>
  <c r="J5997" i="56"/>
  <c r="J5998" i="56"/>
  <c r="J5999" i="56"/>
  <c r="J6000" i="56"/>
  <c r="J6001" i="56"/>
  <c r="J6002" i="56"/>
  <c r="J6003" i="56"/>
  <c r="J6004" i="56"/>
  <c r="J6005" i="56"/>
  <c r="J6006" i="56"/>
  <c r="J6007" i="56"/>
  <c r="J6008" i="56"/>
  <c r="J6009" i="56"/>
  <c r="J6010" i="56"/>
  <c r="J6011" i="56"/>
  <c r="J6012" i="56"/>
  <c r="J6013" i="56"/>
  <c r="J6014" i="56"/>
  <c r="J6015" i="56"/>
  <c r="J6016" i="56"/>
  <c r="J6017" i="56"/>
  <c r="J6018" i="56"/>
  <c r="J6019" i="56"/>
  <c r="J6020" i="56"/>
  <c r="J6021" i="56"/>
  <c r="J6022" i="56"/>
  <c r="J6023" i="56"/>
  <c r="J6024" i="56"/>
  <c r="J6025" i="56"/>
  <c r="J6026" i="56"/>
  <c r="J6027" i="56"/>
  <c r="J6028" i="56"/>
  <c r="J6029" i="56"/>
  <c r="J6030" i="56"/>
  <c r="J6031" i="56"/>
  <c r="J6032" i="56"/>
  <c r="J6033" i="56"/>
  <c r="J6034" i="56"/>
  <c r="J6035" i="56"/>
  <c r="J6036" i="56"/>
  <c r="J6037" i="56"/>
  <c r="J6038" i="56"/>
  <c r="J6039" i="56"/>
  <c r="J6040" i="56"/>
  <c r="J6041" i="56"/>
  <c r="J6042" i="56"/>
  <c r="J6043" i="56"/>
  <c r="J6044" i="56"/>
  <c r="J6045" i="56"/>
  <c r="J6046" i="56"/>
  <c r="J6047" i="56"/>
  <c r="J6048" i="56"/>
  <c r="J6049" i="56"/>
  <c r="J6050" i="56"/>
  <c r="J6051" i="56"/>
  <c r="J6052" i="56"/>
  <c r="J6053" i="56"/>
  <c r="J6054" i="56"/>
  <c r="J6055" i="56"/>
  <c r="J6056" i="56"/>
  <c r="J6057" i="56"/>
  <c r="J6058" i="56"/>
  <c r="J6059" i="56"/>
  <c r="J6060" i="56"/>
  <c r="J6061" i="56"/>
  <c r="J6062" i="56"/>
  <c r="J6063" i="56"/>
  <c r="J6064" i="56"/>
  <c r="J6065" i="56"/>
  <c r="J6066" i="56"/>
  <c r="J6067" i="56"/>
  <c r="J6068" i="56"/>
  <c r="J6069" i="56"/>
  <c r="J6070" i="56"/>
  <c r="J6071" i="56"/>
  <c r="J6072" i="56"/>
  <c r="J6073" i="56"/>
  <c r="J6074" i="56"/>
  <c r="J6075" i="56"/>
  <c r="J6076" i="56"/>
  <c r="J6077" i="56"/>
  <c r="J6078" i="56"/>
  <c r="J6079" i="56"/>
  <c r="J6080" i="56"/>
  <c r="J6081" i="56"/>
  <c r="J6082" i="56"/>
  <c r="J6083" i="56"/>
  <c r="J6084" i="56"/>
  <c r="J6085" i="56"/>
  <c r="J6086" i="56"/>
  <c r="J6087" i="56"/>
  <c r="J6088" i="56"/>
  <c r="J6089" i="56"/>
  <c r="J6090" i="56"/>
  <c r="J6091" i="56"/>
  <c r="J6092" i="56"/>
  <c r="J6093" i="56"/>
  <c r="J6094" i="56"/>
  <c r="H1807" i="56"/>
  <c r="H1808" i="56"/>
  <c r="H1809" i="56"/>
  <c r="H1810" i="56"/>
  <c r="H1811" i="56"/>
  <c r="H1812" i="56"/>
  <c r="H1813" i="56"/>
  <c r="H1814" i="56"/>
  <c r="H1815" i="56"/>
  <c r="H1816" i="56"/>
  <c r="H1817" i="56"/>
  <c r="H1818" i="56"/>
  <c r="H1819" i="56"/>
  <c r="H1820" i="56"/>
  <c r="H1821" i="56"/>
  <c r="H1822" i="56"/>
  <c r="H1823" i="56"/>
  <c r="H1824" i="56"/>
  <c r="H1825" i="56"/>
  <c r="H1826" i="56"/>
  <c r="H1827" i="56"/>
  <c r="H1828" i="56"/>
  <c r="H1829" i="56"/>
  <c r="H1830" i="56"/>
  <c r="H1831" i="56"/>
  <c r="H1832" i="56"/>
  <c r="H1833" i="56"/>
  <c r="H1834" i="56"/>
  <c r="H1835" i="56"/>
  <c r="H1836" i="56"/>
  <c r="H1837" i="56"/>
  <c r="H1838" i="56"/>
  <c r="H1839" i="56"/>
  <c r="H1840" i="56"/>
  <c r="H1841" i="56"/>
  <c r="H1842" i="56"/>
  <c r="H1843" i="56"/>
  <c r="H1844" i="56"/>
  <c r="H1845" i="56"/>
  <c r="H1846" i="56"/>
  <c r="H1847" i="56"/>
  <c r="H1848" i="56"/>
  <c r="H1849" i="56"/>
  <c r="H1850" i="56"/>
  <c r="H1851" i="56"/>
  <c r="H1852" i="56"/>
  <c r="H1853" i="56"/>
  <c r="H1854" i="56"/>
  <c r="H1855" i="56"/>
  <c r="H1856" i="56"/>
  <c r="H1857" i="56"/>
  <c r="H1858" i="56"/>
  <c r="H1859" i="56"/>
  <c r="H1860" i="56"/>
  <c r="H1861" i="56"/>
  <c r="H1862" i="56"/>
  <c r="H1863" i="56"/>
  <c r="H1864" i="56"/>
  <c r="H1865" i="56"/>
  <c r="H1866" i="56"/>
  <c r="H1867" i="56"/>
  <c r="H1868" i="56"/>
  <c r="H1869" i="56"/>
  <c r="H1870" i="56"/>
  <c r="H1871" i="56"/>
  <c r="H1872" i="56"/>
  <c r="H1873" i="56"/>
  <c r="H1874" i="56"/>
  <c r="H1875" i="56"/>
  <c r="H1876" i="56"/>
  <c r="H1877" i="56"/>
  <c r="H1878" i="56"/>
  <c r="H1879" i="56"/>
  <c r="H1880" i="56"/>
  <c r="H1881" i="56"/>
  <c r="H1882" i="56"/>
  <c r="H1883" i="56"/>
  <c r="H1884" i="56"/>
  <c r="H1885" i="56"/>
  <c r="H1886" i="56"/>
  <c r="H1887" i="56"/>
  <c r="H1888" i="56"/>
  <c r="H1889" i="56"/>
  <c r="H1890" i="56"/>
  <c r="H1891" i="56"/>
  <c r="H1892" i="56"/>
  <c r="H1893" i="56"/>
  <c r="H1894" i="56"/>
  <c r="H1895" i="56"/>
  <c r="H1896" i="56"/>
  <c r="H1897" i="56"/>
  <c r="H1898" i="56"/>
  <c r="H1899" i="56"/>
  <c r="H1900" i="56"/>
  <c r="H1901" i="56"/>
  <c r="H1902" i="56"/>
  <c r="H1903" i="56"/>
  <c r="H1904" i="56"/>
  <c r="H1905" i="56"/>
  <c r="H1906" i="56"/>
  <c r="H1907" i="56"/>
  <c r="H1908" i="56"/>
  <c r="H1909" i="56"/>
  <c r="H1910" i="56"/>
  <c r="H1911" i="56"/>
  <c r="H1912" i="56"/>
  <c r="H1913" i="56"/>
  <c r="H1914" i="56"/>
  <c r="H1915" i="56"/>
  <c r="H1916" i="56"/>
  <c r="H1917" i="56"/>
  <c r="H1918" i="56"/>
  <c r="H1919" i="56"/>
  <c r="H1920" i="56"/>
  <c r="H1921" i="56"/>
  <c r="H1922" i="56"/>
  <c r="H1923" i="56"/>
  <c r="H1924" i="56"/>
  <c r="H1925" i="56"/>
  <c r="H1926" i="56"/>
  <c r="H1927" i="56"/>
  <c r="H1928" i="56"/>
  <c r="H1929" i="56"/>
  <c r="H1930" i="56"/>
  <c r="H1931" i="56"/>
  <c r="H1932" i="56"/>
  <c r="H1933" i="56"/>
  <c r="H1934" i="56"/>
  <c r="H1935" i="56"/>
  <c r="H1936" i="56"/>
  <c r="H1937" i="56"/>
  <c r="H1938" i="56"/>
  <c r="H1939" i="56"/>
  <c r="H1940" i="56"/>
  <c r="H1941" i="56"/>
  <c r="H1942" i="56"/>
  <c r="H1943" i="56"/>
  <c r="H1944" i="56"/>
  <c r="H1945" i="56"/>
  <c r="H1946" i="56"/>
  <c r="H1947" i="56"/>
  <c r="H1948" i="56"/>
  <c r="H1949" i="56"/>
  <c r="H1950" i="56"/>
  <c r="H1951" i="56"/>
  <c r="H1952" i="56"/>
  <c r="H1953" i="56"/>
  <c r="H1954" i="56"/>
  <c r="H1955" i="56"/>
  <c r="H1956" i="56"/>
  <c r="H1957" i="56"/>
  <c r="H1958" i="56"/>
  <c r="H1959" i="56"/>
  <c r="H1960" i="56"/>
  <c r="H1961" i="56"/>
  <c r="H1962" i="56"/>
  <c r="H1963" i="56"/>
  <c r="H1964" i="56"/>
  <c r="H1965" i="56"/>
  <c r="H1966" i="56"/>
  <c r="H1967" i="56"/>
  <c r="H1968" i="56"/>
  <c r="H1969" i="56"/>
  <c r="H1970" i="56"/>
  <c r="H1971" i="56"/>
  <c r="H1972" i="56"/>
  <c r="H1973" i="56"/>
  <c r="H1974" i="56"/>
  <c r="H1975" i="56"/>
  <c r="H1976" i="56"/>
  <c r="H1977" i="56"/>
  <c r="H1978" i="56"/>
  <c r="H1979" i="56"/>
  <c r="H1980" i="56"/>
  <c r="H1981" i="56"/>
  <c r="H1982" i="56"/>
  <c r="H1983" i="56"/>
  <c r="H1984" i="56"/>
  <c r="H1985" i="56"/>
  <c r="H1986" i="56"/>
  <c r="H1987" i="56"/>
  <c r="H1988" i="56"/>
  <c r="H1989" i="56"/>
  <c r="H1990" i="56"/>
  <c r="H1991" i="56"/>
  <c r="H1992" i="56"/>
  <c r="H1993" i="56"/>
  <c r="H1994" i="56"/>
  <c r="H1995" i="56"/>
  <c r="H1996" i="56"/>
  <c r="H1997" i="56"/>
  <c r="H1998" i="56"/>
  <c r="H1999" i="56"/>
  <c r="H2000" i="56"/>
  <c r="H2001" i="56"/>
  <c r="H2002" i="56"/>
  <c r="H2003" i="56"/>
  <c r="H2004" i="56"/>
  <c r="H2005" i="56"/>
  <c r="H2006" i="56"/>
  <c r="H2007" i="56"/>
  <c r="H2008" i="56"/>
  <c r="H2009" i="56"/>
  <c r="H2010" i="56"/>
  <c r="H2011" i="56"/>
  <c r="H2012" i="56"/>
  <c r="H2013" i="56"/>
  <c r="H2014" i="56"/>
  <c r="H2015" i="56"/>
  <c r="H2016" i="56"/>
  <c r="H2017" i="56"/>
  <c r="H2018" i="56"/>
  <c r="H2019" i="56"/>
  <c r="H2020" i="56"/>
  <c r="H2021" i="56"/>
  <c r="H2022" i="56"/>
  <c r="H2023" i="56"/>
  <c r="H2024" i="56"/>
  <c r="H2025" i="56"/>
  <c r="H2026" i="56"/>
  <c r="H2027" i="56"/>
  <c r="H2028" i="56"/>
  <c r="H2029" i="56"/>
  <c r="H2030" i="56"/>
  <c r="H2031" i="56"/>
  <c r="H2032" i="56"/>
  <c r="H2033" i="56"/>
  <c r="H2034" i="56"/>
  <c r="H2035" i="56"/>
  <c r="H2036" i="56"/>
  <c r="H2037" i="56"/>
  <c r="H2038" i="56"/>
  <c r="H2039" i="56"/>
  <c r="H2040" i="56"/>
  <c r="H2041" i="56"/>
  <c r="H2042" i="56"/>
  <c r="H2043" i="56"/>
  <c r="H2044" i="56"/>
  <c r="H2045" i="56"/>
  <c r="H2046" i="56"/>
  <c r="H2047" i="56"/>
  <c r="H2048" i="56"/>
  <c r="H2049" i="56"/>
  <c r="H2050" i="56"/>
  <c r="H2051" i="56"/>
  <c r="H2052" i="56"/>
  <c r="H2053" i="56"/>
  <c r="H2054" i="56"/>
  <c r="H2055" i="56"/>
  <c r="H2056" i="56"/>
  <c r="H2057" i="56"/>
  <c r="H2058" i="56"/>
  <c r="H2059" i="56"/>
  <c r="H2060" i="56"/>
  <c r="H2061" i="56"/>
  <c r="H2062" i="56"/>
  <c r="H2063" i="56"/>
  <c r="H2064" i="56"/>
  <c r="H2065" i="56"/>
  <c r="H2066" i="56"/>
  <c r="H2067" i="56"/>
  <c r="H2068" i="56"/>
  <c r="H2069" i="56"/>
  <c r="H2070" i="56"/>
  <c r="H2071" i="56"/>
  <c r="H2072" i="56"/>
  <c r="H2073" i="56"/>
  <c r="H2074" i="56"/>
  <c r="H2075" i="56"/>
  <c r="H2076" i="56"/>
  <c r="H2077" i="56"/>
  <c r="H2078" i="56"/>
  <c r="H2079" i="56"/>
  <c r="H2080" i="56"/>
  <c r="H2081" i="56"/>
  <c r="H2082" i="56"/>
  <c r="H2083" i="56"/>
  <c r="H2084" i="56"/>
  <c r="H2085" i="56"/>
  <c r="H2086" i="56"/>
  <c r="H2087" i="56"/>
  <c r="H2088" i="56"/>
  <c r="H2089" i="56"/>
  <c r="H2090" i="56"/>
  <c r="H2091" i="56"/>
  <c r="H2092" i="56"/>
  <c r="H2093" i="56"/>
  <c r="H2094" i="56"/>
  <c r="H2095" i="56"/>
  <c r="H2096" i="56"/>
  <c r="H2097" i="56"/>
  <c r="H2098" i="56"/>
  <c r="H2099" i="56"/>
  <c r="H2100" i="56"/>
  <c r="H2101" i="56"/>
  <c r="H2102" i="56"/>
  <c r="H2103" i="56"/>
  <c r="H2104" i="56"/>
  <c r="H2105" i="56"/>
  <c r="H2106" i="56"/>
  <c r="H2107" i="56"/>
  <c r="H2108" i="56"/>
  <c r="H2109" i="56"/>
  <c r="H2110" i="56"/>
  <c r="H2111" i="56"/>
  <c r="H2112" i="56"/>
  <c r="H2113" i="56"/>
  <c r="H2114" i="56"/>
  <c r="H2115" i="56"/>
  <c r="H2116" i="56"/>
  <c r="H2117" i="56"/>
  <c r="H2118" i="56"/>
  <c r="H2119" i="56"/>
  <c r="H2120" i="56"/>
  <c r="H2121" i="56"/>
  <c r="H2122" i="56"/>
  <c r="H2123" i="56"/>
  <c r="H2124" i="56"/>
  <c r="H2125" i="56"/>
  <c r="H2126" i="56"/>
  <c r="H2127" i="56"/>
  <c r="H2128" i="56"/>
  <c r="H2129" i="56"/>
  <c r="H2130" i="56"/>
  <c r="H2131" i="56"/>
  <c r="H2132" i="56"/>
  <c r="H2133" i="56"/>
  <c r="H2134" i="56"/>
  <c r="H2135" i="56"/>
  <c r="H2136" i="56"/>
  <c r="H2137" i="56"/>
  <c r="H2138" i="56"/>
  <c r="H2139" i="56"/>
  <c r="H2140" i="56"/>
  <c r="H2141" i="56"/>
  <c r="H2142" i="56"/>
  <c r="H2143" i="56"/>
  <c r="H2144" i="56"/>
  <c r="H2145" i="56"/>
  <c r="H2146" i="56"/>
  <c r="H2147" i="56"/>
  <c r="H2148" i="56"/>
  <c r="H2149" i="56"/>
  <c r="H2150" i="56"/>
  <c r="H2151" i="56"/>
  <c r="H2152" i="56"/>
  <c r="H2153" i="56"/>
  <c r="H2154" i="56"/>
  <c r="H2155" i="56"/>
  <c r="H2156" i="56"/>
  <c r="H2157" i="56"/>
  <c r="H2158" i="56"/>
  <c r="H2159" i="56"/>
  <c r="H2160" i="56"/>
  <c r="H2161" i="56"/>
  <c r="H2162" i="56"/>
  <c r="H2163" i="56"/>
  <c r="H2164" i="56"/>
  <c r="H2165" i="56"/>
  <c r="H2166" i="56"/>
  <c r="H2167" i="56"/>
  <c r="H2168" i="56"/>
  <c r="H2169" i="56"/>
  <c r="H2170" i="56"/>
  <c r="H2171" i="56"/>
  <c r="H2172" i="56"/>
  <c r="H2173" i="56"/>
  <c r="H2174" i="56"/>
  <c r="H2175" i="56"/>
  <c r="H2176" i="56"/>
  <c r="H2177" i="56"/>
  <c r="H2178" i="56"/>
  <c r="H2179" i="56"/>
  <c r="H2180" i="56"/>
  <c r="H2181" i="56"/>
  <c r="H2182" i="56"/>
  <c r="H2183" i="56"/>
  <c r="H2184" i="56"/>
  <c r="H2185" i="56"/>
  <c r="H2186" i="56"/>
  <c r="H2187" i="56"/>
  <c r="H2188" i="56"/>
  <c r="H2189" i="56"/>
  <c r="H2190" i="56"/>
  <c r="H2191" i="56"/>
  <c r="H2192" i="56"/>
  <c r="H2193" i="56"/>
  <c r="H2194" i="56"/>
  <c r="H2195" i="56"/>
  <c r="H2196" i="56"/>
  <c r="H2197" i="56"/>
  <c r="H2198" i="56"/>
  <c r="H2199" i="56"/>
  <c r="H2200" i="56"/>
  <c r="H2201" i="56"/>
  <c r="H2202" i="56"/>
  <c r="H2203" i="56"/>
  <c r="H2204" i="56"/>
  <c r="H2205" i="56"/>
  <c r="H2206" i="56"/>
  <c r="H2207" i="56"/>
  <c r="H2208" i="56"/>
  <c r="H2209" i="56"/>
  <c r="H2210" i="56"/>
  <c r="H2211" i="56"/>
  <c r="H2212" i="56"/>
  <c r="H2213" i="56"/>
  <c r="H2214" i="56"/>
  <c r="H2215" i="56"/>
  <c r="H2216" i="56"/>
  <c r="H2217" i="56"/>
  <c r="H2218" i="56"/>
  <c r="H2219" i="56"/>
  <c r="H2220" i="56"/>
  <c r="H2221" i="56"/>
  <c r="H2222" i="56"/>
  <c r="H2223" i="56"/>
  <c r="H2224" i="56"/>
  <c r="H2225" i="56"/>
  <c r="H2226" i="56"/>
  <c r="H2227" i="56"/>
  <c r="H2228" i="56"/>
  <c r="H2229" i="56"/>
  <c r="H2230" i="56"/>
  <c r="H2231" i="56"/>
  <c r="H2232" i="56"/>
  <c r="H2233" i="56"/>
  <c r="H2234" i="56"/>
  <c r="H2235" i="56"/>
  <c r="H2236" i="56"/>
  <c r="H2237" i="56"/>
  <c r="H2238" i="56"/>
  <c r="H2239" i="56"/>
  <c r="H2240" i="56"/>
  <c r="H2241" i="56"/>
  <c r="H2242" i="56"/>
  <c r="H2243" i="56"/>
  <c r="H2244" i="56"/>
  <c r="H2245" i="56"/>
  <c r="H2246" i="56"/>
  <c r="H2247" i="56"/>
  <c r="H2248" i="56"/>
  <c r="H2249" i="56"/>
  <c r="H2250" i="56"/>
  <c r="H2251" i="56"/>
  <c r="H2252" i="56"/>
  <c r="H2253" i="56"/>
  <c r="H2254" i="56"/>
  <c r="H2255" i="56"/>
  <c r="H2256" i="56"/>
  <c r="H2257" i="56"/>
  <c r="H2258" i="56"/>
  <c r="H2259" i="56"/>
  <c r="H2260" i="56"/>
  <c r="H2261" i="56"/>
  <c r="H2262" i="56"/>
  <c r="H2263" i="56"/>
  <c r="H2264" i="56"/>
  <c r="H2265" i="56"/>
  <c r="H2266" i="56"/>
  <c r="H2267" i="56"/>
  <c r="H2268" i="56"/>
  <c r="H2269" i="56"/>
  <c r="H2270" i="56"/>
  <c r="H2271" i="56"/>
  <c r="H2272" i="56"/>
  <c r="H2273" i="56"/>
  <c r="H2274" i="56"/>
  <c r="H2275" i="56"/>
  <c r="H2276" i="56"/>
  <c r="H2277" i="56"/>
  <c r="H2278" i="56"/>
  <c r="H2279" i="56"/>
  <c r="H2280" i="56"/>
  <c r="H2281" i="56"/>
  <c r="H2282" i="56"/>
  <c r="H2283" i="56"/>
  <c r="H2284" i="56"/>
  <c r="H2285" i="56"/>
  <c r="H2286" i="56"/>
  <c r="H2287" i="56"/>
  <c r="H2288" i="56"/>
  <c r="H2289" i="56"/>
  <c r="H2290" i="56"/>
  <c r="H2291" i="56"/>
  <c r="H2292" i="56"/>
  <c r="H2293" i="56"/>
  <c r="H2294" i="56"/>
  <c r="H2295" i="56"/>
  <c r="H2296" i="56"/>
  <c r="H2297" i="56"/>
  <c r="H2298" i="56"/>
  <c r="H2299" i="56"/>
  <c r="H2300" i="56"/>
  <c r="H2301" i="56"/>
  <c r="H2302" i="56"/>
  <c r="H2303" i="56"/>
  <c r="H2304" i="56"/>
  <c r="H2305" i="56"/>
  <c r="H2306" i="56"/>
  <c r="H2307" i="56"/>
  <c r="H2308" i="56"/>
  <c r="H2309" i="56"/>
  <c r="H2310" i="56"/>
  <c r="H2311" i="56"/>
  <c r="H2312" i="56"/>
  <c r="H2313" i="56"/>
  <c r="H2314" i="56"/>
  <c r="H2315" i="56"/>
  <c r="H2316" i="56"/>
  <c r="H2317" i="56"/>
  <c r="H2318" i="56"/>
  <c r="H2319" i="56"/>
  <c r="H2320" i="56"/>
  <c r="H2321" i="56"/>
  <c r="H2322" i="56"/>
  <c r="H2323" i="56"/>
  <c r="H2324" i="56"/>
  <c r="H2325" i="56"/>
  <c r="H2326" i="56"/>
  <c r="H2327" i="56"/>
  <c r="H2328" i="56"/>
  <c r="H2329" i="56"/>
  <c r="H2330" i="56"/>
  <c r="H2331" i="56"/>
  <c r="H2332" i="56"/>
  <c r="H2333" i="56"/>
  <c r="H2334" i="56"/>
  <c r="H2335" i="56"/>
  <c r="H2336" i="56"/>
  <c r="H2337" i="56"/>
  <c r="H2338" i="56"/>
  <c r="H2339" i="56"/>
  <c r="H2340" i="56"/>
  <c r="H2341" i="56"/>
  <c r="H2342" i="56"/>
  <c r="H2343" i="56"/>
  <c r="H2344" i="56"/>
  <c r="H2345" i="56"/>
  <c r="H2346" i="56"/>
  <c r="H2347" i="56"/>
  <c r="H2348" i="56"/>
  <c r="H2349" i="56"/>
  <c r="H2350" i="56"/>
  <c r="H2351" i="56"/>
  <c r="H2352" i="56"/>
  <c r="H2353" i="56"/>
  <c r="H2354" i="56"/>
  <c r="H2355" i="56"/>
  <c r="H2356" i="56"/>
  <c r="H2357" i="56"/>
  <c r="H2358" i="56"/>
  <c r="H2359" i="56"/>
  <c r="H2360" i="56"/>
  <c r="H2361" i="56"/>
  <c r="H2362" i="56"/>
  <c r="H2363" i="56"/>
  <c r="H2364" i="56"/>
  <c r="H2365" i="56"/>
  <c r="H2366" i="56"/>
  <c r="H2367" i="56"/>
  <c r="H2368" i="56"/>
  <c r="H2369" i="56"/>
  <c r="H2370" i="56"/>
  <c r="H2371" i="56"/>
  <c r="H2372" i="56"/>
  <c r="H2373" i="56"/>
  <c r="H2374" i="56"/>
  <c r="H2375" i="56"/>
  <c r="H2376" i="56"/>
  <c r="H2377" i="56"/>
  <c r="H2378" i="56"/>
  <c r="H2379" i="56"/>
  <c r="H2380" i="56"/>
  <c r="H2381" i="56"/>
  <c r="H2382" i="56"/>
  <c r="H2383" i="56"/>
  <c r="H2384" i="56"/>
  <c r="H2385" i="56"/>
  <c r="H2386" i="56"/>
  <c r="H2387" i="56"/>
  <c r="H2388" i="56"/>
  <c r="H2389" i="56"/>
  <c r="H2390" i="56"/>
  <c r="H2391" i="56"/>
  <c r="H2392" i="56"/>
  <c r="H2393" i="56"/>
  <c r="H2394" i="56"/>
  <c r="H2395" i="56"/>
  <c r="H2396" i="56"/>
  <c r="H2397" i="56"/>
  <c r="H2398" i="56"/>
  <c r="H2399" i="56"/>
  <c r="H2400" i="56"/>
  <c r="H2401" i="56"/>
  <c r="H2402" i="56"/>
  <c r="H2403" i="56"/>
  <c r="H2404" i="56"/>
  <c r="H2405" i="56"/>
  <c r="H2406" i="56"/>
  <c r="H2407" i="56"/>
  <c r="H2408" i="56"/>
  <c r="H2409" i="56"/>
  <c r="H2410" i="56"/>
  <c r="H2411" i="56"/>
  <c r="H2412" i="56"/>
  <c r="H2413" i="56"/>
  <c r="H2414" i="56"/>
  <c r="H2415" i="56"/>
  <c r="H2416" i="56"/>
  <c r="H2417" i="56"/>
  <c r="H2418" i="56"/>
  <c r="H2419" i="56"/>
  <c r="H2420" i="56"/>
  <c r="H2421" i="56"/>
  <c r="H2422" i="56"/>
  <c r="H2423" i="56"/>
  <c r="H2424" i="56"/>
  <c r="H2425" i="56"/>
  <c r="H2426" i="56"/>
  <c r="H2427" i="56"/>
  <c r="H2428" i="56"/>
  <c r="H2429" i="56"/>
  <c r="H2430" i="56"/>
  <c r="H2431" i="56"/>
  <c r="H2432" i="56"/>
  <c r="H2433" i="56"/>
  <c r="H2434" i="56"/>
  <c r="H2435" i="56"/>
  <c r="H2436" i="56"/>
  <c r="H2437" i="56"/>
  <c r="H2438" i="56"/>
  <c r="H2439" i="56"/>
  <c r="H2440" i="56"/>
  <c r="H2441" i="56"/>
  <c r="H2442" i="56"/>
  <c r="H2443" i="56"/>
  <c r="H2444" i="56"/>
  <c r="H2445" i="56"/>
  <c r="H2446" i="56"/>
  <c r="H2447" i="56"/>
  <c r="H2448" i="56"/>
  <c r="H2449" i="56"/>
  <c r="H2450" i="56"/>
  <c r="H2451" i="56"/>
  <c r="H2452" i="56"/>
  <c r="H2453" i="56"/>
  <c r="H2454" i="56"/>
  <c r="H2455" i="56"/>
  <c r="H2456" i="56"/>
  <c r="H2457" i="56"/>
  <c r="H2458" i="56"/>
  <c r="H2459" i="56"/>
  <c r="H2460" i="56"/>
  <c r="H2461" i="56"/>
  <c r="H2462" i="56"/>
  <c r="H2463" i="56"/>
  <c r="H2464" i="56"/>
  <c r="H2465" i="56"/>
  <c r="H2466" i="56"/>
  <c r="H2467" i="56"/>
  <c r="H2468" i="56"/>
  <c r="H2469" i="56"/>
  <c r="H2470" i="56"/>
  <c r="H2471" i="56"/>
  <c r="H2472" i="56"/>
  <c r="H2473" i="56"/>
  <c r="H2474" i="56"/>
  <c r="H2475" i="56"/>
  <c r="H2476" i="56"/>
  <c r="H2477" i="56"/>
  <c r="H2478" i="56"/>
  <c r="H2479" i="56"/>
  <c r="H2480" i="56"/>
  <c r="H2481" i="56"/>
  <c r="H2482" i="56"/>
  <c r="H2483" i="56"/>
  <c r="H2484" i="56"/>
  <c r="H2485" i="56"/>
  <c r="H2486" i="56"/>
  <c r="H2487" i="56"/>
  <c r="H2488" i="56"/>
  <c r="H2489" i="56"/>
  <c r="H2490" i="56"/>
  <c r="H2491" i="56"/>
  <c r="H2492" i="56"/>
  <c r="H2493" i="56"/>
  <c r="H2494" i="56"/>
  <c r="H2495" i="56"/>
  <c r="H2496" i="56"/>
  <c r="H2497" i="56"/>
  <c r="H2498" i="56"/>
  <c r="H2499" i="56"/>
  <c r="H2500" i="56"/>
  <c r="H2501" i="56"/>
  <c r="H2502" i="56"/>
  <c r="H2503" i="56"/>
  <c r="H2504" i="56"/>
  <c r="H2505" i="56"/>
  <c r="H2506" i="56"/>
  <c r="H2507" i="56"/>
  <c r="H2508" i="56"/>
  <c r="H2509" i="56"/>
  <c r="H2510" i="56"/>
  <c r="H2511" i="56"/>
  <c r="H2512" i="56"/>
  <c r="H2513" i="56"/>
  <c r="H2514" i="56"/>
  <c r="H2515" i="56"/>
  <c r="H2516" i="56"/>
  <c r="H2517" i="56"/>
  <c r="H2518" i="56"/>
  <c r="H2519" i="56"/>
  <c r="H2520" i="56"/>
  <c r="H2521" i="56"/>
  <c r="H2522" i="56"/>
  <c r="H2523" i="56"/>
  <c r="H2524" i="56"/>
  <c r="H2525" i="56"/>
  <c r="H2526" i="56"/>
  <c r="H2527" i="56"/>
  <c r="H2528" i="56"/>
  <c r="H2529" i="56"/>
  <c r="H2530" i="56"/>
  <c r="H2531" i="56"/>
  <c r="H2532" i="56"/>
  <c r="H2533" i="56"/>
  <c r="H2534" i="56"/>
  <c r="H2535" i="56"/>
  <c r="H2536" i="56"/>
  <c r="H2537" i="56"/>
  <c r="H2538" i="56"/>
  <c r="H2539" i="56"/>
  <c r="H2540" i="56"/>
  <c r="H2541" i="56"/>
  <c r="H2542" i="56"/>
  <c r="H2543" i="56"/>
  <c r="H2544" i="56"/>
  <c r="H2545" i="56"/>
  <c r="H2546" i="56"/>
  <c r="H2547" i="56"/>
  <c r="H2548" i="56"/>
  <c r="H2549" i="56"/>
  <c r="H2550" i="56"/>
  <c r="H2551" i="56"/>
  <c r="H2552" i="56"/>
  <c r="H2553" i="56"/>
  <c r="H2554" i="56"/>
  <c r="H2555" i="56"/>
  <c r="H2556" i="56"/>
  <c r="H2557" i="56"/>
  <c r="H2558" i="56"/>
  <c r="H2559" i="56"/>
  <c r="H2560" i="56"/>
  <c r="H2561" i="56"/>
  <c r="H2562" i="56"/>
  <c r="H2563" i="56"/>
  <c r="H2564" i="56"/>
  <c r="H2565" i="56"/>
  <c r="H2566" i="56"/>
  <c r="H2567" i="56"/>
  <c r="H2568" i="56"/>
  <c r="H2569" i="56"/>
  <c r="H2570" i="56"/>
  <c r="H2571" i="56"/>
  <c r="H2572" i="56"/>
  <c r="H2573" i="56"/>
  <c r="H2574" i="56"/>
  <c r="H2575" i="56"/>
  <c r="H2576" i="56"/>
  <c r="H2577" i="56"/>
  <c r="H2578" i="56"/>
  <c r="H2579" i="56"/>
  <c r="H2580" i="56"/>
  <c r="H2581" i="56"/>
  <c r="H2582" i="56"/>
  <c r="H2583" i="56"/>
  <c r="H2584" i="56"/>
  <c r="H2585" i="56"/>
  <c r="H2586" i="56"/>
  <c r="H2587" i="56"/>
  <c r="H2588" i="56"/>
  <c r="H2589" i="56"/>
  <c r="H2590" i="56"/>
  <c r="H2591" i="56"/>
  <c r="H2592" i="56"/>
  <c r="H2593" i="56"/>
  <c r="H2594" i="56"/>
  <c r="H2595" i="56"/>
  <c r="H2596" i="56"/>
  <c r="H2597" i="56"/>
  <c r="H2598" i="56"/>
  <c r="H2599" i="56"/>
  <c r="H2600" i="56"/>
  <c r="H2601" i="56"/>
  <c r="H2602" i="56"/>
  <c r="H2603" i="56"/>
  <c r="H2604" i="56"/>
  <c r="H2605" i="56"/>
  <c r="H2606" i="56"/>
  <c r="H2607" i="56"/>
  <c r="H2608" i="56"/>
  <c r="H2609" i="56"/>
  <c r="H2610" i="56"/>
  <c r="H2611" i="56"/>
  <c r="H2612" i="56"/>
  <c r="H2613" i="56"/>
  <c r="H2614" i="56"/>
  <c r="H2615" i="56"/>
  <c r="H2616" i="56"/>
  <c r="H2617" i="56"/>
  <c r="H2618" i="56"/>
  <c r="H2619" i="56"/>
  <c r="H2620" i="56"/>
  <c r="H2621" i="56"/>
  <c r="H2622" i="56"/>
  <c r="H2623" i="56"/>
  <c r="H2624" i="56"/>
  <c r="H2625" i="56"/>
  <c r="H2626" i="56"/>
  <c r="H2627" i="56"/>
  <c r="H2628" i="56"/>
  <c r="H2629" i="56"/>
  <c r="H2630" i="56"/>
  <c r="H2631" i="56"/>
  <c r="H2632" i="56"/>
  <c r="H2633" i="56"/>
  <c r="H2634" i="56"/>
  <c r="H2635" i="56"/>
  <c r="H2636" i="56"/>
  <c r="H2637" i="56"/>
  <c r="H2638" i="56"/>
  <c r="H2639" i="56"/>
  <c r="H2640" i="56"/>
  <c r="H2641" i="56"/>
  <c r="H2642" i="56"/>
  <c r="H2643" i="56"/>
  <c r="H2644" i="56"/>
  <c r="H2645" i="56"/>
  <c r="H2646" i="56"/>
  <c r="H2647" i="56"/>
  <c r="H2648" i="56"/>
  <c r="H2649" i="56"/>
  <c r="H2650" i="56"/>
  <c r="H2651" i="56"/>
  <c r="H2652" i="56"/>
  <c r="H2653" i="56"/>
  <c r="H2654" i="56"/>
  <c r="H2655" i="56"/>
  <c r="H2656" i="56"/>
  <c r="H2657" i="56"/>
  <c r="H2658" i="56"/>
  <c r="H2659" i="56"/>
  <c r="H2660" i="56"/>
  <c r="H2661" i="56"/>
  <c r="H2662" i="56"/>
  <c r="H2663" i="56"/>
  <c r="H2664" i="56"/>
  <c r="H2665" i="56"/>
  <c r="H2666" i="56"/>
  <c r="H2667" i="56"/>
  <c r="H2668" i="56"/>
  <c r="H2669" i="56"/>
  <c r="H2670" i="56"/>
  <c r="H2671" i="56"/>
  <c r="H2672" i="56"/>
  <c r="H2673" i="56"/>
  <c r="H2674" i="56"/>
  <c r="H2675" i="56"/>
  <c r="H2676" i="56"/>
  <c r="H2677" i="56"/>
  <c r="H2678" i="56"/>
  <c r="H2679" i="56"/>
  <c r="H2680" i="56"/>
  <c r="H2681" i="56"/>
  <c r="H2682" i="56"/>
  <c r="H2683" i="56"/>
  <c r="H2684" i="56"/>
  <c r="H2685" i="56"/>
  <c r="H2686" i="56"/>
  <c r="H2687" i="56"/>
  <c r="H2688" i="56"/>
  <c r="H2689" i="56"/>
  <c r="H2690" i="56"/>
  <c r="H2691" i="56"/>
  <c r="H2692" i="56"/>
  <c r="H2693" i="56"/>
  <c r="H2694" i="56"/>
  <c r="H2695" i="56"/>
  <c r="H2696" i="56"/>
  <c r="H2697" i="56"/>
  <c r="H2698" i="56"/>
  <c r="H2699" i="56"/>
  <c r="H2700" i="56"/>
  <c r="H2701" i="56"/>
  <c r="H2702" i="56"/>
  <c r="H2703" i="56"/>
  <c r="H2704" i="56"/>
  <c r="H2705" i="56"/>
  <c r="H2706" i="56"/>
  <c r="H2707" i="56"/>
  <c r="H2708" i="56"/>
  <c r="H2709" i="56"/>
  <c r="H2710" i="56"/>
  <c r="H2711" i="56"/>
  <c r="H2712" i="56"/>
  <c r="H2713" i="56"/>
  <c r="H2714" i="56"/>
  <c r="H2715" i="56"/>
  <c r="H2716" i="56"/>
  <c r="H2717" i="56"/>
  <c r="H2718" i="56"/>
  <c r="H2719" i="56"/>
  <c r="H2720" i="56"/>
  <c r="H2721" i="56"/>
  <c r="H2722" i="56"/>
  <c r="H2723" i="56"/>
  <c r="H2724" i="56"/>
  <c r="H2725" i="56"/>
  <c r="H2726" i="56"/>
  <c r="H2727" i="56"/>
  <c r="H2728" i="56"/>
  <c r="H2729" i="56"/>
  <c r="H2730" i="56"/>
  <c r="H2731" i="56"/>
  <c r="H2732" i="56"/>
  <c r="H2733" i="56"/>
  <c r="H2734" i="56"/>
  <c r="H2735" i="56"/>
  <c r="H2736" i="56"/>
  <c r="H2737" i="56"/>
  <c r="H2738" i="56"/>
  <c r="H2739" i="56"/>
  <c r="H2740" i="56"/>
  <c r="H2741" i="56"/>
  <c r="H2742" i="56"/>
  <c r="H2743" i="56"/>
  <c r="H2744" i="56"/>
  <c r="H2745" i="56"/>
  <c r="H2746" i="56"/>
  <c r="H2747" i="56"/>
  <c r="H2748" i="56"/>
  <c r="H2749" i="56"/>
  <c r="H2750" i="56"/>
  <c r="H2751" i="56"/>
  <c r="H2752" i="56"/>
  <c r="H2753" i="56"/>
  <c r="H2754" i="56"/>
  <c r="H2755" i="56"/>
  <c r="H2756" i="56"/>
  <c r="H2757" i="56"/>
  <c r="H2758" i="56"/>
  <c r="H2759" i="56"/>
  <c r="H2760" i="56"/>
  <c r="H2761" i="56"/>
  <c r="H2762" i="56"/>
  <c r="H2763" i="56"/>
  <c r="H2764" i="56"/>
  <c r="H2765" i="56"/>
  <c r="H2766" i="56"/>
  <c r="H2767" i="56"/>
  <c r="H2768" i="56"/>
  <c r="H2769" i="56"/>
  <c r="H2770" i="56"/>
  <c r="H2771" i="56"/>
  <c r="H2772" i="56"/>
  <c r="H2773" i="56"/>
  <c r="H2774" i="56"/>
  <c r="H2775" i="56"/>
  <c r="H2776" i="56"/>
  <c r="H2777" i="56"/>
  <c r="H2778" i="56"/>
  <c r="H2779" i="56"/>
  <c r="H2780" i="56"/>
  <c r="H2781" i="56"/>
  <c r="H2782" i="56"/>
  <c r="H2783" i="56"/>
  <c r="H2784" i="56"/>
  <c r="H2785" i="56"/>
  <c r="H2786" i="56"/>
  <c r="H2787" i="56"/>
  <c r="H2788" i="56"/>
  <c r="H2789" i="56"/>
  <c r="H2790" i="56"/>
  <c r="H2791" i="56"/>
  <c r="H2792" i="56"/>
  <c r="H2793" i="56"/>
  <c r="H2794" i="56"/>
  <c r="H2795" i="56"/>
  <c r="H2796" i="56"/>
  <c r="H2797" i="56"/>
  <c r="H2798" i="56"/>
  <c r="H2799" i="56"/>
  <c r="H2800" i="56"/>
  <c r="H2801" i="56"/>
  <c r="H2802" i="56"/>
  <c r="H2803" i="56"/>
  <c r="H2804" i="56"/>
  <c r="H2805" i="56"/>
  <c r="H2806" i="56"/>
  <c r="H2807" i="56"/>
  <c r="H2808" i="56"/>
  <c r="H2809" i="56"/>
  <c r="H2810" i="56"/>
  <c r="H2811" i="56"/>
  <c r="H2812" i="56"/>
  <c r="H2813" i="56"/>
  <c r="H2814" i="56"/>
  <c r="H2815" i="56"/>
  <c r="H2816" i="56"/>
  <c r="H2817" i="56"/>
  <c r="H2818" i="56"/>
  <c r="H2819" i="56"/>
  <c r="H2820" i="56"/>
  <c r="H2821" i="56"/>
  <c r="H2822" i="56"/>
  <c r="H2823" i="56"/>
  <c r="H2824" i="56"/>
  <c r="H2825" i="56"/>
  <c r="H2826" i="56"/>
  <c r="H2827" i="56"/>
  <c r="H2828" i="56"/>
  <c r="H2829" i="56"/>
  <c r="H2830" i="56"/>
  <c r="H2831" i="56"/>
  <c r="H2832" i="56"/>
  <c r="H2833" i="56"/>
  <c r="H2834" i="56"/>
  <c r="H2835" i="56"/>
  <c r="H2836" i="56"/>
  <c r="H2837" i="56"/>
  <c r="H2838" i="56"/>
  <c r="H2839" i="56"/>
  <c r="H2840" i="56"/>
  <c r="H2841" i="56"/>
  <c r="H2842" i="56"/>
  <c r="H2843" i="56"/>
  <c r="H2844" i="56"/>
  <c r="H2845" i="56"/>
  <c r="H2846" i="56"/>
  <c r="H2847" i="56"/>
  <c r="H2848" i="56"/>
  <c r="H2849" i="56"/>
  <c r="H2850" i="56"/>
  <c r="H2851" i="56"/>
  <c r="H2852" i="56"/>
  <c r="H2853" i="56"/>
  <c r="H2854" i="56"/>
  <c r="H2855" i="56"/>
  <c r="H2856" i="56"/>
  <c r="H2857" i="56"/>
  <c r="H2858" i="56"/>
  <c r="H2859" i="56"/>
  <c r="H2860" i="56"/>
  <c r="H2861" i="56"/>
  <c r="H2862" i="56"/>
  <c r="H2863" i="56"/>
  <c r="H2864" i="56"/>
  <c r="H2865" i="56"/>
  <c r="H2866" i="56"/>
  <c r="H2867" i="56"/>
  <c r="H2868" i="56"/>
  <c r="H2869" i="56"/>
  <c r="H2870" i="56"/>
  <c r="H2871" i="56"/>
  <c r="H2872" i="56"/>
  <c r="H2873" i="56"/>
  <c r="H2874" i="56"/>
  <c r="H2875" i="56"/>
  <c r="H2876" i="56"/>
  <c r="H2877" i="56"/>
  <c r="H2878" i="56"/>
  <c r="H2879" i="56"/>
  <c r="H2880" i="56"/>
  <c r="H2881" i="56"/>
  <c r="H2882" i="56"/>
  <c r="H2883" i="56"/>
  <c r="H2884" i="56"/>
  <c r="H2885" i="56"/>
  <c r="H2886" i="56"/>
  <c r="H2887" i="56"/>
  <c r="H2888" i="56"/>
  <c r="H2889" i="56"/>
  <c r="H2890" i="56"/>
  <c r="H2891" i="56"/>
  <c r="H2892" i="56"/>
  <c r="H2893" i="56"/>
  <c r="H2894" i="56"/>
  <c r="H2895" i="56"/>
  <c r="H2896" i="56"/>
  <c r="H2897" i="56"/>
  <c r="H2898" i="56"/>
  <c r="H2899" i="56"/>
  <c r="H2900" i="56"/>
  <c r="H2901" i="56"/>
  <c r="H2902" i="56"/>
  <c r="H2903" i="56"/>
  <c r="H2904" i="56"/>
  <c r="H2905" i="56"/>
  <c r="H2906" i="56"/>
  <c r="H2907" i="56"/>
  <c r="H2908" i="56"/>
  <c r="H2909" i="56"/>
  <c r="H2910" i="56"/>
  <c r="H2911" i="56"/>
  <c r="H2912" i="56"/>
  <c r="H2913" i="56"/>
  <c r="H2914" i="56"/>
  <c r="H2915" i="56"/>
  <c r="H2916" i="56"/>
  <c r="H2917" i="56"/>
  <c r="H2918" i="56"/>
  <c r="H2919" i="56"/>
  <c r="H2920" i="56"/>
  <c r="H2921" i="56"/>
  <c r="H2922" i="56"/>
  <c r="H2923" i="56"/>
  <c r="H2924" i="56"/>
  <c r="H2925" i="56"/>
  <c r="H2926" i="56"/>
  <c r="H2927" i="56"/>
  <c r="H2928" i="56"/>
  <c r="H2929" i="56"/>
  <c r="H2930" i="56"/>
  <c r="H2931" i="56"/>
  <c r="H2932" i="56"/>
  <c r="H2933" i="56"/>
  <c r="H2934" i="56"/>
  <c r="H2935" i="56"/>
  <c r="H2936" i="56"/>
  <c r="H2937" i="56"/>
  <c r="H2938" i="56"/>
  <c r="H2939" i="56"/>
  <c r="H2940" i="56"/>
  <c r="H2941" i="56"/>
  <c r="H2942" i="56"/>
  <c r="H2943" i="56"/>
  <c r="H2944" i="56"/>
  <c r="H2945" i="56"/>
  <c r="H2946" i="56"/>
  <c r="H2947" i="56"/>
  <c r="H2948" i="56"/>
  <c r="H2949" i="56"/>
  <c r="H2950" i="56"/>
  <c r="H2951" i="56"/>
  <c r="H2952" i="56"/>
  <c r="H2953" i="56"/>
  <c r="H2954" i="56"/>
  <c r="H2955" i="56"/>
  <c r="H2956" i="56"/>
  <c r="H2957" i="56"/>
  <c r="H2958" i="56"/>
  <c r="H2959" i="56"/>
  <c r="H2960" i="56"/>
  <c r="H2961" i="56"/>
  <c r="H2962" i="56"/>
  <c r="H2963" i="56"/>
  <c r="H2964" i="56"/>
  <c r="H2965" i="56"/>
  <c r="H2966" i="56"/>
  <c r="H2967" i="56"/>
  <c r="H2968" i="56"/>
  <c r="H2969" i="56"/>
  <c r="H2970" i="56"/>
  <c r="H2971" i="56"/>
  <c r="H2972" i="56"/>
  <c r="H2973" i="56"/>
  <c r="H2974" i="56"/>
  <c r="H2975" i="56"/>
  <c r="H2976" i="56"/>
  <c r="H2977" i="56"/>
  <c r="H2978" i="56"/>
  <c r="H2979" i="56"/>
  <c r="H2980" i="56"/>
  <c r="H2981" i="56"/>
  <c r="H2982" i="56"/>
  <c r="H2983" i="56"/>
  <c r="H2984" i="56"/>
  <c r="H2985" i="56"/>
  <c r="H2986" i="56"/>
  <c r="H2987" i="56"/>
  <c r="H2988" i="56"/>
  <c r="H2989" i="56"/>
  <c r="H2990" i="56"/>
  <c r="H2991" i="56"/>
  <c r="H2992" i="56"/>
  <c r="H2993" i="56"/>
  <c r="H2994" i="56"/>
  <c r="H2995" i="56"/>
  <c r="H2996" i="56"/>
  <c r="H2997" i="56"/>
  <c r="H2998" i="56"/>
  <c r="H2999" i="56"/>
  <c r="H3000" i="56"/>
  <c r="H3001" i="56"/>
  <c r="H3002" i="56"/>
  <c r="H3003" i="56"/>
  <c r="H3004" i="56"/>
  <c r="H3005" i="56"/>
  <c r="H3006" i="56"/>
  <c r="H3007" i="56"/>
  <c r="H3008" i="56"/>
  <c r="H3009" i="56"/>
  <c r="H3010" i="56"/>
  <c r="H3011" i="56"/>
  <c r="H3012" i="56"/>
  <c r="H3013" i="56"/>
  <c r="H3014" i="56"/>
  <c r="H3015" i="56"/>
  <c r="H3016" i="56"/>
  <c r="H3017" i="56"/>
  <c r="H3018" i="56"/>
  <c r="H3019" i="56"/>
  <c r="H3020" i="56"/>
  <c r="H3021" i="56"/>
  <c r="H3022" i="56"/>
  <c r="H3023" i="56"/>
  <c r="H3024" i="56"/>
  <c r="H3025" i="56"/>
  <c r="H3026" i="56"/>
  <c r="H3027" i="56"/>
  <c r="H3028" i="56"/>
  <c r="H3029" i="56"/>
  <c r="H3030" i="56"/>
  <c r="H3031" i="56"/>
  <c r="H3032" i="56"/>
  <c r="H3033" i="56"/>
  <c r="H3034" i="56"/>
  <c r="H3035" i="56"/>
  <c r="H3036" i="56"/>
  <c r="H3037" i="56"/>
  <c r="H3038" i="56"/>
  <c r="H3039" i="56"/>
  <c r="H3040" i="56"/>
  <c r="H3041" i="56"/>
  <c r="H3042" i="56"/>
  <c r="H3043" i="56"/>
  <c r="H3044" i="56"/>
  <c r="H3045" i="56"/>
  <c r="H3046" i="56"/>
  <c r="H3047" i="56"/>
  <c r="H3048" i="56"/>
  <c r="H3049" i="56"/>
  <c r="H3050" i="56"/>
  <c r="H3051" i="56"/>
  <c r="H3052" i="56"/>
  <c r="H3053" i="56"/>
  <c r="H3054" i="56"/>
  <c r="H3055" i="56"/>
  <c r="H3056" i="56"/>
  <c r="H3057" i="56"/>
  <c r="H3058" i="56"/>
  <c r="H3059" i="56"/>
  <c r="H3060" i="56"/>
  <c r="H3061" i="56"/>
  <c r="H3062" i="56"/>
  <c r="H3063" i="56"/>
  <c r="H3064" i="56"/>
  <c r="H3065" i="56"/>
  <c r="H3066" i="56"/>
  <c r="H3067" i="56"/>
  <c r="H3068" i="56"/>
  <c r="H3069" i="56"/>
  <c r="H3070" i="56"/>
  <c r="H3071" i="56"/>
  <c r="H3072" i="56"/>
  <c r="H3073" i="56"/>
  <c r="H3074" i="56"/>
  <c r="H3075" i="56"/>
  <c r="H3076" i="56"/>
  <c r="H3077" i="56"/>
  <c r="H3078" i="56"/>
  <c r="H3079" i="56"/>
  <c r="H3080" i="56"/>
  <c r="H3081" i="56"/>
  <c r="H3082" i="56"/>
  <c r="H3083" i="56"/>
  <c r="H3084" i="56"/>
  <c r="H3085" i="56"/>
  <c r="H3086" i="56"/>
  <c r="H3087" i="56"/>
  <c r="H3088" i="56"/>
  <c r="H3089" i="56"/>
  <c r="H3090" i="56"/>
  <c r="H3091" i="56"/>
  <c r="H3092" i="56"/>
  <c r="H3093" i="56"/>
  <c r="H3094" i="56"/>
  <c r="H3095" i="56"/>
  <c r="H3096" i="56"/>
  <c r="H3097" i="56"/>
  <c r="H3098" i="56"/>
  <c r="H3099" i="56"/>
  <c r="H3100" i="56"/>
  <c r="H3101" i="56"/>
  <c r="H3102" i="56"/>
  <c r="H3103" i="56"/>
  <c r="H3104" i="56"/>
  <c r="H3105" i="56"/>
  <c r="H3106" i="56"/>
  <c r="H3107" i="56"/>
  <c r="H3108" i="56"/>
  <c r="H3109" i="56"/>
  <c r="H3110" i="56"/>
  <c r="H3111" i="56"/>
  <c r="H3112" i="56"/>
  <c r="H3113" i="56"/>
  <c r="H3114" i="56"/>
  <c r="H3115" i="56"/>
  <c r="H3116" i="56"/>
  <c r="H3117" i="56"/>
  <c r="H3118" i="56"/>
  <c r="H3119" i="56"/>
  <c r="H3120" i="56"/>
  <c r="H3121" i="56"/>
  <c r="H3122" i="56"/>
  <c r="H3123" i="56"/>
  <c r="H3124" i="56"/>
  <c r="H3125" i="56"/>
  <c r="H3126" i="56"/>
  <c r="H3127" i="56"/>
  <c r="H3128" i="56"/>
  <c r="H3129" i="56"/>
  <c r="H3130" i="56"/>
  <c r="H3131" i="56"/>
  <c r="H3132" i="56"/>
  <c r="H3133" i="56"/>
  <c r="H3134" i="56"/>
  <c r="H3135" i="56"/>
  <c r="H3136" i="56"/>
  <c r="H3137" i="56"/>
  <c r="H3138" i="56"/>
  <c r="H3139" i="56"/>
  <c r="H3140" i="56"/>
  <c r="H3141" i="56"/>
  <c r="H3142" i="56"/>
  <c r="H3143" i="56"/>
  <c r="H3144" i="56"/>
  <c r="H3145" i="56"/>
  <c r="H3146" i="56"/>
  <c r="H3147" i="56"/>
  <c r="H3148" i="56"/>
  <c r="H3149" i="56"/>
  <c r="H3150" i="56"/>
  <c r="H3151" i="56"/>
  <c r="H3152" i="56"/>
  <c r="H3153" i="56"/>
  <c r="H3154" i="56"/>
  <c r="H3155" i="56"/>
  <c r="H3156" i="56"/>
  <c r="H3157" i="56"/>
  <c r="H3158" i="56"/>
  <c r="H3159" i="56"/>
  <c r="H3160" i="56"/>
  <c r="H3161" i="56"/>
  <c r="H3162" i="56"/>
  <c r="H3163" i="56"/>
  <c r="H3164" i="56"/>
  <c r="H3165" i="56"/>
  <c r="H3166" i="56"/>
  <c r="H3167" i="56"/>
  <c r="H3168" i="56"/>
  <c r="H3169" i="56"/>
  <c r="H3170" i="56"/>
  <c r="H3171" i="56"/>
  <c r="H3172" i="56"/>
  <c r="H3173" i="56"/>
  <c r="H3174" i="56"/>
  <c r="H3175" i="56"/>
  <c r="H3176" i="56"/>
  <c r="H3177" i="56"/>
  <c r="H3178" i="56"/>
  <c r="H3179" i="56"/>
  <c r="H3180" i="56"/>
  <c r="H3181" i="56"/>
  <c r="H3182" i="56"/>
  <c r="H3183" i="56"/>
  <c r="H3184" i="56"/>
  <c r="H3185" i="56"/>
  <c r="H3186" i="56"/>
  <c r="H3187" i="56"/>
  <c r="H3188" i="56"/>
  <c r="H3189" i="56"/>
  <c r="H3190" i="56"/>
  <c r="H3191" i="56"/>
  <c r="H3192" i="56"/>
  <c r="H3193" i="56"/>
  <c r="H3194" i="56"/>
  <c r="H3195" i="56"/>
  <c r="H3196" i="56"/>
  <c r="H3197" i="56"/>
  <c r="H3198" i="56"/>
  <c r="H3199" i="56"/>
  <c r="H3200" i="56"/>
  <c r="H3201" i="56"/>
  <c r="H3202" i="56"/>
  <c r="H3203" i="56"/>
  <c r="H3204" i="56"/>
  <c r="H3205" i="56"/>
  <c r="H3206" i="56"/>
  <c r="H3207" i="56"/>
  <c r="H3208" i="56"/>
  <c r="H3209" i="56"/>
  <c r="H3210" i="56"/>
  <c r="H3211" i="56"/>
  <c r="H3212" i="56"/>
  <c r="H3213" i="56"/>
  <c r="H3214" i="56"/>
  <c r="H3215" i="56"/>
  <c r="H3216" i="56"/>
  <c r="H3217" i="56"/>
  <c r="H3218" i="56"/>
  <c r="H3219" i="56"/>
  <c r="H3220" i="56"/>
  <c r="H3221" i="56"/>
  <c r="H3222" i="56"/>
  <c r="H3223" i="56"/>
  <c r="H3224" i="56"/>
  <c r="H3225" i="56"/>
  <c r="H3226" i="56"/>
  <c r="H3227" i="56"/>
  <c r="H3228" i="56"/>
  <c r="H3229" i="56"/>
  <c r="H3230" i="56"/>
  <c r="H3231" i="56"/>
  <c r="H3232" i="56"/>
  <c r="H3233" i="56"/>
  <c r="H3234" i="56"/>
  <c r="H3235" i="56"/>
  <c r="H3236" i="56"/>
  <c r="H3237" i="56"/>
  <c r="H3238" i="56"/>
  <c r="H3239" i="56"/>
  <c r="H3240" i="56"/>
  <c r="H3241" i="56"/>
  <c r="H3242" i="56"/>
  <c r="H3243" i="56"/>
  <c r="H3244" i="56"/>
  <c r="H3245" i="56"/>
  <c r="H3246" i="56"/>
  <c r="H3247" i="56"/>
  <c r="H3248" i="56"/>
  <c r="H3249" i="56"/>
  <c r="H3250" i="56"/>
  <c r="H3251" i="56"/>
  <c r="H3252" i="56"/>
  <c r="H3253" i="56"/>
  <c r="H3254" i="56"/>
  <c r="H3255" i="56"/>
  <c r="H3256" i="56"/>
  <c r="H3257" i="56"/>
  <c r="H3258" i="56"/>
  <c r="H3259" i="56"/>
  <c r="H3260" i="56"/>
  <c r="H3261" i="56"/>
  <c r="H3262" i="56"/>
  <c r="H3263" i="56"/>
  <c r="H3264" i="56"/>
  <c r="H3265" i="56"/>
  <c r="H3266" i="56"/>
  <c r="H3267" i="56"/>
  <c r="H3268" i="56"/>
  <c r="H3269" i="56"/>
  <c r="H3270" i="56"/>
  <c r="H3271" i="56"/>
  <c r="H3272" i="56"/>
  <c r="H3273" i="56"/>
  <c r="H3274" i="56"/>
  <c r="H3275" i="56"/>
  <c r="H3276" i="56"/>
  <c r="H3277" i="56"/>
  <c r="H3278" i="56"/>
  <c r="H3279" i="56"/>
  <c r="H3280" i="56"/>
  <c r="H3281" i="56"/>
  <c r="H3282" i="56"/>
  <c r="H3283" i="56"/>
  <c r="H3284" i="56"/>
  <c r="H3285" i="56"/>
  <c r="H3286" i="56"/>
  <c r="H3287" i="56"/>
  <c r="H3288" i="56"/>
  <c r="H3289" i="56"/>
  <c r="H3290" i="56"/>
  <c r="H3291" i="56"/>
  <c r="H3292" i="56"/>
  <c r="H3293" i="56"/>
  <c r="H3294" i="56"/>
  <c r="H3295" i="56"/>
  <c r="H3296" i="56"/>
  <c r="H3297" i="56"/>
  <c r="H3298" i="56"/>
  <c r="H3299" i="56"/>
  <c r="H3300" i="56"/>
  <c r="H3301" i="56"/>
  <c r="H3302" i="56"/>
  <c r="H3303" i="56"/>
  <c r="H3304" i="56"/>
  <c r="H3305" i="56"/>
  <c r="H3306" i="56"/>
  <c r="H3307" i="56"/>
  <c r="H3308" i="56"/>
  <c r="H3309" i="56"/>
  <c r="H3310" i="56"/>
  <c r="H3311" i="56"/>
  <c r="H3312" i="56"/>
  <c r="H3313" i="56"/>
  <c r="H3314" i="56"/>
  <c r="H3315" i="56"/>
  <c r="H3316" i="56"/>
  <c r="H3317" i="56"/>
  <c r="H3318" i="56"/>
  <c r="H3319" i="56"/>
  <c r="H3320" i="56"/>
  <c r="H3321" i="56"/>
  <c r="H3322" i="56"/>
  <c r="H3323" i="56"/>
  <c r="H3324" i="56"/>
  <c r="H3325" i="56"/>
  <c r="H3326" i="56"/>
  <c r="H3327" i="56"/>
  <c r="H3328" i="56"/>
  <c r="H3329" i="56"/>
  <c r="H3330" i="56"/>
  <c r="H3331" i="56"/>
  <c r="H3332" i="56"/>
  <c r="H3333" i="56"/>
  <c r="H3334" i="56"/>
  <c r="H3335" i="56"/>
  <c r="H3336" i="56"/>
  <c r="H3337" i="56"/>
  <c r="H3338" i="56"/>
  <c r="H3339" i="56"/>
  <c r="H3340" i="56"/>
  <c r="H3341" i="56"/>
  <c r="H3342" i="56"/>
  <c r="H3343" i="56"/>
  <c r="H3344" i="56"/>
  <c r="H3345" i="56"/>
  <c r="H3346" i="56"/>
  <c r="H3347" i="56"/>
  <c r="H3348" i="56"/>
  <c r="H3349" i="56"/>
  <c r="H3350" i="56"/>
  <c r="H3351" i="56"/>
  <c r="H3352" i="56"/>
  <c r="H3353" i="56"/>
  <c r="H3354" i="56"/>
  <c r="H3355" i="56"/>
  <c r="H3356" i="56"/>
  <c r="H3357" i="56"/>
  <c r="H3358" i="56"/>
  <c r="H3359" i="56"/>
  <c r="H3360" i="56"/>
  <c r="H3361" i="56"/>
  <c r="H3362" i="56"/>
  <c r="H3363" i="56"/>
  <c r="H3364" i="56"/>
  <c r="H3365" i="56"/>
  <c r="H3366" i="56"/>
  <c r="H3367" i="56"/>
  <c r="H3368" i="56"/>
  <c r="H3369" i="56"/>
  <c r="H3370" i="56"/>
  <c r="H3371" i="56"/>
  <c r="H3372" i="56"/>
  <c r="H3373" i="56"/>
  <c r="H3374" i="56"/>
  <c r="H3375" i="56"/>
  <c r="H3376" i="56"/>
  <c r="H3377" i="56"/>
  <c r="H3378" i="56"/>
  <c r="H3379" i="56"/>
  <c r="H3380" i="56"/>
  <c r="H3381" i="56"/>
  <c r="H3382" i="56"/>
  <c r="H3383" i="56"/>
  <c r="H3384" i="56"/>
  <c r="H3385" i="56"/>
  <c r="H3386" i="56"/>
  <c r="H3387" i="56"/>
  <c r="H3388" i="56"/>
  <c r="H3389" i="56"/>
  <c r="H3390" i="56"/>
  <c r="H3391" i="56"/>
  <c r="H3392" i="56"/>
  <c r="H3393" i="56"/>
  <c r="H3394" i="56"/>
  <c r="H3395" i="56"/>
  <c r="H3396" i="56"/>
  <c r="H3397" i="56"/>
  <c r="H3398" i="56"/>
  <c r="H3399" i="56"/>
  <c r="H3400" i="56"/>
  <c r="H3401" i="56"/>
  <c r="H3402" i="56"/>
  <c r="H3403" i="56"/>
  <c r="H3404" i="56"/>
  <c r="H3405" i="56"/>
  <c r="H3406" i="56"/>
  <c r="H3407" i="56"/>
  <c r="H3408" i="56"/>
  <c r="H3409" i="56"/>
  <c r="H3410" i="56"/>
  <c r="H3411" i="56"/>
  <c r="H3412" i="56"/>
  <c r="H3413" i="56"/>
  <c r="H3414" i="56"/>
  <c r="H3415" i="56"/>
  <c r="H3416" i="56"/>
  <c r="H3417" i="56"/>
  <c r="H3418" i="56"/>
  <c r="H3419" i="56"/>
  <c r="H3420" i="56"/>
  <c r="H3421" i="56"/>
  <c r="H3422" i="56"/>
  <c r="H3423" i="56"/>
  <c r="H3424" i="56"/>
  <c r="H3425" i="56"/>
  <c r="H3426" i="56"/>
  <c r="H3427" i="56"/>
  <c r="H3428" i="56"/>
  <c r="H3429" i="56"/>
  <c r="H3430" i="56"/>
  <c r="H3431" i="56"/>
  <c r="H3432" i="56"/>
  <c r="H3433" i="56"/>
  <c r="H3434" i="56"/>
  <c r="H3435" i="56"/>
  <c r="H3436" i="56"/>
  <c r="H3437" i="56"/>
  <c r="H3438" i="56"/>
  <c r="H3439" i="56"/>
  <c r="H3440" i="56"/>
  <c r="H3441" i="56"/>
  <c r="H3442" i="56"/>
  <c r="H3443" i="56"/>
  <c r="H3444" i="56"/>
  <c r="H3445" i="56"/>
  <c r="H3446" i="56"/>
  <c r="H3447" i="56"/>
  <c r="H3448" i="56"/>
  <c r="H3449" i="56"/>
  <c r="H3450" i="56"/>
  <c r="H3451" i="56"/>
  <c r="H3452" i="56"/>
  <c r="H3453" i="56"/>
  <c r="H3454" i="56"/>
  <c r="H3455" i="56"/>
  <c r="H3456" i="56"/>
  <c r="H3457" i="56"/>
  <c r="H3458" i="56"/>
  <c r="H3459" i="56"/>
  <c r="H3460" i="56"/>
  <c r="H3461" i="56"/>
  <c r="H3462" i="56"/>
  <c r="H3463" i="56"/>
  <c r="H3464" i="56"/>
  <c r="H3465" i="56"/>
  <c r="H3466" i="56"/>
  <c r="H3467" i="56"/>
  <c r="H3468" i="56"/>
  <c r="H3469" i="56"/>
  <c r="H3470" i="56"/>
  <c r="H3471" i="56"/>
  <c r="H3472" i="56"/>
  <c r="H3473" i="56"/>
  <c r="H3474" i="56"/>
  <c r="H3475" i="56"/>
  <c r="H3476" i="56"/>
  <c r="H3477" i="56"/>
  <c r="H3478" i="56"/>
  <c r="H3479" i="56"/>
  <c r="H3480" i="56"/>
  <c r="H3481" i="56"/>
  <c r="H3482" i="56"/>
  <c r="H3483" i="56"/>
  <c r="H3484" i="56"/>
  <c r="H3485" i="56"/>
  <c r="H3486" i="56"/>
  <c r="H3487" i="56"/>
  <c r="H3488" i="56"/>
  <c r="H3489" i="56"/>
  <c r="H3490" i="56"/>
  <c r="H3491" i="56"/>
  <c r="H3492" i="56"/>
  <c r="H3493" i="56"/>
  <c r="H3494" i="56"/>
  <c r="H3495" i="56"/>
  <c r="H3496" i="56"/>
  <c r="H3497" i="56"/>
  <c r="H3498" i="56"/>
  <c r="H3499" i="56"/>
  <c r="H3500" i="56"/>
  <c r="H3501" i="56"/>
  <c r="H3502" i="56"/>
  <c r="H3503" i="56"/>
  <c r="H3504" i="56"/>
  <c r="H3505" i="56"/>
  <c r="H3506" i="56"/>
  <c r="H3507" i="56"/>
  <c r="H3508" i="56"/>
  <c r="H3509" i="56"/>
  <c r="H3510" i="56"/>
  <c r="H3511" i="56"/>
  <c r="H3512" i="56"/>
  <c r="H3513" i="56"/>
  <c r="H3514" i="56"/>
  <c r="H3515" i="56"/>
  <c r="H3516" i="56"/>
  <c r="H3517" i="56"/>
  <c r="H3518" i="56"/>
  <c r="H3519" i="56"/>
  <c r="H3520" i="56"/>
  <c r="H3521" i="56"/>
  <c r="H3522" i="56"/>
  <c r="H3523" i="56"/>
  <c r="H3524" i="56"/>
  <c r="H3525" i="56"/>
  <c r="H3526" i="56"/>
  <c r="H3527" i="56"/>
  <c r="H3528" i="56"/>
  <c r="H3529" i="56"/>
  <c r="H3530" i="56"/>
  <c r="H3531" i="56"/>
  <c r="H3532" i="56"/>
  <c r="H3533" i="56"/>
  <c r="H3534" i="56"/>
  <c r="H3535" i="56"/>
  <c r="H3536" i="56"/>
  <c r="H3537" i="56"/>
  <c r="H3538" i="56"/>
  <c r="H3539" i="56"/>
  <c r="H3540" i="56"/>
  <c r="H3541" i="56"/>
  <c r="H3542" i="56"/>
  <c r="H3543" i="56"/>
  <c r="H3544" i="56"/>
  <c r="H3545" i="56"/>
  <c r="H3546" i="56"/>
  <c r="H3547" i="56"/>
  <c r="H3548" i="56"/>
  <c r="H3549" i="56"/>
  <c r="H3550" i="56"/>
  <c r="H3551" i="56"/>
  <c r="H3552" i="56"/>
  <c r="H3553" i="56"/>
  <c r="H3554" i="56"/>
  <c r="H3555" i="56"/>
  <c r="H3556" i="56"/>
  <c r="H3557" i="56"/>
  <c r="H3558" i="56"/>
  <c r="H3559" i="56"/>
  <c r="H3560" i="56"/>
  <c r="H3561" i="56"/>
  <c r="H3562" i="56"/>
  <c r="H3563" i="56"/>
  <c r="H3564" i="56"/>
  <c r="H3565" i="56"/>
  <c r="H3566" i="56"/>
  <c r="H3567" i="56"/>
  <c r="H3568" i="56"/>
  <c r="H3569" i="56"/>
  <c r="H3570" i="56"/>
  <c r="H3571" i="56"/>
  <c r="H3572" i="56"/>
  <c r="H3573" i="56"/>
  <c r="H3574" i="56"/>
  <c r="H3575" i="56"/>
  <c r="H3576" i="56"/>
  <c r="H3577" i="56"/>
  <c r="H3578" i="56"/>
  <c r="H3579" i="56"/>
  <c r="H3580" i="56"/>
  <c r="H3581" i="56"/>
  <c r="H3582" i="56"/>
  <c r="H3583" i="56"/>
  <c r="H3584" i="56"/>
  <c r="H3585" i="56"/>
  <c r="H3586" i="56"/>
  <c r="H3587" i="56"/>
  <c r="H3588" i="56"/>
  <c r="H3589" i="56"/>
  <c r="H3590" i="56"/>
  <c r="H3591" i="56"/>
  <c r="H3592" i="56"/>
  <c r="H3593" i="56"/>
  <c r="H3594" i="56"/>
  <c r="H3595" i="56"/>
  <c r="H3596" i="56"/>
  <c r="H3597" i="56"/>
  <c r="H3598" i="56"/>
  <c r="H3599" i="56"/>
  <c r="H3600" i="56"/>
  <c r="H3601" i="56"/>
  <c r="H3602" i="56"/>
  <c r="H3603" i="56"/>
  <c r="H3604" i="56"/>
  <c r="H3605" i="56"/>
  <c r="H3606" i="56"/>
  <c r="H3607" i="56"/>
  <c r="H3608" i="56"/>
  <c r="H3609" i="56"/>
  <c r="H3610" i="56"/>
  <c r="H3611" i="56"/>
  <c r="H3612" i="56"/>
  <c r="H3613" i="56"/>
  <c r="H3614" i="56"/>
  <c r="H3615" i="56"/>
  <c r="H3616" i="56"/>
  <c r="H3617" i="56"/>
  <c r="H3618" i="56"/>
  <c r="H3619" i="56"/>
  <c r="H3620" i="56"/>
  <c r="H3621" i="56"/>
  <c r="H3622" i="56"/>
  <c r="H3623" i="56"/>
  <c r="H3624" i="56"/>
  <c r="H3625" i="56"/>
  <c r="H3626" i="56"/>
  <c r="H3627" i="56"/>
  <c r="H3628" i="56"/>
  <c r="H3629" i="56"/>
  <c r="H3630" i="56"/>
  <c r="H3631" i="56"/>
  <c r="H3632" i="56"/>
  <c r="H3633" i="56"/>
  <c r="H3634" i="56"/>
  <c r="H3635" i="56"/>
  <c r="H3636" i="56"/>
  <c r="H3637" i="56"/>
  <c r="H3638" i="56"/>
  <c r="H3639" i="56"/>
  <c r="H3640" i="56"/>
  <c r="H3641" i="56"/>
  <c r="H3642" i="56"/>
  <c r="H3643" i="56"/>
  <c r="H3644" i="56"/>
  <c r="H3645" i="56"/>
  <c r="H3646" i="56"/>
  <c r="H3647" i="56"/>
  <c r="H3648" i="56"/>
  <c r="H3649" i="56"/>
  <c r="H3650" i="56"/>
  <c r="H3651" i="56"/>
  <c r="H3652" i="56"/>
  <c r="H3653" i="56"/>
  <c r="H3654" i="56"/>
  <c r="H3655" i="56"/>
  <c r="H3656" i="56"/>
  <c r="H3657" i="56"/>
  <c r="H3658" i="56"/>
  <c r="H3659" i="56"/>
  <c r="H3660" i="56"/>
  <c r="H3661" i="56"/>
  <c r="H3662" i="56"/>
  <c r="H3663" i="56"/>
  <c r="H3664" i="56"/>
  <c r="H3665" i="56"/>
  <c r="H3666" i="56"/>
  <c r="H3667" i="56"/>
  <c r="H3668" i="56"/>
  <c r="H3669" i="56"/>
  <c r="H3670" i="56"/>
  <c r="H3671" i="56"/>
  <c r="H3672" i="56"/>
  <c r="H3673" i="56"/>
  <c r="H3674" i="56"/>
  <c r="H3675" i="56"/>
  <c r="H3676" i="56"/>
  <c r="H3677" i="56"/>
  <c r="H3678" i="56"/>
  <c r="H3679" i="56"/>
  <c r="H3680" i="56"/>
  <c r="H3681" i="56"/>
  <c r="H3682" i="56"/>
  <c r="H3683" i="56"/>
  <c r="H3684" i="56"/>
  <c r="H3685" i="56"/>
  <c r="H3686" i="56"/>
  <c r="H3687" i="56"/>
  <c r="H3688" i="56"/>
  <c r="H3689" i="56"/>
  <c r="H3690" i="56"/>
  <c r="H3691" i="56"/>
  <c r="H3692" i="56"/>
  <c r="H3693" i="56"/>
  <c r="H3694" i="56"/>
  <c r="H3695" i="56"/>
  <c r="H3696" i="56"/>
  <c r="H3697" i="56"/>
  <c r="H3698" i="56"/>
  <c r="H3699" i="56"/>
  <c r="H3700" i="56"/>
  <c r="H3701" i="56"/>
  <c r="H3702" i="56"/>
  <c r="H3703" i="56"/>
  <c r="H3704" i="56"/>
  <c r="H3705" i="56"/>
  <c r="H3706" i="56"/>
  <c r="H3707" i="56"/>
  <c r="H3708" i="56"/>
  <c r="H3709" i="56"/>
  <c r="H3710" i="56"/>
  <c r="H3711" i="56"/>
  <c r="H3712" i="56"/>
  <c r="H3713" i="56"/>
  <c r="H3714" i="56"/>
  <c r="H3715" i="56"/>
  <c r="H3716" i="56"/>
  <c r="H3717" i="56"/>
  <c r="H3718" i="56"/>
  <c r="H3719" i="56"/>
  <c r="H3720" i="56"/>
  <c r="H3721" i="56"/>
  <c r="H3722" i="56"/>
  <c r="H3723" i="56"/>
  <c r="H3724" i="56"/>
  <c r="H3725" i="56"/>
  <c r="H3726" i="56"/>
  <c r="H3727" i="56"/>
  <c r="H3728" i="56"/>
  <c r="H3729" i="56"/>
  <c r="H3730" i="56"/>
  <c r="H3731" i="56"/>
  <c r="H3732" i="56"/>
  <c r="H3733" i="56"/>
  <c r="H3734" i="56"/>
  <c r="H3735" i="56"/>
  <c r="H3736" i="56"/>
  <c r="H3737" i="56"/>
  <c r="H3738" i="56"/>
  <c r="H3739" i="56"/>
  <c r="H3740" i="56"/>
  <c r="H3741" i="56"/>
  <c r="H3742" i="56"/>
  <c r="H3743" i="56"/>
  <c r="H3744" i="56"/>
  <c r="H3745" i="56"/>
  <c r="H3746" i="56"/>
  <c r="H3747" i="56"/>
  <c r="H3748" i="56"/>
  <c r="H3749" i="56"/>
  <c r="H3750" i="56"/>
  <c r="H3751" i="56"/>
  <c r="H3752" i="56"/>
  <c r="H3753" i="56"/>
  <c r="H3754" i="56"/>
  <c r="H3755" i="56"/>
  <c r="H3756" i="56"/>
  <c r="H3757" i="56"/>
  <c r="H3758" i="56"/>
  <c r="H3759" i="56"/>
  <c r="H3760" i="56"/>
  <c r="H3761" i="56"/>
  <c r="H3762" i="56"/>
  <c r="H3763" i="56"/>
  <c r="H3764" i="56"/>
  <c r="H3765" i="56"/>
  <c r="H3766" i="56"/>
  <c r="H3767" i="56"/>
  <c r="H3768" i="56"/>
  <c r="H3769" i="56"/>
  <c r="H3770" i="56"/>
  <c r="H3771" i="56"/>
  <c r="H3772" i="56"/>
  <c r="H3773" i="56"/>
  <c r="H3774" i="56"/>
  <c r="H3775" i="56"/>
  <c r="H3776" i="56"/>
  <c r="H3777" i="56"/>
  <c r="H3778" i="56"/>
  <c r="H3779" i="56"/>
  <c r="H3780" i="56"/>
  <c r="H3781" i="56"/>
  <c r="H3782" i="56"/>
  <c r="H3783" i="56"/>
  <c r="H3784" i="56"/>
  <c r="H3785" i="56"/>
  <c r="H3786" i="56"/>
  <c r="H3787" i="56"/>
  <c r="H3788" i="56"/>
  <c r="H3789" i="56"/>
  <c r="H3790" i="56"/>
  <c r="H3791" i="56"/>
  <c r="H3792" i="56"/>
  <c r="H3793" i="56"/>
  <c r="H3794" i="56"/>
  <c r="H3795" i="56"/>
  <c r="H3796" i="56"/>
  <c r="H3797" i="56"/>
  <c r="H3798" i="56"/>
  <c r="H3799" i="56"/>
  <c r="H3800" i="56"/>
  <c r="H3801" i="56"/>
  <c r="H3802" i="56"/>
  <c r="H3803" i="56"/>
  <c r="H3804" i="56"/>
  <c r="H3805" i="56"/>
  <c r="H3806" i="56"/>
  <c r="H3807" i="56"/>
  <c r="H3808" i="56"/>
  <c r="H3809" i="56"/>
  <c r="H3810" i="56"/>
  <c r="H3811" i="56"/>
  <c r="H3812" i="56"/>
  <c r="H3813" i="56"/>
  <c r="H3814" i="56"/>
  <c r="H3815" i="56"/>
  <c r="H3816" i="56"/>
  <c r="H3817" i="56"/>
  <c r="H3818" i="56"/>
  <c r="H3819" i="56"/>
  <c r="H3820" i="56"/>
  <c r="H3821" i="56"/>
  <c r="H3822" i="56"/>
  <c r="H3823" i="56"/>
  <c r="H3824" i="56"/>
  <c r="H3825" i="56"/>
  <c r="H3826" i="56"/>
  <c r="H3827" i="56"/>
  <c r="H3828" i="56"/>
  <c r="H3829" i="56"/>
  <c r="H3830" i="56"/>
  <c r="H3831" i="56"/>
  <c r="H3832" i="56"/>
  <c r="H3833" i="56"/>
  <c r="H3834" i="56"/>
  <c r="H3835" i="56"/>
  <c r="H3836" i="56"/>
  <c r="H3837" i="56"/>
  <c r="H3838" i="56"/>
  <c r="H3839" i="56"/>
  <c r="H3840" i="56"/>
  <c r="H3841" i="56"/>
  <c r="H3842" i="56"/>
  <c r="H3843" i="56"/>
  <c r="H3844" i="56"/>
  <c r="H3845" i="56"/>
  <c r="H3846" i="56"/>
  <c r="H3847" i="56"/>
  <c r="H3848" i="56"/>
  <c r="H3849" i="56"/>
  <c r="H3850" i="56"/>
  <c r="H3851" i="56"/>
  <c r="H3852" i="56"/>
  <c r="H3853" i="56"/>
  <c r="H3854" i="56"/>
  <c r="H3855" i="56"/>
  <c r="H3856" i="56"/>
  <c r="H3857" i="56"/>
  <c r="H3858" i="56"/>
  <c r="H3859" i="56"/>
  <c r="H3860" i="56"/>
  <c r="H3861" i="56"/>
  <c r="H3862" i="56"/>
  <c r="H3863" i="56"/>
  <c r="H3864" i="56"/>
  <c r="H3865" i="56"/>
  <c r="H3866" i="56"/>
  <c r="H3867" i="56"/>
  <c r="H3868" i="56"/>
  <c r="H3869" i="56"/>
  <c r="H3870" i="56"/>
  <c r="H3871" i="56"/>
  <c r="H3872" i="56"/>
  <c r="H3873" i="56"/>
  <c r="H3874" i="56"/>
  <c r="H3875" i="56"/>
  <c r="H3876" i="56"/>
  <c r="H3877" i="56"/>
  <c r="H3878" i="56"/>
  <c r="H3879" i="56"/>
  <c r="H3880" i="56"/>
  <c r="H3881" i="56"/>
  <c r="H3882" i="56"/>
  <c r="H3883" i="56"/>
  <c r="H3884" i="56"/>
  <c r="H3885" i="56"/>
  <c r="H3886" i="56"/>
  <c r="H3887" i="56"/>
  <c r="H3888" i="56"/>
  <c r="H3889" i="56"/>
  <c r="H3890" i="56"/>
  <c r="H3891" i="56"/>
  <c r="H3892" i="56"/>
  <c r="H3893" i="56"/>
  <c r="H3894" i="56"/>
  <c r="H3895" i="56"/>
  <c r="H3896" i="56"/>
  <c r="H3897" i="56"/>
  <c r="H3898" i="56"/>
  <c r="H3899" i="56"/>
  <c r="H3900" i="56"/>
  <c r="H3901" i="56"/>
  <c r="H3902" i="56"/>
  <c r="H3903" i="56"/>
  <c r="H3904" i="56"/>
  <c r="H3905" i="56"/>
  <c r="H3906" i="56"/>
  <c r="H3907" i="56"/>
  <c r="H3908" i="56"/>
  <c r="H3909" i="56"/>
  <c r="H3910" i="56"/>
  <c r="H3911" i="56"/>
  <c r="H3912" i="56"/>
  <c r="H3913" i="56"/>
  <c r="H3914" i="56"/>
  <c r="H3915" i="56"/>
  <c r="H3916" i="56"/>
  <c r="H3917" i="56"/>
  <c r="H3918" i="56"/>
  <c r="H3919" i="56"/>
  <c r="H3920" i="56"/>
  <c r="H3921" i="56"/>
  <c r="H3922" i="56"/>
  <c r="H3923" i="56"/>
  <c r="H3924" i="56"/>
  <c r="H3925" i="56"/>
  <c r="H3926" i="56"/>
  <c r="H3927" i="56"/>
  <c r="H3928" i="56"/>
  <c r="H3929" i="56"/>
  <c r="H3930" i="56"/>
  <c r="H3931" i="56"/>
  <c r="H3932" i="56"/>
  <c r="H3933" i="56"/>
  <c r="H3934" i="56"/>
  <c r="H3935" i="56"/>
  <c r="H3936" i="56"/>
  <c r="H3937" i="56"/>
  <c r="H3938" i="56"/>
  <c r="H3939" i="56"/>
  <c r="H3940" i="56"/>
  <c r="H3941" i="56"/>
  <c r="H3942" i="56"/>
  <c r="H3943" i="56"/>
  <c r="H3944" i="56"/>
  <c r="H3945" i="56"/>
  <c r="H3946" i="56"/>
  <c r="H3947" i="56"/>
  <c r="H3948" i="56"/>
  <c r="H3949" i="56"/>
  <c r="H3950" i="56"/>
  <c r="H3951" i="56"/>
  <c r="H3952" i="56"/>
  <c r="H3953" i="56"/>
  <c r="H3954" i="56"/>
  <c r="H3955" i="56"/>
  <c r="H3956" i="56"/>
  <c r="H3957" i="56"/>
  <c r="H3958" i="56"/>
  <c r="H3959" i="56"/>
  <c r="H3960" i="56"/>
  <c r="H3961" i="56"/>
  <c r="H3962" i="56"/>
  <c r="H3963" i="56"/>
  <c r="H3964" i="56"/>
  <c r="H3965" i="56"/>
  <c r="H3966" i="56"/>
  <c r="H3967" i="56"/>
  <c r="H3968" i="56"/>
  <c r="H3969" i="56"/>
  <c r="H3970" i="56"/>
  <c r="H3971" i="56"/>
  <c r="H3972" i="56"/>
  <c r="H3973" i="56"/>
  <c r="H3974" i="56"/>
  <c r="H3975" i="56"/>
  <c r="H3976" i="56"/>
  <c r="H3977" i="56"/>
  <c r="H3978" i="56"/>
  <c r="H3979" i="56"/>
  <c r="H3980" i="56"/>
  <c r="H3981" i="56"/>
  <c r="H3982" i="56"/>
  <c r="H3983" i="56"/>
  <c r="H3984" i="56"/>
  <c r="H3985" i="56"/>
  <c r="H3986" i="56"/>
  <c r="H3987" i="56"/>
  <c r="H3988" i="56"/>
  <c r="H3989" i="56"/>
  <c r="H3990" i="56"/>
  <c r="H3991" i="56"/>
  <c r="H3992" i="56"/>
  <c r="H3993" i="56"/>
  <c r="H3994" i="56"/>
  <c r="H3995" i="56"/>
  <c r="H3996" i="56"/>
  <c r="H3997" i="56"/>
  <c r="H3998" i="56"/>
  <c r="H3999" i="56"/>
  <c r="H4000" i="56"/>
  <c r="H4001" i="56"/>
  <c r="H4002" i="56"/>
  <c r="H4003" i="56"/>
  <c r="H4004" i="56"/>
  <c r="H4005" i="56"/>
  <c r="H4006" i="56"/>
  <c r="H4007" i="56"/>
  <c r="H4008" i="56"/>
  <c r="H4009" i="56"/>
  <c r="H4010" i="56"/>
  <c r="H4011" i="56"/>
  <c r="H4012" i="56"/>
  <c r="H4013" i="56"/>
  <c r="H4014" i="56"/>
  <c r="H4015" i="56"/>
  <c r="H4016" i="56"/>
  <c r="H4017" i="56"/>
  <c r="H4018" i="56"/>
  <c r="H4019" i="56"/>
  <c r="H4020" i="56"/>
  <c r="H4021" i="56"/>
  <c r="H4022" i="56"/>
  <c r="H4023" i="56"/>
  <c r="H4024" i="56"/>
  <c r="H4025" i="56"/>
  <c r="H4026" i="56"/>
  <c r="H4027" i="56"/>
  <c r="H4028" i="56"/>
  <c r="H4029" i="56"/>
  <c r="H4030" i="56"/>
  <c r="H4031" i="56"/>
  <c r="H4032" i="56"/>
  <c r="H4033" i="56"/>
  <c r="H4034" i="56"/>
  <c r="H4035" i="56"/>
  <c r="H4036" i="56"/>
  <c r="H4037" i="56"/>
  <c r="H4038" i="56"/>
  <c r="H4039" i="56"/>
  <c r="H4040" i="56"/>
  <c r="H4041" i="56"/>
  <c r="H4042" i="56"/>
  <c r="H4043" i="56"/>
  <c r="H4044" i="56"/>
  <c r="H4045" i="56"/>
  <c r="H4046" i="56"/>
  <c r="H4047" i="56"/>
  <c r="H4048" i="56"/>
  <c r="H4049" i="56"/>
  <c r="H4050" i="56"/>
  <c r="H4051" i="56"/>
  <c r="H4052" i="56"/>
  <c r="H4053" i="56"/>
  <c r="H4054" i="56"/>
  <c r="H4055" i="56"/>
  <c r="H4056" i="56"/>
  <c r="H4057" i="56"/>
  <c r="H4058" i="56"/>
  <c r="H4059" i="56"/>
  <c r="H4060" i="56"/>
  <c r="H4061" i="56"/>
  <c r="H4062" i="56"/>
  <c r="H4063" i="56"/>
  <c r="H4064" i="56"/>
  <c r="H4065" i="56"/>
  <c r="H4066" i="56"/>
  <c r="H4067" i="56"/>
  <c r="H4068" i="56"/>
  <c r="H4069" i="56"/>
  <c r="H4070" i="56"/>
  <c r="H4071" i="56"/>
  <c r="H4072" i="56"/>
  <c r="H4073" i="56"/>
  <c r="H4074" i="56"/>
  <c r="H4075" i="56"/>
  <c r="H4076" i="56"/>
  <c r="H4077" i="56"/>
  <c r="H4078" i="56"/>
  <c r="H4079" i="56"/>
  <c r="H4080" i="56"/>
  <c r="H4081" i="56"/>
  <c r="H4082" i="56"/>
  <c r="H4083" i="56"/>
  <c r="H4084" i="56"/>
  <c r="H4085" i="56"/>
  <c r="H4086" i="56"/>
  <c r="H4087" i="56"/>
  <c r="H4088" i="56"/>
  <c r="H4089" i="56"/>
  <c r="H4090" i="56"/>
  <c r="H4091" i="56"/>
  <c r="H4092" i="56"/>
  <c r="H4093" i="56"/>
  <c r="H4094" i="56"/>
  <c r="H4095" i="56"/>
  <c r="H4096" i="56"/>
  <c r="H4097" i="56"/>
  <c r="H4098" i="56"/>
  <c r="H4099" i="56"/>
  <c r="H4100" i="56"/>
  <c r="H4101" i="56"/>
  <c r="H4102" i="56"/>
  <c r="H4103" i="56"/>
  <c r="H4104" i="56"/>
  <c r="H4105" i="56"/>
  <c r="H4106" i="56"/>
  <c r="H4107" i="56"/>
  <c r="H4108" i="56"/>
  <c r="H4109" i="56"/>
  <c r="H4110" i="56"/>
  <c r="H4111" i="56"/>
  <c r="H4112" i="56"/>
  <c r="H4113" i="56"/>
  <c r="H4114" i="56"/>
  <c r="H4115" i="56"/>
  <c r="H4116" i="56"/>
  <c r="H4117" i="56"/>
  <c r="H4118" i="56"/>
  <c r="H4119" i="56"/>
  <c r="H4120" i="56"/>
  <c r="H4121" i="56"/>
  <c r="H4122" i="56"/>
  <c r="H4123" i="56"/>
  <c r="H4124" i="56"/>
  <c r="H4125" i="56"/>
  <c r="H4126" i="56"/>
  <c r="H4127" i="56"/>
  <c r="H4128" i="56"/>
  <c r="H4129" i="56"/>
  <c r="H4130" i="56"/>
  <c r="H4131" i="56"/>
  <c r="H4132" i="56"/>
  <c r="H4133" i="56"/>
  <c r="H4134" i="56"/>
  <c r="H4135" i="56"/>
  <c r="H4136" i="56"/>
  <c r="H4137" i="56"/>
  <c r="H4138" i="56"/>
  <c r="H4139" i="56"/>
  <c r="H4140" i="56"/>
  <c r="H4141" i="56"/>
  <c r="H4142" i="56"/>
  <c r="H4143" i="56"/>
  <c r="H4144" i="56"/>
  <c r="H4145" i="56"/>
  <c r="H4146" i="56"/>
  <c r="H4147" i="56"/>
  <c r="H4148" i="56"/>
  <c r="H4149" i="56"/>
  <c r="H4150" i="56"/>
  <c r="H4151" i="56"/>
  <c r="H4152" i="56"/>
  <c r="H4153" i="56"/>
  <c r="H4154" i="56"/>
  <c r="H4155" i="56"/>
  <c r="H4156" i="56"/>
  <c r="H4157" i="56"/>
  <c r="H4158" i="56"/>
  <c r="H4159" i="56"/>
  <c r="H4160" i="56"/>
  <c r="H4161" i="56"/>
  <c r="H4162" i="56"/>
  <c r="H4163" i="56"/>
  <c r="H4164" i="56"/>
  <c r="H4165" i="56"/>
  <c r="H4166" i="56"/>
  <c r="H4167" i="56"/>
  <c r="H4168" i="56"/>
  <c r="H4169" i="56"/>
  <c r="H4170" i="56"/>
  <c r="H4171" i="56"/>
  <c r="H4172" i="56"/>
  <c r="H4173" i="56"/>
  <c r="H4174" i="56"/>
  <c r="H4175" i="56"/>
  <c r="H4176" i="56"/>
  <c r="H4177" i="56"/>
  <c r="H4178" i="56"/>
  <c r="H4179" i="56"/>
  <c r="H4180" i="56"/>
  <c r="H4181" i="56"/>
  <c r="H4182" i="56"/>
  <c r="H4183" i="56"/>
  <c r="H4184" i="56"/>
  <c r="H4185" i="56"/>
  <c r="H4186" i="56"/>
  <c r="H4187" i="56"/>
  <c r="H4188" i="56"/>
  <c r="H4189" i="56"/>
  <c r="H4190" i="56"/>
  <c r="H4191" i="56"/>
  <c r="H4192" i="56"/>
  <c r="H4193" i="56"/>
  <c r="H4194" i="56"/>
  <c r="H4195" i="56"/>
  <c r="H4196" i="56"/>
  <c r="H4197" i="56"/>
  <c r="H4198" i="56"/>
  <c r="H4199" i="56"/>
  <c r="H4200" i="56"/>
  <c r="H4201" i="56"/>
  <c r="H4202" i="56"/>
  <c r="H4203" i="56"/>
  <c r="H4204" i="56"/>
  <c r="H4205" i="56"/>
  <c r="H4206" i="56"/>
  <c r="H4207" i="56"/>
  <c r="H4208" i="56"/>
  <c r="H4209" i="56"/>
  <c r="H4210" i="56"/>
  <c r="H4211" i="56"/>
  <c r="H4212" i="56"/>
  <c r="H4213" i="56"/>
  <c r="H4214" i="56"/>
  <c r="H4215" i="56"/>
  <c r="H4216" i="56"/>
  <c r="H4217" i="56"/>
  <c r="H4218" i="56"/>
  <c r="H4219" i="56"/>
  <c r="H4220" i="56"/>
  <c r="H4221" i="56"/>
  <c r="H4222" i="56"/>
  <c r="H4223" i="56"/>
  <c r="H4224" i="56"/>
  <c r="H4225" i="56"/>
  <c r="H4226" i="56"/>
  <c r="H4227" i="56"/>
  <c r="H4228" i="56"/>
  <c r="H4229" i="56"/>
  <c r="H4230" i="56"/>
  <c r="H4231" i="56"/>
  <c r="H4232" i="56"/>
  <c r="H4233" i="56"/>
  <c r="H4234" i="56"/>
  <c r="H4235" i="56"/>
  <c r="H4236" i="56"/>
  <c r="H4237" i="56"/>
  <c r="H4238" i="56"/>
  <c r="H4239" i="56"/>
  <c r="H4240" i="56"/>
  <c r="H4241" i="56"/>
  <c r="H4242" i="56"/>
  <c r="H4243" i="56"/>
  <c r="H4244" i="56"/>
  <c r="H4245" i="56"/>
  <c r="H4246" i="56"/>
  <c r="H4247" i="56"/>
  <c r="H4248" i="56"/>
  <c r="H4249" i="56"/>
  <c r="H4250" i="56"/>
  <c r="H4251" i="56"/>
  <c r="H4252" i="56"/>
  <c r="H4253" i="56"/>
  <c r="H4254" i="56"/>
  <c r="H4255" i="56"/>
  <c r="H4256" i="56"/>
  <c r="H4257" i="56"/>
  <c r="H4258" i="56"/>
  <c r="H4259" i="56"/>
  <c r="H4260" i="56"/>
  <c r="H4261" i="56"/>
  <c r="H4262" i="56"/>
  <c r="H4263" i="56"/>
  <c r="H4264" i="56"/>
  <c r="H4265" i="56"/>
  <c r="H4266" i="56"/>
  <c r="H4267" i="56"/>
  <c r="H4268" i="56"/>
  <c r="H4269" i="56"/>
  <c r="H4270" i="56"/>
  <c r="H4271" i="56"/>
  <c r="H4272" i="56"/>
  <c r="H4273" i="56"/>
  <c r="H4274" i="56"/>
  <c r="H4275" i="56"/>
  <c r="H4276" i="56"/>
  <c r="H4277" i="56"/>
  <c r="H4278" i="56"/>
  <c r="H4279" i="56"/>
  <c r="H4280" i="56"/>
  <c r="H4281" i="56"/>
  <c r="H4282" i="56"/>
  <c r="H4283" i="56"/>
  <c r="H4284" i="56"/>
  <c r="H4285" i="56"/>
  <c r="H4286" i="56"/>
  <c r="H4287" i="56"/>
  <c r="H4288" i="56"/>
  <c r="H4289" i="56"/>
  <c r="H4290" i="56"/>
  <c r="H4291" i="56"/>
  <c r="H4292" i="56"/>
  <c r="H4293" i="56"/>
  <c r="H4294" i="56"/>
  <c r="H4295" i="56"/>
  <c r="H4296" i="56"/>
  <c r="H4297" i="56"/>
  <c r="H4298" i="56"/>
  <c r="H4299" i="56"/>
  <c r="H4300" i="56"/>
  <c r="H4301" i="56"/>
  <c r="H4302" i="56"/>
  <c r="H4303" i="56"/>
  <c r="H4304" i="56"/>
  <c r="H4305" i="56"/>
  <c r="H4306" i="56"/>
  <c r="H4307" i="56"/>
  <c r="H4308" i="56"/>
  <c r="H4309" i="56"/>
  <c r="H4310" i="56"/>
  <c r="H4311" i="56"/>
  <c r="H4312" i="56"/>
  <c r="H4313" i="56"/>
  <c r="H4314" i="56"/>
  <c r="H4315" i="56"/>
  <c r="H4316" i="56"/>
  <c r="H4317" i="56"/>
  <c r="H4318" i="56"/>
  <c r="H4319" i="56"/>
  <c r="H4320" i="56"/>
  <c r="H4321" i="56"/>
  <c r="H4322" i="56"/>
  <c r="H4323" i="56"/>
  <c r="H4324" i="56"/>
  <c r="H4325" i="56"/>
  <c r="H4326" i="56"/>
  <c r="H4327" i="56"/>
  <c r="H4328" i="56"/>
  <c r="H4329" i="56"/>
  <c r="H4330" i="56"/>
  <c r="H4331" i="56"/>
  <c r="H4332" i="56"/>
  <c r="H4333" i="56"/>
  <c r="H4334" i="56"/>
  <c r="H4335" i="56"/>
  <c r="H4336" i="56"/>
  <c r="H4337" i="56"/>
  <c r="H4338" i="56"/>
  <c r="H4339" i="56"/>
  <c r="H4340" i="56"/>
  <c r="H4341" i="56"/>
  <c r="H4342" i="56"/>
  <c r="H4343" i="56"/>
  <c r="H4344" i="56"/>
  <c r="H4345" i="56"/>
  <c r="H4346" i="56"/>
  <c r="H4347" i="56"/>
  <c r="H4348" i="56"/>
  <c r="H4349" i="56"/>
  <c r="H4350" i="56"/>
  <c r="H4351" i="56"/>
  <c r="H4352" i="56"/>
  <c r="H4353" i="56"/>
  <c r="H4354" i="56"/>
  <c r="H4355" i="56"/>
  <c r="H4356" i="56"/>
  <c r="H4357" i="56"/>
  <c r="H4358" i="56"/>
  <c r="H4359" i="56"/>
  <c r="H4360" i="56"/>
  <c r="H4361" i="56"/>
  <c r="H4362" i="56"/>
  <c r="H4363" i="56"/>
  <c r="H4364" i="56"/>
  <c r="H4365" i="56"/>
  <c r="H4366" i="56"/>
  <c r="H4367" i="56"/>
  <c r="H4368" i="56"/>
  <c r="H4369" i="56"/>
  <c r="H4370" i="56"/>
  <c r="H4371" i="56"/>
  <c r="H4372" i="56"/>
  <c r="H4373" i="56"/>
  <c r="H4374" i="56"/>
  <c r="H4375" i="56"/>
  <c r="H4376" i="56"/>
  <c r="H4377" i="56"/>
  <c r="H4378" i="56"/>
  <c r="H4379" i="56"/>
  <c r="H4380" i="56"/>
  <c r="H4381" i="56"/>
  <c r="H4382" i="56"/>
  <c r="H4383" i="56"/>
  <c r="H4384" i="56"/>
  <c r="H4385" i="56"/>
  <c r="H4386" i="56"/>
  <c r="H4387" i="56"/>
  <c r="H4388" i="56"/>
  <c r="H4389" i="56"/>
  <c r="H4390" i="56"/>
  <c r="H4391" i="56"/>
  <c r="H4392" i="56"/>
  <c r="H4393" i="56"/>
  <c r="H4394" i="56"/>
  <c r="H4395" i="56"/>
  <c r="H4396" i="56"/>
  <c r="H4397" i="56"/>
  <c r="H4398" i="56"/>
  <c r="H4399" i="56"/>
  <c r="H4400" i="56"/>
  <c r="H4401" i="56"/>
  <c r="H4402" i="56"/>
  <c r="H4403" i="56"/>
  <c r="H4404" i="56"/>
  <c r="H4405" i="56"/>
  <c r="H4406" i="56"/>
  <c r="H4407" i="56"/>
  <c r="H4408" i="56"/>
  <c r="H4409" i="56"/>
  <c r="H4410" i="56"/>
  <c r="H4411" i="56"/>
  <c r="H4412" i="56"/>
  <c r="H4413" i="56"/>
  <c r="H4414" i="56"/>
  <c r="H4415" i="56"/>
  <c r="H4416" i="56"/>
  <c r="H4417" i="56"/>
  <c r="H4418" i="56"/>
  <c r="H4419" i="56"/>
  <c r="H4420" i="56"/>
  <c r="H4421" i="56"/>
  <c r="H4422" i="56"/>
  <c r="H4423" i="56"/>
  <c r="H4424" i="56"/>
  <c r="H4425" i="56"/>
  <c r="H4426" i="56"/>
  <c r="H4427" i="56"/>
  <c r="H4428" i="56"/>
  <c r="H4429" i="56"/>
  <c r="H4430" i="56"/>
  <c r="H4431" i="56"/>
  <c r="H4432" i="56"/>
  <c r="H4433" i="56"/>
  <c r="H4434" i="56"/>
  <c r="H4435" i="56"/>
  <c r="H4436" i="56"/>
  <c r="H4437" i="56"/>
  <c r="H4438" i="56"/>
  <c r="H4439" i="56"/>
  <c r="H4440" i="56"/>
  <c r="H4441" i="56"/>
  <c r="H4442" i="56"/>
  <c r="H4443" i="56"/>
  <c r="H4444" i="56"/>
  <c r="H4445" i="56"/>
  <c r="H4446" i="56"/>
  <c r="H4447" i="56"/>
  <c r="H4448" i="56"/>
  <c r="H4449" i="56"/>
  <c r="H4450" i="56"/>
  <c r="H4451" i="56"/>
  <c r="H4452" i="56"/>
  <c r="H4453" i="56"/>
  <c r="H4454" i="56"/>
  <c r="H4455" i="56"/>
  <c r="H4456" i="56"/>
  <c r="H4457" i="56"/>
  <c r="H4458" i="56"/>
  <c r="H4459" i="56"/>
  <c r="H4460" i="56"/>
  <c r="H4461" i="56"/>
  <c r="H4462" i="56"/>
  <c r="H4463" i="56"/>
  <c r="H4464" i="56"/>
  <c r="H4465" i="56"/>
  <c r="H4466" i="56"/>
  <c r="H4467" i="56"/>
  <c r="H4468" i="56"/>
  <c r="H4469" i="56"/>
  <c r="H4470" i="56"/>
  <c r="H4471" i="56"/>
  <c r="H4472" i="56"/>
  <c r="H4473" i="56"/>
  <c r="H4474" i="56"/>
  <c r="H4475" i="56"/>
  <c r="H4476" i="56"/>
  <c r="H4477" i="56"/>
  <c r="H4478" i="56"/>
  <c r="H4479" i="56"/>
  <c r="H4480" i="56"/>
  <c r="H4481" i="56"/>
  <c r="H4482" i="56"/>
  <c r="H4483" i="56"/>
  <c r="H4484" i="56"/>
  <c r="H4485" i="56"/>
  <c r="H4486" i="56"/>
  <c r="H4487" i="56"/>
  <c r="H4488" i="56"/>
  <c r="H4489" i="56"/>
  <c r="H4490" i="56"/>
  <c r="H4491" i="56"/>
  <c r="H4492" i="56"/>
  <c r="H4493" i="56"/>
  <c r="H4494" i="56"/>
  <c r="H4495" i="56"/>
  <c r="H4496" i="56"/>
  <c r="H4497" i="56"/>
  <c r="H4498" i="56"/>
  <c r="H4499" i="56"/>
  <c r="H4500" i="56"/>
  <c r="H4501" i="56"/>
  <c r="H4502" i="56"/>
  <c r="H4503" i="56"/>
  <c r="H4504" i="56"/>
  <c r="H4505" i="56"/>
  <c r="H4506" i="56"/>
  <c r="H4507" i="56"/>
  <c r="H4508" i="56"/>
  <c r="H4509" i="56"/>
  <c r="H4510" i="56"/>
  <c r="H4511" i="56"/>
  <c r="H4512" i="56"/>
  <c r="H4513" i="56"/>
  <c r="H4514" i="56"/>
  <c r="H4515" i="56"/>
  <c r="H4516" i="56"/>
  <c r="H4517" i="56"/>
  <c r="H4518" i="56"/>
  <c r="H4519" i="56"/>
  <c r="H4520" i="56"/>
  <c r="H4521" i="56"/>
  <c r="H4522" i="56"/>
  <c r="H4523" i="56"/>
  <c r="H4524" i="56"/>
  <c r="H4525" i="56"/>
  <c r="H4526" i="56"/>
  <c r="H4527" i="56"/>
  <c r="H4528" i="56"/>
  <c r="H4529" i="56"/>
  <c r="H4530" i="56"/>
  <c r="H4531" i="56"/>
  <c r="H4532" i="56"/>
  <c r="H4533" i="56"/>
  <c r="H4534" i="56"/>
  <c r="H4535" i="56"/>
  <c r="H4536" i="56"/>
  <c r="H4537" i="56"/>
  <c r="H4538" i="56"/>
  <c r="H4539" i="56"/>
  <c r="H4540" i="56"/>
  <c r="H4541" i="56"/>
  <c r="H4542" i="56"/>
  <c r="H4543" i="56"/>
  <c r="H4544" i="56"/>
  <c r="H4545" i="56"/>
  <c r="H4546" i="56"/>
  <c r="H4547" i="56"/>
  <c r="H4548" i="56"/>
  <c r="H4549" i="56"/>
  <c r="H4550" i="56"/>
  <c r="H4551" i="56"/>
  <c r="H4552" i="56"/>
  <c r="H4553" i="56"/>
  <c r="H4554" i="56"/>
  <c r="H4555" i="56"/>
  <c r="H4556" i="56"/>
  <c r="H4557" i="56"/>
  <c r="H4558" i="56"/>
  <c r="H4559" i="56"/>
  <c r="H4560" i="56"/>
  <c r="H4561" i="56"/>
  <c r="H4562" i="56"/>
  <c r="H4563" i="56"/>
  <c r="H4564" i="56"/>
  <c r="H4565" i="56"/>
  <c r="H4566" i="56"/>
  <c r="H4567" i="56"/>
  <c r="H4568" i="56"/>
  <c r="H4569" i="56"/>
  <c r="H4570" i="56"/>
  <c r="H4571" i="56"/>
  <c r="H4572" i="56"/>
  <c r="H4573" i="56"/>
  <c r="H4574" i="56"/>
  <c r="H4575" i="56"/>
  <c r="H4576" i="56"/>
  <c r="H4577" i="56"/>
  <c r="H4578" i="56"/>
  <c r="H4579" i="56"/>
  <c r="H4580" i="56"/>
  <c r="H4581" i="56"/>
  <c r="H4582" i="56"/>
  <c r="H4583" i="56"/>
  <c r="H4584" i="56"/>
  <c r="H4585" i="56"/>
  <c r="H4586" i="56"/>
  <c r="H4587" i="56"/>
  <c r="H4588" i="56"/>
  <c r="H4589" i="56"/>
  <c r="H4590" i="56"/>
  <c r="H4591" i="56"/>
  <c r="H4592" i="56"/>
  <c r="H4593" i="56"/>
  <c r="H4594" i="56"/>
  <c r="H4595" i="56"/>
  <c r="H4596" i="56"/>
  <c r="H4597" i="56"/>
  <c r="H4598" i="56"/>
  <c r="H4599" i="56"/>
  <c r="H4600" i="56"/>
  <c r="H4601" i="56"/>
  <c r="H4602" i="56"/>
  <c r="H4603" i="56"/>
  <c r="H4604" i="56"/>
  <c r="H4605" i="56"/>
  <c r="H4606" i="56"/>
  <c r="H4607" i="56"/>
  <c r="H4608" i="56"/>
  <c r="H4609" i="56"/>
  <c r="H4610" i="56"/>
  <c r="H4611" i="56"/>
  <c r="H4612" i="56"/>
  <c r="H4613" i="56"/>
  <c r="H4614" i="56"/>
  <c r="H4615" i="56"/>
  <c r="H4616" i="56"/>
  <c r="H4617" i="56"/>
  <c r="H4618" i="56"/>
  <c r="H4619" i="56"/>
  <c r="H4620" i="56"/>
  <c r="H4621" i="56"/>
  <c r="H4622" i="56"/>
  <c r="H4623" i="56"/>
  <c r="H4624" i="56"/>
  <c r="H4625" i="56"/>
  <c r="H4626" i="56"/>
  <c r="H4627" i="56"/>
  <c r="H4628" i="56"/>
  <c r="H4629" i="56"/>
  <c r="H4630" i="56"/>
  <c r="H4631" i="56"/>
  <c r="H4632" i="56"/>
  <c r="H4633" i="56"/>
  <c r="H4634" i="56"/>
  <c r="H4635" i="56"/>
  <c r="H4636" i="56"/>
  <c r="H4637" i="56"/>
  <c r="H4638" i="56"/>
  <c r="H4639" i="56"/>
  <c r="H4640" i="56"/>
  <c r="H4641" i="56"/>
  <c r="H4642" i="56"/>
  <c r="H4643" i="56"/>
  <c r="H4644" i="56"/>
  <c r="H4645" i="56"/>
  <c r="H4646" i="56"/>
  <c r="H4647" i="56"/>
  <c r="H4648" i="56"/>
  <c r="H4649" i="56"/>
  <c r="H4650" i="56"/>
  <c r="H4651" i="56"/>
  <c r="H4652" i="56"/>
  <c r="H4653" i="56"/>
  <c r="H4654" i="56"/>
  <c r="H4655" i="56"/>
  <c r="H4656" i="56"/>
  <c r="H4657" i="56"/>
  <c r="H4658" i="56"/>
  <c r="H4659" i="56"/>
  <c r="H4660" i="56"/>
  <c r="H4661" i="56"/>
  <c r="H4662" i="56"/>
  <c r="H4663" i="56"/>
  <c r="H4664" i="56"/>
  <c r="H4665" i="56"/>
  <c r="H4666" i="56"/>
  <c r="H4667" i="56"/>
  <c r="H4668" i="56"/>
  <c r="H4669" i="56"/>
  <c r="H4670" i="56"/>
  <c r="H4671" i="56"/>
  <c r="H4672" i="56"/>
  <c r="H4673" i="56"/>
  <c r="H4674" i="56"/>
  <c r="H4675" i="56"/>
  <c r="H4676" i="56"/>
  <c r="H4677" i="56"/>
  <c r="H4678" i="56"/>
  <c r="H4679" i="56"/>
  <c r="H4680" i="56"/>
  <c r="H4681" i="56"/>
  <c r="H4682" i="56"/>
  <c r="H4683" i="56"/>
  <c r="H4684" i="56"/>
  <c r="H4685" i="56"/>
  <c r="H4686" i="56"/>
  <c r="H4687" i="56"/>
  <c r="H4688" i="56"/>
  <c r="H4689" i="56"/>
  <c r="H4690" i="56"/>
  <c r="H4691" i="56"/>
  <c r="H4692" i="56"/>
  <c r="H4693" i="56"/>
  <c r="H4694" i="56"/>
  <c r="H4695" i="56"/>
  <c r="H4696" i="56"/>
  <c r="H4697" i="56"/>
  <c r="H4698" i="56"/>
  <c r="H4699" i="56"/>
  <c r="H4700" i="56"/>
  <c r="H4701" i="56"/>
  <c r="H4702" i="56"/>
  <c r="H4703" i="56"/>
  <c r="H4704" i="56"/>
  <c r="H4705" i="56"/>
  <c r="H4706" i="56"/>
  <c r="H4707" i="56"/>
  <c r="H4708" i="56"/>
  <c r="H4709" i="56"/>
  <c r="H4710" i="56"/>
  <c r="H4711" i="56"/>
  <c r="H4712" i="56"/>
  <c r="H4713" i="56"/>
  <c r="H4714" i="56"/>
  <c r="H4715" i="56"/>
  <c r="H4716" i="56"/>
  <c r="H4717" i="56"/>
  <c r="H4718" i="56"/>
  <c r="H4719" i="56"/>
  <c r="H4720" i="56"/>
  <c r="H4721" i="56"/>
  <c r="H4722" i="56"/>
  <c r="H4723" i="56"/>
  <c r="H4724" i="56"/>
  <c r="H4725" i="56"/>
  <c r="H4726" i="56"/>
  <c r="H4727" i="56"/>
  <c r="H4728" i="56"/>
  <c r="H4729" i="56"/>
  <c r="H4730" i="56"/>
  <c r="H4731" i="56"/>
  <c r="H4732" i="56"/>
  <c r="H4733" i="56"/>
  <c r="H4734" i="56"/>
  <c r="H4735" i="56"/>
  <c r="H4736" i="56"/>
  <c r="H4737" i="56"/>
  <c r="H4738" i="56"/>
  <c r="H4739" i="56"/>
  <c r="H4740" i="56"/>
  <c r="H4741" i="56"/>
  <c r="H4742" i="56"/>
  <c r="H4743" i="56"/>
  <c r="H4744" i="56"/>
  <c r="H4745" i="56"/>
  <c r="H4746" i="56"/>
  <c r="H4747" i="56"/>
  <c r="H4748" i="56"/>
  <c r="H4749" i="56"/>
  <c r="H4750" i="56"/>
  <c r="H4751" i="56"/>
  <c r="H4752" i="56"/>
  <c r="H4753" i="56"/>
  <c r="H4754" i="56"/>
  <c r="H4755" i="56"/>
  <c r="H4756" i="56"/>
  <c r="H4757" i="56"/>
  <c r="H4758" i="56"/>
  <c r="H4759" i="56"/>
  <c r="H4760" i="56"/>
  <c r="H4761" i="56"/>
  <c r="H4762" i="56"/>
  <c r="H4763" i="56"/>
  <c r="H4764" i="56"/>
  <c r="H4765" i="56"/>
  <c r="H4766" i="56"/>
  <c r="H4767" i="56"/>
  <c r="H4768" i="56"/>
  <c r="H4769" i="56"/>
  <c r="H4770" i="56"/>
  <c r="H4771" i="56"/>
  <c r="H4772" i="56"/>
  <c r="H4773" i="56"/>
  <c r="H4774" i="56"/>
  <c r="H4775" i="56"/>
  <c r="H4776" i="56"/>
  <c r="H4777" i="56"/>
  <c r="H4778" i="56"/>
  <c r="H4779" i="56"/>
  <c r="H4780" i="56"/>
  <c r="H4781" i="56"/>
  <c r="H4782" i="56"/>
  <c r="H4783" i="56"/>
  <c r="H4784" i="56"/>
  <c r="H4785" i="56"/>
  <c r="H4786" i="56"/>
  <c r="H4787" i="56"/>
  <c r="H4788" i="56"/>
  <c r="H4789" i="56"/>
  <c r="H4790" i="56"/>
  <c r="H4791" i="56"/>
  <c r="H4792" i="56"/>
  <c r="H4793" i="56"/>
  <c r="H4794" i="56"/>
  <c r="H4795" i="56"/>
  <c r="H4796" i="56"/>
  <c r="H4797" i="56"/>
  <c r="H4798" i="56"/>
  <c r="H4799" i="56"/>
  <c r="H4800" i="56"/>
  <c r="H4801" i="56"/>
  <c r="H4802" i="56"/>
  <c r="H4803" i="56"/>
  <c r="H4804" i="56"/>
  <c r="H4805" i="56"/>
  <c r="H4806" i="56"/>
  <c r="H4807" i="56"/>
  <c r="H4808" i="56"/>
  <c r="H4809" i="56"/>
  <c r="H4810" i="56"/>
  <c r="H4811" i="56"/>
  <c r="H4812" i="56"/>
  <c r="H4813" i="56"/>
  <c r="H4814" i="56"/>
  <c r="H4815" i="56"/>
  <c r="H4816" i="56"/>
  <c r="H4817" i="56"/>
  <c r="H4818" i="56"/>
  <c r="H4819" i="56"/>
  <c r="H4820" i="56"/>
  <c r="H4821" i="56"/>
  <c r="H4822" i="56"/>
  <c r="H4823" i="56"/>
  <c r="H4824" i="56"/>
  <c r="H4825" i="56"/>
  <c r="H4826" i="56"/>
  <c r="H4827" i="56"/>
  <c r="H4828" i="56"/>
  <c r="H4829" i="56"/>
  <c r="H4830" i="56"/>
  <c r="H4831" i="56"/>
  <c r="H4832" i="56"/>
  <c r="H4833" i="56"/>
  <c r="H4834" i="56"/>
  <c r="H4835" i="56"/>
  <c r="H4836" i="56"/>
  <c r="H4837" i="56"/>
  <c r="H4838" i="56"/>
  <c r="H4839" i="56"/>
  <c r="H4840" i="56"/>
  <c r="H4841" i="56"/>
  <c r="H4842" i="56"/>
  <c r="H4843" i="56"/>
  <c r="H4844" i="56"/>
  <c r="H4845" i="56"/>
  <c r="H4846" i="56"/>
  <c r="H4847" i="56"/>
  <c r="H4848" i="56"/>
  <c r="H4849" i="56"/>
  <c r="H4850" i="56"/>
  <c r="H4851" i="56"/>
  <c r="H4852" i="56"/>
  <c r="H4853" i="56"/>
  <c r="H4854" i="56"/>
  <c r="H4855" i="56"/>
  <c r="H4856" i="56"/>
  <c r="H4857" i="56"/>
  <c r="H4858" i="56"/>
  <c r="H4859" i="56"/>
  <c r="H4860" i="56"/>
  <c r="H4861" i="56"/>
  <c r="H4862" i="56"/>
  <c r="H4863" i="56"/>
  <c r="H4864" i="56"/>
  <c r="H4865" i="56"/>
  <c r="H4866" i="56"/>
  <c r="H4867" i="56"/>
  <c r="H4868" i="56"/>
  <c r="H4869" i="56"/>
  <c r="H4870" i="56"/>
  <c r="H4871" i="56"/>
  <c r="H4872" i="56"/>
  <c r="H4873" i="56"/>
  <c r="H4874" i="56"/>
  <c r="H4875" i="56"/>
  <c r="H4876" i="56"/>
  <c r="H4877" i="56"/>
  <c r="H4878" i="56"/>
  <c r="H4879" i="56"/>
  <c r="H4880" i="56"/>
  <c r="H4881" i="56"/>
  <c r="H4882" i="56"/>
  <c r="H4883" i="56"/>
  <c r="H4884" i="56"/>
  <c r="H4885" i="56"/>
  <c r="H4886" i="56"/>
  <c r="H4887" i="56"/>
  <c r="H4888" i="56"/>
  <c r="H4889" i="56"/>
  <c r="H4890" i="56"/>
  <c r="H4891" i="56"/>
  <c r="H4892" i="56"/>
  <c r="H4893" i="56"/>
  <c r="H4894" i="56"/>
  <c r="H4895" i="56"/>
  <c r="H4896" i="56"/>
  <c r="H4897" i="56"/>
  <c r="H4898" i="56"/>
  <c r="H4899" i="56"/>
  <c r="H4900" i="56"/>
  <c r="H4901" i="56"/>
  <c r="H4902" i="56"/>
  <c r="H4903" i="56"/>
  <c r="H4904" i="56"/>
  <c r="H4905" i="56"/>
  <c r="H4906" i="56"/>
  <c r="H4907" i="56"/>
  <c r="H4908" i="56"/>
  <c r="H4909" i="56"/>
  <c r="H4910" i="56"/>
  <c r="H4911" i="56"/>
  <c r="H4912" i="56"/>
  <c r="H4913" i="56"/>
  <c r="H4914" i="56"/>
  <c r="H4915" i="56"/>
  <c r="H4916" i="56"/>
  <c r="H4917" i="56"/>
  <c r="H4918" i="56"/>
  <c r="H4919" i="56"/>
  <c r="H4920" i="56"/>
  <c r="H4921" i="56"/>
  <c r="H4922" i="56"/>
  <c r="H4923" i="56"/>
  <c r="H4924" i="56"/>
  <c r="H4925" i="56"/>
  <c r="H4926" i="56"/>
  <c r="H4927" i="56"/>
  <c r="H4928" i="56"/>
  <c r="H4929" i="56"/>
  <c r="H4930" i="56"/>
  <c r="H4931" i="56"/>
  <c r="H4932" i="56"/>
  <c r="H4933" i="56"/>
  <c r="H4934" i="56"/>
  <c r="H4935" i="56"/>
  <c r="H4936" i="56"/>
  <c r="H4937" i="56"/>
  <c r="H4938" i="56"/>
  <c r="H4939" i="56"/>
  <c r="H4940" i="56"/>
  <c r="H4941" i="56"/>
  <c r="H4942" i="56"/>
  <c r="H4943" i="56"/>
  <c r="H4944" i="56"/>
  <c r="H4945" i="56"/>
  <c r="H4946" i="56"/>
  <c r="H4947" i="56"/>
  <c r="H4948" i="56"/>
  <c r="H4949" i="56"/>
  <c r="H4950" i="56"/>
  <c r="H4951" i="56"/>
  <c r="H4952" i="56"/>
  <c r="H4953" i="56"/>
  <c r="H4954" i="56"/>
  <c r="H4955" i="56"/>
  <c r="H4956" i="56"/>
  <c r="H4957" i="56"/>
  <c r="H4958" i="56"/>
  <c r="H4959" i="56"/>
  <c r="H4960" i="56"/>
  <c r="H4961" i="56"/>
  <c r="H4962" i="56"/>
  <c r="H4963" i="56"/>
  <c r="H4964" i="56"/>
  <c r="H4965" i="56"/>
  <c r="H4966" i="56"/>
  <c r="H4967" i="56"/>
  <c r="H4968" i="56"/>
  <c r="H4969" i="56"/>
  <c r="H4970" i="56"/>
  <c r="H4971" i="56"/>
  <c r="H4972" i="56"/>
  <c r="H4973" i="56"/>
  <c r="H4974" i="56"/>
  <c r="H4975" i="56"/>
  <c r="H4976" i="56"/>
  <c r="H4977" i="56"/>
  <c r="H4978" i="56"/>
  <c r="H4979" i="56"/>
  <c r="H4980" i="56"/>
  <c r="H4981" i="56"/>
  <c r="H4982" i="56"/>
  <c r="H4983" i="56"/>
  <c r="H4984" i="56"/>
  <c r="H4985" i="56"/>
  <c r="H4986" i="56"/>
  <c r="H4987" i="56"/>
  <c r="H4988" i="56"/>
  <c r="H4989" i="56"/>
  <c r="H4990" i="56"/>
  <c r="H4991" i="56"/>
  <c r="H4992" i="56"/>
  <c r="H4993" i="56"/>
  <c r="H4994" i="56"/>
  <c r="H4995" i="56"/>
  <c r="H4996" i="56"/>
  <c r="H4997" i="56"/>
  <c r="H4998" i="56"/>
  <c r="H4999" i="56"/>
  <c r="H5000" i="56"/>
  <c r="H5001" i="56"/>
  <c r="H5002" i="56"/>
  <c r="H5003" i="56"/>
  <c r="H5004" i="56"/>
  <c r="H5005" i="56"/>
  <c r="H5006" i="56"/>
  <c r="H5007" i="56"/>
  <c r="H5008" i="56"/>
  <c r="H5009" i="56"/>
  <c r="H5010" i="56"/>
  <c r="H5011" i="56"/>
  <c r="H5012" i="56"/>
  <c r="H5013" i="56"/>
  <c r="H5014" i="56"/>
  <c r="H5015" i="56"/>
  <c r="H5016" i="56"/>
  <c r="H5017" i="56"/>
  <c r="H5018" i="56"/>
  <c r="H5019" i="56"/>
  <c r="H5020" i="56"/>
  <c r="H5021" i="56"/>
  <c r="H5022" i="56"/>
  <c r="H5023" i="56"/>
  <c r="H5024" i="56"/>
  <c r="H5025" i="56"/>
  <c r="H5026" i="56"/>
  <c r="H5027" i="56"/>
  <c r="H5028" i="56"/>
  <c r="H5029" i="56"/>
  <c r="H5030" i="56"/>
  <c r="H5031" i="56"/>
  <c r="H5032" i="56"/>
  <c r="H5033" i="56"/>
  <c r="H5034" i="56"/>
  <c r="H5035" i="56"/>
  <c r="H5036" i="56"/>
  <c r="H5037" i="56"/>
  <c r="H5038" i="56"/>
  <c r="H5039" i="56"/>
  <c r="H5040" i="56"/>
  <c r="H5041" i="56"/>
  <c r="H5042" i="56"/>
  <c r="H5043" i="56"/>
  <c r="H5044" i="56"/>
  <c r="H5045" i="56"/>
  <c r="H5046" i="56"/>
  <c r="H5047" i="56"/>
  <c r="H5048" i="56"/>
  <c r="H5049" i="56"/>
  <c r="H5050" i="56"/>
  <c r="H5051" i="56"/>
  <c r="H5052" i="56"/>
  <c r="H5053" i="56"/>
  <c r="H5054" i="56"/>
  <c r="H5055" i="56"/>
  <c r="H5056" i="56"/>
  <c r="H5057" i="56"/>
  <c r="H5058" i="56"/>
  <c r="H5059" i="56"/>
  <c r="H5060" i="56"/>
  <c r="H5061" i="56"/>
  <c r="H5062" i="56"/>
  <c r="H5063" i="56"/>
  <c r="H5064" i="56"/>
  <c r="H5065" i="56"/>
  <c r="H5066" i="56"/>
  <c r="H5067" i="56"/>
  <c r="H5068" i="56"/>
  <c r="H5069" i="56"/>
  <c r="H5070" i="56"/>
  <c r="H5071" i="56"/>
  <c r="H5072" i="56"/>
  <c r="H5073" i="56"/>
  <c r="H5074" i="56"/>
  <c r="H5075" i="56"/>
  <c r="H5076" i="56"/>
  <c r="H5077" i="56"/>
  <c r="H5078" i="56"/>
  <c r="H5079" i="56"/>
  <c r="H5080" i="56"/>
  <c r="H5081" i="56"/>
  <c r="H5082" i="56"/>
  <c r="H5083" i="56"/>
  <c r="H5084" i="56"/>
  <c r="H5085" i="56"/>
  <c r="H5086" i="56"/>
  <c r="H5087" i="56"/>
  <c r="H5088" i="56"/>
  <c r="H5089" i="56"/>
  <c r="H5090" i="56"/>
  <c r="H5091" i="56"/>
  <c r="H5092" i="56"/>
  <c r="H5093" i="56"/>
  <c r="H5094" i="56"/>
  <c r="H5095" i="56"/>
  <c r="H5096" i="56"/>
  <c r="H5097" i="56"/>
  <c r="H5098" i="56"/>
  <c r="H5099" i="56"/>
  <c r="H5100" i="56"/>
  <c r="H5101" i="56"/>
  <c r="H5102" i="56"/>
  <c r="H5103" i="56"/>
  <c r="H5104" i="56"/>
  <c r="H5105" i="56"/>
  <c r="H5106" i="56"/>
  <c r="H5107" i="56"/>
  <c r="H5108" i="56"/>
  <c r="H5109" i="56"/>
  <c r="H5110" i="56"/>
  <c r="H5111" i="56"/>
  <c r="H5112" i="56"/>
  <c r="H5113" i="56"/>
  <c r="H5114" i="56"/>
  <c r="H5115" i="56"/>
  <c r="H5116" i="56"/>
  <c r="H5117" i="56"/>
  <c r="H5118" i="56"/>
  <c r="H5119" i="56"/>
  <c r="H5120" i="56"/>
  <c r="H5121" i="56"/>
  <c r="H5122" i="56"/>
  <c r="H5123" i="56"/>
  <c r="H5124" i="56"/>
  <c r="H5125" i="56"/>
  <c r="H5126" i="56"/>
  <c r="H5127" i="56"/>
  <c r="H5128" i="56"/>
  <c r="H5129" i="56"/>
  <c r="H5130" i="56"/>
  <c r="H5131" i="56"/>
  <c r="H5132" i="56"/>
  <c r="H5133" i="56"/>
  <c r="H5134" i="56"/>
  <c r="H5135" i="56"/>
  <c r="H5136" i="56"/>
  <c r="H5137" i="56"/>
  <c r="H5138" i="56"/>
  <c r="H5139" i="56"/>
  <c r="H5140" i="56"/>
  <c r="H5141" i="56"/>
  <c r="H5142" i="56"/>
  <c r="H5143" i="56"/>
  <c r="H5144" i="56"/>
  <c r="H5145" i="56"/>
  <c r="H5146" i="56"/>
  <c r="H5147" i="56"/>
  <c r="H5148" i="56"/>
  <c r="H5149" i="56"/>
  <c r="H5150" i="56"/>
  <c r="H5151" i="56"/>
  <c r="H5152" i="56"/>
  <c r="H5153" i="56"/>
  <c r="H5154" i="56"/>
  <c r="H5155" i="56"/>
  <c r="H5156" i="56"/>
  <c r="H5157" i="56"/>
  <c r="H5158" i="56"/>
  <c r="H5159" i="56"/>
  <c r="H5160" i="56"/>
  <c r="H5161" i="56"/>
  <c r="H5162" i="56"/>
  <c r="H5163" i="56"/>
  <c r="H5164" i="56"/>
  <c r="H5165" i="56"/>
  <c r="H5166" i="56"/>
  <c r="H5167" i="56"/>
  <c r="H5168" i="56"/>
  <c r="H5169" i="56"/>
  <c r="H5170" i="56"/>
  <c r="H5171" i="56"/>
  <c r="H5172" i="56"/>
  <c r="H5173" i="56"/>
  <c r="H5174" i="56"/>
  <c r="H5175" i="56"/>
  <c r="H5176" i="56"/>
  <c r="H5177" i="56"/>
  <c r="H5178" i="56"/>
  <c r="H5179" i="56"/>
  <c r="H5180" i="56"/>
  <c r="H5181" i="56"/>
  <c r="H5182" i="56"/>
  <c r="H5183" i="56"/>
  <c r="H5184" i="56"/>
  <c r="H5185" i="56"/>
  <c r="H5186" i="56"/>
  <c r="H5187" i="56"/>
  <c r="H5188" i="56"/>
  <c r="H5189" i="56"/>
  <c r="H5190" i="56"/>
  <c r="H5191" i="56"/>
  <c r="H5192" i="56"/>
  <c r="H5193" i="56"/>
  <c r="H5194" i="56"/>
  <c r="H5195" i="56"/>
  <c r="H5196" i="56"/>
  <c r="H5197" i="56"/>
  <c r="H5198" i="56"/>
  <c r="H5199" i="56"/>
  <c r="H5200" i="56"/>
  <c r="H5201" i="56"/>
  <c r="H5202" i="56"/>
  <c r="H5203" i="56"/>
  <c r="H5204" i="56"/>
  <c r="H5205" i="56"/>
  <c r="H5206" i="56"/>
  <c r="H5207" i="56"/>
  <c r="H5208" i="56"/>
  <c r="H5209" i="56"/>
  <c r="H5210" i="56"/>
  <c r="H5211" i="56"/>
  <c r="H5212" i="56"/>
  <c r="H5213" i="56"/>
  <c r="H5214" i="56"/>
  <c r="H5215" i="56"/>
  <c r="H5216" i="56"/>
  <c r="H5217" i="56"/>
  <c r="H5218" i="56"/>
  <c r="H5219" i="56"/>
  <c r="H5220" i="56"/>
  <c r="H5221" i="56"/>
  <c r="H5222" i="56"/>
  <c r="H5223" i="56"/>
  <c r="H5224" i="56"/>
  <c r="H5225" i="56"/>
  <c r="H5226" i="56"/>
  <c r="H5227" i="56"/>
  <c r="H5228" i="56"/>
  <c r="H5229" i="56"/>
  <c r="H5230" i="56"/>
  <c r="H5231" i="56"/>
  <c r="H5232" i="56"/>
  <c r="H5233" i="56"/>
  <c r="H5234" i="56"/>
  <c r="H5235" i="56"/>
  <c r="H5236" i="56"/>
  <c r="H5237" i="56"/>
  <c r="H5238" i="56"/>
  <c r="H5239" i="56"/>
  <c r="H5240" i="56"/>
  <c r="H5241" i="56"/>
  <c r="H5242" i="56"/>
  <c r="H5243" i="56"/>
  <c r="H5244" i="56"/>
  <c r="H5245" i="56"/>
  <c r="H5246" i="56"/>
  <c r="H5247" i="56"/>
  <c r="H5248" i="56"/>
  <c r="H5249" i="56"/>
  <c r="H5250" i="56"/>
  <c r="H5251" i="56"/>
  <c r="H5252" i="56"/>
  <c r="H5253" i="56"/>
  <c r="H5254" i="56"/>
  <c r="H5255" i="56"/>
  <c r="H5256" i="56"/>
  <c r="H5257" i="56"/>
  <c r="H5258" i="56"/>
  <c r="H5259" i="56"/>
  <c r="H5260" i="56"/>
  <c r="H5261" i="56"/>
  <c r="H5262" i="56"/>
  <c r="H5263" i="56"/>
  <c r="H5264" i="56"/>
  <c r="H5265" i="56"/>
  <c r="H5266" i="56"/>
  <c r="H5267" i="56"/>
  <c r="H5268" i="56"/>
  <c r="H5269" i="56"/>
  <c r="H5270" i="56"/>
  <c r="H5271" i="56"/>
  <c r="H5272" i="56"/>
  <c r="H5273" i="56"/>
  <c r="H5274" i="56"/>
  <c r="H5275" i="56"/>
  <c r="H5276" i="56"/>
  <c r="H5277" i="56"/>
  <c r="H5278" i="56"/>
  <c r="H5279" i="56"/>
  <c r="H5280" i="56"/>
  <c r="H5281" i="56"/>
  <c r="H5282" i="56"/>
  <c r="H5283" i="56"/>
  <c r="H5284" i="56"/>
  <c r="H5285" i="56"/>
  <c r="H5286" i="56"/>
  <c r="H5287" i="56"/>
  <c r="H5288" i="56"/>
  <c r="H5289" i="56"/>
  <c r="H5290" i="56"/>
  <c r="H5291" i="56"/>
  <c r="H5292" i="56"/>
  <c r="H5293" i="56"/>
  <c r="H5294" i="56"/>
  <c r="H5295" i="56"/>
  <c r="H5296" i="56"/>
  <c r="H5297" i="56"/>
  <c r="H5298" i="56"/>
  <c r="H5299" i="56"/>
  <c r="H5300" i="56"/>
  <c r="H5301" i="56"/>
  <c r="H5302" i="56"/>
  <c r="H5303" i="56"/>
  <c r="H5304" i="56"/>
  <c r="H5305" i="56"/>
  <c r="H5306" i="56"/>
  <c r="H5307" i="56"/>
  <c r="H5308" i="56"/>
  <c r="H5309" i="56"/>
  <c r="H5310" i="56"/>
  <c r="H5311" i="56"/>
  <c r="H5312" i="56"/>
  <c r="H5313" i="56"/>
  <c r="H5314" i="56"/>
  <c r="H5315" i="56"/>
  <c r="H5316" i="56"/>
  <c r="H5317" i="56"/>
  <c r="H5318" i="56"/>
  <c r="H5319" i="56"/>
  <c r="H5320" i="56"/>
  <c r="H5321" i="56"/>
  <c r="H5322" i="56"/>
  <c r="H5323" i="56"/>
  <c r="H5324" i="56"/>
  <c r="H5325" i="56"/>
  <c r="H5326" i="56"/>
  <c r="H5327" i="56"/>
  <c r="H5328" i="56"/>
  <c r="H5329" i="56"/>
  <c r="H5330" i="56"/>
  <c r="H5331" i="56"/>
  <c r="H5332" i="56"/>
  <c r="H5333" i="56"/>
  <c r="H5334" i="56"/>
  <c r="H5335" i="56"/>
  <c r="H5336" i="56"/>
  <c r="H5337" i="56"/>
  <c r="H5338" i="56"/>
  <c r="H5339" i="56"/>
  <c r="H5340" i="56"/>
  <c r="H5341" i="56"/>
  <c r="H5342" i="56"/>
  <c r="H5343" i="56"/>
  <c r="H5344" i="56"/>
  <c r="H5345" i="56"/>
  <c r="H5346" i="56"/>
  <c r="H5347" i="56"/>
  <c r="H5348" i="56"/>
  <c r="H5349" i="56"/>
  <c r="H5350" i="56"/>
  <c r="H5351" i="56"/>
  <c r="H5352" i="56"/>
  <c r="H5353" i="56"/>
  <c r="H5354" i="56"/>
  <c r="H5355" i="56"/>
  <c r="H5356" i="56"/>
  <c r="H5357" i="56"/>
  <c r="H5358" i="56"/>
  <c r="H5359" i="56"/>
  <c r="H5360" i="56"/>
  <c r="H5361" i="56"/>
  <c r="H5362" i="56"/>
  <c r="H5363" i="56"/>
  <c r="H5364" i="56"/>
  <c r="H5365" i="56"/>
  <c r="H5366" i="56"/>
  <c r="H5367" i="56"/>
  <c r="H5368" i="56"/>
  <c r="H5369" i="56"/>
  <c r="H5370" i="56"/>
  <c r="H5371" i="56"/>
  <c r="H5372" i="56"/>
  <c r="H5373" i="56"/>
  <c r="H5374" i="56"/>
  <c r="H5375" i="56"/>
  <c r="H5376" i="56"/>
  <c r="H5377" i="56"/>
  <c r="H5378" i="56"/>
  <c r="H5379" i="56"/>
  <c r="H5380" i="56"/>
  <c r="H5381" i="56"/>
  <c r="H5382" i="56"/>
  <c r="H5383" i="56"/>
  <c r="H5384" i="56"/>
  <c r="H5385" i="56"/>
  <c r="H5386" i="56"/>
  <c r="H5387" i="56"/>
  <c r="H5388" i="56"/>
  <c r="H5389" i="56"/>
  <c r="H5390" i="56"/>
  <c r="H5391" i="56"/>
  <c r="H5392" i="56"/>
  <c r="H5393" i="56"/>
  <c r="H5394" i="56"/>
  <c r="H5395" i="56"/>
  <c r="H5396" i="56"/>
  <c r="H5397" i="56"/>
  <c r="H5398" i="56"/>
  <c r="H5399" i="56"/>
  <c r="H5400" i="56"/>
  <c r="H5401" i="56"/>
  <c r="H5402" i="56"/>
  <c r="H5403" i="56"/>
  <c r="H5404" i="56"/>
  <c r="H5405" i="56"/>
  <c r="H5406" i="56"/>
  <c r="H5407" i="56"/>
  <c r="H5408" i="56"/>
  <c r="H5409" i="56"/>
  <c r="H5410" i="56"/>
  <c r="H5411" i="56"/>
  <c r="H5412" i="56"/>
  <c r="H5413" i="56"/>
  <c r="H5414" i="56"/>
  <c r="H5415" i="56"/>
  <c r="H5416" i="56"/>
  <c r="H5417" i="56"/>
  <c r="H5418" i="56"/>
  <c r="H5419" i="56"/>
  <c r="H5420" i="56"/>
  <c r="H5421" i="56"/>
  <c r="H5422" i="56"/>
  <c r="H5423" i="56"/>
  <c r="H5424" i="56"/>
  <c r="H5425" i="56"/>
  <c r="H5426" i="56"/>
  <c r="H5427" i="56"/>
  <c r="H5428" i="56"/>
  <c r="H5429" i="56"/>
  <c r="H5430" i="56"/>
  <c r="H5431" i="56"/>
  <c r="H5432" i="56"/>
  <c r="H5433" i="56"/>
  <c r="H5434" i="56"/>
  <c r="H5435" i="56"/>
  <c r="H5436" i="56"/>
  <c r="H5437" i="56"/>
  <c r="H5438" i="56"/>
  <c r="H5439" i="56"/>
  <c r="H5440" i="56"/>
  <c r="H5441" i="56"/>
  <c r="H5442" i="56"/>
  <c r="H5443" i="56"/>
  <c r="H5444" i="56"/>
  <c r="H5445" i="56"/>
  <c r="H5446" i="56"/>
  <c r="H5447" i="56"/>
  <c r="H5448" i="56"/>
  <c r="H5449" i="56"/>
  <c r="H5450" i="56"/>
  <c r="H5451" i="56"/>
  <c r="H5452" i="56"/>
  <c r="H5453" i="56"/>
  <c r="H5454" i="56"/>
  <c r="H5455" i="56"/>
  <c r="H5456" i="56"/>
  <c r="H5457" i="56"/>
  <c r="H5458" i="56"/>
  <c r="H5459" i="56"/>
  <c r="H5460" i="56"/>
  <c r="H5461" i="56"/>
  <c r="H5462" i="56"/>
  <c r="H5463" i="56"/>
  <c r="H5464" i="56"/>
  <c r="H5465" i="56"/>
  <c r="H5466" i="56"/>
  <c r="H5467" i="56"/>
  <c r="H5468" i="56"/>
  <c r="H5469" i="56"/>
  <c r="H5470" i="56"/>
  <c r="H5471" i="56"/>
  <c r="H5472" i="56"/>
  <c r="H5473" i="56"/>
  <c r="H5474" i="56"/>
  <c r="H5475" i="56"/>
  <c r="H5476" i="56"/>
  <c r="H5477" i="56"/>
  <c r="H5478" i="56"/>
  <c r="H5479" i="56"/>
  <c r="H5480" i="56"/>
  <c r="H5481" i="56"/>
  <c r="H5482" i="56"/>
  <c r="H5483" i="56"/>
  <c r="H5484" i="56"/>
  <c r="H5485" i="56"/>
  <c r="H5486" i="56"/>
  <c r="H5487" i="56"/>
  <c r="H5488" i="56"/>
  <c r="H5489" i="56"/>
  <c r="H5490" i="56"/>
  <c r="H5491" i="56"/>
  <c r="H5492" i="56"/>
  <c r="H5493" i="56"/>
  <c r="H5494" i="56"/>
  <c r="H5495" i="56"/>
  <c r="H5496" i="56"/>
  <c r="H5497" i="56"/>
  <c r="H5498" i="56"/>
  <c r="H5499" i="56"/>
  <c r="H5500" i="56"/>
  <c r="H5501" i="56"/>
  <c r="H5502" i="56"/>
  <c r="H5503" i="56"/>
  <c r="H5504" i="56"/>
  <c r="H5505" i="56"/>
  <c r="H5506" i="56"/>
  <c r="H5507" i="56"/>
  <c r="H5508" i="56"/>
  <c r="H5509" i="56"/>
  <c r="H5510" i="56"/>
  <c r="H5511" i="56"/>
  <c r="H5512" i="56"/>
  <c r="H5513" i="56"/>
  <c r="H5514" i="56"/>
  <c r="H5515" i="56"/>
  <c r="H5516" i="56"/>
  <c r="H5517" i="56"/>
  <c r="H5518" i="56"/>
  <c r="H5519" i="56"/>
  <c r="H5520" i="56"/>
  <c r="H5521" i="56"/>
  <c r="H5522" i="56"/>
  <c r="H5523" i="56"/>
  <c r="H5524" i="56"/>
  <c r="H5525" i="56"/>
  <c r="H5526" i="56"/>
  <c r="H5527" i="56"/>
  <c r="H5528" i="56"/>
  <c r="H5529" i="56"/>
  <c r="H5530" i="56"/>
  <c r="H5531" i="56"/>
  <c r="H5532" i="56"/>
  <c r="H5533" i="56"/>
  <c r="H5534" i="56"/>
  <c r="H5535" i="56"/>
  <c r="H5536" i="56"/>
  <c r="H5537" i="56"/>
  <c r="H5538" i="56"/>
  <c r="H5539" i="56"/>
  <c r="H5540" i="56"/>
  <c r="H5541" i="56"/>
  <c r="H5542" i="56"/>
  <c r="H5543" i="56"/>
  <c r="H5544" i="56"/>
  <c r="H5545" i="56"/>
  <c r="H5546" i="56"/>
  <c r="H5547" i="56"/>
  <c r="H5548" i="56"/>
  <c r="H5549" i="56"/>
  <c r="H5550" i="56"/>
  <c r="H5551" i="56"/>
  <c r="H5552" i="56"/>
  <c r="H5553" i="56"/>
  <c r="H5554" i="56"/>
  <c r="H5555" i="56"/>
  <c r="H5556" i="56"/>
  <c r="H5557" i="56"/>
  <c r="H5558" i="56"/>
  <c r="H5559" i="56"/>
  <c r="H5560" i="56"/>
  <c r="H5561" i="56"/>
  <c r="H5562" i="56"/>
  <c r="H5563" i="56"/>
  <c r="H5564" i="56"/>
  <c r="H5565" i="56"/>
  <c r="H5566" i="56"/>
  <c r="H5567" i="56"/>
  <c r="H5568" i="56"/>
  <c r="H5569" i="56"/>
  <c r="H5570" i="56"/>
  <c r="H5571" i="56"/>
  <c r="H5572" i="56"/>
  <c r="H5573" i="56"/>
  <c r="H5574" i="56"/>
  <c r="H5575" i="56"/>
  <c r="H5576" i="56"/>
  <c r="H5577" i="56"/>
  <c r="H5578" i="56"/>
  <c r="H5579" i="56"/>
  <c r="H5580" i="56"/>
  <c r="H5581" i="56"/>
  <c r="H5582" i="56"/>
  <c r="H5583" i="56"/>
  <c r="H5584" i="56"/>
  <c r="H5585" i="56"/>
  <c r="H5586" i="56"/>
  <c r="H5587" i="56"/>
  <c r="H5588" i="56"/>
  <c r="H5589" i="56"/>
  <c r="H5590" i="56"/>
  <c r="H5591" i="56"/>
  <c r="H5592" i="56"/>
  <c r="H5593" i="56"/>
  <c r="H5594" i="56"/>
  <c r="H5595" i="56"/>
  <c r="H5596" i="56"/>
  <c r="H5597" i="56"/>
  <c r="H5598" i="56"/>
  <c r="H5599" i="56"/>
  <c r="H5600" i="56"/>
  <c r="H5601" i="56"/>
  <c r="H5602" i="56"/>
  <c r="H5603" i="56"/>
  <c r="H5604" i="56"/>
  <c r="H5605" i="56"/>
  <c r="H5606" i="56"/>
  <c r="H5607" i="56"/>
  <c r="H5608" i="56"/>
  <c r="H5609" i="56"/>
  <c r="H5610" i="56"/>
  <c r="H5611" i="56"/>
  <c r="H5612" i="56"/>
  <c r="H5613" i="56"/>
  <c r="H5614" i="56"/>
  <c r="H5615" i="56"/>
  <c r="H5616" i="56"/>
  <c r="H5617" i="56"/>
  <c r="H5618" i="56"/>
  <c r="H5619" i="56"/>
  <c r="H5620" i="56"/>
  <c r="H5621" i="56"/>
  <c r="H5622" i="56"/>
  <c r="H5623" i="56"/>
  <c r="H5624" i="56"/>
  <c r="H5625" i="56"/>
  <c r="H5626" i="56"/>
  <c r="H5627" i="56"/>
  <c r="H5628" i="56"/>
  <c r="H5629" i="56"/>
  <c r="H5630" i="56"/>
  <c r="H5631" i="56"/>
  <c r="H5632" i="56"/>
  <c r="H5633" i="56"/>
  <c r="H5634" i="56"/>
  <c r="H5635" i="56"/>
  <c r="H5636" i="56"/>
  <c r="H5637" i="56"/>
  <c r="H5638" i="56"/>
  <c r="H5639" i="56"/>
  <c r="H5640" i="56"/>
  <c r="H5641" i="56"/>
  <c r="H5642" i="56"/>
  <c r="H5643" i="56"/>
  <c r="H5644" i="56"/>
  <c r="H5645" i="56"/>
  <c r="H5646" i="56"/>
  <c r="H5647" i="56"/>
  <c r="H5648" i="56"/>
  <c r="H5649" i="56"/>
  <c r="H5650" i="56"/>
  <c r="H5651" i="56"/>
  <c r="H5652" i="56"/>
  <c r="H5653" i="56"/>
  <c r="H5654" i="56"/>
  <c r="H5655" i="56"/>
  <c r="H5656" i="56"/>
  <c r="H5657" i="56"/>
  <c r="H5658" i="56"/>
  <c r="H5659" i="56"/>
  <c r="H5660" i="56"/>
  <c r="H5661" i="56"/>
  <c r="H5662" i="56"/>
  <c r="H5663" i="56"/>
  <c r="H5664" i="56"/>
  <c r="H5665" i="56"/>
  <c r="H5666" i="56"/>
  <c r="H5667" i="56"/>
  <c r="H5668" i="56"/>
  <c r="H5669" i="56"/>
  <c r="H5670" i="56"/>
  <c r="H5671" i="56"/>
  <c r="H5672" i="56"/>
  <c r="H5673" i="56"/>
  <c r="H5674" i="56"/>
  <c r="H5675" i="56"/>
  <c r="H5676" i="56"/>
  <c r="H5677" i="56"/>
  <c r="H5678" i="56"/>
  <c r="H5679" i="56"/>
  <c r="H5680" i="56"/>
  <c r="H5681" i="56"/>
  <c r="H5682" i="56"/>
  <c r="H5683" i="56"/>
  <c r="H5684" i="56"/>
  <c r="H5685" i="56"/>
  <c r="H5686" i="56"/>
  <c r="H5687" i="56"/>
  <c r="H5688" i="56"/>
  <c r="H5689" i="56"/>
  <c r="H5690" i="56"/>
  <c r="H5691" i="56"/>
  <c r="H5692" i="56"/>
  <c r="H5693" i="56"/>
  <c r="H5694" i="56"/>
  <c r="H5695" i="56"/>
  <c r="H5696" i="56"/>
  <c r="H5697" i="56"/>
  <c r="H5698" i="56"/>
  <c r="H5699" i="56"/>
  <c r="H5700" i="56"/>
  <c r="H5701" i="56"/>
  <c r="H5702" i="56"/>
  <c r="H5703" i="56"/>
  <c r="H5704" i="56"/>
  <c r="H5705" i="56"/>
  <c r="H5706" i="56"/>
  <c r="H5707" i="56"/>
  <c r="H5708" i="56"/>
  <c r="H5709" i="56"/>
  <c r="H5710" i="56"/>
  <c r="H5711" i="56"/>
  <c r="H5712" i="56"/>
  <c r="H5713" i="56"/>
  <c r="H5714" i="56"/>
  <c r="H5715" i="56"/>
  <c r="H5716" i="56"/>
  <c r="H5717" i="56"/>
  <c r="H5718" i="56"/>
  <c r="H5719" i="56"/>
  <c r="H5720" i="56"/>
  <c r="H5721" i="56"/>
  <c r="H5722" i="56"/>
  <c r="H5723" i="56"/>
  <c r="H5724" i="56"/>
  <c r="H5725" i="56"/>
  <c r="H5726" i="56"/>
  <c r="H5727" i="56"/>
  <c r="H5728" i="56"/>
  <c r="H5729" i="56"/>
  <c r="H5730" i="56"/>
  <c r="H5731" i="56"/>
  <c r="H5732" i="56"/>
  <c r="H5733" i="56"/>
  <c r="H5734" i="56"/>
  <c r="H5735" i="56"/>
  <c r="H5736" i="56"/>
  <c r="H5737" i="56"/>
  <c r="H5738" i="56"/>
  <c r="H5739" i="56"/>
  <c r="H5740" i="56"/>
  <c r="H5741" i="56"/>
  <c r="H5742" i="56"/>
  <c r="H5743" i="56"/>
  <c r="H5744" i="56"/>
  <c r="H5745" i="56"/>
  <c r="H5746" i="56"/>
  <c r="H5747" i="56"/>
  <c r="H5748" i="56"/>
  <c r="H5749" i="56"/>
  <c r="H5750" i="56"/>
  <c r="H5751" i="56"/>
  <c r="H5752" i="56"/>
  <c r="H5753" i="56"/>
  <c r="H5754" i="56"/>
  <c r="H5755" i="56"/>
  <c r="H5756" i="56"/>
  <c r="H5757" i="56"/>
  <c r="H5758" i="56"/>
  <c r="H5759" i="56"/>
  <c r="H5760" i="56"/>
  <c r="H5761" i="56"/>
  <c r="H5762" i="56"/>
  <c r="H5763" i="56"/>
  <c r="H5764" i="56"/>
  <c r="H5765" i="56"/>
  <c r="H5766" i="56"/>
  <c r="H5767" i="56"/>
  <c r="H5768" i="56"/>
  <c r="H5769" i="56"/>
  <c r="H5770" i="56"/>
  <c r="H5771" i="56"/>
  <c r="H5772" i="56"/>
  <c r="H5773" i="56"/>
  <c r="H5774" i="56"/>
  <c r="H5775" i="56"/>
  <c r="H5776" i="56"/>
  <c r="H5777" i="56"/>
  <c r="H5778" i="56"/>
  <c r="H5779" i="56"/>
  <c r="H5780" i="56"/>
  <c r="H5781" i="56"/>
  <c r="H5782" i="56"/>
  <c r="H5783" i="56"/>
  <c r="H5784" i="56"/>
  <c r="H5785" i="56"/>
  <c r="H5786" i="56"/>
  <c r="H5787" i="56"/>
  <c r="H5788" i="56"/>
  <c r="H5789" i="56"/>
  <c r="H5790" i="56"/>
  <c r="H5791" i="56"/>
  <c r="H5792" i="56"/>
  <c r="H5793" i="56"/>
  <c r="H5794" i="56"/>
  <c r="H5795" i="56"/>
  <c r="H5796" i="56"/>
  <c r="H5797" i="56"/>
  <c r="H5798" i="56"/>
  <c r="H5799" i="56"/>
  <c r="H5800" i="56"/>
  <c r="H5801" i="56"/>
  <c r="H5802" i="56"/>
  <c r="H5803" i="56"/>
  <c r="H5804" i="56"/>
  <c r="H5805" i="56"/>
  <c r="H5806" i="56"/>
  <c r="H5807" i="56"/>
  <c r="H5808" i="56"/>
  <c r="H5809" i="56"/>
  <c r="H5810" i="56"/>
  <c r="H5811" i="56"/>
  <c r="H5812" i="56"/>
  <c r="H5813" i="56"/>
  <c r="H5814" i="56"/>
  <c r="H5815" i="56"/>
  <c r="H5816" i="56"/>
  <c r="H5817" i="56"/>
  <c r="H5818" i="56"/>
  <c r="H5819" i="56"/>
  <c r="H5820" i="56"/>
  <c r="H5821" i="56"/>
  <c r="H5822" i="56"/>
  <c r="H5823" i="56"/>
  <c r="H5824" i="56"/>
  <c r="H5825" i="56"/>
  <c r="H5826" i="56"/>
  <c r="H5827" i="56"/>
  <c r="H5828" i="56"/>
  <c r="H5829" i="56"/>
  <c r="H5830" i="56"/>
  <c r="H5831" i="56"/>
  <c r="H5832" i="56"/>
  <c r="H5833" i="56"/>
  <c r="H5834" i="56"/>
  <c r="H5835" i="56"/>
  <c r="H5836" i="56"/>
  <c r="H5837" i="56"/>
  <c r="H5838" i="56"/>
  <c r="H5839" i="56"/>
  <c r="H5840" i="56"/>
  <c r="H5841" i="56"/>
  <c r="H5842" i="56"/>
  <c r="H5843" i="56"/>
  <c r="H5844" i="56"/>
  <c r="H5845" i="56"/>
  <c r="H5846" i="56"/>
  <c r="H5847" i="56"/>
  <c r="H5848" i="56"/>
  <c r="H5849" i="56"/>
  <c r="H5850" i="56"/>
  <c r="H5851" i="56"/>
  <c r="H5852" i="56"/>
  <c r="H5853" i="56"/>
  <c r="H5854" i="56"/>
  <c r="H5855" i="56"/>
  <c r="H5856" i="56"/>
  <c r="H5857" i="56"/>
  <c r="H5858" i="56"/>
  <c r="H5859" i="56"/>
  <c r="H5860" i="56"/>
  <c r="H5861" i="56"/>
  <c r="H5862" i="56"/>
  <c r="H5863" i="56"/>
  <c r="H5864" i="56"/>
  <c r="H5865" i="56"/>
  <c r="H5866" i="56"/>
  <c r="H5867" i="56"/>
  <c r="H5868" i="56"/>
  <c r="H5869" i="56"/>
  <c r="H5870" i="56"/>
  <c r="H5871" i="56"/>
  <c r="H5872" i="56"/>
  <c r="H5873" i="56"/>
  <c r="H5874" i="56"/>
  <c r="H5875" i="56"/>
  <c r="H5876" i="56"/>
  <c r="H5877" i="56"/>
  <c r="H5878" i="56"/>
  <c r="H5879" i="56"/>
  <c r="H5880" i="56"/>
  <c r="H5881" i="56"/>
  <c r="H5882" i="56"/>
  <c r="H5883" i="56"/>
  <c r="H5884" i="56"/>
  <c r="H5885" i="56"/>
  <c r="H5886" i="56"/>
  <c r="H5887" i="56"/>
  <c r="H5888" i="56"/>
  <c r="H5889" i="56"/>
  <c r="H5890" i="56"/>
  <c r="H5891" i="56"/>
  <c r="H5892" i="56"/>
  <c r="H5893" i="56"/>
  <c r="H5894" i="56"/>
  <c r="H5895" i="56"/>
  <c r="H5896" i="56"/>
  <c r="H5897" i="56"/>
  <c r="H5898" i="56"/>
  <c r="H5899" i="56"/>
  <c r="H5900" i="56"/>
  <c r="H5901" i="56"/>
  <c r="H5902" i="56"/>
  <c r="H5903" i="56"/>
  <c r="H5904" i="56"/>
  <c r="H5905" i="56"/>
  <c r="H5906" i="56"/>
  <c r="H5907" i="56"/>
  <c r="H5908" i="56"/>
  <c r="H5909" i="56"/>
  <c r="H5910" i="56"/>
  <c r="H5911" i="56"/>
  <c r="H5912" i="56"/>
  <c r="H5913" i="56"/>
  <c r="H5914" i="56"/>
  <c r="H5915" i="56"/>
  <c r="H5916" i="56"/>
  <c r="H5917" i="56"/>
  <c r="H5918" i="56"/>
  <c r="H5919" i="56"/>
  <c r="H5920" i="56"/>
  <c r="H5921" i="56"/>
  <c r="H5922" i="56"/>
  <c r="H5923" i="56"/>
  <c r="H5924" i="56"/>
  <c r="H5925" i="56"/>
  <c r="H5926" i="56"/>
  <c r="H5927" i="56"/>
  <c r="H5928" i="56"/>
  <c r="H5929" i="56"/>
  <c r="H5930" i="56"/>
  <c r="H5931" i="56"/>
  <c r="H5932" i="56"/>
  <c r="H5933" i="56"/>
  <c r="H5934" i="56"/>
  <c r="H5935" i="56"/>
  <c r="H5936" i="56"/>
  <c r="H5937" i="56"/>
  <c r="H5938" i="56"/>
  <c r="H5939" i="56"/>
  <c r="H5940" i="56"/>
  <c r="H5941" i="56"/>
  <c r="H5942" i="56"/>
  <c r="H5943" i="56"/>
  <c r="H5944" i="56"/>
  <c r="H5945" i="56"/>
  <c r="H5946" i="56"/>
  <c r="H5947" i="56"/>
  <c r="H5948" i="56"/>
  <c r="H5949" i="56"/>
  <c r="H5950" i="56"/>
  <c r="H5951" i="56"/>
  <c r="H5952" i="56"/>
  <c r="H5953" i="56"/>
  <c r="H5954" i="56"/>
  <c r="H5955" i="56"/>
  <c r="H5956" i="56"/>
  <c r="H5957" i="56"/>
  <c r="H5958" i="56"/>
  <c r="H5959" i="56"/>
  <c r="H5960" i="56"/>
  <c r="H5961" i="56"/>
  <c r="H5962" i="56"/>
  <c r="H5963" i="56"/>
  <c r="H5964" i="56"/>
  <c r="H5965" i="56"/>
  <c r="H5966" i="56"/>
  <c r="H5967" i="56"/>
  <c r="H5968" i="56"/>
  <c r="H5969" i="56"/>
  <c r="H5970" i="56"/>
  <c r="H5971" i="56"/>
  <c r="H5972" i="56"/>
  <c r="H5973" i="56"/>
  <c r="H5974" i="56"/>
  <c r="H5975" i="56"/>
  <c r="H5976" i="56"/>
  <c r="H5977" i="56"/>
  <c r="H5978" i="56"/>
  <c r="H5979" i="56"/>
  <c r="H5980" i="56"/>
  <c r="H5981" i="56"/>
  <c r="H5982" i="56"/>
  <c r="H5983" i="56"/>
  <c r="H5984" i="56"/>
  <c r="H5985" i="56"/>
  <c r="H5986" i="56"/>
  <c r="H5987" i="56"/>
  <c r="H5988" i="56"/>
  <c r="H5989" i="56"/>
  <c r="H5990" i="56"/>
  <c r="H5991" i="56"/>
  <c r="H5992" i="56"/>
  <c r="H5993" i="56"/>
  <c r="H5994" i="56"/>
  <c r="H5995" i="56"/>
  <c r="H5996" i="56"/>
  <c r="H5997" i="56"/>
  <c r="H5998" i="56"/>
  <c r="H5999" i="56"/>
  <c r="H6000" i="56"/>
  <c r="H6001" i="56"/>
  <c r="H6002" i="56"/>
  <c r="H6003" i="56"/>
  <c r="H6004" i="56"/>
  <c r="H6005" i="56"/>
  <c r="H6006" i="56"/>
  <c r="H6007" i="56"/>
  <c r="H6008" i="56"/>
  <c r="H6009" i="56"/>
  <c r="H6010" i="56"/>
  <c r="H6011" i="56"/>
  <c r="H6012" i="56"/>
  <c r="H6013" i="56"/>
  <c r="H6014" i="56"/>
  <c r="H6015" i="56"/>
  <c r="H6016" i="56"/>
  <c r="H6017" i="56"/>
  <c r="H6018" i="56"/>
  <c r="H6019" i="56"/>
  <c r="H6020" i="56"/>
  <c r="H6021" i="56"/>
  <c r="H6022" i="56"/>
  <c r="H6023" i="56"/>
  <c r="H6024" i="56"/>
  <c r="H6025" i="56"/>
  <c r="H6026" i="56"/>
  <c r="H6027" i="56"/>
  <c r="H6028" i="56"/>
  <c r="H6029" i="56"/>
  <c r="H6030" i="56"/>
  <c r="H6031" i="56"/>
  <c r="H6032" i="56"/>
  <c r="H6033" i="56"/>
  <c r="H6034" i="56"/>
  <c r="H6035" i="56"/>
  <c r="H6036" i="56"/>
  <c r="H6037" i="56"/>
  <c r="H6038" i="56"/>
  <c r="H6039" i="56"/>
  <c r="H6040" i="56"/>
  <c r="H6041" i="56"/>
  <c r="H6042" i="56"/>
  <c r="H6043" i="56"/>
  <c r="H6044" i="56"/>
  <c r="H6045" i="56"/>
  <c r="H6046" i="56"/>
  <c r="H6047" i="56"/>
  <c r="H6048" i="56"/>
  <c r="H6049" i="56"/>
  <c r="H6050" i="56"/>
  <c r="H6051" i="56"/>
  <c r="H6052" i="56"/>
  <c r="H6053" i="56"/>
  <c r="H6054" i="56"/>
  <c r="H6055" i="56"/>
  <c r="H6056" i="56"/>
  <c r="H6057" i="56"/>
  <c r="H6058" i="56"/>
  <c r="H6059" i="56"/>
  <c r="H6060" i="56"/>
  <c r="H6061" i="56"/>
  <c r="H6062" i="56"/>
  <c r="H6063" i="56"/>
  <c r="H6064" i="56"/>
  <c r="H6065" i="56"/>
  <c r="H6066" i="56"/>
  <c r="H6067" i="56"/>
  <c r="H6068" i="56"/>
  <c r="H6069" i="56"/>
  <c r="H6070" i="56"/>
  <c r="H6071" i="56"/>
  <c r="H6072" i="56"/>
  <c r="H6073" i="56"/>
  <c r="H6074" i="56"/>
  <c r="H6075" i="56"/>
  <c r="H6076" i="56"/>
  <c r="H6077" i="56"/>
  <c r="H6078" i="56"/>
  <c r="H6079" i="56"/>
  <c r="H6080" i="56"/>
  <c r="H6081" i="56"/>
  <c r="H6082" i="56"/>
  <c r="H6083" i="56"/>
  <c r="H6084" i="56"/>
  <c r="H6085" i="56"/>
  <c r="H6086" i="56"/>
  <c r="H6087" i="56"/>
  <c r="H6088" i="56"/>
  <c r="H6089" i="56"/>
  <c r="H6090" i="56"/>
  <c r="H6091" i="56"/>
  <c r="H6092" i="56"/>
  <c r="H6093" i="56"/>
  <c r="H6094" i="56"/>
  <c r="K1773" i="56"/>
  <c r="K1774" i="56"/>
  <c r="K1775" i="56"/>
  <c r="K1776" i="56"/>
  <c r="K1777" i="56"/>
  <c r="K1778" i="56"/>
  <c r="K1779" i="56"/>
  <c r="K1780" i="56"/>
  <c r="K1781" i="56"/>
  <c r="K1782" i="56"/>
  <c r="K1783" i="56"/>
  <c r="K1784" i="56"/>
  <c r="K1785" i="56"/>
  <c r="K1786" i="56"/>
  <c r="K1787" i="56"/>
  <c r="K1788" i="56"/>
  <c r="K1789" i="56"/>
  <c r="K1790" i="56"/>
  <c r="L1790" i="56" s="1"/>
  <c r="K1791" i="56"/>
  <c r="K1792" i="56"/>
  <c r="L1792" i="56" s="1"/>
  <c r="K1793" i="56"/>
  <c r="K1794" i="56"/>
  <c r="K1795" i="56"/>
  <c r="L1795" i="56" s="1"/>
  <c r="K1796" i="56"/>
  <c r="K1797" i="56"/>
  <c r="K1798" i="56"/>
  <c r="K1799" i="56"/>
  <c r="K1800" i="56"/>
  <c r="K1801" i="56"/>
  <c r="K1802" i="56"/>
  <c r="L1802" i="56" s="1"/>
  <c r="K1803" i="56"/>
  <c r="K1804" i="56"/>
  <c r="L1804" i="56" s="1"/>
  <c r="K1805" i="56"/>
  <c r="K1806" i="56"/>
  <c r="K1807" i="56"/>
  <c r="L1807" i="56" s="1"/>
  <c r="K1808" i="56"/>
  <c r="K1809" i="56"/>
  <c r="K1810" i="56"/>
  <c r="K1811" i="56"/>
  <c r="K1812" i="56"/>
  <c r="K1813" i="56"/>
  <c r="K1814" i="56"/>
  <c r="K1815" i="56"/>
  <c r="K1816" i="56"/>
  <c r="K1817" i="56"/>
  <c r="K1818" i="56"/>
  <c r="K1819" i="56"/>
  <c r="L1819" i="56" s="1"/>
  <c r="K1820" i="56"/>
  <c r="K1821" i="56"/>
  <c r="K1822" i="56"/>
  <c r="K1823" i="56"/>
  <c r="K1824" i="56"/>
  <c r="K1825" i="56"/>
  <c r="K1826" i="56"/>
  <c r="K1827" i="56"/>
  <c r="K1828" i="56"/>
  <c r="L1828" i="56" s="1"/>
  <c r="K1829" i="56"/>
  <c r="K1830" i="56"/>
  <c r="K1831" i="56"/>
  <c r="L1831" i="56" s="1"/>
  <c r="K1832" i="56"/>
  <c r="K1833" i="56"/>
  <c r="K1834" i="56"/>
  <c r="K1835" i="56"/>
  <c r="K1836" i="56"/>
  <c r="K1837" i="56"/>
  <c r="K1838" i="56"/>
  <c r="L1838" i="56" s="1"/>
  <c r="K1839" i="56"/>
  <c r="L1839" i="56" s="1"/>
  <c r="K1840" i="56"/>
  <c r="L1840" i="56" s="1"/>
  <c r="K1841" i="56"/>
  <c r="K1842" i="56"/>
  <c r="K1843" i="56"/>
  <c r="L1843" i="56" s="1"/>
  <c r="K1844" i="56"/>
  <c r="K1845" i="56"/>
  <c r="K1846" i="56"/>
  <c r="K1847" i="56"/>
  <c r="K1848" i="56"/>
  <c r="K1849" i="56"/>
  <c r="K1850" i="56"/>
  <c r="K1851" i="56"/>
  <c r="K1852" i="56"/>
  <c r="K1853" i="56"/>
  <c r="K1854" i="56"/>
  <c r="K1855" i="56"/>
  <c r="L1855" i="56" s="1"/>
  <c r="K1856" i="56"/>
  <c r="K1857" i="56"/>
  <c r="K1858" i="56"/>
  <c r="K1859" i="56"/>
  <c r="K1860" i="56"/>
  <c r="K1861" i="56"/>
  <c r="K1862" i="56"/>
  <c r="K1863" i="56"/>
  <c r="K1864" i="56"/>
  <c r="L1864" i="56" s="1"/>
  <c r="K1865" i="56"/>
  <c r="K1866" i="56"/>
  <c r="K1867" i="56"/>
  <c r="K1868" i="56"/>
  <c r="K1869" i="56"/>
  <c r="K1870" i="56"/>
  <c r="K1871" i="56"/>
  <c r="K1872" i="56"/>
  <c r="K1873" i="56"/>
  <c r="K1874" i="56"/>
  <c r="K1875" i="56"/>
  <c r="K1876" i="56"/>
  <c r="K1877" i="56"/>
  <c r="K1878" i="56"/>
  <c r="K1879" i="56"/>
  <c r="L1879" i="56" s="1"/>
  <c r="K1880" i="56"/>
  <c r="K1881" i="56"/>
  <c r="K1882" i="56"/>
  <c r="K1883" i="56"/>
  <c r="K1884" i="56"/>
  <c r="K1885" i="56"/>
  <c r="K1886" i="56"/>
  <c r="K1887" i="56"/>
  <c r="L1887" i="56" s="1"/>
  <c r="K1888" i="56"/>
  <c r="L1888" i="56" s="1"/>
  <c r="K1889" i="56"/>
  <c r="K1890" i="56"/>
  <c r="K1891" i="56"/>
  <c r="L1891" i="56" s="1"/>
  <c r="K1892" i="56"/>
  <c r="K1893" i="56"/>
  <c r="K1894" i="56"/>
  <c r="K1895" i="56"/>
  <c r="K1896" i="56"/>
  <c r="K1897" i="56"/>
  <c r="K1898" i="56"/>
  <c r="L1898" i="56" s="1"/>
  <c r="K1899" i="56"/>
  <c r="L1899" i="56" s="1"/>
  <c r="K1900" i="56"/>
  <c r="L1900" i="56" s="1"/>
  <c r="K1901" i="56"/>
  <c r="K1902" i="56"/>
  <c r="K1903" i="56"/>
  <c r="L1903" i="56" s="1"/>
  <c r="K1904" i="56"/>
  <c r="K1905" i="56"/>
  <c r="K1906" i="56"/>
  <c r="K1907" i="56"/>
  <c r="K1908" i="56"/>
  <c r="K1909" i="56"/>
  <c r="K1910" i="56"/>
  <c r="K1911" i="56"/>
  <c r="L1911" i="56" s="1"/>
  <c r="K1912" i="56"/>
  <c r="L1912" i="56" s="1"/>
  <c r="K1913" i="56"/>
  <c r="K1914" i="56"/>
  <c r="K1915" i="56"/>
  <c r="L1915" i="56" s="1"/>
  <c r="K1916" i="56"/>
  <c r="K1917" i="56"/>
  <c r="K1918" i="56"/>
  <c r="K1919" i="56"/>
  <c r="K1920" i="56"/>
  <c r="K1921" i="56"/>
  <c r="K1922" i="56"/>
  <c r="K1923" i="56"/>
  <c r="L1923" i="56" s="1"/>
  <c r="K1924" i="56"/>
  <c r="L1924" i="56" s="1"/>
  <c r="K1925" i="56"/>
  <c r="K1926" i="56"/>
  <c r="K1927" i="56"/>
  <c r="L1927" i="56" s="1"/>
  <c r="K1928" i="56"/>
  <c r="K1929" i="56"/>
  <c r="K1930" i="56"/>
  <c r="K1931" i="56"/>
  <c r="K1932" i="56"/>
  <c r="K1933" i="56"/>
  <c r="K1934" i="56"/>
  <c r="L1934" i="56" s="1"/>
  <c r="K1935" i="56"/>
  <c r="K1936" i="56"/>
  <c r="L1936" i="56" s="1"/>
  <c r="K1937" i="56"/>
  <c r="K1938" i="56"/>
  <c r="K1939" i="56"/>
  <c r="L1939" i="56" s="1"/>
  <c r="K1940" i="56"/>
  <c r="K1941" i="56"/>
  <c r="K1942" i="56"/>
  <c r="K1943" i="56"/>
  <c r="K1944" i="56"/>
  <c r="K1945" i="56"/>
  <c r="K1946" i="56"/>
  <c r="L1946" i="56" s="1"/>
  <c r="K1947" i="56"/>
  <c r="K1948" i="56"/>
  <c r="K1949" i="56"/>
  <c r="K1950" i="56"/>
  <c r="K1951" i="56"/>
  <c r="L1951" i="56" s="1"/>
  <c r="K1952" i="56"/>
  <c r="K1953" i="56"/>
  <c r="K1954" i="56"/>
  <c r="K1955" i="56"/>
  <c r="K1956" i="56"/>
  <c r="K1957" i="56"/>
  <c r="K1958" i="56"/>
  <c r="L1958" i="56" s="1"/>
  <c r="K1959" i="56"/>
  <c r="L1959" i="56" s="1"/>
  <c r="K1960" i="56"/>
  <c r="K1961" i="56"/>
  <c r="K1962" i="56"/>
  <c r="K1963" i="56"/>
  <c r="L1963" i="56" s="1"/>
  <c r="K1964" i="56"/>
  <c r="K1965" i="56"/>
  <c r="K1966" i="56"/>
  <c r="K1967" i="56"/>
  <c r="K1968" i="56"/>
  <c r="K1969" i="56"/>
  <c r="K1970" i="56"/>
  <c r="K1971" i="56"/>
  <c r="L1971" i="56" s="1"/>
  <c r="K1972" i="56"/>
  <c r="L1972" i="56" s="1"/>
  <c r="K1973" i="56"/>
  <c r="K1974" i="56"/>
  <c r="K1975" i="56"/>
  <c r="L1975" i="56" s="1"/>
  <c r="K1976" i="56"/>
  <c r="K1977" i="56"/>
  <c r="K1978" i="56"/>
  <c r="K1979" i="56"/>
  <c r="K1980" i="56"/>
  <c r="K1981" i="56"/>
  <c r="K1982" i="56"/>
  <c r="L1982" i="56" s="1"/>
  <c r="K1983" i="56"/>
  <c r="L1983" i="56" s="1"/>
  <c r="K1984" i="56"/>
  <c r="L1984" i="56" s="1"/>
  <c r="K1985" i="56"/>
  <c r="K1986" i="56"/>
  <c r="K1987" i="56"/>
  <c r="L1987" i="56" s="1"/>
  <c r="K1988" i="56"/>
  <c r="K1989" i="56"/>
  <c r="K1990" i="56"/>
  <c r="K1991" i="56"/>
  <c r="K1992" i="56"/>
  <c r="K1993" i="56"/>
  <c r="K1994" i="56"/>
  <c r="K1995" i="56"/>
  <c r="L1995" i="56" s="1"/>
  <c r="K1996" i="56"/>
  <c r="K1997" i="56"/>
  <c r="K1998" i="56"/>
  <c r="K1999" i="56"/>
  <c r="L1999" i="56" s="1"/>
  <c r="K2000" i="56"/>
  <c r="K2001" i="56"/>
  <c r="K2002" i="56"/>
  <c r="K2003" i="56"/>
  <c r="K2004" i="56"/>
  <c r="K2005" i="56"/>
  <c r="K2006" i="56"/>
  <c r="K2007" i="56"/>
  <c r="L2007" i="56" s="1"/>
  <c r="K2008" i="56"/>
  <c r="L2008" i="56" s="1"/>
  <c r="K2009" i="56"/>
  <c r="K2010" i="56"/>
  <c r="K2011" i="56"/>
  <c r="L2011" i="56" s="1"/>
  <c r="K2012" i="56"/>
  <c r="K2013" i="56"/>
  <c r="K2014" i="56"/>
  <c r="K2015" i="56"/>
  <c r="K2016" i="56"/>
  <c r="K2017" i="56"/>
  <c r="K2018" i="56"/>
  <c r="L2018" i="56" s="1"/>
  <c r="K2019" i="56"/>
  <c r="K2020" i="56"/>
  <c r="K2021" i="56"/>
  <c r="K2022" i="56"/>
  <c r="K2023" i="56"/>
  <c r="L2023" i="56" s="1"/>
  <c r="K2024" i="56"/>
  <c r="K2025" i="56"/>
  <c r="K2026" i="56"/>
  <c r="K2027" i="56"/>
  <c r="K2028" i="56"/>
  <c r="K2029" i="56"/>
  <c r="K2030" i="56"/>
  <c r="K2031" i="56"/>
  <c r="L2031" i="56" s="1"/>
  <c r="K2032" i="56"/>
  <c r="K2033" i="56"/>
  <c r="K2034" i="56"/>
  <c r="K2035" i="56"/>
  <c r="L2035" i="56" s="1"/>
  <c r="K2036" i="56"/>
  <c r="K2037" i="56"/>
  <c r="K2038" i="56"/>
  <c r="K2039" i="56"/>
  <c r="K2040" i="56"/>
  <c r="K2041" i="56"/>
  <c r="K2042" i="56"/>
  <c r="L2042" i="56" s="1"/>
  <c r="K2043" i="56"/>
  <c r="L2043" i="56" s="1"/>
  <c r="K2044" i="56"/>
  <c r="K2045" i="56"/>
  <c r="K2046" i="56"/>
  <c r="K2047" i="56"/>
  <c r="L2047" i="56" s="1"/>
  <c r="K2048" i="56"/>
  <c r="K2049" i="56"/>
  <c r="K2050" i="56"/>
  <c r="K2051" i="56"/>
  <c r="K2052" i="56"/>
  <c r="K2053" i="56"/>
  <c r="K2054" i="56"/>
  <c r="K2055" i="56"/>
  <c r="K2056" i="56"/>
  <c r="K2057" i="56"/>
  <c r="K2058" i="56"/>
  <c r="K2059" i="56"/>
  <c r="L2059" i="56" s="1"/>
  <c r="K2060" i="56"/>
  <c r="K2061" i="56"/>
  <c r="K2062" i="56"/>
  <c r="K2063" i="56"/>
  <c r="K2064" i="56"/>
  <c r="K2065" i="56"/>
  <c r="K2066" i="56"/>
  <c r="K2067" i="56"/>
  <c r="L2067" i="56" s="1"/>
  <c r="K2068" i="56"/>
  <c r="K2069" i="56"/>
  <c r="K2070" i="56"/>
  <c r="K2071" i="56"/>
  <c r="L2071" i="56" s="1"/>
  <c r="K2072" i="56"/>
  <c r="K2073" i="56"/>
  <c r="K2074" i="56"/>
  <c r="K2075" i="56"/>
  <c r="K2076" i="56"/>
  <c r="K2077" i="56"/>
  <c r="K2078" i="56"/>
  <c r="K2079" i="56"/>
  <c r="K2080" i="56"/>
  <c r="K2081" i="56"/>
  <c r="K2082" i="56"/>
  <c r="K2083" i="56"/>
  <c r="L2083" i="56" s="1"/>
  <c r="K2084" i="56"/>
  <c r="K2085" i="56"/>
  <c r="K2086" i="56"/>
  <c r="K2087" i="56"/>
  <c r="K2088" i="56"/>
  <c r="K2089" i="56"/>
  <c r="K2090" i="56"/>
  <c r="K2091" i="56"/>
  <c r="K2092" i="56"/>
  <c r="K2093" i="56"/>
  <c r="K2094" i="56"/>
  <c r="K2095" i="56"/>
  <c r="L2095" i="56" s="1"/>
  <c r="K2096" i="56"/>
  <c r="K2097" i="56"/>
  <c r="K2098" i="56"/>
  <c r="K2099" i="56"/>
  <c r="K2100" i="56"/>
  <c r="K2101" i="56"/>
  <c r="K2102" i="56"/>
  <c r="L2102" i="56" s="1"/>
  <c r="K2103" i="56"/>
  <c r="K2104" i="56"/>
  <c r="K2105" i="56"/>
  <c r="K2106" i="56"/>
  <c r="K2107" i="56"/>
  <c r="L2107" i="56" s="1"/>
  <c r="K2108" i="56"/>
  <c r="K2109" i="56"/>
  <c r="K2110" i="56"/>
  <c r="K2111" i="56"/>
  <c r="K2112" i="56"/>
  <c r="K2113" i="56"/>
  <c r="K2114" i="56"/>
  <c r="K2115" i="56"/>
  <c r="L2115" i="56" s="1"/>
  <c r="K2116" i="56"/>
  <c r="K2117" i="56"/>
  <c r="K2118" i="56"/>
  <c r="K2119" i="56"/>
  <c r="L2119" i="56" s="1"/>
  <c r="K2120" i="56"/>
  <c r="K2121" i="56"/>
  <c r="K2122" i="56"/>
  <c r="K2123" i="56"/>
  <c r="K2124" i="56"/>
  <c r="K2125" i="56"/>
  <c r="K2126" i="56"/>
  <c r="K2127" i="56"/>
  <c r="K2128" i="56"/>
  <c r="L2128" i="56" s="1"/>
  <c r="K2129" i="56"/>
  <c r="K2130" i="56"/>
  <c r="K2131" i="56"/>
  <c r="L2131" i="56" s="1"/>
  <c r="K2132" i="56"/>
  <c r="K2133" i="56"/>
  <c r="K2134" i="56"/>
  <c r="K2135" i="56"/>
  <c r="K2136" i="56"/>
  <c r="K2137" i="56"/>
  <c r="K2138" i="56"/>
  <c r="K2139" i="56"/>
  <c r="L2139" i="56" s="1"/>
  <c r="K2140" i="56"/>
  <c r="L2140" i="56" s="1"/>
  <c r="K2141" i="56"/>
  <c r="K2142" i="56"/>
  <c r="K2143" i="56"/>
  <c r="L2143" i="56" s="1"/>
  <c r="K2144" i="56"/>
  <c r="K2145" i="56"/>
  <c r="K2146" i="56"/>
  <c r="K2147" i="56"/>
  <c r="K2148" i="56"/>
  <c r="K2149" i="56"/>
  <c r="K2150" i="56"/>
  <c r="L2150" i="56" s="1"/>
  <c r="K2151" i="56"/>
  <c r="K2152" i="56"/>
  <c r="K2153" i="56"/>
  <c r="K2154" i="56"/>
  <c r="K2155" i="56"/>
  <c r="L2155" i="56" s="1"/>
  <c r="K2156" i="56"/>
  <c r="K2157" i="56"/>
  <c r="K2158" i="56"/>
  <c r="K2159" i="56"/>
  <c r="K2160" i="56"/>
  <c r="K2161" i="56"/>
  <c r="K2162" i="56"/>
  <c r="K2163" i="56"/>
  <c r="L2163" i="56" s="1"/>
  <c r="K2164" i="56"/>
  <c r="K2165" i="56"/>
  <c r="K2166" i="56"/>
  <c r="K2167" i="56"/>
  <c r="L2167" i="56" s="1"/>
  <c r="K2168" i="56"/>
  <c r="K2169" i="56"/>
  <c r="K2170" i="56"/>
  <c r="K2171" i="56"/>
  <c r="K2172" i="56"/>
  <c r="K2173" i="56"/>
  <c r="K2174" i="56"/>
  <c r="L2174" i="56" s="1"/>
  <c r="K2175" i="56"/>
  <c r="K2176" i="56"/>
  <c r="L2176" i="56" s="1"/>
  <c r="K2177" i="56"/>
  <c r="K2178" i="56"/>
  <c r="K2179" i="56"/>
  <c r="L2179" i="56" s="1"/>
  <c r="K2180" i="56"/>
  <c r="K2181" i="56"/>
  <c r="K2182" i="56"/>
  <c r="K2183" i="56"/>
  <c r="K2184" i="56"/>
  <c r="K2185" i="56"/>
  <c r="K2186" i="56"/>
  <c r="K2187" i="56"/>
  <c r="L2187" i="56" s="1"/>
  <c r="K2188" i="56"/>
  <c r="K2189" i="56"/>
  <c r="K2190" i="56"/>
  <c r="K2191" i="56"/>
  <c r="L2191" i="56" s="1"/>
  <c r="K2192" i="56"/>
  <c r="K2193" i="56"/>
  <c r="K2194" i="56"/>
  <c r="K2195" i="56"/>
  <c r="K2196" i="56"/>
  <c r="K2197" i="56"/>
  <c r="K2198" i="56"/>
  <c r="K2199" i="56"/>
  <c r="K2200" i="56"/>
  <c r="L2200" i="56" s="1"/>
  <c r="K2201" i="56"/>
  <c r="K2202" i="56"/>
  <c r="K2203" i="56"/>
  <c r="L2203" i="56" s="1"/>
  <c r="K2204" i="56"/>
  <c r="K2205" i="56"/>
  <c r="K2206" i="56"/>
  <c r="K2207" i="56"/>
  <c r="K2208" i="56"/>
  <c r="K2209" i="56"/>
  <c r="K2210" i="56"/>
  <c r="L2210" i="56" s="1"/>
  <c r="K2211" i="56"/>
  <c r="K2212" i="56"/>
  <c r="K2213" i="56"/>
  <c r="K2214" i="56"/>
  <c r="K2215" i="56"/>
  <c r="L2215" i="56" s="1"/>
  <c r="K2216" i="56"/>
  <c r="K2217" i="56"/>
  <c r="K2218" i="56"/>
  <c r="K2219" i="56"/>
  <c r="K2220" i="56"/>
  <c r="K2221" i="56"/>
  <c r="K2222" i="56"/>
  <c r="K2223" i="56"/>
  <c r="L2223" i="56" s="1"/>
  <c r="K2224" i="56"/>
  <c r="K2225" i="56"/>
  <c r="K2226" i="56"/>
  <c r="K2227" i="56"/>
  <c r="L2227" i="56" s="1"/>
  <c r="K2228" i="56"/>
  <c r="K2229" i="56"/>
  <c r="K2230" i="56"/>
  <c r="K2231" i="56"/>
  <c r="K2232" i="56"/>
  <c r="K2233" i="56"/>
  <c r="K2234" i="56"/>
  <c r="L2234" i="56" s="1"/>
  <c r="K2235" i="56"/>
  <c r="L2235" i="56" s="1"/>
  <c r="K2236" i="56"/>
  <c r="K2237" i="56"/>
  <c r="K2238" i="56"/>
  <c r="K2239" i="56"/>
  <c r="L2239" i="56" s="1"/>
  <c r="K2240" i="56"/>
  <c r="K2241" i="56"/>
  <c r="K2242" i="56"/>
  <c r="K2243" i="56"/>
  <c r="K2244" i="56"/>
  <c r="K2245" i="56"/>
  <c r="K2246" i="56"/>
  <c r="L2246" i="56" s="1"/>
  <c r="K2247" i="56"/>
  <c r="K2248" i="56"/>
  <c r="K2249" i="56"/>
  <c r="K2250" i="56"/>
  <c r="K2251" i="56"/>
  <c r="L2251" i="56" s="1"/>
  <c r="K2252" i="56"/>
  <c r="K2253" i="56"/>
  <c r="K2254" i="56"/>
  <c r="K2255" i="56"/>
  <c r="K2256" i="56"/>
  <c r="K2257" i="56"/>
  <c r="K2258" i="56"/>
  <c r="K2259" i="56"/>
  <c r="L2259" i="56" s="1"/>
  <c r="K2260" i="56"/>
  <c r="L2260" i="56" s="1"/>
  <c r="K2261" i="56"/>
  <c r="K2262" i="56"/>
  <c r="K2263" i="56"/>
  <c r="L2263" i="56" s="1"/>
  <c r="K2264" i="56"/>
  <c r="K2265" i="56"/>
  <c r="K2266" i="56"/>
  <c r="K2267" i="56"/>
  <c r="K2268" i="56"/>
  <c r="K2269" i="56"/>
  <c r="K2270" i="56"/>
  <c r="K2271" i="56"/>
  <c r="K2272" i="56"/>
  <c r="K2273" i="56"/>
  <c r="K2274" i="56"/>
  <c r="K2275" i="56"/>
  <c r="L2275" i="56" s="1"/>
  <c r="K2276" i="56"/>
  <c r="K2277" i="56"/>
  <c r="K2278" i="56"/>
  <c r="K2279" i="56"/>
  <c r="K2280" i="56"/>
  <c r="K2281" i="56"/>
  <c r="K2282" i="56"/>
  <c r="L2282" i="56" s="1"/>
  <c r="K2283" i="56"/>
  <c r="K2284" i="56"/>
  <c r="L2284" i="56" s="1"/>
  <c r="K2285" i="56"/>
  <c r="K2286" i="56"/>
  <c r="K2287" i="56"/>
  <c r="L2287" i="56" s="1"/>
  <c r="K2288" i="56"/>
  <c r="K2289" i="56"/>
  <c r="K2290" i="56"/>
  <c r="K2291" i="56"/>
  <c r="K2292" i="56"/>
  <c r="K2293" i="56"/>
  <c r="K2294" i="56"/>
  <c r="L2294" i="56" s="1"/>
  <c r="K2295" i="56"/>
  <c r="K2296" i="56"/>
  <c r="K2297" i="56"/>
  <c r="K2298" i="56"/>
  <c r="K2299" i="56"/>
  <c r="L2299" i="56" s="1"/>
  <c r="K2300" i="56"/>
  <c r="K2301" i="56"/>
  <c r="K2302" i="56"/>
  <c r="K2303" i="56"/>
  <c r="K2304" i="56"/>
  <c r="K2305" i="56"/>
  <c r="K2306" i="56"/>
  <c r="L2306" i="56" s="1"/>
  <c r="K2307" i="56"/>
  <c r="L2307" i="56" s="1"/>
  <c r="K2308" i="56"/>
  <c r="L2308" i="56" s="1"/>
  <c r="K2309" i="56"/>
  <c r="K2310" i="56"/>
  <c r="K2311" i="56"/>
  <c r="L2311" i="56" s="1"/>
  <c r="K2312" i="56"/>
  <c r="K2313" i="56"/>
  <c r="K2314" i="56"/>
  <c r="K2315" i="56"/>
  <c r="K2316" i="56"/>
  <c r="K2317" i="56"/>
  <c r="K2318" i="56"/>
  <c r="K2319" i="56"/>
  <c r="K2320" i="56"/>
  <c r="K2321" i="56"/>
  <c r="K2322" i="56"/>
  <c r="K2323" i="56"/>
  <c r="L2323" i="56" s="1"/>
  <c r="K2324" i="56"/>
  <c r="K2325" i="56"/>
  <c r="K2326" i="56"/>
  <c r="K2327" i="56"/>
  <c r="K2328" i="56"/>
  <c r="K2329" i="56"/>
  <c r="K2330" i="56"/>
  <c r="K2331" i="56"/>
  <c r="K2332" i="56"/>
  <c r="K2333" i="56"/>
  <c r="K2334" i="56"/>
  <c r="K2335" i="56"/>
  <c r="L2335" i="56" s="1"/>
  <c r="K2336" i="56"/>
  <c r="K2337" i="56"/>
  <c r="K2338" i="56"/>
  <c r="K2339" i="56"/>
  <c r="K2340" i="56"/>
  <c r="K2341" i="56"/>
  <c r="K2342" i="56"/>
  <c r="K2343" i="56"/>
  <c r="K2344" i="56"/>
  <c r="K2345" i="56"/>
  <c r="K2346" i="56"/>
  <c r="K2347" i="56"/>
  <c r="L2347" i="56" s="1"/>
  <c r="K2348" i="56"/>
  <c r="K2349" i="56"/>
  <c r="K2350" i="56"/>
  <c r="K2351" i="56"/>
  <c r="K2352" i="56"/>
  <c r="K2353" i="56"/>
  <c r="K2354" i="56"/>
  <c r="L2354" i="56" s="1"/>
  <c r="K2355" i="56"/>
  <c r="L2355" i="56" s="1"/>
  <c r="K2356" i="56"/>
  <c r="L2356" i="56" s="1"/>
  <c r="K2357" i="56"/>
  <c r="K2358" i="56"/>
  <c r="K2359" i="56"/>
  <c r="L2359" i="56" s="1"/>
  <c r="K2360" i="56"/>
  <c r="K2361" i="56"/>
  <c r="K2362" i="56"/>
  <c r="K2363" i="56"/>
  <c r="K2364" i="56"/>
  <c r="K2365" i="56"/>
  <c r="K2366" i="56"/>
  <c r="L2366" i="56" s="1"/>
  <c r="K2367" i="56"/>
  <c r="K2368" i="56"/>
  <c r="K2369" i="56"/>
  <c r="K2370" i="56"/>
  <c r="K2371" i="56"/>
  <c r="L2371" i="56" s="1"/>
  <c r="K2372" i="56"/>
  <c r="K2373" i="56"/>
  <c r="K2374" i="56"/>
  <c r="K2375" i="56"/>
  <c r="K2376" i="56"/>
  <c r="K2377" i="56"/>
  <c r="K2378" i="56"/>
  <c r="K2379" i="56"/>
  <c r="K2380" i="56"/>
  <c r="K2381" i="56"/>
  <c r="K2382" i="56"/>
  <c r="K2383" i="56"/>
  <c r="L2383" i="56" s="1"/>
  <c r="K2384" i="56"/>
  <c r="K2385" i="56"/>
  <c r="K2386" i="56"/>
  <c r="K2387" i="56"/>
  <c r="K2388" i="56"/>
  <c r="K2389" i="56"/>
  <c r="K2390" i="56"/>
  <c r="L2390" i="56" s="1"/>
  <c r="K2391" i="56"/>
  <c r="L2391" i="56" s="1"/>
  <c r="K2392" i="56"/>
  <c r="K2393" i="56"/>
  <c r="K2394" i="56"/>
  <c r="K2395" i="56"/>
  <c r="L2395" i="56" s="1"/>
  <c r="K2396" i="56"/>
  <c r="K2397" i="56"/>
  <c r="K2398" i="56"/>
  <c r="K2399" i="56"/>
  <c r="K2400" i="56"/>
  <c r="K2401" i="56"/>
  <c r="K2402" i="56"/>
  <c r="K2403" i="56"/>
  <c r="K2404" i="56"/>
  <c r="L2404" i="56" s="1"/>
  <c r="K2405" i="56"/>
  <c r="K2406" i="56"/>
  <c r="K2407" i="56"/>
  <c r="L2407" i="56" s="1"/>
  <c r="K2408" i="56"/>
  <c r="K2409" i="56"/>
  <c r="K2410" i="56"/>
  <c r="K2411" i="56"/>
  <c r="K2412" i="56"/>
  <c r="K2413" i="56"/>
  <c r="K2414" i="56"/>
  <c r="L2414" i="56" s="1"/>
  <c r="K2415" i="56"/>
  <c r="K2416" i="56"/>
  <c r="K2417" i="56"/>
  <c r="K2418" i="56"/>
  <c r="K2419" i="56"/>
  <c r="L2419" i="56" s="1"/>
  <c r="K2420" i="56"/>
  <c r="K2421" i="56"/>
  <c r="K2422" i="56"/>
  <c r="K2423" i="56"/>
  <c r="K2424" i="56"/>
  <c r="K2425" i="56"/>
  <c r="K2426" i="56"/>
  <c r="K2427" i="56"/>
  <c r="L2427" i="56" s="1"/>
  <c r="K2428" i="56"/>
  <c r="L2428" i="56" s="1"/>
  <c r="K2429" i="56"/>
  <c r="K2430" i="56"/>
  <c r="K2431" i="56"/>
  <c r="L2431" i="56" s="1"/>
  <c r="K2432" i="56"/>
  <c r="K2433" i="56"/>
  <c r="K2434" i="56"/>
  <c r="K2435" i="56"/>
  <c r="K2436" i="56"/>
  <c r="K2437" i="56"/>
  <c r="K2438" i="56"/>
  <c r="L2438" i="56" s="1"/>
  <c r="K2439" i="56"/>
  <c r="K2440" i="56"/>
  <c r="K2441" i="56"/>
  <c r="K2442" i="56"/>
  <c r="K2443" i="56"/>
  <c r="L2443" i="56" s="1"/>
  <c r="K2444" i="56"/>
  <c r="K2445" i="56"/>
  <c r="K2446" i="56"/>
  <c r="K2447" i="56"/>
  <c r="K2448" i="56"/>
  <c r="K2449" i="56"/>
  <c r="K2450" i="56"/>
  <c r="L2450" i="56" s="1"/>
  <c r="K2451" i="56"/>
  <c r="L2451" i="56" s="1"/>
  <c r="K2452" i="56"/>
  <c r="K2453" i="56"/>
  <c r="K2454" i="56"/>
  <c r="K2455" i="56"/>
  <c r="L2455" i="56" s="1"/>
  <c r="K2456" i="56"/>
  <c r="K2457" i="56"/>
  <c r="K2458" i="56"/>
  <c r="K2459" i="56"/>
  <c r="K2460" i="56"/>
  <c r="K2461" i="56"/>
  <c r="K2462" i="56"/>
  <c r="L2462" i="56" s="1"/>
  <c r="K2463" i="56"/>
  <c r="K2464" i="56"/>
  <c r="K2465" i="56"/>
  <c r="K2466" i="56"/>
  <c r="K2467" i="56"/>
  <c r="L2467" i="56" s="1"/>
  <c r="K2468" i="56"/>
  <c r="K2469" i="56"/>
  <c r="K2470" i="56"/>
  <c r="K2471" i="56"/>
  <c r="K2472" i="56"/>
  <c r="K2473" i="56"/>
  <c r="K2474" i="56"/>
  <c r="K2475" i="56"/>
  <c r="K2476" i="56"/>
  <c r="K2477" i="56"/>
  <c r="K2478" i="56"/>
  <c r="K2479" i="56"/>
  <c r="L2479" i="56" s="1"/>
  <c r="K2480" i="56"/>
  <c r="K2481" i="56"/>
  <c r="K2482" i="56"/>
  <c r="K2483" i="56"/>
  <c r="K2484" i="56"/>
  <c r="K2485" i="56"/>
  <c r="K2486" i="56"/>
  <c r="L2486" i="56" s="1"/>
  <c r="K2487" i="56"/>
  <c r="K2488" i="56"/>
  <c r="K2489" i="56"/>
  <c r="K2490" i="56"/>
  <c r="K2491" i="56"/>
  <c r="L2491" i="56" s="1"/>
  <c r="K2492" i="56"/>
  <c r="K2493" i="56"/>
  <c r="K2494" i="56"/>
  <c r="K2495" i="56"/>
  <c r="K2496" i="56"/>
  <c r="K2497" i="56"/>
  <c r="K2498" i="56"/>
  <c r="L2498" i="56" s="1"/>
  <c r="K2499" i="56"/>
  <c r="K2500" i="56"/>
  <c r="K2501" i="56"/>
  <c r="K2502" i="56"/>
  <c r="K2503" i="56"/>
  <c r="L2503" i="56" s="1"/>
  <c r="K2504" i="56"/>
  <c r="K2505" i="56"/>
  <c r="K2506" i="56"/>
  <c r="K2507" i="56"/>
  <c r="K2508" i="56"/>
  <c r="K2509" i="56"/>
  <c r="K2510" i="56"/>
  <c r="K2511" i="56"/>
  <c r="L2511" i="56" s="1"/>
  <c r="K2512" i="56"/>
  <c r="K2513" i="56"/>
  <c r="K2514" i="56"/>
  <c r="K2515" i="56"/>
  <c r="L2515" i="56" s="1"/>
  <c r="K2516" i="56"/>
  <c r="K2517" i="56"/>
  <c r="K2518" i="56"/>
  <c r="K2519" i="56"/>
  <c r="K2520" i="56"/>
  <c r="K2521" i="56"/>
  <c r="K2522" i="56"/>
  <c r="L2522" i="56" s="1"/>
  <c r="K2523" i="56"/>
  <c r="L2523" i="56" s="1"/>
  <c r="K2524" i="56"/>
  <c r="K2525" i="56"/>
  <c r="K2526" i="56"/>
  <c r="K2527" i="56"/>
  <c r="L2527" i="56" s="1"/>
  <c r="K2528" i="56"/>
  <c r="K2529" i="56"/>
  <c r="K2530" i="56"/>
  <c r="K2531" i="56"/>
  <c r="K2532" i="56"/>
  <c r="K2533" i="56"/>
  <c r="K2534" i="56"/>
  <c r="K2535" i="56"/>
  <c r="L2535" i="56" s="1"/>
  <c r="K2536" i="56"/>
  <c r="L2536" i="56" s="1"/>
  <c r="K2537" i="56"/>
  <c r="K2538" i="56"/>
  <c r="K2539" i="56"/>
  <c r="L2539" i="56" s="1"/>
  <c r="K2540" i="56"/>
  <c r="K2541" i="56"/>
  <c r="K2542" i="56"/>
  <c r="K2543" i="56"/>
  <c r="K2544" i="56"/>
  <c r="K2545" i="56"/>
  <c r="K2546" i="56"/>
  <c r="K2547" i="56"/>
  <c r="K2548" i="56"/>
  <c r="L2548" i="56" s="1"/>
  <c r="K2549" i="56"/>
  <c r="K2550" i="56"/>
  <c r="K2551" i="56"/>
  <c r="L2551" i="56" s="1"/>
  <c r="K2552" i="56"/>
  <c r="K2553" i="56"/>
  <c r="K2554" i="56"/>
  <c r="K2555" i="56"/>
  <c r="K2556" i="56"/>
  <c r="K2557" i="56"/>
  <c r="K2558" i="56"/>
  <c r="K2559" i="56"/>
  <c r="K2560" i="56"/>
  <c r="L2560" i="56" s="1"/>
  <c r="K2561" i="56"/>
  <c r="K2562" i="56"/>
  <c r="K2563" i="56"/>
  <c r="L2563" i="56" s="1"/>
  <c r="K2564" i="56"/>
  <c r="K2565" i="56"/>
  <c r="K2566" i="56"/>
  <c r="K2567" i="56"/>
  <c r="K2568" i="56"/>
  <c r="K2569" i="56"/>
  <c r="K2570" i="56"/>
  <c r="K2571" i="56"/>
  <c r="L2571" i="56" s="1"/>
  <c r="K2572" i="56"/>
  <c r="L2572" i="56" s="1"/>
  <c r="K2573" i="56"/>
  <c r="K2574" i="56"/>
  <c r="K2575" i="56"/>
  <c r="L2575" i="56" s="1"/>
  <c r="K2576" i="56"/>
  <c r="K2577" i="56"/>
  <c r="K2578" i="56"/>
  <c r="K2579" i="56"/>
  <c r="K2580" i="56"/>
  <c r="K2581" i="56"/>
  <c r="K2582" i="56"/>
  <c r="L2582" i="56" s="1"/>
  <c r="K2583" i="56"/>
  <c r="L2583" i="56" s="1"/>
  <c r="K2584" i="56"/>
  <c r="L2584" i="56" s="1"/>
  <c r="K2585" i="56"/>
  <c r="K2586" i="56"/>
  <c r="K2587" i="56"/>
  <c r="L2587" i="56" s="1"/>
  <c r="K2588" i="56"/>
  <c r="K2589" i="56"/>
  <c r="K2590" i="56"/>
  <c r="K2591" i="56"/>
  <c r="K2592" i="56"/>
  <c r="K2593" i="56"/>
  <c r="K2594" i="56"/>
  <c r="L2594" i="56" s="1"/>
  <c r="K2595" i="56"/>
  <c r="L2595" i="56" s="1"/>
  <c r="K2596" i="56"/>
  <c r="K2597" i="56"/>
  <c r="K2598" i="56"/>
  <c r="K2599" i="56"/>
  <c r="L2599" i="56" s="1"/>
  <c r="K2600" i="56"/>
  <c r="K2601" i="56"/>
  <c r="K2602" i="56"/>
  <c r="K2603" i="56"/>
  <c r="K2604" i="56"/>
  <c r="K2605" i="56"/>
  <c r="K2606" i="56"/>
  <c r="K2607" i="56"/>
  <c r="L2607" i="56" s="1"/>
  <c r="K2608" i="56"/>
  <c r="K2609" i="56"/>
  <c r="K2610" i="56"/>
  <c r="K2611" i="56"/>
  <c r="L2611" i="56" s="1"/>
  <c r="K2612" i="56"/>
  <c r="K2613" i="56"/>
  <c r="K2614" i="56"/>
  <c r="K2615" i="56"/>
  <c r="K2616" i="56"/>
  <c r="K2617" i="56"/>
  <c r="K2618" i="56"/>
  <c r="L2618" i="56" s="1"/>
  <c r="K2619" i="56"/>
  <c r="L2619" i="56" s="1"/>
  <c r="K2620" i="56"/>
  <c r="L2620" i="56" s="1"/>
  <c r="K2621" i="56"/>
  <c r="K2622" i="56"/>
  <c r="K2623" i="56"/>
  <c r="L2623" i="56" s="1"/>
  <c r="K2624" i="56"/>
  <c r="K2625" i="56"/>
  <c r="K2626" i="56"/>
  <c r="K2627" i="56"/>
  <c r="K2628" i="56"/>
  <c r="K2629" i="56"/>
  <c r="K2630" i="56"/>
  <c r="L2630" i="56" s="1"/>
  <c r="K2631" i="56"/>
  <c r="L2631" i="56" s="1"/>
  <c r="K2632" i="56"/>
  <c r="K2633" i="56"/>
  <c r="K2634" i="56"/>
  <c r="K2635" i="56"/>
  <c r="L2635" i="56" s="1"/>
  <c r="K2636" i="56"/>
  <c r="K2637" i="56"/>
  <c r="K2638" i="56"/>
  <c r="K2639" i="56"/>
  <c r="K2640" i="56"/>
  <c r="K2641" i="56"/>
  <c r="K2642" i="56"/>
  <c r="K2643" i="56"/>
  <c r="L2643" i="56" s="1"/>
  <c r="K2644" i="56"/>
  <c r="K2645" i="56"/>
  <c r="K2646" i="56"/>
  <c r="K2647" i="56"/>
  <c r="L2647" i="56" s="1"/>
  <c r="K2648" i="56"/>
  <c r="K2649" i="56"/>
  <c r="K2650" i="56"/>
  <c r="K2651" i="56"/>
  <c r="K2652" i="56"/>
  <c r="K2653" i="56"/>
  <c r="K2654" i="56"/>
  <c r="K2655" i="56"/>
  <c r="L2655" i="56" s="1"/>
  <c r="K2656" i="56"/>
  <c r="L2656" i="56" s="1"/>
  <c r="K2657" i="56"/>
  <c r="K2658" i="56"/>
  <c r="K2659" i="56"/>
  <c r="L2659" i="56" s="1"/>
  <c r="K2660" i="56"/>
  <c r="K2661" i="56"/>
  <c r="K2662" i="56"/>
  <c r="K2663" i="56"/>
  <c r="K2664" i="56"/>
  <c r="K2665" i="56"/>
  <c r="K2666" i="56"/>
  <c r="L2666" i="56" s="1"/>
  <c r="K2667" i="56"/>
  <c r="L2667" i="56" s="1"/>
  <c r="K2668" i="56"/>
  <c r="K2669" i="56"/>
  <c r="K2670" i="56"/>
  <c r="K2671" i="56"/>
  <c r="L2671" i="56" s="1"/>
  <c r="K2672" i="56"/>
  <c r="K2673" i="56"/>
  <c r="K2674" i="56"/>
  <c r="K2675" i="56"/>
  <c r="K2676" i="56"/>
  <c r="K2677" i="56"/>
  <c r="K2678" i="56"/>
  <c r="K2679" i="56"/>
  <c r="L2679" i="56" s="1"/>
  <c r="K2680" i="56"/>
  <c r="L2680" i="56" s="1"/>
  <c r="K2681" i="56"/>
  <c r="K2682" i="56"/>
  <c r="K2683" i="56"/>
  <c r="L2683" i="56" s="1"/>
  <c r="K2684" i="56"/>
  <c r="K2685" i="56"/>
  <c r="K2686" i="56"/>
  <c r="K2687" i="56"/>
  <c r="K2688" i="56"/>
  <c r="K2689" i="56"/>
  <c r="K2690" i="56"/>
  <c r="K2691" i="56"/>
  <c r="L2691" i="56" s="1"/>
  <c r="K2692" i="56"/>
  <c r="L2692" i="56" s="1"/>
  <c r="K2693" i="56"/>
  <c r="K2694" i="56"/>
  <c r="K2695" i="56"/>
  <c r="L2695" i="56" s="1"/>
  <c r="K2696" i="56"/>
  <c r="K2697" i="56"/>
  <c r="K2698" i="56"/>
  <c r="K2699" i="56"/>
  <c r="K2700" i="56"/>
  <c r="K2701" i="56"/>
  <c r="K2702" i="56"/>
  <c r="L2702" i="56" s="1"/>
  <c r="K2703" i="56"/>
  <c r="L2703" i="56" s="1"/>
  <c r="K2704" i="56"/>
  <c r="L2704" i="56" s="1"/>
  <c r="K2705" i="56"/>
  <c r="K2706" i="56"/>
  <c r="K2707" i="56"/>
  <c r="L2707" i="56" s="1"/>
  <c r="K2708" i="56"/>
  <c r="K2709" i="56"/>
  <c r="K2710" i="56"/>
  <c r="K2711" i="56"/>
  <c r="K2712" i="56"/>
  <c r="K2713" i="56"/>
  <c r="K2714" i="56"/>
  <c r="K2715" i="56"/>
  <c r="K2716" i="56"/>
  <c r="L2716" i="56" s="1"/>
  <c r="K2717" i="56"/>
  <c r="K2718" i="56"/>
  <c r="K2719" i="56"/>
  <c r="L2719" i="56" s="1"/>
  <c r="K2720" i="56"/>
  <c r="K2721" i="56"/>
  <c r="K2722" i="56"/>
  <c r="K2723" i="56"/>
  <c r="K2724" i="56"/>
  <c r="K2725" i="56"/>
  <c r="K2726" i="56"/>
  <c r="K2727" i="56"/>
  <c r="L2727" i="56" s="1"/>
  <c r="K2728" i="56"/>
  <c r="K2729" i="56"/>
  <c r="K2730" i="56"/>
  <c r="K2731" i="56"/>
  <c r="L2731" i="56" s="1"/>
  <c r="K2732" i="56"/>
  <c r="K2733" i="56"/>
  <c r="K2734" i="56"/>
  <c r="K2735" i="56"/>
  <c r="K2736" i="56"/>
  <c r="K2737" i="56"/>
  <c r="K2738" i="56"/>
  <c r="K2739" i="56"/>
  <c r="K2740" i="56"/>
  <c r="K2741" i="56"/>
  <c r="K2742" i="56"/>
  <c r="K2743" i="56"/>
  <c r="L2743" i="56" s="1"/>
  <c r="K2744" i="56"/>
  <c r="K2745" i="56"/>
  <c r="K2746" i="56"/>
  <c r="K2747" i="56"/>
  <c r="K2748" i="56"/>
  <c r="K2749" i="56"/>
  <c r="K2750" i="56"/>
  <c r="L2750" i="56" s="1"/>
  <c r="K2751" i="56"/>
  <c r="K2752" i="56"/>
  <c r="K2753" i="56"/>
  <c r="K2754" i="56"/>
  <c r="K2755" i="56"/>
  <c r="L2755" i="56" s="1"/>
  <c r="K2756" i="56"/>
  <c r="K2757" i="56"/>
  <c r="K2758" i="56"/>
  <c r="K2759" i="56"/>
  <c r="K2760" i="56"/>
  <c r="K2761" i="56"/>
  <c r="K2762" i="56"/>
  <c r="L2762" i="56" s="1"/>
  <c r="K2763" i="56"/>
  <c r="K2764" i="56"/>
  <c r="K2765" i="56"/>
  <c r="K2766" i="56"/>
  <c r="K2767" i="56"/>
  <c r="L2767" i="56" s="1"/>
  <c r="K2768" i="56"/>
  <c r="K2769" i="56"/>
  <c r="K2770" i="56"/>
  <c r="K2771" i="56"/>
  <c r="K2772" i="56"/>
  <c r="K2773" i="56"/>
  <c r="K2774" i="56"/>
  <c r="L2774" i="56" s="1"/>
  <c r="K2775" i="56"/>
  <c r="L2775" i="56" s="1"/>
  <c r="K2776" i="56"/>
  <c r="L2776" i="56" s="1"/>
  <c r="K2777" i="56"/>
  <c r="K2778" i="56"/>
  <c r="K2779" i="56"/>
  <c r="L2779" i="56" s="1"/>
  <c r="K2780" i="56"/>
  <c r="K2781" i="56"/>
  <c r="K2782" i="56"/>
  <c r="K2783" i="56"/>
  <c r="K2784" i="56"/>
  <c r="K2785" i="56"/>
  <c r="K2786" i="56"/>
  <c r="K2787" i="56"/>
  <c r="L2787" i="56" s="1"/>
  <c r="K2788" i="56"/>
  <c r="K2789" i="56"/>
  <c r="K2790" i="56"/>
  <c r="K2791" i="56"/>
  <c r="L2791" i="56" s="1"/>
  <c r="K2792" i="56"/>
  <c r="K2793" i="56"/>
  <c r="K2794" i="56"/>
  <c r="K2795" i="56"/>
  <c r="K2796" i="56"/>
  <c r="K2797" i="56"/>
  <c r="K2798" i="56"/>
  <c r="K2799" i="56"/>
  <c r="L2799" i="56" s="1"/>
  <c r="K2800" i="56"/>
  <c r="L2800" i="56" s="1"/>
  <c r="K2801" i="56"/>
  <c r="K2802" i="56"/>
  <c r="K2803" i="56"/>
  <c r="L2803" i="56" s="1"/>
  <c r="K2804" i="56"/>
  <c r="K2805" i="56"/>
  <c r="K2806" i="56"/>
  <c r="K2807" i="56"/>
  <c r="K2808" i="56"/>
  <c r="K2809" i="56"/>
  <c r="K2810" i="56"/>
  <c r="K2811" i="56"/>
  <c r="L2811" i="56" s="1"/>
  <c r="K2812" i="56"/>
  <c r="L2812" i="56" s="1"/>
  <c r="K2813" i="56"/>
  <c r="K2814" i="56"/>
  <c r="K2815" i="56"/>
  <c r="L2815" i="56" s="1"/>
  <c r="K2816" i="56"/>
  <c r="K2817" i="56"/>
  <c r="K2818" i="56"/>
  <c r="K2819" i="56"/>
  <c r="K2820" i="56"/>
  <c r="K2821" i="56"/>
  <c r="K2822" i="56"/>
  <c r="K2823" i="56"/>
  <c r="K2824" i="56"/>
  <c r="L2824" i="56" s="1"/>
  <c r="K2825" i="56"/>
  <c r="K2826" i="56"/>
  <c r="K2827" i="56"/>
  <c r="L2827" i="56" s="1"/>
  <c r="K2828" i="56"/>
  <c r="K2829" i="56"/>
  <c r="K2830" i="56"/>
  <c r="K2831" i="56"/>
  <c r="K2832" i="56"/>
  <c r="K2833" i="56"/>
  <c r="K2834" i="56"/>
  <c r="K2835" i="56"/>
  <c r="L2835" i="56" s="1"/>
  <c r="K2836" i="56"/>
  <c r="L2836" i="56" s="1"/>
  <c r="K2837" i="56"/>
  <c r="K2838" i="56"/>
  <c r="K2839" i="56"/>
  <c r="L2839" i="56" s="1"/>
  <c r="K2840" i="56"/>
  <c r="K2841" i="56"/>
  <c r="K2842" i="56"/>
  <c r="K2843" i="56"/>
  <c r="K2844" i="56"/>
  <c r="K2845" i="56"/>
  <c r="K2846" i="56"/>
  <c r="L2846" i="56" s="1"/>
  <c r="K2847" i="56"/>
  <c r="K2848" i="56"/>
  <c r="L2848" i="56" s="1"/>
  <c r="K2849" i="56"/>
  <c r="K2850" i="56"/>
  <c r="K2851" i="56"/>
  <c r="L2851" i="56" s="1"/>
  <c r="K2852" i="56"/>
  <c r="K2853" i="56"/>
  <c r="K2854" i="56"/>
  <c r="K2855" i="56"/>
  <c r="K2856" i="56"/>
  <c r="K2857" i="56"/>
  <c r="K2858" i="56"/>
  <c r="L2858" i="56" s="1"/>
  <c r="K2859" i="56"/>
  <c r="K2860" i="56"/>
  <c r="L2860" i="56" s="1"/>
  <c r="K2861" i="56"/>
  <c r="K2862" i="56"/>
  <c r="K2863" i="56"/>
  <c r="L2863" i="56" s="1"/>
  <c r="K2864" i="56"/>
  <c r="K2865" i="56"/>
  <c r="K2866" i="56"/>
  <c r="K2867" i="56"/>
  <c r="K2868" i="56"/>
  <c r="K2869" i="56"/>
  <c r="K2870" i="56"/>
  <c r="L2870" i="56" s="1"/>
  <c r="K2871" i="56"/>
  <c r="L2871" i="56" s="1"/>
  <c r="K2872" i="56"/>
  <c r="L2872" i="56" s="1"/>
  <c r="K2873" i="56"/>
  <c r="K2874" i="56"/>
  <c r="K2875" i="56"/>
  <c r="L2875" i="56" s="1"/>
  <c r="K2876" i="56"/>
  <c r="K2877" i="56"/>
  <c r="K2878" i="56"/>
  <c r="K2879" i="56"/>
  <c r="K2880" i="56"/>
  <c r="K2881" i="56"/>
  <c r="K2882" i="56"/>
  <c r="K2883" i="56"/>
  <c r="K2884" i="56"/>
  <c r="L2884" i="56" s="1"/>
  <c r="K2885" i="56"/>
  <c r="K2886" i="56"/>
  <c r="K2887" i="56"/>
  <c r="L2887" i="56" s="1"/>
  <c r="K2888" i="56"/>
  <c r="K2889" i="56"/>
  <c r="K2890" i="56"/>
  <c r="K2891" i="56"/>
  <c r="K2892" i="56"/>
  <c r="K2893" i="56"/>
  <c r="K2894" i="56"/>
  <c r="K2895" i="56"/>
  <c r="L2895" i="56" s="1"/>
  <c r="K2896" i="56"/>
  <c r="L2896" i="56" s="1"/>
  <c r="K2897" i="56"/>
  <c r="K2898" i="56"/>
  <c r="K2899" i="56"/>
  <c r="L2899" i="56" s="1"/>
  <c r="K2900" i="56"/>
  <c r="K2901" i="56"/>
  <c r="K2902" i="56"/>
  <c r="K2903" i="56"/>
  <c r="K2904" i="56"/>
  <c r="K2905" i="56"/>
  <c r="K2906" i="56"/>
  <c r="K2907" i="56"/>
  <c r="K2908" i="56"/>
  <c r="L2908" i="56" s="1"/>
  <c r="K2909" i="56"/>
  <c r="K2910" i="56"/>
  <c r="K2911" i="56"/>
  <c r="L2911" i="56" s="1"/>
  <c r="K2912" i="56"/>
  <c r="K2913" i="56"/>
  <c r="K2914" i="56"/>
  <c r="K2915" i="56"/>
  <c r="K2916" i="56"/>
  <c r="K2917" i="56"/>
  <c r="K2918" i="56"/>
  <c r="K2919" i="56"/>
  <c r="L2919" i="56" s="1"/>
  <c r="K2920" i="56"/>
  <c r="K2921" i="56"/>
  <c r="K2922" i="56"/>
  <c r="K2923" i="56"/>
  <c r="L2923" i="56" s="1"/>
  <c r="K2924" i="56"/>
  <c r="K2925" i="56"/>
  <c r="K2926" i="56"/>
  <c r="K2927" i="56"/>
  <c r="K2928" i="56"/>
  <c r="K2929" i="56"/>
  <c r="K2930" i="56"/>
  <c r="L2930" i="56" s="1"/>
  <c r="K2931" i="56"/>
  <c r="K2932" i="56"/>
  <c r="K2933" i="56"/>
  <c r="K2934" i="56"/>
  <c r="K2935" i="56"/>
  <c r="L2935" i="56" s="1"/>
  <c r="K2936" i="56"/>
  <c r="K2937" i="56"/>
  <c r="K2938" i="56"/>
  <c r="K2939" i="56"/>
  <c r="K2940" i="56"/>
  <c r="K2941" i="56"/>
  <c r="K2942" i="56"/>
  <c r="K2943" i="56"/>
  <c r="K2944" i="56"/>
  <c r="K2945" i="56"/>
  <c r="K2946" i="56"/>
  <c r="K2947" i="56"/>
  <c r="L2947" i="56" s="1"/>
  <c r="K2948" i="56"/>
  <c r="K2949" i="56"/>
  <c r="K2950" i="56"/>
  <c r="K2951" i="56"/>
  <c r="K2952" i="56"/>
  <c r="K2953" i="56"/>
  <c r="K2954" i="56"/>
  <c r="K2955" i="56"/>
  <c r="L2955" i="56" s="1"/>
  <c r="K2956" i="56"/>
  <c r="K2957" i="56"/>
  <c r="K2958" i="56"/>
  <c r="K2959" i="56"/>
  <c r="L2959" i="56" s="1"/>
  <c r="K2960" i="56"/>
  <c r="K2961" i="56"/>
  <c r="K2962" i="56"/>
  <c r="K2963" i="56"/>
  <c r="K2964" i="56"/>
  <c r="K2965" i="56"/>
  <c r="K2966" i="56"/>
  <c r="K2967" i="56"/>
  <c r="K2968" i="56"/>
  <c r="K2969" i="56"/>
  <c r="K2970" i="56"/>
  <c r="K2971" i="56"/>
  <c r="K2972" i="56"/>
  <c r="K2973" i="56"/>
  <c r="K2974" i="56"/>
  <c r="K2975" i="56"/>
  <c r="K2976" i="56"/>
  <c r="K2977" i="56"/>
  <c r="K2978" i="56"/>
  <c r="K2979" i="56"/>
  <c r="L2979" i="56" s="1"/>
  <c r="K2980" i="56"/>
  <c r="K2981" i="56"/>
  <c r="K2982" i="56"/>
  <c r="K2983" i="56"/>
  <c r="K2984" i="56"/>
  <c r="K2985" i="56"/>
  <c r="K2986" i="56"/>
  <c r="K2987" i="56"/>
  <c r="K2988" i="56"/>
  <c r="K2989" i="56"/>
  <c r="K2990" i="56"/>
  <c r="L2990" i="56" s="1"/>
  <c r="K2991" i="56"/>
  <c r="K2992" i="56"/>
  <c r="K2993" i="56"/>
  <c r="K2994" i="56"/>
  <c r="K2995" i="56"/>
  <c r="L2995" i="56" s="1"/>
  <c r="K2996" i="56"/>
  <c r="K2997" i="56"/>
  <c r="K2998" i="56"/>
  <c r="K2999" i="56"/>
  <c r="K3000" i="56"/>
  <c r="K3001" i="56"/>
  <c r="K3002" i="56"/>
  <c r="L3002" i="56" s="1"/>
  <c r="K3003" i="56"/>
  <c r="L3003" i="56" s="1"/>
  <c r="K3004" i="56"/>
  <c r="K3005" i="56"/>
  <c r="K3006" i="56"/>
  <c r="K3007" i="56"/>
  <c r="L3007" i="56" s="1"/>
  <c r="K3008" i="56"/>
  <c r="K3009" i="56"/>
  <c r="K3010" i="56"/>
  <c r="K3011" i="56"/>
  <c r="K3012" i="56"/>
  <c r="K3013" i="56"/>
  <c r="K3014" i="56"/>
  <c r="K3015" i="56"/>
  <c r="L3015" i="56" s="1"/>
  <c r="K3016" i="56"/>
  <c r="K3017" i="56"/>
  <c r="K3018" i="56"/>
  <c r="K3019" i="56"/>
  <c r="L3019" i="56" s="1"/>
  <c r="K3020" i="56"/>
  <c r="K3021" i="56"/>
  <c r="K3022" i="56"/>
  <c r="K3023" i="56"/>
  <c r="K3024" i="56"/>
  <c r="K3025" i="56"/>
  <c r="K3026" i="56"/>
  <c r="L3026" i="56" s="1"/>
  <c r="K3027" i="56"/>
  <c r="L3027" i="56" s="1"/>
  <c r="K3028" i="56"/>
  <c r="K3029" i="56"/>
  <c r="K3030" i="56"/>
  <c r="K3031" i="56"/>
  <c r="L3031" i="56" s="1"/>
  <c r="K3032" i="56"/>
  <c r="K3033" i="56"/>
  <c r="K3034" i="56"/>
  <c r="K3035" i="56"/>
  <c r="K3036" i="56"/>
  <c r="K3037" i="56"/>
  <c r="K3038" i="56"/>
  <c r="K3039" i="56"/>
  <c r="L3039" i="56" s="1"/>
  <c r="K3040" i="56"/>
  <c r="L3040" i="56" s="1"/>
  <c r="K3041" i="56"/>
  <c r="K3042" i="56"/>
  <c r="K3043" i="56"/>
  <c r="L3043" i="56" s="1"/>
  <c r="K3044" i="56"/>
  <c r="K3045" i="56"/>
  <c r="K3046" i="56"/>
  <c r="K3047" i="56"/>
  <c r="K3048" i="56"/>
  <c r="K3049" i="56"/>
  <c r="K3050" i="56"/>
  <c r="K3051" i="56"/>
  <c r="L3051" i="56" s="1"/>
  <c r="K3052" i="56"/>
  <c r="K3053" i="56"/>
  <c r="K3054" i="56"/>
  <c r="K3055" i="56"/>
  <c r="K3056" i="56"/>
  <c r="K3057" i="56"/>
  <c r="K3058" i="56"/>
  <c r="K3059" i="56"/>
  <c r="K3060" i="56"/>
  <c r="K3061" i="56"/>
  <c r="K3062" i="56"/>
  <c r="L3062" i="56" s="1"/>
  <c r="K3063" i="56"/>
  <c r="K3064" i="56"/>
  <c r="L3064" i="56" s="1"/>
  <c r="K3065" i="56"/>
  <c r="K3066" i="56"/>
  <c r="K3067" i="56"/>
  <c r="L3067" i="56" s="1"/>
  <c r="K3068" i="56"/>
  <c r="K3069" i="56"/>
  <c r="K3070" i="56"/>
  <c r="K3071" i="56"/>
  <c r="K3072" i="56"/>
  <c r="K3073" i="56"/>
  <c r="K3074" i="56"/>
  <c r="K3075" i="56"/>
  <c r="L3075" i="56" s="1"/>
  <c r="K3076" i="56"/>
  <c r="K3077" i="56"/>
  <c r="K3078" i="56"/>
  <c r="K3079" i="56"/>
  <c r="L3079" i="56" s="1"/>
  <c r="K3080" i="56"/>
  <c r="K3081" i="56"/>
  <c r="K3082" i="56"/>
  <c r="K3083" i="56"/>
  <c r="K3084" i="56"/>
  <c r="K3085" i="56"/>
  <c r="K3086" i="56"/>
  <c r="K3087" i="56"/>
  <c r="K3088" i="56"/>
  <c r="L3088" i="56" s="1"/>
  <c r="K3089" i="56"/>
  <c r="K3090" i="56"/>
  <c r="K3091" i="56"/>
  <c r="L3091" i="56" s="1"/>
  <c r="K3092" i="56"/>
  <c r="K3093" i="56"/>
  <c r="K3094" i="56"/>
  <c r="K3095" i="56"/>
  <c r="K3096" i="56"/>
  <c r="K3097" i="56"/>
  <c r="K3098" i="56"/>
  <c r="K3099" i="56"/>
  <c r="L3099" i="56" s="1"/>
  <c r="K3100" i="56"/>
  <c r="K3101" i="56"/>
  <c r="K3102" i="56"/>
  <c r="K3103" i="56"/>
  <c r="L3103" i="56" s="1"/>
  <c r="K3104" i="56"/>
  <c r="K3105" i="56"/>
  <c r="K3106" i="56"/>
  <c r="K3107" i="56"/>
  <c r="K3108" i="56"/>
  <c r="K3109" i="56"/>
  <c r="K3110" i="56"/>
  <c r="L3110" i="56" s="1"/>
  <c r="K3111" i="56"/>
  <c r="K3112" i="56"/>
  <c r="K3113" i="56"/>
  <c r="K3114" i="56"/>
  <c r="K3115" i="56"/>
  <c r="L3115" i="56" s="1"/>
  <c r="K3116" i="56"/>
  <c r="K3117" i="56"/>
  <c r="K3118" i="56"/>
  <c r="K3119" i="56"/>
  <c r="K3120" i="56"/>
  <c r="K3121" i="56"/>
  <c r="K3122" i="56"/>
  <c r="L3122" i="56" s="1"/>
  <c r="K3123" i="56"/>
  <c r="K3124" i="56"/>
  <c r="L3124" i="56" s="1"/>
  <c r="K3125" i="56"/>
  <c r="K3126" i="56"/>
  <c r="K3127" i="56"/>
  <c r="L3127" i="56" s="1"/>
  <c r="K3128" i="56"/>
  <c r="K3129" i="56"/>
  <c r="K3130" i="56"/>
  <c r="K3131" i="56"/>
  <c r="K3132" i="56"/>
  <c r="K3133" i="56"/>
  <c r="K3134" i="56"/>
  <c r="K3135" i="56"/>
  <c r="L3135" i="56" s="1"/>
  <c r="K3136" i="56"/>
  <c r="K3137" i="56"/>
  <c r="K3138" i="56"/>
  <c r="K3139" i="56"/>
  <c r="L3139" i="56" s="1"/>
  <c r="K3140" i="56"/>
  <c r="K3141" i="56"/>
  <c r="K3142" i="56"/>
  <c r="K3143" i="56"/>
  <c r="K3144" i="56"/>
  <c r="K3145" i="56"/>
  <c r="K3146" i="56"/>
  <c r="K3147" i="56"/>
  <c r="L3147" i="56" s="1"/>
  <c r="K3148" i="56"/>
  <c r="K3149" i="56"/>
  <c r="K3150" i="56"/>
  <c r="K3151" i="56"/>
  <c r="L3151" i="56" s="1"/>
  <c r="K3152" i="56"/>
  <c r="K3153" i="56"/>
  <c r="K3154" i="56"/>
  <c r="K3155" i="56"/>
  <c r="K3156" i="56"/>
  <c r="K3157" i="56"/>
  <c r="K3158" i="56"/>
  <c r="L3158" i="56" s="1"/>
  <c r="K3159" i="56"/>
  <c r="K3160" i="56"/>
  <c r="L3160" i="56" s="1"/>
  <c r="K3161" i="56"/>
  <c r="K3162" i="56"/>
  <c r="K3163" i="56"/>
  <c r="L3163" i="56" s="1"/>
  <c r="K3164" i="56"/>
  <c r="K3165" i="56"/>
  <c r="K3166" i="56"/>
  <c r="K3167" i="56"/>
  <c r="K3168" i="56"/>
  <c r="K3169" i="56"/>
  <c r="K3170" i="56"/>
  <c r="L3170" i="56" s="1"/>
  <c r="K3171" i="56"/>
  <c r="K3172" i="56"/>
  <c r="K3173" i="56"/>
  <c r="K3174" i="56"/>
  <c r="K3175" i="56"/>
  <c r="L3175" i="56" s="1"/>
  <c r="K3176" i="56"/>
  <c r="K3177" i="56"/>
  <c r="K3178" i="56"/>
  <c r="K3179" i="56"/>
  <c r="K3180" i="56"/>
  <c r="K3181" i="56"/>
  <c r="K3182" i="56"/>
  <c r="K3183" i="56"/>
  <c r="L3183" i="56" s="1"/>
  <c r="K3184" i="56"/>
  <c r="K3185" i="56"/>
  <c r="K3186" i="56"/>
  <c r="K3187" i="56"/>
  <c r="L3187" i="56" s="1"/>
  <c r="K3188" i="56"/>
  <c r="K3189" i="56"/>
  <c r="K3190" i="56"/>
  <c r="K3191" i="56"/>
  <c r="K3192" i="56"/>
  <c r="K3193" i="56"/>
  <c r="K3194" i="56"/>
  <c r="L3194" i="56" s="1"/>
  <c r="K3195" i="56"/>
  <c r="L3195" i="56" s="1"/>
  <c r="K3196" i="56"/>
  <c r="K3197" i="56"/>
  <c r="K3198" i="56"/>
  <c r="K3199" i="56"/>
  <c r="L3199" i="56" s="1"/>
  <c r="K3200" i="56"/>
  <c r="K3201" i="56"/>
  <c r="K3202" i="56"/>
  <c r="K3203" i="56"/>
  <c r="K3204" i="56"/>
  <c r="K3205" i="56"/>
  <c r="K3206" i="56"/>
  <c r="K3207" i="56"/>
  <c r="K3208" i="56"/>
  <c r="K3209" i="56"/>
  <c r="K3210" i="56"/>
  <c r="K3211" i="56"/>
  <c r="L3211" i="56" s="1"/>
  <c r="K3212" i="56"/>
  <c r="K3213" i="56"/>
  <c r="K3214" i="56"/>
  <c r="K3215" i="56"/>
  <c r="K3216" i="56"/>
  <c r="K3217" i="56"/>
  <c r="K3218" i="56"/>
  <c r="K3219" i="56"/>
  <c r="L3219" i="56" s="1"/>
  <c r="K3220" i="56"/>
  <c r="L3220" i="56" s="1"/>
  <c r="K3221" i="56"/>
  <c r="K3222" i="56"/>
  <c r="K3223" i="56"/>
  <c r="L3223" i="56" s="1"/>
  <c r="K3224" i="56"/>
  <c r="K3225" i="56"/>
  <c r="K3226" i="56"/>
  <c r="K3227" i="56"/>
  <c r="K3228" i="56"/>
  <c r="K3229" i="56"/>
  <c r="K3230" i="56"/>
  <c r="K3231" i="56"/>
  <c r="L3231" i="56" s="1"/>
  <c r="K3232" i="56"/>
  <c r="K3233" i="56"/>
  <c r="K3234" i="56"/>
  <c r="K3235" i="56"/>
  <c r="K3236" i="56"/>
  <c r="K3237" i="56"/>
  <c r="K3238" i="56"/>
  <c r="K3239" i="56"/>
  <c r="K3240" i="56"/>
  <c r="K3241" i="56"/>
  <c r="K3242" i="56"/>
  <c r="K3243" i="56"/>
  <c r="L3243" i="56" s="1"/>
  <c r="K3244" i="56"/>
  <c r="K3245" i="56"/>
  <c r="K3246" i="56"/>
  <c r="K3247" i="56"/>
  <c r="L3247" i="56" s="1"/>
  <c r="K3248" i="56"/>
  <c r="K3249" i="56"/>
  <c r="K3250" i="56"/>
  <c r="K3251" i="56"/>
  <c r="K3252" i="56"/>
  <c r="K3253" i="56"/>
  <c r="K3254" i="56"/>
  <c r="K3255" i="56"/>
  <c r="L3255" i="56" s="1"/>
  <c r="K3256" i="56"/>
  <c r="L3256" i="56" s="1"/>
  <c r="K3257" i="56"/>
  <c r="K3258" i="56"/>
  <c r="K3259" i="56"/>
  <c r="K3260" i="56"/>
  <c r="K3261" i="56"/>
  <c r="K3262" i="56"/>
  <c r="K3263" i="56"/>
  <c r="K3264" i="56"/>
  <c r="K3265" i="56"/>
  <c r="K3266" i="56"/>
  <c r="K3267" i="56"/>
  <c r="L3267" i="56" s="1"/>
  <c r="K3268" i="56"/>
  <c r="L3268" i="56" s="1"/>
  <c r="K3269" i="56"/>
  <c r="K3270" i="56"/>
  <c r="K3271" i="56"/>
  <c r="K3272" i="56"/>
  <c r="K3273" i="56"/>
  <c r="K3274" i="56"/>
  <c r="K3275" i="56"/>
  <c r="K3276" i="56"/>
  <c r="K3277" i="56"/>
  <c r="K3278" i="56"/>
  <c r="L3278" i="56" s="1"/>
  <c r="K3279" i="56"/>
  <c r="L3279" i="56" s="1"/>
  <c r="K3280" i="56"/>
  <c r="L3280" i="56" s="1"/>
  <c r="K3281" i="56"/>
  <c r="K3282" i="56"/>
  <c r="K3283" i="56"/>
  <c r="K3284" i="56"/>
  <c r="K3285" i="56"/>
  <c r="K3286" i="56"/>
  <c r="K3287" i="56"/>
  <c r="K3288" i="56"/>
  <c r="K3289" i="56"/>
  <c r="K3290" i="56"/>
  <c r="L3290" i="56" s="1"/>
  <c r="K3291" i="56"/>
  <c r="K3292" i="56"/>
  <c r="L3292" i="56" s="1"/>
  <c r="K3293" i="56"/>
  <c r="K3294" i="56"/>
  <c r="K3295" i="56"/>
  <c r="K3296" i="56"/>
  <c r="K3297" i="56"/>
  <c r="K3298" i="56"/>
  <c r="K3299" i="56"/>
  <c r="K3300" i="56"/>
  <c r="K3301" i="56"/>
  <c r="K3302" i="56"/>
  <c r="L3302" i="56" s="1"/>
  <c r="K3303" i="56"/>
  <c r="K3304" i="56"/>
  <c r="L3304" i="56" s="1"/>
  <c r="K3305" i="56"/>
  <c r="K3306" i="56"/>
  <c r="K3307" i="56"/>
  <c r="K3308" i="56"/>
  <c r="K3309" i="56"/>
  <c r="K3310" i="56"/>
  <c r="K3311" i="56"/>
  <c r="K3312" i="56"/>
  <c r="K3313" i="56"/>
  <c r="K3314" i="56"/>
  <c r="L3314" i="56" s="1"/>
  <c r="K3315" i="56"/>
  <c r="K3316" i="56"/>
  <c r="L3316" i="56" s="1"/>
  <c r="K3317" i="56"/>
  <c r="K3318" i="56"/>
  <c r="K3319" i="56"/>
  <c r="K3320" i="56"/>
  <c r="K3321" i="56"/>
  <c r="K3322" i="56"/>
  <c r="K3323" i="56"/>
  <c r="K3324" i="56"/>
  <c r="K3325" i="56"/>
  <c r="K3326" i="56"/>
  <c r="L3326" i="56" s="1"/>
  <c r="K3327" i="56"/>
  <c r="K3328" i="56"/>
  <c r="L3328" i="56" s="1"/>
  <c r="K3329" i="56"/>
  <c r="K3330" i="56"/>
  <c r="K3331" i="56"/>
  <c r="K3332" i="56"/>
  <c r="K3333" i="56"/>
  <c r="K3334" i="56"/>
  <c r="K3335" i="56"/>
  <c r="K3336" i="56"/>
  <c r="K3337" i="56"/>
  <c r="K3338" i="56"/>
  <c r="K3339" i="56"/>
  <c r="K3340" i="56"/>
  <c r="L3340" i="56" s="1"/>
  <c r="K3341" i="56"/>
  <c r="K3342" i="56"/>
  <c r="K3343" i="56"/>
  <c r="K3344" i="56"/>
  <c r="K3345" i="56"/>
  <c r="K3346" i="56"/>
  <c r="K3347" i="56"/>
  <c r="K3348" i="56"/>
  <c r="K3349" i="56"/>
  <c r="K3350" i="56"/>
  <c r="L3350" i="56" s="1"/>
  <c r="K3351" i="56"/>
  <c r="K3352" i="56"/>
  <c r="K3353" i="56"/>
  <c r="K3354" i="56"/>
  <c r="K3355" i="56"/>
  <c r="K3356" i="56"/>
  <c r="K3357" i="56"/>
  <c r="K3358" i="56"/>
  <c r="K3359" i="56"/>
  <c r="K3360" i="56"/>
  <c r="K3361" i="56"/>
  <c r="K3362" i="56"/>
  <c r="K3363" i="56"/>
  <c r="K3364" i="56"/>
  <c r="L3364" i="56" s="1"/>
  <c r="K3365" i="56"/>
  <c r="K3366" i="56"/>
  <c r="K3367" i="56"/>
  <c r="K3368" i="56"/>
  <c r="K3369" i="56"/>
  <c r="K3370" i="56"/>
  <c r="K3371" i="56"/>
  <c r="K3372" i="56"/>
  <c r="K3373" i="56"/>
  <c r="K3374" i="56"/>
  <c r="L3374" i="56" s="1"/>
  <c r="K3375" i="56"/>
  <c r="K3376" i="56"/>
  <c r="K3377" i="56"/>
  <c r="K3378" i="56"/>
  <c r="K3379" i="56"/>
  <c r="K3380" i="56"/>
  <c r="K3381" i="56"/>
  <c r="K3382" i="56"/>
  <c r="K3383" i="56"/>
  <c r="K3384" i="56"/>
  <c r="K3385" i="56"/>
  <c r="K3386" i="56"/>
  <c r="L3386" i="56" s="1"/>
  <c r="K3387" i="56"/>
  <c r="K3388" i="56"/>
  <c r="L3388" i="56" s="1"/>
  <c r="K3389" i="56"/>
  <c r="K3390" i="56"/>
  <c r="K3391" i="56"/>
  <c r="K3392" i="56"/>
  <c r="K3393" i="56"/>
  <c r="K3394" i="56"/>
  <c r="K3395" i="56"/>
  <c r="K3396" i="56"/>
  <c r="K3397" i="56"/>
  <c r="K3398" i="56"/>
  <c r="K3399" i="56"/>
  <c r="L3399" i="56" s="1"/>
  <c r="K3400" i="56"/>
  <c r="L3400" i="56" s="1"/>
  <c r="K3401" i="56"/>
  <c r="K3402" i="56"/>
  <c r="K3403" i="56"/>
  <c r="K3404" i="56"/>
  <c r="K3405" i="56"/>
  <c r="K3406" i="56"/>
  <c r="K3407" i="56"/>
  <c r="K3408" i="56"/>
  <c r="K3409" i="56"/>
  <c r="K3410" i="56"/>
  <c r="L3410" i="56" s="1"/>
  <c r="K3411" i="56"/>
  <c r="K3412" i="56"/>
  <c r="L3412" i="56" s="1"/>
  <c r="K3413" i="56"/>
  <c r="K3414" i="56"/>
  <c r="K3415" i="56"/>
  <c r="L3415" i="56" s="1"/>
  <c r="K3416" i="56"/>
  <c r="K3417" i="56"/>
  <c r="K3418" i="56"/>
  <c r="K3419" i="56"/>
  <c r="K3420" i="56"/>
  <c r="K3421" i="56"/>
  <c r="K3422" i="56"/>
  <c r="L3422" i="56" s="1"/>
  <c r="K3423" i="56"/>
  <c r="K3424" i="56"/>
  <c r="L3424" i="56" s="1"/>
  <c r="K3425" i="56"/>
  <c r="K3426" i="56"/>
  <c r="K3427" i="56"/>
  <c r="K3428" i="56"/>
  <c r="K3429" i="56"/>
  <c r="K3430" i="56"/>
  <c r="K3431" i="56"/>
  <c r="K3432" i="56"/>
  <c r="K3433" i="56"/>
  <c r="K3434" i="56"/>
  <c r="K3435" i="56"/>
  <c r="K3436" i="56"/>
  <c r="L3436" i="56" s="1"/>
  <c r="K3437" i="56"/>
  <c r="K3438" i="56"/>
  <c r="K3439" i="56"/>
  <c r="K3440" i="56"/>
  <c r="K3441" i="56"/>
  <c r="K3442" i="56"/>
  <c r="K3443" i="56"/>
  <c r="K3444" i="56"/>
  <c r="K3445" i="56"/>
  <c r="K3446" i="56"/>
  <c r="L3446" i="56" s="1"/>
  <c r="K3447" i="56"/>
  <c r="K3448" i="56"/>
  <c r="L3448" i="56" s="1"/>
  <c r="K3449" i="56"/>
  <c r="K3450" i="56"/>
  <c r="K3451" i="56"/>
  <c r="L3451" i="56" s="1"/>
  <c r="K3452" i="56"/>
  <c r="K3453" i="56"/>
  <c r="K3454" i="56"/>
  <c r="K3455" i="56"/>
  <c r="K3456" i="56"/>
  <c r="K3457" i="56"/>
  <c r="K3458" i="56"/>
  <c r="K3459" i="56"/>
  <c r="K3460" i="56"/>
  <c r="L3460" i="56" s="1"/>
  <c r="K3461" i="56"/>
  <c r="K3462" i="56"/>
  <c r="K3463" i="56"/>
  <c r="K3464" i="56"/>
  <c r="K3465" i="56"/>
  <c r="K3466" i="56"/>
  <c r="K3467" i="56"/>
  <c r="K3468" i="56"/>
  <c r="K3469" i="56"/>
  <c r="K3470" i="56"/>
  <c r="K3471" i="56"/>
  <c r="L3471" i="56" s="1"/>
  <c r="K3472" i="56"/>
  <c r="L3472" i="56" s="1"/>
  <c r="K3473" i="56"/>
  <c r="K3474" i="56"/>
  <c r="K3475" i="56"/>
  <c r="K3476" i="56"/>
  <c r="K3477" i="56"/>
  <c r="K3478" i="56"/>
  <c r="K3479" i="56"/>
  <c r="K3480" i="56"/>
  <c r="K3481" i="56"/>
  <c r="K3482" i="56"/>
  <c r="L3482" i="56" s="1"/>
  <c r="K3483" i="56"/>
  <c r="L3483" i="56" s="1"/>
  <c r="K3484" i="56"/>
  <c r="L3484" i="56" s="1"/>
  <c r="K3485" i="56"/>
  <c r="K3486" i="56"/>
  <c r="K3487" i="56"/>
  <c r="K3488" i="56"/>
  <c r="K3489" i="56"/>
  <c r="K3490" i="56"/>
  <c r="K3491" i="56"/>
  <c r="K3492" i="56"/>
  <c r="K3493" i="56"/>
  <c r="K3494" i="56"/>
  <c r="K3495" i="56"/>
  <c r="K3496" i="56"/>
  <c r="K3497" i="56"/>
  <c r="K3498" i="56"/>
  <c r="K3499" i="56"/>
  <c r="K3500" i="56"/>
  <c r="K3501" i="56"/>
  <c r="K3502" i="56"/>
  <c r="K3503" i="56"/>
  <c r="K3504" i="56"/>
  <c r="K3505" i="56"/>
  <c r="K3506" i="56"/>
  <c r="L3506" i="56" s="1"/>
  <c r="K3507" i="56"/>
  <c r="K3508" i="56"/>
  <c r="K3509" i="56"/>
  <c r="K3510" i="56"/>
  <c r="K3511" i="56"/>
  <c r="L3511" i="56" s="1"/>
  <c r="K3512" i="56"/>
  <c r="K3513" i="56"/>
  <c r="K3514" i="56"/>
  <c r="K3515" i="56"/>
  <c r="K3516" i="56"/>
  <c r="K3517" i="56"/>
  <c r="K3518" i="56"/>
  <c r="L3518" i="56" s="1"/>
  <c r="K3519" i="56"/>
  <c r="K3520" i="56"/>
  <c r="K3521" i="56"/>
  <c r="K3522" i="56"/>
  <c r="K3523" i="56"/>
  <c r="K3524" i="56"/>
  <c r="K3525" i="56"/>
  <c r="K3526" i="56"/>
  <c r="K3527" i="56"/>
  <c r="K3528" i="56"/>
  <c r="K3529" i="56"/>
  <c r="K3530" i="56"/>
  <c r="K3531" i="56"/>
  <c r="L3531" i="56" s="1"/>
  <c r="K3532" i="56"/>
  <c r="K3533" i="56"/>
  <c r="K3534" i="56"/>
  <c r="K3535" i="56"/>
  <c r="L3535" i="56" s="1"/>
  <c r="K3536" i="56"/>
  <c r="K3537" i="56"/>
  <c r="K3538" i="56"/>
  <c r="K3539" i="56"/>
  <c r="K3540" i="56"/>
  <c r="K3541" i="56"/>
  <c r="K3542" i="56"/>
  <c r="K3543" i="56"/>
  <c r="L3543" i="56" s="1"/>
  <c r="K3544" i="56"/>
  <c r="L3544" i="56" s="1"/>
  <c r="K3545" i="56"/>
  <c r="K3546" i="56"/>
  <c r="K3547" i="56"/>
  <c r="L3547" i="56" s="1"/>
  <c r="K3548" i="56"/>
  <c r="K3549" i="56"/>
  <c r="K3550" i="56"/>
  <c r="K3551" i="56"/>
  <c r="K3552" i="56"/>
  <c r="K3553" i="56"/>
  <c r="K3554" i="56"/>
  <c r="K3555" i="56"/>
  <c r="K3556" i="56"/>
  <c r="L3556" i="56" s="1"/>
  <c r="K3557" i="56"/>
  <c r="K3558" i="56"/>
  <c r="K3559" i="56"/>
  <c r="L3559" i="56" s="1"/>
  <c r="K3560" i="56"/>
  <c r="K3561" i="56"/>
  <c r="K3562" i="56"/>
  <c r="K3563" i="56"/>
  <c r="K3564" i="56"/>
  <c r="K3565" i="56"/>
  <c r="K3566" i="56"/>
  <c r="K3567" i="56"/>
  <c r="K3568" i="56"/>
  <c r="L3568" i="56" s="1"/>
  <c r="K3569" i="56"/>
  <c r="K3570" i="56"/>
  <c r="K3571" i="56"/>
  <c r="L3571" i="56" s="1"/>
  <c r="K3572" i="56"/>
  <c r="K3573" i="56"/>
  <c r="K3574" i="56"/>
  <c r="K3575" i="56"/>
  <c r="K3576" i="56"/>
  <c r="K3577" i="56"/>
  <c r="K3578" i="56"/>
  <c r="L3578" i="56" s="1"/>
  <c r="K3579" i="56"/>
  <c r="L3579" i="56" s="1"/>
  <c r="K3580" i="56"/>
  <c r="K3581" i="56"/>
  <c r="K3582" i="56"/>
  <c r="K3583" i="56"/>
  <c r="L3583" i="56" s="1"/>
  <c r="K3584" i="56"/>
  <c r="K3585" i="56"/>
  <c r="K3586" i="56"/>
  <c r="K3587" i="56"/>
  <c r="K3588" i="56"/>
  <c r="K3589" i="56"/>
  <c r="K3590" i="56"/>
  <c r="K3591" i="56"/>
  <c r="L3591" i="56" s="1"/>
  <c r="K3592" i="56"/>
  <c r="L3592" i="56" s="1"/>
  <c r="K3593" i="56"/>
  <c r="K3594" i="56"/>
  <c r="K3595" i="56"/>
  <c r="L3595" i="56" s="1"/>
  <c r="K3596" i="56"/>
  <c r="K3597" i="56"/>
  <c r="K3598" i="56"/>
  <c r="K3599" i="56"/>
  <c r="K3600" i="56"/>
  <c r="K3601" i="56"/>
  <c r="K3602" i="56"/>
  <c r="K3603" i="56"/>
  <c r="L3603" i="56" s="1"/>
  <c r="K3604" i="56"/>
  <c r="L3604" i="56" s="1"/>
  <c r="K3605" i="56"/>
  <c r="K3606" i="56"/>
  <c r="K3607" i="56"/>
  <c r="L3607" i="56" s="1"/>
  <c r="K3608" i="56"/>
  <c r="K3609" i="56"/>
  <c r="K3610" i="56"/>
  <c r="K3611" i="56"/>
  <c r="K3612" i="56"/>
  <c r="K3613" i="56"/>
  <c r="K3614" i="56"/>
  <c r="K3615" i="56"/>
  <c r="L3615" i="56" s="1"/>
  <c r="K3616" i="56"/>
  <c r="L3616" i="56" s="1"/>
  <c r="K3617" i="56"/>
  <c r="K3618" i="56"/>
  <c r="K3619" i="56"/>
  <c r="L3619" i="56" s="1"/>
  <c r="K3620" i="56"/>
  <c r="K3621" i="56"/>
  <c r="K3622" i="56"/>
  <c r="K3623" i="56"/>
  <c r="K3624" i="56"/>
  <c r="K3625" i="56"/>
  <c r="K3626" i="56"/>
  <c r="K3627" i="56"/>
  <c r="L3627" i="56" s="1"/>
  <c r="K3628" i="56"/>
  <c r="K3629" i="56"/>
  <c r="K3630" i="56"/>
  <c r="K3631" i="56"/>
  <c r="L3631" i="56" s="1"/>
  <c r="K3632" i="56"/>
  <c r="K3633" i="56"/>
  <c r="K3634" i="56"/>
  <c r="K3635" i="56"/>
  <c r="K3636" i="56"/>
  <c r="K3637" i="56"/>
  <c r="K3638" i="56"/>
  <c r="K3639" i="56"/>
  <c r="L3639" i="56" s="1"/>
  <c r="K3640" i="56"/>
  <c r="L3640" i="56" s="1"/>
  <c r="K3641" i="56"/>
  <c r="K3642" i="56"/>
  <c r="K3643" i="56"/>
  <c r="L3643" i="56" s="1"/>
  <c r="K3644" i="56"/>
  <c r="K3645" i="56"/>
  <c r="K3646" i="56"/>
  <c r="K3647" i="56"/>
  <c r="K3648" i="56"/>
  <c r="K3649" i="56"/>
  <c r="K3650" i="56"/>
  <c r="K3651" i="56"/>
  <c r="L3651" i="56" s="1"/>
  <c r="K3652" i="56"/>
  <c r="K3653" i="56"/>
  <c r="K3654" i="56"/>
  <c r="K3655" i="56"/>
  <c r="L3655" i="56" s="1"/>
  <c r="K3656" i="56"/>
  <c r="K3657" i="56"/>
  <c r="K3658" i="56"/>
  <c r="K3659" i="56"/>
  <c r="K3660" i="56"/>
  <c r="K3661" i="56"/>
  <c r="K3662" i="56"/>
  <c r="K3663" i="56"/>
  <c r="L3663" i="56" s="1"/>
  <c r="K3664" i="56"/>
  <c r="L3664" i="56" s="1"/>
  <c r="K3665" i="56"/>
  <c r="K3666" i="56"/>
  <c r="K3667" i="56"/>
  <c r="L3667" i="56" s="1"/>
  <c r="K3668" i="56"/>
  <c r="K3669" i="56"/>
  <c r="K3670" i="56"/>
  <c r="K3671" i="56"/>
  <c r="K3672" i="56"/>
  <c r="K3673" i="56"/>
  <c r="K3674" i="56"/>
  <c r="K3675" i="56"/>
  <c r="L3675" i="56" s="1"/>
  <c r="K3676" i="56"/>
  <c r="L3676" i="56" s="1"/>
  <c r="K3677" i="56"/>
  <c r="K3678" i="56"/>
  <c r="K3679" i="56"/>
  <c r="L3679" i="56" s="1"/>
  <c r="K3680" i="56"/>
  <c r="K3681" i="56"/>
  <c r="K3682" i="56"/>
  <c r="K3683" i="56"/>
  <c r="K3684" i="56"/>
  <c r="K3685" i="56"/>
  <c r="K3686" i="56"/>
  <c r="K3687" i="56"/>
  <c r="L3687" i="56" s="1"/>
  <c r="K3688" i="56"/>
  <c r="L3688" i="56" s="1"/>
  <c r="K3689" i="56"/>
  <c r="K3690" i="56"/>
  <c r="K3691" i="56"/>
  <c r="L3691" i="56" s="1"/>
  <c r="K3692" i="56"/>
  <c r="K3693" i="56"/>
  <c r="K3694" i="56"/>
  <c r="K3695" i="56"/>
  <c r="K3696" i="56"/>
  <c r="K3697" i="56"/>
  <c r="K3698" i="56"/>
  <c r="K3699" i="56"/>
  <c r="L3699" i="56" s="1"/>
  <c r="K3700" i="56"/>
  <c r="K3701" i="56"/>
  <c r="K3702" i="56"/>
  <c r="K3703" i="56"/>
  <c r="L3703" i="56" s="1"/>
  <c r="K3704" i="56"/>
  <c r="K3705" i="56"/>
  <c r="K3706" i="56"/>
  <c r="K3707" i="56"/>
  <c r="K3708" i="56"/>
  <c r="K3709" i="56"/>
  <c r="K3710" i="56"/>
  <c r="K3711" i="56"/>
  <c r="K3712" i="56"/>
  <c r="L3712" i="56" s="1"/>
  <c r="K3713" i="56"/>
  <c r="K3714" i="56"/>
  <c r="K3715" i="56"/>
  <c r="L3715" i="56" s="1"/>
  <c r="K3716" i="56"/>
  <c r="K3717" i="56"/>
  <c r="K3718" i="56"/>
  <c r="K3719" i="56"/>
  <c r="K3720" i="56"/>
  <c r="K3721" i="56"/>
  <c r="K3722" i="56"/>
  <c r="K3723" i="56"/>
  <c r="K3724" i="56"/>
  <c r="L3724" i="56" s="1"/>
  <c r="K3725" i="56"/>
  <c r="K3726" i="56"/>
  <c r="K3727" i="56"/>
  <c r="L3727" i="56" s="1"/>
  <c r="K3728" i="56"/>
  <c r="K3729" i="56"/>
  <c r="K3730" i="56"/>
  <c r="K3731" i="56"/>
  <c r="K3732" i="56"/>
  <c r="K3733" i="56"/>
  <c r="K3734" i="56"/>
  <c r="K3735" i="56"/>
  <c r="L3735" i="56" s="1"/>
  <c r="K3736" i="56"/>
  <c r="K3737" i="56"/>
  <c r="K3738" i="56"/>
  <c r="K3739" i="56"/>
  <c r="L3739" i="56" s="1"/>
  <c r="K3740" i="56"/>
  <c r="K3741" i="56"/>
  <c r="K3742" i="56"/>
  <c r="K3743" i="56"/>
  <c r="K3744" i="56"/>
  <c r="K3745" i="56"/>
  <c r="K3746" i="56"/>
  <c r="K3747" i="56"/>
  <c r="K3748" i="56"/>
  <c r="K3749" i="56"/>
  <c r="K3750" i="56"/>
  <c r="K3751" i="56"/>
  <c r="L3751" i="56" s="1"/>
  <c r="K3752" i="56"/>
  <c r="K3753" i="56"/>
  <c r="K3754" i="56"/>
  <c r="K3755" i="56"/>
  <c r="K3756" i="56"/>
  <c r="K3757" i="56"/>
  <c r="K3758" i="56"/>
  <c r="K3759" i="56"/>
  <c r="L3759" i="56" s="1"/>
  <c r="K3760" i="56"/>
  <c r="L3760" i="56" s="1"/>
  <c r="K3761" i="56"/>
  <c r="K3762" i="56"/>
  <c r="K3763" i="56"/>
  <c r="L3763" i="56" s="1"/>
  <c r="K3764" i="56"/>
  <c r="K3765" i="56"/>
  <c r="K3766" i="56"/>
  <c r="K3767" i="56"/>
  <c r="K3768" i="56"/>
  <c r="K3769" i="56"/>
  <c r="K3770" i="56"/>
  <c r="K3771" i="56"/>
  <c r="L3771" i="56" s="1"/>
  <c r="K3772" i="56"/>
  <c r="L3772" i="56" s="1"/>
  <c r="K3773" i="56"/>
  <c r="K3774" i="56"/>
  <c r="K3775" i="56"/>
  <c r="L3775" i="56" s="1"/>
  <c r="K3776" i="56"/>
  <c r="K3777" i="56"/>
  <c r="K3778" i="56"/>
  <c r="K3779" i="56"/>
  <c r="K3780" i="56"/>
  <c r="K3781" i="56"/>
  <c r="K3782" i="56"/>
  <c r="K3783" i="56"/>
  <c r="K3784" i="56"/>
  <c r="L3784" i="56" s="1"/>
  <c r="K3785" i="56"/>
  <c r="K3786" i="56"/>
  <c r="K3787" i="56"/>
  <c r="L3787" i="56" s="1"/>
  <c r="K3788" i="56"/>
  <c r="K3789" i="56"/>
  <c r="K3790" i="56"/>
  <c r="K3791" i="56"/>
  <c r="K3792" i="56"/>
  <c r="K3793" i="56"/>
  <c r="K3794" i="56"/>
  <c r="K3795" i="56"/>
  <c r="K3796" i="56"/>
  <c r="K3797" i="56"/>
  <c r="K3798" i="56"/>
  <c r="K3799" i="56"/>
  <c r="L3799" i="56" s="1"/>
  <c r="K3800" i="56"/>
  <c r="K3801" i="56"/>
  <c r="K3802" i="56"/>
  <c r="K3803" i="56"/>
  <c r="K3804" i="56"/>
  <c r="K3805" i="56"/>
  <c r="K3806" i="56"/>
  <c r="K3807" i="56"/>
  <c r="K3808" i="56"/>
  <c r="L3808" i="56" s="1"/>
  <c r="K3809" i="56"/>
  <c r="K3810" i="56"/>
  <c r="K3811" i="56"/>
  <c r="L3811" i="56" s="1"/>
  <c r="K3812" i="56"/>
  <c r="K3813" i="56"/>
  <c r="K3814" i="56"/>
  <c r="K3815" i="56"/>
  <c r="K3816" i="56"/>
  <c r="K3817" i="56"/>
  <c r="K3818" i="56"/>
  <c r="L3818" i="56" s="1"/>
  <c r="K3819" i="56"/>
  <c r="K3820" i="56"/>
  <c r="L3820" i="56" s="1"/>
  <c r="K3821" i="56"/>
  <c r="K3822" i="56"/>
  <c r="K3823" i="56"/>
  <c r="L3823" i="56" s="1"/>
  <c r="K3824" i="56"/>
  <c r="K3825" i="56"/>
  <c r="K3826" i="56"/>
  <c r="K3827" i="56"/>
  <c r="K3828" i="56"/>
  <c r="K3829" i="56"/>
  <c r="K3830" i="56"/>
  <c r="K3831" i="56"/>
  <c r="L3831" i="56" s="1"/>
  <c r="K3832" i="56"/>
  <c r="L3832" i="56" s="1"/>
  <c r="K3833" i="56"/>
  <c r="K3834" i="56"/>
  <c r="K3835" i="56"/>
  <c r="L3835" i="56" s="1"/>
  <c r="K3836" i="56"/>
  <c r="K3837" i="56"/>
  <c r="K3838" i="56"/>
  <c r="K3839" i="56"/>
  <c r="K3840" i="56"/>
  <c r="K3841" i="56"/>
  <c r="K3842" i="56"/>
  <c r="K3843" i="56"/>
  <c r="L3843" i="56" s="1"/>
  <c r="K3844" i="56"/>
  <c r="L3844" i="56" s="1"/>
  <c r="K3845" i="56"/>
  <c r="K3846" i="56"/>
  <c r="K3847" i="56"/>
  <c r="L3847" i="56" s="1"/>
  <c r="K3848" i="56"/>
  <c r="K3849" i="56"/>
  <c r="K3850" i="56"/>
  <c r="K3851" i="56"/>
  <c r="K3852" i="56"/>
  <c r="K3853" i="56"/>
  <c r="K3854" i="56"/>
  <c r="L3854" i="56" s="1"/>
  <c r="K3855" i="56"/>
  <c r="L3855" i="56" s="1"/>
  <c r="K3856" i="56"/>
  <c r="L3856" i="56" s="1"/>
  <c r="K3857" i="56"/>
  <c r="K3858" i="56"/>
  <c r="K3859" i="56"/>
  <c r="L3859" i="56" s="1"/>
  <c r="K3860" i="56"/>
  <c r="K3861" i="56"/>
  <c r="K3862" i="56"/>
  <c r="K3863" i="56"/>
  <c r="K3864" i="56"/>
  <c r="K3865" i="56"/>
  <c r="K3866" i="56"/>
  <c r="L3866" i="56" s="1"/>
  <c r="K3867" i="56"/>
  <c r="L3867" i="56" s="1"/>
  <c r="K3868" i="56"/>
  <c r="L3868" i="56" s="1"/>
  <c r="K3869" i="56"/>
  <c r="K3870" i="56"/>
  <c r="K3871" i="56"/>
  <c r="L3871" i="56" s="1"/>
  <c r="K3872" i="56"/>
  <c r="K3873" i="56"/>
  <c r="K3874" i="56"/>
  <c r="K3875" i="56"/>
  <c r="K3876" i="56"/>
  <c r="K3877" i="56"/>
  <c r="K3878" i="56"/>
  <c r="L3878" i="56" s="1"/>
  <c r="K3879" i="56"/>
  <c r="K3880" i="56"/>
  <c r="L3880" i="56" s="1"/>
  <c r="K3881" i="56"/>
  <c r="K3882" i="56"/>
  <c r="K3883" i="56"/>
  <c r="L3883" i="56" s="1"/>
  <c r="K3884" i="56"/>
  <c r="K3885" i="56"/>
  <c r="K3886" i="56"/>
  <c r="K3887" i="56"/>
  <c r="K3888" i="56"/>
  <c r="K3889" i="56"/>
  <c r="K3890" i="56"/>
  <c r="L3890" i="56" s="1"/>
  <c r="K3891" i="56"/>
  <c r="K3892" i="56"/>
  <c r="L3892" i="56" s="1"/>
  <c r="K3893" i="56"/>
  <c r="K3894" i="56"/>
  <c r="K3895" i="56"/>
  <c r="L3895" i="56" s="1"/>
  <c r="K3896" i="56"/>
  <c r="K3897" i="56"/>
  <c r="K3898" i="56"/>
  <c r="K3899" i="56"/>
  <c r="K3900" i="56"/>
  <c r="K3901" i="56"/>
  <c r="K3902" i="56"/>
  <c r="K3903" i="56"/>
  <c r="L3903" i="56" s="1"/>
  <c r="K3904" i="56"/>
  <c r="L3904" i="56" s="1"/>
  <c r="K3905" i="56"/>
  <c r="K3906" i="56"/>
  <c r="K3907" i="56"/>
  <c r="L3907" i="56" s="1"/>
  <c r="K3908" i="56"/>
  <c r="K3909" i="56"/>
  <c r="K3910" i="56"/>
  <c r="K3911" i="56"/>
  <c r="K3912" i="56"/>
  <c r="K3913" i="56"/>
  <c r="K3914" i="56"/>
  <c r="K3915" i="56"/>
  <c r="K3916" i="56"/>
  <c r="K3917" i="56"/>
  <c r="K3918" i="56"/>
  <c r="K3919" i="56"/>
  <c r="L3919" i="56" s="1"/>
  <c r="K3920" i="56"/>
  <c r="K3921" i="56"/>
  <c r="K3922" i="56"/>
  <c r="K3923" i="56"/>
  <c r="K3924" i="56"/>
  <c r="K3925" i="56"/>
  <c r="K3926" i="56"/>
  <c r="K3927" i="56"/>
  <c r="K3928" i="56"/>
  <c r="L3928" i="56" s="1"/>
  <c r="K3929" i="56"/>
  <c r="K3930" i="56"/>
  <c r="K3931" i="56"/>
  <c r="L3931" i="56" s="1"/>
  <c r="K3932" i="56"/>
  <c r="K3933" i="56"/>
  <c r="K3934" i="56"/>
  <c r="K3935" i="56"/>
  <c r="K3936" i="56"/>
  <c r="K3937" i="56"/>
  <c r="K3938" i="56"/>
  <c r="K3939" i="56"/>
  <c r="K3940" i="56"/>
  <c r="L3940" i="56" s="1"/>
  <c r="K3941" i="56"/>
  <c r="K3942" i="56"/>
  <c r="K3943" i="56"/>
  <c r="L3943" i="56" s="1"/>
  <c r="K3944" i="56"/>
  <c r="K3945" i="56"/>
  <c r="K3946" i="56"/>
  <c r="K3947" i="56"/>
  <c r="K3948" i="56"/>
  <c r="K3949" i="56"/>
  <c r="K3950" i="56"/>
  <c r="K3951" i="56"/>
  <c r="L3951" i="56" s="1"/>
  <c r="K3952" i="56"/>
  <c r="L3952" i="56" s="1"/>
  <c r="K3953" i="56"/>
  <c r="K3954" i="56"/>
  <c r="K3955" i="56"/>
  <c r="K3956" i="56"/>
  <c r="K3957" i="56"/>
  <c r="K3958" i="56"/>
  <c r="K3959" i="56"/>
  <c r="K3960" i="56"/>
  <c r="K3961" i="56"/>
  <c r="K3962" i="56"/>
  <c r="L3962" i="56" s="1"/>
  <c r="K3963" i="56"/>
  <c r="L3963" i="56" s="1"/>
  <c r="K3964" i="56"/>
  <c r="L3964" i="56" s="1"/>
  <c r="K3965" i="56"/>
  <c r="K3966" i="56"/>
  <c r="K3967" i="56"/>
  <c r="K3968" i="56"/>
  <c r="K3969" i="56"/>
  <c r="K3970" i="56"/>
  <c r="K3971" i="56"/>
  <c r="K3972" i="56"/>
  <c r="K3973" i="56"/>
  <c r="K3974" i="56"/>
  <c r="L3974" i="56" s="1"/>
  <c r="K3975" i="56"/>
  <c r="K3976" i="56"/>
  <c r="K3977" i="56"/>
  <c r="K3978" i="56"/>
  <c r="K3979" i="56"/>
  <c r="K3980" i="56"/>
  <c r="K3981" i="56"/>
  <c r="K3982" i="56"/>
  <c r="K3983" i="56"/>
  <c r="K3984" i="56"/>
  <c r="K3985" i="56"/>
  <c r="K3986" i="56"/>
  <c r="K3987" i="56"/>
  <c r="K3988" i="56"/>
  <c r="L3988" i="56" s="1"/>
  <c r="K3989" i="56"/>
  <c r="K3990" i="56"/>
  <c r="K3991" i="56"/>
  <c r="K3992" i="56"/>
  <c r="K3993" i="56"/>
  <c r="K3994" i="56"/>
  <c r="K3995" i="56"/>
  <c r="K3996" i="56"/>
  <c r="K3997" i="56"/>
  <c r="K3998" i="56"/>
  <c r="L3998" i="56" s="1"/>
  <c r="K3999" i="56"/>
  <c r="K4000" i="56"/>
  <c r="L4000" i="56" s="1"/>
  <c r="K4001" i="56"/>
  <c r="K4002" i="56"/>
  <c r="K4003" i="56"/>
  <c r="K4004" i="56"/>
  <c r="K4005" i="56"/>
  <c r="K4006" i="56"/>
  <c r="K4007" i="56"/>
  <c r="K4008" i="56"/>
  <c r="K4009" i="56"/>
  <c r="K4010" i="56"/>
  <c r="L4010" i="56" s="1"/>
  <c r="K4011" i="56"/>
  <c r="K4012" i="56"/>
  <c r="L4012" i="56" s="1"/>
  <c r="K4013" i="56"/>
  <c r="K4014" i="56"/>
  <c r="K4015" i="56"/>
  <c r="L4015" i="56" s="1"/>
  <c r="K4016" i="56"/>
  <c r="K4017" i="56"/>
  <c r="K4018" i="56"/>
  <c r="K4019" i="56"/>
  <c r="K4020" i="56"/>
  <c r="K4021" i="56"/>
  <c r="K4022" i="56"/>
  <c r="K4023" i="56"/>
  <c r="K4024" i="56"/>
  <c r="L4024" i="56" s="1"/>
  <c r="K4025" i="56"/>
  <c r="K4026" i="56"/>
  <c r="K4027" i="56"/>
  <c r="K4028" i="56"/>
  <c r="K4029" i="56"/>
  <c r="K4030" i="56"/>
  <c r="K4031" i="56"/>
  <c r="K4032" i="56"/>
  <c r="K4033" i="56"/>
  <c r="K4034" i="56"/>
  <c r="K4035" i="56"/>
  <c r="L4035" i="56" s="1"/>
  <c r="K4036" i="56"/>
  <c r="L4036" i="56" s="1"/>
  <c r="K4037" i="56"/>
  <c r="K4038" i="56"/>
  <c r="K4039" i="56"/>
  <c r="K4040" i="56"/>
  <c r="K4041" i="56"/>
  <c r="K4042" i="56"/>
  <c r="K4043" i="56"/>
  <c r="K4044" i="56"/>
  <c r="K4045" i="56"/>
  <c r="K4046" i="56"/>
  <c r="K4047" i="56"/>
  <c r="K4048" i="56"/>
  <c r="L4048" i="56" s="1"/>
  <c r="K4049" i="56"/>
  <c r="K4050" i="56"/>
  <c r="K4051" i="56"/>
  <c r="L4051" i="56" s="1"/>
  <c r="K4052" i="56"/>
  <c r="K4053" i="56"/>
  <c r="K4054" i="56"/>
  <c r="K4055" i="56"/>
  <c r="K4056" i="56"/>
  <c r="K4057" i="56"/>
  <c r="K4058" i="56"/>
  <c r="K4059" i="56"/>
  <c r="L4059" i="56" s="1"/>
  <c r="K4060" i="56"/>
  <c r="K4061" i="56"/>
  <c r="K4062" i="56"/>
  <c r="K4063" i="56"/>
  <c r="K4064" i="56"/>
  <c r="K4065" i="56"/>
  <c r="K4066" i="56"/>
  <c r="K4067" i="56"/>
  <c r="K4068" i="56"/>
  <c r="K4069" i="56"/>
  <c r="K4070" i="56"/>
  <c r="L4070" i="56" s="1"/>
  <c r="K4071" i="56"/>
  <c r="L4071" i="56" s="1"/>
  <c r="K4072" i="56"/>
  <c r="L4072" i="56" s="1"/>
  <c r="K4073" i="56"/>
  <c r="K4074" i="56"/>
  <c r="K4075" i="56"/>
  <c r="K4076" i="56"/>
  <c r="K4077" i="56"/>
  <c r="K4078" i="56"/>
  <c r="K4079" i="56"/>
  <c r="K4080" i="56"/>
  <c r="K4081" i="56"/>
  <c r="K4082" i="56"/>
  <c r="K4083" i="56"/>
  <c r="L4083" i="56" s="1"/>
  <c r="K4084" i="56"/>
  <c r="K4085" i="56"/>
  <c r="K4086" i="56"/>
  <c r="K4087" i="56"/>
  <c r="K4088" i="56"/>
  <c r="K4089" i="56"/>
  <c r="K4090" i="56"/>
  <c r="K4091" i="56"/>
  <c r="K4092" i="56"/>
  <c r="K4093" i="56"/>
  <c r="K4094" i="56"/>
  <c r="K4095" i="56"/>
  <c r="K4096" i="56"/>
  <c r="L4096" i="56" s="1"/>
  <c r="K4097" i="56"/>
  <c r="K4098" i="56"/>
  <c r="K4099" i="56"/>
  <c r="K4100" i="56"/>
  <c r="K4101" i="56"/>
  <c r="K4102" i="56"/>
  <c r="K4103" i="56"/>
  <c r="K4104" i="56"/>
  <c r="K4105" i="56"/>
  <c r="K4106" i="56"/>
  <c r="L4106" i="56" s="1"/>
  <c r="K4107" i="56"/>
  <c r="L4107" i="56" s="1"/>
  <c r="K4108" i="56"/>
  <c r="L4108" i="56" s="1"/>
  <c r="K4109" i="56"/>
  <c r="K4110" i="56"/>
  <c r="K4111" i="56"/>
  <c r="K4112" i="56"/>
  <c r="K4113" i="56"/>
  <c r="K4114" i="56"/>
  <c r="K4115" i="56"/>
  <c r="K4116" i="56"/>
  <c r="K4117" i="56"/>
  <c r="K4118" i="56"/>
  <c r="L4118" i="56" s="1"/>
  <c r="K4119" i="56"/>
  <c r="K4120" i="56"/>
  <c r="L4120" i="56" s="1"/>
  <c r="K4121" i="56"/>
  <c r="K4122" i="56"/>
  <c r="K4123" i="56"/>
  <c r="K4124" i="56"/>
  <c r="K4125" i="56"/>
  <c r="K4126" i="56"/>
  <c r="K4127" i="56"/>
  <c r="K4128" i="56"/>
  <c r="K4129" i="56"/>
  <c r="K4130" i="56"/>
  <c r="K4131" i="56"/>
  <c r="L4131" i="56" s="1"/>
  <c r="K4132" i="56"/>
  <c r="L4132" i="56" s="1"/>
  <c r="K4133" i="56"/>
  <c r="K4134" i="56"/>
  <c r="K4135" i="56"/>
  <c r="K4136" i="56"/>
  <c r="K4137" i="56"/>
  <c r="K4138" i="56"/>
  <c r="K4139" i="56"/>
  <c r="K4140" i="56"/>
  <c r="K4141" i="56"/>
  <c r="K4142" i="56"/>
  <c r="L4142" i="56" s="1"/>
  <c r="K4143" i="56"/>
  <c r="L4143" i="56" s="1"/>
  <c r="K4144" i="56"/>
  <c r="K4145" i="56"/>
  <c r="K4146" i="56"/>
  <c r="K4147" i="56"/>
  <c r="L4147" i="56" s="1"/>
  <c r="K4148" i="56"/>
  <c r="K4149" i="56"/>
  <c r="K4150" i="56"/>
  <c r="K4151" i="56"/>
  <c r="K4152" i="56"/>
  <c r="K4153" i="56"/>
  <c r="K4154" i="56"/>
  <c r="K4155" i="56"/>
  <c r="L4155" i="56" s="1"/>
  <c r="K4156" i="56"/>
  <c r="L4156" i="56" s="1"/>
  <c r="K4157" i="56"/>
  <c r="K4158" i="56"/>
  <c r="K4159" i="56"/>
  <c r="L4159" i="56" s="1"/>
  <c r="K4160" i="56"/>
  <c r="K4161" i="56"/>
  <c r="K4162" i="56"/>
  <c r="K4163" i="56"/>
  <c r="K4164" i="56"/>
  <c r="K4165" i="56"/>
  <c r="K4166" i="56"/>
  <c r="K4167" i="56"/>
  <c r="L4167" i="56" s="1"/>
  <c r="K4168" i="56"/>
  <c r="K4169" i="56"/>
  <c r="K4170" i="56"/>
  <c r="K4171" i="56"/>
  <c r="L4171" i="56" s="1"/>
  <c r="K4172" i="56"/>
  <c r="K4173" i="56"/>
  <c r="K4174" i="56"/>
  <c r="K4175" i="56"/>
  <c r="K4176" i="56"/>
  <c r="K4177" i="56"/>
  <c r="K4178" i="56"/>
  <c r="L4178" i="56" s="1"/>
  <c r="K4179" i="56"/>
  <c r="L4179" i="56" s="1"/>
  <c r="K4180" i="56"/>
  <c r="L4180" i="56" s="1"/>
  <c r="K4181" i="56"/>
  <c r="K4182" i="56"/>
  <c r="K4183" i="56"/>
  <c r="L4183" i="56" s="1"/>
  <c r="K4184" i="56"/>
  <c r="K4185" i="56"/>
  <c r="K4186" i="56"/>
  <c r="K4187" i="56"/>
  <c r="K4188" i="56"/>
  <c r="K4189" i="56"/>
  <c r="K4190" i="56"/>
  <c r="L4190" i="56" s="1"/>
  <c r="K4191" i="56"/>
  <c r="K4192" i="56"/>
  <c r="K4193" i="56"/>
  <c r="K4194" i="56"/>
  <c r="K4195" i="56"/>
  <c r="K4196" i="56"/>
  <c r="K4197" i="56"/>
  <c r="K4198" i="56"/>
  <c r="K4199" i="56"/>
  <c r="K4200" i="56"/>
  <c r="K4201" i="56"/>
  <c r="K4202" i="56"/>
  <c r="K4203" i="56"/>
  <c r="K4204" i="56"/>
  <c r="K4205" i="56"/>
  <c r="K4206" i="56"/>
  <c r="K4207" i="56"/>
  <c r="K4208" i="56"/>
  <c r="K4209" i="56"/>
  <c r="K4210" i="56"/>
  <c r="K4211" i="56"/>
  <c r="K4212" i="56"/>
  <c r="K4213" i="56"/>
  <c r="K4214" i="56"/>
  <c r="K4215" i="56"/>
  <c r="L4215" i="56" s="1"/>
  <c r="K4216" i="56"/>
  <c r="K4217" i="56"/>
  <c r="K4218" i="56"/>
  <c r="K4219" i="56"/>
  <c r="K4220" i="56"/>
  <c r="K4221" i="56"/>
  <c r="K4222" i="56"/>
  <c r="K4223" i="56"/>
  <c r="K4224" i="56"/>
  <c r="K4225" i="56"/>
  <c r="K4226" i="56"/>
  <c r="K4227" i="56"/>
  <c r="K4228" i="56"/>
  <c r="K4229" i="56"/>
  <c r="K4230" i="56"/>
  <c r="K4231" i="56"/>
  <c r="K4232" i="56"/>
  <c r="K4233" i="56"/>
  <c r="K4234" i="56"/>
  <c r="K4235" i="56"/>
  <c r="K4236" i="56"/>
  <c r="K4237" i="56"/>
  <c r="K4238" i="56"/>
  <c r="K4239" i="56"/>
  <c r="L4239" i="56" s="1"/>
  <c r="K4240" i="56"/>
  <c r="L4240" i="56" s="1"/>
  <c r="K4241" i="56"/>
  <c r="K4242" i="56"/>
  <c r="K4243" i="56"/>
  <c r="K4244" i="56"/>
  <c r="K4245" i="56"/>
  <c r="K4246" i="56"/>
  <c r="K4247" i="56"/>
  <c r="K4248" i="56"/>
  <c r="K4249" i="56"/>
  <c r="K4250" i="56"/>
  <c r="K4251" i="56"/>
  <c r="K4252" i="56"/>
  <c r="K4253" i="56"/>
  <c r="K4254" i="56"/>
  <c r="K4255" i="56"/>
  <c r="L4255" i="56" s="1"/>
  <c r="K4256" i="56"/>
  <c r="K4257" i="56"/>
  <c r="K4258" i="56"/>
  <c r="K4259" i="56"/>
  <c r="K4260" i="56"/>
  <c r="K4261" i="56"/>
  <c r="K4262" i="56"/>
  <c r="K4263" i="56"/>
  <c r="L4263" i="56" s="1"/>
  <c r="K4264" i="56"/>
  <c r="L4264" i="56" s="1"/>
  <c r="K4265" i="56"/>
  <c r="K4266" i="56"/>
  <c r="K4267" i="56"/>
  <c r="L4267" i="56" s="1"/>
  <c r="K4268" i="56"/>
  <c r="K4269" i="56"/>
  <c r="K4270" i="56"/>
  <c r="K4271" i="56"/>
  <c r="K4272" i="56"/>
  <c r="K4273" i="56"/>
  <c r="K4274" i="56"/>
  <c r="L4274" i="56" s="1"/>
  <c r="K4275" i="56"/>
  <c r="K4276" i="56"/>
  <c r="K4277" i="56"/>
  <c r="K4278" i="56"/>
  <c r="K4279" i="56"/>
  <c r="L4279" i="56" s="1"/>
  <c r="K4280" i="56"/>
  <c r="K4281" i="56"/>
  <c r="K4282" i="56"/>
  <c r="K4283" i="56"/>
  <c r="K4284" i="56"/>
  <c r="K4285" i="56"/>
  <c r="K4286" i="56"/>
  <c r="L4286" i="56" s="1"/>
  <c r="K4287" i="56"/>
  <c r="K4288" i="56"/>
  <c r="L4288" i="56" s="1"/>
  <c r="K4289" i="56"/>
  <c r="K4290" i="56"/>
  <c r="K4291" i="56"/>
  <c r="L4291" i="56" s="1"/>
  <c r="K4292" i="56"/>
  <c r="K4293" i="56"/>
  <c r="K4294" i="56"/>
  <c r="K4295" i="56"/>
  <c r="K4296" i="56"/>
  <c r="K4297" i="56"/>
  <c r="K4298" i="56"/>
  <c r="L4298" i="56" s="1"/>
  <c r="K4299" i="56"/>
  <c r="L4299" i="56" s="1"/>
  <c r="K4300" i="56"/>
  <c r="K4301" i="56"/>
  <c r="K4302" i="56"/>
  <c r="K4303" i="56"/>
  <c r="L4303" i="56" s="1"/>
  <c r="K4304" i="56"/>
  <c r="K4305" i="56"/>
  <c r="K4306" i="56"/>
  <c r="K4307" i="56"/>
  <c r="K4308" i="56"/>
  <c r="K4309" i="56"/>
  <c r="K4310" i="56"/>
  <c r="K4311" i="56"/>
  <c r="L4311" i="56" s="1"/>
  <c r="K4312" i="56"/>
  <c r="L4312" i="56" s="1"/>
  <c r="K4313" i="56"/>
  <c r="K4314" i="56"/>
  <c r="K4315" i="56"/>
  <c r="L4315" i="56" s="1"/>
  <c r="K4316" i="56"/>
  <c r="K4317" i="56"/>
  <c r="K4318" i="56"/>
  <c r="K4319" i="56"/>
  <c r="K4320" i="56"/>
  <c r="K4321" i="56"/>
  <c r="K4322" i="56"/>
  <c r="K4323" i="56"/>
  <c r="L4323" i="56" s="1"/>
  <c r="K4324" i="56"/>
  <c r="L4324" i="56" s="1"/>
  <c r="K4325" i="56"/>
  <c r="K4326" i="56"/>
  <c r="K4327" i="56"/>
  <c r="L4327" i="56" s="1"/>
  <c r="K4328" i="56"/>
  <c r="K4329" i="56"/>
  <c r="K4330" i="56"/>
  <c r="K4331" i="56"/>
  <c r="K4332" i="56"/>
  <c r="K4333" i="56"/>
  <c r="K4334" i="56"/>
  <c r="K4335" i="56"/>
  <c r="K4336" i="56"/>
  <c r="K4337" i="56"/>
  <c r="K4338" i="56"/>
  <c r="K4339" i="56"/>
  <c r="K4340" i="56"/>
  <c r="K4341" i="56"/>
  <c r="K4342" i="56"/>
  <c r="K4343" i="56"/>
  <c r="K4344" i="56"/>
  <c r="K4345" i="56"/>
  <c r="K4346" i="56"/>
  <c r="L4346" i="56" s="1"/>
  <c r="K4347" i="56"/>
  <c r="L4347" i="56" s="1"/>
  <c r="K4348" i="56"/>
  <c r="K4349" i="56"/>
  <c r="K4350" i="56"/>
  <c r="K4351" i="56"/>
  <c r="L4351" i="56" s="1"/>
  <c r="K4352" i="56"/>
  <c r="K4353" i="56"/>
  <c r="K4354" i="56"/>
  <c r="K4355" i="56"/>
  <c r="K4356" i="56"/>
  <c r="K4357" i="56"/>
  <c r="K4358" i="56"/>
  <c r="L4358" i="56" s="1"/>
  <c r="K4359" i="56"/>
  <c r="L4359" i="56" s="1"/>
  <c r="K4360" i="56"/>
  <c r="L4360" i="56" s="1"/>
  <c r="K4361" i="56"/>
  <c r="K4362" i="56"/>
  <c r="K4363" i="56"/>
  <c r="L4363" i="56" s="1"/>
  <c r="K4364" i="56"/>
  <c r="K4365" i="56"/>
  <c r="K4366" i="56"/>
  <c r="K4367" i="56"/>
  <c r="K4368" i="56"/>
  <c r="K4369" i="56"/>
  <c r="K4370" i="56"/>
  <c r="K4371" i="56"/>
  <c r="L4371" i="56" s="1"/>
  <c r="K4372" i="56"/>
  <c r="K4373" i="56"/>
  <c r="K4374" i="56"/>
  <c r="K4375" i="56"/>
  <c r="L4375" i="56" s="1"/>
  <c r="K4376" i="56"/>
  <c r="K4377" i="56"/>
  <c r="K4378" i="56"/>
  <c r="K4379" i="56"/>
  <c r="K4380" i="56"/>
  <c r="K4381" i="56"/>
  <c r="K4382" i="56"/>
  <c r="L4382" i="56" s="1"/>
  <c r="K4383" i="56"/>
  <c r="K4384" i="56"/>
  <c r="K4385" i="56"/>
  <c r="K4386" i="56"/>
  <c r="K4387" i="56"/>
  <c r="K4388" i="56"/>
  <c r="K4389" i="56"/>
  <c r="K4390" i="56"/>
  <c r="K4391" i="56"/>
  <c r="K4392" i="56"/>
  <c r="K4393" i="56"/>
  <c r="K4394" i="56"/>
  <c r="L4394" i="56" s="1"/>
  <c r="K4395" i="56"/>
  <c r="K4396" i="56"/>
  <c r="L4396" i="56" s="1"/>
  <c r="K4397" i="56"/>
  <c r="K4398" i="56"/>
  <c r="K4399" i="56"/>
  <c r="L4399" i="56" s="1"/>
  <c r="K4400" i="56"/>
  <c r="K4401" i="56"/>
  <c r="K4402" i="56"/>
  <c r="K4403" i="56"/>
  <c r="K4404" i="56"/>
  <c r="K4405" i="56"/>
  <c r="K4406" i="56"/>
  <c r="L4406" i="56" s="1"/>
  <c r="K4407" i="56"/>
  <c r="K4408" i="56"/>
  <c r="K4409" i="56"/>
  <c r="K4410" i="56"/>
  <c r="K4411" i="56"/>
  <c r="L4411" i="56" s="1"/>
  <c r="K4412" i="56"/>
  <c r="K4413" i="56"/>
  <c r="K4414" i="56"/>
  <c r="K4415" i="56"/>
  <c r="K4416" i="56"/>
  <c r="K4417" i="56"/>
  <c r="K4418" i="56"/>
  <c r="K4419" i="56"/>
  <c r="L4419" i="56" s="1"/>
  <c r="K4420" i="56"/>
  <c r="K4421" i="56"/>
  <c r="K4422" i="56"/>
  <c r="K4423" i="56"/>
  <c r="L4423" i="56" s="1"/>
  <c r="K4424" i="56"/>
  <c r="K4425" i="56"/>
  <c r="K4426" i="56"/>
  <c r="K4427" i="56"/>
  <c r="K4428" i="56"/>
  <c r="K4429" i="56"/>
  <c r="K4430" i="56"/>
  <c r="K4431" i="56"/>
  <c r="L4431" i="56" s="1"/>
  <c r="K4432" i="56"/>
  <c r="L4432" i="56" s="1"/>
  <c r="K4433" i="56"/>
  <c r="K4434" i="56"/>
  <c r="K4435" i="56"/>
  <c r="L4435" i="56" s="1"/>
  <c r="K4436" i="56"/>
  <c r="K4437" i="56"/>
  <c r="K4438" i="56"/>
  <c r="K4439" i="56"/>
  <c r="K4440" i="56"/>
  <c r="K4441" i="56"/>
  <c r="K4442" i="56"/>
  <c r="K4443" i="56"/>
  <c r="K4444" i="56"/>
  <c r="L4444" i="56" s="1"/>
  <c r="K4445" i="56"/>
  <c r="K4446" i="56"/>
  <c r="K4447" i="56"/>
  <c r="L4447" i="56" s="1"/>
  <c r="K4448" i="56"/>
  <c r="K4449" i="56"/>
  <c r="K4450" i="56"/>
  <c r="K4451" i="56"/>
  <c r="K4452" i="56"/>
  <c r="K4453" i="56"/>
  <c r="K4454" i="56"/>
  <c r="K4455" i="56"/>
  <c r="K4456" i="56"/>
  <c r="K4457" i="56"/>
  <c r="K4458" i="56"/>
  <c r="K4459" i="56"/>
  <c r="L4459" i="56" s="1"/>
  <c r="K4460" i="56"/>
  <c r="K4461" i="56"/>
  <c r="K4462" i="56"/>
  <c r="K4463" i="56"/>
  <c r="K4464" i="56"/>
  <c r="K4465" i="56"/>
  <c r="K4466" i="56"/>
  <c r="K4467" i="56"/>
  <c r="K4468" i="56"/>
  <c r="K4469" i="56"/>
  <c r="K4470" i="56"/>
  <c r="K4471" i="56"/>
  <c r="L4471" i="56" s="1"/>
  <c r="K4472" i="56"/>
  <c r="K4473" i="56"/>
  <c r="K4474" i="56"/>
  <c r="K4475" i="56"/>
  <c r="K4476" i="56"/>
  <c r="K4477" i="56"/>
  <c r="K4478" i="56"/>
  <c r="K4479" i="56"/>
  <c r="K4480" i="56"/>
  <c r="K4481" i="56"/>
  <c r="K4482" i="56"/>
  <c r="K4483" i="56"/>
  <c r="L4483" i="56" s="1"/>
  <c r="K4484" i="56"/>
  <c r="K4485" i="56"/>
  <c r="K4486" i="56"/>
  <c r="K4487" i="56"/>
  <c r="K4488" i="56"/>
  <c r="K4489" i="56"/>
  <c r="K4490" i="56"/>
  <c r="L4490" i="56" s="1"/>
  <c r="K4491" i="56"/>
  <c r="L4491" i="56" s="1"/>
  <c r="K4492" i="56"/>
  <c r="K4493" i="56"/>
  <c r="K4494" i="56"/>
  <c r="K4495" i="56"/>
  <c r="L4495" i="56" s="1"/>
  <c r="K4496" i="56"/>
  <c r="K4497" i="56"/>
  <c r="K4498" i="56"/>
  <c r="K4499" i="56"/>
  <c r="K4500" i="56"/>
  <c r="K4501" i="56"/>
  <c r="K4502" i="56"/>
  <c r="K4503" i="56"/>
  <c r="K4504" i="56"/>
  <c r="K4505" i="56"/>
  <c r="K4506" i="56"/>
  <c r="K4507" i="56"/>
  <c r="L4507" i="56" s="1"/>
  <c r="K4508" i="56"/>
  <c r="K4509" i="56"/>
  <c r="K4510" i="56"/>
  <c r="K4511" i="56"/>
  <c r="K4512" i="56"/>
  <c r="K4513" i="56"/>
  <c r="K4514" i="56"/>
  <c r="K4515" i="56"/>
  <c r="L4515" i="56" s="1"/>
  <c r="K4516" i="56"/>
  <c r="L4516" i="56" s="1"/>
  <c r="K4517" i="56"/>
  <c r="K4518" i="56"/>
  <c r="K4519" i="56"/>
  <c r="K4520" i="56"/>
  <c r="K4521" i="56"/>
  <c r="K4522" i="56"/>
  <c r="K4523" i="56"/>
  <c r="K4524" i="56"/>
  <c r="K4525" i="56"/>
  <c r="K4526" i="56"/>
  <c r="K4527" i="56"/>
  <c r="K4528" i="56"/>
  <c r="K4529" i="56"/>
  <c r="K4530" i="56"/>
  <c r="K4531" i="56"/>
  <c r="K4532" i="56"/>
  <c r="K4533" i="56"/>
  <c r="K4534" i="56"/>
  <c r="K4535" i="56"/>
  <c r="K4536" i="56"/>
  <c r="K4537" i="56"/>
  <c r="K4538" i="56"/>
  <c r="L4538" i="56" s="1"/>
  <c r="K4539" i="56"/>
  <c r="K4540" i="56"/>
  <c r="L4540" i="56" s="1"/>
  <c r="K4541" i="56"/>
  <c r="K4542" i="56"/>
  <c r="K4543" i="56"/>
  <c r="L4543" i="56" s="1"/>
  <c r="K4544" i="56"/>
  <c r="K4545" i="56"/>
  <c r="K4546" i="56"/>
  <c r="K4547" i="56"/>
  <c r="K4548" i="56"/>
  <c r="K4549" i="56"/>
  <c r="K4550" i="56"/>
  <c r="K4551" i="56"/>
  <c r="K4552" i="56"/>
  <c r="L4552" i="56" s="1"/>
  <c r="K4553" i="56"/>
  <c r="K4554" i="56"/>
  <c r="K4555" i="56"/>
  <c r="L4555" i="56" s="1"/>
  <c r="K4556" i="56"/>
  <c r="K4557" i="56"/>
  <c r="K4558" i="56"/>
  <c r="K4559" i="56"/>
  <c r="K4560" i="56"/>
  <c r="K4561" i="56"/>
  <c r="K4562" i="56"/>
  <c r="K4563" i="56"/>
  <c r="L4563" i="56" s="1"/>
  <c r="K4564" i="56"/>
  <c r="L4564" i="56" s="1"/>
  <c r="K4565" i="56"/>
  <c r="K4566" i="56"/>
  <c r="K4567" i="56"/>
  <c r="L4567" i="56" s="1"/>
  <c r="K4568" i="56"/>
  <c r="K4569" i="56"/>
  <c r="K4570" i="56"/>
  <c r="K4571" i="56"/>
  <c r="K4572" i="56"/>
  <c r="K4573" i="56"/>
  <c r="K4574" i="56"/>
  <c r="K4575" i="56"/>
  <c r="K4576" i="56"/>
  <c r="L4576" i="56" s="1"/>
  <c r="K4577" i="56"/>
  <c r="K4578" i="56"/>
  <c r="K4579" i="56"/>
  <c r="L4579" i="56" s="1"/>
  <c r="K4580" i="56"/>
  <c r="K4581" i="56"/>
  <c r="K4582" i="56"/>
  <c r="K4583" i="56"/>
  <c r="K4584" i="56"/>
  <c r="K4585" i="56"/>
  <c r="K4586" i="56"/>
  <c r="L4586" i="56" s="1"/>
  <c r="K4587" i="56"/>
  <c r="L4587" i="56" s="1"/>
  <c r="K4588" i="56"/>
  <c r="L4588" i="56" s="1"/>
  <c r="K4589" i="56"/>
  <c r="K4590" i="56"/>
  <c r="K4591" i="56"/>
  <c r="L4591" i="56" s="1"/>
  <c r="K4592" i="56"/>
  <c r="K4593" i="56"/>
  <c r="K4594" i="56"/>
  <c r="K4595" i="56"/>
  <c r="K4596" i="56"/>
  <c r="K4597" i="56"/>
  <c r="K4598" i="56"/>
  <c r="K4599" i="56"/>
  <c r="L4599" i="56" s="1"/>
  <c r="K4600" i="56"/>
  <c r="L4600" i="56" s="1"/>
  <c r="K4601" i="56"/>
  <c r="K4602" i="56"/>
  <c r="K4603" i="56"/>
  <c r="L4603" i="56" s="1"/>
  <c r="K4604" i="56"/>
  <c r="K4605" i="56"/>
  <c r="K4606" i="56"/>
  <c r="K4607" i="56"/>
  <c r="K4608" i="56"/>
  <c r="K4609" i="56"/>
  <c r="K4610" i="56"/>
  <c r="L4610" i="56" s="1"/>
  <c r="K4611" i="56"/>
  <c r="L4611" i="56" s="1"/>
  <c r="K4612" i="56"/>
  <c r="L4612" i="56" s="1"/>
  <c r="K4613" i="56"/>
  <c r="K4614" i="56"/>
  <c r="K4615" i="56"/>
  <c r="L4615" i="56" s="1"/>
  <c r="K4616" i="56"/>
  <c r="K4617" i="56"/>
  <c r="K4618" i="56"/>
  <c r="K4619" i="56"/>
  <c r="K4620" i="56"/>
  <c r="K4621" i="56"/>
  <c r="K4622" i="56"/>
  <c r="L4622" i="56" s="1"/>
  <c r="K4623" i="56"/>
  <c r="K4624" i="56"/>
  <c r="L4624" i="56" s="1"/>
  <c r="K4625" i="56"/>
  <c r="K4626" i="56"/>
  <c r="K4627" i="56"/>
  <c r="L4627" i="56" s="1"/>
  <c r="K4628" i="56"/>
  <c r="K4629" i="56"/>
  <c r="K4630" i="56"/>
  <c r="K4631" i="56"/>
  <c r="K4632" i="56"/>
  <c r="K4633" i="56"/>
  <c r="K4634" i="56"/>
  <c r="K4635" i="56"/>
  <c r="L4635" i="56" s="1"/>
  <c r="K4636" i="56"/>
  <c r="K4637" i="56"/>
  <c r="K4638" i="56"/>
  <c r="K4639" i="56"/>
  <c r="L4639" i="56" s="1"/>
  <c r="K4640" i="56"/>
  <c r="K4641" i="56"/>
  <c r="K4642" i="56"/>
  <c r="K4643" i="56"/>
  <c r="K4644" i="56"/>
  <c r="K4645" i="56"/>
  <c r="K4646" i="56"/>
  <c r="L4646" i="56" s="1"/>
  <c r="K4647" i="56"/>
  <c r="L4647" i="56" s="1"/>
  <c r="K4648" i="56"/>
  <c r="L4648" i="56" s="1"/>
  <c r="K4649" i="56"/>
  <c r="K4650" i="56"/>
  <c r="K4651" i="56"/>
  <c r="L4651" i="56" s="1"/>
  <c r="K4652" i="56"/>
  <c r="K4653" i="56"/>
  <c r="K4654" i="56"/>
  <c r="K4655" i="56"/>
  <c r="K4656" i="56"/>
  <c r="K4657" i="56"/>
  <c r="K4658" i="56"/>
  <c r="K4659" i="56"/>
  <c r="L4659" i="56" s="1"/>
  <c r="K4660" i="56"/>
  <c r="L4660" i="56" s="1"/>
  <c r="K4661" i="56"/>
  <c r="K4662" i="56"/>
  <c r="K4663" i="56"/>
  <c r="L4663" i="56" s="1"/>
  <c r="K4664" i="56"/>
  <c r="K4665" i="56"/>
  <c r="K4666" i="56"/>
  <c r="K4667" i="56"/>
  <c r="K4668" i="56"/>
  <c r="K4669" i="56"/>
  <c r="K4670" i="56"/>
  <c r="L4670" i="56" s="1"/>
  <c r="K4671" i="56"/>
  <c r="L4671" i="56" s="1"/>
  <c r="K4672" i="56"/>
  <c r="L4672" i="56" s="1"/>
  <c r="K4673" i="56"/>
  <c r="K4674" i="56"/>
  <c r="K4675" i="56"/>
  <c r="L4675" i="56" s="1"/>
  <c r="K4676" i="56"/>
  <c r="K4677" i="56"/>
  <c r="K4678" i="56"/>
  <c r="K4679" i="56"/>
  <c r="K4680" i="56"/>
  <c r="K4681" i="56"/>
  <c r="K4682" i="56"/>
  <c r="L4682" i="56" s="1"/>
  <c r="K4683" i="56"/>
  <c r="L4683" i="56" s="1"/>
  <c r="K4684" i="56"/>
  <c r="L4684" i="56" s="1"/>
  <c r="K4685" i="56"/>
  <c r="K4686" i="56"/>
  <c r="K4687" i="56"/>
  <c r="L4687" i="56" s="1"/>
  <c r="K4688" i="56"/>
  <c r="K4689" i="56"/>
  <c r="K4690" i="56"/>
  <c r="K4691" i="56"/>
  <c r="K4692" i="56"/>
  <c r="K4693" i="56"/>
  <c r="K4694" i="56"/>
  <c r="L4694" i="56" s="1"/>
  <c r="K4695" i="56"/>
  <c r="L4695" i="56" s="1"/>
  <c r="K4696" i="56"/>
  <c r="L4696" i="56" s="1"/>
  <c r="K4697" i="56"/>
  <c r="K4698" i="56"/>
  <c r="K4699" i="56"/>
  <c r="L4699" i="56" s="1"/>
  <c r="K4700" i="56"/>
  <c r="K4701" i="56"/>
  <c r="K4702" i="56"/>
  <c r="K4703" i="56"/>
  <c r="K4704" i="56"/>
  <c r="K4705" i="56"/>
  <c r="K4706" i="56"/>
  <c r="K4707" i="56"/>
  <c r="L4707" i="56" s="1"/>
  <c r="K4708" i="56"/>
  <c r="K4709" i="56"/>
  <c r="K4710" i="56"/>
  <c r="K4711" i="56"/>
  <c r="L4711" i="56" s="1"/>
  <c r="K4712" i="56"/>
  <c r="K4713" i="56"/>
  <c r="K4714" i="56"/>
  <c r="K4715" i="56"/>
  <c r="K4716" i="56"/>
  <c r="K4717" i="56"/>
  <c r="K4718" i="56"/>
  <c r="L4718" i="56" s="1"/>
  <c r="K4719" i="56"/>
  <c r="L4719" i="56" s="1"/>
  <c r="K4720" i="56"/>
  <c r="K4721" i="56"/>
  <c r="K4722" i="56"/>
  <c r="K4723" i="56"/>
  <c r="L4723" i="56" s="1"/>
  <c r="K4724" i="56"/>
  <c r="K4725" i="56"/>
  <c r="K4726" i="56"/>
  <c r="K4727" i="56"/>
  <c r="K4728" i="56"/>
  <c r="K4729" i="56"/>
  <c r="K4730" i="56"/>
  <c r="K4731" i="56"/>
  <c r="K4732" i="56"/>
  <c r="K4733" i="56"/>
  <c r="K4734" i="56"/>
  <c r="K4735" i="56"/>
  <c r="L4735" i="56" s="1"/>
  <c r="K4736" i="56"/>
  <c r="K4737" i="56"/>
  <c r="K4738" i="56"/>
  <c r="K4739" i="56"/>
  <c r="K4740" i="56"/>
  <c r="K4741" i="56"/>
  <c r="K4742" i="56"/>
  <c r="K4743" i="56"/>
  <c r="K4744" i="56"/>
  <c r="K4745" i="56"/>
  <c r="K4746" i="56"/>
  <c r="K4747" i="56"/>
  <c r="L4747" i="56" s="1"/>
  <c r="K4748" i="56"/>
  <c r="K4749" i="56"/>
  <c r="K4750" i="56"/>
  <c r="K4751" i="56"/>
  <c r="K4752" i="56"/>
  <c r="K4753" i="56"/>
  <c r="K4754" i="56"/>
  <c r="L4754" i="56" s="1"/>
  <c r="K4755" i="56"/>
  <c r="K4756" i="56"/>
  <c r="K4757" i="56"/>
  <c r="K4758" i="56"/>
  <c r="K4759" i="56"/>
  <c r="L4759" i="56" s="1"/>
  <c r="K4760" i="56"/>
  <c r="K4761" i="56"/>
  <c r="K4762" i="56"/>
  <c r="K4763" i="56"/>
  <c r="K4764" i="56"/>
  <c r="K4765" i="56"/>
  <c r="K4766" i="56"/>
  <c r="L4766" i="56" s="1"/>
  <c r="K4767" i="56"/>
  <c r="L4767" i="56" s="1"/>
  <c r="K4768" i="56"/>
  <c r="K4769" i="56"/>
  <c r="K4770" i="56"/>
  <c r="K4771" i="56"/>
  <c r="L4771" i="56" s="1"/>
  <c r="K4772" i="56"/>
  <c r="K4773" i="56"/>
  <c r="K4774" i="56"/>
  <c r="K4775" i="56"/>
  <c r="K4776" i="56"/>
  <c r="K4777" i="56"/>
  <c r="K4778" i="56"/>
  <c r="L4778" i="56" s="1"/>
  <c r="K4779" i="56"/>
  <c r="L4779" i="56" s="1"/>
  <c r="K4780" i="56"/>
  <c r="K4781" i="56"/>
  <c r="K4782" i="56"/>
  <c r="K4783" i="56"/>
  <c r="L4783" i="56" s="1"/>
  <c r="K4784" i="56"/>
  <c r="K4785" i="56"/>
  <c r="K4786" i="56"/>
  <c r="K4787" i="56"/>
  <c r="K4788" i="56"/>
  <c r="K4789" i="56"/>
  <c r="K4790" i="56"/>
  <c r="L4790" i="56" s="1"/>
  <c r="K4791" i="56"/>
  <c r="L4791" i="56" s="1"/>
  <c r="K4792" i="56"/>
  <c r="L4792" i="56" s="1"/>
  <c r="K4793" i="56"/>
  <c r="K4794" i="56"/>
  <c r="K4795" i="56"/>
  <c r="L4795" i="56" s="1"/>
  <c r="K4796" i="56"/>
  <c r="K4797" i="56"/>
  <c r="K4798" i="56"/>
  <c r="K4799" i="56"/>
  <c r="K4800" i="56"/>
  <c r="K4801" i="56"/>
  <c r="K4802" i="56"/>
  <c r="L4802" i="56" s="1"/>
  <c r="K4803" i="56"/>
  <c r="L4803" i="56" s="1"/>
  <c r="K4804" i="56"/>
  <c r="L4804" i="56" s="1"/>
  <c r="K4805" i="56"/>
  <c r="K4806" i="56"/>
  <c r="K4807" i="56"/>
  <c r="L4807" i="56" s="1"/>
  <c r="K4808" i="56"/>
  <c r="K4809" i="56"/>
  <c r="K4810" i="56"/>
  <c r="K4811" i="56"/>
  <c r="K4812" i="56"/>
  <c r="K4813" i="56"/>
  <c r="K4814" i="56"/>
  <c r="L4814" i="56" s="1"/>
  <c r="K4815" i="56"/>
  <c r="L4815" i="56" s="1"/>
  <c r="K4816" i="56"/>
  <c r="L4816" i="56" s="1"/>
  <c r="K4817" i="56"/>
  <c r="K4818" i="56"/>
  <c r="K4819" i="56"/>
  <c r="L4819" i="56" s="1"/>
  <c r="K4820" i="56"/>
  <c r="K4821" i="56"/>
  <c r="K4822" i="56"/>
  <c r="K4823" i="56"/>
  <c r="K4824" i="56"/>
  <c r="K4825" i="56"/>
  <c r="K4826" i="56"/>
  <c r="K4827" i="56"/>
  <c r="L4827" i="56" s="1"/>
  <c r="K4828" i="56"/>
  <c r="K4829" i="56"/>
  <c r="K4830" i="56"/>
  <c r="K4831" i="56"/>
  <c r="L4831" i="56" s="1"/>
  <c r="K4832" i="56"/>
  <c r="K4833" i="56"/>
  <c r="K4834" i="56"/>
  <c r="K4835" i="56"/>
  <c r="K4836" i="56"/>
  <c r="K4837" i="56"/>
  <c r="K4838" i="56"/>
  <c r="L4838" i="56" s="1"/>
  <c r="K4839" i="56"/>
  <c r="K4840" i="56"/>
  <c r="L4840" i="56" s="1"/>
  <c r="K4841" i="56"/>
  <c r="K4842" i="56"/>
  <c r="K4843" i="56"/>
  <c r="L4843" i="56" s="1"/>
  <c r="K4844" i="56"/>
  <c r="K4845" i="56"/>
  <c r="K4846" i="56"/>
  <c r="K4847" i="56"/>
  <c r="K4848" i="56"/>
  <c r="K4849" i="56"/>
  <c r="K4850" i="56"/>
  <c r="K4851" i="56"/>
  <c r="K4852" i="56"/>
  <c r="K4853" i="56"/>
  <c r="K4854" i="56"/>
  <c r="K4855" i="56"/>
  <c r="L4855" i="56" s="1"/>
  <c r="K4856" i="56"/>
  <c r="K4857" i="56"/>
  <c r="K4858" i="56"/>
  <c r="K4859" i="56"/>
  <c r="K4860" i="56"/>
  <c r="K4861" i="56"/>
  <c r="K4862" i="56"/>
  <c r="K4863" i="56"/>
  <c r="K4864" i="56"/>
  <c r="K4865" i="56"/>
  <c r="K4866" i="56"/>
  <c r="K4867" i="56"/>
  <c r="L4867" i="56" s="1"/>
  <c r="K4868" i="56"/>
  <c r="K4869" i="56"/>
  <c r="K4870" i="56"/>
  <c r="K4871" i="56"/>
  <c r="K4872" i="56"/>
  <c r="K4873" i="56"/>
  <c r="K4874" i="56"/>
  <c r="K4875" i="56"/>
  <c r="K4876" i="56"/>
  <c r="L4876" i="56" s="1"/>
  <c r="K4877" i="56"/>
  <c r="K4878" i="56"/>
  <c r="K4879" i="56"/>
  <c r="L4879" i="56" s="1"/>
  <c r="K4880" i="56"/>
  <c r="K4881" i="56"/>
  <c r="K4882" i="56"/>
  <c r="K4883" i="56"/>
  <c r="K4884" i="56"/>
  <c r="K4885" i="56"/>
  <c r="K4886" i="56"/>
  <c r="L4886" i="56" s="1"/>
  <c r="K4887" i="56"/>
  <c r="K4888" i="56"/>
  <c r="K4889" i="56"/>
  <c r="K4890" i="56"/>
  <c r="K4891" i="56"/>
  <c r="L4891" i="56" s="1"/>
  <c r="K4892" i="56"/>
  <c r="K4893" i="56"/>
  <c r="K4894" i="56"/>
  <c r="K4895" i="56"/>
  <c r="K4896" i="56"/>
  <c r="K4897" i="56"/>
  <c r="K4898" i="56"/>
  <c r="L4898" i="56" s="1"/>
  <c r="K4899" i="56"/>
  <c r="L4899" i="56" s="1"/>
  <c r="K4900" i="56"/>
  <c r="K4901" i="56"/>
  <c r="K4902" i="56"/>
  <c r="K4903" i="56"/>
  <c r="L4903" i="56" s="1"/>
  <c r="K4904" i="56"/>
  <c r="K4905" i="56"/>
  <c r="K4906" i="56"/>
  <c r="K4907" i="56"/>
  <c r="K4908" i="56"/>
  <c r="K4909" i="56"/>
  <c r="K4910" i="56"/>
  <c r="K4911" i="56"/>
  <c r="L4911" i="56" s="1"/>
  <c r="K4912" i="56"/>
  <c r="K4913" i="56"/>
  <c r="K4914" i="56"/>
  <c r="K4915" i="56"/>
  <c r="L4915" i="56" s="1"/>
  <c r="K4916" i="56"/>
  <c r="K4917" i="56"/>
  <c r="K4918" i="56"/>
  <c r="K4919" i="56"/>
  <c r="K4920" i="56"/>
  <c r="K4921" i="56"/>
  <c r="K4922" i="56"/>
  <c r="L4922" i="56" s="1"/>
  <c r="K4923" i="56"/>
  <c r="K4924" i="56"/>
  <c r="L4924" i="56" s="1"/>
  <c r="K4925" i="56"/>
  <c r="K4926" i="56"/>
  <c r="K4927" i="56"/>
  <c r="L4927" i="56" s="1"/>
  <c r="K4928" i="56"/>
  <c r="K4929" i="56"/>
  <c r="K4930" i="56"/>
  <c r="K4931" i="56"/>
  <c r="K4932" i="56"/>
  <c r="K4933" i="56"/>
  <c r="K4934" i="56"/>
  <c r="L4934" i="56" s="1"/>
  <c r="K4935" i="56"/>
  <c r="L4935" i="56" s="1"/>
  <c r="K4936" i="56"/>
  <c r="L4936" i="56" s="1"/>
  <c r="K4937" i="56"/>
  <c r="K4938" i="56"/>
  <c r="K4939" i="56"/>
  <c r="L4939" i="56" s="1"/>
  <c r="K4940" i="56"/>
  <c r="K4941" i="56"/>
  <c r="K4942" i="56"/>
  <c r="K4943" i="56"/>
  <c r="K4944" i="56"/>
  <c r="K4945" i="56"/>
  <c r="K4946" i="56"/>
  <c r="K4947" i="56"/>
  <c r="L4947" i="56" s="1"/>
  <c r="K4948" i="56"/>
  <c r="K4949" i="56"/>
  <c r="K4950" i="56"/>
  <c r="K4951" i="56"/>
  <c r="L4951" i="56" s="1"/>
  <c r="K4952" i="56"/>
  <c r="K4953" i="56"/>
  <c r="K4954" i="56"/>
  <c r="K4955" i="56"/>
  <c r="K4956" i="56"/>
  <c r="K4957" i="56"/>
  <c r="K4958" i="56"/>
  <c r="L4958" i="56" s="1"/>
  <c r="K4959" i="56"/>
  <c r="K4960" i="56"/>
  <c r="K4961" i="56"/>
  <c r="K4962" i="56"/>
  <c r="K4963" i="56"/>
  <c r="L4963" i="56" s="1"/>
  <c r="K4964" i="56"/>
  <c r="K4965" i="56"/>
  <c r="K4966" i="56"/>
  <c r="K4967" i="56"/>
  <c r="K4968" i="56"/>
  <c r="K4969" i="56"/>
  <c r="K4970" i="56"/>
  <c r="L4970" i="56" s="1"/>
  <c r="K4971" i="56"/>
  <c r="L4971" i="56" s="1"/>
  <c r="K4972" i="56"/>
  <c r="K4973" i="56"/>
  <c r="K4974" i="56"/>
  <c r="K4975" i="56"/>
  <c r="L4975" i="56" s="1"/>
  <c r="K4976" i="56"/>
  <c r="K4977" i="56"/>
  <c r="K4978" i="56"/>
  <c r="K4979" i="56"/>
  <c r="K4980" i="56"/>
  <c r="K4981" i="56"/>
  <c r="K4982" i="56"/>
  <c r="K4983" i="56"/>
  <c r="L4983" i="56" s="1"/>
  <c r="K4984" i="56"/>
  <c r="L4984" i="56" s="1"/>
  <c r="K4985" i="56"/>
  <c r="K4986" i="56"/>
  <c r="K4987" i="56"/>
  <c r="L4987" i="56" s="1"/>
  <c r="K4988" i="56"/>
  <c r="K4989" i="56"/>
  <c r="K4990" i="56"/>
  <c r="K4991" i="56"/>
  <c r="K4992" i="56"/>
  <c r="K4993" i="56"/>
  <c r="K4994" i="56"/>
  <c r="L4994" i="56" s="1"/>
  <c r="K4995" i="56"/>
  <c r="L4995" i="56" s="1"/>
  <c r="K4996" i="56"/>
  <c r="K4997" i="56"/>
  <c r="K4998" i="56"/>
  <c r="K4999" i="56"/>
  <c r="L4999" i="56" s="1"/>
  <c r="K5000" i="56"/>
  <c r="K5001" i="56"/>
  <c r="K5002" i="56"/>
  <c r="K5003" i="56"/>
  <c r="K5004" i="56"/>
  <c r="K5005" i="56"/>
  <c r="K5006" i="56"/>
  <c r="L5006" i="56" s="1"/>
  <c r="K5007" i="56"/>
  <c r="L5007" i="56" s="1"/>
  <c r="K5008" i="56"/>
  <c r="K5009" i="56"/>
  <c r="K5010" i="56"/>
  <c r="K5011" i="56"/>
  <c r="L5011" i="56" s="1"/>
  <c r="K5012" i="56"/>
  <c r="K5013" i="56"/>
  <c r="K5014" i="56"/>
  <c r="K5015" i="56"/>
  <c r="K5016" i="56"/>
  <c r="K5017" i="56"/>
  <c r="K5018" i="56"/>
  <c r="K5019" i="56"/>
  <c r="L5019" i="56" s="1"/>
  <c r="K5020" i="56"/>
  <c r="K5021" i="56"/>
  <c r="K5022" i="56"/>
  <c r="K5023" i="56"/>
  <c r="L5023" i="56" s="1"/>
  <c r="K5024" i="56"/>
  <c r="K5025" i="56"/>
  <c r="K5026" i="56"/>
  <c r="K5027" i="56"/>
  <c r="K5028" i="56"/>
  <c r="K5029" i="56"/>
  <c r="K5030" i="56"/>
  <c r="L5030" i="56" s="1"/>
  <c r="K5031" i="56"/>
  <c r="K5032" i="56"/>
  <c r="K5033" i="56"/>
  <c r="K5034" i="56"/>
  <c r="K5035" i="56"/>
  <c r="L5035" i="56" s="1"/>
  <c r="K5036" i="56"/>
  <c r="K5037" i="56"/>
  <c r="K5038" i="56"/>
  <c r="K5039" i="56"/>
  <c r="K5040" i="56"/>
  <c r="K5041" i="56"/>
  <c r="K5042" i="56"/>
  <c r="L5042" i="56" s="1"/>
  <c r="K5043" i="56"/>
  <c r="L5043" i="56" s="1"/>
  <c r="K5044" i="56"/>
  <c r="K5045" i="56"/>
  <c r="K5046" i="56"/>
  <c r="K5047" i="56"/>
  <c r="L5047" i="56" s="1"/>
  <c r="K5048" i="56"/>
  <c r="K5049" i="56"/>
  <c r="K5050" i="56"/>
  <c r="K5051" i="56"/>
  <c r="K5052" i="56"/>
  <c r="K5053" i="56"/>
  <c r="K5054" i="56"/>
  <c r="K5055" i="56"/>
  <c r="L5055" i="56" s="1"/>
  <c r="K5056" i="56"/>
  <c r="K5057" i="56"/>
  <c r="K5058" i="56"/>
  <c r="K5059" i="56"/>
  <c r="L5059" i="56" s="1"/>
  <c r="K5060" i="56"/>
  <c r="K5061" i="56"/>
  <c r="K5062" i="56"/>
  <c r="K5063" i="56"/>
  <c r="K5064" i="56"/>
  <c r="K5065" i="56"/>
  <c r="K5066" i="56"/>
  <c r="L5066" i="56" s="1"/>
  <c r="K5067" i="56"/>
  <c r="K5068" i="56"/>
  <c r="K5069" i="56"/>
  <c r="K5070" i="56"/>
  <c r="K5071" i="56"/>
  <c r="L5071" i="56" s="1"/>
  <c r="K5072" i="56"/>
  <c r="K5073" i="56"/>
  <c r="K5074" i="56"/>
  <c r="K5075" i="56"/>
  <c r="K5076" i="56"/>
  <c r="K5077" i="56"/>
  <c r="K5078" i="56"/>
  <c r="K5079" i="56"/>
  <c r="L5079" i="56" s="1"/>
  <c r="K5080" i="56"/>
  <c r="K5081" i="56"/>
  <c r="K5082" i="56"/>
  <c r="K5083" i="56"/>
  <c r="L5083" i="56" s="1"/>
  <c r="K5084" i="56"/>
  <c r="K5085" i="56"/>
  <c r="K5086" i="56"/>
  <c r="K5087" i="56"/>
  <c r="K5088" i="56"/>
  <c r="K5089" i="56"/>
  <c r="K5090" i="56"/>
  <c r="K5091" i="56"/>
  <c r="L5091" i="56" s="1"/>
  <c r="K5092" i="56"/>
  <c r="K5093" i="56"/>
  <c r="K5094" i="56"/>
  <c r="K5095" i="56"/>
  <c r="L5095" i="56" s="1"/>
  <c r="K5096" i="56"/>
  <c r="K5097" i="56"/>
  <c r="K5098" i="56"/>
  <c r="K5099" i="56"/>
  <c r="K5100" i="56"/>
  <c r="K5101" i="56"/>
  <c r="K5102" i="56"/>
  <c r="K5103" i="56"/>
  <c r="L5103" i="56" s="1"/>
  <c r="K5104" i="56"/>
  <c r="K5105" i="56"/>
  <c r="K5106" i="56"/>
  <c r="K5107" i="56"/>
  <c r="L5107" i="56" s="1"/>
  <c r="K5108" i="56"/>
  <c r="K5109" i="56"/>
  <c r="K5110" i="56"/>
  <c r="K5111" i="56"/>
  <c r="K5112" i="56"/>
  <c r="K5113" i="56"/>
  <c r="K5114" i="56"/>
  <c r="L5114" i="56" s="1"/>
  <c r="K5115" i="56"/>
  <c r="L5115" i="56" s="1"/>
  <c r="K5116" i="56"/>
  <c r="L5116" i="56" s="1"/>
  <c r="K5117" i="56"/>
  <c r="K5118" i="56"/>
  <c r="K5119" i="56"/>
  <c r="L5119" i="56" s="1"/>
  <c r="K5120" i="56"/>
  <c r="K5121" i="56"/>
  <c r="K5122" i="56"/>
  <c r="K5123" i="56"/>
  <c r="K5124" i="56"/>
  <c r="K5125" i="56"/>
  <c r="K5126" i="56"/>
  <c r="K5127" i="56"/>
  <c r="K5128" i="56"/>
  <c r="K5129" i="56"/>
  <c r="K5130" i="56"/>
  <c r="K5131" i="56"/>
  <c r="L5131" i="56" s="1"/>
  <c r="K5132" i="56"/>
  <c r="K5133" i="56"/>
  <c r="K5134" i="56"/>
  <c r="K5135" i="56"/>
  <c r="K5136" i="56"/>
  <c r="K5137" i="56"/>
  <c r="K5138" i="56"/>
  <c r="L5138" i="56" s="1"/>
  <c r="K5139" i="56"/>
  <c r="L5139" i="56" s="1"/>
  <c r="K5140" i="56"/>
  <c r="L5140" i="56" s="1"/>
  <c r="K5141" i="56"/>
  <c r="K5142" i="56"/>
  <c r="K5143" i="56"/>
  <c r="K5144" i="56"/>
  <c r="K5145" i="56"/>
  <c r="K5146" i="56"/>
  <c r="K5147" i="56"/>
  <c r="K5148" i="56"/>
  <c r="K5149" i="56"/>
  <c r="K5150" i="56"/>
  <c r="L5150" i="56" s="1"/>
  <c r="K5151" i="56"/>
  <c r="L5151" i="56" s="1"/>
  <c r="K5152" i="56"/>
  <c r="K5153" i="56"/>
  <c r="K5154" i="56"/>
  <c r="K5155" i="56"/>
  <c r="L5155" i="56" s="1"/>
  <c r="K5156" i="56"/>
  <c r="K5157" i="56"/>
  <c r="K5158" i="56"/>
  <c r="K5159" i="56"/>
  <c r="K5160" i="56"/>
  <c r="K5161" i="56"/>
  <c r="K5162" i="56"/>
  <c r="K5163" i="56"/>
  <c r="K5164" i="56"/>
  <c r="L5164" i="56" s="1"/>
  <c r="K5165" i="56"/>
  <c r="K5166" i="56"/>
  <c r="K5167" i="56"/>
  <c r="L5167" i="56" s="1"/>
  <c r="K5168" i="56"/>
  <c r="K5169" i="56"/>
  <c r="K5170" i="56"/>
  <c r="K5171" i="56"/>
  <c r="K5172" i="56"/>
  <c r="K5173" i="56"/>
  <c r="K5174" i="56"/>
  <c r="L5174" i="56" s="1"/>
  <c r="K5175" i="56"/>
  <c r="L5175" i="56" s="1"/>
  <c r="K5176" i="56"/>
  <c r="L5176" i="56" s="1"/>
  <c r="K5177" i="56"/>
  <c r="K5178" i="56"/>
  <c r="K5179" i="56"/>
  <c r="L5179" i="56" s="1"/>
  <c r="K5180" i="56"/>
  <c r="K5181" i="56"/>
  <c r="K5182" i="56"/>
  <c r="K5183" i="56"/>
  <c r="K5184" i="56"/>
  <c r="K5185" i="56"/>
  <c r="K5186" i="56"/>
  <c r="K5187" i="56"/>
  <c r="K5188" i="56"/>
  <c r="L5188" i="56" s="1"/>
  <c r="K5189" i="56"/>
  <c r="K5190" i="56"/>
  <c r="K5191" i="56"/>
  <c r="L5191" i="56" s="1"/>
  <c r="K5192" i="56"/>
  <c r="K5193" i="56"/>
  <c r="K5194" i="56"/>
  <c r="K5195" i="56"/>
  <c r="K5196" i="56"/>
  <c r="K5197" i="56"/>
  <c r="K5198" i="56"/>
  <c r="K5199" i="56"/>
  <c r="K5200" i="56"/>
  <c r="L5200" i="56" s="1"/>
  <c r="K5201" i="56"/>
  <c r="K5202" i="56"/>
  <c r="K5203" i="56"/>
  <c r="L5203" i="56" s="1"/>
  <c r="K5204" i="56"/>
  <c r="K5205" i="56"/>
  <c r="K5206" i="56"/>
  <c r="K5207" i="56"/>
  <c r="K5208" i="56"/>
  <c r="K5209" i="56"/>
  <c r="K5210" i="56"/>
  <c r="L5210" i="56" s="1"/>
  <c r="K5211" i="56"/>
  <c r="K5212" i="56"/>
  <c r="K5213" i="56"/>
  <c r="K5214" i="56"/>
  <c r="K5215" i="56"/>
  <c r="K5216" i="56"/>
  <c r="K5217" i="56"/>
  <c r="K5218" i="56"/>
  <c r="K5219" i="56"/>
  <c r="K5220" i="56"/>
  <c r="K5221" i="56"/>
  <c r="K5222" i="56"/>
  <c r="K5223" i="56"/>
  <c r="L5223" i="56" s="1"/>
  <c r="K5224" i="56"/>
  <c r="K5225" i="56"/>
  <c r="K5226" i="56"/>
  <c r="K5227" i="56"/>
  <c r="L5227" i="56" s="1"/>
  <c r="K5228" i="56"/>
  <c r="K5229" i="56"/>
  <c r="K5230" i="56"/>
  <c r="K5231" i="56"/>
  <c r="K5232" i="56"/>
  <c r="K5233" i="56"/>
  <c r="K5234" i="56"/>
  <c r="L5234" i="56" s="1"/>
  <c r="K5235" i="56"/>
  <c r="L5235" i="56" s="1"/>
  <c r="K5236" i="56"/>
  <c r="L5236" i="56" s="1"/>
  <c r="K5237" i="56"/>
  <c r="K5238" i="56"/>
  <c r="K5239" i="56"/>
  <c r="L5239" i="56" s="1"/>
  <c r="K5240" i="56"/>
  <c r="K5241" i="56"/>
  <c r="K5242" i="56"/>
  <c r="K5243" i="56"/>
  <c r="K5244" i="56"/>
  <c r="K5245" i="56"/>
  <c r="K5246" i="56"/>
  <c r="K5247" i="56"/>
  <c r="K5248" i="56"/>
  <c r="K5249" i="56"/>
  <c r="K5250" i="56"/>
  <c r="K5251" i="56"/>
  <c r="L5251" i="56" s="1"/>
  <c r="K5252" i="56"/>
  <c r="K5253" i="56"/>
  <c r="K5254" i="56"/>
  <c r="K5255" i="56"/>
  <c r="K5256" i="56"/>
  <c r="K5257" i="56"/>
  <c r="K5258" i="56"/>
  <c r="K5259" i="56"/>
  <c r="K5260" i="56"/>
  <c r="K5261" i="56"/>
  <c r="K5262" i="56"/>
  <c r="K5263" i="56"/>
  <c r="L5263" i="56" s="1"/>
  <c r="K5264" i="56"/>
  <c r="K5265" i="56"/>
  <c r="K5266" i="56"/>
  <c r="K5267" i="56"/>
  <c r="K5268" i="56"/>
  <c r="K5269" i="56"/>
  <c r="K5270" i="56"/>
  <c r="K5271" i="56"/>
  <c r="K5272" i="56"/>
  <c r="K5273" i="56"/>
  <c r="K5274" i="56"/>
  <c r="K5275" i="56"/>
  <c r="L5275" i="56" s="1"/>
  <c r="K5276" i="56"/>
  <c r="K5277" i="56"/>
  <c r="K5278" i="56"/>
  <c r="K5279" i="56"/>
  <c r="K5280" i="56"/>
  <c r="K5281" i="56"/>
  <c r="K5282" i="56"/>
  <c r="K5283" i="56"/>
  <c r="K5284" i="56"/>
  <c r="K5285" i="56"/>
  <c r="K5286" i="56"/>
  <c r="K5287" i="56"/>
  <c r="L5287" i="56" s="1"/>
  <c r="K5288" i="56"/>
  <c r="K5289" i="56"/>
  <c r="K5290" i="56"/>
  <c r="K5291" i="56"/>
  <c r="K5292" i="56"/>
  <c r="K5293" i="56"/>
  <c r="K5294" i="56"/>
  <c r="K5295" i="56"/>
  <c r="L5295" i="56" s="1"/>
  <c r="K5296" i="56"/>
  <c r="K5297" i="56"/>
  <c r="K5298" i="56"/>
  <c r="K5299" i="56"/>
  <c r="L5299" i="56" s="1"/>
  <c r="K5300" i="56"/>
  <c r="K5301" i="56"/>
  <c r="K5302" i="56"/>
  <c r="K5303" i="56"/>
  <c r="K5304" i="56"/>
  <c r="K5305" i="56"/>
  <c r="K5306" i="56"/>
  <c r="K5307" i="56"/>
  <c r="K5308" i="56"/>
  <c r="K5309" i="56"/>
  <c r="K5310" i="56"/>
  <c r="K5311" i="56"/>
  <c r="L5311" i="56" s="1"/>
  <c r="K5312" i="56"/>
  <c r="K5313" i="56"/>
  <c r="K5314" i="56"/>
  <c r="K5315" i="56"/>
  <c r="K5316" i="56"/>
  <c r="K5317" i="56"/>
  <c r="K5318" i="56"/>
  <c r="K5319" i="56"/>
  <c r="K5320" i="56"/>
  <c r="L5320" i="56" s="1"/>
  <c r="K5321" i="56"/>
  <c r="K5322" i="56"/>
  <c r="K5323" i="56"/>
  <c r="L5323" i="56" s="1"/>
  <c r="K5324" i="56"/>
  <c r="K5325" i="56"/>
  <c r="K5326" i="56"/>
  <c r="K5327" i="56"/>
  <c r="K5328" i="56"/>
  <c r="K5329" i="56"/>
  <c r="K5330" i="56"/>
  <c r="K5331" i="56"/>
  <c r="L5331" i="56" s="1"/>
  <c r="K5332" i="56"/>
  <c r="K5333" i="56"/>
  <c r="K5334" i="56"/>
  <c r="K5335" i="56"/>
  <c r="L5335" i="56" s="1"/>
  <c r="K5336" i="56"/>
  <c r="K5337" i="56"/>
  <c r="K5338" i="56"/>
  <c r="K5339" i="56"/>
  <c r="K5340" i="56"/>
  <c r="K5341" i="56"/>
  <c r="K5342" i="56"/>
  <c r="K5343" i="56"/>
  <c r="K5344" i="56"/>
  <c r="K5345" i="56"/>
  <c r="K5346" i="56"/>
  <c r="K5347" i="56"/>
  <c r="L5347" i="56" s="1"/>
  <c r="K5348" i="56"/>
  <c r="K5349" i="56"/>
  <c r="K5350" i="56"/>
  <c r="K5351" i="56"/>
  <c r="K5352" i="56"/>
  <c r="K5353" i="56"/>
  <c r="K5354" i="56"/>
  <c r="K5355" i="56"/>
  <c r="L5355" i="56" s="1"/>
  <c r="K5356" i="56"/>
  <c r="L5356" i="56" s="1"/>
  <c r="K5357" i="56"/>
  <c r="K5358" i="56"/>
  <c r="K5359" i="56"/>
  <c r="L5359" i="56" s="1"/>
  <c r="K5360" i="56"/>
  <c r="K5361" i="56"/>
  <c r="K5362" i="56"/>
  <c r="K5363" i="56"/>
  <c r="K5364" i="56"/>
  <c r="K5365" i="56"/>
  <c r="K5366" i="56"/>
  <c r="K5367" i="56"/>
  <c r="L5367" i="56" s="1"/>
  <c r="K5368" i="56"/>
  <c r="K5369" i="56"/>
  <c r="K5370" i="56"/>
  <c r="K5371" i="56"/>
  <c r="L5371" i="56" s="1"/>
  <c r="K5372" i="56"/>
  <c r="K5373" i="56"/>
  <c r="K5374" i="56"/>
  <c r="K5375" i="56"/>
  <c r="K5376" i="56"/>
  <c r="K5377" i="56"/>
  <c r="K5378" i="56"/>
  <c r="K5379" i="56"/>
  <c r="K5380" i="56"/>
  <c r="K5381" i="56"/>
  <c r="K5382" i="56"/>
  <c r="K5383" i="56"/>
  <c r="L5383" i="56" s="1"/>
  <c r="K5384" i="56"/>
  <c r="K5385" i="56"/>
  <c r="K5386" i="56"/>
  <c r="K5387" i="56"/>
  <c r="K5388" i="56"/>
  <c r="K5389" i="56"/>
  <c r="K5390" i="56"/>
  <c r="K5391" i="56"/>
  <c r="K5392" i="56"/>
  <c r="K5393" i="56"/>
  <c r="K5394" i="56"/>
  <c r="K5395" i="56"/>
  <c r="L5395" i="56" s="1"/>
  <c r="K5396" i="56"/>
  <c r="K5397" i="56"/>
  <c r="K5398" i="56"/>
  <c r="K5399" i="56"/>
  <c r="K5400" i="56"/>
  <c r="K5401" i="56"/>
  <c r="K5402" i="56"/>
  <c r="K5403" i="56"/>
  <c r="K5404" i="56"/>
  <c r="K5405" i="56"/>
  <c r="K5406" i="56"/>
  <c r="K5407" i="56"/>
  <c r="L5407" i="56" s="1"/>
  <c r="K5408" i="56"/>
  <c r="K5409" i="56"/>
  <c r="K5410" i="56"/>
  <c r="K5411" i="56"/>
  <c r="K5412" i="56"/>
  <c r="K5413" i="56"/>
  <c r="K5414" i="56"/>
  <c r="K5415" i="56"/>
  <c r="L5415" i="56" s="1"/>
  <c r="K5416" i="56"/>
  <c r="L5416" i="56" s="1"/>
  <c r="K5417" i="56"/>
  <c r="K5418" i="56"/>
  <c r="K5419" i="56"/>
  <c r="L5419" i="56" s="1"/>
  <c r="K5420" i="56"/>
  <c r="K5421" i="56"/>
  <c r="K5422" i="56"/>
  <c r="K5423" i="56"/>
  <c r="K5424" i="56"/>
  <c r="K5425" i="56"/>
  <c r="K5426" i="56"/>
  <c r="K5427" i="56"/>
  <c r="L5427" i="56" s="1"/>
  <c r="K5428" i="56"/>
  <c r="K5429" i="56"/>
  <c r="K5430" i="56"/>
  <c r="K5431" i="56"/>
  <c r="L5431" i="56" s="1"/>
  <c r="K5432" i="56"/>
  <c r="K5433" i="56"/>
  <c r="K5434" i="56"/>
  <c r="K5435" i="56"/>
  <c r="K5436" i="56"/>
  <c r="K5437" i="56"/>
  <c r="K5438" i="56"/>
  <c r="K5439" i="56"/>
  <c r="L5439" i="56" s="1"/>
  <c r="K5440" i="56"/>
  <c r="K5441" i="56"/>
  <c r="K5442" i="56"/>
  <c r="K5443" i="56"/>
  <c r="L5443" i="56" s="1"/>
  <c r="K5444" i="56"/>
  <c r="K5445" i="56"/>
  <c r="K5446" i="56"/>
  <c r="K5447" i="56"/>
  <c r="K5448" i="56"/>
  <c r="K5449" i="56"/>
  <c r="K5450" i="56"/>
  <c r="K5451" i="56"/>
  <c r="L5451" i="56" s="1"/>
  <c r="K5452" i="56"/>
  <c r="K5453" i="56"/>
  <c r="K5454" i="56"/>
  <c r="K5455" i="56"/>
  <c r="L5455" i="56" s="1"/>
  <c r="K5456" i="56"/>
  <c r="K5457" i="56"/>
  <c r="K5458" i="56"/>
  <c r="K5459" i="56"/>
  <c r="K5460" i="56"/>
  <c r="K5461" i="56"/>
  <c r="K5462" i="56"/>
  <c r="K5463" i="56"/>
  <c r="K5464" i="56"/>
  <c r="K5465" i="56"/>
  <c r="K5466" i="56"/>
  <c r="K5467" i="56"/>
  <c r="L5467" i="56" s="1"/>
  <c r="K5468" i="56"/>
  <c r="K5469" i="56"/>
  <c r="K5470" i="56"/>
  <c r="K5471" i="56"/>
  <c r="K5472" i="56"/>
  <c r="K5473" i="56"/>
  <c r="K5474" i="56"/>
  <c r="K5475" i="56"/>
  <c r="K5476" i="56"/>
  <c r="K5477" i="56"/>
  <c r="K5478" i="56"/>
  <c r="K5479" i="56"/>
  <c r="L5479" i="56" s="1"/>
  <c r="K5480" i="56"/>
  <c r="K5481" i="56"/>
  <c r="K5482" i="56"/>
  <c r="K5483" i="56"/>
  <c r="K5484" i="56"/>
  <c r="K5485" i="56"/>
  <c r="K5486" i="56"/>
  <c r="K5487" i="56"/>
  <c r="K5488" i="56"/>
  <c r="K5489" i="56"/>
  <c r="K5490" i="56"/>
  <c r="K5491" i="56"/>
  <c r="L5491" i="56" s="1"/>
  <c r="K5492" i="56"/>
  <c r="K5493" i="56"/>
  <c r="K5494" i="56"/>
  <c r="K5495" i="56"/>
  <c r="K5496" i="56"/>
  <c r="K5497" i="56"/>
  <c r="K5498" i="56"/>
  <c r="K5499" i="56"/>
  <c r="K5500" i="56"/>
  <c r="K5501" i="56"/>
  <c r="K5502" i="56"/>
  <c r="K5503" i="56"/>
  <c r="L5503" i="56" s="1"/>
  <c r="K5504" i="56"/>
  <c r="K5505" i="56"/>
  <c r="K5506" i="56"/>
  <c r="K5507" i="56"/>
  <c r="K5508" i="56"/>
  <c r="K5509" i="56"/>
  <c r="K5510" i="56"/>
  <c r="K5511" i="56"/>
  <c r="K5512" i="56"/>
  <c r="K5513" i="56"/>
  <c r="K5514" i="56"/>
  <c r="K5515" i="56"/>
  <c r="L5515" i="56" s="1"/>
  <c r="K5516" i="56"/>
  <c r="K5517" i="56"/>
  <c r="K5518" i="56"/>
  <c r="K5519" i="56"/>
  <c r="K5520" i="56"/>
  <c r="K5521" i="56"/>
  <c r="K5522" i="56"/>
  <c r="K5523" i="56"/>
  <c r="K5524" i="56"/>
  <c r="K5525" i="56"/>
  <c r="K5526" i="56"/>
  <c r="K5527" i="56"/>
  <c r="L5527" i="56" s="1"/>
  <c r="K5528" i="56"/>
  <c r="K5529" i="56"/>
  <c r="K5530" i="56"/>
  <c r="K5531" i="56"/>
  <c r="K5532" i="56"/>
  <c r="K5533" i="56"/>
  <c r="K5534" i="56"/>
  <c r="K5535" i="56"/>
  <c r="K5536" i="56"/>
  <c r="K5537" i="56"/>
  <c r="K5538" i="56"/>
  <c r="K5539" i="56"/>
  <c r="L5539" i="56" s="1"/>
  <c r="K5540" i="56"/>
  <c r="K5541" i="56"/>
  <c r="K5542" i="56"/>
  <c r="K5543" i="56"/>
  <c r="K5544" i="56"/>
  <c r="K5545" i="56"/>
  <c r="K5546" i="56"/>
  <c r="K5547" i="56"/>
  <c r="K5548" i="56"/>
  <c r="K5549" i="56"/>
  <c r="K5550" i="56"/>
  <c r="K5551" i="56"/>
  <c r="L5551" i="56" s="1"/>
  <c r="K5552" i="56"/>
  <c r="K5553" i="56"/>
  <c r="K5554" i="56"/>
  <c r="K5555" i="56"/>
  <c r="K5556" i="56"/>
  <c r="K5557" i="56"/>
  <c r="K5558" i="56"/>
  <c r="K5559" i="56"/>
  <c r="K5560" i="56"/>
  <c r="K5561" i="56"/>
  <c r="K5562" i="56"/>
  <c r="K5563" i="56"/>
  <c r="L5563" i="56" s="1"/>
  <c r="K5564" i="56"/>
  <c r="K5565" i="56"/>
  <c r="K5566" i="56"/>
  <c r="K5567" i="56"/>
  <c r="K5568" i="56"/>
  <c r="K5569" i="56"/>
  <c r="K5570" i="56"/>
  <c r="K5571" i="56"/>
  <c r="K5572" i="56"/>
  <c r="K5573" i="56"/>
  <c r="K5574" i="56"/>
  <c r="K5575" i="56"/>
  <c r="L5575" i="56" s="1"/>
  <c r="K5576" i="56"/>
  <c r="K5577" i="56"/>
  <c r="K5578" i="56"/>
  <c r="K5579" i="56"/>
  <c r="K5580" i="56"/>
  <c r="K5581" i="56"/>
  <c r="K5582" i="56"/>
  <c r="K5583" i="56"/>
  <c r="K5584" i="56"/>
  <c r="K5585" i="56"/>
  <c r="K5586" i="56"/>
  <c r="K5587" i="56"/>
  <c r="L5587" i="56" s="1"/>
  <c r="K5588" i="56"/>
  <c r="K5589" i="56"/>
  <c r="K5590" i="56"/>
  <c r="K5591" i="56"/>
  <c r="K5592" i="56"/>
  <c r="K5593" i="56"/>
  <c r="K5594" i="56"/>
  <c r="K5595" i="56"/>
  <c r="K5596" i="56"/>
  <c r="K5597" i="56"/>
  <c r="K5598" i="56"/>
  <c r="K5599" i="56"/>
  <c r="L5599" i="56" s="1"/>
  <c r="K5600" i="56"/>
  <c r="K5601" i="56"/>
  <c r="K5602" i="56"/>
  <c r="K5603" i="56"/>
  <c r="K5604" i="56"/>
  <c r="K5605" i="56"/>
  <c r="K5606" i="56"/>
  <c r="K5607" i="56"/>
  <c r="K5608" i="56"/>
  <c r="K5609" i="56"/>
  <c r="K5610" i="56"/>
  <c r="K5611" i="56"/>
  <c r="L5611" i="56" s="1"/>
  <c r="K5612" i="56"/>
  <c r="K5613" i="56"/>
  <c r="K5614" i="56"/>
  <c r="K5615" i="56"/>
  <c r="K5616" i="56"/>
  <c r="K5617" i="56"/>
  <c r="K5618" i="56"/>
  <c r="K5619" i="56"/>
  <c r="K5620" i="56"/>
  <c r="K5621" i="56"/>
  <c r="K5622" i="56"/>
  <c r="K5623" i="56"/>
  <c r="L5623" i="56" s="1"/>
  <c r="K5624" i="56"/>
  <c r="K5625" i="56"/>
  <c r="K5626" i="56"/>
  <c r="K5627" i="56"/>
  <c r="K5628" i="56"/>
  <c r="K5629" i="56"/>
  <c r="K5630" i="56"/>
  <c r="K5631" i="56"/>
  <c r="K5632" i="56"/>
  <c r="K5633" i="56"/>
  <c r="K5634" i="56"/>
  <c r="K5635" i="56"/>
  <c r="L5635" i="56" s="1"/>
  <c r="K5636" i="56"/>
  <c r="K5637" i="56"/>
  <c r="K5638" i="56"/>
  <c r="K5639" i="56"/>
  <c r="K5640" i="56"/>
  <c r="K5641" i="56"/>
  <c r="K5642" i="56"/>
  <c r="K5643" i="56"/>
  <c r="L5643" i="56" s="1"/>
  <c r="K5644" i="56"/>
  <c r="K5645" i="56"/>
  <c r="K5646" i="56"/>
  <c r="K5647" i="56"/>
  <c r="L5647" i="56" s="1"/>
  <c r="K5648" i="56"/>
  <c r="K5649" i="56"/>
  <c r="K5650" i="56"/>
  <c r="K5651" i="56"/>
  <c r="K5652" i="56"/>
  <c r="K5653" i="56"/>
  <c r="K5654" i="56"/>
  <c r="K5655" i="56"/>
  <c r="L5655" i="56" s="1"/>
  <c r="K5656" i="56"/>
  <c r="K5657" i="56"/>
  <c r="K5658" i="56"/>
  <c r="K5659" i="56"/>
  <c r="L5659" i="56" s="1"/>
  <c r="K5660" i="56"/>
  <c r="K5661" i="56"/>
  <c r="K5662" i="56"/>
  <c r="K5663" i="56"/>
  <c r="K5664" i="56"/>
  <c r="K5665" i="56"/>
  <c r="K5666" i="56"/>
  <c r="K5667" i="56"/>
  <c r="K5668" i="56"/>
  <c r="K5669" i="56"/>
  <c r="K5670" i="56"/>
  <c r="K5671" i="56"/>
  <c r="L5671" i="56" s="1"/>
  <c r="K5672" i="56"/>
  <c r="K5673" i="56"/>
  <c r="K5674" i="56"/>
  <c r="K5675" i="56"/>
  <c r="K5676" i="56"/>
  <c r="K5677" i="56"/>
  <c r="K5678" i="56"/>
  <c r="K5679" i="56"/>
  <c r="K5680" i="56"/>
  <c r="K5681" i="56"/>
  <c r="K5682" i="56"/>
  <c r="K5683" i="56"/>
  <c r="L5683" i="56" s="1"/>
  <c r="K5684" i="56"/>
  <c r="K5685" i="56"/>
  <c r="K5686" i="56"/>
  <c r="K5687" i="56"/>
  <c r="K5688" i="56"/>
  <c r="K5689" i="56"/>
  <c r="K5690" i="56"/>
  <c r="K5691" i="56"/>
  <c r="K5692" i="56"/>
  <c r="K5693" i="56"/>
  <c r="K5694" i="56"/>
  <c r="K5695" i="56"/>
  <c r="L5695" i="56" s="1"/>
  <c r="K5696" i="56"/>
  <c r="K5697" i="56"/>
  <c r="K5698" i="56"/>
  <c r="K5699" i="56"/>
  <c r="K5700" i="56"/>
  <c r="K5701" i="56"/>
  <c r="K5702" i="56"/>
  <c r="K5703" i="56"/>
  <c r="L5703" i="56" s="1"/>
  <c r="K5704" i="56"/>
  <c r="K5705" i="56"/>
  <c r="K5706" i="56"/>
  <c r="K5707" i="56"/>
  <c r="L5707" i="56" s="1"/>
  <c r="K5708" i="56"/>
  <c r="K5709" i="56"/>
  <c r="K5710" i="56"/>
  <c r="K5711" i="56"/>
  <c r="K5712" i="56"/>
  <c r="K5713" i="56"/>
  <c r="K5714" i="56"/>
  <c r="K5715" i="56"/>
  <c r="K5716" i="56"/>
  <c r="K5717" i="56"/>
  <c r="K5718" i="56"/>
  <c r="K5719" i="56"/>
  <c r="L5719" i="56" s="1"/>
  <c r="K5720" i="56"/>
  <c r="K5721" i="56"/>
  <c r="K5722" i="56"/>
  <c r="K5723" i="56"/>
  <c r="K5724" i="56"/>
  <c r="K5725" i="56"/>
  <c r="K5726" i="56"/>
  <c r="K5727" i="56"/>
  <c r="K5728" i="56"/>
  <c r="K5729" i="56"/>
  <c r="K5730" i="56"/>
  <c r="K5731" i="56"/>
  <c r="L5731" i="56" s="1"/>
  <c r="K5732" i="56"/>
  <c r="K5733" i="56"/>
  <c r="K5734" i="56"/>
  <c r="K5735" i="56"/>
  <c r="K5736" i="56"/>
  <c r="K5737" i="56"/>
  <c r="K5738" i="56"/>
  <c r="K5739" i="56"/>
  <c r="L5739" i="56" s="1"/>
  <c r="K5740" i="56"/>
  <c r="K5741" i="56"/>
  <c r="K5742" i="56"/>
  <c r="K5743" i="56"/>
  <c r="L5743" i="56" s="1"/>
  <c r="K5744" i="56"/>
  <c r="K5745" i="56"/>
  <c r="K5746" i="56"/>
  <c r="K5747" i="56"/>
  <c r="K5748" i="56"/>
  <c r="K5749" i="56"/>
  <c r="K5750" i="56"/>
  <c r="K5751" i="56"/>
  <c r="L5751" i="56" s="1"/>
  <c r="K5752" i="56"/>
  <c r="K5753" i="56"/>
  <c r="K5754" i="56"/>
  <c r="K5755" i="56"/>
  <c r="L5755" i="56" s="1"/>
  <c r="K5756" i="56"/>
  <c r="K5757" i="56"/>
  <c r="K5758" i="56"/>
  <c r="K5759" i="56"/>
  <c r="K5760" i="56"/>
  <c r="K5761" i="56"/>
  <c r="K5762" i="56"/>
  <c r="K5763" i="56"/>
  <c r="K5764" i="56"/>
  <c r="K5765" i="56"/>
  <c r="K5766" i="56"/>
  <c r="K5767" i="56"/>
  <c r="L5767" i="56" s="1"/>
  <c r="K5768" i="56"/>
  <c r="K5769" i="56"/>
  <c r="K5770" i="56"/>
  <c r="K5771" i="56"/>
  <c r="K5772" i="56"/>
  <c r="K5773" i="56"/>
  <c r="K5774" i="56"/>
  <c r="K5775" i="56"/>
  <c r="K5776" i="56"/>
  <c r="K5777" i="56"/>
  <c r="K5778" i="56"/>
  <c r="K5779" i="56"/>
  <c r="L5779" i="56" s="1"/>
  <c r="K5780" i="56"/>
  <c r="K5781" i="56"/>
  <c r="K5782" i="56"/>
  <c r="K5783" i="56"/>
  <c r="K5784" i="56"/>
  <c r="K5785" i="56"/>
  <c r="K5786" i="56"/>
  <c r="K5787" i="56"/>
  <c r="L5787" i="56" s="1"/>
  <c r="K5788" i="56"/>
  <c r="K5789" i="56"/>
  <c r="K5790" i="56"/>
  <c r="K5791" i="56"/>
  <c r="L5791" i="56" s="1"/>
  <c r="K5792" i="56"/>
  <c r="K5793" i="56"/>
  <c r="K5794" i="56"/>
  <c r="K5795" i="56"/>
  <c r="K5796" i="56"/>
  <c r="K5797" i="56"/>
  <c r="K5798" i="56"/>
  <c r="K5799" i="56"/>
  <c r="K5800" i="56"/>
  <c r="K5801" i="56"/>
  <c r="K5802" i="56"/>
  <c r="K5803" i="56"/>
  <c r="L5803" i="56" s="1"/>
  <c r="K5804" i="56"/>
  <c r="K5805" i="56"/>
  <c r="K5806" i="56"/>
  <c r="K5807" i="56"/>
  <c r="K5808" i="56"/>
  <c r="K5809" i="56"/>
  <c r="K5810" i="56"/>
  <c r="K5811" i="56"/>
  <c r="K5812" i="56"/>
  <c r="K5813" i="56"/>
  <c r="K5814" i="56"/>
  <c r="K5815" i="56"/>
  <c r="L5815" i="56" s="1"/>
  <c r="K5816" i="56"/>
  <c r="K5817" i="56"/>
  <c r="K5818" i="56"/>
  <c r="K5819" i="56"/>
  <c r="K5820" i="56"/>
  <c r="K5821" i="56"/>
  <c r="K5822" i="56"/>
  <c r="K5823" i="56"/>
  <c r="K5824" i="56"/>
  <c r="K5825" i="56"/>
  <c r="K5826" i="56"/>
  <c r="K5827" i="56"/>
  <c r="L5827" i="56" s="1"/>
  <c r="K5828" i="56"/>
  <c r="K5829" i="56"/>
  <c r="K5830" i="56"/>
  <c r="K5831" i="56"/>
  <c r="K5832" i="56"/>
  <c r="K5833" i="56"/>
  <c r="K5834" i="56"/>
  <c r="K5835" i="56"/>
  <c r="L5835" i="56" s="1"/>
  <c r="K5836" i="56"/>
  <c r="K5837" i="56"/>
  <c r="K5838" i="56"/>
  <c r="K5839" i="56"/>
  <c r="K5840" i="56"/>
  <c r="K5841" i="56"/>
  <c r="K5842" i="56"/>
  <c r="K5843" i="56"/>
  <c r="K5844" i="56"/>
  <c r="K5845" i="56"/>
  <c r="K5846" i="56"/>
  <c r="K5847" i="56"/>
  <c r="L5847" i="56" s="1"/>
  <c r="K5848" i="56"/>
  <c r="K5849" i="56"/>
  <c r="K5850" i="56"/>
  <c r="K5851" i="56"/>
  <c r="L5851" i="56" s="1"/>
  <c r="K5852" i="56"/>
  <c r="K5853" i="56"/>
  <c r="K5854" i="56"/>
  <c r="K5855" i="56"/>
  <c r="K5856" i="56"/>
  <c r="K5857" i="56"/>
  <c r="K5858" i="56"/>
  <c r="K5859" i="56"/>
  <c r="K5860" i="56"/>
  <c r="K5861" i="56"/>
  <c r="K5862" i="56"/>
  <c r="K5863" i="56"/>
  <c r="L5863" i="56" s="1"/>
  <c r="K5864" i="56"/>
  <c r="K5865" i="56"/>
  <c r="K5866" i="56"/>
  <c r="K5867" i="56"/>
  <c r="K5868" i="56"/>
  <c r="K5869" i="56"/>
  <c r="K5870" i="56"/>
  <c r="K5871" i="56"/>
  <c r="K5872" i="56"/>
  <c r="K5873" i="56"/>
  <c r="K5874" i="56"/>
  <c r="K5875" i="56"/>
  <c r="L5875" i="56" s="1"/>
  <c r="K5876" i="56"/>
  <c r="K5877" i="56"/>
  <c r="K5878" i="56"/>
  <c r="K5879" i="56"/>
  <c r="K5880" i="56"/>
  <c r="K5881" i="56"/>
  <c r="K5882" i="56"/>
  <c r="K5883" i="56"/>
  <c r="K5884" i="56"/>
  <c r="K5885" i="56"/>
  <c r="K5886" i="56"/>
  <c r="K5887" i="56"/>
  <c r="L5887" i="56" s="1"/>
  <c r="K5888" i="56"/>
  <c r="K5889" i="56"/>
  <c r="K5890" i="56"/>
  <c r="K5891" i="56"/>
  <c r="K5892" i="56"/>
  <c r="K5893" i="56"/>
  <c r="K5894" i="56"/>
  <c r="K5895" i="56"/>
  <c r="K5896" i="56"/>
  <c r="K5897" i="56"/>
  <c r="K5898" i="56"/>
  <c r="K5899" i="56"/>
  <c r="L5899" i="56" s="1"/>
  <c r="K5900" i="56"/>
  <c r="K5901" i="56"/>
  <c r="K5902" i="56"/>
  <c r="K5903" i="56"/>
  <c r="K5904" i="56"/>
  <c r="K5905" i="56"/>
  <c r="K5906" i="56"/>
  <c r="K5907" i="56"/>
  <c r="L5907" i="56" s="1"/>
  <c r="K5908" i="56"/>
  <c r="K5909" i="56"/>
  <c r="K5910" i="56"/>
  <c r="K5911" i="56"/>
  <c r="L5911" i="56" s="1"/>
  <c r="K5912" i="56"/>
  <c r="K5913" i="56"/>
  <c r="K5914" i="56"/>
  <c r="K5915" i="56"/>
  <c r="K5916" i="56"/>
  <c r="K5917" i="56"/>
  <c r="K5918" i="56"/>
  <c r="K5919" i="56"/>
  <c r="L5919" i="56" s="1"/>
  <c r="K5920" i="56"/>
  <c r="K5921" i="56"/>
  <c r="K5922" i="56"/>
  <c r="K5923" i="56"/>
  <c r="L5923" i="56" s="1"/>
  <c r="K5924" i="56"/>
  <c r="K5925" i="56"/>
  <c r="K5926" i="56"/>
  <c r="K5927" i="56"/>
  <c r="K5928" i="56"/>
  <c r="K5929" i="56"/>
  <c r="K5930" i="56"/>
  <c r="K5931" i="56"/>
  <c r="L5931" i="56" s="1"/>
  <c r="K5932" i="56"/>
  <c r="K5933" i="56"/>
  <c r="K5934" i="56"/>
  <c r="K5935" i="56"/>
  <c r="L5935" i="56" s="1"/>
  <c r="K5936" i="56"/>
  <c r="K5937" i="56"/>
  <c r="K5938" i="56"/>
  <c r="K5939" i="56"/>
  <c r="K5940" i="56"/>
  <c r="K5941" i="56"/>
  <c r="K5942" i="56"/>
  <c r="K5943" i="56"/>
  <c r="L5943" i="56" s="1"/>
  <c r="K5944" i="56"/>
  <c r="K5945" i="56"/>
  <c r="K5946" i="56"/>
  <c r="K5947" i="56"/>
  <c r="L5947" i="56" s="1"/>
  <c r="K5948" i="56"/>
  <c r="K5949" i="56"/>
  <c r="K5950" i="56"/>
  <c r="K5951" i="56"/>
  <c r="K5952" i="56"/>
  <c r="K5953" i="56"/>
  <c r="K5954" i="56"/>
  <c r="K5955" i="56"/>
  <c r="L5955" i="56" s="1"/>
  <c r="K5956" i="56"/>
  <c r="K5957" i="56"/>
  <c r="K5958" i="56"/>
  <c r="K5959" i="56"/>
  <c r="K5960" i="56"/>
  <c r="K5961" i="56"/>
  <c r="K5962" i="56"/>
  <c r="K5963" i="56"/>
  <c r="K5964" i="56"/>
  <c r="K5965" i="56"/>
  <c r="K5966" i="56"/>
  <c r="K5967" i="56"/>
  <c r="L5967" i="56" s="1"/>
  <c r="K5968" i="56"/>
  <c r="K5969" i="56"/>
  <c r="K5970" i="56"/>
  <c r="K5971" i="56"/>
  <c r="L5971" i="56" s="1"/>
  <c r="K5972" i="56"/>
  <c r="K5973" i="56"/>
  <c r="K5974" i="56"/>
  <c r="K5975" i="56"/>
  <c r="K5976" i="56"/>
  <c r="K5977" i="56"/>
  <c r="K5978" i="56"/>
  <c r="K5979" i="56"/>
  <c r="L5979" i="56" s="1"/>
  <c r="K5980" i="56"/>
  <c r="K5981" i="56"/>
  <c r="K5982" i="56"/>
  <c r="K5983" i="56"/>
  <c r="L5983" i="56" s="1"/>
  <c r="K5984" i="56"/>
  <c r="K5985" i="56"/>
  <c r="K5986" i="56"/>
  <c r="K5987" i="56"/>
  <c r="K5988" i="56"/>
  <c r="K5989" i="56"/>
  <c r="K5990" i="56"/>
  <c r="K5991" i="56"/>
  <c r="L5991" i="56" s="1"/>
  <c r="K5992" i="56"/>
  <c r="K5993" i="56"/>
  <c r="K5994" i="56"/>
  <c r="K5995" i="56"/>
  <c r="L5995" i="56" s="1"/>
  <c r="K5996" i="56"/>
  <c r="K5997" i="56"/>
  <c r="K5998" i="56"/>
  <c r="K5999" i="56"/>
  <c r="K6000" i="56"/>
  <c r="K6001" i="56"/>
  <c r="K6002" i="56"/>
  <c r="K6003" i="56"/>
  <c r="K6004" i="56"/>
  <c r="K6005" i="56"/>
  <c r="K6006" i="56"/>
  <c r="K6007" i="56"/>
  <c r="L6007" i="56" s="1"/>
  <c r="K6008" i="56"/>
  <c r="K6009" i="56"/>
  <c r="K6010" i="56"/>
  <c r="K6011" i="56"/>
  <c r="K6012" i="56"/>
  <c r="K6013" i="56"/>
  <c r="K6014" i="56"/>
  <c r="K6015" i="56"/>
  <c r="K6016" i="56"/>
  <c r="K6017" i="56"/>
  <c r="K6018" i="56"/>
  <c r="K6019" i="56"/>
  <c r="L6019" i="56" s="1"/>
  <c r="K6020" i="56"/>
  <c r="K6021" i="56"/>
  <c r="K6022" i="56"/>
  <c r="K6023" i="56"/>
  <c r="K6024" i="56"/>
  <c r="K6025" i="56"/>
  <c r="K6026" i="56"/>
  <c r="K6027" i="56"/>
  <c r="K6028" i="56"/>
  <c r="K6029" i="56"/>
  <c r="K6030" i="56"/>
  <c r="K6031" i="56"/>
  <c r="L6031" i="56" s="1"/>
  <c r="K6032" i="56"/>
  <c r="K6033" i="56"/>
  <c r="K6034" i="56"/>
  <c r="K6035" i="56"/>
  <c r="K6036" i="56"/>
  <c r="K6037" i="56"/>
  <c r="K6038" i="56"/>
  <c r="K6039" i="56"/>
  <c r="L6039" i="56" s="1"/>
  <c r="K6040" i="56"/>
  <c r="K6041" i="56"/>
  <c r="K6042" i="56"/>
  <c r="K6043" i="56"/>
  <c r="L6043" i="56" s="1"/>
  <c r="K6044" i="56"/>
  <c r="K6045" i="56"/>
  <c r="K6046" i="56"/>
  <c r="K6047" i="56"/>
  <c r="K6048" i="56"/>
  <c r="K6049" i="56"/>
  <c r="K6050" i="56"/>
  <c r="K6051" i="56"/>
  <c r="L6051" i="56" s="1"/>
  <c r="K6052" i="56"/>
  <c r="K6053" i="56"/>
  <c r="K6054" i="56"/>
  <c r="K6055" i="56"/>
  <c r="L6055" i="56" s="1"/>
  <c r="K6056" i="56"/>
  <c r="K6057" i="56"/>
  <c r="K6058" i="56"/>
  <c r="K6059" i="56"/>
  <c r="K6060" i="56"/>
  <c r="K6061" i="56"/>
  <c r="K6062" i="56"/>
  <c r="K6063" i="56"/>
  <c r="L6063" i="56" s="1"/>
  <c r="K6064" i="56"/>
  <c r="K6065" i="56"/>
  <c r="K6066" i="56"/>
  <c r="K6067" i="56"/>
  <c r="L6067" i="56" s="1"/>
  <c r="K6068" i="56"/>
  <c r="K6069" i="56"/>
  <c r="K6070" i="56"/>
  <c r="K6071" i="56"/>
  <c r="K6072" i="56"/>
  <c r="K6073" i="56"/>
  <c r="K6074" i="56"/>
  <c r="K6075" i="56"/>
  <c r="L6075" i="56" s="1"/>
  <c r="K6076" i="56"/>
  <c r="K6077" i="56"/>
  <c r="K6078" i="56"/>
  <c r="K6079" i="56"/>
  <c r="L6079" i="56" s="1"/>
  <c r="K6080" i="56"/>
  <c r="K6081" i="56"/>
  <c r="K6082" i="56"/>
  <c r="K6083" i="56"/>
  <c r="K6084" i="56"/>
  <c r="K6085" i="56"/>
  <c r="K6086" i="56"/>
  <c r="K6087" i="56"/>
  <c r="L6087" i="56" s="1"/>
  <c r="K6088" i="56"/>
  <c r="K6089" i="56"/>
  <c r="K6090" i="56"/>
  <c r="K6091" i="56"/>
  <c r="L6091" i="56" s="1"/>
  <c r="K6092" i="56"/>
  <c r="K6093" i="56"/>
  <c r="K6094" i="56"/>
  <c r="G1773" i="56"/>
  <c r="G1774" i="56"/>
  <c r="G1775" i="56"/>
  <c r="G1776" i="56"/>
  <c r="G1777" i="56"/>
  <c r="I1777" i="56" s="1"/>
  <c r="G1778" i="56"/>
  <c r="I1778" i="56" s="1"/>
  <c r="G1779" i="56"/>
  <c r="G1780" i="56"/>
  <c r="G1781" i="56"/>
  <c r="I1781" i="56" s="1"/>
  <c r="G1782" i="56"/>
  <c r="G1783" i="56"/>
  <c r="I1783" i="56" s="1"/>
  <c r="G1784" i="56"/>
  <c r="G1785" i="56"/>
  <c r="G1786" i="56"/>
  <c r="G1787" i="56"/>
  <c r="G1788" i="56"/>
  <c r="G1789" i="56"/>
  <c r="I1789" i="56" s="1"/>
  <c r="G1790" i="56"/>
  <c r="I1790" i="56" s="1"/>
  <c r="G1791" i="56"/>
  <c r="G1792" i="56"/>
  <c r="G1793" i="56"/>
  <c r="I1793" i="56" s="1"/>
  <c r="G1794" i="56"/>
  <c r="I1794" i="56" s="1"/>
  <c r="G1795" i="56"/>
  <c r="G1796" i="56"/>
  <c r="I1796" i="56" s="1"/>
  <c r="G1797" i="56"/>
  <c r="G1798" i="56"/>
  <c r="G1799" i="56"/>
  <c r="G1800" i="56"/>
  <c r="G1801" i="56"/>
  <c r="G1802" i="56"/>
  <c r="G1803" i="56"/>
  <c r="G1804" i="56"/>
  <c r="G1805" i="56"/>
  <c r="I1805" i="56" s="1"/>
  <c r="G1806" i="56"/>
  <c r="G1807" i="56"/>
  <c r="I1807" i="56" s="1"/>
  <c r="G1808" i="56"/>
  <c r="I1808" i="56" s="1"/>
  <c r="G1809" i="56"/>
  <c r="G1810" i="56"/>
  <c r="G1811" i="56"/>
  <c r="G1812" i="56"/>
  <c r="G1813" i="56"/>
  <c r="G1814" i="56"/>
  <c r="G1815" i="56"/>
  <c r="G1816" i="56"/>
  <c r="G1817" i="56"/>
  <c r="I1817" i="56" s="1"/>
  <c r="G1818" i="56"/>
  <c r="I1818" i="56" s="1"/>
  <c r="G1819" i="56"/>
  <c r="G1820" i="56"/>
  <c r="I1820" i="56" s="1"/>
  <c r="G1821" i="56"/>
  <c r="G1822" i="56"/>
  <c r="G1823" i="56"/>
  <c r="G1824" i="56"/>
  <c r="G1825" i="56"/>
  <c r="G1826" i="56"/>
  <c r="G1827" i="56"/>
  <c r="G1828" i="56"/>
  <c r="G1829" i="56"/>
  <c r="I1829" i="56" s="1"/>
  <c r="G1830" i="56"/>
  <c r="G1831" i="56"/>
  <c r="I1831" i="56" s="1"/>
  <c r="G1832" i="56"/>
  <c r="I1832" i="56" s="1"/>
  <c r="G1833" i="56"/>
  <c r="G1834" i="56"/>
  <c r="G1835" i="56"/>
  <c r="G1836" i="56"/>
  <c r="G1837" i="56"/>
  <c r="G1838" i="56"/>
  <c r="G1839" i="56"/>
  <c r="G1840" i="56"/>
  <c r="G1841" i="56"/>
  <c r="I1841" i="56" s="1"/>
  <c r="G1842" i="56"/>
  <c r="I1842" i="56" s="1"/>
  <c r="G1843" i="56"/>
  <c r="G1844" i="56"/>
  <c r="I1844" i="56" s="1"/>
  <c r="G1845" i="56"/>
  <c r="G1846" i="56"/>
  <c r="G1847" i="56"/>
  <c r="G1848" i="56"/>
  <c r="G1849" i="56"/>
  <c r="G1850" i="56"/>
  <c r="G1851" i="56"/>
  <c r="G1852" i="56"/>
  <c r="G1853" i="56"/>
  <c r="I1853" i="56" s="1"/>
  <c r="G1854" i="56"/>
  <c r="I1854" i="56" s="1"/>
  <c r="G1855" i="56"/>
  <c r="I1855" i="56" s="1"/>
  <c r="G1856" i="56"/>
  <c r="I1856" i="56" s="1"/>
  <c r="G1857" i="56"/>
  <c r="G1858" i="56"/>
  <c r="G1859" i="56"/>
  <c r="G1860" i="56"/>
  <c r="G1861" i="56"/>
  <c r="G1862" i="56"/>
  <c r="G1863" i="56"/>
  <c r="G1864" i="56"/>
  <c r="G1865" i="56"/>
  <c r="I1865" i="56" s="1"/>
  <c r="G1866" i="56"/>
  <c r="I1866" i="56" s="1"/>
  <c r="G1867" i="56"/>
  <c r="I1867" i="56" s="1"/>
  <c r="G1868" i="56"/>
  <c r="I1868" i="56" s="1"/>
  <c r="G1869" i="56"/>
  <c r="G1870" i="56"/>
  <c r="G1871" i="56"/>
  <c r="G1872" i="56"/>
  <c r="G1873" i="56"/>
  <c r="G1874" i="56"/>
  <c r="G1875" i="56"/>
  <c r="G1876" i="56"/>
  <c r="G1877" i="56"/>
  <c r="I1877" i="56" s="1"/>
  <c r="G1878" i="56"/>
  <c r="G1879" i="56"/>
  <c r="I1879" i="56" s="1"/>
  <c r="G1880" i="56"/>
  <c r="I1880" i="56" s="1"/>
  <c r="G1881" i="56"/>
  <c r="G1882" i="56"/>
  <c r="G1883" i="56"/>
  <c r="G1884" i="56"/>
  <c r="G1885" i="56"/>
  <c r="G1886" i="56"/>
  <c r="G1887" i="56"/>
  <c r="G1888" i="56"/>
  <c r="G1889" i="56"/>
  <c r="I1889" i="56" s="1"/>
  <c r="G1890" i="56"/>
  <c r="I1890" i="56" s="1"/>
  <c r="G1891" i="56"/>
  <c r="G1892" i="56"/>
  <c r="I1892" i="56" s="1"/>
  <c r="G1893" i="56"/>
  <c r="G1894" i="56"/>
  <c r="G1895" i="56"/>
  <c r="G1896" i="56"/>
  <c r="G1897" i="56"/>
  <c r="G1898" i="56"/>
  <c r="G1899" i="56"/>
  <c r="G1900" i="56"/>
  <c r="G1901" i="56"/>
  <c r="I1901" i="56" s="1"/>
  <c r="G1902" i="56"/>
  <c r="I1902" i="56" s="1"/>
  <c r="G1903" i="56"/>
  <c r="I1903" i="56" s="1"/>
  <c r="G1904" i="56"/>
  <c r="I1904" i="56" s="1"/>
  <c r="G1905" i="56"/>
  <c r="G1906" i="56"/>
  <c r="G1907" i="56"/>
  <c r="G1908" i="56"/>
  <c r="G1909" i="56"/>
  <c r="G1910" i="56"/>
  <c r="G1911" i="56"/>
  <c r="G1912" i="56"/>
  <c r="G1913" i="56"/>
  <c r="I1913" i="56" s="1"/>
  <c r="G1914" i="56"/>
  <c r="I1914" i="56" s="1"/>
  <c r="G1915" i="56"/>
  <c r="I1915" i="56" s="1"/>
  <c r="G1916" i="56"/>
  <c r="I1916" i="56" s="1"/>
  <c r="G1917" i="56"/>
  <c r="G1918" i="56"/>
  <c r="G1919" i="56"/>
  <c r="G1920" i="56"/>
  <c r="G1921" i="56"/>
  <c r="G1922" i="56"/>
  <c r="G1923" i="56"/>
  <c r="G1924" i="56"/>
  <c r="G1925" i="56"/>
  <c r="I1925" i="56" s="1"/>
  <c r="G1926" i="56"/>
  <c r="G1927" i="56"/>
  <c r="I1927" i="56" s="1"/>
  <c r="G1928" i="56"/>
  <c r="I1928" i="56" s="1"/>
  <c r="G1929" i="56"/>
  <c r="G1930" i="56"/>
  <c r="G1931" i="56"/>
  <c r="G1932" i="56"/>
  <c r="G1933" i="56"/>
  <c r="G1934" i="56"/>
  <c r="G1935" i="56"/>
  <c r="G1936" i="56"/>
  <c r="G1937" i="56"/>
  <c r="I1937" i="56" s="1"/>
  <c r="G1938" i="56"/>
  <c r="I1938" i="56" s="1"/>
  <c r="G1939" i="56"/>
  <c r="G1940" i="56"/>
  <c r="I1940" i="56" s="1"/>
  <c r="G1941" i="56"/>
  <c r="G1942" i="56"/>
  <c r="G1943" i="56"/>
  <c r="G1944" i="56"/>
  <c r="G1945" i="56"/>
  <c r="G1946" i="56"/>
  <c r="G1947" i="56"/>
  <c r="G1948" i="56"/>
  <c r="G1949" i="56"/>
  <c r="I1949" i="56" s="1"/>
  <c r="G1950" i="56"/>
  <c r="I1950" i="56" s="1"/>
  <c r="G1951" i="56"/>
  <c r="I1951" i="56" s="1"/>
  <c r="G1952" i="56"/>
  <c r="I1952" i="56" s="1"/>
  <c r="G1953" i="56"/>
  <c r="G1954" i="56"/>
  <c r="G1955" i="56"/>
  <c r="G1956" i="56"/>
  <c r="G1957" i="56"/>
  <c r="G1958" i="56"/>
  <c r="G1959" i="56"/>
  <c r="G1960" i="56"/>
  <c r="G1961" i="56"/>
  <c r="I1961" i="56" s="1"/>
  <c r="G1962" i="56"/>
  <c r="I1962" i="56" s="1"/>
  <c r="G1963" i="56"/>
  <c r="G1964" i="56"/>
  <c r="I1964" i="56" s="1"/>
  <c r="G1965" i="56"/>
  <c r="G1966" i="56"/>
  <c r="G1967" i="56"/>
  <c r="G1968" i="56"/>
  <c r="G1969" i="56"/>
  <c r="G1970" i="56"/>
  <c r="G1971" i="56"/>
  <c r="G1972" i="56"/>
  <c r="G1973" i="56"/>
  <c r="I1973" i="56" s="1"/>
  <c r="G1974" i="56"/>
  <c r="G1975" i="56"/>
  <c r="I1975" i="56" s="1"/>
  <c r="G1976" i="56"/>
  <c r="I1976" i="56" s="1"/>
  <c r="G1977" i="56"/>
  <c r="G1978" i="56"/>
  <c r="G1979" i="56"/>
  <c r="G1980" i="56"/>
  <c r="G1981" i="56"/>
  <c r="G1982" i="56"/>
  <c r="G1983" i="56"/>
  <c r="G1984" i="56"/>
  <c r="G1985" i="56"/>
  <c r="I1985" i="56" s="1"/>
  <c r="G1986" i="56"/>
  <c r="I1986" i="56" s="1"/>
  <c r="G1987" i="56"/>
  <c r="I1987" i="56" s="1"/>
  <c r="G1988" i="56"/>
  <c r="I1988" i="56" s="1"/>
  <c r="G1989" i="56"/>
  <c r="G1990" i="56"/>
  <c r="G1991" i="56"/>
  <c r="G1992" i="56"/>
  <c r="G1993" i="56"/>
  <c r="G1994" i="56"/>
  <c r="G1995" i="56"/>
  <c r="G1996" i="56"/>
  <c r="G1997" i="56"/>
  <c r="I1997" i="56" s="1"/>
  <c r="G1998" i="56"/>
  <c r="G1999" i="56"/>
  <c r="I1999" i="56" s="1"/>
  <c r="G2000" i="56"/>
  <c r="I2000" i="56" s="1"/>
  <c r="G2001" i="56"/>
  <c r="G2002" i="56"/>
  <c r="G2003" i="56"/>
  <c r="G2004" i="56"/>
  <c r="G2005" i="56"/>
  <c r="G2006" i="56"/>
  <c r="G2007" i="56"/>
  <c r="G2008" i="56"/>
  <c r="G2009" i="56"/>
  <c r="I2009" i="56" s="1"/>
  <c r="G2010" i="56"/>
  <c r="I2010" i="56" s="1"/>
  <c r="G2011" i="56"/>
  <c r="I2011" i="56" s="1"/>
  <c r="G2012" i="56"/>
  <c r="I2012" i="56" s="1"/>
  <c r="G2013" i="56"/>
  <c r="G2014" i="56"/>
  <c r="G2015" i="56"/>
  <c r="G2016" i="56"/>
  <c r="G2017" i="56"/>
  <c r="G2018" i="56"/>
  <c r="G2019" i="56"/>
  <c r="G2020" i="56"/>
  <c r="G2021" i="56"/>
  <c r="I2021" i="56" s="1"/>
  <c r="G2022" i="56"/>
  <c r="G2023" i="56"/>
  <c r="I2023" i="56" s="1"/>
  <c r="G2024" i="56"/>
  <c r="I2024" i="56" s="1"/>
  <c r="G2025" i="56"/>
  <c r="G2026" i="56"/>
  <c r="G2027" i="56"/>
  <c r="G2028" i="56"/>
  <c r="G2029" i="56"/>
  <c r="G2030" i="56"/>
  <c r="G2031" i="56"/>
  <c r="G2032" i="56"/>
  <c r="G2033" i="56"/>
  <c r="I2033" i="56" s="1"/>
  <c r="G2034" i="56"/>
  <c r="I2034" i="56" s="1"/>
  <c r="G2035" i="56"/>
  <c r="G2036" i="56"/>
  <c r="I2036" i="56" s="1"/>
  <c r="G2037" i="56"/>
  <c r="G2038" i="56"/>
  <c r="G2039" i="56"/>
  <c r="G2040" i="56"/>
  <c r="G2041" i="56"/>
  <c r="G2042" i="56"/>
  <c r="G2043" i="56"/>
  <c r="G2044" i="56"/>
  <c r="G2045" i="56"/>
  <c r="I2045" i="56" s="1"/>
  <c r="G2046" i="56"/>
  <c r="I2046" i="56" s="1"/>
  <c r="G2047" i="56"/>
  <c r="I2047" i="56" s="1"/>
  <c r="G2048" i="56"/>
  <c r="I2048" i="56" s="1"/>
  <c r="G2049" i="56"/>
  <c r="G2050" i="56"/>
  <c r="G2051" i="56"/>
  <c r="G2052" i="56"/>
  <c r="G2053" i="56"/>
  <c r="G2054" i="56"/>
  <c r="G2055" i="56"/>
  <c r="G2056" i="56"/>
  <c r="G2057" i="56"/>
  <c r="I2057" i="56" s="1"/>
  <c r="G2058" i="56"/>
  <c r="G2059" i="56"/>
  <c r="I2059" i="56" s="1"/>
  <c r="G2060" i="56"/>
  <c r="I2060" i="56" s="1"/>
  <c r="G2061" i="56"/>
  <c r="G2062" i="56"/>
  <c r="G2063" i="56"/>
  <c r="G2064" i="56"/>
  <c r="G2065" i="56"/>
  <c r="G2066" i="56"/>
  <c r="G2067" i="56"/>
  <c r="G2068" i="56"/>
  <c r="G2069" i="56"/>
  <c r="I2069" i="56" s="1"/>
  <c r="G2070" i="56"/>
  <c r="I2070" i="56" s="1"/>
  <c r="G2071" i="56"/>
  <c r="I2071" i="56" s="1"/>
  <c r="G2072" i="56"/>
  <c r="I2072" i="56" s="1"/>
  <c r="G2073" i="56"/>
  <c r="G2074" i="56"/>
  <c r="G2075" i="56"/>
  <c r="G2076" i="56"/>
  <c r="G2077" i="56"/>
  <c r="G2078" i="56"/>
  <c r="G2079" i="56"/>
  <c r="G2080" i="56"/>
  <c r="G2081" i="56"/>
  <c r="I2081" i="56" s="1"/>
  <c r="G2082" i="56"/>
  <c r="G2083" i="56"/>
  <c r="I2083" i="56" s="1"/>
  <c r="G2084" i="56"/>
  <c r="I2084" i="56" s="1"/>
  <c r="G2085" i="56"/>
  <c r="G2086" i="56"/>
  <c r="G2087" i="56"/>
  <c r="G2088" i="56"/>
  <c r="G2089" i="56"/>
  <c r="G2090" i="56"/>
  <c r="G2091" i="56"/>
  <c r="G2092" i="56"/>
  <c r="G2093" i="56"/>
  <c r="I2093" i="56" s="1"/>
  <c r="G2094" i="56"/>
  <c r="I2094" i="56" s="1"/>
  <c r="G2095" i="56"/>
  <c r="I2095" i="56" s="1"/>
  <c r="G2096" i="56"/>
  <c r="I2096" i="56" s="1"/>
  <c r="G2097" i="56"/>
  <c r="G2098" i="56"/>
  <c r="G2099" i="56"/>
  <c r="G2100" i="56"/>
  <c r="G2101" i="56"/>
  <c r="G2102" i="56"/>
  <c r="G2103" i="56"/>
  <c r="G2104" i="56"/>
  <c r="G2105" i="56"/>
  <c r="I2105" i="56" s="1"/>
  <c r="G2106" i="56"/>
  <c r="I2106" i="56" s="1"/>
  <c r="G2107" i="56"/>
  <c r="G2108" i="56"/>
  <c r="I2108" i="56" s="1"/>
  <c r="G2109" i="56"/>
  <c r="G2110" i="56"/>
  <c r="G2111" i="56"/>
  <c r="G2112" i="56"/>
  <c r="G2113" i="56"/>
  <c r="G2114" i="56"/>
  <c r="G2115" i="56"/>
  <c r="G2116" i="56"/>
  <c r="G2117" i="56"/>
  <c r="I2117" i="56" s="1"/>
  <c r="G2118" i="56"/>
  <c r="G2119" i="56"/>
  <c r="G2120" i="56"/>
  <c r="I2120" i="56" s="1"/>
  <c r="G2121" i="56"/>
  <c r="G2122" i="56"/>
  <c r="G2123" i="56"/>
  <c r="G2124" i="56"/>
  <c r="G2125" i="56"/>
  <c r="G2126" i="56"/>
  <c r="G2127" i="56"/>
  <c r="G2128" i="56"/>
  <c r="G2129" i="56"/>
  <c r="I2129" i="56" s="1"/>
  <c r="G2130" i="56"/>
  <c r="I2130" i="56" s="1"/>
  <c r="G2131" i="56"/>
  <c r="G2132" i="56"/>
  <c r="I2132" i="56" s="1"/>
  <c r="G2133" i="56"/>
  <c r="G2134" i="56"/>
  <c r="G2135" i="56"/>
  <c r="G2136" i="56"/>
  <c r="G2137" i="56"/>
  <c r="G2138" i="56"/>
  <c r="G2139" i="56"/>
  <c r="G2140" i="56"/>
  <c r="G2141" i="56"/>
  <c r="I2141" i="56" s="1"/>
  <c r="G2142" i="56"/>
  <c r="G2143" i="56"/>
  <c r="I2143" i="56" s="1"/>
  <c r="G2144" i="56"/>
  <c r="I2144" i="56" s="1"/>
  <c r="G2145" i="56"/>
  <c r="G2146" i="56"/>
  <c r="G2147" i="56"/>
  <c r="G2148" i="56"/>
  <c r="G2149" i="56"/>
  <c r="G2150" i="56"/>
  <c r="G2151" i="56"/>
  <c r="G2152" i="56"/>
  <c r="G2153" i="56"/>
  <c r="I2153" i="56" s="1"/>
  <c r="G2154" i="56"/>
  <c r="I2154" i="56" s="1"/>
  <c r="G2155" i="56"/>
  <c r="I2155" i="56" s="1"/>
  <c r="G2156" i="56"/>
  <c r="I2156" i="56" s="1"/>
  <c r="G2157" i="56"/>
  <c r="G2158" i="56"/>
  <c r="G2159" i="56"/>
  <c r="G2160" i="56"/>
  <c r="G2161" i="56"/>
  <c r="G2162" i="56"/>
  <c r="G2163" i="56"/>
  <c r="G2164" i="56"/>
  <c r="G2165" i="56"/>
  <c r="I2165" i="56" s="1"/>
  <c r="G2166" i="56"/>
  <c r="I2166" i="56" s="1"/>
  <c r="G2167" i="56"/>
  <c r="I2167" i="56" s="1"/>
  <c r="G2168" i="56"/>
  <c r="I2168" i="56" s="1"/>
  <c r="G2169" i="56"/>
  <c r="G2170" i="56"/>
  <c r="G2171" i="56"/>
  <c r="G2172" i="56"/>
  <c r="G2173" i="56"/>
  <c r="G2174" i="56"/>
  <c r="G2175" i="56"/>
  <c r="G2176" i="56"/>
  <c r="G2177" i="56"/>
  <c r="I2177" i="56" s="1"/>
  <c r="G2178" i="56"/>
  <c r="I2178" i="56" s="1"/>
  <c r="G2179" i="56"/>
  <c r="I2179" i="56" s="1"/>
  <c r="G2180" i="56"/>
  <c r="I2180" i="56" s="1"/>
  <c r="G2181" i="56"/>
  <c r="G2182" i="56"/>
  <c r="G2183" i="56"/>
  <c r="G2184" i="56"/>
  <c r="G2185" i="56"/>
  <c r="G2186" i="56"/>
  <c r="G2187" i="56"/>
  <c r="G2188" i="56"/>
  <c r="G2189" i="56"/>
  <c r="I2189" i="56" s="1"/>
  <c r="G2190" i="56"/>
  <c r="I2190" i="56" s="1"/>
  <c r="G2191" i="56"/>
  <c r="I2191" i="56" s="1"/>
  <c r="G2192" i="56"/>
  <c r="I2192" i="56" s="1"/>
  <c r="G2193" i="56"/>
  <c r="G2194" i="56"/>
  <c r="G2195" i="56"/>
  <c r="G2196" i="56"/>
  <c r="G2197" i="56"/>
  <c r="G2198" i="56"/>
  <c r="G2199" i="56"/>
  <c r="G2200" i="56"/>
  <c r="G2201" i="56"/>
  <c r="I2201" i="56" s="1"/>
  <c r="G2202" i="56"/>
  <c r="I2202" i="56" s="1"/>
  <c r="G2203" i="56"/>
  <c r="G2204" i="56"/>
  <c r="I2204" i="56" s="1"/>
  <c r="G2205" i="56"/>
  <c r="G2206" i="56"/>
  <c r="G2207" i="56"/>
  <c r="G2208" i="56"/>
  <c r="G2209" i="56"/>
  <c r="G2210" i="56"/>
  <c r="G2211" i="56"/>
  <c r="G2212" i="56"/>
  <c r="G2213" i="56"/>
  <c r="I2213" i="56" s="1"/>
  <c r="G2214" i="56"/>
  <c r="G2215" i="56"/>
  <c r="I2215" i="56" s="1"/>
  <c r="G2216" i="56"/>
  <c r="I2216" i="56" s="1"/>
  <c r="G2217" i="56"/>
  <c r="G2218" i="56"/>
  <c r="G2219" i="56"/>
  <c r="G2220" i="56"/>
  <c r="G2221" i="56"/>
  <c r="G2222" i="56"/>
  <c r="G2223" i="56"/>
  <c r="G2224" i="56"/>
  <c r="G2225" i="56"/>
  <c r="I2225" i="56" s="1"/>
  <c r="G2226" i="56"/>
  <c r="G2227" i="56"/>
  <c r="I2227" i="56" s="1"/>
  <c r="G2228" i="56"/>
  <c r="I2228" i="56" s="1"/>
  <c r="G2229" i="56"/>
  <c r="G2230" i="56"/>
  <c r="G2231" i="56"/>
  <c r="G2232" i="56"/>
  <c r="G2233" i="56"/>
  <c r="G2234" i="56"/>
  <c r="G2235" i="56"/>
  <c r="G2236" i="56"/>
  <c r="G2237" i="56"/>
  <c r="I2237" i="56" s="1"/>
  <c r="G2238" i="56"/>
  <c r="I2238" i="56" s="1"/>
  <c r="G2239" i="56"/>
  <c r="I2239" i="56" s="1"/>
  <c r="G2240" i="56"/>
  <c r="I2240" i="56" s="1"/>
  <c r="G2241" i="56"/>
  <c r="G2242" i="56"/>
  <c r="G2243" i="56"/>
  <c r="G2244" i="56"/>
  <c r="G2245" i="56"/>
  <c r="G2246" i="56"/>
  <c r="G2247" i="56"/>
  <c r="G2248" i="56"/>
  <c r="G2249" i="56"/>
  <c r="I2249" i="56" s="1"/>
  <c r="G2250" i="56"/>
  <c r="I2250" i="56" s="1"/>
  <c r="G2251" i="56"/>
  <c r="G2252" i="56"/>
  <c r="I2252" i="56" s="1"/>
  <c r="G2253" i="56"/>
  <c r="G2254" i="56"/>
  <c r="G2255" i="56"/>
  <c r="G2256" i="56"/>
  <c r="G2257" i="56"/>
  <c r="G2258" i="56"/>
  <c r="G2259" i="56"/>
  <c r="G2260" i="56"/>
  <c r="G2261" i="56"/>
  <c r="I2261" i="56" s="1"/>
  <c r="G2262" i="56"/>
  <c r="G2263" i="56"/>
  <c r="I2263" i="56" s="1"/>
  <c r="G2264" i="56"/>
  <c r="I2264" i="56" s="1"/>
  <c r="G2265" i="56"/>
  <c r="G2266" i="56"/>
  <c r="G2267" i="56"/>
  <c r="G2268" i="56"/>
  <c r="G2269" i="56"/>
  <c r="G2270" i="56"/>
  <c r="G2271" i="56"/>
  <c r="G2272" i="56"/>
  <c r="G2273" i="56"/>
  <c r="I2273" i="56" s="1"/>
  <c r="G2274" i="56"/>
  <c r="I2274" i="56" s="1"/>
  <c r="G2275" i="56"/>
  <c r="I2275" i="56" s="1"/>
  <c r="G2276" i="56"/>
  <c r="I2276" i="56" s="1"/>
  <c r="G2277" i="56"/>
  <c r="G2278" i="56"/>
  <c r="G2279" i="56"/>
  <c r="G2280" i="56"/>
  <c r="G2281" i="56"/>
  <c r="G2282" i="56"/>
  <c r="G2283" i="56"/>
  <c r="G2284" i="56"/>
  <c r="G2285" i="56"/>
  <c r="I2285" i="56" s="1"/>
  <c r="G2286" i="56"/>
  <c r="I2286" i="56" s="1"/>
  <c r="G2287" i="56"/>
  <c r="I2287" i="56" s="1"/>
  <c r="G2288" i="56"/>
  <c r="I2288" i="56" s="1"/>
  <c r="G2289" i="56"/>
  <c r="G2290" i="56"/>
  <c r="G2291" i="56"/>
  <c r="G2292" i="56"/>
  <c r="G2293" i="56"/>
  <c r="G2294" i="56"/>
  <c r="G2295" i="56"/>
  <c r="G2296" i="56"/>
  <c r="G2297" i="56"/>
  <c r="I2297" i="56" s="1"/>
  <c r="G2298" i="56"/>
  <c r="I2298" i="56" s="1"/>
  <c r="G2299" i="56"/>
  <c r="I2299" i="56" s="1"/>
  <c r="G2300" i="56"/>
  <c r="I2300" i="56" s="1"/>
  <c r="G2301" i="56"/>
  <c r="G2302" i="56"/>
  <c r="G2303" i="56"/>
  <c r="G2304" i="56"/>
  <c r="G2305" i="56"/>
  <c r="G2306" i="56"/>
  <c r="G2307" i="56"/>
  <c r="G2308" i="56"/>
  <c r="G2309" i="56"/>
  <c r="I2309" i="56" s="1"/>
  <c r="G2310" i="56"/>
  <c r="G2311" i="56"/>
  <c r="I2311" i="56" s="1"/>
  <c r="G2312" i="56"/>
  <c r="I2312" i="56" s="1"/>
  <c r="G2313" i="56"/>
  <c r="G2314" i="56"/>
  <c r="G2315" i="56"/>
  <c r="G2316" i="56"/>
  <c r="G2317" i="56"/>
  <c r="G2318" i="56"/>
  <c r="G2319" i="56"/>
  <c r="G2320" i="56"/>
  <c r="G2321" i="56"/>
  <c r="I2321" i="56" s="1"/>
  <c r="G2322" i="56"/>
  <c r="G2323" i="56"/>
  <c r="I2323" i="56" s="1"/>
  <c r="G2324" i="56"/>
  <c r="I2324" i="56" s="1"/>
  <c r="G2325" i="56"/>
  <c r="G2326" i="56"/>
  <c r="G2327" i="56"/>
  <c r="G2328" i="56"/>
  <c r="G2329" i="56"/>
  <c r="G2330" i="56"/>
  <c r="G2331" i="56"/>
  <c r="G2332" i="56"/>
  <c r="G2333" i="56"/>
  <c r="I2333" i="56" s="1"/>
  <c r="G2334" i="56"/>
  <c r="I2334" i="56" s="1"/>
  <c r="G2335" i="56"/>
  <c r="G2336" i="56"/>
  <c r="I2336" i="56" s="1"/>
  <c r="G2337" i="56"/>
  <c r="G2338" i="56"/>
  <c r="G2339" i="56"/>
  <c r="G2340" i="56"/>
  <c r="G2341" i="56"/>
  <c r="G2342" i="56"/>
  <c r="G2343" i="56"/>
  <c r="G2344" i="56"/>
  <c r="G2345" i="56"/>
  <c r="I2345" i="56" s="1"/>
  <c r="G2346" i="56"/>
  <c r="G2347" i="56"/>
  <c r="I2347" i="56" s="1"/>
  <c r="G2348" i="56"/>
  <c r="I2348" i="56" s="1"/>
  <c r="G2349" i="56"/>
  <c r="G2350" i="56"/>
  <c r="G2351" i="56"/>
  <c r="G2352" i="56"/>
  <c r="G2353" i="56"/>
  <c r="G2354" i="56"/>
  <c r="G2355" i="56"/>
  <c r="G2356" i="56"/>
  <c r="G2357" i="56"/>
  <c r="I2357" i="56" s="1"/>
  <c r="G2358" i="56"/>
  <c r="G2359" i="56"/>
  <c r="I2359" i="56" s="1"/>
  <c r="G2360" i="56"/>
  <c r="I2360" i="56" s="1"/>
  <c r="G2361" i="56"/>
  <c r="G2362" i="56"/>
  <c r="G2363" i="56"/>
  <c r="G2364" i="56"/>
  <c r="G2365" i="56"/>
  <c r="G2366" i="56"/>
  <c r="G2367" i="56"/>
  <c r="G2368" i="56"/>
  <c r="G2369" i="56"/>
  <c r="I2369" i="56" s="1"/>
  <c r="G2370" i="56"/>
  <c r="I2370" i="56" s="1"/>
  <c r="G2371" i="56"/>
  <c r="G2372" i="56"/>
  <c r="I2372" i="56" s="1"/>
  <c r="G2373" i="56"/>
  <c r="G2374" i="56"/>
  <c r="G2375" i="56"/>
  <c r="G2376" i="56"/>
  <c r="G2377" i="56"/>
  <c r="G2378" i="56"/>
  <c r="G2379" i="56"/>
  <c r="G2380" i="56"/>
  <c r="G2381" i="56"/>
  <c r="I2381" i="56" s="1"/>
  <c r="G2382" i="56"/>
  <c r="I2382" i="56" s="1"/>
  <c r="G2383" i="56"/>
  <c r="G2384" i="56"/>
  <c r="I2384" i="56" s="1"/>
  <c r="G2385" i="56"/>
  <c r="G2386" i="56"/>
  <c r="G2387" i="56"/>
  <c r="G2388" i="56"/>
  <c r="G2389" i="56"/>
  <c r="G2390" i="56"/>
  <c r="G2391" i="56"/>
  <c r="G2392" i="56"/>
  <c r="G2393" i="56"/>
  <c r="I2393" i="56" s="1"/>
  <c r="G2394" i="56"/>
  <c r="I2394" i="56" s="1"/>
  <c r="G2395" i="56"/>
  <c r="I2395" i="56" s="1"/>
  <c r="G2396" i="56"/>
  <c r="I2396" i="56" s="1"/>
  <c r="G2397" i="56"/>
  <c r="G2398" i="56"/>
  <c r="G2399" i="56"/>
  <c r="G2400" i="56"/>
  <c r="G2401" i="56"/>
  <c r="G2402" i="56"/>
  <c r="G2403" i="56"/>
  <c r="G2404" i="56"/>
  <c r="G2405" i="56"/>
  <c r="I2405" i="56" s="1"/>
  <c r="G2406" i="56"/>
  <c r="I2406" i="56" s="1"/>
  <c r="G2407" i="56"/>
  <c r="G2408" i="56"/>
  <c r="I2408" i="56" s="1"/>
  <c r="G2409" i="56"/>
  <c r="G2410" i="56"/>
  <c r="G2411" i="56"/>
  <c r="G2412" i="56"/>
  <c r="G2413" i="56"/>
  <c r="G2414" i="56"/>
  <c r="G2415" i="56"/>
  <c r="G2416" i="56"/>
  <c r="G2417" i="56"/>
  <c r="I2417" i="56" s="1"/>
  <c r="G2418" i="56"/>
  <c r="G2419" i="56"/>
  <c r="I2419" i="56" s="1"/>
  <c r="G2420" i="56"/>
  <c r="G2421" i="56"/>
  <c r="G2422" i="56"/>
  <c r="G2423" i="56"/>
  <c r="G2424" i="56"/>
  <c r="G2425" i="56"/>
  <c r="G2426" i="56"/>
  <c r="G2427" i="56"/>
  <c r="G2428" i="56"/>
  <c r="G2429" i="56"/>
  <c r="I2429" i="56" s="1"/>
  <c r="G2430" i="56"/>
  <c r="I2430" i="56" s="1"/>
  <c r="G2431" i="56"/>
  <c r="I2431" i="56" s="1"/>
  <c r="G2432" i="56"/>
  <c r="I2432" i="56" s="1"/>
  <c r="G2433" i="56"/>
  <c r="G2434" i="56"/>
  <c r="G2435" i="56"/>
  <c r="G2436" i="56"/>
  <c r="G2437" i="56"/>
  <c r="G2438" i="56"/>
  <c r="G2439" i="56"/>
  <c r="G2440" i="56"/>
  <c r="G2441" i="56"/>
  <c r="I2441" i="56" s="1"/>
  <c r="G2442" i="56"/>
  <c r="I2442" i="56" s="1"/>
  <c r="G2443" i="56"/>
  <c r="I2443" i="56" s="1"/>
  <c r="G2444" i="56"/>
  <c r="I2444" i="56" s="1"/>
  <c r="G2445" i="56"/>
  <c r="G2446" i="56"/>
  <c r="G2447" i="56"/>
  <c r="G2448" i="56"/>
  <c r="G2449" i="56"/>
  <c r="G2450" i="56"/>
  <c r="G2451" i="56"/>
  <c r="G2452" i="56"/>
  <c r="G2453" i="56"/>
  <c r="I2453" i="56" s="1"/>
  <c r="G2454" i="56"/>
  <c r="I2454" i="56" s="1"/>
  <c r="G2455" i="56"/>
  <c r="G2456" i="56"/>
  <c r="I2456" i="56" s="1"/>
  <c r="G2457" i="56"/>
  <c r="G2458" i="56"/>
  <c r="G2459" i="56"/>
  <c r="G2460" i="56"/>
  <c r="G2461" i="56"/>
  <c r="G2462" i="56"/>
  <c r="G2463" i="56"/>
  <c r="G2464" i="56"/>
  <c r="G2465" i="56"/>
  <c r="I2465" i="56" s="1"/>
  <c r="G2466" i="56"/>
  <c r="I2466" i="56" s="1"/>
  <c r="G2467" i="56"/>
  <c r="G2468" i="56"/>
  <c r="I2468" i="56" s="1"/>
  <c r="G2469" i="56"/>
  <c r="G2470" i="56"/>
  <c r="G2471" i="56"/>
  <c r="G2472" i="56"/>
  <c r="G2473" i="56"/>
  <c r="G2474" i="56"/>
  <c r="G2475" i="56"/>
  <c r="G2476" i="56"/>
  <c r="G2477" i="56"/>
  <c r="I2477" i="56" s="1"/>
  <c r="G2478" i="56"/>
  <c r="I2478" i="56" s="1"/>
  <c r="G2479" i="56"/>
  <c r="I2479" i="56" s="1"/>
  <c r="G2480" i="56"/>
  <c r="I2480" i="56" s="1"/>
  <c r="G2481" i="56"/>
  <c r="G2482" i="56"/>
  <c r="G2483" i="56"/>
  <c r="G2484" i="56"/>
  <c r="G2485" i="56"/>
  <c r="G2486" i="56"/>
  <c r="G2487" i="56"/>
  <c r="G2488" i="56"/>
  <c r="G2489" i="56"/>
  <c r="I2489" i="56" s="1"/>
  <c r="G2490" i="56"/>
  <c r="G2491" i="56"/>
  <c r="I2491" i="56" s="1"/>
  <c r="G2492" i="56"/>
  <c r="G2493" i="56"/>
  <c r="G2494" i="56"/>
  <c r="G2495" i="56"/>
  <c r="G2496" i="56"/>
  <c r="G2497" i="56"/>
  <c r="G2498" i="56"/>
  <c r="G2499" i="56"/>
  <c r="G2500" i="56"/>
  <c r="G2501" i="56"/>
  <c r="I2501" i="56" s="1"/>
  <c r="G2502" i="56"/>
  <c r="I2502" i="56" s="1"/>
  <c r="G2503" i="56"/>
  <c r="G2504" i="56"/>
  <c r="I2504" i="56" s="1"/>
  <c r="G2505" i="56"/>
  <c r="G2506" i="56"/>
  <c r="G2507" i="56"/>
  <c r="G2508" i="56"/>
  <c r="G2509" i="56"/>
  <c r="G2510" i="56"/>
  <c r="G2511" i="56"/>
  <c r="G2512" i="56"/>
  <c r="G2513" i="56"/>
  <c r="I2513" i="56" s="1"/>
  <c r="G2514" i="56"/>
  <c r="I2514" i="56" s="1"/>
  <c r="G2515" i="56"/>
  <c r="G2516" i="56"/>
  <c r="I2516" i="56" s="1"/>
  <c r="G2517" i="56"/>
  <c r="G2518" i="56"/>
  <c r="G2519" i="56"/>
  <c r="G2520" i="56"/>
  <c r="G2521" i="56"/>
  <c r="G2522" i="56"/>
  <c r="G2523" i="56"/>
  <c r="G2524" i="56"/>
  <c r="G2525" i="56"/>
  <c r="I2525" i="56" s="1"/>
  <c r="G2526" i="56"/>
  <c r="I2526" i="56" s="1"/>
  <c r="G2527" i="56"/>
  <c r="I2527" i="56" s="1"/>
  <c r="G2528" i="56"/>
  <c r="I2528" i="56" s="1"/>
  <c r="G2529" i="56"/>
  <c r="G2530" i="56"/>
  <c r="G2531" i="56"/>
  <c r="G2532" i="56"/>
  <c r="G2533" i="56"/>
  <c r="G2534" i="56"/>
  <c r="G2535" i="56"/>
  <c r="G2536" i="56"/>
  <c r="G2537" i="56"/>
  <c r="I2537" i="56" s="1"/>
  <c r="G2538" i="56"/>
  <c r="I2538" i="56" s="1"/>
  <c r="G2539" i="56"/>
  <c r="I2539" i="56" s="1"/>
  <c r="G2540" i="56"/>
  <c r="G2541" i="56"/>
  <c r="G2542" i="56"/>
  <c r="G2543" i="56"/>
  <c r="G2544" i="56"/>
  <c r="G2545" i="56"/>
  <c r="G2546" i="56"/>
  <c r="G2547" i="56"/>
  <c r="G2548" i="56"/>
  <c r="G2549" i="56"/>
  <c r="I2549" i="56" s="1"/>
  <c r="G2550" i="56"/>
  <c r="G2551" i="56"/>
  <c r="G2552" i="56"/>
  <c r="I2552" i="56" s="1"/>
  <c r="G2553" i="56"/>
  <c r="G2554" i="56"/>
  <c r="G2555" i="56"/>
  <c r="G2556" i="56"/>
  <c r="G2557" i="56"/>
  <c r="G2558" i="56"/>
  <c r="G2559" i="56"/>
  <c r="G2560" i="56"/>
  <c r="G2561" i="56"/>
  <c r="I2561" i="56" s="1"/>
  <c r="G2562" i="56"/>
  <c r="I2562" i="56" s="1"/>
  <c r="G2563" i="56"/>
  <c r="G2564" i="56"/>
  <c r="I2564" i="56" s="1"/>
  <c r="G2565" i="56"/>
  <c r="G2566" i="56"/>
  <c r="G2567" i="56"/>
  <c r="G2568" i="56"/>
  <c r="G2569" i="56"/>
  <c r="G2570" i="56"/>
  <c r="G2571" i="56"/>
  <c r="G2572" i="56"/>
  <c r="G2573" i="56"/>
  <c r="I2573" i="56" s="1"/>
  <c r="G2574" i="56"/>
  <c r="I2574" i="56" s="1"/>
  <c r="G2575" i="56"/>
  <c r="I2575" i="56" s="1"/>
  <c r="G2576" i="56"/>
  <c r="I2576" i="56" s="1"/>
  <c r="G2577" i="56"/>
  <c r="G2578" i="56"/>
  <c r="G2579" i="56"/>
  <c r="G2580" i="56"/>
  <c r="G2581" i="56"/>
  <c r="G2582" i="56"/>
  <c r="G2583" i="56"/>
  <c r="G2584" i="56"/>
  <c r="G2585" i="56"/>
  <c r="I2585" i="56" s="1"/>
  <c r="G2586" i="56"/>
  <c r="I2586" i="56" s="1"/>
  <c r="G2587" i="56"/>
  <c r="I2587" i="56" s="1"/>
  <c r="G2588" i="56"/>
  <c r="I2588" i="56" s="1"/>
  <c r="G2589" i="56"/>
  <c r="G2590" i="56"/>
  <c r="G2591" i="56"/>
  <c r="G2592" i="56"/>
  <c r="G2593" i="56"/>
  <c r="G2594" i="56"/>
  <c r="G2595" i="56"/>
  <c r="G2596" i="56"/>
  <c r="G2597" i="56"/>
  <c r="I2597" i="56" s="1"/>
  <c r="G2598" i="56"/>
  <c r="I2598" i="56" s="1"/>
  <c r="G2599" i="56"/>
  <c r="I2599" i="56" s="1"/>
  <c r="G2600" i="56"/>
  <c r="I2600" i="56" s="1"/>
  <c r="G2601" i="56"/>
  <c r="G2602" i="56"/>
  <c r="G2603" i="56"/>
  <c r="G2604" i="56"/>
  <c r="G2605" i="56"/>
  <c r="G2606" i="56"/>
  <c r="G2607" i="56"/>
  <c r="G2608" i="56"/>
  <c r="G2609" i="56"/>
  <c r="I2609" i="56" s="1"/>
  <c r="G2610" i="56"/>
  <c r="I2610" i="56" s="1"/>
  <c r="G2611" i="56"/>
  <c r="G2612" i="56"/>
  <c r="I2612" i="56" s="1"/>
  <c r="G2613" i="56"/>
  <c r="G2614" i="56"/>
  <c r="G2615" i="56"/>
  <c r="G2616" i="56"/>
  <c r="G2617" i="56"/>
  <c r="G2618" i="56"/>
  <c r="G2619" i="56"/>
  <c r="G2620" i="56"/>
  <c r="G2621" i="56"/>
  <c r="I2621" i="56" s="1"/>
  <c r="G2622" i="56"/>
  <c r="I2622" i="56" s="1"/>
  <c r="G2623" i="56"/>
  <c r="G2624" i="56"/>
  <c r="I2624" i="56" s="1"/>
  <c r="G2625" i="56"/>
  <c r="G2626" i="56"/>
  <c r="G2627" i="56"/>
  <c r="G2628" i="56"/>
  <c r="G2629" i="56"/>
  <c r="G2630" i="56"/>
  <c r="G2631" i="56"/>
  <c r="G2632" i="56"/>
  <c r="G2633" i="56"/>
  <c r="I2633" i="56" s="1"/>
  <c r="G2634" i="56"/>
  <c r="I2634" i="56" s="1"/>
  <c r="G2635" i="56"/>
  <c r="G2636" i="56"/>
  <c r="I2636" i="56" s="1"/>
  <c r="G2637" i="56"/>
  <c r="G2638" i="56"/>
  <c r="G2639" i="56"/>
  <c r="G2640" i="56"/>
  <c r="G2641" i="56"/>
  <c r="G2642" i="56"/>
  <c r="G2643" i="56"/>
  <c r="G2644" i="56"/>
  <c r="G2645" i="56"/>
  <c r="I2645" i="56" s="1"/>
  <c r="G2646" i="56"/>
  <c r="G2647" i="56"/>
  <c r="G2648" i="56"/>
  <c r="I2648" i="56" s="1"/>
  <c r="G2649" i="56"/>
  <c r="G2650" i="56"/>
  <c r="G2651" i="56"/>
  <c r="G2652" i="56"/>
  <c r="G2653" i="56"/>
  <c r="G2654" i="56"/>
  <c r="G2655" i="56"/>
  <c r="G2656" i="56"/>
  <c r="G2657" i="56"/>
  <c r="I2657" i="56" s="1"/>
  <c r="G2658" i="56"/>
  <c r="I2658" i="56" s="1"/>
  <c r="G2659" i="56"/>
  <c r="I2659" i="56" s="1"/>
  <c r="G2660" i="56"/>
  <c r="I2660" i="56" s="1"/>
  <c r="G2661" i="56"/>
  <c r="G2662" i="56"/>
  <c r="G2663" i="56"/>
  <c r="G2664" i="56"/>
  <c r="G2665" i="56"/>
  <c r="G2666" i="56"/>
  <c r="G2667" i="56"/>
  <c r="G2668" i="56"/>
  <c r="G2669" i="56"/>
  <c r="I2669" i="56" s="1"/>
  <c r="G2670" i="56"/>
  <c r="G2671" i="56"/>
  <c r="I2671" i="56" s="1"/>
  <c r="G2672" i="56"/>
  <c r="I2672" i="56" s="1"/>
  <c r="G2673" i="56"/>
  <c r="G2674" i="56"/>
  <c r="G2675" i="56"/>
  <c r="G2676" i="56"/>
  <c r="G2677" i="56"/>
  <c r="G2678" i="56"/>
  <c r="G2679" i="56"/>
  <c r="G2680" i="56"/>
  <c r="G2681" i="56"/>
  <c r="I2681" i="56" s="1"/>
  <c r="G2682" i="56"/>
  <c r="I2682" i="56" s="1"/>
  <c r="G2683" i="56"/>
  <c r="G2684" i="56"/>
  <c r="I2684" i="56" s="1"/>
  <c r="G2685" i="56"/>
  <c r="G2686" i="56"/>
  <c r="G2687" i="56"/>
  <c r="G2688" i="56"/>
  <c r="G2689" i="56"/>
  <c r="G2690" i="56"/>
  <c r="G2691" i="56"/>
  <c r="G2692" i="56"/>
  <c r="G2693" i="56"/>
  <c r="I2693" i="56" s="1"/>
  <c r="G2694" i="56"/>
  <c r="I2694" i="56" s="1"/>
  <c r="G2695" i="56"/>
  <c r="G2696" i="56"/>
  <c r="I2696" i="56" s="1"/>
  <c r="G2697" i="56"/>
  <c r="G2698" i="56"/>
  <c r="G2699" i="56"/>
  <c r="G2700" i="56"/>
  <c r="G2701" i="56"/>
  <c r="G2702" i="56"/>
  <c r="G2703" i="56"/>
  <c r="G2704" i="56"/>
  <c r="G2705" i="56"/>
  <c r="I2705" i="56" s="1"/>
  <c r="G2706" i="56"/>
  <c r="G2707" i="56"/>
  <c r="I2707" i="56" s="1"/>
  <c r="G2708" i="56"/>
  <c r="I2708" i="56" s="1"/>
  <c r="G2709" i="56"/>
  <c r="G2710" i="56"/>
  <c r="G2711" i="56"/>
  <c r="G2712" i="56"/>
  <c r="G2713" i="56"/>
  <c r="G2714" i="56"/>
  <c r="G2715" i="56"/>
  <c r="G2716" i="56"/>
  <c r="G2717" i="56"/>
  <c r="I2717" i="56" s="1"/>
  <c r="G2718" i="56"/>
  <c r="I2718" i="56" s="1"/>
  <c r="G2719" i="56"/>
  <c r="G2720" i="56"/>
  <c r="I2720" i="56" s="1"/>
  <c r="G2721" i="56"/>
  <c r="G2722" i="56"/>
  <c r="G2723" i="56"/>
  <c r="G2724" i="56"/>
  <c r="G2725" i="56"/>
  <c r="G2726" i="56"/>
  <c r="G2727" i="56"/>
  <c r="G2728" i="56"/>
  <c r="G2729" i="56"/>
  <c r="I2729" i="56" s="1"/>
  <c r="G2730" i="56"/>
  <c r="I2730" i="56" s="1"/>
  <c r="G2731" i="56"/>
  <c r="I2731" i="56" s="1"/>
  <c r="G2732" i="56"/>
  <c r="I2732" i="56" s="1"/>
  <c r="G2733" i="56"/>
  <c r="G2734" i="56"/>
  <c r="G2735" i="56"/>
  <c r="G2736" i="56"/>
  <c r="G2737" i="56"/>
  <c r="G2738" i="56"/>
  <c r="G2739" i="56"/>
  <c r="G2740" i="56"/>
  <c r="G2741" i="56"/>
  <c r="I2741" i="56" s="1"/>
  <c r="G2742" i="56"/>
  <c r="G2743" i="56"/>
  <c r="I2743" i="56" s="1"/>
  <c r="G2744" i="56"/>
  <c r="I2744" i="56" s="1"/>
  <c r="G2745" i="56"/>
  <c r="G2746" i="56"/>
  <c r="G2747" i="56"/>
  <c r="G2748" i="56"/>
  <c r="G2749" i="56"/>
  <c r="G2750" i="56"/>
  <c r="G2751" i="56"/>
  <c r="G2752" i="56"/>
  <c r="G2753" i="56"/>
  <c r="I2753" i="56" s="1"/>
  <c r="G2754" i="56"/>
  <c r="I2754" i="56" s="1"/>
  <c r="G2755" i="56"/>
  <c r="G2756" i="56"/>
  <c r="I2756" i="56" s="1"/>
  <c r="G2757" i="56"/>
  <c r="G2758" i="56"/>
  <c r="G2759" i="56"/>
  <c r="G2760" i="56"/>
  <c r="G2761" i="56"/>
  <c r="G2762" i="56"/>
  <c r="G2763" i="56"/>
  <c r="G2764" i="56"/>
  <c r="G2765" i="56"/>
  <c r="I2765" i="56" s="1"/>
  <c r="G2766" i="56"/>
  <c r="I2766" i="56" s="1"/>
  <c r="G2767" i="56"/>
  <c r="I2767" i="56" s="1"/>
  <c r="G2768" i="56"/>
  <c r="I2768" i="56" s="1"/>
  <c r="G2769" i="56"/>
  <c r="G2770" i="56"/>
  <c r="G2771" i="56"/>
  <c r="G2772" i="56"/>
  <c r="G2773" i="56"/>
  <c r="G2774" i="56"/>
  <c r="G2775" i="56"/>
  <c r="G2776" i="56"/>
  <c r="G2777" i="56"/>
  <c r="I2777" i="56" s="1"/>
  <c r="G2778" i="56"/>
  <c r="I2778" i="56" s="1"/>
  <c r="G2779" i="56"/>
  <c r="I2779" i="56" s="1"/>
  <c r="G2780" i="56"/>
  <c r="I2780" i="56" s="1"/>
  <c r="G2781" i="56"/>
  <c r="G2782" i="56"/>
  <c r="G2783" i="56"/>
  <c r="G2784" i="56"/>
  <c r="G2785" i="56"/>
  <c r="G2786" i="56"/>
  <c r="G2787" i="56"/>
  <c r="G2788" i="56"/>
  <c r="G2789" i="56"/>
  <c r="I2789" i="56" s="1"/>
  <c r="G2790" i="56"/>
  <c r="G2791" i="56"/>
  <c r="I2791" i="56" s="1"/>
  <c r="G2792" i="56"/>
  <c r="I2792" i="56" s="1"/>
  <c r="G2793" i="56"/>
  <c r="G2794" i="56"/>
  <c r="G2795" i="56"/>
  <c r="G2796" i="56"/>
  <c r="G2797" i="56"/>
  <c r="G2798" i="56"/>
  <c r="G2799" i="56"/>
  <c r="G2800" i="56"/>
  <c r="G2801" i="56"/>
  <c r="I2801" i="56" s="1"/>
  <c r="G2802" i="56"/>
  <c r="I2802" i="56" s="1"/>
  <c r="G2803" i="56"/>
  <c r="I2803" i="56" s="1"/>
  <c r="G2804" i="56"/>
  <c r="I2804" i="56" s="1"/>
  <c r="G2805" i="56"/>
  <c r="G2806" i="56"/>
  <c r="G2807" i="56"/>
  <c r="G2808" i="56"/>
  <c r="G2809" i="56"/>
  <c r="G2810" i="56"/>
  <c r="G2811" i="56"/>
  <c r="G2812" i="56"/>
  <c r="G2813" i="56"/>
  <c r="I2813" i="56" s="1"/>
  <c r="G2814" i="56"/>
  <c r="G2815" i="56"/>
  <c r="I2815" i="56" s="1"/>
  <c r="G2816" i="56"/>
  <c r="I2816" i="56" s="1"/>
  <c r="G2817" i="56"/>
  <c r="G2818" i="56"/>
  <c r="G2819" i="56"/>
  <c r="G2820" i="56"/>
  <c r="G2821" i="56"/>
  <c r="G2822" i="56"/>
  <c r="G2823" i="56"/>
  <c r="G2824" i="56"/>
  <c r="G2825" i="56"/>
  <c r="I2825" i="56" s="1"/>
  <c r="G2826" i="56"/>
  <c r="I2826" i="56" s="1"/>
  <c r="G2827" i="56"/>
  <c r="I2827" i="56" s="1"/>
  <c r="G2828" i="56"/>
  <c r="G2829" i="56"/>
  <c r="G2830" i="56"/>
  <c r="G2831" i="56"/>
  <c r="G2832" i="56"/>
  <c r="G2833" i="56"/>
  <c r="G2834" i="56"/>
  <c r="G2835" i="56"/>
  <c r="G2836" i="56"/>
  <c r="G2837" i="56"/>
  <c r="I2837" i="56" s="1"/>
  <c r="G2838" i="56"/>
  <c r="I2838" i="56" s="1"/>
  <c r="G2839" i="56"/>
  <c r="G2840" i="56"/>
  <c r="I2840" i="56" s="1"/>
  <c r="G2841" i="56"/>
  <c r="G2842" i="56"/>
  <c r="G2843" i="56"/>
  <c r="G2844" i="56"/>
  <c r="G2845" i="56"/>
  <c r="G2846" i="56"/>
  <c r="G2847" i="56"/>
  <c r="G2848" i="56"/>
  <c r="G2849" i="56"/>
  <c r="I2849" i="56" s="1"/>
  <c r="G2850" i="56"/>
  <c r="G2851" i="56"/>
  <c r="I2851" i="56" s="1"/>
  <c r="G2852" i="56"/>
  <c r="I2852" i="56" s="1"/>
  <c r="G2853" i="56"/>
  <c r="G2854" i="56"/>
  <c r="G2855" i="56"/>
  <c r="G2856" i="56"/>
  <c r="G2857" i="56"/>
  <c r="G2858" i="56"/>
  <c r="G2859" i="56"/>
  <c r="G2860" i="56"/>
  <c r="G2861" i="56"/>
  <c r="I2861" i="56" s="1"/>
  <c r="G2862" i="56"/>
  <c r="I2862" i="56" s="1"/>
  <c r="G2863" i="56"/>
  <c r="I2863" i="56" s="1"/>
  <c r="G2864" i="56"/>
  <c r="I2864" i="56" s="1"/>
  <c r="G2865" i="56"/>
  <c r="G2866" i="56"/>
  <c r="G2867" i="56"/>
  <c r="G2868" i="56"/>
  <c r="G2869" i="56"/>
  <c r="G2870" i="56"/>
  <c r="G2871" i="56"/>
  <c r="G2872" i="56"/>
  <c r="G2873" i="56"/>
  <c r="I2873" i="56" s="1"/>
  <c r="G2874" i="56"/>
  <c r="G2875" i="56"/>
  <c r="G2876" i="56"/>
  <c r="I2876" i="56" s="1"/>
  <c r="G2877" i="56"/>
  <c r="G2878" i="56"/>
  <c r="G2879" i="56"/>
  <c r="G2880" i="56"/>
  <c r="G2881" i="56"/>
  <c r="G2882" i="56"/>
  <c r="G2883" i="56"/>
  <c r="G2884" i="56"/>
  <c r="G2885" i="56"/>
  <c r="I2885" i="56" s="1"/>
  <c r="G2886" i="56"/>
  <c r="I2886" i="56" s="1"/>
  <c r="G2887" i="56"/>
  <c r="I2887" i="56" s="1"/>
  <c r="G2888" i="56"/>
  <c r="I2888" i="56" s="1"/>
  <c r="G2889" i="56"/>
  <c r="G2890" i="56"/>
  <c r="G2891" i="56"/>
  <c r="G2892" i="56"/>
  <c r="G2893" i="56"/>
  <c r="G2894" i="56"/>
  <c r="G2895" i="56"/>
  <c r="G2896" i="56"/>
  <c r="G2897" i="56"/>
  <c r="I2897" i="56" s="1"/>
  <c r="G2898" i="56"/>
  <c r="G2899" i="56"/>
  <c r="I2899" i="56" s="1"/>
  <c r="G2900" i="56"/>
  <c r="I2900" i="56" s="1"/>
  <c r="G2901" i="56"/>
  <c r="G2902" i="56"/>
  <c r="G2903" i="56"/>
  <c r="G2904" i="56"/>
  <c r="G2905" i="56"/>
  <c r="G2906" i="56"/>
  <c r="G2907" i="56"/>
  <c r="G2908" i="56"/>
  <c r="G2909" i="56"/>
  <c r="I2909" i="56" s="1"/>
  <c r="G2910" i="56"/>
  <c r="I2910" i="56" s="1"/>
  <c r="G2911" i="56"/>
  <c r="G2912" i="56"/>
  <c r="I2912" i="56" s="1"/>
  <c r="G2913" i="56"/>
  <c r="G2914" i="56"/>
  <c r="G2915" i="56"/>
  <c r="G2916" i="56"/>
  <c r="G2917" i="56"/>
  <c r="G2918" i="56"/>
  <c r="G2919" i="56"/>
  <c r="G2920" i="56"/>
  <c r="G2921" i="56"/>
  <c r="I2921" i="56" s="1"/>
  <c r="G2922" i="56"/>
  <c r="G2923" i="56"/>
  <c r="I2923" i="56" s="1"/>
  <c r="G2924" i="56"/>
  <c r="G2925" i="56"/>
  <c r="G2926" i="56"/>
  <c r="G2927" i="56"/>
  <c r="G2928" i="56"/>
  <c r="G2929" i="56"/>
  <c r="G2930" i="56"/>
  <c r="G2931" i="56"/>
  <c r="G2932" i="56"/>
  <c r="G2933" i="56"/>
  <c r="I2933" i="56" s="1"/>
  <c r="G2934" i="56"/>
  <c r="I2934" i="56" s="1"/>
  <c r="G2935" i="56"/>
  <c r="I2935" i="56" s="1"/>
  <c r="G2936" i="56"/>
  <c r="I2936" i="56" s="1"/>
  <c r="G2937" i="56"/>
  <c r="G2938" i="56"/>
  <c r="G2939" i="56"/>
  <c r="G2940" i="56"/>
  <c r="G2941" i="56"/>
  <c r="G2942" i="56"/>
  <c r="G2943" i="56"/>
  <c r="G2944" i="56"/>
  <c r="G2945" i="56"/>
  <c r="I2945" i="56" s="1"/>
  <c r="G2946" i="56"/>
  <c r="I2946" i="56" s="1"/>
  <c r="G2947" i="56"/>
  <c r="I2947" i="56" s="1"/>
  <c r="G2948" i="56"/>
  <c r="I2948" i="56" s="1"/>
  <c r="G2949" i="56"/>
  <c r="G2950" i="56"/>
  <c r="G2951" i="56"/>
  <c r="G2952" i="56"/>
  <c r="G2953" i="56"/>
  <c r="G2954" i="56"/>
  <c r="G2955" i="56"/>
  <c r="G2956" i="56"/>
  <c r="G2957" i="56"/>
  <c r="I2957" i="56" s="1"/>
  <c r="G2958" i="56"/>
  <c r="I2958" i="56" s="1"/>
  <c r="G2959" i="56"/>
  <c r="G2960" i="56"/>
  <c r="I2960" i="56" s="1"/>
  <c r="G2961" i="56"/>
  <c r="G2962" i="56"/>
  <c r="G2963" i="56"/>
  <c r="G2964" i="56"/>
  <c r="G2965" i="56"/>
  <c r="G2966" i="56"/>
  <c r="G2967" i="56"/>
  <c r="G2968" i="56"/>
  <c r="G2969" i="56"/>
  <c r="I2969" i="56" s="1"/>
  <c r="G2970" i="56"/>
  <c r="I2970" i="56" s="1"/>
  <c r="G2971" i="56"/>
  <c r="G2972" i="56"/>
  <c r="I2972" i="56" s="1"/>
  <c r="G2973" i="56"/>
  <c r="G2974" i="56"/>
  <c r="G2975" i="56"/>
  <c r="G2976" i="56"/>
  <c r="G2977" i="56"/>
  <c r="G2978" i="56"/>
  <c r="G2979" i="56"/>
  <c r="G2980" i="56"/>
  <c r="G2981" i="56"/>
  <c r="I2981" i="56" s="1"/>
  <c r="G2982" i="56"/>
  <c r="I2982" i="56" s="1"/>
  <c r="G2983" i="56"/>
  <c r="G2984" i="56"/>
  <c r="I2984" i="56" s="1"/>
  <c r="G2985" i="56"/>
  <c r="G2986" i="56"/>
  <c r="G2987" i="56"/>
  <c r="G2988" i="56"/>
  <c r="G2989" i="56"/>
  <c r="G2990" i="56"/>
  <c r="G2991" i="56"/>
  <c r="G2992" i="56"/>
  <c r="G2993" i="56"/>
  <c r="I2993" i="56" s="1"/>
  <c r="G2994" i="56"/>
  <c r="G2995" i="56"/>
  <c r="I2995" i="56" s="1"/>
  <c r="G2996" i="56"/>
  <c r="I2996" i="56" s="1"/>
  <c r="G2997" i="56"/>
  <c r="G2998" i="56"/>
  <c r="G2999" i="56"/>
  <c r="G3000" i="56"/>
  <c r="G3001" i="56"/>
  <c r="G3002" i="56"/>
  <c r="G3003" i="56"/>
  <c r="G3004" i="56"/>
  <c r="G3005" i="56"/>
  <c r="I3005" i="56" s="1"/>
  <c r="G3006" i="56"/>
  <c r="I3006" i="56" s="1"/>
  <c r="G3007" i="56"/>
  <c r="I3007" i="56" s="1"/>
  <c r="G3008" i="56"/>
  <c r="I3008" i="56" s="1"/>
  <c r="G3009" i="56"/>
  <c r="G3010" i="56"/>
  <c r="G3011" i="56"/>
  <c r="G3012" i="56"/>
  <c r="G3013" i="56"/>
  <c r="G3014" i="56"/>
  <c r="G3015" i="56"/>
  <c r="G3016" i="56"/>
  <c r="G3017" i="56"/>
  <c r="I3017" i="56" s="1"/>
  <c r="G3018" i="56"/>
  <c r="G3019" i="56"/>
  <c r="I3019" i="56" s="1"/>
  <c r="G3020" i="56"/>
  <c r="I3020" i="56" s="1"/>
  <c r="G3021" i="56"/>
  <c r="G3022" i="56"/>
  <c r="G3023" i="56"/>
  <c r="G3024" i="56"/>
  <c r="G3025" i="56"/>
  <c r="G3026" i="56"/>
  <c r="G3027" i="56"/>
  <c r="G3028" i="56"/>
  <c r="G3029" i="56"/>
  <c r="I3029" i="56" s="1"/>
  <c r="G3030" i="56"/>
  <c r="I3030" i="56" s="1"/>
  <c r="G3031" i="56"/>
  <c r="G3032" i="56"/>
  <c r="I3032" i="56" s="1"/>
  <c r="G3033" i="56"/>
  <c r="G3034" i="56"/>
  <c r="G3035" i="56"/>
  <c r="G3036" i="56"/>
  <c r="G3037" i="56"/>
  <c r="G3038" i="56"/>
  <c r="G3039" i="56"/>
  <c r="G3040" i="56"/>
  <c r="G3041" i="56"/>
  <c r="I3041" i="56" s="1"/>
  <c r="G3042" i="56"/>
  <c r="G3043" i="56"/>
  <c r="I3043" i="56" s="1"/>
  <c r="G3044" i="56"/>
  <c r="I3044" i="56" s="1"/>
  <c r="G3045" i="56"/>
  <c r="G3046" i="56"/>
  <c r="G3047" i="56"/>
  <c r="G3048" i="56"/>
  <c r="G3049" i="56"/>
  <c r="G3050" i="56"/>
  <c r="G3051" i="56"/>
  <c r="G3052" i="56"/>
  <c r="G3053" i="56"/>
  <c r="I3053" i="56" s="1"/>
  <c r="G3054" i="56"/>
  <c r="I3054" i="56" s="1"/>
  <c r="G3055" i="56"/>
  <c r="I3055" i="56" s="1"/>
  <c r="G3056" i="56"/>
  <c r="I3056" i="56" s="1"/>
  <c r="G3057" i="56"/>
  <c r="G3058" i="56"/>
  <c r="G3059" i="56"/>
  <c r="G3060" i="56"/>
  <c r="G3061" i="56"/>
  <c r="G3062" i="56"/>
  <c r="G3063" i="56"/>
  <c r="G3064" i="56"/>
  <c r="G3065" i="56"/>
  <c r="I3065" i="56" s="1"/>
  <c r="G3066" i="56"/>
  <c r="G3067" i="56"/>
  <c r="I3067" i="56" s="1"/>
  <c r="G3068" i="56"/>
  <c r="I3068" i="56" s="1"/>
  <c r="G3069" i="56"/>
  <c r="G3070" i="56"/>
  <c r="G3071" i="56"/>
  <c r="G3072" i="56"/>
  <c r="G3073" i="56"/>
  <c r="G3074" i="56"/>
  <c r="G3075" i="56"/>
  <c r="G3076" i="56"/>
  <c r="G3077" i="56"/>
  <c r="I3077" i="56" s="1"/>
  <c r="G3078" i="56"/>
  <c r="G3079" i="56"/>
  <c r="I3079" i="56" s="1"/>
  <c r="G3080" i="56"/>
  <c r="I3080" i="56" s="1"/>
  <c r="G3081" i="56"/>
  <c r="G3082" i="56"/>
  <c r="G3083" i="56"/>
  <c r="G3084" i="56"/>
  <c r="G3085" i="56"/>
  <c r="G3086" i="56"/>
  <c r="G3087" i="56"/>
  <c r="G3088" i="56"/>
  <c r="G3089" i="56"/>
  <c r="I3089" i="56" s="1"/>
  <c r="G3090" i="56"/>
  <c r="I3090" i="56" s="1"/>
  <c r="G3091" i="56"/>
  <c r="G3092" i="56"/>
  <c r="I3092" i="56" s="1"/>
  <c r="G3093" i="56"/>
  <c r="G3094" i="56"/>
  <c r="G3095" i="56"/>
  <c r="G3096" i="56"/>
  <c r="G3097" i="56"/>
  <c r="G3098" i="56"/>
  <c r="G3099" i="56"/>
  <c r="G3100" i="56"/>
  <c r="G3101" i="56"/>
  <c r="I3101" i="56" s="1"/>
  <c r="G3102" i="56"/>
  <c r="I3102" i="56" s="1"/>
  <c r="G3103" i="56"/>
  <c r="G3104" i="56"/>
  <c r="I3104" i="56" s="1"/>
  <c r="G3105" i="56"/>
  <c r="G3106" i="56"/>
  <c r="G3107" i="56"/>
  <c r="G3108" i="56"/>
  <c r="G3109" i="56"/>
  <c r="G3110" i="56"/>
  <c r="G3111" i="56"/>
  <c r="G3112" i="56"/>
  <c r="G3113" i="56"/>
  <c r="I3113" i="56" s="1"/>
  <c r="G3114" i="56"/>
  <c r="G3115" i="56"/>
  <c r="I3115" i="56" s="1"/>
  <c r="G3116" i="56"/>
  <c r="I3116" i="56" s="1"/>
  <c r="G3117" i="56"/>
  <c r="G3118" i="56"/>
  <c r="G3119" i="56"/>
  <c r="G3120" i="56"/>
  <c r="G3121" i="56"/>
  <c r="G3122" i="56"/>
  <c r="G3123" i="56"/>
  <c r="G3124" i="56"/>
  <c r="G3125" i="56"/>
  <c r="I3125" i="56" s="1"/>
  <c r="G3126" i="56"/>
  <c r="I3126" i="56" s="1"/>
  <c r="G3127" i="56"/>
  <c r="I3127" i="56" s="1"/>
  <c r="G3128" i="56"/>
  <c r="I3128" i="56" s="1"/>
  <c r="G3129" i="56"/>
  <c r="G3130" i="56"/>
  <c r="G3131" i="56"/>
  <c r="G3132" i="56"/>
  <c r="G3133" i="56"/>
  <c r="G3134" i="56"/>
  <c r="G3135" i="56"/>
  <c r="G3136" i="56"/>
  <c r="G3137" i="56"/>
  <c r="I3137" i="56" s="1"/>
  <c r="G3138" i="56"/>
  <c r="I3138" i="56" s="1"/>
  <c r="G3139" i="56"/>
  <c r="I3139" i="56" s="1"/>
  <c r="G3140" i="56"/>
  <c r="I3140" i="56" s="1"/>
  <c r="G3141" i="56"/>
  <c r="G3142" i="56"/>
  <c r="G3143" i="56"/>
  <c r="G3144" i="56"/>
  <c r="G3145" i="56"/>
  <c r="G3146" i="56"/>
  <c r="G3147" i="56"/>
  <c r="G3148" i="56"/>
  <c r="G3149" i="56"/>
  <c r="I3149" i="56" s="1"/>
  <c r="G3150" i="56"/>
  <c r="G3151" i="56"/>
  <c r="I3151" i="56" s="1"/>
  <c r="G3152" i="56"/>
  <c r="I3152" i="56" s="1"/>
  <c r="G3153" i="56"/>
  <c r="G3154" i="56"/>
  <c r="G3155" i="56"/>
  <c r="G3156" i="56"/>
  <c r="G3157" i="56"/>
  <c r="G3158" i="56"/>
  <c r="G3159" i="56"/>
  <c r="G3160" i="56"/>
  <c r="G3161" i="56"/>
  <c r="I3161" i="56" s="1"/>
  <c r="G3162" i="56"/>
  <c r="I3162" i="56" s="1"/>
  <c r="G3163" i="56"/>
  <c r="G3164" i="56"/>
  <c r="I3164" i="56" s="1"/>
  <c r="G3165" i="56"/>
  <c r="G3166" i="56"/>
  <c r="G3167" i="56"/>
  <c r="G3168" i="56"/>
  <c r="G3169" i="56"/>
  <c r="G3170" i="56"/>
  <c r="G3171" i="56"/>
  <c r="G3172" i="56"/>
  <c r="G3173" i="56"/>
  <c r="I3173" i="56" s="1"/>
  <c r="G3174" i="56"/>
  <c r="G3175" i="56"/>
  <c r="G3176" i="56"/>
  <c r="I3176" i="56" s="1"/>
  <c r="G3177" i="56"/>
  <c r="G3178" i="56"/>
  <c r="G3179" i="56"/>
  <c r="G3180" i="56"/>
  <c r="G3181" i="56"/>
  <c r="G3182" i="56"/>
  <c r="G3183" i="56"/>
  <c r="G3184" i="56"/>
  <c r="G3185" i="56"/>
  <c r="I3185" i="56" s="1"/>
  <c r="G3186" i="56"/>
  <c r="I3186" i="56" s="1"/>
  <c r="G3187" i="56"/>
  <c r="I3187" i="56" s="1"/>
  <c r="G3188" i="56"/>
  <c r="G3189" i="56"/>
  <c r="G3190" i="56"/>
  <c r="G3191" i="56"/>
  <c r="G3192" i="56"/>
  <c r="G3193" i="56"/>
  <c r="G3194" i="56"/>
  <c r="G3195" i="56"/>
  <c r="G3196" i="56"/>
  <c r="G3197" i="56"/>
  <c r="I3197" i="56" s="1"/>
  <c r="G3198" i="56"/>
  <c r="G3199" i="56"/>
  <c r="I3199" i="56" s="1"/>
  <c r="G3200" i="56"/>
  <c r="I3200" i="56" s="1"/>
  <c r="G3201" i="56"/>
  <c r="G3202" i="56"/>
  <c r="G3203" i="56"/>
  <c r="G3204" i="56"/>
  <c r="G3205" i="56"/>
  <c r="G3206" i="56"/>
  <c r="G3207" i="56"/>
  <c r="G3208" i="56"/>
  <c r="G3209" i="56"/>
  <c r="I3209" i="56" s="1"/>
  <c r="G3210" i="56"/>
  <c r="I3210" i="56" s="1"/>
  <c r="G3211" i="56"/>
  <c r="G3212" i="56"/>
  <c r="G3213" i="56"/>
  <c r="G3214" i="56"/>
  <c r="G3215" i="56"/>
  <c r="G3216" i="56"/>
  <c r="G3217" i="56"/>
  <c r="G3218" i="56"/>
  <c r="G3219" i="56"/>
  <c r="G3220" i="56"/>
  <c r="G3221" i="56"/>
  <c r="I3221" i="56" s="1"/>
  <c r="G3222" i="56"/>
  <c r="I3222" i="56" s="1"/>
  <c r="G3223" i="56"/>
  <c r="G3224" i="56"/>
  <c r="I3224" i="56" s="1"/>
  <c r="G3225" i="56"/>
  <c r="G3226" i="56"/>
  <c r="G3227" i="56"/>
  <c r="G3228" i="56"/>
  <c r="G3229" i="56"/>
  <c r="G3230" i="56"/>
  <c r="G3231" i="56"/>
  <c r="G3232" i="56"/>
  <c r="G3233" i="56"/>
  <c r="I3233" i="56" s="1"/>
  <c r="G3234" i="56"/>
  <c r="G3235" i="56"/>
  <c r="I3235" i="56" s="1"/>
  <c r="G3236" i="56"/>
  <c r="G3237" i="56"/>
  <c r="G3238" i="56"/>
  <c r="G3239" i="56"/>
  <c r="G3240" i="56"/>
  <c r="G3241" i="56"/>
  <c r="G3242" i="56"/>
  <c r="G3243" i="56"/>
  <c r="G3244" i="56"/>
  <c r="G3245" i="56"/>
  <c r="I3245" i="56" s="1"/>
  <c r="G3246" i="56"/>
  <c r="I3246" i="56" s="1"/>
  <c r="G3247" i="56"/>
  <c r="G3248" i="56"/>
  <c r="I3248" i="56" s="1"/>
  <c r="G3249" i="56"/>
  <c r="G3250" i="56"/>
  <c r="G3251" i="56"/>
  <c r="G3252" i="56"/>
  <c r="G3253" i="56"/>
  <c r="G3254" i="56"/>
  <c r="G3255" i="56"/>
  <c r="G3256" i="56"/>
  <c r="G3257" i="56"/>
  <c r="I3257" i="56" s="1"/>
  <c r="G3258" i="56"/>
  <c r="I3258" i="56" s="1"/>
  <c r="G3259" i="56"/>
  <c r="G3260" i="56"/>
  <c r="I3260" i="56" s="1"/>
  <c r="G3261" i="56"/>
  <c r="G3262" i="56"/>
  <c r="G3263" i="56"/>
  <c r="G3264" i="56"/>
  <c r="G3265" i="56"/>
  <c r="G3266" i="56"/>
  <c r="G3267" i="56"/>
  <c r="G3268" i="56"/>
  <c r="G3269" i="56"/>
  <c r="I3269" i="56" s="1"/>
  <c r="G3270" i="56"/>
  <c r="G3271" i="56"/>
  <c r="I3271" i="56" s="1"/>
  <c r="G3272" i="56"/>
  <c r="I3272" i="56" s="1"/>
  <c r="G3273" i="56"/>
  <c r="G3274" i="56"/>
  <c r="G3275" i="56"/>
  <c r="G3276" i="56"/>
  <c r="G3277" i="56"/>
  <c r="G3278" i="56"/>
  <c r="G3279" i="56"/>
  <c r="G3280" i="56"/>
  <c r="G3281" i="56"/>
  <c r="I3281" i="56" s="1"/>
  <c r="G3282" i="56"/>
  <c r="I3282" i="56" s="1"/>
  <c r="G3283" i="56"/>
  <c r="G3284" i="56"/>
  <c r="I3284" i="56" s="1"/>
  <c r="G3285" i="56"/>
  <c r="G3286" i="56"/>
  <c r="G3287" i="56"/>
  <c r="G3288" i="56"/>
  <c r="G3289" i="56"/>
  <c r="G3290" i="56"/>
  <c r="G3291" i="56"/>
  <c r="G3292" i="56"/>
  <c r="G3293" i="56"/>
  <c r="I3293" i="56" s="1"/>
  <c r="G3294" i="56"/>
  <c r="I3294" i="56" s="1"/>
  <c r="G3295" i="56"/>
  <c r="I3295" i="56" s="1"/>
  <c r="G3296" i="56"/>
  <c r="I3296" i="56" s="1"/>
  <c r="G3297" i="56"/>
  <c r="G3298" i="56"/>
  <c r="G3299" i="56"/>
  <c r="G3300" i="56"/>
  <c r="G3301" i="56"/>
  <c r="G3302" i="56"/>
  <c r="G3303" i="56"/>
  <c r="G3304" i="56"/>
  <c r="G3305" i="56"/>
  <c r="I3305" i="56" s="1"/>
  <c r="G3306" i="56"/>
  <c r="I3306" i="56" s="1"/>
  <c r="G3307" i="56"/>
  <c r="G3308" i="56"/>
  <c r="I3308" i="56" s="1"/>
  <c r="G3309" i="56"/>
  <c r="G3310" i="56"/>
  <c r="G3311" i="56"/>
  <c r="G3312" i="56"/>
  <c r="G3313" i="56"/>
  <c r="G3314" i="56"/>
  <c r="G3315" i="56"/>
  <c r="G3316" i="56"/>
  <c r="G3317" i="56"/>
  <c r="I3317" i="56" s="1"/>
  <c r="G3318" i="56"/>
  <c r="G3319" i="56"/>
  <c r="G3320" i="56"/>
  <c r="I3320" i="56" s="1"/>
  <c r="G3321" i="56"/>
  <c r="G3322" i="56"/>
  <c r="G3323" i="56"/>
  <c r="G3324" i="56"/>
  <c r="G3325" i="56"/>
  <c r="G3326" i="56"/>
  <c r="G3327" i="56"/>
  <c r="G3328" i="56"/>
  <c r="G3329" i="56"/>
  <c r="I3329" i="56" s="1"/>
  <c r="G3330" i="56"/>
  <c r="I3330" i="56" s="1"/>
  <c r="G3331" i="56"/>
  <c r="I3331" i="56" s="1"/>
  <c r="G3332" i="56"/>
  <c r="I3332" i="56" s="1"/>
  <c r="G3333" i="56"/>
  <c r="G3334" i="56"/>
  <c r="G3335" i="56"/>
  <c r="G3336" i="56"/>
  <c r="G3337" i="56"/>
  <c r="G3338" i="56"/>
  <c r="G3339" i="56"/>
  <c r="G3340" i="56"/>
  <c r="G3341" i="56"/>
  <c r="I3341" i="56" s="1"/>
  <c r="G3342" i="56"/>
  <c r="I3342" i="56" s="1"/>
  <c r="G3343" i="56"/>
  <c r="I3343" i="56" s="1"/>
  <c r="G3344" i="56"/>
  <c r="I3344" i="56" s="1"/>
  <c r="G3345" i="56"/>
  <c r="G3346" i="56"/>
  <c r="G3347" i="56"/>
  <c r="G3348" i="56"/>
  <c r="G3349" i="56"/>
  <c r="G3350" i="56"/>
  <c r="G3351" i="56"/>
  <c r="G3352" i="56"/>
  <c r="G3353" i="56"/>
  <c r="I3353" i="56" s="1"/>
  <c r="G3354" i="56"/>
  <c r="I3354" i="56" s="1"/>
  <c r="G3355" i="56"/>
  <c r="I3355" i="56" s="1"/>
  <c r="G3356" i="56"/>
  <c r="G3357" i="56"/>
  <c r="G3358" i="56"/>
  <c r="G3359" i="56"/>
  <c r="G3360" i="56"/>
  <c r="G3361" i="56"/>
  <c r="G3362" i="56"/>
  <c r="G3363" i="56"/>
  <c r="G3364" i="56"/>
  <c r="G3365" i="56"/>
  <c r="I3365" i="56" s="1"/>
  <c r="G3366" i="56"/>
  <c r="I3366" i="56" s="1"/>
  <c r="G3367" i="56"/>
  <c r="G3368" i="56"/>
  <c r="I3368" i="56" s="1"/>
  <c r="G3369" i="56"/>
  <c r="G3370" i="56"/>
  <c r="G3371" i="56"/>
  <c r="G3372" i="56"/>
  <c r="G3373" i="56"/>
  <c r="G3374" i="56"/>
  <c r="G3375" i="56"/>
  <c r="G3376" i="56"/>
  <c r="G3377" i="56"/>
  <c r="I3377" i="56" s="1"/>
  <c r="G3378" i="56"/>
  <c r="I3378" i="56" s="1"/>
  <c r="G3379" i="56"/>
  <c r="I3379" i="56" s="1"/>
  <c r="G3380" i="56"/>
  <c r="I3380" i="56" s="1"/>
  <c r="G3381" i="56"/>
  <c r="G3382" i="56"/>
  <c r="G3383" i="56"/>
  <c r="G3384" i="56"/>
  <c r="G3385" i="56"/>
  <c r="G3386" i="56"/>
  <c r="G3387" i="56"/>
  <c r="G3388" i="56"/>
  <c r="G3389" i="56"/>
  <c r="I3389" i="56" s="1"/>
  <c r="G3390" i="56"/>
  <c r="G3391" i="56"/>
  <c r="I3391" i="56" s="1"/>
  <c r="G3392" i="56"/>
  <c r="I3392" i="56" s="1"/>
  <c r="G3393" i="56"/>
  <c r="G3394" i="56"/>
  <c r="G3395" i="56"/>
  <c r="G3396" i="56"/>
  <c r="G3397" i="56"/>
  <c r="G3398" i="56"/>
  <c r="G3399" i="56"/>
  <c r="G3400" i="56"/>
  <c r="G3401" i="56"/>
  <c r="I3401" i="56" s="1"/>
  <c r="G3402" i="56"/>
  <c r="G3403" i="56"/>
  <c r="I3403" i="56" s="1"/>
  <c r="G3404" i="56"/>
  <c r="I3404" i="56" s="1"/>
  <c r="G3405" i="56"/>
  <c r="G3406" i="56"/>
  <c r="G3407" i="56"/>
  <c r="G3408" i="56"/>
  <c r="G3409" i="56"/>
  <c r="G3410" i="56"/>
  <c r="G3411" i="56"/>
  <c r="G3412" i="56"/>
  <c r="G3413" i="56"/>
  <c r="I3413" i="56" s="1"/>
  <c r="G3414" i="56"/>
  <c r="I3414" i="56" s="1"/>
  <c r="G3415" i="56"/>
  <c r="G3416" i="56"/>
  <c r="I3416" i="56" s="1"/>
  <c r="G3417" i="56"/>
  <c r="G3418" i="56"/>
  <c r="G3419" i="56"/>
  <c r="G3420" i="56"/>
  <c r="G3421" i="56"/>
  <c r="G3422" i="56"/>
  <c r="G3423" i="56"/>
  <c r="G3424" i="56"/>
  <c r="G3425" i="56"/>
  <c r="I3425" i="56" s="1"/>
  <c r="G3426" i="56"/>
  <c r="G3427" i="56"/>
  <c r="I3427" i="56" s="1"/>
  <c r="G3428" i="56"/>
  <c r="I3428" i="56" s="1"/>
  <c r="G3429" i="56"/>
  <c r="G3430" i="56"/>
  <c r="G3431" i="56"/>
  <c r="G3432" i="56"/>
  <c r="G3433" i="56"/>
  <c r="G3434" i="56"/>
  <c r="G3435" i="56"/>
  <c r="G3436" i="56"/>
  <c r="G3437" i="56"/>
  <c r="I3437" i="56" s="1"/>
  <c r="G3438" i="56"/>
  <c r="I3438" i="56" s="1"/>
  <c r="G3439" i="56"/>
  <c r="G3440" i="56"/>
  <c r="I3440" i="56" s="1"/>
  <c r="G3441" i="56"/>
  <c r="G3442" i="56"/>
  <c r="G3443" i="56"/>
  <c r="G3444" i="56"/>
  <c r="G3445" i="56"/>
  <c r="G3446" i="56"/>
  <c r="G3447" i="56"/>
  <c r="G3448" i="56"/>
  <c r="G3449" i="56"/>
  <c r="I3449" i="56" s="1"/>
  <c r="G3450" i="56"/>
  <c r="I3450" i="56" s="1"/>
  <c r="G3451" i="56"/>
  <c r="G3452" i="56"/>
  <c r="I3452" i="56" s="1"/>
  <c r="G3453" i="56"/>
  <c r="G3454" i="56"/>
  <c r="G3455" i="56"/>
  <c r="G3456" i="56"/>
  <c r="G3457" i="56"/>
  <c r="G3458" i="56"/>
  <c r="G3459" i="56"/>
  <c r="G3460" i="56"/>
  <c r="G3461" i="56"/>
  <c r="I3461" i="56" s="1"/>
  <c r="G3462" i="56"/>
  <c r="I3462" i="56" s="1"/>
  <c r="G3463" i="56"/>
  <c r="I3463" i="56" s="1"/>
  <c r="G3464" i="56"/>
  <c r="I3464" i="56" s="1"/>
  <c r="G3465" i="56"/>
  <c r="G3466" i="56"/>
  <c r="G3467" i="56"/>
  <c r="G3468" i="56"/>
  <c r="G3469" i="56"/>
  <c r="G3470" i="56"/>
  <c r="G3471" i="56"/>
  <c r="G3472" i="56"/>
  <c r="G3473" i="56"/>
  <c r="I3473" i="56" s="1"/>
  <c r="G3474" i="56"/>
  <c r="I3474" i="56" s="1"/>
  <c r="G3475" i="56"/>
  <c r="G3476" i="56"/>
  <c r="I3476" i="56" s="1"/>
  <c r="G3477" i="56"/>
  <c r="G3478" i="56"/>
  <c r="G3479" i="56"/>
  <c r="G3480" i="56"/>
  <c r="G3481" i="56"/>
  <c r="G3482" i="56"/>
  <c r="G3483" i="56"/>
  <c r="G3484" i="56"/>
  <c r="G3485" i="56"/>
  <c r="I3485" i="56" s="1"/>
  <c r="G3486" i="56"/>
  <c r="G3487" i="56"/>
  <c r="I3487" i="56" s="1"/>
  <c r="G3488" i="56"/>
  <c r="I3488" i="56" s="1"/>
  <c r="G3489" i="56"/>
  <c r="G3490" i="56"/>
  <c r="G3491" i="56"/>
  <c r="G3492" i="56"/>
  <c r="G3493" i="56"/>
  <c r="G3494" i="56"/>
  <c r="G3495" i="56"/>
  <c r="G3496" i="56"/>
  <c r="G3497" i="56"/>
  <c r="I3497" i="56" s="1"/>
  <c r="G3498" i="56"/>
  <c r="G3499" i="56"/>
  <c r="I3499" i="56" s="1"/>
  <c r="G3500" i="56"/>
  <c r="I3500" i="56" s="1"/>
  <c r="G3501" i="56"/>
  <c r="G3502" i="56"/>
  <c r="G3503" i="56"/>
  <c r="G3504" i="56"/>
  <c r="G3505" i="56"/>
  <c r="G3506" i="56"/>
  <c r="G3507" i="56"/>
  <c r="G3508" i="56"/>
  <c r="G3509" i="56"/>
  <c r="I3509" i="56" s="1"/>
  <c r="G3510" i="56"/>
  <c r="G3511" i="56"/>
  <c r="I3511" i="56" s="1"/>
  <c r="G3512" i="56"/>
  <c r="I3512" i="56" s="1"/>
  <c r="G3513" i="56"/>
  <c r="G3514" i="56"/>
  <c r="G3515" i="56"/>
  <c r="G3516" i="56"/>
  <c r="G3517" i="56"/>
  <c r="G3518" i="56"/>
  <c r="G3519" i="56"/>
  <c r="G3520" i="56"/>
  <c r="G3521" i="56"/>
  <c r="I3521" i="56" s="1"/>
  <c r="G3522" i="56"/>
  <c r="G3523" i="56"/>
  <c r="I3523" i="56" s="1"/>
  <c r="G3524" i="56"/>
  <c r="I3524" i="56" s="1"/>
  <c r="G3525" i="56"/>
  <c r="G3526" i="56"/>
  <c r="G3527" i="56"/>
  <c r="G3528" i="56"/>
  <c r="G3529" i="56"/>
  <c r="G3530" i="56"/>
  <c r="G3531" i="56"/>
  <c r="G3532" i="56"/>
  <c r="G3533" i="56"/>
  <c r="I3533" i="56" s="1"/>
  <c r="G3534" i="56"/>
  <c r="I3534" i="56" s="1"/>
  <c r="G3535" i="56"/>
  <c r="G3536" i="56"/>
  <c r="I3536" i="56" s="1"/>
  <c r="G3537" i="56"/>
  <c r="G3538" i="56"/>
  <c r="G3539" i="56"/>
  <c r="G3540" i="56"/>
  <c r="G3541" i="56"/>
  <c r="G3542" i="56"/>
  <c r="G3543" i="56"/>
  <c r="G3544" i="56"/>
  <c r="G3545" i="56"/>
  <c r="I3545" i="56" s="1"/>
  <c r="G3546" i="56"/>
  <c r="G3547" i="56"/>
  <c r="G3548" i="56"/>
  <c r="I3548" i="56" s="1"/>
  <c r="G3549" i="56"/>
  <c r="G3550" i="56"/>
  <c r="G3551" i="56"/>
  <c r="G3552" i="56"/>
  <c r="G3553" i="56"/>
  <c r="G3554" i="56"/>
  <c r="G3555" i="56"/>
  <c r="G3556" i="56"/>
  <c r="G3557" i="56"/>
  <c r="I3557" i="56" s="1"/>
  <c r="G3558" i="56"/>
  <c r="G3559" i="56"/>
  <c r="I3559" i="56" s="1"/>
  <c r="G3560" i="56"/>
  <c r="I3560" i="56" s="1"/>
  <c r="G3561" i="56"/>
  <c r="G3562" i="56"/>
  <c r="G3563" i="56"/>
  <c r="G3564" i="56"/>
  <c r="G3565" i="56"/>
  <c r="G3566" i="56"/>
  <c r="G3567" i="56"/>
  <c r="G3568" i="56"/>
  <c r="G3569" i="56"/>
  <c r="I3569" i="56" s="1"/>
  <c r="G3570" i="56"/>
  <c r="I3570" i="56" s="1"/>
  <c r="G3571" i="56"/>
  <c r="G3572" i="56"/>
  <c r="I3572" i="56" s="1"/>
  <c r="G3573" i="56"/>
  <c r="G3574" i="56"/>
  <c r="G3575" i="56"/>
  <c r="G3576" i="56"/>
  <c r="G3577" i="56"/>
  <c r="G3578" i="56"/>
  <c r="G3579" i="56"/>
  <c r="G3580" i="56"/>
  <c r="G3581" i="56"/>
  <c r="I3581" i="56" s="1"/>
  <c r="G3582" i="56"/>
  <c r="I3582" i="56" s="1"/>
  <c r="G3583" i="56"/>
  <c r="I3583" i="56" s="1"/>
  <c r="G3584" i="56"/>
  <c r="I3584" i="56" s="1"/>
  <c r="G3585" i="56"/>
  <c r="G3586" i="56"/>
  <c r="G3587" i="56"/>
  <c r="G3588" i="56"/>
  <c r="G3589" i="56"/>
  <c r="G3590" i="56"/>
  <c r="G3591" i="56"/>
  <c r="G3592" i="56"/>
  <c r="G3593" i="56"/>
  <c r="I3593" i="56" s="1"/>
  <c r="G3594" i="56"/>
  <c r="I3594" i="56" s="1"/>
  <c r="G3595" i="56"/>
  <c r="G3596" i="56"/>
  <c r="I3596" i="56" s="1"/>
  <c r="G3597" i="56"/>
  <c r="G3598" i="56"/>
  <c r="G3599" i="56"/>
  <c r="G3600" i="56"/>
  <c r="G3601" i="56"/>
  <c r="G3602" i="56"/>
  <c r="G3603" i="56"/>
  <c r="G3604" i="56"/>
  <c r="G3605" i="56"/>
  <c r="I3605" i="56" s="1"/>
  <c r="G3606" i="56"/>
  <c r="I3606" i="56" s="1"/>
  <c r="G3607" i="56"/>
  <c r="I3607" i="56" s="1"/>
  <c r="G3608" i="56"/>
  <c r="G3609" i="56"/>
  <c r="G3610" i="56"/>
  <c r="G3611" i="56"/>
  <c r="G3612" i="56"/>
  <c r="G3613" i="56"/>
  <c r="G3614" i="56"/>
  <c r="G3615" i="56"/>
  <c r="G3616" i="56"/>
  <c r="G3617" i="56"/>
  <c r="I3617" i="56" s="1"/>
  <c r="G3618" i="56"/>
  <c r="G3619" i="56"/>
  <c r="I3619" i="56" s="1"/>
  <c r="G3620" i="56"/>
  <c r="I3620" i="56" s="1"/>
  <c r="G3621" i="56"/>
  <c r="G3622" i="56"/>
  <c r="G3623" i="56"/>
  <c r="G3624" i="56"/>
  <c r="G3625" i="56"/>
  <c r="G3626" i="56"/>
  <c r="G3627" i="56"/>
  <c r="G3628" i="56"/>
  <c r="G3629" i="56"/>
  <c r="I3629" i="56" s="1"/>
  <c r="G3630" i="56"/>
  <c r="I3630" i="56" s="1"/>
  <c r="G3631" i="56"/>
  <c r="G3632" i="56"/>
  <c r="I3632" i="56" s="1"/>
  <c r="G3633" i="56"/>
  <c r="G3634" i="56"/>
  <c r="G3635" i="56"/>
  <c r="G3636" i="56"/>
  <c r="G3637" i="56"/>
  <c r="G3638" i="56"/>
  <c r="G3639" i="56"/>
  <c r="G3640" i="56"/>
  <c r="G3641" i="56"/>
  <c r="I3641" i="56" s="1"/>
  <c r="G3642" i="56"/>
  <c r="G3643" i="56"/>
  <c r="I3643" i="56" s="1"/>
  <c r="G3644" i="56"/>
  <c r="I3644" i="56" s="1"/>
  <c r="G3645" i="56"/>
  <c r="G3646" i="56"/>
  <c r="G3647" i="56"/>
  <c r="G3648" i="56"/>
  <c r="G3649" i="56"/>
  <c r="G3650" i="56"/>
  <c r="G3651" i="56"/>
  <c r="G3652" i="56"/>
  <c r="G3653" i="56"/>
  <c r="I3653" i="56" s="1"/>
  <c r="G3654" i="56"/>
  <c r="G3655" i="56"/>
  <c r="I3655" i="56" s="1"/>
  <c r="G3656" i="56"/>
  <c r="I3656" i="56" s="1"/>
  <c r="G3657" i="56"/>
  <c r="G3658" i="56"/>
  <c r="G3659" i="56"/>
  <c r="G3660" i="56"/>
  <c r="G3661" i="56"/>
  <c r="G3662" i="56"/>
  <c r="G3663" i="56"/>
  <c r="G3664" i="56"/>
  <c r="G3665" i="56"/>
  <c r="I3665" i="56" s="1"/>
  <c r="G3666" i="56"/>
  <c r="I3666" i="56" s="1"/>
  <c r="G3667" i="56"/>
  <c r="G3668" i="56"/>
  <c r="I3668" i="56" s="1"/>
  <c r="G3669" i="56"/>
  <c r="G3670" i="56"/>
  <c r="G3671" i="56"/>
  <c r="G3672" i="56"/>
  <c r="G3673" i="56"/>
  <c r="G3674" i="56"/>
  <c r="G3675" i="56"/>
  <c r="G3676" i="56"/>
  <c r="G3677" i="56"/>
  <c r="I3677" i="56" s="1"/>
  <c r="G3678" i="56"/>
  <c r="G3679" i="56"/>
  <c r="I3679" i="56" s="1"/>
  <c r="G3680" i="56"/>
  <c r="I3680" i="56" s="1"/>
  <c r="G3681" i="56"/>
  <c r="G3682" i="56"/>
  <c r="G3683" i="56"/>
  <c r="G3684" i="56"/>
  <c r="G3685" i="56"/>
  <c r="G3686" i="56"/>
  <c r="G3687" i="56"/>
  <c r="G3688" i="56"/>
  <c r="G3689" i="56"/>
  <c r="I3689" i="56" s="1"/>
  <c r="G3690" i="56"/>
  <c r="G3691" i="56"/>
  <c r="I3691" i="56" s="1"/>
  <c r="G3692" i="56"/>
  <c r="I3692" i="56" s="1"/>
  <c r="G3693" i="56"/>
  <c r="G3694" i="56"/>
  <c r="G3695" i="56"/>
  <c r="G3696" i="56"/>
  <c r="G3697" i="56"/>
  <c r="G3698" i="56"/>
  <c r="G3699" i="56"/>
  <c r="G3700" i="56"/>
  <c r="G3701" i="56"/>
  <c r="I3701" i="56" s="1"/>
  <c r="G3702" i="56"/>
  <c r="I3702" i="56" s="1"/>
  <c r="G3703" i="56"/>
  <c r="G3704" i="56"/>
  <c r="I3704" i="56" s="1"/>
  <c r="G3705" i="56"/>
  <c r="G3706" i="56"/>
  <c r="G3707" i="56"/>
  <c r="G3708" i="56"/>
  <c r="G3709" i="56"/>
  <c r="G3710" i="56"/>
  <c r="G3711" i="56"/>
  <c r="G3712" i="56"/>
  <c r="G3713" i="56"/>
  <c r="I3713" i="56" s="1"/>
  <c r="G3714" i="56"/>
  <c r="G3715" i="56"/>
  <c r="I3715" i="56" s="1"/>
  <c r="G3716" i="56"/>
  <c r="G3717" i="56"/>
  <c r="G3718" i="56"/>
  <c r="G3719" i="56"/>
  <c r="G3720" i="56"/>
  <c r="G3721" i="56"/>
  <c r="G3722" i="56"/>
  <c r="G3723" i="56"/>
  <c r="G3724" i="56"/>
  <c r="G3725" i="56"/>
  <c r="I3725" i="56" s="1"/>
  <c r="G3726" i="56"/>
  <c r="I3726" i="56" s="1"/>
  <c r="G3727" i="56"/>
  <c r="G3728" i="56"/>
  <c r="I3728" i="56" s="1"/>
  <c r="G3729" i="56"/>
  <c r="G3730" i="56"/>
  <c r="G3731" i="56"/>
  <c r="G3732" i="56"/>
  <c r="G3733" i="56"/>
  <c r="G3734" i="56"/>
  <c r="G3735" i="56"/>
  <c r="G3736" i="56"/>
  <c r="G3737" i="56"/>
  <c r="I3737" i="56" s="1"/>
  <c r="G3738" i="56"/>
  <c r="G3739" i="56"/>
  <c r="I3739" i="56" s="1"/>
  <c r="G3740" i="56"/>
  <c r="I3740" i="56" s="1"/>
  <c r="G3741" i="56"/>
  <c r="G3742" i="56"/>
  <c r="G3743" i="56"/>
  <c r="G3744" i="56"/>
  <c r="G3745" i="56"/>
  <c r="G3746" i="56"/>
  <c r="G3747" i="56"/>
  <c r="G3748" i="56"/>
  <c r="G3749" i="56"/>
  <c r="I3749" i="56" s="1"/>
  <c r="G3750" i="56"/>
  <c r="I3750" i="56" s="1"/>
  <c r="G3751" i="56"/>
  <c r="G3752" i="56"/>
  <c r="I3752" i="56" s="1"/>
  <c r="G3753" i="56"/>
  <c r="G3754" i="56"/>
  <c r="G3755" i="56"/>
  <c r="G3756" i="56"/>
  <c r="G3757" i="56"/>
  <c r="G3758" i="56"/>
  <c r="G3759" i="56"/>
  <c r="G3760" i="56"/>
  <c r="G3761" i="56"/>
  <c r="I3761" i="56" s="1"/>
  <c r="G3762" i="56"/>
  <c r="I3762" i="56" s="1"/>
  <c r="G3763" i="56"/>
  <c r="I3763" i="56" s="1"/>
  <c r="G3764" i="56"/>
  <c r="I3764" i="56" s="1"/>
  <c r="G3765" i="56"/>
  <c r="G3766" i="56"/>
  <c r="G3767" i="56"/>
  <c r="G3768" i="56"/>
  <c r="G3769" i="56"/>
  <c r="G3770" i="56"/>
  <c r="G3771" i="56"/>
  <c r="G3772" i="56"/>
  <c r="G3773" i="56"/>
  <c r="I3773" i="56" s="1"/>
  <c r="G3774" i="56"/>
  <c r="G3775" i="56"/>
  <c r="I3775" i="56" s="1"/>
  <c r="G3776" i="56"/>
  <c r="I3776" i="56" s="1"/>
  <c r="G3777" i="56"/>
  <c r="G3778" i="56"/>
  <c r="G3779" i="56"/>
  <c r="G3780" i="56"/>
  <c r="G3781" i="56"/>
  <c r="G3782" i="56"/>
  <c r="G3783" i="56"/>
  <c r="G3784" i="56"/>
  <c r="G3785" i="56"/>
  <c r="I3785" i="56" s="1"/>
  <c r="G3786" i="56"/>
  <c r="G3787" i="56"/>
  <c r="I3787" i="56" s="1"/>
  <c r="G3788" i="56"/>
  <c r="I3788" i="56" s="1"/>
  <c r="G3789" i="56"/>
  <c r="G3790" i="56"/>
  <c r="G3791" i="56"/>
  <c r="G3792" i="56"/>
  <c r="G3793" i="56"/>
  <c r="G3794" i="56"/>
  <c r="G3795" i="56"/>
  <c r="G3796" i="56"/>
  <c r="G3797" i="56"/>
  <c r="I3797" i="56" s="1"/>
  <c r="G3798" i="56"/>
  <c r="G3799" i="56"/>
  <c r="I3799" i="56" s="1"/>
  <c r="G3800" i="56"/>
  <c r="I3800" i="56" s="1"/>
  <c r="G3801" i="56"/>
  <c r="G3802" i="56"/>
  <c r="G3803" i="56"/>
  <c r="G3804" i="56"/>
  <c r="G3805" i="56"/>
  <c r="G3806" i="56"/>
  <c r="G3807" i="56"/>
  <c r="G3808" i="56"/>
  <c r="G3809" i="56"/>
  <c r="I3809" i="56" s="1"/>
  <c r="G3810" i="56"/>
  <c r="I3810" i="56" s="1"/>
  <c r="G3811" i="56"/>
  <c r="G3812" i="56"/>
  <c r="I3812" i="56" s="1"/>
  <c r="G3813" i="56"/>
  <c r="G3814" i="56"/>
  <c r="G3815" i="56"/>
  <c r="G3816" i="56"/>
  <c r="G3817" i="56"/>
  <c r="G3818" i="56"/>
  <c r="G3819" i="56"/>
  <c r="G3820" i="56"/>
  <c r="G3821" i="56"/>
  <c r="I3821" i="56" s="1"/>
  <c r="G3822" i="56"/>
  <c r="G3823" i="56"/>
  <c r="G3824" i="56"/>
  <c r="I3824" i="56" s="1"/>
  <c r="G3825" i="56"/>
  <c r="G3826" i="56"/>
  <c r="G3827" i="56"/>
  <c r="G3828" i="56"/>
  <c r="G3829" i="56"/>
  <c r="G3830" i="56"/>
  <c r="G3831" i="56"/>
  <c r="G3832" i="56"/>
  <c r="G3833" i="56"/>
  <c r="I3833" i="56" s="1"/>
  <c r="G3834" i="56"/>
  <c r="I3834" i="56" s="1"/>
  <c r="G3835" i="56"/>
  <c r="G3836" i="56"/>
  <c r="I3836" i="56" s="1"/>
  <c r="G3837" i="56"/>
  <c r="G3838" i="56"/>
  <c r="G3839" i="56"/>
  <c r="G3840" i="56"/>
  <c r="G3841" i="56"/>
  <c r="G3842" i="56"/>
  <c r="G3843" i="56"/>
  <c r="G3844" i="56"/>
  <c r="G3845" i="56"/>
  <c r="I3845" i="56" s="1"/>
  <c r="G3846" i="56"/>
  <c r="I3846" i="56" s="1"/>
  <c r="G3847" i="56"/>
  <c r="G3848" i="56"/>
  <c r="I3848" i="56" s="1"/>
  <c r="G3849" i="56"/>
  <c r="G3850" i="56"/>
  <c r="G3851" i="56"/>
  <c r="G3852" i="56"/>
  <c r="G3853" i="56"/>
  <c r="G3854" i="56"/>
  <c r="G3855" i="56"/>
  <c r="G3856" i="56"/>
  <c r="G3857" i="56"/>
  <c r="I3857" i="56" s="1"/>
  <c r="G3858" i="56"/>
  <c r="G3859" i="56"/>
  <c r="I3859" i="56" s="1"/>
  <c r="G3860" i="56"/>
  <c r="I3860" i="56" s="1"/>
  <c r="G3861" i="56"/>
  <c r="G3862" i="56"/>
  <c r="G3863" i="56"/>
  <c r="G3864" i="56"/>
  <c r="G3865" i="56"/>
  <c r="G3866" i="56"/>
  <c r="G3867" i="56"/>
  <c r="G3868" i="56"/>
  <c r="G3869" i="56"/>
  <c r="I3869" i="56" s="1"/>
  <c r="G3870" i="56"/>
  <c r="I3870" i="56" s="1"/>
  <c r="G3871" i="56"/>
  <c r="G3872" i="56"/>
  <c r="I3872" i="56" s="1"/>
  <c r="G3873" i="56"/>
  <c r="G3874" i="56"/>
  <c r="G3875" i="56"/>
  <c r="G3876" i="56"/>
  <c r="G3877" i="56"/>
  <c r="G3878" i="56"/>
  <c r="G3879" i="56"/>
  <c r="G3880" i="56"/>
  <c r="G3881" i="56"/>
  <c r="I3881" i="56" s="1"/>
  <c r="G3882" i="56"/>
  <c r="G3883" i="56"/>
  <c r="I3883" i="56" s="1"/>
  <c r="G3884" i="56"/>
  <c r="I3884" i="56" s="1"/>
  <c r="G3885" i="56"/>
  <c r="G3886" i="56"/>
  <c r="G3887" i="56"/>
  <c r="G3888" i="56"/>
  <c r="G3889" i="56"/>
  <c r="G3890" i="56"/>
  <c r="G3891" i="56"/>
  <c r="G3892" i="56"/>
  <c r="G3893" i="56"/>
  <c r="I3893" i="56" s="1"/>
  <c r="G3894" i="56"/>
  <c r="I3894" i="56" s="1"/>
  <c r="G3895" i="56"/>
  <c r="G3896" i="56"/>
  <c r="I3896" i="56" s="1"/>
  <c r="G3897" i="56"/>
  <c r="G3898" i="56"/>
  <c r="G3899" i="56"/>
  <c r="G3900" i="56"/>
  <c r="G3901" i="56"/>
  <c r="G3902" i="56"/>
  <c r="G3903" i="56"/>
  <c r="G3904" i="56"/>
  <c r="G3905" i="56"/>
  <c r="I3905" i="56" s="1"/>
  <c r="G3906" i="56"/>
  <c r="G3907" i="56"/>
  <c r="I3907" i="56" s="1"/>
  <c r="G3908" i="56"/>
  <c r="I3908" i="56" s="1"/>
  <c r="G3909" i="56"/>
  <c r="G3910" i="56"/>
  <c r="G3911" i="56"/>
  <c r="G3912" i="56"/>
  <c r="G3913" i="56"/>
  <c r="G3914" i="56"/>
  <c r="G3915" i="56"/>
  <c r="G3916" i="56"/>
  <c r="G3917" i="56"/>
  <c r="I3917" i="56" s="1"/>
  <c r="G3918" i="56"/>
  <c r="I3918" i="56" s="1"/>
  <c r="G3919" i="56"/>
  <c r="G3920" i="56"/>
  <c r="I3920" i="56" s="1"/>
  <c r="G3921" i="56"/>
  <c r="G3922" i="56"/>
  <c r="G3923" i="56"/>
  <c r="G3924" i="56"/>
  <c r="G3925" i="56"/>
  <c r="G3926" i="56"/>
  <c r="G3927" i="56"/>
  <c r="G3928" i="56"/>
  <c r="G3929" i="56"/>
  <c r="I3929" i="56" s="1"/>
  <c r="G3930" i="56"/>
  <c r="G3931" i="56"/>
  <c r="I3931" i="56" s="1"/>
  <c r="G3932" i="56"/>
  <c r="G3933" i="56"/>
  <c r="G3934" i="56"/>
  <c r="G3935" i="56"/>
  <c r="G3936" i="56"/>
  <c r="G3937" i="56"/>
  <c r="G3938" i="56"/>
  <c r="G3939" i="56"/>
  <c r="G3940" i="56"/>
  <c r="G3941" i="56"/>
  <c r="I3941" i="56" s="1"/>
  <c r="G3942" i="56"/>
  <c r="I3942" i="56" s="1"/>
  <c r="G3943" i="56"/>
  <c r="G3944" i="56"/>
  <c r="I3944" i="56" s="1"/>
  <c r="G3945" i="56"/>
  <c r="G3946" i="56"/>
  <c r="G3947" i="56"/>
  <c r="G3948" i="56"/>
  <c r="G3949" i="56"/>
  <c r="G3950" i="56"/>
  <c r="G3951" i="56"/>
  <c r="G3952" i="56"/>
  <c r="G3953" i="56"/>
  <c r="I3953" i="56" s="1"/>
  <c r="G3954" i="56"/>
  <c r="I3954" i="56" s="1"/>
  <c r="G3955" i="56"/>
  <c r="G3956" i="56"/>
  <c r="I3956" i="56" s="1"/>
  <c r="G3957" i="56"/>
  <c r="G3958" i="56"/>
  <c r="G3959" i="56"/>
  <c r="G3960" i="56"/>
  <c r="G3961" i="56"/>
  <c r="G3962" i="56"/>
  <c r="G3963" i="56"/>
  <c r="G3964" i="56"/>
  <c r="G3965" i="56"/>
  <c r="I3965" i="56" s="1"/>
  <c r="G3966" i="56"/>
  <c r="I3966" i="56" s="1"/>
  <c r="G3967" i="56"/>
  <c r="I3967" i="56" s="1"/>
  <c r="G3968" i="56"/>
  <c r="I3968" i="56" s="1"/>
  <c r="G3969" i="56"/>
  <c r="G3970" i="56"/>
  <c r="G3971" i="56"/>
  <c r="G3972" i="56"/>
  <c r="G3973" i="56"/>
  <c r="G3974" i="56"/>
  <c r="G3975" i="56"/>
  <c r="G3976" i="56"/>
  <c r="G3977" i="56"/>
  <c r="I3977" i="56" s="1"/>
  <c r="G3978" i="56"/>
  <c r="I3978" i="56" s="1"/>
  <c r="G3979" i="56"/>
  <c r="G3980" i="56"/>
  <c r="I3980" i="56" s="1"/>
  <c r="G3981" i="56"/>
  <c r="G3982" i="56"/>
  <c r="G3983" i="56"/>
  <c r="G3984" i="56"/>
  <c r="G3985" i="56"/>
  <c r="G3986" i="56"/>
  <c r="G3987" i="56"/>
  <c r="G3988" i="56"/>
  <c r="G3989" i="56"/>
  <c r="I3989" i="56" s="1"/>
  <c r="G3990" i="56"/>
  <c r="I3990" i="56" s="1"/>
  <c r="G3991" i="56"/>
  <c r="I3991" i="56" s="1"/>
  <c r="G3992" i="56"/>
  <c r="I3992" i="56" s="1"/>
  <c r="G3993" i="56"/>
  <c r="G3994" i="56"/>
  <c r="G3995" i="56"/>
  <c r="G3996" i="56"/>
  <c r="G3997" i="56"/>
  <c r="G3998" i="56"/>
  <c r="G3999" i="56"/>
  <c r="G4000" i="56"/>
  <c r="G4001" i="56"/>
  <c r="I4001" i="56" s="1"/>
  <c r="G4002" i="56"/>
  <c r="G4003" i="56"/>
  <c r="I4003" i="56" s="1"/>
  <c r="G4004" i="56"/>
  <c r="I4004" i="56" s="1"/>
  <c r="G4005" i="56"/>
  <c r="G4006" i="56"/>
  <c r="G4007" i="56"/>
  <c r="G4008" i="56"/>
  <c r="G4009" i="56"/>
  <c r="G4010" i="56"/>
  <c r="G4011" i="56"/>
  <c r="G4012" i="56"/>
  <c r="G4013" i="56"/>
  <c r="I4013" i="56" s="1"/>
  <c r="G4014" i="56"/>
  <c r="I4014" i="56" s="1"/>
  <c r="G4015" i="56"/>
  <c r="I4015" i="56" s="1"/>
  <c r="G4016" i="56"/>
  <c r="I4016" i="56" s="1"/>
  <c r="G4017" i="56"/>
  <c r="G4018" i="56"/>
  <c r="G4019" i="56"/>
  <c r="G4020" i="56"/>
  <c r="G4021" i="56"/>
  <c r="G4022" i="56"/>
  <c r="G4023" i="56"/>
  <c r="G4024" i="56"/>
  <c r="G4025" i="56"/>
  <c r="I4025" i="56" s="1"/>
  <c r="G4026" i="56"/>
  <c r="G4027" i="56"/>
  <c r="I4027" i="56" s="1"/>
  <c r="G4028" i="56"/>
  <c r="I4028" i="56" s="1"/>
  <c r="G4029" i="56"/>
  <c r="G4030" i="56"/>
  <c r="G4031" i="56"/>
  <c r="G4032" i="56"/>
  <c r="G4033" i="56"/>
  <c r="G4034" i="56"/>
  <c r="G4035" i="56"/>
  <c r="G4036" i="56"/>
  <c r="G4037" i="56"/>
  <c r="I4037" i="56" s="1"/>
  <c r="G4038" i="56"/>
  <c r="I4038" i="56" s="1"/>
  <c r="G4039" i="56"/>
  <c r="G4040" i="56"/>
  <c r="I4040" i="56" s="1"/>
  <c r="G4041" i="56"/>
  <c r="G4042" i="56"/>
  <c r="G4043" i="56"/>
  <c r="G4044" i="56"/>
  <c r="G4045" i="56"/>
  <c r="G4046" i="56"/>
  <c r="G4047" i="56"/>
  <c r="G4048" i="56"/>
  <c r="G4049" i="56"/>
  <c r="I4049" i="56" s="1"/>
  <c r="G4050" i="56"/>
  <c r="G4051" i="56"/>
  <c r="I4051" i="56" s="1"/>
  <c r="G4052" i="56"/>
  <c r="I4052" i="56" s="1"/>
  <c r="G4053" i="56"/>
  <c r="G4054" i="56"/>
  <c r="G4055" i="56"/>
  <c r="G4056" i="56"/>
  <c r="G4057" i="56"/>
  <c r="G4058" i="56"/>
  <c r="G4059" i="56"/>
  <c r="G4060" i="56"/>
  <c r="G4061" i="56"/>
  <c r="I4061" i="56" s="1"/>
  <c r="G4062" i="56"/>
  <c r="G4063" i="56"/>
  <c r="I4063" i="56" s="1"/>
  <c r="G4064" i="56"/>
  <c r="G4065" i="56"/>
  <c r="G4066" i="56"/>
  <c r="G4067" i="56"/>
  <c r="G4068" i="56"/>
  <c r="G4069" i="56"/>
  <c r="G4070" i="56"/>
  <c r="G4071" i="56"/>
  <c r="G4072" i="56"/>
  <c r="G4073" i="56"/>
  <c r="I4073" i="56" s="1"/>
  <c r="G4074" i="56"/>
  <c r="G4075" i="56"/>
  <c r="I4075" i="56" s="1"/>
  <c r="G4076" i="56"/>
  <c r="I4076" i="56" s="1"/>
  <c r="G4077" i="56"/>
  <c r="G4078" i="56"/>
  <c r="G4079" i="56"/>
  <c r="G4080" i="56"/>
  <c r="G4081" i="56"/>
  <c r="G4082" i="56"/>
  <c r="G4083" i="56"/>
  <c r="G4084" i="56"/>
  <c r="G4085" i="56"/>
  <c r="I4085" i="56" s="1"/>
  <c r="G4086" i="56"/>
  <c r="I4086" i="56" s="1"/>
  <c r="G4087" i="56"/>
  <c r="I4087" i="56" s="1"/>
  <c r="G4088" i="56"/>
  <c r="I4088" i="56" s="1"/>
  <c r="G4089" i="56"/>
  <c r="G4090" i="56"/>
  <c r="G4091" i="56"/>
  <c r="G4092" i="56"/>
  <c r="G4093" i="56"/>
  <c r="G4094" i="56"/>
  <c r="G4095" i="56"/>
  <c r="G4096" i="56"/>
  <c r="G4097" i="56"/>
  <c r="I4097" i="56" s="1"/>
  <c r="G4098" i="56"/>
  <c r="I4098" i="56" s="1"/>
  <c r="G4099" i="56"/>
  <c r="G4100" i="56"/>
  <c r="I4100" i="56" s="1"/>
  <c r="G4101" i="56"/>
  <c r="G4102" i="56"/>
  <c r="G4103" i="56"/>
  <c r="G4104" i="56"/>
  <c r="G4105" i="56"/>
  <c r="G4106" i="56"/>
  <c r="G4107" i="56"/>
  <c r="G4108" i="56"/>
  <c r="G4109" i="56"/>
  <c r="I4109" i="56" s="1"/>
  <c r="G4110" i="56"/>
  <c r="G4111" i="56"/>
  <c r="I4111" i="56" s="1"/>
  <c r="G4112" i="56"/>
  <c r="I4112" i="56" s="1"/>
  <c r="G4113" i="56"/>
  <c r="G4114" i="56"/>
  <c r="G4115" i="56"/>
  <c r="G4116" i="56"/>
  <c r="G4117" i="56"/>
  <c r="G4118" i="56"/>
  <c r="G4119" i="56"/>
  <c r="G4120" i="56"/>
  <c r="G4121" i="56"/>
  <c r="I4121" i="56" s="1"/>
  <c r="G4122" i="56"/>
  <c r="G4123" i="56"/>
  <c r="G4124" i="56"/>
  <c r="I4124" i="56" s="1"/>
  <c r="G4125" i="56"/>
  <c r="G4126" i="56"/>
  <c r="G4127" i="56"/>
  <c r="G4128" i="56"/>
  <c r="G4129" i="56"/>
  <c r="G4130" i="56"/>
  <c r="G4131" i="56"/>
  <c r="G4132" i="56"/>
  <c r="G4133" i="56"/>
  <c r="I4133" i="56" s="1"/>
  <c r="G4134" i="56"/>
  <c r="I4134" i="56" s="1"/>
  <c r="G4135" i="56"/>
  <c r="I4135" i="56" s="1"/>
  <c r="G4136" i="56"/>
  <c r="I4136" i="56" s="1"/>
  <c r="G4137" i="56"/>
  <c r="G4138" i="56"/>
  <c r="G4139" i="56"/>
  <c r="G4140" i="56"/>
  <c r="G4141" i="56"/>
  <c r="G4142" i="56"/>
  <c r="G4143" i="56"/>
  <c r="G4144" i="56"/>
  <c r="G4145" i="56"/>
  <c r="I4145" i="56" s="1"/>
  <c r="G4146" i="56"/>
  <c r="G4147" i="56"/>
  <c r="I4147" i="56" s="1"/>
  <c r="G4148" i="56"/>
  <c r="I4148" i="56" s="1"/>
  <c r="G4149" i="56"/>
  <c r="G4150" i="56"/>
  <c r="G4151" i="56"/>
  <c r="G4152" i="56"/>
  <c r="G4153" i="56"/>
  <c r="G4154" i="56"/>
  <c r="G4155" i="56"/>
  <c r="G4156" i="56"/>
  <c r="G4157" i="56"/>
  <c r="I4157" i="56" s="1"/>
  <c r="G4158" i="56"/>
  <c r="I4158" i="56" s="1"/>
  <c r="G4159" i="56"/>
  <c r="G4160" i="56"/>
  <c r="I4160" i="56" s="1"/>
  <c r="G4161" i="56"/>
  <c r="G4162" i="56"/>
  <c r="G4163" i="56"/>
  <c r="G4164" i="56"/>
  <c r="G4165" i="56"/>
  <c r="G4166" i="56"/>
  <c r="G4167" i="56"/>
  <c r="G4168" i="56"/>
  <c r="G4169" i="56"/>
  <c r="I4169" i="56" s="1"/>
  <c r="G4170" i="56"/>
  <c r="G4171" i="56"/>
  <c r="G4172" i="56"/>
  <c r="I4172" i="56" s="1"/>
  <c r="G4173" i="56"/>
  <c r="G4174" i="56"/>
  <c r="G4175" i="56"/>
  <c r="G4176" i="56"/>
  <c r="G4177" i="56"/>
  <c r="G4178" i="56"/>
  <c r="G4179" i="56"/>
  <c r="G4180" i="56"/>
  <c r="G4181" i="56"/>
  <c r="I4181" i="56" s="1"/>
  <c r="G4182" i="56"/>
  <c r="G4183" i="56"/>
  <c r="I4183" i="56" s="1"/>
  <c r="G4184" i="56"/>
  <c r="I4184" i="56" s="1"/>
  <c r="G4185" i="56"/>
  <c r="G4186" i="56"/>
  <c r="G4187" i="56"/>
  <c r="G4188" i="56"/>
  <c r="G4189" i="56"/>
  <c r="G4190" i="56"/>
  <c r="G4191" i="56"/>
  <c r="G4192" i="56"/>
  <c r="G4193" i="56"/>
  <c r="I4193" i="56" s="1"/>
  <c r="G4194" i="56"/>
  <c r="G4195" i="56"/>
  <c r="I4195" i="56" s="1"/>
  <c r="G4196" i="56"/>
  <c r="I4196" i="56" s="1"/>
  <c r="G4197" i="56"/>
  <c r="G4198" i="56"/>
  <c r="G4199" i="56"/>
  <c r="G4200" i="56"/>
  <c r="G4201" i="56"/>
  <c r="G4202" i="56"/>
  <c r="G4203" i="56"/>
  <c r="G4204" i="56"/>
  <c r="G4205" i="56"/>
  <c r="I4205" i="56" s="1"/>
  <c r="G4206" i="56"/>
  <c r="G4207" i="56"/>
  <c r="I4207" i="56" s="1"/>
  <c r="G4208" i="56"/>
  <c r="I4208" i="56" s="1"/>
  <c r="G4209" i="56"/>
  <c r="G4210" i="56"/>
  <c r="G4211" i="56"/>
  <c r="G4212" i="56"/>
  <c r="G4213" i="56"/>
  <c r="G4214" i="56"/>
  <c r="G4215" i="56"/>
  <c r="G4216" i="56"/>
  <c r="G4217" i="56"/>
  <c r="I4217" i="56" s="1"/>
  <c r="G4218" i="56"/>
  <c r="G4219" i="56"/>
  <c r="I4219" i="56" s="1"/>
  <c r="G4220" i="56"/>
  <c r="I4220" i="56" s="1"/>
  <c r="G4221" i="56"/>
  <c r="G4222" i="56"/>
  <c r="G4223" i="56"/>
  <c r="G4224" i="56"/>
  <c r="G4225" i="56"/>
  <c r="G4226" i="56"/>
  <c r="G4227" i="56"/>
  <c r="G4228" i="56"/>
  <c r="G4229" i="56"/>
  <c r="I4229" i="56" s="1"/>
  <c r="G4230" i="56"/>
  <c r="G4231" i="56"/>
  <c r="G4232" i="56"/>
  <c r="I4232" i="56" s="1"/>
  <c r="G4233" i="56"/>
  <c r="G4234" i="56"/>
  <c r="G4235" i="56"/>
  <c r="G4236" i="56"/>
  <c r="G4237" i="56"/>
  <c r="G4238" i="56"/>
  <c r="G4239" i="56"/>
  <c r="G4240" i="56"/>
  <c r="G4241" i="56"/>
  <c r="I4241" i="56" s="1"/>
  <c r="G4242" i="56"/>
  <c r="I4242" i="56" s="1"/>
  <c r="G4243" i="56"/>
  <c r="G4244" i="56"/>
  <c r="I4244" i="56" s="1"/>
  <c r="G4245" i="56"/>
  <c r="G4246" i="56"/>
  <c r="G4247" i="56"/>
  <c r="G4248" i="56"/>
  <c r="G4249" i="56"/>
  <c r="G4250" i="56"/>
  <c r="G4251" i="56"/>
  <c r="G4252" i="56"/>
  <c r="G4253" i="56"/>
  <c r="I4253" i="56" s="1"/>
  <c r="G4254" i="56"/>
  <c r="G4255" i="56"/>
  <c r="I4255" i="56" s="1"/>
  <c r="G4256" i="56"/>
  <c r="I4256" i="56" s="1"/>
  <c r="G4257" i="56"/>
  <c r="G4258" i="56"/>
  <c r="G4259" i="56"/>
  <c r="G4260" i="56"/>
  <c r="G4261" i="56"/>
  <c r="G4262" i="56"/>
  <c r="G4263" i="56"/>
  <c r="G4264" i="56"/>
  <c r="G4265" i="56"/>
  <c r="I4265" i="56" s="1"/>
  <c r="G4266" i="56"/>
  <c r="G4267" i="56"/>
  <c r="G4268" i="56"/>
  <c r="I4268" i="56" s="1"/>
  <c r="G4269" i="56"/>
  <c r="G4270" i="56"/>
  <c r="G4271" i="56"/>
  <c r="G4272" i="56"/>
  <c r="G4273" i="56"/>
  <c r="G4274" i="56"/>
  <c r="G4275" i="56"/>
  <c r="G4276" i="56"/>
  <c r="G4277" i="56"/>
  <c r="I4277" i="56" s="1"/>
  <c r="G4278" i="56"/>
  <c r="G4279" i="56"/>
  <c r="G4280" i="56"/>
  <c r="I4280" i="56" s="1"/>
  <c r="G4281" i="56"/>
  <c r="G4282" i="56"/>
  <c r="G4283" i="56"/>
  <c r="G4284" i="56"/>
  <c r="G4285" i="56"/>
  <c r="G4286" i="56"/>
  <c r="G4287" i="56"/>
  <c r="G4288" i="56"/>
  <c r="G4289" i="56"/>
  <c r="I4289" i="56" s="1"/>
  <c r="G4290" i="56"/>
  <c r="G4291" i="56"/>
  <c r="G4292" i="56"/>
  <c r="I4292" i="56" s="1"/>
  <c r="G4293" i="56"/>
  <c r="G4294" i="56"/>
  <c r="G4295" i="56"/>
  <c r="G4296" i="56"/>
  <c r="G4297" i="56"/>
  <c r="G4298" i="56"/>
  <c r="G4299" i="56"/>
  <c r="G4300" i="56"/>
  <c r="G4301" i="56"/>
  <c r="I4301" i="56" s="1"/>
  <c r="G4302" i="56"/>
  <c r="G4303" i="56"/>
  <c r="G4304" i="56"/>
  <c r="I4304" i="56" s="1"/>
  <c r="G4305" i="56"/>
  <c r="G4306" i="56"/>
  <c r="G4307" i="56"/>
  <c r="G4308" i="56"/>
  <c r="G4309" i="56"/>
  <c r="G4310" i="56"/>
  <c r="G4311" i="56"/>
  <c r="G4312" i="56"/>
  <c r="G4313" i="56"/>
  <c r="I4313" i="56" s="1"/>
  <c r="G4314" i="56"/>
  <c r="G4315" i="56"/>
  <c r="G4316" i="56"/>
  <c r="I4316" i="56" s="1"/>
  <c r="G4317" i="56"/>
  <c r="G4318" i="56"/>
  <c r="G4319" i="56"/>
  <c r="G4320" i="56"/>
  <c r="G4321" i="56"/>
  <c r="G4322" i="56"/>
  <c r="G4323" i="56"/>
  <c r="G4324" i="56"/>
  <c r="G4325" i="56"/>
  <c r="I4325" i="56" s="1"/>
  <c r="G4326" i="56"/>
  <c r="G4327" i="56"/>
  <c r="G4328" i="56"/>
  <c r="I4328" i="56" s="1"/>
  <c r="G4329" i="56"/>
  <c r="G4330" i="56"/>
  <c r="G4331" i="56"/>
  <c r="G4332" i="56"/>
  <c r="G4333" i="56"/>
  <c r="G4334" i="56"/>
  <c r="G4335" i="56"/>
  <c r="G4336" i="56"/>
  <c r="G4337" i="56"/>
  <c r="I4337" i="56" s="1"/>
  <c r="G4338" i="56"/>
  <c r="G4339" i="56"/>
  <c r="G4340" i="56"/>
  <c r="I4340" i="56" s="1"/>
  <c r="G4341" i="56"/>
  <c r="G4342" i="56"/>
  <c r="G4343" i="56"/>
  <c r="G4344" i="56"/>
  <c r="G4345" i="56"/>
  <c r="G4346" i="56"/>
  <c r="G4347" i="56"/>
  <c r="G4348" i="56"/>
  <c r="G4349" i="56"/>
  <c r="I4349" i="56" s="1"/>
  <c r="G4350" i="56"/>
  <c r="G4351" i="56"/>
  <c r="G4352" i="56"/>
  <c r="I4352" i="56" s="1"/>
  <c r="G4353" i="56"/>
  <c r="G4354" i="56"/>
  <c r="G4355" i="56"/>
  <c r="G4356" i="56"/>
  <c r="G4357" i="56"/>
  <c r="G4358" i="56"/>
  <c r="G4359" i="56"/>
  <c r="G4360" i="56"/>
  <c r="G4361" i="56"/>
  <c r="I4361" i="56" s="1"/>
  <c r="G4362" i="56"/>
  <c r="G4363" i="56"/>
  <c r="I4363" i="56" s="1"/>
  <c r="G4364" i="56"/>
  <c r="I4364" i="56" s="1"/>
  <c r="G4365" i="56"/>
  <c r="G4366" i="56"/>
  <c r="G4367" i="56"/>
  <c r="G4368" i="56"/>
  <c r="G4369" i="56"/>
  <c r="G4370" i="56"/>
  <c r="G4371" i="56"/>
  <c r="G4372" i="56"/>
  <c r="G4373" i="56"/>
  <c r="I4373" i="56" s="1"/>
  <c r="G4374" i="56"/>
  <c r="G4375" i="56"/>
  <c r="G4376" i="56"/>
  <c r="I4376" i="56" s="1"/>
  <c r="G4377" i="56"/>
  <c r="G4378" i="56"/>
  <c r="G4379" i="56"/>
  <c r="G4380" i="56"/>
  <c r="G4381" i="56"/>
  <c r="G4382" i="56"/>
  <c r="G4383" i="56"/>
  <c r="G4384" i="56"/>
  <c r="G4385" i="56"/>
  <c r="I4385" i="56" s="1"/>
  <c r="G4386" i="56"/>
  <c r="G4387" i="56"/>
  <c r="G4388" i="56"/>
  <c r="I4388" i="56" s="1"/>
  <c r="G4389" i="56"/>
  <c r="G4390" i="56"/>
  <c r="G4391" i="56"/>
  <c r="G4392" i="56"/>
  <c r="G4393" i="56"/>
  <c r="G4394" i="56"/>
  <c r="G4395" i="56"/>
  <c r="G4396" i="56"/>
  <c r="G4397" i="56"/>
  <c r="I4397" i="56" s="1"/>
  <c r="G4398" i="56"/>
  <c r="G4399" i="56"/>
  <c r="G4400" i="56"/>
  <c r="I4400" i="56" s="1"/>
  <c r="G4401" i="56"/>
  <c r="G4402" i="56"/>
  <c r="G4403" i="56"/>
  <c r="G4404" i="56"/>
  <c r="G4405" i="56"/>
  <c r="G4406" i="56"/>
  <c r="G4407" i="56"/>
  <c r="G4408" i="56"/>
  <c r="G4409" i="56"/>
  <c r="I4409" i="56" s="1"/>
  <c r="G4410" i="56"/>
  <c r="G4411" i="56"/>
  <c r="G4412" i="56"/>
  <c r="I4412" i="56" s="1"/>
  <c r="G4413" i="56"/>
  <c r="G4414" i="56"/>
  <c r="G4415" i="56"/>
  <c r="G4416" i="56"/>
  <c r="G4417" i="56"/>
  <c r="G4418" i="56"/>
  <c r="G4419" i="56"/>
  <c r="G4420" i="56"/>
  <c r="G4421" i="56"/>
  <c r="I4421" i="56" s="1"/>
  <c r="G4422" i="56"/>
  <c r="G4423" i="56"/>
  <c r="I4423" i="56" s="1"/>
  <c r="G4424" i="56"/>
  <c r="I4424" i="56" s="1"/>
  <c r="G4425" i="56"/>
  <c r="G4426" i="56"/>
  <c r="G4427" i="56"/>
  <c r="G4428" i="56"/>
  <c r="G4429" i="56"/>
  <c r="G4430" i="56"/>
  <c r="G4431" i="56"/>
  <c r="G4432" i="56"/>
  <c r="G4433" i="56"/>
  <c r="I4433" i="56" s="1"/>
  <c r="G4434" i="56"/>
  <c r="G4435" i="56"/>
  <c r="G4436" i="56"/>
  <c r="I4436" i="56" s="1"/>
  <c r="G4437" i="56"/>
  <c r="G4438" i="56"/>
  <c r="G4439" i="56"/>
  <c r="G4440" i="56"/>
  <c r="G4441" i="56"/>
  <c r="G4442" i="56"/>
  <c r="G4443" i="56"/>
  <c r="G4444" i="56"/>
  <c r="G4445" i="56"/>
  <c r="I4445" i="56" s="1"/>
  <c r="G4446" i="56"/>
  <c r="G4447" i="56"/>
  <c r="G4448" i="56"/>
  <c r="I4448" i="56" s="1"/>
  <c r="G4449" i="56"/>
  <c r="G4450" i="56"/>
  <c r="G4451" i="56"/>
  <c r="G4452" i="56"/>
  <c r="G4453" i="56"/>
  <c r="G4454" i="56"/>
  <c r="G4455" i="56"/>
  <c r="G4456" i="56"/>
  <c r="G4457" i="56"/>
  <c r="I4457" i="56" s="1"/>
  <c r="G4458" i="56"/>
  <c r="G4459" i="56"/>
  <c r="G4460" i="56"/>
  <c r="I4460" i="56" s="1"/>
  <c r="G4461" i="56"/>
  <c r="G4462" i="56"/>
  <c r="G4463" i="56"/>
  <c r="G4464" i="56"/>
  <c r="G4465" i="56"/>
  <c r="G4466" i="56"/>
  <c r="G4467" i="56"/>
  <c r="G4468" i="56"/>
  <c r="G4469" i="56"/>
  <c r="G4470" i="56"/>
  <c r="G4471" i="56"/>
  <c r="G4472" i="56"/>
  <c r="I4472" i="56" s="1"/>
  <c r="G4473" i="56"/>
  <c r="G4474" i="56"/>
  <c r="G4475" i="56"/>
  <c r="G4476" i="56"/>
  <c r="G4477" i="56"/>
  <c r="G4478" i="56"/>
  <c r="G4479" i="56"/>
  <c r="G4480" i="56"/>
  <c r="G4481" i="56"/>
  <c r="I4481" i="56" s="1"/>
  <c r="G4482" i="56"/>
  <c r="G4483" i="56"/>
  <c r="G4484" i="56"/>
  <c r="I4484" i="56" s="1"/>
  <c r="G4485" i="56"/>
  <c r="G4486" i="56"/>
  <c r="G4487" i="56"/>
  <c r="G4488" i="56"/>
  <c r="G4489" i="56"/>
  <c r="G4490" i="56"/>
  <c r="G4491" i="56"/>
  <c r="G4492" i="56"/>
  <c r="G4493" i="56"/>
  <c r="I4493" i="56" s="1"/>
  <c r="G4494" i="56"/>
  <c r="G4495" i="56"/>
  <c r="G4496" i="56"/>
  <c r="I4496" i="56" s="1"/>
  <c r="G4497" i="56"/>
  <c r="G4498" i="56"/>
  <c r="G4499" i="56"/>
  <c r="G4500" i="56"/>
  <c r="G4501" i="56"/>
  <c r="G4502" i="56"/>
  <c r="G4503" i="56"/>
  <c r="G4504" i="56"/>
  <c r="G4505" i="56"/>
  <c r="I4505" i="56" s="1"/>
  <c r="G4506" i="56"/>
  <c r="G4507" i="56"/>
  <c r="G4508" i="56"/>
  <c r="I4508" i="56" s="1"/>
  <c r="G4509" i="56"/>
  <c r="G4510" i="56"/>
  <c r="G4511" i="56"/>
  <c r="G4512" i="56"/>
  <c r="G4513" i="56"/>
  <c r="G4514" i="56"/>
  <c r="G4515" i="56"/>
  <c r="G4516" i="56"/>
  <c r="G4517" i="56"/>
  <c r="I4517" i="56" s="1"/>
  <c r="G4518" i="56"/>
  <c r="G4519" i="56"/>
  <c r="G4520" i="56"/>
  <c r="G4521" i="56"/>
  <c r="G4522" i="56"/>
  <c r="G4523" i="56"/>
  <c r="G4524" i="56"/>
  <c r="G4525" i="56"/>
  <c r="G4526" i="56"/>
  <c r="G4527" i="56"/>
  <c r="G4528" i="56"/>
  <c r="G4529" i="56"/>
  <c r="I4529" i="56" s="1"/>
  <c r="G4530" i="56"/>
  <c r="G4531" i="56"/>
  <c r="G4532" i="56"/>
  <c r="I4532" i="56" s="1"/>
  <c r="G4533" i="56"/>
  <c r="G4534" i="56"/>
  <c r="G4535" i="56"/>
  <c r="G4536" i="56"/>
  <c r="G4537" i="56"/>
  <c r="G4538" i="56"/>
  <c r="G4539" i="56"/>
  <c r="G4540" i="56"/>
  <c r="G4541" i="56"/>
  <c r="I4541" i="56" s="1"/>
  <c r="G4542" i="56"/>
  <c r="G4543" i="56"/>
  <c r="G4544" i="56"/>
  <c r="G4545" i="56"/>
  <c r="G4546" i="56"/>
  <c r="G4547" i="56"/>
  <c r="G4548" i="56"/>
  <c r="G4549" i="56"/>
  <c r="G4550" i="56"/>
  <c r="G4551" i="56"/>
  <c r="G4552" i="56"/>
  <c r="G4553" i="56"/>
  <c r="I4553" i="56" s="1"/>
  <c r="G4554" i="56"/>
  <c r="G4555" i="56"/>
  <c r="G4556" i="56"/>
  <c r="I4556" i="56" s="1"/>
  <c r="G4557" i="56"/>
  <c r="G4558" i="56"/>
  <c r="G4559" i="56"/>
  <c r="G4560" i="56"/>
  <c r="G4561" i="56"/>
  <c r="G4562" i="56"/>
  <c r="G4563" i="56"/>
  <c r="G4564" i="56"/>
  <c r="G4565" i="56"/>
  <c r="I4565" i="56" s="1"/>
  <c r="G4566" i="56"/>
  <c r="G4567" i="56"/>
  <c r="G4568" i="56"/>
  <c r="I4568" i="56" s="1"/>
  <c r="G4569" i="56"/>
  <c r="G4570" i="56"/>
  <c r="G4571" i="56"/>
  <c r="G4572" i="56"/>
  <c r="G4573" i="56"/>
  <c r="G4574" i="56"/>
  <c r="G4575" i="56"/>
  <c r="G4576" i="56"/>
  <c r="G4577" i="56"/>
  <c r="I4577" i="56" s="1"/>
  <c r="G4578" i="56"/>
  <c r="G4579" i="56"/>
  <c r="G4580" i="56"/>
  <c r="G4581" i="56"/>
  <c r="G4582" i="56"/>
  <c r="G4583" i="56"/>
  <c r="G4584" i="56"/>
  <c r="G4585" i="56"/>
  <c r="G4586" i="56"/>
  <c r="G4587" i="56"/>
  <c r="G4588" i="56"/>
  <c r="G4589" i="56"/>
  <c r="I4589" i="56" s="1"/>
  <c r="G4590" i="56"/>
  <c r="G4591" i="56"/>
  <c r="G4592" i="56"/>
  <c r="I4592" i="56" s="1"/>
  <c r="G4593" i="56"/>
  <c r="G4594" i="56"/>
  <c r="G4595" i="56"/>
  <c r="G4596" i="56"/>
  <c r="G4597" i="56"/>
  <c r="G4598" i="56"/>
  <c r="G4599" i="56"/>
  <c r="G4600" i="56"/>
  <c r="G4601" i="56"/>
  <c r="I4601" i="56" s="1"/>
  <c r="G4602" i="56"/>
  <c r="G4603" i="56"/>
  <c r="G4604" i="56"/>
  <c r="I4604" i="56" s="1"/>
  <c r="G4605" i="56"/>
  <c r="G4606" i="56"/>
  <c r="G4607" i="56"/>
  <c r="G4608" i="56"/>
  <c r="G4609" i="56"/>
  <c r="G4610" i="56"/>
  <c r="G4611" i="56"/>
  <c r="G4612" i="56"/>
  <c r="G4613" i="56"/>
  <c r="I4613" i="56" s="1"/>
  <c r="G4614" i="56"/>
  <c r="G4615" i="56"/>
  <c r="G4616" i="56"/>
  <c r="I4616" i="56" s="1"/>
  <c r="G4617" i="56"/>
  <c r="G4618" i="56"/>
  <c r="G4619" i="56"/>
  <c r="G4620" i="56"/>
  <c r="G4621" i="56"/>
  <c r="G4622" i="56"/>
  <c r="G4623" i="56"/>
  <c r="G4624" i="56"/>
  <c r="G4625" i="56"/>
  <c r="I4625" i="56" s="1"/>
  <c r="G4626" i="56"/>
  <c r="G4627" i="56"/>
  <c r="G4628" i="56"/>
  <c r="I4628" i="56" s="1"/>
  <c r="G4629" i="56"/>
  <c r="G4630" i="56"/>
  <c r="G4631" i="56"/>
  <c r="G4632" i="56"/>
  <c r="G4633" i="56"/>
  <c r="G4634" i="56"/>
  <c r="G4635" i="56"/>
  <c r="G4636" i="56"/>
  <c r="G4637" i="56"/>
  <c r="I4637" i="56" s="1"/>
  <c r="G4638" i="56"/>
  <c r="G4639" i="56"/>
  <c r="G4640" i="56"/>
  <c r="I4640" i="56" s="1"/>
  <c r="G4641" i="56"/>
  <c r="G4642" i="56"/>
  <c r="G4643" i="56"/>
  <c r="G4644" i="56"/>
  <c r="G4645" i="56"/>
  <c r="G4646" i="56"/>
  <c r="G4647" i="56"/>
  <c r="G4648" i="56"/>
  <c r="G4649" i="56"/>
  <c r="I4649" i="56" s="1"/>
  <c r="G4650" i="56"/>
  <c r="G4651" i="56"/>
  <c r="G4652" i="56"/>
  <c r="I4652" i="56" s="1"/>
  <c r="G4653" i="56"/>
  <c r="G4654" i="56"/>
  <c r="G4655" i="56"/>
  <c r="G4656" i="56"/>
  <c r="G4657" i="56"/>
  <c r="G4658" i="56"/>
  <c r="G4659" i="56"/>
  <c r="G4660" i="56"/>
  <c r="G4661" i="56"/>
  <c r="I4661" i="56" s="1"/>
  <c r="G4662" i="56"/>
  <c r="G4663" i="56"/>
  <c r="G4664" i="56"/>
  <c r="I4664" i="56" s="1"/>
  <c r="G4665" i="56"/>
  <c r="G4666" i="56"/>
  <c r="G4667" i="56"/>
  <c r="G4668" i="56"/>
  <c r="G4669" i="56"/>
  <c r="G4670" i="56"/>
  <c r="G4671" i="56"/>
  <c r="G4672" i="56"/>
  <c r="G4673" i="56"/>
  <c r="I4673" i="56" s="1"/>
  <c r="G4674" i="56"/>
  <c r="G4675" i="56"/>
  <c r="G4676" i="56"/>
  <c r="I4676" i="56" s="1"/>
  <c r="G4677" i="56"/>
  <c r="G4678" i="56"/>
  <c r="G4679" i="56"/>
  <c r="G4680" i="56"/>
  <c r="G4681" i="56"/>
  <c r="G4682" i="56"/>
  <c r="G4683" i="56"/>
  <c r="G4684" i="56"/>
  <c r="G4685" i="56"/>
  <c r="I4685" i="56" s="1"/>
  <c r="G4686" i="56"/>
  <c r="G4687" i="56"/>
  <c r="G4688" i="56"/>
  <c r="I4688" i="56" s="1"/>
  <c r="G4689" i="56"/>
  <c r="G4690" i="56"/>
  <c r="G4691" i="56"/>
  <c r="G4692" i="56"/>
  <c r="G4693" i="56"/>
  <c r="G4694" i="56"/>
  <c r="G4695" i="56"/>
  <c r="G4696" i="56"/>
  <c r="G4697" i="56"/>
  <c r="I4697" i="56" s="1"/>
  <c r="G4698" i="56"/>
  <c r="G4699" i="56"/>
  <c r="G4700" i="56"/>
  <c r="I4700" i="56" s="1"/>
  <c r="G4701" i="56"/>
  <c r="G4702" i="56"/>
  <c r="G4703" i="56"/>
  <c r="G4704" i="56"/>
  <c r="G4705" i="56"/>
  <c r="G4706" i="56"/>
  <c r="G4707" i="56"/>
  <c r="G4708" i="56"/>
  <c r="G4709" i="56"/>
  <c r="I4709" i="56" s="1"/>
  <c r="G4710" i="56"/>
  <c r="G4711" i="56"/>
  <c r="G4712" i="56"/>
  <c r="I4712" i="56" s="1"/>
  <c r="G4713" i="56"/>
  <c r="G4714" i="56"/>
  <c r="G4715" i="56"/>
  <c r="G4716" i="56"/>
  <c r="G4717" i="56"/>
  <c r="G4718" i="56"/>
  <c r="G4719" i="56"/>
  <c r="G4720" i="56"/>
  <c r="G4721" i="56"/>
  <c r="I4721" i="56" s="1"/>
  <c r="G4722" i="56"/>
  <c r="G4723" i="56"/>
  <c r="G4724" i="56"/>
  <c r="G4725" i="56"/>
  <c r="G4726" i="56"/>
  <c r="G4727" i="56"/>
  <c r="G4728" i="56"/>
  <c r="G4729" i="56"/>
  <c r="G4730" i="56"/>
  <c r="G4731" i="56"/>
  <c r="G4732" i="56"/>
  <c r="G4733" i="56"/>
  <c r="I4733" i="56" s="1"/>
  <c r="G4734" i="56"/>
  <c r="G4735" i="56"/>
  <c r="G4736" i="56"/>
  <c r="I4736" i="56" s="1"/>
  <c r="G4737" i="56"/>
  <c r="G4738" i="56"/>
  <c r="G4739" i="56"/>
  <c r="G4740" i="56"/>
  <c r="G4741" i="56"/>
  <c r="G4742" i="56"/>
  <c r="G4743" i="56"/>
  <c r="G4744" i="56"/>
  <c r="G4745" i="56"/>
  <c r="I4745" i="56" s="1"/>
  <c r="G4746" i="56"/>
  <c r="G4747" i="56"/>
  <c r="G4748" i="56"/>
  <c r="I4748" i="56" s="1"/>
  <c r="G4749" i="56"/>
  <c r="G4750" i="56"/>
  <c r="G4751" i="56"/>
  <c r="G4752" i="56"/>
  <c r="G4753" i="56"/>
  <c r="G4754" i="56"/>
  <c r="G4755" i="56"/>
  <c r="G4756" i="56"/>
  <c r="G4757" i="56"/>
  <c r="I4757" i="56" s="1"/>
  <c r="G4758" i="56"/>
  <c r="G4759" i="56"/>
  <c r="G4760" i="56"/>
  <c r="I4760" i="56" s="1"/>
  <c r="G4761" i="56"/>
  <c r="G4762" i="56"/>
  <c r="G4763" i="56"/>
  <c r="G4764" i="56"/>
  <c r="G4765" i="56"/>
  <c r="G4766" i="56"/>
  <c r="G4767" i="56"/>
  <c r="G4768" i="56"/>
  <c r="G4769" i="56"/>
  <c r="I4769" i="56" s="1"/>
  <c r="G4770" i="56"/>
  <c r="G4771" i="56"/>
  <c r="G4772" i="56"/>
  <c r="I4772" i="56" s="1"/>
  <c r="G4773" i="56"/>
  <c r="G4774" i="56"/>
  <c r="G4775" i="56"/>
  <c r="G4776" i="56"/>
  <c r="G4777" i="56"/>
  <c r="G4778" i="56"/>
  <c r="G4779" i="56"/>
  <c r="G4780" i="56"/>
  <c r="G4781" i="56"/>
  <c r="I4781" i="56" s="1"/>
  <c r="G4782" i="56"/>
  <c r="G4783" i="56"/>
  <c r="G4784" i="56"/>
  <c r="I4784" i="56" s="1"/>
  <c r="G4785" i="56"/>
  <c r="G4786" i="56"/>
  <c r="G4787" i="56"/>
  <c r="G4788" i="56"/>
  <c r="G4789" i="56"/>
  <c r="G4790" i="56"/>
  <c r="G4791" i="56"/>
  <c r="G4792" i="56"/>
  <c r="G4793" i="56"/>
  <c r="I4793" i="56" s="1"/>
  <c r="G4794" i="56"/>
  <c r="G4795" i="56"/>
  <c r="G4796" i="56"/>
  <c r="I4796" i="56" s="1"/>
  <c r="G4797" i="56"/>
  <c r="G4798" i="56"/>
  <c r="G4799" i="56"/>
  <c r="G4800" i="56"/>
  <c r="G4801" i="56"/>
  <c r="G4802" i="56"/>
  <c r="G4803" i="56"/>
  <c r="G4804" i="56"/>
  <c r="G4805" i="56"/>
  <c r="I4805" i="56" s="1"/>
  <c r="G4806" i="56"/>
  <c r="G4807" i="56"/>
  <c r="G4808" i="56"/>
  <c r="I4808" i="56" s="1"/>
  <c r="G4809" i="56"/>
  <c r="G4810" i="56"/>
  <c r="G4811" i="56"/>
  <c r="G4812" i="56"/>
  <c r="G4813" i="56"/>
  <c r="G4814" i="56"/>
  <c r="G4815" i="56"/>
  <c r="G4816" i="56"/>
  <c r="G4817" i="56"/>
  <c r="I4817" i="56" s="1"/>
  <c r="G4818" i="56"/>
  <c r="G4819" i="56"/>
  <c r="G4820" i="56"/>
  <c r="I4820" i="56" s="1"/>
  <c r="G4821" i="56"/>
  <c r="G4822" i="56"/>
  <c r="G4823" i="56"/>
  <c r="G4824" i="56"/>
  <c r="G4825" i="56"/>
  <c r="G4826" i="56"/>
  <c r="G4827" i="56"/>
  <c r="G4828" i="56"/>
  <c r="G4829" i="56"/>
  <c r="I4829" i="56" s="1"/>
  <c r="G4830" i="56"/>
  <c r="G4831" i="56"/>
  <c r="G4832" i="56"/>
  <c r="I4832" i="56" s="1"/>
  <c r="G4833" i="56"/>
  <c r="G4834" i="56"/>
  <c r="G4835" i="56"/>
  <c r="G4836" i="56"/>
  <c r="G4837" i="56"/>
  <c r="G4838" i="56"/>
  <c r="G4839" i="56"/>
  <c r="G4840" i="56"/>
  <c r="G4841" i="56"/>
  <c r="I4841" i="56" s="1"/>
  <c r="G4842" i="56"/>
  <c r="G4843" i="56"/>
  <c r="G4844" i="56"/>
  <c r="I4844" i="56" s="1"/>
  <c r="G4845" i="56"/>
  <c r="G4846" i="56"/>
  <c r="G4847" i="56"/>
  <c r="G4848" i="56"/>
  <c r="G4849" i="56"/>
  <c r="G4850" i="56"/>
  <c r="G4851" i="56"/>
  <c r="G4852" i="56"/>
  <c r="G4853" i="56"/>
  <c r="I4853" i="56" s="1"/>
  <c r="G4854" i="56"/>
  <c r="G4855" i="56"/>
  <c r="G4856" i="56"/>
  <c r="I4856" i="56" s="1"/>
  <c r="G4857" i="56"/>
  <c r="G4858" i="56"/>
  <c r="G4859" i="56"/>
  <c r="G4860" i="56"/>
  <c r="G4861" i="56"/>
  <c r="G4862" i="56"/>
  <c r="G4863" i="56"/>
  <c r="G4864" i="56"/>
  <c r="G4865" i="56"/>
  <c r="I4865" i="56" s="1"/>
  <c r="G4866" i="56"/>
  <c r="G4867" i="56"/>
  <c r="G4868" i="56"/>
  <c r="I4868" i="56" s="1"/>
  <c r="G4869" i="56"/>
  <c r="G4870" i="56"/>
  <c r="G4871" i="56"/>
  <c r="G4872" i="56"/>
  <c r="G4873" i="56"/>
  <c r="G4874" i="56"/>
  <c r="G4875" i="56"/>
  <c r="G4876" i="56"/>
  <c r="G4877" i="56"/>
  <c r="I4877" i="56" s="1"/>
  <c r="G4878" i="56"/>
  <c r="G4879" i="56"/>
  <c r="G4880" i="56"/>
  <c r="I4880" i="56" s="1"/>
  <c r="G4881" i="56"/>
  <c r="G4882" i="56"/>
  <c r="G4883" i="56"/>
  <c r="G4884" i="56"/>
  <c r="G4885" i="56"/>
  <c r="G4886" i="56"/>
  <c r="G4887" i="56"/>
  <c r="G4888" i="56"/>
  <c r="G4889" i="56"/>
  <c r="I4889" i="56" s="1"/>
  <c r="G4890" i="56"/>
  <c r="G4891" i="56"/>
  <c r="G4892" i="56"/>
  <c r="I4892" i="56" s="1"/>
  <c r="G4893" i="56"/>
  <c r="G4894" i="56"/>
  <c r="G4895" i="56"/>
  <c r="G4896" i="56"/>
  <c r="G4897" i="56"/>
  <c r="G4898" i="56"/>
  <c r="G4899" i="56"/>
  <c r="G4900" i="56"/>
  <c r="G4901" i="56"/>
  <c r="I4901" i="56" s="1"/>
  <c r="G4902" i="56"/>
  <c r="G4903" i="56"/>
  <c r="G4904" i="56"/>
  <c r="I4904" i="56" s="1"/>
  <c r="G4905" i="56"/>
  <c r="G4906" i="56"/>
  <c r="G4907" i="56"/>
  <c r="G4908" i="56"/>
  <c r="G4909" i="56"/>
  <c r="G4910" i="56"/>
  <c r="G4911" i="56"/>
  <c r="G4912" i="56"/>
  <c r="G4913" i="56"/>
  <c r="I4913" i="56" s="1"/>
  <c r="G4914" i="56"/>
  <c r="G4915" i="56"/>
  <c r="G4916" i="56"/>
  <c r="I4916" i="56" s="1"/>
  <c r="G4917" i="56"/>
  <c r="G4918" i="56"/>
  <c r="G4919" i="56"/>
  <c r="G4920" i="56"/>
  <c r="G4921" i="56"/>
  <c r="G4922" i="56"/>
  <c r="G4923" i="56"/>
  <c r="G4924" i="56"/>
  <c r="G4925" i="56"/>
  <c r="I4925" i="56" s="1"/>
  <c r="G4926" i="56"/>
  <c r="G4927" i="56"/>
  <c r="G4928" i="56"/>
  <c r="I4928" i="56" s="1"/>
  <c r="G4929" i="56"/>
  <c r="G4930" i="56"/>
  <c r="G4931" i="56"/>
  <c r="G4932" i="56"/>
  <c r="G4933" i="56"/>
  <c r="G4934" i="56"/>
  <c r="G4935" i="56"/>
  <c r="G4936" i="56"/>
  <c r="G4937" i="56"/>
  <c r="I4937" i="56" s="1"/>
  <c r="G4938" i="56"/>
  <c r="G4939" i="56"/>
  <c r="G4940" i="56"/>
  <c r="I4940" i="56" s="1"/>
  <c r="G4941" i="56"/>
  <c r="G4942" i="56"/>
  <c r="G4943" i="56"/>
  <c r="G4944" i="56"/>
  <c r="G4945" i="56"/>
  <c r="G4946" i="56"/>
  <c r="G4947" i="56"/>
  <c r="G4948" i="56"/>
  <c r="G4949" i="56"/>
  <c r="G4950" i="56"/>
  <c r="G4951" i="56"/>
  <c r="G4952" i="56"/>
  <c r="I4952" i="56" s="1"/>
  <c r="G4953" i="56"/>
  <c r="G4954" i="56"/>
  <c r="G4955" i="56"/>
  <c r="G4956" i="56"/>
  <c r="G4957" i="56"/>
  <c r="G4958" i="56"/>
  <c r="G4959" i="56"/>
  <c r="G4960" i="56"/>
  <c r="G4961" i="56"/>
  <c r="I4961" i="56" s="1"/>
  <c r="G4962" i="56"/>
  <c r="G4963" i="56"/>
  <c r="G4964" i="56"/>
  <c r="I4964" i="56" s="1"/>
  <c r="G4965" i="56"/>
  <c r="G4966" i="56"/>
  <c r="G4967" i="56"/>
  <c r="G4968" i="56"/>
  <c r="G4969" i="56"/>
  <c r="G4970" i="56"/>
  <c r="G4971" i="56"/>
  <c r="G4972" i="56"/>
  <c r="G4973" i="56"/>
  <c r="I4973" i="56" s="1"/>
  <c r="G4974" i="56"/>
  <c r="G4975" i="56"/>
  <c r="G4976" i="56"/>
  <c r="I4976" i="56" s="1"/>
  <c r="G4977" i="56"/>
  <c r="G4978" i="56"/>
  <c r="G4979" i="56"/>
  <c r="G4980" i="56"/>
  <c r="G4981" i="56"/>
  <c r="G4982" i="56"/>
  <c r="G4983" i="56"/>
  <c r="G4984" i="56"/>
  <c r="G4985" i="56"/>
  <c r="I4985" i="56" s="1"/>
  <c r="G4986" i="56"/>
  <c r="G4987" i="56"/>
  <c r="G4988" i="56"/>
  <c r="I4988" i="56" s="1"/>
  <c r="G4989" i="56"/>
  <c r="G4990" i="56"/>
  <c r="G4991" i="56"/>
  <c r="G4992" i="56"/>
  <c r="G4993" i="56"/>
  <c r="G4994" i="56"/>
  <c r="G4995" i="56"/>
  <c r="G4996" i="56"/>
  <c r="G4997" i="56"/>
  <c r="I4997" i="56" s="1"/>
  <c r="G4998" i="56"/>
  <c r="G4999" i="56"/>
  <c r="G5000" i="56"/>
  <c r="I5000" i="56" s="1"/>
  <c r="G5001" i="56"/>
  <c r="G5002" i="56"/>
  <c r="G5003" i="56"/>
  <c r="G5004" i="56"/>
  <c r="G5005" i="56"/>
  <c r="G5006" i="56"/>
  <c r="G5007" i="56"/>
  <c r="G5008" i="56"/>
  <c r="G5009" i="56"/>
  <c r="I5009" i="56" s="1"/>
  <c r="G5010" i="56"/>
  <c r="G5011" i="56"/>
  <c r="G5012" i="56"/>
  <c r="I5012" i="56" s="1"/>
  <c r="G5013" i="56"/>
  <c r="G5014" i="56"/>
  <c r="G5015" i="56"/>
  <c r="G5016" i="56"/>
  <c r="G5017" i="56"/>
  <c r="G5018" i="56"/>
  <c r="G5019" i="56"/>
  <c r="G5020" i="56"/>
  <c r="G5021" i="56"/>
  <c r="I5021" i="56" s="1"/>
  <c r="G5022" i="56"/>
  <c r="G5023" i="56"/>
  <c r="G5024" i="56"/>
  <c r="I5024" i="56" s="1"/>
  <c r="G5025" i="56"/>
  <c r="G5026" i="56"/>
  <c r="G5027" i="56"/>
  <c r="G5028" i="56"/>
  <c r="G5029" i="56"/>
  <c r="G5030" i="56"/>
  <c r="G5031" i="56"/>
  <c r="G5032" i="56"/>
  <c r="G5033" i="56"/>
  <c r="I5033" i="56" s="1"/>
  <c r="G5034" i="56"/>
  <c r="G5035" i="56"/>
  <c r="G5036" i="56"/>
  <c r="I5036" i="56" s="1"/>
  <c r="G5037" i="56"/>
  <c r="G5038" i="56"/>
  <c r="G5039" i="56"/>
  <c r="G5040" i="56"/>
  <c r="G5041" i="56"/>
  <c r="G5042" i="56"/>
  <c r="G5043" i="56"/>
  <c r="G5044" i="56"/>
  <c r="G5045" i="56"/>
  <c r="I5045" i="56" s="1"/>
  <c r="G5046" i="56"/>
  <c r="G5047" i="56"/>
  <c r="G5048" i="56"/>
  <c r="G5049" i="56"/>
  <c r="G5050" i="56"/>
  <c r="G5051" i="56"/>
  <c r="G5052" i="56"/>
  <c r="G5053" i="56"/>
  <c r="G5054" i="56"/>
  <c r="G5055" i="56"/>
  <c r="G5056" i="56"/>
  <c r="G5057" i="56"/>
  <c r="I5057" i="56" s="1"/>
  <c r="G5058" i="56"/>
  <c r="G5059" i="56"/>
  <c r="G5060" i="56"/>
  <c r="G5061" i="56"/>
  <c r="G5062" i="56"/>
  <c r="G5063" i="56"/>
  <c r="G5064" i="56"/>
  <c r="G5065" i="56"/>
  <c r="G5066" i="56"/>
  <c r="G5067" i="56"/>
  <c r="G5068" i="56"/>
  <c r="G5069" i="56"/>
  <c r="I5069" i="56" s="1"/>
  <c r="G5070" i="56"/>
  <c r="G5071" i="56"/>
  <c r="G5072" i="56"/>
  <c r="I5072" i="56" s="1"/>
  <c r="G5073" i="56"/>
  <c r="G5074" i="56"/>
  <c r="G5075" i="56"/>
  <c r="G5076" i="56"/>
  <c r="G5077" i="56"/>
  <c r="G5078" i="56"/>
  <c r="G5079" i="56"/>
  <c r="G5080" i="56"/>
  <c r="G5081" i="56"/>
  <c r="I5081" i="56" s="1"/>
  <c r="G5082" i="56"/>
  <c r="G5083" i="56"/>
  <c r="G5084" i="56"/>
  <c r="I5084" i="56" s="1"/>
  <c r="G5085" i="56"/>
  <c r="G5086" i="56"/>
  <c r="G5087" i="56"/>
  <c r="G5088" i="56"/>
  <c r="G5089" i="56"/>
  <c r="G5090" i="56"/>
  <c r="G5091" i="56"/>
  <c r="G5092" i="56"/>
  <c r="G5093" i="56"/>
  <c r="I5093" i="56" s="1"/>
  <c r="G5094" i="56"/>
  <c r="G5095" i="56"/>
  <c r="G5096" i="56"/>
  <c r="I5096" i="56" s="1"/>
  <c r="G5097" i="56"/>
  <c r="G5098" i="56"/>
  <c r="G5099" i="56"/>
  <c r="G5100" i="56"/>
  <c r="G5101" i="56"/>
  <c r="G5102" i="56"/>
  <c r="G5103" i="56"/>
  <c r="G5104" i="56"/>
  <c r="G5105" i="56"/>
  <c r="I5105" i="56" s="1"/>
  <c r="G5106" i="56"/>
  <c r="G5107" i="56"/>
  <c r="G5108" i="56"/>
  <c r="I5108" i="56" s="1"/>
  <c r="G5109" i="56"/>
  <c r="G5110" i="56"/>
  <c r="G5111" i="56"/>
  <c r="G5112" i="56"/>
  <c r="G5113" i="56"/>
  <c r="G5114" i="56"/>
  <c r="G5115" i="56"/>
  <c r="G5116" i="56"/>
  <c r="G5117" i="56"/>
  <c r="I5117" i="56" s="1"/>
  <c r="G5118" i="56"/>
  <c r="G5119" i="56"/>
  <c r="G5120" i="56"/>
  <c r="G5121" i="56"/>
  <c r="G5122" i="56"/>
  <c r="G5123" i="56"/>
  <c r="G5124" i="56"/>
  <c r="G5125" i="56"/>
  <c r="G5126" i="56"/>
  <c r="G5127" i="56"/>
  <c r="G5128" i="56"/>
  <c r="G5129" i="56"/>
  <c r="I5129" i="56" s="1"/>
  <c r="G5130" i="56"/>
  <c r="G5131" i="56"/>
  <c r="G5132" i="56"/>
  <c r="I5132" i="56" s="1"/>
  <c r="G5133" i="56"/>
  <c r="G5134" i="56"/>
  <c r="G5135" i="56"/>
  <c r="G5136" i="56"/>
  <c r="G5137" i="56"/>
  <c r="G5138" i="56"/>
  <c r="G5139" i="56"/>
  <c r="G5140" i="56"/>
  <c r="G5141" i="56"/>
  <c r="I5141" i="56" s="1"/>
  <c r="G5142" i="56"/>
  <c r="G5143" i="56"/>
  <c r="G5144" i="56"/>
  <c r="I5144" i="56" s="1"/>
  <c r="G5145" i="56"/>
  <c r="G5146" i="56"/>
  <c r="G5147" i="56"/>
  <c r="G5148" i="56"/>
  <c r="G5149" i="56"/>
  <c r="G5150" i="56"/>
  <c r="G5151" i="56"/>
  <c r="G5152" i="56"/>
  <c r="G5153" i="56"/>
  <c r="I5153" i="56" s="1"/>
  <c r="G5154" i="56"/>
  <c r="G5155" i="56"/>
  <c r="G5156" i="56"/>
  <c r="I5156" i="56" s="1"/>
  <c r="G5157" i="56"/>
  <c r="G5158" i="56"/>
  <c r="G5159" i="56"/>
  <c r="G5160" i="56"/>
  <c r="G5161" i="56"/>
  <c r="G5162" i="56"/>
  <c r="G5163" i="56"/>
  <c r="G5164" i="56"/>
  <c r="G5165" i="56"/>
  <c r="I5165" i="56" s="1"/>
  <c r="G5166" i="56"/>
  <c r="G5167" i="56"/>
  <c r="G5168" i="56"/>
  <c r="I5168" i="56" s="1"/>
  <c r="G5169" i="56"/>
  <c r="G5170" i="56"/>
  <c r="G5171" i="56"/>
  <c r="G5172" i="56"/>
  <c r="G5173" i="56"/>
  <c r="G5174" i="56"/>
  <c r="G5175" i="56"/>
  <c r="G5176" i="56"/>
  <c r="G5177" i="56"/>
  <c r="I5177" i="56" s="1"/>
  <c r="G5178" i="56"/>
  <c r="G5179" i="56"/>
  <c r="G5180" i="56"/>
  <c r="I5180" i="56" s="1"/>
  <c r="G5181" i="56"/>
  <c r="G5182" i="56"/>
  <c r="G5183" i="56"/>
  <c r="G5184" i="56"/>
  <c r="G5185" i="56"/>
  <c r="G5186" i="56"/>
  <c r="G5187" i="56"/>
  <c r="G5188" i="56"/>
  <c r="G5189" i="56"/>
  <c r="I5189" i="56" s="1"/>
  <c r="G5190" i="56"/>
  <c r="G5191" i="56"/>
  <c r="G5192" i="56"/>
  <c r="I5192" i="56" s="1"/>
  <c r="G5193" i="56"/>
  <c r="G5194" i="56"/>
  <c r="G5195" i="56"/>
  <c r="G5196" i="56"/>
  <c r="G5197" i="56"/>
  <c r="G5198" i="56"/>
  <c r="G5199" i="56"/>
  <c r="G5200" i="56"/>
  <c r="G5201" i="56"/>
  <c r="I5201" i="56" s="1"/>
  <c r="G5202" i="56"/>
  <c r="G5203" i="56"/>
  <c r="G5204" i="56"/>
  <c r="I5204" i="56" s="1"/>
  <c r="G5205" i="56"/>
  <c r="G5206" i="56"/>
  <c r="G5207" i="56"/>
  <c r="G5208" i="56"/>
  <c r="G5209" i="56"/>
  <c r="G5210" i="56"/>
  <c r="G5211" i="56"/>
  <c r="G5212" i="56"/>
  <c r="G5213" i="56"/>
  <c r="I5213" i="56" s="1"/>
  <c r="G5214" i="56"/>
  <c r="G5215" i="56"/>
  <c r="G5216" i="56"/>
  <c r="I5216" i="56" s="1"/>
  <c r="G5217" i="56"/>
  <c r="G5218" i="56"/>
  <c r="G5219" i="56"/>
  <c r="G5220" i="56"/>
  <c r="G5221" i="56"/>
  <c r="G5222" i="56"/>
  <c r="G5223" i="56"/>
  <c r="G5224" i="56"/>
  <c r="G5225" i="56"/>
  <c r="I5225" i="56" s="1"/>
  <c r="G5226" i="56"/>
  <c r="G5227" i="56"/>
  <c r="G5228" i="56"/>
  <c r="I5228" i="56" s="1"/>
  <c r="G5229" i="56"/>
  <c r="G5230" i="56"/>
  <c r="G5231" i="56"/>
  <c r="G5232" i="56"/>
  <c r="G5233" i="56"/>
  <c r="G5234" i="56"/>
  <c r="G5235" i="56"/>
  <c r="G5236" i="56"/>
  <c r="G5237" i="56"/>
  <c r="I5237" i="56" s="1"/>
  <c r="G5238" i="56"/>
  <c r="G5239" i="56"/>
  <c r="G5240" i="56"/>
  <c r="I5240" i="56" s="1"/>
  <c r="G5241" i="56"/>
  <c r="G5242" i="56"/>
  <c r="G5243" i="56"/>
  <c r="G5244" i="56"/>
  <c r="G5245" i="56"/>
  <c r="G5246" i="56"/>
  <c r="G5247" i="56"/>
  <c r="G5248" i="56"/>
  <c r="G5249" i="56"/>
  <c r="I5249" i="56" s="1"/>
  <c r="G5250" i="56"/>
  <c r="G5251" i="56"/>
  <c r="G5252" i="56"/>
  <c r="I5252" i="56" s="1"/>
  <c r="G5253" i="56"/>
  <c r="G5254" i="56"/>
  <c r="G5255" i="56"/>
  <c r="G5256" i="56"/>
  <c r="G5257" i="56"/>
  <c r="G5258" i="56"/>
  <c r="G5259" i="56"/>
  <c r="G5260" i="56"/>
  <c r="G5261" i="56"/>
  <c r="I5261" i="56" s="1"/>
  <c r="G5262" i="56"/>
  <c r="G5263" i="56"/>
  <c r="G5264" i="56"/>
  <c r="I5264" i="56" s="1"/>
  <c r="G5265" i="56"/>
  <c r="G5266" i="56"/>
  <c r="G5267" i="56"/>
  <c r="G5268" i="56"/>
  <c r="G5269" i="56"/>
  <c r="G5270" i="56"/>
  <c r="G5271" i="56"/>
  <c r="G5272" i="56"/>
  <c r="G5273" i="56"/>
  <c r="I5273" i="56" s="1"/>
  <c r="G5274" i="56"/>
  <c r="G5275" i="56"/>
  <c r="G5276" i="56"/>
  <c r="I5276" i="56" s="1"/>
  <c r="G5277" i="56"/>
  <c r="G5278" i="56"/>
  <c r="G5279" i="56"/>
  <c r="G5280" i="56"/>
  <c r="G5281" i="56"/>
  <c r="G5282" i="56"/>
  <c r="G5283" i="56"/>
  <c r="G5284" i="56"/>
  <c r="G5285" i="56"/>
  <c r="I5285" i="56" s="1"/>
  <c r="G5286" i="56"/>
  <c r="G5287" i="56"/>
  <c r="G5288" i="56"/>
  <c r="I5288" i="56" s="1"/>
  <c r="G5289" i="56"/>
  <c r="G5290" i="56"/>
  <c r="G5291" i="56"/>
  <c r="G5292" i="56"/>
  <c r="G5293" i="56"/>
  <c r="G5294" i="56"/>
  <c r="G5295" i="56"/>
  <c r="G5296" i="56"/>
  <c r="G5297" i="56"/>
  <c r="I5297" i="56" s="1"/>
  <c r="G5298" i="56"/>
  <c r="G5299" i="56"/>
  <c r="G5300" i="56"/>
  <c r="I5300" i="56" s="1"/>
  <c r="G5301" i="56"/>
  <c r="G5302" i="56"/>
  <c r="G5303" i="56"/>
  <c r="G5304" i="56"/>
  <c r="G5305" i="56"/>
  <c r="G5306" i="56"/>
  <c r="G5307" i="56"/>
  <c r="G5308" i="56"/>
  <c r="G5309" i="56"/>
  <c r="I5309" i="56" s="1"/>
  <c r="G5310" i="56"/>
  <c r="G5311" i="56"/>
  <c r="G5312" i="56"/>
  <c r="I5312" i="56" s="1"/>
  <c r="G5313" i="56"/>
  <c r="G5314" i="56"/>
  <c r="G5315" i="56"/>
  <c r="G5316" i="56"/>
  <c r="G5317" i="56"/>
  <c r="G5318" i="56"/>
  <c r="G5319" i="56"/>
  <c r="G5320" i="56"/>
  <c r="G5321" i="56"/>
  <c r="I5321" i="56" s="1"/>
  <c r="G5322" i="56"/>
  <c r="G5323" i="56"/>
  <c r="G5324" i="56"/>
  <c r="I5324" i="56" s="1"/>
  <c r="G5325" i="56"/>
  <c r="G5326" i="56"/>
  <c r="G5327" i="56"/>
  <c r="G5328" i="56"/>
  <c r="G5329" i="56"/>
  <c r="G5330" i="56"/>
  <c r="G5331" i="56"/>
  <c r="G5332" i="56"/>
  <c r="G5333" i="56"/>
  <c r="I5333" i="56" s="1"/>
  <c r="G5334" i="56"/>
  <c r="G5335" i="56"/>
  <c r="G5336" i="56"/>
  <c r="I5336" i="56" s="1"/>
  <c r="G5337" i="56"/>
  <c r="G5338" i="56"/>
  <c r="G5339" i="56"/>
  <c r="G5340" i="56"/>
  <c r="G5341" i="56"/>
  <c r="G5342" i="56"/>
  <c r="G5343" i="56"/>
  <c r="G5344" i="56"/>
  <c r="G5345" i="56"/>
  <c r="I5345" i="56" s="1"/>
  <c r="G5346" i="56"/>
  <c r="G5347" i="56"/>
  <c r="G5348" i="56"/>
  <c r="I5348" i="56" s="1"/>
  <c r="G5349" i="56"/>
  <c r="G5350" i="56"/>
  <c r="G5351" i="56"/>
  <c r="G5352" i="56"/>
  <c r="G5353" i="56"/>
  <c r="G5354" i="56"/>
  <c r="G5355" i="56"/>
  <c r="G5356" i="56"/>
  <c r="G5357" i="56"/>
  <c r="I5357" i="56" s="1"/>
  <c r="G5358" i="56"/>
  <c r="G5359" i="56"/>
  <c r="G5360" i="56"/>
  <c r="I5360" i="56" s="1"/>
  <c r="G5361" i="56"/>
  <c r="G5362" i="56"/>
  <c r="G5363" i="56"/>
  <c r="G5364" i="56"/>
  <c r="G5365" i="56"/>
  <c r="G5366" i="56"/>
  <c r="G5367" i="56"/>
  <c r="G5368" i="56"/>
  <c r="G5369" i="56"/>
  <c r="I5369" i="56" s="1"/>
  <c r="G5370" i="56"/>
  <c r="G5371" i="56"/>
  <c r="G5372" i="56"/>
  <c r="I5372" i="56" s="1"/>
  <c r="G5373" i="56"/>
  <c r="G5374" i="56"/>
  <c r="G5375" i="56"/>
  <c r="G5376" i="56"/>
  <c r="G5377" i="56"/>
  <c r="G5378" i="56"/>
  <c r="G5379" i="56"/>
  <c r="G5380" i="56"/>
  <c r="G5381" i="56"/>
  <c r="I5381" i="56" s="1"/>
  <c r="G5382" i="56"/>
  <c r="G5383" i="56"/>
  <c r="G5384" i="56"/>
  <c r="I5384" i="56" s="1"/>
  <c r="G5385" i="56"/>
  <c r="G5386" i="56"/>
  <c r="G5387" i="56"/>
  <c r="G5388" i="56"/>
  <c r="G5389" i="56"/>
  <c r="G5390" i="56"/>
  <c r="G5391" i="56"/>
  <c r="G5392" i="56"/>
  <c r="G5393" i="56"/>
  <c r="I5393" i="56" s="1"/>
  <c r="G5394" i="56"/>
  <c r="G5395" i="56"/>
  <c r="G5396" i="56"/>
  <c r="I5396" i="56" s="1"/>
  <c r="G5397" i="56"/>
  <c r="G5398" i="56"/>
  <c r="G5399" i="56"/>
  <c r="G5400" i="56"/>
  <c r="G5401" i="56"/>
  <c r="G5402" i="56"/>
  <c r="G5403" i="56"/>
  <c r="G5404" i="56"/>
  <c r="G5405" i="56"/>
  <c r="I5405" i="56" s="1"/>
  <c r="G5406" i="56"/>
  <c r="G5407" i="56"/>
  <c r="G5408" i="56"/>
  <c r="I5408" i="56" s="1"/>
  <c r="G5409" i="56"/>
  <c r="G5410" i="56"/>
  <c r="G5411" i="56"/>
  <c r="G5412" i="56"/>
  <c r="G5413" i="56"/>
  <c r="G5414" i="56"/>
  <c r="G5415" i="56"/>
  <c r="G5416" i="56"/>
  <c r="G5417" i="56"/>
  <c r="I5417" i="56" s="1"/>
  <c r="G5418" i="56"/>
  <c r="G5419" i="56"/>
  <c r="G5420" i="56"/>
  <c r="I5420" i="56" s="1"/>
  <c r="G5421" i="56"/>
  <c r="G5422" i="56"/>
  <c r="G5423" i="56"/>
  <c r="G5424" i="56"/>
  <c r="G5425" i="56"/>
  <c r="G5426" i="56"/>
  <c r="G5427" i="56"/>
  <c r="G5428" i="56"/>
  <c r="G5429" i="56"/>
  <c r="I5429" i="56" s="1"/>
  <c r="G5430" i="56"/>
  <c r="G5431" i="56"/>
  <c r="G5432" i="56"/>
  <c r="I5432" i="56" s="1"/>
  <c r="G5433" i="56"/>
  <c r="G5434" i="56"/>
  <c r="G5435" i="56"/>
  <c r="G5436" i="56"/>
  <c r="G5437" i="56"/>
  <c r="G5438" i="56"/>
  <c r="G5439" i="56"/>
  <c r="G5440" i="56"/>
  <c r="G5441" i="56"/>
  <c r="I5441" i="56" s="1"/>
  <c r="G5442" i="56"/>
  <c r="G5443" i="56"/>
  <c r="G5444" i="56"/>
  <c r="I5444" i="56" s="1"/>
  <c r="G5445" i="56"/>
  <c r="G5446" i="56"/>
  <c r="G5447" i="56"/>
  <c r="G5448" i="56"/>
  <c r="G5449" i="56"/>
  <c r="G5450" i="56"/>
  <c r="G5451" i="56"/>
  <c r="G5452" i="56"/>
  <c r="G5453" i="56"/>
  <c r="I5453" i="56" s="1"/>
  <c r="G5454" i="56"/>
  <c r="G5455" i="56"/>
  <c r="G5456" i="56"/>
  <c r="I5456" i="56" s="1"/>
  <c r="G5457" i="56"/>
  <c r="G5458" i="56"/>
  <c r="G5459" i="56"/>
  <c r="G5460" i="56"/>
  <c r="G5461" i="56"/>
  <c r="G5462" i="56"/>
  <c r="G5463" i="56"/>
  <c r="G5464" i="56"/>
  <c r="G5465" i="56"/>
  <c r="I5465" i="56" s="1"/>
  <c r="G5466" i="56"/>
  <c r="G5467" i="56"/>
  <c r="G5468" i="56"/>
  <c r="I5468" i="56" s="1"/>
  <c r="G5469" i="56"/>
  <c r="G5470" i="56"/>
  <c r="G5471" i="56"/>
  <c r="G5472" i="56"/>
  <c r="G5473" i="56"/>
  <c r="G5474" i="56"/>
  <c r="G5475" i="56"/>
  <c r="G5476" i="56"/>
  <c r="G5477" i="56"/>
  <c r="I5477" i="56" s="1"/>
  <c r="G5478" i="56"/>
  <c r="G5479" i="56"/>
  <c r="G5480" i="56"/>
  <c r="I5480" i="56" s="1"/>
  <c r="G5481" i="56"/>
  <c r="G5482" i="56"/>
  <c r="G5483" i="56"/>
  <c r="G5484" i="56"/>
  <c r="G5485" i="56"/>
  <c r="G5486" i="56"/>
  <c r="G5487" i="56"/>
  <c r="G5488" i="56"/>
  <c r="G5489" i="56"/>
  <c r="I5489" i="56" s="1"/>
  <c r="G5490" i="56"/>
  <c r="G5491" i="56"/>
  <c r="G5492" i="56"/>
  <c r="I5492" i="56" s="1"/>
  <c r="G5493" i="56"/>
  <c r="G5494" i="56"/>
  <c r="G5495" i="56"/>
  <c r="G5496" i="56"/>
  <c r="G5497" i="56"/>
  <c r="G5498" i="56"/>
  <c r="G5499" i="56"/>
  <c r="G5500" i="56"/>
  <c r="G5501" i="56"/>
  <c r="I5501" i="56" s="1"/>
  <c r="G5502" i="56"/>
  <c r="G5503" i="56"/>
  <c r="G5504" i="56"/>
  <c r="I5504" i="56" s="1"/>
  <c r="G5505" i="56"/>
  <c r="G5506" i="56"/>
  <c r="G5507" i="56"/>
  <c r="G5508" i="56"/>
  <c r="G5509" i="56"/>
  <c r="G5510" i="56"/>
  <c r="G5511" i="56"/>
  <c r="G5512" i="56"/>
  <c r="G5513" i="56"/>
  <c r="I5513" i="56" s="1"/>
  <c r="G5514" i="56"/>
  <c r="G5515" i="56"/>
  <c r="G5516" i="56"/>
  <c r="I5516" i="56" s="1"/>
  <c r="G5517" i="56"/>
  <c r="G5518" i="56"/>
  <c r="G5519" i="56"/>
  <c r="G5520" i="56"/>
  <c r="G5521" i="56"/>
  <c r="G5522" i="56"/>
  <c r="G5523" i="56"/>
  <c r="G5524" i="56"/>
  <c r="G5525" i="56"/>
  <c r="I5525" i="56" s="1"/>
  <c r="G5526" i="56"/>
  <c r="G5527" i="56"/>
  <c r="G5528" i="56"/>
  <c r="I5528" i="56" s="1"/>
  <c r="G5529" i="56"/>
  <c r="G5530" i="56"/>
  <c r="G5531" i="56"/>
  <c r="G5532" i="56"/>
  <c r="G5533" i="56"/>
  <c r="G5534" i="56"/>
  <c r="G5535" i="56"/>
  <c r="G5536" i="56"/>
  <c r="G5537" i="56"/>
  <c r="I5537" i="56" s="1"/>
  <c r="G5538" i="56"/>
  <c r="G5539" i="56"/>
  <c r="G5540" i="56"/>
  <c r="I5540" i="56" s="1"/>
  <c r="G5541" i="56"/>
  <c r="G5542" i="56"/>
  <c r="G5543" i="56"/>
  <c r="G5544" i="56"/>
  <c r="G5545" i="56"/>
  <c r="G5546" i="56"/>
  <c r="G5547" i="56"/>
  <c r="G5548" i="56"/>
  <c r="G5549" i="56"/>
  <c r="I5549" i="56" s="1"/>
  <c r="G5550" i="56"/>
  <c r="G5551" i="56"/>
  <c r="G5552" i="56"/>
  <c r="G5553" i="56"/>
  <c r="G5554" i="56"/>
  <c r="G5555" i="56"/>
  <c r="G5556" i="56"/>
  <c r="G5557" i="56"/>
  <c r="G5558" i="56"/>
  <c r="G5559" i="56"/>
  <c r="G5560" i="56"/>
  <c r="G5561" i="56"/>
  <c r="I5561" i="56" s="1"/>
  <c r="G5562" i="56"/>
  <c r="G5563" i="56"/>
  <c r="G5564" i="56"/>
  <c r="I5564" i="56" s="1"/>
  <c r="G5565" i="56"/>
  <c r="G5566" i="56"/>
  <c r="G5567" i="56"/>
  <c r="G5568" i="56"/>
  <c r="G5569" i="56"/>
  <c r="G5570" i="56"/>
  <c r="G5571" i="56"/>
  <c r="G5572" i="56"/>
  <c r="G5573" i="56"/>
  <c r="I5573" i="56" s="1"/>
  <c r="G5574" i="56"/>
  <c r="G5575" i="56"/>
  <c r="G5576" i="56"/>
  <c r="G5577" i="56"/>
  <c r="G5578" i="56"/>
  <c r="G5579" i="56"/>
  <c r="G5580" i="56"/>
  <c r="G5581" i="56"/>
  <c r="G5582" i="56"/>
  <c r="G5583" i="56"/>
  <c r="G5584" i="56"/>
  <c r="G5585" i="56"/>
  <c r="I5585" i="56" s="1"/>
  <c r="G5586" i="56"/>
  <c r="G5587" i="56"/>
  <c r="G5588" i="56"/>
  <c r="I5588" i="56" s="1"/>
  <c r="G5589" i="56"/>
  <c r="G5590" i="56"/>
  <c r="G5591" i="56"/>
  <c r="G5592" i="56"/>
  <c r="G5593" i="56"/>
  <c r="G5594" i="56"/>
  <c r="G5595" i="56"/>
  <c r="G5596" i="56"/>
  <c r="G5597" i="56"/>
  <c r="I5597" i="56" s="1"/>
  <c r="G5598" i="56"/>
  <c r="G5599" i="56"/>
  <c r="G5600" i="56"/>
  <c r="I5600" i="56" s="1"/>
  <c r="G5601" i="56"/>
  <c r="G5602" i="56"/>
  <c r="G5603" i="56"/>
  <c r="G5604" i="56"/>
  <c r="G5605" i="56"/>
  <c r="G5606" i="56"/>
  <c r="G5607" i="56"/>
  <c r="G5608" i="56"/>
  <c r="G5609" i="56"/>
  <c r="I5609" i="56" s="1"/>
  <c r="G5610" i="56"/>
  <c r="G5611" i="56"/>
  <c r="G5612" i="56"/>
  <c r="I5612" i="56" s="1"/>
  <c r="G5613" i="56"/>
  <c r="G5614" i="56"/>
  <c r="G5615" i="56"/>
  <c r="G5616" i="56"/>
  <c r="G5617" i="56"/>
  <c r="G5618" i="56"/>
  <c r="G5619" i="56"/>
  <c r="G5620" i="56"/>
  <c r="G5621" i="56"/>
  <c r="I5621" i="56" s="1"/>
  <c r="G5622" i="56"/>
  <c r="G5623" i="56"/>
  <c r="G5624" i="56"/>
  <c r="I5624" i="56" s="1"/>
  <c r="G5625" i="56"/>
  <c r="G5626" i="56"/>
  <c r="G5627" i="56"/>
  <c r="G5628" i="56"/>
  <c r="G5629" i="56"/>
  <c r="G5630" i="56"/>
  <c r="G5631" i="56"/>
  <c r="G5632" i="56"/>
  <c r="G5633" i="56"/>
  <c r="I5633" i="56" s="1"/>
  <c r="G5634" i="56"/>
  <c r="G5635" i="56"/>
  <c r="G5636" i="56"/>
  <c r="I5636" i="56" s="1"/>
  <c r="G5637" i="56"/>
  <c r="G5638" i="56"/>
  <c r="G5639" i="56"/>
  <c r="G5640" i="56"/>
  <c r="G5641" i="56"/>
  <c r="G5642" i="56"/>
  <c r="G5643" i="56"/>
  <c r="G5644" i="56"/>
  <c r="G5645" i="56"/>
  <c r="I5645" i="56" s="1"/>
  <c r="G5646" i="56"/>
  <c r="G5647" i="56"/>
  <c r="G5648" i="56"/>
  <c r="I5648" i="56" s="1"/>
  <c r="G5649" i="56"/>
  <c r="G5650" i="56"/>
  <c r="G5651" i="56"/>
  <c r="G5652" i="56"/>
  <c r="G5653" i="56"/>
  <c r="G5654" i="56"/>
  <c r="G5655" i="56"/>
  <c r="G5656" i="56"/>
  <c r="G5657" i="56"/>
  <c r="I5657" i="56" s="1"/>
  <c r="G5658" i="56"/>
  <c r="G5659" i="56"/>
  <c r="G5660" i="56"/>
  <c r="I5660" i="56" s="1"/>
  <c r="G5661" i="56"/>
  <c r="G5662" i="56"/>
  <c r="G5663" i="56"/>
  <c r="G5664" i="56"/>
  <c r="G5665" i="56"/>
  <c r="G5666" i="56"/>
  <c r="G5667" i="56"/>
  <c r="G5668" i="56"/>
  <c r="G5669" i="56"/>
  <c r="I5669" i="56" s="1"/>
  <c r="G5670" i="56"/>
  <c r="G5671" i="56"/>
  <c r="G5672" i="56"/>
  <c r="I5672" i="56" s="1"/>
  <c r="G5673" i="56"/>
  <c r="G5674" i="56"/>
  <c r="G5675" i="56"/>
  <c r="G5676" i="56"/>
  <c r="G5677" i="56"/>
  <c r="G5678" i="56"/>
  <c r="G5679" i="56"/>
  <c r="G5680" i="56"/>
  <c r="G5681" i="56"/>
  <c r="I5681" i="56" s="1"/>
  <c r="G5682" i="56"/>
  <c r="G5683" i="56"/>
  <c r="G5684" i="56"/>
  <c r="I5684" i="56" s="1"/>
  <c r="G5685" i="56"/>
  <c r="G5686" i="56"/>
  <c r="G5687" i="56"/>
  <c r="G5688" i="56"/>
  <c r="G5689" i="56"/>
  <c r="G5690" i="56"/>
  <c r="G5691" i="56"/>
  <c r="G5692" i="56"/>
  <c r="G5693" i="56"/>
  <c r="I5693" i="56" s="1"/>
  <c r="G5694" i="56"/>
  <c r="G5695" i="56"/>
  <c r="G5696" i="56"/>
  <c r="I5696" i="56" s="1"/>
  <c r="G5697" i="56"/>
  <c r="G5698" i="56"/>
  <c r="G5699" i="56"/>
  <c r="G5700" i="56"/>
  <c r="G5701" i="56"/>
  <c r="G5702" i="56"/>
  <c r="G5703" i="56"/>
  <c r="G5704" i="56"/>
  <c r="G5705" i="56"/>
  <c r="I5705" i="56" s="1"/>
  <c r="G5706" i="56"/>
  <c r="G5707" i="56"/>
  <c r="G5708" i="56"/>
  <c r="I5708" i="56" s="1"/>
  <c r="G5709" i="56"/>
  <c r="G5710" i="56"/>
  <c r="G5711" i="56"/>
  <c r="G5712" i="56"/>
  <c r="G5713" i="56"/>
  <c r="G5714" i="56"/>
  <c r="G5715" i="56"/>
  <c r="G5716" i="56"/>
  <c r="G5717" i="56"/>
  <c r="I5717" i="56" s="1"/>
  <c r="G5718" i="56"/>
  <c r="G5719" i="56"/>
  <c r="G5720" i="56"/>
  <c r="I5720" i="56" s="1"/>
  <c r="G5721" i="56"/>
  <c r="G5722" i="56"/>
  <c r="G5723" i="56"/>
  <c r="G5724" i="56"/>
  <c r="G5725" i="56"/>
  <c r="G5726" i="56"/>
  <c r="G5727" i="56"/>
  <c r="G5728" i="56"/>
  <c r="G5729" i="56"/>
  <c r="I5729" i="56" s="1"/>
  <c r="G5730" i="56"/>
  <c r="G5731" i="56"/>
  <c r="G5732" i="56"/>
  <c r="I5732" i="56" s="1"/>
  <c r="G5733" i="56"/>
  <c r="G5734" i="56"/>
  <c r="G5735" i="56"/>
  <c r="G5736" i="56"/>
  <c r="G5737" i="56"/>
  <c r="G5738" i="56"/>
  <c r="G5739" i="56"/>
  <c r="G5740" i="56"/>
  <c r="G5741" i="56"/>
  <c r="I5741" i="56" s="1"/>
  <c r="G5742" i="56"/>
  <c r="G5743" i="56"/>
  <c r="G5744" i="56"/>
  <c r="I5744" i="56" s="1"/>
  <c r="G5745" i="56"/>
  <c r="G5746" i="56"/>
  <c r="G5747" i="56"/>
  <c r="G5748" i="56"/>
  <c r="G5749" i="56"/>
  <c r="G5750" i="56"/>
  <c r="G5751" i="56"/>
  <c r="G5752" i="56"/>
  <c r="G5753" i="56"/>
  <c r="G5754" i="56"/>
  <c r="G5755" i="56"/>
  <c r="G5756" i="56"/>
  <c r="I5756" i="56" s="1"/>
  <c r="G5757" i="56"/>
  <c r="G5758" i="56"/>
  <c r="G5759" i="56"/>
  <c r="G5760" i="56"/>
  <c r="G5761" i="56"/>
  <c r="G5762" i="56"/>
  <c r="G5763" i="56"/>
  <c r="G5764" i="56"/>
  <c r="G5765" i="56"/>
  <c r="I5765" i="56" s="1"/>
  <c r="G5766" i="56"/>
  <c r="G5767" i="56"/>
  <c r="G5768" i="56"/>
  <c r="I5768" i="56" s="1"/>
  <c r="G5769" i="56"/>
  <c r="G5770" i="56"/>
  <c r="G5771" i="56"/>
  <c r="G5772" i="56"/>
  <c r="G5773" i="56"/>
  <c r="G5774" i="56"/>
  <c r="G5775" i="56"/>
  <c r="G5776" i="56"/>
  <c r="G5777" i="56"/>
  <c r="I5777" i="56" s="1"/>
  <c r="G5778" i="56"/>
  <c r="G5779" i="56"/>
  <c r="G5780" i="56"/>
  <c r="I5780" i="56" s="1"/>
  <c r="G5781" i="56"/>
  <c r="G5782" i="56"/>
  <c r="G5783" i="56"/>
  <c r="G5784" i="56"/>
  <c r="G5785" i="56"/>
  <c r="G5786" i="56"/>
  <c r="G5787" i="56"/>
  <c r="G5788" i="56"/>
  <c r="G5789" i="56"/>
  <c r="I5789" i="56" s="1"/>
  <c r="G5790" i="56"/>
  <c r="G5791" i="56"/>
  <c r="G5792" i="56"/>
  <c r="I5792" i="56" s="1"/>
  <c r="G5793" i="56"/>
  <c r="G5794" i="56"/>
  <c r="G5795" i="56"/>
  <c r="G5796" i="56"/>
  <c r="G5797" i="56"/>
  <c r="G5798" i="56"/>
  <c r="G5799" i="56"/>
  <c r="G5800" i="56"/>
  <c r="G5801" i="56"/>
  <c r="I5801" i="56" s="1"/>
  <c r="G5802" i="56"/>
  <c r="G5803" i="56"/>
  <c r="G5804" i="56"/>
  <c r="I5804" i="56" s="1"/>
  <c r="G5805" i="56"/>
  <c r="G5806" i="56"/>
  <c r="G5807" i="56"/>
  <c r="G5808" i="56"/>
  <c r="G5809" i="56"/>
  <c r="G5810" i="56"/>
  <c r="G5811" i="56"/>
  <c r="G5812" i="56"/>
  <c r="G5813" i="56"/>
  <c r="I5813" i="56" s="1"/>
  <c r="G5814" i="56"/>
  <c r="G5815" i="56"/>
  <c r="G5816" i="56"/>
  <c r="I5816" i="56" s="1"/>
  <c r="G5817" i="56"/>
  <c r="G5818" i="56"/>
  <c r="G5819" i="56"/>
  <c r="G5820" i="56"/>
  <c r="G5821" i="56"/>
  <c r="G5822" i="56"/>
  <c r="G5823" i="56"/>
  <c r="G5824" i="56"/>
  <c r="G5825" i="56"/>
  <c r="I5825" i="56" s="1"/>
  <c r="G5826" i="56"/>
  <c r="G5827" i="56"/>
  <c r="G5828" i="56"/>
  <c r="I5828" i="56" s="1"/>
  <c r="G5829" i="56"/>
  <c r="G5830" i="56"/>
  <c r="G5831" i="56"/>
  <c r="G5832" i="56"/>
  <c r="G5833" i="56"/>
  <c r="G5834" i="56"/>
  <c r="G5835" i="56"/>
  <c r="G5836" i="56"/>
  <c r="G5837" i="56"/>
  <c r="I5837" i="56" s="1"/>
  <c r="G5838" i="56"/>
  <c r="G5839" i="56"/>
  <c r="G5840" i="56"/>
  <c r="I5840" i="56" s="1"/>
  <c r="G5841" i="56"/>
  <c r="G5842" i="56"/>
  <c r="G5843" i="56"/>
  <c r="G5844" i="56"/>
  <c r="G5845" i="56"/>
  <c r="G5846" i="56"/>
  <c r="G5847" i="56"/>
  <c r="G5848" i="56"/>
  <c r="G5849" i="56"/>
  <c r="I5849" i="56" s="1"/>
  <c r="G5850" i="56"/>
  <c r="G5851" i="56"/>
  <c r="G5852" i="56"/>
  <c r="I5852" i="56" s="1"/>
  <c r="G5853" i="56"/>
  <c r="G5854" i="56"/>
  <c r="G5855" i="56"/>
  <c r="G5856" i="56"/>
  <c r="G5857" i="56"/>
  <c r="G5858" i="56"/>
  <c r="G5859" i="56"/>
  <c r="G5860" i="56"/>
  <c r="G5861" i="56"/>
  <c r="I5861" i="56" s="1"/>
  <c r="G5862" i="56"/>
  <c r="G5863" i="56"/>
  <c r="G5864" i="56"/>
  <c r="I5864" i="56" s="1"/>
  <c r="G5865" i="56"/>
  <c r="G5866" i="56"/>
  <c r="G5867" i="56"/>
  <c r="G5868" i="56"/>
  <c r="G5869" i="56"/>
  <c r="G5870" i="56"/>
  <c r="G5871" i="56"/>
  <c r="G5872" i="56"/>
  <c r="G5873" i="56"/>
  <c r="I5873" i="56" s="1"/>
  <c r="G5874" i="56"/>
  <c r="G5875" i="56"/>
  <c r="G5876" i="56"/>
  <c r="I5876" i="56" s="1"/>
  <c r="G5877" i="56"/>
  <c r="G5878" i="56"/>
  <c r="G5879" i="56"/>
  <c r="G5880" i="56"/>
  <c r="G5881" i="56"/>
  <c r="G5882" i="56"/>
  <c r="G5883" i="56"/>
  <c r="G5884" i="56"/>
  <c r="G5885" i="56"/>
  <c r="I5885" i="56" s="1"/>
  <c r="G5886" i="56"/>
  <c r="G5887" i="56"/>
  <c r="G5888" i="56"/>
  <c r="G5889" i="56"/>
  <c r="G5890" i="56"/>
  <c r="G5891" i="56"/>
  <c r="G5892" i="56"/>
  <c r="G5893" i="56"/>
  <c r="G5894" i="56"/>
  <c r="G5895" i="56"/>
  <c r="G5896" i="56"/>
  <c r="G5897" i="56"/>
  <c r="I5897" i="56" s="1"/>
  <c r="G5898" i="56"/>
  <c r="G5899" i="56"/>
  <c r="G5900" i="56"/>
  <c r="I5900" i="56" s="1"/>
  <c r="G5901" i="56"/>
  <c r="G5902" i="56"/>
  <c r="G5903" i="56"/>
  <c r="G5904" i="56"/>
  <c r="G5905" i="56"/>
  <c r="G5906" i="56"/>
  <c r="G5907" i="56"/>
  <c r="G5908" i="56"/>
  <c r="G5909" i="56"/>
  <c r="I5909" i="56" s="1"/>
  <c r="G5910" i="56"/>
  <c r="G5911" i="56"/>
  <c r="G5912" i="56"/>
  <c r="I5912" i="56" s="1"/>
  <c r="G5913" i="56"/>
  <c r="G5914" i="56"/>
  <c r="G5915" i="56"/>
  <c r="G5916" i="56"/>
  <c r="G5917" i="56"/>
  <c r="G5918" i="56"/>
  <c r="G5919" i="56"/>
  <c r="G5920" i="56"/>
  <c r="G5921" i="56"/>
  <c r="I5921" i="56" s="1"/>
  <c r="G5922" i="56"/>
  <c r="G5923" i="56"/>
  <c r="G5924" i="56"/>
  <c r="I5924" i="56" s="1"/>
  <c r="G5925" i="56"/>
  <c r="G5926" i="56"/>
  <c r="G5927" i="56"/>
  <c r="G5928" i="56"/>
  <c r="G5929" i="56"/>
  <c r="G5930" i="56"/>
  <c r="G5931" i="56"/>
  <c r="G5932" i="56"/>
  <c r="G5933" i="56"/>
  <c r="I5933" i="56" s="1"/>
  <c r="G5934" i="56"/>
  <c r="G5935" i="56"/>
  <c r="G5936" i="56"/>
  <c r="I5936" i="56" s="1"/>
  <c r="G5937" i="56"/>
  <c r="G5938" i="56"/>
  <c r="G5939" i="56"/>
  <c r="G5940" i="56"/>
  <c r="G5941" i="56"/>
  <c r="G5942" i="56"/>
  <c r="G5943" i="56"/>
  <c r="G5944" i="56"/>
  <c r="G5945" i="56"/>
  <c r="I5945" i="56" s="1"/>
  <c r="G5946" i="56"/>
  <c r="G5947" i="56"/>
  <c r="G5948" i="56"/>
  <c r="I5948" i="56" s="1"/>
  <c r="G5949" i="56"/>
  <c r="G5950" i="56"/>
  <c r="G5951" i="56"/>
  <c r="G5952" i="56"/>
  <c r="G5953" i="56"/>
  <c r="G5954" i="56"/>
  <c r="G5955" i="56"/>
  <c r="G5956" i="56"/>
  <c r="G5957" i="56"/>
  <c r="I5957" i="56" s="1"/>
  <c r="G5958" i="56"/>
  <c r="G5959" i="56"/>
  <c r="G5960" i="56"/>
  <c r="I5960" i="56" s="1"/>
  <c r="G5961" i="56"/>
  <c r="G5962" i="56"/>
  <c r="G5963" i="56"/>
  <c r="G5964" i="56"/>
  <c r="G5965" i="56"/>
  <c r="G5966" i="56"/>
  <c r="G5967" i="56"/>
  <c r="G5968" i="56"/>
  <c r="G5969" i="56"/>
  <c r="I5969" i="56" s="1"/>
  <c r="G5970" i="56"/>
  <c r="G5971" i="56"/>
  <c r="G5972" i="56"/>
  <c r="G5973" i="56"/>
  <c r="G5974" i="56"/>
  <c r="G5975" i="56"/>
  <c r="G5976" i="56"/>
  <c r="G5977" i="56"/>
  <c r="G5978" i="56"/>
  <c r="G5979" i="56"/>
  <c r="G5980" i="56"/>
  <c r="G5981" i="56"/>
  <c r="I5981" i="56" s="1"/>
  <c r="G5982" i="56"/>
  <c r="G5983" i="56"/>
  <c r="G5984" i="56"/>
  <c r="I5984" i="56" s="1"/>
  <c r="G5985" i="56"/>
  <c r="G5986" i="56"/>
  <c r="G5987" i="56"/>
  <c r="G5988" i="56"/>
  <c r="G5989" i="56"/>
  <c r="G5990" i="56"/>
  <c r="G5991" i="56"/>
  <c r="G5992" i="56"/>
  <c r="G5993" i="56"/>
  <c r="I5993" i="56" s="1"/>
  <c r="G5994" i="56"/>
  <c r="G5995" i="56"/>
  <c r="G5996" i="56"/>
  <c r="G5997" i="56"/>
  <c r="G5998" i="56"/>
  <c r="G5999" i="56"/>
  <c r="G6000" i="56"/>
  <c r="G6001" i="56"/>
  <c r="G6002" i="56"/>
  <c r="G6003" i="56"/>
  <c r="G6004" i="56"/>
  <c r="G6005" i="56"/>
  <c r="I6005" i="56" s="1"/>
  <c r="G6006" i="56"/>
  <c r="G6007" i="56"/>
  <c r="G6008" i="56"/>
  <c r="I6008" i="56" s="1"/>
  <c r="G6009" i="56"/>
  <c r="G6010" i="56"/>
  <c r="G6011" i="56"/>
  <c r="G6012" i="56"/>
  <c r="G6013" i="56"/>
  <c r="G6014" i="56"/>
  <c r="G6015" i="56"/>
  <c r="G6016" i="56"/>
  <c r="G6017" i="56"/>
  <c r="I6017" i="56" s="1"/>
  <c r="G6018" i="56"/>
  <c r="G6019" i="56"/>
  <c r="G6020" i="56"/>
  <c r="I6020" i="56" s="1"/>
  <c r="G6021" i="56"/>
  <c r="G6022" i="56"/>
  <c r="G6023" i="56"/>
  <c r="G6024" i="56"/>
  <c r="G6025" i="56"/>
  <c r="G6026" i="56"/>
  <c r="G6027" i="56"/>
  <c r="G6028" i="56"/>
  <c r="G6029" i="56"/>
  <c r="I6029" i="56" s="1"/>
  <c r="G6030" i="56"/>
  <c r="G6031" i="56"/>
  <c r="G6032" i="56"/>
  <c r="I6032" i="56" s="1"/>
  <c r="G6033" i="56"/>
  <c r="G6034" i="56"/>
  <c r="G6035" i="56"/>
  <c r="G6036" i="56"/>
  <c r="G6037" i="56"/>
  <c r="G6038" i="56"/>
  <c r="G6039" i="56"/>
  <c r="G6040" i="56"/>
  <c r="G6041" i="56"/>
  <c r="I6041" i="56" s="1"/>
  <c r="G6042" i="56"/>
  <c r="G6043" i="56"/>
  <c r="G6044" i="56"/>
  <c r="I6044" i="56" s="1"/>
  <c r="G6045" i="56"/>
  <c r="G6046" i="56"/>
  <c r="G6047" i="56"/>
  <c r="G6048" i="56"/>
  <c r="G6049" i="56"/>
  <c r="G6050" i="56"/>
  <c r="G6051" i="56"/>
  <c r="G6052" i="56"/>
  <c r="G6053" i="56"/>
  <c r="I6053" i="56" s="1"/>
  <c r="G6054" i="56"/>
  <c r="G6055" i="56"/>
  <c r="G6056" i="56"/>
  <c r="I6056" i="56" s="1"/>
  <c r="G6057" i="56"/>
  <c r="G6058" i="56"/>
  <c r="G6059" i="56"/>
  <c r="G6060" i="56"/>
  <c r="G6061" i="56"/>
  <c r="G6062" i="56"/>
  <c r="G6063" i="56"/>
  <c r="G6064" i="56"/>
  <c r="G6065" i="56"/>
  <c r="I6065" i="56" s="1"/>
  <c r="G6066" i="56"/>
  <c r="G6067" i="56"/>
  <c r="G6068" i="56"/>
  <c r="I6068" i="56" s="1"/>
  <c r="G6069" i="56"/>
  <c r="G6070" i="56"/>
  <c r="G6071" i="56"/>
  <c r="G6072" i="56"/>
  <c r="G6073" i="56"/>
  <c r="G6074" i="56"/>
  <c r="G6075" i="56"/>
  <c r="G6076" i="56"/>
  <c r="G6077" i="56"/>
  <c r="I6077" i="56" s="1"/>
  <c r="G6078" i="56"/>
  <c r="G6079" i="56"/>
  <c r="G6080" i="56"/>
  <c r="I6080" i="56" s="1"/>
  <c r="G6081" i="56"/>
  <c r="G6082" i="56"/>
  <c r="G6083" i="56"/>
  <c r="G6084" i="56"/>
  <c r="G6085" i="56"/>
  <c r="G6086" i="56"/>
  <c r="G6087" i="56"/>
  <c r="G6088" i="56"/>
  <c r="G6089" i="56"/>
  <c r="G6090" i="56"/>
  <c r="G6091" i="56"/>
  <c r="G6092" i="56"/>
  <c r="I6092" i="56" s="1"/>
  <c r="G6093" i="56"/>
  <c r="G6094" i="56"/>
  <c r="K1757" i="56"/>
  <c r="K1758" i="56"/>
  <c r="K1759" i="56"/>
  <c r="K1760" i="56"/>
  <c r="K1761" i="56"/>
  <c r="K1762" i="56"/>
  <c r="K1763" i="56"/>
  <c r="K1764" i="56"/>
  <c r="K1765" i="56"/>
  <c r="K1766" i="56"/>
  <c r="K1767" i="56"/>
  <c r="K1768" i="56"/>
  <c r="K1769" i="56"/>
  <c r="K1770" i="56"/>
  <c r="K1771" i="56"/>
  <c r="K1772" i="56"/>
  <c r="K1756" i="56"/>
  <c r="K1684" i="56"/>
  <c r="K1685" i="56"/>
  <c r="K1686" i="56"/>
  <c r="K1687" i="56"/>
  <c r="K1688" i="56"/>
  <c r="K1689" i="56"/>
  <c r="K1690" i="56"/>
  <c r="K1691" i="56"/>
  <c r="K1692" i="56"/>
  <c r="K1693" i="56"/>
  <c r="K1694" i="56"/>
  <c r="K1695" i="56"/>
  <c r="K1696" i="56"/>
  <c r="K1697" i="56"/>
  <c r="K1698" i="56"/>
  <c r="K1699" i="56"/>
  <c r="K1700" i="56"/>
  <c r="K1701" i="56"/>
  <c r="K1702" i="56"/>
  <c r="K1703" i="56"/>
  <c r="K1704" i="56"/>
  <c r="K1705" i="56"/>
  <c r="K1706" i="56"/>
  <c r="K1707" i="56"/>
  <c r="K1708" i="56"/>
  <c r="K1709" i="56"/>
  <c r="K1710" i="56"/>
  <c r="K1711" i="56"/>
  <c r="K1712" i="56"/>
  <c r="K1713" i="56"/>
  <c r="K1714" i="56"/>
  <c r="K1715" i="56"/>
  <c r="K1716" i="56"/>
  <c r="K1717" i="56"/>
  <c r="K1718" i="56"/>
  <c r="K1719" i="56"/>
  <c r="K1720" i="56"/>
  <c r="K1721" i="56"/>
  <c r="K1722" i="56"/>
  <c r="K1723" i="56"/>
  <c r="K1724" i="56"/>
  <c r="K1725" i="56"/>
  <c r="K1726" i="56"/>
  <c r="K1727" i="56"/>
  <c r="K1728" i="56"/>
  <c r="K1729" i="56"/>
  <c r="K1730" i="56"/>
  <c r="K1731" i="56"/>
  <c r="K1732" i="56"/>
  <c r="K1733" i="56"/>
  <c r="K1734" i="56"/>
  <c r="K1735" i="56"/>
  <c r="K1736" i="56"/>
  <c r="K1737" i="56"/>
  <c r="K1738" i="56"/>
  <c r="K1739" i="56"/>
  <c r="K1740" i="56"/>
  <c r="K1741" i="56"/>
  <c r="K1742" i="56"/>
  <c r="K1743" i="56"/>
  <c r="K1744" i="56"/>
  <c r="K1745" i="56"/>
  <c r="K1746" i="56"/>
  <c r="K1747" i="56"/>
  <c r="K1748" i="56"/>
  <c r="K1749" i="56"/>
  <c r="K1750" i="56"/>
  <c r="K1751" i="56"/>
  <c r="K1752" i="56"/>
  <c r="K1753" i="56"/>
  <c r="K1754" i="56"/>
  <c r="K1755" i="56"/>
  <c r="L1814" i="56"/>
  <c r="L1815" i="56"/>
  <c r="L1851" i="56"/>
  <c r="L2006" i="56"/>
  <c r="L2126" i="56"/>
  <c r="L2127" i="56"/>
  <c r="L2162" i="56"/>
  <c r="L2318" i="56"/>
  <c r="L2475" i="56"/>
  <c r="L2499" i="56"/>
  <c r="L2547" i="56"/>
  <c r="L2739" i="56"/>
  <c r="L2882" i="56"/>
  <c r="L2894" i="56"/>
  <c r="L2967" i="56"/>
  <c r="L3207" i="56"/>
  <c r="L3338" i="56"/>
  <c r="L3363" i="56"/>
  <c r="L3435" i="56"/>
  <c r="L3747" i="56"/>
  <c r="L3926" i="56"/>
  <c r="L3939" i="56"/>
  <c r="L3999" i="56"/>
  <c r="L4455" i="56"/>
  <c r="L4478" i="56"/>
  <c r="L4551" i="56"/>
  <c r="L4730" i="56"/>
  <c r="L4742" i="56"/>
  <c r="L4839" i="56"/>
  <c r="L4863" i="56"/>
  <c r="L4923" i="56"/>
  <c r="L4982" i="56"/>
  <c r="L5090" i="56"/>
  <c r="L5271" i="56"/>
  <c r="L5403" i="56"/>
  <c r="L6015" i="56"/>
  <c r="L1862" i="56"/>
  <c r="L1874" i="56"/>
  <c r="L2090" i="56"/>
  <c r="L2654" i="56"/>
  <c r="L3362" i="56"/>
  <c r="L3711" i="56"/>
  <c r="L4466" i="56"/>
  <c r="H171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C3" i="56"/>
  <c r="D3" i="56" s="1"/>
  <c r="E3" i="56"/>
  <c r="F3" i="56" s="1"/>
  <c r="G3" i="56"/>
  <c r="I3" i="56" s="1"/>
  <c r="H3" i="56"/>
  <c r="J3" i="56"/>
  <c r="K3" i="56"/>
  <c r="C4" i="56"/>
  <c r="D4" i="56" s="1"/>
  <c r="E4" i="56"/>
  <c r="F4" i="56" s="1"/>
  <c r="G4" i="56"/>
  <c r="I4" i="56" s="1"/>
  <c r="H4" i="56"/>
  <c r="J4" i="56"/>
  <c r="K4" i="56"/>
  <c r="C5" i="56"/>
  <c r="D5" i="56" s="1"/>
  <c r="E5" i="56"/>
  <c r="F5" i="56" s="1"/>
  <c r="G5" i="56"/>
  <c r="I5" i="56" s="1"/>
  <c r="H5" i="56"/>
  <c r="J5" i="56"/>
  <c r="K5" i="56"/>
  <c r="C6" i="56"/>
  <c r="D6" i="56" s="1"/>
  <c r="E6" i="56"/>
  <c r="F6" i="56" s="1"/>
  <c r="G6" i="56"/>
  <c r="I6" i="56" s="1"/>
  <c r="H6" i="56"/>
  <c r="J6" i="56"/>
  <c r="K6" i="56"/>
  <c r="C7" i="56"/>
  <c r="D7" i="56" s="1"/>
  <c r="E7" i="56"/>
  <c r="F7" i="56" s="1"/>
  <c r="G7" i="56"/>
  <c r="I7" i="56" s="1"/>
  <c r="H7" i="56"/>
  <c r="J7" i="56"/>
  <c r="K7" i="56"/>
  <c r="C8" i="56"/>
  <c r="D8" i="56" s="1"/>
  <c r="E8" i="56"/>
  <c r="F8" i="56"/>
  <c r="G8" i="56"/>
  <c r="I8" i="56" s="1"/>
  <c r="H8" i="56"/>
  <c r="J8" i="56"/>
  <c r="K8" i="56"/>
  <c r="C9" i="56"/>
  <c r="D9" i="56" s="1"/>
  <c r="E9" i="56"/>
  <c r="F9" i="56" s="1"/>
  <c r="G9" i="56"/>
  <c r="I9" i="56" s="1"/>
  <c r="H9" i="56"/>
  <c r="J9" i="56"/>
  <c r="K9" i="56"/>
  <c r="C10" i="56"/>
  <c r="D10" i="56" s="1"/>
  <c r="E10" i="56"/>
  <c r="F10" i="56" s="1"/>
  <c r="G10" i="56"/>
  <c r="I10" i="56" s="1"/>
  <c r="H10" i="56"/>
  <c r="J10" i="56"/>
  <c r="K10" i="56"/>
  <c r="C11" i="56"/>
  <c r="D11" i="56" s="1"/>
  <c r="E11" i="56"/>
  <c r="F11" i="56" s="1"/>
  <c r="G11" i="56"/>
  <c r="I11" i="56" s="1"/>
  <c r="H11" i="56"/>
  <c r="J11" i="56"/>
  <c r="K11" i="56"/>
  <c r="C12" i="56"/>
  <c r="D12" i="56" s="1"/>
  <c r="E12" i="56"/>
  <c r="F12" i="56" s="1"/>
  <c r="G12" i="56"/>
  <c r="I12" i="56" s="1"/>
  <c r="H12" i="56"/>
  <c r="J12" i="56"/>
  <c r="K12" i="56"/>
  <c r="C13" i="56"/>
  <c r="D13" i="56" s="1"/>
  <c r="E13" i="56"/>
  <c r="F13" i="56" s="1"/>
  <c r="G13" i="56"/>
  <c r="I13" i="56" s="1"/>
  <c r="H13" i="56"/>
  <c r="J13" i="56"/>
  <c r="K13" i="56"/>
  <c r="C14" i="56"/>
  <c r="D14" i="56"/>
  <c r="E14" i="56"/>
  <c r="F14" i="56" s="1"/>
  <c r="G14" i="56"/>
  <c r="I14" i="56" s="1"/>
  <c r="H14" i="56"/>
  <c r="J14" i="56"/>
  <c r="K14" i="56"/>
  <c r="C15" i="56"/>
  <c r="D15" i="56" s="1"/>
  <c r="E15" i="56"/>
  <c r="F15" i="56" s="1"/>
  <c r="G15" i="56"/>
  <c r="I15" i="56" s="1"/>
  <c r="H15" i="56"/>
  <c r="J15" i="56"/>
  <c r="K15" i="56"/>
  <c r="C16" i="56"/>
  <c r="D16" i="56" s="1"/>
  <c r="E16" i="56"/>
  <c r="F16" i="56" s="1"/>
  <c r="G16" i="56"/>
  <c r="I16" i="56" s="1"/>
  <c r="H16" i="56"/>
  <c r="J16" i="56"/>
  <c r="K16" i="56"/>
  <c r="C17" i="56"/>
  <c r="D17" i="56" s="1"/>
  <c r="E17" i="56"/>
  <c r="F17" i="56" s="1"/>
  <c r="G17" i="56"/>
  <c r="I17" i="56" s="1"/>
  <c r="H17" i="56"/>
  <c r="J17" i="56"/>
  <c r="K17" i="56"/>
  <c r="C18" i="56"/>
  <c r="D18" i="56" s="1"/>
  <c r="E18" i="56"/>
  <c r="F18" i="56" s="1"/>
  <c r="G18" i="56"/>
  <c r="I18" i="56" s="1"/>
  <c r="H18" i="56"/>
  <c r="J18" i="56"/>
  <c r="K18" i="56"/>
  <c r="C19" i="56"/>
  <c r="D19" i="56" s="1"/>
  <c r="E19" i="56"/>
  <c r="F19" i="56" s="1"/>
  <c r="G19" i="56"/>
  <c r="I19" i="56" s="1"/>
  <c r="H19" i="56"/>
  <c r="J19" i="56"/>
  <c r="K19" i="56"/>
  <c r="C20" i="56"/>
  <c r="D20" i="56" s="1"/>
  <c r="E20" i="56"/>
  <c r="F20" i="56" s="1"/>
  <c r="G20" i="56"/>
  <c r="I20" i="56" s="1"/>
  <c r="H20" i="56"/>
  <c r="J20" i="56"/>
  <c r="K20" i="56"/>
  <c r="C21" i="56"/>
  <c r="D21" i="56" s="1"/>
  <c r="E21" i="56"/>
  <c r="F21" i="56" s="1"/>
  <c r="G21" i="56"/>
  <c r="I21" i="56" s="1"/>
  <c r="H21" i="56"/>
  <c r="J21" i="56"/>
  <c r="K21" i="56"/>
  <c r="C22" i="56"/>
  <c r="D22" i="56" s="1"/>
  <c r="E22" i="56"/>
  <c r="F22" i="56" s="1"/>
  <c r="G22" i="56"/>
  <c r="I22" i="56" s="1"/>
  <c r="H22" i="56"/>
  <c r="J22" i="56"/>
  <c r="K22" i="56"/>
  <c r="C23" i="56"/>
  <c r="D23" i="56" s="1"/>
  <c r="E23" i="56"/>
  <c r="F23" i="56" s="1"/>
  <c r="G23" i="56"/>
  <c r="I23" i="56" s="1"/>
  <c r="H23" i="56"/>
  <c r="J23" i="56"/>
  <c r="K23" i="56"/>
  <c r="C24" i="56"/>
  <c r="D24" i="56" s="1"/>
  <c r="E24" i="56"/>
  <c r="F24" i="56" s="1"/>
  <c r="G24" i="56"/>
  <c r="I24" i="56" s="1"/>
  <c r="H24" i="56"/>
  <c r="J24" i="56"/>
  <c r="K24" i="56"/>
  <c r="C25" i="56"/>
  <c r="D25" i="56" s="1"/>
  <c r="E25" i="56"/>
  <c r="F25" i="56" s="1"/>
  <c r="G25" i="56"/>
  <c r="I25" i="56" s="1"/>
  <c r="H25" i="56"/>
  <c r="J25" i="56"/>
  <c r="K25" i="56"/>
  <c r="C26" i="56"/>
  <c r="D26" i="56" s="1"/>
  <c r="E26" i="56"/>
  <c r="F26" i="56" s="1"/>
  <c r="G26" i="56"/>
  <c r="I26" i="56" s="1"/>
  <c r="H26" i="56"/>
  <c r="J26" i="56"/>
  <c r="K26" i="56"/>
  <c r="C27" i="56"/>
  <c r="D27" i="56" s="1"/>
  <c r="E27" i="56"/>
  <c r="F27" i="56" s="1"/>
  <c r="G27" i="56"/>
  <c r="I27" i="56" s="1"/>
  <c r="H27" i="56"/>
  <c r="J27" i="56"/>
  <c r="K27" i="56"/>
  <c r="C28" i="56"/>
  <c r="D28" i="56" s="1"/>
  <c r="E28" i="56"/>
  <c r="F28" i="56" s="1"/>
  <c r="G28" i="56"/>
  <c r="I28" i="56" s="1"/>
  <c r="H28" i="56"/>
  <c r="J28" i="56"/>
  <c r="K28" i="56"/>
  <c r="C29" i="56"/>
  <c r="D29" i="56" s="1"/>
  <c r="E29" i="56"/>
  <c r="F29" i="56" s="1"/>
  <c r="G29" i="56"/>
  <c r="I29" i="56" s="1"/>
  <c r="H29" i="56"/>
  <c r="J29" i="56"/>
  <c r="K29" i="56"/>
  <c r="C30" i="56"/>
  <c r="D30" i="56" s="1"/>
  <c r="E30" i="56"/>
  <c r="F30" i="56" s="1"/>
  <c r="G30" i="56"/>
  <c r="I30" i="56" s="1"/>
  <c r="H30" i="56"/>
  <c r="J30" i="56"/>
  <c r="K30" i="56"/>
  <c r="C31" i="56"/>
  <c r="D31" i="56" s="1"/>
  <c r="E31" i="56"/>
  <c r="F31" i="56" s="1"/>
  <c r="G31" i="56"/>
  <c r="I31" i="56" s="1"/>
  <c r="H31" i="56"/>
  <c r="J31" i="56"/>
  <c r="K31" i="56"/>
  <c r="C32" i="56"/>
  <c r="D32" i="56" s="1"/>
  <c r="E32" i="56"/>
  <c r="F32" i="56" s="1"/>
  <c r="G32" i="56"/>
  <c r="I32" i="56" s="1"/>
  <c r="H32" i="56"/>
  <c r="J32" i="56"/>
  <c r="K32" i="56"/>
  <c r="C33" i="56"/>
  <c r="D33" i="56" s="1"/>
  <c r="E33" i="56"/>
  <c r="F33" i="56" s="1"/>
  <c r="G33" i="56"/>
  <c r="I33" i="56" s="1"/>
  <c r="H33" i="56"/>
  <c r="J33" i="56"/>
  <c r="K33" i="56"/>
  <c r="C34" i="56"/>
  <c r="D34" i="56" s="1"/>
  <c r="E34" i="56"/>
  <c r="F34" i="56" s="1"/>
  <c r="G34" i="56"/>
  <c r="I34" i="56" s="1"/>
  <c r="H34" i="56"/>
  <c r="J34" i="56"/>
  <c r="K34" i="56"/>
  <c r="C35" i="56"/>
  <c r="D35" i="56" s="1"/>
  <c r="E35" i="56"/>
  <c r="F35" i="56" s="1"/>
  <c r="G35" i="56"/>
  <c r="I35" i="56" s="1"/>
  <c r="H35" i="56"/>
  <c r="J35" i="56"/>
  <c r="K35" i="56"/>
  <c r="C36" i="56"/>
  <c r="D36" i="56" s="1"/>
  <c r="E36" i="56"/>
  <c r="F36" i="56" s="1"/>
  <c r="G36" i="56"/>
  <c r="I36" i="56" s="1"/>
  <c r="H36" i="56"/>
  <c r="J36" i="56"/>
  <c r="K36" i="56"/>
  <c r="C37" i="56"/>
  <c r="D37" i="56" s="1"/>
  <c r="E37" i="56"/>
  <c r="F37" i="56" s="1"/>
  <c r="G37" i="56"/>
  <c r="I37" i="56" s="1"/>
  <c r="H37" i="56"/>
  <c r="J37" i="56"/>
  <c r="K37" i="56"/>
  <c r="C38" i="56"/>
  <c r="D38" i="56" s="1"/>
  <c r="E38" i="56"/>
  <c r="F38" i="56" s="1"/>
  <c r="I38" i="56"/>
  <c r="H38" i="56"/>
  <c r="J38" i="56"/>
  <c r="K38" i="56"/>
  <c r="C39" i="56"/>
  <c r="D39" i="56" s="1"/>
  <c r="E39" i="56"/>
  <c r="F39" i="56" s="1"/>
  <c r="G39" i="56"/>
  <c r="I39" i="56" s="1"/>
  <c r="H39" i="56"/>
  <c r="J39" i="56"/>
  <c r="C40" i="56"/>
  <c r="D40" i="56" s="1"/>
  <c r="E40" i="56"/>
  <c r="F40" i="56" s="1"/>
  <c r="G40" i="56"/>
  <c r="I40" i="56" s="1"/>
  <c r="H40" i="56"/>
  <c r="J40" i="56"/>
  <c r="C41" i="56"/>
  <c r="D41" i="56" s="1"/>
  <c r="E41" i="56"/>
  <c r="F41" i="56" s="1"/>
  <c r="G41" i="56"/>
  <c r="I41" i="56" s="1"/>
  <c r="H41" i="56"/>
  <c r="J41" i="56"/>
  <c r="C42" i="56"/>
  <c r="D42" i="56" s="1"/>
  <c r="E42" i="56"/>
  <c r="F42" i="56" s="1"/>
  <c r="G42" i="56"/>
  <c r="I42" i="56" s="1"/>
  <c r="H42" i="56"/>
  <c r="J42" i="56"/>
  <c r="C43" i="56"/>
  <c r="D43" i="56" s="1"/>
  <c r="E43" i="56"/>
  <c r="F43" i="56" s="1"/>
  <c r="G43" i="56"/>
  <c r="I43" i="56" s="1"/>
  <c r="H43" i="56"/>
  <c r="J43" i="56"/>
  <c r="C44" i="56"/>
  <c r="D44" i="56" s="1"/>
  <c r="E44" i="56"/>
  <c r="F44" i="56" s="1"/>
  <c r="G44" i="56"/>
  <c r="I44" i="56" s="1"/>
  <c r="H44" i="56"/>
  <c r="J44" i="56"/>
  <c r="C45" i="56"/>
  <c r="D45" i="56" s="1"/>
  <c r="E45" i="56"/>
  <c r="F45" i="56" s="1"/>
  <c r="G45" i="56"/>
  <c r="I45" i="56" s="1"/>
  <c r="H45" i="56"/>
  <c r="J45" i="56"/>
  <c r="C46" i="56"/>
  <c r="D46" i="56" s="1"/>
  <c r="E46" i="56"/>
  <c r="F46" i="56" s="1"/>
  <c r="G46" i="56"/>
  <c r="I46" i="56" s="1"/>
  <c r="H46" i="56"/>
  <c r="J46" i="56"/>
  <c r="C47" i="56"/>
  <c r="D47" i="56" s="1"/>
  <c r="E47" i="56"/>
  <c r="F47" i="56" s="1"/>
  <c r="G47" i="56"/>
  <c r="I47" i="56" s="1"/>
  <c r="H47" i="56"/>
  <c r="J47" i="56"/>
  <c r="C48" i="56"/>
  <c r="D48" i="56" s="1"/>
  <c r="E48" i="56"/>
  <c r="F48" i="56" s="1"/>
  <c r="G48" i="56"/>
  <c r="I48" i="56" s="1"/>
  <c r="H48" i="56"/>
  <c r="J48" i="56"/>
  <c r="C49" i="56"/>
  <c r="D49" i="56" s="1"/>
  <c r="E49" i="56"/>
  <c r="F49" i="56" s="1"/>
  <c r="G49" i="56"/>
  <c r="I49" i="56" s="1"/>
  <c r="H49" i="56"/>
  <c r="J49" i="56"/>
  <c r="C50" i="56"/>
  <c r="D50" i="56" s="1"/>
  <c r="E50" i="56"/>
  <c r="F50" i="56" s="1"/>
  <c r="G50" i="56"/>
  <c r="I50" i="56" s="1"/>
  <c r="H50" i="56"/>
  <c r="J50" i="56"/>
  <c r="C51" i="56"/>
  <c r="D51" i="56" s="1"/>
  <c r="E51" i="56"/>
  <c r="F51" i="56" s="1"/>
  <c r="G51" i="56"/>
  <c r="I51" i="56" s="1"/>
  <c r="H51" i="56"/>
  <c r="J51" i="56"/>
  <c r="C52" i="56"/>
  <c r="D52" i="56" s="1"/>
  <c r="E52" i="56"/>
  <c r="F52" i="56" s="1"/>
  <c r="G52" i="56"/>
  <c r="I52" i="56" s="1"/>
  <c r="H52" i="56"/>
  <c r="J52" i="56"/>
  <c r="C53" i="56"/>
  <c r="D53" i="56" s="1"/>
  <c r="E53" i="56"/>
  <c r="F53" i="56" s="1"/>
  <c r="G53" i="56"/>
  <c r="I53" i="56" s="1"/>
  <c r="H53" i="56"/>
  <c r="J53" i="56"/>
  <c r="C54" i="56"/>
  <c r="D54" i="56" s="1"/>
  <c r="E54" i="56"/>
  <c r="F54" i="56" s="1"/>
  <c r="G54" i="56"/>
  <c r="I54" i="56" s="1"/>
  <c r="H54" i="56"/>
  <c r="J54" i="56"/>
  <c r="C55" i="56"/>
  <c r="D55" i="56" s="1"/>
  <c r="E55" i="56"/>
  <c r="F55" i="56" s="1"/>
  <c r="G55" i="56"/>
  <c r="I55" i="56" s="1"/>
  <c r="H55" i="56"/>
  <c r="J55" i="56"/>
  <c r="C56" i="56"/>
  <c r="D56" i="56" s="1"/>
  <c r="E56" i="56"/>
  <c r="F56" i="56" s="1"/>
  <c r="G56" i="56"/>
  <c r="I56" i="56" s="1"/>
  <c r="H56" i="56"/>
  <c r="J56" i="56"/>
  <c r="C57" i="56"/>
  <c r="D57" i="56" s="1"/>
  <c r="E57" i="56"/>
  <c r="F57" i="56" s="1"/>
  <c r="G57" i="56"/>
  <c r="I57" i="56" s="1"/>
  <c r="H57" i="56"/>
  <c r="J57" i="56"/>
  <c r="C58" i="56"/>
  <c r="D58" i="56" s="1"/>
  <c r="E58" i="56"/>
  <c r="F58" i="56" s="1"/>
  <c r="G58" i="56"/>
  <c r="I58" i="56" s="1"/>
  <c r="H58" i="56"/>
  <c r="J58" i="56"/>
  <c r="C59" i="56"/>
  <c r="D59" i="56" s="1"/>
  <c r="E59" i="56"/>
  <c r="F59" i="56" s="1"/>
  <c r="G59" i="56"/>
  <c r="I59" i="56" s="1"/>
  <c r="H59" i="56"/>
  <c r="J59" i="56"/>
  <c r="C60" i="56"/>
  <c r="D60" i="56" s="1"/>
  <c r="E60" i="56"/>
  <c r="F60" i="56" s="1"/>
  <c r="G60" i="56"/>
  <c r="I60" i="56" s="1"/>
  <c r="H60" i="56"/>
  <c r="J60" i="56"/>
  <c r="C61" i="56"/>
  <c r="D61" i="56" s="1"/>
  <c r="E61" i="56"/>
  <c r="F61" i="56" s="1"/>
  <c r="G61" i="56"/>
  <c r="I61" i="56" s="1"/>
  <c r="H61" i="56"/>
  <c r="J61" i="56"/>
  <c r="C62" i="56"/>
  <c r="D62" i="56" s="1"/>
  <c r="E62" i="56"/>
  <c r="F62" i="56" s="1"/>
  <c r="G62" i="56"/>
  <c r="I62" i="56" s="1"/>
  <c r="H62" i="56"/>
  <c r="J62" i="56"/>
  <c r="C63" i="56"/>
  <c r="D63" i="56" s="1"/>
  <c r="E63" i="56"/>
  <c r="F63" i="56" s="1"/>
  <c r="G63" i="56"/>
  <c r="I63" i="56" s="1"/>
  <c r="H63" i="56"/>
  <c r="J63" i="56"/>
  <c r="C64" i="56"/>
  <c r="D64" i="56" s="1"/>
  <c r="E64" i="56"/>
  <c r="F64" i="56" s="1"/>
  <c r="G64" i="56"/>
  <c r="I64" i="56" s="1"/>
  <c r="H64" i="56"/>
  <c r="J64" i="56"/>
  <c r="C65" i="56"/>
  <c r="D65" i="56" s="1"/>
  <c r="E65" i="56"/>
  <c r="F65" i="56" s="1"/>
  <c r="G65" i="56"/>
  <c r="I65" i="56" s="1"/>
  <c r="H65" i="56"/>
  <c r="J65" i="56"/>
  <c r="C66" i="56"/>
  <c r="D66" i="56" s="1"/>
  <c r="E66" i="56"/>
  <c r="F66" i="56" s="1"/>
  <c r="G66" i="56"/>
  <c r="I66" i="56" s="1"/>
  <c r="H66" i="56"/>
  <c r="J66" i="56"/>
  <c r="C67" i="56"/>
  <c r="D67" i="56" s="1"/>
  <c r="E67" i="56"/>
  <c r="F67" i="56" s="1"/>
  <c r="G67" i="56"/>
  <c r="I67" i="56" s="1"/>
  <c r="H67" i="56"/>
  <c r="J67" i="56"/>
  <c r="K67" i="56"/>
  <c r="C68" i="56"/>
  <c r="D68" i="56" s="1"/>
  <c r="E68" i="56"/>
  <c r="F68" i="56" s="1"/>
  <c r="G68" i="56"/>
  <c r="I68" i="56" s="1"/>
  <c r="H68" i="56"/>
  <c r="J68" i="56"/>
  <c r="K68" i="56"/>
  <c r="C69" i="56"/>
  <c r="D69" i="56" s="1"/>
  <c r="E69" i="56"/>
  <c r="F69" i="56" s="1"/>
  <c r="G69" i="56"/>
  <c r="I69" i="56" s="1"/>
  <c r="H69" i="56"/>
  <c r="J69" i="56"/>
  <c r="K69" i="56"/>
  <c r="C70" i="56"/>
  <c r="D70" i="56" s="1"/>
  <c r="E70" i="56"/>
  <c r="F70" i="56" s="1"/>
  <c r="G70" i="56"/>
  <c r="I70" i="56" s="1"/>
  <c r="H70" i="56"/>
  <c r="J70" i="56"/>
  <c r="K70" i="56"/>
  <c r="C71" i="56"/>
  <c r="D71" i="56" s="1"/>
  <c r="E71" i="56"/>
  <c r="F71" i="56" s="1"/>
  <c r="G71" i="56"/>
  <c r="I71" i="56" s="1"/>
  <c r="H71" i="56"/>
  <c r="J71" i="56"/>
  <c r="K71" i="56"/>
  <c r="C72" i="56"/>
  <c r="D72" i="56" s="1"/>
  <c r="E72" i="56"/>
  <c r="F72" i="56" s="1"/>
  <c r="G72" i="56"/>
  <c r="I72" i="56" s="1"/>
  <c r="H72" i="56"/>
  <c r="J72" i="56"/>
  <c r="K72" i="56"/>
  <c r="C73" i="56"/>
  <c r="D73" i="56" s="1"/>
  <c r="E73" i="56"/>
  <c r="F73" i="56" s="1"/>
  <c r="G73" i="56"/>
  <c r="I73" i="56" s="1"/>
  <c r="H73" i="56"/>
  <c r="J73" i="56"/>
  <c r="K73" i="56"/>
  <c r="C74" i="56"/>
  <c r="D74" i="56" s="1"/>
  <c r="E74" i="56"/>
  <c r="F74" i="56" s="1"/>
  <c r="G74" i="56"/>
  <c r="I74" i="56" s="1"/>
  <c r="H74" i="56"/>
  <c r="J74" i="56"/>
  <c r="K74" i="56"/>
  <c r="C75" i="56"/>
  <c r="D75" i="56" s="1"/>
  <c r="E75" i="56"/>
  <c r="F75" i="56" s="1"/>
  <c r="G75" i="56"/>
  <c r="I75" i="56" s="1"/>
  <c r="H75" i="56"/>
  <c r="J75" i="56"/>
  <c r="K75" i="56"/>
  <c r="C76" i="56"/>
  <c r="D76" i="56" s="1"/>
  <c r="E76" i="56"/>
  <c r="F76" i="56" s="1"/>
  <c r="G76" i="56"/>
  <c r="I76" i="56" s="1"/>
  <c r="H76" i="56"/>
  <c r="J76" i="56"/>
  <c r="K76" i="56"/>
  <c r="C77" i="56"/>
  <c r="D77" i="56" s="1"/>
  <c r="E77" i="56"/>
  <c r="F77" i="56" s="1"/>
  <c r="G77" i="56"/>
  <c r="I77" i="56" s="1"/>
  <c r="H77" i="56"/>
  <c r="J77" i="56"/>
  <c r="K77" i="56"/>
  <c r="C78" i="56"/>
  <c r="D78" i="56" s="1"/>
  <c r="E78" i="56"/>
  <c r="F78" i="56" s="1"/>
  <c r="G78" i="56"/>
  <c r="I78" i="56" s="1"/>
  <c r="H78" i="56"/>
  <c r="J78" i="56"/>
  <c r="K78" i="56"/>
  <c r="C79" i="56"/>
  <c r="D79" i="56" s="1"/>
  <c r="E79" i="56"/>
  <c r="F79" i="56" s="1"/>
  <c r="G79" i="56"/>
  <c r="I79" i="56" s="1"/>
  <c r="H79" i="56"/>
  <c r="J79" i="56"/>
  <c r="K79" i="56"/>
  <c r="C80" i="56"/>
  <c r="D80" i="56" s="1"/>
  <c r="E80" i="56"/>
  <c r="F80" i="56" s="1"/>
  <c r="G80" i="56"/>
  <c r="I80" i="56" s="1"/>
  <c r="H80" i="56"/>
  <c r="J80" i="56"/>
  <c r="K80" i="56"/>
  <c r="C81" i="56"/>
  <c r="D81" i="56" s="1"/>
  <c r="E81" i="56"/>
  <c r="F81" i="56" s="1"/>
  <c r="G81" i="56"/>
  <c r="I81" i="56" s="1"/>
  <c r="H81" i="56"/>
  <c r="J81" i="56"/>
  <c r="K81" i="56"/>
  <c r="C82" i="56"/>
  <c r="D82" i="56" s="1"/>
  <c r="E82" i="56"/>
  <c r="F82" i="56" s="1"/>
  <c r="G82" i="56"/>
  <c r="I82" i="56" s="1"/>
  <c r="H82" i="56"/>
  <c r="J82" i="56"/>
  <c r="K82" i="56"/>
  <c r="C83" i="56"/>
  <c r="D83" i="56" s="1"/>
  <c r="E83" i="56"/>
  <c r="F83" i="56" s="1"/>
  <c r="G83" i="56"/>
  <c r="I83" i="56" s="1"/>
  <c r="H83" i="56"/>
  <c r="J83" i="56"/>
  <c r="K83" i="56"/>
  <c r="C84" i="56"/>
  <c r="D84" i="56" s="1"/>
  <c r="E84" i="56"/>
  <c r="F84" i="56" s="1"/>
  <c r="G84" i="56"/>
  <c r="I84" i="56" s="1"/>
  <c r="H84" i="56"/>
  <c r="J84" i="56"/>
  <c r="K84" i="56"/>
  <c r="C85" i="56"/>
  <c r="D85" i="56" s="1"/>
  <c r="E85" i="56"/>
  <c r="F85" i="56" s="1"/>
  <c r="G85" i="56"/>
  <c r="I85" i="56" s="1"/>
  <c r="H85" i="56"/>
  <c r="J85" i="56"/>
  <c r="K85" i="56"/>
  <c r="C86" i="56"/>
  <c r="D86" i="56" s="1"/>
  <c r="E86" i="56"/>
  <c r="F86" i="56" s="1"/>
  <c r="G86" i="56"/>
  <c r="I86" i="56" s="1"/>
  <c r="H86" i="56"/>
  <c r="J86" i="56"/>
  <c r="K86" i="56"/>
  <c r="C87" i="56"/>
  <c r="D87" i="56" s="1"/>
  <c r="E87" i="56"/>
  <c r="F87" i="56" s="1"/>
  <c r="G87" i="56"/>
  <c r="I87" i="56" s="1"/>
  <c r="H87" i="56"/>
  <c r="J87" i="56"/>
  <c r="K87" i="56"/>
  <c r="C88" i="56"/>
  <c r="D88" i="56" s="1"/>
  <c r="E88" i="56"/>
  <c r="F88" i="56" s="1"/>
  <c r="G88" i="56"/>
  <c r="I88" i="56" s="1"/>
  <c r="H88" i="56"/>
  <c r="J88" i="56"/>
  <c r="K88" i="56"/>
  <c r="C89" i="56"/>
  <c r="D89" i="56" s="1"/>
  <c r="E89" i="56"/>
  <c r="F89" i="56" s="1"/>
  <c r="G89" i="56"/>
  <c r="I89" i="56" s="1"/>
  <c r="H89" i="56"/>
  <c r="J89" i="56"/>
  <c r="K89" i="56"/>
  <c r="C90" i="56"/>
  <c r="D90" i="56" s="1"/>
  <c r="E90" i="56"/>
  <c r="F90" i="56" s="1"/>
  <c r="G90" i="56"/>
  <c r="I90" i="56" s="1"/>
  <c r="H90" i="56"/>
  <c r="J90" i="56"/>
  <c r="K90" i="56"/>
  <c r="C91" i="56"/>
  <c r="D91" i="56" s="1"/>
  <c r="E91" i="56"/>
  <c r="F91" i="56" s="1"/>
  <c r="G91" i="56"/>
  <c r="I91" i="56" s="1"/>
  <c r="H91" i="56"/>
  <c r="J91" i="56"/>
  <c r="K91" i="56"/>
  <c r="C92" i="56"/>
  <c r="D92" i="56" s="1"/>
  <c r="E92" i="56"/>
  <c r="F92" i="56" s="1"/>
  <c r="G92" i="56"/>
  <c r="I92" i="56" s="1"/>
  <c r="H92" i="56"/>
  <c r="J92" i="56"/>
  <c r="K92" i="56"/>
  <c r="C93" i="56"/>
  <c r="D93" i="56" s="1"/>
  <c r="E93" i="56"/>
  <c r="F93" i="56" s="1"/>
  <c r="G93" i="56"/>
  <c r="I93" i="56" s="1"/>
  <c r="H93" i="56"/>
  <c r="J93" i="56"/>
  <c r="K93" i="56"/>
  <c r="C94" i="56"/>
  <c r="D94" i="56" s="1"/>
  <c r="E94" i="56"/>
  <c r="F94" i="56" s="1"/>
  <c r="G94" i="56"/>
  <c r="I94" i="56" s="1"/>
  <c r="H94" i="56"/>
  <c r="J94" i="56"/>
  <c r="K94" i="56"/>
  <c r="C95" i="56"/>
  <c r="D95" i="56" s="1"/>
  <c r="E95" i="56"/>
  <c r="F95" i="56" s="1"/>
  <c r="G95" i="56"/>
  <c r="I95" i="56" s="1"/>
  <c r="H95" i="56"/>
  <c r="J95" i="56"/>
  <c r="K95" i="56"/>
  <c r="C96" i="56"/>
  <c r="D96" i="56" s="1"/>
  <c r="E96" i="56"/>
  <c r="F96" i="56" s="1"/>
  <c r="G96" i="56"/>
  <c r="I96" i="56" s="1"/>
  <c r="H96" i="56"/>
  <c r="J96" i="56"/>
  <c r="K96" i="56"/>
  <c r="C97" i="56"/>
  <c r="D97" i="56" s="1"/>
  <c r="E97" i="56"/>
  <c r="F97" i="56" s="1"/>
  <c r="G97" i="56"/>
  <c r="I97" i="56" s="1"/>
  <c r="H97" i="56"/>
  <c r="J97" i="56"/>
  <c r="K97" i="56"/>
  <c r="C98" i="56"/>
  <c r="D98" i="56" s="1"/>
  <c r="E98" i="56"/>
  <c r="F98" i="56" s="1"/>
  <c r="G98" i="56"/>
  <c r="I98" i="56" s="1"/>
  <c r="H98" i="56"/>
  <c r="J98" i="56"/>
  <c r="K98" i="56"/>
  <c r="C99" i="56"/>
  <c r="D99" i="56" s="1"/>
  <c r="E99" i="56"/>
  <c r="F99" i="56" s="1"/>
  <c r="G99" i="56"/>
  <c r="I99" i="56" s="1"/>
  <c r="H99" i="56"/>
  <c r="J99" i="56"/>
  <c r="K99" i="56"/>
  <c r="C100" i="56"/>
  <c r="D100" i="56" s="1"/>
  <c r="E100" i="56"/>
  <c r="F100" i="56" s="1"/>
  <c r="G100" i="56"/>
  <c r="I100" i="56" s="1"/>
  <c r="H100" i="56"/>
  <c r="J100" i="56"/>
  <c r="K100" i="56"/>
  <c r="C101" i="56"/>
  <c r="D101" i="56" s="1"/>
  <c r="E101" i="56"/>
  <c r="F101" i="56" s="1"/>
  <c r="G101" i="56"/>
  <c r="I101" i="56" s="1"/>
  <c r="H101" i="56"/>
  <c r="J101" i="56"/>
  <c r="K101" i="56"/>
  <c r="C102" i="56"/>
  <c r="D102" i="56" s="1"/>
  <c r="E102" i="56"/>
  <c r="F102" i="56" s="1"/>
  <c r="G102" i="56"/>
  <c r="I102" i="56" s="1"/>
  <c r="H102" i="56"/>
  <c r="J102" i="56"/>
  <c r="K102" i="56"/>
  <c r="C103" i="56"/>
  <c r="D103" i="56" s="1"/>
  <c r="E103" i="56"/>
  <c r="F103" i="56" s="1"/>
  <c r="G103" i="56"/>
  <c r="I103" i="56" s="1"/>
  <c r="H103" i="56"/>
  <c r="J103" i="56"/>
  <c r="K103" i="56"/>
  <c r="C104" i="56"/>
  <c r="D104" i="56" s="1"/>
  <c r="E104" i="56"/>
  <c r="F104" i="56" s="1"/>
  <c r="G104" i="56"/>
  <c r="I104" i="56" s="1"/>
  <c r="H104" i="56"/>
  <c r="J104" i="56"/>
  <c r="K104" i="56"/>
  <c r="C105" i="56"/>
  <c r="D105" i="56" s="1"/>
  <c r="E105" i="56"/>
  <c r="F105" i="56" s="1"/>
  <c r="G105" i="56"/>
  <c r="I105" i="56" s="1"/>
  <c r="H105" i="56"/>
  <c r="J105" i="56"/>
  <c r="K105" i="56"/>
  <c r="C106" i="56"/>
  <c r="D106" i="56" s="1"/>
  <c r="E106" i="56"/>
  <c r="F106" i="56" s="1"/>
  <c r="G106" i="56"/>
  <c r="I106" i="56" s="1"/>
  <c r="H106" i="56"/>
  <c r="J106" i="56"/>
  <c r="K106" i="56"/>
  <c r="C107" i="56"/>
  <c r="D107" i="56" s="1"/>
  <c r="E107" i="56"/>
  <c r="F107" i="56" s="1"/>
  <c r="G107" i="56"/>
  <c r="I107" i="56" s="1"/>
  <c r="H107" i="56"/>
  <c r="J107" i="56"/>
  <c r="K107" i="56"/>
  <c r="C108" i="56"/>
  <c r="D108" i="56" s="1"/>
  <c r="E108" i="56"/>
  <c r="F108" i="56" s="1"/>
  <c r="G108" i="56"/>
  <c r="I108" i="56" s="1"/>
  <c r="H108" i="56"/>
  <c r="J108" i="56"/>
  <c r="K108" i="56"/>
  <c r="C109" i="56"/>
  <c r="D109" i="56" s="1"/>
  <c r="E109" i="56"/>
  <c r="F109" i="56" s="1"/>
  <c r="G109" i="56"/>
  <c r="I109" i="56" s="1"/>
  <c r="H109" i="56"/>
  <c r="J109" i="56"/>
  <c r="K109" i="56"/>
  <c r="C110" i="56"/>
  <c r="D110" i="56" s="1"/>
  <c r="E110" i="56"/>
  <c r="F110" i="56" s="1"/>
  <c r="G110" i="56"/>
  <c r="I110" i="56" s="1"/>
  <c r="H110" i="56"/>
  <c r="J110" i="56"/>
  <c r="K110" i="56"/>
  <c r="C111" i="56"/>
  <c r="D111" i="56" s="1"/>
  <c r="E111" i="56"/>
  <c r="F111" i="56" s="1"/>
  <c r="G111" i="56"/>
  <c r="I111" i="56" s="1"/>
  <c r="H111" i="56"/>
  <c r="J111" i="56"/>
  <c r="K111" i="56"/>
  <c r="C112" i="56"/>
  <c r="D112" i="56" s="1"/>
  <c r="E112" i="56"/>
  <c r="F112" i="56" s="1"/>
  <c r="G112" i="56"/>
  <c r="I112" i="56" s="1"/>
  <c r="H112" i="56"/>
  <c r="J112" i="56"/>
  <c r="K112" i="56"/>
  <c r="C113" i="56"/>
  <c r="D113" i="56" s="1"/>
  <c r="E113" i="56"/>
  <c r="F113" i="56" s="1"/>
  <c r="G113" i="56"/>
  <c r="I113" i="56" s="1"/>
  <c r="H113" i="56"/>
  <c r="J113" i="56"/>
  <c r="K113" i="56"/>
  <c r="C114" i="56"/>
  <c r="D114" i="56" s="1"/>
  <c r="E114" i="56"/>
  <c r="F114" i="56" s="1"/>
  <c r="G114" i="56"/>
  <c r="I114" i="56" s="1"/>
  <c r="H114" i="56"/>
  <c r="J114" i="56"/>
  <c r="K114" i="56"/>
  <c r="C115" i="56"/>
  <c r="D115" i="56" s="1"/>
  <c r="E115" i="56"/>
  <c r="F115" i="56" s="1"/>
  <c r="G115" i="56"/>
  <c r="I115" i="56" s="1"/>
  <c r="H115" i="56"/>
  <c r="J115" i="56"/>
  <c r="K115" i="56"/>
  <c r="C116" i="56"/>
  <c r="D116" i="56" s="1"/>
  <c r="E116" i="56"/>
  <c r="F116" i="56" s="1"/>
  <c r="G116" i="56"/>
  <c r="I116" i="56" s="1"/>
  <c r="H116" i="56"/>
  <c r="J116" i="56"/>
  <c r="K116" i="56"/>
  <c r="C117" i="56"/>
  <c r="D117" i="56" s="1"/>
  <c r="E117" i="56"/>
  <c r="F117" i="56" s="1"/>
  <c r="G117" i="56"/>
  <c r="I117" i="56" s="1"/>
  <c r="H117" i="56"/>
  <c r="J117" i="56"/>
  <c r="K117" i="56"/>
  <c r="C118" i="56"/>
  <c r="D118" i="56" s="1"/>
  <c r="E118" i="56"/>
  <c r="F118" i="56" s="1"/>
  <c r="G118" i="56"/>
  <c r="I118" i="56" s="1"/>
  <c r="H118" i="56"/>
  <c r="J118" i="56"/>
  <c r="K118" i="56"/>
  <c r="C119" i="56"/>
  <c r="D119" i="56" s="1"/>
  <c r="E119" i="56"/>
  <c r="F119" i="56" s="1"/>
  <c r="G119" i="56"/>
  <c r="I119" i="56" s="1"/>
  <c r="H119" i="56"/>
  <c r="J119" i="56"/>
  <c r="K119" i="56"/>
  <c r="C120" i="56"/>
  <c r="D120" i="56" s="1"/>
  <c r="E120" i="56"/>
  <c r="F120" i="56" s="1"/>
  <c r="G120" i="56"/>
  <c r="I120" i="56" s="1"/>
  <c r="H120" i="56"/>
  <c r="J120" i="56"/>
  <c r="K120" i="56"/>
  <c r="C121" i="56"/>
  <c r="D121" i="56" s="1"/>
  <c r="E121" i="56"/>
  <c r="F121" i="56" s="1"/>
  <c r="G121" i="56"/>
  <c r="I121" i="56" s="1"/>
  <c r="H121" i="56"/>
  <c r="J121" i="56"/>
  <c r="K121" i="56"/>
  <c r="C122" i="56"/>
  <c r="D122" i="56" s="1"/>
  <c r="E122" i="56"/>
  <c r="F122" i="56" s="1"/>
  <c r="G122" i="56"/>
  <c r="I122" i="56" s="1"/>
  <c r="H122" i="56"/>
  <c r="J122" i="56"/>
  <c r="K122" i="56"/>
  <c r="C123" i="56"/>
  <c r="D123" i="56" s="1"/>
  <c r="E123" i="56"/>
  <c r="F123" i="56" s="1"/>
  <c r="G123" i="56"/>
  <c r="I123" i="56" s="1"/>
  <c r="H123" i="56"/>
  <c r="J123" i="56"/>
  <c r="K123" i="56"/>
  <c r="C124" i="56"/>
  <c r="D124" i="56" s="1"/>
  <c r="E124" i="56"/>
  <c r="F124" i="56" s="1"/>
  <c r="G124" i="56"/>
  <c r="I124" i="56" s="1"/>
  <c r="H124" i="56"/>
  <c r="J124" i="56"/>
  <c r="K124" i="56"/>
  <c r="C125" i="56"/>
  <c r="D125" i="56" s="1"/>
  <c r="E125" i="56"/>
  <c r="F125" i="56" s="1"/>
  <c r="G125" i="56"/>
  <c r="I125" i="56" s="1"/>
  <c r="H125" i="56"/>
  <c r="J125" i="56"/>
  <c r="K125" i="56"/>
  <c r="C126" i="56"/>
  <c r="D126" i="56" s="1"/>
  <c r="E126" i="56"/>
  <c r="F126" i="56" s="1"/>
  <c r="G126" i="56"/>
  <c r="I126" i="56" s="1"/>
  <c r="H126" i="56"/>
  <c r="J126" i="56"/>
  <c r="K126" i="56"/>
  <c r="C127" i="56"/>
  <c r="D127" i="56" s="1"/>
  <c r="E127" i="56"/>
  <c r="F127" i="56" s="1"/>
  <c r="G127" i="56"/>
  <c r="I127" i="56" s="1"/>
  <c r="H127" i="56"/>
  <c r="J127" i="56"/>
  <c r="K127" i="56"/>
  <c r="C128" i="56"/>
  <c r="D128" i="56" s="1"/>
  <c r="E128" i="56"/>
  <c r="F128" i="56" s="1"/>
  <c r="G128" i="56"/>
  <c r="I128" i="56" s="1"/>
  <c r="H128" i="56"/>
  <c r="J128" i="56"/>
  <c r="K128" i="56"/>
  <c r="C129" i="56"/>
  <c r="D129" i="56" s="1"/>
  <c r="E129" i="56"/>
  <c r="F129" i="56" s="1"/>
  <c r="G129" i="56"/>
  <c r="I129" i="56" s="1"/>
  <c r="H129" i="56"/>
  <c r="J129" i="56"/>
  <c r="K129" i="56"/>
  <c r="C130" i="56"/>
  <c r="D130" i="56" s="1"/>
  <c r="E130" i="56"/>
  <c r="F130" i="56" s="1"/>
  <c r="G130" i="56"/>
  <c r="I130" i="56" s="1"/>
  <c r="H130" i="56"/>
  <c r="J130" i="56"/>
  <c r="K130" i="56"/>
  <c r="C131" i="56"/>
  <c r="D131" i="56" s="1"/>
  <c r="E131" i="56"/>
  <c r="F131" i="56" s="1"/>
  <c r="G131" i="56"/>
  <c r="I131" i="56" s="1"/>
  <c r="H131" i="56"/>
  <c r="J131" i="56"/>
  <c r="K131" i="56"/>
  <c r="C132" i="56"/>
  <c r="D132" i="56" s="1"/>
  <c r="E132" i="56"/>
  <c r="F132" i="56" s="1"/>
  <c r="G132" i="56"/>
  <c r="I132" i="56" s="1"/>
  <c r="H132" i="56"/>
  <c r="J132" i="56"/>
  <c r="K132" i="56"/>
  <c r="C133" i="56"/>
  <c r="D133" i="56" s="1"/>
  <c r="E133" i="56"/>
  <c r="F133" i="56" s="1"/>
  <c r="G133" i="56"/>
  <c r="I133" i="56" s="1"/>
  <c r="H133" i="56"/>
  <c r="J133" i="56"/>
  <c r="K133" i="56"/>
  <c r="C134" i="56"/>
  <c r="D134" i="56" s="1"/>
  <c r="E134" i="56"/>
  <c r="F134" i="56" s="1"/>
  <c r="G134" i="56"/>
  <c r="I134" i="56" s="1"/>
  <c r="H134" i="56"/>
  <c r="J134" i="56"/>
  <c r="K134" i="56"/>
  <c r="C135" i="56"/>
  <c r="D135" i="56" s="1"/>
  <c r="E135" i="56"/>
  <c r="F135" i="56" s="1"/>
  <c r="G135" i="56"/>
  <c r="I135" i="56" s="1"/>
  <c r="H135" i="56"/>
  <c r="J135" i="56"/>
  <c r="K135" i="56"/>
  <c r="C136" i="56"/>
  <c r="D136" i="56" s="1"/>
  <c r="E136" i="56"/>
  <c r="F136" i="56" s="1"/>
  <c r="G136" i="56"/>
  <c r="I136" i="56" s="1"/>
  <c r="H136" i="56"/>
  <c r="J136" i="56"/>
  <c r="K136" i="56"/>
  <c r="C137" i="56"/>
  <c r="D137" i="56" s="1"/>
  <c r="E137" i="56"/>
  <c r="F137" i="56" s="1"/>
  <c r="G137" i="56"/>
  <c r="I137" i="56" s="1"/>
  <c r="H137" i="56"/>
  <c r="J137" i="56"/>
  <c r="K137" i="56"/>
  <c r="C138" i="56"/>
  <c r="D138" i="56" s="1"/>
  <c r="E138" i="56"/>
  <c r="F138" i="56" s="1"/>
  <c r="G138" i="56"/>
  <c r="I138" i="56" s="1"/>
  <c r="H138" i="56"/>
  <c r="J138" i="56"/>
  <c r="K138" i="56"/>
  <c r="C139" i="56"/>
  <c r="D139" i="56" s="1"/>
  <c r="E139" i="56"/>
  <c r="F139" i="56" s="1"/>
  <c r="G139" i="56"/>
  <c r="I139" i="56" s="1"/>
  <c r="H139" i="56"/>
  <c r="J139" i="56"/>
  <c r="K139" i="56"/>
  <c r="C140" i="56"/>
  <c r="D140" i="56" s="1"/>
  <c r="E140" i="56"/>
  <c r="F140" i="56" s="1"/>
  <c r="G140" i="56"/>
  <c r="I140" i="56" s="1"/>
  <c r="H140" i="56"/>
  <c r="J140" i="56"/>
  <c r="K140" i="56"/>
  <c r="C141" i="56"/>
  <c r="D141" i="56" s="1"/>
  <c r="E141" i="56"/>
  <c r="F141" i="56" s="1"/>
  <c r="G141" i="56"/>
  <c r="I141" i="56" s="1"/>
  <c r="H141" i="56"/>
  <c r="J141" i="56"/>
  <c r="K141" i="56"/>
  <c r="C142" i="56"/>
  <c r="D142" i="56" s="1"/>
  <c r="E142" i="56"/>
  <c r="F142" i="56" s="1"/>
  <c r="G142" i="56"/>
  <c r="I142" i="56" s="1"/>
  <c r="H142" i="56"/>
  <c r="J142" i="56"/>
  <c r="K142" i="56"/>
  <c r="C143" i="56"/>
  <c r="D143" i="56" s="1"/>
  <c r="E143" i="56"/>
  <c r="F143" i="56" s="1"/>
  <c r="G143" i="56"/>
  <c r="I143" i="56" s="1"/>
  <c r="H143" i="56"/>
  <c r="J143" i="56"/>
  <c r="K143" i="56"/>
  <c r="C144" i="56"/>
  <c r="D144" i="56" s="1"/>
  <c r="E144" i="56"/>
  <c r="F144" i="56" s="1"/>
  <c r="G144" i="56"/>
  <c r="I144" i="56" s="1"/>
  <c r="H144" i="56"/>
  <c r="J144" i="56"/>
  <c r="K144" i="56"/>
  <c r="C145" i="56"/>
  <c r="D145" i="56" s="1"/>
  <c r="E145" i="56"/>
  <c r="F145" i="56" s="1"/>
  <c r="G145" i="56"/>
  <c r="I145" i="56" s="1"/>
  <c r="H145" i="56"/>
  <c r="J145" i="56"/>
  <c r="K145" i="56"/>
  <c r="C146" i="56"/>
  <c r="D146" i="56" s="1"/>
  <c r="E146" i="56"/>
  <c r="F146" i="56" s="1"/>
  <c r="G146" i="56"/>
  <c r="I146" i="56" s="1"/>
  <c r="H146" i="56"/>
  <c r="J146" i="56"/>
  <c r="K146" i="56"/>
  <c r="C147" i="56"/>
  <c r="D147" i="56" s="1"/>
  <c r="E147" i="56"/>
  <c r="F147" i="56" s="1"/>
  <c r="G147" i="56"/>
  <c r="I147" i="56" s="1"/>
  <c r="H147" i="56"/>
  <c r="J147" i="56"/>
  <c r="K147" i="56"/>
  <c r="C148" i="56"/>
  <c r="D148" i="56" s="1"/>
  <c r="E148" i="56"/>
  <c r="F148" i="56" s="1"/>
  <c r="G148" i="56"/>
  <c r="I148" i="56" s="1"/>
  <c r="H148" i="56"/>
  <c r="J148" i="56"/>
  <c r="K148" i="56"/>
  <c r="C149" i="56"/>
  <c r="D149" i="56" s="1"/>
  <c r="E149" i="56"/>
  <c r="F149" i="56" s="1"/>
  <c r="G149" i="56"/>
  <c r="I149" i="56" s="1"/>
  <c r="H149" i="56"/>
  <c r="J149" i="56"/>
  <c r="K149" i="56"/>
  <c r="C150" i="56"/>
  <c r="D150" i="56" s="1"/>
  <c r="E150" i="56"/>
  <c r="F150" i="56" s="1"/>
  <c r="G150" i="56"/>
  <c r="I150" i="56" s="1"/>
  <c r="H150" i="56"/>
  <c r="J150" i="56"/>
  <c r="K150" i="56"/>
  <c r="C151" i="56"/>
  <c r="D151" i="56" s="1"/>
  <c r="E151" i="56"/>
  <c r="F151" i="56" s="1"/>
  <c r="G151" i="56"/>
  <c r="I151" i="56" s="1"/>
  <c r="H151" i="56"/>
  <c r="J151" i="56"/>
  <c r="K151" i="56"/>
  <c r="C152" i="56"/>
  <c r="D152" i="56" s="1"/>
  <c r="E152" i="56"/>
  <c r="F152" i="56" s="1"/>
  <c r="G152" i="56"/>
  <c r="I152" i="56" s="1"/>
  <c r="H152" i="56"/>
  <c r="J152" i="56"/>
  <c r="K152" i="56"/>
  <c r="C153" i="56"/>
  <c r="D153" i="56" s="1"/>
  <c r="E153" i="56"/>
  <c r="F153" i="56" s="1"/>
  <c r="G153" i="56"/>
  <c r="I153" i="56" s="1"/>
  <c r="H153" i="56"/>
  <c r="J153" i="56"/>
  <c r="K153" i="56"/>
  <c r="C154" i="56"/>
  <c r="D154" i="56" s="1"/>
  <c r="E154" i="56"/>
  <c r="F154" i="56" s="1"/>
  <c r="G154" i="56"/>
  <c r="I154" i="56" s="1"/>
  <c r="H154" i="56"/>
  <c r="J154" i="56"/>
  <c r="K154" i="56"/>
  <c r="C155" i="56"/>
  <c r="D155" i="56" s="1"/>
  <c r="E155" i="56"/>
  <c r="F155" i="56" s="1"/>
  <c r="G155" i="56"/>
  <c r="I155" i="56" s="1"/>
  <c r="H155" i="56"/>
  <c r="J155" i="56"/>
  <c r="K155" i="56"/>
  <c r="C156" i="56"/>
  <c r="D156" i="56" s="1"/>
  <c r="E156" i="56"/>
  <c r="F156" i="56" s="1"/>
  <c r="G156" i="56"/>
  <c r="I156" i="56" s="1"/>
  <c r="H156" i="56"/>
  <c r="J156" i="56"/>
  <c r="K156" i="56"/>
  <c r="C157" i="56"/>
  <c r="D157" i="56" s="1"/>
  <c r="E157" i="56"/>
  <c r="F157" i="56" s="1"/>
  <c r="G157" i="56"/>
  <c r="I157" i="56" s="1"/>
  <c r="H157" i="56"/>
  <c r="J157" i="56"/>
  <c r="K157" i="56"/>
  <c r="C158" i="56"/>
  <c r="D158" i="56" s="1"/>
  <c r="E158" i="56"/>
  <c r="F158" i="56" s="1"/>
  <c r="G158" i="56"/>
  <c r="I158" i="56" s="1"/>
  <c r="H158" i="56"/>
  <c r="J158" i="56"/>
  <c r="K158" i="56"/>
  <c r="C159" i="56"/>
  <c r="D159" i="56" s="1"/>
  <c r="E159" i="56"/>
  <c r="F159" i="56" s="1"/>
  <c r="G159" i="56"/>
  <c r="I159" i="56" s="1"/>
  <c r="H159" i="56"/>
  <c r="J159" i="56"/>
  <c r="K159" i="56"/>
  <c r="C160" i="56"/>
  <c r="D160" i="56" s="1"/>
  <c r="E160" i="56"/>
  <c r="F160" i="56" s="1"/>
  <c r="G160" i="56"/>
  <c r="I160" i="56" s="1"/>
  <c r="H160" i="56"/>
  <c r="J160" i="56"/>
  <c r="K160" i="56"/>
  <c r="C161" i="56"/>
  <c r="D161" i="56" s="1"/>
  <c r="E161" i="56"/>
  <c r="F161" i="56" s="1"/>
  <c r="G161" i="56"/>
  <c r="I161" i="56" s="1"/>
  <c r="H161" i="56"/>
  <c r="J161" i="56"/>
  <c r="K161" i="56"/>
  <c r="C162" i="56"/>
  <c r="D162" i="56" s="1"/>
  <c r="E162" i="56"/>
  <c r="F162" i="56" s="1"/>
  <c r="G162" i="56"/>
  <c r="I162" i="56" s="1"/>
  <c r="H162" i="56"/>
  <c r="J162" i="56"/>
  <c r="K162" i="56"/>
  <c r="C163" i="56"/>
  <c r="D163" i="56" s="1"/>
  <c r="E163" i="56"/>
  <c r="F163" i="56" s="1"/>
  <c r="G163" i="56"/>
  <c r="I163" i="56" s="1"/>
  <c r="H163" i="56"/>
  <c r="J163" i="56"/>
  <c r="K163" i="56"/>
  <c r="C164" i="56"/>
  <c r="D164" i="56" s="1"/>
  <c r="E164" i="56"/>
  <c r="F164" i="56" s="1"/>
  <c r="G164" i="56"/>
  <c r="I164" i="56" s="1"/>
  <c r="H164" i="56"/>
  <c r="J164" i="56"/>
  <c r="K164" i="56"/>
  <c r="C165" i="56"/>
  <c r="D165" i="56" s="1"/>
  <c r="E165" i="56"/>
  <c r="F165" i="56" s="1"/>
  <c r="G165" i="56"/>
  <c r="I165" i="56" s="1"/>
  <c r="H165" i="56"/>
  <c r="J165" i="56"/>
  <c r="K165" i="56"/>
  <c r="C166" i="56"/>
  <c r="D166" i="56" s="1"/>
  <c r="E166" i="56"/>
  <c r="F166" i="56" s="1"/>
  <c r="G166" i="56"/>
  <c r="I166" i="56" s="1"/>
  <c r="H166" i="56"/>
  <c r="J166" i="56"/>
  <c r="K166" i="56"/>
  <c r="C167" i="56"/>
  <c r="D167" i="56" s="1"/>
  <c r="E167" i="56"/>
  <c r="F167" i="56" s="1"/>
  <c r="G167" i="56"/>
  <c r="I167" i="56" s="1"/>
  <c r="H167" i="56"/>
  <c r="J167" i="56"/>
  <c r="K167" i="56"/>
  <c r="C168" i="56"/>
  <c r="D168" i="56" s="1"/>
  <c r="E168" i="56"/>
  <c r="F168" i="56" s="1"/>
  <c r="G168" i="56"/>
  <c r="I168" i="56" s="1"/>
  <c r="H168" i="56"/>
  <c r="J168" i="56"/>
  <c r="K168" i="56"/>
  <c r="C169" i="56"/>
  <c r="D169" i="56" s="1"/>
  <c r="E169" i="56"/>
  <c r="F169" i="56" s="1"/>
  <c r="G169" i="56"/>
  <c r="I169" i="56" s="1"/>
  <c r="H169" i="56"/>
  <c r="J169" i="56"/>
  <c r="K169" i="56"/>
  <c r="C170" i="56"/>
  <c r="D170" i="56" s="1"/>
  <c r="E170" i="56"/>
  <c r="F170" i="56" s="1"/>
  <c r="G170" i="56"/>
  <c r="I170" i="56" s="1"/>
  <c r="H170" i="56"/>
  <c r="J170" i="56"/>
  <c r="K170" i="56"/>
  <c r="C171" i="56"/>
  <c r="D171" i="56" s="1"/>
  <c r="E171" i="56"/>
  <c r="F171" i="56" s="1"/>
  <c r="G171" i="56"/>
  <c r="I171" i="56" s="1"/>
  <c r="H171" i="56"/>
  <c r="J171" i="56"/>
  <c r="K171" i="56"/>
  <c r="C172" i="56"/>
  <c r="D172" i="56" s="1"/>
  <c r="E172" i="56"/>
  <c r="F172" i="56" s="1"/>
  <c r="G172" i="56"/>
  <c r="I172" i="56" s="1"/>
  <c r="H172" i="56"/>
  <c r="J172" i="56"/>
  <c r="K172" i="56"/>
  <c r="C173" i="56"/>
  <c r="D173" i="56" s="1"/>
  <c r="E173" i="56"/>
  <c r="F173" i="56" s="1"/>
  <c r="G173" i="56"/>
  <c r="I173" i="56" s="1"/>
  <c r="H173" i="56"/>
  <c r="J173" i="56"/>
  <c r="K173" i="56"/>
  <c r="C174" i="56"/>
  <c r="D174" i="56" s="1"/>
  <c r="E174" i="56"/>
  <c r="F174" i="56" s="1"/>
  <c r="G174" i="56"/>
  <c r="I174" i="56" s="1"/>
  <c r="H174" i="56"/>
  <c r="J174" i="56"/>
  <c r="K174" i="56"/>
  <c r="C175" i="56"/>
  <c r="D175" i="56" s="1"/>
  <c r="E175" i="56"/>
  <c r="F175" i="56" s="1"/>
  <c r="G175" i="56"/>
  <c r="I175" i="56" s="1"/>
  <c r="H175" i="56"/>
  <c r="J175" i="56"/>
  <c r="K175" i="56"/>
  <c r="C176" i="56"/>
  <c r="D176" i="56" s="1"/>
  <c r="E176" i="56"/>
  <c r="F176" i="56" s="1"/>
  <c r="G176" i="56"/>
  <c r="I176" i="56" s="1"/>
  <c r="H176" i="56"/>
  <c r="J176" i="56"/>
  <c r="K176" i="56"/>
  <c r="C177" i="56"/>
  <c r="D177" i="56" s="1"/>
  <c r="E177" i="56"/>
  <c r="F177" i="56" s="1"/>
  <c r="G177" i="56"/>
  <c r="I177" i="56" s="1"/>
  <c r="H177" i="56"/>
  <c r="J177" i="56"/>
  <c r="K177" i="56"/>
  <c r="C178" i="56"/>
  <c r="D178" i="56" s="1"/>
  <c r="E178" i="56"/>
  <c r="F178" i="56" s="1"/>
  <c r="G178" i="56"/>
  <c r="I178" i="56" s="1"/>
  <c r="H178" i="56"/>
  <c r="J178" i="56"/>
  <c r="K178" i="56"/>
  <c r="C179" i="56"/>
  <c r="D179" i="56" s="1"/>
  <c r="E179" i="56"/>
  <c r="F179" i="56" s="1"/>
  <c r="G179" i="56"/>
  <c r="I179" i="56" s="1"/>
  <c r="H179" i="56"/>
  <c r="J179" i="56"/>
  <c r="K179" i="56"/>
  <c r="C180" i="56"/>
  <c r="D180" i="56" s="1"/>
  <c r="E180" i="56"/>
  <c r="F180" i="56" s="1"/>
  <c r="G180" i="56"/>
  <c r="I180" i="56" s="1"/>
  <c r="H180" i="56"/>
  <c r="J180" i="56"/>
  <c r="K180" i="56"/>
  <c r="C181" i="56"/>
  <c r="D181" i="56" s="1"/>
  <c r="E181" i="56"/>
  <c r="F181" i="56" s="1"/>
  <c r="G181" i="56"/>
  <c r="I181" i="56" s="1"/>
  <c r="H181" i="56"/>
  <c r="J181" i="56"/>
  <c r="K181" i="56"/>
  <c r="C182" i="56"/>
  <c r="D182" i="56" s="1"/>
  <c r="E182" i="56"/>
  <c r="F182" i="56" s="1"/>
  <c r="G182" i="56"/>
  <c r="I182" i="56" s="1"/>
  <c r="H182" i="56"/>
  <c r="J182" i="56"/>
  <c r="K182" i="56"/>
  <c r="C183" i="56"/>
  <c r="D183" i="56" s="1"/>
  <c r="E183" i="56"/>
  <c r="F183" i="56" s="1"/>
  <c r="G183" i="56"/>
  <c r="I183" i="56" s="1"/>
  <c r="H183" i="56"/>
  <c r="J183" i="56"/>
  <c r="K183" i="56"/>
  <c r="C184" i="56"/>
  <c r="D184" i="56" s="1"/>
  <c r="E184" i="56"/>
  <c r="F184" i="56" s="1"/>
  <c r="G184" i="56"/>
  <c r="I184" i="56" s="1"/>
  <c r="H184" i="56"/>
  <c r="J184" i="56"/>
  <c r="K184" i="56"/>
  <c r="C185" i="56"/>
  <c r="D185" i="56" s="1"/>
  <c r="E185" i="56"/>
  <c r="F185" i="56" s="1"/>
  <c r="G185" i="56"/>
  <c r="I185" i="56" s="1"/>
  <c r="H185" i="56"/>
  <c r="J185" i="56"/>
  <c r="K185" i="56"/>
  <c r="C186" i="56"/>
  <c r="D186" i="56" s="1"/>
  <c r="E186" i="56"/>
  <c r="F186" i="56" s="1"/>
  <c r="G186" i="56"/>
  <c r="I186" i="56" s="1"/>
  <c r="H186" i="56"/>
  <c r="J186" i="56"/>
  <c r="K186" i="56"/>
  <c r="C187" i="56"/>
  <c r="D187" i="56" s="1"/>
  <c r="E187" i="56"/>
  <c r="F187" i="56" s="1"/>
  <c r="G187" i="56"/>
  <c r="I187" i="56" s="1"/>
  <c r="H187" i="56"/>
  <c r="J187" i="56"/>
  <c r="K187" i="56"/>
  <c r="C188" i="56"/>
  <c r="D188" i="56" s="1"/>
  <c r="E188" i="56"/>
  <c r="F188" i="56" s="1"/>
  <c r="G188" i="56"/>
  <c r="I188" i="56" s="1"/>
  <c r="H188" i="56"/>
  <c r="J188" i="56"/>
  <c r="K188" i="56"/>
  <c r="C189" i="56"/>
  <c r="D189" i="56" s="1"/>
  <c r="E189" i="56"/>
  <c r="F189" i="56" s="1"/>
  <c r="G189" i="56"/>
  <c r="I189" i="56" s="1"/>
  <c r="H189" i="56"/>
  <c r="J189" i="56"/>
  <c r="K189" i="56"/>
  <c r="C190" i="56"/>
  <c r="D190" i="56" s="1"/>
  <c r="E190" i="56"/>
  <c r="F190" i="56" s="1"/>
  <c r="G190" i="56"/>
  <c r="I190" i="56" s="1"/>
  <c r="H190" i="56"/>
  <c r="J190" i="56"/>
  <c r="K190" i="56"/>
  <c r="C191" i="56"/>
  <c r="D191" i="56" s="1"/>
  <c r="E191" i="56"/>
  <c r="F191" i="56" s="1"/>
  <c r="G191" i="56"/>
  <c r="I191" i="56" s="1"/>
  <c r="H191" i="56"/>
  <c r="J191" i="56"/>
  <c r="K191" i="56"/>
  <c r="C192" i="56"/>
  <c r="D192" i="56" s="1"/>
  <c r="E192" i="56"/>
  <c r="F192" i="56" s="1"/>
  <c r="G192" i="56"/>
  <c r="I192" i="56" s="1"/>
  <c r="H192" i="56"/>
  <c r="J192" i="56"/>
  <c r="K192" i="56"/>
  <c r="C193" i="56"/>
  <c r="D193" i="56" s="1"/>
  <c r="E193" i="56"/>
  <c r="F193" i="56" s="1"/>
  <c r="G193" i="56"/>
  <c r="I193" i="56" s="1"/>
  <c r="H193" i="56"/>
  <c r="J193" i="56"/>
  <c r="K193" i="56"/>
  <c r="C194" i="56"/>
  <c r="D194" i="56" s="1"/>
  <c r="E194" i="56"/>
  <c r="F194" i="56" s="1"/>
  <c r="G194" i="56"/>
  <c r="I194" i="56" s="1"/>
  <c r="H194" i="56"/>
  <c r="J194" i="56"/>
  <c r="K194" i="56"/>
  <c r="C195" i="56"/>
  <c r="D195" i="56" s="1"/>
  <c r="E195" i="56"/>
  <c r="F195" i="56" s="1"/>
  <c r="G195" i="56"/>
  <c r="I195" i="56" s="1"/>
  <c r="H195" i="56"/>
  <c r="J195" i="56"/>
  <c r="K195" i="56"/>
  <c r="C196" i="56"/>
  <c r="D196" i="56" s="1"/>
  <c r="E196" i="56"/>
  <c r="F196" i="56" s="1"/>
  <c r="G196" i="56"/>
  <c r="I196" i="56" s="1"/>
  <c r="H196" i="56"/>
  <c r="J196" i="56"/>
  <c r="K196" i="56"/>
  <c r="C197" i="56"/>
  <c r="D197" i="56" s="1"/>
  <c r="E197" i="56"/>
  <c r="F197" i="56" s="1"/>
  <c r="G197" i="56"/>
  <c r="I197" i="56" s="1"/>
  <c r="H197" i="56"/>
  <c r="J197" i="56"/>
  <c r="K197" i="56"/>
  <c r="C198" i="56"/>
  <c r="D198" i="56" s="1"/>
  <c r="E198" i="56"/>
  <c r="F198" i="56" s="1"/>
  <c r="G198" i="56"/>
  <c r="I198" i="56" s="1"/>
  <c r="H198" i="56"/>
  <c r="J198" i="56"/>
  <c r="K198" i="56"/>
  <c r="C199" i="56"/>
  <c r="D199" i="56" s="1"/>
  <c r="E199" i="56"/>
  <c r="F199" i="56" s="1"/>
  <c r="G199" i="56"/>
  <c r="I199" i="56" s="1"/>
  <c r="H199" i="56"/>
  <c r="J199" i="56"/>
  <c r="K199" i="56"/>
  <c r="C200" i="56"/>
  <c r="D200" i="56" s="1"/>
  <c r="E200" i="56"/>
  <c r="F200" i="56" s="1"/>
  <c r="G200" i="56"/>
  <c r="I200" i="56" s="1"/>
  <c r="H200" i="56"/>
  <c r="J200" i="56"/>
  <c r="K200" i="56"/>
  <c r="C201" i="56"/>
  <c r="D201" i="56" s="1"/>
  <c r="E201" i="56"/>
  <c r="F201" i="56" s="1"/>
  <c r="G201" i="56"/>
  <c r="I201" i="56" s="1"/>
  <c r="H201" i="56"/>
  <c r="J201" i="56"/>
  <c r="K201" i="56"/>
  <c r="C202" i="56"/>
  <c r="D202" i="56" s="1"/>
  <c r="E202" i="56"/>
  <c r="F202" i="56" s="1"/>
  <c r="G202" i="56"/>
  <c r="I202" i="56" s="1"/>
  <c r="H202" i="56"/>
  <c r="J202" i="56"/>
  <c r="K202" i="56"/>
  <c r="C203" i="56"/>
  <c r="D203" i="56" s="1"/>
  <c r="E203" i="56"/>
  <c r="F203" i="56" s="1"/>
  <c r="G203" i="56"/>
  <c r="I203" i="56" s="1"/>
  <c r="H203" i="56"/>
  <c r="J203" i="56"/>
  <c r="K203" i="56"/>
  <c r="C204" i="56"/>
  <c r="D204" i="56" s="1"/>
  <c r="E204" i="56"/>
  <c r="F204" i="56" s="1"/>
  <c r="G204" i="56"/>
  <c r="I204" i="56" s="1"/>
  <c r="H204" i="56"/>
  <c r="J204" i="56"/>
  <c r="K204" i="56"/>
  <c r="C205" i="56"/>
  <c r="D205" i="56" s="1"/>
  <c r="E205" i="56"/>
  <c r="F205" i="56" s="1"/>
  <c r="G205" i="56"/>
  <c r="I205" i="56" s="1"/>
  <c r="H205" i="56"/>
  <c r="J205" i="56"/>
  <c r="K205" i="56"/>
  <c r="C206" i="56"/>
  <c r="D206" i="56" s="1"/>
  <c r="E206" i="56"/>
  <c r="F206" i="56" s="1"/>
  <c r="G206" i="56"/>
  <c r="I206" i="56" s="1"/>
  <c r="H206" i="56"/>
  <c r="J206" i="56"/>
  <c r="K206" i="56"/>
  <c r="C207" i="56"/>
  <c r="D207" i="56" s="1"/>
  <c r="E207" i="56"/>
  <c r="F207" i="56" s="1"/>
  <c r="G207" i="56"/>
  <c r="I207" i="56" s="1"/>
  <c r="H207" i="56"/>
  <c r="J207" i="56"/>
  <c r="K207" i="56"/>
  <c r="C208" i="56"/>
  <c r="D208" i="56" s="1"/>
  <c r="E208" i="56"/>
  <c r="F208" i="56" s="1"/>
  <c r="G208" i="56"/>
  <c r="I208" i="56" s="1"/>
  <c r="H208" i="56"/>
  <c r="J208" i="56"/>
  <c r="K208" i="56"/>
  <c r="C209" i="56"/>
  <c r="D209" i="56" s="1"/>
  <c r="E209" i="56"/>
  <c r="F209" i="56" s="1"/>
  <c r="G209" i="56"/>
  <c r="I209" i="56" s="1"/>
  <c r="H209" i="56"/>
  <c r="J209" i="56"/>
  <c r="K209" i="56"/>
  <c r="C210" i="56"/>
  <c r="D210" i="56" s="1"/>
  <c r="E210" i="56"/>
  <c r="F210" i="56" s="1"/>
  <c r="G210" i="56"/>
  <c r="I210" i="56" s="1"/>
  <c r="H210" i="56"/>
  <c r="J210" i="56"/>
  <c r="K210" i="56"/>
  <c r="C211" i="56"/>
  <c r="D211" i="56" s="1"/>
  <c r="E211" i="56"/>
  <c r="F211" i="56" s="1"/>
  <c r="G211" i="56"/>
  <c r="I211" i="56" s="1"/>
  <c r="H211" i="56"/>
  <c r="J211" i="56"/>
  <c r="K211" i="56"/>
  <c r="C212" i="56"/>
  <c r="D212" i="56" s="1"/>
  <c r="E212" i="56"/>
  <c r="F212" i="56" s="1"/>
  <c r="G212" i="56"/>
  <c r="I212" i="56" s="1"/>
  <c r="H212" i="56"/>
  <c r="J212" i="56"/>
  <c r="K212" i="56"/>
  <c r="C213" i="56"/>
  <c r="D213" i="56" s="1"/>
  <c r="E213" i="56"/>
  <c r="F213" i="56" s="1"/>
  <c r="G213" i="56"/>
  <c r="I213" i="56" s="1"/>
  <c r="H213" i="56"/>
  <c r="J213" i="56"/>
  <c r="K213" i="56"/>
  <c r="C214" i="56"/>
  <c r="D214" i="56" s="1"/>
  <c r="E214" i="56"/>
  <c r="F214" i="56" s="1"/>
  <c r="G214" i="56"/>
  <c r="I214" i="56" s="1"/>
  <c r="H214" i="56"/>
  <c r="J214" i="56"/>
  <c r="K214" i="56"/>
  <c r="C215" i="56"/>
  <c r="D215" i="56" s="1"/>
  <c r="E215" i="56"/>
  <c r="F215" i="56" s="1"/>
  <c r="G215" i="56"/>
  <c r="I215" i="56" s="1"/>
  <c r="H215" i="56"/>
  <c r="J215" i="56"/>
  <c r="K215" i="56"/>
  <c r="C216" i="56"/>
  <c r="D216" i="56" s="1"/>
  <c r="E216" i="56"/>
  <c r="F216" i="56" s="1"/>
  <c r="G216" i="56"/>
  <c r="I216" i="56" s="1"/>
  <c r="H216" i="56"/>
  <c r="J216" i="56"/>
  <c r="K216" i="56"/>
  <c r="C217" i="56"/>
  <c r="D217" i="56" s="1"/>
  <c r="E217" i="56"/>
  <c r="F217" i="56" s="1"/>
  <c r="G217" i="56"/>
  <c r="I217" i="56" s="1"/>
  <c r="H217" i="56"/>
  <c r="J217" i="56"/>
  <c r="K217" i="56"/>
  <c r="C218" i="56"/>
  <c r="D218" i="56" s="1"/>
  <c r="E218" i="56"/>
  <c r="F218" i="56" s="1"/>
  <c r="G218" i="56"/>
  <c r="I218" i="56" s="1"/>
  <c r="H218" i="56"/>
  <c r="J218" i="56"/>
  <c r="K218" i="56"/>
  <c r="C219" i="56"/>
  <c r="D219" i="56" s="1"/>
  <c r="E219" i="56"/>
  <c r="F219" i="56" s="1"/>
  <c r="G219" i="56"/>
  <c r="I219" i="56" s="1"/>
  <c r="H219" i="56"/>
  <c r="J219" i="56"/>
  <c r="K219" i="56"/>
  <c r="C220" i="56"/>
  <c r="D220" i="56" s="1"/>
  <c r="E220" i="56"/>
  <c r="F220" i="56" s="1"/>
  <c r="G220" i="56"/>
  <c r="I220" i="56" s="1"/>
  <c r="H220" i="56"/>
  <c r="J220" i="56"/>
  <c r="K220" i="56"/>
  <c r="C221" i="56"/>
  <c r="D221" i="56" s="1"/>
  <c r="E221" i="56"/>
  <c r="F221" i="56" s="1"/>
  <c r="G221" i="56"/>
  <c r="I221" i="56" s="1"/>
  <c r="H221" i="56"/>
  <c r="J221" i="56"/>
  <c r="K221" i="56"/>
  <c r="C222" i="56"/>
  <c r="D222" i="56" s="1"/>
  <c r="E222" i="56"/>
  <c r="F222" i="56" s="1"/>
  <c r="G222" i="56"/>
  <c r="I222" i="56" s="1"/>
  <c r="H222" i="56"/>
  <c r="J222" i="56"/>
  <c r="K222" i="56"/>
  <c r="C223" i="56"/>
  <c r="D223" i="56" s="1"/>
  <c r="E223" i="56"/>
  <c r="F223" i="56" s="1"/>
  <c r="G223" i="56"/>
  <c r="I223" i="56" s="1"/>
  <c r="H223" i="56"/>
  <c r="J223" i="56"/>
  <c r="K223" i="56"/>
  <c r="C224" i="56"/>
  <c r="D224" i="56" s="1"/>
  <c r="E224" i="56"/>
  <c r="F224" i="56" s="1"/>
  <c r="G224" i="56"/>
  <c r="I224" i="56" s="1"/>
  <c r="H224" i="56"/>
  <c r="J224" i="56"/>
  <c r="K224" i="56"/>
  <c r="C225" i="56"/>
  <c r="D225" i="56" s="1"/>
  <c r="E225" i="56"/>
  <c r="F225" i="56" s="1"/>
  <c r="G225" i="56"/>
  <c r="I225" i="56" s="1"/>
  <c r="H225" i="56"/>
  <c r="J225" i="56"/>
  <c r="K225" i="56"/>
  <c r="C226" i="56"/>
  <c r="D226" i="56" s="1"/>
  <c r="E226" i="56"/>
  <c r="F226" i="56" s="1"/>
  <c r="G226" i="56"/>
  <c r="I226" i="56" s="1"/>
  <c r="H226" i="56"/>
  <c r="J226" i="56"/>
  <c r="K226" i="56"/>
  <c r="C227" i="56"/>
  <c r="D227" i="56" s="1"/>
  <c r="E227" i="56"/>
  <c r="F227" i="56" s="1"/>
  <c r="G227" i="56"/>
  <c r="I227" i="56" s="1"/>
  <c r="H227" i="56"/>
  <c r="J227" i="56"/>
  <c r="K227" i="56"/>
  <c r="C228" i="56"/>
  <c r="D228" i="56" s="1"/>
  <c r="E228" i="56"/>
  <c r="F228" i="56" s="1"/>
  <c r="G228" i="56"/>
  <c r="I228" i="56" s="1"/>
  <c r="H228" i="56"/>
  <c r="J228" i="56"/>
  <c r="K228" i="56"/>
  <c r="C229" i="56"/>
  <c r="D229" i="56" s="1"/>
  <c r="E229" i="56"/>
  <c r="F229" i="56" s="1"/>
  <c r="G229" i="56"/>
  <c r="I229" i="56" s="1"/>
  <c r="H229" i="56"/>
  <c r="J229" i="56"/>
  <c r="K229" i="56"/>
  <c r="C230" i="56"/>
  <c r="D230" i="56" s="1"/>
  <c r="E230" i="56"/>
  <c r="F230" i="56" s="1"/>
  <c r="G230" i="56"/>
  <c r="I230" i="56" s="1"/>
  <c r="H230" i="56"/>
  <c r="J230" i="56"/>
  <c r="K230" i="56"/>
  <c r="C231" i="56"/>
  <c r="D231" i="56" s="1"/>
  <c r="E231" i="56"/>
  <c r="F231" i="56" s="1"/>
  <c r="G231" i="56"/>
  <c r="I231" i="56" s="1"/>
  <c r="H231" i="56"/>
  <c r="J231" i="56"/>
  <c r="K231" i="56"/>
  <c r="C232" i="56"/>
  <c r="D232" i="56" s="1"/>
  <c r="E232" i="56"/>
  <c r="F232" i="56" s="1"/>
  <c r="G232" i="56"/>
  <c r="I232" i="56" s="1"/>
  <c r="H232" i="56"/>
  <c r="J232" i="56"/>
  <c r="K232" i="56"/>
  <c r="C233" i="56"/>
  <c r="D233" i="56" s="1"/>
  <c r="E233" i="56"/>
  <c r="F233" i="56" s="1"/>
  <c r="G233" i="56"/>
  <c r="I233" i="56" s="1"/>
  <c r="H233" i="56"/>
  <c r="J233" i="56"/>
  <c r="K233" i="56"/>
  <c r="C234" i="56"/>
  <c r="D234" i="56" s="1"/>
  <c r="E234" i="56"/>
  <c r="F234" i="56" s="1"/>
  <c r="G234" i="56"/>
  <c r="I234" i="56" s="1"/>
  <c r="H234" i="56"/>
  <c r="J234" i="56"/>
  <c r="K234" i="56"/>
  <c r="C235" i="56"/>
  <c r="D235" i="56" s="1"/>
  <c r="E235" i="56"/>
  <c r="F235" i="56" s="1"/>
  <c r="G235" i="56"/>
  <c r="I235" i="56" s="1"/>
  <c r="H235" i="56"/>
  <c r="J235" i="56"/>
  <c r="K235" i="56"/>
  <c r="C236" i="56"/>
  <c r="D236" i="56" s="1"/>
  <c r="E236" i="56"/>
  <c r="F236" i="56" s="1"/>
  <c r="G236" i="56"/>
  <c r="I236" i="56" s="1"/>
  <c r="H236" i="56"/>
  <c r="J236" i="56"/>
  <c r="K236" i="56"/>
  <c r="C237" i="56"/>
  <c r="D237" i="56" s="1"/>
  <c r="E237" i="56"/>
  <c r="F237" i="56" s="1"/>
  <c r="G237" i="56"/>
  <c r="I237" i="56" s="1"/>
  <c r="H237" i="56"/>
  <c r="J237" i="56"/>
  <c r="K237" i="56"/>
  <c r="C238" i="56"/>
  <c r="D238" i="56" s="1"/>
  <c r="E238" i="56"/>
  <c r="F238" i="56" s="1"/>
  <c r="G238" i="56"/>
  <c r="I238" i="56" s="1"/>
  <c r="H238" i="56"/>
  <c r="J238" i="56"/>
  <c r="K238" i="56"/>
  <c r="C239" i="56"/>
  <c r="D239" i="56" s="1"/>
  <c r="E239" i="56"/>
  <c r="F239" i="56" s="1"/>
  <c r="G239" i="56"/>
  <c r="I239" i="56" s="1"/>
  <c r="H239" i="56"/>
  <c r="J239" i="56"/>
  <c r="K239" i="56"/>
  <c r="C240" i="56"/>
  <c r="D240" i="56" s="1"/>
  <c r="E240" i="56"/>
  <c r="F240" i="56" s="1"/>
  <c r="G240" i="56"/>
  <c r="I240" i="56" s="1"/>
  <c r="H240" i="56"/>
  <c r="J240" i="56"/>
  <c r="K240" i="56"/>
  <c r="C241" i="56"/>
  <c r="D241" i="56" s="1"/>
  <c r="E241" i="56"/>
  <c r="F241" i="56" s="1"/>
  <c r="G241" i="56"/>
  <c r="I241" i="56" s="1"/>
  <c r="H241" i="56"/>
  <c r="J241" i="56"/>
  <c r="K241" i="56"/>
  <c r="C242" i="56"/>
  <c r="D242" i="56" s="1"/>
  <c r="E242" i="56"/>
  <c r="F242" i="56" s="1"/>
  <c r="G242" i="56"/>
  <c r="I242" i="56" s="1"/>
  <c r="H242" i="56"/>
  <c r="J242" i="56"/>
  <c r="K242" i="56"/>
  <c r="C243" i="56"/>
  <c r="D243" i="56" s="1"/>
  <c r="E243" i="56"/>
  <c r="F243" i="56" s="1"/>
  <c r="G243" i="56"/>
  <c r="I243" i="56" s="1"/>
  <c r="H243" i="56"/>
  <c r="J243" i="56"/>
  <c r="K243" i="56"/>
  <c r="C244" i="56"/>
  <c r="D244" i="56" s="1"/>
  <c r="E244" i="56"/>
  <c r="F244" i="56" s="1"/>
  <c r="G244" i="56"/>
  <c r="I244" i="56" s="1"/>
  <c r="H244" i="56"/>
  <c r="J244" i="56"/>
  <c r="K244" i="56"/>
  <c r="C245" i="56"/>
  <c r="D245" i="56" s="1"/>
  <c r="E245" i="56"/>
  <c r="F245" i="56" s="1"/>
  <c r="G245" i="56"/>
  <c r="I245" i="56" s="1"/>
  <c r="H245" i="56"/>
  <c r="J245" i="56"/>
  <c r="K245" i="56"/>
  <c r="C246" i="56"/>
  <c r="D246" i="56" s="1"/>
  <c r="E246" i="56"/>
  <c r="F246" i="56" s="1"/>
  <c r="G246" i="56"/>
  <c r="I246" i="56" s="1"/>
  <c r="H246" i="56"/>
  <c r="J246" i="56"/>
  <c r="K246" i="56"/>
  <c r="C247" i="56"/>
  <c r="D247" i="56" s="1"/>
  <c r="E247" i="56"/>
  <c r="F247" i="56" s="1"/>
  <c r="G247" i="56"/>
  <c r="I247" i="56" s="1"/>
  <c r="H247" i="56"/>
  <c r="J247" i="56"/>
  <c r="K247" i="56"/>
  <c r="C248" i="56"/>
  <c r="D248" i="56" s="1"/>
  <c r="E248" i="56"/>
  <c r="F248" i="56" s="1"/>
  <c r="G248" i="56"/>
  <c r="I248" i="56" s="1"/>
  <c r="H248" i="56"/>
  <c r="J248" i="56"/>
  <c r="K248" i="56"/>
  <c r="C249" i="56"/>
  <c r="D249" i="56" s="1"/>
  <c r="E249" i="56"/>
  <c r="F249" i="56" s="1"/>
  <c r="G249" i="56"/>
  <c r="I249" i="56" s="1"/>
  <c r="H249" i="56"/>
  <c r="J249" i="56"/>
  <c r="K249" i="56"/>
  <c r="C250" i="56"/>
  <c r="D250" i="56" s="1"/>
  <c r="E250" i="56"/>
  <c r="F250" i="56" s="1"/>
  <c r="G250" i="56"/>
  <c r="I250" i="56" s="1"/>
  <c r="H250" i="56"/>
  <c r="J250" i="56"/>
  <c r="K250" i="56"/>
  <c r="C251" i="56"/>
  <c r="D251" i="56" s="1"/>
  <c r="E251" i="56"/>
  <c r="F251" i="56" s="1"/>
  <c r="G251" i="56"/>
  <c r="I251" i="56" s="1"/>
  <c r="H251" i="56"/>
  <c r="J251" i="56"/>
  <c r="K251" i="56"/>
  <c r="C252" i="56"/>
  <c r="D252" i="56" s="1"/>
  <c r="E252" i="56"/>
  <c r="F252" i="56" s="1"/>
  <c r="G252" i="56"/>
  <c r="I252" i="56" s="1"/>
  <c r="H252" i="56"/>
  <c r="J252" i="56"/>
  <c r="K252" i="56"/>
  <c r="C253" i="56"/>
  <c r="D253" i="56" s="1"/>
  <c r="E253" i="56"/>
  <c r="F253" i="56" s="1"/>
  <c r="G253" i="56"/>
  <c r="I253" i="56" s="1"/>
  <c r="H253" i="56"/>
  <c r="J253" i="56"/>
  <c r="K253" i="56"/>
  <c r="C254" i="56"/>
  <c r="D254" i="56" s="1"/>
  <c r="E254" i="56"/>
  <c r="F254" i="56" s="1"/>
  <c r="G254" i="56"/>
  <c r="I254" i="56" s="1"/>
  <c r="H254" i="56"/>
  <c r="J254" i="56"/>
  <c r="K254" i="56"/>
  <c r="C255" i="56"/>
  <c r="D255" i="56" s="1"/>
  <c r="E255" i="56"/>
  <c r="F255" i="56" s="1"/>
  <c r="G255" i="56"/>
  <c r="I255" i="56" s="1"/>
  <c r="H255" i="56"/>
  <c r="J255" i="56"/>
  <c r="K255" i="56"/>
  <c r="C256" i="56"/>
  <c r="D256" i="56" s="1"/>
  <c r="E256" i="56"/>
  <c r="F256" i="56" s="1"/>
  <c r="G256" i="56"/>
  <c r="I256" i="56" s="1"/>
  <c r="H256" i="56"/>
  <c r="J256" i="56"/>
  <c r="K256" i="56"/>
  <c r="C257" i="56"/>
  <c r="D257" i="56" s="1"/>
  <c r="E257" i="56"/>
  <c r="F257" i="56" s="1"/>
  <c r="G257" i="56"/>
  <c r="I257" i="56" s="1"/>
  <c r="H257" i="56"/>
  <c r="J257" i="56"/>
  <c r="K257" i="56"/>
  <c r="C258" i="56"/>
  <c r="D258" i="56" s="1"/>
  <c r="E258" i="56"/>
  <c r="F258" i="56" s="1"/>
  <c r="G258" i="56"/>
  <c r="I258" i="56" s="1"/>
  <c r="H258" i="56"/>
  <c r="J258" i="56"/>
  <c r="K258" i="56"/>
  <c r="C259" i="56"/>
  <c r="D259" i="56" s="1"/>
  <c r="E259" i="56"/>
  <c r="F259" i="56" s="1"/>
  <c r="G259" i="56"/>
  <c r="I259" i="56" s="1"/>
  <c r="H259" i="56"/>
  <c r="J259" i="56"/>
  <c r="K259" i="56"/>
  <c r="C260" i="56"/>
  <c r="D260" i="56" s="1"/>
  <c r="E260" i="56"/>
  <c r="F260" i="56" s="1"/>
  <c r="G260" i="56"/>
  <c r="I260" i="56" s="1"/>
  <c r="H260" i="56"/>
  <c r="J260" i="56"/>
  <c r="K260" i="56"/>
  <c r="C261" i="56"/>
  <c r="D261" i="56" s="1"/>
  <c r="E261" i="56"/>
  <c r="F261" i="56" s="1"/>
  <c r="G261" i="56"/>
  <c r="I261" i="56" s="1"/>
  <c r="H261" i="56"/>
  <c r="J261" i="56"/>
  <c r="K261" i="56"/>
  <c r="C262" i="56"/>
  <c r="D262" i="56" s="1"/>
  <c r="E262" i="56"/>
  <c r="F262" i="56" s="1"/>
  <c r="G262" i="56"/>
  <c r="I262" i="56" s="1"/>
  <c r="H262" i="56"/>
  <c r="J262" i="56"/>
  <c r="K262" i="56"/>
  <c r="C263" i="56"/>
  <c r="D263" i="56" s="1"/>
  <c r="E263" i="56"/>
  <c r="F263" i="56" s="1"/>
  <c r="G263" i="56"/>
  <c r="I263" i="56" s="1"/>
  <c r="H263" i="56"/>
  <c r="J263" i="56"/>
  <c r="K263" i="56"/>
  <c r="C264" i="56"/>
  <c r="D264" i="56" s="1"/>
  <c r="E264" i="56"/>
  <c r="F264" i="56" s="1"/>
  <c r="G264" i="56"/>
  <c r="I264" i="56" s="1"/>
  <c r="H264" i="56"/>
  <c r="J264" i="56"/>
  <c r="K264" i="56"/>
  <c r="C265" i="56"/>
  <c r="D265" i="56" s="1"/>
  <c r="E265" i="56"/>
  <c r="F265" i="56" s="1"/>
  <c r="G265" i="56"/>
  <c r="I265" i="56" s="1"/>
  <c r="H265" i="56"/>
  <c r="J265" i="56"/>
  <c r="K265" i="56"/>
  <c r="C266" i="56"/>
  <c r="D266" i="56" s="1"/>
  <c r="E266" i="56"/>
  <c r="F266" i="56" s="1"/>
  <c r="G266" i="56"/>
  <c r="I266" i="56" s="1"/>
  <c r="H266" i="56"/>
  <c r="J266" i="56"/>
  <c r="K266" i="56"/>
  <c r="C267" i="56"/>
  <c r="D267" i="56" s="1"/>
  <c r="E267" i="56"/>
  <c r="F267" i="56" s="1"/>
  <c r="G267" i="56"/>
  <c r="I267" i="56" s="1"/>
  <c r="H267" i="56"/>
  <c r="J267" i="56"/>
  <c r="K267" i="56"/>
  <c r="C268" i="56"/>
  <c r="D268" i="56" s="1"/>
  <c r="E268" i="56"/>
  <c r="F268" i="56" s="1"/>
  <c r="G268" i="56"/>
  <c r="I268" i="56" s="1"/>
  <c r="H268" i="56"/>
  <c r="J268" i="56"/>
  <c r="K268" i="56"/>
  <c r="C269" i="56"/>
  <c r="D269" i="56" s="1"/>
  <c r="E269" i="56"/>
  <c r="F269" i="56" s="1"/>
  <c r="G269" i="56"/>
  <c r="I269" i="56" s="1"/>
  <c r="H269" i="56"/>
  <c r="J269" i="56"/>
  <c r="K269" i="56"/>
  <c r="C270" i="56"/>
  <c r="D270" i="56" s="1"/>
  <c r="E270" i="56"/>
  <c r="F270" i="56" s="1"/>
  <c r="G270" i="56"/>
  <c r="I270" i="56" s="1"/>
  <c r="H270" i="56"/>
  <c r="J270" i="56"/>
  <c r="K270" i="56"/>
  <c r="C271" i="56"/>
  <c r="D271" i="56" s="1"/>
  <c r="E271" i="56"/>
  <c r="F271" i="56" s="1"/>
  <c r="G271" i="56"/>
  <c r="I271" i="56" s="1"/>
  <c r="H271" i="56"/>
  <c r="J271" i="56"/>
  <c r="K271" i="56"/>
  <c r="C272" i="56"/>
  <c r="D272" i="56" s="1"/>
  <c r="E272" i="56"/>
  <c r="F272" i="56" s="1"/>
  <c r="G272" i="56"/>
  <c r="I272" i="56" s="1"/>
  <c r="H272" i="56"/>
  <c r="J272" i="56"/>
  <c r="K272" i="56"/>
  <c r="C273" i="56"/>
  <c r="D273" i="56" s="1"/>
  <c r="E273" i="56"/>
  <c r="F273" i="56" s="1"/>
  <c r="G273" i="56"/>
  <c r="I273" i="56" s="1"/>
  <c r="H273" i="56"/>
  <c r="J273" i="56"/>
  <c r="K273" i="56"/>
  <c r="C274" i="56"/>
  <c r="D274" i="56" s="1"/>
  <c r="E274" i="56"/>
  <c r="F274" i="56" s="1"/>
  <c r="G274" i="56"/>
  <c r="I274" i="56" s="1"/>
  <c r="H274" i="56"/>
  <c r="J274" i="56"/>
  <c r="K274" i="56"/>
  <c r="C275" i="56"/>
  <c r="D275" i="56" s="1"/>
  <c r="E275" i="56"/>
  <c r="F275" i="56" s="1"/>
  <c r="G275" i="56"/>
  <c r="I275" i="56" s="1"/>
  <c r="H275" i="56"/>
  <c r="J275" i="56"/>
  <c r="K275" i="56"/>
  <c r="C276" i="56"/>
  <c r="D276" i="56" s="1"/>
  <c r="E276" i="56"/>
  <c r="F276" i="56" s="1"/>
  <c r="G276" i="56"/>
  <c r="I276" i="56" s="1"/>
  <c r="H276" i="56"/>
  <c r="J276" i="56"/>
  <c r="K276" i="56"/>
  <c r="C277" i="56"/>
  <c r="D277" i="56" s="1"/>
  <c r="E277" i="56"/>
  <c r="F277" i="56" s="1"/>
  <c r="G277" i="56"/>
  <c r="I277" i="56" s="1"/>
  <c r="H277" i="56"/>
  <c r="J277" i="56"/>
  <c r="K277" i="56"/>
  <c r="C278" i="56"/>
  <c r="D278" i="56" s="1"/>
  <c r="E278" i="56"/>
  <c r="F278" i="56" s="1"/>
  <c r="G278" i="56"/>
  <c r="I278" i="56" s="1"/>
  <c r="H278" i="56"/>
  <c r="J278" i="56"/>
  <c r="K278" i="56"/>
  <c r="C279" i="56"/>
  <c r="D279" i="56" s="1"/>
  <c r="E279" i="56"/>
  <c r="F279" i="56" s="1"/>
  <c r="G279" i="56"/>
  <c r="I279" i="56" s="1"/>
  <c r="H279" i="56"/>
  <c r="J279" i="56"/>
  <c r="K279" i="56"/>
  <c r="C280" i="56"/>
  <c r="D280" i="56" s="1"/>
  <c r="E280" i="56"/>
  <c r="F280" i="56" s="1"/>
  <c r="G280" i="56"/>
  <c r="I280" i="56" s="1"/>
  <c r="H280" i="56"/>
  <c r="J280" i="56"/>
  <c r="K280" i="56"/>
  <c r="C281" i="56"/>
  <c r="D281" i="56" s="1"/>
  <c r="E281" i="56"/>
  <c r="F281" i="56" s="1"/>
  <c r="G281" i="56"/>
  <c r="I281" i="56" s="1"/>
  <c r="H281" i="56"/>
  <c r="J281" i="56"/>
  <c r="K281" i="56"/>
  <c r="C282" i="56"/>
  <c r="D282" i="56" s="1"/>
  <c r="E282" i="56"/>
  <c r="F282" i="56" s="1"/>
  <c r="G282" i="56"/>
  <c r="I282" i="56" s="1"/>
  <c r="H282" i="56"/>
  <c r="J282" i="56"/>
  <c r="K282" i="56"/>
  <c r="C283" i="56"/>
  <c r="D283" i="56" s="1"/>
  <c r="E283" i="56"/>
  <c r="F283" i="56" s="1"/>
  <c r="G283" i="56"/>
  <c r="I283" i="56" s="1"/>
  <c r="H283" i="56"/>
  <c r="J283" i="56"/>
  <c r="K283" i="56"/>
  <c r="C284" i="56"/>
  <c r="D284" i="56" s="1"/>
  <c r="E284" i="56"/>
  <c r="F284" i="56" s="1"/>
  <c r="G284" i="56"/>
  <c r="I284" i="56" s="1"/>
  <c r="H284" i="56"/>
  <c r="J284" i="56"/>
  <c r="K284" i="56"/>
  <c r="C285" i="56"/>
  <c r="D285" i="56" s="1"/>
  <c r="E285" i="56"/>
  <c r="F285" i="56" s="1"/>
  <c r="G285" i="56"/>
  <c r="I285" i="56" s="1"/>
  <c r="H285" i="56"/>
  <c r="J285" i="56"/>
  <c r="K285" i="56"/>
  <c r="C286" i="56"/>
  <c r="D286" i="56" s="1"/>
  <c r="E286" i="56"/>
  <c r="F286" i="56" s="1"/>
  <c r="G286" i="56"/>
  <c r="I286" i="56" s="1"/>
  <c r="H286" i="56"/>
  <c r="J286" i="56"/>
  <c r="K286" i="56"/>
  <c r="C287" i="56"/>
  <c r="D287" i="56" s="1"/>
  <c r="E287" i="56"/>
  <c r="F287" i="56" s="1"/>
  <c r="G287" i="56"/>
  <c r="I287" i="56" s="1"/>
  <c r="H287" i="56"/>
  <c r="J287" i="56"/>
  <c r="K287" i="56"/>
  <c r="C288" i="56"/>
  <c r="D288" i="56" s="1"/>
  <c r="E288" i="56"/>
  <c r="F288" i="56" s="1"/>
  <c r="G288" i="56"/>
  <c r="I288" i="56" s="1"/>
  <c r="H288" i="56"/>
  <c r="J288" i="56"/>
  <c r="K288" i="56"/>
  <c r="C289" i="56"/>
  <c r="D289" i="56" s="1"/>
  <c r="E289" i="56"/>
  <c r="F289" i="56" s="1"/>
  <c r="G289" i="56"/>
  <c r="I289" i="56" s="1"/>
  <c r="H289" i="56"/>
  <c r="J289" i="56"/>
  <c r="K289" i="56"/>
  <c r="C290" i="56"/>
  <c r="D290" i="56" s="1"/>
  <c r="E290" i="56"/>
  <c r="F290" i="56" s="1"/>
  <c r="G290" i="56"/>
  <c r="I290" i="56" s="1"/>
  <c r="H290" i="56"/>
  <c r="J290" i="56"/>
  <c r="K290" i="56"/>
  <c r="C291" i="56"/>
  <c r="D291" i="56" s="1"/>
  <c r="E291" i="56"/>
  <c r="F291" i="56" s="1"/>
  <c r="G291" i="56"/>
  <c r="I291" i="56" s="1"/>
  <c r="H291" i="56"/>
  <c r="J291" i="56"/>
  <c r="K291" i="56"/>
  <c r="C292" i="56"/>
  <c r="D292" i="56" s="1"/>
  <c r="E292" i="56"/>
  <c r="F292" i="56" s="1"/>
  <c r="G292" i="56"/>
  <c r="I292" i="56" s="1"/>
  <c r="H292" i="56"/>
  <c r="J292" i="56"/>
  <c r="K292" i="56"/>
  <c r="C293" i="56"/>
  <c r="D293" i="56" s="1"/>
  <c r="E293" i="56"/>
  <c r="F293" i="56" s="1"/>
  <c r="G293" i="56"/>
  <c r="I293" i="56" s="1"/>
  <c r="H293" i="56"/>
  <c r="J293" i="56"/>
  <c r="K293" i="56"/>
  <c r="C294" i="56"/>
  <c r="D294" i="56" s="1"/>
  <c r="E294" i="56"/>
  <c r="F294" i="56" s="1"/>
  <c r="G294" i="56"/>
  <c r="I294" i="56" s="1"/>
  <c r="H294" i="56"/>
  <c r="J294" i="56"/>
  <c r="K294" i="56"/>
  <c r="C295" i="56"/>
  <c r="D295" i="56" s="1"/>
  <c r="E295" i="56"/>
  <c r="F295" i="56" s="1"/>
  <c r="G295" i="56"/>
  <c r="I295" i="56" s="1"/>
  <c r="H295" i="56"/>
  <c r="J295" i="56"/>
  <c r="K295" i="56"/>
  <c r="C296" i="56"/>
  <c r="D296" i="56" s="1"/>
  <c r="E296" i="56"/>
  <c r="F296" i="56" s="1"/>
  <c r="G296" i="56"/>
  <c r="I296" i="56" s="1"/>
  <c r="H296" i="56"/>
  <c r="J296" i="56"/>
  <c r="K296" i="56"/>
  <c r="C297" i="56"/>
  <c r="D297" i="56" s="1"/>
  <c r="E297" i="56"/>
  <c r="F297" i="56" s="1"/>
  <c r="G297" i="56"/>
  <c r="I297" i="56" s="1"/>
  <c r="H297" i="56"/>
  <c r="J297" i="56"/>
  <c r="K297" i="56"/>
  <c r="C298" i="56"/>
  <c r="D298" i="56" s="1"/>
  <c r="E298" i="56"/>
  <c r="F298" i="56" s="1"/>
  <c r="G298" i="56"/>
  <c r="I298" i="56" s="1"/>
  <c r="H298" i="56"/>
  <c r="J298" i="56"/>
  <c r="K298" i="56"/>
  <c r="C299" i="56"/>
  <c r="D299" i="56" s="1"/>
  <c r="E299" i="56"/>
  <c r="F299" i="56" s="1"/>
  <c r="G299" i="56"/>
  <c r="I299" i="56" s="1"/>
  <c r="H299" i="56"/>
  <c r="J299" i="56"/>
  <c r="K299" i="56"/>
  <c r="C300" i="56"/>
  <c r="D300" i="56" s="1"/>
  <c r="E300" i="56"/>
  <c r="F300" i="56" s="1"/>
  <c r="G300" i="56"/>
  <c r="I300" i="56" s="1"/>
  <c r="H300" i="56"/>
  <c r="J300" i="56"/>
  <c r="K300" i="56"/>
  <c r="C301" i="56"/>
  <c r="D301" i="56" s="1"/>
  <c r="E301" i="56"/>
  <c r="F301" i="56" s="1"/>
  <c r="G301" i="56"/>
  <c r="I301" i="56" s="1"/>
  <c r="H301" i="56"/>
  <c r="J301" i="56"/>
  <c r="K301" i="56"/>
  <c r="C302" i="56"/>
  <c r="D302" i="56" s="1"/>
  <c r="E302" i="56"/>
  <c r="F302" i="56" s="1"/>
  <c r="G302" i="56"/>
  <c r="I302" i="56" s="1"/>
  <c r="H302" i="56"/>
  <c r="J302" i="56"/>
  <c r="K302" i="56"/>
  <c r="C303" i="56"/>
  <c r="D303" i="56" s="1"/>
  <c r="E303" i="56"/>
  <c r="F303" i="56" s="1"/>
  <c r="G303" i="56"/>
  <c r="I303" i="56" s="1"/>
  <c r="H303" i="56"/>
  <c r="J303" i="56"/>
  <c r="K303" i="56"/>
  <c r="C304" i="56"/>
  <c r="D304" i="56" s="1"/>
  <c r="E304" i="56"/>
  <c r="F304" i="56" s="1"/>
  <c r="G304" i="56"/>
  <c r="I304" i="56" s="1"/>
  <c r="H304" i="56"/>
  <c r="J304" i="56"/>
  <c r="K304" i="56"/>
  <c r="C305" i="56"/>
  <c r="D305" i="56" s="1"/>
  <c r="E305" i="56"/>
  <c r="F305" i="56" s="1"/>
  <c r="G305" i="56"/>
  <c r="I305" i="56" s="1"/>
  <c r="H305" i="56"/>
  <c r="J305" i="56"/>
  <c r="K305" i="56"/>
  <c r="C306" i="56"/>
  <c r="D306" i="56" s="1"/>
  <c r="E306" i="56"/>
  <c r="F306" i="56" s="1"/>
  <c r="G306" i="56"/>
  <c r="I306" i="56" s="1"/>
  <c r="H306" i="56"/>
  <c r="J306" i="56"/>
  <c r="K306" i="56"/>
  <c r="C307" i="56"/>
  <c r="D307" i="56" s="1"/>
  <c r="E307" i="56"/>
  <c r="F307" i="56" s="1"/>
  <c r="G307" i="56"/>
  <c r="I307" i="56" s="1"/>
  <c r="H307" i="56"/>
  <c r="J307" i="56"/>
  <c r="K307" i="56"/>
  <c r="C308" i="56"/>
  <c r="D308" i="56" s="1"/>
  <c r="E308" i="56"/>
  <c r="F308" i="56" s="1"/>
  <c r="G308" i="56"/>
  <c r="I308" i="56" s="1"/>
  <c r="H308" i="56"/>
  <c r="J308" i="56"/>
  <c r="K308" i="56"/>
  <c r="C309" i="56"/>
  <c r="D309" i="56" s="1"/>
  <c r="E309" i="56"/>
  <c r="F309" i="56" s="1"/>
  <c r="G309" i="56"/>
  <c r="I309" i="56" s="1"/>
  <c r="H309" i="56"/>
  <c r="J309" i="56"/>
  <c r="K309" i="56"/>
  <c r="C310" i="56"/>
  <c r="D310" i="56" s="1"/>
  <c r="E310" i="56"/>
  <c r="F310" i="56" s="1"/>
  <c r="G310" i="56"/>
  <c r="I310" i="56" s="1"/>
  <c r="H310" i="56"/>
  <c r="J310" i="56"/>
  <c r="K310" i="56"/>
  <c r="C311" i="56"/>
  <c r="D311" i="56" s="1"/>
  <c r="E311" i="56"/>
  <c r="F311" i="56" s="1"/>
  <c r="G311" i="56"/>
  <c r="I311" i="56" s="1"/>
  <c r="H311" i="56"/>
  <c r="J311" i="56"/>
  <c r="K311" i="56"/>
  <c r="C312" i="56"/>
  <c r="D312" i="56" s="1"/>
  <c r="E312" i="56"/>
  <c r="F312" i="56" s="1"/>
  <c r="G312" i="56"/>
  <c r="I312" i="56" s="1"/>
  <c r="H312" i="56"/>
  <c r="J312" i="56"/>
  <c r="K312" i="56"/>
  <c r="C313" i="56"/>
  <c r="D313" i="56" s="1"/>
  <c r="E313" i="56"/>
  <c r="F313" i="56" s="1"/>
  <c r="G313" i="56"/>
  <c r="I313" i="56" s="1"/>
  <c r="H313" i="56"/>
  <c r="J313" i="56"/>
  <c r="K313" i="56"/>
  <c r="C314" i="56"/>
  <c r="D314" i="56" s="1"/>
  <c r="E314" i="56"/>
  <c r="F314" i="56" s="1"/>
  <c r="G314" i="56"/>
  <c r="I314" i="56" s="1"/>
  <c r="H314" i="56"/>
  <c r="J314" i="56"/>
  <c r="K314" i="56"/>
  <c r="C315" i="56"/>
  <c r="D315" i="56" s="1"/>
  <c r="E315" i="56"/>
  <c r="F315" i="56" s="1"/>
  <c r="G315" i="56"/>
  <c r="I315" i="56" s="1"/>
  <c r="H315" i="56"/>
  <c r="J315" i="56"/>
  <c r="K315" i="56"/>
  <c r="C316" i="56"/>
  <c r="D316" i="56" s="1"/>
  <c r="E316" i="56"/>
  <c r="F316" i="56" s="1"/>
  <c r="G316" i="56"/>
  <c r="I316" i="56" s="1"/>
  <c r="H316" i="56"/>
  <c r="J316" i="56"/>
  <c r="K316" i="56"/>
  <c r="C317" i="56"/>
  <c r="D317" i="56" s="1"/>
  <c r="E317" i="56"/>
  <c r="F317" i="56" s="1"/>
  <c r="G317" i="56"/>
  <c r="I317" i="56" s="1"/>
  <c r="H317" i="56"/>
  <c r="J317" i="56"/>
  <c r="K317" i="56"/>
  <c r="C318" i="56"/>
  <c r="D318" i="56" s="1"/>
  <c r="E318" i="56"/>
  <c r="F318" i="56" s="1"/>
  <c r="G318" i="56"/>
  <c r="I318" i="56" s="1"/>
  <c r="H318" i="56"/>
  <c r="J318" i="56"/>
  <c r="K318" i="56"/>
  <c r="C319" i="56"/>
  <c r="D319" i="56" s="1"/>
  <c r="E319" i="56"/>
  <c r="F319" i="56" s="1"/>
  <c r="G319" i="56"/>
  <c r="I319" i="56" s="1"/>
  <c r="H319" i="56"/>
  <c r="J319" i="56"/>
  <c r="K319" i="56"/>
  <c r="C320" i="56"/>
  <c r="D320" i="56" s="1"/>
  <c r="E320" i="56"/>
  <c r="F320" i="56" s="1"/>
  <c r="G320" i="56"/>
  <c r="I320" i="56" s="1"/>
  <c r="H320" i="56"/>
  <c r="J320" i="56"/>
  <c r="K320" i="56"/>
  <c r="C321" i="56"/>
  <c r="D321" i="56" s="1"/>
  <c r="E321" i="56"/>
  <c r="F321" i="56" s="1"/>
  <c r="G321" i="56"/>
  <c r="I321" i="56" s="1"/>
  <c r="H321" i="56"/>
  <c r="J321" i="56"/>
  <c r="K321" i="56"/>
  <c r="C322" i="56"/>
  <c r="D322" i="56" s="1"/>
  <c r="E322" i="56"/>
  <c r="F322" i="56" s="1"/>
  <c r="G322" i="56"/>
  <c r="I322" i="56" s="1"/>
  <c r="H322" i="56"/>
  <c r="J322" i="56"/>
  <c r="K322" i="56"/>
  <c r="C323" i="56"/>
  <c r="D323" i="56" s="1"/>
  <c r="E323" i="56"/>
  <c r="F323" i="56" s="1"/>
  <c r="G323" i="56"/>
  <c r="I323" i="56" s="1"/>
  <c r="H323" i="56"/>
  <c r="J323" i="56"/>
  <c r="K323" i="56"/>
  <c r="C324" i="56"/>
  <c r="D324" i="56" s="1"/>
  <c r="E324" i="56"/>
  <c r="F324" i="56" s="1"/>
  <c r="G324" i="56"/>
  <c r="I324" i="56" s="1"/>
  <c r="H324" i="56"/>
  <c r="J324" i="56"/>
  <c r="K324" i="56"/>
  <c r="C325" i="56"/>
  <c r="D325" i="56" s="1"/>
  <c r="E325" i="56"/>
  <c r="F325" i="56" s="1"/>
  <c r="G325" i="56"/>
  <c r="I325" i="56" s="1"/>
  <c r="H325" i="56"/>
  <c r="J325" i="56"/>
  <c r="K325" i="56"/>
  <c r="C326" i="56"/>
  <c r="D326" i="56" s="1"/>
  <c r="E326" i="56"/>
  <c r="F326" i="56" s="1"/>
  <c r="G326" i="56"/>
  <c r="I326" i="56" s="1"/>
  <c r="H326" i="56"/>
  <c r="J326" i="56"/>
  <c r="K326" i="56"/>
  <c r="C327" i="56"/>
  <c r="D327" i="56" s="1"/>
  <c r="E327" i="56"/>
  <c r="F327" i="56" s="1"/>
  <c r="G327" i="56"/>
  <c r="I327" i="56" s="1"/>
  <c r="H327" i="56"/>
  <c r="J327" i="56"/>
  <c r="K327" i="56"/>
  <c r="C328" i="56"/>
  <c r="D328" i="56" s="1"/>
  <c r="E328" i="56"/>
  <c r="F328" i="56" s="1"/>
  <c r="G328" i="56"/>
  <c r="I328" i="56" s="1"/>
  <c r="H328" i="56"/>
  <c r="J328" i="56"/>
  <c r="K328" i="56"/>
  <c r="C329" i="56"/>
  <c r="D329" i="56" s="1"/>
  <c r="E329" i="56"/>
  <c r="F329" i="56" s="1"/>
  <c r="G329" i="56"/>
  <c r="I329" i="56" s="1"/>
  <c r="H329" i="56"/>
  <c r="J329" i="56"/>
  <c r="K329" i="56"/>
  <c r="C330" i="56"/>
  <c r="D330" i="56" s="1"/>
  <c r="E330" i="56"/>
  <c r="F330" i="56" s="1"/>
  <c r="G330" i="56"/>
  <c r="I330" i="56" s="1"/>
  <c r="H330" i="56"/>
  <c r="J330" i="56"/>
  <c r="K330" i="56"/>
  <c r="C331" i="56"/>
  <c r="D331" i="56" s="1"/>
  <c r="E331" i="56"/>
  <c r="F331" i="56" s="1"/>
  <c r="G331" i="56"/>
  <c r="I331" i="56" s="1"/>
  <c r="H331" i="56"/>
  <c r="J331" i="56"/>
  <c r="K331" i="56"/>
  <c r="C332" i="56"/>
  <c r="D332" i="56" s="1"/>
  <c r="E332" i="56"/>
  <c r="F332" i="56" s="1"/>
  <c r="G332" i="56"/>
  <c r="I332" i="56" s="1"/>
  <c r="H332" i="56"/>
  <c r="J332" i="56"/>
  <c r="K332" i="56"/>
  <c r="C333" i="56"/>
  <c r="D333" i="56" s="1"/>
  <c r="E333" i="56"/>
  <c r="F333" i="56" s="1"/>
  <c r="G333" i="56"/>
  <c r="I333" i="56" s="1"/>
  <c r="H333" i="56"/>
  <c r="J333" i="56"/>
  <c r="K333" i="56"/>
  <c r="C334" i="56"/>
  <c r="D334" i="56" s="1"/>
  <c r="E334" i="56"/>
  <c r="F334" i="56" s="1"/>
  <c r="G334" i="56"/>
  <c r="I334" i="56" s="1"/>
  <c r="H334" i="56"/>
  <c r="J334" i="56"/>
  <c r="K334" i="56"/>
  <c r="C335" i="56"/>
  <c r="D335" i="56" s="1"/>
  <c r="E335" i="56"/>
  <c r="F335" i="56" s="1"/>
  <c r="G335" i="56"/>
  <c r="I335" i="56" s="1"/>
  <c r="H335" i="56"/>
  <c r="J335" i="56"/>
  <c r="K335" i="56"/>
  <c r="C336" i="56"/>
  <c r="D336" i="56" s="1"/>
  <c r="E336" i="56"/>
  <c r="F336" i="56" s="1"/>
  <c r="G336" i="56"/>
  <c r="I336" i="56" s="1"/>
  <c r="H336" i="56"/>
  <c r="J336" i="56"/>
  <c r="K336" i="56"/>
  <c r="C337" i="56"/>
  <c r="D337" i="56" s="1"/>
  <c r="E337" i="56"/>
  <c r="F337" i="56" s="1"/>
  <c r="G337" i="56"/>
  <c r="I337" i="56" s="1"/>
  <c r="H337" i="56"/>
  <c r="J337" i="56"/>
  <c r="K337" i="56"/>
  <c r="C338" i="56"/>
  <c r="D338" i="56" s="1"/>
  <c r="E338" i="56"/>
  <c r="F338" i="56" s="1"/>
  <c r="G338" i="56"/>
  <c r="I338" i="56" s="1"/>
  <c r="H338" i="56"/>
  <c r="J338" i="56"/>
  <c r="K338" i="56"/>
  <c r="C339" i="56"/>
  <c r="D339" i="56" s="1"/>
  <c r="E339" i="56"/>
  <c r="F339" i="56" s="1"/>
  <c r="G339" i="56"/>
  <c r="I339" i="56" s="1"/>
  <c r="H339" i="56"/>
  <c r="J339" i="56"/>
  <c r="K339" i="56"/>
  <c r="C340" i="56"/>
  <c r="D340" i="56" s="1"/>
  <c r="E340" i="56"/>
  <c r="F340" i="56" s="1"/>
  <c r="G340" i="56"/>
  <c r="I340" i="56" s="1"/>
  <c r="H340" i="56"/>
  <c r="J340" i="56"/>
  <c r="K340" i="56"/>
  <c r="C341" i="56"/>
  <c r="D341" i="56" s="1"/>
  <c r="E341" i="56"/>
  <c r="F341" i="56" s="1"/>
  <c r="G341" i="56"/>
  <c r="I341" i="56" s="1"/>
  <c r="H341" i="56"/>
  <c r="J341" i="56"/>
  <c r="K341" i="56"/>
  <c r="C342" i="56"/>
  <c r="D342" i="56" s="1"/>
  <c r="E342" i="56"/>
  <c r="F342" i="56" s="1"/>
  <c r="G342" i="56"/>
  <c r="I342" i="56" s="1"/>
  <c r="H342" i="56"/>
  <c r="J342" i="56"/>
  <c r="K342" i="56"/>
  <c r="C343" i="56"/>
  <c r="D343" i="56" s="1"/>
  <c r="E343" i="56"/>
  <c r="F343" i="56" s="1"/>
  <c r="G343" i="56"/>
  <c r="I343" i="56" s="1"/>
  <c r="H343" i="56"/>
  <c r="J343" i="56"/>
  <c r="K343" i="56"/>
  <c r="C344" i="56"/>
  <c r="D344" i="56" s="1"/>
  <c r="E344" i="56"/>
  <c r="F344" i="56" s="1"/>
  <c r="G344" i="56"/>
  <c r="I344" i="56" s="1"/>
  <c r="H344" i="56"/>
  <c r="J344" i="56"/>
  <c r="K344" i="56"/>
  <c r="C345" i="56"/>
  <c r="D345" i="56" s="1"/>
  <c r="E345" i="56"/>
  <c r="F345" i="56" s="1"/>
  <c r="G345" i="56"/>
  <c r="I345" i="56" s="1"/>
  <c r="H345" i="56"/>
  <c r="J345" i="56"/>
  <c r="K345" i="56"/>
  <c r="C346" i="56"/>
  <c r="D346" i="56" s="1"/>
  <c r="E346" i="56"/>
  <c r="F346" i="56" s="1"/>
  <c r="G346" i="56"/>
  <c r="I346" i="56" s="1"/>
  <c r="H346" i="56"/>
  <c r="J346" i="56"/>
  <c r="K346" i="56"/>
  <c r="C347" i="56"/>
  <c r="D347" i="56" s="1"/>
  <c r="E347" i="56"/>
  <c r="F347" i="56" s="1"/>
  <c r="G347" i="56"/>
  <c r="I347" i="56" s="1"/>
  <c r="H347" i="56"/>
  <c r="J347" i="56"/>
  <c r="K347" i="56"/>
  <c r="C348" i="56"/>
  <c r="D348" i="56" s="1"/>
  <c r="E348" i="56"/>
  <c r="F348" i="56" s="1"/>
  <c r="G348" i="56"/>
  <c r="I348" i="56" s="1"/>
  <c r="H348" i="56"/>
  <c r="J348" i="56"/>
  <c r="K348" i="56"/>
  <c r="C349" i="56"/>
  <c r="D349" i="56" s="1"/>
  <c r="E349" i="56"/>
  <c r="F349" i="56" s="1"/>
  <c r="G349" i="56"/>
  <c r="I349" i="56" s="1"/>
  <c r="H349" i="56"/>
  <c r="J349" i="56"/>
  <c r="K349" i="56"/>
  <c r="C350" i="56"/>
  <c r="D350" i="56" s="1"/>
  <c r="E350" i="56"/>
  <c r="F350" i="56" s="1"/>
  <c r="G350" i="56"/>
  <c r="I350" i="56" s="1"/>
  <c r="H350" i="56"/>
  <c r="J350" i="56"/>
  <c r="K350" i="56"/>
  <c r="C351" i="56"/>
  <c r="D351" i="56" s="1"/>
  <c r="E351" i="56"/>
  <c r="F351" i="56" s="1"/>
  <c r="G351" i="56"/>
  <c r="I351" i="56" s="1"/>
  <c r="H351" i="56"/>
  <c r="J351" i="56"/>
  <c r="K351" i="56"/>
  <c r="C352" i="56"/>
  <c r="D352" i="56" s="1"/>
  <c r="E352" i="56"/>
  <c r="F352" i="56" s="1"/>
  <c r="G352" i="56"/>
  <c r="I352" i="56" s="1"/>
  <c r="H352" i="56"/>
  <c r="J352" i="56"/>
  <c r="K352" i="56"/>
  <c r="C353" i="56"/>
  <c r="D353" i="56" s="1"/>
  <c r="E353" i="56"/>
  <c r="F353" i="56" s="1"/>
  <c r="G353" i="56"/>
  <c r="I353" i="56" s="1"/>
  <c r="H353" i="56"/>
  <c r="J353" i="56"/>
  <c r="K353" i="56"/>
  <c r="C354" i="56"/>
  <c r="D354" i="56" s="1"/>
  <c r="E354" i="56"/>
  <c r="F354" i="56" s="1"/>
  <c r="G354" i="56"/>
  <c r="I354" i="56" s="1"/>
  <c r="H354" i="56"/>
  <c r="J354" i="56"/>
  <c r="K354" i="56"/>
  <c r="C355" i="56"/>
  <c r="D355" i="56" s="1"/>
  <c r="E355" i="56"/>
  <c r="F355" i="56" s="1"/>
  <c r="G355" i="56"/>
  <c r="I355" i="56" s="1"/>
  <c r="H355" i="56"/>
  <c r="J355" i="56"/>
  <c r="K355" i="56"/>
  <c r="C356" i="56"/>
  <c r="D356" i="56" s="1"/>
  <c r="E356" i="56"/>
  <c r="F356" i="56" s="1"/>
  <c r="G356" i="56"/>
  <c r="I356" i="56" s="1"/>
  <c r="H356" i="56"/>
  <c r="J356" i="56"/>
  <c r="K356" i="56"/>
  <c r="C357" i="56"/>
  <c r="D357" i="56" s="1"/>
  <c r="E357" i="56"/>
  <c r="F357" i="56" s="1"/>
  <c r="G357" i="56"/>
  <c r="I357" i="56" s="1"/>
  <c r="H357" i="56"/>
  <c r="J357" i="56"/>
  <c r="K357" i="56"/>
  <c r="C358" i="56"/>
  <c r="D358" i="56" s="1"/>
  <c r="E358" i="56"/>
  <c r="F358" i="56" s="1"/>
  <c r="G358" i="56"/>
  <c r="I358" i="56" s="1"/>
  <c r="H358" i="56"/>
  <c r="J358" i="56"/>
  <c r="K358" i="56"/>
  <c r="C359" i="56"/>
  <c r="D359" i="56" s="1"/>
  <c r="E359" i="56"/>
  <c r="F359" i="56" s="1"/>
  <c r="G359" i="56"/>
  <c r="I359" i="56" s="1"/>
  <c r="H359" i="56"/>
  <c r="J359" i="56"/>
  <c r="K359" i="56"/>
  <c r="C360" i="56"/>
  <c r="D360" i="56" s="1"/>
  <c r="E360" i="56"/>
  <c r="F360" i="56" s="1"/>
  <c r="G360" i="56"/>
  <c r="I360" i="56" s="1"/>
  <c r="H360" i="56"/>
  <c r="J360" i="56"/>
  <c r="K360" i="56"/>
  <c r="C361" i="56"/>
  <c r="D361" i="56" s="1"/>
  <c r="E361" i="56"/>
  <c r="F361" i="56" s="1"/>
  <c r="G361" i="56"/>
  <c r="I361" i="56" s="1"/>
  <c r="H361" i="56"/>
  <c r="J361" i="56"/>
  <c r="K361" i="56"/>
  <c r="C362" i="56"/>
  <c r="D362" i="56" s="1"/>
  <c r="E362" i="56"/>
  <c r="F362" i="56" s="1"/>
  <c r="G362" i="56"/>
  <c r="I362" i="56" s="1"/>
  <c r="H362" i="56"/>
  <c r="J362" i="56"/>
  <c r="K362" i="56"/>
  <c r="C363" i="56"/>
  <c r="D363" i="56" s="1"/>
  <c r="E363" i="56"/>
  <c r="F363" i="56" s="1"/>
  <c r="G363" i="56"/>
  <c r="I363" i="56" s="1"/>
  <c r="H363" i="56"/>
  <c r="J363" i="56"/>
  <c r="K363" i="56"/>
  <c r="C364" i="56"/>
  <c r="D364" i="56" s="1"/>
  <c r="E364" i="56"/>
  <c r="F364" i="56" s="1"/>
  <c r="G364" i="56"/>
  <c r="I364" i="56" s="1"/>
  <c r="H364" i="56"/>
  <c r="J364" i="56"/>
  <c r="K364" i="56"/>
  <c r="C365" i="56"/>
  <c r="D365" i="56" s="1"/>
  <c r="E365" i="56"/>
  <c r="F365" i="56" s="1"/>
  <c r="G365" i="56"/>
  <c r="I365" i="56" s="1"/>
  <c r="H365" i="56"/>
  <c r="J365" i="56"/>
  <c r="K365" i="56"/>
  <c r="C366" i="56"/>
  <c r="D366" i="56" s="1"/>
  <c r="E366" i="56"/>
  <c r="F366" i="56" s="1"/>
  <c r="G366" i="56"/>
  <c r="I366" i="56" s="1"/>
  <c r="H366" i="56"/>
  <c r="J366" i="56"/>
  <c r="K366" i="56"/>
  <c r="C367" i="56"/>
  <c r="D367" i="56" s="1"/>
  <c r="E367" i="56"/>
  <c r="F367" i="56" s="1"/>
  <c r="G367" i="56"/>
  <c r="I367" i="56" s="1"/>
  <c r="H367" i="56"/>
  <c r="J367" i="56"/>
  <c r="K367" i="56"/>
  <c r="C368" i="56"/>
  <c r="D368" i="56" s="1"/>
  <c r="E368" i="56"/>
  <c r="F368" i="56" s="1"/>
  <c r="G368" i="56"/>
  <c r="I368" i="56" s="1"/>
  <c r="H368" i="56"/>
  <c r="J368" i="56"/>
  <c r="K368" i="56"/>
  <c r="C369" i="56"/>
  <c r="D369" i="56" s="1"/>
  <c r="E369" i="56"/>
  <c r="F369" i="56" s="1"/>
  <c r="G369" i="56"/>
  <c r="I369" i="56" s="1"/>
  <c r="H369" i="56"/>
  <c r="J369" i="56"/>
  <c r="K369" i="56"/>
  <c r="C370" i="56"/>
  <c r="D370" i="56" s="1"/>
  <c r="E370" i="56"/>
  <c r="F370" i="56" s="1"/>
  <c r="G370" i="56"/>
  <c r="I370" i="56" s="1"/>
  <c r="H370" i="56"/>
  <c r="J370" i="56"/>
  <c r="K370" i="56"/>
  <c r="C371" i="56"/>
  <c r="D371" i="56" s="1"/>
  <c r="E371" i="56"/>
  <c r="F371" i="56" s="1"/>
  <c r="G371" i="56"/>
  <c r="I371" i="56" s="1"/>
  <c r="H371" i="56"/>
  <c r="J371" i="56"/>
  <c r="K371" i="56"/>
  <c r="C372" i="56"/>
  <c r="D372" i="56" s="1"/>
  <c r="E372" i="56"/>
  <c r="F372" i="56" s="1"/>
  <c r="G372" i="56"/>
  <c r="I372" i="56" s="1"/>
  <c r="H372" i="56"/>
  <c r="J372" i="56"/>
  <c r="K372" i="56"/>
  <c r="C373" i="56"/>
  <c r="D373" i="56" s="1"/>
  <c r="E373" i="56"/>
  <c r="F373" i="56" s="1"/>
  <c r="G373" i="56"/>
  <c r="I373" i="56" s="1"/>
  <c r="H373" i="56"/>
  <c r="J373" i="56"/>
  <c r="K373" i="56"/>
  <c r="C374" i="56"/>
  <c r="D374" i="56" s="1"/>
  <c r="E374" i="56"/>
  <c r="F374" i="56" s="1"/>
  <c r="G374" i="56"/>
  <c r="I374" i="56" s="1"/>
  <c r="H374" i="56"/>
  <c r="J374" i="56"/>
  <c r="K374" i="56"/>
  <c r="C375" i="56"/>
  <c r="D375" i="56" s="1"/>
  <c r="E375" i="56"/>
  <c r="F375" i="56" s="1"/>
  <c r="G375" i="56"/>
  <c r="I375" i="56" s="1"/>
  <c r="H375" i="56"/>
  <c r="J375" i="56"/>
  <c r="K375" i="56"/>
  <c r="C376" i="56"/>
  <c r="D376" i="56" s="1"/>
  <c r="E376" i="56"/>
  <c r="F376" i="56" s="1"/>
  <c r="G376" i="56"/>
  <c r="I376" i="56" s="1"/>
  <c r="H376" i="56"/>
  <c r="J376" i="56"/>
  <c r="K376" i="56"/>
  <c r="C377" i="56"/>
  <c r="D377" i="56" s="1"/>
  <c r="E377" i="56"/>
  <c r="F377" i="56" s="1"/>
  <c r="G377" i="56"/>
  <c r="I377" i="56" s="1"/>
  <c r="H377" i="56"/>
  <c r="J377" i="56"/>
  <c r="K377" i="56"/>
  <c r="C378" i="56"/>
  <c r="D378" i="56" s="1"/>
  <c r="E378" i="56"/>
  <c r="F378" i="56" s="1"/>
  <c r="G378" i="56"/>
  <c r="I378" i="56" s="1"/>
  <c r="H378" i="56"/>
  <c r="J378" i="56"/>
  <c r="K378" i="56"/>
  <c r="C379" i="56"/>
  <c r="D379" i="56" s="1"/>
  <c r="E379" i="56"/>
  <c r="F379" i="56" s="1"/>
  <c r="G379" i="56"/>
  <c r="I379" i="56" s="1"/>
  <c r="H379" i="56"/>
  <c r="J379" i="56"/>
  <c r="K379" i="56"/>
  <c r="C380" i="56"/>
  <c r="D380" i="56" s="1"/>
  <c r="E380" i="56"/>
  <c r="F380" i="56" s="1"/>
  <c r="G380" i="56"/>
  <c r="I380" i="56" s="1"/>
  <c r="H380" i="56"/>
  <c r="J380" i="56"/>
  <c r="K380" i="56"/>
  <c r="C381" i="56"/>
  <c r="D381" i="56" s="1"/>
  <c r="E381" i="56"/>
  <c r="F381" i="56" s="1"/>
  <c r="G381" i="56"/>
  <c r="I381" i="56" s="1"/>
  <c r="H381" i="56"/>
  <c r="J381" i="56"/>
  <c r="K381" i="56"/>
  <c r="C382" i="56"/>
  <c r="D382" i="56" s="1"/>
  <c r="E382" i="56"/>
  <c r="F382" i="56" s="1"/>
  <c r="G382" i="56"/>
  <c r="I382" i="56" s="1"/>
  <c r="H382" i="56"/>
  <c r="J382" i="56"/>
  <c r="K382" i="56"/>
  <c r="C383" i="56"/>
  <c r="D383" i="56" s="1"/>
  <c r="E383" i="56"/>
  <c r="F383" i="56" s="1"/>
  <c r="G383" i="56"/>
  <c r="I383" i="56" s="1"/>
  <c r="H383" i="56"/>
  <c r="J383" i="56"/>
  <c r="K383" i="56"/>
  <c r="C384" i="56"/>
  <c r="D384" i="56" s="1"/>
  <c r="E384" i="56"/>
  <c r="F384" i="56" s="1"/>
  <c r="G384" i="56"/>
  <c r="I384" i="56" s="1"/>
  <c r="H384" i="56"/>
  <c r="J384" i="56"/>
  <c r="K384" i="56"/>
  <c r="C385" i="56"/>
  <c r="D385" i="56" s="1"/>
  <c r="E385" i="56"/>
  <c r="F385" i="56" s="1"/>
  <c r="G385" i="56"/>
  <c r="I385" i="56" s="1"/>
  <c r="H385" i="56"/>
  <c r="J385" i="56"/>
  <c r="K385" i="56"/>
  <c r="C386" i="56"/>
  <c r="D386" i="56" s="1"/>
  <c r="E386" i="56"/>
  <c r="F386" i="56" s="1"/>
  <c r="G386" i="56"/>
  <c r="I386" i="56" s="1"/>
  <c r="H386" i="56"/>
  <c r="J386" i="56"/>
  <c r="K386" i="56"/>
  <c r="C387" i="56"/>
  <c r="D387" i="56" s="1"/>
  <c r="E387" i="56"/>
  <c r="F387" i="56" s="1"/>
  <c r="G387" i="56"/>
  <c r="I387" i="56" s="1"/>
  <c r="H387" i="56"/>
  <c r="J387" i="56"/>
  <c r="K387" i="56"/>
  <c r="C388" i="56"/>
  <c r="D388" i="56" s="1"/>
  <c r="E388" i="56"/>
  <c r="F388" i="56" s="1"/>
  <c r="G388" i="56"/>
  <c r="I388" i="56" s="1"/>
  <c r="H388" i="56"/>
  <c r="J388" i="56"/>
  <c r="K388" i="56"/>
  <c r="C389" i="56"/>
  <c r="D389" i="56" s="1"/>
  <c r="E389" i="56"/>
  <c r="F389" i="56" s="1"/>
  <c r="G389" i="56"/>
  <c r="I389" i="56" s="1"/>
  <c r="H389" i="56"/>
  <c r="J389" i="56"/>
  <c r="K389" i="56"/>
  <c r="C390" i="56"/>
  <c r="D390" i="56" s="1"/>
  <c r="E390" i="56"/>
  <c r="F390" i="56" s="1"/>
  <c r="G390" i="56"/>
  <c r="I390" i="56" s="1"/>
  <c r="H390" i="56"/>
  <c r="J390" i="56"/>
  <c r="K390" i="56"/>
  <c r="C391" i="56"/>
  <c r="D391" i="56" s="1"/>
  <c r="E391" i="56"/>
  <c r="F391" i="56" s="1"/>
  <c r="G391" i="56"/>
  <c r="I391" i="56" s="1"/>
  <c r="H391" i="56"/>
  <c r="J391" i="56"/>
  <c r="K391" i="56"/>
  <c r="C392" i="56"/>
  <c r="D392" i="56" s="1"/>
  <c r="E392" i="56"/>
  <c r="F392" i="56" s="1"/>
  <c r="G392" i="56"/>
  <c r="I392" i="56" s="1"/>
  <c r="H392" i="56"/>
  <c r="J392" i="56"/>
  <c r="K392" i="56"/>
  <c r="C393" i="56"/>
  <c r="D393" i="56" s="1"/>
  <c r="E393" i="56"/>
  <c r="F393" i="56" s="1"/>
  <c r="G393" i="56"/>
  <c r="I393" i="56" s="1"/>
  <c r="H393" i="56"/>
  <c r="J393" i="56"/>
  <c r="K393" i="56"/>
  <c r="C394" i="56"/>
  <c r="D394" i="56" s="1"/>
  <c r="E394" i="56"/>
  <c r="F394" i="56" s="1"/>
  <c r="G394" i="56"/>
  <c r="I394" i="56" s="1"/>
  <c r="H394" i="56"/>
  <c r="J394" i="56"/>
  <c r="K394" i="56"/>
  <c r="C395" i="56"/>
  <c r="D395" i="56" s="1"/>
  <c r="E395" i="56"/>
  <c r="F395" i="56" s="1"/>
  <c r="G395" i="56"/>
  <c r="I395" i="56" s="1"/>
  <c r="H395" i="56"/>
  <c r="J395" i="56"/>
  <c r="K395" i="56"/>
  <c r="C396" i="56"/>
  <c r="D396" i="56" s="1"/>
  <c r="E396" i="56"/>
  <c r="F396" i="56" s="1"/>
  <c r="G396" i="56"/>
  <c r="I396" i="56" s="1"/>
  <c r="H396" i="56"/>
  <c r="J396" i="56"/>
  <c r="K396" i="56"/>
  <c r="C397" i="56"/>
  <c r="D397" i="56" s="1"/>
  <c r="E397" i="56"/>
  <c r="F397" i="56" s="1"/>
  <c r="G397" i="56"/>
  <c r="I397" i="56" s="1"/>
  <c r="H397" i="56"/>
  <c r="J397" i="56"/>
  <c r="K397" i="56"/>
  <c r="C398" i="56"/>
  <c r="D398" i="56" s="1"/>
  <c r="E398" i="56"/>
  <c r="F398" i="56" s="1"/>
  <c r="G398" i="56"/>
  <c r="I398" i="56" s="1"/>
  <c r="H398" i="56"/>
  <c r="J398" i="56"/>
  <c r="K398" i="56"/>
  <c r="C399" i="56"/>
  <c r="D399" i="56" s="1"/>
  <c r="E399" i="56"/>
  <c r="F399" i="56" s="1"/>
  <c r="G399" i="56"/>
  <c r="I399" i="56" s="1"/>
  <c r="H399" i="56"/>
  <c r="J399" i="56"/>
  <c r="K399" i="56"/>
  <c r="C400" i="56"/>
  <c r="D400" i="56" s="1"/>
  <c r="E400" i="56"/>
  <c r="F400" i="56" s="1"/>
  <c r="G400" i="56"/>
  <c r="I400" i="56" s="1"/>
  <c r="H400" i="56"/>
  <c r="J400" i="56"/>
  <c r="K400" i="56"/>
  <c r="C401" i="56"/>
  <c r="D401" i="56" s="1"/>
  <c r="E401" i="56"/>
  <c r="F401" i="56" s="1"/>
  <c r="G401" i="56"/>
  <c r="I401" i="56" s="1"/>
  <c r="H401" i="56"/>
  <c r="J401" i="56"/>
  <c r="K401" i="56"/>
  <c r="C402" i="56"/>
  <c r="D402" i="56" s="1"/>
  <c r="E402" i="56"/>
  <c r="F402" i="56" s="1"/>
  <c r="G402" i="56"/>
  <c r="I402" i="56" s="1"/>
  <c r="H402" i="56"/>
  <c r="J402" i="56"/>
  <c r="K402" i="56"/>
  <c r="C403" i="56"/>
  <c r="D403" i="56" s="1"/>
  <c r="E403" i="56"/>
  <c r="F403" i="56" s="1"/>
  <c r="G403" i="56"/>
  <c r="I403" i="56" s="1"/>
  <c r="H403" i="56"/>
  <c r="J403" i="56"/>
  <c r="K403" i="56"/>
  <c r="C404" i="56"/>
  <c r="D404" i="56" s="1"/>
  <c r="E404" i="56"/>
  <c r="F404" i="56" s="1"/>
  <c r="G404" i="56"/>
  <c r="I404" i="56" s="1"/>
  <c r="H404" i="56"/>
  <c r="J404" i="56"/>
  <c r="K404" i="56"/>
  <c r="C405" i="56"/>
  <c r="D405" i="56" s="1"/>
  <c r="E405" i="56"/>
  <c r="F405" i="56" s="1"/>
  <c r="G405" i="56"/>
  <c r="I405" i="56" s="1"/>
  <c r="H405" i="56"/>
  <c r="J405" i="56"/>
  <c r="K405" i="56"/>
  <c r="C406" i="56"/>
  <c r="D406" i="56" s="1"/>
  <c r="E406" i="56"/>
  <c r="F406" i="56" s="1"/>
  <c r="G406" i="56"/>
  <c r="I406" i="56" s="1"/>
  <c r="H406" i="56"/>
  <c r="J406" i="56"/>
  <c r="K406" i="56"/>
  <c r="C407" i="56"/>
  <c r="D407" i="56" s="1"/>
  <c r="E407" i="56"/>
  <c r="F407" i="56" s="1"/>
  <c r="G407" i="56"/>
  <c r="I407" i="56" s="1"/>
  <c r="H407" i="56"/>
  <c r="J407" i="56"/>
  <c r="K407" i="56"/>
  <c r="C408" i="56"/>
  <c r="D408" i="56" s="1"/>
  <c r="E408" i="56"/>
  <c r="F408" i="56" s="1"/>
  <c r="G408" i="56"/>
  <c r="I408" i="56" s="1"/>
  <c r="H408" i="56"/>
  <c r="J408" i="56"/>
  <c r="K408" i="56"/>
  <c r="C409" i="56"/>
  <c r="D409" i="56" s="1"/>
  <c r="E409" i="56"/>
  <c r="F409" i="56" s="1"/>
  <c r="G409" i="56"/>
  <c r="I409" i="56" s="1"/>
  <c r="H409" i="56"/>
  <c r="J409" i="56"/>
  <c r="K409" i="56"/>
  <c r="C410" i="56"/>
  <c r="D410" i="56" s="1"/>
  <c r="E410" i="56"/>
  <c r="F410" i="56" s="1"/>
  <c r="G410" i="56"/>
  <c r="I410" i="56" s="1"/>
  <c r="H410" i="56"/>
  <c r="J410" i="56"/>
  <c r="K410" i="56"/>
  <c r="C411" i="56"/>
  <c r="D411" i="56" s="1"/>
  <c r="E411" i="56"/>
  <c r="F411" i="56" s="1"/>
  <c r="G411" i="56"/>
  <c r="I411" i="56" s="1"/>
  <c r="H411" i="56"/>
  <c r="J411" i="56"/>
  <c r="K411" i="56"/>
  <c r="C412" i="56"/>
  <c r="D412" i="56" s="1"/>
  <c r="E412" i="56"/>
  <c r="F412" i="56" s="1"/>
  <c r="G412" i="56"/>
  <c r="I412" i="56" s="1"/>
  <c r="H412" i="56"/>
  <c r="J412" i="56"/>
  <c r="K412" i="56"/>
  <c r="C413" i="56"/>
  <c r="D413" i="56" s="1"/>
  <c r="E413" i="56"/>
  <c r="F413" i="56" s="1"/>
  <c r="G413" i="56"/>
  <c r="I413" i="56" s="1"/>
  <c r="H413" i="56"/>
  <c r="J413" i="56"/>
  <c r="K413" i="56"/>
  <c r="C414" i="56"/>
  <c r="D414" i="56" s="1"/>
  <c r="E414" i="56"/>
  <c r="F414" i="56" s="1"/>
  <c r="G414" i="56"/>
  <c r="I414" i="56" s="1"/>
  <c r="H414" i="56"/>
  <c r="J414" i="56"/>
  <c r="K414" i="56"/>
  <c r="C415" i="56"/>
  <c r="D415" i="56" s="1"/>
  <c r="E415" i="56"/>
  <c r="F415" i="56" s="1"/>
  <c r="G415" i="56"/>
  <c r="I415" i="56" s="1"/>
  <c r="H415" i="56"/>
  <c r="J415" i="56"/>
  <c r="K415" i="56"/>
  <c r="C416" i="56"/>
  <c r="D416" i="56" s="1"/>
  <c r="E416" i="56"/>
  <c r="F416" i="56" s="1"/>
  <c r="G416" i="56"/>
  <c r="I416" i="56" s="1"/>
  <c r="H416" i="56"/>
  <c r="J416" i="56"/>
  <c r="K416" i="56"/>
  <c r="C417" i="56"/>
  <c r="D417" i="56" s="1"/>
  <c r="E417" i="56"/>
  <c r="F417" i="56" s="1"/>
  <c r="G417" i="56"/>
  <c r="I417" i="56" s="1"/>
  <c r="H417" i="56"/>
  <c r="J417" i="56"/>
  <c r="K417" i="56"/>
  <c r="C418" i="56"/>
  <c r="D418" i="56" s="1"/>
  <c r="E418" i="56"/>
  <c r="F418" i="56" s="1"/>
  <c r="G418" i="56"/>
  <c r="I418" i="56" s="1"/>
  <c r="H418" i="56"/>
  <c r="J418" i="56"/>
  <c r="K418" i="56"/>
  <c r="C419" i="56"/>
  <c r="D419" i="56" s="1"/>
  <c r="E419" i="56"/>
  <c r="F419" i="56" s="1"/>
  <c r="G419" i="56"/>
  <c r="I419" i="56" s="1"/>
  <c r="H419" i="56"/>
  <c r="J419" i="56"/>
  <c r="K419" i="56"/>
  <c r="C420" i="56"/>
  <c r="D420" i="56" s="1"/>
  <c r="E420" i="56"/>
  <c r="F420" i="56" s="1"/>
  <c r="G420" i="56"/>
  <c r="I420" i="56" s="1"/>
  <c r="H420" i="56"/>
  <c r="J420" i="56"/>
  <c r="K420" i="56"/>
  <c r="C421" i="56"/>
  <c r="D421" i="56" s="1"/>
  <c r="E421" i="56"/>
  <c r="F421" i="56" s="1"/>
  <c r="G421" i="56"/>
  <c r="I421" i="56" s="1"/>
  <c r="H421" i="56"/>
  <c r="J421" i="56"/>
  <c r="K421" i="56"/>
  <c r="C422" i="56"/>
  <c r="D422" i="56" s="1"/>
  <c r="E422" i="56"/>
  <c r="F422" i="56" s="1"/>
  <c r="G422" i="56"/>
  <c r="I422" i="56" s="1"/>
  <c r="H422" i="56"/>
  <c r="J422" i="56"/>
  <c r="K422" i="56"/>
  <c r="C423" i="56"/>
  <c r="D423" i="56" s="1"/>
  <c r="E423" i="56"/>
  <c r="F423" i="56" s="1"/>
  <c r="G423" i="56"/>
  <c r="I423" i="56" s="1"/>
  <c r="H423" i="56"/>
  <c r="J423" i="56"/>
  <c r="K423" i="56"/>
  <c r="C424" i="56"/>
  <c r="D424" i="56" s="1"/>
  <c r="E424" i="56"/>
  <c r="F424" i="56" s="1"/>
  <c r="G424" i="56"/>
  <c r="I424" i="56" s="1"/>
  <c r="H424" i="56"/>
  <c r="J424" i="56"/>
  <c r="K424" i="56"/>
  <c r="C425" i="56"/>
  <c r="D425" i="56" s="1"/>
  <c r="E425" i="56"/>
  <c r="F425" i="56" s="1"/>
  <c r="G425" i="56"/>
  <c r="I425" i="56" s="1"/>
  <c r="H425" i="56"/>
  <c r="J425" i="56"/>
  <c r="K425" i="56"/>
  <c r="C426" i="56"/>
  <c r="D426" i="56" s="1"/>
  <c r="E426" i="56"/>
  <c r="F426" i="56" s="1"/>
  <c r="G426" i="56"/>
  <c r="I426" i="56" s="1"/>
  <c r="H426" i="56"/>
  <c r="J426" i="56"/>
  <c r="K426" i="56"/>
  <c r="C427" i="56"/>
  <c r="D427" i="56" s="1"/>
  <c r="E427" i="56"/>
  <c r="F427" i="56" s="1"/>
  <c r="G427" i="56"/>
  <c r="I427" i="56" s="1"/>
  <c r="H427" i="56"/>
  <c r="J427" i="56"/>
  <c r="K427" i="56"/>
  <c r="C428" i="56"/>
  <c r="D428" i="56" s="1"/>
  <c r="E428" i="56"/>
  <c r="F428" i="56" s="1"/>
  <c r="G428" i="56"/>
  <c r="I428" i="56" s="1"/>
  <c r="H428" i="56"/>
  <c r="J428" i="56"/>
  <c r="K428" i="56"/>
  <c r="C429" i="56"/>
  <c r="D429" i="56" s="1"/>
  <c r="E429" i="56"/>
  <c r="F429" i="56" s="1"/>
  <c r="G429" i="56"/>
  <c r="I429" i="56" s="1"/>
  <c r="H429" i="56"/>
  <c r="J429" i="56"/>
  <c r="K429" i="56"/>
  <c r="C430" i="56"/>
  <c r="D430" i="56" s="1"/>
  <c r="E430" i="56"/>
  <c r="F430" i="56" s="1"/>
  <c r="G430" i="56"/>
  <c r="I430" i="56" s="1"/>
  <c r="H430" i="56"/>
  <c r="J430" i="56"/>
  <c r="K430" i="56"/>
  <c r="C431" i="56"/>
  <c r="D431" i="56" s="1"/>
  <c r="E431" i="56"/>
  <c r="F431" i="56" s="1"/>
  <c r="G431" i="56"/>
  <c r="I431" i="56" s="1"/>
  <c r="H431" i="56"/>
  <c r="J431" i="56"/>
  <c r="K431" i="56"/>
  <c r="C432" i="56"/>
  <c r="D432" i="56" s="1"/>
  <c r="E432" i="56"/>
  <c r="F432" i="56" s="1"/>
  <c r="G432" i="56"/>
  <c r="I432" i="56" s="1"/>
  <c r="H432" i="56"/>
  <c r="J432" i="56"/>
  <c r="K432" i="56"/>
  <c r="C433" i="56"/>
  <c r="D433" i="56" s="1"/>
  <c r="E433" i="56"/>
  <c r="F433" i="56" s="1"/>
  <c r="G433" i="56"/>
  <c r="I433" i="56" s="1"/>
  <c r="H433" i="56"/>
  <c r="J433" i="56"/>
  <c r="K433" i="56"/>
  <c r="C434" i="56"/>
  <c r="D434" i="56" s="1"/>
  <c r="E434" i="56"/>
  <c r="F434" i="56" s="1"/>
  <c r="G434" i="56"/>
  <c r="I434" i="56" s="1"/>
  <c r="H434" i="56"/>
  <c r="J434" i="56"/>
  <c r="K434" i="56"/>
  <c r="C435" i="56"/>
  <c r="D435" i="56" s="1"/>
  <c r="E435" i="56"/>
  <c r="F435" i="56" s="1"/>
  <c r="G435" i="56"/>
  <c r="I435" i="56" s="1"/>
  <c r="H435" i="56"/>
  <c r="J435" i="56"/>
  <c r="K435" i="56"/>
  <c r="C436" i="56"/>
  <c r="D436" i="56" s="1"/>
  <c r="E436" i="56"/>
  <c r="F436" i="56" s="1"/>
  <c r="G436" i="56"/>
  <c r="I436" i="56" s="1"/>
  <c r="H436" i="56"/>
  <c r="J436" i="56"/>
  <c r="K436" i="56"/>
  <c r="C437" i="56"/>
  <c r="D437" i="56" s="1"/>
  <c r="E437" i="56"/>
  <c r="F437" i="56" s="1"/>
  <c r="G437" i="56"/>
  <c r="I437" i="56" s="1"/>
  <c r="H437" i="56"/>
  <c r="J437" i="56"/>
  <c r="K437" i="56"/>
  <c r="C438" i="56"/>
  <c r="D438" i="56" s="1"/>
  <c r="E438" i="56"/>
  <c r="F438" i="56" s="1"/>
  <c r="G438" i="56"/>
  <c r="I438" i="56" s="1"/>
  <c r="H438" i="56"/>
  <c r="J438" i="56"/>
  <c r="K438" i="56"/>
  <c r="C439" i="56"/>
  <c r="D439" i="56" s="1"/>
  <c r="E439" i="56"/>
  <c r="F439" i="56" s="1"/>
  <c r="G439" i="56"/>
  <c r="I439" i="56" s="1"/>
  <c r="H439" i="56"/>
  <c r="J439" i="56"/>
  <c r="K439" i="56"/>
  <c r="C440" i="56"/>
  <c r="D440" i="56" s="1"/>
  <c r="E440" i="56"/>
  <c r="F440" i="56" s="1"/>
  <c r="G440" i="56"/>
  <c r="I440" i="56" s="1"/>
  <c r="H440" i="56"/>
  <c r="J440" i="56"/>
  <c r="K440" i="56"/>
  <c r="C441" i="56"/>
  <c r="D441" i="56" s="1"/>
  <c r="E441" i="56"/>
  <c r="F441" i="56" s="1"/>
  <c r="G441" i="56"/>
  <c r="I441" i="56" s="1"/>
  <c r="H441" i="56"/>
  <c r="J441" i="56"/>
  <c r="K441" i="56"/>
  <c r="C442" i="56"/>
  <c r="D442" i="56" s="1"/>
  <c r="E442" i="56"/>
  <c r="F442" i="56" s="1"/>
  <c r="G442" i="56"/>
  <c r="I442" i="56" s="1"/>
  <c r="H442" i="56"/>
  <c r="J442" i="56"/>
  <c r="K442" i="56"/>
  <c r="C443" i="56"/>
  <c r="D443" i="56" s="1"/>
  <c r="E443" i="56"/>
  <c r="F443" i="56" s="1"/>
  <c r="G443" i="56"/>
  <c r="I443" i="56" s="1"/>
  <c r="H443" i="56"/>
  <c r="J443" i="56"/>
  <c r="K443" i="56"/>
  <c r="C444" i="56"/>
  <c r="D444" i="56" s="1"/>
  <c r="E444" i="56"/>
  <c r="F444" i="56" s="1"/>
  <c r="G444" i="56"/>
  <c r="I444" i="56" s="1"/>
  <c r="H444" i="56"/>
  <c r="J444" i="56"/>
  <c r="K444" i="56"/>
  <c r="C445" i="56"/>
  <c r="D445" i="56" s="1"/>
  <c r="E445" i="56"/>
  <c r="F445" i="56" s="1"/>
  <c r="G445" i="56"/>
  <c r="I445" i="56" s="1"/>
  <c r="H445" i="56"/>
  <c r="J445" i="56"/>
  <c r="K445" i="56"/>
  <c r="C446" i="56"/>
  <c r="D446" i="56" s="1"/>
  <c r="E446" i="56"/>
  <c r="F446" i="56" s="1"/>
  <c r="G446" i="56"/>
  <c r="I446" i="56" s="1"/>
  <c r="H446" i="56"/>
  <c r="J446" i="56"/>
  <c r="K446" i="56"/>
  <c r="C447" i="56"/>
  <c r="D447" i="56" s="1"/>
  <c r="E447" i="56"/>
  <c r="F447" i="56" s="1"/>
  <c r="G447" i="56"/>
  <c r="I447" i="56" s="1"/>
  <c r="H447" i="56"/>
  <c r="J447" i="56"/>
  <c r="K447" i="56"/>
  <c r="C448" i="56"/>
  <c r="D448" i="56" s="1"/>
  <c r="E448" i="56"/>
  <c r="F448" i="56" s="1"/>
  <c r="G448" i="56"/>
  <c r="I448" i="56" s="1"/>
  <c r="H448" i="56"/>
  <c r="J448" i="56"/>
  <c r="K448" i="56"/>
  <c r="C449" i="56"/>
  <c r="D449" i="56" s="1"/>
  <c r="E449" i="56"/>
  <c r="F449" i="56" s="1"/>
  <c r="G449" i="56"/>
  <c r="I449" i="56" s="1"/>
  <c r="H449" i="56"/>
  <c r="J449" i="56"/>
  <c r="K449" i="56"/>
  <c r="C450" i="56"/>
  <c r="D450" i="56" s="1"/>
  <c r="E450" i="56"/>
  <c r="F450" i="56" s="1"/>
  <c r="G450" i="56"/>
  <c r="I450" i="56" s="1"/>
  <c r="H450" i="56"/>
  <c r="J450" i="56"/>
  <c r="K450" i="56"/>
  <c r="C451" i="56"/>
  <c r="D451" i="56" s="1"/>
  <c r="E451" i="56"/>
  <c r="F451" i="56" s="1"/>
  <c r="G451" i="56"/>
  <c r="I451" i="56" s="1"/>
  <c r="H451" i="56"/>
  <c r="J451" i="56"/>
  <c r="K451" i="56"/>
  <c r="C452" i="56"/>
  <c r="D452" i="56" s="1"/>
  <c r="E452" i="56"/>
  <c r="F452" i="56" s="1"/>
  <c r="G452" i="56"/>
  <c r="I452" i="56" s="1"/>
  <c r="H452" i="56"/>
  <c r="J452" i="56"/>
  <c r="K452" i="56"/>
  <c r="C453" i="56"/>
  <c r="D453" i="56" s="1"/>
  <c r="E453" i="56"/>
  <c r="F453" i="56" s="1"/>
  <c r="G453" i="56"/>
  <c r="I453" i="56" s="1"/>
  <c r="H453" i="56"/>
  <c r="J453" i="56"/>
  <c r="K453" i="56"/>
  <c r="C454" i="56"/>
  <c r="D454" i="56" s="1"/>
  <c r="E454" i="56"/>
  <c r="F454" i="56" s="1"/>
  <c r="G454" i="56"/>
  <c r="I454" i="56" s="1"/>
  <c r="H454" i="56"/>
  <c r="J454" i="56"/>
  <c r="K454" i="56"/>
  <c r="C455" i="56"/>
  <c r="D455" i="56" s="1"/>
  <c r="E455" i="56"/>
  <c r="F455" i="56" s="1"/>
  <c r="G455" i="56"/>
  <c r="I455" i="56" s="1"/>
  <c r="H455" i="56"/>
  <c r="J455" i="56"/>
  <c r="K455" i="56"/>
  <c r="C456" i="56"/>
  <c r="D456" i="56" s="1"/>
  <c r="E456" i="56"/>
  <c r="F456" i="56" s="1"/>
  <c r="G456" i="56"/>
  <c r="I456" i="56" s="1"/>
  <c r="H456" i="56"/>
  <c r="J456" i="56"/>
  <c r="K456" i="56"/>
  <c r="C457" i="56"/>
  <c r="D457" i="56" s="1"/>
  <c r="E457" i="56"/>
  <c r="F457" i="56" s="1"/>
  <c r="G457" i="56"/>
  <c r="I457" i="56" s="1"/>
  <c r="H457" i="56"/>
  <c r="J457" i="56"/>
  <c r="K457" i="56"/>
  <c r="C458" i="56"/>
  <c r="D458" i="56" s="1"/>
  <c r="E458" i="56"/>
  <c r="F458" i="56" s="1"/>
  <c r="G458" i="56"/>
  <c r="I458" i="56" s="1"/>
  <c r="H458" i="56"/>
  <c r="J458" i="56"/>
  <c r="K458" i="56"/>
  <c r="C459" i="56"/>
  <c r="D459" i="56" s="1"/>
  <c r="E459" i="56"/>
  <c r="F459" i="56" s="1"/>
  <c r="G459" i="56"/>
  <c r="I459" i="56" s="1"/>
  <c r="H459" i="56"/>
  <c r="J459" i="56"/>
  <c r="K459" i="56"/>
  <c r="C460" i="56"/>
  <c r="D460" i="56" s="1"/>
  <c r="E460" i="56"/>
  <c r="F460" i="56" s="1"/>
  <c r="G460" i="56"/>
  <c r="I460" i="56" s="1"/>
  <c r="H460" i="56"/>
  <c r="J460" i="56"/>
  <c r="K460" i="56"/>
  <c r="C461" i="56"/>
  <c r="D461" i="56" s="1"/>
  <c r="E461" i="56"/>
  <c r="F461" i="56" s="1"/>
  <c r="G461" i="56"/>
  <c r="I461" i="56" s="1"/>
  <c r="H461" i="56"/>
  <c r="J461" i="56"/>
  <c r="K461" i="56"/>
  <c r="C462" i="56"/>
  <c r="D462" i="56" s="1"/>
  <c r="E462" i="56"/>
  <c r="F462" i="56" s="1"/>
  <c r="G462" i="56"/>
  <c r="I462" i="56" s="1"/>
  <c r="H462" i="56"/>
  <c r="J462" i="56"/>
  <c r="K462" i="56"/>
  <c r="C463" i="56"/>
  <c r="D463" i="56" s="1"/>
  <c r="E463" i="56"/>
  <c r="F463" i="56" s="1"/>
  <c r="G463" i="56"/>
  <c r="I463" i="56" s="1"/>
  <c r="H463" i="56"/>
  <c r="J463" i="56"/>
  <c r="K463" i="56"/>
  <c r="C464" i="56"/>
  <c r="D464" i="56" s="1"/>
  <c r="E464" i="56"/>
  <c r="F464" i="56" s="1"/>
  <c r="G464" i="56"/>
  <c r="I464" i="56" s="1"/>
  <c r="H464" i="56"/>
  <c r="J464" i="56"/>
  <c r="K464" i="56"/>
  <c r="C465" i="56"/>
  <c r="D465" i="56" s="1"/>
  <c r="E465" i="56"/>
  <c r="F465" i="56" s="1"/>
  <c r="G465" i="56"/>
  <c r="I465" i="56" s="1"/>
  <c r="H465" i="56"/>
  <c r="J465" i="56"/>
  <c r="K465" i="56"/>
  <c r="C466" i="56"/>
  <c r="D466" i="56" s="1"/>
  <c r="E466" i="56"/>
  <c r="F466" i="56" s="1"/>
  <c r="G466" i="56"/>
  <c r="I466" i="56" s="1"/>
  <c r="H466" i="56"/>
  <c r="J466" i="56"/>
  <c r="K466" i="56"/>
  <c r="C467" i="56"/>
  <c r="D467" i="56" s="1"/>
  <c r="E467" i="56"/>
  <c r="F467" i="56" s="1"/>
  <c r="G467" i="56"/>
  <c r="I467" i="56" s="1"/>
  <c r="H467" i="56"/>
  <c r="J467" i="56"/>
  <c r="K467" i="56"/>
  <c r="C468" i="56"/>
  <c r="D468" i="56" s="1"/>
  <c r="E468" i="56"/>
  <c r="F468" i="56" s="1"/>
  <c r="G468" i="56"/>
  <c r="I468" i="56" s="1"/>
  <c r="H468" i="56"/>
  <c r="J468" i="56"/>
  <c r="K468" i="56"/>
  <c r="C469" i="56"/>
  <c r="D469" i="56" s="1"/>
  <c r="E469" i="56"/>
  <c r="F469" i="56" s="1"/>
  <c r="G469" i="56"/>
  <c r="I469" i="56" s="1"/>
  <c r="H469" i="56"/>
  <c r="J469" i="56"/>
  <c r="K469" i="56"/>
  <c r="C470" i="56"/>
  <c r="D470" i="56" s="1"/>
  <c r="E470" i="56"/>
  <c r="F470" i="56" s="1"/>
  <c r="G470" i="56"/>
  <c r="I470" i="56" s="1"/>
  <c r="H470" i="56"/>
  <c r="J470" i="56"/>
  <c r="K470" i="56"/>
  <c r="C471" i="56"/>
  <c r="D471" i="56" s="1"/>
  <c r="E471" i="56"/>
  <c r="F471" i="56" s="1"/>
  <c r="G471" i="56"/>
  <c r="I471" i="56" s="1"/>
  <c r="H471" i="56"/>
  <c r="J471" i="56"/>
  <c r="K471" i="56"/>
  <c r="C472" i="56"/>
  <c r="D472" i="56" s="1"/>
  <c r="E472" i="56"/>
  <c r="F472" i="56" s="1"/>
  <c r="G472" i="56"/>
  <c r="I472" i="56" s="1"/>
  <c r="H472" i="56"/>
  <c r="J472" i="56"/>
  <c r="K472" i="56"/>
  <c r="C473" i="56"/>
  <c r="D473" i="56" s="1"/>
  <c r="E473" i="56"/>
  <c r="F473" i="56" s="1"/>
  <c r="G473" i="56"/>
  <c r="I473" i="56" s="1"/>
  <c r="H473" i="56"/>
  <c r="J473" i="56"/>
  <c r="K473" i="56"/>
  <c r="C474" i="56"/>
  <c r="D474" i="56" s="1"/>
  <c r="E474" i="56"/>
  <c r="F474" i="56" s="1"/>
  <c r="G474" i="56"/>
  <c r="I474" i="56" s="1"/>
  <c r="H474" i="56"/>
  <c r="J474" i="56"/>
  <c r="K474" i="56"/>
  <c r="C475" i="56"/>
  <c r="D475" i="56" s="1"/>
  <c r="E475" i="56"/>
  <c r="F475" i="56" s="1"/>
  <c r="G475" i="56"/>
  <c r="I475" i="56" s="1"/>
  <c r="H475" i="56"/>
  <c r="J475" i="56"/>
  <c r="K475" i="56"/>
  <c r="C476" i="56"/>
  <c r="D476" i="56" s="1"/>
  <c r="E476" i="56"/>
  <c r="F476" i="56" s="1"/>
  <c r="G476" i="56"/>
  <c r="I476" i="56" s="1"/>
  <c r="H476" i="56"/>
  <c r="J476" i="56"/>
  <c r="K476" i="56"/>
  <c r="C477" i="56"/>
  <c r="D477" i="56" s="1"/>
  <c r="E477" i="56"/>
  <c r="F477" i="56" s="1"/>
  <c r="G477" i="56"/>
  <c r="I477" i="56" s="1"/>
  <c r="H477" i="56"/>
  <c r="J477" i="56"/>
  <c r="K477" i="56"/>
  <c r="C478" i="56"/>
  <c r="D478" i="56" s="1"/>
  <c r="E478" i="56"/>
  <c r="F478" i="56" s="1"/>
  <c r="G478" i="56"/>
  <c r="I478" i="56" s="1"/>
  <c r="H478" i="56"/>
  <c r="J478" i="56"/>
  <c r="K478" i="56"/>
  <c r="C479" i="56"/>
  <c r="D479" i="56" s="1"/>
  <c r="E479" i="56"/>
  <c r="F479" i="56" s="1"/>
  <c r="G479" i="56"/>
  <c r="I479" i="56" s="1"/>
  <c r="H479" i="56"/>
  <c r="J479" i="56"/>
  <c r="K479" i="56"/>
  <c r="C480" i="56"/>
  <c r="D480" i="56" s="1"/>
  <c r="E480" i="56"/>
  <c r="F480" i="56" s="1"/>
  <c r="G480" i="56"/>
  <c r="I480" i="56" s="1"/>
  <c r="H480" i="56"/>
  <c r="J480" i="56"/>
  <c r="K480" i="56"/>
  <c r="C481" i="56"/>
  <c r="D481" i="56" s="1"/>
  <c r="E481" i="56"/>
  <c r="F481" i="56" s="1"/>
  <c r="G481" i="56"/>
  <c r="I481" i="56" s="1"/>
  <c r="H481" i="56"/>
  <c r="J481" i="56"/>
  <c r="K481" i="56"/>
  <c r="C482" i="56"/>
  <c r="D482" i="56" s="1"/>
  <c r="E482" i="56"/>
  <c r="F482" i="56" s="1"/>
  <c r="G482" i="56"/>
  <c r="I482" i="56" s="1"/>
  <c r="H482" i="56"/>
  <c r="J482" i="56"/>
  <c r="K482" i="56"/>
  <c r="C483" i="56"/>
  <c r="D483" i="56" s="1"/>
  <c r="E483" i="56"/>
  <c r="F483" i="56" s="1"/>
  <c r="G483" i="56"/>
  <c r="I483" i="56" s="1"/>
  <c r="H483" i="56"/>
  <c r="J483" i="56"/>
  <c r="K483" i="56"/>
  <c r="C484" i="56"/>
  <c r="D484" i="56" s="1"/>
  <c r="E484" i="56"/>
  <c r="F484" i="56" s="1"/>
  <c r="G484" i="56"/>
  <c r="I484" i="56" s="1"/>
  <c r="H484" i="56"/>
  <c r="J484" i="56"/>
  <c r="K484" i="56"/>
  <c r="C485" i="56"/>
  <c r="D485" i="56" s="1"/>
  <c r="E485" i="56"/>
  <c r="F485" i="56" s="1"/>
  <c r="G485" i="56"/>
  <c r="I485" i="56" s="1"/>
  <c r="H485" i="56"/>
  <c r="J485" i="56"/>
  <c r="K485" i="56"/>
  <c r="C486" i="56"/>
  <c r="D486" i="56" s="1"/>
  <c r="E486" i="56"/>
  <c r="F486" i="56" s="1"/>
  <c r="G486" i="56"/>
  <c r="I486" i="56" s="1"/>
  <c r="H486" i="56"/>
  <c r="J486" i="56"/>
  <c r="K486" i="56"/>
  <c r="C487" i="56"/>
  <c r="D487" i="56" s="1"/>
  <c r="E487" i="56"/>
  <c r="F487" i="56" s="1"/>
  <c r="G487" i="56"/>
  <c r="I487" i="56" s="1"/>
  <c r="H487" i="56"/>
  <c r="J487" i="56"/>
  <c r="K487" i="56"/>
  <c r="C488" i="56"/>
  <c r="D488" i="56" s="1"/>
  <c r="E488" i="56"/>
  <c r="F488" i="56" s="1"/>
  <c r="G488" i="56"/>
  <c r="I488" i="56" s="1"/>
  <c r="H488" i="56"/>
  <c r="J488" i="56"/>
  <c r="K488" i="56"/>
  <c r="C489" i="56"/>
  <c r="D489" i="56" s="1"/>
  <c r="E489" i="56"/>
  <c r="F489" i="56" s="1"/>
  <c r="G489" i="56"/>
  <c r="I489" i="56" s="1"/>
  <c r="H489" i="56"/>
  <c r="J489" i="56"/>
  <c r="K489" i="56"/>
  <c r="C490" i="56"/>
  <c r="D490" i="56" s="1"/>
  <c r="E490" i="56"/>
  <c r="F490" i="56" s="1"/>
  <c r="G490" i="56"/>
  <c r="I490" i="56" s="1"/>
  <c r="H490" i="56"/>
  <c r="J490" i="56"/>
  <c r="K490" i="56"/>
  <c r="C491" i="56"/>
  <c r="D491" i="56" s="1"/>
  <c r="E491" i="56"/>
  <c r="F491" i="56" s="1"/>
  <c r="G491" i="56"/>
  <c r="I491" i="56" s="1"/>
  <c r="H491" i="56"/>
  <c r="J491" i="56"/>
  <c r="K491" i="56"/>
  <c r="C492" i="56"/>
  <c r="D492" i="56" s="1"/>
  <c r="E492" i="56"/>
  <c r="F492" i="56" s="1"/>
  <c r="G492" i="56"/>
  <c r="I492" i="56" s="1"/>
  <c r="H492" i="56"/>
  <c r="J492" i="56"/>
  <c r="K492" i="56"/>
  <c r="C493" i="56"/>
  <c r="D493" i="56" s="1"/>
  <c r="E493" i="56"/>
  <c r="F493" i="56" s="1"/>
  <c r="G493" i="56"/>
  <c r="I493" i="56" s="1"/>
  <c r="H493" i="56"/>
  <c r="J493" i="56"/>
  <c r="K493" i="56"/>
  <c r="C494" i="56"/>
  <c r="D494" i="56" s="1"/>
  <c r="E494" i="56"/>
  <c r="F494" i="56" s="1"/>
  <c r="G494" i="56"/>
  <c r="I494" i="56" s="1"/>
  <c r="H494" i="56"/>
  <c r="J494" i="56"/>
  <c r="K494" i="56"/>
  <c r="C495" i="56"/>
  <c r="D495" i="56" s="1"/>
  <c r="E495" i="56"/>
  <c r="F495" i="56" s="1"/>
  <c r="G495" i="56"/>
  <c r="I495" i="56" s="1"/>
  <c r="H495" i="56"/>
  <c r="J495" i="56"/>
  <c r="K495" i="56"/>
  <c r="C496" i="56"/>
  <c r="D496" i="56" s="1"/>
  <c r="E496" i="56"/>
  <c r="F496" i="56" s="1"/>
  <c r="G496" i="56"/>
  <c r="I496" i="56" s="1"/>
  <c r="H496" i="56"/>
  <c r="J496" i="56"/>
  <c r="K496" i="56"/>
  <c r="C497" i="56"/>
  <c r="D497" i="56" s="1"/>
  <c r="E497" i="56"/>
  <c r="F497" i="56" s="1"/>
  <c r="G497" i="56"/>
  <c r="I497" i="56" s="1"/>
  <c r="H497" i="56"/>
  <c r="J497" i="56"/>
  <c r="K497" i="56"/>
  <c r="C498" i="56"/>
  <c r="D498" i="56" s="1"/>
  <c r="E498" i="56"/>
  <c r="F498" i="56" s="1"/>
  <c r="G498" i="56"/>
  <c r="I498" i="56" s="1"/>
  <c r="H498" i="56"/>
  <c r="J498" i="56"/>
  <c r="K498" i="56"/>
  <c r="C499" i="56"/>
  <c r="D499" i="56" s="1"/>
  <c r="E499" i="56"/>
  <c r="F499" i="56" s="1"/>
  <c r="G499" i="56"/>
  <c r="I499" i="56" s="1"/>
  <c r="H499" i="56"/>
  <c r="J499" i="56"/>
  <c r="K499" i="56"/>
  <c r="C500" i="56"/>
  <c r="D500" i="56" s="1"/>
  <c r="E500" i="56"/>
  <c r="F500" i="56" s="1"/>
  <c r="G500" i="56"/>
  <c r="I500" i="56" s="1"/>
  <c r="H500" i="56"/>
  <c r="J500" i="56"/>
  <c r="K500" i="56"/>
  <c r="C501" i="56"/>
  <c r="D501" i="56" s="1"/>
  <c r="E501" i="56"/>
  <c r="F501" i="56" s="1"/>
  <c r="G501" i="56"/>
  <c r="I501" i="56" s="1"/>
  <c r="H501" i="56"/>
  <c r="J501" i="56"/>
  <c r="K501" i="56"/>
  <c r="C502" i="56"/>
  <c r="D502" i="56" s="1"/>
  <c r="E502" i="56"/>
  <c r="F502" i="56" s="1"/>
  <c r="G502" i="56"/>
  <c r="I502" i="56" s="1"/>
  <c r="H502" i="56"/>
  <c r="J502" i="56"/>
  <c r="K502" i="56"/>
  <c r="C503" i="56"/>
  <c r="D503" i="56" s="1"/>
  <c r="E503" i="56"/>
  <c r="F503" i="56" s="1"/>
  <c r="G503" i="56"/>
  <c r="I503" i="56" s="1"/>
  <c r="H503" i="56"/>
  <c r="J503" i="56"/>
  <c r="K503" i="56"/>
  <c r="C504" i="56"/>
  <c r="D504" i="56" s="1"/>
  <c r="E504" i="56"/>
  <c r="F504" i="56" s="1"/>
  <c r="G504" i="56"/>
  <c r="I504" i="56" s="1"/>
  <c r="H504" i="56"/>
  <c r="J504" i="56"/>
  <c r="K504" i="56"/>
  <c r="C505" i="56"/>
  <c r="D505" i="56" s="1"/>
  <c r="E505" i="56"/>
  <c r="F505" i="56" s="1"/>
  <c r="G505" i="56"/>
  <c r="I505" i="56" s="1"/>
  <c r="H505" i="56"/>
  <c r="J505" i="56"/>
  <c r="K505" i="56"/>
  <c r="C506" i="56"/>
  <c r="D506" i="56" s="1"/>
  <c r="E506" i="56"/>
  <c r="F506" i="56" s="1"/>
  <c r="G506" i="56"/>
  <c r="I506" i="56" s="1"/>
  <c r="H506" i="56"/>
  <c r="J506" i="56"/>
  <c r="K506" i="56"/>
  <c r="C507" i="56"/>
  <c r="D507" i="56" s="1"/>
  <c r="E507" i="56"/>
  <c r="F507" i="56" s="1"/>
  <c r="G507" i="56"/>
  <c r="I507" i="56" s="1"/>
  <c r="H507" i="56"/>
  <c r="J507" i="56"/>
  <c r="K507" i="56"/>
  <c r="C508" i="56"/>
  <c r="D508" i="56" s="1"/>
  <c r="E508" i="56"/>
  <c r="F508" i="56" s="1"/>
  <c r="G508" i="56"/>
  <c r="I508" i="56" s="1"/>
  <c r="H508" i="56"/>
  <c r="J508" i="56"/>
  <c r="K508" i="56"/>
  <c r="C509" i="56"/>
  <c r="D509" i="56" s="1"/>
  <c r="E509" i="56"/>
  <c r="F509" i="56" s="1"/>
  <c r="G509" i="56"/>
  <c r="I509" i="56" s="1"/>
  <c r="H509" i="56"/>
  <c r="J509" i="56"/>
  <c r="K509" i="56"/>
  <c r="C510" i="56"/>
  <c r="D510" i="56" s="1"/>
  <c r="E510" i="56"/>
  <c r="F510" i="56" s="1"/>
  <c r="G510" i="56"/>
  <c r="I510" i="56" s="1"/>
  <c r="H510" i="56"/>
  <c r="J510" i="56"/>
  <c r="K510" i="56"/>
  <c r="C511" i="56"/>
  <c r="D511" i="56" s="1"/>
  <c r="E511" i="56"/>
  <c r="F511" i="56" s="1"/>
  <c r="G511" i="56"/>
  <c r="I511" i="56" s="1"/>
  <c r="H511" i="56"/>
  <c r="J511" i="56"/>
  <c r="K511" i="56"/>
  <c r="C512" i="56"/>
  <c r="D512" i="56" s="1"/>
  <c r="E512" i="56"/>
  <c r="F512" i="56" s="1"/>
  <c r="G512" i="56"/>
  <c r="I512" i="56" s="1"/>
  <c r="H512" i="56"/>
  <c r="J512" i="56"/>
  <c r="K512" i="56"/>
  <c r="C513" i="56"/>
  <c r="D513" i="56" s="1"/>
  <c r="E513" i="56"/>
  <c r="F513" i="56" s="1"/>
  <c r="G513" i="56"/>
  <c r="I513" i="56" s="1"/>
  <c r="H513" i="56"/>
  <c r="J513" i="56"/>
  <c r="K513" i="56"/>
  <c r="C514" i="56"/>
  <c r="D514" i="56" s="1"/>
  <c r="E514" i="56"/>
  <c r="F514" i="56" s="1"/>
  <c r="G514" i="56"/>
  <c r="I514" i="56" s="1"/>
  <c r="H514" i="56"/>
  <c r="J514" i="56"/>
  <c r="K514" i="56"/>
  <c r="C515" i="56"/>
  <c r="D515" i="56" s="1"/>
  <c r="E515" i="56"/>
  <c r="F515" i="56" s="1"/>
  <c r="G515" i="56"/>
  <c r="I515" i="56" s="1"/>
  <c r="H515" i="56"/>
  <c r="J515" i="56"/>
  <c r="K515" i="56"/>
  <c r="C516" i="56"/>
  <c r="D516" i="56" s="1"/>
  <c r="E516" i="56"/>
  <c r="F516" i="56" s="1"/>
  <c r="G516" i="56"/>
  <c r="I516" i="56" s="1"/>
  <c r="H516" i="56"/>
  <c r="J516" i="56"/>
  <c r="K516" i="56"/>
  <c r="C517" i="56"/>
  <c r="D517" i="56" s="1"/>
  <c r="E517" i="56"/>
  <c r="F517" i="56" s="1"/>
  <c r="G517" i="56"/>
  <c r="I517" i="56" s="1"/>
  <c r="H517" i="56"/>
  <c r="J517" i="56"/>
  <c r="K517" i="56"/>
  <c r="C518" i="56"/>
  <c r="D518" i="56" s="1"/>
  <c r="E518" i="56"/>
  <c r="F518" i="56" s="1"/>
  <c r="G518" i="56"/>
  <c r="I518" i="56" s="1"/>
  <c r="H518" i="56"/>
  <c r="J518" i="56"/>
  <c r="K518" i="56"/>
  <c r="C519" i="56"/>
  <c r="D519" i="56" s="1"/>
  <c r="E519" i="56"/>
  <c r="F519" i="56" s="1"/>
  <c r="G519" i="56"/>
  <c r="I519" i="56" s="1"/>
  <c r="H519" i="56"/>
  <c r="J519" i="56"/>
  <c r="K519" i="56"/>
  <c r="C520" i="56"/>
  <c r="D520" i="56" s="1"/>
  <c r="E520" i="56"/>
  <c r="F520" i="56" s="1"/>
  <c r="G520" i="56"/>
  <c r="I520" i="56" s="1"/>
  <c r="H520" i="56"/>
  <c r="J520" i="56"/>
  <c r="K520" i="56"/>
  <c r="C521" i="56"/>
  <c r="D521" i="56" s="1"/>
  <c r="E521" i="56"/>
  <c r="F521" i="56" s="1"/>
  <c r="G521" i="56"/>
  <c r="I521" i="56" s="1"/>
  <c r="H521" i="56"/>
  <c r="J521" i="56"/>
  <c r="K521" i="56"/>
  <c r="C522" i="56"/>
  <c r="D522" i="56" s="1"/>
  <c r="E522" i="56"/>
  <c r="F522" i="56" s="1"/>
  <c r="G522" i="56"/>
  <c r="I522" i="56" s="1"/>
  <c r="H522" i="56"/>
  <c r="J522" i="56"/>
  <c r="K522" i="56"/>
  <c r="C523" i="56"/>
  <c r="D523" i="56" s="1"/>
  <c r="E523" i="56"/>
  <c r="F523" i="56" s="1"/>
  <c r="G523" i="56"/>
  <c r="I523" i="56" s="1"/>
  <c r="H523" i="56"/>
  <c r="J523" i="56"/>
  <c r="K523" i="56"/>
  <c r="C524" i="56"/>
  <c r="D524" i="56" s="1"/>
  <c r="E524" i="56"/>
  <c r="F524" i="56" s="1"/>
  <c r="G524" i="56"/>
  <c r="I524" i="56" s="1"/>
  <c r="H524" i="56"/>
  <c r="J524" i="56"/>
  <c r="K524" i="56"/>
  <c r="C525" i="56"/>
  <c r="D525" i="56" s="1"/>
  <c r="E525" i="56"/>
  <c r="F525" i="56" s="1"/>
  <c r="G525" i="56"/>
  <c r="I525" i="56" s="1"/>
  <c r="H525" i="56"/>
  <c r="J525" i="56"/>
  <c r="K525" i="56"/>
  <c r="C526" i="56"/>
  <c r="D526" i="56" s="1"/>
  <c r="E526" i="56"/>
  <c r="F526" i="56" s="1"/>
  <c r="G526" i="56"/>
  <c r="I526" i="56" s="1"/>
  <c r="H526" i="56"/>
  <c r="J526" i="56"/>
  <c r="K526" i="56"/>
  <c r="C527" i="56"/>
  <c r="D527" i="56" s="1"/>
  <c r="E527" i="56"/>
  <c r="F527" i="56" s="1"/>
  <c r="G527" i="56"/>
  <c r="I527" i="56" s="1"/>
  <c r="H527" i="56"/>
  <c r="J527" i="56"/>
  <c r="K527" i="56"/>
  <c r="C528" i="56"/>
  <c r="D528" i="56" s="1"/>
  <c r="E528" i="56"/>
  <c r="F528" i="56" s="1"/>
  <c r="G528" i="56"/>
  <c r="I528" i="56" s="1"/>
  <c r="H528" i="56"/>
  <c r="J528" i="56"/>
  <c r="K528" i="56"/>
  <c r="C529" i="56"/>
  <c r="D529" i="56" s="1"/>
  <c r="E529" i="56"/>
  <c r="F529" i="56" s="1"/>
  <c r="G529" i="56"/>
  <c r="I529" i="56" s="1"/>
  <c r="H529" i="56"/>
  <c r="J529" i="56"/>
  <c r="K529" i="56"/>
  <c r="C530" i="56"/>
  <c r="D530" i="56" s="1"/>
  <c r="E530" i="56"/>
  <c r="F530" i="56" s="1"/>
  <c r="G530" i="56"/>
  <c r="I530" i="56" s="1"/>
  <c r="H530" i="56"/>
  <c r="J530" i="56"/>
  <c r="K530" i="56"/>
  <c r="C531" i="56"/>
  <c r="D531" i="56" s="1"/>
  <c r="E531" i="56"/>
  <c r="F531" i="56" s="1"/>
  <c r="G531" i="56"/>
  <c r="I531" i="56" s="1"/>
  <c r="H531" i="56"/>
  <c r="J531" i="56"/>
  <c r="K531" i="56"/>
  <c r="C532" i="56"/>
  <c r="D532" i="56" s="1"/>
  <c r="E532" i="56"/>
  <c r="F532" i="56" s="1"/>
  <c r="G532" i="56"/>
  <c r="I532" i="56" s="1"/>
  <c r="H532" i="56"/>
  <c r="J532" i="56"/>
  <c r="K532" i="56"/>
  <c r="C533" i="56"/>
  <c r="D533" i="56" s="1"/>
  <c r="E533" i="56"/>
  <c r="F533" i="56" s="1"/>
  <c r="G533" i="56"/>
  <c r="I533" i="56" s="1"/>
  <c r="H533" i="56"/>
  <c r="J533" i="56"/>
  <c r="K533" i="56"/>
  <c r="C534" i="56"/>
  <c r="D534" i="56" s="1"/>
  <c r="E534" i="56"/>
  <c r="F534" i="56" s="1"/>
  <c r="G534" i="56"/>
  <c r="I534" i="56" s="1"/>
  <c r="H534" i="56"/>
  <c r="J534" i="56"/>
  <c r="K534" i="56"/>
  <c r="C535" i="56"/>
  <c r="D535" i="56" s="1"/>
  <c r="E535" i="56"/>
  <c r="F535" i="56" s="1"/>
  <c r="G535" i="56"/>
  <c r="I535" i="56" s="1"/>
  <c r="H535" i="56"/>
  <c r="J535" i="56"/>
  <c r="K535" i="56"/>
  <c r="C536" i="56"/>
  <c r="D536" i="56" s="1"/>
  <c r="E536" i="56"/>
  <c r="F536" i="56" s="1"/>
  <c r="G536" i="56"/>
  <c r="I536" i="56" s="1"/>
  <c r="H536" i="56"/>
  <c r="J536" i="56"/>
  <c r="K536" i="56"/>
  <c r="C537" i="56"/>
  <c r="D537" i="56" s="1"/>
  <c r="E537" i="56"/>
  <c r="F537" i="56" s="1"/>
  <c r="G537" i="56"/>
  <c r="I537" i="56" s="1"/>
  <c r="H537" i="56"/>
  <c r="J537" i="56"/>
  <c r="K537" i="56"/>
  <c r="C538" i="56"/>
  <c r="D538" i="56" s="1"/>
  <c r="E538" i="56"/>
  <c r="F538" i="56" s="1"/>
  <c r="G538" i="56"/>
  <c r="I538" i="56" s="1"/>
  <c r="H538" i="56"/>
  <c r="J538" i="56"/>
  <c r="K538" i="56"/>
  <c r="C539" i="56"/>
  <c r="D539" i="56" s="1"/>
  <c r="E539" i="56"/>
  <c r="F539" i="56" s="1"/>
  <c r="G539" i="56"/>
  <c r="I539" i="56" s="1"/>
  <c r="H539" i="56"/>
  <c r="J539" i="56"/>
  <c r="K539" i="56"/>
  <c r="C540" i="56"/>
  <c r="D540" i="56" s="1"/>
  <c r="E540" i="56"/>
  <c r="F540" i="56" s="1"/>
  <c r="G540" i="56"/>
  <c r="I540" i="56" s="1"/>
  <c r="H540" i="56"/>
  <c r="J540" i="56"/>
  <c r="K540" i="56"/>
  <c r="C541" i="56"/>
  <c r="D541" i="56" s="1"/>
  <c r="E541" i="56"/>
  <c r="F541" i="56" s="1"/>
  <c r="G541" i="56"/>
  <c r="I541" i="56" s="1"/>
  <c r="H541" i="56"/>
  <c r="J541" i="56"/>
  <c r="K541" i="56"/>
  <c r="C542" i="56"/>
  <c r="D542" i="56" s="1"/>
  <c r="E542" i="56"/>
  <c r="F542" i="56" s="1"/>
  <c r="G542" i="56"/>
  <c r="I542" i="56" s="1"/>
  <c r="H542" i="56"/>
  <c r="J542" i="56"/>
  <c r="K542" i="56"/>
  <c r="C543" i="56"/>
  <c r="D543" i="56" s="1"/>
  <c r="E543" i="56"/>
  <c r="F543" i="56" s="1"/>
  <c r="G543" i="56"/>
  <c r="I543" i="56" s="1"/>
  <c r="H543" i="56"/>
  <c r="J543" i="56"/>
  <c r="K543" i="56"/>
  <c r="C544" i="56"/>
  <c r="D544" i="56" s="1"/>
  <c r="E544" i="56"/>
  <c r="F544" i="56" s="1"/>
  <c r="G544" i="56"/>
  <c r="I544" i="56" s="1"/>
  <c r="H544" i="56"/>
  <c r="J544" i="56"/>
  <c r="K544" i="56"/>
  <c r="C545" i="56"/>
  <c r="D545" i="56" s="1"/>
  <c r="E545" i="56"/>
  <c r="F545" i="56" s="1"/>
  <c r="G545" i="56"/>
  <c r="I545" i="56" s="1"/>
  <c r="H545" i="56"/>
  <c r="J545" i="56"/>
  <c r="K545" i="56"/>
  <c r="C546" i="56"/>
  <c r="D546" i="56" s="1"/>
  <c r="E546" i="56"/>
  <c r="F546" i="56" s="1"/>
  <c r="G546" i="56"/>
  <c r="I546" i="56" s="1"/>
  <c r="H546" i="56"/>
  <c r="J546" i="56"/>
  <c r="K546" i="56"/>
  <c r="C547" i="56"/>
  <c r="D547" i="56" s="1"/>
  <c r="E547" i="56"/>
  <c r="F547" i="56" s="1"/>
  <c r="G547" i="56"/>
  <c r="I547" i="56" s="1"/>
  <c r="H547" i="56"/>
  <c r="J547" i="56"/>
  <c r="K547" i="56"/>
  <c r="C548" i="56"/>
  <c r="D548" i="56" s="1"/>
  <c r="E548" i="56"/>
  <c r="F548" i="56" s="1"/>
  <c r="G548" i="56"/>
  <c r="I548" i="56" s="1"/>
  <c r="H548" i="56"/>
  <c r="J548" i="56"/>
  <c r="K548" i="56"/>
  <c r="C549" i="56"/>
  <c r="D549" i="56" s="1"/>
  <c r="E549" i="56"/>
  <c r="F549" i="56" s="1"/>
  <c r="G549" i="56"/>
  <c r="I549" i="56" s="1"/>
  <c r="H549" i="56"/>
  <c r="J549" i="56"/>
  <c r="K549" i="56"/>
  <c r="C550" i="56"/>
  <c r="D550" i="56" s="1"/>
  <c r="E550" i="56"/>
  <c r="F550" i="56" s="1"/>
  <c r="G550" i="56"/>
  <c r="I550" i="56" s="1"/>
  <c r="H550" i="56"/>
  <c r="J550" i="56"/>
  <c r="K550" i="56"/>
  <c r="C551" i="56"/>
  <c r="D551" i="56" s="1"/>
  <c r="E551" i="56"/>
  <c r="F551" i="56" s="1"/>
  <c r="G551" i="56"/>
  <c r="I551" i="56" s="1"/>
  <c r="H551" i="56"/>
  <c r="J551" i="56"/>
  <c r="K551" i="56"/>
  <c r="C552" i="56"/>
  <c r="D552" i="56" s="1"/>
  <c r="E552" i="56"/>
  <c r="F552" i="56" s="1"/>
  <c r="G552" i="56"/>
  <c r="I552" i="56" s="1"/>
  <c r="H552" i="56"/>
  <c r="J552" i="56"/>
  <c r="K552" i="56"/>
  <c r="C553" i="56"/>
  <c r="D553" i="56" s="1"/>
  <c r="E553" i="56"/>
  <c r="F553" i="56" s="1"/>
  <c r="G553" i="56"/>
  <c r="I553" i="56" s="1"/>
  <c r="H553" i="56"/>
  <c r="J553" i="56"/>
  <c r="K553" i="56"/>
  <c r="C554" i="56"/>
  <c r="D554" i="56" s="1"/>
  <c r="E554" i="56"/>
  <c r="F554" i="56" s="1"/>
  <c r="G554" i="56"/>
  <c r="I554" i="56" s="1"/>
  <c r="H554" i="56"/>
  <c r="J554" i="56"/>
  <c r="K554" i="56"/>
  <c r="C555" i="56"/>
  <c r="D555" i="56" s="1"/>
  <c r="E555" i="56"/>
  <c r="F555" i="56" s="1"/>
  <c r="G555" i="56"/>
  <c r="I555" i="56" s="1"/>
  <c r="H555" i="56"/>
  <c r="J555" i="56"/>
  <c r="K555" i="56"/>
  <c r="C556" i="56"/>
  <c r="D556" i="56" s="1"/>
  <c r="E556" i="56"/>
  <c r="F556" i="56" s="1"/>
  <c r="G556" i="56"/>
  <c r="I556" i="56" s="1"/>
  <c r="H556" i="56"/>
  <c r="J556" i="56"/>
  <c r="K556" i="56"/>
  <c r="C557" i="56"/>
  <c r="D557" i="56" s="1"/>
  <c r="E557" i="56"/>
  <c r="F557" i="56" s="1"/>
  <c r="G557" i="56"/>
  <c r="I557" i="56" s="1"/>
  <c r="H557" i="56"/>
  <c r="J557" i="56"/>
  <c r="K557" i="56"/>
  <c r="C558" i="56"/>
  <c r="D558" i="56" s="1"/>
  <c r="E558" i="56"/>
  <c r="F558" i="56" s="1"/>
  <c r="G558" i="56"/>
  <c r="I558" i="56" s="1"/>
  <c r="H558" i="56"/>
  <c r="J558" i="56"/>
  <c r="K558" i="56"/>
  <c r="C559" i="56"/>
  <c r="D559" i="56" s="1"/>
  <c r="E559" i="56"/>
  <c r="F559" i="56" s="1"/>
  <c r="G559" i="56"/>
  <c r="I559" i="56" s="1"/>
  <c r="H559" i="56"/>
  <c r="J559" i="56"/>
  <c r="K559" i="56"/>
  <c r="C560" i="56"/>
  <c r="D560" i="56" s="1"/>
  <c r="E560" i="56"/>
  <c r="F560" i="56" s="1"/>
  <c r="G560" i="56"/>
  <c r="I560" i="56" s="1"/>
  <c r="H560" i="56"/>
  <c r="J560" i="56"/>
  <c r="K560" i="56"/>
  <c r="C561" i="56"/>
  <c r="D561" i="56" s="1"/>
  <c r="E561" i="56"/>
  <c r="F561" i="56" s="1"/>
  <c r="G561" i="56"/>
  <c r="I561" i="56" s="1"/>
  <c r="H561" i="56"/>
  <c r="J561" i="56"/>
  <c r="K561" i="56"/>
  <c r="C562" i="56"/>
  <c r="D562" i="56" s="1"/>
  <c r="E562" i="56"/>
  <c r="F562" i="56" s="1"/>
  <c r="G562" i="56"/>
  <c r="I562" i="56" s="1"/>
  <c r="H562" i="56"/>
  <c r="J562" i="56"/>
  <c r="K562" i="56"/>
  <c r="C563" i="56"/>
  <c r="D563" i="56" s="1"/>
  <c r="E563" i="56"/>
  <c r="F563" i="56" s="1"/>
  <c r="G563" i="56"/>
  <c r="I563" i="56" s="1"/>
  <c r="H563" i="56"/>
  <c r="J563" i="56"/>
  <c r="K563" i="56"/>
  <c r="C564" i="56"/>
  <c r="D564" i="56" s="1"/>
  <c r="E564" i="56"/>
  <c r="F564" i="56" s="1"/>
  <c r="G564" i="56"/>
  <c r="I564" i="56" s="1"/>
  <c r="H564" i="56"/>
  <c r="J564" i="56"/>
  <c r="K564" i="56"/>
  <c r="C565" i="56"/>
  <c r="D565" i="56" s="1"/>
  <c r="E565" i="56"/>
  <c r="F565" i="56" s="1"/>
  <c r="G565" i="56"/>
  <c r="I565" i="56" s="1"/>
  <c r="H565" i="56"/>
  <c r="J565" i="56"/>
  <c r="K565" i="56"/>
  <c r="C566" i="56"/>
  <c r="D566" i="56" s="1"/>
  <c r="E566" i="56"/>
  <c r="F566" i="56" s="1"/>
  <c r="G566" i="56"/>
  <c r="I566" i="56" s="1"/>
  <c r="H566" i="56"/>
  <c r="J566" i="56"/>
  <c r="K566" i="56"/>
  <c r="C567" i="56"/>
  <c r="D567" i="56" s="1"/>
  <c r="E567" i="56"/>
  <c r="F567" i="56" s="1"/>
  <c r="G567" i="56"/>
  <c r="I567" i="56" s="1"/>
  <c r="H567" i="56"/>
  <c r="J567" i="56"/>
  <c r="K567" i="56"/>
  <c r="C568" i="56"/>
  <c r="D568" i="56" s="1"/>
  <c r="E568" i="56"/>
  <c r="F568" i="56" s="1"/>
  <c r="G568" i="56"/>
  <c r="I568" i="56" s="1"/>
  <c r="H568" i="56"/>
  <c r="J568" i="56"/>
  <c r="K568" i="56"/>
  <c r="C569" i="56"/>
  <c r="D569" i="56" s="1"/>
  <c r="E569" i="56"/>
  <c r="F569" i="56" s="1"/>
  <c r="G569" i="56"/>
  <c r="I569" i="56" s="1"/>
  <c r="H569" i="56"/>
  <c r="J569" i="56"/>
  <c r="K569" i="56"/>
  <c r="C570" i="56"/>
  <c r="D570" i="56" s="1"/>
  <c r="E570" i="56"/>
  <c r="F570" i="56" s="1"/>
  <c r="G570" i="56"/>
  <c r="I570" i="56" s="1"/>
  <c r="H570" i="56"/>
  <c r="J570" i="56"/>
  <c r="K570" i="56"/>
  <c r="C571" i="56"/>
  <c r="D571" i="56" s="1"/>
  <c r="E571" i="56"/>
  <c r="F571" i="56" s="1"/>
  <c r="G571" i="56"/>
  <c r="I571" i="56" s="1"/>
  <c r="H571" i="56"/>
  <c r="J571" i="56"/>
  <c r="K571" i="56"/>
  <c r="C572" i="56"/>
  <c r="D572" i="56" s="1"/>
  <c r="E572" i="56"/>
  <c r="F572" i="56" s="1"/>
  <c r="G572" i="56"/>
  <c r="I572" i="56" s="1"/>
  <c r="H572" i="56"/>
  <c r="J572" i="56"/>
  <c r="K572" i="56"/>
  <c r="C573" i="56"/>
  <c r="D573" i="56" s="1"/>
  <c r="E573" i="56"/>
  <c r="F573" i="56" s="1"/>
  <c r="G573" i="56"/>
  <c r="I573" i="56" s="1"/>
  <c r="H573" i="56"/>
  <c r="J573" i="56"/>
  <c r="K573" i="56"/>
  <c r="C574" i="56"/>
  <c r="D574" i="56" s="1"/>
  <c r="E574" i="56"/>
  <c r="F574" i="56" s="1"/>
  <c r="G574" i="56"/>
  <c r="I574" i="56" s="1"/>
  <c r="H574" i="56"/>
  <c r="J574" i="56"/>
  <c r="K574" i="56"/>
  <c r="C575" i="56"/>
  <c r="D575" i="56" s="1"/>
  <c r="E575" i="56"/>
  <c r="F575" i="56" s="1"/>
  <c r="G575" i="56"/>
  <c r="I575" i="56" s="1"/>
  <c r="H575" i="56"/>
  <c r="J575" i="56"/>
  <c r="K575" i="56"/>
  <c r="C576" i="56"/>
  <c r="D576" i="56" s="1"/>
  <c r="E576" i="56"/>
  <c r="F576" i="56" s="1"/>
  <c r="G576" i="56"/>
  <c r="I576" i="56" s="1"/>
  <c r="H576" i="56"/>
  <c r="J576" i="56"/>
  <c r="K576" i="56"/>
  <c r="C577" i="56"/>
  <c r="D577" i="56" s="1"/>
  <c r="E577" i="56"/>
  <c r="F577" i="56" s="1"/>
  <c r="G577" i="56"/>
  <c r="I577" i="56" s="1"/>
  <c r="H577" i="56"/>
  <c r="J577" i="56"/>
  <c r="K577" i="56"/>
  <c r="C578" i="56"/>
  <c r="D578" i="56" s="1"/>
  <c r="E578" i="56"/>
  <c r="F578" i="56" s="1"/>
  <c r="G578" i="56"/>
  <c r="I578" i="56" s="1"/>
  <c r="H578" i="56"/>
  <c r="J578" i="56"/>
  <c r="K578" i="56"/>
  <c r="C579" i="56"/>
  <c r="D579" i="56" s="1"/>
  <c r="E579" i="56"/>
  <c r="F579" i="56" s="1"/>
  <c r="G579" i="56"/>
  <c r="I579" i="56" s="1"/>
  <c r="H579" i="56"/>
  <c r="J579" i="56"/>
  <c r="K579" i="56"/>
  <c r="C580" i="56"/>
  <c r="D580" i="56" s="1"/>
  <c r="E580" i="56"/>
  <c r="F580" i="56" s="1"/>
  <c r="G580" i="56"/>
  <c r="I580" i="56" s="1"/>
  <c r="H580" i="56"/>
  <c r="J580" i="56"/>
  <c r="K580" i="56"/>
  <c r="C581" i="56"/>
  <c r="D581" i="56" s="1"/>
  <c r="E581" i="56"/>
  <c r="F581" i="56" s="1"/>
  <c r="G581" i="56"/>
  <c r="I581" i="56" s="1"/>
  <c r="H581" i="56"/>
  <c r="J581" i="56"/>
  <c r="K581" i="56"/>
  <c r="C582" i="56"/>
  <c r="D582" i="56" s="1"/>
  <c r="E582" i="56"/>
  <c r="F582" i="56" s="1"/>
  <c r="G582" i="56"/>
  <c r="I582" i="56" s="1"/>
  <c r="H582" i="56"/>
  <c r="J582" i="56"/>
  <c r="K582" i="56"/>
  <c r="C583" i="56"/>
  <c r="D583" i="56" s="1"/>
  <c r="E583" i="56"/>
  <c r="F583" i="56" s="1"/>
  <c r="G583" i="56"/>
  <c r="I583" i="56" s="1"/>
  <c r="H583" i="56"/>
  <c r="J583" i="56"/>
  <c r="K583" i="56"/>
  <c r="C584" i="56"/>
  <c r="D584" i="56" s="1"/>
  <c r="E584" i="56"/>
  <c r="F584" i="56" s="1"/>
  <c r="G584" i="56"/>
  <c r="I584" i="56" s="1"/>
  <c r="H584" i="56"/>
  <c r="J584" i="56"/>
  <c r="K584" i="56"/>
  <c r="C585" i="56"/>
  <c r="D585" i="56" s="1"/>
  <c r="E585" i="56"/>
  <c r="F585" i="56" s="1"/>
  <c r="G585" i="56"/>
  <c r="I585" i="56" s="1"/>
  <c r="H585" i="56"/>
  <c r="J585" i="56"/>
  <c r="K585" i="56"/>
  <c r="C586" i="56"/>
  <c r="D586" i="56" s="1"/>
  <c r="E586" i="56"/>
  <c r="F586" i="56" s="1"/>
  <c r="G586" i="56"/>
  <c r="I586" i="56" s="1"/>
  <c r="H586" i="56"/>
  <c r="J586" i="56"/>
  <c r="K586" i="56"/>
  <c r="C587" i="56"/>
  <c r="D587" i="56" s="1"/>
  <c r="E587" i="56"/>
  <c r="F587" i="56" s="1"/>
  <c r="G587" i="56"/>
  <c r="I587" i="56" s="1"/>
  <c r="H587" i="56"/>
  <c r="J587" i="56"/>
  <c r="K587" i="56"/>
  <c r="C588" i="56"/>
  <c r="D588" i="56" s="1"/>
  <c r="E588" i="56"/>
  <c r="F588" i="56" s="1"/>
  <c r="G588" i="56"/>
  <c r="I588" i="56" s="1"/>
  <c r="H588" i="56"/>
  <c r="J588" i="56"/>
  <c r="K588" i="56"/>
  <c r="C589" i="56"/>
  <c r="D589" i="56" s="1"/>
  <c r="E589" i="56"/>
  <c r="F589" i="56" s="1"/>
  <c r="G589" i="56"/>
  <c r="I589" i="56" s="1"/>
  <c r="H589" i="56"/>
  <c r="J589" i="56"/>
  <c r="K589" i="56"/>
  <c r="C590" i="56"/>
  <c r="D590" i="56" s="1"/>
  <c r="E590" i="56"/>
  <c r="F590" i="56" s="1"/>
  <c r="G590" i="56"/>
  <c r="I590" i="56" s="1"/>
  <c r="H590" i="56"/>
  <c r="J590" i="56"/>
  <c r="K590" i="56"/>
  <c r="C591" i="56"/>
  <c r="D591" i="56" s="1"/>
  <c r="E591" i="56"/>
  <c r="F591" i="56" s="1"/>
  <c r="G591" i="56"/>
  <c r="I591" i="56" s="1"/>
  <c r="H591" i="56"/>
  <c r="J591" i="56"/>
  <c r="K591" i="56"/>
  <c r="C592" i="56"/>
  <c r="D592" i="56" s="1"/>
  <c r="E592" i="56"/>
  <c r="F592" i="56" s="1"/>
  <c r="G592" i="56"/>
  <c r="I592" i="56" s="1"/>
  <c r="H592" i="56"/>
  <c r="J592" i="56"/>
  <c r="K592" i="56"/>
  <c r="C593" i="56"/>
  <c r="D593" i="56" s="1"/>
  <c r="E593" i="56"/>
  <c r="F593" i="56" s="1"/>
  <c r="G593" i="56"/>
  <c r="I593" i="56" s="1"/>
  <c r="H593" i="56"/>
  <c r="J593" i="56"/>
  <c r="K593" i="56"/>
  <c r="C594" i="56"/>
  <c r="D594" i="56" s="1"/>
  <c r="E594" i="56"/>
  <c r="F594" i="56" s="1"/>
  <c r="G594" i="56"/>
  <c r="I594" i="56" s="1"/>
  <c r="H594" i="56"/>
  <c r="J594" i="56"/>
  <c r="K594" i="56"/>
  <c r="C595" i="56"/>
  <c r="D595" i="56" s="1"/>
  <c r="E595" i="56"/>
  <c r="F595" i="56" s="1"/>
  <c r="G595" i="56"/>
  <c r="I595" i="56" s="1"/>
  <c r="H595" i="56"/>
  <c r="J595" i="56"/>
  <c r="K595" i="56"/>
  <c r="C596" i="56"/>
  <c r="D596" i="56" s="1"/>
  <c r="E596" i="56"/>
  <c r="F596" i="56" s="1"/>
  <c r="G596" i="56"/>
  <c r="I596" i="56" s="1"/>
  <c r="H596" i="56"/>
  <c r="J596" i="56"/>
  <c r="K596" i="56"/>
  <c r="C597" i="56"/>
  <c r="D597" i="56" s="1"/>
  <c r="E597" i="56"/>
  <c r="F597" i="56" s="1"/>
  <c r="G597" i="56"/>
  <c r="I597" i="56" s="1"/>
  <c r="H597" i="56"/>
  <c r="J597" i="56"/>
  <c r="K597" i="56"/>
  <c r="C598" i="56"/>
  <c r="D598" i="56" s="1"/>
  <c r="E598" i="56"/>
  <c r="F598" i="56" s="1"/>
  <c r="G598" i="56"/>
  <c r="I598" i="56" s="1"/>
  <c r="H598" i="56"/>
  <c r="J598" i="56"/>
  <c r="K598" i="56"/>
  <c r="C599" i="56"/>
  <c r="D599" i="56" s="1"/>
  <c r="E599" i="56"/>
  <c r="F599" i="56" s="1"/>
  <c r="G599" i="56"/>
  <c r="I599" i="56" s="1"/>
  <c r="H599" i="56"/>
  <c r="J599" i="56"/>
  <c r="K599" i="56"/>
  <c r="C600" i="56"/>
  <c r="D600" i="56" s="1"/>
  <c r="E600" i="56"/>
  <c r="F600" i="56" s="1"/>
  <c r="G600" i="56"/>
  <c r="I600" i="56" s="1"/>
  <c r="H600" i="56"/>
  <c r="J600" i="56"/>
  <c r="K600" i="56"/>
  <c r="C601" i="56"/>
  <c r="D601" i="56" s="1"/>
  <c r="E601" i="56"/>
  <c r="F601" i="56" s="1"/>
  <c r="G601" i="56"/>
  <c r="I601" i="56" s="1"/>
  <c r="H601" i="56"/>
  <c r="J601" i="56"/>
  <c r="K601" i="56"/>
  <c r="C602" i="56"/>
  <c r="D602" i="56" s="1"/>
  <c r="E602" i="56"/>
  <c r="F602" i="56" s="1"/>
  <c r="G602" i="56"/>
  <c r="I602" i="56" s="1"/>
  <c r="H602" i="56"/>
  <c r="J602" i="56"/>
  <c r="K602" i="56"/>
  <c r="C603" i="56"/>
  <c r="D603" i="56" s="1"/>
  <c r="E603" i="56"/>
  <c r="F603" i="56" s="1"/>
  <c r="G603" i="56"/>
  <c r="I603" i="56" s="1"/>
  <c r="H603" i="56"/>
  <c r="J603" i="56"/>
  <c r="K603" i="56"/>
  <c r="C604" i="56"/>
  <c r="D604" i="56" s="1"/>
  <c r="E604" i="56"/>
  <c r="F604" i="56" s="1"/>
  <c r="G604" i="56"/>
  <c r="I604" i="56" s="1"/>
  <c r="H604" i="56"/>
  <c r="J604" i="56"/>
  <c r="K604" i="56"/>
  <c r="C605" i="56"/>
  <c r="D605" i="56" s="1"/>
  <c r="E605" i="56"/>
  <c r="F605" i="56" s="1"/>
  <c r="G605" i="56"/>
  <c r="I605" i="56" s="1"/>
  <c r="H605" i="56"/>
  <c r="J605" i="56"/>
  <c r="K605" i="56"/>
  <c r="C606" i="56"/>
  <c r="D606" i="56" s="1"/>
  <c r="E606" i="56"/>
  <c r="F606" i="56" s="1"/>
  <c r="G606" i="56"/>
  <c r="I606" i="56" s="1"/>
  <c r="H606" i="56"/>
  <c r="J606" i="56"/>
  <c r="K606" i="56"/>
  <c r="C607" i="56"/>
  <c r="D607" i="56" s="1"/>
  <c r="E607" i="56"/>
  <c r="F607" i="56" s="1"/>
  <c r="G607" i="56"/>
  <c r="I607" i="56" s="1"/>
  <c r="H607" i="56"/>
  <c r="J607" i="56"/>
  <c r="K607" i="56"/>
  <c r="C608" i="56"/>
  <c r="D608" i="56" s="1"/>
  <c r="E608" i="56"/>
  <c r="F608" i="56" s="1"/>
  <c r="G608" i="56"/>
  <c r="I608" i="56" s="1"/>
  <c r="H608" i="56"/>
  <c r="J608" i="56"/>
  <c r="K608" i="56"/>
  <c r="C609" i="56"/>
  <c r="D609" i="56" s="1"/>
  <c r="E609" i="56"/>
  <c r="F609" i="56" s="1"/>
  <c r="G609" i="56"/>
  <c r="I609" i="56" s="1"/>
  <c r="H609" i="56"/>
  <c r="J609" i="56"/>
  <c r="K609" i="56"/>
  <c r="C610" i="56"/>
  <c r="D610" i="56" s="1"/>
  <c r="E610" i="56"/>
  <c r="F610" i="56" s="1"/>
  <c r="G610" i="56"/>
  <c r="I610" i="56" s="1"/>
  <c r="H610" i="56"/>
  <c r="J610" i="56"/>
  <c r="K610" i="56"/>
  <c r="C611" i="56"/>
  <c r="D611" i="56" s="1"/>
  <c r="E611" i="56"/>
  <c r="F611" i="56" s="1"/>
  <c r="G611" i="56"/>
  <c r="I611" i="56" s="1"/>
  <c r="H611" i="56"/>
  <c r="J611" i="56"/>
  <c r="K611" i="56"/>
  <c r="C612" i="56"/>
  <c r="D612" i="56" s="1"/>
  <c r="E612" i="56"/>
  <c r="F612" i="56" s="1"/>
  <c r="G612" i="56"/>
  <c r="I612" i="56" s="1"/>
  <c r="H612" i="56"/>
  <c r="J612" i="56"/>
  <c r="K612" i="56"/>
  <c r="C613" i="56"/>
  <c r="D613" i="56" s="1"/>
  <c r="E613" i="56"/>
  <c r="F613" i="56" s="1"/>
  <c r="G613" i="56"/>
  <c r="I613" i="56" s="1"/>
  <c r="H613" i="56"/>
  <c r="J613" i="56"/>
  <c r="K613" i="56"/>
  <c r="C614" i="56"/>
  <c r="D614" i="56" s="1"/>
  <c r="E614" i="56"/>
  <c r="F614" i="56" s="1"/>
  <c r="G614" i="56"/>
  <c r="I614" i="56" s="1"/>
  <c r="H614" i="56"/>
  <c r="J614" i="56"/>
  <c r="K614" i="56"/>
  <c r="C615" i="56"/>
  <c r="D615" i="56" s="1"/>
  <c r="E615" i="56"/>
  <c r="F615" i="56" s="1"/>
  <c r="G615" i="56"/>
  <c r="I615" i="56" s="1"/>
  <c r="H615" i="56"/>
  <c r="J615" i="56"/>
  <c r="K615" i="56"/>
  <c r="C616" i="56"/>
  <c r="D616" i="56" s="1"/>
  <c r="E616" i="56"/>
  <c r="F616" i="56" s="1"/>
  <c r="G616" i="56"/>
  <c r="I616" i="56" s="1"/>
  <c r="H616" i="56"/>
  <c r="J616" i="56"/>
  <c r="K616" i="56"/>
  <c r="C617" i="56"/>
  <c r="D617" i="56" s="1"/>
  <c r="E617" i="56"/>
  <c r="F617" i="56" s="1"/>
  <c r="G617" i="56"/>
  <c r="I617" i="56" s="1"/>
  <c r="H617" i="56"/>
  <c r="J617" i="56"/>
  <c r="K617" i="56"/>
  <c r="C618" i="56"/>
  <c r="D618" i="56" s="1"/>
  <c r="E618" i="56"/>
  <c r="F618" i="56" s="1"/>
  <c r="G618" i="56"/>
  <c r="I618" i="56" s="1"/>
  <c r="H618" i="56"/>
  <c r="J618" i="56"/>
  <c r="K618" i="56"/>
  <c r="C619" i="56"/>
  <c r="D619" i="56" s="1"/>
  <c r="E619" i="56"/>
  <c r="F619" i="56" s="1"/>
  <c r="G619" i="56"/>
  <c r="I619" i="56" s="1"/>
  <c r="H619" i="56"/>
  <c r="J619" i="56"/>
  <c r="K619" i="56"/>
  <c r="C620" i="56"/>
  <c r="D620" i="56" s="1"/>
  <c r="E620" i="56"/>
  <c r="F620" i="56" s="1"/>
  <c r="G620" i="56"/>
  <c r="I620" i="56" s="1"/>
  <c r="H620" i="56"/>
  <c r="J620" i="56"/>
  <c r="K620" i="56"/>
  <c r="C621" i="56"/>
  <c r="D621" i="56" s="1"/>
  <c r="E621" i="56"/>
  <c r="F621" i="56" s="1"/>
  <c r="G621" i="56"/>
  <c r="I621" i="56" s="1"/>
  <c r="H621" i="56"/>
  <c r="J621" i="56"/>
  <c r="K621" i="56"/>
  <c r="C622" i="56"/>
  <c r="D622" i="56" s="1"/>
  <c r="E622" i="56"/>
  <c r="F622" i="56" s="1"/>
  <c r="G622" i="56"/>
  <c r="I622" i="56" s="1"/>
  <c r="H622" i="56"/>
  <c r="J622" i="56"/>
  <c r="K622" i="56"/>
  <c r="C623" i="56"/>
  <c r="D623" i="56" s="1"/>
  <c r="E623" i="56"/>
  <c r="F623" i="56" s="1"/>
  <c r="G623" i="56"/>
  <c r="I623" i="56" s="1"/>
  <c r="H623" i="56"/>
  <c r="J623" i="56"/>
  <c r="K623" i="56"/>
  <c r="C624" i="56"/>
  <c r="D624" i="56" s="1"/>
  <c r="E624" i="56"/>
  <c r="F624" i="56" s="1"/>
  <c r="G624" i="56"/>
  <c r="I624" i="56" s="1"/>
  <c r="H624" i="56"/>
  <c r="J624" i="56"/>
  <c r="K624" i="56"/>
  <c r="C625" i="56"/>
  <c r="D625" i="56" s="1"/>
  <c r="E625" i="56"/>
  <c r="F625" i="56" s="1"/>
  <c r="G625" i="56"/>
  <c r="I625" i="56" s="1"/>
  <c r="H625" i="56"/>
  <c r="J625" i="56"/>
  <c r="K625" i="56"/>
  <c r="C626" i="56"/>
  <c r="D626" i="56" s="1"/>
  <c r="E626" i="56"/>
  <c r="F626" i="56" s="1"/>
  <c r="G626" i="56"/>
  <c r="I626" i="56" s="1"/>
  <c r="H626" i="56"/>
  <c r="J626" i="56"/>
  <c r="K626" i="56"/>
  <c r="C627" i="56"/>
  <c r="D627" i="56" s="1"/>
  <c r="E627" i="56"/>
  <c r="F627" i="56" s="1"/>
  <c r="G627" i="56"/>
  <c r="I627" i="56" s="1"/>
  <c r="H627" i="56"/>
  <c r="J627" i="56"/>
  <c r="K627" i="56"/>
  <c r="C628" i="56"/>
  <c r="D628" i="56" s="1"/>
  <c r="E628" i="56"/>
  <c r="F628" i="56" s="1"/>
  <c r="G628" i="56"/>
  <c r="I628" i="56" s="1"/>
  <c r="H628" i="56"/>
  <c r="J628" i="56"/>
  <c r="K628" i="56"/>
  <c r="C629" i="56"/>
  <c r="D629" i="56" s="1"/>
  <c r="E629" i="56"/>
  <c r="F629" i="56" s="1"/>
  <c r="G629" i="56"/>
  <c r="I629" i="56" s="1"/>
  <c r="H629" i="56"/>
  <c r="J629" i="56"/>
  <c r="K629" i="56"/>
  <c r="C630" i="56"/>
  <c r="D630" i="56" s="1"/>
  <c r="E630" i="56"/>
  <c r="F630" i="56" s="1"/>
  <c r="G630" i="56"/>
  <c r="I630" i="56" s="1"/>
  <c r="H630" i="56"/>
  <c r="J630" i="56"/>
  <c r="K630" i="56"/>
  <c r="C631" i="56"/>
  <c r="D631" i="56" s="1"/>
  <c r="E631" i="56"/>
  <c r="F631" i="56" s="1"/>
  <c r="G631" i="56"/>
  <c r="I631" i="56" s="1"/>
  <c r="H631" i="56"/>
  <c r="J631" i="56"/>
  <c r="K631" i="56"/>
  <c r="C632" i="56"/>
  <c r="D632" i="56" s="1"/>
  <c r="E632" i="56"/>
  <c r="F632" i="56" s="1"/>
  <c r="G632" i="56"/>
  <c r="I632" i="56" s="1"/>
  <c r="H632" i="56"/>
  <c r="J632" i="56"/>
  <c r="K632" i="56"/>
  <c r="C633" i="56"/>
  <c r="D633" i="56" s="1"/>
  <c r="E633" i="56"/>
  <c r="F633" i="56" s="1"/>
  <c r="G633" i="56"/>
  <c r="I633" i="56" s="1"/>
  <c r="H633" i="56"/>
  <c r="J633" i="56"/>
  <c r="K633" i="56"/>
  <c r="C634" i="56"/>
  <c r="D634" i="56" s="1"/>
  <c r="E634" i="56"/>
  <c r="F634" i="56" s="1"/>
  <c r="G634" i="56"/>
  <c r="I634" i="56" s="1"/>
  <c r="H634" i="56"/>
  <c r="J634" i="56"/>
  <c r="K634" i="56"/>
  <c r="C635" i="56"/>
  <c r="D635" i="56" s="1"/>
  <c r="E635" i="56"/>
  <c r="F635" i="56" s="1"/>
  <c r="G635" i="56"/>
  <c r="I635" i="56" s="1"/>
  <c r="H635" i="56"/>
  <c r="J635" i="56"/>
  <c r="K635" i="56"/>
  <c r="C636" i="56"/>
  <c r="D636" i="56" s="1"/>
  <c r="E636" i="56"/>
  <c r="F636" i="56" s="1"/>
  <c r="G636" i="56"/>
  <c r="I636" i="56" s="1"/>
  <c r="H636" i="56"/>
  <c r="J636" i="56"/>
  <c r="K636" i="56"/>
  <c r="C637" i="56"/>
  <c r="D637" i="56" s="1"/>
  <c r="E637" i="56"/>
  <c r="F637" i="56" s="1"/>
  <c r="G637" i="56"/>
  <c r="I637" i="56" s="1"/>
  <c r="H637" i="56"/>
  <c r="J637" i="56"/>
  <c r="K637" i="56"/>
  <c r="C638" i="56"/>
  <c r="D638" i="56" s="1"/>
  <c r="E638" i="56"/>
  <c r="F638" i="56" s="1"/>
  <c r="G638" i="56"/>
  <c r="I638" i="56" s="1"/>
  <c r="H638" i="56"/>
  <c r="J638" i="56"/>
  <c r="K638" i="56"/>
  <c r="C639" i="56"/>
  <c r="D639" i="56" s="1"/>
  <c r="E639" i="56"/>
  <c r="F639" i="56" s="1"/>
  <c r="G639" i="56"/>
  <c r="I639" i="56" s="1"/>
  <c r="H639" i="56"/>
  <c r="J639" i="56"/>
  <c r="K639" i="56"/>
  <c r="C640" i="56"/>
  <c r="D640" i="56" s="1"/>
  <c r="E640" i="56"/>
  <c r="F640" i="56" s="1"/>
  <c r="G640" i="56"/>
  <c r="I640" i="56" s="1"/>
  <c r="H640" i="56"/>
  <c r="J640" i="56"/>
  <c r="K640" i="56"/>
  <c r="C646" i="56"/>
  <c r="D646" i="56" s="1"/>
  <c r="E646" i="56"/>
  <c r="F646" i="56" s="1"/>
  <c r="G646" i="56"/>
  <c r="I646" i="56" s="1"/>
  <c r="H646" i="56"/>
  <c r="J646" i="56"/>
  <c r="K646" i="56"/>
  <c r="C647" i="56"/>
  <c r="D647" i="56" s="1"/>
  <c r="E647" i="56"/>
  <c r="F647" i="56" s="1"/>
  <c r="G647" i="56"/>
  <c r="I647" i="56" s="1"/>
  <c r="H647" i="56"/>
  <c r="J647" i="56"/>
  <c r="K647" i="56"/>
  <c r="C648" i="56"/>
  <c r="D648" i="56" s="1"/>
  <c r="E648" i="56"/>
  <c r="F648" i="56" s="1"/>
  <c r="G648" i="56"/>
  <c r="I648" i="56" s="1"/>
  <c r="H648" i="56"/>
  <c r="J648" i="56"/>
  <c r="K648" i="56"/>
  <c r="C649" i="56"/>
  <c r="D649" i="56" s="1"/>
  <c r="E649" i="56"/>
  <c r="F649" i="56" s="1"/>
  <c r="G649" i="56"/>
  <c r="I649" i="56" s="1"/>
  <c r="H649" i="56"/>
  <c r="J649" i="56"/>
  <c r="K649" i="56"/>
  <c r="C650" i="56"/>
  <c r="D650" i="56" s="1"/>
  <c r="E650" i="56"/>
  <c r="F650" i="56" s="1"/>
  <c r="G650" i="56"/>
  <c r="I650" i="56" s="1"/>
  <c r="H650" i="56"/>
  <c r="J650" i="56"/>
  <c r="K650" i="56"/>
  <c r="C651" i="56"/>
  <c r="D651" i="56" s="1"/>
  <c r="E651" i="56"/>
  <c r="F651" i="56" s="1"/>
  <c r="G651" i="56"/>
  <c r="I651" i="56" s="1"/>
  <c r="H651" i="56"/>
  <c r="J651" i="56"/>
  <c r="K651" i="56"/>
  <c r="C652" i="56"/>
  <c r="D652" i="56" s="1"/>
  <c r="E652" i="56"/>
  <c r="F652" i="56" s="1"/>
  <c r="G652" i="56"/>
  <c r="I652" i="56" s="1"/>
  <c r="H652" i="56"/>
  <c r="J652" i="56"/>
  <c r="K652" i="56"/>
  <c r="C653" i="56"/>
  <c r="D653" i="56" s="1"/>
  <c r="E653" i="56"/>
  <c r="F653" i="56" s="1"/>
  <c r="G653" i="56"/>
  <c r="I653" i="56" s="1"/>
  <c r="H653" i="56"/>
  <c r="J653" i="56"/>
  <c r="K653" i="56"/>
  <c r="C654" i="56"/>
  <c r="D654" i="56" s="1"/>
  <c r="E654" i="56"/>
  <c r="F654" i="56" s="1"/>
  <c r="G654" i="56"/>
  <c r="I654" i="56" s="1"/>
  <c r="H654" i="56"/>
  <c r="J654" i="56"/>
  <c r="K654" i="56"/>
  <c r="C655" i="56"/>
  <c r="D655" i="56" s="1"/>
  <c r="E655" i="56"/>
  <c r="F655" i="56" s="1"/>
  <c r="G655" i="56"/>
  <c r="I655" i="56" s="1"/>
  <c r="H655" i="56"/>
  <c r="J655" i="56"/>
  <c r="K655" i="56"/>
  <c r="C656" i="56"/>
  <c r="D656" i="56" s="1"/>
  <c r="E656" i="56"/>
  <c r="F656" i="56" s="1"/>
  <c r="G656" i="56"/>
  <c r="I656" i="56" s="1"/>
  <c r="H656" i="56"/>
  <c r="J656" i="56"/>
  <c r="K656" i="56"/>
  <c r="C657" i="56"/>
  <c r="D657" i="56" s="1"/>
  <c r="E657" i="56"/>
  <c r="F657" i="56" s="1"/>
  <c r="G657" i="56"/>
  <c r="I657" i="56" s="1"/>
  <c r="H657" i="56"/>
  <c r="J657" i="56"/>
  <c r="K657" i="56"/>
  <c r="C658" i="56"/>
  <c r="D658" i="56" s="1"/>
  <c r="E658" i="56"/>
  <c r="F658" i="56" s="1"/>
  <c r="G658" i="56"/>
  <c r="I658" i="56" s="1"/>
  <c r="H658" i="56"/>
  <c r="J658" i="56"/>
  <c r="K658" i="56"/>
  <c r="C659" i="56"/>
  <c r="D659" i="56" s="1"/>
  <c r="E659" i="56"/>
  <c r="F659" i="56" s="1"/>
  <c r="G659" i="56"/>
  <c r="I659" i="56" s="1"/>
  <c r="H659" i="56"/>
  <c r="J659" i="56"/>
  <c r="K659" i="56"/>
  <c r="C660" i="56"/>
  <c r="D660" i="56" s="1"/>
  <c r="E660" i="56"/>
  <c r="F660" i="56" s="1"/>
  <c r="G660" i="56"/>
  <c r="I660" i="56" s="1"/>
  <c r="H660" i="56"/>
  <c r="J660" i="56"/>
  <c r="K660" i="56"/>
  <c r="C661" i="56"/>
  <c r="D661" i="56" s="1"/>
  <c r="E661" i="56"/>
  <c r="F661" i="56" s="1"/>
  <c r="G661" i="56"/>
  <c r="I661" i="56" s="1"/>
  <c r="H661" i="56"/>
  <c r="J661" i="56"/>
  <c r="K661" i="56"/>
  <c r="C662" i="56"/>
  <c r="D662" i="56" s="1"/>
  <c r="E662" i="56"/>
  <c r="F662" i="56" s="1"/>
  <c r="G662" i="56"/>
  <c r="I662" i="56" s="1"/>
  <c r="H662" i="56"/>
  <c r="J662" i="56"/>
  <c r="K662" i="56"/>
  <c r="C663" i="56"/>
  <c r="D663" i="56" s="1"/>
  <c r="E663" i="56"/>
  <c r="F663" i="56" s="1"/>
  <c r="G663" i="56"/>
  <c r="I663" i="56" s="1"/>
  <c r="H663" i="56"/>
  <c r="J663" i="56"/>
  <c r="K663" i="56"/>
  <c r="C664" i="56"/>
  <c r="D664" i="56" s="1"/>
  <c r="E664" i="56"/>
  <c r="F664" i="56" s="1"/>
  <c r="G664" i="56"/>
  <c r="I664" i="56" s="1"/>
  <c r="H664" i="56"/>
  <c r="J664" i="56"/>
  <c r="K664" i="56"/>
  <c r="C665" i="56"/>
  <c r="D665" i="56" s="1"/>
  <c r="E665" i="56"/>
  <c r="F665" i="56" s="1"/>
  <c r="G665" i="56"/>
  <c r="I665" i="56" s="1"/>
  <c r="H665" i="56"/>
  <c r="J665" i="56"/>
  <c r="K665" i="56"/>
  <c r="C666" i="56"/>
  <c r="D666" i="56" s="1"/>
  <c r="E666" i="56"/>
  <c r="F666" i="56" s="1"/>
  <c r="G666" i="56"/>
  <c r="I666" i="56" s="1"/>
  <c r="H666" i="56"/>
  <c r="J666" i="56"/>
  <c r="K666" i="56"/>
  <c r="C667" i="56"/>
  <c r="D667" i="56" s="1"/>
  <c r="E667" i="56"/>
  <c r="F667" i="56" s="1"/>
  <c r="G667" i="56"/>
  <c r="I667" i="56" s="1"/>
  <c r="H667" i="56"/>
  <c r="J667" i="56"/>
  <c r="K667" i="56"/>
  <c r="C668" i="56"/>
  <c r="D668" i="56" s="1"/>
  <c r="E668" i="56"/>
  <c r="F668" i="56" s="1"/>
  <c r="G668" i="56"/>
  <c r="I668" i="56" s="1"/>
  <c r="H668" i="56"/>
  <c r="J668" i="56"/>
  <c r="K668" i="56"/>
  <c r="C669" i="56"/>
  <c r="D669" i="56" s="1"/>
  <c r="E669" i="56"/>
  <c r="F669" i="56" s="1"/>
  <c r="G669" i="56"/>
  <c r="I669" i="56" s="1"/>
  <c r="H669" i="56"/>
  <c r="J669" i="56"/>
  <c r="K669" i="56"/>
  <c r="C670" i="56"/>
  <c r="D670" i="56" s="1"/>
  <c r="E670" i="56"/>
  <c r="F670" i="56" s="1"/>
  <c r="G670" i="56"/>
  <c r="I670" i="56" s="1"/>
  <c r="H670" i="56"/>
  <c r="J670" i="56"/>
  <c r="K670" i="56"/>
  <c r="C671" i="56"/>
  <c r="D671" i="56" s="1"/>
  <c r="E671" i="56"/>
  <c r="F671" i="56" s="1"/>
  <c r="G671" i="56"/>
  <c r="I671" i="56" s="1"/>
  <c r="H671" i="56"/>
  <c r="J671" i="56"/>
  <c r="K671" i="56"/>
  <c r="C672" i="56"/>
  <c r="D672" i="56" s="1"/>
  <c r="E672" i="56"/>
  <c r="F672" i="56" s="1"/>
  <c r="G672" i="56"/>
  <c r="I672" i="56" s="1"/>
  <c r="H672" i="56"/>
  <c r="J672" i="56"/>
  <c r="K672" i="56"/>
  <c r="C673" i="56"/>
  <c r="D673" i="56" s="1"/>
  <c r="E673" i="56"/>
  <c r="F673" i="56" s="1"/>
  <c r="G673" i="56"/>
  <c r="I673" i="56" s="1"/>
  <c r="H673" i="56"/>
  <c r="J673" i="56"/>
  <c r="K673" i="56"/>
  <c r="C674" i="56"/>
  <c r="D674" i="56" s="1"/>
  <c r="E674" i="56"/>
  <c r="F674" i="56" s="1"/>
  <c r="G674" i="56"/>
  <c r="I674" i="56" s="1"/>
  <c r="H674" i="56"/>
  <c r="J674" i="56"/>
  <c r="K674" i="56"/>
  <c r="C675" i="56"/>
  <c r="D675" i="56" s="1"/>
  <c r="E675" i="56"/>
  <c r="F675" i="56" s="1"/>
  <c r="G675" i="56"/>
  <c r="I675" i="56" s="1"/>
  <c r="H675" i="56"/>
  <c r="J675" i="56"/>
  <c r="K675" i="56"/>
  <c r="C676" i="56"/>
  <c r="D676" i="56" s="1"/>
  <c r="E676" i="56"/>
  <c r="F676" i="56" s="1"/>
  <c r="G676" i="56"/>
  <c r="I676" i="56" s="1"/>
  <c r="H676" i="56"/>
  <c r="J676" i="56"/>
  <c r="K676" i="56"/>
  <c r="C677" i="56"/>
  <c r="D677" i="56" s="1"/>
  <c r="E677" i="56"/>
  <c r="F677" i="56" s="1"/>
  <c r="G677" i="56"/>
  <c r="I677" i="56" s="1"/>
  <c r="H677" i="56"/>
  <c r="J677" i="56"/>
  <c r="K677" i="56"/>
  <c r="C678" i="56"/>
  <c r="D678" i="56" s="1"/>
  <c r="E678" i="56"/>
  <c r="F678" i="56" s="1"/>
  <c r="G678" i="56"/>
  <c r="I678" i="56" s="1"/>
  <c r="H678" i="56"/>
  <c r="J678" i="56"/>
  <c r="K678" i="56"/>
  <c r="C679" i="56"/>
  <c r="D679" i="56" s="1"/>
  <c r="E679" i="56"/>
  <c r="F679" i="56" s="1"/>
  <c r="G679" i="56"/>
  <c r="I679" i="56" s="1"/>
  <c r="H679" i="56"/>
  <c r="J679" i="56"/>
  <c r="K679" i="56"/>
  <c r="C680" i="56"/>
  <c r="D680" i="56" s="1"/>
  <c r="E680" i="56"/>
  <c r="F680" i="56" s="1"/>
  <c r="G680" i="56"/>
  <c r="I680" i="56" s="1"/>
  <c r="H680" i="56"/>
  <c r="J680" i="56"/>
  <c r="K680" i="56"/>
  <c r="C681" i="56"/>
  <c r="D681" i="56" s="1"/>
  <c r="E681" i="56"/>
  <c r="F681" i="56" s="1"/>
  <c r="G681" i="56"/>
  <c r="I681" i="56" s="1"/>
  <c r="H681" i="56"/>
  <c r="J681" i="56"/>
  <c r="K681" i="56"/>
  <c r="C682" i="56"/>
  <c r="D682" i="56" s="1"/>
  <c r="E682" i="56"/>
  <c r="F682" i="56" s="1"/>
  <c r="G682" i="56"/>
  <c r="I682" i="56" s="1"/>
  <c r="H682" i="56"/>
  <c r="J682" i="56"/>
  <c r="K682" i="56"/>
  <c r="C683" i="56"/>
  <c r="D683" i="56" s="1"/>
  <c r="E683" i="56"/>
  <c r="F683" i="56" s="1"/>
  <c r="G683" i="56"/>
  <c r="I683" i="56" s="1"/>
  <c r="H683" i="56"/>
  <c r="J683" i="56"/>
  <c r="K683" i="56"/>
  <c r="C684" i="56"/>
  <c r="D684" i="56" s="1"/>
  <c r="E684" i="56"/>
  <c r="F684" i="56" s="1"/>
  <c r="G684" i="56"/>
  <c r="I684" i="56" s="1"/>
  <c r="H684" i="56"/>
  <c r="J684" i="56"/>
  <c r="K684" i="56"/>
  <c r="C685" i="56"/>
  <c r="D685" i="56" s="1"/>
  <c r="E685" i="56"/>
  <c r="F685" i="56" s="1"/>
  <c r="G685" i="56"/>
  <c r="I685" i="56" s="1"/>
  <c r="H685" i="56"/>
  <c r="J685" i="56"/>
  <c r="K685" i="56"/>
  <c r="C686" i="56"/>
  <c r="D686" i="56" s="1"/>
  <c r="E686" i="56"/>
  <c r="F686" i="56" s="1"/>
  <c r="G686" i="56"/>
  <c r="I686" i="56" s="1"/>
  <c r="H686" i="56"/>
  <c r="J686" i="56"/>
  <c r="K686" i="56"/>
  <c r="C687" i="56"/>
  <c r="D687" i="56" s="1"/>
  <c r="E687" i="56"/>
  <c r="F687" i="56" s="1"/>
  <c r="G687" i="56"/>
  <c r="I687" i="56" s="1"/>
  <c r="H687" i="56"/>
  <c r="J687" i="56"/>
  <c r="K687" i="56"/>
  <c r="C688" i="56"/>
  <c r="D688" i="56" s="1"/>
  <c r="E688" i="56"/>
  <c r="F688" i="56" s="1"/>
  <c r="G688" i="56"/>
  <c r="I688" i="56" s="1"/>
  <c r="H688" i="56"/>
  <c r="J688" i="56"/>
  <c r="K688" i="56"/>
  <c r="C689" i="56"/>
  <c r="D689" i="56" s="1"/>
  <c r="E689" i="56"/>
  <c r="F689" i="56" s="1"/>
  <c r="G689" i="56"/>
  <c r="I689" i="56" s="1"/>
  <c r="H689" i="56"/>
  <c r="J689" i="56"/>
  <c r="K689" i="56"/>
  <c r="C690" i="56"/>
  <c r="D690" i="56" s="1"/>
  <c r="E690" i="56"/>
  <c r="F690" i="56" s="1"/>
  <c r="G690" i="56"/>
  <c r="I690" i="56" s="1"/>
  <c r="H690" i="56"/>
  <c r="J690" i="56"/>
  <c r="K690" i="56"/>
  <c r="C691" i="56"/>
  <c r="D691" i="56" s="1"/>
  <c r="E691" i="56"/>
  <c r="F691" i="56" s="1"/>
  <c r="G691" i="56"/>
  <c r="I691" i="56" s="1"/>
  <c r="H691" i="56"/>
  <c r="J691" i="56"/>
  <c r="K691" i="56"/>
  <c r="C692" i="56"/>
  <c r="D692" i="56" s="1"/>
  <c r="E692" i="56"/>
  <c r="F692" i="56" s="1"/>
  <c r="G692" i="56"/>
  <c r="I692" i="56" s="1"/>
  <c r="H692" i="56"/>
  <c r="J692" i="56"/>
  <c r="K692" i="56"/>
  <c r="C693" i="56"/>
  <c r="D693" i="56" s="1"/>
  <c r="E693" i="56"/>
  <c r="F693" i="56" s="1"/>
  <c r="G693" i="56"/>
  <c r="I693" i="56" s="1"/>
  <c r="H693" i="56"/>
  <c r="J693" i="56"/>
  <c r="K693" i="56"/>
  <c r="C694" i="56"/>
  <c r="D694" i="56" s="1"/>
  <c r="E694" i="56"/>
  <c r="F694" i="56" s="1"/>
  <c r="G694" i="56"/>
  <c r="I694" i="56" s="1"/>
  <c r="H694" i="56"/>
  <c r="J694" i="56"/>
  <c r="K694" i="56"/>
  <c r="C695" i="56"/>
  <c r="D695" i="56" s="1"/>
  <c r="E695" i="56"/>
  <c r="F695" i="56" s="1"/>
  <c r="G695" i="56"/>
  <c r="I695" i="56" s="1"/>
  <c r="H695" i="56"/>
  <c r="J695" i="56"/>
  <c r="K695" i="56"/>
  <c r="C696" i="56"/>
  <c r="D696" i="56" s="1"/>
  <c r="E696" i="56"/>
  <c r="F696" i="56" s="1"/>
  <c r="G696" i="56"/>
  <c r="I696" i="56" s="1"/>
  <c r="H696" i="56"/>
  <c r="J696" i="56"/>
  <c r="K696" i="56"/>
  <c r="C697" i="56"/>
  <c r="D697" i="56" s="1"/>
  <c r="E697" i="56"/>
  <c r="F697" i="56" s="1"/>
  <c r="G697" i="56"/>
  <c r="I697" i="56" s="1"/>
  <c r="H697" i="56"/>
  <c r="J697" i="56"/>
  <c r="K697" i="56"/>
  <c r="C698" i="56"/>
  <c r="D698" i="56" s="1"/>
  <c r="E698" i="56"/>
  <c r="F698" i="56" s="1"/>
  <c r="G698" i="56"/>
  <c r="I698" i="56" s="1"/>
  <c r="H698" i="56"/>
  <c r="J698" i="56"/>
  <c r="K698" i="56"/>
  <c r="C699" i="56"/>
  <c r="D699" i="56" s="1"/>
  <c r="E699" i="56"/>
  <c r="F699" i="56" s="1"/>
  <c r="G699" i="56"/>
  <c r="I699" i="56" s="1"/>
  <c r="H699" i="56"/>
  <c r="J699" i="56"/>
  <c r="K699" i="56"/>
  <c r="C700" i="56"/>
  <c r="D700" i="56" s="1"/>
  <c r="E700" i="56"/>
  <c r="F700" i="56" s="1"/>
  <c r="G700" i="56"/>
  <c r="I700" i="56" s="1"/>
  <c r="H700" i="56"/>
  <c r="J700" i="56"/>
  <c r="K700" i="56"/>
  <c r="C701" i="56"/>
  <c r="D701" i="56" s="1"/>
  <c r="E701" i="56"/>
  <c r="F701" i="56" s="1"/>
  <c r="G701" i="56"/>
  <c r="I701" i="56" s="1"/>
  <c r="H701" i="56"/>
  <c r="J701" i="56"/>
  <c r="K701" i="56"/>
  <c r="C702" i="56"/>
  <c r="D702" i="56" s="1"/>
  <c r="E702" i="56"/>
  <c r="F702" i="56" s="1"/>
  <c r="G702" i="56"/>
  <c r="I702" i="56" s="1"/>
  <c r="H702" i="56"/>
  <c r="J702" i="56"/>
  <c r="K702" i="56"/>
  <c r="C703" i="56"/>
  <c r="D703" i="56" s="1"/>
  <c r="E703" i="56"/>
  <c r="F703" i="56" s="1"/>
  <c r="G703" i="56"/>
  <c r="I703" i="56" s="1"/>
  <c r="H703" i="56"/>
  <c r="J703" i="56"/>
  <c r="K703" i="56"/>
  <c r="C704" i="56"/>
  <c r="D704" i="56" s="1"/>
  <c r="E704" i="56"/>
  <c r="F704" i="56" s="1"/>
  <c r="G704" i="56"/>
  <c r="I704" i="56" s="1"/>
  <c r="H704" i="56"/>
  <c r="J704" i="56"/>
  <c r="K704" i="56"/>
  <c r="C705" i="56"/>
  <c r="D705" i="56" s="1"/>
  <c r="E705" i="56"/>
  <c r="F705" i="56" s="1"/>
  <c r="G705" i="56"/>
  <c r="I705" i="56" s="1"/>
  <c r="H705" i="56"/>
  <c r="J705" i="56"/>
  <c r="K705" i="56"/>
  <c r="C706" i="56"/>
  <c r="D706" i="56" s="1"/>
  <c r="E706" i="56"/>
  <c r="F706" i="56" s="1"/>
  <c r="G706" i="56"/>
  <c r="I706" i="56" s="1"/>
  <c r="H706" i="56"/>
  <c r="J706" i="56"/>
  <c r="K706" i="56"/>
  <c r="C707" i="56"/>
  <c r="D707" i="56" s="1"/>
  <c r="E707" i="56"/>
  <c r="F707" i="56" s="1"/>
  <c r="G707" i="56"/>
  <c r="I707" i="56" s="1"/>
  <c r="H707" i="56"/>
  <c r="J707" i="56"/>
  <c r="K707" i="56"/>
  <c r="C708" i="56"/>
  <c r="D708" i="56" s="1"/>
  <c r="E708" i="56"/>
  <c r="F708" i="56" s="1"/>
  <c r="G708" i="56"/>
  <c r="I708" i="56" s="1"/>
  <c r="H708" i="56"/>
  <c r="J708" i="56"/>
  <c r="K708" i="56"/>
  <c r="C709" i="56"/>
  <c r="D709" i="56" s="1"/>
  <c r="E709" i="56"/>
  <c r="F709" i="56" s="1"/>
  <c r="G709" i="56"/>
  <c r="I709" i="56" s="1"/>
  <c r="H709" i="56"/>
  <c r="J709" i="56"/>
  <c r="K709" i="56"/>
  <c r="C710" i="56"/>
  <c r="D710" i="56" s="1"/>
  <c r="E710" i="56"/>
  <c r="F710" i="56" s="1"/>
  <c r="G710" i="56"/>
  <c r="I710" i="56" s="1"/>
  <c r="H710" i="56"/>
  <c r="J710" i="56"/>
  <c r="K710" i="56"/>
  <c r="C711" i="56"/>
  <c r="D711" i="56" s="1"/>
  <c r="E711" i="56"/>
  <c r="F711" i="56" s="1"/>
  <c r="G711" i="56"/>
  <c r="I711" i="56" s="1"/>
  <c r="H711" i="56"/>
  <c r="J711" i="56"/>
  <c r="K711" i="56"/>
  <c r="C712" i="56"/>
  <c r="D712" i="56" s="1"/>
  <c r="E712" i="56"/>
  <c r="F712" i="56" s="1"/>
  <c r="G712" i="56"/>
  <c r="I712" i="56" s="1"/>
  <c r="H712" i="56"/>
  <c r="J712" i="56"/>
  <c r="K712" i="56"/>
  <c r="C713" i="56"/>
  <c r="D713" i="56" s="1"/>
  <c r="E713" i="56"/>
  <c r="F713" i="56" s="1"/>
  <c r="G713" i="56"/>
  <c r="I713" i="56" s="1"/>
  <c r="H713" i="56"/>
  <c r="J713" i="56"/>
  <c r="K713" i="56"/>
  <c r="C714" i="56"/>
  <c r="D714" i="56" s="1"/>
  <c r="E714" i="56"/>
  <c r="F714" i="56" s="1"/>
  <c r="G714" i="56"/>
  <c r="I714" i="56" s="1"/>
  <c r="H714" i="56"/>
  <c r="J714" i="56"/>
  <c r="K714" i="56"/>
  <c r="C715" i="56"/>
  <c r="D715" i="56" s="1"/>
  <c r="E715" i="56"/>
  <c r="F715" i="56" s="1"/>
  <c r="G715" i="56"/>
  <c r="I715" i="56" s="1"/>
  <c r="H715" i="56"/>
  <c r="J715" i="56"/>
  <c r="K715" i="56"/>
  <c r="C716" i="56"/>
  <c r="D716" i="56" s="1"/>
  <c r="E716" i="56"/>
  <c r="F716" i="56" s="1"/>
  <c r="G716" i="56"/>
  <c r="I716" i="56" s="1"/>
  <c r="H716" i="56"/>
  <c r="J716" i="56"/>
  <c r="K716" i="56"/>
  <c r="C717" i="56"/>
  <c r="D717" i="56" s="1"/>
  <c r="E717" i="56"/>
  <c r="F717" i="56" s="1"/>
  <c r="G717" i="56"/>
  <c r="I717" i="56" s="1"/>
  <c r="H717" i="56"/>
  <c r="J717" i="56"/>
  <c r="K717" i="56"/>
  <c r="C718" i="56"/>
  <c r="D718" i="56" s="1"/>
  <c r="E718" i="56"/>
  <c r="F718" i="56" s="1"/>
  <c r="G718" i="56"/>
  <c r="I718" i="56" s="1"/>
  <c r="H718" i="56"/>
  <c r="J718" i="56"/>
  <c r="K718" i="56"/>
  <c r="C719" i="56"/>
  <c r="D719" i="56" s="1"/>
  <c r="E719" i="56"/>
  <c r="F719" i="56" s="1"/>
  <c r="G719" i="56"/>
  <c r="I719" i="56" s="1"/>
  <c r="H719" i="56"/>
  <c r="J719" i="56"/>
  <c r="K719" i="56"/>
  <c r="C720" i="56"/>
  <c r="D720" i="56" s="1"/>
  <c r="E720" i="56"/>
  <c r="F720" i="56" s="1"/>
  <c r="G720" i="56"/>
  <c r="I720" i="56" s="1"/>
  <c r="H720" i="56"/>
  <c r="J720" i="56"/>
  <c r="K720" i="56"/>
  <c r="C721" i="56"/>
  <c r="D721" i="56" s="1"/>
  <c r="E721" i="56"/>
  <c r="F721" i="56" s="1"/>
  <c r="G721" i="56"/>
  <c r="I721" i="56" s="1"/>
  <c r="H721" i="56"/>
  <c r="J721" i="56"/>
  <c r="K721" i="56"/>
  <c r="C722" i="56"/>
  <c r="D722" i="56" s="1"/>
  <c r="E722" i="56"/>
  <c r="F722" i="56" s="1"/>
  <c r="G722" i="56"/>
  <c r="I722" i="56" s="1"/>
  <c r="H722" i="56"/>
  <c r="J722" i="56"/>
  <c r="K722" i="56"/>
  <c r="C723" i="56"/>
  <c r="D723" i="56" s="1"/>
  <c r="E723" i="56"/>
  <c r="F723" i="56" s="1"/>
  <c r="G723" i="56"/>
  <c r="I723" i="56" s="1"/>
  <c r="H723" i="56"/>
  <c r="J723" i="56"/>
  <c r="K723" i="56"/>
  <c r="C724" i="56"/>
  <c r="D724" i="56" s="1"/>
  <c r="E724" i="56"/>
  <c r="F724" i="56" s="1"/>
  <c r="G724" i="56"/>
  <c r="I724" i="56" s="1"/>
  <c r="H724" i="56"/>
  <c r="J724" i="56"/>
  <c r="K724" i="56"/>
  <c r="C725" i="56"/>
  <c r="D725" i="56" s="1"/>
  <c r="E725" i="56"/>
  <c r="F725" i="56" s="1"/>
  <c r="G725" i="56"/>
  <c r="I725" i="56" s="1"/>
  <c r="H725" i="56"/>
  <c r="J725" i="56"/>
  <c r="K725" i="56"/>
  <c r="C726" i="56"/>
  <c r="D726" i="56" s="1"/>
  <c r="E726" i="56"/>
  <c r="F726" i="56" s="1"/>
  <c r="G726" i="56"/>
  <c r="I726" i="56" s="1"/>
  <c r="H726" i="56"/>
  <c r="J726" i="56"/>
  <c r="K726" i="56"/>
  <c r="C727" i="56"/>
  <c r="D727" i="56" s="1"/>
  <c r="E727" i="56"/>
  <c r="F727" i="56" s="1"/>
  <c r="G727" i="56"/>
  <c r="I727" i="56" s="1"/>
  <c r="H727" i="56"/>
  <c r="J727" i="56"/>
  <c r="K727" i="56"/>
  <c r="C728" i="56"/>
  <c r="D728" i="56" s="1"/>
  <c r="E728" i="56"/>
  <c r="F728" i="56" s="1"/>
  <c r="G728" i="56"/>
  <c r="I728" i="56" s="1"/>
  <c r="H728" i="56"/>
  <c r="J728" i="56"/>
  <c r="K728" i="56"/>
  <c r="C729" i="56"/>
  <c r="D729" i="56" s="1"/>
  <c r="E729" i="56"/>
  <c r="F729" i="56" s="1"/>
  <c r="G729" i="56"/>
  <c r="I729" i="56" s="1"/>
  <c r="H729" i="56"/>
  <c r="J729" i="56"/>
  <c r="K729" i="56"/>
  <c r="C730" i="56"/>
  <c r="D730" i="56" s="1"/>
  <c r="E730" i="56"/>
  <c r="F730" i="56" s="1"/>
  <c r="G730" i="56"/>
  <c r="I730" i="56" s="1"/>
  <c r="H730" i="56"/>
  <c r="J730" i="56"/>
  <c r="K730" i="56"/>
  <c r="C731" i="56"/>
  <c r="D731" i="56" s="1"/>
  <c r="E731" i="56"/>
  <c r="F731" i="56" s="1"/>
  <c r="G731" i="56"/>
  <c r="I731" i="56" s="1"/>
  <c r="H731" i="56"/>
  <c r="J731" i="56"/>
  <c r="K731" i="56"/>
  <c r="C732" i="56"/>
  <c r="D732" i="56" s="1"/>
  <c r="E732" i="56"/>
  <c r="F732" i="56" s="1"/>
  <c r="G732" i="56"/>
  <c r="I732" i="56" s="1"/>
  <c r="H732" i="56"/>
  <c r="J732" i="56"/>
  <c r="K732" i="56"/>
  <c r="C733" i="56"/>
  <c r="D733" i="56" s="1"/>
  <c r="E733" i="56"/>
  <c r="F733" i="56" s="1"/>
  <c r="G733" i="56"/>
  <c r="I733" i="56" s="1"/>
  <c r="H733" i="56"/>
  <c r="J733" i="56"/>
  <c r="K733" i="56"/>
  <c r="C734" i="56"/>
  <c r="D734" i="56" s="1"/>
  <c r="E734" i="56"/>
  <c r="F734" i="56" s="1"/>
  <c r="G734" i="56"/>
  <c r="I734" i="56" s="1"/>
  <c r="H734" i="56"/>
  <c r="J734" i="56"/>
  <c r="K734" i="56"/>
  <c r="C735" i="56"/>
  <c r="D735" i="56" s="1"/>
  <c r="E735" i="56"/>
  <c r="F735" i="56" s="1"/>
  <c r="G735" i="56"/>
  <c r="I735" i="56" s="1"/>
  <c r="H735" i="56"/>
  <c r="J735" i="56"/>
  <c r="K735" i="56"/>
  <c r="C736" i="56"/>
  <c r="D736" i="56" s="1"/>
  <c r="E736" i="56"/>
  <c r="F736" i="56" s="1"/>
  <c r="G736" i="56"/>
  <c r="I736" i="56" s="1"/>
  <c r="H736" i="56"/>
  <c r="J736" i="56"/>
  <c r="K736" i="56"/>
  <c r="C737" i="56"/>
  <c r="D737" i="56" s="1"/>
  <c r="E737" i="56"/>
  <c r="F737" i="56" s="1"/>
  <c r="G737" i="56"/>
  <c r="I737" i="56" s="1"/>
  <c r="H737" i="56"/>
  <c r="J737" i="56"/>
  <c r="K737" i="56"/>
  <c r="C738" i="56"/>
  <c r="D738" i="56" s="1"/>
  <c r="E738" i="56"/>
  <c r="F738" i="56" s="1"/>
  <c r="G738" i="56"/>
  <c r="I738" i="56" s="1"/>
  <c r="H738" i="56"/>
  <c r="J738" i="56"/>
  <c r="K738" i="56"/>
  <c r="C739" i="56"/>
  <c r="D739" i="56" s="1"/>
  <c r="E739" i="56"/>
  <c r="F739" i="56" s="1"/>
  <c r="G739" i="56"/>
  <c r="I739" i="56" s="1"/>
  <c r="H739" i="56"/>
  <c r="J739" i="56"/>
  <c r="K739" i="56"/>
  <c r="C740" i="56"/>
  <c r="D740" i="56" s="1"/>
  <c r="E740" i="56"/>
  <c r="F740" i="56" s="1"/>
  <c r="G740" i="56"/>
  <c r="I740" i="56" s="1"/>
  <c r="H740" i="56"/>
  <c r="J740" i="56"/>
  <c r="K740" i="56"/>
  <c r="C741" i="56"/>
  <c r="D741" i="56" s="1"/>
  <c r="E741" i="56"/>
  <c r="F741" i="56" s="1"/>
  <c r="G741" i="56"/>
  <c r="I741" i="56" s="1"/>
  <c r="H741" i="56"/>
  <c r="J741" i="56"/>
  <c r="K741" i="56"/>
  <c r="C742" i="56"/>
  <c r="D742" i="56" s="1"/>
  <c r="E742" i="56"/>
  <c r="F742" i="56" s="1"/>
  <c r="G742" i="56"/>
  <c r="I742" i="56" s="1"/>
  <c r="H742" i="56"/>
  <c r="J742" i="56"/>
  <c r="K742" i="56"/>
  <c r="C743" i="56"/>
  <c r="D743" i="56" s="1"/>
  <c r="E743" i="56"/>
  <c r="F743" i="56" s="1"/>
  <c r="G743" i="56"/>
  <c r="I743" i="56" s="1"/>
  <c r="H743" i="56"/>
  <c r="J743" i="56"/>
  <c r="K743" i="56"/>
  <c r="C744" i="56"/>
  <c r="D744" i="56" s="1"/>
  <c r="E744" i="56"/>
  <c r="F744" i="56" s="1"/>
  <c r="G744" i="56"/>
  <c r="I744" i="56" s="1"/>
  <c r="H744" i="56"/>
  <c r="J744" i="56"/>
  <c r="K744" i="56"/>
  <c r="C745" i="56"/>
  <c r="D745" i="56" s="1"/>
  <c r="E745" i="56"/>
  <c r="F745" i="56" s="1"/>
  <c r="G745" i="56"/>
  <c r="I745" i="56" s="1"/>
  <c r="H745" i="56"/>
  <c r="J745" i="56"/>
  <c r="K745" i="56"/>
  <c r="C746" i="56"/>
  <c r="D746" i="56" s="1"/>
  <c r="E746" i="56"/>
  <c r="F746" i="56" s="1"/>
  <c r="G746" i="56"/>
  <c r="I746" i="56" s="1"/>
  <c r="H746" i="56"/>
  <c r="J746" i="56"/>
  <c r="K746" i="56"/>
  <c r="C747" i="56"/>
  <c r="D747" i="56" s="1"/>
  <c r="E747" i="56"/>
  <c r="F747" i="56" s="1"/>
  <c r="G747" i="56"/>
  <c r="I747" i="56" s="1"/>
  <c r="H747" i="56"/>
  <c r="J747" i="56"/>
  <c r="K747" i="56"/>
  <c r="C748" i="56"/>
  <c r="D748" i="56" s="1"/>
  <c r="E748" i="56"/>
  <c r="F748" i="56" s="1"/>
  <c r="G748" i="56"/>
  <c r="I748" i="56" s="1"/>
  <c r="H748" i="56"/>
  <c r="J748" i="56"/>
  <c r="K748" i="56"/>
  <c r="C749" i="56"/>
  <c r="D749" i="56" s="1"/>
  <c r="E749" i="56"/>
  <c r="F749" i="56" s="1"/>
  <c r="G749" i="56"/>
  <c r="I749" i="56" s="1"/>
  <c r="H749" i="56"/>
  <c r="J749" i="56"/>
  <c r="K749" i="56"/>
  <c r="C750" i="56"/>
  <c r="D750" i="56" s="1"/>
  <c r="E750" i="56"/>
  <c r="F750" i="56" s="1"/>
  <c r="G750" i="56"/>
  <c r="I750" i="56" s="1"/>
  <c r="H750" i="56"/>
  <c r="J750" i="56"/>
  <c r="K750" i="56"/>
  <c r="C751" i="56"/>
  <c r="D751" i="56" s="1"/>
  <c r="E751" i="56"/>
  <c r="F751" i="56" s="1"/>
  <c r="G751" i="56"/>
  <c r="I751" i="56" s="1"/>
  <c r="H751" i="56"/>
  <c r="J751" i="56"/>
  <c r="K751" i="56"/>
  <c r="C752" i="56"/>
  <c r="D752" i="56" s="1"/>
  <c r="E752" i="56"/>
  <c r="F752" i="56" s="1"/>
  <c r="G752" i="56"/>
  <c r="I752" i="56" s="1"/>
  <c r="H752" i="56"/>
  <c r="J752" i="56"/>
  <c r="K752" i="56"/>
  <c r="C753" i="56"/>
  <c r="D753" i="56" s="1"/>
  <c r="E753" i="56"/>
  <c r="F753" i="56" s="1"/>
  <c r="G753" i="56"/>
  <c r="I753" i="56" s="1"/>
  <c r="H753" i="56"/>
  <c r="J753" i="56"/>
  <c r="K753" i="56"/>
  <c r="C754" i="56"/>
  <c r="D754" i="56" s="1"/>
  <c r="E754" i="56"/>
  <c r="F754" i="56" s="1"/>
  <c r="G754" i="56"/>
  <c r="I754" i="56" s="1"/>
  <c r="H754" i="56"/>
  <c r="J754" i="56"/>
  <c r="K754" i="56"/>
  <c r="C755" i="56"/>
  <c r="D755" i="56" s="1"/>
  <c r="E755" i="56"/>
  <c r="F755" i="56" s="1"/>
  <c r="G755" i="56"/>
  <c r="I755" i="56" s="1"/>
  <c r="H755" i="56"/>
  <c r="J755" i="56"/>
  <c r="K755" i="56"/>
  <c r="C756" i="56"/>
  <c r="D756" i="56" s="1"/>
  <c r="E756" i="56"/>
  <c r="F756" i="56" s="1"/>
  <c r="G756" i="56"/>
  <c r="I756" i="56" s="1"/>
  <c r="H756" i="56"/>
  <c r="J756" i="56"/>
  <c r="K756" i="56"/>
  <c r="C757" i="56"/>
  <c r="D757" i="56" s="1"/>
  <c r="E757" i="56"/>
  <c r="F757" i="56" s="1"/>
  <c r="G757" i="56"/>
  <c r="I757" i="56" s="1"/>
  <c r="H757" i="56"/>
  <c r="J757" i="56"/>
  <c r="K757" i="56"/>
  <c r="C758" i="56"/>
  <c r="D758" i="56" s="1"/>
  <c r="E758" i="56"/>
  <c r="F758" i="56" s="1"/>
  <c r="G758" i="56"/>
  <c r="I758" i="56" s="1"/>
  <c r="H758" i="56"/>
  <c r="J758" i="56"/>
  <c r="K758" i="56"/>
  <c r="C759" i="56"/>
  <c r="D759" i="56" s="1"/>
  <c r="E759" i="56"/>
  <c r="F759" i="56" s="1"/>
  <c r="G759" i="56"/>
  <c r="I759" i="56" s="1"/>
  <c r="H759" i="56"/>
  <c r="J759" i="56"/>
  <c r="K759" i="56"/>
  <c r="C760" i="56"/>
  <c r="D760" i="56" s="1"/>
  <c r="E760" i="56"/>
  <c r="F760" i="56" s="1"/>
  <c r="G760" i="56"/>
  <c r="I760" i="56" s="1"/>
  <c r="H760" i="56"/>
  <c r="J760" i="56"/>
  <c r="K760" i="56"/>
  <c r="C761" i="56"/>
  <c r="D761" i="56" s="1"/>
  <c r="E761" i="56"/>
  <c r="F761" i="56" s="1"/>
  <c r="G761" i="56"/>
  <c r="I761" i="56" s="1"/>
  <c r="H761" i="56"/>
  <c r="J761" i="56"/>
  <c r="K761" i="56"/>
  <c r="C762" i="56"/>
  <c r="D762" i="56" s="1"/>
  <c r="E762" i="56"/>
  <c r="F762" i="56" s="1"/>
  <c r="G762" i="56"/>
  <c r="I762" i="56" s="1"/>
  <c r="H762" i="56"/>
  <c r="J762" i="56"/>
  <c r="K762" i="56"/>
  <c r="C763" i="56"/>
  <c r="D763" i="56" s="1"/>
  <c r="E763" i="56"/>
  <c r="F763" i="56" s="1"/>
  <c r="G763" i="56"/>
  <c r="I763" i="56" s="1"/>
  <c r="H763" i="56"/>
  <c r="J763" i="56"/>
  <c r="K763" i="56"/>
  <c r="C764" i="56"/>
  <c r="D764" i="56" s="1"/>
  <c r="E764" i="56"/>
  <c r="F764" i="56" s="1"/>
  <c r="G764" i="56"/>
  <c r="I764" i="56" s="1"/>
  <c r="H764" i="56"/>
  <c r="J764" i="56"/>
  <c r="K764" i="56"/>
  <c r="C765" i="56"/>
  <c r="D765" i="56" s="1"/>
  <c r="E765" i="56"/>
  <c r="F765" i="56" s="1"/>
  <c r="G765" i="56"/>
  <c r="I765" i="56" s="1"/>
  <c r="H765" i="56"/>
  <c r="J765" i="56"/>
  <c r="K765" i="56"/>
  <c r="C766" i="56"/>
  <c r="D766" i="56" s="1"/>
  <c r="E766" i="56"/>
  <c r="F766" i="56" s="1"/>
  <c r="G766" i="56"/>
  <c r="I766" i="56" s="1"/>
  <c r="H766" i="56"/>
  <c r="J766" i="56"/>
  <c r="K766" i="56"/>
  <c r="C767" i="56"/>
  <c r="D767" i="56" s="1"/>
  <c r="E767" i="56"/>
  <c r="F767" i="56" s="1"/>
  <c r="G767" i="56"/>
  <c r="I767" i="56" s="1"/>
  <c r="H767" i="56"/>
  <c r="J767" i="56"/>
  <c r="K767" i="56"/>
  <c r="C768" i="56"/>
  <c r="D768" i="56" s="1"/>
  <c r="E768" i="56"/>
  <c r="F768" i="56" s="1"/>
  <c r="G768" i="56"/>
  <c r="I768" i="56" s="1"/>
  <c r="H768" i="56"/>
  <c r="J768" i="56"/>
  <c r="K768" i="56"/>
  <c r="C769" i="56"/>
  <c r="D769" i="56" s="1"/>
  <c r="E769" i="56"/>
  <c r="F769" i="56" s="1"/>
  <c r="G769" i="56"/>
  <c r="I769" i="56" s="1"/>
  <c r="H769" i="56"/>
  <c r="J769" i="56"/>
  <c r="K769" i="56"/>
  <c r="C770" i="56"/>
  <c r="D770" i="56" s="1"/>
  <c r="E770" i="56"/>
  <c r="F770" i="56" s="1"/>
  <c r="G770" i="56"/>
  <c r="I770" i="56" s="1"/>
  <c r="H770" i="56"/>
  <c r="J770" i="56"/>
  <c r="K770" i="56"/>
  <c r="C771" i="56"/>
  <c r="D771" i="56" s="1"/>
  <c r="E771" i="56"/>
  <c r="F771" i="56" s="1"/>
  <c r="G771" i="56"/>
  <c r="I771" i="56" s="1"/>
  <c r="H771" i="56"/>
  <c r="J771" i="56"/>
  <c r="K771" i="56"/>
  <c r="C772" i="56"/>
  <c r="D772" i="56" s="1"/>
  <c r="E772" i="56"/>
  <c r="F772" i="56" s="1"/>
  <c r="G772" i="56"/>
  <c r="I772" i="56" s="1"/>
  <c r="H772" i="56"/>
  <c r="J772" i="56"/>
  <c r="K772" i="56"/>
  <c r="C773" i="56"/>
  <c r="D773" i="56" s="1"/>
  <c r="E773" i="56"/>
  <c r="F773" i="56" s="1"/>
  <c r="G773" i="56"/>
  <c r="I773" i="56" s="1"/>
  <c r="H773" i="56"/>
  <c r="J773" i="56"/>
  <c r="K773" i="56"/>
  <c r="C774" i="56"/>
  <c r="D774" i="56" s="1"/>
  <c r="E774" i="56"/>
  <c r="F774" i="56" s="1"/>
  <c r="G774" i="56"/>
  <c r="I774" i="56" s="1"/>
  <c r="H774" i="56"/>
  <c r="J774" i="56"/>
  <c r="K774" i="56"/>
  <c r="C775" i="56"/>
  <c r="D775" i="56" s="1"/>
  <c r="E775" i="56"/>
  <c r="F775" i="56" s="1"/>
  <c r="G775" i="56"/>
  <c r="I775" i="56" s="1"/>
  <c r="H775" i="56"/>
  <c r="J775" i="56"/>
  <c r="K775" i="56"/>
  <c r="C776" i="56"/>
  <c r="D776" i="56" s="1"/>
  <c r="E776" i="56"/>
  <c r="F776" i="56" s="1"/>
  <c r="G776" i="56"/>
  <c r="I776" i="56" s="1"/>
  <c r="H776" i="56"/>
  <c r="J776" i="56"/>
  <c r="K776" i="56"/>
  <c r="C777" i="56"/>
  <c r="D777" i="56" s="1"/>
  <c r="E777" i="56"/>
  <c r="F777" i="56" s="1"/>
  <c r="G777" i="56"/>
  <c r="I777" i="56" s="1"/>
  <c r="H777" i="56"/>
  <c r="J777" i="56"/>
  <c r="K777" i="56"/>
  <c r="C778" i="56"/>
  <c r="D778" i="56" s="1"/>
  <c r="E778" i="56"/>
  <c r="F778" i="56" s="1"/>
  <c r="G778" i="56"/>
  <c r="I778" i="56" s="1"/>
  <c r="H778" i="56"/>
  <c r="J778" i="56"/>
  <c r="K778" i="56"/>
  <c r="C779" i="56"/>
  <c r="D779" i="56" s="1"/>
  <c r="E779" i="56"/>
  <c r="F779" i="56" s="1"/>
  <c r="G779" i="56"/>
  <c r="I779" i="56" s="1"/>
  <c r="H779" i="56"/>
  <c r="J779" i="56"/>
  <c r="K779" i="56"/>
  <c r="C780" i="56"/>
  <c r="D780" i="56" s="1"/>
  <c r="E780" i="56"/>
  <c r="F780" i="56" s="1"/>
  <c r="G780" i="56"/>
  <c r="I780" i="56" s="1"/>
  <c r="H780" i="56"/>
  <c r="J780" i="56"/>
  <c r="K780" i="56"/>
  <c r="C781" i="56"/>
  <c r="D781" i="56" s="1"/>
  <c r="E781" i="56"/>
  <c r="F781" i="56" s="1"/>
  <c r="G781" i="56"/>
  <c r="I781" i="56" s="1"/>
  <c r="H781" i="56"/>
  <c r="J781" i="56"/>
  <c r="K781" i="56"/>
  <c r="C782" i="56"/>
  <c r="D782" i="56" s="1"/>
  <c r="E782" i="56"/>
  <c r="F782" i="56" s="1"/>
  <c r="G782" i="56"/>
  <c r="I782" i="56" s="1"/>
  <c r="H782" i="56"/>
  <c r="J782" i="56"/>
  <c r="K782" i="56"/>
  <c r="C783" i="56"/>
  <c r="D783" i="56" s="1"/>
  <c r="E783" i="56"/>
  <c r="F783" i="56" s="1"/>
  <c r="G783" i="56"/>
  <c r="I783" i="56" s="1"/>
  <c r="H783" i="56"/>
  <c r="J783" i="56"/>
  <c r="K783" i="56"/>
  <c r="C784" i="56"/>
  <c r="D784" i="56" s="1"/>
  <c r="E784" i="56"/>
  <c r="F784" i="56" s="1"/>
  <c r="G784" i="56"/>
  <c r="I784" i="56" s="1"/>
  <c r="H784" i="56"/>
  <c r="J784" i="56"/>
  <c r="K784" i="56"/>
  <c r="C785" i="56"/>
  <c r="D785" i="56" s="1"/>
  <c r="E785" i="56"/>
  <c r="F785" i="56" s="1"/>
  <c r="G785" i="56"/>
  <c r="I785" i="56" s="1"/>
  <c r="H785" i="56"/>
  <c r="J785" i="56"/>
  <c r="K785" i="56"/>
  <c r="C786" i="56"/>
  <c r="D786" i="56" s="1"/>
  <c r="E786" i="56"/>
  <c r="F786" i="56" s="1"/>
  <c r="G786" i="56"/>
  <c r="I786" i="56" s="1"/>
  <c r="H786" i="56"/>
  <c r="J786" i="56"/>
  <c r="K786" i="56"/>
  <c r="C787" i="56"/>
  <c r="D787" i="56" s="1"/>
  <c r="E787" i="56"/>
  <c r="F787" i="56" s="1"/>
  <c r="G787" i="56"/>
  <c r="I787" i="56" s="1"/>
  <c r="H787" i="56"/>
  <c r="J787" i="56"/>
  <c r="K787" i="56"/>
  <c r="C788" i="56"/>
  <c r="D788" i="56" s="1"/>
  <c r="E788" i="56"/>
  <c r="F788" i="56" s="1"/>
  <c r="G788" i="56"/>
  <c r="I788" i="56" s="1"/>
  <c r="H788" i="56"/>
  <c r="J788" i="56"/>
  <c r="K788" i="56"/>
  <c r="C789" i="56"/>
  <c r="D789" i="56" s="1"/>
  <c r="E789" i="56"/>
  <c r="F789" i="56" s="1"/>
  <c r="G789" i="56"/>
  <c r="I789" i="56" s="1"/>
  <c r="H789" i="56"/>
  <c r="J789" i="56"/>
  <c r="K789" i="56"/>
  <c r="C790" i="56"/>
  <c r="D790" i="56" s="1"/>
  <c r="E790" i="56"/>
  <c r="F790" i="56" s="1"/>
  <c r="G790" i="56"/>
  <c r="I790" i="56" s="1"/>
  <c r="H790" i="56"/>
  <c r="J790" i="56"/>
  <c r="K790" i="56"/>
  <c r="C791" i="56"/>
  <c r="D791" i="56" s="1"/>
  <c r="E791" i="56"/>
  <c r="F791" i="56" s="1"/>
  <c r="G791" i="56"/>
  <c r="I791" i="56" s="1"/>
  <c r="H791" i="56"/>
  <c r="J791" i="56"/>
  <c r="K791" i="56"/>
  <c r="C792" i="56"/>
  <c r="D792" i="56" s="1"/>
  <c r="E792" i="56"/>
  <c r="F792" i="56" s="1"/>
  <c r="G792" i="56"/>
  <c r="I792" i="56" s="1"/>
  <c r="H792" i="56"/>
  <c r="J792" i="56"/>
  <c r="K792" i="56"/>
  <c r="C793" i="56"/>
  <c r="D793" i="56" s="1"/>
  <c r="E793" i="56"/>
  <c r="F793" i="56" s="1"/>
  <c r="G793" i="56"/>
  <c r="I793" i="56" s="1"/>
  <c r="H793" i="56"/>
  <c r="J793" i="56"/>
  <c r="K793" i="56"/>
  <c r="C794" i="56"/>
  <c r="D794" i="56" s="1"/>
  <c r="E794" i="56"/>
  <c r="F794" i="56" s="1"/>
  <c r="G794" i="56"/>
  <c r="I794" i="56" s="1"/>
  <c r="H794" i="56"/>
  <c r="J794" i="56"/>
  <c r="K794" i="56"/>
  <c r="C795" i="56"/>
  <c r="D795" i="56" s="1"/>
  <c r="E795" i="56"/>
  <c r="F795" i="56" s="1"/>
  <c r="G795" i="56"/>
  <c r="I795" i="56" s="1"/>
  <c r="H795" i="56"/>
  <c r="J795" i="56"/>
  <c r="K795" i="56"/>
  <c r="L795" i="56"/>
  <c r="C796" i="56"/>
  <c r="D796" i="56" s="1"/>
  <c r="E796" i="56"/>
  <c r="F796" i="56" s="1"/>
  <c r="G796" i="56"/>
  <c r="I796" i="56" s="1"/>
  <c r="H796" i="56"/>
  <c r="J796" i="56"/>
  <c r="K796" i="56"/>
  <c r="C797" i="56"/>
  <c r="D797" i="56" s="1"/>
  <c r="E797" i="56"/>
  <c r="F797" i="56" s="1"/>
  <c r="G797" i="56"/>
  <c r="I797" i="56" s="1"/>
  <c r="H797" i="56"/>
  <c r="J797" i="56"/>
  <c r="K797" i="56"/>
  <c r="C798" i="56"/>
  <c r="D798" i="56" s="1"/>
  <c r="E798" i="56"/>
  <c r="F798" i="56" s="1"/>
  <c r="G798" i="56"/>
  <c r="I798" i="56" s="1"/>
  <c r="H798" i="56"/>
  <c r="J798" i="56"/>
  <c r="K798" i="56"/>
  <c r="C799" i="56"/>
  <c r="D799" i="56" s="1"/>
  <c r="E799" i="56"/>
  <c r="F799" i="56" s="1"/>
  <c r="G799" i="56"/>
  <c r="I799" i="56" s="1"/>
  <c r="H799" i="56"/>
  <c r="J799" i="56"/>
  <c r="K799" i="56"/>
  <c r="C800" i="56"/>
  <c r="D800" i="56" s="1"/>
  <c r="E800" i="56"/>
  <c r="F800" i="56" s="1"/>
  <c r="G800" i="56"/>
  <c r="I800" i="56" s="1"/>
  <c r="H800" i="56"/>
  <c r="J800" i="56"/>
  <c r="K800" i="56"/>
  <c r="L800" i="56" s="1"/>
  <c r="C801" i="56"/>
  <c r="D801" i="56" s="1"/>
  <c r="E801" i="56"/>
  <c r="F801" i="56" s="1"/>
  <c r="G801" i="56"/>
  <c r="I801" i="56" s="1"/>
  <c r="H801" i="56"/>
  <c r="J801" i="56"/>
  <c r="K801" i="56"/>
  <c r="C802" i="56"/>
  <c r="D802" i="56" s="1"/>
  <c r="E802" i="56"/>
  <c r="F802" i="56" s="1"/>
  <c r="G802" i="56"/>
  <c r="I802" i="56" s="1"/>
  <c r="H802" i="56"/>
  <c r="J802" i="56"/>
  <c r="K802" i="56"/>
  <c r="C803" i="56"/>
  <c r="D803" i="56" s="1"/>
  <c r="E803" i="56"/>
  <c r="F803" i="56" s="1"/>
  <c r="G803" i="56"/>
  <c r="I803" i="56" s="1"/>
  <c r="H803" i="56"/>
  <c r="J803" i="56"/>
  <c r="K803" i="56"/>
  <c r="C804" i="56"/>
  <c r="D804" i="56" s="1"/>
  <c r="E804" i="56"/>
  <c r="F804" i="56" s="1"/>
  <c r="G804" i="56"/>
  <c r="I804" i="56" s="1"/>
  <c r="H804" i="56"/>
  <c r="J804" i="56"/>
  <c r="K804" i="56"/>
  <c r="C805" i="56"/>
  <c r="D805" i="56" s="1"/>
  <c r="E805" i="56"/>
  <c r="F805" i="56" s="1"/>
  <c r="G805" i="56"/>
  <c r="I805" i="56" s="1"/>
  <c r="H805" i="56"/>
  <c r="J805" i="56"/>
  <c r="K805" i="56"/>
  <c r="C806" i="56"/>
  <c r="D806" i="56" s="1"/>
  <c r="E806" i="56"/>
  <c r="F806" i="56" s="1"/>
  <c r="G806" i="56"/>
  <c r="I806" i="56" s="1"/>
  <c r="H806" i="56"/>
  <c r="J806" i="56"/>
  <c r="K806" i="56"/>
  <c r="C807" i="56"/>
  <c r="D807" i="56" s="1"/>
  <c r="E807" i="56"/>
  <c r="F807" i="56" s="1"/>
  <c r="G807" i="56"/>
  <c r="I807" i="56" s="1"/>
  <c r="H807" i="56"/>
  <c r="J807" i="56"/>
  <c r="K807" i="56"/>
  <c r="C808" i="56"/>
  <c r="D808" i="56" s="1"/>
  <c r="E808" i="56"/>
  <c r="F808" i="56" s="1"/>
  <c r="G808" i="56"/>
  <c r="I808" i="56" s="1"/>
  <c r="H808" i="56"/>
  <c r="J808" i="56"/>
  <c r="K808" i="56"/>
  <c r="C809" i="56"/>
  <c r="D809" i="56" s="1"/>
  <c r="E809" i="56"/>
  <c r="F809" i="56" s="1"/>
  <c r="G809" i="56"/>
  <c r="I809" i="56" s="1"/>
  <c r="H809" i="56"/>
  <c r="J809" i="56"/>
  <c r="K809" i="56"/>
  <c r="C810" i="56"/>
  <c r="D810" i="56" s="1"/>
  <c r="E810" i="56"/>
  <c r="F810" i="56" s="1"/>
  <c r="G810" i="56"/>
  <c r="I810" i="56" s="1"/>
  <c r="H810" i="56"/>
  <c r="J810" i="56"/>
  <c r="K810" i="56"/>
  <c r="C811" i="56"/>
  <c r="D811" i="56" s="1"/>
  <c r="E811" i="56"/>
  <c r="F811" i="56" s="1"/>
  <c r="G811" i="56"/>
  <c r="I811" i="56" s="1"/>
  <c r="H811" i="56"/>
  <c r="J811" i="56"/>
  <c r="K811" i="56"/>
  <c r="C812" i="56"/>
  <c r="D812" i="56" s="1"/>
  <c r="E812" i="56"/>
  <c r="F812" i="56" s="1"/>
  <c r="G812" i="56"/>
  <c r="I812" i="56" s="1"/>
  <c r="H812" i="56"/>
  <c r="J812" i="56"/>
  <c r="K812" i="56"/>
  <c r="C813" i="56"/>
  <c r="D813" i="56" s="1"/>
  <c r="E813" i="56"/>
  <c r="F813" i="56" s="1"/>
  <c r="G813" i="56"/>
  <c r="I813" i="56" s="1"/>
  <c r="H813" i="56"/>
  <c r="J813" i="56"/>
  <c r="K813" i="56"/>
  <c r="C814" i="56"/>
  <c r="D814" i="56" s="1"/>
  <c r="E814" i="56"/>
  <c r="F814" i="56" s="1"/>
  <c r="G814" i="56"/>
  <c r="I814" i="56" s="1"/>
  <c r="H814" i="56"/>
  <c r="J814" i="56"/>
  <c r="K814" i="56"/>
  <c r="C815" i="56"/>
  <c r="D815" i="56" s="1"/>
  <c r="E815" i="56"/>
  <c r="F815" i="56" s="1"/>
  <c r="G815" i="56"/>
  <c r="I815" i="56" s="1"/>
  <c r="H815" i="56"/>
  <c r="J815" i="56"/>
  <c r="K815" i="56"/>
  <c r="C816" i="56"/>
  <c r="D816" i="56" s="1"/>
  <c r="E816" i="56"/>
  <c r="F816" i="56" s="1"/>
  <c r="G816" i="56"/>
  <c r="I816" i="56" s="1"/>
  <c r="H816" i="56"/>
  <c r="J816" i="56"/>
  <c r="K816" i="56"/>
  <c r="C817" i="56"/>
  <c r="D817" i="56" s="1"/>
  <c r="E817" i="56"/>
  <c r="F817" i="56" s="1"/>
  <c r="G817" i="56"/>
  <c r="I817" i="56" s="1"/>
  <c r="H817" i="56"/>
  <c r="J817" i="56"/>
  <c r="K817" i="56"/>
  <c r="C818" i="56"/>
  <c r="D818" i="56" s="1"/>
  <c r="E818" i="56"/>
  <c r="F818" i="56" s="1"/>
  <c r="G818" i="56"/>
  <c r="I818" i="56" s="1"/>
  <c r="H818" i="56"/>
  <c r="J818" i="56"/>
  <c r="K818" i="56"/>
  <c r="C819" i="56"/>
  <c r="D819" i="56" s="1"/>
  <c r="E819" i="56"/>
  <c r="F819" i="56" s="1"/>
  <c r="G819" i="56"/>
  <c r="I819" i="56" s="1"/>
  <c r="H819" i="56"/>
  <c r="J819" i="56"/>
  <c r="K819" i="56"/>
  <c r="C820" i="56"/>
  <c r="D820" i="56" s="1"/>
  <c r="E820" i="56"/>
  <c r="F820" i="56" s="1"/>
  <c r="G820" i="56"/>
  <c r="I820" i="56" s="1"/>
  <c r="H820" i="56"/>
  <c r="J820" i="56"/>
  <c r="K820" i="56"/>
  <c r="C821" i="56"/>
  <c r="D821" i="56" s="1"/>
  <c r="E821" i="56"/>
  <c r="F821" i="56" s="1"/>
  <c r="G821" i="56"/>
  <c r="I821" i="56" s="1"/>
  <c r="H821" i="56"/>
  <c r="J821" i="56"/>
  <c r="K821" i="56"/>
  <c r="C822" i="56"/>
  <c r="D822" i="56" s="1"/>
  <c r="E822" i="56"/>
  <c r="F822" i="56" s="1"/>
  <c r="G822" i="56"/>
  <c r="I822" i="56" s="1"/>
  <c r="H822" i="56"/>
  <c r="J822" i="56"/>
  <c r="K822" i="56"/>
  <c r="C823" i="56"/>
  <c r="D823" i="56" s="1"/>
  <c r="E823" i="56"/>
  <c r="F823" i="56" s="1"/>
  <c r="G823" i="56"/>
  <c r="I823" i="56" s="1"/>
  <c r="H823" i="56"/>
  <c r="J823" i="56"/>
  <c r="K823" i="56"/>
  <c r="C824" i="56"/>
  <c r="D824" i="56" s="1"/>
  <c r="E824" i="56"/>
  <c r="F824" i="56" s="1"/>
  <c r="G824" i="56"/>
  <c r="I824" i="56" s="1"/>
  <c r="H824" i="56"/>
  <c r="J824" i="56"/>
  <c r="K824" i="56"/>
  <c r="C825" i="56"/>
  <c r="D825" i="56" s="1"/>
  <c r="E825" i="56"/>
  <c r="F825" i="56" s="1"/>
  <c r="G825" i="56"/>
  <c r="I825" i="56" s="1"/>
  <c r="H825" i="56"/>
  <c r="J825" i="56"/>
  <c r="K825" i="56"/>
  <c r="C826" i="56"/>
  <c r="D826" i="56" s="1"/>
  <c r="E826" i="56"/>
  <c r="F826" i="56" s="1"/>
  <c r="G826" i="56"/>
  <c r="I826" i="56" s="1"/>
  <c r="H826" i="56"/>
  <c r="J826" i="56"/>
  <c r="K826" i="56"/>
  <c r="C827" i="56"/>
  <c r="D827" i="56" s="1"/>
  <c r="E827" i="56"/>
  <c r="F827" i="56" s="1"/>
  <c r="G827" i="56"/>
  <c r="I827" i="56" s="1"/>
  <c r="H827" i="56"/>
  <c r="J827" i="56"/>
  <c r="K827" i="56"/>
  <c r="C828" i="56"/>
  <c r="D828" i="56" s="1"/>
  <c r="E828" i="56"/>
  <c r="F828" i="56" s="1"/>
  <c r="G828" i="56"/>
  <c r="I828" i="56" s="1"/>
  <c r="H828" i="56"/>
  <c r="J828" i="56"/>
  <c r="K828" i="56"/>
  <c r="C829" i="56"/>
  <c r="D829" i="56" s="1"/>
  <c r="E829" i="56"/>
  <c r="F829" i="56" s="1"/>
  <c r="G829" i="56"/>
  <c r="I829" i="56" s="1"/>
  <c r="H829" i="56"/>
  <c r="J829" i="56"/>
  <c r="K829" i="56"/>
  <c r="C830" i="56"/>
  <c r="D830" i="56" s="1"/>
  <c r="E830" i="56"/>
  <c r="F830" i="56" s="1"/>
  <c r="G830" i="56"/>
  <c r="I830" i="56" s="1"/>
  <c r="H830" i="56"/>
  <c r="J830" i="56"/>
  <c r="K830" i="56"/>
  <c r="C831" i="56"/>
  <c r="D831" i="56" s="1"/>
  <c r="E831" i="56"/>
  <c r="F831" i="56" s="1"/>
  <c r="G831" i="56"/>
  <c r="I831" i="56" s="1"/>
  <c r="H831" i="56"/>
  <c r="J831" i="56"/>
  <c r="K831" i="56"/>
  <c r="C832" i="56"/>
  <c r="D832" i="56" s="1"/>
  <c r="E832" i="56"/>
  <c r="F832" i="56" s="1"/>
  <c r="G832" i="56"/>
  <c r="I832" i="56" s="1"/>
  <c r="H832" i="56"/>
  <c r="J832" i="56"/>
  <c r="K832" i="56"/>
  <c r="C833" i="56"/>
  <c r="D833" i="56" s="1"/>
  <c r="E833" i="56"/>
  <c r="F833" i="56" s="1"/>
  <c r="G833" i="56"/>
  <c r="I833" i="56" s="1"/>
  <c r="H833" i="56"/>
  <c r="J833" i="56"/>
  <c r="K833" i="56"/>
  <c r="C834" i="56"/>
  <c r="D834" i="56" s="1"/>
  <c r="E834" i="56"/>
  <c r="F834" i="56" s="1"/>
  <c r="G834" i="56"/>
  <c r="I834" i="56" s="1"/>
  <c r="H834" i="56"/>
  <c r="J834" i="56"/>
  <c r="K834" i="56"/>
  <c r="C835" i="56"/>
  <c r="D835" i="56" s="1"/>
  <c r="E835" i="56"/>
  <c r="F835" i="56" s="1"/>
  <c r="G835" i="56"/>
  <c r="I835" i="56" s="1"/>
  <c r="H835" i="56"/>
  <c r="J835" i="56"/>
  <c r="K835" i="56"/>
  <c r="C836" i="56"/>
  <c r="D836" i="56" s="1"/>
  <c r="E836" i="56"/>
  <c r="F836" i="56" s="1"/>
  <c r="G836" i="56"/>
  <c r="I836" i="56" s="1"/>
  <c r="H836" i="56"/>
  <c r="J836" i="56"/>
  <c r="K836" i="56"/>
  <c r="C837" i="56"/>
  <c r="D837" i="56" s="1"/>
  <c r="E837" i="56"/>
  <c r="F837" i="56" s="1"/>
  <c r="G837" i="56"/>
  <c r="I837" i="56" s="1"/>
  <c r="H837" i="56"/>
  <c r="J837" i="56"/>
  <c r="K837" i="56"/>
  <c r="C838" i="56"/>
  <c r="D838" i="56" s="1"/>
  <c r="E838" i="56"/>
  <c r="F838" i="56" s="1"/>
  <c r="G838" i="56"/>
  <c r="I838" i="56" s="1"/>
  <c r="H838" i="56"/>
  <c r="J838" i="56"/>
  <c r="K838" i="56"/>
  <c r="C839" i="56"/>
  <c r="D839" i="56" s="1"/>
  <c r="E839" i="56"/>
  <c r="F839" i="56" s="1"/>
  <c r="G839" i="56"/>
  <c r="I839" i="56" s="1"/>
  <c r="H839" i="56"/>
  <c r="J839" i="56"/>
  <c r="K839" i="56"/>
  <c r="C840" i="56"/>
  <c r="D840" i="56" s="1"/>
  <c r="E840" i="56"/>
  <c r="F840" i="56" s="1"/>
  <c r="G840" i="56"/>
  <c r="I840" i="56" s="1"/>
  <c r="H840" i="56"/>
  <c r="J840" i="56"/>
  <c r="K840" i="56"/>
  <c r="C841" i="56"/>
  <c r="D841" i="56" s="1"/>
  <c r="E841" i="56"/>
  <c r="F841" i="56" s="1"/>
  <c r="G841" i="56"/>
  <c r="I841" i="56" s="1"/>
  <c r="H841" i="56"/>
  <c r="J841" i="56"/>
  <c r="K841" i="56"/>
  <c r="C842" i="56"/>
  <c r="D842" i="56" s="1"/>
  <c r="E842" i="56"/>
  <c r="F842" i="56" s="1"/>
  <c r="G842" i="56"/>
  <c r="I842" i="56" s="1"/>
  <c r="H842" i="56"/>
  <c r="J842" i="56"/>
  <c r="K842" i="56"/>
  <c r="C843" i="56"/>
  <c r="D843" i="56" s="1"/>
  <c r="E843" i="56"/>
  <c r="F843" i="56" s="1"/>
  <c r="G843" i="56"/>
  <c r="I843" i="56" s="1"/>
  <c r="H843" i="56"/>
  <c r="J843" i="56"/>
  <c r="K843" i="56"/>
  <c r="C844" i="56"/>
  <c r="D844" i="56" s="1"/>
  <c r="E844" i="56"/>
  <c r="F844" i="56" s="1"/>
  <c r="G844" i="56"/>
  <c r="I844" i="56" s="1"/>
  <c r="H844" i="56"/>
  <c r="J844" i="56"/>
  <c r="K844" i="56"/>
  <c r="C845" i="56"/>
  <c r="D845" i="56" s="1"/>
  <c r="E845" i="56"/>
  <c r="F845" i="56" s="1"/>
  <c r="G845" i="56"/>
  <c r="I845" i="56" s="1"/>
  <c r="H845" i="56"/>
  <c r="J845" i="56"/>
  <c r="K845" i="56"/>
  <c r="C846" i="56"/>
  <c r="D846" i="56" s="1"/>
  <c r="E846" i="56"/>
  <c r="F846" i="56" s="1"/>
  <c r="G846" i="56"/>
  <c r="I846" i="56" s="1"/>
  <c r="H846" i="56"/>
  <c r="J846" i="56"/>
  <c r="K846" i="56"/>
  <c r="C847" i="56"/>
  <c r="D847" i="56" s="1"/>
  <c r="E847" i="56"/>
  <c r="F847" i="56" s="1"/>
  <c r="G847" i="56"/>
  <c r="I847" i="56" s="1"/>
  <c r="H847" i="56"/>
  <c r="J847" i="56"/>
  <c r="K847" i="56"/>
  <c r="C848" i="56"/>
  <c r="D848" i="56" s="1"/>
  <c r="E848" i="56"/>
  <c r="F848" i="56" s="1"/>
  <c r="G848" i="56"/>
  <c r="I848" i="56" s="1"/>
  <c r="H848" i="56"/>
  <c r="J848" i="56"/>
  <c r="K848" i="56"/>
  <c r="C849" i="56"/>
  <c r="D849" i="56" s="1"/>
  <c r="E849" i="56"/>
  <c r="F849" i="56" s="1"/>
  <c r="G849" i="56"/>
  <c r="I849" i="56" s="1"/>
  <c r="H849" i="56"/>
  <c r="J849" i="56"/>
  <c r="K849" i="56"/>
  <c r="C850" i="56"/>
  <c r="D850" i="56" s="1"/>
  <c r="E850" i="56"/>
  <c r="F850" i="56" s="1"/>
  <c r="G850" i="56"/>
  <c r="I850" i="56" s="1"/>
  <c r="H850" i="56"/>
  <c r="J850" i="56"/>
  <c r="K850" i="56"/>
  <c r="C851" i="56"/>
  <c r="D851" i="56" s="1"/>
  <c r="E851" i="56"/>
  <c r="F851" i="56" s="1"/>
  <c r="G851" i="56"/>
  <c r="I851" i="56" s="1"/>
  <c r="H851" i="56"/>
  <c r="J851" i="56"/>
  <c r="K851" i="56"/>
  <c r="C852" i="56"/>
  <c r="D852" i="56" s="1"/>
  <c r="E852" i="56"/>
  <c r="F852" i="56" s="1"/>
  <c r="G852" i="56"/>
  <c r="I852" i="56" s="1"/>
  <c r="H852" i="56"/>
  <c r="J852" i="56"/>
  <c r="K852" i="56"/>
  <c r="C853" i="56"/>
  <c r="D853" i="56" s="1"/>
  <c r="E853" i="56"/>
  <c r="F853" i="56" s="1"/>
  <c r="G853" i="56"/>
  <c r="I853" i="56" s="1"/>
  <c r="H853" i="56"/>
  <c r="J853" i="56"/>
  <c r="K853" i="56"/>
  <c r="C854" i="56"/>
  <c r="D854" i="56" s="1"/>
  <c r="E854" i="56"/>
  <c r="F854" i="56" s="1"/>
  <c r="G854" i="56"/>
  <c r="I854" i="56" s="1"/>
  <c r="H854" i="56"/>
  <c r="J854" i="56"/>
  <c r="K854" i="56"/>
  <c r="C855" i="56"/>
  <c r="D855" i="56" s="1"/>
  <c r="E855" i="56"/>
  <c r="F855" i="56" s="1"/>
  <c r="G855" i="56"/>
  <c r="I855" i="56" s="1"/>
  <c r="H855" i="56"/>
  <c r="J855" i="56"/>
  <c r="K855" i="56"/>
  <c r="C856" i="56"/>
  <c r="D856" i="56" s="1"/>
  <c r="E856" i="56"/>
  <c r="F856" i="56" s="1"/>
  <c r="G856" i="56"/>
  <c r="I856" i="56" s="1"/>
  <c r="H856" i="56"/>
  <c r="J856" i="56"/>
  <c r="K856" i="56"/>
  <c r="C857" i="56"/>
  <c r="D857" i="56" s="1"/>
  <c r="E857" i="56"/>
  <c r="F857" i="56" s="1"/>
  <c r="G857" i="56"/>
  <c r="I857" i="56" s="1"/>
  <c r="H857" i="56"/>
  <c r="J857" i="56"/>
  <c r="K857" i="56"/>
  <c r="C858" i="56"/>
  <c r="D858" i="56" s="1"/>
  <c r="E858" i="56"/>
  <c r="F858" i="56" s="1"/>
  <c r="G858" i="56"/>
  <c r="I858" i="56" s="1"/>
  <c r="H858" i="56"/>
  <c r="J858" i="56"/>
  <c r="K858" i="56"/>
  <c r="C859" i="56"/>
  <c r="D859" i="56" s="1"/>
  <c r="E859" i="56"/>
  <c r="F859" i="56" s="1"/>
  <c r="G859" i="56"/>
  <c r="I859" i="56" s="1"/>
  <c r="H859" i="56"/>
  <c r="J859" i="56"/>
  <c r="K859" i="56"/>
  <c r="C860" i="56"/>
  <c r="D860" i="56" s="1"/>
  <c r="E860" i="56"/>
  <c r="F860" i="56" s="1"/>
  <c r="G860" i="56"/>
  <c r="I860" i="56" s="1"/>
  <c r="H860" i="56"/>
  <c r="J860" i="56"/>
  <c r="K860" i="56"/>
  <c r="C861" i="56"/>
  <c r="D861" i="56" s="1"/>
  <c r="E861" i="56"/>
  <c r="F861" i="56" s="1"/>
  <c r="G861" i="56"/>
  <c r="I861" i="56" s="1"/>
  <c r="H861" i="56"/>
  <c r="J861" i="56"/>
  <c r="K861" i="56"/>
  <c r="C862" i="56"/>
  <c r="D862" i="56" s="1"/>
  <c r="E862" i="56"/>
  <c r="F862" i="56" s="1"/>
  <c r="G862" i="56"/>
  <c r="I862" i="56" s="1"/>
  <c r="H862" i="56"/>
  <c r="J862" i="56"/>
  <c r="K862" i="56"/>
  <c r="C863" i="56"/>
  <c r="D863" i="56" s="1"/>
  <c r="E863" i="56"/>
  <c r="F863" i="56" s="1"/>
  <c r="G863" i="56"/>
  <c r="I863" i="56" s="1"/>
  <c r="H863" i="56"/>
  <c r="J863" i="56"/>
  <c r="K863" i="56"/>
  <c r="C864" i="56"/>
  <c r="D864" i="56" s="1"/>
  <c r="E864" i="56"/>
  <c r="F864" i="56" s="1"/>
  <c r="G864" i="56"/>
  <c r="I864" i="56" s="1"/>
  <c r="H864" i="56"/>
  <c r="J864" i="56"/>
  <c r="K864" i="56"/>
  <c r="C865" i="56"/>
  <c r="D865" i="56" s="1"/>
  <c r="E865" i="56"/>
  <c r="F865" i="56" s="1"/>
  <c r="G865" i="56"/>
  <c r="I865" i="56" s="1"/>
  <c r="H865" i="56"/>
  <c r="J865" i="56"/>
  <c r="K865" i="56"/>
  <c r="C866" i="56"/>
  <c r="D866" i="56" s="1"/>
  <c r="E866" i="56"/>
  <c r="F866" i="56" s="1"/>
  <c r="G866" i="56"/>
  <c r="I866" i="56" s="1"/>
  <c r="H866" i="56"/>
  <c r="J866" i="56"/>
  <c r="K866" i="56"/>
  <c r="C867" i="56"/>
  <c r="D867" i="56" s="1"/>
  <c r="E867" i="56"/>
  <c r="F867" i="56" s="1"/>
  <c r="G867" i="56"/>
  <c r="I867" i="56" s="1"/>
  <c r="H867" i="56"/>
  <c r="J867" i="56"/>
  <c r="K867" i="56"/>
  <c r="C868" i="56"/>
  <c r="D868" i="56" s="1"/>
  <c r="E868" i="56"/>
  <c r="F868" i="56" s="1"/>
  <c r="G868" i="56"/>
  <c r="I868" i="56" s="1"/>
  <c r="H868" i="56"/>
  <c r="J868" i="56"/>
  <c r="K868" i="56"/>
  <c r="C869" i="56"/>
  <c r="D869" i="56" s="1"/>
  <c r="E869" i="56"/>
  <c r="F869" i="56" s="1"/>
  <c r="G869" i="56"/>
  <c r="I869" i="56" s="1"/>
  <c r="H869" i="56"/>
  <c r="J869" i="56"/>
  <c r="K869" i="56"/>
  <c r="C870" i="56"/>
  <c r="D870" i="56" s="1"/>
  <c r="E870" i="56"/>
  <c r="F870" i="56" s="1"/>
  <c r="G870" i="56"/>
  <c r="I870" i="56" s="1"/>
  <c r="H870" i="56"/>
  <c r="J870" i="56"/>
  <c r="K870" i="56"/>
  <c r="C871" i="56"/>
  <c r="D871" i="56" s="1"/>
  <c r="E871" i="56"/>
  <c r="F871" i="56" s="1"/>
  <c r="G871" i="56"/>
  <c r="I871" i="56" s="1"/>
  <c r="H871" i="56"/>
  <c r="J871" i="56"/>
  <c r="K871" i="56"/>
  <c r="C872" i="56"/>
  <c r="D872" i="56" s="1"/>
  <c r="E872" i="56"/>
  <c r="F872" i="56" s="1"/>
  <c r="G872" i="56"/>
  <c r="I872" i="56" s="1"/>
  <c r="H872" i="56"/>
  <c r="J872" i="56"/>
  <c r="K872" i="56"/>
  <c r="C873" i="56"/>
  <c r="D873" i="56" s="1"/>
  <c r="E873" i="56"/>
  <c r="F873" i="56" s="1"/>
  <c r="G873" i="56"/>
  <c r="I873" i="56" s="1"/>
  <c r="H873" i="56"/>
  <c r="J873" i="56"/>
  <c r="K873" i="56"/>
  <c r="C874" i="56"/>
  <c r="D874" i="56" s="1"/>
  <c r="E874" i="56"/>
  <c r="F874" i="56" s="1"/>
  <c r="G874" i="56"/>
  <c r="I874" i="56" s="1"/>
  <c r="H874" i="56"/>
  <c r="J874" i="56"/>
  <c r="K874" i="56"/>
  <c r="C875" i="56"/>
  <c r="D875" i="56" s="1"/>
  <c r="E875" i="56"/>
  <c r="F875" i="56" s="1"/>
  <c r="G875" i="56"/>
  <c r="I875" i="56" s="1"/>
  <c r="H875" i="56"/>
  <c r="J875" i="56"/>
  <c r="K875" i="56"/>
  <c r="C876" i="56"/>
  <c r="D876" i="56" s="1"/>
  <c r="E876" i="56"/>
  <c r="F876" i="56" s="1"/>
  <c r="G876" i="56"/>
  <c r="I876" i="56" s="1"/>
  <c r="H876" i="56"/>
  <c r="J876" i="56"/>
  <c r="K876" i="56"/>
  <c r="C877" i="56"/>
  <c r="D877" i="56" s="1"/>
  <c r="E877" i="56"/>
  <c r="F877" i="56" s="1"/>
  <c r="G877" i="56"/>
  <c r="I877" i="56" s="1"/>
  <c r="H877" i="56"/>
  <c r="J877" i="56"/>
  <c r="K877" i="56"/>
  <c r="C878" i="56"/>
  <c r="D878" i="56" s="1"/>
  <c r="E878" i="56"/>
  <c r="F878" i="56" s="1"/>
  <c r="G878" i="56"/>
  <c r="I878" i="56" s="1"/>
  <c r="H878" i="56"/>
  <c r="J878" i="56"/>
  <c r="K878" i="56"/>
  <c r="C879" i="56"/>
  <c r="D879" i="56" s="1"/>
  <c r="E879" i="56"/>
  <c r="F879" i="56" s="1"/>
  <c r="G879" i="56"/>
  <c r="I879" i="56" s="1"/>
  <c r="H879" i="56"/>
  <c r="J879" i="56"/>
  <c r="K879" i="56"/>
  <c r="C880" i="56"/>
  <c r="D880" i="56" s="1"/>
  <c r="E880" i="56"/>
  <c r="F880" i="56" s="1"/>
  <c r="G880" i="56"/>
  <c r="I880" i="56" s="1"/>
  <c r="H880" i="56"/>
  <c r="J880" i="56"/>
  <c r="K880" i="56"/>
  <c r="C881" i="56"/>
  <c r="D881" i="56" s="1"/>
  <c r="E881" i="56"/>
  <c r="F881" i="56" s="1"/>
  <c r="G881" i="56"/>
  <c r="I881" i="56" s="1"/>
  <c r="H881" i="56"/>
  <c r="J881" i="56"/>
  <c r="K881" i="56"/>
  <c r="C882" i="56"/>
  <c r="D882" i="56" s="1"/>
  <c r="E882" i="56"/>
  <c r="F882" i="56" s="1"/>
  <c r="G882" i="56"/>
  <c r="I882" i="56" s="1"/>
  <c r="H882" i="56"/>
  <c r="J882" i="56"/>
  <c r="K882" i="56"/>
  <c r="C883" i="56"/>
  <c r="D883" i="56" s="1"/>
  <c r="E883" i="56"/>
  <c r="F883" i="56" s="1"/>
  <c r="G883" i="56"/>
  <c r="I883" i="56" s="1"/>
  <c r="H883" i="56"/>
  <c r="J883" i="56"/>
  <c r="K883" i="56"/>
  <c r="C884" i="56"/>
  <c r="D884" i="56" s="1"/>
  <c r="E884" i="56"/>
  <c r="F884" i="56" s="1"/>
  <c r="G884" i="56"/>
  <c r="I884" i="56" s="1"/>
  <c r="H884" i="56"/>
  <c r="J884" i="56"/>
  <c r="K884" i="56"/>
  <c r="C885" i="56"/>
  <c r="D885" i="56" s="1"/>
  <c r="E885" i="56"/>
  <c r="F885" i="56" s="1"/>
  <c r="G885" i="56"/>
  <c r="I885" i="56" s="1"/>
  <c r="H885" i="56"/>
  <c r="J885" i="56"/>
  <c r="K885" i="56"/>
  <c r="C886" i="56"/>
  <c r="D886" i="56" s="1"/>
  <c r="E886" i="56"/>
  <c r="F886" i="56" s="1"/>
  <c r="G886" i="56"/>
  <c r="I886" i="56" s="1"/>
  <c r="H886" i="56"/>
  <c r="J886" i="56"/>
  <c r="K886" i="56"/>
  <c r="C887" i="56"/>
  <c r="D887" i="56" s="1"/>
  <c r="E887" i="56"/>
  <c r="F887" i="56" s="1"/>
  <c r="G887" i="56"/>
  <c r="I887" i="56" s="1"/>
  <c r="H887" i="56"/>
  <c r="J887" i="56"/>
  <c r="K887" i="56"/>
  <c r="C888" i="56"/>
  <c r="D888" i="56" s="1"/>
  <c r="E888" i="56"/>
  <c r="F888" i="56" s="1"/>
  <c r="G888" i="56"/>
  <c r="I888" i="56" s="1"/>
  <c r="H888" i="56"/>
  <c r="J888" i="56"/>
  <c r="K888" i="56"/>
  <c r="C889" i="56"/>
  <c r="D889" i="56" s="1"/>
  <c r="E889" i="56"/>
  <c r="F889" i="56" s="1"/>
  <c r="G889" i="56"/>
  <c r="I889" i="56" s="1"/>
  <c r="H889" i="56"/>
  <c r="J889" i="56"/>
  <c r="K889" i="56"/>
  <c r="C890" i="56"/>
  <c r="D890" i="56" s="1"/>
  <c r="E890" i="56"/>
  <c r="F890" i="56" s="1"/>
  <c r="G890" i="56"/>
  <c r="I890" i="56" s="1"/>
  <c r="H890" i="56"/>
  <c r="J890" i="56"/>
  <c r="K890" i="56"/>
  <c r="C891" i="56"/>
  <c r="D891" i="56" s="1"/>
  <c r="E891" i="56"/>
  <c r="F891" i="56" s="1"/>
  <c r="G891" i="56"/>
  <c r="I891" i="56" s="1"/>
  <c r="H891" i="56"/>
  <c r="J891" i="56"/>
  <c r="K891" i="56"/>
  <c r="C892" i="56"/>
  <c r="D892" i="56" s="1"/>
  <c r="E892" i="56"/>
  <c r="F892" i="56" s="1"/>
  <c r="G892" i="56"/>
  <c r="I892" i="56" s="1"/>
  <c r="H892" i="56"/>
  <c r="J892" i="56"/>
  <c r="K892" i="56"/>
  <c r="C893" i="56"/>
  <c r="D893" i="56" s="1"/>
  <c r="E893" i="56"/>
  <c r="F893" i="56" s="1"/>
  <c r="G893" i="56"/>
  <c r="I893" i="56" s="1"/>
  <c r="H893" i="56"/>
  <c r="J893" i="56"/>
  <c r="K893" i="56"/>
  <c r="C894" i="56"/>
  <c r="D894" i="56" s="1"/>
  <c r="E894" i="56"/>
  <c r="F894" i="56" s="1"/>
  <c r="G894" i="56"/>
  <c r="I894" i="56" s="1"/>
  <c r="H894" i="56"/>
  <c r="J894" i="56"/>
  <c r="K894" i="56"/>
  <c r="C895" i="56"/>
  <c r="D895" i="56" s="1"/>
  <c r="E895" i="56"/>
  <c r="F895" i="56" s="1"/>
  <c r="G895" i="56"/>
  <c r="I895" i="56" s="1"/>
  <c r="H895" i="56"/>
  <c r="J895" i="56"/>
  <c r="K895" i="56"/>
  <c r="C896" i="56"/>
  <c r="D896" i="56" s="1"/>
  <c r="E896" i="56"/>
  <c r="F896" i="56" s="1"/>
  <c r="G896" i="56"/>
  <c r="I896" i="56" s="1"/>
  <c r="H896" i="56"/>
  <c r="J896" i="56"/>
  <c r="K896" i="56"/>
  <c r="C897" i="56"/>
  <c r="D897" i="56" s="1"/>
  <c r="E897" i="56"/>
  <c r="F897" i="56" s="1"/>
  <c r="G897" i="56"/>
  <c r="I897" i="56" s="1"/>
  <c r="H897" i="56"/>
  <c r="J897" i="56"/>
  <c r="K897" i="56"/>
  <c r="C898" i="56"/>
  <c r="D898" i="56" s="1"/>
  <c r="E898" i="56"/>
  <c r="F898" i="56" s="1"/>
  <c r="G898" i="56"/>
  <c r="I898" i="56" s="1"/>
  <c r="H898" i="56"/>
  <c r="J898" i="56"/>
  <c r="K898" i="56"/>
  <c r="C899" i="56"/>
  <c r="D899" i="56" s="1"/>
  <c r="E899" i="56"/>
  <c r="F899" i="56" s="1"/>
  <c r="G899" i="56"/>
  <c r="I899" i="56" s="1"/>
  <c r="H899" i="56"/>
  <c r="J899" i="56"/>
  <c r="K899" i="56"/>
  <c r="C900" i="56"/>
  <c r="D900" i="56" s="1"/>
  <c r="E900" i="56"/>
  <c r="F900" i="56" s="1"/>
  <c r="G900" i="56"/>
  <c r="I900" i="56" s="1"/>
  <c r="H900" i="56"/>
  <c r="J900" i="56"/>
  <c r="K900" i="56"/>
  <c r="C901" i="56"/>
  <c r="D901" i="56" s="1"/>
  <c r="E901" i="56"/>
  <c r="F901" i="56" s="1"/>
  <c r="G901" i="56"/>
  <c r="I901" i="56" s="1"/>
  <c r="H901" i="56"/>
  <c r="J901" i="56"/>
  <c r="K901" i="56"/>
  <c r="C902" i="56"/>
  <c r="D902" i="56" s="1"/>
  <c r="E902" i="56"/>
  <c r="F902" i="56" s="1"/>
  <c r="G902" i="56"/>
  <c r="I902" i="56" s="1"/>
  <c r="H902" i="56"/>
  <c r="J902" i="56"/>
  <c r="K902" i="56"/>
  <c r="C903" i="56"/>
  <c r="D903" i="56" s="1"/>
  <c r="E903" i="56"/>
  <c r="F903" i="56" s="1"/>
  <c r="G903" i="56"/>
  <c r="I903" i="56" s="1"/>
  <c r="H903" i="56"/>
  <c r="J903" i="56"/>
  <c r="K903" i="56"/>
  <c r="C904" i="56"/>
  <c r="D904" i="56" s="1"/>
  <c r="E904" i="56"/>
  <c r="F904" i="56" s="1"/>
  <c r="G904" i="56"/>
  <c r="I904" i="56" s="1"/>
  <c r="H904" i="56"/>
  <c r="J904" i="56"/>
  <c r="K904" i="56"/>
  <c r="C905" i="56"/>
  <c r="D905" i="56" s="1"/>
  <c r="E905" i="56"/>
  <c r="F905" i="56" s="1"/>
  <c r="G905" i="56"/>
  <c r="I905" i="56" s="1"/>
  <c r="H905" i="56"/>
  <c r="J905" i="56"/>
  <c r="K905" i="56"/>
  <c r="C906" i="56"/>
  <c r="D906" i="56" s="1"/>
  <c r="E906" i="56"/>
  <c r="F906" i="56" s="1"/>
  <c r="G906" i="56"/>
  <c r="I906" i="56" s="1"/>
  <c r="H906" i="56"/>
  <c r="J906" i="56"/>
  <c r="K906" i="56"/>
  <c r="C907" i="56"/>
  <c r="D907" i="56" s="1"/>
  <c r="E907" i="56"/>
  <c r="F907" i="56" s="1"/>
  <c r="G907" i="56"/>
  <c r="I907" i="56" s="1"/>
  <c r="H907" i="56"/>
  <c r="J907" i="56"/>
  <c r="K907" i="56"/>
  <c r="C908" i="56"/>
  <c r="D908" i="56" s="1"/>
  <c r="E908" i="56"/>
  <c r="F908" i="56" s="1"/>
  <c r="G908" i="56"/>
  <c r="I908" i="56" s="1"/>
  <c r="H908" i="56"/>
  <c r="J908" i="56"/>
  <c r="K908" i="56"/>
  <c r="C909" i="56"/>
  <c r="D909" i="56" s="1"/>
  <c r="E909" i="56"/>
  <c r="F909" i="56" s="1"/>
  <c r="G909" i="56"/>
  <c r="I909" i="56" s="1"/>
  <c r="H909" i="56"/>
  <c r="J909" i="56"/>
  <c r="K909" i="56"/>
  <c r="C910" i="56"/>
  <c r="D910" i="56" s="1"/>
  <c r="E910" i="56"/>
  <c r="F910" i="56" s="1"/>
  <c r="G910" i="56"/>
  <c r="I910" i="56" s="1"/>
  <c r="H910" i="56"/>
  <c r="J910" i="56"/>
  <c r="K910" i="56"/>
  <c r="C911" i="56"/>
  <c r="D911" i="56" s="1"/>
  <c r="E911" i="56"/>
  <c r="F911" i="56" s="1"/>
  <c r="G911" i="56"/>
  <c r="I911" i="56" s="1"/>
  <c r="H911" i="56"/>
  <c r="J911" i="56"/>
  <c r="K911" i="56"/>
  <c r="C912" i="56"/>
  <c r="D912" i="56" s="1"/>
  <c r="E912" i="56"/>
  <c r="F912" i="56" s="1"/>
  <c r="G912" i="56"/>
  <c r="I912" i="56" s="1"/>
  <c r="H912" i="56"/>
  <c r="J912" i="56"/>
  <c r="K912" i="56"/>
  <c r="C913" i="56"/>
  <c r="D913" i="56" s="1"/>
  <c r="E913" i="56"/>
  <c r="F913" i="56" s="1"/>
  <c r="G913" i="56"/>
  <c r="I913" i="56" s="1"/>
  <c r="H913" i="56"/>
  <c r="J913" i="56"/>
  <c r="K913" i="56"/>
  <c r="C914" i="56"/>
  <c r="D914" i="56" s="1"/>
  <c r="E914" i="56"/>
  <c r="F914" i="56" s="1"/>
  <c r="G914" i="56"/>
  <c r="I914" i="56" s="1"/>
  <c r="H914" i="56"/>
  <c r="J914" i="56"/>
  <c r="K914" i="56"/>
  <c r="C915" i="56"/>
  <c r="D915" i="56" s="1"/>
  <c r="E915" i="56"/>
  <c r="F915" i="56" s="1"/>
  <c r="G915" i="56"/>
  <c r="I915" i="56" s="1"/>
  <c r="H915" i="56"/>
  <c r="J915" i="56"/>
  <c r="K915" i="56"/>
  <c r="C916" i="56"/>
  <c r="D916" i="56" s="1"/>
  <c r="E916" i="56"/>
  <c r="F916" i="56" s="1"/>
  <c r="G916" i="56"/>
  <c r="I916" i="56" s="1"/>
  <c r="H916" i="56"/>
  <c r="J916" i="56"/>
  <c r="K916" i="56"/>
  <c r="C917" i="56"/>
  <c r="D917" i="56" s="1"/>
  <c r="E917" i="56"/>
  <c r="F917" i="56" s="1"/>
  <c r="G917" i="56"/>
  <c r="I917" i="56" s="1"/>
  <c r="H917" i="56"/>
  <c r="J917" i="56"/>
  <c r="K917" i="56"/>
  <c r="C918" i="56"/>
  <c r="D918" i="56" s="1"/>
  <c r="E918" i="56"/>
  <c r="F918" i="56" s="1"/>
  <c r="G918" i="56"/>
  <c r="I918" i="56" s="1"/>
  <c r="H918" i="56"/>
  <c r="J918" i="56"/>
  <c r="K918" i="56"/>
  <c r="C919" i="56"/>
  <c r="D919" i="56" s="1"/>
  <c r="E919" i="56"/>
  <c r="F919" i="56" s="1"/>
  <c r="G919" i="56"/>
  <c r="I919" i="56" s="1"/>
  <c r="H919" i="56"/>
  <c r="J919" i="56"/>
  <c r="K919" i="56"/>
  <c r="C920" i="56"/>
  <c r="D920" i="56" s="1"/>
  <c r="E920" i="56"/>
  <c r="F920" i="56" s="1"/>
  <c r="G920" i="56"/>
  <c r="I920" i="56" s="1"/>
  <c r="H920" i="56"/>
  <c r="J920" i="56"/>
  <c r="K920" i="56"/>
  <c r="C921" i="56"/>
  <c r="D921" i="56" s="1"/>
  <c r="E921" i="56"/>
  <c r="F921" i="56" s="1"/>
  <c r="G921" i="56"/>
  <c r="I921" i="56" s="1"/>
  <c r="H921" i="56"/>
  <c r="J921" i="56"/>
  <c r="K921" i="56"/>
  <c r="C922" i="56"/>
  <c r="D922" i="56" s="1"/>
  <c r="E922" i="56"/>
  <c r="F922" i="56" s="1"/>
  <c r="G922" i="56"/>
  <c r="I922" i="56" s="1"/>
  <c r="H922" i="56"/>
  <c r="J922" i="56"/>
  <c r="K922" i="56"/>
  <c r="C923" i="56"/>
  <c r="D923" i="56" s="1"/>
  <c r="E923" i="56"/>
  <c r="F923" i="56" s="1"/>
  <c r="G923" i="56"/>
  <c r="I923" i="56" s="1"/>
  <c r="H923" i="56"/>
  <c r="J923" i="56"/>
  <c r="K923" i="56"/>
  <c r="C924" i="56"/>
  <c r="D924" i="56" s="1"/>
  <c r="E924" i="56"/>
  <c r="F924" i="56" s="1"/>
  <c r="G924" i="56"/>
  <c r="I924" i="56" s="1"/>
  <c r="H924" i="56"/>
  <c r="J924" i="56"/>
  <c r="K924" i="56"/>
  <c r="C925" i="56"/>
  <c r="D925" i="56" s="1"/>
  <c r="E925" i="56"/>
  <c r="F925" i="56" s="1"/>
  <c r="G925" i="56"/>
  <c r="I925" i="56" s="1"/>
  <c r="H925" i="56"/>
  <c r="J925" i="56"/>
  <c r="K925" i="56"/>
  <c r="C926" i="56"/>
  <c r="D926" i="56" s="1"/>
  <c r="E926" i="56"/>
  <c r="F926" i="56" s="1"/>
  <c r="G926" i="56"/>
  <c r="I926" i="56" s="1"/>
  <c r="H926" i="56"/>
  <c r="J926" i="56"/>
  <c r="K926" i="56"/>
  <c r="C927" i="56"/>
  <c r="D927" i="56" s="1"/>
  <c r="E927" i="56"/>
  <c r="F927" i="56" s="1"/>
  <c r="G927" i="56"/>
  <c r="I927" i="56" s="1"/>
  <c r="H927" i="56"/>
  <c r="J927" i="56"/>
  <c r="K927" i="56"/>
  <c r="C928" i="56"/>
  <c r="D928" i="56" s="1"/>
  <c r="E928" i="56"/>
  <c r="F928" i="56" s="1"/>
  <c r="G928" i="56"/>
  <c r="I928" i="56" s="1"/>
  <c r="H928" i="56"/>
  <c r="J928" i="56"/>
  <c r="K928" i="56"/>
  <c r="C929" i="56"/>
  <c r="D929" i="56" s="1"/>
  <c r="E929" i="56"/>
  <c r="F929" i="56" s="1"/>
  <c r="G929" i="56"/>
  <c r="I929" i="56" s="1"/>
  <c r="H929" i="56"/>
  <c r="J929" i="56"/>
  <c r="K929" i="56"/>
  <c r="C930" i="56"/>
  <c r="D930" i="56" s="1"/>
  <c r="E930" i="56"/>
  <c r="F930" i="56" s="1"/>
  <c r="G930" i="56"/>
  <c r="I930" i="56" s="1"/>
  <c r="H930" i="56"/>
  <c r="J930" i="56"/>
  <c r="K930" i="56"/>
  <c r="C931" i="56"/>
  <c r="D931" i="56" s="1"/>
  <c r="E931" i="56"/>
  <c r="F931" i="56" s="1"/>
  <c r="G931" i="56"/>
  <c r="I931" i="56" s="1"/>
  <c r="H931" i="56"/>
  <c r="J931" i="56"/>
  <c r="K931" i="56"/>
  <c r="C932" i="56"/>
  <c r="D932" i="56" s="1"/>
  <c r="E932" i="56"/>
  <c r="F932" i="56" s="1"/>
  <c r="G932" i="56"/>
  <c r="I932" i="56" s="1"/>
  <c r="H932" i="56"/>
  <c r="J932" i="56"/>
  <c r="K932" i="56"/>
  <c r="C933" i="56"/>
  <c r="D933" i="56" s="1"/>
  <c r="E933" i="56"/>
  <c r="F933" i="56" s="1"/>
  <c r="G933" i="56"/>
  <c r="I933" i="56" s="1"/>
  <c r="H933" i="56"/>
  <c r="J933" i="56"/>
  <c r="K933" i="56"/>
  <c r="C934" i="56"/>
  <c r="D934" i="56" s="1"/>
  <c r="E934" i="56"/>
  <c r="F934" i="56" s="1"/>
  <c r="G934" i="56"/>
  <c r="I934" i="56" s="1"/>
  <c r="H934" i="56"/>
  <c r="J934" i="56"/>
  <c r="K934" i="56"/>
  <c r="C935" i="56"/>
  <c r="D935" i="56" s="1"/>
  <c r="E935" i="56"/>
  <c r="F935" i="56" s="1"/>
  <c r="G935" i="56"/>
  <c r="I935" i="56" s="1"/>
  <c r="H935" i="56"/>
  <c r="J935" i="56"/>
  <c r="K935" i="56"/>
  <c r="C936" i="56"/>
  <c r="D936" i="56" s="1"/>
  <c r="E936" i="56"/>
  <c r="F936" i="56" s="1"/>
  <c r="G936" i="56"/>
  <c r="I936" i="56" s="1"/>
  <c r="H936" i="56"/>
  <c r="J936" i="56"/>
  <c r="K936" i="56"/>
  <c r="C937" i="56"/>
  <c r="D937" i="56" s="1"/>
  <c r="E937" i="56"/>
  <c r="F937" i="56" s="1"/>
  <c r="G937" i="56"/>
  <c r="I937" i="56" s="1"/>
  <c r="H937" i="56"/>
  <c r="J937" i="56"/>
  <c r="K937" i="56"/>
  <c r="C938" i="56"/>
  <c r="D938" i="56" s="1"/>
  <c r="E938" i="56"/>
  <c r="F938" i="56" s="1"/>
  <c r="G938" i="56"/>
  <c r="I938" i="56" s="1"/>
  <c r="H938" i="56"/>
  <c r="J938" i="56"/>
  <c r="K938" i="56"/>
  <c r="C939" i="56"/>
  <c r="D939" i="56" s="1"/>
  <c r="E939" i="56"/>
  <c r="F939" i="56" s="1"/>
  <c r="G939" i="56"/>
  <c r="I939" i="56" s="1"/>
  <c r="H939" i="56"/>
  <c r="J939" i="56"/>
  <c r="K939" i="56"/>
  <c r="C940" i="56"/>
  <c r="D940" i="56" s="1"/>
  <c r="E940" i="56"/>
  <c r="F940" i="56" s="1"/>
  <c r="G940" i="56"/>
  <c r="I940" i="56" s="1"/>
  <c r="H940" i="56"/>
  <c r="J940" i="56"/>
  <c r="K940" i="56"/>
  <c r="C941" i="56"/>
  <c r="D941" i="56" s="1"/>
  <c r="E941" i="56"/>
  <c r="F941" i="56" s="1"/>
  <c r="G941" i="56"/>
  <c r="I941" i="56" s="1"/>
  <c r="H941" i="56"/>
  <c r="J941" i="56"/>
  <c r="K941" i="56"/>
  <c r="C942" i="56"/>
  <c r="D942" i="56" s="1"/>
  <c r="E942" i="56"/>
  <c r="F942" i="56" s="1"/>
  <c r="G942" i="56"/>
  <c r="I942" i="56" s="1"/>
  <c r="H942" i="56"/>
  <c r="J942" i="56"/>
  <c r="K942" i="56"/>
  <c r="C943" i="56"/>
  <c r="D943" i="56" s="1"/>
  <c r="E943" i="56"/>
  <c r="F943" i="56" s="1"/>
  <c r="G943" i="56"/>
  <c r="I943" i="56" s="1"/>
  <c r="H943" i="56"/>
  <c r="J943" i="56"/>
  <c r="K943" i="56"/>
  <c r="C944" i="56"/>
  <c r="D944" i="56" s="1"/>
  <c r="E944" i="56"/>
  <c r="F944" i="56" s="1"/>
  <c r="G944" i="56"/>
  <c r="I944" i="56" s="1"/>
  <c r="H944" i="56"/>
  <c r="J944" i="56"/>
  <c r="K944" i="56"/>
  <c r="C945" i="56"/>
  <c r="D945" i="56" s="1"/>
  <c r="E945" i="56"/>
  <c r="F945" i="56" s="1"/>
  <c r="G945" i="56"/>
  <c r="I945" i="56" s="1"/>
  <c r="H945" i="56"/>
  <c r="J945" i="56"/>
  <c r="K945" i="56"/>
  <c r="C946" i="56"/>
  <c r="D946" i="56" s="1"/>
  <c r="E946" i="56"/>
  <c r="F946" i="56" s="1"/>
  <c r="G946" i="56"/>
  <c r="I946" i="56" s="1"/>
  <c r="H946" i="56"/>
  <c r="J946" i="56"/>
  <c r="K946" i="56"/>
  <c r="C947" i="56"/>
  <c r="D947" i="56" s="1"/>
  <c r="E947" i="56"/>
  <c r="F947" i="56" s="1"/>
  <c r="G947" i="56"/>
  <c r="I947" i="56" s="1"/>
  <c r="H947" i="56"/>
  <c r="J947" i="56"/>
  <c r="K947" i="56"/>
  <c r="C948" i="56"/>
  <c r="D948" i="56" s="1"/>
  <c r="E948" i="56"/>
  <c r="F948" i="56" s="1"/>
  <c r="G948" i="56"/>
  <c r="I948" i="56" s="1"/>
  <c r="H948" i="56"/>
  <c r="J948" i="56"/>
  <c r="K948" i="56"/>
  <c r="C949" i="56"/>
  <c r="D949" i="56" s="1"/>
  <c r="E949" i="56"/>
  <c r="F949" i="56" s="1"/>
  <c r="G949" i="56"/>
  <c r="I949" i="56" s="1"/>
  <c r="H949" i="56"/>
  <c r="J949" i="56"/>
  <c r="K949" i="56"/>
  <c r="C950" i="56"/>
  <c r="D950" i="56" s="1"/>
  <c r="E950" i="56"/>
  <c r="F950" i="56" s="1"/>
  <c r="G950" i="56"/>
  <c r="I950" i="56" s="1"/>
  <c r="H950" i="56"/>
  <c r="J950" i="56"/>
  <c r="K950" i="56"/>
  <c r="C951" i="56"/>
  <c r="D951" i="56" s="1"/>
  <c r="E951" i="56"/>
  <c r="F951" i="56" s="1"/>
  <c r="G951" i="56"/>
  <c r="I951" i="56" s="1"/>
  <c r="H951" i="56"/>
  <c r="J951" i="56"/>
  <c r="K951" i="56"/>
  <c r="C952" i="56"/>
  <c r="D952" i="56" s="1"/>
  <c r="E952" i="56"/>
  <c r="F952" i="56" s="1"/>
  <c r="G952" i="56"/>
  <c r="I952" i="56" s="1"/>
  <c r="H952" i="56"/>
  <c r="J952" i="56"/>
  <c r="K952" i="56"/>
  <c r="C953" i="56"/>
  <c r="D953" i="56" s="1"/>
  <c r="E953" i="56"/>
  <c r="F953" i="56" s="1"/>
  <c r="G953" i="56"/>
  <c r="I953" i="56" s="1"/>
  <c r="H953" i="56"/>
  <c r="J953" i="56"/>
  <c r="K953" i="56"/>
  <c r="C954" i="56"/>
  <c r="D954" i="56" s="1"/>
  <c r="E954" i="56"/>
  <c r="F954" i="56" s="1"/>
  <c r="G954" i="56"/>
  <c r="I954" i="56" s="1"/>
  <c r="H954" i="56"/>
  <c r="J954" i="56"/>
  <c r="K954" i="56"/>
  <c r="C955" i="56"/>
  <c r="D955" i="56" s="1"/>
  <c r="E955" i="56"/>
  <c r="F955" i="56" s="1"/>
  <c r="G955" i="56"/>
  <c r="I955" i="56" s="1"/>
  <c r="H955" i="56"/>
  <c r="J955" i="56"/>
  <c r="K955" i="56"/>
  <c r="C956" i="56"/>
  <c r="D956" i="56" s="1"/>
  <c r="E956" i="56"/>
  <c r="F956" i="56" s="1"/>
  <c r="G956" i="56"/>
  <c r="I956" i="56" s="1"/>
  <c r="H956" i="56"/>
  <c r="J956" i="56"/>
  <c r="K956" i="56"/>
  <c r="C957" i="56"/>
  <c r="D957" i="56" s="1"/>
  <c r="E957" i="56"/>
  <c r="F957" i="56" s="1"/>
  <c r="G957" i="56"/>
  <c r="I957" i="56" s="1"/>
  <c r="H957" i="56"/>
  <c r="J957" i="56"/>
  <c r="K957" i="56"/>
  <c r="C958" i="56"/>
  <c r="D958" i="56" s="1"/>
  <c r="E958" i="56"/>
  <c r="F958" i="56" s="1"/>
  <c r="G958" i="56"/>
  <c r="I958" i="56" s="1"/>
  <c r="H958" i="56"/>
  <c r="J958" i="56"/>
  <c r="K958" i="56"/>
  <c r="C959" i="56"/>
  <c r="D959" i="56" s="1"/>
  <c r="E959" i="56"/>
  <c r="F959" i="56" s="1"/>
  <c r="G959" i="56"/>
  <c r="I959" i="56" s="1"/>
  <c r="H959" i="56"/>
  <c r="J959" i="56"/>
  <c r="K959" i="56"/>
  <c r="C960" i="56"/>
  <c r="D960" i="56" s="1"/>
  <c r="E960" i="56"/>
  <c r="F960" i="56" s="1"/>
  <c r="G960" i="56"/>
  <c r="I960" i="56" s="1"/>
  <c r="H960" i="56"/>
  <c r="J960" i="56"/>
  <c r="K960" i="56"/>
  <c r="C961" i="56"/>
  <c r="D961" i="56" s="1"/>
  <c r="E961" i="56"/>
  <c r="F961" i="56" s="1"/>
  <c r="G961" i="56"/>
  <c r="I961" i="56" s="1"/>
  <c r="H961" i="56"/>
  <c r="J961" i="56"/>
  <c r="K961" i="56"/>
  <c r="C962" i="56"/>
  <c r="D962" i="56" s="1"/>
  <c r="E962" i="56"/>
  <c r="F962" i="56" s="1"/>
  <c r="G962" i="56"/>
  <c r="I962" i="56" s="1"/>
  <c r="H962" i="56"/>
  <c r="J962" i="56"/>
  <c r="K962" i="56"/>
  <c r="C963" i="56"/>
  <c r="D963" i="56" s="1"/>
  <c r="E963" i="56"/>
  <c r="F963" i="56" s="1"/>
  <c r="G963" i="56"/>
  <c r="I963" i="56" s="1"/>
  <c r="H963" i="56"/>
  <c r="J963" i="56"/>
  <c r="K963" i="56"/>
  <c r="C964" i="56"/>
  <c r="D964" i="56" s="1"/>
  <c r="E964" i="56"/>
  <c r="F964" i="56" s="1"/>
  <c r="G964" i="56"/>
  <c r="I964" i="56" s="1"/>
  <c r="H964" i="56"/>
  <c r="J964" i="56"/>
  <c r="K964" i="56"/>
  <c r="C965" i="56"/>
  <c r="D965" i="56" s="1"/>
  <c r="E965" i="56"/>
  <c r="F965" i="56" s="1"/>
  <c r="G965" i="56"/>
  <c r="I965" i="56" s="1"/>
  <c r="H965" i="56"/>
  <c r="J965" i="56"/>
  <c r="K965" i="56"/>
  <c r="C966" i="56"/>
  <c r="D966" i="56" s="1"/>
  <c r="E966" i="56"/>
  <c r="F966" i="56" s="1"/>
  <c r="G966" i="56"/>
  <c r="I966" i="56" s="1"/>
  <c r="H966" i="56"/>
  <c r="J966" i="56"/>
  <c r="K966" i="56"/>
  <c r="C967" i="56"/>
  <c r="D967" i="56" s="1"/>
  <c r="E967" i="56"/>
  <c r="F967" i="56" s="1"/>
  <c r="G967" i="56"/>
  <c r="I967" i="56" s="1"/>
  <c r="H967" i="56"/>
  <c r="J967" i="56"/>
  <c r="K967" i="56"/>
  <c r="C968" i="56"/>
  <c r="D968" i="56" s="1"/>
  <c r="E968" i="56"/>
  <c r="F968" i="56" s="1"/>
  <c r="G968" i="56"/>
  <c r="I968" i="56" s="1"/>
  <c r="H968" i="56"/>
  <c r="J968" i="56"/>
  <c r="K968" i="56"/>
  <c r="C969" i="56"/>
  <c r="D969" i="56" s="1"/>
  <c r="E969" i="56"/>
  <c r="F969" i="56" s="1"/>
  <c r="G969" i="56"/>
  <c r="I969" i="56" s="1"/>
  <c r="H969" i="56"/>
  <c r="J969" i="56"/>
  <c r="K969" i="56"/>
  <c r="C970" i="56"/>
  <c r="D970" i="56" s="1"/>
  <c r="E970" i="56"/>
  <c r="F970" i="56" s="1"/>
  <c r="G970" i="56"/>
  <c r="I970" i="56" s="1"/>
  <c r="H970" i="56"/>
  <c r="J970" i="56"/>
  <c r="K970" i="56"/>
  <c r="C971" i="56"/>
  <c r="D971" i="56" s="1"/>
  <c r="E971" i="56"/>
  <c r="F971" i="56" s="1"/>
  <c r="G971" i="56"/>
  <c r="I971" i="56" s="1"/>
  <c r="H971" i="56"/>
  <c r="J971" i="56"/>
  <c r="K971" i="56"/>
  <c r="C972" i="56"/>
  <c r="D972" i="56" s="1"/>
  <c r="E972" i="56"/>
  <c r="F972" i="56" s="1"/>
  <c r="G972" i="56"/>
  <c r="I972" i="56" s="1"/>
  <c r="H972" i="56"/>
  <c r="J972" i="56"/>
  <c r="K972" i="56"/>
  <c r="C973" i="56"/>
  <c r="D973" i="56" s="1"/>
  <c r="E973" i="56"/>
  <c r="F973" i="56" s="1"/>
  <c r="G973" i="56"/>
  <c r="I973" i="56" s="1"/>
  <c r="H973" i="56"/>
  <c r="J973" i="56"/>
  <c r="K973" i="56"/>
  <c r="C974" i="56"/>
  <c r="D974" i="56" s="1"/>
  <c r="E974" i="56"/>
  <c r="F974" i="56" s="1"/>
  <c r="G974" i="56"/>
  <c r="I974" i="56" s="1"/>
  <c r="H974" i="56"/>
  <c r="J974" i="56"/>
  <c r="K974" i="56"/>
  <c r="C975" i="56"/>
  <c r="D975" i="56" s="1"/>
  <c r="E975" i="56"/>
  <c r="F975" i="56" s="1"/>
  <c r="G975" i="56"/>
  <c r="I975" i="56" s="1"/>
  <c r="H975" i="56"/>
  <c r="J975" i="56"/>
  <c r="K975" i="56"/>
  <c r="C976" i="56"/>
  <c r="D976" i="56" s="1"/>
  <c r="E976" i="56"/>
  <c r="F976" i="56" s="1"/>
  <c r="G976" i="56"/>
  <c r="I976" i="56" s="1"/>
  <c r="H976" i="56"/>
  <c r="J976" i="56"/>
  <c r="K976" i="56"/>
  <c r="C977" i="56"/>
  <c r="D977" i="56" s="1"/>
  <c r="E977" i="56"/>
  <c r="F977" i="56" s="1"/>
  <c r="G977" i="56"/>
  <c r="I977" i="56" s="1"/>
  <c r="H977" i="56"/>
  <c r="J977" i="56"/>
  <c r="K977" i="56"/>
  <c r="C978" i="56"/>
  <c r="D978" i="56" s="1"/>
  <c r="E978" i="56"/>
  <c r="F978" i="56" s="1"/>
  <c r="G978" i="56"/>
  <c r="I978" i="56" s="1"/>
  <c r="H978" i="56"/>
  <c r="J978" i="56"/>
  <c r="K978" i="56"/>
  <c r="C979" i="56"/>
  <c r="D979" i="56" s="1"/>
  <c r="E979" i="56"/>
  <c r="F979" i="56" s="1"/>
  <c r="G979" i="56"/>
  <c r="I979" i="56" s="1"/>
  <c r="H979" i="56"/>
  <c r="J979" i="56"/>
  <c r="K979" i="56"/>
  <c r="C980" i="56"/>
  <c r="D980" i="56" s="1"/>
  <c r="E980" i="56"/>
  <c r="F980" i="56" s="1"/>
  <c r="G980" i="56"/>
  <c r="I980" i="56" s="1"/>
  <c r="H980" i="56"/>
  <c r="J980" i="56"/>
  <c r="K980" i="56"/>
  <c r="C981" i="56"/>
  <c r="D981" i="56" s="1"/>
  <c r="E981" i="56"/>
  <c r="F981" i="56" s="1"/>
  <c r="G981" i="56"/>
  <c r="I981" i="56" s="1"/>
  <c r="H981" i="56"/>
  <c r="J981" i="56"/>
  <c r="K981" i="56"/>
  <c r="C982" i="56"/>
  <c r="D982" i="56" s="1"/>
  <c r="E982" i="56"/>
  <c r="F982" i="56" s="1"/>
  <c r="G982" i="56"/>
  <c r="I982" i="56" s="1"/>
  <c r="H982" i="56"/>
  <c r="J982" i="56"/>
  <c r="K982" i="56"/>
  <c r="C983" i="56"/>
  <c r="D983" i="56" s="1"/>
  <c r="E983" i="56"/>
  <c r="F983" i="56" s="1"/>
  <c r="G983" i="56"/>
  <c r="I983" i="56" s="1"/>
  <c r="H983" i="56"/>
  <c r="J983" i="56"/>
  <c r="K983" i="56"/>
  <c r="C984" i="56"/>
  <c r="D984" i="56" s="1"/>
  <c r="E984" i="56"/>
  <c r="F984" i="56" s="1"/>
  <c r="G984" i="56"/>
  <c r="I984" i="56" s="1"/>
  <c r="H984" i="56"/>
  <c r="J984" i="56"/>
  <c r="K984" i="56"/>
  <c r="C985" i="56"/>
  <c r="D985" i="56" s="1"/>
  <c r="E985" i="56"/>
  <c r="F985" i="56" s="1"/>
  <c r="G985" i="56"/>
  <c r="I985" i="56" s="1"/>
  <c r="H985" i="56"/>
  <c r="J985" i="56"/>
  <c r="K985" i="56"/>
  <c r="C986" i="56"/>
  <c r="D986" i="56" s="1"/>
  <c r="E986" i="56"/>
  <c r="F986" i="56" s="1"/>
  <c r="G986" i="56"/>
  <c r="I986" i="56" s="1"/>
  <c r="H986" i="56"/>
  <c r="J986" i="56"/>
  <c r="K986" i="56"/>
  <c r="C987" i="56"/>
  <c r="D987" i="56" s="1"/>
  <c r="E987" i="56"/>
  <c r="F987" i="56" s="1"/>
  <c r="G987" i="56"/>
  <c r="I987" i="56" s="1"/>
  <c r="H987" i="56"/>
  <c r="J987" i="56"/>
  <c r="K987" i="56"/>
  <c r="C988" i="56"/>
  <c r="D988" i="56" s="1"/>
  <c r="E988" i="56"/>
  <c r="F988" i="56" s="1"/>
  <c r="G988" i="56"/>
  <c r="I988" i="56" s="1"/>
  <c r="H988" i="56"/>
  <c r="J988" i="56"/>
  <c r="K988" i="56"/>
  <c r="C989" i="56"/>
  <c r="D989" i="56" s="1"/>
  <c r="E989" i="56"/>
  <c r="F989" i="56" s="1"/>
  <c r="G989" i="56"/>
  <c r="I989" i="56" s="1"/>
  <c r="H989" i="56"/>
  <c r="J989" i="56"/>
  <c r="K989" i="56"/>
  <c r="C990" i="56"/>
  <c r="D990" i="56" s="1"/>
  <c r="E990" i="56"/>
  <c r="F990" i="56" s="1"/>
  <c r="G990" i="56"/>
  <c r="I990" i="56" s="1"/>
  <c r="H990" i="56"/>
  <c r="J990" i="56"/>
  <c r="K990" i="56"/>
  <c r="C991" i="56"/>
  <c r="D991" i="56" s="1"/>
  <c r="E991" i="56"/>
  <c r="F991" i="56" s="1"/>
  <c r="G991" i="56"/>
  <c r="I991" i="56" s="1"/>
  <c r="H991" i="56"/>
  <c r="J991" i="56"/>
  <c r="K991" i="56"/>
  <c r="C992" i="56"/>
  <c r="D992" i="56" s="1"/>
  <c r="E992" i="56"/>
  <c r="F992" i="56" s="1"/>
  <c r="G992" i="56"/>
  <c r="I992" i="56" s="1"/>
  <c r="H992" i="56"/>
  <c r="J992" i="56"/>
  <c r="K992" i="56"/>
  <c r="C993" i="56"/>
  <c r="D993" i="56" s="1"/>
  <c r="E993" i="56"/>
  <c r="F993" i="56" s="1"/>
  <c r="G993" i="56"/>
  <c r="I993" i="56" s="1"/>
  <c r="H993" i="56"/>
  <c r="J993" i="56"/>
  <c r="K993" i="56"/>
  <c r="C994" i="56"/>
  <c r="D994" i="56" s="1"/>
  <c r="E994" i="56"/>
  <c r="F994" i="56" s="1"/>
  <c r="G994" i="56"/>
  <c r="I994" i="56" s="1"/>
  <c r="H994" i="56"/>
  <c r="J994" i="56"/>
  <c r="K994" i="56"/>
  <c r="C995" i="56"/>
  <c r="D995" i="56" s="1"/>
  <c r="E995" i="56"/>
  <c r="F995" i="56" s="1"/>
  <c r="G995" i="56"/>
  <c r="I995" i="56" s="1"/>
  <c r="H995" i="56"/>
  <c r="J995" i="56"/>
  <c r="K995" i="56"/>
  <c r="C996" i="56"/>
  <c r="D996" i="56" s="1"/>
  <c r="E996" i="56"/>
  <c r="F996" i="56" s="1"/>
  <c r="G996" i="56"/>
  <c r="I996" i="56" s="1"/>
  <c r="H996" i="56"/>
  <c r="J996" i="56"/>
  <c r="K996" i="56"/>
  <c r="C997" i="56"/>
  <c r="D997" i="56" s="1"/>
  <c r="E997" i="56"/>
  <c r="F997" i="56" s="1"/>
  <c r="G997" i="56"/>
  <c r="I997" i="56" s="1"/>
  <c r="H997" i="56"/>
  <c r="J997" i="56"/>
  <c r="K997" i="56"/>
  <c r="C998" i="56"/>
  <c r="D998" i="56" s="1"/>
  <c r="E998" i="56"/>
  <c r="F998" i="56" s="1"/>
  <c r="G998" i="56"/>
  <c r="I998" i="56" s="1"/>
  <c r="H998" i="56"/>
  <c r="J998" i="56"/>
  <c r="K998" i="56"/>
  <c r="C999" i="56"/>
  <c r="D999" i="56" s="1"/>
  <c r="E999" i="56"/>
  <c r="F999" i="56" s="1"/>
  <c r="G999" i="56"/>
  <c r="I999" i="56" s="1"/>
  <c r="H999" i="56"/>
  <c r="J999" i="56"/>
  <c r="K999" i="56"/>
  <c r="C1000" i="56"/>
  <c r="D1000" i="56" s="1"/>
  <c r="E1000" i="56"/>
  <c r="F1000" i="56" s="1"/>
  <c r="G1000" i="56"/>
  <c r="I1000" i="56" s="1"/>
  <c r="H1000" i="56"/>
  <c r="J1000" i="56"/>
  <c r="K1000" i="56"/>
  <c r="C1001" i="56"/>
  <c r="D1001" i="56" s="1"/>
  <c r="E1001" i="56"/>
  <c r="F1001" i="56" s="1"/>
  <c r="G1001" i="56"/>
  <c r="I1001" i="56" s="1"/>
  <c r="H1001" i="56"/>
  <c r="J1001" i="56"/>
  <c r="K1001" i="56"/>
  <c r="C1002" i="56"/>
  <c r="D1002" i="56" s="1"/>
  <c r="E1002" i="56"/>
  <c r="F1002" i="56" s="1"/>
  <c r="G1002" i="56"/>
  <c r="I1002" i="56" s="1"/>
  <c r="H1002" i="56"/>
  <c r="J1002" i="56"/>
  <c r="K1002" i="56"/>
  <c r="C1003" i="56"/>
  <c r="D1003" i="56" s="1"/>
  <c r="E1003" i="56"/>
  <c r="F1003" i="56" s="1"/>
  <c r="G1003" i="56"/>
  <c r="I1003" i="56" s="1"/>
  <c r="H1003" i="56"/>
  <c r="J1003" i="56"/>
  <c r="K1003" i="56"/>
  <c r="C1004" i="56"/>
  <c r="D1004" i="56" s="1"/>
  <c r="E1004" i="56"/>
  <c r="F1004" i="56" s="1"/>
  <c r="G1004" i="56"/>
  <c r="I1004" i="56" s="1"/>
  <c r="H1004" i="56"/>
  <c r="J1004" i="56"/>
  <c r="K1004" i="56"/>
  <c r="C1005" i="56"/>
  <c r="D1005" i="56" s="1"/>
  <c r="E1005" i="56"/>
  <c r="F1005" i="56" s="1"/>
  <c r="G1005" i="56"/>
  <c r="I1005" i="56" s="1"/>
  <c r="H1005" i="56"/>
  <c r="J1005" i="56"/>
  <c r="K1005" i="56"/>
  <c r="C1006" i="56"/>
  <c r="D1006" i="56" s="1"/>
  <c r="E1006" i="56"/>
  <c r="F1006" i="56" s="1"/>
  <c r="G1006" i="56"/>
  <c r="I1006" i="56" s="1"/>
  <c r="H1006" i="56"/>
  <c r="J1006" i="56"/>
  <c r="K1006" i="56"/>
  <c r="C1007" i="56"/>
  <c r="D1007" i="56" s="1"/>
  <c r="E1007" i="56"/>
  <c r="F1007" i="56" s="1"/>
  <c r="G1007" i="56"/>
  <c r="I1007" i="56" s="1"/>
  <c r="H1007" i="56"/>
  <c r="J1007" i="56"/>
  <c r="K1007" i="56"/>
  <c r="C1008" i="56"/>
  <c r="D1008" i="56" s="1"/>
  <c r="E1008" i="56"/>
  <c r="F1008" i="56" s="1"/>
  <c r="G1008" i="56"/>
  <c r="I1008" i="56" s="1"/>
  <c r="H1008" i="56"/>
  <c r="J1008" i="56"/>
  <c r="K1008" i="56"/>
  <c r="C1009" i="56"/>
  <c r="D1009" i="56" s="1"/>
  <c r="E1009" i="56"/>
  <c r="F1009" i="56" s="1"/>
  <c r="G1009" i="56"/>
  <c r="I1009" i="56" s="1"/>
  <c r="H1009" i="56"/>
  <c r="J1009" i="56"/>
  <c r="K1009" i="56"/>
  <c r="C1010" i="56"/>
  <c r="D1010" i="56" s="1"/>
  <c r="E1010" i="56"/>
  <c r="F1010" i="56" s="1"/>
  <c r="G1010" i="56"/>
  <c r="I1010" i="56" s="1"/>
  <c r="H1010" i="56"/>
  <c r="J1010" i="56"/>
  <c r="K1010" i="56"/>
  <c r="C1011" i="56"/>
  <c r="D1011" i="56" s="1"/>
  <c r="E1011" i="56"/>
  <c r="F1011" i="56" s="1"/>
  <c r="G1011" i="56"/>
  <c r="I1011" i="56" s="1"/>
  <c r="H1011" i="56"/>
  <c r="J1011" i="56"/>
  <c r="K1011" i="56"/>
  <c r="C1012" i="56"/>
  <c r="D1012" i="56" s="1"/>
  <c r="E1012" i="56"/>
  <c r="F1012" i="56" s="1"/>
  <c r="G1012" i="56"/>
  <c r="I1012" i="56" s="1"/>
  <c r="H1012" i="56"/>
  <c r="J1012" i="56"/>
  <c r="K1012" i="56"/>
  <c r="C1013" i="56"/>
  <c r="D1013" i="56" s="1"/>
  <c r="E1013" i="56"/>
  <c r="F1013" i="56" s="1"/>
  <c r="G1013" i="56"/>
  <c r="I1013" i="56" s="1"/>
  <c r="H1013" i="56"/>
  <c r="J1013" i="56"/>
  <c r="K1013" i="56"/>
  <c r="C1014" i="56"/>
  <c r="D1014" i="56" s="1"/>
  <c r="E1014" i="56"/>
  <c r="F1014" i="56" s="1"/>
  <c r="G1014" i="56"/>
  <c r="I1014" i="56" s="1"/>
  <c r="H1014" i="56"/>
  <c r="J1014" i="56"/>
  <c r="K1014" i="56"/>
  <c r="C1015" i="56"/>
  <c r="D1015" i="56" s="1"/>
  <c r="E1015" i="56"/>
  <c r="F1015" i="56" s="1"/>
  <c r="G1015" i="56"/>
  <c r="I1015" i="56" s="1"/>
  <c r="H1015" i="56"/>
  <c r="J1015" i="56"/>
  <c r="K1015" i="56"/>
  <c r="C1016" i="56"/>
  <c r="D1016" i="56" s="1"/>
  <c r="E1016" i="56"/>
  <c r="F1016" i="56" s="1"/>
  <c r="G1016" i="56"/>
  <c r="I1016" i="56" s="1"/>
  <c r="H1016" i="56"/>
  <c r="J1016" i="56"/>
  <c r="K1016" i="56"/>
  <c r="C1017" i="56"/>
  <c r="D1017" i="56" s="1"/>
  <c r="E1017" i="56"/>
  <c r="F1017" i="56" s="1"/>
  <c r="G1017" i="56"/>
  <c r="I1017" i="56" s="1"/>
  <c r="H1017" i="56"/>
  <c r="J1017" i="56"/>
  <c r="K1017" i="56"/>
  <c r="C1018" i="56"/>
  <c r="D1018" i="56" s="1"/>
  <c r="E1018" i="56"/>
  <c r="F1018" i="56" s="1"/>
  <c r="G1018" i="56"/>
  <c r="I1018" i="56" s="1"/>
  <c r="H1018" i="56"/>
  <c r="J1018" i="56"/>
  <c r="K1018" i="56"/>
  <c r="C1019" i="56"/>
  <c r="D1019" i="56" s="1"/>
  <c r="E1019" i="56"/>
  <c r="F1019" i="56" s="1"/>
  <c r="G1019" i="56"/>
  <c r="I1019" i="56" s="1"/>
  <c r="H1019" i="56"/>
  <c r="J1019" i="56"/>
  <c r="K1019" i="56"/>
  <c r="C1020" i="56"/>
  <c r="D1020" i="56" s="1"/>
  <c r="E1020" i="56"/>
  <c r="F1020" i="56" s="1"/>
  <c r="G1020" i="56"/>
  <c r="I1020" i="56" s="1"/>
  <c r="H1020" i="56"/>
  <c r="J1020" i="56"/>
  <c r="K1020" i="56"/>
  <c r="C1021" i="56"/>
  <c r="D1021" i="56" s="1"/>
  <c r="E1021" i="56"/>
  <c r="F1021" i="56" s="1"/>
  <c r="G1021" i="56"/>
  <c r="I1021" i="56" s="1"/>
  <c r="H1021" i="56"/>
  <c r="J1021" i="56"/>
  <c r="K1021" i="56"/>
  <c r="C1022" i="56"/>
  <c r="D1022" i="56" s="1"/>
  <c r="E1022" i="56"/>
  <c r="F1022" i="56" s="1"/>
  <c r="G1022" i="56"/>
  <c r="I1022" i="56" s="1"/>
  <c r="H1022" i="56"/>
  <c r="J1022" i="56"/>
  <c r="K1022" i="56"/>
  <c r="C1023" i="56"/>
  <c r="D1023" i="56" s="1"/>
  <c r="E1023" i="56"/>
  <c r="F1023" i="56" s="1"/>
  <c r="G1023" i="56"/>
  <c r="I1023" i="56" s="1"/>
  <c r="H1023" i="56"/>
  <c r="J1023" i="56"/>
  <c r="K1023" i="56"/>
  <c r="C1024" i="56"/>
  <c r="D1024" i="56" s="1"/>
  <c r="E1024" i="56"/>
  <c r="F1024" i="56" s="1"/>
  <c r="G1024" i="56"/>
  <c r="I1024" i="56" s="1"/>
  <c r="H1024" i="56"/>
  <c r="J1024" i="56"/>
  <c r="K1024" i="56"/>
  <c r="C1025" i="56"/>
  <c r="D1025" i="56" s="1"/>
  <c r="E1025" i="56"/>
  <c r="F1025" i="56" s="1"/>
  <c r="G1025" i="56"/>
  <c r="I1025" i="56" s="1"/>
  <c r="H1025" i="56"/>
  <c r="J1025" i="56"/>
  <c r="K1025" i="56"/>
  <c r="C1026" i="56"/>
  <c r="D1026" i="56" s="1"/>
  <c r="E1026" i="56"/>
  <c r="F1026" i="56" s="1"/>
  <c r="G1026" i="56"/>
  <c r="I1026" i="56" s="1"/>
  <c r="H1026" i="56"/>
  <c r="J1026" i="56"/>
  <c r="K1026" i="56"/>
  <c r="C1027" i="56"/>
  <c r="D1027" i="56" s="1"/>
  <c r="E1027" i="56"/>
  <c r="F1027" i="56" s="1"/>
  <c r="G1027" i="56"/>
  <c r="I1027" i="56" s="1"/>
  <c r="H1027" i="56"/>
  <c r="J1027" i="56"/>
  <c r="K1027" i="56"/>
  <c r="C1028" i="56"/>
  <c r="D1028" i="56" s="1"/>
  <c r="E1028" i="56"/>
  <c r="F1028" i="56" s="1"/>
  <c r="G1028" i="56"/>
  <c r="I1028" i="56" s="1"/>
  <c r="H1028" i="56"/>
  <c r="J1028" i="56"/>
  <c r="K1028" i="56"/>
  <c r="C1029" i="56"/>
  <c r="D1029" i="56" s="1"/>
  <c r="E1029" i="56"/>
  <c r="F1029" i="56" s="1"/>
  <c r="G1029" i="56"/>
  <c r="I1029" i="56" s="1"/>
  <c r="H1029" i="56"/>
  <c r="J1029" i="56"/>
  <c r="K1029" i="56"/>
  <c r="C1030" i="56"/>
  <c r="D1030" i="56" s="1"/>
  <c r="E1030" i="56"/>
  <c r="F1030" i="56" s="1"/>
  <c r="G1030" i="56"/>
  <c r="I1030" i="56" s="1"/>
  <c r="H1030" i="56"/>
  <c r="J1030" i="56"/>
  <c r="K1030" i="56"/>
  <c r="C1031" i="56"/>
  <c r="D1031" i="56" s="1"/>
  <c r="E1031" i="56"/>
  <c r="F1031" i="56" s="1"/>
  <c r="G1031" i="56"/>
  <c r="I1031" i="56" s="1"/>
  <c r="H1031" i="56"/>
  <c r="J1031" i="56"/>
  <c r="K1031" i="56"/>
  <c r="C1032" i="56"/>
  <c r="D1032" i="56" s="1"/>
  <c r="E1032" i="56"/>
  <c r="F1032" i="56" s="1"/>
  <c r="G1032" i="56"/>
  <c r="I1032" i="56" s="1"/>
  <c r="H1032" i="56"/>
  <c r="J1032" i="56"/>
  <c r="K1032" i="56"/>
  <c r="C1033" i="56"/>
  <c r="D1033" i="56" s="1"/>
  <c r="E1033" i="56"/>
  <c r="F1033" i="56" s="1"/>
  <c r="G1033" i="56"/>
  <c r="I1033" i="56" s="1"/>
  <c r="H1033" i="56"/>
  <c r="J1033" i="56"/>
  <c r="K1033" i="56"/>
  <c r="C1034" i="56"/>
  <c r="D1034" i="56" s="1"/>
  <c r="E1034" i="56"/>
  <c r="F1034" i="56" s="1"/>
  <c r="G1034" i="56"/>
  <c r="I1034" i="56" s="1"/>
  <c r="H1034" i="56"/>
  <c r="J1034" i="56"/>
  <c r="K1034" i="56"/>
  <c r="C1035" i="56"/>
  <c r="D1035" i="56" s="1"/>
  <c r="E1035" i="56"/>
  <c r="F1035" i="56" s="1"/>
  <c r="G1035" i="56"/>
  <c r="I1035" i="56" s="1"/>
  <c r="H1035" i="56"/>
  <c r="J1035" i="56"/>
  <c r="K1035" i="56"/>
  <c r="C1036" i="56"/>
  <c r="D1036" i="56" s="1"/>
  <c r="E1036" i="56"/>
  <c r="F1036" i="56" s="1"/>
  <c r="G1036" i="56"/>
  <c r="I1036" i="56" s="1"/>
  <c r="H1036" i="56"/>
  <c r="J1036" i="56"/>
  <c r="K1036" i="56"/>
  <c r="C1037" i="56"/>
  <c r="D1037" i="56" s="1"/>
  <c r="E1037" i="56"/>
  <c r="F1037" i="56" s="1"/>
  <c r="G1037" i="56"/>
  <c r="I1037" i="56" s="1"/>
  <c r="H1037" i="56"/>
  <c r="J1037" i="56"/>
  <c r="K1037" i="56"/>
  <c r="C1038" i="56"/>
  <c r="D1038" i="56" s="1"/>
  <c r="E1038" i="56"/>
  <c r="F1038" i="56" s="1"/>
  <c r="G1038" i="56"/>
  <c r="I1038" i="56" s="1"/>
  <c r="H1038" i="56"/>
  <c r="J1038" i="56"/>
  <c r="K1038" i="56"/>
  <c r="C1039" i="56"/>
  <c r="D1039" i="56" s="1"/>
  <c r="E1039" i="56"/>
  <c r="F1039" i="56" s="1"/>
  <c r="G1039" i="56"/>
  <c r="I1039" i="56" s="1"/>
  <c r="H1039" i="56"/>
  <c r="J1039" i="56"/>
  <c r="K1039" i="56"/>
  <c r="C1040" i="56"/>
  <c r="D1040" i="56" s="1"/>
  <c r="E1040" i="56"/>
  <c r="F1040" i="56" s="1"/>
  <c r="G1040" i="56"/>
  <c r="I1040" i="56" s="1"/>
  <c r="H1040" i="56"/>
  <c r="J1040" i="56"/>
  <c r="K1040" i="56"/>
  <c r="C1041" i="56"/>
  <c r="D1041" i="56" s="1"/>
  <c r="E1041" i="56"/>
  <c r="F1041" i="56" s="1"/>
  <c r="G1041" i="56"/>
  <c r="I1041" i="56" s="1"/>
  <c r="H1041" i="56"/>
  <c r="J1041" i="56"/>
  <c r="K1041" i="56"/>
  <c r="C1042" i="56"/>
  <c r="D1042" i="56" s="1"/>
  <c r="E1042" i="56"/>
  <c r="F1042" i="56" s="1"/>
  <c r="G1042" i="56"/>
  <c r="I1042" i="56" s="1"/>
  <c r="H1042" i="56"/>
  <c r="J1042" i="56"/>
  <c r="K1042" i="56"/>
  <c r="C1043" i="56"/>
  <c r="D1043" i="56" s="1"/>
  <c r="E1043" i="56"/>
  <c r="F1043" i="56" s="1"/>
  <c r="G1043" i="56"/>
  <c r="I1043" i="56" s="1"/>
  <c r="H1043" i="56"/>
  <c r="J1043" i="56"/>
  <c r="K1043" i="56"/>
  <c r="C1044" i="56"/>
  <c r="D1044" i="56" s="1"/>
  <c r="E1044" i="56"/>
  <c r="F1044" i="56" s="1"/>
  <c r="G1044" i="56"/>
  <c r="I1044" i="56" s="1"/>
  <c r="H1044" i="56"/>
  <c r="J1044" i="56"/>
  <c r="K1044" i="56"/>
  <c r="C1045" i="56"/>
  <c r="D1045" i="56" s="1"/>
  <c r="E1045" i="56"/>
  <c r="F1045" i="56" s="1"/>
  <c r="G1045" i="56"/>
  <c r="I1045" i="56" s="1"/>
  <c r="H1045" i="56"/>
  <c r="J1045" i="56"/>
  <c r="K1045" i="56"/>
  <c r="C1046" i="56"/>
  <c r="D1046" i="56" s="1"/>
  <c r="E1046" i="56"/>
  <c r="F1046" i="56" s="1"/>
  <c r="G1046" i="56"/>
  <c r="I1046" i="56" s="1"/>
  <c r="H1046" i="56"/>
  <c r="J1046" i="56"/>
  <c r="K1046" i="56"/>
  <c r="C1047" i="56"/>
  <c r="D1047" i="56" s="1"/>
  <c r="E1047" i="56"/>
  <c r="F1047" i="56" s="1"/>
  <c r="G1047" i="56"/>
  <c r="I1047" i="56" s="1"/>
  <c r="H1047" i="56"/>
  <c r="J1047" i="56"/>
  <c r="K1047" i="56"/>
  <c r="C1048" i="56"/>
  <c r="D1048" i="56" s="1"/>
  <c r="E1048" i="56"/>
  <c r="F1048" i="56" s="1"/>
  <c r="G1048" i="56"/>
  <c r="I1048" i="56" s="1"/>
  <c r="H1048" i="56"/>
  <c r="J1048" i="56"/>
  <c r="K1048" i="56"/>
  <c r="C1049" i="56"/>
  <c r="D1049" i="56" s="1"/>
  <c r="E1049" i="56"/>
  <c r="F1049" i="56" s="1"/>
  <c r="G1049" i="56"/>
  <c r="I1049" i="56" s="1"/>
  <c r="H1049" i="56"/>
  <c r="J1049" i="56"/>
  <c r="K1049" i="56"/>
  <c r="C1050" i="56"/>
  <c r="D1050" i="56" s="1"/>
  <c r="E1050" i="56"/>
  <c r="F1050" i="56" s="1"/>
  <c r="G1050" i="56"/>
  <c r="I1050" i="56" s="1"/>
  <c r="H1050" i="56"/>
  <c r="J1050" i="56"/>
  <c r="K1050" i="56"/>
  <c r="C1051" i="56"/>
  <c r="D1051" i="56" s="1"/>
  <c r="E1051" i="56"/>
  <c r="F1051" i="56" s="1"/>
  <c r="G1051" i="56"/>
  <c r="I1051" i="56" s="1"/>
  <c r="H1051" i="56"/>
  <c r="J1051" i="56"/>
  <c r="K1051" i="56"/>
  <c r="C1052" i="56"/>
  <c r="D1052" i="56" s="1"/>
  <c r="E1052" i="56"/>
  <c r="F1052" i="56" s="1"/>
  <c r="G1052" i="56"/>
  <c r="I1052" i="56" s="1"/>
  <c r="H1052" i="56"/>
  <c r="J1052" i="56"/>
  <c r="K1052" i="56"/>
  <c r="C1053" i="56"/>
  <c r="D1053" i="56" s="1"/>
  <c r="E1053" i="56"/>
  <c r="F1053" i="56" s="1"/>
  <c r="G1053" i="56"/>
  <c r="I1053" i="56" s="1"/>
  <c r="H1053" i="56"/>
  <c r="J1053" i="56"/>
  <c r="K1053" i="56"/>
  <c r="C1054" i="56"/>
  <c r="D1054" i="56" s="1"/>
  <c r="E1054" i="56"/>
  <c r="F1054" i="56" s="1"/>
  <c r="G1054" i="56"/>
  <c r="I1054" i="56" s="1"/>
  <c r="H1054" i="56"/>
  <c r="J1054" i="56"/>
  <c r="K1054" i="56"/>
  <c r="C1055" i="56"/>
  <c r="D1055" i="56" s="1"/>
  <c r="E1055" i="56"/>
  <c r="F1055" i="56" s="1"/>
  <c r="G1055" i="56"/>
  <c r="I1055" i="56" s="1"/>
  <c r="H1055" i="56"/>
  <c r="J1055" i="56"/>
  <c r="K1055" i="56"/>
  <c r="C1056" i="56"/>
  <c r="D1056" i="56" s="1"/>
  <c r="E1056" i="56"/>
  <c r="F1056" i="56" s="1"/>
  <c r="G1056" i="56"/>
  <c r="I1056" i="56" s="1"/>
  <c r="H1056" i="56"/>
  <c r="J1056" i="56"/>
  <c r="K1056" i="56"/>
  <c r="C1057" i="56"/>
  <c r="D1057" i="56" s="1"/>
  <c r="E1057" i="56"/>
  <c r="F1057" i="56" s="1"/>
  <c r="G1057" i="56"/>
  <c r="I1057" i="56" s="1"/>
  <c r="H1057" i="56"/>
  <c r="J1057" i="56"/>
  <c r="K1057" i="56"/>
  <c r="C1058" i="56"/>
  <c r="D1058" i="56" s="1"/>
  <c r="E1058" i="56"/>
  <c r="F1058" i="56" s="1"/>
  <c r="G1058" i="56"/>
  <c r="I1058" i="56" s="1"/>
  <c r="H1058" i="56"/>
  <c r="J1058" i="56"/>
  <c r="K1058" i="56"/>
  <c r="C1059" i="56"/>
  <c r="D1059" i="56" s="1"/>
  <c r="E1059" i="56"/>
  <c r="F1059" i="56" s="1"/>
  <c r="G1059" i="56"/>
  <c r="I1059" i="56" s="1"/>
  <c r="H1059" i="56"/>
  <c r="J1059" i="56"/>
  <c r="K1059" i="56"/>
  <c r="C1060" i="56"/>
  <c r="D1060" i="56" s="1"/>
  <c r="E1060" i="56"/>
  <c r="F1060" i="56" s="1"/>
  <c r="G1060" i="56"/>
  <c r="I1060" i="56" s="1"/>
  <c r="H1060" i="56"/>
  <c r="J1060" i="56"/>
  <c r="K1060" i="56"/>
  <c r="C1061" i="56"/>
  <c r="D1061" i="56" s="1"/>
  <c r="E1061" i="56"/>
  <c r="F1061" i="56" s="1"/>
  <c r="G1061" i="56"/>
  <c r="I1061" i="56" s="1"/>
  <c r="H1061" i="56"/>
  <c r="J1061" i="56"/>
  <c r="K1061" i="56"/>
  <c r="C1062" i="56"/>
  <c r="D1062" i="56" s="1"/>
  <c r="E1062" i="56"/>
  <c r="F1062" i="56" s="1"/>
  <c r="G1062" i="56"/>
  <c r="I1062" i="56" s="1"/>
  <c r="H1062" i="56"/>
  <c r="J1062" i="56"/>
  <c r="K1062" i="56"/>
  <c r="C1063" i="56"/>
  <c r="D1063" i="56" s="1"/>
  <c r="E1063" i="56"/>
  <c r="F1063" i="56" s="1"/>
  <c r="G1063" i="56"/>
  <c r="I1063" i="56" s="1"/>
  <c r="H1063" i="56"/>
  <c r="J1063" i="56"/>
  <c r="K1063" i="56"/>
  <c r="C1064" i="56"/>
  <c r="D1064" i="56" s="1"/>
  <c r="E1064" i="56"/>
  <c r="F1064" i="56" s="1"/>
  <c r="G1064" i="56"/>
  <c r="I1064" i="56" s="1"/>
  <c r="H1064" i="56"/>
  <c r="J1064" i="56"/>
  <c r="K1064" i="56"/>
  <c r="C1065" i="56"/>
  <c r="D1065" i="56" s="1"/>
  <c r="E1065" i="56"/>
  <c r="F1065" i="56" s="1"/>
  <c r="G1065" i="56"/>
  <c r="I1065" i="56" s="1"/>
  <c r="H1065" i="56"/>
  <c r="J1065" i="56"/>
  <c r="K1065" i="56"/>
  <c r="C1066" i="56"/>
  <c r="D1066" i="56" s="1"/>
  <c r="E1066" i="56"/>
  <c r="F1066" i="56" s="1"/>
  <c r="G1066" i="56"/>
  <c r="I1066" i="56" s="1"/>
  <c r="H1066" i="56"/>
  <c r="J1066" i="56"/>
  <c r="K1066" i="56"/>
  <c r="C1067" i="56"/>
  <c r="D1067" i="56" s="1"/>
  <c r="E1067" i="56"/>
  <c r="F1067" i="56" s="1"/>
  <c r="G1067" i="56"/>
  <c r="I1067" i="56" s="1"/>
  <c r="H1067" i="56"/>
  <c r="J1067" i="56"/>
  <c r="K1067" i="56"/>
  <c r="C1068" i="56"/>
  <c r="D1068" i="56" s="1"/>
  <c r="E1068" i="56"/>
  <c r="F1068" i="56" s="1"/>
  <c r="G1068" i="56"/>
  <c r="I1068" i="56" s="1"/>
  <c r="H1068" i="56"/>
  <c r="J1068" i="56"/>
  <c r="K1068" i="56"/>
  <c r="C1069" i="56"/>
  <c r="D1069" i="56" s="1"/>
  <c r="E1069" i="56"/>
  <c r="F1069" i="56" s="1"/>
  <c r="G1069" i="56"/>
  <c r="I1069" i="56" s="1"/>
  <c r="H1069" i="56"/>
  <c r="J1069" i="56"/>
  <c r="K1069" i="56"/>
  <c r="C1070" i="56"/>
  <c r="D1070" i="56" s="1"/>
  <c r="E1070" i="56"/>
  <c r="F1070" i="56" s="1"/>
  <c r="G1070" i="56"/>
  <c r="I1070" i="56" s="1"/>
  <c r="H1070" i="56"/>
  <c r="J1070" i="56"/>
  <c r="K1070" i="56"/>
  <c r="C1071" i="56"/>
  <c r="D1071" i="56" s="1"/>
  <c r="E1071" i="56"/>
  <c r="F1071" i="56" s="1"/>
  <c r="G1071" i="56"/>
  <c r="I1071" i="56" s="1"/>
  <c r="H1071" i="56"/>
  <c r="J1071" i="56"/>
  <c r="K1071" i="56"/>
  <c r="C1072" i="56"/>
  <c r="D1072" i="56" s="1"/>
  <c r="E1072" i="56"/>
  <c r="F1072" i="56" s="1"/>
  <c r="G1072" i="56"/>
  <c r="I1072" i="56" s="1"/>
  <c r="H1072" i="56"/>
  <c r="J1072" i="56"/>
  <c r="K1072" i="56"/>
  <c r="C1073" i="56"/>
  <c r="D1073" i="56" s="1"/>
  <c r="E1073" i="56"/>
  <c r="F1073" i="56" s="1"/>
  <c r="G1073" i="56"/>
  <c r="I1073" i="56" s="1"/>
  <c r="H1073" i="56"/>
  <c r="J1073" i="56"/>
  <c r="K1073" i="56"/>
  <c r="C1074" i="56"/>
  <c r="D1074" i="56" s="1"/>
  <c r="E1074" i="56"/>
  <c r="F1074" i="56" s="1"/>
  <c r="G1074" i="56"/>
  <c r="I1074" i="56" s="1"/>
  <c r="H1074" i="56"/>
  <c r="J1074" i="56"/>
  <c r="K1074" i="56"/>
  <c r="C1075" i="56"/>
  <c r="D1075" i="56" s="1"/>
  <c r="E1075" i="56"/>
  <c r="F1075" i="56" s="1"/>
  <c r="G1075" i="56"/>
  <c r="I1075" i="56" s="1"/>
  <c r="H1075" i="56"/>
  <c r="J1075" i="56"/>
  <c r="K1075" i="56"/>
  <c r="C1076" i="56"/>
  <c r="D1076" i="56" s="1"/>
  <c r="E1076" i="56"/>
  <c r="F1076" i="56" s="1"/>
  <c r="G1076" i="56"/>
  <c r="I1076" i="56" s="1"/>
  <c r="H1076" i="56"/>
  <c r="J1076" i="56"/>
  <c r="K1076" i="56"/>
  <c r="C1077" i="56"/>
  <c r="D1077" i="56" s="1"/>
  <c r="E1077" i="56"/>
  <c r="F1077" i="56" s="1"/>
  <c r="G1077" i="56"/>
  <c r="I1077" i="56" s="1"/>
  <c r="H1077" i="56"/>
  <c r="J1077" i="56"/>
  <c r="K1077" i="56"/>
  <c r="C1078" i="56"/>
  <c r="D1078" i="56" s="1"/>
  <c r="E1078" i="56"/>
  <c r="F1078" i="56" s="1"/>
  <c r="G1078" i="56"/>
  <c r="I1078" i="56" s="1"/>
  <c r="H1078" i="56"/>
  <c r="J1078" i="56"/>
  <c r="K1078" i="56"/>
  <c r="C1079" i="56"/>
  <c r="D1079" i="56" s="1"/>
  <c r="E1079" i="56"/>
  <c r="F1079" i="56" s="1"/>
  <c r="G1079" i="56"/>
  <c r="I1079" i="56" s="1"/>
  <c r="H1079" i="56"/>
  <c r="J1079" i="56"/>
  <c r="K1079" i="56"/>
  <c r="C1080" i="56"/>
  <c r="D1080" i="56" s="1"/>
  <c r="E1080" i="56"/>
  <c r="F1080" i="56" s="1"/>
  <c r="G1080" i="56"/>
  <c r="I1080" i="56" s="1"/>
  <c r="H1080" i="56"/>
  <c r="J1080" i="56"/>
  <c r="K1080" i="56"/>
  <c r="C1081" i="56"/>
  <c r="D1081" i="56" s="1"/>
  <c r="E1081" i="56"/>
  <c r="F1081" i="56" s="1"/>
  <c r="G1081" i="56"/>
  <c r="I1081" i="56" s="1"/>
  <c r="H1081" i="56"/>
  <c r="J1081" i="56"/>
  <c r="K1081" i="56"/>
  <c r="C1082" i="56"/>
  <c r="D1082" i="56" s="1"/>
  <c r="E1082" i="56"/>
  <c r="F1082" i="56" s="1"/>
  <c r="G1082" i="56"/>
  <c r="I1082" i="56" s="1"/>
  <c r="H1082" i="56"/>
  <c r="J1082" i="56"/>
  <c r="K1082" i="56"/>
  <c r="C1083" i="56"/>
  <c r="D1083" i="56" s="1"/>
  <c r="E1083" i="56"/>
  <c r="F1083" i="56" s="1"/>
  <c r="G1083" i="56"/>
  <c r="I1083" i="56" s="1"/>
  <c r="H1083" i="56"/>
  <c r="J1083" i="56"/>
  <c r="K1083" i="56"/>
  <c r="C1084" i="56"/>
  <c r="D1084" i="56" s="1"/>
  <c r="E1084" i="56"/>
  <c r="F1084" i="56" s="1"/>
  <c r="G1084" i="56"/>
  <c r="I1084" i="56" s="1"/>
  <c r="H1084" i="56"/>
  <c r="J1084" i="56"/>
  <c r="K1084" i="56"/>
  <c r="C1085" i="56"/>
  <c r="D1085" i="56" s="1"/>
  <c r="E1085" i="56"/>
  <c r="F1085" i="56" s="1"/>
  <c r="G1085" i="56"/>
  <c r="I1085" i="56" s="1"/>
  <c r="H1085" i="56"/>
  <c r="J1085" i="56"/>
  <c r="K1085" i="56"/>
  <c r="C1086" i="56"/>
  <c r="D1086" i="56" s="1"/>
  <c r="E1086" i="56"/>
  <c r="F1086" i="56" s="1"/>
  <c r="G1086" i="56"/>
  <c r="I1086" i="56" s="1"/>
  <c r="H1086" i="56"/>
  <c r="J1086" i="56"/>
  <c r="K1086" i="56"/>
  <c r="C1087" i="56"/>
  <c r="D1087" i="56" s="1"/>
  <c r="E1087" i="56"/>
  <c r="F1087" i="56" s="1"/>
  <c r="G1087" i="56"/>
  <c r="I1087" i="56" s="1"/>
  <c r="H1087" i="56"/>
  <c r="J1087" i="56"/>
  <c r="K1087" i="56"/>
  <c r="C1088" i="56"/>
  <c r="D1088" i="56" s="1"/>
  <c r="E1088" i="56"/>
  <c r="F1088" i="56" s="1"/>
  <c r="G1088" i="56"/>
  <c r="I1088" i="56" s="1"/>
  <c r="H1088" i="56"/>
  <c r="J1088" i="56"/>
  <c r="K1088" i="56"/>
  <c r="C1089" i="56"/>
  <c r="D1089" i="56" s="1"/>
  <c r="E1089" i="56"/>
  <c r="F1089" i="56" s="1"/>
  <c r="G1089" i="56"/>
  <c r="I1089" i="56" s="1"/>
  <c r="H1089" i="56"/>
  <c r="J1089" i="56"/>
  <c r="K1089" i="56"/>
  <c r="C1090" i="56"/>
  <c r="D1090" i="56" s="1"/>
  <c r="E1090" i="56"/>
  <c r="F1090" i="56" s="1"/>
  <c r="G1090" i="56"/>
  <c r="I1090" i="56" s="1"/>
  <c r="H1090" i="56"/>
  <c r="J1090" i="56"/>
  <c r="K1090" i="56"/>
  <c r="C1091" i="56"/>
  <c r="D1091" i="56" s="1"/>
  <c r="E1091" i="56"/>
  <c r="F1091" i="56" s="1"/>
  <c r="G1091" i="56"/>
  <c r="I1091" i="56" s="1"/>
  <c r="H1091" i="56"/>
  <c r="J1091" i="56"/>
  <c r="K1091" i="56"/>
  <c r="C1092" i="56"/>
  <c r="D1092" i="56" s="1"/>
  <c r="E1092" i="56"/>
  <c r="F1092" i="56" s="1"/>
  <c r="G1092" i="56"/>
  <c r="I1092" i="56" s="1"/>
  <c r="H1092" i="56"/>
  <c r="J1092" i="56"/>
  <c r="K1092" i="56"/>
  <c r="C1093" i="56"/>
  <c r="D1093" i="56" s="1"/>
  <c r="E1093" i="56"/>
  <c r="F1093" i="56" s="1"/>
  <c r="G1093" i="56"/>
  <c r="I1093" i="56" s="1"/>
  <c r="H1093" i="56"/>
  <c r="J1093" i="56"/>
  <c r="K1093" i="56"/>
  <c r="C1094" i="56"/>
  <c r="D1094" i="56" s="1"/>
  <c r="E1094" i="56"/>
  <c r="F1094" i="56" s="1"/>
  <c r="G1094" i="56"/>
  <c r="I1094" i="56" s="1"/>
  <c r="H1094" i="56"/>
  <c r="J1094" i="56"/>
  <c r="K1094" i="56"/>
  <c r="C1095" i="56"/>
  <c r="D1095" i="56" s="1"/>
  <c r="E1095" i="56"/>
  <c r="F1095" i="56" s="1"/>
  <c r="G1095" i="56"/>
  <c r="I1095" i="56" s="1"/>
  <c r="H1095" i="56"/>
  <c r="J1095" i="56"/>
  <c r="K1095" i="56"/>
  <c r="C1096" i="56"/>
  <c r="D1096" i="56" s="1"/>
  <c r="E1096" i="56"/>
  <c r="F1096" i="56" s="1"/>
  <c r="G1096" i="56"/>
  <c r="I1096" i="56" s="1"/>
  <c r="H1096" i="56"/>
  <c r="J1096" i="56"/>
  <c r="K1096" i="56"/>
  <c r="C1097" i="56"/>
  <c r="D1097" i="56" s="1"/>
  <c r="E1097" i="56"/>
  <c r="F1097" i="56" s="1"/>
  <c r="G1097" i="56"/>
  <c r="I1097" i="56" s="1"/>
  <c r="H1097" i="56"/>
  <c r="J1097" i="56"/>
  <c r="K1097" i="56"/>
  <c r="C1098" i="56"/>
  <c r="D1098" i="56" s="1"/>
  <c r="E1098" i="56"/>
  <c r="F1098" i="56" s="1"/>
  <c r="G1098" i="56"/>
  <c r="I1098" i="56" s="1"/>
  <c r="H1098" i="56"/>
  <c r="J1098" i="56"/>
  <c r="K1098" i="56"/>
  <c r="C1099" i="56"/>
  <c r="D1099" i="56" s="1"/>
  <c r="E1099" i="56"/>
  <c r="F1099" i="56" s="1"/>
  <c r="G1099" i="56"/>
  <c r="I1099" i="56" s="1"/>
  <c r="H1099" i="56"/>
  <c r="J1099" i="56"/>
  <c r="K1099" i="56"/>
  <c r="C1100" i="56"/>
  <c r="D1100" i="56" s="1"/>
  <c r="E1100" i="56"/>
  <c r="F1100" i="56" s="1"/>
  <c r="G1100" i="56"/>
  <c r="I1100" i="56" s="1"/>
  <c r="H1100" i="56"/>
  <c r="J1100" i="56"/>
  <c r="K1100" i="56"/>
  <c r="C1101" i="56"/>
  <c r="D1101" i="56" s="1"/>
  <c r="E1101" i="56"/>
  <c r="F1101" i="56" s="1"/>
  <c r="G1101" i="56"/>
  <c r="I1101" i="56" s="1"/>
  <c r="H1101" i="56"/>
  <c r="J1101" i="56"/>
  <c r="K1101" i="56"/>
  <c r="C1102" i="56"/>
  <c r="D1102" i="56" s="1"/>
  <c r="E1102" i="56"/>
  <c r="F1102" i="56" s="1"/>
  <c r="G1102" i="56"/>
  <c r="I1102" i="56" s="1"/>
  <c r="H1102" i="56"/>
  <c r="J1102" i="56"/>
  <c r="K1102" i="56"/>
  <c r="C1103" i="56"/>
  <c r="D1103" i="56" s="1"/>
  <c r="E1103" i="56"/>
  <c r="F1103" i="56" s="1"/>
  <c r="G1103" i="56"/>
  <c r="I1103" i="56" s="1"/>
  <c r="H1103" i="56"/>
  <c r="J1103" i="56"/>
  <c r="K1103" i="56"/>
  <c r="C1104" i="56"/>
  <c r="D1104" i="56" s="1"/>
  <c r="E1104" i="56"/>
  <c r="F1104" i="56" s="1"/>
  <c r="G1104" i="56"/>
  <c r="I1104" i="56" s="1"/>
  <c r="H1104" i="56"/>
  <c r="J1104" i="56"/>
  <c r="K1104" i="56"/>
  <c r="C1105" i="56"/>
  <c r="D1105" i="56" s="1"/>
  <c r="E1105" i="56"/>
  <c r="F1105" i="56" s="1"/>
  <c r="G1105" i="56"/>
  <c r="I1105" i="56" s="1"/>
  <c r="H1105" i="56"/>
  <c r="J1105" i="56"/>
  <c r="K1105" i="56"/>
  <c r="C1106" i="56"/>
  <c r="D1106" i="56" s="1"/>
  <c r="E1106" i="56"/>
  <c r="F1106" i="56" s="1"/>
  <c r="G1106" i="56"/>
  <c r="I1106" i="56" s="1"/>
  <c r="H1106" i="56"/>
  <c r="J1106" i="56"/>
  <c r="K1106" i="56"/>
  <c r="C1107" i="56"/>
  <c r="D1107" i="56" s="1"/>
  <c r="E1107" i="56"/>
  <c r="F1107" i="56" s="1"/>
  <c r="G1107" i="56"/>
  <c r="I1107" i="56" s="1"/>
  <c r="H1107" i="56"/>
  <c r="J1107" i="56"/>
  <c r="K1107" i="56"/>
  <c r="C1108" i="56"/>
  <c r="D1108" i="56" s="1"/>
  <c r="E1108" i="56"/>
  <c r="F1108" i="56" s="1"/>
  <c r="G1108" i="56"/>
  <c r="I1108" i="56" s="1"/>
  <c r="H1108" i="56"/>
  <c r="J1108" i="56"/>
  <c r="K1108" i="56"/>
  <c r="C1109" i="56"/>
  <c r="D1109" i="56" s="1"/>
  <c r="E1109" i="56"/>
  <c r="F1109" i="56" s="1"/>
  <c r="G1109" i="56"/>
  <c r="I1109" i="56" s="1"/>
  <c r="H1109" i="56"/>
  <c r="J1109" i="56"/>
  <c r="K1109" i="56"/>
  <c r="C1110" i="56"/>
  <c r="D1110" i="56" s="1"/>
  <c r="E1110" i="56"/>
  <c r="F1110" i="56" s="1"/>
  <c r="G1110" i="56"/>
  <c r="I1110" i="56" s="1"/>
  <c r="H1110" i="56"/>
  <c r="J1110" i="56"/>
  <c r="K1110" i="56"/>
  <c r="C1111" i="56"/>
  <c r="D1111" i="56" s="1"/>
  <c r="E1111" i="56"/>
  <c r="F1111" i="56" s="1"/>
  <c r="G1111" i="56"/>
  <c r="I1111" i="56" s="1"/>
  <c r="H1111" i="56"/>
  <c r="J1111" i="56"/>
  <c r="K1111" i="56"/>
  <c r="C1112" i="56"/>
  <c r="D1112" i="56" s="1"/>
  <c r="E1112" i="56"/>
  <c r="F1112" i="56" s="1"/>
  <c r="G1112" i="56"/>
  <c r="I1112" i="56" s="1"/>
  <c r="H1112" i="56"/>
  <c r="J1112" i="56"/>
  <c r="K1112" i="56"/>
  <c r="C1113" i="56"/>
  <c r="D1113" i="56" s="1"/>
  <c r="E1113" i="56"/>
  <c r="F1113" i="56" s="1"/>
  <c r="G1113" i="56"/>
  <c r="I1113" i="56" s="1"/>
  <c r="H1113" i="56"/>
  <c r="J1113" i="56"/>
  <c r="K1113" i="56"/>
  <c r="C1114" i="56"/>
  <c r="D1114" i="56" s="1"/>
  <c r="E1114" i="56"/>
  <c r="F1114" i="56" s="1"/>
  <c r="G1114" i="56"/>
  <c r="I1114" i="56" s="1"/>
  <c r="H1114" i="56"/>
  <c r="J1114" i="56"/>
  <c r="K1114" i="56"/>
  <c r="C1115" i="56"/>
  <c r="D1115" i="56" s="1"/>
  <c r="E1115" i="56"/>
  <c r="F1115" i="56" s="1"/>
  <c r="G1115" i="56"/>
  <c r="I1115" i="56" s="1"/>
  <c r="H1115" i="56"/>
  <c r="J1115" i="56"/>
  <c r="K1115" i="56"/>
  <c r="C1116" i="56"/>
  <c r="D1116" i="56" s="1"/>
  <c r="E1116" i="56"/>
  <c r="F1116" i="56" s="1"/>
  <c r="G1116" i="56"/>
  <c r="I1116" i="56" s="1"/>
  <c r="H1116" i="56"/>
  <c r="J1116" i="56"/>
  <c r="K1116" i="56"/>
  <c r="C1117" i="56"/>
  <c r="D1117" i="56" s="1"/>
  <c r="E1117" i="56"/>
  <c r="F1117" i="56" s="1"/>
  <c r="G1117" i="56"/>
  <c r="I1117" i="56" s="1"/>
  <c r="H1117" i="56"/>
  <c r="J1117" i="56"/>
  <c r="K1117" i="56"/>
  <c r="C1118" i="56"/>
  <c r="D1118" i="56" s="1"/>
  <c r="E1118" i="56"/>
  <c r="F1118" i="56" s="1"/>
  <c r="G1118" i="56"/>
  <c r="I1118" i="56" s="1"/>
  <c r="H1118" i="56"/>
  <c r="J1118" i="56"/>
  <c r="K1118" i="56"/>
  <c r="C1119" i="56"/>
  <c r="D1119" i="56" s="1"/>
  <c r="E1119" i="56"/>
  <c r="F1119" i="56" s="1"/>
  <c r="G1119" i="56"/>
  <c r="I1119" i="56" s="1"/>
  <c r="H1119" i="56"/>
  <c r="J1119" i="56"/>
  <c r="K1119" i="56"/>
  <c r="C1120" i="56"/>
  <c r="D1120" i="56" s="1"/>
  <c r="E1120" i="56"/>
  <c r="F1120" i="56" s="1"/>
  <c r="G1120" i="56"/>
  <c r="I1120" i="56" s="1"/>
  <c r="H1120" i="56"/>
  <c r="J1120" i="56"/>
  <c r="K1120" i="56"/>
  <c r="C1121" i="56"/>
  <c r="D1121" i="56" s="1"/>
  <c r="E1121" i="56"/>
  <c r="F1121" i="56" s="1"/>
  <c r="G1121" i="56"/>
  <c r="I1121" i="56" s="1"/>
  <c r="H1121" i="56"/>
  <c r="J1121" i="56"/>
  <c r="K1121" i="56"/>
  <c r="C1122" i="56"/>
  <c r="D1122" i="56" s="1"/>
  <c r="E1122" i="56"/>
  <c r="F1122" i="56" s="1"/>
  <c r="G1122" i="56"/>
  <c r="I1122" i="56" s="1"/>
  <c r="H1122" i="56"/>
  <c r="J1122" i="56"/>
  <c r="K1122" i="56"/>
  <c r="C1123" i="56"/>
  <c r="D1123" i="56" s="1"/>
  <c r="E1123" i="56"/>
  <c r="F1123" i="56" s="1"/>
  <c r="G1123" i="56"/>
  <c r="I1123" i="56" s="1"/>
  <c r="H1123" i="56"/>
  <c r="J1123" i="56"/>
  <c r="K1123" i="56"/>
  <c r="C1124" i="56"/>
  <c r="D1124" i="56" s="1"/>
  <c r="E1124" i="56"/>
  <c r="F1124" i="56" s="1"/>
  <c r="G1124" i="56"/>
  <c r="I1124" i="56" s="1"/>
  <c r="H1124" i="56"/>
  <c r="J1124" i="56"/>
  <c r="K1124" i="56"/>
  <c r="C1125" i="56"/>
  <c r="D1125" i="56" s="1"/>
  <c r="E1125" i="56"/>
  <c r="F1125" i="56" s="1"/>
  <c r="G1125" i="56"/>
  <c r="I1125" i="56" s="1"/>
  <c r="H1125" i="56"/>
  <c r="J1125" i="56"/>
  <c r="K1125" i="56"/>
  <c r="C1126" i="56"/>
  <c r="D1126" i="56" s="1"/>
  <c r="E1126" i="56"/>
  <c r="F1126" i="56" s="1"/>
  <c r="G1126" i="56"/>
  <c r="I1126" i="56" s="1"/>
  <c r="H1126" i="56"/>
  <c r="J1126" i="56"/>
  <c r="K1126" i="56"/>
  <c r="C1127" i="56"/>
  <c r="D1127" i="56" s="1"/>
  <c r="E1127" i="56"/>
  <c r="F1127" i="56" s="1"/>
  <c r="G1127" i="56"/>
  <c r="I1127" i="56" s="1"/>
  <c r="H1127" i="56"/>
  <c r="J1127" i="56"/>
  <c r="K1127" i="56"/>
  <c r="C1128" i="56"/>
  <c r="D1128" i="56" s="1"/>
  <c r="E1128" i="56"/>
  <c r="F1128" i="56" s="1"/>
  <c r="G1128" i="56"/>
  <c r="I1128" i="56" s="1"/>
  <c r="H1128" i="56"/>
  <c r="J1128" i="56"/>
  <c r="K1128" i="56"/>
  <c r="C1129" i="56"/>
  <c r="D1129" i="56" s="1"/>
  <c r="E1129" i="56"/>
  <c r="F1129" i="56" s="1"/>
  <c r="G1129" i="56"/>
  <c r="I1129" i="56" s="1"/>
  <c r="H1129" i="56"/>
  <c r="J1129" i="56"/>
  <c r="K1129" i="56"/>
  <c r="C1130" i="56"/>
  <c r="D1130" i="56" s="1"/>
  <c r="E1130" i="56"/>
  <c r="F1130" i="56" s="1"/>
  <c r="G1130" i="56"/>
  <c r="I1130" i="56" s="1"/>
  <c r="H1130" i="56"/>
  <c r="J1130" i="56"/>
  <c r="K1130" i="56"/>
  <c r="C1131" i="56"/>
  <c r="D1131" i="56" s="1"/>
  <c r="E1131" i="56"/>
  <c r="F1131" i="56" s="1"/>
  <c r="G1131" i="56"/>
  <c r="I1131" i="56" s="1"/>
  <c r="H1131" i="56"/>
  <c r="J1131" i="56"/>
  <c r="K1131" i="56"/>
  <c r="C1132" i="56"/>
  <c r="D1132" i="56" s="1"/>
  <c r="E1132" i="56"/>
  <c r="F1132" i="56" s="1"/>
  <c r="G1132" i="56"/>
  <c r="I1132" i="56" s="1"/>
  <c r="H1132" i="56"/>
  <c r="J1132" i="56"/>
  <c r="K1132" i="56"/>
  <c r="C1133" i="56"/>
  <c r="D1133" i="56" s="1"/>
  <c r="E1133" i="56"/>
  <c r="F1133" i="56" s="1"/>
  <c r="G1133" i="56"/>
  <c r="I1133" i="56" s="1"/>
  <c r="H1133" i="56"/>
  <c r="J1133" i="56"/>
  <c r="K1133" i="56"/>
  <c r="C1134" i="56"/>
  <c r="D1134" i="56" s="1"/>
  <c r="E1134" i="56"/>
  <c r="F1134" i="56" s="1"/>
  <c r="G1134" i="56"/>
  <c r="I1134" i="56" s="1"/>
  <c r="H1134" i="56"/>
  <c r="J1134" i="56"/>
  <c r="K1134" i="56"/>
  <c r="C1135" i="56"/>
  <c r="D1135" i="56" s="1"/>
  <c r="E1135" i="56"/>
  <c r="F1135" i="56" s="1"/>
  <c r="G1135" i="56"/>
  <c r="I1135" i="56" s="1"/>
  <c r="H1135" i="56"/>
  <c r="J1135" i="56"/>
  <c r="K1135" i="56"/>
  <c r="C1136" i="56"/>
  <c r="D1136" i="56" s="1"/>
  <c r="E1136" i="56"/>
  <c r="F1136" i="56" s="1"/>
  <c r="G1136" i="56"/>
  <c r="I1136" i="56" s="1"/>
  <c r="H1136" i="56"/>
  <c r="J1136" i="56"/>
  <c r="K1136" i="56"/>
  <c r="C1137" i="56"/>
  <c r="D1137" i="56" s="1"/>
  <c r="E1137" i="56"/>
  <c r="F1137" i="56" s="1"/>
  <c r="G1137" i="56"/>
  <c r="I1137" i="56" s="1"/>
  <c r="H1137" i="56"/>
  <c r="J1137" i="56"/>
  <c r="K1137" i="56"/>
  <c r="C1138" i="56"/>
  <c r="D1138" i="56" s="1"/>
  <c r="E1138" i="56"/>
  <c r="F1138" i="56" s="1"/>
  <c r="G1138" i="56"/>
  <c r="I1138" i="56" s="1"/>
  <c r="H1138" i="56"/>
  <c r="J1138" i="56"/>
  <c r="K1138" i="56"/>
  <c r="C1139" i="56"/>
  <c r="D1139" i="56" s="1"/>
  <c r="E1139" i="56"/>
  <c r="F1139" i="56" s="1"/>
  <c r="G1139" i="56"/>
  <c r="I1139" i="56" s="1"/>
  <c r="H1139" i="56"/>
  <c r="J1139" i="56"/>
  <c r="K1139" i="56"/>
  <c r="C1140" i="56"/>
  <c r="D1140" i="56" s="1"/>
  <c r="E1140" i="56"/>
  <c r="F1140" i="56" s="1"/>
  <c r="G1140" i="56"/>
  <c r="I1140" i="56" s="1"/>
  <c r="H1140" i="56"/>
  <c r="J1140" i="56"/>
  <c r="K1140" i="56"/>
  <c r="C1141" i="56"/>
  <c r="D1141" i="56" s="1"/>
  <c r="E1141" i="56"/>
  <c r="F1141" i="56" s="1"/>
  <c r="G1141" i="56"/>
  <c r="I1141" i="56" s="1"/>
  <c r="H1141" i="56"/>
  <c r="J1141" i="56"/>
  <c r="K1141" i="56"/>
  <c r="C1142" i="56"/>
  <c r="D1142" i="56" s="1"/>
  <c r="E1142" i="56"/>
  <c r="F1142" i="56" s="1"/>
  <c r="G1142" i="56"/>
  <c r="I1142" i="56" s="1"/>
  <c r="H1142" i="56"/>
  <c r="J1142" i="56"/>
  <c r="K1142" i="56"/>
  <c r="C1143" i="56"/>
  <c r="D1143" i="56" s="1"/>
  <c r="E1143" i="56"/>
  <c r="F1143" i="56" s="1"/>
  <c r="G1143" i="56"/>
  <c r="I1143" i="56" s="1"/>
  <c r="H1143" i="56"/>
  <c r="J1143" i="56"/>
  <c r="K1143" i="56"/>
  <c r="C1144" i="56"/>
  <c r="D1144" i="56" s="1"/>
  <c r="E1144" i="56"/>
  <c r="F1144" i="56" s="1"/>
  <c r="G1144" i="56"/>
  <c r="I1144" i="56" s="1"/>
  <c r="H1144" i="56"/>
  <c r="J1144" i="56"/>
  <c r="K1144" i="56"/>
  <c r="C1145" i="56"/>
  <c r="D1145" i="56" s="1"/>
  <c r="E1145" i="56"/>
  <c r="F1145" i="56" s="1"/>
  <c r="G1145" i="56"/>
  <c r="I1145" i="56" s="1"/>
  <c r="H1145" i="56"/>
  <c r="J1145" i="56"/>
  <c r="K1145" i="56"/>
  <c r="C1146" i="56"/>
  <c r="D1146" i="56" s="1"/>
  <c r="E1146" i="56"/>
  <c r="F1146" i="56" s="1"/>
  <c r="G1146" i="56"/>
  <c r="I1146" i="56" s="1"/>
  <c r="H1146" i="56"/>
  <c r="J1146" i="56"/>
  <c r="K1146" i="56"/>
  <c r="C1147" i="56"/>
  <c r="D1147" i="56" s="1"/>
  <c r="E1147" i="56"/>
  <c r="F1147" i="56" s="1"/>
  <c r="G1147" i="56"/>
  <c r="I1147" i="56" s="1"/>
  <c r="H1147" i="56"/>
  <c r="J1147" i="56"/>
  <c r="K1147" i="56"/>
  <c r="C1148" i="56"/>
  <c r="D1148" i="56" s="1"/>
  <c r="E1148" i="56"/>
  <c r="F1148" i="56" s="1"/>
  <c r="G1148" i="56"/>
  <c r="I1148" i="56" s="1"/>
  <c r="H1148" i="56"/>
  <c r="J1148" i="56"/>
  <c r="K1148" i="56"/>
  <c r="C1149" i="56"/>
  <c r="D1149" i="56" s="1"/>
  <c r="E1149" i="56"/>
  <c r="F1149" i="56" s="1"/>
  <c r="G1149" i="56"/>
  <c r="I1149" i="56" s="1"/>
  <c r="H1149" i="56"/>
  <c r="J1149" i="56"/>
  <c r="K1149" i="56"/>
  <c r="C1150" i="56"/>
  <c r="D1150" i="56" s="1"/>
  <c r="E1150" i="56"/>
  <c r="F1150" i="56" s="1"/>
  <c r="G1150" i="56"/>
  <c r="I1150" i="56" s="1"/>
  <c r="H1150" i="56"/>
  <c r="J1150" i="56"/>
  <c r="K1150" i="56"/>
  <c r="C1151" i="56"/>
  <c r="D1151" i="56" s="1"/>
  <c r="E1151" i="56"/>
  <c r="F1151" i="56" s="1"/>
  <c r="G1151" i="56"/>
  <c r="I1151" i="56" s="1"/>
  <c r="H1151" i="56"/>
  <c r="J1151" i="56"/>
  <c r="K1151" i="56"/>
  <c r="C1152" i="56"/>
  <c r="D1152" i="56" s="1"/>
  <c r="E1152" i="56"/>
  <c r="F1152" i="56" s="1"/>
  <c r="G1152" i="56"/>
  <c r="I1152" i="56" s="1"/>
  <c r="H1152" i="56"/>
  <c r="J1152" i="56"/>
  <c r="K1152" i="56"/>
  <c r="C1153" i="56"/>
  <c r="D1153" i="56" s="1"/>
  <c r="E1153" i="56"/>
  <c r="F1153" i="56" s="1"/>
  <c r="G1153" i="56"/>
  <c r="I1153" i="56" s="1"/>
  <c r="H1153" i="56"/>
  <c r="J1153" i="56"/>
  <c r="K1153" i="56"/>
  <c r="C1154" i="56"/>
  <c r="D1154" i="56" s="1"/>
  <c r="E1154" i="56"/>
  <c r="F1154" i="56" s="1"/>
  <c r="G1154" i="56"/>
  <c r="I1154" i="56" s="1"/>
  <c r="H1154" i="56"/>
  <c r="J1154" i="56"/>
  <c r="K1154" i="56"/>
  <c r="C1155" i="56"/>
  <c r="D1155" i="56" s="1"/>
  <c r="E1155" i="56"/>
  <c r="F1155" i="56" s="1"/>
  <c r="G1155" i="56"/>
  <c r="I1155" i="56" s="1"/>
  <c r="H1155" i="56"/>
  <c r="J1155" i="56"/>
  <c r="K1155" i="56"/>
  <c r="C1156" i="56"/>
  <c r="D1156" i="56" s="1"/>
  <c r="E1156" i="56"/>
  <c r="F1156" i="56" s="1"/>
  <c r="G1156" i="56"/>
  <c r="I1156" i="56" s="1"/>
  <c r="H1156" i="56"/>
  <c r="J1156" i="56"/>
  <c r="K1156" i="56"/>
  <c r="C1157" i="56"/>
  <c r="D1157" i="56" s="1"/>
  <c r="E1157" i="56"/>
  <c r="F1157" i="56" s="1"/>
  <c r="G1157" i="56"/>
  <c r="I1157" i="56" s="1"/>
  <c r="H1157" i="56"/>
  <c r="J1157" i="56"/>
  <c r="K1157" i="56"/>
  <c r="C1158" i="56"/>
  <c r="D1158" i="56" s="1"/>
  <c r="E1158" i="56"/>
  <c r="F1158" i="56" s="1"/>
  <c r="G1158" i="56"/>
  <c r="I1158" i="56" s="1"/>
  <c r="H1158" i="56"/>
  <c r="J1158" i="56"/>
  <c r="K1158" i="56"/>
  <c r="C1159" i="56"/>
  <c r="D1159" i="56" s="1"/>
  <c r="E1159" i="56"/>
  <c r="F1159" i="56" s="1"/>
  <c r="G1159" i="56"/>
  <c r="I1159" i="56" s="1"/>
  <c r="H1159" i="56"/>
  <c r="J1159" i="56"/>
  <c r="K1159" i="56"/>
  <c r="C1160" i="56"/>
  <c r="D1160" i="56" s="1"/>
  <c r="E1160" i="56"/>
  <c r="F1160" i="56" s="1"/>
  <c r="G1160" i="56"/>
  <c r="I1160" i="56" s="1"/>
  <c r="H1160" i="56"/>
  <c r="J1160" i="56"/>
  <c r="K1160" i="56"/>
  <c r="C1161" i="56"/>
  <c r="D1161" i="56" s="1"/>
  <c r="E1161" i="56"/>
  <c r="F1161" i="56" s="1"/>
  <c r="G1161" i="56"/>
  <c r="I1161" i="56" s="1"/>
  <c r="H1161" i="56"/>
  <c r="J1161" i="56"/>
  <c r="K1161" i="56"/>
  <c r="C1162" i="56"/>
  <c r="D1162" i="56" s="1"/>
  <c r="E1162" i="56"/>
  <c r="F1162" i="56" s="1"/>
  <c r="G1162" i="56"/>
  <c r="I1162" i="56" s="1"/>
  <c r="H1162" i="56"/>
  <c r="J1162" i="56"/>
  <c r="K1162" i="56"/>
  <c r="C1163" i="56"/>
  <c r="D1163" i="56" s="1"/>
  <c r="E1163" i="56"/>
  <c r="F1163" i="56" s="1"/>
  <c r="G1163" i="56"/>
  <c r="I1163" i="56" s="1"/>
  <c r="H1163" i="56"/>
  <c r="J1163" i="56"/>
  <c r="K1163" i="56"/>
  <c r="C1164" i="56"/>
  <c r="D1164" i="56" s="1"/>
  <c r="E1164" i="56"/>
  <c r="F1164" i="56" s="1"/>
  <c r="G1164" i="56"/>
  <c r="I1164" i="56" s="1"/>
  <c r="H1164" i="56"/>
  <c r="J1164" i="56"/>
  <c r="K1164" i="56"/>
  <c r="C1165" i="56"/>
  <c r="D1165" i="56" s="1"/>
  <c r="E1165" i="56"/>
  <c r="F1165" i="56" s="1"/>
  <c r="G1165" i="56"/>
  <c r="I1165" i="56" s="1"/>
  <c r="H1165" i="56"/>
  <c r="J1165" i="56"/>
  <c r="K1165" i="56"/>
  <c r="C1166" i="56"/>
  <c r="D1166" i="56" s="1"/>
  <c r="E1166" i="56"/>
  <c r="F1166" i="56" s="1"/>
  <c r="G1166" i="56"/>
  <c r="I1166" i="56" s="1"/>
  <c r="H1166" i="56"/>
  <c r="J1166" i="56"/>
  <c r="K1166" i="56"/>
  <c r="C1167" i="56"/>
  <c r="D1167" i="56" s="1"/>
  <c r="E1167" i="56"/>
  <c r="F1167" i="56" s="1"/>
  <c r="G1167" i="56"/>
  <c r="I1167" i="56" s="1"/>
  <c r="H1167" i="56"/>
  <c r="J1167" i="56"/>
  <c r="K1167" i="56"/>
  <c r="C1168" i="56"/>
  <c r="D1168" i="56" s="1"/>
  <c r="E1168" i="56"/>
  <c r="F1168" i="56" s="1"/>
  <c r="G1168" i="56"/>
  <c r="I1168" i="56" s="1"/>
  <c r="H1168" i="56"/>
  <c r="J1168" i="56"/>
  <c r="K1168" i="56"/>
  <c r="C1169" i="56"/>
  <c r="D1169" i="56" s="1"/>
  <c r="E1169" i="56"/>
  <c r="F1169" i="56" s="1"/>
  <c r="G1169" i="56"/>
  <c r="I1169" i="56" s="1"/>
  <c r="H1169" i="56"/>
  <c r="J1169" i="56"/>
  <c r="K1169" i="56"/>
  <c r="C1170" i="56"/>
  <c r="D1170" i="56" s="1"/>
  <c r="E1170" i="56"/>
  <c r="F1170" i="56" s="1"/>
  <c r="G1170" i="56"/>
  <c r="I1170" i="56" s="1"/>
  <c r="H1170" i="56"/>
  <c r="J1170" i="56"/>
  <c r="K1170" i="56"/>
  <c r="C1171" i="56"/>
  <c r="D1171" i="56" s="1"/>
  <c r="E1171" i="56"/>
  <c r="F1171" i="56" s="1"/>
  <c r="G1171" i="56"/>
  <c r="I1171" i="56" s="1"/>
  <c r="H1171" i="56"/>
  <c r="J1171" i="56"/>
  <c r="K1171" i="56"/>
  <c r="C1172" i="56"/>
  <c r="D1172" i="56" s="1"/>
  <c r="E1172" i="56"/>
  <c r="F1172" i="56" s="1"/>
  <c r="G1172" i="56"/>
  <c r="I1172" i="56" s="1"/>
  <c r="H1172" i="56"/>
  <c r="J1172" i="56"/>
  <c r="K1172" i="56"/>
  <c r="C1173" i="56"/>
  <c r="D1173" i="56" s="1"/>
  <c r="E1173" i="56"/>
  <c r="F1173" i="56" s="1"/>
  <c r="G1173" i="56"/>
  <c r="I1173" i="56" s="1"/>
  <c r="H1173" i="56"/>
  <c r="J1173" i="56"/>
  <c r="K1173" i="56"/>
  <c r="C1174" i="56"/>
  <c r="D1174" i="56" s="1"/>
  <c r="E1174" i="56"/>
  <c r="F1174" i="56" s="1"/>
  <c r="G1174" i="56"/>
  <c r="I1174" i="56" s="1"/>
  <c r="H1174" i="56"/>
  <c r="J1174" i="56"/>
  <c r="K1174" i="56"/>
  <c r="C1175" i="56"/>
  <c r="D1175" i="56" s="1"/>
  <c r="E1175" i="56"/>
  <c r="F1175" i="56" s="1"/>
  <c r="G1175" i="56"/>
  <c r="I1175" i="56" s="1"/>
  <c r="H1175" i="56"/>
  <c r="J1175" i="56"/>
  <c r="K1175" i="56"/>
  <c r="C1176" i="56"/>
  <c r="D1176" i="56" s="1"/>
  <c r="E1176" i="56"/>
  <c r="F1176" i="56" s="1"/>
  <c r="G1176" i="56"/>
  <c r="I1176" i="56" s="1"/>
  <c r="H1176" i="56"/>
  <c r="J1176" i="56"/>
  <c r="K1176" i="56"/>
  <c r="C1177" i="56"/>
  <c r="D1177" i="56" s="1"/>
  <c r="E1177" i="56"/>
  <c r="F1177" i="56" s="1"/>
  <c r="G1177" i="56"/>
  <c r="I1177" i="56" s="1"/>
  <c r="H1177" i="56"/>
  <c r="J1177" i="56"/>
  <c r="K1177" i="56"/>
  <c r="C1178" i="56"/>
  <c r="D1178" i="56" s="1"/>
  <c r="E1178" i="56"/>
  <c r="F1178" i="56" s="1"/>
  <c r="G1178" i="56"/>
  <c r="I1178" i="56" s="1"/>
  <c r="H1178" i="56"/>
  <c r="J1178" i="56"/>
  <c r="K1178" i="56"/>
  <c r="C1179" i="56"/>
  <c r="D1179" i="56" s="1"/>
  <c r="E1179" i="56"/>
  <c r="F1179" i="56" s="1"/>
  <c r="G1179" i="56"/>
  <c r="I1179" i="56" s="1"/>
  <c r="H1179" i="56"/>
  <c r="J1179" i="56"/>
  <c r="K1179" i="56"/>
  <c r="C1180" i="56"/>
  <c r="D1180" i="56" s="1"/>
  <c r="E1180" i="56"/>
  <c r="F1180" i="56" s="1"/>
  <c r="G1180" i="56"/>
  <c r="I1180" i="56" s="1"/>
  <c r="H1180" i="56"/>
  <c r="J1180" i="56"/>
  <c r="K1180" i="56"/>
  <c r="C1181" i="56"/>
  <c r="D1181" i="56" s="1"/>
  <c r="E1181" i="56"/>
  <c r="F1181" i="56" s="1"/>
  <c r="G1181" i="56"/>
  <c r="I1181" i="56" s="1"/>
  <c r="H1181" i="56"/>
  <c r="J1181" i="56"/>
  <c r="K1181" i="56"/>
  <c r="C1182" i="56"/>
  <c r="D1182" i="56" s="1"/>
  <c r="E1182" i="56"/>
  <c r="F1182" i="56" s="1"/>
  <c r="G1182" i="56"/>
  <c r="I1182" i="56" s="1"/>
  <c r="H1182" i="56"/>
  <c r="J1182" i="56"/>
  <c r="K1182" i="56"/>
  <c r="C1183" i="56"/>
  <c r="D1183" i="56" s="1"/>
  <c r="E1183" i="56"/>
  <c r="F1183" i="56" s="1"/>
  <c r="G1183" i="56"/>
  <c r="I1183" i="56" s="1"/>
  <c r="H1183" i="56"/>
  <c r="J1183" i="56"/>
  <c r="K1183" i="56"/>
  <c r="C1184" i="56"/>
  <c r="D1184" i="56" s="1"/>
  <c r="E1184" i="56"/>
  <c r="F1184" i="56" s="1"/>
  <c r="G1184" i="56"/>
  <c r="I1184" i="56" s="1"/>
  <c r="H1184" i="56"/>
  <c r="J1184" i="56"/>
  <c r="K1184" i="56"/>
  <c r="C1185" i="56"/>
  <c r="D1185" i="56" s="1"/>
  <c r="E1185" i="56"/>
  <c r="F1185" i="56" s="1"/>
  <c r="G1185" i="56"/>
  <c r="I1185" i="56" s="1"/>
  <c r="H1185" i="56"/>
  <c r="J1185" i="56"/>
  <c r="K1185" i="56"/>
  <c r="C1186" i="56"/>
  <c r="D1186" i="56" s="1"/>
  <c r="E1186" i="56"/>
  <c r="F1186" i="56" s="1"/>
  <c r="G1186" i="56"/>
  <c r="I1186" i="56" s="1"/>
  <c r="H1186" i="56"/>
  <c r="J1186" i="56"/>
  <c r="K1186" i="56"/>
  <c r="C1187" i="56"/>
  <c r="D1187" i="56" s="1"/>
  <c r="E1187" i="56"/>
  <c r="F1187" i="56" s="1"/>
  <c r="G1187" i="56"/>
  <c r="I1187" i="56" s="1"/>
  <c r="H1187" i="56"/>
  <c r="J1187" i="56"/>
  <c r="K1187" i="56"/>
  <c r="C1188" i="56"/>
  <c r="D1188" i="56" s="1"/>
  <c r="E1188" i="56"/>
  <c r="F1188" i="56" s="1"/>
  <c r="G1188" i="56"/>
  <c r="I1188" i="56" s="1"/>
  <c r="H1188" i="56"/>
  <c r="J1188" i="56"/>
  <c r="K1188" i="56"/>
  <c r="C1189" i="56"/>
  <c r="D1189" i="56" s="1"/>
  <c r="E1189" i="56"/>
  <c r="F1189" i="56" s="1"/>
  <c r="G1189" i="56"/>
  <c r="I1189" i="56" s="1"/>
  <c r="H1189" i="56"/>
  <c r="J1189" i="56"/>
  <c r="K1189" i="56"/>
  <c r="C1190" i="56"/>
  <c r="D1190" i="56" s="1"/>
  <c r="E1190" i="56"/>
  <c r="F1190" i="56" s="1"/>
  <c r="G1190" i="56"/>
  <c r="I1190" i="56" s="1"/>
  <c r="H1190" i="56"/>
  <c r="J1190" i="56"/>
  <c r="K1190" i="56"/>
  <c r="C1191" i="56"/>
  <c r="D1191" i="56" s="1"/>
  <c r="E1191" i="56"/>
  <c r="F1191" i="56" s="1"/>
  <c r="G1191" i="56"/>
  <c r="I1191" i="56" s="1"/>
  <c r="H1191" i="56"/>
  <c r="J1191" i="56"/>
  <c r="K1191" i="56"/>
  <c r="C1192" i="56"/>
  <c r="D1192" i="56" s="1"/>
  <c r="E1192" i="56"/>
  <c r="F1192" i="56" s="1"/>
  <c r="G1192" i="56"/>
  <c r="I1192" i="56" s="1"/>
  <c r="H1192" i="56"/>
  <c r="J1192" i="56"/>
  <c r="K1192" i="56"/>
  <c r="C1193" i="56"/>
  <c r="D1193" i="56" s="1"/>
  <c r="E1193" i="56"/>
  <c r="F1193" i="56" s="1"/>
  <c r="G1193" i="56"/>
  <c r="I1193" i="56" s="1"/>
  <c r="H1193" i="56"/>
  <c r="J1193" i="56"/>
  <c r="K1193" i="56"/>
  <c r="C1194" i="56"/>
  <c r="D1194" i="56" s="1"/>
  <c r="E1194" i="56"/>
  <c r="F1194" i="56" s="1"/>
  <c r="G1194" i="56"/>
  <c r="I1194" i="56" s="1"/>
  <c r="H1194" i="56"/>
  <c r="J1194" i="56"/>
  <c r="K1194" i="56"/>
  <c r="C1195" i="56"/>
  <c r="D1195" i="56" s="1"/>
  <c r="E1195" i="56"/>
  <c r="F1195" i="56" s="1"/>
  <c r="G1195" i="56"/>
  <c r="I1195" i="56" s="1"/>
  <c r="H1195" i="56"/>
  <c r="J1195" i="56"/>
  <c r="K1195" i="56"/>
  <c r="C1196" i="56"/>
  <c r="D1196" i="56" s="1"/>
  <c r="E1196" i="56"/>
  <c r="F1196" i="56" s="1"/>
  <c r="G1196" i="56"/>
  <c r="I1196" i="56" s="1"/>
  <c r="H1196" i="56"/>
  <c r="J1196" i="56"/>
  <c r="K1196" i="56"/>
  <c r="C1197" i="56"/>
  <c r="D1197" i="56" s="1"/>
  <c r="E1197" i="56"/>
  <c r="F1197" i="56" s="1"/>
  <c r="G1197" i="56"/>
  <c r="I1197" i="56" s="1"/>
  <c r="H1197" i="56"/>
  <c r="J1197" i="56"/>
  <c r="K1197" i="56"/>
  <c r="C1198" i="56"/>
  <c r="D1198" i="56" s="1"/>
  <c r="E1198" i="56"/>
  <c r="F1198" i="56" s="1"/>
  <c r="G1198" i="56"/>
  <c r="I1198" i="56" s="1"/>
  <c r="H1198" i="56"/>
  <c r="J1198" i="56"/>
  <c r="K1198" i="56"/>
  <c r="C1199" i="56"/>
  <c r="D1199" i="56" s="1"/>
  <c r="E1199" i="56"/>
  <c r="F1199" i="56" s="1"/>
  <c r="G1199" i="56"/>
  <c r="I1199" i="56" s="1"/>
  <c r="H1199" i="56"/>
  <c r="J1199" i="56"/>
  <c r="K1199" i="56"/>
  <c r="C1200" i="56"/>
  <c r="D1200" i="56" s="1"/>
  <c r="E1200" i="56"/>
  <c r="F1200" i="56" s="1"/>
  <c r="G1200" i="56"/>
  <c r="I1200" i="56" s="1"/>
  <c r="H1200" i="56"/>
  <c r="J1200" i="56"/>
  <c r="K1200" i="56"/>
  <c r="C1201" i="56"/>
  <c r="D1201" i="56" s="1"/>
  <c r="E1201" i="56"/>
  <c r="F1201" i="56" s="1"/>
  <c r="G1201" i="56"/>
  <c r="I1201" i="56" s="1"/>
  <c r="H1201" i="56"/>
  <c r="J1201" i="56"/>
  <c r="K1201" i="56"/>
  <c r="C1202" i="56"/>
  <c r="D1202" i="56" s="1"/>
  <c r="E1202" i="56"/>
  <c r="F1202" i="56" s="1"/>
  <c r="G1202" i="56"/>
  <c r="I1202" i="56" s="1"/>
  <c r="H1202" i="56"/>
  <c r="J1202" i="56"/>
  <c r="K1202" i="56"/>
  <c r="C1203" i="56"/>
  <c r="D1203" i="56" s="1"/>
  <c r="E1203" i="56"/>
  <c r="F1203" i="56" s="1"/>
  <c r="G1203" i="56"/>
  <c r="I1203" i="56" s="1"/>
  <c r="H1203" i="56"/>
  <c r="J1203" i="56"/>
  <c r="K1203" i="56"/>
  <c r="C1204" i="56"/>
  <c r="D1204" i="56" s="1"/>
  <c r="E1204" i="56"/>
  <c r="F1204" i="56" s="1"/>
  <c r="G1204" i="56"/>
  <c r="I1204" i="56" s="1"/>
  <c r="H1204" i="56"/>
  <c r="J1204" i="56"/>
  <c r="K1204" i="56"/>
  <c r="C1205" i="56"/>
  <c r="D1205" i="56" s="1"/>
  <c r="E1205" i="56"/>
  <c r="F1205" i="56" s="1"/>
  <c r="G1205" i="56"/>
  <c r="I1205" i="56" s="1"/>
  <c r="H1205" i="56"/>
  <c r="J1205" i="56"/>
  <c r="K1205" i="56"/>
  <c r="C1206" i="56"/>
  <c r="D1206" i="56" s="1"/>
  <c r="E1206" i="56"/>
  <c r="F1206" i="56" s="1"/>
  <c r="G1206" i="56"/>
  <c r="I1206" i="56" s="1"/>
  <c r="H1206" i="56"/>
  <c r="J1206" i="56"/>
  <c r="K1206" i="56"/>
  <c r="C1207" i="56"/>
  <c r="D1207" i="56" s="1"/>
  <c r="E1207" i="56"/>
  <c r="F1207" i="56" s="1"/>
  <c r="G1207" i="56"/>
  <c r="I1207" i="56" s="1"/>
  <c r="H1207" i="56"/>
  <c r="J1207" i="56"/>
  <c r="K1207" i="56"/>
  <c r="C1208" i="56"/>
  <c r="D1208" i="56" s="1"/>
  <c r="E1208" i="56"/>
  <c r="F1208" i="56" s="1"/>
  <c r="G1208" i="56"/>
  <c r="I1208" i="56" s="1"/>
  <c r="H1208" i="56"/>
  <c r="J1208" i="56"/>
  <c r="K1208" i="56"/>
  <c r="C1209" i="56"/>
  <c r="D1209" i="56" s="1"/>
  <c r="E1209" i="56"/>
  <c r="F1209" i="56" s="1"/>
  <c r="G1209" i="56"/>
  <c r="I1209" i="56" s="1"/>
  <c r="H1209" i="56"/>
  <c r="J1209" i="56"/>
  <c r="K1209" i="56"/>
  <c r="C1210" i="56"/>
  <c r="D1210" i="56" s="1"/>
  <c r="E1210" i="56"/>
  <c r="F1210" i="56" s="1"/>
  <c r="G1210" i="56"/>
  <c r="I1210" i="56" s="1"/>
  <c r="H1210" i="56"/>
  <c r="J1210" i="56"/>
  <c r="K1210" i="56"/>
  <c r="C1211" i="56"/>
  <c r="D1211" i="56" s="1"/>
  <c r="E1211" i="56"/>
  <c r="F1211" i="56" s="1"/>
  <c r="G1211" i="56"/>
  <c r="I1211" i="56" s="1"/>
  <c r="H1211" i="56"/>
  <c r="J1211" i="56"/>
  <c r="K1211" i="56"/>
  <c r="C1212" i="56"/>
  <c r="D1212" i="56" s="1"/>
  <c r="E1212" i="56"/>
  <c r="F1212" i="56" s="1"/>
  <c r="G1212" i="56"/>
  <c r="I1212" i="56" s="1"/>
  <c r="H1212" i="56"/>
  <c r="J1212" i="56"/>
  <c r="K1212" i="56"/>
  <c r="C1213" i="56"/>
  <c r="D1213" i="56" s="1"/>
  <c r="E1213" i="56"/>
  <c r="F1213" i="56" s="1"/>
  <c r="G1213" i="56"/>
  <c r="I1213" i="56" s="1"/>
  <c r="H1213" i="56"/>
  <c r="J1213" i="56"/>
  <c r="K1213" i="56"/>
  <c r="C1214" i="56"/>
  <c r="D1214" i="56" s="1"/>
  <c r="E1214" i="56"/>
  <c r="F1214" i="56" s="1"/>
  <c r="G1214" i="56"/>
  <c r="I1214" i="56" s="1"/>
  <c r="H1214" i="56"/>
  <c r="J1214" i="56"/>
  <c r="K1214" i="56"/>
  <c r="C1215" i="56"/>
  <c r="D1215" i="56" s="1"/>
  <c r="E1215" i="56"/>
  <c r="F1215" i="56" s="1"/>
  <c r="G1215" i="56"/>
  <c r="I1215" i="56" s="1"/>
  <c r="H1215" i="56"/>
  <c r="J1215" i="56"/>
  <c r="K1215" i="56"/>
  <c r="C1216" i="56"/>
  <c r="D1216" i="56" s="1"/>
  <c r="E1216" i="56"/>
  <c r="F1216" i="56" s="1"/>
  <c r="G1216" i="56"/>
  <c r="I1216" i="56" s="1"/>
  <c r="H1216" i="56"/>
  <c r="J1216" i="56"/>
  <c r="K1216" i="56"/>
  <c r="C1217" i="56"/>
  <c r="D1217" i="56" s="1"/>
  <c r="E1217" i="56"/>
  <c r="F1217" i="56" s="1"/>
  <c r="G1217" i="56"/>
  <c r="I1217" i="56" s="1"/>
  <c r="H1217" i="56"/>
  <c r="J1217" i="56"/>
  <c r="K1217" i="56"/>
  <c r="C1218" i="56"/>
  <c r="D1218" i="56" s="1"/>
  <c r="E1218" i="56"/>
  <c r="F1218" i="56" s="1"/>
  <c r="G1218" i="56"/>
  <c r="I1218" i="56" s="1"/>
  <c r="H1218" i="56"/>
  <c r="J1218" i="56"/>
  <c r="K1218" i="56"/>
  <c r="C1219" i="56"/>
  <c r="D1219" i="56" s="1"/>
  <c r="E1219" i="56"/>
  <c r="F1219" i="56" s="1"/>
  <c r="G1219" i="56"/>
  <c r="I1219" i="56" s="1"/>
  <c r="H1219" i="56"/>
  <c r="J1219" i="56"/>
  <c r="K1219" i="56"/>
  <c r="C1220" i="56"/>
  <c r="D1220" i="56" s="1"/>
  <c r="E1220" i="56"/>
  <c r="F1220" i="56" s="1"/>
  <c r="G1220" i="56"/>
  <c r="I1220" i="56" s="1"/>
  <c r="H1220" i="56"/>
  <c r="J1220" i="56"/>
  <c r="K1220" i="56"/>
  <c r="C1221" i="56"/>
  <c r="D1221" i="56" s="1"/>
  <c r="E1221" i="56"/>
  <c r="F1221" i="56" s="1"/>
  <c r="G1221" i="56"/>
  <c r="I1221" i="56" s="1"/>
  <c r="H1221" i="56"/>
  <c r="J1221" i="56"/>
  <c r="K1221" i="56"/>
  <c r="C1222" i="56"/>
  <c r="D1222" i="56" s="1"/>
  <c r="E1222" i="56"/>
  <c r="F1222" i="56" s="1"/>
  <c r="G1222" i="56"/>
  <c r="I1222" i="56" s="1"/>
  <c r="H1222" i="56"/>
  <c r="J1222" i="56"/>
  <c r="K1222" i="56"/>
  <c r="C1223" i="56"/>
  <c r="D1223" i="56" s="1"/>
  <c r="E1223" i="56"/>
  <c r="F1223" i="56" s="1"/>
  <c r="G1223" i="56"/>
  <c r="I1223" i="56" s="1"/>
  <c r="H1223" i="56"/>
  <c r="J1223" i="56"/>
  <c r="K1223" i="56"/>
  <c r="C1224" i="56"/>
  <c r="D1224" i="56" s="1"/>
  <c r="E1224" i="56"/>
  <c r="F1224" i="56" s="1"/>
  <c r="G1224" i="56"/>
  <c r="I1224" i="56" s="1"/>
  <c r="H1224" i="56"/>
  <c r="J1224" i="56"/>
  <c r="K1224" i="56"/>
  <c r="C1225" i="56"/>
  <c r="D1225" i="56" s="1"/>
  <c r="E1225" i="56"/>
  <c r="F1225" i="56" s="1"/>
  <c r="G1225" i="56"/>
  <c r="I1225" i="56" s="1"/>
  <c r="H1225" i="56"/>
  <c r="J1225" i="56"/>
  <c r="K1225" i="56"/>
  <c r="C1226" i="56"/>
  <c r="D1226" i="56" s="1"/>
  <c r="E1226" i="56"/>
  <c r="F1226" i="56" s="1"/>
  <c r="G1226" i="56"/>
  <c r="I1226" i="56" s="1"/>
  <c r="H1226" i="56"/>
  <c r="J1226" i="56"/>
  <c r="K1226" i="56"/>
  <c r="C1227" i="56"/>
  <c r="D1227" i="56" s="1"/>
  <c r="E1227" i="56"/>
  <c r="F1227" i="56" s="1"/>
  <c r="G1227" i="56"/>
  <c r="I1227" i="56" s="1"/>
  <c r="H1227" i="56"/>
  <c r="J1227" i="56"/>
  <c r="K1227" i="56"/>
  <c r="C1228" i="56"/>
  <c r="D1228" i="56" s="1"/>
  <c r="E1228" i="56"/>
  <c r="F1228" i="56" s="1"/>
  <c r="G1228" i="56"/>
  <c r="I1228" i="56" s="1"/>
  <c r="H1228" i="56"/>
  <c r="J1228" i="56"/>
  <c r="K1228" i="56"/>
  <c r="C1229" i="56"/>
  <c r="D1229" i="56" s="1"/>
  <c r="E1229" i="56"/>
  <c r="F1229" i="56" s="1"/>
  <c r="G1229" i="56"/>
  <c r="I1229" i="56" s="1"/>
  <c r="H1229" i="56"/>
  <c r="J1229" i="56"/>
  <c r="K1229" i="56"/>
  <c r="C1230" i="56"/>
  <c r="D1230" i="56" s="1"/>
  <c r="E1230" i="56"/>
  <c r="F1230" i="56" s="1"/>
  <c r="G1230" i="56"/>
  <c r="I1230" i="56" s="1"/>
  <c r="H1230" i="56"/>
  <c r="J1230" i="56"/>
  <c r="K1230" i="56"/>
  <c r="C1231" i="56"/>
  <c r="D1231" i="56" s="1"/>
  <c r="E1231" i="56"/>
  <c r="F1231" i="56" s="1"/>
  <c r="G1231" i="56"/>
  <c r="I1231" i="56" s="1"/>
  <c r="H1231" i="56"/>
  <c r="J1231" i="56"/>
  <c r="K1231" i="56"/>
  <c r="C1232" i="56"/>
  <c r="D1232" i="56" s="1"/>
  <c r="E1232" i="56"/>
  <c r="F1232" i="56" s="1"/>
  <c r="G1232" i="56"/>
  <c r="I1232" i="56" s="1"/>
  <c r="H1232" i="56"/>
  <c r="J1232" i="56"/>
  <c r="K1232" i="56"/>
  <c r="C1233" i="56"/>
  <c r="D1233" i="56" s="1"/>
  <c r="E1233" i="56"/>
  <c r="F1233" i="56" s="1"/>
  <c r="G1233" i="56"/>
  <c r="I1233" i="56" s="1"/>
  <c r="H1233" i="56"/>
  <c r="J1233" i="56"/>
  <c r="K1233" i="56"/>
  <c r="C1234" i="56"/>
  <c r="D1234" i="56" s="1"/>
  <c r="E1234" i="56"/>
  <c r="F1234" i="56" s="1"/>
  <c r="G1234" i="56"/>
  <c r="I1234" i="56" s="1"/>
  <c r="H1234" i="56"/>
  <c r="J1234" i="56"/>
  <c r="K1234" i="56"/>
  <c r="C1235" i="56"/>
  <c r="D1235" i="56" s="1"/>
  <c r="E1235" i="56"/>
  <c r="F1235" i="56" s="1"/>
  <c r="G1235" i="56"/>
  <c r="I1235" i="56" s="1"/>
  <c r="H1235" i="56"/>
  <c r="J1235" i="56"/>
  <c r="K1235" i="56"/>
  <c r="C1236" i="56"/>
  <c r="D1236" i="56" s="1"/>
  <c r="E1236" i="56"/>
  <c r="F1236" i="56" s="1"/>
  <c r="G1236" i="56"/>
  <c r="I1236" i="56" s="1"/>
  <c r="H1236" i="56"/>
  <c r="J1236" i="56"/>
  <c r="K1236" i="56"/>
  <c r="C1237" i="56"/>
  <c r="D1237" i="56" s="1"/>
  <c r="E1237" i="56"/>
  <c r="F1237" i="56" s="1"/>
  <c r="G1237" i="56"/>
  <c r="I1237" i="56" s="1"/>
  <c r="H1237" i="56"/>
  <c r="J1237" i="56"/>
  <c r="K1237" i="56"/>
  <c r="C1238" i="56"/>
  <c r="D1238" i="56" s="1"/>
  <c r="E1238" i="56"/>
  <c r="F1238" i="56" s="1"/>
  <c r="G1238" i="56"/>
  <c r="I1238" i="56" s="1"/>
  <c r="H1238" i="56"/>
  <c r="J1238" i="56"/>
  <c r="K1238" i="56"/>
  <c r="C1239" i="56"/>
  <c r="D1239" i="56" s="1"/>
  <c r="E1239" i="56"/>
  <c r="F1239" i="56" s="1"/>
  <c r="G1239" i="56"/>
  <c r="I1239" i="56" s="1"/>
  <c r="H1239" i="56"/>
  <c r="J1239" i="56"/>
  <c r="K1239" i="56"/>
  <c r="C1240" i="56"/>
  <c r="D1240" i="56" s="1"/>
  <c r="E1240" i="56"/>
  <c r="F1240" i="56" s="1"/>
  <c r="G1240" i="56"/>
  <c r="I1240" i="56" s="1"/>
  <c r="H1240" i="56"/>
  <c r="J1240" i="56"/>
  <c r="K1240" i="56"/>
  <c r="C1241" i="56"/>
  <c r="D1241" i="56" s="1"/>
  <c r="E1241" i="56"/>
  <c r="F1241" i="56" s="1"/>
  <c r="G1241" i="56"/>
  <c r="I1241" i="56" s="1"/>
  <c r="H1241" i="56"/>
  <c r="J1241" i="56"/>
  <c r="K1241" i="56"/>
  <c r="C1242" i="56"/>
  <c r="D1242" i="56" s="1"/>
  <c r="E1242" i="56"/>
  <c r="F1242" i="56" s="1"/>
  <c r="G1242" i="56"/>
  <c r="I1242" i="56" s="1"/>
  <c r="H1242" i="56"/>
  <c r="J1242" i="56"/>
  <c r="K1242" i="56"/>
  <c r="C1243" i="56"/>
  <c r="D1243" i="56" s="1"/>
  <c r="E1243" i="56"/>
  <c r="F1243" i="56" s="1"/>
  <c r="G1243" i="56"/>
  <c r="I1243" i="56" s="1"/>
  <c r="H1243" i="56"/>
  <c r="J1243" i="56"/>
  <c r="K1243" i="56"/>
  <c r="C1244" i="56"/>
  <c r="D1244" i="56" s="1"/>
  <c r="E1244" i="56"/>
  <c r="F1244" i="56" s="1"/>
  <c r="G1244" i="56"/>
  <c r="I1244" i="56" s="1"/>
  <c r="H1244" i="56"/>
  <c r="J1244" i="56"/>
  <c r="K1244" i="56"/>
  <c r="C1245" i="56"/>
  <c r="D1245" i="56" s="1"/>
  <c r="E1245" i="56"/>
  <c r="F1245" i="56" s="1"/>
  <c r="G1245" i="56"/>
  <c r="I1245" i="56" s="1"/>
  <c r="H1245" i="56"/>
  <c r="J1245" i="56"/>
  <c r="K1245" i="56"/>
  <c r="C1246" i="56"/>
  <c r="D1246" i="56" s="1"/>
  <c r="E1246" i="56"/>
  <c r="F1246" i="56" s="1"/>
  <c r="G1246" i="56"/>
  <c r="I1246" i="56" s="1"/>
  <c r="H1246" i="56"/>
  <c r="J1246" i="56"/>
  <c r="K1246" i="56"/>
  <c r="C1247" i="56"/>
  <c r="D1247" i="56" s="1"/>
  <c r="E1247" i="56"/>
  <c r="F1247" i="56" s="1"/>
  <c r="G1247" i="56"/>
  <c r="I1247" i="56" s="1"/>
  <c r="H1247" i="56"/>
  <c r="J1247" i="56"/>
  <c r="K1247" i="56"/>
  <c r="C1248" i="56"/>
  <c r="D1248" i="56" s="1"/>
  <c r="E1248" i="56"/>
  <c r="F1248" i="56" s="1"/>
  <c r="G1248" i="56"/>
  <c r="I1248" i="56" s="1"/>
  <c r="H1248" i="56"/>
  <c r="J1248" i="56"/>
  <c r="K1248" i="56"/>
  <c r="C1249" i="56"/>
  <c r="D1249" i="56" s="1"/>
  <c r="E1249" i="56"/>
  <c r="F1249" i="56" s="1"/>
  <c r="G1249" i="56"/>
  <c r="I1249" i="56" s="1"/>
  <c r="H1249" i="56"/>
  <c r="J1249" i="56"/>
  <c r="K1249" i="56"/>
  <c r="C1250" i="56"/>
  <c r="D1250" i="56" s="1"/>
  <c r="E1250" i="56"/>
  <c r="F1250" i="56" s="1"/>
  <c r="G1250" i="56"/>
  <c r="I1250" i="56" s="1"/>
  <c r="H1250" i="56"/>
  <c r="J1250" i="56"/>
  <c r="K1250" i="56"/>
  <c r="C1251" i="56"/>
  <c r="D1251" i="56" s="1"/>
  <c r="E1251" i="56"/>
  <c r="F1251" i="56" s="1"/>
  <c r="G1251" i="56"/>
  <c r="I1251" i="56" s="1"/>
  <c r="H1251" i="56"/>
  <c r="J1251" i="56"/>
  <c r="K1251" i="56"/>
  <c r="C1252" i="56"/>
  <c r="D1252" i="56" s="1"/>
  <c r="E1252" i="56"/>
  <c r="F1252" i="56" s="1"/>
  <c r="G1252" i="56"/>
  <c r="I1252" i="56" s="1"/>
  <c r="H1252" i="56"/>
  <c r="J1252" i="56"/>
  <c r="K1252" i="56"/>
  <c r="C1253" i="56"/>
  <c r="D1253" i="56" s="1"/>
  <c r="E1253" i="56"/>
  <c r="F1253" i="56" s="1"/>
  <c r="G1253" i="56"/>
  <c r="I1253" i="56" s="1"/>
  <c r="H1253" i="56"/>
  <c r="J1253" i="56"/>
  <c r="K1253" i="56"/>
  <c r="C1254" i="56"/>
  <c r="D1254" i="56" s="1"/>
  <c r="E1254" i="56"/>
  <c r="F1254" i="56" s="1"/>
  <c r="G1254" i="56"/>
  <c r="I1254" i="56" s="1"/>
  <c r="H1254" i="56"/>
  <c r="J1254" i="56"/>
  <c r="K1254" i="56"/>
  <c r="C1255" i="56"/>
  <c r="D1255" i="56" s="1"/>
  <c r="E1255" i="56"/>
  <c r="F1255" i="56" s="1"/>
  <c r="G1255" i="56"/>
  <c r="I1255" i="56" s="1"/>
  <c r="H1255" i="56"/>
  <c r="J1255" i="56"/>
  <c r="K1255" i="56"/>
  <c r="C1256" i="56"/>
  <c r="D1256" i="56" s="1"/>
  <c r="E1256" i="56"/>
  <c r="F1256" i="56" s="1"/>
  <c r="G1256" i="56"/>
  <c r="I1256" i="56" s="1"/>
  <c r="H1256" i="56"/>
  <c r="J1256" i="56"/>
  <c r="K1256" i="56"/>
  <c r="C1257" i="56"/>
  <c r="D1257" i="56" s="1"/>
  <c r="E1257" i="56"/>
  <c r="F1257" i="56" s="1"/>
  <c r="G1257" i="56"/>
  <c r="I1257" i="56" s="1"/>
  <c r="H1257" i="56"/>
  <c r="J1257" i="56"/>
  <c r="K1257" i="56"/>
  <c r="C1258" i="56"/>
  <c r="D1258" i="56" s="1"/>
  <c r="E1258" i="56"/>
  <c r="F1258" i="56" s="1"/>
  <c r="G1258" i="56"/>
  <c r="I1258" i="56" s="1"/>
  <c r="H1258" i="56"/>
  <c r="J1258" i="56"/>
  <c r="K1258" i="56"/>
  <c r="C1259" i="56"/>
  <c r="D1259" i="56" s="1"/>
  <c r="E1259" i="56"/>
  <c r="F1259" i="56" s="1"/>
  <c r="G1259" i="56"/>
  <c r="I1259" i="56" s="1"/>
  <c r="H1259" i="56"/>
  <c r="J1259" i="56"/>
  <c r="K1259" i="56"/>
  <c r="C1260" i="56"/>
  <c r="D1260" i="56" s="1"/>
  <c r="E1260" i="56"/>
  <c r="F1260" i="56" s="1"/>
  <c r="G1260" i="56"/>
  <c r="I1260" i="56" s="1"/>
  <c r="H1260" i="56"/>
  <c r="J1260" i="56"/>
  <c r="K1260" i="56"/>
  <c r="C1261" i="56"/>
  <c r="D1261" i="56" s="1"/>
  <c r="E1261" i="56"/>
  <c r="F1261" i="56" s="1"/>
  <c r="G1261" i="56"/>
  <c r="I1261" i="56" s="1"/>
  <c r="H1261" i="56"/>
  <c r="J1261" i="56"/>
  <c r="K1261" i="56"/>
  <c r="C1262" i="56"/>
  <c r="D1262" i="56" s="1"/>
  <c r="E1262" i="56"/>
  <c r="F1262" i="56" s="1"/>
  <c r="G1262" i="56"/>
  <c r="I1262" i="56" s="1"/>
  <c r="H1262" i="56"/>
  <c r="J1262" i="56"/>
  <c r="K1262" i="56"/>
  <c r="C1263" i="56"/>
  <c r="D1263" i="56" s="1"/>
  <c r="E1263" i="56"/>
  <c r="F1263" i="56" s="1"/>
  <c r="G1263" i="56"/>
  <c r="I1263" i="56" s="1"/>
  <c r="H1263" i="56"/>
  <c r="J1263" i="56"/>
  <c r="K1263" i="56"/>
  <c r="C1264" i="56"/>
  <c r="D1264" i="56" s="1"/>
  <c r="E1264" i="56"/>
  <c r="F1264" i="56" s="1"/>
  <c r="G1264" i="56"/>
  <c r="I1264" i="56" s="1"/>
  <c r="H1264" i="56"/>
  <c r="J1264" i="56"/>
  <c r="K1264" i="56"/>
  <c r="C1265" i="56"/>
  <c r="D1265" i="56" s="1"/>
  <c r="E1265" i="56"/>
  <c r="F1265" i="56" s="1"/>
  <c r="G1265" i="56"/>
  <c r="I1265" i="56" s="1"/>
  <c r="H1265" i="56"/>
  <c r="J1265" i="56"/>
  <c r="K1265" i="56"/>
  <c r="C1266" i="56"/>
  <c r="D1266" i="56" s="1"/>
  <c r="E1266" i="56"/>
  <c r="F1266" i="56" s="1"/>
  <c r="G1266" i="56"/>
  <c r="I1266" i="56" s="1"/>
  <c r="H1266" i="56"/>
  <c r="J1266" i="56"/>
  <c r="K1266" i="56"/>
  <c r="C1267" i="56"/>
  <c r="D1267" i="56" s="1"/>
  <c r="E1267" i="56"/>
  <c r="F1267" i="56" s="1"/>
  <c r="G1267" i="56"/>
  <c r="I1267" i="56" s="1"/>
  <c r="H1267" i="56"/>
  <c r="J1267" i="56"/>
  <c r="K1267" i="56"/>
  <c r="C1268" i="56"/>
  <c r="D1268" i="56" s="1"/>
  <c r="E1268" i="56"/>
  <c r="F1268" i="56" s="1"/>
  <c r="G1268" i="56"/>
  <c r="I1268" i="56" s="1"/>
  <c r="H1268" i="56"/>
  <c r="J1268" i="56"/>
  <c r="K1268" i="56"/>
  <c r="C1269" i="56"/>
  <c r="D1269" i="56" s="1"/>
  <c r="E1269" i="56"/>
  <c r="F1269" i="56" s="1"/>
  <c r="G1269" i="56"/>
  <c r="I1269" i="56" s="1"/>
  <c r="H1269" i="56"/>
  <c r="J1269" i="56"/>
  <c r="K1269" i="56"/>
  <c r="C1270" i="56"/>
  <c r="D1270" i="56" s="1"/>
  <c r="E1270" i="56"/>
  <c r="F1270" i="56" s="1"/>
  <c r="G1270" i="56"/>
  <c r="I1270" i="56" s="1"/>
  <c r="H1270" i="56"/>
  <c r="J1270" i="56"/>
  <c r="K1270" i="56"/>
  <c r="C1271" i="56"/>
  <c r="D1271" i="56" s="1"/>
  <c r="E1271" i="56"/>
  <c r="F1271" i="56" s="1"/>
  <c r="G1271" i="56"/>
  <c r="I1271" i="56" s="1"/>
  <c r="H1271" i="56"/>
  <c r="J1271" i="56"/>
  <c r="K1271" i="56"/>
  <c r="C1272" i="56"/>
  <c r="D1272" i="56" s="1"/>
  <c r="E1272" i="56"/>
  <c r="F1272" i="56" s="1"/>
  <c r="G1272" i="56"/>
  <c r="I1272" i="56" s="1"/>
  <c r="H1272" i="56"/>
  <c r="J1272" i="56"/>
  <c r="K1272" i="56"/>
  <c r="C1273" i="56"/>
  <c r="D1273" i="56" s="1"/>
  <c r="E1273" i="56"/>
  <c r="F1273" i="56" s="1"/>
  <c r="G1273" i="56"/>
  <c r="I1273" i="56" s="1"/>
  <c r="H1273" i="56"/>
  <c r="J1273" i="56"/>
  <c r="K1273" i="56"/>
  <c r="C1274" i="56"/>
  <c r="D1274" i="56" s="1"/>
  <c r="E1274" i="56"/>
  <c r="F1274" i="56" s="1"/>
  <c r="G1274" i="56"/>
  <c r="I1274" i="56" s="1"/>
  <c r="H1274" i="56"/>
  <c r="J1274" i="56"/>
  <c r="K1274" i="56"/>
  <c r="C1275" i="56"/>
  <c r="D1275" i="56" s="1"/>
  <c r="E1275" i="56"/>
  <c r="F1275" i="56" s="1"/>
  <c r="G1275" i="56"/>
  <c r="I1275" i="56" s="1"/>
  <c r="H1275" i="56"/>
  <c r="J1275" i="56"/>
  <c r="K1275" i="56"/>
  <c r="C1276" i="56"/>
  <c r="D1276" i="56" s="1"/>
  <c r="E1276" i="56"/>
  <c r="F1276" i="56" s="1"/>
  <c r="G1276" i="56"/>
  <c r="I1276" i="56" s="1"/>
  <c r="H1276" i="56"/>
  <c r="J1276" i="56"/>
  <c r="K1276" i="56"/>
  <c r="C1277" i="56"/>
  <c r="D1277" i="56" s="1"/>
  <c r="E1277" i="56"/>
  <c r="F1277" i="56" s="1"/>
  <c r="G1277" i="56"/>
  <c r="I1277" i="56" s="1"/>
  <c r="H1277" i="56"/>
  <c r="J1277" i="56"/>
  <c r="K1277" i="56"/>
  <c r="C1278" i="56"/>
  <c r="D1278" i="56" s="1"/>
  <c r="E1278" i="56"/>
  <c r="F1278" i="56" s="1"/>
  <c r="G1278" i="56"/>
  <c r="I1278" i="56" s="1"/>
  <c r="H1278" i="56"/>
  <c r="J1278" i="56"/>
  <c r="K1278" i="56"/>
  <c r="C1279" i="56"/>
  <c r="D1279" i="56" s="1"/>
  <c r="E1279" i="56"/>
  <c r="F1279" i="56" s="1"/>
  <c r="G1279" i="56"/>
  <c r="I1279" i="56" s="1"/>
  <c r="H1279" i="56"/>
  <c r="J1279" i="56"/>
  <c r="K1279" i="56"/>
  <c r="C1280" i="56"/>
  <c r="D1280" i="56" s="1"/>
  <c r="E1280" i="56"/>
  <c r="F1280" i="56" s="1"/>
  <c r="G1280" i="56"/>
  <c r="I1280" i="56" s="1"/>
  <c r="H1280" i="56"/>
  <c r="J1280" i="56"/>
  <c r="K1280" i="56"/>
  <c r="C1281" i="56"/>
  <c r="D1281" i="56" s="1"/>
  <c r="E1281" i="56"/>
  <c r="F1281" i="56" s="1"/>
  <c r="G1281" i="56"/>
  <c r="I1281" i="56" s="1"/>
  <c r="H1281" i="56"/>
  <c r="J1281" i="56"/>
  <c r="K1281" i="56"/>
  <c r="C1282" i="56"/>
  <c r="D1282" i="56" s="1"/>
  <c r="E1282" i="56"/>
  <c r="F1282" i="56" s="1"/>
  <c r="G1282" i="56"/>
  <c r="I1282" i="56" s="1"/>
  <c r="H1282" i="56"/>
  <c r="J1282" i="56"/>
  <c r="K1282" i="56"/>
  <c r="C1283" i="56"/>
  <c r="D1283" i="56" s="1"/>
  <c r="E1283" i="56"/>
  <c r="F1283" i="56" s="1"/>
  <c r="G1283" i="56"/>
  <c r="I1283" i="56" s="1"/>
  <c r="H1283" i="56"/>
  <c r="J1283" i="56"/>
  <c r="K1283" i="56"/>
  <c r="C1284" i="56"/>
  <c r="D1284" i="56" s="1"/>
  <c r="E1284" i="56"/>
  <c r="F1284" i="56" s="1"/>
  <c r="G1284" i="56"/>
  <c r="I1284" i="56" s="1"/>
  <c r="H1284" i="56"/>
  <c r="J1284" i="56"/>
  <c r="K1284" i="56"/>
  <c r="C1285" i="56"/>
  <c r="D1285" i="56" s="1"/>
  <c r="E1285" i="56"/>
  <c r="F1285" i="56" s="1"/>
  <c r="G1285" i="56"/>
  <c r="I1285" i="56" s="1"/>
  <c r="H1285" i="56"/>
  <c r="J1285" i="56"/>
  <c r="K1285" i="56"/>
  <c r="C1286" i="56"/>
  <c r="D1286" i="56" s="1"/>
  <c r="E1286" i="56"/>
  <c r="F1286" i="56" s="1"/>
  <c r="G1286" i="56"/>
  <c r="I1286" i="56" s="1"/>
  <c r="H1286" i="56"/>
  <c r="J1286" i="56"/>
  <c r="K1286" i="56"/>
  <c r="C1287" i="56"/>
  <c r="D1287" i="56" s="1"/>
  <c r="E1287" i="56"/>
  <c r="F1287" i="56" s="1"/>
  <c r="G1287" i="56"/>
  <c r="I1287" i="56" s="1"/>
  <c r="H1287" i="56"/>
  <c r="J1287" i="56"/>
  <c r="K1287" i="56"/>
  <c r="C1288" i="56"/>
  <c r="D1288" i="56" s="1"/>
  <c r="E1288" i="56"/>
  <c r="F1288" i="56" s="1"/>
  <c r="G1288" i="56"/>
  <c r="I1288" i="56" s="1"/>
  <c r="H1288" i="56"/>
  <c r="J1288" i="56"/>
  <c r="K1288" i="56"/>
  <c r="C1289" i="56"/>
  <c r="D1289" i="56" s="1"/>
  <c r="E1289" i="56"/>
  <c r="F1289" i="56" s="1"/>
  <c r="G1289" i="56"/>
  <c r="I1289" i="56" s="1"/>
  <c r="H1289" i="56"/>
  <c r="J1289" i="56"/>
  <c r="K1289" i="56"/>
  <c r="C1290" i="56"/>
  <c r="D1290" i="56" s="1"/>
  <c r="E1290" i="56"/>
  <c r="F1290" i="56" s="1"/>
  <c r="G1290" i="56"/>
  <c r="I1290" i="56" s="1"/>
  <c r="H1290" i="56"/>
  <c r="J1290" i="56"/>
  <c r="K1290" i="56"/>
  <c r="C1291" i="56"/>
  <c r="D1291" i="56" s="1"/>
  <c r="E1291" i="56"/>
  <c r="F1291" i="56" s="1"/>
  <c r="G1291" i="56"/>
  <c r="I1291" i="56" s="1"/>
  <c r="H1291" i="56"/>
  <c r="J1291" i="56"/>
  <c r="K1291" i="56"/>
  <c r="C1292" i="56"/>
  <c r="D1292" i="56" s="1"/>
  <c r="E1292" i="56"/>
  <c r="F1292" i="56" s="1"/>
  <c r="G1292" i="56"/>
  <c r="I1292" i="56" s="1"/>
  <c r="H1292" i="56"/>
  <c r="J1292" i="56"/>
  <c r="K1292" i="56"/>
  <c r="C1293" i="56"/>
  <c r="D1293" i="56" s="1"/>
  <c r="E1293" i="56"/>
  <c r="F1293" i="56" s="1"/>
  <c r="G1293" i="56"/>
  <c r="I1293" i="56" s="1"/>
  <c r="H1293" i="56"/>
  <c r="J1293" i="56"/>
  <c r="K1293" i="56"/>
  <c r="C1294" i="56"/>
  <c r="D1294" i="56" s="1"/>
  <c r="E1294" i="56"/>
  <c r="F1294" i="56" s="1"/>
  <c r="G1294" i="56"/>
  <c r="I1294" i="56" s="1"/>
  <c r="H1294" i="56"/>
  <c r="J1294" i="56"/>
  <c r="K1294" i="56"/>
  <c r="C1295" i="56"/>
  <c r="D1295" i="56" s="1"/>
  <c r="E1295" i="56"/>
  <c r="F1295" i="56" s="1"/>
  <c r="G1295" i="56"/>
  <c r="I1295" i="56" s="1"/>
  <c r="H1295" i="56"/>
  <c r="J1295" i="56"/>
  <c r="K1295" i="56"/>
  <c r="C1296" i="56"/>
  <c r="D1296" i="56" s="1"/>
  <c r="E1296" i="56"/>
  <c r="F1296" i="56" s="1"/>
  <c r="G1296" i="56"/>
  <c r="I1296" i="56" s="1"/>
  <c r="H1296" i="56"/>
  <c r="J1296" i="56"/>
  <c r="K1296" i="56"/>
  <c r="C1297" i="56"/>
  <c r="D1297" i="56" s="1"/>
  <c r="E1297" i="56"/>
  <c r="F1297" i="56" s="1"/>
  <c r="G1297" i="56"/>
  <c r="I1297" i="56" s="1"/>
  <c r="H1297" i="56"/>
  <c r="J1297" i="56"/>
  <c r="K1297" i="56"/>
  <c r="C1298" i="56"/>
  <c r="D1298" i="56" s="1"/>
  <c r="E1298" i="56"/>
  <c r="F1298" i="56" s="1"/>
  <c r="G1298" i="56"/>
  <c r="I1298" i="56" s="1"/>
  <c r="H1298" i="56"/>
  <c r="J1298" i="56"/>
  <c r="K1298" i="56"/>
  <c r="C1299" i="56"/>
  <c r="D1299" i="56" s="1"/>
  <c r="E1299" i="56"/>
  <c r="F1299" i="56" s="1"/>
  <c r="G1299" i="56"/>
  <c r="I1299" i="56" s="1"/>
  <c r="H1299" i="56"/>
  <c r="J1299" i="56"/>
  <c r="K1299" i="56"/>
  <c r="C1300" i="56"/>
  <c r="D1300" i="56" s="1"/>
  <c r="E1300" i="56"/>
  <c r="F1300" i="56" s="1"/>
  <c r="G1300" i="56"/>
  <c r="I1300" i="56" s="1"/>
  <c r="H1300" i="56"/>
  <c r="J1300" i="56"/>
  <c r="K1300" i="56"/>
  <c r="C1301" i="56"/>
  <c r="D1301" i="56" s="1"/>
  <c r="E1301" i="56"/>
  <c r="F1301" i="56" s="1"/>
  <c r="G1301" i="56"/>
  <c r="I1301" i="56" s="1"/>
  <c r="H1301" i="56"/>
  <c r="J1301" i="56"/>
  <c r="K1301" i="56"/>
  <c r="C1302" i="56"/>
  <c r="D1302" i="56" s="1"/>
  <c r="E1302" i="56"/>
  <c r="F1302" i="56" s="1"/>
  <c r="G1302" i="56"/>
  <c r="I1302" i="56" s="1"/>
  <c r="H1302" i="56"/>
  <c r="J1302" i="56"/>
  <c r="K1302" i="56"/>
  <c r="C1303" i="56"/>
  <c r="D1303" i="56" s="1"/>
  <c r="E1303" i="56"/>
  <c r="F1303" i="56" s="1"/>
  <c r="G1303" i="56"/>
  <c r="I1303" i="56" s="1"/>
  <c r="H1303" i="56"/>
  <c r="J1303" i="56"/>
  <c r="K1303" i="56"/>
  <c r="C1304" i="56"/>
  <c r="D1304" i="56" s="1"/>
  <c r="E1304" i="56"/>
  <c r="F1304" i="56" s="1"/>
  <c r="G1304" i="56"/>
  <c r="I1304" i="56" s="1"/>
  <c r="H1304" i="56"/>
  <c r="J1304" i="56"/>
  <c r="K1304" i="56"/>
  <c r="C1305" i="56"/>
  <c r="D1305" i="56" s="1"/>
  <c r="E1305" i="56"/>
  <c r="F1305" i="56" s="1"/>
  <c r="G1305" i="56"/>
  <c r="I1305" i="56" s="1"/>
  <c r="H1305" i="56"/>
  <c r="J1305" i="56"/>
  <c r="K1305" i="56"/>
  <c r="C1306" i="56"/>
  <c r="D1306" i="56" s="1"/>
  <c r="E1306" i="56"/>
  <c r="F1306" i="56" s="1"/>
  <c r="G1306" i="56"/>
  <c r="I1306" i="56" s="1"/>
  <c r="H1306" i="56"/>
  <c r="J1306" i="56"/>
  <c r="K1306" i="56"/>
  <c r="C1307" i="56"/>
  <c r="D1307" i="56" s="1"/>
  <c r="E1307" i="56"/>
  <c r="F1307" i="56" s="1"/>
  <c r="G1307" i="56"/>
  <c r="I1307" i="56" s="1"/>
  <c r="H1307" i="56"/>
  <c r="J1307" i="56"/>
  <c r="K1307" i="56"/>
  <c r="C1308" i="56"/>
  <c r="D1308" i="56" s="1"/>
  <c r="E1308" i="56"/>
  <c r="F1308" i="56" s="1"/>
  <c r="G1308" i="56"/>
  <c r="I1308" i="56" s="1"/>
  <c r="H1308" i="56"/>
  <c r="J1308" i="56"/>
  <c r="K1308" i="56"/>
  <c r="C1309" i="56"/>
  <c r="D1309" i="56" s="1"/>
  <c r="E1309" i="56"/>
  <c r="F1309" i="56" s="1"/>
  <c r="G1309" i="56"/>
  <c r="I1309" i="56" s="1"/>
  <c r="H1309" i="56"/>
  <c r="J1309" i="56"/>
  <c r="K1309" i="56"/>
  <c r="C1310" i="56"/>
  <c r="D1310" i="56" s="1"/>
  <c r="E1310" i="56"/>
  <c r="F1310" i="56" s="1"/>
  <c r="G1310" i="56"/>
  <c r="I1310" i="56" s="1"/>
  <c r="H1310" i="56"/>
  <c r="J1310" i="56"/>
  <c r="K1310" i="56"/>
  <c r="C1311" i="56"/>
  <c r="D1311" i="56" s="1"/>
  <c r="E1311" i="56"/>
  <c r="F1311" i="56" s="1"/>
  <c r="G1311" i="56"/>
  <c r="I1311" i="56" s="1"/>
  <c r="H1311" i="56"/>
  <c r="J1311" i="56"/>
  <c r="K1311" i="56"/>
  <c r="C1312" i="56"/>
  <c r="D1312" i="56" s="1"/>
  <c r="E1312" i="56"/>
  <c r="F1312" i="56" s="1"/>
  <c r="G1312" i="56"/>
  <c r="I1312" i="56" s="1"/>
  <c r="H1312" i="56"/>
  <c r="J1312" i="56"/>
  <c r="K1312" i="56"/>
  <c r="C1313" i="56"/>
  <c r="D1313" i="56" s="1"/>
  <c r="E1313" i="56"/>
  <c r="F1313" i="56" s="1"/>
  <c r="G1313" i="56"/>
  <c r="I1313" i="56" s="1"/>
  <c r="H1313" i="56"/>
  <c r="J1313" i="56"/>
  <c r="K1313" i="56"/>
  <c r="C1314" i="56"/>
  <c r="D1314" i="56" s="1"/>
  <c r="E1314" i="56"/>
  <c r="F1314" i="56" s="1"/>
  <c r="G1314" i="56"/>
  <c r="I1314" i="56" s="1"/>
  <c r="H1314" i="56"/>
  <c r="J1314" i="56"/>
  <c r="K1314" i="56"/>
  <c r="C1315" i="56"/>
  <c r="D1315" i="56" s="1"/>
  <c r="E1315" i="56"/>
  <c r="F1315" i="56" s="1"/>
  <c r="G1315" i="56"/>
  <c r="I1315" i="56" s="1"/>
  <c r="H1315" i="56"/>
  <c r="J1315" i="56"/>
  <c r="K1315" i="56"/>
  <c r="C1316" i="56"/>
  <c r="D1316" i="56" s="1"/>
  <c r="E1316" i="56"/>
  <c r="F1316" i="56" s="1"/>
  <c r="G1316" i="56"/>
  <c r="I1316" i="56" s="1"/>
  <c r="H1316" i="56"/>
  <c r="J1316" i="56"/>
  <c r="K1316" i="56"/>
  <c r="C1317" i="56"/>
  <c r="D1317" i="56" s="1"/>
  <c r="E1317" i="56"/>
  <c r="F1317" i="56" s="1"/>
  <c r="G1317" i="56"/>
  <c r="I1317" i="56" s="1"/>
  <c r="H1317" i="56"/>
  <c r="J1317" i="56"/>
  <c r="K1317" i="56"/>
  <c r="C1318" i="56"/>
  <c r="D1318" i="56" s="1"/>
  <c r="E1318" i="56"/>
  <c r="F1318" i="56" s="1"/>
  <c r="G1318" i="56"/>
  <c r="I1318" i="56" s="1"/>
  <c r="H1318" i="56"/>
  <c r="J1318" i="56"/>
  <c r="K1318" i="56"/>
  <c r="C1319" i="56"/>
  <c r="D1319" i="56" s="1"/>
  <c r="E1319" i="56"/>
  <c r="F1319" i="56" s="1"/>
  <c r="G1319" i="56"/>
  <c r="I1319" i="56" s="1"/>
  <c r="H1319" i="56"/>
  <c r="J1319" i="56"/>
  <c r="K1319" i="56"/>
  <c r="C1320" i="56"/>
  <c r="D1320" i="56" s="1"/>
  <c r="E1320" i="56"/>
  <c r="F1320" i="56" s="1"/>
  <c r="G1320" i="56"/>
  <c r="I1320" i="56" s="1"/>
  <c r="H1320" i="56"/>
  <c r="J1320" i="56"/>
  <c r="K1320" i="56"/>
  <c r="C1321" i="56"/>
  <c r="D1321" i="56" s="1"/>
  <c r="E1321" i="56"/>
  <c r="F1321" i="56" s="1"/>
  <c r="G1321" i="56"/>
  <c r="I1321" i="56" s="1"/>
  <c r="H1321" i="56"/>
  <c r="J1321" i="56"/>
  <c r="K1321" i="56"/>
  <c r="C1322" i="56"/>
  <c r="D1322" i="56" s="1"/>
  <c r="E1322" i="56"/>
  <c r="F1322" i="56" s="1"/>
  <c r="G1322" i="56"/>
  <c r="I1322" i="56" s="1"/>
  <c r="H1322" i="56"/>
  <c r="J1322" i="56"/>
  <c r="K1322" i="56"/>
  <c r="C1323" i="56"/>
  <c r="D1323" i="56" s="1"/>
  <c r="E1323" i="56"/>
  <c r="F1323" i="56" s="1"/>
  <c r="G1323" i="56"/>
  <c r="I1323" i="56" s="1"/>
  <c r="H1323" i="56"/>
  <c r="J1323" i="56"/>
  <c r="K1323" i="56"/>
  <c r="C1324" i="56"/>
  <c r="D1324" i="56" s="1"/>
  <c r="E1324" i="56"/>
  <c r="F1324" i="56" s="1"/>
  <c r="G1324" i="56"/>
  <c r="I1324" i="56" s="1"/>
  <c r="H1324" i="56"/>
  <c r="J1324" i="56"/>
  <c r="K1324" i="56"/>
  <c r="C1325" i="56"/>
  <c r="D1325" i="56" s="1"/>
  <c r="E1325" i="56"/>
  <c r="F1325" i="56" s="1"/>
  <c r="G1325" i="56"/>
  <c r="I1325" i="56" s="1"/>
  <c r="H1325" i="56"/>
  <c r="J1325" i="56"/>
  <c r="K1325" i="56"/>
  <c r="C1326" i="56"/>
  <c r="D1326" i="56" s="1"/>
  <c r="E1326" i="56"/>
  <c r="F1326" i="56" s="1"/>
  <c r="G1326" i="56"/>
  <c r="I1326" i="56" s="1"/>
  <c r="H1326" i="56"/>
  <c r="J1326" i="56"/>
  <c r="K1326" i="56"/>
  <c r="C1327" i="56"/>
  <c r="D1327" i="56"/>
  <c r="E1327" i="56"/>
  <c r="F1327" i="56" s="1"/>
  <c r="G1327" i="56"/>
  <c r="I1327" i="56" s="1"/>
  <c r="H1327" i="56"/>
  <c r="J1327" i="56"/>
  <c r="K1327" i="56"/>
  <c r="C1328" i="56"/>
  <c r="D1328" i="56" s="1"/>
  <c r="E1328" i="56"/>
  <c r="F1328" i="56" s="1"/>
  <c r="G1328" i="56"/>
  <c r="I1328" i="56" s="1"/>
  <c r="H1328" i="56"/>
  <c r="J1328" i="56"/>
  <c r="K1328" i="56"/>
  <c r="C1329" i="56"/>
  <c r="D1329" i="56" s="1"/>
  <c r="E1329" i="56"/>
  <c r="F1329" i="56" s="1"/>
  <c r="G1329" i="56"/>
  <c r="I1329" i="56" s="1"/>
  <c r="H1329" i="56"/>
  <c r="J1329" i="56"/>
  <c r="K1329" i="56"/>
  <c r="C1330" i="56"/>
  <c r="D1330" i="56" s="1"/>
  <c r="E1330" i="56"/>
  <c r="F1330" i="56" s="1"/>
  <c r="G1330" i="56"/>
  <c r="I1330" i="56" s="1"/>
  <c r="H1330" i="56"/>
  <c r="J1330" i="56"/>
  <c r="K1330" i="56"/>
  <c r="C1331" i="56"/>
  <c r="D1331" i="56" s="1"/>
  <c r="E1331" i="56"/>
  <c r="F1331" i="56" s="1"/>
  <c r="G1331" i="56"/>
  <c r="I1331" i="56" s="1"/>
  <c r="H1331" i="56"/>
  <c r="J1331" i="56"/>
  <c r="K1331" i="56"/>
  <c r="C1332" i="56"/>
  <c r="D1332" i="56" s="1"/>
  <c r="E1332" i="56"/>
  <c r="F1332" i="56" s="1"/>
  <c r="G1332" i="56"/>
  <c r="I1332" i="56" s="1"/>
  <c r="H1332" i="56"/>
  <c r="J1332" i="56"/>
  <c r="K1332" i="56"/>
  <c r="C1333" i="56"/>
  <c r="D1333" i="56" s="1"/>
  <c r="E1333" i="56"/>
  <c r="F1333" i="56" s="1"/>
  <c r="G1333" i="56"/>
  <c r="I1333" i="56" s="1"/>
  <c r="H1333" i="56"/>
  <c r="J1333" i="56"/>
  <c r="K1333" i="56"/>
  <c r="C1334" i="56"/>
  <c r="D1334" i="56" s="1"/>
  <c r="E1334" i="56"/>
  <c r="F1334" i="56" s="1"/>
  <c r="G1334" i="56"/>
  <c r="I1334" i="56" s="1"/>
  <c r="H1334" i="56"/>
  <c r="J1334" i="56"/>
  <c r="K1334" i="56"/>
  <c r="C1335" i="56"/>
  <c r="D1335" i="56" s="1"/>
  <c r="E1335" i="56"/>
  <c r="F1335" i="56" s="1"/>
  <c r="G1335" i="56"/>
  <c r="I1335" i="56" s="1"/>
  <c r="H1335" i="56"/>
  <c r="J1335" i="56"/>
  <c r="K1335" i="56"/>
  <c r="C1336" i="56"/>
  <c r="D1336" i="56" s="1"/>
  <c r="E1336" i="56"/>
  <c r="F1336" i="56" s="1"/>
  <c r="G1336" i="56"/>
  <c r="I1336" i="56" s="1"/>
  <c r="H1336" i="56"/>
  <c r="J1336" i="56"/>
  <c r="K1336" i="56"/>
  <c r="C1337" i="56"/>
  <c r="D1337" i="56" s="1"/>
  <c r="E1337" i="56"/>
  <c r="F1337" i="56" s="1"/>
  <c r="G1337" i="56"/>
  <c r="I1337" i="56" s="1"/>
  <c r="H1337" i="56"/>
  <c r="J1337" i="56"/>
  <c r="K1337" i="56"/>
  <c r="C1338" i="56"/>
  <c r="D1338" i="56" s="1"/>
  <c r="E1338" i="56"/>
  <c r="F1338" i="56" s="1"/>
  <c r="G1338" i="56"/>
  <c r="I1338" i="56" s="1"/>
  <c r="H1338" i="56"/>
  <c r="J1338" i="56"/>
  <c r="K1338" i="56"/>
  <c r="C1339" i="56"/>
  <c r="D1339" i="56" s="1"/>
  <c r="E1339" i="56"/>
  <c r="F1339" i="56" s="1"/>
  <c r="G1339" i="56"/>
  <c r="I1339" i="56" s="1"/>
  <c r="H1339" i="56"/>
  <c r="J1339" i="56"/>
  <c r="K1339" i="56"/>
  <c r="C1340" i="56"/>
  <c r="D1340" i="56" s="1"/>
  <c r="E1340" i="56"/>
  <c r="F1340" i="56" s="1"/>
  <c r="G1340" i="56"/>
  <c r="I1340" i="56" s="1"/>
  <c r="H1340" i="56"/>
  <c r="J1340" i="56"/>
  <c r="K1340" i="56"/>
  <c r="C1341" i="56"/>
  <c r="D1341" i="56" s="1"/>
  <c r="E1341" i="56"/>
  <c r="F1341" i="56" s="1"/>
  <c r="G1341" i="56"/>
  <c r="I1341" i="56" s="1"/>
  <c r="H1341" i="56"/>
  <c r="J1341" i="56"/>
  <c r="K1341" i="56"/>
  <c r="C1342" i="56"/>
  <c r="D1342" i="56" s="1"/>
  <c r="E1342" i="56"/>
  <c r="F1342" i="56" s="1"/>
  <c r="G1342" i="56"/>
  <c r="I1342" i="56" s="1"/>
  <c r="H1342" i="56"/>
  <c r="J1342" i="56"/>
  <c r="K1342" i="56"/>
  <c r="C1343" i="56"/>
  <c r="D1343" i="56" s="1"/>
  <c r="E1343" i="56"/>
  <c r="F1343" i="56" s="1"/>
  <c r="G1343" i="56"/>
  <c r="I1343" i="56" s="1"/>
  <c r="H1343" i="56"/>
  <c r="J1343" i="56"/>
  <c r="K1343" i="56"/>
  <c r="C1344" i="56"/>
  <c r="D1344" i="56" s="1"/>
  <c r="E1344" i="56"/>
  <c r="F1344" i="56" s="1"/>
  <c r="G1344" i="56"/>
  <c r="I1344" i="56" s="1"/>
  <c r="H1344" i="56"/>
  <c r="J1344" i="56"/>
  <c r="K1344" i="56"/>
  <c r="C1345" i="56"/>
  <c r="D1345" i="56" s="1"/>
  <c r="E1345" i="56"/>
  <c r="F1345" i="56" s="1"/>
  <c r="G1345" i="56"/>
  <c r="I1345" i="56" s="1"/>
  <c r="H1345" i="56"/>
  <c r="J1345" i="56"/>
  <c r="K1345" i="56"/>
  <c r="C1346" i="56"/>
  <c r="D1346" i="56" s="1"/>
  <c r="E1346" i="56"/>
  <c r="F1346" i="56" s="1"/>
  <c r="G1346" i="56"/>
  <c r="I1346" i="56" s="1"/>
  <c r="H1346" i="56"/>
  <c r="J1346" i="56"/>
  <c r="K1346" i="56"/>
  <c r="C1347" i="56"/>
  <c r="D1347" i="56" s="1"/>
  <c r="E1347" i="56"/>
  <c r="F1347" i="56" s="1"/>
  <c r="G1347" i="56"/>
  <c r="I1347" i="56" s="1"/>
  <c r="H1347" i="56"/>
  <c r="J1347" i="56"/>
  <c r="K1347" i="56"/>
  <c r="C1348" i="56"/>
  <c r="D1348" i="56" s="1"/>
  <c r="E1348" i="56"/>
  <c r="F1348" i="56" s="1"/>
  <c r="G1348" i="56"/>
  <c r="I1348" i="56" s="1"/>
  <c r="H1348" i="56"/>
  <c r="J1348" i="56"/>
  <c r="K1348" i="56"/>
  <c r="C1349" i="56"/>
  <c r="D1349" i="56" s="1"/>
  <c r="E1349" i="56"/>
  <c r="F1349" i="56" s="1"/>
  <c r="G1349" i="56"/>
  <c r="I1349" i="56" s="1"/>
  <c r="H1349" i="56"/>
  <c r="J1349" i="56"/>
  <c r="K1349" i="56"/>
  <c r="C1350" i="56"/>
  <c r="D1350" i="56" s="1"/>
  <c r="E1350" i="56"/>
  <c r="F1350" i="56" s="1"/>
  <c r="G1350" i="56"/>
  <c r="I1350" i="56" s="1"/>
  <c r="H1350" i="56"/>
  <c r="J1350" i="56"/>
  <c r="K1350" i="56"/>
  <c r="C1351" i="56"/>
  <c r="D1351" i="56" s="1"/>
  <c r="E1351" i="56"/>
  <c r="F1351" i="56" s="1"/>
  <c r="G1351" i="56"/>
  <c r="I1351" i="56" s="1"/>
  <c r="H1351" i="56"/>
  <c r="J1351" i="56"/>
  <c r="K1351" i="56"/>
  <c r="C1352" i="56"/>
  <c r="D1352" i="56" s="1"/>
  <c r="E1352" i="56"/>
  <c r="F1352" i="56" s="1"/>
  <c r="G1352" i="56"/>
  <c r="I1352" i="56" s="1"/>
  <c r="H1352" i="56"/>
  <c r="J1352" i="56"/>
  <c r="K1352" i="56"/>
  <c r="C1353" i="56"/>
  <c r="D1353" i="56" s="1"/>
  <c r="E1353" i="56"/>
  <c r="F1353" i="56" s="1"/>
  <c r="G1353" i="56"/>
  <c r="I1353" i="56" s="1"/>
  <c r="H1353" i="56"/>
  <c r="J1353" i="56"/>
  <c r="K1353" i="56"/>
  <c r="C1354" i="56"/>
  <c r="D1354" i="56" s="1"/>
  <c r="E1354" i="56"/>
  <c r="F1354" i="56" s="1"/>
  <c r="G1354" i="56"/>
  <c r="I1354" i="56" s="1"/>
  <c r="H1354" i="56"/>
  <c r="J1354" i="56"/>
  <c r="K1354" i="56"/>
  <c r="C1355" i="56"/>
  <c r="D1355" i="56" s="1"/>
  <c r="E1355" i="56"/>
  <c r="F1355" i="56" s="1"/>
  <c r="G1355" i="56"/>
  <c r="I1355" i="56" s="1"/>
  <c r="H1355" i="56"/>
  <c r="J1355" i="56"/>
  <c r="K1355" i="56"/>
  <c r="C1356" i="56"/>
  <c r="D1356" i="56" s="1"/>
  <c r="E1356" i="56"/>
  <c r="F1356" i="56" s="1"/>
  <c r="G1356" i="56"/>
  <c r="I1356" i="56" s="1"/>
  <c r="H1356" i="56"/>
  <c r="J1356" i="56"/>
  <c r="K1356" i="56"/>
  <c r="C1357" i="56"/>
  <c r="D1357" i="56" s="1"/>
  <c r="E1357" i="56"/>
  <c r="F1357" i="56" s="1"/>
  <c r="G1357" i="56"/>
  <c r="I1357" i="56" s="1"/>
  <c r="H1357" i="56"/>
  <c r="J1357" i="56"/>
  <c r="K1357" i="56"/>
  <c r="C1358" i="56"/>
  <c r="D1358" i="56" s="1"/>
  <c r="E1358" i="56"/>
  <c r="F1358" i="56" s="1"/>
  <c r="G1358" i="56"/>
  <c r="I1358" i="56" s="1"/>
  <c r="H1358" i="56"/>
  <c r="J1358" i="56"/>
  <c r="K1358" i="56"/>
  <c r="C1359" i="56"/>
  <c r="D1359" i="56" s="1"/>
  <c r="E1359" i="56"/>
  <c r="F1359" i="56" s="1"/>
  <c r="G1359" i="56"/>
  <c r="I1359" i="56" s="1"/>
  <c r="H1359" i="56"/>
  <c r="J1359" i="56"/>
  <c r="K1359" i="56"/>
  <c r="C1360" i="56"/>
  <c r="D1360" i="56" s="1"/>
  <c r="E1360" i="56"/>
  <c r="F1360" i="56" s="1"/>
  <c r="G1360" i="56"/>
  <c r="I1360" i="56" s="1"/>
  <c r="H1360" i="56"/>
  <c r="J1360" i="56"/>
  <c r="K1360" i="56"/>
  <c r="C1361" i="56"/>
  <c r="D1361" i="56" s="1"/>
  <c r="E1361" i="56"/>
  <c r="F1361" i="56" s="1"/>
  <c r="G1361" i="56"/>
  <c r="I1361" i="56" s="1"/>
  <c r="H1361" i="56"/>
  <c r="J1361" i="56"/>
  <c r="K1361" i="56"/>
  <c r="C1362" i="56"/>
  <c r="D1362" i="56" s="1"/>
  <c r="E1362" i="56"/>
  <c r="F1362" i="56" s="1"/>
  <c r="G1362" i="56"/>
  <c r="I1362" i="56" s="1"/>
  <c r="H1362" i="56"/>
  <c r="J1362" i="56"/>
  <c r="K1362" i="56"/>
  <c r="C1363" i="56"/>
  <c r="D1363" i="56" s="1"/>
  <c r="E1363" i="56"/>
  <c r="F1363" i="56" s="1"/>
  <c r="G1363" i="56"/>
  <c r="I1363" i="56" s="1"/>
  <c r="H1363" i="56"/>
  <c r="J1363" i="56"/>
  <c r="K1363" i="56"/>
  <c r="C1364" i="56"/>
  <c r="D1364" i="56" s="1"/>
  <c r="E1364" i="56"/>
  <c r="F1364" i="56" s="1"/>
  <c r="G1364" i="56"/>
  <c r="I1364" i="56" s="1"/>
  <c r="H1364" i="56"/>
  <c r="J1364" i="56"/>
  <c r="K1364" i="56"/>
  <c r="C1365" i="56"/>
  <c r="D1365" i="56" s="1"/>
  <c r="E1365" i="56"/>
  <c r="F1365" i="56" s="1"/>
  <c r="G1365" i="56"/>
  <c r="I1365" i="56" s="1"/>
  <c r="H1365" i="56"/>
  <c r="J1365" i="56"/>
  <c r="K1365" i="56"/>
  <c r="C1366" i="56"/>
  <c r="D1366" i="56" s="1"/>
  <c r="E1366" i="56"/>
  <c r="F1366" i="56" s="1"/>
  <c r="G1366" i="56"/>
  <c r="I1366" i="56" s="1"/>
  <c r="H1366" i="56"/>
  <c r="J1366" i="56"/>
  <c r="K1366" i="56"/>
  <c r="C1367" i="56"/>
  <c r="D1367" i="56" s="1"/>
  <c r="E1367" i="56"/>
  <c r="F1367" i="56" s="1"/>
  <c r="G1367" i="56"/>
  <c r="I1367" i="56" s="1"/>
  <c r="H1367" i="56"/>
  <c r="J1367" i="56"/>
  <c r="K1367" i="56"/>
  <c r="C1368" i="56"/>
  <c r="D1368" i="56" s="1"/>
  <c r="E1368" i="56"/>
  <c r="F1368" i="56" s="1"/>
  <c r="G1368" i="56"/>
  <c r="I1368" i="56" s="1"/>
  <c r="H1368" i="56"/>
  <c r="J1368" i="56"/>
  <c r="K1368" i="56"/>
  <c r="C1369" i="56"/>
  <c r="D1369" i="56" s="1"/>
  <c r="E1369" i="56"/>
  <c r="F1369" i="56" s="1"/>
  <c r="G1369" i="56"/>
  <c r="I1369" i="56" s="1"/>
  <c r="H1369" i="56"/>
  <c r="J1369" i="56"/>
  <c r="K1369" i="56"/>
  <c r="C1370" i="56"/>
  <c r="D1370" i="56" s="1"/>
  <c r="E1370" i="56"/>
  <c r="F1370" i="56" s="1"/>
  <c r="G1370" i="56"/>
  <c r="I1370" i="56" s="1"/>
  <c r="H1370" i="56"/>
  <c r="J1370" i="56"/>
  <c r="K1370" i="56"/>
  <c r="C1371" i="56"/>
  <c r="D1371" i="56" s="1"/>
  <c r="E1371" i="56"/>
  <c r="F1371" i="56" s="1"/>
  <c r="G1371" i="56"/>
  <c r="I1371" i="56" s="1"/>
  <c r="H1371" i="56"/>
  <c r="J1371" i="56"/>
  <c r="K1371" i="56"/>
  <c r="C1372" i="56"/>
  <c r="D1372" i="56" s="1"/>
  <c r="E1372" i="56"/>
  <c r="F1372" i="56" s="1"/>
  <c r="G1372" i="56"/>
  <c r="I1372" i="56" s="1"/>
  <c r="H1372" i="56"/>
  <c r="J1372" i="56"/>
  <c r="K1372" i="56"/>
  <c r="C1373" i="56"/>
  <c r="D1373" i="56" s="1"/>
  <c r="E1373" i="56"/>
  <c r="F1373" i="56" s="1"/>
  <c r="G1373" i="56"/>
  <c r="I1373" i="56" s="1"/>
  <c r="H1373" i="56"/>
  <c r="J1373" i="56"/>
  <c r="K1373" i="56"/>
  <c r="C1374" i="56"/>
  <c r="D1374" i="56" s="1"/>
  <c r="E1374" i="56"/>
  <c r="F1374" i="56" s="1"/>
  <c r="G1374" i="56"/>
  <c r="I1374" i="56" s="1"/>
  <c r="H1374" i="56"/>
  <c r="J1374" i="56"/>
  <c r="K1374" i="56"/>
  <c r="C1375" i="56"/>
  <c r="D1375" i="56" s="1"/>
  <c r="E1375" i="56"/>
  <c r="F1375" i="56" s="1"/>
  <c r="G1375" i="56"/>
  <c r="I1375" i="56" s="1"/>
  <c r="H1375" i="56"/>
  <c r="J1375" i="56"/>
  <c r="K1375" i="56"/>
  <c r="C1376" i="56"/>
  <c r="D1376" i="56" s="1"/>
  <c r="E1376" i="56"/>
  <c r="F1376" i="56" s="1"/>
  <c r="G1376" i="56"/>
  <c r="I1376" i="56" s="1"/>
  <c r="H1376" i="56"/>
  <c r="J1376" i="56"/>
  <c r="K1376" i="56"/>
  <c r="C1377" i="56"/>
  <c r="D1377" i="56" s="1"/>
  <c r="E1377" i="56"/>
  <c r="F1377" i="56" s="1"/>
  <c r="G1377" i="56"/>
  <c r="I1377" i="56" s="1"/>
  <c r="H1377" i="56"/>
  <c r="J1377" i="56"/>
  <c r="K1377" i="56"/>
  <c r="C1378" i="56"/>
  <c r="D1378" i="56" s="1"/>
  <c r="E1378" i="56"/>
  <c r="F1378" i="56" s="1"/>
  <c r="G1378" i="56"/>
  <c r="I1378" i="56" s="1"/>
  <c r="H1378" i="56"/>
  <c r="J1378" i="56"/>
  <c r="K1378" i="56"/>
  <c r="C1379" i="56"/>
  <c r="D1379" i="56" s="1"/>
  <c r="E1379" i="56"/>
  <c r="F1379" i="56" s="1"/>
  <c r="G1379" i="56"/>
  <c r="I1379" i="56" s="1"/>
  <c r="H1379" i="56"/>
  <c r="J1379" i="56"/>
  <c r="K1379" i="56"/>
  <c r="C1380" i="56"/>
  <c r="D1380" i="56" s="1"/>
  <c r="E1380" i="56"/>
  <c r="F1380" i="56" s="1"/>
  <c r="G1380" i="56"/>
  <c r="I1380" i="56" s="1"/>
  <c r="H1380" i="56"/>
  <c r="J1380" i="56"/>
  <c r="K1380" i="56"/>
  <c r="C1381" i="56"/>
  <c r="D1381" i="56" s="1"/>
  <c r="E1381" i="56"/>
  <c r="F1381" i="56" s="1"/>
  <c r="G1381" i="56"/>
  <c r="I1381" i="56" s="1"/>
  <c r="H1381" i="56"/>
  <c r="J1381" i="56"/>
  <c r="K1381" i="56"/>
  <c r="C1382" i="56"/>
  <c r="D1382" i="56" s="1"/>
  <c r="E1382" i="56"/>
  <c r="F1382" i="56" s="1"/>
  <c r="G1382" i="56"/>
  <c r="I1382" i="56" s="1"/>
  <c r="H1382" i="56"/>
  <c r="J1382" i="56"/>
  <c r="K1382" i="56"/>
  <c r="C1383" i="56"/>
  <c r="D1383" i="56" s="1"/>
  <c r="E1383" i="56"/>
  <c r="F1383" i="56" s="1"/>
  <c r="G1383" i="56"/>
  <c r="I1383" i="56" s="1"/>
  <c r="H1383" i="56"/>
  <c r="J1383" i="56"/>
  <c r="K1383" i="56"/>
  <c r="C1384" i="56"/>
  <c r="D1384" i="56" s="1"/>
  <c r="E1384" i="56"/>
  <c r="F1384" i="56" s="1"/>
  <c r="G1384" i="56"/>
  <c r="I1384" i="56" s="1"/>
  <c r="H1384" i="56"/>
  <c r="J1384" i="56"/>
  <c r="K1384" i="56"/>
  <c r="C1385" i="56"/>
  <c r="D1385" i="56" s="1"/>
  <c r="E1385" i="56"/>
  <c r="F1385" i="56" s="1"/>
  <c r="G1385" i="56"/>
  <c r="I1385" i="56" s="1"/>
  <c r="H1385" i="56"/>
  <c r="J1385" i="56"/>
  <c r="K1385" i="56"/>
  <c r="C1386" i="56"/>
  <c r="D1386" i="56" s="1"/>
  <c r="E1386" i="56"/>
  <c r="F1386" i="56" s="1"/>
  <c r="G1386" i="56"/>
  <c r="I1386" i="56" s="1"/>
  <c r="H1386" i="56"/>
  <c r="J1386" i="56"/>
  <c r="K1386" i="56"/>
  <c r="C1387" i="56"/>
  <c r="D1387" i="56" s="1"/>
  <c r="E1387" i="56"/>
  <c r="F1387" i="56" s="1"/>
  <c r="G1387" i="56"/>
  <c r="I1387" i="56" s="1"/>
  <c r="H1387" i="56"/>
  <c r="J1387" i="56"/>
  <c r="K1387" i="56"/>
  <c r="C1388" i="56"/>
  <c r="D1388" i="56" s="1"/>
  <c r="E1388" i="56"/>
  <c r="F1388" i="56" s="1"/>
  <c r="G1388" i="56"/>
  <c r="I1388" i="56" s="1"/>
  <c r="H1388" i="56"/>
  <c r="J1388" i="56"/>
  <c r="K1388" i="56"/>
  <c r="C1389" i="56"/>
  <c r="D1389" i="56" s="1"/>
  <c r="E1389" i="56"/>
  <c r="F1389" i="56" s="1"/>
  <c r="G1389" i="56"/>
  <c r="I1389" i="56" s="1"/>
  <c r="H1389" i="56"/>
  <c r="J1389" i="56"/>
  <c r="K1389" i="56"/>
  <c r="C1390" i="56"/>
  <c r="D1390" i="56" s="1"/>
  <c r="E1390" i="56"/>
  <c r="F1390" i="56" s="1"/>
  <c r="G1390" i="56"/>
  <c r="I1390" i="56" s="1"/>
  <c r="H1390" i="56"/>
  <c r="J1390" i="56"/>
  <c r="K1390" i="56"/>
  <c r="C1391" i="56"/>
  <c r="D1391" i="56" s="1"/>
  <c r="E1391" i="56"/>
  <c r="F1391" i="56" s="1"/>
  <c r="G1391" i="56"/>
  <c r="I1391" i="56" s="1"/>
  <c r="H1391" i="56"/>
  <c r="J1391" i="56"/>
  <c r="K1391" i="56"/>
  <c r="C1392" i="56"/>
  <c r="D1392" i="56" s="1"/>
  <c r="E1392" i="56"/>
  <c r="F1392" i="56" s="1"/>
  <c r="G1392" i="56"/>
  <c r="I1392" i="56" s="1"/>
  <c r="H1392" i="56"/>
  <c r="J1392" i="56"/>
  <c r="K1392" i="56"/>
  <c r="C1393" i="56"/>
  <c r="D1393" i="56" s="1"/>
  <c r="E1393" i="56"/>
  <c r="F1393" i="56" s="1"/>
  <c r="G1393" i="56"/>
  <c r="I1393" i="56" s="1"/>
  <c r="H1393" i="56"/>
  <c r="J1393" i="56"/>
  <c r="K1393" i="56"/>
  <c r="C1394" i="56"/>
  <c r="D1394" i="56" s="1"/>
  <c r="E1394" i="56"/>
  <c r="F1394" i="56" s="1"/>
  <c r="G1394" i="56"/>
  <c r="I1394" i="56" s="1"/>
  <c r="H1394" i="56"/>
  <c r="J1394" i="56"/>
  <c r="K1394" i="56"/>
  <c r="C1395" i="56"/>
  <c r="D1395" i="56" s="1"/>
  <c r="E1395" i="56"/>
  <c r="F1395" i="56" s="1"/>
  <c r="G1395" i="56"/>
  <c r="I1395" i="56" s="1"/>
  <c r="H1395" i="56"/>
  <c r="J1395" i="56"/>
  <c r="K1395" i="56"/>
  <c r="C1396" i="56"/>
  <c r="D1396" i="56" s="1"/>
  <c r="E1396" i="56"/>
  <c r="F1396" i="56" s="1"/>
  <c r="G1396" i="56"/>
  <c r="I1396" i="56" s="1"/>
  <c r="H1396" i="56"/>
  <c r="J1396" i="56"/>
  <c r="K1396" i="56"/>
  <c r="C1397" i="56"/>
  <c r="D1397" i="56" s="1"/>
  <c r="E1397" i="56"/>
  <c r="F1397" i="56" s="1"/>
  <c r="G1397" i="56"/>
  <c r="I1397" i="56" s="1"/>
  <c r="H1397" i="56"/>
  <c r="J1397" i="56"/>
  <c r="K1397" i="56"/>
  <c r="C1398" i="56"/>
  <c r="D1398" i="56" s="1"/>
  <c r="E1398" i="56"/>
  <c r="F1398" i="56" s="1"/>
  <c r="G1398" i="56"/>
  <c r="I1398" i="56" s="1"/>
  <c r="H1398" i="56"/>
  <c r="J1398" i="56"/>
  <c r="K1398" i="56"/>
  <c r="C1399" i="56"/>
  <c r="D1399" i="56" s="1"/>
  <c r="E1399" i="56"/>
  <c r="F1399" i="56" s="1"/>
  <c r="G1399" i="56"/>
  <c r="I1399" i="56" s="1"/>
  <c r="H1399" i="56"/>
  <c r="J1399" i="56"/>
  <c r="K1399" i="56"/>
  <c r="C1400" i="56"/>
  <c r="D1400" i="56" s="1"/>
  <c r="E1400" i="56"/>
  <c r="F1400" i="56" s="1"/>
  <c r="G1400" i="56"/>
  <c r="I1400" i="56" s="1"/>
  <c r="H1400" i="56"/>
  <c r="J1400" i="56"/>
  <c r="K1400" i="56"/>
  <c r="C1401" i="56"/>
  <c r="D1401" i="56" s="1"/>
  <c r="E1401" i="56"/>
  <c r="F1401" i="56" s="1"/>
  <c r="G1401" i="56"/>
  <c r="I1401" i="56" s="1"/>
  <c r="H1401" i="56"/>
  <c r="J1401" i="56"/>
  <c r="K1401" i="56"/>
  <c r="C1402" i="56"/>
  <c r="D1402" i="56" s="1"/>
  <c r="E1402" i="56"/>
  <c r="F1402" i="56" s="1"/>
  <c r="G1402" i="56"/>
  <c r="I1402" i="56" s="1"/>
  <c r="H1402" i="56"/>
  <c r="J1402" i="56"/>
  <c r="K1402" i="56"/>
  <c r="C1403" i="56"/>
  <c r="D1403" i="56" s="1"/>
  <c r="E1403" i="56"/>
  <c r="F1403" i="56" s="1"/>
  <c r="G1403" i="56"/>
  <c r="I1403" i="56" s="1"/>
  <c r="H1403" i="56"/>
  <c r="J1403" i="56"/>
  <c r="K1403" i="56"/>
  <c r="C1404" i="56"/>
  <c r="D1404" i="56" s="1"/>
  <c r="E1404" i="56"/>
  <c r="F1404" i="56" s="1"/>
  <c r="G1404" i="56"/>
  <c r="I1404" i="56" s="1"/>
  <c r="H1404" i="56"/>
  <c r="J1404" i="56"/>
  <c r="K1404" i="56"/>
  <c r="C1405" i="56"/>
  <c r="D1405" i="56" s="1"/>
  <c r="E1405" i="56"/>
  <c r="F1405" i="56" s="1"/>
  <c r="G1405" i="56"/>
  <c r="I1405" i="56" s="1"/>
  <c r="H1405" i="56"/>
  <c r="J1405" i="56"/>
  <c r="K1405" i="56"/>
  <c r="C1406" i="56"/>
  <c r="D1406" i="56" s="1"/>
  <c r="E1406" i="56"/>
  <c r="F1406" i="56" s="1"/>
  <c r="G1406" i="56"/>
  <c r="I1406" i="56" s="1"/>
  <c r="H1406" i="56"/>
  <c r="J1406" i="56"/>
  <c r="K1406" i="56"/>
  <c r="C1407" i="56"/>
  <c r="D1407" i="56" s="1"/>
  <c r="E1407" i="56"/>
  <c r="F1407" i="56" s="1"/>
  <c r="G1407" i="56"/>
  <c r="I1407" i="56" s="1"/>
  <c r="H1407" i="56"/>
  <c r="J1407" i="56"/>
  <c r="K1407" i="56"/>
  <c r="C1408" i="56"/>
  <c r="D1408" i="56" s="1"/>
  <c r="E1408" i="56"/>
  <c r="F1408" i="56" s="1"/>
  <c r="G1408" i="56"/>
  <c r="I1408" i="56" s="1"/>
  <c r="H1408" i="56"/>
  <c r="J1408" i="56"/>
  <c r="K1408" i="56"/>
  <c r="C1409" i="56"/>
  <c r="D1409" i="56" s="1"/>
  <c r="E1409" i="56"/>
  <c r="F1409" i="56" s="1"/>
  <c r="G1409" i="56"/>
  <c r="I1409" i="56" s="1"/>
  <c r="H1409" i="56"/>
  <c r="J1409" i="56"/>
  <c r="K1409" i="56"/>
  <c r="C1410" i="56"/>
  <c r="D1410" i="56" s="1"/>
  <c r="E1410" i="56"/>
  <c r="F1410" i="56" s="1"/>
  <c r="G1410" i="56"/>
  <c r="I1410" i="56" s="1"/>
  <c r="H1410" i="56"/>
  <c r="J1410" i="56"/>
  <c r="K1410" i="56"/>
  <c r="C1411" i="56"/>
  <c r="D1411" i="56" s="1"/>
  <c r="E1411" i="56"/>
  <c r="F1411" i="56" s="1"/>
  <c r="G1411" i="56"/>
  <c r="I1411" i="56" s="1"/>
  <c r="H1411" i="56"/>
  <c r="J1411" i="56"/>
  <c r="K1411" i="56"/>
  <c r="C1412" i="56"/>
  <c r="D1412" i="56" s="1"/>
  <c r="E1412" i="56"/>
  <c r="F1412" i="56" s="1"/>
  <c r="G1412" i="56"/>
  <c r="I1412" i="56" s="1"/>
  <c r="H1412" i="56"/>
  <c r="J1412" i="56"/>
  <c r="K1412" i="56"/>
  <c r="C1413" i="56"/>
  <c r="D1413" i="56" s="1"/>
  <c r="E1413" i="56"/>
  <c r="F1413" i="56" s="1"/>
  <c r="G1413" i="56"/>
  <c r="I1413" i="56" s="1"/>
  <c r="H1413" i="56"/>
  <c r="J1413" i="56"/>
  <c r="K1413" i="56"/>
  <c r="C1414" i="56"/>
  <c r="D1414" i="56" s="1"/>
  <c r="E1414" i="56"/>
  <c r="F1414" i="56" s="1"/>
  <c r="G1414" i="56"/>
  <c r="I1414" i="56" s="1"/>
  <c r="H1414" i="56"/>
  <c r="J1414" i="56"/>
  <c r="K1414" i="56"/>
  <c r="C1415" i="56"/>
  <c r="D1415" i="56" s="1"/>
  <c r="E1415" i="56"/>
  <c r="F1415" i="56" s="1"/>
  <c r="G1415" i="56"/>
  <c r="I1415" i="56" s="1"/>
  <c r="H1415" i="56"/>
  <c r="J1415" i="56"/>
  <c r="K1415" i="56"/>
  <c r="C1416" i="56"/>
  <c r="D1416" i="56" s="1"/>
  <c r="E1416" i="56"/>
  <c r="F1416" i="56" s="1"/>
  <c r="G1416" i="56"/>
  <c r="I1416" i="56" s="1"/>
  <c r="H1416" i="56"/>
  <c r="J1416" i="56"/>
  <c r="K1416" i="56"/>
  <c r="C1417" i="56"/>
  <c r="D1417" i="56" s="1"/>
  <c r="E1417" i="56"/>
  <c r="F1417" i="56" s="1"/>
  <c r="G1417" i="56"/>
  <c r="I1417" i="56" s="1"/>
  <c r="H1417" i="56"/>
  <c r="J1417" i="56"/>
  <c r="K1417" i="56"/>
  <c r="C1418" i="56"/>
  <c r="D1418" i="56" s="1"/>
  <c r="E1418" i="56"/>
  <c r="F1418" i="56" s="1"/>
  <c r="G1418" i="56"/>
  <c r="I1418" i="56" s="1"/>
  <c r="H1418" i="56"/>
  <c r="J1418" i="56"/>
  <c r="K1418" i="56"/>
  <c r="C1419" i="56"/>
  <c r="D1419" i="56" s="1"/>
  <c r="E1419" i="56"/>
  <c r="F1419" i="56" s="1"/>
  <c r="G1419" i="56"/>
  <c r="I1419" i="56" s="1"/>
  <c r="H1419" i="56"/>
  <c r="J1419" i="56"/>
  <c r="K1419" i="56"/>
  <c r="C1420" i="56"/>
  <c r="D1420" i="56" s="1"/>
  <c r="E1420" i="56"/>
  <c r="F1420" i="56" s="1"/>
  <c r="G1420" i="56"/>
  <c r="I1420" i="56" s="1"/>
  <c r="H1420" i="56"/>
  <c r="J1420" i="56"/>
  <c r="K1420" i="56"/>
  <c r="C1421" i="56"/>
  <c r="D1421" i="56" s="1"/>
  <c r="E1421" i="56"/>
  <c r="F1421" i="56" s="1"/>
  <c r="G1421" i="56"/>
  <c r="I1421" i="56" s="1"/>
  <c r="H1421" i="56"/>
  <c r="J1421" i="56"/>
  <c r="K1421" i="56"/>
  <c r="C1422" i="56"/>
  <c r="D1422" i="56" s="1"/>
  <c r="E1422" i="56"/>
  <c r="F1422" i="56" s="1"/>
  <c r="G1422" i="56"/>
  <c r="I1422" i="56" s="1"/>
  <c r="H1422" i="56"/>
  <c r="J1422" i="56"/>
  <c r="K1422" i="56"/>
  <c r="C1423" i="56"/>
  <c r="D1423" i="56" s="1"/>
  <c r="E1423" i="56"/>
  <c r="F1423" i="56" s="1"/>
  <c r="G1423" i="56"/>
  <c r="I1423" i="56" s="1"/>
  <c r="H1423" i="56"/>
  <c r="J1423" i="56"/>
  <c r="K1423" i="56"/>
  <c r="C1424" i="56"/>
  <c r="D1424" i="56" s="1"/>
  <c r="E1424" i="56"/>
  <c r="F1424" i="56" s="1"/>
  <c r="G1424" i="56"/>
  <c r="I1424" i="56" s="1"/>
  <c r="H1424" i="56"/>
  <c r="J1424" i="56"/>
  <c r="K1424" i="56"/>
  <c r="C1425" i="56"/>
  <c r="D1425" i="56" s="1"/>
  <c r="E1425" i="56"/>
  <c r="F1425" i="56" s="1"/>
  <c r="G1425" i="56"/>
  <c r="I1425" i="56" s="1"/>
  <c r="H1425" i="56"/>
  <c r="J1425" i="56"/>
  <c r="K1425" i="56"/>
  <c r="C1426" i="56"/>
  <c r="D1426" i="56" s="1"/>
  <c r="E1426" i="56"/>
  <c r="F1426" i="56" s="1"/>
  <c r="G1426" i="56"/>
  <c r="I1426" i="56" s="1"/>
  <c r="H1426" i="56"/>
  <c r="J1426" i="56"/>
  <c r="K1426" i="56"/>
  <c r="C1427" i="56"/>
  <c r="D1427" i="56" s="1"/>
  <c r="E1427" i="56"/>
  <c r="F1427" i="56" s="1"/>
  <c r="G1427" i="56"/>
  <c r="I1427" i="56" s="1"/>
  <c r="H1427" i="56"/>
  <c r="J1427" i="56"/>
  <c r="K1427" i="56"/>
  <c r="C1428" i="56"/>
  <c r="D1428" i="56" s="1"/>
  <c r="E1428" i="56"/>
  <c r="F1428" i="56" s="1"/>
  <c r="G1428" i="56"/>
  <c r="I1428" i="56" s="1"/>
  <c r="H1428" i="56"/>
  <c r="J1428" i="56"/>
  <c r="K1428" i="56"/>
  <c r="C1429" i="56"/>
  <c r="D1429" i="56" s="1"/>
  <c r="E1429" i="56"/>
  <c r="F1429" i="56" s="1"/>
  <c r="G1429" i="56"/>
  <c r="I1429" i="56" s="1"/>
  <c r="H1429" i="56"/>
  <c r="J1429" i="56"/>
  <c r="K1429" i="56"/>
  <c r="C1430" i="56"/>
  <c r="D1430" i="56" s="1"/>
  <c r="E1430" i="56"/>
  <c r="F1430" i="56" s="1"/>
  <c r="G1430" i="56"/>
  <c r="I1430" i="56" s="1"/>
  <c r="H1430" i="56"/>
  <c r="J1430" i="56"/>
  <c r="K1430" i="56"/>
  <c r="C1431" i="56"/>
  <c r="D1431" i="56" s="1"/>
  <c r="E1431" i="56"/>
  <c r="F1431" i="56" s="1"/>
  <c r="G1431" i="56"/>
  <c r="I1431" i="56" s="1"/>
  <c r="H1431" i="56"/>
  <c r="J1431" i="56"/>
  <c r="K1431" i="56"/>
  <c r="C1432" i="56"/>
  <c r="D1432" i="56" s="1"/>
  <c r="E1432" i="56"/>
  <c r="F1432" i="56" s="1"/>
  <c r="G1432" i="56"/>
  <c r="I1432" i="56" s="1"/>
  <c r="H1432" i="56"/>
  <c r="J1432" i="56"/>
  <c r="K1432" i="56"/>
  <c r="C1433" i="56"/>
  <c r="D1433" i="56" s="1"/>
  <c r="E1433" i="56"/>
  <c r="F1433" i="56" s="1"/>
  <c r="G1433" i="56"/>
  <c r="I1433" i="56" s="1"/>
  <c r="H1433" i="56"/>
  <c r="J1433" i="56"/>
  <c r="K1433" i="56"/>
  <c r="C1434" i="56"/>
  <c r="D1434" i="56" s="1"/>
  <c r="E1434" i="56"/>
  <c r="F1434" i="56" s="1"/>
  <c r="G1434" i="56"/>
  <c r="I1434" i="56" s="1"/>
  <c r="H1434" i="56"/>
  <c r="J1434" i="56"/>
  <c r="K1434" i="56"/>
  <c r="C1435" i="56"/>
  <c r="D1435" i="56" s="1"/>
  <c r="E1435" i="56"/>
  <c r="F1435" i="56" s="1"/>
  <c r="G1435" i="56"/>
  <c r="I1435" i="56" s="1"/>
  <c r="H1435" i="56"/>
  <c r="J1435" i="56"/>
  <c r="K1435" i="56"/>
  <c r="C1436" i="56"/>
  <c r="D1436" i="56" s="1"/>
  <c r="E1436" i="56"/>
  <c r="F1436" i="56" s="1"/>
  <c r="G1436" i="56"/>
  <c r="I1436" i="56" s="1"/>
  <c r="H1436" i="56"/>
  <c r="J1436" i="56"/>
  <c r="K1436" i="56"/>
  <c r="C1437" i="56"/>
  <c r="D1437" i="56" s="1"/>
  <c r="E1437" i="56"/>
  <c r="F1437" i="56" s="1"/>
  <c r="G1437" i="56"/>
  <c r="I1437" i="56" s="1"/>
  <c r="H1437" i="56"/>
  <c r="J1437" i="56"/>
  <c r="K1437" i="56"/>
  <c r="C1438" i="56"/>
  <c r="D1438" i="56" s="1"/>
  <c r="E1438" i="56"/>
  <c r="F1438" i="56" s="1"/>
  <c r="G1438" i="56"/>
  <c r="I1438" i="56" s="1"/>
  <c r="H1438" i="56"/>
  <c r="J1438" i="56"/>
  <c r="K1438" i="56"/>
  <c r="C1439" i="56"/>
  <c r="D1439" i="56" s="1"/>
  <c r="E1439" i="56"/>
  <c r="F1439" i="56" s="1"/>
  <c r="G1439" i="56"/>
  <c r="I1439" i="56" s="1"/>
  <c r="H1439" i="56"/>
  <c r="J1439" i="56"/>
  <c r="K1439" i="56"/>
  <c r="C1440" i="56"/>
  <c r="D1440" i="56" s="1"/>
  <c r="E1440" i="56"/>
  <c r="F1440" i="56" s="1"/>
  <c r="G1440" i="56"/>
  <c r="I1440" i="56" s="1"/>
  <c r="H1440" i="56"/>
  <c r="J1440" i="56"/>
  <c r="K1440" i="56"/>
  <c r="C1441" i="56"/>
  <c r="D1441" i="56" s="1"/>
  <c r="E1441" i="56"/>
  <c r="F1441" i="56" s="1"/>
  <c r="G1441" i="56"/>
  <c r="I1441" i="56" s="1"/>
  <c r="H1441" i="56"/>
  <c r="J1441" i="56"/>
  <c r="K1441" i="56"/>
  <c r="C1442" i="56"/>
  <c r="D1442" i="56" s="1"/>
  <c r="E1442" i="56"/>
  <c r="F1442" i="56" s="1"/>
  <c r="G1442" i="56"/>
  <c r="I1442" i="56" s="1"/>
  <c r="H1442" i="56"/>
  <c r="J1442" i="56"/>
  <c r="K1442" i="56"/>
  <c r="C1443" i="56"/>
  <c r="D1443" i="56" s="1"/>
  <c r="E1443" i="56"/>
  <c r="F1443" i="56" s="1"/>
  <c r="G1443" i="56"/>
  <c r="I1443" i="56" s="1"/>
  <c r="H1443" i="56"/>
  <c r="J1443" i="56"/>
  <c r="K1443" i="56"/>
  <c r="C1444" i="56"/>
  <c r="D1444" i="56" s="1"/>
  <c r="E1444" i="56"/>
  <c r="F1444" i="56" s="1"/>
  <c r="G1444" i="56"/>
  <c r="I1444" i="56" s="1"/>
  <c r="H1444" i="56"/>
  <c r="J1444" i="56"/>
  <c r="K1444" i="56"/>
  <c r="C1445" i="56"/>
  <c r="D1445" i="56" s="1"/>
  <c r="E1445" i="56"/>
  <c r="F1445" i="56" s="1"/>
  <c r="G1445" i="56"/>
  <c r="I1445" i="56" s="1"/>
  <c r="H1445" i="56"/>
  <c r="J1445" i="56"/>
  <c r="K1445" i="56"/>
  <c r="C1446" i="56"/>
  <c r="D1446" i="56" s="1"/>
  <c r="E1446" i="56"/>
  <c r="F1446" i="56" s="1"/>
  <c r="G1446" i="56"/>
  <c r="I1446" i="56" s="1"/>
  <c r="H1446" i="56"/>
  <c r="J1446" i="56"/>
  <c r="K1446" i="56"/>
  <c r="C1447" i="56"/>
  <c r="D1447" i="56" s="1"/>
  <c r="E1447" i="56"/>
  <c r="F1447" i="56" s="1"/>
  <c r="G1447" i="56"/>
  <c r="I1447" i="56" s="1"/>
  <c r="H1447" i="56"/>
  <c r="J1447" i="56"/>
  <c r="K1447" i="56"/>
  <c r="C1448" i="56"/>
  <c r="D1448" i="56" s="1"/>
  <c r="E1448" i="56"/>
  <c r="F1448" i="56" s="1"/>
  <c r="G1448" i="56"/>
  <c r="I1448" i="56" s="1"/>
  <c r="H1448" i="56"/>
  <c r="J1448" i="56"/>
  <c r="K1448" i="56"/>
  <c r="C1449" i="56"/>
  <c r="D1449" i="56" s="1"/>
  <c r="E1449" i="56"/>
  <c r="F1449" i="56" s="1"/>
  <c r="G1449" i="56"/>
  <c r="I1449" i="56" s="1"/>
  <c r="H1449" i="56"/>
  <c r="J1449" i="56"/>
  <c r="K1449" i="56"/>
  <c r="C1450" i="56"/>
  <c r="D1450" i="56" s="1"/>
  <c r="E1450" i="56"/>
  <c r="F1450" i="56" s="1"/>
  <c r="G1450" i="56"/>
  <c r="I1450" i="56" s="1"/>
  <c r="H1450" i="56"/>
  <c r="J1450" i="56"/>
  <c r="K1450" i="56"/>
  <c r="C1451" i="56"/>
  <c r="D1451" i="56" s="1"/>
  <c r="E1451" i="56"/>
  <c r="F1451" i="56" s="1"/>
  <c r="G1451" i="56"/>
  <c r="I1451" i="56" s="1"/>
  <c r="H1451" i="56"/>
  <c r="J1451" i="56"/>
  <c r="K1451" i="56"/>
  <c r="C1452" i="56"/>
  <c r="D1452" i="56" s="1"/>
  <c r="E1452" i="56"/>
  <c r="F1452" i="56" s="1"/>
  <c r="G1452" i="56"/>
  <c r="I1452" i="56" s="1"/>
  <c r="H1452" i="56"/>
  <c r="J1452" i="56"/>
  <c r="K1452" i="56"/>
  <c r="C1453" i="56"/>
  <c r="D1453" i="56" s="1"/>
  <c r="E1453" i="56"/>
  <c r="F1453" i="56" s="1"/>
  <c r="G1453" i="56"/>
  <c r="I1453" i="56" s="1"/>
  <c r="H1453" i="56"/>
  <c r="J1453" i="56"/>
  <c r="K1453" i="56"/>
  <c r="C1454" i="56"/>
  <c r="D1454" i="56" s="1"/>
  <c r="E1454" i="56"/>
  <c r="F1454" i="56" s="1"/>
  <c r="G1454" i="56"/>
  <c r="I1454" i="56" s="1"/>
  <c r="H1454" i="56"/>
  <c r="J1454" i="56"/>
  <c r="K1454" i="56"/>
  <c r="C1455" i="56"/>
  <c r="D1455" i="56" s="1"/>
  <c r="E1455" i="56"/>
  <c r="F1455" i="56" s="1"/>
  <c r="G1455" i="56"/>
  <c r="I1455" i="56" s="1"/>
  <c r="H1455" i="56"/>
  <c r="J1455" i="56"/>
  <c r="K1455" i="56"/>
  <c r="C1456" i="56"/>
  <c r="D1456" i="56" s="1"/>
  <c r="E1456" i="56"/>
  <c r="F1456" i="56" s="1"/>
  <c r="G1456" i="56"/>
  <c r="I1456" i="56" s="1"/>
  <c r="H1456" i="56"/>
  <c r="J1456" i="56"/>
  <c r="K1456" i="56"/>
  <c r="C1457" i="56"/>
  <c r="D1457" i="56" s="1"/>
  <c r="E1457" i="56"/>
  <c r="F1457" i="56" s="1"/>
  <c r="G1457" i="56"/>
  <c r="I1457" i="56" s="1"/>
  <c r="H1457" i="56"/>
  <c r="J1457" i="56"/>
  <c r="K1457" i="56"/>
  <c r="C1458" i="56"/>
  <c r="D1458" i="56" s="1"/>
  <c r="E1458" i="56"/>
  <c r="F1458" i="56" s="1"/>
  <c r="G1458" i="56"/>
  <c r="I1458" i="56" s="1"/>
  <c r="H1458" i="56"/>
  <c r="J1458" i="56"/>
  <c r="K1458" i="56"/>
  <c r="C1459" i="56"/>
  <c r="D1459" i="56" s="1"/>
  <c r="E1459" i="56"/>
  <c r="F1459" i="56" s="1"/>
  <c r="G1459" i="56"/>
  <c r="I1459" i="56" s="1"/>
  <c r="H1459" i="56"/>
  <c r="J1459" i="56"/>
  <c r="K1459" i="56"/>
  <c r="C1460" i="56"/>
  <c r="D1460" i="56" s="1"/>
  <c r="E1460" i="56"/>
  <c r="F1460" i="56" s="1"/>
  <c r="G1460" i="56"/>
  <c r="I1460" i="56" s="1"/>
  <c r="H1460" i="56"/>
  <c r="J1460" i="56"/>
  <c r="K1460" i="56"/>
  <c r="C1461" i="56"/>
  <c r="D1461" i="56" s="1"/>
  <c r="E1461" i="56"/>
  <c r="F1461" i="56" s="1"/>
  <c r="G1461" i="56"/>
  <c r="I1461" i="56" s="1"/>
  <c r="H1461" i="56"/>
  <c r="J1461" i="56"/>
  <c r="K1461" i="56"/>
  <c r="C1462" i="56"/>
  <c r="D1462" i="56" s="1"/>
  <c r="E1462" i="56"/>
  <c r="F1462" i="56" s="1"/>
  <c r="G1462" i="56"/>
  <c r="I1462" i="56" s="1"/>
  <c r="H1462" i="56"/>
  <c r="J1462" i="56"/>
  <c r="K1462" i="56"/>
  <c r="C1463" i="56"/>
  <c r="D1463" i="56" s="1"/>
  <c r="E1463" i="56"/>
  <c r="F1463" i="56" s="1"/>
  <c r="G1463" i="56"/>
  <c r="I1463" i="56" s="1"/>
  <c r="H1463" i="56"/>
  <c r="J1463" i="56"/>
  <c r="K1463" i="56"/>
  <c r="C1464" i="56"/>
  <c r="D1464" i="56" s="1"/>
  <c r="E1464" i="56"/>
  <c r="F1464" i="56" s="1"/>
  <c r="G1464" i="56"/>
  <c r="I1464" i="56" s="1"/>
  <c r="H1464" i="56"/>
  <c r="J1464" i="56"/>
  <c r="K1464" i="56"/>
  <c r="C1465" i="56"/>
  <c r="D1465" i="56" s="1"/>
  <c r="E1465" i="56"/>
  <c r="F1465" i="56" s="1"/>
  <c r="G1465" i="56"/>
  <c r="I1465" i="56" s="1"/>
  <c r="H1465" i="56"/>
  <c r="J1465" i="56"/>
  <c r="K1465" i="56"/>
  <c r="C1466" i="56"/>
  <c r="D1466" i="56" s="1"/>
  <c r="E1466" i="56"/>
  <c r="F1466" i="56" s="1"/>
  <c r="G1466" i="56"/>
  <c r="I1466" i="56" s="1"/>
  <c r="H1466" i="56"/>
  <c r="J1466" i="56"/>
  <c r="K1466" i="56"/>
  <c r="C1467" i="56"/>
  <c r="D1467" i="56" s="1"/>
  <c r="E1467" i="56"/>
  <c r="F1467" i="56" s="1"/>
  <c r="G1467" i="56"/>
  <c r="I1467" i="56" s="1"/>
  <c r="H1467" i="56"/>
  <c r="J1467" i="56"/>
  <c r="K1467" i="56"/>
  <c r="C1468" i="56"/>
  <c r="D1468" i="56" s="1"/>
  <c r="E1468" i="56"/>
  <c r="F1468" i="56" s="1"/>
  <c r="G1468" i="56"/>
  <c r="I1468" i="56" s="1"/>
  <c r="H1468" i="56"/>
  <c r="J1468" i="56"/>
  <c r="K1468" i="56"/>
  <c r="C1469" i="56"/>
  <c r="D1469" i="56" s="1"/>
  <c r="E1469" i="56"/>
  <c r="F1469" i="56" s="1"/>
  <c r="G1469" i="56"/>
  <c r="I1469" i="56" s="1"/>
  <c r="H1469" i="56"/>
  <c r="J1469" i="56"/>
  <c r="K1469" i="56"/>
  <c r="C1470" i="56"/>
  <c r="D1470" i="56" s="1"/>
  <c r="E1470" i="56"/>
  <c r="F1470" i="56" s="1"/>
  <c r="G1470" i="56"/>
  <c r="I1470" i="56" s="1"/>
  <c r="H1470" i="56"/>
  <c r="J1470" i="56"/>
  <c r="K1470" i="56"/>
  <c r="C1471" i="56"/>
  <c r="D1471" i="56" s="1"/>
  <c r="E1471" i="56"/>
  <c r="F1471" i="56" s="1"/>
  <c r="G1471" i="56"/>
  <c r="I1471" i="56" s="1"/>
  <c r="H1471" i="56"/>
  <c r="J1471" i="56"/>
  <c r="K1471" i="56"/>
  <c r="C1472" i="56"/>
  <c r="D1472" i="56" s="1"/>
  <c r="E1472" i="56"/>
  <c r="F1472" i="56" s="1"/>
  <c r="G1472" i="56"/>
  <c r="I1472" i="56" s="1"/>
  <c r="H1472" i="56"/>
  <c r="J1472" i="56"/>
  <c r="K1472" i="56"/>
  <c r="C1473" i="56"/>
  <c r="D1473" i="56" s="1"/>
  <c r="E1473" i="56"/>
  <c r="F1473" i="56" s="1"/>
  <c r="G1473" i="56"/>
  <c r="I1473" i="56" s="1"/>
  <c r="H1473" i="56"/>
  <c r="J1473" i="56"/>
  <c r="K1473" i="56"/>
  <c r="C1474" i="56"/>
  <c r="D1474" i="56" s="1"/>
  <c r="E1474" i="56"/>
  <c r="F1474" i="56" s="1"/>
  <c r="G1474" i="56"/>
  <c r="I1474" i="56" s="1"/>
  <c r="H1474" i="56"/>
  <c r="J1474" i="56"/>
  <c r="K1474" i="56"/>
  <c r="C1475" i="56"/>
  <c r="D1475" i="56" s="1"/>
  <c r="E1475" i="56"/>
  <c r="F1475" i="56" s="1"/>
  <c r="G1475" i="56"/>
  <c r="I1475" i="56" s="1"/>
  <c r="H1475" i="56"/>
  <c r="J1475" i="56"/>
  <c r="K1475" i="56"/>
  <c r="C1476" i="56"/>
  <c r="D1476" i="56" s="1"/>
  <c r="E1476" i="56"/>
  <c r="F1476" i="56" s="1"/>
  <c r="G1476" i="56"/>
  <c r="I1476" i="56" s="1"/>
  <c r="H1476" i="56"/>
  <c r="J1476" i="56"/>
  <c r="K1476" i="56"/>
  <c r="C1477" i="56"/>
  <c r="D1477" i="56" s="1"/>
  <c r="E1477" i="56"/>
  <c r="F1477" i="56" s="1"/>
  <c r="G1477" i="56"/>
  <c r="I1477" i="56" s="1"/>
  <c r="H1477" i="56"/>
  <c r="J1477" i="56"/>
  <c r="K1477" i="56"/>
  <c r="C1478" i="56"/>
  <c r="D1478" i="56" s="1"/>
  <c r="E1478" i="56"/>
  <c r="F1478" i="56" s="1"/>
  <c r="G1478" i="56"/>
  <c r="I1478" i="56" s="1"/>
  <c r="H1478" i="56"/>
  <c r="J1478" i="56"/>
  <c r="K1478" i="56"/>
  <c r="C1479" i="56"/>
  <c r="D1479" i="56" s="1"/>
  <c r="E1479" i="56"/>
  <c r="F1479" i="56" s="1"/>
  <c r="G1479" i="56"/>
  <c r="I1479" i="56" s="1"/>
  <c r="H1479" i="56"/>
  <c r="J1479" i="56"/>
  <c r="K1479" i="56"/>
  <c r="C1480" i="56"/>
  <c r="D1480" i="56" s="1"/>
  <c r="E1480" i="56"/>
  <c r="F1480" i="56" s="1"/>
  <c r="G1480" i="56"/>
  <c r="I1480" i="56" s="1"/>
  <c r="H1480" i="56"/>
  <c r="J1480" i="56"/>
  <c r="K1480" i="56"/>
  <c r="C1481" i="56"/>
  <c r="D1481" i="56" s="1"/>
  <c r="E1481" i="56"/>
  <c r="F1481" i="56" s="1"/>
  <c r="G1481" i="56"/>
  <c r="I1481" i="56" s="1"/>
  <c r="H1481" i="56"/>
  <c r="J1481" i="56"/>
  <c r="K1481" i="56"/>
  <c r="C1482" i="56"/>
  <c r="D1482" i="56" s="1"/>
  <c r="E1482" i="56"/>
  <c r="F1482" i="56" s="1"/>
  <c r="G1482" i="56"/>
  <c r="I1482" i="56" s="1"/>
  <c r="H1482" i="56"/>
  <c r="J1482" i="56"/>
  <c r="K1482" i="56"/>
  <c r="C1483" i="56"/>
  <c r="D1483" i="56" s="1"/>
  <c r="E1483" i="56"/>
  <c r="F1483" i="56" s="1"/>
  <c r="G1483" i="56"/>
  <c r="I1483" i="56" s="1"/>
  <c r="H1483" i="56"/>
  <c r="J1483" i="56"/>
  <c r="K1483" i="56"/>
  <c r="C1484" i="56"/>
  <c r="D1484" i="56" s="1"/>
  <c r="E1484" i="56"/>
  <c r="F1484" i="56" s="1"/>
  <c r="G1484" i="56"/>
  <c r="I1484" i="56" s="1"/>
  <c r="H1484" i="56"/>
  <c r="J1484" i="56"/>
  <c r="K1484" i="56"/>
  <c r="C1485" i="56"/>
  <c r="D1485" i="56" s="1"/>
  <c r="E1485" i="56"/>
  <c r="F1485" i="56" s="1"/>
  <c r="G1485" i="56"/>
  <c r="I1485" i="56" s="1"/>
  <c r="H1485" i="56"/>
  <c r="J1485" i="56"/>
  <c r="K1485" i="56"/>
  <c r="C1486" i="56"/>
  <c r="D1486" i="56" s="1"/>
  <c r="E1486" i="56"/>
  <c r="F1486" i="56" s="1"/>
  <c r="G1486" i="56"/>
  <c r="I1486" i="56" s="1"/>
  <c r="H1486" i="56"/>
  <c r="J1486" i="56"/>
  <c r="K1486" i="56"/>
  <c r="C1487" i="56"/>
  <c r="D1487" i="56" s="1"/>
  <c r="E1487" i="56"/>
  <c r="F1487" i="56" s="1"/>
  <c r="G1487" i="56"/>
  <c r="I1487" i="56" s="1"/>
  <c r="H1487" i="56"/>
  <c r="J1487" i="56"/>
  <c r="K1487" i="56"/>
  <c r="C1488" i="56"/>
  <c r="D1488" i="56" s="1"/>
  <c r="E1488" i="56"/>
  <c r="F1488" i="56" s="1"/>
  <c r="G1488" i="56"/>
  <c r="I1488" i="56" s="1"/>
  <c r="H1488" i="56"/>
  <c r="J1488" i="56"/>
  <c r="K1488" i="56"/>
  <c r="C1489" i="56"/>
  <c r="D1489" i="56" s="1"/>
  <c r="E1489" i="56"/>
  <c r="F1489" i="56" s="1"/>
  <c r="G1489" i="56"/>
  <c r="I1489" i="56" s="1"/>
  <c r="H1489" i="56"/>
  <c r="J1489" i="56"/>
  <c r="K1489" i="56"/>
  <c r="C1490" i="56"/>
  <c r="D1490" i="56" s="1"/>
  <c r="E1490" i="56"/>
  <c r="F1490" i="56" s="1"/>
  <c r="G1490" i="56"/>
  <c r="I1490" i="56" s="1"/>
  <c r="H1490" i="56"/>
  <c r="J1490" i="56"/>
  <c r="K1490" i="56"/>
  <c r="C1491" i="56"/>
  <c r="D1491" i="56" s="1"/>
  <c r="E1491" i="56"/>
  <c r="F1491" i="56" s="1"/>
  <c r="G1491" i="56"/>
  <c r="I1491" i="56" s="1"/>
  <c r="H1491" i="56"/>
  <c r="J1491" i="56"/>
  <c r="K1491" i="56"/>
  <c r="C1492" i="56"/>
  <c r="D1492" i="56" s="1"/>
  <c r="E1492" i="56"/>
  <c r="F1492" i="56" s="1"/>
  <c r="G1492" i="56"/>
  <c r="I1492" i="56" s="1"/>
  <c r="H1492" i="56"/>
  <c r="J1492" i="56"/>
  <c r="K1492" i="56"/>
  <c r="C1493" i="56"/>
  <c r="D1493" i="56" s="1"/>
  <c r="E1493" i="56"/>
  <c r="F1493" i="56" s="1"/>
  <c r="G1493" i="56"/>
  <c r="I1493" i="56" s="1"/>
  <c r="H1493" i="56"/>
  <c r="J1493" i="56"/>
  <c r="K1493" i="56"/>
  <c r="C1494" i="56"/>
  <c r="D1494" i="56" s="1"/>
  <c r="E1494" i="56"/>
  <c r="F1494" i="56" s="1"/>
  <c r="G1494" i="56"/>
  <c r="I1494" i="56" s="1"/>
  <c r="H1494" i="56"/>
  <c r="J1494" i="56"/>
  <c r="K1494" i="56"/>
  <c r="C1495" i="56"/>
  <c r="D1495" i="56" s="1"/>
  <c r="E1495" i="56"/>
  <c r="F1495" i="56" s="1"/>
  <c r="G1495" i="56"/>
  <c r="I1495" i="56" s="1"/>
  <c r="H1495" i="56"/>
  <c r="J1495" i="56"/>
  <c r="K1495" i="56"/>
  <c r="C1496" i="56"/>
  <c r="D1496" i="56" s="1"/>
  <c r="E1496" i="56"/>
  <c r="F1496" i="56" s="1"/>
  <c r="G1496" i="56"/>
  <c r="I1496" i="56" s="1"/>
  <c r="H1496" i="56"/>
  <c r="J1496" i="56"/>
  <c r="K1496" i="56"/>
  <c r="C1497" i="56"/>
  <c r="D1497" i="56" s="1"/>
  <c r="E1497" i="56"/>
  <c r="F1497" i="56" s="1"/>
  <c r="G1497" i="56"/>
  <c r="I1497" i="56" s="1"/>
  <c r="H1497" i="56"/>
  <c r="J1497" i="56"/>
  <c r="K1497" i="56"/>
  <c r="C1498" i="56"/>
  <c r="D1498" i="56" s="1"/>
  <c r="E1498" i="56"/>
  <c r="F1498" i="56" s="1"/>
  <c r="G1498" i="56"/>
  <c r="I1498" i="56" s="1"/>
  <c r="H1498" i="56"/>
  <c r="J1498" i="56"/>
  <c r="K1498" i="56"/>
  <c r="C1499" i="56"/>
  <c r="D1499" i="56" s="1"/>
  <c r="E1499" i="56"/>
  <c r="F1499" i="56" s="1"/>
  <c r="G1499" i="56"/>
  <c r="I1499" i="56" s="1"/>
  <c r="H1499" i="56"/>
  <c r="J1499" i="56"/>
  <c r="K1499" i="56"/>
  <c r="C1500" i="56"/>
  <c r="D1500" i="56" s="1"/>
  <c r="E1500" i="56"/>
  <c r="F1500" i="56" s="1"/>
  <c r="G1500" i="56"/>
  <c r="I1500" i="56" s="1"/>
  <c r="H1500" i="56"/>
  <c r="J1500" i="56"/>
  <c r="K1500" i="56"/>
  <c r="C1501" i="56"/>
  <c r="D1501" i="56" s="1"/>
  <c r="E1501" i="56"/>
  <c r="F1501" i="56" s="1"/>
  <c r="G1501" i="56"/>
  <c r="I1501" i="56" s="1"/>
  <c r="H1501" i="56"/>
  <c r="J1501" i="56"/>
  <c r="K1501" i="56"/>
  <c r="C1502" i="56"/>
  <c r="D1502" i="56" s="1"/>
  <c r="E1502" i="56"/>
  <c r="F1502" i="56" s="1"/>
  <c r="G1502" i="56"/>
  <c r="I1502" i="56" s="1"/>
  <c r="H1502" i="56"/>
  <c r="J1502" i="56"/>
  <c r="K1502" i="56"/>
  <c r="C1503" i="56"/>
  <c r="D1503" i="56" s="1"/>
  <c r="E1503" i="56"/>
  <c r="F1503" i="56" s="1"/>
  <c r="G1503" i="56"/>
  <c r="I1503" i="56" s="1"/>
  <c r="H1503" i="56"/>
  <c r="J1503" i="56"/>
  <c r="K1503" i="56"/>
  <c r="C1504" i="56"/>
  <c r="D1504" i="56" s="1"/>
  <c r="E1504" i="56"/>
  <c r="F1504" i="56" s="1"/>
  <c r="G1504" i="56"/>
  <c r="I1504" i="56" s="1"/>
  <c r="H1504" i="56"/>
  <c r="J1504" i="56"/>
  <c r="K1504" i="56"/>
  <c r="C1505" i="56"/>
  <c r="D1505" i="56" s="1"/>
  <c r="E1505" i="56"/>
  <c r="F1505" i="56" s="1"/>
  <c r="G1505" i="56"/>
  <c r="I1505" i="56" s="1"/>
  <c r="H1505" i="56"/>
  <c r="J1505" i="56"/>
  <c r="K1505" i="56"/>
  <c r="C1506" i="56"/>
  <c r="D1506" i="56" s="1"/>
  <c r="E1506" i="56"/>
  <c r="F1506" i="56" s="1"/>
  <c r="G1506" i="56"/>
  <c r="I1506" i="56" s="1"/>
  <c r="H1506" i="56"/>
  <c r="J1506" i="56"/>
  <c r="K1506" i="56"/>
  <c r="C1507" i="56"/>
  <c r="D1507" i="56" s="1"/>
  <c r="E1507" i="56"/>
  <c r="F1507" i="56" s="1"/>
  <c r="G1507" i="56"/>
  <c r="I1507" i="56" s="1"/>
  <c r="H1507" i="56"/>
  <c r="J1507" i="56"/>
  <c r="K1507" i="56"/>
  <c r="C1508" i="56"/>
  <c r="D1508" i="56" s="1"/>
  <c r="E1508" i="56"/>
  <c r="F1508" i="56" s="1"/>
  <c r="G1508" i="56"/>
  <c r="I1508" i="56" s="1"/>
  <c r="H1508" i="56"/>
  <c r="J1508" i="56"/>
  <c r="K1508" i="56"/>
  <c r="C1509" i="56"/>
  <c r="D1509" i="56" s="1"/>
  <c r="E1509" i="56"/>
  <c r="F1509" i="56" s="1"/>
  <c r="G1509" i="56"/>
  <c r="I1509" i="56" s="1"/>
  <c r="H1509" i="56"/>
  <c r="J1509" i="56"/>
  <c r="K1509" i="56"/>
  <c r="C1510" i="56"/>
  <c r="D1510" i="56" s="1"/>
  <c r="E1510" i="56"/>
  <c r="F1510" i="56" s="1"/>
  <c r="G1510" i="56"/>
  <c r="I1510" i="56" s="1"/>
  <c r="H1510" i="56"/>
  <c r="J1510" i="56"/>
  <c r="K1510" i="56"/>
  <c r="C1511" i="56"/>
  <c r="D1511" i="56" s="1"/>
  <c r="E1511" i="56"/>
  <c r="F1511" i="56" s="1"/>
  <c r="G1511" i="56"/>
  <c r="I1511" i="56" s="1"/>
  <c r="H1511" i="56"/>
  <c r="J1511" i="56"/>
  <c r="K1511" i="56"/>
  <c r="C1512" i="56"/>
  <c r="D1512" i="56" s="1"/>
  <c r="E1512" i="56"/>
  <c r="F1512" i="56" s="1"/>
  <c r="G1512" i="56"/>
  <c r="I1512" i="56" s="1"/>
  <c r="H1512" i="56"/>
  <c r="J1512" i="56"/>
  <c r="K1512" i="56"/>
  <c r="C1513" i="56"/>
  <c r="D1513" i="56" s="1"/>
  <c r="E1513" i="56"/>
  <c r="F1513" i="56" s="1"/>
  <c r="G1513" i="56"/>
  <c r="I1513" i="56" s="1"/>
  <c r="H1513" i="56"/>
  <c r="J1513" i="56"/>
  <c r="K1513" i="56"/>
  <c r="C1514" i="56"/>
  <c r="D1514" i="56" s="1"/>
  <c r="E1514" i="56"/>
  <c r="F1514" i="56" s="1"/>
  <c r="G1514" i="56"/>
  <c r="I1514" i="56" s="1"/>
  <c r="H1514" i="56"/>
  <c r="J1514" i="56"/>
  <c r="K1514" i="56"/>
  <c r="C1515" i="56"/>
  <c r="D1515" i="56" s="1"/>
  <c r="E1515" i="56"/>
  <c r="F1515" i="56" s="1"/>
  <c r="G1515" i="56"/>
  <c r="I1515" i="56" s="1"/>
  <c r="H1515" i="56"/>
  <c r="J1515" i="56"/>
  <c r="K1515" i="56"/>
  <c r="C1516" i="56"/>
  <c r="D1516" i="56" s="1"/>
  <c r="E1516" i="56"/>
  <c r="F1516" i="56" s="1"/>
  <c r="G1516" i="56"/>
  <c r="I1516" i="56" s="1"/>
  <c r="H1516" i="56"/>
  <c r="J1516" i="56"/>
  <c r="K1516" i="56"/>
  <c r="C1517" i="56"/>
  <c r="D1517" i="56" s="1"/>
  <c r="E1517" i="56"/>
  <c r="F1517" i="56" s="1"/>
  <c r="G1517" i="56"/>
  <c r="I1517" i="56" s="1"/>
  <c r="H1517" i="56"/>
  <c r="J1517" i="56"/>
  <c r="K1517" i="56"/>
  <c r="C1518" i="56"/>
  <c r="D1518" i="56" s="1"/>
  <c r="E1518" i="56"/>
  <c r="F1518" i="56" s="1"/>
  <c r="G1518" i="56"/>
  <c r="I1518" i="56" s="1"/>
  <c r="H1518" i="56"/>
  <c r="J1518" i="56"/>
  <c r="K1518" i="56"/>
  <c r="C1519" i="56"/>
  <c r="D1519" i="56" s="1"/>
  <c r="E1519" i="56"/>
  <c r="F1519" i="56" s="1"/>
  <c r="G1519" i="56"/>
  <c r="I1519" i="56" s="1"/>
  <c r="H1519" i="56"/>
  <c r="J1519" i="56"/>
  <c r="K1519" i="56"/>
  <c r="C1520" i="56"/>
  <c r="D1520" i="56" s="1"/>
  <c r="E1520" i="56"/>
  <c r="F1520" i="56" s="1"/>
  <c r="G1520" i="56"/>
  <c r="I1520" i="56" s="1"/>
  <c r="H1520" i="56"/>
  <c r="J1520" i="56"/>
  <c r="K1520" i="56"/>
  <c r="C1521" i="56"/>
  <c r="D1521" i="56" s="1"/>
  <c r="E1521" i="56"/>
  <c r="F1521" i="56" s="1"/>
  <c r="G1521" i="56"/>
  <c r="I1521" i="56" s="1"/>
  <c r="H1521" i="56"/>
  <c r="J1521" i="56"/>
  <c r="K1521" i="56"/>
  <c r="C1522" i="56"/>
  <c r="D1522" i="56" s="1"/>
  <c r="E1522" i="56"/>
  <c r="F1522" i="56" s="1"/>
  <c r="G1522" i="56"/>
  <c r="I1522" i="56" s="1"/>
  <c r="H1522" i="56"/>
  <c r="J1522" i="56"/>
  <c r="K1522" i="56"/>
  <c r="C1523" i="56"/>
  <c r="D1523" i="56" s="1"/>
  <c r="E1523" i="56"/>
  <c r="F1523" i="56" s="1"/>
  <c r="G1523" i="56"/>
  <c r="I1523" i="56" s="1"/>
  <c r="H1523" i="56"/>
  <c r="J1523" i="56"/>
  <c r="K1523" i="56"/>
  <c r="C1524" i="56"/>
  <c r="D1524" i="56" s="1"/>
  <c r="E1524" i="56"/>
  <c r="F1524" i="56" s="1"/>
  <c r="G1524" i="56"/>
  <c r="I1524" i="56" s="1"/>
  <c r="H1524" i="56"/>
  <c r="J1524" i="56"/>
  <c r="K1524" i="56"/>
  <c r="C1525" i="56"/>
  <c r="D1525" i="56" s="1"/>
  <c r="E1525" i="56"/>
  <c r="F1525" i="56" s="1"/>
  <c r="G1525" i="56"/>
  <c r="I1525" i="56" s="1"/>
  <c r="H1525" i="56"/>
  <c r="J1525" i="56"/>
  <c r="K1525" i="56"/>
  <c r="C1526" i="56"/>
  <c r="D1526" i="56" s="1"/>
  <c r="E1526" i="56"/>
  <c r="F1526" i="56" s="1"/>
  <c r="G1526" i="56"/>
  <c r="I1526" i="56" s="1"/>
  <c r="H1526" i="56"/>
  <c r="J1526" i="56"/>
  <c r="K1526" i="56"/>
  <c r="C1527" i="56"/>
  <c r="D1527" i="56" s="1"/>
  <c r="E1527" i="56"/>
  <c r="F1527" i="56" s="1"/>
  <c r="G1527" i="56"/>
  <c r="I1527" i="56" s="1"/>
  <c r="H1527" i="56"/>
  <c r="J1527" i="56"/>
  <c r="K1527" i="56"/>
  <c r="C1528" i="56"/>
  <c r="D1528" i="56" s="1"/>
  <c r="E1528" i="56"/>
  <c r="F1528" i="56" s="1"/>
  <c r="G1528" i="56"/>
  <c r="I1528" i="56" s="1"/>
  <c r="H1528" i="56"/>
  <c r="J1528" i="56"/>
  <c r="K1528" i="56"/>
  <c r="C1529" i="56"/>
  <c r="D1529" i="56" s="1"/>
  <c r="E1529" i="56"/>
  <c r="F1529" i="56" s="1"/>
  <c r="G1529" i="56"/>
  <c r="I1529" i="56" s="1"/>
  <c r="H1529" i="56"/>
  <c r="J1529" i="56"/>
  <c r="K1529" i="56"/>
  <c r="C1530" i="56"/>
  <c r="D1530" i="56" s="1"/>
  <c r="E1530" i="56"/>
  <c r="F1530" i="56" s="1"/>
  <c r="G1530" i="56"/>
  <c r="I1530" i="56" s="1"/>
  <c r="H1530" i="56"/>
  <c r="J1530" i="56"/>
  <c r="K1530" i="56"/>
  <c r="C1531" i="56"/>
  <c r="D1531" i="56" s="1"/>
  <c r="E1531" i="56"/>
  <c r="F1531" i="56" s="1"/>
  <c r="G1531" i="56"/>
  <c r="I1531" i="56" s="1"/>
  <c r="H1531" i="56"/>
  <c r="J1531" i="56"/>
  <c r="K1531" i="56"/>
  <c r="C1532" i="56"/>
  <c r="D1532" i="56" s="1"/>
  <c r="E1532" i="56"/>
  <c r="F1532" i="56" s="1"/>
  <c r="G1532" i="56"/>
  <c r="I1532" i="56" s="1"/>
  <c r="H1532" i="56"/>
  <c r="J1532" i="56"/>
  <c r="K1532" i="56"/>
  <c r="C1533" i="56"/>
  <c r="D1533" i="56" s="1"/>
  <c r="E1533" i="56"/>
  <c r="F1533" i="56" s="1"/>
  <c r="G1533" i="56"/>
  <c r="I1533" i="56" s="1"/>
  <c r="H1533" i="56"/>
  <c r="J1533" i="56"/>
  <c r="K1533" i="56"/>
  <c r="C1534" i="56"/>
  <c r="D1534" i="56" s="1"/>
  <c r="E1534" i="56"/>
  <c r="F1534" i="56" s="1"/>
  <c r="G1534" i="56"/>
  <c r="I1534" i="56" s="1"/>
  <c r="H1534" i="56"/>
  <c r="J1534" i="56"/>
  <c r="K1534" i="56"/>
  <c r="C1535" i="56"/>
  <c r="D1535" i="56" s="1"/>
  <c r="E1535" i="56"/>
  <c r="F1535" i="56" s="1"/>
  <c r="G1535" i="56"/>
  <c r="I1535" i="56" s="1"/>
  <c r="H1535" i="56"/>
  <c r="J1535" i="56"/>
  <c r="K1535" i="56"/>
  <c r="C1536" i="56"/>
  <c r="D1536" i="56" s="1"/>
  <c r="E1536" i="56"/>
  <c r="F1536" i="56" s="1"/>
  <c r="G1536" i="56"/>
  <c r="I1536" i="56" s="1"/>
  <c r="H1536" i="56"/>
  <c r="J1536" i="56"/>
  <c r="K1536" i="56"/>
  <c r="C1537" i="56"/>
  <c r="D1537" i="56" s="1"/>
  <c r="E1537" i="56"/>
  <c r="F1537" i="56" s="1"/>
  <c r="G1537" i="56"/>
  <c r="I1537" i="56" s="1"/>
  <c r="H1537" i="56"/>
  <c r="J1537" i="56"/>
  <c r="K1537" i="56"/>
  <c r="C1538" i="56"/>
  <c r="D1538" i="56" s="1"/>
  <c r="E1538" i="56"/>
  <c r="F1538" i="56" s="1"/>
  <c r="G1538" i="56"/>
  <c r="I1538" i="56" s="1"/>
  <c r="H1538" i="56"/>
  <c r="J1538" i="56"/>
  <c r="K1538" i="56"/>
  <c r="C1539" i="56"/>
  <c r="D1539" i="56" s="1"/>
  <c r="E1539" i="56"/>
  <c r="F1539" i="56" s="1"/>
  <c r="G1539" i="56"/>
  <c r="I1539" i="56" s="1"/>
  <c r="H1539" i="56"/>
  <c r="J1539" i="56"/>
  <c r="K1539" i="56"/>
  <c r="C1540" i="56"/>
  <c r="D1540" i="56" s="1"/>
  <c r="E1540" i="56"/>
  <c r="F1540" i="56" s="1"/>
  <c r="G1540" i="56"/>
  <c r="I1540" i="56" s="1"/>
  <c r="H1540" i="56"/>
  <c r="J1540" i="56"/>
  <c r="K1540" i="56"/>
  <c r="C1541" i="56"/>
  <c r="D1541" i="56" s="1"/>
  <c r="E1541" i="56"/>
  <c r="F1541" i="56" s="1"/>
  <c r="G1541" i="56"/>
  <c r="I1541" i="56" s="1"/>
  <c r="H1541" i="56"/>
  <c r="J1541" i="56"/>
  <c r="K1541" i="56"/>
  <c r="C1542" i="56"/>
  <c r="D1542" i="56" s="1"/>
  <c r="E1542" i="56"/>
  <c r="F1542" i="56" s="1"/>
  <c r="G1542" i="56"/>
  <c r="I1542" i="56" s="1"/>
  <c r="H1542" i="56"/>
  <c r="J1542" i="56"/>
  <c r="K1542" i="56"/>
  <c r="C1543" i="56"/>
  <c r="D1543" i="56" s="1"/>
  <c r="E1543" i="56"/>
  <c r="F1543" i="56" s="1"/>
  <c r="G1543" i="56"/>
  <c r="I1543" i="56" s="1"/>
  <c r="H1543" i="56"/>
  <c r="J1543" i="56"/>
  <c r="K1543" i="56"/>
  <c r="C1544" i="56"/>
  <c r="D1544" i="56" s="1"/>
  <c r="E1544" i="56"/>
  <c r="F1544" i="56" s="1"/>
  <c r="G1544" i="56"/>
  <c r="I1544" i="56" s="1"/>
  <c r="H1544" i="56"/>
  <c r="J1544" i="56"/>
  <c r="K1544" i="56"/>
  <c r="C1545" i="56"/>
  <c r="D1545" i="56" s="1"/>
  <c r="E1545" i="56"/>
  <c r="F1545" i="56" s="1"/>
  <c r="G1545" i="56"/>
  <c r="I1545" i="56" s="1"/>
  <c r="H1545" i="56"/>
  <c r="J1545" i="56"/>
  <c r="K1545" i="56"/>
  <c r="C1546" i="56"/>
  <c r="D1546" i="56" s="1"/>
  <c r="E1546" i="56"/>
  <c r="F1546" i="56" s="1"/>
  <c r="G1546" i="56"/>
  <c r="I1546" i="56" s="1"/>
  <c r="H1546" i="56"/>
  <c r="J1546" i="56"/>
  <c r="K1546" i="56"/>
  <c r="C1547" i="56"/>
  <c r="D1547" i="56" s="1"/>
  <c r="E1547" i="56"/>
  <c r="F1547" i="56" s="1"/>
  <c r="G1547" i="56"/>
  <c r="I1547" i="56" s="1"/>
  <c r="H1547" i="56"/>
  <c r="J1547" i="56"/>
  <c r="K1547" i="56"/>
  <c r="C1548" i="56"/>
  <c r="D1548" i="56" s="1"/>
  <c r="E1548" i="56"/>
  <c r="F1548" i="56" s="1"/>
  <c r="G1548" i="56"/>
  <c r="I1548" i="56" s="1"/>
  <c r="H1548" i="56"/>
  <c r="J1548" i="56"/>
  <c r="K1548" i="56"/>
  <c r="C1549" i="56"/>
  <c r="D1549" i="56" s="1"/>
  <c r="E1549" i="56"/>
  <c r="F1549" i="56" s="1"/>
  <c r="G1549" i="56"/>
  <c r="I1549" i="56" s="1"/>
  <c r="H1549" i="56"/>
  <c r="J1549" i="56"/>
  <c r="K1549" i="56"/>
  <c r="C1550" i="56"/>
  <c r="D1550" i="56" s="1"/>
  <c r="E1550" i="56"/>
  <c r="F1550" i="56" s="1"/>
  <c r="G1550" i="56"/>
  <c r="I1550" i="56" s="1"/>
  <c r="H1550" i="56"/>
  <c r="J1550" i="56"/>
  <c r="K1550" i="56"/>
  <c r="C1551" i="56"/>
  <c r="D1551" i="56" s="1"/>
  <c r="E1551" i="56"/>
  <c r="F1551" i="56" s="1"/>
  <c r="G1551" i="56"/>
  <c r="I1551" i="56" s="1"/>
  <c r="H1551" i="56"/>
  <c r="J1551" i="56"/>
  <c r="K1551" i="56"/>
  <c r="C1552" i="56"/>
  <c r="D1552" i="56" s="1"/>
  <c r="E1552" i="56"/>
  <c r="F1552" i="56" s="1"/>
  <c r="G1552" i="56"/>
  <c r="I1552" i="56" s="1"/>
  <c r="H1552" i="56"/>
  <c r="J1552" i="56"/>
  <c r="K1552" i="56"/>
  <c r="C1553" i="56"/>
  <c r="D1553" i="56" s="1"/>
  <c r="E1553" i="56"/>
  <c r="F1553" i="56" s="1"/>
  <c r="G1553" i="56"/>
  <c r="I1553" i="56" s="1"/>
  <c r="H1553" i="56"/>
  <c r="J1553" i="56"/>
  <c r="K1553" i="56"/>
  <c r="C1554" i="56"/>
  <c r="D1554" i="56" s="1"/>
  <c r="E1554" i="56"/>
  <c r="F1554" i="56" s="1"/>
  <c r="G1554" i="56"/>
  <c r="I1554" i="56" s="1"/>
  <c r="H1554" i="56"/>
  <c r="J1554" i="56"/>
  <c r="K1554" i="56"/>
  <c r="C1555" i="56"/>
  <c r="D1555" i="56" s="1"/>
  <c r="E1555" i="56"/>
  <c r="F1555" i="56" s="1"/>
  <c r="G1555" i="56"/>
  <c r="I1555" i="56" s="1"/>
  <c r="H1555" i="56"/>
  <c r="J1555" i="56"/>
  <c r="K1555" i="56"/>
  <c r="C1556" i="56"/>
  <c r="D1556" i="56" s="1"/>
  <c r="E1556" i="56"/>
  <c r="F1556" i="56" s="1"/>
  <c r="G1556" i="56"/>
  <c r="I1556" i="56" s="1"/>
  <c r="H1556" i="56"/>
  <c r="J1556" i="56"/>
  <c r="K1556" i="56"/>
  <c r="C1557" i="56"/>
  <c r="D1557" i="56" s="1"/>
  <c r="E1557" i="56"/>
  <c r="F1557" i="56" s="1"/>
  <c r="G1557" i="56"/>
  <c r="I1557" i="56" s="1"/>
  <c r="H1557" i="56"/>
  <c r="J1557" i="56"/>
  <c r="K1557" i="56"/>
  <c r="C1558" i="56"/>
  <c r="D1558" i="56" s="1"/>
  <c r="E1558" i="56"/>
  <c r="F1558" i="56" s="1"/>
  <c r="G1558" i="56"/>
  <c r="I1558" i="56" s="1"/>
  <c r="H1558" i="56"/>
  <c r="J1558" i="56"/>
  <c r="K1558" i="56"/>
  <c r="C1559" i="56"/>
  <c r="D1559" i="56" s="1"/>
  <c r="E1559" i="56"/>
  <c r="F1559" i="56" s="1"/>
  <c r="G1559" i="56"/>
  <c r="I1559" i="56" s="1"/>
  <c r="H1559" i="56"/>
  <c r="J1559" i="56"/>
  <c r="K1559" i="56"/>
  <c r="C1560" i="56"/>
  <c r="D1560" i="56" s="1"/>
  <c r="E1560" i="56"/>
  <c r="F1560" i="56" s="1"/>
  <c r="G1560" i="56"/>
  <c r="I1560" i="56" s="1"/>
  <c r="H1560" i="56"/>
  <c r="J1560" i="56"/>
  <c r="K1560" i="56"/>
  <c r="C1561" i="56"/>
  <c r="D1561" i="56" s="1"/>
  <c r="E1561" i="56"/>
  <c r="F1561" i="56" s="1"/>
  <c r="G1561" i="56"/>
  <c r="I1561" i="56" s="1"/>
  <c r="H1561" i="56"/>
  <c r="J1561" i="56"/>
  <c r="K1561" i="56"/>
  <c r="C1562" i="56"/>
  <c r="D1562" i="56" s="1"/>
  <c r="E1562" i="56"/>
  <c r="F1562" i="56" s="1"/>
  <c r="G1562" i="56"/>
  <c r="I1562" i="56" s="1"/>
  <c r="H1562" i="56"/>
  <c r="J1562" i="56"/>
  <c r="K1562" i="56"/>
  <c r="C1563" i="56"/>
  <c r="D1563" i="56" s="1"/>
  <c r="E1563" i="56"/>
  <c r="F1563" i="56" s="1"/>
  <c r="G1563" i="56"/>
  <c r="I1563" i="56" s="1"/>
  <c r="H1563" i="56"/>
  <c r="J1563" i="56"/>
  <c r="K1563" i="56"/>
  <c r="C1564" i="56"/>
  <c r="D1564" i="56" s="1"/>
  <c r="E1564" i="56"/>
  <c r="F1564" i="56" s="1"/>
  <c r="G1564" i="56"/>
  <c r="I1564" i="56" s="1"/>
  <c r="H1564" i="56"/>
  <c r="J1564" i="56"/>
  <c r="K1564" i="56"/>
  <c r="C1565" i="56"/>
  <c r="D1565" i="56" s="1"/>
  <c r="E1565" i="56"/>
  <c r="F1565" i="56" s="1"/>
  <c r="G1565" i="56"/>
  <c r="I1565" i="56" s="1"/>
  <c r="H1565" i="56"/>
  <c r="J1565" i="56"/>
  <c r="K1565" i="56"/>
  <c r="C1566" i="56"/>
  <c r="D1566" i="56" s="1"/>
  <c r="E1566" i="56"/>
  <c r="F1566" i="56" s="1"/>
  <c r="G1566" i="56"/>
  <c r="I1566" i="56" s="1"/>
  <c r="H1566" i="56"/>
  <c r="J1566" i="56"/>
  <c r="K1566" i="56"/>
  <c r="C1567" i="56"/>
  <c r="D1567" i="56" s="1"/>
  <c r="E1567" i="56"/>
  <c r="F1567" i="56" s="1"/>
  <c r="G1567" i="56"/>
  <c r="I1567" i="56" s="1"/>
  <c r="H1567" i="56"/>
  <c r="J1567" i="56"/>
  <c r="K1567" i="56"/>
  <c r="C1568" i="56"/>
  <c r="D1568" i="56" s="1"/>
  <c r="E1568" i="56"/>
  <c r="F1568" i="56" s="1"/>
  <c r="G1568" i="56"/>
  <c r="I1568" i="56" s="1"/>
  <c r="H1568" i="56"/>
  <c r="J1568" i="56"/>
  <c r="K1568" i="56"/>
  <c r="C1569" i="56"/>
  <c r="D1569" i="56" s="1"/>
  <c r="E1569" i="56"/>
  <c r="F1569" i="56" s="1"/>
  <c r="G1569" i="56"/>
  <c r="I1569" i="56" s="1"/>
  <c r="H1569" i="56"/>
  <c r="J1569" i="56"/>
  <c r="K1569" i="56"/>
  <c r="C1570" i="56"/>
  <c r="D1570" i="56" s="1"/>
  <c r="E1570" i="56"/>
  <c r="F1570" i="56" s="1"/>
  <c r="G1570" i="56"/>
  <c r="I1570" i="56" s="1"/>
  <c r="H1570" i="56"/>
  <c r="J1570" i="56"/>
  <c r="K1570" i="56"/>
  <c r="C1571" i="56"/>
  <c r="D1571" i="56" s="1"/>
  <c r="E1571" i="56"/>
  <c r="F1571" i="56" s="1"/>
  <c r="G1571" i="56"/>
  <c r="I1571" i="56" s="1"/>
  <c r="H1571" i="56"/>
  <c r="J1571" i="56"/>
  <c r="K1571" i="56"/>
  <c r="C1572" i="56"/>
  <c r="D1572" i="56" s="1"/>
  <c r="E1572" i="56"/>
  <c r="F1572" i="56" s="1"/>
  <c r="G1572" i="56"/>
  <c r="I1572" i="56" s="1"/>
  <c r="H1572" i="56"/>
  <c r="J1572" i="56"/>
  <c r="K1572" i="56"/>
  <c r="C1573" i="56"/>
  <c r="D1573" i="56" s="1"/>
  <c r="E1573" i="56"/>
  <c r="F1573" i="56" s="1"/>
  <c r="G1573" i="56"/>
  <c r="I1573" i="56" s="1"/>
  <c r="H1573" i="56"/>
  <c r="J1573" i="56"/>
  <c r="K1573" i="56"/>
  <c r="C1574" i="56"/>
  <c r="D1574" i="56" s="1"/>
  <c r="E1574" i="56"/>
  <c r="F1574" i="56" s="1"/>
  <c r="G1574" i="56"/>
  <c r="I1574" i="56" s="1"/>
  <c r="H1574" i="56"/>
  <c r="J1574" i="56"/>
  <c r="K1574" i="56"/>
  <c r="C1575" i="56"/>
  <c r="D1575" i="56" s="1"/>
  <c r="E1575" i="56"/>
  <c r="F1575" i="56" s="1"/>
  <c r="G1575" i="56"/>
  <c r="I1575" i="56" s="1"/>
  <c r="H1575" i="56"/>
  <c r="J1575" i="56"/>
  <c r="K1575" i="56"/>
  <c r="C1576" i="56"/>
  <c r="D1576" i="56" s="1"/>
  <c r="E1576" i="56"/>
  <c r="F1576" i="56" s="1"/>
  <c r="G1576" i="56"/>
  <c r="I1576" i="56" s="1"/>
  <c r="H1576" i="56"/>
  <c r="J1576" i="56"/>
  <c r="K1576" i="56"/>
  <c r="C1577" i="56"/>
  <c r="D1577" i="56" s="1"/>
  <c r="E1577" i="56"/>
  <c r="F1577" i="56" s="1"/>
  <c r="G1577" i="56"/>
  <c r="I1577" i="56" s="1"/>
  <c r="H1577" i="56"/>
  <c r="J1577" i="56"/>
  <c r="K1577" i="56"/>
  <c r="C1578" i="56"/>
  <c r="D1578" i="56" s="1"/>
  <c r="E1578" i="56"/>
  <c r="F1578" i="56" s="1"/>
  <c r="G1578" i="56"/>
  <c r="I1578" i="56" s="1"/>
  <c r="H1578" i="56"/>
  <c r="J1578" i="56"/>
  <c r="K1578" i="56"/>
  <c r="C1579" i="56"/>
  <c r="D1579" i="56" s="1"/>
  <c r="E1579" i="56"/>
  <c r="F1579" i="56" s="1"/>
  <c r="G1579" i="56"/>
  <c r="I1579" i="56" s="1"/>
  <c r="H1579" i="56"/>
  <c r="J1579" i="56"/>
  <c r="K1579" i="56"/>
  <c r="C1580" i="56"/>
  <c r="D1580" i="56" s="1"/>
  <c r="E1580" i="56"/>
  <c r="F1580" i="56" s="1"/>
  <c r="G1580" i="56"/>
  <c r="I1580" i="56" s="1"/>
  <c r="H1580" i="56"/>
  <c r="J1580" i="56"/>
  <c r="K1580" i="56"/>
  <c r="C1581" i="56"/>
  <c r="D1581" i="56" s="1"/>
  <c r="E1581" i="56"/>
  <c r="F1581" i="56" s="1"/>
  <c r="G1581" i="56"/>
  <c r="I1581" i="56" s="1"/>
  <c r="H1581" i="56"/>
  <c r="J1581" i="56"/>
  <c r="K1581" i="56"/>
  <c r="C1582" i="56"/>
  <c r="D1582" i="56" s="1"/>
  <c r="E1582" i="56"/>
  <c r="F1582" i="56" s="1"/>
  <c r="G1582" i="56"/>
  <c r="I1582" i="56" s="1"/>
  <c r="H1582" i="56"/>
  <c r="J1582" i="56"/>
  <c r="K1582" i="56"/>
  <c r="C1583" i="56"/>
  <c r="D1583" i="56" s="1"/>
  <c r="E1583" i="56"/>
  <c r="F1583" i="56" s="1"/>
  <c r="G1583" i="56"/>
  <c r="I1583" i="56" s="1"/>
  <c r="H1583" i="56"/>
  <c r="J1583" i="56"/>
  <c r="K1583" i="56"/>
  <c r="C1584" i="56"/>
  <c r="D1584" i="56" s="1"/>
  <c r="E1584" i="56"/>
  <c r="F1584" i="56" s="1"/>
  <c r="G1584" i="56"/>
  <c r="I1584" i="56" s="1"/>
  <c r="H1584" i="56"/>
  <c r="J1584" i="56"/>
  <c r="K1584" i="56"/>
  <c r="C1585" i="56"/>
  <c r="D1585" i="56" s="1"/>
  <c r="E1585" i="56"/>
  <c r="F1585" i="56" s="1"/>
  <c r="G1585" i="56"/>
  <c r="I1585" i="56" s="1"/>
  <c r="H1585" i="56"/>
  <c r="J1585" i="56"/>
  <c r="K1585" i="56"/>
  <c r="C1586" i="56"/>
  <c r="D1586" i="56" s="1"/>
  <c r="E1586" i="56"/>
  <c r="F1586" i="56" s="1"/>
  <c r="G1586" i="56"/>
  <c r="I1586" i="56" s="1"/>
  <c r="H1586" i="56"/>
  <c r="J1586" i="56"/>
  <c r="K1586" i="56"/>
  <c r="C1587" i="56"/>
  <c r="D1587" i="56" s="1"/>
  <c r="E1587" i="56"/>
  <c r="F1587" i="56" s="1"/>
  <c r="G1587" i="56"/>
  <c r="I1587" i="56" s="1"/>
  <c r="H1587" i="56"/>
  <c r="J1587" i="56"/>
  <c r="K1587" i="56"/>
  <c r="C1588" i="56"/>
  <c r="D1588" i="56" s="1"/>
  <c r="E1588" i="56"/>
  <c r="F1588" i="56" s="1"/>
  <c r="G1588" i="56"/>
  <c r="I1588" i="56" s="1"/>
  <c r="H1588" i="56"/>
  <c r="J1588" i="56"/>
  <c r="K1588" i="56"/>
  <c r="C1589" i="56"/>
  <c r="D1589" i="56" s="1"/>
  <c r="E1589" i="56"/>
  <c r="F1589" i="56" s="1"/>
  <c r="G1589" i="56"/>
  <c r="I1589" i="56" s="1"/>
  <c r="H1589" i="56"/>
  <c r="J1589" i="56"/>
  <c r="K1589" i="56"/>
  <c r="C1590" i="56"/>
  <c r="D1590" i="56" s="1"/>
  <c r="E1590" i="56"/>
  <c r="F1590" i="56" s="1"/>
  <c r="G1590" i="56"/>
  <c r="I1590" i="56" s="1"/>
  <c r="H1590" i="56"/>
  <c r="J1590" i="56"/>
  <c r="K1590" i="56"/>
  <c r="C1591" i="56"/>
  <c r="D1591" i="56" s="1"/>
  <c r="E1591" i="56"/>
  <c r="F1591" i="56" s="1"/>
  <c r="G1591" i="56"/>
  <c r="I1591" i="56" s="1"/>
  <c r="H1591" i="56"/>
  <c r="J1591" i="56"/>
  <c r="K1591" i="56"/>
  <c r="C1592" i="56"/>
  <c r="D1592" i="56" s="1"/>
  <c r="E1592" i="56"/>
  <c r="F1592" i="56" s="1"/>
  <c r="G1592" i="56"/>
  <c r="I1592" i="56" s="1"/>
  <c r="H1592" i="56"/>
  <c r="J1592" i="56"/>
  <c r="K1592" i="56"/>
  <c r="C1593" i="56"/>
  <c r="D1593" i="56" s="1"/>
  <c r="E1593" i="56"/>
  <c r="F1593" i="56" s="1"/>
  <c r="G1593" i="56"/>
  <c r="I1593" i="56" s="1"/>
  <c r="H1593" i="56"/>
  <c r="J1593" i="56"/>
  <c r="K1593" i="56"/>
  <c r="C1594" i="56"/>
  <c r="D1594" i="56" s="1"/>
  <c r="E1594" i="56"/>
  <c r="F1594" i="56" s="1"/>
  <c r="G1594" i="56"/>
  <c r="I1594" i="56" s="1"/>
  <c r="H1594" i="56"/>
  <c r="J1594" i="56"/>
  <c r="K1594" i="56"/>
  <c r="C1595" i="56"/>
  <c r="D1595" i="56" s="1"/>
  <c r="E1595" i="56"/>
  <c r="F1595" i="56" s="1"/>
  <c r="G1595" i="56"/>
  <c r="I1595" i="56" s="1"/>
  <c r="H1595" i="56"/>
  <c r="J1595" i="56"/>
  <c r="K1595" i="56"/>
  <c r="C1596" i="56"/>
  <c r="D1596" i="56" s="1"/>
  <c r="E1596" i="56"/>
  <c r="F1596" i="56" s="1"/>
  <c r="G1596" i="56"/>
  <c r="I1596" i="56" s="1"/>
  <c r="H1596" i="56"/>
  <c r="J1596" i="56"/>
  <c r="K1596" i="56"/>
  <c r="C1597" i="56"/>
  <c r="D1597" i="56" s="1"/>
  <c r="E1597" i="56"/>
  <c r="F1597" i="56" s="1"/>
  <c r="G1597" i="56"/>
  <c r="I1597" i="56" s="1"/>
  <c r="H1597" i="56"/>
  <c r="J1597" i="56"/>
  <c r="K1597" i="56"/>
  <c r="C1598" i="56"/>
  <c r="D1598" i="56" s="1"/>
  <c r="E1598" i="56"/>
  <c r="F1598" i="56" s="1"/>
  <c r="G1598" i="56"/>
  <c r="I1598" i="56" s="1"/>
  <c r="H1598" i="56"/>
  <c r="J1598" i="56"/>
  <c r="K1598" i="56"/>
  <c r="C1599" i="56"/>
  <c r="D1599" i="56" s="1"/>
  <c r="E1599" i="56"/>
  <c r="F1599" i="56" s="1"/>
  <c r="G1599" i="56"/>
  <c r="I1599" i="56" s="1"/>
  <c r="H1599" i="56"/>
  <c r="J1599" i="56"/>
  <c r="K1599" i="56"/>
  <c r="C1600" i="56"/>
  <c r="D1600" i="56" s="1"/>
  <c r="E1600" i="56"/>
  <c r="F1600" i="56" s="1"/>
  <c r="G1600" i="56"/>
  <c r="I1600" i="56" s="1"/>
  <c r="H1600" i="56"/>
  <c r="J1600" i="56"/>
  <c r="K1600" i="56"/>
  <c r="C1601" i="56"/>
  <c r="D1601" i="56" s="1"/>
  <c r="E1601" i="56"/>
  <c r="F1601" i="56" s="1"/>
  <c r="G1601" i="56"/>
  <c r="I1601" i="56" s="1"/>
  <c r="H1601" i="56"/>
  <c r="J1601" i="56"/>
  <c r="K1601" i="56"/>
  <c r="C1602" i="56"/>
  <c r="D1602" i="56" s="1"/>
  <c r="E1602" i="56"/>
  <c r="F1602" i="56" s="1"/>
  <c r="G1602" i="56"/>
  <c r="I1602" i="56" s="1"/>
  <c r="H1602" i="56"/>
  <c r="J1602" i="56"/>
  <c r="K1602" i="56"/>
  <c r="C1603" i="56"/>
  <c r="D1603" i="56" s="1"/>
  <c r="E1603" i="56"/>
  <c r="F1603" i="56" s="1"/>
  <c r="G1603" i="56"/>
  <c r="I1603" i="56" s="1"/>
  <c r="H1603" i="56"/>
  <c r="J1603" i="56"/>
  <c r="K1603" i="56"/>
  <c r="C1604" i="56"/>
  <c r="D1604" i="56" s="1"/>
  <c r="E1604" i="56"/>
  <c r="F1604" i="56" s="1"/>
  <c r="G1604" i="56"/>
  <c r="I1604" i="56" s="1"/>
  <c r="H1604" i="56"/>
  <c r="J1604" i="56"/>
  <c r="K1604" i="56"/>
  <c r="C1605" i="56"/>
  <c r="D1605" i="56" s="1"/>
  <c r="E1605" i="56"/>
  <c r="F1605" i="56" s="1"/>
  <c r="G1605" i="56"/>
  <c r="I1605" i="56" s="1"/>
  <c r="H1605" i="56"/>
  <c r="J1605" i="56"/>
  <c r="K1605" i="56"/>
  <c r="C1606" i="56"/>
  <c r="D1606" i="56" s="1"/>
  <c r="E1606" i="56"/>
  <c r="F1606" i="56" s="1"/>
  <c r="G1606" i="56"/>
  <c r="I1606" i="56" s="1"/>
  <c r="H1606" i="56"/>
  <c r="J1606" i="56"/>
  <c r="K1606" i="56"/>
  <c r="C1607" i="56"/>
  <c r="D1607" i="56" s="1"/>
  <c r="E1607" i="56"/>
  <c r="F1607" i="56" s="1"/>
  <c r="G1607" i="56"/>
  <c r="I1607" i="56" s="1"/>
  <c r="H1607" i="56"/>
  <c r="J1607" i="56"/>
  <c r="K1607" i="56"/>
  <c r="C1608" i="56"/>
  <c r="D1608" i="56" s="1"/>
  <c r="E1608" i="56"/>
  <c r="F1608" i="56" s="1"/>
  <c r="G1608" i="56"/>
  <c r="I1608" i="56" s="1"/>
  <c r="H1608" i="56"/>
  <c r="J1608" i="56"/>
  <c r="K1608" i="56"/>
  <c r="C1609" i="56"/>
  <c r="D1609" i="56" s="1"/>
  <c r="E1609" i="56"/>
  <c r="F1609" i="56" s="1"/>
  <c r="G1609" i="56"/>
  <c r="I1609" i="56" s="1"/>
  <c r="H1609" i="56"/>
  <c r="J1609" i="56"/>
  <c r="K1609" i="56"/>
  <c r="C1610" i="56"/>
  <c r="D1610" i="56" s="1"/>
  <c r="E1610" i="56"/>
  <c r="F1610" i="56" s="1"/>
  <c r="G1610" i="56"/>
  <c r="I1610" i="56" s="1"/>
  <c r="H1610" i="56"/>
  <c r="J1610" i="56"/>
  <c r="K1610" i="56"/>
  <c r="C1611" i="56"/>
  <c r="D1611" i="56" s="1"/>
  <c r="E1611" i="56"/>
  <c r="F1611" i="56" s="1"/>
  <c r="G1611" i="56"/>
  <c r="I1611" i="56" s="1"/>
  <c r="H1611" i="56"/>
  <c r="J1611" i="56"/>
  <c r="K1611" i="56"/>
  <c r="C1612" i="56"/>
  <c r="D1612" i="56" s="1"/>
  <c r="E1612" i="56"/>
  <c r="F1612" i="56" s="1"/>
  <c r="G1612" i="56"/>
  <c r="I1612" i="56" s="1"/>
  <c r="H1612" i="56"/>
  <c r="J1612" i="56"/>
  <c r="K1612" i="56"/>
  <c r="C1613" i="56"/>
  <c r="D1613" i="56" s="1"/>
  <c r="E1613" i="56"/>
  <c r="F1613" i="56" s="1"/>
  <c r="G1613" i="56"/>
  <c r="I1613" i="56" s="1"/>
  <c r="H1613" i="56"/>
  <c r="J1613" i="56"/>
  <c r="K1613" i="56"/>
  <c r="C1614" i="56"/>
  <c r="D1614" i="56" s="1"/>
  <c r="E1614" i="56"/>
  <c r="F1614" i="56" s="1"/>
  <c r="G1614" i="56"/>
  <c r="I1614" i="56" s="1"/>
  <c r="H1614" i="56"/>
  <c r="J1614" i="56"/>
  <c r="K1614" i="56"/>
  <c r="C1615" i="56"/>
  <c r="D1615" i="56" s="1"/>
  <c r="E1615" i="56"/>
  <c r="F1615" i="56" s="1"/>
  <c r="G1615" i="56"/>
  <c r="I1615" i="56" s="1"/>
  <c r="H1615" i="56"/>
  <c r="J1615" i="56"/>
  <c r="K1615" i="56"/>
  <c r="C1616" i="56"/>
  <c r="D1616" i="56" s="1"/>
  <c r="E1616" i="56"/>
  <c r="F1616" i="56" s="1"/>
  <c r="G1616" i="56"/>
  <c r="I1616" i="56" s="1"/>
  <c r="H1616" i="56"/>
  <c r="J1616" i="56"/>
  <c r="K1616" i="56"/>
  <c r="C1617" i="56"/>
  <c r="D1617" i="56" s="1"/>
  <c r="E1617" i="56"/>
  <c r="F1617" i="56" s="1"/>
  <c r="G1617" i="56"/>
  <c r="I1617" i="56" s="1"/>
  <c r="H1617" i="56"/>
  <c r="J1617" i="56"/>
  <c r="K1617" i="56"/>
  <c r="C1618" i="56"/>
  <c r="D1618" i="56" s="1"/>
  <c r="E1618" i="56"/>
  <c r="F1618" i="56" s="1"/>
  <c r="G1618" i="56"/>
  <c r="I1618" i="56" s="1"/>
  <c r="H1618" i="56"/>
  <c r="J1618" i="56"/>
  <c r="K1618" i="56"/>
  <c r="C1619" i="56"/>
  <c r="D1619" i="56" s="1"/>
  <c r="E1619" i="56"/>
  <c r="F1619" i="56" s="1"/>
  <c r="G1619" i="56"/>
  <c r="I1619" i="56" s="1"/>
  <c r="H1619" i="56"/>
  <c r="J1619" i="56"/>
  <c r="K1619" i="56"/>
  <c r="C1620" i="56"/>
  <c r="D1620" i="56" s="1"/>
  <c r="E1620" i="56"/>
  <c r="F1620" i="56" s="1"/>
  <c r="G1620" i="56"/>
  <c r="I1620" i="56" s="1"/>
  <c r="H1620" i="56"/>
  <c r="J1620" i="56"/>
  <c r="K1620" i="56"/>
  <c r="C1621" i="56"/>
  <c r="D1621" i="56" s="1"/>
  <c r="E1621" i="56"/>
  <c r="F1621" i="56" s="1"/>
  <c r="G1621" i="56"/>
  <c r="I1621" i="56" s="1"/>
  <c r="H1621" i="56"/>
  <c r="J1621" i="56"/>
  <c r="K1621" i="56"/>
  <c r="C1622" i="56"/>
  <c r="D1622" i="56" s="1"/>
  <c r="E1622" i="56"/>
  <c r="F1622" i="56" s="1"/>
  <c r="G1622" i="56"/>
  <c r="I1622" i="56" s="1"/>
  <c r="H1622" i="56"/>
  <c r="J1622" i="56"/>
  <c r="K1622" i="56"/>
  <c r="C1623" i="56"/>
  <c r="D1623" i="56" s="1"/>
  <c r="E1623" i="56"/>
  <c r="F1623" i="56" s="1"/>
  <c r="G1623" i="56"/>
  <c r="I1623" i="56" s="1"/>
  <c r="H1623" i="56"/>
  <c r="J1623" i="56"/>
  <c r="K1623" i="56"/>
  <c r="C1624" i="56"/>
  <c r="D1624" i="56" s="1"/>
  <c r="E1624" i="56"/>
  <c r="F1624" i="56" s="1"/>
  <c r="G1624" i="56"/>
  <c r="I1624" i="56" s="1"/>
  <c r="H1624" i="56"/>
  <c r="J1624" i="56"/>
  <c r="K1624" i="56"/>
  <c r="C1625" i="56"/>
  <c r="D1625" i="56" s="1"/>
  <c r="E1625" i="56"/>
  <c r="F1625" i="56" s="1"/>
  <c r="G1625" i="56"/>
  <c r="I1625" i="56" s="1"/>
  <c r="H1625" i="56"/>
  <c r="J1625" i="56"/>
  <c r="K1625" i="56"/>
  <c r="C1626" i="56"/>
  <c r="D1626" i="56" s="1"/>
  <c r="E1626" i="56"/>
  <c r="F1626" i="56" s="1"/>
  <c r="G1626" i="56"/>
  <c r="I1626" i="56" s="1"/>
  <c r="H1626" i="56"/>
  <c r="J1626" i="56"/>
  <c r="K1626" i="56"/>
  <c r="C1627" i="56"/>
  <c r="D1627" i="56" s="1"/>
  <c r="E1627" i="56"/>
  <c r="F1627" i="56" s="1"/>
  <c r="G1627" i="56"/>
  <c r="I1627" i="56" s="1"/>
  <c r="H1627" i="56"/>
  <c r="J1627" i="56"/>
  <c r="K1627" i="56"/>
  <c r="C1628" i="56"/>
  <c r="D1628" i="56" s="1"/>
  <c r="E1628" i="56"/>
  <c r="F1628" i="56" s="1"/>
  <c r="G1628" i="56"/>
  <c r="I1628" i="56" s="1"/>
  <c r="H1628" i="56"/>
  <c r="J1628" i="56"/>
  <c r="K1628" i="56"/>
  <c r="C1629" i="56"/>
  <c r="D1629" i="56" s="1"/>
  <c r="E1629" i="56"/>
  <c r="F1629" i="56" s="1"/>
  <c r="G1629" i="56"/>
  <c r="I1629" i="56" s="1"/>
  <c r="H1629" i="56"/>
  <c r="J1629" i="56"/>
  <c r="K1629" i="56"/>
  <c r="C1630" i="56"/>
  <c r="D1630" i="56" s="1"/>
  <c r="E1630" i="56"/>
  <c r="F1630" i="56" s="1"/>
  <c r="G1630" i="56"/>
  <c r="I1630" i="56" s="1"/>
  <c r="H1630" i="56"/>
  <c r="J1630" i="56"/>
  <c r="K1630" i="56"/>
  <c r="C1631" i="56"/>
  <c r="D1631" i="56" s="1"/>
  <c r="E1631" i="56"/>
  <c r="F1631" i="56" s="1"/>
  <c r="G1631" i="56"/>
  <c r="I1631" i="56" s="1"/>
  <c r="H1631" i="56"/>
  <c r="J1631" i="56"/>
  <c r="K1631" i="56"/>
  <c r="C1632" i="56"/>
  <c r="D1632" i="56" s="1"/>
  <c r="E1632" i="56"/>
  <c r="F1632" i="56" s="1"/>
  <c r="G1632" i="56"/>
  <c r="I1632" i="56" s="1"/>
  <c r="H1632" i="56"/>
  <c r="J1632" i="56"/>
  <c r="K1632" i="56"/>
  <c r="C1633" i="56"/>
  <c r="D1633" i="56" s="1"/>
  <c r="E1633" i="56"/>
  <c r="F1633" i="56" s="1"/>
  <c r="G1633" i="56"/>
  <c r="I1633" i="56" s="1"/>
  <c r="H1633" i="56"/>
  <c r="J1633" i="56"/>
  <c r="K1633" i="56"/>
  <c r="C1634" i="56"/>
  <c r="D1634" i="56" s="1"/>
  <c r="E1634" i="56"/>
  <c r="F1634" i="56" s="1"/>
  <c r="G1634" i="56"/>
  <c r="I1634" i="56" s="1"/>
  <c r="H1634" i="56"/>
  <c r="J1634" i="56"/>
  <c r="K1634" i="56"/>
  <c r="C1635" i="56"/>
  <c r="D1635" i="56" s="1"/>
  <c r="E1635" i="56"/>
  <c r="F1635" i="56" s="1"/>
  <c r="G1635" i="56"/>
  <c r="I1635" i="56" s="1"/>
  <c r="H1635" i="56"/>
  <c r="J1635" i="56"/>
  <c r="K1635" i="56"/>
  <c r="C1636" i="56"/>
  <c r="D1636" i="56" s="1"/>
  <c r="E1636" i="56"/>
  <c r="F1636" i="56" s="1"/>
  <c r="G1636" i="56"/>
  <c r="I1636" i="56" s="1"/>
  <c r="H1636" i="56"/>
  <c r="J1636" i="56"/>
  <c r="K1636" i="56"/>
  <c r="C1637" i="56"/>
  <c r="D1637" i="56" s="1"/>
  <c r="E1637" i="56"/>
  <c r="F1637" i="56" s="1"/>
  <c r="G1637" i="56"/>
  <c r="I1637" i="56" s="1"/>
  <c r="H1637" i="56"/>
  <c r="J1637" i="56"/>
  <c r="K1637" i="56"/>
  <c r="C1638" i="56"/>
  <c r="D1638" i="56" s="1"/>
  <c r="E1638" i="56"/>
  <c r="F1638" i="56" s="1"/>
  <c r="G1638" i="56"/>
  <c r="I1638" i="56" s="1"/>
  <c r="H1638" i="56"/>
  <c r="J1638" i="56"/>
  <c r="K1638" i="56"/>
  <c r="C1639" i="56"/>
  <c r="D1639" i="56" s="1"/>
  <c r="E1639" i="56"/>
  <c r="F1639" i="56" s="1"/>
  <c r="G1639" i="56"/>
  <c r="I1639" i="56" s="1"/>
  <c r="H1639" i="56"/>
  <c r="J1639" i="56"/>
  <c r="K1639" i="56"/>
  <c r="C1640" i="56"/>
  <c r="D1640" i="56" s="1"/>
  <c r="E1640" i="56"/>
  <c r="F1640" i="56" s="1"/>
  <c r="G1640" i="56"/>
  <c r="I1640" i="56" s="1"/>
  <c r="H1640" i="56"/>
  <c r="J1640" i="56"/>
  <c r="K1640" i="56"/>
  <c r="C1641" i="56"/>
  <c r="D1641" i="56" s="1"/>
  <c r="E1641" i="56"/>
  <c r="F1641" i="56" s="1"/>
  <c r="G1641" i="56"/>
  <c r="I1641" i="56" s="1"/>
  <c r="H1641" i="56"/>
  <c r="J1641" i="56"/>
  <c r="K1641" i="56"/>
  <c r="C1642" i="56"/>
  <c r="D1642" i="56" s="1"/>
  <c r="E1642" i="56"/>
  <c r="F1642" i="56" s="1"/>
  <c r="G1642" i="56"/>
  <c r="I1642" i="56" s="1"/>
  <c r="H1642" i="56"/>
  <c r="J1642" i="56"/>
  <c r="K1642" i="56"/>
  <c r="C1643" i="56"/>
  <c r="D1643" i="56" s="1"/>
  <c r="E1643" i="56"/>
  <c r="F1643" i="56" s="1"/>
  <c r="G1643" i="56"/>
  <c r="I1643" i="56" s="1"/>
  <c r="H1643" i="56"/>
  <c r="J1643" i="56"/>
  <c r="K1643" i="56"/>
  <c r="C1644" i="56"/>
  <c r="D1644" i="56" s="1"/>
  <c r="E1644" i="56"/>
  <c r="F1644" i="56" s="1"/>
  <c r="G1644" i="56"/>
  <c r="I1644" i="56" s="1"/>
  <c r="H1644" i="56"/>
  <c r="J1644" i="56"/>
  <c r="K1644" i="56"/>
  <c r="C1645" i="56"/>
  <c r="D1645" i="56" s="1"/>
  <c r="E1645" i="56"/>
  <c r="F1645" i="56" s="1"/>
  <c r="G1645" i="56"/>
  <c r="I1645" i="56" s="1"/>
  <c r="H1645" i="56"/>
  <c r="J1645" i="56"/>
  <c r="K1645" i="56"/>
  <c r="C1646" i="56"/>
  <c r="D1646" i="56" s="1"/>
  <c r="E1646" i="56"/>
  <c r="F1646" i="56" s="1"/>
  <c r="G1646" i="56"/>
  <c r="I1646" i="56" s="1"/>
  <c r="H1646" i="56"/>
  <c r="J1646" i="56"/>
  <c r="K1646" i="56"/>
  <c r="C1647" i="56"/>
  <c r="D1647" i="56" s="1"/>
  <c r="E1647" i="56"/>
  <c r="F1647" i="56" s="1"/>
  <c r="G1647" i="56"/>
  <c r="I1647" i="56" s="1"/>
  <c r="H1647" i="56"/>
  <c r="J1647" i="56"/>
  <c r="K1647" i="56"/>
  <c r="C1648" i="56"/>
  <c r="D1648" i="56" s="1"/>
  <c r="E1648" i="56"/>
  <c r="F1648" i="56" s="1"/>
  <c r="G1648" i="56"/>
  <c r="I1648" i="56" s="1"/>
  <c r="H1648" i="56"/>
  <c r="J1648" i="56"/>
  <c r="K1648" i="56"/>
  <c r="C1649" i="56"/>
  <c r="D1649" i="56" s="1"/>
  <c r="E1649" i="56"/>
  <c r="F1649" i="56" s="1"/>
  <c r="G1649" i="56"/>
  <c r="I1649" i="56" s="1"/>
  <c r="H1649" i="56"/>
  <c r="J1649" i="56"/>
  <c r="K1649" i="56"/>
  <c r="C1650" i="56"/>
  <c r="D1650" i="56" s="1"/>
  <c r="E1650" i="56"/>
  <c r="F1650" i="56" s="1"/>
  <c r="G1650" i="56"/>
  <c r="I1650" i="56" s="1"/>
  <c r="H1650" i="56"/>
  <c r="J1650" i="56"/>
  <c r="K1650" i="56"/>
  <c r="C1651" i="56"/>
  <c r="D1651" i="56" s="1"/>
  <c r="E1651" i="56"/>
  <c r="F1651" i="56" s="1"/>
  <c r="G1651" i="56"/>
  <c r="I1651" i="56" s="1"/>
  <c r="H1651" i="56"/>
  <c r="J1651" i="56"/>
  <c r="K1651" i="56"/>
  <c r="C1652" i="56"/>
  <c r="D1652" i="56" s="1"/>
  <c r="E1652" i="56"/>
  <c r="F1652" i="56" s="1"/>
  <c r="G1652" i="56"/>
  <c r="I1652" i="56" s="1"/>
  <c r="H1652" i="56"/>
  <c r="J1652" i="56"/>
  <c r="K1652" i="56"/>
  <c r="C1653" i="56"/>
  <c r="D1653" i="56" s="1"/>
  <c r="E1653" i="56"/>
  <c r="F1653" i="56" s="1"/>
  <c r="G1653" i="56"/>
  <c r="I1653" i="56" s="1"/>
  <c r="H1653" i="56"/>
  <c r="J1653" i="56"/>
  <c r="K1653" i="56"/>
  <c r="C1654" i="56"/>
  <c r="D1654" i="56" s="1"/>
  <c r="E1654" i="56"/>
  <c r="F1654" i="56" s="1"/>
  <c r="G1654" i="56"/>
  <c r="I1654" i="56" s="1"/>
  <c r="H1654" i="56"/>
  <c r="J1654" i="56"/>
  <c r="K1654" i="56"/>
  <c r="C1655" i="56"/>
  <c r="D1655" i="56" s="1"/>
  <c r="E1655" i="56"/>
  <c r="F1655" i="56" s="1"/>
  <c r="G1655" i="56"/>
  <c r="I1655" i="56" s="1"/>
  <c r="H1655" i="56"/>
  <c r="J1655" i="56"/>
  <c r="K1655" i="56"/>
  <c r="C1656" i="56"/>
  <c r="D1656" i="56" s="1"/>
  <c r="E1656" i="56"/>
  <c r="F1656" i="56" s="1"/>
  <c r="G1656" i="56"/>
  <c r="I1656" i="56" s="1"/>
  <c r="H1656" i="56"/>
  <c r="J1656" i="56"/>
  <c r="K1656" i="56"/>
  <c r="C1657" i="56"/>
  <c r="D1657" i="56" s="1"/>
  <c r="E1657" i="56"/>
  <c r="F1657" i="56" s="1"/>
  <c r="G1657" i="56"/>
  <c r="I1657" i="56" s="1"/>
  <c r="H1657" i="56"/>
  <c r="J1657" i="56"/>
  <c r="K1657" i="56"/>
  <c r="C1658" i="56"/>
  <c r="D1658" i="56" s="1"/>
  <c r="E1658" i="56"/>
  <c r="F1658" i="56" s="1"/>
  <c r="G1658" i="56"/>
  <c r="I1658" i="56" s="1"/>
  <c r="H1658" i="56"/>
  <c r="J1658" i="56"/>
  <c r="K1658" i="56"/>
  <c r="C1659" i="56"/>
  <c r="D1659" i="56" s="1"/>
  <c r="E1659" i="56"/>
  <c r="F1659" i="56" s="1"/>
  <c r="G1659" i="56"/>
  <c r="I1659" i="56" s="1"/>
  <c r="H1659" i="56"/>
  <c r="J1659" i="56"/>
  <c r="K1659" i="56"/>
  <c r="C1660" i="56"/>
  <c r="D1660" i="56" s="1"/>
  <c r="E1660" i="56"/>
  <c r="F1660" i="56" s="1"/>
  <c r="G1660" i="56"/>
  <c r="I1660" i="56" s="1"/>
  <c r="H1660" i="56"/>
  <c r="J1660" i="56"/>
  <c r="K1660" i="56"/>
  <c r="C1661" i="56"/>
  <c r="D1661" i="56" s="1"/>
  <c r="E1661" i="56"/>
  <c r="F1661" i="56" s="1"/>
  <c r="G1661" i="56"/>
  <c r="I1661" i="56" s="1"/>
  <c r="H1661" i="56"/>
  <c r="J1661" i="56"/>
  <c r="K1661" i="56"/>
  <c r="C1662" i="56"/>
  <c r="D1662" i="56" s="1"/>
  <c r="E1662" i="56"/>
  <c r="F1662" i="56" s="1"/>
  <c r="G1662" i="56"/>
  <c r="I1662" i="56" s="1"/>
  <c r="H1662" i="56"/>
  <c r="J1662" i="56"/>
  <c r="K1662" i="56"/>
  <c r="C1663" i="56"/>
  <c r="D1663" i="56" s="1"/>
  <c r="E1663" i="56"/>
  <c r="F1663" i="56" s="1"/>
  <c r="G1663" i="56"/>
  <c r="I1663" i="56" s="1"/>
  <c r="H1663" i="56"/>
  <c r="J1663" i="56"/>
  <c r="K1663" i="56"/>
  <c r="C1664" i="56"/>
  <c r="D1664" i="56" s="1"/>
  <c r="E1664" i="56"/>
  <c r="F1664" i="56" s="1"/>
  <c r="G1664" i="56"/>
  <c r="I1664" i="56" s="1"/>
  <c r="H1664" i="56"/>
  <c r="J1664" i="56"/>
  <c r="K1664" i="56"/>
  <c r="C1665" i="56"/>
  <c r="D1665" i="56" s="1"/>
  <c r="E1665" i="56"/>
  <c r="F1665" i="56" s="1"/>
  <c r="G1665" i="56"/>
  <c r="I1665" i="56" s="1"/>
  <c r="H1665" i="56"/>
  <c r="J1665" i="56"/>
  <c r="K1665" i="56"/>
  <c r="C1666" i="56"/>
  <c r="D1666" i="56" s="1"/>
  <c r="E1666" i="56"/>
  <c r="F1666" i="56" s="1"/>
  <c r="G1666" i="56"/>
  <c r="I1666" i="56" s="1"/>
  <c r="H1666" i="56"/>
  <c r="J1666" i="56"/>
  <c r="K1666" i="56"/>
  <c r="C1667" i="56"/>
  <c r="D1667" i="56" s="1"/>
  <c r="E1667" i="56"/>
  <c r="F1667" i="56" s="1"/>
  <c r="G1667" i="56"/>
  <c r="I1667" i="56" s="1"/>
  <c r="H1667" i="56"/>
  <c r="J1667" i="56"/>
  <c r="K1667" i="56"/>
  <c r="C1668" i="56"/>
  <c r="D1668" i="56" s="1"/>
  <c r="E1668" i="56"/>
  <c r="F1668" i="56" s="1"/>
  <c r="G1668" i="56"/>
  <c r="I1668" i="56" s="1"/>
  <c r="H1668" i="56"/>
  <c r="J1668" i="56"/>
  <c r="K1668" i="56"/>
  <c r="C1669" i="56"/>
  <c r="D1669" i="56" s="1"/>
  <c r="E1669" i="56"/>
  <c r="F1669" i="56" s="1"/>
  <c r="G1669" i="56"/>
  <c r="I1669" i="56" s="1"/>
  <c r="H1669" i="56"/>
  <c r="J1669" i="56"/>
  <c r="K1669" i="56"/>
  <c r="C1670" i="56"/>
  <c r="D1670" i="56" s="1"/>
  <c r="E1670" i="56"/>
  <c r="F1670" i="56" s="1"/>
  <c r="G1670" i="56"/>
  <c r="I1670" i="56" s="1"/>
  <c r="H1670" i="56"/>
  <c r="J1670" i="56"/>
  <c r="K1670" i="56"/>
  <c r="C1671" i="56"/>
  <c r="D1671" i="56" s="1"/>
  <c r="E1671" i="56"/>
  <c r="F1671" i="56" s="1"/>
  <c r="G1671" i="56"/>
  <c r="I1671" i="56" s="1"/>
  <c r="H1671" i="56"/>
  <c r="J1671" i="56"/>
  <c r="K1671" i="56"/>
  <c r="C1672" i="56"/>
  <c r="D1672" i="56" s="1"/>
  <c r="E1672" i="56"/>
  <c r="F1672" i="56" s="1"/>
  <c r="G1672" i="56"/>
  <c r="I1672" i="56" s="1"/>
  <c r="H1672" i="56"/>
  <c r="J1672" i="56"/>
  <c r="K1672" i="56"/>
  <c r="C1673" i="56"/>
  <c r="D1673" i="56" s="1"/>
  <c r="E1673" i="56"/>
  <c r="F1673" i="56" s="1"/>
  <c r="G1673" i="56"/>
  <c r="I1673" i="56" s="1"/>
  <c r="H1673" i="56"/>
  <c r="J1673" i="56"/>
  <c r="K1673" i="56"/>
  <c r="C1674" i="56"/>
  <c r="D1674" i="56" s="1"/>
  <c r="E1674" i="56"/>
  <c r="F1674" i="56" s="1"/>
  <c r="G1674" i="56"/>
  <c r="I1674" i="56" s="1"/>
  <c r="H1674" i="56"/>
  <c r="J1674" i="56"/>
  <c r="K1674" i="56"/>
  <c r="C1675" i="56"/>
  <c r="D1675" i="56" s="1"/>
  <c r="E1675" i="56"/>
  <c r="F1675" i="56" s="1"/>
  <c r="G1675" i="56"/>
  <c r="I1675" i="56" s="1"/>
  <c r="H1675" i="56"/>
  <c r="J1675" i="56"/>
  <c r="K1675" i="56"/>
  <c r="C1676" i="56"/>
  <c r="D1676" i="56" s="1"/>
  <c r="E1676" i="56"/>
  <c r="F1676" i="56" s="1"/>
  <c r="G1676" i="56"/>
  <c r="I1676" i="56" s="1"/>
  <c r="H1676" i="56"/>
  <c r="J1676" i="56"/>
  <c r="K1676" i="56"/>
  <c r="C1677" i="56"/>
  <c r="D1677" i="56" s="1"/>
  <c r="E1677" i="56"/>
  <c r="F1677" i="56" s="1"/>
  <c r="G1677" i="56"/>
  <c r="I1677" i="56" s="1"/>
  <c r="H1677" i="56"/>
  <c r="J1677" i="56"/>
  <c r="K1677" i="56"/>
  <c r="C1678" i="56"/>
  <c r="D1678" i="56" s="1"/>
  <c r="E1678" i="56"/>
  <c r="F1678" i="56" s="1"/>
  <c r="G1678" i="56"/>
  <c r="I1678" i="56" s="1"/>
  <c r="H1678" i="56"/>
  <c r="J1678" i="56"/>
  <c r="K1678" i="56"/>
  <c r="C1679" i="56"/>
  <c r="D1679" i="56" s="1"/>
  <c r="E1679" i="56"/>
  <c r="F1679" i="56" s="1"/>
  <c r="G1679" i="56"/>
  <c r="I1679" i="56" s="1"/>
  <c r="H1679" i="56"/>
  <c r="J1679" i="56"/>
  <c r="K1679" i="56"/>
  <c r="C1680" i="56"/>
  <c r="D1680" i="56" s="1"/>
  <c r="E1680" i="56"/>
  <c r="F1680" i="56" s="1"/>
  <c r="G1680" i="56"/>
  <c r="I1680" i="56" s="1"/>
  <c r="H1680" i="56"/>
  <c r="J1680" i="56"/>
  <c r="K1680" i="56"/>
  <c r="C1681" i="56"/>
  <c r="D1681" i="56" s="1"/>
  <c r="E1681" i="56"/>
  <c r="F1681" i="56" s="1"/>
  <c r="G1681" i="56"/>
  <c r="I1681" i="56" s="1"/>
  <c r="H1681" i="56"/>
  <c r="J1681" i="56"/>
  <c r="K1681" i="56"/>
  <c r="C1682" i="56"/>
  <c r="D1682" i="56" s="1"/>
  <c r="E1682" i="56"/>
  <c r="F1682" i="56" s="1"/>
  <c r="G1682" i="56"/>
  <c r="I1682" i="56" s="1"/>
  <c r="H1682" i="56"/>
  <c r="J1682" i="56"/>
  <c r="K1682" i="56"/>
  <c r="C1683" i="56"/>
  <c r="D1683" i="56" s="1"/>
  <c r="E1683" i="56"/>
  <c r="F1683" i="56" s="1"/>
  <c r="G1683" i="56"/>
  <c r="I1683" i="56" s="1"/>
  <c r="H1683" i="56"/>
  <c r="J1683" i="56"/>
  <c r="K1683" i="56"/>
  <c r="C1684" i="56"/>
  <c r="D1684" i="56" s="1"/>
  <c r="E1684" i="56"/>
  <c r="F1684" i="56" s="1"/>
  <c r="G1684" i="56"/>
  <c r="I1684" i="56" s="1"/>
  <c r="H1684" i="56"/>
  <c r="J1684" i="56"/>
  <c r="L1684" i="56" s="1"/>
  <c r="C1685" i="56"/>
  <c r="D1685" i="56" s="1"/>
  <c r="E1685" i="56"/>
  <c r="F1685" i="56" s="1"/>
  <c r="G1685" i="56"/>
  <c r="I1685" i="56" s="1"/>
  <c r="H1685" i="56"/>
  <c r="J1685" i="56"/>
  <c r="C1686" i="56"/>
  <c r="D1686" i="56" s="1"/>
  <c r="E1686" i="56"/>
  <c r="F1686" i="56" s="1"/>
  <c r="G1686" i="56"/>
  <c r="I1686" i="56" s="1"/>
  <c r="H1686" i="56"/>
  <c r="J1686" i="56"/>
  <c r="L1686" i="56" s="1"/>
  <c r="C1687" i="56"/>
  <c r="D1687" i="56" s="1"/>
  <c r="E1687" i="56"/>
  <c r="F1687" i="56" s="1"/>
  <c r="G1687" i="56"/>
  <c r="I1687" i="56" s="1"/>
  <c r="H1687" i="56"/>
  <c r="J1687" i="56"/>
  <c r="L1687" i="56" s="1"/>
  <c r="C1688" i="56"/>
  <c r="D1688" i="56" s="1"/>
  <c r="E1688" i="56"/>
  <c r="F1688" i="56" s="1"/>
  <c r="G1688" i="56"/>
  <c r="I1688" i="56" s="1"/>
  <c r="H1688" i="56"/>
  <c r="J1688" i="56"/>
  <c r="L1688" i="56" s="1"/>
  <c r="C1689" i="56"/>
  <c r="D1689" i="56" s="1"/>
  <c r="E1689" i="56"/>
  <c r="F1689" i="56" s="1"/>
  <c r="G1689" i="56"/>
  <c r="I1689" i="56" s="1"/>
  <c r="H1689" i="56"/>
  <c r="J1689" i="56"/>
  <c r="L1689" i="56" s="1"/>
  <c r="C1690" i="56"/>
  <c r="D1690" i="56" s="1"/>
  <c r="E1690" i="56"/>
  <c r="F1690" i="56" s="1"/>
  <c r="G1690" i="56"/>
  <c r="I1690" i="56" s="1"/>
  <c r="H1690" i="56"/>
  <c r="J1690" i="56"/>
  <c r="L1690" i="56" s="1"/>
  <c r="C1691" i="56"/>
  <c r="D1691" i="56" s="1"/>
  <c r="E1691" i="56"/>
  <c r="F1691" i="56" s="1"/>
  <c r="G1691" i="56"/>
  <c r="I1691" i="56" s="1"/>
  <c r="H1691" i="56"/>
  <c r="J1691" i="56"/>
  <c r="L1691" i="56" s="1"/>
  <c r="C1692" i="56"/>
  <c r="D1692" i="56" s="1"/>
  <c r="E1692" i="56"/>
  <c r="F1692" i="56" s="1"/>
  <c r="G1692" i="56"/>
  <c r="I1692" i="56" s="1"/>
  <c r="H1692" i="56"/>
  <c r="J1692" i="56"/>
  <c r="L1692" i="56" s="1"/>
  <c r="C1693" i="56"/>
  <c r="D1693" i="56" s="1"/>
  <c r="E1693" i="56"/>
  <c r="F1693" i="56" s="1"/>
  <c r="G1693" i="56"/>
  <c r="I1693" i="56" s="1"/>
  <c r="H1693" i="56"/>
  <c r="J1693" i="56"/>
  <c r="C1694" i="56"/>
  <c r="D1694" i="56" s="1"/>
  <c r="E1694" i="56"/>
  <c r="F1694" i="56" s="1"/>
  <c r="G1694" i="56"/>
  <c r="I1694" i="56" s="1"/>
  <c r="H1694" i="56"/>
  <c r="J1694" i="56"/>
  <c r="L1694" i="56" s="1"/>
  <c r="C1695" i="56"/>
  <c r="D1695" i="56" s="1"/>
  <c r="E1695" i="56"/>
  <c r="F1695" i="56" s="1"/>
  <c r="G1695" i="56"/>
  <c r="I1695" i="56" s="1"/>
  <c r="H1695" i="56"/>
  <c r="J1695" i="56"/>
  <c r="C1696" i="56"/>
  <c r="D1696" i="56" s="1"/>
  <c r="E1696" i="56"/>
  <c r="F1696" i="56" s="1"/>
  <c r="G1696" i="56"/>
  <c r="I1696" i="56" s="1"/>
  <c r="H1696" i="56"/>
  <c r="J1696" i="56"/>
  <c r="L1696" i="56" s="1"/>
  <c r="C1697" i="56"/>
  <c r="D1697" i="56" s="1"/>
  <c r="E1697" i="56"/>
  <c r="F1697" i="56" s="1"/>
  <c r="G1697" i="56"/>
  <c r="I1697" i="56" s="1"/>
  <c r="H1697" i="56"/>
  <c r="J1697" i="56"/>
  <c r="C1698" i="56"/>
  <c r="D1698" i="56" s="1"/>
  <c r="E1698" i="56"/>
  <c r="F1698" i="56" s="1"/>
  <c r="G1698" i="56"/>
  <c r="I1698" i="56" s="1"/>
  <c r="H1698" i="56"/>
  <c r="J1698" i="56"/>
  <c r="L1698" i="56" s="1"/>
  <c r="C1699" i="56"/>
  <c r="D1699" i="56" s="1"/>
  <c r="E1699" i="56"/>
  <c r="F1699" i="56" s="1"/>
  <c r="G1699" i="56"/>
  <c r="I1699" i="56" s="1"/>
  <c r="H1699" i="56"/>
  <c r="J1699" i="56"/>
  <c r="L1699" i="56" s="1"/>
  <c r="C1700" i="56"/>
  <c r="D1700" i="56" s="1"/>
  <c r="E1700" i="56"/>
  <c r="F1700" i="56" s="1"/>
  <c r="G1700" i="56"/>
  <c r="I1700" i="56" s="1"/>
  <c r="H1700" i="56"/>
  <c r="J1700" i="56"/>
  <c r="L1700" i="56" s="1"/>
  <c r="C1701" i="56"/>
  <c r="D1701" i="56" s="1"/>
  <c r="E1701" i="56"/>
  <c r="F1701" i="56" s="1"/>
  <c r="G1701" i="56"/>
  <c r="I1701" i="56" s="1"/>
  <c r="H1701" i="56"/>
  <c r="J1701" i="56"/>
  <c r="L1701" i="56" s="1"/>
  <c r="C1702" i="56"/>
  <c r="D1702" i="56" s="1"/>
  <c r="E1702" i="56"/>
  <c r="F1702" i="56" s="1"/>
  <c r="G1702" i="56"/>
  <c r="I1702" i="56" s="1"/>
  <c r="H1702" i="56"/>
  <c r="J1702" i="56"/>
  <c r="L1702" i="56" s="1"/>
  <c r="C1703" i="56"/>
  <c r="D1703" i="56" s="1"/>
  <c r="E1703" i="56"/>
  <c r="F1703" i="56" s="1"/>
  <c r="G1703" i="56"/>
  <c r="I1703" i="56" s="1"/>
  <c r="H1703" i="56"/>
  <c r="J1703" i="56"/>
  <c r="L1703" i="56" s="1"/>
  <c r="C1704" i="56"/>
  <c r="D1704" i="56" s="1"/>
  <c r="E1704" i="56"/>
  <c r="F1704" i="56" s="1"/>
  <c r="G1704" i="56"/>
  <c r="I1704" i="56" s="1"/>
  <c r="H1704" i="56"/>
  <c r="J1704" i="56"/>
  <c r="L1704" i="56" s="1"/>
  <c r="C1705" i="56"/>
  <c r="D1705" i="56" s="1"/>
  <c r="E1705" i="56"/>
  <c r="F1705" i="56" s="1"/>
  <c r="G1705" i="56"/>
  <c r="I1705" i="56" s="1"/>
  <c r="H1705" i="56"/>
  <c r="J1705" i="56"/>
  <c r="C1706" i="56"/>
  <c r="D1706" i="56" s="1"/>
  <c r="E1706" i="56"/>
  <c r="F1706" i="56" s="1"/>
  <c r="G1706" i="56"/>
  <c r="I1706" i="56" s="1"/>
  <c r="H1706" i="56"/>
  <c r="J1706" i="56"/>
  <c r="C1707" i="56"/>
  <c r="D1707" i="56" s="1"/>
  <c r="E1707" i="56"/>
  <c r="F1707" i="56" s="1"/>
  <c r="G1707" i="56"/>
  <c r="I1707" i="56" s="1"/>
  <c r="H1707" i="56"/>
  <c r="J1707" i="56"/>
  <c r="C1708" i="56"/>
  <c r="D1708" i="56" s="1"/>
  <c r="E1708" i="56"/>
  <c r="F1708" i="56" s="1"/>
  <c r="G1708" i="56"/>
  <c r="I1708" i="56" s="1"/>
  <c r="H1708" i="56"/>
  <c r="J1708" i="56"/>
  <c r="L1708" i="56" s="1"/>
  <c r="C1709" i="56"/>
  <c r="D1709" i="56" s="1"/>
  <c r="E1709" i="56"/>
  <c r="F1709" i="56" s="1"/>
  <c r="G1709" i="56"/>
  <c r="I1709" i="56" s="1"/>
  <c r="H1709" i="56"/>
  <c r="J1709" i="56"/>
  <c r="C1710" i="56"/>
  <c r="D1710" i="56" s="1"/>
  <c r="E1710" i="56"/>
  <c r="F1710" i="56" s="1"/>
  <c r="G1710" i="56"/>
  <c r="I1710" i="56" s="1"/>
  <c r="H1710" i="56"/>
  <c r="J1710" i="56"/>
  <c r="L1710" i="56" s="1"/>
  <c r="C1711" i="56"/>
  <c r="D1711" i="56" s="1"/>
  <c r="E1711" i="56"/>
  <c r="F1711" i="56" s="1"/>
  <c r="G1711" i="56"/>
  <c r="I1711" i="56" s="1"/>
  <c r="H1711" i="56"/>
  <c r="J1711" i="56"/>
  <c r="L1711" i="56" s="1"/>
  <c r="C1712" i="56"/>
  <c r="D1712" i="56" s="1"/>
  <c r="E1712" i="56"/>
  <c r="F1712" i="56" s="1"/>
  <c r="G1712" i="56"/>
  <c r="I1712" i="56" s="1"/>
  <c r="H1712" i="56"/>
  <c r="J1712" i="56"/>
  <c r="L1712" i="56" s="1"/>
  <c r="C1713" i="56"/>
  <c r="D1713" i="56" s="1"/>
  <c r="E1713" i="56"/>
  <c r="F1713" i="56" s="1"/>
  <c r="G1713" i="56"/>
  <c r="I1713" i="56" s="1"/>
  <c r="H1713" i="56"/>
  <c r="J1713" i="56"/>
  <c r="L1713" i="56" s="1"/>
  <c r="C1714" i="56"/>
  <c r="D1714" i="56" s="1"/>
  <c r="E1714" i="56"/>
  <c r="F1714" i="56" s="1"/>
  <c r="G1714" i="56"/>
  <c r="I1714" i="56" s="1"/>
  <c r="J1714" i="56"/>
  <c r="L1714" i="56" s="1"/>
  <c r="C1715" i="56"/>
  <c r="D1715" i="56" s="1"/>
  <c r="E1715" i="56"/>
  <c r="F1715" i="56" s="1"/>
  <c r="G1715" i="56"/>
  <c r="I1715" i="56" s="1"/>
  <c r="H1715" i="56"/>
  <c r="J1715" i="56"/>
  <c r="L1715" i="56" s="1"/>
  <c r="C1716" i="56"/>
  <c r="D1716" i="56" s="1"/>
  <c r="E1716" i="56"/>
  <c r="F1716" i="56" s="1"/>
  <c r="G1716" i="56"/>
  <c r="I1716" i="56" s="1"/>
  <c r="H1716" i="56"/>
  <c r="J1716" i="56"/>
  <c r="L1716" i="56" s="1"/>
  <c r="C1717" i="56"/>
  <c r="D1717" i="56" s="1"/>
  <c r="E1717" i="56"/>
  <c r="F1717" i="56" s="1"/>
  <c r="G1717" i="56"/>
  <c r="I1717" i="56" s="1"/>
  <c r="H1717" i="56"/>
  <c r="J1717" i="56"/>
  <c r="C1718" i="56"/>
  <c r="D1718" i="56" s="1"/>
  <c r="E1718" i="56"/>
  <c r="F1718" i="56" s="1"/>
  <c r="G1718" i="56"/>
  <c r="I1718" i="56" s="1"/>
  <c r="H1718" i="56"/>
  <c r="J1718" i="56"/>
  <c r="C1719" i="56"/>
  <c r="D1719" i="56" s="1"/>
  <c r="E1719" i="56"/>
  <c r="F1719" i="56" s="1"/>
  <c r="G1719" i="56"/>
  <c r="I1719" i="56" s="1"/>
  <c r="H1719" i="56"/>
  <c r="J1719" i="56"/>
  <c r="C1720" i="56"/>
  <c r="D1720" i="56" s="1"/>
  <c r="E1720" i="56"/>
  <c r="F1720" i="56" s="1"/>
  <c r="G1720" i="56"/>
  <c r="I1720" i="56" s="1"/>
  <c r="H1720" i="56"/>
  <c r="J1720" i="56"/>
  <c r="L1720" i="56" s="1"/>
  <c r="C1721" i="56"/>
  <c r="D1721" i="56" s="1"/>
  <c r="E1721" i="56"/>
  <c r="F1721" i="56" s="1"/>
  <c r="G1721" i="56"/>
  <c r="I1721" i="56" s="1"/>
  <c r="H1721" i="56"/>
  <c r="J1721" i="56"/>
  <c r="C1722" i="56"/>
  <c r="D1722" i="56" s="1"/>
  <c r="E1722" i="56"/>
  <c r="F1722" i="56" s="1"/>
  <c r="G1722" i="56"/>
  <c r="I1722" i="56" s="1"/>
  <c r="H1722" i="56"/>
  <c r="J1722" i="56"/>
  <c r="L1722" i="56" s="1"/>
  <c r="C1723" i="56"/>
  <c r="D1723" i="56" s="1"/>
  <c r="E1723" i="56"/>
  <c r="F1723" i="56" s="1"/>
  <c r="G1723" i="56"/>
  <c r="I1723" i="56" s="1"/>
  <c r="H1723" i="56"/>
  <c r="J1723" i="56"/>
  <c r="L1723" i="56" s="1"/>
  <c r="C1724" i="56"/>
  <c r="D1724" i="56" s="1"/>
  <c r="E1724" i="56"/>
  <c r="F1724" i="56" s="1"/>
  <c r="G1724" i="56"/>
  <c r="I1724" i="56" s="1"/>
  <c r="H1724" i="56"/>
  <c r="J1724" i="56"/>
  <c r="L1724" i="56" s="1"/>
  <c r="C1725" i="56"/>
  <c r="D1725" i="56" s="1"/>
  <c r="E1725" i="56"/>
  <c r="F1725" i="56" s="1"/>
  <c r="G1725" i="56"/>
  <c r="I1725" i="56" s="1"/>
  <c r="H1725" i="56"/>
  <c r="J1725" i="56"/>
  <c r="C1726" i="56"/>
  <c r="D1726" i="56" s="1"/>
  <c r="E1726" i="56"/>
  <c r="F1726" i="56" s="1"/>
  <c r="G1726" i="56"/>
  <c r="I1726" i="56" s="1"/>
  <c r="H1726" i="56"/>
  <c r="J1726" i="56"/>
  <c r="L1726" i="56" s="1"/>
  <c r="C1727" i="56"/>
  <c r="D1727" i="56" s="1"/>
  <c r="E1727" i="56"/>
  <c r="F1727" i="56" s="1"/>
  <c r="G1727" i="56"/>
  <c r="I1727" i="56" s="1"/>
  <c r="H1727" i="56"/>
  <c r="J1727" i="56"/>
  <c r="L1727" i="56" s="1"/>
  <c r="C1728" i="56"/>
  <c r="D1728" i="56" s="1"/>
  <c r="E1728" i="56"/>
  <c r="F1728" i="56" s="1"/>
  <c r="G1728" i="56"/>
  <c r="I1728" i="56" s="1"/>
  <c r="H1728" i="56"/>
  <c r="J1728" i="56"/>
  <c r="L1728" i="56" s="1"/>
  <c r="C1729" i="56"/>
  <c r="D1729" i="56" s="1"/>
  <c r="E1729" i="56"/>
  <c r="F1729" i="56" s="1"/>
  <c r="G1729" i="56"/>
  <c r="I1729" i="56" s="1"/>
  <c r="H1729" i="56"/>
  <c r="J1729" i="56"/>
  <c r="L1729" i="56" s="1"/>
  <c r="C1730" i="56"/>
  <c r="D1730" i="56" s="1"/>
  <c r="E1730" i="56"/>
  <c r="F1730" i="56" s="1"/>
  <c r="G1730" i="56"/>
  <c r="I1730" i="56" s="1"/>
  <c r="H1730" i="56"/>
  <c r="J1730" i="56"/>
  <c r="C1731" i="56"/>
  <c r="D1731" i="56" s="1"/>
  <c r="E1731" i="56"/>
  <c r="F1731" i="56" s="1"/>
  <c r="G1731" i="56"/>
  <c r="I1731" i="56" s="1"/>
  <c r="H1731" i="56"/>
  <c r="J1731" i="56"/>
  <c r="C1732" i="56"/>
  <c r="D1732" i="56" s="1"/>
  <c r="E1732" i="56"/>
  <c r="F1732" i="56" s="1"/>
  <c r="G1732" i="56"/>
  <c r="I1732" i="56" s="1"/>
  <c r="H1732" i="56"/>
  <c r="J1732" i="56"/>
  <c r="L1732" i="56" s="1"/>
  <c r="C1733" i="56"/>
  <c r="D1733" i="56" s="1"/>
  <c r="E1733" i="56"/>
  <c r="F1733" i="56" s="1"/>
  <c r="G1733" i="56"/>
  <c r="I1733" i="56" s="1"/>
  <c r="H1733" i="56"/>
  <c r="J1733" i="56"/>
  <c r="C1734" i="56"/>
  <c r="D1734" i="56" s="1"/>
  <c r="E1734" i="56"/>
  <c r="F1734" i="56" s="1"/>
  <c r="G1734" i="56"/>
  <c r="I1734" i="56" s="1"/>
  <c r="H1734" i="56"/>
  <c r="J1734" i="56"/>
  <c r="L1734" i="56" s="1"/>
  <c r="C1735" i="56"/>
  <c r="D1735" i="56" s="1"/>
  <c r="E1735" i="56"/>
  <c r="F1735" i="56" s="1"/>
  <c r="G1735" i="56"/>
  <c r="I1735" i="56" s="1"/>
  <c r="H1735" i="56"/>
  <c r="J1735" i="56"/>
  <c r="L1735" i="56" s="1"/>
  <c r="C1736" i="56"/>
  <c r="D1736" i="56" s="1"/>
  <c r="E1736" i="56"/>
  <c r="F1736" i="56" s="1"/>
  <c r="G1736" i="56"/>
  <c r="I1736" i="56" s="1"/>
  <c r="H1736" i="56"/>
  <c r="J1736" i="56"/>
  <c r="L1736" i="56" s="1"/>
  <c r="C1737" i="56"/>
  <c r="D1737" i="56" s="1"/>
  <c r="E1737" i="56"/>
  <c r="F1737" i="56" s="1"/>
  <c r="G1737" i="56"/>
  <c r="I1737" i="56" s="1"/>
  <c r="H1737" i="56"/>
  <c r="J1737" i="56"/>
  <c r="L1737" i="56" s="1"/>
  <c r="C1738" i="56"/>
  <c r="D1738" i="56" s="1"/>
  <c r="E1738" i="56"/>
  <c r="F1738" i="56" s="1"/>
  <c r="G1738" i="56"/>
  <c r="I1738" i="56" s="1"/>
  <c r="H1738" i="56"/>
  <c r="J1738" i="56"/>
  <c r="L1738" i="56" s="1"/>
  <c r="C1739" i="56"/>
  <c r="D1739" i="56" s="1"/>
  <c r="E1739" i="56"/>
  <c r="F1739" i="56" s="1"/>
  <c r="G1739" i="56"/>
  <c r="I1739" i="56" s="1"/>
  <c r="H1739" i="56"/>
  <c r="J1739" i="56"/>
  <c r="L1739" i="56" s="1"/>
  <c r="C1740" i="56"/>
  <c r="D1740" i="56" s="1"/>
  <c r="E1740" i="56"/>
  <c r="F1740" i="56" s="1"/>
  <c r="G1740" i="56"/>
  <c r="I1740" i="56" s="1"/>
  <c r="H1740" i="56"/>
  <c r="J1740" i="56"/>
  <c r="L1740" i="56" s="1"/>
  <c r="C1741" i="56"/>
  <c r="D1741" i="56" s="1"/>
  <c r="E1741" i="56"/>
  <c r="F1741" i="56" s="1"/>
  <c r="G1741" i="56"/>
  <c r="I1741" i="56" s="1"/>
  <c r="H1741" i="56"/>
  <c r="J1741" i="56"/>
  <c r="C1742" i="56"/>
  <c r="D1742" i="56" s="1"/>
  <c r="E1742" i="56"/>
  <c r="F1742" i="56" s="1"/>
  <c r="G1742" i="56"/>
  <c r="I1742" i="56" s="1"/>
  <c r="H1742" i="56"/>
  <c r="J1742" i="56"/>
  <c r="C1743" i="56"/>
  <c r="D1743" i="56" s="1"/>
  <c r="E1743" i="56"/>
  <c r="F1743" i="56" s="1"/>
  <c r="G1743" i="56"/>
  <c r="I1743" i="56" s="1"/>
  <c r="H1743" i="56"/>
  <c r="J1743" i="56"/>
  <c r="C1744" i="56"/>
  <c r="D1744" i="56" s="1"/>
  <c r="E1744" i="56"/>
  <c r="F1744" i="56" s="1"/>
  <c r="G1744" i="56"/>
  <c r="I1744" i="56" s="1"/>
  <c r="H1744" i="56"/>
  <c r="J1744" i="56"/>
  <c r="C1745" i="56"/>
  <c r="D1745" i="56" s="1"/>
  <c r="E1745" i="56"/>
  <c r="F1745" i="56" s="1"/>
  <c r="G1745" i="56"/>
  <c r="I1745" i="56" s="1"/>
  <c r="H1745" i="56"/>
  <c r="J1745" i="56"/>
  <c r="C1746" i="56"/>
  <c r="D1746" i="56" s="1"/>
  <c r="E1746" i="56"/>
  <c r="F1746" i="56" s="1"/>
  <c r="G1746" i="56"/>
  <c r="I1746" i="56" s="1"/>
  <c r="H1746" i="56"/>
  <c r="J1746" i="56"/>
  <c r="L1746" i="56" s="1"/>
  <c r="C1747" i="56"/>
  <c r="D1747" i="56" s="1"/>
  <c r="E1747" i="56"/>
  <c r="F1747" i="56" s="1"/>
  <c r="G1747" i="56"/>
  <c r="I1747" i="56" s="1"/>
  <c r="H1747" i="56"/>
  <c r="J1747" i="56"/>
  <c r="L1747" i="56" s="1"/>
  <c r="C1748" i="56"/>
  <c r="D1748" i="56" s="1"/>
  <c r="E1748" i="56"/>
  <c r="F1748" i="56" s="1"/>
  <c r="G1748" i="56"/>
  <c r="I1748" i="56" s="1"/>
  <c r="H1748" i="56"/>
  <c r="J1748" i="56"/>
  <c r="L1748" i="56" s="1"/>
  <c r="C1749" i="56"/>
  <c r="D1749" i="56" s="1"/>
  <c r="E1749" i="56"/>
  <c r="F1749" i="56" s="1"/>
  <c r="G1749" i="56"/>
  <c r="I1749" i="56" s="1"/>
  <c r="H1749" i="56"/>
  <c r="J1749" i="56"/>
  <c r="L1749" i="56" s="1"/>
  <c r="C1750" i="56"/>
  <c r="D1750" i="56" s="1"/>
  <c r="E1750" i="56"/>
  <c r="F1750" i="56" s="1"/>
  <c r="G1750" i="56"/>
  <c r="I1750" i="56" s="1"/>
  <c r="H1750" i="56"/>
  <c r="J1750" i="56"/>
  <c r="L1750" i="56" s="1"/>
  <c r="C1751" i="56"/>
  <c r="D1751" i="56" s="1"/>
  <c r="E1751" i="56"/>
  <c r="F1751" i="56" s="1"/>
  <c r="G1751" i="56"/>
  <c r="I1751" i="56" s="1"/>
  <c r="H1751" i="56"/>
  <c r="J1751" i="56"/>
  <c r="L1751" i="56" s="1"/>
  <c r="C1752" i="56"/>
  <c r="D1752" i="56" s="1"/>
  <c r="E1752" i="56"/>
  <c r="F1752" i="56" s="1"/>
  <c r="G1752" i="56"/>
  <c r="I1752" i="56" s="1"/>
  <c r="H1752" i="56"/>
  <c r="J1752" i="56"/>
  <c r="L1752" i="56" s="1"/>
  <c r="C1753" i="56"/>
  <c r="D1753" i="56" s="1"/>
  <c r="E1753" i="56"/>
  <c r="F1753" i="56" s="1"/>
  <c r="G1753" i="56"/>
  <c r="I1753" i="56" s="1"/>
  <c r="H1753" i="56"/>
  <c r="J1753" i="56"/>
  <c r="C1754" i="56"/>
  <c r="D1754" i="56" s="1"/>
  <c r="E1754" i="56"/>
  <c r="F1754" i="56" s="1"/>
  <c r="G1754" i="56"/>
  <c r="I1754" i="56" s="1"/>
  <c r="H1754" i="56"/>
  <c r="J1754" i="56"/>
  <c r="C1755" i="56"/>
  <c r="D1755" i="56" s="1"/>
  <c r="E1755" i="56"/>
  <c r="F1755" i="56" s="1"/>
  <c r="G1755" i="56"/>
  <c r="I1755" i="56" s="1"/>
  <c r="H1755" i="56"/>
  <c r="J1755" i="56"/>
  <c r="C1756" i="56"/>
  <c r="D1756" i="56" s="1"/>
  <c r="E1756" i="56"/>
  <c r="F1756" i="56" s="1"/>
  <c r="G1756" i="56"/>
  <c r="I1756" i="56" s="1"/>
  <c r="H1756" i="56"/>
  <c r="J1756" i="56"/>
  <c r="L1756" i="56" s="1"/>
  <c r="C1757" i="56"/>
  <c r="D1757" i="56" s="1"/>
  <c r="E1757" i="56"/>
  <c r="F1757" i="56" s="1"/>
  <c r="G1757" i="56"/>
  <c r="I1757" i="56" s="1"/>
  <c r="H1757" i="56"/>
  <c r="J1757" i="56"/>
  <c r="C1758" i="56"/>
  <c r="D1758" i="56" s="1"/>
  <c r="E1758" i="56"/>
  <c r="F1758" i="56" s="1"/>
  <c r="G1758" i="56"/>
  <c r="I1758" i="56" s="1"/>
  <c r="H1758" i="56"/>
  <c r="J1758" i="56"/>
  <c r="L1758" i="56" s="1"/>
  <c r="C1759" i="56"/>
  <c r="D1759" i="56" s="1"/>
  <c r="E1759" i="56"/>
  <c r="F1759" i="56" s="1"/>
  <c r="G1759" i="56"/>
  <c r="I1759" i="56" s="1"/>
  <c r="H1759" i="56"/>
  <c r="J1759" i="56"/>
  <c r="C1760" i="56"/>
  <c r="D1760" i="56" s="1"/>
  <c r="E1760" i="56"/>
  <c r="F1760" i="56" s="1"/>
  <c r="G1760" i="56"/>
  <c r="I1760" i="56" s="1"/>
  <c r="H1760" i="56"/>
  <c r="J1760" i="56"/>
  <c r="C1761" i="56"/>
  <c r="D1761" i="56" s="1"/>
  <c r="E1761" i="56"/>
  <c r="F1761" i="56" s="1"/>
  <c r="G1761" i="56"/>
  <c r="I1761" i="56" s="1"/>
  <c r="H1761" i="56"/>
  <c r="J1761" i="56"/>
  <c r="L1761" i="56" s="1"/>
  <c r="C1762" i="56"/>
  <c r="D1762" i="56" s="1"/>
  <c r="E1762" i="56"/>
  <c r="F1762" i="56" s="1"/>
  <c r="G1762" i="56"/>
  <c r="I1762" i="56" s="1"/>
  <c r="H1762" i="56"/>
  <c r="J1762" i="56"/>
  <c r="L1762" i="56" s="1"/>
  <c r="C1763" i="56"/>
  <c r="D1763" i="56" s="1"/>
  <c r="E1763" i="56"/>
  <c r="F1763" i="56" s="1"/>
  <c r="G1763" i="56"/>
  <c r="I1763" i="56" s="1"/>
  <c r="H1763" i="56"/>
  <c r="J1763" i="56"/>
  <c r="C1764" i="56"/>
  <c r="D1764" i="56" s="1"/>
  <c r="E1764" i="56"/>
  <c r="F1764" i="56" s="1"/>
  <c r="G1764" i="56"/>
  <c r="I1764" i="56" s="1"/>
  <c r="H1764" i="56"/>
  <c r="J1764" i="56"/>
  <c r="L1764" i="56" s="1"/>
  <c r="C1765" i="56"/>
  <c r="D1765" i="56" s="1"/>
  <c r="E1765" i="56"/>
  <c r="F1765" i="56" s="1"/>
  <c r="G1765" i="56"/>
  <c r="I1765" i="56" s="1"/>
  <c r="H1765" i="56"/>
  <c r="J1765" i="56"/>
  <c r="C1766" i="56"/>
  <c r="D1766" i="56" s="1"/>
  <c r="E1766" i="56"/>
  <c r="F1766" i="56" s="1"/>
  <c r="G1766" i="56"/>
  <c r="I1766" i="56" s="1"/>
  <c r="H1766" i="56"/>
  <c r="J1766" i="56"/>
  <c r="C1767" i="56"/>
  <c r="D1767" i="56" s="1"/>
  <c r="E1767" i="56"/>
  <c r="F1767" i="56" s="1"/>
  <c r="G1767" i="56"/>
  <c r="I1767" i="56" s="1"/>
  <c r="H1767" i="56"/>
  <c r="J1767" i="56"/>
  <c r="L1767" i="56" s="1"/>
  <c r="C1768" i="56"/>
  <c r="D1768" i="56" s="1"/>
  <c r="E1768" i="56"/>
  <c r="F1768" i="56" s="1"/>
  <c r="G1768" i="56"/>
  <c r="I1768" i="56" s="1"/>
  <c r="H1768" i="56"/>
  <c r="J1768" i="56"/>
  <c r="C1769" i="56"/>
  <c r="D1769" i="56" s="1"/>
  <c r="E1769" i="56"/>
  <c r="F1769" i="56" s="1"/>
  <c r="G1769" i="56"/>
  <c r="I1769" i="56" s="1"/>
  <c r="H1769" i="56"/>
  <c r="J1769" i="56"/>
  <c r="C1770" i="56"/>
  <c r="D1770" i="56" s="1"/>
  <c r="E1770" i="56"/>
  <c r="F1770" i="56" s="1"/>
  <c r="G1770" i="56"/>
  <c r="I1770" i="56" s="1"/>
  <c r="H1770" i="56"/>
  <c r="J1770" i="56"/>
  <c r="L1770" i="56" s="1"/>
  <c r="C1771" i="56"/>
  <c r="D1771" i="56" s="1"/>
  <c r="E1771" i="56"/>
  <c r="F1771" i="56" s="1"/>
  <c r="G1771" i="56"/>
  <c r="I1771" i="56" s="1"/>
  <c r="H1771" i="56"/>
  <c r="J1771" i="56"/>
  <c r="C1772" i="56"/>
  <c r="D1772" i="56" s="1"/>
  <c r="E1772" i="56"/>
  <c r="F1772" i="56" s="1"/>
  <c r="G1772" i="56"/>
  <c r="I1772" i="56" s="1"/>
  <c r="H1772" i="56"/>
  <c r="J1772" i="56"/>
  <c r="C1773" i="56"/>
  <c r="D1773" i="56" s="1"/>
  <c r="E1773" i="56"/>
  <c r="F1773" i="56" s="1"/>
  <c r="H1773" i="56"/>
  <c r="I1773" i="56"/>
  <c r="J1773" i="56"/>
  <c r="L1773" i="56" s="1"/>
  <c r="C1774" i="56"/>
  <c r="D1774" i="56" s="1"/>
  <c r="E1774" i="56"/>
  <c r="F1774" i="56" s="1"/>
  <c r="I1774" i="56"/>
  <c r="H1774" i="56"/>
  <c r="J1774" i="56"/>
  <c r="L1774" i="56" s="1"/>
  <c r="C1775" i="56"/>
  <c r="D1775" i="56" s="1"/>
  <c r="E1775" i="56"/>
  <c r="F1775" i="56" s="1"/>
  <c r="H1775" i="56"/>
  <c r="I1775" i="56"/>
  <c r="J1775" i="56"/>
  <c r="L1775" i="56" s="1"/>
  <c r="C1776" i="56"/>
  <c r="D1776" i="56" s="1"/>
  <c r="E1776" i="56"/>
  <c r="F1776" i="56" s="1"/>
  <c r="H1776" i="56"/>
  <c r="I1776" i="56"/>
  <c r="J1776" i="56"/>
  <c r="L1776" i="56" s="1"/>
  <c r="C1777" i="56"/>
  <c r="D1777" i="56" s="1"/>
  <c r="E1777" i="56"/>
  <c r="F1777" i="56" s="1"/>
  <c r="H1777" i="56"/>
  <c r="J1777" i="56"/>
  <c r="L1777" i="56" s="1"/>
  <c r="C1778" i="56"/>
  <c r="D1778" i="56" s="1"/>
  <c r="E1778" i="56"/>
  <c r="F1778" i="56" s="1"/>
  <c r="H1778" i="56"/>
  <c r="J1778" i="56"/>
  <c r="C1779" i="56"/>
  <c r="D1779" i="56" s="1"/>
  <c r="E1779" i="56"/>
  <c r="F1779" i="56" s="1"/>
  <c r="H1779" i="56"/>
  <c r="I1779" i="56"/>
  <c r="J1779" i="56"/>
  <c r="L1779" i="56" s="1"/>
  <c r="C1780" i="56"/>
  <c r="D1780" i="56" s="1"/>
  <c r="E1780" i="56"/>
  <c r="F1780" i="56" s="1"/>
  <c r="I1780" i="56"/>
  <c r="H1780" i="56"/>
  <c r="J1780" i="56"/>
  <c r="C1781" i="56"/>
  <c r="D1781" i="56" s="1"/>
  <c r="E1781" i="56"/>
  <c r="F1781" i="56" s="1"/>
  <c r="H1781" i="56"/>
  <c r="J1781" i="56"/>
  <c r="L1781" i="56" s="1"/>
  <c r="C1782" i="56"/>
  <c r="D1782" i="56" s="1"/>
  <c r="E1782" i="56"/>
  <c r="F1782" i="56" s="1"/>
  <c r="H1782" i="56"/>
  <c r="I1782" i="56"/>
  <c r="J1782" i="56"/>
  <c r="L1782" i="56" s="1"/>
  <c r="C1783" i="56"/>
  <c r="D1783" i="56" s="1"/>
  <c r="E1783" i="56"/>
  <c r="F1783" i="56" s="1"/>
  <c r="H1783" i="56"/>
  <c r="J1783" i="56"/>
  <c r="C1784" i="56"/>
  <c r="D1784" i="56" s="1"/>
  <c r="E1784" i="56"/>
  <c r="F1784" i="56" s="1"/>
  <c r="H1784" i="56"/>
  <c r="I1784" i="56"/>
  <c r="J1784" i="56"/>
  <c r="C1785" i="56"/>
  <c r="D1785" i="56" s="1"/>
  <c r="E1785" i="56"/>
  <c r="F1785" i="56" s="1"/>
  <c r="I1785" i="56"/>
  <c r="H1785" i="56"/>
  <c r="J1785" i="56"/>
  <c r="L1785" i="56" s="1"/>
  <c r="C1786" i="56"/>
  <c r="D1786" i="56" s="1"/>
  <c r="E1786" i="56"/>
  <c r="F1786" i="56" s="1"/>
  <c r="I1786" i="56"/>
  <c r="H1786" i="56"/>
  <c r="J1786" i="56"/>
  <c r="L1786" i="56" s="1"/>
  <c r="C1787" i="56"/>
  <c r="D1787" i="56" s="1"/>
  <c r="E1787" i="56"/>
  <c r="F1787" i="56" s="1"/>
  <c r="H1787" i="56"/>
  <c r="I1787" i="56"/>
  <c r="J1787" i="56"/>
  <c r="L1787" i="56" s="1"/>
  <c r="C1788" i="56"/>
  <c r="D1788" i="56" s="1"/>
  <c r="E1788" i="56"/>
  <c r="F1788" i="56" s="1"/>
  <c r="H1788" i="56"/>
  <c r="I1788" i="56"/>
  <c r="J1788" i="56"/>
  <c r="L1788" i="56" s="1"/>
  <c r="C1789" i="56"/>
  <c r="D1789" i="56" s="1"/>
  <c r="E1789" i="56"/>
  <c r="F1789" i="56" s="1"/>
  <c r="H1789" i="56"/>
  <c r="J1789" i="56"/>
  <c r="C1790" i="56"/>
  <c r="D1790" i="56" s="1"/>
  <c r="E1790" i="56"/>
  <c r="F1790" i="56" s="1"/>
  <c r="H1790" i="56"/>
  <c r="C1791" i="56"/>
  <c r="D1791" i="56" s="1"/>
  <c r="E1791" i="56"/>
  <c r="F1791" i="56" s="1"/>
  <c r="H1791" i="56"/>
  <c r="I1791" i="56"/>
  <c r="C1792" i="56"/>
  <c r="D1792" i="56" s="1"/>
  <c r="E1792" i="56"/>
  <c r="F1792" i="56" s="1"/>
  <c r="H1792" i="56"/>
  <c r="I1792" i="56"/>
  <c r="C1793" i="56"/>
  <c r="D1793" i="56" s="1"/>
  <c r="E1793" i="56"/>
  <c r="F1793" i="56" s="1"/>
  <c r="H1793" i="56"/>
  <c r="L1793" i="56"/>
  <c r="C1794" i="56"/>
  <c r="D1794" i="56" s="1"/>
  <c r="E1794" i="56"/>
  <c r="F1794" i="56" s="1"/>
  <c r="H1794" i="56"/>
  <c r="L1794" i="56"/>
  <c r="C1795" i="56"/>
  <c r="D1795" i="56" s="1"/>
  <c r="E1795" i="56"/>
  <c r="F1795" i="56" s="1"/>
  <c r="H1795" i="56"/>
  <c r="I1795" i="56"/>
  <c r="C1796" i="56"/>
  <c r="D1796" i="56" s="1"/>
  <c r="E1796" i="56"/>
  <c r="F1796" i="56" s="1"/>
  <c r="H1796" i="56"/>
  <c r="C1797" i="56"/>
  <c r="D1797" i="56" s="1"/>
  <c r="E1797" i="56"/>
  <c r="F1797" i="56" s="1"/>
  <c r="I1797" i="56"/>
  <c r="H1797" i="56"/>
  <c r="L1797" i="56"/>
  <c r="C1798" i="56"/>
  <c r="D1798" i="56" s="1"/>
  <c r="E1798" i="56"/>
  <c r="F1798" i="56" s="1"/>
  <c r="I1798" i="56"/>
  <c r="H1798" i="56"/>
  <c r="L1798" i="56"/>
  <c r="C1799" i="56"/>
  <c r="D1799" i="56" s="1"/>
  <c r="E1799" i="56"/>
  <c r="F1799" i="56" s="1"/>
  <c r="H1799" i="56"/>
  <c r="I1799" i="56"/>
  <c r="L1799" i="56"/>
  <c r="C1800" i="56"/>
  <c r="D1800" i="56" s="1"/>
  <c r="E1800" i="56"/>
  <c r="F1800" i="56" s="1"/>
  <c r="I1800" i="56"/>
  <c r="H1800" i="56"/>
  <c r="L1800" i="56"/>
  <c r="C1801" i="56"/>
  <c r="D1801" i="56" s="1"/>
  <c r="E1801" i="56"/>
  <c r="F1801" i="56" s="1"/>
  <c r="H1801" i="56"/>
  <c r="I1801" i="56"/>
  <c r="C1802" i="56"/>
  <c r="D1802" i="56" s="1"/>
  <c r="E1802" i="56"/>
  <c r="F1802" i="56" s="1"/>
  <c r="I1802" i="56"/>
  <c r="H1802" i="56"/>
  <c r="C1803" i="56"/>
  <c r="D1803" i="56" s="1"/>
  <c r="E1803" i="56"/>
  <c r="F1803" i="56" s="1"/>
  <c r="H1803" i="56"/>
  <c r="I1803" i="56"/>
  <c r="C1804" i="56"/>
  <c r="D1804" i="56" s="1"/>
  <c r="E1804" i="56"/>
  <c r="F1804" i="56" s="1"/>
  <c r="H1804" i="56"/>
  <c r="I1804" i="56"/>
  <c r="C1805" i="56"/>
  <c r="D1805" i="56" s="1"/>
  <c r="E1805" i="56"/>
  <c r="F1805" i="56" s="1"/>
  <c r="H1805" i="56"/>
  <c r="L1805" i="56"/>
  <c r="C1806" i="56"/>
  <c r="D1806" i="56" s="1"/>
  <c r="E1806" i="56"/>
  <c r="F1806" i="56" s="1"/>
  <c r="I1806" i="56"/>
  <c r="H1806" i="56"/>
  <c r="L1806" i="56"/>
  <c r="C1807" i="56"/>
  <c r="D1807" i="56" s="1"/>
  <c r="E1807" i="56"/>
  <c r="F1807" i="56" s="1"/>
  <c r="C1808" i="56"/>
  <c r="D1808" i="56" s="1"/>
  <c r="E1808" i="56"/>
  <c r="F1808" i="56" s="1"/>
  <c r="C1809" i="56"/>
  <c r="D1809" i="56" s="1"/>
  <c r="E1809" i="56"/>
  <c r="F1809" i="56" s="1"/>
  <c r="I1809" i="56"/>
  <c r="L1809" i="56"/>
  <c r="C1810" i="56"/>
  <c r="D1810" i="56" s="1"/>
  <c r="E1810" i="56"/>
  <c r="F1810" i="56" s="1"/>
  <c r="I1810" i="56"/>
  <c r="L1810" i="56"/>
  <c r="C1811" i="56"/>
  <c r="D1811" i="56" s="1"/>
  <c r="E1811" i="56"/>
  <c r="F1811" i="56" s="1"/>
  <c r="I1811" i="56"/>
  <c r="L1811" i="56"/>
  <c r="C1812" i="56"/>
  <c r="D1812" i="56" s="1"/>
  <c r="E1812" i="56"/>
  <c r="F1812" i="56" s="1"/>
  <c r="I1812" i="56"/>
  <c r="L1812" i="56"/>
  <c r="C1813" i="56"/>
  <c r="D1813" i="56" s="1"/>
  <c r="E1813" i="56"/>
  <c r="F1813" i="56" s="1"/>
  <c r="I1813" i="56"/>
  <c r="C1814" i="56"/>
  <c r="D1814" i="56" s="1"/>
  <c r="E1814" i="56"/>
  <c r="F1814" i="56" s="1"/>
  <c r="I1814" i="56"/>
  <c r="C1815" i="56"/>
  <c r="D1815" i="56" s="1"/>
  <c r="E1815" i="56"/>
  <c r="F1815" i="56" s="1"/>
  <c r="I1815" i="56"/>
  <c r="C1816" i="56"/>
  <c r="D1816" i="56" s="1"/>
  <c r="E1816" i="56"/>
  <c r="F1816" i="56" s="1"/>
  <c r="I1816" i="56"/>
  <c r="C1817" i="56"/>
  <c r="D1817" i="56" s="1"/>
  <c r="E1817" i="56"/>
  <c r="F1817" i="56" s="1"/>
  <c r="L1817" i="56"/>
  <c r="C1818" i="56"/>
  <c r="D1818" i="56" s="1"/>
  <c r="E1818" i="56"/>
  <c r="F1818" i="56" s="1"/>
  <c r="L1818" i="56"/>
  <c r="C1819" i="56"/>
  <c r="D1819" i="56" s="1"/>
  <c r="E1819" i="56"/>
  <c r="F1819" i="56" s="1"/>
  <c r="I1819" i="56"/>
  <c r="C1820" i="56"/>
  <c r="D1820" i="56" s="1"/>
  <c r="E1820" i="56"/>
  <c r="F1820" i="56" s="1"/>
  <c r="C1821" i="56"/>
  <c r="D1821" i="56" s="1"/>
  <c r="E1821" i="56"/>
  <c r="F1821" i="56" s="1"/>
  <c r="I1821" i="56"/>
  <c r="L1821" i="56"/>
  <c r="C1822" i="56"/>
  <c r="D1822" i="56" s="1"/>
  <c r="E1822" i="56"/>
  <c r="F1822" i="56" s="1"/>
  <c r="I1822" i="56"/>
  <c r="L1822" i="56"/>
  <c r="C1823" i="56"/>
  <c r="D1823" i="56" s="1"/>
  <c r="E1823" i="56"/>
  <c r="F1823" i="56" s="1"/>
  <c r="I1823" i="56"/>
  <c r="L1823" i="56"/>
  <c r="C1824" i="56"/>
  <c r="D1824" i="56" s="1"/>
  <c r="E1824" i="56"/>
  <c r="F1824" i="56" s="1"/>
  <c r="I1824" i="56"/>
  <c r="L1824" i="56"/>
  <c r="C1825" i="56"/>
  <c r="D1825" i="56" s="1"/>
  <c r="E1825" i="56"/>
  <c r="F1825" i="56" s="1"/>
  <c r="I1825" i="56"/>
  <c r="C1826" i="56"/>
  <c r="D1826" i="56" s="1"/>
  <c r="E1826" i="56"/>
  <c r="F1826" i="56" s="1"/>
  <c r="I1826" i="56"/>
  <c r="C1827" i="56"/>
  <c r="D1827" i="56" s="1"/>
  <c r="E1827" i="56"/>
  <c r="F1827" i="56" s="1"/>
  <c r="I1827" i="56"/>
  <c r="C1828" i="56"/>
  <c r="D1828" i="56" s="1"/>
  <c r="E1828" i="56"/>
  <c r="F1828" i="56" s="1"/>
  <c r="I1828" i="56"/>
  <c r="C1829" i="56"/>
  <c r="D1829" i="56" s="1"/>
  <c r="E1829" i="56"/>
  <c r="F1829" i="56" s="1"/>
  <c r="L1829" i="56"/>
  <c r="C1830" i="56"/>
  <c r="D1830" i="56" s="1"/>
  <c r="E1830" i="56"/>
  <c r="F1830" i="56" s="1"/>
  <c r="I1830" i="56"/>
  <c r="L1830" i="56"/>
  <c r="C1831" i="56"/>
  <c r="D1831" i="56" s="1"/>
  <c r="E1831" i="56"/>
  <c r="F1831" i="56" s="1"/>
  <c r="C1832" i="56"/>
  <c r="D1832" i="56" s="1"/>
  <c r="E1832" i="56"/>
  <c r="F1832" i="56" s="1"/>
  <c r="C1833" i="56"/>
  <c r="D1833" i="56" s="1"/>
  <c r="E1833" i="56"/>
  <c r="F1833" i="56" s="1"/>
  <c r="I1833" i="56"/>
  <c r="L1833" i="56"/>
  <c r="C1834" i="56"/>
  <c r="D1834" i="56" s="1"/>
  <c r="E1834" i="56"/>
  <c r="F1834" i="56" s="1"/>
  <c r="I1834" i="56"/>
  <c r="L1834" i="56"/>
  <c r="C1835" i="56"/>
  <c r="D1835" i="56" s="1"/>
  <c r="E1835" i="56"/>
  <c r="F1835" i="56" s="1"/>
  <c r="I1835" i="56"/>
  <c r="L1835" i="56"/>
  <c r="C1836" i="56"/>
  <c r="D1836" i="56" s="1"/>
  <c r="E1836" i="56"/>
  <c r="F1836" i="56" s="1"/>
  <c r="I1836" i="56"/>
  <c r="L1836" i="56"/>
  <c r="C1837" i="56"/>
  <c r="D1837" i="56" s="1"/>
  <c r="E1837" i="56"/>
  <c r="F1837" i="56" s="1"/>
  <c r="I1837" i="56"/>
  <c r="C1838" i="56"/>
  <c r="D1838" i="56" s="1"/>
  <c r="E1838" i="56"/>
  <c r="F1838" i="56" s="1"/>
  <c r="I1838" i="56"/>
  <c r="C1839" i="56"/>
  <c r="D1839" i="56" s="1"/>
  <c r="E1839" i="56"/>
  <c r="F1839" i="56" s="1"/>
  <c r="I1839" i="56"/>
  <c r="C1840" i="56"/>
  <c r="D1840" i="56" s="1"/>
  <c r="E1840" i="56"/>
  <c r="F1840" i="56" s="1"/>
  <c r="I1840" i="56"/>
  <c r="C1841" i="56"/>
  <c r="D1841" i="56" s="1"/>
  <c r="E1841" i="56"/>
  <c r="F1841" i="56" s="1"/>
  <c r="L1841" i="56"/>
  <c r="C1842" i="56"/>
  <c r="D1842" i="56" s="1"/>
  <c r="E1842" i="56"/>
  <c r="F1842" i="56" s="1"/>
  <c r="L1842" i="56"/>
  <c r="C1843" i="56"/>
  <c r="D1843" i="56" s="1"/>
  <c r="E1843" i="56"/>
  <c r="F1843" i="56" s="1"/>
  <c r="I1843" i="56"/>
  <c r="C1844" i="56"/>
  <c r="D1844" i="56" s="1"/>
  <c r="E1844" i="56"/>
  <c r="F1844" i="56" s="1"/>
  <c r="C1845" i="56"/>
  <c r="D1845" i="56" s="1"/>
  <c r="E1845" i="56"/>
  <c r="F1845" i="56" s="1"/>
  <c r="I1845" i="56"/>
  <c r="L1845" i="56"/>
  <c r="C1846" i="56"/>
  <c r="D1846" i="56" s="1"/>
  <c r="E1846" i="56"/>
  <c r="F1846" i="56" s="1"/>
  <c r="I1846" i="56"/>
  <c r="L1846" i="56"/>
  <c r="C1847" i="56"/>
  <c r="D1847" i="56" s="1"/>
  <c r="E1847" i="56"/>
  <c r="F1847" i="56" s="1"/>
  <c r="I1847" i="56"/>
  <c r="L1847" i="56"/>
  <c r="C1848" i="56"/>
  <c r="D1848" i="56" s="1"/>
  <c r="E1848" i="56"/>
  <c r="F1848" i="56" s="1"/>
  <c r="I1848" i="56"/>
  <c r="L1848" i="56"/>
  <c r="C1849" i="56"/>
  <c r="D1849" i="56" s="1"/>
  <c r="E1849" i="56"/>
  <c r="F1849" i="56" s="1"/>
  <c r="I1849" i="56"/>
  <c r="C1850" i="56"/>
  <c r="D1850" i="56" s="1"/>
  <c r="E1850" i="56"/>
  <c r="F1850" i="56" s="1"/>
  <c r="I1850" i="56"/>
  <c r="C1851" i="56"/>
  <c r="D1851" i="56" s="1"/>
  <c r="E1851" i="56"/>
  <c r="F1851" i="56" s="1"/>
  <c r="I1851" i="56"/>
  <c r="C1852" i="56"/>
  <c r="D1852" i="56" s="1"/>
  <c r="E1852" i="56"/>
  <c r="F1852" i="56" s="1"/>
  <c r="I1852" i="56"/>
  <c r="C1853" i="56"/>
  <c r="D1853" i="56" s="1"/>
  <c r="E1853" i="56"/>
  <c r="F1853" i="56" s="1"/>
  <c r="L1853" i="56"/>
  <c r="C1854" i="56"/>
  <c r="D1854" i="56" s="1"/>
  <c r="E1854" i="56"/>
  <c r="F1854" i="56" s="1"/>
  <c r="L1854" i="56"/>
  <c r="C1855" i="56"/>
  <c r="D1855" i="56" s="1"/>
  <c r="E1855" i="56"/>
  <c r="F1855" i="56" s="1"/>
  <c r="C1856" i="56"/>
  <c r="D1856" i="56" s="1"/>
  <c r="E1856" i="56"/>
  <c r="F1856" i="56" s="1"/>
  <c r="C1857" i="56"/>
  <c r="D1857" i="56" s="1"/>
  <c r="E1857" i="56"/>
  <c r="F1857" i="56" s="1"/>
  <c r="I1857" i="56"/>
  <c r="L1857" i="56"/>
  <c r="C1858" i="56"/>
  <c r="D1858" i="56" s="1"/>
  <c r="E1858" i="56"/>
  <c r="F1858" i="56" s="1"/>
  <c r="I1858" i="56"/>
  <c r="L1858" i="56"/>
  <c r="C1859" i="56"/>
  <c r="D1859" i="56" s="1"/>
  <c r="E1859" i="56"/>
  <c r="F1859" i="56" s="1"/>
  <c r="I1859" i="56"/>
  <c r="L1859" i="56"/>
  <c r="C1860" i="56"/>
  <c r="D1860" i="56" s="1"/>
  <c r="E1860" i="56"/>
  <c r="F1860" i="56" s="1"/>
  <c r="I1860" i="56"/>
  <c r="L1860" i="56"/>
  <c r="C1861" i="56"/>
  <c r="D1861" i="56" s="1"/>
  <c r="E1861" i="56"/>
  <c r="F1861" i="56" s="1"/>
  <c r="I1861" i="56"/>
  <c r="C1862" i="56"/>
  <c r="D1862" i="56" s="1"/>
  <c r="E1862" i="56"/>
  <c r="F1862" i="56" s="1"/>
  <c r="I1862" i="56"/>
  <c r="C1863" i="56"/>
  <c r="D1863" i="56" s="1"/>
  <c r="E1863" i="56"/>
  <c r="F1863" i="56" s="1"/>
  <c r="I1863" i="56"/>
  <c r="C1864" i="56"/>
  <c r="D1864" i="56" s="1"/>
  <c r="E1864" i="56"/>
  <c r="F1864" i="56" s="1"/>
  <c r="I1864" i="56"/>
  <c r="C1865" i="56"/>
  <c r="D1865" i="56" s="1"/>
  <c r="E1865" i="56"/>
  <c r="F1865" i="56" s="1"/>
  <c r="L1865" i="56"/>
  <c r="C1866" i="56"/>
  <c r="D1866" i="56" s="1"/>
  <c r="E1866" i="56"/>
  <c r="F1866" i="56" s="1"/>
  <c r="L1866" i="56"/>
  <c r="C1867" i="56"/>
  <c r="D1867" i="56" s="1"/>
  <c r="E1867" i="56"/>
  <c r="F1867" i="56" s="1"/>
  <c r="C1868" i="56"/>
  <c r="D1868" i="56" s="1"/>
  <c r="E1868" i="56"/>
  <c r="F1868" i="56" s="1"/>
  <c r="C1869" i="56"/>
  <c r="D1869" i="56" s="1"/>
  <c r="E1869" i="56"/>
  <c r="F1869" i="56" s="1"/>
  <c r="I1869" i="56"/>
  <c r="C1870" i="56"/>
  <c r="D1870" i="56" s="1"/>
  <c r="E1870" i="56"/>
  <c r="F1870" i="56" s="1"/>
  <c r="I1870" i="56"/>
  <c r="L1870" i="56"/>
  <c r="C1871" i="56"/>
  <c r="D1871" i="56" s="1"/>
  <c r="E1871" i="56"/>
  <c r="F1871" i="56" s="1"/>
  <c r="I1871" i="56"/>
  <c r="L1871" i="56"/>
  <c r="C1872" i="56"/>
  <c r="D1872" i="56" s="1"/>
  <c r="E1872" i="56"/>
  <c r="F1872" i="56" s="1"/>
  <c r="I1872" i="56"/>
  <c r="L1872" i="56"/>
  <c r="C1873" i="56"/>
  <c r="D1873" i="56" s="1"/>
  <c r="E1873" i="56"/>
  <c r="F1873" i="56" s="1"/>
  <c r="I1873" i="56"/>
  <c r="C1874" i="56"/>
  <c r="D1874" i="56" s="1"/>
  <c r="E1874" i="56"/>
  <c r="F1874" i="56" s="1"/>
  <c r="I1874" i="56"/>
  <c r="C1875" i="56"/>
  <c r="D1875" i="56" s="1"/>
  <c r="E1875" i="56"/>
  <c r="F1875" i="56" s="1"/>
  <c r="I1875" i="56"/>
  <c r="C1876" i="56"/>
  <c r="D1876" i="56" s="1"/>
  <c r="E1876" i="56"/>
  <c r="F1876" i="56" s="1"/>
  <c r="I1876" i="56"/>
  <c r="C1877" i="56"/>
  <c r="D1877" i="56" s="1"/>
  <c r="E1877" i="56"/>
  <c r="F1877" i="56" s="1"/>
  <c r="L1877" i="56"/>
  <c r="C1878" i="56"/>
  <c r="D1878" i="56" s="1"/>
  <c r="E1878" i="56"/>
  <c r="F1878" i="56" s="1"/>
  <c r="I1878" i="56"/>
  <c r="L1878" i="56"/>
  <c r="C1879" i="56"/>
  <c r="D1879" i="56" s="1"/>
  <c r="E1879" i="56"/>
  <c r="F1879" i="56" s="1"/>
  <c r="C1880" i="56"/>
  <c r="D1880" i="56" s="1"/>
  <c r="E1880" i="56"/>
  <c r="F1880" i="56" s="1"/>
  <c r="C1881" i="56"/>
  <c r="D1881" i="56" s="1"/>
  <c r="E1881" i="56"/>
  <c r="F1881" i="56" s="1"/>
  <c r="I1881" i="56"/>
  <c r="L1881" i="56"/>
  <c r="C1882" i="56"/>
  <c r="D1882" i="56" s="1"/>
  <c r="E1882" i="56"/>
  <c r="F1882" i="56" s="1"/>
  <c r="I1882" i="56"/>
  <c r="L1882" i="56"/>
  <c r="C1883" i="56"/>
  <c r="D1883" i="56" s="1"/>
  <c r="E1883" i="56"/>
  <c r="F1883" i="56" s="1"/>
  <c r="I1883" i="56"/>
  <c r="L1883" i="56"/>
  <c r="C1884" i="56"/>
  <c r="D1884" i="56" s="1"/>
  <c r="E1884" i="56"/>
  <c r="F1884" i="56" s="1"/>
  <c r="I1884" i="56"/>
  <c r="L1884" i="56"/>
  <c r="C1885" i="56"/>
  <c r="D1885" i="56" s="1"/>
  <c r="E1885" i="56"/>
  <c r="F1885" i="56" s="1"/>
  <c r="I1885" i="56"/>
  <c r="C1886" i="56"/>
  <c r="D1886" i="56" s="1"/>
  <c r="E1886" i="56"/>
  <c r="F1886" i="56" s="1"/>
  <c r="I1886" i="56"/>
  <c r="C1887" i="56"/>
  <c r="D1887" i="56" s="1"/>
  <c r="E1887" i="56"/>
  <c r="F1887" i="56" s="1"/>
  <c r="I1887" i="56"/>
  <c r="C1888" i="56"/>
  <c r="D1888" i="56" s="1"/>
  <c r="E1888" i="56"/>
  <c r="F1888" i="56" s="1"/>
  <c r="I1888" i="56"/>
  <c r="C1889" i="56"/>
  <c r="D1889" i="56" s="1"/>
  <c r="E1889" i="56"/>
  <c r="F1889" i="56" s="1"/>
  <c r="L1889" i="56"/>
  <c r="C1890" i="56"/>
  <c r="D1890" i="56" s="1"/>
  <c r="E1890" i="56"/>
  <c r="F1890" i="56" s="1"/>
  <c r="L1890" i="56"/>
  <c r="C1891" i="56"/>
  <c r="D1891" i="56" s="1"/>
  <c r="E1891" i="56"/>
  <c r="F1891" i="56" s="1"/>
  <c r="I1891" i="56"/>
  <c r="C1892" i="56"/>
  <c r="D1892" i="56" s="1"/>
  <c r="E1892" i="56"/>
  <c r="F1892" i="56" s="1"/>
  <c r="C1893" i="56"/>
  <c r="D1893" i="56" s="1"/>
  <c r="E1893" i="56"/>
  <c r="F1893" i="56" s="1"/>
  <c r="I1893" i="56"/>
  <c r="C1894" i="56"/>
  <c r="D1894" i="56" s="1"/>
  <c r="E1894" i="56"/>
  <c r="F1894" i="56" s="1"/>
  <c r="I1894" i="56"/>
  <c r="L1894" i="56"/>
  <c r="C1895" i="56"/>
  <c r="D1895" i="56" s="1"/>
  <c r="E1895" i="56"/>
  <c r="F1895" i="56" s="1"/>
  <c r="I1895" i="56"/>
  <c r="L1895" i="56"/>
  <c r="C1896" i="56"/>
  <c r="D1896" i="56" s="1"/>
  <c r="E1896" i="56"/>
  <c r="F1896" i="56" s="1"/>
  <c r="I1896" i="56"/>
  <c r="L1896" i="56"/>
  <c r="C1897" i="56"/>
  <c r="D1897" i="56" s="1"/>
  <c r="E1897" i="56"/>
  <c r="F1897" i="56" s="1"/>
  <c r="I1897" i="56"/>
  <c r="C1898" i="56"/>
  <c r="D1898" i="56" s="1"/>
  <c r="E1898" i="56"/>
  <c r="F1898" i="56" s="1"/>
  <c r="I1898" i="56"/>
  <c r="C1899" i="56"/>
  <c r="D1899" i="56" s="1"/>
  <c r="E1899" i="56"/>
  <c r="F1899" i="56" s="1"/>
  <c r="I1899" i="56"/>
  <c r="C1900" i="56"/>
  <c r="D1900" i="56" s="1"/>
  <c r="E1900" i="56"/>
  <c r="F1900" i="56" s="1"/>
  <c r="I1900" i="56"/>
  <c r="C1901" i="56"/>
  <c r="D1901" i="56" s="1"/>
  <c r="E1901" i="56"/>
  <c r="F1901" i="56" s="1"/>
  <c r="L1901" i="56"/>
  <c r="C1902" i="56"/>
  <c r="D1902" i="56" s="1"/>
  <c r="E1902" i="56"/>
  <c r="F1902" i="56" s="1"/>
  <c r="L1902" i="56"/>
  <c r="C1903" i="56"/>
  <c r="D1903" i="56" s="1"/>
  <c r="E1903" i="56"/>
  <c r="F1903" i="56" s="1"/>
  <c r="C1904" i="56"/>
  <c r="D1904" i="56" s="1"/>
  <c r="E1904" i="56"/>
  <c r="F1904" i="56" s="1"/>
  <c r="C1905" i="56"/>
  <c r="D1905" i="56" s="1"/>
  <c r="E1905" i="56"/>
  <c r="F1905" i="56" s="1"/>
  <c r="I1905" i="56"/>
  <c r="L1905" i="56"/>
  <c r="C1906" i="56"/>
  <c r="D1906" i="56" s="1"/>
  <c r="E1906" i="56"/>
  <c r="F1906" i="56" s="1"/>
  <c r="I1906" i="56"/>
  <c r="L1906" i="56"/>
  <c r="C1907" i="56"/>
  <c r="D1907" i="56" s="1"/>
  <c r="E1907" i="56"/>
  <c r="F1907" i="56" s="1"/>
  <c r="I1907" i="56"/>
  <c r="L1907" i="56"/>
  <c r="C1908" i="56"/>
  <c r="D1908" i="56" s="1"/>
  <c r="E1908" i="56"/>
  <c r="F1908" i="56" s="1"/>
  <c r="I1908" i="56"/>
  <c r="L1908" i="56"/>
  <c r="C1909" i="56"/>
  <c r="D1909" i="56" s="1"/>
  <c r="E1909" i="56"/>
  <c r="F1909" i="56" s="1"/>
  <c r="I1909" i="56"/>
  <c r="C1910" i="56"/>
  <c r="D1910" i="56" s="1"/>
  <c r="E1910" i="56"/>
  <c r="F1910" i="56" s="1"/>
  <c r="I1910" i="56"/>
  <c r="C1911" i="56"/>
  <c r="D1911" i="56" s="1"/>
  <c r="E1911" i="56"/>
  <c r="F1911" i="56" s="1"/>
  <c r="I1911" i="56"/>
  <c r="C1912" i="56"/>
  <c r="D1912" i="56" s="1"/>
  <c r="E1912" i="56"/>
  <c r="F1912" i="56" s="1"/>
  <c r="I1912" i="56"/>
  <c r="C1913" i="56"/>
  <c r="D1913" i="56" s="1"/>
  <c r="E1913" i="56"/>
  <c r="F1913" i="56" s="1"/>
  <c r="L1913" i="56"/>
  <c r="C1914" i="56"/>
  <c r="D1914" i="56" s="1"/>
  <c r="E1914" i="56"/>
  <c r="F1914" i="56" s="1"/>
  <c r="L1914" i="56"/>
  <c r="C1915" i="56"/>
  <c r="D1915" i="56" s="1"/>
  <c r="E1915" i="56"/>
  <c r="F1915" i="56" s="1"/>
  <c r="C1916" i="56"/>
  <c r="D1916" i="56" s="1"/>
  <c r="E1916" i="56"/>
  <c r="F1916" i="56" s="1"/>
  <c r="C1917" i="56"/>
  <c r="D1917" i="56" s="1"/>
  <c r="E1917" i="56"/>
  <c r="F1917" i="56" s="1"/>
  <c r="I1917" i="56"/>
  <c r="L1917" i="56"/>
  <c r="C1918" i="56"/>
  <c r="D1918" i="56" s="1"/>
  <c r="E1918" i="56"/>
  <c r="F1918" i="56" s="1"/>
  <c r="I1918" i="56"/>
  <c r="L1918" i="56"/>
  <c r="C1919" i="56"/>
  <c r="D1919" i="56" s="1"/>
  <c r="E1919" i="56"/>
  <c r="F1919" i="56" s="1"/>
  <c r="I1919" i="56"/>
  <c r="L1919" i="56"/>
  <c r="C1920" i="56"/>
  <c r="D1920" i="56" s="1"/>
  <c r="E1920" i="56"/>
  <c r="F1920" i="56" s="1"/>
  <c r="I1920" i="56"/>
  <c r="L1920" i="56"/>
  <c r="C1921" i="56"/>
  <c r="D1921" i="56" s="1"/>
  <c r="E1921" i="56"/>
  <c r="F1921" i="56" s="1"/>
  <c r="I1921" i="56"/>
  <c r="C1922" i="56"/>
  <c r="D1922" i="56" s="1"/>
  <c r="E1922" i="56"/>
  <c r="F1922" i="56" s="1"/>
  <c r="I1922" i="56"/>
  <c r="C1923" i="56"/>
  <c r="D1923" i="56" s="1"/>
  <c r="E1923" i="56"/>
  <c r="F1923" i="56" s="1"/>
  <c r="I1923" i="56"/>
  <c r="C1924" i="56"/>
  <c r="D1924" i="56" s="1"/>
  <c r="E1924" i="56"/>
  <c r="F1924" i="56" s="1"/>
  <c r="I1924" i="56"/>
  <c r="C1925" i="56"/>
  <c r="D1925" i="56" s="1"/>
  <c r="E1925" i="56"/>
  <c r="F1925" i="56" s="1"/>
  <c r="L1925" i="56"/>
  <c r="C1926" i="56"/>
  <c r="D1926" i="56" s="1"/>
  <c r="E1926" i="56"/>
  <c r="F1926" i="56" s="1"/>
  <c r="I1926" i="56"/>
  <c r="L1926" i="56"/>
  <c r="C1927" i="56"/>
  <c r="D1927" i="56" s="1"/>
  <c r="E1927" i="56"/>
  <c r="F1927" i="56" s="1"/>
  <c r="C1928" i="56"/>
  <c r="D1928" i="56" s="1"/>
  <c r="E1928" i="56"/>
  <c r="F1928" i="56" s="1"/>
  <c r="C1929" i="56"/>
  <c r="D1929" i="56" s="1"/>
  <c r="E1929" i="56"/>
  <c r="F1929" i="56" s="1"/>
  <c r="I1929" i="56"/>
  <c r="L1929" i="56"/>
  <c r="C1930" i="56"/>
  <c r="D1930" i="56" s="1"/>
  <c r="E1930" i="56"/>
  <c r="F1930" i="56" s="1"/>
  <c r="I1930" i="56"/>
  <c r="L1930" i="56"/>
  <c r="C1931" i="56"/>
  <c r="D1931" i="56" s="1"/>
  <c r="E1931" i="56"/>
  <c r="F1931" i="56" s="1"/>
  <c r="I1931" i="56"/>
  <c r="L1931" i="56"/>
  <c r="C1932" i="56"/>
  <c r="D1932" i="56" s="1"/>
  <c r="E1932" i="56"/>
  <c r="F1932" i="56" s="1"/>
  <c r="I1932" i="56"/>
  <c r="L1932" i="56"/>
  <c r="C1933" i="56"/>
  <c r="D1933" i="56" s="1"/>
  <c r="E1933" i="56"/>
  <c r="F1933" i="56" s="1"/>
  <c r="I1933" i="56"/>
  <c r="C1934" i="56"/>
  <c r="D1934" i="56" s="1"/>
  <c r="E1934" i="56"/>
  <c r="F1934" i="56" s="1"/>
  <c r="I1934" i="56"/>
  <c r="C1935" i="56"/>
  <c r="D1935" i="56" s="1"/>
  <c r="E1935" i="56"/>
  <c r="F1935" i="56" s="1"/>
  <c r="I1935" i="56"/>
  <c r="C1936" i="56"/>
  <c r="D1936" i="56" s="1"/>
  <c r="E1936" i="56"/>
  <c r="F1936" i="56" s="1"/>
  <c r="I1936" i="56"/>
  <c r="C1937" i="56"/>
  <c r="D1937" i="56" s="1"/>
  <c r="E1937" i="56"/>
  <c r="F1937" i="56" s="1"/>
  <c r="L1937" i="56"/>
  <c r="C1938" i="56"/>
  <c r="D1938" i="56" s="1"/>
  <c r="E1938" i="56"/>
  <c r="F1938" i="56" s="1"/>
  <c r="L1938" i="56"/>
  <c r="C1939" i="56"/>
  <c r="D1939" i="56" s="1"/>
  <c r="E1939" i="56"/>
  <c r="F1939" i="56" s="1"/>
  <c r="I1939" i="56"/>
  <c r="C1940" i="56"/>
  <c r="D1940" i="56" s="1"/>
  <c r="E1940" i="56"/>
  <c r="F1940" i="56" s="1"/>
  <c r="C1941" i="56"/>
  <c r="D1941" i="56" s="1"/>
  <c r="E1941" i="56"/>
  <c r="F1941" i="56" s="1"/>
  <c r="I1941" i="56"/>
  <c r="L1941" i="56"/>
  <c r="C1942" i="56"/>
  <c r="D1942" i="56" s="1"/>
  <c r="E1942" i="56"/>
  <c r="F1942" i="56" s="1"/>
  <c r="I1942" i="56"/>
  <c r="L1942" i="56"/>
  <c r="C1943" i="56"/>
  <c r="D1943" i="56" s="1"/>
  <c r="E1943" i="56"/>
  <c r="F1943" i="56" s="1"/>
  <c r="I1943" i="56"/>
  <c r="L1943" i="56"/>
  <c r="C1944" i="56"/>
  <c r="D1944" i="56" s="1"/>
  <c r="E1944" i="56"/>
  <c r="F1944" i="56" s="1"/>
  <c r="I1944" i="56"/>
  <c r="L1944" i="56"/>
  <c r="C1945" i="56"/>
  <c r="D1945" i="56" s="1"/>
  <c r="E1945" i="56"/>
  <c r="F1945" i="56" s="1"/>
  <c r="I1945" i="56"/>
  <c r="C1946" i="56"/>
  <c r="D1946" i="56" s="1"/>
  <c r="E1946" i="56"/>
  <c r="F1946" i="56" s="1"/>
  <c r="I1946" i="56"/>
  <c r="C1947" i="56"/>
  <c r="D1947" i="56" s="1"/>
  <c r="E1947" i="56"/>
  <c r="F1947" i="56" s="1"/>
  <c r="I1947" i="56"/>
  <c r="C1948" i="56"/>
  <c r="D1948" i="56" s="1"/>
  <c r="E1948" i="56"/>
  <c r="F1948" i="56" s="1"/>
  <c r="I1948" i="56"/>
  <c r="C1949" i="56"/>
  <c r="D1949" i="56" s="1"/>
  <c r="E1949" i="56"/>
  <c r="F1949" i="56" s="1"/>
  <c r="L1949" i="56"/>
  <c r="C1950" i="56"/>
  <c r="D1950" i="56" s="1"/>
  <c r="E1950" i="56"/>
  <c r="F1950" i="56"/>
  <c r="L1950" i="56"/>
  <c r="C1951" i="56"/>
  <c r="D1951" i="56" s="1"/>
  <c r="E1951" i="56"/>
  <c r="F1951" i="56" s="1"/>
  <c r="C1952" i="56"/>
  <c r="D1952" i="56" s="1"/>
  <c r="E1952" i="56"/>
  <c r="F1952" i="56" s="1"/>
  <c r="C1953" i="56"/>
  <c r="D1953" i="56" s="1"/>
  <c r="E1953" i="56"/>
  <c r="F1953" i="56" s="1"/>
  <c r="I1953" i="56"/>
  <c r="L1953" i="56"/>
  <c r="C1954" i="56"/>
  <c r="D1954" i="56" s="1"/>
  <c r="E1954" i="56"/>
  <c r="F1954" i="56" s="1"/>
  <c r="I1954" i="56"/>
  <c r="L1954" i="56"/>
  <c r="C1955" i="56"/>
  <c r="D1955" i="56" s="1"/>
  <c r="E1955" i="56"/>
  <c r="F1955" i="56" s="1"/>
  <c r="I1955" i="56"/>
  <c r="L1955" i="56"/>
  <c r="C1956" i="56"/>
  <c r="D1956" i="56" s="1"/>
  <c r="E1956" i="56"/>
  <c r="F1956" i="56" s="1"/>
  <c r="I1956" i="56"/>
  <c r="L1956" i="56"/>
  <c r="C1957" i="56"/>
  <c r="D1957" i="56" s="1"/>
  <c r="E1957" i="56"/>
  <c r="F1957" i="56" s="1"/>
  <c r="I1957" i="56"/>
  <c r="C1958" i="56"/>
  <c r="D1958" i="56" s="1"/>
  <c r="E1958" i="56"/>
  <c r="F1958" i="56" s="1"/>
  <c r="I1958" i="56"/>
  <c r="C1959" i="56"/>
  <c r="D1959" i="56" s="1"/>
  <c r="E1959" i="56"/>
  <c r="F1959" i="56" s="1"/>
  <c r="I1959" i="56"/>
  <c r="C1960" i="56"/>
  <c r="D1960" i="56" s="1"/>
  <c r="E1960" i="56"/>
  <c r="F1960" i="56" s="1"/>
  <c r="I1960" i="56"/>
  <c r="C1961" i="56"/>
  <c r="D1961" i="56" s="1"/>
  <c r="E1961" i="56"/>
  <c r="F1961" i="56" s="1"/>
  <c r="L1961" i="56"/>
  <c r="C1962" i="56"/>
  <c r="D1962" i="56" s="1"/>
  <c r="E1962" i="56"/>
  <c r="F1962" i="56" s="1"/>
  <c r="L1962" i="56"/>
  <c r="C1963" i="56"/>
  <c r="D1963" i="56" s="1"/>
  <c r="E1963" i="56"/>
  <c r="F1963" i="56" s="1"/>
  <c r="I1963" i="56"/>
  <c r="C1964" i="56"/>
  <c r="D1964" i="56" s="1"/>
  <c r="E1964" i="56"/>
  <c r="F1964" i="56" s="1"/>
  <c r="C1965" i="56"/>
  <c r="D1965" i="56" s="1"/>
  <c r="E1965" i="56"/>
  <c r="F1965" i="56" s="1"/>
  <c r="I1965" i="56"/>
  <c r="L1965" i="56"/>
  <c r="C1966" i="56"/>
  <c r="D1966" i="56" s="1"/>
  <c r="E1966" i="56"/>
  <c r="F1966" i="56" s="1"/>
  <c r="I1966" i="56"/>
  <c r="L1966" i="56"/>
  <c r="C1967" i="56"/>
  <c r="D1967" i="56" s="1"/>
  <c r="E1967" i="56"/>
  <c r="F1967" i="56" s="1"/>
  <c r="I1967" i="56"/>
  <c r="L1967" i="56"/>
  <c r="C1968" i="56"/>
  <c r="D1968" i="56" s="1"/>
  <c r="E1968" i="56"/>
  <c r="F1968" i="56" s="1"/>
  <c r="I1968" i="56"/>
  <c r="L1968" i="56"/>
  <c r="C1969" i="56"/>
  <c r="D1969" i="56" s="1"/>
  <c r="E1969" i="56"/>
  <c r="F1969" i="56" s="1"/>
  <c r="I1969" i="56"/>
  <c r="C1970" i="56"/>
  <c r="D1970" i="56" s="1"/>
  <c r="E1970" i="56"/>
  <c r="F1970" i="56" s="1"/>
  <c r="I1970" i="56"/>
  <c r="C1971" i="56"/>
  <c r="D1971" i="56" s="1"/>
  <c r="E1971" i="56"/>
  <c r="F1971" i="56" s="1"/>
  <c r="I1971" i="56"/>
  <c r="C1972" i="56"/>
  <c r="D1972" i="56" s="1"/>
  <c r="E1972" i="56"/>
  <c r="F1972" i="56" s="1"/>
  <c r="I1972" i="56"/>
  <c r="C1973" i="56"/>
  <c r="D1973" i="56" s="1"/>
  <c r="E1973" i="56"/>
  <c r="F1973" i="56" s="1"/>
  <c r="L1973" i="56"/>
  <c r="C1974" i="56"/>
  <c r="D1974" i="56" s="1"/>
  <c r="E1974" i="56"/>
  <c r="F1974" i="56" s="1"/>
  <c r="I1974" i="56"/>
  <c r="L1974" i="56"/>
  <c r="C1975" i="56"/>
  <c r="D1975" i="56" s="1"/>
  <c r="E1975" i="56"/>
  <c r="F1975" i="56" s="1"/>
  <c r="C1976" i="56"/>
  <c r="D1976" i="56" s="1"/>
  <c r="E1976" i="56"/>
  <c r="F1976" i="56" s="1"/>
  <c r="C1977" i="56"/>
  <c r="D1977" i="56" s="1"/>
  <c r="E1977" i="56"/>
  <c r="F1977" i="56" s="1"/>
  <c r="I1977" i="56"/>
  <c r="L1977" i="56"/>
  <c r="C1978" i="56"/>
  <c r="D1978" i="56" s="1"/>
  <c r="E1978" i="56"/>
  <c r="F1978" i="56" s="1"/>
  <c r="I1978" i="56"/>
  <c r="L1978" i="56"/>
  <c r="C1979" i="56"/>
  <c r="D1979" i="56" s="1"/>
  <c r="E1979" i="56"/>
  <c r="F1979" i="56" s="1"/>
  <c r="I1979" i="56"/>
  <c r="L1979" i="56"/>
  <c r="C1980" i="56"/>
  <c r="D1980" i="56" s="1"/>
  <c r="E1980" i="56"/>
  <c r="F1980" i="56" s="1"/>
  <c r="I1980" i="56"/>
  <c r="L1980" i="56"/>
  <c r="C1981" i="56"/>
  <c r="D1981" i="56" s="1"/>
  <c r="E1981" i="56"/>
  <c r="F1981" i="56" s="1"/>
  <c r="I1981" i="56"/>
  <c r="C1982" i="56"/>
  <c r="D1982" i="56" s="1"/>
  <c r="E1982" i="56"/>
  <c r="F1982" i="56" s="1"/>
  <c r="I1982" i="56"/>
  <c r="C1983" i="56"/>
  <c r="D1983" i="56" s="1"/>
  <c r="E1983" i="56"/>
  <c r="F1983" i="56" s="1"/>
  <c r="I1983" i="56"/>
  <c r="C1984" i="56"/>
  <c r="D1984" i="56"/>
  <c r="E1984" i="56"/>
  <c r="F1984" i="56" s="1"/>
  <c r="I1984" i="56"/>
  <c r="C1985" i="56"/>
  <c r="D1985" i="56" s="1"/>
  <c r="E1985" i="56"/>
  <c r="F1985" i="56" s="1"/>
  <c r="L1985" i="56"/>
  <c r="C1986" i="56"/>
  <c r="D1986" i="56" s="1"/>
  <c r="E1986" i="56"/>
  <c r="F1986" i="56" s="1"/>
  <c r="C1987" i="56"/>
  <c r="D1987" i="56" s="1"/>
  <c r="E1987" i="56"/>
  <c r="F1987" i="56" s="1"/>
  <c r="C1988" i="56"/>
  <c r="D1988" i="56" s="1"/>
  <c r="E1988" i="56"/>
  <c r="F1988" i="56" s="1"/>
  <c r="C1989" i="56"/>
  <c r="D1989" i="56" s="1"/>
  <c r="E1989" i="56"/>
  <c r="F1989" i="56" s="1"/>
  <c r="I1989" i="56"/>
  <c r="L1989" i="56"/>
  <c r="C1990" i="56"/>
  <c r="D1990" i="56" s="1"/>
  <c r="E1990" i="56"/>
  <c r="F1990" i="56" s="1"/>
  <c r="I1990" i="56"/>
  <c r="L1990" i="56"/>
  <c r="C1991" i="56"/>
  <c r="D1991" i="56" s="1"/>
  <c r="E1991" i="56"/>
  <c r="F1991" i="56" s="1"/>
  <c r="I1991" i="56"/>
  <c r="L1991" i="56"/>
  <c r="C1992" i="56"/>
  <c r="D1992" i="56" s="1"/>
  <c r="E1992" i="56"/>
  <c r="F1992" i="56" s="1"/>
  <c r="I1992" i="56"/>
  <c r="L1992" i="56"/>
  <c r="C1993" i="56"/>
  <c r="D1993" i="56" s="1"/>
  <c r="E1993" i="56"/>
  <c r="F1993" i="56" s="1"/>
  <c r="I1993" i="56"/>
  <c r="C1994" i="56"/>
  <c r="D1994" i="56" s="1"/>
  <c r="E1994" i="56"/>
  <c r="F1994" i="56" s="1"/>
  <c r="I1994" i="56"/>
  <c r="C1995" i="56"/>
  <c r="D1995" i="56" s="1"/>
  <c r="E1995" i="56"/>
  <c r="F1995" i="56" s="1"/>
  <c r="I1995" i="56"/>
  <c r="C1996" i="56"/>
  <c r="D1996" i="56" s="1"/>
  <c r="E1996" i="56"/>
  <c r="F1996" i="56" s="1"/>
  <c r="I1996" i="56"/>
  <c r="C1997" i="56"/>
  <c r="D1997" i="56" s="1"/>
  <c r="E1997" i="56"/>
  <c r="F1997" i="56" s="1"/>
  <c r="L1997" i="56"/>
  <c r="C1998" i="56"/>
  <c r="D1998" i="56" s="1"/>
  <c r="E1998" i="56"/>
  <c r="F1998" i="56" s="1"/>
  <c r="I1998" i="56"/>
  <c r="L1998" i="56"/>
  <c r="C1999" i="56"/>
  <c r="D1999" i="56" s="1"/>
  <c r="E1999" i="56"/>
  <c r="F1999" i="56" s="1"/>
  <c r="C2000" i="56"/>
  <c r="D2000" i="56" s="1"/>
  <c r="E2000" i="56"/>
  <c r="F2000" i="56" s="1"/>
  <c r="C2001" i="56"/>
  <c r="D2001" i="56" s="1"/>
  <c r="E2001" i="56"/>
  <c r="F2001" i="56" s="1"/>
  <c r="I2001" i="56"/>
  <c r="L2001" i="56"/>
  <c r="C2002" i="56"/>
  <c r="D2002" i="56" s="1"/>
  <c r="E2002" i="56"/>
  <c r="F2002" i="56" s="1"/>
  <c r="I2002" i="56"/>
  <c r="L2002" i="56"/>
  <c r="C2003" i="56"/>
  <c r="D2003" i="56" s="1"/>
  <c r="E2003" i="56"/>
  <c r="F2003" i="56" s="1"/>
  <c r="I2003" i="56"/>
  <c r="L2003" i="56"/>
  <c r="C2004" i="56"/>
  <c r="D2004" i="56" s="1"/>
  <c r="E2004" i="56"/>
  <c r="F2004" i="56" s="1"/>
  <c r="I2004" i="56"/>
  <c r="L2004" i="56"/>
  <c r="C2005" i="56"/>
  <c r="D2005" i="56" s="1"/>
  <c r="E2005" i="56"/>
  <c r="F2005" i="56" s="1"/>
  <c r="I2005" i="56"/>
  <c r="C2006" i="56"/>
  <c r="D2006" i="56" s="1"/>
  <c r="E2006" i="56"/>
  <c r="F2006" i="56" s="1"/>
  <c r="I2006" i="56"/>
  <c r="C2007" i="56"/>
  <c r="D2007" i="56" s="1"/>
  <c r="E2007" i="56"/>
  <c r="F2007" i="56" s="1"/>
  <c r="I2007" i="56"/>
  <c r="C2008" i="56"/>
  <c r="D2008" i="56" s="1"/>
  <c r="E2008" i="56"/>
  <c r="F2008" i="56" s="1"/>
  <c r="I2008" i="56"/>
  <c r="C2009" i="56"/>
  <c r="D2009" i="56" s="1"/>
  <c r="E2009" i="56"/>
  <c r="F2009" i="56" s="1"/>
  <c r="L2009" i="56"/>
  <c r="C2010" i="56"/>
  <c r="D2010" i="56" s="1"/>
  <c r="E2010" i="56"/>
  <c r="F2010" i="56" s="1"/>
  <c r="L2010" i="56"/>
  <c r="C2011" i="56"/>
  <c r="D2011" i="56" s="1"/>
  <c r="E2011" i="56"/>
  <c r="F2011" i="56" s="1"/>
  <c r="C2012" i="56"/>
  <c r="D2012" i="56" s="1"/>
  <c r="E2012" i="56"/>
  <c r="F2012" i="56" s="1"/>
  <c r="C2013" i="56"/>
  <c r="D2013" i="56" s="1"/>
  <c r="E2013" i="56"/>
  <c r="F2013" i="56" s="1"/>
  <c r="I2013" i="56"/>
  <c r="C2014" i="56"/>
  <c r="D2014" i="56" s="1"/>
  <c r="E2014" i="56"/>
  <c r="F2014" i="56" s="1"/>
  <c r="I2014" i="56"/>
  <c r="L2014" i="56"/>
  <c r="C2015" i="56"/>
  <c r="D2015" i="56" s="1"/>
  <c r="E2015" i="56"/>
  <c r="F2015" i="56" s="1"/>
  <c r="I2015" i="56"/>
  <c r="L2015" i="56"/>
  <c r="C2016" i="56"/>
  <c r="D2016" i="56" s="1"/>
  <c r="E2016" i="56"/>
  <c r="F2016" i="56" s="1"/>
  <c r="I2016" i="56"/>
  <c r="L2016" i="56"/>
  <c r="C2017" i="56"/>
  <c r="D2017" i="56" s="1"/>
  <c r="E2017" i="56"/>
  <c r="F2017" i="56" s="1"/>
  <c r="I2017" i="56"/>
  <c r="C2018" i="56"/>
  <c r="D2018" i="56" s="1"/>
  <c r="E2018" i="56"/>
  <c r="F2018" i="56" s="1"/>
  <c r="I2018" i="56"/>
  <c r="C2019" i="56"/>
  <c r="D2019" i="56" s="1"/>
  <c r="E2019" i="56"/>
  <c r="F2019" i="56" s="1"/>
  <c r="I2019" i="56"/>
  <c r="C2020" i="56"/>
  <c r="D2020" i="56" s="1"/>
  <c r="E2020" i="56"/>
  <c r="F2020" i="56" s="1"/>
  <c r="I2020" i="56"/>
  <c r="L2020" i="56"/>
  <c r="C2021" i="56"/>
  <c r="D2021" i="56" s="1"/>
  <c r="E2021" i="56"/>
  <c r="F2021" i="56" s="1"/>
  <c r="L2021" i="56"/>
  <c r="C2022" i="56"/>
  <c r="D2022" i="56" s="1"/>
  <c r="E2022" i="56"/>
  <c r="F2022" i="56" s="1"/>
  <c r="I2022" i="56"/>
  <c r="L2022" i="56"/>
  <c r="C2023" i="56"/>
  <c r="D2023" i="56" s="1"/>
  <c r="E2023" i="56"/>
  <c r="F2023" i="56" s="1"/>
  <c r="C2024" i="56"/>
  <c r="D2024" i="56" s="1"/>
  <c r="E2024" i="56"/>
  <c r="F2024" i="56" s="1"/>
  <c r="C2025" i="56"/>
  <c r="D2025" i="56" s="1"/>
  <c r="E2025" i="56"/>
  <c r="F2025" i="56" s="1"/>
  <c r="I2025" i="56"/>
  <c r="C2026" i="56"/>
  <c r="D2026" i="56" s="1"/>
  <c r="E2026" i="56"/>
  <c r="F2026" i="56" s="1"/>
  <c r="I2026" i="56"/>
  <c r="L2026" i="56"/>
  <c r="C2027" i="56"/>
  <c r="D2027" i="56" s="1"/>
  <c r="E2027" i="56"/>
  <c r="F2027" i="56" s="1"/>
  <c r="I2027" i="56"/>
  <c r="L2027" i="56"/>
  <c r="C2028" i="56"/>
  <c r="D2028" i="56" s="1"/>
  <c r="E2028" i="56"/>
  <c r="F2028" i="56" s="1"/>
  <c r="I2028" i="56"/>
  <c r="L2028" i="56"/>
  <c r="C2029" i="56"/>
  <c r="D2029" i="56" s="1"/>
  <c r="E2029" i="56"/>
  <c r="F2029" i="56" s="1"/>
  <c r="I2029" i="56"/>
  <c r="C2030" i="56"/>
  <c r="D2030" i="56" s="1"/>
  <c r="E2030" i="56"/>
  <c r="F2030" i="56" s="1"/>
  <c r="I2030" i="56"/>
  <c r="C2031" i="56"/>
  <c r="D2031" i="56" s="1"/>
  <c r="E2031" i="56"/>
  <c r="F2031" i="56" s="1"/>
  <c r="I2031" i="56"/>
  <c r="C2032" i="56"/>
  <c r="D2032" i="56" s="1"/>
  <c r="E2032" i="56"/>
  <c r="F2032" i="56" s="1"/>
  <c r="I2032" i="56"/>
  <c r="C2033" i="56"/>
  <c r="D2033" i="56" s="1"/>
  <c r="E2033" i="56"/>
  <c r="F2033" i="56" s="1"/>
  <c r="L2033" i="56"/>
  <c r="C2034" i="56"/>
  <c r="D2034" i="56" s="1"/>
  <c r="E2034" i="56"/>
  <c r="F2034" i="56" s="1"/>
  <c r="L2034" i="56"/>
  <c r="C2035" i="56"/>
  <c r="D2035" i="56" s="1"/>
  <c r="E2035" i="56"/>
  <c r="F2035" i="56" s="1"/>
  <c r="I2035" i="56"/>
  <c r="C2036" i="56"/>
  <c r="D2036" i="56" s="1"/>
  <c r="E2036" i="56"/>
  <c r="F2036" i="56" s="1"/>
  <c r="C2037" i="56"/>
  <c r="D2037" i="56" s="1"/>
  <c r="E2037" i="56"/>
  <c r="F2037" i="56" s="1"/>
  <c r="I2037" i="56"/>
  <c r="L2037" i="56"/>
  <c r="C2038" i="56"/>
  <c r="D2038" i="56" s="1"/>
  <c r="E2038" i="56"/>
  <c r="F2038" i="56" s="1"/>
  <c r="I2038" i="56"/>
  <c r="L2038" i="56"/>
  <c r="C2039" i="56"/>
  <c r="D2039" i="56" s="1"/>
  <c r="E2039" i="56"/>
  <c r="F2039" i="56" s="1"/>
  <c r="I2039" i="56"/>
  <c r="L2039" i="56"/>
  <c r="C2040" i="56"/>
  <c r="D2040" i="56" s="1"/>
  <c r="E2040" i="56"/>
  <c r="F2040" i="56" s="1"/>
  <c r="I2040" i="56"/>
  <c r="L2040" i="56"/>
  <c r="C2041" i="56"/>
  <c r="D2041" i="56" s="1"/>
  <c r="E2041" i="56"/>
  <c r="F2041" i="56" s="1"/>
  <c r="I2041" i="56"/>
  <c r="C2042" i="56"/>
  <c r="D2042" i="56" s="1"/>
  <c r="E2042" i="56"/>
  <c r="F2042" i="56" s="1"/>
  <c r="I2042" i="56"/>
  <c r="C2043" i="56"/>
  <c r="D2043" i="56" s="1"/>
  <c r="E2043" i="56"/>
  <c r="F2043" i="56" s="1"/>
  <c r="I2043" i="56"/>
  <c r="C2044" i="56"/>
  <c r="D2044" i="56" s="1"/>
  <c r="E2044" i="56"/>
  <c r="F2044" i="56" s="1"/>
  <c r="I2044" i="56"/>
  <c r="C2045" i="56"/>
  <c r="D2045" i="56" s="1"/>
  <c r="E2045" i="56"/>
  <c r="F2045" i="56" s="1"/>
  <c r="L2045" i="56"/>
  <c r="C2046" i="56"/>
  <c r="D2046" i="56" s="1"/>
  <c r="E2046" i="56"/>
  <c r="F2046" i="56" s="1"/>
  <c r="L2046" i="56"/>
  <c r="C2047" i="56"/>
  <c r="D2047" i="56" s="1"/>
  <c r="E2047" i="56"/>
  <c r="F2047" i="56" s="1"/>
  <c r="C2048" i="56"/>
  <c r="D2048" i="56" s="1"/>
  <c r="E2048" i="56"/>
  <c r="F2048" i="56" s="1"/>
  <c r="C2049" i="56"/>
  <c r="D2049" i="56" s="1"/>
  <c r="E2049" i="56"/>
  <c r="F2049" i="56" s="1"/>
  <c r="I2049" i="56"/>
  <c r="C2050" i="56"/>
  <c r="D2050" i="56" s="1"/>
  <c r="E2050" i="56"/>
  <c r="F2050" i="56" s="1"/>
  <c r="I2050" i="56"/>
  <c r="L2050" i="56"/>
  <c r="C2051" i="56"/>
  <c r="D2051" i="56" s="1"/>
  <c r="E2051" i="56"/>
  <c r="F2051" i="56" s="1"/>
  <c r="I2051" i="56"/>
  <c r="L2051" i="56"/>
  <c r="C2052" i="56"/>
  <c r="D2052" i="56" s="1"/>
  <c r="E2052" i="56"/>
  <c r="F2052" i="56" s="1"/>
  <c r="I2052" i="56"/>
  <c r="L2052" i="56"/>
  <c r="C2053" i="56"/>
  <c r="D2053" i="56" s="1"/>
  <c r="E2053" i="56"/>
  <c r="F2053" i="56" s="1"/>
  <c r="I2053" i="56"/>
  <c r="C2054" i="56"/>
  <c r="D2054" i="56" s="1"/>
  <c r="E2054" i="56"/>
  <c r="F2054" i="56" s="1"/>
  <c r="I2054" i="56"/>
  <c r="C2055" i="56"/>
  <c r="D2055" i="56" s="1"/>
  <c r="E2055" i="56"/>
  <c r="F2055" i="56" s="1"/>
  <c r="I2055" i="56"/>
  <c r="C2056" i="56"/>
  <c r="D2056" i="56" s="1"/>
  <c r="E2056" i="56"/>
  <c r="F2056" i="56" s="1"/>
  <c r="I2056" i="56"/>
  <c r="L2056" i="56"/>
  <c r="C2057" i="56"/>
  <c r="D2057" i="56" s="1"/>
  <c r="E2057" i="56"/>
  <c r="F2057" i="56" s="1"/>
  <c r="L2057" i="56"/>
  <c r="C2058" i="56"/>
  <c r="D2058" i="56" s="1"/>
  <c r="E2058" i="56"/>
  <c r="F2058" i="56" s="1"/>
  <c r="I2058" i="56"/>
  <c r="L2058" i="56"/>
  <c r="C2059" i="56"/>
  <c r="D2059" i="56" s="1"/>
  <c r="E2059" i="56"/>
  <c r="F2059" i="56" s="1"/>
  <c r="C2060" i="56"/>
  <c r="D2060" i="56" s="1"/>
  <c r="E2060" i="56"/>
  <c r="F2060" i="56" s="1"/>
  <c r="C2061" i="56"/>
  <c r="D2061" i="56" s="1"/>
  <c r="E2061" i="56"/>
  <c r="F2061" i="56" s="1"/>
  <c r="I2061" i="56"/>
  <c r="C2062" i="56"/>
  <c r="D2062" i="56" s="1"/>
  <c r="E2062" i="56"/>
  <c r="F2062" i="56" s="1"/>
  <c r="I2062" i="56"/>
  <c r="L2062" i="56"/>
  <c r="C2063" i="56"/>
  <c r="D2063" i="56" s="1"/>
  <c r="E2063" i="56"/>
  <c r="F2063" i="56" s="1"/>
  <c r="I2063" i="56"/>
  <c r="L2063" i="56"/>
  <c r="C2064" i="56"/>
  <c r="D2064" i="56" s="1"/>
  <c r="E2064" i="56"/>
  <c r="F2064" i="56" s="1"/>
  <c r="I2064" i="56"/>
  <c r="L2064" i="56"/>
  <c r="C2065" i="56"/>
  <c r="D2065" i="56" s="1"/>
  <c r="E2065" i="56"/>
  <c r="F2065" i="56"/>
  <c r="I2065" i="56"/>
  <c r="C2066" i="56"/>
  <c r="D2066" i="56" s="1"/>
  <c r="E2066" i="56"/>
  <c r="F2066" i="56" s="1"/>
  <c r="I2066" i="56"/>
  <c r="C2067" i="56"/>
  <c r="D2067" i="56" s="1"/>
  <c r="E2067" i="56"/>
  <c r="F2067" i="56" s="1"/>
  <c r="I2067" i="56"/>
  <c r="C2068" i="56"/>
  <c r="D2068" i="56" s="1"/>
  <c r="E2068" i="56"/>
  <c r="F2068" i="56" s="1"/>
  <c r="I2068" i="56"/>
  <c r="C2069" i="56"/>
  <c r="D2069" i="56" s="1"/>
  <c r="E2069" i="56"/>
  <c r="F2069" i="56" s="1"/>
  <c r="L2069" i="56"/>
  <c r="C2070" i="56"/>
  <c r="D2070" i="56" s="1"/>
  <c r="E2070" i="56"/>
  <c r="F2070" i="56" s="1"/>
  <c r="L2070" i="56"/>
  <c r="C2071" i="56"/>
  <c r="D2071" i="56" s="1"/>
  <c r="E2071" i="56"/>
  <c r="F2071" i="56" s="1"/>
  <c r="C2072" i="56"/>
  <c r="D2072" i="56" s="1"/>
  <c r="E2072" i="56"/>
  <c r="F2072" i="56" s="1"/>
  <c r="C2073" i="56"/>
  <c r="D2073" i="56" s="1"/>
  <c r="E2073" i="56"/>
  <c r="F2073" i="56" s="1"/>
  <c r="I2073" i="56"/>
  <c r="L2073" i="56"/>
  <c r="C2074" i="56"/>
  <c r="D2074" i="56" s="1"/>
  <c r="E2074" i="56"/>
  <c r="F2074" i="56" s="1"/>
  <c r="I2074" i="56"/>
  <c r="L2074" i="56"/>
  <c r="C2075" i="56"/>
  <c r="D2075" i="56" s="1"/>
  <c r="E2075" i="56"/>
  <c r="F2075" i="56" s="1"/>
  <c r="I2075" i="56"/>
  <c r="L2075" i="56"/>
  <c r="C2076" i="56"/>
  <c r="D2076" i="56" s="1"/>
  <c r="E2076" i="56"/>
  <c r="F2076" i="56" s="1"/>
  <c r="I2076" i="56"/>
  <c r="L2076" i="56"/>
  <c r="C2077" i="56"/>
  <c r="D2077" i="56" s="1"/>
  <c r="E2077" i="56"/>
  <c r="F2077" i="56" s="1"/>
  <c r="I2077" i="56"/>
  <c r="C2078" i="56"/>
  <c r="D2078" i="56" s="1"/>
  <c r="E2078" i="56"/>
  <c r="F2078" i="56" s="1"/>
  <c r="I2078" i="56"/>
  <c r="C2079" i="56"/>
  <c r="D2079" i="56" s="1"/>
  <c r="E2079" i="56"/>
  <c r="F2079" i="56" s="1"/>
  <c r="I2079" i="56"/>
  <c r="C2080" i="56"/>
  <c r="D2080" i="56" s="1"/>
  <c r="E2080" i="56"/>
  <c r="F2080" i="56" s="1"/>
  <c r="I2080" i="56"/>
  <c r="L2080" i="56"/>
  <c r="C2081" i="56"/>
  <c r="D2081" i="56" s="1"/>
  <c r="E2081" i="56"/>
  <c r="F2081" i="56" s="1"/>
  <c r="L2081" i="56"/>
  <c r="C2082" i="56"/>
  <c r="D2082" i="56" s="1"/>
  <c r="E2082" i="56"/>
  <c r="F2082" i="56" s="1"/>
  <c r="I2082" i="56"/>
  <c r="L2082" i="56"/>
  <c r="C2083" i="56"/>
  <c r="D2083" i="56" s="1"/>
  <c r="E2083" i="56"/>
  <c r="F2083" i="56" s="1"/>
  <c r="C2084" i="56"/>
  <c r="D2084" i="56" s="1"/>
  <c r="E2084" i="56"/>
  <c r="F2084" i="56" s="1"/>
  <c r="C2085" i="56"/>
  <c r="D2085" i="56" s="1"/>
  <c r="E2085" i="56"/>
  <c r="F2085" i="56" s="1"/>
  <c r="I2085" i="56"/>
  <c r="L2085" i="56"/>
  <c r="C2086" i="56"/>
  <c r="D2086" i="56" s="1"/>
  <c r="E2086" i="56"/>
  <c r="F2086" i="56" s="1"/>
  <c r="I2086" i="56"/>
  <c r="L2086" i="56"/>
  <c r="C2087" i="56"/>
  <c r="D2087" i="56" s="1"/>
  <c r="E2087" i="56"/>
  <c r="F2087" i="56" s="1"/>
  <c r="I2087" i="56"/>
  <c r="L2087" i="56"/>
  <c r="C2088" i="56"/>
  <c r="D2088" i="56" s="1"/>
  <c r="E2088" i="56"/>
  <c r="F2088" i="56" s="1"/>
  <c r="I2088" i="56"/>
  <c r="C2089" i="56"/>
  <c r="D2089" i="56" s="1"/>
  <c r="E2089" i="56"/>
  <c r="F2089" i="56" s="1"/>
  <c r="I2089" i="56"/>
  <c r="C2090" i="56"/>
  <c r="D2090" i="56" s="1"/>
  <c r="E2090" i="56"/>
  <c r="F2090" i="56" s="1"/>
  <c r="I2090" i="56"/>
  <c r="C2091" i="56"/>
  <c r="D2091" i="56" s="1"/>
  <c r="E2091" i="56"/>
  <c r="F2091" i="56" s="1"/>
  <c r="I2091" i="56"/>
  <c r="C2092" i="56"/>
  <c r="D2092" i="56" s="1"/>
  <c r="E2092" i="56"/>
  <c r="F2092" i="56" s="1"/>
  <c r="I2092" i="56"/>
  <c r="C2093" i="56"/>
  <c r="D2093" i="56" s="1"/>
  <c r="E2093" i="56"/>
  <c r="F2093" i="56" s="1"/>
  <c r="L2093" i="56"/>
  <c r="C2094" i="56"/>
  <c r="D2094" i="56" s="1"/>
  <c r="E2094" i="56"/>
  <c r="F2094" i="56" s="1"/>
  <c r="L2094" i="56"/>
  <c r="C2095" i="56"/>
  <c r="D2095" i="56" s="1"/>
  <c r="E2095" i="56"/>
  <c r="F2095" i="56" s="1"/>
  <c r="C2096" i="56"/>
  <c r="D2096" i="56" s="1"/>
  <c r="E2096" i="56"/>
  <c r="F2096" i="56" s="1"/>
  <c r="C2097" i="56"/>
  <c r="D2097" i="56" s="1"/>
  <c r="E2097" i="56"/>
  <c r="F2097" i="56" s="1"/>
  <c r="I2097" i="56"/>
  <c r="L2097" i="56"/>
  <c r="C2098" i="56"/>
  <c r="D2098" i="56" s="1"/>
  <c r="E2098" i="56"/>
  <c r="F2098" i="56" s="1"/>
  <c r="I2098" i="56"/>
  <c r="L2098" i="56"/>
  <c r="C2099" i="56"/>
  <c r="D2099" i="56" s="1"/>
  <c r="E2099" i="56"/>
  <c r="F2099" i="56" s="1"/>
  <c r="I2099" i="56"/>
  <c r="L2099" i="56"/>
  <c r="C2100" i="56"/>
  <c r="D2100" i="56" s="1"/>
  <c r="E2100" i="56"/>
  <c r="F2100" i="56" s="1"/>
  <c r="I2100" i="56"/>
  <c r="L2100" i="56"/>
  <c r="C2101" i="56"/>
  <c r="D2101" i="56" s="1"/>
  <c r="E2101" i="56"/>
  <c r="F2101" i="56" s="1"/>
  <c r="I2101" i="56"/>
  <c r="C2102" i="56"/>
  <c r="D2102" i="56" s="1"/>
  <c r="E2102" i="56"/>
  <c r="F2102" i="56" s="1"/>
  <c r="I2102" i="56"/>
  <c r="C2103" i="56"/>
  <c r="D2103" i="56" s="1"/>
  <c r="E2103" i="56"/>
  <c r="F2103" i="56" s="1"/>
  <c r="I2103" i="56"/>
  <c r="C2104" i="56"/>
  <c r="D2104" i="56" s="1"/>
  <c r="E2104" i="56"/>
  <c r="F2104" i="56" s="1"/>
  <c r="I2104" i="56"/>
  <c r="C2105" i="56"/>
  <c r="D2105" i="56" s="1"/>
  <c r="E2105" i="56"/>
  <c r="F2105" i="56" s="1"/>
  <c r="L2105" i="56"/>
  <c r="C2106" i="56"/>
  <c r="D2106" i="56" s="1"/>
  <c r="E2106" i="56"/>
  <c r="F2106" i="56" s="1"/>
  <c r="L2106" i="56"/>
  <c r="C2107" i="56"/>
  <c r="D2107" i="56" s="1"/>
  <c r="E2107" i="56"/>
  <c r="F2107" i="56" s="1"/>
  <c r="I2107" i="56"/>
  <c r="C2108" i="56"/>
  <c r="D2108" i="56" s="1"/>
  <c r="E2108" i="56"/>
  <c r="F2108" i="56" s="1"/>
  <c r="C2109" i="56"/>
  <c r="D2109" i="56" s="1"/>
  <c r="E2109" i="56"/>
  <c r="F2109" i="56" s="1"/>
  <c r="I2109" i="56"/>
  <c r="C2110" i="56"/>
  <c r="D2110" i="56" s="1"/>
  <c r="E2110" i="56"/>
  <c r="F2110" i="56" s="1"/>
  <c r="I2110" i="56"/>
  <c r="L2110" i="56"/>
  <c r="C2111" i="56"/>
  <c r="D2111" i="56" s="1"/>
  <c r="E2111" i="56"/>
  <c r="F2111" i="56" s="1"/>
  <c r="I2111" i="56"/>
  <c r="L2111" i="56"/>
  <c r="C2112" i="56"/>
  <c r="D2112" i="56" s="1"/>
  <c r="E2112" i="56"/>
  <c r="F2112" i="56" s="1"/>
  <c r="I2112" i="56"/>
  <c r="L2112" i="56"/>
  <c r="C2113" i="56"/>
  <c r="D2113" i="56" s="1"/>
  <c r="E2113" i="56"/>
  <c r="F2113" i="56" s="1"/>
  <c r="I2113" i="56"/>
  <c r="C2114" i="56"/>
  <c r="D2114" i="56" s="1"/>
  <c r="E2114" i="56"/>
  <c r="F2114" i="56" s="1"/>
  <c r="I2114" i="56"/>
  <c r="C2115" i="56"/>
  <c r="D2115" i="56" s="1"/>
  <c r="E2115" i="56"/>
  <c r="F2115" i="56" s="1"/>
  <c r="I2115" i="56"/>
  <c r="C2116" i="56"/>
  <c r="D2116" i="56" s="1"/>
  <c r="E2116" i="56"/>
  <c r="F2116" i="56" s="1"/>
  <c r="I2116" i="56"/>
  <c r="C2117" i="56"/>
  <c r="D2117" i="56" s="1"/>
  <c r="E2117" i="56"/>
  <c r="F2117" i="56" s="1"/>
  <c r="L2117" i="56"/>
  <c r="C2118" i="56"/>
  <c r="D2118" i="56" s="1"/>
  <c r="E2118" i="56"/>
  <c r="F2118" i="56" s="1"/>
  <c r="I2118" i="56"/>
  <c r="L2118" i="56"/>
  <c r="C2119" i="56"/>
  <c r="D2119" i="56" s="1"/>
  <c r="E2119" i="56"/>
  <c r="F2119" i="56" s="1"/>
  <c r="I2119" i="56"/>
  <c r="C2120" i="56"/>
  <c r="D2120" i="56" s="1"/>
  <c r="E2120" i="56"/>
  <c r="F2120" i="56" s="1"/>
  <c r="C2121" i="56"/>
  <c r="D2121" i="56" s="1"/>
  <c r="E2121" i="56"/>
  <c r="F2121" i="56" s="1"/>
  <c r="I2121" i="56"/>
  <c r="C2122" i="56"/>
  <c r="D2122" i="56" s="1"/>
  <c r="E2122" i="56"/>
  <c r="F2122" i="56" s="1"/>
  <c r="I2122" i="56"/>
  <c r="L2122" i="56"/>
  <c r="C2123" i="56"/>
  <c r="D2123" i="56" s="1"/>
  <c r="E2123" i="56"/>
  <c r="F2123" i="56" s="1"/>
  <c r="I2123" i="56"/>
  <c r="L2123" i="56"/>
  <c r="C2124" i="56"/>
  <c r="D2124" i="56" s="1"/>
  <c r="E2124" i="56"/>
  <c r="F2124" i="56" s="1"/>
  <c r="I2124" i="56"/>
  <c r="L2124" i="56"/>
  <c r="C2125" i="56"/>
  <c r="D2125" i="56" s="1"/>
  <c r="E2125" i="56"/>
  <c r="F2125" i="56" s="1"/>
  <c r="I2125" i="56"/>
  <c r="C2126" i="56"/>
  <c r="D2126" i="56" s="1"/>
  <c r="E2126" i="56"/>
  <c r="F2126" i="56" s="1"/>
  <c r="I2126" i="56"/>
  <c r="C2127" i="56"/>
  <c r="D2127" i="56" s="1"/>
  <c r="E2127" i="56"/>
  <c r="F2127" i="56" s="1"/>
  <c r="I2127" i="56"/>
  <c r="C2128" i="56"/>
  <c r="D2128" i="56" s="1"/>
  <c r="E2128" i="56"/>
  <c r="F2128" i="56" s="1"/>
  <c r="I2128" i="56"/>
  <c r="C2129" i="56"/>
  <c r="D2129" i="56" s="1"/>
  <c r="E2129" i="56"/>
  <c r="F2129" i="56" s="1"/>
  <c r="L2129" i="56"/>
  <c r="C2130" i="56"/>
  <c r="D2130" i="56" s="1"/>
  <c r="E2130" i="56"/>
  <c r="F2130" i="56" s="1"/>
  <c r="L2130" i="56"/>
  <c r="C2131" i="56"/>
  <c r="D2131" i="56" s="1"/>
  <c r="E2131" i="56"/>
  <c r="F2131" i="56" s="1"/>
  <c r="I2131" i="56"/>
  <c r="C2132" i="56"/>
  <c r="D2132" i="56" s="1"/>
  <c r="E2132" i="56"/>
  <c r="F2132" i="56" s="1"/>
  <c r="C2133" i="56"/>
  <c r="D2133" i="56" s="1"/>
  <c r="E2133" i="56"/>
  <c r="F2133" i="56" s="1"/>
  <c r="I2133" i="56"/>
  <c r="C2134" i="56"/>
  <c r="D2134" i="56" s="1"/>
  <c r="E2134" i="56"/>
  <c r="F2134" i="56" s="1"/>
  <c r="I2134" i="56"/>
  <c r="L2134" i="56"/>
  <c r="C2135" i="56"/>
  <c r="D2135" i="56" s="1"/>
  <c r="E2135" i="56"/>
  <c r="F2135" i="56" s="1"/>
  <c r="I2135" i="56"/>
  <c r="L2135" i="56"/>
  <c r="C2136" i="56"/>
  <c r="D2136" i="56" s="1"/>
  <c r="E2136" i="56"/>
  <c r="F2136" i="56" s="1"/>
  <c r="I2136" i="56"/>
  <c r="L2136" i="56"/>
  <c r="C2137" i="56"/>
  <c r="D2137" i="56" s="1"/>
  <c r="E2137" i="56"/>
  <c r="F2137" i="56" s="1"/>
  <c r="I2137" i="56"/>
  <c r="C2138" i="56"/>
  <c r="D2138" i="56" s="1"/>
  <c r="E2138" i="56"/>
  <c r="F2138" i="56" s="1"/>
  <c r="I2138" i="56"/>
  <c r="C2139" i="56"/>
  <c r="D2139" i="56" s="1"/>
  <c r="E2139" i="56"/>
  <c r="F2139" i="56" s="1"/>
  <c r="I2139" i="56"/>
  <c r="C2140" i="56"/>
  <c r="D2140" i="56" s="1"/>
  <c r="E2140" i="56"/>
  <c r="F2140" i="56" s="1"/>
  <c r="I2140" i="56"/>
  <c r="C2141" i="56"/>
  <c r="D2141" i="56" s="1"/>
  <c r="E2141" i="56"/>
  <c r="F2141" i="56" s="1"/>
  <c r="L2141" i="56"/>
  <c r="C2142" i="56"/>
  <c r="D2142" i="56" s="1"/>
  <c r="E2142" i="56"/>
  <c r="F2142" i="56" s="1"/>
  <c r="I2142" i="56"/>
  <c r="L2142" i="56"/>
  <c r="C2143" i="56"/>
  <c r="D2143" i="56" s="1"/>
  <c r="E2143" i="56"/>
  <c r="F2143" i="56" s="1"/>
  <c r="C2144" i="56"/>
  <c r="D2144" i="56" s="1"/>
  <c r="E2144" i="56"/>
  <c r="F2144" i="56" s="1"/>
  <c r="C2145" i="56"/>
  <c r="D2145" i="56" s="1"/>
  <c r="E2145" i="56"/>
  <c r="F2145" i="56" s="1"/>
  <c r="I2145" i="56"/>
  <c r="L2145" i="56"/>
  <c r="C2146" i="56"/>
  <c r="D2146" i="56" s="1"/>
  <c r="E2146" i="56"/>
  <c r="F2146" i="56" s="1"/>
  <c r="I2146" i="56"/>
  <c r="L2146" i="56"/>
  <c r="C2147" i="56"/>
  <c r="D2147" i="56" s="1"/>
  <c r="E2147" i="56"/>
  <c r="F2147" i="56" s="1"/>
  <c r="I2147" i="56"/>
  <c r="L2147" i="56"/>
  <c r="C2148" i="56"/>
  <c r="D2148" i="56" s="1"/>
  <c r="E2148" i="56"/>
  <c r="F2148" i="56" s="1"/>
  <c r="I2148" i="56"/>
  <c r="C2149" i="56"/>
  <c r="D2149" i="56" s="1"/>
  <c r="E2149" i="56"/>
  <c r="F2149" i="56" s="1"/>
  <c r="I2149" i="56"/>
  <c r="C2150" i="56"/>
  <c r="D2150" i="56" s="1"/>
  <c r="E2150" i="56"/>
  <c r="F2150" i="56" s="1"/>
  <c r="I2150" i="56"/>
  <c r="C2151" i="56"/>
  <c r="D2151" i="56" s="1"/>
  <c r="E2151" i="56"/>
  <c r="F2151" i="56" s="1"/>
  <c r="I2151" i="56"/>
  <c r="C2152" i="56"/>
  <c r="D2152" i="56" s="1"/>
  <c r="E2152" i="56"/>
  <c r="F2152" i="56" s="1"/>
  <c r="I2152" i="56"/>
  <c r="C2153" i="56"/>
  <c r="D2153" i="56" s="1"/>
  <c r="E2153" i="56"/>
  <c r="F2153" i="56" s="1"/>
  <c r="L2153" i="56"/>
  <c r="C2154" i="56"/>
  <c r="D2154" i="56" s="1"/>
  <c r="E2154" i="56"/>
  <c r="F2154" i="56" s="1"/>
  <c r="L2154" i="56"/>
  <c r="C2155" i="56"/>
  <c r="D2155" i="56" s="1"/>
  <c r="E2155" i="56"/>
  <c r="F2155" i="56" s="1"/>
  <c r="C2156" i="56"/>
  <c r="D2156" i="56" s="1"/>
  <c r="E2156" i="56"/>
  <c r="F2156" i="56" s="1"/>
  <c r="C2157" i="56"/>
  <c r="D2157" i="56" s="1"/>
  <c r="E2157" i="56"/>
  <c r="F2157" i="56" s="1"/>
  <c r="I2157" i="56"/>
  <c r="L2157" i="56"/>
  <c r="C2158" i="56"/>
  <c r="D2158" i="56" s="1"/>
  <c r="E2158" i="56"/>
  <c r="F2158" i="56" s="1"/>
  <c r="I2158" i="56"/>
  <c r="C2159" i="56"/>
  <c r="D2159" i="56" s="1"/>
  <c r="E2159" i="56"/>
  <c r="F2159" i="56" s="1"/>
  <c r="I2159" i="56"/>
  <c r="L2159" i="56"/>
  <c r="C2160" i="56"/>
  <c r="D2160" i="56" s="1"/>
  <c r="E2160" i="56"/>
  <c r="F2160" i="56" s="1"/>
  <c r="I2160" i="56"/>
  <c r="L2160" i="56"/>
  <c r="C2161" i="56"/>
  <c r="D2161" i="56" s="1"/>
  <c r="E2161" i="56"/>
  <c r="F2161" i="56" s="1"/>
  <c r="I2161" i="56"/>
  <c r="C2162" i="56"/>
  <c r="D2162" i="56" s="1"/>
  <c r="E2162" i="56"/>
  <c r="F2162" i="56" s="1"/>
  <c r="I2162" i="56"/>
  <c r="C2163" i="56"/>
  <c r="D2163" i="56" s="1"/>
  <c r="E2163" i="56"/>
  <c r="F2163" i="56" s="1"/>
  <c r="I2163" i="56"/>
  <c r="C2164" i="56"/>
  <c r="D2164" i="56" s="1"/>
  <c r="E2164" i="56"/>
  <c r="F2164" i="56" s="1"/>
  <c r="I2164" i="56"/>
  <c r="C2165" i="56"/>
  <c r="D2165" i="56" s="1"/>
  <c r="E2165" i="56"/>
  <c r="F2165" i="56" s="1"/>
  <c r="L2165" i="56"/>
  <c r="C2166" i="56"/>
  <c r="D2166" i="56" s="1"/>
  <c r="E2166" i="56"/>
  <c r="F2166" i="56" s="1"/>
  <c r="L2166" i="56"/>
  <c r="C2167" i="56"/>
  <c r="D2167" i="56" s="1"/>
  <c r="E2167" i="56"/>
  <c r="F2167" i="56" s="1"/>
  <c r="C2168" i="56"/>
  <c r="D2168" i="56" s="1"/>
  <c r="E2168" i="56"/>
  <c r="F2168" i="56" s="1"/>
  <c r="C2169" i="56"/>
  <c r="D2169" i="56" s="1"/>
  <c r="E2169" i="56"/>
  <c r="F2169" i="56" s="1"/>
  <c r="I2169" i="56"/>
  <c r="L2169" i="56"/>
  <c r="C2170" i="56"/>
  <c r="D2170" i="56" s="1"/>
  <c r="E2170" i="56"/>
  <c r="F2170" i="56" s="1"/>
  <c r="I2170" i="56"/>
  <c r="L2170" i="56"/>
  <c r="C2171" i="56"/>
  <c r="D2171" i="56" s="1"/>
  <c r="E2171" i="56"/>
  <c r="F2171" i="56" s="1"/>
  <c r="I2171" i="56"/>
  <c r="L2171" i="56"/>
  <c r="C2172" i="56"/>
  <c r="D2172" i="56" s="1"/>
  <c r="E2172" i="56"/>
  <c r="F2172" i="56" s="1"/>
  <c r="I2172" i="56"/>
  <c r="L2172" i="56"/>
  <c r="C2173" i="56"/>
  <c r="D2173" i="56" s="1"/>
  <c r="E2173" i="56"/>
  <c r="F2173" i="56" s="1"/>
  <c r="I2173" i="56"/>
  <c r="C2174" i="56"/>
  <c r="D2174" i="56" s="1"/>
  <c r="E2174" i="56"/>
  <c r="F2174" i="56" s="1"/>
  <c r="I2174" i="56"/>
  <c r="C2175" i="56"/>
  <c r="D2175" i="56" s="1"/>
  <c r="E2175" i="56"/>
  <c r="F2175" i="56" s="1"/>
  <c r="I2175" i="56"/>
  <c r="C2176" i="56"/>
  <c r="D2176" i="56" s="1"/>
  <c r="E2176" i="56"/>
  <c r="F2176" i="56" s="1"/>
  <c r="I2176" i="56"/>
  <c r="C2177" i="56"/>
  <c r="D2177" i="56" s="1"/>
  <c r="E2177" i="56"/>
  <c r="F2177" i="56" s="1"/>
  <c r="L2177" i="56"/>
  <c r="C2178" i="56"/>
  <c r="D2178" i="56" s="1"/>
  <c r="E2178" i="56"/>
  <c r="F2178" i="56" s="1"/>
  <c r="L2178" i="56"/>
  <c r="C2179" i="56"/>
  <c r="D2179" i="56" s="1"/>
  <c r="E2179" i="56"/>
  <c r="F2179" i="56" s="1"/>
  <c r="C2180" i="56"/>
  <c r="D2180" i="56" s="1"/>
  <c r="E2180" i="56"/>
  <c r="F2180" i="56" s="1"/>
  <c r="C2181" i="56"/>
  <c r="D2181" i="56" s="1"/>
  <c r="E2181" i="56"/>
  <c r="F2181" i="56" s="1"/>
  <c r="I2181" i="56"/>
  <c r="L2181" i="56"/>
  <c r="C2182" i="56"/>
  <c r="D2182" i="56" s="1"/>
  <c r="E2182" i="56"/>
  <c r="F2182" i="56" s="1"/>
  <c r="I2182" i="56"/>
  <c r="L2182" i="56"/>
  <c r="C2183" i="56"/>
  <c r="D2183" i="56" s="1"/>
  <c r="E2183" i="56"/>
  <c r="F2183" i="56" s="1"/>
  <c r="I2183" i="56"/>
  <c r="L2183" i="56"/>
  <c r="C2184" i="56"/>
  <c r="D2184" i="56" s="1"/>
  <c r="E2184" i="56"/>
  <c r="F2184" i="56" s="1"/>
  <c r="I2184" i="56"/>
  <c r="L2184" i="56"/>
  <c r="C2185" i="56"/>
  <c r="D2185" i="56" s="1"/>
  <c r="E2185" i="56"/>
  <c r="F2185" i="56" s="1"/>
  <c r="I2185" i="56"/>
  <c r="C2186" i="56"/>
  <c r="D2186" i="56" s="1"/>
  <c r="E2186" i="56"/>
  <c r="F2186" i="56" s="1"/>
  <c r="I2186" i="56"/>
  <c r="C2187" i="56"/>
  <c r="D2187" i="56" s="1"/>
  <c r="E2187" i="56"/>
  <c r="F2187" i="56" s="1"/>
  <c r="I2187" i="56"/>
  <c r="C2188" i="56"/>
  <c r="D2188" i="56" s="1"/>
  <c r="E2188" i="56"/>
  <c r="F2188" i="56" s="1"/>
  <c r="I2188" i="56"/>
  <c r="L2188" i="56"/>
  <c r="C2189" i="56"/>
  <c r="D2189" i="56" s="1"/>
  <c r="E2189" i="56"/>
  <c r="F2189" i="56" s="1"/>
  <c r="L2189" i="56"/>
  <c r="C2190" i="56"/>
  <c r="D2190" i="56" s="1"/>
  <c r="E2190" i="56"/>
  <c r="F2190" i="56" s="1"/>
  <c r="L2190" i="56"/>
  <c r="C2191" i="56"/>
  <c r="D2191" i="56" s="1"/>
  <c r="E2191" i="56"/>
  <c r="F2191" i="56" s="1"/>
  <c r="C2192" i="56"/>
  <c r="D2192" i="56" s="1"/>
  <c r="E2192" i="56"/>
  <c r="F2192" i="56" s="1"/>
  <c r="C2193" i="56"/>
  <c r="D2193" i="56" s="1"/>
  <c r="E2193" i="56"/>
  <c r="F2193" i="56" s="1"/>
  <c r="I2193" i="56"/>
  <c r="L2193" i="56"/>
  <c r="C2194" i="56"/>
  <c r="D2194" i="56" s="1"/>
  <c r="E2194" i="56"/>
  <c r="F2194" i="56" s="1"/>
  <c r="I2194" i="56"/>
  <c r="L2194" i="56"/>
  <c r="C2195" i="56"/>
  <c r="D2195" i="56" s="1"/>
  <c r="E2195" i="56"/>
  <c r="F2195" i="56" s="1"/>
  <c r="I2195" i="56"/>
  <c r="L2195" i="56"/>
  <c r="C2196" i="56"/>
  <c r="D2196" i="56" s="1"/>
  <c r="E2196" i="56"/>
  <c r="F2196" i="56" s="1"/>
  <c r="I2196" i="56"/>
  <c r="L2196" i="56"/>
  <c r="C2197" i="56"/>
  <c r="D2197" i="56" s="1"/>
  <c r="E2197" i="56"/>
  <c r="F2197" i="56" s="1"/>
  <c r="I2197" i="56"/>
  <c r="C2198" i="56"/>
  <c r="D2198" i="56" s="1"/>
  <c r="E2198" i="56"/>
  <c r="F2198" i="56" s="1"/>
  <c r="I2198" i="56"/>
  <c r="C2199" i="56"/>
  <c r="D2199" i="56" s="1"/>
  <c r="E2199" i="56"/>
  <c r="F2199" i="56" s="1"/>
  <c r="I2199" i="56"/>
  <c r="C2200" i="56"/>
  <c r="D2200" i="56" s="1"/>
  <c r="E2200" i="56"/>
  <c r="F2200" i="56" s="1"/>
  <c r="I2200" i="56"/>
  <c r="C2201" i="56"/>
  <c r="D2201" i="56" s="1"/>
  <c r="E2201" i="56"/>
  <c r="F2201" i="56" s="1"/>
  <c r="L2201" i="56"/>
  <c r="C2202" i="56"/>
  <c r="D2202" i="56" s="1"/>
  <c r="E2202" i="56"/>
  <c r="F2202" i="56" s="1"/>
  <c r="L2202" i="56"/>
  <c r="C2203" i="56"/>
  <c r="D2203" i="56" s="1"/>
  <c r="E2203" i="56"/>
  <c r="F2203" i="56" s="1"/>
  <c r="I2203" i="56"/>
  <c r="C2204" i="56"/>
  <c r="D2204" i="56" s="1"/>
  <c r="E2204" i="56"/>
  <c r="F2204" i="56" s="1"/>
  <c r="C2205" i="56"/>
  <c r="D2205" i="56" s="1"/>
  <c r="E2205" i="56"/>
  <c r="F2205" i="56" s="1"/>
  <c r="I2205" i="56"/>
  <c r="L2205" i="56"/>
  <c r="C2206" i="56"/>
  <c r="D2206" i="56" s="1"/>
  <c r="E2206" i="56"/>
  <c r="F2206" i="56" s="1"/>
  <c r="I2206" i="56"/>
  <c r="C2207" i="56"/>
  <c r="D2207" i="56" s="1"/>
  <c r="E2207" i="56"/>
  <c r="F2207" i="56" s="1"/>
  <c r="I2207" i="56"/>
  <c r="L2207" i="56"/>
  <c r="C2208" i="56"/>
  <c r="D2208" i="56" s="1"/>
  <c r="E2208" i="56"/>
  <c r="F2208" i="56" s="1"/>
  <c r="I2208" i="56"/>
  <c r="L2208" i="56"/>
  <c r="C2209" i="56"/>
  <c r="D2209" i="56" s="1"/>
  <c r="E2209" i="56"/>
  <c r="F2209" i="56" s="1"/>
  <c r="I2209" i="56"/>
  <c r="C2210" i="56"/>
  <c r="D2210" i="56" s="1"/>
  <c r="E2210" i="56"/>
  <c r="F2210" i="56" s="1"/>
  <c r="I2210" i="56"/>
  <c r="C2211" i="56"/>
  <c r="D2211" i="56" s="1"/>
  <c r="E2211" i="56"/>
  <c r="F2211" i="56" s="1"/>
  <c r="I2211" i="56"/>
  <c r="C2212" i="56"/>
  <c r="D2212" i="56" s="1"/>
  <c r="E2212" i="56"/>
  <c r="F2212" i="56" s="1"/>
  <c r="I2212" i="56"/>
  <c r="C2213" i="56"/>
  <c r="D2213" i="56" s="1"/>
  <c r="E2213" i="56"/>
  <c r="F2213" i="56" s="1"/>
  <c r="L2213" i="56"/>
  <c r="C2214" i="56"/>
  <c r="D2214" i="56" s="1"/>
  <c r="E2214" i="56"/>
  <c r="F2214" i="56" s="1"/>
  <c r="I2214" i="56"/>
  <c r="L2214" i="56"/>
  <c r="C2215" i="56"/>
  <c r="D2215" i="56" s="1"/>
  <c r="E2215" i="56"/>
  <c r="F2215" i="56" s="1"/>
  <c r="C2216" i="56"/>
  <c r="D2216" i="56" s="1"/>
  <c r="E2216" i="56"/>
  <c r="F2216" i="56" s="1"/>
  <c r="C2217" i="56"/>
  <c r="D2217" i="56" s="1"/>
  <c r="E2217" i="56"/>
  <c r="F2217" i="56" s="1"/>
  <c r="I2217" i="56"/>
  <c r="C2218" i="56"/>
  <c r="D2218" i="56" s="1"/>
  <c r="E2218" i="56"/>
  <c r="F2218" i="56" s="1"/>
  <c r="I2218" i="56"/>
  <c r="L2218" i="56"/>
  <c r="C2219" i="56"/>
  <c r="D2219" i="56" s="1"/>
  <c r="E2219" i="56"/>
  <c r="F2219" i="56" s="1"/>
  <c r="I2219" i="56"/>
  <c r="C2220" i="56"/>
  <c r="D2220" i="56" s="1"/>
  <c r="E2220" i="56"/>
  <c r="F2220" i="56" s="1"/>
  <c r="I2220" i="56"/>
  <c r="L2220" i="56"/>
  <c r="C2221" i="56"/>
  <c r="D2221" i="56" s="1"/>
  <c r="E2221" i="56"/>
  <c r="F2221" i="56" s="1"/>
  <c r="I2221" i="56"/>
  <c r="C2222" i="56"/>
  <c r="D2222" i="56" s="1"/>
  <c r="E2222" i="56"/>
  <c r="F2222" i="56" s="1"/>
  <c r="I2222" i="56"/>
  <c r="C2223" i="56"/>
  <c r="D2223" i="56" s="1"/>
  <c r="E2223" i="56"/>
  <c r="F2223" i="56" s="1"/>
  <c r="I2223" i="56"/>
  <c r="C2224" i="56"/>
  <c r="D2224" i="56" s="1"/>
  <c r="E2224" i="56"/>
  <c r="F2224" i="56" s="1"/>
  <c r="I2224" i="56"/>
  <c r="L2224" i="56"/>
  <c r="C2225" i="56"/>
  <c r="D2225" i="56" s="1"/>
  <c r="E2225" i="56"/>
  <c r="F2225" i="56" s="1"/>
  <c r="L2225" i="56"/>
  <c r="C2226" i="56"/>
  <c r="D2226" i="56" s="1"/>
  <c r="E2226" i="56"/>
  <c r="F2226" i="56" s="1"/>
  <c r="I2226" i="56"/>
  <c r="L2226" i="56"/>
  <c r="C2227" i="56"/>
  <c r="D2227" i="56" s="1"/>
  <c r="E2227" i="56"/>
  <c r="F2227" i="56" s="1"/>
  <c r="C2228" i="56"/>
  <c r="D2228" i="56" s="1"/>
  <c r="E2228" i="56"/>
  <c r="F2228" i="56" s="1"/>
  <c r="C2229" i="56"/>
  <c r="D2229" i="56" s="1"/>
  <c r="E2229" i="56"/>
  <c r="F2229" i="56" s="1"/>
  <c r="I2229" i="56"/>
  <c r="C2230" i="56"/>
  <c r="D2230" i="56" s="1"/>
  <c r="E2230" i="56"/>
  <c r="F2230" i="56" s="1"/>
  <c r="I2230" i="56"/>
  <c r="L2230" i="56"/>
  <c r="C2231" i="56"/>
  <c r="D2231" i="56" s="1"/>
  <c r="E2231" i="56"/>
  <c r="F2231" i="56" s="1"/>
  <c r="I2231" i="56"/>
  <c r="L2231" i="56"/>
  <c r="C2232" i="56"/>
  <c r="D2232" i="56" s="1"/>
  <c r="E2232" i="56"/>
  <c r="F2232" i="56" s="1"/>
  <c r="I2232" i="56"/>
  <c r="C2233" i="56"/>
  <c r="D2233" i="56" s="1"/>
  <c r="E2233" i="56"/>
  <c r="F2233" i="56" s="1"/>
  <c r="I2233" i="56"/>
  <c r="C2234" i="56"/>
  <c r="D2234" i="56" s="1"/>
  <c r="E2234" i="56"/>
  <c r="F2234" i="56" s="1"/>
  <c r="I2234" i="56"/>
  <c r="C2235" i="56"/>
  <c r="D2235" i="56" s="1"/>
  <c r="E2235" i="56"/>
  <c r="F2235" i="56" s="1"/>
  <c r="I2235" i="56"/>
  <c r="C2236" i="56"/>
  <c r="D2236" i="56" s="1"/>
  <c r="E2236" i="56"/>
  <c r="F2236" i="56" s="1"/>
  <c r="I2236" i="56"/>
  <c r="C2237" i="56"/>
  <c r="D2237" i="56" s="1"/>
  <c r="E2237" i="56"/>
  <c r="F2237" i="56" s="1"/>
  <c r="L2237" i="56"/>
  <c r="C2238" i="56"/>
  <c r="D2238" i="56" s="1"/>
  <c r="E2238" i="56"/>
  <c r="F2238" i="56" s="1"/>
  <c r="L2238" i="56"/>
  <c r="C2239" i="56"/>
  <c r="D2239" i="56" s="1"/>
  <c r="E2239" i="56"/>
  <c r="F2239" i="56" s="1"/>
  <c r="C2240" i="56"/>
  <c r="D2240" i="56" s="1"/>
  <c r="E2240" i="56"/>
  <c r="F2240" i="56" s="1"/>
  <c r="C2241" i="56"/>
  <c r="D2241" i="56" s="1"/>
  <c r="E2241" i="56"/>
  <c r="F2241" i="56" s="1"/>
  <c r="I2241" i="56"/>
  <c r="L2241" i="56"/>
  <c r="C2242" i="56"/>
  <c r="D2242" i="56" s="1"/>
  <c r="E2242" i="56"/>
  <c r="F2242" i="56" s="1"/>
  <c r="I2242" i="56"/>
  <c r="L2242" i="56"/>
  <c r="C2243" i="56"/>
  <c r="D2243" i="56" s="1"/>
  <c r="E2243" i="56"/>
  <c r="F2243" i="56" s="1"/>
  <c r="I2243" i="56"/>
  <c r="L2243" i="56"/>
  <c r="C2244" i="56"/>
  <c r="D2244" i="56" s="1"/>
  <c r="E2244" i="56"/>
  <c r="F2244" i="56" s="1"/>
  <c r="I2244" i="56"/>
  <c r="L2244" i="56"/>
  <c r="C2245" i="56"/>
  <c r="D2245" i="56" s="1"/>
  <c r="E2245" i="56"/>
  <c r="F2245" i="56" s="1"/>
  <c r="I2245" i="56"/>
  <c r="C2246" i="56"/>
  <c r="D2246" i="56" s="1"/>
  <c r="E2246" i="56"/>
  <c r="F2246" i="56" s="1"/>
  <c r="I2246" i="56"/>
  <c r="C2247" i="56"/>
  <c r="D2247" i="56" s="1"/>
  <c r="E2247" i="56"/>
  <c r="F2247" i="56" s="1"/>
  <c r="I2247" i="56"/>
  <c r="C2248" i="56"/>
  <c r="D2248" i="56" s="1"/>
  <c r="E2248" i="56"/>
  <c r="F2248" i="56" s="1"/>
  <c r="I2248" i="56"/>
  <c r="C2249" i="56"/>
  <c r="D2249" i="56" s="1"/>
  <c r="E2249" i="56"/>
  <c r="F2249" i="56" s="1"/>
  <c r="L2249" i="56"/>
  <c r="C2250" i="56"/>
  <c r="D2250" i="56" s="1"/>
  <c r="E2250" i="56"/>
  <c r="F2250" i="56" s="1"/>
  <c r="L2250" i="56"/>
  <c r="C2251" i="56"/>
  <c r="D2251" i="56" s="1"/>
  <c r="E2251" i="56"/>
  <c r="F2251" i="56" s="1"/>
  <c r="I2251" i="56"/>
  <c r="C2252" i="56"/>
  <c r="D2252" i="56" s="1"/>
  <c r="E2252" i="56"/>
  <c r="F2252" i="56" s="1"/>
  <c r="C2253" i="56"/>
  <c r="D2253" i="56" s="1"/>
  <c r="E2253" i="56"/>
  <c r="F2253" i="56" s="1"/>
  <c r="I2253" i="56"/>
  <c r="L2253" i="56"/>
  <c r="C2254" i="56"/>
  <c r="D2254" i="56" s="1"/>
  <c r="E2254" i="56"/>
  <c r="F2254" i="56" s="1"/>
  <c r="I2254" i="56"/>
  <c r="C2255" i="56"/>
  <c r="D2255" i="56" s="1"/>
  <c r="E2255" i="56"/>
  <c r="F2255" i="56" s="1"/>
  <c r="I2255" i="56"/>
  <c r="L2255" i="56"/>
  <c r="C2256" i="56"/>
  <c r="D2256" i="56" s="1"/>
  <c r="E2256" i="56"/>
  <c r="F2256" i="56" s="1"/>
  <c r="I2256" i="56"/>
  <c r="L2256" i="56"/>
  <c r="C2257" i="56"/>
  <c r="D2257" i="56" s="1"/>
  <c r="E2257" i="56"/>
  <c r="F2257" i="56" s="1"/>
  <c r="I2257" i="56"/>
  <c r="C2258" i="56"/>
  <c r="D2258" i="56" s="1"/>
  <c r="E2258" i="56"/>
  <c r="F2258" i="56" s="1"/>
  <c r="I2258" i="56"/>
  <c r="C2259" i="56"/>
  <c r="D2259" i="56" s="1"/>
  <c r="E2259" i="56"/>
  <c r="F2259" i="56" s="1"/>
  <c r="I2259" i="56"/>
  <c r="C2260" i="56"/>
  <c r="D2260" i="56" s="1"/>
  <c r="E2260" i="56"/>
  <c r="F2260" i="56" s="1"/>
  <c r="I2260" i="56"/>
  <c r="C2261" i="56"/>
  <c r="D2261" i="56" s="1"/>
  <c r="E2261" i="56"/>
  <c r="F2261" i="56" s="1"/>
  <c r="L2261" i="56"/>
  <c r="C2262" i="56"/>
  <c r="D2262" i="56" s="1"/>
  <c r="E2262" i="56"/>
  <c r="F2262" i="56" s="1"/>
  <c r="I2262" i="56"/>
  <c r="L2262" i="56"/>
  <c r="C2263" i="56"/>
  <c r="D2263" i="56" s="1"/>
  <c r="E2263" i="56"/>
  <c r="F2263" i="56" s="1"/>
  <c r="C2264" i="56"/>
  <c r="D2264" i="56" s="1"/>
  <c r="E2264" i="56"/>
  <c r="F2264" i="56" s="1"/>
  <c r="C2265" i="56"/>
  <c r="D2265" i="56" s="1"/>
  <c r="E2265" i="56"/>
  <c r="F2265" i="56" s="1"/>
  <c r="I2265" i="56"/>
  <c r="C2266" i="56"/>
  <c r="D2266" i="56" s="1"/>
  <c r="E2266" i="56"/>
  <c r="F2266" i="56" s="1"/>
  <c r="I2266" i="56"/>
  <c r="L2266" i="56"/>
  <c r="C2267" i="56"/>
  <c r="D2267" i="56" s="1"/>
  <c r="E2267" i="56"/>
  <c r="F2267" i="56" s="1"/>
  <c r="I2267" i="56"/>
  <c r="L2267" i="56"/>
  <c r="C2268" i="56"/>
  <c r="D2268" i="56" s="1"/>
  <c r="E2268" i="56"/>
  <c r="F2268" i="56" s="1"/>
  <c r="I2268" i="56"/>
  <c r="L2268" i="56"/>
  <c r="C2269" i="56"/>
  <c r="D2269" i="56" s="1"/>
  <c r="E2269" i="56"/>
  <c r="F2269" i="56" s="1"/>
  <c r="I2269" i="56"/>
  <c r="C2270" i="56"/>
  <c r="D2270" i="56" s="1"/>
  <c r="E2270" i="56"/>
  <c r="F2270" i="56" s="1"/>
  <c r="I2270" i="56"/>
  <c r="C2271" i="56"/>
  <c r="D2271" i="56" s="1"/>
  <c r="E2271" i="56"/>
  <c r="F2271" i="56" s="1"/>
  <c r="I2271" i="56"/>
  <c r="C2272" i="56"/>
  <c r="D2272" i="56" s="1"/>
  <c r="E2272" i="56"/>
  <c r="F2272" i="56" s="1"/>
  <c r="I2272" i="56"/>
  <c r="C2273" i="56"/>
  <c r="D2273" i="56" s="1"/>
  <c r="E2273" i="56"/>
  <c r="F2273" i="56" s="1"/>
  <c r="L2273" i="56"/>
  <c r="C2274" i="56"/>
  <c r="D2274" i="56" s="1"/>
  <c r="E2274" i="56"/>
  <c r="F2274" i="56" s="1"/>
  <c r="L2274" i="56"/>
  <c r="C2275" i="56"/>
  <c r="D2275" i="56" s="1"/>
  <c r="E2275" i="56"/>
  <c r="F2275" i="56" s="1"/>
  <c r="C2276" i="56"/>
  <c r="D2276" i="56" s="1"/>
  <c r="E2276" i="56"/>
  <c r="F2276" i="56" s="1"/>
  <c r="C2277" i="56"/>
  <c r="D2277" i="56" s="1"/>
  <c r="E2277" i="56"/>
  <c r="F2277" i="56" s="1"/>
  <c r="I2277" i="56"/>
  <c r="L2277" i="56"/>
  <c r="C2278" i="56"/>
  <c r="D2278" i="56" s="1"/>
  <c r="E2278" i="56"/>
  <c r="F2278" i="56" s="1"/>
  <c r="I2278" i="56"/>
  <c r="L2278" i="56"/>
  <c r="C2279" i="56"/>
  <c r="D2279" i="56" s="1"/>
  <c r="E2279" i="56"/>
  <c r="F2279" i="56" s="1"/>
  <c r="I2279" i="56"/>
  <c r="L2279" i="56"/>
  <c r="C2280" i="56"/>
  <c r="D2280" i="56" s="1"/>
  <c r="E2280" i="56"/>
  <c r="F2280" i="56" s="1"/>
  <c r="I2280" i="56"/>
  <c r="L2280" i="56"/>
  <c r="C2281" i="56"/>
  <c r="D2281" i="56" s="1"/>
  <c r="E2281" i="56"/>
  <c r="F2281" i="56" s="1"/>
  <c r="I2281" i="56"/>
  <c r="C2282" i="56"/>
  <c r="D2282" i="56" s="1"/>
  <c r="E2282" i="56"/>
  <c r="F2282" i="56" s="1"/>
  <c r="I2282" i="56"/>
  <c r="C2283" i="56"/>
  <c r="D2283" i="56" s="1"/>
  <c r="E2283" i="56"/>
  <c r="F2283" i="56" s="1"/>
  <c r="I2283" i="56"/>
  <c r="C2284" i="56"/>
  <c r="D2284" i="56" s="1"/>
  <c r="E2284" i="56"/>
  <c r="F2284" i="56" s="1"/>
  <c r="I2284" i="56"/>
  <c r="C2285" i="56"/>
  <c r="D2285" i="56" s="1"/>
  <c r="E2285" i="56"/>
  <c r="F2285" i="56" s="1"/>
  <c r="L2285" i="56"/>
  <c r="C2286" i="56"/>
  <c r="D2286" i="56" s="1"/>
  <c r="E2286" i="56"/>
  <c r="F2286" i="56" s="1"/>
  <c r="L2286" i="56"/>
  <c r="C2287" i="56"/>
  <c r="D2287" i="56" s="1"/>
  <c r="E2287" i="56"/>
  <c r="F2287" i="56" s="1"/>
  <c r="C2288" i="56"/>
  <c r="D2288" i="56" s="1"/>
  <c r="E2288" i="56"/>
  <c r="F2288" i="56" s="1"/>
  <c r="C2289" i="56"/>
  <c r="D2289" i="56" s="1"/>
  <c r="E2289" i="56"/>
  <c r="F2289" i="56" s="1"/>
  <c r="I2289" i="56"/>
  <c r="C2290" i="56"/>
  <c r="D2290" i="56" s="1"/>
  <c r="E2290" i="56"/>
  <c r="F2290" i="56" s="1"/>
  <c r="I2290" i="56"/>
  <c r="L2290" i="56"/>
  <c r="C2291" i="56"/>
  <c r="D2291" i="56" s="1"/>
  <c r="E2291" i="56"/>
  <c r="F2291" i="56" s="1"/>
  <c r="I2291" i="56"/>
  <c r="L2291" i="56"/>
  <c r="C2292" i="56"/>
  <c r="D2292" i="56" s="1"/>
  <c r="E2292" i="56"/>
  <c r="F2292" i="56" s="1"/>
  <c r="I2292" i="56"/>
  <c r="L2292" i="56"/>
  <c r="C2293" i="56"/>
  <c r="D2293" i="56" s="1"/>
  <c r="E2293" i="56"/>
  <c r="F2293" i="56" s="1"/>
  <c r="I2293" i="56"/>
  <c r="C2294" i="56"/>
  <c r="D2294" i="56" s="1"/>
  <c r="E2294" i="56"/>
  <c r="F2294" i="56" s="1"/>
  <c r="I2294" i="56"/>
  <c r="C2295" i="56"/>
  <c r="D2295" i="56" s="1"/>
  <c r="E2295" i="56"/>
  <c r="F2295" i="56" s="1"/>
  <c r="I2295" i="56"/>
  <c r="C2296" i="56"/>
  <c r="D2296" i="56" s="1"/>
  <c r="E2296" i="56"/>
  <c r="F2296" i="56" s="1"/>
  <c r="I2296" i="56"/>
  <c r="L2296" i="56"/>
  <c r="C2297" i="56"/>
  <c r="D2297" i="56" s="1"/>
  <c r="E2297" i="56"/>
  <c r="F2297" i="56" s="1"/>
  <c r="L2297" i="56"/>
  <c r="C2298" i="56"/>
  <c r="D2298" i="56" s="1"/>
  <c r="E2298" i="56"/>
  <c r="F2298" i="56" s="1"/>
  <c r="L2298" i="56"/>
  <c r="C2299" i="56"/>
  <c r="D2299" i="56" s="1"/>
  <c r="E2299" i="56"/>
  <c r="F2299" i="56" s="1"/>
  <c r="C2300" i="56"/>
  <c r="D2300" i="56" s="1"/>
  <c r="E2300" i="56"/>
  <c r="F2300" i="56" s="1"/>
  <c r="C2301" i="56"/>
  <c r="D2301" i="56" s="1"/>
  <c r="E2301" i="56"/>
  <c r="F2301" i="56" s="1"/>
  <c r="I2301" i="56"/>
  <c r="L2301" i="56"/>
  <c r="C2302" i="56"/>
  <c r="D2302" i="56" s="1"/>
  <c r="E2302" i="56"/>
  <c r="F2302" i="56" s="1"/>
  <c r="I2302" i="56"/>
  <c r="L2302" i="56"/>
  <c r="C2303" i="56"/>
  <c r="D2303" i="56" s="1"/>
  <c r="E2303" i="56"/>
  <c r="F2303" i="56" s="1"/>
  <c r="I2303" i="56"/>
  <c r="L2303" i="56"/>
  <c r="C2304" i="56"/>
  <c r="D2304" i="56" s="1"/>
  <c r="E2304" i="56"/>
  <c r="F2304" i="56" s="1"/>
  <c r="I2304" i="56"/>
  <c r="L2304" i="56"/>
  <c r="C2305" i="56"/>
  <c r="D2305" i="56" s="1"/>
  <c r="E2305" i="56"/>
  <c r="F2305" i="56" s="1"/>
  <c r="I2305" i="56"/>
  <c r="C2306" i="56"/>
  <c r="D2306" i="56" s="1"/>
  <c r="E2306" i="56"/>
  <c r="F2306" i="56" s="1"/>
  <c r="I2306" i="56"/>
  <c r="C2307" i="56"/>
  <c r="D2307" i="56" s="1"/>
  <c r="E2307" i="56"/>
  <c r="F2307" i="56" s="1"/>
  <c r="I2307" i="56"/>
  <c r="C2308" i="56"/>
  <c r="D2308" i="56" s="1"/>
  <c r="E2308" i="56"/>
  <c r="F2308" i="56" s="1"/>
  <c r="I2308" i="56"/>
  <c r="C2309" i="56"/>
  <c r="D2309" i="56" s="1"/>
  <c r="E2309" i="56"/>
  <c r="F2309" i="56" s="1"/>
  <c r="L2309" i="56"/>
  <c r="C2310" i="56"/>
  <c r="D2310" i="56" s="1"/>
  <c r="E2310" i="56"/>
  <c r="F2310" i="56" s="1"/>
  <c r="I2310" i="56"/>
  <c r="L2310" i="56"/>
  <c r="C2311" i="56"/>
  <c r="D2311" i="56" s="1"/>
  <c r="E2311" i="56"/>
  <c r="F2311" i="56" s="1"/>
  <c r="C2312" i="56"/>
  <c r="D2312" i="56" s="1"/>
  <c r="E2312" i="56"/>
  <c r="F2312" i="56" s="1"/>
  <c r="C2313" i="56"/>
  <c r="D2313" i="56" s="1"/>
  <c r="E2313" i="56"/>
  <c r="F2313" i="56" s="1"/>
  <c r="I2313" i="56"/>
  <c r="L2313" i="56"/>
  <c r="C2314" i="56"/>
  <c r="D2314" i="56" s="1"/>
  <c r="E2314" i="56"/>
  <c r="F2314" i="56" s="1"/>
  <c r="I2314" i="56"/>
  <c r="C2315" i="56"/>
  <c r="D2315" i="56" s="1"/>
  <c r="E2315" i="56"/>
  <c r="F2315" i="56" s="1"/>
  <c r="I2315" i="56"/>
  <c r="C2316" i="56"/>
  <c r="D2316" i="56" s="1"/>
  <c r="E2316" i="56"/>
  <c r="F2316" i="56" s="1"/>
  <c r="I2316" i="56"/>
  <c r="C2317" i="56"/>
  <c r="D2317" i="56" s="1"/>
  <c r="E2317" i="56"/>
  <c r="F2317" i="56" s="1"/>
  <c r="I2317" i="56"/>
  <c r="C2318" i="56"/>
  <c r="D2318" i="56" s="1"/>
  <c r="E2318" i="56"/>
  <c r="F2318" i="56" s="1"/>
  <c r="I2318" i="56"/>
  <c r="C2319" i="56"/>
  <c r="D2319" i="56" s="1"/>
  <c r="E2319" i="56"/>
  <c r="F2319" i="56" s="1"/>
  <c r="I2319" i="56"/>
  <c r="C2320" i="56"/>
  <c r="D2320" i="56" s="1"/>
  <c r="E2320" i="56"/>
  <c r="F2320" i="56" s="1"/>
  <c r="I2320" i="56"/>
  <c r="C2321" i="56"/>
  <c r="D2321" i="56" s="1"/>
  <c r="E2321" i="56"/>
  <c r="F2321" i="56" s="1"/>
  <c r="C2322" i="56"/>
  <c r="D2322" i="56" s="1"/>
  <c r="E2322" i="56"/>
  <c r="F2322" i="56" s="1"/>
  <c r="I2322" i="56"/>
  <c r="L2322" i="56"/>
  <c r="C2323" i="56"/>
  <c r="D2323" i="56" s="1"/>
  <c r="E2323" i="56"/>
  <c r="F2323" i="56" s="1"/>
  <c r="C2324" i="56"/>
  <c r="D2324" i="56" s="1"/>
  <c r="E2324" i="56"/>
  <c r="F2324" i="56" s="1"/>
  <c r="C2325" i="56"/>
  <c r="D2325" i="56" s="1"/>
  <c r="E2325" i="56"/>
  <c r="F2325" i="56" s="1"/>
  <c r="I2325" i="56"/>
  <c r="L2325" i="56"/>
  <c r="C2326" i="56"/>
  <c r="D2326" i="56" s="1"/>
  <c r="E2326" i="56"/>
  <c r="F2326" i="56" s="1"/>
  <c r="I2326" i="56"/>
  <c r="C2327" i="56"/>
  <c r="D2327" i="56" s="1"/>
  <c r="E2327" i="56"/>
  <c r="F2327" i="56" s="1"/>
  <c r="I2327" i="56"/>
  <c r="C2328" i="56"/>
  <c r="D2328" i="56" s="1"/>
  <c r="E2328" i="56"/>
  <c r="F2328" i="56" s="1"/>
  <c r="I2328" i="56"/>
  <c r="C2329" i="56"/>
  <c r="D2329" i="56" s="1"/>
  <c r="E2329" i="56"/>
  <c r="F2329" i="56" s="1"/>
  <c r="I2329" i="56"/>
  <c r="C2330" i="56"/>
  <c r="D2330" i="56" s="1"/>
  <c r="E2330" i="56"/>
  <c r="F2330" i="56" s="1"/>
  <c r="I2330" i="56"/>
  <c r="L2330" i="56"/>
  <c r="C2331" i="56"/>
  <c r="D2331" i="56" s="1"/>
  <c r="E2331" i="56"/>
  <c r="F2331" i="56" s="1"/>
  <c r="I2331" i="56"/>
  <c r="C2332" i="56"/>
  <c r="D2332" i="56" s="1"/>
  <c r="E2332" i="56"/>
  <c r="F2332" i="56" s="1"/>
  <c r="I2332" i="56"/>
  <c r="C2333" i="56"/>
  <c r="D2333" i="56" s="1"/>
  <c r="E2333" i="56"/>
  <c r="F2333" i="56" s="1"/>
  <c r="L2333" i="56"/>
  <c r="C2334" i="56"/>
  <c r="D2334" i="56" s="1"/>
  <c r="E2334" i="56"/>
  <c r="F2334" i="56" s="1"/>
  <c r="L2334" i="56"/>
  <c r="C2335" i="56"/>
  <c r="D2335" i="56" s="1"/>
  <c r="E2335" i="56"/>
  <c r="F2335" i="56" s="1"/>
  <c r="I2335" i="56"/>
  <c r="C2336" i="56"/>
  <c r="D2336" i="56" s="1"/>
  <c r="E2336" i="56"/>
  <c r="F2336" i="56" s="1"/>
  <c r="C2337" i="56"/>
  <c r="D2337" i="56" s="1"/>
  <c r="E2337" i="56"/>
  <c r="F2337" i="56" s="1"/>
  <c r="I2337" i="56"/>
  <c r="C2338" i="56"/>
  <c r="D2338" i="56" s="1"/>
  <c r="E2338" i="56"/>
  <c r="F2338" i="56" s="1"/>
  <c r="I2338" i="56"/>
  <c r="C2339" i="56"/>
  <c r="D2339" i="56" s="1"/>
  <c r="E2339" i="56"/>
  <c r="F2339" i="56" s="1"/>
  <c r="I2339" i="56"/>
  <c r="L2339" i="56"/>
  <c r="C2340" i="56"/>
  <c r="D2340" i="56" s="1"/>
  <c r="E2340" i="56"/>
  <c r="F2340" i="56" s="1"/>
  <c r="I2340" i="56"/>
  <c r="L2340" i="56"/>
  <c r="C2341" i="56"/>
  <c r="D2341" i="56" s="1"/>
  <c r="E2341" i="56"/>
  <c r="F2341" i="56" s="1"/>
  <c r="I2341" i="56"/>
  <c r="C2342" i="56"/>
  <c r="D2342" i="56" s="1"/>
  <c r="E2342" i="56"/>
  <c r="F2342" i="56" s="1"/>
  <c r="I2342" i="56"/>
  <c r="L2342" i="56"/>
  <c r="C2343" i="56"/>
  <c r="D2343" i="56" s="1"/>
  <c r="E2343" i="56"/>
  <c r="F2343" i="56" s="1"/>
  <c r="I2343" i="56"/>
  <c r="C2344" i="56"/>
  <c r="D2344" i="56" s="1"/>
  <c r="E2344" i="56"/>
  <c r="F2344" i="56" s="1"/>
  <c r="I2344" i="56"/>
  <c r="C2345" i="56"/>
  <c r="D2345" i="56" s="1"/>
  <c r="E2345" i="56"/>
  <c r="F2345" i="56" s="1"/>
  <c r="L2345" i="56"/>
  <c r="C2346" i="56"/>
  <c r="D2346" i="56"/>
  <c r="E2346" i="56"/>
  <c r="F2346" i="56" s="1"/>
  <c r="I2346" i="56"/>
  <c r="L2346" i="56"/>
  <c r="C2347" i="56"/>
  <c r="D2347" i="56" s="1"/>
  <c r="E2347" i="56"/>
  <c r="F2347" i="56" s="1"/>
  <c r="C2348" i="56"/>
  <c r="D2348" i="56" s="1"/>
  <c r="E2348" i="56"/>
  <c r="F2348" i="56" s="1"/>
  <c r="C2349" i="56"/>
  <c r="D2349" i="56" s="1"/>
  <c r="E2349" i="56"/>
  <c r="F2349" i="56" s="1"/>
  <c r="I2349" i="56"/>
  <c r="L2349" i="56"/>
  <c r="C2350" i="56"/>
  <c r="D2350" i="56" s="1"/>
  <c r="E2350" i="56"/>
  <c r="F2350" i="56" s="1"/>
  <c r="I2350" i="56"/>
  <c r="L2350" i="56"/>
  <c r="C2351" i="56"/>
  <c r="D2351" i="56" s="1"/>
  <c r="E2351" i="56"/>
  <c r="F2351" i="56" s="1"/>
  <c r="I2351" i="56"/>
  <c r="C2352" i="56"/>
  <c r="D2352" i="56" s="1"/>
  <c r="E2352" i="56"/>
  <c r="F2352" i="56" s="1"/>
  <c r="I2352" i="56"/>
  <c r="L2352" i="56"/>
  <c r="C2353" i="56"/>
  <c r="D2353" i="56" s="1"/>
  <c r="E2353" i="56"/>
  <c r="F2353" i="56" s="1"/>
  <c r="I2353" i="56"/>
  <c r="C2354" i="56"/>
  <c r="D2354" i="56" s="1"/>
  <c r="E2354" i="56"/>
  <c r="F2354" i="56" s="1"/>
  <c r="I2354" i="56"/>
  <c r="C2355" i="56"/>
  <c r="D2355" i="56" s="1"/>
  <c r="E2355" i="56"/>
  <c r="F2355" i="56" s="1"/>
  <c r="I2355" i="56"/>
  <c r="C2356" i="56"/>
  <c r="D2356" i="56" s="1"/>
  <c r="E2356" i="56"/>
  <c r="F2356" i="56" s="1"/>
  <c r="I2356" i="56"/>
  <c r="C2357" i="56"/>
  <c r="D2357" i="56" s="1"/>
  <c r="E2357" i="56"/>
  <c r="F2357" i="56" s="1"/>
  <c r="L2357" i="56"/>
  <c r="C2358" i="56"/>
  <c r="D2358" i="56" s="1"/>
  <c r="E2358" i="56"/>
  <c r="F2358" i="56" s="1"/>
  <c r="I2358" i="56"/>
  <c r="L2358" i="56"/>
  <c r="C2359" i="56"/>
  <c r="D2359" i="56" s="1"/>
  <c r="E2359" i="56"/>
  <c r="F2359" i="56" s="1"/>
  <c r="C2360" i="56"/>
  <c r="D2360" i="56" s="1"/>
  <c r="E2360" i="56"/>
  <c r="F2360" i="56" s="1"/>
  <c r="C2361" i="56"/>
  <c r="D2361" i="56" s="1"/>
  <c r="E2361" i="56"/>
  <c r="F2361" i="56" s="1"/>
  <c r="I2361" i="56"/>
  <c r="C2362" i="56"/>
  <c r="D2362" i="56" s="1"/>
  <c r="E2362" i="56"/>
  <c r="F2362" i="56" s="1"/>
  <c r="I2362" i="56"/>
  <c r="L2362" i="56"/>
  <c r="C2363" i="56"/>
  <c r="D2363" i="56" s="1"/>
  <c r="E2363" i="56"/>
  <c r="F2363" i="56" s="1"/>
  <c r="I2363" i="56"/>
  <c r="L2363" i="56"/>
  <c r="C2364" i="56"/>
  <c r="D2364" i="56" s="1"/>
  <c r="E2364" i="56"/>
  <c r="F2364" i="56" s="1"/>
  <c r="I2364" i="56"/>
  <c r="L2364" i="56"/>
  <c r="C2365" i="56"/>
  <c r="D2365" i="56" s="1"/>
  <c r="E2365" i="56"/>
  <c r="F2365" i="56" s="1"/>
  <c r="I2365" i="56"/>
  <c r="C2366" i="56"/>
  <c r="D2366" i="56" s="1"/>
  <c r="E2366" i="56"/>
  <c r="F2366" i="56" s="1"/>
  <c r="I2366" i="56"/>
  <c r="C2367" i="56"/>
  <c r="D2367" i="56" s="1"/>
  <c r="E2367" i="56"/>
  <c r="F2367" i="56" s="1"/>
  <c r="I2367" i="56"/>
  <c r="C2368" i="56"/>
  <c r="D2368" i="56" s="1"/>
  <c r="E2368" i="56"/>
  <c r="F2368" i="56" s="1"/>
  <c r="I2368" i="56"/>
  <c r="C2369" i="56"/>
  <c r="D2369" i="56" s="1"/>
  <c r="E2369" i="56"/>
  <c r="F2369" i="56" s="1"/>
  <c r="L2369" i="56"/>
  <c r="C2370" i="56"/>
  <c r="D2370" i="56" s="1"/>
  <c r="E2370" i="56"/>
  <c r="F2370" i="56" s="1"/>
  <c r="L2370" i="56"/>
  <c r="C2371" i="56"/>
  <c r="D2371" i="56" s="1"/>
  <c r="E2371" i="56"/>
  <c r="F2371" i="56" s="1"/>
  <c r="I2371" i="56"/>
  <c r="C2372" i="56"/>
  <c r="D2372" i="56" s="1"/>
  <c r="E2372" i="56"/>
  <c r="F2372" i="56" s="1"/>
  <c r="C2373" i="56"/>
  <c r="D2373" i="56" s="1"/>
  <c r="E2373" i="56"/>
  <c r="F2373" i="56" s="1"/>
  <c r="I2373" i="56"/>
  <c r="C2374" i="56"/>
  <c r="D2374" i="56" s="1"/>
  <c r="E2374" i="56"/>
  <c r="F2374" i="56" s="1"/>
  <c r="I2374" i="56"/>
  <c r="C2375" i="56"/>
  <c r="D2375" i="56" s="1"/>
  <c r="E2375" i="56"/>
  <c r="F2375" i="56" s="1"/>
  <c r="I2375" i="56"/>
  <c r="L2375" i="56"/>
  <c r="C2376" i="56"/>
  <c r="D2376" i="56" s="1"/>
  <c r="E2376" i="56"/>
  <c r="F2376" i="56" s="1"/>
  <c r="I2376" i="56"/>
  <c r="L2376" i="56"/>
  <c r="C2377" i="56"/>
  <c r="D2377" i="56" s="1"/>
  <c r="E2377" i="56"/>
  <c r="F2377" i="56" s="1"/>
  <c r="I2377" i="56"/>
  <c r="C2378" i="56"/>
  <c r="D2378" i="56" s="1"/>
  <c r="E2378" i="56"/>
  <c r="F2378" i="56" s="1"/>
  <c r="I2378" i="56"/>
  <c r="C2379" i="56"/>
  <c r="D2379" i="56" s="1"/>
  <c r="E2379" i="56"/>
  <c r="F2379" i="56" s="1"/>
  <c r="I2379" i="56"/>
  <c r="C2380" i="56"/>
  <c r="D2380" i="56" s="1"/>
  <c r="E2380" i="56"/>
  <c r="F2380" i="56" s="1"/>
  <c r="I2380" i="56"/>
  <c r="L2380" i="56"/>
  <c r="C2381" i="56"/>
  <c r="D2381" i="56" s="1"/>
  <c r="E2381" i="56"/>
  <c r="F2381" i="56" s="1"/>
  <c r="L2381" i="56"/>
  <c r="C2382" i="56"/>
  <c r="D2382" i="56" s="1"/>
  <c r="E2382" i="56"/>
  <c r="F2382" i="56" s="1"/>
  <c r="L2382" i="56"/>
  <c r="C2383" i="56"/>
  <c r="D2383" i="56" s="1"/>
  <c r="E2383" i="56"/>
  <c r="F2383" i="56" s="1"/>
  <c r="I2383" i="56"/>
  <c r="C2384" i="56"/>
  <c r="D2384" i="56" s="1"/>
  <c r="E2384" i="56"/>
  <c r="F2384" i="56" s="1"/>
  <c r="C2385" i="56"/>
  <c r="D2385" i="56" s="1"/>
  <c r="E2385" i="56"/>
  <c r="F2385" i="56" s="1"/>
  <c r="I2385" i="56"/>
  <c r="L2385" i="56"/>
  <c r="C2386" i="56"/>
  <c r="D2386" i="56" s="1"/>
  <c r="E2386" i="56"/>
  <c r="F2386" i="56" s="1"/>
  <c r="I2386" i="56"/>
  <c r="L2386" i="56"/>
  <c r="C2387" i="56"/>
  <c r="D2387" i="56" s="1"/>
  <c r="E2387" i="56"/>
  <c r="F2387" i="56" s="1"/>
  <c r="I2387" i="56"/>
  <c r="L2387" i="56"/>
  <c r="C2388" i="56"/>
  <c r="D2388" i="56" s="1"/>
  <c r="E2388" i="56"/>
  <c r="F2388" i="56" s="1"/>
  <c r="I2388" i="56"/>
  <c r="L2388" i="56"/>
  <c r="C2389" i="56"/>
  <c r="D2389" i="56" s="1"/>
  <c r="E2389" i="56"/>
  <c r="F2389" i="56" s="1"/>
  <c r="I2389" i="56"/>
  <c r="C2390" i="56"/>
  <c r="D2390" i="56" s="1"/>
  <c r="E2390" i="56"/>
  <c r="F2390" i="56" s="1"/>
  <c r="I2390" i="56"/>
  <c r="C2391" i="56"/>
  <c r="D2391" i="56" s="1"/>
  <c r="E2391" i="56"/>
  <c r="F2391" i="56" s="1"/>
  <c r="I2391" i="56"/>
  <c r="C2392" i="56"/>
  <c r="D2392" i="56" s="1"/>
  <c r="E2392" i="56"/>
  <c r="F2392" i="56" s="1"/>
  <c r="I2392" i="56"/>
  <c r="C2393" i="56"/>
  <c r="D2393" i="56" s="1"/>
  <c r="E2393" i="56"/>
  <c r="F2393" i="56" s="1"/>
  <c r="L2393" i="56"/>
  <c r="C2394" i="56"/>
  <c r="D2394" i="56" s="1"/>
  <c r="E2394" i="56"/>
  <c r="F2394" i="56" s="1"/>
  <c r="L2394" i="56"/>
  <c r="C2395" i="56"/>
  <c r="D2395" i="56" s="1"/>
  <c r="E2395" i="56"/>
  <c r="F2395" i="56" s="1"/>
  <c r="C2396" i="56"/>
  <c r="D2396" i="56" s="1"/>
  <c r="E2396" i="56"/>
  <c r="F2396" i="56" s="1"/>
  <c r="C2397" i="56"/>
  <c r="D2397" i="56" s="1"/>
  <c r="E2397" i="56"/>
  <c r="F2397" i="56" s="1"/>
  <c r="I2397" i="56"/>
  <c r="C2398" i="56"/>
  <c r="D2398" i="56" s="1"/>
  <c r="E2398" i="56"/>
  <c r="F2398" i="56" s="1"/>
  <c r="I2398" i="56"/>
  <c r="L2398" i="56"/>
  <c r="C2399" i="56"/>
  <c r="D2399" i="56" s="1"/>
  <c r="E2399" i="56"/>
  <c r="F2399" i="56" s="1"/>
  <c r="I2399" i="56"/>
  <c r="L2399" i="56"/>
  <c r="C2400" i="56"/>
  <c r="D2400" i="56" s="1"/>
  <c r="E2400" i="56"/>
  <c r="F2400" i="56" s="1"/>
  <c r="I2400" i="56"/>
  <c r="C2401" i="56"/>
  <c r="D2401" i="56" s="1"/>
  <c r="E2401" i="56"/>
  <c r="F2401" i="56" s="1"/>
  <c r="I2401" i="56"/>
  <c r="C2402" i="56"/>
  <c r="D2402" i="56" s="1"/>
  <c r="E2402" i="56"/>
  <c r="F2402" i="56" s="1"/>
  <c r="I2402" i="56"/>
  <c r="C2403" i="56"/>
  <c r="D2403" i="56" s="1"/>
  <c r="E2403" i="56"/>
  <c r="F2403" i="56" s="1"/>
  <c r="I2403" i="56"/>
  <c r="C2404" i="56"/>
  <c r="D2404" i="56" s="1"/>
  <c r="E2404" i="56"/>
  <c r="F2404" i="56" s="1"/>
  <c r="I2404" i="56"/>
  <c r="C2405" i="56"/>
  <c r="D2405" i="56" s="1"/>
  <c r="E2405" i="56"/>
  <c r="F2405" i="56" s="1"/>
  <c r="C2406" i="56"/>
  <c r="D2406" i="56" s="1"/>
  <c r="E2406" i="56"/>
  <c r="F2406" i="56" s="1"/>
  <c r="L2406" i="56"/>
  <c r="C2407" i="56"/>
  <c r="D2407" i="56" s="1"/>
  <c r="E2407" i="56"/>
  <c r="F2407" i="56" s="1"/>
  <c r="I2407" i="56"/>
  <c r="C2408" i="56"/>
  <c r="D2408" i="56" s="1"/>
  <c r="E2408" i="56"/>
  <c r="F2408" i="56" s="1"/>
  <c r="C2409" i="56"/>
  <c r="D2409" i="56" s="1"/>
  <c r="E2409" i="56"/>
  <c r="F2409" i="56" s="1"/>
  <c r="I2409" i="56"/>
  <c r="C2410" i="56"/>
  <c r="D2410" i="56" s="1"/>
  <c r="E2410" i="56"/>
  <c r="F2410" i="56" s="1"/>
  <c r="I2410" i="56"/>
  <c r="L2410" i="56"/>
  <c r="C2411" i="56"/>
  <c r="D2411" i="56" s="1"/>
  <c r="E2411" i="56"/>
  <c r="F2411" i="56" s="1"/>
  <c r="I2411" i="56"/>
  <c r="C2412" i="56"/>
  <c r="D2412" i="56" s="1"/>
  <c r="E2412" i="56"/>
  <c r="F2412" i="56" s="1"/>
  <c r="I2412" i="56"/>
  <c r="L2412" i="56"/>
  <c r="C2413" i="56"/>
  <c r="D2413" i="56" s="1"/>
  <c r="E2413" i="56"/>
  <c r="F2413" i="56" s="1"/>
  <c r="I2413" i="56"/>
  <c r="C2414" i="56"/>
  <c r="D2414" i="56" s="1"/>
  <c r="E2414" i="56"/>
  <c r="F2414" i="56" s="1"/>
  <c r="I2414" i="56"/>
  <c r="C2415" i="56"/>
  <c r="D2415" i="56" s="1"/>
  <c r="E2415" i="56"/>
  <c r="F2415" i="56" s="1"/>
  <c r="I2415" i="56"/>
  <c r="C2416" i="56"/>
  <c r="D2416" i="56" s="1"/>
  <c r="E2416" i="56"/>
  <c r="F2416" i="56" s="1"/>
  <c r="I2416" i="56"/>
  <c r="C2417" i="56"/>
  <c r="D2417" i="56" s="1"/>
  <c r="E2417" i="56"/>
  <c r="F2417" i="56" s="1"/>
  <c r="L2417" i="56"/>
  <c r="C2418" i="56"/>
  <c r="D2418" i="56" s="1"/>
  <c r="E2418" i="56"/>
  <c r="F2418" i="56" s="1"/>
  <c r="I2418" i="56"/>
  <c r="L2418" i="56"/>
  <c r="C2419" i="56"/>
  <c r="D2419" i="56" s="1"/>
  <c r="E2419" i="56"/>
  <c r="F2419" i="56" s="1"/>
  <c r="C2420" i="56"/>
  <c r="D2420" i="56" s="1"/>
  <c r="E2420" i="56"/>
  <c r="F2420" i="56" s="1"/>
  <c r="I2420" i="56"/>
  <c r="C2421" i="56"/>
  <c r="D2421" i="56" s="1"/>
  <c r="E2421" i="56"/>
  <c r="F2421" i="56" s="1"/>
  <c r="I2421" i="56"/>
  <c r="L2421" i="56"/>
  <c r="C2422" i="56"/>
  <c r="D2422" i="56" s="1"/>
  <c r="E2422" i="56"/>
  <c r="F2422" i="56" s="1"/>
  <c r="I2422" i="56"/>
  <c r="L2422" i="56"/>
  <c r="C2423" i="56"/>
  <c r="D2423" i="56" s="1"/>
  <c r="E2423" i="56"/>
  <c r="F2423" i="56" s="1"/>
  <c r="I2423" i="56"/>
  <c r="L2423" i="56"/>
  <c r="C2424" i="56"/>
  <c r="D2424" i="56" s="1"/>
  <c r="E2424" i="56"/>
  <c r="F2424" i="56" s="1"/>
  <c r="I2424" i="56"/>
  <c r="L2424" i="56"/>
  <c r="C2425" i="56"/>
  <c r="D2425" i="56" s="1"/>
  <c r="E2425" i="56"/>
  <c r="F2425" i="56" s="1"/>
  <c r="I2425" i="56"/>
  <c r="C2426" i="56"/>
  <c r="D2426" i="56" s="1"/>
  <c r="E2426" i="56"/>
  <c r="F2426" i="56" s="1"/>
  <c r="I2426" i="56"/>
  <c r="C2427" i="56"/>
  <c r="D2427" i="56" s="1"/>
  <c r="E2427" i="56"/>
  <c r="F2427" i="56" s="1"/>
  <c r="I2427" i="56"/>
  <c r="C2428" i="56"/>
  <c r="D2428" i="56" s="1"/>
  <c r="E2428" i="56"/>
  <c r="F2428" i="56" s="1"/>
  <c r="I2428" i="56"/>
  <c r="C2429" i="56"/>
  <c r="D2429" i="56" s="1"/>
  <c r="E2429" i="56"/>
  <c r="F2429" i="56" s="1"/>
  <c r="C2430" i="56"/>
  <c r="D2430" i="56" s="1"/>
  <c r="E2430" i="56"/>
  <c r="F2430" i="56" s="1"/>
  <c r="L2430" i="56"/>
  <c r="C2431" i="56"/>
  <c r="D2431" i="56" s="1"/>
  <c r="E2431" i="56"/>
  <c r="F2431" i="56" s="1"/>
  <c r="C2432" i="56"/>
  <c r="D2432" i="56" s="1"/>
  <c r="E2432" i="56"/>
  <c r="F2432" i="56" s="1"/>
  <c r="C2433" i="56"/>
  <c r="D2433" i="56" s="1"/>
  <c r="E2433" i="56"/>
  <c r="F2433" i="56" s="1"/>
  <c r="I2433" i="56"/>
  <c r="C2434" i="56"/>
  <c r="D2434" i="56" s="1"/>
  <c r="E2434" i="56"/>
  <c r="F2434" i="56" s="1"/>
  <c r="I2434" i="56"/>
  <c r="L2434" i="56"/>
  <c r="C2435" i="56"/>
  <c r="D2435" i="56" s="1"/>
  <c r="E2435" i="56"/>
  <c r="F2435" i="56" s="1"/>
  <c r="I2435" i="56"/>
  <c r="L2435" i="56"/>
  <c r="C2436" i="56"/>
  <c r="D2436" i="56" s="1"/>
  <c r="E2436" i="56"/>
  <c r="F2436" i="56" s="1"/>
  <c r="I2436" i="56"/>
  <c r="C2437" i="56"/>
  <c r="D2437" i="56" s="1"/>
  <c r="E2437" i="56"/>
  <c r="F2437" i="56" s="1"/>
  <c r="I2437" i="56"/>
  <c r="C2438" i="56"/>
  <c r="D2438" i="56" s="1"/>
  <c r="E2438" i="56"/>
  <c r="F2438" i="56" s="1"/>
  <c r="I2438" i="56"/>
  <c r="C2439" i="56"/>
  <c r="D2439" i="56" s="1"/>
  <c r="E2439" i="56"/>
  <c r="F2439" i="56" s="1"/>
  <c r="I2439" i="56"/>
  <c r="C2440" i="56"/>
  <c r="D2440" i="56" s="1"/>
  <c r="E2440" i="56"/>
  <c r="F2440" i="56" s="1"/>
  <c r="I2440" i="56"/>
  <c r="C2441" i="56"/>
  <c r="D2441" i="56" s="1"/>
  <c r="E2441" i="56"/>
  <c r="F2441" i="56" s="1"/>
  <c r="L2441" i="56"/>
  <c r="C2442" i="56"/>
  <c r="D2442" i="56" s="1"/>
  <c r="E2442" i="56"/>
  <c r="F2442" i="56" s="1"/>
  <c r="L2442" i="56"/>
  <c r="C2443" i="56"/>
  <c r="D2443" i="56" s="1"/>
  <c r="E2443" i="56"/>
  <c r="F2443" i="56" s="1"/>
  <c r="C2444" i="56"/>
  <c r="D2444" i="56" s="1"/>
  <c r="E2444" i="56"/>
  <c r="F2444" i="56" s="1"/>
  <c r="C2445" i="56"/>
  <c r="D2445" i="56" s="1"/>
  <c r="E2445" i="56"/>
  <c r="F2445" i="56" s="1"/>
  <c r="I2445" i="56"/>
  <c r="C2446" i="56"/>
  <c r="D2446" i="56" s="1"/>
  <c r="E2446" i="56"/>
  <c r="F2446" i="56" s="1"/>
  <c r="I2446" i="56"/>
  <c r="L2446" i="56"/>
  <c r="C2447" i="56"/>
  <c r="D2447" i="56" s="1"/>
  <c r="E2447" i="56"/>
  <c r="F2447" i="56" s="1"/>
  <c r="I2447" i="56"/>
  <c r="L2447" i="56"/>
  <c r="C2448" i="56"/>
  <c r="D2448" i="56" s="1"/>
  <c r="E2448" i="56"/>
  <c r="F2448" i="56" s="1"/>
  <c r="I2448" i="56"/>
  <c r="L2448" i="56"/>
  <c r="C2449" i="56"/>
  <c r="D2449" i="56" s="1"/>
  <c r="E2449" i="56"/>
  <c r="F2449" i="56" s="1"/>
  <c r="I2449" i="56"/>
  <c r="C2450" i="56"/>
  <c r="D2450" i="56" s="1"/>
  <c r="E2450" i="56"/>
  <c r="F2450" i="56" s="1"/>
  <c r="I2450" i="56"/>
  <c r="C2451" i="56"/>
  <c r="D2451" i="56" s="1"/>
  <c r="E2451" i="56"/>
  <c r="F2451" i="56" s="1"/>
  <c r="I2451" i="56"/>
  <c r="C2452" i="56"/>
  <c r="D2452" i="56" s="1"/>
  <c r="E2452" i="56"/>
  <c r="F2452" i="56" s="1"/>
  <c r="I2452" i="56"/>
  <c r="C2453" i="56"/>
  <c r="D2453" i="56" s="1"/>
  <c r="E2453" i="56"/>
  <c r="F2453" i="56" s="1"/>
  <c r="L2453" i="56"/>
  <c r="C2454" i="56"/>
  <c r="D2454" i="56" s="1"/>
  <c r="E2454" i="56"/>
  <c r="F2454" i="56" s="1"/>
  <c r="L2454" i="56"/>
  <c r="C2455" i="56"/>
  <c r="D2455" i="56" s="1"/>
  <c r="E2455" i="56"/>
  <c r="F2455" i="56" s="1"/>
  <c r="I2455" i="56"/>
  <c r="C2456" i="56"/>
  <c r="D2456" i="56" s="1"/>
  <c r="E2456" i="56"/>
  <c r="F2456" i="56" s="1"/>
  <c r="C2457" i="56"/>
  <c r="D2457" i="56" s="1"/>
  <c r="E2457" i="56"/>
  <c r="F2457" i="56" s="1"/>
  <c r="I2457" i="56"/>
  <c r="C2458" i="56"/>
  <c r="D2458" i="56" s="1"/>
  <c r="E2458" i="56"/>
  <c r="F2458" i="56" s="1"/>
  <c r="I2458" i="56"/>
  <c r="L2458" i="56"/>
  <c r="C2459" i="56"/>
  <c r="D2459" i="56" s="1"/>
  <c r="E2459" i="56"/>
  <c r="F2459" i="56" s="1"/>
  <c r="I2459" i="56"/>
  <c r="L2459" i="56"/>
  <c r="C2460" i="56"/>
  <c r="D2460" i="56" s="1"/>
  <c r="E2460" i="56"/>
  <c r="F2460" i="56" s="1"/>
  <c r="I2460" i="56"/>
  <c r="L2460" i="56"/>
  <c r="C2461" i="56"/>
  <c r="D2461" i="56" s="1"/>
  <c r="E2461" i="56"/>
  <c r="F2461" i="56" s="1"/>
  <c r="I2461" i="56"/>
  <c r="C2462" i="56"/>
  <c r="D2462" i="56" s="1"/>
  <c r="E2462" i="56"/>
  <c r="F2462" i="56" s="1"/>
  <c r="I2462" i="56"/>
  <c r="C2463" i="56"/>
  <c r="D2463" i="56" s="1"/>
  <c r="E2463" i="56"/>
  <c r="F2463" i="56" s="1"/>
  <c r="I2463" i="56"/>
  <c r="C2464" i="56"/>
  <c r="D2464" i="56" s="1"/>
  <c r="E2464" i="56"/>
  <c r="F2464" i="56" s="1"/>
  <c r="I2464" i="56"/>
  <c r="L2464" i="56"/>
  <c r="C2465" i="56"/>
  <c r="D2465" i="56" s="1"/>
  <c r="E2465" i="56"/>
  <c r="F2465" i="56" s="1"/>
  <c r="C2466" i="56"/>
  <c r="D2466" i="56" s="1"/>
  <c r="E2466" i="56"/>
  <c r="F2466" i="56" s="1"/>
  <c r="L2466" i="56"/>
  <c r="C2467" i="56"/>
  <c r="D2467" i="56" s="1"/>
  <c r="E2467" i="56"/>
  <c r="F2467" i="56" s="1"/>
  <c r="I2467" i="56"/>
  <c r="C2468" i="56"/>
  <c r="D2468" i="56" s="1"/>
  <c r="E2468" i="56"/>
  <c r="F2468" i="56" s="1"/>
  <c r="C2469" i="56"/>
  <c r="D2469" i="56" s="1"/>
  <c r="E2469" i="56"/>
  <c r="F2469" i="56" s="1"/>
  <c r="I2469" i="56"/>
  <c r="L2469" i="56"/>
  <c r="C2470" i="56"/>
  <c r="D2470" i="56" s="1"/>
  <c r="E2470" i="56"/>
  <c r="F2470" i="56" s="1"/>
  <c r="I2470" i="56"/>
  <c r="L2470" i="56"/>
  <c r="C2471" i="56"/>
  <c r="D2471" i="56" s="1"/>
  <c r="E2471" i="56"/>
  <c r="F2471" i="56" s="1"/>
  <c r="I2471" i="56"/>
  <c r="C2472" i="56"/>
  <c r="D2472" i="56" s="1"/>
  <c r="E2472" i="56"/>
  <c r="F2472" i="56" s="1"/>
  <c r="I2472" i="56"/>
  <c r="L2472" i="56"/>
  <c r="C2473" i="56"/>
  <c r="D2473" i="56" s="1"/>
  <c r="E2473" i="56"/>
  <c r="F2473" i="56" s="1"/>
  <c r="I2473" i="56"/>
  <c r="C2474" i="56"/>
  <c r="D2474" i="56" s="1"/>
  <c r="E2474" i="56"/>
  <c r="F2474" i="56" s="1"/>
  <c r="I2474" i="56"/>
  <c r="C2475" i="56"/>
  <c r="D2475" i="56" s="1"/>
  <c r="E2475" i="56"/>
  <c r="F2475" i="56" s="1"/>
  <c r="I2475" i="56"/>
  <c r="C2476" i="56"/>
  <c r="D2476" i="56" s="1"/>
  <c r="E2476" i="56"/>
  <c r="F2476" i="56" s="1"/>
  <c r="I2476" i="56"/>
  <c r="C2477" i="56"/>
  <c r="D2477" i="56" s="1"/>
  <c r="E2477" i="56"/>
  <c r="F2477" i="56" s="1"/>
  <c r="L2477" i="56"/>
  <c r="C2478" i="56"/>
  <c r="D2478" i="56" s="1"/>
  <c r="E2478" i="56"/>
  <c r="F2478" i="56" s="1"/>
  <c r="L2478" i="56"/>
  <c r="C2479" i="56"/>
  <c r="D2479" i="56" s="1"/>
  <c r="E2479" i="56"/>
  <c r="F2479" i="56" s="1"/>
  <c r="C2480" i="56"/>
  <c r="D2480" i="56" s="1"/>
  <c r="E2480" i="56"/>
  <c r="F2480" i="56" s="1"/>
  <c r="C2481" i="56"/>
  <c r="D2481" i="56" s="1"/>
  <c r="E2481" i="56"/>
  <c r="F2481" i="56" s="1"/>
  <c r="I2481" i="56"/>
  <c r="C2482" i="56"/>
  <c r="D2482" i="56" s="1"/>
  <c r="E2482" i="56"/>
  <c r="F2482" i="56" s="1"/>
  <c r="I2482" i="56"/>
  <c r="L2482" i="56"/>
  <c r="C2483" i="56"/>
  <c r="D2483" i="56" s="1"/>
  <c r="E2483" i="56"/>
  <c r="F2483" i="56" s="1"/>
  <c r="I2483" i="56"/>
  <c r="L2483" i="56"/>
  <c r="C2484" i="56"/>
  <c r="D2484" i="56" s="1"/>
  <c r="E2484" i="56"/>
  <c r="F2484" i="56" s="1"/>
  <c r="I2484" i="56"/>
  <c r="L2484" i="56"/>
  <c r="C2485" i="56"/>
  <c r="D2485" i="56" s="1"/>
  <c r="E2485" i="56"/>
  <c r="F2485" i="56" s="1"/>
  <c r="I2485" i="56"/>
  <c r="C2486" i="56"/>
  <c r="D2486" i="56" s="1"/>
  <c r="E2486" i="56"/>
  <c r="F2486" i="56" s="1"/>
  <c r="I2486" i="56"/>
  <c r="C2487" i="56"/>
  <c r="D2487" i="56" s="1"/>
  <c r="E2487" i="56"/>
  <c r="F2487" i="56" s="1"/>
  <c r="I2487" i="56"/>
  <c r="C2488" i="56"/>
  <c r="D2488" i="56" s="1"/>
  <c r="E2488" i="56"/>
  <c r="F2488" i="56" s="1"/>
  <c r="I2488" i="56"/>
  <c r="C2489" i="56"/>
  <c r="D2489" i="56" s="1"/>
  <c r="E2489" i="56"/>
  <c r="F2489" i="56" s="1"/>
  <c r="L2489" i="56"/>
  <c r="C2490" i="56"/>
  <c r="D2490" i="56" s="1"/>
  <c r="E2490" i="56"/>
  <c r="F2490" i="56" s="1"/>
  <c r="I2490" i="56"/>
  <c r="L2490" i="56"/>
  <c r="C2491" i="56"/>
  <c r="D2491" i="56" s="1"/>
  <c r="E2491" i="56"/>
  <c r="F2491" i="56" s="1"/>
  <c r="C2492" i="56"/>
  <c r="D2492" i="56" s="1"/>
  <c r="E2492" i="56"/>
  <c r="F2492" i="56" s="1"/>
  <c r="I2492" i="56"/>
  <c r="C2493" i="56"/>
  <c r="D2493" i="56" s="1"/>
  <c r="E2493" i="56"/>
  <c r="F2493" i="56" s="1"/>
  <c r="I2493" i="56"/>
  <c r="C2494" i="56"/>
  <c r="D2494" i="56" s="1"/>
  <c r="E2494" i="56"/>
  <c r="F2494" i="56" s="1"/>
  <c r="I2494" i="56"/>
  <c r="L2494" i="56"/>
  <c r="C2495" i="56"/>
  <c r="D2495" i="56" s="1"/>
  <c r="E2495" i="56"/>
  <c r="F2495" i="56" s="1"/>
  <c r="I2495" i="56"/>
  <c r="L2495" i="56"/>
  <c r="C2496" i="56"/>
  <c r="D2496" i="56" s="1"/>
  <c r="E2496" i="56"/>
  <c r="F2496" i="56" s="1"/>
  <c r="I2496" i="56"/>
  <c r="L2496" i="56"/>
  <c r="C2497" i="56"/>
  <c r="D2497" i="56" s="1"/>
  <c r="E2497" i="56"/>
  <c r="F2497" i="56" s="1"/>
  <c r="I2497" i="56"/>
  <c r="C2498" i="56"/>
  <c r="D2498" i="56" s="1"/>
  <c r="E2498" i="56"/>
  <c r="F2498" i="56" s="1"/>
  <c r="I2498" i="56"/>
  <c r="C2499" i="56"/>
  <c r="D2499" i="56" s="1"/>
  <c r="E2499" i="56"/>
  <c r="F2499" i="56" s="1"/>
  <c r="I2499" i="56"/>
  <c r="C2500" i="56"/>
  <c r="D2500" i="56" s="1"/>
  <c r="E2500" i="56"/>
  <c r="F2500" i="56" s="1"/>
  <c r="I2500" i="56"/>
  <c r="L2500" i="56"/>
  <c r="C2501" i="56"/>
  <c r="D2501" i="56" s="1"/>
  <c r="E2501" i="56"/>
  <c r="F2501" i="56" s="1"/>
  <c r="L2501" i="56"/>
  <c r="C2502" i="56"/>
  <c r="D2502" i="56" s="1"/>
  <c r="E2502" i="56"/>
  <c r="F2502" i="56" s="1"/>
  <c r="L2502" i="56"/>
  <c r="C2503" i="56"/>
  <c r="D2503" i="56" s="1"/>
  <c r="E2503" i="56"/>
  <c r="F2503" i="56" s="1"/>
  <c r="I2503" i="56"/>
  <c r="C2504" i="56"/>
  <c r="D2504" i="56" s="1"/>
  <c r="E2504" i="56"/>
  <c r="F2504" i="56" s="1"/>
  <c r="C2505" i="56"/>
  <c r="D2505" i="56" s="1"/>
  <c r="E2505" i="56"/>
  <c r="F2505" i="56" s="1"/>
  <c r="I2505" i="56"/>
  <c r="C2506" i="56"/>
  <c r="D2506" i="56" s="1"/>
  <c r="E2506" i="56"/>
  <c r="F2506" i="56" s="1"/>
  <c r="I2506" i="56"/>
  <c r="L2506" i="56"/>
  <c r="C2507" i="56"/>
  <c r="D2507" i="56"/>
  <c r="E2507" i="56"/>
  <c r="F2507" i="56" s="1"/>
  <c r="I2507" i="56"/>
  <c r="L2507" i="56"/>
  <c r="C2508" i="56"/>
  <c r="D2508" i="56" s="1"/>
  <c r="E2508" i="56"/>
  <c r="F2508" i="56" s="1"/>
  <c r="I2508" i="56"/>
  <c r="L2508" i="56"/>
  <c r="C2509" i="56"/>
  <c r="D2509" i="56" s="1"/>
  <c r="E2509" i="56"/>
  <c r="F2509" i="56" s="1"/>
  <c r="I2509" i="56"/>
  <c r="C2510" i="56"/>
  <c r="D2510" i="56" s="1"/>
  <c r="E2510" i="56"/>
  <c r="F2510" i="56" s="1"/>
  <c r="I2510" i="56"/>
  <c r="C2511" i="56"/>
  <c r="D2511" i="56" s="1"/>
  <c r="E2511" i="56"/>
  <c r="F2511" i="56" s="1"/>
  <c r="I2511" i="56"/>
  <c r="C2512" i="56"/>
  <c r="D2512" i="56" s="1"/>
  <c r="E2512" i="56"/>
  <c r="F2512" i="56" s="1"/>
  <c r="I2512" i="56"/>
  <c r="C2513" i="56"/>
  <c r="D2513" i="56" s="1"/>
  <c r="E2513" i="56"/>
  <c r="F2513" i="56" s="1"/>
  <c r="L2513" i="56"/>
  <c r="C2514" i="56"/>
  <c r="D2514" i="56"/>
  <c r="E2514" i="56"/>
  <c r="F2514" i="56" s="1"/>
  <c r="L2514" i="56"/>
  <c r="C2515" i="56"/>
  <c r="D2515" i="56" s="1"/>
  <c r="E2515" i="56"/>
  <c r="F2515" i="56" s="1"/>
  <c r="I2515" i="56"/>
  <c r="C2516" i="56"/>
  <c r="D2516" i="56" s="1"/>
  <c r="E2516" i="56"/>
  <c r="F2516" i="56" s="1"/>
  <c r="C2517" i="56"/>
  <c r="D2517" i="56" s="1"/>
  <c r="E2517" i="56"/>
  <c r="F2517" i="56" s="1"/>
  <c r="I2517" i="56"/>
  <c r="L2517" i="56"/>
  <c r="C2518" i="56"/>
  <c r="D2518" i="56" s="1"/>
  <c r="E2518" i="56"/>
  <c r="F2518" i="56" s="1"/>
  <c r="I2518" i="56"/>
  <c r="L2518" i="56"/>
  <c r="C2519" i="56"/>
  <c r="D2519" i="56" s="1"/>
  <c r="E2519" i="56"/>
  <c r="F2519" i="56" s="1"/>
  <c r="I2519" i="56"/>
  <c r="L2519" i="56"/>
  <c r="C2520" i="56"/>
  <c r="D2520" i="56" s="1"/>
  <c r="E2520" i="56"/>
  <c r="F2520" i="56" s="1"/>
  <c r="I2520" i="56"/>
  <c r="L2520" i="56"/>
  <c r="C2521" i="56"/>
  <c r="D2521" i="56" s="1"/>
  <c r="E2521" i="56"/>
  <c r="F2521" i="56" s="1"/>
  <c r="I2521" i="56"/>
  <c r="C2522" i="56"/>
  <c r="D2522" i="56" s="1"/>
  <c r="E2522" i="56"/>
  <c r="F2522" i="56" s="1"/>
  <c r="I2522" i="56"/>
  <c r="C2523" i="56"/>
  <c r="D2523" i="56" s="1"/>
  <c r="E2523" i="56"/>
  <c r="F2523" i="56" s="1"/>
  <c r="I2523" i="56"/>
  <c r="C2524" i="56"/>
  <c r="D2524" i="56" s="1"/>
  <c r="E2524" i="56"/>
  <c r="F2524" i="56" s="1"/>
  <c r="I2524" i="56"/>
  <c r="L2524" i="56"/>
  <c r="C2525" i="56"/>
  <c r="D2525" i="56" s="1"/>
  <c r="E2525" i="56"/>
  <c r="F2525" i="56" s="1"/>
  <c r="C2526" i="56"/>
  <c r="D2526" i="56" s="1"/>
  <c r="E2526" i="56"/>
  <c r="F2526" i="56" s="1"/>
  <c r="L2526" i="56"/>
  <c r="C2527" i="56"/>
  <c r="D2527" i="56" s="1"/>
  <c r="E2527" i="56"/>
  <c r="F2527" i="56" s="1"/>
  <c r="C2528" i="56"/>
  <c r="D2528" i="56" s="1"/>
  <c r="E2528" i="56"/>
  <c r="F2528" i="56" s="1"/>
  <c r="C2529" i="56"/>
  <c r="D2529" i="56" s="1"/>
  <c r="E2529" i="56"/>
  <c r="F2529" i="56" s="1"/>
  <c r="I2529" i="56"/>
  <c r="L2529" i="56"/>
  <c r="C2530" i="56"/>
  <c r="D2530" i="56" s="1"/>
  <c r="E2530" i="56"/>
  <c r="F2530" i="56" s="1"/>
  <c r="I2530" i="56"/>
  <c r="L2530" i="56"/>
  <c r="C2531" i="56"/>
  <c r="D2531" i="56" s="1"/>
  <c r="E2531" i="56"/>
  <c r="F2531" i="56" s="1"/>
  <c r="I2531" i="56"/>
  <c r="C2532" i="56"/>
  <c r="D2532" i="56" s="1"/>
  <c r="E2532" i="56"/>
  <c r="F2532" i="56" s="1"/>
  <c r="I2532" i="56"/>
  <c r="L2532" i="56"/>
  <c r="C2533" i="56"/>
  <c r="D2533" i="56" s="1"/>
  <c r="E2533" i="56"/>
  <c r="F2533" i="56" s="1"/>
  <c r="I2533" i="56"/>
  <c r="C2534" i="56"/>
  <c r="D2534" i="56" s="1"/>
  <c r="E2534" i="56"/>
  <c r="F2534" i="56" s="1"/>
  <c r="I2534" i="56"/>
  <c r="C2535" i="56"/>
  <c r="D2535" i="56" s="1"/>
  <c r="E2535" i="56"/>
  <c r="F2535" i="56" s="1"/>
  <c r="I2535" i="56"/>
  <c r="C2536" i="56"/>
  <c r="D2536" i="56" s="1"/>
  <c r="E2536" i="56"/>
  <c r="F2536" i="56" s="1"/>
  <c r="I2536" i="56"/>
  <c r="C2537" i="56"/>
  <c r="D2537" i="56" s="1"/>
  <c r="E2537" i="56"/>
  <c r="F2537" i="56" s="1"/>
  <c r="L2537" i="56"/>
  <c r="C2538" i="56"/>
  <c r="D2538" i="56" s="1"/>
  <c r="E2538" i="56"/>
  <c r="F2538" i="56" s="1"/>
  <c r="L2538" i="56"/>
  <c r="C2539" i="56"/>
  <c r="D2539" i="56" s="1"/>
  <c r="E2539" i="56"/>
  <c r="F2539" i="56" s="1"/>
  <c r="C2540" i="56"/>
  <c r="D2540" i="56" s="1"/>
  <c r="E2540" i="56"/>
  <c r="F2540" i="56" s="1"/>
  <c r="I2540" i="56"/>
  <c r="C2541" i="56"/>
  <c r="D2541" i="56" s="1"/>
  <c r="E2541" i="56"/>
  <c r="F2541" i="56" s="1"/>
  <c r="I2541" i="56"/>
  <c r="C2542" i="56"/>
  <c r="D2542" i="56" s="1"/>
  <c r="E2542" i="56"/>
  <c r="F2542" i="56" s="1"/>
  <c r="I2542" i="56"/>
  <c r="L2542" i="56"/>
  <c r="C2543" i="56"/>
  <c r="D2543" i="56" s="1"/>
  <c r="E2543" i="56"/>
  <c r="F2543" i="56" s="1"/>
  <c r="I2543" i="56"/>
  <c r="C2544" i="56"/>
  <c r="D2544" i="56" s="1"/>
  <c r="E2544" i="56"/>
  <c r="F2544" i="56" s="1"/>
  <c r="I2544" i="56"/>
  <c r="L2544" i="56"/>
  <c r="C2545" i="56"/>
  <c r="D2545" i="56" s="1"/>
  <c r="E2545" i="56"/>
  <c r="F2545" i="56" s="1"/>
  <c r="I2545" i="56"/>
  <c r="C2546" i="56"/>
  <c r="D2546" i="56" s="1"/>
  <c r="E2546" i="56"/>
  <c r="F2546" i="56" s="1"/>
  <c r="I2546" i="56"/>
  <c r="C2547" i="56"/>
  <c r="D2547" i="56" s="1"/>
  <c r="E2547" i="56"/>
  <c r="F2547" i="56" s="1"/>
  <c r="I2547" i="56"/>
  <c r="C2548" i="56"/>
  <c r="D2548" i="56" s="1"/>
  <c r="E2548" i="56"/>
  <c r="F2548" i="56" s="1"/>
  <c r="I2548" i="56"/>
  <c r="C2549" i="56"/>
  <c r="D2549" i="56" s="1"/>
  <c r="E2549" i="56"/>
  <c r="F2549" i="56"/>
  <c r="C2550" i="56"/>
  <c r="D2550" i="56" s="1"/>
  <c r="E2550" i="56"/>
  <c r="F2550" i="56" s="1"/>
  <c r="I2550" i="56"/>
  <c r="L2550" i="56"/>
  <c r="C2551" i="56"/>
  <c r="D2551" i="56" s="1"/>
  <c r="E2551" i="56"/>
  <c r="F2551" i="56" s="1"/>
  <c r="I2551" i="56"/>
  <c r="C2552" i="56"/>
  <c r="D2552" i="56" s="1"/>
  <c r="E2552" i="56"/>
  <c r="F2552" i="56" s="1"/>
  <c r="C2553" i="56"/>
  <c r="D2553" i="56" s="1"/>
  <c r="E2553" i="56"/>
  <c r="F2553" i="56" s="1"/>
  <c r="I2553" i="56"/>
  <c r="L2553" i="56"/>
  <c r="C2554" i="56"/>
  <c r="D2554" i="56" s="1"/>
  <c r="E2554" i="56"/>
  <c r="F2554" i="56" s="1"/>
  <c r="I2554" i="56"/>
  <c r="L2554" i="56"/>
  <c r="C2555" i="56"/>
  <c r="D2555" i="56" s="1"/>
  <c r="E2555" i="56"/>
  <c r="F2555" i="56" s="1"/>
  <c r="I2555" i="56"/>
  <c r="L2555" i="56"/>
  <c r="C2556" i="56"/>
  <c r="D2556" i="56" s="1"/>
  <c r="E2556" i="56"/>
  <c r="F2556" i="56" s="1"/>
  <c r="I2556" i="56"/>
  <c r="L2556" i="56"/>
  <c r="C2557" i="56"/>
  <c r="D2557" i="56" s="1"/>
  <c r="E2557" i="56"/>
  <c r="F2557" i="56" s="1"/>
  <c r="I2557" i="56"/>
  <c r="C2558" i="56"/>
  <c r="D2558" i="56" s="1"/>
  <c r="E2558" i="56"/>
  <c r="F2558" i="56" s="1"/>
  <c r="I2558" i="56"/>
  <c r="C2559" i="56"/>
  <c r="D2559" i="56" s="1"/>
  <c r="E2559" i="56"/>
  <c r="F2559" i="56" s="1"/>
  <c r="I2559" i="56"/>
  <c r="C2560" i="56"/>
  <c r="D2560" i="56" s="1"/>
  <c r="E2560" i="56"/>
  <c r="F2560" i="56" s="1"/>
  <c r="I2560" i="56"/>
  <c r="C2561" i="56"/>
  <c r="D2561" i="56" s="1"/>
  <c r="E2561" i="56"/>
  <c r="F2561" i="56" s="1"/>
  <c r="L2561" i="56"/>
  <c r="C2562" i="56"/>
  <c r="D2562" i="56" s="1"/>
  <c r="E2562" i="56"/>
  <c r="F2562" i="56" s="1"/>
  <c r="L2562" i="56"/>
  <c r="C2563" i="56"/>
  <c r="D2563" i="56" s="1"/>
  <c r="E2563" i="56"/>
  <c r="F2563" i="56" s="1"/>
  <c r="I2563" i="56"/>
  <c r="C2564" i="56"/>
  <c r="D2564" i="56" s="1"/>
  <c r="E2564" i="56"/>
  <c r="F2564" i="56" s="1"/>
  <c r="C2565" i="56"/>
  <c r="D2565" i="56" s="1"/>
  <c r="E2565" i="56"/>
  <c r="F2565" i="56" s="1"/>
  <c r="I2565" i="56"/>
  <c r="C2566" i="56"/>
  <c r="D2566" i="56" s="1"/>
  <c r="E2566" i="56"/>
  <c r="F2566" i="56" s="1"/>
  <c r="I2566" i="56"/>
  <c r="L2566" i="56"/>
  <c r="C2567" i="56"/>
  <c r="D2567" i="56" s="1"/>
  <c r="E2567" i="56"/>
  <c r="F2567" i="56" s="1"/>
  <c r="I2567" i="56"/>
  <c r="L2567" i="56"/>
  <c r="C2568" i="56"/>
  <c r="D2568" i="56" s="1"/>
  <c r="E2568" i="56"/>
  <c r="F2568" i="56" s="1"/>
  <c r="I2568" i="56"/>
  <c r="L2568" i="56"/>
  <c r="C2569" i="56"/>
  <c r="D2569" i="56" s="1"/>
  <c r="E2569" i="56"/>
  <c r="F2569" i="56" s="1"/>
  <c r="I2569" i="56"/>
  <c r="C2570" i="56"/>
  <c r="D2570" i="56" s="1"/>
  <c r="E2570" i="56"/>
  <c r="F2570" i="56" s="1"/>
  <c r="I2570" i="56"/>
  <c r="C2571" i="56"/>
  <c r="D2571" i="56" s="1"/>
  <c r="E2571" i="56"/>
  <c r="F2571" i="56" s="1"/>
  <c r="I2571" i="56"/>
  <c r="C2572" i="56"/>
  <c r="D2572" i="56" s="1"/>
  <c r="E2572" i="56"/>
  <c r="F2572" i="56" s="1"/>
  <c r="I2572" i="56"/>
  <c r="C2573" i="56"/>
  <c r="D2573" i="56" s="1"/>
  <c r="E2573" i="56"/>
  <c r="F2573" i="56" s="1"/>
  <c r="L2573" i="56"/>
  <c r="C2574" i="56"/>
  <c r="D2574" i="56" s="1"/>
  <c r="E2574" i="56"/>
  <c r="F2574" i="56" s="1"/>
  <c r="L2574" i="56"/>
  <c r="C2575" i="56"/>
  <c r="D2575" i="56" s="1"/>
  <c r="E2575" i="56"/>
  <c r="F2575" i="56" s="1"/>
  <c r="C2576" i="56"/>
  <c r="D2576" i="56" s="1"/>
  <c r="E2576" i="56"/>
  <c r="F2576" i="56" s="1"/>
  <c r="C2577" i="56"/>
  <c r="D2577" i="56" s="1"/>
  <c r="E2577" i="56"/>
  <c r="F2577" i="56" s="1"/>
  <c r="I2577" i="56"/>
  <c r="C2578" i="56"/>
  <c r="D2578" i="56" s="1"/>
  <c r="E2578" i="56"/>
  <c r="F2578" i="56" s="1"/>
  <c r="I2578" i="56"/>
  <c r="L2578" i="56"/>
  <c r="C2579" i="56"/>
  <c r="D2579" i="56" s="1"/>
  <c r="E2579" i="56"/>
  <c r="F2579" i="56" s="1"/>
  <c r="I2579" i="56"/>
  <c r="L2579" i="56"/>
  <c r="C2580" i="56"/>
  <c r="D2580" i="56" s="1"/>
  <c r="E2580" i="56"/>
  <c r="F2580" i="56" s="1"/>
  <c r="I2580" i="56"/>
  <c r="C2581" i="56"/>
  <c r="D2581" i="56" s="1"/>
  <c r="E2581" i="56"/>
  <c r="F2581" i="56" s="1"/>
  <c r="I2581" i="56"/>
  <c r="C2582" i="56"/>
  <c r="D2582" i="56" s="1"/>
  <c r="E2582" i="56"/>
  <c r="F2582" i="56" s="1"/>
  <c r="I2582" i="56"/>
  <c r="C2583" i="56"/>
  <c r="D2583" i="56" s="1"/>
  <c r="E2583" i="56"/>
  <c r="F2583" i="56" s="1"/>
  <c r="I2583" i="56"/>
  <c r="C2584" i="56"/>
  <c r="D2584" i="56" s="1"/>
  <c r="E2584" i="56"/>
  <c r="F2584" i="56" s="1"/>
  <c r="I2584" i="56"/>
  <c r="C2585" i="56"/>
  <c r="D2585" i="56" s="1"/>
  <c r="E2585" i="56"/>
  <c r="F2585" i="56" s="1"/>
  <c r="C2586" i="56"/>
  <c r="D2586" i="56" s="1"/>
  <c r="E2586" i="56"/>
  <c r="F2586" i="56" s="1"/>
  <c r="L2586" i="56"/>
  <c r="C2587" i="56"/>
  <c r="D2587" i="56" s="1"/>
  <c r="E2587" i="56"/>
  <c r="F2587" i="56" s="1"/>
  <c r="C2588" i="56"/>
  <c r="D2588" i="56" s="1"/>
  <c r="E2588" i="56"/>
  <c r="F2588" i="56" s="1"/>
  <c r="C2589" i="56"/>
  <c r="D2589" i="56" s="1"/>
  <c r="E2589" i="56"/>
  <c r="F2589" i="56" s="1"/>
  <c r="I2589" i="56"/>
  <c r="C2590" i="56"/>
  <c r="D2590" i="56" s="1"/>
  <c r="E2590" i="56"/>
  <c r="F2590" i="56" s="1"/>
  <c r="I2590" i="56"/>
  <c r="L2590" i="56"/>
  <c r="C2591" i="56"/>
  <c r="D2591" i="56" s="1"/>
  <c r="E2591" i="56"/>
  <c r="F2591" i="56" s="1"/>
  <c r="I2591" i="56"/>
  <c r="L2591" i="56"/>
  <c r="C2592" i="56"/>
  <c r="D2592" i="56" s="1"/>
  <c r="E2592" i="56"/>
  <c r="F2592" i="56" s="1"/>
  <c r="I2592" i="56"/>
  <c r="C2593" i="56"/>
  <c r="D2593" i="56" s="1"/>
  <c r="E2593" i="56"/>
  <c r="F2593" i="56" s="1"/>
  <c r="I2593" i="56"/>
  <c r="C2594" i="56"/>
  <c r="D2594" i="56" s="1"/>
  <c r="E2594" i="56"/>
  <c r="F2594" i="56" s="1"/>
  <c r="I2594" i="56"/>
  <c r="C2595" i="56"/>
  <c r="D2595" i="56" s="1"/>
  <c r="E2595" i="56"/>
  <c r="F2595" i="56" s="1"/>
  <c r="I2595" i="56"/>
  <c r="C2596" i="56"/>
  <c r="D2596" i="56" s="1"/>
  <c r="E2596" i="56"/>
  <c r="F2596" i="56" s="1"/>
  <c r="I2596" i="56"/>
  <c r="C2597" i="56"/>
  <c r="D2597" i="56" s="1"/>
  <c r="E2597" i="56"/>
  <c r="F2597" i="56" s="1"/>
  <c r="L2597" i="56"/>
  <c r="C2598" i="56"/>
  <c r="D2598" i="56" s="1"/>
  <c r="E2598" i="56"/>
  <c r="F2598" i="56" s="1"/>
  <c r="L2598" i="56"/>
  <c r="C2599" i="56"/>
  <c r="D2599" i="56" s="1"/>
  <c r="E2599" i="56"/>
  <c r="F2599" i="56" s="1"/>
  <c r="C2600" i="56"/>
  <c r="D2600" i="56" s="1"/>
  <c r="E2600" i="56"/>
  <c r="F2600" i="56" s="1"/>
  <c r="C2601" i="56"/>
  <c r="D2601" i="56" s="1"/>
  <c r="E2601" i="56"/>
  <c r="F2601" i="56" s="1"/>
  <c r="I2601" i="56"/>
  <c r="C2602" i="56"/>
  <c r="D2602" i="56" s="1"/>
  <c r="E2602" i="56"/>
  <c r="F2602" i="56" s="1"/>
  <c r="I2602" i="56"/>
  <c r="L2602" i="56"/>
  <c r="C2603" i="56"/>
  <c r="D2603" i="56" s="1"/>
  <c r="E2603" i="56"/>
  <c r="F2603" i="56" s="1"/>
  <c r="I2603" i="56"/>
  <c r="L2603" i="56"/>
  <c r="C2604" i="56"/>
  <c r="D2604" i="56" s="1"/>
  <c r="E2604" i="56"/>
  <c r="F2604" i="56" s="1"/>
  <c r="I2604" i="56"/>
  <c r="L2604" i="56"/>
  <c r="C2605" i="56"/>
  <c r="D2605" i="56" s="1"/>
  <c r="E2605" i="56"/>
  <c r="F2605" i="56" s="1"/>
  <c r="I2605" i="56"/>
  <c r="C2606" i="56"/>
  <c r="D2606" i="56" s="1"/>
  <c r="E2606" i="56"/>
  <c r="F2606" i="56" s="1"/>
  <c r="I2606" i="56"/>
  <c r="C2607" i="56"/>
  <c r="D2607" i="56" s="1"/>
  <c r="E2607" i="56"/>
  <c r="F2607" i="56" s="1"/>
  <c r="I2607" i="56"/>
  <c r="C2608" i="56"/>
  <c r="D2608" i="56" s="1"/>
  <c r="E2608" i="56"/>
  <c r="F2608" i="56" s="1"/>
  <c r="I2608" i="56"/>
  <c r="C2609" i="56"/>
  <c r="D2609" i="56" s="1"/>
  <c r="E2609" i="56"/>
  <c r="F2609" i="56" s="1"/>
  <c r="L2609" i="56"/>
  <c r="C2610" i="56"/>
  <c r="D2610" i="56" s="1"/>
  <c r="E2610" i="56"/>
  <c r="F2610" i="56" s="1"/>
  <c r="L2610" i="56"/>
  <c r="C2611" i="56"/>
  <c r="D2611" i="56" s="1"/>
  <c r="E2611" i="56"/>
  <c r="F2611" i="56" s="1"/>
  <c r="I2611" i="56"/>
  <c r="C2612" i="56"/>
  <c r="D2612" i="56" s="1"/>
  <c r="E2612" i="56"/>
  <c r="F2612" i="56" s="1"/>
  <c r="C2613" i="56"/>
  <c r="D2613" i="56" s="1"/>
  <c r="E2613" i="56"/>
  <c r="F2613" i="56" s="1"/>
  <c r="I2613" i="56"/>
  <c r="C2614" i="56"/>
  <c r="D2614" i="56" s="1"/>
  <c r="E2614" i="56"/>
  <c r="F2614" i="56" s="1"/>
  <c r="I2614" i="56"/>
  <c r="L2614" i="56"/>
  <c r="C2615" i="56"/>
  <c r="D2615" i="56" s="1"/>
  <c r="E2615" i="56"/>
  <c r="F2615" i="56" s="1"/>
  <c r="I2615" i="56"/>
  <c r="C2616" i="56"/>
  <c r="D2616" i="56" s="1"/>
  <c r="E2616" i="56"/>
  <c r="F2616" i="56" s="1"/>
  <c r="I2616" i="56"/>
  <c r="L2616" i="56"/>
  <c r="C2617" i="56"/>
  <c r="D2617" i="56" s="1"/>
  <c r="E2617" i="56"/>
  <c r="F2617" i="56" s="1"/>
  <c r="I2617" i="56"/>
  <c r="C2618" i="56"/>
  <c r="D2618" i="56" s="1"/>
  <c r="E2618" i="56"/>
  <c r="F2618" i="56" s="1"/>
  <c r="I2618" i="56"/>
  <c r="C2619" i="56"/>
  <c r="D2619" i="56" s="1"/>
  <c r="E2619" i="56"/>
  <c r="F2619" i="56" s="1"/>
  <c r="I2619" i="56"/>
  <c r="C2620" i="56"/>
  <c r="D2620" i="56" s="1"/>
  <c r="E2620" i="56"/>
  <c r="F2620" i="56" s="1"/>
  <c r="I2620" i="56"/>
  <c r="C2621" i="56"/>
  <c r="D2621" i="56" s="1"/>
  <c r="E2621" i="56"/>
  <c r="F2621" i="56" s="1"/>
  <c r="L2621" i="56"/>
  <c r="C2622" i="56"/>
  <c r="D2622" i="56" s="1"/>
  <c r="E2622" i="56"/>
  <c r="F2622" i="56" s="1"/>
  <c r="L2622" i="56"/>
  <c r="C2623" i="56"/>
  <c r="D2623" i="56" s="1"/>
  <c r="E2623" i="56"/>
  <c r="F2623" i="56" s="1"/>
  <c r="I2623" i="56"/>
  <c r="C2624" i="56"/>
  <c r="D2624" i="56" s="1"/>
  <c r="E2624" i="56"/>
  <c r="F2624" i="56" s="1"/>
  <c r="C2625" i="56"/>
  <c r="D2625" i="56" s="1"/>
  <c r="E2625" i="56"/>
  <c r="F2625" i="56" s="1"/>
  <c r="I2625" i="56"/>
  <c r="C2626" i="56"/>
  <c r="D2626" i="56" s="1"/>
  <c r="E2626" i="56"/>
  <c r="F2626" i="56" s="1"/>
  <c r="I2626" i="56"/>
  <c r="L2626" i="56"/>
  <c r="C2627" i="56"/>
  <c r="D2627" i="56" s="1"/>
  <c r="E2627" i="56"/>
  <c r="F2627" i="56" s="1"/>
  <c r="I2627" i="56"/>
  <c r="L2627" i="56"/>
  <c r="C2628" i="56"/>
  <c r="D2628" i="56" s="1"/>
  <c r="E2628" i="56"/>
  <c r="F2628" i="56" s="1"/>
  <c r="I2628" i="56"/>
  <c r="C2629" i="56"/>
  <c r="D2629" i="56" s="1"/>
  <c r="E2629" i="56"/>
  <c r="F2629" i="56" s="1"/>
  <c r="I2629" i="56"/>
  <c r="C2630" i="56"/>
  <c r="D2630" i="56" s="1"/>
  <c r="E2630" i="56"/>
  <c r="F2630" i="56" s="1"/>
  <c r="I2630" i="56"/>
  <c r="C2631" i="56"/>
  <c r="D2631" i="56" s="1"/>
  <c r="E2631" i="56"/>
  <c r="F2631" i="56" s="1"/>
  <c r="I2631" i="56"/>
  <c r="C2632" i="56"/>
  <c r="D2632" i="56" s="1"/>
  <c r="E2632" i="56"/>
  <c r="F2632" i="56" s="1"/>
  <c r="I2632" i="56"/>
  <c r="L2632" i="56"/>
  <c r="C2633" i="56"/>
  <c r="D2633" i="56" s="1"/>
  <c r="E2633" i="56"/>
  <c r="F2633" i="56" s="1"/>
  <c r="L2633" i="56"/>
  <c r="C2634" i="56"/>
  <c r="D2634" i="56" s="1"/>
  <c r="E2634" i="56"/>
  <c r="F2634" i="56" s="1"/>
  <c r="L2634" i="56"/>
  <c r="C2635" i="56"/>
  <c r="D2635" i="56" s="1"/>
  <c r="E2635" i="56"/>
  <c r="F2635" i="56" s="1"/>
  <c r="I2635" i="56"/>
  <c r="C2636" i="56"/>
  <c r="D2636" i="56" s="1"/>
  <c r="E2636" i="56"/>
  <c r="F2636" i="56" s="1"/>
  <c r="C2637" i="56"/>
  <c r="D2637" i="56" s="1"/>
  <c r="E2637" i="56"/>
  <c r="F2637" i="56" s="1"/>
  <c r="I2637" i="56"/>
  <c r="L2637" i="56"/>
  <c r="C2638" i="56"/>
  <c r="D2638" i="56" s="1"/>
  <c r="E2638" i="56"/>
  <c r="F2638" i="56" s="1"/>
  <c r="I2638" i="56"/>
  <c r="L2638" i="56"/>
  <c r="C2639" i="56"/>
  <c r="D2639" i="56" s="1"/>
  <c r="E2639" i="56"/>
  <c r="F2639" i="56" s="1"/>
  <c r="I2639" i="56"/>
  <c r="L2639" i="56"/>
  <c r="C2640" i="56"/>
  <c r="D2640" i="56" s="1"/>
  <c r="E2640" i="56"/>
  <c r="F2640" i="56" s="1"/>
  <c r="I2640" i="56"/>
  <c r="L2640" i="56"/>
  <c r="C2641" i="56"/>
  <c r="D2641" i="56" s="1"/>
  <c r="E2641" i="56"/>
  <c r="F2641" i="56" s="1"/>
  <c r="I2641" i="56"/>
  <c r="C2642" i="56"/>
  <c r="D2642" i="56" s="1"/>
  <c r="E2642" i="56"/>
  <c r="F2642" i="56" s="1"/>
  <c r="I2642" i="56"/>
  <c r="C2643" i="56"/>
  <c r="D2643" i="56" s="1"/>
  <c r="E2643" i="56"/>
  <c r="F2643" i="56" s="1"/>
  <c r="I2643" i="56"/>
  <c r="C2644" i="56"/>
  <c r="D2644" i="56" s="1"/>
  <c r="E2644" i="56"/>
  <c r="F2644" i="56" s="1"/>
  <c r="I2644" i="56"/>
  <c r="C2645" i="56"/>
  <c r="D2645" i="56"/>
  <c r="E2645" i="56"/>
  <c r="F2645" i="56" s="1"/>
  <c r="L2645" i="56"/>
  <c r="C2646" i="56"/>
  <c r="D2646" i="56" s="1"/>
  <c r="E2646" i="56"/>
  <c r="F2646" i="56" s="1"/>
  <c r="I2646" i="56"/>
  <c r="L2646" i="56"/>
  <c r="C2647" i="56"/>
  <c r="D2647" i="56" s="1"/>
  <c r="E2647" i="56"/>
  <c r="F2647" i="56" s="1"/>
  <c r="I2647" i="56"/>
  <c r="C2648" i="56"/>
  <c r="D2648" i="56" s="1"/>
  <c r="E2648" i="56"/>
  <c r="F2648" i="56" s="1"/>
  <c r="C2649" i="56"/>
  <c r="D2649" i="56" s="1"/>
  <c r="E2649" i="56"/>
  <c r="F2649" i="56" s="1"/>
  <c r="I2649" i="56"/>
  <c r="C2650" i="56"/>
  <c r="D2650" i="56" s="1"/>
  <c r="E2650" i="56"/>
  <c r="F2650" i="56" s="1"/>
  <c r="I2650" i="56"/>
  <c r="L2650" i="56"/>
  <c r="C2651" i="56"/>
  <c r="D2651" i="56" s="1"/>
  <c r="E2651" i="56"/>
  <c r="F2651" i="56" s="1"/>
  <c r="I2651" i="56"/>
  <c r="L2651" i="56"/>
  <c r="C2652" i="56"/>
  <c r="D2652" i="56" s="1"/>
  <c r="E2652" i="56"/>
  <c r="F2652" i="56" s="1"/>
  <c r="I2652" i="56"/>
  <c r="L2652" i="56"/>
  <c r="C2653" i="56"/>
  <c r="D2653" i="56" s="1"/>
  <c r="E2653" i="56"/>
  <c r="F2653" i="56" s="1"/>
  <c r="I2653" i="56"/>
  <c r="C2654" i="56"/>
  <c r="D2654" i="56" s="1"/>
  <c r="E2654" i="56"/>
  <c r="F2654" i="56" s="1"/>
  <c r="I2654" i="56"/>
  <c r="C2655" i="56"/>
  <c r="D2655" i="56" s="1"/>
  <c r="E2655" i="56"/>
  <c r="F2655" i="56" s="1"/>
  <c r="I2655" i="56"/>
  <c r="C2656" i="56"/>
  <c r="D2656" i="56" s="1"/>
  <c r="E2656" i="56"/>
  <c r="F2656" i="56" s="1"/>
  <c r="I2656" i="56"/>
  <c r="C2657" i="56"/>
  <c r="D2657" i="56" s="1"/>
  <c r="E2657" i="56"/>
  <c r="F2657" i="56" s="1"/>
  <c r="L2657" i="56"/>
  <c r="C2658" i="56"/>
  <c r="D2658" i="56" s="1"/>
  <c r="E2658" i="56"/>
  <c r="F2658" i="56" s="1"/>
  <c r="L2658" i="56"/>
  <c r="C2659" i="56"/>
  <c r="D2659" i="56" s="1"/>
  <c r="E2659" i="56"/>
  <c r="F2659" i="56" s="1"/>
  <c r="C2660" i="56"/>
  <c r="D2660" i="56" s="1"/>
  <c r="E2660" i="56"/>
  <c r="F2660" i="56" s="1"/>
  <c r="C2661" i="56"/>
  <c r="D2661" i="56" s="1"/>
  <c r="E2661" i="56"/>
  <c r="F2661" i="56" s="1"/>
  <c r="I2661" i="56"/>
  <c r="L2661" i="56"/>
  <c r="C2662" i="56"/>
  <c r="D2662" i="56" s="1"/>
  <c r="E2662" i="56"/>
  <c r="F2662" i="56" s="1"/>
  <c r="I2662" i="56"/>
  <c r="L2662" i="56"/>
  <c r="C2663" i="56"/>
  <c r="D2663" i="56" s="1"/>
  <c r="E2663" i="56"/>
  <c r="F2663" i="56" s="1"/>
  <c r="I2663" i="56"/>
  <c r="L2663" i="56"/>
  <c r="C2664" i="56"/>
  <c r="D2664" i="56" s="1"/>
  <c r="E2664" i="56"/>
  <c r="F2664" i="56" s="1"/>
  <c r="I2664" i="56"/>
  <c r="L2664" i="56"/>
  <c r="C2665" i="56"/>
  <c r="D2665" i="56" s="1"/>
  <c r="E2665" i="56"/>
  <c r="F2665" i="56" s="1"/>
  <c r="I2665" i="56"/>
  <c r="C2666" i="56"/>
  <c r="D2666" i="56" s="1"/>
  <c r="E2666" i="56"/>
  <c r="F2666" i="56" s="1"/>
  <c r="I2666" i="56"/>
  <c r="C2667" i="56"/>
  <c r="D2667" i="56" s="1"/>
  <c r="E2667" i="56"/>
  <c r="F2667" i="56" s="1"/>
  <c r="I2667" i="56"/>
  <c r="C2668" i="56"/>
  <c r="D2668" i="56" s="1"/>
  <c r="E2668" i="56"/>
  <c r="F2668" i="56" s="1"/>
  <c r="I2668" i="56"/>
  <c r="L2668" i="56"/>
  <c r="C2669" i="56"/>
  <c r="D2669" i="56" s="1"/>
  <c r="E2669" i="56"/>
  <c r="F2669" i="56" s="1"/>
  <c r="C2670" i="56"/>
  <c r="D2670" i="56" s="1"/>
  <c r="E2670" i="56"/>
  <c r="F2670" i="56" s="1"/>
  <c r="I2670" i="56"/>
  <c r="L2670" i="56"/>
  <c r="C2671" i="56"/>
  <c r="D2671" i="56" s="1"/>
  <c r="E2671" i="56"/>
  <c r="F2671" i="56" s="1"/>
  <c r="C2672" i="56"/>
  <c r="D2672" i="56" s="1"/>
  <c r="E2672" i="56"/>
  <c r="F2672" i="56" s="1"/>
  <c r="C2673" i="56"/>
  <c r="D2673" i="56" s="1"/>
  <c r="E2673" i="56"/>
  <c r="F2673" i="56" s="1"/>
  <c r="I2673" i="56"/>
  <c r="L2673" i="56"/>
  <c r="C2674" i="56"/>
  <c r="D2674" i="56" s="1"/>
  <c r="E2674" i="56"/>
  <c r="F2674" i="56" s="1"/>
  <c r="I2674" i="56"/>
  <c r="L2674" i="56"/>
  <c r="C2675" i="56"/>
  <c r="D2675" i="56" s="1"/>
  <c r="E2675" i="56"/>
  <c r="F2675" i="56" s="1"/>
  <c r="I2675" i="56"/>
  <c r="L2675" i="56"/>
  <c r="C2676" i="56"/>
  <c r="D2676" i="56" s="1"/>
  <c r="E2676" i="56"/>
  <c r="F2676" i="56" s="1"/>
  <c r="I2676" i="56"/>
  <c r="L2676" i="56"/>
  <c r="C2677" i="56"/>
  <c r="D2677" i="56" s="1"/>
  <c r="E2677" i="56"/>
  <c r="F2677" i="56" s="1"/>
  <c r="I2677" i="56"/>
  <c r="C2678" i="56"/>
  <c r="D2678" i="56" s="1"/>
  <c r="E2678" i="56"/>
  <c r="F2678" i="56" s="1"/>
  <c r="I2678" i="56"/>
  <c r="C2679" i="56"/>
  <c r="D2679" i="56" s="1"/>
  <c r="E2679" i="56"/>
  <c r="F2679" i="56" s="1"/>
  <c r="I2679" i="56"/>
  <c r="C2680" i="56"/>
  <c r="D2680" i="56" s="1"/>
  <c r="E2680" i="56"/>
  <c r="F2680" i="56" s="1"/>
  <c r="I2680" i="56"/>
  <c r="C2681" i="56"/>
  <c r="D2681" i="56" s="1"/>
  <c r="E2681" i="56"/>
  <c r="F2681" i="56" s="1"/>
  <c r="C2682" i="56"/>
  <c r="D2682" i="56" s="1"/>
  <c r="E2682" i="56"/>
  <c r="F2682" i="56" s="1"/>
  <c r="L2682" i="56"/>
  <c r="C2683" i="56"/>
  <c r="D2683" i="56" s="1"/>
  <c r="E2683" i="56"/>
  <c r="F2683" i="56" s="1"/>
  <c r="I2683" i="56"/>
  <c r="C2684" i="56"/>
  <c r="D2684" i="56" s="1"/>
  <c r="E2684" i="56"/>
  <c r="F2684" i="56" s="1"/>
  <c r="C2685" i="56"/>
  <c r="D2685" i="56" s="1"/>
  <c r="E2685" i="56"/>
  <c r="F2685" i="56" s="1"/>
  <c r="I2685" i="56"/>
  <c r="C2686" i="56"/>
  <c r="D2686" i="56" s="1"/>
  <c r="E2686" i="56"/>
  <c r="F2686" i="56" s="1"/>
  <c r="I2686" i="56"/>
  <c r="L2686" i="56"/>
  <c r="C2687" i="56"/>
  <c r="D2687" i="56" s="1"/>
  <c r="E2687" i="56"/>
  <c r="F2687" i="56" s="1"/>
  <c r="I2687" i="56"/>
  <c r="C2688" i="56"/>
  <c r="D2688" i="56" s="1"/>
  <c r="E2688" i="56"/>
  <c r="F2688" i="56" s="1"/>
  <c r="I2688" i="56"/>
  <c r="L2688" i="56"/>
  <c r="C2689" i="56"/>
  <c r="D2689" i="56" s="1"/>
  <c r="E2689" i="56"/>
  <c r="F2689" i="56" s="1"/>
  <c r="I2689" i="56"/>
  <c r="C2690" i="56"/>
  <c r="D2690" i="56" s="1"/>
  <c r="E2690" i="56"/>
  <c r="F2690" i="56" s="1"/>
  <c r="I2690" i="56"/>
  <c r="C2691" i="56"/>
  <c r="D2691" i="56" s="1"/>
  <c r="E2691" i="56"/>
  <c r="F2691" i="56" s="1"/>
  <c r="I2691" i="56"/>
  <c r="C2692" i="56"/>
  <c r="D2692" i="56" s="1"/>
  <c r="E2692" i="56"/>
  <c r="F2692" i="56" s="1"/>
  <c r="I2692" i="56"/>
  <c r="C2693" i="56"/>
  <c r="D2693" i="56" s="1"/>
  <c r="E2693" i="56"/>
  <c r="F2693" i="56" s="1"/>
  <c r="L2693" i="56"/>
  <c r="C2694" i="56"/>
  <c r="D2694" i="56" s="1"/>
  <c r="E2694" i="56"/>
  <c r="F2694" i="56" s="1"/>
  <c r="L2694" i="56"/>
  <c r="C2695" i="56"/>
  <c r="D2695" i="56" s="1"/>
  <c r="E2695" i="56"/>
  <c r="F2695" i="56" s="1"/>
  <c r="I2695" i="56"/>
  <c r="C2696" i="56"/>
  <c r="D2696" i="56" s="1"/>
  <c r="E2696" i="56"/>
  <c r="F2696" i="56" s="1"/>
  <c r="C2697" i="56"/>
  <c r="D2697" i="56" s="1"/>
  <c r="E2697" i="56"/>
  <c r="F2697" i="56" s="1"/>
  <c r="I2697" i="56"/>
  <c r="L2697" i="56"/>
  <c r="C2698" i="56"/>
  <c r="D2698" i="56" s="1"/>
  <c r="E2698" i="56"/>
  <c r="F2698" i="56" s="1"/>
  <c r="I2698" i="56"/>
  <c r="L2698" i="56"/>
  <c r="C2699" i="56"/>
  <c r="D2699" i="56" s="1"/>
  <c r="E2699" i="56"/>
  <c r="F2699" i="56" s="1"/>
  <c r="I2699" i="56"/>
  <c r="L2699" i="56"/>
  <c r="C2700" i="56"/>
  <c r="D2700" i="56" s="1"/>
  <c r="E2700" i="56"/>
  <c r="F2700" i="56" s="1"/>
  <c r="I2700" i="56"/>
  <c r="L2700" i="56"/>
  <c r="C2701" i="56"/>
  <c r="D2701" i="56" s="1"/>
  <c r="E2701" i="56"/>
  <c r="F2701" i="56" s="1"/>
  <c r="I2701" i="56"/>
  <c r="C2702" i="56"/>
  <c r="D2702" i="56" s="1"/>
  <c r="E2702" i="56"/>
  <c r="F2702" i="56" s="1"/>
  <c r="I2702" i="56"/>
  <c r="C2703" i="56"/>
  <c r="D2703" i="56" s="1"/>
  <c r="E2703" i="56"/>
  <c r="F2703" i="56" s="1"/>
  <c r="I2703" i="56"/>
  <c r="C2704" i="56"/>
  <c r="D2704" i="56" s="1"/>
  <c r="E2704" i="56"/>
  <c r="F2704" i="56" s="1"/>
  <c r="I2704" i="56"/>
  <c r="C2705" i="56"/>
  <c r="D2705" i="56" s="1"/>
  <c r="E2705" i="56"/>
  <c r="F2705" i="56" s="1"/>
  <c r="L2705" i="56"/>
  <c r="C2706" i="56"/>
  <c r="D2706" i="56" s="1"/>
  <c r="E2706" i="56"/>
  <c r="F2706" i="56" s="1"/>
  <c r="I2706" i="56"/>
  <c r="L2706" i="56"/>
  <c r="C2707" i="56"/>
  <c r="D2707" i="56" s="1"/>
  <c r="E2707" i="56"/>
  <c r="F2707" i="56" s="1"/>
  <c r="C2708" i="56"/>
  <c r="D2708" i="56" s="1"/>
  <c r="E2708" i="56"/>
  <c r="F2708" i="56" s="1"/>
  <c r="C2709" i="56"/>
  <c r="D2709" i="56" s="1"/>
  <c r="E2709" i="56"/>
  <c r="F2709" i="56" s="1"/>
  <c r="I2709" i="56"/>
  <c r="C2710" i="56"/>
  <c r="D2710" i="56" s="1"/>
  <c r="E2710" i="56"/>
  <c r="F2710" i="56" s="1"/>
  <c r="I2710" i="56"/>
  <c r="L2710" i="56"/>
  <c r="C2711" i="56"/>
  <c r="D2711" i="56" s="1"/>
  <c r="E2711" i="56"/>
  <c r="F2711" i="56" s="1"/>
  <c r="I2711" i="56"/>
  <c r="L2711" i="56"/>
  <c r="C2712" i="56"/>
  <c r="D2712" i="56" s="1"/>
  <c r="E2712" i="56"/>
  <c r="F2712" i="56" s="1"/>
  <c r="I2712" i="56"/>
  <c r="L2712" i="56"/>
  <c r="C2713" i="56"/>
  <c r="D2713" i="56" s="1"/>
  <c r="E2713" i="56"/>
  <c r="F2713" i="56" s="1"/>
  <c r="I2713" i="56"/>
  <c r="C2714" i="56"/>
  <c r="D2714" i="56" s="1"/>
  <c r="E2714" i="56"/>
  <c r="F2714" i="56" s="1"/>
  <c r="I2714" i="56"/>
  <c r="C2715" i="56"/>
  <c r="D2715" i="56" s="1"/>
  <c r="E2715" i="56"/>
  <c r="F2715" i="56" s="1"/>
  <c r="I2715" i="56"/>
  <c r="C2716" i="56"/>
  <c r="D2716" i="56" s="1"/>
  <c r="E2716" i="56"/>
  <c r="F2716" i="56" s="1"/>
  <c r="I2716" i="56"/>
  <c r="C2717" i="56"/>
  <c r="D2717" i="56" s="1"/>
  <c r="E2717" i="56"/>
  <c r="F2717" i="56" s="1"/>
  <c r="L2717" i="56"/>
  <c r="C2718" i="56"/>
  <c r="D2718" i="56" s="1"/>
  <c r="E2718" i="56"/>
  <c r="F2718" i="56" s="1"/>
  <c r="L2718" i="56"/>
  <c r="C2719" i="56"/>
  <c r="D2719" i="56" s="1"/>
  <c r="E2719" i="56"/>
  <c r="F2719" i="56" s="1"/>
  <c r="I2719" i="56"/>
  <c r="C2720" i="56"/>
  <c r="D2720" i="56" s="1"/>
  <c r="E2720" i="56"/>
  <c r="F2720" i="56" s="1"/>
  <c r="C2721" i="56"/>
  <c r="D2721" i="56" s="1"/>
  <c r="E2721" i="56"/>
  <c r="F2721" i="56" s="1"/>
  <c r="I2721" i="56"/>
  <c r="C2722" i="56"/>
  <c r="D2722" i="56" s="1"/>
  <c r="E2722" i="56"/>
  <c r="F2722" i="56" s="1"/>
  <c r="I2722" i="56"/>
  <c r="L2722" i="56"/>
  <c r="C2723" i="56"/>
  <c r="D2723" i="56" s="1"/>
  <c r="E2723" i="56"/>
  <c r="F2723" i="56" s="1"/>
  <c r="I2723" i="56"/>
  <c r="L2723" i="56"/>
  <c r="C2724" i="56"/>
  <c r="D2724" i="56" s="1"/>
  <c r="E2724" i="56"/>
  <c r="F2724" i="56" s="1"/>
  <c r="I2724" i="56"/>
  <c r="C2725" i="56"/>
  <c r="D2725" i="56" s="1"/>
  <c r="E2725" i="56"/>
  <c r="F2725" i="56" s="1"/>
  <c r="I2725" i="56"/>
  <c r="C2726" i="56"/>
  <c r="D2726" i="56" s="1"/>
  <c r="E2726" i="56"/>
  <c r="F2726" i="56" s="1"/>
  <c r="I2726" i="56"/>
  <c r="C2727" i="56"/>
  <c r="D2727" i="56" s="1"/>
  <c r="E2727" i="56"/>
  <c r="F2727" i="56" s="1"/>
  <c r="I2727" i="56"/>
  <c r="C2728" i="56"/>
  <c r="D2728" i="56" s="1"/>
  <c r="E2728" i="56"/>
  <c r="F2728" i="56" s="1"/>
  <c r="I2728" i="56"/>
  <c r="L2728" i="56"/>
  <c r="C2729" i="56"/>
  <c r="D2729" i="56" s="1"/>
  <c r="E2729" i="56"/>
  <c r="F2729" i="56" s="1"/>
  <c r="L2729" i="56"/>
  <c r="C2730" i="56"/>
  <c r="D2730" i="56" s="1"/>
  <c r="E2730" i="56"/>
  <c r="F2730" i="56" s="1"/>
  <c r="L2730" i="56"/>
  <c r="C2731" i="56"/>
  <c r="D2731" i="56" s="1"/>
  <c r="E2731" i="56"/>
  <c r="F2731" i="56" s="1"/>
  <c r="C2732" i="56"/>
  <c r="D2732" i="56" s="1"/>
  <c r="E2732" i="56"/>
  <c r="F2732" i="56" s="1"/>
  <c r="C2733" i="56"/>
  <c r="D2733" i="56" s="1"/>
  <c r="E2733" i="56"/>
  <c r="F2733" i="56" s="1"/>
  <c r="I2733" i="56"/>
  <c r="C2734" i="56"/>
  <c r="D2734" i="56" s="1"/>
  <c r="E2734" i="56"/>
  <c r="F2734" i="56" s="1"/>
  <c r="I2734" i="56"/>
  <c r="L2734" i="56"/>
  <c r="C2735" i="56"/>
  <c r="D2735" i="56" s="1"/>
  <c r="E2735" i="56"/>
  <c r="F2735" i="56" s="1"/>
  <c r="I2735" i="56"/>
  <c r="L2735" i="56"/>
  <c r="C2736" i="56"/>
  <c r="D2736" i="56" s="1"/>
  <c r="E2736" i="56"/>
  <c r="F2736" i="56" s="1"/>
  <c r="I2736" i="56"/>
  <c r="C2737" i="56"/>
  <c r="D2737" i="56" s="1"/>
  <c r="E2737" i="56"/>
  <c r="F2737" i="56" s="1"/>
  <c r="I2737" i="56"/>
  <c r="C2738" i="56"/>
  <c r="D2738" i="56" s="1"/>
  <c r="E2738" i="56"/>
  <c r="F2738" i="56" s="1"/>
  <c r="I2738" i="56"/>
  <c r="C2739" i="56"/>
  <c r="D2739" i="56" s="1"/>
  <c r="E2739" i="56"/>
  <c r="F2739" i="56" s="1"/>
  <c r="I2739" i="56"/>
  <c r="C2740" i="56"/>
  <c r="D2740" i="56" s="1"/>
  <c r="E2740" i="56"/>
  <c r="F2740" i="56" s="1"/>
  <c r="I2740" i="56"/>
  <c r="C2741" i="56"/>
  <c r="D2741" i="56" s="1"/>
  <c r="E2741" i="56"/>
  <c r="F2741" i="56" s="1"/>
  <c r="L2741" i="56"/>
  <c r="C2742" i="56"/>
  <c r="D2742" i="56" s="1"/>
  <c r="E2742" i="56"/>
  <c r="F2742" i="56" s="1"/>
  <c r="I2742" i="56"/>
  <c r="L2742" i="56"/>
  <c r="C2743" i="56"/>
  <c r="D2743" i="56" s="1"/>
  <c r="E2743" i="56"/>
  <c r="F2743" i="56" s="1"/>
  <c r="C2744" i="56"/>
  <c r="D2744" i="56" s="1"/>
  <c r="E2744" i="56"/>
  <c r="F2744" i="56" s="1"/>
  <c r="C2745" i="56"/>
  <c r="D2745" i="56" s="1"/>
  <c r="E2745" i="56"/>
  <c r="F2745" i="56" s="1"/>
  <c r="I2745" i="56"/>
  <c r="C2746" i="56"/>
  <c r="D2746" i="56" s="1"/>
  <c r="E2746" i="56"/>
  <c r="F2746" i="56" s="1"/>
  <c r="I2746" i="56"/>
  <c r="L2746" i="56"/>
  <c r="C2747" i="56"/>
  <c r="D2747" i="56" s="1"/>
  <c r="E2747" i="56"/>
  <c r="F2747" i="56" s="1"/>
  <c r="I2747" i="56"/>
  <c r="L2747" i="56"/>
  <c r="C2748" i="56"/>
  <c r="D2748" i="56" s="1"/>
  <c r="E2748" i="56"/>
  <c r="F2748" i="56" s="1"/>
  <c r="I2748" i="56"/>
  <c r="C2749" i="56"/>
  <c r="D2749" i="56" s="1"/>
  <c r="E2749" i="56"/>
  <c r="F2749" i="56" s="1"/>
  <c r="I2749" i="56"/>
  <c r="C2750" i="56"/>
  <c r="D2750" i="56" s="1"/>
  <c r="E2750" i="56"/>
  <c r="F2750" i="56" s="1"/>
  <c r="I2750" i="56"/>
  <c r="C2751" i="56"/>
  <c r="D2751" i="56" s="1"/>
  <c r="E2751" i="56"/>
  <c r="F2751" i="56" s="1"/>
  <c r="I2751" i="56"/>
  <c r="C2752" i="56"/>
  <c r="D2752" i="56" s="1"/>
  <c r="E2752" i="56"/>
  <c r="F2752" i="56" s="1"/>
  <c r="I2752" i="56"/>
  <c r="C2753" i="56"/>
  <c r="D2753" i="56" s="1"/>
  <c r="E2753" i="56"/>
  <c r="F2753" i="56" s="1"/>
  <c r="L2753" i="56"/>
  <c r="C2754" i="56"/>
  <c r="D2754" i="56" s="1"/>
  <c r="E2754" i="56"/>
  <c r="F2754" i="56" s="1"/>
  <c r="L2754" i="56"/>
  <c r="C2755" i="56"/>
  <c r="D2755" i="56" s="1"/>
  <c r="E2755" i="56"/>
  <c r="F2755" i="56" s="1"/>
  <c r="I2755" i="56"/>
  <c r="C2756" i="56"/>
  <c r="D2756" i="56" s="1"/>
  <c r="E2756" i="56"/>
  <c r="F2756" i="56" s="1"/>
  <c r="C2757" i="56"/>
  <c r="D2757" i="56" s="1"/>
  <c r="E2757" i="56"/>
  <c r="F2757" i="56" s="1"/>
  <c r="I2757" i="56"/>
  <c r="L2757" i="56"/>
  <c r="C2758" i="56"/>
  <c r="D2758" i="56" s="1"/>
  <c r="E2758" i="56"/>
  <c r="F2758" i="56" s="1"/>
  <c r="I2758" i="56"/>
  <c r="C2759" i="56"/>
  <c r="D2759" i="56" s="1"/>
  <c r="E2759" i="56"/>
  <c r="F2759" i="56" s="1"/>
  <c r="I2759" i="56"/>
  <c r="L2759" i="56"/>
  <c r="C2760" i="56"/>
  <c r="D2760" i="56" s="1"/>
  <c r="E2760" i="56"/>
  <c r="F2760" i="56" s="1"/>
  <c r="I2760" i="56"/>
  <c r="L2760" i="56"/>
  <c r="C2761" i="56"/>
  <c r="D2761" i="56" s="1"/>
  <c r="E2761" i="56"/>
  <c r="F2761" i="56" s="1"/>
  <c r="I2761" i="56"/>
  <c r="C2762" i="56"/>
  <c r="D2762" i="56" s="1"/>
  <c r="E2762" i="56"/>
  <c r="F2762" i="56" s="1"/>
  <c r="I2762" i="56"/>
  <c r="C2763" i="56"/>
  <c r="D2763" i="56" s="1"/>
  <c r="E2763" i="56"/>
  <c r="F2763" i="56" s="1"/>
  <c r="I2763" i="56"/>
  <c r="C2764" i="56"/>
  <c r="D2764" i="56" s="1"/>
  <c r="E2764" i="56"/>
  <c r="F2764" i="56" s="1"/>
  <c r="I2764" i="56"/>
  <c r="C2765" i="56"/>
  <c r="D2765" i="56" s="1"/>
  <c r="E2765" i="56"/>
  <c r="F2765" i="56" s="1"/>
  <c r="L2765" i="56"/>
  <c r="C2766" i="56"/>
  <c r="D2766" i="56" s="1"/>
  <c r="E2766" i="56"/>
  <c r="F2766" i="56" s="1"/>
  <c r="L2766" i="56"/>
  <c r="C2767" i="56"/>
  <c r="D2767" i="56" s="1"/>
  <c r="E2767" i="56"/>
  <c r="F2767" i="56" s="1"/>
  <c r="C2768" i="56"/>
  <c r="D2768" i="56" s="1"/>
  <c r="E2768" i="56"/>
  <c r="F2768" i="56" s="1"/>
  <c r="C2769" i="56"/>
  <c r="D2769" i="56" s="1"/>
  <c r="E2769" i="56"/>
  <c r="F2769" i="56" s="1"/>
  <c r="I2769" i="56"/>
  <c r="L2769" i="56"/>
  <c r="C2770" i="56"/>
  <c r="D2770" i="56" s="1"/>
  <c r="E2770" i="56"/>
  <c r="F2770" i="56" s="1"/>
  <c r="I2770" i="56"/>
  <c r="C2771" i="56"/>
  <c r="D2771" i="56" s="1"/>
  <c r="E2771" i="56"/>
  <c r="F2771" i="56" s="1"/>
  <c r="I2771" i="56"/>
  <c r="L2771" i="56"/>
  <c r="C2772" i="56"/>
  <c r="D2772" i="56" s="1"/>
  <c r="E2772" i="56"/>
  <c r="F2772" i="56" s="1"/>
  <c r="I2772" i="56"/>
  <c r="L2772" i="56"/>
  <c r="C2773" i="56"/>
  <c r="D2773" i="56" s="1"/>
  <c r="E2773" i="56"/>
  <c r="F2773" i="56" s="1"/>
  <c r="I2773" i="56"/>
  <c r="C2774" i="56"/>
  <c r="D2774" i="56" s="1"/>
  <c r="E2774" i="56"/>
  <c r="F2774" i="56" s="1"/>
  <c r="I2774" i="56"/>
  <c r="C2775" i="56"/>
  <c r="D2775" i="56" s="1"/>
  <c r="E2775" i="56"/>
  <c r="F2775" i="56" s="1"/>
  <c r="I2775" i="56"/>
  <c r="C2776" i="56"/>
  <c r="D2776" i="56" s="1"/>
  <c r="E2776" i="56"/>
  <c r="F2776" i="56" s="1"/>
  <c r="I2776" i="56"/>
  <c r="C2777" i="56"/>
  <c r="D2777" i="56" s="1"/>
  <c r="E2777" i="56"/>
  <c r="F2777" i="56" s="1"/>
  <c r="L2777" i="56"/>
  <c r="C2778" i="56"/>
  <c r="D2778" i="56" s="1"/>
  <c r="E2778" i="56"/>
  <c r="F2778" i="56" s="1"/>
  <c r="B2778" i="56" s="1"/>
  <c r="L2778" i="56"/>
  <c r="C2779" i="56"/>
  <c r="D2779" i="56" s="1"/>
  <c r="E2779" i="56"/>
  <c r="F2779" i="56" s="1"/>
  <c r="C2780" i="56"/>
  <c r="D2780" i="56" s="1"/>
  <c r="E2780" i="56"/>
  <c r="F2780" i="56" s="1"/>
  <c r="C2781" i="56"/>
  <c r="D2781" i="56" s="1"/>
  <c r="E2781" i="56"/>
  <c r="F2781" i="56" s="1"/>
  <c r="I2781" i="56"/>
  <c r="C2782" i="56"/>
  <c r="D2782" i="56" s="1"/>
  <c r="E2782" i="56"/>
  <c r="F2782" i="56" s="1"/>
  <c r="I2782" i="56"/>
  <c r="L2782" i="56"/>
  <c r="C2783" i="56"/>
  <c r="D2783" i="56" s="1"/>
  <c r="E2783" i="56"/>
  <c r="F2783" i="56" s="1"/>
  <c r="I2783" i="56"/>
  <c r="L2783" i="56"/>
  <c r="C2784" i="56"/>
  <c r="D2784" i="56" s="1"/>
  <c r="E2784" i="56"/>
  <c r="F2784" i="56" s="1"/>
  <c r="I2784" i="56"/>
  <c r="L2784" i="56"/>
  <c r="C2785" i="56"/>
  <c r="D2785" i="56" s="1"/>
  <c r="E2785" i="56"/>
  <c r="F2785" i="56" s="1"/>
  <c r="I2785" i="56"/>
  <c r="C2786" i="56"/>
  <c r="D2786" i="56" s="1"/>
  <c r="E2786" i="56"/>
  <c r="F2786" i="56" s="1"/>
  <c r="I2786" i="56"/>
  <c r="C2787" i="56"/>
  <c r="D2787" i="56" s="1"/>
  <c r="E2787" i="56"/>
  <c r="F2787" i="56" s="1"/>
  <c r="I2787" i="56"/>
  <c r="C2788" i="56"/>
  <c r="D2788" i="56" s="1"/>
  <c r="E2788" i="56"/>
  <c r="F2788" i="56" s="1"/>
  <c r="I2788" i="56"/>
  <c r="C2789" i="56"/>
  <c r="D2789" i="56" s="1"/>
  <c r="E2789" i="56"/>
  <c r="F2789" i="56" s="1"/>
  <c r="L2789" i="56"/>
  <c r="C2790" i="56"/>
  <c r="D2790" i="56" s="1"/>
  <c r="E2790" i="56"/>
  <c r="F2790" i="56" s="1"/>
  <c r="I2790" i="56"/>
  <c r="L2790" i="56"/>
  <c r="C2791" i="56"/>
  <c r="D2791" i="56" s="1"/>
  <c r="E2791" i="56"/>
  <c r="F2791" i="56" s="1"/>
  <c r="C2792" i="56"/>
  <c r="D2792" i="56" s="1"/>
  <c r="E2792" i="56"/>
  <c r="F2792" i="56" s="1"/>
  <c r="C2793" i="56"/>
  <c r="D2793" i="56" s="1"/>
  <c r="E2793" i="56"/>
  <c r="F2793" i="56" s="1"/>
  <c r="I2793" i="56"/>
  <c r="L2793" i="56"/>
  <c r="C2794" i="56"/>
  <c r="D2794" i="56" s="1"/>
  <c r="E2794" i="56"/>
  <c r="F2794" i="56" s="1"/>
  <c r="I2794" i="56"/>
  <c r="L2794" i="56"/>
  <c r="C2795" i="56"/>
  <c r="D2795" i="56" s="1"/>
  <c r="E2795" i="56"/>
  <c r="F2795" i="56" s="1"/>
  <c r="I2795" i="56"/>
  <c r="L2795" i="56"/>
  <c r="C2796" i="56"/>
  <c r="D2796" i="56" s="1"/>
  <c r="E2796" i="56"/>
  <c r="F2796" i="56" s="1"/>
  <c r="I2796" i="56"/>
  <c r="L2796" i="56"/>
  <c r="C2797" i="56"/>
  <c r="D2797" i="56" s="1"/>
  <c r="E2797" i="56"/>
  <c r="F2797" i="56" s="1"/>
  <c r="I2797" i="56"/>
  <c r="C2798" i="56"/>
  <c r="D2798" i="56" s="1"/>
  <c r="E2798" i="56"/>
  <c r="F2798" i="56" s="1"/>
  <c r="I2798" i="56"/>
  <c r="C2799" i="56"/>
  <c r="D2799" i="56" s="1"/>
  <c r="E2799" i="56"/>
  <c r="F2799" i="56" s="1"/>
  <c r="I2799" i="56"/>
  <c r="C2800" i="56"/>
  <c r="D2800" i="56" s="1"/>
  <c r="E2800" i="56"/>
  <c r="F2800" i="56" s="1"/>
  <c r="I2800" i="56"/>
  <c r="C2801" i="56"/>
  <c r="D2801" i="56" s="1"/>
  <c r="E2801" i="56"/>
  <c r="F2801" i="56" s="1"/>
  <c r="C2802" i="56"/>
  <c r="D2802" i="56" s="1"/>
  <c r="E2802" i="56"/>
  <c r="F2802" i="56" s="1"/>
  <c r="L2802" i="56"/>
  <c r="C2803" i="56"/>
  <c r="D2803" i="56" s="1"/>
  <c r="E2803" i="56"/>
  <c r="F2803" i="56" s="1"/>
  <c r="C2804" i="56"/>
  <c r="D2804" i="56" s="1"/>
  <c r="E2804" i="56"/>
  <c r="F2804" i="56"/>
  <c r="C2805" i="56"/>
  <c r="D2805" i="56" s="1"/>
  <c r="E2805" i="56"/>
  <c r="F2805" i="56" s="1"/>
  <c r="I2805" i="56"/>
  <c r="C2806" i="56"/>
  <c r="D2806" i="56" s="1"/>
  <c r="E2806" i="56"/>
  <c r="F2806" i="56" s="1"/>
  <c r="I2806" i="56"/>
  <c r="L2806" i="56"/>
  <c r="C2807" i="56"/>
  <c r="D2807" i="56" s="1"/>
  <c r="E2807" i="56"/>
  <c r="F2807" i="56" s="1"/>
  <c r="I2807" i="56"/>
  <c r="L2807" i="56"/>
  <c r="C2808" i="56"/>
  <c r="D2808" i="56" s="1"/>
  <c r="E2808" i="56"/>
  <c r="F2808" i="56" s="1"/>
  <c r="I2808" i="56"/>
  <c r="L2808" i="56"/>
  <c r="C2809" i="56"/>
  <c r="D2809" i="56" s="1"/>
  <c r="E2809" i="56"/>
  <c r="F2809" i="56" s="1"/>
  <c r="I2809" i="56"/>
  <c r="C2810" i="56"/>
  <c r="D2810" i="56" s="1"/>
  <c r="E2810" i="56"/>
  <c r="F2810" i="56" s="1"/>
  <c r="I2810" i="56"/>
  <c r="C2811" i="56"/>
  <c r="D2811" i="56" s="1"/>
  <c r="E2811" i="56"/>
  <c r="F2811" i="56" s="1"/>
  <c r="I2811" i="56"/>
  <c r="C2812" i="56"/>
  <c r="D2812" i="56" s="1"/>
  <c r="E2812" i="56"/>
  <c r="F2812" i="56" s="1"/>
  <c r="I2812" i="56"/>
  <c r="C2813" i="56"/>
  <c r="D2813" i="56" s="1"/>
  <c r="E2813" i="56"/>
  <c r="F2813" i="56" s="1"/>
  <c r="L2813" i="56"/>
  <c r="C2814" i="56"/>
  <c r="D2814" i="56" s="1"/>
  <c r="E2814" i="56"/>
  <c r="F2814" i="56" s="1"/>
  <c r="I2814" i="56"/>
  <c r="L2814" i="56"/>
  <c r="C2815" i="56"/>
  <c r="D2815" i="56" s="1"/>
  <c r="E2815" i="56"/>
  <c r="F2815" i="56" s="1"/>
  <c r="C2816" i="56"/>
  <c r="D2816" i="56" s="1"/>
  <c r="E2816" i="56"/>
  <c r="F2816" i="56" s="1"/>
  <c r="C2817" i="56"/>
  <c r="D2817" i="56" s="1"/>
  <c r="E2817" i="56"/>
  <c r="F2817" i="56" s="1"/>
  <c r="I2817" i="56"/>
  <c r="L2817" i="56"/>
  <c r="C2818" i="56"/>
  <c r="D2818" i="56" s="1"/>
  <c r="E2818" i="56"/>
  <c r="F2818" i="56" s="1"/>
  <c r="I2818" i="56"/>
  <c r="L2818" i="56"/>
  <c r="C2819" i="56"/>
  <c r="D2819" i="56" s="1"/>
  <c r="E2819" i="56"/>
  <c r="F2819" i="56" s="1"/>
  <c r="I2819" i="56"/>
  <c r="L2819" i="56"/>
  <c r="C2820" i="56"/>
  <c r="D2820" i="56" s="1"/>
  <c r="E2820" i="56"/>
  <c r="F2820" i="56" s="1"/>
  <c r="I2820" i="56"/>
  <c r="L2820" i="56"/>
  <c r="C2821" i="56"/>
  <c r="D2821" i="56" s="1"/>
  <c r="E2821" i="56"/>
  <c r="F2821" i="56" s="1"/>
  <c r="I2821" i="56"/>
  <c r="C2822" i="56"/>
  <c r="D2822" i="56" s="1"/>
  <c r="E2822" i="56"/>
  <c r="F2822" i="56" s="1"/>
  <c r="I2822" i="56"/>
  <c r="C2823" i="56"/>
  <c r="D2823" i="56" s="1"/>
  <c r="E2823" i="56"/>
  <c r="F2823" i="56" s="1"/>
  <c r="I2823" i="56"/>
  <c r="C2824" i="56"/>
  <c r="D2824" i="56" s="1"/>
  <c r="E2824" i="56"/>
  <c r="F2824" i="56" s="1"/>
  <c r="I2824" i="56"/>
  <c r="C2825" i="56"/>
  <c r="D2825" i="56" s="1"/>
  <c r="E2825" i="56"/>
  <c r="F2825" i="56" s="1"/>
  <c r="L2825" i="56"/>
  <c r="C2826" i="56"/>
  <c r="D2826" i="56" s="1"/>
  <c r="E2826" i="56"/>
  <c r="F2826" i="56" s="1"/>
  <c r="L2826" i="56"/>
  <c r="C2827" i="56"/>
  <c r="D2827" i="56" s="1"/>
  <c r="E2827" i="56"/>
  <c r="F2827" i="56" s="1"/>
  <c r="C2828" i="56"/>
  <c r="D2828" i="56" s="1"/>
  <c r="E2828" i="56"/>
  <c r="F2828" i="56" s="1"/>
  <c r="I2828" i="56"/>
  <c r="C2829" i="56"/>
  <c r="D2829" i="56" s="1"/>
  <c r="E2829" i="56"/>
  <c r="F2829" i="56" s="1"/>
  <c r="I2829" i="56"/>
  <c r="L2829" i="56"/>
  <c r="C2830" i="56"/>
  <c r="D2830" i="56" s="1"/>
  <c r="E2830" i="56"/>
  <c r="F2830" i="56" s="1"/>
  <c r="I2830" i="56"/>
  <c r="L2830" i="56"/>
  <c r="C2831" i="56"/>
  <c r="D2831" i="56" s="1"/>
  <c r="E2831" i="56"/>
  <c r="F2831" i="56" s="1"/>
  <c r="I2831" i="56"/>
  <c r="L2831" i="56"/>
  <c r="C2832" i="56"/>
  <c r="D2832" i="56" s="1"/>
  <c r="E2832" i="56"/>
  <c r="F2832" i="56" s="1"/>
  <c r="I2832" i="56"/>
  <c r="L2832" i="56"/>
  <c r="C2833" i="56"/>
  <c r="D2833" i="56" s="1"/>
  <c r="E2833" i="56"/>
  <c r="F2833" i="56" s="1"/>
  <c r="I2833" i="56"/>
  <c r="C2834" i="56"/>
  <c r="D2834" i="56" s="1"/>
  <c r="E2834" i="56"/>
  <c r="F2834" i="56" s="1"/>
  <c r="I2834" i="56"/>
  <c r="C2835" i="56"/>
  <c r="D2835" i="56" s="1"/>
  <c r="E2835" i="56"/>
  <c r="F2835" i="56" s="1"/>
  <c r="I2835" i="56"/>
  <c r="C2836" i="56"/>
  <c r="D2836" i="56" s="1"/>
  <c r="E2836" i="56"/>
  <c r="F2836" i="56" s="1"/>
  <c r="I2836" i="56"/>
  <c r="C2837" i="56"/>
  <c r="D2837" i="56" s="1"/>
  <c r="E2837" i="56"/>
  <c r="F2837" i="56" s="1"/>
  <c r="C2838" i="56"/>
  <c r="D2838" i="56" s="1"/>
  <c r="E2838" i="56"/>
  <c r="F2838" i="56" s="1"/>
  <c r="C2839" i="56"/>
  <c r="D2839" i="56" s="1"/>
  <c r="E2839" i="56"/>
  <c r="F2839" i="56" s="1"/>
  <c r="I2839" i="56"/>
  <c r="C2840" i="56"/>
  <c r="D2840" i="56" s="1"/>
  <c r="E2840" i="56"/>
  <c r="F2840" i="56" s="1"/>
  <c r="C2841" i="56"/>
  <c r="D2841" i="56" s="1"/>
  <c r="E2841" i="56"/>
  <c r="F2841" i="56" s="1"/>
  <c r="I2841" i="56"/>
  <c r="L2841" i="56"/>
  <c r="C2842" i="56"/>
  <c r="D2842" i="56" s="1"/>
  <c r="E2842" i="56"/>
  <c r="F2842" i="56" s="1"/>
  <c r="I2842" i="56"/>
  <c r="L2842" i="56"/>
  <c r="C2843" i="56"/>
  <c r="D2843" i="56" s="1"/>
  <c r="E2843" i="56"/>
  <c r="F2843" i="56" s="1"/>
  <c r="I2843" i="56"/>
  <c r="L2843" i="56"/>
  <c r="C2844" i="56"/>
  <c r="D2844" i="56" s="1"/>
  <c r="E2844" i="56"/>
  <c r="F2844" i="56" s="1"/>
  <c r="I2844" i="56"/>
  <c r="L2844" i="56"/>
  <c r="C2845" i="56"/>
  <c r="D2845" i="56" s="1"/>
  <c r="E2845" i="56"/>
  <c r="F2845" i="56" s="1"/>
  <c r="I2845" i="56"/>
  <c r="C2846" i="56"/>
  <c r="D2846" i="56" s="1"/>
  <c r="E2846" i="56"/>
  <c r="F2846" i="56" s="1"/>
  <c r="I2846" i="56"/>
  <c r="C2847" i="56"/>
  <c r="D2847" i="56" s="1"/>
  <c r="E2847" i="56"/>
  <c r="F2847" i="56" s="1"/>
  <c r="I2847" i="56"/>
  <c r="C2848" i="56"/>
  <c r="D2848" i="56" s="1"/>
  <c r="E2848" i="56"/>
  <c r="F2848" i="56" s="1"/>
  <c r="I2848" i="56"/>
  <c r="C2849" i="56"/>
  <c r="D2849" i="56" s="1"/>
  <c r="E2849" i="56"/>
  <c r="F2849" i="56" s="1"/>
  <c r="C2850" i="56"/>
  <c r="D2850" i="56" s="1"/>
  <c r="E2850" i="56"/>
  <c r="F2850" i="56" s="1"/>
  <c r="I2850" i="56"/>
  <c r="L2850" i="56"/>
  <c r="C2851" i="56"/>
  <c r="D2851" i="56" s="1"/>
  <c r="E2851" i="56"/>
  <c r="F2851" i="56" s="1"/>
  <c r="C2852" i="56"/>
  <c r="D2852" i="56" s="1"/>
  <c r="E2852" i="56"/>
  <c r="F2852" i="56" s="1"/>
  <c r="C2853" i="56"/>
  <c r="D2853" i="56" s="1"/>
  <c r="E2853" i="56"/>
  <c r="F2853" i="56" s="1"/>
  <c r="I2853" i="56"/>
  <c r="L2853" i="56"/>
  <c r="C2854" i="56"/>
  <c r="D2854" i="56" s="1"/>
  <c r="E2854" i="56"/>
  <c r="F2854" i="56" s="1"/>
  <c r="I2854" i="56"/>
  <c r="L2854" i="56"/>
  <c r="C2855" i="56"/>
  <c r="D2855" i="56" s="1"/>
  <c r="E2855" i="56"/>
  <c r="F2855" i="56" s="1"/>
  <c r="I2855" i="56"/>
  <c r="L2855" i="56"/>
  <c r="C2856" i="56"/>
  <c r="D2856" i="56" s="1"/>
  <c r="E2856" i="56"/>
  <c r="F2856" i="56" s="1"/>
  <c r="I2856" i="56"/>
  <c r="L2856" i="56"/>
  <c r="C2857" i="56"/>
  <c r="D2857" i="56" s="1"/>
  <c r="E2857" i="56"/>
  <c r="F2857" i="56" s="1"/>
  <c r="I2857" i="56"/>
  <c r="C2858" i="56"/>
  <c r="D2858" i="56" s="1"/>
  <c r="E2858" i="56"/>
  <c r="F2858" i="56" s="1"/>
  <c r="I2858" i="56"/>
  <c r="C2859" i="56"/>
  <c r="D2859" i="56" s="1"/>
  <c r="E2859" i="56"/>
  <c r="F2859" i="56" s="1"/>
  <c r="I2859" i="56"/>
  <c r="C2860" i="56"/>
  <c r="D2860" i="56" s="1"/>
  <c r="E2860" i="56"/>
  <c r="F2860" i="56" s="1"/>
  <c r="I2860" i="56"/>
  <c r="C2861" i="56"/>
  <c r="D2861" i="56" s="1"/>
  <c r="E2861" i="56"/>
  <c r="F2861" i="56" s="1"/>
  <c r="L2861" i="56"/>
  <c r="C2862" i="56"/>
  <c r="D2862" i="56" s="1"/>
  <c r="E2862" i="56"/>
  <c r="F2862" i="56" s="1"/>
  <c r="L2862" i="56"/>
  <c r="C2863" i="56"/>
  <c r="D2863" i="56" s="1"/>
  <c r="E2863" i="56"/>
  <c r="F2863" i="56" s="1"/>
  <c r="C2864" i="56"/>
  <c r="D2864" i="56" s="1"/>
  <c r="E2864" i="56"/>
  <c r="F2864" i="56" s="1"/>
  <c r="C2865" i="56"/>
  <c r="D2865" i="56" s="1"/>
  <c r="E2865" i="56"/>
  <c r="F2865" i="56" s="1"/>
  <c r="I2865" i="56"/>
  <c r="L2865" i="56"/>
  <c r="C2866" i="56"/>
  <c r="D2866" i="56" s="1"/>
  <c r="E2866" i="56"/>
  <c r="F2866" i="56" s="1"/>
  <c r="I2866" i="56"/>
  <c r="L2866" i="56"/>
  <c r="C2867" i="56"/>
  <c r="D2867" i="56" s="1"/>
  <c r="E2867" i="56"/>
  <c r="F2867" i="56" s="1"/>
  <c r="I2867" i="56"/>
  <c r="L2867" i="56"/>
  <c r="C2868" i="56"/>
  <c r="D2868" i="56" s="1"/>
  <c r="E2868" i="56"/>
  <c r="F2868" i="56" s="1"/>
  <c r="I2868" i="56"/>
  <c r="L2868" i="56"/>
  <c r="C2869" i="56"/>
  <c r="D2869" i="56" s="1"/>
  <c r="E2869" i="56"/>
  <c r="F2869" i="56" s="1"/>
  <c r="I2869" i="56"/>
  <c r="C2870" i="56"/>
  <c r="D2870" i="56" s="1"/>
  <c r="E2870" i="56"/>
  <c r="F2870" i="56" s="1"/>
  <c r="I2870" i="56"/>
  <c r="C2871" i="56"/>
  <c r="D2871" i="56" s="1"/>
  <c r="E2871" i="56"/>
  <c r="F2871" i="56" s="1"/>
  <c r="I2871" i="56"/>
  <c r="C2872" i="56"/>
  <c r="D2872" i="56" s="1"/>
  <c r="E2872" i="56"/>
  <c r="F2872" i="56" s="1"/>
  <c r="I2872" i="56"/>
  <c r="C2873" i="56"/>
  <c r="D2873" i="56" s="1"/>
  <c r="E2873" i="56"/>
  <c r="F2873" i="56" s="1"/>
  <c r="C2874" i="56"/>
  <c r="D2874" i="56" s="1"/>
  <c r="E2874" i="56"/>
  <c r="F2874" i="56" s="1"/>
  <c r="I2874" i="56"/>
  <c r="L2874" i="56"/>
  <c r="C2875" i="56"/>
  <c r="D2875" i="56" s="1"/>
  <c r="E2875" i="56"/>
  <c r="F2875" i="56" s="1"/>
  <c r="I2875" i="56"/>
  <c r="C2876" i="56"/>
  <c r="D2876" i="56" s="1"/>
  <c r="E2876" i="56"/>
  <c r="F2876" i="56" s="1"/>
  <c r="C2877" i="56"/>
  <c r="D2877" i="56" s="1"/>
  <c r="E2877" i="56"/>
  <c r="F2877" i="56" s="1"/>
  <c r="I2877" i="56"/>
  <c r="L2877" i="56"/>
  <c r="C2878" i="56"/>
  <c r="D2878" i="56" s="1"/>
  <c r="E2878" i="56"/>
  <c r="F2878" i="56" s="1"/>
  <c r="I2878" i="56"/>
  <c r="L2878" i="56"/>
  <c r="C2879" i="56"/>
  <c r="D2879" i="56" s="1"/>
  <c r="E2879" i="56"/>
  <c r="F2879" i="56" s="1"/>
  <c r="I2879" i="56"/>
  <c r="L2879" i="56"/>
  <c r="C2880" i="56"/>
  <c r="D2880" i="56" s="1"/>
  <c r="E2880" i="56"/>
  <c r="F2880" i="56" s="1"/>
  <c r="I2880" i="56"/>
  <c r="L2880" i="56"/>
  <c r="C2881" i="56"/>
  <c r="D2881" i="56" s="1"/>
  <c r="E2881" i="56"/>
  <c r="F2881" i="56" s="1"/>
  <c r="I2881" i="56"/>
  <c r="C2882" i="56"/>
  <c r="D2882" i="56" s="1"/>
  <c r="E2882" i="56"/>
  <c r="F2882" i="56" s="1"/>
  <c r="I2882" i="56"/>
  <c r="C2883" i="56"/>
  <c r="D2883" i="56" s="1"/>
  <c r="E2883" i="56"/>
  <c r="F2883" i="56" s="1"/>
  <c r="I2883" i="56"/>
  <c r="C2884" i="56"/>
  <c r="D2884" i="56" s="1"/>
  <c r="E2884" i="56"/>
  <c r="F2884" i="56" s="1"/>
  <c r="I2884" i="56"/>
  <c r="C2885" i="56"/>
  <c r="D2885" i="56" s="1"/>
  <c r="E2885" i="56"/>
  <c r="F2885" i="56" s="1"/>
  <c r="L2885" i="56"/>
  <c r="C2886" i="56"/>
  <c r="D2886" i="56"/>
  <c r="E2886" i="56"/>
  <c r="F2886" i="56" s="1"/>
  <c r="L2886" i="56"/>
  <c r="C2887" i="56"/>
  <c r="D2887" i="56" s="1"/>
  <c r="E2887" i="56"/>
  <c r="F2887" i="56" s="1"/>
  <c r="C2888" i="56"/>
  <c r="D2888" i="56" s="1"/>
  <c r="E2888" i="56"/>
  <c r="F2888" i="56" s="1"/>
  <c r="C2889" i="56"/>
  <c r="D2889" i="56" s="1"/>
  <c r="E2889" i="56"/>
  <c r="F2889" i="56" s="1"/>
  <c r="I2889" i="56"/>
  <c r="L2889" i="56"/>
  <c r="C2890" i="56"/>
  <c r="D2890" i="56" s="1"/>
  <c r="E2890" i="56"/>
  <c r="F2890" i="56" s="1"/>
  <c r="I2890" i="56"/>
  <c r="L2890" i="56"/>
  <c r="C2891" i="56"/>
  <c r="D2891" i="56" s="1"/>
  <c r="E2891" i="56"/>
  <c r="F2891" i="56" s="1"/>
  <c r="I2891" i="56"/>
  <c r="L2891" i="56"/>
  <c r="C2892" i="56"/>
  <c r="D2892" i="56" s="1"/>
  <c r="E2892" i="56"/>
  <c r="F2892" i="56" s="1"/>
  <c r="I2892" i="56"/>
  <c r="L2892" i="56"/>
  <c r="C2893" i="56"/>
  <c r="D2893" i="56"/>
  <c r="E2893" i="56"/>
  <c r="F2893" i="56" s="1"/>
  <c r="I2893" i="56"/>
  <c r="C2894" i="56"/>
  <c r="D2894" i="56" s="1"/>
  <c r="E2894" i="56"/>
  <c r="F2894" i="56" s="1"/>
  <c r="I2894" i="56"/>
  <c r="C2895" i="56"/>
  <c r="D2895" i="56" s="1"/>
  <c r="E2895" i="56"/>
  <c r="F2895" i="56" s="1"/>
  <c r="I2895" i="56"/>
  <c r="C2896" i="56"/>
  <c r="D2896" i="56" s="1"/>
  <c r="E2896" i="56"/>
  <c r="F2896" i="56" s="1"/>
  <c r="I2896" i="56"/>
  <c r="C2897" i="56"/>
  <c r="D2897" i="56" s="1"/>
  <c r="E2897" i="56"/>
  <c r="F2897" i="56" s="1"/>
  <c r="L2897" i="56"/>
  <c r="C2898" i="56"/>
  <c r="D2898" i="56" s="1"/>
  <c r="E2898" i="56"/>
  <c r="F2898" i="56" s="1"/>
  <c r="I2898" i="56"/>
  <c r="L2898" i="56"/>
  <c r="C2899" i="56"/>
  <c r="D2899" i="56" s="1"/>
  <c r="E2899" i="56"/>
  <c r="F2899" i="56" s="1"/>
  <c r="C2900" i="56"/>
  <c r="D2900" i="56" s="1"/>
  <c r="E2900" i="56"/>
  <c r="F2900" i="56" s="1"/>
  <c r="C2901" i="56"/>
  <c r="D2901" i="56" s="1"/>
  <c r="E2901" i="56"/>
  <c r="F2901" i="56" s="1"/>
  <c r="I2901" i="56"/>
  <c r="L2901" i="56"/>
  <c r="C2902" i="56"/>
  <c r="D2902" i="56" s="1"/>
  <c r="E2902" i="56"/>
  <c r="F2902" i="56" s="1"/>
  <c r="I2902" i="56"/>
  <c r="L2902" i="56"/>
  <c r="C2903" i="56"/>
  <c r="D2903" i="56" s="1"/>
  <c r="E2903" i="56"/>
  <c r="F2903" i="56" s="1"/>
  <c r="I2903" i="56"/>
  <c r="L2903" i="56"/>
  <c r="C2904" i="56"/>
  <c r="D2904" i="56" s="1"/>
  <c r="E2904" i="56"/>
  <c r="F2904" i="56" s="1"/>
  <c r="I2904" i="56"/>
  <c r="L2904" i="56"/>
  <c r="C2905" i="56"/>
  <c r="D2905" i="56" s="1"/>
  <c r="E2905" i="56"/>
  <c r="F2905" i="56" s="1"/>
  <c r="I2905" i="56"/>
  <c r="C2906" i="56"/>
  <c r="D2906" i="56" s="1"/>
  <c r="E2906" i="56"/>
  <c r="F2906" i="56" s="1"/>
  <c r="I2906" i="56"/>
  <c r="C2907" i="56"/>
  <c r="D2907" i="56" s="1"/>
  <c r="E2907" i="56"/>
  <c r="F2907" i="56" s="1"/>
  <c r="I2907" i="56"/>
  <c r="C2908" i="56"/>
  <c r="D2908" i="56" s="1"/>
  <c r="E2908" i="56"/>
  <c r="F2908" i="56" s="1"/>
  <c r="I2908" i="56"/>
  <c r="C2909" i="56"/>
  <c r="D2909" i="56" s="1"/>
  <c r="E2909" i="56"/>
  <c r="F2909" i="56" s="1"/>
  <c r="L2909" i="56"/>
  <c r="C2910" i="56"/>
  <c r="D2910" i="56" s="1"/>
  <c r="E2910" i="56"/>
  <c r="F2910" i="56" s="1"/>
  <c r="L2910" i="56"/>
  <c r="C2911" i="56"/>
  <c r="D2911" i="56" s="1"/>
  <c r="E2911" i="56"/>
  <c r="F2911" i="56" s="1"/>
  <c r="I2911" i="56"/>
  <c r="C2912" i="56"/>
  <c r="D2912" i="56" s="1"/>
  <c r="E2912" i="56"/>
  <c r="F2912" i="56" s="1"/>
  <c r="C2913" i="56"/>
  <c r="D2913" i="56" s="1"/>
  <c r="E2913" i="56"/>
  <c r="F2913" i="56" s="1"/>
  <c r="I2913" i="56"/>
  <c r="L2913" i="56"/>
  <c r="C2914" i="56"/>
  <c r="D2914" i="56" s="1"/>
  <c r="E2914" i="56"/>
  <c r="F2914" i="56" s="1"/>
  <c r="I2914" i="56"/>
  <c r="L2914" i="56"/>
  <c r="C2915" i="56"/>
  <c r="D2915" i="56" s="1"/>
  <c r="E2915" i="56"/>
  <c r="F2915" i="56" s="1"/>
  <c r="I2915" i="56"/>
  <c r="L2915" i="56"/>
  <c r="C2916" i="56"/>
  <c r="D2916" i="56" s="1"/>
  <c r="E2916" i="56"/>
  <c r="F2916" i="56" s="1"/>
  <c r="I2916" i="56"/>
  <c r="L2916" i="56"/>
  <c r="C2917" i="56"/>
  <c r="D2917" i="56" s="1"/>
  <c r="E2917" i="56"/>
  <c r="F2917" i="56" s="1"/>
  <c r="I2917" i="56"/>
  <c r="C2918" i="56"/>
  <c r="D2918" i="56" s="1"/>
  <c r="E2918" i="56"/>
  <c r="F2918" i="56" s="1"/>
  <c r="I2918" i="56"/>
  <c r="C2919" i="56"/>
  <c r="D2919" i="56" s="1"/>
  <c r="E2919" i="56"/>
  <c r="F2919" i="56" s="1"/>
  <c r="I2919" i="56"/>
  <c r="C2920" i="56"/>
  <c r="D2920" i="56" s="1"/>
  <c r="E2920" i="56"/>
  <c r="F2920" i="56" s="1"/>
  <c r="I2920" i="56"/>
  <c r="C2921" i="56"/>
  <c r="D2921" i="56" s="1"/>
  <c r="E2921" i="56"/>
  <c r="F2921" i="56" s="1"/>
  <c r="L2921" i="56"/>
  <c r="C2922" i="56"/>
  <c r="D2922" i="56" s="1"/>
  <c r="E2922" i="56"/>
  <c r="F2922" i="56" s="1"/>
  <c r="I2922" i="56"/>
  <c r="L2922" i="56"/>
  <c r="C2923" i="56"/>
  <c r="D2923" i="56" s="1"/>
  <c r="E2923" i="56"/>
  <c r="F2923" i="56" s="1"/>
  <c r="C2924" i="56"/>
  <c r="D2924" i="56" s="1"/>
  <c r="E2924" i="56"/>
  <c r="F2924" i="56" s="1"/>
  <c r="I2924" i="56"/>
  <c r="C2925" i="56"/>
  <c r="D2925" i="56" s="1"/>
  <c r="E2925" i="56"/>
  <c r="F2925" i="56" s="1"/>
  <c r="I2925" i="56"/>
  <c r="C2926" i="56"/>
  <c r="D2926" i="56" s="1"/>
  <c r="E2926" i="56"/>
  <c r="F2926" i="56" s="1"/>
  <c r="I2926" i="56"/>
  <c r="C2927" i="56"/>
  <c r="D2927" i="56" s="1"/>
  <c r="E2927" i="56"/>
  <c r="F2927" i="56" s="1"/>
  <c r="I2927" i="56"/>
  <c r="L2927" i="56"/>
  <c r="C2928" i="56"/>
  <c r="D2928" i="56" s="1"/>
  <c r="E2928" i="56"/>
  <c r="F2928" i="56" s="1"/>
  <c r="I2928" i="56"/>
  <c r="L2928" i="56"/>
  <c r="C2929" i="56"/>
  <c r="D2929" i="56" s="1"/>
  <c r="E2929" i="56"/>
  <c r="F2929" i="56" s="1"/>
  <c r="I2929" i="56"/>
  <c r="C2930" i="56"/>
  <c r="D2930" i="56" s="1"/>
  <c r="E2930" i="56"/>
  <c r="F2930" i="56" s="1"/>
  <c r="I2930" i="56"/>
  <c r="C2931" i="56"/>
  <c r="D2931" i="56" s="1"/>
  <c r="E2931" i="56"/>
  <c r="F2931" i="56" s="1"/>
  <c r="I2931" i="56"/>
  <c r="C2932" i="56"/>
  <c r="D2932" i="56" s="1"/>
  <c r="E2932" i="56"/>
  <c r="F2932" i="56" s="1"/>
  <c r="I2932" i="56"/>
  <c r="C2933" i="56"/>
  <c r="D2933" i="56" s="1"/>
  <c r="E2933" i="56"/>
  <c r="F2933" i="56" s="1"/>
  <c r="L2933" i="56"/>
  <c r="C2934" i="56"/>
  <c r="D2934" i="56" s="1"/>
  <c r="E2934" i="56"/>
  <c r="F2934" i="56" s="1"/>
  <c r="L2934" i="56"/>
  <c r="C2935" i="56"/>
  <c r="D2935" i="56" s="1"/>
  <c r="E2935" i="56"/>
  <c r="F2935" i="56" s="1"/>
  <c r="C2936" i="56"/>
  <c r="D2936" i="56" s="1"/>
  <c r="E2936" i="56"/>
  <c r="F2936" i="56" s="1"/>
  <c r="C2937" i="56"/>
  <c r="D2937" i="56" s="1"/>
  <c r="E2937" i="56"/>
  <c r="F2937" i="56" s="1"/>
  <c r="I2937" i="56"/>
  <c r="L2937" i="56"/>
  <c r="C2938" i="56"/>
  <c r="D2938" i="56" s="1"/>
  <c r="E2938" i="56"/>
  <c r="F2938" i="56" s="1"/>
  <c r="I2938" i="56"/>
  <c r="L2938" i="56"/>
  <c r="C2939" i="56"/>
  <c r="D2939" i="56" s="1"/>
  <c r="E2939" i="56"/>
  <c r="F2939" i="56" s="1"/>
  <c r="I2939" i="56"/>
  <c r="L2939" i="56"/>
  <c r="C2940" i="56"/>
  <c r="D2940" i="56" s="1"/>
  <c r="E2940" i="56"/>
  <c r="F2940" i="56" s="1"/>
  <c r="I2940" i="56"/>
  <c r="L2940" i="56"/>
  <c r="C2941" i="56"/>
  <c r="D2941" i="56" s="1"/>
  <c r="E2941" i="56"/>
  <c r="F2941" i="56" s="1"/>
  <c r="I2941" i="56"/>
  <c r="C2942" i="56"/>
  <c r="D2942" i="56" s="1"/>
  <c r="E2942" i="56"/>
  <c r="F2942" i="56" s="1"/>
  <c r="I2942" i="56"/>
  <c r="C2943" i="56"/>
  <c r="D2943" i="56" s="1"/>
  <c r="E2943" i="56"/>
  <c r="F2943" i="56" s="1"/>
  <c r="I2943" i="56"/>
  <c r="C2944" i="56"/>
  <c r="D2944" i="56" s="1"/>
  <c r="E2944" i="56"/>
  <c r="F2944" i="56" s="1"/>
  <c r="I2944" i="56"/>
  <c r="L2944" i="56"/>
  <c r="C2945" i="56"/>
  <c r="D2945" i="56" s="1"/>
  <c r="E2945" i="56"/>
  <c r="F2945" i="56" s="1"/>
  <c r="L2945" i="56"/>
  <c r="C2946" i="56"/>
  <c r="D2946" i="56" s="1"/>
  <c r="E2946" i="56"/>
  <c r="F2946" i="56" s="1"/>
  <c r="C2947" i="56"/>
  <c r="D2947" i="56" s="1"/>
  <c r="E2947" i="56"/>
  <c r="F2947" i="56" s="1"/>
  <c r="C2948" i="56"/>
  <c r="D2948" i="56" s="1"/>
  <c r="E2948" i="56"/>
  <c r="F2948" i="56" s="1"/>
  <c r="C2949" i="56"/>
  <c r="D2949" i="56" s="1"/>
  <c r="E2949" i="56"/>
  <c r="F2949" i="56" s="1"/>
  <c r="I2949" i="56"/>
  <c r="L2949" i="56"/>
  <c r="C2950" i="56"/>
  <c r="D2950" i="56" s="1"/>
  <c r="E2950" i="56"/>
  <c r="F2950" i="56" s="1"/>
  <c r="I2950" i="56"/>
  <c r="L2950" i="56"/>
  <c r="C2951" i="56"/>
  <c r="D2951" i="56" s="1"/>
  <c r="E2951" i="56"/>
  <c r="F2951" i="56" s="1"/>
  <c r="I2951" i="56"/>
  <c r="L2951" i="56"/>
  <c r="C2952" i="56"/>
  <c r="D2952" i="56" s="1"/>
  <c r="E2952" i="56"/>
  <c r="F2952" i="56" s="1"/>
  <c r="I2952" i="56"/>
  <c r="L2952" i="56"/>
  <c r="C2953" i="56"/>
  <c r="D2953" i="56" s="1"/>
  <c r="E2953" i="56"/>
  <c r="F2953" i="56" s="1"/>
  <c r="I2953" i="56"/>
  <c r="C2954" i="56"/>
  <c r="D2954" i="56" s="1"/>
  <c r="E2954" i="56"/>
  <c r="F2954" i="56" s="1"/>
  <c r="I2954" i="56"/>
  <c r="C2955" i="56"/>
  <c r="D2955" i="56" s="1"/>
  <c r="E2955" i="56"/>
  <c r="F2955" i="56" s="1"/>
  <c r="I2955" i="56"/>
  <c r="C2956" i="56"/>
  <c r="D2956" i="56" s="1"/>
  <c r="E2956" i="56"/>
  <c r="F2956" i="56" s="1"/>
  <c r="I2956" i="56"/>
  <c r="C2957" i="56"/>
  <c r="D2957" i="56" s="1"/>
  <c r="E2957" i="56"/>
  <c r="F2957" i="56" s="1"/>
  <c r="L2957" i="56"/>
  <c r="C2958" i="56"/>
  <c r="D2958" i="56" s="1"/>
  <c r="E2958" i="56"/>
  <c r="F2958" i="56" s="1"/>
  <c r="L2958" i="56"/>
  <c r="C2959" i="56"/>
  <c r="D2959" i="56" s="1"/>
  <c r="E2959" i="56"/>
  <c r="F2959" i="56" s="1"/>
  <c r="I2959" i="56"/>
  <c r="C2960" i="56"/>
  <c r="D2960" i="56" s="1"/>
  <c r="E2960" i="56"/>
  <c r="F2960" i="56" s="1"/>
  <c r="C2961" i="56"/>
  <c r="D2961" i="56" s="1"/>
  <c r="E2961" i="56"/>
  <c r="F2961" i="56" s="1"/>
  <c r="I2961" i="56"/>
  <c r="L2961" i="56"/>
  <c r="C2962" i="56"/>
  <c r="D2962" i="56" s="1"/>
  <c r="E2962" i="56"/>
  <c r="F2962" i="56" s="1"/>
  <c r="I2962" i="56"/>
  <c r="C2963" i="56"/>
  <c r="D2963" i="56" s="1"/>
  <c r="E2963" i="56"/>
  <c r="F2963" i="56" s="1"/>
  <c r="I2963" i="56"/>
  <c r="L2963" i="56"/>
  <c r="C2964" i="56"/>
  <c r="D2964" i="56" s="1"/>
  <c r="E2964" i="56"/>
  <c r="F2964" i="56" s="1"/>
  <c r="I2964" i="56"/>
  <c r="L2964" i="56"/>
  <c r="C2965" i="56"/>
  <c r="D2965" i="56" s="1"/>
  <c r="E2965" i="56"/>
  <c r="F2965" i="56" s="1"/>
  <c r="I2965" i="56"/>
  <c r="C2966" i="56"/>
  <c r="D2966" i="56" s="1"/>
  <c r="E2966" i="56"/>
  <c r="F2966" i="56" s="1"/>
  <c r="I2966" i="56"/>
  <c r="C2967" i="56"/>
  <c r="D2967" i="56" s="1"/>
  <c r="E2967" i="56"/>
  <c r="F2967" i="56" s="1"/>
  <c r="I2967" i="56"/>
  <c r="C2968" i="56"/>
  <c r="D2968" i="56"/>
  <c r="E2968" i="56"/>
  <c r="F2968" i="56" s="1"/>
  <c r="I2968" i="56"/>
  <c r="L2968" i="56"/>
  <c r="C2969" i="56"/>
  <c r="D2969" i="56" s="1"/>
  <c r="E2969" i="56"/>
  <c r="F2969" i="56" s="1"/>
  <c r="L2969" i="56"/>
  <c r="C2970" i="56"/>
  <c r="D2970" i="56" s="1"/>
  <c r="E2970" i="56"/>
  <c r="F2970" i="56" s="1"/>
  <c r="L2970" i="56"/>
  <c r="C2971" i="56"/>
  <c r="D2971" i="56" s="1"/>
  <c r="E2971" i="56"/>
  <c r="F2971" i="56" s="1"/>
  <c r="I2971" i="56"/>
  <c r="C2972" i="56"/>
  <c r="D2972" i="56" s="1"/>
  <c r="E2972" i="56"/>
  <c r="F2972" i="56" s="1"/>
  <c r="C2973" i="56"/>
  <c r="D2973" i="56" s="1"/>
  <c r="E2973" i="56"/>
  <c r="F2973" i="56" s="1"/>
  <c r="I2973" i="56"/>
  <c r="L2973" i="56"/>
  <c r="C2974" i="56"/>
  <c r="D2974" i="56" s="1"/>
  <c r="E2974" i="56"/>
  <c r="F2974" i="56" s="1"/>
  <c r="I2974" i="56"/>
  <c r="L2974" i="56"/>
  <c r="C2975" i="56"/>
  <c r="D2975" i="56" s="1"/>
  <c r="E2975" i="56"/>
  <c r="F2975" i="56" s="1"/>
  <c r="I2975" i="56"/>
  <c r="L2975" i="56"/>
  <c r="C2976" i="56"/>
  <c r="D2976" i="56" s="1"/>
  <c r="E2976" i="56"/>
  <c r="F2976" i="56" s="1"/>
  <c r="I2976" i="56"/>
  <c r="L2976" i="56"/>
  <c r="C2977" i="56"/>
  <c r="D2977" i="56" s="1"/>
  <c r="E2977" i="56"/>
  <c r="F2977" i="56" s="1"/>
  <c r="I2977" i="56"/>
  <c r="C2978" i="56"/>
  <c r="D2978" i="56" s="1"/>
  <c r="E2978" i="56"/>
  <c r="F2978" i="56" s="1"/>
  <c r="I2978" i="56"/>
  <c r="C2979" i="56"/>
  <c r="D2979" i="56" s="1"/>
  <c r="E2979" i="56"/>
  <c r="F2979" i="56" s="1"/>
  <c r="I2979" i="56"/>
  <c r="C2980" i="56"/>
  <c r="D2980" i="56" s="1"/>
  <c r="E2980" i="56"/>
  <c r="F2980" i="56" s="1"/>
  <c r="I2980" i="56"/>
  <c r="C2981" i="56"/>
  <c r="D2981" i="56" s="1"/>
  <c r="E2981" i="56"/>
  <c r="F2981" i="56" s="1"/>
  <c r="L2981" i="56"/>
  <c r="C2982" i="56"/>
  <c r="D2982" i="56" s="1"/>
  <c r="E2982" i="56"/>
  <c r="F2982" i="56" s="1"/>
  <c r="L2982" i="56"/>
  <c r="C2983" i="56"/>
  <c r="D2983" i="56" s="1"/>
  <c r="E2983" i="56"/>
  <c r="F2983" i="56" s="1"/>
  <c r="I2983" i="56"/>
  <c r="C2984" i="56"/>
  <c r="D2984" i="56" s="1"/>
  <c r="E2984" i="56"/>
  <c r="F2984" i="56" s="1"/>
  <c r="C2985" i="56"/>
  <c r="D2985" i="56" s="1"/>
  <c r="E2985" i="56"/>
  <c r="F2985" i="56" s="1"/>
  <c r="I2985" i="56"/>
  <c r="L2985" i="56"/>
  <c r="C2986" i="56"/>
  <c r="D2986" i="56" s="1"/>
  <c r="E2986" i="56"/>
  <c r="F2986" i="56" s="1"/>
  <c r="I2986" i="56"/>
  <c r="L2986" i="56"/>
  <c r="C2987" i="56"/>
  <c r="D2987" i="56" s="1"/>
  <c r="E2987" i="56"/>
  <c r="F2987" i="56" s="1"/>
  <c r="I2987" i="56"/>
  <c r="L2987" i="56"/>
  <c r="C2988" i="56"/>
  <c r="D2988" i="56" s="1"/>
  <c r="E2988" i="56"/>
  <c r="F2988" i="56" s="1"/>
  <c r="I2988" i="56"/>
  <c r="L2988" i="56"/>
  <c r="C2989" i="56"/>
  <c r="D2989" i="56" s="1"/>
  <c r="E2989" i="56"/>
  <c r="F2989" i="56" s="1"/>
  <c r="I2989" i="56"/>
  <c r="C2990" i="56"/>
  <c r="D2990" i="56" s="1"/>
  <c r="E2990" i="56"/>
  <c r="F2990" i="56" s="1"/>
  <c r="I2990" i="56"/>
  <c r="C2991" i="56"/>
  <c r="D2991" i="56" s="1"/>
  <c r="E2991" i="56"/>
  <c r="F2991" i="56" s="1"/>
  <c r="I2991" i="56"/>
  <c r="C2992" i="56"/>
  <c r="D2992" i="56" s="1"/>
  <c r="E2992" i="56"/>
  <c r="F2992" i="56" s="1"/>
  <c r="I2992" i="56"/>
  <c r="C2993" i="56"/>
  <c r="D2993" i="56" s="1"/>
  <c r="E2993" i="56"/>
  <c r="F2993" i="56" s="1"/>
  <c r="L2993" i="56"/>
  <c r="C2994" i="56"/>
  <c r="D2994" i="56" s="1"/>
  <c r="E2994" i="56"/>
  <c r="F2994" i="56" s="1"/>
  <c r="I2994" i="56"/>
  <c r="L2994" i="56"/>
  <c r="C2995" i="56"/>
  <c r="D2995" i="56" s="1"/>
  <c r="E2995" i="56"/>
  <c r="F2995" i="56" s="1"/>
  <c r="C2996" i="56"/>
  <c r="D2996" i="56" s="1"/>
  <c r="E2996" i="56"/>
  <c r="F2996" i="56" s="1"/>
  <c r="C2997" i="56"/>
  <c r="D2997" i="56" s="1"/>
  <c r="E2997" i="56"/>
  <c r="F2997" i="56" s="1"/>
  <c r="I2997" i="56"/>
  <c r="L2997" i="56"/>
  <c r="C2998" i="56"/>
  <c r="D2998" i="56" s="1"/>
  <c r="E2998" i="56"/>
  <c r="F2998" i="56" s="1"/>
  <c r="I2998" i="56"/>
  <c r="L2998" i="56"/>
  <c r="C2999" i="56"/>
  <c r="D2999" i="56" s="1"/>
  <c r="E2999" i="56"/>
  <c r="F2999" i="56" s="1"/>
  <c r="I2999" i="56"/>
  <c r="L2999" i="56"/>
  <c r="C3000" i="56"/>
  <c r="D3000" i="56" s="1"/>
  <c r="E3000" i="56"/>
  <c r="F3000" i="56" s="1"/>
  <c r="I3000" i="56"/>
  <c r="L3000" i="56"/>
  <c r="C3001" i="56"/>
  <c r="D3001" i="56" s="1"/>
  <c r="E3001" i="56"/>
  <c r="F3001" i="56" s="1"/>
  <c r="I3001" i="56"/>
  <c r="C3002" i="56"/>
  <c r="D3002" i="56" s="1"/>
  <c r="E3002" i="56"/>
  <c r="F3002" i="56" s="1"/>
  <c r="I3002" i="56"/>
  <c r="C3003" i="56"/>
  <c r="D3003" i="56" s="1"/>
  <c r="E3003" i="56"/>
  <c r="F3003" i="56" s="1"/>
  <c r="I3003" i="56"/>
  <c r="C3004" i="56"/>
  <c r="D3004" i="56" s="1"/>
  <c r="E3004" i="56"/>
  <c r="F3004" i="56" s="1"/>
  <c r="I3004" i="56"/>
  <c r="L3004" i="56"/>
  <c r="C3005" i="56"/>
  <c r="D3005" i="56" s="1"/>
  <c r="E3005" i="56"/>
  <c r="F3005" i="56" s="1"/>
  <c r="L3005" i="56"/>
  <c r="C3006" i="56"/>
  <c r="D3006" i="56" s="1"/>
  <c r="E3006" i="56"/>
  <c r="F3006" i="56" s="1"/>
  <c r="C3007" i="56"/>
  <c r="D3007" i="56" s="1"/>
  <c r="E3007" i="56"/>
  <c r="F3007" i="56" s="1"/>
  <c r="C3008" i="56"/>
  <c r="D3008" i="56" s="1"/>
  <c r="E3008" i="56"/>
  <c r="F3008" i="56" s="1"/>
  <c r="C3009" i="56"/>
  <c r="D3009" i="56" s="1"/>
  <c r="E3009" i="56"/>
  <c r="F3009" i="56" s="1"/>
  <c r="I3009" i="56"/>
  <c r="C3010" i="56"/>
  <c r="D3010" i="56" s="1"/>
  <c r="E3010" i="56"/>
  <c r="F3010" i="56" s="1"/>
  <c r="I3010" i="56"/>
  <c r="C3011" i="56"/>
  <c r="D3011" i="56" s="1"/>
  <c r="E3011" i="56"/>
  <c r="F3011" i="56" s="1"/>
  <c r="I3011" i="56"/>
  <c r="L3011" i="56"/>
  <c r="C3012" i="56"/>
  <c r="D3012" i="56" s="1"/>
  <c r="E3012" i="56"/>
  <c r="F3012" i="56" s="1"/>
  <c r="I3012" i="56"/>
  <c r="L3012" i="56"/>
  <c r="C3013" i="56"/>
  <c r="D3013" i="56" s="1"/>
  <c r="E3013" i="56"/>
  <c r="F3013" i="56" s="1"/>
  <c r="I3013" i="56"/>
  <c r="C3014" i="56"/>
  <c r="D3014" i="56" s="1"/>
  <c r="E3014" i="56"/>
  <c r="F3014" i="56" s="1"/>
  <c r="I3014" i="56"/>
  <c r="C3015" i="56"/>
  <c r="D3015" i="56" s="1"/>
  <c r="E3015" i="56"/>
  <c r="F3015" i="56" s="1"/>
  <c r="I3015" i="56"/>
  <c r="C3016" i="56"/>
  <c r="D3016" i="56" s="1"/>
  <c r="E3016" i="56"/>
  <c r="F3016" i="56" s="1"/>
  <c r="I3016" i="56"/>
  <c r="C3017" i="56"/>
  <c r="D3017" i="56" s="1"/>
  <c r="E3017" i="56"/>
  <c r="F3017" i="56" s="1"/>
  <c r="L3017" i="56"/>
  <c r="C3018" i="56"/>
  <c r="D3018" i="56" s="1"/>
  <c r="E3018" i="56"/>
  <c r="F3018" i="56" s="1"/>
  <c r="I3018" i="56"/>
  <c r="C3019" i="56"/>
  <c r="D3019" i="56" s="1"/>
  <c r="E3019" i="56"/>
  <c r="F3019" i="56" s="1"/>
  <c r="C3020" i="56"/>
  <c r="D3020" i="56" s="1"/>
  <c r="E3020" i="56"/>
  <c r="F3020" i="56" s="1"/>
  <c r="C3021" i="56"/>
  <c r="D3021" i="56" s="1"/>
  <c r="E3021" i="56"/>
  <c r="F3021" i="56" s="1"/>
  <c r="I3021" i="56"/>
  <c r="L3021" i="56"/>
  <c r="C3022" i="56"/>
  <c r="D3022" i="56" s="1"/>
  <c r="E3022" i="56"/>
  <c r="F3022" i="56" s="1"/>
  <c r="I3022" i="56"/>
  <c r="L3022" i="56"/>
  <c r="C3023" i="56"/>
  <c r="D3023" i="56" s="1"/>
  <c r="E3023" i="56"/>
  <c r="F3023" i="56" s="1"/>
  <c r="I3023" i="56"/>
  <c r="L3023" i="56"/>
  <c r="C3024" i="56"/>
  <c r="D3024" i="56" s="1"/>
  <c r="E3024" i="56"/>
  <c r="F3024" i="56" s="1"/>
  <c r="I3024" i="56"/>
  <c r="L3024" i="56"/>
  <c r="C3025" i="56"/>
  <c r="D3025" i="56" s="1"/>
  <c r="E3025" i="56"/>
  <c r="F3025" i="56" s="1"/>
  <c r="I3025" i="56"/>
  <c r="C3026" i="56"/>
  <c r="D3026" i="56" s="1"/>
  <c r="E3026" i="56"/>
  <c r="F3026" i="56" s="1"/>
  <c r="I3026" i="56"/>
  <c r="C3027" i="56"/>
  <c r="D3027" i="56" s="1"/>
  <c r="E3027" i="56"/>
  <c r="F3027" i="56" s="1"/>
  <c r="I3027" i="56"/>
  <c r="C3028" i="56"/>
  <c r="D3028" i="56" s="1"/>
  <c r="E3028" i="56"/>
  <c r="F3028" i="56" s="1"/>
  <c r="I3028" i="56"/>
  <c r="C3029" i="56"/>
  <c r="D3029" i="56" s="1"/>
  <c r="E3029" i="56"/>
  <c r="F3029" i="56" s="1"/>
  <c r="L3029" i="56"/>
  <c r="C3030" i="56"/>
  <c r="D3030" i="56" s="1"/>
  <c r="E3030" i="56"/>
  <c r="F3030" i="56" s="1"/>
  <c r="L3030" i="56"/>
  <c r="C3031" i="56"/>
  <c r="D3031" i="56" s="1"/>
  <c r="E3031" i="56"/>
  <c r="F3031" i="56" s="1"/>
  <c r="I3031" i="56"/>
  <c r="C3032" i="56"/>
  <c r="D3032" i="56" s="1"/>
  <c r="E3032" i="56"/>
  <c r="F3032" i="56" s="1"/>
  <c r="C3033" i="56"/>
  <c r="D3033" i="56" s="1"/>
  <c r="E3033" i="56"/>
  <c r="F3033" i="56" s="1"/>
  <c r="I3033" i="56"/>
  <c r="L3033" i="56"/>
  <c r="C3034" i="56"/>
  <c r="D3034" i="56" s="1"/>
  <c r="E3034" i="56"/>
  <c r="F3034" i="56" s="1"/>
  <c r="I3034" i="56"/>
  <c r="L3034" i="56"/>
  <c r="C3035" i="56"/>
  <c r="D3035" i="56" s="1"/>
  <c r="E3035" i="56"/>
  <c r="F3035" i="56" s="1"/>
  <c r="I3035" i="56"/>
  <c r="L3035" i="56"/>
  <c r="C3036" i="56"/>
  <c r="D3036" i="56" s="1"/>
  <c r="E3036" i="56"/>
  <c r="F3036" i="56" s="1"/>
  <c r="I3036" i="56"/>
  <c r="L3036" i="56"/>
  <c r="C3037" i="56"/>
  <c r="D3037" i="56" s="1"/>
  <c r="E3037" i="56"/>
  <c r="F3037" i="56" s="1"/>
  <c r="I3037" i="56"/>
  <c r="C3038" i="56"/>
  <c r="D3038" i="56" s="1"/>
  <c r="E3038" i="56"/>
  <c r="F3038" i="56" s="1"/>
  <c r="I3038" i="56"/>
  <c r="C3039" i="56"/>
  <c r="D3039" i="56" s="1"/>
  <c r="E3039" i="56"/>
  <c r="F3039" i="56" s="1"/>
  <c r="I3039" i="56"/>
  <c r="C3040" i="56"/>
  <c r="D3040" i="56" s="1"/>
  <c r="E3040" i="56"/>
  <c r="F3040" i="56" s="1"/>
  <c r="I3040" i="56"/>
  <c r="C3041" i="56"/>
  <c r="D3041" i="56" s="1"/>
  <c r="E3041" i="56"/>
  <c r="F3041" i="56" s="1"/>
  <c r="L3041" i="56"/>
  <c r="C3042" i="56"/>
  <c r="D3042" i="56" s="1"/>
  <c r="E3042" i="56"/>
  <c r="F3042" i="56" s="1"/>
  <c r="I3042" i="56"/>
  <c r="C3043" i="56"/>
  <c r="D3043" i="56" s="1"/>
  <c r="E3043" i="56"/>
  <c r="F3043" i="56" s="1"/>
  <c r="C3044" i="56"/>
  <c r="D3044" i="56" s="1"/>
  <c r="E3044" i="56"/>
  <c r="F3044" i="56" s="1"/>
  <c r="C3045" i="56"/>
  <c r="D3045" i="56" s="1"/>
  <c r="E3045" i="56"/>
  <c r="F3045" i="56" s="1"/>
  <c r="I3045" i="56"/>
  <c r="C3046" i="56"/>
  <c r="D3046" i="56" s="1"/>
  <c r="E3046" i="56"/>
  <c r="F3046" i="56" s="1"/>
  <c r="I3046" i="56"/>
  <c r="L3046" i="56"/>
  <c r="C3047" i="56"/>
  <c r="D3047" i="56" s="1"/>
  <c r="E3047" i="56"/>
  <c r="F3047" i="56" s="1"/>
  <c r="I3047" i="56"/>
  <c r="L3047" i="56"/>
  <c r="C3048" i="56"/>
  <c r="D3048" i="56" s="1"/>
  <c r="E3048" i="56"/>
  <c r="F3048" i="56" s="1"/>
  <c r="I3048" i="56"/>
  <c r="L3048" i="56"/>
  <c r="C3049" i="56"/>
  <c r="D3049" i="56" s="1"/>
  <c r="E3049" i="56"/>
  <c r="F3049" i="56" s="1"/>
  <c r="I3049" i="56"/>
  <c r="C3050" i="56"/>
  <c r="D3050" i="56" s="1"/>
  <c r="E3050" i="56"/>
  <c r="F3050" i="56" s="1"/>
  <c r="I3050" i="56"/>
  <c r="C3051" i="56"/>
  <c r="D3051" i="56" s="1"/>
  <c r="E3051" i="56"/>
  <c r="F3051" i="56" s="1"/>
  <c r="I3051" i="56"/>
  <c r="C3052" i="56"/>
  <c r="D3052" i="56" s="1"/>
  <c r="E3052" i="56"/>
  <c r="F3052" i="56" s="1"/>
  <c r="I3052" i="56"/>
  <c r="C3053" i="56"/>
  <c r="D3053" i="56" s="1"/>
  <c r="E3053" i="56"/>
  <c r="F3053" i="56" s="1"/>
  <c r="L3053" i="56"/>
  <c r="C3054" i="56"/>
  <c r="D3054" i="56" s="1"/>
  <c r="E3054" i="56"/>
  <c r="F3054" i="56" s="1"/>
  <c r="L3054" i="56"/>
  <c r="C3055" i="56"/>
  <c r="D3055" i="56" s="1"/>
  <c r="E3055" i="56"/>
  <c r="F3055" i="56" s="1"/>
  <c r="C3056" i="56"/>
  <c r="D3056" i="56" s="1"/>
  <c r="E3056" i="56"/>
  <c r="F3056" i="56" s="1"/>
  <c r="C3057" i="56"/>
  <c r="D3057" i="56" s="1"/>
  <c r="E3057" i="56"/>
  <c r="F3057" i="56" s="1"/>
  <c r="I3057" i="56"/>
  <c r="L3057" i="56"/>
  <c r="C3058" i="56"/>
  <c r="D3058" i="56" s="1"/>
  <c r="E3058" i="56"/>
  <c r="F3058" i="56" s="1"/>
  <c r="I3058" i="56"/>
  <c r="L3058" i="56"/>
  <c r="C3059" i="56"/>
  <c r="D3059" i="56" s="1"/>
  <c r="E3059" i="56"/>
  <c r="F3059" i="56" s="1"/>
  <c r="I3059" i="56"/>
  <c r="L3059" i="56"/>
  <c r="C3060" i="56"/>
  <c r="D3060" i="56" s="1"/>
  <c r="E3060" i="56"/>
  <c r="F3060" i="56" s="1"/>
  <c r="I3060" i="56"/>
  <c r="L3060" i="56"/>
  <c r="C3061" i="56"/>
  <c r="D3061" i="56" s="1"/>
  <c r="E3061" i="56"/>
  <c r="F3061" i="56" s="1"/>
  <c r="I3061" i="56"/>
  <c r="C3062" i="56"/>
  <c r="D3062" i="56" s="1"/>
  <c r="E3062" i="56"/>
  <c r="F3062" i="56" s="1"/>
  <c r="I3062" i="56"/>
  <c r="C3063" i="56"/>
  <c r="D3063" i="56" s="1"/>
  <c r="E3063" i="56"/>
  <c r="F3063" i="56" s="1"/>
  <c r="I3063" i="56"/>
  <c r="C3064" i="56"/>
  <c r="D3064" i="56" s="1"/>
  <c r="E3064" i="56"/>
  <c r="F3064" i="56" s="1"/>
  <c r="I3064" i="56"/>
  <c r="C3065" i="56"/>
  <c r="D3065" i="56" s="1"/>
  <c r="E3065" i="56"/>
  <c r="F3065" i="56" s="1"/>
  <c r="L3065" i="56"/>
  <c r="C3066" i="56"/>
  <c r="D3066" i="56" s="1"/>
  <c r="E3066" i="56"/>
  <c r="F3066" i="56"/>
  <c r="I3066" i="56"/>
  <c r="L3066" i="56"/>
  <c r="C3067" i="56"/>
  <c r="D3067" i="56" s="1"/>
  <c r="E3067" i="56"/>
  <c r="F3067" i="56" s="1"/>
  <c r="C3068" i="56"/>
  <c r="D3068" i="56" s="1"/>
  <c r="E3068" i="56"/>
  <c r="F3068" i="56" s="1"/>
  <c r="C3069" i="56"/>
  <c r="D3069" i="56" s="1"/>
  <c r="E3069" i="56"/>
  <c r="F3069" i="56" s="1"/>
  <c r="I3069" i="56"/>
  <c r="L3069" i="56"/>
  <c r="C3070" i="56"/>
  <c r="D3070" i="56" s="1"/>
  <c r="E3070" i="56"/>
  <c r="F3070" i="56" s="1"/>
  <c r="I3070" i="56"/>
  <c r="L3070" i="56"/>
  <c r="C3071" i="56"/>
  <c r="D3071" i="56" s="1"/>
  <c r="E3071" i="56"/>
  <c r="F3071" i="56" s="1"/>
  <c r="I3071" i="56"/>
  <c r="L3071" i="56"/>
  <c r="C3072" i="56"/>
  <c r="D3072" i="56" s="1"/>
  <c r="E3072" i="56"/>
  <c r="F3072" i="56" s="1"/>
  <c r="I3072" i="56"/>
  <c r="L3072" i="56"/>
  <c r="C3073" i="56"/>
  <c r="D3073" i="56" s="1"/>
  <c r="E3073" i="56"/>
  <c r="F3073" i="56" s="1"/>
  <c r="I3073" i="56"/>
  <c r="C3074" i="56"/>
  <c r="D3074" i="56" s="1"/>
  <c r="E3074" i="56"/>
  <c r="F3074" i="56" s="1"/>
  <c r="I3074" i="56"/>
  <c r="C3075" i="56"/>
  <c r="D3075" i="56" s="1"/>
  <c r="E3075" i="56"/>
  <c r="F3075" i="56" s="1"/>
  <c r="I3075" i="56"/>
  <c r="C3076" i="56"/>
  <c r="D3076" i="56" s="1"/>
  <c r="E3076" i="56"/>
  <c r="F3076" i="56" s="1"/>
  <c r="I3076" i="56"/>
  <c r="C3077" i="56"/>
  <c r="D3077" i="56" s="1"/>
  <c r="E3077" i="56"/>
  <c r="F3077" i="56" s="1"/>
  <c r="L3077" i="56"/>
  <c r="C3078" i="56"/>
  <c r="D3078" i="56" s="1"/>
  <c r="E3078" i="56"/>
  <c r="F3078" i="56" s="1"/>
  <c r="I3078" i="56"/>
  <c r="L3078" i="56"/>
  <c r="C3079" i="56"/>
  <c r="D3079" i="56" s="1"/>
  <c r="E3079" i="56"/>
  <c r="F3079" i="56" s="1"/>
  <c r="C3080" i="56"/>
  <c r="D3080" i="56" s="1"/>
  <c r="E3080" i="56"/>
  <c r="F3080" i="56" s="1"/>
  <c r="C3081" i="56"/>
  <c r="D3081" i="56"/>
  <c r="E3081" i="56"/>
  <c r="F3081" i="56" s="1"/>
  <c r="I3081" i="56"/>
  <c r="L3081" i="56"/>
  <c r="C3082" i="56"/>
  <c r="D3082" i="56" s="1"/>
  <c r="E3082" i="56"/>
  <c r="F3082" i="56" s="1"/>
  <c r="I3082" i="56"/>
  <c r="L3082" i="56"/>
  <c r="C3083" i="56"/>
  <c r="D3083" i="56" s="1"/>
  <c r="E3083" i="56"/>
  <c r="F3083" i="56" s="1"/>
  <c r="I3083" i="56"/>
  <c r="L3083" i="56"/>
  <c r="C3084" i="56"/>
  <c r="D3084" i="56" s="1"/>
  <c r="E3084" i="56"/>
  <c r="F3084" i="56" s="1"/>
  <c r="I3084" i="56"/>
  <c r="L3084" i="56"/>
  <c r="C3085" i="56"/>
  <c r="D3085" i="56" s="1"/>
  <c r="E3085" i="56"/>
  <c r="F3085" i="56" s="1"/>
  <c r="I3085" i="56"/>
  <c r="C3086" i="56"/>
  <c r="D3086" i="56" s="1"/>
  <c r="E3086" i="56"/>
  <c r="F3086" i="56" s="1"/>
  <c r="I3086" i="56"/>
  <c r="L3086" i="56"/>
  <c r="C3087" i="56"/>
  <c r="D3087" i="56" s="1"/>
  <c r="E3087" i="56"/>
  <c r="F3087" i="56" s="1"/>
  <c r="I3087" i="56"/>
  <c r="C3088" i="56"/>
  <c r="D3088" i="56" s="1"/>
  <c r="E3088" i="56"/>
  <c r="F3088" i="56" s="1"/>
  <c r="I3088" i="56"/>
  <c r="C3089" i="56"/>
  <c r="D3089" i="56" s="1"/>
  <c r="E3089" i="56"/>
  <c r="F3089" i="56" s="1"/>
  <c r="L3089" i="56"/>
  <c r="C3090" i="56"/>
  <c r="D3090" i="56" s="1"/>
  <c r="E3090" i="56"/>
  <c r="F3090" i="56" s="1"/>
  <c r="L3090" i="56"/>
  <c r="C3091" i="56"/>
  <c r="D3091" i="56" s="1"/>
  <c r="E3091" i="56"/>
  <c r="F3091" i="56" s="1"/>
  <c r="I3091" i="56"/>
  <c r="C3092" i="56"/>
  <c r="D3092" i="56" s="1"/>
  <c r="E3092" i="56"/>
  <c r="F3092" i="56" s="1"/>
  <c r="C3093" i="56"/>
  <c r="D3093" i="56" s="1"/>
  <c r="E3093" i="56"/>
  <c r="F3093" i="56" s="1"/>
  <c r="I3093" i="56"/>
  <c r="C3094" i="56"/>
  <c r="D3094" i="56" s="1"/>
  <c r="E3094" i="56"/>
  <c r="F3094" i="56" s="1"/>
  <c r="I3094" i="56"/>
  <c r="L3094" i="56"/>
  <c r="C3095" i="56"/>
  <c r="D3095" i="56" s="1"/>
  <c r="E3095" i="56"/>
  <c r="F3095" i="56" s="1"/>
  <c r="I3095" i="56"/>
  <c r="L3095" i="56"/>
  <c r="C3096" i="56"/>
  <c r="D3096" i="56" s="1"/>
  <c r="E3096" i="56"/>
  <c r="F3096" i="56" s="1"/>
  <c r="I3096" i="56"/>
  <c r="L3096" i="56"/>
  <c r="C3097" i="56"/>
  <c r="D3097" i="56" s="1"/>
  <c r="E3097" i="56"/>
  <c r="F3097" i="56" s="1"/>
  <c r="I3097" i="56"/>
  <c r="C3098" i="56"/>
  <c r="D3098" i="56" s="1"/>
  <c r="E3098" i="56"/>
  <c r="F3098" i="56" s="1"/>
  <c r="I3098" i="56"/>
  <c r="C3099" i="56"/>
  <c r="D3099" i="56" s="1"/>
  <c r="E3099" i="56"/>
  <c r="F3099" i="56" s="1"/>
  <c r="I3099" i="56"/>
  <c r="C3100" i="56"/>
  <c r="D3100" i="56" s="1"/>
  <c r="E3100" i="56"/>
  <c r="F3100" i="56" s="1"/>
  <c r="I3100" i="56"/>
  <c r="C3101" i="56"/>
  <c r="D3101" i="56" s="1"/>
  <c r="E3101" i="56"/>
  <c r="F3101" i="56" s="1"/>
  <c r="L3101" i="56"/>
  <c r="C3102" i="56"/>
  <c r="D3102" i="56" s="1"/>
  <c r="E3102" i="56"/>
  <c r="F3102" i="56" s="1"/>
  <c r="L3102" i="56"/>
  <c r="C3103" i="56"/>
  <c r="D3103" i="56" s="1"/>
  <c r="E3103" i="56"/>
  <c r="F3103" i="56" s="1"/>
  <c r="I3103" i="56"/>
  <c r="C3104" i="56"/>
  <c r="D3104" i="56" s="1"/>
  <c r="E3104" i="56"/>
  <c r="F3104" i="56" s="1"/>
  <c r="C3105" i="56"/>
  <c r="D3105" i="56" s="1"/>
  <c r="E3105" i="56"/>
  <c r="F3105" i="56" s="1"/>
  <c r="I3105" i="56"/>
  <c r="L3105" i="56"/>
  <c r="C3106" i="56"/>
  <c r="D3106" i="56" s="1"/>
  <c r="E3106" i="56"/>
  <c r="F3106" i="56" s="1"/>
  <c r="I3106" i="56"/>
  <c r="L3106" i="56"/>
  <c r="C3107" i="56"/>
  <c r="D3107" i="56" s="1"/>
  <c r="E3107" i="56"/>
  <c r="F3107" i="56" s="1"/>
  <c r="I3107" i="56"/>
  <c r="L3107" i="56"/>
  <c r="C3108" i="56"/>
  <c r="D3108" i="56" s="1"/>
  <c r="E3108" i="56"/>
  <c r="F3108" i="56" s="1"/>
  <c r="I3108" i="56"/>
  <c r="L3108" i="56"/>
  <c r="C3109" i="56"/>
  <c r="D3109" i="56" s="1"/>
  <c r="E3109" i="56"/>
  <c r="F3109" i="56" s="1"/>
  <c r="I3109" i="56"/>
  <c r="C3110" i="56"/>
  <c r="D3110" i="56" s="1"/>
  <c r="E3110" i="56"/>
  <c r="F3110" i="56" s="1"/>
  <c r="I3110" i="56"/>
  <c r="C3111" i="56"/>
  <c r="D3111" i="56" s="1"/>
  <c r="E3111" i="56"/>
  <c r="F3111" i="56" s="1"/>
  <c r="I3111" i="56"/>
  <c r="C3112" i="56"/>
  <c r="D3112" i="56" s="1"/>
  <c r="E3112" i="56"/>
  <c r="F3112" i="56" s="1"/>
  <c r="I3112" i="56"/>
  <c r="L3112" i="56"/>
  <c r="C3113" i="56"/>
  <c r="D3113" i="56" s="1"/>
  <c r="E3113" i="56"/>
  <c r="F3113" i="56" s="1"/>
  <c r="L3113" i="56"/>
  <c r="C3114" i="56"/>
  <c r="D3114" i="56" s="1"/>
  <c r="E3114" i="56"/>
  <c r="F3114" i="56" s="1"/>
  <c r="I3114" i="56"/>
  <c r="L3114" i="56"/>
  <c r="C3115" i="56"/>
  <c r="D3115" i="56" s="1"/>
  <c r="E3115" i="56"/>
  <c r="F3115" i="56" s="1"/>
  <c r="C3116" i="56"/>
  <c r="D3116" i="56" s="1"/>
  <c r="E3116" i="56"/>
  <c r="F3116" i="56" s="1"/>
  <c r="C3117" i="56"/>
  <c r="D3117" i="56" s="1"/>
  <c r="E3117" i="56"/>
  <c r="F3117" i="56" s="1"/>
  <c r="I3117" i="56"/>
  <c r="L3117" i="56"/>
  <c r="C3118" i="56"/>
  <c r="D3118" i="56" s="1"/>
  <c r="E3118" i="56"/>
  <c r="F3118" i="56" s="1"/>
  <c r="I3118" i="56"/>
  <c r="L3118" i="56"/>
  <c r="C3119" i="56"/>
  <c r="D3119" i="56" s="1"/>
  <c r="E3119" i="56"/>
  <c r="F3119" i="56" s="1"/>
  <c r="I3119" i="56"/>
  <c r="L3119" i="56"/>
  <c r="C3120" i="56"/>
  <c r="D3120" i="56" s="1"/>
  <c r="E3120" i="56"/>
  <c r="F3120" i="56" s="1"/>
  <c r="I3120" i="56"/>
  <c r="L3120" i="56"/>
  <c r="C3121" i="56"/>
  <c r="D3121" i="56" s="1"/>
  <c r="E3121" i="56"/>
  <c r="F3121" i="56" s="1"/>
  <c r="I3121" i="56"/>
  <c r="C3122" i="56"/>
  <c r="D3122" i="56" s="1"/>
  <c r="E3122" i="56"/>
  <c r="F3122" i="56" s="1"/>
  <c r="I3122" i="56"/>
  <c r="C3123" i="56"/>
  <c r="D3123" i="56" s="1"/>
  <c r="E3123" i="56"/>
  <c r="F3123" i="56" s="1"/>
  <c r="I3123" i="56"/>
  <c r="C3124" i="56"/>
  <c r="D3124" i="56" s="1"/>
  <c r="E3124" i="56"/>
  <c r="F3124" i="56" s="1"/>
  <c r="I3124" i="56"/>
  <c r="C3125" i="56"/>
  <c r="D3125" i="56" s="1"/>
  <c r="E3125" i="56"/>
  <c r="F3125" i="56" s="1"/>
  <c r="C3126" i="56"/>
  <c r="D3126" i="56" s="1"/>
  <c r="E3126" i="56"/>
  <c r="F3126" i="56" s="1"/>
  <c r="L3126" i="56"/>
  <c r="C3127" i="56"/>
  <c r="D3127" i="56" s="1"/>
  <c r="E3127" i="56"/>
  <c r="F3127" i="56" s="1"/>
  <c r="C3128" i="56"/>
  <c r="D3128" i="56" s="1"/>
  <c r="E3128" i="56"/>
  <c r="F3128" i="56" s="1"/>
  <c r="C3129" i="56"/>
  <c r="D3129" i="56" s="1"/>
  <c r="E3129" i="56"/>
  <c r="F3129" i="56" s="1"/>
  <c r="I3129" i="56"/>
  <c r="C3130" i="56"/>
  <c r="D3130" i="56" s="1"/>
  <c r="E3130" i="56"/>
  <c r="F3130" i="56" s="1"/>
  <c r="I3130" i="56"/>
  <c r="L3130" i="56"/>
  <c r="C3131" i="56"/>
  <c r="D3131" i="56" s="1"/>
  <c r="E3131" i="56"/>
  <c r="F3131" i="56" s="1"/>
  <c r="I3131" i="56"/>
  <c r="L3131" i="56"/>
  <c r="C3132" i="56"/>
  <c r="D3132" i="56" s="1"/>
  <c r="E3132" i="56"/>
  <c r="F3132" i="56" s="1"/>
  <c r="I3132" i="56"/>
  <c r="L3132" i="56"/>
  <c r="C3133" i="56"/>
  <c r="D3133" i="56" s="1"/>
  <c r="E3133" i="56"/>
  <c r="F3133" i="56" s="1"/>
  <c r="I3133" i="56"/>
  <c r="C3134" i="56"/>
  <c r="D3134" i="56" s="1"/>
  <c r="E3134" i="56"/>
  <c r="F3134" i="56" s="1"/>
  <c r="I3134" i="56"/>
  <c r="C3135" i="56"/>
  <c r="D3135" i="56" s="1"/>
  <c r="E3135" i="56"/>
  <c r="F3135" i="56" s="1"/>
  <c r="I3135" i="56"/>
  <c r="C3136" i="56"/>
  <c r="D3136" i="56" s="1"/>
  <c r="E3136" i="56"/>
  <c r="F3136" i="56" s="1"/>
  <c r="I3136" i="56"/>
  <c r="L3136" i="56"/>
  <c r="C3137" i="56"/>
  <c r="D3137" i="56" s="1"/>
  <c r="E3137" i="56"/>
  <c r="F3137" i="56" s="1"/>
  <c r="C3138" i="56"/>
  <c r="D3138" i="56" s="1"/>
  <c r="E3138" i="56"/>
  <c r="F3138" i="56" s="1"/>
  <c r="L3138" i="56"/>
  <c r="C3139" i="56"/>
  <c r="D3139" i="56" s="1"/>
  <c r="E3139" i="56"/>
  <c r="F3139" i="56" s="1"/>
  <c r="C3140" i="56"/>
  <c r="D3140" i="56" s="1"/>
  <c r="E3140" i="56"/>
  <c r="F3140" i="56" s="1"/>
  <c r="C3141" i="56"/>
  <c r="D3141" i="56" s="1"/>
  <c r="E3141" i="56"/>
  <c r="F3141" i="56" s="1"/>
  <c r="I3141" i="56"/>
  <c r="L3141" i="56"/>
  <c r="C3142" i="56"/>
  <c r="D3142" i="56" s="1"/>
  <c r="E3142" i="56"/>
  <c r="F3142" i="56" s="1"/>
  <c r="I3142" i="56"/>
  <c r="C3143" i="56"/>
  <c r="D3143" i="56" s="1"/>
  <c r="E3143" i="56"/>
  <c r="F3143" i="56" s="1"/>
  <c r="I3143" i="56"/>
  <c r="L3143" i="56"/>
  <c r="C3144" i="56"/>
  <c r="D3144" i="56" s="1"/>
  <c r="E3144" i="56"/>
  <c r="F3144" i="56" s="1"/>
  <c r="I3144" i="56"/>
  <c r="L3144" i="56"/>
  <c r="C3145" i="56"/>
  <c r="D3145" i="56" s="1"/>
  <c r="E3145" i="56"/>
  <c r="F3145" i="56" s="1"/>
  <c r="I3145" i="56"/>
  <c r="C3146" i="56"/>
  <c r="D3146" i="56" s="1"/>
  <c r="E3146" i="56"/>
  <c r="F3146" i="56" s="1"/>
  <c r="I3146" i="56"/>
  <c r="C3147" i="56"/>
  <c r="D3147" i="56" s="1"/>
  <c r="E3147" i="56"/>
  <c r="F3147" i="56" s="1"/>
  <c r="I3147" i="56"/>
  <c r="C3148" i="56"/>
  <c r="D3148" i="56" s="1"/>
  <c r="E3148" i="56"/>
  <c r="F3148" i="56" s="1"/>
  <c r="I3148" i="56"/>
  <c r="L3148" i="56"/>
  <c r="C3149" i="56"/>
  <c r="D3149" i="56" s="1"/>
  <c r="E3149" i="56"/>
  <c r="F3149" i="56" s="1"/>
  <c r="L3149" i="56"/>
  <c r="C3150" i="56"/>
  <c r="D3150" i="56" s="1"/>
  <c r="E3150" i="56"/>
  <c r="F3150" i="56" s="1"/>
  <c r="I3150" i="56"/>
  <c r="L3150" i="56"/>
  <c r="C3151" i="56"/>
  <c r="D3151" i="56" s="1"/>
  <c r="E3151" i="56"/>
  <c r="F3151" i="56" s="1"/>
  <c r="C3152" i="56"/>
  <c r="D3152" i="56" s="1"/>
  <c r="E3152" i="56"/>
  <c r="F3152" i="56" s="1"/>
  <c r="C3153" i="56"/>
  <c r="D3153" i="56" s="1"/>
  <c r="E3153" i="56"/>
  <c r="F3153" i="56" s="1"/>
  <c r="I3153" i="56"/>
  <c r="L3153" i="56"/>
  <c r="C3154" i="56"/>
  <c r="D3154" i="56" s="1"/>
  <c r="E3154" i="56"/>
  <c r="F3154" i="56" s="1"/>
  <c r="I3154" i="56"/>
  <c r="C3155" i="56"/>
  <c r="D3155" i="56" s="1"/>
  <c r="E3155" i="56"/>
  <c r="F3155" i="56" s="1"/>
  <c r="I3155" i="56"/>
  <c r="L3155" i="56"/>
  <c r="C3156" i="56"/>
  <c r="D3156" i="56" s="1"/>
  <c r="E3156" i="56"/>
  <c r="F3156" i="56" s="1"/>
  <c r="I3156" i="56"/>
  <c r="L3156" i="56"/>
  <c r="C3157" i="56"/>
  <c r="D3157" i="56" s="1"/>
  <c r="E3157" i="56"/>
  <c r="F3157" i="56" s="1"/>
  <c r="I3157" i="56"/>
  <c r="C3158" i="56"/>
  <c r="D3158" i="56" s="1"/>
  <c r="E3158" i="56"/>
  <c r="F3158" i="56" s="1"/>
  <c r="I3158" i="56"/>
  <c r="C3159" i="56"/>
  <c r="D3159" i="56" s="1"/>
  <c r="E3159" i="56"/>
  <c r="F3159" i="56" s="1"/>
  <c r="I3159" i="56"/>
  <c r="C3160" i="56"/>
  <c r="D3160" i="56" s="1"/>
  <c r="E3160" i="56"/>
  <c r="F3160" i="56" s="1"/>
  <c r="I3160" i="56"/>
  <c r="C3161" i="56"/>
  <c r="D3161" i="56" s="1"/>
  <c r="E3161" i="56"/>
  <c r="F3161" i="56" s="1"/>
  <c r="L3161" i="56"/>
  <c r="C3162" i="56"/>
  <c r="D3162" i="56" s="1"/>
  <c r="E3162" i="56"/>
  <c r="F3162" i="56" s="1"/>
  <c r="L3162" i="56"/>
  <c r="C3163" i="56"/>
  <c r="D3163" i="56" s="1"/>
  <c r="E3163" i="56"/>
  <c r="F3163" i="56" s="1"/>
  <c r="I3163" i="56"/>
  <c r="C3164" i="56"/>
  <c r="D3164" i="56" s="1"/>
  <c r="E3164" i="56"/>
  <c r="F3164" i="56"/>
  <c r="C3165" i="56"/>
  <c r="D3165" i="56" s="1"/>
  <c r="E3165" i="56"/>
  <c r="F3165" i="56" s="1"/>
  <c r="I3165" i="56"/>
  <c r="C3166" i="56"/>
  <c r="D3166" i="56" s="1"/>
  <c r="E3166" i="56"/>
  <c r="F3166" i="56" s="1"/>
  <c r="I3166" i="56"/>
  <c r="L3166" i="56"/>
  <c r="C3167" i="56"/>
  <c r="D3167" i="56" s="1"/>
  <c r="E3167" i="56"/>
  <c r="F3167" i="56" s="1"/>
  <c r="I3167" i="56"/>
  <c r="L3167" i="56"/>
  <c r="C3168" i="56"/>
  <c r="D3168" i="56" s="1"/>
  <c r="E3168" i="56"/>
  <c r="F3168" i="56" s="1"/>
  <c r="I3168" i="56"/>
  <c r="L3168" i="56"/>
  <c r="C3169" i="56"/>
  <c r="D3169" i="56" s="1"/>
  <c r="E3169" i="56"/>
  <c r="F3169" i="56" s="1"/>
  <c r="I3169" i="56"/>
  <c r="C3170" i="56"/>
  <c r="D3170" i="56" s="1"/>
  <c r="E3170" i="56"/>
  <c r="F3170" i="56" s="1"/>
  <c r="I3170" i="56"/>
  <c r="C3171" i="56"/>
  <c r="D3171" i="56" s="1"/>
  <c r="E3171" i="56"/>
  <c r="F3171" i="56" s="1"/>
  <c r="I3171" i="56"/>
  <c r="C3172" i="56"/>
  <c r="D3172" i="56" s="1"/>
  <c r="E3172" i="56"/>
  <c r="F3172" i="56" s="1"/>
  <c r="I3172" i="56"/>
  <c r="L3172" i="56"/>
  <c r="C3173" i="56"/>
  <c r="D3173" i="56" s="1"/>
  <c r="E3173" i="56"/>
  <c r="F3173" i="56" s="1"/>
  <c r="C3174" i="56"/>
  <c r="D3174" i="56" s="1"/>
  <c r="E3174" i="56"/>
  <c r="F3174" i="56" s="1"/>
  <c r="I3174" i="56"/>
  <c r="L3174" i="56"/>
  <c r="C3175" i="56"/>
  <c r="D3175" i="56" s="1"/>
  <c r="E3175" i="56"/>
  <c r="F3175" i="56" s="1"/>
  <c r="I3175" i="56"/>
  <c r="C3176" i="56"/>
  <c r="D3176" i="56" s="1"/>
  <c r="E3176" i="56"/>
  <c r="F3176" i="56" s="1"/>
  <c r="C3177" i="56"/>
  <c r="D3177" i="56" s="1"/>
  <c r="E3177" i="56"/>
  <c r="F3177" i="56" s="1"/>
  <c r="I3177" i="56"/>
  <c r="L3177" i="56"/>
  <c r="C3178" i="56"/>
  <c r="D3178" i="56" s="1"/>
  <c r="E3178" i="56"/>
  <c r="F3178" i="56" s="1"/>
  <c r="I3178" i="56"/>
  <c r="L3178" i="56"/>
  <c r="C3179" i="56"/>
  <c r="D3179" i="56" s="1"/>
  <c r="E3179" i="56"/>
  <c r="F3179" i="56" s="1"/>
  <c r="I3179" i="56"/>
  <c r="L3179" i="56"/>
  <c r="C3180" i="56"/>
  <c r="D3180" i="56" s="1"/>
  <c r="E3180" i="56"/>
  <c r="F3180" i="56" s="1"/>
  <c r="I3180" i="56"/>
  <c r="L3180" i="56"/>
  <c r="C3181" i="56"/>
  <c r="D3181" i="56" s="1"/>
  <c r="E3181" i="56"/>
  <c r="F3181" i="56" s="1"/>
  <c r="I3181" i="56"/>
  <c r="C3182" i="56"/>
  <c r="D3182" i="56" s="1"/>
  <c r="E3182" i="56"/>
  <c r="F3182" i="56" s="1"/>
  <c r="I3182" i="56"/>
  <c r="C3183" i="56"/>
  <c r="D3183" i="56" s="1"/>
  <c r="E3183" i="56"/>
  <c r="F3183" i="56" s="1"/>
  <c r="I3183" i="56"/>
  <c r="C3184" i="56"/>
  <c r="D3184" i="56" s="1"/>
  <c r="E3184" i="56"/>
  <c r="F3184" i="56" s="1"/>
  <c r="I3184" i="56"/>
  <c r="C3185" i="56"/>
  <c r="D3185" i="56" s="1"/>
  <c r="E3185" i="56"/>
  <c r="F3185" i="56" s="1"/>
  <c r="L3185" i="56"/>
  <c r="C3186" i="56"/>
  <c r="D3186" i="56" s="1"/>
  <c r="E3186" i="56"/>
  <c r="F3186" i="56" s="1"/>
  <c r="L3186" i="56"/>
  <c r="C3187" i="56"/>
  <c r="D3187" i="56" s="1"/>
  <c r="E3187" i="56"/>
  <c r="F3187" i="56" s="1"/>
  <c r="C3188" i="56"/>
  <c r="D3188" i="56" s="1"/>
  <c r="E3188" i="56"/>
  <c r="F3188" i="56" s="1"/>
  <c r="I3188" i="56"/>
  <c r="C3189" i="56"/>
  <c r="D3189" i="56" s="1"/>
  <c r="E3189" i="56"/>
  <c r="F3189" i="56" s="1"/>
  <c r="I3189" i="56"/>
  <c r="L3189" i="56"/>
  <c r="C3190" i="56"/>
  <c r="D3190" i="56" s="1"/>
  <c r="E3190" i="56"/>
  <c r="F3190" i="56" s="1"/>
  <c r="I3190" i="56"/>
  <c r="L3190" i="56"/>
  <c r="C3191" i="56"/>
  <c r="D3191" i="56" s="1"/>
  <c r="E3191" i="56"/>
  <c r="F3191" i="56" s="1"/>
  <c r="I3191" i="56"/>
  <c r="L3191" i="56"/>
  <c r="C3192" i="56"/>
  <c r="D3192" i="56" s="1"/>
  <c r="E3192" i="56"/>
  <c r="F3192" i="56" s="1"/>
  <c r="I3192" i="56"/>
  <c r="L3192" i="56"/>
  <c r="C3193" i="56"/>
  <c r="D3193" i="56" s="1"/>
  <c r="E3193" i="56"/>
  <c r="F3193" i="56" s="1"/>
  <c r="I3193" i="56"/>
  <c r="C3194" i="56"/>
  <c r="D3194" i="56" s="1"/>
  <c r="E3194" i="56"/>
  <c r="F3194" i="56" s="1"/>
  <c r="I3194" i="56"/>
  <c r="C3195" i="56"/>
  <c r="D3195" i="56" s="1"/>
  <c r="E3195" i="56"/>
  <c r="F3195" i="56" s="1"/>
  <c r="I3195" i="56"/>
  <c r="C3196" i="56"/>
  <c r="D3196" i="56" s="1"/>
  <c r="E3196" i="56"/>
  <c r="F3196" i="56" s="1"/>
  <c r="I3196" i="56"/>
  <c r="C3197" i="56"/>
  <c r="D3197" i="56" s="1"/>
  <c r="E3197" i="56"/>
  <c r="F3197" i="56" s="1"/>
  <c r="L3197" i="56"/>
  <c r="C3198" i="56"/>
  <c r="D3198" i="56" s="1"/>
  <c r="E3198" i="56"/>
  <c r="F3198" i="56" s="1"/>
  <c r="I3198" i="56"/>
  <c r="L3198" i="56"/>
  <c r="C3199" i="56"/>
  <c r="D3199" i="56" s="1"/>
  <c r="E3199" i="56"/>
  <c r="F3199" i="56" s="1"/>
  <c r="C3200" i="56"/>
  <c r="D3200" i="56" s="1"/>
  <c r="E3200" i="56"/>
  <c r="F3200" i="56" s="1"/>
  <c r="C3201" i="56"/>
  <c r="D3201" i="56" s="1"/>
  <c r="E3201" i="56"/>
  <c r="F3201" i="56" s="1"/>
  <c r="I3201" i="56"/>
  <c r="L3201" i="56"/>
  <c r="C3202" i="56"/>
  <c r="D3202" i="56" s="1"/>
  <c r="E3202" i="56"/>
  <c r="F3202" i="56" s="1"/>
  <c r="I3202" i="56"/>
  <c r="L3202" i="56"/>
  <c r="C3203" i="56"/>
  <c r="D3203" i="56" s="1"/>
  <c r="E3203" i="56"/>
  <c r="F3203" i="56" s="1"/>
  <c r="I3203" i="56"/>
  <c r="L3203" i="56"/>
  <c r="C3204" i="56"/>
  <c r="D3204" i="56" s="1"/>
  <c r="E3204" i="56"/>
  <c r="F3204" i="56" s="1"/>
  <c r="I3204" i="56"/>
  <c r="L3204" i="56"/>
  <c r="C3205" i="56"/>
  <c r="D3205" i="56" s="1"/>
  <c r="E3205" i="56"/>
  <c r="F3205" i="56" s="1"/>
  <c r="I3205" i="56"/>
  <c r="C3206" i="56"/>
  <c r="D3206" i="56" s="1"/>
  <c r="E3206" i="56"/>
  <c r="F3206" i="56" s="1"/>
  <c r="I3206" i="56"/>
  <c r="C3207" i="56"/>
  <c r="D3207" i="56" s="1"/>
  <c r="E3207" i="56"/>
  <c r="F3207" i="56" s="1"/>
  <c r="I3207" i="56"/>
  <c r="C3208" i="56"/>
  <c r="D3208" i="56" s="1"/>
  <c r="E3208" i="56"/>
  <c r="F3208" i="56" s="1"/>
  <c r="I3208" i="56"/>
  <c r="C3209" i="56"/>
  <c r="D3209" i="56" s="1"/>
  <c r="E3209" i="56"/>
  <c r="F3209" i="56" s="1"/>
  <c r="L3209" i="56"/>
  <c r="C3210" i="56"/>
  <c r="D3210" i="56" s="1"/>
  <c r="E3210" i="56"/>
  <c r="F3210" i="56" s="1"/>
  <c r="C3211" i="56"/>
  <c r="D3211" i="56" s="1"/>
  <c r="E3211" i="56"/>
  <c r="F3211" i="56" s="1"/>
  <c r="I3211" i="56"/>
  <c r="C3212" i="56"/>
  <c r="D3212" i="56" s="1"/>
  <c r="E3212" i="56"/>
  <c r="F3212" i="56" s="1"/>
  <c r="I3212" i="56"/>
  <c r="C3213" i="56"/>
  <c r="D3213" i="56" s="1"/>
  <c r="E3213" i="56"/>
  <c r="F3213" i="56" s="1"/>
  <c r="I3213" i="56"/>
  <c r="L3213" i="56"/>
  <c r="C3214" i="56"/>
  <c r="D3214" i="56" s="1"/>
  <c r="E3214" i="56"/>
  <c r="F3214" i="56" s="1"/>
  <c r="I3214" i="56"/>
  <c r="L3214" i="56"/>
  <c r="C3215" i="56"/>
  <c r="D3215" i="56" s="1"/>
  <c r="E3215" i="56"/>
  <c r="F3215" i="56" s="1"/>
  <c r="I3215" i="56"/>
  <c r="L3215" i="56"/>
  <c r="C3216" i="56"/>
  <c r="D3216" i="56" s="1"/>
  <c r="E3216" i="56"/>
  <c r="F3216" i="56" s="1"/>
  <c r="I3216" i="56"/>
  <c r="L3216" i="56"/>
  <c r="C3217" i="56"/>
  <c r="D3217" i="56" s="1"/>
  <c r="E3217" i="56"/>
  <c r="F3217" i="56" s="1"/>
  <c r="I3217" i="56"/>
  <c r="C3218" i="56"/>
  <c r="D3218" i="56" s="1"/>
  <c r="E3218" i="56"/>
  <c r="F3218" i="56" s="1"/>
  <c r="I3218" i="56"/>
  <c r="C3219" i="56"/>
  <c r="D3219" i="56" s="1"/>
  <c r="E3219" i="56"/>
  <c r="F3219" i="56" s="1"/>
  <c r="I3219" i="56"/>
  <c r="C3220" i="56"/>
  <c r="D3220" i="56" s="1"/>
  <c r="E3220" i="56"/>
  <c r="F3220" i="56" s="1"/>
  <c r="I3220" i="56"/>
  <c r="C3221" i="56"/>
  <c r="D3221" i="56" s="1"/>
  <c r="E3221" i="56"/>
  <c r="F3221" i="56" s="1"/>
  <c r="L3221" i="56"/>
  <c r="C3222" i="56"/>
  <c r="D3222" i="56" s="1"/>
  <c r="E3222" i="56"/>
  <c r="F3222" i="56" s="1"/>
  <c r="L3222" i="56"/>
  <c r="C3223" i="56"/>
  <c r="D3223" i="56" s="1"/>
  <c r="E3223" i="56"/>
  <c r="F3223" i="56" s="1"/>
  <c r="I3223" i="56"/>
  <c r="C3224" i="56"/>
  <c r="D3224" i="56" s="1"/>
  <c r="E3224" i="56"/>
  <c r="F3224" i="56" s="1"/>
  <c r="C3225" i="56"/>
  <c r="D3225" i="56" s="1"/>
  <c r="E3225" i="56"/>
  <c r="F3225" i="56" s="1"/>
  <c r="I3225" i="56"/>
  <c r="L3225" i="56"/>
  <c r="C3226" i="56"/>
  <c r="D3226" i="56" s="1"/>
  <c r="E3226" i="56"/>
  <c r="F3226" i="56" s="1"/>
  <c r="I3226" i="56"/>
  <c r="L3226" i="56"/>
  <c r="C3227" i="56"/>
  <c r="D3227" i="56" s="1"/>
  <c r="E3227" i="56"/>
  <c r="F3227" i="56" s="1"/>
  <c r="I3227" i="56"/>
  <c r="L3227" i="56"/>
  <c r="C3228" i="56"/>
  <c r="D3228" i="56" s="1"/>
  <c r="E3228" i="56"/>
  <c r="F3228" i="56" s="1"/>
  <c r="I3228" i="56"/>
  <c r="L3228" i="56"/>
  <c r="C3229" i="56"/>
  <c r="D3229" i="56" s="1"/>
  <c r="E3229" i="56"/>
  <c r="F3229" i="56" s="1"/>
  <c r="I3229" i="56"/>
  <c r="C3230" i="56"/>
  <c r="D3230" i="56" s="1"/>
  <c r="E3230" i="56"/>
  <c r="F3230" i="56" s="1"/>
  <c r="I3230" i="56"/>
  <c r="C3231" i="56"/>
  <c r="D3231" i="56" s="1"/>
  <c r="E3231" i="56"/>
  <c r="F3231" i="56" s="1"/>
  <c r="I3231" i="56"/>
  <c r="C3232" i="56"/>
  <c r="D3232" i="56" s="1"/>
  <c r="E3232" i="56"/>
  <c r="F3232" i="56" s="1"/>
  <c r="I3232" i="56"/>
  <c r="C3233" i="56"/>
  <c r="D3233" i="56" s="1"/>
  <c r="E3233" i="56"/>
  <c r="F3233" i="56" s="1"/>
  <c r="C3234" i="56"/>
  <c r="D3234" i="56" s="1"/>
  <c r="E3234" i="56"/>
  <c r="F3234" i="56" s="1"/>
  <c r="I3234" i="56"/>
  <c r="L3234" i="56"/>
  <c r="C3235" i="56"/>
  <c r="D3235" i="56" s="1"/>
  <c r="E3235" i="56"/>
  <c r="F3235" i="56" s="1"/>
  <c r="C3236" i="56"/>
  <c r="D3236" i="56" s="1"/>
  <c r="E3236" i="56"/>
  <c r="F3236" i="56" s="1"/>
  <c r="I3236" i="56"/>
  <c r="C3237" i="56"/>
  <c r="D3237" i="56" s="1"/>
  <c r="E3237" i="56"/>
  <c r="F3237" i="56" s="1"/>
  <c r="I3237" i="56"/>
  <c r="L3237" i="56"/>
  <c r="C3238" i="56"/>
  <c r="D3238" i="56" s="1"/>
  <c r="E3238" i="56"/>
  <c r="F3238" i="56" s="1"/>
  <c r="I3238" i="56"/>
  <c r="L3238" i="56"/>
  <c r="C3239" i="56"/>
  <c r="D3239" i="56" s="1"/>
  <c r="E3239" i="56"/>
  <c r="F3239" i="56" s="1"/>
  <c r="I3239" i="56"/>
  <c r="L3239" i="56"/>
  <c r="C3240" i="56"/>
  <c r="D3240" i="56" s="1"/>
  <c r="E3240" i="56"/>
  <c r="F3240" i="56" s="1"/>
  <c r="I3240" i="56"/>
  <c r="L3240" i="56"/>
  <c r="C3241" i="56"/>
  <c r="D3241" i="56" s="1"/>
  <c r="E3241" i="56"/>
  <c r="F3241" i="56" s="1"/>
  <c r="I3241" i="56"/>
  <c r="C3242" i="56"/>
  <c r="D3242" i="56" s="1"/>
  <c r="E3242" i="56"/>
  <c r="F3242" i="56" s="1"/>
  <c r="I3242" i="56"/>
  <c r="C3243" i="56"/>
  <c r="D3243" i="56" s="1"/>
  <c r="E3243" i="56"/>
  <c r="F3243" i="56" s="1"/>
  <c r="I3243" i="56"/>
  <c r="C3244" i="56"/>
  <c r="D3244" i="56" s="1"/>
  <c r="E3244" i="56"/>
  <c r="F3244" i="56" s="1"/>
  <c r="I3244" i="56"/>
  <c r="C3245" i="56"/>
  <c r="D3245" i="56" s="1"/>
  <c r="E3245" i="56"/>
  <c r="F3245" i="56" s="1"/>
  <c r="L3245" i="56"/>
  <c r="C3246" i="56"/>
  <c r="D3246" i="56" s="1"/>
  <c r="E3246" i="56"/>
  <c r="F3246" i="56" s="1"/>
  <c r="L3246" i="56"/>
  <c r="C3247" i="56"/>
  <c r="D3247" i="56" s="1"/>
  <c r="E3247" i="56"/>
  <c r="F3247" i="56" s="1"/>
  <c r="I3247" i="56"/>
  <c r="C3248" i="56"/>
  <c r="D3248" i="56" s="1"/>
  <c r="E3248" i="56"/>
  <c r="F3248" i="56" s="1"/>
  <c r="C3249" i="56"/>
  <c r="D3249" i="56" s="1"/>
  <c r="E3249" i="56"/>
  <c r="F3249" i="56" s="1"/>
  <c r="I3249" i="56"/>
  <c r="L3249" i="56"/>
  <c r="C3250" i="56"/>
  <c r="D3250" i="56" s="1"/>
  <c r="E3250" i="56"/>
  <c r="F3250" i="56" s="1"/>
  <c r="I3250" i="56"/>
  <c r="L3250" i="56"/>
  <c r="C3251" i="56"/>
  <c r="D3251" i="56" s="1"/>
  <c r="E3251" i="56"/>
  <c r="F3251" i="56"/>
  <c r="I3251" i="56"/>
  <c r="L3251" i="56"/>
  <c r="C3252" i="56"/>
  <c r="D3252" i="56" s="1"/>
  <c r="E3252" i="56"/>
  <c r="F3252" i="56" s="1"/>
  <c r="I3252" i="56"/>
  <c r="L3252" i="56"/>
  <c r="C3253" i="56"/>
  <c r="D3253" i="56" s="1"/>
  <c r="E3253" i="56"/>
  <c r="F3253" i="56" s="1"/>
  <c r="I3253" i="56"/>
  <c r="C3254" i="56"/>
  <c r="D3254" i="56" s="1"/>
  <c r="E3254" i="56"/>
  <c r="F3254" i="56" s="1"/>
  <c r="I3254" i="56"/>
  <c r="C3255" i="56"/>
  <c r="D3255" i="56" s="1"/>
  <c r="E3255" i="56"/>
  <c r="F3255" i="56" s="1"/>
  <c r="I3255" i="56"/>
  <c r="C3256" i="56"/>
  <c r="D3256" i="56" s="1"/>
  <c r="E3256" i="56"/>
  <c r="F3256" i="56" s="1"/>
  <c r="I3256" i="56"/>
  <c r="C3257" i="56"/>
  <c r="D3257" i="56" s="1"/>
  <c r="E3257" i="56"/>
  <c r="F3257" i="56" s="1"/>
  <c r="L3257" i="56"/>
  <c r="C3258" i="56"/>
  <c r="D3258" i="56" s="1"/>
  <c r="E3258" i="56"/>
  <c r="F3258" i="56" s="1"/>
  <c r="L3258" i="56"/>
  <c r="C3259" i="56"/>
  <c r="D3259" i="56" s="1"/>
  <c r="E3259" i="56"/>
  <c r="F3259" i="56" s="1"/>
  <c r="I3259" i="56"/>
  <c r="C3260" i="56"/>
  <c r="D3260" i="56" s="1"/>
  <c r="E3260" i="56"/>
  <c r="F3260" i="56" s="1"/>
  <c r="C3261" i="56"/>
  <c r="D3261" i="56" s="1"/>
  <c r="E3261" i="56"/>
  <c r="F3261" i="56" s="1"/>
  <c r="I3261" i="56"/>
  <c r="L3261" i="56"/>
  <c r="C3262" i="56"/>
  <c r="D3262" i="56" s="1"/>
  <c r="E3262" i="56"/>
  <c r="F3262" i="56" s="1"/>
  <c r="I3262" i="56"/>
  <c r="L3262" i="56"/>
  <c r="C3263" i="56"/>
  <c r="D3263" i="56" s="1"/>
  <c r="E3263" i="56"/>
  <c r="F3263" i="56" s="1"/>
  <c r="I3263" i="56"/>
  <c r="L3263" i="56"/>
  <c r="C3264" i="56"/>
  <c r="D3264" i="56" s="1"/>
  <c r="E3264" i="56"/>
  <c r="F3264" i="56" s="1"/>
  <c r="I3264" i="56"/>
  <c r="L3264" i="56"/>
  <c r="C3265" i="56"/>
  <c r="D3265" i="56" s="1"/>
  <c r="E3265" i="56"/>
  <c r="F3265" i="56" s="1"/>
  <c r="I3265" i="56"/>
  <c r="C3266" i="56"/>
  <c r="D3266" i="56" s="1"/>
  <c r="E3266" i="56"/>
  <c r="F3266" i="56" s="1"/>
  <c r="I3266" i="56"/>
  <c r="C3267" i="56"/>
  <c r="D3267" i="56" s="1"/>
  <c r="E3267" i="56"/>
  <c r="F3267" i="56" s="1"/>
  <c r="I3267" i="56"/>
  <c r="C3268" i="56"/>
  <c r="D3268" i="56" s="1"/>
  <c r="E3268" i="56"/>
  <c r="F3268" i="56" s="1"/>
  <c r="I3268" i="56"/>
  <c r="C3269" i="56"/>
  <c r="D3269" i="56" s="1"/>
  <c r="E3269" i="56"/>
  <c r="F3269" i="56" s="1"/>
  <c r="L3269" i="56"/>
  <c r="C3270" i="56"/>
  <c r="D3270" i="56" s="1"/>
  <c r="E3270" i="56"/>
  <c r="F3270" i="56" s="1"/>
  <c r="I3270" i="56"/>
  <c r="L3270" i="56"/>
  <c r="C3271" i="56"/>
  <c r="D3271" i="56" s="1"/>
  <c r="E3271" i="56"/>
  <c r="F3271" i="56" s="1"/>
  <c r="C3272" i="56"/>
  <c r="D3272" i="56" s="1"/>
  <c r="E3272" i="56"/>
  <c r="F3272" i="56" s="1"/>
  <c r="C3273" i="56"/>
  <c r="D3273" i="56" s="1"/>
  <c r="E3273" i="56"/>
  <c r="F3273" i="56" s="1"/>
  <c r="I3273" i="56"/>
  <c r="L3273" i="56"/>
  <c r="C3274" i="56"/>
  <c r="D3274" i="56" s="1"/>
  <c r="E3274" i="56"/>
  <c r="F3274" i="56" s="1"/>
  <c r="I3274" i="56"/>
  <c r="L3274" i="56"/>
  <c r="C3275" i="56"/>
  <c r="D3275" i="56" s="1"/>
  <c r="E3275" i="56"/>
  <c r="F3275" i="56" s="1"/>
  <c r="I3275" i="56"/>
  <c r="L3275" i="56"/>
  <c r="C3276" i="56"/>
  <c r="D3276" i="56" s="1"/>
  <c r="E3276" i="56"/>
  <c r="F3276" i="56" s="1"/>
  <c r="I3276" i="56"/>
  <c r="L3276" i="56"/>
  <c r="C3277" i="56"/>
  <c r="D3277" i="56" s="1"/>
  <c r="E3277" i="56"/>
  <c r="F3277" i="56" s="1"/>
  <c r="I3277" i="56"/>
  <c r="C3278" i="56"/>
  <c r="D3278" i="56" s="1"/>
  <c r="E3278" i="56"/>
  <c r="F3278" i="56" s="1"/>
  <c r="I3278" i="56"/>
  <c r="C3279" i="56"/>
  <c r="D3279" i="56" s="1"/>
  <c r="E3279" i="56"/>
  <c r="F3279" i="56" s="1"/>
  <c r="I3279" i="56"/>
  <c r="C3280" i="56"/>
  <c r="D3280" i="56" s="1"/>
  <c r="E3280" i="56"/>
  <c r="F3280" i="56" s="1"/>
  <c r="I3280" i="56"/>
  <c r="C3281" i="56"/>
  <c r="D3281" i="56" s="1"/>
  <c r="E3281" i="56"/>
  <c r="F3281" i="56" s="1"/>
  <c r="L3281" i="56"/>
  <c r="C3282" i="56"/>
  <c r="D3282" i="56" s="1"/>
  <c r="E3282" i="56"/>
  <c r="F3282" i="56" s="1"/>
  <c r="L3282" i="56"/>
  <c r="C3283" i="56"/>
  <c r="D3283" i="56" s="1"/>
  <c r="E3283" i="56"/>
  <c r="F3283" i="56" s="1"/>
  <c r="I3283" i="56"/>
  <c r="C3284" i="56"/>
  <c r="D3284" i="56" s="1"/>
  <c r="E3284" i="56"/>
  <c r="F3284" i="56" s="1"/>
  <c r="C3285" i="56"/>
  <c r="D3285" i="56" s="1"/>
  <c r="E3285" i="56"/>
  <c r="F3285" i="56" s="1"/>
  <c r="I3285" i="56"/>
  <c r="L3285" i="56"/>
  <c r="C3286" i="56"/>
  <c r="D3286" i="56" s="1"/>
  <c r="E3286" i="56"/>
  <c r="F3286" i="56" s="1"/>
  <c r="I3286" i="56"/>
  <c r="L3286" i="56"/>
  <c r="C3287" i="56"/>
  <c r="D3287" i="56" s="1"/>
  <c r="E3287" i="56"/>
  <c r="F3287" i="56" s="1"/>
  <c r="I3287" i="56"/>
  <c r="L3287" i="56"/>
  <c r="C3288" i="56"/>
  <c r="D3288" i="56" s="1"/>
  <c r="E3288" i="56"/>
  <c r="F3288" i="56" s="1"/>
  <c r="I3288" i="56"/>
  <c r="L3288" i="56"/>
  <c r="C3289" i="56"/>
  <c r="D3289" i="56" s="1"/>
  <c r="E3289" i="56"/>
  <c r="F3289" i="56" s="1"/>
  <c r="I3289" i="56"/>
  <c r="C3290" i="56"/>
  <c r="D3290" i="56" s="1"/>
  <c r="E3290" i="56"/>
  <c r="F3290" i="56" s="1"/>
  <c r="I3290" i="56"/>
  <c r="C3291" i="56"/>
  <c r="D3291" i="56" s="1"/>
  <c r="E3291" i="56"/>
  <c r="F3291" i="56" s="1"/>
  <c r="I3291" i="56"/>
  <c r="C3292" i="56"/>
  <c r="D3292" i="56" s="1"/>
  <c r="E3292" i="56"/>
  <c r="F3292" i="56" s="1"/>
  <c r="I3292" i="56"/>
  <c r="C3293" i="56"/>
  <c r="D3293" i="56" s="1"/>
  <c r="E3293" i="56"/>
  <c r="F3293" i="56" s="1"/>
  <c r="L3293" i="56"/>
  <c r="C3294" i="56"/>
  <c r="D3294" i="56" s="1"/>
  <c r="E3294" i="56"/>
  <c r="F3294" i="56" s="1"/>
  <c r="L3294" i="56"/>
  <c r="C3295" i="56"/>
  <c r="D3295" i="56" s="1"/>
  <c r="E3295" i="56"/>
  <c r="F3295" i="56" s="1"/>
  <c r="C3296" i="56"/>
  <c r="D3296" i="56" s="1"/>
  <c r="E3296" i="56"/>
  <c r="F3296" i="56" s="1"/>
  <c r="C3297" i="56"/>
  <c r="D3297" i="56" s="1"/>
  <c r="E3297" i="56"/>
  <c r="F3297" i="56" s="1"/>
  <c r="I3297" i="56"/>
  <c r="L3297" i="56"/>
  <c r="C3298" i="56"/>
  <c r="D3298" i="56" s="1"/>
  <c r="E3298" i="56"/>
  <c r="F3298" i="56" s="1"/>
  <c r="I3298" i="56"/>
  <c r="C3299" i="56"/>
  <c r="D3299" i="56" s="1"/>
  <c r="E3299" i="56"/>
  <c r="F3299" i="56" s="1"/>
  <c r="I3299" i="56"/>
  <c r="L3299" i="56"/>
  <c r="C3300" i="56"/>
  <c r="D3300" i="56" s="1"/>
  <c r="E3300" i="56"/>
  <c r="F3300" i="56" s="1"/>
  <c r="I3300" i="56"/>
  <c r="L3300" i="56"/>
  <c r="C3301" i="56"/>
  <c r="D3301" i="56" s="1"/>
  <c r="E3301" i="56"/>
  <c r="F3301" i="56" s="1"/>
  <c r="I3301" i="56"/>
  <c r="C3302" i="56"/>
  <c r="D3302" i="56" s="1"/>
  <c r="E3302" i="56"/>
  <c r="F3302" i="56" s="1"/>
  <c r="I3302" i="56"/>
  <c r="C3303" i="56"/>
  <c r="D3303" i="56" s="1"/>
  <c r="E3303" i="56"/>
  <c r="F3303" i="56" s="1"/>
  <c r="I3303" i="56"/>
  <c r="C3304" i="56"/>
  <c r="D3304" i="56" s="1"/>
  <c r="E3304" i="56"/>
  <c r="F3304" i="56" s="1"/>
  <c r="I3304" i="56"/>
  <c r="C3305" i="56"/>
  <c r="D3305" i="56" s="1"/>
  <c r="E3305" i="56"/>
  <c r="F3305" i="56" s="1"/>
  <c r="L3305" i="56"/>
  <c r="C3306" i="56"/>
  <c r="D3306" i="56" s="1"/>
  <c r="E3306" i="56"/>
  <c r="F3306" i="56" s="1"/>
  <c r="L3306" i="56"/>
  <c r="C3307" i="56"/>
  <c r="D3307" i="56" s="1"/>
  <c r="E3307" i="56"/>
  <c r="F3307" i="56" s="1"/>
  <c r="I3307" i="56"/>
  <c r="C3308" i="56"/>
  <c r="D3308" i="56" s="1"/>
  <c r="E3308" i="56"/>
  <c r="F3308" i="56" s="1"/>
  <c r="C3309" i="56"/>
  <c r="D3309" i="56" s="1"/>
  <c r="E3309" i="56"/>
  <c r="F3309" i="56" s="1"/>
  <c r="I3309" i="56"/>
  <c r="L3309" i="56"/>
  <c r="C3310" i="56"/>
  <c r="D3310" i="56" s="1"/>
  <c r="E3310" i="56"/>
  <c r="F3310" i="56" s="1"/>
  <c r="I3310" i="56"/>
  <c r="L3310" i="56"/>
  <c r="C3311" i="56"/>
  <c r="D3311" i="56" s="1"/>
  <c r="E3311" i="56"/>
  <c r="F3311" i="56" s="1"/>
  <c r="I3311" i="56"/>
  <c r="L3311" i="56"/>
  <c r="C3312" i="56"/>
  <c r="D3312" i="56" s="1"/>
  <c r="E3312" i="56"/>
  <c r="F3312" i="56" s="1"/>
  <c r="I3312" i="56"/>
  <c r="L3312" i="56"/>
  <c r="C3313" i="56"/>
  <c r="D3313" i="56" s="1"/>
  <c r="E3313" i="56"/>
  <c r="F3313" i="56" s="1"/>
  <c r="I3313" i="56"/>
  <c r="C3314" i="56"/>
  <c r="D3314" i="56" s="1"/>
  <c r="E3314" i="56"/>
  <c r="F3314" i="56" s="1"/>
  <c r="I3314" i="56"/>
  <c r="C3315" i="56"/>
  <c r="D3315" i="56" s="1"/>
  <c r="E3315" i="56"/>
  <c r="F3315" i="56" s="1"/>
  <c r="I3315" i="56"/>
  <c r="C3316" i="56"/>
  <c r="D3316" i="56" s="1"/>
  <c r="E3316" i="56"/>
  <c r="F3316" i="56" s="1"/>
  <c r="I3316" i="56"/>
  <c r="C3317" i="56"/>
  <c r="D3317" i="56" s="1"/>
  <c r="E3317" i="56"/>
  <c r="F3317" i="56" s="1"/>
  <c r="L3317" i="56"/>
  <c r="C3318" i="56"/>
  <c r="D3318" i="56" s="1"/>
  <c r="E3318" i="56"/>
  <c r="F3318" i="56" s="1"/>
  <c r="I3318" i="56"/>
  <c r="L3318" i="56"/>
  <c r="C3319" i="56"/>
  <c r="D3319" i="56" s="1"/>
  <c r="E3319" i="56"/>
  <c r="F3319" i="56" s="1"/>
  <c r="I3319" i="56"/>
  <c r="C3320" i="56"/>
  <c r="D3320" i="56" s="1"/>
  <c r="E3320" i="56"/>
  <c r="F3320" i="56" s="1"/>
  <c r="C3321" i="56"/>
  <c r="D3321" i="56" s="1"/>
  <c r="E3321" i="56"/>
  <c r="F3321" i="56" s="1"/>
  <c r="I3321" i="56"/>
  <c r="L3321" i="56"/>
  <c r="C3322" i="56"/>
  <c r="D3322" i="56" s="1"/>
  <c r="E3322" i="56"/>
  <c r="F3322" i="56" s="1"/>
  <c r="I3322" i="56"/>
  <c r="L3322" i="56"/>
  <c r="C3323" i="56"/>
  <c r="D3323" i="56" s="1"/>
  <c r="E3323" i="56"/>
  <c r="F3323" i="56" s="1"/>
  <c r="I3323" i="56"/>
  <c r="L3323" i="56"/>
  <c r="C3324" i="56"/>
  <c r="D3324" i="56" s="1"/>
  <c r="E3324" i="56"/>
  <c r="F3324" i="56" s="1"/>
  <c r="I3324" i="56"/>
  <c r="L3324" i="56"/>
  <c r="C3325" i="56"/>
  <c r="D3325" i="56" s="1"/>
  <c r="E3325" i="56"/>
  <c r="F3325" i="56" s="1"/>
  <c r="I3325" i="56"/>
  <c r="C3326" i="56"/>
  <c r="D3326" i="56" s="1"/>
  <c r="E3326" i="56"/>
  <c r="F3326" i="56" s="1"/>
  <c r="I3326" i="56"/>
  <c r="C3327" i="56"/>
  <c r="D3327" i="56" s="1"/>
  <c r="E3327" i="56"/>
  <c r="F3327" i="56" s="1"/>
  <c r="I3327" i="56"/>
  <c r="C3328" i="56"/>
  <c r="D3328" i="56" s="1"/>
  <c r="E3328" i="56"/>
  <c r="F3328" i="56" s="1"/>
  <c r="I3328" i="56"/>
  <c r="C3329" i="56"/>
  <c r="D3329" i="56" s="1"/>
  <c r="E3329" i="56"/>
  <c r="F3329" i="56" s="1"/>
  <c r="L3329" i="56"/>
  <c r="C3330" i="56"/>
  <c r="D3330" i="56" s="1"/>
  <c r="E3330" i="56"/>
  <c r="F3330" i="56" s="1"/>
  <c r="L3330" i="56"/>
  <c r="C3331" i="56"/>
  <c r="D3331" i="56" s="1"/>
  <c r="E3331" i="56"/>
  <c r="F3331" i="56" s="1"/>
  <c r="C3332" i="56"/>
  <c r="D3332" i="56" s="1"/>
  <c r="E3332" i="56"/>
  <c r="F3332" i="56" s="1"/>
  <c r="C3333" i="56"/>
  <c r="D3333" i="56" s="1"/>
  <c r="E3333" i="56"/>
  <c r="F3333" i="56" s="1"/>
  <c r="I3333" i="56"/>
  <c r="L3333" i="56"/>
  <c r="C3334" i="56"/>
  <c r="D3334" i="56" s="1"/>
  <c r="E3334" i="56"/>
  <c r="F3334" i="56" s="1"/>
  <c r="I3334" i="56"/>
  <c r="L3334" i="56"/>
  <c r="C3335" i="56"/>
  <c r="D3335" i="56" s="1"/>
  <c r="E3335" i="56"/>
  <c r="F3335" i="56" s="1"/>
  <c r="I3335" i="56"/>
  <c r="L3335" i="56"/>
  <c r="C3336" i="56"/>
  <c r="D3336" i="56" s="1"/>
  <c r="E3336" i="56"/>
  <c r="F3336" i="56" s="1"/>
  <c r="I3336" i="56"/>
  <c r="L3336" i="56"/>
  <c r="C3337" i="56"/>
  <c r="D3337" i="56" s="1"/>
  <c r="E3337" i="56"/>
  <c r="F3337" i="56" s="1"/>
  <c r="I3337" i="56"/>
  <c r="C3338" i="56"/>
  <c r="D3338" i="56" s="1"/>
  <c r="E3338" i="56"/>
  <c r="F3338" i="56" s="1"/>
  <c r="I3338" i="56"/>
  <c r="C3339" i="56"/>
  <c r="D3339" i="56" s="1"/>
  <c r="E3339" i="56"/>
  <c r="F3339" i="56" s="1"/>
  <c r="I3339" i="56"/>
  <c r="C3340" i="56"/>
  <c r="D3340" i="56" s="1"/>
  <c r="E3340" i="56"/>
  <c r="F3340" i="56" s="1"/>
  <c r="I3340" i="56"/>
  <c r="C3341" i="56"/>
  <c r="D3341" i="56" s="1"/>
  <c r="E3341" i="56"/>
  <c r="F3341" i="56" s="1"/>
  <c r="L3341" i="56"/>
  <c r="C3342" i="56"/>
  <c r="D3342" i="56" s="1"/>
  <c r="E3342" i="56"/>
  <c r="F3342" i="56" s="1"/>
  <c r="L3342" i="56"/>
  <c r="C3343" i="56"/>
  <c r="D3343" i="56" s="1"/>
  <c r="E3343" i="56"/>
  <c r="F3343" i="56" s="1"/>
  <c r="C3344" i="56"/>
  <c r="D3344" i="56" s="1"/>
  <c r="E3344" i="56"/>
  <c r="F3344" i="56" s="1"/>
  <c r="C3345" i="56"/>
  <c r="D3345" i="56" s="1"/>
  <c r="E3345" i="56"/>
  <c r="F3345" i="56" s="1"/>
  <c r="I3345" i="56"/>
  <c r="L3345" i="56"/>
  <c r="C3346" i="56"/>
  <c r="D3346" i="56" s="1"/>
  <c r="E3346" i="56"/>
  <c r="F3346" i="56" s="1"/>
  <c r="I3346" i="56"/>
  <c r="L3346" i="56"/>
  <c r="C3347" i="56"/>
  <c r="D3347" i="56" s="1"/>
  <c r="E3347" i="56"/>
  <c r="F3347" i="56" s="1"/>
  <c r="I3347" i="56"/>
  <c r="L3347" i="56"/>
  <c r="C3348" i="56"/>
  <c r="D3348" i="56" s="1"/>
  <c r="E3348" i="56"/>
  <c r="F3348" i="56" s="1"/>
  <c r="I3348" i="56"/>
  <c r="L3348" i="56"/>
  <c r="C3349" i="56"/>
  <c r="D3349" i="56" s="1"/>
  <c r="E3349" i="56"/>
  <c r="F3349" i="56" s="1"/>
  <c r="I3349" i="56"/>
  <c r="C3350" i="56"/>
  <c r="D3350" i="56" s="1"/>
  <c r="E3350" i="56"/>
  <c r="F3350" i="56" s="1"/>
  <c r="I3350" i="56"/>
  <c r="C3351" i="56"/>
  <c r="D3351" i="56" s="1"/>
  <c r="E3351" i="56"/>
  <c r="F3351" i="56" s="1"/>
  <c r="I3351" i="56"/>
  <c r="C3352" i="56"/>
  <c r="D3352" i="56" s="1"/>
  <c r="E3352" i="56"/>
  <c r="F3352" i="56" s="1"/>
  <c r="I3352" i="56"/>
  <c r="L3352" i="56"/>
  <c r="C3353" i="56"/>
  <c r="D3353" i="56" s="1"/>
  <c r="E3353" i="56"/>
  <c r="F3353" i="56" s="1"/>
  <c r="L3353" i="56"/>
  <c r="C3354" i="56"/>
  <c r="D3354" i="56" s="1"/>
  <c r="E3354" i="56"/>
  <c r="F3354" i="56" s="1"/>
  <c r="L3354" i="56"/>
  <c r="C3355" i="56"/>
  <c r="D3355" i="56" s="1"/>
  <c r="E3355" i="56"/>
  <c r="F3355" i="56" s="1"/>
  <c r="C3356" i="56"/>
  <c r="D3356" i="56" s="1"/>
  <c r="E3356" i="56"/>
  <c r="F3356" i="56" s="1"/>
  <c r="I3356" i="56"/>
  <c r="C3357" i="56"/>
  <c r="D3357" i="56" s="1"/>
  <c r="E3357" i="56"/>
  <c r="F3357" i="56" s="1"/>
  <c r="I3357" i="56"/>
  <c r="L3357" i="56"/>
  <c r="C3358" i="56"/>
  <c r="D3358" i="56" s="1"/>
  <c r="E3358" i="56"/>
  <c r="F3358" i="56" s="1"/>
  <c r="I3358" i="56"/>
  <c r="L3358" i="56"/>
  <c r="C3359" i="56"/>
  <c r="D3359" i="56" s="1"/>
  <c r="E3359" i="56"/>
  <c r="F3359" i="56" s="1"/>
  <c r="I3359" i="56"/>
  <c r="L3359" i="56"/>
  <c r="C3360" i="56"/>
  <c r="D3360" i="56" s="1"/>
  <c r="E3360" i="56"/>
  <c r="F3360" i="56" s="1"/>
  <c r="I3360" i="56"/>
  <c r="L3360" i="56"/>
  <c r="C3361" i="56"/>
  <c r="D3361" i="56" s="1"/>
  <c r="E3361" i="56"/>
  <c r="F3361" i="56" s="1"/>
  <c r="I3361" i="56"/>
  <c r="C3362" i="56"/>
  <c r="D3362" i="56" s="1"/>
  <c r="E3362" i="56"/>
  <c r="F3362" i="56" s="1"/>
  <c r="I3362" i="56"/>
  <c r="C3363" i="56"/>
  <c r="D3363" i="56" s="1"/>
  <c r="E3363" i="56"/>
  <c r="F3363" i="56" s="1"/>
  <c r="I3363" i="56"/>
  <c r="C3364" i="56"/>
  <c r="D3364" i="56" s="1"/>
  <c r="E3364" i="56"/>
  <c r="F3364" i="56" s="1"/>
  <c r="I3364" i="56"/>
  <c r="C3365" i="56"/>
  <c r="D3365" i="56" s="1"/>
  <c r="E3365" i="56"/>
  <c r="F3365" i="56" s="1"/>
  <c r="L3365" i="56"/>
  <c r="C3366" i="56"/>
  <c r="D3366" i="56" s="1"/>
  <c r="E3366" i="56"/>
  <c r="F3366" i="56" s="1"/>
  <c r="L3366" i="56"/>
  <c r="C3367" i="56"/>
  <c r="D3367" i="56" s="1"/>
  <c r="E3367" i="56"/>
  <c r="F3367" i="56" s="1"/>
  <c r="I3367" i="56"/>
  <c r="C3368" i="56"/>
  <c r="D3368" i="56" s="1"/>
  <c r="E3368" i="56"/>
  <c r="F3368" i="56" s="1"/>
  <c r="C3369" i="56"/>
  <c r="D3369" i="56" s="1"/>
  <c r="E3369" i="56"/>
  <c r="F3369" i="56" s="1"/>
  <c r="I3369" i="56"/>
  <c r="L3369" i="56"/>
  <c r="C3370" i="56"/>
  <c r="D3370" i="56" s="1"/>
  <c r="E3370" i="56"/>
  <c r="F3370" i="56" s="1"/>
  <c r="I3370" i="56"/>
  <c r="L3370" i="56"/>
  <c r="C3371" i="56"/>
  <c r="D3371" i="56" s="1"/>
  <c r="E3371" i="56"/>
  <c r="F3371" i="56" s="1"/>
  <c r="I3371" i="56"/>
  <c r="L3371" i="56"/>
  <c r="C3372" i="56"/>
  <c r="D3372" i="56" s="1"/>
  <c r="E3372" i="56"/>
  <c r="F3372" i="56" s="1"/>
  <c r="I3372" i="56"/>
  <c r="L3372" i="56"/>
  <c r="C3373" i="56"/>
  <c r="D3373" i="56" s="1"/>
  <c r="E3373" i="56"/>
  <c r="F3373" i="56" s="1"/>
  <c r="I3373" i="56"/>
  <c r="C3374" i="56"/>
  <c r="D3374" i="56" s="1"/>
  <c r="E3374" i="56"/>
  <c r="F3374" i="56" s="1"/>
  <c r="I3374" i="56"/>
  <c r="C3375" i="56"/>
  <c r="D3375" i="56" s="1"/>
  <c r="E3375" i="56"/>
  <c r="F3375" i="56" s="1"/>
  <c r="I3375" i="56"/>
  <c r="C3376" i="56"/>
  <c r="D3376" i="56" s="1"/>
  <c r="E3376" i="56"/>
  <c r="F3376" i="56" s="1"/>
  <c r="I3376" i="56"/>
  <c r="L3376" i="56"/>
  <c r="C3377" i="56"/>
  <c r="D3377" i="56" s="1"/>
  <c r="E3377" i="56"/>
  <c r="F3377" i="56" s="1"/>
  <c r="L3377" i="56"/>
  <c r="C3378" i="56"/>
  <c r="D3378" i="56" s="1"/>
  <c r="E3378" i="56"/>
  <c r="F3378" i="56" s="1"/>
  <c r="L3378" i="56"/>
  <c r="C3379" i="56"/>
  <c r="D3379" i="56" s="1"/>
  <c r="E3379" i="56"/>
  <c r="F3379" i="56" s="1"/>
  <c r="C3380" i="56"/>
  <c r="D3380" i="56" s="1"/>
  <c r="E3380" i="56"/>
  <c r="F3380" i="56" s="1"/>
  <c r="C3381" i="56"/>
  <c r="D3381" i="56" s="1"/>
  <c r="E3381" i="56"/>
  <c r="F3381" i="56" s="1"/>
  <c r="I3381" i="56"/>
  <c r="L3381" i="56"/>
  <c r="C3382" i="56"/>
  <c r="D3382" i="56" s="1"/>
  <c r="E3382" i="56"/>
  <c r="F3382" i="56" s="1"/>
  <c r="I3382" i="56"/>
  <c r="L3382" i="56"/>
  <c r="C3383" i="56"/>
  <c r="D3383" i="56" s="1"/>
  <c r="E3383" i="56"/>
  <c r="F3383" i="56" s="1"/>
  <c r="I3383" i="56"/>
  <c r="L3383" i="56"/>
  <c r="C3384" i="56"/>
  <c r="D3384" i="56" s="1"/>
  <c r="E3384" i="56"/>
  <c r="F3384" i="56" s="1"/>
  <c r="I3384" i="56"/>
  <c r="L3384" i="56"/>
  <c r="C3385" i="56"/>
  <c r="D3385" i="56" s="1"/>
  <c r="E3385" i="56"/>
  <c r="F3385" i="56" s="1"/>
  <c r="I3385" i="56"/>
  <c r="C3386" i="56"/>
  <c r="D3386" i="56" s="1"/>
  <c r="E3386" i="56"/>
  <c r="F3386" i="56" s="1"/>
  <c r="I3386" i="56"/>
  <c r="C3387" i="56"/>
  <c r="D3387" i="56" s="1"/>
  <c r="E3387" i="56"/>
  <c r="F3387" i="56" s="1"/>
  <c r="I3387" i="56"/>
  <c r="C3388" i="56"/>
  <c r="D3388" i="56" s="1"/>
  <c r="E3388" i="56"/>
  <c r="F3388" i="56" s="1"/>
  <c r="I3388" i="56"/>
  <c r="C3389" i="56"/>
  <c r="D3389" i="56" s="1"/>
  <c r="E3389" i="56"/>
  <c r="F3389" i="56" s="1"/>
  <c r="L3389" i="56"/>
  <c r="C3390" i="56"/>
  <c r="D3390" i="56" s="1"/>
  <c r="E3390" i="56"/>
  <c r="F3390" i="56" s="1"/>
  <c r="I3390" i="56"/>
  <c r="L3390" i="56"/>
  <c r="C3391" i="56"/>
  <c r="D3391" i="56" s="1"/>
  <c r="E3391" i="56"/>
  <c r="F3391" i="56" s="1"/>
  <c r="C3392" i="56"/>
  <c r="D3392" i="56" s="1"/>
  <c r="E3392" i="56"/>
  <c r="F3392" i="56" s="1"/>
  <c r="C3393" i="56"/>
  <c r="D3393" i="56" s="1"/>
  <c r="E3393" i="56"/>
  <c r="F3393" i="56" s="1"/>
  <c r="I3393" i="56"/>
  <c r="L3393" i="56"/>
  <c r="C3394" i="56"/>
  <c r="D3394" i="56" s="1"/>
  <c r="E3394" i="56"/>
  <c r="F3394" i="56" s="1"/>
  <c r="I3394" i="56"/>
  <c r="L3394" i="56"/>
  <c r="C3395" i="56"/>
  <c r="D3395" i="56" s="1"/>
  <c r="E3395" i="56"/>
  <c r="F3395" i="56" s="1"/>
  <c r="I3395" i="56"/>
  <c r="L3395" i="56"/>
  <c r="C3396" i="56"/>
  <c r="D3396" i="56" s="1"/>
  <c r="E3396" i="56"/>
  <c r="F3396" i="56" s="1"/>
  <c r="I3396" i="56"/>
  <c r="L3396" i="56"/>
  <c r="C3397" i="56"/>
  <c r="D3397" i="56" s="1"/>
  <c r="E3397" i="56"/>
  <c r="F3397" i="56" s="1"/>
  <c r="I3397" i="56"/>
  <c r="C3398" i="56"/>
  <c r="D3398" i="56" s="1"/>
  <c r="E3398" i="56"/>
  <c r="F3398" i="56" s="1"/>
  <c r="I3398" i="56"/>
  <c r="C3399" i="56"/>
  <c r="D3399" i="56" s="1"/>
  <c r="E3399" i="56"/>
  <c r="F3399" i="56" s="1"/>
  <c r="I3399" i="56"/>
  <c r="C3400" i="56"/>
  <c r="D3400" i="56" s="1"/>
  <c r="E3400" i="56"/>
  <c r="F3400" i="56" s="1"/>
  <c r="I3400" i="56"/>
  <c r="C3401" i="56"/>
  <c r="D3401" i="56" s="1"/>
  <c r="E3401" i="56"/>
  <c r="F3401" i="56" s="1"/>
  <c r="L3401" i="56"/>
  <c r="C3402" i="56"/>
  <c r="D3402" i="56" s="1"/>
  <c r="E3402" i="56"/>
  <c r="F3402" i="56" s="1"/>
  <c r="I3402" i="56"/>
  <c r="L3402" i="56"/>
  <c r="C3403" i="56"/>
  <c r="D3403" i="56" s="1"/>
  <c r="E3403" i="56"/>
  <c r="F3403" i="56" s="1"/>
  <c r="C3404" i="56"/>
  <c r="D3404" i="56" s="1"/>
  <c r="E3404" i="56"/>
  <c r="F3404" i="56" s="1"/>
  <c r="C3405" i="56"/>
  <c r="D3405" i="56" s="1"/>
  <c r="E3405" i="56"/>
  <c r="F3405" i="56" s="1"/>
  <c r="I3405" i="56"/>
  <c r="L3405" i="56"/>
  <c r="C3406" i="56"/>
  <c r="D3406" i="56" s="1"/>
  <c r="E3406" i="56"/>
  <c r="F3406" i="56" s="1"/>
  <c r="I3406" i="56"/>
  <c r="L3406" i="56"/>
  <c r="C3407" i="56"/>
  <c r="D3407" i="56" s="1"/>
  <c r="E3407" i="56"/>
  <c r="F3407" i="56" s="1"/>
  <c r="I3407" i="56"/>
  <c r="L3407" i="56"/>
  <c r="C3408" i="56"/>
  <c r="D3408" i="56"/>
  <c r="E3408" i="56"/>
  <c r="F3408" i="56" s="1"/>
  <c r="I3408" i="56"/>
  <c r="L3408" i="56"/>
  <c r="C3409" i="56"/>
  <c r="D3409" i="56" s="1"/>
  <c r="E3409" i="56"/>
  <c r="F3409" i="56" s="1"/>
  <c r="I3409" i="56"/>
  <c r="C3410" i="56"/>
  <c r="D3410" i="56" s="1"/>
  <c r="E3410" i="56"/>
  <c r="F3410" i="56" s="1"/>
  <c r="I3410" i="56"/>
  <c r="C3411" i="56"/>
  <c r="D3411" i="56" s="1"/>
  <c r="E3411" i="56"/>
  <c r="F3411" i="56"/>
  <c r="I3411" i="56"/>
  <c r="C3412" i="56"/>
  <c r="D3412" i="56" s="1"/>
  <c r="E3412" i="56"/>
  <c r="F3412" i="56" s="1"/>
  <c r="I3412" i="56"/>
  <c r="C3413" i="56"/>
  <c r="D3413" i="56" s="1"/>
  <c r="E3413" i="56"/>
  <c r="F3413" i="56" s="1"/>
  <c r="L3413" i="56"/>
  <c r="C3414" i="56"/>
  <c r="D3414" i="56" s="1"/>
  <c r="E3414" i="56"/>
  <c r="F3414" i="56" s="1"/>
  <c r="L3414" i="56"/>
  <c r="C3415" i="56"/>
  <c r="D3415" i="56" s="1"/>
  <c r="E3415" i="56"/>
  <c r="F3415" i="56" s="1"/>
  <c r="I3415" i="56"/>
  <c r="C3416" i="56"/>
  <c r="D3416" i="56" s="1"/>
  <c r="E3416" i="56"/>
  <c r="F3416" i="56" s="1"/>
  <c r="C3417" i="56"/>
  <c r="D3417" i="56" s="1"/>
  <c r="E3417" i="56"/>
  <c r="F3417" i="56" s="1"/>
  <c r="I3417" i="56"/>
  <c r="L3417" i="56"/>
  <c r="C3418" i="56"/>
  <c r="D3418" i="56" s="1"/>
  <c r="E3418" i="56"/>
  <c r="F3418" i="56" s="1"/>
  <c r="I3418" i="56"/>
  <c r="L3418" i="56"/>
  <c r="C3419" i="56"/>
  <c r="D3419" i="56" s="1"/>
  <c r="E3419" i="56"/>
  <c r="F3419" i="56" s="1"/>
  <c r="I3419" i="56"/>
  <c r="L3419" i="56"/>
  <c r="C3420" i="56"/>
  <c r="D3420" i="56" s="1"/>
  <c r="E3420" i="56"/>
  <c r="F3420" i="56" s="1"/>
  <c r="I3420" i="56"/>
  <c r="L3420" i="56"/>
  <c r="C3421" i="56"/>
  <c r="D3421" i="56" s="1"/>
  <c r="E3421" i="56"/>
  <c r="F3421" i="56" s="1"/>
  <c r="I3421" i="56"/>
  <c r="C3422" i="56"/>
  <c r="D3422" i="56" s="1"/>
  <c r="E3422" i="56"/>
  <c r="F3422" i="56" s="1"/>
  <c r="I3422" i="56"/>
  <c r="C3423" i="56"/>
  <c r="D3423" i="56" s="1"/>
  <c r="E3423" i="56"/>
  <c r="F3423" i="56" s="1"/>
  <c r="I3423" i="56"/>
  <c r="C3424" i="56"/>
  <c r="D3424" i="56" s="1"/>
  <c r="E3424" i="56"/>
  <c r="F3424" i="56" s="1"/>
  <c r="I3424" i="56"/>
  <c r="C3425" i="56"/>
  <c r="D3425" i="56" s="1"/>
  <c r="E3425" i="56"/>
  <c r="F3425" i="56" s="1"/>
  <c r="L3425" i="56"/>
  <c r="C3426" i="56"/>
  <c r="D3426" i="56" s="1"/>
  <c r="E3426" i="56"/>
  <c r="F3426" i="56" s="1"/>
  <c r="I3426" i="56"/>
  <c r="L3426" i="56"/>
  <c r="C3427" i="56"/>
  <c r="D3427" i="56" s="1"/>
  <c r="E3427" i="56"/>
  <c r="F3427" i="56" s="1"/>
  <c r="C3428" i="56"/>
  <c r="D3428" i="56" s="1"/>
  <c r="E3428" i="56"/>
  <c r="F3428" i="56" s="1"/>
  <c r="C3429" i="56"/>
  <c r="D3429" i="56" s="1"/>
  <c r="E3429" i="56"/>
  <c r="F3429" i="56" s="1"/>
  <c r="I3429" i="56"/>
  <c r="L3429" i="56"/>
  <c r="C3430" i="56"/>
  <c r="D3430" i="56" s="1"/>
  <c r="E3430" i="56"/>
  <c r="F3430" i="56" s="1"/>
  <c r="I3430" i="56"/>
  <c r="L3430" i="56"/>
  <c r="C3431" i="56"/>
  <c r="D3431" i="56" s="1"/>
  <c r="E3431" i="56"/>
  <c r="F3431" i="56" s="1"/>
  <c r="I3431" i="56"/>
  <c r="L3431" i="56"/>
  <c r="C3432" i="56"/>
  <c r="D3432" i="56" s="1"/>
  <c r="E3432" i="56"/>
  <c r="F3432" i="56" s="1"/>
  <c r="I3432" i="56"/>
  <c r="L3432" i="56"/>
  <c r="C3433" i="56"/>
  <c r="D3433" i="56" s="1"/>
  <c r="E3433" i="56"/>
  <c r="F3433" i="56" s="1"/>
  <c r="I3433" i="56"/>
  <c r="C3434" i="56"/>
  <c r="D3434" i="56" s="1"/>
  <c r="E3434" i="56"/>
  <c r="F3434" i="56" s="1"/>
  <c r="I3434" i="56"/>
  <c r="C3435" i="56"/>
  <c r="D3435" i="56" s="1"/>
  <c r="E3435" i="56"/>
  <c r="F3435" i="56" s="1"/>
  <c r="I3435" i="56"/>
  <c r="C3436" i="56"/>
  <c r="D3436" i="56" s="1"/>
  <c r="E3436" i="56"/>
  <c r="F3436" i="56" s="1"/>
  <c r="I3436" i="56"/>
  <c r="C3437" i="56"/>
  <c r="D3437" i="56" s="1"/>
  <c r="E3437" i="56"/>
  <c r="F3437" i="56" s="1"/>
  <c r="L3437" i="56"/>
  <c r="C3438" i="56"/>
  <c r="D3438" i="56" s="1"/>
  <c r="E3438" i="56"/>
  <c r="F3438" i="56" s="1"/>
  <c r="L3438" i="56"/>
  <c r="C3439" i="56"/>
  <c r="D3439" i="56" s="1"/>
  <c r="E3439" i="56"/>
  <c r="F3439" i="56" s="1"/>
  <c r="I3439" i="56"/>
  <c r="C3440" i="56"/>
  <c r="D3440" i="56" s="1"/>
  <c r="E3440" i="56"/>
  <c r="F3440" i="56" s="1"/>
  <c r="C3441" i="56"/>
  <c r="D3441" i="56" s="1"/>
  <c r="E3441" i="56"/>
  <c r="F3441" i="56" s="1"/>
  <c r="I3441" i="56"/>
  <c r="C3442" i="56"/>
  <c r="D3442" i="56" s="1"/>
  <c r="E3442" i="56"/>
  <c r="F3442" i="56" s="1"/>
  <c r="I3442" i="56"/>
  <c r="L3442" i="56"/>
  <c r="C3443" i="56"/>
  <c r="D3443" i="56" s="1"/>
  <c r="E3443" i="56"/>
  <c r="F3443" i="56" s="1"/>
  <c r="I3443" i="56"/>
  <c r="L3443" i="56"/>
  <c r="C3444" i="56"/>
  <c r="D3444" i="56" s="1"/>
  <c r="E3444" i="56"/>
  <c r="F3444" i="56" s="1"/>
  <c r="I3444" i="56"/>
  <c r="L3444" i="56"/>
  <c r="C3445" i="56"/>
  <c r="D3445" i="56" s="1"/>
  <c r="E3445" i="56"/>
  <c r="F3445" i="56" s="1"/>
  <c r="I3445" i="56"/>
  <c r="C3446" i="56"/>
  <c r="D3446" i="56" s="1"/>
  <c r="E3446" i="56"/>
  <c r="F3446" i="56" s="1"/>
  <c r="I3446" i="56"/>
  <c r="C3447" i="56"/>
  <c r="D3447" i="56" s="1"/>
  <c r="E3447" i="56"/>
  <c r="F3447" i="56" s="1"/>
  <c r="I3447" i="56"/>
  <c r="C3448" i="56"/>
  <c r="D3448" i="56" s="1"/>
  <c r="E3448" i="56"/>
  <c r="F3448" i="56" s="1"/>
  <c r="I3448" i="56"/>
  <c r="C3449" i="56"/>
  <c r="D3449" i="56" s="1"/>
  <c r="E3449" i="56"/>
  <c r="F3449" i="56" s="1"/>
  <c r="L3449" i="56"/>
  <c r="C3450" i="56"/>
  <c r="D3450" i="56" s="1"/>
  <c r="E3450" i="56"/>
  <c r="F3450" i="56" s="1"/>
  <c r="L3450" i="56"/>
  <c r="C3451" i="56"/>
  <c r="D3451" i="56" s="1"/>
  <c r="E3451" i="56"/>
  <c r="F3451" i="56" s="1"/>
  <c r="I3451" i="56"/>
  <c r="C3452" i="56"/>
  <c r="D3452" i="56" s="1"/>
  <c r="E3452" i="56"/>
  <c r="F3452" i="56"/>
  <c r="C3453" i="56"/>
  <c r="D3453" i="56" s="1"/>
  <c r="E3453" i="56"/>
  <c r="F3453" i="56" s="1"/>
  <c r="I3453" i="56"/>
  <c r="L3453" i="56"/>
  <c r="C3454" i="56"/>
  <c r="D3454" i="56" s="1"/>
  <c r="E3454" i="56"/>
  <c r="F3454" i="56" s="1"/>
  <c r="I3454" i="56"/>
  <c r="L3454" i="56"/>
  <c r="C3455" i="56"/>
  <c r="D3455" i="56" s="1"/>
  <c r="E3455" i="56"/>
  <c r="F3455" i="56" s="1"/>
  <c r="I3455" i="56"/>
  <c r="L3455" i="56"/>
  <c r="C3456" i="56"/>
  <c r="D3456" i="56" s="1"/>
  <c r="E3456" i="56"/>
  <c r="F3456" i="56" s="1"/>
  <c r="I3456" i="56"/>
  <c r="L3456" i="56"/>
  <c r="C3457" i="56"/>
  <c r="D3457" i="56" s="1"/>
  <c r="E3457" i="56"/>
  <c r="F3457" i="56" s="1"/>
  <c r="I3457" i="56"/>
  <c r="C3458" i="56"/>
  <c r="D3458" i="56" s="1"/>
  <c r="E3458" i="56"/>
  <c r="F3458" i="56" s="1"/>
  <c r="I3458" i="56"/>
  <c r="C3459" i="56"/>
  <c r="D3459" i="56" s="1"/>
  <c r="E3459" i="56"/>
  <c r="F3459" i="56" s="1"/>
  <c r="I3459" i="56"/>
  <c r="C3460" i="56"/>
  <c r="D3460" i="56" s="1"/>
  <c r="E3460" i="56"/>
  <c r="F3460" i="56" s="1"/>
  <c r="I3460" i="56"/>
  <c r="C3461" i="56"/>
  <c r="D3461" i="56" s="1"/>
  <c r="E3461" i="56"/>
  <c r="F3461" i="56" s="1"/>
  <c r="L3461" i="56"/>
  <c r="C3462" i="56"/>
  <c r="D3462" i="56" s="1"/>
  <c r="E3462" i="56"/>
  <c r="F3462" i="56" s="1"/>
  <c r="L3462" i="56"/>
  <c r="C3463" i="56"/>
  <c r="D3463" i="56" s="1"/>
  <c r="E3463" i="56"/>
  <c r="F3463" i="56" s="1"/>
  <c r="C3464" i="56"/>
  <c r="D3464" i="56" s="1"/>
  <c r="E3464" i="56"/>
  <c r="F3464" i="56" s="1"/>
  <c r="C3465" i="56"/>
  <c r="D3465" i="56" s="1"/>
  <c r="E3465" i="56"/>
  <c r="F3465" i="56" s="1"/>
  <c r="I3465" i="56"/>
  <c r="L3465" i="56"/>
  <c r="C3466" i="56"/>
  <c r="D3466" i="56" s="1"/>
  <c r="E3466" i="56"/>
  <c r="F3466" i="56" s="1"/>
  <c r="I3466" i="56"/>
  <c r="L3466" i="56"/>
  <c r="C3467" i="56"/>
  <c r="D3467" i="56" s="1"/>
  <c r="E3467" i="56"/>
  <c r="F3467" i="56" s="1"/>
  <c r="I3467" i="56"/>
  <c r="L3467" i="56"/>
  <c r="C3468" i="56"/>
  <c r="D3468" i="56" s="1"/>
  <c r="E3468" i="56"/>
  <c r="F3468" i="56" s="1"/>
  <c r="I3468" i="56"/>
  <c r="L3468" i="56"/>
  <c r="C3469" i="56"/>
  <c r="D3469" i="56" s="1"/>
  <c r="E3469" i="56"/>
  <c r="F3469" i="56" s="1"/>
  <c r="I3469" i="56"/>
  <c r="C3470" i="56"/>
  <c r="D3470" i="56" s="1"/>
  <c r="E3470" i="56"/>
  <c r="F3470" i="56" s="1"/>
  <c r="I3470" i="56"/>
  <c r="C3471" i="56"/>
  <c r="D3471" i="56" s="1"/>
  <c r="E3471" i="56"/>
  <c r="F3471" i="56" s="1"/>
  <c r="I3471" i="56"/>
  <c r="C3472" i="56"/>
  <c r="D3472" i="56" s="1"/>
  <c r="E3472" i="56"/>
  <c r="F3472" i="56" s="1"/>
  <c r="I3472" i="56"/>
  <c r="C3473" i="56"/>
  <c r="D3473" i="56" s="1"/>
  <c r="E3473" i="56"/>
  <c r="F3473" i="56" s="1"/>
  <c r="L3473" i="56"/>
  <c r="C3474" i="56"/>
  <c r="D3474" i="56" s="1"/>
  <c r="E3474" i="56"/>
  <c r="F3474" i="56" s="1"/>
  <c r="L3474" i="56"/>
  <c r="C3475" i="56"/>
  <c r="D3475" i="56" s="1"/>
  <c r="E3475" i="56"/>
  <c r="F3475" i="56" s="1"/>
  <c r="I3475" i="56"/>
  <c r="C3476" i="56"/>
  <c r="D3476" i="56" s="1"/>
  <c r="E3476" i="56"/>
  <c r="F3476" i="56" s="1"/>
  <c r="C3477" i="56"/>
  <c r="D3477" i="56" s="1"/>
  <c r="E3477" i="56"/>
  <c r="F3477" i="56" s="1"/>
  <c r="I3477" i="56"/>
  <c r="C3478" i="56"/>
  <c r="D3478" i="56" s="1"/>
  <c r="E3478" i="56"/>
  <c r="F3478" i="56" s="1"/>
  <c r="I3478" i="56"/>
  <c r="L3478" i="56"/>
  <c r="C3479" i="56"/>
  <c r="D3479" i="56" s="1"/>
  <c r="E3479" i="56"/>
  <c r="F3479" i="56" s="1"/>
  <c r="I3479" i="56"/>
  <c r="L3479" i="56"/>
  <c r="C3480" i="56"/>
  <c r="D3480" i="56" s="1"/>
  <c r="E3480" i="56"/>
  <c r="F3480" i="56" s="1"/>
  <c r="I3480" i="56"/>
  <c r="L3480" i="56"/>
  <c r="C3481" i="56"/>
  <c r="D3481" i="56" s="1"/>
  <c r="E3481" i="56"/>
  <c r="F3481" i="56" s="1"/>
  <c r="I3481" i="56"/>
  <c r="C3482" i="56"/>
  <c r="D3482" i="56" s="1"/>
  <c r="E3482" i="56"/>
  <c r="F3482" i="56" s="1"/>
  <c r="I3482" i="56"/>
  <c r="C3483" i="56"/>
  <c r="D3483" i="56" s="1"/>
  <c r="E3483" i="56"/>
  <c r="F3483" i="56" s="1"/>
  <c r="I3483" i="56"/>
  <c r="C3484" i="56"/>
  <c r="D3484" i="56" s="1"/>
  <c r="E3484" i="56"/>
  <c r="F3484" i="56" s="1"/>
  <c r="I3484" i="56"/>
  <c r="C3485" i="56"/>
  <c r="D3485" i="56" s="1"/>
  <c r="E3485" i="56"/>
  <c r="F3485" i="56" s="1"/>
  <c r="L3485" i="56"/>
  <c r="C3486" i="56"/>
  <c r="D3486" i="56" s="1"/>
  <c r="E3486" i="56"/>
  <c r="F3486" i="56" s="1"/>
  <c r="I3486" i="56"/>
  <c r="L3486" i="56"/>
  <c r="C3487" i="56"/>
  <c r="D3487" i="56" s="1"/>
  <c r="E3487" i="56"/>
  <c r="F3487" i="56" s="1"/>
  <c r="C3488" i="56"/>
  <c r="D3488" i="56" s="1"/>
  <c r="E3488" i="56"/>
  <c r="F3488" i="56" s="1"/>
  <c r="C3489" i="56"/>
  <c r="D3489" i="56" s="1"/>
  <c r="E3489" i="56"/>
  <c r="F3489" i="56" s="1"/>
  <c r="I3489" i="56"/>
  <c r="L3489" i="56"/>
  <c r="C3490" i="56"/>
  <c r="D3490" i="56" s="1"/>
  <c r="E3490" i="56"/>
  <c r="F3490" i="56" s="1"/>
  <c r="I3490" i="56"/>
  <c r="L3490" i="56"/>
  <c r="C3491" i="56"/>
  <c r="D3491" i="56" s="1"/>
  <c r="E3491" i="56"/>
  <c r="F3491" i="56" s="1"/>
  <c r="I3491" i="56"/>
  <c r="L3491" i="56"/>
  <c r="C3492" i="56"/>
  <c r="D3492" i="56" s="1"/>
  <c r="E3492" i="56"/>
  <c r="F3492" i="56" s="1"/>
  <c r="I3492" i="56"/>
  <c r="L3492" i="56"/>
  <c r="C3493" i="56"/>
  <c r="D3493" i="56" s="1"/>
  <c r="E3493" i="56"/>
  <c r="F3493" i="56" s="1"/>
  <c r="I3493" i="56"/>
  <c r="C3494" i="56"/>
  <c r="D3494" i="56" s="1"/>
  <c r="E3494" i="56"/>
  <c r="F3494" i="56" s="1"/>
  <c r="I3494" i="56"/>
  <c r="C3495" i="56"/>
  <c r="D3495" i="56" s="1"/>
  <c r="E3495" i="56"/>
  <c r="F3495" i="56" s="1"/>
  <c r="I3495" i="56"/>
  <c r="C3496" i="56"/>
  <c r="D3496" i="56" s="1"/>
  <c r="E3496" i="56"/>
  <c r="F3496" i="56" s="1"/>
  <c r="I3496" i="56"/>
  <c r="C3497" i="56"/>
  <c r="D3497" i="56" s="1"/>
  <c r="E3497" i="56"/>
  <c r="F3497" i="56" s="1"/>
  <c r="L3497" i="56"/>
  <c r="C3498" i="56"/>
  <c r="D3498" i="56" s="1"/>
  <c r="E3498" i="56"/>
  <c r="F3498" i="56" s="1"/>
  <c r="I3498" i="56"/>
  <c r="L3498" i="56"/>
  <c r="C3499" i="56"/>
  <c r="D3499" i="56" s="1"/>
  <c r="E3499" i="56"/>
  <c r="F3499" i="56" s="1"/>
  <c r="C3500" i="56"/>
  <c r="D3500" i="56" s="1"/>
  <c r="E3500" i="56"/>
  <c r="F3500" i="56" s="1"/>
  <c r="C3501" i="56"/>
  <c r="D3501" i="56" s="1"/>
  <c r="E3501" i="56"/>
  <c r="F3501" i="56" s="1"/>
  <c r="I3501" i="56"/>
  <c r="L3501" i="56"/>
  <c r="C3502" i="56"/>
  <c r="D3502" i="56" s="1"/>
  <c r="E3502" i="56"/>
  <c r="F3502" i="56" s="1"/>
  <c r="I3502" i="56"/>
  <c r="L3502" i="56"/>
  <c r="C3503" i="56"/>
  <c r="D3503" i="56" s="1"/>
  <c r="E3503" i="56"/>
  <c r="F3503" i="56" s="1"/>
  <c r="I3503" i="56"/>
  <c r="L3503" i="56"/>
  <c r="C3504" i="56"/>
  <c r="D3504" i="56" s="1"/>
  <c r="E3504" i="56"/>
  <c r="F3504" i="56" s="1"/>
  <c r="I3504" i="56"/>
  <c r="L3504" i="56"/>
  <c r="C3505" i="56"/>
  <c r="D3505" i="56" s="1"/>
  <c r="E3505" i="56"/>
  <c r="F3505" i="56" s="1"/>
  <c r="I3505" i="56"/>
  <c r="C3506" i="56"/>
  <c r="D3506" i="56" s="1"/>
  <c r="E3506" i="56"/>
  <c r="F3506" i="56" s="1"/>
  <c r="I3506" i="56"/>
  <c r="C3507" i="56"/>
  <c r="D3507" i="56" s="1"/>
  <c r="E3507" i="56"/>
  <c r="F3507" i="56" s="1"/>
  <c r="I3507" i="56"/>
  <c r="C3508" i="56"/>
  <c r="D3508" i="56" s="1"/>
  <c r="E3508" i="56"/>
  <c r="F3508" i="56" s="1"/>
  <c r="I3508" i="56"/>
  <c r="C3509" i="56"/>
  <c r="D3509" i="56" s="1"/>
  <c r="E3509" i="56"/>
  <c r="F3509" i="56" s="1"/>
  <c r="L3509" i="56"/>
  <c r="C3510" i="56"/>
  <c r="D3510" i="56" s="1"/>
  <c r="E3510" i="56"/>
  <c r="F3510" i="56" s="1"/>
  <c r="I3510" i="56"/>
  <c r="L3510" i="56"/>
  <c r="C3511" i="56"/>
  <c r="D3511" i="56" s="1"/>
  <c r="E3511" i="56"/>
  <c r="F3511" i="56" s="1"/>
  <c r="C3512" i="56"/>
  <c r="D3512" i="56" s="1"/>
  <c r="E3512" i="56"/>
  <c r="F3512" i="56" s="1"/>
  <c r="C3513" i="56"/>
  <c r="D3513" i="56" s="1"/>
  <c r="E3513" i="56"/>
  <c r="F3513" i="56" s="1"/>
  <c r="I3513" i="56"/>
  <c r="L3513" i="56"/>
  <c r="C3514" i="56"/>
  <c r="D3514" i="56" s="1"/>
  <c r="E3514" i="56"/>
  <c r="F3514" i="56" s="1"/>
  <c r="I3514" i="56"/>
  <c r="L3514" i="56"/>
  <c r="C3515" i="56"/>
  <c r="D3515" i="56" s="1"/>
  <c r="E3515" i="56"/>
  <c r="F3515" i="56" s="1"/>
  <c r="I3515" i="56"/>
  <c r="L3515" i="56"/>
  <c r="C3516" i="56"/>
  <c r="D3516" i="56" s="1"/>
  <c r="E3516" i="56"/>
  <c r="F3516" i="56" s="1"/>
  <c r="I3516" i="56"/>
  <c r="L3516" i="56"/>
  <c r="C3517" i="56"/>
  <c r="D3517" i="56" s="1"/>
  <c r="E3517" i="56"/>
  <c r="F3517" i="56" s="1"/>
  <c r="I3517" i="56"/>
  <c r="C3518" i="56"/>
  <c r="D3518" i="56" s="1"/>
  <c r="E3518" i="56"/>
  <c r="F3518" i="56" s="1"/>
  <c r="I3518" i="56"/>
  <c r="C3519" i="56"/>
  <c r="D3519" i="56" s="1"/>
  <c r="E3519" i="56"/>
  <c r="F3519" i="56" s="1"/>
  <c r="I3519" i="56"/>
  <c r="C3520" i="56"/>
  <c r="D3520" i="56" s="1"/>
  <c r="E3520" i="56"/>
  <c r="F3520" i="56" s="1"/>
  <c r="I3520" i="56"/>
  <c r="C3521" i="56"/>
  <c r="D3521" i="56" s="1"/>
  <c r="E3521" i="56"/>
  <c r="F3521" i="56" s="1"/>
  <c r="L3521" i="56"/>
  <c r="C3522" i="56"/>
  <c r="D3522" i="56" s="1"/>
  <c r="E3522" i="56"/>
  <c r="F3522" i="56" s="1"/>
  <c r="I3522" i="56"/>
  <c r="L3522" i="56"/>
  <c r="C3523" i="56"/>
  <c r="D3523" i="56" s="1"/>
  <c r="E3523" i="56"/>
  <c r="F3523" i="56" s="1"/>
  <c r="C3524" i="56"/>
  <c r="D3524" i="56" s="1"/>
  <c r="E3524" i="56"/>
  <c r="F3524" i="56" s="1"/>
  <c r="C3525" i="56"/>
  <c r="D3525" i="56" s="1"/>
  <c r="E3525" i="56"/>
  <c r="F3525" i="56" s="1"/>
  <c r="I3525" i="56"/>
  <c r="L3525" i="56"/>
  <c r="C3526" i="56"/>
  <c r="D3526" i="56" s="1"/>
  <c r="E3526" i="56"/>
  <c r="F3526" i="56" s="1"/>
  <c r="I3526" i="56"/>
  <c r="L3526" i="56"/>
  <c r="C3527" i="56"/>
  <c r="D3527" i="56" s="1"/>
  <c r="E3527" i="56"/>
  <c r="F3527" i="56" s="1"/>
  <c r="I3527" i="56"/>
  <c r="L3527" i="56"/>
  <c r="C3528" i="56"/>
  <c r="D3528" i="56" s="1"/>
  <c r="E3528" i="56"/>
  <c r="F3528" i="56" s="1"/>
  <c r="I3528" i="56"/>
  <c r="L3528" i="56"/>
  <c r="C3529" i="56"/>
  <c r="D3529" i="56" s="1"/>
  <c r="E3529" i="56"/>
  <c r="F3529" i="56" s="1"/>
  <c r="I3529" i="56"/>
  <c r="C3530" i="56"/>
  <c r="D3530" i="56" s="1"/>
  <c r="E3530" i="56"/>
  <c r="F3530" i="56" s="1"/>
  <c r="I3530" i="56"/>
  <c r="C3531" i="56"/>
  <c r="D3531" i="56" s="1"/>
  <c r="E3531" i="56"/>
  <c r="F3531" i="56" s="1"/>
  <c r="I3531" i="56"/>
  <c r="C3532" i="56"/>
  <c r="D3532" i="56" s="1"/>
  <c r="E3532" i="56"/>
  <c r="F3532" i="56" s="1"/>
  <c r="I3532" i="56"/>
  <c r="C3533" i="56"/>
  <c r="D3533" i="56" s="1"/>
  <c r="E3533" i="56"/>
  <c r="F3533" i="56" s="1"/>
  <c r="L3533" i="56"/>
  <c r="C3534" i="56"/>
  <c r="D3534" i="56" s="1"/>
  <c r="E3534" i="56"/>
  <c r="F3534" i="56" s="1"/>
  <c r="L3534" i="56"/>
  <c r="C3535" i="56"/>
  <c r="D3535" i="56" s="1"/>
  <c r="E3535" i="56"/>
  <c r="F3535" i="56" s="1"/>
  <c r="I3535" i="56"/>
  <c r="C3536" i="56"/>
  <c r="D3536" i="56" s="1"/>
  <c r="E3536" i="56"/>
  <c r="F3536" i="56" s="1"/>
  <c r="C3537" i="56"/>
  <c r="D3537" i="56" s="1"/>
  <c r="E3537" i="56"/>
  <c r="F3537" i="56" s="1"/>
  <c r="I3537" i="56"/>
  <c r="L3537" i="56"/>
  <c r="C3538" i="56"/>
  <c r="D3538" i="56" s="1"/>
  <c r="E3538" i="56"/>
  <c r="F3538" i="56" s="1"/>
  <c r="I3538" i="56"/>
  <c r="L3538" i="56"/>
  <c r="C3539" i="56"/>
  <c r="D3539" i="56" s="1"/>
  <c r="E3539" i="56"/>
  <c r="F3539" i="56" s="1"/>
  <c r="I3539" i="56"/>
  <c r="L3539" i="56"/>
  <c r="C3540" i="56"/>
  <c r="D3540" i="56"/>
  <c r="E3540" i="56"/>
  <c r="F3540" i="56" s="1"/>
  <c r="I3540" i="56"/>
  <c r="L3540" i="56"/>
  <c r="C3541" i="56"/>
  <c r="D3541" i="56" s="1"/>
  <c r="E3541" i="56"/>
  <c r="F3541" i="56"/>
  <c r="I3541" i="56"/>
  <c r="C3542" i="56"/>
  <c r="D3542" i="56" s="1"/>
  <c r="E3542" i="56"/>
  <c r="F3542" i="56" s="1"/>
  <c r="I3542" i="56"/>
  <c r="C3543" i="56"/>
  <c r="D3543" i="56" s="1"/>
  <c r="E3543" i="56"/>
  <c r="F3543" i="56" s="1"/>
  <c r="I3543" i="56"/>
  <c r="C3544" i="56"/>
  <c r="D3544" i="56" s="1"/>
  <c r="E3544" i="56"/>
  <c r="F3544" i="56" s="1"/>
  <c r="I3544" i="56"/>
  <c r="C3545" i="56"/>
  <c r="D3545" i="56" s="1"/>
  <c r="E3545" i="56"/>
  <c r="F3545" i="56" s="1"/>
  <c r="L3545" i="56"/>
  <c r="C3546" i="56"/>
  <c r="D3546" i="56" s="1"/>
  <c r="E3546" i="56"/>
  <c r="F3546" i="56" s="1"/>
  <c r="I3546" i="56"/>
  <c r="L3546" i="56"/>
  <c r="C3547" i="56"/>
  <c r="D3547" i="56" s="1"/>
  <c r="E3547" i="56"/>
  <c r="F3547" i="56" s="1"/>
  <c r="I3547" i="56"/>
  <c r="C3548" i="56"/>
  <c r="D3548" i="56" s="1"/>
  <c r="E3548" i="56"/>
  <c r="F3548" i="56" s="1"/>
  <c r="C3549" i="56"/>
  <c r="D3549" i="56" s="1"/>
  <c r="E3549" i="56"/>
  <c r="F3549" i="56" s="1"/>
  <c r="I3549" i="56"/>
  <c r="L3549" i="56"/>
  <c r="C3550" i="56"/>
  <c r="D3550" i="56" s="1"/>
  <c r="E3550" i="56"/>
  <c r="F3550" i="56" s="1"/>
  <c r="I3550" i="56"/>
  <c r="L3550" i="56"/>
  <c r="C3551" i="56"/>
  <c r="D3551" i="56" s="1"/>
  <c r="E3551" i="56"/>
  <c r="F3551" i="56" s="1"/>
  <c r="I3551" i="56"/>
  <c r="L3551" i="56"/>
  <c r="C3552" i="56"/>
  <c r="D3552" i="56" s="1"/>
  <c r="E3552" i="56"/>
  <c r="F3552" i="56" s="1"/>
  <c r="I3552" i="56"/>
  <c r="L3552" i="56"/>
  <c r="C3553" i="56"/>
  <c r="D3553" i="56" s="1"/>
  <c r="E3553" i="56"/>
  <c r="F3553" i="56" s="1"/>
  <c r="I3553" i="56"/>
  <c r="C3554" i="56"/>
  <c r="D3554" i="56" s="1"/>
  <c r="E3554" i="56"/>
  <c r="F3554" i="56" s="1"/>
  <c r="I3554" i="56"/>
  <c r="C3555" i="56"/>
  <c r="D3555" i="56" s="1"/>
  <c r="E3555" i="56"/>
  <c r="F3555" i="56" s="1"/>
  <c r="I3555" i="56"/>
  <c r="C3556" i="56"/>
  <c r="D3556" i="56" s="1"/>
  <c r="E3556" i="56"/>
  <c r="F3556" i="56" s="1"/>
  <c r="I3556" i="56"/>
  <c r="C3557" i="56"/>
  <c r="D3557" i="56" s="1"/>
  <c r="E3557" i="56"/>
  <c r="F3557" i="56" s="1"/>
  <c r="L3557" i="56"/>
  <c r="C3558" i="56"/>
  <c r="D3558" i="56" s="1"/>
  <c r="E3558" i="56"/>
  <c r="F3558" i="56" s="1"/>
  <c r="I3558" i="56"/>
  <c r="L3558" i="56"/>
  <c r="C3559" i="56"/>
  <c r="D3559" i="56" s="1"/>
  <c r="E3559" i="56"/>
  <c r="F3559" i="56" s="1"/>
  <c r="C3560" i="56"/>
  <c r="D3560" i="56" s="1"/>
  <c r="E3560" i="56"/>
  <c r="F3560" i="56" s="1"/>
  <c r="C3561" i="56"/>
  <c r="D3561" i="56" s="1"/>
  <c r="E3561" i="56"/>
  <c r="F3561" i="56" s="1"/>
  <c r="I3561" i="56"/>
  <c r="L3561" i="56"/>
  <c r="C3562" i="56"/>
  <c r="D3562" i="56" s="1"/>
  <c r="E3562" i="56"/>
  <c r="F3562" i="56" s="1"/>
  <c r="I3562" i="56"/>
  <c r="C3563" i="56"/>
  <c r="D3563" i="56" s="1"/>
  <c r="E3563" i="56"/>
  <c r="F3563" i="56" s="1"/>
  <c r="I3563" i="56"/>
  <c r="L3563" i="56"/>
  <c r="C3564" i="56"/>
  <c r="D3564" i="56" s="1"/>
  <c r="E3564" i="56"/>
  <c r="F3564" i="56" s="1"/>
  <c r="I3564" i="56"/>
  <c r="L3564" i="56"/>
  <c r="C3565" i="56"/>
  <c r="D3565" i="56" s="1"/>
  <c r="E3565" i="56"/>
  <c r="F3565" i="56" s="1"/>
  <c r="I3565" i="56"/>
  <c r="C3566" i="56"/>
  <c r="D3566" i="56" s="1"/>
  <c r="E3566" i="56"/>
  <c r="F3566" i="56" s="1"/>
  <c r="I3566" i="56"/>
  <c r="C3567" i="56"/>
  <c r="D3567" i="56" s="1"/>
  <c r="E3567" i="56"/>
  <c r="F3567" i="56" s="1"/>
  <c r="I3567" i="56"/>
  <c r="C3568" i="56"/>
  <c r="D3568" i="56" s="1"/>
  <c r="E3568" i="56"/>
  <c r="F3568" i="56" s="1"/>
  <c r="I3568" i="56"/>
  <c r="C3569" i="56"/>
  <c r="D3569" i="56" s="1"/>
  <c r="E3569" i="56"/>
  <c r="F3569" i="56" s="1"/>
  <c r="L3569" i="56"/>
  <c r="C3570" i="56"/>
  <c r="D3570" i="56" s="1"/>
  <c r="E3570" i="56"/>
  <c r="F3570" i="56" s="1"/>
  <c r="L3570" i="56"/>
  <c r="C3571" i="56"/>
  <c r="D3571" i="56" s="1"/>
  <c r="E3571" i="56"/>
  <c r="F3571" i="56" s="1"/>
  <c r="I3571" i="56"/>
  <c r="C3572" i="56"/>
  <c r="D3572" i="56" s="1"/>
  <c r="E3572" i="56"/>
  <c r="F3572" i="56" s="1"/>
  <c r="C3573" i="56"/>
  <c r="D3573" i="56" s="1"/>
  <c r="E3573" i="56"/>
  <c r="F3573" i="56" s="1"/>
  <c r="I3573" i="56"/>
  <c r="L3573" i="56"/>
  <c r="C3574" i="56"/>
  <c r="D3574" i="56" s="1"/>
  <c r="E3574" i="56"/>
  <c r="F3574" i="56" s="1"/>
  <c r="I3574" i="56"/>
  <c r="C3575" i="56"/>
  <c r="D3575" i="56" s="1"/>
  <c r="E3575" i="56"/>
  <c r="F3575" i="56" s="1"/>
  <c r="I3575" i="56"/>
  <c r="L3575" i="56"/>
  <c r="C3576" i="56"/>
  <c r="D3576" i="56" s="1"/>
  <c r="E3576" i="56"/>
  <c r="F3576" i="56" s="1"/>
  <c r="I3576" i="56"/>
  <c r="L3576" i="56"/>
  <c r="C3577" i="56"/>
  <c r="D3577" i="56" s="1"/>
  <c r="E3577" i="56"/>
  <c r="F3577" i="56" s="1"/>
  <c r="I3577" i="56"/>
  <c r="C3578" i="56"/>
  <c r="D3578" i="56" s="1"/>
  <c r="E3578" i="56"/>
  <c r="F3578" i="56" s="1"/>
  <c r="I3578" i="56"/>
  <c r="C3579" i="56"/>
  <c r="D3579" i="56" s="1"/>
  <c r="E3579" i="56"/>
  <c r="F3579" i="56" s="1"/>
  <c r="I3579" i="56"/>
  <c r="C3580" i="56"/>
  <c r="D3580" i="56" s="1"/>
  <c r="E3580" i="56"/>
  <c r="F3580" i="56" s="1"/>
  <c r="I3580" i="56"/>
  <c r="C3581" i="56"/>
  <c r="D3581" i="56" s="1"/>
  <c r="E3581" i="56"/>
  <c r="F3581" i="56" s="1"/>
  <c r="L3581" i="56"/>
  <c r="C3582" i="56"/>
  <c r="D3582" i="56" s="1"/>
  <c r="E3582" i="56"/>
  <c r="F3582" i="56" s="1"/>
  <c r="L3582" i="56"/>
  <c r="C3583" i="56"/>
  <c r="D3583" i="56" s="1"/>
  <c r="E3583" i="56"/>
  <c r="F3583" i="56" s="1"/>
  <c r="C3584" i="56"/>
  <c r="D3584" i="56" s="1"/>
  <c r="E3584" i="56"/>
  <c r="F3584" i="56" s="1"/>
  <c r="C3585" i="56"/>
  <c r="D3585" i="56" s="1"/>
  <c r="E3585" i="56"/>
  <c r="F3585" i="56" s="1"/>
  <c r="I3585" i="56"/>
  <c r="L3585" i="56"/>
  <c r="C3586" i="56"/>
  <c r="D3586" i="56" s="1"/>
  <c r="E3586" i="56"/>
  <c r="F3586" i="56" s="1"/>
  <c r="I3586" i="56"/>
  <c r="L3586" i="56"/>
  <c r="C3587" i="56"/>
  <c r="D3587" i="56" s="1"/>
  <c r="E3587" i="56"/>
  <c r="F3587" i="56" s="1"/>
  <c r="I3587" i="56"/>
  <c r="L3587" i="56"/>
  <c r="C3588" i="56"/>
  <c r="D3588" i="56" s="1"/>
  <c r="E3588" i="56"/>
  <c r="F3588" i="56" s="1"/>
  <c r="I3588" i="56"/>
  <c r="L3588" i="56"/>
  <c r="C3589" i="56"/>
  <c r="D3589" i="56" s="1"/>
  <c r="E3589" i="56"/>
  <c r="F3589" i="56" s="1"/>
  <c r="I3589" i="56"/>
  <c r="C3590" i="56"/>
  <c r="D3590" i="56" s="1"/>
  <c r="E3590" i="56"/>
  <c r="F3590" i="56" s="1"/>
  <c r="I3590" i="56"/>
  <c r="C3591" i="56"/>
  <c r="D3591" i="56" s="1"/>
  <c r="E3591" i="56"/>
  <c r="F3591" i="56" s="1"/>
  <c r="I3591" i="56"/>
  <c r="C3592" i="56"/>
  <c r="D3592" i="56" s="1"/>
  <c r="E3592" i="56"/>
  <c r="F3592" i="56" s="1"/>
  <c r="I3592" i="56"/>
  <c r="C3593" i="56"/>
  <c r="D3593" i="56" s="1"/>
  <c r="E3593" i="56"/>
  <c r="F3593" i="56" s="1"/>
  <c r="L3593" i="56"/>
  <c r="C3594" i="56"/>
  <c r="D3594" i="56" s="1"/>
  <c r="E3594" i="56"/>
  <c r="F3594" i="56" s="1"/>
  <c r="L3594" i="56"/>
  <c r="C3595" i="56"/>
  <c r="D3595" i="56" s="1"/>
  <c r="E3595" i="56"/>
  <c r="F3595" i="56" s="1"/>
  <c r="I3595" i="56"/>
  <c r="C3596" i="56"/>
  <c r="D3596" i="56" s="1"/>
  <c r="E3596" i="56"/>
  <c r="F3596" i="56" s="1"/>
  <c r="C3597" i="56"/>
  <c r="D3597" i="56" s="1"/>
  <c r="E3597" i="56"/>
  <c r="F3597" i="56" s="1"/>
  <c r="I3597" i="56"/>
  <c r="L3597" i="56"/>
  <c r="C3598" i="56"/>
  <c r="D3598" i="56" s="1"/>
  <c r="E3598" i="56"/>
  <c r="F3598" i="56" s="1"/>
  <c r="I3598" i="56"/>
  <c r="L3598" i="56"/>
  <c r="C3599" i="56"/>
  <c r="D3599" i="56" s="1"/>
  <c r="E3599" i="56"/>
  <c r="F3599" i="56" s="1"/>
  <c r="I3599" i="56"/>
  <c r="L3599" i="56"/>
  <c r="C3600" i="56"/>
  <c r="D3600" i="56" s="1"/>
  <c r="E3600" i="56"/>
  <c r="F3600" i="56" s="1"/>
  <c r="I3600" i="56"/>
  <c r="L3600" i="56"/>
  <c r="C3601" i="56"/>
  <c r="D3601" i="56" s="1"/>
  <c r="E3601" i="56"/>
  <c r="F3601" i="56" s="1"/>
  <c r="I3601" i="56"/>
  <c r="C3602" i="56"/>
  <c r="D3602" i="56" s="1"/>
  <c r="E3602" i="56"/>
  <c r="F3602" i="56" s="1"/>
  <c r="I3602" i="56"/>
  <c r="C3603" i="56"/>
  <c r="D3603" i="56" s="1"/>
  <c r="E3603" i="56"/>
  <c r="F3603" i="56" s="1"/>
  <c r="I3603" i="56"/>
  <c r="C3604" i="56"/>
  <c r="D3604" i="56" s="1"/>
  <c r="E3604" i="56"/>
  <c r="F3604" i="56" s="1"/>
  <c r="I3604" i="56"/>
  <c r="C3605" i="56"/>
  <c r="D3605" i="56" s="1"/>
  <c r="E3605" i="56"/>
  <c r="F3605" i="56" s="1"/>
  <c r="L3605" i="56"/>
  <c r="C3606" i="56"/>
  <c r="D3606" i="56" s="1"/>
  <c r="E3606" i="56"/>
  <c r="F3606" i="56" s="1"/>
  <c r="L3606" i="56"/>
  <c r="C3607" i="56"/>
  <c r="D3607" i="56" s="1"/>
  <c r="E3607" i="56"/>
  <c r="F3607" i="56" s="1"/>
  <c r="C3608" i="56"/>
  <c r="D3608" i="56" s="1"/>
  <c r="E3608" i="56"/>
  <c r="F3608" i="56" s="1"/>
  <c r="I3608" i="56"/>
  <c r="C3609" i="56"/>
  <c r="D3609" i="56" s="1"/>
  <c r="E3609" i="56"/>
  <c r="F3609" i="56" s="1"/>
  <c r="I3609" i="56"/>
  <c r="L3609" i="56"/>
  <c r="C3610" i="56"/>
  <c r="D3610" i="56" s="1"/>
  <c r="E3610" i="56"/>
  <c r="F3610" i="56" s="1"/>
  <c r="I3610" i="56"/>
  <c r="L3610" i="56"/>
  <c r="C3611" i="56"/>
  <c r="D3611" i="56" s="1"/>
  <c r="E3611" i="56"/>
  <c r="F3611" i="56" s="1"/>
  <c r="I3611" i="56"/>
  <c r="L3611" i="56"/>
  <c r="C3612" i="56"/>
  <c r="D3612" i="56" s="1"/>
  <c r="E3612" i="56"/>
  <c r="F3612" i="56" s="1"/>
  <c r="I3612" i="56"/>
  <c r="L3612" i="56"/>
  <c r="C3613" i="56"/>
  <c r="D3613" i="56" s="1"/>
  <c r="E3613" i="56"/>
  <c r="F3613" i="56" s="1"/>
  <c r="I3613" i="56"/>
  <c r="C3614" i="56"/>
  <c r="D3614" i="56" s="1"/>
  <c r="E3614" i="56"/>
  <c r="F3614" i="56" s="1"/>
  <c r="I3614" i="56"/>
  <c r="C3615" i="56"/>
  <c r="D3615" i="56" s="1"/>
  <c r="E3615" i="56"/>
  <c r="F3615" i="56" s="1"/>
  <c r="I3615" i="56"/>
  <c r="C3616" i="56"/>
  <c r="D3616" i="56" s="1"/>
  <c r="E3616" i="56"/>
  <c r="F3616" i="56" s="1"/>
  <c r="I3616" i="56"/>
  <c r="C3617" i="56"/>
  <c r="D3617" i="56" s="1"/>
  <c r="E3617" i="56"/>
  <c r="F3617" i="56" s="1"/>
  <c r="L3617" i="56"/>
  <c r="C3618" i="56"/>
  <c r="D3618" i="56" s="1"/>
  <c r="E3618" i="56"/>
  <c r="F3618" i="56" s="1"/>
  <c r="I3618" i="56"/>
  <c r="L3618" i="56"/>
  <c r="C3619" i="56"/>
  <c r="D3619" i="56" s="1"/>
  <c r="E3619" i="56"/>
  <c r="F3619" i="56" s="1"/>
  <c r="C3620" i="56"/>
  <c r="D3620" i="56" s="1"/>
  <c r="E3620" i="56"/>
  <c r="F3620" i="56" s="1"/>
  <c r="C3621" i="56"/>
  <c r="D3621" i="56" s="1"/>
  <c r="E3621" i="56"/>
  <c r="F3621" i="56" s="1"/>
  <c r="I3621" i="56"/>
  <c r="L3621" i="56"/>
  <c r="C3622" i="56"/>
  <c r="D3622" i="56" s="1"/>
  <c r="E3622" i="56"/>
  <c r="F3622" i="56" s="1"/>
  <c r="I3622" i="56"/>
  <c r="L3622" i="56"/>
  <c r="C3623" i="56"/>
  <c r="D3623" i="56" s="1"/>
  <c r="E3623" i="56"/>
  <c r="F3623" i="56" s="1"/>
  <c r="I3623" i="56"/>
  <c r="L3623" i="56"/>
  <c r="C3624" i="56"/>
  <c r="D3624" i="56" s="1"/>
  <c r="E3624" i="56"/>
  <c r="F3624" i="56" s="1"/>
  <c r="I3624" i="56"/>
  <c r="L3624" i="56"/>
  <c r="C3625" i="56"/>
  <c r="D3625" i="56" s="1"/>
  <c r="E3625" i="56"/>
  <c r="F3625" i="56" s="1"/>
  <c r="I3625" i="56"/>
  <c r="C3626" i="56"/>
  <c r="D3626" i="56" s="1"/>
  <c r="E3626" i="56"/>
  <c r="F3626" i="56" s="1"/>
  <c r="I3626" i="56"/>
  <c r="C3627" i="56"/>
  <c r="D3627" i="56" s="1"/>
  <c r="E3627" i="56"/>
  <c r="F3627" i="56" s="1"/>
  <c r="I3627" i="56"/>
  <c r="C3628" i="56"/>
  <c r="D3628" i="56" s="1"/>
  <c r="E3628" i="56"/>
  <c r="F3628" i="56" s="1"/>
  <c r="I3628" i="56"/>
  <c r="L3628" i="56"/>
  <c r="C3629" i="56"/>
  <c r="D3629" i="56" s="1"/>
  <c r="E3629" i="56"/>
  <c r="F3629" i="56" s="1"/>
  <c r="L3629" i="56"/>
  <c r="C3630" i="56"/>
  <c r="D3630" i="56" s="1"/>
  <c r="E3630" i="56"/>
  <c r="F3630" i="56" s="1"/>
  <c r="L3630" i="56"/>
  <c r="C3631" i="56"/>
  <c r="D3631" i="56" s="1"/>
  <c r="E3631" i="56"/>
  <c r="F3631" i="56" s="1"/>
  <c r="I3631" i="56"/>
  <c r="C3632" i="56"/>
  <c r="D3632" i="56" s="1"/>
  <c r="E3632" i="56"/>
  <c r="F3632" i="56" s="1"/>
  <c r="C3633" i="56"/>
  <c r="D3633" i="56" s="1"/>
  <c r="E3633" i="56"/>
  <c r="F3633" i="56" s="1"/>
  <c r="I3633" i="56"/>
  <c r="L3633" i="56"/>
  <c r="C3634" i="56"/>
  <c r="D3634" i="56" s="1"/>
  <c r="E3634" i="56"/>
  <c r="F3634" i="56" s="1"/>
  <c r="I3634" i="56"/>
  <c r="L3634" i="56"/>
  <c r="C3635" i="56"/>
  <c r="D3635" i="56" s="1"/>
  <c r="E3635" i="56"/>
  <c r="F3635" i="56" s="1"/>
  <c r="I3635" i="56"/>
  <c r="L3635" i="56"/>
  <c r="C3636" i="56"/>
  <c r="D3636" i="56" s="1"/>
  <c r="E3636" i="56"/>
  <c r="F3636" i="56" s="1"/>
  <c r="I3636" i="56"/>
  <c r="L3636" i="56"/>
  <c r="C3637" i="56"/>
  <c r="D3637" i="56" s="1"/>
  <c r="E3637" i="56"/>
  <c r="F3637" i="56" s="1"/>
  <c r="I3637" i="56"/>
  <c r="C3638" i="56"/>
  <c r="D3638" i="56" s="1"/>
  <c r="E3638" i="56"/>
  <c r="F3638" i="56" s="1"/>
  <c r="I3638" i="56"/>
  <c r="C3639" i="56"/>
  <c r="D3639" i="56" s="1"/>
  <c r="E3639" i="56"/>
  <c r="F3639" i="56" s="1"/>
  <c r="I3639" i="56"/>
  <c r="C3640" i="56"/>
  <c r="D3640" i="56" s="1"/>
  <c r="E3640" i="56"/>
  <c r="F3640" i="56" s="1"/>
  <c r="I3640" i="56"/>
  <c r="C3641" i="56"/>
  <c r="D3641" i="56" s="1"/>
  <c r="E3641" i="56"/>
  <c r="F3641" i="56" s="1"/>
  <c r="L3641" i="56"/>
  <c r="C3642" i="56"/>
  <c r="D3642" i="56" s="1"/>
  <c r="E3642" i="56"/>
  <c r="F3642" i="56" s="1"/>
  <c r="I3642" i="56"/>
  <c r="L3642" i="56"/>
  <c r="C3643" i="56"/>
  <c r="D3643" i="56" s="1"/>
  <c r="E3643" i="56"/>
  <c r="F3643" i="56" s="1"/>
  <c r="C3644" i="56"/>
  <c r="D3644" i="56" s="1"/>
  <c r="E3644" i="56"/>
  <c r="F3644" i="56" s="1"/>
  <c r="C3645" i="56"/>
  <c r="D3645" i="56" s="1"/>
  <c r="E3645" i="56"/>
  <c r="F3645" i="56" s="1"/>
  <c r="I3645" i="56"/>
  <c r="L3645" i="56"/>
  <c r="C3646" i="56"/>
  <c r="D3646" i="56" s="1"/>
  <c r="E3646" i="56"/>
  <c r="F3646" i="56" s="1"/>
  <c r="I3646" i="56"/>
  <c r="C3647" i="56"/>
  <c r="D3647" i="56" s="1"/>
  <c r="E3647" i="56"/>
  <c r="F3647" i="56" s="1"/>
  <c r="I3647" i="56"/>
  <c r="L3647" i="56"/>
  <c r="C3648" i="56"/>
  <c r="D3648" i="56" s="1"/>
  <c r="E3648" i="56"/>
  <c r="F3648" i="56" s="1"/>
  <c r="I3648" i="56"/>
  <c r="L3648" i="56"/>
  <c r="C3649" i="56"/>
  <c r="D3649" i="56" s="1"/>
  <c r="E3649" i="56"/>
  <c r="F3649" i="56" s="1"/>
  <c r="I3649" i="56"/>
  <c r="C3650" i="56"/>
  <c r="D3650" i="56" s="1"/>
  <c r="E3650" i="56"/>
  <c r="F3650" i="56" s="1"/>
  <c r="I3650" i="56"/>
  <c r="C3651" i="56"/>
  <c r="D3651" i="56" s="1"/>
  <c r="E3651" i="56"/>
  <c r="F3651" i="56" s="1"/>
  <c r="I3651" i="56"/>
  <c r="C3652" i="56"/>
  <c r="D3652" i="56" s="1"/>
  <c r="E3652" i="56"/>
  <c r="F3652" i="56" s="1"/>
  <c r="I3652" i="56"/>
  <c r="L3652" i="56"/>
  <c r="C3653" i="56"/>
  <c r="D3653" i="56" s="1"/>
  <c r="E3653" i="56"/>
  <c r="F3653" i="56" s="1"/>
  <c r="L3653" i="56"/>
  <c r="C3654" i="56"/>
  <c r="D3654" i="56" s="1"/>
  <c r="E3654" i="56"/>
  <c r="F3654" i="56" s="1"/>
  <c r="I3654" i="56"/>
  <c r="L3654" i="56"/>
  <c r="C3655" i="56"/>
  <c r="D3655" i="56" s="1"/>
  <c r="E3655" i="56"/>
  <c r="F3655" i="56" s="1"/>
  <c r="C3656" i="56"/>
  <c r="D3656" i="56" s="1"/>
  <c r="E3656" i="56"/>
  <c r="F3656" i="56" s="1"/>
  <c r="C3657" i="56"/>
  <c r="D3657" i="56" s="1"/>
  <c r="E3657" i="56"/>
  <c r="F3657" i="56" s="1"/>
  <c r="I3657" i="56"/>
  <c r="L3657" i="56"/>
  <c r="C3658" i="56"/>
  <c r="D3658" i="56" s="1"/>
  <c r="E3658" i="56"/>
  <c r="F3658" i="56" s="1"/>
  <c r="I3658" i="56"/>
  <c r="L3658" i="56"/>
  <c r="C3659" i="56"/>
  <c r="D3659" i="56" s="1"/>
  <c r="E3659" i="56"/>
  <c r="F3659" i="56" s="1"/>
  <c r="I3659" i="56"/>
  <c r="L3659" i="56"/>
  <c r="C3660" i="56"/>
  <c r="D3660" i="56" s="1"/>
  <c r="E3660" i="56"/>
  <c r="F3660" i="56" s="1"/>
  <c r="I3660" i="56"/>
  <c r="L3660" i="56"/>
  <c r="C3661" i="56"/>
  <c r="D3661" i="56" s="1"/>
  <c r="E3661" i="56"/>
  <c r="F3661" i="56" s="1"/>
  <c r="I3661" i="56"/>
  <c r="C3662" i="56"/>
  <c r="D3662" i="56" s="1"/>
  <c r="E3662" i="56"/>
  <c r="F3662" i="56" s="1"/>
  <c r="I3662" i="56"/>
  <c r="C3663" i="56"/>
  <c r="D3663" i="56" s="1"/>
  <c r="E3663" i="56"/>
  <c r="F3663" i="56" s="1"/>
  <c r="I3663" i="56"/>
  <c r="C3664" i="56"/>
  <c r="D3664" i="56" s="1"/>
  <c r="E3664" i="56"/>
  <c r="F3664" i="56" s="1"/>
  <c r="I3664" i="56"/>
  <c r="C3665" i="56"/>
  <c r="D3665" i="56" s="1"/>
  <c r="E3665" i="56"/>
  <c r="F3665" i="56" s="1"/>
  <c r="L3665" i="56"/>
  <c r="C3666" i="56"/>
  <c r="D3666" i="56" s="1"/>
  <c r="E3666" i="56"/>
  <c r="F3666" i="56"/>
  <c r="L3666" i="56"/>
  <c r="C3667" i="56"/>
  <c r="D3667" i="56" s="1"/>
  <c r="E3667" i="56"/>
  <c r="F3667" i="56" s="1"/>
  <c r="I3667" i="56"/>
  <c r="C3668" i="56"/>
  <c r="D3668" i="56" s="1"/>
  <c r="E3668" i="56"/>
  <c r="F3668" i="56" s="1"/>
  <c r="C3669" i="56"/>
  <c r="D3669" i="56" s="1"/>
  <c r="E3669" i="56"/>
  <c r="F3669" i="56" s="1"/>
  <c r="I3669" i="56"/>
  <c r="L3669" i="56"/>
  <c r="C3670" i="56"/>
  <c r="D3670" i="56" s="1"/>
  <c r="E3670" i="56"/>
  <c r="F3670" i="56" s="1"/>
  <c r="I3670" i="56"/>
  <c r="L3670" i="56"/>
  <c r="C3671" i="56"/>
  <c r="D3671" i="56" s="1"/>
  <c r="E3671" i="56"/>
  <c r="F3671" i="56" s="1"/>
  <c r="I3671" i="56"/>
  <c r="L3671" i="56"/>
  <c r="C3672" i="56"/>
  <c r="D3672" i="56" s="1"/>
  <c r="E3672" i="56"/>
  <c r="F3672" i="56" s="1"/>
  <c r="I3672" i="56"/>
  <c r="L3672" i="56"/>
  <c r="C3673" i="56"/>
  <c r="D3673" i="56" s="1"/>
  <c r="E3673" i="56"/>
  <c r="F3673" i="56" s="1"/>
  <c r="I3673" i="56"/>
  <c r="C3674" i="56"/>
  <c r="D3674" i="56" s="1"/>
  <c r="E3674" i="56"/>
  <c r="F3674" i="56" s="1"/>
  <c r="I3674" i="56"/>
  <c r="C3675" i="56"/>
  <c r="D3675" i="56" s="1"/>
  <c r="E3675" i="56"/>
  <c r="F3675" i="56" s="1"/>
  <c r="I3675" i="56"/>
  <c r="C3676" i="56"/>
  <c r="D3676" i="56" s="1"/>
  <c r="E3676" i="56"/>
  <c r="F3676" i="56" s="1"/>
  <c r="I3676" i="56"/>
  <c r="C3677" i="56"/>
  <c r="D3677" i="56" s="1"/>
  <c r="E3677" i="56"/>
  <c r="F3677" i="56" s="1"/>
  <c r="L3677" i="56"/>
  <c r="C3678" i="56"/>
  <c r="D3678" i="56" s="1"/>
  <c r="E3678" i="56"/>
  <c r="F3678" i="56" s="1"/>
  <c r="I3678" i="56"/>
  <c r="L3678" i="56"/>
  <c r="C3679" i="56"/>
  <c r="D3679" i="56" s="1"/>
  <c r="E3679" i="56"/>
  <c r="F3679" i="56" s="1"/>
  <c r="C3680" i="56"/>
  <c r="D3680" i="56" s="1"/>
  <c r="E3680" i="56"/>
  <c r="F3680" i="56" s="1"/>
  <c r="C3681" i="56"/>
  <c r="D3681" i="56" s="1"/>
  <c r="E3681" i="56"/>
  <c r="F3681" i="56" s="1"/>
  <c r="I3681" i="56"/>
  <c r="L3681" i="56"/>
  <c r="C3682" i="56"/>
  <c r="D3682" i="56" s="1"/>
  <c r="E3682" i="56"/>
  <c r="F3682" i="56" s="1"/>
  <c r="I3682" i="56"/>
  <c r="C3683" i="56"/>
  <c r="D3683" i="56" s="1"/>
  <c r="E3683" i="56"/>
  <c r="F3683" i="56"/>
  <c r="I3683" i="56"/>
  <c r="L3683" i="56"/>
  <c r="C3684" i="56"/>
  <c r="D3684" i="56" s="1"/>
  <c r="E3684" i="56"/>
  <c r="F3684" i="56" s="1"/>
  <c r="I3684" i="56"/>
  <c r="L3684" i="56"/>
  <c r="C3685" i="56"/>
  <c r="D3685" i="56" s="1"/>
  <c r="E3685" i="56"/>
  <c r="F3685" i="56" s="1"/>
  <c r="I3685" i="56"/>
  <c r="C3686" i="56"/>
  <c r="D3686" i="56" s="1"/>
  <c r="E3686" i="56"/>
  <c r="F3686" i="56" s="1"/>
  <c r="I3686" i="56"/>
  <c r="C3687" i="56"/>
  <c r="D3687" i="56" s="1"/>
  <c r="E3687" i="56"/>
  <c r="F3687" i="56" s="1"/>
  <c r="I3687" i="56"/>
  <c r="C3688" i="56"/>
  <c r="D3688" i="56" s="1"/>
  <c r="E3688" i="56"/>
  <c r="F3688" i="56" s="1"/>
  <c r="I3688" i="56"/>
  <c r="C3689" i="56"/>
  <c r="D3689" i="56" s="1"/>
  <c r="E3689" i="56"/>
  <c r="F3689" i="56" s="1"/>
  <c r="L3689" i="56"/>
  <c r="C3690" i="56"/>
  <c r="D3690" i="56" s="1"/>
  <c r="E3690" i="56"/>
  <c r="F3690" i="56" s="1"/>
  <c r="I3690" i="56"/>
  <c r="L3690" i="56"/>
  <c r="C3691" i="56"/>
  <c r="D3691" i="56" s="1"/>
  <c r="E3691" i="56"/>
  <c r="F3691" i="56" s="1"/>
  <c r="C3692" i="56"/>
  <c r="D3692" i="56" s="1"/>
  <c r="E3692" i="56"/>
  <c r="F3692" i="56" s="1"/>
  <c r="C3693" i="56"/>
  <c r="D3693" i="56" s="1"/>
  <c r="E3693" i="56"/>
  <c r="F3693" i="56" s="1"/>
  <c r="I3693" i="56"/>
  <c r="L3693" i="56"/>
  <c r="C3694" i="56"/>
  <c r="D3694" i="56" s="1"/>
  <c r="E3694" i="56"/>
  <c r="F3694" i="56" s="1"/>
  <c r="I3694" i="56"/>
  <c r="C3695" i="56"/>
  <c r="D3695" i="56" s="1"/>
  <c r="E3695" i="56"/>
  <c r="F3695" i="56" s="1"/>
  <c r="I3695" i="56"/>
  <c r="L3695" i="56"/>
  <c r="C3696" i="56"/>
  <c r="D3696" i="56" s="1"/>
  <c r="E3696" i="56"/>
  <c r="F3696" i="56" s="1"/>
  <c r="I3696" i="56"/>
  <c r="L3696" i="56"/>
  <c r="C3697" i="56"/>
  <c r="D3697" i="56" s="1"/>
  <c r="E3697" i="56"/>
  <c r="F3697" i="56" s="1"/>
  <c r="I3697" i="56"/>
  <c r="C3698" i="56"/>
  <c r="D3698" i="56" s="1"/>
  <c r="E3698" i="56"/>
  <c r="F3698" i="56" s="1"/>
  <c r="I3698" i="56"/>
  <c r="C3699" i="56"/>
  <c r="D3699" i="56" s="1"/>
  <c r="E3699" i="56"/>
  <c r="F3699" i="56" s="1"/>
  <c r="I3699" i="56"/>
  <c r="C3700" i="56"/>
  <c r="D3700" i="56" s="1"/>
  <c r="E3700" i="56"/>
  <c r="F3700" i="56" s="1"/>
  <c r="I3700" i="56"/>
  <c r="L3700" i="56"/>
  <c r="C3701" i="56"/>
  <c r="D3701" i="56" s="1"/>
  <c r="E3701" i="56"/>
  <c r="F3701" i="56" s="1"/>
  <c r="L3701" i="56"/>
  <c r="C3702" i="56"/>
  <c r="D3702" i="56" s="1"/>
  <c r="E3702" i="56"/>
  <c r="F3702" i="56" s="1"/>
  <c r="L3702" i="56"/>
  <c r="C3703" i="56"/>
  <c r="D3703" i="56" s="1"/>
  <c r="E3703" i="56"/>
  <c r="F3703" i="56" s="1"/>
  <c r="I3703" i="56"/>
  <c r="C3704" i="56"/>
  <c r="D3704" i="56" s="1"/>
  <c r="E3704" i="56"/>
  <c r="F3704" i="56" s="1"/>
  <c r="C3705" i="56"/>
  <c r="D3705" i="56" s="1"/>
  <c r="E3705" i="56"/>
  <c r="F3705" i="56" s="1"/>
  <c r="I3705" i="56"/>
  <c r="L3705" i="56"/>
  <c r="C3706" i="56"/>
  <c r="D3706" i="56" s="1"/>
  <c r="E3706" i="56"/>
  <c r="F3706" i="56" s="1"/>
  <c r="I3706" i="56"/>
  <c r="L3706" i="56"/>
  <c r="C3707" i="56"/>
  <c r="D3707" i="56" s="1"/>
  <c r="E3707" i="56"/>
  <c r="F3707" i="56" s="1"/>
  <c r="I3707" i="56"/>
  <c r="L3707" i="56"/>
  <c r="C3708" i="56"/>
  <c r="D3708" i="56" s="1"/>
  <c r="E3708" i="56"/>
  <c r="F3708" i="56" s="1"/>
  <c r="I3708" i="56"/>
  <c r="L3708" i="56"/>
  <c r="C3709" i="56"/>
  <c r="D3709" i="56" s="1"/>
  <c r="E3709" i="56"/>
  <c r="F3709" i="56" s="1"/>
  <c r="I3709" i="56"/>
  <c r="C3710" i="56"/>
  <c r="D3710" i="56" s="1"/>
  <c r="E3710" i="56"/>
  <c r="F3710" i="56" s="1"/>
  <c r="I3710" i="56"/>
  <c r="C3711" i="56"/>
  <c r="D3711" i="56" s="1"/>
  <c r="E3711" i="56"/>
  <c r="F3711" i="56" s="1"/>
  <c r="I3711" i="56"/>
  <c r="C3712" i="56"/>
  <c r="D3712" i="56" s="1"/>
  <c r="E3712" i="56"/>
  <c r="F3712" i="56" s="1"/>
  <c r="I3712" i="56"/>
  <c r="C3713" i="56"/>
  <c r="D3713" i="56" s="1"/>
  <c r="E3713" i="56"/>
  <c r="F3713" i="56" s="1"/>
  <c r="L3713" i="56"/>
  <c r="C3714" i="56"/>
  <c r="D3714" i="56" s="1"/>
  <c r="E3714" i="56"/>
  <c r="F3714" i="56" s="1"/>
  <c r="I3714" i="56"/>
  <c r="L3714" i="56"/>
  <c r="C3715" i="56"/>
  <c r="D3715" i="56" s="1"/>
  <c r="E3715" i="56"/>
  <c r="F3715" i="56" s="1"/>
  <c r="C3716" i="56"/>
  <c r="D3716" i="56" s="1"/>
  <c r="E3716" i="56"/>
  <c r="F3716" i="56" s="1"/>
  <c r="I3716" i="56"/>
  <c r="C3717" i="56"/>
  <c r="D3717" i="56" s="1"/>
  <c r="E3717" i="56"/>
  <c r="F3717" i="56" s="1"/>
  <c r="I3717" i="56"/>
  <c r="L3717" i="56"/>
  <c r="C3718" i="56"/>
  <c r="D3718" i="56" s="1"/>
  <c r="E3718" i="56"/>
  <c r="F3718" i="56" s="1"/>
  <c r="I3718" i="56"/>
  <c r="C3719" i="56"/>
  <c r="D3719" i="56" s="1"/>
  <c r="E3719" i="56"/>
  <c r="F3719" i="56" s="1"/>
  <c r="I3719" i="56"/>
  <c r="L3719" i="56"/>
  <c r="C3720" i="56"/>
  <c r="D3720" i="56" s="1"/>
  <c r="E3720" i="56"/>
  <c r="F3720" i="56" s="1"/>
  <c r="I3720" i="56"/>
  <c r="L3720" i="56"/>
  <c r="C3721" i="56"/>
  <c r="D3721" i="56" s="1"/>
  <c r="E3721" i="56"/>
  <c r="F3721" i="56" s="1"/>
  <c r="I3721" i="56"/>
  <c r="C3722" i="56"/>
  <c r="D3722" i="56" s="1"/>
  <c r="E3722" i="56"/>
  <c r="F3722" i="56" s="1"/>
  <c r="I3722" i="56"/>
  <c r="C3723" i="56"/>
  <c r="D3723" i="56" s="1"/>
  <c r="E3723" i="56"/>
  <c r="F3723" i="56" s="1"/>
  <c r="I3723" i="56"/>
  <c r="C3724" i="56"/>
  <c r="D3724" i="56" s="1"/>
  <c r="E3724" i="56"/>
  <c r="F3724" i="56" s="1"/>
  <c r="I3724" i="56"/>
  <c r="C3725" i="56"/>
  <c r="D3725" i="56" s="1"/>
  <c r="E3725" i="56"/>
  <c r="F3725" i="56" s="1"/>
  <c r="L3725" i="56"/>
  <c r="C3726" i="56"/>
  <c r="D3726" i="56" s="1"/>
  <c r="E3726" i="56"/>
  <c r="F3726" i="56" s="1"/>
  <c r="L3726" i="56"/>
  <c r="C3727" i="56"/>
  <c r="D3727" i="56" s="1"/>
  <c r="E3727" i="56"/>
  <c r="F3727" i="56" s="1"/>
  <c r="I3727" i="56"/>
  <c r="C3728" i="56"/>
  <c r="D3728" i="56" s="1"/>
  <c r="E3728" i="56"/>
  <c r="F3728" i="56" s="1"/>
  <c r="C3729" i="56"/>
  <c r="D3729" i="56" s="1"/>
  <c r="E3729" i="56"/>
  <c r="F3729" i="56" s="1"/>
  <c r="I3729" i="56"/>
  <c r="L3729" i="56"/>
  <c r="C3730" i="56"/>
  <c r="D3730" i="56" s="1"/>
  <c r="E3730" i="56"/>
  <c r="F3730" i="56" s="1"/>
  <c r="I3730" i="56"/>
  <c r="C3731" i="56"/>
  <c r="D3731" i="56" s="1"/>
  <c r="E3731" i="56"/>
  <c r="F3731" i="56" s="1"/>
  <c r="I3731" i="56"/>
  <c r="L3731" i="56"/>
  <c r="C3732" i="56"/>
  <c r="D3732" i="56" s="1"/>
  <c r="E3732" i="56"/>
  <c r="F3732" i="56" s="1"/>
  <c r="I3732" i="56"/>
  <c r="L3732" i="56"/>
  <c r="C3733" i="56"/>
  <c r="D3733" i="56" s="1"/>
  <c r="E3733" i="56"/>
  <c r="F3733" i="56" s="1"/>
  <c r="I3733" i="56"/>
  <c r="C3734" i="56"/>
  <c r="D3734" i="56" s="1"/>
  <c r="E3734" i="56"/>
  <c r="F3734" i="56" s="1"/>
  <c r="I3734" i="56"/>
  <c r="C3735" i="56"/>
  <c r="D3735" i="56" s="1"/>
  <c r="E3735" i="56"/>
  <c r="F3735" i="56" s="1"/>
  <c r="I3735" i="56"/>
  <c r="C3736" i="56"/>
  <c r="D3736" i="56" s="1"/>
  <c r="E3736" i="56"/>
  <c r="F3736" i="56" s="1"/>
  <c r="I3736" i="56"/>
  <c r="L3736" i="56"/>
  <c r="C3737" i="56"/>
  <c r="D3737" i="56" s="1"/>
  <c r="E3737" i="56"/>
  <c r="F3737" i="56" s="1"/>
  <c r="L3737" i="56"/>
  <c r="C3738" i="56"/>
  <c r="D3738" i="56" s="1"/>
  <c r="E3738" i="56"/>
  <c r="F3738" i="56" s="1"/>
  <c r="I3738" i="56"/>
  <c r="L3738" i="56"/>
  <c r="C3739" i="56"/>
  <c r="D3739" i="56" s="1"/>
  <c r="E3739" i="56"/>
  <c r="F3739" i="56" s="1"/>
  <c r="C3740" i="56"/>
  <c r="D3740" i="56" s="1"/>
  <c r="E3740" i="56"/>
  <c r="F3740" i="56" s="1"/>
  <c r="C3741" i="56"/>
  <c r="D3741" i="56" s="1"/>
  <c r="E3741" i="56"/>
  <c r="F3741" i="56" s="1"/>
  <c r="I3741" i="56"/>
  <c r="L3741" i="56"/>
  <c r="C3742" i="56"/>
  <c r="D3742" i="56" s="1"/>
  <c r="E3742" i="56"/>
  <c r="F3742" i="56" s="1"/>
  <c r="I3742" i="56"/>
  <c r="C3743" i="56"/>
  <c r="D3743" i="56" s="1"/>
  <c r="E3743" i="56"/>
  <c r="F3743" i="56" s="1"/>
  <c r="I3743" i="56"/>
  <c r="L3743" i="56"/>
  <c r="C3744" i="56"/>
  <c r="D3744" i="56" s="1"/>
  <c r="E3744" i="56"/>
  <c r="F3744" i="56" s="1"/>
  <c r="I3744" i="56"/>
  <c r="L3744" i="56"/>
  <c r="C3745" i="56"/>
  <c r="D3745" i="56" s="1"/>
  <c r="E3745" i="56"/>
  <c r="F3745" i="56" s="1"/>
  <c r="I3745" i="56"/>
  <c r="C3746" i="56"/>
  <c r="D3746" i="56" s="1"/>
  <c r="E3746" i="56"/>
  <c r="F3746" i="56" s="1"/>
  <c r="I3746" i="56"/>
  <c r="C3747" i="56"/>
  <c r="D3747" i="56" s="1"/>
  <c r="E3747" i="56"/>
  <c r="F3747" i="56" s="1"/>
  <c r="I3747" i="56"/>
  <c r="C3748" i="56"/>
  <c r="D3748" i="56" s="1"/>
  <c r="E3748" i="56"/>
  <c r="F3748" i="56" s="1"/>
  <c r="I3748" i="56"/>
  <c r="L3748" i="56"/>
  <c r="C3749" i="56"/>
  <c r="D3749" i="56" s="1"/>
  <c r="E3749" i="56"/>
  <c r="F3749" i="56" s="1"/>
  <c r="L3749" i="56"/>
  <c r="C3750" i="56"/>
  <c r="D3750" i="56" s="1"/>
  <c r="E3750" i="56"/>
  <c r="F3750" i="56" s="1"/>
  <c r="L3750" i="56"/>
  <c r="C3751" i="56"/>
  <c r="D3751" i="56" s="1"/>
  <c r="E3751" i="56"/>
  <c r="F3751" i="56" s="1"/>
  <c r="I3751" i="56"/>
  <c r="C3752" i="56"/>
  <c r="D3752" i="56" s="1"/>
  <c r="E3752" i="56"/>
  <c r="F3752" i="56" s="1"/>
  <c r="C3753" i="56"/>
  <c r="D3753" i="56" s="1"/>
  <c r="E3753" i="56"/>
  <c r="F3753" i="56" s="1"/>
  <c r="I3753" i="56"/>
  <c r="L3753" i="56"/>
  <c r="C3754" i="56"/>
  <c r="D3754" i="56" s="1"/>
  <c r="E3754" i="56"/>
  <c r="F3754" i="56" s="1"/>
  <c r="I3754" i="56"/>
  <c r="L3754" i="56"/>
  <c r="C3755" i="56"/>
  <c r="D3755" i="56" s="1"/>
  <c r="E3755" i="56"/>
  <c r="F3755" i="56" s="1"/>
  <c r="I3755" i="56"/>
  <c r="L3755" i="56"/>
  <c r="C3756" i="56"/>
  <c r="D3756" i="56" s="1"/>
  <c r="E3756" i="56"/>
  <c r="F3756" i="56" s="1"/>
  <c r="I3756" i="56"/>
  <c r="L3756" i="56"/>
  <c r="C3757" i="56"/>
  <c r="D3757" i="56" s="1"/>
  <c r="E3757" i="56"/>
  <c r="F3757" i="56" s="1"/>
  <c r="I3757" i="56"/>
  <c r="C3758" i="56"/>
  <c r="D3758" i="56" s="1"/>
  <c r="E3758" i="56"/>
  <c r="F3758" i="56" s="1"/>
  <c r="I3758" i="56"/>
  <c r="C3759" i="56"/>
  <c r="D3759" i="56" s="1"/>
  <c r="E3759" i="56"/>
  <c r="F3759" i="56" s="1"/>
  <c r="I3759" i="56"/>
  <c r="C3760" i="56"/>
  <c r="D3760" i="56" s="1"/>
  <c r="E3760" i="56"/>
  <c r="F3760" i="56" s="1"/>
  <c r="I3760" i="56"/>
  <c r="C3761" i="56"/>
  <c r="D3761" i="56" s="1"/>
  <c r="E3761" i="56"/>
  <c r="F3761" i="56" s="1"/>
  <c r="L3761" i="56"/>
  <c r="C3762" i="56"/>
  <c r="D3762" i="56" s="1"/>
  <c r="E3762" i="56"/>
  <c r="F3762" i="56" s="1"/>
  <c r="L3762" i="56"/>
  <c r="C3763" i="56"/>
  <c r="D3763" i="56" s="1"/>
  <c r="E3763" i="56"/>
  <c r="F3763" i="56" s="1"/>
  <c r="C3764" i="56"/>
  <c r="D3764" i="56" s="1"/>
  <c r="E3764" i="56"/>
  <c r="F3764" i="56" s="1"/>
  <c r="C3765" i="56"/>
  <c r="D3765" i="56" s="1"/>
  <c r="E3765" i="56"/>
  <c r="F3765" i="56" s="1"/>
  <c r="I3765" i="56"/>
  <c r="L3765" i="56"/>
  <c r="C3766" i="56"/>
  <c r="D3766" i="56" s="1"/>
  <c r="E3766" i="56"/>
  <c r="F3766" i="56" s="1"/>
  <c r="I3766" i="56"/>
  <c r="C3767" i="56"/>
  <c r="D3767" i="56" s="1"/>
  <c r="E3767" i="56"/>
  <c r="F3767" i="56" s="1"/>
  <c r="I3767" i="56"/>
  <c r="L3767" i="56"/>
  <c r="C3768" i="56"/>
  <c r="D3768" i="56" s="1"/>
  <c r="E3768" i="56"/>
  <c r="F3768" i="56" s="1"/>
  <c r="I3768" i="56"/>
  <c r="L3768" i="56"/>
  <c r="C3769" i="56"/>
  <c r="D3769" i="56" s="1"/>
  <c r="E3769" i="56"/>
  <c r="F3769" i="56" s="1"/>
  <c r="I3769" i="56"/>
  <c r="C3770" i="56"/>
  <c r="D3770" i="56" s="1"/>
  <c r="E3770" i="56"/>
  <c r="F3770" i="56" s="1"/>
  <c r="I3770" i="56"/>
  <c r="C3771" i="56"/>
  <c r="D3771" i="56"/>
  <c r="E3771" i="56"/>
  <c r="F3771" i="56" s="1"/>
  <c r="I3771" i="56"/>
  <c r="C3772" i="56"/>
  <c r="D3772" i="56" s="1"/>
  <c r="E3772" i="56"/>
  <c r="F3772" i="56" s="1"/>
  <c r="I3772" i="56"/>
  <c r="C3773" i="56"/>
  <c r="D3773" i="56" s="1"/>
  <c r="E3773" i="56"/>
  <c r="F3773" i="56" s="1"/>
  <c r="L3773" i="56"/>
  <c r="C3774" i="56"/>
  <c r="D3774" i="56" s="1"/>
  <c r="E3774" i="56"/>
  <c r="F3774" i="56" s="1"/>
  <c r="I3774" i="56"/>
  <c r="L3774" i="56"/>
  <c r="C3775" i="56"/>
  <c r="D3775" i="56" s="1"/>
  <c r="E3775" i="56"/>
  <c r="F3775" i="56" s="1"/>
  <c r="C3776" i="56"/>
  <c r="D3776" i="56" s="1"/>
  <c r="E3776" i="56"/>
  <c r="F3776" i="56" s="1"/>
  <c r="C3777" i="56"/>
  <c r="D3777" i="56" s="1"/>
  <c r="E3777" i="56"/>
  <c r="F3777" i="56" s="1"/>
  <c r="I3777" i="56"/>
  <c r="L3777" i="56"/>
  <c r="C3778" i="56"/>
  <c r="D3778" i="56" s="1"/>
  <c r="E3778" i="56"/>
  <c r="F3778" i="56" s="1"/>
  <c r="I3778" i="56"/>
  <c r="C3779" i="56"/>
  <c r="D3779" i="56" s="1"/>
  <c r="E3779" i="56"/>
  <c r="F3779" i="56" s="1"/>
  <c r="I3779" i="56"/>
  <c r="L3779" i="56"/>
  <c r="C3780" i="56"/>
  <c r="D3780" i="56" s="1"/>
  <c r="E3780" i="56"/>
  <c r="F3780" i="56" s="1"/>
  <c r="I3780" i="56"/>
  <c r="L3780" i="56"/>
  <c r="C3781" i="56"/>
  <c r="D3781" i="56" s="1"/>
  <c r="E3781" i="56"/>
  <c r="F3781" i="56" s="1"/>
  <c r="I3781" i="56"/>
  <c r="C3782" i="56"/>
  <c r="D3782" i="56" s="1"/>
  <c r="E3782" i="56"/>
  <c r="F3782" i="56" s="1"/>
  <c r="I3782" i="56"/>
  <c r="C3783" i="56"/>
  <c r="D3783" i="56" s="1"/>
  <c r="E3783" i="56"/>
  <c r="F3783" i="56" s="1"/>
  <c r="I3783" i="56"/>
  <c r="C3784" i="56"/>
  <c r="D3784" i="56" s="1"/>
  <c r="E3784" i="56"/>
  <c r="F3784" i="56" s="1"/>
  <c r="I3784" i="56"/>
  <c r="C3785" i="56"/>
  <c r="D3785" i="56" s="1"/>
  <c r="E3785" i="56"/>
  <c r="F3785" i="56" s="1"/>
  <c r="L3785" i="56"/>
  <c r="C3786" i="56"/>
  <c r="D3786" i="56" s="1"/>
  <c r="E3786" i="56"/>
  <c r="F3786" i="56" s="1"/>
  <c r="I3786" i="56"/>
  <c r="L3786" i="56"/>
  <c r="C3787" i="56"/>
  <c r="D3787" i="56" s="1"/>
  <c r="E3787" i="56"/>
  <c r="F3787" i="56" s="1"/>
  <c r="C3788" i="56"/>
  <c r="D3788" i="56" s="1"/>
  <c r="E3788" i="56"/>
  <c r="F3788" i="56" s="1"/>
  <c r="C3789" i="56"/>
  <c r="D3789" i="56" s="1"/>
  <c r="E3789" i="56"/>
  <c r="F3789" i="56" s="1"/>
  <c r="I3789" i="56"/>
  <c r="L3789" i="56"/>
  <c r="C3790" i="56"/>
  <c r="D3790" i="56" s="1"/>
  <c r="E3790" i="56"/>
  <c r="F3790" i="56" s="1"/>
  <c r="I3790" i="56"/>
  <c r="L3790" i="56"/>
  <c r="C3791" i="56"/>
  <c r="D3791" i="56" s="1"/>
  <c r="E3791" i="56"/>
  <c r="F3791" i="56" s="1"/>
  <c r="I3791" i="56"/>
  <c r="L3791" i="56"/>
  <c r="C3792" i="56"/>
  <c r="D3792" i="56" s="1"/>
  <c r="E3792" i="56"/>
  <c r="F3792" i="56" s="1"/>
  <c r="I3792" i="56"/>
  <c r="L3792" i="56"/>
  <c r="C3793" i="56"/>
  <c r="D3793" i="56" s="1"/>
  <c r="E3793" i="56"/>
  <c r="F3793" i="56" s="1"/>
  <c r="I3793" i="56"/>
  <c r="C3794" i="56"/>
  <c r="D3794" i="56" s="1"/>
  <c r="E3794" i="56"/>
  <c r="F3794" i="56" s="1"/>
  <c r="I3794" i="56"/>
  <c r="C3795" i="56"/>
  <c r="D3795" i="56" s="1"/>
  <c r="E3795" i="56"/>
  <c r="F3795" i="56" s="1"/>
  <c r="I3795" i="56"/>
  <c r="C3796" i="56"/>
  <c r="D3796" i="56" s="1"/>
  <c r="E3796" i="56"/>
  <c r="F3796" i="56" s="1"/>
  <c r="I3796" i="56"/>
  <c r="L3796" i="56"/>
  <c r="C3797" i="56"/>
  <c r="D3797" i="56" s="1"/>
  <c r="E3797" i="56"/>
  <c r="F3797" i="56" s="1"/>
  <c r="L3797" i="56"/>
  <c r="C3798" i="56"/>
  <c r="D3798" i="56" s="1"/>
  <c r="E3798" i="56"/>
  <c r="F3798" i="56" s="1"/>
  <c r="I3798" i="56"/>
  <c r="L3798" i="56"/>
  <c r="C3799" i="56"/>
  <c r="D3799" i="56" s="1"/>
  <c r="E3799" i="56"/>
  <c r="F3799" i="56" s="1"/>
  <c r="C3800" i="56"/>
  <c r="D3800" i="56" s="1"/>
  <c r="E3800" i="56"/>
  <c r="F3800" i="56" s="1"/>
  <c r="C3801" i="56"/>
  <c r="D3801" i="56" s="1"/>
  <c r="E3801" i="56"/>
  <c r="F3801" i="56" s="1"/>
  <c r="I3801" i="56"/>
  <c r="L3801" i="56"/>
  <c r="C3802" i="56"/>
  <c r="D3802" i="56" s="1"/>
  <c r="E3802" i="56"/>
  <c r="F3802" i="56" s="1"/>
  <c r="I3802" i="56"/>
  <c r="C3803" i="56"/>
  <c r="D3803" i="56" s="1"/>
  <c r="E3803" i="56"/>
  <c r="F3803" i="56" s="1"/>
  <c r="I3803" i="56"/>
  <c r="L3803" i="56"/>
  <c r="C3804" i="56"/>
  <c r="D3804" i="56" s="1"/>
  <c r="E3804" i="56"/>
  <c r="F3804" i="56" s="1"/>
  <c r="I3804" i="56"/>
  <c r="L3804" i="56"/>
  <c r="C3805" i="56"/>
  <c r="D3805" i="56" s="1"/>
  <c r="E3805" i="56"/>
  <c r="F3805" i="56" s="1"/>
  <c r="I3805" i="56"/>
  <c r="C3806" i="56"/>
  <c r="D3806" i="56" s="1"/>
  <c r="E3806" i="56"/>
  <c r="F3806" i="56" s="1"/>
  <c r="I3806" i="56"/>
  <c r="L3806" i="56"/>
  <c r="C3807" i="56"/>
  <c r="D3807" i="56" s="1"/>
  <c r="E3807" i="56"/>
  <c r="F3807" i="56" s="1"/>
  <c r="I3807" i="56"/>
  <c r="C3808" i="56"/>
  <c r="D3808" i="56" s="1"/>
  <c r="E3808" i="56"/>
  <c r="F3808" i="56" s="1"/>
  <c r="I3808" i="56"/>
  <c r="C3809" i="56"/>
  <c r="D3809" i="56" s="1"/>
  <c r="E3809" i="56"/>
  <c r="F3809" i="56" s="1"/>
  <c r="L3809" i="56"/>
  <c r="C3810" i="56"/>
  <c r="D3810" i="56" s="1"/>
  <c r="E3810" i="56"/>
  <c r="F3810" i="56" s="1"/>
  <c r="L3810" i="56"/>
  <c r="C3811" i="56"/>
  <c r="D3811" i="56" s="1"/>
  <c r="E3811" i="56"/>
  <c r="F3811" i="56" s="1"/>
  <c r="I3811" i="56"/>
  <c r="C3812" i="56"/>
  <c r="D3812" i="56" s="1"/>
  <c r="E3812" i="56"/>
  <c r="F3812" i="56" s="1"/>
  <c r="C3813" i="56"/>
  <c r="D3813" i="56" s="1"/>
  <c r="E3813" i="56"/>
  <c r="F3813" i="56" s="1"/>
  <c r="I3813" i="56"/>
  <c r="L3813" i="56"/>
  <c r="C3814" i="56"/>
  <c r="D3814" i="56" s="1"/>
  <c r="E3814" i="56"/>
  <c r="F3814" i="56" s="1"/>
  <c r="I3814" i="56"/>
  <c r="L3814" i="56"/>
  <c r="C3815" i="56"/>
  <c r="D3815" i="56" s="1"/>
  <c r="E3815" i="56"/>
  <c r="F3815" i="56" s="1"/>
  <c r="I3815" i="56"/>
  <c r="L3815" i="56"/>
  <c r="C3816" i="56"/>
  <c r="D3816" i="56" s="1"/>
  <c r="E3816" i="56"/>
  <c r="F3816" i="56" s="1"/>
  <c r="I3816" i="56"/>
  <c r="L3816" i="56"/>
  <c r="C3817" i="56"/>
  <c r="D3817" i="56" s="1"/>
  <c r="E3817" i="56"/>
  <c r="F3817" i="56" s="1"/>
  <c r="I3817" i="56"/>
  <c r="C3818" i="56"/>
  <c r="D3818" i="56" s="1"/>
  <c r="E3818" i="56"/>
  <c r="F3818" i="56" s="1"/>
  <c r="I3818" i="56"/>
  <c r="C3819" i="56"/>
  <c r="D3819" i="56" s="1"/>
  <c r="E3819" i="56"/>
  <c r="F3819" i="56" s="1"/>
  <c r="I3819" i="56"/>
  <c r="C3820" i="56"/>
  <c r="D3820" i="56" s="1"/>
  <c r="E3820" i="56"/>
  <c r="F3820" i="56" s="1"/>
  <c r="I3820" i="56"/>
  <c r="C3821" i="56"/>
  <c r="D3821" i="56" s="1"/>
  <c r="E3821" i="56"/>
  <c r="F3821" i="56" s="1"/>
  <c r="L3821" i="56"/>
  <c r="C3822" i="56"/>
  <c r="D3822" i="56" s="1"/>
  <c r="E3822" i="56"/>
  <c r="F3822" i="56" s="1"/>
  <c r="I3822" i="56"/>
  <c r="L3822" i="56"/>
  <c r="C3823" i="56"/>
  <c r="D3823" i="56" s="1"/>
  <c r="E3823" i="56"/>
  <c r="F3823" i="56" s="1"/>
  <c r="I3823" i="56"/>
  <c r="C3824" i="56"/>
  <c r="D3824" i="56" s="1"/>
  <c r="E3824" i="56"/>
  <c r="F3824" i="56" s="1"/>
  <c r="C3825" i="56"/>
  <c r="D3825" i="56" s="1"/>
  <c r="E3825" i="56"/>
  <c r="F3825" i="56" s="1"/>
  <c r="I3825" i="56"/>
  <c r="L3825" i="56"/>
  <c r="C3826" i="56"/>
  <c r="D3826" i="56" s="1"/>
  <c r="E3826" i="56"/>
  <c r="F3826" i="56" s="1"/>
  <c r="I3826" i="56"/>
  <c r="L3826" i="56"/>
  <c r="C3827" i="56"/>
  <c r="D3827" i="56" s="1"/>
  <c r="E3827" i="56"/>
  <c r="F3827" i="56" s="1"/>
  <c r="I3827" i="56"/>
  <c r="L3827" i="56"/>
  <c r="C3828" i="56"/>
  <c r="D3828" i="56" s="1"/>
  <c r="E3828" i="56"/>
  <c r="F3828" i="56" s="1"/>
  <c r="I3828" i="56"/>
  <c r="L3828" i="56"/>
  <c r="C3829" i="56"/>
  <c r="D3829" i="56" s="1"/>
  <c r="E3829" i="56"/>
  <c r="F3829" i="56" s="1"/>
  <c r="I3829" i="56"/>
  <c r="C3830" i="56"/>
  <c r="D3830" i="56" s="1"/>
  <c r="E3830" i="56"/>
  <c r="F3830" i="56" s="1"/>
  <c r="I3830" i="56"/>
  <c r="C3831" i="56"/>
  <c r="D3831" i="56" s="1"/>
  <c r="E3831" i="56"/>
  <c r="F3831" i="56" s="1"/>
  <c r="I3831" i="56"/>
  <c r="C3832" i="56"/>
  <c r="D3832" i="56"/>
  <c r="E3832" i="56"/>
  <c r="F3832" i="56" s="1"/>
  <c r="I3832" i="56"/>
  <c r="C3833" i="56"/>
  <c r="D3833" i="56" s="1"/>
  <c r="E3833" i="56"/>
  <c r="F3833" i="56" s="1"/>
  <c r="L3833" i="56"/>
  <c r="C3834" i="56"/>
  <c r="D3834" i="56" s="1"/>
  <c r="E3834" i="56"/>
  <c r="F3834" i="56" s="1"/>
  <c r="L3834" i="56"/>
  <c r="C3835" i="56"/>
  <c r="D3835" i="56" s="1"/>
  <c r="E3835" i="56"/>
  <c r="F3835" i="56" s="1"/>
  <c r="I3835" i="56"/>
  <c r="C3836" i="56"/>
  <c r="D3836" i="56" s="1"/>
  <c r="E3836" i="56"/>
  <c r="F3836" i="56" s="1"/>
  <c r="C3837" i="56"/>
  <c r="D3837" i="56" s="1"/>
  <c r="E3837" i="56"/>
  <c r="F3837" i="56" s="1"/>
  <c r="I3837" i="56"/>
  <c r="L3837" i="56"/>
  <c r="C3838" i="56"/>
  <c r="D3838" i="56" s="1"/>
  <c r="E3838" i="56"/>
  <c r="F3838" i="56" s="1"/>
  <c r="I3838" i="56"/>
  <c r="L3838" i="56"/>
  <c r="C3839" i="56"/>
  <c r="D3839" i="56" s="1"/>
  <c r="E3839" i="56"/>
  <c r="F3839" i="56" s="1"/>
  <c r="I3839" i="56"/>
  <c r="L3839" i="56"/>
  <c r="C3840" i="56"/>
  <c r="D3840" i="56" s="1"/>
  <c r="E3840" i="56"/>
  <c r="F3840" i="56" s="1"/>
  <c r="I3840" i="56"/>
  <c r="L3840" i="56"/>
  <c r="C3841" i="56"/>
  <c r="D3841" i="56" s="1"/>
  <c r="E3841" i="56"/>
  <c r="F3841" i="56" s="1"/>
  <c r="I3841" i="56"/>
  <c r="C3842" i="56"/>
  <c r="D3842" i="56" s="1"/>
  <c r="E3842" i="56"/>
  <c r="F3842" i="56" s="1"/>
  <c r="I3842" i="56"/>
  <c r="C3843" i="56"/>
  <c r="D3843" i="56" s="1"/>
  <c r="E3843" i="56"/>
  <c r="F3843" i="56" s="1"/>
  <c r="I3843" i="56"/>
  <c r="C3844" i="56"/>
  <c r="D3844" i="56" s="1"/>
  <c r="E3844" i="56"/>
  <c r="F3844" i="56" s="1"/>
  <c r="I3844" i="56"/>
  <c r="C3845" i="56"/>
  <c r="D3845" i="56" s="1"/>
  <c r="E3845" i="56"/>
  <c r="F3845" i="56" s="1"/>
  <c r="L3845" i="56"/>
  <c r="C3846" i="56"/>
  <c r="D3846" i="56" s="1"/>
  <c r="E3846" i="56"/>
  <c r="F3846" i="56" s="1"/>
  <c r="L3846" i="56"/>
  <c r="C3847" i="56"/>
  <c r="D3847" i="56" s="1"/>
  <c r="E3847" i="56"/>
  <c r="F3847" i="56" s="1"/>
  <c r="I3847" i="56"/>
  <c r="C3848" i="56"/>
  <c r="D3848" i="56" s="1"/>
  <c r="E3848" i="56"/>
  <c r="F3848" i="56" s="1"/>
  <c r="C3849" i="56"/>
  <c r="D3849" i="56" s="1"/>
  <c r="E3849" i="56"/>
  <c r="F3849" i="56" s="1"/>
  <c r="I3849" i="56"/>
  <c r="L3849" i="56"/>
  <c r="C3850" i="56"/>
  <c r="D3850" i="56" s="1"/>
  <c r="E3850" i="56"/>
  <c r="F3850" i="56" s="1"/>
  <c r="I3850" i="56"/>
  <c r="L3850" i="56"/>
  <c r="C3851" i="56"/>
  <c r="D3851" i="56" s="1"/>
  <c r="E3851" i="56"/>
  <c r="F3851" i="56" s="1"/>
  <c r="I3851" i="56"/>
  <c r="L3851" i="56"/>
  <c r="C3852" i="56"/>
  <c r="D3852" i="56" s="1"/>
  <c r="E3852" i="56"/>
  <c r="F3852" i="56" s="1"/>
  <c r="I3852" i="56"/>
  <c r="L3852" i="56"/>
  <c r="C3853" i="56"/>
  <c r="D3853" i="56" s="1"/>
  <c r="E3853" i="56"/>
  <c r="F3853" i="56" s="1"/>
  <c r="I3853" i="56"/>
  <c r="C3854" i="56"/>
  <c r="D3854" i="56" s="1"/>
  <c r="E3854" i="56"/>
  <c r="F3854" i="56" s="1"/>
  <c r="I3854" i="56"/>
  <c r="C3855" i="56"/>
  <c r="D3855" i="56" s="1"/>
  <c r="E3855" i="56"/>
  <c r="F3855" i="56" s="1"/>
  <c r="I3855" i="56"/>
  <c r="C3856" i="56"/>
  <c r="D3856" i="56" s="1"/>
  <c r="E3856" i="56"/>
  <c r="F3856" i="56" s="1"/>
  <c r="I3856" i="56"/>
  <c r="C3857" i="56"/>
  <c r="D3857" i="56" s="1"/>
  <c r="E3857" i="56"/>
  <c r="F3857" i="56" s="1"/>
  <c r="L3857" i="56"/>
  <c r="C3858" i="56"/>
  <c r="D3858" i="56" s="1"/>
  <c r="E3858" i="56"/>
  <c r="F3858" i="56" s="1"/>
  <c r="I3858" i="56"/>
  <c r="L3858" i="56"/>
  <c r="C3859" i="56"/>
  <c r="D3859" i="56" s="1"/>
  <c r="E3859" i="56"/>
  <c r="F3859" i="56" s="1"/>
  <c r="C3860" i="56"/>
  <c r="D3860" i="56" s="1"/>
  <c r="E3860" i="56"/>
  <c r="F3860" i="56" s="1"/>
  <c r="C3861" i="56"/>
  <c r="D3861" i="56" s="1"/>
  <c r="E3861" i="56"/>
  <c r="F3861" i="56" s="1"/>
  <c r="I3861" i="56"/>
  <c r="L3861" i="56"/>
  <c r="C3862" i="56"/>
  <c r="D3862" i="56" s="1"/>
  <c r="E3862" i="56"/>
  <c r="F3862" i="56" s="1"/>
  <c r="I3862" i="56"/>
  <c r="L3862" i="56"/>
  <c r="C3863" i="56"/>
  <c r="D3863" i="56" s="1"/>
  <c r="E3863" i="56"/>
  <c r="F3863" i="56" s="1"/>
  <c r="I3863" i="56"/>
  <c r="L3863" i="56"/>
  <c r="C3864" i="56"/>
  <c r="D3864" i="56" s="1"/>
  <c r="E3864" i="56"/>
  <c r="F3864" i="56" s="1"/>
  <c r="I3864" i="56"/>
  <c r="L3864" i="56"/>
  <c r="C3865" i="56"/>
  <c r="D3865" i="56" s="1"/>
  <c r="E3865" i="56"/>
  <c r="F3865" i="56" s="1"/>
  <c r="I3865" i="56"/>
  <c r="C3866" i="56"/>
  <c r="D3866" i="56" s="1"/>
  <c r="E3866" i="56"/>
  <c r="F3866" i="56" s="1"/>
  <c r="I3866" i="56"/>
  <c r="C3867" i="56"/>
  <c r="D3867" i="56" s="1"/>
  <c r="E3867" i="56"/>
  <c r="F3867" i="56" s="1"/>
  <c r="I3867" i="56"/>
  <c r="C3868" i="56"/>
  <c r="D3868" i="56" s="1"/>
  <c r="E3868" i="56"/>
  <c r="F3868" i="56" s="1"/>
  <c r="I3868" i="56"/>
  <c r="C3869" i="56"/>
  <c r="D3869" i="56" s="1"/>
  <c r="E3869" i="56"/>
  <c r="F3869" i="56" s="1"/>
  <c r="L3869" i="56"/>
  <c r="C3870" i="56"/>
  <c r="D3870" i="56" s="1"/>
  <c r="E3870" i="56"/>
  <c r="F3870" i="56" s="1"/>
  <c r="L3870" i="56"/>
  <c r="C3871" i="56"/>
  <c r="D3871" i="56" s="1"/>
  <c r="E3871" i="56"/>
  <c r="F3871" i="56" s="1"/>
  <c r="I3871" i="56"/>
  <c r="C3872" i="56"/>
  <c r="D3872" i="56" s="1"/>
  <c r="E3872" i="56"/>
  <c r="F3872" i="56" s="1"/>
  <c r="C3873" i="56"/>
  <c r="D3873" i="56" s="1"/>
  <c r="E3873" i="56"/>
  <c r="F3873" i="56" s="1"/>
  <c r="I3873" i="56"/>
  <c r="L3873" i="56"/>
  <c r="C3874" i="56"/>
  <c r="D3874" i="56" s="1"/>
  <c r="E3874" i="56"/>
  <c r="F3874" i="56" s="1"/>
  <c r="I3874" i="56"/>
  <c r="L3874" i="56"/>
  <c r="C3875" i="56"/>
  <c r="D3875" i="56" s="1"/>
  <c r="E3875" i="56"/>
  <c r="F3875" i="56" s="1"/>
  <c r="I3875" i="56"/>
  <c r="L3875" i="56"/>
  <c r="C3876" i="56"/>
  <c r="D3876" i="56" s="1"/>
  <c r="E3876" i="56"/>
  <c r="F3876" i="56" s="1"/>
  <c r="I3876" i="56"/>
  <c r="L3876" i="56"/>
  <c r="C3877" i="56"/>
  <c r="D3877" i="56" s="1"/>
  <c r="E3877" i="56"/>
  <c r="F3877" i="56" s="1"/>
  <c r="I3877" i="56"/>
  <c r="C3878" i="56"/>
  <c r="D3878" i="56" s="1"/>
  <c r="E3878" i="56"/>
  <c r="F3878" i="56" s="1"/>
  <c r="I3878" i="56"/>
  <c r="C3879" i="56"/>
  <c r="D3879" i="56" s="1"/>
  <c r="E3879" i="56"/>
  <c r="F3879" i="56" s="1"/>
  <c r="I3879" i="56"/>
  <c r="C3880" i="56"/>
  <c r="D3880" i="56" s="1"/>
  <c r="E3880" i="56"/>
  <c r="F3880" i="56" s="1"/>
  <c r="I3880" i="56"/>
  <c r="C3881" i="56"/>
  <c r="D3881" i="56" s="1"/>
  <c r="E3881" i="56"/>
  <c r="F3881" i="56" s="1"/>
  <c r="L3881" i="56"/>
  <c r="C3882" i="56"/>
  <c r="D3882" i="56" s="1"/>
  <c r="E3882" i="56"/>
  <c r="F3882" i="56" s="1"/>
  <c r="I3882" i="56"/>
  <c r="L3882" i="56"/>
  <c r="C3883" i="56"/>
  <c r="D3883" i="56" s="1"/>
  <c r="E3883" i="56"/>
  <c r="F3883" i="56" s="1"/>
  <c r="C3884" i="56"/>
  <c r="D3884" i="56" s="1"/>
  <c r="E3884" i="56"/>
  <c r="F3884" i="56" s="1"/>
  <c r="C3885" i="56"/>
  <c r="D3885" i="56" s="1"/>
  <c r="E3885" i="56"/>
  <c r="F3885" i="56" s="1"/>
  <c r="I3885" i="56"/>
  <c r="L3885" i="56"/>
  <c r="C3886" i="56"/>
  <c r="D3886" i="56"/>
  <c r="E3886" i="56"/>
  <c r="F3886" i="56" s="1"/>
  <c r="I3886" i="56"/>
  <c r="L3886" i="56"/>
  <c r="C3887" i="56"/>
  <c r="D3887" i="56" s="1"/>
  <c r="E3887" i="56"/>
  <c r="F3887" i="56" s="1"/>
  <c r="I3887" i="56"/>
  <c r="L3887" i="56"/>
  <c r="C3888" i="56"/>
  <c r="D3888" i="56" s="1"/>
  <c r="E3888" i="56"/>
  <c r="F3888" i="56" s="1"/>
  <c r="I3888" i="56"/>
  <c r="L3888" i="56"/>
  <c r="C3889" i="56"/>
  <c r="D3889" i="56" s="1"/>
  <c r="E3889" i="56"/>
  <c r="F3889" i="56" s="1"/>
  <c r="I3889" i="56"/>
  <c r="C3890" i="56"/>
  <c r="D3890" i="56" s="1"/>
  <c r="E3890" i="56"/>
  <c r="F3890" i="56" s="1"/>
  <c r="I3890" i="56"/>
  <c r="C3891" i="56"/>
  <c r="D3891" i="56" s="1"/>
  <c r="E3891" i="56"/>
  <c r="F3891" i="56" s="1"/>
  <c r="I3891" i="56"/>
  <c r="C3892" i="56"/>
  <c r="D3892" i="56" s="1"/>
  <c r="E3892" i="56"/>
  <c r="F3892" i="56" s="1"/>
  <c r="I3892" i="56"/>
  <c r="C3893" i="56"/>
  <c r="D3893" i="56" s="1"/>
  <c r="E3893" i="56"/>
  <c r="F3893" i="56" s="1"/>
  <c r="L3893" i="56"/>
  <c r="C3894" i="56"/>
  <c r="D3894" i="56" s="1"/>
  <c r="E3894" i="56"/>
  <c r="F3894" i="56" s="1"/>
  <c r="L3894" i="56"/>
  <c r="C3895" i="56"/>
  <c r="D3895" i="56" s="1"/>
  <c r="E3895" i="56"/>
  <c r="F3895" i="56" s="1"/>
  <c r="I3895" i="56"/>
  <c r="C3896" i="56"/>
  <c r="D3896" i="56" s="1"/>
  <c r="E3896" i="56"/>
  <c r="F3896" i="56" s="1"/>
  <c r="C3897" i="56"/>
  <c r="D3897" i="56"/>
  <c r="E3897" i="56"/>
  <c r="F3897" i="56" s="1"/>
  <c r="I3897" i="56"/>
  <c r="L3897" i="56"/>
  <c r="C3898" i="56"/>
  <c r="D3898" i="56" s="1"/>
  <c r="E3898" i="56"/>
  <c r="F3898" i="56" s="1"/>
  <c r="I3898" i="56"/>
  <c r="L3898" i="56"/>
  <c r="C3899" i="56"/>
  <c r="D3899" i="56" s="1"/>
  <c r="E3899" i="56"/>
  <c r="F3899" i="56" s="1"/>
  <c r="I3899" i="56"/>
  <c r="L3899" i="56"/>
  <c r="C3900" i="56"/>
  <c r="D3900" i="56" s="1"/>
  <c r="E3900" i="56"/>
  <c r="F3900" i="56" s="1"/>
  <c r="I3900" i="56"/>
  <c r="L3900" i="56"/>
  <c r="C3901" i="56"/>
  <c r="D3901" i="56" s="1"/>
  <c r="E3901" i="56"/>
  <c r="F3901" i="56" s="1"/>
  <c r="I3901" i="56"/>
  <c r="C3902" i="56"/>
  <c r="D3902" i="56" s="1"/>
  <c r="E3902" i="56"/>
  <c r="F3902" i="56" s="1"/>
  <c r="I3902" i="56"/>
  <c r="C3903" i="56"/>
  <c r="D3903" i="56" s="1"/>
  <c r="E3903" i="56"/>
  <c r="F3903" i="56" s="1"/>
  <c r="I3903" i="56"/>
  <c r="C3904" i="56"/>
  <c r="D3904" i="56" s="1"/>
  <c r="E3904" i="56"/>
  <c r="F3904" i="56" s="1"/>
  <c r="I3904" i="56"/>
  <c r="C3905" i="56"/>
  <c r="D3905" i="56" s="1"/>
  <c r="E3905" i="56"/>
  <c r="F3905" i="56" s="1"/>
  <c r="L3905" i="56"/>
  <c r="C3906" i="56"/>
  <c r="D3906" i="56" s="1"/>
  <c r="E3906" i="56"/>
  <c r="F3906" i="56" s="1"/>
  <c r="I3906" i="56"/>
  <c r="L3906" i="56"/>
  <c r="C3907" i="56"/>
  <c r="D3907" i="56" s="1"/>
  <c r="E3907" i="56"/>
  <c r="F3907" i="56" s="1"/>
  <c r="C3908" i="56"/>
  <c r="D3908" i="56" s="1"/>
  <c r="E3908" i="56"/>
  <c r="F3908" i="56" s="1"/>
  <c r="C3909" i="56"/>
  <c r="D3909" i="56" s="1"/>
  <c r="E3909" i="56"/>
  <c r="F3909" i="56" s="1"/>
  <c r="I3909" i="56"/>
  <c r="L3909" i="56"/>
  <c r="C3910" i="56"/>
  <c r="D3910" i="56" s="1"/>
  <c r="E3910" i="56"/>
  <c r="F3910" i="56" s="1"/>
  <c r="I3910" i="56"/>
  <c r="L3910" i="56"/>
  <c r="C3911" i="56"/>
  <c r="D3911" i="56" s="1"/>
  <c r="E3911" i="56"/>
  <c r="F3911" i="56" s="1"/>
  <c r="I3911" i="56"/>
  <c r="L3911" i="56"/>
  <c r="C3912" i="56"/>
  <c r="D3912" i="56" s="1"/>
  <c r="E3912" i="56"/>
  <c r="F3912" i="56" s="1"/>
  <c r="I3912" i="56"/>
  <c r="L3912" i="56"/>
  <c r="C3913" i="56"/>
  <c r="D3913" i="56" s="1"/>
  <c r="E3913" i="56"/>
  <c r="F3913" i="56" s="1"/>
  <c r="I3913" i="56"/>
  <c r="C3914" i="56"/>
  <c r="D3914" i="56" s="1"/>
  <c r="E3914" i="56"/>
  <c r="F3914" i="56" s="1"/>
  <c r="I3914" i="56"/>
  <c r="C3915" i="56"/>
  <c r="D3915" i="56" s="1"/>
  <c r="E3915" i="56"/>
  <c r="F3915" i="56" s="1"/>
  <c r="I3915" i="56"/>
  <c r="C3916" i="56"/>
  <c r="D3916" i="56" s="1"/>
  <c r="E3916" i="56"/>
  <c r="F3916" i="56" s="1"/>
  <c r="I3916" i="56"/>
  <c r="L3916" i="56"/>
  <c r="C3917" i="56"/>
  <c r="D3917" i="56" s="1"/>
  <c r="E3917" i="56"/>
  <c r="F3917" i="56" s="1"/>
  <c r="L3917" i="56"/>
  <c r="C3918" i="56"/>
  <c r="D3918" i="56" s="1"/>
  <c r="E3918" i="56"/>
  <c r="F3918" i="56" s="1"/>
  <c r="L3918" i="56"/>
  <c r="C3919" i="56"/>
  <c r="D3919" i="56" s="1"/>
  <c r="E3919" i="56"/>
  <c r="F3919" i="56" s="1"/>
  <c r="I3919" i="56"/>
  <c r="C3920" i="56"/>
  <c r="D3920" i="56" s="1"/>
  <c r="E3920" i="56"/>
  <c r="F3920" i="56" s="1"/>
  <c r="C3921" i="56"/>
  <c r="D3921" i="56" s="1"/>
  <c r="E3921" i="56"/>
  <c r="F3921" i="56" s="1"/>
  <c r="I3921" i="56"/>
  <c r="L3921" i="56"/>
  <c r="C3922" i="56"/>
  <c r="D3922" i="56" s="1"/>
  <c r="E3922" i="56"/>
  <c r="F3922" i="56" s="1"/>
  <c r="I3922" i="56"/>
  <c r="L3922" i="56"/>
  <c r="C3923" i="56"/>
  <c r="D3923" i="56" s="1"/>
  <c r="E3923" i="56"/>
  <c r="F3923" i="56" s="1"/>
  <c r="I3923" i="56"/>
  <c r="L3923" i="56"/>
  <c r="C3924" i="56"/>
  <c r="D3924" i="56" s="1"/>
  <c r="E3924" i="56"/>
  <c r="F3924" i="56" s="1"/>
  <c r="I3924" i="56"/>
  <c r="L3924" i="56"/>
  <c r="C3925" i="56"/>
  <c r="D3925" i="56" s="1"/>
  <c r="E3925" i="56"/>
  <c r="F3925" i="56" s="1"/>
  <c r="I3925" i="56"/>
  <c r="C3926" i="56"/>
  <c r="D3926" i="56" s="1"/>
  <c r="E3926" i="56"/>
  <c r="F3926" i="56" s="1"/>
  <c r="I3926" i="56"/>
  <c r="C3927" i="56"/>
  <c r="D3927" i="56" s="1"/>
  <c r="E3927" i="56"/>
  <c r="F3927" i="56" s="1"/>
  <c r="I3927" i="56"/>
  <c r="C3928" i="56"/>
  <c r="D3928" i="56" s="1"/>
  <c r="E3928" i="56"/>
  <c r="F3928" i="56" s="1"/>
  <c r="I3928" i="56"/>
  <c r="C3929" i="56"/>
  <c r="D3929" i="56" s="1"/>
  <c r="E3929" i="56"/>
  <c r="F3929" i="56" s="1"/>
  <c r="L3929" i="56"/>
  <c r="C3930" i="56"/>
  <c r="D3930" i="56" s="1"/>
  <c r="E3930" i="56"/>
  <c r="F3930" i="56" s="1"/>
  <c r="I3930" i="56"/>
  <c r="L3930" i="56"/>
  <c r="C3931" i="56"/>
  <c r="D3931" i="56" s="1"/>
  <c r="E3931" i="56"/>
  <c r="F3931" i="56" s="1"/>
  <c r="C3932" i="56"/>
  <c r="D3932" i="56" s="1"/>
  <c r="E3932" i="56"/>
  <c r="F3932" i="56" s="1"/>
  <c r="I3932" i="56"/>
  <c r="C3933" i="56"/>
  <c r="D3933" i="56" s="1"/>
  <c r="E3933" i="56"/>
  <c r="F3933" i="56" s="1"/>
  <c r="I3933" i="56"/>
  <c r="L3933" i="56"/>
  <c r="C3934" i="56"/>
  <c r="D3934" i="56" s="1"/>
  <c r="E3934" i="56"/>
  <c r="F3934" i="56" s="1"/>
  <c r="I3934" i="56"/>
  <c r="L3934" i="56"/>
  <c r="C3935" i="56"/>
  <c r="D3935" i="56" s="1"/>
  <c r="E3935" i="56"/>
  <c r="F3935" i="56" s="1"/>
  <c r="I3935" i="56"/>
  <c r="L3935" i="56"/>
  <c r="C3936" i="56"/>
  <c r="D3936" i="56" s="1"/>
  <c r="E3936" i="56"/>
  <c r="F3936" i="56" s="1"/>
  <c r="I3936" i="56"/>
  <c r="L3936" i="56"/>
  <c r="C3937" i="56"/>
  <c r="D3937" i="56" s="1"/>
  <c r="E3937" i="56"/>
  <c r="F3937" i="56" s="1"/>
  <c r="I3937" i="56"/>
  <c r="C3938" i="56"/>
  <c r="D3938" i="56" s="1"/>
  <c r="E3938" i="56"/>
  <c r="F3938" i="56" s="1"/>
  <c r="I3938" i="56"/>
  <c r="C3939" i="56"/>
  <c r="D3939" i="56" s="1"/>
  <c r="E3939" i="56"/>
  <c r="F3939" i="56" s="1"/>
  <c r="I3939" i="56"/>
  <c r="C3940" i="56"/>
  <c r="D3940" i="56" s="1"/>
  <c r="E3940" i="56"/>
  <c r="F3940" i="56" s="1"/>
  <c r="I3940" i="56"/>
  <c r="C3941" i="56"/>
  <c r="D3941" i="56" s="1"/>
  <c r="E3941" i="56"/>
  <c r="F3941" i="56" s="1"/>
  <c r="L3941" i="56"/>
  <c r="C3942" i="56"/>
  <c r="D3942" i="56" s="1"/>
  <c r="E3942" i="56"/>
  <c r="F3942" i="56" s="1"/>
  <c r="L3942" i="56"/>
  <c r="C3943" i="56"/>
  <c r="D3943" i="56" s="1"/>
  <c r="E3943" i="56"/>
  <c r="F3943" i="56" s="1"/>
  <c r="I3943" i="56"/>
  <c r="C3944" i="56"/>
  <c r="D3944" i="56" s="1"/>
  <c r="E3944" i="56"/>
  <c r="F3944" i="56" s="1"/>
  <c r="C3945" i="56"/>
  <c r="D3945" i="56" s="1"/>
  <c r="E3945" i="56"/>
  <c r="F3945" i="56" s="1"/>
  <c r="I3945" i="56"/>
  <c r="L3945" i="56"/>
  <c r="C3946" i="56"/>
  <c r="D3946" i="56" s="1"/>
  <c r="E3946" i="56"/>
  <c r="F3946" i="56" s="1"/>
  <c r="I3946" i="56"/>
  <c r="C3947" i="56"/>
  <c r="D3947" i="56" s="1"/>
  <c r="E3947" i="56"/>
  <c r="F3947" i="56" s="1"/>
  <c r="I3947" i="56"/>
  <c r="L3947" i="56"/>
  <c r="C3948" i="56"/>
  <c r="D3948" i="56" s="1"/>
  <c r="E3948" i="56"/>
  <c r="F3948" i="56" s="1"/>
  <c r="I3948" i="56"/>
  <c r="L3948" i="56"/>
  <c r="C3949" i="56"/>
  <c r="D3949" i="56" s="1"/>
  <c r="E3949" i="56"/>
  <c r="F3949" i="56" s="1"/>
  <c r="I3949" i="56"/>
  <c r="C3950" i="56"/>
  <c r="D3950" i="56" s="1"/>
  <c r="E3950" i="56"/>
  <c r="F3950" i="56" s="1"/>
  <c r="I3950" i="56"/>
  <c r="C3951" i="56"/>
  <c r="D3951" i="56" s="1"/>
  <c r="E3951" i="56"/>
  <c r="F3951" i="56" s="1"/>
  <c r="I3951" i="56"/>
  <c r="C3952" i="56"/>
  <c r="D3952" i="56" s="1"/>
  <c r="E3952" i="56"/>
  <c r="F3952" i="56" s="1"/>
  <c r="I3952" i="56"/>
  <c r="C3953" i="56"/>
  <c r="D3953" i="56" s="1"/>
  <c r="E3953" i="56"/>
  <c r="F3953" i="56" s="1"/>
  <c r="L3953" i="56"/>
  <c r="C3954" i="56"/>
  <c r="D3954" i="56" s="1"/>
  <c r="E3954" i="56"/>
  <c r="F3954" i="56" s="1"/>
  <c r="L3954" i="56"/>
  <c r="C3955" i="56"/>
  <c r="D3955" i="56" s="1"/>
  <c r="E3955" i="56"/>
  <c r="F3955" i="56" s="1"/>
  <c r="I3955" i="56"/>
  <c r="C3956" i="56"/>
  <c r="D3956" i="56" s="1"/>
  <c r="E3956" i="56"/>
  <c r="F3956" i="56" s="1"/>
  <c r="C3957" i="56"/>
  <c r="D3957" i="56" s="1"/>
  <c r="E3957" i="56"/>
  <c r="F3957" i="56" s="1"/>
  <c r="I3957" i="56"/>
  <c r="L3957" i="56"/>
  <c r="C3958" i="56"/>
  <c r="D3958" i="56" s="1"/>
  <c r="E3958" i="56"/>
  <c r="F3958" i="56" s="1"/>
  <c r="I3958" i="56"/>
  <c r="L3958" i="56"/>
  <c r="C3959" i="56"/>
  <c r="D3959" i="56" s="1"/>
  <c r="E3959" i="56"/>
  <c r="F3959" i="56" s="1"/>
  <c r="I3959" i="56"/>
  <c r="L3959" i="56"/>
  <c r="C3960" i="56"/>
  <c r="D3960" i="56" s="1"/>
  <c r="E3960" i="56"/>
  <c r="F3960" i="56" s="1"/>
  <c r="I3960" i="56"/>
  <c r="L3960" i="56"/>
  <c r="C3961" i="56"/>
  <c r="D3961" i="56" s="1"/>
  <c r="E3961" i="56"/>
  <c r="F3961" i="56" s="1"/>
  <c r="I3961" i="56"/>
  <c r="C3962" i="56"/>
  <c r="D3962" i="56" s="1"/>
  <c r="E3962" i="56"/>
  <c r="F3962" i="56" s="1"/>
  <c r="I3962" i="56"/>
  <c r="C3963" i="56"/>
  <c r="D3963" i="56" s="1"/>
  <c r="E3963" i="56"/>
  <c r="F3963" i="56" s="1"/>
  <c r="I3963" i="56"/>
  <c r="C3964" i="56"/>
  <c r="D3964" i="56" s="1"/>
  <c r="E3964" i="56"/>
  <c r="F3964" i="56" s="1"/>
  <c r="I3964" i="56"/>
  <c r="C3965" i="56"/>
  <c r="D3965" i="56" s="1"/>
  <c r="E3965" i="56"/>
  <c r="F3965" i="56" s="1"/>
  <c r="L3965" i="56"/>
  <c r="C3966" i="56"/>
  <c r="D3966" i="56" s="1"/>
  <c r="E3966" i="56"/>
  <c r="F3966" i="56" s="1"/>
  <c r="L3966" i="56"/>
  <c r="C3967" i="56"/>
  <c r="D3967" i="56" s="1"/>
  <c r="E3967" i="56"/>
  <c r="F3967" i="56" s="1"/>
  <c r="C3968" i="56"/>
  <c r="D3968" i="56" s="1"/>
  <c r="E3968" i="56"/>
  <c r="F3968" i="56" s="1"/>
  <c r="C3969" i="56"/>
  <c r="D3969" i="56" s="1"/>
  <c r="E3969" i="56"/>
  <c r="F3969" i="56" s="1"/>
  <c r="I3969" i="56"/>
  <c r="L3969" i="56"/>
  <c r="C3970" i="56"/>
  <c r="D3970" i="56" s="1"/>
  <c r="E3970" i="56"/>
  <c r="F3970" i="56" s="1"/>
  <c r="I3970" i="56"/>
  <c r="L3970" i="56"/>
  <c r="C3971" i="56"/>
  <c r="D3971" i="56" s="1"/>
  <c r="E3971" i="56"/>
  <c r="F3971" i="56" s="1"/>
  <c r="I3971" i="56"/>
  <c r="L3971" i="56"/>
  <c r="C3972" i="56"/>
  <c r="D3972" i="56" s="1"/>
  <c r="E3972" i="56"/>
  <c r="F3972" i="56" s="1"/>
  <c r="I3972" i="56"/>
  <c r="L3972" i="56"/>
  <c r="C3973" i="56"/>
  <c r="D3973" i="56" s="1"/>
  <c r="E3973" i="56"/>
  <c r="F3973" i="56" s="1"/>
  <c r="I3973" i="56"/>
  <c r="C3974" i="56"/>
  <c r="D3974" i="56" s="1"/>
  <c r="E3974" i="56"/>
  <c r="F3974" i="56" s="1"/>
  <c r="I3974" i="56"/>
  <c r="C3975" i="56"/>
  <c r="D3975" i="56" s="1"/>
  <c r="E3975" i="56"/>
  <c r="F3975" i="56" s="1"/>
  <c r="I3975" i="56"/>
  <c r="C3976" i="56"/>
  <c r="D3976" i="56" s="1"/>
  <c r="E3976" i="56"/>
  <c r="F3976" i="56" s="1"/>
  <c r="I3976" i="56"/>
  <c r="L3976" i="56"/>
  <c r="C3977" i="56"/>
  <c r="D3977" i="56" s="1"/>
  <c r="E3977" i="56"/>
  <c r="F3977" i="56" s="1"/>
  <c r="L3977" i="56"/>
  <c r="C3978" i="56"/>
  <c r="D3978" i="56" s="1"/>
  <c r="E3978" i="56"/>
  <c r="F3978" i="56" s="1"/>
  <c r="L3978" i="56"/>
  <c r="C3979" i="56"/>
  <c r="D3979" i="56" s="1"/>
  <c r="E3979" i="56"/>
  <c r="F3979" i="56" s="1"/>
  <c r="I3979" i="56"/>
  <c r="C3980" i="56"/>
  <c r="D3980" i="56" s="1"/>
  <c r="E3980" i="56"/>
  <c r="F3980" i="56" s="1"/>
  <c r="C3981" i="56"/>
  <c r="D3981" i="56" s="1"/>
  <c r="E3981" i="56"/>
  <c r="F3981" i="56" s="1"/>
  <c r="I3981" i="56"/>
  <c r="L3981" i="56"/>
  <c r="C3982" i="56"/>
  <c r="D3982" i="56" s="1"/>
  <c r="E3982" i="56"/>
  <c r="F3982" i="56" s="1"/>
  <c r="I3982" i="56"/>
  <c r="C3983" i="56"/>
  <c r="D3983" i="56" s="1"/>
  <c r="E3983" i="56"/>
  <c r="F3983" i="56" s="1"/>
  <c r="I3983" i="56"/>
  <c r="L3983" i="56"/>
  <c r="C3984" i="56"/>
  <c r="D3984" i="56" s="1"/>
  <c r="E3984" i="56"/>
  <c r="F3984" i="56" s="1"/>
  <c r="I3984" i="56"/>
  <c r="L3984" i="56"/>
  <c r="C3985" i="56"/>
  <c r="D3985" i="56" s="1"/>
  <c r="E3985" i="56"/>
  <c r="F3985" i="56" s="1"/>
  <c r="I3985" i="56"/>
  <c r="C3986" i="56"/>
  <c r="D3986" i="56" s="1"/>
  <c r="E3986" i="56"/>
  <c r="F3986" i="56" s="1"/>
  <c r="I3986" i="56"/>
  <c r="C3987" i="56"/>
  <c r="D3987" i="56" s="1"/>
  <c r="E3987" i="56"/>
  <c r="F3987" i="56" s="1"/>
  <c r="I3987" i="56"/>
  <c r="C3988" i="56"/>
  <c r="D3988" i="56" s="1"/>
  <c r="E3988" i="56"/>
  <c r="F3988" i="56" s="1"/>
  <c r="I3988" i="56"/>
  <c r="C3989" i="56"/>
  <c r="D3989" i="56" s="1"/>
  <c r="E3989" i="56"/>
  <c r="F3989" i="56" s="1"/>
  <c r="L3989" i="56"/>
  <c r="C3990" i="56"/>
  <c r="D3990" i="56"/>
  <c r="E3990" i="56"/>
  <c r="F3990" i="56" s="1"/>
  <c r="L3990" i="56"/>
  <c r="C3991" i="56"/>
  <c r="D3991" i="56" s="1"/>
  <c r="E3991" i="56"/>
  <c r="F3991" i="56" s="1"/>
  <c r="C3992" i="56"/>
  <c r="D3992" i="56" s="1"/>
  <c r="E3992" i="56"/>
  <c r="F3992" i="56"/>
  <c r="C3993" i="56"/>
  <c r="D3993" i="56" s="1"/>
  <c r="E3993" i="56"/>
  <c r="F3993" i="56" s="1"/>
  <c r="I3993" i="56"/>
  <c r="L3993" i="56"/>
  <c r="C3994" i="56"/>
  <c r="D3994" i="56" s="1"/>
  <c r="E3994" i="56"/>
  <c r="F3994" i="56" s="1"/>
  <c r="I3994" i="56"/>
  <c r="L3994" i="56"/>
  <c r="C3995" i="56"/>
  <c r="D3995" i="56" s="1"/>
  <c r="E3995" i="56"/>
  <c r="F3995" i="56" s="1"/>
  <c r="I3995" i="56"/>
  <c r="L3995" i="56"/>
  <c r="C3996" i="56"/>
  <c r="D3996" i="56" s="1"/>
  <c r="E3996" i="56"/>
  <c r="F3996" i="56" s="1"/>
  <c r="I3996" i="56"/>
  <c r="L3996" i="56"/>
  <c r="C3997" i="56"/>
  <c r="D3997" i="56" s="1"/>
  <c r="E3997" i="56"/>
  <c r="F3997" i="56" s="1"/>
  <c r="I3997" i="56"/>
  <c r="C3998" i="56"/>
  <c r="D3998" i="56" s="1"/>
  <c r="E3998" i="56"/>
  <c r="F3998" i="56" s="1"/>
  <c r="I3998" i="56"/>
  <c r="C3999" i="56"/>
  <c r="D3999" i="56" s="1"/>
  <c r="E3999" i="56"/>
  <c r="F3999" i="56" s="1"/>
  <c r="I3999" i="56"/>
  <c r="C4000" i="56"/>
  <c r="D4000" i="56" s="1"/>
  <c r="E4000" i="56"/>
  <c r="F4000" i="56" s="1"/>
  <c r="I4000" i="56"/>
  <c r="C4001" i="56"/>
  <c r="D4001" i="56" s="1"/>
  <c r="E4001" i="56"/>
  <c r="F4001" i="56" s="1"/>
  <c r="L4001" i="56"/>
  <c r="C4002" i="56"/>
  <c r="D4002" i="56" s="1"/>
  <c r="E4002" i="56"/>
  <c r="F4002" i="56"/>
  <c r="I4002" i="56"/>
  <c r="L4002" i="56"/>
  <c r="C4003" i="56"/>
  <c r="D4003" i="56" s="1"/>
  <c r="E4003" i="56"/>
  <c r="F4003" i="56" s="1"/>
  <c r="C4004" i="56"/>
  <c r="D4004" i="56" s="1"/>
  <c r="E4004" i="56"/>
  <c r="F4004" i="56" s="1"/>
  <c r="C4005" i="56"/>
  <c r="D4005" i="56" s="1"/>
  <c r="E4005" i="56"/>
  <c r="F4005" i="56" s="1"/>
  <c r="I4005" i="56"/>
  <c r="L4005" i="56"/>
  <c r="C4006" i="56"/>
  <c r="D4006" i="56"/>
  <c r="E4006" i="56"/>
  <c r="F4006" i="56"/>
  <c r="I4006" i="56"/>
  <c r="L4006" i="56"/>
  <c r="C4007" i="56"/>
  <c r="D4007" i="56" s="1"/>
  <c r="E4007" i="56"/>
  <c r="F4007" i="56" s="1"/>
  <c r="I4007" i="56"/>
  <c r="C4008" i="56"/>
  <c r="D4008" i="56" s="1"/>
  <c r="E4008" i="56"/>
  <c r="F4008" i="56" s="1"/>
  <c r="I4008" i="56"/>
  <c r="L4008" i="56"/>
  <c r="C4009" i="56"/>
  <c r="D4009" i="56" s="1"/>
  <c r="E4009" i="56"/>
  <c r="F4009" i="56" s="1"/>
  <c r="I4009" i="56"/>
  <c r="C4010" i="56"/>
  <c r="D4010" i="56" s="1"/>
  <c r="E4010" i="56"/>
  <c r="F4010" i="56" s="1"/>
  <c r="I4010" i="56"/>
  <c r="C4011" i="56"/>
  <c r="D4011" i="56" s="1"/>
  <c r="E4011" i="56"/>
  <c r="F4011" i="56" s="1"/>
  <c r="I4011" i="56"/>
  <c r="C4012" i="56"/>
  <c r="D4012" i="56" s="1"/>
  <c r="E4012" i="56"/>
  <c r="F4012" i="56" s="1"/>
  <c r="I4012" i="56"/>
  <c r="C4013" i="56"/>
  <c r="D4013" i="56" s="1"/>
  <c r="E4013" i="56"/>
  <c r="F4013" i="56" s="1"/>
  <c r="L4013" i="56"/>
  <c r="C4014" i="56"/>
  <c r="D4014" i="56" s="1"/>
  <c r="E4014" i="56"/>
  <c r="F4014" i="56" s="1"/>
  <c r="L4014" i="56"/>
  <c r="C4015" i="56"/>
  <c r="D4015" i="56" s="1"/>
  <c r="E4015" i="56"/>
  <c r="F4015" i="56" s="1"/>
  <c r="C4016" i="56"/>
  <c r="D4016" i="56" s="1"/>
  <c r="E4016" i="56"/>
  <c r="F4016" i="56" s="1"/>
  <c r="C4017" i="56"/>
  <c r="D4017" i="56" s="1"/>
  <c r="E4017" i="56"/>
  <c r="F4017" i="56" s="1"/>
  <c r="I4017" i="56"/>
  <c r="L4017" i="56"/>
  <c r="C4018" i="56"/>
  <c r="D4018" i="56" s="1"/>
  <c r="E4018" i="56"/>
  <c r="F4018" i="56" s="1"/>
  <c r="I4018" i="56"/>
  <c r="L4018" i="56"/>
  <c r="C4019" i="56"/>
  <c r="D4019" i="56" s="1"/>
  <c r="E4019" i="56"/>
  <c r="F4019" i="56" s="1"/>
  <c r="I4019" i="56"/>
  <c r="L4019" i="56"/>
  <c r="C4020" i="56"/>
  <c r="D4020" i="56" s="1"/>
  <c r="E4020" i="56"/>
  <c r="F4020" i="56"/>
  <c r="I4020" i="56"/>
  <c r="L4020" i="56"/>
  <c r="C4021" i="56"/>
  <c r="D4021" i="56" s="1"/>
  <c r="E4021" i="56"/>
  <c r="F4021" i="56" s="1"/>
  <c r="I4021" i="56"/>
  <c r="C4022" i="56"/>
  <c r="D4022" i="56" s="1"/>
  <c r="E4022" i="56"/>
  <c r="F4022" i="56" s="1"/>
  <c r="I4022" i="56"/>
  <c r="C4023" i="56"/>
  <c r="D4023" i="56" s="1"/>
  <c r="E4023" i="56"/>
  <c r="F4023" i="56" s="1"/>
  <c r="I4023" i="56"/>
  <c r="C4024" i="56"/>
  <c r="D4024" i="56" s="1"/>
  <c r="E4024" i="56"/>
  <c r="F4024" i="56" s="1"/>
  <c r="I4024" i="56"/>
  <c r="C4025" i="56"/>
  <c r="D4025" i="56" s="1"/>
  <c r="E4025" i="56"/>
  <c r="F4025" i="56" s="1"/>
  <c r="L4025" i="56"/>
  <c r="C4026" i="56"/>
  <c r="D4026" i="56" s="1"/>
  <c r="E4026" i="56"/>
  <c r="F4026" i="56" s="1"/>
  <c r="I4026" i="56"/>
  <c r="L4026" i="56"/>
  <c r="C4027" i="56"/>
  <c r="D4027" i="56" s="1"/>
  <c r="E4027" i="56"/>
  <c r="F4027" i="56" s="1"/>
  <c r="C4028" i="56"/>
  <c r="D4028" i="56" s="1"/>
  <c r="E4028" i="56"/>
  <c r="F4028" i="56" s="1"/>
  <c r="C4029" i="56"/>
  <c r="D4029" i="56" s="1"/>
  <c r="E4029" i="56"/>
  <c r="F4029" i="56" s="1"/>
  <c r="I4029" i="56"/>
  <c r="L4029" i="56"/>
  <c r="C4030" i="56"/>
  <c r="D4030" i="56" s="1"/>
  <c r="E4030" i="56"/>
  <c r="F4030" i="56" s="1"/>
  <c r="I4030" i="56"/>
  <c r="L4030" i="56"/>
  <c r="C4031" i="56"/>
  <c r="D4031" i="56" s="1"/>
  <c r="E4031" i="56"/>
  <c r="F4031" i="56" s="1"/>
  <c r="I4031" i="56"/>
  <c r="L4031" i="56"/>
  <c r="C4032" i="56"/>
  <c r="D4032" i="56" s="1"/>
  <c r="E4032" i="56"/>
  <c r="F4032" i="56" s="1"/>
  <c r="I4032" i="56"/>
  <c r="L4032" i="56"/>
  <c r="C4033" i="56"/>
  <c r="D4033" i="56" s="1"/>
  <c r="E4033" i="56"/>
  <c r="F4033" i="56" s="1"/>
  <c r="I4033" i="56"/>
  <c r="C4034" i="56"/>
  <c r="D4034" i="56" s="1"/>
  <c r="E4034" i="56"/>
  <c r="F4034" i="56" s="1"/>
  <c r="I4034" i="56"/>
  <c r="L4034" i="56"/>
  <c r="C4035" i="56"/>
  <c r="D4035" i="56" s="1"/>
  <c r="E4035" i="56"/>
  <c r="F4035" i="56" s="1"/>
  <c r="I4035" i="56"/>
  <c r="C4036" i="56"/>
  <c r="D4036" i="56" s="1"/>
  <c r="E4036" i="56"/>
  <c r="F4036" i="56" s="1"/>
  <c r="I4036" i="56"/>
  <c r="C4037" i="56"/>
  <c r="D4037" i="56" s="1"/>
  <c r="E4037" i="56"/>
  <c r="F4037" i="56" s="1"/>
  <c r="L4037" i="56"/>
  <c r="C4038" i="56"/>
  <c r="D4038" i="56" s="1"/>
  <c r="E4038" i="56"/>
  <c r="F4038" i="56" s="1"/>
  <c r="L4038" i="56"/>
  <c r="C4039" i="56"/>
  <c r="D4039" i="56" s="1"/>
  <c r="E4039" i="56"/>
  <c r="F4039" i="56" s="1"/>
  <c r="I4039" i="56"/>
  <c r="C4040" i="56"/>
  <c r="D4040" i="56" s="1"/>
  <c r="E4040" i="56"/>
  <c r="F4040" i="56" s="1"/>
  <c r="C4041" i="56"/>
  <c r="D4041" i="56" s="1"/>
  <c r="E4041" i="56"/>
  <c r="F4041" i="56" s="1"/>
  <c r="I4041" i="56"/>
  <c r="L4041" i="56"/>
  <c r="C4042" i="56"/>
  <c r="D4042" i="56" s="1"/>
  <c r="E4042" i="56"/>
  <c r="F4042" i="56" s="1"/>
  <c r="I4042" i="56"/>
  <c r="L4042" i="56"/>
  <c r="C4043" i="56"/>
  <c r="D4043" i="56" s="1"/>
  <c r="E4043" i="56"/>
  <c r="F4043" i="56" s="1"/>
  <c r="I4043" i="56"/>
  <c r="C4044" i="56"/>
  <c r="D4044" i="56" s="1"/>
  <c r="E4044" i="56"/>
  <c r="F4044" i="56" s="1"/>
  <c r="I4044" i="56"/>
  <c r="L4044" i="56"/>
  <c r="C4045" i="56"/>
  <c r="D4045" i="56" s="1"/>
  <c r="E4045" i="56"/>
  <c r="F4045" i="56" s="1"/>
  <c r="I4045" i="56"/>
  <c r="C4046" i="56"/>
  <c r="D4046" i="56" s="1"/>
  <c r="E4046" i="56"/>
  <c r="F4046" i="56" s="1"/>
  <c r="I4046" i="56"/>
  <c r="L4046" i="56"/>
  <c r="C4047" i="56"/>
  <c r="D4047" i="56" s="1"/>
  <c r="E4047" i="56"/>
  <c r="F4047" i="56" s="1"/>
  <c r="I4047" i="56"/>
  <c r="C4048" i="56"/>
  <c r="D4048" i="56" s="1"/>
  <c r="E4048" i="56"/>
  <c r="F4048" i="56" s="1"/>
  <c r="I4048" i="56"/>
  <c r="C4049" i="56"/>
  <c r="D4049" i="56" s="1"/>
  <c r="E4049" i="56"/>
  <c r="F4049" i="56" s="1"/>
  <c r="L4049" i="56"/>
  <c r="C4050" i="56"/>
  <c r="D4050" i="56" s="1"/>
  <c r="E4050" i="56"/>
  <c r="F4050" i="56" s="1"/>
  <c r="I4050" i="56"/>
  <c r="L4050" i="56"/>
  <c r="C4051" i="56"/>
  <c r="D4051" i="56" s="1"/>
  <c r="E4051" i="56"/>
  <c r="F4051" i="56" s="1"/>
  <c r="C4052" i="56"/>
  <c r="D4052" i="56" s="1"/>
  <c r="E4052" i="56"/>
  <c r="F4052" i="56" s="1"/>
  <c r="C4053" i="56"/>
  <c r="D4053" i="56" s="1"/>
  <c r="E4053" i="56"/>
  <c r="F4053" i="56" s="1"/>
  <c r="I4053" i="56"/>
  <c r="L4053" i="56"/>
  <c r="C4054" i="56"/>
  <c r="D4054" i="56" s="1"/>
  <c r="E4054" i="56"/>
  <c r="F4054" i="56" s="1"/>
  <c r="I4054" i="56"/>
  <c r="L4054" i="56"/>
  <c r="C4055" i="56"/>
  <c r="D4055" i="56" s="1"/>
  <c r="E4055" i="56"/>
  <c r="F4055" i="56" s="1"/>
  <c r="I4055" i="56"/>
  <c r="L4055" i="56"/>
  <c r="C4056" i="56"/>
  <c r="D4056" i="56" s="1"/>
  <c r="E4056" i="56"/>
  <c r="F4056" i="56" s="1"/>
  <c r="I4056" i="56"/>
  <c r="L4056" i="56"/>
  <c r="C4057" i="56"/>
  <c r="D4057" i="56" s="1"/>
  <c r="E4057" i="56"/>
  <c r="F4057" i="56" s="1"/>
  <c r="I4057" i="56"/>
  <c r="C4058" i="56"/>
  <c r="D4058" i="56" s="1"/>
  <c r="E4058" i="56"/>
  <c r="F4058" i="56" s="1"/>
  <c r="I4058" i="56"/>
  <c r="C4059" i="56"/>
  <c r="D4059" i="56" s="1"/>
  <c r="E4059" i="56"/>
  <c r="F4059" i="56" s="1"/>
  <c r="I4059" i="56"/>
  <c r="C4060" i="56"/>
  <c r="D4060" i="56" s="1"/>
  <c r="E4060" i="56"/>
  <c r="F4060" i="56" s="1"/>
  <c r="I4060" i="56"/>
  <c r="L4060" i="56"/>
  <c r="C4061" i="56"/>
  <c r="D4061" i="56" s="1"/>
  <c r="E4061" i="56"/>
  <c r="F4061" i="56" s="1"/>
  <c r="L4061" i="56"/>
  <c r="C4062" i="56"/>
  <c r="D4062" i="56" s="1"/>
  <c r="E4062" i="56"/>
  <c r="F4062" i="56" s="1"/>
  <c r="I4062" i="56"/>
  <c r="L4062" i="56"/>
  <c r="C4063" i="56"/>
  <c r="D4063" i="56" s="1"/>
  <c r="E4063" i="56"/>
  <c r="F4063" i="56" s="1"/>
  <c r="C4064" i="56"/>
  <c r="D4064" i="56" s="1"/>
  <c r="E4064" i="56"/>
  <c r="F4064" i="56" s="1"/>
  <c r="I4064" i="56"/>
  <c r="C4065" i="56"/>
  <c r="D4065" i="56" s="1"/>
  <c r="E4065" i="56"/>
  <c r="F4065" i="56" s="1"/>
  <c r="I4065" i="56"/>
  <c r="L4065" i="56"/>
  <c r="C4066" i="56"/>
  <c r="D4066" i="56" s="1"/>
  <c r="E4066" i="56"/>
  <c r="F4066" i="56" s="1"/>
  <c r="I4066" i="56"/>
  <c r="L4066" i="56"/>
  <c r="C4067" i="56"/>
  <c r="D4067" i="56" s="1"/>
  <c r="E4067" i="56"/>
  <c r="F4067" i="56" s="1"/>
  <c r="I4067" i="56"/>
  <c r="L4067" i="56"/>
  <c r="C4068" i="56"/>
  <c r="D4068" i="56" s="1"/>
  <c r="E4068" i="56"/>
  <c r="F4068" i="56"/>
  <c r="I4068" i="56"/>
  <c r="L4068" i="56"/>
  <c r="C4069" i="56"/>
  <c r="D4069" i="56" s="1"/>
  <c r="E4069" i="56"/>
  <c r="F4069" i="56" s="1"/>
  <c r="I4069" i="56"/>
  <c r="C4070" i="56"/>
  <c r="D4070" i="56" s="1"/>
  <c r="E4070" i="56"/>
  <c r="F4070" i="56" s="1"/>
  <c r="I4070" i="56"/>
  <c r="C4071" i="56"/>
  <c r="D4071" i="56" s="1"/>
  <c r="E4071" i="56"/>
  <c r="F4071" i="56" s="1"/>
  <c r="I4071" i="56"/>
  <c r="C4072" i="56"/>
  <c r="D4072" i="56" s="1"/>
  <c r="E4072" i="56"/>
  <c r="F4072" i="56" s="1"/>
  <c r="I4072" i="56"/>
  <c r="C4073" i="56"/>
  <c r="D4073" i="56" s="1"/>
  <c r="E4073" i="56"/>
  <c r="F4073" i="56" s="1"/>
  <c r="L4073" i="56"/>
  <c r="C4074" i="56"/>
  <c r="D4074" i="56" s="1"/>
  <c r="E4074" i="56"/>
  <c r="F4074" i="56" s="1"/>
  <c r="I4074" i="56"/>
  <c r="L4074" i="56"/>
  <c r="C4075" i="56"/>
  <c r="D4075" i="56" s="1"/>
  <c r="E4075" i="56"/>
  <c r="F4075" i="56" s="1"/>
  <c r="C4076" i="56"/>
  <c r="D4076" i="56" s="1"/>
  <c r="E4076" i="56"/>
  <c r="F4076" i="56" s="1"/>
  <c r="C4077" i="56"/>
  <c r="D4077" i="56" s="1"/>
  <c r="E4077" i="56"/>
  <c r="F4077" i="56" s="1"/>
  <c r="I4077" i="56"/>
  <c r="L4077" i="56"/>
  <c r="C4078" i="56"/>
  <c r="D4078" i="56" s="1"/>
  <c r="E4078" i="56"/>
  <c r="F4078" i="56" s="1"/>
  <c r="I4078" i="56"/>
  <c r="L4078" i="56"/>
  <c r="C4079" i="56"/>
  <c r="D4079" i="56" s="1"/>
  <c r="E4079" i="56"/>
  <c r="F4079" i="56" s="1"/>
  <c r="I4079" i="56"/>
  <c r="C4080" i="56"/>
  <c r="D4080" i="56" s="1"/>
  <c r="E4080" i="56"/>
  <c r="F4080" i="56" s="1"/>
  <c r="I4080" i="56"/>
  <c r="L4080" i="56"/>
  <c r="C4081" i="56"/>
  <c r="D4081" i="56" s="1"/>
  <c r="E4081" i="56"/>
  <c r="F4081" i="56" s="1"/>
  <c r="I4081" i="56"/>
  <c r="C4082" i="56"/>
  <c r="D4082" i="56" s="1"/>
  <c r="E4082" i="56"/>
  <c r="F4082" i="56" s="1"/>
  <c r="I4082" i="56"/>
  <c r="C4083" i="56"/>
  <c r="D4083" i="56" s="1"/>
  <c r="E4083" i="56"/>
  <c r="F4083" i="56" s="1"/>
  <c r="I4083" i="56"/>
  <c r="C4084" i="56"/>
  <c r="D4084" i="56" s="1"/>
  <c r="E4084" i="56"/>
  <c r="F4084" i="56" s="1"/>
  <c r="I4084" i="56"/>
  <c r="L4084" i="56"/>
  <c r="C4085" i="56"/>
  <c r="D4085" i="56" s="1"/>
  <c r="E4085" i="56"/>
  <c r="F4085" i="56" s="1"/>
  <c r="L4085" i="56"/>
  <c r="C4086" i="56"/>
  <c r="D4086" i="56" s="1"/>
  <c r="E4086" i="56"/>
  <c r="F4086" i="56" s="1"/>
  <c r="L4086" i="56"/>
  <c r="C4087" i="56"/>
  <c r="D4087" i="56" s="1"/>
  <c r="E4087" i="56"/>
  <c r="F4087" i="56" s="1"/>
  <c r="C4088" i="56"/>
  <c r="D4088" i="56" s="1"/>
  <c r="E4088" i="56"/>
  <c r="F4088" i="56" s="1"/>
  <c r="C4089" i="56"/>
  <c r="D4089" i="56" s="1"/>
  <c r="E4089" i="56"/>
  <c r="F4089" i="56" s="1"/>
  <c r="I4089" i="56"/>
  <c r="L4089" i="56"/>
  <c r="C4090" i="56"/>
  <c r="D4090" i="56" s="1"/>
  <c r="E4090" i="56"/>
  <c r="F4090" i="56" s="1"/>
  <c r="I4090" i="56"/>
  <c r="L4090" i="56"/>
  <c r="C4091" i="56"/>
  <c r="D4091" i="56" s="1"/>
  <c r="E4091" i="56"/>
  <c r="F4091" i="56" s="1"/>
  <c r="I4091" i="56"/>
  <c r="L4091" i="56"/>
  <c r="C4092" i="56"/>
  <c r="D4092" i="56" s="1"/>
  <c r="E4092" i="56"/>
  <c r="F4092" i="56" s="1"/>
  <c r="I4092" i="56"/>
  <c r="L4092" i="56"/>
  <c r="C4093" i="56"/>
  <c r="D4093" i="56" s="1"/>
  <c r="E4093" i="56"/>
  <c r="F4093" i="56" s="1"/>
  <c r="I4093" i="56"/>
  <c r="C4094" i="56"/>
  <c r="D4094" i="56" s="1"/>
  <c r="E4094" i="56"/>
  <c r="F4094" i="56" s="1"/>
  <c r="I4094" i="56"/>
  <c r="C4095" i="56"/>
  <c r="D4095" i="56" s="1"/>
  <c r="E4095" i="56"/>
  <c r="F4095" i="56" s="1"/>
  <c r="I4095" i="56"/>
  <c r="C4096" i="56"/>
  <c r="D4096" i="56" s="1"/>
  <c r="E4096" i="56"/>
  <c r="F4096" i="56" s="1"/>
  <c r="I4096" i="56"/>
  <c r="C4097" i="56"/>
  <c r="D4097" i="56" s="1"/>
  <c r="E4097" i="56"/>
  <c r="F4097" i="56" s="1"/>
  <c r="L4097" i="56"/>
  <c r="C4098" i="56"/>
  <c r="D4098" i="56" s="1"/>
  <c r="E4098" i="56"/>
  <c r="F4098" i="56" s="1"/>
  <c r="L4098" i="56"/>
  <c r="C4099" i="56"/>
  <c r="D4099" i="56" s="1"/>
  <c r="E4099" i="56"/>
  <c r="F4099" i="56" s="1"/>
  <c r="I4099" i="56"/>
  <c r="C4100" i="56"/>
  <c r="D4100" i="56" s="1"/>
  <c r="E4100" i="56"/>
  <c r="F4100" i="56" s="1"/>
  <c r="C4101" i="56"/>
  <c r="D4101" i="56" s="1"/>
  <c r="E4101" i="56"/>
  <c r="F4101" i="56" s="1"/>
  <c r="I4101" i="56"/>
  <c r="L4101" i="56"/>
  <c r="C4102" i="56"/>
  <c r="D4102" i="56" s="1"/>
  <c r="E4102" i="56"/>
  <c r="F4102" i="56" s="1"/>
  <c r="I4102" i="56"/>
  <c r="L4102" i="56"/>
  <c r="C4103" i="56"/>
  <c r="D4103" i="56" s="1"/>
  <c r="E4103" i="56"/>
  <c r="F4103" i="56" s="1"/>
  <c r="I4103" i="56"/>
  <c r="L4103" i="56"/>
  <c r="C4104" i="56"/>
  <c r="D4104" i="56" s="1"/>
  <c r="E4104" i="56"/>
  <c r="F4104" i="56" s="1"/>
  <c r="I4104" i="56"/>
  <c r="L4104" i="56"/>
  <c r="C4105" i="56"/>
  <c r="D4105" i="56" s="1"/>
  <c r="E4105" i="56"/>
  <c r="F4105" i="56" s="1"/>
  <c r="I4105" i="56"/>
  <c r="C4106" i="56"/>
  <c r="D4106" i="56" s="1"/>
  <c r="E4106" i="56"/>
  <c r="F4106" i="56" s="1"/>
  <c r="I4106" i="56"/>
  <c r="C4107" i="56"/>
  <c r="D4107" i="56" s="1"/>
  <c r="E4107" i="56"/>
  <c r="F4107" i="56" s="1"/>
  <c r="I4107" i="56"/>
  <c r="C4108" i="56"/>
  <c r="D4108" i="56" s="1"/>
  <c r="E4108" i="56"/>
  <c r="F4108" i="56" s="1"/>
  <c r="I4108" i="56"/>
  <c r="C4109" i="56"/>
  <c r="D4109" i="56" s="1"/>
  <c r="E4109" i="56"/>
  <c r="F4109" i="56" s="1"/>
  <c r="L4109" i="56"/>
  <c r="C4110" i="56"/>
  <c r="D4110" i="56" s="1"/>
  <c r="E4110" i="56"/>
  <c r="F4110" i="56" s="1"/>
  <c r="I4110" i="56"/>
  <c r="L4110" i="56"/>
  <c r="C4111" i="56"/>
  <c r="D4111" i="56" s="1"/>
  <c r="E4111" i="56"/>
  <c r="F4111" i="56" s="1"/>
  <c r="C4112" i="56"/>
  <c r="D4112" i="56" s="1"/>
  <c r="E4112" i="56"/>
  <c r="F4112" i="56" s="1"/>
  <c r="C4113" i="56"/>
  <c r="D4113" i="56" s="1"/>
  <c r="E4113" i="56"/>
  <c r="F4113" i="56" s="1"/>
  <c r="I4113" i="56"/>
  <c r="L4113" i="56"/>
  <c r="C4114" i="56"/>
  <c r="D4114" i="56" s="1"/>
  <c r="E4114" i="56"/>
  <c r="F4114" i="56" s="1"/>
  <c r="I4114" i="56"/>
  <c r="L4114" i="56"/>
  <c r="C4115" i="56"/>
  <c r="D4115" i="56" s="1"/>
  <c r="E4115" i="56"/>
  <c r="F4115" i="56" s="1"/>
  <c r="I4115" i="56"/>
  <c r="L4115" i="56"/>
  <c r="C4116" i="56"/>
  <c r="D4116" i="56" s="1"/>
  <c r="E4116" i="56"/>
  <c r="F4116" i="56" s="1"/>
  <c r="I4116" i="56"/>
  <c r="L4116" i="56"/>
  <c r="C4117" i="56"/>
  <c r="D4117" i="56" s="1"/>
  <c r="E4117" i="56"/>
  <c r="F4117" i="56" s="1"/>
  <c r="I4117" i="56"/>
  <c r="C4118" i="56"/>
  <c r="D4118" i="56" s="1"/>
  <c r="E4118" i="56"/>
  <c r="F4118" i="56" s="1"/>
  <c r="I4118" i="56"/>
  <c r="C4119" i="56"/>
  <c r="D4119" i="56" s="1"/>
  <c r="E4119" i="56"/>
  <c r="F4119" i="56" s="1"/>
  <c r="I4119" i="56"/>
  <c r="C4120" i="56"/>
  <c r="D4120" i="56" s="1"/>
  <c r="E4120" i="56"/>
  <c r="F4120" i="56" s="1"/>
  <c r="I4120" i="56"/>
  <c r="C4121" i="56"/>
  <c r="D4121" i="56" s="1"/>
  <c r="E4121" i="56"/>
  <c r="F4121" i="56" s="1"/>
  <c r="L4121" i="56"/>
  <c r="C4122" i="56"/>
  <c r="D4122" i="56" s="1"/>
  <c r="E4122" i="56"/>
  <c r="F4122" i="56" s="1"/>
  <c r="I4122" i="56"/>
  <c r="L4122" i="56"/>
  <c r="C4123" i="56"/>
  <c r="D4123" i="56" s="1"/>
  <c r="E4123" i="56"/>
  <c r="F4123" i="56" s="1"/>
  <c r="I4123" i="56"/>
  <c r="C4124" i="56"/>
  <c r="D4124" i="56" s="1"/>
  <c r="E4124" i="56"/>
  <c r="F4124" i="56" s="1"/>
  <c r="C4125" i="56"/>
  <c r="D4125" i="56" s="1"/>
  <c r="E4125" i="56"/>
  <c r="F4125" i="56" s="1"/>
  <c r="I4125" i="56"/>
  <c r="L4125" i="56"/>
  <c r="C4126" i="56"/>
  <c r="D4126" i="56" s="1"/>
  <c r="E4126" i="56"/>
  <c r="F4126" i="56" s="1"/>
  <c r="I4126" i="56"/>
  <c r="L4126" i="56"/>
  <c r="C4127" i="56"/>
  <c r="D4127" i="56" s="1"/>
  <c r="E4127" i="56"/>
  <c r="F4127" i="56" s="1"/>
  <c r="I4127" i="56"/>
  <c r="L4127" i="56"/>
  <c r="C4128" i="56"/>
  <c r="D4128" i="56" s="1"/>
  <c r="E4128" i="56"/>
  <c r="F4128" i="56" s="1"/>
  <c r="I4128" i="56"/>
  <c r="L4128" i="56"/>
  <c r="C4129" i="56"/>
  <c r="D4129" i="56" s="1"/>
  <c r="E4129" i="56"/>
  <c r="F4129" i="56" s="1"/>
  <c r="I4129" i="56"/>
  <c r="C4130" i="56"/>
  <c r="D4130" i="56" s="1"/>
  <c r="E4130" i="56"/>
  <c r="F4130" i="56" s="1"/>
  <c r="I4130" i="56"/>
  <c r="C4131" i="56"/>
  <c r="D4131" i="56" s="1"/>
  <c r="E4131" i="56"/>
  <c r="F4131" i="56" s="1"/>
  <c r="I4131" i="56"/>
  <c r="C4132" i="56"/>
  <c r="D4132" i="56" s="1"/>
  <c r="E4132" i="56"/>
  <c r="F4132" i="56" s="1"/>
  <c r="I4132" i="56"/>
  <c r="C4133" i="56"/>
  <c r="D4133" i="56" s="1"/>
  <c r="E4133" i="56"/>
  <c r="F4133" i="56" s="1"/>
  <c r="L4133" i="56"/>
  <c r="C4134" i="56"/>
  <c r="D4134" i="56" s="1"/>
  <c r="E4134" i="56"/>
  <c r="F4134" i="56" s="1"/>
  <c r="L4134" i="56"/>
  <c r="C4135" i="56"/>
  <c r="D4135" i="56" s="1"/>
  <c r="E4135" i="56"/>
  <c r="F4135" i="56" s="1"/>
  <c r="C4136" i="56"/>
  <c r="D4136" i="56" s="1"/>
  <c r="E4136" i="56"/>
  <c r="F4136" i="56" s="1"/>
  <c r="C4137" i="56"/>
  <c r="D4137" i="56" s="1"/>
  <c r="E4137" i="56"/>
  <c r="F4137" i="56" s="1"/>
  <c r="I4137" i="56"/>
  <c r="L4137" i="56"/>
  <c r="C4138" i="56"/>
  <c r="D4138" i="56" s="1"/>
  <c r="E4138" i="56"/>
  <c r="F4138" i="56" s="1"/>
  <c r="I4138" i="56"/>
  <c r="L4138" i="56"/>
  <c r="C4139" i="56"/>
  <c r="D4139" i="56" s="1"/>
  <c r="E4139" i="56"/>
  <c r="F4139" i="56" s="1"/>
  <c r="I4139" i="56"/>
  <c r="L4139" i="56"/>
  <c r="C4140" i="56"/>
  <c r="D4140" i="56" s="1"/>
  <c r="E4140" i="56"/>
  <c r="F4140" i="56" s="1"/>
  <c r="I4140" i="56"/>
  <c r="L4140" i="56"/>
  <c r="C4141" i="56"/>
  <c r="D4141" i="56" s="1"/>
  <c r="E4141" i="56"/>
  <c r="F4141" i="56" s="1"/>
  <c r="I4141" i="56"/>
  <c r="C4142" i="56"/>
  <c r="D4142" i="56" s="1"/>
  <c r="E4142" i="56"/>
  <c r="F4142" i="56" s="1"/>
  <c r="I4142" i="56"/>
  <c r="C4143" i="56"/>
  <c r="D4143" i="56" s="1"/>
  <c r="E4143" i="56"/>
  <c r="F4143" i="56" s="1"/>
  <c r="I4143" i="56"/>
  <c r="C4144" i="56"/>
  <c r="D4144" i="56" s="1"/>
  <c r="E4144" i="56"/>
  <c r="F4144" i="56" s="1"/>
  <c r="I4144" i="56"/>
  <c r="L4144" i="56"/>
  <c r="C4145" i="56"/>
  <c r="D4145" i="56" s="1"/>
  <c r="E4145" i="56"/>
  <c r="F4145" i="56" s="1"/>
  <c r="L4145" i="56"/>
  <c r="C4146" i="56"/>
  <c r="D4146" i="56" s="1"/>
  <c r="E4146" i="56"/>
  <c r="F4146" i="56" s="1"/>
  <c r="I4146" i="56"/>
  <c r="L4146" i="56"/>
  <c r="C4147" i="56"/>
  <c r="D4147" i="56" s="1"/>
  <c r="E4147" i="56"/>
  <c r="F4147" i="56" s="1"/>
  <c r="C4148" i="56"/>
  <c r="D4148" i="56" s="1"/>
  <c r="E4148" i="56"/>
  <c r="F4148" i="56" s="1"/>
  <c r="C4149" i="56"/>
  <c r="D4149" i="56" s="1"/>
  <c r="E4149" i="56"/>
  <c r="F4149" i="56" s="1"/>
  <c r="I4149" i="56"/>
  <c r="L4149" i="56"/>
  <c r="C4150" i="56"/>
  <c r="D4150" i="56" s="1"/>
  <c r="E4150" i="56"/>
  <c r="F4150" i="56" s="1"/>
  <c r="I4150" i="56"/>
  <c r="L4150" i="56"/>
  <c r="C4151" i="56"/>
  <c r="D4151" i="56" s="1"/>
  <c r="E4151" i="56"/>
  <c r="F4151" i="56" s="1"/>
  <c r="I4151" i="56"/>
  <c r="C4152" i="56"/>
  <c r="D4152" i="56" s="1"/>
  <c r="E4152" i="56"/>
  <c r="F4152" i="56" s="1"/>
  <c r="I4152" i="56"/>
  <c r="L4152" i="56"/>
  <c r="C4153" i="56"/>
  <c r="D4153" i="56" s="1"/>
  <c r="E4153" i="56"/>
  <c r="F4153" i="56" s="1"/>
  <c r="I4153" i="56"/>
  <c r="C4154" i="56"/>
  <c r="D4154" i="56" s="1"/>
  <c r="E4154" i="56"/>
  <c r="F4154" i="56" s="1"/>
  <c r="I4154" i="56"/>
  <c r="C4155" i="56"/>
  <c r="D4155" i="56" s="1"/>
  <c r="E4155" i="56"/>
  <c r="F4155" i="56" s="1"/>
  <c r="I4155" i="56"/>
  <c r="C4156" i="56"/>
  <c r="D4156" i="56" s="1"/>
  <c r="E4156" i="56"/>
  <c r="F4156" i="56" s="1"/>
  <c r="I4156" i="56"/>
  <c r="C4157" i="56"/>
  <c r="D4157" i="56" s="1"/>
  <c r="E4157" i="56"/>
  <c r="F4157" i="56" s="1"/>
  <c r="L4157" i="56"/>
  <c r="C4158" i="56"/>
  <c r="D4158" i="56" s="1"/>
  <c r="E4158" i="56"/>
  <c r="F4158" i="56" s="1"/>
  <c r="L4158" i="56"/>
  <c r="C4159" i="56"/>
  <c r="D4159" i="56" s="1"/>
  <c r="E4159" i="56"/>
  <c r="F4159" i="56" s="1"/>
  <c r="I4159" i="56"/>
  <c r="C4160" i="56"/>
  <c r="D4160" i="56" s="1"/>
  <c r="E4160" i="56"/>
  <c r="F4160" i="56"/>
  <c r="C4161" i="56"/>
  <c r="D4161" i="56"/>
  <c r="E4161" i="56"/>
  <c r="F4161" i="56" s="1"/>
  <c r="I4161" i="56"/>
  <c r="L4161" i="56"/>
  <c r="C4162" i="56"/>
  <c r="D4162" i="56" s="1"/>
  <c r="E4162" i="56"/>
  <c r="F4162" i="56" s="1"/>
  <c r="I4162" i="56"/>
  <c r="L4162" i="56"/>
  <c r="C4163" i="56"/>
  <c r="D4163" i="56" s="1"/>
  <c r="E4163" i="56"/>
  <c r="F4163" i="56" s="1"/>
  <c r="I4163" i="56"/>
  <c r="L4163" i="56"/>
  <c r="C4164" i="56"/>
  <c r="D4164" i="56" s="1"/>
  <c r="E4164" i="56"/>
  <c r="F4164" i="56" s="1"/>
  <c r="I4164" i="56"/>
  <c r="L4164" i="56"/>
  <c r="C4165" i="56"/>
  <c r="D4165" i="56" s="1"/>
  <c r="E4165" i="56"/>
  <c r="F4165" i="56" s="1"/>
  <c r="I4165" i="56"/>
  <c r="C4166" i="56"/>
  <c r="D4166" i="56" s="1"/>
  <c r="E4166" i="56"/>
  <c r="F4166" i="56" s="1"/>
  <c r="I4166" i="56"/>
  <c r="C4167" i="56"/>
  <c r="D4167" i="56" s="1"/>
  <c r="E4167" i="56"/>
  <c r="F4167" i="56" s="1"/>
  <c r="I4167" i="56"/>
  <c r="C4168" i="56"/>
  <c r="D4168" i="56" s="1"/>
  <c r="E4168" i="56"/>
  <c r="F4168" i="56" s="1"/>
  <c r="I4168" i="56"/>
  <c r="L4168" i="56"/>
  <c r="C4169" i="56"/>
  <c r="D4169" i="56" s="1"/>
  <c r="E4169" i="56"/>
  <c r="F4169" i="56" s="1"/>
  <c r="L4169" i="56"/>
  <c r="C4170" i="56"/>
  <c r="D4170" i="56" s="1"/>
  <c r="E4170" i="56"/>
  <c r="F4170" i="56" s="1"/>
  <c r="I4170" i="56"/>
  <c r="L4170" i="56"/>
  <c r="C4171" i="56"/>
  <c r="D4171" i="56" s="1"/>
  <c r="E4171" i="56"/>
  <c r="F4171" i="56" s="1"/>
  <c r="I4171" i="56"/>
  <c r="C4172" i="56"/>
  <c r="D4172" i="56" s="1"/>
  <c r="E4172" i="56"/>
  <c r="F4172" i="56" s="1"/>
  <c r="C4173" i="56"/>
  <c r="D4173" i="56" s="1"/>
  <c r="E4173" i="56"/>
  <c r="F4173" i="56" s="1"/>
  <c r="I4173" i="56"/>
  <c r="L4173" i="56"/>
  <c r="C4174" i="56"/>
  <c r="D4174" i="56" s="1"/>
  <c r="E4174" i="56"/>
  <c r="F4174" i="56" s="1"/>
  <c r="I4174" i="56"/>
  <c r="C4175" i="56"/>
  <c r="D4175" i="56" s="1"/>
  <c r="E4175" i="56"/>
  <c r="F4175" i="56" s="1"/>
  <c r="I4175" i="56"/>
  <c r="L4175" i="56"/>
  <c r="C4176" i="56"/>
  <c r="D4176" i="56" s="1"/>
  <c r="E4176" i="56"/>
  <c r="F4176" i="56" s="1"/>
  <c r="I4176" i="56"/>
  <c r="L4176" i="56"/>
  <c r="C4177" i="56"/>
  <c r="D4177" i="56" s="1"/>
  <c r="E4177" i="56"/>
  <c r="F4177" i="56" s="1"/>
  <c r="I4177" i="56"/>
  <c r="C4178" i="56"/>
  <c r="D4178" i="56" s="1"/>
  <c r="E4178" i="56"/>
  <c r="F4178" i="56" s="1"/>
  <c r="I4178" i="56"/>
  <c r="C4179" i="56"/>
  <c r="D4179" i="56" s="1"/>
  <c r="E4179" i="56"/>
  <c r="F4179" i="56" s="1"/>
  <c r="I4179" i="56"/>
  <c r="C4180" i="56"/>
  <c r="D4180" i="56" s="1"/>
  <c r="E4180" i="56"/>
  <c r="F4180" i="56" s="1"/>
  <c r="I4180" i="56"/>
  <c r="C4181" i="56"/>
  <c r="D4181" i="56" s="1"/>
  <c r="E4181" i="56"/>
  <c r="F4181" i="56" s="1"/>
  <c r="L4181" i="56"/>
  <c r="C4182" i="56"/>
  <c r="D4182" i="56" s="1"/>
  <c r="E4182" i="56"/>
  <c r="F4182" i="56" s="1"/>
  <c r="I4182" i="56"/>
  <c r="L4182" i="56"/>
  <c r="C4183" i="56"/>
  <c r="D4183" i="56" s="1"/>
  <c r="E4183" i="56"/>
  <c r="F4183" i="56" s="1"/>
  <c r="C4184" i="56"/>
  <c r="D4184" i="56" s="1"/>
  <c r="E4184" i="56"/>
  <c r="F4184" i="56" s="1"/>
  <c r="C4185" i="56"/>
  <c r="D4185" i="56" s="1"/>
  <c r="E4185" i="56"/>
  <c r="F4185" i="56" s="1"/>
  <c r="I4185" i="56"/>
  <c r="L4185" i="56"/>
  <c r="C4186" i="56"/>
  <c r="D4186" i="56" s="1"/>
  <c r="E4186" i="56"/>
  <c r="F4186" i="56" s="1"/>
  <c r="I4186" i="56"/>
  <c r="L4186" i="56"/>
  <c r="C4187" i="56"/>
  <c r="D4187" i="56" s="1"/>
  <c r="E4187" i="56"/>
  <c r="F4187" i="56" s="1"/>
  <c r="I4187" i="56"/>
  <c r="L4187" i="56"/>
  <c r="C4188" i="56"/>
  <c r="D4188" i="56" s="1"/>
  <c r="E4188" i="56"/>
  <c r="F4188" i="56" s="1"/>
  <c r="I4188" i="56"/>
  <c r="L4188" i="56"/>
  <c r="C4189" i="56"/>
  <c r="D4189" i="56" s="1"/>
  <c r="E4189" i="56"/>
  <c r="F4189" i="56" s="1"/>
  <c r="I4189" i="56"/>
  <c r="C4190" i="56"/>
  <c r="D4190" i="56" s="1"/>
  <c r="E4190" i="56"/>
  <c r="F4190" i="56" s="1"/>
  <c r="I4190" i="56"/>
  <c r="C4191" i="56"/>
  <c r="D4191" i="56" s="1"/>
  <c r="E4191" i="56"/>
  <c r="F4191" i="56" s="1"/>
  <c r="I4191" i="56"/>
  <c r="C4192" i="56"/>
  <c r="D4192" i="56" s="1"/>
  <c r="E4192" i="56"/>
  <c r="F4192" i="56" s="1"/>
  <c r="I4192" i="56"/>
  <c r="C4193" i="56"/>
  <c r="D4193" i="56" s="1"/>
  <c r="E4193" i="56"/>
  <c r="F4193" i="56" s="1"/>
  <c r="L4193" i="56"/>
  <c r="C4194" i="56"/>
  <c r="D4194" i="56" s="1"/>
  <c r="E4194" i="56"/>
  <c r="F4194" i="56" s="1"/>
  <c r="I4194" i="56"/>
  <c r="L4194" i="56"/>
  <c r="C4195" i="56"/>
  <c r="D4195" i="56" s="1"/>
  <c r="E4195" i="56"/>
  <c r="F4195" i="56" s="1"/>
  <c r="C4196" i="56"/>
  <c r="D4196" i="56" s="1"/>
  <c r="E4196" i="56"/>
  <c r="F4196" i="56" s="1"/>
  <c r="C4197" i="56"/>
  <c r="D4197" i="56" s="1"/>
  <c r="E4197" i="56"/>
  <c r="F4197" i="56" s="1"/>
  <c r="I4197" i="56"/>
  <c r="L4197" i="56"/>
  <c r="C4198" i="56"/>
  <c r="D4198" i="56" s="1"/>
  <c r="E4198" i="56"/>
  <c r="F4198" i="56" s="1"/>
  <c r="I4198" i="56"/>
  <c r="L4198" i="56"/>
  <c r="C4199" i="56"/>
  <c r="D4199" i="56" s="1"/>
  <c r="E4199" i="56"/>
  <c r="F4199" i="56" s="1"/>
  <c r="I4199" i="56"/>
  <c r="L4199" i="56"/>
  <c r="C4200" i="56"/>
  <c r="D4200" i="56" s="1"/>
  <c r="E4200" i="56"/>
  <c r="F4200" i="56" s="1"/>
  <c r="I4200" i="56"/>
  <c r="L4200" i="56"/>
  <c r="C4201" i="56"/>
  <c r="D4201" i="56" s="1"/>
  <c r="E4201" i="56"/>
  <c r="F4201" i="56" s="1"/>
  <c r="I4201" i="56"/>
  <c r="C4202" i="56"/>
  <c r="D4202" i="56" s="1"/>
  <c r="E4202" i="56"/>
  <c r="F4202" i="56" s="1"/>
  <c r="I4202" i="56"/>
  <c r="C4203" i="56"/>
  <c r="D4203" i="56" s="1"/>
  <c r="E4203" i="56"/>
  <c r="F4203" i="56" s="1"/>
  <c r="I4203" i="56"/>
  <c r="C4204" i="56"/>
  <c r="D4204" i="56" s="1"/>
  <c r="E4204" i="56"/>
  <c r="F4204" i="56" s="1"/>
  <c r="I4204" i="56"/>
  <c r="C4205" i="56"/>
  <c r="D4205" i="56" s="1"/>
  <c r="E4205" i="56"/>
  <c r="F4205" i="56" s="1"/>
  <c r="L4205" i="56"/>
  <c r="C4206" i="56"/>
  <c r="D4206" i="56" s="1"/>
  <c r="E4206" i="56"/>
  <c r="F4206" i="56" s="1"/>
  <c r="I4206" i="56"/>
  <c r="L4206" i="56"/>
  <c r="C4207" i="56"/>
  <c r="D4207" i="56" s="1"/>
  <c r="E4207" i="56"/>
  <c r="F4207" i="56" s="1"/>
  <c r="C4208" i="56"/>
  <c r="D4208" i="56" s="1"/>
  <c r="E4208" i="56"/>
  <c r="F4208" i="56" s="1"/>
  <c r="C4209" i="56"/>
  <c r="D4209" i="56" s="1"/>
  <c r="E4209" i="56"/>
  <c r="F4209" i="56" s="1"/>
  <c r="I4209" i="56"/>
  <c r="L4209" i="56"/>
  <c r="C4210" i="56"/>
  <c r="D4210" i="56" s="1"/>
  <c r="E4210" i="56"/>
  <c r="F4210" i="56" s="1"/>
  <c r="I4210" i="56"/>
  <c r="L4210" i="56"/>
  <c r="C4211" i="56"/>
  <c r="D4211" i="56" s="1"/>
  <c r="E4211" i="56"/>
  <c r="F4211" i="56" s="1"/>
  <c r="I4211" i="56"/>
  <c r="L4211" i="56"/>
  <c r="C4212" i="56"/>
  <c r="D4212" i="56" s="1"/>
  <c r="E4212" i="56"/>
  <c r="F4212" i="56" s="1"/>
  <c r="I4212" i="56"/>
  <c r="L4212" i="56"/>
  <c r="C4213" i="56"/>
  <c r="D4213" i="56" s="1"/>
  <c r="E4213" i="56"/>
  <c r="F4213" i="56" s="1"/>
  <c r="I4213" i="56"/>
  <c r="C4214" i="56"/>
  <c r="D4214" i="56" s="1"/>
  <c r="E4214" i="56"/>
  <c r="F4214" i="56" s="1"/>
  <c r="I4214" i="56"/>
  <c r="C4215" i="56"/>
  <c r="D4215" i="56" s="1"/>
  <c r="E4215" i="56"/>
  <c r="F4215" i="56" s="1"/>
  <c r="I4215" i="56"/>
  <c r="C4216" i="56"/>
  <c r="D4216" i="56" s="1"/>
  <c r="E4216" i="56"/>
  <c r="F4216" i="56" s="1"/>
  <c r="I4216" i="56"/>
  <c r="C4217" i="56"/>
  <c r="D4217" i="56" s="1"/>
  <c r="E4217" i="56"/>
  <c r="F4217" i="56" s="1"/>
  <c r="L4217" i="56"/>
  <c r="C4218" i="56"/>
  <c r="D4218" i="56" s="1"/>
  <c r="E4218" i="56"/>
  <c r="F4218" i="56" s="1"/>
  <c r="I4218" i="56"/>
  <c r="L4218" i="56"/>
  <c r="C4219" i="56"/>
  <c r="D4219" i="56" s="1"/>
  <c r="E4219" i="56"/>
  <c r="F4219" i="56" s="1"/>
  <c r="C4220" i="56"/>
  <c r="D4220" i="56" s="1"/>
  <c r="E4220" i="56"/>
  <c r="F4220" i="56" s="1"/>
  <c r="C4221" i="56"/>
  <c r="D4221" i="56" s="1"/>
  <c r="E4221" i="56"/>
  <c r="F4221" i="56" s="1"/>
  <c r="I4221" i="56"/>
  <c r="L4221" i="56"/>
  <c r="C4222" i="56"/>
  <c r="D4222" i="56" s="1"/>
  <c r="E4222" i="56"/>
  <c r="F4222" i="56" s="1"/>
  <c r="I4222" i="56"/>
  <c r="L4222" i="56"/>
  <c r="C4223" i="56"/>
  <c r="D4223" i="56" s="1"/>
  <c r="E4223" i="56"/>
  <c r="F4223" i="56" s="1"/>
  <c r="I4223" i="56"/>
  <c r="L4223" i="56"/>
  <c r="C4224" i="56"/>
  <c r="D4224" i="56" s="1"/>
  <c r="E4224" i="56"/>
  <c r="F4224" i="56" s="1"/>
  <c r="I4224" i="56"/>
  <c r="L4224" i="56"/>
  <c r="C4225" i="56"/>
  <c r="D4225" i="56" s="1"/>
  <c r="E4225" i="56"/>
  <c r="F4225" i="56" s="1"/>
  <c r="I4225" i="56"/>
  <c r="C4226" i="56"/>
  <c r="D4226" i="56" s="1"/>
  <c r="E4226" i="56"/>
  <c r="F4226" i="56" s="1"/>
  <c r="I4226" i="56"/>
  <c r="C4227" i="56"/>
  <c r="D4227" i="56" s="1"/>
  <c r="E4227" i="56"/>
  <c r="F4227" i="56" s="1"/>
  <c r="I4227" i="56"/>
  <c r="C4228" i="56"/>
  <c r="D4228" i="56" s="1"/>
  <c r="E4228" i="56"/>
  <c r="F4228" i="56" s="1"/>
  <c r="I4228" i="56"/>
  <c r="C4229" i="56"/>
  <c r="D4229" i="56" s="1"/>
  <c r="E4229" i="56"/>
  <c r="F4229" i="56" s="1"/>
  <c r="L4229" i="56"/>
  <c r="C4230" i="56"/>
  <c r="D4230" i="56" s="1"/>
  <c r="E4230" i="56"/>
  <c r="F4230" i="56" s="1"/>
  <c r="I4230" i="56"/>
  <c r="L4230" i="56"/>
  <c r="C4231" i="56"/>
  <c r="D4231" i="56" s="1"/>
  <c r="E4231" i="56"/>
  <c r="F4231" i="56" s="1"/>
  <c r="I4231" i="56"/>
  <c r="C4232" i="56"/>
  <c r="D4232" i="56" s="1"/>
  <c r="E4232" i="56"/>
  <c r="F4232" i="56" s="1"/>
  <c r="C4233" i="56"/>
  <c r="D4233" i="56" s="1"/>
  <c r="E4233" i="56"/>
  <c r="F4233" i="56" s="1"/>
  <c r="I4233" i="56"/>
  <c r="L4233" i="56"/>
  <c r="C4234" i="56"/>
  <c r="D4234" i="56" s="1"/>
  <c r="E4234" i="56"/>
  <c r="F4234" i="56" s="1"/>
  <c r="I4234" i="56"/>
  <c r="L4234" i="56"/>
  <c r="C4235" i="56"/>
  <c r="D4235" i="56" s="1"/>
  <c r="E4235" i="56"/>
  <c r="F4235" i="56" s="1"/>
  <c r="I4235" i="56"/>
  <c r="L4235" i="56"/>
  <c r="C4236" i="56"/>
  <c r="D4236" i="56" s="1"/>
  <c r="E4236" i="56"/>
  <c r="F4236" i="56" s="1"/>
  <c r="I4236" i="56"/>
  <c r="L4236" i="56"/>
  <c r="C4237" i="56"/>
  <c r="D4237" i="56" s="1"/>
  <c r="E4237" i="56"/>
  <c r="F4237" i="56" s="1"/>
  <c r="I4237" i="56"/>
  <c r="C4238" i="56"/>
  <c r="D4238" i="56" s="1"/>
  <c r="E4238" i="56"/>
  <c r="F4238" i="56" s="1"/>
  <c r="I4238" i="56"/>
  <c r="C4239" i="56"/>
  <c r="D4239" i="56" s="1"/>
  <c r="E4239" i="56"/>
  <c r="F4239" i="56" s="1"/>
  <c r="I4239" i="56"/>
  <c r="C4240" i="56"/>
  <c r="D4240" i="56" s="1"/>
  <c r="E4240" i="56"/>
  <c r="F4240" i="56" s="1"/>
  <c r="I4240" i="56"/>
  <c r="C4241" i="56"/>
  <c r="D4241" i="56" s="1"/>
  <c r="E4241" i="56"/>
  <c r="F4241" i="56" s="1"/>
  <c r="L4241" i="56"/>
  <c r="C4242" i="56"/>
  <c r="D4242" i="56" s="1"/>
  <c r="E4242" i="56"/>
  <c r="F4242" i="56" s="1"/>
  <c r="L4242" i="56"/>
  <c r="C4243" i="56"/>
  <c r="D4243" i="56" s="1"/>
  <c r="E4243" i="56"/>
  <c r="F4243" i="56" s="1"/>
  <c r="I4243" i="56"/>
  <c r="C4244" i="56"/>
  <c r="D4244" i="56" s="1"/>
  <c r="E4244" i="56"/>
  <c r="F4244" i="56" s="1"/>
  <c r="C4245" i="56"/>
  <c r="D4245" i="56" s="1"/>
  <c r="E4245" i="56"/>
  <c r="F4245" i="56" s="1"/>
  <c r="I4245" i="56"/>
  <c r="L4245" i="56"/>
  <c r="C4246" i="56"/>
  <c r="D4246" i="56" s="1"/>
  <c r="E4246" i="56"/>
  <c r="F4246" i="56" s="1"/>
  <c r="I4246" i="56"/>
  <c r="L4246" i="56"/>
  <c r="C4247" i="56"/>
  <c r="D4247" i="56" s="1"/>
  <c r="E4247" i="56"/>
  <c r="F4247" i="56" s="1"/>
  <c r="I4247" i="56"/>
  <c r="L4247" i="56"/>
  <c r="C4248" i="56"/>
  <c r="D4248" i="56" s="1"/>
  <c r="E4248" i="56"/>
  <c r="F4248" i="56" s="1"/>
  <c r="I4248" i="56"/>
  <c r="L4248" i="56"/>
  <c r="C4249" i="56"/>
  <c r="D4249" i="56" s="1"/>
  <c r="E4249" i="56"/>
  <c r="F4249" i="56" s="1"/>
  <c r="I4249" i="56"/>
  <c r="C4250" i="56"/>
  <c r="D4250" i="56" s="1"/>
  <c r="E4250" i="56"/>
  <c r="F4250" i="56" s="1"/>
  <c r="I4250" i="56"/>
  <c r="C4251" i="56"/>
  <c r="D4251" i="56" s="1"/>
  <c r="E4251" i="56"/>
  <c r="F4251" i="56" s="1"/>
  <c r="I4251" i="56"/>
  <c r="C4252" i="56"/>
  <c r="D4252" i="56" s="1"/>
  <c r="E4252" i="56"/>
  <c r="F4252" i="56" s="1"/>
  <c r="I4252" i="56"/>
  <c r="C4253" i="56"/>
  <c r="D4253" i="56" s="1"/>
  <c r="E4253" i="56"/>
  <c r="F4253" i="56" s="1"/>
  <c r="L4253" i="56"/>
  <c r="C4254" i="56"/>
  <c r="D4254" i="56" s="1"/>
  <c r="E4254" i="56"/>
  <c r="F4254" i="56" s="1"/>
  <c r="I4254" i="56"/>
  <c r="L4254" i="56"/>
  <c r="C4255" i="56"/>
  <c r="D4255" i="56" s="1"/>
  <c r="E4255" i="56"/>
  <c r="F4255" i="56" s="1"/>
  <c r="C4256" i="56"/>
  <c r="D4256" i="56" s="1"/>
  <c r="E4256" i="56"/>
  <c r="F4256" i="56" s="1"/>
  <c r="C4257" i="56"/>
  <c r="D4257" i="56" s="1"/>
  <c r="E4257" i="56"/>
  <c r="F4257" i="56" s="1"/>
  <c r="I4257" i="56"/>
  <c r="L4257" i="56"/>
  <c r="C4258" i="56"/>
  <c r="D4258" i="56" s="1"/>
  <c r="E4258" i="56"/>
  <c r="F4258" i="56" s="1"/>
  <c r="I4258" i="56"/>
  <c r="L4258" i="56"/>
  <c r="C4259" i="56"/>
  <c r="D4259" i="56" s="1"/>
  <c r="E4259" i="56"/>
  <c r="F4259" i="56" s="1"/>
  <c r="I4259" i="56"/>
  <c r="L4259" i="56"/>
  <c r="C4260" i="56"/>
  <c r="D4260" i="56" s="1"/>
  <c r="E4260" i="56"/>
  <c r="F4260" i="56" s="1"/>
  <c r="I4260" i="56"/>
  <c r="L4260" i="56"/>
  <c r="C4261" i="56"/>
  <c r="D4261" i="56" s="1"/>
  <c r="E4261" i="56"/>
  <c r="F4261" i="56" s="1"/>
  <c r="I4261" i="56"/>
  <c r="C4262" i="56"/>
  <c r="D4262" i="56" s="1"/>
  <c r="E4262" i="56"/>
  <c r="F4262" i="56" s="1"/>
  <c r="I4262" i="56"/>
  <c r="C4263" i="56"/>
  <c r="D4263" i="56" s="1"/>
  <c r="E4263" i="56"/>
  <c r="F4263" i="56" s="1"/>
  <c r="I4263" i="56"/>
  <c r="C4264" i="56"/>
  <c r="D4264" i="56" s="1"/>
  <c r="E4264" i="56"/>
  <c r="F4264" i="56" s="1"/>
  <c r="I4264" i="56"/>
  <c r="C4265" i="56"/>
  <c r="D4265" i="56" s="1"/>
  <c r="E4265" i="56"/>
  <c r="F4265" i="56" s="1"/>
  <c r="L4265" i="56"/>
  <c r="C4266" i="56"/>
  <c r="D4266" i="56" s="1"/>
  <c r="E4266" i="56"/>
  <c r="F4266" i="56" s="1"/>
  <c r="I4266" i="56"/>
  <c r="L4266" i="56"/>
  <c r="C4267" i="56"/>
  <c r="D4267" i="56" s="1"/>
  <c r="E4267" i="56"/>
  <c r="F4267" i="56" s="1"/>
  <c r="I4267" i="56"/>
  <c r="C4268" i="56"/>
  <c r="D4268" i="56" s="1"/>
  <c r="E4268" i="56"/>
  <c r="F4268" i="56" s="1"/>
  <c r="C4269" i="56"/>
  <c r="D4269" i="56" s="1"/>
  <c r="E4269" i="56"/>
  <c r="F4269" i="56" s="1"/>
  <c r="I4269" i="56"/>
  <c r="L4269" i="56"/>
  <c r="C4270" i="56"/>
  <c r="D4270" i="56" s="1"/>
  <c r="E4270" i="56"/>
  <c r="F4270" i="56" s="1"/>
  <c r="I4270" i="56"/>
  <c r="L4270" i="56"/>
  <c r="C4271" i="56"/>
  <c r="D4271" i="56" s="1"/>
  <c r="E4271" i="56"/>
  <c r="F4271" i="56" s="1"/>
  <c r="I4271" i="56"/>
  <c r="L4271" i="56"/>
  <c r="C4272" i="56"/>
  <c r="D4272" i="56" s="1"/>
  <c r="E4272" i="56"/>
  <c r="F4272" i="56" s="1"/>
  <c r="I4272" i="56"/>
  <c r="L4272" i="56"/>
  <c r="C4273" i="56"/>
  <c r="D4273" i="56" s="1"/>
  <c r="E4273" i="56"/>
  <c r="F4273" i="56" s="1"/>
  <c r="I4273" i="56"/>
  <c r="C4274" i="56"/>
  <c r="D4274" i="56" s="1"/>
  <c r="E4274" i="56"/>
  <c r="F4274" i="56" s="1"/>
  <c r="I4274" i="56"/>
  <c r="C4275" i="56"/>
  <c r="D4275" i="56" s="1"/>
  <c r="E4275" i="56"/>
  <c r="F4275" i="56" s="1"/>
  <c r="I4275" i="56"/>
  <c r="C4276" i="56"/>
  <c r="D4276" i="56" s="1"/>
  <c r="E4276" i="56"/>
  <c r="F4276" i="56" s="1"/>
  <c r="I4276" i="56"/>
  <c r="C4277" i="56"/>
  <c r="D4277" i="56" s="1"/>
  <c r="E4277" i="56"/>
  <c r="F4277" i="56" s="1"/>
  <c r="L4277" i="56"/>
  <c r="C4278" i="56"/>
  <c r="D4278" i="56" s="1"/>
  <c r="E4278" i="56"/>
  <c r="F4278" i="56" s="1"/>
  <c r="I4278" i="56"/>
  <c r="L4278" i="56"/>
  <c r="C4279" i="56"/>
  <c r="D4279" i="56" s="1"/>
  <c r="E4279" i="56"/>
  <c r="F4279" i="56" s="1"/>
  <c r="I4279" i="56"/>
  <c r="C4280" i="56"/>
  <c r="D4280" i="56" s="1"/>
  <c r="E4280" i="56"/>
  <c r="F4280" i="56" s="1"/>
  <c r="C4281" i="56"/>
  <c r="D4281" i="56" s="1"/>
  <c r="E4281" i="56"/>
  <c r="F4281" i="56" s="1"/>
  <c r="I4281" i="56"/>
  <c r="L4281" i="56"/>
  <c r="C4282" i="56"/>
  <c r="D4282" i="56"/>
  <c r="E4282" i="56"/>
  <c r="F4282" i="56" s="1"/>
  <c r="I4282" i="56"/>
  <c r="L4282" i="56"/>
  <c r="C4283" i="56"/>
  <c r="D4283" i="56" s="1"/>
  <c r="E4283" i="56"/>
  <c r="F4283" i="56" s="1"/>
  <c r="I4283" i="56"/>
  <c r="L4283" i="56"/>
  <c r="C4284" i="56"/>
  <c r="D4284" i="56" s="1"/>
  <c r="E4284" i="56"/>
  <c r="F4284" i="56" s="1"/>
  <c r="I4284" i="56"/>
  <c r="L4284" i="56"/>
  <c r="C4285" i="56"/>
  <c r="D4285" i="56" s="1"/>
  <c r="E4285" i="56"/>
  <c r="F4285" i="56" s="1"/>
  <c r="I4285" i="56"/>
  <c r="C4286" i="56"/>
  <c r="D4286" i="56" s="1"/>
  <c r="E4286" i="56"/>
  <c r="F4286" i="56" s="1"/>
  <c r="I4286" i="56"/>
  <c r="C4287" i="56"/>
  <c r="D4287" i="56" s="1"/>
  <c r="E4287" i="56"/>
  <c r="F4287" i="56" s="1"/>
  <c r="I4287" i="56"/>
  <c r="C4288" i="56"/>
  <c r="D4288" i="56" s="1"/>
  <c r="E4288" i="56"/>
  <c r="F4288" i="56" s="1"/>
  <c r="I4288" i="56"/>
  <c r="C4289" i="56"/>
  <c r="D4289" i="56" s="1"/>
  <c r="E4289" i="56"/>
  <c r="F4289" i="56" s="1"/>
  <c r="L4289" i="56"/>
  <c r="C4290" i="56"/>
  <c r="D4290" i="56" s="1"/>
  <c r="E4290" i="56"/>
  <c r="F4290" i="56" s="1"/>
  <c r="I4290" i="56"/>
  <c r="L4290" i="56"/>
  <c r="C4291" i="56"/>
  <c r="D4291" i="56" s="1"/>
  <c r="E4291" i="56"/>
  <c r="F4291" i="56" s="1"/>
  <c r="I4291" i="56"/>
  <c r="C4292" i="56"/>
  <c r="D4292" i="56" s="1"/>
  <c r="E4292" i="56"/>
  <c r="F4292" i="56" s="1"/>
  <c r="C4293" i="56"/>
  <c r="D4293" i="56" s="1"/>
  <c r="E4293" i="56"/>
  <c r="F4293" i="56" s="1"/>
  <c r="I4293" i="56"/>
  <c r="L4293" i="56"/>
  <c r="C4294" i="56"/>
  <c r="D4294" i="56" s="1"/>
  <c r="E4294" i="56"/>
  <c r="F4294" i="56" s="1"/>
  <c r="I4294" i="56"/>
  <c r="L4294" i="56"/>
  <c r="C4295" i="56"/>
  <c r="D4295" i="56" s="1"/>
  <c r="E4295" i="56"/>
  <c r="F4295" i="56" s="1"/>
  <c r="I4295" i="56"/>
  <c r="L4295" i="56"/>
  <c r="C4296" i="56"/>
  <c r="D4296" i="56" s="1"/>
  <c r="E4296" i="56"/>
  <c r="F4296" i="56" s="1"/>
  <c r="I4296" i="56"/>
  <c r="L4296" i="56"/>
  <c r="C4297" i="56"/>
  <c r="D4297" i="56" s="1"/>
  <c r="E4297" i="56"/>
  <c r="F4297" i="56" s="1"/>
  <c r="I4297" i="56"/>
  <c r="C4298" i="56"/>
  <c r="D4298" i="56" s="1"/>
  <c r="E4298" i="56"/>
  <c r="F4298" i="56" s="1"/>
  <c r="I4298" i="56"/>
  <c r="C4299" i="56"/>
  <c r="D4299" i="56" s="1"/>
  <c r="E4299" i="56"/>
  <c r="F4299" i="56" s="1"/>
  <c r="I4299" i="56"/>
  <c r="C4300" i="56"/>
  <c r="D4300" i="56" s="1"/>
  <c r="E4300" i="56"/>
  <c r="F4300" i="56" s="1"/>
  <c r="I4300" i="56"/>
  <c r="C4301" i="56"/>
  <c r="D4301" i="56" s="1"/>
  <c r="E4301" i="56"/>
  <c r="F4301" i="56" s="1"/>
  <c r="L4301" i="56"/>
  <c r="C4302" i="56"/>
  <c r="D4302" i="56" s="1"/>
  <c r="E4302" i="56"/>
  <c r="F4302" i="56" s="1"/>
  <c r="I4302" i="56"/>
  <c r="L4302" i="56"/>
  <c r="C4303" i="56"/>
  <c r="D4303" i="56" s="1"/>
  <c r="E4303" i="56"/>
  <c r="F4303" i="56" s="1"/>
  <c r="I4303" i="56"/>
  <c r="C4304" i="56"/>
  <c r="D4304" i="56" s="1"/>
  <c r="E4304" i="56"/>
  <c r="F4304" i="56" s="1"/>
  <c r="C4305" i="56"/>
  <c r="D4305" i="56" s="1"/>
  <c r="E4305" i="56"/>
  <c r="F4305" i="56" s="1"/>
  <c r="I4305" i="56"/>
  <c r="L4305" i="56"/>
  <c r="C4306" i="56"/>
  <c r="D4306" i="56" s="1"/>
  <c r="E4306" i="56"/>
  <c r="F4306" i="56" s="1"/>
  <c r="I4306" i="56"/>
  <c r="L4306" i="56"/>
  <c r="C4307" i="56"/>
  <c r="D4307" i="56" s="1"/>
  <c r="E4307" i="56"/>
  <c r="F4307" i="56" s="1"/>
  <c r="I4307" i="56"/>
  <c r="L4307" i="56"/>
  <c r="C4308" i="56"/>
  <c r="D4308" i="56" s="1"/>
  <c r="E4308" i="56"/>
  <c r="F4308" i="56" s="1"/>
  <c r="I4308" i="56"/>
  <c r="L4308" i="56"/>
  <c r="C4309" i="56"/>
  <c r="D4309" i="56" s="1"/>
  <c r="E4309" i="56"/>
  <c r="F4309" i="56" s="1"/>
  <c r="I4309" i="56"/>
  <c r="C4310" i="56"/>
  <c r="D4310" i="56" s="1"/>
  <c r="E4310" i="56"/>
  <c r="F4310" i="56" s="1"/>
  <c r="I4310" i="56"/>
  <c r="C4311" i="56"/>
  <c r="D4311" i="56" s="1"/>
  <c r="E4311" i="56"/>
  <c r="F4311" i="56" s="1"/>
  <c r="I4311" i="56"/>
  <c r="C4312" i="56"/>
  <c r="D4312" i="56" s="1"/>
  <c r="E4312" i="56"/>
  <c r="F4312" i="56" s="1"/>
  <c r="I4312" i="56"/>
  <c r="C4313" i="56"/>
  <c r="D4313" i="56" s="1"/>
  <c r="E4313" i="56"/>
  <c r="F4313" i="56" s="1"/>
  <c r="L4313" i="56"/>
  <c r="C4314" i="56"/>
  <c r="D4314" i="56" s="1"/>
  <c r="E4314" i="56"/>
  <c r="F4314" i="56" s="1"/>
  <c r="I4314" i="56"/>
  <c r="L4314" i="56"/>
  <c r="C4315" i="56"/>
  <c r="D4315" i="56" s="1"/>
  <c r="E4315" i="56"/>
  <c r="F4315" i="56" s="1"/>
  <c r="I4315" i="56"/>
  <c r="C4316" i="56"/>
  <c r="D4316" i="56" s="1"/>
  <c r="E4316" i="56"/>
  <c r="F4316" i="56" s="1"/>
  <c r="C4317" i="56"/>
  <c r="D4317" i="56" s="1"/>
  <c r="E4317" i="56"/>
  <c r="F4317" i="56" s="1"/>
  <c r="I4317" i="56"/>
  <c r="L4317" i="56"/>
  <c r="C4318" i="56"/>
  <c r="D4318" i="56" s="1"/>
  <c r="E4318" i="56"/>
  <c r="F4318" i="56" s="1"/>
  <c r="I4318" i="56"/>
  <c r="C4319" i="56"/>
  <c r="D4319" i="56" s="1"/>
  <c r="E4319" i="56"/>
  <c r="F4319" i="56" s="1"/>
  <c r="I4319" i="56"/>
  <c r="L4319" i="56"/>
  <c r="C4320" i="56"/>
  <c r="D4320" i="56" s="1"/>
  <c r="E4320" i="56"/>
  <c r="F4320" i="56" s="1"/>
  <c r="I4320" i="56"/>
  <c r="L4320" i="56"/>
  <c r="C4321" i="56"/>
  <c r="D4321" i="56" s="1"/>
  <c r="E4321" i="56"/>
  <c r="F4321" i="56" s="1"/>
  <c r="I4321" i="56"/>
  <c r="C4322" i="56"/>
  <c r="D4322" i="56" s="1"/>
  <c r="E4322" i="56"/>
  <c r="F4322" i="56" s="1"/>
  <c r="I4322" i="56"/>
  <c r="C4323" i="56"/>
  <c r="D4323" i="56" s="1"/>
  <c r="E4323" i="56"/>
  <c r="F4323" i="56" s="1"/>
  <c r="I4323" i="56"/>
  <c r="C4324" i="56"/>
  <c r="D4324" i="56" s="1"/>
  <c r="E4324" i="56"/>
  <c r="F4324" i="56" s="1"/>
  <c r="I4324" i="56"/>
  <c r="C4325" i="56"/>
  <c r="D4325" i="56" s="1"/>
  <c r="E4325" i="56"/>
  <c r="F4325" i="56" s="1"/>
  <c r="L4325" i="56"/>
  <c r="C4326" i="56"/>
  <c r="D4326" i="56" s="1"/>
  <c r="E4326" i="56"/>
  <c r="F4326" i="56" s="1"/>
  <c r="I4326" i="56"/>
  <c r="L4326" i="56"/>
  <c r="C4327" i="56"/>
  <c r="D4327" i="56" s="1"/>
  <c r="E4327" i="56"/>
  <c r="F4327" i="56" s="1"/>
  <c r="I4327" i="56"/>
  <c r="C4328" i="56"/>
  <c r="D4328" i="56" s="1"/>
  <c r="E4328" i="56"/>
  <c r="F4328" i="56" s="1"/>
  <c r="C4329" i="56"/>
  <c r="D4329" i="56" s="1"/>
  <c r="E4329" i="56"/>
  <c r="F4329" i="56" s="1"/>
  <c r="I4329" i="56"/>
  <c r="L4329" i="56"/>
  <c r="C4330" i="56"/>
  <c r="D4330" i="56" s="1"/>
  <c r="E4330" i="56"/>
  <c r="F4330" i="56" s="1"/>
  <c r="I4330" i="56"/>
  <c r="L4330" i="56"/>
  <c r="C4331" i="56"/>
  <c r="D4331" i="56" s="1"/>
  <c r="E4331" i="56"/>
  <c r="F4331" i="56" s="1"/>
  <c r="I4331" i="56"/>
  <c r="L4331" i="56"/>
  <c r="C4332" i="56"/>
  <c r="D4332" i="56" s="1"/>
  <c r="E4332" i="56"/>
  <c r="F4332" i="56" s="1"/>
  <c r="I4332" i="56"/>
  <c r="L4332" i="56"/>
  <c r="C4333" i="56"/>
  <c r="D4333" i="56" s="1"/>
  <c r="E4333" i="56"/>
  <c r="F4333" i="56" s="1"/>
  <c r="I4333" i="56"/>
  <c r="C4334" i="56"/>
  <c r="D4334" i="56" s="1"/>
  <c r="E4334" i="56"/>
  <c r="F4334" i="56" s="1"/>
  <c r="I4334" i="56"/>
  <c r="C4335" i="56"/>
  <c r="D4335" i="56" s="1"/>
  <c r="E4335" i="56"/>
  <c r="F4335" i="56" s="1"/>
  <c r="I4335" i="56"/>
  <c r="C4336" i="56"/>
  <c r="D4336" i="56" s="1"/>
  <c r="E4336" i="56"/>
  <c r="F4336" i="56" s="1"/>
  <c r="I4336" i="56"/>
  <c r="C4337" i="56"/>
  <c r="D4337" i="56" s="1"/>
  <c r="E4337" i="56"/>
  <c r="F4337" i="56" s="1"/>
  <c r="L4337" i="56"/>
  <c r="C4338" i="56"/>
  <c r="D4338" i="56" s="1"/>
  <c r="E4338" i="56"/>
  <c r="F4338" i="56" s="1"/>
  <c r="I4338" i="56"/>
  <c r="L4338" i="56"/>
  <c r="C4339" i="56"/>
  <c r="D4339" i="56" s="1"/>
  <c r="E4339" i="56"/>
  <c r="F4339" i="56" s="1"/>
  <c r="I4339" i="56"/>
  <c r="C4340" i="56"/>
  <c r="D4340" i="56" s="1"/>
  <c r="E4340" i="56"/>
  <c r="F4340" i="56" s="1"/>
  <c r="L4340" i="56"/>
  <c r="C4341" i="56"/>
  <c r="D4341" i="56" s="1"/>
  <c r="E4341" i="56"/>
  <c r="F4341" i="56" s="1"/>
  <c r="I4341" i="56"/>
  <c r="L4341" i="56"/>
  <c r="C4342" i="56"/>
  <c r="D4342" i="56" s="1"/>
  <c r="E4342" i="56"/>
  <c r="F4342" i="56" s="1"/>
  <c r="I4342" i="56"/>
  <c r="L4342" i="56"/>
  <c r="C4343" i="56"/>
  <c r="D4343" i="56" s="1"/>
  <c r="E4343" i="56"/>
  <c r="F4343" i="56" s="1"/>
  <c r="I4343" i="56"/>
  <c r="C4344" i="56"/>
  <c r="D4344" i="56" s="1"/>
  <c r="E4344" i="56"/>
  <c r="F4344" i="56" s="1"/>
  <c r="I4344" i="56"/>
  <c r="L4344" i="56"/>
  <c r="C4345" i="56"/>
  <c r="D4345" i="56" s="1"/>
  <c r="E4345" i="56"/>
  <c r="F4345" i="56" s="1"/>
  <c r="I4345" i="56"/>
  <c r="C4346" i="56"/>
  <c r="D4346" i="56" s="1"/>
  <c r="E4346" i="56"/>
  <c r="F4346" i="56" s="1"/>
  <c r="I4346" i="56"/>
  <c r="C4347" i="56"/>
  <c r="D4347" i="56" s="1"/>
  <c r="E4347" i="56"/>
  <c r="F4347" i="56" s="1"/>
  <c r="I4347" i="56"/>
  <c r="C4348" i="56"/>
  <c r="D4348" i="56" s="1"/>
  <c r="E4348" i="56"/>
  <c r="F4348" i="56" s="1"/>
  <c r="I4348" i="56"/>
  <c r="C4349" i="56"/>
  <c r="D4349" i="56" s="1"/>
  <c r="E4349" i="56"/>
  <c r="F4349" i="56" s="1"/>
  <c r="L4349" i="56"/>
  <c r="C4350" i="56"/>
  <c r="D4350" i="56" s="1"/>
  <c r="E4350" i="56"/>
  <c r="F4350" i="56" s="1"/>
  <c r="I4350" i="56"/>
  <c r="L4350" i="56"/>
  <c r="C4351" i="56"/>
  <c r="D4351" i="56" s="1"/>
  <c r="E4351" i="56"/>
  <c r="F4351" i="56" s="1"/>
  <c r="I4351" i="56"/>
  <c r="C4352" i="56"/>
  <c r="D4352" i="56" s="1"/>
  <c r="E4352" i="56"/>
  <c r="F4352" i="56" s="1"/>
  <c r="C4353" i="56"/>
  <c r="D4353" i="56" s="1"/>
  <c r="E4353" i="56"/>
  <c r="F4353" i="56" s="1"/>
  <c r="I4353" i="56"/>
  <c r="L4353" i="56"/>
  <c r="C4354" i="56"/>
  <c r="D4354" i="56" s="1"/>
  <c r="E4354" i="56"/>
  <c r="F4354" i="56" s="1"/>
  <c r="I4354" i="56"/>
  <c r="L4354" i="56"/>
  <c r="C4355" i="56"/>
  <c r="D4355" i="56" s="1"/>
  <c r="E4355" i="56"/>
  <c r="F4355" i="56" s="1"/>
  <c r="I4355" i="56"/>
  <c r="C4356" i="56"/>
  <c r="D4356" i="56" s="1"/>
  <c r="E4356" i="56"/>
  <c r="F4356" i="56" s="1"/>
  <c r="I4356" i="56"/>
  <c r="L4356" i="56"/>
  <c r="C4357" i="56"/>
  <c r="D4357" i="56" s="1"/>
  <c r="E4357" i="56"/>
  <c r="F4357" i="56" s="1"/>
  <c r="I4357" i="56"/>
  <c r="C4358" i="56"/>
  <c r="D4358" i="56" s="1"/>
  <c r="E4358" i="56"/>
  <c r="F4358" i="56" s="1"/>
  <c r="I4358" i="56"/>
  <c r="C4359" i="56"/>
  <c r="D4359" i="56" s="1"/>
  <c r="E4359" i="56"/>
  <c r="F4359" i="56" s="1"/>
  <c r="I4359" i="56"/>
  <c r="C4360" i="56"/>
  <c r="D4360" i="56" s="1"/>
  <c r="E4360" i="56"/>
  <c r="F4360" i="56" s="1"/>
  <c r="I4360" i="56"/>
  <c r="C4361" i="56"/>
  <c r="D4361" i="56" s="1"/>
  <c r="E4361" i="56"/>
  <c r="F4361" i="56" s="1"/>
  <c r="L4361" i="56"/>
  <c r="C4362" i="56"/>
  <c r="D4362" i="56" s="1"/>
  <c r="E4362" i="56"/>
  <c r="F4362" i="56" s="1"/>
  <c r="I4362" i="56"/>
  <c r="L4362" i="56"/>
  <c r="C4363" i="56"/>
  <c r="D4363" i="56" s="1"/>
  <c r="E4363" i="56"/>
  <c r="F4363" i="56" s="1"/>
  <c r="C4364" i="56"/>
  <c r="D4364" i="56" s="1"/>
  <c r="E4364" i="56"/>
  <c r="F4364" i="56" s="1"/>
  <c r="C4365" i="56"/>
  <c r="D4365" i="56" s="1"/>
  <c r="E4365" i="56"/>
  <c r="F4365" i="56" s="1"/>
  <c r="I4365" i="56"/>
  <c r="L4365" i="56"/>
  <c r="C4366" i="56"/>
  <c r="D4366" i="56" s="1"/>
  <c r="E4366" i="56"/>
  <c r="F4366" i="56" s="1"/>
  <c r="I4366" i="56"/>
  <c r="L4366" i="56"/>
  <c r="C4367" i="56"/>
  <c r="D4367" i="56" s="1"/>
  <c r="E4367" i="56"/>
  <c r="F4367" i="56" s="1"/>
  <c r="I4367" i="56"/>
  <c r="L4367" i="56"/>
  <c r="C4368" i="56"/>
  <c r="D4368" i="56" s="1"/>
  <c r="E4368" i="56"/>
  <c r="F4368" i="56" s="1"/>
  <c r="I4368" i="56"/>
  <c r="L4368" i="56"/>
  <c r="C4369" i="56"/>
  <c r="D4369" i="56" s="1"/>
  <c r="E4369" i="56"/>
  <c r="F4369" i="56" s="1"/>
  <c r="I4369" i="56"/>
  <c r="C4370" i="56"/>
  <c r="D4370" i="56" s="1"/>
  <c r="E4370" i="56"/>
  <c r="F4370" i="56" s="1"/>
  <c r="I4370" i="56"/>
  <c r="C4371" i="56"/>
  <c r="D4371" i="56" s="1"/>
  <c r="E4371" i="56"/>
  <c r="F4371" i="56" s="1"/>
  <c r="I4371" i="56"/>
  <c r="C4372" i="56"/>
  <c r="D4372" i="56" s="1"/>
  <c r="E4372" i="56"/>
  <c r="F4372" i="56" s="1"/>
  <c r="I4372" i="56"/>
  <c r="C4373" i="56"/>
  <c r="D4373" i="56" s="1"/>
  <c r="E4373" i="56"/>
  <c r="F4373" i="56" s="1"/>
  <c r="L4373" i="56"/>
  <c r="C4374" i="56"/>
  <c r="D4374" i="56" s="1"/>
  <c r="E4374" i="56"/>
  <c r="F4374" i="56" s="1"/>
  <c r="I4374" i="56"/>
  <c r="L4374" i="56"/>
  <c r="C4375" i="56"/>
  <c r="D4375" i="56" s="1"/>
  <c r="E4375" i="56"/>
  <c r="F4375" i="56" s="1"/>
  <c r="I4375" i="56"/>
  <c r="C4376" i="56"/>
  <c r="D4376" i="56" s="1"/>
  <c r="E4376" i="56"/>
  <c r="F4376" i="56" s="1"/>
  <c r="C4377" i="56"/>
  <c r="D4377" i="56" s="1"/>
  <c r="E4377" i="56"/>
  <c r="F4377" i="56" s="1"/>
  <c r="I4377" i="56"/>
  <c r="L4377" i="56"/>
  <c r="C4378" i="56"/>
  <c r="D4378" i="56"/>
  <c r="E4378" i="56"/>
  <c r="F4378" i="56" s="1"/>
  <c r="I4378" i="56"/>
  <c r="L4378" i="56"/>
  <c r="C4379" i="56"/>
  <c r="D4379" i="56" s="1"/>
  <c r="E4379" i="56"/>
  <c r="F4379" i="56" s="1"/>
  <c r="I4379" i="56"/>
  <c r="C4380" i="56"/>
  <c r="D4380" i="56" s="1"/>
  <c r="E4380" i="56"/>
  <c r="F4380" i="56" s="1"/>
  <c r="I4380" i="56"/>
  <c r="C4381" i="56"/>
  <c r="D4381" i="56" s="1"/>
  <c r="E4381" i="56"/>
  <c r="F4381" i="56" s="1"/>
  <c r="I4381" i="56"/>
  <c r="C4382" i="56"/>
  <c r="D4382" i="56" s="1"/>
  <c r="E4382" i="56"/>
  <c r="F4382" i="56" s="1"/>
  <c r="I4382" i="56"/>
  <c r="C4383" i="56"/>
  <c r="D4383" i="56" s="1"/>
  <c r="E4383" i="56"/>
  <c r="F4383" i="56" s="1"/>
  <c r="I4383" i="56"/>
  <c r="C4384" i="56"/>
  <c r="D4384" i="56" s="1"/>
  <c r="E4384" i="56"/>
  <c r="F4384" i="56" s="1"/>
  <c r="I4384" i="56"/>
  <c r="C4385" i="56"/>
  <c r="D4385" i="56" s="1"/>
  <c r="E4385" i="56"/>
  <c r="F4385" i="56" s="1"/>
  <c r="L4385" i="56"/>
  <c r="C4386" i="56"/>
  <c r="D4386" i="56" s="1"/>
  <c r="E4386" i="56"/>
  <c r="F4386" i="56" s="1"/>
  <c r="I4386" i="56"/>
  <c r="L4386" i="56"/>
  <c r="C4387" i="56"/>
  <c r="D4387" i="56" s="1"/>
  <c r="E4387" i="56"/>
  <c r="F4387" i="56" s="1"/>
  <c r="I4387" i="56"/>
  <c r="C4388" i="56"/>
  <c r="D4388" i="56" s="1"/>
  <c r="E4388" i="56"/>
  <c r="F4388" i="56" s="1"/>
  <c r="C4389" i="56"/>
  <c r="D4389" i="56" s="1"/>
  <c r="E4389" i="56"/>
  <c r="F4389" i="56" s="1"/>
  <c r="I4389" i="56"/>
  <c r="L4389" i="56"/>
  <c r="C4390" i="56"/>
  <c r="D4390" i="56" s="1"/>
  <c r="E4390" i="56"/>
  <c r="F4390" i="56" s="1"/>
  <c r="I4390" i="56"/>
  <c r="L4390" i="56"/>
  <c r="C4391" i="56"/>
  <c r="D4391" i="56" s="1"/>
  <c r="E4391" i="56"/>
  <c r="F4391" i="56" s="1"/>
  <c r="I4391" i="56"/>
  <c r="L4391" i="56"/>
  <c r="C4392" i="56"/>
  <c r="D4392" i="56" s="1"/>
  <c r="E4392" i="56"/>
  <c r="F4392" i="56" s="1"/>
  <c r="I4392" i="56"/>
  <c r="L4392" i="56"/>
  <c r="C4393" i="56"/>
  <c r="D4393" i="56" s="1"/>
  <c r="E4393" i="56"/>
  <c r="F4393" i="56" s="1"/>
  <c r="I4393" i="56"/>
  <c r="C4394" i="56"/>
  <c r="D4394" i="56" s="1"/>
  <c r="E4394" i="56"/>
  <c r="F4394" i="56" s="1"/>
  <c r="I4394" i="56"/>
  <c r="C4395" i="56"/>
  <c r="D4395" i="56" s="1"/>
  <c r="E4395" i="56"/>
  <c r="F4395" i="56" s="1"/>
  <c r="I4395" i="56"/>
  <c r="C4396" i="56"/>
  <c r="D4396" i="56" s="1"/>
  <c r="E4396" i="56"/>
  <c r="F4396" i="56" s="1"/>
  <c r="I4396" i="56"/>
  <c r="C4397" i="56"/>
  <c r="D4397" i="56" s="1"/>
  <c r="E4397" i="56"/>
  <c r="F4397" i="56" s="1"/>
  <c r="L4397" i="56"/>
  <c r="C4398" i="56"/>
  <c r="D4398" i="56" s="1"/>
  <c r="E4398" i="56"/>
  <c r="F4398" i="56" s="1"/>
  <c r="I4398" i="56"/>
  <c r="L4398" i="56"/>
  <c r="C4399" i="56"/>
  <c r="D4399" i="56" s="1"/>
  <c r="E4399" i="56"/>
  <c r="F4399" i="56" s="1"/>
  <c r="I4399" i="56"/>
  <c r="C4400" i="56"/>
  <c r="D4400" i="56" s="1"/>
  <c r="E4400" i="56"/>
  <c r="F4400" i="56" s="1"/>
  <c r="C4401" i="56"/>
  <c r="D4401" i="56" s="1"/>
  <c r="E4401" i="56"/>
  <c r="F4401" i="56" s="1"/>
  <c r="I4401" i="56"/>
  <c r="L4401" i="56"/>
  <c r="C4402" i="56"/>
  <c r="D4402" i="56" s="1"/>
  <c r="E4402" i="56"/>
  <c r="F4402" i="56" s="1"/>
  <c r="I4402" i="56"/>
  <c r="L4402" i="56"/>
  <c r="C4403" i="56"/>
  <c r="D4403" i="56" s="1"/>
  <c r="E4403" i="56"/>
  <c r="F4403" i="56" s="1"/>
  <c r="I4403" i="56"/>
  <c r="C4404" i="56"/>
  <c r="D4404" i="56" s="1"/>
  <c r="E4404" i="56"/>
  <c r="F4404" i="56" s="1"/>
  <c r="I4404" i="56"/>
  <c r="L4404" i="56"/>
  <c r="C4405" i="56"/>
  <c r="D4405" i="56" s="1"/>
  <c r="E4405" i="56"/>
  <c r="F4405" i="56" s="1"/>
  <c r="I4405" i="56"/>
  <c r="C4406" i="56"/>
  <c r="D4406" i="56" s="1"/>
  <c r="E4406" i="56"/>
  <c r="F4406" i="56" s="1"/>
  <c r="I4406" i="56"/>
  <c r="C4407" i="56"/>
  <c r="D4407" i="56" s="1"/>
  <c r="E4407" i="56"/>
  <c r="F4407" i="56" s="1"/>
  <c r="I4407" i="56"/>
  <c r="C4408" i="56"/>
  <c r="D4408" i="56" s="1"/>
  <c r="E4408" i="56"/>
  <c r="F4408" i="56" s="1"/>
  <c r="I4408" i="56"/>
  <c r="L4408" i="56"/>
  <c r="C4409" i="56"/>
  <c r="D4409" i="56" s="1"/>
  <c r="E4409" i="56"/>
  <c r="F4409" i="56" s="1"/>
  <c r="L4409" i="56"/>
  <c r="C4410" i="56"/>
  <c r="D4410" i="56" s="1"/>
  <c r="E4410" i="56"/>
  <c r="F4410" i="56" s="1"/>
  <c r="I4410" i="56"/>
  <c r="L4410" i="56"/>
  <c r="C4411" i="56"/>
  <c r="D4411" i="56" s="1"/>
  <c r="E4411" i="56"/>
  <c r="F4411" i="56" s="1"/>
  <c r="I4411" i="56"/>
  <c r="C4412" i="56"/>
  <c r="D4412" i="56" s="1"/>
  <c r="E4412" i="56"/>
  <c r="F4412" i="56" s="1"/>
  <c r="C4413" i="56"/>
  <c r="D4413" i="56" s="1"/>
  <c r="E4413" i="56"/>
  <c r="F4413" i="56" s="1"/>
  <c r="I4413" i="56"/>
  <c r="L4413" i="56"/>
  <c r="C4414" i="56"/>
  <c r="D4414" i="56" s="1"/>
  <c r="E4414" i="56"/>
  <c r="F4414" i="56" s="1"/>
  <c r="I4414" i="56"/>
  <c r="L4414" i="56"/>
  <c r="C4415" i="56"/>
  <c r="D4415" i="56" s="1"/>
  <c r="E4415" i="56"/>
  <c r="F4415" i="56" s="1"/>
  <c r="I4415" i="56"/>
  <c r="C4416" i="56"/>
  <c r="D4416" i="56" s="1"/>
  <c r="E4416" i="56"/>
  <c r="F4416" i="56" s="1"/>
  <c r="I4416" i="56"/>
  <c r="L4416" i="56"/>
  <c r="C4417" i="56"/>
  <c r="D4417" i="56" s="1"/>
  <c r="E4417" i="56"/>
  <c r="F4417" i="56" s="1"/>
  <c r="I4417" i="56"/>
  <c r="C4418" i="56"/>
  <c r="D4418" i="56" s="1"/>
  <c r="E4418" i="56"/>
  <c r="F4418" i="56" s="1"/>
  <c r="I4418" i="56"/>
  <c r="C4419" i="56"/>
  <c r="D4419" i="56" s="1"/>
  <c r="E4419" i="56"/>
  <c r="F4419" i="56" s="1"/>
  <c r="I4419" i="56"/>
  <c r="C4420" i="56"/>
  <c r="D4420" i="56" s="1"/>
  <c r="E4420" i="56"/>
  <c r="F4420" i="56" s="1"/>
  <c r="I4420" i="56"/>
  <c r="C4421" i="56"/>
  <c r="D4421" i="56" s="1"/>
  <c r="E4421" i="56"/>
  <c r="F4421" i="56" s="1"/>
  <c r="L4421" i="56"/>
  <c r="C4422" i="56"/>
  <c r="D4422" i="56" s="1"/>
  <c r="E4422" i="56"/>
  <c r="F4422" i="56" s="1"/>
  <c r="I4422" i="56"/>
  <c r="L4422" i="56"/>
  <c r="C4423" i="56"/>
  <c r="D4423" i="56" s="1"/>
  <c r="E4423" i="56"/>
  <c r="F4423" i="56" s="1"/>
  <c r="C4424" i="56"/>
  <c r="D4424" i="56" s="1"/>
  <c r="E4424" i="56"/>
  <c r="F4424" i="56" s="1"/>
  <c r="C4425" i="56"/>
  <c r="D4425" i="56" s="1"/>
  <c r="E4425" i="56"/>
  <c r="F4425" i="56" s="1"/>
  <c r="I4425" i="56"/>
  <c r="L4425" i="56"/>
  <c r="C4426" i="56"/>
  <c r="D4426" i="56" s="1"/>
  <c r="E4426" i="56"/>
  <c r="F4426" i="56" s="1"/>
  <c r="I4426" i="56"/>
  <c r="L4426" i="56"/>
  <c r="C4427" i="56"/>
  <c r="D4427" i="56" s="1"/>
  <c r="E4427" i="56"/>
  <c r="F4427" i="56" s="1"/>
  <c r="I4427" i="56"/>
  <c r="L4427" i="56"/>
  <c r="C4428" i="56"/>
  <c r="D4428" i="56" s="1"/>
  <c r="E4428" i="56"/>
  <c r="F4428" i="56" s="1"/>
  <c r="I4428" i="56"/>
  <c r="L4428" i="56"/>
  <c r="C4429" i="56"/>
  <c r="D4429" i="56" s="1"/>
  <c r="E4429" i="56"/>
  <c r="F4429" i="56" s="1"/>
  <c r="I4429" i="56"/>
  <c r="C4430" i="56"/>
  <c r="D4430" i="56" s="1"/>
  <c r="E4430" i="56"/>
  <c r="F4430" i="56" s="1"/>
  <c r="I4430" i="56"/>
  <c r="C4431" i="56"/>
  <c r="D4431" i="56" s="1"/>
  <c r="E4431" i="56"/>
  <c r="F4431" i="56" s="1"/>
  <c r="I4431" i="56"/>
  <c r="C4432" i="56"/>
  <c r="D4432" i="56" s="1"/>
  <c r="E4432" i="56"/>
  <c r="F4432" i="56" s="1"/>
  <c r="I4432" i="56"/>
  <c r="C4433" i="56"/>
  <c r="D4433" i="56" s="1"/>
  <c r="E4433" i="56"/>
  <c r="F4433" i="56" s="1"/>
  <c r="L4433" i="56"/>
  <c r="C4434" i="56"/>
  <c r="D4434" i="56" s="1"/>
  <c r="E4434" i="56"/>
  <c r="F4434" i="56" s="1"/>
  <c r="I4434" i="56"/>
  <c r="L4434" i="56"/>
  <c r="C4435" i="56"/>
  <c r="D4435" i="56" s="1"/>
  <c r="E4435" i="56"/>
  <c r="F4435" i="56" s="1"/>
  <c r="I4435" i="56"/>
  <c r="C4436" i="56"/>
  <c r="D4436" i="56" s="1"/>
  <c r="E4436" i="56"/>
  <c r="F4436" i="56" s="1"/>
  <c r="L4436" i="56"/>
  <c r="C4437" i="56"/>
  <c r="D4437" i="56" s="1"/>
  <c r="E4437" i="56"/>
  <c r="F4437" i="56" s="1"/>
  <c r="I4437" i="56"/>
  <c r="L4437" i="56"/>
  <c r="C4438" i="56"/>
  <c r="D4438" i="56" s="1"/>
  <c r="E4438" i="56"/>
  <c r="F4438" i="56" s="1"/>
  <c r="I4438" i="56"/>
  <c r="L4438" i="56"/>
  <c r="C4439" i="56"/>
  <c r="D4439" i="56" s="1"/>
  <c r="E4439" i="56"/>
  <c r="F4439" i="56" s="1"/>
  <c r="I4439" i="56"/>
  <c r="C4440" i="56"/>
  <c r="D4440" i="56" s="1"/>
  <c r="E4440" i="56"/>
  <c r="F4440" i="56" s="1"/>
  <c r="I4440" i="56"/>
  <c r="L4440" i="56"/>
  <c r="C4441" i="56"/>
  <c r="D4441" i="56" s="1"/>
  <c r="E4441" i="56"/>
  <c r="F4441" i="56" s="1"/>
  <c r="I4441" i="56"/>
  <c r="C4442" i="56"/>
  <c r="D4442" i="56" s="1"/>
  <c r="E4442" i="56"/>
  <c r="F4442" i="56" s="1"/>
  <c r="I4442" i="56"/>
  <c r="C4443" i="56"/>
  <c r="D4443" i="56" s="1"/>
  <c r="E4443" i="56"/>
  <c r="F4443" i="56" s="1"/>
  <c r="I4443" i="56"/>
  <c r="C4444" i="56"/>
  <c r="D4444" i="56" s="1"/>
  <c r="E4444" i="56"/>
  <c r="F4444" i="56" s="1"/>
  <c r="I4444" i="56"/>
  <c r="C4445" i="56"/>
  <c r="D4445" i="56" s="1"/>
  <c r="E4445" i="56"/>
  <c r="F4445" i="56" s="1"/>
  <c r="L4445" i="56"/>
  <c r="C4446" i="56"/>
  <c r="D4446" i="56" s="1"/>
  <c r="E4446" i="56"/>
  <c r="F4446" i="56" s="1"/>
  <c r="I4446" i="56"/>
  <c r="C4447" i="56"/>
  <c r="D4447" i="56" s="1"/>
  <c r="E4447" i="56"/>
  <c r="F4447" i="56" s="1"/>
  <c r="I4447" i="56"/>
  <c r="C4448" i="56"/>
  <c r="D4448" i="56" s="1"/>
  <c r="E4448" i="56"/>
  <c r="F4448" i="56" s="1"/>
  <c r="C4449" i="56"/>
  <c r="D4449" i="56" s="1"/>
  <c r="E4449" i="56"/>
  <c r="F4449" i="56" s="1"/>
  <c r="I4449" i="56"/>
  <c r="L4449" i="56"/>
  <c r="C4450" i="56"/>
  <c r="D4450" i="56" s="1"/>
  <c r="E4450" i="56"/>
  <c r="F4450" i="56" s="1"/>
  <c r="I4450" i="56"/>
  <c r="L4450" i="56"/>
  <c r="C4451" i="56"/>
  <c r="D4451" i="56" s="1"/>
  <c r="E4451" i="56"/>
  <c r="F4451" i="56" s="1"/>
  <c r="I4451" i="56"/>
  <c r="L4451" i="56"/>
  <c r="C4452" i="56"/>
  <c r="D4452" i="56" s="1"/>
  <c r="E4452" i="56"/>
  <c r="F4452" i="56" s="1"/>
  <c r="I4452" i="56"/>
  <c r="L4452" i="56"/>
  <c r="C4453" i="56"/>
  <c r="D4453" i="56" s="1"/>
  <c r="E4453" i="56"/>
  <c r="F4453" i="56" s="1"/>
  <c r="I4453" i="56"/>
  <c r="C4454" i="56"/>
  <c r="D4454" i="56" s="1"/>
  <c r="E4454" i="56"/>
  <c r="F4454" i="56" s="1"/>
  <c r="I4454" i="56"/>
  <c r="C4455" i="56"/>
  <c r="D4455" i="56" s="1"/>
  <c r="E4455" i="56"/>
  <c r="F4455" i="56" s="1"/>
  <c r="I4455" i="56"/>
  <c r="C4456" i="56"/>
  <c r="D4456" i="56" s="1"/>
  <c r="E4456" i="56"/>
  <c r="F4456" i="56" s="1"/>
  <c r="I4456" i="56"/>
  <c r="L4456" i="56"/>
  <c r="C4457" i="56"/>
  <c r="D4457" i="56" s="1"/>
  <c r="E4457" i="56"/>
  <c r="F4457" i="56" s="1"/>
  <c r="L4457" i="56"/>
  <c r="C4458" i="56"/>
  <c r="D4458" i="56" s="1"/>
  <c r="E4458" i="56"/>
  <c r="F4458" i="56" s="1"/>
  <c r="I4458" i="56"/>
  <c r="L4458" i="56"/>
  <c r="C4459" i="56"/>
  <c r="D4459" i="56" s="1"/>
  <c r="E4459" i="56"/>
  <c r="F4459" i="56" s="1"/>
  <c r="I4459" i="56"/>
  <c r="C4460" i="56"/>
  <c r="D4460" i="56" s="1"/>
  <c r="E4460" i="56"/>
  <c r="F4460" i="56" s="1"/>
  <c r="C4461" i="56"/>
  <c r="D4461" i="56" s="1"/>
  <c r="E4461" i="56"/>
  <c r="F4461" i="56" s="1"/>
  <c r="I4461" i="56"/>
  <c r="L4461" i="56"/>
  <c r="C4462" i="56"/>
  <c r="D4462" i="56" s="1"/>
  <c r="E4462" i="56"/>
  <c r="F4462" i="56" s="1"/>
  <c r="I4462" i="56"/>
  <c r="L4462" i="56"/>
  <c r="C4463" i="56"/>
  <c r="D4463" i="56" s="1"/>
  <c r="E4463" i="56"/>
  <c r="F4463" i="56" s="1"/>
  <c r="I4463" i="56"/>
  <c r="L4463" i="56"/>
  <c r="C4464" i="56"/>
  <c r="D4464" i="56" s="1"/>
  <c r="E4464" i="56"/>
  <c r="F4464" i="56" s="1"/>
  <c r="I4464" i="56"/>
  <c r="L4464" i="56"/>
  <c r="C4465" i="56"/>
  <c r="D4465" i="56" s="1"/>
  <c r="E4465" i="56"/>
  <c r="F4465" i="56" s="1"/>
  <c r="I4465" i="56"/>
  <c r="C4466" i="56"/>
  <c r="D4466" i="56" s="1"/>
  <c r="E4466" i="56"/>
  <c r="F4466" i="56" s="1"/>
  <c r="I4466" i="56"/>
  <c r="C4467" i="56"/>
  <c r="D4467" i="56" s="1"/>
  <c r="E4467" i="56"/>
  <c r="F4467" i="56" s="1"/>
  <c r="I4467" i="56"/>
  <c r="C4468" i="56"/>
  <c r="D4468" i="56" s="1"/>
  <c r="E4468" i="56"/>
  <c r="F4468" i="56" s="1"/>
  <c r="I4468" i="56"/>
  <c r="C4469" i="56"/>
  <c r="D4469" i="56" s="1"/>
  <c r="E4469" i="56"/>
  <c r="F4469" i="56" s="1"/>
  <c r="I4469" i="56"/>
  <c r="L4469" i="56"/>
  <c r="C4470" i="56"/>
  <c r="D4470" i="56" s="1"/>
  <c r="E4470" i="56"/>
  <c r="F4470" i="56" s="1"/>
  <c r="I4470" i="56"/>
  <c r="L4470" i="56"/>
  <c r="C4471" i="56"/>
  <c r="D4471" i="56" s="1"/>
  <c r="E4471" i="56"/>
  <c r="F4471" i="56" s="1"/>
  <c r="I4471" i="56"/>
  <c r="C4472" i="56"/>
  <c r="D4472" i="56" s="1"/>
  <c r="E4472" i="56"/>
  <c r="F4472" i="56" s="1"/>
  <c r="C4473" i="56"/>
  <c r="D4473" i="56" s="1"/>
  <c r="E4473" i="56"/>
  <c r="F4473" i="56" s="1"/>
  <c r="I4473" i="56"/>
  <c r="L4473" i="56"/>
  <c r="C4474" i="56"/>
  <c r="D4474" i="56" s="1"/>
  <c r="E4474" i="56"/>
  <c r="F4474" i="56" s="1"/>
  <c r="I4474" i="56"/>
  <c r="L4474" i="56"/>
  <c r="C4475" i="56"/>
  <c r="D4475" i="56" s="1"/>
  <c r="E4475" i="56"/>
  <c r="F4475" i="56" s="1"/>
  <c r="I4475" i="56"/>
  <c r="C4476" i="56"/>
  <c r="D4476" i="56" s="1"/>
  <c r="E4476" i="56"/>
  <c r="F4476" i="56" s="1"/>
  <c r="I4476" i="56"/>
  <c r="L4476" i="56"/>
  <c r="C4477" i="56"/>
  <c r="D4477" i="56" s="1"/>
  <c r="E4477" i="56"/>
  <c r="F4477" i="56" s="1"/>
  <c r="I4477" i="56"/>
  <c r="C4478" i="56"/>
  <c r="D4478" i="56" s="1"/>
  <c r="E4478" i="56"/>
  <c r="F4478" i="56" s="1"/>
  <c r="I4478" i="56"/>
  <c r="C4479" i="56"/>
  <c r="D4479" i="56" s="1"/>
  <c r="E4479" i="56"/>
  <c r="F4479" i="56" s="1"/>
  <c r="I4479" i="56"/>
  <c r="C4480" i="56"/>
  <c r="D4480" i="56" s="1"/>
  <c r="E4480" i="56"/>
  <c r="F4480" i="56" s="1"/>
  <c r="I4480" i="56"/>
  <c r="C4481" i="56"/>
  <c r="D4481" i="56" s="1"/>
  <c r="E4481" i="56"/>
  <c r="F4481" i="56" s="1"/>
  <c r="L4481" i="56"/>
  <c r="C4482" i="56"/>
  <c r="D4482" i="56" s="1"/>
  <c r="E4482" i="56"/>
  <c r="F4482" i="56" s="1"/>
  <c r="I4482" i="56"/>
  <c r="L4482" i="56"/>
  <c r="C4483" i="56"/>
  <c r="D4483" i="56" s="1"/>
  <c r="E4483" i="56"/>
  <c r="F4483" i="56" s="1"/>
  <c r="I4483" i="56"/>
  <c r="C4484" i="56"/>
  <c r="D4484" i="56" s="1"/>
  <c r="E4484" i="56"/>
  <c r="F4484" i="56" s="1"/>
  <c r="C4485" i="56"/>
  <c r="D4485" i="56" s="1"/>
  <c r="E4485" i="56"/>
  <c r="F4485" i="56" s="1"/>
  <c r="I4485" i="56"/>
  <c r="L4485" i="56"/>
  <c r="C4486" i="56"/>
  <c r="D4486" i="56" s="1"/>
  <c r="E4486" i="56"/>
  <c r="F4486" i="56" s="1"/>
  <c r="I4486" i="56"/>
  <c r="L4486" i="56"/>
  <c r="C4487" i="56"/>
  <c r="D4487" i="56" s="1"/>
  <c r="E4487" i="56"/>
  <c r="F4487" i="56"/>
  <c r="I4487" i="56"/>
  <c r="C4488" i="56"/>
  <c r="D4488" i="56" s="1"/>
  <c r="E4488" i="56"/>
  <c r="F4488" i="56" s="1"/>
  <c r="I4488" i="56"/>
  <c r="L4488" i="56"/>
  <c r="C4489" i="56"/>
  <c r="D4489" i="56" s="1"/>
  <c r="E4489" i="56"/>
  <c r="F4489" i="56" s="1"/>
  <c r="I4489" i="56"/>
  <c r="C4490" i="56"/>
  <c r="D4490" i="56" s="1"/>
  <c r="E4490" i="56"/>
  <c r="F4490" i="56" s="1"/>
  <c r="I4490" i="56"/>
  <c r="C4491" i="56"/>
  <c r="D4491" i="56" s="1"/>
  <c r="E4491" i="56"/>
  <c r="F4491" i="56" s="1"/>
  <c r="I4491" i="56"/>
  <c r="C4492" i="56"/>
  <c r="D4492" i="56" s="1"/>
  <c r="E4492" i="56"/>
  <c r="F4492" i="56" s="1"/>
  <c r="I4492" i="56"/>
  <c r="C4493" i="56"/>
  <c r="D4493" i="56" s="1"/>
  <c r="E4493" i="56"/>
  <c r="F4493" i="56" s="1"/>
  <c r="L4493" i="56"/>
  <c r="C4494" i="56"/>
  <c r="D4494" i="56" s="1"/>
  <c r="E4494" i="56"/>
  <c r="F4494" i="56" s="1"/>
  <c r="I4494" i="56"/>
  <c r="L4494" i="56"/>
  <c r="C4495" i="56"/>
  <c r="D4495" i="56" s="1"/>
  <c r="E4495" i="56"/>
  <c r="F4495" i="56" s="1"/>
  <c r="I4495" i="56"/>
  <c r="C4496" i="56"/>
  <c r="D4496" i="56" s="1"/>
  <c r="E4496" i="56"/>
  <c r="F4496" i="56" s="1"/>
  <c r="C4497" i="56"/>
  <c r="D4497" i="56" s="1"/>
  <c r="E4497" i="56"/>
  <c r="F4497" i="56" s="1"/>
  <c r="I4497" i="56"/>
  <c r="L4497" i="56"/>
  <c r="C4498" i="56"/>
  <c r="D4498" i="56" s="1"/>
  <c r="E4498" i="56"/>
  <c r="F4498" i="56" s="1"/>
  <c r="I4498" i="56"/>
  <c r="L4498" i="56"/>
  <c r="C4499" i="56"/>
  <c r="D4499" i="56" s="1"/>
  <c r="E4499" i="56"/>
  <c r="F4499" i="56" s="1"/>
  <c r="I4499" i="56"/>
  <c r="C4500" i="56"/>
  <c r="D4500" i="56" s="1"/>
  <c r="E4500" i="56"/>
  <c r="F4500" i="56" s="1"/>
  <c r="I4500" i="56"/>
  <c r="L4500" i="56"/>
  <c r="C4501" i="56"/>
  <c r="D4501" i="56" s="1"/>
  <c r="E4501" i="56"/>
  <c r="F4501" i="56" s="1"/>
  <c r="I4501" i="56"/>
  <c r="C4502" i="56"/>
  <c r="D4502" i="56" s="1"/>
  <c r="E4502" i="56"/>
  <c r="F4502" i="56" s="1"/>
  <c r="I4502" i="56"/>
  <c r="C4503" i="56"/>
  <c r="D4503" i="56" s="1"/>
  <c r="E4503" i="56"/>
  <c r="F4503" i="56" s="1"/>
  <c r="I4503" i="56"/>
  <c r="C4504" i="56"/>
  <c r="D4504" i="56" s="1"/>
  <c r="E4504" i="56"/>
  <c r="F4504" i="56" s="1"/>
  <c r="I4504" i="56"/>
  <c r="L4504" i="56"/>
  <c r="C4505" i="56"/>
  <c r="D4505" i="56" s="1"/>
  <c r="E4505" i="56"/>
  <c r="F4505" i="56" s="1"/>
  <c r="L4505" i="56"/>
  <c r="C4506" i="56"/>
  <c r="D4506" i="56" s="1"/>
  <c r="E4506" i="56"/>
  <c r="F4506" i="56" s="1"/>
  <c r="I4506" i="56"/>
  <c r="L4506" i="56"/>
  <c r="C4507" i="56"/>
  <c r="D4507" i="56" s="1"/>
  <c r="E4507" i="56"/>
  <c r="F4507" i="56" s="1"/>
  <c r="I4507" i="56"/>
  <c r="C4508" i="56"/>
  <c r="D4508" i="56" s="1"/>
  <c r="E4508" i="56"/>
  <c r="F4508" i="56" s="1"/>
  <c r="C4509" i="56"/>
  <c r="D4509" i="56" s="1"/>
  <c r="E4509" i="56"/>
  <c r="F4509" i="56" s="1"/>
  <c r="I4509" i="56"/>
  <c r="L4509" i="56"/>
  <c r="C4510" i="56"/>
  <c r="D4510" i="56" s="1"/>
  <c r="E4510" i="56"/>
  <c r="F4510" i="56" s="1"/>
  <c r="I4510" i="56"/>
  <c r="L4510" i="56"/>
  <c r="C4511" i="56"/>
  <c r="D4511" i="56" s="1"/>
  <c r="E4511" i="56"/>
  <c r="F4511" i="56" s="1"/>
  <c r="I4511" i="56"/>
  <c r="C4512" i="56"/>
  <c r="D4512" i="56" s="1"/>
  <c r="E4512" i="56"/>
  <c r="F4512" i="56" s="1"/>
  <c r="I4512" i="56"/>
  <c r="L4512" i="56"/>
  <c r="C4513" i="56"/>
  <c r="D4513" i="56" s="1"/>
  <c r="E4513" i="56"/>
  <c r="F4513" i="56" s="1"/>
  <c r="I4513" i="56"/>
  <c r="C4514" i="56"/>
  <c r="D4514" i="56" s="1"/>
  <c r="E4514" i="56"/>
  <c r="F4514" i="56" s="1"/>
  <c r="I4514" i="56"/>
  <c r="C4515" i="56"/>
  <c r="D4515" i="56" s="1"/>
  <c r="E4515" i="56"/>
  <c r="F4515" i="56" s="1"/>
  <c r="I4515" i="56"/>
  <c r="C4516" i="56"/>
  <c r="D4516" i="56" s="1"/>
  <c r="E4516" i="56"/>
  <c r="F4516" i="56" s="1"/>
  <c r="I4516" i="56"/>
  <c r="C4517" i="56"/>
  <c r="D4517" i="56" s="1"/>
  <c r="E4517" i="56"/>
  <c r="F4517" i="56" s="1"/>
  <c r="L4517" i="56"/>
  <c r="C4518" i="56"/>
  <c r="D4518" i="56" s="1"/>
  <c r="E4518" i="56"/>
  <c r="F4518" i="56" s="1"/>
  <c r="I4518" i="56"/>
  <c r="L4518" i="56"/>
  <c r="C4519" i="56"/>
  <c r="D4519" i="56" s="1"/>
  <c r="E4519" i="56"/>
  <c r="F4519" i="56" s="1"/>
  <c r="I4519" i="56"/>
  <c r="C4520" i="56"/>
  <c r="D4520" i="56" s="1"/>
  <c r="E4520" i="56"/>
  <c r="F4520" i="56" s="1"/>
  <c r="I4520" i="56"/>
  <c r="C4521" i="56"/>
  <c r="D4521" i="56" s="1"/>
  <c r="E4521" i="56"/>
  <c r="F4521" i="56" s="1"/>
  <c r="I4521" i="56"/>
  <c r="L4521" i="56"/>
  <c r="C4522" i="56"/>
  <c r="D4522" i="56" s="1"/>
  <c r="E4522" i="56"/>
  <c r="F4522" i="56" s="1"/>
  <c r="I4522" i="56"/>
  <c r="L4522" i="56"/>
  <c r="C4523" i="56"/>
  <c r="D4523" i="56" s="1"/>
  <c r="E4523" i="56"/>
  <c r="F4523" i="56" s="1"/>
  <c r="I4523" i="56"/>
  <c r="L4523" i="56"/>
  <c r="C4524" i="56"/>
  <c r="D4524" i="56" s="1"/>
  <c r="E4524" i="56"/>
  <c r="F4524" i="56" s="1"/>
  <c r="I4524" i="56"/>
  <c r="L4524" i="56"/>
  <c r="C4525" i="56"/>
  <c r="D4525" i="56" s="1"/>
  <c r="E4525" i="56"/>
  <c r="F4525" i="56" s="1"/>
  <c r="I4525" i="56"/>
  <c r="C4526" i="56"/>
  <c r="D4526" i="56" s="1"/>
  <c r="E4526" i="56"/>
  <c r="F4526" i="56" s="1"/>
  <c r="I4526" i="56"/>
  <c r="C4527" i="56"/>
  <c r="D4527" i="56" s="1"/>
  <c r="E4527" i="56"/>
  <c r="F4527" i="56" s="1"/>
  <c r="I4527" i="56"/>
  <c r="C4528" i="56"/>
  <c r="D4528" i="56" s="1"/>
  <c r="E4528" i="56"/>
  <c r="F4528" i="56" s="1"/>
  <c r="I4528" i="56"/>
  <c r="C4529" i="56"/>
  <c r="D4529" i="56" s="1"/>
  <c r="E4529" i="56"/>
  <c r="F4529" i="56" s="1"/>
  <c r="L4529" i="56"/>
  <c r="C4530" i="56"/>
  <c r="D4530" i="56" s="1"/>
  <c r="E4530" i="56"/>
  <c r="F4530" i="56" s="1"/>
  <c r="I4530" i="56"/>
  <c r="L4530" i="56"/>
  <c r="C4531" i="56"/>
  <c r="D4531" i="56" s="1"/>
  <c r="E4531" i="56"/>
  <c r="F4531" i="56" s="1"/>
  <c r="I4531" i="56"/>
  <c r="C4532" i="56"/>
  <c r="D4532" i="56" s="1"/>
  <c r="E4532" i="56"/>
  <c r="F4532" i="56" s="1"/>
  <c r="C4533" i="56"/>
  <c r="D4533" i="56" s="1"/>
  <c r="E4533" i="56"/>
  <c r="F4533" i="56" s="1"/>
  <c r="I4533" i="56"/>
  <c r="L4533" i="56"/>
  <c r="C4534" i="56"/>
  <c r="D4534" i="56" s="1"/>
  <c r="E4534" i="56"/>
  <c r="F4534" i="56" s="1"/>
  <c r="I4534" i="56"/>
  <c r="L4534" i="56"/>
  <c r="C4535" i="56"/>
  <c r="D4535" i="56" s="1"/>
  <c r="E4535" i="56"/>
  <c r="F4535" i="56" s="1"/>
  <c r="I4535" i="56"/>
  <c r="L4535" i="56"/>
  <c r="C4536" i="56"/>
  <c r="D4536" i="56" s="1"/>
  <c r="E4536" i="56"/>
  <c r="F4536" i="56" s="1"/>
  <c r="I4536" i="56"/>
  <c r="L4536" i="56"/>
  <c r="C4537" i="56"/>
  <c r="D4537" i="56" s="1"/>
  <c r="E4537" i="56"/>
  <c r="F4537" i="56" s="1"/>
  <c r="I4537" i="56"/>
  <c r="C4538" i="56"/>
  <c r="D4538" i="56" s="1"/>
  <c r="E4538" i="56"/>
  <c r="F4538" i="56" s="1"/>
  <c r="I4538" i="56"/>
  <c r="C4539" i="56"/>
  <c r="D4539" i="56" s="1"/>
  <c r="E4539" i="56"/>
  <c r="F4539" i="56" s="1"/>
  <c r="I4539" i="56"/>
  <c r="C4540" i="56"/>
  <c r="D4540" i="56" s="1"/>
  <c r="E4540" i="56"/>
  <c r="F4540" i="56" s="1"/>
  <c r="I4540" i="56"/>
  <c r="C4541" i="56"/>
  <c r="D4541" i="56" s="1"/>
  <c r="E4541" i="56"/>
  <c r="F4541" i="56" s="1"/>
  <c r="L4541" i="56"/>
  <c r="C4542" i="56"/>
  <c r="D4542" i="56" s="1"/>
  <c r="E4542" i="56"/>
  <c r="F4542" i="56" s="1"/>
  <c r="I4542" i="56"/>
  <c r="L4542" i="56"/>
  <c r="C4543" i="56"/>
  <c r="D4543" i="56" s="1"/>
  <c r="E4543" i="56"/>
  <c r="F4543" i="56" s="1"/>
  <c r="I4543" i="56"/>
  <c r="C4544" i="56"/>
  <c r="D4544" i="56" s="1"/>
  <c r="E4544" i="56"/>
  <c r="F4544" i="56" s="1"/>
  <c r="I4544" i="56"/>
  <c r="C4545" i="56"/>
  <c r="D4545" i="56" s="1"/>
  <c r="E4545" i="56"/>
  <c r="F4545" i="56" s="1"/>
  <c r="I4545" i="56"/>
  <c r="L4545" i="56"/>
  <c r="C4546" i="56"/>
  <c r="D4546" i="56" s="1"/>
  <c r="E4546" i="56"/>
  <c r="F4546" i="56" s="1"/>
  <c r="I4546" i="56"/>
  <c r="L4546" i="56"/>
  <c r="C4547" i="56"/>
  <c r="D4547" i="56" s="1"/>
  <c r="E4547" i="56"/>
  <c r="F4547" i="56" s="1"/>
  <c r="I4547" i="56"/>
  <c r="L4547" i="56"/>
  <c r="C4548" i="56"/>
  <c r="D4548" i="56" s="1"/>
  <c r="E4548" i="56"/>
  <c r="F4548" i="56" s="1"/>
  <c r="I4548" i="56"/>
  <c r="L4548" i="56"/>
  <c r="C4549" i="56"/>
  <c r="D4549" i="56" s="1"/>
  <c r="E4549" i="56"/>
  <c r="F4549" i="56" s="1"/>
  <c r="I4549" i="56"/>
  <c r="C4550" i="56"/>
  <c r="D4550" i="56" s="1"/>
  <c r="E4550" i="56"/>
  <c r="F4550" i="56" s="1"/>
  <c r="I4550" i="56"/>
  <c r="C4551" i="56"/>
  <c r="D4551" i="56" s="1"/>
  <c r="E4551" i="56"/>
  <c r="F4551" i="56" s="1"/>
  <c r="I4551" i="56"/>
  <c r="C4552" i="56"/>
  <c r="D4552" i="56" s="1"/>
  <c r="E4552" i="56"/>
  <c r="F4552" i="56" s="1"/>
  <c r="I4552" i="56"/>
  <c r="C4553" i="56"/>
  <c r="D4553" i="56" s="1"/>
  <c r="E4553" i="56"/>
  <c r="F4553" i="56" s="1"/>
  <c r="L4553" i="56"/>
  <c r="C4554" i="56"/>
  <c r="D4554" i="56" s="1"/>
  <c r="E4554" i="56"/>
  <c r="F4554" i="56" s="1"/>
  <c r="I4554" i="56"/>
  <c r="L4554" i="56"/>
  <c r="C4555" i="56"/>
  <c r="D4555" i="56" s="1"/>
  <c r="E4555" i="56"/>
  <c r="F4555" i="56" s="1"/>
  <c r="I4555" i="56"/>
  <c r="C4556" i="56"/>
  <c r="D4556" i="56" s="1"/>
  <c r="E4556" i="56"/>
  <c r="F4556" i="56" s="1"/>
  <c r="C4557" i="56"/>
  <c r="D4557" i="56" s="1"/>
  <c r="E4557" i="56"/>
  <c r="F4557" i="56" s="1"/>
  <c r="I4557" i="56"/>
  <c r="L4557" i="56"/>
  <c r="C4558" i="56"/>
  <c r="D4558" i="56" s="1"/>
  <c r="E4558" i="56"/>
  <c r="F4558" i="56" s="1"/>
  <c r="I4558" i="56"/>
  <c r="L4558" i="56"/>
  <c r="C4559" i="56"/>
  <c r="D4559" i="56" s="1"/>
  <c r="E4559" i="56"/>
  <c r="F4559" i="56" s="1"/>
  <c r="I4559" i="56"/>
  <c r="L4559" i="56"/>
  <c r="C4560" i="56"/>
  <c r="D4560" i="56" s="1"/>
  <c r="E4560" i="56"/>
  <c r="F4560" i="56" s="1"/>
  <c r="I4560" i="56"/>
  <c r="L4560" i="56"/>
  <c r="C4561" i="56"/>
  <c r="D4561" i="56" s="1"/>
  <c r="E4561" i="56"/>
  <c r="F4561" i="56" s="1"/>
  <c r="I4561" i="56"/>
  <c r="C4562" i="56"/>
  <c r="D4562" i="56" s="1"/>
  <c r="E4562" i="56"/>
  <c r="F4562" i="56" s="1"/>
  <c r="I4562" i="56"/>
  <c r="C4563" i="56"/>
  <c r="D4563" i="56" s="1"/>
  <c r="E4563" i="56"/>
  <c r="F4563" i="56" s="1"/>
  <c r="I4563" i="56"/>
  <c r="C4564" i="56"/>
  <c r="D4564" i="56" s="1"/>
  <c r="E4564" i="56"/>
  <c r="F4564" i="56" s="1"/>
  <c r="I4564" i="56"/>
  <c r="C4565" i="56"/>
  <c r="D4565" i="56" s="1"/>
  <c r="E4565" i="56"/>
  <c r="F4565" i="56" s="1"/>
  <c r="L4565" i="56"/>
  <c r="C4566" i="56"/>
  <c r="D4566" i="56" s="1"/>
  <c r="E4566" i="56"/>
  <c r="F4566" i="56" s="1"/>
  <c r="I4566" i="56"/>
  <c r="L4566" i="56"/>
  <c r="C4567" i="56"/>
  <c r="D4567" i="56" s="1"/>
  <c r="E4567" i="56"/>
  <c r="F4567" i="56" s="1"/>
  <c r="I4567" i="56"/>
  <c r="C4568" i="56"/>
  <c r="D4568" i="56" s="1"/>
  <c r="E4568" i="56"/>
  <c r="F4568" i="56" s="1"/>
  <c r="C4569" i="56"/>
  <c r="D4569" i="56" s="1"/>
  <c r="E4569" i="56"/>
  <c r="F4569" i="56" s="1"/>
  <c r="I4569" i="56"/>
  <c r="C4570" i="56"/>
  <c r="D4570" i="56" s="1"/>
  <c r="E4570" i="56"/>
  <c r="F4570" i="56" s="1"/>
  <c r="I4570" i="56"/>
  <c r="L4570" i="56"/>
  <c r="C4571" i="56"/>
  <c r="D4571" i="56" s="1"/>
  <c r="E4571" i="56"/>
  <c r="F4571" i="56" s="1"/>
  <c r="I4571" i="56"/>
  <c r="L4571" i="56"/>
  <c r="C4572" i="56"/>
  <c r="D4572" i="56" s="1"/>
  <c r="E4572" i="56"/>
  <c r="F4572" i="56" s="1"/>
  <c r="I4572" i="56"/>
  <c r="L4572" i="56"/>
  <c r="C4573" i="56"/>
  <c r="D4573" i="56" s="1"/>
  <c r="E4573" i="56"/>
  <c r="F4573" i="56" s="1"/>
  <c r="I4573" i="56"/>
  <c r="C4574" i="56"/>
  <c r="D4574" i="56" s="1"/>
  <c r="E4574" i="56"/>
  <c r="F4574" i="56" s="1"/>
  <c r="I4574" i="56"/>
  <c r="C4575" i="56"/>
  <c r="D4575" i="56" s="1"/>
  <c r="E4575" i="56"/>
  <c r="F4575" i="56" s="1"/>
  <c r="I4575" i="56"/>
  <c r="C4576" i="56"/>
  <c r="D4576" i="56" s="1"/>
  <c r="E4576" i="56"/>
  <c r="F4576" i="56" s="1"/>
  <c r="I4576" i="56"/>
  <c r="C4577" i="56"/>
  <c r="D4577" i="56" s="1"/>
  <c r="E4577" i="56"/>
  <c r="F4577" i="56" s="1"/>
  <c r="L4577" i="56"/>
  <c r="C4578" i="56"/>
  <c r="D4578" i="56" s="1"/>
  <c r="E4578" i="56"/>
  <c r="F4578" i="56" s="1"/>
  <c r="I4578" i="56"/>
  <c r="L4578" i="56"/>
  <c r="C4579" i="56"/>
  <c r="D4579" i="56" s="1"/>
  <c r="E4579" i="56"/>
  <c r="F4579" i="56" s="1"/>
  <c r="I4579" i="56"/>
  <c r="C4580" i="56"/>
  <c r="D4580" i="56" s="1"/>
  <c r="E4580" i="56"/>
  <c r="F4580" i="56" s="1"/>
  <c r="I4580" i="56"/>
  <c r="C4581" i="56"/>
  <c r="D4581" i="56" s="1"/>
  <c r="E4581" i="56"/>
  <c r="F4581" i="56" s="1"/>
  <c r="I4581" i="56"/>
  <c r="C4582" i="56"/>
  <c r="D4582" i="56" s="1"/>
  <c r="E4582" i="56"/>
  <c r="F4582" i="56" s="1"/>
  <c r="I4582" i="56"/>
  <c r="L4582" i="56"/>
  <c r="C4583" i="56"/>
  <c r="D4583" i="56" s="1"/>
  <c r="E4583" i="56"/>
  <c r="F4583" i="56" s="1"/>
  <c r="I4583" i="56"/>
  <c r="L4583" i="56"/>
  <c r="C4584" i="56"/>
  <c r="D4584" i="56" s="1"/>
  <c r="E4584" i="56"/>
  <c r="F4584" i="56" s="1"/>
  <c r="I4584" i="56"/>
  <c r="L4584" i="56"/>
  <c r="C4585" i="56"/>
  <c r="D4585" i="56" s="1"/>
  <c r="E4585" i="56"/>
  <c r="F4585" i="56" s="1"/>
  <c r="I4585" i="56"/>
  <c r="C4586" i="56"/>
  <c r="D4586" i="56" s="1"/>
  <c r="E4586" i="56"/>
  <c r="F4586" i="56" s="1"/>
  <c r="I4586" i="56"/>
  <c r="C4587" i="56"/>
  <c r="D4587" i="56" s="1"/>
  <c r="E4587" i="56"/>
  <c r="F4587" i="56" s="1"/>
  <c r="I4587" i="56"/>
  <c r="C4588" i="56"/>
  <c r="D4588" i="56" s="1"/>
  <c r="E4588" i="56"/>
  <c r="F4588" i="56" s="1"/>
  <c r="I4588" i="56"/>
  <c r="C4589" i="56"/>
  <c r="D4589" i="56" s="1"/>
  <c r="E4589" i="56"/>
  <c r="F4589" i="56" s="1"/>
  <c r="L4589" i="56"/>
  <c r="C4590" i="56"/>
  <c r="D4590" i="56" s="1"/>
  <c r="E4590" i="56"/>
  <c r="F4590" i="56" s="1"/>
  <c r="I4590" i="56"/>
  <c r="L4590" i="56"/>
  <c r="C4591" i="56"/>
  <c r="D4591" i="56" s="1"/>
  <c r="E4591" i="56"/>
  <c r="F4591" i="56" s="1"/>
  <c r="I4591" i="56"/>
  <c r="C4592" i="56"/>
  <c r="D4592" i="56" s="1"/>
  <c r="E4592" i="56"/>
  <c r="F4592" i="56" s="1"/>
  <c r="C4593" i="56"/>
  <c r="D4593" i="56" s="1"/>
  <c r="E4593" i="56"/>
  <c r="F4593" i="56" s="1"/>
  <c r="I4593" i="56"/>
  <c r="C4594" i="56"/>
  <c r="D4594" i="56" s="1"/>
  <c r="E4594" i="56"/>
  <c r="F4594" i="56" s="1"/>
  <c r="I4594" i="56"/>
  <c r="L4594" i="56"/>
  <c r="C4595" i="56"/>
  <c r="D4595" i="56" s="1"/>
  <c r="E4595" i="56"/>
  <c r="F4595" i="56" s="1"/>
  <c r="I4595" i="56"/>
  <c r="L4595" i="56"/>
  <c r="C4596" i="56"/>
  <c r="D4596" i="56" s="1"/>
  <c r="E4596" i="56"/>
  <c r="F4596" i="56" s="1"/>
  <c r="I4596" i="56"/>
  <c r="L4596" i="56"/>
  <c r="C4597" i="56"/>
  <c r="D4597" i="56" s="1"/>
  <c r="E4597" i="56"/>
  <c r="F4597" i="56" s="1"/>
  <c r="I4597" i="56"/>
  <c r="C4598" i="56"/>
  <c r="D4598" i="56" s="1"/>
  <c r="E4598" i="56"/>
  <c r="F4598" i="56" s="1"/>
  <c r="I4598" i="56"/>
  <c r="L4598" i="56"/>
  <c r="C4599" i="56"/>
  <c r="D4599" i="56" s="1"/>
  <c r="E4599" i="56"/>
  <c r="F4599" i="56" s="1"/>
  <c r="I4599" i="56"/>
  <c r="C4600" i="56"/>
  <c r="D4600" i="56" s="1"/>
  <c r="E4600" i="56"/>
  <c r="F4600" i="56" s="1"/>
  <c r="I4600" i="56"/>
  <c r="C4601" i="56"/>
  <c r="D4601" i="56" s="1"/>
  <c r="E4601" i="56"/>
  <c r="F4601" i="56" s="1"/>
  <c r="L4601" i="56"/>
  <c r="C4602" i="56"/>
  <c r="D4602" i="56" s="1"/>
  <c r="E4602" i="56"/>
  <c r="F4602" i="56" s="1"/>
  <c r="I4602" i="56"/>
  <c r="L4602" i="56"/>
  <c r="C4603" i="56"/>
  <c r="D4603" i="56" s="1"/>
  <c r="E4603" i="56"/>
  <c r="F4603" i="56" s="1"/>
  <c r="I4603" i="56"/>
  <c r="C4604" i="56"/>
  <c r="D4604" i="56" s="1"/>
  <c r="E4604" i="56"/>
  <c r="F4604" i="56" s="1"/>
  <c r="C4605" i="56"/>
  <c r="D4605" i="56" s="1"/>
  <c r="E4605" i="56"/>
  <c r="F4605" i="56" s="1"/>
  <c r="I4605" i="56"/>
  <c r="C4606" i="56"/>
  <c r="D4606" i="56" s="1"/>
  <c r="E4606" i="56"/>
  <c r="F4606" i="56" s="1"/>
  <c r="I4606" i="56"/>
  <c r="L4606" i="56"/>
  <c r="C4607" i="56"/>
  <c r="D4607" i="56" s="1"/>
  <c r="E4607" i="56"/>
  <c r="F4607" i="56" s="1"/>
  <c r="I4607" i="56"/>
  <c r="L4607" i="56"/>
  <c r="C4608" i="56"/>
  <c r="D4608" i="56" s="1"/>
  <c r="E4608" i="56"/>
  <c r="F4608" i="56" s="1"/>
  <c r="I4608" i="56"/>
  <c r="L4608" i="56"/>
  <c r="C4609" i="56"/>
  <c r="D4609" i="56" s="1"/>
  <c r="E4609" i="56"/>
  <c r="F4609" i="56" s="1"/>
  <c r="I4609" i="56"/>
  <c r="C4610" i="56"/>
  <c r="D4610" i="56" s="1"/>
  <c r="E4610" i="56"/>
  <c r="F4610" i="56" s="1"/>
  <c r="I4610" i="56"/>
  <c r="C4611" i="56"/>
  <c r="D4611" i="56" s="1"/>
  <c r="E4611" i="56"/>
  <c r="F4611" i="56" s="1"/>
  <c r="I4611" i="56"/>
  <c r="C4612" i="56"/>
  <c r="D4612" i="56" s="1"/>
  <c r="E4612" i="56"/>
  <c r="F4612" i="56" s="1"/>
  <c r="I4612" i="56"/>
  <c r="C4613" i="56"/>
  <c r="D4613" i="56" s="1"/>
  <c r="E4613" i="56"/>
  <c r="F4613" i="56" s="1"/>
  <c r="L4613" i="56"/>
  <c r="C4614" i="56"/>
  <c r="D4614" i="56" s="1"/>
  <c r="E4614" i="56"/>
  <c r="F4614" i="56" s="1"/>
  <c r="I4614" i="56"/>
  <c r="L4614" i="56"/>
  <c r="C4615" i="56"/>
  <c r="D4615" i="56" s="1"/>
  <c r="E4615" i="56"/>
  <c r="F4615" i="56" s="1"/>
  <c r="I4615" i="56"/>
  <c r="C4616" i="56"/>
  <c r="D4616" i="56" s="1"/>
  <c r="E4616" i="56"/>
  <c r="F4616" i="56" s="1"/>
  <c r="C4617" i="56"/>
  <c r="D4617" i="56" s="1"/>
  <c r="E4617" i="56"/>
  <c r="F4617" i="56" s="1"/>
  <c r="I4617" i="56"/>
  <c r="C4618" i="56"/>
  <c r="D4618" i="56" s="1"/>
  <c r="E4618" i="56"/>
  <c r="F4618" i="56" s="1"/>
  <c r="I4618" i="56"/>
  <c r="L4618" i="56"/>
  <c r="C4619" i="56"/>
  <c r="D4619" i="56" s="1"/>
  <c r="E4619" i="56"/>
  <c r="F4619" i="56" s="1"/>
  <c r="I4619" i="56"/>
  <c r="L4619" i="56"/>
  <c r="C4620" i="56"/>
  <c r="D4620" i="56" s="1"/>
  <c r="E4620" i="56"/>
  <c r="F4620" i="56" s="1"/>
  <c r="I4620" i="56"/>
  <c r="L4620" i="56"/>
  <c r="C4621" i="56"/>
  <c r="D4621" i="56" s="1"/>
  <c r="E4621" i="56"/>
  <c r="F4621" i="56" s="1"/>
  <c r="I4621" i="56"/>
  <c r="C4622" i="56"/>
  <c r="D4622" i="56" s="1"/>
  <c r="E4622" i="56"/>
  <c r="F4622" i="56" s="1"/>
  <c r="I4622" i="56"/>
  <c r="C4623" i="56"/>
  <c r="D4623" i="56" s="1"/>
  <c r="E4623" i="56"/>
  <c r="F4623" i="56" s="1"/>
  <c r="I4623" i="56"/>
  <c r="C4624" i="56"/>
  <c r="D4624" i="56" s="1"/>
  <c r="E4624" i="56"/>
  <c r="F4624" i="56" s="1"/>
  <c r="I4624" i="56"/>
  <c r="C4625" i="56"/>
  <c r="D4625" i="56" s="1"/>
  <c r="E4625" i="56"/>
  <c r="F4625" i="56" s="1"/>
  <c r="L4625" i="56"/>
  <c r="C4626" i="56"/>
  <c r="D4626" i="56" s="1"/>
  <c r="E4626" i="56"/>
  <c r="F4626" i="56" s="1"/>
  <c r="I4626" i="56"/>
  <c r="L4626" i="56"/>
  <c r="C4627" i="56"/>
  <c r="D4627" i="56" s="1"/>
  <c r="E4627" i="56"/>
  <c r="F4627" i="56" s="1"/>
  <c r="I4627" i="56"/>
  <c r="C4628" i="56"/>
  <c r="D4628" i="56" s="1"/>
  <c r="E4628" i="56"/>
  <c r="F4628" i="56" s="1"/>
  <c r="C4629" i="56"/>
  <c r="D4629" i="56" s="1"/>
  <c r="E4629" i="56"/>
  <c r="F4629" i="56" s="1"/>
  <c r="I4629" i="56"/>
  <c r="C4630" i="56"/>
  <c r="D4630" i="56" s="1"/>
  <c r="E4630" i="56"/>
  <c r="F4630" i="56" s="1"/>
  <c r="I4630" i="56"/>
  <c r="L4630" i="56"/>
  <c r="C4631" i="56"/>
  <c r="D4631" i="56" s="1"/>
  <c r="E4631" i="56"/>
  <c r="F4631" i="56" s="1"/>
  <c r="I4631" i="56"/>
  <c r="L4631" i="56"/>
  <c r="C4632" i="56"/>
  <c r="D4632" i="56" s="1"/>
  <c r="E4632" i="56"/>
  <c r="F4632" i="56" s="1"/>
  <c r="I4632" i="56"/>
  <c r="L4632" i="56"/>
  <c r="C4633" i="56"/>
  <c r="D4633" i="56" s="1"/>
  <c r="E4633" i="56"/>
  <c r="F4633" i="56" s="1"/>
  <c r="I4633" i="56"/>
  <c r="C4634" i="56"/>
  <c r="D4634" i="56" s="1"/>
  <c r="E4634" i="56"/>
  <c r="F4634" i="56" s="1"/>
  <c r="I4634" i="56"/>
  <c r="C4635" i="56"/>
  <c r="D4635" i="56" s="1"/>
  <c r="E4635" i="56"/>
  <c r="F4635" i="56" s="1"/>
  <c r="I4635" i="56"/>
  <c r="C4636" i="56"/>
  <c r="D4636" i="56" s="1"/>
  <c r="E4636" i="56"/>
  <c r="F4636" i="56" s="1"/>
  <c r="I4636" i="56"/>
  <c r="L4636" i="56"/>
  <c r="C4637" i="56"/>
  <c r="D4637" i="56" s="1"/>
  <c r="E4637" i="56"/>
  <c r="F4637" i="56" s="1"/>
  <c r="L4637" i="56"/>
  <c r="C4638" i="56"/>
  <c r="D4638" i="56" s="1"/>
  <c r="E4638" i="56"/>
  <c r="F4638" i="56" s="1"/>
  <c r="I4638" i="56"/>
  <c r="L4638" i="56"/>
  <c r="C4639" i="56"/>
  <c r="D4639" i="56" s="1"/>
  <c r="E4639" i="56"/>
  <c r="F4639" i="56" s="1"/>
  <c r="I4639" i="56"/>
  <c r="C4640" i="56"/>
  <c r="D4640" i="56" s="1"/>
  <c r="E4640" i="56"/>
  <c r="F4640" i="56" s="1"/>
  <c r="C4641" i="56"/>
  <c r="D4641" i="56" s="1"/>
  <c r="E4641" i="56"/>
  <c r="F4641" i="56" s="1"/>
  <c r="I4641" i="56"/>
  <c r="L4641" i="56"/>
  <c r="C4642" i="56"/>
  <c r="D4642" i="56" s="1"/>
  <c r="E4642" i="56"/>
  <c r="F4642" i="56" s="1"/>
  <c r="I4642" i="56"/>
  <c r="L4642" i="56"/>
  <c r="C4643" i="56"/>
  <c r="D4643" i="56" s="1"/>
  <c r="E4643" i="56"/>
  <c r="F4643" i="56" s="1"/>
  <c r="I4643" i="56"/>
  <c r="L4643" i="56"/>
  <c r="C4644" i="56"/>
  <c r="D4644" i="56" s="1"/>
  <c r="E4644" i="56"/>
  <c r="F4644" i="56" s="1"/>
  <c r="I4644" i="56"/>
  <c r="L4644" i="56"/>
  <c r="C4645" i="56"/>
  <c r="D4645" i="56" s="1"/>
  <c r="E4645" i="56"/>
  <c r="F4645" i="56" s="1"/>
  <c r="I4645" i="56"/>
  <c r="C4646" i="56"/>
  <c r="D4646" i="56" s="1"/>
  <c r="E4646" i="56"/>
  <c r="F4646" i="56" s="1"/>
  <c r="I4646" i="56"/>
  <c r="C4647" i="56"/>
  <c r="D4647" i="56" s="1"/>
  <c r="E4647" i="56"/>
  <c r="F4647" i="56" s="1"/>
  <c r="I4647" i="56"/>
  <c r="C4648" i="56"/>
  <c r="D4648" i="56" s="1"/>
  <c r="E4648" i="56"/>
  <c r="F4648" i="56" s="1"/>
  <c r="I4648" i="56"/>
  <c r="C4649" i="56"/>
  <c r="D4649" i="56" s="1"/>
  <c r="E4649" i="56"/>
  <c r="F4649" i="56" s="1"/>
  <c r="L4649" i="56"/>
  <c r="C4650" i="56"/>
  <c r="D4650" i="56" s="1"/>
  <c r="E4650" i="56"/>
  <c r="F4650" i="56" s="1"/>
  <c r="I4650" i="56"/>
  <c r="L4650" i="56"/>
  <c r="C4651" i="56"/>
  <c r="D4651" i="56" s="1"/>
  <c r="E4651" i="56"/>
  <c r="F4651" i="56" s="1"/>
  <c r="I4651" i="56"/>
  <c r="C4652" i="56"/>
  <c r="D4652" i="56" s="1"/>
  <c r="E4652" i="56"/>
  <c r="F4652" i="56" s="1"/>
  <c r="C4653" i="56"/>
  <c r="D4653" i="56" s="1"/>
  <c r="E4653" i="56"/>
  <c r="F4653" i="56" s="1"/>
  <c r="I4653" i="56"/>
  <c r="C4654" i="56"/>
  <c r="D4654" i="56" s="1"/>
  <c r="E4654" i="56"/>
  <c r="F4654" i="56" s="1"/>
  <c r="I4654" i="56"/>
  <c r="L4654" i="56"/>
  <c r="C4655" i="56"/>
  <c r="D4655" i="56"/>
  <c r="E4655" i="56"/>
  <c r="F4655" i="56" s="1"/>
  <c r="I4655" i="56"/>
  <c r="L4655" i="56"/>
  <c r="C4656" i="56"/>
  <c r="D4656" i="56" s="1"/>
  <c r="E4656" i="56"/>
  <c r="F4656" i="56" s="1"/>
  <c r="I4656" i="56"/>
  <c r="L4656" i="56"/>
  <c r="C4657" i="56"/>
  <c r="D4657" i="56" s="1"/>
  <c r="E4657" i="56"/>
  <c r="F4657" i="56"/>
  <c r="I4657" i="56"/>
  <c r="C4658" i="56"/>
  <c r="D4658" i="56" s="1"/>
  <c r="E4658" i="56"/>
  <c r="F4658" i="56" s="1"/>
  <c r="I4658" i="56"/>
  <c r="C4659" i="56"/>
  <c r="D4659" i="56" s="1"/>
  <c r="E4659" i="56"/>
  <c r="F4659" i="56" s="1"/>
  <c r="I4659" i="56"/>
  <c r="C4660" i="56"/>
  <c r="D4660" i="56" s="1"/>
  <c r="E4660" i="56"/>
  <c r="F4660" i="56" s="1"/>
  <c r="I4660" i="56"/>
  <c r="C4661" i="56"/>
  <c r="D4661" i="56" s="1"/>
  <c r="E4661" i="56"/>
  <c r="F4661" i="56" s="1"/>
  <c r="L4661" i="56"/>
  <c r="C4662" i="56"/>
  <c r="D4662" i="56" s="1"/>
  <c r="E4662" i="56"/>
  <c r="F4662" i="56" s="1"/>
  <c r="I4662" i="56"/>
  <c r="L4662" i="56"/>
  <c r="C4663" i="56"/>
  <c r="D4663" i="56" s="1"/>
  <c r="E4663" i="56"/>
  <c r="F4663" i="56" s="1"/>
  <c r="I4663" i="56"/>
  <c r="C4664" i="56"/>
  <c r="D4664" i="56" s="1"/>
  <c r="E4664" i="56"/>
  <c r="F4664" i="56" s="1"/>
  <c r="C4665" i="56"/>
  <c r="D4665" i="56" s="1"/>
  <c r="E4665" i="56"/>
  <c r="F4665" i="56" s="1"/>
  <c r="I4665" i="56"/>
  <c r="L4665" i="56"/>
  <c r="C4666" i="56"/>
  <c r="D4666" i="56" s="1"/>
  <c r="E4666" i="56"/>
  <c r="F4666" i="56" s="1"/>
  <c r="I4666" i="56"/>
  <c r="L4666" i="56"/>
  <c r="C4667" i="56"/>
  <c r="D4667" i="56" s="1"/>
  <c r="E4667" i="56"/>
  <c r="F4667" i="56" s="1"/>
  <c r="I4667" i="56"/>
  <c r="L4667" i="56"/>
  <c r="C4668" i="56"/>
  <c r="D4668" i="56" s="1"/>
  <c r="E4668" i="56"/>
  <c r="F4668" i="56" s="1"/>
  <c r="I4668" i="56"/>
  <c r="L4668" i="56"/>
  <c r="C4669" i="56"/>
  <c r="D4669" i="56" s="1"/>
  <c r="E4669" i="56"/>
  <c r="F4669" i="56" s="1"/>
  <c r="I4669" i="56"/>
  <c r="C4670" i="56"/>
  <c r="D4670" i="56" s="1"/>
  <c r="E4670" i="56"/>
  <c r="F4670" i="56" s="1"/>
  <c r="I4670" i="56"/>
  <c r="C4671" i="56"/>
  <c r="D4671" i="56" s="1"/>
  <c r="E4671" i="56"/>
  <c r="F4671" i="56" s="1"/>
  <c r="I4671" i="56"/>
  <c r="C4672" i="56"/>
  <c r="D4672" i="56" s="1"/>
  <c r="E4672" i="56"/>
  <c r="F4672" i="56" s="1"/>
  <c r="I4672" i="56"/>
  <c r="C4673" i="56"/>
  <c r="D4673" i="56" s="1"/>
  <c r="E4673" i="56"/>
  <c r="F4673" i="56" s="1"/>
  <c r="L4673" i="56"/>
  <c r="C4674" i="56"/>
  <c r="D4674" i="56" s="1"/>
  <c r="E4674" i="56"/>
  <c r="F4674" i="56" s="1"/>
  <c r="I4674" i="56"/>
  <c r="L4674" i="56"/>
  <c r="C4675" i="56"/>
  <c r="D4675" i="56" s="1"/>
  <c r="E4675" i="56"/>
  <c r="F4675" i="56" s="1"/>
  <c r="I4675" i="56"/>
  <c r="C4676" i="56"/>
  <c r="D4676" i="56" s="1"/>
  <c r="E4676" i="56"/>
  <c r="F4676" i="56" s="1"/>
  <c r="C4677" i="56"/>
  <c r="D4677" i="56" s="1"/>
  <c r="E4677" i="56"/>
  <c r="F4677" i="56" s="1"/>
  <c r="I4677" i="56"/>
  <c r="C4678" i="56"/>
  <c r="D4678" i="56" s="1"/>
  <c r="E4678" i="56"/>
  <c r="F4678" i="56" s="1"/>
  <c r="I4678" i="56"/>
  <c r="L4678" i="56"/>
  <c r="C4679" i="56"/>
  <c r="D4679" i="56" s="1"/>
  <c r="E4679" i="56"/>
  <c r="F4679" i="56" s="1"/>
  <c r="I4679" i="56"/>
  <c r="L4679" i="56"/>
  <c r="C4680" i="56"/>
  <c r="D4680" i="56" s="1"/>
  <c r="E4680" i="56"/>
  <c r="F4680" i="56" s="1"/>
  <c r="I4680" i="56"/>
  <c r="L4680" i="56"/>
  <c r="C4681" i="56"/>
  <c r="D4681" i="56" s="1"/>
  <c r="E4681" i="56"/>
  <c r="F4681" i="56" s="1"/>
  <c r="I4681" i="56"/>
  <c r="C4682" i="56"/>
  <c r="D4682" i="56" s="1"/>
  <c r="E4682" i="56"/>
  <c r="F4682" i="56" s="1"/>
  <c r="I4682" i="56"/>
  <c r="C4683" i="56"/>
  <c r="D4683" i="56" s="1"/>
  <c r="E4683" i="56"/>
  <c r="F4683" i="56" s="1"/>
  <c r="I4683" i="56"/>
  <c r="C4684" i="56"/>
  <c r="D4684" i="56" s="1"/>
  <c r="E4684" i="56"/>
  <c r="F4684" i="56" s="1"/>
  <c r="I4684" i="56"/>
  <c r="C4685" i="56"/>
  <c r="D4685" i="56" s="1"/>
  <c r="E4685" i="56"/>
  <c r="F4685" i="56" s="1"/>
  <c r="L4685" i="56"/>
  <c r="C4686" i="56"/>
  <c r="D4686" i="56" s="1"/>
  <c r="E4686" i="56"/>
  <c r="F4686" i="56" s="1"/>
  <c r="I4686" i="56"/>
  <c r="L4686" i="56"/>
  <c r="C4687" i="56"/>
  <c r="D4687" i="56" s="1"/>
  <c r="E4687" i="56"/>
  <c r="F4687" i="56" s="1"/>
  <c r="I4687" i="56"/>
  <c r="C4688" i="56"/>
  <c r="D4688" i="56" s="1"/>
  <c r="E4688" i="56"/>
  <c r="F4688" i="56" s="1"/>
  <c r="C4689" i="56"/>
  <c r="D4689" i="56" s="1"/>
  <c r="E4689" i="56"/>
  <c r="F4689" i="56" s="1"/>
  <c r="I4689" i="56"/>
  <c r="L4689" i="56"/>
  <c r="C4690" i="56"/>
  <c r="D4690" i="56" s="1"/>
  <c r="E4690" i="56"/>
  <c r="F4690" i="56" s="1"/>
  <c r="I4690" i="56"/>
  <c r="L4690" i="56"/>
  <c r="C4691" i="56"/>
  <c r="D4691" i="56" s="1"/>
  <c r="E4691" i="56"/>
  <c r="F4691" i="56" s="1"/>
  <c r="I4691" i="56"/>
  <c r="L4691" i="56"/>
  <c r="C4692" i="56"/>
  <c r="D4692" i="56" s="1"/>
  <c r="E4692" i="56"/>
  <c r="F4692" i="56" s="1"/>
  <c r="I4692" i="56"/>
  <c r="L4692" i="56"/>
  <c r="C4693" i="56"/>
  <c r="D4693" i="56" s="1"/>
  <c r="E4693" i="56"/>
  <c r="F4693" i="56" s="1"/>
  <c r="I4693" i="56"/>
  <c r="C4694" i="56"/>
  <c r="D4694" i="56" s="1"/>
  <c r="E4694" i="56"/>
  <c r="F4694" i="56" s="1"/>
  <c r="I4694" i="56"/>
  <c r="C4695" i="56"/>
  <c r="D4695" i="56" s="1"/>
  <c r="E4695" i="56"/>
  <c r="F4695" i="56" s="1"/>
  <c r="I4695" i="56"/>
  <c r="C4696" i="56"/>
  <c r="D4696" i="56" s="1"/>
  <c r="E4696" i="56"/>
  <c r="F4696" i="56" s="1"/>
  <c r="I4696" i="56"/>
  <c r="C4697" i="56"/>
  <c r="D4697" i="56" s="1"/>
  <c r="E4697" i="56"/>
  <c r="F4697" i="56" s="1"/>
  <c r="L4697" i="56"/>
  <c r="C4698" i="56"/>
  <c r="D4698" i="56" s="1"/>
  <c r="E4698" i="56"/>
  <c r="F4698" i="56" s="1"/>
  <c r="I4698" i="56"/>
  <c r="L4698" i="56"/>
  <c r="C4699" i="56"/>
  <c r="D4699" i="56" s="1"/>
  <c r="E4699" i="56"/>
  <c r="F4699" i="56" s="1"/>
  <c r="I4699" i="56"/>
  <c r="C4700" i="56"/>
  <c r="D4700" i="56" s="1"/>
  <c r="E4700" i="56"/>
  <c r="F4700" i="56" s="1"/>
  <c r="C4701" i="56"/>
  <c r="D4701" i="56" s="1"/>
  <c r="E4701" i="56"/>
  <c r="F4701" i="56" s="1"/>
  <c r="I4701" i="56"/>
  <c r="C4702" i="56"/>
  <c r="D4702" i="56" s="1"/>
  <c r="E4702" i="56"/>
  <c r="F4702" i="56" s="1"/>
  <c r="I4702" i="56"/>
  <c r="L4702" i="56"/>
  <c r="C4703" i="56"/>
  <c r="D4703" i="56" s="1"/>
  <c r="E4703" i="56"/>
  <c r="F4703" i="56" s="1"/>
  <c r="I4703" i="56"/>
  <c r="L4703" i="56"/>
  <c r="C4704" i="56"/>
  <c r="D4704" i="56" s="1"/>
  <c r="E4704" i="56"/>
  <c r="F4704" i="56" s="1"/>
  <c r="I4704" i="56"/>
  <c r="L4704" i="56"/>
  <c r="C4705" i="56"/>
  <c r="D4705" i="56" s="1"/>
  <c r="E4705" i="56"/>
  <c r="F4705" i="56" s="1"/>
  <c r="I4705" i="56"/>
  <c r="C4706" i="56"/>
  <c r="D4706" i="56" s="1"/>
  <c r="E4706" i="56"/>
  <c r="F4706" i="56" s="1"/>
  <c r="I4706" i="56"/>
  <c r="L4706" i="56"/>
  <c r="C4707" i="56"/>
  <c r="D4707" i="56" s="1"/>
  <c r="E4707" i="56"/>
  <c r="F4707" i="56" s="1"/>
  <c r="I4707" i="56"/>
  <c r="C4708" i="56"/>
  <c r="D4708" i="56" s="1"/>
  <c r="E4708" i="56"/>
  <c r="F4708" i="56" s="1"/>
  <c r="I4708" i="56"/>
  <c r="L4708" i="56"/>
  <c r="C4709" i="56"/>
  <c r="D4709" i="56" s="1"/>
  <c r="E4709" i="56"/>
  <c r="F4709" i="56" s="1"/>
  <c r="L4709" i="56"/>
  <c r="C4710" i="56"/>
  <c r="D4710" i="56" s="1"/>
  <c r="E4710" i="56"/>
  <c r="F4710" i="56" s="1"/>
  <c r="I4710" i="56"/>
  <c r="L4710" i="56"/>
  <c r="C4711" i="56"/>
  <c r="D4711" i="56" s="1"/>
  <c r="E4711" i="56"/>
  <c r="F4711" i="56" s="1"/>
  <c r="I4711" i="56"/>
  <c r="C4712" i="56"/>
  <c r="D4712" i="56" s="1"/>
  <c r="E4712" i="56"/>
  <c r="F4712" i="56" s="1"/>
  <c r="C4713" i="56"/>
  <c r="D4713" i="56" s="1"/>
  <c r="E4713" i="56"/>
  <c r="F4713" i="56" s="1"/>
  <c r="I4713" i="56"/>
  <c r="C4714" i="56"/>
  <c r="D4714" i="56" s="1"/>
  <c r="E4714" i="56"/>
  <c r="F4714" i="56" s="1"/>
  <c r="I4714" i="56"/>
  <c r="L4714" i="56"/>
  <c r="C4715" i="56"/>
  <c r="D4715" i="56" s="1"/>
  <c r="E4715" i="56"/>
  <c r="F4715" i="56" s="1"/>
  <c r="I4715" i="56"/>
  <c r="L4715" i="56"/>
  <c r="C4716" i="56"/>
  <c r="D4716" i="56" s="1"/>
  <c r="E4716" i="56"/>
  <c r="F4716" i="56" s="1"/>
  <c r="I4716" i="56"/>
  <c r="L4716" i="56"/>
  <c r="C4717" i="56"/>
  <c r="D4717" i="56" s="1"/>
  <c r="E4717" i="56"/>
  <c r="F4717" i="56" s="1"/>
  <c r="I4717" i="56"/>
  <c r="C4718" i="56"/>
  <c r="D4718" i="56" s="1"/>
  <c r="E4718" i="56"/>
  <c r="F4718" i="56" s="1"/>
  <c r="I4718" i="56"/>
  <c r="C4719" i="56"/>
  <c r="D4719" i="56" s="1"/>
  <c r="E4719" i="56"/>
  <c r="F4719" i="56" s="1"/>
  <c r="I4719" i="56"/>
  <c r="C4720" i="56"/>
  <c r="D4720" i="56" s="1"/>
  <c r="E4720" i="56"/>
  <c r="F4720" i="56" s="1"/>
  <c r="I4720" i="56"/>
  <c r="L4720" i="56"/>
  <c r="C4721" i="56"/>
  <c r="D4721" i="56" s="1"/>
  <c r="E4721" i="56"/>
  <c r="F4721" i="56" s="1"/>
  <c r="L4721" i="56"/>
  <c r="C4722" i="56"/>
  <c r="D4722" i="56" s="1"/>
  <c r="E4722" i="56"/>
  <c r="F4722" i="56" s="1"/>
  <c r="I4722" i="56"/>
  <c r="L4722" i="56"/>
  <c r="C4723" i="56"/>
  <c r="D4723" i="56" s="1"/>
  <c r="E4723" i="56"/>
  <c r="F4723" i="56" s="1"/>
  <c r="I4723" i="56"/>
  <c r="C4724" i="56"/>
  <c r="D4724" i="56" s="1"/>
  <c r="E4724" i="56"/>
  <c r="F4724" i="56" s="1"/>
  <c r="I4724" i="56"/>
  <c r="C4725" i="56"/>
  <c r="D4725" i="56" s="1"/>
  <c r="E4725" i="56"/>
  <c r="F4725" i="56" s="1"/>
  <c r="I4725" i="56"/>
  <c r="L4725" i="56"/>
  <c r="C4726" i="56"/>
  <c r="D4726" i="56" s="1"/>
  <c r="E4726" i="56"/>
  <c r="F4726" i="56" s="1"/>
  <c r="I4726" i="56"/>
  <c r="L4726" i="56"/>
  <c r="C4727" i="56"/>
  <c r="D4727" i="56" s="1"/>
  <c r="E4727" i="56"/>
  <c r="F4727" i="56" s="1"/>
  <c r="I4727" i="56"/>
  <c r="L4727" i="56"/>
  <c r="C4728" i="56"/>
  <c r="D4728" i="56" s="1"/>
  <c r="E4728" i="56"/>
  <c r="F4728" i="56" s="1"/>
  <c r="I4728" i="56"/>
  <c r="L4728" i="56"/>
  <c r="C4729" i="56"/>
  <c r="D4729" i="56" s="1"/>
  <c r="E4729" i="56"/>
  <c r="F4729" i="56" s="1"/>
  <c r="I4729" i="56"/>
  <c r="C4730" i="56"/>
  <c r="D4730" i="56" s="1"/>
  <c r="E4730" i="56"/>
  <c r="F4730" i="56" s="1"/>
  <c r="I4730" i="56"/>
  <c r="C4731" i="56"/>
  <c r="D4731" i="56" s="1"/>
  <c r="E4731" i="56"/>
  <c r="F4731" i="56" s="1"/>
  <c r="I4731" i="56"/>
  <c r="C4732" i="56"/>
  <c r="D4732" i="56" s="1"/>
  <c r="E4732" i="56"/>
  <c r="F4732" i="56" s="1"/>
  <c r="I4732" i="56"/>
  <c r="L4732" i="56"/>
  <c r="C4733" i="56"/>
  <c r="D4733" i="56" s="1"/>
  <c r="E4733" i="56"/>
  <c r="F4733" i="56" s="1"/>
  <c r="L4733" i="56"/>
  <c r="C4734" i="56"/>
  <c r="D4734" i="56" s="1"/>
  <c r="E4734" i="56"/>
  <c r="F4734" i="56" s="1"/>
  <c r="I4734" i="56"/>
  <c r="L4734" i="56"/>
  <c r="C4735" i="56"/>
  <c r="D4735" i="56" s="1"/>
  <c r="E4735" i="56"/>
  <c r="F4735" i="56" s="1"/>
  <c r="I4735" i="56"/>
  <c r="C4736" i="56"/>
  <c r="D4736" i="56" s="1"/>
  <c r="E4736" i="56"/>
  <c r="F4736" i="56" s="1"/>
  <c r="C4737" i="56"/>
  <c r="D4737" i="56" s="1"/>
  <c r="E4737" i="56"/>
  <c r="F4737" i="56" s="1"/>
  <c r="I4737" i="56"/>
  <c r="C4738" i="56"/>
  <c r="D4738" i="56" s="1"/>
  <c r="E4738" i="56"/>
  <c r="F4738" i="56" s="1"/>
  <c r="I4738" i="56"/>
  <c r="L4738" i="56"/>
  <c r="C4739" i="56"/>
  <c r="D4739" i="56" s="1"/>
  <c r="E4739" i="56"/>
  <c r="F4739" i="56" s="1"/>
  <c r="I4739" i="56"/>
  <c r="L4739" i="56"/>
  <c r="C4740" i="56"/>
  <c r="D4740" i="56" s="1"/>
  <c r="E4740" i="56"/>
  <c r="F4740" i="56" s="1"/>
  <c r="I4740" i="56"/>
  <c r="L4740" i="56"/>
  <c r="C4741" i="56"/>
  <c r="D4741" i="56" s="1"/>
  <c r="E4741" i="56"/>
  <c r="F4741" i="56" s="1"/>
  <c r="I4741" i="56"/>
  <c r="C4742" i="56"/>
  <c r="D4742" i="56" s="1"/>
  <c r="E4742" i="56"/>
  <c r="F4742" i="56" s="1"/>
  <c r="I4742" i="56"/>
  <c r="C4743" i="56"/>
  <c r="D4743" i="56" s="1"/>
  <c r="E4743" i="56"/>
  <c r="F4743" i="56" s="1"/>
  <c r="I4743" i="56"/>
  <c r="C4744" i="56"/>
  <c r="D4744" i="56" s="1"/>
  <c r="E4744" i="56"/>
  <c r="F4744" i="56" s="1"/>
  <c r="I4744" i="56"/>
  <c r="C4745" i="56"/>
  <c r="D4745" i="56" s="1"/>
  <c r="E4745" i="56"/>
  <c r="F4745" i="56" s="1"/>
  <c r="L4745" i="56"/>
  <c r="C4746" i="56"/>
  <c r="D4746" i="56" s="1"/>
  <c r="E4746" i="56"/>
  <c r="F4746" i="56" s="1"/>
  <c r="I4746" i="56"/>
  <c r="L4746" i="56"/>
  <c r="C4747" i="56"/>
  <c r="D4747" i="56" s="1"/>
  <c r="E4747" i="56"/>
  <c r="F4747" i="56" s="1"/>
  <c r="I4747" i="56"/>
  <c r="C4748" i="56"/>
  <c r="D4748" i="56" s="1"/>
  <c r="E4748" i="56"/>
  <c r="F4748" i="56" s="1"/>
  <c r="C4749" i="56"/>
  <c r="D4749" i="56" s="1"/>
  <c r="E4749" i="56"/>
  <c r="F4749" i="56" s="1"/>
  <c r="I4749" i="56"/>
  <c r="L4749" i="56"/>
  <c r="C4750" i="56"/>
  <c r="D4750" i="56" s="1"/>
  <c r="E4750" i="56"/>
  <c r="F4750" i="56" s="1"/>
  <c r="I4750" i="56"/>
  <c r="L4750" i="56"/>
  <c r="C4751" i="56"/>
  <c r="D4751" i="56" s="1"/>
  <c r="E4751" i="56"/>
  <c r="F4751" i="56" s="1"/>
  <c r="I4751" i="56"/>
  <c r="L4751" i="56"/>
  <c r="C4752" i="56"/>
  <c r="D4752" i="56" s="1"/>
  <c r="E4752" i="56"/>
  <c r="F4752" i="56" s="1"/>
  <c r="I4752" i="56"/>
  <c r="L4752" i="56"/>
  <c r="C4753" i="56"/>
  <c r="D4753" i="56" s="1"/>
  <c r="E4753" i="56"/>
  <c r="F4753" i="56" s="1"/>
  <c r="I4753" i="56"/>
  <c r="C4754" i="56"/>
  <c r="D4754" i="56" s="1"/>
  <c r="E4754" i="56"/>
  <c r="F4754" i="56" s="1"/>
  <c r="I4754" i="56"/>
  <c r="C4755" i="56"/>
  <c r="D4755" i="56" s="1"/>
  <c r="E4755" i="56"/>
  <c r="F4755" i="56" s="1"/>
  <c r="I4755" i="56"/>
  <c r="C4756" i="56"/>
  <c r="D4756" i="56" s="1"/>
  <c r="E4756" i="56"/>
  <c r="F4756" i="56" s="1"/>
  <c r="I4756" i="56"/>
  <c r="L4756" i="56"/>
  <c r="C4757" i="56"/>
  <c r="D4757" i="56" s="1"/>
  <c r="E4757" i="56"/>
  <c r="F4757" i="56"/>
  <c r="L4757" i="56"/>
  <c r="C4758" i="56"/>
  <c r="D4758" i="56" s="1"/>
  <c r="E4758" i="56"/>
  <c r="F4758" i="56" s="1"/>
  <c r="I4758" i="56"/>
  <c r="L4758" i="56"/>
  <c r="C4759" i="56"/>
  <c r="D4759" i="56" s="1"/>
  <c r="E4759" i="56"/>
  <c r="F4759" i="56" s="1"/>
  <c r="I4759" i="56"/>
  <c r="C4760" i="56"/>
  <c r="D4760" i="56" s="1"/>
  <c r="E4760" i="56"/>
  <c r="F4760" i="56" s="1"/>
  <c r="C4761" i="56"/>
  <c r="D4761" i="56" s="1"/>
  <c r="E4761" i="56"/>
  <c r="F4761" i="56" s="1"/>
  <c r="I4761" i="56"/>
  <c r="C4762" i="56"/>
  <c r="D4762" i="56" s="1"/>
  <c r="E4762" i="56"/>
  <c r="F4762" i="56" s="1"/>
  <c r="I4762" i="56"/>
  <c r="L4762" i="56"/>
  <c r="C4763" i="56"/>
  <c r="D4763" i="56" s="1"/>
  <c r="E4763" i="56"/>
  <c r="F4763" i="56" s="1"/>
  <c r="I4763" i="56"/>
  <c r="L4763" i="56"/>
  <c r="C4764" i="56"/>
  <c r="D4764" i="56" s="1"/>
  <c r="E4764" i="56"/>
  <c r="F4764" i="56"/>
  <c r="I4764" i="56"/>
  <c r="L4764" i="56"/>
  <c r="C4765" i="56"/>
  <c r="D4765" i="56" s="1"/>
  <c r="E4765" i="56"/>
  <c r="F4765" i="56" s="1"/>
  <c r="I4765" i="56"/>
  <c r="C4766" i="56"/>
  <c r="D4766" i="56" s="1"/>
  <c r="E4766" i="56"/>
  <c r="F4766" i="56" s="1"/>
  <c r="I4766" i="56"/>
  <c r="C4767" i="56"/>
  <c r="D4767" i="56" s="1"/>
  <c r="E4767" i="56"/>
  <c r="F4767" i="56" s="1"/>
  <c r="I4767" i="56"/>
  <c r="C4768" i="56"/>
  <c r="D4768" i="56" s="1"/>
  <c r="E4768" i="56"/>
  <c r="F4768" i="56" s="1"/>
  <c r="I4768" i="56"/>
  <c r="C4769" i="56"/>
  <c r="D4769" i="56" s="1"/>
  <c r="E4769" i="56"/>
  <c r="F4769" i="56" s="1"/>
  <c r="L4769" i="56"/>
  <c r="C4770" i="56"/>
  <c r="D4770" i="56" s="1"/>
  <c r="E4770" i="56"/>
  <c r="F4770" i="56" s="1"/>
  <c r="I4770" i="56"/>
  <c r="L4770" i="56"/>
  <c r="C4771" i="56"/>
  <c r="D4771" i="56" s="1"/>
  <c r="E4771" i="56"/>
  <c r="F4771" i="56"/>
  <c r="I4771" i="56"/>
  <c r="C4772" i="56"/>
  <c r="D4772" i="56" s="1"/>
  <c r="E4772" i="56"/>
  <c r="F4772" i="56" s="1"/>
  <c r="C4773" i="56"/>
  <c r="D4773" i="56" s="1"/>
  <c r="E4773" i="56"/>
  <c r="F4773" i="56" s="1"/>
  <c r="I4773" i="56"/>
  <c r="C4774" i="56"/>
  <c r="D4774" i="56" s="1"/>
  <c r="E4774" i="56"/>
  <c r="F4774" i="56" s="1"/>
  <c r="I4774" i="56"/>
  <c r="L4774" i="56"/>
  <c r="C4775" i="56"/>
  <c r="D4775" i="56"/>
  <c r="E4775" i="56"/>
  <c r="F4775" i="56" s="1"/>
  <c r="I4775" i="56"/>
  <c r="L4775" i="56"/>
  <c r="C4776" i="56"/>
  <c r="D4776" i="56" s="1"/>
  <c r="E4776" i="56"/>
  <c r="F4776" i="56" s="1"/>
  <c r="I4776" i="56"/>
  <c r="L4776" i="56"/>
  <c r="C4777" i="56"/>
  <c r="D4777" i="56" s="1"/>
  <c r="E4777" i="56"/>
  <c r="F4777" i="56" s="1"/>
  <c r="I4777" i="56"/>
  <c r="C4778" i="56"/>
  <c r="D4778" i="56" s="1"/>
  <c r="E4778" i="56"/>
  <c r="F4778" i="56" s="1"/>
  <c r="I4778" i="56"/>
  <c r="C4779" i="56"/>
  <c r="D4779" i="56" s="1"/>
  <c r="E4779" i="56"/>
  <c r="F4779" i="56" s="1"/>
  <c r="I4779" i="56"/>
  <c r="C4780" i="56"/>
  <c r="D4780" i="56" s="1"/>
  <c r="E4780" i="56"/>
  <c r="F4780" i="56" s="1"/>
  <c r="I4780" i="56"/>
  <c r="L4780" i="56"/>
  <c r="C4781" i="56"/>
  <c r="D4781" i="56" s="1"/>
  <c r="E4781" i="56"/>
  <c r="F4781" i="56" s="1"/>
  <c r="L4781" i="56"/>
  <c r="C4782" i="56"/>
  <c r="D4782" i="56" s="1"/>
  <c r="E4782" i="56"/>
  <c r="F4782" i="56" s="1"/>
  <c r="I4782" i="56"/>
  <c r="L4782" i="56"/>
  <c r="C4783" i="56"/>
  <c r="D4783" i="56" s="1"/>
  <c r="E4783" i="56"/>
  <c r="F4783" i="56" s="1"/>
  <c r="I4783" i="56"/>
  <c r="C4784" i="56"/>
  <c r="D4784" i="56" s="1"/>
  <c r="E4784" i="56"/>
  <c r="F4784" i="56" s="1"/>
  <c r="C4785" i="56"/>
  <c r="D4785" i="56" s="1"/>
  <c r="E4785" i="56"/>
  <c r="F4785" i="56" s="1"/>
  <c r="I4785" i="56"/>
  <c r="L4785" i="56"/>
  <c r="C4786" i="56"/>
  <c r="D4786" i="56" s="1"/>
  <c r="E4786" i="56"/>
  <c r="F4786" i="56" s="1"/>
  <c r="I4786" i="56"/>
  <c r="L4786" i="56"/>
  <c r="C4787" i="56"/>
  <c r="D4787" i="56" s="1"/>
  <c r="E4787" i="56"/>
  <c r="F4787" i="56" s="1"/>
  <c r="I4787" i="56"/>
  <c r="L4787" i="56"/>
  <c r="C4788" i="56"/>
  <c r="D4788" i="56" s="1"/>
  <c r="E4788" i="56"/>
  <c r="F4788" i="56" s="1"/>
  <c r="I4788" i="56"/>
  <c r="L4788" i="56"/>
  <c r="C4789" i="56"/>
  <c r="D4789" i="56" s="1"/>
  <c r="E4789" i="56"/>
  <c r="F4789" i="56" s="1"/>
  <c r="I4789" i="56"/>
  <c r="C4790" i="56"/>
  <c r="D4790" i="56" s="1"/>
  <c r="E4790" i="56"/>
  <c r="F4790" i="56" s="1"/>
  <c r="I4790" i="56"/>
  <c r="C4791" i="56"/>
  <c r="D4791" i="56" s="1"/>
  <c r="E4791" i="56"/>
  <c r="F4791" i="56" s="1"/>
  <c r="I4791" i="56"/>
  <c r="C4792" i="56"/>
  <c r="D4792" i="56" s="1"/>
  <c r="E4792" i="56"/>
  <c r="F4792" i="56" s="1"/>
  <c r="I4792" i="56"/>
  <c r="C4793" i="56"/>
  <c r="D4793" i="56" s="1"/>
  <c r="E4793" i="56"/>
  <c r="F4793" i="56" s="1"/>
  <c r="L4793" i="56"/>
  <c r="C4794" i="56"/>
  <c r="D4794" i="56" s="1"/>
  <c r="E4794" i="56"/>
  <c r="F4794" i="56" s="1"/>
  <c r="I4794" i="56"/>
  <c r="L4794" i="56"/>
  <c r="C4795" i="56"/>
  <c r="D4795" i="56" s="1"/>
  <c r="E4795" i="56"/>
  <c r="F4795" i="56" s="1"/>
  <c r="I4795" i="56"/>
  <c r="C4796" i="56"/>
  <c r="D4796" i="56" s="1"/>
  <c r="E4796" i="56"/>
  <c r="F4796" i="56" s="1"/>
  <c r="C4797" i="56"/>
  <c r="D4797" i="56" s="1"/>
  <c r="E4797" i="56"/>
  <c r="F4797" i="56" s="1"/>
  <c r="I4797" i="56"/>
  <c r="C4798" i="56"/>
  <c r="D4798" i="56" s="1"/>
  <c r="E4798" i="56"/>
  <c r="F4798" i="56" s="1"/>
  <c r="I4798" i="56"/>
  <c r="L4798" i="56"/>
  <c r="C4799" i="56"/>
  <c r="D4799" i="56" s="1"/>
  <c r="E4799" i="56"/>
  <c r="F4799" i="56" s="1"/>
  <c r="I4799" i="56"/>
  <c r="L4799" i="56"/>
  <c r="C4800" i="56"/>
  <c r="D4800" i="56" s="1"/>
  <c r="E4800" i="56"/>
  <c r="F4800" i="56" s="1"/>
  <c r="I4800" i="56"/>
  <c r="L4800" i="56"/>
  <c r="C4801" i="56"/>
  <c r="D4801" i="56" s="1"/>
  <c r="E4801" i="56"/>
  <c r="F4801" i="56" s="1"/>
  <c r="I4801" i="56"/>
  <c r="C4802" i="56"/>
  <c r="D4802" i="56" s="1"/>
  <c r="E4802" i="56"/>
  <c r="F4802" i="56" s="1"/>
  <c r="I4802" i="56"/>
  <c r="C4803" i="56"/>
  <c r="D4803" i="56" s="1"/>
  <c r="E4803" i="56"/>
  <c r="F4803" i="56" s="1"/>
  <c r="I4803" i="56"/>
  <c r="C4804" i="56"/>
  <c r="D4804" i="56" s="1"/>
  <c r="E4804" i="56"/>
  <c r="F4804" i="56" s="1"/>
  <c r="I4804" i="56"/>
  <c r="C4805" i="56"/>
  <c r="D4805" i="56" s="1"/>
  <c r="E4805" i="56"/>
  <c r="F4805" i="56" s="1"/>
  <c r="L4805" i="56"/>
  <c r="C4806" i="56"/>
  <c r="D4806" i="56" s="1"/>
  <c r="E4806" i="56"/>
  <c r="F4806" i="56" s="1"/>
  <c r="I4806" i="56"/>
  <c r="L4806" i="56"/>
  <c r="C4807" i="56"/>
  <c r="D4807" i="56" s="1"/>
  <c r="E4807" i="56"/>
  <c r="F4807" i="56" s="1"/>
  <c r="I4807" i="56"/>
  <c r="C4808" i="56"/>
  <c r="D4808" i="56" s="1"/>
  <c r="E4808" i="56"/>
  <c r="F4808" i="56" s="1"/>
  <c r="C4809" i="56"/>
  <c r="D4809" i="56" s="1"/>
  <c r="E4809" i="56"/>
  <c r="F4809" i="56" s="1"/>
  <c r="I4809" i="56"/>
  <c r="L4809" i="56"/>
  <c r="C4810" i="56"/>
  <c r="D4810" i="56" s="1"/>
  <c r="E4810" i="56"/>
  <c r="F4810" i="56" s="1"/>
  <c r="I4810" i="56"/>
  <c r="L4810" i="56"/>
  <c r="C4811" i="56"/>
  <c r="D4811" i="56" s="1"/>
  <c r="E4811" i="56"/>
  <c r="F4811" i="56" s="1"/>
  <c r="I4811" i="56"/>
  <c r="L4811" i="56"/>
  <c r="C4812" i="56"/>
  <c r="D4812" i="56" s="1"/>
  <c r="E4812" i="56"/>
  <c r="F4812" i="56" s="1"/>
  <c r="I4812" i="56"/>
  <c r="L4812" i="56"/>
  <c r="C4813" i="56"/>
  <c r="D4813" i="56" s="1"/>
  <c r="E4813" i="56"/>
  <c r="F4813" i="56" s="1"/>
  <c r="I4813" i="56"/>
  <c r="C4814" i="56"/>
  <c r="D4814" i="56" s="1"/>
  <c r="E4814" i="56"/>
  <c r="F4814" i="56" s="1"/>
  <c r="I4814" i="56"/>
  <c r="C4815" i="56"/>
  <c r="D4815" i="56" s="1"/>
  <c r="E4815" i="56"/>
  <c r="F4815" i="56" s="1"/>
  <c r="I4815" i="56"/>
  <c r="C4816" i="56"/>
  <c r="D4816" i="56" s="1"/>
  <c r="E4816" i="56"/>
  <c r="F4816" i="56" s="1"/>
  <c r="I4816" i="56"/>
  <c r="C4817" i="56"/>
  <c r="D4817" i="56" s="1"/>
  <c r="E4817" i="56"/>
  <c r="F4817" i="56" s="1"/>
  <c r="L4817" i="56"/>
  <c r="C4818" i="56"/>
  <c r="D4818" i="56" s="1"/>
  <c r="E4818" i="56"/>
  <c r="F4818" i="56" s="1"/>
  <c r="I4818" i="56"/>
  <c r="L4818" i="56"/>
  <c r="C4819" i="56"/>
  <c r="D4819" i="56" s="1"/>
  <c r="E4819" i="56"/>
  <c r="F4819" i="56" s="1"/>
  <c r="I4819" i="56"/>
  <c r="C4820" i="56"/>
  <c r="D4820" i="56" s="1"/>
  <c r="E4820" i="56"/>
  <c r="F4820" i="56" s="1"/>
  <c r="C4821" i="56"/>
  <c r="D4821" i="56" s="1"/>
  <c r="E4821" i="56"/>
  <c r="F4821" i="56" s="1"/>
  <c r="I4821" i="56"/>
  <c r="C4822" i="56"/>
  <c r="D4822" i="56" s="1"/>
  <c r="E4822" i="56"/>
  <c r="F4822" i="56" s="1"/>
  <c r="I4822" i="56"/>
  <c r="L4822" i="56"/>
  <c r="C4823" i="56"/>
  <c r="D4823" i="56" s="1"/>
  <c r="E4823" i="56"/>
  <c r="F4823" i="56" s="1"/>
  <c r="I4823" i="56"/>
  <c r="L4823" i="56"/>
  <c r="C4824" i="56"/>
  <c r="D4824" i="56" s="1"/>
  <c r="E4824" i="56"/>
  <c r="F4824" i="56" s="1"/>
  <c r="I4824" i="56"/>
  <c r="L4824" i="56"/>
  <c r="C4825" i="56"/>
  <c r="D4825" i="56" s="1"/>
  <c r="E4825" i="56"/>
  <c r="F4825" i="56" s="1"/>
  <c r="I4825" i="56"/>
  <c r="C4826" i="56"/>
  <c r="D4826" i="56" s="1"/>
  <c r="E4826" i="56"/>
  <c r="F4826" i="56" s="1"/>
  <c r="I4826" i="56"/>
  <c r="C4827" i="56"/>
  <c r="D4827" i="56" s="1"/>
  <c r="E4827" i="56"/>
  <c r="F4827" i="56" s="1"/>
  <c r="I4827" i="56"/>
  <c r="C4828" i="56"/>
  <c r="D4828" i="56" s="1"/>
  <c r="E4828" i="56"/>
  <c r="F4828" i="56" s="1"/>
  <c r="I4828" i="56"/>
  <c r="L4828" i="56"/>
  <c r="C4829" i="56"/>
  <c r="D4829" i="56" s="1"/>
  <c r="E4829" i="56"/>
  <c r="F4829" i="56" s="1"/>
  <c r="L4829" i="56"/>
  <c r="C4830" i="56"/>
  <c r="D4830" i="56" s="1"/>
  <c r="E4830" i="56"/>
  <c r="F4830" i="56" s="1"/>
  <c r="I4830" i="56"/>
  <c r="L4830" i="56"/>
  <c r="C4831" i="56"/>
  <c r="D4831" i="56" s="1"/>
  <c r="E4831" i="56"/>
  <c r="F4831" i="56" s="1"/>
  <c r="I4831" i="56"/>
  <c r="C4832" i="56"/>
  <c r="D4832" i="56" s="1"/>
  <c r="E4832" i="56"/>
  <c r="F4832" i="56" s="1"/>
  <c r="C4833" i="56"/>
  <c r="D4833" i="56" s="1"/>
  <c r="E4833" i="56"/>
  <c r="F4833" i="56" s="1"/>
  <c r="I4833" i="56"/>
  <c r="L4833" i="56"/>
  <c r="C4834" i="56"/>
  <c r="D4834" i="56" s="1"/>
  <c r="E4834" i="56"/>
  <c r="F4834" i="56" s="1"/>
  <c r="I4834" i="56"/>
  <c r="L4834" i="56"/>
  <c r="C4835" i="56"/>
  <c r="D4835" i="56" s="1"/>
  <c r="E4835" i="56"/>
  <c r="F4835" i="56" s="1"/>
  <c r="I4835" i="56"/>
  <c r="L4835" i="56"/>
  <c r="C4836" i="56"/>
  <c r="D4836" i="56" s="1"/>
  <c r="E4836" i="56"/>
  <c r="F4836" i="56" s="1"/>
  <c r="I4836" i="56"/>
  <c r="L4836" i="56"/>
  <c r="C4837" i="56"/>
  <c r="D4837" i="56" s="1"/>
  <c r="E4837" i="56"/>
  <c r="F4837" i="56" s="1"/>
  <c r="I4837" i="56"/>
  <c r="C4838" i="56"/>
  <c r="D4838" i="56" s="1"/>
  <c r="E4838" i="56"/>
  <c r="F4838" i="56" s="1"/>
  <c r="I4838" i="56"/>
  <c r="C4839" i="56"/>
  <c r="D4839" i="56" s="1"/>
  <c r="E4839" i="56"/>
  <c r="F4839" i="56" s="1"/>
  <c r="I4839" i="56"/>
  <c r="C4840" i="56"/>
  <c r="D4840" i="56" s="1"/>
  <c r="E4840" i="56"/>
  <c r="F4840" i="56" s="1"/>
  <c r="I4840" i="56"/>
  <c r="C4841" i="56"/>
  <c r="D4841" i="56" s="1"/>
  <c r="E4841" i="56"/>
  <c r="F4841" i="56" s="1"/>
  <c r="L4841" i="56"/>
  <c r="C4842" i="56"/>
  <c r="D4842" i="56" s="1"/>
  <c r="E4842" i="56"/>
  <c r="F4842" i="56" s="1"/>
  <c r="I4842" i="56"/>
  <c r="L4842" i="56"/>
  <c r="C4843" i="56"/>
  <c r="D4843" i="56" s="1"/>
  <c r="E4843" i="56"/>
  <c r="F4843" i="56" s="1"/>
  <c r="I4843" i="56"/>
  <c r="C4844" i="56"/>
  <c r="D4844" i="56" s="1"/>
  <c r="E4844" i="56"/>
  <c r="F4844" i="56" s="1"/>
  <c r="C4845" i="56"/>
  <c r="D4845" i="56" s="1"/>
  <c r="E4845" i="56"/>
  <c r="F4845" i="56" s="1"/>
  <c r="I4845" i="56"/>
  <c r="L4845" i="56"/>
  <c r="C4846" i="56"/>
  <c r="D4846" i="56" s="1"/>
  <c r="E4846" i="56"/>
  <c r="F4846" i="56" s="1"/>
  <c r="I4846" i="56"/>
  <c r="L4846" i="56"/>
  <c r="C4847" i="56"/>
  <c r="D4847" i="56" s="1"/>
  <c r="E4847" i="56"/>
  <c r="F4847" i="56" s="1"/>
  <c r="I4847" i="56"/>
  <c r="L4847" i="56"/>
  <c r="C4848" i="56"/>
  <c r="D4848" i="56" s="1"/>
  <c r="E4848" i="56"/>
  <c r="F4848" i="56" s="1"/>
  <c r="I4848" i="56"/>
  <c r="L4848" i="56"/>
  <c r="C4849" i="56"/>
  <c r="D4849" i="56" s="1"/>
  <c r="E4849" i="56"/>
  <c r="F4849" i="56" s="1"/>
  <c r="I4849" i="56"/>
  <c r="C4850" i="56"/>
  <c r="D4850" i="56" s="1"/>
  <c r="E4850" i="56"/>
  <c r="F4850" i="56" s="1"/>
  <c r="I4850" i="56"/>
  <c r="C4851" i="56"/>
  <c r="D4851" i="56" s="1"/>
  <c r="E4851" i="56"/>
  <c r="F4851" i="56" s="1"/>
  <c r="I4851" i="56"/>
  <c r="C4852" i="56"/>
  <c r="D4852" i="56" s="1"/>
  <c r="E4852" i="56"/>
  <c r="F4852" i="56" s="1"/>
  <c r="I4852" i="56"/>
  <c r="L4852" i="56"/>
  <c r="C4853" i="56"/>
  <c r="D4853" i="56" s="1"/>
  <c r="E4853" i="56"/>
  <c r="F4853" i="56" s="1"/>
  <c r="L4853" i="56"/>
  <c r="C4854" i="56"/>
  <c r="D4854" i="56" s="1"/>
  <c r="E4854" i="56"/>
  <c r="F4854" i="56" s="1"/>
  <c r="I4854" i="56"/>
  <c r="L4854" i="56"/>
  <c r="C4855" i="56"/>
  <c r="D4855" i="56" s="1"/>
  <c r="E4855" i="56"/>
  <c r="F4855" i="56" s="1"/>
  <c r="I4855" i="56"/>
  <c r="C4856" i="56"/>
  <c r="D4856" i="56" s="1"/>
  <c r="E4856" i="56"/>
  <c r="F4856" i="56" s="1"/>
  <c r="C4857" i="56"/>
  <c r="D4857" i="56" s="1"/>
  <c r="E4857" i="56"/>
  <c r="F4857" i="56" s="1"/>
  <c r="I4857" i="56"/>
  <c r="C4858" i="56"/>
  <c r="D4858" i="56" s="1"/>
  <c r="E4858" i="56"/>
  <c r="F4858" i="56"/>
  <c r="I4858" i="56"/>
  <c r="L4858" i="56"/>
  <c r="C4859" i="56"/>
  <c r="D4859" i="56" s="1"/>
  <c r="E4859" i="56"/>
  <c r="F4859" i="56" s="1"/>
  <c r="I4859" i="56"/>
  <c r="L4859" i="56"/>
  <c r="C4860" i="56"/>
  <c r="D4860" i="56" s="1"/>
  <c r="E4860" i="56"/>
  <c r="F4860" i="56" s="1"/>
  <c r="I4860" i="56"/>
  <c r="L4860" i="56"/>
  <c r="C4861" i="56"/>
  <c r="D4861" i="56" s="1"/>
  <c r="E4861" i="56"/>
  <c r="F4861" i="56" s="1"/>
  <c r="I4861" i="56"/>
  <c r="C4862" i="56"/>
  <c r="D4862" i="56" s="1"/>
  <c r="E4862" i="56"/>
  <c r="F4862" i="56" s="1"/>
  <c r="I4862" i="56"/>
  <c r="C4863" i="56"/>
  <c r="D4863" i="56" s="1"/>
  <c r="E4863" i="56"/>
  <c r="F4863" i="56" s="1"/>
  <c r="I4863" i="56"/>
  <c r="C4864" i="56"/>
  <c r="D4864" i="56" s="1"/>
  <c r="E4864" i="56"/>
  <c r="F4864" i="56" s="1"/>
  <c r="I4864" i="56"/>
  <c r="C4865" i="56"/>
  <c r="D4865" i="56" s="1"/>
  <c r="E4865" i="56"/>
  <c r="F4865" i="56" s="1"/>
  <c r="L4865" i="56"/>
  <c r="C4866" i="56"/>
  <c r="D4866" i="56" s="1"/>
  <c r="E4866" i="56"/>
  <c r="F4866" i="56" s="1"/>
  <c r="I4866" i="56"/>
  <c r="L4866" i="56"/>
  <c r="C4867" i="56"/>
  <c r="D4867" i="56" s="1"/>
  <c r="E4867" i="56"/>
  <c r="F4867" i="56" s="1"/>
  <c r="I4867" i="56"/>
  <c r="C4868" i="56"/>
  <c r="D4868" i="56" s="1"/>
  <c r="E4868" i="56"/>
  <c r="F4868" i="56" s="1"/>
  <c r="C4869" i="56"/>
  <c r="D4869" i="56" s="1"/>
  <c r="E4869" i="56"/>
  <c r="F4869" i="56" s="1"/>
  <c r="I4869" i="56"/>
  <c r="L4869" i="56"/>
  <c r="C4870" i="56"/>
  <c r="D4870" i="56" s="1"/>
  <c r="E4870" i="56"/>
  <c r="F4870" i="56" s="1"/>
  <c r="I4870" i="56"/>
  <c r="L4870" i="56"/>
  <c r="C4871" i="56"/>
  <c r="D4871" i="56" s="1"/>
  <c r="E4871" i="56"/>
  <c r="F4871" i="56" s="1"/>
  <c r="I4871" i="56"/>
  <c r="L4871" i="56"/>
  <c r="C4872" i="56"/>
  <c r="D4872" i="56" s="1"/>
  <c r="E4872" i="56"/>
  <c r="F4872" i="56" s="1"/>
  <c r="I4872" i="56"/>
  <c r="L4872" i="56"/>
  <c r="C4873" i="56"/>
  <c r="D4873" i="56" s="1"/>
  <c r="E4873" i="56"/>
  <c r="F4873" i="56" s="1"/>
  <c r="I4873" i="56"/>
  <c r="C4874" i="56"/>
  <c r="D4874" i="56" s="1"/>
  <c r="E4874" i="56"/>
  <c r="F4874" i="56" s="1"/>
  <c r="I4874" i="56"/>
  <c r="C4875" i="56"/>
  <c r="D4875" i="56" s="1"/>
  <c r="E4875" i="56"/>
  <c r="F4875" i="56" s="1"/>
  <c r="I4875" i="56"/>
  <c r="C4876" i="56"/>
  <c r="D4876" i="56" s="1"/>
  <c r="E4876" i="56"/>
  <c r="F4876" i="56" s="1"/>
  <c r="I4876" i="56"/>
  <c r="C4877" i="56"/>
  <c r="D4877" i="56" s="1"/>
  <c r="E4877" i="56"/>
  <c r="F4877" i="56" s="1"/>
  <c r="L4877" i="56"/>
  <c r="C4878" i="56"/>
  <c r="D4878" i="56" s="1"/>
  <c r="E4878" i="56"/>
  <c r="F4878" i="56" s="1"/>
  <c r="I4878" i="56"/>
  <c r="L4878" i="56"/>
  <c r="C4879" i="56"/>
  <c r="D4879" i="56" s="1"/>
  <c r="E4879" i="56"/>
  <c r="F4879" i="56" s="1"/>
  <c r="I4879" i="56"/>
  <c r="C4880" i="56"/>
  <c r="D4880" i="56" s="1"/>
  <c r="E4880" i="56"/>
  <c r="F4880" i="56" s="1"/>
  <c r="C4881" i="56"/>
  <c r="D4881" i="56" s="1"/>
  <c r="E4881" i="56"/>
  <c r="F4881" i="56" s="1"/>
  <c r="I4881" i="56"/>
  <c r="C4882" i="56"/>
  <c r="D4882" i="56" s="1"/>
  <c r="E4882" i="56"/>
  <c r="F4882" i="56" s="1"/>
  <c r="I4882" i="56"/>
  <c r="L4882" i="56"/>
  <c r="C4883" i="56"/>
  <c r="D4883" i="56" s="1"/>
  <c r="E4883" i="56"/>
  <c r="F4883" i="56" s="1"/>
  <c r="I4883" i="56"/>
  <c r="L4883" i="56"/>
  <c r="C4884" i="56"/>
  <c r="D4884" i="56" s="1"/>
  <c r="E4884" i="56"/>
  <c r="F4884" i="56" s="1"/>
  <c r="I4884" i="56"/>
  <c r="L4884" i="56"/>
  <c r="C4885" i="56"/>
  <c r="D4885" i="56" s="1"/>
  <c r="E4885" i="56"/>
  <c r="F4885" i="56" s="1"/>
  <c r="I4885" i="56"/>
  <c r="C4886" i="56"/>
  <c r="D4886" i="56" s="1"/>
  <c r="E4886" i="56"/>
  <c r="F4886" i="56" s="1"/>
  <c r="I4886" i="56"/>
  <c r="C4887" i="56"/>
  <c r="D4887" i="56" s="1"/>
  <c r="E4887" i="56"/>
  <c r="F4887" i="56" s="1"/>
  <c r="I4887" i="56"/>
  <c r="C4888" i="56"/>
  <c r="D4888" i="56" s="1"/>
  <c r="E4888" i="56"/>
  <c r="F4888" i="56" s="1"/>
  <c r="I4888" i="56"/>
  <c r="C4889" i="56"/>
  <c r="D4889" i="56" s="1"/>
  <c r="E4889" i="56"/>
  <c r="F4889" i="56" s="1"/>
  <c r="L4889" i="56"/>
  <c r="C4890" i="56"/>
  <c r="D4890" i="56" s="1"/>
  <c r="E4890" i="56"/>
  <c r="F4890" i="56" s="1"/>
  <c r="I4890" i="56"/>
  <c r="L4890" i="56"/>
  <c r="C4891" i="56"/>
  <c r="D4891" i="56" s="1"/>
  <c r="E4891" i="56"/>
  <c r="F4891" i="56" s="1"/>
  <c r="I4891" i="56"/>
  <c r="C4892" i="56"/>
  <c r="D4892" i="56" s="1"/>
  <c r="E4892" i="56"/>
  <c r="F4892" i="56" s="1"/>
  <c r="C4893" i="56"/>
  <c r="D4893" i="56" s="1"/>
  <c r="E4893" i="56"/>
  <c r="F4893" i="56" s="1"/>
  <c r="I4893" i="56"/>
  <c r="C4894" i="56"/>
  <c r="D4894" i="56" s="1"/>
  <c r="E4894" i="56"/>
  <c r="F4894" i="56" s="1"/>
  <c r="I4894" i="56"/>
  <c r="L4894" i="56"/>
  <c r="C4895" i="56"/>
  <c r="D4895" i="56" s="1"/>
  <c r="E4895" i="56"/>
  <c r="F4895" i="56" s="1"/>
  <c r="I4895" i="56"/>
  <c r="L4895" i="56"/>
  <c r="C4896" i="56"/>
  <c r="D4896" i="56" s="1"/>
  <c r="E4896" i="56"/>
  <c r="F4896" i="56" s="1"/>
  <c r="I4896" i="56"/>
  <c r="L4896" i="56"/>
  <c r="C4897" i="56"/>
  <c r="D4897" i="56" s="1"/>
  <c r="E4897" i="56"/>
  <c r="F4897" i="56" s="1"/>
  <c r="I4897" i="56"/>
  <c r="C4898" i="56"/>
  <c r="D4898" i="56" s="1"/>
  <c r="E4898" i="56"/>
  <c r="F4898" i="56" s="1"/>
  <c r="I4898" i="56"/>
  <c r="C4899" i="56"/>
  <c r="D4899" i="56" s="1"/>
  <c r="E4899" i="56"/>
  <c r="F4899" i="56" s="1"/>
  <c r="I4899" i="56"/>
  <c r="C4900" i="56"/>
  <c r="D4900" i="56" s="1"/>
  <c r="E4900" i="56"/>
  <c r="F4900" i="56" s="1"/>
  <c r="I4900" i="56"/>
  <c r="C4901" i="56"/>
  <c r="D4901" i="56" s="1"/>
  <c r="E4901" i="56"/>
  <c r="F4901" i="56" s="1"/>
  <c r="L4901" i="56"/>
  <c r="C4902" i="56"/>
  <c r="D4902" i="56" s="1"/>
  <c r="E4902" i="56"/>
  <c r="F4902" i="56" s="1"/>
  <c r="I4902" i="56"/>
  <c r="L4902" i="56"/>
  <c r="C4903" i="56"/>
  <c r="D4903" i="56" s="1"/>
  <c r="E4903" i="56"/>
  <c r="F4903" i="56" s="1"/>
  <c r="I4903" i="56"/>
  <c r="C4904" i="56"/>
  <c r="D4904" i="56" s="1"/>
  <c r="E4904" i="56"/>
  <c r="F4904" i="56" s="1"/>
  <c r="C4905" i="56"/>
  <c r="D4905" i="56" s="1"/>
  <c r="E4905" i="56"/>
  <c r="F4905" i="56" s="1"/>
  <c r="I4905" i="56"/>
  <c r="L4905" i="56"/>
  <c r="C4906" i="56"/>
  <c r="D4906" i="56" s="1"/>
  <c r="E4906" i="56"/>
  <c r="F4906" i="56" s="1"/>
  <c r="I4906" i="56"/>
  <c r="L4906" i="56"/>
  <c r="C4907" i="56"/>
  <c r="D4907" i="56" s="1"/>
  <c r="E4907" i="56"/>
  <c r="F4907" i="56" s="1"/>
  <c r="I4907" i="56"/>
  <c r="L4907" i="56"/>
  <c r="C4908" i="56"/>
  <c r="D4908" i="56" s="1"/>
  <c r="E4908" i="56"/>
  <c r="F4908" i="56" s="1"/>
  <c r="I4908" i="56"/>
  <c r="L4908" i="56"/>
  <c r="C4909" i="56"/>
  <c r="D4909" i="56" s="1"/>
  <c r="E4909" i="56"/>
  <c r="F4909" i="56" s="1"/>
  <c r="I4909" i="56"/>
  <c r="C4910" i="56"/>
  <c r="D4910" i="56" s="1"/>
  <c r="E4910" i="56"/>
  <c r="F4910" i="56" s="1"/>
  <c r="I4910" i="56"/>
  <c r="L4910" i="56"/>
  <c r="C4911" i="56"/>
  <c r="D4911" i="56" s="1"/>
  <c r="E4911" i="56"/>
  <c r="F4911" i="56" s="1"/>
  <c r="I4911" i="56"/>
  <c r="C4912" i="56"/>
  <c r="D4912" i="56" s="1"/>
  <c r="E4912" i="56"/>
  <c r="F4912" i="56" s="1"/>
  <c r="I4912" i="56"/>
  <c r="L4912" i="56"/>
  <c r="C4913" i="56"/>
  <c r="D4913" i="56" s="1"/>
  <c r="E4913" i="56"/>
  <c r="F4913" i="56" s="1"/>
  <c r="L4913" i="56"/>
  <c r="C4914" i="56"/>
  <c r="D4914" i="56" s="1"/>
  <c r="E4914" i="56"/>
  <c r="F4914" i="56" s="1"/>
  <c r="I4914" i="56"/>
  <c r="L4914" i="56"/>
  <c r="C4915" i="56"/>
  <c r="D4915" i="56" s="1"/>
  <c r="E4915" i="56"/>
  <c r="F4915" i="56" s="1"/>
  <c r="I4915" i="56"/>
  <c r="C4916" i="56"/>
  <c r="D4916" i="56" s="1"/>
  <c r="E4916" i="56"/>
  <c r="F4916" i="56" s="1"/>
  <c r="C4917" i="56"/>
  <c r="D4917" i="56" s="1"/>
  <c r="E4917" i="56"/>
  <c r="F4917" i="56" s="1"/>
  <c r="I4917" i="56"/>
  <c r="L4917" i="56"/>
  <c r="C4918" i="56"/>
  <c r="D4918" i="56" s="1"/>
  <c r="E4918" i="56"/>
  <c r="F4918" i="56" s="1"/>
  <c r="I4918" i="56"/>
  <c r="L4918" i="56"/>
  <c r="C4919" i="56"/>
  <c r="D4919" i="56" s="1"/>
  <c r="E4919" i="56"/>
  <c r="F4919" i="56" s="1"/>
  <c r="I4919" i="56"/>
  <c r="L4919" i="56"/>
  <c r="C4920" i="56"/>
  <c r="D4920" i="56" s="1"/>
  <c r="E4920" i="56"/>
  <c r="F4920" i="56" s="1"/>
  <c r="I4920" i="56"/>
  <c r="L4920" i="56"/>
  <c r="C4921" i="56"/>
  <c r="D4921" i="56" s="1"/>
  <c r="E4921" i="56"/>
  <c r="F4921" i="56" s="1"/>
  <c r="I4921" i="56"/>
  <c r="C4922" i="56"/>
  <c r="D4922" i="56" s="1"/>
  <c r="E4922" i="56"/>
  <c r="F4922" i="56" s="1"/>
  <c r="I4922" i="56"/>
  <c r="C4923" i="56"/>
  <c r="D4923" i="56" s="1"/>
  <c r="E4923" i="56"/>
  <c r="F4923" i="56" s="1"/>
  <c r="I4923" i="56"/>
  <c r="C4924" i="56"/>
  <c r="D4924" i="56" s="1"/>
  <c r="E4924" i="56"/>
  <c r="F4924" i="56" s="1"/>
  <c r="I4924" i="56"/>
  <c r="C4925" i="56"/>
  <c r="D4925" i="56" s="1"/>
  <c r="E4925" i="56"/>
  <c r="F4925" i="56" s="1"/>
  <c r="L4925" i="56"/>
  <c r="C4926" i="56"/>
  <c r="D4926" i="56" s="1"/>
  <c r="E4926" i="56"/>
  <c r="F4926" i="56" s="1"/>
  <c r="I4926" i="56"/>
  <c r="L4926" i="56"/>
  <c r="C4927" i="56"/>
  <c r="D4927" i="56" s="1"/>
  <c r="E4927" i="56"/>
  <c r="F4927" i="56" s="1"/>
  <c r="I4927" i="56"/>
  <c r="C4928" i="56"/>
  <c r="D4928" i="56" s="1"/>
  <c r="E4928" i="56"/>
  <c r="F4928" i="56" s="1"/>
  <c r="C4929" i="56"/>
  <c r="D4929" i="56" s="1"/>
  <c r="E4929" i="56"/>
  <c r="F4929" i="56" s="1"/>
  <c r="I4929" i="56"/>
  <c r="L4929" i="56"/>
  <c r="C4930" i="56"/>
  <c r="D4930" i="56" s="1"/>
  <c r="E4930" i="56"/>
  <c r="F4930" i="56" s="1"/>
  <c r="I4930" i="56"/>
  <c r="L4930" i="56"/>
  <c r="C4931" i="56"/>
  <c r="D4931" i="56" s="1"/>
  <c r="E4931" i="56"/>
  <c r="F4931" i="56" s="1"/>
  <c r="I4931" i="56"/>
  <c r="L4931" i="56"/>
  <c r="C4932" i="56"/>
  <c r="D4932" i="56" s="1"/>
  <c r="E4932" i="56"/>
  <c r="F4932" i="56" s="1"/>
  <c r="I4932" i="56"/>
  <c r="L4932" i="56"/>
  <c r="C4933" i="56"/>
  <c r="D4933" i="56" s="1"/>
  <c r="E4933" i="56"/>
  <c r="F4933" i="56" s="1"/>
  <c r="I4933" i="56"/>
  <c r="C4934" i="56"/>
  <c r="D4934" i="56" s="1"/>
  <c r="E4934" i="56"/>
  <c r="F4934" i="56" s="1"/>
  <c r="I4934" i="56"/>
  <c r="C4935" i="56"/>
  <c r="D4935" i="56" s="1"/>
  <c r="E4935" i="56"/>
  <c r="F4935" i="56" s="1"/>
  <c r="I4935" i="56"/>
  <c r="C4936" i="56"/>
  <c r="D4936" i="56" s="1"/>
  <c r="E4936" i="56"/>
  <c r="F4936" i="56" s="1"/>
  <c r="I4936" i="56"/>
  <c r="C4937" i="56"/>
  <c r="D4937" i="56" s="1"/>
  <c r="E4937" i="56"/>
  <c r="F4937" i="56" s="1"/>
  <c r="L4937" i="56"/>
  <c r="C4938" i="56"/>
  <c r="D4938" i="56" s="1"/>
  <c r="E4938" i="56"/>
  <c r="F4938" i="56" s="1"/>
  <c r="I4938" i="56"/>
  <c r="L4938" i="56"/>
  <c r="C4939" i="56"/>
  <c r="D4939" i="56" s="1"/>
  <c r="E4939" i="56"/>
  <c r="F4939" i="56" s="1"/>
  <c r="I4939" i="56"/>
  <c r="C4940" i="56"/>
  <c r="D4940" i="56" s="1"/>
  <c r="E4940" i="56"/>
  <c r="F4940" i="56" s="1"/>
  <c r="C4941" i="56"/>
  <c r="D4941" i="56" s="1"/>
  <c r="E4941" i="56"/>
  <c r="F4941" i="56" s="1"/>
  <c r="I4941" i="56"/>
  <c r="C4942" i="56"/>
  <c r="D4942" i="56" s="1"/>
  <c r="E4942" i="56"/>
  <c r="F4942" i="56" s="1"/>
  <c r="I4942" i="56"/>
  <c r="L4942" i="56"/>
  <c r="C4943" i="56"/>
  <c r="D4943" i="56" s="1"/>
  <c r="E4943" i="56"/>
  <c r="F4943" i="56" s="1"/>
  <c r="I4943" i="56"/>
  <c r="L4943" i="56"/>
  <c r="C4944" i="56"/>
  <c r="D4944" i="56" s="1"/>
  <c r="E4944" i="56"/>
  <c r="F4944" i="56" s="1"/>
  <c r="I4944" i="56"/>
  <c r="L4944" i="56"/>
  <c r="C4945" i="56"/>
  <c r="D4945" i="56" s="1"/>
  <c r="E4945" i="56"/>
  <c r="F4945" i="56" s="1"/>
  <c r="I4945" i="56"/>
  <c r="C4946" i="56"/>
  <c r="D4946" i="56" s="1"/>
  <c r="E4946" i="56"/>
  <c r="F4946" i="56" s="1"/>
  <c r="I4946" i="56"/>
  <c r="C4947" i="56"/>
  <c r="D4947" i="56" s="1"/>
  <c r="E4947" i="56"/>
  <c r="F4947" i="56" s="1"/>
  <c r="I4947" i="56"/>
  <c r="C4948" i="56"/>
  <c r="D4948" i="56" s="1"/>
  <c r="E4948" i="56"/>
  <c r="F4948" i="56" s="1"/>
  <c r="I4948" i="56"/>
  <c r="L4948" i="56"/>
  <c r="C4949" i="56"/>
  <c r="D4949" i="56" s="1"/>
  <c r="E4949" i="56"/>
  <c r="F4949" i="56" s="1"/>
  <c r="I4949" i="56"/>
  <c r="L4949" i="56"/>
  <c r="C4950" i="56"/>
  <c r="D4950" i="56" s="1"/>
  <c r="E4950" i="56"/>
  <c r="F4950" i="56" s="1"/>
  <c r="I4950" i="56"/>
  <c r="L4950" i="56"/>
  <c r="C4951" i="56"/>
  <c r="D4951" i="56" s="1"/>
  <c r="E4951" i="56"/>
  <c r="F4951" i="56"/>
  <c r="I4951" i="56"/>
  <c r="C4952" i="56"/>
  <c r="D4952" i="56" s="1"/>
  <c r="E4952" i="56"/>
  <c r="F4952" i="56" s="1"/>
  <c r="C4953" i="56"/>
  <c r="D4953" i="56" s="1"/>
  <c r="E4953" i="56"/>
  <c r="F4953" i="56" s="1"/>
  <c r="I4953" i="56"/>
  <c r="C4954" i="56"/>
  <c r="D4954" i="56" s="1"/>
  <c r="E4954" i="56"/>
  <c r="F4954" i="56" s="1"/>
  <c r="I4954" i="56"/>
  <c r="L4954" i="56"/>
  <c r="C4955" i="56"/>
  <c r="D4955" i="56" s="1"/>
  <c r="E4955" i="56"/>
  <c r="F4955" i="56" s="1"/>
  <c r="I4955" i="56"/>
  <c r="L4955" i="56"/>
  <c r="C4956" i="56"/>
  <c r="D4956" i="56" s="1"/>
  <c r="E4956" i="56"/>
  <c r="F4956" i="56" s="1"/>
  <c r="I4956" i="56"/>
  <c r="L4956" i="56"/>
  <c r="C4957" i="56"/>
  <c r="D4957" i="56" s="1"/>
  <c r="E4957" i="56"/>
  <c r="F4957" i="56"/>
  <c r="I4957" i="56"/>
  <c r="C4958" i="56"/>
  <c r="D4958" i="56" s="1"/>
  <c r="E4958" i="56"/>
  <c r="F4958" i="56" s="1"/>
  <c r="I4958" i="56"/>
  <c r="C4959" i="56"/>
  <c r="D4959" i="56" s="1"/>
  <c r="E4959" i="56"/>
  <c r="F4959" i="56" s="1"/>
  <c r="I4959" i="56"/>
  <c r="C4960" i="56"/>
  <c r="D4960" i="56" s="1"/>
  <c r="E4960" i="56"/>
  <c r="F4960" i="56" s="1"/>
  <c r="I4960" i="56"/>
  <c r="C4961" i="56"/>
  <c r="D4961" i="56" s="1"/>
  <c r="E4961" i="56"/>
  <c r="F4961" i="56" s="1"/>
  <c r="L4961" i="56"/>
  <c r="C4962" i="56"/>
  <c r="D4962" i="56" s="1"/>
  <c r="E4962" i="56"/>
  <c r="F4962" i="56" s="1"/>
  <c r="I4962" i="56"/>
  <c r="L4962" i="56"/>
  <c r="C4963" i="56"/>
  <c r="D4963" i="56" s="1"/>
  <c r="E4963" i="56"/>
  <c r="F4963" i="56" s="1"/>
  <c r="I4963" i="56"/>
  <c r="C4964" i="56"/>
  <c r="D4964" i="56" s="1"/>
  <c r="E4964" i="56"/>
  <c r="F4964" i="56" s="1"/>
  <c r="C4965" i="56"/>
  <c r="D4965" i="56" s="1"/>
  <c r="E4965" i="56"/>
  <c r="F4965" i="56" s="1"/>
  <c r="I4965" i="56"/>
  <c r="C4966" i="56"/>
  <c r="D4966" i="56" s="1"/>
  <c r="E4966" i="56"/>
  <c r="F4966" i="56" s="1"/>
  <c r="I4966" i="56"/>
  <c r="L4966" i="56"/>
  <c r="C4967" i="56"/>
  <c r="D4967" i="56" s="1"/>
  <c r="E4967" i="56"/>
  <c r="F4967" i="56" s="1"/>
  <c r="I4967" i="56"/>
  <c r="L4967" i="56"/>
  <c r="C4968" i="56"/>
  <c r="D4968" i="56" s="1"/>
  <c r="E4968" i="56"/>
  <c r="F4968" i="56" s="1"/>
  <c r="I4968" i="56"/>
  <c r="L4968" i="56"/>
  <c r="C4969" i="56"/>
  <c r="D4969" i="56" s="1"/>
  <c r="E4969" i="56"/>
  <c r="F4969" i="56" s="1"/>
  <c r="I4969" i="56"/>
  <c r="C4970" i="56"/>
  <c r="D4970" i="56" s="1"/>
  <c r="E4970" i="56"/>
  <c r="F4970" i="56" s="1"/>
  <c r="I4970" i="56"/>
  <c r="C4971" i="56"/>
  <c r="D4971" i="56" s="1"/>
  <c r="E4971" i="56"/>
  <c r="F4971" i="56" s="1"/>
  <c r="I4971" i="56"/>
  <c r="C4972" i="56"/>
  <c r="D4972" i="56" s="1"/>
  <c r="E4972" i="56"/>
  <c r="F4972" i="56" s="1"/>
  <c r="I4972" i="56"/>
  <c r="L4972" i="56"/>
  <c r="C4973" i="56"/>
  <c r="D4973" i="56" s="1"/>
  <c r="E4973" i="56"/>
  <c r="F4973" i="56" s="1"/>
  <c r="L4973" i="56"/>
  <c r="C4974" i="56"/>
  <c r="D4974" i="56" s="1"/>
  <c r="E4974" i="56"/>
  <c r="F4974" i="56" s="1"/>
  <c r="I4974" i="56"/>
  <c r="L4974" i="56"/>
  <c r="C4975" i="56"/>
  <c r="D4975" i="56" s="1"/>
  <c r="E4975" i="56"/>
  <c r="F4975" i="56" s="1"/>
  <c r="I4975" i="56"/>
  <c r="C4976" i="56"/>
  <c r="D4976" i="56" s="1"/>
  <c r="E4976" i="56"/>
  <c r="F4976" i="56" s="1"/>
  <c r="C4977" i="56"/>
  <c r="D4977" i="56" s="1"/>
  <c r="E4977" i="56"/>
  <c r="F4977" i="56" s="1"/>
  <c r="I4977" i="56"/>
  <c r="L4977" i="56"/>
  <c r="C4978" i="56"/>
  <c r="D4978" i="56" s="1"/>
  <c r="E4978" i="56"/>
  <c r="F4978" i="56" s="1"/>
  <c r="I4978" i="56"/>
  <c r="L4978" i="56"/>
  <c r="C4979" i="56"/>
  <c r="D4979" i="56" s="1"/>
  <c r="E4979" i="56"/>
  <c r="F4979" i="56" s="1"/>
  <c r="I4979" i="56"/>
  <c r="L4979" i="56"/>
  <c r="C4980" i="56"/>
  <c r="D4980" i="56" s="1"/>
  <c r="E4980" i="56"/>
  <c r="F4980" i="56" s="1"/>
  <c r="I4980" i="56"/>
  <c r="L4980" i="56"/>
  <c r="C4981" i="56"/>
  <c r="D4981" i="56" s="1"/>
  <c r="E4981" i="56"/>
  <c r="F4981" i="56" s="1"/>
  <c r="I4981" i="56"/>
  <c r="C4982" i="56"/>
  <c r="D4982" i="56" s="1"/>
  <c r="E4982" i="56"/>
  <c r="F4982" i="56" s="1"/>
  <c r="I4982" i="56"/>
  <c r="C4983" i="56"/>
  <c r="D4983" i="56" s="1"/>
  <c r="E4983" i="56"/>
  <c r="F4983" i="56" s="1"/>
  <c r="I4983" i="56"/>
  <c r="C4984" i="56"/>
  <c r="D4984" i="56" s="1"/>
  <c r="E4984" i="56"/>
  <c r="F4984" i="56" s="1"/>
  <c r="I4984" i="56"/>
  <c r="C4985" i="56"/>
  <c r="D4985" i="56" s="1"/>
  <c r="E4985" i="56"/>
  <c r="F4985" i="56" s="1"/>
  <c r="L4985" i="56"/>
  <c r="C4986" i="56"/>
  <c r="D4986" i="56" s="1"/>
  <c r="E4986" i="56"/>
  <c r="F4986" i="56" s="1"/>
  <c r="I4986" i="56"/>
  <c r="L4986" i="56"/>
  <c r="C4987" i="56"/>
  <c r="D4987" i="56" s="1"/>
  <c r="E4987" i="56"/>
  <c r="F4987" i="56" s="1"/>
  <c r="I4987" i="56"/>
  <c r="C4988" i="56"/>
  <c r="D4988" i="56" s="1"/>
  <c r="E4988" i="56"/>
  <c r="F4988" i="56" s="1"/>
  <c r="C4989" i="56"/>
  <c r="D4989" i="56" s="1"/>
  <c r="E4989" i="56"/>
  <c r="F4989" i="56" s="1"/>
  <c r="I4989" i="56"/>
  <c r="L4989" i="56"/>
  <c r="C4990" i="56"/>
  <c r="D4990" i="56" s="1"/>
  <c r="E4990" i="56"/>
  <c r="F4990" i="56" s="1"/>
  <c r="I4990" i="56"/>
  <c r="L4990" i="56"/>
  <c r="C4991" i="56"/>
  <c r="D4991" i="56" s="1"/>
  <c r="E4991" i="56"/>
  <c r="F4991" i="56" s="1"/>
  <c r="I4991" i="56"/>
  <c r="L4991" i="56"/>
  <c r="C4992" i="56"/>
  <c r="D4992" i="56" s="1"/>
  <c r="E4992" i="56"/>
  <c r="F4992" i="56" s="1"/>
  <c r="I4992" i="56"/>
  <c r="L4992" i="56"/>
  <c r="C4993" i="56"/>
  <c r="D4993" i="56" s="1"/>
  <c r="E4993" i="56"/>
  <c r="F4993" i="56" s="1"/>
  <c r="I4993" i="56"/>
  <c r="C4994" i="56"/>
  <c r="D4994" i="56" s="1"/>
  <c r="E4994" i="56"/>
  <c r="F4994" i="56" s="1"/>
  <c r="I4994" i="56"/>
  <c r="C4995" i="56"/>
  <c r="D4995" i="56" s="1"/>
  <c r="E4995" i="56"/>
  <c r="F4995" i="56" s="1"/>
  <c r="I4995" i="56"/>
  <c r="C4996" i="56"/>
  <c r="D4996" i="56" s="1"/>
  <c r="E4996" i="56"/>
  <c r="F4996" i="56" s="1"/>
  <c r="I4996" i="56"/>
  <c r="L4996" i="56"/>
  <c r="C4997" i="56"/>
  <c r="D4997" i="56" s="1"/>
  <c r="E4997" i="56"/>
  <c r="F4997" i="56" s="1"/>
  <c r="L4997" i="56"/>
  <c r="C4998" i="56"/>
  <c r="D4998" i="56" s="1"/>
  <c r="E4998" i="56"/>
  <c r="F4998" i="56" s="1"/>
  <c r="I4998" i="56"/>
  <c r="L4998" i="56"/>
  <c r="C4999" i="56"/>
  <c r="D4999" i="56" s="1"/>
  <c r="E4999" i="56"/>
  <c r="F4999" i="56" s="1"/>
  <c r="I4999" i="56"/>
  <c r="C5000" i="56"/>
  <c r="D5000" i="56" s="1"/>
  <c r="E5000" i="56"/>
  <c r="F5000" i="56" s="1"/>
  <c r="C5001" i="56"/>
  <c r="D5001" i="56" s="1"/>
  <c r="E5001" i="56"/>
  <c r="F5001" i="56" s="1"/>
  <c r="I5001" i="56"/>
  <c r="L5001" i="56"/>
  <c r="C5002" i="56"/>
  <c r="D5002" i="56" s="1"/>
  <c r="E5002" i="56"/>
  <c r="F5002" i="56" s="1"/>
  <c r="I5002" i="56"/>
  <c r="L5002" i="56"/>
  <c r="C5003" i="56"/>
  <c r="D5003" i="56" s="1"/>
  <c r="E5003" i="56"/>
  <c r="F5003" i="56" s="1"/>
  <c r="I5003" i="56"/>
  <c r="L5003" i="56"/>
  <c r="C5004" i="56"/>
  <c r="D5004" i="56" s="1"/>
  <c r="E5004" i="56"/>
  <c r="F5004" i="56" s="1"/>
  <c r="I5004" i="56"/>
  <c r="L5004" i="56"/>
  <c r="C5005" i="56"/>
  <c r="D5005" i="56" s="1"/>
  <c r="E5005" i="56"/>
  <c r="F5005" i="56" s="1"/>
  <c r="I5005" i="56"/>
  <c r="C5006" i="56"/>
  <c r="D5006" i="56" s="1"/>
  <c r="E5006" i="56"/>
  <c r="F5006" i="56" s="1"/>
  <c r="I5006" i="56"/>
  <c r="C5007" i="56"/>
  <c r="D5007" i="56" s="1"/>
  <c r="E5007" i="56"/>
  <c r="F5007" i="56" s="1"/>
  <c r="I5007" i="56"/>
  <c r="C5008" i="56"/>
  <c r="D5008" i="56" s="1"/>
  <c r="E5008" i="56"/>
  <c r="F5008" i="56" s="1"/>
  <c r="I5008" i="56"/>
  <c r="L5008" i="56"/>
  <c r="C5009" i="56"/>
  <c r="D5009" i="56" s="1"/>
  <c r="E5009" i="56"/>
  <c r="F5009" i="56" s="1"/>
  <c r="L5009" i="56"/>
  <c r="C5010" i="56"/>
  <c r="D5010" i="56" s="1"/>
  <c r="E5010" i="56"/>
  <c r="F5010" i="56" s="1"/>
  <c r="I5010" i="56"/>
  <c r="L5010" i="56"/>
  <c r="C5011" i="56"/>
  <c r="D5011" i="56" s="1"/>
  <c r="E5011" i="56"/>
  <c r="F5011" i="56" s="1"/>
  <c r="I5011" i="56"/>
  <c r="C5012" i="56"/>
  <c r="D5012" i="56" s="1"/>
  <c r="E5012" i="56"/>
  <c r="F5012" i="56" s="1"/>
  <c r="C5013" i="56"/>
  <c r="D5013" i="56" s="1"/>
  <c r="E5013" i="56"/>
  <c r="F5013" i="56" s="1"/>
  <c r="I5013" i="56"/>
  <c r="C5014" i="56"/>
  <c r="D5014" i="56" s="1"/>
  <c r="E5014" i="56"/>
  <c r="F5014" i="56" s="1"/>
  <c r="I5014" i="56"/>
  <c r="L5014" i="56"/>
  <c r="C5015" i="56"/>
  <c r="D5015" i="56" s="1"/>
  <c r="E5015" i="56"/>
  <c r="F5015" i="56" s="1"/>
  <c r="I5015" i="56"/>
  <c r="L5015" i="56"/>
  <c r="C5016" i="56"/>
  <c r="D5016" i="56" s="1"/>
  <c r="E5016" i="56"/>
  <c r="F5016" i="56" s="1"/>
  <c r="I5016" i="56"/>
  <c r="L5016" i="56"/>
  <c r="C5017" i="56"/>
  <c r="D5017" i="56" s="1"/>
  <c r="E5017" i="56"/>
  <c r="F5017" i="56" s="1"/>
  <c r="I5017" i="56"/>
  <c r="C5018" i="56"/>
  <c r="D5018" i="56" s="1"/>
  <c r="E5018" i="56"/>
  <c r="F5018" i="56" s="1"/>
  <c r="I5018" i="56"/>
  <c r="C5019" i="56"/>
  <c r="D5019" i="56" s="1"/>
  <c r="E5019" i="56"/>
  <c r="F5019" i="56" s="1"/>
  <c r="I5019" i="56"/>
  <c r="C5020" i="56"/>
  <c r="D5020" i="56" s="1"/>
  <c r="E5020" i="56"/>
  <c r="F5020" i="56" s="1"/>
  <c r="I5020" i="56"/>
  <c r="L5020" i="56"/>
  <c r="C5021" i="56"/>
  <c r="D5021" i="56" s="1"/>
  <c r="E5021" i="56"/>
  <c r="F5021" i="56" s="1"/>
  <c r="L5021" i="56"/>
  <c r="C5022" i="56"/>
  <c r="D5022" i="56" s="1"/>
  <c r="E5022" i="56"/>
  <c r="F5022" i="56" s="1"/>
  <c r="I5022" i="56"/>
  <c r="L5022" i="56"/>
  <c r="C5023" i="56"/>
  <c r="D5023" i="56" s="1"/>
  <c r="E5023" i="56"/>
  <c r="F5023" i="56" s="1"/>
  <c r="I5023" i="56"/>
  <c r="C5024" i="56"/>
  <c r="D5024" i="56" s="1"/>
  <c r="E5024" i="56"/>
  <c r="F5024" i="56" s="1"/>
  <c r="L5024" i="56"/>
  <c r="C5025" i="56"/>
  <c r="D5025" i="56" s="1"/>
  <c r="E5025" i="56"/>
  <c r="F5025" i="56" s="1"/>
  <c r="I5025" i="56"/>
  <c r="C5026" i="56"/>
  <c r="D5026" i="56" s="1"/>
  <c r="E5026" i="56"/>
  <c r="F5026" i="56" s="1"/>
  <c r="I5026" i="56"/>
  <c r="L5026" i="56"/>
  <c r="C5027" i="56"/>
  <c r="D5027" i="56" s="1"/>
  <c r="E5027" i="56"/>
  <c r="F5027" i="56" s="1"/>
  <c r="I5027" i="56"/>
  <c r="L5027" i="56"/>
  <c r="C5028" i="56"/>
  <c r="D5028" i="56" s="1"/>
  <c r="E5028" i="56"/>
  <c r="F5028" i="56" s="1"/>
  <c r="I5028" i="56"/>
  <c r="L5028" i="56"/>
  <c r="C5029" i="56"/>
  <c r="D5029" i="56" s="1"/>
  <c r="E5029" i="56"/>
  <c r="F5029" i="56" s="1"/>
  <c r="I5029" i="56"/>
  <c r="C5030" i="56"/>
  <c r="D5030" i="56" s="1"/>
  <c r="E5030" i="56"/>
  <c r="F5030" i="56" s="1"/>
  <c r="I5030" i="56"/>
  <c r="C5031" i="56"/>
  <c r="D5031" i="56" s="1"/>
  <c r="E5031" i="56"/>
  <c r="F5031" i="56" s="1"/>
  <c r="I5031" i="56"/>
  <c r="C5032" i="56"/>
  <c r="D5032" i="56" s="1"/>
  <c r="E5032" i="56"/>
  <c r="F5032" i="56" s="1"/>
  <c r="I5032" i="56"/>
  <c r="C5033" i="56"/>
  <c r="D5033" i="56"/>
  <c r="E5033" i="56"/>
  <c r="F5033" i="56" s="1"/>
  <c r="L5033" i="56"/>
  <c r="C5034" i="56"/>
  <c r="D5034" i="56" s="1"/>
  <c r="E5034" i="56"/>
  <c r="F5034" i="56" s="1"/>
  <c r="I5034" i="56"/>
  <c r="L5034" i="56"/>
  <c r="C5035" i="56"/>
  <c r="D5035" i="56" s="1"/>
  <c r="E5035" i="56"/>
  <c r="F5035" i="56" s="1"/>
  <c r="I5035" i="56"/>
  <c r="C5036" i="56"/>
  <c r="D5036" i="56" s="1"/>
  <c r="E5036" i="56"/>
  <c r="F5036" i="56" s="1"/>
  <c r="C5037" i="56"/>
  <c r="D5037" i="56" s="1"/>
  <c r="E5037" i="56"/>
  <c r="F5037" i="56" s="1"/>
  <c r="I5037" i="56"/>
  <c r="C5038" i="56"/>
  <c r="D5038" i="56" s="1"/>
  <c r="E5038" i="56"/>
  <c r="F5038" i="56" s="1"/>
  <c r="I5038" i="56"/>
  <c r="L5038" i="56"/>
  <c r="C5039" i="56"/>
  <c r="D5039" i="56" s="1"/>
  <c r="E5039" i="56"/>
  <c r="F5039" i="56" s="1"/>
  <c r="I5039" i="56"/>
  <c r="L5039" i="56"/>
  <c r="C5040" i="56"/>
  <c r="D5040" i="56" s="1"/>
  <c r="E5040" i="56"/>
  <c r="F5040" i="56" s="1"/>
  <c r="I5040" i="56"/>
  <c r="L5040" i="56"/>
  <c r="C5041" i="56"/>
  <c r="D5041" i="56" s="1"/>
  <c r="E5041" i="56"/>
  <c r="F5041" i="56" s="1"/>
  <c r="I5041" i="56"/>
  <c r="C5042" i="56"/>
  <c r="D5042" i="56" s="1"/>
  <c r="E5042" i="56"/>
  <c r="F5042" i="56" s="1"/>
  <c r="I5042" i="56"/>
  <c r="C5043" i="56"/>
  <c r="D5043" i="56" s="1"/>
  <c r="E5043" i="56"/>
  <c r="F5043" i="56" s="1"/>
  <c r="I5043" i="56"/>
  <c r="C5044" i="56"/>
  <c r="D5044" i="56" s="1"/>
  <c r="E5044" i="56"/>
  <c r="F5044" i="56" s="1"/>
  <c r="I5044" i="56"/>
  <c r="C5045" i="56"/>
  <c r="D5045" i="56" s="1"/>
  <c r="E5045" i="56"/>
  <c r="F5045" i="56" s="1"/>
  <c r="L5045" i="56"/>
  <c r="C5046" i="56"/>
  <c r="D5046" i="56" s="1"/>
  <c r="E5046" i="56"/>
  <c r="F5046" i="56" s="1"/>
  <c r="I5046" i="56"/>
  <c r="L5046" i="56"/>
  <c r="C5047" i="56"/>
  <c r="D5047" i="56" s="1"/>
  <c r="E5047" i="56"/>
  <c r="F5047" i="56" s="1"/>
  <c r="I5047" i="56"/>
  <c r="C5048" i="56"/>
  <c r="D5048" i="56" s="1"/>
  <c r="E5048" i="56"/>
  <c r="F5048" i="56" s="1"/>
  <c r="I5048" i="56"/>
  <c r="L5048" i="56"/>
  <c r="C5049" i="56"/>
  <c r="D5049" i="56" s="1"/>
  <c r="E5049" i="56"/>
  <c r="F5049" i="56" s="1"/>
  <c r="I5049" i="56"/>
  <c r="L5049" i="56"/>
  <c r="C5050" i="56"/>
  <c r="D5050" i="56" s="1"/>
  <c r="E5050" i="56"/>
  <c r="F5050" i="56" s="1"/>
  <c r="I5050" i="56"/>
  <c r="L5050" i="56"/>
  <c r="C5051" i="56"/>
  <c r="D5051" i="56" s="1"/>
  <c r="E5051" i="56"/>
  <c r="F5051" i="56" s="1"/>
  <c r="I5051" i="56"/>
  <c r="L5051" i="56"/>
  <c r="C5052" i="56"/>
  <c r="D5052" i="56" s="1"/>
  <c r="E5052" i="56"/>
  <c r="F5052" i="56" s="1"/>
  <c r="I5052" i="56"/>
  <c r="L5052" i="56"/>
  <c r="C5053" i="56"/>
  <c r="D5053" i="56" s="1"/>
  <c r="E5053" i="56"/>
  <c r="F5053" i="56" s="1"/>
  <c r="I5053" i="56"/>
  <c r="C5054" i="56"/>
  <c r="D5054" i="56" s="1"/>
  <c r="E5054" i="56"/>
  <c r="F5054" i="56" s="1"/>
  <c r="I5054" i="56"/>
  <c r="C5055" i="56"/>
  <c r="D5055" i="56" s="1"/>
  <c r="E5055" i="56"/>
  <c r="F5055" i="56" s="1"/>
  <c r="I5055" i="56"/>
  <c r="C5056" i="56"/>
  <c r="D5056" i="56" s="1"/>
  <c r="E5056" i="56"/>
  <c r="F5056" i="56" s="1"/>
  <c r="I5056" i="56"/>
  <c r="L5056" i="56"/>
  <c r="C5057" i="56"/>
  <c r="D5057" i="56" s="1"/>
  <c r="E5057" i="56"/>
  <c r="F5057" i="56" s="1"/>
  <c r="L5057" i="56"/>
  <c r="C5058" i="56"/>
  <c r="D5058" i="56" s="1"/>
  <c r="E5058" i="56"/>
  <c r="F5058" i="56" s="1"/>
  <c r="I5058" i="56"/>
  <c r="L5058" i="56"/>
  <c r="C5059" i="56"/>
  <c r="D5059" i="56" s="1"/>
  <c r="E5059" i="56"/>
  <c r="F5059" i="56" s="1"/>
  <c r="I5059" i="56"/>
  <c r="C5060" i="56"/>
  <c r="D5060" i="56" s="1"/>
  <c r="E5060" i="56"/>
  <c r="F5060" i="56" s="1"/>
  <c r="I5060" i="56"/>
  <c r="C5061" i="56"/>
  <c r="D5061" i="56" s="1"/>
  <c r="E5061" i="56"/>
  <c r="F5061" i="56" s="1"/>
  <c r="I5061" i="56"/>
  <c r="L5061" i="56"/>
  <c r="C5062" i="56"/>
  <c r="D5062" i="56" s="1"/>
  <c r="E5062" i="56"/>
  <c r="F5062" i="56" s="1"/>
  <c r="I5062" i="56"/>
  <c r="L5062" i="56"/>
  <c r="C5063" i="56"/>
  <c r="D5063" i="56" s="1"/>
  <c r="E5063" i="56"/>
  <c r="F5063" i="56" s="1"/>
  <c r="I5063" i="56"/>
  <c r="L5063" i="56"/>
  <c r="C5064" i="56"/>
  <c r="D5064" i="56" s="1"/>
  <c r="E5064" i="56"/>
  <c r="F5064" i="56" s="1"/>
  <c r="I5064" i="56"/>
  <c r="L5064" i="56"/>
  <c r="C5065" i="56"/>
  <c r="D5065" i="56" s="1"/>
  <c r="E5065" i="56"/>
  <c r="F5065" i="56" s="1"/>
  <c r="I5065" i="56"/>
  <c r="C5066" i="56"/>
  <c r="D5066" i="56" s="1"/>
  <c r="E5066" i="56"/>
  <c r="F5066" i="56" s="1"/>
  <c r="I5066" i="56"/>
  <c r="C5067" i="56"/>
  <c r="D5067" i="56" s="1"/>
  <c r="E5067" i="56"/>
  <c r="F5067" i="56" s="1"/>
  <c r="I5067" i="56"/>
  <c r="C5068" i="56"/>
  <c r="D5068" i="56" s="1"/>
  <c r="E5068" i="56"/>
  <c r="F5068" i="56" s="1"/>
  <c r="I5068" i="56"/>
  <c r="L5068" i="56"/>
  <c r="C5069" i="56"/>
  <c r="D5069" i="56" s="1"/>
  <c r="E5069" i="56"/>
  <c r="F5069" i="56" s="1"/>
  <c r="L5069" i="56"/>
  <c r="C5070" i="56"/>
  <c r="D5070" i="56" s="1"/>
  <c r="E5070" i="56"/>
  <c r="F5070" i="56" s="1"/>
  <c r="I5070" i="56"/>
  <c r="L5070" i="56"/>
  <c r="C5071" i="56"/>
  <c r="D5071" i="56" s="1"/>
  <c r="E5071" i="56"/>
  <c r="F5071" i="56" s="1"/>
  <c r="I5071" i="56"/>
  <c r="C5072" i="56"/>
  <c r="D5072" i="56" s="1"/>
  <c r="E5072" i="56"/>
  <c r="F5072" i="56" s="1"/>
  <c r="C5073" i="56"/>
  <c r="D5073" i="56" s="1"/>
  <c r="E5073" i="56"/>
  <c r="F5073" i="56" s="1"/>
  <c r="I5073" i="56"/>
  <c r="L5073" i="56"/>
  <c r="C5074" i="56"/>
  <c r="D5074" i="56" s="1"/>
  <c r="E5074" i="56"/>
  <c r="F5074" i="56" s="1"/>
  <c r="I5074" i="56"/>
  <c r="L5074" i="56"/>
  <c r="C5075" i="56"/>
  <c r="D5075" i="56" s="1"/>
  <c r="E5075" i="56"/>
  <c r="F5075" i="56" s="1"/>
  <c r="I5075" i="56"/>
  <c r="L5075" i="56"/>
  <c r="C5076" i="56"/>
  <c r="D5076" i="56" s="1"/>
  <c r="E5076" i="56"/>
  <c r="F5076" i="56" s="1"/>
  <c r="I5076" i="56"/>
  <c r="L5076" i="56"/>
  <c r="C5077" i="56"/>
  <c r="D5077" i="56" s="1"/>
  <c r="E5077" i="56"/>
  <c r="F5077" i="56" s="1"/>
  <c r="I5077" i="56"/>
  <c r="C5078" i="56"/>
  <c r="D5078" i="56" s="1"/>
  <c r="E5078" i="56"/>
  <c r="F5078" i="56" s="1"/>
  <c r="I5078" i="56"/>
  <c r="C5079" i="56"/>
  <c r="D5079" i="56" s="1"/>
  <c r="E5079" i="56"/>
  <c r="F5079" i="56" s="1"/>
  <c r="I5079" i="56"/>
  <c r="C5080" i="56"/>
  <c r="D5080" i="56" s="1"/>
  <c r="E5080" i="56"/>
  <c r="F5080" i="56" s="1"/>
  <c r="I5080" i="56"/>
  <c r="C5081" i="56"/>
  <c r="D5081" i="56" s="1"/>
  <c r="E5081" i="56"/>
  <c r="F5081" i="56" s="1"/>
  <c r="L5081" i="56"/>
  <c r="C5082" i="56"/>
  <c r="D5082" i="56" s="1"/>
  <c r="E5082" i="56"/>
  <c r="F5082" i="56" s="1"/>
  <c r="I5082" i="56"/>
  <c r="L5082" i="56"/>
  <c r="C5083" i="56"/>
  <c r="D5083" i="56" s="1"/>
  <c r="E5083" i="56"/>
  <c r="F5083" i="56" s="1"/>
  <c r="I5083" i="56"/>
  <c r="C5084" i="56"/>
  <c r="D5084" i="56" s="1"/>
  <c r="E5084" i="56"/>
  <c r="F5084" i="56" s="1"/>
  <c r="C5085" i="56"/>
  <c r="D5085" i="56" s="1"/>
  <c r="E5085" i="56"/>
  <c r="F5085" i="56" s="1"/>
  <c r="I5085" i="56"/>
  <c r="L5085" i="56"/>
  <c r="C5086" i="56"/>
  <c r="D5086" i="56" s="1"/>
  <c r="E5086" i="56"/>
  <c r="F5086" i="56" s="1"/>
  <c r="I5086" i="56"/>
  <c r="L5086" i="56"/>
  <c r="C5087" i="56"/>
  <c r="D5087" i="56" s="1"/>
  <c r="E5087" i="56"/>
  <c r="F5087" i="56" s="1"/>
  <c r="I5087" i="56"/>
  <c r="L5087" i="56"/>
  <c r="C5088" i="56"/>
  <c r="D5088" i="56" s="1"/>
  <c r="E5088" i="56"/>
  <c r="F5088" i="56" s="1"/>
  <c r="I5088" i="56"/>
  <c r="L5088" i="56"/>
  <c r="C5089" i="56"/>
  <c r="D5089" i="56" s="1"/>
  <c r="E5089" i="56"/>
  <c r="F5089" i="56" s="1"/>
  <c r="I5089" i="56"/>
  <c r="C5090" i="56"/>
  <c r="D5090" i="56" s="1"/>
  <c r="E5090" i="56"/>
  <c r="F5090" i="56" s="1"/>
  <c r="I5090" i="56"/>
  <c r="C5091" i="56"/>
  <c r="D5091" i="56" s="1"/>
  <c r="E5091" i="56"/>
  <c r="F5091" i="56" s="1"/>
  <c r="I5091" i="56"/>
  <c r="C5092" i="56"/>
  <c r="D5092" i="56" s="1"/>
  <c r="E5092" i="56"/>
  <c r="F5092" i="56" s="1"/>
  <c r="I5092" i="56"/>
  <c r="L5092" i="56"/>
  <c r="C5093" i="56"/>
  <c r="D5093" i="56" s="1"/>
  <c r="E5093" i="56"/>
  <c r="F5093" i="56" s="1"/>
  <c r="L5093" i="56"/>
  <c r="C5094" i="56"/>
  <c r="D5094" i="56" s="1"/>
  <c r="E5094" i="56"/>
  <c r="F5094" i="56" s="1"/>
  <c r="I5094" i="56"/>
  <c r="L5094" i="56"/>
  <c r="C5095" i="56"/>
  <c r="D5095" i="56" s="1"/>
  <c r="E5095" i="56"/>
  <c r="F5095" i="56" s="1"/>
  <c r="I5095" i="56"/>
  <c r="C5096" i="56"/>
  <c r="D5096" i="56" s="1"/>
  <c r="E5096" i="56"/>
  <c r="F5096" i="56" s="1"/>
  <c r="C5097" i="56"/>
  <c r="D5097" i="56" s="1"/>
  <c r="E5097" i="56"/>
  <c r="F5097" i="56" s="1"/>
  <c r="I5097" i="56"/>
  <c r="L5097" i="56"/>
  <c r="C5098" i="56"/>
  <c r="D5098" i="56" s="1"/>
  <c r="E5098" i="56"/>
  <c r="F5098" i="56" s="1"/>
  <c r="I5098" i="56"/>
  <c r="L5098" i="56"/>
  <c r="C5099" i="56"/>
  <c r="D5099" i="56" s="1"/>
  <c r="E5099" i="56"/>
  <c r="F5099" i="56" s="1"/>
  <c r="I5099" i="56"/>
  <c r="L5099" i="56"/>
  <c r="C5100" i="56"/>
  <c r="D5100" i="56" s="1"/>
  <c r="E5100" i="56"/>
  <c r="F5100" i="56" s="1"/>
  <c r="I5100" i="56"/>
  <c r="L5100" i="56"/>
  <c r="C5101" i="56"/>
  <c r="D5101" i="56" s="1"/>
  <c r="E5101" i="56"/>
  <c r="F5101" i="56" s="1"/>
  <c r="I5101" i="56"/>
  <c r="C5102" i="56"/>
  <c r="D5102" i="56" s="1"/>
  <c r="E5102" i="56"/>
  <c r="F5102" i="56" s="1"/>
  <c r="I5102" i="56"/>
  <c r="C5103" i="56"/>
  <c r="D5103" i="56" s="1"/>
  <c r="E5103" i="56"/>
  <c r="F5103" i="56" s="1"/>
  <c r="I5103" i="56"/>
  <c r="C5104" i="56"/>
  <c r="D5104" i="56" s="1"/>
  <c r="E5104" i="56"/>
  <c r="F5104" i="56" s="1"/>
  <c r="I5104" i="56"/>
  <c r="L5104" i="56"/>
  <c r="C5105" i="56"/>
  <c r="D5105" i="56" s="1"/>
  <c r="E5105" i="56"/>
  <c r="F5105" i="56" s="1"/>
  <c r="L5105" i="56"/>
  <c r="C5106" i="56"/>
  <c r="D5106" i="56" s="1"/>
  <c r="E5106" i="56"/>
  <c r="F5106" i="56" s="1"/>
  <c r="I5106" i="56"/>
  <c r="L5106" i="56"/>
  <c r="C5107" i="56"/>
  <c r="D5107" i="56" s="1"/>
  <c r="E5107" i="56"/>
  <c r="F5107" i="56" s="1"/>
  <c r="I5107" i="56"/>
  <c r="C5108" i="56"/>
  <c r="D5108" i="56" s="1"/>
  <c r="E5108" i="56"/>
  <c r="F5108" i="56" s="1"/>
  <c r="C5109" i="56"/>
  <c r="D5109" i="56" s="1"/>
  <c r="E5109" i="56"/>
  <c r="F5109" i="56" s="1"/>
  <c r="I5109" i="56"/>
  <c r="L5109" i="56"/>
  <c r="C5110" i="56"/>
  <c r="D5110" i="56" s="1"/>
  <c r="E5110" i="56"/>
  <c r="F5110" i="56" s="1"/>
  <c r="I5110" i="56"/>
  <c r="L5110" i="56"/>
  <c r="C5111" i="56"/>
  <c r="D5111" i="56" s="1"/>
  <c r="E5111" i="56"/>
  <c r="F5111" i="56" s="1"/>
  <c r="I5111" i="56"/>
  <c r="C5112" i="56"/>
  <c r="D5112" i="56" s="1"/>
  <c r="E5112" i="56"/>
  <c r="F5112" i="56" s="1"/>
  <c r="I5112" i="56"/>
  <c r="L5112" i="56"/>
  <c r="C5113" i="56"/>
  <c r="D5113" i="56" s="1"/>
  <c r="E5113" i="56"/>
  <c r="F5113" i="56" s="1"/>
  <c r="I5113" i="56"/>
  <c r="C5114" i="56"/>
  <c r="D5114" i="56" s="1"/>
  <c r="E5114" i="56"/>
  <c r="F5114" i="56" s="1"/>
  <c r="I5114" i="56"/>
  <c r="C5115" i="56"/>
  <c r="D5115" i="56" s="1"/>
  <c r="E5115" i="56"/>
  <c r="F5115" i="56" s="1"/>
  <c r="I5115" i="56"/>
  <c r="C5116" i="56"/>
  <c r="D5116" i="56" s="1"/>
  <c r="E5116" i="56"/>
  <c r="F5116" i="56" s="1"/>
  <c r="I5116" i="56"/>
  <c r="C5117" i="56"/>
  <c r="D5117" i="56" s="1"/>
  <c r="E5117" i="56"/>
  <c r="F5117" i="56" s="1"/>
  <c r="L5117" i="56"/>
  <c r="C5118" i="56"/>
  <c r="D5118" i="56" s="1"/>
  <c r="E5118" i="56"/>
  <c r="F5118" i="56" s="1"/>
  <c r="I5118" i="56"/>
  <c r="L5118" i="56"/>
  <c r="C5119" i="56"/>
  <c r="D5119" i="56" s="1"/>
  <c r="E5119" i="56"/>
  <c r="F5119" i="56" s="1"/>
  <c r="I5119" i="56"/>
  <c r="C5120" i="56"/>
  <c r="D5120" i="56" s="1"/>
  <c r="E5120" i="56"/>
  <c r="F5120" i="56" s="1"/>
  <c r="I5120" i="56"/>
  <c r="C5121" i="56"/>
  <c r="D5121" i="56" s="1"/>
  <c r="E5121" i="56"/>
  <c r="F5121" i="56"/>
  <c r="I5121" i="56"/>
  <c r="L5121" i="56"/>
  <c r="C5122" i="56"/>
  <c r="D5122" i="56" s="1"/>
  <c r="E5122" i="56"/>
  <c r="F5122" i="56" s="1"/>
  <c r="I5122" i="56"/>
  <c r="L5122" i="56"/>
  <c r="C5123" i="56"/>
  <c r="D5123" i="56" s="1"/>
  <c r="E5123" i="56"/>
  <c r="F5123" i="56" s="1"/>
  <c r="I5123" i="56"/>
  <c r="L5123" i="56"/>
  <c r="C5124" i="56"/>
  <c r="D5124" i="56" s="1"/>
  <c r="E5124" i="56"/>
  <c r="F5124" i="56" s="1"/>
  <c r="I5124" i="56"/>
  <c r="L5124" i="56"/>
  <c r="C5125" i="56"/>
  <c r="D5125" i="56" s="1"/>
  <c r="E5125" i="56"/>
  <c r="F5125" i="56" s="1"/>
  <c r="I5125" i="56"/>
  <c r="C5126" i="56"/>
  <c r="D5126" i="56" s="1"/>
  <c r="E5126" i="56"/>
  <c r="F5126" i="56" s="1"/>
  <c r="I5126" i="56"/>
  <c r="C5127" i="56"/>
  <c r="D5127" i="56" s="1"/>
  <c r="E5127" i="56"/>
  <c r="F5127" i="56" s="1"/>
  <c r="I5127" i="56"/>
  <c r="C5128" i="56"/>
  <c r="D5128" i="56" s="1"/>
  <c r="E5128" i="56"/>
  <c r="F5128" i="56" s="1"/>
  <c r="I5128" i="56"/>
  <c r="C5129" i="56"/>
  <c r="D5129" i="56"/>
  <c r="E5129" i="56"/>
  <c r="F5129" i="56" s="1"/>
  <c r="C5130" i="56"/>
  <c r="D5130" i="56" s="1"/>
  <c r="E5130" i="56"/>
  <c r="F5130" i="56" s="1"/>
  <c r="I5130" i="56"/>
  <c r="L5130" i="56"/>
  <c r="C5131" i="56"/>
  <c r="D5131" i="56" s="1"/>
  <c r="E5131" i="56"/>
  <c r="F5131" i="56" s="1"/>
  <c r="I5131" i="56"/>
  <c r="C5132" i="56"/>
  <c r="D5132" i="56"/>
  <c r="E5132" i="56"/>
  <c r="F5132" i="56" s="1"/>
  <c r="C5133" i="56"/>
  <c r="D5133" i="56" s="1"/>
  <c r="E5133" i="56"/>
  <c r="F5133" i="56" s="1"/>
  <c r="I5133" i="56"/>
  <c r="L5133" i="56"/>
  <c r="C5134" i="56"/>
  <c r="D5134" i="56" s="1"/>
  <c r="E5134" i="56"/>
  <c r="F5134" i="56" s="1"/>
  <c r="I5134" i="56"/>
  <c r="L5134" i="56"/>
  <c r="C5135" i="56"/>
  <c r="D5135" i="56" s="1"/>
  <c r="E5135" i="56"/>
  <c r="F5135" i="56"/>
  <c r="I5135" i="56"/>
  <c r="L5135" i="56"/>
  <c r="C5136" i="56"/>
  <c r="D5136" i="56" s="1"/>
  <c r="E5136" i="56"/>
  <c r="F5136" i="56" s="1"/>
  <c r="I5136" i="56"/>
  <c r="C5137" i="56"/>
  <c r="D5137" i="56" s="1"/>
  <c r="E5137" i="56"/>
  <c r="F5137" i="56" s="1"/>
  <c r="I5137" i="56"/>
  <c r="C5138" i="56"/>
  <c r="D5138" i="56" s="1"/>
  <c r="E5138" i="56"/>
  <c r="F5138" i="56" s="1"/>
  <c r="I5138" i="56"/>
  <c r="C5139" i="56"/>
  <c r="D5139" i="56" s="1"/>
  <c r="E5139" i="56"/>
  <c r="F5139" i="56" s="1"/>
  <c r="I5139" i="56"/>
  <c r="C5140" i="56"/>
  <c r="D5140" i="56" s="1"/>
  <c r="E5140" i="56"/>
  <c r="F5140" i="56" s="1"/>
  <c r="I5140" i="56"/>
  <c r="C5141" i="56"/>
  <c r="D5141" i="56" s="1"/>
  <c r="E5141" i="56"/>
  <c r="F5141" i="56" s="1"/>
  <c r="L5141" i="56"/>
  <c r="C5142" i="56"/>
  <c r="D5142" i="56" s="1"/>
  <c r="E5142" i="56"/>
  <c r="F5142" i="56" s="1"/>
  <c r="I5142" i="56"/>
  <c r="L5142" i="56"/>
  <c r="C5143" i="56"/>
  <c r="D5143" i="56" s="1"/>
  <c r="E5143" i="56"/>
  <c r="F5143" i="56" s="1"/>
  <c r="I5143" i="56"/>
  <c r="L5143" i="56"/>
  <c r="C5144" i="56"/>
  <c r="D5144" i="56" s="1"/>
  <c r="E5144" i="56"/>
  <c r="F5144" i="56" s="1"/>
  <c r="C5145" i="56"/>
  <c r="D5145" i="56" s="1"/>
  <c r="E5145" i="56"/>
  <c r="F5145" i="56" s="1"/>
  <c r="I5145" i="56"/>
  <c r="L5145" i="56"/>
  <c r="C5146" i="56"/>
  <c r="D5146" i="56" s="1"/>
  <c r="E5146" i="56"/>
  <c r="F5146" i="56" s="1"/>
  <c r="I5146" i="56"/>
  <c r="C5147" i="56"/>
  <c r="D5147" i="56" s="1"/>
  <c r="E5147" i="56"/>
  <c r="F5147" i="56" s="1"/>
  <c r="I5147" i="56"/>
  <c r="L5147" i="56"/>
  <c r="C5148" i="56"/>
  <c r="D5148" i="56" s="1"/>
  <c r="E5148" i="56"/>
  <c r="F5148" i="56" s="1"/>
  <c r="I5148" i="56"/>
  <c r="L5148" i="56"/>
  <c r="C5149" i="56"/>
  <c r="D5149" i="56" s="1"/>
  <c r="E5149" i="56"/>
  <c r="F5149" i="56" s="1"/>
  <c r="I5149" i="56"/>
  <c r="C5150" i="56"/>
  <c r="D5150" i="56" s="1"/>
  <c r="E5150" i="56"/>
  <c r="F5150" i="56" s="1"/>
  <c r="I5150" i="56"/>
  <c r="C5151" i="56"/>
  <c r="D5151" i="56" s="1"/>
  <c r="E5151" i="56"/>
  <c r="F5151" i="56" s="1"/>
  <c r="I5151" i="56"/>
  <c r="C5152" i="56"/>
  <c r="D5152" i="56" s="1"/>
  <c r="E5152" i="56"/>
  <c r="F5152" i="56" s="1"/>
  <c r="I5152" i="56"/>
  <c r="L5152" i="56"/>
  <c r="C5153" i="56"/>
  <c r="D5153" i="56" s="1"/>
  <c r="E5153" i="56"/>
  <c r="F5153" i="56" s="1"/>
  <c r="C5154" i="56"/>
  <c r="D5154" i="56" s="1"/>
  <c r="E5154" i="56"/>
  <c r="F5154" i="56" s="1"/>
  <c r="I5154" i="56"/>
  <c r="L5154" i="56"/>
  <c r="C5155" i="56"/>
  <c r="D5155" i="56" s="1"/>
  <c r="E5155" i="56"/>
  <c r="F5155" i="56" s="1"/>
  <c r="I5155" i="56"/>
  <c r="C5156" i="56"/>
  <c r="D5156" i="56" s="1"/>
  <c r="E5156" i="56"/>
  <c r="F5156" i="56"/>
  <c r="C5157" i="56"/>
  <c r="D5157" i="56" s="1"/>
  <c r="E5157" i="56"/>
  <c r="F5157" i="56" s="1"/>
  <c r="I5157" i="56"/>
  <c r="L5157" i="56"/>
  <c r="C5158" i="56"/>
  <c r="D5158" i="56" s="1"/>
  <c r="E5158" i="56"/>
  <c r="F5158" i="56" s="1"/>
  <c r="I5158" i="56"/>
  <c r="L5158" i="56"/>
  <c r="C5159" i="56"/>
  <c r="D5159" i="56" s="1"/>
  <c r="E5159" i="56"/>
  <c r="F5159" i="56" s="1"/>
  <c r="I5159" i="56"/>
  <c r="L5159" i="56"/>
  <c r="C5160" i="56"/>
  <c r="D5160" i="56" s="1"/>
  <c r="E5160" i="56"/>
  <c r="F5160" i="56" s="1"/>
  <c r="I5160" i="56"/>
  <c r="L5160" i="56"/>
  <c r="C5161" i="56"/>
  <c r="D5161" i="56" s="1"/>
  <c r="E5161" i="56"/>
  <c r="F5161" i="56" s="1"/>
  <c r="I5161" i="56"/>
  <c r="C5162" i="56"/>
  <c r="D5162" i="56" s="1"/>
  <c r="E5162" i="56"/>
  <c r="F5162" i="56" s="1"/>
  <c r="I5162" i="56"/>
  <c r="C5163" i="56"/>
  <c r="D5163" i="56" s="1"/>
  <c r="E5163" i="56"/>
  <c r="F5163" i="56" s="1"/>
  <c r="I5163" i="56"/>
  <c r="C5164" i="56"/>
  <c r="D5164" i="56" s="1"/>
  <c r="E5164" i="56"/>
  <c r="F5164" i="56" s="1"/>
  <c r="I5164" i="56"/>
  <c r="C5165" i="56"/>
  <c r="D5165" i="56" s="1"/>
  <c r="E5165" i="56"/>
  <c r="F5165" i="56" s="1"/>
  <c r="L5165" i="56"/>
  <c r="C5166" i="56"/>
  <c r="D5166" i="56" s="1"/>
  <c r="E5166" i="56"/>
  <c r="F5166" i="56" s="1"/>
  <c r="I5166" i="56"/>
  <c r="L5166" i="56"/>
  <c r="C5167" i="56"/>
  <c r="D5167" i="56" s="1"/>
  <c r="E5167" i="56"/>
  <c r="F5167" i="56" s="1"/>
  <c r="I5167" i="56"/>
  <c r="C5168" i="56"/>
  <c r="D5168" i="56" s="1"/>
  <c r="E5168" i="56"/>
  <c r="F5168" i="56" s="1"/>
  <c r="C5169" i="56"/>
  <c r="D5169" i="56" s="1"/>
  <c r="E5169" i="56"/>
  <c r="F5169" i="56" s="1"/>
  <c r="I5169" i="56"/>
  <c r="L5169" i="56"/>
  <c r="C5170" i="56"/>
  <c r="D5170" i="56" s="1"/>
  <c r="E5170" i="56"/>
  <c r="F5170" i="56" s="1"/>
  <c r="I5170" i="56"/>
  <c r="L5170" i="56"/>
  <c r="C5171" i="56"/>
  <c r="D5171" i="56" s="1"/>
  <c r="E5171" i="56"/>
  <c r="F5171" i="56" s="1"/>
  <c r="I5171" i="56"/>
  <c r="L5171" i="56"/>
  <c r="C5172" i="56"/>
  <c r="D5172" i="56" s="1"/>
  <c r="E5172" i="56"/>
  <c r="F5172" i="56" s="1"/>
  <c r="I5172" i="56"/>
  <c r="L5172" i="56"/>
  <c r="C5173" i="56"/>
  <c r="D5173" i="56" s="1"/>
  <c r="E5173" i="56"/>
  <c r="F5173" i="56" s="1"/>
  <c r="I5173" i="56"/>
  <c r="C5174" i="56"/>
  <c r="D5174" i="56" s="1"/>
  <c r="E5174" i="56"/>
  <c r="F5174" i="56" s="1"/>
  <c r="I5174" i="56"/>
  <c r="C5175" i="56"/>
  <c r="D5175" i="56" s="1"/>
  <c r="E5175" i="56"/>
  <c r="F5175" i="56" s="1"/>
  <c r="I5175" i="56"/>
  <c r="C5176" i="56"/>
  <c r="D5176" i="56" s="1"/>
  <c r="E5176" i="56"/>
  <c r="F5176" i="56" s="1"/>
  <c r="I5176" i="56"/>
  <c r="C5177" i="56"/>
  <c r="D5177" i="56" s="1"/>
  <c r="E5177" i="56"/>
  <c r="F5177" i="56" s="1"/>
  <c r="L5177" i="56"/>
  <c r="C5178" i="56"/>
  <c r="D5178" i="56" s="1"/>
  <c r="E5178" i="56"/>
  <c r="F5178" i="56" s="1"/>
  <c r="I5178" i="56"/>
  <c r="L5178" i="56"/>
  <c r="C5179" i="56"/>
  <c r="D5179" i="56" s="1"/>
  <c r="E5179" i="56"/>
  <c r="F5179" i="56" s="1"/>
  <c r="I5179" i="56"/>
  <c r="C5180" i="56"/>
  <c r="D5180" i="56" s="1"/>
  <c r="E5180" i="56"/>
  <c r="F5180" i="56" s="1"/>
  <c r="C5181" i="56"/>
  <c r="D5181" i="56" s="1"/>
  <c r="E5181" i="56"/>
  <c r="F5181" i="56" s="1"/>
  <c r="I5181" i="56"/>
  <c r="L5181" i="56"/>
  <c r="C5182" i="56"/>
  <c r="D5182" i="56" s="1"/>
  <c r="E5182" i="56"/>
  <c r="F5182" i="56" s="1"/>
  <c r="I5182" i="56"/>
  <c r="L5182" i="56"/>
  <c r="C5183" i="56"/>
  <c r="D5183" i="56" s="1"/>
  <c r="E5183" i="56"/>
  <c r="F5183" i="56" s="1"/>
  <c r="I5183" i="56"/>
  <c r="L5183" i="56"/>
  <c r="C5184" i="56"/>
  <c r="D5184" i="56" s="1"/>
  <c r="E5184" i="56"/>
  <c r="F5184" i="56" s="1"/>
  <c r="I5184" i="56"/>
  <c r="L5184" i="56"/>
  <c r="C5185" i="56"/>
  <c r="D5185" i="56" s="1"/>
  <c r="E5185" i="56"/>
  <c r="F5185" i="56" s="1"/>
  <c r="I5185" i="56"/>
  <c r="C5186" i="56"/>
  <c r="D5186" i="56" s="1"/>
  <c r="E5186" i="56"/>
  <c r="F5186" i="56" s="1"/>
  <c r="I5186" i="56"/>
  <c r="C5187" i="56"/>
  <c r="D5187" i="56" s="1"/>
  <c r="E5187" i="56"/>
  <c r="F5187" i="56" s="1"/>
  <c r="I5187" i="56"/>
  <c r="C5188" i="56"/>
  <c r="D5188" i="56" s="1"/>
  <c r="E5188" i="56"/>
  <c r="F5188" i="56" s="1"/>
  <c r="I5188" i="56"/>
  <c r="C5189" i="56"/>
  <c r="D5189" i="56" s="1"/>
  <c r="E5189" i="56"/>
  <c r="F5189" i="56" s="1"/>
  <c r="L5189" i="56"/>
  <c r="C5190" i="56"/>
  <c r="D5190" i="56" s="1"/>
  <c r="E5190" i="56"/>
  <c r="F5190" i="56" s="1"/>
  <c r="I5190" i="56"/>
  <c r="L5190" i="56"/>
  <c r="C5191" i="56"/>
  <c r="D5191" i="56" s="1"/>
  <c r="E5191" i="56"/>
  <c r="F5191" i="56" s="1"/>
  <c r="I5191" i="56"/>
  <c r="C5192" i="56"/>
  <c r="D5192" i="56" s="1"/>
  <c r="E5192" i="56"/>
  <c r="F5192" i="56" s="1"/>
  <c r="C5193" i="56"/>
  <c r="D5193" i="56" s="1"/>
  <c r="E5193" i="56"/>
  <c r="F5193" i="56" s="1"/>
  <c r="I5193" i="56"/>
  <c r="L5193" i="56"/>
  <c r="C5194" i="56"/>
  <c r="D5194" i="56" s="1"/>
  <c r="E5194" i="56"/>
  <c r="F5194" i="56" s="1"/>
  <c r="I5194" i="56"/>
  <c r="L5194" i="56"/>
  <c r="C5195" i="56"/>
  <c r="D5195" i="56" s="1"/>
  <c r="E5195" i="56"/>
  <c r="F5195" i="56" s="1"/>
  <c r="I5195" i="56"/>
  <c r="L5195" i="56"/>
  <c r="C5196" i="56"/>
  <c r="D5196" i="56" s="1"/>
  <c r="E5196" i="56"/>
  <c r="F5196" i="56" s="1"/>
  <c r="I5196" i="56"/>
  <c r="L5196" i="56"/>
  <c r="C5197" i="56"/>
  <c r="D5197" i="56" s="1"/>
  <c r="E5197" i="56"/>
  <c r="F5197" i="56" s="1"/>
  <c r="I5197" i="56"/>
  <c r="C5198" i="56"/>
  <c r="D5198" i="56" s="1"/>
  <c r="E5198" i="56"/>
  <c r="F5198" i="56" s="1"/>
  <c r="I5198" i="56"/>
  <c r="C5199" i="56"/>
  <c r="D5199" i="56" s="1"/>
  <c r="E5199" i="56"/>
  <c r="F5199" i="56" s="1"/>
  <c r="I5199" i="56"/>
  <c r="C5200" i="56"/>
  <c r="D5200" i="56" s="1"/>
  <c r="E5200" i="56"/>
  <c r="F5200" i="56" s="1"/>
  <c r="I5200" i="56"/>
  <c r="C5201" i="56"/>
  <c r="D5201" i="56" s="1"/>
  <c r="E5201" i="56"/>
  <c r="F5201" i="56" s="1"/>
  <c r="L5201" i="56"/>
  <c r="C5202" i="56"/>
  <c r="D5202" i="56" s="1"/>
  <c r="E5202" i="56"/>
  <c r="F5202" i="56" s="1"/>
  <c r="I5202" i="56"/>
  <c r="L5202" i="56"/>
  <c r="C5203" i="56"/>
  <c r="D5203" i="56" s="1"/>
  <c r="E5203" i="56"/>
  <c r="F5203" i="56" s="1"/>
  <c r="I5203" i="56"/>
  <c r="C5204" i="56"/>
  <c r="D5204" i="56" s="1"/>
  <c r="E5204" i="56"/>
  <c r="F5204" i="56" s="1"/>
  <c r="C5205" i="56"/>
  <c r="D5205" i="56" s="1"/>
  <c r="E5205" i="56"/>
  <c r="F5205" i="56" s="1"/>
  <c r="I5205" i="56"/>
  <c r="L5205" i="56"/>
  <c r="C5206" i="56"/>
  <c r="D5206" i="56" s="1"/>
  <c r="E5206" i="56"/>
  <c r="F5206" i="56" s="1"/>
  <c r="I5206" i="56"/>
  <c r="L5206" i="56"/>
  <c r="C5207" i="56"/>
  <c r="D5207" i="56" s="1"/>
  <c r="E5207" i="56"/>
  <c r="F5207" i="56" s="1"/>
  <c r="I5207" i="56"/>
  <c r="L5207" i="56"/>
  <c r="C5208" i="56"/>
  <c r="D5208" i="56" s="1"/>
  <c r="E5208" i="56"/>
  <c r="F5208" i="56" s="1"/>
  <c r="I5208" i="56"/>
  <c r="L5208" i="56"/>
  <c r="C5209" i="56"/>
  <c r="D5209" i="56" s="1"/>
  <c r="E5209" i="56"/>
  <c r="F5209" i="56" s="1"/>
  <c r="I5209" i="56"/>
  <c r="C5210" i="56"/>
  <c r="D5210" i="56" s="1"/>
  <c r="E5210" i="56"/>
  <c r="F5210" i="56" s="1"/>
  <c r="I5210" i="56"/>
  <c r="C5211" i="56"/>
  <c r="D5211" i="56" s="1"/>
  <c r="E5211" i="56"/>
  <c r="F5211" i="56" s="1"/>
  <c r="I5211" i="56"/>
  <c r="C5212" i="56"/>
  <c r="D5212" i="56" s="1"/>
  <c r="E5212" i="56"/>
  <c r="F5212" i="56" s="1"/>
  <c r="I5212" i="56"/>
  <c r="L5212" i="56"/>
  <c r="C5213" i="56"/>
  <c r="D5213" i="56" s="1"/>
  <c r="E5213" i="56"/>
  <c r="F5213" i="56" s="1"/>
  <c r="L5213" i="56"/>
  <c r="C5214" i="56"/>
  <c r="D5214" i="56" s="1"/>
  <c r="E5214" i="56"/>
  <c r="F5214" i="56" s="1"/>
  <c r="I5214" i="56"/>
  <c r="L5214" i="56"/>
  <c r="C5215" i="56"/>
  <c r="D5215" i="56"/>
  <c r="E5215" i="56"/>
  <c r="F5215" i="56" s="1"/>
  <c r="I5215" i="56"/>
  <c r="L5215" i="56"/>
  <c r="C5216" i="56"/>
  <c r="D5216" i="56" s="1"/>
  <c r="E5216" i="56"/>
  <c r="F5216" i="56" s="1"/>
  <c r="C5217" i="56"/>
  <c r="D5217" i="56" s="1"/>
  <c r="E5217" i="56"/>
  <c r="F5217" i="56" s="1"/>
  <c r="I5217" i="56"/>
  <c r="L5217" i="56"/>
  <c r="C5218" i="56"/>
  <c r="D5218" i="56" s="1"/>
  <c r="E5218" i="56"/>
  <c r="F5218" i="56" s="1"/>
  <c r="I5218" i="56"/>
  <c r="L5218" i="56"/>
  <c r="C5219" i="56"/>
  <c r="D5219" i="56" s="1"/>
  <c r="E5219" i="56"/>
  <c r="F5219" i="56" s="1"/>
  <c r="I5219" i="56"/>
  <c r="L5219" i="56"/>
  <c r="C5220" i="56"/>
  <c r="D5220" i="56" s="1"/>
  <c r="E5220" i="56"/>
  <c r="F5220" i="56" s="1"/>
  <c r="I5220" i="56"/>
  <c r="L5220" i="56"/>
  <c r="C5221" i="56"/>
  <c r="D5221" i="56" s="1"/>
  <c r="E5221" i="56"/>
  <c r="F5221" i="56" s="1"/>
  <c r="I5221" i="56"/>
  <c r="C5222" i="56"/>
  <c r="D5222" i="56" s="1"/>
  <c r="E5222" i="56"/>
  <c r="F5222" i="56" s="1"/>
  <c r="I5222" i="56"/>
  <c r="C5223" i="56"/>
  <c r="D5223" i="56" s="1"/>
  <c r="E5223" i="56"/>
  <c r="F5223" i="56" s="1"/>
  <c r="I5223" i="56"/>
  <c r="C5224" i="56"/>
  <c r="D5224" i="56" s="1"/>
  <c r="E5224" i="56"/>
  <c r="F5224" i="56" s="1"/>
  <c r="I5224" i="56"/>
  <c r="L5224" i="56"/>
  <c r="C5225" i="56"/>
  <c r="D5225" i="56" s="1"/>
  <c r="E5225" i="56"/>
  <c r="F5225" i="56" s="1"/>
  <c r="L5225" i="56"/>
  <c r="C5226" i="56"/>
  <c r="D5226" i="56" s="1"/>
  <c r="E5226" i="56"/>
  <c r="F5226" i="56" s="1"/>
  <c r="I5226" i="56"/>
  <c r="L5226" i="56"/>
  <c r="C5227" i="56"/>
  <c r="D5227" i="56" s="1"/>
  <c r="E5227" i="56"/>
  <c r="F5227" i="56" s="1"/>
  <c r="I5227" i="56"/>
  <c r="C5228" i="56"/>
  <c r="D5228" i="56" s="1"/>
  <c r="E5228" i="56"/>
  <c r="F5228" i="56" s="1"/>
  <c r="C5229" i="56"/>
  <c r="D5229" i="56" s="1"/>
  <c r="E5229" i="56"/>
  <c r="F5229" i="56" s="1"/>
  <c r="I5229" i="56"/>
  <c r="L5229" i="56"/>
  <c r="C5230" i="56"/>
  <c r="D5230" i="56" s="1"/>
  <c r="E5230" i="56"/>
  <c r="F5230" i="56" s="1"/>
  <c r="I5230" i="56"/>
  <c r="L5230" i="56"/>
  <c r="C5231" i="56"/>
  <c r="D5231" i="56" s="1"/>
  <c r="E5231" i="56"/>
  <c r="F5231" i="56" s="1"/>
  <c r="I5231" i="56"/>
  <c r="L5231" i="56"/>
  <c r="C5232" i="56"/>
  <c r="D5232" i="56" s="1"/>
  <c r="E5232" i="56"/>
  <c r="F5232" i="56" s="1"/>
  <c r="I5232" i="56"/>
  <c r="L5232" i="56"/>
  <c r="C5233" i="56"/>
  <c r="D5233" i="56" s="1"/>
  <c r="E5233" i="56"/>
  <c r="F5233" i="56" s="1"/>
  <c r="I5233" i="56"/>
  <c r="C5234" i="56"/>
  <c r="D5234" i="56" s="1"/>
  <c r="E5234" i="56"/>
  <c r="F5234" i="56" s="1"/>
  <c r="I5234" i="56"/>
  <c r="C5235" i="56"/>
  <c r="D5235" i="56" s="1"/>
  <c r="E5235" i="56"/>
  <c r="F5235" i="56" s="1"/>
  <c r="I5235" i="56"/>
  <c r="C5236" i="56"/>
  <c r="D5236" i="56" s="1"/>
  <c r="E5236" i="56"/>
  <c r="F5236" i="56" s="1"/>
  <c r="I5236" i="56"/>
  <c r="C5237" i="56"/>
  <c r="D5237" i="56" s="1"/>
  <c r="E5237" i="56"/>
  <c r="F5237" i="56" s="1"/>
  <c r="L5237" i="56"/>
  <c r="C5238" i="56"/>
  <c r="D5238" i="56" s="1"/>
  <c r="E5238" i="56"/>
  <c r="F5238" i="56" s="1"/>
  <c r="I5238" i="56"/>
  <c r="L5238" i="56"/>
  <c r="C5239" i="56"/>
  <c r="D5239" i="56" s="1"/>
  <c r="E5239" i="56"/>
  <c r="F5239" i="56" s="1"/>
  <c r="I5239" i="56"/>
  <c r="C5240" i="56"/>
  <c r="D5240" i="56" s="1"/>
  <c r="E5240" i="56"/>
  <c r="F5240" i="56" s="1"/>
  <c r="C5241" i="56"/>
  <c r="D5241" i="56" s="1"/>
  <c r="E5241" i="56"/>
  <c r="F5241" i="56" s="1"/>
  <c r="I5241" i="56"/>
  <c r="L5241" i="56"/>
  <c r="C5242" i="56"/>
  <c r="D5242" i="56" s="1"/>
  <c r="E5242" i="56"/>
  <c r="F5242" i="56" s="1"/>
  <c r="I5242" i="56"/>
  <c r="L5242" i="56"/>
  <c r="C5243" i="56"/>
  <c r="D5243" i="56" s="1"/>
  <c r="E5243" i="56"/>
  <c r="F5243" i="56" s="1"/>
  <c r="I5243" i="56"/>
  <c r="L5243" i="56"/>
  <c r="C5244" i="56"/>
  <c r="D5244" i="56" s="1"/>
  <c r="E5244" i="56"/>
  <c r="F5244" i="56" s="1"/>
  <c r="I5244" i="56"/>
  <c r="L5244" i="56"/>
  <c r="C5245" i="56"/>
  <c r="D5245" i="56" s="1"/>
  <c r="E5245" i="56"/>
  <c r="F5245" i="56" s="1"/>
  <c r="I5245" i="56"/>
  <c r="C5246" i="56"/>
  <c r="D5246" i="56" s="1"/>
  <c r="E5246" i="56"/>
  <c r="F5246" i="56" s="1"/>
  <c r="I5246" i="56"/>
  <c r="C5247" i="56"/>
  <c r="D5247" i="56" s="1"/>
  <c r="E5247" i="56"/>
  <c r="F5247" i="56" s="1"/>
  <c r="I5247" i="56"/>
  <c r="C5248" i="56"/>
  <c r="D5248" i="56" s="1"/>
  <c r="E5248" i="56"/>
  <c r="F5248" i="56" s="1"/>
  <c r="I5248" i="56"/>
  <c r="C5249" i="56"/>
  <c r="D5249" i="56" s="1"/>
  <c r="E5249" i="56"/>
  <c r="F5249" i="56" s="1"/>
  <c r="L5249" i="56"/>
  <c r="C5250" i="56"/>
  <c r="D5250" i="56" s="1"/>
  <c r="E5250" i="56"/>
  <c r="F5250" i="56" s="1"/>
  <c r="I5250" i="56"/>
  <c r="L5250" i="56"/>
  <c r="C5251" i="56"/>
  <c r="D5251" i="56" s="1"/>
  <c r="E5251" i="56"/>
  <c r="F5251" i="56" s="1"/>
  <c r="I5251" i="56"/>
  <c r="C5252" i="56"/>
  <c r="D5252" i="56" s="1"/>
  <c r="E5252" i="56"/>
  <c r="F5252" i="56" s="1"/>
  <c r="C5253" i="56"/>
  <c r="D5253" i="56" s="1"/>
  <c r="E5253" i="56"/>
  <c r="F5253" i="56" s="1"/>
  <c r="I5253" i="56"/>
  <c r="L5253" i="56"/>
  <c r="C5254" i="56"/>
  <c r="D5254" i="56" s="1"/>
  <c r="E5254" i="56"/>
  <c r="F5254" i="56" s="1"/>
  <c r="I5254" i="56"/>
  <c r="L5254" i="56"/>
  <c r="C5255" i="56"/>
  <c r="D5255" i="56" s="1"/>
  <c r="E5255" i="56"/>
  <c r="F5255" i="56" s="1"/>
  <c r="I5255" i="56"/>
  <c r="L5255" i="56"/>
  <c r="C5256" i="56"/>
  <c r="D5256" i="56" s="1"/>
  <c r="E5256" i="56"/>
  <c r="F5256" i="56" s="1"/>
  <c r="I5256" i="56"/>
  <c r="L5256" i="56"/>
  <c r="C5257" i="56"/>
  <c r="D5257" i="56" s="1"/>
  <c r="E5257" i="56"/>
  <c r="F5257" i="56" s="1"/>
  <c r="I5257" i="56"/>
  <c r="C5258" i="56"/>
  <c r="D5258" i="56" s="1"/>
  <c r="E5258" i="56"/>
  <c r="F5258" i="56" s="1"/>
  <c r="I5258" i="56"/>
  <c r="C5259" i="56"/>
  <c r="D5259" i="56" s="1"/>
  <c r="E5259" i="56"/>
  <c r="F5259" i="56" s="1"/>
  <c r="I5259" i="56"/>
  <c r="C5260" i="56"/>
  <c r="D5260" i="56" s="1"/>
  <c r="E5260" i="56"/>
  <c r="F5260" i="56" s="1"/>
  <c r="I5260" i="56"/>
  <c r="C5261" i="56"/>
  <c r="D5261" i="56" s="1"/>
  <c r="E5261" i="56"/>
  <c r="F5261" i="56" s="1"/>
  <c r="L5261" i="56"/>
  <c r="C5262" i="56"/>
  <c r="D5262" i="56" s="1"/>
  <c r="E5262" i="56"/>
  <c r="F5262" i="56" s="1"/>
  <c r="I5262" i="56"/>
  <c r="L5262" i="56"/>
  <c r="C5263" i="56"/>
  <c r="D5263" i="56" s="1"/>
  <c r="E5263" i="56"/>
  <c r="F5263" i="56" s="1"/>
  <c r="I5263" i="56"/>
  <c r="C5264" i="56"/>
  <c r="D5264" i="56" s="1"/>
  <c r="E5264" i="56"/>
  <c r="F5264" i="56" s="1"/>
  <c r="C5265" i="56"/>
  <c r="D5265" i="56" s="1"/>
  <c r="E5265" i="56"/>
  <c r="F5265" i="56" s="1"/>
  <c r="I5265" i="56"/>
  <c r="L5265" i="56"/>
  <c r="C5266" i="56"/>
  <c r="D5266" i="56" s="1"/>
  <c r="E5266" i="56"/>
  <c r="F5266" i="56" s="1"/>
  <c r="I5266" i="56"/>
  <c r="L5266" i="56"/>
  <c r="C5267" i="56"/>
  <c r="D5267" i="56" s="1"/>
  <c r="E5267" i="56"/>
  <c r="F5267" i="56" s="1"/>
  <c r="I5267" i="56"/>
  <c r="L5267" i="56"/>
  <c r="C5268" i="56"/>
  <c r="D5268" i="56" s="1"/>
  <c r="E5268" i="56"/>
  <c r="F5268" i="56" s="1"/>
  <c r="I5268" i="56"/>
  <c r="L5268" i="56"/>
  <c r="C5269" i="56"/>
  <c r="D5269" i="56" s="1"/>
  <c r="E5269" i="56"/>
  <c r="F5269" i="56" s="1"/>
  <c r="I5269" i="56"/>
  <c r="C5270" i="56"/>
  <c r="D5270" i="56" s="1"/>
  <c r="E5270" i="56"/>
  <c r="F5270" i="56" s="1"/>
  <c r="I5270" i="56"/>
  <c r="C5271" i="56"/>
  <c r="D5271" i="56" s="1"/>
  <c r="E5271" i="56"/>
  <c r="F5271" i="56" s="1"/>
  <c r="I5271" i="56"/>
  <c r="C5272" i="56"/>
  <c r="D5272" i="56" s="1"/>
  <c r="E5272" i="56"/>
  <c r="F5272" i="56" s="1"/>
  <c r="I5272" i="56"/>
  <c r="C5273" i="56"/>
  <c r="D5273" i="56" s="1"/>
  <c r="E5273" i="56"/>
  <c r="F5273" i="56" s="1"/>
  <c r="L5273" i="56"/>
  <c r="C5274" i="56"/>
  <c r="D5274" i="56" s="1"/>
  <c r="E5274" i="56"/>
  <c r="F5274" i="56" s="1"/>
  <c r="I5274" i="56"/>
  <c r="L5274" i="56"/>
  <c r="C5275" i="56"/>
  <c r="D5275" i="56" s="1"/>
  <c r="E5275" i="56"/>
  <c r="F5275" i="56" s="1"/>
  <c r="I5275" i="56"/>
  <c r="C5276" i="56"/>
  <c r="D5276" i="56" s="1"/>
  <c r="E5276" i="56"/>
  <c r="F5276" i="56" s="1"/>
  <c r="C5277" i="56"/>
  <c r="D5277" i="56" s="1"/>
  <c r="E5277" i="56"/>
  <c r="F5277" i="56" s="1"/>
  <c r="I5277" i="56"/>
  <c r="L5277" i="56"/>
  <c r="C5278" i="56"/>
  <c r="D5278" i="56" s="1"/>
  <c r="E5278" i="56"/>
  <c r="F5278" i="56" s="1"/>
  <c r="I5278" i="56"/>
  <c r="L5278" i="56"/>
  <c r="C5279" i="56"/>
  <c r="D5279" i="56" s="1"/>
  <c r="E5279" i="56"/>
  <c r="F5279" i="56" s="1"/>
  <c r="I5279" i="56"/>
  <c r="L5279" i="56"/>
  <c r="C5280" i="56"/>
  <c r="D5280" i="56" s="1"/>
  <c r="E5280" i="56"/>
  <c r="F5280" i="56" s="1"/>
  <c r="I5280" i="56"/>
  <c r="L5280" i="56"/>
  <c r="C5281" i="56"/>
  <c r="D5281" i="56" s="1"/>
  <c r="E5281" i="56"/>
  <c r="F5281" i="56" s="1"/>
  <c r="I5281" i="56"/>
  <c r="C5282" i="56"/>
  <c r="D5282" i="56" s="1"/>
  <c r="E5282" i="56"/>
  <c r="F5282" i="56" s="1"/>
  <c r="I5282" i="56"/>
  <c r="C5283" i="56"/>
  <c r="D5283" i="56" s="1"/>
  <c r="E5283" i="56"/>
  <c r="F5283" i="56" s="1"/>
  <c r="I5283" i="56"/>
  <c r="C5284" i="56"/>
  <c r="D5284" i="56" s="1"/>
  <c r="E5284" i="56"/>
  <c r="F5284" i="56" s="1"/>
  <c r="I5284" i="56"/>
  <c r="C5285" i="56"/>
  <c r="D5285" i="56" s="1"/>
  <c r="E5285" i="56"/>
  <c r="F5285" i="56" s="1"/>
  <c r="L5285" i="56"/>
  <c r="C5286" i="56"/>
  <c r="D5286" i="56" s="1"/>
  <c r="E5286" i="56"/>
  <c r="F5286" i="56" s="1"/>
  <c r="I5286" i="56"/>
  <c r="L5286" i="56"/>
  <c r="C5287" i="56"/>
  <c r="D5287" i="56" s="1"/>
  <c r="E5287" i="56"/>
  <c r="F5287" i="56" s="1"/>
  <c r="I5287" i="56"/>
  <c r="C5288" i="56"/>
  <c r="D5288" i="56" s="1"/>
  <c r="E5288" i="56"/>
  <c r="F5288" i="56" s="1"/>
  <c r="C5289" i="56"/>
  <c r="D5289" i="56" s="1"/>
  <c r="E5289" i="56"/>
  <c r="F5289" i="56" s="1"/>
  <c r="I5289" i="56"/>
  <c r="L5289" i="56"/>
  <c r="C5290" i="56"/>
  <c r="D5290" i="56" s="1"/>
  <c r="E5290" i="56"/>
  <c r="F5290" i="56" s="1"/>
  <c r="I5290" i="56"/>
  <c r="L5290" i="56"/>
  <c r="C5291" i="56"/>
  <c r="D5291" i="56" s="1"/>
  <c r="E5291" i="56"/>
  <c r="F5291" i="56" s="1"/>
  <c r="I5291" i="56"/>
  <c r="L5291" i="56"/>
  <c r="C5292" i="56"/>
  <c r="D5292" i="56" s="1"/>
  <c r="E5292" i="56"/>
  <c r="F5292" i="56" s="1"/>
  <c r="I5292" i="56"/>
  <c r="L5292" i="56"/>
  <c r="C5293" i="56"/>
  <c r="D5293" i="56" s="1"/>
  <c r="E5293" i="56"/>
  <c r="F5293" i="56" s="1"/>
  <c r="I5293" i="56"/>
  <c r="C5294" i="56"/>
  <c r="D5294" i="56" s="1"/>
  <c r="E5294" i="56"/>
  <c r="F5294" i="56" s="1"/>
  <c r="I5294" i="56"/>
  <c r="C5295" i="56"/>
  <c r="D5295" i="56" s="1"/>
  <c r="E5295" i="56"/>
  <c r="F5295" i="56" s="1"/>
  <c r="I5295" i="56"/>
  <c r="C5296" i="56"/>
  <c r="D5296" i="56" s="1"/>
  <c r="E5296" i="56"/>
  <c r="F5296" i="56" s="1"/>
  <c r="I5296" i="56"/>
  <c r="L5296" i="56"/>
  <c r="C5297" i="56"/>
  <c r="D5297" i="56" s="1"/>
  <c r="E5297" i="56"/>
  <c r="F5297" i="56" s="1"/>
  <c r="L5297" i="56"/>
  <c r="C5298" i="56"/>
  <c r="D5298" i="56" s="1"/>
  <c r="E5298" i="56"/>
  <c r="F5298" i="56" s="1"/>
  <c r="I5298" i="56"/>
  <c r="L5298" i="56"/>
  <c r="C5299" i="56"/>
  <c r="D5299" i="56" s="1"/>
  <c r="E5299" i="56"/>
  <c r="F5299" i="56" s="1"/>
  <c r="I5299" i="56"/>
  <c r="C5300" i="56"/>
  <c r="D5300" i="56" s="1"/>
  <c r="E5300" i="56"/>
  <c r="F5300" i="56" s="1"/>
  <c r="C5301" i="56"/>
  <c r="D5301" i="56" s="1"/>
  <c r="E5301" i="56"/>
  <c r="F5301" i="56" s="1"/>
  <c r="I5301" i="56"/>
  <c r="L5301" i="56"/>
  <c r="C5302" i="56"/>
  <c r="D5302" i="56" s="1"/>
  <c r="E5302" i="56"/>
  <c r="F5302" i="56" s="1"/>
  <c r="I5302" i="56"/>
  <c r="L5302" i="56"/>
  <c r="C5303" i="56"/>
  <c r="D5303" i="56" s="1"/>
  <c r="E5303" i="56"/>
  <c r="F5303" i="56" s="1"/>
  <c r="I5303" i="56"/>
  <c r="L5303" i="56"/>
  <c r="C5304" i="56"/>
  <c r="D5304" i="56" s="1"/>
  <c r="E5304" i="56"/>
  <c r="F5304" i="56" s="1"/>
  <c r="I5304" i="56"/>
  <c r="L5304" i="56"/>
  <c r="C5305" i="56"/>
  <c r="D5305" i="56" s="1"/>
  <c r="E5305" i="56"/>
  <c r="F5305" i="56" s="1"/>
  <c r="I5305" i="56"/>
  <c r="C5306" i="56"/>
  <c r="D5306" i="56" s="1"/>
  <c r="E5306" i="56"/>
  <c r="F5306" i="56" s="1"/>
  <c r="I5306" i="56"/>
  <c r="C5307" i="56"/>
  <c r="D5307" i="56" s="1"/>
  <c r="E5307" i="56"/>
  <c r="F5307" i="56" s="1"/>
  <c r="I5307" i="56"/>
  <c r="C5308" i="56"/>
  <c r="D5308" i="56" s="1"/>
  <c r="E5308" i="56"/>
  <c r="F5308" i="56" s="1"/>
  <c r="I5308" i="56"/>
  <c r="C5309" i="56"/>
  <c r="D5309" i="56" s="1"/>
  <c r="E5309" i="56"/>
  <c r="F5309" i="56" s="1"/>
  <c r="L5309" i="56"/>
  <c r="C5310" i="56"/>
  <c r="D5310" i="56" s="1"/>
  <c r="E5310" i="56"/>
  <c r="F5310" i="56" s="1"/>
  <c r="I5310" i="56"/>
  <c r="L5310" i="56"/>
  <c r="C5311" i="56"/>
  <c r="D5311" i="56" s="1"/>
  <c r="E5311" i="56"/>
  <c r="F5311" i="56" s="1"/>
  <c r="I5311" i="56"/>
  <c r="C5312" i="56"/>
  <c r="D5312" i="56" s="1"/>
  <c r="E5312" i="56"/>
  <c r="F5312" i="56" s="1"/>
  <c r="C5313" i="56"/>
  <c r="D5313" i="56" s="1"/>
  <c r="E5313" i="56"/>
  <c r="F5313" i="56" s="1"/>
  <c r="I5313" i="56"/>
  <c r="L5313" i="56"/>
  <c r="C5314" i="56"/>
  <c r="D5314" i="56" s="1"/>
  <c r="E5314" i="56"/>
  <c r="F5314" i="56" s="1"/>
  <c r="I5314" i="56"/>
  <c r="L5314" i="56"/>
  <c r="C5315" i="56"/>
  <c r="D5315" i="56" s="1"/>
  <c r="E5315" i="56"/>
  <c r="F5315" i="56" s="1"/>
  <c r="I5315" i="56"/>
  <c r="L5315" i="56"/>
  <c r="C5316" i="56"/>
  <c r="D5316" i="56" s="1"/>
  <c r="E5316" i="56"/>
  <c r="F5316" i="56" s="1"/>
  <c r="I5316" i="56"/>
  <c r="L5316" i="56"/>
  <c r="C5317" i="56"/>
  <c r="D5317" i="56" s="1"/>
  <c r="E5317" i="56"/>
  <c r="F5317" i="56" s="1"/>
  <c r="I5317" i="56"/>
  <c r="C5318" i="56"/>
  <c r="D5318" i="56" s="1"/>
  <c r="E5318" i="56"/>
  <c r="F5318" i="56" s="1"/>
  <c r="I5318" i="56"/>
  <c r="C5319" i="56"/>
  <c r="D5319" i="56" s="1"/>
  <c r="E5319" i="56"/>
  <c r="F5319" i="56" s="1"/>
  <c r="I5319" i="56"/>
  <c r="C5320" i="56"/>
  <c r="D5320" i="56" s="1"/>
  <c r="E5320" i="56"/>
  <c r="F5320" i="56" s="1"/>
  <c r="I5320" i="56"/>
  <c r="C5321" i="56"/>
  <c r="D5321" i="56" s="1"/>
  <c r="E5321" i="56"/>
  <c r="F5321" i="56" s="1"/>
  <c r="L5321" i="56"/>
  <c r="C5322" i="56"/>
  <c r="D5322" i="56" s="1"/>
  <c r="E5322" i="56"/>
  <c r="F5322" i="56" s="1"/>
  <c r="I5322" i="56"/>
  <c r="L5322" i="56"/>
  <c r="C5323" i="56"/>
  <c r="D5323" i="56" s="1"/>
  <c r="E5323" i="56"/>
  <c r="F5323" i="56" s="1"/>
  <c r="I5323" i="56"/>
  <c r="C5324" i="56"/>
  <c r="D5324" i="56" s="1"/>
  <c r="E5324" i="56"/>
  <c r="F5324" i="56" s="1"/>
  <c r="C5325" i="56"/>
  <c r="D5325" i="56" s="1"/>
  <c r="E5325" i="56"/>
  <c r="F5325" i="56" s="1"/>
  <c r="I5325" i="56"/>
  <c r="L5325" i="56"/>
  <c r="C5326" i="56"/>
  <c r="D5326" i="56" s="1"/>
  <c r="E5326" i="56"/>
  <c r="F5326" i="56" s="1"/>
  <c r="I5326" i="56"/>
  <c r="L5326" i="56"/>
  <c r="C5327" i="56"/>
  <c r="D5327" i="56" s="1"/>
  <c r="E5327" i="56"/>
  <c r="F5327" i="56" s="1"/>
  <c r="I5327" i="56"/>
  <c r="L5327" i="56"/>
  <c r="C5328" i="56"/>
  <c r="D5328" i="56" s="1"/>
  <c r="E5328" i="56"/>
  <c r="F5328" i="56" s="1"/>
  <c r="I5328" i="56"/>
  <c r="L5328" i="56"/>
  <c r="C5329" i="56"/>
  <c r="D5329" i="56" s="1"/>
  <c r="E5329" i="56"/>
  <c r="F5329" i="56" s="1"/>
  <c r="I5329" i="56"/>
  <c r="C5330" i="56"/>
  <c r="D5330" i="56"/>
  <c r="E5330" i="56"/>
  <c r="F5330" i="56" s="1"/>
  <c r="I5330" i="56"/>
  <c r="C5331" i="56"/>
  <c r="D5331" i="56" s="1"/>
  <c r="E5331" i="56"/>
  <c r="F5331" i="56" s="1"/>
  <c r="I5331" i="56"/>
  <c r="C5332" i="56"/>
  <c r="D5332" i="56" s="1"/>
  <c r="E5332" i="56"/>
  <c r="F5332" i="56" s="1"/>
  <c r="I5332" i="56"/>
  <c r="L5332" i="56"/>
  <c r="C5333" i="56"/>
  <c r="D5333" i="56" s="1"/>
  <c r="E5333" i="56"/>
  <c r="F5333" i="56" s="1"/>
  <c r="L5333" i="56"/>
  <c r="C5334" i="56"/>
  <c r="D5334" i="56" s="1"/>
  <c r="E5334" i="56"/>
  <c r="F5334" i="56" s="1"/>
  <c r="I5334" i="56"/>
  <c r="L5334" i="56"/>
  <c r="C5335" i="56"/>
  <c r="D5335" i="56" s="1"/>
  <c r="E5335" i="56"/>
  <c r="F5335" i="56" s="1"/>
  <c r="I5335" i="56"/>
  <c r="C5336" i="56"/>
  <c r="D5336" i="56" s="1"/>
  <c r="E5336" i="56"/>
  <c r="F5336" i="56" s="1"/>
  <c r="C5337" i="56"/>
  <c r="D5337" i="56" s="1"/>
  <c r="E5337" i="56"/>
  <c r="F5337" i="56" s="1"/>
  <c r="I5337" i="56"/>
  <c r="L5337" i="56"/>
  <c r="C5338" i="56"/>
  <c r="D5338" i="56" s="1"/>
  <c r="E5338" i="56"/>
  <c r="F5338" i="56" s="1"/>
  <c r="I5338" i="56"/>
  <c r="L5338" i="56"/>
  <c r="C5339" i="56"/>
  <c r="D5339" i="56" s="1"/>
  <c r="E5339" i="56"/>
  <c r="F5339" i="56" s="1"/>
  <c r="I5339" i="56"/>
  <c r="L5339" i="56"/>
  <c r="C5340" i="56"/>
  <c r="D5340" i="56" s="1"/>
  <c r="E5340" i="56"/>
  <c r="F5340" i="56" s="1"/>
  <c r="I5340" i="56"/>
  <c r="L5340" i="56"/>
  <c r="C5341" i="56"/>
  <c r="D5341" i="56" s="1"/>
  <c r="E5341" i="56"/>
  <c r="F5341" i="56" s="1"/>
  <c r="I5341" i="56"/>
  <c r="C5342" i="56"/>
  <c r="D5342" i="56" s="1"/>
  <c r="E5342" i="56"/>
  <c r="F5342" i="56" s="1"/>
  <c r="I5342" i="56"/>
  <c r="C5343" i="56"/>
  <c r="D5343" i="56" s="1"/>
  <c r="E5343" i="56"/>
  <c r="F5343" i="56" s="1"/>
  <c r="I5343" i="56"/>
  <c r="C5344" i="56"/>
  <c r="D5344" i="56" s="1"/>
  <c r="E5344" i="56"/>
  <c r="F5344" i="56" s="1"/>
  <c r="I5344" i="56"/>
  <c r="C5345" i="56"/>
  <c r="D5345" i="56" s="1"/>
  <c r="E5345" i="56"/>
  <c r="F5345" i="56" s="1"/>
  <c r="L5345" i="56"/>
  <c r="C5346" i="56"/>
  <c r="D5346" i="56" s="1"/>
  <c r="E5346" i="56"/>
  <c r="F5346" i="56" s="1"/>
  <c r="I5346" i="56"/>
  <c r="L5346" i="56"/>
  <c r="C5347" i="56"/>
  <c r="D5347" i="56" s="1"/>
  <c r="E5347" i="56"/>
  <c r="F5347" i="56" s="1"/>
  <c r="I5347" i="56"/>
  <c r="C5348" i="56"/>
  <c r="D5348" i="56" s="1"/>
  <c r="E5348" i="56"/>
  <c r="F5348" i="56" s="1"/>
  <c r="C5349" i="56"/>
  <c r="D5349" i="56" s="1"/>
  <c r="E5349" i="56"/>
  <c r="F5349" i="56" s="1"/>
  <c r="I5349" i="56"/>
  <c r="L5349" i="56"/>
  <c r="C5350" i="56"/>
  <c r="D5350" i="56" s="1"/>
  <c r="E5350" i="56"/>
  <c r="F5350" i="56" s="1"/>
  <c r="I5350" i="56"/>
  <c r="L5350" i="56"/>
  <c r="C5351" i="56"/>
  <c r="D5351" i="56" s="1"/>
  <c r="E5351" i="56"/>
  <c r="F5351" i="56" s="1"/>
  <c r="I5351" i="56"/>
  <c r="L5351" i="56"/>
  <c r="C5352" i="56"/>
  <c r="D5352" i="56" s="1"/>
  <c r="E5352" i="56"/>
  <c r="F5352" i="56" s="1"/>
  <c r="I5352" i="56"/>
  <c r="L5352" i="56"/>
  <c r="C5353" i="56"/>
  <c r="D5353" i="56" s="1"/>
  <c r="E5353" i="56"/>
  <c r="F5353" i="56" s="1"/>
  <c r="I5353" i="56"/>
  <c r="C5354" i="56"/>
  <c r="D5354" i="56" s="1"/>
  <c r="E5354" i="56"/>
  <c r="F5354" i="56" s="1"/>
  <c r="I5354" i="56"/>
  <c r="C5355" i="56"/>
  <c r="D5355" i="56" s="1"/>
  <c r="E5355" i="56"/>
  <c r="F5355" i="56" s="1"/>
  <c r="I5355" i="56"/>
  <c r="C5356" i="56"/>
  <c r="D5356" i="56" s="1"/>
  <c r="E5356" i="56"/>
  <c r="F5356" i="56" s="1"/>
  <c r="I5356" i="56"/>
  <c r="C5357" i="56"/>
  <c r="D5357" i="56" s="1"/>
  <c r="E5357" i="56"/>
  <c r="F5357" i="56" s="1"/>
  <c r="L5357" i="56"/>
  <c r="C5358" i="56"/>
  <c r="D5358" i="56" s="1"/>
  <c r="E5358" i="56"/>
  <c r="F5358" i="56" s="1"/>
  <c r="I5358" i="56"/>
  <c r="L5358" i="56"/>
  <c r="C5359" i="56"/>
  <c r="D5359" i="56" s="1"/>
  <c r="E5359" i="56"/>
  <c r="F5359" i="56" s="1"/>
  <c r="I5359" i="56"/>
  <c r="C5360" i="56"/>
  <c r="D5360" i="56" s="1"/>
  <c r="E5360" i="56"/>
  <c r="F5360" i="56" s="1"/>
  <c r="C5361" i="56"/>
  <c r="D5361" i="56" s="1"/>
  <c r="E5361" i="56"/>
  <c r="F5361" i="56" s="1"/>
  <c r="I5361" i="56"/>
  <c r="L5361" i="56"/>
  <c r="C5362" i="56"/>
  <c r="D5362" i="56" s="1"/>
  <c r="E5362" i="56"/>
  <c r="F5362" i="56" s="1"/>
  <c r="I5362" i="56"/>
  <c r="L5362" i="56"/>
  <c r="C5363" i="56"/>
  <c r="D5363" i="56" s="1"/>
  <c r="E5363" i="56"/>
  <c r="F5363" i="56" s="1"/>
  <c r="I5363" i="56"/>
  <c r="L5363" i="56"/>
  <c r="C5364" i="56"/>
  <c r="D5364" i="56" s="1"/>
  <c r="E5364" i="56"/>
  <c r="F5364" i="56" s="1"/>
  <c r="I5364" i="56"/>
  <c r="L5364" i="56"/>
  <c r="C5365" i="56"/>
  <c r="D5365" i="56" s="1"/>
  <c r="E5365" i="56"/>
  <c r="F5365" i="56" s="1"/>
  <c r="I5365" i="56"/>
  <c r="C5366" i="56"/>
  <c r="D5366" i="56" s="1"/>
  <c r="E5366" i="56"/>
  <c r="F5366" i="56" s="1"/>
  <c r="I5366" i="56"/>
  <c r="C5367" i="56"/>
  <c r="D5367" i="56" s="1"/>
  <c r="E5367" i="56"/>
  <c r="F5367" i="56" s="1"/>
  <c r="I5367" i="56"/>
  <c r="C5368" i="56"/>
  <c r="D5368" i="56" s="1"/>
  <c r="E5368" i="56"/>
  <c r="F5368" i="56" s="1"/>
  <c r="I5368" i="56"/>
  <c r="L5368" i="56"/>
  <c r="C5369" i="56"/>
  <c r="D5369" i="56" s="1"/>
  <c r="E5369" i="56"/>
  <c r="F5369" i="56" s="1"/>
  <c r="L5369" i="56"/>
  <c r="C5370" i="56"/>
  <c r="D5370" i="56" s="1"/>
  <c r="E5370" i="56"/>
  <c r="F5370" i="56" s="1"/>
  <c r="I5370" i="56"/>
  <c r="L5370" i="56"/>
  <c r="C5371" i="56"/>
  <c r="D5371" i="56" s="1"/>
  <c r="E5371" i="56"/>
  <c r="F5371" i="56" s="1"/>
  <c r="I5371" i="56"/>
  <c r="C5372" i="56"/>
  <c r="D5372" i="56" s="1"/>
  <c r="E5372" i="56"/>
  <c r="F5372" i="56" s="1"/>
  <c r="L5372" i="56"/>
  <c r="C5373" i="56"/>
  <c r="D5373" i="56" s="1"/>
  <c r="E5373" i="56"/>
  <c r="F5373" i="56" s="1"/>
  <c r="I5373" i="56"/>
  <c r="L5373" i="56"/>
  <c r="C5374" i="56"/>
  <c r="D5374" i="56" s="1"/>
  <c r="E5374" i="56"/>
  <c r="F5374" i="56" s="1"/>
  <c r="I5374" i="56"/>
  <c r="L5374" i="56"/>
  <c r="C5375" i="56"/>
  <c r="D5375" i="56" s="1"/>
  <c r="E5375" i="56"/>
  <c r="F5375" i="56" s="1"/>
  <c r="I5375" i="56"/>
  <c r="L5375" i="56"/>
  <c r="C5376" i="56"/>
  <c r="D5376" i="56" s="1"/>
  <c r="E5376" i="56"/>
  <c r="F5376" i="56" s="1"/>
  <c r="I5376" i="56"/>
  <c r="L5376" i="56"/>
  <c r="C5377" i="56"/>
  <c r="D5377" i="56" s="1"/>
  <c r="E5377" i="56"/>
  <c r="F5377" i="56" s="1"/>
  <c r="I5377" i="56"/>
  <c r="C5378" i="56"/>
  <c r="D5378" i="56" s="1"/>
  <c r="E5378" i="56"/>
  <c r="F5378" i="56" s="1"/>
  <c r="I5378" i="56"/>
  <c r="C5379" i="56"/>
  <c r="D5379" i="56" s="1"/>
  <c r="E5379" i="56"/>
  <c r="F5379" i="56" s="1"/>
  <c r="I5379" i="56"/>
  <c r="C5380" i="56"/>
  <c r="D5380" i="56" s="1"/>
  <c r="E5380" i="56"/>
  <c r="F5380" i="56" s="1"/>
  <c r="I5380" i="56"/>
  <c r="L5380" i="56"/>
  <c r="C5381" i="56"/>
  <c r="D5381" i="56" s="1"/>
  <c r="E5381" i="56"/>
  <c r="F5381" i="56" s="1"/>
  <c r="L5381" i="56"/>
  <c r="C5382" i="56"/>
  <c r="D5382" i="56" s="1"/>
  <c r="E5382" i="56"/>
  <c r="F5382" i="56" s="1"/>
  <c r="I5382" i="56"/>
  <c r="L5382" i="56"/>
  <c r="C5383" i="56"/>
  <c r="D5383" i="56" s="1"/>
  <c r="E5383" i="56"/>
  <c r="F5383" i="56" s="1"/>
  <c r="I5383" i="56"/>
  <c r="C5384" i="56"/>
  <c r="D5384" i="56" s="1"/>
  <c r="E5384" i="56"/>
  <c r="F5384" i="56" s="1"/>
  <c r="C5385" i="56"/>
  <c r="D5385" i="56" s="1"/>
  <c r="E5385" i="56"/>
  <c r="F5385" i="56" s="1"/>
  <c r="I5385" i="56"/>
  <c r="L5385" i="56"/>
  <c r="C5386" i="56"/>
  <c r="D5386" i="56" s="1"/>
  <c r="E5386" i="56"/>
  <c r="F5386" i="56" s="1"/>
  <c r="I5386" i="56"/>
  <c r="L5386" i="56"/>
  <c r="C5387" i="56"/>
  <c r="D5387" i="56" s="1"/>
  <c r="E5387" i="56"/>
  <c r="F5387" i="56" s="1"/>
  <c r="I5387" i="56"/>
  <c r="L5387" i="56"/>
  <c r="C5388" i="56"/>
  <c r="D5388" i="56" s="1"/>
  <c r="E5388" i="56"/>
  <c r="F5388" i="56" s="1"/>
  <c r="I5388" i="56"/>
  <c r="L5388" i="56"/>
  <c r="C5389" i="56"/>
  <c r="D5389" i="56" s="1"/>
  <c r="E5389" i="56"/>
  <c r="F5389" i="56" s="1"/>
  <c r="I5389" i="56"/>
  <c r="C5390" i="56"/>
  <c r="D5390" i="56" s="1"/>
  <c r="E5390" i="56"/>
  <c r="F5390" i="56" s="1"/>
  <c r="I5390" i="56"/>
  <c r="C5391" i="56"/>
  <c r="D5391" i="56" s="1"/>
  <c r="E5391" i="56"/>
  <c r="F5391" i="56" s="1"/>
  <c r="I5391" i="56"/>
  <c r="C5392" i="56"/>
  <c r="D5392" i="56" s="1"/>
  <c r="E5392" i="56"/>
  <c r="F5392" i="56" s="1"/>
  <c r="I5392" i="56"/>
  <c r="L5392" i="56"/>
  <c r="C5393" i="56"/>
  <c r="D5393" i="56" s="1"/>
  <c r="E5393" i="56"/>
  <c r="F5393" i="56" s="1"/>
  <c r="L5393" i="56"/>
  <c r="C5394" i="56"/>
  <c r="D5394" i="56" s="1"/>
  <c r="E5394" i="56"/>
  <c r="F5394" i="56" s="1"/>
  <c r="I5394" i="56"/>
  <c r="L5394" i="56"/>
  <c r="C5395" i="56"/>
  <c r="D5395" i="56" s="1"/>
  <c r="E5395" i="56"/>
  <c r="F5395" i="56"/>
  <c r="I5395" i="56"/>
  <c r="C5396" i="56"/>
  <c r="D5396" i="56" s="1"/>
  <c r="E5396" i="56"/>
  <c r="F5396" i="56" s="1"/>
  <c r="C5397" i="56"/>
  <c r="D5397" i="56" s="1"/>
  <c r="E5397" i="56"/>
  <c r="F5397" i="56" s="1"/>
  <c r="I5397" i="56"/>
  <c r="L5397" i="56"/>
  <c r="C5398" i="56"/>
  <c r="D5398" i="56" s="1"/>
  <c r="E5398" i="56"/>
  <c r="F5398" i="56" s="1"/>
  <c r="I5398" i="56"/>
  <c r="L5398" i="56"/>
  <c r="C5399" i="56"/>
  <c r="D5399" i="56" s="1"/>
  <c r="E5399" i="56"/>
  <c r="F5399" i="56" s="1"/>
  <c r="I5399" i="56"/>
  <c r="L5399" i="56"/>
  <c r="C5400" i="56"/>
  <c r="D5400" i="56" s="1"/>
  <c r="E5400" i="56"/>
  <c r="F5400" i="56" s="1"/>
  <c r="I5400" i="56"/>
  <c r="L5400" i="56"/>
  <c r="C5401" i="56"/>
  <c r="D5401" i="56" s="1"/>
  <c r="E5401" i="56"/>
  <c r="F5401" i="56" s="1"/>
  <c r="I5401" i="56"/>
  <c r="C5402" i="56"/>
  <c r="D5402" i="56" s="1"/>
  <c r="E5402" i="56"/>
  <c r="F5402" i="56" s="1"/>
  <c r="I5402" i="56"/>
  <c r="C5403" i="56"/>
  <c r="D5403" i="56" s="1"/>
  <c r="E5403" i="56"/>
  <c r="F5403" i="56" s="1"/>
  <c r="I5403" i="56"/>
  <c r="C5404" i="56"/>
  <c r="D5404" i="56" s="1"/>
  <c r="E5404" i="56"/>
  <c r="F5404" i="56" s="1"/>
  <c r="I5404" i="56"/>
  <c r="L5404" i="56"/>
  <c r="C5405" i="56"/>
  <c r="D5405" i="56" s="1"/>
  <c r="E5405" i="56"/>
  <c r="F5405" i="56"/>
  <c r="L5405" i="56"/>
  <c r="C5406" i="56"/>
  <c r="D5406" i="56" s="1"/>
  <c r="E5406" i="56"/>
  <c r="F5406" i="56" s="1"/>
  <c r="I5406" i="56"/>
  <c r="L5406" i="56"/>
  <c r="C5407" i="56"/>
  <c r="D5407" i="56" s="1"/>
  <c r="E5407" i="56"/>
  <c r="F5407" i="56" s="1"/>
  <c r="I5407" i="56"/>
  <c r="C5408" i="56"/>
  <c r="D5408" i="56" s="1"/>
  <c r="E5408" i="56"/>
  <c r="F5408" i="56" s="1"/>
  <c r="C5409" i="56"/>
  <c r="D5409" i="56" s="1"/>
  <c r="E5409" i="56"/>
  <c r="F5409" i="56" s="1"/>
  <c r="I5409" i="56"/>
  <c r="L5409" i="56"/>
  <c r="C5410" i="56"/>
  <c r="D5410" i="56" s="1"/>
  <c r="E5410" i="56"/>
  <c r="F5410" i="56" s="1"/>
  <c r="I5410" i="56"/>
  <c r="L5410" i="56"/>
  <c r="C5411" i="56"/>
  <c r="D5411" i="56" s="1"/>
  <c r="E5411" i="56"/>
  <c r="F5411" i="56" s="1"/>
  <c r="I5411" i="56"/>
  <c r="L5411" i="56"/>
  <c r="C5412" i="56"/>
  <c r="D5412" i="56" s="1"/>
  <c r="E5412" i="56"/>
  <c r="F5412" i="56" s="1"/>
  <c r="I5412" i="56"/>
  <c r="L5412" i="56"/>
  <c r="C5413" i="56"/>
  <c r="D5413" i="56" s="1"/>
  <c r="E5413" i="56"/>
  <c r="F5413" i="56" s="1"/>
  <c r="I5413" i="56"/>
  <c r="C5414" i="56"/>
  <c r="D5414" i="56" s="1"/>
  <c r="E5414" i="56"/>
  <c r="F5414" i="56" s="1"/>
  <c r="I5414" i="56"/>
  <c r="C5415" i="56"/>
  <c r="D5415" i="56" s="1"/>
  <c r="E5415" i="56"/>
  <c r="F5415" i="56" s="1"/>
  <c r="I5415" i="56"/>
  <c r="C5416" i="56"/>
  <c r="D5416" i="56" s="1"/>
  <c r="E5416" i="56"/>
  <c r="F5416" i="56" s="1"/>
  <c r="I5416" i="56"/>
  <c r="C5417" i="56"/>
  <c r="D5417" i="56" s="1"/>
  <c r="E5417" i="56"/>
  <c r="F5417" i="56" s="1"/>
  <c r="L5417" i="56"/>
  <c r="C5418" i="56"/>
  <c r="D5418" i="56" s="1"/>
  <c r="E5418" i="56"/>
  <c r="F5418" i="56" s="1"/>
  <c r="I5418" i="56"/>
  <c r="L5418" i="56"/>
  <c r="C5419" i="56"/>
  <c r="D5419" i="56" s="1"/>
  <c r="E5419" i="56"/>
  <c r="F5419" i="56" s="1"/>
  <c r="I5419" i="56"/>
  <c r="C5420" i="56"/>
  <c r="D5420" i="56" s="1"/>
  <c r="E5420" i="56"/>
  <c r="F5420" i="56" s="1"/>
  <c r="C5421" i="56"/>
  <c r="D5421" i="56" s="1"/>
  <c r="E5421" i="56"/>
  <c r="F5421" i="56" s="1"/>
  <c r="I5421" i="56"/>
  <c r="L5421" i="56"/>
  <c r="C5422" i="56"/>
  <c r="D5422" i="56" s="1"/>
  <c r="E5422" i="56"/>
  <c r="F5422" i="56" s="1"/>
  <c r="I5422" i="56"/>
  <c r="L5422" i="56"/>
  <c r="C5423" i="56"/>
  <c r="D5423" i="56" s="1"/>
  <c r="E5423" i="56"/>
  <c r="F5423" i="56" s="1"/>
  <c r="I5423" i="56"/>
  <c r="L5423" i="56"/>
  <c r="C5424" i="56"/>
  <c r="D5424" i="56" s="1"/>
  <c r="E5424" i="56"/>
  <c r="F5424" i="56" s="1"/>
  <c r="I5424" i="56"/>
  <c r="L5424" i="56"/>
  <c r="C5425" i="56"/>
  <c r="D5425" i="56" s="1"/>
  <c r="E5425" i="56"/>
  <c r="F5425" i="56" s="1"/>
  <c r="I5425" i="56"/>
  <c r="C5426" i="56"/>
  <c r="D5426" i="56" s="1"/>
  <c r="E5426" i="56"/>
  <c r="F5426" i="56" s="1"/>
  <c r="I5426" i="56"/>
  <c r="C5427" i="56"/>
  <c r="D5427" i="56" s="1"/>
  <c r="E5427" i="56"/>
  <c r="F5427" i="56" s="1"/>
  <c r="I5427" i="56"/>
  <c r="C5428" i="56"/>
  <c r="D5428" i="56" s="1"/>
  <c r="E5428" i="56"/>
  <c r="F5428" i="56" s="1"/>
  <c r="I5428" i="56"/>
  <c r="L5428" i="56"/>
  <c r="C5429" i="56"/>
  <c r="D5429" i="56" s="1"/>
  <c r="E5429" i="56"/>
  <c r="F5429" i="56" s="1"/>
  <c r="L5429" i="56"/>
  <c r="C5430" i="56"/>
  <c r="D5430" i="56" s="1"/>
  <c r="E5430" i="56"/>
  <c r="F5430" i="56" s="1"/>
  <c r="I5430" i="56"/>
  <c r="C5431" i="56"/>
  <c r="D5431" i="56" s="1"/>
  <c r="E5431" i="56"/>
  <c r="F5431" i="56" s="1"/>
  <c r="I5431" i="56"/>
  <c r="C5432" i="56"/>
  <c r="D5432" i="56" s="1"/>
  <c r="E5432" i="56"/>
  <c r="F5432" i="56" s="1"/>
  <c r="C5433" i="56"/>
  <c r="D5433" i="56" s="1"/>
  <c r="E5433" i="56"/>
  <c r="F5433" i="56" s="1"/>
  <c r="I5433" i="56"/>
  <c r="L5433" i="56"/>
  <c r="C5434" i="56"/>
  <c r="D5434" i="56" s="1"/>
  <c r="E5434" i="56"/>
  <c r="F5434" i="56" s="1"/>
  <c r="I5434" i="56"/>
  <c r="L5434" i="56"/>
  <c r="C5435" i="56"/>
  <c r="D5435" i="56" s="1"/>
  <c r="E5435" i="56"/>
  <c r="F5435" i="56" s="1"/>
  <c r="I5435" i="56"/>
  <c r="L5435" i="56"/>
  <c r="C5436" i="56"/>
  <c r="D5436" i="56" s="1"/>
  <c r="E5436" i="56"/>
  <c r="F5436" i="56" s="1"/>
  <c r="I5436" i="56"/>
  <c r="L5436" i="56"/>
  <c r="C5437" i="56"/>
  <c r="D5437" i="56" s="1"/>
  <c r="E5437" i="56"/>
  <c r="F5437" i="56" s="1"/>
  <c r="I5437" i="56"/>
  <c r="C5438" i="56"/>
  <c r="D5438" i="56" s="1"/>
  <c r="E5438" i="56"/>
  <c r="F5438" i="56" s="1"/>
  <c r="I5438" i="56"/>
  <c r="C5439" i="56"/>
  <c r="D5439" i="56" s="1"/>
  <c r="E5439" i="56"/>
  <c r="F5439" i="56" s="1"/>
  <c r="I5439" i="56"/>
  <c r="C5440" i="56"/>
  <c r="D5440" i="56" s="1"/>
  <c r="E5440" i="56"/>
  <c r="F5440" i="56" s="1"/>
  <c r="I5440" i="56"/>
  <c r="L5440" i="56"/>
  <c r="C5441" i="56"/>
  <c r="D5441" i="56" s="1"/>
  <c r="E5441" i="56"/>
  <c r="F5441" i="56" s="1"/>
  <c r="L5441" i="56"/>
  <c r="C5442" i="56"/>
  <c r="D5442" i="56" s="1"/>
  <c r="E5442" i="56"/>
  <c r="F5442" i="56" s="1"/>
  <c r="I5442" i="56"/>
  <c r="L5442" i="56"/>
  <c r="C5443" i="56"/>
  <c r="D5443" i="56" s="1"/>
  <c r="E5443" i="56"/>
  <c r="F5443" i="56" s="1"/>
  <c r="I5443" i="56"/>
  <c r="C5444" i="56"/>
  <c r="D5444" i="56" s="1"/>
  <c r="E5444" i="56"/>
  <c r="F5444" i="56" s="1"/>
  <c r="C5445" i="56"/>
  <c r="D5445" i="56" s="1"/>
  <c r="E5445" i="56"/>
  <c r="F5445" i="56" s="1"/>
  <c r="I5445" i="56"/>
  <c r="L5445" i="56"/>
  <c r="C5446" i="56"/>
  <c r="D5446" i="56" s="1"/>
  <c r="E5446" i="56"/>
  <c r="F5446" i="56" s="1"/>
  <c r="I5446" i="56"/>
  <c r="L5446" i="56"/>
  <c r="C5447" i="56"/>
  <c r="D5447" i="56" s="1"/>
  <c r="E5447" i="56"/>
  <c r="F5447" i="56" s="1"/>
  <c r="I5447" i="56"/>
  <c r="L5447" i="56"/>
  <c r="C5448" i="56"/>
  <c r="D5448" i="56" s="1"/>
  <c r="E5448" i="56"/>
  <c r="F5448" i="56" s="1"/>
  <c r="I5448" i="56"/>
  <c r="L5448" i="56"/>
  <c r="C5449" i="56"/>
  <c r="D5449" i="56" s="1"/>
  <c r="E5449" i="56"/>
  <c r="F5449" i="56" s="1"/>
  <c r="I5449" i="56"/>
  <c r="C5450" i="56"/>
  <c r="D5450" i="56" s="1"/>
  <c r="E5450" i="56"/>
  <c r="F5450" i="56" s="1"/>
  <c r="I5450" i="56"/>
  <c r="C5451" i="56"/>
  <c r="D5451" i="56"/>
  <c r="E5451" i="56"/>
  <c r="F5451" i="56" s="1"/>
  <c r="I5451" i="56"/>
  <c r="C5452" i="56"/>
  <c r="D5452" i="56" s="1"/>
  <c r="E5452" i="56"/>
  <c r="F5452" i="56" s="1"/>
  <c r="I5452" i="56"/>
  <c r="L5452" i="56"/>
  <c r="C5453" i="56"/>
  <c r="D5453" i="56" s="1"/>
  <c r="E5453" i="56"/>
  <c r="F5453" i="56" s="1"/>
  <c r="C5454" i="56"/>
  <c r="D5454" i="56" s="1"/>
  <c r="E5454" i="56"/>
  <c r="F5454" i="56" s="1"/>
  <c r="I5454" i="56"/>
  <c r="L5454" i="56"/>
  <c r="C5455" i="56"/>
  <c r="D5455" i="56" s="1"/>
  <c r="E5455" i="56"/>
  <c r="F5455" i="56" s="1"/>
  <c r="I5455" i="56"/>
  <c r="C5456" i="56"/>
  <c r="D5456" i="56" s="1"/>
  <c r="E5456" i="56"/>
  <c r="F5456" i="56" s="1"/>
  <c r="C5457" i="56"/>
  <c r="D5457" i="56" s="1"/>
  <c r="E5457" i="56"/>
  <c r="F5457" i="56" s="1"/>
  <c r="I5457" i="56"/>
  <c r="L5457" i="56"/>
  <c r="C5458" i="56"/>
  <c r="D5458" i="56"/>
  <c r="E5458" i="56"/>
  <c r="F5458" i="56" s="1"/>
  <c r="I5458" i="56"/>
  <c r="L5458" i="56"/>
  <c r="C5459" i="56"/>
  <c r="D5459" i="56" s="1"/>
  <c r="E5459" i="56"/>
  <c r="F5459" i="56" s="1"/>
  <c r="I5459" i="56"/>
  <c r="L5459" i="56"/>
  <c r="C5460" i="56"/>
  <c r="D5460" i="56" s="1"/>
  <c r="E5460" i="56"/>
  <c r="F5460" i="56" s="1"/>
  <c r="I5460" i="56"/>
  <c r="L5460" i="56"/>
  <c r="C5461" i="56"/>
  <c r="D5461" i="56"/>
  <c r="E5461" i="56"/>
  <c r="F5461" i="56" s="1"/>
  <c r="I5461" i="56"/>
  <c r="C5462" i="56"/>
  <c r="D5462" i="56" s="1"/>
  <c r="E5462" i="56"/>
  <c r="F5462" i="56" s="1"/>
  <c r="I5462" i="56"/>
  <c r="C5463" i="56"/>
  <c r="D5463" i="56" s="1"/>
  <c r="E5463" i="56"/>
  <c r="F5463" i="56" s="1"/>
  <c r="I5463" i="56"/>
  <c r="C5464" i="56"/>
  <c r="D5464" i="56" s="1"/>
  <c r="E5464" i="56"/>
  <c r="F5464" i="56" s="1"/>
  <c r="I5464" i="56"/>
  <c r="L5464" i="56"/>
  <c r="C5465" i="56"/>
  <c r="D5465" i="56" s="1"/>
  <c r="E5465" i="56"/>
  <c r="F5465" i="56" s="1"/>
  <c r="L5465" i="56"/>
  <c r="C5466" i="56"/>
  <c r="D5466" i="56" s="1"/>
  <c r="E5466" i="56"/>
  <c r="F5466" i="56" s="1"/>
  <c r="I5466" i="56"/>
  <c r="L5466" i="56"/>
  <c r="C5467" i="56"/>
  <c r="D5467" i="56" s="1"/>
  <c r="E5467" i="56"/>
  <c r="F5467" i="56" s="1"/>
  <c r="I5467" i="56"/>
  <c r="C5468" i="56"/>
  <c r="D5468" i="56"/>
  <c r="E5468" i="56"/>
  <c r="F5468" i="56" s="1"/>
  <c r="C5469" i="56"/>
  <c r="D5469" i="56" s="1"/>
  <c r="E5469" i="56"/>
  <c r="F5469" i="56" s="1"/>
  <c r="I5469" i="56"/>
  <c r="L5469" i="56"/>
  <c r="C5470" i="56"/>
  <c r="D5470" i="56" s="1"/>
  <c r="E5470" i="56"/>
  <c r="F5470" i="56" s="1"/>
  <c r="I5470" i="56"/>
  <c r="L5470" i="56"/>
  <c r="C5471" i="56"/>
  <c r="D5471" i="56" s="1"/>
  <c r="E5471" i="56"/>
  <c r="F5471" i="56" s="1"/>
  <c r="I5471" i="56"/>
  <c r="L5471" i="56"/>
  <c r="C5472" i="56"/>
  <c r="D5472" i="56" s="1"/>
  <c r="E5472" i="56"/>
  <c r="F5472" i="56" s="1"/>
  <c r="I5472" i="56"/>
  <c r="L5472" i="56"/>
  <c r="C5473" i="56"/>
  <c r="D5473" i="56" s="1"/>
  <c r="E5473" i="56"/>
  <c r="F5473" i="56" s="1"/>
  <c r="I5473" i="56"/>
  <c r="C5474" i="56"/>
  <c r="D5474" i="56" s="1"/>
  <c r="E5474" i="56"/>
  <c r="F5474" i="56" s="1"/>
  <c r="I5474" i="56"/>
  <c r="C5475" i="56"/>
  <c r="D5475" i="56" s="1"/>
  <c r="E5475" i="56"/>
  <c r="F5475" i="56" s="1"/>
  <c r="I5475" i="56"/>
  <c r="C5476" i="56"/>
  <c r="D5476" i="56" s="1"/>
  <c r="E5476" i="56"/>
  <c r="F5476" i="56" s="1"/>
  <c r="I5476" i="56"/>
  <c r="L5476" i="56"/>
  <c r="C5477" i="56"/>
  <c r="D5477" i="56" s="1"/>
  <c r="E5477" i="56"/>
  <c r="F5477" i="56" s="1"/>
  <c r="L5477" i="56"/>
  <c r="C5478" i="56"/>
  <c r="D5478" i="56" s="1"/>
  <c r="E5478" i="56"/>
  <c r="F5478" i="56" s="1"/>
  <c r="I5478" i="56"/>
  <c r="L5478" i="56"/>
  <c r="C5479" i="56"/>
  <c r="D5479" i="56" s="1"/>
  <c r="E5479" i="56"/>
  <c r="F5479" i="56" s="1"/>
  <c r="I5479" i="56"/>
  <c r="C5480" i="56"/>
  <c r="D5480" i="56" s="1"/>
  <c r="E5480" i="56"/>
  <c r="F5480" i="56" s="1"/>
  <c r="C5481" i="56"/>
  <c r="D5481" i="56" s="1"/>
  <c r="E5481" i="56"/>
  <c r="F5481" i="56" s="1"/>
  <c r="I5481" i="56"/>
  <c r="L5481" i="56"/>
  <c r="C5482" i="56"/>
  <c r="D5482" i="56" s="1"/>
  <c r="E5482" i="56"/>
  <c r="F5482" i="56" s="1"/>
  <c r="I5482" i="56"/>
  <c r="L5482" i="56"/>
  <c r="C5483" i="56"/>
  <c r="D5483" i="56" s="1"/>
  <c r="E5483" i="56"/>
  <c r="F5483" i="56" s="1"/>
  <c r="I5483" i="56"/>
  <c r="L5483" i="56"/>
  <c r="C5484" i="56"/>
  <c r="D5484" i="56" s="1"/>
  <c r="E5484" i="56"/>
  <c r="F5484" i="56" s="1"/>
  <c r="I5484" i="56"/>
  <c r="L5484" i="56"/>
  <c r="C5485" i="56"/>
  <c r="D5485" i="56" s="1"/>
  <c r="E5485" i="56"/>
  <c r="F5485" i="56" s="1"/>
  <c r="I5485" i="56"/>
  <c r="C5486" i="56"/>
  <c r="D5486" i="56" s="1"/>
  <c r="E5486" i="56"/>
  <c r="F5486" i="56" s="1"/>
  <c r="I5486" i="56"/>
  <c r="C5487" i="56"/>
  <c r="D5487" i="56" s="1"/>
  <c r="E5487" i="56"/>
  <c r="F5487" i="56" s="1"/>
  <c r="I5487" i="56"/>
  <c r="C5488" i="56"/>
  <c r="D5488" i="56" s="1"/>
  <c r="E5488" i="56"/>
  <c r="F5488" i="56" s="1"/>
  <c r="I5488" i="56"/>
  <c r="L5488" i="56"/>
  <c r="C5489" i="56"/>
  <c r="D5489" i="56" s="1"/>
  <c r="E5489" i="56"/>
  <c r="F5489" i="56" s="1"/>
  <c r="L5489" i="56"/>
  <c r="C5490" i="56"/>
  <c r="D5490" i="56" s="1"/>
  <c r="E5490" i="56"/>
  <c r="F5490" i="56" s="1"/>
  <c r="I5490" i="56"/>
  <c r="L5490" i="56"/>
  <c r="C5491" i="56"/>
  <c r="D5491" i="56" s="1"/>
  <c r="E5491" i="56"/>
  <c r="F5491" i="56" s="1"/>
  <c r="I5491" i="56"/>
  <c r="C5492" i="56"/>
  <c r="D5492" i="56" s="1"/>
  <c r="E5492" i="56"/>
  <c r="F5492" i="56" s="1"/>
  <c r="C5493" i="56"/>
  <c r="D5493" i="56" s="1"/>
  <c r="E5493" i="56"/>
  <c r="F5493" i="56" s="1"/>
  <c r="I5493" i="56"/>
  <c r="L5493" i="56"/>
  <c r="C5494" i="56"/>
  <c r="D5494" i="56" s="1"/>
  <c r="E5494" i="56"/>
  <c r="F5494" i="56" s="1"/>
  <c r="I5494" i="56"/>
  <c r="L5494" i="56"/>
  <c r="C5495" i="56"/>
  <c r="D5495" i="56" s="1"/>
  <c r="E5495" i="56"/>
  <c r="F5495" i="56" s="1"/>
  <c r="I5495" i="56"/>
  <c r="L5495" i="56"/>
  <c r="C5496" i="56"/>
  <c r="D5496" i="56" s="1"/>
  <c r="E5496" i="56"/>
  <c r="F5496" i="56" s="1"/>
  <c r="I5496" i="56"/>
  <c r="L5496" i="56"/>
  <c r="C5497" i="56"/>
  <c r="D5497" i="56" s="1"/>
  <c r="E5497" i="56"/>
  <c r="F5497" i="56" s="1"/>
  <c r="I5497" i="56"/>
  <c r="C5498" i="56"/>
  <c r="D5498" i="56" s="1"/>
  <c r="E5498" i="56"/>
  <c r="F5498" i="56" s="1"/>
  <c r="I5498" i="56"/>
  <c r="C5499" i="56"/>
  <c r="D5499" i="56" s="1"/>
  <c r="E5499" i="56"/>
  <c r="F5499" i="56" s="1"/>
  <c r="I5499" i="56"/>
  <c r="C5500" i="56"/>
  <c r="D5500" i="56" s="1"/>
  <c r="E5500" i="56"/>
  <c r="F5500" i="56" s="1"/>
  <c r="I5500" i="56"/>
  <c r="L5500" i="56"/>
  <c r="C5501" i="56"/>
  <c r="D5501" i="56" s="1"/>
  <c r="E5501" i="56"/>
  <c r="F5501" i="56" s="1"/>
  <c r="L5501" i="56"/>
  <c r="C5502" i="56"/>
  <c r="D5502" i="56" s="1"/>
  <c r="E5502" i="56"/>
  <c r="F5502" i="56" s="1"/>
  <c r="I5502" i="56"/>
  <c r="L5502" i="56"/>
  <c r="C5503" i="56"/>
  <c r="D5503" i="56" s="1"/>
  <c r="E5503" i="56"/>
  <c r="F5503" i="56" s="1"/>
  <c r="I5503" i="56"/>
  <c r="C5504" i="56"/>
  <c r="D5504" i="56" s="1"/>
  <c r="E5504" i="56"/>
  <c r="F5504" i="56" s="1"/>
  <c r="C5505" i="56"/>
  <c r="D5505" i="56" s="1"/>
  <c r="E5505" i="56"/>
  <c r="F5505" i="56" s="1"/>
  <c r="I5505" i="56"/>
  <c r="L5505" i="56"/>
  <c r="C5506" i="56"/>
  <c r="D5506" i="56" s="1"/>
  <c r="E5506" i="56"/>
  <c r="F5506" i="56" s="1"/>
  <c r="I5506" i="56"/>
  <c r="L5506" i="56"/>
  <c r="C5507" i="56"/>
  <c r="D5507" i="56" s="1"/>
  <c r="E5507" i="56"/>
  <c r="F5507" i="56" s="1"/>
  <c r="I5507" i="56"/>
  <c r="L5507" i="56"/>
  <c r="C5508" i="56"/>
  <c r="D5508" i="56" s="1"/>
  <c r="E5508" i="56"/>
  <c r="F5508" i="56" s="1"/>
  <c r="I5508" i="56"/>
  <c r="L5508" i="56"/>
  <c r="C5509" i="56"/>
  <c r="D5509" i="56" s="1"/>
  <c r="E5509" i="56"/>
  <c r="F5509" i="56" s="1"/>
  <c r="I5509" i="56"/>
  <c r="C5510" i="56"/>
  <c r="D5510" i="56" s="1"/>
  <c r="E5510" i="56"/>
  <c r="F5510" i="56" s="1"/>
  <c r="I5510" i="56"/>
  <c r="C5511" i="56"/>
  <c r="D5511" i="56" s="1"/>
  <c r="E5511" i="56"/>
  <c r="F5511" i="56" s="1"/>
  <c r="I5511" i="56"/>
  <c r="C5512" i="56"/>
  <c r="D5512" i="56" s="1"/>
  <c r="E5512" i="56"/>
  <c r="F5512" i="56" s="1"/>
  <c r="I5512" i="56"/>
  <c r="C5513" i="56"/>
  <c r="D5513" i="56" s="1"/>
  <c r="E5513" i="56"/>
  <c r="F5513" i="56" s="1"/>
  <c r="L5513" i="56"/>
  <c r="C5514" i="56"/>
  <c r="D5514" i="56" s="1"/>
  <c r="E5514" i="56"/>
  <c r="F5514" i="56" s="1"/>
  <c r="I5514" i="56"/>
  <c r="L5514" i="56"/>
  <c r="C5515" i="56"/>
  <c r="D5515" i="56" s="1"/>
  <c r="E5515" i="56"/>
  <c r="F5515" i="56" s="1"/>
  <c r="I5515" i="56"/>
  <c r="C5516" i="56"/>
  <c r="D5516" i="56" s="1"/>
  <c r="E5516" i="56"/>
  <c r="F5516" i="56" s="1"/>
  <c r="C5517" i="56"/>
  <c r="D5517" i="56" s="1"/>
  <c r="E5517" i="56"/>
  <c r="F5517" i="56" s="1"/>
  <c r="I5517" i="56"/>
  <c r="L5517" i="56"/>
  <c r="C5518" i="56"/>
  <c r="D5518" i="56" s="1"/>
  <c r="E5518" i="56"/>
  <c r="F5518" i="56" s="1"/>
  <c r="I5518" i="56"/>
  <c r="L5518" i="56"/>
  <c r="C5519" i="56"/>
  <c r="D5519" i="56" s="1"/>
  <c r="E5519" i="56"/>
  <c r="F5519" i="56" s="1"/>
  <c r="I5519" i="56"/>
  <c r="L5519" i="56"/>
  <c r="C5520" i="56"/>
  <c r="D5520" i="56" s="1"/>
  <c r="E5520" i="56"/>
  <c r="F5520" i="56"/>
  <c r="I5520" i="56"/>
  <c r="L5520" i="56"/>
  <c r="C5521" i="56"/>
  <c r="D5521" i="56" s="1"/>
  <c r="E5521" i="56"/>
  <c r="F5521" i="56" s="1"/>
  <c r="I5521" i="56"/>
  <c r="C5522" i="56"/>
  <c r="D5522" i="56" s="1"/>
  <c r="E5522" i="56"/>
  <c r="F5522" i="56" s="1"/>
  <c r="I5522" i="56"/>
  <c r="C5523" i="56"/>
  <c r="D5523" i="56" s="1"/>
  <c r="E5523" i="56"/>
  <c r="F5523" i="56" s="1"/>
  <c r="I5523" i="56"/>
  <c r="C5524" i="56"/>
  <c r="D5524" i="56" s="1"/>
  <c r="E5524" i="56"/>
  <c r="F5524" i="56" s="1"/>
  <c r="I5524" i="56"/>
  <c r="C5525" i="56"/>
  <c r="D5525" i="56" s="1"/>
  <c r="E5525" i="56"/>
  <c r="F5525" i="56" s="1"/>
  <c r="L5525" i="56"/>
  <c r="C5526" i="56"/>
  <c r="D5526" i="56" s="1"/>
  <c r="E5526" i="56"/>
  <c r="F5526" i="56" s="1"/>
  <c r="I5526" i="56"/>
  <c r="L5526" i="56"/>
  <c r="C5527" i="56"/>
  <c r="D5527" i="56" s="1"/>
  <c r="E5527" i="56"/>
  <c r="F5527" i="56" s="1"/>
  <c r="I5527" i="56"/>
  <c r="C5528" i="56"/>
  <c r="D5528" i="56" s="1"/>
  <c r="E5528" i="56"/>
  <c r="F5528" i="56" s="1"/>
  <c r="C5529" i="56"/>
  <c r="D5529" i="56" s="1"/>
  <c r="E5529" i="56"/>
  <c r="F5529" i="56" s="1"/>
  <c r="I5529" i="56"/>
  <c r="L5529" i="56"/>
  <c r="C5530" i="56"/>
  <c r="D5530" i="56" s="1"/>
  <c r="E5530" i="56"/>
  <c r="F5530" i="56" s="1"/>
  <c r="I5530" i="56"/>
  <c r="L5530" i="56"/>
  <c r="C5531" i="56"/>
  <c r="D5531" i="56" s="1"/>
  <c r="E5531" i="56"/>
  <c r="F5531" i="56" s="1"/>
  <c r="I5531" i="56"/>
  <c r="L5531" i="56"/>
  <c r="C5532" i="56"/>
  <c r="D5532" i="56" s="1"/>
  <c r="E5532" i="56"/>
  <c r="F5532" i="56" s="1"/>
  <c r="I5532" i="56"/>
  <c r="L5532" i="56"/>
  <c r="C5533" i="56"/>
  <c r="D5533" i="56" s="1"/>
  <c r="E5533" i="56"/>
  <c r="F5533" i="56" s="1"/>
  <c r="I5533" i="56"/>
  <c r="C5534" i="56"/>
  <c r="D5534" i="56" s="1"/>
  <c r="E5534" i="56"/>
  <c r="F5534" i="56" s="1"/>
  <c r="I5534" i="56"/>
  <c r="C5535" i="56"/>
  <c r="D5535" i="56" s="1"/>
  <c r="E5535" i="56"/>
  <c r="F5535" i="56" s="1"/>
  <c r="I5535" i="56"/>
  <c r="C5536" i="56"/>
  <c r="D5536" i="56" s="1"/>
  <c r="E5536" i="56"/>
  <c r="F5536" i="56" s="1"/>
  <c r="I5536" i="56"/>
  <c r="L5536" i="56"/>
  <c r="C5537" i="56"/>
  <c r="D5537" i="56" s="1"/>
  <c r="E5537" i="56"/>
  <c r="F5537" i="56" s="1"/>
  <c r="L5537" i="56"/>
  <c r="C5538" i="56"/>
  <c r="D5538" i="56" s="1"/>
  <c r="E5538" i="56"/>
  <c r="F5538" i="56" s="1"/>
  <c r="I5538" i="56"/>
  <c r="L5538" i="56"/>
  <c r="C5539" i="56"/>
  <c r="D5539" i="56" s="1"/>
  <c r="E5539" i="56"/>
  <c r="F5539" i="56" s="1"/>
  <c r="I5539" i="56"/>
  <c r="C5540" i="56"/>
  <c r="D5540" i="56" s="1"/>
  <c r="E5540" i="56"/>
  <c r="F5540" i="56" s="1"/>
  <c r="C5541" i="56"/>
  <c r="D5541" i="56" s="1"/>
  <c r="E5541" i="56"/>
  <c r="F5541" i="56" s="1"/>
  <c r="I5541" i="56"/>
  <c r="L5541" i="56"/>
  <c r="C5542" i="56"/>
  <c r="D5542" i="56" s="1"/>
  <c r="E5542" i="56"/>
  <c r="F5542" i="56"/>
  <c r="I5542" i="56"/>
  <c r="L5542" i="56"/>
  <c r="C5543" i="56"/>
  <c r="D5543" i="56" s="1"/>
  <c r="E5543" i="56"/>
  <c r="F5543" i="56" s="1"/>
  <c r="I5543" i="56"/>
  <c r="L5543" i="56"/>
  <c r="C5544" i="56"/>
  <c r="D5544" i="56" s="1"/>
  <c r="E5544" i="56"/>
  <c r="F5544" i="56" s="1"/>
  <c r="I5544" i="56"/>
  <c r="L5544" i="56"/>
  <c r="C5545" i="56"/>
  <c r="D5545" i="56" s="1"/>
  <c r="E5545" i="56"/>
  <c r="F5545" i="56" s="1"/>
  <c r="I5545" i="56"/>
  <c r="C5546" i="56"/>
  <c r="D5546" i="56" s="1"/>
  <c r="E5546" i="56"/>
  <c r="F5546" i="56" s="1"/>
  <c r="I5546" i="56"/>
  <c r="C5547" i="56"/>
  <c r="D5547" i="56" s="1"/>
  <c r="E5547" i="56"/>
  <c r="F5547" i="56" s="1"/>
  <c r="I5547" i="56"/>
  <c r="C5548" i="56"/>
  <c r="D5548" i="56" s="1"/>
  <c r="E5548" i="56"/>
  <c r="F5548" i="56" s="1"/>
  <c r="I5548" i="56"/>
  <c r="L5548" i="56"/>
  <c r="C5549" i="56"/>
  <c r="D5549" i="56" s="1"/>
  <c r="E5549" i="56"/>
  <c r="F5549" i="56" s="1"/>
  <c r="L5549" i="56"/>
  <c r="C5550" i="56"/>
  <c r="D5550" i="56" s="1"/>
  <c r="E5550" i="56"/>
  <c r="F5550" i="56" s="1"/>
  <c r="I5550" i="56"/>
  <c r="L5550" i="56"/>
  <c r="C5551" i="56"/>
  <c r="D5551" i="56" s="1"/>
  <c r="E5551" i="56"/>
  <c r="F5551" i="56" s="1"/>
  <c r="I5551" i="56"/>
  <c r="C5552" i="56"/>
  <c r="D5552" i="56" s="1"/>
  <c r="E5552" i="56"/>
  <c r="F5552" i="56" s="1"/>
  <c r="I5552" i="56"/>
  <c r="C5553" i="56"/>
  <c r="D5553" i="56" s="1"/>
  <c r="E5553" i="56"/>
  <c r="F5553" i="56" s="1"/>
  <c r="I5553" i="56"/>
  <c r="L5553" i="56"/>
  <c r="C5554" i="56"/>
  <c r="D5554" i="56" s="1"/>
  <c r="E5554" i="56"/>
  <c r="F5554" i="56" s="1"/>
  <c r="I5554" i="56"/>
  <c r="L5554" i="56"/>
  <c r="C5555" i="56"/>
  <c r="D5555" i="56" s="1"/>
  <c r="E5555" i="56"/>
  <c r="F5555" i="56" s="1"/>
  <c r="I5555" i="56"/>
  <c r="L5555" i="56"/>
  <c r="C5556" i="56"/>
  <c r="D5556" i="56" s="1"/>
  <c r="E5556" i="56"/>
  <c r="F5556" i="56" s="1"/>
  <c r="I5556" i="56"/>
  <c r="L5556" i="56"/>
  <c r="C5557" i="56"/>
  <c r="D5557" i="56" s="1"/>
  <c r="E5557" i="56"/>
  <c r="F5557" i="56" s="1"/>
  <c r="I5557" i="56"/>
  <c r="C5558" i="56"/>
  <c r="D5558" i="56" s="1"/>
  <c r="E5558" i="56"/>
  <c r="F5558" i="56" s="1"/>
  <c r="I5558" i="56"/>
  <c r="C5559" i="56"/>
  <c r="D5559" i="56" s="1"/>
  <c r="E5559" i="56"/>
  <c r="F5559" i="56" s="1"/>
  <c r="I5559" i="56"/>
  <c r="C5560" i="56"/>
  <c r="D5560" i="56" s="1"/>
  <c r="E5560" i="56"/>
  <c r="F5560" i="56" s="1"/>
  <c r="I5560" i="56"/>
  <c r="L5560" i="56"/>
  <c r="C5561" i="56"/>
  <c r="D5561" i="56" s="1"/>
  <c r="E5561" i="56"/>
  <c r="F5561" i="56" s="1"/>
  <c r="L5561" i="56"/>
  <c r="C5562" i="56"/>
  <c r="D5562" i="56" s="1"/>
  <c r="E5562" i="56"/>
  <c r="F5562" i="56" s="1"/>
  <c r="I5562" i="56"/>
  <c r="L5562" i="56"/>
  <c r="C5563" i="56"/>
  <c r="D5563" i="56" s="1"/>
  <c r="E5563" i="56"/>
  <c r="F5563" i="56" s="1"/>
  <c r="I5563" i="56"/>
  <c r="C5564" i="56"/>
  <c r="D5564" i="56" s="1"/>
  <c r="E5564" i="56"/>
  <c r="F5564" i="56" s="1"/>
  <c r="C5565" i="56"/>
  <c r="D5565" i="56" s="1"/>
  <c r="E5565" i="56"/>
  <c r="F5565" i="56" s="1"/>
  <c r="I5565" i="56"/>
  <c r="L5565" i="56"/>
  <c r="C5566" i="56"/>
  <c r="D5566" i="56" s="1"/>
  <c r="E5566" i="56"/>
  <c r="F5566" i="56" s="1"/>
  <c r="I5566" i="56"/>
  <c r="L5566" i="56"/>
  <c r="C5567" i="56"/>
  <c r="D5567" i="56" s="1"/>
  <c r="E5567" i="56"/>
  <c r="F5567" i="56" s="1"/>
  <c r="I5567" i="56"/>
  <c r="L5567" i="56"/>
  <c r="C5568" i="56"/>
  <c r="D5568" i="56" s="1"/>
  <c r="E5568" i="56"/>
  <c r="F5568" i="56" s="1"/>
  <c r="I5568" i="56"/>
  <c r="L5568" i="56"/>
  <c r="C5569" i="56"/>
  <c r="D5569" i="56" s="1"/>
  <c r="E5569" i="56"/>
  <c r="F5569" i="56" s="1"/>
  <c r="I5569" i="56"/>
  <c r="C5570" i="56"/>
  <c r="D5570" i="56" s="1"/>
  <c r="E5570" i="56"/>
  <c r="F5570" i="56" s="1"/>
  <c r="I5570" i="56"/>
  <c r="C5571" i="56"/>
  <c r="D5571" i="56" s="1"/>
  <c r="E5571" i="56"/>
  <c r="F5571" i="56" s="1"/>
  <c r="I5571" i="56"/>
  <c r="C5572" i="56"/>
  <c r="D5572" i="56" s="1"/>
  <c r="E5572" i="56"/>
  <c r="F5572" i="56" s="1"/>
  <c r="I5572" i="56"/>
  <c r="C5573" i="56"/>
  <c r="D5573" i="56" s="1"/>
  <c r="E5573" i="56"/>
  <c r="F5573" i="56" s="1"/>
  <c r="L5573" i="56"/>
  <c r="C5574" i="56"/>
  <c r="D5574" i="56" s="1"/>
  <c r="E5574" i="56"/>
  <c r="F5574" i="56" s="1"/>
  <c r="I5574" i="56"/>
  <c r="L5574" i="56"/>
  <c r="C5575" i="56"/>
  <c r="D5575" i="56" s="1"/>
  <c r="E5575" i="56"/>
  <c r="F5575" i="56" s="1"/>
  <c r="I5575" i="56"/>
  <c r="C5576" i="56"/>
  <c r="D5576" i="56" s="1"/>
  <c r="E5576" i="56"/>
  <c r="F5576" i="56" s="1"/>
  <c r="I5576" i="56"/>
  <c r="C5577" i="56"/>
  <c r="D5577" i="56" s="1"/>
  <c r="E5577" i="56"/>
  <c r="F5577" i="56" s="1"/>
  <c r="I5577" i="56"/>
  <c r="L5577" i="56"/>
  <c r="C5578" i="56"/>
  <c r="D5578" i="56" s="1"/>
  <c r="E5578" i="56"/>
  <c r="F5578" i="56" s="1"/>
  <c r="I5578" i="56"/>
  <c r="L5578" i="56"/>
  <c r="C5579" i="56"/>
  <c r="D5579" i="56" s="1"/>
  <c r="E5579" i="56"/>
  <c r="F5579" i="56" s="1"/>
  <c r="I5579" i="56"/>
  <c r="L5579" i="56"/>
  <c r="C5580" i="56"/>
  <c r="D5580" i="56" s="1"/>
  <c r="E5580" i="56"/>
  <c r="F5580" i="56" s="1"/>
  <c r="I5580" i="56"/>
  <c r="L5580" i="56"/>
  <c r="C5581" i="56"/>
  <c r="D5581" i="56" s="1"/>
  <c r="E5581" i="56"/>
  <c r="F5581" i="56" s="1"/>
  <c r="I5581" i="56"/>
  <c r="C5582" i="56"/>
  <c r="D5582" i="56" s="1"/>
  <c r="E5582" i="56"/>
  <c r="F5582" i="56" s="1"/>
  <c r="I5582" i="56"/>
  <c r="C5583" i="56"/>
  <c r="D5583" i="56" s="1"/>
  <c r="E5583" i="56"/>
  <c r="F5583" i="56"/>
  <c r="I5583" i="56"/>
  <c r="C5584" i="56"/>
  <c r="D5584" i="56" s="1"/>
  <c r="E5584" i="56"/>
  <c r="F5584" i="56" s="1"/>
  <c r="I5584" i="56"/>
  <c r="C5585" i="56"/>
  <c r="D5585" i="56" s="1"/>
  <c r="E5585" i="56"/>
  <c r="F5585" i="56" s="1"/>
  <c r="L5585" i="56"/>
  <c r="C5586" i="56"/>
  <c r="D5586" i="56" s="1"/>
  <c r="E5586" i="56"/>
  <c r="F5586" i="56" s="1"/>
  <c r="I5586" i="56"/>
  <c r="L5586" i="56"/>
  <c r="C5587" i="56"/>
  <c r="D5587" i="56" s="1"/>
  <c r="E5587" i="56"/>
  <c r="F5587" i="56" s="1"/>
  <c r="I5587" i="56"/>
  <c r="C5588" i="56"/>
  <c r="D5588" i="56" s="1"/>
  <c r="E5588" i="56"/>
  <c r="F5588" i="56" s="1"/>
  <c r="C5589" i="56"/>
  <c r="D5589" i="56" s="1"/>
  <c r="E5589" i="56"/>
  <c r="F5589" i="56" s="1"/>
  <c r="I5589" i="56"/>
  <c r="L5589" i="56"/>
  <c r="C5590" i="56"/>
  <c r="D5590" i="56" s="1"/>
  <c r="E5590" i="56"/>
  <c r="F5590" i="56" s="1"/>
  <c r="I5590" i="56"/>
  <c r="L5590" i="56"/>
  <c r="C5591" i="56"/>
  <c r="D5591" i="56" s="1"/>
  <c r="E5591" i="56"/>
  <c r="F5591" i="56" s="1"/>
  <c r="I5591" i="56"/>
  <c r="L5591" i="56"/>
  <c r="C5592" i="56"/>
  <c r="D5592" i="56" s="1"/>
  <c r="E5592" i="56"/>
  <c r="F5592" i="56" s="1"/>
  <c r="I5592" i="56"/>
  <c r="L5592" i="56"/>
  <c r="C5593" i="56"/>
  <c r="D5593" i="56" s="1"/>
  <c r="E5593" i="56"/>
  <c r="F5593" i="56" s="1"/>
  <c r="I5593" i="56"/>
  <c r="C5594" i="56"/>
  <c r="D5594" i="56" s="1"/>
  <c r="E5594" i="56"/>
  <c r="F5594" i="56" s="1"/>
  <c r="I5594" i="56"/>
  <c r="C5595" i="56"/>
  <c r="D5595" i="56" s="1"/>
  <c r="E5595" i="56"/>
  <c r="F5595" i="56" s="1"/>
  <c r="I5595" i="56"/>
  <c r="C5596" i="56"/>
  <c r="D5596" i="56" s="1"/>
  <c r="E5596" i="56"/>
  <c r="F5596" i="56" s="1"/>
  <c r="I5596" i="56"/>
  <c r="C5597" i="56"/>
  <c r="D5597" i="56" s="1"/>
  <c r="E5597" i="56"/>
  <c r="F5597" i="56" s="1"/>
  <c r="L5597" i="56"/>
  <c r="C5598" i="56"/>
  <c r="D5598" i="56" s="1"/>
  <c r="E5598" i="56"/>
  <c r="F5598" i="56" s="1"/>
  <c r="I5598" i="56"/>
  <c r="L5598" i="56"/>
  <c r="C5599" i="56"/>
  <c r="D5599" i="56" s="1"/>
  <c r="E5599" i="56"/>
  <c r="F5599" i="56" s="1"/>
  <c r="I5599" i="56"/>
  <c r="C5600" i="56"/>
  <c r="D5600" i="56" s="1"/>
  <c r="E5600" i="56"/>
  <c r="F5600" i="56" s="1"/>
  <c r="C5601" i="56"/>
  <c r="D5601" i="56" s="1"/>
  <c r="E5601" i="56"/>
  <c r="F5601" i="56" s="1"/>
  <c r="I5601" i="56"/>
  <c r="L5601" i="56"/>
  <c r="C5602" i="56"/>
  <c r="D5602" i="56" s="1"/>
  <c r="E5602" i="56"/>
  <c r="F5602" i="56" s="1"/>
  <c r="I5602" i="56"/>
  <c r="L5602" i="56"/>
  <c r="C5603" i="56"/>
  <c r="D5603" i="56" s="1"/>
  <c r="E5603" i="56"/>
  <c r="F5603" i="56" s="1"/>
  <c r="I5603" i="56"/>
  <c r="L5603" i="56"/>
  <c r="C5604" i="56"/>
  <c r="D5604" i="56" s="1"/>
  <c r="E5604" i="56"/>
  <c r="F5604" i="56" s="1"/>
  <c r="I5604" i="56"/>
  <c r="L5604" i="56"/>
  <c r="C5605" i="56"/>
  <c r="D5605" i="56" s="1"/>
  <c r="E5605" i="56"/>
  <c r="F5605" i="56" s="1"/>
  <c r="I5605" i="56"/>
  <c r="C5606" i="56"/>
  <c r="D5606" i="56" s="1"/>
  <c r="E5606" i="56"/>
  <c r="F5606" i="56" s="1"/>
  <c r="I5606" i="56"/>
  <c r="C5607" i="56"/>
  <c r="D5607" i="56" s="1"/>
  <c r="E5607" i="56"/>
  <c r="F5607" i="56" s="1"/>
  <c r="I5607" i="56"/>
  <c r="C5608" i="56"/>
  <c r="D5608" i="56" s="1"/>
  <c r="E5608" i="56"/>
  <c r="F5608" i="56" s="1"/>
  <c r="I5608" i="56"/>
  <c r="L5608" i="56"/>
  <c r="C5609" i="56"/>
  <c r="D5609" i="56" s="1"/>
  <c r="E5609" i="56"/>
  <c r="F5609" i="56" s="1"/>
  <c r="L5609" i="56"/>
  <c r="C5610" i="56"/>
  <c r="D5610" i="56" s="1"/>
  <c r="E5610" i="56"/>
  <c r="F5610" i="56" s="1"/>
  <c r="I5610" i="56"/>
  <c r="L5610" i="56"/>
  <c r="C5611" i="56"/>
  <c r="D5611" i="56" s="1"/>
  <c r="E5611" i="56"/>
  <c r="F5611" i="56" s="1"/>
  <c r="I5611" i="56"/>
  <c r="C5612" i="56"/>
  <c r="D5612" i="56" s="1"/>
  <c r="E5612" i="56"/>
  <c r="F5612" i="56" s="1"/>
  <c r="C5613" i="56"/>
  <c r="D5613" i="56" s="1"/>
  <c r="E5613" i="56"/>
  <c r="F5613" i="56" s="1"/>
  <c r="I5613" i="56"/>
  <c r="L5613" i="56"/>
  <c r="C5614" i="56"/>
  <c r="D5614" i="56" s="1"/>
  <c r="E5614" i="56"/>
  <c r="F5614" i="56"/>
  <c r="I5614" i="56"/>
  <c r="L5614" i="56"/>
  <c r="C5615" i="56"/>
  <c r="D5615" i="56" s="1"/>
  <c r="E5615" i="56"/>
  <c r="F5615" i="56" s="1"/>
  <c r="I5615" i="56"/>
  <c r="L5615" i="56"/>
  <c r="C5616" i="56"/>
  <c r="D5616" i="56" s="1"/>
  <c r="E5616" i="56"/>
  <c r="F5616" i="56" s="1"/>
  <c r="I5616" i="56"/>
  <c r="L5616" i="56"/>
  <c r="C5617" i="56"/>
  <c r="D5617" i="56" s="1"/>
  <c r="E5617" i="56"/>
  <c r="F5617" i="56" s="1"/>
  <c r="I5617" i="56"/>
  <c r="C5618" i="56"/>
  <c r="D5618" i="56" s="1"/>
  <c r="E5618" i="56"/>
  <c r="F5618" i="56" s="1"/>
  <c r="I5618" i="56"/>
  <c r="C5619" i="56"/>
  <c r="D5619" i="56"/>
  <c r="E5619" i="56"/>
  <c r="F5619" i="56" s="1"/>
  <c r="I5619" i="56"/>
  <c r="C5620" i="56"/>
  <c r="D5620" i="56" s="1"/>
  <c r="E5620" i="56"/>
  <c r="F5620" i="56" s="1"/>
  <c r="I5620" i="56"/>
  <c r="L5620" i="56"/>
  <c r="C5621" i="56"/>
  <c r="D5621" i="56" s="1"/>
  <c r="E5621" i="56"/>
  <c r="F5621" i="56" s="1"/>
  <c r="L5621" i="56"/>
  <c r="C5622" i="56"/>
  <c r="D5622" i="56" s="1"/>
  <c r="E5622" i="56"/>
  <c r="F5622" i="56" s="1"/>
  <c r="I5622" i="56"/>
  <c r="L5622" i="56"/>
  <c r="C5623" i="56"/>
  <c r="D5623" i="56" s="1"/>
  <c r="E5623" i="56"/>
  <c r="F5623" i="56" s="1"/>
  <c r="I5623" i="56"/>
  <c r="C5624" i="56"/>
  <c r="D5624" i="56" s="1"/>
  <c r="E5624" i="56"/>
  <c r="F5624" i="56" s="1"/>
  <c r="C5625" i="56"/>
  <c r="D5625" i="56" s="1"/>
  <c r="E5625" i="56"/>
  <c r="F5625" i="56" s="1"/>
  <c r="I5625" i="56"/>
  <c r="L5625" i="56"/>
  <c r="C5626" i="56"/>
  <c r="D5626" i="56" s="1"/>
  <c r="E5626" i="56"/>
  <c r="F5626" i="56" s="1"/>
  <c r="I5626" i="56"/>
  <c r="L5626" i="56"/>
  <c r="C5627" i="56"/>
  <c r="D5627" i="56"/>
  <c r="E5627" i="56"/>
  <c r="F5627" i="56" s="1"/>
  <c r="I5627" i="56"/>
  <c r="L5627" i="56"/>
  <c r="C5628" i="56"/>
  <c r="D5628" i="56" s="1"/>
  <c r="E5628" i="56"/>
  <c r="F5628" i="56" s="1"/>
  <c r="I5628" i="56"/>
  <c r="L5628" i="56"/>
  <c r="C5629" i="56"/>
  <c r="D5629" i="56" s="1"/>
  <c r="E5629" i="56"/>
  <c r="F5629" i="56" s="1"/>
  <c r="I5629" i="56"/>
  <c r="C5630" i="56"/>
  <c r="D5630" i="56" s="1"/>
  <c r="E5630" i="56"/>
  <c r="F5630" i="56" s="1"/>
  <c r="I5630" i="56"/>
  <c r="C5631" i="56"/>
  <c r="D5631" i="56" s="1"/>
  <c r="E5631" i="56"/>
  <c r="F5631" i="56" s="1"/>
  <c r="I5631" i="56"/>
  <c r="C5632" i="56"/>
  <c r="D5632" i="56" s="1"/>
  <c r="E5632" i="56"/>
  <c r="F5632" i="56" s="1"/>
  <c r="I5632" i="56"/>
  <c r="L5632" i="56"/>
  <c r="C5633" i="56"/>
  <c r="D5633" i="56" s="1"/>
  <c r="E5633" i="56"/>
  <c r="F5633" i="56" s="1"/>
  <c r="L5633" i="56"/>
  <c r="C5634" i="56"/>
  <c r="D5634" i="56" s="1"/>
  <c r="E5634" i="56"/>
  <c r="F5634" i="56" s="1"/>
  <c r="I5634" i="56"/>
  <c r="L5634" i="56"/>
  <c r="C5635" i="56"/>
  <c r="D5635" i="56" s="1"/>
  <c r="E5635" i="56"/>
  <c r="F5635" i="56" s="1"/>
  <c r="I5635" i="56"/>
  <c r="C5636" i="56"/>
  <c r="D5636" i="56" s="1"/>
  <c r="E5636" i="56"/>
  <c r="F5636" i="56" s="1"/>
  <c r="C5637" i="56"/>
  <c r="D5637" i="56" s="1"/>
  <c r="E5637" i="56"/>
  <c r="F5637" i="56" s="1"/>
  <c r="I5637" i="56"/>
  <c r="L5637" i="56"/>
  <c r="C5638" i="56"/>
  <c r="D5638" i="56" s="1"/>
  <c r="E5638" i="56"/>
  <c r="F5638" i="56" s="1"/>
  <c r="I5638" i="56"/>
  <c r="L5638" i="56"/>
  <c r="C5639" i="56"/>
  <c r="D5639" i="56" s="1"/>
  <c r="E5639" i="56"/>
  <c r="F5639" i="56" s="1"/>
  <c r="I5639" i="56"/>
  <c r="L5639" i="56"/>
  <c r="C5640" i="56"/>
  <c r="D5640" i="56" s="1"/>
  <c r="E5640" i="56"/>
  <c r="F5640" i="56" s="1"/>
  <c r="I5640" i="56"/>
  <c r="L5640" i="56"/>
  <c r="C5641" i="56"/>
  <c r="D5641" i="56" s="1"/>
  <c r="E5641" i="56"/>
  <c r="F5641" i="56" s="1"/>
  <c r="I5641" i="56"/>
  <c r="C5642" i="56"/>
  <c r="D5642" i="56" s="1"/>
  <c r="E5642" i="56"/>
  <c r="F5642" i="56" s="1"/>
  <c r="I5642" i="56"/>
  <c r="C5643" i="56"/>
  <c r="D5643" i="56" s="1"/>
  <c r="E5643" i="56"/>
  <c r="F5643" i="56" s="1"/>
  <c r="I5643" i="56"/>
  <c r="C5644" i="56"/>
  <c r="D5644" i="56" s="1"/>
  <c r="E5644" i="56"/>
  <c r="F5644" i="56" s="1"/>
  <c r="I5644" i="56"/>
  <c r="L5644" i="56"/>
  <c r="C5645" i="56"/>
  <c r="D5645" i="56" s="1"/>
  <c r="E5645" i="56"/>
  <c r="F5645" i="56" s="1"/>
  <c r="L5645" i="56"/>
  <c r="C5646" i="56"/>
  <c r="D5646" i="56" s="1"/>
  <c r="E5646" i="56"/>
  <c r="F5646" i="56" s="1"/>
  <c r="I5646" i="56"/>
  <c r="L5646" i="56"/>
  <c r="C5647" i="56"/>
  <c r="D5647" i="56" s="1"/>
  <c r="E5647" i="56"/>
  <c r="F5647" i="56" s="1"/>
  <c r="I5647" i="56"/>
  <c r="C5648" i="56"/>
  <c r="D5648" i="56" s="1"/>
  <c r="E5648" i="56"/>
  <c r="F5648" i="56" s="1"/>
  <c r="C5649" i="56"/>
  <c r="D5649" i="56" s="1"/>
  <c r="E5649" i="56"/>
  <c r="F5649" i="56" s="1"/>
  <c r="I5649" i="56"/>
  <c r="L5649" i="56"/>
  <c r="C5650" i="56"/>
  <c r="D5650" i="56" s="1"/>
  <c r="E5650" i="56"/>
  <c r="F5650" i="56" s="1"/>
  <c r="I5650" i="56"/>
  <c r="L5650" i="56"/>
  <c r="C5651" i="56"/>
  <c r="D5651" i="56" s="1"/>
  <c r="E5651" i="56"/>
  <c r="F5651" i="56" s="1"/>
  <c r="I5651" i="56"/>
  <c r="L5651" i="56"/>
  <c r="C5652" i="56"/>
  <c r="D5652" i="56" s="1"/>
  <c r="E5652" i="56"/>
  <c r="F5652" i="56" s="1"/>
  <c r="I5652" i="56"/>
  <c r="L5652" i="56"/>
  <c r="C5653" i="56"/>
  <c r="D5653" i="56" s="1"/>
  <c r="E5653" i="56"/>
  <c r="F5653" i="56" s="1"/>
  <c r="I5653" i="56"/>
  <c r="C5654" i="56"/>
  <c r="D5654" i="56" s="1"/>
  <c r="E5654" i="56"/>
  <c r="F5654" i="56" s="1"/>
  <c r="I5654" i="56"/>
  <c r="C5655" i="56"/>
  <c r="D5655" i="56" s="1"/>
  <c r="E5655" i="56"/>
  <c r="F5655" i="56" s="1"/>
  <c r="I5655" i="56"/>
  <c r="C5656" i="56"/>
  <c r="D5656" i="56" s="1"/>
  <c r="E5656" i="56"/>
  <c r="F5656" i="56" s="1"/>
  <c r="I5656" i="56"/>
  <c r="L5656" i="56"/>
  <c r="C5657" i="56"/>
  <c r="D5657" i="56" s="1"/>
  <c r="E5657" i="56"/>
  <c r="F5657" i="56" s="1"/>
  <c r="L5657" i="56"/>
  <c r="C5658" i="56"/>
  <c r="D5658" i="56" s="1"/>
  <c r="E5658" i="56"/>
  <c r="F5658" i="56" s="1"/>
  <c r="I5658" i="56"/>
  <c r="L5658" i="56"/>
  <c r="C5659" i="56"/>
  <c r="D5659" i="56" s="1"/>
  <c r="E5659" i="56"/>
  <c r="F5659" i="56" s="1"/>
  <c r="I5659" i="56"/>
  <c r="C5660" i="56"/>
  <c r="D5660" i="56" s="1"/>
  <c r="E5660" i="56"/>
  <c r="F5660" i="56" s="1"/>
  <c r="C5661" i="56"/>
  <c r="D5661" i="56" s="1"/>
  <c r="E5661" i="56"/>
  <c r="F5661" i="56" s="1"/>
  <c r="I5661" i="56"/>
  <c r="L5661" i="56"/>
  <c r="C5662" i="56"/>
  <c r="D5662" i="56" s="1"/>
  <c r="E5662" i="56"/>
  <c r="F5662" i="56" s="1"/>
  <c r="I5662" i="56"/>
  <c r="L5662" i="56"/>
  <c r="C5663" i="56"/>
  <c r="D5663" i="56" s="1"/>
  <c r="E5663" i="56"/>
  <c r="F5663" i="56" s="1"/>
  <c r="I5663" i="56"/>
  <c r="L5663" i="56"/>
  <c r="C5664" i="56"/>
  <c r="D5664" i="56" s="1"/>
  <c r="E5664" i="56"/>
  <c r="F5664" i="56" s="1"/>
  <c r="I5664" i="56"/>
  <c r="L5664" i="56"/>
  <c r="C5665" i="56"/>
  <c r="D5665" i="56" s="1"/>
  <c r="E5665" i="56"/>
  <c r="F5665" i="56" s="1"/>
  <c r="I5665" i="56"/>
  <c r="C5666" i="56"/>
  <c r="D5666" i="56" s="1"/>
  <c r="E5666" i="56"/>
  <c r="F5666" i="56" s="1"/>
  <c r="I5666" i="56"/>
  <c r="C5667" i="56"/>
  <c r="D5667" i="56" s="1"/>
  <c r="E5667" i="56"/>
  <c r="F5667" i="56" s="1"/>
  <c r="I5667" i="56"/>
  <c r="C5668" i="56"/>
  <c r="D5668" i="56" s="1"/>
  <c r="E5668" i="56"/>
  <c r="F5668" i="56" s="1"/>
  <c r="I5668" i="56"/>
  <c r="L5668" i="56"/>
  <c r="C5669" i="56"/>
  <c r="D5669" i="56" s="1"/>
  <c r="E5669" i="56"/>
  <c r="F5669" i="56" s="1"/>
  <c r="L5669" i="56"/>
  <c r="C5670" i="56"/>
  <c r="D5670" i="56" s="1"/>
  <c r="E5670" i="56"/>
  <c r="F5670" i="56" s="1"/>
  <c r="I5670" i="56"/>
  <c r="L5670" i="56"/>
  <c r="C5671" i="56"/>
  <c r="D5671" i="56" s="1"/>
  <c r="E5671" i="56"/>
  <c r="F5671" i="56" s="1"/>
  <c r="I5671" i="56"/>
  <c r="C5672" i="56"/>
  <c r="D5672" i="56" s="1"/>
  <c r="E5672" i="56"/>
  <c r="F5672" i="56" s="1"/>
  <c r="L5672" i="56"/>
  <c r="C5673" i="56"/>
  <c r="D5673" i="56" s="1"/>
  <c r="E5673" i="56"/>
  <c r="F5673" i="56" s="1"/>
  <c r="I5673" i="56"/>
  <c r="L5673" i="56"/>
  <c r="C5674" i="56"/>
  <c r="D5674" i="56" s="1"/>
  <c r="E5674" i="56"/>
  <c r="F5674" i="56" s="1"/>
  <c r="I5674" i="56"/>
  <c r="L5674" i="56"/>
  <c r="C5675" i="56"/>
  <c r="D5675" i="56" s="1"/>
  <c r="E5675" i="56"/>
  <c r="F5675" i="56" s="1"/>
  <c r="I5675" i="56"/>
  <c r="L5675" i="56"/>
  <c r="C5676" i="56"/>
  <c r="D5676" i="56" s="1"/>
  <c r="E5676" i="56"/>
  <c r="F5676" i="56" s="1"/>
  <c r="I5676" i="56"/>
  <c r="L5676" i="56"/>
  <c r="C5677" i="56"/>
  <c r="D5677" i="56" s="1"/>
  <c r="E5677" i="56"/>
  <c r="F5677" i="56" s="1"/>
  <c r="I5677" i="56"/>
  <c r="C5678" i="56"/>
  <c r="D5678" i="56" s="1"/>
  <c r="E5678" i="56"/>
  <c r="F5678" i="56" s="1"/>
  <c r="I5678" i="56"/>
  <c r="C5679" i="56"/>
  <c r="D5679" i="56" s="1"/>
  <c r="E5679" i="56"/>
  <c r="F5679" i="56" s="1"/>
  <c r="I5679" i="56"/>
  <c r="C5680" i="56"/>
  <c r="D5680" i="56" s="1"/>
  <c r="E5680" i="56"/>
  <c r="F5680" i="56" s="1"/>
  <c r="I5680" i="56"/>
  <c r="C5681" i="56"/>
  <c r="D5681" i="56" s="1"/>
  <c r="E5681" i="56"/>
  <c r="F5681" i="56" s="1"/>
  <c r="L5681" i="56"/>
  <c r="C5682" i="56"/>
  <c r="D5682" i="56" s="1"/>
  <c r="E5682" i="56"/>
  <c r="F5682" i="56" s="1"/>
  <c r="I5682" i="56"/>
  <c r="L5682" i="56"/>
  <c r="C5683" i="56"/>
  <c r="D5683" i="56" s="1"/>
  <c r="E5683" i="56"/>
  <c r="F5683" i="56" s="1"/>
  <c r="I5683" i="56"/>
  <c r="C5684" i="56"/>
  <c r="D5684" i="56" s="1"/>
  <c r="E5684" i="56"/>
  <c r="F5684" i="56" s="1"/>
  <c r="C5685" i="56"/>
  <c r="D5685" i="56" s="1"/>
  <c r="E5685" i="56"/>
  <c r="F5685" i="56" s="1"/>
  <c r="I5685" i="56"/>
  <c r="L5685" i="56"/>
  <c r="C5686" i="56"/>
  <c r="D5686" i="56" s="1"/>
  <c r="E5686" i="56"/>
  <c r="F5686" i="56" s="1"/>
  <c r="I5686" i="56"/>
  <c r="L5686" i="56"/>
  <c r="C5687" i="56"/>
  <c r="D5687" i="56" s="1"/>
  <c r="E5687" i="56"/>
  <c r="F5687" i="56" s="1"/>
  <c r="I5687" i="56"/>
  <c r="L5687" i="56"/>
  <c r="C5688" i="56"/>
  <c r="D5688" i="56" s="1"/>
  <c r="E5688" i="56"/>
  <c r="F5688" i="56" s="1"/>
  <c r="I5688" i="56"/>
  <c r="L5688" i="56"/>
  <c r="C5689" i="56"/>
  <c r="D5689" i="56" s="1"/>
  <c r="E5689" i="56"/>
  <c r="F5689" i="56" s="1"/>
  <c r="I5689" i="56"/>
  <c r="C5690" i="56"/>
  <c r="D5690" i="56" s="1"/>
  <c r="E5690" i="56"/>
  <c r="F5690" i="56" s="1"/>
  <c r="I5690" i="56"/>
  <c r="C5691" i="56"/>
  <c r="D5691" i="56" s="1"/>
  <c r="E5691" i="56"/>
  <c r="F5691" i="56" s="1"/>
  <c r="I5691" i="56"/>
  <c r="C5692" i="56"/>
  <c r="D5692" i="56" s="1"/>
  <c r="E5692" i="56"/>
  <c r="F5692" i="56" s="1"/>
  <c r="I5692" i="56"/>
  <c r="L5692" i="56"/>
  <c r="C5693" i="56"/>
  <c r="D5693" i="56" s="1"/>
  <c r="E5693" i="56"/>
  <c r="F5693" i="56" s="1"/>
  <c r="L5693" i="56"/>
  <c r="C5694" i="56"/>
  <c r="D5694" i="56" s="1"/>
  <c r="E5694" i="56"/>
  <c r="F5694" i="56" s="1"/>
  <c r="I5694" i="56"/>
  <c r="L5694" i="56"/>
  <c r="C5695" i="56"/>
  <c r="D5695" i="56" s="1"/>
  <c r="E5695" i="56"/>
  <c r="F5695" i="56" s="1"/>
  <c r="I5695" i="56"/>
  <c r="C5696" i="56"/>
  <c r="D5696" i="56" s="1"/>
  <c r="E5696" i="56"/>
  <c r="F5696" i="56" s="1"/>
  <c r="C5697" i="56"/>
  <c r="D5697" i="56" s="1"/>
  <c r="E5697" i="56"/>
  <c r="F5697" i="56" s="1"/>
  <c r="I5697" i="56"/>
  <c r="L5697" i="56"/>
  <c r="C5698" i="56"/>
  <c r="D5698" i="56" s="1"/>
  <c r="E5698" i="56"/>
  <c r="F5698" i="56" s="1"/>
  <c r="I5698" i="56"/>
  <c r="L5698" i="56"/>
  <c r="C5699" i="56"/>
  <c r="D5699" i="56" s="1"/>
  <c r="E5699" i="56"/>
  <c r="F5699" i="56" s="1"/>
  <c r="I5699" i="56"/>
  <c r="L5699" i="56"/>
  <c r="C5700" i="56"/>
  <c r="D5700" i="56" s="1"/>
  <c r="E5700" i="56"/>
  <c r="F5700" i="56" s="1"/>
  <c r="I5700" i="56"/>
  <c r="L5700" i="56"/>
  <c r="C5701" i="56"/>
  <c r="D5701" i="56" s="1"/>
  <c r="E5701" i="56"/>
  <c r="F5701" i="56" s="1"/>
  <c r="I5701" i="56"/>
  <c r="C5702" i="56"/>
  <c r="D5702" i="56" s="1"/>
  <c r="E5702" i="56"/>
  <c r="F5702" i="56" s="1"/>
  <c r="I5702" i="56"/>
  <c r="C5703" i="56"/>
  <c r="D5703" i="56" s="1"/>
  <c r="E5703" i="56"/>
  <c r="F5703" i="56" s="1"/>
  <c r="I5703" i="56"/>
  <c r="C5704" i="56"/>
  <c r="D5704" i="56" s="1"/>
  <c r="E5704" i="56"/>
  <c r="F5704" i="56" s="1"/>
  <c r="I5704" i="56"/>
  <c r="L5704" i="56"/>
  <c r="C5705" i="56"/>
  <c r="D5705" i="56" s="1"/>
  <c r="E5705" i="56"/>
  <c r="F5705" i="56" s="1"/>
  <c r="L5705" i="56"/>
  <c r="C5706" i="56"/>
  <c r="D5706" i="56" s="1"/>
  <c r="E5706" i="56"/>
  <c r="F5706" i="56" s="1"/>
  <c r="I5706" i="56"/>
  <c r="L5706" i="56"/>
  <c r="C5707" i="56"/>
  <c r="D5707" i="56" s="1"/>
  <c r="E5707" i="56"/>
  <c r="F5707" i="56" s="1"/>
  <c r="I5707" i="56"/>
  <c r="C5708" i="56"/>
  <c r="D5708" i="56" s="1"/>
  <c r="E5708" i="56"/>
  <c r="F5708" i="56" s="1"/>
  <c r="C5709" i="56"/>
  <c r="D5709" i="56" s="1"/>
  <c r="E5709" i="56"/>
  <c r="F5709" i="56" s="1"/>
  <c r="I5709" i="56"/>
  <c r="L5709" i="56"/>
  <c r="C5710" i="56"/>
  <c r="D5710" i="56" s="1"/>
  <c r="E5710" i="56"/>
  <c r="F5710" i="56" s="1"/>
  <c r="I5710" i="56"/>
  <c r="L5710" i="56"/>
  <c r="C5711" i="56"/>
  <c r="D5711" i="56" s="1"/>
  <c r="E5711" i="56"/>
  <c r="F5711" i="56" s="1"/>
  <c r="I5711" i="56"/>
  <c r="L5711" i="56"/>
  <c r="C5712" i="56"/>
  <c r="D5712" i="56" s="1"/>
  <c r="E5712" i="56"/>
  <c r="F5712" i="56" s="1"/>
  <c r="I5712" i="56"/>
  <c r="L5712" i="56"/>
  <c r="C5713" i="56"/>
  <c r="D5713" i="56" s="1"/>
  <c r="E5713" i="56"/>
  <c r="F5713" i="56" s="1"/>
  <c r="I5713" i="56"/>
  <c r="C5714" i="56"/>
  <c r="D5714" i="56" s="1"/>
  <c r="E5714" i="56"/>
  <c r="F5714" i="56" s="1"/>
  <c r="I5714" i="56"/>
  <c r="C5715" i="56"/>
  <c r="D5715" i="56" s="1"/>
  <c r="E5715" i="56"/>
  <c r="F5715" i="56" s="1"/>
  <c r="I5715" i="56"/>
  <c r="C5716" i="56"/>
  <c r="D5716" i="56" s="1"/>
  <c r="E5716" i="56"/>
  <c r="F5716" i="56" s="1"/>
  <c r="I5716" i="56"/>
  <c r="L5716" i="56"/>
  <c r="C5717" i="56"/>
  <c r="D5717" i="56" s="1"/>
  <c r="E5717" i="56"/>
  <c r="F5717" i="56" s="1"/>
  <c r="L5717" i="56"/>
  <c r="C5718" i="56"/>
  <c r="D5718" i="56" s="1"/>
  <c r="E5718" i="56"/>
  <c r="F5718" i="56" s="1"/>
  <c r="I5718" i="56"/>
  <c r="L5718" i="56"/>
  <c r="C5719" i="56"/>
  <c r="D5719" i="56" s="1"/>
  <c r="E5719" i="56"/>
  <c r="F5719" i="56" s="1"/>
  <c r="I5719" i="56"/>
  <c r="C5720" i="56"/>
  <c r="D5720" i="56" s="1"/>
  <c r="E5720" i="56"/>
  <c r="F5720" i="56" s="1"/>
  <c r="C5721" i="56"/>
  <c r="D5721" i="56" s="1"/>
  <c r="E5721" i="56"/>
  <c r="F5721" i="56" s="1"/>
  <c r="I5721" i="56"/>
  <c r="L5721" i="56"/>
  <c r="C5722" i="56"/>
  <c r="D5722" i="56" s="1"/>
  <c r="E5722" i="56"/>
  <c r="F5722" i="56" s="1"/>
  <c r="I5722" i="56"/>
  <c r="L5722" i="56"/>
  <c r="C5723" i="56"/>
  <c r="D5723" i="56" s="1"/>
  <c r="E5723" i="56"/>
  <c r="F5723" i="56" s="1"/>
  <c r="I5723" i="56"/>
  <c r="L5723" i="56"/>
  <c r="C5724" i="56"/>
  <c r="D5724" i="56" s="1"/>
  <c r="E5724" i="56"/>
  <c r="F5724" i="56" s="1"/>
  <c r="I5724" i="56"/>
  <c r="L5724" i="56"/>
  <c r="C5725" i="56"/>
  <c r="D5725" i="56" s="1"/>
  <c r="E5725" i="56"/>
  <c r="F5725" i="56" s="1"/>
  <c r="I5725" i="56"/>
  <c r="C5726" i="56"/>
  <c r="D5726" i="56" s="1"/>
  <c r="E5726" i="56"/>
  <c r="F5726" i="56" s="1"/>
  <c r="I5726" i="56"/>
  <c r="C5727" i="56"/>
  <c r="D5727" i="56" s="1"/>
  <c r="E5727" i="56"/>
  <c r="F5727" i="56" s="1"/>
  <c r="I5727" i="56"/>
  <c r="C5728" i="56"/>
  <c r="D5728" i="56" s="1"/>
  <c r="E5728" i="56"/>
  <c r="F5728" i="56" s="1"/>
  <c r="I5728" i="56"/>
  <c r="C5729" i="56"/>
  <c r="D5729" i="56" s="1"/>
  <c r="E5729" i="56"/>
  <c r="F5729" i="56" s="1"/>
  <c r="L5729" i="56"/>
  <c r="C5730" i="56"/>
  <c r="D5730" i="56" s="1"/>
  <c r="E5730" i="56"/>
  <c r="F5730" i="56" s="1"/>
  <c r="I5730" i="56"/>
  <c r="L5730" i="56"/>
  <c r="C5731" i="56"/>
  <c r="D5731" i="56" s="1"/>
  <c r="E5731" i="56"/>
  <c r="F5731" i="56" s="1"/>
  <c r="I5731" i="56"/>
  <c r="C5732" i="56"/>
  <c r="D5732" i="56" s="1"/>
  <c r="E5732" i="56"/>
  <c r="F5732" i="56" s="1"/>
  <c r="C5733" i="56"/>
  <c r="D5733" i="56" s="1"/>
  <c r="E5733" i="56"/>
  <c r="F5733" i="56" s="1"/>
  <c r="I5733" i="56"/>
  <c r="L5733" i="56"/>
  <c r="C5734" i="56"/>
  <c r="D5734" i="56" s="1"/>
  <c r="E5734" i="56"/>
  <c r="F5734" i="56" s="1"/>
  <c r="I5734" i="56"/>
  <c r="L5734" i="56"/>
  <c r="C5735" i="56"/>
  <c r="D5735" i="56" s="1"/>
  <c r="E5735" i="56"/>
  <c r="F5735" i="56" s="1"/>
  <c r="I5735" i="56"/>
  <c r="L5735" i="56"/>
  <c r="C5736" i="56"/>
  <c r="D5736" i="56" s="1"/>
  <c r="E5736" i="56"/>
  <c r="F5736" i="56" s="1"/>
  <c r="I5736" i="56"/>
  <c r="L5736" i="56"/>
  <c r="C5737" i="56"/>
  <c r="D5737" i="56" s="1"/>
  <c r="E5737" i="56"/>
  <c r="F5737" i="56" s="1"/>
  <c r="I5737" i="56"/>
  <c r="C5738" i="56"/>
  <c r="D5738" i="56" s="1"/>
  <c r="E5738" i="56"/>
  <c r="F5738" i="56" s="1"/>
  <c r="I5738" i="56"/>
  <c r="C5739" i="56"/>
  <c r="D5739" i="56" s="1"/>
  <c r="E5739" i="56"/>
  <c r="F5739" i="56" s="1"/>
  <c r="I5739" i="56"/>
  <c r="C5740" i="56"/>
  <c r="D5740" i="56" s="1"/>
  <c r="E5740" i="56"/>
  <c r="F5740" i="56" s="1"/>
  <c r="I5740" i="56"/>
  <c r="L5740" i="56"/>
  <c r="C5741" i="56"/>
  <c r="D5741" i="56" s="1"/>
  <c r="E5741" i="56"/>
  <c r="F5741" i="56" s="1"/>
  <c r="L5741" i="56"/>
  <c r="C5742" i="56"/>
  <c r="D5742" i="56" s="1"/>
  <c r="E5742" i="56"/>
  <c r="F5742" i="56" s="1"/>
  <c r="I5742" i="56"/>
  <c r="L5742" i="56"/>
  <c r="C5743" i="56"/>
  <c r="D5743" i="56" s="1"/>
  <c r="E5743" i="56"/>
  <c r="F5743" i="56" s="1"/>
  <c r="I5743" i="56"/>
  <c r="C5744" i="56"/>
  <c r="D5744" i="56" s="1"/>
  <c r="E5744" i="56"/>
  <c r="F5744" i="56" s="1"/>
  <c r="C5745" i="56"/>
  <c r="D5745" i="56" s="1"/>
  <c r="E5745" i="56"/>
  <c r="F5745" i="56" s="1"/>
  <c r="I5745" i="56"/>
  <c r="L5745" i="56"/>
  <c r="C5746" i="56"/>
  <c r="D5746" i="56" s="1"/>
  <c r="E5746" i="56"/>
  <c r="F5746" i="56" s="1"/>
  <c r="I5746" i="56"/>
  <c r="L5746" i="56"/>
  <c r="C5747" i="56"/>
  <c r="D5747" i="56" s="1"/>
  <c r="E5747" i="56"/>
  <c r="F5747" i="56" s="1"/>
  <c r="I5747" i="56"/>
  <c r="L5747" i="56"/>
  <c r="C5748" i="56"/>
  <c r="D5748" i="56" s="1"/>
  <c r="E5748" i="56"/>
  <c r="F5748" i="56" s="1"/>
  <c r="I5748" i="56"/>
  <c r="L5748" i="56"/>
  <c r="C5749" i="56"/>
  <c r="D5749" i="56" s="1"/>
  <c r="E5749" i="56"/>
  <c r="F5749" i="56" s="1"/>
  <c r="I5749" i="56"/>
  <c r="C5750" i="56"/>
  <c r="D5750" i="56" s="1"/>
  <c r="E5750" i="56"/>
  <c r="F5750" i="56" s="1"/>
  <c r="I5750" i="56"/>
  <c r="C5751" i="56"/>
  <c r="D5751" i="56" s="1"/>
  <c r="E5751" i="56"/>
  <c r="F5751" i="56" s="1"/>
  <c r="I5751" i="56"/>
  <c r="C5752" i="56"/>
  <c r="D5752" i="56" s="1"/>
  <c r="E5752" i="56"/>
  <c r="F5752" i="56" s="1"/>
  <c r="I5752" i="56"/>
  <c r="L5752" i="56"/>
  <c r="C5753" i="56"/>
  <c r="D5753" i="56" s="1"/>
  <c r="E5753" i="56"/>
  <c r="F5753" i="56" s="1"/>
  <c r="I5753" i="56"/>
  <c r="L5753" i="56"/>
  <c r="C5754" i="56"/>
  <c r="D5754" i="56" s="1"/>
  <c r="E5754" i="56"/>
  <c r="F5754" i="56" s="1"/>
  <c r="I5754" i="56"/>
  <c r="L5754" i="56"/>
  <c r="C5755" i="56"/>
  <c r="D5755" i="56" s="1"/>
  <c r="E5755" i="56"/>
  <c r="F5755" i="56" s="1"/>
  <c r="I5755" i="56"/>
  <c r="C5756" i="56"/>
  <c r="D5756" i="56" s="1"/>
  <c r="E5756" i="56"/>
  <c r="F5756" i="56" s="1"/>
  <c r="C5757" i="56"/>
  <c r="D5757" i="56" s="1"/>
  <c r="E5757" i="56"/>
  <c r="F5757" i="56"/>
  <c r="I5757" i="56"/>
  <c r="L5757" i="56"/>
  <c r="C5758" i="56"/>
  <c r="D5758" i="56" s="1"/>
  <c r="E5758" i="56"/>
  <c r="F5758" i="56" s="1"/>
  <c r="I5758" i="56"/>
  <c r="L5758" i="56"/>
  <c r="C5759" i="56"/>
  <c r="D5759" i="56" s="1"/>
  <c r="E5759" i="56"/>
  <c r="F5759" i="56" s="1"/>
  <c r="I5759" i="56"/>
  <c r="L5759" i="56"/>
  <c r="C5760" i="56"/>
  <c r="D5760" i="56" s="1"/>
  <c r="E5760" i="56"/>
  <c r="F5760" i="56" s="1"/>
  <c r="I5760" i="56"/>
  <c r="L5760" i="56"/>
  <c r="C5761" i="56"/>
  <c r="D5761" i="56" s="1"/>
  <c r="E5761" i="56"/>
  <c r="F5761" i="56" s="1"/>
  <c r="I5761" i="56"/>
  <c r="C5762" i="56"/>
  <c r="D5762" i="56" s="1"/>
  <c r="E5762" i="56"/>
  <c r="F5762" i="56" s="1"/>
  <c r="I5762" i="56"/>
  <c r="C5763" i="56"/>
  <c r="D5763" i="56" s="1"/>
  <c r="E5763" i="56"/>
  <c r="F5763" i="56" s="1"/>
  <c r="I5763" i="56"/>
  <c r="C5764" i="56"/>
  <c r="D5764" i="56" s="1"/>
  <c r="E5764" i="56"/>
  <c r="F5764" i="56" s="1"/>
  <c r="I5764" i="56"/>
  <c r="L5764" i="56"/>
  <c r="C5765" i="56"/>
  <c r="D5765" i="56" s="1"/>
  <c r="E5765" i="56"/>
  <c r="F5765" i="56" s="1"/>
  <c r="L5765" i="56"/>
  <c r="C5766" i="56"/>
  <c r="D5766" i="56" s="1"/>
  <c r="E5766" i="56"/>
  <c r="F5766" i="56" s="1"/>
  <c r="I5766" i="56"/>
  <c r="L5766" i="56"/>
  <c r="C5767" i="56"/>
  <c r="D5767" i="56" s="1"/>
  <c r="E5767" i="56"/>
  <c r="F5767" i="56" s="1"/>
  <c r="I5767" i="56"/>
  <c r="C5768" i="56"/>
  <c r="D5768" i="56" s="1"/>
  <c r="E5768" i="56"/>
  <c r="F5768" i="56" s="1"/>
  <c r="C5769" i="56"/>
  <c r="D5769" i="56" s="1"/>
  <c r="E5769" i="56"/>
  <c r="F5769" i="56" s="1"/>
  <c r="I5769" i="56"/>
  <c r="L5769" i="56"/>
  <c r="C5770" i="56"/>
  <c r="D5770" i="56" s="1"/>
  <c r="E5770" i="56"/>
  <c r="F5770" i="56" s="1"/>
  <c r="I5770" i="56"/>
  <c r="L5770" i="56"/>
  <c r="C5771" i="56"/>
  <c r="D5771" i="56" s="1"/>
  <c r="E5771" i="56"/>
  <c r="F5771" i="56" s="1"/>
  <c r="I5771" i="56"/>
  <c r="L5771" i="56"/>
  <c r="C5772" i="56"/>
  <c r="D5772" i="56" s="1"/>
  <c r="E5772" i="56"/>
  <c r="F5772" i="56" s="1"/>
  <c r="I5772" i="56"/>
  <c r="L5772" i="56"/>
  <c r="C5773" i="56"/>
  <c r="D5773" i="56" s="1"/>
  <c r="E5773" i="56"/>
  <c r="F5773" i="56" s="1"/>
  <c r="I5773" i="56"/>
  <c r="C5774" i="56"/>
  <c r="D5774" i="56" s="1"/>
  <c r="E5774" i="56"/>
  <c r="F5774" i="56" s="1"/>
  <c r="I5774" i="56"/>
  <c r="C5775" i="56"/>
  <c r="D5775" i="56" s="1"/>
  <c r="E5775" i="56"/>
  <c r="F5775" i="56" s="1"/>
  <c r="I5775" i="56"/>
  <c r="C5776" i="56"/>
  <c r="D5776" i="56" s="1"/>
  <c r="E5776" i="56"/>
  <c r="F5776" i="56" s="1"/>
  <c r="I5776" i="56"/>
  <c r="C5777" i="56"/>
  <c r="D5777" i="56" s="1"/>
  <c r="E5777" i="56"/>
  <c r="F5777" i="56" s="1"/>
  <c r="L5777" i="56"/>
  <c r="C5778" i="56"/>
  <c r="D5778" i="56" s="1"/>
  <c r="E5778" i="56"/>
  <c r="F5778" i="56" s="1"/>
  <c r="I5778" i="56"/>
  <c r="L5778" i="56"/>
  <c r="C5779" i="56"/>
  <c r="D5779" i="56" s="1"/>
  <c r="E5779" i="56"/>
  <c r="F5779" i="56" s="1"/>
  <c r="I5779" i="56"/>
  <c r="C5780" i="56"/>
  <c r="D5780" i="56" s="1"/>
  <c r="E5780" i="56"/>
  <c r="F5780" i="56" s="1"/>
  <c r="C5781" i="56"/>
  <c r="D5781" i="56" s="1"/>
  <c r="E5781" i="56"/>
  <c r="F5781" i="56" s="1"/>
  <c r="I5781" i="56"/>
  <c r="L5781" i="56"/>
  <c r="C5782" i="56"/>
  <c r="D5782" i="56" s="1"/>
  <c r="E5782" i="56"/>
  <c r="F5782" i="56"/>
  <c r="I5782" i="56"/>
  <c r="L5782" i="56"/>
  <c r="C5783" i="56"/>
  <c r="D5783" i="56" s="1"/>
  <c r="E5783" i="56"/>
  <c r="F5783" i="56" s="1"/>
  <c r="I5783" i="56"/>
  <c r="L5783" i="56"/>
  <c r="C5784" i="56"/>
  <c r="D5784" i="56" s="1"/>
  <c r="E5784" i="56"/>
  <c r="F5784" i="56" s="1"/>
  <c r="I5784" i="56"/>
  <c r="L5784" i="56"/>
  <c r="C5785" i="56"/>
  <c r="D5785" i="56" s="1"/>
  <c r="E5785" i="56"/>
  <c r="F5785" i="56" s="1"/>
  <c r="I5785" i="56"/>
  <c r="C5786" i="56"/>
  <c r="D5786" i="56" s="1"/>
  <c r="E5786" i="56"/>
  <c r="F5786" i="56" s="1"/>
  <c r="I5786" i="56"/>
  <c r="C5787" i="56"/>
  <c r="D5787" i="56" s="1"/>
  <c r="E5787" i="56"/>
  <c r="F5787" i="56" s="1"/>
  <c r="I5787" i="56"/>
  <c r="C5788" i="56"/>
  <c r="D5788" i="56" s="1"/>
  <c r="E5788" i="56"/>
  <c r="F5788" i="56" s="1"/>
  <c r="I5788" i="56"/>
  <c r="L5788" i="56"/>
  <c r="C5789" i="56"/>
  <c r="D5789" i="56" s="1"/>
  <c r="E5789" i="56"/>
  <c r="F5789" i="56" s="1"/>
  <c r="L5789" i="56"/>
  <c r="C5790" i="56"/>
  <c r="D5790" i="56" s="1"/>
  <c r="E5790" i="56"/>
  <c r="F5790" i="56" s="1"/>
  <c r="I5790" i="56"/>
  <c r="L5790" i="56"/>
  <c r="C5791" i="56"/>
  <c r="D5791" i="56" s="1"/>
  <c r="E5791" i="56"/>
  <c r="F5791" i="56" s="1"/>
  <c r="I5791" i="56"/>
  <c r="C5792" i="56"/>
  <c r="D5792" i="56" s="1"/>
  <c r="E5792" i="56"/>
  <c r="F5792" i="56" s="1"/>
  <c r="C5793" i="56"/>
  <c r="D5793" i="56" s="1"/>
  <c r="E5793" i="56"/>
  <c r="F5793" i="56" s="1"/>
  <c r="I5793" i="56"/>
  <c r="L5793" i="56"/>
  <c r="C5794" i="56"/>
  <c r="D5794" i="56" s="1"/>
  <c r="E5794" i="56"/>
  <c r="F5794" i="56" s="1"/>
  <c r="I5794" i="56"/>
  <c r="L5794" i="56"/>
  <c r="C5795" i="56"/>
  <c r="D5795" i="56" s="1"/>
  <c r="E5795" i="56"/>
  <c r="F5795" i="56" s="1"/>
  <c r="I5795" i="56"/>
  <c r="L5795" i="56"/>
  <c r="C5796" i="56"/>
  <c r="D5796" i="56" s="1"/>
  <c r="E5796" i="56"/>
  <c r="F5796" i="56" s="1"/>
  <c r="I5796" i="56"/>
  <c r="L5796" i="56"/>
  <c r="C5797" i="56"/>
  <c r="D5797" i="56" s="1"/>
  <c r="E5797" i="56"/>
  <c r="F5797" i="56" s="1"/>
  <c r="I5797" i="56"/>
  <c r="C5798" i="56"/>
  <c r="D5798" i="56" s="1"/>
  <c r="E5798" i="56"/>
  <c r="F5798" i="56" s="1"/>
  <c r="I5798" i="56"/>
  <c r="C5799" i="56"/>
  <c r="D5799" i="56" s="1"/>
  <c r="E5799" i="56"/>
  <c r="F5799" i="56" s="1"/>
  <c r="I5799" i="56"/>
  <c r="C5800" i="56"/>
  <c r="D5800" i="56" s="1"/>
  <c r="E5800" i="56"/>
  <c r="F5800" i="56" s="1"/>
  <c r="I5800" i="56"/>
  <c r="L5800" i="56"/>
  <c r="C5801" i="56"/>
  <c r="D5801" i="56" s="1"/>
  <c r="E5801" i="56"/>
  <c r="F5801" i="56" s="1"/>
  <c r="L5801" i="56"/>
  <c r="C5802" i="56"/>
  <c r="D5802" i="56" s="1"/>
  <c r="E5802" i="56"/>
  <c r="F5802" i="56" s="1"/>
  <c r="I5802" i="56"/>
  <c r="L5802" i="56"/>
  <c r="C5803" i="56"/>
  <c r="D5803" i="56" s="1"/>
  <c r="E5803" i="56"/>
  <c r="F5803" i="56"/>
  <c r="I5803" i="56"/>
  <c r="C5804" i="56"/>
  <c r="D5804" i="56" s="1"/>
  <c r="E5804" i="56"/>
  <c r="F5804" i="56" s="1"/>
  <c r="C5805" i="56"/>
  <c r="D5805" i="56" s="1"/>
  <c r="E5805" i="56"/>
  <c r="F5805" i="56" s="1"/>
  <c r="I5805" i="56"/>
  <c r="L5805" i="56"/>
  <c r="C5806" i="56"/>
  <c r="D5806" i="56" s="1"/>
  <c r="E5806" i="56"/>
  <c r="F5806" i="56" s="1"/>
  <c r="I5806" i="56"/>
  <c r="L5806" i="56"/>
  <c r="C5807" i="56"/>
  <c r="D5807" i="56" s="1"/>
  <c r="E5807" i="56"/>
  <c r="F5807" i="56" s="1"/>
  <c r="I5807" i="56"/>
  <c r="L5807" i="56"/>
  <c r="C5808" i="56"/>
  <c r="D5808" i="56" s="1"/>
  <c r="E5808" i="56"/>
  <c r="F5808" i="56" s="1"/>
  <c r="I5808" i="56"/>
  <c r="L5808" i="56"/>
  <c r="C5809" i="56"/>
  <c r="D5809" i="56" s="1"/>
  <c r="E5809" i="56"/>
  <c r="F5809" i="56" s="1"/>
  <c r="I5809" i="56"/>
  <c r="C5810" i="56"/>
  <c r="D5810" i="56" s="1"/>
  <c r="E5810" i="56"/>
  <c r="F5810" i="56" s="1"/>
  <c r="I5810" i="56"/>
  <c r="C5811" i="56"/>
  <c r="D5811" i="56" s="1"/>
  <c r="E5811" i="56"/>
  <c r="F5811" i="56" s="1"/>
  <c r="I5811" i="56"/>
  <c r="C5812" i="56"/>
  <c r="D5812" i="56" s="1"/>
  <c r="E5812" i="56"/>
  <c r="F5812" i="56" s="1"/>
  <c r="I5812" i="56"/>
  <c r="L5812" i="56"/>
  <c r="C5813" i="56"/>
  <c r="D5813" i="56" s="1"/>
  <c r="E5813" i="56"/>
  <c r="F5813" i="56" s="1"/>
  <c r="L5813" i="56"/>
  <c r="C5814" i="56"/>
  <c r="D5814" i="56" s="1"/>
  <c r="E5814" i="56"/>
  <c r="F5814" i="56" s="1"/>
  <c r="I5814" i="56"/>
  <c r="L5814" i="56"/>
  <c r="C5815" i="56"/>
  <c r="D5815" i="56"/>
  <c r="E5815" i="56"/>
  <c r="F5815" i="56" s="1"/>
  <c r="I5815" i="56"/>
  <c r="C5816" i="56"/>
  <c r="D5816" i="56" s="1"/>
  <c r="E5816" i="56"/>
  <c r="F5816" i="56" s="1"/>
  <c r="C5817" i="56"/>
  <c r="D5817" i="56" s="1"/>
  <c r="E5817" i="56"/>
  <c r="F5817" i="56" s="1"/>
  <c r="I5817" i="56"/>
  <c r="L5817" i="56"/>
  <c r="C5818" i="56"/>
  <c r="D5818" i="56" s="1"/>
  <c r="E5818" i="56"/>
  <c r="F5818" i="56" s="1"/>
  <c r="I5818" i="56"/>
  <c r="L5818" i="56"/>
  <c r="C5819" i="56"/>
  <c r="D5819" i="56" s="1"/>
  <c r="E5819" i="56"/>
  <c r="F5819" i="56" s="1"/>
  <c r="I5819" i="56"/>
  <c r="L5819" i="56"/>
  <c r="C5820" i="56"/>
  <c r="D5820" i="56" s="1"/>
  <c r="E5820" i="56"/>
  <c r="F5820" i="56" s="1"/>
  <c r="I5820" i="56"/>
  <c r="L5820" i="56"/>
  <c r="C5821" i="56"/>
  <c r="D5821" i="56" s="1"/>
  <c r="E5821" i="56"/>
  <c r="F5821" i="56" s="1"/>
  <c r="I5821" i="56"/>
  <c r="C5822" i="56"/>
  <c r="D5822" i="56" s="1"/>
  <c r="E5822" i="56"/>
  <c r="F5822" i="56" s="1"/>
  <c r="I5822" i="56"/>
  <c r="C5823" i="56"/>
  <c r="D5823" i="56" s="1"/>
  <c r="E5823" i="56"/>
  <c r="F5823" i="56" s="1"/>
  <c r="I5823" i="56"/>
  <c r="C5824" i="56"/>
  <c r="D5824" i="56" s="1"/>
  <c r="E5824" i="56"/>
  <c r="F5824" i="56" s="1"/>
  <c r="I5824" i="56"/>
  <c r="L5824" i="56"/>
  <c r="C5825" i="56"/>
  <c r="D5825" i="56" s="1"/>
  <c r="E5825" i="56"/>
  <c r="F5825" i="56" s="1"/>
  <c r="L5825" i="56"/>
  <c r="C5826" i="56"/>
  <c r="D5826" i="56" s="1"/>
  <c r="E5826" i="56"/>
  <c r="F5826" i="56" s="1"/>
  <c r="I5826" i="56"/>
  <c r="L5826" i="56"/>
  <c r="C5827" i="56"/>
  <c r="D5827" i="56" s="1"/>
  <c r="E5827" i="56"/>
  <c r="F5827" i="56" s="1"/>
  <c r="I5827" i="56"/>
  <c r="C5828" i="56"/>
  <c r="D5828" i="56" s="1"/>
  <c r="E5828" i="56"/>
  <c r="F5828" i="56" s="1"/>
  <c r="C5829" i="56"/>
  <c r="D5829" i="56" s="1"/>
  <c r="E5829" i="56"/>
  <c r="F5829" i="56" s="1"/>
  <c r="I5829" i="56"/>
  <c r="L5829" i="56"/>
  <c r="C5830" i="56"/>
  <c r="D5830" i="56" s="1"/>
  <c r="E5830" i="56"/>
  <c r="F5830" i="56" s="1"/>
  <c r="I5830" i="56"/>
  <c r="L5830" i="56"/>
  <c r="C5831" i="56"/>
  <c r="D5831" i="56" s="1"/>
  <c r="E5831" i="56"/>
  <c r="F5831" i="56" s="1"/>
  <c r="I5831" i="56"/>
  <c r="L5831" i="56"/>
  <c r="C5832" i="56"/>
  <c r="D5832" i="56" s="1"/>
  <c r="E5832" i="56"/>
  <c r="F5832" i="56" s="1"/>
  <c r="I5832" i="56"/>
  <c r="L5832" i="56"/>
  <c r="C5833" i="56"/>
  <c r="D5833" i="56" s="1"/>
  <c r="E5833" i="56"/>
  <c r="F5833" i="56" s="1"/>
  <c r="I5833" i="56"/>
  <c r="C5834" i="56"/>
  <c r="D5834" i="56" s="1"/>
  <c r="E5834" i="56"/>
  <c r="F5834" i="56" s="1"/>
  <c r="I5834" i="56"/>
  <c r="C5835" i="56"/>
  <c r="D5835" i="56" s="1"/>
  <c r="E5835" i="56"/>
  <c r="F5835" i="56" s="1"/>
  <c r="I5835" i="56"/>
  <c r="C5836" i="56"/>
  <c r="D5836" i="56" s="1"/>
  <c r="E5836" i="56"/>
  <c r="F5836" i="56" s="1"/>
  <c r="I5836" i="56"/>
  <c r="L5836" i="56"/>
  <c r="C5837" i="56"/>
  <c r="D5837" i="56" s="1"/>
  <c r="E5837" i="56"/>
  <c r="F5837" i="56" s="1"/>
  <c r="L5837" i="56"/>
  <c r="C5838" i="56"/>
  <c r="D5838" i="56" s="1"/>
  <c r="E5838" i="56"/>
  <c r="F5838" i="56" s="1"/>
  <c r="I5838" i="56"/>
  <c r="L5838" i="56"/>
  <c r="C5839" i="56"/>
  <c r="D5839" i="56" s="1"/>
  <c r="E5839" i="56"/>
  <c r="F5839" i="56" s="1"/>
  <c r="I5839" i="56"/>
  <c r="L5839" i="56"/>
  <c r="C5840" i="56"/>
  <c r="D5840" i="56" s="1"/>
  <c r="E5840" i="56"/>
  <c r="F5840" i="56" s="1"/>
  <c r="C5841" i="56"/>
  <c r="D5841" i="56" s="1"/>
  <c r="E5841" i="56"/>
  <c r="F5841" i="56" s="1"/>
  <c r="I5841" i="56"/>
  <c r="L5841" i="56"/>
  <c r="C5842" i="56"/>
  <c r="D5842" i="56" s="1"/>
  <c r="E5842" i="56"/>
  <c r="F5842" i="56" s="1"/>
  <c r="I5842" i="56"/>
  <c r="L5842" i="56"/>
  <c r="C5843" i="56"/>
  <c r="D5843" i="56" s="1"/>
  <c r="E5843" i="56"/>
  <c r="F5843" i="56" s="1"/>
  <c r="I5843" i="56"/>
  <c r="L5843" i="56"/>
  <c r="C5844" i="56"/>
  <c r="D5844" i="56" s="1"/>
  <c r="E5844" i="56"/>
  <c r="F5844" i="56" s="1"/>
  <c r="I5844" i="56"/>
  <c r="L5844" i="56"/>
  <c r="C5845" i="56"/>
  <c r="D5845" i="56" s="1"/>
  <c r="E5845" i="56"/>
  <c r="F5845" i="56" s="1"/>
  <c r="I5845" i="56"/>
  <c r="C5846" i="56"/>
  <c r="D5846" i="56" s="1"/>
  <c r="E5846" i="56"/>
  <c r="F5846" i="56" s="1"/>
  <c r="I5846" i="56"/>
  <c r="C5847" i="56"/>
  <c r="D5847" i="56" s="1"/>
  <c r="E5847" i="56"/>
  <c r="F5847" i="56" s="1"/>
  <c r="I5847" i="56"/>
  <c r="C5848" i="56"/>
  <c r="D5848" i="56" s="1"/>
  <c r="E5848" i="56"/>
  <c r="F5848" i="56" s="1"/>
  <c r="I5848" i="56"/>
  <c r="L5848" i="56"/>
  <c r="C5849" i="56"/>
  <c r="D5849" i="56" s="1"/>
  <c r="E5849" i="56"/>
  <c r="F5849" i="56" s="1"/>
  <c r="L5849" i="56"/>
  <c r="C5850" i="56"/>
  <c r="D5850" i="56" s="1"/>
  <c r="E5850" i="56"/>
  <c r="F5850" i="56" s="1"/>
  <c r="I5850" i="56"/>
  <c r="L5850" i="56"/>
  <c r="C5851" i="56"/>
  <c r="D5851" i="56" s="1"/>
  <c r="E5851" i="56"/>
  <c r="F5851" i="56" s="1"/>
  <c r="I5851" i="56"/>
  <c r="C5852" i="56"/>
  <c r="D5852" i="56" s="1"/>
  <c r="E5852" i="56"/>
  <c r="F5852" i="56" s="1"/>
  <c r="C5853" i="56"/>
  <c r="D5853" i="56" s="1"/>
  <c r="E5853" i="56"/>
  <c r="F5853" i="56" s="1"/>
  <c r="I5853" i="56"/>
  <c r="L5853" i="56"/>
  <c r="C5854" i="56"/>
  <c r="D5854" i="56" s="1"/>
  <c r="E5854" i="56"/>
  <c r="F5854" i="56"/>
  <c r="I5854" i="56"/>
  <c r="L5854" i="56"/>
  <c r="C5855" i="56"/>
  <c r="D5855" i="56" s="1"/>
  <c r="E5855" i="56"/>
  <c r="F5855" i="56" s="1"/>
  <c r="I5855" i="56"/>
  <c r="L5855" i="56"/>
  <c r="C5856" i="56"/>
  <c r="D5856" i="56" s="1"/>
  <c r="E5856" i="56"/>
  <c r="F5856" i="56" s="1"/>
  <c r="I5856" i="56"/>
  <c r="L5856" i="56"/>
  <c r="C5857" i="56"/>
  <c r="D5857" i="56"/>
  <c r="E5857" i="56"/>
  <c r="F5857" i="56" s="1"/>
  <c r="I5857" i="56"/>
  <c r="C5858" i="56"/>
  <c r="D5858" i="56" s="1"/>
  <c r="E5858" i="56"/>
  <c r="F5858" i="56" s="1"/>
  <c r="I5858" i="56"/>
  <c r="C5859" i="56"/>
  <c r="D5859" i="56" s="1"/>
  <c r="E5859" i="56"/>
  <c r="F5859" i="56" s="1"/>
  <c r="I5859" i="56"/>
  <c r="C5860" i="56"/>
  <c r="D5860" i="56" s="1"/>
  <c r="E5860" i="56"/>
  <c r="F5860" i="56" s="1"/>
  <c r="I5860" i="56"/>
  <c r="L5860" i="56"/>
  <c r="C5861" i="56"/>
  <c r="D5861" i="56" s="1"/>
  <c r="E5861" i="56"/>
  <c r="F5861" i="56" s="1"/>
  <c r="L5861" i="56"/>
  <c r="C5862" i="56"/>
  <c r="D5862" i="56" s="1"/>
  <c r="E5862" i="56"/>
  <c r="F5862" i="56" s="1"/>
  <c r="I5862" i="56"/>
  <c r="L5862" i="56"/>
  <c r="C5863" i="56"/>
  <c r="D5863" i="56" s="1"/>
  <c r="E5863" i="56"/>
  <c r="F5863" i="56" s="1"/>
  <c r="I5863" i="56"/>
  <c r="C5864" i="56"/>
  <c r="D5864" i="56" s="1"/>
  <c r="E5864" i="56"/>
  <c r="F5864" i="56" s="1"/>
  <c r="C5865" i="56"/>
  <c r="D5865" i="56" s="1"/>
  <c r="E5865" i="56"/>
  <c r="F5865" i="56" s="1"/>
  <c r="I5865" i="56"/>
  <c r="L5865" i="56"/>
  <c r="C5866" i="56"/>
  <c r="D5866" i="56" s="1"/>
  <c r="E5866" i="56"/>
  <c r="F5866" i="56" s="1"/>
  <c r="I5866" i="56"/>
  <c r="L5866" i="56"/>
  <c r="C5867" i="56"/>
  <c r="D5867" i="56" s="1"/>
  <c r="E5867" i="56"/>
  <c r="F5867" i="56" s="1"/>
  <c r="I5867" i="56"/>
  <c r="L5867" i="56"/>
  <c r="C5868" i="56"/>
  <c r="D5868" i="56" s="1"/>
  <c r="E5868" i="56"/>
  <c r="F5868" i="56" s="1"/>
  <c r="I5868" i="56"/>
  <c r="L5868" i="56"/>
  <c r="C5869" i="56"/>
  <c r="D5869" i="56" s="1"/>
  <c r="E5869" i="56"/>
  <c r="F5869" i="56"/>
  <c r="I5869" i="56"/>
  <c r="C5870" i="56"/>
  <c r="D5870" i="56" s="1"/>
  <c r="E5870" i="56"/>
  <c r="F5870" i="56" s="1"/>
  <c r="I5870" i="56"/>
  <c r="C5871" i="56"/>
  <c r="D5871" i="56" s="1"/>
  <c r="E5871" i="56"/>
  <c r="F5871" i="56" s="1"/>
  <c r="I5871" i="56"/>
  <c r="C5872" i="56"/>
  <c r="D5872" i="56" s="1"/>
  <c r="E5872" i="56"/>
  <c r="F5872" i="56" s="1"/>
  <c r="I5872" i="56"/>
  <c r="L5872" i="56"/>
  <c r="C5873" i="56"/>
  <c r="D5873" i="56" s="1"/>
  <c r="E5873" i="56"/>
  <c r="F5873" i="56" s="1"/>
  <c r="L5873" i="56"/>
  <c r="C5874" i="56"/>
  <c r="D5874" i="56" s="1"/>
  <c r="E5874" i="56"/>
  <c r="F5874" i="56" s="1"/>
  <c r="I5874" i="56"/>
  <c r="L5874" i="56"/>
  <c r="C5875" i="56"/>
  <c r="D5875" i="56" s="1"/>
  <c r="E5875" i="56"/>
  <c r="F5875" i="56" s="1"/>
  <c r="I5875" i="56"/>
  <c r="C5876" i="56"/>
  <c r="D5876" i="56" s="1"/>
  <c r="E5876" i="56"/>
  <c r="F5876" i="56" s="1"/>
  <c r="C5877" i="56"/>
  <c r="D5877" i="56" s="1"/>
  <c r="E5877" i="56"/>
  <c r="F5877" i="56" s="1"/>
  <c r="I5877" i="56"/>
  <c r="L5877" i="56"/>
  <c r="C5878" i="56"/>
  <c r="D5878" i="56" s="1"/>
  <c r="E5878" i="56"/>
  <c r="F5878" i="56" s="1"/>
  <c r="I5878" i="56"/>
  <c r="L5878" i="56"/>
  <c r="C5879" i="56"/>
  <c r="D5879" i="56" s="1"/>
  <c r="E5879" i="56"/>
  <c r="F5879" i="56" s="1"/>
  <c r="I5879" i="56"/>
  <c r="L5879" i="56"/>
  <c r="C5880" i="56"/>
  <c r="D5880" i="56" s="1"/>
  <c r="E5880" i="56"/>
  <c r="F5880" i="56" s="1"/>
  <c r="I5880" i="56"/>
  <c r="L5880" i="56"/>
  <c r="C5881" i="56"/>
  <c r="D5881" i="56" s="1"/>
  <c r="E5881" i="56"/>
  <c r="F5881" i="56" s="1"/>
  <c r="I5881" i="56"/>
  <c r="C5882" i="56"/>
  <c r="D5882" i="56" s="1"/>
  <c r="E5882" i="56"/>
  <c r="F5882" i="56" s="1"/>
  <c r="I5882" i="56"/>
  <c r="C5883" i="56"/>
  <c r="D5883" i="56" s="1"/>
  <c r="E5883" i="56"/>
  <c r="F5883" i="56" s="1"/>
  <c r="I5883" i="56"/>
  <c r="C5884" i="56"/>
  <c r="D5884" i="56" s="1"/>
  <c r="E5884" i="56"/>
  <c r="F5884" i="56" s="1"/>
  <c r="I5884" i="56"/>
  <c r="L5884" i="56"/>
  <c r="C5885" i="56"/>
  <c r="D5885" i="56" s="1"/>
  <c r="E5885" i="56"/>
  <c r="F5885" i="56" s="1"/>
  <c r="L5885" i="56"/>
  <c r="C5886" i="56"/>
  <c r="D5886" i="56" s="1"/>
  <c r="E5886" i="56"/>
  <c r="F5886" i="56" s="1"/>
  <c r="I5886" i="56"/>
  <c r="L5886" i="56"/>
  <c r="C5887" i="56"/>
  <c r="D5887" i="56" s="1"/>
  <c r="E5887" i="56"/>
  <c r="F5887" i="56" s="1"/>
  <c r="I5887" i="56"/>
  <c r="C5888" i="56"/>
  <c r="D5888" i="56" s="1"/>
  <c r="E5888" i="56"/>
  <c r="F5888" i="56" s="1"/>
  <c r="I5888" i="56"/>
  <c r="C5889" i="56"/>
  <c r="D5889" i="56" s="1"/>
  <c r="E5889" i="56"/>
  <c r="F5889" i="56" s="1"/>
  <c r="I5889" i="56"/>
  <c r="L5889" i="56"/>
  <c r="C5890" i="56"/>
  <c r="D5890" i="56" s="1"/>
  <c r="E5890" i="56"/>
  <c r="F5890" i="56" s="1"/>
  <c r="I5890" i="56"/>
  <c r="L5890" i="56"/>
  <c r="C5891" i="56"/>
  <c r="D5891" i="56" s="1"/>
  <c r="E5891" i="56"/>
  <c r="F5891" i="56" s="1"/>
  <c r="I5891" i="56"/>
  <c r="L5891" i="56"/>
  <c r="C5892" i="56"/>
  <c r="D5892" i="56" s="1"/>
  <c r="E5892" i="56"/>
  <c r="F5892" i="56" s="1"/>
  <c r="I5892" i="56"/>
  <c r="L5892" i="56"/>
  <c r="C5893" i="56"/>
  <c r="D5893" i="56" s="1"/>
  <c r="E5893" i="56"/>
  <c r="F5893" i="56" s="1"/>
  <c r="I5893" i="56"/>
  <c r="C5894" i="56"/>
  <c r="D5894" i="56" s="1"/>
  <c r="E5894" i="56"/>
  <c r="F5894" i="56" s="1"/>
  <c r="I5894" i="56"/>
  <c r="C5895" i="56"/>
  <c r="D5895" i="56" s="1"/>
  <c r="E5895" i="56"/>
  <c r="F5895" i="56" s="1"/>
  <c r="I5895" i="56"/>
  <c r="C5896" i="56"/>
  <c r="D5896" i="56" s="1"/>
  <c r="E5896" i="56"/>
  <c r="F5896" i="56" s="1"/>
  <c r="I5896" i="56"/>
  <c r="L5896" i="56"/>
  <c r="C5897" i="56"/>
  <c r="D5897" i="56" s="1"/>
  <c r="E5897" i="56"/>
  <c r="F5897" i="56" s="1"/>
  <c r="L5897" i="56"/>
  <c r="C5898" i="56"/>
  <c r="D5898" i="56" s="1"/>
  <c r="E5898" i="56"/>
  <c r="F5898" i="56" s="1"/>
  <c r="I5898" i="56"/>
  <c r="L5898" i="56"/>
  <c r="C5899" i="56"/>
  <c r="D5899" i="56" s="1"/>
  <c r="E5899" i="56"/>
  <c r="F5899" i="56" s="1"/>
  <c r="I5899" i="56"/>
  <c r="C5900" i="56"/>
  <c r="D5900" i="56" s="1"/>
  <c r="E5900" i="56"/>
  <c r="F5900" i="56" s="1"/>
  <c r="C5901" i="56"/>
  <c r="D5901" i="56" s="1"/>
  <c r="E5901" i="56"/>
  <c r="F5901" i="56"/>
  <c r="I5901" i="56"/>
  <c r="L5901" i="56"/>
  <c r="C5902" i="56"/>
  <c r="D5902" i="56" s="1"/>
  <c r="E5902" i="56"/>
  <c r="F5902" i="56" s="1"/>
  <c r="I5902" i="56"/>
  <c r="L5902" i="56"/>
  <c r="C5903" i="56"/>
  <c r="D5903" i="56" s="1"/>
  <c r="E5903" i="56"/>
  <c r="F5903" i="56" s="1"/>
  <c r="I5903" i="56"/>
  <c r="L5903" i="56"/>
  <c r="C5904" i="56"/>
  <c r="D5904" i="56" s="1"/>
  <c r="E5904" i="56"/>
  <c r="F5904" i="56" s="1"/>
  <c r="I5904" i="56"/>
  <c r="L5904" i="56"/>
  <c r="C5905" i="56"/>
  <c r="D5905" i="56" s="1"/>
  <c r="E5905" i="56"/>
  <c r="F5905" i="56" s="1"/>
  <c r="I5905" i="56"/>
  <c r="C5906" i="56"/>
  <c r="D5906" i="56" s="1"/>
  <c r="E5906" i="56"/>
  <c r="F5906" i="56" s="1"/>
  <c r="I5906" i="56"/>
  <c r="C5907" i="56"/>
  <c r="D5907" i="56" s="1"/>
  <c r="E5907" i="56"/>
  <c r="F5907" i="56" s="1"/>
  <c r="I5907" i="56"/>
  <c r="C5908" i="56"/>
  <c r="D5908" i="56" s="1"/>
  <c r="E5908" i="56"/>
  <c r="F5908" i="56" s="1"/>
  <c r="I5908" i="56"/>
  <c r="L5908" i="56"/>
  <c r="C5909" i="56"/>
  <c r="D5909" i="56" s="1"/>
  <c r="E5909" i="56"/>
  <c r="F5909" i="56" s="1"/>
  <c r="L5909" i="56"/>
  <c r="C5910" i="56"/>
  <c r="D5910" i="56" s="1"/>
  <c r="E5910" i="56"/>
  <c r="F5910" i="56" s="1"/>
  <c r="I5910" i="56"/>
  <c r="L5910" i="56"/>
  <c r="C5911" i="56"/>
  <c r="D5911" i="56" s="1"/>
  <c r="E5911" i="56"/>
  <c r="F5911" i="56" s="1"/>
  <c r="I5911" i="56"/>
  <c r="C5912" i="56"/>
  <c r="D5912" i="56" s="1"/>
  <c r="E5912" i="56"/>
  <c r="F5912" i="56" s="1"/>
  <c r="C5913" i="56"/>
  <c r="D5913" i="56" s="1"/>
  <c r="E5913" i="56"/>
  <c r="F5913" i="56" s="1"/>
  <c r="I5913" i="56"/>
  <c r="L5913" i="56"/>
  <c r="C5914" i="56"/>
  <c r="D5914" i="56" s="1"/>
  <c r="E5914" i="56"/>
  <c r="F5914" i="56" s="1"/>
  <c r="I5914" i="56"/>
  <c r="L5914" i="56"/>
  <c r="C5915" i="56"/>
  <c r="D5915" i="56" s="1"/>
  <c r="E5915" i="56"/>
  <c r="F5915" i="56"/>
  <c r="I5915" i="56"/>
  <c r="L5915" i="56"/>
  <c r="C5916" i="56"/>
  <c r="D5916" i="56" s="1"/>
  <c r="E5916" i="56"/>
  <c r="F5916" i="56" s="1"/>
  <c r="I5916" i="56"/>
  <c r="L5916" i="56"/>
  <c r="C5917" i="56"/>
  <c r="D5917" i="56" s="1"/>
  <c r="E5917" i="56"/>
  <c r="F5917" i="56" s="1"/>
  <c r="I5917" i="56"/>
  <c r="C5918" i="56"/>
  <c r="D5918" i="56" s="1"/>
  <c r="E5918" i="56"/>
  <c r="F5918" i="56" s="1"/>
  <c r="I5918" i="56"/>
  <c r="C5919" i="56"/>
  <c r="D5919" i="56" s="1"/>
  <c r="E5919" i="56"/>
  <c r="F5919" i="56" s="1"/>
  <c r="I5919" i="56"/>
  <c r="C5920" i="56"/>
  <c r="D5920" i="56" s="1"/>
  <c r="E5920" i="56"/>
  <c r="F5920" i="56" s="1"/>
  <c r="I5920" i="56"/>
  <c r="L5920" i="56"/>
  <c r="C5921" i="56"/>
  <c r="D5921" i="56" s="1"/>
  <c r="E5921" i="56"/>
  <c r="F5921" i="56" s="1"/>
  <c r="L5921" i="56"/>
  <c r="C5922" i="56"/>
  <c r="D5922" i="56" s="1"/>
  <c r="E5922" i="56"/>
  <c r="F5922" i="56" s="1"/>
  <c r="I5922" i="56"/>
  <c r="L5922" i="56"/>
  <c r="C5923" i="56"/>
  <c r="D5923" i="56" s="1"/>
  <c r="E5923" i="56"/>
  <c r="F5923" i="56" s="1"/>
  <c r="I5923" i="56"/>
  <c r="C5924" i="56"/>
  <c r="D5924" i="56" s="1"/>
  <c r="E5924" i="56"/>
  <c r="F5924" i="56" s="1"/>
  <c r="L5924" i="56"/>
  <c r="C5925" i="56"/>
  <c r="D5925" i="56" s="1"/>
  <c r="E5925" i="56"/>
  <c r="F5925" i="56" s="1"/>
  <c r="I5925" i="56"/>
  <c r="C5926" i="56"/>
  <c r="D5926" i="56" s="1"/>
  <c r="E5926" i="56"/>
  <c r="F5926" i="56" s="1"/>
  <c r="I5926" i="56"/>
  <c r="L5926" i="56"/>
  <c r="C5927" i="56"/>
  <c r="D5927" i="56" s="1"/>
  <c r="E5927" i="56"/>
  <c r="F5927" i="56" s="1"/>
  <c r="I5927" i="56"/>
  <c r="L5927" i="56"/>
  <c r="C5928" i="56"/>
  <c r="D5928" i="56" s="1"/>
  <c r="E5928" i="56"/>
  <c r="F5928" i="56" s="1"/>
  <c r="I5928" i="56"/>
  <c r="L5928" i="56"/>
  <c r="C5929" i="56"/>
  <c r="D5929" i="56" s="1"/>
  <c r="E5929" i="56"/>
  <c r="F5929" i="56" s="1"/>
  <c r="I5929" i="56"/>
  <c r="C5930" i="56"/>
  <c r="D5930" i="56" s="1"/>
  <c r="E5930" i="56"/>
  <c r="F5930" i="56" s="1"/>
  <c r="I5930" i="56"/>
  <c r="C5931" i="56"/>
  <c r="D5931" i="56" s="1"/>
  <c r="E5931" i="56"/>
  <c r="F5931" i="56" s="1"/>
  <c r="I5931" i="56"/>
  <c r="C5932" i="56"/>
  <c r="D5932" i="56" s="1"/>
  <c r="E5932" i="56"/>
  <c r="F5932" i="56" s="1"/>
  <c r="I5932" i="56"/>
  <c r="L5932" i="56"/>
  <c r="C5933" i="56"/>
  <c r="D5933" i="56" s="1"/>
  <c r="E5933" i="56"/>
  <c r="F5933" i="56" s="1"/>
  <c r="L5933" i="56"/>
  <c r="C5934" i="56"/>
  <c r="D5934" i="56" s="1"/>
  <c r="E5934" i="56"/>
  <c r="F5934" i="56" s="1"/>
  <c r="I5934" i="56"/>
  <c r="L5934" i="56"/>
  <c r="C5935" i="56"/>
  <c r="D5935" i="56" s="1"/>
  <c r="E5935" i="56"/>
  <c r="F5935" i="56" s="1"/>
  <c r="I5935" i="56"/>
  <c r="C5936" i="56"/>
  <c r="D5936" i="56" s="1"/>
  <c r="E5936" i="56"/>
  <c r="F5936" i="56" s="1"/>
  <c r="C5937" i="56"/>
  <c r="D5937" i="56"/>
  <c r="E5937" i="56"/>
  <c r="F5937" i="56" s="1"/>
  <c r="I5937" i="56"/>
  <c r="L5937" i="56"/>
  <c r="C5938" i="56"/>
  <c r="D5938" i="56" s="1"/>
  <c r="E5938" i="56"/>
  <c r="F5938" i="56" s="1"/>
  <c r="I5938" i="56"/>
  <c r="L5938" i="56"/>
  <c r="C5939" i="56"/>
  <c r="D5939" i="56" s="1"/>
  <c r="E5939" i="56"/>
  <c r="F5939" i="56" s="1"/>
  <c r="I5939" i="56"/>
  <c r="L5939" i="56"/>
  <c r="C5940" i="56"/>
  <c r="D5940" i="56" s="1"/>
  <c r="E5940" i="56"/>
  <c r="F5940" i="56" s="1"/>
  <c r="I5940" i="56"/>
  <c r="L5940" i="56"/>
  <c r="C5941" i="56"/>
  <c r="D5941" i="56" s="1"/>
  <c r="E5941" i="56"/>
  <c r="F5941" i="56" s="1"/>
  <c r="I5941" i="56"/>
  <c r="C5942" i="56"/>
  <c r="D5942" i="56" s="1"/>
  <c r="E5942" i="56"/>
  <c r="F5942" i="56" s="1"/>
  <c r="I5942" i="56"/>
  <c r="C5943" i="56"/>
  <c r="D5943" i="56" s="1"/>
  <c r="E5943" i="56"/>
  <c r="F5943" i="56" s="1"/>
  <c r="I5943" i="56"/>
  <c r="C5944" i="56"/>
  <c r="D5944" i="56" s="1"/>
  <c r="E5944" i="56"/>
  <c r="F5944" i="56" s="1"/>
  <c r="I5944" i="56"/>
  <c r="L5944" i="56"/>
  <c r="C5945" i="56"/>
  <c r="D5945" i="56" s="1"/>
  <c r="E5945" i="56"/>
  <c r="F5945" i="56" s="1"/>
  <c r="L5945" i="56"/>
  <c r="C5946" i="56"/>
  <c r="D5946" i="56" s="1"/>
  <c r="E5946" i="56"/>
  <c r="F5946" i="56" s="1"/>
  <c r="I5946" i="56"/>
  <c r="L5946" i="56"/>
  <c r="C5947" i="56"/>
  <c r="D5947" i="56" s="1"/>
  <c r="E5947" i="56"/>
  <c r="F5947" i="56" s="1"/>
  <c r="I5947" i="56"/>
  <c r="C5948" i="56"/>
  <c r="D5948" i="56" s="1"/>
  <c r="E5948" i="56"/>
  <c r="F5948" i="56" s="1"/>
  <c r="C5949" i="56"/>
  <c r="D5949" i="56" s="1"/>
  <c r="E5949" i="56"/>
  <c r="F5949" i="56" s="1"/>
  <c r="I5949" i="56"/>
  <c r="L5949" i="56"/>
  <c r="C5950" i="56"/>
  <c r="D5950" i="56" s="1"/>
  <c r="E5950" i="56"/>
  <c r="F5950" i="56" s="1"/>
  <c r="I5950" i="56"/>
  <c r="L5950" i="56"/>
  <c r="C5951" i="56"/>
  <c r="D5951" i="56" s="1"/>
  <c r="E5951" i="56"/>
  <c r="F5951" i="56" s="1"/>
  <c r="I5951" i="56"/>
  <c r="L5951" i="56"/>
  <c r="C5952" i="56"/>
  <c r="D5952" i="56" s="1"/>
  <c r="E5952" i="56"/>
  <c r="F5952" i="56" s="1"/>
  <c r="I5952" i="56"/>
  <c r="L5952" i="56"/>
  <c r="C5953" i="56"/>
  <c r="D5953" i="56"/>
  <c r="E5953" i="56"/>
  <c r="F5953" i="56" s="1"/>
  <c r="I5953" i="56"/>
  <c r="C5954" i="56"/>
  <c r="D5954" i="56" s="1"/>
  <c r="E5954" i="56"/>
  <c r="F5954" i="56" s="1"/>
  <c r="I5954" i="56"/>
  <c r="C5955" i="56"/>
  <c r="D5955" i="56" s="1"/>
  <c r="E5955" i="56"/>
  <c r="F5955" i="56" s="1"/>
  <c r="I5955" i="56"/>
  <c r="C5956" i="56"/>
  <c r="D5956" i="56" s="1"/>
  <c r="E5956" i="56"/>
  <c r="F5956" i="56" s="1"/>
  <c r="I5956" i="56"/>
  <c r="L5956" i="56"/>
  <c r="C5957" i="56"/>
  <c r="D5957" i="56" s="1"/>
  <c r="E5957" i="56"/>
  <c r="F5957" i="56" s="1"/>
  <c r="L5957" i="56"/>
  <c r="C5958" i="56"/>
  <c r="D5958" i="56" s="1"/>
  <c r="E5958" i="56"/>
  <c r="F5958" i="56" s="1"/>
  <c r="I5958" i="56"/>
  <c r="L5958" i="56"/>
  <c r="C5959" i="56"/>
  <c r="D5959" i="56" s="1"/>
  <c r="E5959" i="56"/>
  <c r="F5959" i="56" s="1"/>
  <c r="I5959" i="56"/>
  <c r="C5960" i="56"/>
  <c r="D5960" i="56" s="1"/>
  <c r="E5960" i="56"/>
  <c r="F5960" i="56" s="1"/>
  <c r="C5961" i="56"/>
  <c r="D5961" i="56" s="1"/>
  <c r="E5961" i="56"/>
  <c r="F5961" i="56" s="1"/>
  <c r="I5961" i="56"/>
  <c r="L5961" i="56"/>
  <c r="C5962" i="56"/>
  <c r="D5962" i="56" s="1"/>
  <c r="E5962" i="56"/>
  <c r="F5962" i="56" s="1"/>
  <c r="I5962" i="56"/>
  <c r="L5962" i="56"/>
  <c r="C5963" i="56"/>
  <c r="D5963" i="56" s="1"/>
  <c r="E5963" i="56"/>
  <c r="F5963" i="56"/>
  <c r="I5963" i="56"/>
  <c r="L5963" i="56"/>
  <c r="C5964" i="56"/>
  <c r="D5964" i="56" s="1"/>
  <c r="E5964" i="56"/>
  <c r="F5964" i="56" s="1"/>
  <c r="I5964" i="56"/>
  <c r="L5964" i="56"/>
  <c r="C5965" i="56"/>
  <c r="D5965" i="56" s="1"/>
  <c r="E5965" i="56"/>
  <c r="F5965" i="56" s="1"/>
  <c r="I5965" i="56"/>
  <c r="C5966" i="56"/>
  <c r="D5966" i="56" s="1"/>
  <c r="E5966" i="56"/>
  <c r="F5966" i="56"/>
  <c r="I5966" i="56"/>
  <c r="C5967" i="56"/>
  <c r="D5967" i="56" s="1"/>
  <c r="E5967" i="56"/>
  <c r="F5967" i="56" s="1"/>
  <c r="I5967" i="56"/>
  <c r="C5968" i="56"/>
  <c r="D5968" i="56" s="1"/>
  <c r="E5968" i="56"/>
  <c r="F5968" i="56" s="1"/>
  <c r="I5968" i="56"/>
  <c r="L5968" i="56"/>
  <c r="C5969" i="56"/>
  <c r="D5969" i="56" s="1"/>
  <c r="E5969" i="56"/>
  <c r="F5969" i="56" s="1"/>
  <c r="L5969" i="56"/>
  <c r="C5970" i="56"/>
  <c r="D5970" i="56" s="1"/>
  <c r="E5970" i="56"/>
  <c r="F5970" i="56" s="1"/>
  <c r="I5970" i="56"/>
  <c r="L5970" i="56"/>
  <c r="C5971" i="56"/>
  <c r="D5971" i="56" s="1"/>
  <c r="E5971" i="56"/>
  <c r="F5971" i="56" s="1"/>
  <c r="I5971" i="56"/>
  <c r="C5972" i="56"/>
  <c r="D5972" i="56" s="1"/>
  <c r="E5972" i="56"/>
  <c r="F5972" i="56" s="1"/>
  <c r="I5972" i="56"/>
  <c r="L5972" i="56"/>
  <c r="C5973" i="56"/>
  <c r="D5973" i="56" s="1"/>
  <c r="E5973" i="56"/>
  <c r="F5973" i="56" s="1"/>
  <c r="I5973" i="56"/>
  <c r="L5973" i="56"/>
  <c r="C5974" i="56"/>
  <c r="D5974" i="56" s="1"/>
  <c r="E5974" i="56"/>
  <c r="F5974" i="56" s="1"/>
  <c r="I5974" i="56"/>
  <c r="L5974" i="56"/>
  <c r="C5975" i="56"/>
  <c r="D5975" i="56" s="1"/>
  <c r="E5975" i="56"/>
  <c r="F5975" i="56" s="1"/>
  <c r="I5975" i="56"/>
  <c r="L5975" i="56"/>
  <c r="C5976" i="56"/>
  <c r="D5976" i="56" s="1"/>
  <c r="E5976" i="56"/>
  <c r="F5976" i="56" s="1"/>
  <c r="I5976" i="56"/>
  <c r="L5976" i="56"/>
  <c r="C5977" i="56"/>
  <c r="D5977" i="56" s="1"/>
  <c r="E5977" i="56"/>
  <c r="F5977" i="56" s="1"/>
  <c r="I5977" i="56"/>
  <c r="C5978" i="56"/>
  <c r="D5978" i="56" s="1"/>
  <c r="E5978" i="56"/>
  <c r="F5978" i="56" s="1"/>
  <c r="I5978" i="56"/>
  <c r="C5979" i="56"/>
  <c r="D5979" i="56" s="1"/>
  <c r="E5979" i="56"/>
  <c r="F5979" i="56" s="1"/>
  <c r="I5979" i="56"/>
  <c r="C5980" i="56"/>
  <c r="D5980" i="56" s="1"/>
  <c r="E5980" i="56"/>
  <c r="F5980" i="56" s="1"/>
  <c r="I5980" i="56"/>
  <c r="L5980" i="56"/>
  <c r="C5981" i="56"/>
  <c r="D5981" i="56" s="1"/>
  <c r="E5981" i="56"/>
  <c r="F5981" i="56" s="1"/>
  <c r="L5981" i="56"/>
  <c r="C5982" i="56"/>
  <c r="D5982" i="56" s="1"/>
  <c r="E5982" i="56"/>
  <c r="F5982" i="56" s="1"/>
  <c r="I5982" i="56"/>
  <c r="L5982" i="56"/>
  <c r="C5983" i="56"/>
  <c r="D5983" i="56" s="1"/>
  <c r="E5983" i="56"/>
  <c r="F5983" i="56" s="1"/>
  <c r="I5983" i="56"/>
  <c r="C5984" i="56"/>
  <c r="D5984" i="56" s="1"/>
  <c r="E5984" i="56"/>
  <c r="F5984" i="56" s="1"/>
  <c r="C5985" i="56"/>
  <c r="D5985" i="56" s="1"/>
  <c r="E5985" i="56"/>
  <c r="F5985" i="56" s="1"/>
  <c r="I5985" i="56"/>
  <c r="L5985" i="56"/>
  <c r="C5986" i="56"/>
  <c r="D5986" i="56" s="1"/>
  <c r="E5986" i="56"/>
  <c r="F5986" i="56" s="1"/>
  <c r="I5986" i="56"/>
  <c r="L5986" i="56"/>
  <c r="C5987" i="56"/>
  <c r="D5987" i="56" s="1"/>
  <c r="E5987" i="56"/>
  <c r="F5987" i="56" s="1"/>
  <c r="I5987" i="56"/>
  <c r="L5987" i="56"/>
  <c r="C5988" i="56"/>
  <c r="D5988" i="56" s="1"/>
  <c r="E5988" i="56"/>
  <c r="F5988" i="56" s="1"/>
  <c r="I5988" i="56"/>
  <c r="L5988" i="56"/>
  <c r="C5989" i="56"/>
  <c r="D5989" i="56" s="1"/>
  <c r="E5989" i="56"/>
  <c r="F5989" i="56" s="1"/>
  <c r="I5989" i="56"/>
  <c r="C5990" i="56"/>
  <c r="D5990" i="56" s="1"/>
  <c r="E5990" i="56"/>
  <c r="F5990" i="56" s="1"/>
  <c r="I5990" i="56"/>
  <c r="C5991" i="56"/>
  <c r="D5991" i="56" s="1"/>
  <c r="E5991" i="56"/>
  <c r="F5991" i="56" s="1"/>
  <c r="I5991" i="56"/>
  <c r="C5992" i="56"/>
  <c r="D5992" i="56" s="1"/>
  <c r="E5992" i="56"/>
  <c r="F5992" i="56" s="1"/>
  <c r="I5992" i="56"/>
  <c r="L5992" i="56"/>
  <c r="C5993" i="56"/>
  <c r="D5993" i="56"/>
  <c r="E5993" i="56"/>
  <c r="F5993" i="56" s="1"/>
  <c r="C5994" i="56"/>
  <c r="D5994" i="56" s="1"/>
  <c r="E5994" i="56"/>
  <c r="F5994" i="56" s="1"/>
  <c r="I5994" i="56"/>
  <c r="L5994" i="56"/>
  <c r="C5995" i="56"/>
  <c r="D5995" i="56" s="1"/>
  <c r="E5995" i="56"/>
  <c r="F5995" i="56" s="1"/>
  <c r="I5995" i="56"/>
  <c r="C5996" i="56"/>
  <c r="D5996" i="56" s="1"/>
  <c r="E5996" i="56"/>
  <c r="F5996" i="56" s="1"/>
  <c r="I5996" i="56"/>
  <c r="L5996" i="56"/>
  <c r="C5997" i="56"/>
  <c r="D5997" i="56" s="1"/>
  <c r="E5997" i="56"/>
  <c r="F5997" i="56" s="1"/>
  <c r="I5997" i="56"/>
  <c r="L5997" i="56"/>
  <c r="C5998" i="56"/>
  <c r="D5998" i="56" s="1"/>
  <c r="E5998" i="56"/>
  <c r="F5998" i="56" s="1"/>
  <c r="I5998" i="56"/>
  <c r="L5998" i="56"/>
  <c r="C5999" i="56"/>
  <c r="D5999" i="56" s="1"/>
  <c r="E5999" i="56"/>
  <c r="F5999" i="56" s="1"/>
  <c r="I5999" i="56"/>
  <c r="L5999" i="56"/>
  <c r="C6000" i="56"/>
  <c r="D6000" i="56" s="1"/>
  <c r="E6000" i="56"/>
  <c r="F6000" i="56" s="1"/>
  <c r="I6000" i="56"/>
  <c r="L6000" i="56"/>
  <c r="C6001" i="56"/>
  <c r="D6001" i="56" s="1"/>
  <c r="E6001" i="56"/>
  <c r="F6001" i="56" s="1"/>
  <c r="I6001" i="56"/>
  <c r="C6002" i="56"/>
  <c r="D6002" i="56"/>
  <c r="E6002" i="56"/>
  <c r="F6002" i="56" s="1"/>
  <c r="I6002" i="56"/>
  <c r="C6003" i="56"/>
  <c r="D6003" i="56" s="1"/>
  <c r="E6003" i="56"/>
  <c r="F6003" i="56" s="1"/>
  <c r="I6003" i="56"/>
  <c r="C6004" i="56"/>
  <c r="D6004" i="56" s="1"/>
  <c r="E6004" i="56"/>
  <c r="F6004" i="56" s="1"/>
  <c r="I6004" i="56"/>
  <c r="L6004" i="56"/>
  <c r="C6005" i="56"/>
  <c r="D6005" i="56" s="1"/>
  <c r="E6005" i="56"/>
  <c r="F6005" i="56" s="1"/>
  <c r="L6005" i="56"/>
  <c r="C6006" i="56"/>
  <c r="D6006" i="56" s="1"/>
  <c r="E6006" i="56"/>
  <c r="F6006" i="56" s="1"/>
  <c r="I6006" i="56"/>
  <c r="L6006" i="56"/>
  <c r="C6007" i="56"/>
  <c r="D6007" i="56" s="1"/>
  <c r="E6007" i="56"/>
  <c r="F6007" i="56" s="1"/>
  <c r="I6007" i="56"/>
  <c r="C6008" i="56"/>
  <c r="D6008" i="56" s="1"/>
  <c r="E6008" i="56"/>
  <c r="F6008" i="56" s="1"/>
  <c r="C6009" i="56"/>
  <c r="D6009" i="56" s="1"/>
  <c r="E6009" i="56"/>
  <c r="F6009" i="56" s="1"/>
  <c r="I6009" i="56"/>
  <c r="L6009" i="56"/>
  <c r="C6010" i="56"/>
  <c r="D6010" i="56" s="1"/>
  <c r="E6010" i="56"/>
  <c r="F6010" i="56" s="1"/>
  <c r="I6010" i="56"/>
  <c r="L6010" i="56"/>
  <c r="C6011" i="56"/>
  <c r="D6011" i="56" s="1"/>
  <c r="E6011" i="56"/>
  <c r="F6011" i="56" s="1"/>
  <c r="I6011" i="56"/>
  <c r="L6011" i="56"/>
  <c r="C6012" i="56"/>
  <c r="D6012" i="56" s="1"/>
  <c r="E6012" i="56"/>
  <c r="F6012" i="56" s="1"/>
  <c r="I6012" i="56"/>
  <c r="L6012" i="56"/>
  <c r="C6013" i="56"/>
  <c r="D6013" i="56" s="1"/>
  <c r="E6013" i="56"/>
  <c r="F6013" i="56" s="1"/>
  <c r="I6013" i="56"/>
  <c r="C6014" i="56"/>
  <c r="D6014" i="56" s="1"/>
  <c r="E6014" i="56"/>
  <c r="F6014" i="56" s="1"/>
  <c r="I6014" i="56"/>
  <c r="C6015" i="56"/>
  <c r="D6015" i="56" s="1"/>
  <c r="E6015" i="56"/>
  <c r="F6015" i="56" s="1"/>
  <c r="I6015" i="56"/>
  <c r="C6016" i="56"/>
  <c r="D6016" i="56" s="1"/>
  <c r="E6016" i="56"/>
  <c r="F6016" i="56" s="1"/>
  <c r="I6016" i="56"/>
  <c r="L6016" i="56"/>
  <c r="C6017" i="56"/>
  <c r="D6017" i="56" s="1"/>
  <c r="E6017" i="56"/>
  <c r="F6017" i="56" s="1"/>
  <c r="L6017" i="56"/>
  <c r="C6018" i="56"/>
  <c r="D6018" i="56" s="1"/>
  <c r="E6018" i="56"/>
  <c r="F6018" i="56" s="1"/>
  <c r="I6018" i="56"/>
  <c r="L6018" i="56"/>
  <c r="C6019" i="56"/>
  <c r="D6019" i="56" s="1"/>
  <c r="E6019" i="56"/>
  <c r="F6019" i="56" s="1"/>
  <c r="I6019" i="56"/>
  <c r="C6020" i="56"/>
  <c r="D6020" i="56" s="1"/>
  <c r="E6020" i="56"/>
  <c r="F6020" i="56" s="1"/>
  <c r="C6021" i="56"/>
  <c r="D6021" i="56" s="1"/>
  <c r="E6021" i="56"/>
  <c r="F6021" i="56" s="1"/>
  <c r="I6021" i="56"/>
  <c r="L6021" i="56"/>
  <c r="C6022" i="56"/>
  <c r="D6022" i="56" s="1"/>
  <c r="E6022" i="56"/>
  <c r="F6022" i="56" s="1"/>
  <c r="I6022" i="56"/>
  <c r="L6022" i="56"/>
  <c r="C6023" i="56"/>
  <c r="D6023" i="56" s="1"/>
  <c r="E6023" i="56"/>
  <c r="F6023" i="56" s="1"/>
  <c r="I6023" i="56"/>
  <c r="L6023" i="56"/>
  <c r="C6024" i="56"/>
  <c r="D6024" i="56" s="1"/>
  <c r="E6024" i="56"/>
  <c r="F6024" i="56" s="1"/>
  <c r="I6024" i="56"/>
  <c r="L6024" i="56"/>
  <c r="C6025" i="56"/>
  <c r="D6025" i="56" s="1"/>
  <c r="E6025" i="56"/>
  <c r="F6025" i="56" s="1"/>
  <c r="I6025" i="56"/>
  <c r="C6026" i="56"/>
  <c r="D6026" i="56" s="1"/>
  <c r="E6026" i="56"/>
  <c r="F6026" i="56" s="1"/>
  <c r="I6026" i="56"/>
  <c r="C6027" i="56"/>
  <c r="D6027" i="56" s="1"/>
  <c r="E6027" i="56"/>
  <c r="F6027" i="56" s="1"/>
  <c r="I6027" i="56"/>
  <c r="C6028" i="56"/>
  <c r="D6028" i="56" s="1"/>
  <c r="E6028" i="56"/>
  <c r="F6028" i="56" s="1"/>
  <c r="I6028" i="56"/>
  <c r="L6028" i="56"/>
  <c r="C6029" i="56"/>
  <c r="D6029" i="56" s="1"/>
  <c r="E6029" i="56"/>
  <c r="F6029" i="56" s="1"/>
  <c r="L6029" i="56"/>
  <c r="C6030" i="56"/>
  <c r="D6030" i="56" s="1"/>
  <c r="E6030" i="56"/>
  <c r="F6030" i="56" s="1"/>
  <c r="I6030" i="56"/>
  <c r="L6030" i="56"/>
  <c r="C6031" i="56"/>
  <c r="D6031" i="56" s="1"/>
  <c r="E6031" i="56"/>
  <c r="F6031" i="56" s="1"/>
  <c r="I6031" i="56"/>
  <c r="C6032" i="56"/>
  <c r="D6032" i="56" s="1"/>
  <c r="E6032" i="56"/>
  <c r="F6032" i="56" s="1"/>
  <c r="C6033" i="56"/>
  <c r="D6033" i="56" s="1"/>
  <c r="E6033" i="56"/>
  <c r="F6033" i="56" s="1"/>
  <c r="I6033" i="56"/>
  <c r="L6033" i="56"/>
  <c r="C6034" i="56"/>
  <c r="D6034" i="56" s="1"/>
  <c r="E6034" i="56"/>
  <c r="F6034" i="56" s="1"/>
  <c r="I6034" i="56"/>
  <c r="L6034" i="56"/>
  <c r="C6035" i="56"/>
  <c r="D6035" i="56" s="1"/>
  <c r="E6035" i="56"/>
  <c r="F6035" i="56" s="1"/>
  <c r="I6035" i="56"/>
  <c r="C6036" i="56"/>
  <c r="D6036" i="56" s="1"/>
  <c r="E6036" i="56"/>
  <c r="F6036" i="56" s="1"/>
  <c r="I6036" i="56"/>
  <c r="L6036" i="56"/>
  <c r="C6037" i="56"/>
  <c r="D6037" i="56" s="1"/>
  <c r="E6037" i="56"/>
  <c r="F6037" i="56" s="1"/>
  <c r="I6037" i="56"/>
  <c r="C6038" i="56"/>
  <c r="D6038" i="56"/>
  <c r="E6038" i="56"/>
  <c r="F6038" i="56" s="1"/>
  <c r="I6038" i="56"/>
  <c r="C6039" i="56"/>
  <c r="D6039" i="56" s="1"/>
  <c r="E6039" i="56"/>
  <c r="F6039" i="56" s="1"/>
  <c r="I6039" i="56"/>
  <c r="C6040" i="56"/>
  <c r="D6040" i="56" s="1"/>
  <c r="E6040" i="56"/>
  <c r="F6040" i="56" s="1"/>
  <c r="I6040" i="56"/>
  <c r="L6040" i="56"/>
  <c r="C6041" i="56"/>
  <c r="D6041" i="56" s="1"/>
  <c r="E6041" i="56"/>
  <c r="F6041" i="56" s="1"/>
  <c r="L6041" i="56"/>
  <c r="C6042" i="56"/>
  <c r="D6042" i="56" s="1"/>
  <c r="E6042" i="56"/>
  <c r="F6042" i="56" s="1"/>
  <c r="I6042" i="56"/>
  <c r="L6042" i="56"/>
  <c r="C6043" i="56"/>
  <c r="D6043" i="56" s="1"/>
  <c r="E6043" i="56"/>
  <c r="F6043" i="56" s="1"/>
  <c r="I6043" i="56"/>
  <c r="C6044" i="56"/>
  <c r="D6044" i="56" s="1"/>
  <c r="E6044" i="56"/>
  <c r="F6044" i="56" s="1"/>
  <c r="C6045" i="56"/>
  <c r="D6045" i="56" s="1"/>
  <c r="E6045" i="56"/>
  <c r="F6045" i="56" s="1"/>
  <c r="I6045" i="56"/>
  <c r="L6045" i="56"/>
  <c r="C6046" i="56"/>
  <c r="D6046" i="56" s="1"/>
  <c r="E6046" i="56"/>
  <c r="F6046" i="56" s="1"/>
  <c r="I6046" i="56"/>
  <c r="L6046" i="56"/>
  <c r="C6047" i="56"/>
  <c r="D6047" i="56" s="1"/>
  <c r="E6047" i="56"/>
  <c r="F6047" i="56" s="1"/>
  <c r="I6047" i="56"/>
  <c r="L6047" i="56"/>
  <c r="C6048" i="56"/>
  <c r="D6048" i="56" s="1"/>
  <c r="E6048" i="56"/>
  <c r="F6048" i="56" s="1"/>
  <c r="I6048" i="56"/>
  <c r="L6048" i="56"/>
  <c r="C6049" i="56"/>
  <c r="D6049" i="56" s="1"/>
  <c r="E6049" i="56"/>
  <c r="F6049" i="56" s="1"/>
  <c r="I6049" i="56"/>
  <c r="C6050" i="56"/>
  <c r="D6050" i="56" s="1"/>
  <c r="E6050" i="56"/>
  <c r="F6050" i="56" s="1"/>
  <c r="I6050" i="56"/>
  <c r="C6051" i="56"/>
  <c r="D6051" i="56" s="1"/>
  <c r="E6051" i="56"/>
  <c r="F6051" i="56" s="1"/>
  <c r="I6051" i="56"/>
  <c r="C6052" i="56"/>
  <c r="D6052" i="56" s="1"/>
  <c r="E6052" i="56"/>
  <c r="F6052" i="56" s="1"/>
  <c r="I6052" i="56"/>
  <c r="C6053" i="56"/>
  <c r="D6053" i="56" s="1"/>
  <c r="E6053" i="56"/>
  <c r="F6053" i="56" s="1"/>
  <c r="L6053" i="56"/>
  <c r="C6054" i="56"/>
  <c r="D6054" i="56" s="1"/>
  <c r="E6054" i="56"/>
  <c r="F6054" i="56" s="1"/>
  <c r="I6054" i="56"/>
  <c r="L6054" i="56"/>
  <c r="C6055" i="56"/>
  <c r="D6055" i="56" s="1"/>
  <c r="E6055" i="56"/>
  <c r="F6055" i="56" s="1"/>
  <c r="I6055" i="56"/>
  <c r="C6056" i="56"/>
  <c r="D6056" i="56" s="1"/>
  <c r="E6056" i="56"/>
  <c r="F6056" i="56" s="1"/>
  <c r="C6057" i="56"/>
  <c r="D6057" i="56" s="1"/>
  <c r="E6057" i="56"/>
  <c r="F6057" i="56" s="1"/>
  <c r="I6057" i="56"/>
  <c r="L6057" i="56"/>
  <c r="C6058" i="56"/>
  <c r="D6058" i="56" s="1"/>
  <c r="E6058" i="56"/>
  <c r="F6058" i="56" s="1"/>
  <c r="I6058" i="56"/>
  <c r="L6058" i="56"/>
  <c r="C6059" i="56"/>
  <c r="D6059" i="56" s="1"/>
  <c r="E6059" i="56"/>
  <c r="F6059" i="56" s="1"/>
  <c r="I6059" i="56"/>
  <c r="L6059" i="56"/>
  <c r="C6060" i="56"/>
  <c r="D6060" i="56" s="1"/>
  <c r="E6060" i="56"/>
  <c r="F6060" i="56" s="1"/>
  <c r="I6060" i="56"/>
  <c r="L6060" i="56"/>
  <c r="C6061" i="56"/>
  <c r="D6061" i="56" s="1"/>
  <c r="E6061" i="56"/>
  <c r="F6061" i="56" s="1"/>
  <c r="I6061" i="56"/>
  <c r="C6062" i="56"/>
  <c r="D6062" i="56" s="1"/>
  <c r="E6062" i="56"/>
  <c r="F6062" i="56" s="1"/>
  <c r="I6062" i="56"/>
  <c r="C6063" i="56"/>
  <c r="D6063" i="56" s="1"/>
  <c r="E6063" i="56"/>
  <c r="F6063" i="56" s="1"/>
  <c r="I6063" i="56"/>
  <c r="C6064" i="56"/>
  <c r="D6064" i="56" s="1"/>
  <c r="E6064" i="56"/>
  <c r="F6064" i="56" s="1"/>
  <c r="I6064" i="56"/>
  <c r="L6064" i="56"/>
  <c r="C6065" i="56"/>
  <c r="D6065" i="56" s="1"/>
  <c r="E6065" i="56"/>
  <c r="F6065" i="56" s="1"/>
  <c r="L6065" i="56"/>
  <c r="C6066" i="56"/>
  <c r="D6066" i="56" s="1"/>
  <c r="E6066" i="56"/>
  <c r="F6066" i="56" s="1"/>
  <c r="I6066" i="56"/>
  <c r="L6066" i="56"/>
  <c r="C6067" i="56"/>
  <c r="D6067" i="56" s="1"/>
  <c r="E6067" i="56"/>
  <c r="F6067" i="56" s="1"/>
  <c r="I6067" i="56"/>
  <c r="C6068" i="56"/>
  <c r="D6068" i="56" s="1"/>
  <c r="E6068" i="56"/>
  <c r="F6068" i="56" s="1"/>
  <c r="L6068" i="56"/>
  <c r="C6069" i="56"/>
  <c r="D6069" i="56" s="1"/>
  <c r="E6069" i="56"/>
  <c r="F6069" i="56" s="1"/>
  <c r="I6069" i="56"/>
  <c r="L6069" i="56"/>
  <c r="C6070" i="56"/>
  <c r="D6070" i="56" s="1"/>
  <c r="E6070" i="56"/>
  <c r="F6070" i="56" s="1"/>
  <c r="I6070" i="56"/>
  <c r="L6070" i="56"/>
  <c r="C6071" i="56"/>
  <c r="D6071" i="56" s="1"/>
  <c r="E6071" i="56"/>
  <c r="F6071" i="56" s="1"/>
  <c r="I6071" i="56"/>
  <c r="L6071" i="56"/>
  <c r="C6072" i="56"/>
  <c r="D6072" i="56" s="1"/>
  <c r="E6072" i="56"/>
  <c r="F6072" i="56" s="1"/>
  <c r="I6072" i="56"/>
  <c r="L6072" i="56"/>
  <c r="C6073" i="56"/>
  <c r="D6073" i="56" s="1"/>
  <c r="E6073" i="56"/>
  <c r="F6073" i="56"/>
  <c r="I6073" i="56"/>
  <c r="C6074" i="56"/>
  <c r="D6074" i="56" s="1"/>
  <c r="E6074" i="56"/>
  <c r="F6074" i="56" s="1"/>
  <c r="I6074" i="56"/>
  <c r="C6075" i="56"/>
  <c r="D6075" i="56" s="1"/>
  <c r="E6075" i="56"/>
  <c r="F6075" i="56" s="1"/>
  <c r="I6075" i="56"/>
  <c r="C6076" i="56"/>
  <c r="D6076" i="56" s="1"/>
  <c r="E6076" i="56"/>
  <c r="F6076" i="56" s="1"/>
  <c r="I6076" i="56"/>
  <c r="L6076" i="56"/>
  <c r="C6077" i="56"/>
  <c r="D6077" i="56" s="1"/>
  <c r="E6077" i="56"/>
  <c r="F6077" i="56" s="1"/>
  <c r="L6077" i="56"/>
  <c r="C6078" i="56"/>
  <c r="D6078" i="56" s="1"/>
  <c r="E6078" i="56"/>
  <c r="F6078" i="56" s="1"/>
  <c r="I6078" i="56"/>
  <c r="L6078" i="56"/>
  <c r="C6079" i="56"/>
  <c r="D6079" i="56" s="1"/>
  <c r="E6079" i="56"/>
  <c r="F6079" i="56" s="1"/>
  <c r="I6079" i="56"/>
  <c r="C6080" i="56"/>
  <c r="D6080" i="56" s="1"/>
  <c r="E6080" i="56"/>
  <c r="F6080" i="56" s="1"/>
  <c r="C6081" i="56"/>
  <c r="D6081" i="56" s="1"/>
  <c r="E6081" i="56"/>
  <c r="F6081" i="56" s="1"/>
  <c r="I6081" i="56"/>
  <c r="L6081" i="56"/>
  <c r="C6082" i="56"/>
  <c r="D6082" i="56" s="1"/>
  <c r="E6082" i="56"/>
  <c r="F6082" i="56" s="1"/>
  <c r="I6082" i="56"/>
  <c r="L6082" i="56"/>
  <c r="C6083" i="56"/>
  <c r="D6083" i="56" s="1"/>
  <c r="E6083" i="56"/>
  <c r="F6083" i="56" s="1"/>
  <c r="I6083" i="56"/>
  <c r="L6083" i="56"/>
  <c r="C6084" i="56"/>
  <c r="D6084" i="56" s="1"/>
  <c r="E6084" i="56"/>
  <c r="F6084" i="56" s="1"/>
  <c r="I6084" i="56"/>
  <c r="L6084" i="56"/>
  <c r="C6085" i="56"/>
  <c r="D6085" i="56" s="1"/>
  <c r="E6085" i="56"/>
  <c r="F6085" i="56" s="1"/>
  <c r="I6085" i="56"/>
  <c r="C6086" i="56"/>
  <c r="D6086" i="56" s="1"/>
  <c r="E6086" i="56"/>
  <c r="F6086" i="56" s="1"/>
  <c r="I6086" i="56"/>
  <c r="C6087" i="56"/>
  <c r="D6087" i="56" s="1"/>
  <c r="E6087" i="56"/>
  <c r="F6087" i="56" s="1"/>
  <c r="I6087" i="56"/>
  <c r="C6088" i="56"/>
  <c r="D6088" i="56" s="1"/>
  <c r="E6088" i="56"/>
  <c r="F6088" i="56" s="1"/>
  <c r="I6088" i="56"/>
  <c r="L6088" i="56"/>
  <c r="C6089" i="56"/>
  <c r="D6089" i="56" s="1"/>
  <c r="E6089" i="56"/>
  <c r="F6089" i="56" s="1"/>
  <c r="I6089" i="56"/>
  <c r="L6089" i="56"/>
  <c r="C6090" i="56"/>
  <c r="D6090" i="56" s="1"/>
  <c r="E6090" i="56"/>
  <c r="F6090" i="56" s="1"/>
  <c r="I6090" i="56"/>
  <c r="L6090" i="56"/>
  <c r="C6091" i="56"/>
  <c r="D6091" i="56" s="1"/>
  <c r="E6091" i="56"/>
  <c r="F6091" i="56" s="1"/>
  <c r="I6091" i="56"/>
  <c r="C6092" i="56"/>
  <c r="D6092" i="56" s="1"/>
  <c r="E6092" i="56"/>
  <c r="F6092" i="56" s="1"/>
  <c r="C6093" i="56"/>
  <c r="D6093" i="56" s="1"/>
  <c r="E6093" i="56"/>
  <c r="F6093" i="56" s="1"/>
  <c r="I6093" i="56"/>
  <c r="L6093" i="56"/>
  <c r="C6094" i="56"/>
  <c r="D6094" i="56" s="1"/>
  <c r="E6094" i="56"/>
  <c r="F6094" i="56" s="1"/>
  <c r="I6094" i="56"/>
  <c r="L6094" i="56"/>
  <c r="L22" i="56" l="1"/>
  <c r="L12" i="56"/>
  <c r="L8" i="56"/>
  <c r="L37" i="56"/>
  <c r="L35" i="56"/>
  <c r="L31" i="56"/>
  <c r="L60" i="56"/>
  <c r="L23" i="56"/>
  <c r="L26" i="56"/>
  <c r="L1035" i="56"/>
  <c r="L14" i="56"/>
  <c r="L1027" i="56"/>
  <c r="L6085" i="56"/>
  <c r="L6073" i="56"/>
  <c r="L6061" i="56"/>
  <c r="L6049" i="56"/>
  <c r="L6037" i="56"/>
  <c r="L6025" i="56"/>
  <c r="L6013" i="56"/>
  <c r="L6001" i="56"/>
  <c r="L5989" i="56"/>
  <c r="L5977" i="56"/>
  <c r="L5965" i="56"/>
  <c r="L5953" i="56"/>
  <c r="L5941" i="56"/>
  <c r="L5929" i="56"/>
  <c r="L5917" i="56"/>
  <c r="L5905" i="56"/>
  <c r="L5893" i="56"/>
  <c r="L5881" i="56"/>
  <c r="L5869" i="56"/>
  <c r="L5857" i="56"/>
  <c r="L5845" i="56"/>
  <c r="L5833" i="56"/>
  <c r="L5821" i="56"/>
  <c r="L5809" i="56"/>
  <c r="L5797" i="56"/>
  <c r="L5785" i="56"/>
  <c r="L5773" i="56"/>
  <c r="L5761" i="56"/>
  <c r="L5749" i="56"/>
  <c r="L5737" i="56"/>
  <c r="L5725" i="56"/>
  <c r="L5713" i="56"/>
  <c r="L5701" i="56"/>
  <c r="L5689" i="56"/>
  <c r="L5677" i="56"/>
  <c r="L5665" i="56"/>
  <c r="L5653" i="56"/>
  <c r="L5641" i="56"/>
  <c r="L5629" i="56"/>
  <c r="L5617" i="56"/>
  <c r="L5605" i="56"/>
  <c r="L5593" i="56"/>
  <c r="L5581" i="56"/>
  <c r="L5569" i="56"/>
  <c r="L5557" i="56"/>
  <c r="L5545" i="56"/>
  <c r="L5533" i="56"/>
  <c r="L5521" i="56"/>
  <c r="L5509" i="56"/>
  <c r="L5497" i="56"/>
  <c r="L5485" i="56"/>
  <c r="L5473" i="56"/>
  <c r="L5461" i="56"/>
  <c r="L5449" i="56"/>
  <c r="L5437" i="56"/>
  <c r="L5425" i="56"/>
  <c r="L5413" i="56"/>
  <c r="L5401" i="56"/>
  <c r="L5389" i="56"/>
  <c r="L5377" i="56"/>
  <c r="L5365" i="56"/>
  <c r="L5353" i="56"/>
  <c r="L5341" i="56"/>
  <c r="L5329" i="56"/>
  <c r="L5317" i="56"/>
  <c r="L5305" i="56"/>
  <c r="L5293" i="56"/>
  <c r="L5281" i="56"/>
  <c r="L5269" i="56"/>
  <c r="L5209" i="56"/>
  <c r="L5185" i="56"/>
  <c r="L5149" i="56"/>
  <c r="L5137" i="56"/>
  <c r="L5125" i="56"/>
  <c r="L5113" i="56"/>
  <c r="L5089" i="56"/>
  <c r="L5077" i="56"/>
  <c r="L5065" i="56"/>
  <c r="L5041" i="56"/>
  <c r="L5029" i="56"/>
  <c r="L5017" i="56"/>
  <c r="L5005" i="56"/>
  <c r="L4993" i="56"/>
  <c r="L4981" i="56"/>
  <c r="L4969" i="56"/>
  <c r="L4957" i="56"/>
  <c r="L4945" i="56"/>
  <c r="L4921" i="56"/>
  <c r="L4909" i="56"/>
  <c r="L4897" i="56"/>
  <c r="L4885" i="56"/>
  <c r="L4873" i="56"/>
  <c r="L4861" i="56"/>
  <c r="L4825" i="56"/>
  <c r="L4813" i="56"/>
  <c r="L4789" i="56"/>
  <c r="L4777" i="56"/>
  <c r="L4765" i="56"/>
  <c r="L4753" i="56"/>
  <c r="L4741" i="56"/>
  <c r="L4729" i="56"/>
  <c r="L4717" i="56"/>
  <c r="L4705" i="56"/>
  <c r="L4693" i="56"/>
  <c r="L4681" i="56"/>
  <c r="L4669" i="56"/>
  <c r="L4657" i="56"/>
  <c r="L4633" i="56"/>
  <c r="L4621" i="56"/>
  <c r="L4609" i="56"/>
  <c r="L4597" i="56"/>
  <c r="L4585" i="56"/>
  <c r="L4573" i="56"/>
  <c r="L4549" i="56"/>
  <c r="L4525" i="56"/>
  <c r="L4477" i="56"/>
  <c r="L4465" i="56"/>
  <c r="L4453" i="56"/>
  <c r="L4405" i="56"/>
  <c r="L4393" i="56"/>
  <c r="L4381" i="56"/>
  <c r="L4369" i="56"/>
  <c r="L4357" i="56"/>
  <c r="L4333" i="56"/>
  <c r="L4321" i="56"/>
  <c r="L4249" i="56"/>
  <c r="L4237" i="56"/>
  <c r="L4225" i="56"/>
  <c r="L4213" i="56"/>
  <c r="L4201" i="56"/>
  <c r="L4189" i="56"/>
  <c r="L4177" i="56"/>
  <c r="L21" i="56"/>
  <c r="L4153" i="56"/>
  <c r="L4141" i="56"/>
  <c r="L4117" i="56"/>
  <c r="L4105" i="56"/>
  <c r="L4081" i="56"/>
  <c r="L4045" i="56"/>
  <c r="L4033" i="56"/>
  <c r="L4009" i="56"/>
  <c r="L3997" i="56"/>
  <c r="L3985" i="56"/>
  <c r="L3973" i="56"/>
  <c r="L3961" i="56"/>
  <c r="L3949" i="56"/>
  <c r="L3913" i="56"/>
  <c r="L3901" i="56"/>
  <c r="L3889" i="56"/>
  <c r="L3877" i="56"/>
  <c r="L3841" i="56"/>
  <c r="L3805" i="56"/>
  <c r="L3781" i="56"/>
  <c r="L3769" i="56"/>
  <c r="L3757" i="56"/>
  <c r="L3745" i="56"/>
  <c r="L3733" i="56"/>
  <c r="L3697" i="56"/>
  <c r="L3685" i="56"/>
  <c r="L3577" i="56"/>
  <c r="L3565" i="56"/>
  <c r="L3553" i="56"/>
  <c r="L3517" i="56"/>
  <c r="L3505" i="56"/>
  <c r="L3421" i="56"/>
  <c r="L3409" i="56"/>
  <c r="L3373" i="56"/>
  <c r="L3349" i="56"/>
  <c r="L3337" i="56"/>
  <c r="L3313" i="56"/>
  <c r="L3301" i="56"/>
  <c r="L3265" i="56"/>
  <c r="L3193" i="56"/>
  <c r="L2929" i="56"/>
  <c r="L2881" i="56"/>
  <c r="L2869" i="56"/>
  <c r="L2785" i="56"/>
  <c r="L2773" i="56"/>
  <c r="L2761" i="56"/>
  <c r="L2737" i="56"/>
  <c r="L2725" i="56"/>
  <c r="L2713" i="56"/>
  <c r="L2701" i="56"/>
  <c r="L2677" i="56"/>
  <c r="L2665" i="56"/>
  <c r="L2641" i="56"/>
  <c r="L2629" i="56"/>
  <c r="L2617" i="56"/>
  <c r="L2605" i="56"/>
  <c r="L2593" i="56"/>
  <c r="L2569" i="56"/>
  <c r="L2533" i="56"/>
  <c r="L2521" i="56"/>
  <c r="L2509" i="56"/>
  <c r="L2485" i="56"/>
  <c r="L2473" i="56"/>
  <c r="L2449" i="56"/>
  <c r="L2437" i="56"/>
  <c r="L2425" i="56"/>
  <c r="L2401" i="56"/>
  <c r="L2389" i="56"/>
  <c r="L2365" i="56"/>
  <c r="L2341" i="56"/>
  <c r="L2329" i="56"/>
  <c r="L2317" i="56"/>
  <c r="L2293" i="56"/>
  <c r="L2269" i="56"/>
  <c r="L2233" i="56"/>
  <c r="L2221" i="56"/>
  <c r="L2209" i="56"/>
  <c r="L2197" i="56"/>
  <c r="L2161" i="56"/>
  <c r="L2137" i="56"/>
  <c r="L2113" i="56"/>
  <c r="L2089" i="56"/>
  <c r="L2077" i="56"/>
  <c r="L2065" i="56"/>
  <c r="L1837" i="56"/>
  <c r="L1128" i="56"/>
  <c r="L1043" i="56"/>
  <c r="B4033" i="56"/>
  <c r="L1514" i="56"/>
  <c r="L1460" i="56"/>
  <c r="L1458" i="56"/>
  <c r="L1113" i="56"/>
  <c r="L1026" i="56"/>
  <c r="L1292" i="56"/>
  <c r="L1594" i="56"/>
  <c r="L1033" i="56"/>
  <c r="L896" i="56"/>
  <c r="L880" i="56"/>
  <c r="L868" i="56"/>
  <c r="L864" i="56"/>
  <c r="L844" i="56"/>
  <c r="L1763" i="56"/>
  <c r="L20" i="56"/>
  <c r="L9" i="56"/>
  <c r="L1029" i="56"/>
  <c r="L25" i="56"/>
  <c r="L985" i="56"/>
  <c r="L983" i="56"/>
  <c r="L500" i="56"/>
  <c r="L496" i="56"/>
  <c r="L442" i="56"/>
  <c r="L438" i="56"/>
  <c r="L10" i="56"/>
  <c r="L33" i="56"/>
  <c r="L24" i="56"/>
  <c r="L4" i="56"/>
  <c r="B38" i="56"/>
  <c r="B4212" i="56"/>
  <c r="B2806" i="56"/>
  <c r="B5280" i="56"/>
  <c r="B4746" i="56"/>
  <c r="L1783" i="56"/>
  <c r="B2865" i="56"/>
  <c r="L1149" i="56"/>
  <c r="L1145" i="56"/>
  <c r="L1709" i="56"/>
  <c r="L1697" i="56"/>
  <c r="L1302" i="56"/>
  <c r="L1034" i="56"/>
  <c r="L1745" i="56"/>
  <c r="L1733" i="56"/>
  <c r="L1721" i="56"/>
  <c r="L1685" i="56"/>
  <c r="L1207" i="56"/>
  <c r="L1328" i="56"/>
  <c r="L922" i="56"/>
  <c r="L920" i="56"/>
  <c r="L3" i="56"/>
  <c r="L6" i="56"/>
  <c r="B2884" i="56"/>
  <c r="L1309" i="56"/>
  <c r="L1021" i="56"/>
  <c r="L967" i="56"/>
  <c r="L52" i="56"/>
  <c r="L40" i="56"/>
  <c r="L36" i="56"/>
  <c r="L19" i="56"/>
  <c r="L7" i="56"/>
  <c r="L78" i="56"/>
  <c r="L5" i="56"/>
  <c r="L30" i="56"/>
  <c r="L15" i="56"/>
  <c r="B5563" i="56"/>
  <c r="B5164" i="56"/>
  <c r="B4407" i="56"/>
  <c r="B4742" i="56"/>
  <c r="B3952" i="56"/>
  <c r="B3935" i="56"/>
  <c r="B3707" i="56"/>
  <c r="B2581" i="56"/>
  <c r="B2774" i="56"/>
  <c r="B3078" i="56"/>
  <c r="L1373" i="56"/>
  <c r="L945" i="56"/>
  <c r="L1619" i="56"/>
  <c r="L1032" i="56"/>
  <c r="L887" i="56"/>
  <c r="L813" i="56"/>
  <c r="L1618" i="56"/>
  <c r="L34" i="56"/>
  <c r="L1356" i="56"/>
  <c r="L1257" i="56"/>
  <c r="L1079" i="56"/>
  <c r="L1031" i="56"/>
  <c r="L1028" i="56"/>
  <c r="L740" i="56"/>
  <c r="L16" i="56"/>
  <c r="L700" i="56"/>
  <c r="L28" i="56"/>
  <c r="L13" i="56"/>
  <c r="L1179" i="56"/>
  <c r="L77" i="56"/>
  <c r="L32" i="56"/>
  <c r="L67" i="56"/>
  <c r="L11" i="56"/>
  <c r="L1658" i="56"/>
  <c r="L1248" i="56"/>
  <c r="L1173" i="56"/>
  <c r="L1082" i="56"/>
  <c r="L1080" i="56"/>
  <c r="L1047" i="56"/>
  <c r="L1022" i="56"/>
  <c r="L268" i="56"/>
  <c r="L758" i="56"/>
  <c r="L27" i="56"/>
  <c r="L18" i="56"/>
  <c r="L6080" i="56"/>
  <c r="L6032" i="56"/>
  <c r="L6020" i="56"/>
  <c r="L6008" i="56"/>
  <c r="L5960" i="56"/>
  <c r="L5948" i="56"/>
  <c r="L5936" i="56"/>
  <c r="L5912" i="56"/>
  <c r="L5900" i="56"/>
  <c r="L5888" i="56"/>
  <c r="L5876" i="56"/>
  <c r="L5864" i="56"/>
  <c r="L5852" i="56"/>
  <c r="L5840" i="56"/>
  <c r="L5828" i="56"/>
  <c r="L5816" i="56"/>
  <c r="L5804" i="56"/>
  <c r="L5780" i="56"/>
  <c r="L5768" i="56"/>
  <c r="L5756" i="56"/>
  <c r="L5744" i="56"/>
  <c r="L5732" i="56"/>
  <c r="L5720" i="56"/>
  <c r="L5684" i="56"/>
  <c r="L5660" i="56"/>
  <c r="L5648" i="56"/>
  <c r="L5636" i="56"/>
  <c r="L5624" i="56"/>
  <c r="L5612" i="56"/>
  <c r="L5600" i="56"/>
  <c r="L5588" i="56"/>
  <c r="L5576" i="56"/>
  <c r="L5564" i="56"/>
  <c r="L5552" i="56"/>
  <c r="L5540" i="56"/>
  <c r="L5528" i="56"/>
  <c r="L5516" i="56"/>
  <c r="L5504" i="56"/>
  <c r="L5492" i="56"/>
  <c r="L5480" i="56"/>
  <c r="L5468" i="56"/>
  <c r="L5420" i="56"/>
  <c r="L5384" i="56"/>
  <c r="L5348" i="56"/>
  <c r="L5312" i="56"/>
  <c r="L5300" i="56"/>
  <c r="L5288" i="56"/>
  <c r="L4532" i="56"/>
  <c r="L4508" i="56"/>
  <c r="L4460" i="56"/>
  <c r="L4448" i="56"/>
  <c r="L4388" i="56"/>
  <c r="L4304" i="56"/>
  <c r="L4280" i="56"/>
  <c r="L4256" i="56"/>
  <c r="L4232" i="56"/>
  <c r="L4196" i="56"/>
  <c r="L4184" i="56"/>
  <c r="L4172" i="56"/>
  <c r="L4148" i="56"/>
  <c r="L4124" i="56"/>
  <c r="L4088" i="56"/>
  <c r="L4040" i="56"/>
  <c r="L4004" i="56"/>
  <c r="L3968" i="56"/>
  <c r="L3584" i="56"/>
  <c r="L3572" i="56"/>
  <c r="L3560" i="56"/>
  <c r="L3548" i="56"/>
  <c r="L3536" i="56"/>
  <c r="L3512" i="56"/>
  <c r="L3500" i="56"/>
  <c r="L3476" i="56"/>
  <c r="L3464" i="56"/>
  <c r="L3452" i="56"/>
  <c r="L3416" i="56"/>
  <c r="L3380" i="56"/>
  <c r="L3344" i="56"/>
  <c r="L3308" i="56"/>
  <c r="L3260" i="56"/>
  <c r="L3248" i="56"/>
  <c r="L3236" i="56"/>
  <c r="L3212" i="56"/>
  <c r="L3200" i="56"/>
  <c r="L3164" i="56"/>
  <c r="L3152" i="56"/>
  <c r="L3116" i="56"/>
  <c r="L3104" i="56"/>
  <c r="L3068" i="56"/>
  <c r="L3056" i="56"/>
  <c r="L3044" i="56"/>
  <c r="L3032" i="56"/>
  <c r="L3020" i="56"/>
  <c r="L2984" i="56"/>
  <c r="L2972" i="56"/>
  <c r="L2936" i="56"/>
  <c r="L2840" i="56"/>
  <c r="L2828" i="56"/>
  <c r="L2792" i="56"/>
  <c r="L2780" i="56"/>
  <c r="L2768" i="56"/>
  <c r="L2756" i="56"/>
  <c r="L2000" i="56"/>
  <c r="L1976" i="56"/>
  <c r="L1940" i="56"/>
  <c r="L1928" i="56"/>
  <c r="L1916" i="56"/>
  <c r="L1880" i="56"/>
  <c r="L1856" i="56"/>
  <c r="L1844" i="56"/>
  <c r="L1832" i="56"/>
  <c r="L1796" i="56"/>
  <c r="B4573" i="56"/>
  <c r="B4440" i="56"/>
  <c r="B2343" i="56"/>
  <c r="B5405" i="56"/>
  <c r="B5746" i="56"/>
  <c r="B5439" i="56"/>
  <c r="B5266" i="56"/>
  <c r="B4874" i="56"/>
  <c r="B3166" i="56"/>
  <c r="B1845" i="56"/>
  <c r="B3616" i="56"/>
  <c r="B2200" i="56"/>
  <c r="B36" i="56"/>
  <c r="B1864" i="56"/>
  <c r="B4118" i="56"/>
  <c r="B956" i="56"/>
  <c r="L1436" i="56"/>
  <c r="L1399" i="56"/>
  <c r="L1011" i="56"/>
  <c r="L1005" i="56"/>
  <c r="L908" i="56"/>
  <c r="L731" i="56"/>
  <c r="L684" i="56"/>
  <c r="L393" i="56"/>
  <c r="L1682" i="56"/>
  <c r="L1325" i="56"/>
  <c r="L1266" i="56"/>
  <c r="L1256" i="56"/>
  <c r="L1754" i="56"/>
  <c r="L1536" i="56"/>
  <c r="L1530" i="56"/>
  <c r="L1483" i="56"/>
  <c r="L1481" i="56"/>
  <c r="L1479" i="56"/>
  <c r="L1232" i="56"/>
  <c r="L951" i="56"/>
  <c r="L811" i="56"/>
  <c r="L746" i="56"/>
  <c r="L1268" i="56"/>
  <c r="L750" i="56"/>
  <c r="L1662" i="56"/>
  <c r="L1473" i="56"/>
  <c r="L937" i="56"/>
  <c r="L701" i="56"/>
  <c r="L1445" i="56"/>
  <c r="L1336" i="56"/>
  <c r="L1285" i="56"/>
  <c r="B1128" i="56"/>
  <c r="L1008" i="56"/>
  <c r="L1004" i="56"/>
  <c r="L988" i="56"/>
  <c r="L767" i="56"/>
  <c r="L728" i="56"/>
  <c r="L1629" i="56"/>
  <c r="L663" i="56"/>
  <c r="L1563" i="56"/>
  <c r="L1506" i="56"/>
  <c r="L1447" i="56"/>
  <c r="L1338" i="56"/>
  <c r="L1289" i="56"/>
  <c r="L1504" i="56"/>
  <c r="L1365" i="56"/>
  <c r="L984" i="56"/>
  <c r="L1718" i="56"/>
  <c r="L1200" i="56"/>
  <c r="L1706" i="56"/>
  <c r="L1671" i="56"/>
  <c r="L1233" i="56"/>
  <c r="L1176" i="56"/>
  <c r="L1165" i="56"/>
  <c r="L950" i="56"/>
  <c r="L895" i="56"/>
  <c r="L1772" i="56"/>
  <c r="L1760" i="56"/>
  <c r="L1771" i="56"/>
  <c r="L1780" i="56"/>
  <c r="L1759" i="56"/>
  <c r="L1778" i="56"/>
  <c r="L1768" i="56"/>
  <c r="L1784" i="56"/>
  <c r="L1157" i="56"/>
  <c r="L1191" i="56"/>
  <c r="L1656" i="56"/>
  <c r="L1521" i="56"/>
  <c r="L1352" i="56"/>
  <c r="L1123" i="56"/>
  <c r="L902" i="56"/>
  <c r="L816" i="56"/>
  <c r="L772" i="56"/>
  <c r="L658" i="56"/>
  <c r="L1630" i="56"/>
  <c r="L1159" i="56"/>
  <c r="L1251" i="56"/>
  <c r="L1133" i="56"/>
  <c r="L972" i="56"/>
  <c r="L725" i="56"/>
  <c r="L1643" i="56"/>
  <c r="L1523" i="56"/>
  <c r="L1519" i="56"/>
  <c r="L1567" i="56"/>
  <c r="L1509" i="56"/>
  <c r="L1463" i="56"/>
  <c r="L1432" i="56"/>
  <c r="L1430" i="56"/>
  <c r="L1344" i="56"/>
  <c r="L1286" i="56"/>
  <c r="L1206" i="56"/>
  <c r="L1102" i="56"/>
  <c r="L1075" i="56"/>
  <c r="L1007" i="56"/>
  <c r="L997" i="56"/>
  <c r="L665" i="56"/>
  <c r="L1628" i="56"/>
  <c r="L1577" i="56"/>
  <c r="L1320" i="56"/>
  <c r="L914" i="56"/>
  <c r="L1382" i="56"/>
  <c r="L1331" i="56"/>
  <c r="L1249" i="56"/>
  <c r="L759" i="56"/>
  <c r="L1614" i="56"/>
  <c r="L1393" i="56"/>
  <c r="L1340" i="56"/>
  <c r="L1321" i="56"/>
  <c r="L787" i="56"/>
  <c r="L1599" i="56"/>
  <c r="L1152" i="56"/>
  <c r="L1150" i="56"/>
  <c r="L804" i="56"/>
  <c r="L1439" i="56"/>
  <c r="L1353" i="56"/>
  <c r="L1225" i="56"/>
  <c r="L1223" i="56"/>
  <c r="L1117" i="56"/>
  <c r="L1044" i="56"/>
  <c r="L973" i="56"/>
  <c r="L854" i="56"/>
  <c r="L821" i="56"/>
  <c r="L661" i="56"/>
  <c r="L1678" i="56"/>
  <c r="L1464" i="56"/>
  <c r="L1427" i="56"/>
  <c r="L1400" i="56"/>
  <c r="L1301" i="56"/>
  <c r="L1293" i="56"/>
  <c r="L1244" i="56"/>
  <c r="L796" i="56"/>
  <c r="L714" i="56"/>
  <c r="L712" i="56"/>
  <c r="L680" i="56"/>
  <c r="L676" i="56"/>
  <c r="L674" i="56"/>
  <c r="L1647" i="56"/>
  <c r="L1568" i="56"/>
  <c r="L1061" i="56"/>
  <c r="L733" i="56"/>
  <c r="L1263" i="56"/>
  <c r="L1452" i="56"/>
  <c r="L830" i="56"/>
  <c r="B2829" i="56"/>
  <c r="B2290" i="56"/>
  <c r="B2260" i="56"/>
  <c r="B1957" i="56"/>
  <c r="B5202" i="56"/>
  <c r="B1620" i="56"/>
  <c r="B4959" i="56"/>
  <c r="B4026" i="56"/>
  <c r="B5724" i="56"/>
  <c r="B982" i="56"/>
  <c r="B30" i="56"/>
  <c r="B27" i="56"/>
  <c r="B5472" i="56"/>
  <c r="B5401" i="56"/>
  <c r="B4852" i="56"/>
  <c r="B4823" i="56"/>
  <c r="B3671" i="56"/>
  <c r="B3397" i="56"/>
  <c r="B1768" i="56"/>
  <c r="B1259" i="56"/>
  <c r="B4957" i="56"/>
  <c r="B3890" i="56"/>
  <c r="B1656" i="56"/>
  <c r="B5929" i="56"/>
  <c r="B5919" i="56"/>
  <c r="B5895" i="56"/>
  <c r="B23" i="56"/>
  <c r="B3662" i="56"/>
  <c r="B3599" i="56"/>
  <c r="B2813" i="56"/>
  <c r="B2385" i="56"/>
  <c r="B2354" i="56"/>
  <c r="B5921" i="56"/>
  <c r="B4567" i="56"/>
  <c r="B4478" i="56"/>
  <c r="B3721" i="56"/>
  <c r="B5897" i="56"/>
  <c r="B5286" i="56"/>
  <c r="B4572" i="56"/>
  <c r="B2760" i="56"/>
  <c r="B2688" i="56"/>
  <c r="B2088" i="56"/>
  <c r="B802" i="56"/>
  <c r="B5492" i="56"/>
  <c r="B3536" i="56"/>
  <c r="B4507" i="56"/>
  <c r="B4167" i="56"/>
  <c r="B3675" i="56"/>
  <c r="B1824" i="56"/>
  <c r="B3931" i="56"/>
  <c r="B5452" i="56"/>
  <c r="B5997" i="56"/>
  <c r="B5422" i="56"/>
  <c r="B4735" i="56"/>
  <c r="B4558" i="56"/>
  <c r="B4538" i="56"/>
  <c r="B2567" i="56"/>
  <c r="B1279" i="56"/>
  <c r="L1616" i="56"/>
  <c r="L1600" i="56"/>
  <c r="L1566" i="56"/>
  <c r="L1507" i="56"/>
  <c r="L1456" i="56"/>
  <c r="L1410" i="56"/>
  <c r="L1283" i="56"/>
  <c r="L1239" i="56"/>
  <c r="L1198" i="56"/>
  <c r="L1087" i="56"/>
  <c r="L1085" i="56"/>
  <c r="L1053" i="56"/>
  <c r="L753" i="56"/>
  <c r="L667" i="56"/>
  <c r="L1543" i="56"/>
  <c r="L1511" i="56"/>
  <c r="L1435" i="56"/>
  <c r="L1414" i="56"/>
  <c r="L1397" i="56"/>
  <c r="L1348" i="56"/>
  <c r="L1308" i="56"/>
  <c r="L1304" i="56"/>
  <c r="L1213" i="56"/>
  <c r="L1211" i="56"/>
  <c r="L1185" i="56"/>
  <c r="L1057" i="56"/>
  <c r="L900" i="56"/>
  <c r="L898" i="56"/>
  <c r="L1655" i="56"/>
  <c r="L1651" i="56"/>
  <c r="L1640" i="56"/>
  <c r="L1631" i="56"/>
  <c r="L1598" i="56"/>
  <c r="L1465" i="56"/>
  <c r="L1379" i="56"/>
  <c r="L1246" i="56"/>
  <c r="L1235" i="56"/>
  <c r="L1122" i="56"/>
  <c r="L1066" i="56"/>
  <c r="L807" i="56"/>
  <c r="L1666" i="56"/>
  <c r="L1621" i="56"/>
  <c r="L1590" i="56"/>
  <c r="L1499" i="56"/>
  <c r="L1476" i="56"/>
  <c r="L1448" i="56"/>
  <c r="L1446" i="56"/>
  <c r="L1444" i="56"/>
  <c r="L1265" i="56"/>
  <c r="L1109" i="56"/>
  <c r="B1087" i="56"/>
  <c r="B1083" i="56"/>
  <c r="L930" i="56"/>
  <c r="L928" i="56"/>
  <c r="L846" i="56"/>
  <c r="L784" i="56"/>
  <c r="L704" i="56"/>
  <c r="L1679" i="56"/>
  <c r="L1440" i="56"/>
  <c r="L1319" i="56"/>
  <c r="L1317" i="56"/>
  <c r="L1156" i="56"/>
  <c r="L979" i="56"/>
  <c r="L886" i="56"/>
  <c r="L863" i="56"/>
  <c r="B790" i="56"/>
  <c r="L1579" i="56"/>
  <c r="L1677" i="56"/>
  <c r="L1675" i="56"/>
  <c r="L1660" i="56"/>
  <c r="L1612" i="56"/>
  <c r="L1586" i="56"/>
  <c r="L1582" i="56"/>
  <c r="L1510" i="56"/>
  <c r="L1491" i="56"/>
  <c r="L1415" i="56"/>
  <c r="L1413" i="56"/>
  <c r="L1366" i="56"/>
  <c r="L1364" i="56"/>
  <c r="L1184" i="56"/>
  <c r="L1182" i="56"/>
  <c r="L1125" i="56"/>
  <c r="L1062" i="56"/>
  <c r="L884" i="56"/>
  <c r="L859" i="56"/>
  <c r="L836" i="56"/>
  <c r="L810" i="56"/>
  <c r="L752" i="56"/>
  <c r="B747" i="56"/>
  <c r="L743" i="56"/>
  <c r="L732" i="56"/>
  <c r="L1610" i="56"/>
  <c r="L1527" i="56"/>
  <c r="L1489" i="56"/>
  <c r="L1411" i="56"/>
  <c r="L1409" i="56"/>
  <c r="L1384" i="56"/>
  <c r="L1380" i="56"/>
  <c r="L1369" i="56"/>
  <c r="L1343" i="56"/>
  <c r="L1297" i="56"/>
  <c r="L1280" i="56"/>
  <c r="L1255" i="56"/>
  <c r="L1197" i="56"/>
  <c r="L1144" i="56"/>
  <c r="L1118" i="56"/>
  <c r="L1103" i="56"/>
  <c r="B1092" i="56"/>
  <c r="L1069" i="56"/>
  <c r="L1015" i="56"/>
  <c r="L994" i="56"/>
  <c r="L990" i="56"/>
  <c r="L882" i="56"/>
  <c r="L689" i="56"/>
  <c r="L1291" i="56"/>
  <c r="L1116" i="56"/>
  <c r="L870" i="56"/>
  <c r="B1751" i="56"/>
  <c r="L1650" i="56"/>
  <c r="L1593" i="56"/>
  <c r="L1574" i="56"/>
  <c r="L1559" i="56"/>
  <c r="L1515" i="56"/>
  <c r="L1424" i="56"/>
  <c r="L1324" i="56"/>
  <c r="L1316" i="56"/>
  <c r="L1221" i="56"/>
  <c r="B1208" i="56"/>
  <c r="L1204" i="56"/>
  <c r="L1155" i="56"/>
  <c r="L1112" i="56"/>
  <c r="L976" i="56"/>
  <c r="L779" i="56"/>
  <c r="L768" i="56"/>
  <c r="L755" i="56"/>
  <c r="L720" i="56"/>
  <c r="L718" i="56"/>
  <c r="L503" i="56"/>
  <c r="L793" i="56"/>
  <c r="L1626" i="56"/>
  <c r="B1619" i="56"/>
  <c r="L1569" i="56"/>
  <c r="L1558" i="56"/>
  <c r="L1556" i="56"/>
  <c r="L1490" i="56"/>
  <c r="L1406" i="56"/>
  <c r="L1262" i="56"/>
  <c r="L1153" i="56"/>
  <c r="L1108" i="56"/>
  <c r="L1036" i="56"/>
  <c r="L989" i="56"/>
  <c r="L987" i="56"/>
  <c r="L883" i="56"/>
  <c r="L839" i="56"/>
  <c r="L776" i="56"/>
  <c r="L774" i="56"/>
  <c r="B744" i="56"/>
  <c r="B654" i="56"/>
  <c r="L960" i="56"/>
  <c r="L885" i="56"/>
  <c r="L817" i="56"/>
  <c r="L815" i="56"/>
  <c r="L742" i="56"/>
  <c r="L1661" i="56"/>
  <c r="L1635" i="56"/>
  <c r="L1622" i="56"/>
  <c r="L1608" i="56"/>
  <c r="L1542" i="56"/>
  <c r="L1540" i="56"/>
  <c r="L1518" i="56"/>
  <c r="L1434" i="56"/>
  <c r="L1425" i="56"/>
  <c r="L1423" i="56"/>
  <c r="L1389" i="56"/>
  <c r="B1298" i="56"/>
  <c r="L1277" i="56"/>
  <c r="L1267" i="56"/>
  <c r="L1218" i="56"/>
  <c r="L1205" i="56"/>
  <c r="L1143" i="56"/>
  <c r="L1095" i="56"/>
  <c r="L1093" i="56"/>
  <c r="B1078" i="56"/>
  <c r="L1041" i="56"/>
  <c r="L1012" i="56"/>
  <c r="L1006" i="56"/>
  <c r="L952" i="56"/>
  <c r="L935" i="56"/>
  <c r="L933" i="56"/>
  <c r="L909" i="56"/>
  <c r="L905" i="56"/>
  <c r="L888" i="56"/>
  <c r="L879" i="56"/>
  <c r="L858" i="56"/>
  <c r="L824" i="56"/>
  <c r="L729" i="56"/>
  <c r="L708" i="56"/>
  <c r="L694" i="56"/>
  <c r="L1387" i="56"/>
  <c r="L1350" i="56"/>
  <c r="L1201" i="56"/>
  <c r="L918" i="56"/>
  <c r="L850" i="56"/>
  <c r="L754" i="56"/>
  <c r="L653" i="56"/>
  <c r="L713" i="56"/>
  <c r="L671" i="56"/>
  <c r="L566" i="56"/>
  <c r="L669" i="56"/>
  <c r="L1668" i="56"/>
  <c r="L1645" i="56"/>
  <c r="L1637" i="56"/>
  <c r="L1418" i="56"/>
  <c r="L1355" i="56"/>
  <c r="B1244" i="56"/>
  <c r="L1039" i="56"/>
  <c r="L919" i="56"/>
  <c r="L1659" i="56"/>
  <c r="B1642" i="56"/>
  <c r="L1625" i="56"/>
  <c r="B1617" i="56"/>
  <c r="L1607" i="56"/>
  <c r="L1583" i="56"/>
  <c r="L1534" i="56"/>
  <c r="L1529" i="56"/>
  <c r="L1497" i="56"/>
  <c r="L1495" i="56"/>
  <c r="L1484" i="56"/>
  <c r="L1475" i="56"/>
  <c r="L1457" i="56"/>
  <c r="L1416" i="56"/>
  <c r="L1311" i="56"/>
  <c r="L1097" i="56"/>
  <c r="L943" i="56"/>
  <c r="L924" i="56"/>
  <c r="L1550" i="56"/>
  <c r="L1367" i="56"/>
  <c r="L1351" i="56"/>
  <c r="B928" i="56"/>
  <c r="B738" i="56"/>
  <c r="L1676" i="56"/>
  <c r="L1669" i="56"/>
  <c r="L1623" i="56"/>
  <c r="L1605" i="56"/>
  <c r="L1564" i="56"/>
  <c r="L1557" i="56"/>
  <c r="L1548" i="56"/>
  <c r="L1546" i="56"/>
  <c r="L1525" i="56"/>
  <c r="L1516" i="56"/>
  <c r="L1500" i="56"/>
  <c r="L1478" i="56"/>
  <c r="L1469" i="56"/>
  <c r="L1453" i="56"/>
  <c r="L1403" i="56"/>
  <c r="L1370" i="56"/>
  <c r="L1298" i="56"/>
  <c r="L1220" i="56"/>
  <c r="L1162" i="56"/>
  <c r="L1553" i="56"/>
  <c r="L1535" i="56"/>
  <c r="L1139" i="56"/>
  <c r="B1734" i="56"/>
  <c r="L1451" i="56"/>
  <c r="L1377" i="56"/>
  <c r="L1276" i="56"/>
  <c r="L1272" i="56"/>
  <c r="L1227" i="56"/>
  <c r="L1667" i="56"/>
  <c r="L1636" i="56"/>
  <c r="L1611" i="56"/>
  <c r="L1528" i="56"/>
  <c r="L1426" i="56"/>
  <c r="L1332" i="56"/>
  <c r="L1310" i="56"/>
  <c r="L1174" i="56"/>
  <c r="L1665" i="56"/>
  <c r="L1654" i="56"/>
  <c r="B1651" i="56"/>
  <c r="L1575" i="56"/>
  <c r="L1551" i="56"/>
  <c r="L1503" i="56"/>
  <c r="L1472" i="56"/>
  <c r="L1388" i="56"/>
  <c r="L1337" i="56"/>
  <c r="L1203" i="56"/>
  <c r="L1105" i="56"/>
  <c r="L1663" i="56"/>
  <c r="L1652" i="56"/>
  <c r="L1642" i="56"/>
  <c r="L1606" i="56"/>
  <c r="L1589" i="56"/>
  <c r="L1547" i="56"/>
  <c r="L1531" i="56"/>
  <c r="L1524" i="56"/>
  <c r="L1501" i="56"/>
  <c r="L1477" i="56"/>
  <c r="L1431" i="56"/>
  <c r="L1404" i="56"/>
  <c r="L1395" i="56"/>
  <c r="L1306" i="56"/>
  <c r="L1299" i="56"/>
  <c r="L1290" i="56"/>
  <c r="L1023" i="56"/>
  <c r="L912" i="56"/>
  <c r="L842" i="56"/>
  <c r="L791" i="56"/>
  <c r="L1368" i="56"/>
  <c r="L1342" i="56"/>
  <c r="L1335" i="56"/>
  <c r="L1323" i="56"/>
  <c r="B1247" i="56"/>
  <c r="L1111" i="56"/>
  <c r="L1051" i="56"/>
  <c r="L1014" i="56"/>
  <c r="L947" i="56"/>
  <c r="L867" i="56"/>
  <c r="L840" i="56"/>
  <c r="L822" i="56"/>
  <c r="L808" i="56"/>
  <c r="L794" i="56"/>
  <c r="L780" i="56"/>
  <c r="L778" i="56"/>
  <c r="L723" i="56"/>
  <c r="L716" i="56"/>
  <c r="L697" i="56"/>
  <c r="L651" i="56"/>
  <c r="L1468" i="56"/>
  <c r="L1442" i="56"/>
  <c r="L1433" i="56"/>
  <c r="L1419" i="56"/>
  <c r="L1412" i="56"/>
  <c r="L1396" i="56"/>
  <c r="L1354" i="56"/>
  <c r="L1275" i="56"/>
  <c r="L1236" i="56"/>
  <c r="L1212" i="56"/>
  <c r="L1170" i="56"/>
  <c r="L1054" i="56"/>
  <c r="L1037" i="56"/>
  <c r="L1003" i="56"/>
  <c r="L998" i="56"/>
  <c r="L996" i="56"/>
  <c r="L981" i="56"/>
  <c r="L936" i="56"/>
  <c r="L915" i="56"/>
  <c r="L899" i="56"/>
  <c r="L892" i="56"/>
  <c r="L852" i="56"/>
  <c r="B842" i="56"/>
  <c r="L792" i="56"/>
  <c r="L769" i="56"/>
  <c r="L735" i="56"/>
  <c r="L692" i="56"/>
  <c r="L672" i="56"/>
  <c r="L670" i="56"/>
  <c r="L649" i="56"/>
  <c r="L1401" i="56"/>
  <c r="L1394" i="56"/>
  <c r="L1383" i="56"/>
  <c r="L1374" i="56"/>
  <c r="L1357" i="56"/>
  <c r="B1340" i="56"/>
  <c r="L1315" i="56"/>
  <c r="L1234" i="56"/>
  <c r="L1224" i="56"/>
  <c r="L1196" i="56"/>
  <c r="L1178" i="56"/>
  <c r="L1161" i="56"/>
  <c r="L1136" i="56"/>
  <c r="L1098" i="56"/>
  <c r="L1083" i="56"/>
  <c r="L1081" i="56"/>
  <c r="L1059" i="56"/>
  <c r="L1045" i="56"/>
  <c r="L1019" i="56"/>
  <c r="L1017" i="56"/>
  <c r="L957" i="56"/>
  <c r="L948" i="56"/>
  <c r="L923" i="56"/>
  <c r="B913" i="56"/>
  <c r="L841" i="56"/>
  <c r="L834" i="56"/>
  <c r="L823" i="56"/>
  <c r="L814" i="56"/>
  <c r="L809" i="56"/>
  <c r="L802" i="56"/>
  <c r="L726" i="56"/>
  <c r="L717" i="56"/>
  <c r="L706" i="56"/>
  <c r="L650" i="56"/>
  <c r="L1278" i="56"/>
  <c r="L1215" i="56"/>
  <c r="L1187" i="56"/>
  <c r="L1094" i="56"/>
  <c r="L916" i="56"/>
  <c r="B816" i="56"/>
  <c r="L693" i="56"/>
  <c r="L1164" i="56"/>
  <c r="L1110" i="56"/>
  <c r="L1077" i="56"/>
  <c r="L993" i="56"/>
  <c r="L975" i="56"/>
  <c r="L926" i="56"/>
  <c r="L891" i="56"/>
  <c r="L873" i="56"/>
  <c r="L770" i="56"/>
  <c r="L763" i="56"/>
  <c r="L666" i="56"/>
  <c r="L646" i="56"/>
  <c r="L609" i="56"/>
  <c r="L801" i="56"/>
  <c r="L756" i="56"/>
  <c r="L749" i="56"/>
  <c r="L702" i="56"/>
  <c r="L687" i="56"/>
  <c r="L678" i="56"/>
  <c r="L1538" i="56"/>
  <c r="L1533" i="56"/>
  <c r="L1505" i="56"/>
  <c r="L1498" i="56"/>
  <c r="L1496" i="56"/>
  <c r="L1429" i="56"/>
  <c r="L1376" i="56"/>
  <c r="B1349" i="56"/>
  <c r="L1345" i="56"/>
  <c r="L1295" i="56"/>
  <c r="L1279" i="56"/>
  <c r="L1219" i="56"/>
  <c r="L1186" i="56"/>
  <c r="L1175" i="56"/>
  <c r="L1101" i="56"/>
  <c r="L1088" i="56"/>
  <c r="L1055" i="56"/>
  <c r="L1052" i="56"/>
  <c r="L1013" i="56"/>
  <c r="L974" i="56"/>
  <c r="L963" i="56"/>
  <c r="L954" i="56"/>
  <c r="L938" i="56"/>
  <c r="L860" i="56"/>
  <c r="L851" i="56"/>
  <c r="L828" i="56"/>
  <c r="L812" i="56"/>
  <c r="L798" i="56"/>
  <c r="L788" i="56"/>
  <c r="L765" i="56"/>
  <c r="L745" i="56"/>
  <c r="L710" i="56"/>
  <c r="L695" i="56"/>
  <c r="L688" i="56"/>
  <c r="L686" i="56"/>
  <c r="L659" i="56"/>
  <c r="L638" i="56"/>
  <c r="L600" i="56"/>
  <c r="L632" i="56"/>
  <c r="L635" i="56"/>
  <c r="L545" i="56"/>
  <c r="L639" i="56"/>
  <c r="L574" i="56"/>
  <c r="L431" i="56"/>
  <c r="L490" i="56"/>
  <c r="L450" i="56"/>
  <c r="L537" i="56"/>
  <c r="L533" i="56"/>
  <c r="L489" i="56"/>
  <c r="L483" i="56"/>
  <c r="L451" i="56"/>
  <c r="L630" i="56"/>
  <c r="L427" i="56"/>
  <c r="L540" i="56"/>
  <c r="L472" i="56"/>
  <c r="L607" i="56"/>
  <c r="L620" i="56"/>
  <c r="L526" i="56"/>
  <c r="L524" i="56"/>
  <c r="L519" i="56"/>
  <c r="L568" i="56"/>
  <c r="L467" i="56"/>
  <c r="L455" i="56"/>
  <c r="L587" i="56"/>
  <c r="L484" i="56"/>
  <c r="L636" i="56"/>
  <c r="L601" i="56"/>
  <c r="L633" i="56"/>
  <c r="L616" i="56"/>
  <c r="L425" i="56"/>
  <c r="L584" i="56"/>
  <c r="L512" i="56"/>
  <c r="L604" i="56"/>
  <c r="L546" i="56"/>
  <c r="L521" i="56"/>
  <c r="L622" i="56"/>
  <c r="L625" i="56"/>
  <c r="L585" i="56"/>
  <c r="L551" i="56"/>
  <c r="L457" i="56"/>
  <c r="L575" i="56"/>
  <c r="L598" i="56"/>
  <c r="L562" i="56"/>
  <c r="L497" i="56"/>
  <c r="L476" i="56"/>
  <c r="L453" i="56"/>
  <c r="L424" i="56"/>
  <c r="L588" i="56"/>
  <c r="L543" i="56"/>
  <c r="L466" i="56"/>
  <c r="L518" i="56"/>
  <c r="L567" i="56"/>
  <c r="L578" i="56"/>
  <c r="L481" i="56"/>
  <c r="L479" i="56"/>
  <c r="B598" i="56"/>
  <c r="B444" i="56"/>
  <c r="L522" i="56"/>
  <c r="L501" i="56"/>
  <c r="L494" i="56"/>
  <c r="L436" i="56"/>
  <c r="L419" i="56"/>
  <c r="L415" i="56"/>
  <c r="L615" i="56"/>
  <c r="L576" i="56"/>
  <c r="L446" i="56"/>
  <c r="L613" i="56"/>
  <c r="B552" i="56"/>
  <c r="L531" i="56"/>
  <c r="L590" i="56"/>
  <c r="L564" i="56"/>
  <c r="L325" i="56"/>
  <c r="L323" i="56"/>
  <c r="L291" i="56"/>
  <c r="L611" i="56"/>
  <c r="L581" i="56"/>
  <c r="L560" i="56"/>
  <c r="L541" i="56"/>
  <c r="L539" i="56"/>
  <c r="L527" i="56"/>
  <c r="L520" i="56"/>
  <c r="L513" i="56"/>
  <c r="L508" i="56"/>
  <c r="L463" i="56"/>
  <c r="L461" i="56"/>
  <c r="L452" i="56"/>
  <c r="L257" i="56"/>
  <c r="L627" i="56"/>
  <c r="L465" i="56"/>
  <c r="L529" i="56"/>
  <c r="L579" i="56"/>
  <c r="L517" i="56"/>
  <c r="B450" i="56"/>
  <c r="L550" i="56"/>
  <c r="L515" i="56"/>
  <c r="L565" i="56"/>
  <c r="L511" i="56"/>
  <c r="B506" i="56"/>
  <c r="L493" i="56"/>
  <c r="L443" i="56"/>
  <c r="L530" i="56"/>
  <c r="L528" i="56"/>
  <c r="L509" i="56"/>
  <c r="L320" i="56"/>
  <c r="L617" i="56"/>
  <c r="L612" i="56"/>
  <c r="L610" i="56"/>
  <c r="L596" i="56"/>
  <c r="L561" i="56"/>
  <c r="L542" i="56"/>
  <c r="L507" i="56"/>
  <c r="L498" i="56"/>
  <c r="L486" i="56"/>
  <c r="L462" i="56"/>
  <c r="B447" i="56"/>
  <c r="L629" i="56"/>
  <c r="L569" i="56"/>
  <c r="L491" i="56"/>
  <c r="L605" i="56"/>
  <c r="L557" i="56"/>
  <c r="L358" i="56"/>
  <c r="L352" i="56"/>
  <c r="L340" i="56"/>
  <c r="L334" i="56"/>
  <c r="L245" i="56"/>
  <c r="L308" i="56"/>
  <c r="L304" i="56"/>
  <c r="L270" i="56"/>
  <c r="L375" i="56"/>
  <c r="L367" i="56"/>
  <c r="L353" i="56"/>
  <c r="L311" i="56"/>
  <c r="L297" i="56"/>
  <c r="L351" i="56"/>
  <c r="L277" i="56"/>
  <c r="L400" i="56"/>
  <c r="L298" i="56"/>
  <c r="L296" i="56"/>
  <c r="L332" i="56"/>
  <c r="L319" i="56"/>
  <c r="L282" i="56"/>
  <c r="L251" i="56"/>
  <c r="L219" i="56"/>
  <c r="L48" i="56"/>
  <c r="L51" i="56"/>
  <c r="L39" i="56"/>
  <c r="L55" i="56"/>
  <c r="L38" i="56"/>
  <c r="L244" i="56"/>
  <c r="L158" i="56"/>
  <c r="L153" i="56"/>
  <c r="L164" i="56"/>
  <c r="L256" i="56"/>
  <c r="L254" i="56"/>
  <c r="L248" i="56"/>
  <c r="L136" i="56"/>
  <c r="L134" i="56"/>
  <c r="L169" i="56"/>
  <c r="L167" i="56"/>
  <c r="L56" i="56"/>
  <c r="L62" i="56"/>
  <c r="L189" i="56"/>
  <c r="L203" i="56"/>
  <c r="L160" i="56"/>
  <c r="L133" i="56"/>
  <c r="L168" i="56"/>
  <c r="L76" i="56"/>
  <c r="L72" i="56"/>
  <c r="L198" i="56"/>
  <c r="L192" i="56"/>
  <c r="L117" i="56"/>
  <c r="L115" i="56"/>
  <c r="L91" i="56"/>
  <c r="L116" i="56"/>
  <c r="L110" i="56"/>
  <c r="L401" i="56"/>
  <c r="L399" i="56"/>
  <c r="L285" i="56"/>
  <c r="L209" i="56"/>
  <c r="L162" i="56"/>
  <c r="L87" i="56"/>
  <c r="L85" i="56"/>
  <c r="L83" i="56"/>
  <c r="L81" i="56"/>
  <c r="L68" i="56"/>
  <c r="L59" i="56"/>
  <c r="L247" i="56"/>
  <c r="B401" i="56"/>
  <c r="L205" i="56"/>
  <c r="L179" i="56"/>
  <c r="L397" i="56"/>
  <c r="L266" i="56"/>
  <c r="L249" i="56"/>
  <c r="L376" i="56"/>
  <c r="L315" i="56"/>
  <c r="L294" i="56"/>
  <c r="L292" i="56"/>
  <c r="L190" i="56"/>
  <c r="L410" i="56"/>
  <c r="L273" i="56"/>
  <c r="L218" i="56"/>
  <c r="L147" i="56"/>
  <c r="L70" i="56"/>
  <c r="L374" i="56"/>
  <c r="L350" i="56"/>
  <c r="L290" i="56"/>
  <c r="L216" i="56"/>
  <c r="L126" i="56"/>
  <c r="L387" i="56"/>
  <c r="L359" i="56"/>
  <c r="L305" i="56"/>
  <c r="L239" i="56"/>
  <c r="L235" i="56"/>
  <c r="L225" i="56"/>
  <c r="L212" i="56"/>
  <c r="L423" i="56"/>
  <c r="L385" i="56"/>
  <c r="L368" i="56"/>
  <c r="L316" i="56"/>
  <c r="L258" i="56"/>
  <c r="L223" i="56"/>
  <c r="L165" i="56"/>
  <c r="L131" i="56"/>
  <c r="L129" i="56"/>
  <c r="L98" i="56"/>
  <c r="L96" i="56"/>
  <c r="B400" i="56"/>
  <c r="L261" i="56"/>
  <c r="L246" i="56"/>
  <c r="L157" i="56"/>
  <c r="L150" i="56"/>
  <c r="L123" i="56"/>
  <c r="L84" i="56"/>
  <c r="L430" i="56"/>
  <c r="L426" i="56"/>
  <c r="L388" i="56"/>
  <c r="L236" i="56"/>
  <c r="L211" i="56"/>
  <c r="L200" i="56"/>
  <c r="L196" i="56"/>
  <c r="L178" i="56"/>
  <c r="L176" i="56"/>
  <c r="L170" i="56"/>
  <c r="L69" i="56"/>
  <c r="L44" i="56"/>
  <c r="B309" i="56"/>
  <c r="L148" i="56"/>
  <c r="L135" i="56"/>
  <c r="L130" i="56"/>
  <c r="L125" i="56"/>
  <c r="L58" i="56"/>
  <c r="L146" i="56"/>
  <c r="L144" i="56"/>
  <c r="L140" i="56"/>
  <c r="L103" i="56"/>
  <c r="L94" i="56"/>
  <c r="L80" i="56"/>
  <c r="L313" i="56"/>
  <c r="L295" i="56"/>
  <c r="L429" i="56"/>
  <c r="L224" i="56"/>
  <c r="L201" i="56"/>
  <c r="B432" i="56"/>
  <c r="L339" i="56"/>
  <c r="L265" i="56"/>
  <c r="L184" i="56"/>
  <c r="L182" i="56"/>
  <c r="L177" i="56"/>
  <c r="L439" i="56"/>
  <c r="L391" i="56"/>
  <c r="L317" i="56"/>
  <c r="L243" i="56"/>
  <c r="L238" i="56"/>
  <c r="L231" i="56"/>
  <c r="L418" i="56"/>
  <c r="L416" i="56"/>
  <c r="L409" i="56"/>
  <c r="L389" i="56"/>
  <c r="L275" i="56"/>
  <c r="L227" i="56"/>
  <c r="L206" i="56"/>
  <c r="L199" i="56"/>
  <c r="L159" i="56"/>
  <c r="L435" i="56"/>
  <c r="L407" i="56"/>
  <c r="B391" i="56"/>
  <c r="L370" i="56"/>
  <c r="L263" i="56"/>
  <c r="L241" i="56"/>
  <c r="L213" i="56"/>
  <c r="L204" i="56"/>
  <c r="L166" i="56"/>
  <c r="L108" i="56"/>
  <c r="L97" i="56"/>
  <c r="L90" i="56"/>
  <c r="L422" i="56"/>
  <c r="L322" i="56"/>
  <c r="L240" i="56"/>
  <c r="L394" i="56"/>
  <c r="L318" i="56"/>
  <c r="L287" i="56"/>
  <c r="L220" i="56"/>
  <c r="L187" i="56"/>
  <c r="L152" i="56"/>
  <c r="L124" i="56"/>
  <c r="L106" i="56"/>
  <c r="L95" i="56"/>
  <c r="L86" i="56"/>
  <c r="L74" i="56"/>
  <c r="L440" i="56"/>
  <c r="L283" i="56"/>
  <c r="B323" i="56"/>
  <c r="L145" i="56"/>
  <c r="L141" i="56"/>
  <c r="L102" i="56"/>
  <c r="L417" i="56"/>
  <c r="L371" i="56"/>
  <c r="L366" i="56"/>
  <c r="L333" i="56"/>
  <c r="L310" i="56"/>
  <c r="L214" i="56"/>
  <c r="L207" i="56"/>
  <c r="L193" i="56"/>
  <c r="B88" i="56"/>
  <c r="L379" i="56"/>
  <c r="L242" i="56"/>
  <c r="L139" i="56"/>
  <c r="L118" i="56"/>
  <c r="L82" i="56"/>
  <c r="L1664" i="56"/>
  <c r="L1602" i="56"/>
  <c r="L1588" i="56"/>
  <c r="B1520" i="56"/>
  <c r="L1513" i="56"/>
  <c r="L1467" i="56"/>
  <c r="L1462" i="56"/>
  <c r="L1449" i="56"/>
  <c r="L1437" i="56"/>
  <c r="L1417" i="56"/>
  <c r="L1392" i="56"/>
  <c r="B1211" i="56"/>
  <c r="L1202" i="56"/>
  <c r="L1189" i="56"/>
  <c r="L1634" i="56"/>
  <c r="L1591" i="56"/>
  <c r="B1571" i="56"/>
  <c r="L1390" i="56"/>
  <c r="L1192" i="56"/>
  <c r="L1681" i="56"/>
  <c r="L1670" i="56"/>
  <c r="L1649" i="56"/>
  <c r="L1615" i="56"/>
  <c r="L1578" i="56"/>
  <c r="L1572" i="56"/>
  <c r="L1544" i="56"/>
  <c r="L1482" i="56"/>
  <c r="L1398" i="56"/>
  <c r="L1314" i="56"/>
  <c r="L1288" i="56"/>
  <c r="B1285" i="56"/>
  <c r="L1217" i="56"/>
  <c r="B1725" i="56"/>
  <c r="L1673" i="56"/>
  <c r="L1646" i="56"/>
  <c r="L1539" i="56"/>
  <c r="L1487" i="56"/>
  <c r="L1480" i="56"/>
  <c r="L1420" i="56"/>
  <c r="L1307" i="56"/>
  <c r="L1195" i="56"/>
  <c r="L1641" i="56"/>
  <c r="L1638" i="56"/>
  <c r="L1632" i="56"/>
  <c r="L1609" i="56"/>
  <c r="L1603" i="56"/>
  <c r="L1584" i="56"/>
  <c r="L1570" i="56"/>
  <c r="L1554" i="56"/>
  <c r="L1644" i="56"/>
  <c r="L1627" i="56"/>
  <c r="L1613" i="56"/>
  <c r="L1595" i="56"/>
  <c r="L1576" i="56"/>
  <c r="L1573" i="56"/>
  <c r="L1560" i="56"/>
  <c r="L1485" i="56"/>
  <c r="L1443" i="56"/>
  <c r="L1241" i="56"/>
  <c r="L1604" i="56"/>
  <c r="L1587" i="56"/>
  <c r="L1502" i="56"/>
  <c r="L1428" i="56"/>
  <c r="L1296" i="56"/>
  <c r="L1672" i="56"/>
  <c r="L1648" i="56"/>
  <c r="L1620" i="56"/>
  <c r="L1617" i="56"/>
  <c r="L1596" i="56"/>
  <c r="L1580" i="56"/>
  <c r="L1571" i="56"/>
  <c r="L1508" i="56"/>
  <c r="L1454" i="56"/>
  <c r="L1385" i="56"/>
  <c r="L1358" i="56"/>
  <c r="L1273" i="56"/>
  <c r="L1259" i="56"/>
  <c r="L1199" i="56"/>
  <c r="L1194" i="56"/>
  <c r="L1107" i="56"/>
  <c r="L1537" i="56"/>
  <c r="L1493" i="56"/>
  <c r="L1466" i="56"/>
  <c r="L1361" i="56"/>
  <c r="L1270" i="56"/>
  <c r="L1146" i="56"/>
  <c r="L1131" i="56"/>
  <c r="B1091" i="56"/>
  <c r="L1064" i="56"/>
  <c r="L970" i="56"/>
  <c r="L958" i="56"/>
  <c r="L1683" i="56"/>
  <c r="L1680" i="56"/>
  <c r="L1674" i="56"/>
  <c r="L1601" i="56"/>
  <c r="L1565" i="56"/>
  <c r="L1562" i="56"/>
  <c r="L1471" i="56"/>
  <c r="L1408" i="56"/>
  <c r="L1386" i="56"/>
  <c r="L1381" i="56"/>
  <c r="L1371" i="56"/>
  <c r="L1334" i="56"/>
  <c r="L1329" i="56"/>
  <c r="L1294" i="56"/>
  <c r="L1253" i="56"/>
  <c r="L1229" i="56"/>
  <c r="L1183" i="56"/>
  <c r="L1009" i="56"/>
  <c r="L927" i="56"/>
  <c r="L1639" i="56"/>
  <c r="L1592" i="56"/>
  <c r="L1522" i="56"/>
  <c r="L1422" i="56"/>
  <c r="L1339" i="56"/>
  <c r="L1238" i="56"/>
  <c r="L986" i="56"/>
  <c r="L934" i="56"/>
  <c r="L906" i="56"/>
  <c r="L1142" i="56"/>
  <c r="L1056" i="56"/>
  <c r="B1043" i="56"/>
  <c r="L991" i="56"/>
  <c r="L944" i="56"/>
  <c r="L876" i="56"/>
  <c r="L874" i="56"/>
  <c r="L1071" i="56"/>
  <c r="B991" i="56"/>
  <c r="B979" i="56"/>
  <c r="L1115" i="56"/>
  <c r="L1001" i="56"/>
  <c r="B998" i="56"/>
  <c r="L969" i="56"/>
  <c r="L1237" i="56"/>
  <c r="L1226" i="56"/>
  <c r="L1121" i="56"/>
  <c r="L1074" i="56"/>
  <c r="L1016" i="56"/>
  <c r="L964" i="56"/>
  <c r="L955" i="56"/>
  <c r="L1526" i="56"/>
  <c r="L1512" i="56"/>
  <c r="L1492" i="56"/>
  <c r="L1450" i="56"/>
  <c r="B1423" i="56"/>
  <c r="L1407" i="56"/>
  <c r="L1402" i="56"/>
  <c r="L1349" i="56"/>
  <c r="L1327" i="56"/>
  <c r="L1322" i="56"/>
  <c r="L1300" i="56"/>
  <c r="L1269" i="56"/>
  <c r="L1261" i="56"/>
  <c r="L1250" i="56"/>
  <c r="L1216" i="56"/>
  <c r="L1177" i="56"/>
  <c r="L1166" i="56"/>
  <c r="L1163" i="56"/>
  <c r="L1140" i="56"/>
  <c r="L1137" i="56"/>
  <c r="L1106" i="56"/>
  <c r="L1063" i="56"/>
  <c r="L977" i="56"/>
  <c r="L971" i="56"/>
  <c r="L961" i="56"/>
  <c r="L911" i="56"/>
  <c r="L1459" i="56"/>
  <c r="L1362" i="56"/>
  <c r="L1303" i="56"/>
  <c r="L1231" i="56"/>
  <c r="L1214" i="56"/>
  <c r="B1179" i="56"/>
  <c r="L1104" i="56"/>
  <c r="B980" i="56"/>
  <c r="L949" i="56"/>
  <c r="L907" i="56"/>
  <c r="L1532" i="56"/>
  <c r="L1520" i="56"/>
  <c r="L1461" i="56"/>
  <c r="L1455" i="56"/>
  <c r="L1421" i="56"/>
  <c r="L1313" i="56"/>
  <c r="L1305" i="56"/>
  <c r="L1281" i="56"/>
  <c r="B1265" i="56"/>
  <c r="L1258" i="56"/>
  <c r="L1208" i="56"/>
  <c r="B1202" i="56"/>
  <c r="L1171" i="56"/>
  <c r="L1168" i="56"/>
  <c r="L1160" i="56"/>
  <c r="L1134" i="56"/>
  <c r="L1119" i="56"/>
  <c r="L1025" i="56"/>
  <c r="L1020" i="56"/>
  <c r="L1002" i="56"/>
  <c r="L866" i="56"/>
  <c r="L1360" i="56"/>
  <c r="L1326" i="56"/>
  <c r="L1287" i="56"/>
  <c r="L1260" i="56"/>
  <c r="L1254" i="56"/>
  <c r="L1245" i="56"/>
  <c r="L1242" i="56"/>
  <c r="L1167" i="56"/>
  <c r="L1154" i="56"/>
  <c r="L1151" i="56"/>
  <c r="L1130" i="56"/>
  <c r="L1127" i="56"/>
  <c r="L1040" i="56"/>
  <c r="B988" i="56"/>
  <c r="B971" i="56"/>
  <c r="L966" i="56"/>
  <c r="L956" i="56"/>
  <c r="L932" i="56"/>
  <c r="L847" i="56"/>
  <c r="L786" i="56"/>
  <c r="L1391" i="56"/>
  <c r="L1375" i="56"/>
  <c r="L1363" i="56"/>
  <c r="L1347" i="56"/>
  <c r="L1341" i="56"/>
  <c r="L1330" i="56"/>
  <c r="L1312" i="56"/>
  <c r="B1292" i="56"/>
  <c r="B1284" i="56"/>
  <c r="L1282" i="56"/>
  <c r="B1232" i="56"/>
  <c r="L1230" i="56"/>
  <c r="L1188" i="56"/>
  <c r="B1154" i="56"/>
  <c r="L1141" i="56"/>
  <c r="L1138" i="56"/>
  <c r="L1090" i="56"/>
  <c r="L1068" i="56"/>
  <c r="L1046" i="56"/>
  <c r="L1010" i="56"/>
  <c r="B975" i="56"/>
  <c r="L959" i="56"/>
  <c r="L903" i="56"/>
  <c r="L890" i="56"/>
  <c r="B791" i="56"/>
  <c r="L789" i="56"/>
  <c r="L855" i="56"/>
  <c r="L820" i="56"/>
  <c r="L941" i="56"/>
  <c r="L904" i="56"/>
  <c r="L878" i="56"/>
  <c r="L831" i="56"/>
  <c r="L738" i="56"/>
  <c r="L766" i="56"/>
  <c r="L1190" i="56"/>
  <c r="L1172" i="56"/>
  <c r="L1169" i="56"/>
  <c r="L1073" i="56"/>
  <c r="L1070" i="56"/>
  <c r="L1067" i="56"/>
  <c r="L1049" i="56"/>
  <c r="L1018" i="56"/>
  <c r="L995" i="56"/>
  <c r="L962" i="56"/>
  <c r="L942" i="56"/>
  <c r="L894" i="56"/>
  <c r="L872" i="56"/>
  <c r="L832" i="56"/>
  <c r="L803" i="56"/>
  <c r="B789" i="56"/>
  <c r="L744" i="56"/>
  <c r="B662" i="56"/>
  <c r="L1210" i="56"/>
  <c r="L1193" i="56"/>
  <c r="L1181" i="56"/>
  <c r="L1158" i="56"/>
  <c r="L1135" i="56"/>
  <c r="L1129" i="56"/>
  <c r="L1126" i="56"/>
  <c r="B1116" i="56"/>
  <c r="B1107" i="56"/>
  <c r="L1092" i="56"/>
  <c r="B1088" i="56"/>
  <c r="L1076" i="56"/>
  <c r="L1065" i="56"/>
  <c r="L1024" i="56"/>
  <c r="L982" i="56"/>
  <c r="L978" i="56"/>
  <c r="L946" i="56"/>
  <c r="L940" i="56"/>
  <c r="L925" i="56"/>
  <c r="L897" i="56"/>
  <c r="L881" i="56"/>
  <c r="L875" i="56"/>
  <c r="L849" i="56"/>
  <c r="L835" i="56"/>
  <c r="L783" i="56"/>
  <c r="L734" i="56"/>
  <c r="L722" i="56"/>
  <c r="L837" i="56"/>
  <c r="L775" i="56"/>
  <c r="L741" i="56"/>
  <c r="L705" i="56"/>
  <c r="L871" i="56"/>
  <c r="L865" i="56"/>
  <c r="L862" i="56"/>
  <c r="L782" i="56"/>
  <c r="L762" i="56"/>
  <c r="L707" i="56"/>
  <c r="L677" i="56"/>
  <c r="L664" i="56"/>
  <c r="L656" i="56"/>
  <c r="L570" i="56"/>
  <c r="L563" i="56"/>
  <c r="L558" i="56"/>
  <c r="L495" i="56"/>
  <c r="L468" i="56"/>
  <c r="L448" i="56"/>
  <c r="L414" i="56"/>
  <c r="L402" i="56"/>
  <c r="L356" i="56"/>
  <c r="L345" i="56"/>
  <c r="L280" i="56"/>
  <c r="B274" i="56"/>
  <c r="L843" i="56"/>
  <c r="L819" i="56"/>
  <c r="L771" i="56"/>
  <c r="L737" i="56"/>
  <c r="L592" i="56"/>
  <c r="L556" i="56"/>
  <c r="L544" i="56"/>
  <c r="L459" i="56"/>
  <c r="L454" i="56"/>
  <c r="L777" i="56"/>
  <c r="L760" i="56"/>
  <c r="L747" i="56"/>
  <c r="L711" i="56"/>
  <c r="L698" i="56"/>
  <c r="L657" i="56"/>
  <c r="L654" i="56"/>
  <c r="L624" i="56"/>
  <c r="L621" i="56"/>
  <c r="L595" i="56"/>
  <c r="L573" i="56"/>
  <c r="L553" i="56"/>
  <c r="L474" i="56"/>
  <c r="L405" i="56"/>
  <c r="L362" i="56"/>
  <c r="L302" i="56"/>
  <c r="L278" i="56"/>
  <c r="L681" i="56"/>
  <c r="L675" i="56"/>
  <c r="L668" i="56"/>
  <c r="L634" i="56"/>
  <c r="L631" i="56"/>
  <c r="L346" i="56"/>
  <c r="L748" i="56"/>
  <c r="L709" i="56"/>
  <c r="L696" i="56"/>
  <c r="L690" i="56"/>
  <c r="B683" i="56"/>
  <c r="L660" i="56"/>
  <c r="L652" i="56"/>
  <c r="L602" i="56"/>
  <c r="L599" i="56"/>
  <c r="L593" i="56"/>
  <c r="L554" i="56"/>
  <c r="L532" i="56"/>
  <c r="L502" i="56"/>
  <c r="L485" i="56"/>
  <c r="L477" i="56"/>
  <c r="L460" i="56"/>
  <c r="L420" i="56"/>
  <c r="L365" i="56"/>
  <c r="L269" i="56"/>
  <c r="L215" i="56"/>
  <c r="L142" i="56"/>
  <c r="B551" i="56"/>
  <c r="L764" i="56"/>
  <c r="L761" i="56"/>
  <c r="L703" i="56"/>
  <c r="L679" i="56"/>
  <c r="L628" i="56"/>
  <c r="L614" i="56"/>
  <c r="L582" i="56"/>
  <c r="L516" i="56"/>
  <c r="L510" i="56"/>
  <c r="L505" i="56"/>
  <c r="L488" i="56"/>
  <c r="L480" i="56"/>
  <c r="L428" i="56"/>
  <c r="B569" i="56"/>
  <c r="L445" i="56"/>
  <c r="L411" i="56"/>
  <c r="L383" i="56"/>
  <c r="L373" i="56"/>
  <c r="L267" i="56"/>
  <c r="L856" i="56"/>
  <c r="L848" i="56"/>
  <c r="L845" i="56"/>
  <c r="L833" i="56"/>
  <c r="L827" i="56"/>
  <c r="L818" i="56"/>
  <c r="L773" i="56"/>
  <c r="L736" i="56"/>
  <c r="B712" i="56"/>
  <c r="L647" i="56"/>
  <c r="L626" i="56"/>
  <c r="L623" i="56"/>
  <c r="L606" i="56"/>
  <c r="L580" i="56"/>
  <c r="L577" i="56"/>
  <c r="L555" i="56"/>
  <c r="L552" i="56"/>
  <c r="L538" i="56"/>
  <c r="L525" i="56"/>
  <c r="L473" i="56"/>
  <c r="B425" i="56"/>
  <c r="L404" i="56"/>
  <c r="L299" i="56"/>
  <c r="L284" i="56"/>
  <c r="L262" i="56"/>
  <c r="L260" i="56"/>
  <c r="L197" i="56"/>
  <c r="L183" i="56"/>
  <c r="L180" i="56"/>
  <c r="L154" i="56"/>
  <c r="L128" i="56"/>
  <c r="L109" i="56"/>
  <c r="L93" i="56"/>
  <c r="L88" i="56"/>
  <c r="L79" i="56"/>
  <c r="L45" i="56"/>
  <c r="L61" i="56"/>
  <c r="L378" i="56"/>
  <c r="L347" i="56"/>
  <c r="L344" i="56"/>
  <c r="L324" i="56"/>
  <c r="L293" i="56"/>
  <c r="L99" i="56"/>
  <c r="L1755" i="56"/>
  <c r="L1707" i="56"/>
  <c r="L392" i="56"/>
  <c r="L386" i="56"/>
  <c r="L369" i="56"/>
  <c r="L363" i="56"/>
  <c r="L357" i="56"/>
  <c r="L335" i="56"/>
  <c r="L327" i="56"/>
  <c r="L321" i="56"/>
  <c r="L279" i="56"/>
  <c r="L276" i="56"/>
  <c r="L222" i="56"/>
  <c r="L208" i="56"/>
  <c r="L172" i="56"/>
  <c r="L161" i="56"/>
  <c r="L43" i="56"/>
  <c r="L1742" i="56"/>
  <c r="L1730" i="56"/>
  <c r="L255" i="56"/>
  <c r="L228" i="56"/>
  <c r="L186" i="56"/>
  <c r="L181" i="56"/>
  <c r="L155" i="56"/>
  <c r="L143" i="56"/>
  <c r="L112" i="56"/>
  <c r="L107" i="56"/>
  <c r="L104" i="56"/>
  <c r="L75" i="56"/>
  <c r="L54" i="56"/>
  <c r="L42" i="56"/>
  <c r="L478" i="56"/>
  <c r="L469" i="56"/>
  <c r="L449" i="56"/>
  <c r="L441" i="56"/>
  <c r="L433" i="56"/>
  <c r="L421" i="56"/>
  <c r="L412" i="56"/>
  <c r="L406" i="56"/>
  <c r="L398" i="56"/>
  <c r="L395" i="56"/>
  <c r="L360" i="56"/>
  <c r="L342" i="56"/>
  <c r="L330" i="56"/>
  <c r="L306" i="56"/>
  <c r="L288" i="56"/>
  <c r="L274" i="56"/>
  <c r="L271" i="56"/>
  <c r="L226" i="56"/>
  <c r="L195" i="56"/>
  <c r="L175" i="56"/>
  <c r="L121" i="56"/>
  <c r="L57" i="56"/>
  <c r="L390" i="56"/>
  <c r="L382" i="56"/>
  <c r="L328" i="56"/>
  <c r="L237" i="56"/>
  <c r="L234" i="56"/>
  <c r="L73" i="56"/>
  <c r="L46" i="56"/>
  <c r="L138" i="56"/>
  <c r="L100" i="56"/>
  <c r="L50" i="56"/>
  <c r="L534" i="56"/>
  <c r="L514" i="56"/>
  <c r="L437" i="56"/>
  <c r="L434" i="56"/>
  <c r="L413" i="56"/>
  <c r="L377" i="56"/>
  <c r="L361" i="56"/>
  <c r="L331" i="56"/>
  <c r="L307" i="56"/>
  <c r="L286" i="56"/>
  <c r="L259" i="56"/>
  <c r="L250" i="56"/>
  <c r="L232" i="56"/>
  <c r="L221" i="56"/>
  <c r="B217" i="56"/>
  <c r="L210" i="56"/>
  <c r="L202" i="56"/>
  <c r="L173" i="56"/>
  <c r="L171" i="56"/>
  <c r="L163" i="56"/>
  <c r="L119" i="56"/>
  <c r="L49" i="56"/>
  <c r="L349" i="56"/>
  <c r="L194" i="56"/>
  <c r="L191" i="56"/>
  <c r="L188" i="56"/>
  <c r="L185" i="56"/>
  <c r="L127" i="56"/>
  <c r="L122" i="56"/>
  <c r="L111" i="56"/>
  <c r="B61" i="56"/>
  <c r="L47" i="56"/>
  <c r="L63" i="56"/>
  <c r="L3356" i="56"/>
  <c r="L5324" i="56"/>
  <c r="L5180" i="56"/>
  <c r="L5036" i="56"/>
  <c r="L4484" i="56"/>
  <c r="L4424" i="56"/>
  <c r="L4400" i="56"/>
  <c r="L4268" i="56"/>
  <c r="L5252" i="56"/>
  <c r="L3980" i="56"/>
  <c r="L5696" i="56"/>
  <c r="L4364" i="56"/>
  <c r="L6044" i="56"/>
  <c r="L5456" i="56"/>
  <c r="L2204" i="56"/>
  <c r="L5396" i="56"/>
  <c r="L3884" i="56"/>
  <c r="L2120" i="56"/>
  <c r="L6056" i="56"/>
  <c r="L5984" i="56"/>
  <c r="L5792" i="56"/>
  <c r="L4940" i="56"/>
  <c r="L2672" i="56"/>
  <c r="L1808" i="56"/>
  <c r="L4844" i="56"/>
  <c r="L4820" i="56"/>
  <c r="L3224" i="56"/>
  <c r="L1988" i="56"/>
  <c r="L6092" i="56"/>
  <c r="L5708" i="56"/>
  <c r="L4892" i="56"/>
  <c r="L5444" i="56"/>
  <c r="L5336" i="56"/>
  <c r="L4916" i="56"/>
  <c r="L4376" i="56"/>
  <c r="L3284" i="56"/>
  <c r="L2084" i="56"/>
  <c r="L5432" i="56"/>
  <c r="L5264" i="56"/>
  <c r="L4976" i="56"/>
  <c r="L4064" i="56"/>
  <c r="L2732" i="56"/>
  <c r="L2564" i="56"/>
  <c r="L5060" i="56"/>
  <c r="L4964" i="56"/>
  <c r="L4220" i="56"/>
  <c r="L2504" i="56"/>
  <c r="L2456" i="56"/>
  <c r="L5072" i="56"/>
  <c r="L4700" i="56"/>
  <c r="L4520" i="56"/>
  <c r="L3788" i="56"/>
  <c r="L3532" i="56"/>
  <c r="L3016" i="56"/>
  <c r="L2684" i="56"/>
  <c r="L2636" i="56"/>
  <c r="L2624" i="56"/>
  <c r="L2552" i="56"/>
  <c r="L2528" i="56"/>
  <c r="L2396" i="56"/>
  <c r="L2392" i="56"/>
  <c r="L2288" i="56"/>
  <c r="L2276" i="56"/>
  <c r="L2248" i="56"/>
  <c r="L2236" i="56"/>
  <c r="L2212" i="56"/>
  <c r="L2012" i="56"/>
  <c r="L1820" i="56"/>
  <c r="L1816" i="56"/>
  <c r="L5228" i="56"/>
  <c r="L5032" i="56"/>
  <c r="L4772" i="56"/>
  <c r="L4604" i="56"/>
  <c r="L3644" i="56"/>
  <c r="L3392" i="56"/>
  <c r="L3080" i="56"/>
  <c r="L2740" i="56"/>
  <c r="L2612" i="56"/>
  <c r="L2516" i="56"/>
  <c r="L2240" i="56"/>
  <c r="L2228" i="56"/>
  <c r="L2132" i="56"/>
  <c r="L1904" i="56"/>
  <c r="L5408" i="56"/>
  <c r="L5344" i="56"/>
  <c r="L4832" i="56"/>
  <c r="L4768" i="56"/>
  <c r="L4688" i="56"/>
  <c r="L4652" i="56"/>
  <c r="L4628" i="56"/>
  <c r="L4556" i="56"/>
  <c r="L4372" i="56"/>
  <c r="L3944" i="56"/>
  <c r="L3520" i="56"/>
  <c r="L3508" i="56"/>
  <c r="L2920" i="56"/>
  <c r="L2744" i="56"/>
  <c r="L2608" i="56"/>
  <c r="L2512" i="56"/>
  <c r="L2384" i="56"/>
  <c r="L2372" i="56"/>
  <c r="L2360" i="56"/>
  <c r="L2216" i="56"/>
  <c r="L1892" i="56"/>
  <c r="L4952" i="56"/>
  <c r="L4880" i="56"/>
  <c r="L4856" i="56"/>
  <c r="L4760" i="56"/>
  <c r="L4736" i="56"/>
  <c r="L4580" i="56"/>
  <c r="L4544" i="56"/>
  <c r="L4496" i="56"/>
  <c r="L4336" i="56"/>
  <c r="L4252" i="56"/>
  <c r="L4028" i="56"/>
  <c r="L3692" i="56"/>
  <c r="L3272" i="56"/>
  <c r="L3196" i="56"/>
  <c r="L3140" i="56"/>
  <c r="L3008" i="56"/>
  <c r="L2960" i="56"/>
  <c r="L2932" i="56"/>
  <c r="L2924" i="56"/>
  <c r="L2720" i="56"/>
  <c r="L2660" i="56"/>
  <c r="L2420" i="56"/>
  <c r="L2192" i="56"/>
  <c r="L2180" i="56"/>
  <c r="L2072" i="56"/>
  <c r="L2060" i="56"/>
  <c r="L5096" i="56"/>
  <c r="L5012" i="56"/>
  <c r="L4868" i="56"/>
  <c r="L4420" i="56"/>
  <c r="L4300" i="56"/>
  <c r="L4204" i="56"/>
  <c r="L4160" i="56"/>
  <c r="L4112" i="56"/>
  <c r="L3992" i="56"/>
  <c r="L3908" i="56"/>
  <c r="L2956" i="56"/>
  <c r="L2876" i="56"/>
  <c r="L2816" i="56"/>
  <c r="L2788" i="56"/>
  <c r="L2600" i="56"/>
  <c r="L2596" i="56"/>
  <c r="L2540" i="56"/>
  <c r="L2492" i="56"/>
  <c r="L2452" i="56"/>
  <c r="L2444" i="56"/>
  <c r="L2440" i="56"/>
  <c r="L2432" i="56"/>
  <c r="L2348" i="56"/>
  <c r="L1960" i="56"/>
  <c r="L1876" i="56"/>
  <c r="L5276" i="56"/>
  <c r="L5248" i="56"/>
  <c r="L5216" i="56"/>
  <c r="L4904" i="56"/>
  <c r="L4900" i="56"/>
  <c r="L4796" i="56"/>
  <c r="L4784" i="56"/>
  <c r="L4748" i="56"/>
  <c r="L4724" i="56"/>
  <c r="L4676" i="56"/>
  <c r="L4492" i="56"/>
  <c r="L4228" i="56"/>
  <c r="L4192" i="56"/>
  <c r="L4136" i="56"/>
  <c r="L4052" i="56"/>
  <c r="L3028" i="56"/>
  <c r="L2912" i="56"/>
  <c r="L2588" i="56"/>
  <c r="L2480" i="56"/>
  <c r="L2416" i="56"/>
  <c r="L2344" i="56"/>
  <c r="L2116" i="56"/>
  <c r="L2048" i="56"/>
  <c r="L2044" i="56"/>
  <c r="L1996" i="56"/>
  <c r="L1868" i="56"/>
  <c r="L4616" i="56"/>
  <c r="L4276" i="56"/>
  <c r="L4208" i="56"/>
  <c r="L3728" i="56"/>
  <c r="L3296" i="56"/>
  <c r="L3188" i="56"/>
  <c r="L3184" i="56"/>
  <c r="L3128" i="56"/>
  <c r="L3052" i="56"/>
  <c r="L2980" i="56"/>
  <c r="L2648" i="56"/>
  <c r="L2312" i="56"/>
  <c r="L2168" i="56"/>
  <c r="L2156" i="56"/>
  <c r="L2144" i="56"/>
  <c r="L2036" i="56"/>
  <c r="L1964" i="56"/>
  <c r="L4592" i="56"/>
  <c r="L4472" i="56"/>
  <c r="L4316" i="56"/>
  <c r="L4100" i="56"/>
  <c r="L3956" i="56"/>
  <c r="L3404" i="56"/>
  <c r="L3092" i="56"/>
  <c r="L2576" i="56"/>
  <c r="L2336" i="56"/>
  <c r="L2320" i="56"/>
  <c r="L2164" i="56"/>
  <c r="L2152" i="56"/>
  <c r="L2032" i="56"/>
  <c r="L2024" i="56"/>
  <c r="L5084" i="56"/>
  <c r="L5044" i="56"/>
  <c r="L4928" i="56"/>
  <c r="L4864" i="56"/>
  <c r="L4744" i="56"/>
  <c r="L4712" i="56"/>
  <c r="L4640" i="56"/>
  <c r="L4528" i="56"/>
  <c r="L4412" i="56"/>
  <c r="L4352" i="56"/>
  <c r="L4348" i="56"/>
  <c r="L4328" i="56"/>
  <c r="L4016" i="56"/>
  <c r="L3836" i="56"/>
  <c r="L3496" i="56"/>
  <c r="L3428" i="56"/>
  <c r="L3320" i="56"/>
  <c r="L3208" i="56"/>
  <c r="L2864" i="56"/>
  <c r="L2764" i="56"/>
  <c r="L2708" i="56"/>
  <c r="L2468" i="56"/>
  <c r="L2408" i="56"/>
  <c r="L2324" i="56"/>
  <c r="L2272" i="56"/>
  <c r="L2104" i="56"/>
  <c r="L1852" i="56"/>
  <c r="L5360" i="56"/>
  <c r="L5284" i="56"/>
  <c r="L5204" i="56"/>
  <c r="L5080" i="56"/>
  <c r="L5000" i="56"/>
  <c r="L4988" i="56"/>
  <c r="L4960" i="56"/>
  <c r="L4888" i="56"/>
  <c r="L4808" i="56"/>
  <c r="L4664" i="56"/>
  <c r="L4568" i="56"/>
  <c r="L4384" i="56"/>
  <c r="L4292" i="56"/>
  <c r="L4244" i="56"/>
  <c r="L4076" i="56"/>
  <c r="L3764" i="56"/>
  <c r="L3656" i="56"/>
  <c r="L3488" i="56"/>
  <c r="L3232" i="56"/>
  <c r="L3076" i="56"/>
  <c r="L2696" i="56"/>
  <c r="L2644" i="56"/>
  <c r="L2332" i="56"/>
  <c r="L2108" i="56"/>
  <c r="L2096" i="56"/>
  <c r="L2092" i="56"/>
  <c r="L1952" i="56"/>
  <c r="B5876" i="56"/>
  <c r="B4973" i="56"/>
  <c r="B4475" i="56"/>
  <c r="B2648" i="56"/>
  <c r="B4448" i="56"/>
  <c r="B5037" i="56"/>
  <c r="B4168" i="56"/>
  <c r="B4164" i="56"/>
  <c r="B3930" i="56"/>
  <c r="B5888" i="56"/>
  <c r="B4546" i="56"/>
  <c r="B3481" i="56"/>
  <c r="B3234" i="56"/>
  <c r="B5372" i="56"/>
  <c r="B4598" i="56"/>
  <c r="B2310" i="56"/>
  <c r="B2576" i="56"/>
  <c r="B4743" i="56"/>
  <c r="B2039" i="56"/>
  <c r="B2805" i="56"/>
  <c r="B2781" i="56"/>
  <c r="B2462" i="56"/>
  <c r="B2007" i="56"/>
  <c r="B5592" i="56"/>
  <c r="B5410" i="56"/>
  <c r="B4682" i="56"/>
  <c r="B4192" i="56"/>
  <c r="B4121" i="56"/>
  <c r="B4104" i="56"/>
  <c r="B3906" i="56"/>
  <c r="B3751" i="56"/>
  <c r="B3159" i="56"/>
  <c r="B3049" i="56"/>
  <c r="B3040" i="56"/>
  <c r="B2826" i="56"/>
  <c r="B2670" i="56"/>
  <c r="B2505" i="56"/>
  <c r="B5485" i="56"/>
  <c r="B5442" i="56"/>
  <c r="B4753" i="56"/>
  <c r="B3650" i="56"/>
  <c r="B2478" i="56"/>
  <c r="B5417" i="56"/>
  <c r="B5267" i="56"/>
  <c r="B2323" i="56"/>
  <c r="B5480" i="56"/>
  <c r="B2788" i="56"/>
  <c r="B2735" i="56"/>
  <c r="B2132" i="56"/>
  <c r="B1787" i="56"/>
  <c r="B4950" i="56"/>
  <c r="B4893" i="56"/>
  <c r="B4842" i="56"/>
  <c r="B3821" i="56"/>
  <c r="B2588" i="56"/>
  <c r="B2372" i="56"/>
  <c r="B2303" i="56"/>
  <c r="B2072" i="56"/>
  <c r="B5551" i="56"/>
  <c r="B5445" i="56"/>
  <c r="B4925" i="56"/>
  <c r="B4564" i="56"/>
  <c r="B4180" i="56"/>
  <c r="B4056" i="56"/>
  <c r="B4003" i="56"/>
  <c r="B3916" i="56"/>
  <c r="B3445" i="56"/>
  <c r="B2211" i="56"/>
  <c r="B2066" i="56"/>
  <c r="B3566" i="56"/>
  <c r="B2552" i="56"/>
  <c r="B2541" i="56"/>
  <c r="B2391" i="56"/>
  <c r="L4575" i="56"/>
  <c r="L3783" i="56"/>
  <c r="L5811" i="56"/>
  <c r="L5895" i="56"/>
  <c r="L5283" i="56"/>
  <c r="L5211" i="56"/>
  <c r="L3830" i="56"/>
  <c r="L2222" i="56"/>
  <c r="L5247" i="56"/>
  <c r="L2931" i="56"/>
  <c r="L2918" i="56"/>
  <c r="L2906" i="56"/>
  <c r="L2474" i="56"/>
  <c r="L1731" i="56"/>
  <c r="L5883" i="56"/>
  <c r="L5018" i="56"/>
  <c r="L4502" i="56"/>
  <c r="L3507" i="56"/>
  <c r="L5031" i="56"/>
  <c r="L4227" i="56"/>
  <c r="L3530" i="56"/>
  <c r="L3398" i="56"/>
  <c r="L2943" i="56"/>
  <c r="L2606" i="56"/>
  <c r="L4526" i="56"/>
  <c r="L3987" i="56"/>
  <c r="L3662" i="56"/>
  <c r="L3123" i="56"/>
  <c r="L2798" i="56"/>
  <c r="L2270" i="56"/>
  <c r="L4262" i="56"/>
  <c r="L3554" i="56"/>
  <c r="L2030" i="56"/>
  <c r="L1910" i="56"/>
  <c r="L5990" i="56"/>
  <c r="L5654" i="56"/>
  <c r="L5499" i="56"/>
  <c r="L5463" i="56"/>
  <c r="L4418" i="56"/>
  <c r="L3566" i="56"/>
  <c r="L2834" i="56"/>
  <c r="L5523" i="56"/>
  <c r="L5198" i="56"/>
  <c r="L3303" i="56"/>
  <c r="L5690" i="56"/>
  <c r="L5631" i="56"/>
  <c r="L5511" i="56"/>
  <c r="L5486" i="56"/>
  <c r="L5162" i="56"/>
  <c r="L4851" i="56"/>
  <c r="L4539" i="56"/>
  <c r="L3470" i="56"/>
  <c r="L2859" i="56"/>
  <c r="L2726" i="56"/>
  <c r="L2714" i="56"/>
  <c r="L2319" i="56"/>
  <c r="L5595" i="56"/>
  <c r="L5559" i="56"/>
  <c r="L5187" i="56"/>
  <c r="L4023" i="56"/>
  <c r="L3458" i="56"/>
  <c r="L3206" i="56"/>
  <c r="L2138" i="56"/>
  <c r="L4021" i="56"/>
  <c r="L3937" i="56"/>
  <c r="L3915" i="56"/>
  <c r="L3723" i="56"/>
  <c r="L3721" i="56"/>
  <c r="L3411" i="56"/>
  <c r="L3351" i="56"/>
  <c r="L3111" i="56"/>
  <c r="L3098" i="56"/>
  <c r="L2678" i="56"/>
  <c r="L2247" i="56"/>
  <c r="L2198" i="56"/>
  <c r="L1970" i="56"/>
  <c r="L1875" i="56"/>
  <c r="L4334" i="56"/>
  <c r="L4250" i="56"/>
  <c r="L5679" i="56"/>
  <c r="L5583" i="56"/>
  <c r="L5571" i="56"/>
  <c r="L5259" i="56"/>
  <c r="L5245" i="56"/>
  <c r="L5199" i="56"/>
  <c r="L5127" i="56"/>
  <c r="L5053" i="56"/>
  <c r="L4849" i="56"/>
  <c r="L4731" i="56"/>
  <c r="L4561" i="56"/>
  <c r="L4214" i="56"/>
  <c r="L4165" i="56"/>
  <c r="L4129" i="56"/>
  <c r="L4069" i="56"/>
  <c r="L3925" i="56"/>
  <c r="L3865" i="56"/>
  <c r="L3710" i="56"/>
  <c r="L3613" i="56"/>
  <c r="L3601" i="56"/>
  <c r="L3589" i="56"/>
  <c r="L3519" i="56"/>
  <c r="L3434" i="56"/>
  <c r="L3339" i="56"/>
  <c r="L3109" i="56"/>
  <c r="L3037" i="56"/>
  <c r="L3014" i="56"/>
  <c r="L2510" i="56"/>
  <c r="L2402" i="56"/>
  <c r="L2245" i="56"/>
  <c r="L2066" i="56"/>
  <c r="L1921" i="56"/>
  <c r="L1863" i="56"/>
  <c r="L1827" i="56"/>
  <c r="L1813" i="56"/>
  <c r="L1719" i="56"/>
  <c r="L1695" i="56"/>
  <c r="L5871" i="56"/>
  <c r="L5619" i="56"/>
  <c r="L5306" i="56"/>
  <c r="L5257" i="56"/>
  <c r="L5233" i="56"/>
  <c r="L5078" i="56"/>
  <c r="L4874" i="56"/>
  <c r="L4826" i="56"/>
  <c r="L4645" i="56"/>
  <c r="L4623" i="56"/>
  <c r="L4537" i="56"/>
  <c r="L4489" i="56"/>
  <c r="L4429" i="56"/>
  <c r="L4370" i="56"/>
  <c r="L4322" i="56"/>
  <c r="L4202" i="56"/>
  <c r="L4119" i="56"/>
  <c r="L3853" i="56"/>
  <c r="L3795" i="56"/>
  <c r="L3793" i="56"/>
  <c r="L3567" i="56"/>
  <c r="L3541" i="56"/>
  <c r="L3495" i="56"/>
  <c r="L3327" i="56"/>
  <c r="L3242" i="56"/>
  <c r="L2857" i="56"/>
  <c r="L2847" i="56"/>
  <c r="L2822" i="56"/>
  <c r="L2570" i="56"/>
  <c r="L2378" i="56"/>
  <c r="L2078" i="56"/>
  <c r="L1897" i="56"/>
  <c r="L1803" i="56"/>
  <c r="L1765" i="56"/>
  <c r="L6086" i="56"/>
  <c r="L6027" i="56"/>
  <c r="L6003" i="56"/>
  <c r="L5547" i="56"/>
  <c r="L5498" i="56"/>
  <c r="L5378" i="56"/>
  <c r="L5366" i="56"/>
  <c r="L4887" i="56"/>
  <c r="L4755" i="56"/>
  <c r="L4513" i="56"/>
  <c r="L4503" i="56"/>
  <c r="L4443" i="56"/>
  <c r="L4441" i="56"/>
  <c r="L4417" i="56"/>
  <c r="L4407" i="56"/>
  <c r="L4310" i="56"/>
  <c r="L4297" i="56"/>
  <c r="L4275" i="56"/>
  <c r="L4095" i="56"/>
  <c r="L4047" i="56"/>
  <c r="L3950" i="56"/>
  <c r="L3819" i="56"/>
  <c r="L3807" i="56"/>
  <c r="L3698" i="56"/>
  <c r="L3637" i="56"/>
  <c r="L3625" i="56"/>
  <c r="L3493" i="56"/>
  <c r="L3159" i="56"/>
  <c r="L3025" i="56"/>
  <c r="L2715" i="56"/>
  <c r="L2534" i="56"/>
  <c r="L2367" i="56"/>
  <c r="L2343" i="56"/>
  <c r="L2257" i="56"/>
  <c r="L2173" i="56"/>
  <c r="L2151" i="56"/>
  <c r="L1850" i="56"/>
  <c r="L1825" i="56"/>
  <c r="L1801" i="56"/>
  <c r="L5775" i="56"/>
  <c r="L5691" i="56"/>
  <c r="L5343" i="56"/>
  <c r="L4959" i="56"/>
  <c r="L4862" i="56"/>
  <c r="L4801" i="56"/>
  <c r="L4658" i="56"/>
  <c r="L4501" i="56"/>
  <c r="L4345" i="56"/>
  <c r="L4287" i="56"/>
  <c r="L4251" i="56"/>
  <c r="L4057" i="56"/>
  <c r="L3829" i="56"/>
  <c r="L3758" i="56"/>
  <c r="L3529" i="56"/>
  <c r="L3447" i="56"/>
  <c r="L3375" i="56"/>
  <c r="L3253" i="56"/>
  <c r="L3134" i="56"/>
  <c r="L3085" i="56"/>
  <c r="L2966" i="56"/>
  <c r="L2942" i="56"/>
  <c r="L2907" i="56"/>
  <c r="L2415" i="56"/>
  <c r="L2055" i="56"/>
  <c r="L2019" i="56"/>
  <c r="L1981" i="56"/>
  <c r="L1909" i="56"/>
  <c r="L1885" i="56"/>
  <c r="L5630" i="56"/>
  <c r="L5522" i="56"/>
  <c r="L5487" i="56"/>
  <c r="L5282" i="56"/>
  <c r="L5101" i="56"/>
  <c r="L4837" i="56"/>
  <c r="L4479" i="56"/>
  <c r="L4238" i="56"/>
  <c r="L4093" i="56"/>
  <c r="L3938" i="56"/>
  <c r="L3661" i="56"/>
  <c r="L3459" i="56"/>
  <c r="L3457" i="56"/>
  <c r="L3397" i="56"/>
  <c r="L3325" i="56"/>
  <c r="L3289" i="56"/>
  <c r="L3230" i="56"/>
  <c r="L3182" i="56"/>
  <c r="L3050" i="56"/>
  <c r="L2917" i="56"/>
  <c r="L2845" i="56"/>
  <c r="L2642" i="56"/>
  <c r="L2497" i="56"/>
  <c r="L2487" i="56"/>
  <c r="L2463" i="56"/>
  <c r="L2413" i="56"/>
  <c r="L2295" i="56"/>
  <c r="L2185" i="56"/>
  <c r="L2053" i="56"/>
  <c r="L2041" i="56"/>
  <c r="L2017" i="56"/>
  <c r="L1753" i="56"/>
  <c r="L1717" i="56"/>
  <c r="L1693" i="56"/>
  <c r="L5882" i="56"/>
  <c r="L5823" i="56"/>
  <c r="L5727" i="56"/>
  <c r="L5607" i="56"/>
  <c r="L5558" i="56"/>
  <c r="L5535" i="56"/>
  <c r="L5510" i="56"/>
  <c r="L5391" i="56"/>
  <c r="L5319" i="56"/>
  <c r="L5173" i="56"/>
  <c r="L5054" i="56"/>
  <c r="L4946" i="56"/>
  <c r="L4634" i="56"/>
  <c r="L4562" i="56"/>
  <c r="L4550" i="56"/>
  <c r="L4454" i="56"/>
  <c r="L4273" i="56"/>
  <c r="L4261" i="56"/>
  <c r="L4226" i="56"/>
  <c r="L4203" i="56"/>
  <c r="L4166" i="56"/>
  <c r="L4130" i="56"/>
  <c r="L4082" i="56"/>
  <c r="L3879" i="56"/>
  <c r="L3817" i="56"/>
  <c r="L3673" i="56"/>
  <c r="L3649" i="56"/>
  <c r="L3387" i="56"/>
  <c r="L3205" i="56"/>
  <c r="L3097" i="56"/>
  <c r="L3038" i="56"/>
  <c r="L2991" i="56"/>
  <c r="L2751" i="56"/>
  <c r="L2738" i="56"/>
  <c r="L2461" i="56"/>
  <c r="L2439" i="56"/>
  <c r="L2353" i="56"/>
  <c r="L2305" i="56"/>
  <c r="L2199" i="56"/>
  <c r="L2103" i="56"/>
  <c r="L2091" i="56"/>
  <c r="L1922" i="56"/>
  <c r="L1705" i="56"/>
  <c r="L5846" i="56"/>
  <c r="L5642" i="56"/>
  <c r="L5475" i="56"/>
  <c r="L5307" i="56"/>
  <c r="L5186" i="56"/>
  <c r="L5161" i="56"/>
  <c r="L5126" i="56"/>
  <c r="L5067" i="56"/>
  <c r="L4933" i="56"/>
  <c r="L4850" i="56"/>
  <c r="L4467" i="56"/>
  <c r="L4430" i="56"/>
  <c r="L4383" i="56"/>
  <c r="L4285" i="56"/>
  <c r="L4191" i="56"/>
  <c r="L3891" i="56"/>
  <c r="L3709" i="56"/>
  <c r="L3614" i="56"/>
  <c r="L3602" i="56"/>
  <c r="L3445" i="56"/>
  <c r="L3385" i="56"/>
  <c r="L3315" i="56"/>
  <c r="L2989" i="56"/>
  <c r="L2823" i="56"/>
  <c r="L2763" i="56"/>
  <c r="L2749" i="56"/>
  <c r="L2689" i="56"/>
  <c r="L2403" i="56"/>
  <c r="L1969" i="56"/>
  <c r="L1791" i="56"/>
  <c r="L1741" i="56"/>
  <c r="L5942" i="56"/>
  <c r="L5859" i="56"/>
  <c r="L5799" i="56"/>
  <c r="L5582" i="56"/>
  <c r="L5570" i="56"/>
  <c r="L5379" i="56"/>
  <c r="L5246" i="56"/>
  <c r="L4875" i="56"/>
  <c r="L4743" i="56"/>
  <c r="L4514" i="56"/>
  <c r="L4442" i="56"/>
  <c r="L4154" i="56"/>
  <c r="L4058" i="56"/>
  <c r="L3902" i="56"/>
  <c r="L3842" i="56"/>
  <c r="L3794" i="56"/>
  <c r="L3542" i="56"/>
  <c r="L3433" i="56"/>
  <c r="L3423" i="56"/>
  <c r="L3277" i="56"/>
  <c r="L3241" i="56"/>
  <c r="L3218" i="56"/>
  <c r="L3063" i="56"/>
  <c r="L2893" i="56"/>
  <c r="L2559" i="56"/>
  <c r="L2545" i="56"/>
  <c r="L2258" i="56"/>
  <c r="L2211" i="56"/>
  <c r="L2101" i="56"/>
  <c r="L2079" i="56"/>
  <c r="L2005" i="56"/>
  <c r="L1994" i="56"/>
  <c r="L1957" i="56"/>
  <c r="L1947" i="56"/>
  <c r="L1886" i="56"/>
  <c r="L1826" i="56"/>
  <c r="B4346" i="56"/>
  <c r="B4343" i="56"/>
  <c r="B4337" i="56"/>
  <c r="B4313" i="56"/>
  <c r="B4210" i="56"/>
  <c r="B4079" i="56"/>
  <c r="B3975" i="56"/>
  <c r="B3891" i="56"/>
  <c r="B3388" i="56"/>
  <c r="B3246" i="56"/>
  <c r="B3231" i="56"/>
  <c r="B3092" i="56"/>
  <c r="B3000" i="56"/>
  <c r="B941" i="56"/>
  <c r="B935" i="56"/>
  <c r="B882" i="56"/>
  <c r="B739" i="56"/>
  <c r="B690" i="56"/>
  <c r="B678" i="56"/>
  <c r="B619" i="56"/>
  <c r="B616" i="56"/>
  <c r="B602" i="56"/>
  <c r="B554" i="56"/>
  <c r="B339" i="56"/>
  <c r="B237" i="56"/>
  <c r="B178" i="56"/>
  <c r="B5458" i="56"/>
  <c r="B5446" i="56"/>
  <c r="B4540" i="56"/>
  <c r="B4340" i="56"/>
  <c r="B4334" i="56"/>
  <c r="B4303" i="56"/>
  <c r="B4195" i="56"/>
  <c r="B3799" i="56"/>
  <c r="B3343" i="56"/>
  <c r="B3325" i="56"/>
  <c r="B3321" i="56"/>
  <c r="B3253" i="56"/>
  <c r="B3154" i="56"/>
  <c r="B3054" i="56"/>
  <c r="B3008" i="56"/>
  <c r="B2836" i="56"/>
  <c r="B2807" i="56"/>
  <c r="B1383" i="56"/>
  <c r="B1189" i="56"/>
  <c r="B497" i="56"/>
  <c r="B434" i="56"/>
  <c r="B322" i="56"/>
  <c r="B201" i="56"/>
  <c r="B190" i="56"/>
  <c r="B168" i="56"/>
  <c r="B5030" i="56"/>
  <c r="B4933" i="56"/>
  <c r="B4729" i="56"/>
  <c r="B4723" i="56"/>
  <c r="B4549" i="56"/>
  <c r="B4362" i="56"/>
  <c r="B3349" i="56"/>
  <c r="B2634" i="56"/>
  <c r="B2443" i="56"/>
  <c r="B2363" i="56"/>
  <c r="B1829" i="56"/>
  <c r="B1772" i="56"/>
  <c r="B373" i="56"/>
  <c r="B246" i="56"/>
  <c r="B204" i="56"/>
  <c r="B116" i="56"/>
  <c r="B5731" i="56"/>
  <c r="B5644" i="56"/>
  <c r="B5234" i="56"/>
  <c r="B5173" i="56"/>
  <c r="B5089" i="56"/>
  <c r="B5024" i="56"/>
  <c r="B5021" i="56"/>
  <c r="B4614" i="56"/>
  <c r="B3791" i="56"/>
  <c r="B3421" i="56"/>
  <c r="B3048" i="56"/>
  <c r="B2986" i="56"/>
  <c r="B2864" i="56"/>
  <c r="B2861" i="56"/>
  <c r="B2845" i="56"/>
  <c r="B2480" i="56"/>
  <c r="B2470" i="56"/>
  <c r="B2464" i="56"/>
  <c r="B1908" i="56"/>
  <c r="B1605" i="56"/>
  <c r="B1394" i="56"/>
  <c r="B1324" i="56"/>
  <c r="B1310" i="56"/>
  <c r="B1234" i="56"/>
  <c r="B1163" i="56"/>
  <c r="B1137" i="56"/>
  <c r="B1085" i="56"/>
  <c r="B1065" i="56"/>
  <c r="B1006" i="56"/>
  <c r="B984" i="56"/>
  <c r="B968" i="56"/>
  <c r="B939" i="56"/>
  <c r="B924" i="56"/>
  <c r="B899" i="56"/>
  <c r="B896" i="56"/>
  <c r="B889" i="56"/>
  <c r="B549" i="56"/>
  <c r="B482" i="56"/>
  <c r="B5953" i="56"/>
  <c r="B4109" i="56"/>
  <c r="B4106" i="56"/>
  <c r="B3055" i="56"/>
  <c r="B2837" i="56"/>
  <c r="B2620" i="56"/>
  <c r="B1760" i="56"/>
  <c r="B1754" i="56"/>
  <c r="B1745" i="56"/>
  <c r="B1681" i="56"/>
  <c r="B1408" i="56"/>
  <c r="B1381" i="56"/>
  <c r="B1175" i="56"/>
  <c r="B1172" i="56"/>
  <c r="B1169" i="56"/>
  <c r="B1089" i="56"/>
  <c r="B871" i="56"/>
  <c r="B577" i="56"/>
  <c r="B5759" i="56"/>
  <c r="B5252" i="56"/>
  <c r="B4530" i="56"/>
  <c r="B4339" i="56"/>
  <c r="B4205" i="56"/>
  <c r="B4202" i="56"/>
  <c r="B4196" i="56"/>
  <c r="B3948" i="56"/>
  <c r="B3868" i="56"/>
  <c r="B3844" i="56"/>
  <c r="B3808" i="56"/>
  <c r="B3572" i="56"/>
  <c r="B3537" i="56"/>
  <c r="B3473" i="56"/>
  <c r="B3470" i="56"/>
  <c r="B3252" i="56"/>
  <c r="B3184" i="56"/>
  <c r="B3165" i="56"/>
  <c r="B2761" i="56"/>
  <c r="B2644" i="56"/>
  <c r="B2324" i="56"/>
  <c r="B2265" i="56"/>
  <c r="B2222" i="56"/>
  <c r="B2163" i="56"/>
  <c r="B2146" i="56"/>
  <c r="B2077" i="56"/>
  <c r="B1906" i="56"/>
  <c r="B1693" i="56"/>
  <c r="B1616" i="56"/>
  <c r="B1457" i="56"/>
  <c r="B429" i="56"/>
  <c r="B263" i="56"/>
  <c r="B191" i="56"/>
  <c r="B185" i="56"/>
  <c r="B5959" i="56"/>
  <c r="B5924" i="56"/>
  <c r="B5889" i="56"/>
  <c r="B6067" i="56"/>
  <c r="B5966" i="56"/>
  <c r="B4671" i="56"/>
  <c r="B4668" i="56"/>
  <c r="B4660" i="56"/>
  <c r="B4548" i="56"/>
  <c r="B4455" i="56"/>
  <c r="B4330" i="56"/>
  <c r="B3605" i="56"/>
  <c r="B3348" i="56"/>
  <c r="B3324" i="56"/>
  <c r="B3298" i="56"/>
  <c r="B3227" i="56"/>
  <c r="B3224" i="56"/>
  <c r="B1795" i="56"/>
  <c r="B1047" i="56"/>
  <c r="B397" i="56"/>
  <c r="B6030" i="56"/>
  <c r="B5998" i="56"/>
  <c r="B5233" i="56"/>
  <c r="B5215" i="56"/>
  <c r="B5127" i="56"/>
  <c r="B5072" i="56"/>
  <c r="B5066" i="56"/>
  <c r="B5063" i="56"/>
  <c r="B4719" i="56"/>
  <c r="B4695" i="56"/>
  <c r="B3936" i="56"/>
  <c r="B3789" i="56"/>
  <c r="B3614" i="56"/>
  <c r="B1804" i="56"/>
  <c r="B5828" i="56"/>
  <c r="B5557" i="56"/>
  <c r="B5539" i="56"/>
  <c r="B5383" i="56"/>
  <c r="B5334" i="56"/>
  <c r="B5328" i="56"/>
  <c r="B5149" i="56"/>
  <c r="B5054" i="56"/>
  <c r="B5043" i="56"/>
  <c r="B4839" i="56"/>
  <c r="B4833" i="56"/>
  <c r="B4827" i="56"/>
  <c r="B4824" i="56"/>
  <c r="B4774" i="56"/>
  <c r="B3977" i="56"/>
  <c r="B2585" i="56"/>
  <c r="B2294" i="56"/>
  <c r="B1994" i="56"/>
  <c r="B1973" i="56"/>
  <c r="B1970" i="56"/>
  <c r="B1878" i="56"/>
  <c r="B1856" i="56"/>
  <c r="B1458" i="56"/>
  <c r="B1056" i="56"/>
  <c r="B539" i="56"/>
  <c r="B472" i="56"/>
  <c r="B6024" i="56"/>
  <c r="B5614" i="56"/>
  <c r="B5607" i="56"/>
  <c r="B5583" i="56"/>
  <c r="B3990" i="56"/>
  <c r="B3591" i="56"/>
  <c r="B3562" i="56"/>
  <c r="B3432" i="56"/>
  <c r="B3423" i="56"/>
  <c r="B2545" i="56"/>
  <c r="B841" i="56"/>
  <c r="B772" i="56"/>
  <c r="B5201" i="56"/>
  <c r="B4902" i="56"/>
  <c r="B4854" i="56"/>
  <c r="B3448" i="56"/>
  <c r="B730" i="56"/>
  <c r="B5204" i="56"/>
  <c r="B5159" i="56"/>
  <c r="B4867" i="56"/>
  <c r="B4612" i="56"/>
  <c r="B4503" i="56"/>
  <c r="B4158" i="56"/>
  <c r="B4155" i="56"/>
  <c r="B3929" i="56"/>
  <c r="B3826" i="56"/>
  <c r="B3783" i="56"/>
  <c r="B3627" i="56"/>
  <c r="B3235" i="56"/>
  <c r="B2636" i="56"/>
  <c r="B2001" i="56"/>
  <c r="B1193" i="56"/>
  <c r="B1035" i="56"/>
  <c r="B724" i="56"/>
  <c r="B5719" i="56"/>
  <c r="B5685" i="56"/>
  <c r="B5676" i="56"/>
  <c r="B5552" i="56"/>
  <c r="B5540" i="56"/>
  <c r="B5311" i="56"/>
  <c r="B5275" i="56"/>
  <c r="B5245" i="56"/>
  <c r="B5236" i="56"/>
  <c r="B5213" i="56"/>
  <c r="B5010" i="56"/>
  <c r="B4964" i="56"/>
  <c r="B4900" i="56"/>
  <c r="B4778" i="56"/>
  <c r="B4710" i="56"/>
  <c r="B4609" i="56"/>
  <c r="B4542" i="56"/>
  <c r="B4302" i="56"/>
  <c r="B4264" i="56"/>
  <c r="B3777" i="56"/>
  <c r="B3563" i="56"/>
  <c r="B3554" i="56"/>
  <c r="B3543" i="56"/>
  <c r="B3534" i="56"/>
  <c r="B3499" i="56"/>
  <c r="B3466" i="56"/>
  <c r="B3430" i="56"/>
  <c r="B3402" i="56"/>
  <c r="B3371" i="56"/>
  <c r="B3365" i="56"/>
  <c r="B3194" i="56"/>
  <c r="B2705" i="56"/>
  <c r="B2669" i="56"/>
  <c r="B2661" i="56"/>
  <c r="B2655" i="56"/>
  <c r="B2643" i="56"/>
  <c r="B2619" i="56"/>
  <c r="B2180" i="56"/>
  <c r="B2150" i="56"/>
  <c r="B1998" i="56"/>
  <c r="B1955" i="56"/>
  <c r="B1940" i="56"/>
  <c r="B1925" i="56"/>
  <c r="B1904" i="56"/>
  <c r="B1898" i="56"/>
  <c r="B1822" i="56"/>
  <c r="B1789" i="56"/>
  <c r="B1721" i="56"/>
  <c r="B1502" i="56"/>
  <c r="B1187" i="56"/>
  <c r="B1167" i="56"/>
  <c r="B1155" i="56"/>
  <c r="B1141" i="56"/>
  <c r="B1041" i="56"/>
  <c r="B1030" i="56"/>
  <c r="B656" i="56"/>
  <c r="B653" i="56"/>
  <c r="B550" i="56"/>
  <c r="B12" i="56"/>
  <c r="B9" i="56"/>
  <c r="B3604" i="56"/>
  <c r="B1201" i="56"/>
  <c r="B798" i="56"/>
  <c r="B543" i="56"/>
  <c r="B4926" i="56"/>
  <c r="B4913" i="56"/>
  <c r="B5774" i="56"/>
  <c r="B5693" i="56"/>
  <c r="B5478" i="56"/>
  <c r="B5243" i="56"/>
  <c r="B5225" i="56"/>
  <c r="B4996" i="56"/>
  <c r="B4983" i="56"/>
  <c r="B4734" i="56"/>
  <c r="B4622" i="56"/>
  <c r="B4450" i="56"/>
  <c r="B4446" i="56"/>
  <c r="B4403" i="56"/>
  <c r="B4396" i="56"/>
  <c r="B4373" i="56"/>
  <c r="B4023" i="56"/>
  <c r="B4014" i="56"/>
  <c r="B3939" i="56"/>
  <c r="B3915" i="56"/>
  <c r="B3903" i="56"/>
  <c r="B3881" i="56"/>
  <c r="B3878" i="56"/>
  <c r="B3765" i="56"/>
  <c r="B3730" i="56"/>
  <c r="B3727" i="56"/>
  <c r="B3719" i="56"/>
  <c r="B3557" i="56"/>
  <c r="B3546" i="56"/>
  <c r="B3529" i="56"/>
  <c r="B3460" i="56"/>
  <c r="B3409" i="56"/>
  <c r="B3386" i="56"/>
  <c r="B3329" i="56"/>
  <c r="B3326" i="56"/>
  <c r="B3322" i="56"/>
  <c r="B3006" i="56"/>
  <c r="B2974" i="56"/>
  <c r="B2965" i="56"/>
  <c r="B2827" i="56"/>
  <c r="B2802" i="56"/>
  <c r="B2766" i="56"/>
  <c r="B2682" i="56"/>
  <c r="B2667" i="56"/>
  <c r="B2656" i="56"/>
  <c r="B2640" i="56"/>
  <c r="B2628" i="56"/>
  <c r="B2580" i="56"/>
  <c r="B2328" i="56"/>
  <c r="B2304" i="56"/>
  <c r="B2270" i="56"/>
  <c r="B2247" i="56"/>
  <c r="B2242" i="56"/>
  <c r="B2197" i="56"/>
  <c r="B2194" i="56"/>
  <c r="B2177" i="56"/>
  <c r="B2079" i="56"/>
  <c r="B1980" i="56"/>
  <c r="B1808" i="56"/>
  <c r="B1682" i="56"/>
  <c r="B1659" i="56"/>
  <c r="B1544" i="56"/>
  <c r="B1222" i="56"/>
  <c r="B1173" i="56"/>
  <c r="B1161" i="56"/>
  <c r="B674" i="56"/>
  <c r="B639" i="56"/>
  <c r="B589" i="56"/>
  <c r="B564" i="56"/>
  <c r="B95" i="56"/>
  <c r="B4878" i="56"/>
  <c r="B4565" i="56"/>
  <c r="B3676" i="56"/>
  <c r="B3439" i="56"/>
  <c r="B2610" i="56"/>
  <c r="B2099" i="56"/>
  <c r="B1849" i="56"/>
  <c r="B1003" i="56"/>
  <c r="B5705" i="56"/>
  <c r="B5702" i="56"/>
  <c r="B5444" i="56"/>
  <c r="B5412" i="56"/>
  <c r="B5382" i="56"/>
  <c r="B5208" i="56"/>
  <c r="B5175" i="56"/>
  <c r="B5020" i="56"/>
  <c r="B4801" i="56"/>
  <c r="B4557" i="56"/>
  <c r="B4509" i="56"/>
  <c r="B3507" i="56"/>
  <c r="B2825" i="56"/>
  <c r="B2819" i="56"/>
  <c r="B2203" i="56"/>
  <c r="B2127" i="56"/>
  <c r="B1677" i="56"/>
  <c r="B1541" i="56"/>
  <c r="B1199" i="56"/>
  <c r="B648" i="56"/>
  <c r="B578" i="56"/>
  <c r="B448" i="56"/>
  <c r="B414" i="56"/>
  <c r="B383" i="56"/>
  <c r="B362" i="56"/>
  <c r="B224" i="56"/>
  <c r="B211" i="56"/>
  <c r="B205" i="56"/>
  <c r="B1643" i="56"/>
  <c r="B4105" i="56"/>
  <c r="B3925" i="56"/>
  <c r="B3746" i="56"/>
  <c r="B3575" i="56"/>
  <c r="B3486" i="56"/>
  <c r="B3476" i="56"/>
  <c r="B3437" i="56"/>
  <c r="B3434" i="56"/>
  <c r="B3418" i="56"/>
  <c r="B3415" i="56"/>
  <c r="B3390" i="56"/>
  <c r="B3064" i="56"/>
  <c r="B2473" i="56"/>
  <c r="B2318" i="56"/>
  <c r="B2219" i="56"/>
  <c r="B2214" i="56"/>
  <c r="B2189" i="56"/>
  <c r="B1710" i="56"/>
  <c r="B1692" i="56"/>
  <c r="B1583" i="56"/>
  <c r="B1278" i="56"/>
  <c r="B1205" i="56"/>
  <c r="B1095" i="56"/>
  <c r="B1007" i="56"/>
  <c r="B811" i="56"/>
  <c r="B725" i="56"/>
  <c r="B5626" i="56"/>
  <c r="B5434" i="56"/>
  <c r="B3436" i="56"/>
  <c r="B3041" i="56"/>
  <c r="B2210" i="56"/>
  <c r="B1714" i="56"/>
  <c r="B1067" i="56"/>
  <c r="B6047" i="56"/>
  <c r="B6001" i="56"/>
  <c r="B5835" i="56"/>
  <c r="B5711" i="56"/>
  <c r="B5650" i="56"/>
  <c r="B5545" i="56"/>
  <c r="B5327" i="56"/>
  <c r="B5309" i="56"/>
  <c r="B5303" i="56"/>
  <c r="B4997" i="56"/>
  <c r="B4412" i="56"/>
  <c r="B4024" i="56"/>
  <c r="B3984" i="56"/>
  <c r="B3940" i="56"/>
  <c r="B3456" i="56"/>
  <c r="B3070" i="56"/>
  <c r="B222" i="56"/>
  <c r="B49" i="56"/>
  <c r="B4806" i="56"/>
  <c r="B4431" i="56"/>
  <c r="B3679" i="56"/>
  <c r="B1858" i="56"/>
  <c r="B1646" i="56"/>
  <c r="B5018" i="56"/>
  <c r="B3400" i="56"/>
  <c r="B1594" i="56"/>
  <c r="B1542" i="56"/>
  <c r="B1365" i="56"/>
  <c r="B1093" i="56"/>
  <c r="B929" i="56"/>
  <c r="B920" i="56"/>
  <c r="B914" i="56"/>
  <c r="B906" i="56"/>
  <c r="B900" i="56"/>
  <c r="B890" i="56"/>
  <c r="B873" i="56"/>
  <c r="B820" i="56"/>
  <c r="B806" i="56"/>
  <c r="B748" i="56"/>
  <c r="B557" i="56"/>
  <c r="B533" i="56"/>
  <c r="B120" i="56"/>
  <c r="B45" i="56"/>
  <c r="B32" i="56"/>
  <c r="B4830" i="56"/>
  <c r="B3653" i="56"/>
  <c r="B3074" i="56"/>
  <c r="B2213" i="56"/>
  <c r="B1874" i="56"/>
  <c r="B1690" i="56"/>
  <c r="B992" i="56"/>
  <c r="B540" i="56"/>
  <c r="B5631" i="56"/>
  <c r="B5269" i="56"/>
  <c r="B5203" i="56"/>
  <c r="B5189" i="56"/>
  <c r="B5176" i="56"/>
  <c r="B4790" i="56"/>
  <c r="B4535" i="56"/>
  <c r="B4479" i="56"/>
  <c r="B4458" i="56"/>
  <c r="B4069" i="56"/>
  <c r="B4032" i="56"/>
  <c r="B3420" i="56"/>
  <c r="B3262" i="56"/>
  <c r="B2193" i="56"/>
  <c r="B2125" i="56"/>
  <c r="B1997" i="56"/>
  <c r="B134" i="56"/>
  <c r="B96" i="56"/>
  <c r="B72" i="56"/>
  <c r="B3647" i="56"/>
  <c r="B2938" i="56"/>
  <c r="B2110" i="56"/>
  <c r="B1650" i="56"/>
  <c r="B1000" i="56"/>
  <c r="B6080" i="56"/>
  <c r="B5304" i="56"/>
  <c r="B5301" i="56"/>
  <c r="B5183" i="56"/>
  <c r="B5034" i="56"/>
  <c r="B4969" i="56"/>
  <c r="B4697" i="56"/>
  <c r="B4670" i="56"/>
  <c r="B4662" i="56"/>
  <c r="B4617" i="56"/>
  <c r="B4491" i="56"/>
  <c r="B3928" i="56"/>
  <c r="B3888" i="56"/>
  <c r="B3877" i="56"/>
  <c r="B3861" i="56"/>
  <c r="B3744" i="56"/>
  <c r="B3626" i="56"/>
  <c r="B3516" i="56"/>
  <c r="B3493" i="56"/>
  <c r="B3490" i="56"/>
  <c r="B3125" i="56"/>
  <c r="B3103" i="56"/>
  <c r="B3094" i="56"/>
  <c r="B3056" i="56"/>
  <c r="B2990" i="56"/>
  <c r="B2678" i="56"/>
  <c r="B2677" i="56"/>
  <c r="B2665" i="56"/>
  <c r="B2491" i="56"/>
  <c r="B2395" i="56"/>
  <c r="B2380" i="56"/>
  <c r="B2367" i="56"/>
  <c r="B2364" i="56"/>
  <c r="B2140" i="56"/>
  <c r="B2115" i="56"/>
  <c r="B2095" i="56"/>
  <c r="B1490" i="56"/>
  <c r="B1338" i="56"/>
  <c r="B1301" i="56"/>
  <c r="B1258" i="56"/>
  <c r="B1186" i="56"/>
  <c r="B1002" i="56"/>
  <c r="B994" i="56"/>
  <c r="B974" i="56"/>
  <c r="B967" i="56"/>
  <c r="B830" i="56"/>
  <c r="B703" i="56"/>
  <c r="B699" i="56"/>
  <c r="B687" i="56"/>
  <c r="B545" i="56"/>
  <c r="B261" i="56"/>
  <c r="B245" i="56"/>
  <c r="B158" i="56"/>
  <c r="B46" i="56"/>
  <c r="B5974" i="56"/>
  <c r="B5942" i="56"/>
  <c r="B5629" i="56"/>
  <c r="B6073" i="56"/>
  <c r="B5773" i="56"/>
  <c r="B5734" i="56"/>
  <c r="B6087" i="56"/>
  <c r="B6068" i="56"/>
  <c r="B5911" i="56"/>
  <c r="B5792" i="56"/>
  <c r="B5663" i="56"/>
  <c r="B5558" i="56"/>
  <c r="B5425" i="56"/>
  <c r="B5413" i="56"/>
  <c r="B5398" i="56"/>
  <c r="B5360" i="56"/>
  <c r="B5351" i="56"/>
  <c r="B5276" i="56"/>
  <c r="B5244" i="56"/>
  <c r="B5192" i="56"/>
  <c r="B5022" i="56"/>
  <c r="B5009" i="56"/>
  <c r="B4749" i="56"/>
  <c r="B4718" i="56"/>
  <c r="B4715" i="56"/>
  <c r="B4683" i="56"/>
  <c r="B4676" i="56"/>
  <c r="B4659" i="56"/>
  <c r="B4586" i="56"/>
  <c r="B4514" i="56"/>
  <c r="B4497" i="56"/>
  <c r="B4494" i="56"/>
  <c r="B4467" i="56"/>
  <c r="B4188" i="56"/>
  <c r="B4132" i="56"/>
  <c r="B3988" i="56"/>
  <c r="B3475" i="56"/>
  <c r="B3237" i="56"/>
  <c r="B3228" i="56"/>
  <c r="B3032" i="56"/>
  <c r="B2973" i="56"/>
  <c r="B2804" i="56"/>
  <c r="B2782" i="56"/>
  <c r="B2757" i="56"/>
  <c r="B2728" i="56"/>
  <c r="B2726" i="56"/>
  <c r="B2512" i="56"/>
  <c r="B2344" i="56"/>
  <c r="B2161" i="56"/>
  <c r="B2107" i="56"/>
  <c r="B1649" i="56"/>
  <c r="B1519" i="56"/>
  <c r="B1480" i="56"/>
  <c r="B1282" i="56"/>
  <c r="B1023" i="56"/>
  <c r="B473" i="56"/>
  <c r="B149" i="56"/>
  <c r="B11" i="56"/>
  <c r="B6074" i="56"/>
  <c r="B5935" i="56"/>
  <c r="B5899" i="56"/>
  <c r="B5815" i="56"/>
  <c r="B6049" i="56"/>
  <c r="B6039" i="56"/>
  <c r="B5994" i="56"/>
  <c r="B5976" i="56"/>
  <c r="B5893" i="56"/>
  <c r="B5875" i="56"/>
  <c r="B5827" i="56"/>
  <c r="B5826" i="56"/>
  <c r="B5715" i="56"/>
  <c r="B5648" i="56"/>
  <c r="B5507" i="56"/>
  <c r="B5476" i="56"/>
  <c r="B5447" i="56"/>
  <c r="B5263" i="56"/>
  <c r="B5237" i="56"/>
  <c r="B5228" i="56"/>
  <c r="B5178" i="56"/>
  <c r="B5150" i="56"/>
  <c r="B5135" i="56"/>
  <c r="B5123" i="56"/>
  <c r="B5122" i="56"/>
  <c r="B5096" i="56"/>
  <c r="B5004" i="56"/>
  <c r="B4971" i="56"/>
  <c r="B4923" i="56"/>
  <c r="B4910" i="56"/>
  <c r="B4891" i="56"/>
  <c r="B4890" i="56"/>
  <c r="B4866" i="56"/>
  <c r="B4685" i="56"/>
  <c r="B4626" i="56"/>
  <c r="B4623" i="56"/>
  <c r="B4600" i="56"/>
  <c r="B2532" i="56"/>
  <c r="B5912" i="56"/>
  <c r="B5871" i="56"/>
  <c r="B6054" i="56"/>
  <c r="B6031" i="56"/>
  <c r="B6038" i="56"/>
  <c r="B6005" i="56"/>
  <c r="B6058" i="56"/>
  <c r="B6032" i="56"/>
  <c r="B5797" i="56"/>
  <c r="B6060" i="56"/>
  <c r="B6053" i="56"/>
  <c r="B5914" i="56"/>
  <c r="B5906" i="56"/>
  <c r="B5903" i="56"/>
  <c r="B5870" i="56"/>
  <c r="B5701" i="56"/>
  <c r="B5486" i="56"/>
  <c r="B5479" i="56"/>
  <c r="B5392" i="56"/>
  <c r="B5312" i="56"/>
  <c r="B5166" i="56"/>
  <c r="B5147" i="56"/>
  <c r="B5079" i="56"/>
  <c r="B5067" i="56"/>
  <c r="B5064" i="56"/>
  <c r="B5049" i="56"/>
  <c r="B5044" i="56"/>
  <c r="B4940" i="56"/>
  <c r="B4928" i="56"/>
  <c r="B4896" i="56"/>
  <c r="B4820" i="56"/>
  <c r="B4795" i="56"/>
  <c r="B4780" i="56"/>
  <c r="B4726" i="56"/>
  <c r="B4706" i="56"/>
  <c r="B4672" i="56"/>
  <c r="B4081" i="56"/>
  <c r="B6061" i="56"/>
  <c r="B6022" i="56"/>
  <c r="B6042" i="56"/>
  <c r="B5932" i="56"/>
  <c r="B5628" i="56"/>
  <c r="B6014" i="56"/>
  <c r="B5989" i="56"/>
  <c r="B5965" i="56"/>
  <c r="B5962" i="56"/>
  <c r="B5947" i="56"/>
  <c r="B5917" i="56"/>
  <c r="B5861" i="56"/>
  <c r="B5840" i="56"/>
  <c r="B5732" i="56"/>
  <c r="B5729" i="56"/>
  <c r="B5707" i="56"/>
  <c r="B5682" i="56"/>
  <c r="B5666" i="56"/>
  <c r="B5649" i="56"/>
  <c r="B5605" i="56"/>
  <c r="B5587" i="56"/>
  <c r="B5581" i="56"/>
  <c r="B5513" i="56"/>
  <c r="B5369" i="56"/>
  <c r="B5223" i="56"/>
  <c r="B5217" i="56"/>
  <c r="B4934" i="56"/>
  <c r="B4803" i="56"/>
  <c r="B4777" i="56"/>
  <c r="B4768" i="56"/>
  <c r="B4730" i="56"/>
  <c r="B4712" i="56"/>
  <c r="B4652" i="56"/>
  <c r="B4629" i="56"/>
  <c r="B4610" i="56"/>
  <c r="B4555" i="56"/>
  <c r="B4189" i="56"/>
  <c r="B4172" i="56"/>
  <c r="B3893" i="56"/>
  <c r="B3803" i="56"/>
  <c r="B5393" i="56"/>
  <c r="B5325" i="56"/>
  <c r="B5578" i="56"/>
  <c r="B5531" i="56"/>
  <c r="B5519" i="56"/>
  <c r="B5109" i="56"/>
  <c r="B5100" i="56"/>
  <c r="B3579" i="56"/>
  <c r="B3524" i="56"/>
  <c r="B3151" i="56"/>
  <c r="B3142" i="56"/>
  <c r="B3009" i="56"/>
  <c r="B2959" i="56"/>
  <c r="B1071" i="56"/>
  <c r="B5957" i="56"/>
  <c r="B5937" i="56"/>
  <c r="B5907" i="56"/>
  <c r="B5865" i="56"/>
  <c r="B5862" i="56"/>
  <c r="B5787" i="56"/>
  <c r="B5753" i="56"/>
  <c r="B5590" i="56"/>
  <c r="B5564" i="56"/>
  <c r="B5556" i="56"/>
  <c r="B5366" i="56"/>
  <c r="B5346" i="56"/>
  <c r="B5313" i="56"/>
  <c r="B5299" i="56"/>
  <c r="B5232" i="56"/>
  <c r="B5167" i="56"/>
  <c r="B5118" i="56"/>
  <c r="B5112" i="56"/>
  <c r="B5091" i="56"/>
  <c r="B5088" i="56"/>
  <c r="B5080" i="56"/>
  <c r="B5056" i="56"/>
  <c r="B4986" i="56"/>
  <c r="B4978" i="56"/>
  <c r="B4864" i="56"/>
  <c r="B4861" i="56"/>
  <c r="B4846" i="56"/>
  <c r="B4800" i="56"/>
  <c r="B4789" i="56"/>
  <c r="B4788" i="56"/>
  <c r="B4779" i="56"/>
  <c r="B4750" i="56"/>
  <c r="B4523" i="56"/>
  <c r="B4462" i="56"/>
  <c r="B4366" i="56"/>
  <c r="B4288" i="56"/>
  <c r="B4274" i="56"/>
  <c r="B4236" i="56"/>
  <c r="B4229" i="56"/>
  <c r="B4128" i="56"/>
  <c r="B4044" i="56"/>
  <c r="B4040" i="56"/>
  <c r="B4035" i="56"/>
  <c r="B3879" i="56"/>
  <c r="B3863" i="56"/>
  <c r="B3845" i="56"/>
  <c r="B3842" i="56"/>
  <c r="B3775" i="56"/>
  <c r="B3755" i="56"/>
  <c r="B3617" i="56"/>
  <c r="B3242" i="56"/>
  <c r="B5954" i="56"/>
  <c r="B5820" i="56"/>
  <c r="B5720" i="56"/>
  <c r="B5670" i="56"/>
  <c r="B5615" i="56"/>
  <c r="B5611" i="56"/>
  <c r="B5481" i="56"/>
  <c r="B5473" i="56"/>
  <c r="B5443" i="56"/>
  <c r="B5323" i="56"/>
  <c r="B5121" i="56"/>
  <c r="B5115" i="56"/>
  <c r="B5107" i="56"/>
  <c r="B4989" i="56"/>
  <c r="B4981" i="56"/>
  <c r="B4967" i="56"/>
  <c r="B4948" i="56"/>
  <c r="B4908" i="56"/>
  <c r="B4892" i="56"/>
  <c r="B4791" i="56"/>
  <c r="B4754" i="56"/>
  <c r="B4380" i="56"/>
  <c r="B4320" i="56"/>
  <c r="B4317" i="56"/>
  <c r="B4268" i="56"/>
  <c r="B4248" i="56"/>
  <c r="B4187" i="56"/>
  <c r="B4178" i="56"/>
  <c r="B4047" i="56"/>
  <c r="B3901" i="56"/>
  <c r="B3866" i="56"/>
  <c r="B3824" i="56"/>
  <c r="B3815" i="56"/>
  <c r="B3804" i="56"/>
  <c r="B3769" i="56"/>
  <c r="B3766" i="56"/>
  <c r="B1797" i="56"/>
  <c r="B1790" i="56"/>
  <c r="B6041" i="56"/>
  <c r="B5541" i="56"/>
  <c r="B5406" i="56"/>
  <c r="B5156" i="56"/>
  <c r="B5008" i="56"/>
  <c r="B4984" i="56"/>
  <c r="B4976" i="56"/>
  <c r="B4924" i="56"/>
  <c r="B4911" i="56"/>
  <c r="B4862" i="56"/>
  <c r="B4822" i="56"/>
  <c r="B4804" i="56"/>
  <c r="B4711" i="56"/>
  <c r="B4669" i="56"/>
  <c r="B4551" i="56"/>
  <c r="B4526" i="56"/>
  <c r="B4471" i="56"/>
  <c r="B4434" i="56"/>
  <c r="B4413" i="56"/>
  <c r="B4383" i="56"/>
  <c r="B4359" i="56"/>
  <c r="B4356" i="56"/>
  <c r="B4353" i="56"/>
  <c r="B4170" i="56"/>
  <c r="B4090" i="56"/>
  <c r="B3882" i="56"/>
  <c r="B3758" i="56"/>
  <c r="B2045" i="56"/>
  <c r="B1993" i="56"/>
  <c r="B5794" i="56"/>
  <c r="B5769" i="56"/>
  <c r="B5697" i="56"/>
  <c r="B5290" i="56"/>
  <c r="B5081" i="56"/>
  <c r="B4725" i="56"/>
  <c r="B4515" i="56"/>
  <c r="B4083" i="56"/>
  <c r="B4013" i="56"/>
  <c r="B3885" i="56"/>
  <c r="B3629" i="56"/>
  <c r="B6027" i="56"/>
  <c r="B6088" i="56"/>
  <c r="B5964" i="56"/>
  <c r="B6077" i="56"/>
  <c r="B6035" i="56"/>
  <c r="B5884" i="56"/>
  <c r="B5823" i="56"/>
  <c r="B5811" i="56"/>
  <c r="B5808" i="56"/>
  <c r="B5800" i="56"/>
  <c r="B5788" i="56"/>
  <c r="B5783" i="56"/>
  <c r="B5766" i="56"/>
  <c r="B5763" i="56"/>
  <c r="B5760" i="56"/>
  <c r="B5748" i="56"/>
  <c r="B5706" i="56"/>
  <c r="B5612" i="56"/>
  <c r="B5588" i="56"/>
  <c r="B5585" i="56"/>
  <c r="B5521" i="56"/>
  <c r="B5504" i="56"/>
  <c r="B5174" i="56"/>
  <c r="B5125" i="56"/>
  <c r="B4962" i="56"/>
  <c r="B4949" i="56"/>
  <c r="B4841" i="56"/>
  <c r="B4687" i="56"/>
  <c r="B4603" i="56"/>
  <c r="B4498" i="56"/>
  <c r="B4477" i="56"/>
  <c r="B4459" i="56"/>
  <c r="B4438" i="56"/>
  <c r="B4402" i="56"/>
  <c r="B4378" i="56"/>
  <c r="B4221" i="56"/>
  <c r="B4211" i="56"/>
  <c r="B4129" i="56"/>
  <c r="B3995" i="56"/>
  <c r="B1237" i="56"/>
  <c r="B507" i="56"/>
  <c r="B4591" i="56"/>
  <c r="B4569" i="56"/>
  <c r="B4552" i="56"/>
  <c r="B4527" i="56"/>
  <c r="B4394" i="56"/>
  <c r="B4312" i="56"/>
  <c r="B4279" i="56"/>
  <c r="B4203" i="56"/>
  <c r="B4197" i="56"/>
  <c r="B4002" i="56"/>
  <c r="B3973" i="56"/>
  <c r="B3970" i="56"/>
  <c r="B3917" i="56"/>
  <c r="B3871" i="56"/>
  <c r="B3782" i="56"/>
  <c r="B3701" i="56"/>
  <c r="B3690" i="56"/>
  <c r="B3586" i="56"/>
  <c r="B3583" i="56"/>
  <c r="B3487" i="56"/>
  <c r="B3088" i="56"/>
  <c r="B3085" i="56"/>
  <c r="B3076" i="56"/>
  <c r="B2972" i="56"/>
  <c r="B2926" i="56"/>
  <c r="B2918" i="56"/>
  <c r="B2870" i="56"/>
  <c r="B2849" i="56"/>
  <c r="B2828" i="56"/>
  <c r="B2784" i="56"/>
  <c r="B2775" i="56"/>
  <c r="B2772" i="56"/>
  <c r="B2758" i="56"/>
  <c r="B2755" i="56"/>
  <c r="B2745" i="56"/>
  <c r="B2460" i="56"/>
  <c r="B2279" i="56"/>
  <c r="B2257" i="56"/>
  <c r="B2226" i="56"/>
  <c r="B2190" i="56"/>
  <c r="B2028" i="56"/>
  <c r="B1741" i="56"/>
  <c r="B1680" i="56"/>
  <c r="B1668" i="56"/>
  <c r="B1532" i="56"/>
  <c r="B1514" i="56"/>
  <c r="B1483" i="56"/>
  <c r="B1470" i="56"/>
  <c r="B1464" i="56"/>
  <c r="B1461" i="56"/>
  <c r="B1302" i="56"/>
  <c r="B1221" i="56"/>
  <c r="B1106" i="56"/>
  <c r="B1098" i="56"/>
  <c r="B1074" i="56"/>
  <c r="B1050" i="56"/>
  <c r="B1021" i="56"/>
  <c r="B854" i="56"/>
  <c r="B771" i="56"/>
  <c r="B746" i="56"/>
  <c r="B676" i="56"/>
  <c r="B663" i="56"/>
  <c r="B536" i="56"/>
  <c r="B513" i="56"/>
  <c r="B489" i="56"/>
  <c r="B475" i="56"/>
  <c r="B403" i="56"/>
  <c r="B347" i="56"/>
  <c r="B344" i="56"/>
  <c r="B332" i="56"/>
  <c r="B327" i="56"/>
  <c r="B324" i="56"/>
  <c r="B308" i="56"/>
  <c r="B284" i="56"/>
  <c r="B260" i="56"/>
  <c r="B257" i="56"/>
  <c r="B251" i="56"/>
  <c r="B141" i="56"/>
  <c r="B76" i="56"/>
  <c r="B4579" i="56"/>
  <c r="B4228" i="56"/>
  <c r="B4146" i="56"/>
  <c r="B4084" i="56"/>
  <c r="B4048" i="56"/>
  <c r="B3902" i="56"/>
  <c r="B3853" i="56"/>
  <c r="B3847" i="56"/>
  <c r="B3767" i="56"/>
  <c r="B3735" i="56"/>
  <c r="B3732" i="56"/>
  <c r="B3713" i="56"/>
  <c r="B3522" i="56"/>
  <c r="B3268" i="56"/>
  <c r="B3202" i="56"/>
  <c r="B3187" i="56"/>
  <c r="B3022" i="56"/>
  <c r="B3019" i="56"/>
  <c r="B2898" i="56"/>
  <c r="B2700" i="56"/>
  <c r="B2694" i="56"/>
  <c r="B2616" i="56"/>
  <c r="B2583" i="56"/>
  <c r="B2523" i="56"/>
  <c r="B2516" i="56"/>
  <c r="B2495" i="56"/>
  <c r="B2492" i="56"/>
  <c r="B2466" i="56"/>
  <c r="B2451" i="56"/>
  <c r="B2330" i="56"/>
  <c r="B2258" i="56"/>
  <c r="B2179" i="56"/>
  <c r="B2167" i="56"/>
  <c r="B2083" i="56"/>
  <c r="B2057" i="56"/>
  <c r="B2022" i="56"/>
  <c r="B1794" i="56"/>
  <c r="B1773" i="56"/>
  <c r="B1738" i="56"/>
  <c r="B1629" i="56"/>
  <c r="B1573" i="56"/>
  <c r="B1535" i="56"/>
  <c r="B1429" i="56"/>
  <c r="B1336" i="56"/>
  <c r="B1319" i="56"/>
  <c r="B1289" i="56"/>
  <c r="B1119" i="56"/>
  <c r="B972" i="56"/>
  <c r="B960" i="56"/>
  <c r="B796" i="56"/>
  <c r="B788" i="56"/>
  <c r="B785" i="56"/>
  <c r="B737" i="56"/>
  <c r="B727" i="56"/>
  <c r="B685" i="56"/>
  <c r="B466" i="56"/>
  <c r="B458" i="56"/>
  <c r="B386" i="56"/>
  <c r="B367" i="56"/>
  <c r="B335" i="56"/>
  <c r="B325" i="56"/>
  <c r="B264" i="56"/>
  <c r="B208" i="56"/>
  <c r="B174" i="56"/>
  <c r="B122" i="56"/>
  <c r="B108" i="56"/>
  <c r="B66" i="56"/>
  <c r="B10" i="56"/>
  <c r="B3" i="56"/>
  <c r="B4054" i="56"/>
  <c r="B3932" i="56"/>
  <c r="B3805" i="56"/>
  <c r="B3305" i="56"/>
  <c r="B3302" i="56"/>
  <c r="B3293" i="56"/>
  <c r="B3218" i="56"/>
  <c r="B3119" i="56"/>
  <c r="B3071" i="56"/>
  <c r="B3043" i="56"/>
  <c r="B3038" i="56"/>
  <c r="B3007" i="56"/>
  <c r="B2978" i="56"/>
  <c r="B2970" i="56"/>
  <c r="B2932" i="56"/>
  <c r="B2740" i="56"/>
  <c r="B2709" i="56"/>
  <c r="B2703" i="56"/>
  <c r="B2647" i="56"/>
  <c r="B2617" i="56"/>
  <c r="B2396" i="56"/>
  <c r="B2274" i="56"/>
  <c r="B2196" i="56"/>
  <c r="B2096" i="56"/>
  <c r="B1939" i="56"/>
  <c r="B1777" i="56"/>
  <c r="B1627" i="56"/>
  <c r="B1610" i="56"/>
  <c r="B1604" i="56"/>
  <c r="B1497" i="56"/>
  <c r="B1489" i="56"/>
  <c r="B1481" i="56"/>
  <c r="B1476" i="56"/>
  <c r="B1444" i="56"/>
  <c r="B1404" i="56"/>
  <c r="B1402" i="56"/>
  <c r="B1395" i="56"/>
  <c r="B1362" i="56"/>
  <c r="B1329" i="56"/>
  <c r="B1231" i="56"/>
  <c r="B1151" i="56"/>
  <c r="B1139" i="56"/>
  <c r="B1014" i="56"/>
  <c r="B799" i="56"/>
  <c r="B734" i="56"/>
  <c r="B719" i="56"/>
  <c r="B707" i="56"/>
  <c r="B542" i="56"/>
  <c r="B424" i="56"/>
  <c r="B306" i="56"/>
  <c r="B6" i="56"/>
  <c r="B3900" i="56"/>
  <c r="B3517" i="56"/>
  <c r="B3017" i="56"/>
  <c r="B3005" i="56"/>
  <c r="B2844" i="56"/>
  <c r="B2841" i="56"/>
  <c r="B2838" i="56"/>
  <c r="B2797" i="56"/>
  <c r="B2743" i="56"/>
  <c r="B2654" i="56"/>
  <c r="B2653" i="56"/>
  <c r="B2534" i="56"/>
  <c r="B2484" i="56"/>
  <c r="B2414" i="56"/>
  <c r="B2408" i="56"/>
  <c r="B2216" i="56"/>
  <c r="B2205" i="56"/>
  <c r="B2185" i="56"/>
  <c r="B2117" i="56"/>
  <c r="B1988" i="56"/>
  <c r="B1828" i="56"/>
  <c r="B1720" i="56"/>
  <c r="B1704" i="56"/>
  <c r="B1639" i="56"/>
  <c r="B1621" i="56"/>
  <c r="B1601" i="56"/>
  <c r="B1577" i="56"/>
  <c r="B1445" i="56"/>
  <c r="B1409" i="56"/>
  <c r="B1297" i="56"/>
  <c r="B1238" i="56"/>
  <c r="B769" i="56"/>
  <c r="B731" i="56"/>
  <c r="B716" i="56"/>
  <c r="B704" i="56"/>
  <c r="B698" i="56"/>
  <c r="B626" i="56"/>
  <c r="B546" i="56"/>
  <c r="B537" i="56"/>
  <c r="B505" i="56"/>
  <c r="B415" i="56"/>
  <c r="B407" i="56"/>
  <c r="B364" i="56"/>
  <c r="B231" i="56"/>
  <c r="B192" i="56"/>
  <c r="B74" i="56"/>
  <c r="B3141" i="56"/>
  <c r="B3044" i="56"/>
  <c r="B2524" i="56"/>
  <c r="B2493" i="56"/>
  <c r="B2228" i="56"/>
  <c r="B1655" i="56"/>
  <c r="B1612" i="56"/>
  <c r="B1578" i="56"/>
  <c r="B1437" i="56"/>
  <c r="B1303" i="56"/>
  <c r="B720" i="56"/>
  <c r="B702" i="56"/>
  <c r="B618" i="56"/>
  <c r="B538" i="56"/>
  <c r="B3132" i="56"/>
  <c r="B2366" i="56"/>
  <c r="B2340" i="56"/>
  <c r="B2053" i="56"/>
  <c r="B1566" i="56"/>
  <c r="B1061" i="56"/>
  <c r="B3431" i="56"/>
  <c r="B3425" i="56"/>
  <c r="B3384" i="56"/>
  <c r="B2497" i="56"/>
  <c r="B2490" i="56"/>
  <c r="B2154" i="56"/>
  <c r="B2100" i="56"/>
  <c r="B1434" i="56"/>
  <c r="B393" i="56"/>
  <c r="B104" i="56"/>
  <c r="B4" i="56"/>
  <c r="B3192" i="56"/>
  <c r="B2854" i="56"/>
  <c r="B2842" i="56"/>
  <c r="B2284" i="56"/>
  <c r="B1662" i="56"/>
  <c r="B1185" i="56"/>
  <c r="B1118" i="56"/>
  <c r="B983" i="56"/>
  <c r="B959" i="56"/>
  <c r="B953" i="56"/>
  <c r="B950" i="56"/>
  <c r="B770" i="56"/>
  <c r="B671" i="56"/>
  <c r="B657" i="56"/>
  <c r="B474" i="56"/>
  <c r="B277" i="56"/>
  <c r="B155" i="56"/>
  <c r="B80" i="56"/>
  <c r="B20" i="56"/>
  <c r="B3213" i="56"/>
  <c r="B3210" i="56"/>
  <c r="B3135" i="56"/>
  <c r="B3133" i="56"/>
  <c r="B3114" i="56"/>
  <c r="B3102" i="56"/>
  <c r="B3021" i="56"/>
  <c r="B2839" i="56"/>
  <c r="B2789" i="56"/>
  <c r="B2618" i="56"/>
  <c r="B2558" i="56"/>
  <c r="B2511" i="56"/>
  <c r="B2500" i="56"/>
  <c r="B2438" i="56"/>
  <c r="B2433" i="56"/>
  <c r="B2296" i="56"/>
  <c r="B2149" i="56"/>
  <c r="B2103" i="56"/>
  <c r="B2070" i="56"/>
  <c r="B1935" i="56"/>
  <c r="B1932" i="56"/>
  <c r="B1929" i="56"/>
  <c r="B1919" i="56"/>
  <c r="B1916" i="56"/>
  <c r="B1907" i="56"/>
  <c r="B1799" i="56"/>
  <c r="B1761" i="56"/>
  <c r="B1572" i="56"/>
  <c r="B1469" i="56"/>
  <c r="B1361" i="56"/>
  <c r="B1344" i="56"/>
  <c r="B1290" i="56"/>
  <c r="B1220" i="56"/>
  <c r="B1212" i="56"/>
  <c r="B1052" i="56"/>
  <c r="B1032" i="56"/>
  <c r="B686" i="56"/>
  <c r="B599" i="56"/>
  <c r="B544" i="56"/>
  <c r="B532" i="56"/>
  <c r="B495" i="56"/>
  <c r="B460" i="56"/>
  <c r="B368" i="56"/>
  <c r="B283" i="56"/>
  <c r="B266" i="56"/>
  <c r="B253" i="56"/>
  <c r="B232" i="56"/>
  <c r="B215" i="56"/>
  <c r="B162" i="56"/>
  <c r="B24" i="56"/>
  <c r="B3695" i="56"/>
  <c r="B3655" i="56"/>
  <c r="B3623" i="56"/>
  <c r="B3553" i="56"/>
  <c r="B3471" i="56"/>
  <c r="B3327" i="56"/>
  <c r="B3323" i="56"/>
  <c r="B3233" i="56"/>
  <c r="B3217" i="56"/>
  <c r="B3120" i="56"/>
  <c r="B3093" i="56"/>
  <c r="B2814" i="56"/>
  <c r="B2801" i="56"/>
  <c r="B2639" i="56"/>
  <c r="B2627" i="56"/>
  <c r="B2564" i="56"/>
  <c r="B2544" i="56"/>
  <c r="B2521" i="56"/>
  <c r="B2137" i="56"/>
  <c r="B1872" i="56"/>
  <c r="B1847" i="56"/>
  <c r="B1784" i="56"/>
  <c r="B1778" i="56"/>
  <c r="B1380" i="56"/>
  <c r="B1369" i="56"/>
  <c r="B962" i="56"/>
  <c r="B848" i="56"/>
  <c r="B804" i="56"/>
  <c r="B773" i="56"/>
  <c r="B752" i="56"/>
  <c r="B665" i="56"/>
  <c r="B613" i="56"/>
  <c r="B611" i="56"/>
  <c r="B590" i="56"/>
  <c r="B568" i="56"/>
  <c r="B501" i="56"/>
  <c r="B498" i="56"/>
  <c r="B454" i="56"/>
  <c r="B451" i="56"/>
  <c r="B420" i="56"/>
  <c r="B371" i="56"/>
  <c r="B349" i="56"/>
  <c r="B316" i="56"/>
  <c r="B63" i="56"/>
  <c r="B59" i="56"/>
  <c r="B33" i="56"/>
  <c r="L64" i="56"/>
  <c r="B5831" i="56"/>
  <c r="B5867" i="56"/>
  <c r="B5948" i="56"/>
  <c r="B5727" i="56"/>
  <c r="B5739" i="56"/>
  <c r="B4889" i="56"/>
  <c r="B4456" i="56"/>
  <c r="B1565" i="56"/>
  <c r="B1447" i="56"/>
  <c r="B5579" i="56"/>
  <c r="B5090" i="56"/>
  <c r="B4204" i="56"/>
  <c r="B3250" i="56"/>
  <c r="B1305" i="56"/>
  <c r="B1057" i="56"/>
  <c r="B5265" i="56"/>
  <c r="B5253" i="56"/>
  <c r="B4769" i="56"/>
  <c r="B4534" i="56"/>
  <c r="B4469" i="56"/>
  <c r="B4432" i="56"/>
  <c r="B4376" i="56"/>
  <c r="B4336" i="56"/>
  <c r="B3810" i="56"/>
  <c r="B3779" i="56"/>
  <c r="B3535" i="56"/>
  <c r="B3467" i="56"/>
  <c r="B6075" i="56"/>
  <c r="B6069" i="56"/>
  <c r="B6066" i="56"/>
  <c r="B6046" i="56"/>
  <c r="B6029" i="56"/>
  <c r="B6026" i="56"/>
  <c r="B5982" i="56"/>
  <c r="B5961" i="56"/>
  <c r="B5883" i="56"/>
  <c r="B5858" i="56"/>
  <c r="B5849" i="56"/>
  <c r="B5813" i="56"/>
  <c r="B5703" i="56"/>
  <c r="B5700" i="56"/>
  <c r="B5680" i="56"/>
  <c r="B5591" i="56"/>
  <c r="B5575" i="56"/>
  <c r="B5574" i="56"/>
  <c r="B5569" i="56"/>
  <c r="B5530" i="56"/>
  <c r="B5518" i="56"/>
  <c r="B5497" i="56"/>
  <c r="B5455" i="56"/>
  <c r="B5441" i="56"/>
  <c r="B5424" i="56"/>
  <c r="B5418" i="56"/>
  <c r="B5385" i="56"/>
  <c r="B5339" i="56"/>
  <c r="B5333" i="56"/>
  <c r="B5314" i="56"/>
  <c r="B5281" i="56"/>
  <c r="B5259" i="56"/>
  <c r="B5251" i="56"/>
  <c r="B5227" i="56"/>
  <c r="B5198" i="56"/>
  <c r="B5195" i="56"/>
  <c r="B5144" i="56"/>
  <c r="B5076" i="56"/>
  <c r="B5073" i="56"/>
  <c r="B5070" i="56"/>
  <c r="B5059" i="56"/>
  <c r="B5047" i="56"/>
  <c r="B5029" i="56"/>
  <c r="B4927" i="56"/>
  <c r="B4922" i="56"/>
  <c r="B4914" i="56"/>
  <c r="B4901" i="56"/>
  <c r="B4886" i="56"/>
  <c r="B4884" i="56"/>
  <c r="B4872" i="56"/>
  <c r="B4871" i="56"/>
  <c r="B4853" i="56"/>
  <c r="B4816" i="56"/>
  <c r="B4808" i="56"/>
  <c r="B4786" i="56"/>
  <c r="B4766" i="56"/>
  <c r="B4763" i="56"/>
  <c r="B4741" i="56"/>
  <c r="B4704" i="56"/>
  <c r="B4689" i="56"/>
  <c r="B4645" i="56"/>
  <c r="B4621" i="56"/>
  <c r="B4611" i="56"/>
  <c r="B4602" i="56"/>
  <c r="B4553" i="56"/>
  <c r="B4134" i="56"/>
  <c r="B4031" i="56"/>
  <c r="B3960" i="56"/>
  <c r="B3937" i="56"/>
  <c r="B3919" i="56"/>
  <c r="B3889" i="56"/>
  <c r="B3856" i="56"/>
  <c r="B3761" i="56"/>
  <c r="B3731" i="56"/>
  <c r="B3720" i="56"/>
  <c r="B3697" i="56"/>
  <c r="B3689" i="56"/>
  <c r="B3633" i="56"/>
  <c r="B3609" i="56"/>
  <c r="B3558" i="56"/>
  <c r="B3555" i="56"/>
  <c r="B3510" i="56"/>
  <c r="B3500" i="56"/>
  <c r="B3373" i="56"/>
  <c r="B3338" i="56"/>
  <c r="B3336" i="56"/>
  <c r="B3335" i="56"/>
  <c r="B3332" i="56"/>
  <c r="B3266" i="56"/>
  <c r="B3226" i="56"/>
  <c r="B3216" i="56"/>
  <c r="B3089" i="56"/>
  <c r="B3080" i="56"/>
  <c r="B3077" i="56"/>
  <c r="B2957" i="56"/>
  <c r="B2657" i="56"/>
  <c r="B2223" i="56"/>
  <c r="B2029" i="56"/>
  <c r="B5582" i="56"/>
  <c r="B5277" i="56"/>
  <c r="B5016" i="56"/>
  <c r="B3593" i="56"/>
  <c r="B3359" i="56"/>
  <c r="B5970" i="56"/>
  <c r="B5843" i="56"/>
  <c r="B5435" i="56"/>
  <c r="B5361" i="56"/>
  <c r="B5186" i="56"/>
  <c r="B4906" i="56"/>
  <c r="B4877" i="56"/>
  <c r="B4757" i="56"/>
  <c r="B6072" i="56"/>
  <c r="B6036" i="56"/>
  <c r="B5973" i="56"/>
  <c r="B5967" i="56"/>
  <c r="B5913" i="56"/>
  <c r="B5877" i="56"/>
  <c r="B5841" i="56"/>
  <c r="B5751" i="56"/>
  <c r="B5745" i="56"/>
  <c r="B5677" i="56"/>
  <c r="B5662" i="56"/>
  <c r="B5577" i="56"/>
  <c r="B5527" i="56"/>
  <c r="B5431" i="56"/>
  <c r="B5407" i="56"/>
  <c r="B5394" i="56"/>
  <c r="B5321" i="56"/>
  <c r="B5242" i="56"/>
  <c r="B4972" i="56"/>
  <c r="B4960" i="56"/>
  <c r="B4953" i="56"/>
  <c r="B4904" i="56"/>
  <c r="B4844" i="56"/>
  <c r="B4767" i="56"/>
  <c r="B4728" i="56"/>
  <c r="B4705" i="56"/>
  <c r="B4597" i="56"/>
  <c r="B4593" i="56"/>
  <c r="B4584" i="56"/>
  <c r="B4580" i="56"/>
  <c r="B4352" i="56"/>
  <c r="B4321" i="56"/>
  <c r="B4258" i="56"/>
  <c r="B4254" i="56"/>
  <c r="B4245" i="56"/>
  <c r="B4242" i="56"/>
  <c r="B4239" i="56"/>
  <c r="B4230" i="56"/>
  <c r="B4224" i="56"/>
  <c r="B4181" i="56"/>
  <c r="B4067" i="56"/>
  <c r="B4061" i="56"/>
  <c r="B4010" i="56"/>
  <c r="B3887" i="56"/>
  <c r="B3756" i="56"/>
  <c r="B3740" i="56"/>
  <c r="B3654" i="56"/>
  <c r="B3630" i="56"/>
  <c r="B3618" i="56"/>
  <c r="B3585" i="56"/>
  <c r="B3538" i="56"/>
  <c r="B3480" i="56"/>
  <c r="B3474" i="56"/>
  <c r="B3200" i="56"/>
  <c r="B2560" i="56"/>
  <c r="B3665" i="56"/>
  <c r="B5985" i="56"/>
  <c r="B5902" i="56"/>
  <c r="B5853" i="56"/>
  <c r="B5721" i="56"/>
  <c r="B5601" i="56"/>
  <c r="B5586" i="56"/>
  <c r="B5467" i="56"/>
  <c r="B5300" i="56"/>
  <c r="B5216" i="56"/>
  <c r="B5097" i="56"/>
  <c r="B5094" i="56"/>
  <c r="B4912" i="56"/>
  <c r="B4838" i="56"/>
  <c r="B4826" i="56"/>
  <c r="B4776" i="56"/>
  <c r="B4599" i="56"/>
  <c r="B4439" i="56"/>
  <c r="B4421" i="56"/>
  <c r="B4349" i="56"/>
  <c r="B4214" i="56"/>
  <c r="B4199" i="56"/>
  <c r="B4190" i="56"/>
  <c r="B3865" i="56"/>
  <c r="B3859" i="56"/>
  <c r="B3770" i="56"/>
  <c r="B3750" i="56"/>
  <c r="B3686" i="56"/>
  <c r="B3666" i="56"/>
  <c r="B3642" i="56"/>
  <c r="B3636" i="56"/>
  <c r="B3438" i="56"/>
  <c r="B3393" i="56"/>
  <c r="B3289" i="56"/>
  <c r="B3282" i="56"/>
  <c r="B3254" i="56"/>
  <c r="B2397" i="56"/>
  <c r="B2283" i="56"/>
  <c r="B4449" i="56"/>
  <c r="B1291" i="56"/>
  <c r="B6010" i="56"/>
  <c r="B5979" i="56"/>
  <c r="B5923" i="56"/>
  <c r="B5890" i="56"/>
  <c r="B5856" i="56"/>
  <c r="B5795" i="56"/>
  <c r="B5784" i="56"/>
  <c r="B5768" i="56"/>
  <c r="B5712" i="56"/>
  <c r="B5632" i="56"/>
  <c r="B5623" i="56"/>
  <c r="B5510" i="56"/>
  <c r="B5494" i="56"/>
  <c r="B5459" i="56"/>
  <c r="B5436" i="56"/>
  <c r="B5408" i="56"/>
  <c r="B5386" i="56"/>
  <c r="B5199" i="56"/>
  <c r="B5191" i="56"/>
  <c r="B5184" i="56"/>
  <c r="B5140" i="56"/>
  <c r="B5133" i="56"/>
  <c r="B5113" i="56"/>
  <c r="B4944" i="56"/>
  <c r="B4937" i="56"/>
  <c r="B4817" i="56"/>
  <c r="B4805" i="56"/>
  <c r="B4758" i="56"/>
  <c r="B4720" i="56"/>
  <c r="B4648" i="56"/>
  <c r="B4637" i="56"/>
  <c r="B4437" i="56"/>
  <c r="B4388" i="56"/>
  <c r="B4151" i="56"/>
  <c r="B4095" i="56"/>
  <c r="B4019" i="56"/>
  <c r="B3854" i="56"/>
  <c r="B3811" i="56"/>
  <c r="B3759" i="56"/>
  <c r="B3459" i="56"/>
  <c r="B3295" i="56"/>
  <c r="B3267" i="56"/>
  <c r="B2346" i="56"/>
  <c r="B2064" i="56"/>
  <c r="B6057" i="56"/>
  <c r="B6033" i="56"/>
  <c r="B6094" i="56"/>
  <c r="B6007" i="56"/>
  <c r="B5878" i="56"/>
  <c r="B5844" i="56"/>
  <c r="B5741" i="56"/>
  <c r="B5638" i="56"/>
  <c r="B5630" i="56"/>
  <c r="B5543" i="56"/>
  <c r="B5322" i="56"/>
  <c r="B5291" i="56"/>
  <c r="B5193" i="56"/>
  <c r="B5142" i="56"/>
  <c r="B5124" i="56"/>
  <c r="B4897" i="56"/>
  <c r="B4860" i="56"/>
  <c r="B4815" i="56"/>
  <c r="B4812" i="56"/>
  <c r="B4765" i="56"/>
  <c r="B4732" i="56"/>
  <c r="B4688" i="56"/>
  <c r="B4628" i="56"/>
  <c r="B4585" i="56"/>
  <c r="B4290" i="56"/>
  <c r="B4273" i="56"/>
  <c r="B4240" i="56"/>
  <c r="B4194" i="56"/>
  <c r="B4163" i="56"/>
  <c r="B4152" i="56"/>
  <c r="B4135" i="56"/>
  <c r="B4113" i="56"/>
  <c r="B4108" i="56"/>
  <c r="B4082" i="56"/>
  <c r="B4068" i="56"/>
  <c r="B4006" i="56"/>
  <c r="B3996" i="56"/>
  <c r="B3989" i="56"/>
  <c r="B3941" i="56"/>
  <c r="B3876" i="56"/>
  <c r="B3367" i="56"/>
  <c r="B3351" i="56"/>
  <c r="B3201" i="56"/>
  <c r="B2971" i="56"/>
  <c r="B2406" i="56"/>
  <c r="B2382" i="56"/>
  <c r="B2094" i="56"/>
  <c r="B6044" i="56"/>
  <c r="B6034" i="56"/>
  <c r="B6021" i="56"/>
  <c r="B6018" i="56"/>
  <c r="B6015" i="56"/>
  <c r="B5941" i="56"/>
  <c r="B5936" i="56"/>
  <c r="B5829" i="56"/>
  <c r="B5822" i="56"/>
  <c r="B5793" i="56"/>
  <c r="B5684" i="56"/>
  <c r="B5671" i="56"/>
  <c r="B5653" i="56"/>
  <c r="B5528" i="56"/>
  <c r="B5348" i="56"/>
  <c r="B5288" i="56"/>
  <c r="B5130" i="56"/>
  <c r="B5053" i="56"/>
  <c r="B4994" i="56"/>
  <c r="B4954" i="56"/>
  <c r="B4881" i="56"/>
  <c r="B4873" i="56"/>
  <c r="B4845" i="56"/>
  <c r="B4809" i="56"/>
  <c r="B4802" i="56"/>
  <c r="B4799" i="56"/>
  <c r="B4752" i="56"/>
  <c r="B4702" i="56"/>
  <c r="B4620" i="56"/>
  <c r="B4563" i="56"/>
  <c r="B4554" i="56"/>
  <c r="B4506" i="56"/>
  <c r="B4492" i="56"/>
  <c r="B4404" i="56"/>
  <c r="B4398" i="56"/>
  <c r="B4377" i="56"/>
  <c r="B4368" i="56"/>
  <c r="B4331" i="56"/>
  <c r="B4306" i="56"/>
  <c r="B4157" i="56"/>
  <c r="B4148" i="56"/>
  <c r="B4119" i="56"/>
  <c r="B4064" i="56"/>
  <c r="B4020" i="56"/>
  <c r="B4011" i="56"/>
  <c r="B3923" i="56"/>
  <c r="B3818" i="56"/>
  <c r="B3792" i="56"/>
  <c r="B3774" i="56"/>
  <c r="B3771" i="56"/>
  <c r="B3768" i="56"/>
  <c r="B3698" i="56"/>
  <c r="B3687" i="56"/>
  <c r="B3637" i="56"/>
  <c r="B3484" i="56"/>
  <c r="B3193" i="56"/>
  <c r="B3174" i="56"/>
  <c r="B3145" i="56"/>
  <c r="B2401" i="56"/>
  <c r="B2299" i="56"/>
  <c r="B4435" i="56"/>
  <c r="B3549" i="56"/>
  <c r="B6019" i="56"/>
  <c r="B5744" i="56"/>
  <c r="B5636" i="56"/>
  <c r="B5335" i="56"/>
  <c r="B5310" i="56"/>
  <c r="B4694" i="56"/>
  <c r="B4425" i="56"/>
  <c r="B4410" i="56"/>
  <c r="B4395" i="56"/>
  <c r="B4372" i="56"/>
  <c r="B4371" i="56"/>
  <c r="B4350" i="56"/>
  <c r="B4328" i="56"/>
  <c r="B4297" i="56"/>
  <c r="B4294" i="56"/>
  <c r="B4291" i="56"/>
  <c r="B4270" i="56"/>
  <c r="B4215" i="56"/>
  <c r="B4208" i="56"/>
  <c r="B4177" i="56"/>
  <c r="B3974" i="56"/>
  <c r="B3899" i="56"/>
  <c r="B3795" i="56"/>
  <c r="B3414" i="56"/>
  <c r="B3328" i="56"/>
  <c r="B3312" i="56"/>
  <c r="B3265" i="56"/>
  <c r="B3221" i="56"/>
  <c r="B3161" i="56"/>
  <c r="B2831" i="56"/>
  <c r="B2818" i="56"/>
  <c r="B5523" i="56"/>
  <c r="B6048" i="56"/>
  <c r="B5796" i="56"/>
  <c r="B5675" i="56"/>
  <c r="B5657" i="56"/>
  <c r="B5487" i="56"/>
  <c r="B5463" i="56"/>
  <c r="B5451" i="56"/>
  <c r="B5411" i="56"/>
  <c r="B5396" i="56"/>
  <c r="B5258" i="56"/>
  <c r="B5255" i="56"/>
  <c r="B5116" i="56"/>
  <c r="B5092" i="56"/>
  <c r="B4995" i="56"/>
  <c r="B4938" i="56"/>
  <c r="B4531" i="56"/>
  <c r="B4411" i="56"/>
  <c r="B4247" i="56"/>
  <c r="B4097" i="56"/>
  <c r="B3506" i="56"/>
  <c r="B3458" i="56"/>
  <c r="B3300" i="56"/>
  <c r="B1884" i="56"/>
  <c r="B5093" i="56"/>
  <c r="B4496" i="56"/>
  <c r="B1339" i="56"/>
  <c r="B6025" i="56"/>
  <c r="B6092" i="56"/>
  <c r="B6081" i="56"/>
  <c r="B6062" i="56"/>
  <c r="B6056" i="56"/>
  <c r="B5990" i="56"/>
  <c r="B5972" i="56"/>
  <c r="B5945" i="56"/>
  <c r="B5930" i="56"/>
  <c r="B5915" i="56"/>
  <c r="B5857" i="56"/>
  <c r="B5839" i="56"/>
  <c r="B5717" i="56"/>
  <c r="B5696" i="56"/>
  <c r="B5576" i="56"/>
  <c r="B5544" i="56"/>
  <c r="B5498" i="56"/>
  <c r="B5432" i="56"/>
  <c r="B5423" i="56"/>
  <c r="B5375" i="56"/>
  <c r="B5363" i="56"/>
  <c r="B5358" i="56"/>
  <c r="B5331" i="56"/>
  <c r="B5264" i="56"/>
  <c r="B5226" i="56"/>
  <c r="B5146" i="56"/>
  <c r="B5132" i="56"/>
  <c r="B5114" i="56"/>
  <c r="B5106" i="56"/>
  <c r="B5078" i="56"/>
  <c r="B5051" i="56"/>
  <c r="B5041" i="56"/>
  <c r="B5031" i="56"/>
  <c r="B4945" i="56"/>
  <c r="B4935" i="56"/>
  <c r="B4921" i="56"/>
  <c r="B4916" i="56"/>
  <c r="B4870" i="56"/>
  <c r="B4837" i="56"/>
  <c r="B4828" i="56"/>
  <c r="B4818" i="56"/>
  <c r="B4785" i="56"/>
  <c r="B4707" i="56"/>
  <c r="B4691" i="56"/>
  <c r="B4644" i="56"/>
  <c r="B4638" i="56"/>
  <c r="B4633" i="56"/>
  <c r="B4608" i="56"/>
  <c r="B4550" i="56"/>
  <c r="B4537" i="56"/>
  <c r="B4524" i="56"/>
  <c r="B4483" i="56"/>
  <c r="B4443" i="56"/>
  <c r="B4389" i="56"/>
  <c r="B4307" i="56"/>
  <c r="B4265" i="56"/>
  <c r="B4253" i="56"/>
  <c r="B4244" i="56"/>
  <c r="B4206" i="56"/>
  <c r="B4143" i="56"/>
  <c r="B4080" i="56"/>
  <c r="B4046" i="56"/>
  <c r="B4027" i="56"/>
  <c r="B4009" i="56"/>
  <c r="B3983" i="56"/>
  <c r="B3965" i="56"/>
  <c r="B3927" i="56"/>
  <c r="B3924" i="56"/>
  <c r="B3864" i="56"/>
  <c r="B3807" i="56"/>
  <c r="B3787" i="56"/>
  <c r="B3763" i="56"/>
  <c r="B3709" i="56"/>
  <c r="B3659" i="56"/>
  <c r="B3520" i="56"/>
  <c r="B3509" i="56"/>
  <c r="B2915" i="56"/>
  <c r="B2874" i="56"/>
  <c r="B2574" i="56"/>
  <c r="B2427" i="56"/>
  <c r="B1730" i="56"/>
  <c r="B1717" i="56"/>
  <c r="B1666" i="56"/>
  <c r="B1618" i="56"/>
  <c r="B1589" i="56"/>
  <c r="B1521" i="56"/>
  <c r="B1453" i="56"/>
  <c r="B1450" i="56"/>
  <c r="B1390" i="56"/>
  <c r="B1364" i="56"/>
  <c r="B360" i="56"/>
  <c r="B4522" i="56"/>
  <c r="B4481" i="56"/>
  <c r="B4460" i="56"/>
  <c r="B4454" i="56"/>
  <c r="B4424" i="56"/>
  <c r="B4406" i="56"/>
  <c r="B4358" i="56"/>
  <c r="B4324" i="56"/>
  <c r="B4304" i="56"/>
  <c r="B4283" i="56"/>
  <c r="B4220" i="56"/>
  <c r="B4165" i="56"/>
  <c r="B4156" i="56"/>
  <c r="B4147" i="56"/>
  <c r="B4115" i="56"/>
  <c r="B4098" i="56"/>
  <c r="B4025" i="56"/>
  <c r="B4018" i="56"/>
  <c r="B3953" i="56"/>
  <c r="B3949" i="56"/>
  <c r="B3946" i="56"/>
  <c r="B3892" i="56"/>
  <c r="B3883" i="56"/>
  <c r="B3825" i="56"/>
  <c r="B3819" i="56"/>
  <c r="B3816" i="56"/>
  <c r="B3772" i="56"/>
  <c r="B3745" i="56"/>
  <c r="B3742" i="56"/>
  <c r="B3739" i="56"/>
  <c r="B3711" i="56"/>
  <c r="B3652" i="56"/>
  <c r="B3635" i="56"/>
  <c r="B3611" i="56"/>
  <c r="B3587" i="56"/>
  <c r="B3525" i="56"/>
  <c r="B3511" i="56"/>
  <c r="B3505" i="56"/>
  <c r="B3429" i="56"/>
  <c r="B3408" i="56"/>
  <c r="B3407" i="56"/>
  <c r="B3364" i="56"/>
  <c r="B3208" i="56"/>
  <c r="B3204" i="56"/>
  <c r="B3126" i="56"/>
  <c r="B3122" i="56"/>
  <c r="B3116" i="56"/>
  <c r="B3083" i="56"/>
  <c r="B3031" i="56"/>
  <c r="B2983" i="56"/>
  <c r="B2952" i="56"/>
  <c r="B2904" i="56"/>
  <c r="B2891" i="56"/>
  <c r="B2867" i="56"/>
  <c r="B2808" i="56"/>
  <c r="B2749" i="56"/>
  <c r="B2744" i="56"/>
  <c r="B2739" i="56"/>
  <c r="B2684" i="56"/>
  <c r="B2681" i="56"/>
  <c r="B2668" i="56"/>
  <c r="B2642" i="56"/>
  <c r="B2624" i="56"/>
  <c r="B2577" i="56"/>
  <c r="B2536" i="56"/>
  <c r="B2529" i="56"/>
  <c r="B2520" i="56"/>
  <c r="B2510" i="56"/>
  <c r="B2442" i="56"/>
  <c r="B2349" i="56"/>
  <c r="B2199" i="56"/>
  <c r="B2187" i="56"/>
  <c r="B2106" i="56"/>
  <c r="B2047" i="56"/>
  <c r="B2004" i="56"/>
  <c r="B1857" i="56"/>
  <c r="B1837" i="56"/>
  <c r="B1823" i="56"/>
  <c r="B1809" i="56"/>
  <c r="B1708" i="56"/>
  <c r="B1602" i="56"/>
  <c r="B1559" i="56"/>
  <c r="B1548" i="56"/>
  <c r="B1515" i="56"/>
  <c r="B1264" i="56"/>
  <c r="B1022" i="56"/>
  <c r="B711" i="56"/>
  <c r="B661" i="56"/>
  <c r="B3073" i="56"/>
  <c r="B2907" i="56"/>
  <c r="B2850" i="56"/>
  <c r="B2812" i="56"/>
  <c r="B2690" i="56"/>
  <c r="B2666" i="56"/>
  <c r="B2572" i="56"/>
  <c r="B2542" i="56"/>
  <c r="B2445" i="56"/>
  <c r="B2313" i="56"/>
  <c r="B2170" i="56"/>
  <c r="B2076" i="56"/>
  <c r="B1931" i="56"/>
  <c r="B1888" i="56"/>
  <c r="B1615" i="56"/>
  <c r="B1584" i="56"/>
  <c r="B1498" i="56"/>
  <c r="B1466" i="56"/>
  <c r="B1430" i="56"/>
  <c r="B1031" i="56"/>
  <c r="B751" i="56"/>
  <c r="B2933" i="56"/>
  <c r="B2922" i="56"/>
  <c r="B2815" i="56"/>
  <c r="B2614" i="56"/>
  <c r="B2475" i="56"/>
  <c r="B2398" i="56"/>
  <c r="B2176" i="56"/>
  <c r="B2056" i="56"/>
  <c r="B2044" i="56"/>
  <c r="B2020" i="56"/>
  <c r="B1909" i="56"/>
  <c r="B1830" i="56"/>
  <c r="B1815" i="56"/>
  <c r="B1800" i="56"/>
  <c r="B1750" i="56"/>
  <c r="B1744" i="56"/>
  <c r="B1722" i="56"/>
  <c r="B1715" i="56"/>
  <c r="B1653" i="56"/>
  <c r="B1482" i="56"/>
  <c r="B1419" i="56"/>
  <c r="B3395" i="56"/>
  <c r="B3352" i="56"/>
  <c r="B3340" i="56"/>
  <c r="B3288" i="56"/>
  <c r="B3287" i="56"/>
  <c r="B3211" i="56"/>
  <c r="B3098" i="56"/>
  <c r="B3084" i="56"/>
  <c r="B3050" i="56"/>
  <c r="B2936" i="56"/>
  <c r="B2919" i="56"/>
  <c r="B2902" i="56"/>
  <c r="B2892" i="56"/>
  <c r="B2889" i="56"/>
  <c r="B2863" i="56"/>
  <c r="B2853" i="56"/>
  <c r="B2799" i="56"/>
  <c r="B2769" i="56"/>
  <c r="B2764" i="56"/>
  <c r="B2742" i="56"/>
  <c r="B2724" i="56"/>
  <c r="B2712" i="56"/>
  <c r="B2658" i="56"/>
  <c r="B2606" i="56"/>
  <c r="B2600" i="56"/>
  <c r="B2540" i="56"/>
  <c r="B2485" i="56"/>
  <c r="B2448" i="56"/>
  <c r="B2353" i="56"/>
  <c r="B2327" i="56"/>
  <c r="B2311" i="56"/>
  <c r="B2237" i="56"/>
  <c r="B2234" i="56"/>
  <c r="B2221" i="56"/>
  <c r="B2134" i="56"/>
  <c r="B2089" i="56"/>
  <c r="B2065" i="56"/>
  <c r="B2059" i="56"/>
  <c r="B1992" i="56"/>
  <c r="B1913" i="56"/>
  <c r="B1762" i="56"/>
  <c r="B1638" i="56"/>
  <c r="B1147" i="56"/>
  <c r="B1126" i="56"/>
  <c r="B1117" i="56"/>
  <c r="B778" i="56"/>
  <c r="B567" i="56"/>
  <c r="B3104" i="56"/>
  <c r="B2715" i="56"/>
  <c r="B2672" i="56"/>
  <c r="B2652" i="56"/>
  <c r="B2546" i="56"/>
  <c r="B2428" i="56"/>
  <c r="B2287" i="56"/>
  <c r="B2259" i="56"/>
  <c r="B2253" i="56"/>
  <c r="B2250" i="56"/>
  <c r="B2224" i="56"/>
  <c r="B2138" i="56"/>
  <c r="B2128" i="56"/>
  <c r="B2119" i="56"/>
  <c r="B2068" i="56"/>
  <c r="B2006" i="56"/>
  <c r="B1821" i="56"/>
  <c r="B1770" i="56"/>
  <c r="B1769" i="56"/>
  <c r="B1700" i="56"/>
  <c r="B1698" i="56"/>
  <c r="B1596" i="56"/>
  <c r="B1579" i="56"/>
  <c r="B1263" i="56"/>
  <c r="B3111" i="56"/>
  <c r="B3090" i="56"/>
  <c r="B3068" i="56"/>
  <c r="B3065" i="56"/>
  <c r="B3010" i="56"/>
  <c r="B2878" i="56"/>
  <c r="B2830" i="56"/>
  <c r="B2820" i="56"/>
  <c r="B2794" i="56"/>
  <c r="B2727" i="56"/>
  <c r="B2646" i="56"/>
  <c r="B2573" i="56"/>
  <c r="B2561" i="56"/>
  <c r="B2555" i="56"/>
  <c r="B2440" i="56"/>
  <c r="B2411" i="56"/>
  <c r="B2376" i="56"/>
  <c r="B2322" i="56"/>
  <c r="B2300" i="56"/>
  <c r="B2225" i="56"/>
  <c r="B2174" i="56"/>
  <c r="B2168" i="56"/>
  <c r="B2141" i="56"/>
  <c r="B2018" i="56"/>
  <c r="B2012" i="56"/>
  <c r="B2009" i="56"/>
  <c r="B1965" i="56"/>
  <c r="B1952" i="56"/>
  <c r="B1922" i="56"/>
  <c r="B1883" i="56"/>
  <c r="B1880" i="56"/>
  <c r="B1862" i="56"/>
  <c r="B1813" i="56"/>
  <c r="B1788" i="56"/>
  <c r="B1748" i="56"/>
  <c r="B1735" i="56"/>
  <c r="B1613" i="56"/>
  <c r="B517" i="56"/>
  <c r="B457" i="56"/>
  <c r="B102" i="56"/>
  <c r="B97" i="56"/>
  <c r="B2773" i="56"/>
  <c r="B2689" i="56"/>
  <c r="B2582" i="56"/>
  <c r="B2535" i="56"/>
  <c r="B2212" i="56"/>
  <c r="B2209" i="56"/>
  <c r="B1896" i="56"/>
  <c r="B1881" i="56"/>
  <c r="B1844" i="56"/>
  <c r="B1674" i="56"/>
  <c r="B3162" i="56"/>
  <c r="B3128" i="56"/>
  <c r="B3117" i="56"/>
  <c r="B3079" i="56"/>
  <c r="B2897" i="56"/>
  <c r="B2780" i="56"/>
  <c r="B2767" i="56"/>
  <c r="B2753" i="56"/>
  <c r="B2734" i="56"/>
  <c r="B2622" i="56"/>
  <c r="B2477" i="56"/>
  <c r="B2342" i="56"/>
  <c r="B2282" i="56"/>
  <c r="B2192" i="56"/>
  <c r="B2186" i="56"/>
  <c r="B2165" i="56"/>
  <c r="B1990" i="56"/>
  <c r="B1987" i="56"/>
  <c r="B1418" i="56"/>
  <c r="B1342" i="56"/>
  <c r="B1246" i="56"/>
  <c r="B1215" i="56"/>
  <c r="B921" i="56"/>
  <c r="B910" i="56"/>
  <c r="B894" i="56"/>
  <c r="B129" i="56"/>
  <c r="B3762" i="56"/>
  <c r="B3669" i="56"/>
  <c r="B3634" i="56"/>
  <c r="B3576" i="56"/>
  <c r="B3568" i="56"/>
  <c r="B3550" i="56"/>
  <c r="B3450" i="56"/>
  <c r="B3363" i="56"/>
  <c r="B3341" i="56"/>
  <c r="B3316" i="56"/>
  <c r="B3313" i="56"/>
  <c r="B3279" i="56"/>
  <c r="B3270" i="56"/>
  <c r="B3264" i="56"/>
  <c r="B3257" i="56"/>
  <c r="B3251" i="56"/>
  <c r="B3156" i="56"/>
  <c r="B3152" i="56"/>
  <c r="B3150" i="56"/>
  <c r="B3091" i="56"/>
  <c r="B3072" i="56"/>
  <c r="B3036" i="56"/>
  <c r="B3033" i="56"/>
  <c r="B2988" i="56"/>
  <c r="B2949" i="56"/>
  <c r="B2946" i="56"/>
  <c r="B2821" i="56"/>
  <c r="B2785" i="56"/>
  <c r="B2756" i="56"/>
  <c r="B2716" i="56"/>
  <c r="B2613" i="56"/>
  <c r="B2595" i="56"/>
  <c r="B2589" i="56"/>
  <c r="B2571" i="56"/>
  <c r="B2559" i="56"/>
  <c r="B2538" i="56"/>
  <c r="B2488" i="56"/>
  <c r="B2465" i="56"/>
  <c r="B2452" i="56"/>
  <c r="B2412" i="56"/>
  <c r="B2400" i="56"/>
  <c r="B2388" i="56"/>
  <c r="B2360" i="56"/>
  <c r="B2348" i="56"/>
  <c r="B2320" i="56"/>
  <c r="B2307" i="56"/>
  <c r="B2285" i="56"/>
  <c r="B2229" i="56"/>
  <c r="B2114" i="56"/>
  <c r="B2084" i="56"/>
  <c r="B2069" i="56"/>
  <c r="B2063" i="56"/>
  <c r="B2060" i="56"/>
  <c r="B2052" i="56"/>
  <c r="B1984" i="56"/>
  <c r="B1972" i="56"/>
  <c r="B1966" i="56"/>
  <c r="B1950" i="56"/>
  <c r="B1920" i="56"/>
  <c r="B1854" i="56"/>
  <c r="B1689" i="56"/>
  <c r="B1684" i="56"/>
  <c r="B1553" i="56"/>
  <c r="B1455" i="56"/>
  <c r="B1286" i="56"/>
  <c r="B1209" i="56"/>
  <c r="B942" i="56"/>
  <c r="B862" i="56"/>
  <c r="B625" i="56"/>
  <c r="B508" i="56"/>
  <c r="B225" i="56"/>
  <c r="B194" i="56"/>
  <c r="B69" i="56"/>
  <c r="B2404" i="56"/>
  <c r="B2308" i="56"/>
  <c r="B2286" i="56"/>
  <c r="B2252" i="56"/>
  <c r="B2230" i="56"/>
  <c r="B2204" i="56"/>
  <c r="B2175" i="56"/>
  <c r="B2160" i="56"/>
  <c r="B2123" i="56"/>
  <c r="B2043" i="56"/>
  <c r="B2019" i="56"/>
  <c r="B2017" i="56"/>
  <c r="B2010" i="56"/>
  <c r="B1976" i="56"/>
  <c r="B1930" i="56"/>
  <c r="B1917" i="56"/>
  <c r="B1914" i="56"/>
  <c r="B1838" i="56"/>
  <c r="B1819" i="56"/>
  <c r="B1786" i="56"/>
  <c r="B1763" i="56"/>
  <c r="B1713" i="56"/>
  <c r="B1648" i="56"/>
  <c r="B1644" i="56"/>
  <c r="B1628" i="56"/>
  <c r="B1599" i="56"/>
  <c r="B1569" i="56"/>
  <c r="B1522" i="56"/>
  <c r="B1510" i="56"/>
  <c r="B1448" i="56"/>
  <c r="B1424" i="56"/>
  <c r="B1416" i="56"/>
  <c r="B1407" i="56"/>
  <c r="B1388" i="56"/>
  <c r="B1203" i="56"/>
  <c r="B1197" i="56"/>
  <c r="B1195" i="56"/>
  <c r="B1094" i="56"/>
  <c r="B1016" i="56"/>
  <c r="B987" i="56"/>
  <c r="B945" i="56"/>
  <c r="B905" i="56"/>
  <c r="B902" i="56"/>
  <c r="B886" i="56"/>
  <c r="B836" i="56"/>
  <c r="B828" i="56"/>
  <c r="B821" i="56"/>
  <c r="B784" i="56"/>
  <c r="B749" i="56"/>
  <c r="B735" i="56"/>
  <c r="B669" i="56"/>
  <c r="B622" i="56"/>
  <c r="B609" i="56"/>
  <c r="B581" i="56"/>
  <c r="B547" i="56"/>
  <c r="B535" i="56"/>
  <c r="B523" i="56"/>
  <c r="B493" i="56"/>
  <c r="B445" i="56"/>
  <c r="B435" i="56"/>
  <c r="B422" i="56"/>
  <c r="B416" i="56"/>
  <c r="B382" i="56"/>
  <c r="B330" i="56"/>
  <c r="B288" i="56"/>
  <c r="B265" i="56"/>
  <c r="B200" i="56"/>
  <c r="B183" i="56"/>
  <c r="B167" i="56"/>
  <c r="B145" i="56"/>
  <c r="B75" i="56"/>
  <c r="B48" i="56"/>
  <c r="B635" i="56"/>
  <c r="B632" i="56"/>
  <c r="B511" i="56"/>
  <c r="B490" i="56"/>
  <c r="B419" i="56"/>
  <c r="B303" i="56"/>
  <c r="B300" i="56"/>
  <c r="B271" i="56"/>
  <c r="B151" i="56"/>
  <c r="B147" i="56"/>
  <c r="B144" i="56"/>
  <c r="B84" i="56"/>
  <c r="B56" i="56"/>
  <c r="B51" i="56"/>
  <c r="B34" i="56"/>
  <c r="B22" i="56"/>
  <c r="B1460" i="56"/>
  <c r="B1443" i="56"/>
  <c r="B1440" i="56"/>
  <c r="B1431" i="56"/>
  <c r="B1311" i="56"/>
  <c r="B1309" i="56"/>
  <c r="B1283" i="56"/>
  <c r="B1280" i="56"/>
  <c r="B1241" i="56"/>
  <c r="B1198" i="56"/>
  <c r="B1156" i="56"/>
  <c r="B1097" i="56"/>
  <c r="B946" i="56"/>
  <c r="B908" i="56"/>
  <c r="B881" i="56"/>
  <c r="B843" i="56"/>
  <c r="B840" i="56"/>
  <c r="B764" i="56"/>
  <c r="B758" i="56"/>
  <c r="B745" i="56"/>
  <c r="B670" i="56"/>
  <c r="B521" i="56"/>
  <c r="B500" i="56"/>
  <c r="B494" i="56"/>
  <c r="B452" i="56"/>
  <c r="B402" i="56"/>
  <c r="B377" i="56"/>
  <c r="B345" i="56"/>
  <c r="B337" i="56"/>
  <c r="B319" i="56"/>
  <c r="B312" i="56"/>
  <c r="B285" i="56"/>
  <c r="B172" i="56"/>
  <c r="B164" i="56"/>
  <c r="B154" i="56"/>
  <c r="B105" i="56"/>
  <c r="B81" i="56"/>
  <c r="B1967" i="56"/>
  <c r="B1951" i="56"/>
  <c r="B1924" i="56"/>
  <c r="B1879" i="56"/>
  <c r="B1836" i="56"/>
  <c r="B1805" i="56"/>
  <c r="B1774" i="56"/>
  <c r="B1764" i="56"/>
  <c r="B1746" i="56"/>
  <c r="B1727" i="56"/>
  <c r="B1687" i="56"/>
  <c r="B1614" i="56"/>
  <c r="B1600" i="56"/>
  <c r="B1547" i="56"/>
  <c r="B1467" i="56"/>
  <c r="B1357" i="56"/>
  <c r="B1320" i="56"/>
  <c r="B1228" i="56"/>
  <c r="B1177" i="56"/>
  <c r="B1168" i="56"/>
  <c r="B1162" i="56"/>
  <c r="B1115" i="56"/>
  <c r="B1112" i="56"/>
  <c r="B1029" i="56"/>
  <c r="B1011" i="56"/>
  <c r="B963" i="56"/>
  <c r="B949" i="56"/>
  <c r="B834" i="56"/>
  <c r="B805" i="56"/>
  <c r="B782" i="56"/>
  <c r="B726" i="56"/>
  <c r="B692" i="56"/>
  <c r="B680" i="56"/>
  <c r="B659" i="56"/>
  <c r="B636" i="56"/>
  <c r="B603" i="56"/>
  <c r="B594" i="56"/>
  <c r="B591" i="56"/>
  <c r="B461" i="56"/>
  <c r="B443" i="56"/>
  <c r="B385" i="56"/>
  <c r="B352" i="56"/>
  <c r="B249" i="56"/>
  <c r="B1449" i="56"/>
  <c r="B1360" i="56"/>
  <c r="B1323" i="56"/>
  <c r="B1226" i="56"/>
  <c r="B1127" i="56"/>
  <c r="B1005" i="56"/>
  <c r="B969" i="56"/>
  <c r="B904" i="56"/>
  <c r="B884" i="56"/>
  <c r="B860" i="56"/>
  <c r="B767" i="56"/>
  <c r="B756" i="56"/>
  <c r="B750" i="56"/>
  <c r="B729" i="56"/>
  <c r="B651" i="56"/>
  <c r="B530" i="56"/>
  <c r="B449" i="56"/>
  <c r="B411" i="56"/>
  <c r="B346" i="56"/>
  <c r="B343" i="56"/>
  <c r="B331" i="56"/>
  <c r="B304" i="56"/>
  <c r="B295" i="56"/>
  <c r="B280" i="56"/>
  <c r="B269" i="56"/>
  <c r="B243" i="56"/>
  <c r="B189" i="56"/>
  <c r="B170" i="56"/>
  <c r="B111" i="56"/>
  <c r="B1375" i="56"/>
  <c r="B1363" i="56"/>
  <c r="B923" i="56"/>
  <c r="B844" i="56"/>
  <c r="B838" i="56"/>
  <c r="B809" i="56"/>
  <c r="B753" i="56"/>
  <c r="B710" i="56"/>
  <c r="B624" i="56"/>
  <c r="B329" i="56"/>
  <c r="B1166" i="56"/>
  <c r="B1160" i="56"/>
  <c r="B870" i="56"/>
  <c r="B858" i="56"/>
  <c r="B372" i="56"/>
  <c r="B57" i="56"/>
  <c r="B44" i="56"/>
  <c r="B1191" i="56"/>
  <c r="B815" i="56"/>
  <c r="B765" i="56"/>
  <c r="B757" i="56"/>
  <c r="B713" i="56"/>
  <c r="B646" i="56"/>
  <c r="B640" i="56"/>
  <c r="B627" i="56"/>
  <c r="B453" i="56"/>
  <c r="B406" i="56"/>
  <c r="B392" i="56"/>
  <c r="B389" i="56"/>
  <c r="B341" i="56"/>
  <c r="B334" i="56"/>
  <c r="B296" i="56"/>
  <c r="B250" i="56"/>
  <c r="B235" i="56"/>
  <c r="B227" i="56"/>
  <c r="B60" i="56"/>
  <c r="B25" i="56"/>
  <c r="B1401" i="56"/>
  <c r="B1398" i="56"/>
  <c r="B1370" i="56"/>
  <c r="B1350" i="56"/>
  <c r="B1304" i="56"/>
  <c r="B1223" i="56"/>
  <c r="B1217" i="56"/>
  <c r="B1140" i="56"/>
  <c r="B1101" i="56"/>
  <c r="B1053" i="56"/>
  <c r="B1039" i="56"/>
  <c r="B1015" i="56"/>
  <c r="B874" i="56"/>
  <c r="B853" i="56"/>
  <c r="B850" i="56"/>
  <c r="B786" i="56"/>
  <c r="B652" i="56"/>
  <c r="B366" i="56"/>
  <c r="B357" i="56"/>
  <c r="B318" i="56"/>
  <c r="B179" i="56"/>
  <c r="B6023" i="56"/>
  <c r="B5807" i="56"/>
  <c r="B5058" i="56"/>
  <c r="B4865" i="56"/>
  <c r="B4686" i="56"/>
  <c r="B4570" i="56"/>
  <c r="B4466" i="56"/>
  <c r="B2337" i="56"/>
  <c r="B2105" i="56"/>
  <c r="B14" i="56"/>
  <c r="B5868" i="56"/>
  <c r="B5686" i="56"/>
  <c r="B4880" i="56"/>
  <c r="B4577" i="56"/>
  <c r="B2641" i="56"/>
  <c r="B6051" i="56"/>
  <c r="B6006" i="56"/>
  <c r="B5984" i="56"/>
  <c r="B5963" i="56"/>
  <c r="B5908" i="56"/>
  <c r="B5836" i="56"/>
  <c r="B5830" i="56"/>
  <c r="B5817" i="56"/>
  <c r="B5814" i="56"/>
  <c r="B5805" i="56"/>
  <c r="B5743" i="56"/>
  <c r="B5725" i="56"/>
  <c r="B5718" i="56"/>
  <c r="B5658" i="56"/>
  <c r="B5456" i="56"/>
  <c r="B5219" i="56"/>
  <c r="B5074" i="56"/>
  <c r="B4920" i="56"/>
  <c r="B4708" i="56"/>
  <c r="B5999" i="56"/>
  <c r="B5987" i="56"/>
  <c r="B6013" i="56"/>
  <c r="B5892" i="56"/>
  <c r="B5991" i="56"/>
  <c r="B5988" i="56"/>
  <c r="B5975" i="56"/>
  <c r="B5960" i="56"/>
  <c r="B5939" i="56"/>
  <c r="B5855" i="56"/>
  <c r="B5848" i="56"/>
  <c r="B5735" i="56"/>
  <c r="B5483" i="56"/>
  <c r="B4787" i="56"/>
  <c r="B3225" i="56"/>
  <c r="B4698" i="56"/>
  <c r="B6085" i="56"/>
  <c r="B6065" i="56"/>
  <c r="B6093" i="56"/>
  <c r="B6086" i="56"/>
  <c r="B6078" i="56"/>
  <c r="B5869" i="56"/>
  <c r="B5821" i="56"/>
  <c r="B5806" i="56"/>
  <c r="B5726" i="56"/>
  <c r="B5468" i="56"/>
  <c r="B5395" i="56"/>
  <c r="B4970" i="56"/>
  <c r="B4961" i="56"/>
  <c r="B4714" i="56"/>
  <c r="B4613" i="56"/>
  <c r="B4587" i="56"/>
  <c r="B4470" i="56"/>
  <c r="B6083" i="56"/>
  <c r="B6063" i="56"/>
  <c r="B6059" i="56"/>
  <c r="B6011" i="56"/>
  <c r="B5747" i="56"/>
  <c r="B5713" i="56"/>
  <c r="B5651" i="56"/>
  <c r="B5511" i="56"/>
  <c r="B4399" i="56"/>
  <c r="B4347" i="56"/>
  <c r="B4344" i="56"/>
  <c r="B5969" i="56"/>
  <c r="B5847" i="56"/>
  <c r="B5691" i="56"/>
  <c r="B5996" i="56"/>
  <c r="B5920" i="56"/>
  <c r="B5905" i="56"/>
  <c r="B5863" i="56"/>
  <c r="B5733" i="56"/>
  <c r="B5143" i="56"/>
  <c r="B5134" i="56"/>
  <c r="B4649" i="56"/>
  <c r="B4636" i="56"/>
  <c r="B6028" i="56"/>
  <c r="B5995" i="56"/>
  <c r="B5986" i="56"/>
  <c r="B5879" i="56"/>
  <c r="B5809" i="56"/>
  <c r="B5723" i="56"/>
  <c r="B5624" i="56"/>
  <c r="B5547" i="56"/>
  <c r="B6091" i="56"/>
  <c r="B6084" i="56"/>
  <c r="B6016" i="56"/>
  <c r="B6012" i="56"/>
  <c r="B5992" i="56"/>
  <c r="B5971" i="56"/>
  <c r="B5958" i="56"/>
  <c r="B5940" i="56"/>
  <c r="B5925" i="56"/>
  <c r="B5918" i="56"/>
  <c r="B5904" i="56"/>
  <c r="B5891" i="56"/>
  <c r="B5866" i="56"/>
  <c r="B5854" i="56"/>
  <c r="B5850" i="56"/>
  <c r="B5816" i="56"/>
  <c r="B5789" i="56"/>
  <c r="B5770" i="56"/>
  <c r="B5767" i="56"/>
  <c r="B5758" i="56"/>
  <c r="B5757" i="56"/>
  <c r="B5754" i="56"/>
  <c r="B5554" i="56"/>
  <c r="B5235" i="56"/>
  <c r="B5160" i="56"/>
  <c r="B4855" i="56"/>
  <c r="B4348" i="56"/>
  <c r="B6040" i="56"/>
  <c r="B6017" i="56"/>
  <c r="B6009" i="56"/>
  <c r="B5993" i="56"/>
  <c r="B5981" i="56"/>
  <c r="B5949" i="56"/>
  <c r="B5946" i="56"/>
  <c r="B5928" i="56"/>
  <c r="B5842" i="56"/>
  <c r="B5832" i="56"/>
  <c r="B5819" i="56"/>
  <c r="B5801" i="56"/>
  <c r="B5799" i="56"/>
  <c r="B5780" i="56"/>
  <c r="B5710" i="56"/>
  <c r="B5709" i="56"/>
  <c r="B5430" i="56"/>
  <c r="B5376" i="56"/>
  <c r="B5373" i="56"/>
  <c r="B5371" i="56"/>
  <c r="B5367" i="56"/>
  <c r="B5364" i="56"/>
  <c r="B5359" i="56"/>
  <c r="B5352" i="56"/>
  <c r="B5347" i="56"/>
  <c r="B5338" i="56"/>
  <c r="B5318" i="56"/>
  <c r="B5315" i="56"/>
  <c r="B5285" i="56"/>
  <c r="B5278" i="56"/>
  <c r="B5268" i="56"/>
  <c r="B5177" i="56"/>
  <c r="B5163" i="56"/>
  <c r="B5141" i="56"/>
  <c r="B5131" i="56"/>
  <c r="B5104" i="56"/>
  <c r="B5101" i="56"/>
  <c r="B5083" i="56"/>
  <c r="B5077" i="56"/>
  <c r="B5068" i="56"/>
  <c r="B5032" i="56"/>
  <c r="B5000" i="56"/>
  <c r="B4982" i="56"/>
  <c r="B4958" i="56"/>
  <c r="B4947" i="56"/>
  <c r="B4941" i="56"/>
  <c r="B4915" i="56"/>
  <c r="B4887" i="56"/>
  <c r="B4843" i="56"/>
  <c r="B4831" i="56"/>
  <c r="B4825" i="56"/>
  <c r="B4813" i="56"/>
  <c r="B4793" i="56"/>
  <c r="B4744" i="56"/>
  <c r="B4733" i="56"/>
  <c r="B4721" i="56"/>
  <c r="B4693" i="56"/>
  <c r="B4692" i="56"/>
  <c r="B4684" i="56"/>
  <c r="B4680" i="56"/>
  <c r="B4673" i="56"/>
  <c r="B4665" i="56"/>
  <c r="B4656" i="56"/>
  <c r="B4647" i="56"/>
  <c r="B4641" i="56"/>
  <c r="B4624" i="56"/>
  <c r="B4541" i="56"/>
  <c r="B4528" i="56"/>
  <c r="B4516" i="56"/>
  <c r="B4489" i="56"/>
  <c r="B4482" i="56"/>
  <c r="B4480" i="56"/>
  <c r="B4363" i="56"/>
  <c r="B4237" i="56"/>
  <c r="B4072" i="56"/>
  <c r="B4060" i="56"/>
  <c r="B3918" i="56"/>
  <c r="B3914" i="56"/>
  <c r="B3911" i="56"/>
  <c r="B3621" i="56"/>
  <c r="B3594" i="56"/>
  <c r="B3422" i="56"/>
  <c r="B3124" i="56"/>
  <c r="B2910" i="56"/>
  <c r="B2886" i="56"/>
  <c r="B2687" i="56"/>
  <c r="B5730" i="56"/>
  <c r="B5678" i="56"/>
  <c r="B5645" i="56"/>
  <c r="B5593" i="56"/>
  <c r="B5572" i="56"/>
  <c r="B5526" i="56"/>
  <c r="B5517" i="56"/>
  <c r="B5294" i="56"/>
  <c r="B5181" i="56"/>
  <c r="B5151" i="56"/>
  <c r="B5148" i="56"/>
  <c r="B5128" i="56"/>
  <c r="B5098" i="56"/>
  <c r="B5012" i="56"/>
  <c r="B4899" i="56"/>
  <c r="B4562" i="56"/>
  <c r="B4408" i="56"/>
  <c r="B4200" i="56"/>
  <c r="B4057" i="56"/>
  <c r="B3798" i="56"/>
  <c r="B3678" i="56"/>
  <c r="B3645" i="56"/>
  <c r="B3241" i="56"/>
  <c r="B5538" i="56"/>
  <c r="B5484" i="56"/>
  <c r="B5453" i="56"/>
  <c r="B5262" i="56"/>
  <c r="B5211" i="56"/>
  <c r="B5036" i="56"/>
  <c r="B4968" i="56"/>
  <c r="B4963" i="56"/>
  <c r="B4956" i="56"/>
  <c r="B4929" i="56"/>
  <c r="B4905" i="56"/>
  <c r="B4903" i="56"/>
  <c r="B4764" i="56"/>
  <c r="B4755" i="56"/>
  <c r="B4751" i="56"/>
  <c r="B4748" i="56"/>
  <c r="B4731" i="56"/>
  <c r="B4727" i="56"/>
  <c r="B4724" i="56"/>
  <c r="B4699" i="56"/>
  <c r="B4627" i="56"/>
  <c r="B4556" i="56"/>
  <c r="B4519" i="56"/>
  <c r="B4473" i="56"/>
  <c r="B4369" i="56"/>
  <c r="B4326" i="56"/>
  <c r="B4070" i="56"/>
  <c r="B3963" i="56"/>
  <c r="B3801" i="56"/>
  <c r="B3461" i="56"/>
  <c r="B3244" i="56"/>
  <c r="B3105" i="56"/>
  <c r="B2950" i="56"/>
  <c r="B5698" i="56"/>
  <c r="B5652" i="56"/>
  <c r="B5570" i="56"/>
  <c r="B5555" i="56"/>
  <c r="B5433" i="56"/>
  <c r="B5409" i="56"/>
  <c r="B5350" i="56"/>
  <c r="B5279" i="56"/>
  <c r="B5254" i="56"/>
  <c r="B5229" i="56"/>
  <c r="B5220" i="56"/>
  <c r="B5161" i="56"/>
  <c r="B5158" i="56"/>
  <c r="B5108" i="56"/>
  <c r="B5105" i="56"/>
  <c r="B5099" i="56"/>
  <c r="B5050" i="56"/>
  <c r="B5045" i="56"/>
  <c r="B4998" i="56"/>
  <c r="B4985" i="56"/>
  <c r="B4974" i="56"/>
  <c r="B4674" i="56"/>
  <c r="B4578" i="56"/>
  <c r="B4532" i="56"/>
  <c r="B4525" i="56"/>
  <c r="B4457" i="56"/>
  <c r="B4415" i="56"/>
  <c r="B4364" i="56"/>
  <c r="B3831" i="56"/>
  <c r="B5781" i="56"/>
  <c r="B5765" i="56"/>
  <c r="B5761" i="56"/>
  <c r="B5692" i="56"/>
  <c r="B5687" i="56"/>
  <c r="B5679" i="56"/>
  <c r="B5661" i="56"/>
  <c r="B5655" i="56"/>
  <c r="B5643" i="56"/>
  <c r="B5637" i="56"/>
  <c r="B5625" i="56"/>
  <c r="B5561" i="56"/>
  <c r="B5548" i="56"/>
  <c r="B5493" i="56"/>
  <c r="B5475" i="56"/>
  <c r="B5469" i="56"/>
  <c r="B5457" i="56"/>
  <c r="B5419" i="56"/>
  <c r="B5374" i="56"/>
  <c r="B5365" i="56"/>
  <c r="B5362" i="56"/>
  <c r="B5356" i="56"/>
  <c r="B5329" i="56"/>
  <c r="B5319" i="56"/>
  <c r="B5273" i="56"/>
  <c r="B5209" i="56"/>
  <c r="B5196" i="56"/>
  <c r="B5069" i="56"/>
  <c r="B5023" i="56"/>
  <c r="B4885" i="56"/>
  <c r="B4848" i="56"/>
  <c r="B4829" i="56"/>
  <c r="B4782" i="56"/>
  <c r="B4745" i="56"/>
  <c r="B4722" i="56"/>
  <c r="B4709" i="56"/>
  <c r="B4696" i="56"/>
  <c r="B4661" i="56"/>
  <c r="B4650" i="56"/>
  <c r="B4625" i="56"/>
  <c r="B4601" i="56"/>
  <c r="B4575" i="56"/>
  <c r="B4560" i="56"/>
  <c r="B4499" i="56"/>
  <c r="B4490" i="56"/>
  <c r="B4484" i="56"/>
  <c r="B4461" i="56"/>
  <c r="B4447" i="56"/>
  <c r="B4442" i="56"/>
  <c r="B4400" i="56"/>
  <c r="B4301" i="56"/>
  <c r="B4262" i="56"/>
  <c r="B4139" i="56"/>
  <c r="B3999" i="56"/>
  <c r="B3453" i="56"/>
  <c r="B3444" i="56"/>
  <c r="B3185" i="56"/>
  <c r="B3178" i="56"/>
  <c r="B2953" i="56"/>
  <c r="B5616" i="56"/>
  <c r="B5466" i="56"/>
  <c r="B5461" i="56"/>
  <c r="B5336" i="56"/>
  <c r="B5298" i="56"/>
  <c r="B5139" i="56"/>
  <c r="B5102" i="56"/>
  <c r="B4988" i="56"/>
  <c r="B4738" i="56"/>
  <c r="B4654" i="56"/>
  <c r="B4545" i="56"/>
  <c r="B4539" i="56"/>
  <c r="B4536" i="56"/>
  <c r="B4517" i="56"/>
  <c r="B4505" i="56"/>
  <c r="B4488" i="56"/>
  <c r="B4464" i="56"/>
  <c r="B4433" i="56"/>
  <c r="B4370" i="56"/>
  <c r="B4367" i="56"/>
  <c r="B4345" i="56"/>
  <c r="B4333" i="56"/>
  <c r="B4308" i="56"/>
  <c r="B3985" i="56"/>
  <c r="B3982" i="56"/>
  <c r="B3838" i="56"/>
  <c r="B3286" i="56"/>
  <c r="B3140" i="56"/>
  <c r="B2928" i="56"/>
  <c r="B5790" i="56"/>
  <c r="B5782" i="56"/>
  <c r="B5779" i="56"/>
  <c r="B5778" i="56"/>
  <c r="B5775" i="56"/>
  <c r="B5772" i="56"/>
  <c r="B5699" i="56"/>
  <c r="B5690" i="56"/>
  <c r="B5665" i="56"/>
  <c r="B5635" i="56"/>
  <c r="B5619" i="56"/>
  <c r="B5613" i="56"/>
  <c r="B5603" i="56"/>
  <c r="B5600" i="56"/>
  <c r="B5559" i="56"/>
  <c r="B5499" i="56"/>
  <c r="B5491" i="56"/>
  <c r="B5482" i="56"/>
  <c r="B5470" i="56"/>
  <c r="B5454" i="56"/>
  <c r="B5387" i="56"/>
  <c r="B5357" i="56"/>
  <c r="B5353" i="56"/>
  <c r="B5345" i="56"/>
  <c r="B5289" i="56"/>
  <c r="B5212" i="56"/>
  <c r="B5185" i="56"/>
  <c r="B5171" i="56"/>
  <c r="B5168" i="56"/>
  <c r="B5120" i="56"/>
  <c r="B5111" i="56"/>
  <c r="B5017" i="56"/>
  <c r="B4946" i="56"/>
  <c r="B4876" i="56"/>
  <c r="B4863" i="56"/>
  <c r="B4851" i="56"/>
  <c r="B4849" i="56"/>
  <c r="B4794" i="56"/>
  <c r="B4762" i="56"/>
  <c r="B4760" i="56"/>
  <c r="B4713" i="56"/>
  <c r="B4703" i="56"/>
  <c r="B4675" i="56"/>
  <c r="B4605" i="56"/>
  <c r="B4588" i="56"/>
  <c r="B4582" i="56"/>
  <c r="B4566" i="56"/>
  <c r="B4561" i="56"/>
  <c r="B4533" i="56"/>
  <c r="B4520" i="56"/>
  <c r="B4474" i="56"/>
  <c r="B4468" i="56"/>
  <c r="B4451" i="56"/>
  <c r="B4422" i="56"/>
  <c r="B4391" i="56"/>
  <c r="B4271" i="56"/>
  <c r="B4133" i="56"/>
  <c r="B3743" i="56"/>
  <c r="B3737" i="56"/>
  <c r="B3722" i="56"/>
  <c r="B3385" i="56"/>
  <c r="B3290" i="56"/>
  <c r="B3191" i="56"/>
  <c r="B3188" i="56"/>
  <c r="B3167" i="56"/>
  <c r="B3153" i="56"/>
  <c r="B5683" i="56"/>
  <c r="B5672" i="56"/>
  <c r="B5617" i="56"/>
  <c r="B5287" i="56"/>
  <c r="B5261" i="56"/>
  <c r="B5249" i="56"/>
  <c r="B5055" i="56"/>
  <c r="B5035" i="56"/>
  <c r="B5028" i="56"/>
  <c r="B5005" i="56"/>
  <c r="B4898" i="56"/>
  <c r="B4882" i="56"/>
  <c r="B4836" i="56"/>
  <c r="B4814" i="56"/>
  <c r="B4784" i="56"/>
  <c r="B4775" i="56"/>
  <c r="B4759" i="56"/>
  <c r="B4756" i="56"/>
  <c r="B4747" i="56"/>
  <c r="B4716" i="56"/>
  <c r="B4700" i="56"/>
  <c r="B4664" i="56"/>
  <c r="B4651" i="56"/>
  <c r="B4618" i="56"/>
  <c r="B4615" i="56"/>
  <c r="B4596" i="56"/>
  <c r="B4511" i="56"/>
  <c r="B4502" i="56"/>
  <c r="B4445" i="56"/>
  <c r="B4386" i="56"/>
  <c r="B4374" i="56"/>
  <c r="B4322" i="56"/>
  <c r="B4289" i="56"/>
  <c r="B4286" i="56"/>
  <c r="B5669" i="56"/>
  <c r="B5568" i="56"/>
  <c r="B5565" i="56"/>
  <c r="B5553" i="56"/>
  <c r="B5516" i="56"/>
  <c r="B5505" i="56"/>
  <c r="B5503" i="56"/>
  <c r="B5502" i="56"/>
  <c r="B5429" i="56"/>
  <c r="B5384" i="56"/>
  <c r="B5381" i="56"/>
  <c r="B5324" i="56"/>
  <c r="B5207" i="56"/>
  <c r="B5071" i="56"/>
  <c r="B4936" i="56"/>
  <c r="B4917" i="56"/>
  <c r="B4909" i="56"/>
  <c r="B4895" i="56"/>
  <c r="B4879" i="56"/>
  <c r="B4857" i="56"/>
  <c r="B4792" i="56"/>
  <c r="B4783" i="56"/>
  <c r="B4772" i="56"/>
  <c r="B4740" i="56"/>
  <c r="B4717" i="56"/>
  <c r="B4679" i="56"/>
  <c r="B4658" i="56"/>
  <c r="B4646" i="56"/>
  <c r="B4635" i="56"/>
  <c r="B4632" i="56"/>
  <c r="B4589" i="56"/>
  <c r="B4521" i="56"/>
  <c r="B4150" i="56"/>
  <c r="B4140" i="56"/>
  <c r="B4050" i="56"/>
  <c r="B3531" i="56"/>
  <c r="B3526" i="56"/>
  <c r="B3299" i="56"/>
  <c r="B3045" i="56"/>
  <c r="B4504" i="56"/>
  <c r="B4423" i="56"/>
  <c r="B4420" i="56"/>
  <c r="B4365" i="56"/>
  <c r="B4316" i="56"/>
  <c r="B4299" i="56"/>
  <c r="B4295" i="56"/>
  <c r="B4292" i="56"/>
  <c r="B4280" i="56"/>
  <c r="B4241" i="56"/>
  <c r="B4114" i="56"/>
  <c r="B4093" i="56"/>
  <c r="B4085" i="56"/>
  <c r="B4075" i="56"/>
  <c r="B3967" i="56"/>
  <c r="B3841" i="56"/>
  <c r="B3714" i="56"/>
  <c r="B3651" i="56"/>
  <c r="B3615" i="56"/>
  <c r="B3582" i="56"/>
  <c r="B3260" i="56"/>
  <c r="B3143" i="56"/>
  <c r="B3137" i="56"/>
  <c r="B3101" i="56"/>
  <c r="B3058" i="56"/>
  <c r="B2962" i="56"/>
  <c r="B2913" i="56"/>
  <c r="B2880" i="56"/>
  <c r="B2862" i="56"/>
  <c r="B2843" i="56"/>
  <c r="B2533" i="56"/>
  <c r="B2526" i="56"/>
  <c r="B1641" i="56"/>
  <c r="B1625" i="56"/>
  <c r="B1622" i="56"/>
  <c r="B4256" i="56"/>
  <c r="B4250" i="56"/>
  <c r="B4222" i="56"/>
  <c r="B4176" i="56"/>
  <c r="B4173" i="56"/>
  <c r="B4153" i="56"/>
  <c r="B4126" i="56"/>
  <c r="B4099" i="56"/>
  <c r="B4096" i="56"/>
  <c r="B4041" i="56"/>
  <c r="B4021" i="56"/>
  <c r="B3950" i="56"/>
  <c r="B3895" i="56"/>
  <c r="B3869" i="56"/>
  <c r="B3857" i="56"/>
  <c r="B3832" i="56"/>
  <c r="B3829" i="56"/>
  <c r="B3823" i="56"/>
  <c r="B3813" i="56"/>
  <c r="B3781" i="56"/>
  <c r="B3747" i="56"/>
  <c r="B3734" i="56"/>
  <c r="B3705" i="56"/>
  <c r="B3702" i="56"/>
  <c r="B3699" i="56"/>
  <c r="B3661" i="56"/>
  <c r="B3631" i="56"/>
  <c r="B3624" i="56"/>
  <c r="B3541" i="56"/>
  <c r="B3532" i="56"/>
  <c r="B3502" i="56"/>
  <c r="B3496" i="56"/>
  <c r="B3472" i="56"/>
  <c r="B3360" i="56"/>
  <c r="B3353" i="56"/>
  <c r="B3350" i="56"/>
  <c r="B3344" i="56"/>
  <c r="B3315" i="56"/>
  <c r="B3308" i="56"/>
  <c r="B3277" i="56"/>
  <c r="B3232" i="56"/>
  <c r="B3229" i="56"/>
  <c r="B3222" i="56"/>
  <c r="B3205" i="56"/>
  <c r="B3182" i="56"/>
  <c r="B3170" i="56"/>
  <c r="B3160" i="56"/>
  <c r="B3157" i="56"/>
  <c r="B3134" i="56"/>
  <c r="B3034" i="56"/>
  <c r="B3014" i="56"/>
  <c r="B2984" i="56"/>
  <c r="B2981" i="56"/>
  <c r="B2975" i="56"/>
  <c r="B2942" i="56"/>
  <c r="B2939" i="56"/>
  <c r="B2934" i="56"/>
  <c r="B2925" i="56"/>
  <c r="B2916" i="56"/>
  <c r="B2911" i="56"/>
  <c r="B2908" i="56"/>
  <c r="B2905" i="56"/>
  <c r="B2899" i="56"/>
  <c r="B2893" i="56"/>
  <c r="B2846" i="56"/>
  <c r="B2612" i="56"/>
  <c r="B2609" i="56"/>
  <c r="B2499" i="56"/>
  <c r="B2261" i="56"/>
  <c r="B4300" i="56"/>
  <c r="B4278" i="56"/>
  <c r="B4191" i="56"/>
  <c r="B4182" i="56"/>
  <c r="B4144" i="56"/>
  <c r="B4120" i="56"/>
  <c r="B4012" i="56"/>
  <c r="B4000" i="56"/>
  <c r="B3976" i="56"/>
  <c r="B3947" i="56"/>
  <c r="B3905" i="56"/>
  <c r="B3820" i="56"/>
  <c r="B3670" i="56"/>
  <c r="B3607" i="56"/>
  <c r="B3559" i="56"/>
  <c r="B3491" i="56"/>
  <c r="B3274" i="56"/>
  <c r="B3195" i="56"/>
  <c r="B3179" i="56"/>
  <c r="B3176" i="56"/>
  <c r="B2750" i="56"/>
  <c r="B2730" i="56"/>
  <c r="B1921" i="56"/>
  <c r="B1802" i="56"/>
  <c r="B1665" i="56"/>
  <c r="B4319" i="56"/>
  <c r="B4310" i="56"/>
  <c r="B4296" i="56"/>
  <c r="B4287" i="56"/>
  <c r="B4272" i="56"/>
  <c r="B4238" i="56"/>
  <c r="B4219" i="56"/>
  <c r="B4137" i="56"/>
  <c r="B4130" i="56"/>
  <c r="B4123" i="56"/>
  <c r="B4103" i="56"/>
  <c r="B4086" i="56"/>
  <c r="B3954" i="56"/>
  <c r="B3912" i="56"/>
  <c r="B3870" i="56"/>
  <c r="B3860" i="56"/>
  <c r="B3851" i="56"/>
  <c r="B3848" i="56"/>
  <c r="B3830" i="56"/>
  <c r="B3802" i="56"/>
  <c r="B3793" i="56"/>
  <c r="B3741" i="56"/>
  <c r="B3738" i="56"/>
  <c r="B3725" i="56"/>
  <c r="B3685" i="56"/>
  <c r="B3673" i="56"/>
  <c r="B3622" i="56"/>
  <c r="B3601" i="56"/>
  <c r="B3595" i="56"/>
  <c r="B3589" i="56"/>
  <c r="B3571" i="56"/>
  <c r="B3565" i="56"/>
  <c r="B3556" i="56"/>
  <c r="B3547" i="56"/>
  <c r="B3527" i="56"/>
  <c r="B3515" i="56"/>
  <c r="B3457" i="56"/>
  <c r="B3454" i="56"/>
  <c r="B3303" i="56"/>
  <c r="B3280" i="56"/>
  <c r="B3059" i="56"/>
  <c r="B3028" i="56"/>
  <c r="B3018" i="56"/>
  <c r="B2999" i="56"/>
  <c r="B2996" i="56"/>
  <c r="B1446" i="56"/>
  <c r="B4263" i="56"/>
  <c r="B4251" i="56"/>
  <c r="B4226" i="56"/>
  <c r="B4179" i="56"/>
  <c r="B4141" i="56"/>
  <c r="B3997" i="56"/>
  <c r="B3986" i="56"/>
  <c r="B3961" i="56"/>
  <c r="B3934" i="56"/>
  <c r="B3817" i="56"/>
  <c r="B3757" i="56"/>
  <c r="B3717" i="56"/>
  <c r="B3649" i="56"/>
  <c r="B3580" i="56"/>
  <c r="B3412" i="56"/>
  <c r="B3396" i="56"/>
  <c r="B3374" i="56"/>
  <c r="B3370" i="56"/>
  <c r="B3354" i="56"/>
  <c r="B3339" i="56"/>
  <c r="B3291" i="56"/>
  <c r="B3275" i="56"/>
  <c r="B3261" i="56"/>
  <c r="B3255" i="56"/>
  <c r="B3236" i="56"/>
  <c r="B3082" i="56"/>
  <c r="B3062" i="56"/>
  <c r="B3053" i="56"/>
  <c r="B3046" i="56"/>
  <c r="B3035" i="56"/>
  <c r="B3025" i="56"/>
  <c r="B2963" i="56"/>
  <c r="B2960" i="56"/>
  <c r="B2951" i="56"/>
  <c r="B2770" i="56"/>
  <c r="B2748" i="56"/>
  <c r="B2014" i="56"/>
  <c r="B1934" i="56"/>
  <c r="B4430" i="56"/>
  <c r="B4387" i="56"/>
  <c r="B4360" i="56"/>
  <c r="B4341" i="56"/>
  <c r="B4314" i="56"/>
  <c r="B4266" i="56"/>
  <c r="B4223" i="56"/>
  <c r="B4216" i="56"/>
  <c r="B4185" i="56"/>
  <c r="B4171" i="56"/>
  <c r="B4154" i="56"/>
  <c r="B4127" i="56"/>
  <c r="B4112" i="56"/>
  <c r="B4107" i="56"/>
  <c r="B4094" i="56"/>
  <c r="B4091" i="56"/>
  <c r="B4076" i="56"/>
  <c r="B4071" i="56"/>
  <c r="B4062" i="56"/>
  <c r="B4055" i="56"/>
  <c r="B4045" i="56"/>
  <c r="B4039" i="56"/>
  <c r="B4022" i="56"/>
  <c r="B4007" i="56"/>
  <c r="B3957" i="56"/>
  <c r="B3951" i="56"/>
  <c r="B3944" i="56"/>
  <c r="B3896" i="56"/>
  <c r="B3880" i="56"/>
  <c r="B3867" i="56"/>
  <c r="B3855" i="56"/>
  <c r="B3852" i="56"/>
  <c r="B3833" i="56"/>
  <c r="B3785" i="56"/>
  <c r="B3723" i="56"/>
  <c r="B3715" i="56"/>
  <c r="B3703" i="56"/>
  <c r="B3688" i="56"/>
  <c r="B3482" i="56"/>
  <c r="B3442" i="56"/>
  <c r="B3426" i="56"/>
  <c r="B3342" i="56"/>
  <c r="B3330" i="56"/>
  <c r="B3278" i="56"/>
  <c r="B2991" i="56"/>
  <c r="B2976" i="56"/>
  <c r="B2937" i="56"/>
  <c r="B2903" i="56"/>
  <c r="B2900" i="56"/>
  <c r="B2890" i="56"/>
  <c r="B2798" i="56"/>
  <c r="B2384" i="56"/>
  <c r="B2381" i="56"/>
  <c r="B4261" i="56"/>
  <c r="B4217" i="56"/>
  <c r="B4008" i="56"/>
  <c r="B3894" i="56"/>
  <c r="B3828" i="56"/>
  <c r="B3780" i="56"/>
  <c r="B3733" i="56"/>
  <c r="B3416" i="56"/>
  <c r="B3403" i="56"/>
  <c r="B3361" i="56"/>
  <c r="B3309" i="56"/>
  <c r="B3294" i="56"/>
  <c r="B3177" i="56"/>
  <c r="B3175" i="56"/>
  <c r="B3148" i="56"/>
  <c r="B3110" i="56"/>
  <c r="B3057" i="56"/>
  <c r="B2994" i="56"/>
  <c r="B2790" i="56"/>
  <c r="B2765" i="56"/>
  <c r="B4227" i="56"/>
  <c r="B4198" i="56"/>
  <c r="B4142" i="56"/>
  <c r="B4122" i="56"/>
  <c r="B4059" i="56"/>
  <c r="B4049" i="56"/>
  <c r="B4004" i="56"/>
  <c r="B4001" i="56"/>
  <c r="B3998" i="56"/>
  <c r="B3987" i="56"/>
  <c r="B3978" i="56"/>
  <c r="B3972" i="56"/>
  <c r="B3968" i="56"/>
  <c r="B3962" i="56"/>
  <c r="B3955" i="56"/>
  <c r="B3846" i="56"/>
  <c r="B3806" i="56"/>
  <c r="B3726" i="56"/>
  <c r="B3492" i="56"/>
  <c r="B3463" i="56"/>
  <c r="B3446" i="56"/>
  <c r="B3433" i="56"/>
  <c r="B3406" i="56"/>
  <c r="B3372" i="56"/>
  <c r="B3358" i="56"/>
  <c r="B3333" i="56"/>
  <c r="B3130" i="56"/>
  <c r="B3100" i="56"/>
  <c r="B3097" i="56"/>
  <c r="B3060" i="56"/>
  <c r="B2997" i="56"/>
  <c r="B2855" i="56"/>
  <c r="B2793" i="56"/>
  <c r="B2786" i="56"/>
  <c r="B2598" i="56"/>
  <c r="B5694" i="56"/>
  <c r="B5673" i="56"/>
  <c r="B5664" i="56"/>
  <c r="B5639" i="56"/>
  <c r="B5633" i="56"/>
  <c r="B5610" i="56"/>
  <c r="B5602" i="56"/>
  <c r="B5599" i="56"/>
  <c r="B5598" i="56"/>
  <c r="B5595" i="56"/>
  <c r="B5589" i="56"/>
  <c r="B5566" i="56"/>
  <c r="B5542" i="56"/>
  <c r="B5535" i="56"/>
  <c r="B5533" i="56"/>
  <c r="B5529" i="56"/>
  <c r="B5520" i="56"/>
  <c r="B5515" i="56"/>
  <c r="B5514" i="56"/>
  <c r="B5509" i="56"/>
  <c r="B5506" i="56"/>
  <c r="B5500" i="56"/>
  <c r="B5420" i="56"/>
  <c r="B5403" i="56"/>
  <c r="B5400" i="56"/>
  <c r="B5397" i="56"/>
  <c r="B5349" i="56"/>
  <c r="B5297" i="56"/>
  <c r="B5210" i="56"/>
  <c r="B5200" i="56"/>
  <c r="B5165" i="56"/>
  <c r="B5157" i="56"/>
  <c r="B5117" i="56"/>
  <c r="B5087" i="56"/>
  <c r="B5057" i="56"/>
  <c r="B5048" i="56"/>
  <c r="B5042" i="56"/>
  <c r="B5013" i="56"/>
  <c r="B5001" i="56"/>
  <c r="B4977" i="56"/>
  <c r="B4975" i="56"/>
  <c r="B4894" i="56"/>
  <c r="B4888" i="56"/>
  <c r="B4875" i="56"/>
  <c r="B4850" i="56"/>
  <c r="B4847" i="56"/>
  <c r="B4840" i="56"/>
  <c r="B4807" i="56"/>
  <c r="B4796" i="56"/>
  <c r="B4781" i="56"/>
  <c r="B4771" i="56"/>
  <c r="B4770" i="56"/>
  <c r="B4737" i="56"/>
  <c r="B4681" i="56"/>
  <c r="B4657" i="56"/>
  <c r="B4634" i="56"/>
  <c r="B4590" i="56"/>
  <c r="B4574" i="56"/>
  <c r="B4512" i="56"/>
  <c r="B4508" i="56"/>
  <c r="B4500" i="56"/>
  <c r="B4472" i="56"/>
  <c r="B4463" i="56"/>
  <c r="B4452" i="56"/>
  <c r="B4428" i="56"/>
  <c r="B4416" i="56"/>
  <c r="B4409" i="56"/>
  <c r="B4342" i="56"/>
  <c r="B4323" i="56"/>
  <c r="B4315" i="56"/>
  <c r="B4298" i="56"/>
  <c r="B4282" i="56"/>
  <c r="B4255" i="56"/>
  <c r="B4234" i="56"/>
  <c r="B4186" i="56"/>
  <c r="B4169" i="56"/>
  <c r="B4162" i="56"/>
  <c r="B4149" i="56"/>
  <c r="B4116" i="56"/>
  <c r="B4092" i="56"/>
  <c r="B4078" i="56"/>
  <c r="B4063" i="56"/>
  <c r="B4037" i="56"/>
  <c r="B4034" i="56"/>
  <c r="B3959" i="56"/>
  <c r="B3942" i="56"/>
  <c r="B3913" i="56"/>
  <c r="B3843" i="56"/>
  <c r="B3840" i="56"/>
  <c r="B3809" i="56"/>
  <c r="B3797" i="56"/>
  <c r="B3794" i="56"/>
  <c r="B3773" i="56"/>
  <c r="B3749" i="56"/>
  <c r="B3736" i="56"/>
  <c r="B3710" i="56"/>
  <c r="B3644" i="56"/>
  <c r="B3620" i="56"/>
  <c r="B3602" i="56"/>
  <c r="B3596" i="56"/>
  <c r="B3590" i="56"/>
  <c r="B3581" i="56"/>
  <c r="B3570" i="56"/>
  <c r="B3508" i="56"/>
  <c r="B3498" i="56"/>
  <c r="B3483" i="56"/>
  <c r="B3468" i="56"/>
  <c r="B3449" i="56"/>
  <c r="B3443" i="56"/>
  <c r="B3424" i="56"/>
  <c r="B3410" i="56"/>
  <c r="B3387" i="56"/>
  <c r="B3378" i="56"/>
  <c r="B3337" i="56"/>
  <c r="B3301" i="56"/>
  <c r="B3263" i="56"/>
  <c r="B3190" i="56"/>
  <c r="B3169" i="56"/>
  <c r="B3149" i="56"/>
  <c r="B3136" i="56"/>
  <c r="B3127" i="56"/>
  <c r="B3113" i="56"/>
  <c r="B3047" i="56"/>
  <c r="B3029" i="56"/>
  <c r="B3026" i="56"/>
  <c r="B3023" i="56"/>
  <c r="B3016" i="56"/>
  <c r="B2833" i="56"/>
  <c r="B2823" i="56"/>
  <c r="B2714" i="56"/>
  <c r="B2660" i="56"/>
  <c r="B2623" i="56"/>
  <c r="B2071" i="56"/>
  <c r="B2964" i="56"/>
  <c r="B2958" i="56"/>
  <c r="B2943" i="56"/>
  <c r="B2935" i="56"/>
  <c r="B2929" i="56"/>
  <c r="B2909" i="56"/>
  <c r="B2906" i="56"/>
  <c r="B2881" i="56"/>
  <c r="B2866" i="56"/>
  <c r="B2768" i="56"/>
  <c r="B2725" i="56"/>
  <c r="B2721" i="56"/>
  <c r="B2631" i="56"/>
  <c r="B2584" i="56"/>
  <c r="B2563" i="56"/>
  <c r="B2554" i="56"/>
  <c r="B2528" i="56"/>
  <c r="B2525" i="56"/>
  <c r="B2506" i="56"/>
  <c r="B2479" i="56"/>
  <c r="B2469" i="56"/>
  <c r="B2463" i="56"/>
  <c r="B2454" i="56"/>
  <c r="B2436" i="56"/>
  <c r="B2430" i="56"/>
  <c r="B2419" i="56"/>
  <c r="B2403" i="56"/>
  <c r="B2368" i="56"/>
  <c r="B2347" i="56"/>
  <c r="B2334" i="56"/>
  <c r="B2326" i="56"/>
  <c r="B2315" i="56"/>
  <c r="B2297" i="56"/>
  <c r="B2275" i="56"/>
  <c r="B2267" i="56"/>
  <c r="B2206" i="56"/>
  <c r="B2155" i="56"/>
  <c r="B2139" i="56"/>
  <c r="B2133" i="56"/>
  <c r="B2102" i="56"/>
  <c r="B2093" i="56"/>
  <c r="B2027" i="56"/>
  <c r="B1963" i="56"/>
  <c r="B1956" i="56"/>
  <c r="B1949" i="56"/>
  <c r="B1915" i="56"/>
  <c r="B1899" i="56"/>
  <c r="B1846" i="56"/>
  <c r="B1840" i="56"/>
  <c r="B1696" i="56"/>
  <c r="B1654" i="56"/>
  <c r="B1494" i="56"/>
  <c r="B1473" i="56"/>
  <c r="B1385" i="56"/>
  <c r="B1325" i="56"/>
  <c r="B3677" i="56"/>
  <c r="B3668" i="56"/>
  <c r="B3632" i="56"/>
  <c r="B3577" i="56"/>
  <c r="B3569" i="56"/>
  <c r="B3533" i="56"/>
  <c r="B3521" i="56"/>
  <c r="B3518" i="56"/>
  <c r="B3488" i="56"/>
  <c r="B3469" i="56"/>
  <c r="B3465" i="56"/>
  <c r="B3462" i="56"/>
  <c r="B3411" i="56"/>
  <c r="B3401" i="56"/>
  <c r="B3394" i="56"/>
  <c r="B3366" i="56"/>
  <c r="B3331" i="56"/>
  <c r="B3317" i="56"/>
  <c r="B3314" i="56"/>
  <c r="B3310" i="56"/>
  <c r="B3307" i="56"/>
  <c r="B3297" i="56"/>
  <c r="B3276" i="56"/>
  <c r="B3212" i="56"/>
  <c r="B3189" i="56"/>
  <c r="B3171" i="56"/>
  <c r="B3158" i="56"/>
  <c r="B3129" i="56"/>
  <c r="B3115" i="56"/>
  <c r="B3109" i="56"/>
  <c r="B3106" i="56"/>
  <c r="B3087" i="56"/>
  <c r="B3067" i="56"/>
  <c r="B3052" i="56"/>
  <c r="B3039" i="56"/>
  <c r="B3030" i="56"/>
  <c r="B3024" i="56"/>
  <c r="B3013" i="56"/>
  <c r="B2995" i="56"/>
  <c r="B2989" i="56"/>
  <c r="B2980" i="56"/>
  <c r="B2869" i="56"/>
  <c r="B2832" i="56"/>
  <c r="B2800" i="56"/>
  <c r="B2738" i="56"/>
  <c r="B2594" i="56"/>
  <c r="B2570" i="56"/>
  <c r="B2551" i="56"/>
  <c r="B2548" i="56"/>
  <c r="B2518" i="56"/>
  <c r="B2476" i="56"/>
  <c r="B2416" i="56"/>
  <c r="B2413" i="56"/>
  <c r="B2379" i="56"/>
  <c r="B2371" i="56"/>
  <c r="B2356" i="56"/>
  <c r="B2341" i="56"/>
  <c r="B2255" i="56"/>
  <c r="B2164" i="56"/>
  <c r="B2152" i="56"/>
  <c r="B2090" i="56"/>
  <c r="B2042" i="56"/>
  <c r="B2008" i="56"/>
  <c r="B1991" i="56"/>
  <c r="B1989" i="56"/>
  <c r="B1960" i="56"/>
  <c r="B1938" i="56"/>
  <c r="B1912" i="56"/>
  <c r="B1875" i="56"/>
  <c r="B1866" i="56"/>
  <c r="B1855" i="56"/>
  <c r="B1657" i="56"/>
  <c r="B1538" i="56"/>
  <c r="B1529" i="56"/>
  <c r="B1438" i="56"/>
  <c r="B1396" i="56"/>
  <c r="B1337" i="56"/>
  <c r="B1317" i="56"/>
  <c r="B3708" i="56"/>
  <c r="B3683" i="56"/>
  <c r="B3674" i="56"/>
  <c r="B3641" i="56"/>
  <c r="B3638" i="56"/>
  <c r="B3608" i="56"/>
  <c r="B3560" i="56"/>
  <c r="B3551" i="56"/>
  <c r="B3542" i="56"/>
  <c r="B3530" i="56"/>
  <c r="B3494" i="56"/>
  <c r="B3485" i="56"/>
  <c r="B3451" i="56"/>
  <c r="B3441" i="56"/>
  <c r="B3404" i="56"/>
  <c r="B3391" i="56"/>
  <c r="B3379" i="56"/>
  <c r="B3334" i="56"/>
  <c r="B3292" i="56"/>
  <c r="B3272" i="56"/>
  <c r="B3269" i="56"/>
  <c r="B3249" i="56"/>
  <c r="B3206" i="56"/>
  <c r="B3199" i="56"/>
  <c r="B3168" i="56"/>
  <c r="B3147" i="56"/>
  <c r="B3118" i="56"/>
  <c r="B3107" i="56"/>
  <c r="B3081" i="56"/>
  <c r="B3001" i="56"/>
  <c r="B2998" i="56"/>
  <c r="B2992" i="56"/>
  <c r="B2885" i="56"/>
  <c r="B2879" i="56"/>
  <c r="B2876" i="56"/>
  <c r="B2873" i="56"/>
  <c r="B2857" i="56"/>
  <c r="B2851" i="56"/>
  <c r="B2848" i="56"/>
  <c r="B2816" i="56"/>
  <c r="B2791" i="56"/>
  <c r="B2763" i="56"/>
  <c r="B2754" i="56"/>
  <c r="B2741" i="56"/>
  <c r="B2719" i="56"/>
  <c r="B2706" i="56"/>
  <c r="B2697" i="56"/>
  <c r="B2691" i="56"/>
  <c r="B2679" i="56"/>
  <c r="B2675" i="56"/>
  <c r="B2663" i="56"/>
  <c r="B2637" i="56"/>
  <c r="B2625" i="56"/>
  <c r="B2597" i="56"/>
  <c r="B2578" i="56"/>
  <c r="B2501" i="56"/>
  <c r="B2482" i="56"/>
  <c r="B2467" i="56"/>
  <c r="B2425" i="56"/>
  <c r="B2410" i="56"/>
  <c r="B2394" i="56"/>
  <c r="B2374" i="56"/>
  <c r="B2350" i="56"/>
  <c r="B2331" i="56"/>
  <c r="B2329" i="56"/>
  <c r="B2321" i="56"/>
  <c r="B2236" i="56"/>
  <c r="B2097" i="56"/>
  <c r="B2054" i="56"/>
  <c r="B2033" i="56"/>
  <c r="B2031" i="56"/>
  <c r="B2021" i="56"/>
  <c r="B2002" i="56"/>
  <c r="B1999" i="56"/>
  <c r="B1982" i="56"/>
  <c r="B1953" i="56"/>
  <c r="B1944" i="56"/>
  <c r="B1941" i="56"/>
  <c r="B1897" i="56"/>
  <c r="B1863" i="56"/>
  <c r="B1812" i="56"/>
  <c r="B1731" i="56"/>
  <c r="B1702" i="56"/>
  <c r="B1678" i="56"/>
  <c r="B1672" i="56"/>
  <c r="B1663" i="56"/>
  <c r="B1568" i="56"/>
  <c r="B1556" i="56"/>
  <c r="B1530" i="56"/>
  <c r="B1518" i="56"/>
  <c r="B1509" i="56"/>
  <c r="B1503" i="56"/>
  <c r="B1500" i="56"/>
  <c r="B1343" i="56"/>
  <c r="B1051" i="56"/>
  <c r="B2549" i="56"/>
  <c r="B2245" i="56"/>
  <c r="B1841" i="56"/>
  <c r="B1590" i="56"/>
  <c r="B1554" i="56"/>
  <c r="B1533" i="56"/>
  <c r="B1465" i="56"/>
  <c r="B2513" i="56"/>
  <c r="B2455" i="56"/>
  <c r="B2417" i="56"/>
  <c r="B2377" i="56"/>
  <c r="B2159" i="56"/>
  <c r="B2153" i="56"/>
  <c r="B2046" i="56"/>
  <c r="B2040" i="56"/>
  <c r="B1926" i="56"/>
  <c r="B1771" i="56"/>
  <c r="B1694" i="56"/>
  <c r="B1658" i="56"/>
  <c r="B1636" i="56"/>
  <c r="B1582" i="56"/>
  <c r="B1563" i="56"/>
  <c r="B1557" i="56"/>
  <c r="B633" i="56"/>
  <c r="B620" i="56"/>
  <c r="B2795" i="56"/>
  <c r="B2792" i="56"/>
  <c r="B2776" i="56"/>
  <c r="B2732" i="56"/>
  <c r="B2729" i="56"/>
  <c r="B2720" i="56"/>
  <c r="B2692" i="56"/>
  <c r="B2683" i="56"/>
  <c r="B2664" i="56"/>
  <c r="B2645" i="56"/>
  <c r="B2635" i="56"/>
  <c r="B2604" i="56"/>
  <c r="B2543" i="56"/>
  <c r="B2468" i="56"/>
  <c r="B2459" i="56"/>
  <c r="B2389" i="56"/>
  <c r="B2332" i="56"/>
  <c r="B2319" i="56"/>
  <c r="B2271" i="56"/>
  <c r="B2034" i="56"/>
  <c r="B2016" i="56"/>
  <c r="B1983" i="56"/>
  <c r="B1977" i="56"/>
  <c r="B1974" i="56"/>
  <c r="B1961" i="56"/>
  <c r="B1958" i="56"/>
  <c r="B1945" i="56"/>
  <c r="B1942" i="56"/>
  <c r="B1933" i="56"/>
  <c r="B1825" i="56"/>
  <c r="B1785" i="56"/>
  <c r="B1729" i="56"/>
  <c r="B1726" i="56"/>
  <c r="B1723" i="56"/>
  <c r="B1716" i="56"/>
  <c r="B1688" i="56"/>
  <c r="B1685" i="56"/>
  <c r="B1679" i="56"/>
  <c r="B1664" i="56"/>
  <c r="B1352" i="56"/>
  <c r="B973" i="56"/>
  <c r="B2733" i="56"/>
  <c r="B2723" i="56"/>
  <c r="B2707" i="56"/>
  <c r="B2704" i="56"/>
  <c r="B2698" i="56"/>
  <c r="B2626" i="56"/>
  <c r="B2579" i="56"/>
  <c r="B2537" i="56"/>
  <c r="B2502" i="56"/>
  <c r="B2486" i="56"/>
  <c r="B2474" i="56"/>
  <c r="B2435" i="56"/>
  <c r="B2432" i="56"/>
  <c r="B2429" i="56"/>
  <c r="B2405" i="56"/>
  <c r="B2325" i="56"/>
  <c r="B2317" i="56"/>
  <c r="B2251" i="56"/>
  <c r="B2248" i="56"/>
  <c r="B2240" i="56"/>
  <c r="B2178" i="56"/>
  <c r="B2151" i="56"/>
  <c r="B2112" i="56"/>
  <c r="B2082" i="56"/>
  <c r="B2073" i="56"/>
  <c r="B2067" i="56"/>
  <c r="B2013" i="56"/>
  <c r="B2003" i="56"/>
  <c r="B2000" i="56"/>
  <c r="B1981" i="56"/>
  <c r="B1964" i="56"/>
  <c r="B1850" i="56"/>
  <c r="B1832" i="56"/>
  <c r="B1811" i="56"/>
  <c r="B1706" i="56"/>
  <c r="B2702" i="56"/>
  <c r="B2659" i="56"/>
  <c r="B2630" i="56"/>
  <c r="B2611" i="56"/>
  <c r="B2605" i="56"/>
  <c r="B2596" i="56"/>
  <c r="B2562" i="56"/>
  <c r="B2553" i="56"/>
  <c r="B2496" i="56"/>
  <c r="B2481" i="56"/>
  <c r="B2390" i="56"/>
  <c r="B2370" i="56"/>
  <c r="B2358" i="56"/>
  <c r="B2339" i="56"/>
  <c r="B2336" i="56"/>
  <c r="B2309" i="56"/>
  <c r="B2277" i="56"/>
  <c r="B2241" i="56"/>
  <c r="B2235" i="56"/>
  <c r="B2202" i="56"/>
  <c r="B2173" i="56"/>
  <c r="B2157" i="56"/>
  <c r="B2126" i="56"/>
  <c r="B2116" i="56"/>
  <c r="B2113" i="56"/>
  <c r="B2104" i="56"/>
  <c r="B2092" i="56"/>
  <c r="B2058" i="56"/>
  <c r="B1923" i="56"/>
  <c r="B1910" i="56"/>
  <c r="B1892" i="56"/>
  <c r="B1889" i="56"/>
  <c r="B1871" i="56"/>
  <c r="B1765" i="56"/>
  <c r="B1736" i="56"/>
  <c r="B1691" i="56"/>
  <c r="B1588" i="56"/>
  <c r="B1580" i="56"/>
  <c r="B1576" i="56"/>
  <c r="B1549" i="56"/>
  <c r="B1540" i="56"/>
  <c r="B1426" i="56"/>
  <c r="B1421" i="56"/>
  <c r="B1415" i="56"/>
  <c r="B1412" i="56"/>
  <c r="B1384" i="56"/>
  <c r="B803" i="56"/>
  <c r="B3086" i="56"/>
  <c r="B3020" i="56"/>
  <c r="B3015" i="56"/>
  <c r="B3012" i="56"/>
  <c r="B2956" i="56"/>
  <c r="B2948" i="56"/>
  <c r="B2931" i="56"/>
  <c r="B2923" i="56"/>
  <c r="B2920" i="56"/>
  <c r="B2917" i="56"/>
  <c r="B2914" i="56"/>
  <c r="B2887" i="56"/>
  <c r="B2875" i="56"/>
  <c r="B2868" i="56"/>
  <c r="B2859" i="56"/>
  <c r="B2856" i="56"/>
  <c r="B2777" i="56"/>
  <c r="B2718" i="56"/>
  <c r="B2711" i="56"/>
  <c r="B2662" i="56"/>
  <c r="B2649" i="56"/>
  <c r="B2633" i="56"/>
  <c r="B2568" i="56"/>
  <c r="B2547" i="56"/>
  <c r="B2531" i="56"/>
  <c r="B2527" i="56"/>
  <c r="B2453" i="56"/>
  <c r="B2447" i="56"/>
  <c r="B2418" i="56"/>
  <c r="B2415" i="56"/>
  <c r="B2393" i="56"/>
  <c r="B2373" i="56"/>
  <c r="B2355" i="56"/>
  <c r="B2312" i="56"/>
  <c r="B2269" i="56"/>
  <c r="B2266" i="56"/>
  <c r="B2238" i="56"/>
  <c r="B2232" i="56"/>
  <c r="B2191" i="56"/>
  <c r="B2148" i="56"/>
  <c r="B2142" i="56"/>
  <c r="B2129" i="56"/>
  <c r="B2080" i="56"/>
  <c r="B2050" i="56"/>
  <c r="B2041" i="56"/>
  <c r="B2038" i="56"/>
  <c r="B2032" i="56"/>
  <c r="B1946" i="56"/>
  <c r="B1877" i="56"/>
  <c r="B1868" i="56"/>
  <c r="B1865" i="56"/>
  <c r="B1814" i="56"/>
  <c r="B1796" i="56"/>
  <c r="B1779" i="56"/>
  <c r="B1752" i="56"/>
  <c r="B1637" i="56"/>
  <c r="B1564" i="56"/>
  <c r="B1561" i="56"/>
  <c r="B1387" i="56"/>
  <c r="B1378" i="56"/>
  <c r="B1373" i="56"/>
  <c r="B2335" i="56"/>
  <c r="B2316" i="56"/>
  <c r="B2295" i="56"/>
  <c r="B2268" i="56"/>
  <c r="B2220" i="56"/>
  <c r="B2215" i="56"/>
  <c r="B2183" i="56"/>
  <c r="B2144" i="56"/>
  <c r="B2121" i="56"/>
  <c r="B2081" i="56"/>
  <c r="B2078" i="56"/>
  <c r="B2051" i="56"/>
  <c r="B2026" i="56"/>
  <c r="B2023" i="56"/>
  <c r="B1968" i="56"/>
  <c r="B1936" i="56"/>
  <c r="B1882" i="56"/>
  <c r="B1870" i="56"/>
  <c r="B1867" i="56"/>
  <c r="B1859" i="56"/>
  <c r="B1853" i="56"/>
  <c r="B1766" i="56"/>
  <c r="B1756" i="56"/>
  <c r="B1753" i="56"/>
  <c r="B1737" i="56"/>
  <c r="B1724" i="56"/>
  <c r="B1701" i="56"/>
  <c r="B1686" i="56"/>
  <c r="B1667" i="56"/>
  <c r="B1630" i="56"/>
  <c r="B1624" i="56"/>
  <c r="B1606" i="56"/>
  <c r="B1593" i="56"/>
  <c r="B1591" i="56"/>
  <c r="B1585" i="56"/>
  <c r="B1555" i="56"/>
  <c r="B1546" i="56"/>
  <c r="B1543" i="56"/>
  <c r="B1527" i="56"/>
  <c r="B1507" i="56"/>
  <c r="B1504" i="56"/>
  <c r="B1495" i="56"/>
  <c r="B1484" i="56"/>
  <c r="B1459" i="56"/>
  <c r="B1441" i="56"/>
  <c r="B1432" i="56"/>
  <c r="B1425" i="56"/>
  <c r="B1417" i="56"/>
  <c r="B1267" i="56"/>
  <c r="B1188" i="56"/>
  <c r="B1152" i="56"/>
  <c r="B1082" i="56"/>
  <c r="B1060" i="56"/>
  <c r="B794" i="56"/>
  <c r="B780" i="56"/>
  <c r="B491" i="56"/>
  <c r="B479" i="56"/>
  <c r="B441" i="56"/>
  <c r="B333" i="56"/>
  <c r="B289" i="56"/>
  <c r="B2101" i="56"/>
  <c r="B2091" i="56"/>
  <c r="B1948" i="56"/>
  <c r="B1895" i="56"/>
  <c r="B1873" i="56"/>
  <c r="B1831" i="56"/>
  <c r="B1728" i="56"/>
  <c r="B1699" i="56"/>
  <c r="B1640" i="56"/>
  <c r="B1603" i="56"/>
  <c r="B1508" i="56"/>
  <c r="B1505" i="56"/>
  <c r="B1468" i="56"/>
  <c r="B1270" i="56"/>
  <c r="B1227" i="56"/>
  <c r="B1181" i="56"/>
  <c r="B1146" i="56"/>
  <c r="B1113" i="56"/>
  <c r="B812" i="56"/>
  <c r="B660" i="56"/>
  <c r="B518" i="56"/>
  <c r="B467" i="56"/>
  <c r="B436" i="56"/>
  <c r="B255" i="56"/>
  <c r="B1103" i="56"/>
  <c r="B1086" i="56"/>
  <c r="B1079" i="56"/>
  <c r="B1070" i="56"/>
  <c r="B1048" i="56"/>
  <c r="B887" i="56"/>
  <c r="B824" i="56"/>
  <c r="B1256" i="56"/>
  <c r="B1200" i="56"/>
  <c r="B1090" i="56"/>
  <c r="B810" i="56"/>
  <c r="B1335" i="56"/>
  <c r="B1293" i="56"/>
  <c r="B1276" i="56"/>
  <c r="B1273" i="56"/>
  <c r="B1225" i="56"/>
  <c r="B1219" i="56"/>
  <c r="B1206" i="56"/>
  <c r="B1123" i="56"/>
  <c r="B1120" i="56"/>
  <c r="B863" i="56"/>
  <c r="B849" i="56"/>
  <c r="B694" i="56"/>
  <c r="B381" i="56"/>
  <c r="B229" i="56"/>
  <c r="B1347" i="56"/>
  <c r="B1326" i="56"/>
  <c r="B1314" i="56"/>
  <c r="B1235" i="56"/>
  <c r="B1213" i="56"/>
  <c r="B1192" i="56"/>
  <c r="B1182" i="56"/>
  <c r="B1174" i="56"/>
  <c r="B1171" i="56"/>
  <c r="B1165" i="56"/>
  <c r="B1159" i="56"/>
  <c r="B1150" i="56"/>
  <c r="B1138" i="56"/>
  <c r="B1129" i="56"/>
  <c r="B981" i="56"/>
  <c r="B978" i="56"/>
  <c r="B926" i="56"/>
  <c r="B822" i="56"/>
  <c r="B728" i="56"/>
  <c r="B556" i="56"/>
  <c r="B317" i="56"/>
  <c r="B1257" i="56"/>
  <c r="B855" i="56"/>
  <c r="B1348" i="56"/>
  <c r="B1330" i="56"/>
  <c r="B1288" i="56"/>
  <c r="B1271" i="56"/>
  <c r="B1266" i="56"/>
  <c r="B1245" i="56"/>
  <c r="B1242" i="56"/>
  <c r="B1236" i="56"/>
  <c r="B1069" i="56"/>
  <c r="B1066" i="56"/>
  <c r="B1059" i="56"/>
  <c r="B1026" i="56"/>
  <c r="B1020" i="56"/>
  <c r="B1017" i="56"/>
  <c r="B996" i="56"/>
  <c r="B985" i="56"/>
  <c r="B912" i="56"/>
  <c r="B901" i="56"/>
  <c r="B885" i="56"/>
  <c r="B880" i="56"/>
  <c r="B876" i="56"/>
  <c r="B864" i="56"/>
  <c r="B776" i="56"/>
  <c r="B596" i="56"/>
  <c r="B584" i="56"/>
  <c r="B409" i="56"/>
  <c r="B321" i="56"/>
  <c r="B241" i="56"/>
  <c r="B1435" i="56"/>
  <c r="B1422" i="56"/>
  <c r="B1410" i="56"/>
  <c r="B1382" i="56"/>
  <c r="B1376" i="56"/>
  <c r="B1318" i="56"/>
  <c r="B936" i="56"/>
  <c r="B1652" i="56"/>
  <c r="B1635" i="56"/>
  <c r="B1632" i="56"/>
  <c r="B1626" i="56"/>
  <c r="B1608" i="56"/>
  <c r="B1586" i="56"/>
  <c r="B1570" i="56"/>
  <c r="B1558" i="56"/>
  <c r="B1537" i="56"/>
  <c r="B1534" i="56"/>
  <c r="B1531" i="56"/>
  <c r="B1528" i="56"/>
  <c r="B1493" i="56"/>
  <c r="B1474" i="56"/>
  <c r="B1462" i="56"/>
  <c r="B1456" i="56"/>
  <c r="B1420" i="56"/>
  <c r="B1414" i="56"/>
  <c r="B1411" i="56"/>
  <c r="B1400" i="56"/>
  <c r="B1397" i="56"/>
  <c r="B1374" i="56"/>
  <c r="B1356" i="56"/>
  <c r="B1327" i="56"/>
  <c r="B1315" i="56"/>
  <c r="B1142" i="56"/>
  <c r="B1136" i="56"/>
  <c r="B1124" i="56"/>
  <c r="B1111" i="56"/>
  <c r="B986" i="56"/>
  <c r="B970" i="56"/>
  <c r="B933" i="56"/>
  <c r="B837" i="56"/>
  <c r="B807" i="56"/>
  <c r="B797" i="56"/>
  <c r="B697" i="56"/>
  <c r="B679" i="56"/>
  <c r="B673" i="56"/>
  <c r="B630" i="56"/>
  <c r="B597" i="56"/>
  <c r="B585" i="56"/>
  <c r="B576" i="56"/>
  <c r="B534" i="56"/>
  <c r="B522" i="56"/>
  <c r="B519" i="56"/>
  <c r="B510" i="56"/>
  <c r="B480" i="56"/>
  <c r="B464" i="56"/>
  <c r="B459" i="56"/>
  <c r="B437" i="56"/>
  <c r="B433" i="56"/>
  <c r="B430" i="56"/>
  <c r="B398" i="56"/>
  <c r="B390" i="56"/>
  <c r="B384" i="56"/>
  <c r="B311" i="56"/>
  <c r="B219" i="56"/>
  <c r="B213" i="56"/>
  <c r="B210" i="56"/>
  <c r="B195" i="56"/>
  <c r="B186" i="56"/>
  <c r="B177" i="56"/>
  <c r="B722" i="56"/>
  <c r="B701" i="56"/>
  <c r="B691" i="56"/>
  <c r="B682" i="56"/>
  <c r="B553" i="56"/>
  <c r="B541" i="56"/>
  <c r="B477" i="56"/>
  <c r="B340" i="56"/>
  <c r="B142" i="56"/>
  <c r="B136" i="56"/>
  <c r="B15" i="56"/>
  <c r="B1609" i="56"/>
  <c r="B1598" i="56"/>
  <c r="B1592" i="56"/>
  <c r="B1550" i="56"/>
  <c r="B1511" i="56"/>
  <c r="B1506" i="56"/>
  <c r="B1496" i="56"/>
  <c r="B1491" i="56"/>
  <c r="B1485" i="56"/>
  <c r="B1454" i="56"/>
  <c r="B1439" i="56"/>
  <c r="B1389" i="56"/>
  <c r="B1386" i="56"/>
  <c r="B1377" i="56"/>
  <c r="B1351" i="56"/>
  <c r="B1331" i="56"/>
  <c r="B1322" i="56"/>
  <c r="B1277" i="56"/>
  <c r="B1249" i="56"/>
  <c r="B1233" i="56"/>
  <c r="B1184" i="56"/>
  <c r="B1149" i="56"/>
  <c r="B1133" i="56"/>
  <c r="B1046" i="56"/>
  <c r="B1028" i="56"/>
  <c r="B1009" i="56"/>
  <c r="B1004" i="56"/>
  <c r="B997" i="56"/>
  <c r="B995" i="56"/>
  <c r="B977" i="56"/>
  <c r="B940" i="56"/>
  <c r="B922" i="56"/>
  <c r="B897" i="56"/>
  <c r="B865" i="56"/>
  <c r="B861" i="56"/>
  <c r="B856" i="56"/>
  <c r="B792" i="56"/>
  <c r="B783" i="56"/>
  <c r="B736" i="56"/>
  <c r="B733" i="56"/>
  <c r="B717" i="56"/>
  <c r="B714" i="56"/>
  <c r="B705" i="56"/>
  <c r="B688" i="56"/>
  <c r="B658" i="56"/>
  <c r="B655" i="56"/>
  <c r="B649" i="56"/>
  <c r="B637" i="56"/>
  <c r="B615" i="56"/>
  <c r="B610" i="56"/>
  <c r="B607" i="56"/>
  <c r="B580" i="56"/>
  <c r="B379" i="56"/>
  <c r="B290" i="56"/>
  <c r="B287" i="56"/>
  <c r="B273" i="56"/>
  <c r="B270" i="56"/>
  <c r="B256" i="56"/>
  <c r="B230" i="56"/>
  <c r="B202" i="56"/>
  <c r="B161" i="56"/>
  <c r="B87" i="56"/>
  <c r="B78" i="56"/>
  <c r="B73" i="56"/>
  <c r="B351" i="56"/>
  <c r="B282" i="56"/>
  <c r="B196" i="56"/>
  <c r="B114" i="56"/>
  <c r="B98" i="56"/>
  <c r="B947" i="56"/>
  <c r="B944" i="56"/>
  <c r="B934" i="56"/>
  <c r="B932" i="56"/>
  <c r="B835" i="56"/>
  <c r="B832" i="56"/>
  <c r="B187" i="56"/>
  <c r="B696" i="56"/>
  <c r="B570" i="56"/>
  <c r="B527" i="56"/>
  <c r="B520" i="56"/>
  <c r="B440" i="56"/>
  <c r="B418" i="56"/>
  <c r="B405" i="56"/>
  <c r="B361" i="56"/>
  <c r="B320" i="56"/>
  <c r="B291" i="56"/>
  <c r="B240" i="56"/>
  <c r="B226" i="56"/>
  <c r="B220" i="56"/>
  <c r="B199" i="56"/>
  <c r="B176" i="56"/>
  <c r="B165" i="56"/>
  <c r="B152" i="56"/>
  <c r="B139" i="56"/>
  <c r="B827" i="56"/>
  <c r="B818" i="56"/>
  <c r="B793" i="56"/>
  <c r="B779" i="56"/>
  <c r="B668" i="56"/>
  <c r="B614" i="56"/>
  <c r="B563" i="56"/>
  <c r="B558" i="56"/>
  <c r="B555" i="56"/>
  <c r="B484" i="56"/>
  <c r="B481" i="56"/>
  <c r="B412" i="56"/>
  <c r="B374" i="56"/>
  <c r="B358" i="56"/>
  <c r="B307" i="56"/>
  <c r="B301" i="56"/>
  <c r="B247" i="56"/>
  <c r="B223" i="56"/>
  <c r="B206" i="56"/>
  <c r="B188" i="56"/>
  <c r="B182" i="56"/>
  <c r="B159" i="56"/>
  <c r="B143" i="56"/>
  <c r="B128" i="56"/>
  <c r="B485" i="56"/>
  <c r="B426" i="56"/>
  <c r="B423" i="56"/>
  <c r="B365" i="56"/>
  <c r="B305" i="56"/>
  <c r="B258" i="56"/>
  <c r="B171" i="56"/>
  <c r="B146" i="56"/>
  <c r="B117" i="56"/>
  <c r="B103" i="56"/>
  <c r="B40" i="56"/>
  <c r="B37" i="56"/>
  <c r="B21" i="56"/>
  <c r="B1316" i="56"/>
  <c r="B1312" i="56"/>
  <c r="B1306" i="56"/>
  <c r="B1294" i="56"/>
  <c r="B1269" i="56"/>
  <c r="B1248" i="56"/>
  <c r="B1214" i="56"/>
  <c r="B1207" i="56"/>
  <c r="B1204" i="56"/>
  <c r="B1145" i="56"/>
  <c r="B1121" i="56"/>
  <c r="B1077" i="56"/>
  <c r="B1045" i="56"/>
  <c r="B1036" i="56"/>
  <c r="B1008" i="56"/>
  <c r="B999" i="56"/>
  <c r="B966" i="56"/>
  <c r="B957" i="56"/>
  <c r="B909" i="56"/>
  <c r="B895" i="56"/>
  <c r="B878" i="56"/>
  <c r="B875" i="56"/>
  <c r="B869" i="56"/>
  <c r="B851" i="56"/>
  <c r="B829" i="56"/>
  <c r="B826" i="56"/>
  <c r="B814" i="56"/>
  <c r="B766" i="56"/>
  <c r="B723" i="56"/>
  <c r="B695" i="56"/>
  <c r="B677" i="56"/>
  <c r="B664" i="56"/>
  <c r="B608" i="56"/>
  <c r="B604" i="56"/>
  <c r="B572" i="56"/>
  <c r="B565" i="56"/>
  <c r="B562" i="56"/>
  <c r="B514" i="56"/>
  <c r="B502" i="56"/>
  <c r="B499" i="56"/>
  <c r="B496" i="56"/>
  <c r="B483" i="56"/>
  <c r="B478" i="56"/>
  <c r="B471" i="56"/>
  <c r="B462" i="56"/>
  <c r="B439" i="56"/>
  <c r="B431" i="56"/>
  <c r="B417" i="56"/>
  <c r="B404" i="56"/>
  <c r="B399" i="56"/>
  <c r="B369" i="56"/>
  <c r="B356" i="56"/>
  <c r="B299" i="56"/>
  <c r="B275" i="56"/>
  <c r="B262" i="56"/>
  <c r="B244" i="56"/>
  <c r="B238" i="56"/>
  <c r="B160" i="56"/>
  <c r="B157" i="56"/>
  <c r="B123" i="56"/>
  <c r="B109" i="56"/>
  <c r="B106" i="56"/>
  <c r="B92" i="56"/>
  <c r="B65" i="56"/>
  <c r="B62" i="56"/>
  <c r="B35" i="56"/>
  <c r="B18" i="56"/>
  <c r="B5" i="56"/>
  <c r="B153" i="56"/>
  <c r="B150" i="56"/>
  <c r="B135" i="56"/>
  <c r="B132" i="56"/>
  <c r="B121" i="56"/>
  <c r="B107" i="56"/>
  <c r="B68" i="56"/>
  <c r="B54" i="56"/>
  <c r="B31" i="56"/>
  <c r="B28" i="56"/>
  <c r="B93" i="56"/>
  <c r="B82" i="56"/>
  <c r="B47" i="56"/>
  <c r="B99" i="56"/>
  <c r="B58" i="56"/>
  <c r="B86" i="56"/>
  <c r="B83" i="56"/>
  <c r="B26" i="56"/>
  <c r="B13" i="56"/>
  <c r="B130" i="56"/>
  <c r="B113" i="56"/>
  <c r="B110" i="56"/>
  <c r="B94" i="56"/>
  <c r="B50" i="56"/>
  <c r="B42" i="56"/>
  <c r="B39" i="56"/>
  <c r="B6070" i="56"/>
  <c r="B6089" i="56"/>
  <c r="B5922" i="56"/>
  <c r="B6002" i="56"/>
  <c r="B5977" i="56"/>
  <c r="B5872" i="56"/>
  <c r="B5560" i="56"/>
  <c r="B5391" i="56"/>
  <c r="B6090" i="56"/>
  <c r="B6055" i="56"/>
  <c r="B5898" i="56"/>
  <c r="B5736" i="56"/>
  <c r="B6076" i="56"/>
  <c r="B6043" i="56"/>
  <c r="B5864" i="56"/>
  <c r="B6050" i="56"/>
  <c r="B5943" i="56"/>
  <c r="B5938" i="56"/>
  <c r="B6082" i="56"/>
  <c r="B5885" i="56"/>
  <c r="B6000" i="56"/>
  <c r="B5950" i="56"/>
  <c r="B5933" i="56"/>
  <c r="B5802" i="56"/>
  <c r="B5496" i="56"/>
  <c r="B5488" i="56"/>
  <c r="B5909" i="56"/>
  <c r="B5837" i="56"/>
  <c r="B5818" i="56"/>
  <c r="B5931" i="56"/>
  <c r="B5508" i="56"/>
  <c r="B5437" i="56"/>
  <c r="B6008" i="56"/>
  <c r="B5983" i="56"/>
  <c r="B5955" i="56"/>
  <c r="B5620" i="56"/>
  <c r="B5926" i="56"/>
  <c r="B5654" i="56"/>
  <c r="B6071" i="56"/>
  <c r="B5956" i="56"/>
  <c r="B5882" i="56"/>
  <c r="B6052" i="56"/>
  <c r="B5776" i="56"/>
  <c r="L5738" i="56"/>
  <c r="B5660" i="56"/>
  <c r="B5596" i="56"/>
  <c r="B5934" i="56"/>
  <c r="B5880" i="56"/>
  <c r="B5803" i="56"/>
  <c r="B5786" i="56"/>
  <c r="B5750" i="56"/>
  <c r="B5728" i="56"/>
  <c r="B5714" i="56"/>
  <c r="B5689" i="56"/>
  <c r="B5647" i="56"/>
  <c r="B5584" i="56"/>
  <c r="B5512" i="56"/>
  <c r="B5471" i="56"/>
  <c r="B5426" i="56"/>
  <c r="B5354" i="56"/>
  <c r="B5330" i="56"/>
  <c r="B5316" i="56"/>
  <c r="B5169" i="56"/>
  <c r="B6064" i="56"/>
  <c r="B5951" i="56"/>
  <c r="L5763" i="56"/>
  <c r="L6074" i="56"/>
  <c r="B5762" i="56"/>
  <c r="L5702" i="56"/>
  <c r="B5627" i="56"/>
  <c r="L5594" i="56"/>
  <c r="B5524" i="56"/>
  <c r="B6004" i="56"/>
  <c r="B5952" i="56"/>
  <c r="L6035" i="56"/>
  <c r="B5901" i="56"/>
  <c r="L5894" i="56"/>
  <c r="B5874" i="56"/>
  <c r="B5838" i="56"/>
  <c r="B5777" i="56"/>
  <c r="L5667" i="56"/>
  <c r="B5622" i="56"/>
  <c r="B5597" i="56"/>
  <c r="B5594" i="56"/>
  <c r="B5550" i="56"/>
  <c r="B5525" i="56"/>
  <c r="B5522" i="56"/>
  <c r="B5438" i="56"/>
  <c r="B5379" i="56"/>
  <c r="L5342" i="56"/>
  <c r="B5341" i="56"/>
  <c r="L5959" i="56"/>
  <c r="B5771" i="56"/>
  <c r="B6045" i="56"/>
  <c r="B5851" i="56"/>
  <c r="B5695" i="56"/>
  <c r="L6050" i="56"/>
  <c r="L6002" i="56"/>
  <c r="B5887" i="56"/>
  <c r="B5852" i="56"/>
  <c r="B5755" i="56"/>
  <c r="B5738" i="56"/>
  <c r="B5641" i="56"/>
  <c r="B5320" i="56"/>
  <c r="B6020" i="56"/>
  <c r="B5980" i="56"/>
  <c r="B5881" i="56"/>
  <c r="B5804" i="56"/>
  <c r="B5968" i="56"/>
  <c r="B5894" i="56"/>
  <c r="B5845" i="56"/>
  <c r="B5742" i="56"/>
  <c r="B5681" i="56"/>
  <c r="B5667" i="56"/>
  <c r="B5604" i="56"/>
  <c r="B5573" i="56"/>
  <c r="B5532" i="56"/>
  <c r="B5501" i="56"/>
  <c r="B5460" i="56"/>
  <c r="B5448" i="56"/>
  <c r="B5388" i="56"/>
  <c r="B5342" i="56"/>
  <c r="L5308" i="56"/>
  <c r="B5292" i="56"/>
  <c r="B5152" i="56"/>
  <c r="L6052" i="56"/>
  <c r="L6038" i="56"/>
  <c r="L5978" i="56"/>
  <c r="B5944" i="56"/>
  <c r="L5834" i="56"/>
  <c r="B5833" i="56"/>
  <c r="L5798" i="56"/>
  <c r="B5791" i="56"/>
  <c r="L5776" i="56"/>
  <c r="B5756" i="56"/>
  <c r="B5752" i="56"/>
  <c r="B5659" i="56"/>
  <c r="B5642" i="56"/>
  <c r="L5618" i="56"/>
  <c r="L5596" i="56"/>
  <c r="L5546" i="56"/>
  <c r="L5524" i="56"/>
  <c r="L5474" i="56"/>
  <c r="L5453" i="56"/>
  <c r="B5428" i="56"/>
  <c r="L5414" i="56"/>
  <c r="B5380" i="56"/>
  <c r="B5489" i="56"/>
  <c r="B5302" i="56"/>
  <c r="B5927" i="56"/>
  <c r="B5846" i="56"/>
  <c r="B5824" i="56"/>
  <c r="B5810" i="56"/>
  <c r="L5786" i="56"/>
  <c r="B5785" i="56"/>
  <c r="L5750" i="56"/>
  <c r="L5728" i="56"/>
  <c r="B5722" i="56"/>
  <c r="B5708" i="56"/>
  <c r="B5704" i="56"/>
  <c r="B5688" i="56"/>
  <c r="B5608" i="56"/>
  <c r="L5606" i="56"/>
  <c r="L5584" i="56"/>
  <c r="B5567" i="56"/>
  <c r="B5536" i="56"/>
  <c r="L5534" i="56"/>
  <c r="L5512" i="56"/>
  <c r="B5495" i="56"/>
  <c r="B5464" i="56"/>
  <c r="L5462" i="56"/>
  <c r="L5450" i="56"/>
  <c r="B5440" i="56"/>
  <c r="L5426" i="56"/>
  <c r="B5421" i="56"/>
  <c r="B5326" i="56"/>
  <c r="B5916" i="56"/>
  <c r="B5859" i="56"/>
  <c r="B5749" i="56"/>
  <c r="B5740" i="56"/>
  <c r="B5646" i="56"/>
  <c r="B5621" i="56"/>
  <c r="B5618" i="56"/>
  <c r="B5580" i="56"/>
  <c r="B5571" i="56"/>
  <c r="B5549" i="56"/>
  <c r="B5546" i="56"/>
  <c r="B5477" i="56"/>
  <c r="B5474" i="56"/>
  <c r="B5449" i="56"/>
  <c r="L5438" i="56"/>
  <c r="L5430" i="56"/>
  <c r="B5378" i="56"/>
  <c r="B5340" i="56"/>
  <c r="B5337" i="56"/>
  <c r="B5834" i="56"/>
  <c r="B5737" i="56"/>
  <c r="L5680" i="56"/>
  <c r="B5640" i="56"/>
  <c r="B5414" i="56"/>
  <c r="B5402" i="56"/>
  <c r="B5370" i="56"/>
  <c r="B6037" i="56"/>
  <c r="B6003" i="56"/>
  <c r="L5966" i="56"/>
  <c r="L5918" i="56"/>
  <c r="B5910" i="56"/>
  <c r="B5873" i="56"/>
  <c r="B5978" i="56"/>
  <c r="B5900" i="56"/>
  <c r="B5798" i="56"/>
  <c r="B5674" i="56"/>
  <c r="B5656" i="56"/>
  <c r="L5572" i="56"/>
  <c r="B6079" i="56"/>
  <c r="L6062" i="56"/>
  <c r="L6014" i="56"/>
  <c r="L5993" i="56"/>
  <c r="L5954" i="56"/>
  <c r="L5930" i="56"/>
  <c r="L5925" i="56"/>
  <c r="B5896" i="56"/>
  <c r="B5886" i="56"/>
  <c r="B5825" i="56"/>
  <c r="L5715" i="56"/>
  <c r="B5634" i="56"/>
  <c r="B5609" i="56"/>
  <c r="B5606" i="56"/>
  <c r="B5562" i="56"/>
  <c r="B5537" i="56"/>
  <c r="B5534" i="56"/>
  <c r="B5490" i="56"/>
  <c r="B5465" i="56"/>
  <c r="B5462" i="56"/>
  <c r="B5399" i="56"/>
  <c r="B5390" i="56"/>
  <c r="B5306" i="56"/>
  <c r="B5256" i="56"/>
  <c r="L5906" i="56"/>
  <c r="B5404" i="56"/>
  <c r="L5390" i="56"/>
  <c r="B5332" i="56"/>
  <c r="L5318" i="56"/>
  <c r="L5272" i="56"/>
  <c r="B5218" i="56"/>
  <c r="B5162" i="56"/>
  <c r="L5128" i="56"/>
  <c r="B5046" i="56"/>
  <c r="B5026" i="56"/>
  <c r="B4999" i="56"/>
  <c r="B4966" i="56"/>
  <c r="B4939" i="56"/>
  <c r="B4856" i="56"/>
  <c r="B4832" i="56"/>
  <c r="B4690" i="56"/>
  <c r="B4594" i="56"/>
  <c r="B5450" i="56"/>
  <c r="B5427" i="56"/>
  <c r="B5389" i="56"/>
  <c r="B5355" i="56"/>
  <c r="B5317" i="56"/>
  <c r="B5271" i="56"/>
  <c r="B5240" i="56"/>
  <c r="B5231" i="56"/>
  <c r="B5222" i="56"/>
  <c r="B5180" i="56"/>
  <c r="B5154" i="56"/>
  <c r="B5138" i="56"/>
  <c r="B5095" i="56"/>
  <c r="B5040" i="56"/>
  <c r="L6026" i="56"/>
  <c r="L5858" i="56"/>
  <c r="L5810" i="56"/>
  <c r="L5762" i="56"/>
  <c r="L5714" i="56"/>
  <c r="L5666" i="56"/>
  <c r="B5416" i="56"/>
  <c r="L5402" i="56"/>
  <c r="B5344" i="56"/>
  <c r="L5330" i="56"/>
  <c r="B5248" i="56"/>
  <c r="L5156" i="56"/>
  <c r="L5136" i="56"/>
  <c r="B5085" i="56"/>
  <c r="B5052" i="56"/>
  <c r="B5019" i="56"/>
  <c r="B4819" i="56"/>
  <c r="B4811" i="56"/>
  <c r="B4678" i="56"/>
  <c r="B5295" i="56"/>
  <c r="B5197" i="56"/>
  <c r="B5006" i="56"/>
  <c r="B5272" i="56"/>
  <c r="B5194" i="56"/>
  <c r="B5155" i="56"/>
  <c r="B4992" i="56"/>
  <c r="B5307" i="56"/>
  <c r="B5282" i="56"/>
  <c r="L5260" i="56"/>
  <c r="L5221" i="56"/>
  <c r="B5172" i="56"/>
  <c r="L5153" i="56"/>
  <c r="L5129" i="56"/>
  <c r="B5060" i="56"/>
  <c r="B5038" i="56"/>
  <c r="B4979" i="56"/>
  <c r="B4951" i="56"/>
  <c r="B4907" i="56"/>
  <c r="B4868" i="56"/>
  <c r="B4798" i="56"/>
  <c r="B4667" i="56"/>
  <c r="B4655" i="56"/>
  <c r="B4640" i="56"/>
  <c r="B5368" i="56"/>
  <c r="L5354" i="56"/>
  <c r="B5296" i="56"/>
  <c r="L5270" i="56"/>
  <c r="B5241" i="56"/>
  <c r="L5192" i="56"/>
  <c r="B5190" i="56"/>
  <c r="B5136" i="56"/>
  <c r="B5119" i="56"/>
  <c r="B4987" i="56"/>
  <c r="B4965" i="56"/>
  <c r="B4736" i="56"/>
  <c r="B5238" i="56"/>
  <c r="B5224" i="56"/>
  <c r="B5187" i="56"/>
  <c r="B5103" i="56"/>
  <c r="B5086" i="56"/>
  <c r="B5007" i="56"/>
  <c r="B4543" i="56"/>
  <c r="B5308" i="56"/>
  <c r="L5294" i="56"/>
  <c r="B5293" i="56"/>
  <c r="B5283" i="56"/>
  <c r="B5250" i="56"/>
  <c r="B5246" i="56"/>
  <c r="B5153" i="56"/>
  <c r="B5129" i="56"/>
  <c r="B5126" i="56"/>
  <c r="B5084" i="56"/>
  <c r="B5025" i="56"/>
  <c r="B4932" i="56"/>
  <c r="B5260" i="56"/>
  <c r="L5240" i="56"/>
  <c r="L5222" i="56"/>
  <c r="B5221" i="56"/>
  <c r="B5137" i="56"/>
  <c r="L5111" i="56"/>
  <c r="B5110" i="56"/>
  <c r="B4993" i="56"/>
  <c r="B4952" i="56"/>
  <c r="B4606" i="56"/>
  <c r="B5274" i="56"/>
  <c r="B5270" i="56"/>
  <c r="B5239" i="56"/>
  <c r="B5205" i="56"/>
  <c r="B5188" i="56"/>
  <c r="B5179" i="56"/>
  <c r="B5061" i="56"/>
  <c r="B5039" i="56"/>
  <c r="B5011" i="56"/>
  <c r="B4761" i="56"/>
  <c r="L5870" i="56"/>
  <c r="B5860" i="56"/>
  <c r="L5822" i="56"/>
  <c r="B5812" i="56"/>
  <c r="L5774" i="56"/>
  <c r="B5764" i="56"/>
  <c r="L5726" i="56"/>
  <c r="B5716" i="56"/>
  <c r="L5678" i="56"/>
  <c r="B5668" i="56"/>
  <c r="B5415" i="56"/>
  <c r="B5377" i="56"/>
  <c r="B5343" i="56"/>
  <c r="B5305" i="56"/>
  <c r="B5284" i="56"/>
  <c r="L5258" i="56"/>
  <c r="B5257" i="56"/>
  <c r="B5247" i="56"/>
  <c r="B5230" i="56"/>
  <c r="B5214" i="56"/>
  <c r="L5197" i="56"/>
  <c r="B5170" i="56"/>
  <c r="L5163" i="56"/>
  <c r="L5146" i="56"/>
  <c r="B5145" i="56"/>
  <c r="L5102" i="56"/>
  <c r="B5082" i="56"/>
  <c r="B5075" i="56"/>
  <c r="B5065" i="56"/>
  <c r="B5033" i="56"/>
  <c r="B4991" i="56"/>
  <c r="B4980" i="56"/>
  <c r="B4919" i="56"/>
  <c r="B4869" i="56"/>
  <c r="B4663" i="56"/>
  <c r="B4639" i="56"/>
  <c r="L5168" i="56"/>
  <c r="L5037" i="56"/>
  <c r="L4965" i="56"/>
  <c r="L4893" i="56"/>
  <c r="L4761" i="56"/>
  <c r="L4713" i="56"/>
  <c r="L4605" i="56"/>
  <c r="L4574" i="56"/>
  <c r="L4569" i="56"/>
  <c r="L4519" i="56"/>
  <c r="B4510" i="56"/>
  <c r="B4444" i="56"/>
  <c r="B4414" i="56"/>
  <c r="B4401" i="56"/>
  <c r="B4385" i="56"/>
  <c r="B4246" i="56"/>
  <c r="B4243" i="56"/>
  <c r="B4231" i="56"/>
  <c r="B4193" i="56"/>
  <c r="B5182" i="56"/>
  <c r="B5015" i="56"/>
  <c r="B5002" i="56"/>
  <c r="B4943" i="56"/>
  <c r="B4930" i="56"/>
  <c r="B4859" i="56"/>
  <c r="B4834" i="56"/>
  <c r="B4797" i="56"/>
  <c r="B4677" i="56"/>
  <c r="B4642" i="56"/>
  <c r="B4631" i="56"/>
  <c r="B4604" i="56"/>
  <c r="B4568" i="56"/>
  <c r="B4518" i="56"/>
  <c r="L5144" i="56"/>
  <c r="L5025" i="56"/>
  <c r="L4953" i="56"/>
  <c r="L4881" i="56"/>
  <c r="L4737" i="56"/>
  <c r="L4617" i="56"/>
  <c r="B4559" i="56"/>
  <c r="B4495" i="56"/>
  <c r="B4487" i="56"/>
  <c r="L4480" i="56"/>
  <c r="L4468" i="56"/>
  <c r="L4439" i="56"/>
  <c r="B4418" i="56"/>
  <c r="B4392" i="56"/>
  <c r="L4387" i="56"/>
  <c r="B4184" i="56"/>
  <c r="B4159" i="56"/>
  <c r="B4111" i="56"/>
  <c r="B5003" i="56"/>
  <c r="B4990" i="56"/>
  <c r="B4931" i="56"/>
  <c r="B4918" i="56"/>
  <c r="B4835" i="56"/>
  <c r="B4810" i="56"/>
  <c r="B4773" i="56"/>
  <c r="B4701" i="56"/>
  <c r="B4666" i="56"/>
  <c r="B4643" i="56"/>
  <c r="B4616" i="56"/>
  <c r="L5120" i="56"/>
  <c r="L5013" i="56"/>
  <c r="L4941" i="56"/>
  <c r="L4857" i="56"/>
  <c r="L4629" i="56"/>
  <c r="B4583" i="56"/>
  <c r="L4446" i="56"/>
  <c r="B4375" i="56"/>
  <c r="B4325" i="56"/>
  <c r="B4309" i="56"/>
  <c r="B4275" i="56"/>
  <c r="B4232" i="56"/>
  <c r="B4073" i="56"/>
  <c r="B4051" i="56"/>
  <c r="L4821" i="56"/>
  <c r="L4653" i="56"/>
  <c r="B4595" i="56"/>
  <c r="L4581" i="56"/>
  <c r="B4547" i="56"/>
  <c r="B4476" i="56"/>
  <c r="B4436" i="56"/>
  <c r="B4429" i="56"/>
  <c r="B4426" i="56"/>
  <c r="B4419" i="56"/>
  <c r="B4397" i="56"/>
  <c r="B4390" i="56"/>
  <c r="B4384" i="56"/>
  <c r="B4042" i="56"/>
  <c r="B4485" i="56"/>
  <c r="B4381" i="56"/>
  <c r="B4351" i="56"/>
  <c r="B4338" i="56"/>
  <c r="B4332" i="56"/>
  <c r="B4213" i="56"/>
  <c r="B4110" i="56"/>
  <c r="B4100" i="56"/>
  <c r="L5132" i="56"/>
  <c r="L4797" i="56"/>
  <c r="L4677" i="56"/>
  <c r="B4607" i="56"/>
  <c r="B4576" i="56"/>
  <c r="B4571" i="56"/>
  <c r="L4531" i="56"/>
  <c r="B4529" i="56"/>
  <c r="B4493" i="56"/>
  <c r="B4465" i="56"/>
  <c r="L4395" i="56"/>
  <c r="B4354" i="56"/>
  <c r="L4593" i="56"/>
  <c r="B4417" i="56"/>
  <c r="B5206" i="56"/>
  <c r="L5108" i="56"/>
  <c r="B5062" i="56"/>
  <c r="B5027" i="56"/>
  <c r="B5014" i="56"/>
  <c r="B4955" i="56"/>
  <c r="B4942" i="56"/>
  <c r="B4883" i="56"/>
  <c r="B4858" i="56"/>
  <c r="B4821" i="56"/>
  <c r="L4773" i="56"/>
  <c r="B4739" i="56"/>
  <c r="L4701" i="56"/>
  <c r="B4653" i="56"/>
  <c r="B4630" i="56"/>
  <c r="B4619" i="56"/>
  <c r="B4592" i="56"/>
  <c r="B4581" i="56"/>
  <c r="B4544" i="56"/>
  <c r="L4527" i="56"/>
  <c r="L4511" i="56"/>
  <c r="B4501" i="56"/>
  <c r="B4486" i="56"/>
  <c r="B4427" i="56"/>
  <c r="B4382" i="56"/>
  <c r="L4380" i="56"/>
  <c r="B4361" i="56"/>
  <c r="B4318" i="56"/>
  <c r="B4285" i="56"/>
  <c r="B4267" i="56"/>
  <c r="B4249" i="56"/>
  <c r="B4207" i="56"/>
  <c r="B4513" i="56"/>
  <c r="L4415" i="56"/>
  <c r="L4318" i="56"/>
  <c r="B4281" i="56"/>
  <c r="L4243" i="56"/>
  <c r="L4219" i="56"/>
  <c r="B4183" i="56"/>
  <c r="L4075" i="56"/>
  <c r="B4074" i="56"/>
  <c r="B4036" i="56"/>
  <c r="B4030" i="56"/>
  <c r="L4007" i="56"/>
  <c r="B3884" i="56"/>
  <c r="B3875" i="56"/>
  <c r="B3862" i="56"/>
  <c r="L4475" i="56"/>
  <c r="L4355" i="56"/>
  <c r="L4174" i="56"/>
  <c r="B4117" i="56"/>
  <c r="B4088" i="56"/>
  <c r="L4011" i="56"/>
  <c r="B3994" i="56"/>
  <c r="L3979" i="56"/>
  <c r="B3971" i="56"/>
  <c r="B3964" i="56"/>
  <c r="B3938" i="56"/>
  <c r="B4305" i="56"/>
  <c r="B4235" i="56"/>
  <c r="B4405" i="56"/>
  <c r="B4335" i="56"/>
  <c r="B4311" i="56"/>
  <c r="B4277" i="56"/>
  <c r="B4259" i="56"/>
  <c r="B4218" i="56"/>
  <c r="B4138" i="56"/>
  <c r="B3943" i="56"/>
  <c r="L4343" i="56"/>
  <c r="B4225" i="56"/>
  <c r="L4111" i="56"/>
  <c r="B3991" i="56"/>
  <c r="B3979" i="56"/>
  <c r="B3835" i="56"/>
  <c r="B4355" i="56"/>
  <c r="B4329" i="56"/>
  <c r="B4201" i="56"/>
  <c r="B4174" i="56"/>
  <c r="B4145" i="56"/>
  <c r="B4124" i="56"/>
  <c r="B4065" i="56"/>
  <c r="L4487" i="56"/>
  <c r="B4441" i="56"/>
  <c r="L4309" i="56"/>
  <c r="B4284" i="56"/>
  <c r="B4260" i="56"/>
  <c r="L4216" i="56"/>
  <c r="L4151" i="56"/>
  <c r="L4087" i="56"/>
  <c r="L4043" i="56"/>
  <c r="B4015" i="56"/>
  <c r="B3956" i="56"/>
  <c r="L3927" i="56"/>
  <c r="B3926" i="56"/>
  <c r="B3839" i="56"/>
  <c r="B3827" i="56"/>
  <c r="L4403" i="56"/>
  <c r="L4379" i="56"/>
  <c r="L4339" i="56"/>
  <c r="B4066" i="56"/>
  <c r="B4038" i="56"/>
  <c r="B4028" i="56"/>
  <c r="B3969" i="56"/>
  <c r="B3858" i="56"/>
  <c r="B3992" i="56"/>
  <c r="B3966" i="56"/>
  <c r="L3946" i="56"/>
  <c r="B3933" i="56"/>
  <c r="B3920" i="56"/>
  <c r="L3914" i="56"/>
  <c r="B4327" i="56"/>
  <c r="B4269" i="56"/>
  <c r="B4233" i="56"/>
  <c r="B4175" i="56"/>
  <c r="B4160" i="56"/>
  <c r="B4101" i="56"/>
  <c r="B4077" i="56"/>
  <c r="B4005" i="56"/>
  <c r="B3849" i="56"/>
  <c r="B4393" i="56"/>
  <c r="B4357" i="56"/>
  <c r="B4257" i="56"/>
  <c r="L4195" i="56"/>
  <c r="B4136" i="56"/>
  <c r="B4131" i="56"/>
  <c r="L4123" i="56"/>
  <c r="B4087" i="56"/>
  <c r="L4079" i="56"/>
  <c r="B4043" i="56"/>
  <c r="B4029" i="56"/>
  <c r="L3982" i="56"/>
  <c r="B3907" i="56"/>
  <c r="B3904" i="56"/>
  <c r="B3897" i="56"/>
  <c r="L4499" i="56"/>
  <c r="B4453" i="56"/>
  <c r="B4379" i="56"/>
  <c r="L4335" i="56"/>
  <c r="B4293" i="56"/>
  <c r="B4276" i="56"/>
  <c r="B4252" i="56"/>
  <c r="B4209" i="56"/>
  <c r="B4166" i="56"/>
  <c r="B4102" i="56"/>
  <c r="L4094" i="56"/>
  <c r="B4058" i="56"/>
  <c r="L4022" i="56"/>
  <c r="B3993" i="56"/>
  <c r="L3986" i="56"/>
  <c r="L3975" i="56"/>
  <c r="B3958" i="56"/>
  <c r="B3910" i="56"/>
  <c r="B3834" i="56"/>
  <c r="B3822" i="56"/>
  <c r="B3786" i="56"/>
  <c r="L4231" i="56"/>
  <c r="L4135" i="56"/>
  <c r="L4099" i="56"/>
  <c r="L4063" i="56"/>
  <c r="L4027" i="56"/>
  <c r="L3991" i="56"/>
  <c r="L3955" i="56"/>
  <c r="L3872" i="56"/>
  <c r="L3800" i="56"/>
  <c r="L3722" i="56"/>
  <c r="L3718" i="56"/>
  <c r="B3704" i="56"/>
  <c r="B3696" i="56"/>
  <c r="L3694" i="56"/>
  <c r="B3643" i="56"/>
  <c r="B3639" i="56"/>
  <c r="B3610" i="56"/>
  <c r="B3600" i="56"/>
  <c r="B3567" i="56"/>
  <c r="B3561" i="56"/>
  <c r="B3528" i="56"/>
  <c r="B3519" i="56"/>
  <c r="B3497" i="56"/>
  <c r="B3382" i="56"/>
  <c r="B4161" i="56"/>
  <c r="B4125" i="56"/>
  <c r="B4089" i="56"/>
  <c r="B4053" i="56"/>
  <c r="B4017" i="56"/>
  <c r="B3981" i="56"/>
  <c r="B3945" i="56"/>
  <c r="B3922" i="56"/>
  <c r="B3836" i="56"/>
  <c r="B3754" i="56"/>
  <c r="B3729" i="56"/>
  <c r="B3693" i="56"/>
  <c r="B3660" i="56"/>
  <c r="B3657" i="56"/>
  <c r="B3613" i="56"/>
  <c r="L4207" i="56"/>
  <c r="L3896" i="56"/>
  <c r="L3776" i="56"/>
  <c r="B3682" i="56"/>
  <c r="B3664" i="56"/>
  <c r="L3608" i="56"/>
  <c r="B3598" i="56"/>
  <c r="B3588" i="56"/>
  <c r="L3580" i="56"/>
  <c r="B3540" i="56"/>
  <c r="B3514" i="56"/>
  <c r="B3318" i="56"/>
  <c r="L3920" i="56"/>
  <c r="B3872" i="56"/>
  <c r="B3837" i="56"/>
  <c r="B3814" i="56"/>
  <c r="B3800" i="56"/>
  <c r="B3796" i="56"/>
  <c r="L3752" i="56"/>
  <c r="B3718" i="56"/>
  <c r="B3694" i="56"/>
  <c r="L3680" i="56"/>
  <c r="B3658" i="56"/>
  <c r="B3640" i="56"/>
  <c r="L3596" i="56"/>
  <c r="B3573" i="56"/>
  <c r="L3524" i="56"/>
  <c r="B3523" i="56"/>
  <c r="L3481" i="56"/>
  <c r="B3477" i="56"/>
  <c r="B3455" i="56"/>
  <c r="L3932" i="56"/>
  <c r="L3802" i="56"/>
  <c r="B3788" i="56"/>
  <c r="B3784" i="56"/>
  <c r="L3740" i="56"/>
  <c r="B3706" i="56"/>
  <c r="B3691" i="56"/>
  <c r="L3638" i="56"/>
  <c r="B3592" i="56"/>
  <c r="L3590" i="56"/>
  <c r="B3544" i="56"/>
  <c r="B3776" i="56"/>
  <c r="B3672" i="56"/>
  <c r="B3908" i="56"/>
  <c r="B3873" i="56"/>
  <c r="B3850" i="56"/>
  <c r="L3812" i="56"/>
  <c r="L3782" i="56"/>
  <c r="L3778" i="56"/>
  <c r="B3764" i="56"/>
  <c r="B3760" i="56"/>
  <c r="L3716" i="56"/>
  <c r="B3345" i="56"/>
  <c r="L4039" i="56"/>
  <c r="L4003" i="56"/>
  <c r="L3967" i="56"/>
  <c r="L3824" i="56"/>
  <c r="L3770" i="56"/>
  <c r="L3766" i="56"/>
  <c r="B3752" i="56"/>
  <c r="B3748" i="56"/>
  <c r="L3704" i="56"/>
  <c r="B3680" i="56"/>
  <c r="L3674" i="56"/>
  <c r="B3648" i="56"/>
  <c r="L3646" i="56"/>
  <c r="L3632" i="56"/>
  <c r="B3584" i="56"/>
  <c r="B3574" i="56"/>
  <c r="B3447" i="56"/>
  <c r="L3441" i="56"/>
  <c r="B3368" i="56"/>
  <c r="B3874" i="56"/>
  <c r="B3909" i="56"/>
  <c r="B3886" i="56"/>
  <c r="L3848" i="56"/>
  <c r="B3790" i="56"/>
  <c r="L3746" i="56"/>
  <c r="L3742" i="56"/>
  <c r="B3728" i="56"/>
  <c r="B3724" i="56"/>
  <c r="B3692" i="56"/>
  <c r="B3684" i="56"/>
  <c r="L3682" i="56"/>
  <c r="B3667" i="56"/>
  <c r="B3663" i="56"/>
  <c r="B3656" i="56"/>
  <c r="L3650" i="56"/>
  <c r="B3628" i="56"/>
  <c r="L3626" i="56"/>
  <c r="B3625" i="56"/>
  <c r="B3619" i="56"/>
  <c r="B3612" i="56"/>
  <c r="B3606" i="56"/>
  <c r="B3539" i="56"/>
  <c r="B3503" i="56"/>
  <c r="B3417" i="56"/>
  <c r="B3346" i="56"/>
  <c r="B4052" i="56"/>
  <c r="B4016" i="56"/>
  <c r="B3980" i="56"/>
  <c r="B3921" i="56"/>
  <c r="B3898" i="56"/>
  <c r="L3860" i="56"/>
  <c r="B3812" i="56"/>
  <c r="B3778" i="56"/>
  <c r="B3753" i="56"/>
  <c r="L3734" i="56"/>
  <c r="L3730" i="56"/>
  <c r="B3716" i="56"/>
  <c r="B3712" i="56"/>
  <c r="B3700" i="56"/>
  <c r="L3686" i="56"/>
  <c r="B3681" i="56"/>
  <c r="L3668" i="56"/>
  <c r="B3646" i="56"/>
  <c r="L3620" i="56"/>
  <c r="B3603" i="56"/>
  <c r="B3597" i="56"/>
  <c r="B3578" i="56"/>
  <c r="L3555" i="56"/>
  <c r="B3548" i="56"/>
  <c r="B3545" i="56"/>
  <c r="B3513" i="56"/>
  <c r="L3574" i="56"/>
  <c r="L3477" i="56"/>
  <c r="B3464" i="56"/>
  <c r="B3419" i="56"/>
  <c r="L3368" i="56"/>
  <c r="B3357" i="56"/>
  <c r="B3311" i="56"/>
  <c r="L3291" i="56"/>
  <c r="B3258" i="56"/>
  <c r="B3247" i="56"/>
  <c r="L3210" i="56"/>
  <c r="B3209" i="56"/>
  <c r="B3196" i="56"/>
  <c r="B3504" i="56"/>
  <c r="L3355" i="56"/>
  <c r="L3298" i="56"/>
  <c r="B3238" i="56"/>
  <c r="B3203" i="56"/>
  <c r="B3564" i="56"/>
  <c r="B3512" i="56"/>
  <c r="B3427" i="56"/>
  <c r="B3381" i="56"/>
  <c r="B3377" i="56"/>
  <c r="L3463" i="56"/>
  <c r="L3379" i="56"/>
  <c r="L3361" i="56"/>
  <c r="B3405" i="56"/>
  <c r="B3355" i="56"/>
  <c r="B3495" i="56"/>
  <c r="L3469" i="56"/>
  <c r="B3375" i="56"/>
  <c r="B3273" i="56"/>
  <c r="B3245" i="56"/>
  <c r="L3233" i="56"/>
  <c r="L3562" i="56"/>
  <c r="L3523" i="56"/>
  <c r="B3501" i="56"/>
  <c r="B3478" i="56"/>
  <c r="L3440" i="56"/>
  <c r="B3428" i="56"/>
  <c r="B3306" i="56"/>
  <c r="B3256" i="56"/>
  <c r="B3131" i="56"/>
  <c r="B2982" i="56"/>
  <c r="L3487" i="56"/>
  <c r="L3475" i="56"/>
  <c r="B3398" i="56"/>
  <c r="B3383" i="56"/>
  <c r="B3369" i="56"/>
  <c r="B3319" i="56"/>
  <c r="B3552" i="56"/>
  <c r="L3499" i="56"/>
  <c r="B3479" i="56"/>
  <c r="B3452" i="56"/>
  <c r="B3435" i="56"/>
  <c r="B3413" i="56"/>
  <c r="L3391" i="56"/>
  <c r="B3389" i="56"/>
  <c r="B3347" i="56"/>
  <c r="L3332" i="56"/>
  <c r="B3296" i="56"/>
  <c r="B3281" i="56"/>
  <c r="L3494" i="56"/>
  <c r="B3440" i="56"/>
  <c r="L3427" i="56"/>
  <c r="B3399" i="56"/>
  <c r="B3380" i="56"/>
  <c r="B3376" i="56"/>
  <c r="B3362" i="56"/>
  <c r="B3304" i="56"/>
  <c r="B3285" i="56"/>
  <c r="B3240" i="56"/>
  <c r="B3230" i="56"/>
  <c r="L3266" i="56"/>
  <c r="L3244" i="56"/>
  <c r="L3235" i="56"/>
  <c r="B3223" i="56"/>
  <c r="B3163" i="56"/>
  <c r="L3146" i="56"/>
  <c r="L3142" i="56"/>
  <c r="B3027" i="56"/>
  <c r="B3392" i="56"/>
  <c r="B3356" i="56"/>
  <c r="B3320" i="56"/>
  <c r="B3284" i="56"/>
  <c r="B3271" i="56"/>
  <c r="B3259" i="56"/>
  <c r="B3239" i="56"/>
  <c r="B3220" i="56"/>
  <c r="L3217" i="56"/>
  <c r="B3215" i="56"/>
  <c r="B3173" i="56"/>
  <c r="B3164" i="56"/>
  <c r="L3157" i="56"/>
  <c r="B3121" i="56"/>
  <c r="B3108" i="56"/>
  <c r="B3099" i="56"/>
  <c r="L3087" i="56"/>
  <c r="B3075" i="56"/>
  <c r="L3055" i="56"/>
  <c r="L3010" i="56"/>
  <c r="L2978" i="56"/>
  <c r="B2969" i="56"/>
  <c r="B2930" i="56"/>
  <c r="L2925" i="56"/>
  <c r="B2924" i="56"/>
  <c r="B2921" i="56"/>
  <c r="L2883" i="56"/>
  <c r="B2858" i="56"/>
  <c r="L2849" i="56"/>
  <c r="B2834" i="56"/>
  <c r="B2817" i="56"/>
  <c r="B2809" i="56"/>
  <c r="B3489" i="56"/>
  <c r="L3439" i="56"/>
  <c r="L3403" i="56"/>
  <c r="L3367" i="56"/>
  <c r="L3331" i="56"/>
  <c r="L3295" i="56"/>
  <c r="B3243" i="56"/>
  <c r="B3186" i="56"/>
  <c r="B3181" i="56"/>
  <c r="L3171" i="56"/>
  <c r="B3155" i="56"/>
  <c r="B3146" i="56"/>
  <c r="B3112" i="56"/>
  <c r="B3096" i="56"/>
  <c r="B3061" i="56"/>
  <c r="B3042" i="56"/>
  <c r="L3018" i="56"/>
  <c r="B3002" i="56"/>
  <c r="L2996" i="56"/>
  <c r="L2971" i="56"/>
  <c r="B2966" i="56"/>
  <c r="L2941" i="56"/>
  <c r="B2882" i="56"/>
  <c r="B2872" i="56"/>
  <c r="L2804" i="56"/>
  <c r="B3248" i="56"/>
  <c r="B2985" i="56"/>
  <c r="B2940" i="56"/>
  <c r="B2927" i="56"/>
  <c r="B2912" i="56"/>
  <c r="B2852" i="56"/>
  <c r="B2752" i="56"/>
  <c r="B3138" i="56"/>
  <c r="L3319" i="56"/>
  <c r="L3283" i="56"/>
  <c r="B3207" i="56"/>
  <c r="L3176" i="56"/>
  <c r="L3154" i="56"/>
  <c r="L3074" i="56"/>
  <c r="B3069" i="56"/>
  <c r="L3001" i="56"/>
  <c r="B2967" i="56"/>
  <c r="L2948" i="56"/>
  <c r="B2944" i="56"/>
  <c r="L2926" i="56"/>
  <c r="L2888" i="56"/>
  <c r="B2822" i="56"/>
  <c r="L2805" i="56"/>
  <c r="B3139" i="56"/>
  <c r="B3197" i="56"/>
  <c r="B3037" i="56"/>
  <c r="B2877" i="56"/>
  <c r="B2811" i="56"/>
  <c r="L3271" i="56"/>
  <c r="L3259" i="56"/>
  <c r="L3254" i="56"/>
  <c r="B3180" i="56"/>
  <c r="L3173" i="56"/>
  <c r="B3144" i="56"/>
  <c r="L3137" i="56"/>
  <c r="L3129" i="56"/>
  <c r="L3125" i="56"/>
  <c r="B3095" i="56"/>
  <c r="B3066" i="56"/>
  <c r="L3045" i="56"/>
  <c r="L3009" i="56"/>
  <c r="B3004" i="56"/>
  <c r="B2987" i="56"/>
  <c r="L2977" i="56"/>
  <c r="B2968" i="56"/>
  <c r="B2901" i="56"/>
  <c r="B2894" i="56"/>
  <c r="L2838" i="56"/>
  <c r="L3343" i="56"/>
  <c r="L3307" i="56"/>
  <c r="B3283" i="56"/>
  <c r="B3219" i="56"/>
  <c r="B3214" i="56"/>
  <c r="B3198" i="56"/>
  <c r="B3172" i="56"/>
  <c r="L3165" i="56"/>
  <c r="L3121" i="56"/>
  <c r="L3100" i="56"/>
  <c r="B3011" i="56"/>
  <c r="L3006" i="56"/>
  <c r="B2954" i="56"/>
  <c r="B2945" i="56"/>
  <c r="B2871" i="56"/>
  <c r="B2847" i="56"/>
  <c r="B2840" i="56"/>
  <c r="B2751" i="56"/>
  <c r="L3169" i="56"/>
  <c r="B3123" i="56"/>
  <c r="L3093" i="56"/>
  <c r="B3063" i="56"/>
  <c r="B2977" i="56"/>
  <c r="L2962" i="56"/>
  <c r="B2941" i="56"/>
  <c r="B2888" i="56"/>
  <c r="B2883" i="56"/>
  <c r="B2783" i="56"/>
  <c r="L2781" i="56"/>
  <c r="B2779" i="56"/>
  <c r="B2771" i="56"/>
  <c r="L2748" i="56"/>
  <c r="B2717" i="56"/>
  <c r="B2713" i="56"/>
  <c r="B2699" i="56"/>
  <c r="B2696" i="56"/>
  <c r="B2693" i="56"/>
  <c r="B2671" i="56"/>
  <c r="B2590" i="56"/>
  <c r="L2558" i="56"/>
  <c r="B2407" i="56"/>
  <c r="L3229" i="56"/>
  <c r="B3183" i="56"/>
  <c r="L3073" i="56"/>
  <c r="B3051" i="56"/>
  <c r="B2993" i="56"/>
  <c r="B2961" i="56"/>
  <c r="B2955" i="56"/>
  <c r="L2837" i="56"/>
  <c r="B2835" i="56"/>
  <c r="B2810" i="56"/>
  <c r="L2758" i="56"/>
  <c r="B2650" i="56"/>
  <c r="B2607" i="56"/>
  <c r="B2456" i="56"/>
  <c r="L3145" i="56"/>
  <c r="L3061" i="56"/>
  <c r="L3013" i="56"/>
  <c r="L2900" i="56"/>
  <c r="B2860" i="56"/>
  <c r="L2852" i="56"/>
  <c r="L2615" i="56"/>
  <c r="L2581" i="56"/>
  <c r="L2546" i="56"/>
  <c r="L2525" i="56"/>
  <c r="B2517" i="56"/>
  <c r="B2514" i="56"/>
  <c r="L2436" i="56"/>
  <c r="B2402" i="56"/>
  <c r="L2681" i="56"/>
  <c r="B2676" i="56"/>
  <c r="B2383" i="56"/>
  <c r="L3181" i="56"/>
  <c r="L3049" i="56"/>
  <c r="L3042" i="56"/>
  <c r="L2992" i="56"/>
  <c r="L2954" i="56"/>
  <c r="B2947" i="56"/>
  <c r="L2873" i="56"/>
  <c r="B2762" i="56"/>
  <c r="B2601" i="56"/>
  <c r="L2543" i="56"/>
  <c r="B2979" i="56"/>
  <c r="B2895" i="56"/>
  <c r="B2803" i="56"/>
  <c r="B2615" i="56"/>
  <c r="B2439" i="56"/>
  <c r="B2708" i="56"/>
  <c r="B2673" i="56"/>
  <c r="B2539" i="56"/>
  <c r="B2424" i="56"/>
  <c r="B2746" i="56"/>
  <c r="B2736" i="56"/>
  <c r="B2695" i="56"/>
  <c r="B2592" i="56"/>
  <c r="B2586" i="56"/>
  <c r="B2503" i="56"/>
  <c r="L3133" i="56"/>
  <c r="B3003" i="56"/>
  <c r="L2983" i="56"/>
  <c r="L2946" i="56"/>
  <c r="B2896" i="56"/>
  <c r="L2810" i="56"/>
  <c r="L2801" i="56"/>
  <c r="B2759" i="56"/>
  <c r="B2685" i="56"/>
  <c r="L2628" i="56"/>
  <c r="B2621" i="56"/>
  <c r="B2599" i="56"/>
  <c r="B2556" i="56"/>
  <c r="B2796" i="56"/>
  <c r="B2507" i="56"/>
  <c r="B2824" i="56"/>
  <c r="L2797" i="56"/>
  <c r="L2770" i="56"/>
  <c r="B2722" i="56"/>
  <c r="B2701" i="56"/>
  <c r="L2687" i="56"/>
  <c r="L2653" i="56"/>
  <c r="B2651" i="56"/>
  <c r="B2629" i="56"/>
  <c r="B2608" i="56"/>
  <c r="L2592" i="56"/>
  <c r="B2591" i="56"/>
  <c r="B2587" i="56"/>
  <c r="L2580" i="56"/>
  <c r="B2515" i="56"/>
  <c r="B2508" i="56"/>
  <c r="B2461" i="56"/>
  <c r="B2434" i="56"/>
  <c r="B2421" i="56"/>
  <c r="B2409" i="56"/>
  <c r="B2375" i="56"/>
  <c r="B2345" i="56"/>
  <c r="B2338" i="56"/>
  <c r="B2305" i="56"/>
  <c r="B2276" i="56"/>
  <c r="B2262" i="56"/>
  <c r="L2965" i="56"/>
  <c r="L2905" i="56"/>
  <c r="L2833" i="56"/>
  <c r="L2821" i="56"/>
  <c r="L2809" i="56"/>
  <c r="L2786" i="56"/>
  <c r="L2736" i="56"/>
  <c r="B2731" i="56"/>
  <c r="L2724" i="56"/>
  <c r="B2686" i="56"/>
  <c r="L2669" i="56"/>
  <c r="L2585" i="56"/>
  <c r="L2549" i="56"/>
  <c r="B2519" i="56"/>
  <c r="B2494" i="56"/>
  <c r="B2444" i="56"/>
  <c r="B2431" i="56"/>
  <c r="L2411" i="56"/>
  <c r="L2400" i="56"/>
  <c r="B2369" i="56"/>
  <c r="B2359" i="56"/>
  <c r="B2603" i="56"/>
  <c r="B2575" i="56"/>
  <c r="B2498" i="56"/>
  <c r="B2487" i="56"/>
  <c r="B2483" i="56"/>
  <c r="B2472" i="56"/>
  <c r="L2445" i="56"/>
  <c r="B2441" i="56"/>
  <c r="B2392" i="56"/>
  <c r="B2378" i="56"/>
  <c r="B2352" i="56"/>
  <c r="L2379" i="56"/>
  <c r="L2374" i="56"/>
  <c r="L2327" i="56"/>
  <c r="L2321" i="56"/>
  <c r="B2293" i="56"/>
  <c r="L2557" i="56"/>
  <c r="L2471" i="56"/>
  <c r="L2457" i="56"/>
  <c r="L2426" i="56"/>
  <c r="B2422" i="56"/>
  <c r="L2368" i="56"/>
  <c r="B2357" i="56"/>
  <c r="B2550" i="56"/>
  <c r="L2531" i="56"/>
  <c r="L2476" i="56"/>
  <c r="L2405" i="56"/>
  <c r="L2338" i="56"/>
  <c r="L2316" i="56"/>
  <c r="B2244" i="56"/>
  <c r="B2787" i="56"/>
  <c r="L2752" i="56"/>
  <c r="L2690" i="56"/>
  <c r="B2680" i="56"/>
  <c r="B2632" i="56"/>
  <c r="B2569" i="56"/>
  <c r="B2565" i="56"/>
  <c r="B2557" i="56"/>
  <c r="L2505" i="56"/>
  <c r="B2504" i="56"/>
  <c r="B2489" i="56"/>
  <c r="L2465" i="56"/>
  <c r="B2457" i="56"/>
  <c r="B2426" i="56"/>
  <c r="B2423" i="56"/>
  <c r="B2420" i="56"/>
  <c r="L2328" i="56"/>
  <c r="B2291" i="56"/>
  <c r="L2149" i="56"/>
  <c r="B2522" i="56"/>
  <c r="B2449" i="56"/>
  <c r="B2446" i="56"/>
  <c r="B2387" i="56"/>
  <c r="B2361" i="56"/>
  <c r="B2301" i="56"/>
  <c r="L2429" i="56"/>
  <c r="L2397" i="56"/>
  <c r="L2377" i="56"/>
  <c r="L2373" i="56"/>
  <c r="B2362" i="56"/>
  <c r="L2331" i="56"/>
  <c r="L2315" i="56"/>
  <c r="B2314" i="56"/>
  <c r="B2256" i="56"/>
  <c r="B2246" i="56"/>
  <c r="B2243" i="56"/>
  <c r="B2156" i="56"/>
  <c r="B2135" i="56"/>
  <c r="B2108" i="56"/>
  <c r="B1900" i="56"/>
  <c r="L2953" i="56"/>
  <c r="L2745" i="56"/>
  <c r="L2625" i="56"/>
  <c r="L2601" i="56"/>
  <c r="B2509" i="56"/>
  <c r="B2281" i="56"/>
  <c r="L2265" i="56"/>
  <c r="B2264" i="56"/>
  <c r="B2249" i="56"/>
  <c r="B2239" i="56"/>
  <c r="B2208" i="56"/>
  <c r="B2166" i="56"/>
  <c r="B2075" i="56"/>
  <c r="B2737" i="56"/>
  <c r="B2593" i="56"/>
  <c r="B2437" i="56"/>
  <c r="B2292" i="56"/>
  <c r="B2289" i="56"/>
  <c r="B2218" i="56"/>
  <c r="B2085" i="56"/>
  <c r="L2493" i="56"/>
  <c r="L2488" i="56"/>
  <c r="L2361" i="56"/>
  <c r="L2351" i="56"/>
  <c r="L2283" i="56"/>
  <c r="B2272" i="56"/>
  <c r="L2175" i="56"/>
  <c r="B2120" i="56"/>
  <c r="B2086" i="56"/>
  <c r="B1969" i="56"/>
  <c r="B2048" i="56"/>
  <c r="L2232" i="56"/>
  <c r="B2184" i="56"/>
  <c r="B2181" i="56"/>
  <c r="L2158" i="56"/>
  <c r="B2147" i="56"/>
  <c r="L2121" i="56"/>
  <c r="L2114" i="56"/>
  <c r="L2088" i="56"/>
  <c r="L2068" i="56"/>
  <c r="B2035" i="56"/>
  <c r="B2351" i="56"/>
  <c r="B2333" i="56"/>
  <c r="L2326" i="56"/>
  <c r="B2302" i="56"/>
  <c r="B2288" i="56"/>
  <c r="L2281" i="56"/>
  <c r="B2280" i="56"/>
  <c r="B2273" i="56"/>
  <c r="B2217" i="56"/>
  <c r="B2188" i="56"/>
  <c r="B2036" i="56"/>
  <c r="L2733" i="56"/>
  <c r="L2709" i="56"/>
  <c r="L2589" i="56"/>
  <c r="L2565" i="56"/>
  <c r="B2450" i="56"/>
  <c r="L2433" i="56"/>
  <c r="B2365" i="56"/>
  <c r="B2306" i="56"/>
  <c r="L2289" i="56"/>
  <c r="L2264" i="56"/>
  <c r="B2263" i="56"/>
  <c r="B2198" i="56"/>
  <c r="B2172" i="56"/>
  <c r="B2131" i="56"/>
  <c r="L2125" i="56"/>
  <c r="B2118" i="56"/>
  <c r="B2747" i="56"/>
  <c r="B2710" i="56"/>
  <c r="B2674" i="56"/>
  <c r="B2638" i="56"/>
  <c r="B2602" i="56"/>
  <c r="B2566" i="56"/>
  <c r="B2530" i="56"/>
  <c r="B2471" i="56"/>
  <c r="B2458" i="56"/>
  <c r="B2399" i="56"/>
  <c r="B2386" i="56"/>
  <c r="B2298" i="56"/>
  <c r="L2271" i="56"/>
  <c r="B2227" i="56"/>
  <c r="L2219" i="56"/>
  <c r="B2201" i="56"/>
  <c r="B2171" i="56"/>
  <c r="B2158" i="56"/>
  <c r="L2133" i="56"/>
  <c r="B2087" i="56"/>
  <c r="B2074" i="56"/>
  <c r="L2029" i="56"/>
  <c r="B1975" i="56"/>
  <c r="L1948" i="56"/>
  <c r="B1947" i="56"/>
  <c r="B1876" i="56"/>
  <c r="L1869" i="56"/>
  <c r="B1801" i="56"/>
  <c r="B1798" i="56"/>
  <c r="B1747" i="56"/>
  <c r="B1645" i="56"/>
  <c r="L2721" i="56"/>
  <c r="L2685" i="56"/>
  <c r="L2649" i="56"/>
  <c r="L2613" i="56"/>
  <c r="L2577" i="56"/>
  <c r="L2541" i="56"/>
  <c r="L2481" i="56"/>
  <c r="L2409" i="56"/>
  <c r="L2337" i="56"/>
  <c r="L2314" i="56"/>
  <c r="L2300" i="56"/>
  <c r="L2229" i="56"/>
  <c r="L2186" i="56"/>
  <c r="B2145" i="56"/>
  <c r="B2037" i="56"/>
  <c r="L2013" i="56"/>
  <c r="L1945" i="56"/>
  <c r="B1927" i="56"/>
  <c r="B1903" i="56"/>
  <c r="B1852" i="56"/>
  <c r="B1791" i="56"/>
  <c r="B1673" i="56"/>
  <c r="B2162" i="56"/>
  <c r="B2136" i="56"/>
  <c r="B1979" i="56"/>
  <c r="B1842" i="56"/>
  <c r="B1781" i="56"/>
  <c r="B1911" i="56"/>
  <c r="B1869" i="56"/>
  <c r="B1806" i="56"/>
  <c r="B1937" i="56"/>
  <c r="B1826" i="56"/>
  <c r="B2233" i="56"/>
  <c r="L2217" i="56"/>
  <c r="B2207" i="56"/>
  <c r="B2182" i="56"/>
  <c r="B2169" i="56"/>
  <c r="L2148" i="56"/>
  <c r="B2143" i="56"/>
  <c r="B2130" i="56"/>
  <c r="B2124" i="56"/>
  <c r="B2111" i="56"/>
  <c r="B2098" i="56"/>
  <c r="L1935" i="56"/>
  <c r="B1893" i="56"/>
  <c r="B1885" i="56"/>
  <c r="B1816" i="56"/>
  <c r="L2254" i="56"/>
  <c r="B2195" i="56"/>
  <c r="L2061" i="56"/>
  <c r="B2055" i="56"/>
  <c r="L2049" i="56"/>
  <c r="B2005" i="56"/>
  <c r="L1986" i="56"/>
  <c r="B1918" i="56"/>
  <c r="B1901" i="56"/>
  <c r="B1890" i="56"/>
  <c r="B1810" i="56"/>
  <c r="B1767" i="56"/>
  <c r="B1749" i="56"/>
  <c r="L1743" i="56"/>
  <c r="B1742" i="56"/>
  <c r="B1479" i="56"/>
  <c r="B2030" i="56"/>
  <c r="B1985" i="56"/>
  <c r="B1905" i="56"/>
  <c r="B1820" i="56"/>
  <c r="B1807" i="56"/>
  <c r="B1775" i="56"/>
  <c r="B1712" i="56"/>
  <c r="B1739" i="56"/>
  <c r="B1732" i="56"/>
  <c r="B1709" i="56"/>
  <c r="B1978" i="56"/>
  <c r="B1943" i="56"/>
  <c r="B1894" i="56"/>
  <c r="B1851" i="56"/>
  <c r="B1848" i="56"/>
  <c r="B1833" i="56"/>
  <c r="B1783" i="56"/>
  <c r="B1780" i="56"/>
  <c r="B1660" i="56"/>
  <c r="B2278" i="56"/>
  <c r="B2254" i="56"/>
  <c r="B2231" i="56"/>
  <c r="L2206" i="56"/>
  <c r="B2122" i="56"/>
  <c r="B2109" i="56"/>
  <c r="B2061" i="56"/>
  <c r="L2054" i="56"/>
  <c r="B2049" i="56"/>
  <c r="L2025" i="56"/>
  <c r="B2024" i="56"/>
  <c r="B2015" i="56"/>
  <c r="B2011" i="56"/>
  <c r="B1962" i="56"/>
  <c r="B1891" i="56"/>
  <c r="L1769" i="56"/>
  <c r="B1757" i="56"/>
  <c r="L1744" i="56"/>
  <c r="B1703" i="56"/>
  <c r="L2252" i="56"/>
  <c r="L2109" i="56"/>
  <c r="B1803" i="56"/>
  <c r="L1757" i="56"/>
  <c r="B1705" i="56"/>
  <c r="B1634" i="56"/>
  <c r="L1624" i="56"/>
  <c r="B1597" i="56"/>
  <c r="L1488" i="56"/>
  <c r="B1478" i="56"/>
  <c r="B1475" i="56"/>
  <c r="B1472" i="56"/>
  <c r="B1433" i="56"/>
  <c r="B1996" i="56"/>
  <c r="B1986" i="56"/>
  <c r="B1902" i="56"/>
  <c r="B1861" i="56"/>
  <c r="B1818" i="56"/>
  <c r="B1793" i="56"/>
  <c r="B1676" i="56"/>
  <c r="B1623" i="56"/>
  <c r="B1835" i="56"/>
  <c r="B1631" i="56"/>
  <c r="B1524" i="56"/>
  <c r="B1517" i="56"/>
  <c r="L1633" i="56"/>
  <c r="L1555" i="56"/>
  <c r="L1541" i="56"/>
  <c r="B1392" i="56"/>
  <c r="B1669" i="56"/>
  <c r="B1574" i="56"/>
  <c r="L1725" i="56"/>
  <c r="B1711" i="56"/>
  <c r="B1707" i="56"/>
  <c r="B1697" i="56"/>
  <c r="L1657" i="56"/>
  <c r="B1607" i="56"/>
  <c r="B1587" i="56"/>
  <c r="L1585" i="56"/>
  <c r="L1581" i="56"/>
  <c r="L1552" i="56"/>
  <c r="L1545" i="56"/>
  <c r="B1536" i="56"/>
  <c r="B1525" i="56"/>
  <c r="B1501" i="56"/>
  <c r="B1758" i="56"/>
  <c r="L1653" i="56"/>
  <c r="B1633" i="56"/>
  <c r="B1595" i="56"/>
  <c r="B1562" i="56"/>
  <c r="B1551" i="56"/>
  <c r="L1549" i="56"/>
  <c r="B1512" i="56"/>
  <c r="B1492" i="56"/>
  <c r="B1477" i="56"/>
  <c r="B1471" i="56"/>
  <c r="B1358" i="56"/>
  <c r="B1299" i="56"/>
  <c r="L1861" i="56"/>
  <c r="L1766" i="56"/>
  <c r="B1670" i="56"/>
  <c r="L1597" i="56"/>
  <c r="B1581" i="56"/>
  <c r="B1545" i="56"/>
  <c r="B1486" i="56"/>
  <c r="B1792" i="56"/>
  <c r="B1776" i="56"/>
  <c r="B1759" i="56"/>
  <c r="B1733" i="56"/>
  <c r="B1718" i="56"/>
  <c r="B1567" i="56"/>
  <c r="B1560" i="56"/>
  <c r="B1552" i="56"/>
  <c r="L1517" i="56"/>
  <c r="B1516" i="56"/>
  <c r="B1405" i="56"/>
  <c r="B1353" i="56"/>
  <c r="B1345" i="56"/>
  <c r="B2062" i="56"/>
  <c r="B2025" i="56"/>
  <c r="B1995" i="56"/>
  <c r="B1959" i="56"/>
  <c r="B1954" i="56"/>
  <c r="B1928" i="56"/>
  <c r="L1893" i="56"/>
  <c r="B1886" i="56"/>
  <c r="L1867" i="56"/>
  <c r="B1860" i="56"/>
  <c r="B1843" i="56"/>
  <c r="B1839" i="56"/>
  <c r="B1834" i="56"/>
  <c r="B1817" i="56"/>
  <c r="B1782" i="56"/>
  <c r="B1755" i="56"/>
  <c r="B1740" i="56"/>
  <c r="B1695" i="56"/>
  <c r="B1675" i="56"/>
  <c r="B1671" i="56"/>
  <c r="B1661" i="56"/>
  <c r="L1561" i="56"/>
  <c r="B1526" i="56"/>
  <c r="B1523" i="56"/>
  <c r="B1513" i="56"/>
  <c r="B1499" i="56"/>
  <c r="B1436" i="56"/>
  <c r="B1391" i="56"/>
  <c r="B1371" i="56"/>
  <c r="B1971" i="56"/>
  <c r="L1873" i="56"/>
  <c r="B1827" i="56"/>
  <c r="B1719" i="56"/>
  <c r="B1683" i="56"/>
  <c r="B1647" i="56"/>
  <c r="B1611" i="56"/>
  <c r="B1575" i="56"/>
  <c r="B1539" i="56"/>
  <c r="B1487" i="56"/>
  <c r="L1474" i="56"/>
  <c r="B1452" i="56"/>
  <c r="B1427" i="56"/>
  <c r="B1399" i="56"/>
  <c r="B1393" i="56"/>
  <c r="L1333" i="56"/>
  <c r="B1332" i="56"/>
  <c r="L1271" i="56"/>
  <c r="L1264" i="56"/>
  <c r="B1253" i="56"/>
  <c r="B1243" i="56"/>
  <c r="L1933" i="56"/>
  <c r="B1887" i="56"/>
  <c r="L1789" i="56"/>
  <c r="B1743" i="56"/>
  <c r="L1494" i="56"/>
  <c r="L1470" i="56"/>
  <c r="B1442" i="56"/>
  <c r="L1405" i="56"/>
  <c r="B1367" i="56"/>
  <c r="B1328" i="56"/>
  <c r="B1260" i="56"/>
  <c r="B1250" i="56"/>
  <c r="L1247" i="56"/>
  <c r="B1080" i="56"/>
  <c r="L1993" i="56"/>
  <c r="L1849" i="56"/>
  <c r="B1428" i="56"/>
  <c r="B1372" i="56"/>
  <c r="B1359" i="56"/>
  <c r="B1346" i="56"/>
  <c r="B1274" i="56"/>
  <c r="B1463" i="56"/>
  <c r="B1333" i="56"/>
  <c r="L1486" i="56"/>
  <c r="L1441" i="56"/>
  <c r="L1284" i="56"/>
  <c r="B1251" i="56"/>
  <c r="B1143" i="56"/>
  <c r="B1268" i="56"/>
  <c r="B1261" i="56"/>
  <c r="B1307" i="56"/>
  <c r="B1295" i="56"/>
  <c r="B1287" i="56"/>
  <c r="B1275" i="56"/>
  <c r="B1272" i="56"/>
  <c r="B1255" i="56"/>
  <c r="L1438" i="56"/>
  <c r="B1334" i="56"/>
  <c r="B1252" i="56"/>
  <c r="L1240" i="56"/>
  <c r="B1239" i="56"/>
  <c r="B1406" i="56"/>
  <c r="B1451" i="56"/>
  <c r="B1379" i="56"/>
  <c r="B1366" i="56"/>
  <c r="B1321" i="56"/>
  <c r="B1313" i="56"/>
  <c r="B1308" i="56"/>
  <c r="B1300" i="56"/>
  <c r="B1296" i="56"/>
  <c r="B1281" i="56"/>
  <c r="B1262" i="56"/>
  <c r="B1229" i="56"/>
  <c r="B1413" i="56"/>
  <c r="B1403" i="56"/>
  <c r="L1372" i="56"/>
  <c r="L1359" i="56"/>
  <c r="B1354" i="56"/>
  <c r="L1346" i="56"/>
  <c r="B1341" i="56"/>
  <c r="L1274" i="56"/>
  <c r="B1488" i="56"/>
  <c r="B1368" i="56"/>
  <c r="B1355" i="56"/>
  <c r="L1243" i="56"/>
  <c r="L1209" i="56"/>
  <c r="L1378" i="56"/>
  <c r="B1125" i="56"/>
  <c r="L1100" i="56"/>
  <c r="L1086" i="56"/>
  <c r="B1081" i="56"/>
  <c r="L1078" i="56"/>
  <c r="B1055" i="56"/>
  <c r="B1013" i="56"/>
  <c r="B1158" i="56"/>
  <c r="B1063" i="56"/>
  <c r="B1130" i="56"/>
  <c r="B1114" i="56"/>
  <c r="L1148" i="56"/>
  <c r="B1134" i="56"/>
  <c r="B1122" i="56"/>
  <c r="B1104" i="56"/>
  <c r="L1091" i="56"/>
  <c r="B1049" i="56"/>
  <c r="B1164" i="56"/>
  <c r="B1100" i="56"/>
  <c r="B1075" i="56"/>
  <c r="L1050" i="56"/>
  <c r="B1027" i="56"/>
  <c r="B1254" i="56"/>
  <c r="B1218" i="56"/>
  <c r="B1196" i="56"/>
  <c r="B1178" i="56"/>
  <c r="B1144" i="56"/>
  <c r="L1132" i="56"/>
  <c r="L1124" i="56"/>
  <c r="L1120" i="56"/>
  <c r="B1040" i="56"/>
  <c r="B1037" i="56"/>
  <c r="B1034" i="56"/>
  <c r="B1024" i="56"/>
  <c r="B1224" i="56"/>
  <c r="B1135" i="56"/>
  <c r="B1131" i="56"/>
  <c r="B1108" i="56"/>
  <c r="B1068" i="56"/>
  <c r="B1018" i="56"/>
  <c r="L1252" i="56"/>
  <c r="B1240" i="56"/>
  <c r="B1210" i="56"/>
  <c r="B1183" i="56"/>
  <c r="B1148" i="56"/>
  <c r="L1099" i="56"/>
  <c r="L1048" i="56"/>
  <c r="B1044" i="56"/>
  <c r="B1073" i="56"/>
  <c r="B1058" i="56"/>
  <c r="L1222" i="56"/>
  <c r="B1170" i="56"/>
  <c r="B1157" i="56"/>
  <c r="B1153" i="56"/>
  <c r="B1109" i="56"/>
  <c r="B1102" i="56"/>
  <c r="B1084" i="56"/>
  <c r="B1054" i="56"/>
  <c r="B1012" i="56"/>
  <c r="L1318" i="56"/>
  <c r="B1230" i="56"/>
  <c r="B1216" i="56"/>
  <c r="B1194" i="56"/>
  <c r="B1190" i="56"/>
  <c r="B1180" i="56"/>
  <c r="B1176" i="56"/>
  <c r="L1147" i="56"/>
  <c r="L1114" i="56"/>
  <c r="B1099" i="56"/>
  <c r="B1062" i="56"/>
  <c r="L1030" i="56"/>
  <c r="B1025" i="56"/>
  <c r="L1000" i="56"/>
  <c r="B965" i="56"/>
  <c r="L1228" i="56"/>
  <c r="L1180" i="56"/>
  <c r="L1089" i="56"/>
  <c r="B1042" i="56"/>
  <c r="B1038" i="56"/>
  <c r="B1010" i="56"/>
  <c r="B961" i="56"/>
  <c r="B1110" i="56"/>
  <c r="B1132" i="56"/>
  <c r="B1019" i="56"/>
  <c r="B893" i="56"/>
  <c r="B989" i="56"/>
  <c r="B891" i="56"/>
  <c r="B831" i="56"/>
  <c r="B943" i="56"/>
  <c r="B937" i="56"/>
  <c r="B993" i="56"/>
  <c r="B954" i="56"/>
  <c r="B951" i="56"/>
  <c r="L931" i="56"/>
  <c r="B915" i="56"/>
  <c r="B866" i="56"/>
  <c r="B845" i="56"/>
  <c r="B825" i="56"/>
  <c r="B1076" i="56"/>
  <c r="B1072" i="56"/>
  <c r="L1060" i="56"/>
  <c r="L1042" i="56"/>
  <c r="L1038" i="56"/>
  <c r="B1033" i="56"/>
  <c r="B990" i="56"/>
  <c r="L968" i="56"/>
  <c r="L826" i="56"/>
  <c r="B958" i="56"/>
  <c r="B925" i="56"/>
  <c r="L917" i="56"/>
  <c r="B892" i="56"/>
  <c r="B877" i="56"/>
  <c r="B1105" i="56"/>
  <c r="B1096" i="56"/>
  <c r="L1084" i="56"/>
  <c r="B1001" i="56"/>
  <c r="L992" i="56"/>
  <c r="B976" i="56"/>
  <c r="L965" i="56"/>
  <c r="B964" i="56"/>
  <c r="B916" i="56"/>
  <c r="L893" i="56"/>
  <c r="L1096" i="56"/>
  <c r="L1058" i="56"/>
  <c r="B898" i="56"/>
  <c r="B868" i="56"/>
  <c r="B817" i="56"/>
  <c r="B808" i="56"/>
  <c r="L790" i="56"/>
  <c r="B761" i="56"/>
  <c r="B754" i="56"/>
  <c r="B777" i="56"/>
  <c r="B781" i="56"/>
  <c r="B762" i="56"/>
  <c r="L1072" i="56"/>
  <c r="B1064" i="56"/>
  <c r="L980" i="56"/>
  <c r="B955" i="56"/>
  <c r="B948" i="56"/>
  <c r="B930" i="56"/>
  <c r="B857" i="56"/>
  <c r="L953" i="56"/>
  <c r="B952" i="56"/>
  <c r="B938" i="56"/>
  <c r="L921" i="56"/>
  <c r="B917" i="56"/>
  <c r="B888" i="56"/>
  <c r="L861" i="56"/>
  <c r="L853" i="56"/>
  <c r="B852" i="56"/>
  <c r="L682" i="56"/>
  <c r="L999" i="56"/>
  <c r="L910" i="56"/>
  <c r="L869" i="56"/>
  <c r="L806" i="56"/>
  <c r="L797" i="56"/>
  <c r="B708" i="56"/>
  <c r="L685" i="56"/>
  <c r="B666" i="56"/>
  <c r="B631" i="56"/>
  <c r="B617" i="56"/>
  <c r="B587" i="56"/>
  <c r="B927" i="56"/>
  <c r="B918" i="56"/>
  <c r="B879" i="56"/>
  <c r="B833" i="56"/>
  <c r="B800" i="56"/>
  <c r="B760" i="56"/>
  <c r="B718" i="56"/>
  <c r="B566" i="56"/>
  <c r="L901" i="56"/>
  <c r="L825" i="56"/>
  <c r="B823" i="56"/>
  <c r="L757" i="56"/>
  <c r="B755" i="56"/>
  <c r="L719" i="56"/>
  <c r="B700" i="56"/>
  <c r="B675" i="56"/>
  <c r="B638" i="56"/>
  <c r="B605" i="56"/>
  <c r="B819" i="56"/>
  <c r="B774" i="56"/>
  <c r="B741" i="56"/>
  <c r="B689" i="56"/>
  <c r="B839" i="56"/>
  <c r="B801" i="56"/>
  <c r="B787" i="56"/>
  <c r="L739" i="56"/>
  <c r="B709" i="56"/>
  <c r="L683" i="56"/>
  <c r="L673" i="56"/>
  <c r="B667" i="56"/>
  <c r="L589" i="56"/>
  <c r="B588" i="56"/>
  <c r="B582" i="56"/>
  <c r="B579" i="56"/>
  <c r="B859" i="56"/>
  <c r="L799" i="56"/>
  <c r="L781" i="56"/>
  <c r="B742" i="56"/>
  <c r="L724" i="56"/>
  <c r="B672" i="56"/>
  <c r="B629" i="56"/>
  <c r="B592" i="56"/>
  <c r="L939" i="56"/>
  <c r="L913" i="56"/>
  <c r="B911" i="56"/>
  <c r="L889" i="56"/>
  <c r="B846" i="56"/>
  <c r="L838" i="56"/>
  <c r="B650" i="56"/>
  <c r="L597" i="56"/>
  <c r="B600" i="56"/>
  <c r="B560" i="56"/>
  <c r="B931" i="56"/>
  <c r="B907" i="56"/>
  <c r="B903" i="56"/>
  <c r="B883" i="56"/>
  <c r="B872" i="56"/>
  <c r="L829" i="56"/>
  <c r="B813" i="56"/>
  <c r="B768" i="56"/>
  <c r="B759" i="56"/>
  <c r="B740" i="56"/>
  <c r="B732" i="56"/>
  <c r="B721" i="56"/>
  <c r="B684" i="56"/>
  <c r="B634" i="56"/>
  <c r="B919" i="56"/>
  <c r="B867" i="56"/>
  <c r="B847" i="56"/>
  <c r="B795" i="56"/>
  <c r="B775" i="56"/>
  <c r="B743" i="56"/>
  <c r="L730" i="56"/>
  <c r="L691" i="56"/>
  <c r="B628" i="56"/>
  <c r="B623" i="56"/>
  <c r="B593" i="56"/>
  <c r="B574" i="56"/>
  <c r="B503" i="56"/>
  <c r="L929" i="56"/>
  <c r="L877" i="56"/>
  <c r="L857" i="56"/>
  <c r="L805" i="56"/>
  <c r="L785" i="56"/>
  <c r="L721" i="56"/>
  <c r="L699" i="56"/>
  <c r="L637" i="56"/>
  <c r="L603" i="56"/>
  <c r="B526" i="56"/>
  <c r="L504" i="56"/>
  <c r="L464" i="56"/>
  <c r="B463" i="56"/>
  <c r="B763" i="56"/>
  <c r="B606" i="56"/>
  <c r="L506" i="56"/>
  <c r="B446" i="56"/>
  <c r="B487" i="56"/>
  <c r="B571" i="56"/>
  <c r="B561" i="56"/>
  <c r="B512" i="56"/>
  <c r="L470" i="56"/>
  <c r="L572" i="56"/>
  <c r="L536" i="56"/>
  <c r="B528" i="56"/>
  <c r="B476" i="56"/>
  <c r="B469" i="56"/>
  <c r="L458" i="56"/>
  <c r="L751" i="56"/>
  <c r="B715" i="56"/>
  <c r="B706" i="56"/>
  <c r="B681" i="56"/>
  <c r="L662" i="56"/>
  <c r="L648" i="56"/>
  <c r="B647" i="56"/>
  <c r="B601" i="56"/>
  <c r="L594" i="56"/>
  <c r="B586" i="56"/>
  <c r="B583" i="56"/>
  <c r="B559" i="56"/>
  <c r="L549" i="56"/>
  <c r="B548" i="56"/>
  <c r="B492" i="56"/>
  <c r="B693" i="56"/>
  <c r="B595" i="56"/>
  <c r="L591" i="56"/>
  <c r="B529" i="56"/>
  <c r="B525" i="56"/>
  <c r="B509" i="56"/>
  <c r="L482" i="56"/>
  <c r="L471" i="56"/>
  <c r="B421" i="56"/>
  <c r="L314" i="56"/>
  <c r="B313" i="56"/>
  <c r="L655" i="56"/>
  <c r="L640" i="56"/>
  <c r="B612" i="56"/>
  <c r="B575" i="56"/>
  <c r="L548" i="56"/>
  <c r="B504" i="56"/>
  <c r="B394" i="56"/>
  <c r="L381" i="56"/>
  <c r="B380" i="56"/>
  <c r="B370" i="56"/>
  <c r="L355" i="56"/>
  <c r="L338" i="56"/>
  <c r="B239" i="56"/>
  <c r="L715" i="56"/>
  <c r="L586" i="56"/>
  <c r="B326" i="56"/>
  <c r="L583" i="56"/>
  <c r="L487" i="56"/>
  <c r="B486" i="56"/>
  <c r="B292" i="56"/>
  <c r="L727" i="56"/>
  <c r="B621" i="56"/>
  <c r="B573" i="56"/>
  <c r="L571" i="56"/>
  <c r="B531" i="56"/>
  <c r="B515" i="56"/>
  <c r="L492" i="56"/>
  <c r="B468" i="56"/>
  <c r="B427" i="56"/>
  <c r="L403" i="56"/>
  <c r="B387" i="56"/>
  <c r="B375" i="56"/>
  <c r="B396" i="56"/>
  <c r="L337" i="56"/>
  <c r="B297" i="56"/>
  <c r="L619" i="56"/>
  <c r="L608" i="56"/>
  <c r="B524" i="56"/>
  <c r="L447" i="56"/>
  <c r="B336" i="56"/>
  <c r="L535" i="56"/>
  <c r="B516" i="56"/>
  <c r="B456" i="56"/>
  <c r="B442" i="56"/>
  <c r="B428" i="56"/>
  <c r="B410" i="56"/>
  <c r="B310" i="56"/>
  <c r="B293" i="56"/>
  <c r="B286" i="56"/>
  <c r="B207" i="56"/>
  <c r="L618" i="56"/>
  <c r="L559" i="56"/>
  <c r="L499" i="56"/>
  <c r="B488" i="56"/>
  <c r="B470" i="56"/>
  <c r="L408" i="56"/>
  <c r="B354" i="56"/>
  <c r="B252" i="56"/>
  <c r="B228" i="56"/>
  <c r="L217" i="56"/>
  <c r="B298" i="56"/>
  <c r="B267" i="56"/>
  <c r="B378" i="56"/>
  <c r="L309" i="56"/>
  <c r="L281" i="56"/>
  <c r="L272" i="56"/>
  <c r="L229" i="56"/>
  <c r="B408" i="56"/>
  <c r="L380" i="56"/>
  <c r="L372" i="56"/>
  <c r="L341" i="56"/>
  <c r="L336" i="56"/>
  <c r="L303" i="56"/>
  <c r="B395" i="56"/>
  <c r="B348" i="56"/>
  <c r="L289" i="56"/>
  <c r="B281" i="56"/>
  <c r="B278" i="56"/>
  <c r="B268" i="56"/>
  <c r="L233" i="56"/>
  <c r="L523" i="56"/>
  <c r="B455" i="56"/>
  <c r="L432" i="56"/>
  <c r="B353" i="56"/>
  <c r="B254" i="56"/>
  <c r="B236" i="56"/>
  <c r="B314" i="56"/>
  <c r="B272" i="56"/>
  <c r="B259" i="56"/>
  <c r="L253" i="56"/>
  <c r="L230" i="56"/>
  <c r="B214" i="56"/>
  <c r="B465" i="56"/>
  <c r="B413" i="56"/>
  <c r="L343" i="56"/>
  <c r="L329" i="56"/>
  <c r="B302" i="56"/>
  <c r="B248" i="56"/>
  <c r="B233" i="56"/>
  <c r="B438" i="56"/>
  <c r="B376" i="56"/>
  <c r="B363" i="56"/>
  <c r="B359" i="56"/>
  <c r="B350" i="56"/>
  <c r="B328" i="56"/>
  <c r="B315" i="56"/>
  <c r="B279" i="56"/>
  <c r="B276" i="56"/>
  <c r="B212" i="56"/>
  <c r="L547" i="56"/>
  <c r="L364" i="56"/>
  <c r="B355" i="56"/>
  <c r="B342" i="56"/>
  <c r="L475" i="56"/>
  <c r="L456" i="56"/>
  <c r="L396" i="56"/>
  <c r="B388" i="56"/>
  <c r="L348" i="56"/>
  <c r="L301" i="56"/>
  <c r="B294" i="56"/>
  <c r="B218" i="56"/>
  <c r="B175" i="56"/>
  <c r="B156" i="56"/>
  <c r="B118" i="56"/>
  <c r="B126" i="56"/>
  <c r="L354" i="56"/>
  <c r="B234" i="56"/>
  <c r="B216" i="56"/>
  <c r="B193" i="56"/>
  <c r="B197" i="56"/>
  <c r="B180" i="56"/>
  <c r="B169" i="56"/>
  <c r="B221" i="56"/>
  <c r="L156" i="56"/>
  <c r="L149" i="56"/>
  <c r="L384" i="56"/>
  <c r="L264" i="56"/>
  <c r="B242" i="56"/>
  <c r="B198" i="56"/>
  <c r="B184" i="56"/>
  <c r="B137" i="56"/>
  <c r="L132" i="56"/>
  <c r="B124" i="56"/>
  <c r="B90" i="56"/>
  <c r="L444" i="56"/>
  <c r="L326" i="56"/>
  <c r="L312" i="56"/>
  <c r="L252" i="56"/>
  <c r="B203" i="56"/>
  <c r="L174" i="56"/>
  <c r="B166" i="56"/>
  <c r="B148" i="56"/>
  <c r="B131" i="56"/>
  <c r="L120" i="56"/>
  <c r="B338" i="56"/>
  <c r="B209" i="56"/>
  <c r="B181" i="56"/>
  <c r="B79" i="56"/>
  <c r="B138" i="56"/>
  <c r="B125" i="56"/>
  <c r="B101" i="56"/>
  <c r="B71" i="56"/>
  <c r="B89" i="56"/>
  <c r="L300" i="56"/>
  <c r="B173" i="56"/>
  <c r="L151" i="56"/>
  <c r="L105" i="56"/>
  <c r="B140" i="56"/>
  <c r="B8" i="56"/>
  <c r="B133" i="56"/>
  <c r="B85" i="56"/>
  <c r="B64" i="56"/>
  <c r="B52" i="56"/>
  <c r="B43" i="56"/>
  <c r="B112" i="56"/>
  <c r="B100" i="56"/>
  <c r="L71" i="56"/>
  <c r="B70" i="56"/>
  <c r="B67" i="56"/>
  <c r="B55" i="56"/>
  <c r="B16" i="56"/>
  <c r="B163" i="56"/>
  <c r="B119" i="56"/>
  <c r="L114" i="56"/>
  <c r="L92" i="56"/>
  <c r="B91" i="56"/>
  <c r="B77" i="56"/>
  <c r="L66" i="56"/>
  <c r="B19" i="56"/>
  <c r="B17" i="56"/>
  <c r="L137" i="56"/>
  <c r="B127" i="56"/>
  <c r="L89" i="56"/>
  <c r="B53" i="56"/>
  <c r="B41" i="56"/>
  <c r="B29" i="56"/>
  <c r="B115" i="56"/>
  <c r="B7" i="56"/>
  <c r="L113" i="56"/>
  <c r="L65" i="56"/>
  <c r="L17" i="56"/>
  <c r="L53" i="56"/>
  <c r="L41" i="56"/>
  <c r="L29" i="56"/>
  <c r="L101" i="56"/>
  <c r="M88" i="69"/>
  <c r="A344" i="69"/>
  <c r="K344" i="69"/>
  <c r="A429" i="69"/>
  <c r="K83" i="69"/>
  <c r="K84" i="69"/>
  <c r="A83" i="69"/>
  <c r="A84" i="69"/>
  <c r="A85" i="69"/>
  <c r="A426" i="69"/>
  <c r="A427" i="69"/>
  <c r="A428" i="69"/>
  <c r="K425" i="69"/>
  <c r="A425" i="69"/>
  <c r="K341" i="69"/>
  <c r="K342" i="69"/>
  <c r="K343" i="69"/>
  <c r="A341" i="69"/>
  <c r="A342" i="69"/>
  <c r="A343" i="69"/>
  <c r="A255" i="69"/>
  <c r="A256" i="69"/>
  <c r="A257" i="69"/>
  <c r="K170" i="69"/>
  <c r="A170" i="69"/>
  <c r="K169" i="69"/>
  <c r="A169" i="69"/>
  <c r="K168" i="69"/>
  <c r="A168" i="69"/>
  <c r="M133" i="69"/>
  <c r="M250" i="69" l="1"/>
  <c r="M247" i="69"/>
  <c r="M244" i="69"/>
  <c r="M238" i="69"/>
  <c r="M220" i="69"/>
  <c r="M217" i="69"/>
  <c r="M216" i="69"/>
  <c r="M215" i="69"/>
  <c r="M214" i="69"/>
  <c r="M213" i="69"/>
  <c r="M208" i="69"/>
  <c r="M207" i="69"/>
  <c r="M206" i="69"/>
  <c r="M168" i="69"/>
  <c r="M155" i="69"/>
  <c r="M154" i="69"/>
  <c r="M135" i="69"/>
  <c r="M132" i="69"/>
  <c r="M130" i="69"/>
  <c r="M129" i="69"/>
  <c r="M124" i="69"/>
  <c r="M123" i="69"/>
  <c r="M122" i="69"/>
  <c r="M81" i="69"/>
  <c r="M77" i="69"/>
  <c r="M72" i="69"/>
  <c r="M54" i="69"/>
  <c r="M51" i="69"/>
  <c r="M50" i="69"/>
  <c r="M48" i="69"/>
  <c r="M42" i="69"/>
  <c r="M41" i="69"/>
  <c r="M249" i="69"/>
  <c r="M246" i="69"/>
  <c r="M245" i="69"/>
  <c r="M175" i="69"/>
  <c r="M171" i="69"/>
  <c r="M165" i="69"/>
  <c r="M164" i="69"/>
  <c r="M161" i="69"/>
  <c r="M160" i="69"/>
  <c r="M91" i="69"/>
  <c r="M84" i="69"/>
  <c r="M83" i="69"/>
  <c r="M82" i="69"/>
  <c r="M79" i="69"/>
  <c r="M78" i="69"/>
  <c r="M40" i="69"/>
  <c r="M331" i="69"/>
  <c r="M251" i="69"/>
  <c r="M195" i="69"/>
  <c r="M185" i="69"/>
  <c r="M163" i="69"/>
  <c r="M131" i="69"/>
  <c r="M111" i="69"/>
  <c r="M101" i="69"/>
  <c r="M49" i="69"/>
  <c r="M29" i="69"/>
  <c r="M9" i="69"/>
  <c r="M6" i="69"/>
  <c r="M3" i="69"/>
  <c r="M19" i="69"/>
  <c r="M240" i="69"/>
  <c r="M219" i="69"/>
  <c r="M162" i="69"/>
  <c r="M47" i="69"/>
  <c r="K2" i="56"/>
  <c r="J2" i="56"/>
  <c r="H2" i="56"/>
  <c r="G2" i="56"/>
  <c r="E2" i="56"/>
  <c r="C2" i="56"/>
  <c r="D2" i="56" s="1"/>
  <c r="A81" i="69"/>
  <c r="A82" i="69"/>
  <c r="A86" i="69"/>
  <c r="K423" i="69"/>
  <c r="K424" i="69"/>
  <c r="K427" i="69"/>
  <c r="A423" i="69"/>
  <c r="A424" i="69"/>
  <c r="K338" i="69"/>
  <c r="K339" i="69"/>
  <c r="K340" i="69"/>
  <c r="K345" i="69"/>
  <c r="K346" i="69"/>
  <c r="K347" i="69"/>
  <c r="K348" i="69"/>
  <c r="K349" i="69"/>
  <c r="K350" i="69"/>
  <c r="K351" i="69"/>
  <c r="K352" i="69"/>
  <c r="K353" i="69"/>
  <c r="K354" i="69"/>
  <c r="A338" i="69"/>
  <c r="A339" i="69"/>
  <c r="A340" i="69"/>
  <c r="K251" i="69"/>
  <c r="K252" i="69"/>
  <c r="K253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274" i="69"/>
  <c r="K275" i="69"/>
  <c r="K276" i="69"/>
  <c r="K277" i="69"/>
  <c r="K278" i="69"/>
  <c r="K279" i="69"/>
  <c r="A252" i="69"/>
  <c r="A253" i="69"/>
  <c r="A254" i="69"/>
  <c r="K166" i="69"/>
  <c r="K167" i="69"/>
  <c r="K171" i="69"/>
  <c r="K173" i="69"/>
  <c r="K174" i="69"/>
  <c r="K175" i="69"/>
  <c r="K176" i="69"/>
  <c r="K177" i="69"/>
  <c r="K178" i="69"/>
  <c r="K179" i="69"/>
  <c r="K180" i="69"/>
  <c r="K181" i="69"/>
  <c r="A166" i="69"/>
  <c r="A167" i="69"/>
  <c r="A171" i="69"/>
  <c r="A173" i="69"/>
  <c r="A174" i="69"/>
  <c r="A175" i="69"/>
  <c r="A176" i="69"/>
  <c r="A177" i="69"/>
  <c r="A178" i="69"/>
  <c r="A179" i="69"/>
  <c r="A180" i="69"/>
  <c r="A181" i="69"/>
  <c r="A182" i="69"/>
  <c r="A183" i="69"/>
  <c r="A184" i="69"/>
  <c r="A185" i="69"/>
  <c r="K81" i="69"/>
  <c r="K82" i="69"/>
  <c r="K95" i="69"/>
  <c r="K96" i="69"/>
  <c r="K97" i="69"/>
  <c r="K98" i="69"/>
  <c r="K99" i="69"/>
  <c r="K100" i="69"/>
  <c r="K101" i="69"/>
  <c r="K102" i="69"/>
  <c r="A80" i="69"/>
  <c r="A88" i="69"/>
  <c r="A89" i="69"/>
  <c r="A90" i="69"/>
  <c r="A91" i="69"/>
  <c r="A92" i="69"/>
  <c r="A93" i="69"/>
  <c r="A94" i="69"/>
  <c r="A95" i="69"/>
  <c r="A96" i="69"/>
  <c r="A97" i="69"/>
  <c r="A98" i="69"/>
  <c r="A99" i="69"/>
  <c r="A100" i="69"/>
  <c r="A101" i="69"/>
  <c r="K415" i="69" l="1"/>
  <c r="K416" i="69"/>
  <c r="K417" i="69"/>
  <c r="K418" i="69"/>
  <c r="K419" i="69"/>
  <c r="K420" i="69"/>
  <c r="K421" i="69"/>
  <c r="K422" i="69"/>
  <c r="A334" i="69"/>
  <c r="A335" i="69"/>
  <c r="A336" i="69"/>
  <c r="A337" i="69"/>
  <c r="K332" i="69"/>
  <c r="K333" i="69"/>
  <c r="K334" i="69"/>
  <c r="K335" i="69"/>
  <c r="K336" i="69"/>
  <c r="K337" i="69"/>
  <c r="A248" i="69" l="1"/>
  <c r="A249" i="69"/>
  <c r="A250" i="69"/>
  <c r="A251" i="69"/>
  <c r="K245" i="69"/>
  <c r="K246" i="69"/>
  <c r="K247" i="69"/>
  <c r="K249" i="69"/>
  <c r="A162" i="69"/>
  <c r="A163" i="69"/>
  <c r="A164" i="69"/>
  <c r="A165" i="69"/>
  <c r="K154" i="69"/>
  <c r="K155" i="69"/>
  <c r="K156" i="69"/>
  <c r="K157" i="69"/>
  <c r="K158" i="69"/>
  <c r="K159" i="69"/>
  <c r="K160" i="69"/>
  <c r="K161" i="69"/>
  <c r="K162" i="69"/>
  <c r="K163" i="69"/>
  <c r="A75" i="69"/>
  <c r="A76" i="69"/>
  <c r="A77" i="69"/>
  <c r="A78" i="69"/>
  <c r="A79" i="69"/>
  <c r="K70" i="69"/>
  <c r="K71" i="69"/>
  <c r="K72" i="69"/>
  <c r="K73" i="69"/>
  <c r="K74" i="69"/>
  <c r="K75" i="69"/>
  <c r="K76" i="69"/>
  <c r="K77" i="69"/>
  <c r="K78" i="69"/>
  <c r="K79" i="69"/>
  <c r="K428" i="69" l="1"/>
  <c r="K429" i="69"/>
  <c r="K430" i="69"/>
  <c r="A418" i="69"/>
  <c r="A419" i="69"/>
  <c r="A420" i="69"/>
  <c r="A421" i="69"/>
  <c r="A422" i="69"/>
  <c r="A430" i="69"/>
  <c r="A333" i="69"/>
  <c r="A345" i="69"/>
  <c r="A346" i="69"/>
  <c r="A347" i="69"/>
  <c r="A348" i="69"/>
  <c r="A349" i="69"/>
  <c r="A350" i="69"/>
  <c r="A351" i="69"/>
  <c r="A352" i="69"/>
  <c r="A353" i="69"/>
  <c r="A354" i="69"/>
  <c r="A355" i="69"/>
  <c r="A356" i="69"/>
  <c r="A357" i="69"/>
  <c r="A358" i="69"/>
  <c r="A359" i="69"/>
  <c r="A360" i="69"/>
  <c r="A361" i="69"/>
  <c r="A362" i="69"/>
  <c r="A332" i="69"/>
  <c r="K355" i="69"/>
  <c r="K356" i="69"/>
  <c r="K357" i="69"/>
  <c r="K358" i="69"/>
  <c r="K359" i="69"/>
  <c r="K360" i="69"/>
  <c r="K361" i="69"/>
  <c r="K244" i="69"/>
  <c r="A247" i="69"/>
  <c r="A161" i="69"/>
  <c r="K182" i="69"/>
  <c r="K183" i="69"/>
  <c r="K184" i="69"/>
  <c r="K185" i="69"/>
  <c r="K103" i="69" l="1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7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1" i="69"/>
  <c r="K213" i="69"/>
  <c r="K214" i="69"/>
  <c r="K215" i="69"/>
  <c r="K216" i="69"/>
  <c r="K217" i="69"/>
  <c r="K218" i="69"/>
  <c r="K219" i="69"/>
  <c r="K222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40" i="69"/>
  <c r="K241" i="69"/>
  <c r="K242" i="69"/>
  <c r="K243" i="69"/>
  <c r="K280" i="69"/>
  <c r="K281" i="69"/>
  <c r="K282" i="69"/>
  <c r="K283" i="69"/>
  <c r="K284" i="69"/>
  <c r="K285" i="69"/>
  <c r="K286" i="69"/>
  <c r="K287" i="69"/>
  <c r="K288" i="69"/>
  <c r="K289" i="69"/>
  <c r="K290" i="69"/>
  <c r="K291" i="69"/>
  <c r="K292" i="69"/>
  <c r="K293" i="69"/>
  <c r="K294" i="69"/>
  <c r="K295" i="69"/>
  <c r="K296" i="69"/>
  <c r="K297" i="69"/>
  <c r="K298" i="69"/>
  <c r="K299" i="69"/>
  <c r="K300" i="69"/>
  <c r="K301" i="69"/>
  <c r="K302" i="69"/>
  <c r="K303" i="69"/>
  <c r="K304" i="69"/>
  <c r="K305" i="69"/>
  <c r="K306" i="69"/>
  <c r="K307" i="69"/>
  <c r="K308" i="69"/>
  <c r="K309" i="69"/>
  <c r="K310" i="69"/>
  <c r="K311" i="69"/>
  <c r="K312" i="69"/>
  <c r="K313" i="69"/>
  <c r="K314" i="69"/>
  <c r="K315" i="69"/>
  <c r="K316" i="69"/>
  <c r="K317" i="69"/>
  <c r="K318" i="69"/>
  <c r="K319" i="69"/>
  <c r="K320" i="69"/>
  <c r="K321" i="69"/>
  <c r="K322" i="69"/>
  <c r="K323" i="69"/>
  <c r="K324" i="69"/>
  <c r="K325" i="69"/>
  <c r="K326" i="69"/>
  <c r="K327" i="69"/>
  <c r="K328" i="69"/>
  <c r="K329" i="69"/>
  <c r="K330" i="69"/>
  <c r="K331" i="69"/>
  <c r="K362" i="69"/>
  <c r="K363" i="69"/>
  <c r="K364" i="69"/>
  <c r="K365" i="69"/>
  <c r="K366" i="69"/>
  <c r="K367" i="69"/>
  <c r="K368" i="69"/>
  <c r="K369" i="69"/>
  <c r="K370" i="69"/>
  <c r="K371" i="69"/>
  <c r="K372" i="69"/>
  <c r="K373" i="69"/>
  <c r="K374" i="69"/>
  <c r="K375" i="69"/>
  <c r="K376" i="69"/>
  <c r="K377" i="69"/>
  <c r="K378" i="69"/>
  <c r="K379" i="69"/>
  <c r="K380" i="69"/>
  <c r="K381" i="69"/>
  <c r="K382" i="69"/>
  <c r="K383" i="69"/>
  <c r="K384" i="69"/>
  <c r="K385" i="69"/>
  <c r="K386" i="69"/>
  <c r="K387" i="69"/>
  <c r="K388" i="69"/>
  <c r="K389" i="69"/>
  <c r="K390" i="69"/>
  <c r="K391" i="69"/>
  <c r="K392" i="69"/>
  <c r="K393" i="69"/>
  <c r="K394" i="69"/>
  <c r="K395" i="69"/>
  <c r="K396" i="69"/>
  <c r="K397" i="69"/>
  <c r="K398" i="69"/>
  <c r="K399" i="69"/>
  <c r="K400" i="69"/>
  <c r="K401" i="69"/>
  <c r="K402" i="69"/>
  <c r="K403" i="69"/>
  <c r="K404" i="69"/>
  <c r="K405" i="69"/>
  <c r="K406" i="69"/>
  <c r="K407" i="69"/>
  <c r="K408" i="69"/>
  <c r="K409" i="69"/>
  <c r="K410" i="69"/>
  <c r="K411" i="69"/>
  <c r="K412" i="69"/>
  <c r="K413" i="69"/>
  <c r="K414" i="69"/>
  <c r="K69" i="69"/>
  <c r="A246" i="69" l="1"/>
  <c r="A259" i="69"/>
  <c r="A260" i="69"/>
  <c r="A261" i="69"/>
  <c r="A262" i="69"/>
  <c r="A263" i="69"/>
  <c r="A160" i="69"/>
  <c r="K66" i="69"/>
  <c r="K67" i="69"/>
  <c r="A415" i="69" l="1"/>
  <c r="A416" i="69"/>
  <c r="A417" i="69"/>
  <c r="A329" i="69"/>
  <c r="A330" i="69"/>
  <c r="A331" i="69"/>
  <c r="A243" i="69"/>
  <c r="A244" i="69"/>
  <c r="A245" i="69"/>
  <c r="A157" i="69"/>
  <c r="A158" i="69"/>
  <c r="A159" i="69"/>
  <c r="A72" i="69"/>
  <c r="A73" i="69"/>
  <c r="A74" i="69"/>
  <c r="K48" i="69"/>
  <c r="K49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A67" i="69" l="1"/>
  <c r="A69" i="69"/>
  <c r="A70" i="69"/>
  <c r="A71" i="69"/>
  <c r="A152" i="69"/>
  <c r="A154" i="69"/>
  <c r="A155" i="69"/>
  <c r="A156" i="69"/>
  <c r="A238" i="69"/>
  <c r="A240" i="69"/>
  <c r="A241" i="69"/>
  <c r="A242" i="69"/>
  <c r="A325" i="69"/>
  <c r="A326" i="69"/>
  <c r="A327" i="69"/>
  <c r="A328" i="69"/>
  <c r="A412" i="69"/>
  <c r="A413" i="69"/>
  <c r="A414" i="69"/>
  <c r="A411" i="69"/>
  <c r="A4" i="69"/>
  <c r="A5" i="69"/>
  <c r="A6" i="69"/>
  <c r="A7" i="69"/>
  <c r="A8" i="69"/>
  <c r="A9" i="69"/>
  <c r="A10" i="69"/>
  <c r="A11" i="69"/>
  <c r="A12" i="69"/>
  <c r="A13" i="69"/>
  <c r="A14" i="69"/>
  <c r="A15" i="69"/>
  <c r="A16" i="69"/>
  <c r="A17" i="69"/>
  <c r="A18" i="69"/>
  <c r="A19" i="69"/>
  <c r="A20" i="69"/>
  <c r="A21" i="69"/>
  <c r="A22" i="69"/>
  <c r="A23" i="69"/>
  <c r="A24" i="69"/>
  <c r="A25" i="69"/>
  <c r="A26" i="69"/>
  <c r="A27" i="69"/>
  <c r="A28" i="69"/>
  <c r="A29" i="69"/>
  <c r="A30" i="69"/>
  <c r="A31" i="69"/>
  <c r="A32" i="69"/>
  <c r="A33" i="69"/>
  <c r="A34" i="69"/>
  <c r="A35" i="69"/>
  <c r="A36" i="69"/>
  <c r="A37" i="69"/>
  <c r="A38" i="69"/>
  <c r="A39" i="69"/>
  <c r="A40" i="69"/>
  <c r="A41" i="69"/>
  <c r="A42" i="69"/>
  <c r="A43" i="69"/>
  <c r="A44" i="69"/>
  <c r="A45" i="69"/>
  <c r="A46" i="69"/>
  <c r="A47" i="69"/>
  <c r="A48" i="69"/>
  <c r="A49" i="69"/>
  <c r="A50" i="69"/>
  <c r="A51" i="69"/>
  <c r="A52" i="69"/>
  <c r="A53" i="69"/>
  <c r="A54" i="69"/>
  <c r="A55" i="69"/>
  <c r="A56" i="69"/>
  <c r="A57" i="69"/>
  <c r="A58" i="69"/>
  <c r="A59" i="69"/>
  <c r="A60" i="69"/>
  <c r="A61" i="69"/>
  <c r="A62" i="69"/>
  <c r="A63" i="69"/>
  <c r="A64" i="69"/>
  <c r="A65" i="69"/>
  <c r="A66" i="69"/>
  <c r="A102" i="69"/>
  <c r="A103" i="69"/>
  <c r="A104" i="69"/>
  <c r="A105" i="69"/>
  <c r="A106" i="69"/>
  <c r="A107" i="69"/>
  <c r="A108" i="69"/>
  <c r="A109" i="69"/>
  <c r="A110" i="69"/>
  <c r="A111" i="69"/>
  <c r="A112" i="69"/>
  <c r="A113" i="69"/>
  <c r="A114" i="69"/>
  <c r="A115" i="69"/>
  <c r="A116" i="69"/>
  <c r="A117" i="69"/>
  <c r="A118" i="69"/>
  <c r="A119" i="69"/>
  <c r="A120" i="69"/>
  <c r="A121" i="69"/>
  <c r="A122" i="69"/>
  <c r="A123" i="69"/>
  <c r="A124" i="69"/>
  <c r="A125" i="69"/>
  <c r="A126" i="69"/>
  <c r="A127" i="69"/>
  <c r="A128" i="69"/>
  <c r="A129" i="69"/>
  <c r="A130" i="69"/>
  <c r="A131" i="69"/>
  <c r="A132" i="69"/>
  <c r="A133" i="69"/>
  <c r="A134" i="69"/>
  <c r="A135" i="69"/>
  <c r="A136" i="69"/>
  <c r="A137" i="69"/>
  <c r="A138" i="69"/>
  <c r="A139" i="69"/>
  <c r="A140" i="69"/>
  <c r="A141" i="69"/>
  <c r="A142" i="69"/>
  <c r="A143" i="69"/>
  <c r="A144" i="69"/>
  <c r="A145" i="69"/>
  <c r="A146" i="69"/>
  <c r="A147" i="69"/>
  <c r="A148" i="69"/>
  <c r="A149" i="69"/>
  <c r="A150" i="69"/>
  <c r="A151" i="69"/>
  <c r="A186" i="69"/>
  <c r="A187" i="69"/>
  <c r="A188" i="69"/>
  <c r="A189" i="69"/>
  <c r="A190" i="69"/>
  <c r="A191" i="69"/>
  <c r="A192" i="69"/>
  <c r="A193" i="69"/>
  <c r="A194" i="69"/>
  <c r="A195" i="69"/>
  <c r="A196" i="69"/>
  <c r="A197" i="69"/>
  <c r="A198" i="69"/>
  <c r="A199" i="69"/>
  <c r="A200" i="69"/>
  <c r="A201" i="69"/>
  <c r="A202" i="69"/>
  <c r="A203" i="69"/>
  <c r="A204" i="69"/>
  <c r="A205" i="69"/>
  <c r="A206" i="69"/>
  <c r="A207" i="69"/>
  <c r="A208" i="69"/>
  <c r="A209" i="69"/>
  <c r="A210" i="69"/>
  <c r="A211" i="69"/>
  <c r="A212" i="69"/>
  <c r="A213" i="69"/>
  <c r="A214" i="69"/>
  <c r="A215" i="69"/>
  <c r="A216" i="69"/>
  <c r="A217" i="69"/>
  <c r="A218" i="69"/>
  <c r="A219" i="69"/>
  <c r="A220" i="69"/>
  <c r="A221" i="69"/>
  <c r="A222" i="69"/>
  <c r="A223" i="69"/>
  <c r="A224" i="69"/>
  <c r="A225" i="69"/>
  <c r="A226" i="69"/>
  <c r="A227" i="69"/>
  <c r="A228" i="69"/>
  <c r="A229" i="69"/>
  <c r="A230" i="69"/>
  <c r="A231" i="69"/>
  <c r="A232" i="69"/>
  <c r="A233" i="69"/>
  <c r="A234" i="69"/>
  <c r="A235" i="69"/>
  <c r="A236" i="69"/>
  <c r="A237" i="69"/>
  <c r="A264" i="69"/>
  <c r="A265" i="69"/>
  <c r="A266" i="69"/>
  <c r="A267" i="69"/>
  <c r="A268" i="69"/>
  <c r="A269" i="69"/>
  <c r="A270" i="69"/>
  <c r="A271" i="69"/>
  <c r="A272" i="69"/>
  <c r="A273" i="69"/>
  <c r="A274" i="69"/>
  <c r="A275" i="69"/>
  <c r="A276" i="69"/>
  <c r="A277" i="69"/>
  <c r="A278" i="69"/>
  <c r="A279" i="69"/>
  <c r="A280" i="69"/>
  <c r="A281" i="69"/>
  <c r="A282" i="69"/>
  <c r="A283" i="69"/>
  <c r="A284" i="69"/>
  <c r="A285" i="69"/>
  <c r="A286" i="69"/>
  <c r="A287" i="69"/>
  <c r="A288" i="69"/>
  <c r="A289" i="69"/>
  <c r="A290" i="69"/>
  <c r="A291" i="69"/>
  <c r="A292" i="69"/>
  <c r="A293" i="69"/>
  <c r="A294" i="69"/>
  <c r="A295" i="69"/>
  <c r="A296" i="69"/>
  <c r="A297" i="69"/>
  <c r="A298" i="69"/>
  <c r="A299" i="69"/>
  <c r="A300" i="69"/>
  <c r="A301" i="69"/>
  <c r="A302" i="69"/>
  <c r="A303" i="69"/>
  <c r="A304" i="69"/>
  <c r="A305" i="69"/>
  <c r="A306" i="69"/>
  <c r="A307" i="69"/>
  <c r="A308" i="69"/>
  <c r="A309" i="69"/>
  <c r="A310" i="69"/>
  <c r="A311" i="69"/>
  <c r="A312" i="69"/>
  <c r="A313" i="69"/>
  <c r="A314" i="69"/>
  <c r="A315" i="69"/>
  <c r="A316" i="69"/>
  <c r="A317" i="69"/>
  <c r="A318" i="69"/>
  <c r="A319" i="69"/>
  <c r="A320" i="69"/>
  <c r="A321" i="69"/>
  <c r="A322" i="69"/>
  <c r="A323" i="69"/>
  <c r="A324" i="69"/>
  <c r="A363" i="69"/>
  <c r="A364" i="69"/>
  <c r="A365" i="69"/>
  <c r="A366" i="69"/>
  <c r="A367" i="69"/>
  <c r="A368" i="69"/>
  <c r="A369" i="69"/>
  <c r="A370" i="69"/>
  <c r="A371" i="69"/>
  <c r="A372" i="69"/>
  <c r="A373" i="69"/>
  <c r="A374" i="69"/>
  <c r="A375" i="69"/>
  <c r="A376" i="69"/>
  <c r="A377" i="69"/>
  <c r="A378" i="69"/>
  <c r="A379" i="69"/>
  <c r="A380" i="69"/>
  <c r="A381" i="69"/>
  <c r="A382" i="69"/>
  <c r="A383" i="69"/>
  <c r="A384" i="69"/>
  <c r="A385" i="69"/>
  <c r="A386" i="69"/>
  <c r="A387" i="69"/>
  <c r="A388" i="69"/>
  <c r="A389" i="69"/>
  <c r="A390" i="69"/>
  <c r="A391" i="69"/>
  <c r="A392" i="69"/>
  <c r="A393" i="69"/>
  <c r="A394" i="69"/>
  <c r="A395" i="69"/>
  <c r="A396" i="69"/>
  <c r="A397" i="69"/>
  <c r="A398" i="69"/>
  <c r="A399" i="69"/>
  <c r="A400" i="69"/>
  <c r="A401" i="69"/>
  <c r="A402" i="69"/>
  <c r="A403" i="69"/>
  <c r="A404" i="69"/>
  <c r="A405" i="69"/>
  <c r="A406" i="69"/>
  <c r="A407" i="69"/>
  <c r="A408" i="69"/>
  <c r="A409" i="69"/>
  <c r="A410" i="69"/>
  <c r="K3" i="69" l="1"/>
  <c r="K8" i="69"/>
  <c r="K40" i="69"/>
  <c r="K42" i="69"/>
  <c r="K41" i="69" l="1"/>
  <c r="K47" i="69"/>
  <c r="K11" i="69" l="1"/>
  <c r="K30" i="69"/>
  <c r="K46" i="69"/>
  <c r="K19" i="69" l="1"/>
  <c r="K35" i="69"/>
  <c r="I2" i="56" l="1"/>
  <c r="F2" i="56"/>
  <c r="L2" i="56" l="1"/>
  <c r="B2" i="56"/>
  <c r="K477" i="69"/>
  <c r="A481" i="69"/>
  <c r="A480" i="69"/>
  <c r="A479" i="69"/>
  <c r="A478" i="69"/>
  <c r="H172" i="69" l="1"/>
  <c r="I172" i="69" s="1"/>
  <c r="J172" i="69" s="1"/>
  <c r="H258" i="69"/>
  <c r="I258" i="69" s="1"/>
  <c r="J258" i="69" s="1"/>
  <c r="K258" i="69" s="1"/>
  <c r="H88" i="69"/>
  <c r="H89" i="69"/>
  <c r="H90" i="69"/>
  <c r="H86" i="69"/>
  <c r="H87" i="69"/>
  <c r="H85" i="69"/>
  <c r="H153" i="69"/>
  <c r="I153" i="69" s="1"/>
  <c r="J153" i="69" s="1"/>
  <c r="H239" i="69"/>
  <c r="I239" i="69" s="1"/>
  <c r="J239" i="69" s="1"/>
  <c r="H68" i="69"/>
  <c r="I68" i="69" s="1"/>
  <c r="J68" i="69" s="1"/>
  <c r="H344" i="69"/>
  <c r="I344" i="69" s="1"/>
  <c r="J344" i="69" s="1"/>
  <c r="H429" i="69"/>
  <c r="I429" i="69" s="1"/>
  <c r="J429" i="69" s="1"/>
  <c r="H51" i="69"/>
  <c r="H170" i="69"/>
  <c r="I170" i="69" s="1"/>
  <c r="J170" i="69" s="1"/>
  <c r="H426" i="69"/>
  <c r="I426" i="69" s="1"/>
  <c r="J426" i="69" s="1"/>
  <c r="H342" i="69"/>
  <c r="I342" i="69" s="1"/>
  <c r="J342" i="69" s="1"/>
  <c r="H255" i="69"/>
  <c r="I255" i="69" s="1"/>
  <c r="J255" i="69" s="1"/>
  <c r="K255" i="69" s="1"/>
  <c r="H343" i="69"/>
  <c r="I343" i="69" s="1"/>
  <c r="J343" i="69" s="1"/>
  <c r="H83" i="69"/>
  <c r="I83" i="69" s="1"/>
  <c r="J83" i="69" s="1"/>
  <c r="H168" i="69"/>
  <c r="I168" i="69" s="1"/>
  <c r="J168" i="69" s="1"/>
  <c r="H169" i="69"/>
  <c r="I169" i="69" s="1"/>
  <c r="J169" i="69" s="1"/>
  <c r="H341" i="69"/>
  <c r="I341" i="69" s="1"/>
  <c r="J341" i="69" s="1"/>
  <c r="H256" i="69"/>
  <c r="I256" i="69" s="1"/>
  <c r="J256" i="69" s="1"/>
  <c r="K256" i="69" s="1"/>
  <c r="H427" i="69"/>
  <c r="I427" i="69" s="1"/>
  <c r="J427" i="69" s="1"/>
  <c r="H428" i="69"/>
  <c r="I428" i="69" s="1"/>
  <c r="J428" i="69" s="1"/>
  <c r="H257" i="69"/>
  <c r="I257" i="69" s="1"/>
  <c r="J257" i="69" s="1"/>
  <c r="K257" i="69" s="1"/>
  <c r="H425" i="69"/>
  <c r="I425" i="69" s="1"/>
  <c r="J425" i="69" s="1"/>
  <c r="H84" i="69"/>
  <c r="I84" i="69" s="1"/>
  <c r="J84" i="69" s="1"/>
  <c r="K6" i="69"/>
  <c r="I85" i="69" l="1"/>
  <c r="J85" i="69" s="1"/>
  <c r="I87" i="69"/>
  <c r="J87" i="69" s="1"/>
  <c r="I86" i="69"/>
  <c r="J86" i="69" s="1"/>
  <c r="I90" i="69"/>
  <c r="J90" i="69" s="1"/>
  <c r="I89" i="69"/>
  <c r="J89" i="69" s="1"/>
  <c r="I88" i="69"/>
  <c r="J88" i="69" s="1"/>
  <c r="K34" i="69"/>
  <c r="K20" i="69" l="1"/>
  <c r="A3" i="69" l="1"/>
  <c r="K2" i="69" l="1"/>
  <c r="K12" i="69" l="1"/>
  <c r="K33" i="69"/>
  <c r="H250" i="69" l="1"/>
  <c r="I250" i="69" s="1"/>
  <c r="J250" i="69" s="1"/>
  <c r="K250" i="69" s="1"/>
  <c r="H249" i="69"/>
  <c r="I249" i="69" s="1"/>
  <c r="J249" i="69" s="1"/>
  <c r="H248" i="69"/>
  <c r="H164" i="69"/>
  <c r="I164" i="69" s="1"/>
  <c r="J164" i="69" s="1"/>
  <c r="K164" i="69" s="1"/>
  <c r="H163" i="69"/>
  <c r="I163" i="69" s="1"/>
  <c r="J163" i="69" s="1"/>
  <c r="H78" i="69"/>
  <c r="I78" i="69" s="1"/>
  <c r="J78" i="69" s="1"/>
  <c r="H79" i="69"/>
  <c r="H162" i="69"/>
  <c r="H263" i="69"/>
  <c r="I263" i="69" s="1"/>
  <c r="J263" i="69" s="1"/>
  <c r="H176" i="69"/>
  <c r="I176" i="69" s="1"/>
  <c r="J176" i="69" s="1"/>
  <c r="H6" i="69"/>
  <c r="I6" i="69" s="1"/>
  <c r="J6" i="69" s="1"/>
  <c r="H189" i="69"/>
  <c r="I189" i="69" s="1"/>
  <c r="J189" i="69" s="1"/>
  <c r="H19" i="69"/>
  <c r="H199" i="69"/>
  <c r="I199" i="69" s="1"/>
  <c r="J199" i="69" s="1"/>
  <c r="H136" i="69"/>
  <c r="I136" i="69" s="1"/>
  <c r="J136" i="69" s="1"/>
  <c r="H219" i="69"/>
  <c r="I219" i="69" s="1"/>
  <c r="J219" i="69" s="1"/>
  <c r="H94" i="69"/>
  <c r="H252" i="69"/>
  <c r="I252" i="69" s="1"/>
  <c r="J252" i="69" s="1"/>
  <c r="H91" i="69"/>
  <c r="H173" i="69"/>
  <c r="I173" i="69" s="1"/>
  <c r="J173" i="69" s="1"/>
  <c r="H221" i="69"/>
  <c r="I221" i="69" s="1"/>
  <c r="J221" i="69" s="1"/>
  <c r="H259" i="69"/>
  <c r="I259" i="69" s="1"/>
  <c r="J259" i="69" s="1"/>
  <c r="H9" i="69"/>
  <c r="I9" i="69" s="1"/>
  <c r="J9" i="69" s="1"/>
  <c r="H35" i="69"/>
  <c r="I35" i="69" s="1"/>
  <c r="J35" i="69" s="1"/>
  <c r="H179" i="69"/>
  <c r="I179" i="69" s="1"/>
  <c r="J179" i="69" s="1"/>
  <c r="H104" i="69"/>
  <c r="I104" i="69" s="1"/>
  <c r="J104" i="69" s="1"/>
  <c r="H81" i="69"/>
  <c r="I81" i="69" s="1"/>
  <c r="J81" i="69" s="1"/>
  <c r="H277" i="69"/>
  <c r="I277" i="69" s="1"/>
  <c r="J277" i="69" s="1"/>
  <c r="H171" i="69"/>
  <c r="I171" i="69" s="1"/>
  <c r="J171" i="69" s="1"/>
  <c r="H273" i="69"/>
  <c r="I273" i="69" s="1"/>
  <c r="J273" i="69" s="1"/>
  <c r="H82" i="69"/>
  <c r="I82" i="69" s="1"/>
  <c r="J82" i="69" s="1"/>
  <c r="H174" i="69"/>
  <c r="I174" i="69" s="1"/>
  <c r="J174" i="69" s="1"/>
  <c r="H260" i="69"/>
  <c r="I260" i="69" s="1"/>
  <c r="J260" i="69" s="1"/>
  <c r="H261" i="69"/>
  <c r="I261" i="69" s="1"/>
  <c r="J261" i="69" s="1"/>
  <c r="H424" i="69"/>
  <c r="I424" i="69" s="1"/>
  <c r="J424" i="69" s="1"/>
  <c r="H175" i="69"/>
  <c r="I175" i="69" s="1"/>
  <c r="J175" i="69" s="1"/>
  <c r="H340" i="69"/>
  <c r="I340" i="69" s="1"/>
  <c r="J340" i="69" s="1"/>
  <c r="H350" i="69"/>
  <c r="I350" i="69" s="1"/>
  <c r="J350" i="69" s="1"/>
  <c r="H180" i="69"/>
  <c r="I180" i="69" s="1"/>
  <c r="J180" i="69" s="1"/>
  <c r="H265" i="69"/>
  <c r="I265" i="69" s="1"/>
  <c r="J265" i="69" s="1"/>
  <c r="H268" i="69"/>
  <c r="I268" i="69" s="1"/>
  <c r="J268" i="69" s="1"/>
  <c r="H338" i="69"/>
  <c r="I338" i="69" s="1"/>
  <c r="J338" i="69" s="1"/>
  <c r="H254" i="69"/>
  <c r="I254" i="69" s="1"/>
  <c r="J254" i="69" s="1"/>
  <c r="K254" i="69" s="1"/>
  <c r="H348" i="69"/>
  <c r="I348" i="69" s="1"/>
  <c r="J348" i="69" s="1"/>
  <c r="H262" i="69"/>
  <c r="I262" i="69" s="1"/>
  <c r="J262" i="69" s="1"/>
  <c r="H272" i="69"/>
  <c r="I272" i="69" s="1"/>
  <c r="J272" i="69" s="1"/>
  <c r="H80" i="69"/>
  <c r="I80" i="69" s="1"/>
  <c r="J80" i="69" s="1"/>
  <c r="K80" i="69" s="1"/>
  <c r="H266" i="69"/>
  <c r="I266" i="69" s="1"/>
  <c r="J266" i="69" s="1"/>
  <c r="H346" i="69"/>
  <c r="I346" i="69" s="1"/>
  <c r="J346" i="69" s="1"/>
  <c r="H274" i="69"/>
  <c r="I274" i="69" s="1"/>
  <c r="J274" i="69" s="1"/>
  <c r="H167" i="69"/>
  <c r="I167" i="69" s="1"/>
  <c r="J167" i="69" s="1"/>
  <c r="H177" i="69"/>
  <c r="I177" i="69" s="1"/>
  <c r="J177" i="69" s="1"/>
  <c r="H251" i="69"/>
  <c r="I251" i="69" s="1"/>
  <c r="J251" i="69" s="1"/>
  <c r="H345" i="69"/>
  <c r="I345" i="69" s="1"/>
  <c r="J345" i="69" s="1"/>
  <c r="H178" i="69"/>
  <c r="I178" i="69" s="1"/>
  <c r="J178" i="69" s="1"/>
  <c r="H352" i="69"/>
  <c r="I352" i="69" s="1"/>
  <c r="J352" i="69" s="1"/>
  <c r="H353" i="69"/>
  <c r="I353" i="69" s="1"/>
  <c r="J353" i="69" s="1"/>
  <c r="H349" i="69"/>
  <c r="I349" i="69" s="1"/>
  <c r="J349" i="69" s="1"/>
  <c r="H278" i="69"/>
  <c r="I278" i="69" s="1"/>
  <c r="J278" i="69" s="1"/>
  <c r="H270" i="69"/>
  <c r="I270" i="69" s="1"/>
  <c r="J270" i="69" s="1"/>
  <c r="H271" i="69"/>
  <c r="I271" i="69" s="1"/>
  <c r="J271" i="69" s="1"/>
  <c r="H276" i="69"/>
  <c r="I276" i="69" s="1"/>
  <c r="J276" i="69" s="1"/>
  <c r="H279" i="69"/>
  <c r="I279" i="69" s="1"/>
  <c r="J279" i="69" s="1"/>
  <c r="H267" i="69"/>
  <c r="I267" i="69" s="1"/>
  <c r="J267" i="69" s="1"/>
  <c r="H269" i="69"/>
  <c r="I269" i="69" s="1"/>
  <c r="J269" i="69" s="1"/>
  <c r="H181" i="69"/>
  <c r="I181" i="69" s="1"/>
  <c r="J181" i="69" s="1"/>
  <c r="H95" i="69"/>
  <c r="I95" i="69" s="1"/>
  <c r="J95" i="69" s="1"/>
  <c r="H166" i="69"/>
  <c r="I166" i="69" s="1"/>
  <c r="J166" i="69" s="1"/>
  <c r="H253" i="69"/>
  <c r="I253" i="69" s="1"/>
  <c r="J253" i="69" s="1"/>
  <c r="H275" i="69"/>
  <c r="I275" i="69" s="1"/>
  <c r="J275" i="69" s="1"/>
  <c r="H339" i="69"/>
  <c r="I339" i="69" s="1"/>
  <c r="J339" i="69" s="1"/>
  <c r="H92" i="69"/>
  <c r="H93" i="69"/>
  <c r="H347" i="69"/>
  <c r="I347" i="69" s="1"/>
  <c r="J347" i="69" s="1"/>
  <c r="H423" i="69"/>
  <c r="I423" i="69" s="1"/>
  <c r="J423" i="69" s="1"/>
  <c r="H351" i="69"/>
  <c r="I351" i="69" s="1"/>
  <c r="J351" i="69" s="1"/>
  <c r="H264" i="69"/>
  <c r="I264" i="69" s="1"/>
  <c r="J264" i="69" s="1"/>
  <c r="H354" i="69"/>
  <c r="I354" i="69" s="1"/>
  <c r="J354" i="69" s="1"/>
  <c r="H3" i="69"/>
  <c r="H334" i="69"/>
  <c r="H76" i="69"/>
  <c r="H336" i="69"/>
  <c r="H421" i="69"/>
  <c r="I421" i="69" s="1"/>
  <c r="J421" i="69" s="1"/>
  <c r="H160" i="69"/>
  <c r="I160" i="69" s="1"/>
  <c r="J160" i="69" s="1"/>
  <c r="H415" i="69"/>
  <c r="I415" i="69" s="1"/>
  <c r="J415" i="69" s="1"/>
  <c r="H97" i="69"/>
  <c r="H420" i="69"/>
  <c r="I420" i="69" s="1"/>
  <c r="J420" i="69" s="1"/>
  <c r="H77" i="69"/>
  <c r="I77" i="69" s="1"/>
  <c r="J77" i="69" s="1"/>
  <c r="H75" i="69"/>
  <c r="H161" i="69"/>
  <c r="I161" i="69" s="1"/>
  <c r="J161" i="69" s="1"/>
  <c r="H158" i="69"/>
  <c r="I158" i="69" s="1"/>
  <c r="J158" i="69" s="1"/>
  <c r="H96" i="69"/>
  <c r="H419" i="69"/>
  <c r="I419" i="69" s="1"/>
  <c r="J419" i="69" s="1"/>
  <c r="H165" i="69"/>
  <c r="H157" i="69"/>
  <c r="I157" i="69" s="1"/>
  <c r="J157" i="69" s="1"/>
  <c r="H418" i="69"/>
  <c r="I418" i="69" s="1"/>
  <c r="J418" i="69" s="1"/>
  <c r="H337" i="69"/>
  <c r="H247" i="69"/>
  <c r="I247" i="69" s="1"/>
  <c r="J247" i="69" s="1"/>
  <c r="H332" i="69"/>
  <c r="I332" i="69" s="1"/>
  <c r="J332" i="69" s="1"/>
  <c r="H159" i="69"/>
  <c r="I159" i="69" s="1"/>
  <c r="J159" i="69" s="1"/>
  <c r="H333" i="69"/>
  <c r="I333" i="69" s="1"/>
  <c r="J333" i="69" s="1"/>
  <c r="H417" i="69"/>
  <c r="I417" i="69" s="1"/>
  <c r="J417" i="69" s="1"/>
  <c r="H335" i="69"/>
  <c r="H422" i="69"/>
  <c r="I422" i="69" s="1"/>
  <c r="J422" i="69" s="1"/>
  <c r="H246" i="69"/>
  <c r="I246" i="69" s="1"/>
  <c r="J246" i="69" s="1"/>
  <c r="H182" i="69"/>
  <c r="I182" i="69" s="1"/>
  <c r="J182" i="69" s="1"/>
  <c r="H416" i="69"/>
  <c r="I416" i="69" s="1"/>
  <c r="J416" i="69" s="1"/>
  <c r="H74" i="69"/>
  <c r="I74" i="69" s="1"/>
  <c r="J74" i="69" s="1"/>
  <c r="H359" i="69"/>
  <c r="H356" i="69"/>
  <c r="I356" i="69" s="1"/>
  <c r="J356" i="69" s="1"/>
  <c r="H355" i="69"/>
  <c r="H183" i="69"/>
  <c r="I183" i="69" s="1"/>
  <c r="J183" i="69" s="1"/>
  <c r="H98" i="69"/>
  <c r="H184" i="69"/>
  <c r="I184" i="69" s="1"/>
  <c r="J184" i="69" s="1"/>
  <c r="H358" i="69"/>
  <c r="H357" i="69"/>
  <c r="H360" i="69"/>
  <c r="H243" i="69"/>
  <c r="I243" i="69" s="1"/>
  <c r="J243" i="69" s="1"/>
  <c r="H245" i="69"/>
  <c r="H331" i="69"/>
  <c r="I331" i="69" s="1"/>
  <c r="J331" i="69" s="1"/>
  <c r="H330" i="69"/>
  <c r="I330" i="69" s="1"/>
  <c r="J330" i="69" s="1"/>
  <c r="H72" i="69"/>
  <c r="I72" i="69" s="1"/>
  <c r="J72" i="69" s="1"/>
  <c r="H244" i="69"/>
  <c r="I244" i="69" s="1"/>
  <c r="J244" i="69" s="1"/>
  <c r="H329" i="69"/>
  <c r="I329" i="69" s="1"/>
  <c r="J329" i="69" s="1"/>
  <c r="H73" i="69"/>
  <c r="I73" i="69" s="1"/>
  <c r="J73" i="69" s="1"/>
  <c r="H71" i="69"/>
  <c r="I71" i="69" s="1"/>
  <c r="J71" i="69" s="1"/>
  <c r="H328" i="69"/>
  <c r="I328" i="69" s="1"/>
  <c r="J328" i="69" s="1"/>
  <c r="H69" i="69"/>
  <c r="I69" i="69" s="1"/>
  <c r="J69" i="69" s="1"/>
  <c r="H414" i="69"/>
  <c r="I414" i="69" s="1"/>
  <c r="J414" i="69" s="1"/>
  <c r="H186" i="69"/>
  <c r="H242" i="69"/>
  <c r="I242" i="69" s="1"/>
  <c r="J242" i="69" s="1"/>
  <c r="H413" i="69"/>
  <c r="I413" i="69" s="1"/>
  <c r="J413" i="69" s="1"/>
  <c r="H70" i="69"/>
  <c r="I70" i="69" s="1"/>
  <c r="J70" i="69" s="1"/>
  <c r="H185" i="69"/>
  <c r="H187" i="69"/>
  <c r="H240" i="69"/>
  <c r="I92" i="69" l="1"/>
  <c r="J92" i="69" s="1"/>
  <c r="I94" i="69"/>
  <c r="J94" i="69" s="1"/>
  <c r="I93" i="69"/>
  <c r="J93" i="69" s="1"/>
  <c r="I91" i="69"/>
  <c r="J91" i="69" s="1"/>
  <c r="I19" i="69"/>
  <c r="J19" i="69" s="1"/>
  <c r="I98" i="69"/>
  <c r="J98" i="69" s="1"/>
  <c r="I97" i="69"/>
  <c r="J97" i="69" s="1"/>
  <c r="I96" i="69"/>
  <c r="J96" i="69" s="1"/>
  <c r="I79" i="69"/>
  <c r="J79" i="69" s="1"/>
  <c r="I335" i="69"/>
  <c r="J335" i="69" s="1"/>
  <c r="I337" i="69"/>
  <c r="J337" i="69" s="1"/>
  <c r="I162" i="69"/>
  <c r="J162" i="69" s="1"/>
  <c r="I165" i="69"/>
  <c r="J165" i="69" s="1"/>
  <c r="K165" i="69" s="1"/>
  <c r="I75" i="69"/>
  <c r="J75" i="69" s="1"/>
  <c r="I248" i="69"/>
  <c r="J248" i="69" s="1"/>
  <c r="K248" i="69" s="1"/>
  <c r="I336" i="69"/>
  <c r="J336" i="69" s="1"/>
  <c r="I76" i="69"/>
  <c r="J76" i="69" s="1"/>
  <c r="I334" i="69"/>
  <c r="J334" i="69" s="1"/>
  <c r="I245" i="69"/>
  <c r="J245" i="69" s="1"/>
  <c r="I358" i="69"/>
  <c r="J358" i="69" s="1"/>
  <c r="I357" i="69"/>
  <c r="J357" i="69" s="1"/>
  <c r="I360" i="69"/>
  <c r="J360" i="69" s="1"/>
  <c r="I355" i="69"/>
  <c r="J355" i="69" s="1"/>
  <c r="I359" i="69"/>
  <c r="J359" i="69" s="1"/>
  <c r="I185" i="69"/>
  <c r="J185" i="69" s="1"/>
  <c r="H63" i="69"/>
  <c r="I63" i="69" s="1"/>
  <c r="J63" i="69" s="1"/>
  <c r="H64" i="69"/>
  <c r="I64" i="69" s="1"/>
  <c r="J64" i="69" s="1"/>
  <c r="H122" i="69"/>
  <c r="I122" i="69" s="1"/>
  <c r="J122" i="69" s="1"/>
  <c r="H393" i="69"/>
  <c r="I393" i="69" s="1"/>
  <c r="J393" i="69" s="1"/>
  <c r="H132" i="69"/>
  <c r="I132" i="69" s="1"/>
  <c r="J132" i="69" s="1"/>
  <c r="H60" i="69"/>
  <c r="I60" i="69" s="1"/>
  <c r="J60" i="69" s="1"/>
  <c r="H237" i="69"/>
  <c r="I237" i="69" s="1"/>
  <c r="J237" i="69" s="1"/>
  <c r="H106" i="69"/>
  <c r="I106" i="69" s="1"/>
  <c r="J106" i="69" s="1"/>
  <c r="H7" i="69"/>
  <c r="I7" i="69" s="1"/>
  <c r="J7" i="69" s="1"/>
  <c r="H197" i="69"/>
  <c r="I197" i="69" s="1"/>
  <c r="J197" i="69" s="1"/>
  <c r="H398" i="69"/>
  <c r="I398" i="69" s="1"/>
  <c r="J398" i="69" s="1"/>
  <c r="H54" i="69"/>
  <c r="I54" i="69" s="1"/>
  <c r="J54" i="69" s="1"/>
  <c r="H411" i="69"/>
  <c r="I411" i="69" s="1"/>
  <c r="J411" i="69" s="1"/>
  <c r="I186" i="69"/>
  <c r="J186" i="69" s="1"/>
  <c r="H374" i="69"/>
  <c r="I374" i="69" s="1"/>
  <c r="J374" i="69" s="1"/>
  <c r="H125" i="69"/>
  <c r="I125" i="69" s="1"/>
  <c r="J125" i="69" s="1"/>
  <c r="H52" i="69"/>
  <c r="I52" i="69" s="1"/>
  <c r="J52" i="69" s="1"/>
  <c r="H114" i="69"/>
  <c r="I114" i="69" s="1"/>
  <c r="J114" i="69" s="1"/>
  <c r="H404" i="69"/>
  <c r="I404" i="69" s="1"/>
  <c r="J404" i="69" s="1"/>
  <c r="H308" i="69"/>
  <c r="I308" i="69" s="1"/>
  <c r="J308" i="69" s="1"/>
  <c r="H4" i="69"/>
  <c r="I4" i="69" s="1"/>
  <c r="J4" i="69" s="1"/>
  <c r="H367" i="69"/>
  <c r="I367" i="69" s="1"/>
  <c r="J367" i="69" s="1"/>
  <c r="H287" i="69"/>
  <c r="I287" i="69" s="1"/>
  <c r="J287" i="69" s="1"/>
  <c r="H130" i="69"/>
  <c r="I130" i="69" s="1"/>
  <c r="J130" i="69" s="1"/>
  <c r="H395" i="69"/>
  <c r="I395" i="69" s="1"/>
  <c r="J395" i="69" s="1"/>
  <c r="H151" i="69"/>
  <c r="I151" i="69" s="1"/>
  <c r="J151" i="69" s="1"/>
  <c r="H284" i="69"/>
  <c r="I284" i="69" s="1"/>
  <c r="J284" i="69" s="1"/>
  <c r="H111" i="69"/>
  <c r="I111" i="69" s="1"/>
  <c r="J111" i="69" s="1"/>
  <c r="H46" i="69"/>
  <c r="I46" i="69" s="1"/>
  <c r="J46" i="69" s="1"/>
  <c r="H400" i="69"/>
  <c r="I400" i="69" s="1"/>
  <c r="J400" i="69" s="1"/>
  <c r="H58" i="69"/>
  <c r="I58" i="69" s="1"/>
  <c r="J58" i="69" s="1"/>
  <c r="H188" i="69"/>
  <c r="I188" i="69" s="1"/>
  <c r="J188" i="69" s="1"/>
  <c r="H116" i="69"/>
  <c r="I116" i="69" s="1"/>
  <c r="J116" i="69" s="1"/>
  <c r="H297" i="69"/>
  <c r="I297" i="69" s="1"/>
  <c r="J297" i="69" s="1"/>
  <c r="H194" i="69"/>
  <c r="I194" i="69" s="1"/>
  <c r="J194" i="69" s="1"/>
  <c r="H299" i="69"/>
  <c r="I299" i="69" s="1"/>
  <c r="J299" i="69" s="1"/>
  <c r="H387" i="69"/>
  <c r="I387" i="69" s="1"/>
  <c r="J387" i="69" s="1"/>
  <c r="H211" i="69"/>
  <c r="I211" i="69" s="1"/>
  <c r="J211" i="69" s="1"/>
  <c r="H291" i="69"/>
  <c r="I291" i="69" s="1"/>
  <c r="J291" i="69" s="1"/>
  <c r="H150" i="69"/>
  <c r="I150" i="69" s="1"/>
  <c r="J150" i="69" s="1"/>
  <c r="H53" i="69"/>
  <c r="I53" i="69" s="1"/>
  <c r="J53" i="69" s="1"/>
  <c r="H412" i="69"/>
  <c r="H285" i="69"/>
  <c r="I285" i="69" s="1"/>
  <c r="J285" i="69" s="1"/>
  <c r="H289" i="69"/>
  <c r="I289" i="69" s="1"/>
  <c r="J289" i="69" s="1"/>
  <c r="H233" i="69"/>
  <c r="I233" i="69" s="1"/>
  <c r="J233" i="69" s="1"/>
  <c r="H282" i="69"/>
  <c r="I282" i="69" s="1"/>
  <c r="J282" i="69" s="1"/>
  <c r="H230" i="69"/>
  <c r="I230" i="69" s="1"/>
  <c r="J230" i="69" s="1"/>
  <c r="H102" i="69"/>
  <c r="H16" i="69"/>
  <c r="I16" i="69" s="1"/>
  <c r="J16" i="69" s="1"/>
  <c r="H5" i="69"/>
  <c r="I5" i="69" s="1"/>
  <c r="J5" i="69" s="1"/>
  <c r="H380" i="69"/>
  <c r="I380" i="69" s="1"/>
  <c r="J380" i="69" s="1"/>
  <c r="H29" i="69"/>
  <c r="I29" i="69" s="1"/>
  <c r="J29" i="69" s="1"/>
  <c r="H320" i="69"/>
  <c r="I320" i="69" s="1"/>
  <c r="J320" i="69" s="1"/>
  <c r="H223" i="69"/>
  <c r="I223" i="69" s="1"/>
  <c r="J223" i="69" s="1"/>
  <c r="K223" i="69" s="1"/>
  <c r="H317" i="69"/>
  <c r="I317" i="69" s="1"/>
  <c r="J317" i="69" s="1"/>
  <c r="H361" i="69"/>
  <c r="H128" i="69"/>
  <c r="I128" i="69" s="1"/>
  <c r="J128" i="69" s="1"/>
  <c r="H124" i="69"/>
  <c r="I124" i="69" s="1"/>
  <c r="J124" i="69" s="1"/>
  <c r="H231" i="69"/>
  <c r="I231" i="69" s="1"/>
  <c r="J231" i="69" s="1"/>
  <c r="H372" i="69"/>
  <c r="I372" i="69" s="1"/>
  <c r="J372" i="69" s="1"/>
  <c r="H18" i="69"/>
  <c r="I18" i="69" s="1"/>
  <c r="J18" i="69" s="1"/>
  <c r="H377" i="69"/>
  <c r="I377" i="69" s="1"/>
  <c r="J377" i="69" s="1"/>
  <c r="H127" i="69"/>
  <c r="I127" i="69" s="1"/>
  <c r="J127" i="69" s="1"/>
  <c r="H55" i="69"/>
  <c r="I55" i="69" s="1"/>
  <c r="J55" i="69" s="1"/>
  <c r="H366" i="69"/>
  <c r="I366" i="69" s="1"/>
  <c r="J366" i="69" s="1"/>
  <c r="H100" i="69"/>
  <c r="H306" i="69"/>
  <c r="I306" i="69" s="1"/>
  <c r="J306" i="69" s="1"/>
  <c r="H294" i="69"/>
  <c r="I294" i="69" s="1"/>
  <c r="J294" i="69" s="1"/>
  <c r="H217" i="69"/>
  <c r="I217" i="69" s="1"/>
  <c r="J217" i="69" s="1"/>
  <c r="H190" i="69"/>
  <c r="I190" i="69" s="1"/>
  <c r="J190" i="69" s="1"/>
  <c r="H109" i="69"/>
  <c r="I109" i="69" s="1"/>
  <c r="J109" i="69" s="1"/>
  <c r="H382" i="69"/>
  <c r="I382" i="69" s="1"/>
  <c r="J382" i="69" s="1"/>
  <c r="H303" i="69"/>
  <c r="I303" i="69" s="1"/>
  <c r="J303" i="69" s="1"/>
  <c r="H388" i="69"/>
  <c r="I388" i="69" s="1"/>
  <c r="J388" i="69" s="1"/>
  <c r="H115" i="69"/>
  <c r="I115" i="69" s="1"/>
  <c r="J115" i="69" s="1"/>
  <c r="H119" i="69"/>
  <c r="I119" i="69" s="1"/>
  <c r="J119" i="69" s="1"/>
  <c r="H25" i="69"/>
  <c r="I25" i="69" s="1"/>
  <c r="J25" i="69" s="1"/>
  <c r="H62" i="69"/>
  <c r="I62" i="69" s="1"/>
  <c r="J62" i="69" s="1"/>
  <c r="H405" i="69"/>
  <c r="I405" i="69" s="1"/>
  <c r="J405" i="69" s="1"/>
  <c r="H107" i="69"/>
  <c r="I107" i="69" s="1"/>
  <c r="J107" i="69" s="1"/>
  <c r="H365" i="69"/>
  <c r="I365" i="69" s="1"/>
  <c r="J365" i="69" s="1"/>
  <c r="H301" i="69"/>
  <c r="I301" i="69" s="1"/>
  <c r="J301" i="69" s="1"/>
  <c r="H389" i="69"/>
  <c r="I389" i="69" s="1"/>
  <c r="J389" i="69" s="1"/>
  <c r="H101" i="69"/>
  <c r="H290" i="69"/>
  <c r="I290" i="69" s="1"/>
  <c r="J290" i="69" s="1"/>
  <c r="H40" i="69"/>
  <c r="I40" i="69" s="1"/>
  <c r="J40" i="69" s="1"/>
  <c r="H214" i="69"/>
  <c r="I214" i="69" s="1"/>
  <c r="J214" i="69" s="1"/>
  <c r="H392" i="69"/>
  <c r="I392" i="69" s="1"/>
  <c r="J392" i="69" s="1"/>
  <c r="H373" i="69"/>
  <c r="I373" i="69" s="1"/>
  <c r="J373" i="69" s="1"/>
  <c r="H401" i="69"/>
  <c r="I401" i="69" s="1"/>
  <c r="J401" i="69" s="1"/>
  <c r="H36" i="69"/>
  <c r="I36" i="69" s="1"/>
  <c r="J36" i="69" s="1"/>
  <c r="H300" i="69"/>
  <c r="I300" i="69" s="1"/>
  <c r="J300" i="69" s="1"/>
  <c r="H305" i="69"/>
  <c r="I305" i="69" s="1"/>
  <c r="J305" i="69" s="1"/>
  <c r="H224" i="69"/>
  <c r="I224" i="69" s="1"/>
  <c r="J224" i="69" s="1"/>
  <c r="H195" i="69"/>
  <c r="I195" i="69" s="1"/>
  <c r="J195" i="69" s="1"/>
  <c r="H232" i="69"/>
  <c r="I232" i="69" s="1"/>
  <c r="J232" i="69" s="1"/>
  <c r="H43" i="69"/>
  <c r="I43" i="69" s="1"/>
  <c r="J43" i="69" s="1"/>
  <c r="H39" i="69"/>
  <c r="I39" i="69" s="1"/>
  <c r="J39" i="69" s="1"/>
  <c r="H283" i="69"/>
  <c r="I283" i="69" s="1"/>
  <c r="J283" i="69" s="1"/>
  <c r="H202" i="69"/>
  <c r="I202" i="69" s="1"/>
  <c r="J202" i="69" s="1"/>
  <c r="H45" i="69"/>
  <c r="I45" i="69" s="1"/>
  <c r="J45" i="69" s="1"/>
  <c r="H311" i="69"/>
  <c r="I311" i="69" s="1"/>
  <c r="J311" i="69" s="1"/>
  <c r="H47" i="69"/>
  <c r="I47" i="69" s="1"/>
  <c r="J47" i="69" s="1"/>
  <c r="H410" i="69"/>
  <c r="I410" i="69" s="1"/>
  <c r="J410" i="69" s="1"/>
  <c r="H205" i="69"/>
  <c r="I205" i="69" s="1"/>
  <c r="J205" i="69" s="1"/>
  <c r="H133" i="69"/>
  <c r="I133" i="69" s="1"/>
  <c r="J133" i="69" s="1"/>
  <c r="H322" i="69"/>
  <c r="I322" i="69" s="1"/>
  <c r="J322" i="69" s="1"/>
  <c r="H21" i="69"/>
  <c r="I21" i="69" s="1"/>
  <c r="J21" i="69" s="1"/>
  <c r="H371" i="69"/>
  <c r="I371" i="69" s="1"/>
  <c r="J371" i="69" s="1"/>
  <c r="H215" i="69"/>
  <c r="I215" i="69" s="1"/>
  <c r="J215" i="69" s="1"/>
  <c r="H17" i="69"/>
  <c r="I17" i="69" s="1"/>
  <c r="J17" i="69" s="1"/>
  <c r="H403" i="69"/>
  <c r="I403" i="69" s="1"/>
  <c r="J403" i="69" s="1"/>
  <c r="H304" i="69"/>
  <c r="I304" i="69" s="1"/>
  <c r="J304" i="69" s="1"/>
  <c r="H30" i="69"/>
  <c r="I30" i="69" s="1"/>
  <c r="J30" i="69" s="1"/>
  <c r="H34" i="69"/>
  <c r="I34" i="69" s="1"/>
  <c r="J34" i="69" s="1"/>
  <c r="H302" i="69"/>
  <c r="I302" i="69" s="1"/>
  <c r="J302" i="69" s="1"/>
  <c r="H402" i="69"/>
  <c r="I402" i="69" s="1"/>
  <c r="J402" i="69" s="1"/>
  <c r="H112" i="69"/>
  <c r="I112" i="69" s="1"/>
  <c r="J112" i="69" s="1"/>
  <c r="H362" i="69"/>
  <c r="I362" i="69" s="1"/>
  <c r="J362" i="69" s="1"/>
  <c r="H314" i="69"/>
  <c r="I314" i="69" s="1"/>
  <c r="J314" i="69" s="1"/>
  <c r="H310" i="69"/>
  <c r="I310" i="69" s="1"/>
  <c r="J310" i="69" s="1"/>
  <c r="H28" i="69"/>
  <c r="I28" i="69" s="1"/>
  <c r="J28" i="69" s="1"/>
  <c r="H67" i="69"/>
  <c r="I67" i="69" s="1"/>
  <c r="H137" i="69"/>
  <c r="I137" i="69" s="1"/>
  <c r="J137" i="69" s="1"/>
  <c r="H56" i="69"/>
  <c r="I56" i="69" s="1"/>
  <c r="J56" i="69" s="1"/>
  <c r="H296" i="69"/>
  <c r="I296" i="69" s="1"/>
  <c r="J296" i="69" s="1"/>
  <c r="H375" i="69"/>
  <c r="I375" i="69" s="1"/>
  <c r="J375" i="69" s="1"/>
  <c r="H235" i="69"/>
  <c r="I235" i="69" s="1"/>
  <c r="J235" i="69" s="1"/>
  <c r="H138" i="69"/>
  <c r="I138" i="69" s="1"/>
  <c r="J138" i="69" s="1"/>
  <c r="K138" i="69" s="1"/>
  <c r="H149" i="69"/>
  <c r="I149" i="69" s="1"/>
  <c r="J149" i="69" s="1"/>
  <c r="H193" i="69"/>
  <c r="I193" i="69" s="1"/>
  <c r="J193" i="69" s="1"/>
  <c r="H280" i="69"/>
  <c r="I280" i="69" s="1"/>
  <c r="J280" i="69" s="1"/>
  <c r="H12" i="69"/>
  <c r="I12" i="69" s="1"/>
  <c r="J12" i="69" s="1"/>
  <c r="H213" i="69"/>
  <c r="I213" i="69" s="1"/>
  <c r="J213" i="69" s="1"/>
  <c r="H201" i="69"/>
  <c r="I201" i="69" s="1"/>
  <c r="J201" i="69" s="1"/>
  <c r="H8" i="69"/>
  <c r="I8" i="69" s="1"/>
  <c r="J8" i="69" s="1"/>
  <c r="H198" i="69"/>
  <c r="I198" i="69" s="1"/>
  <c r="J198" i="69" s="1"/>
  <c r="H117" i="69"/>
  <c r="I117" i="69" s="1"/>
  <c r="J117" i="69" s="1"/>
  <c r="H391" i="69"/>
  <c r="I391" i="69" s="1"/>
  <c r="J391" i="69" s="1"/>
  <c r="H226" i="69"/>
  <c r="I226" i="69" s="1"/>
  <c r="J226" i="69" s="1"/>
  <c r="H288" i="69"/>
  <c r="I288" i="69" s="1"/>
  <c r="J288" i="69" s="1"/>
  <c r="H99" i="69"/>
  <c r="H396" i="69"/>
  <c r="I396" i="69" s="1"/>
  <c r="J396" i="69" s="1"/>
  <c r="H293" i="69"/>
  <c r="I293" i="69" s="1"/>
  <c r="J293" i="69" s="1"/>
  <c r="H42" i="69"/>
  <c r="I42" i="69" s="1"/>
  <c r="J42" i="69" s="1"/>
  <c r="H234" i="69"/>
  <c r="I234" i="69" s="1"/>
  <c r="J234" i="69" s="1"/>
  <c r="H134" i="69"/>
  <c r="I134" i="69" s="1"/>
  <c r="J134" i="69" s="1"/>
  <c r="H292" i="69"/>
  <c r="I292" i="69" s="1"/>
  <c r="J292" i="69" s="1"/>
  <c r="H146" i="69"/>
  <c r="I146" i="69" s="1"/>
  <c r="J146" i="69" s="1"/>
  <c r="H327" i="69"/>
  <c r="I327" i="69" s="1"/>
  <c r="J327" i="69" s="1"/>
  <c r="H103" i="69"/>
  <c r="I103" i="69" s="1"/>
  <c r="J103" i="69" s="1"/>
  <c r="H31" i="69"/>
  <c r="I31" i="69" s="1"/>
  <c r="J31" i="69" s="1"/>
  <c r="H212" i="69"/>
  <c r="I212" i="69" s="1"/>
  <c r="J212" i="69" s="1"/>
  <c r="K212" i="69" s="1"/>
  <c r="H135" i="69"/>
  <c r="I135" i="69" s="1"/>
  <c r="J135" i="69" s="1"/>
  <c r="K135" i="69" s="1"/>
  <c r="H318" i="69"/>
  <c r="I318" i="69" s="1"/>
  <c r="J318" i="69" s="1"/>
  <c r="H27" i="69"/>
  <c r="I27" i="69" s="1"/>
  <c r="J27" i="69" s="1"/>
  <c r="H220" i="69"/>
  <c r="I220" i="69" s="1"/>
  <c r="J220" i="69" s="1"/>
  <c r="K220" i="69" s="1"/>
  <c r="H126" i="69"/>
  <c r="I126" i="69" s="1"/>
  <c r="J126" i="69" s="1"/>
  <c r="H206" i="69"/>
  <c r="I206" i="69" s="1"/>
  <c r="J206" i="69" s="1"/>
  <c r="H65" i="69"/>
  <c r="I65" i="69" s="1"/>
  <c r="J65" i="69" s="1"/>
  <c r="H399" i="69"/>
  <c r="I399" i="69" s="1"/>
  <c r="J399" i="69" s="1"/>
  <c r="H323" i="69"/>
  <c r="I323" i="69" s="1"/>
  <c r="J323" i="69" s="1"/>
  <c r="H33" i="69"/>
  <c r="I33" i="69" s="1"/>
  <c r="J33" i="69" s="1"/>
  <c r="H142" i="69"/>
  <c r="I142" i="69" s="1"/>
  <c r="J142" i="69" s="1"/>
  <c r="H38" i="69"/>
  <c r="I38" i="69" s="1"/>
  <c r="J38" i="69" s="1"/>
  <c r="H147" i="69"/>
  <c r="I147" i="69" s="1"/>
  <c r="J147" i="69" s="1"/>
  <c r="H192" i="69"/>
  <c r="I192" i="69" s="1"/>
  <c r="J192" i="69" s="1"/>
  <c r="H156" i="69"/>
  <c r="I156" i="69" s="1"/>
  <c r="J156" i="69" s="1"/>
  <c r="H385" i="69"/>
  <c r="I385" i="69" s="1"/>
  <c r="J385" i="69" s="1"/>
  <c r="H23" i="69"/>
  <c r="I23" i="69" s="1"/>
  <c r="J23" i="69" s="1"/>
  <c r="H50" i="69"/>
  <c r="I50" i="69" s="1"/>
  <c r="J50" i="69" s="1"/>
  <c r="K50" i="69" s="1"/>
  <c r="H390" i="69"/>
  <c r="I390" i="69" s="1"/>
  <c r="J390" i="69" s="1"/>
  <c r="H364" i="69"/>
  <c r="I364" i="69" s="1"/>
  <c r="J364" i="69" s="1"/>
  <c r="H15" i="69"/>
  <c r="I15" i="69" s="1"/>
  <c r="J15" i="69" s="1"/>
  <c r="H379" i="69"/>
  <c r="I379" i="69" s="1"/>
  <c r="J379" i="69" s="1"/>
  <c r="H143" i="69"/>
  <c r="I143" i="69" s="1"/>
  <c r="J143" i="69" s="1"/>
  <c r="H129" i="69"/>
  <c r="I129" i="69" s="1"/>
  <c r="J129" i="69" s="1"/>
  <c r="H61" i="69"/>
  <c r="I61" i="69" s="1"/>
  <c r="J61" i="69" s="1"/>
  <c r="H203" i="69"/>
  <c r="I203" i="69" s="1"/>
  <c r="J203" i="69" s="1"/>
  <c r="H14" i="69"/>
  <c r="I14" i="69" s="1"/>
  <c r="J14" i="69" s="1"/>
  <c r="H312" i="69"/>
  <c r="I312" i="69" s="1"/>
  <c r="J312" i="69" s="1"/>
  <c r="H208" i="69"/>
  <c r="I208" i="69" s="1"/>
  <c r="J208" i="69" s="1"/>
  <c r="H155" i="69"/>
  <c r="I155" i="69" s="1"/>
  <c r="J155" i="69" s="1"/>
  <c r="H11" i="69"/>
  <c r="I11" i="69" s="1"/>
  <c r="J11" i="69" s="1"/>
  <c r="H120" i="69"/>
  <c r="I120" i="69" s="1"/>
  <c r="J120" i="69" s="1"/>
  <c r="H48" i="69"/>
  <c r="I48" i="69" s="1"/>
  <c r="J48" i="69" s="1"/>
  <c r="H229" i="69"/>
  <c r="I229" i="69" s="1"/>
  <c r="J229" i="69" s="1"/>
  <c r="H241" i="69"/>
  <c r="I241" i="69" s="1"/>
  <c r="J241" i="69" s="1"/>
  <c r="H148" i="69"/>
  <c r="I148" i="69" s="1"/>
  <c r="J148" i="69" s="1"/>
  <c r="H108" i="69"/>
  <c r="I108" i="69" s="1"/>
  <c r="J108" i="69" s="1"/>
  <c r="I51" i="69"/>
  <c r="J51" i="69" s="1"/>
  <c r="H316" i="69"/>
  <c r="I316" i="69" s="1"/>
  <c r="J316" i="69" s="1"/>
  <c r="H24" i="69"/>
  <c r="I24" i="69" s="1"/>
  <c r="J24" i="69" s="1"/>
  <c r="H298" i="69"/>
  <c r="I298" i="69" s="1"/>
  <c r="J298" i="69" s="1"/>
  <c r="H218" i="69"/>
  <c r="I218" i="69" s="1"/>
  <c r="J218" i="69" s="1"/>
  <c r="H406" i="69"/>
  <c r="I406" i="69" s="1"/>
  <c r="J406" i="69" s="1"/>
  <c r="H41" i="69"/>
  <c r="I41" i="69" s="1"/>
  <c r="J41" i="69" s="1"/>
  <c r="H121" i="69"/>
  <c r="I121" i="69" s="1"/>
  <c r="J121" i="69" s="1"/>
  <c r="H315" i="69"/>
  <c r="I315" i="69" s="1"/>
  <c r="J315" i="69" s="1"/>
  <c r="H408" i="69"/>
  <c r="I408" i="69" s="1"/>
  <c r="J408" i="69" s="1"/>
  <c r="H321" i="69"/>
  <c r="I321" i="69" s="1"/>
  <c r="J321" i="69" s="1"/>
  <c r="H22" i="69"/>
  <c r="I22" i="69" s="1"/>
  <c r="J22" i="69" s="1"/>
  <c r="H281" i="69"/>
  <c r="I281" i="69" s="1"/>
  <c r="J281" i="69" s="1"/>
  <c r="H216" i="69"/>
  <c r="I216" i="69" s="1"/>
  <c r="J216" i="69" s="1"/>
  <c r="H139" i="69"/>
  <c r="I139" i="69" s="1"/>
  <c r="J139" i="69" s="1"/>
  <c r="H228" i="69"/>
  <c r="I228" i="69" s="1"/>
  <c r="J228" i="69" s="1"/>
  <c r="H286" i="69"/>
  <c r="I286" i="69" s="1"/>
  <c r="J286" i="69" s="1"/>
  <c r="H394" i="69"/>
  <c r="I394" i="69" s="1"/>
  <c r="J394" i="69" s="1"/>
  <c r="H113" i="69"/>
  <c r="I113" i="69" s="1"/>
  <c r="J113" i="69" s="1"/>
  <c r="H32" i="69"/>
  <c r="I32" i="69" s="1"/>
  <c r="J32" i="69" s="1"/>
  <c r="H307" i="69"/>
  <c r="I307" i="69" s="1"/>
  <c r="J307" i="69" s="1"/>
  <c r="H141" i="69"/>
  <c r="I141" i="69" s="1"/>
  <c r="J141" i="69" s="1"/>
  <c r="H409" i="69"/>
  <c r="I409" i="69" s="1"/>
  <c r="J409" i="69" s="1"/>
  <c r="H210" i="69"/>
  <c r="I210" i="69" s="1"/>
  <c r="J210" i="69" s="1"/>
  <c r="K210" i="69" s="1"/>
  <c r="H209" i="69"/>
  <c r="I209" i="69" s="1"/>
  <c r="J209" i="69" s="1"/>
  <c r="H309" i="69"/>
  <c r="I309" i="69" s="1"/>
  <c r="J309" i="69" s="1"/>
  <c r="H397" i="69"/>
  <c r="I397" i="69" s="1"/>
  <c r="J397" i="69" s="1"/>
  <c r="H238" i="69"/>
  <c r="I238" i="69" s="1"/>
  <c r="J238" i="69" s="1"/>
  <c r="H144" i="69"/>
  <c r="I144" i="69" s="1"/>
  <c r="J144" i="69" s="1"/>
  <c r="H49" i="69"/>
  <c r="I49" i="69" s="1"/>
  <c r="J49" i="69" s="1"/>
  <c r="H207" i="69"/>
  <c r="I207" i="69" s="1"/>
  <c r="J207" i="69" s="1"/>
  <c r="H222" i="69"/>
  <c r="I222" i="69" s="1"/>
  <c r="J222" i="69" s="1"/>
  <c r="H105" i="69"/>
  <c r="I105" i="69" s="1"/>
  <c r="J105" i="69" s="1"/>
  <c r="H295" i="69"/>
  <c r="I295" i="69" s="1"/>
  <c r="J295" i="69" s="1"/>
  <c r="H145" i="69"/>
  <c r="I145" i="69" s="1"/>
  <c r="J145" i="69" s="1"/>
  <c r="H319" i="69"/>
  <c r="I319" i="69" s="1"/>
  <c r="J319" i="69" s="1"/>
  <c r="H376" i="69"/>
  <c r="I376" i="69" s="1"/>
  <c r="J376" i="69" s="1"/>
  <c r="H324" i="69"/>
  <c r="I324" i="69" s="1"/>
  <c r="J324" i="69" s="1"/>
  <c r="H236" i="69"/>
  <c r="I236" i="69" s="1"/>
  <c r="J236" i="69" s="1"/>
  <c r="H368" i="69"/>
  <c r="I368" i="69" s="1"/>
  <c r="J368" i="69" s="1"/>
  <c r="H196" i="69"/>
  <c r="I196" i="69" s="1"/>
  <c r="J196" i="69" s="1"/>
  <c r="H131" i="69"/>
  <c r="I131" i="69" s="1"/>
  <c r="J131" i="69" s="1"/>
  <c r="H225" i="69"/>
  <c r="I225" i="69" s="1"/>
  <c r="J225" i="69" s="1"/>
  <c r="H20" i="69"/>
  <c r="I20" i="69" s="1"/>
  <c r="J20" i="69" s="1"/>
  <c r="H44" i="69"/>
  <c r="I44" i="69" s="1"/>
  <c r="J44" i="69" s="1"/>
  <c r="H325" i="69"/>
  <c r="I325" i="69" s="1"/>
  <c r="J325" i="69" s="1"/>
  <c r="H386" i="69"/>
  <c r="I386" i="69" s="1"/>
  <c r="J386" i="69" s="1"/>
  <c r="H383" i="69"/>
  <c r="I383" i="69" s="1"/>
  <c r="J383" i="69" s="1"/>
  <c r="H118" i="69"/>
  <c r="I118" i="69" s="1"/>
  <c r="J118" i="69" s="1"/>
  <c r="H227" i="69"/>
  <c r="I227" i="69" s="1"/>
  <c r="J227" i="69" s="1"/>
  <c r="H123" i="69"/>
  <c r="I123" i="69" s="1"/>
  <c r="J123" i="69" s="1"/>
  <c r="H26" i="69"/>
  <c r="I26" i="69" s="1"/>
  <c r="J26" i="69" s="1"/>
  <c r="H140" i="69"/>
  <c r="I140" i="69" s="1"/>
  <c r="J140" i="69" s="1"/>
  <c r="H378" i="69"/>
  <c r="I378" i="69" s="1"/>
  <c r="J378" i="69" s="1"/>
  <c r="H191" i="69"/>
  <c r="I191" i="69" s="1"/>
  <c r="J191" i="69" s="1"/>
  <c r="H57" i="69"/>
  <c r="I57" i="69" s="1"/>
  <c r="J57" i="69" s="1"/>
  <c r="H384" i="69"/>
  <c r="I384" i="69" s="1"/>
  <c r="J384" i="69" s="1"/>
  <c r="I187" i="69"/>
  <c r="J187" i="69" s="1"/>
  <c r="H110" i="69"/>
  <c r="I110" i="69" s="1"/>
  <c r="J110" i="69" s="1"/>
  <c r="H10" i="69"/>
  <c r="I10" i="69" s="1"/>
  <c r="J10" i="69" s="1"/>
  <c r="H200" i="69"/>
  <c r="I200" i="69" s="1"/>
  <c r="J200" i="69" s="1"/>
  <c r="H204" i="69"/>
  <c r="I204" i="69" s="1"/>
  <c r="J204" i="69" s="1"/>
  <c r="H313" i="69"/>
  <c r="I313" i="69" s="1"/>
  <c r="J313" i="69" s="1"/>
  <c r="H370" i="69"/>
  <c r="I370" i="69" s="1"/>
  <c r="J370" i="69" s="1"/>
  <c r="H59" i="69"/>
  <c r="I59" i="69" s="1"/>
  <c r="J59" i="69" s="1"/>
  <c r="H66" i="69"/>
  <c r="H369" i="69"/>
  <c r="I369" i="69" s="1"/>
  <c r="J369" i="69" s="1"/>
  <c r="H154" i="69"/>
  <c r="I154" i="69" s="1"/>
  <c r="J154" i="69" s="1"/>
  <c r="H326" i="69"/>
  <c r="I326" i="69" s="1"/>
  <c r="J326" i="69" s="1"/>
  <c r="H381" i="69"/>
  <c r="I381" i="69" s="1"/>
  <c r="J381" i="69" s="1"/>
  <c r="H152" i="69"/>
  <c r="I152" i="69" s="1"/>
  <c r="J152" i="69" s="1"/>
  <c r="H407" i="69"/>
  <c r="I407" i="69" s="1"/>
  <c r="J407" i="69" s="1"/>
  <c r="H13" i="69"/>
  <c r="I13" i="69" s="1"/>
  <c r="J13" i="69" s="1"/>
  <c r="H363" i="69"/>
  <c r="I363" i="69" s="1"/>
  <c r="J363" i="69" s="1"/>
  <c r="H37" i="69"/>
  <c r="I37" i="69" s="1"/>
  <c r="J37" i="69" s="1"/>
  <c r="I240" i="69"/>
  <c r="J240" i="69" s="1"/>
  <c r="H1" i="69" l="1"/>
  <c r="I99" i="69"/>
  <c r="J99" i="69" s="1"/>
  <c r="I101" i="69"/>
  <c r="J101" i="69" s="1"/>
  <c r="I100" i="69"/>
  <c r="J100" i="69" s="1"/>
  <c r="I102" i="69"/>
  <c r="J102" i="69" s="1"/>
  <c r="I361" i="69"/>
  <c r="J361" i="69" s="1"/>
  <c r="I412" i="69"/>
  <c r="J412" i="69" s="1"/>
  <c r="J67" i="69"/>
  <c r="I66" i="69"/>
  <c r="J66" i="69" s="1"/>
  <c r="K5" i="69" l="1"/>
  <c r="K7" i="69"/>
  <c r="K10" i="69"/>
  <c r="K15" i="69"/>
  <c r="K16" i="69"/>
  <c r="K17" i="69"/>
  <c r="K18" i="69"/>
  <c r="K21" i="69"/>
  <c r="K22" i="69"/>
  <c r="K23" i="69"/>
  <c r="K24" i="69"/>
  <c r="K25" i="69"/>
  <c r="K26" i="69"/>
  <c r="K27" i="69"/>
  <c r="K28" i="69"/>
  <c r="K32" i="69"/>
  <c r="K36" i="69"/>
  <c r="K37" i="69"/>
  <c r="K38" i="69"/>
  <c r="K39" i="69"/>
  <c r="K43" i="69"/>
  <c r="K44" i="69"/>
  <c r="K45" i="69"/>
  <c r="K4" i="69"/>
  <c r="E190" i="3" l="1"/>
  <c r="H478" i="69" l="1"/>
  <c r="I478" i="69" s="1"/>
  <c r="J478" i="69" s="1"/>
  <c r="H479" i="69"/>
  <c r="I3" i="69"/>
  <c r="J3" i="69" l="1"/>
  <c r="J1" i="6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C5" authorId="0" shapeId="0" xr:uid="{00000000-0006-0000-01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</author>
    <author>Digital NEX</author>
  </authors>
  <commentList>
    <comment ref="D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2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ME90621GOC:
1H1-ET
2012.06.29</t>
        </r>
        <r>
          <rPr>
            <b/>
            <sz val="9"/>
            <color indexed="81"/>
            <rFont val="돋움"/>
            <family val="3"/>
            <charset val="129"/>
          </rPr>
          <t>까지출고</t>
        </r>
      </text>
    </comment>
    <comment ref="F35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ME00621CM3
2013.01.28
~2013.01.29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ME00621SP1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8/24일부터 
9/05까지 출고</t>
        </r>
      </text>
    </comment>
    <comment ref="F37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ME00621GP1
8/24</t>
        </r>
        <r>
          <rPr>
            <b/>
            <sz val="9"/>
            <color indexed="81"/>
            <rFont val="돋움"/>
            <family val="3"/>
            <charset val="129"/>
          </rPr>
          <t>일부터 
9/05까지 출고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<sst xmlns="http://schemas.openxmlformats.org/spreadsheetml/2006/main" count="2295" uniqueCount="1064">
  <si>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</si>
  <si>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</si>
  <si>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</si>
  <si>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</si>
  <si>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</si>
  <si>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</si>
  <si>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</si>
  <si>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</si>
  <si>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</si>
  <si>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</si>
  <si>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</si>
  <si>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</si>
  <si>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</si>
  <si>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</si>
  <si>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코쿠준오일클렌징200ml</t>
  </si>
  <si>
    <t>왕십리점</t>
  </si>
  <si>
    <t>스프레이 익스트림 180ml</t>
  </si>
  <si>
    <t>ME90621GES</t>
  </si>
  <si>
    <t>ME90621SLO</t>
  </si>
  <si>
    <t>ME90621SM4</t>
  </si>
  <si>
    <t>고쿠쥰로션170ml</t>
  </si>
  <si>
    <t>고쿠쥰에센스30g</t>
  </si>
  <si>
    <t>멘소래담스프레이익스트림</t>
  </si>
  <si>
    <t>고쿠쥰훼이스워시100g</t>
  </si>
  <si>
    <t>고쿠쥰밀크140ml</t>
  </si>
  <si>
    <t>고쿠쥰로션밀크세트170ml/140ml</t>
  </si>
  <si>
    <t>시로쥰로션밀크세트</t>
  </si>
  <si>
    <t>하다라보 고쿠쥰 로션 &amp; 밀크 세트</t>
  </si>
  <si>
    <t>하다라보 시로쥰 로션 &amp; 밀크 세트</t>
  </si>
  <si>
    <t>태백점</t>
  </si>
  <si>
    <t>남양주점</t>
  </si>
  <si>
    <t>창원점</t>
  </si>
  <si>
    <t>구미점</t>
  </si>
  <si>
    <t>천안점</t>
  </si>
  <si>
    <t>해운대점</t>
  </si>
  <si>
    <t>점포코드</t>
    <phoneticPr fontId="91" type="noConversion"/>
  </si>
  <si>
    <t xml:space="preserve">점포명 </t>
    <phoneticPr fontId="91" type="noConversion"/>
  </si>
  <si>
    <t>마산마트</t>
    <phoneticPr fontId="93" type="noConversion"/>
  </si>
  <si>
    <t>창동점</t>
  </si>
  <si>
    <t>일산점</t>
  </si>
  <si>
    <t>안산점</t>
  </si>
  <si>
    <t>부평점</t>
  </si>
  <si>
    <t>제주점</t>
  </si>
  <si>
    <t>분당점</t>
  </si>
  <si>
    <t>남원점</t>
  </si>
  <si>
    <t>안양점</t>
  </si>
  <si>
    <t>서부산점</t>
  </si>
  <si>
    <t>김천점</t>
  </si>
  <si>
    <t>동광주점</t>
  </si>
  <si>
    <t>청주점</t>
  </si>
  <si>
    <t>전주점</t>
  </si>
  <si>
    <t>부천점</t>
  </si>
  <si>
    <t>원주점</t>
  </si>
  <si>
    <t>구로점</t>
  </si>
  <si>
    <t>신월점</t>
  </si>
  <si>
    <t>성서점</t>
  </si>
  <si>
    <t>산본점</t>
  </si>
  <si>
    <t>천호점</t>
  </si>
  <si>
    <t>가양점</t>
  </si>
  <si>
    <t>시화점</t>
  </si>
  <si>
    <t>상봉점</t>
  </si>
  <si>
    <t>이천점</t>
  </si>
  <si>
    <t>진주점</t>
  </si>
  <si>
    <t>목포점</t>
  </si>
  <si>
    <t>동인천점</t>
  </si>
  <si>
    <t>만촌점</t>
  </si>
  <si>
    <t>군산점</t>
  </si>
  <si>
    <t>성수점</t>
  </si>
  <si>
    <t>월배점</t>
  </si>
  <si>
    <t>수서점</t>
  </si>
  <si>
    <t>수원점</t>
  </si>
  <si>
    <t>충주점</t>
  </si>
  <si>
    <t>평택점</t>
  </si>
  <si>
    <t>은평점</t>
  </si>
  <si>
    <t>포항점</t>
  </si>
  <si>
    <t>여수점</t>
  </si>
  <si>
    <t>연제점</t>
  </si>
  <si>
    <t>칠성점</t>
  </si>
  <si>
    <t>둔산점</t>
  </si>
  <si>
    <t>인천점</t>
  </si>
  <si>
    <t>명일점</t>
  </si>
  <si>
    <t>연수점</t>
  </si>
  <si>
    <t>강릉점</t>
  </si>
  <si>
    <t>공항점</t>
  </si>
  <si>
    <t>고잔점</t>
  </si>
  <si>
    <t>문현점</t>
  </si>
  <si>
    <t>수지점</t>
  </si>
  <si>
    <t>금정점</t>
  </si>
  <si>
    <t>신제주점</t>
  </si>
  <si>
    <t>속초점</t>
  </si>
  <si>
    <t>사상점</t>
  </si>
  <si>
    <t>울산점</t>
  </si>
  <si>
    <t>동해점</t>
  </si>
  <si>
    <t>영천점</t>
  </si>
  <si>
    <t>광산점</t>
  </si>
  <si>
    <t>양산점</t>
  </si>
  <si>
    <t>파주점</t>
  </si>
  <si>
    <t>반야월점</t>
  </si>
  <si>
    <t>월계점</t>
  </si>
  <si>
    <t>용산역점</t>
  </si>
  <si>
    <t>안동점</t>
  </si>
  <si>
    <t>양재점</t>
  </si>
  <si>
    <t>인천공항점</t>
  </si>
  <si>
    <t>통영점</t>
  </si>
  <si>
    <t>순천점</t>
  </si>
  <si>
    <t>서수원점</t>
  </si>
  <si>
    <t>죽전점</t>
  </si>
  <si>
    <t>춘천점</t>
  </si>
  <si>
    <t>오산점</t>
  </si>
  <si>
    <t>용인점</t>
  </si>
  <si>
    <t>서귀포점</t>
  </si>
  <si>
    <t>경산점</t>
  </si>
  <si>
    <t>광주점</t>
  </si>
  <si>
    <t>동백점</t>
  </si>
  <si>
    <t>송림점</t>
  </si>
  <si>
    <t>구성점</t>
  </si>
  <si>
    <t>서대전점</t>
  </si>
  <si>
    <t>역삼점</t>
  </si>
  <si>
    <t>시지점</t>
  </si>
  <si>
    <t>화정점</t>
  </si>
  <si>
    <t>비산점</t>
  </si>
  <si>
    <t>학성점</t>
  </si>
  <si>
    <t>서면점</t>
  </si>
  <si>
    <t>중동점</t>
  </si>
  <si>
    <t>계양점</t>
  </si>
  <si>
    <t>평촌점</t>
  </si>
  <si>
    <t>달서점</t>
  </si>
  <si>
    <t>마산점</t>
  </si>
  <si>
    <t>익산점</t>
  </si>
  <si>
    <t>아산점</t>
  </si>
  <si>
    <t>자양점</t>
  </si>
  <si>
    <t>상주점</t>
  </si>
  <si>
    <t>가락점</t>
  </si>
  <si>
    <t>감삼점</t>
  </si>
  <si>
    <t>광명점</t>
  </si>
  <si>
    <t>도농점</t>
  </si>
  <si>
    <t>동탄점</t>
  </si>
  <si>
    <t>묵동점</t>
  </si>
  <si>
    <t>미아점</t>
  </si>
  <si>
    <t>발산점</t>
  </si>
  <si>
    <t>보라점</t>
  </si>
  <si>
    <t>보령점</t>
  </si>
  <si>
    <t>봉선점</t>
  </si>
  <si>
    <t>봉천점</t>
  </si>
  <si>
    <t>불광점</t>
  </si>
  <si>
    <t>상도점</t>
  </si>
  <si>
    <t>성남점</t>
  </si>
  <si>
    <t>수색점</t>
  </si>
  <si>
    <t>신도림점</t>
  </si>
  <si>
    <t>쌍문점</t>
  </si>
  <si>
    <t>안성점</t>
  </si>
  <si>
    <t>양주점</t>
  </si>
  <si>
    <t>여의도점</t>
  </si>
  <si>
    <t>여주점</t>
  </si>
  <si>
    <t>영등포점</t>
  </si>
  <si>
    <t>용산점</t>
  </si>
  <si>
    <t>이문점</t>
  </si>
  <si>
    <t>제천점</t>
  </si>
  <si>
    <t>진접점</t>
  </si>
  <si>
    <t>포천점</t>
  </si>
  <si>
    <t>하남점</t>
  </si>
  <si>
    <t>흥덕점</t>
  </si>
  <si>
    <t>광주봉선점</t>
  </si>
  <si>
    <t>센텀점</t>
    <phoneticPr fontId="91" type="noConversion"/>
  </si>
  <si>
    <t>사천점</t>
    <phoneticPr fontId="91" type="noConversion"/>
  </si>
  <si>
    <t>광명소하점</t>
    <phoneticPr fontId="91" type="noConversion"/>
  </si>
  <si>
    <t>가든5점</t>
    <phoneticPr fontId="91" type="noConversion"/>
  </si>
  <si>
    <t>경기광주점</t>
    <phoneticPr fontId="91" type="noConversion"/>
  </si>
  <si>
    <t>청계천점</t>
    <phoneticPr fontId="91" type="noConversion"/>
  </si>
  <si>
    <t>이수점</t>
    <phoneticPr fontId="91" type="noConversion"/>
  </si>
  <si>
    <t>검단점</t>
    <phoneticPr fontId="91" type="noConversion"/>
  </si>
  <si>
    <t>상무점</t>
    <phoneticPr fontId="91" type="noConversion"/>
  </si>
  <si>
    <t>파주운정점</t>
    <phoneticPr fontId="91" type="noConversion"/>
  </si>
  <si>
    <t>아크네스 포밍워시 200ml (인케이스)-RRP</t>
  </si>
  <si>
    <t>아크네스 크리미 워시 130g (인케이스)-RRP</t>
  </si>
  <si>
    <t>아크네스 스팟 클리어 젤 18g (인케이스)-RRP</t>
  </si>
  <si>
    <t>여주</t>
    <phoneticPr fontId="91" type="noConversion"/>
  </si>
  <si>
    <t>이마트 본점</t>
  </si>
  <si>
    <t>이마트 창동점</t>
  </si>
  <si>
    <t>이마트 일산점</t>
  </si>
  <si>
    <t>이마트 안산점</t>
  </si>
  <si>
    <t>이마트 부평점</t>
  </si>
  <si>
    <t>이마트 제주점</t>
  </si>
  <si>
    <t>이마트 분당점</t>
  </si>
  <si>
    <t>이마트 남원점</t>
  </si>
  <si>
    <t>이마트 안양점</t>
  </si>
  <si>
    <t>이마트 서부산점</t>
  </si>
  <si>
    <t>이마트 김천점</t>
  </si>
  <si>
    <t>이마트 동광주점</t>
  </si>
  <si>
    <t>이마트 청주점</t>
  </si>
  <si>
    <t>이마트 전주점</t>
  </si>
  <si>
    <t>이마트 부천점</t>
  </si>
  <si>
    <t>이마트 원주점</t>
  </si>
  <si>
    <t>이마트 구로점</t>
  </si>
  <si>
    <t>이마트 신월점</t>
  </si>
  <si>
    <t>이마트 성서점</t>
  </si>
  <si>
    <t>이마트 산본점</t>
  </si>
  <si>
    <t>이마트 천호점</t>
  </si>
  <si>
    <t>이마트 가양점</t>
  </si>
  <si>
    <t>이마트 해운대점</t>
  </si>
  <si>
    <t>이마트 시화점</t>
  </si>
  <si>
    <t>이마트 상봉점</t>
  </si>
  <si>
    <t>이마트 이천점</t>
  </si>
  <si>
    <t>이마트 진주점</t>
  </si>
  <si>
    <t>이마트 목포점</t>
  </si>
  <si>
    <t>이마트 동인천점</t>
  </si>
  <si>
    <t>이마트 만촌점</t>
  </si>
  <si>
    <t>이마트 군산점</t>
  </si>
  <si>
    <t>이마트 성수점</t>
  </si>
  <si>
    <t>이마트 월배점</t>
  </si>
  <si>
    <t>이마트 천안점</t>
  </si>
  <si>
    <t>이마트 수서점</t>
  </si>
  <si>
    <t>이마트 광주상무점</t>
  </si>
  <si>
    <t>이마트 수원점</t>
  </si>
  <si>
    <t>이마트 충주점</t>
  </si>
  <si>
    <t>이마트 평택점</t>
  </si>
  <si>
    <t>이마트 은평점</t>
  </si>
  <si>
    <t>이마트 포항점</t>
  </si>
  <si>
    <t>이마트 여수점</t>
  </si>
  <si>
    <t>이마트 연제점</t>
  </si>
  <si>
    <t>이마트 칠성점</t>
  </si>
  <si>
    <t>이마트 둔산점</t>
  </si>
  <si>
    <t>이마트 구미점</t>
  </si>
  <si>
    <t>이마트 창원점</t>
  </si>
  <si>
    <t>이마트 인천점</t>
  </si>
  <si>
    <t>이마트 명일점</t>
  </si>
  <si>
    <t>이마트 연수점</t>
  </si>
  <si>
    <t>이마트 강릉점</t>
  </si>
  <si>
    <t>이마트 공항점</t>
  </si>
  <si>
    <t>이마트 고잔점</t>
  </si>
  <si>
    <t>이마트 문현점</t>
  </si>
  <si>
    <t>이마트 수지점</t>
  </si>
  <si>
    <t>이마트 금정점</t>
  </si>
  <si>
    <t>이마트 신제주점</t>
  </si>
  <si>
    <t>이마트 속초점</t>
  </si>
  <si>
    <t>이마트 사상점</t>
  </si>
  <si>
    <t>이마트 울산점</t>
  </si>
  <si>
    <t>이마트 동해점</t>
  </si>
  <si>
    <t>이마트 영천점</t>
  </si>
  <si>
    <t>이마트 광산점</t>
  </si>
  <si>
    <t>이마트 양산점</t>
  </si>
  <si>
    <t>이마트 파주점</t>
  </si>
  <si>
    <t>이마트 반야월점</t>
  </si>
  <si>
    <t>이마트 월계점</t>
  </si>
  <si>
    <t>이마트 용산역점</t>
  </si>
  <si>
    <t>이마트 안동점</t>
  </si>
  <si>
    <t>이마트 양재점</t>
  </si>
  <si>
    <t>이마트 인천공항점</t>
  </si>
  <si>
    <t>이마트 통영점</t>
  </si>
  <si>
    <t>이마트 순천점</t>
  </si>
  <si>
    <t>이마트 서수원점</t>
  </si>
  <si>
    <t>이마트 죽전점</t>
  </si>
  <si>
    <t>이마트 춘천점</t>
  </si>
  <si>
    <t>이마트 남양주점</t>
  </si>
  <si>
    <t>이마트 오산점</t>
  </si>
  <si>
    <t>이마트 용인점</t>
  </si>
  <si>
    <t>이마트 서귀포점</t>
  </si>
  <si>
    <t>이마트 경산점</t>
  </si>
  <si>
    <t>이마트 광주점</t>
  </si>
  <si>
    <t>이마트 동백점</t>
  </si>
  <si>
    <t>이마트 인천검단점</t>
  </si>
  <si>
    <t>이마트 송림점</t>
  </si>
  <si>
    <t>이마트 탄현점</t>
  </si>
  <si>
    <t>이마트 구성점</t>
  </si>
  <si>
    <t>이마트 서대전점</t>
  </si>
  <si>
    <t>이마트 역삼점</t>
  </si>
  <si>
    <t>이마트 시지점</t>
  </si>
  <si>
    <t>이마트 화정점</t>
  </si>
  <si>
    <t>이마트 비산점</t>
  </si>
  <si>
    <t>이마트 학성점</t>
  </si>
  <si>
    <t>이마트 서면점</t>
  </si>
  <si>
    <t>이마트 중동점</t>
  </si>
  <si>
    <t>이마트 계양점</t>
  </si>
  <si>
    <t>이마트 평촌점</t>
  </si>
  <si>
    <t>이마트 달서점</t>
  </si>
  <si>
    <t>이마트 마산점</t>
  </si>
  <si>
    <t>이마트 포항이동점</t>
  </si>
  <si>
    <t>이마트 익산점</t>
  </si>
  <si>
    <t>이마트 아산점</t>
  </si>
  <si>
    <t>이마트 태백점</t>
  </si>
  <si>
    <t>이마트 자양점</t>
  </si>
  <si>
    <t>이마트 상주점</t>
  </si>
  <si>
    <t>이마트 가락점</t>
  </si>
  <si>
    <t>이마트 감삼점</t>
  </si>
  <si>
    <t>이마트 경기점</t>
  </si>
  <si>
    <t>이마트 소하점</t>
  </si>
  <si>
    <t>이마트 광명점</t>
  </si>
  <si>
    <t>이마트 도농점</t>
  </si>
  <si>
    <t>이마트 동탄점</t>
  </si>
  <si>
    <t>아마트 목동점</t>
  </si>
  <si>
    <t>이마트 묵동점</t>
  </si>
  <si>
    <t>이마트 미아점</t>
  </si>
  <si>
    <t>이마트 발산점</t>
  </si>
  <si>
    <t>이마트 보라점</t>
  </si>
  <si>
    <t>이마트 보령점</t>
  </si>
  <si>
    <t>이마트 봉선점</t>
  </si>
  <si>
    <t>이마트 봉천점</t>
  </si>
  <si>
    <t>이마트 불광점</t>
  </si>
  <si>
    <t>이마트  사천점</t>
  </si>
  <si>
    <t>이마트 상도점</t>
  </si>
  <si>
    <t>이마트 성남점</t>
  </si>
  <si>
    <t>이마트 센툼점</t>
  </si>
  <si>
    <t>이마트 수색점</t>
  </si>
  <si>
    <t>이마트 신도림점</t>
  </si>
  <si>
    <t>이마트 쌍문점</t>
  </si>
  <si>
    <t>이마트 안성점</t>
  </si>
  <si>
    <t>이마트 양주점</t>
  </si>
  <si>
    <t>이마트 여의도점</t>
  </si>
  <si>
    <t>이마트 여주점</t>
  </si>
  <si>
    <t>이마트 영등포점</t>
  </si>
  <si>
    <t>이마트 왕십리점</t>
  </si>
  <si>
    <t>이마트 용산점</t>
  </si>
  <si>
    <t>이마트 이문점</t>
  </si>
  <si>
    <t>이마트 제천점</t>
  </si>
  <si>
    <t>이마트 진접점</t>
  </si>
  <si>
    <t>이마트 천안터미널점</t>
  </si>
  <si>
    <t>이마트 청계점</t>
  </si>
  <si>
    <t>이마트 포천점</t>
  </si>
  <si>
    <t>이마트 하남점</t>
  </si>
  <si>
    <t>이마트 흥덕점</t>
  </si>
  <si>
    <t>신세계 마산마트</t>
    <phoneticPr fontId="91" type="noConversion"/>
  </si>
  <si>
    <t>신세계 백화점 마트</t>
    <phoneticPr fontId="91" type="noConversion"/>
  </si>
  <si>
    <t xml:space="preserve">이마트 가든 5점 </t>
  </si>
  <si>
    <t>이마트 파주운정점</t>
  </si>
  <si>
    <t>이마트 광주봉선점</t>
    <phoneticPr fontId="91" type="noConversion"/>
  </si>
  <si>
    <t>광주봉선점</t>
    <phoneticPr fontId="91" type="noConversion"/>
  </si>
  <si>
    <t>시화</t>
    <phoneticPr fontId="91" type="noConversion"/>
  </si>
  <si>
    <t>대구</t>
    <phoneticPr fontId="91" type="noConversion"/>
  </si>
  <si>
    <t>ME90521EL0</t>
  </si>
  <si>
    <t>이마트 이수점</t>
    <phoneticPr fontId="91" type="noConversion"/>
  </si>
  <si>
    <t>이마트 동구미점</t>
    <phoneticPr fontId="91" type="noConversion"/>
  </si>
  <si>
    <t>ME90521EL9</t>
  </si>
  <si>
    <t>요약</t>
  </si>
  <si>
    <t>ME00621AT6</t>
  </si>
  <si>
    <t>ME90621A04</t>
  </si>
  <si>
    <t xml:space="preserve">이마트 상품명 </t>
    <phoneticPr fontId="91" type="noConversion"/>
  </si>
  <si>
    <t>맨소레담스프레이180ml</t>
    <phoneticPr fontId="91" type="noConversion"/>
  </si>
  <si>
    <t>ME00621GP1</t>
    <phoneticPr fontId="91" type="noConversion"/>
  </si>
  <si>
    <t>ME90621A04</t>
    <phoneticPr fontId="91" type="noConversion"/>
  </si>
  <si>
    <t>ME00421300</t>
  </si>
  <si>
    <t>ME90521EL8</t>
  </si>
  <si>
    <t>Sum Code</t>
    <phoneticPr fontId="96" type="noConversion"/>
  </si>
  <si>
    <t>발주코드</t>
  </si>
  <si>
    <t>배송코드</t>
  </si>
  <si>
    <t>ME00421180</t>
    <phoneticPr fontId="91" type="noConversion"/>
  </si>
  <si>
    <t>ME00421P04</t>
    <phoneticPr fontId="91" type="noConversion"/>
  </si>
  <si>
    <t>Sumcode</t>
    <phoneticPr fontId="91" type="noConversion"/>
  </si>
  <si>
    <t>UNIT단가</t>
    <phoneticPr fontId="91" type="noConversion"/>
  </si>
  <si>
    <t>Total Amount</t>
    <phoneticPr fontId="91" type="noConversion"/>
  </si>
  <si>
    <t>수량</t>
    <phoneticPr fontId="91" type="noConversion"/>
  </si>
  <si>
    <t>합계 : 수량</t>
  </si>
  <si>
    <t>펜타포트점</t>
  </si>
  <si>
    <t>동구미점</t>
    <phoneticPr fontId="91" type="noConversion"/>
  </si>
  <si>
    <t>서산점</t>
    <phoneticPr fontId="91" type="noConversion"/>
  </si>
  <si>
    <t>MECODE</t>
  </si>
  <si>
    <t>점포코드</t>
    <phoneticPr fontId="91" type="noConversion"/>
  </si>
  <si>
    <t>센터코드</t>
    <phoneticPr fontId="91" type="noConversion"/>
  </si>
  <si>
    <t xml:space="preserve">배송코드 </t>
    <phoneticPr fontId="91" type="noConversion"/>
  </si>
  <si>
    <t>MECODE</t>
    <phoneticPr fontId="91" type="noConversion"/>
  </si>
  <si>
    <t>용인(D)DRY</t>
  </si>
  <si>
    <t>하다라보 고쿠쥰 오일 클렌징 200ml</t>
  </si>
  <si>
    <t>ME90621SCM</t>
    <phoneticPr fontId="91" type="noConversion"/>
  </si>
  <si>
    <t>하다라보 고쿠쥰 크림 50g</t>
  </si>
  <si>
    <t>하다라보 시로쥰 크림 50g</t>
  </si>
  <si>
    <t>의정부 역사점</t>
    <phoneticPr fontId="91" type="noConversion"/>
  </si>
  <si>
    <t>분스 강남점</t>
    <phoneticPr fontId="91" type="noConversion"/>
  </si>
  <si>
    <t>하월곡점</t>
    <phoneticPr fontId="91" type="noConversion"/>
  </si>
  <si>
    <t>장안점</t>
    <phoneticPr fontId="91" type="noConversion"/>
  </si>
  <si>
    <r>
      <t>목동점</t>
    </r>
    <r>
      <rPr>
        <sz val="12"/>
        <rFont val="굴림"/>
        <family val="3"/>
        <charset val="129"/>
      </rPr>
      <t/>
    </r>
    <phoneticPr fontId="91" type="noConversion"/>
  </si>
  <si>
    <t>ME90621A06</t>
    <phoneticPr fontId="91" type="noConversion"/>
  </si>
  <si>
    <t>(new)아크네스 데일리 딥 클렌저 100g (6입)</t>
  </si>
  <si>
    <t>ME90521EL6</t>
  </si>
  <si>
    <t>ME90521EL7</t>
  </si>
  <si>
    <t>BRAND</t>
    <phoneticPr fontId="91" type="noConversion"/>
  </si>
  <si>
    <t>Spray</t>
    <phoneticPr fontId="91" type="noConversion"/>
  </si>
  <si>
    <t>Acnes</t>
    <phoneticPr fontId="91" type="noConversion"/>
  </si>
  <si>
    <t>HADA</t>
    <phoneticPr fontId="91" type="noConversion"/>
  </si>
  <si>
    <t>화성봉담점</t>
  </si>
  <si>
    <t>ME00621SP1</t>
    <phoneticPr fontId="91" type="noConversion"/>
  </si>
  <si>
    <t>ME90521E13</t>
  </si>
  <si>
    <t>비고</t>
    <phoneticPr fontId="91" type="noConversion"/>
  </si>
  <si>
    <t>분스 명동점</t>
    <phoneticPr fontId="91" type="noConversion"/>
  </si>
  <si>
    <t>하다라보 고쿠쥰 로션 170ml</t>
  </si>
  <si>
    <t>ME90621GCM</t>
    <phoneticPr fontId="91" type="noConversion"/>
  </si>
  <si>
    <t>ME90621A07</t>
  </si>
  <si>
    <t>고쿠쥰 크림 50g</t>
  </si>
  <si>
    <t>시로쥰 크림 50g</t>
  </si>
  <si>
    <t>시로쥰로션 170ml</t>
  </si>
  <si>
    <t>시로쥰밀크 140ml</t>
    <phoneticPr fontId="91" type="noConversion"/>
  </si>
  <si>
    <t>덕이점</t>
    <phoneticPr fontId="91" type="noConversion"/>
  </si>
  <si>
    <t>CJ원진(D)_EVD</t>
  </si>
  <si>
    <t>CJ칠곡(D)_EVD</t>
  </si>
  <si>
    <t>용인(E)DRY</t>
  </si>
  <si>
    <t>별내점</t>
    <phoneticPr fontId="91" type="noConversion"/>
  </si>
  <si>
    <t>분스마린시티점</t>
    <phoneticPr fontId="91" type="noConversion"/>
  </si>
  <si>
    <t>ECLUB 덕평</t>
    <phoneticPr fontId="91" type="noConversion"/>
  </si>
  <si>
    <t>덕평</t>
    <phoneticPr fontId="91" type="noConversion"/>
  </si>
  <si>
    <t>ME90621A01</t>
    <phoneticPr fontId="91" type="noConversion"/>
  </si>
  <si>
    <t>ME90521EL4</t>
  </si>
  <si>
    <t>ME90621A05</t>
    <phoneticPr fontId="91" type="noConversion"/>
  </si>
  <si>
    <t>업체코드</t>
  </si>
  <si>
    <t>업체명</t>
  </si>
  <si>
    <t>점포코드</t>
  </si>
  <si>
    <t>발주단위</t>
  </si>
  <si>
    <t>LOT</t>
  </si>
  <si>
    <t>수량</t>
  </si>
  <si>
    <t>용인(RC)_EMT</t>
  </si>
  <si>
    <t>천안터미널점</t>
    <phoneticPr fontId="91" type="noConversion"/>
  </si>
  <si>
    <t>대전터미널점</t>
    <phoneticPr fontId="91" type="noConversion"/>
  </si>
  <si>
    <t>포항이동점</t>
    <phoneticPr fontId="91" type="noConversion"/>
  </si>
  <si>
    <t>아크네스 오일컨트롤 스킨 120ml</t>
  </si>
  <si>
    <t>아크네스 크리미워시130g</t>
    <phoneticPr fontId="91" type="noConversion"/>
  </si>
  <si>
    <t>이마트 과천점</t>
    <phoneticPr fontId="91" type="noConversion"/>
  </si>
  <si>
    <t>립케어 립아이스레몬</t>
  </si>
  <si>
    <t>여주(RC)_EMT</t>
    <phoneticPr fontId="91" type="noConversion"/>
  </si>
  <si>
    <t>ㅊ</t>
    <phoneticPr fontId="91" type="noConversion"/>
  </si>
  <si>
    <t>하다라보 고쿠쥰 훼이스 워시 100g</t>
  </si>
  <si>
    <t>하다라보 고쿠쥰 밀크 140ml</t>
  </si>
  <si>
    <t>하다라보 고쿠쥰 에센스 30g</t>
  </si>
  <si>
    <t>하다라보 시로쥰 로션 170ml</t>
  </si>
  <si>
    <t>하다라보 시로쥰 밀크 140ml</t>
  </si>
  <si>
    <t>ME90621GO5</t>
  </si>
  <si>
    <t>시화(D)_BNS</t>
    <phoneticPr fontId="91" type="noConversion"/>
  </si>
  <si>
    <t>d</t>
    <phoneticPr fontId="91" type="noConversion"/>
  </si>
  <si>
    <t>원래코드</t>
    <phoneticPr fontId="91" type="noConversion"/>
  </si>
  <si>
    <t>상품코드(기획)</t>
    <phoneticPr fontId="91" type="noConversion"/>
  </si>
  <si>
    <t>UNIT수량</t>
    <phoneticPr fontId="91" type="noConversion"/>
  </si>
  <si>
    <t>시화물류센터</t>
    <phoneticPr fontId="91" type="noConversion"/>
  </si>
  <si>
    <t>여주물류센터</t>
    <phoneticPr fontId="91" type="noConversion"/>
  </si>
  <si>
    <t>여주(RC)_EMT</t>
    <phoneticPr fontId="91" type="noConversion"/>
  </si>
  <si>
    <t>스프레이 180ml</t>
    <phoneticPr fontId="91" type="noConversion"/>
  </si>
  <si>
    <t>상품명(기획)</t>
    <phoneticPr fontId="91" type="noConversion"/>
  </si>
  <si>
    <t>모이스처로션+코팩+필름 : 할당량 소진시까지</t>
    <phoneticPr fontId="91" type="noConversion"/>
  </si>
  <si>
    <t>스팟 클리어젤+코팩+필름 : 할당량 소진시까지</t>
    <phoneticPr fontId="91" type="noConversion"/>
  </si>
  <si>
    <t>파우더스킨+코팩+필름 : 할당량 소진시까지</t>
    <phoneticPr fontId="91" type="noConversion"/>
  </si>
  <si>
    <t>이마트 김해터미널점</t>
  </si>
  <si>
    <t>이마트 김해터미널점</t>
    <phoneticPr fontId="91" type="noConversion"/>
  </si>
  <si>
    <t>천안서북점</t>
    <phoneticPr fontId="91" type="noConversion"/>
  </si>
  <si>
    <t>분스 홍대점</t>
    <phoneticPr fontId="91" type="noConversion"/>
  </si>
  <si>
    <t>의정부점</t>
    <phoneticPr fontId="91" type="noConversion"/>
  </si>
  <si>
    <t>분스 기장점</t>
    <phoneticPr fontId="91" type="noConversion"/>
  </si>
  <si>
    <t>보정몰센터</t>
    <phoneticPr fontId="91" type="noConversion"/>
  </si>
  <si>
    <t>과천점</t>
    <phoneticPr fontId="91" type="noConversion"/>
  </si>
  <si>
    <t>킨텍스점</t>
    <phoneticPr fontId="91" type="noConversion"/>
  </si>
  <si>
    <t>풍산점</t>
    <phoneticPr fontId="91" type="noConversion"/>
  </si>
  <si>
    <t>에브리데이 서판교점</t>
    <phoneticPr fontId="91" type="noConversion"/>
  </si>
  <si>
    <t>에브리데이 음성점</t>
    <phoneticPr fontId="91" type="noConversion"/>
  </si>
  <si>
    <t>김포한강점</t>
    <phoneticPr fontId="91" type="noConversion"/>
  </si>
  <si>
    <t>세종점</t>
    <phoneticPr fontId="91" type="noConversion"/>
  </si>
  <si>
    <t>ECLUB칠곡</t>
    <phoneticPr fontId="91" type="noConversion"/>
  </si>
  <si>
    <t>ECLUB원진</t>
    <phoneticPr fontId="91" type="noConversion"/>
  </si>
  <si>
    <t>용인(E)DRY</t>
    <phoneticPr fontId="91" type="noConversion"/>
  </si>
  <si>
    <t>VC</t>
    <phoneticPr fontId="91" type="noConversion"/>
  </si>
  <si>
    <t>ECLUB아신</t>
    <phoneticPr fontId="91" type="noConversion"/>
  </si>
  <si>
    <t>아신DRY</t>
    <phoneticPr fontId="91" type="noConversion"/>
  </si>
  <si>
    <t>용인(D)_BNS</t>
    <phoneticPr fontId="91" type="noConversion"/>
  </si>
  <si>
    <t>시화(D)_BNS</t>
    <phoneticPr fontId="91" type="noConversion"/>
  </si>
  <si>
    <t>D21</t>
    <phoneticPr fontId="91" type="noConversion"/>
  </si>
  <si>
    <t>용인(RC)_EMT</t>
    <phoneticPr fontId="91" type="noConversion"/>
  </si>
  <si>
    <t>용인(RDC)_EMT</t>
    <phoneticPr fontId="91" type="noConversion"/>
  </si>
  <si>
    <t>여주(RC)_EMT</t>
    <phoneticPr fontId="91" type="noConversion"/>
  </si>
  <si>
    <t>여주(RDC)_EMT</t>
    <phoneticPr fontId="91" type="noConversion"/>
  </si>
  <si>
    <t>김포몰센터</t>
    <phoneticPr fontId="91" type="noConversion"/>
  </si>
  <si>
    <t>㈜신세계(백화점마트)</t>
    <phoneticPr fontId="91" type="noConversion"/>
  </si>
  <si>
    <t>백암물류센터</t>
    <phoneticPr fontId="91" type="noConversion"/>
  </si>
  <si>
    <t>W21</t>
    <phoneticPr fontId="91" type="noConversion"/>
  </si>
  <si>
    <t>W23</t>
    <phoneticPr fontId="91" type="noConversion"/>
  </si>
  <si>
    <t>ECLUB</t>
    <phoneticPr fontId="91" type="noConversion"/>
  </si>
  <si>
    <t>F01</t>
    <phoneticPr fontId="91" type="noConversion"/>
  </si>
  <si>
    <t>CJ원진(D)_EVD</t>
    <phoneticPr fontId="91" type="noConversion"/>
  </si>
  <si>
    <t>CJ칠곡(D)_EVD</t>
    <phoneticPr fontId="91" type="noConversion"/>
  </si>
  <si>
    <t>광교점</t>
    <phoneticPr fontId="91" type="noConversion"/>
  </si>
  <si>
    <t>ㅊ</t>
    <phoneticPr fontId="91" type="noConversion"/>
  </si>
  <si>
    <t>김해점</t>
    <phoneticPr fontId="91" type="noConversion"/>
  </si>
  <si>
    <t>잠시 테스코 재고 사용</t>
    <phoneticPr fontId="91" type="noConversion"/>
  </si>
  <si>
    <t>시화(D)_EMT</t>
  </si>
  <si>
    <t>PK마켓SF하남점</t>
  </si>
  <si>
    <t>대구(D)_EMT</t>
  </si>
  <si>
    <t>아크네스 모이스처크림 50ml</t>
  </si>
  <si>
    <t>아크네스 모이스처 크림+스팟 젤미니 (36입</t>
  </si>
  <si>
    <t>ME00621A08</t>
  </si>
  <si>
    <t>아크네스 스팟클리어젤18g</t>
    <phoneticPr fontId="91" type="noConversion"/>
  </si>
  <si>
    <t>ME00621A08</t>
    <phoneticPr fontId="91" type="noConversion"/>
  </si>
  <si>
    <t>ME00621AT6</t>
    <phoneticPr fontId="91" type="noConversion"/>
  </si>
  <si>
    <t>아크네스 포밍워시 200ml</t>
  </si>
  <si>
    <t>아크네스 클리어앤화이트 포밍워시 150g</t>
  </si>
  <si>
    <t>아크네스 데일리 딥클렌저 100g</t>
  </si>
  <si>
    <t>아크네스 더마 릴리프 밸런싱 젤클렌저</t>
  </si>
  <si>
    <t>아크네스 더마 릴리프 리커버리 크림</t>
  </si>
  <si>
    <t>아크네스 더마 릴리프 모이스처 폼클렌저</t>
  </si>
  <si>
    <t>아크네스 더마 릴리프 밸런싱스킨</t>
  </si>
  <si>
    <t>아크네스 더마 릴리프 에센스로션</t>
  </si>
  <si>
    <t>ME00621AG1</t>
  </si>
  <si>
    <t>아크네스 더마 릴리프 퓨리파잉 젤클렌저 2</t>
  </si>
  <si>
    <t>ME00621AL1</t>
  </si>
  <si>
    <t>아크네스 더마 릴리프 에센스 로션80ml 6입</t>
  </si>
  <si>
    <t>ME00621AR1</t>
  </si>
  <si>
    <t xml:space="preserve">아크네스 더마 릴리프 리커버리 크림 40ml </t>
  </si>
  <si>
    <t>ME00621AS1</t>
  </si>
  <si>
    <t>아크네스 더마 릴리프 밸런싱 스킨 200ml 6</t>
  </si>
  <si>
    <t>여주(D)</t>
    <phoneticPr fontId="91" type="noConversion"/>
  </si>
  <si>
    <t>REGUAL</t>
    <phoneticPr fontId="171" type="noConversion"/>
  </si>
  <si>
    <t>PROMOTION PRICE</t>
    <phoneticPr fontId="171" type="noConversion"/>
  </si>
  <si>
    <t>ME90621AT3</t>
    <phoneticPr fontId="91" type="noConversion"/>
  </si>
  <si>
    <t>아크네스 오일 컨트롤 파우더 스킨 120ml (인케이스)-RRP</t>
    <phoneticPr fontId="91" type="noConversion"/>
  </si>
  <si>
    <t>립아이스 애플 X 라인</t>
  </si>
  <si>
    <t>메디케이티드 립밤</t>
  </si>
  <si>
    <t>매직칼라 딸기</t>
  </si>
  <si>
    <t>립아이스 틴티드 칼라</t>
  </si>
  <si>
    <t>딥모이스트 멘솔</t>
  </si>
  <si>
    <t>딥모이스트 내추럴</t>
  </si>
  <si>
    <t>대구물류센터</t>
    <phoneticPr fontId="91" type="noConversion"/>
  </si>
  <si>
    <t>ME90521CC1</t>
  </si>
  <si>
    <t>멘소래담 립크래용 디바레드 3g (이마트/롯데마트RRP)</t>
  </si>
  <si>
    <t>ME90521CC2</t>
  </si>
  <si>
    <t>멘소래담 립크래용 엔젤핑크 3g (이마트/롯데마트RRP)</t>
  </si>
  <si>
    <t>ME90521CC4</t>
  </si>
  <si>
    <t>멘소래담 립크래용 베이비코랄 3g (이마트/롯데마트RRP)</t>
  </si>
  <si>
    <t>멘소래담 립 크래용 베이비코랄</t>
  </si>
  <si>
    <t>멘소래담 립 크래용 엔젤핑크</t>
  </si>
  <si>
    <t>멘소래담 립 크래용 디바레드</t>
    <phoneticPr fontId="91" type="noConversion"/>
  </si>
  <si>
    <t>ME90621GLK</t>
    <phoneticPr fontId="91" type="noConversion"/>
  </si>
  <si>
    <t>여주(D)_EMT</t>
  </si>
  <si>
    <t>ME90621GE1</t>
  </si>
  <si>
    <t>ME00621SS1</t>
  </si>
  <si>
    <t>고쿠쥰 포밍 워시 160ml</t>
  </si>
  <si>
    <t>아크네스 미셀라 클렌징워터</t>
  </si>
  <si>
    <t>아크네스 타겟 리페어 크림</t>
  </si>
  <si>
    <t>하다라보 고쿠쥰 로션 라이트</t>
  </si>
  <si>
    <t>하다라보 고쿠쥰 프리미엄 오일젤리</t>
  </si>
  <si>
    <t>하다라보 고쿠쥰 프리미엄 로션</t>
  </si>
  <si>
    <t>하다라보 고쿠쥰 프리미엄 밀크</t>
  </si>
  <si>
    <t>ME90621GPJ</t>
  </si>
  <si>
    <t>ME90621GPL</t>
  </si>
  <si>
    <t>ME90621GPM</t>
  </si>
  <si>
    <t>ME00621MW2</t>
  </si>
  <si>
    <t>ME90621GL6</t>
  </si>
  <si>
    <t>ME90621GM5</t>
  </si>
  <si>
    <t>아크네스 세범 밸런싱 스킨 180ml</t>
  </si>
  <si>
    <t>멘소래담 핸드베일 뷰티 프리미엄 리치네일</t>
  </si>
  <si>
    <t>ME91221HPN</t>
  </si>
  <si>
    <t>멘소래담 딥앤쿨 에어로솔</t>
  </si>
  <si>
    <t>멘소래담 클리어 패치 기획</t>
  </si>
  <si>
    <t>ME00421151</t>
  </si>
  <si>
    <t>맨소래담 딥앤쿨 스프레이 150ml*8입</t>
  </si>
  <si>
    <t>ME90621CPM</t>
  </si>
  <si>
    <t>멘소래담 클리어 패치 멀티 1+1 26개입</t>
  </si>
  <si>
    <t>ME90621CPS</t>
  </si>
  <si>
    <t>멘소래담 클리어 패치 싱글 1+1 35개입</t>
  </si>
  <si>
    <t>립아이스 라즈베리 틴티드 립밤</t>
  </si>
  <si>
    <t>립아이스 딸기 X 라인</t>
  </si>
  <si>
    <t>ME90521LR1</t>
  </si>
  <si>
    <t>립아이스 라즈베리 틴티드립밤 라인</t>
  </si>
  <si>
    <t>립아이스 틴티드 칼라 스칼렛</t>
  </si>
  <si>
    <t>립퓨어 베르가못 (12입)</t>
  </si>
  <si>
    <t>립아이스 레몬 X 라인</t>
  </si>
  <si>
    <t xml:space="preserve">       12 </t>
  </si>
  <si>
    <t xml:space="preserve">      12 </t>
  </si>
  <si>
    <t xml:space="preserve">       10 </t>
  </si>
  <si>
    <t>립케어립아이스딸기3.5g</t>
  </si>
  <si>
    <t>메디케이티드립밤3.5g</t>
  </si>
  <si>
    <t>립케어립아이스애플3.5g</t>
  </si>
  <si>
    <t>메디케이티드립젤트윈팩3.5g*2</t>
  </si>
  <si>
    <t>립아이스 매직칼라스칼렛2g</t>
  </si>
  <si>
    <t>딥모이스트 네츄럴</t>
  </si>
  <si>
    <t>오일 인 컬러 립밤 02 팝 오렌지 3g</t>
  </si>
  <si>
    <t>오일 인 컬러 립밤 03 스위트핑크 3g</t>
  </si>
  <si>
    <t>오일 인 컬러 립밤 01 시크레드 3g</t>
  </si>
  <si>
    <t>립퓨어베르가못4g</t>
  </si>
  <si>
    <t>Lipcare</t>
    <phoneticPr fontId="91" type="noConversion"/>
  </si>
  <si>
    <t>ME90521OC4</t>
  </si>
  <si>
    <t>ME90521OC5</t>
  </si>
  <si>
    <t>ME90521OC6</t>
  </si>
  <si>
    <t>ME90621A07</t>
    <phoneticPr fontId="91" type="noConversion"/>
  </si>
  <si>
    <t>ME00621AG1</t>
    <phoneticPr fontId="91" type="noConversion"/>
  </si>
  <si>
    <t>ME00621AL1</t>
    <phoneticPr fontId="91" type="noConversion"/>
  </si>
  <si>
    <t>ME00621AR1</t>
    <phoneticPr fontId="91" type="noConversion"/>
  </si>
  <si>
    <t>ME00621AS1</t>
    <phoneticPr fontId="91" type="noConversion"/>
  </si>
  <si>
    <t>립아이스 매직칼라 틴티드 컬러 레드 2g</t>
  </si>
  <si>
    <t>딥모이스트 멘톨</t>
  </si>
  <si>
    <t>립아이스 매직칼라 딸기향 2g</t>
  </si>
  <si>
    <t>여주(D)_PS</t>
    <phoneticPr fontId="91" type="noConversion"/>
  </si>
  <si>
    <t>아크네스 클리어앤화이트 크리미워시 100g</t>
  </si>
  <si>
    <t>아크네스 모이스처 로션 150ml</t>
  </si>
  <si>
    <t>하다라보 고쿠쥰 프리미엄 로션 170ml (6입)-NF</t>
  </si>
  <si>
    <t>이마트 삐에로</t>
  </si>
  <si>
    <t>이마트 삐에로 두타몰점</t>
  </si>
  <si>
    <t>삐에로 논현점</t>
  </si>
  <si>
    <t>삐에로 의왕점</t>
  </si>
  <si>
    <t>삐에로 W몰점</t>
  </si>
  <si>
    <t xml:space="preserve"> PK 도곡점</t>
  </si>
  <si>
    <t>PKM STF위례점</t>
  </si>
  <si>
    <t>ME90621AT3</t>
  </si>
  <si>
    <t>ME90621SCM</t>
  </si>
  <si>
    <t>ME00621GP1</t>
  </si>
  <si>
    <t>시화(D)_PKN=M</t>
    <phoneticPr fontId="91" type="noConversion"/>
  </si>
  <si>
    <t>ME90621GP4</t>
    <phoneticPr fontId="91" type="noConversion"/>
  </si>
  <si>
    <t>아크네스 세범 밸런싱 스킨+크림샤쉐2장 (6입)</t>
    <phoneticPr fontId="91" type="noConversion"/>
  </si>
  <si>
    <t>바코드</t>
    <phoneticPr fontId="91" type="noConversion"/>
  </si>
  <si>
    <t>ME90521EL8</t>
    <phoneticPr fontId="91" type="noConversion"/>
  </si>
  <si>
    <t>바코드</t>
    <phoneticPr fontId="91" type="noConversion"/>
  </si>
  <si>
    <t>ME90621FG1</t>
  </si>
  <si>
    <t>하다라보 고쿠쥰 퍼펙트젤 100g N-design</t>
  </si>
  <si>
    <t>ME90621HGW</t>
  </si>
  <si>
    <t>ME90621GLK</t>
  </si>
  <si>
    <t xml:space="preserve">아크네스 더마 릴리프 모이스처 폼클렌저 </t>
    <phoneticPr fontId="91" type="noConversion"/>
  </si>
  <si>
    <t>하다라보 타마고하다 훼이스 워시 130ml</t>
  </si>
  <si>
    <t>하다라보 타마고하다 포밍 워시 160ml</t>
  </si>
  <si>
    <t>ME00621SS1</t>
    <phoneticPr fontId="91" type="noConversion"/>
  </si>
  <si>
    <t>ME90621GPJ</t>
    <phoneticPr fontId="91" type="noConversion"/>
  </si>
  <si>
    <t>ME90621SM6</t>
  </si>
  <si>
    <t>ME00621H51</t>
  </si>
  <si>
    <t>하다라보 기와미츠 로즈워터 구버전+화장솜기획(6입)</t>
  </si>
  <si>
    <t>하다라보 기와미츠 하토무기 비타민C구버전+화장솜기획(6입)</t>
  </si>
  <si>
    <t>하다라보 기와미츠 워터+화장솜 기획 (6입)</t>
  </si>
  <si>
    <t>PS 부산아트몰링점</t>
  </si>
  <si>
    <t>ME90621KW1</t>
  </si>
  <si>
    <t>하다라보 기와미츠 워터+화장솜 기획 (6입)</t>
    <phoneticPr fontId="91" type="noConversion"/>
  </si>
  <si>
    <t>ME90621TF1</t>
  </si>
  <si>
    <t>ME00621AM1</t>
  </si>
  <si>
    <t>ME00621CM5</t>
  </si>
  <si>
    <t>ME00621C17</t>
  </si>
  <si>
    <t>ME00621AB1</t>
  </si>
  <si>
    <t>ME90621GHV</t>
  </si>
  <si>
    <t>ME90521CLS</t>
  </si>
  <si>
    <t>ME90521CLL</t>
  </si>
  <si>
    <t>ME90521CLA</t>
  </si>
  <si>
    <t>ME90621TC1</t>
  </si>
  <si>
    <t>ME90621SL2</t>
  </si>
  <si>
    <t>하다라보 기와미츠 로즈워터 구버전+화장솜기획(6입)</t>
    <phoneticPr fontId="91" type="noConversion"/>
  </si>
  <si>
    <t>ME00621H51</t>
    <phoneticPr fontId="91" type="noConversion"/>
  </si>
  <si>
    <t>ME90621GHV</t>
    <phoneticPr fontId="91" type="noConversion"/>
  </si>
  <si>
    <t>ME90621KW1</t>
    <phoneticPr fontId="91" type="noConversion"/>
  </si>
  <si>
    <t>ME90621GM5</t>
    <phoneticPr fontId="91" type="noConversion"/>
  </si>
  <si>
    <t>ME90621GL6</t>
    <phoneticPr fontId="91" type="noConversion"/>
  </si>
  <si>
    <t>ME90621GE1</t>
    <phoneticPr fontId="91" type="noConversion"/>
  </si>
  <si>
    <t>ME90621GCK</t>
  </si>
  <si>
    <t>ME90621FG1</t>
    <phoneticPr fontId="91" type="noConversion"/>
  </si>
  <si>
    <t>ME90521CLS</t>
    <phoneticPr fontId="91" type="noConversion"/>
  </si>
  <si>
    <t>ME00621TC3</t>
  </si>
  <si>
    <t>ME00621TC3</t>
    <phoneticPr fontId="91" type="noConversion"/>
  </si>
  <si>
    <t>ME00621C35</t>
  </si>
  <si>
    <t>ME00621P78</t>
  </si>
  <si>
    <t>홈플러스 기획 출고중</t>
    <phoneticPr fontId="91" type="noConversion"/>
  </si>
  <si>
    <t>ME90621SL2</t>
    <phoneticPr fontId="91" type="noConversion"/>
  </si>
  <si>
    <t>ME90621GPM</t>
    <phoneticPr fontId="91" type="noConversion"/>
  </si>
  <si>
    <t>ME90621GCK</t>
    <phoneticPr fontId="91" type="noConversion"/>
  </si>
  <si>
    <t>논소터</t>
    <phoneticPr fontId="91" type="noConversion"/>
  </si>
  <si>
    <t>입수전환</t>
    <phoneticPr fontId="91" type="noConversion"/>
  </si>
  <si>
    <t>(new)아크네스 클리어 앤 화이트 포밍 워시 150ml  1+1</t>
    <phoneticPr fontId="91" type="noConversion"/>
  </si>
  <si>
    <t>ME90621A05</t>
  </si>
  <si>
    <t>9B4</t>
  </si>
  <si>
    <t>멘소래담 마사지 롤온 로션 50ml</t>
  </si>
  <si>
    <t>아크네스 포맨 퍼펙트 폼클렌저 150g</t>
  </si>
  <si>
    <t>아크네스 포맨 퍼펙트 스킨</t>
  </si>
  <si>
    <t>아크네스 포맨 퍼펙트 올인원</t>
  </si>
  <si>
    <t>ME80421DR2</t>
  </si>
  <si>
    <t>ME00621FMC</t>
  </si>
  <si>
    <t>ME00621FML</t>
  </si>
  <si>
    <t>ME00621FMP</t>
  </si>
  <si>
    <t>ME90621H41</t>
    <phoneticPr fontId="91" type="noConversion"/>
  </si>
  <si>
    <t>ME90621A02</t>
  </si>
  <si>
    <t>아크네스 크리미 워시 130g (인케이스)</t>
  </si>
  <si>
    <t>.</t>
    <phoneticPr fontId="91" type="noConversion"/>
  </si>
  <si>
    <t>6/3 잠시만 출고</t>
    <phoneticPr fontId="91" type="noConversion"/>
  </si>
  <si>
    <t>]</t>
    <phoneticPr fontId="91" type="noConversion"/>
  </si>
  <si>
    <t>ME90621DF7</t>
  </si>
  <si>
    <t>ME00621H41</t>
  </si>
  <si>
    <t>소프트립스 프렌치바닐라 2g</t>
  </si>
  <si>
    <t>소프트립스 라즈베리 립밤 2g</t>
  </si>
  <si>
    <t>멜티 크림 립 내추럴 3.3g</t>
  </si>
  <si>
    <t>ME81921SVV</t>
  </si>
  <si>
    <t>ME81921SLL</t>
  </si>
  <si>
    <t>ME90521MCN</t>
  </si>
  <si>
    <t>9/11추가</t>
    <phoneticPr fontId="91" type="noConversion"/>
  </si>
  <si>
    <t>멜티 크림 립 아몬드 밀크 3.3g</t>
  </si>
  <si>
    <t>ME90521E18</t>
  </si>
  <si>
    <t>ME90521MCA</t>
  </si>
  <si>
    <t>소프트립스 워터멜론 립밤</t>
  </si>
  <si>
    <t>ME81921SL1</t>
  </si>
  <si>
    <t>ME00621AF1</t>
  </si>
  <si>
    <t>고쿠쥰 포밍워시 1+1, 훼이스워시 1+1 납품시</t>
    <phoneticPr fontId="91" type="noConversion"/>
  </si>
  <si>
    <t>단품으로 납품했다고 거절하면 상품바코드가 단품이랑 같아서 그렇다고하고 납품꼭하기.</t>
    <phoneticPr fontId="91" type="noConversion"/>
  </si>
  <si>
    <t>ME90621C39</t>
    <phoneticPr fontId="91" type="noConversion"/>
  </si>
  <si>
    <t>데일리 딥 , 화이트 포밍 1+1</t>
    <phoneticPr fontId="91" type="noConversion"/>
  </si>
  <si>
    <t>ME90621NA7</t>
  </si>
  <si>
    <t>ME90621G55</t>
  </si>
  <si>
    <t>2021-03-24부터 신형(12입)으로 납품</t>
    <phoneticPr fontId="91" type="noConversion"/>
  </si>
  <si>
    <t>총합계</t>
  </si>
  <si>
    <t>아크네스 모이스처크림2.0 60ml</t>
  </si>
  <si>
    <t>아크네스 모이스처 플루이드 150ml</t>
  </si>
  <si>
    <t>아크네스 세범 밸런싱 스킨 2.0</t>
  </si>
  <si>
    <t>아크네스 스팟클리어크림패치 18g</t>
  </si>
  <si>
    <t>ME00621AN4</t>
  </si>
  <si>
    <t>2021 5월 4일</t>
    <phoneticPr fontId="91" type="noConversion"/>
  </si>
  <si>
    <t>ME00621AN6</t>
  </si>
  <si>
    <t>ME00621ASM</t>
  </si>
  <si>
    <t>ME00621AN5</t>
  </si>
  <si>
    <t xml:space="preserve">         </t>
    <phoneticPr fontId="91" type="noConversion"/>
  </si>
  <si>
    <t>합계 : 환산</t>
  </si>
  <si>
    <t>ME00421150</t>
  </si>
  <si>
    <t>ME00421153</t>
  </si>
  <si>
    <t>ME00421185</t>
  </si>
  <si>
    <t>ME00421186</t>
  </si>
  <si>
    <t>ME0042118C</t>
  </si>
  <si>
    <t>ME0042118N</t>
  </si>
  <si>
    <t>ME0042118S</t>
  </si>
  <si>
    <t>ME00421200</t>
  </si>
  <si>
    <t>ME00421301</t>
  </si>
  <si>
    <t>ME0042130C</t>
  </si>
  <si>
    <t>ME00521DMA</t>
  </si>
  <si>
    <t>ME00521DMB</t>
  </si>
  <si>
    <t>ME00521PPK</t>
  </si>
  <si>
    <t>ME00621AB2</t>
  </si>
  <si>
    <t>ME00621AB8</t>
  </si>
  <si>
    <t>ME00621ABS</t>
  </si>
  <si>
    <t>ME00621AF2</t>
  </si>
  <si>
    <t>ME00621AF3</t>
  </si>
  <si>
    <t>ME00621AL2</t>
  </si>
  <si>
    <t>ME00621AM4</t>
  </si>
  <si>
    <t>ME00621AMC</t>
  </si>
  <si>
    <t>ME00621AMF</t>
  </si>
  <si>
    <t>ME00621APS</t>
  </si>
  <si>
    <t>ME00621AR2</t>
  </si>
  <si>
    <t>ME00621AS2</t>
  </si>
  <si>
    <t>ME00621AS5</t>
  </si>
  <si>
    <t>ME00621AS6</t>
  </si>
  <si>
    <t>ME00621AS7</t>
  </si>
  <si>
    <t>ME00621ASE</t>
  </si>
  <si>
    <t>ME00621BB2</t>
  </si>
  <si>
    <t>ME00621BC2</t>
  </si>
  <si>
    <t>ME00621BF2</t>
  </si>
  <si>
    <t>ME00621BG2</t>
  </si>
  <si>
    <t>ME00621BG3</t>
  </si>
  <si>
    <t>ME00621BM2</t>
  </si>
  <si>
    <t>ME00621BS2</t>
  </si>
  <si>
    <t>ME00621BT2</t>
  </si>
  <si>
    <t>ME00621C15</t>
  </si>
  <si>
    <t>ME00621C38</t>
  </si>
  <si>
    <t>ME00621C44</t>
  </si>
  <si>
    <t>ME00621C50</t>
  </si>
  <si>
    <t>ME00621C52</t>
  </si>
  <si>
    <t>ME00621C53</t>
  </si>
  <si>
    <t>ME00621CM9</t>
  </si>
  <si>
    <t>ME00621CR1</t>
  </si>
  <si>
    <t>ME00621CS2</t>
  </si>
  <si>
    <t>ME00621FAA</t>
  </si>
  <si>
    <t>ME00621FAP</t>
  </si>
  <si>
    <t>ME00621FD2</t>
  </si>
  <si>
    <t>ME00621FD4</t>
  </si>
  <si>
    <t>ME00621FGG</t>
  </si>
  <si>
    <t>ME00621FMA</t>
  </si>
  <si>
    <t>ME00621FMD</t>
  </si>
  <si>
    <t>ME00621FMF</t>
  </si>
  <si>
    <t>ME00621FMO</t>
  </si>
  <si>
    <t>ME00621FMS</t>
  </si>
  <si>
    <t>ME00621FSV</t>
  </si>
  <si>
    <t>ME00621GGL</t>
  </si>
  <si>
    <t>ME00621GLL</t>
  </si>
  <si>
    <t>ME00621H39</t>
  </si>
  <si>
    <t>ME00621H40</t>
  </si>
  <si>
    <t>ME00621HAM</t>
  </si>
  <si>
    <t>ME00621HAS</t>
  </si>
  <si>
    <t>ME00621HCP</t>
  </si>
  <si>
    <t>ME00621HFC</t>
  </si>
  <si>
    <t>ME00621HGS</t>
  </si>
  <si>
    <t>ME00621HLP</t>
  </si>
  <si>
    <t>ME00621HPC</t>
  </si>
  <si>
    <t>ME00621HPP</t>
  </si>
  <si>
    <t>ME00621HVA</t>
  </si>
  <si>
    <t>ME00621MCC</t>
  </si>
  <si>
    <t>ME00621MCS</t>
  </si>
  <si>
    <t>ME00621PSB</t>
  </si>
  <si>
    <t>ME00621PTP</t>
  </si>
  <si>
    <t>ME00621S28</t>
  </si>
  <si>
    <t>ME00621SDE</t>
  </si>
  <si>
    <t>ME00621SM2</t>
  </si>
  <si>
    <t>ME80421DR3</t>
  </si>
  <si>
    <t>ME80421DRC</t>
  </si>
  <si>
    <t>ME80421DRT</t>
  </si>
  <si>
    <t>ME80521ELL</t>
  </si>
  <si>
    <t>ME80521ELS</t>
  </si>
  <si>
    <t>ME80521ISA</t>
  </si>
  <si>
    <t>ME80521MMG</t>
  </si>
  <si>
    <t>ME80621ADS</t>
  </si>
  <si>
    <t>ME80621APS</t>
  </si>
  <si>
    <t>ME80621BCS</t>
  </si>
  <si>
    <t>ME80621BDS</t>
  </si>
  <si>
    <t>ME80621BFC</t>
  </si>
  <si>
    <t>ME80621BSS</t>
  </si>
  <si>
    <t>ME80621BST</t>
  </si>
  <si>
    <t>ME80621FWS</t>
  </si>
  <si>
    <t>ME80621GL4</t>
  </si>
  <si>
    <t>ME80621GLB</t>
  </si>
  <si>
    <t>ME80621GM3</t>
  </si>
  <si>
    <t>ME80621GO2</t>
  </si>
  <si>
    <t>ME80621GO3</t>
  </si>
  <si>
    <t>ME80621GOL</t>
  </si>
  <si>
    <t>ME80621GOM</t>
  </si>
  <si>
    <t>ME80621GOW</t>
  </si>
  <si>
    <t>ME80621HBT</t>
  </si>
  <si>
    <t>ME80621HSG</t>
  </si>
  <si>
    <t>ME80621PL2</t>
  </si>
  <si>
    <t>ME80621PL3</t>
  </si>
  <si>
    <t>ME80621S03</t>
  </si>
  <si>
    <t>ME80621S07</t>
  </si>
  <si>
    <t>ME81921CSA</t>
  </si>
  <si>
    <t>ME81921SCL</t>
  </si>
  <si>
    <t>ME81921SCW</t>
  </si>
  <si>
    <t>ME81921SL2</t>
  </si>
  <si>
    <t>ME81921SLC</t>
  </si>
  <si>
    <t>ME81921SLR</t>
  </si>
  <si>
    <t>ME81921SLV</t>
  </si>
  <si>
    <t>ME81921SLW</t>
  </si>
  <si>
    <t>ME81921SRR</t>
  </si>
  <si>
    <t>ME81921SSV</t>
  </si>
  <si>
    <t>ME90421075</t>
  </si>
  <si>
    <t>ME90421100</t>
  </si>
  <si>
    <t>ME90421450</t>
  </si>
  <si>
    <t>ME9052104A</t>
  </si>
  <si>
    <t>ME9052104L</t>
  </si>
  <si>
    <t>ME9052104S</t>
  </si>
  <si>
    <t>ME9052105A</t>
  </si>
  <si>
    <t>ME905210AA</t>
  </si>
  <si>
    <t>ME905210DA</t>
  </si>
  <si>
    <t>ME90521ALI</t>
  </si>
  <si>
    <t>ME90521CRA</t>
  </si>
  <si>
    <t>ME90521CRB</t>
  </si>
  <si>
    <t>ME90521DME</t>
  </si>
  <si>
    <t>ME90521DO2</t>
  </si>
  <si>
    <t>ME90521DOM</t>
  </si>
  <si>
    <t>ME90521DON</t>
  </si>
  <si>
    <t>ME90521ELL</t>
  </si>
  <si>
    <t>ME90521ELS</t>
  </si>
  <si>
    <t>ME90521LCO</t>
  </si>
  <si>
    <t>ME90521LCT</t>
  </si>
  <si>
    <t>ME90521LE9</t>
  </si>
  <si>
    <t>ME90521LLI</t>
  </si>
  <si>
    <t>ME90521LP1</t>
  </si>
  <si>
    <t>ME90521MC1</t>
  </si>
  <si>
    <t>ME90521MCB</t>
  </si>
  <si>
    <t>ME90521MCG</t>
  </si>
  <si>
    <t>ME90521MDA</t>
  </si>
  <si>
    <t>ME90521MEA</t>
  </si>
  <si>
    <t>ME90521MEF</t>
  </si>
  <si>
    <t>ME90521MLA</t>
  </si>
  <si>
    <t>ME90521MMG</t>
  </si>
  <si>
    <t>ME90521OC1</t>
  </si>
  <si>
    <t>ME90521OC2</t>
  </si>
  <si>
    <t>ME90521OC3</t>
  </si>
  <si>
    <t>ME90521OCA</t>
  </si>
  <si>
    <t>ME90521OCB</t>
  </si>
  <si>
    <t>ME90521PLB</t>
  </si>
  <si>
    <t>ME90521PLN</t>
  </si>
  <si>
    <t>ME90521SLI</t>
  </si>
  <si>
    <t>ME90521ST9</t>
  </si>
  <si>
    <t>ME90621A08</t>
  </si>
  <si>
    <t>ME90621AC3</t>
  </si>
  <si>
    <t>ME90621ADG</t>
  </si>
  <si>
    <t>ME90621AF1</t>
  </si>
  <si>
    <t>ME90621AFR</t>
  </si>
  <si>
    <t>ME90621AFS</t>
  </si>
  <si>
    <t>ME90621CC1</t>
  </si>
  <si>
    <t>ME90621DD1</t>
  </si>
  <si>
    <t>ME90621FG2</t>
  </si>
  <si>
    <t>ME90621GC6</t>
  </si>
  <si>
    <t>ME90621GC7</t>
  </si>
  <si>
    <t>ME90621GCH</t>
  </si>
  <si>
    <t>ME90621GF1</t>
  </si>
  <si>
    <t>ME90621GG1</t>
  </si>
  <si>
    <t>ME90621GG4</t>
  </si>
  <si>
    <t>ME90621GG5</t>
  </si>
  <si>
    <t>ME90621GGG</t>
  </si>
  <si>
    <t>ME90621GGM</t>
  </si>
  <si>
    <t>ME90621GL7</t>
  </si>
  <si>
    <t>ME90621GLF</t>
  </si>
  <si>
    <t>ME90621GLG</t>
  </si>
  <si>
    <t>ME90621GLH</t>
  </si>
  <si>
    <t>ME90621GMM</t>
  </si>
  <si>
    <t>ME90621GMW</t>
  </si>
  <si>
    <t>ME90621GO1</t>
  </si>
  <si>
    <t>ME90621GO2</t>
  </si>
  <si>
    <t>ME90621GOK</t>
  </si>
  <si>
    <t>ME90621GPP</t>
  </si>
  <si>
    <t>ME90621GPR</t>
  </si>
  <si>
    <t>ME90621HGH</t>
  </si>
  <si>
    <t>ME90621KC1</t>
  </si>
  <si>
    <t>ME90621KC2</t>
  </si>
  <si>
    <t>ME90621KW2</t>
  </si>
  <si>
    <t>ME90621L2L</t>
  </si>
  <si>
    <t>ME90621LL5</t>
  </si>
  <si>
    <t>ME90621LLG</t>
  </si>
  <si>
    <t>ME90621LLL</t>
  </si>
  <si>
    <t>ME90621LMP</t>
  </si>
  <si>
    <t>ME90621M2M</t>
  </si>
  <si>
    <t>ME90621MA1</t>
  </si>
  <si>
    <t>ME90621ML1</t>
  </si>
  <si>
    <t>ME90621MT1</t>
  </si>
  <si>
    <t>ME90621OC2</t>
  </si>
  <si>
    <t>ME90621OS1</t>
  </si>
  <si>
    <t>ME90621OS2</t>
  </si>
  <si>
    <t>ME91221HPP</t>
  </si>
  <si>
    <t>ME93021MCP</t>
  </si>
  <si>
    <t>ME93021MDC</t>
  </si>
  <si>
    <t>ME93021MWC</t>
  </si>
  <si>
    <t>ME93021MWL</t>
  </si>
  <si>
    <t>재고</t>
    <phoneticPr fontId="91" type="noConversion"/>
  </si>
  <si>
    <t>잔여재고</t>
    <phoneticPr fontId="91" type="noConversion"/>
  </si>
  <si>
    <t>7/22 신코드로 출고</t>
    <phoneticPr fontId="91" type="noConversion"/>
  </si>
  <si>
    <t>ME00621HLT</t>
  </si>
  <si>
    <t>ME00621PA1</t>
  </si>
  <si>
    <t>ME90621FG4</t>
  </si>
  <si>
    <t>ME90521GT2</t>
  </si>
  <si>
    <t>립아이스 립밤 그레이프프루트 티 (2021) (12입)</t>
  </si>
  <si>
    <t>9/17 추가</t>
    <phoneticPr fontId="91" type="noConversion"/>
  </si>
  <si>
    <t>2021년 종료</t>
    <phoneticPr fontId="91" type="noConversion"/>
  </si>
  <si>
    <t>ME90521GS2</t>
  </si>
  <si>
    <t>립아이스 립밤 스트로베리 (2021) (12입)</t>
    <phoneticPr fontId="91" type="noConversion"/>
  </si>
  <si>
    <t>ME90521LD9</t>
  </si>
  <si>
    <t>립아이스 립밤 레몬 (2021) (12입)</t>
    <phoneticPr fontId="91" type="noConversion"/>
  </si>
  <si>
    <t>행 레이블</t>
  </si>
  <si>
    <t>ME00421180</t>
  </si>
  <si>
    <t>ME00521L15</t>
  </si>
  <si>
    <t>ME00621C51</t>
  </si>
  <si>
    <t>ME00621CD1</t>
  </si>
  <si>
    <t>ME00621H54</t>
  </si>
  <si>
    <t>ME00621HPS</t>
  </si>
  <si>
    <t>ME00621PA2</t>
  </si>
  <si>
    <t>ME00621PAD</t>
  </si>
  <si>
    <t>ME00621PSP</t>
  </si>
  <si>
    <t>ME00621S25</t>
  </si>
  <si>
    <t>ME00621SDC</t>
  </si>
  <si>
    <t>ME80421DHC</t>
  </si>
  <si>
    <t>ME80421DRO</t>
  </si>
  <si>
    <t>ME80422DHD</t>
  </si>
  <si>
    <t>ME80422DHE</t>
  </si>
  <si>
    <t>ME90521GT1</t>
  </si>
  <si>
    <t>ME90521LF2</t>
  </si>
  <si>
    <t>ME90621AC4</t>
  </si>
  <si>
    <t>ME90621ADH</t>
  </si>
  <si>
    <t>ME90621GFW</t>
  </si>
  <si>
    <t>ME90621GKB</t>
  </si>
  <si>
    <t>ME90621GKK</t>
  </si>
  <si>
    <t>ME90621GP4</t>
  </si>
  <si>
    <t>ME90621GSD</t>
  </si>
  <si>
    <t>ME90621LLP</t>
  </si>
  <si>
    <t>ME90621MK2</t>
  </si>
  <si>
    <t>(비어 있음)</t>
  </si>
  <si>
    <t>아크네스 클리어 앤 화이트 크리미 워시 100G (6입) (New 2021)</t>
  </si>
  <si>
    <t>12/7 추가</t>
    <phoneticPr fontId="91" type="noConversion"/>
  </si>
  <si>
    <t>하다라보 히아풀베리어 수딩 클렌징 젤 (12입)</t>
  </si>
  <si>
    <t>하다라보 히아풀베리어 포어 클렌징 폼 (12입)</t>
  </si>
  <si>
    <t>히아풀 수딩 젤&amp;수딩 폼</t>
    <phoneticPr fontId="91" type="noConversion"/>
  </si>
  <si>
    <t>무조건 E로 붙여진거 출고할것 !!!!</t>
    <phoneticPr fontId="91" type="noConversion"/>
  </si>
  <si>
    <t>ME90621ADI</t>
  </si>
  <si>
    <t>2021년 12월 디자인변경으로 코드변경</t>
    <phoneticPr fontId="91" type="noConversion"/>
  </si>
  <si>
    <t>ME90621GO8</t>
  </si>
  <si>
    <t>아크네스 클리어 화이트 크리미워시 100g</t>
  </si>
  <si>
    <t>ME90621AFE</t>
  </si>
  <si>
    <t>하다라보 히아풀베리어 포어 클렌징폼 150g</t>
  </si>
  <si>
    <t>고쿠쥰오일클렌징200ml</t>
  </si>
  <si>
    <t>딥모이스트 멘톨 4.5g</t>
  </si>
  <si>
    <t>립아이스 립밤 스트로베리</t>
  </si>
  <si>
    <t>립아이스 립밤 그레이프프루트 티</t>
  </si>
  <si>
    <t>딥모이스트 네츄럴 4.5g</t>
  </si>
  <si>
    <t>립아이스립밤 레몬</t>
  </si>
  <si>
    <t>마포점</t>
    <phoneticPr fontId="91" type="noConversion"/>
  </si>
  <si>
    <t>오늘재고</t>
    <phoneticPr fontId="91" type="noConversion"/>
  </si>
  <si>
    <t xml:space="preserve">af1 더마 </t>
    <phoneticPr fontId="91" type="noConversion"/>
  </si>
  <si>
    <t>ME00621AF9</t>
  </si>
  <si>
    <t>EM김포몰가상점</t>
  </si>
  <si>
    <t>EM김포2몰가상점</t>
  </si>
  <si>
    <t>EM분당점</t>
  </si>
  <si>
    <t>EM제주점</t>
  </si>
  <si>
    <t>EM청주점</t>
  </si>
  <si>
    <t>EM성서점</t>
  </si>
  <si>
    <t>EM산본점</t>
  </si>
  <si>
    <t>EM해운대점</t>
  </si>
  <si>
    <t>EM상봉점</t>
  </si>
  <si>
    <t>EM이천점</t>
  </si>
  <si>
    <t>EM목포점</t>
  </si>
  <si>
    <t>EM만촌점</t>
  </si>
  <si>
    <t>EM군산점</t>
  </si>
  <si>
    <t>EM성수점</t>
  </si>
  <si>
    <t>EM수서점</t>
  </si>
  <si>
    <t>EM화정점</t>
  </si>
  <si>
    <t>EM수원점</t>
  </si>
  <si>
    <t>EM충주점</t>
  </si>
  <si>
    <t>EM포항점</t>
  </si>
  <si>
    <t>EM여수점</t>
  </si>
  <si>
    <t>EM연제점</t>
  </si>
  <si>
    <t>EM중동점</t>
  </si>
  <si>
    <t>EM둔산점</t>
  </si>
  <si>
    <t>EM구미점</t>
  </si>
  <si>
    <t>EM창원점</t>
  </si>
  <si>
    <t>EM연수점</t>
  </si>
  <si>
    <t>EM문현점</t>
  </si>
  <si>
    <t>EM안산고잔점</t>
  </si>
  <si>
    <t>EM신제주점</t>
  </si>
  <si>
    <t>EM사상점</t>
  </si>
  <si>
    <t>EM속초점</t>
  </si>
  <si>
    <t>EM동해점</t>
  </si>
  <si>
    <t>EM광산점</t>
  </si>
  <si>
    <t>EM용산점</t>
  </si>
  <si>
    <t>EM포항이동점</t>
  </si>
  <si>
    <t>EM안동점</t>
  </si>
  <si>
    <t>EM양재점</t>
  </si>
  <si>
    <t>EM통영점</t>
  </si>
  <si>
    <t>EM서수원점</t>
  </si>
  <si>
    <t>EM죽전점</t>
  </si>
  <si>
    <t>EM춘천점</t>
  </si>
  <si>
    <t>EM동백점</t>
  </si>
  <si>
    <t>EM익산점</t>
  </si>
  <si>
    <t>EM아산점</t>
  </si>
  <si>
    <t>EM광명점</t>
  </si>
  <si>
    <t>EM상주점</t>
  </si>
  <si>
    <t>EM여주점</t>
  </si>
  <si>
    <t>EM다산점</t>
  </si>
  <si>
    <t>EM하남점</t>
  </si>
  <si>
    <t>EM보라점</t>
  </si>
  <si>
    <t>EM경기광주점</t>
  </si>
  <si>
    <t>EM성남점</t>
  </si>
  <si>
    <t>EM가든5점</t>
  </si>
  <si>
    <t>EM대전터미널점</t>
  </si>
  <si>
    <t>EM마포점</t>
  </si>
  <si>
    <t>EM천안서북점</t>
  </si>
  <si>
    <t>EM세종점</t>
  </si>
  <si>
    <t>EM과천점</t>
  </si>
  <si>
    <t>EM신촌점</t>
  </si>
  <si>
    <t>EM광주점</t>
  </si>
  <si>
    <t>ME90521WC4</t>
  </si>
  <si>
    <t>ME90521WC5</t>
  </si>
  <si>
    <t xml:space="preserve"> 멘소래담 워터컬러 01차밍 레드 (12입)</t>
  </si>
  <si>
    <t xml:space="preserve"> 멘소래담 워터컬러 02슈가 코랄 (12입)</t>
  </si>
  <si>
    <t>ME90521WC6</t>
  </si>
  <si>
    <t xml:space="preserve"> 멘소래담 워터컬러 03스위트 핑크 (12입)</t>
  </si>
  <si>
    <t>240829추가</t>
    <phoneticPr fontId="91" type="noConversion"/>
  </si>
  <si>
    <t>메디케이티드 립젤 트윈팩 3.5g x 2 (12입)</t>
  </si>
  <si>
    <t>ME00421301</t>
    <phoneticPr fontId="91" type="noConversion"/>
  </si>
  <si>
    <t>ME80421DCH</t>
  </si>
  <si>
    <t>멘소래담 쿨 롤온 로션 홈플러스 5입</t>
  </si>
  <si>
    <t>250210추가</t>
    <phoneticPr fontId="91" type="noConversion"/>
  </si>
  <si>
    <t>ME90621MAM</t>
  </si>
  <si>
    <t>멜라노CC 엔자임 페이스워시 130g (12입)</t>
  </si>
  <si>
    <t>250422추가</t>
    <phoneticPr fontId="91" type="noConversion"/>
  </si>
  <si>
    <t>맨소래덤아시아퍼시픽 주식회사</t>
  </si>
  <si>
    <t>TC</t>
  </si>
  <si>
    <t>매장 창고</t>
  </si>
  <si>
    <t>최철원</t>
  </si>
  <si>
    <t>여주DRY센터</t>
  </si>
  <si>
    <t>맨소래담 스프레이쿨180ml</t>
  </si>
  <si>
    <t>대구DRY센터</t>
  </si>
  <si>
    <t>시화DRY센터</t>
  </si>
  <si>
    <t>멜라노CC 엔자임 페이스 워시 130g</t>
  </si>
  <si>
    <t>EM파주운정점</t>
  </si>
  <si>
    <t>EM금정점</t>
  </si>
  <si>
    <t>EM양산점</t>
  </si>
  <si>
    <t>EM영등포점</t>
  </si>
  <si>
    <t>EM천안터미널점</t>
  </si>
  <si>
    <t>EMF고덕점</t>
  </si>
  <si>
    <t>TDC</t>
  </si>
  <si>
    <t>귀착지 : EM보정몰가상점</t>
  </si>
  <si>
    <t>EM신도림점</t>
  </si>
  <si>
    <t>EM광명소하점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</si>
</sst>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_ "/>
    <numFmt numFmtId="177" formatCode="#,##0_ "/>
    <numFmt numFmtId="178" formatCode="0_);[Red]\(0\)"/>
    <numFmt numFmtId="179" formatCode="yyyy&quot;/&quot;m&quot;/&quot;d;@"/>
  </numFmts>
  <fonts count="1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name val="新細明體"/>
      <family val="1"/>
      <charset val="136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name val="Arial"/>
      <family val="2"/>
    </font>
    <font>
      <sz val="9"/>
      <color rgb="FF333333"/>
      <name val="Malgun Gothic"/>
      <family val="3"/>
      <charset val="129"/>
    </font>
    <font>
      <sz val="11"/>
      <color rgb="FF656565"/>
      <name val="Malgun Gothic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56">
    <xf numFmtId="0" fontId="0" fillId="0" borderId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41" fontId="90" fillId="0" borderId="0" applyFont="0" applyFill="0" applyBorder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92" fillId="0" borderId="0"/>
    <xf numFmtId="0" fontId="100" fillId="0" borderId="0">
      <alignment vertical="center"/>
    </xf>
    <xf numFmtId="0" fontId="90" fillId="0" borderId="0"/>
    <xf numFmtId="0" fontId="131" fillId="0" borderId="0" applyNumberFormat="0" applyFill="0" applyBorder="0" applyAlignment="0" applyProtection="0">
      <alignment vertical="center"/>
    </xf>
    <xf numFmtId="0" fontId="132" fillId="0" borderId="8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4" fillId="0" borderId="10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7" fillId="30" borderId="0" applyNumberFormat="0" applyBorder="0" applyAlignment="0" applyProtection="0">
      <alignment vertical="center"/>
    </xf>
    <xf numFmtId="0" fontId="138" fillId="32" borderId="3" applyNumberFormat="0" applyAlignment="0" applyProtection="0">
      <alignment vertical="center"/>
    </xf>
    <xf numFmtId="0" fontId="139" fillId="27" borderId="11" applyNumberFormat="0" applyAlignment="0" applyProtection="0">
      <alignment vertical="center"/>
    </xf>
    <xf numFmtId="0" fontId="140" fillId="27" borderId="3" applyNumberFormat="0" applyAlignment="0" applyProtection="0">
      <alignment vertical="center"/>
    </xf>
    <xf numFmtId="0" fontId="141" fillId="0" borderId="6" applyNumberFormat="0" applyFill="0" applyAlignment="0" applyProtection="0">
      <alignment vertical="center"/>
    </xf>
    <xf numFmtId="0" fontId="142" fillId="31" borderId="5" applyNumberFormat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7" applyNumberFormat="0" applyFill="0" applyAlignment="0" applyProtection="0">
      <alignment vertical="center"/>
    </xf>
    <xf numFmtId="0" fontId="146" fillId="21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46" fillId="17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29" borderId="4" applyNumberFormat="0" applyFont="0" applyAlignment="0" applyProtection="0">
      <alignment vertical="center"/>
    </xf>
    <xf numFmtId="0" fontId="88" fillId="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29" borderId="4" applyNumberFormat="0" applyFont="0" applyAlignment="0" applyProtection="0">
      <alignment vertical="center"/>
    </xf>
    <xf numFmtId="0" fontId="87" fillId="0" borderId="0">
      <alignment vertical="center"/>
    </xf>
    <xf numFmtId="0" fontId="148" fillId="0" borderId="0" applyNumberFormat="0" applyFill="0" applyBorder="0" applyAlignment="0" applyProtection="0">
      <alignment vertical="center"/>
    </xf>
    <xf numFmtId="0" fontId="87" fillId="29" borderId="4" applyNumberFormat="0" applyFont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29" borderId="4" applyNumberFormat="0" applyFont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9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86" fillId="10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29" borderId="4" applyNumberFormat="0" applyFon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4" fillId="0" borderId="0">
      <alignment vertical="center"/>
    </xf>
    <xf numFmtId="0" fontId="149" fillId="0" borderId="8" applyNumberFormat="0" applyFill="0" applyAlignment="0" applyProtection="0">
      <alignment vertical="center"/>
    </xf>
    <xf numFmtId="0" fontId="150" fillId="0" borderId="9" applyNumberFormat="0" applyFill="0" applyAlignment="0" applyProtection="0">
      <alignment vertical="center"/>
    </xf>
    <xf numFmtId="0" fontId="151" fillId="0" borderId="10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33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4" fillId="30" borderId="0" applyNumberFormat="0" applyBorder="0" applyAlignment="0" applyProtection="0">
      <alignment vertical="center"/>
    </xf>
    <xf numFmtId="0" fontId="155" fillId="32" borderId="3" applyNumberFormat="0" applyAlignment="0" applyProtection="0">
      <alignment vertical="center"/>
    </xf>
    <xf numFmtId="0" fontId="156" fillId="27" borderId="11" applyNumberFormat="0" applyAlignment="0" applyProtection="0">
      <alignment vertical="center"/>
    </xf>
    <xf numFmtId="0" fontId="157" fillId="27" borderId="3" applyNumberFormat="0" applyAlignment="0" applyProtection="0">
      <alignment vertical="center"/>
    </xf>
    <xf numFmtId="0" fontId="158" fillId="0" borderId="6" applyNumberFormat="0" applyFill="0" applyAlignment="0" applyProtection="0">
      <alignment vertical="center"/>
    </xf>
    <xf numFmtId="0" fontId="159" fillId="31" borderId="5" applyNumberFormat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84" fillId="29" borderId="4" applyNumberFormat="0" applyFon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7" applyNumberFormat="0" applyFill="0" applyAlignment="0" applyProtection="0">
      <alignment vertical="center"/>
    </xf>
    <xf numFmtId="0" fontId="163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63" fillId="17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63" fillId="18" borderId="0" applyNumberFormat="0" applyBorder="0" applyAlignment="0" applyProtection="0">
      <alignment vertical="center"/>
    </xf>
    <xf numFmtId="0" fontId="163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29" borderId="4" applyNumberFormat="0" applyFon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90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29" borderId="4" applyNumberFormat="0" applyFont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29" borderId="4" applyNumberFormat="0" applyFon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6" fillId="30" borderId="0" applyNumberFormat="0" applyBorder="0" applyAlignment="0" applyProtection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9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5" fillId="0" borderId="0">
      <alignment vertical="center"/>
    </xf>
  </cellStyleXfs>
  <cellXfs count="161">
    <xf numFmtId="0" fontId="0" fillId="0" borderId="0" xfId="0">
      <alignment vertical="center"/>
    </xf>
    <xf numFmtId="0" fontId="95" fillId="0" borderId="0" xfId="0" applyFont="1">
      <alignment vertical="center"/>
    </xf>
    <xf numFmtId="0" fontId="117" fillId="0" borderId="1" xfId="168" applyFont="1" applyBorder="1" applyAlignment="1">
      <alignment horizontal="center" vertical="center"/>
    </xf>
    <xf numFmtId="0" fontId="118" fillId="0" borderId="1" xfId="0" applyFont="1" applyBorder="1">
      <alignment vertical="center"/>
    </xf>
    <xf numFmtId="0" fontId="120" fillId="0" borderId="0" xfId="0" applyFont="1">
      <alignment vertical="center"/>
    </xf>
    <xf numFmtId="0" fontId="121" fillId="0" borderId="0" xfId="0" applyFont="1">
      <alignment vertical="center"/>
    </xf>
    <xf numFmtId="0" fontId="122" fillId="0" borderId="0" xfId="0" applyFont="1">
      <alignment vertical="center"/>
    </xf>
    <xf numFmtId="41" fontId="120" fillId="0" borderId="0" xfId="0" applyNumberFormat="1" applyFont="1">
      <alignment vertical="center"/>
    </xf>
    <xf numFmtId="41" fontId="123" fillId="34" borderId="0" xfId="125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35" borderId="0" xfId="0" applyFont="1" applyFill="1" applyAlignment="1">
      <alignment horizontal="center" vertical="center"/>
    </xf>
    <xf numFmtId="0" fontId="120" fillId="36" borderId="0" xfId="0" applyFont="1" applyFill="1" applyAlignment="1">
      <alignment horizontal="center" vertical="center"/>
    </xf>
    <xf numFmtId="0" fontId="120" fillId="37" borderId="0" xfId="0" applyFont="1" applyFill="1" applyAlignment="1">
      <alignment horizontal="center" vertical="center"/>
    </xf>
    <xf numFmtId="0" fontId="123" fillId="34" borderId="0" xfId="0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49" fontId="123" fillId="34" borderId="0" xfId="0" applyNumberFormat="1" applyFont="1" applyFill="1" applyAlignment="1">
      <alignment horizontal="center" vertical="center"/>
    </xf>
    <xf numFmtId="0" fontId="117" fillId="0" borderId="1" xfId="166" applyFont="1" applyBorder="1"/>
    <xf numFmtId="0" fontId="117" fillId="0" borderId="1" xfId="0" applyFont="1" applyBorder="1">
      <alignment vertical="center"/>
    </xf>
    <xf numFmtId="0" fontId="118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right" vertical="center"/>
    </xf>
    <xf numFmtId="0" fontId="125" fillId="41" borderId="1" xfId="0" applyFont="1" applyFill="1" applyBorder="1" applyAlignment="1">
      <alignment horizontal="center" vertical="center"/>
    </xf>
    <xf numFmtId="0" fontId="126" fillId="42" borderId="1" xfId="0" applyFont="1" applyFill="1" applyBorder="1">
      <alignment vertical="center"/>
    </xf>
    <xf numFmtId="0" fontId="117" fillId="0" borderId="1" xfId="166" applyFont="1" applyBorder="1" applyAlignment="1">
      <alignment horizontal="right"/>
    </xf>
    <xf numFmtId="0" fontId="126" fillId="42" borderId="1" xfId="166" applyFont="1" applyFill="1" applyBorder="1" applyAlignment="1">
      <alignment horizontal="right"/>
    </xf>
    <xf numFmtId="0" fontId="117" fillId="0" borderId="1" xfId="166" applyFont="1" applyBorder="1" applyAlignment="1">
      <alignment horizontal="left"/>
    </xf>
    <xf numFmtId="0" fontId="117" fillId="43" borderId="1" xfId="0" applyFont="1" applyFill="1" applyBorder="1">
      <alignment vertical="center"/>
    </xf>
    <xf numFmtId="177" fontId="120" fillId="0" borderId="0" xfId="0" applyNumberFormat="1" applyFont="1">
      <alignment vertical="center"/>
    </xf>
    <xf numFmtId="0" fontId="120" fillId="43" borderId="0" xfId="0" applyFont="1" applyFill="1" applyAlignment="1">
      <alignment horizontal="center" vertical="center"/>
    </xf>
    <xf numFmtId="41" fontId="124" fillId="0" borderId="0" xfId="125" applyFont="1" applyAlignment="1">
      <alignment horizontal="center" vertical="center"/>
    </xf>
    <xf numFmtId="0" fontId="120" fillId="40" borderId="0" xfId="0" applyFont="1" applyFill="1">
      <alignment vertical="center"/>
    </xf>
    <xf numFmtId="0" fontId="120" fillId="40" borderId="0" xfId="0" applyFont="1" applyFill="1" applyAlignment="1">
      <alignment horizontal="left" vertical="center"/>
    </xf>
    <xf numFmtId="177" fontId="120" fillId="40" borderId="0" xfId="0" applyNumberFormat="1" applyFont="1" applyFill="1">
      <alignment vertical="center"/>
    </xf>
    <xf numFmtId="0" fontId="127" fillId="42" borderId="1" xfId="0" applyFont="1" applyFill="1" applyBorder="1">
      <alignment vertical="center"/>
    </xf>
    <xf numFmtId="0" fontId="127" fillId="42" borderId="1" xfId="0" applyFont="1" applyFill="1" applyBorder="1" applyAlignment="1">
      <alignment horizontal="right" vertical="center"/>
    </xf>
    <xf numFmtId="0" fontId="126" fillId="42" borderId="2" xfId="0" applyFont="1" applyFill="1" applyBorder="1" applyAlignment="1">
      <alignment horizontal="right" vertical="center"/>
    </xf>
    <xf numFmtId="0" fontId="129" fillId="43" borderId="0" xfId="0" applyFont="1" applyFill="1" applyAlignment="1">
      <alignment horizontal="center" vertical="center"/>
    </xf>
    <xf numFmtId="0" fontId="117" fillId="43" borderId="1" xfId="166" applyFont="1" applyFill="1" applyBorder="1"/>
    <xf numFmtId="0" fontId="127" fillId="42" borderId="2" xfId="0" applyFont="1" applyFill="1" applyBorder="1" applyAlignment="1">
      <alignment horizontal="right" vertical="center"/>
    </xf>
    <xf numFmtId="0" fontId="127" fillId="0" borderId="1" xfId="0" applyFont="1" applyBorder="1" applyAlignment="1">
      <alignment horizontal="right" vertical="center"/>
    </xf>
    <xf numFmtId="0" fontId="127" fillId="0" borderId="1" xfId="0" applyFont="1" applyBorder="1">
      <alignment vertical="center"/>
    </xf>
    <xf numFmtId="0" fontId="119" fillId="0" borderId="0" xfId="0" applyFont="1" applyAlignment="1">
      <alignment horizontal="center" vertical="center"/>
    </xf>
    <xf numFmtId="0" fontId="119" fillId="40" borderId="0" xfId="0" applyFont="1" applyFill="1" applyAlignment="1">
      <alignment horizontal="center" vertical="center"/>
    </xf>
    <xf numFmtId="0" fontId="119" fillId="40" borderId="0" xfId="0" applyFont="1" applyFill="1" applyAlignment="1">
      <alignment horizontal="left" vertical="center"/>
    </xf>
    <xf numFmtId="0" fontId="119" fillId="38" borderId="0" xfId="0" applyFont="1" applyFill="1" applyAlignment="1">
      <alignment horizontal="center" vertical="center"/>
    </xf>
    <xf numFmtId="177" fontId="119" fillId="40" borderId="0" xfId="0" applyNumberFormat="1" applyFont="1" applyFill="1" applyAlignment="1">
      <alignment horizontal="center" vertical="center"/>
    </xf>
    <xf numFmtId="177" fontId="119" fillId="0" borderId="0" xfId="0" applyNumberFormat="1" applyFont="1" applyAlignment="1">
      <alignment horizontal="center" vertical="center"/>
    </xf>
    <xf numFmtId="0" fontId="120" fillId="38" borderId="0" xfId="0" applyFont="1" applyFill="1">
      <alignment vertical="center"/>
    </xf>
    <xf numFmtId="0" fontId="127" fillId="36" borderId="1" xfId="0" applyFont="1" applyFill="1" applyBorder="1">
      <alignment vertical="center"/>
    </xf>
    <xf numFmtId="41" fontId="11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47" fillId="0" borderId="1" xfId="0" applyFont="1" applyBorder="1">
      <alignment vertical="center"/>
    </xf>
    <xf numFmtId="0" fontId="128" fillId="0" borderId="0" xfId="0" applyFont="1">
      <alignment vertical="center"/>
    </xf>
    <xf numFmtId="41" fontId="128" fillId="0" borderId="0" xfId="125" applyFont="1">
      <alignment vertical="center"/>
    </xf>
    <xf numFmtId="41" fontId="127" fillId="0" borderId="0" xfId="125" applyFont="1" applyAlignment="1">
      <alignment horizontal="center" vertical="center"/>
    </xf>
    <xf numFmtId="0" fontId="118" fillId="39" borderId="1" xfId="0" applyFont="1" applyFill="1" applyBorder="1">
      <alignment vertical="center"/>
    </xf>
    <xf numFmtId="0" fontId="117" fillId="0" borderId="1" xfId="0" applyFont="1" applyBorder="1" applyAlignment="1">
      <alignment horizontal="center" vertical="center"/>
    </xf>
    <xf numFmtId="0" fontId="117" fillId="43" borderId="1" xfId="0" applyFont="1" applyFill="1" applyBorder="1" applyAlignment="1">
      <alignment horizontal="center" vertical="center"/>
    </xf>
    <xf numFmtId="0" fontId="117" fillId="39" borderId="1" xfId="168" applyFont="1" applyFill="1" applyBorder="1" applyAlignment="1">
      <alignment horizontal="center" vertical="center"/>
    </xf>
    <xf numFmtId="0" fontId="126" fillId="42" borderId="1" xfId="0" applyFont="1" applyFill="1" applyBorder="1" applyAlignment="1">
      <alignment horizontal="center" vertical="center"/>
    </xf>
    <xf numFmtId="0" fontId="130" fillId="42" borderId="2" xfId="0" applyFont="1" applyFill="1" applyBorder="1" applyAlignment="1">
      <alignment horizontal="center" vertical="center"/>
    </xf>
    <xf numFmtId="0" fontId="127" fillId="42" borderId="1" xfId="0" applyFont="1" applyFill="1" applyBorder="1" applyAlignment="1">
      <alignment horizontal="center" vertical="center"/>
    </xf>
    <xf numFmtId="0" fontId="127" fillId="42" borderId="2" xfId="0" applyFont="1" applyFill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7" fillId="36" borderId="1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0" borderId="1" xfId="0" applyFont="1" applyBorder="1" applyAlignment="1">
      <alignment horizontal="center" vertical="center"/>
    </xf>
    <xf numFmtId="0" fontId="168" fillId="0" borderId="1" xfId="0" applyFont="1" applyBorder="1">
      <alignment vertical="center"/>
    </xf>
    <xf numFmtId="0" fontId="168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69" fillId="0" borderId="0" xfId="0" applyFont="1" applyAlignment="1">
      <alignment horizontal="center" vertical="center"/>
    </xf>
    <xf numFmtId="0" fontId="169" fillId="0" borderId="0" xfId="0" applyFont="1" applyAlignment="1">
      <alignment horizontal="left" vertical="center"/>
    </xf>
    <xf numFmtId="0" fontId="164" fillId="2" borderId="2" xfId="0" applyFont="1" applyFill="1" applyBorder="1" applyAlignment="1">
      <alignment horizontal="center" vertical="center"/>
    </xf>
    <xf numFmtId="41" fontId="164" fillId="2" borderId="2" xfId="0" applyNumberFormat="1" applyFont="1" applyFill="1" applyBorder="1" applyAlignment="1">
      <alignment horizontal="center" vertical="center"/>
    </xf>
    <xf numFmtId="0" fontId="165" fillId="37" borderId="1" xfId="0" applyFont="1" applyFill="1" applyBorder="1" applyAlignment="1">
      <alignment horizontal="left" vertical="center"/>
    </xf>
    <xf numFmtId="176" fontId="165" fillId="37" borderId="1" xfId="0" applyNumberFormat="1" applyFont="1" applyFill="1" applyBorder="1" applyAlignment="1">
      <alignment horizontal="left" vertical="center"/>
    </xf>
    <xf numFmtId="0" fontId="165" fillId="39" borderId="1" xfId="0" applyFont="1" applyFill="1" applyBorder="1" applyAlignment="1">
      <alignment horizontal="left" vertical="center"/>
    </xf>
    <xf numFmtId="176" fontId="165" fillId="39" borderId="1" xfId="0" applyNumberFormat="1" applyFont="1" applyFill="1" applyBorder="1" applyAlignment="1">
      <alignment horizontal="left" vertical="center"/>
    </xf>
    <xf numFmtId="0" fontId="165" fillId="4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70" fillId="0" borderId="1" xfId="0" applyNumberFormat="1" applyFont="1" applyBorder="1" applyAlignment="1">
      <alignment horizontal="left" vertical="center"/>
    </xf>
    <xf numFmtId="0" fontId="170" fillId="0" borderId="1" xfId="0" applyFont="1" applyBorder="1" applyAlignment="1">
      <alignment horizontal="left" vertical="center"/>
    </xf>
    <xf numFmtId="0" fontId="167" fillId="0" borderId="0" xfId="0" applyFont="1">
      <alignment vertical="center"/>
    </xf>
    <xf numFmtId="41" fontId="172" fillId="43" borderId="0" xfId="125" applyFont="1" applyFill="1">
      <alignment vertical="center"/>
    </xf>
    <xf numFmtId="179" fontId="172" fillId="43" borderId="0" xfId="0" applyNumberFormat="1" applyFont="1" applyFill="1">
      <alignment vertical="center"/>
    </xf>
    <xf numFmtId="41" fontId="173" fillId="0" borderId="0" xfId="125" applyFont="1">
      <alignment vertical="center"/>
    </xf>
    <xf numFmtId="179" fontId="173" fillId="0" borderId="0" xfId="0" applyNumberFormat="1" applyFont="1">
      <alignment vertical="center"/>
    </xf>
    <xf numFmtId="41" fontId="165" fillId="0" borderId="0" xfId="125" applyFont="1">
      <alignment vertical="center"/>
    </xf>
    <xf numFmtId="179" fontId="165" fillId="0" borderId="0" xfId="0" applyNumberFormat="1" applyFont="1">
      <alignment vertical="center"/>
    </xf>
    <xf numFmtId="41" fontId="174" fillId="0" borderId="0" xfId="125" applyFont="1">
      <alignment vertical="center"/>
    </xf>
    <xf numFmtId="41" fontId="175" fillId="0" borderId="0" xfId="125" applyFont="1">
      <alignment vertical="center"/>
    </xf>
    <xf numFmtId="41" fontId="129" fillId="0" borderId="0" xfId="125" applyFont="1">
      <alignment vertical="center"/>
    </xf>
    <xf numFmtId="179" fontId="175" fillId="0" borderId="0" xfId="0" applyNumberFormat="1" applyFont="1">
      <alignment vertical="center"/>
    </xf>
    <xf numFmtId="0" fontId="165" fillId="45" borderId="1" xfId="0" applyFont="1" applyFill="1" applyBorder="1" applyAlignment="1">
      <alignment horizontal="left" vertical="center"/>
    </xf>
    <xf numFmtId="0" fontId="145" fillId="0" borderId="0" xfId="0" applyFont="1">
      <alignment vertical="center"/>
    </xf>
    <xf numFmtId="0" fontId="16" fillId="0" borderId="1" xfId="1753" applyBorder="1">
      <alignment vertical="center"/>
    </xf>
    <xf numFmtId="176" fontId="170" fillId="0" borderId="0" xfId="0" applyNumberFormat="1" applyFont="1" applyAlignment="1">
      <alignment horizontal="left" vertical="center"/>
    </xf>
    <xf numFmtId="41" fontId="117" fillId="0" borderId="1" xfId="0" applyNumberFormat="1" applyFont="1" applyBorder="1">
      <alignment vertical="center"/>
    </xf>
    <xf numFmtId="0" fontId="165" fillId="39" borderId="0" xfId="0" applyFont="1" applyFill="1" applyAlignment="1">
      <alignment horizontal="left" vertical="center"/>
    </xf>
    <xf numFmtId="0" fontId="170" fillId="0" borderId="0" xfId="0" applyFont="1" applyAlignment="1">
      <alignment horizontal="left" vertical="center"/>
    </xf>
    <xf numFmtId="0" fontId="167" fillId="0" borderId="0" xfId="0" applyFont="1" applyAlignment="1">
      <alignment horizontal="center" vertical="center" wrapText="1"/>
    </xf>
    <xf numFmtId="0" fontId="170" fillId="0" borderId="12" xfId="0" applyFont="1" applyBorder="1" applyAlignment="1">
      <alignment horizontal="left" vertical="center"/>
    </xf>
    <xf numFmtId="0" fontId="167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left" vertical="center"/>
    </xf>
    <xf numFmtId="178" fontId="165" fillId="0" borderId="1" xfId="0" applyNumberFormat="1" applyFont="1" applyBorder="1" applyAlignment="1">
      <alignment horizontal="left" vertical="center"/>
    </xf>
    <xf numFmtId="0" fontId="165" fillId="0" borderId="0" xfId="0" applyFont="1" applyAlignment="1">
      <alignment horizontal="center" vertical="center"/>
    </xf>
    <xf numFmtId="176" fontId="165" fillId="0" borderId="0" xfId="0" applyNumberFormat="1" applyFont="1" applyAlignment="1">
      <alignment horizontal="center" vertical="center"/>
    </xf>
    <xf numFmtId="0" fontId="177" fillId="47" borderId="0" xfId="0" applyFont="1" applyFill="1">
      <alignment vertical="center"/>
    </xf>
    <xf numFmtId="0" fontId="120" fillId="47" borderId="0" xfId="0" applyFont="1" applyFill="1">
      <alignment vertical="center"/>
    </xf>
    <xf numFmtId="178" fontId="165" fillId="47" borderId="1" xfId="0" applyNumberFormat="1" applyFont="1" applyFill="1" applyBorder="1" applyAlignment="1">
      <alignment horizontal="left" vertical="center"/>
    </xf>
    <xf numFmtId="41" fontId="120" fillId="47" borderId="0" xfId="0" applyNumberFormat="1" applyFont="1" applyFill="1">
      <alignment vertical="center"/>
    </xf>
    <xf numFmtId="178" fontId="0" fillId="47" borderId="0" xfId="0" applyNumberFormat="1" applyFill="1">
      <alignment vertical="center"/>
    </xf>
    <xf numFmtId="41" fontId="173" fillId="47" borderId="0" xfId="125" applyFont="1" applyFill="1">
      <alignment vertical="center"/>
    </xf>
    <xf numFmtId="179" fontId="173" fillId="47" borderId="0" xfId="0" applyNumberFormat="1" applyFont="1" applyFill="1">
      <alignment vertical="center"/>
    </xf>
    <xf numFmtId="0" fontId="0" fillId="47" borderId="0" xfId="0" applyFill="1">
      <alignment vertical="center"/>
    </xf>
    <xf numFmtId="41" fontId="117" fillId="47" borderId="0" xfId="0" applyNumberFormat="1" applyFont="1" applyFill="1">
      <alignment vertical="center"/>
    </xf>
    <xf numFmtId="178" fontId="164" fillId="0" borderId="2" xfId="0" applyNumberFormat="1" applyFont="1" applyBorder="1" applyAlignment="1">
      <alignment horizontal="left" vertical="center"/>
    </xf>
    <xf numFmtId="178" fontId="121" fillId="0" borderId="0" xfId="0" applyNumberFormat="1" applyFont="1" applyAlignment="1">
      <alignment horizontal="left" vertical="center"/>
    </xf>
    <xf numFmtId="0" fontId="119" fillId="43" borderId="0" xfId="0" applyFont="1" applyFill="1" applyAlignment="1">
      <alignment horizontal="center" vertical="center"/>
    </xf>
    <xf numFmtId="0" fontId="178" fillId="0" borderId="0" xfId="0" applyFont="1">
      <alignment vertical="center"/>
    </xf>
    <xf numFmtId="0" fontId="164" fillId="44" borderId="1" xfId="0" applyFont="1" applyFill="1" applyBorder="1" applyAlignment="1">
      <alignment horizontal="left" vertical="center"/>
    </xf>
    <xf numFmtId="0" fontId="126" fillId="43" borderId="1" xfId="166" applyFont="1" applyFill="1" applyBorder="1" applyAlignment="1">
      <alignment horizontal="right"/>
    </xf>
    <xf numFmtId="0" fontId="126" fillId="43" borderId="1" xfId="0" applyFont="1" applyFill="1" applyBorder="1" applyAlignment="1">
      <alignment horizontal="center" vertical="center"/>
    </xf>
    <xf numFmtId="0" fontId="126" fillId="43" borderId="1" xfId="0" applyFont="1" applyFill="1" applyBorder="1">
      <alignment vertical="center"/>
    </xf>
    <xf numFmtId="0" fontId="95" fillId="43" borderId="0" xfId="0" applyFont="1" applyFill="1">
      <alignment vertical="center"/>
    </xf>
    <xf numFmtId="0" fontId="129" fillId="44" borderId="0" xfId="0" applyFont="1" applyFill="1" applyAlignment="1">
      <alignment horizontal="center" vertical="center"/>
    </xf>
    <xf numFmtId="0" fontId="120" fillId="44" borderId="0" xfId="0" applyFont="1" applyFill="1" applyAlignment="1">
      <alignment horizontal="center" vertical="center"/>
    </xf>
    <xf numFmtId="0" fontId="145" fillId="0" borderId="13" xfId="0" applyFont="1" applyBorder="1">
      <alignment vertical="center"/>
    </xf>
    <xf numFmtId="0" fontId="117" fillId="0" borderId="14" xfId="0" applyFont="1" applyBorder="1">
      <alignment vertical="center"/>
    </xf>
    <xf numFmtId="0" fontId="170" fillId="43" borderId="1" xfId="0" applyFont="1" applyFill="1" applyBorder="1" applyAlignment="1">
      <alignment horizontal="left" vertical="center"/>
    </xf>
    <xf numFmtId="0" fontId="3" fillId="0" borderId="0" xfId="1926" applyFont="1">
      <alignment vertical="center"/>
    </xf>
    <xf numFmtId="0" fontId="4" fillId="0" borderId="0" xfId="1926">
      <alignment vertical="center"/>
    </xf>
    <xf numFmtId="13" fontId="117" fillId="0" borderId="0" xfId="0" applyNumberFormat="1" applyFont="1">
      <alignment vertical="center"/>
    </xf>
    <xf numFmtId="0" fontId="117" fillId="0" borderId="15" xfId="0" pivotButton="1" applyFont="1" applyBorder="1">
      <alignment vertical="center"/>
    </xf>
    <xf numFmtId="0" fontId="117" fillId="0" borderId="16" xfId="0" applyFont="1" applyBorder="1">
      <alignment vertical="center"/>
    </xf>
    <xf numFmtId="0" fontId="117" fillId="0" borderId="17" xfId="0" applyFont="1" applyBorder="1">
      <alignment vertical="center"/>
    </xf>
    <xf numFmtId="0" fontId="117" fillId="0" borderId="15" xfId="0" applyFont="1" applyBorder="1">
      <alignment vertical="center"/>
    </xf>
    <xf numFmtId="0" fontId="117" fillId="46" borderId="15" xfId="0" applyFont="1" applyFill="1" applyBorder="1">
      <alignment vertical="center"/>
    </xf>
    <xf numFmtId="41" fontId="164" fillId="0" borderId="0" xfId="125" applyFont="1">
      <alignment vertical="center"/>
    </xf>
    <xf numFmtId="0" fontId="179" fillId="48" borderId="19" xfId="0" applyFont="1" applyFill="1" applyBorder="1">
      <alignment vertical="center"/>
    </xf>
    <xf numFmtId="0" fontId="179" fillId="48" borderId="18" xfId="0" applyFont="1" applyFill="1" applyBorder="1">
      <alignment vertical="center"/>
    </xf>
    <xf numFmtId="0" fontId="179" fillId="48" borderId="20" xfId="0" applyFont="1" applyFill="1" applyBorder="1">
      <alignment vertical="center"/>
    </xf>
    <xf numFmtId="178" fontId="181" fillId="0" borderId="21" xfId="0" applyNumberFormat="1" applyFont="1" applyBorder="1" applyAlignment="1">
      <alignment horizontal="left" vertical="center" wrapText="1"/>
    </xf>
    <xf numFmtId="176" fontId="180" fillId="0" borderId="0" xfId="0" applyNumberFormat="1" applyFont="1" applyAlignment="1">
      <alignment horizontal="center"/>
    </xf>
    <xf numFmtId="0" fontId="127" fillId="0" borderId="0" xfId="0" applyFont="1">
      <alignment vertical="center"/>
    </xf>
    <xf numFmtId="0" fontId="127" fillId="49" borderId="0" xfId="0" applyFont="1" applyFill="1">
      <alignment vertical="center"/>
    </xf>
    <xf numFmtId="0" fontId="120" fillId="49" borderId="0" xfId="0" applyFont="1" applyFill="1">
      <alignment vertical="center"/>
    </xf>
    <xf numFmtId="41" fontId="119" fillId="43" borderId="0" xfId="125" applyFont="1" applyFill="1">
      <alignment vertical="center"/>
    </xf>
    <xf numFmtId="0" fontId="0" fillId="43" borderId="0" xfId="0" applyFill="1">
      <alignment vertical="center"/>
    </xf>
    <xf numFmtId="43" fontId="120" fillId="0" borderId="0" xfId="0" applyNumberFormat="1" applyFont="1">
      <alignment vertical="center"/>
    </xf>
    <xf numFmtId="0" fontId="182" fillId="0" borderId="23" xfId="0" applyFont="1" applyBorder="1" applyAlignment="1">
      <alignment horizontal="center" vertical="center" wrapText="1"/>
    </xf>
    <xf numFmtId="3" fontId="182" fillId="0" borderId="23" xfId="0" applyNumberFormat="1" applyFont="1" applyBorder="1" applyAlignment="1">
      <alignment horizontal="center" vertical="center" wrapText="1"/>
    </xf>
    <xf numFmtId="0" fontId="183" fillId="0" borderId="13" xfId="0" applyFont="1" applyBorder="1">
      <alignment vertical="center"/>
    </xf>
    <xf numFmtId="0" fontId="184" fillId="0" borderId="0" xfId="0" applyFont="1">
      <alignment vertical="center"/>
    </xf>
    <xf numFmtId="0" fontId="182" fillId="0" borderId="22" xfId="0" applyFont="1" applyBorder="1" applyAlignment="1">
      <alignment horizontal="center" vertical="center" wrapText="1"/>
    </xf>
    <xf numFmtId="0" fontId="129" fillId="40" borderId="0" xfId="0" applyFont="1" applyFill="1">
      <alignment vertical="center"/>
    </xf>
    <xf numFmtId="41" fontId="128" fillId="0" borderId="0" xfId="125" applyFont="1" applyAlignment="1">
      <alignment horizontal="center" vertical="center"/>
    </xf>
    <xf numFmtId="0" fontId="182" fillId="0" borderId="22" xfId="0" applyNumberFormat="1" applyFont="1" applyBorder="1" applyAlignment="1">
      <alignment horizontal="center" vertical="center" wrapText="1"/>
    </xf>
    <xf numFmtId="0" fontId="182" fillId="0" borderId="23" xfId="0" applyNumberFormat="1" applyFont="1" applyBorder="1" applyAlignment="1">
      <alignment horizontal="center" vertical="center" wrapText="1"/>
    </xf>
  </cellXfs>
  <cellStyles count="1956">
    <cellStyle name="20% - 강조색1" xfId="186" builtinId="30" customBuiltin="1"/>
    <cellStyle name="20% - 강조색1 10" xfId="286" xr:uid="{00000000-0005-0000-0000-000001000000}"/>
    <cellStyle name="20% - 강조색1 10 2" xfId="879" xr:uid="{00000000-0005-0000-0000-000002000000}"/>
    <cellStyle name="20% - 강조색1 10 3" xfId="597" xr:uid="{00000000-0005-0000-0000-000003000000}"/>
    <cellStyle name="20% - 강조색1 11" xfId="311" xr:uid="{00000000-0005-0000-0000-000004000000}"/>
    <cellStyle name="20% - 강조색1 12" xfId="325" xr:uid="{00000000-0005-0000-0000-000005000000}"/>
    <cellStyle name="20% - 강조색1 12 2" xfId="893" xr:uid="{00000000-0005-0000-0000-000006000000}"/>
    <cellStyle name="20% - 강조색1 12 3" xfId="611" xr:uid="{00000000-0005-0000-0000-000007000000}"/>
    <cellStyle name="20% - 강조색1 13" xfId="339" xr:uid="{00000000-0005-0000-0000-000008000000}"/>
    <cellStyle name="20% - 강조색1 13 2" xfId="907" xr:uid="{00000000-0005-0000-0000-000009000000}"/>
    <cellStyle name="20% - 강조색1 13 3" xfId="625" xr:uid="{00000000-0005-0000-0000-00000A000000}"/>
    <cellStyle name="20% - 강조색1 14" xfId="353" xr:uid="{00000000-0005-0000-0000-00000B000000}"/>
    <cellStyle name="20% - 강조색1 14 2" xfId="921" xr:uid="{00000000-0005-0000-0000-00000C000000}"/>
    <cellStyle name="20% - 강조색1 14 3" xfId="639" xr:uid="{00000000-0005-0000-0000-00000D000000}"/>
    <cellStyle name="20% - 강조색1 15" xfId="367" xr:uid="{00000000-0005-0000-0000-00000E000000}"/>
    <cellStyle name="20% - 강조색1 15 2" xfId="935" xr:uid="{00000000-0005-0000-0000-00000F000000}"/>
    <cellStyle name="20% - 강조색1 15 3" xfId="653" xr:uid="{00000000-0005-0000-0000-000010000000}"/>
    <cellStyle name="20% - 강조색1 16" xfId="381" xr:uid="{00000000-0005-0000-0000-000011000000}"/>
    <cellStyle name="20% - 강조색1 16 2" xfId="949" xr:uid="{00000000-0005-0000-0000-000012000000}"/>
    <cellStyle name="20% - 강조색1 16 3" xfId="667" xr:uid="{00000000-0005-0000-0000-000013000000}"/>
    <cellStyle name="20% - 강조색1 17" xfId="395" xr:uid="{00000000-0005-0000-0000-000014000000}"/>
    <cellStyle name="20% - 강조색1 17 2" xfId="963" xr:uid="{00000000-0005-0000-0000-000015000000}"/>
    <cellStyle name="20% - 강조색1 17 3" xfId="681" xr:uid="{00000000-0005-0000-0000-000016000000}"/>
    <cellStyle name="20% - 강조색1 18" xfId="409" xr:uid="{00000000-0005-0000-0000-000017000000}"/>
    <cellStyle name="20% - 강조색1 18 2" xfId="977" xr:uid="{00000000-0005-0000-0000-000018000000}"/>
    <cellStyle name="20% - 강조색1 18 3" xfId="695" xr:uid="{00000000-0005-0000-0000-000019000000}"/>
    <cellStyle name="20% - 강조색1 19" xfId="423" xr:uid="{00000000-0005-0000-0000-00001A000000}"/>
    <cellStyle name="20% - 강조색1 19 2" xfId="991" xr:uid="{00000000-0005-0000-0000-00001B000000}"/>
    <cellStyle name="20% - 강조색1 19 3" xfId="709" xr:uid="{00000000-0005-0000-0000-00001C000000}"/>
    <cellStyle name="20% - 강조색1 2" xfId="1" xr:uid="{00000000-0005-0000-0000-00001D000000}"/>
    <cellStyle name="20% - 강조색1 20" xfId="437" xr:uid="{00000000-0005-0000-0000-00001E000000}"/>
    <cellStyle name="20% - 강조색1 20 2" xfId="1005" xr:uid="{00000000-0005-0000-0000-00001F000000}"/>
    <cellStyle name="20% - 강조색1 20 3" xfId="723" xr:uid="{00000000-0005-0000-0000-000020000000}"/>
    <cellStyle name="20% - 강조색1 21" xfId="451" xr:uid="{00000000-0005-0000-0000-000021000000}"/>
    <cellStyle name="20% - 강조색1 21 2" xfId="1019" xr:uid="{00000000-0005-0000-0000-000022000000}"/>
    <cellStyle name="20% - 강조색1 21 3" xfId="737" xr:uid="{00000000-0005-0000-0000-000023000000}"/>
    <cellStyle name="20% - 강조색1 22" xfId="465" xr:uid="{00000000-0005-0000-0000-000024000000}"/>
    <cellStyle name="20% - 강조색1 22 2" xfId="1033" xr:uid="{00000000-0005-0000-0000-000025000000}"/>
    <cellStyle name="20% - 강조색1 22 3" xfId="751" xr:uid="{00000000-0005-0000-0000-000026000000}"/>
    <cellStyle name="20% - 강조색1 23" xfId="479" xr:uid="{00000000-0005-0000-0000-000027000000}"/>
    <cellStyle name="20% - 강조색1 23 2" xfId="1047" xr:uid="{00000000-0005-0000-0000-000028000000}"/>
    <cellStyle name="20% - 강조색1 23 3" xfId="765" xr:uid="{00000000-0005-0000-0000-000029000000}"/>
    <cellStyle name="20% - 강조색1 24" xfId="493" xr:uid="{00000000-0005-0000-0000-00002A000000}"/>
    <cellStyle name="20% - 강조색1 24 2" xfId="1061" xr:uid="{00000000-0005-0000-0000-00002B000000}"/>
    <cellStyle name="20% - 강조색1 24 3" xfId="779" xr:uid="{00000000-0005-0000-0000-00002C000000}"/>
    <cellStyle name="20% - 강조색1 25" xfId="509" xr:uid="{00000000-0005-0000-0000-00002D000000}"/>
    <cellStyle name="20% - 강조색1 25 2" xfId="795" xr:uid="{00000000-0005-0000-0000-00002E000000}"/>
    <cellStyle name="20% - 강조색1 26" xfId="807" xr:uid="{00000000-0005-0000-0000-00002F000000}"/>
    <cellStyle name="20% - 강조색1 27" xfId="523" xr:uid="{00000000-0005-0000-0000-000030000000}"/>
    <cellStyle name="20% - 강조색1 28" xfId="1075" xr:uid="{00000000-0005-0000-0000-000031000000}"/>
    <cellStyle name="20% - 강조색1 29" xfId="1089" xr:uid="{00000000-0005-0000-0000-000032000000}"/>
    <cellStyle name="20% - 강조색1 3" xfId="2" xr:uid="{00000000-0005-0000-0000-000033000000}"/>
    <cellStyle name="20% - 강조색1 30" xfId="1103" xr:uid="{00000000-0005-0000-0000-000034000000}"/>
    <cellStyle name="20% - 강조색1 31" xfId="1117" xr:uid="{00000000-0005-0000-0000-000035000000}"/>
    <cellStyle name="20% - 강조색1 32" xfId="1131" xr:uid="{00000000-0005-0000-0000-000036000000}"/>
    <cellStyle name="20% - 강조색1 33" xfId="1145" xr:uid="{00000000-0005-0000-0000-000037000000}"/>
    <cellStyle name="20% - 강조색1 34" xfId="1159" xr:uid="{00000000-0005-0000-0000-000038000000}"/>
    <cellStyle name="20% - 강조색1 35" xfId="1173" xr:uid="{00000000-0005-0000-0000-000039000000}"/>
    <cellStyle name="20% - 강조색1 36" xfId="1187" xr:uid="{00000000-0005-0000-0000-00003A000000}"/>
    <cellStyle name="20% - 강조색1 37" xfId="1201" xr:uid="{00000000-0005-0000-0000-00003B000000}"/>
    <cellStyle name="20% - 강조색1 38" xfId="1215" xr:uid="{00000000-0005-0000-0000-00003C000000}"/>
    <cellStyle name="20% - 강조색1 39" xfId="1229" xr:uid="{00000000-0005-0000-0000-00003D000000}"/>
    <cellStyle name="20% - 강조색1 4" xfId="3" xr:uid="{00000000-0005-0000-0000-00003E000000}"/>
    <cellStyle name="20% - 강조색1 40" xfId="1243" xr:uid="{00000000-0005-0000-0000-00003F000000}"/>
    <cellStyle name="20% - 강조색1 41" xfId="1257" xr:uid="{00000000-0005-0000-0000-000040000000}"/>
    <cellStyle name="20% - 강조색1 42" xfId="1271" xr:uid="{00000000-0005-0000-0000-000041000000}"/>
    <cellStyle name="20% - 강조색1 43" xfId="1285" xr:uid="{00000000-0005-0000-0000-000042000000}"/>
    <cellStyle name="20% - 강조색1 44" xfId="1299" xr:uid="{00000000-0005-0000-0000-000043000000}"/>
    <cellStyle name="20% - 강조색1 45" xfId="1313" xr:uid="{00000000-0005-0000-0000-000044000000}"/>
    <cellStyle name="20% - 강조색1 46" xfId="1327" xr:uid="{00000000-0005-0000-0000-000045000000}"/>
    <cellStyle name="20% - 강조색1 47" xfId="1341" xr:uid="{00000000-0005-0000-0000-000046000000}"/>
    <cellStyle name="20% - 강조색1 48" xfId="1355" xr:uid="{00000000-0005-0000-0000-000047000000}"/>
    <cellStyle name="20% - 강조색1 49" xfId="1369" xr:uid="{00000000-0005-0000-0000-000048000000}"/>
    <cellStyle name="20% - 강조색1 5" xfId="4" xr:uid="{00000000-0005-0000-0000-000049000000}"/>
    <cellStyle name="20% - 강조색1 50" xfId="1383" xr:uid="{00000000-0005-0000-0000-00004A000000}"/>
    <cellStyle name="20% - 강조색1 51" xfId="1397" xr:uid="{00000000-0005-0000-0000-00004B000000}"/>
    <cellStyle name="20% - 강조색1 52" xfId="1411" xr:uid="{00000000-0005-0000-0000-00004C000000}"/>
    <cellStyle name="20% - 강조색1 53" xfId="1426" xr:uid="{00000000-0005-0000-0000-00004D000000}"/>
    <cellStyle name="20% - 강조색1 54" xfId="1440" xr:uid="{00000000-0005-0000-0000-00004E000000}"/>
    <cellStyle name="20% - 강조색1 55" xfId="1454" xr:uid="{00000000-0005-0000-0000-00004F000000}"/>
    <cellStyle name="20% - 강조색1 56" xfId="1468" xr:uid="{00000000-0005-0000-0000-000050000000}"/>
    <cellStyle name="20% - 강조색1 57" xfId="1482" xr:uid="{00000000-0005-0000-0000-000051000000}"/>
    <cellStyle name="20% - 강조색1 58" xfId="1496" xr:uid="{00000000-0005-0000-0000-000052000000}"/>
    <cellStyle name="20% - 강조색1 59" xfId="1510" xr:uid="{00000000-0005-0000-0000-000053000000}"/>
    <cellStyle name="20% - 강조색1 6" xfId="211" xr:uid="{00000000-0005-0000-0000-000054000000}"/>
    <cellStyle name="20% - 강조색1 6 2" xfId="821" xr:uid="{00000000-0005-0000-0000-000055000000}"/>
    <cellStyle name="20% - 강조색1 6 3" xfId="539" xr:uid="{00000000-0005-0000-0000-000056000000}"/>
    <cellStyle name="20% - 강조색1 60" xfId="1524" xr:uid="{00000000-0005-0000-0000-000057000000}"/>
    <cellStyle name="20% - 강조색1 61" xfId="1538" xr:uid="{00000000-0005-0000-0000-000058000000}"/>
    <cellStyle name="20% - 강조색1 62" xfId="1552" xr:uid="{00000000-0005-0000-0000-000059000000}"/>
    <cellStyle name="20% - 강조색1 63" xfId="1566" xr:uid="{00000000-0005-0000-0000-00005A000000}"/>
    <cellStyle name="20% - 강조색1 64" xfId="1580" xr:uid="{00000000-0005-0000-0000-00005B000000}"/>
    <cellStyle name="20% - 강조색1 65" xfId="1594" xr:uid="{00000000-0005-0000-0000-00005C000000}"/>
    <cellStyle name="20% - 강조색1 66" xfId="1608" xr:uid="{00000000-0005-0000-0000-00005D000000}"/>
    <cellStyle name="20% - 강조색1 67" xfId="1622" xr:uid="{00000000-0005-0000-0000-00005E000000}"/>
    <cellStyle name="20% - 강조색1 68" xfId="1636" xr:uid="{00000000-0005-0000-0000-00005F000000}"/>
    <cellStyle name="20% - 강조색1 69" xfId="1650" xr:uid="{00000000-0005-0000-0000-000060000000}"/>
    <cellStyle name="20% - 강조색1 7" xfId="228" xr:uid="{00000000-0005-0000-0000-000061000000}"/>
    <cellStyle name="20% - 강조색1 7 2" xfId="837" xr:uid="{00000000-0005-0000-0000-000062000000}"/>
    <cellStyle name="20% - 강조색1 7 3" xfId="555" xr:uid="{00000000-0005-0000-0000-000063000000}"/>
    <cellStyle name="20% - 강조색1 70" xfId="1664" xr:uid="{00000000-0005-0000-0000-000064000000}"/>
    <cellStyle name="20% - 강조색1 71" xfId="1678" xr:uid="{00000000-0005-0000-0000-000065000000}"/>
    <cellStyle name="20% - 강조색1 72" xfId="1692" xr:uid="{00000000-0005-0000-0000-000066000000}"/>
    <cellStyle name="20% - 강조색1 73" xfId="1706" xr:uid="{00000000-0005-0000-0000-000067000000}"/>
    <cellStyle name="20% - 강조색1 74" xfId="1720" xr:uid="{00000000-0005-0000-0000-000068000000}"/>
    <cellStyle name="20% - 강조색1 75" xfId="1735" xr:uid="{00000000-0005-0000-0000-000069000000}"/>
    <cellStyle name="20% - 강조색1 76" xfId="1755" xr:uid="{00000000-0005-0000-0000-00006A000000}"/>
    <cellStyle name="20% - 강조색1 77" xfId="1775" xr:uid="{00000000-0005-0000-0000-00006B000000}"/>
    <cellStyle name="20% - 강조색1 78" xfId="1796" xr:uid="{00000000-0005-0000-0000-00006C000000}"/>
    <cellStyle name="20% - 강조색1 79" xfId="1816" xr:uid="{00000000-0005-0000-0000-00006D000000}"/>
    <cellStyle name="20% - 강조색1 8" xfId="242" xr:uid="{00000000-0005-0000-0000-00006E000000}"/>
    <cellStyle name="20% - 강조색1 8 2" xfId="851" xr:uid="{00000000-0005-0000-0000-00006F000000}"/>
    <cellStyle name="20% - 강조색1 8 3" xfId="569" xr:uid="{00000000-0005-0000-0000-000070000000}"/>
    <cellStyle name="20% - 강조색1 80" xfId="1830" xr:uid="{00000000-0005-0000-0000-000071000000}"/>
    <cellStyle name="20% - 강조색1 81" xfId="1844" xr:uid="{00000000-0005-0000-0000-000072000000}"/>
    <cellStyle name="20% - 강조색1 82" xfId="1858" xr:uid="{00000000-0005-0000-0000-000073000000}"/>
    <cellStyle name="20% - 강조색1 83" xfId="1872" xr:uid="{00000000-0005-0000-0000-000074000000}"/>
    <cellStyle name="20% - 강조색1 84" xfId="1886" xr:uid="{00000000-0005-0000-0000-000075000000}"/>
    <cellStyle name="20% - 강조색1 85" xfId="1900" xr:uid="{00000000-0005-0000-0000-000076000000}"/>
    <cellStyle name="20% - 강조색1 86" xfId="1914" xr:uid="{00000000-0005-0000-0000-000077000000}"/>
    <cellStyle name="20% - 강조색1 87" xfId="1929" xr:uid="{00000000-0005-0000-0000-000078000000}"/>
    <cellStyle name="20% - 강조색1 88" xfId="1943" xr:uid="{00000000-0005-0000-0000-000079000000}"/>
    <cellStyle name="20% - 강조색1 9" xfId="256" xr:uid="{00000000-0005-0000-0000-00007A000000}"/>
    <cellStyle name="20% - 강조색1 9 2" xfId="865" xr:uid="{00000000-0005-0000-0000-00007B000000}"/>
    <cellStyle name="20% - 강조색1 9 3" xfId="583" xr:uid="{00000000-0005-0000-0000-00007C000000}"/>
    <cellStyle name="20% - 강조색2" xfId="190" builtinId="34" customBuiltin="1"/>
    <cellStyle name="20% - 강조색2 10" xfId="290" xr:uid="{00000000-0005-0000-0000-00007E000000}"/>
    <cellStyle name="20% - 강조색2 10 2" xfId="881" xr:uid="{00000000-0005-0000-0000-00007F000000}"/>
    <cellStyle name="20% - 강조색2 10 3" xfId="599" xr:uid="{00000000-0005-0000-0000-000080000000}"/>
    <cellStyle name="20% - 강조색2 11" xfId="313" xr:uid="{00000000-0005-0000-0000-000081000000}"/>
    <cellStyle name="20% - 강조색2 12" xfId="327" xr:uid="{00000000-0005-0000-0000-000082000000}"/>
    <cellStyle name="20% - 강조색2 12 2" xfId="895" xr:uid="{00000000-0005-0000-0000-000083000000}"/>
    <cellStyle name="20% - 강조색2 12 3" xfId="613" xr:uid="{00000000-0005-0000-0000-000084000000}"/>
    <cellStyle name="20% - 강조색2 13" xfId="341" xr:uid="{00000000-0005-0000-0000-000085000000}"/>
    <cellStyle name="20% - 강조색2 13 2" xfId="909" xr:uid="{00000000-0005-0000-0000-000086000000}"/>
    <cellStyle name="20% - 강조색2 13 3" xfId="627" xr:uid="{00000000-0005-0000-0000-000087000000}"/>
    <cellStyle name="20% - 강조색2 14" xfId="355" xr:uid="{00000000-0005-0000-0000-000088000000}"/>
    <cellStyle name="20% - 강조색2 14 2" xfId="923" xr:uid="{00000000-0005-0000-0000-000089000000}"/>
    <cellStyle name="20% - 강조색2 14 3" xfId="641" xr:uid="{00000000-0005-0000-0000-00008A000000}"/>
    <cellStyle name="20% - 강조색2 15" xfId="369" xr:uid="{00000000-0005-0000-0000-00008B000000}"/>
    <cellStyle name="20% - 강조색2 15 2" xfId="937" xr:uid="{00000000-0005-0000-0000-00008C000000}"/>
    <cellStyle name="20% - 강조색2 15 3" xfId="655" xr:uid="{00000000-0005-0000-0000-00008D000000}"/>
    <cellStyle name="20% - 강조색2 16" xfId="383" xr:uid="{00000000-0005-0000-0000-00008E000000}"/>
    <cellStyle name="20% - 강조색2 16 2" xfId="951" xr:uid="{00000000-0005-0000-0000-00008F000000}"/>
    <cellStyle name="20% - 강조색2 16 3" xfId="669" xr:uid="{00000000-0005-0000-0000-000090000000}"/>
    <cellStyle name="20% - 강조색2 17" xfId="397" xr:uid="{00000000-0005-0000-0000-000091000000}"/>
    <cellStyle name="20% - 강조색2 17 2" xfId="965" xr:uid="{00000000-0005-0000-0000-000092000000}"/>
    <cellStyle name="20% - 강조색2 17 3" xfId="683" xr:uid="{00000000-0005-0000-0000-000093000000}"/>
    <cellStyle name="20% - 강조색2 18" xfId="411" xr:uid="{00000000-0005-0000-0000-000094000000}"/>
    <cellStyle name="20% - 강조색2 18 2" xfId="979" xr:uid="{00000000-0005-0000-0000-000095000000}"/>
    <cellStyle name="20% - 강조색2 18 3" xfId="697" xr:uid="{00000000-0005-0000-0000-000096000000}"/>
    <cellStyle name="20% - 강조색2 19" xfId="425" xr:uid="{00000000-0005-0000-0000-000097000000}"/>
    <cellStyle name="20% - 강조색2 19 2" xfId="993" xr:uid="{00000000-0005-0000-0000-000098000000}"/>
    <cellStyle name="20% - 강조색2 19 3" xfId="711" xr:uid="{00000000-0005-0000-0000-000099000000}"/>
    <cellStyle name="20% - 강조색2 2" xfId="5" xr:uid="{00000000-0005-0000-0000-00009A000000}"/>
    <cellStyle name="20% - 강조색2 20" xfId="439" xr:uid="{00000000-0005-0000-0000-00009B000000}"/>
    <cellStyle name="20% - 강조색2 20 2" xfId="1007" xr:uid="{00000000-0005-0000-0000-00009C000000}"/>
    <cellStyle name="20% - 강조색2 20 3" xfId="725" xr:uid="{00000000-0005-0000-0000-00009D000000}"/>
    <cellStyle name="20% - 강조색2 21" xfId="453" xr:uid="{00000000-0005-0000-0000-00009E000000}"/>
    <cellStyle name="20% - 강조색2 21 2" xfId="1021" xr:uid="{00000000-0005-0000-0000-00009F000000}"/>
    <cellStyle name="20% - 강조색2 21 3" xfId="739" xr:uid="{00000000-0005-0000-0000-0000A0000000}"/>
    <cellStyle name="20% - 강조색2 22" xfId="467" xr:uid="{00000000-0005-0000-0000-0000A1000000}"/>
    <cellStyle name="20% - 강조색2 22 2" xfId="1035" xr:uid="{00000000-0005-0000-0000-0000A2000000}"/>
    <cellStyle name="20% - 강조색2 22 3" xfId="753" xr:uid="{00000000-0005-0000-0000-0000A3000000}"/>
    <cellStyle name="20% - 강조색2 23" xfId="481" xr:uid="{00000000-0005-0000-0000-0000A4000000}"/>
    <cellStyle name="20% - 강조색2 23 2" xfId="1049" xr:uid="{00000000-0005-0000-0000-0000A5000000}"/>
    <cellStyle name="20% - 강조색2 23 3" xfId="767" xr:uid="{00000000-0005-0000-0000-0000A6000000}"/>
    <cellStyle name="20% - 강조색2 24" xfId="495" xr:uid="{00000000-0005-0000-0000-0000A7000000}"/>
    <cellStyle name="20% - 강조색2 24 2" xfId="1063" xr:uid="{00000000-0005-0000-0000-0000A8000000}"/>
    <cellStyle name="20% - 강조색2 24 3" xfId="781" xr:uid="{00000000-0005-0000-0000-0000A9000000}"/>
    <cellStyle name="20% - 강조색2 25" xfId="511" xr:uid="{00000000-0005-0000-0000-0000AA000000}"/>
    <cellStyle name="20% - 강조색2 25 2" xfId="797" xr:uid="{00000000-0005-0000-0000-0000AB000000}"/>
    <cellStyle name="20% - 강조색2 26" xfId="809" xr:uid="{00000000-0005-0000-0000-0000AC000000}"/>
    <cellStyle name="20% - 강조색2 27" xfId="525" xr:uid="{00000000-0005-0000-0000-0000AD000000}"/>
    <cellStyle name="20% - 강조색2 28" xfId="1077" xr:uid="{00000000-0005-0000-0000-0000AE000000}"/>
    <cellStyle name="20% - 강조색2 29" xfId="1091" xr:uid="{00000000-0005-0000-0000-0000AF000000}"/>
    <cellStyle name="20% - 강조색2 3" xfId="6" xr:uid="{00000000-0005-0000-0000-0000B0000000}"/>
    <cellStyle name="20% - 강조색2 30" xfId="1105" xr:uid="{00000000-0005-0000-0000-0000B1000000}"/>
    <cellStyle name="20% - 강조색2 31" xfId="1119" xr:uid="{00000000-0005-0000-0000-0000B2000000}"/>
    <cellStyle name="20% - 강조색2 32" xfId="1133" xr:uid="{00000000-0005-0000-0000-0000B3000000}"/>
    <cellStyle name="20% - 강조색2 33" xfId="1147" xr:uid="{00000000-0005-0000-0000-0000B4000000}"/>
    <cellStyle name="20% - 강조색2 34" xfId="1161" xr:uid="{00000000-0005-0000-0000-0000B5000000}"/>
    <cellStyle name="20% - 강조색2 35" xfId="1175" xr:uid="{00000000-0005-0000-0000-0000B6000000}"/>
    <cellStyle name="20% - 강조색2 36" xfId="1189" xr:uid="{00000000-0005-0000-0000-0000B7000000}"/>
    <cellStyle name="20% - 강조색2 37" xfId="1203" xr:uid="{00000000-0005-0000-0000-0000B8000000}"/>
    <cellStyle name="20% - 강조색2 38" xfId="1217" xr:uid="{00000000-0005-0000-0000-0000B9000000}"/>
    <cellStyle name="20% - 강조색2 39" xfId="1231" xr:uid="{00000000-0005-0000-0000-0000BA000000}"/>
    <cellStyle name="20% - 강조색2 4" xfId="7" xr:uid="{00000000-0005-0000-0000-0000BB000000}"/>
    <cellStyle name="20% - 강조색2 40" xfId="1245" xr:uid="{00000000-0005-0000-0000-0000BC000000}"/>
    <cellStyle name="20% - 강조색2 41" xfId="1259" xr:uid="{00000000-0005-0000-0000-0000BD000000}"/>
    <cellStyle name="20% - 강조색2 42" xfId="1273" xr:uid="{00000000-0005-0000-0000-0000BE000000}"/>
    <cellStyle name="20% - 강조색2 43" xfId="1287" xr:uid="{00000000-0005-0000-0000-0000BF000000}"/>
    <cellStyle name="20% - 강조색2 44" xfId="1301" xr:uid="{00000000-0005-0000-0000-0000C0000000}"/>
    <cellStyle name="20% - 강조색2 45" xfId="1315" xr:uid="{00000000-0005-0000-0000-0000C1000000}"/>
    <cellStyle name="20% - 강조색2 46" xfId="1329" xr:uid="{00000000-0005-0000-0000-0000C2000000}"/>
    <cellStyle name="20% - 강조색2 47" xfId="1343" xr:uid="{00000000-0005-0000-0000-0000C3000000}"/>
    <cellStyle name="20% - 강조색2 48" xfId="1357" xr:uid="{00000000-0005-0000-0000-0000C4000000}"/>
    <cellStyle name="20% - 강조색2 49" xfId="1371" xr:uid="{00000000-0005-0000-0000-0000C5000000}"/>
    <cellStyle name="20% - 강조색2 5" xfId="8" xr:uid="{00000000-0005-0000-0000-0000C6000000}"/>
    <cellStyle name="20% - 강조색2 50" xfId="1385" xr:uid="{00000000-0005-0000-0000-0000C7000000}"/>
    <cellStyle name="20% - 강조색2 51" xfId="1399" xr:uid="{00000000-0005-0000-0000-0000C8000000}"/>
    <cellStyle name="20% - 강조색2 52" xfId="1413" xr:uid="{00000000-0005-0000-0000-0000C9000000}"/>
    <cellStyle name="20% - 강조색2 53" xfId="1428" xr:uid="{00000000-0005-0000-0000-0000CA000000}"/>
    <cellStyle name="20% - 강조색2 54" xfId="1442" xr:uid="{00000000-0005-0000-0000-0000CB000000}"/>
    <cellStyle name="20% - 강조색2 55" xfId="1456" xr:uid="{00000000-0005-0000-0000-0000CC000000}"/>
    <cellStyle name="20% - 강조색2 56" xfId="1470" xr:uid="{00000000-0005-0000-0000-0000CD000000}"/>
    <cellStyle name="20% - 강조색2 57" xfId="1484" xr:uid="{00000000-0005-0000-0000-0000CE000000}"/>
    <cellStyle name="20% - 강조색2 58" xfId="1498" xr:uid="{00000000-0005-0000-0000-0000CF000000}"/>
    <cellStyle name="20% - 강조색2 59" xfId="1512" xr:uid="{00000000-0005-0000-0000-0000D0000000}"/>
    <cellStyle name="20% - 강조색2 6" xfId="213" xr:uid="{00000000-0005-0000-0000-0000D1000000}"/>
    <cellStyle name="20% - 강조색2 6 2" xfId="823" xr:uid="{00000000-0005-0000-0000-0000D2000000}"/>
    <cellStyle name="20% - 강조색2 6 3" xfId="541" xr:uid="{00000000-0005-0000-0000-0000D3000000}"/>
    <cellStyle name="20% - 강조색2 60" xfId="1526" xr:uid="{00000000-0005-0000-0000-0000D4000000}"/>
    <cellStyle name="20% - 강조색2 61" xfId="1540" xr:uid="{00000000-0005-0000-0000-0000D5000000}"/>
    <cellStyle name="20% - 강조색2 62" xfId="1554" xr:uid="{00000000-0005-0000-0000-0000D6000000}"/>
    <cellStyle name="20% - 강조색2 63" xfId="1568" xr:uid="{00000000-0005-0000-0000-0000D7000000}"/>
    <cellStyle name="20% - 강조색2 64" xfId="1582" xr:uid="{00000000-0005-0000-0000-0000D8000000}"/>
    <cellStyle name="20% - 강조색2 65" xfId="1596" xr:uid="{00000000-0005-0000-0000-0000D9000000}"/>
    <cellStyle name="20% - 강조색2 66" xfId="1610" xr:uid="{00000000-0005-0000-0000-0000DA000000}"/>
    <cellStyle name="20% - 강조색2 67" xfId="1624" xr:uid="{00000000-0005-0000-0000-0000DB000000}"/>
    <cellStyle name="20% - 강조색2 68" xfId="1638" xr:uid="{00000000-0005-0000-0000-0000DC000000}"/>
    <cellStyle name="20% - 강조색2 69" xfId="1652" xr:uid="{00000000-0005-0000-0000-0000DD000000}"/>
    <cellStyle name="20% - 강조색2 7" xfId="230" xr:uid="{00000000-0005-0000-0000-0000DE000000}"/>
    <cellStyle name="20% - 강조색2 7 2" xfId="839" xr:uid="{00000000-0005-0000-0000-0000DF000000}"/>
    <cellStyle name="20% - 강조색2 7 3" xfId="557" xr:uid="{00000000-0005-0000-0000-0000E0000000}"/>
    <cellStyle name="20% - 강조색2 70" xfId="1666" xr:uid="{00000000-0005-0000-0000-0000E1000000}"/>
    <cellStyle name="20% - 강조색2 71" xfId="1680" xr:uid="{00000000-0005-0000-0000-0000E2000000}"/>
    <cellStyle name="20% - 강조색2 72" xfId="1694" xr:uid="{00000000-0005-0000-0000-0000E3000000}"/>
    <cellStyle name="20% - 강조색2 73" xfId="1708" xr:uid="{00000000-0005-0000-0000-0000E4000000}"/>
    <cellStyle name="20% - 강조색2 74" xfId="1722" xr:uid="{00000000-0005-0000-0000-0000E5000000}"/>
    <cellStyle name="20% - 강조색2 75" xfId="1738" xr:uid="{00000000-0005-0000-0000-0000E6000000}"/>
    <cellStyle name="20% - 강조색2 76" xfId="1758" xr:uid="{00000000-0005-0000-0000-0000E7000000}"/>
    <cellStyle name="20% - 강조색2 77" xfId="1778" xr:uid="{00000000-0005-0000-0000-0000E8000000}"/>
    <cellStyle name="20% - 강조색2 78" xfId="1799" xr:uid="{00000000-0005-0000-0000-0000E9000000}"/>
    <cellStyle name="20% - 강조색2 79" xfId="1818" xr:uid="{00000000-0005-0000-0000-0000EA000000}"/>
    <cellStyle name="20% - 강조색2 8" xfId="244" xr:uid="{00000000-0005-0000-0000-0000EB000000}"/>
    <cellStyle name="20% - 강조색2 8 2" xfId="853" xr:uid="{00000000-0005-0000-0000-0000EC000000}"/>
    <cellStyle name="20% - 강조색2 8 3" xfId="571" xr:uid="{00000000-0005-0000-0000-0000ED000000}"/>
    <cellStyle name="20% - 강조색2 80" xfId="1832" xr:uid="{00000000-0005-0000-0000-0000EE000000}"/>
    <cellStyle name="20% - 강조색2 81" xfId="1846" xr:uid="{00000000-0005-0000-0000-0000EF000000}"/>
    <cellStyle name="20% - 강조색2 82" xfId="1860" xr:uid="{00000000-0005-0000-0000-0000F0000000}"/>
    <cellStyle name="20% - 강조색2 83" xfId="1874" xr:uid="{00000000-0005-0000-0000-0000F1000000}"/>
    <cellStyle name="20% - 강조색2 84" xfId="1888" xr:uid="{00000000-0005-0000-0000-0000F2000000}"/>
    <cellStyle name="20% - 강조색2 85" xfId="1902" xr:uid="{00000000-0005-0000-0000-0000F3000000}"/>
    <cellStyle name="20% - 강조색2 86" xfId="1916" xr:uid="{00000000-0005-0000-0000-0000F4000000}"/>
    <cellStyle name="20% - 강조색2 87" xfId="1931" xr:uid="{00000000-0005-0000-0000-0000F5000000}"/>
    <cellStyle name="20% - 강조색2 88" xfId="1945" xr:uid="{00000000-0005-0000-0000-0000F6000000}"/>
    <cellStyle name="20% - 강조색2 9" xfId="258" xr:uid="{00000000-0005-0000-0000-0000F7000000}"/>
    <cellStyle name="20% - 강조색2 9 2" xfId="867" xr:uid="{00000000-0005-0000-0000-0000F8000000}"/>
    <cellStyle name="20% - 강조색2 9 3" xfId="585" xr:uid="{00000000-0005-0000-0000-0000F9000000}"/>
    <cellStyle name="20% - 강조색3" xfId="194" builtinId="38" customBuiltin="1"/>
    <cellStyle name="20% - 강조색3 10" xfId="294" xr:uid="{00000000-0005-0000-0000-0000FB000000}"/>
    <cellStyle name="20% - 강조색3 10 2" xfId="883" xr:uid="{00000000-0005-0000-0000-0000FC000000}"/>
    <cellStyle name="20% - 강조색3 10 3" xfId="601" xr:uid="{00000000-0005-0000-0000-0000FD000000}"/>
    <cellStyle name="20% - 강조색3 11" xfId="315" xr:uid="{00000000-0005-0000-0000-0000FE000000}"/>
    <cellStyle name="20% - 강조색3 12" xfId="329" xr:uid="{00000000-0005-0000-0000-0000FF000000}"/>
    <cellStyle name="20% - 강조색3 12 2" xfId="897" xr:uid="{00000000-0005-0000-0000-000000010000}"/>
    <cellStyle name="20% - 강조색3 12 3" xfId="615" xr:uid="{00000000-0005-0000-0000-000001010000}"/>
    <cellStyle name="20% - 강조색3 13" xfId="343" xr:uid="{00000000-0005-0000-0000-000002010000}"/>
    <cellStyle name="20% - 강조색3 13 2" xfId="911" xr:uid="{00000000-0005-0000-0000-000003010000}"/>
    <cellStyle name="20% - 강조색3 13 3" xfId="629" xr:uid="{00000000-0005-0000-0000-000004010000}"/>
    <cellStyle name="20% - 강조색3 14" xfId="357" xr:uid="{00000000-0005-0000-0000-000005010000}"/>
    <cellStyle name="20% - 강조색3 14 2" xfId="925" xr:uid="{00000000-0005-0000-0000-000006010000}"/>
    <cellStyle name="20% - 강조색3 14 3" xfId="643" xr:uid="{00000000-0005-0000-0000-000007010000}"/>
    <cellStyle name="20% - 강조색3 15" xfId="371" xr:uid="{00000000-0005-0000-0000-000008010000}"/>
    <cellStyle name="20% - 강조색3 15 2" xfId="939" xr:uid="{00000000-0005-0000-0000-000009010000}"/>
    <cellStyle name="20% - 강조색3 15 3" xfId="657" xr:uid="{00000000-0005-0000-0000-00000A010000}"/>
    <cellStyle name="20% - 강조색3 16" xfId="385" xr:uid="{00000000-0005-0000-0000-00000B010000}"/>
    <cellStyle name="20% - 강조색3 16 2" xfId="953" xr:uid="{00000000-0005-0000-0000-00000C010000}"/>
    <cellStyle name="20% - 강조색3 16 3" xfId="671" xr:uid="{00000000-0005-0000-0000-00000D010000}"/>
    <cellStyle name="20% - 강조색3 17" xfId="399" xr:uid="{00000000-0005-0000-0000-00000E010000}"/>
    <cellStyle name="20% - 강조색3 17 2" xfId="967" xr:uid="{00000000-0005-0000-0000-00000F010000}"/>
    <cellStyle name="20% - 강조색3 17 3" xfId="685" xr:uid="{00000000-0005-0000-0000-000010010000}"/>
    <cellStyle name="20% - 강조색3 18" xfId="413" xr:uid="{00000000-0005-0000-0000-000011010000}"/>
    <cellStyle name="20% - 강조색3 18 2" xfId="981" xr:uid="{00000000-0005-0000-0000-000012010000}"/>
    <cellStyle name="20% - 강조색3 18 3" xfId="699" xr:uid="{00000000-0005-0000-0000-000013010000}"/>
    <cellStyle name="20% - 강조색3 19" xfId="427" xr:uid="{00000000-0005-0000-0000-000014010000}"/>
    <cellStyle name="20% - 강조색3 19 2" xfId="995" xr:uid="{00000000-0005-0000-0000-000015010000}"/>
    <cellStyle name="20% - 강조색3 19 3" xfId="713" xr:uid="{00000000-0005-0000-0000-000016010000}"/>
    <cellStyle name="20% - 강조색3 2" xfId="9" xr:uid="{00000000-0005-0000-0000-000017010000}"/>
    <cellStyle name="20% - 강조색3 20" xfId="441" xr:uid="{00000000-0005-0000-0000-000018010000}"/>
    <cellStyle name="20% - 강조색3 20 2" xfId="1009" xr:uid="{00000000-0005-0000-0000-000019010000}"/>
    <cellStyle name="20% - 강조색3 20 3" xfId="727" xr:uid="{00000000-0005-0000-0000-00001A010000}"/>
    <cellStyle name="20% - 강조색3 21" xfId="455" xr:uid="{00000000-0005-0000-0000-00001B010000}"/>
    <cellStyle name="20% - 강조색3 21 2" xfId="1023" xr:uid="{00000000-0005-0000-0000-00001C010000}"/>
    <cellStyle name="20% - 강조색3 21 3" xfId="741" xr:uid="{00000000-0005-0000-0000-00001D010000}"/>
    <cellStyle name="20% - 강조색3 22" xfId="469" xr:uid="{00000000-0005-0000-0000-00001E010000}"/>
    <cellStyle name="20% - 강조색3 22 2" xfId="1037" xr:uid="{00000000-0005-0000-0000-00001F010000}"/>
    <cellStyle name="20% - 강조색3 22 3" xfId="755" xr:uid="{00000000-0005-0000-0000-000020010000}"/>
    <cellStyle name="20% - 강조색3 23" xfId="483" xr:uid="{00000000-0005-0000-0000-000021010000}"/>
    <cellStyle name="20% - 강조색3 23 2" xfId="1051" xr:uid="{00000000-0005-0000-0000-000022010000}"/>
    <cellStyle name="20% - 강조색3 23 3" xfId="769" xr:uid="{00000000-0005-0000-0000-000023010000}"/>
    <cellStyle name="20% - 강조색3 24" xfId="497" xr:uid="{00000000-0005-0000-0000-000024010000}"/>
    <cellStyle name="20% - 강조색3 24 2" xfId="1065" xr:uid="{00000000-0005-0000-0000-000025010000}"/>
    <cellStyle name="20% - 강조색3 24 3" xfId="783" xr:uid="{00000000-0005-0000-0000-000026010000}"/>
    <cellStyle name="20% - 강조색3 25" xfId="513" xr:uid="{00000000-0005-0000-0000-000027010000}"/>
    <cellStyle name="20% - 강조색3 25 2" xfId="799" xr:uid="{00000000-0005-0000-0000-000028010000}"/>
    <cellStyle name="20% - 강조색3 26" xfId="811" xr:uid="{00000000-0005-0000-0000-000029010000}"/>
    <cellStyle name="20% - 강조색3 27" xfId="527" xr:uid="{00000000-0005-0000-0000-00002A010000}"/>
    <cellStyle name="20% - 강조색3 28" xfId="1079" xr:uid="{00000000-0005-0000-0000-00002B010000}"/>
    <cellStyle name="20% - 강조색3 29" xfId="1093" xr:uid="{00000000-0005-0000-0000-00002C010000}"/>
    <cellStyle name="20% - 강조색3 3" xfId="10" xr:uid="{00000000-0005-0000-0000-00002D010000}"/>
    <cellStyle name="20% - 강조색3 30" xfId="1107" xr:uid="{00000000-0005-0000-0000-00002E010000}"/>
    <cellStyle name="20% - 강조색3 31" xfId="1121" xr:uid="{00000000-0005-0000-0000-00002F010000}"/>
    <cellStyle name="20% - 강조색3 32" xfId="1135" xr:uid="{00000000-0005-0000-0000-000030010000}"/>
    <cellStyle name="20% - 강조색3 33" xfId="1149" xr:uid="{00000000-0005-0000-0000-000031010000}"/>
    <cellStyle name="20% - 강조색3 34" xfId="1163" xr:uid="{00000000-0005-0000-0000-000032010000}"/>
    <cellStyle name="20% - 강조색3 35" xfId="1177" xr:uid="{00000000-0005-0000-0000-000033010000}"/>
    <cellStyle name="20% - 강조색3 36" xfId="1191" xr:uid="{00000000-0005-0000-0000-000034010000}"/>
    <cellStyle name="20% - 강조색3 37" xfId="1205" xr:uid="{00000000-0005-0000-0000-000035010000}"/>
    <cellStyle name="20% - 강조색3 38" xfId="1219" xr:uid="{00000000-0005-0000-0000-000036010000}"/>
    <cellStyle name="20% - 강조색3 39" xfId="1233" xr:uid="{00000000-0005-0000-0000-000037010000}"/>
    <cellStyle name="20% - 강조색3 4" xfId="11" xr:uid="{00000000-0005-0000-0000-000038010000}"/>
    <cellStyle name="20% - 강조색3 40" xfId="1247" xr:uid="{00000000-0005-0000-0000-000039010000}"/>
    <cellStyle name="20% - 강조색3 41" xfId="1261" xr:uid="{00000000-0005-0000-0000-00003A010000}"/>
    <cellStyle name="20% - 강조색3 42" xfId="1275" xr:uid="{00000000-0005-0000-0000-00003B010000}"/>
    <cellStyle name="20% - 강조색3 43" xfId="1289" xr:uid="{00000000-0005-0000-0000-00003C010000}"/>
    <cellStyle name="20% - 강조색3 44" xfId="1303" xr:uid="{00000000-0005-0000-0000-00003D010000}"/>
    <cellStyle name="20% - 강조색3 45" xfId="1317" xr:uid="{00000000-0005-0000-0000-00003E010000}"/>
    <cellStyle name="20% - 강조색3 46" xfId="1331" xr:uid="{00000000-0005-0000-0000-00003F010000}"/>
    <cellStyle name="20% - 강조색3 47" xfId="1345" xr:uid="{00000000-0005-0000-0000-000040010000}"/>
    <cellStyle name="20% - 강조색3 48" xfId="1359" xr:uid="{00000000-0005-0000-0000-000041010000}"/>
    <cellStyle name="20% - 강조색3 49" xfId="1373" xr:uid="{00000000-0005-0000-0000-000042010000}"/>
    <cellStyle name="20% - 강조색3 5" xfId="12" xr:uid="{00000000-0005-0000-0000-000043010000}"/>
    <cellStyle name="20% - 강조색3 50" xfId="1387" xr:uid="{00000000-0005-0000-0000-000044010000}"/>
    <cellStyle name="20% - 강조색3 51" xfId="1401" xr:uid="{00000000-0005-0000-0000-000045010000}"/>
    <cellStyle name="20% - 강조색3 52" xfId="1415" xr:uid="{00000000-0005-0000-0000-000046010000}"/>
    <cellStyle name="20% - 강조색3 53" xfId="1430" xr:uid="{00000000-0005-0000-0000-000047010000}"/>
    <cellStyle name="20% - 강조색3 54" xfId="1444" xr:uid="{00000000-0005-0000-0000-000048010000}"/>
    <cellStyle name="20% - 강조색3 55" xfId="1458" xr:uid="{00000000-0005-0000-0000-000049010000}"/>
    <cellStyle name="20% - 강조색3 56" xfId="1472" xr:uid="{00000000-0005-0000-0000-00004A010000}"/>
    <cellStyle name="20% - 강조색3 57" xfId="1486" xr:uid="{00000000-0005-0000-0000-00004B010000}"/>
    <cellStyle name="20% - 강조색3 58" xfId="1500" xr:uid="{00000000-0005-0000-0000-00004C010000}"/>
    <cellStyle name="20% - 강조색3 59" xfId="1514" xr:uid="{00000000-0005-0000-0000-00004D010000}"/>
    <cellStyle name="20% - 강조색3 6" xfId="215" xr:uid="{00000000-0005-0000-0000-00004E010000}"/>
    <cellStyle name="20% - 강조색3 6 2" xfId="825" xr:uid="{00000000-0005-0000-0000-00004F010000}"/>
    <cellStyle name="20% - 강조색3 6 3" xfId="543" xr:uid="{00000000-0005-0000-0000-000050010000}"/>
    <cellStyle name="20% - 강조색3 60" xfId="1528" xr:uid="{00000000-0005-0000-0000-000051010000}"/>
    <cellStyle name="20% - 강조색3 61" xfId="1542" xr:uid="{00000000-0005-0000-0000-000052010000}"/>
    <cellStyle name="20% - 강조색3 62" xfId="1556" xr:uid="{00000000-0005-0000-0000-000053010000}"/>
    <cellStyle name="20% - 강조색3 63" xfId="1570" xr:uid="{00000000-0005-0000-0000-000054010000}"/>
    <cellStyle name="20% - 강조색3 64" xfId="1584" xr:uid="{00000000-0005-0000-0000-000055010000}"/>
    <cellStyle name="20% - 강조색3 65" xfId="1598" xr:uid="{00000000-0005-0000-0000-000056010000}"/>
    <cellStyle name="20% - 강조색3 66" xfId="1612" xr:uid="{00000000-0005-0000-0000-000057010000}"/>
    <cellStyle name="20% - 강조색3 67" xfId="1626" xr:uid="{00000000-0005-0000-0000-000058010000}"/>
    <cellStyle name="20% - 강조색3 68" xfId="1640" xr:uid="{00000000-0005-0000-0000-000059010000}"/>
    <cellStyle name="20% - 강조색3 69" xfId="1654" xr:uid="{00000000-0005-0000-0000-00005A010000}"/>
    <cellStyle name="20% - 강조색3 7" xfId="232" xr:uid="{00000000-0005-0000-0000-00005B010000}"/>
    <cellStyle name="20% - 강조색3 7 2" xfId="841" xr:uid="{00000000-0005-0000-0000-00005C010000}"/>
    <cellStyle name="20% - 강조색3 7 3" xfId="559" xr:uid="{00000000-0005-0000-0000-00005D010000}"/>
    <cellStyle name="20% - 강조색3 70" xfId="1668" xr:uid="{00000000-0005-0000-0000-00005E010000}"/>
    <cellStyle name="20% - 강조색3 71" xfId="1682" xr:uid="{00000000-0005-0000-0000-00005F010000}"/>
    <cellStyle name="20% - 강조색3 72" xfId="1696" xr:uid="{00000000-0005-0000-0000-000060010000}"/>
    <cellStyle name="20% - 강조색3 73" xfId="1710" xr:uid="{00000000-0005-0000-0000-000061010000}"/>
    <cellStyle name="20% - 강조색3 74" xfId="1724" xr:uid="{00000000-0005-0000-0000-000062010000}"/>
    <cellStyle name="20% - 강조색3 75" xfId="1741" xr:uid="{00000000-0005-0000-0000-000063010000}"/>
    <cellStyle name="20% - 강조색3 76" xfId="1761" xr:uid="{00000000-0005-0000-0000-000064010000}"/>
    <cellStyle name="20% - 강조색3 77" xfId="1781" xr:uid="{00000000-0005-0000-0000-000065010000}"/>
    <cellStyle name="20% - 강조색3 78" xfId="1802" xr:uid="{00000000-0005-0000-0000-000066010000}"/>
    <cellStyle name="20% - 강조색3 79" xfId="1820" xr:uid="{00000000-0005-0000-0000-000067010000}"/>
    <cellStyle name="20% - 강조색3 8" xfId="246" xr:uid="{00000000-0005-0000-0000-000068010000}"/>
    <cellStyle name="20% - 강조색3 8 2" xfId="855" xr:uid="{00000000-0005-0000-0000-000069010000}"/>
    <cellStyle name="20% - 강조색3 8 3" xfId="573" xr:uid="{00000000-0005-0000-0000-00006A010000}"/>
    <cellStyle name="20% - 강조색3 80" xfId="1834" xr:uid="{00000000-0005-0000-0000-00006B010000}"/>
    <cellStyle name="20% - 강조색3 81" xfId="1848" xr:uid="{00000000-0005-0000-0000-00006C010000}"/>
    <cellStyle name="20% - 강조색3 82" xfId="1862" xr:uid="{00000000-0005-0000-0000-00006D010000}"/>
    <cellStyle name="20% - 강조색3 83" xfId="1876" xr:uid="{00000000-0005-0000-0000-00006E010000}"/>
    <cellStyle name="20% - 강조색3 84" xfId="1890" xr:uid="{00000000-0005-0000-0000-00006F010000}"/>
    <cellStyle name="20% - 강조색3 85" xfId="1904" xr:uid="{00000000-0005-0000-0000-000070010000}"/>
    <cellStyle name="20% - 강조색3 86" xfId="1918" xr:uid="{00000000-0005-0000-0000-000071010000}"/>
    <cellStyle name="20% - 강조색3 87" xfId="1933" xr:uid="{00000000-0005-0000-0000-000072010000}"/>
    <cellStyle name="20% - 강조색3 88" xfId="1947" xr:uid="{00000000-0005-0000-0000-000073010000}"/>
    <cellStyle name="20% - 강조색3 9" xfId="260" xr:uid="{00000000-0005-0000-0000-000074010000}"/>
    <cellStyle name="20% - 강조색3 9 2" xfId="869" xr:uid="{00000000-0005-0000-0000-000075010000}"/>
    <cellStyle name="20% - 강조색3 9 3" xfId="587" xr:uid="{00000000-0005-0000-0000-000076010000}"/>
    <cellStyle name="20% - 강조색4" xfId="198" builtinId="42" customBuiltin="1"/>
    <cellStyle name="20% - 강조색4 10" xfId="298" xr:uid="{00000000-0005-0000-0000-000078010000}"/>
    <cellStyle name="20% - 강조색4 10 2" xfId="885" xr:uid="{00000000-0005-0000-0000-000079010000}"/>
    <cellStyle name="20% - 강조색4 10 3" xfId="603" xr:uid="{00000000-0005-0000-0000-00007A010000}"/>
    <cellStyle name="20% - 강조색4 11" xfId="317" xr:uid="{00000000-0005-0000-0000-00007B010000}"/>
    <cellStyle name="20% - 강조색4 12" xfId="331" xr:uid="{00000000-0005-0000-0000-00007C010000}"/>
    <cellStyle name="20% - 강조색4 12 2" xfId="899" xr:uid="{00000000-0005-0000-0000-00007D010000}"/>
    <cellStyle name="20% - 강조색4 12 3" xfId="617" xr:uid="{00000000-0005-0000-0000-00007E010000}"/>
    <cellStyle name="20% - 강조색4 13" xfId="345" xr:uid="{00000000-0005-0000-0000-00007F010000}"/>
    <cellStyle name="20% - 강조색4 13 2" xfId="913" xr:uid="{00000000-0005-0000-0000-000080010000}"/>
    <cellStyle name="20% - 강조색4 13 3" xfId="631" xr:uid="{00000000-0005-0000-0000-000081010000}"/>
    <cellStyle name="20% - 강조색4 14" xfId="359" xr:uid="{00000000-0005-0000-0000-000082010000}"/>
    <cellStyle name="20% - 강조색4 14 2" xfId="927" xr:uid="{00000000-0005-0000-0000-000083010000}"/>
    <cellStyle name="20% - 강조색4 14 3" xfId="645" xr:uid="{00000000-0005-0000-0000-000084010000}"/>
    <cellStyle name="20% - 강조색4 15" xfId="373" xr:uid="{00000000-0005-0000-0000-000085010000}"/>
    <cellStyle name="20% - 강조색4 15 2" xfId="941" xr:uid="{00000000-0005-0000-0000-000086010000}"/>
    <cellStyle name="20% - 강조색4 15 3" xfId="659" xr:uid="{00000000-0005-0000-0000-000087010000}"/>
    <cellStyle name="20% - 강조색4 16" xfId="387" xr:uid="{00000000-0005-0000-0000-000088010000}"/>
    <cellStyle name="20% - 강조색4 16 2" xfId="955" xr:uid="{00000000-0005-0000-0000-000089010000}"/>
    <cellStyle name="20% - 강조색4 16 3" xfId="673" xr:uid="{00000000-0005-0000-0000-00008A010000}"/>
    <cellStyle name="20% - 강조색4 17" xfId="401" xr:uid="{00000000-0005-0000-0000-00008B010000}"/>
    <cellStyle name="20% - 강조색4 17 2" xfId="969" xr:uid="{00000000-0005-0000-0000-00008C010000}"/>
    <cellStyle name="20% - 강조색4 17 3" xfId="687" xr:uid="{00000000-0005-0000-0000-00008D010000}"/>
    <cellStyle name="20% - 강조색4 18" xfId="415" xr:uid="{00000000-0005-0000-0000-00008E010000}"/>
    <cellStyle name="20% - 강조색4 18 2" xfId="983" xr:uid="{00000000-0005-0000-0000-00008F010000}"/>
    <cellStyle name="20% - 강조색4 18 3" xfId="701" xr:uid="{00000000-0005-0000-0000-000090010000}"/>
    <cellStyle name="20% - 강조색4 19" xfId="429" xr:uid="{00000000-0005-0000-0000-000091010000}"/>
    <cellStyle name="20% - 강조색4 19 2" xfId="997" xr:uid="{00000000-0005-0000-0000-000092010000}"/>
    <cellStyle name="20% - 강조색4 19 3" xfId="715" xr:uid="{00000000-0005-0000-0000-000093010000}"/>
    <cellStyle name="20% - 강조색4 2" xfId="13" xr:uid="{00000000-0005-0000-0000-000094010000}"/>
    <cellStyle name="20% - 강조색4 20" xfId="443" xr:uid="{00000000-0005-0000-0000-000095010000}"/>
    <cellStyle name="20% - 강조색4 20 2" xfId="1011" xr:uid="{00000000-0005-0000-0000-000096010000}"/>
    <cellStyle name="20% - 강조색4 20 3" xfId="729" xr:uid="{00000000-0005-0000-0000-000097010000}"/>
    <cellStyle name="20% - 강조색4 21" xfId="457" xr:uid="{00000000-0005-0000-0000-000098010000}"/>
    <cellStyle name="20% - 강조색4 21 2" xfId="1025" xr:uid="{00000000-0005-0000-0000-000099010000}"/>
    <cellStyle name="20% - 강조색4 21 3" xfId="743" xr:uid="{00000000-0005-0000-0000-00009A010000}"/>
    <cellStyle name="20% - 강조색4 22" xfId="471" xr:uid="{00000000-0005-0000-0000-00009B010000}"/>
    <cellStyle name="20% - 강조색4 22 2" xfId="1039" xr:uid="{00000000-0005-0000-0000-00009C010000}"/>
    <cellStyle name="20% - 강조색4 22 3" xfId="757" xr:uid="{00000000-0005-0000-0000-00009D010000}"/>
    <cellStyle name="20% - 강조색4 23" xfId="485" xr:uid="{00000000-0005-0000-0000-00009E010000}"/>
    <cellStyle name="20% - 강조색4 23 2" xfId="1053" xr:uid="{00000000-0005-0000-0000-00009F010000}"/>
    <cellStyle name="20% - 강조색4 23 3" xfId="771" xr:uid="{00000000-0005-0000-0000-0000A0010000}"/>
    <cellStyle name="20% - 강조색4 24" xfId="499" xr:uid="{00000000-0005-0000-0000-0000A1010000}"/>
    <cellStyle name="20% - 강조색4 24 2" xfId="1067" xr:uid="{00000000-0005-0000-0000-0000A2010000}"/>
    <cellStyle name="20% - 강조색4 24 3" xfId="785" xr:uid="{00000000-0005-0000-0000-0000A3010000}"/>
    <cellStyle name="20% - 강조색4 25" xfId="515" xr:uid="{00000000-0005-0000-0000-0000A4010000}"/>
    <cellStyle name="20% - 강조색4 25 2" xfId="801" xr:uid="{00000000-0005-0000-0000-0000A5010000}"/>
    <cellStyle name="20% - 강조색4 26" xfId="813" xr:uid="{00000000-0005-0000-0000-0000A6010000}"/>
    <cellStyle name="20% - 강조색4 27" xfId="529" xr:uid="{00000000-0005-0000-0000-0000A7010000}"/>
    <cellStyle name="20% - 강조색4 28" xfId="1081" xr:uid="{00000000-0005-0000-0000-0000A8010000}"/>
    <cellStyle name="20% - 강조색4 29" xfId="1095" xr:uid="{00000000-0005-0000-0000-0000A9010000}"/>
    <cellStyle name="20% - 강조색4 3" xfId="14" xr:uid="{00000000-0005-0000-0000-0000AA010000}"/>
    <cellStyle name="20% - 강조색4 30" xfId="1109" xr:uid="{00000000-0005-0000-0000-0000AB010000}"/>
    <cellStyle name="20% - 강조색4 31" xfId="1123" xr:uid="{00000000-0005-0000-0000-0000AC010000}"/>
    <cellStyle name="20% - 강조색4 32" xfId="1137" xr:uid="{00000000-0005-0000-0000-0000AD010000}"/>
    <cellStyle name="20% - 강조색4 33" xfId="1151" xr:uid="{00000000-0005-0000-0000-0000AE010000}"/>
    <cellStyle name="20% - 강조색4 34" xfId="1165" xr:uid="{00000000-0005-0000-0000-0000AF010000}"/>
    <cellStyle name="20% - 강조색4 35" xfId="1179" xr:uid="{00000000-0005-0000-0000-0000B0010000}"/>
    <cellStyle name="20% - 강조색4 36" xfId="1193" xr:uid="{00000000-0005-0000-0000-0000B1010000}"/>
    <cellStyle name="20% - 강조색4 37" xfId="1207" xr:uid="{00000000-0005-0000-0000-0000B2010000}"/>
    <cellStyle name="20% - 강조색4 38" xfId="1221" xr:uid="{00000000-0005-0000-0000-0000B3010000}"/>
    <cellStyle name="20% - 강조색4 39" xfId="1235" xr:uid="{00000000-0005-0000-0000-0000B4010000}"/>
    <cellStyle name="20% - 강조색4 4" xfId="15" xr:uid="{00000000-0005-0000-0000-0000B5010000}"/>
    <cellStyle name="20% - 강조색4 40" xfId="1249" xr:uid="{00000000-0005-0000-0000-0000B6010000}"/>
    <cellStyle name="20% - 강조색4 41" xfId="1263" xr:uid="{00000000-0005-0000-0000-0000B7010000}"/>
    <cellStyle name="20% - 강조색4 42" xfId="1277" xr:uid="{00000000-0005-0000-0000-0000B8010000}"/>
    <cellStyle name="20% - 강조색4 43" xfId="1291" xr:uid="{00000000-0005-0000-0000-0000B9010000}"/>
    <cellStyle name="20% - 강조색4 44" xfId="1305" xr:uid="{00000000-0005-0000-0000-0000BA010000}"/>
    <cellStyle name="20% - 강조색4 45" xfId="1319" xr:uid="{00000000-0005-0000-0000-0000BB010000}"/>
    <cellStyle name="20% - 강조색4 46" xfId="1333" xr:uid="{00000000-0005-0000-0000-0000BC010000}"/>
    <cellStyle name="20% - 강조색4 47" xfId="1347" xr:uid="{00000000-0005-0000-0000-0000BD010000}"/>
    <cellStyle name="20% - 강조색4 48" xfId="1361" xr:uid="{00000000-0005-0000-0000-0000BE010000}"/>
    <cellStyle name="20% - 강조색4 49" xfId="1375" xr:uid="{00000000-0005-0000-0000-0000BF010000}"/>
    <cellStyle name="20% - 강조색4 5" xfId="16" xr:uid="{00000000-0005-0000-0000-0000C0010000}"/>
    <cellStyle name="20% - 강조색4 50" xfId="1389" xr:uid="{00000000-0005-0000-0000-0000C1010000}"/>
    <cellStyle name="20% - 강조색4 51" xfId="1403" xr:uid="{00000000-0005-0000-0000-0000C2010000}"/>
    <cellStyle name="20% - 강조색4 52" xfId="1417" xr:uid="{00000000-0005-0000-0000-0000C3010000}"/>
    <cellStyle name="20% - 강조색4 53" xfId="1432" xr:uid="{00000000-0005-0000-0000-0000C4010000}"/>
    <cellStyle name="20% - 강조색4 54" xfId="1446" xr:uid="{00000000-0005-0000-0000-0000C5010000}"/>
    <cellStyle name="20% - 강조색4 55" xfId="1460" xr:uid="{00000000-0005-0000-0000-0000C6010000}"/>
    <cellStyle name="20% - 강조색4 56" xfId="1474" xr:uid="{00000000-0005-0000-0000-0000C7010000}"/>
    <cellStyle name="20% - 강조색4 57" xfId="1488" xr:uid="{00000000-0005-0000-0000-0000C8010000}"/>
    <cellStyle name="20% - 강조색4 58" xfId="1502" xr:uid="{00000000-0005-0000-0000-0000C9010000}"/>
    <cellStyle name="20% - 강조색4 59" xfId="1516" xr:uid="{00000000-0005-0000-0000-0000CA010000}"/>
    <cellStyle name="20% - 강조색4 6" xfId="217" xr:uid="{00000000-0005-0000-0000-0000CB010000}"/>
    <cellStyle name="20% - 강조색4 6 2" xfId="827" xr:uid="{00000000-0005-0000-0000-0000CC010000}"/>
    <cellStyle name="20% - 강조색4 6 3" xfId="545" xr:uid="{00000000-0005-0000-0000-0000CD010000}"/>
    <cellStyle name="20% - 강조색4 60" xfId="1530" xr:uid="{00000000-0005-0000-0000-0000CE010000}"/>
    <cellStyle name="20% - 강조색4 61" xfId="1544" xr:uid="{00000000-0005-0000-0000-0000CF010000}"/>
    <cellStyle name="20% - 강조색4 62" xfId="1558" xr:uid="{00000000-0005-0000-0000-0000D0010000}"/>
    <cellStyle name="20% - 강조색4 63" xfId="1572" xr:uid="{00000000-0005-0000-0000-0000D1010000}"/>
    <cellStyle name="20% - 강조색4 64" xfId="1586" xr:uid="{00000000-0005-0000-0000-0000D2010000}"/>
    <cellStyle name="20% - 강조색4 65" xfId="1600" xr:uid="{00000000-0005-0000-0000-0000D3010000}"/>
    <cellStyle name="20% - 강조색4 66" xfId="1614" xr:uid="{00000000-0005-0000-0000-0000D4010000}"/>
    <cellStyle name="20% - 강조색4 67" xfId="1628" xr:uid="{00000000-0005-0000-0000-0000D5010000}"/>
    <cellStyle name="20% - 강조색4 68" xfId="1642" xr:uid="{00000000-0005-0000-0000-0000D6010000}"/>
    <cellStyle name="20% - 강조색4 69" xfId="1656" xr:uid="{00000000-0005-0000-0000-0000D7010000}"/>
    <cellStyle name="20% - 강조색4 7" xfId="234" xr:uid="{00000000-0005-0000-0000-0000D8010000}"/>
    <cellStyle name="20% - 강조색4 7 2" xfId="843" xr:uid="{00000000-0005-0000-0000-0000D9010000}"/>
    <cellStyle name="20% - 강조색4 7 3" xfId="561" xr:uid="{00000000-0005-0000-0000-0000DA010000}"/>
    <cellStyle name="20% - 강조색4 70" xfId="1670" xr:uid="{00000000-0005-0000-0000-0000DB010000}"/>
    <cellStyle name="20% - 강조색4 71" xfId="1684" xr:uid="{00000000-0005-0000-0000-0000DC010000}"/>
    <cellStyle name="20% - 강조색4 72" xfId="1698" xr:uid="{00000000-0005-0000-0000-0000DD010000}"/>
    <cellStyle name="20% - 강조색4 73" xfId="1712" xr:uid="{00000000-0005-0000-0000-0000DE010000}"/>
    <cellStyle name="20% - 강조색4 74" xfId="1726" xr:uid="{00000000-0005-0000-0000-0000DF010000}"/>
    <cellStyle name="20% - 강조색4 75" xfId="1744" xr:uid="{00000000-0005-0000-0000-0000E0010000}"/>
    <cellStyle name="20% - 강조색4 76" xfId="1764" xr:uid="{00000000-0005-0000-0000-0000E1010000}"/>
    <cellStyle name="20% - 강조색4 77" xfId="1784" xr:uid="{00000000-0005-0000-0000-0000E2010000}"/>
    <cellStyle name="20% - 강조색4 78" xfId="1805" xr:uid="{00000000-0005-0000-0000-0000E3010000}"/>
    <cellStyle name="20% - 강조색4 79" xfId="1822" xr:uid="{00000000-0005-0000-0000-0000E4010000}"/>
    <cellStyle name="20% - 강조색4 8" xfId="248" xr:uid="{00000000-0005-0000-0000-0000E5010000}"/>
    <cellStyle name="20% - 강조색4 8 2" xfId="857" xr:uid="{00000000-0005-0000-0000-0000E6010000}"/>
    <cellStyle name="20% - 강조색4 8 3" xfId="575" xr:uid="{00000000-0005-0000-0000-0000E7010000}"/>
    <cellStyle name="20% - 강조색4 80" xfId="1836" xr:uid="{00000000-0005-0000-0000-0000E8010000}"/>
    <cellStyle name="20% - 강조색4 81" xfId="1850" xr:uid="{00000000-0005-0000-0000-0000E9010000}"/>
    <cellStyle name="20% - 강조색4 82" xfId="1864" xr:uid="{00000000-0005-0000-0000-0000EA010000}"/>
    <cellStyle name="20% - 강조색4 83" xfId="1878" xr:uid="{00000000-0005-0000-0000-0000EB010000}"/>
    <cellStyle name="20% - 강조색4 84" xfId="1892" xr:uid="{00000000-0005-0000-0000-0000EC010000}"/>
    <cellStyle name="20% - 강조색4 85" xfId="1906" xr:uid="{00000000-0005-0000-0000-0000ED010000}"/>
    <cellStyle name="20% - 강조색4 86" xfId="1920" xr:uid="{00000000-0005-0000-0000-0000EE010000}"/>
    <cellStyle name="20% - 강조색4 87" xfId="1935" xr:uid="{00000000-0005-0000-0000-0000EF010000}"/>
    <cellStyle name="20% - 강조색4 88" xfId="1949" xr:uid="{00000000-0005-0000-0000-0000F0010000}"/>
    <cellStyle name="20% - 강조색4 9" xfId="262" xr:uid="{00000000-0005-0000-0000-0000F1010000}"/>
    <cellStyle name="20% - 강조색4 9 2" xfId="871" xr:uid="{00000000-0005-0000-0000-0000F2010000}"/>
    <cellStyle name="20% - 강조색4 9 3" xfId="589" xr:uid="{00000000-0005-0000-0000-0000F3010000}"/>
    <cellStyle name="20% - 강조색5" xfId="202" builtinId="46" customBuiltin="1"/>
    <cellStyle name="20% - 강조색5 10" xfId="302" xr:uid="{00000000-0005-0000-0000-0000F5010000}"/>
    <cellStyle name="20% - 강조색5 10 2" xfId="887" xr:uid="{00000000-0005-0000-0000-0000F6010000}"/>
    <cellStyle name="20% - 강조색5 10 3" xfId="605" xr:uid="{00000000-0005-0000-0000-0000F7010000}"/>
    <cellStyle name="20% - 강조색5 11" xfId="319" xr:uid="{00000000-0005-0000-0000-0000F8010000}"/>
    <cellStyle name="20% - 강조색5 12" xfId="333" xr:uid="{00000000-0005-0000-0000-0000F9010000}"/>
    <cellStyle name="20% - 강조색5 12 2" xfId="901" xr:uid="{00000000-0005-0000-0000-0000FA010000}"/>
    <cellStyle name="20% - 강조색5 12 3" xfId="619" xr:uid="{00000000-0005-0000-0000-0000FB010000}"/>
    <cellStyle name="20% - 강조색5 13" xfId="347" xr:uid="{00000000-0005-0000-0000-0000FC010000}"/>
    <cellStyle name="20% - 강조색5 13 2" xfId="915" xr:uid="{00000000-0005-0000-0000-0000FD010000}"/>
    <cellStyle name="20% - 강조색5 13 3" xfId="633" xr:uid="{00000000-0005-0000-0000-0000FE010000}"/>
    <cellStyle name="20% - 강조색5 14" xfId="361" xr:uid="{00000000-0005-0000-0000-0000FF010000}"/>
    <cellStyle name="20% - 강조색5 14 2" xfId="929" xr:uid="{00000000-0005-0000-0000-000000020000}"/>
    <cellStyle name="20% - 강조색5 14 3" xfId="647" xr:uid="{00000000-0005-0000-0000-000001020000}"/>
    <cellStyle name="20% - 강조색5 15" xfId="375" xr:uid="{00000000-0005-0000-0000-000002020000}"/>
    <cellStyle name="20% - 강조색5 15 2" xfId="943" xr:uid="{00000000-0005-0000-0000-000003020000}"/>
    <cellStyle name="20% - 강조색5 15 3" xfId="661" xr:uid="{00000000-0005-0000-0000-000004020000}"/>
    <cellStyle name="20% - 강조색5 16" xfId="389" xr:uid="{00000000-0005-0000-0000-000005020000}"/>
    <cellStyle name="20% - 강조색5 16 2" xfId="957" xr:uid="{00000000-0005-0000-0000-000006020000}"/>
    <cellStyle name="20% - 강조색5 16 3" xfId="675" xr:uid="{00000000-0005-0000-0000-000007020000}"/>
    <cellStyle name="20% - 강조색5 17" xfId="403" xr:uid="{00000000-0005-0000-0000-000008020000}"/>
    <cellStyle name="20% - 강조색5 17 2" xfId="971" xr:uid="{00000000-0005-0000-0000-000009020000}"/>
    <cellStyle name="20% - 강조색5 17 3" xfId="689" xr:uid="{00000000-0005-0000-0000-00000A020000}"/>
    <cellStyle name="20% - 강조색5 18" xfId="417" xr:uid="{00000000-0005-0000-0000-00000B020000}"/>
    <cellStyle name="20% - 강조색5 18 2" xfId="985" xr:uid="{00000000-0005-0000-0000-00000C020000}"/>
    <cellStyle name="20% - 강조색5 18 3" xfId="703" xr:uid="{00000000-0005-0000-0000-00000D020000}"/>
    <cellStyle name="20% - 강조색5 19" xfId="431" xr:uid="{00000000-0005-0000-0000-00000E020000}"/>
    <cellStyle name="20% - 강조색5 19 2" xfId="999" xr:uid="{00000000-0005-0000-0000-00000F020000}"/>
    <cellStyle name="20% - 강조색5 19 3" xfId="717" xr:uid="{00000000-0005-0000-0000-000010020000}"/>
    <cellStyle name="20% - 강조색5 2" xfId="17" xr:uid="{00000000-0005-0000-0000-000011020000}"/>
    <cellStyle name="20% - 강조색5 20" xfId="445" xr:uid="{00000000-0005-0000-0000-000012020000}"/>
    <cellStyle name="20% - 강조색5 20 2" xfId="1013" xr:uid="{00000000-0005-0000-0000-000013020000}"/>
    <cellStyle name="20% - 강조색5 20 3" xfId="731" xr:uid="{00000000-0005-0000-0000-000014020000}"/>
    <cellStyle name="20% - 강조색5 21" xfId="459" xr:uid="{00000000-0005-0000-0000-000015020000}"/>
    <cellStyle name="20% - 강조색5 21 2" xfId="1027" xr:uid="{00000000-0005-0000-0000-000016020000}"/>
    <cellStyle name="20% - 강조색5 21 3" xfId="745" xr:uid="{00000000-0005-0000-0000-000017020000}"/>
    <cellStyle name="20% - 강조색5 22" xfId="473" xr:uid="{00000000-0005-0000-0000-000018020000}"/>
    <cellStyle name="20% - 강조색5 22 2" xfId="1041" xr:uid="{00000000-0005-0000-0000-000019020000}"/>
    <cellStyle name="20% - 강조색5 22 3" xfId="759" xr:uid="{00000000-0005-0000-0000-00001A020000}"/>
    <cellStyle name="20% - 강조색5 23" xfId="487" xr:uid="{00000000-0005-0000-0000-00001B020000}"/>
    <cellStyle name="20% - 강조색5 23 2" xfId="1055" xr:uid="{00000000-0005-0000-0000-00001C020000}"/>
    <cellStyle name="20% - 강조색5 23 3" xfId="773" xr:uid="{00000000-0005-0000-0000-00001D020000}"/>
    <cellStyle name="20% - 강조색5 24" xfId="501" xr:uid="{00000000-0005-0000-0000-00001E020000}"/>
    <cellStyle name="20% - 강조색5 24 2" xfId="1069" xr:uid="{00000000-0005-0000-0000-00001F020000}"/>
    <cellStyle name="20% - 강조색5 24 3" xfId="787" xr:uid="{00000000-0005-0000-0000-000020020000}"/>
    <cellStyle name="20% - 강조색5 25" xfId="517" xr:uid="{00000000-0005-0000-0000-000021020000}"/>
    <cellStyle name="20% - 강조색5 25 2" xfId="803" xr:uid="{00000000-0005-0000-0000-000022020000}"/>
    <cellStyle name="20% - 강조색5 26" xfId="815" xr:uid="{00000000-0005-0000-0000-000023020000}"/>
    <cellStyle name="20% - 강조색5 27" xfId="531" xr:uid="{00000000-0005-0000-0000-000024020000}"/>
    <cellStyle name="20% - 강조색5 28" xfId="1083" xr:uid="{00000000-0005-0000-0000-000025020000}"/>
    <cellStyle name="20% - 강조색5 29" xfId="1097" xr:uid="{00000000-0005-0000-0000-000026020000}"/>
    <cellStyle name="20% - 강조색5 3" xfId="18" xr:uid="{00000000-0005-0000-0000-000027020000}"/>
    <cellStyle name="20% - 강조색5 30" xfId="1111" xr:uid="{00000000-0005-0000-0000-000028020000}"/>
    <cellStyle name="20% - 강조색5 31" xfId="1125" xr:uid="{00000000-0005-0000-0000-000029020000}"/>
    <cellStyle name="20% - 강조색5 32" xfId="1139" xr:uid="{00000000-0005-0000-0000-00002A020000}"/>
    <cellStyle name="20% - 강조색5 33" xfId="1153" xr:uid="{00000000-0005-0000-0000-00002B020000}"/>
    <cellStyle name="20% - 강조색5 34" xfId="1167" xr:uid="{00000000-0005-0000-0000-00002C020000}"/>
    <cellStyle name="20% - 강조색5 35" xfId="1181" xr:uid="{00000000-0005-0000-0000-00002D020000}"/>
    <cellStyle name="20% - 강조색5 36" xfId="1195" xr:uid="{00000000-0005-0000-0000-00002E020000}"/>
    <cellStyle name="20% - 강조색5 37" xfId="1209" xr:uid="{00000000-0005-0000-0000-00002F020000}"/>
    <cellStyle name="20% - 강조색5 38" xfId="1223" xr:uid="{00000000-0005-0000-0000-000030020000}"/>
    <cellStyle name="20% - 강조색5 39" xfId="1237" xr:uid="{00000000-0005-0000-0000-000031020000}"/>
    <cellStyle name="20% - 강조색5 4" xfId="19" xr:uid="{00000000-0005-0000-0000-000032020000}"/>
    <cellStyle name="20% - 강조색5 40" xfId="1251" xr:uid="{00000000-0005-0000-0000-000033020000}"/>
    <cellStyle name="20% - 강조색5 41" xfId="1265" xr:uid="{00000000-0005-0000-0000-000034020000}"/>
    <cellStyle name="20% - 강조색5 42" xfId="1279" xr:uid="{00000000-0005-0000-0000-000035020000}"/>
    <cellStyle name="20% - 강조색5 43" xfId="1293" xr:uid="{00000000-0005-0000-0000-000036020000}"/>
    <cellStyle name="20% - 강조색5 44" xfId="1307" xr:uid="{00000000-0005-0000-0000-000037020000}"/>
    <cellStyle name="20% - 강조색5 45" xfId="1321" xr:uid="{00000000-0005-0000-0000-000038020000}"/>
    <cellStyle name="20% - 강조색5 46" xfId="1335" xr:uid="{00000000-0005-0000-0000-000039020000}"/>
    <cellStyle name="20% - 강조색5 47" xfId="1349" xr:uid="{00000000-0005-0000-0000-00003A020000}"/>
    <cellStyle name="20% - 강조색5 48" xfId="1363" xr:uid="{00000000-0005-0000-0000-00003B020000}"/>
    <cellStyle name="20% - 강조색5 49" xfId="1377" xr:uid="{00000000-0005-0000-0000-00003C020000}"/>
    <cellStyle name="20% - 강조색5 5" xfId="20" xr:uid="{00000000-0005-0000-0000-00003D020000}"/>
    <cellStyle name="20% - 강조색5 50" xfId="1391" xr:uid="{00000000-0005-0000-0000-00003E020000}"/>
    <cellStyle name="20% - 강조색5 51" xfId="1405" xr:uid="{00000000-0005-0000-0000-00003F020000}"/>
    <cellStyle name="20% - 강조색5 52" xfId="1419" xr:uid="{00000000-0005-0000-0000-000040020000}"/>
    <cellStyle name="20% - 강조색5 53" xfId="1434" xr:uid="{00000000-0005-0000-0000-000041020000}"/>
    <cellStyle name="20% - 강조색5 54" xfId="1448" xr:uid="{00000000-0005-0000-0000-000042020000}"/>
    <cellStyle name="20% - 강조색5 55" xfId="1462" xr:uid="{00000000-0005-0000-0000-000043020000}"/>
    <cellStyle name="20% - 강조색5 56" xfId="1476" xr:uid="{00000000-0005-0000-0000-000044020000}"/>
    <cellStyle name="20% - 강조색5 57" xfId="1490" xr:uid="{00000000-0005-0000-0000-000045020000}"/>
    <cellStyle name="20% - 강조색5 58" xfId="1504" xr:uid="{00000000-0005-0000-0000-000046020000}"/>
    <cellStyle name="20% - 강조색5 59" xfId="1518" xr:uid="{00000000-0005-0000-0000-000047020000}"/>
    <cellStyle name="20% - 강조색5 6" xfId="219" xr:uid="{00000000-0005-0000-0000-000048020000}"/>
    <cellStyle name="20% - 강조색5 6 2" xfId="829" xr:uid="{00000000-0005-0000-0000-000049020000}"/>
    <cellStyle name="20% - 강조색5 6 3" xfId="547" xr:uid="{00000000-0005-0000-0000-00004A020000}"/>
    <cellStyle name="20% - 강조색5 60" xfId="1532" xr:uid="{00000000-0005-0000-0000-00004B020000}"/>
    <cellStyle name="20% - 강조색5 61" xfId="1546" xr:uid="{00000000-0005-0000-0000-00004C020000}"/>
    <cellStyle name="20% - 강조색5 62" xfId="1560" xr:uid="{00000000-0005-0000-0000-00004D020000}"/>
    <cellStyle name="20% - 강조색5 63" xfId="1574" xr:uid="{00000000-0005-0000-0000-00004E020000}"/>
    <cellStyle name="20% - 강조색5 64" xfId="1588" xr:uid="{00000000-0005-0000-0000-00004F020000}"/>
    <cellStyle name="20% - 강조색5 65" xfId="1602" xr:uid="{00000000-0005-0000-0000-000050020000}"/>
    <cellStyle name="20% - 강조색5 66" xfId="1616" xr:uid="{00000000-0005-0000-0000-000051020000}"/>
    <cellStyle name="20% - 강조색5 67" xfId="1630" xr:uid="{00000000-0005-0000-0000-000052020000}"/>
    <cellStyle name="20% - 강조색5 68" xfId="1644" xr:uid="{00000000-0005-0000-0000-000053020000}"/>
    <cellStyle name="20% - 강조색5 69" xfId="1658" xr:uid="{00000000-0005-0000-0000-000054020000}"/>
    <cellStyle name="20% - 강조색5 7" xfId="236" xr:uid="{00000000-0005-0000-0000-000055020000}"/>
    <cellStyle name="20% - 강조색5 7 2" xfId="845" xr:uid="{00000000-0005-0000-0000-000056020000}"/>
    <cellStyle name="20% - 강조색5 7 3" xfId="563" xr:uid="{00000000-0005-0000-0000-000057020000}"/>
    <cellStyle name="20% - 강조색5 70" xfId="1672" xr:uid="{00000000-0005-0000-0000-000058020000}"/>
    <cellStyle name="20% - 강조색5 71" xfId="1686" xr:uid="{00000000-0005-0000-0000-000059020000}"/>
    <cellStyle name="20% - 강조색5 72" xfId="1700" xr:uid="{00000000-0005-0000-0000-00005A020000}"/>
    <cellStyle name="20% - 강조색5 73" xfId="1714" xr:uid="{00000000-0005-0000-0000-00005B020000}"/>
    <cellStyle name="20% - 강조색5 74" xfId="1728" xr:uid="{00000000-0005-0000-0000-00005C020000}"/>
    <cellStyle name="20% - 강조색5 75" xfId="1747" xr:uid="{00000000-0005-0000-0000-00005D020000}"/>
    <cellStyle name="20% - 강조색5 76" xfId="1767" xr:uid="{00000000-0005-0000-0000-00005E020000}"/>
    <cellStyle name="20% - 강조색5 77" xfId="1787" xr:uid="{00000000-0005-0000-0000-00005F020000}"/>
    <cellStyle name="20% - 강조색5 78" xfId="1808" xr:uid="{00000000-0005-0000-0000-000060020000}"/>
    <cellStyle name="20% - 강조색5 79" xfId="1824" xr:uid="{00000000-0005-0000-0000-000061020000}"/>
    <cellStyle name="20% - 강조색5 8" xfId="250" xr:uid="{00000000-0005-0000-0000-000062020000}"/>
    <cellStyle name="20% - 강조색5 8 2" xfId="859" xr:uid="{00000000-0005-0000-0000-000063020000}"/>
    <cellStyle name="20% - 강조색5 8 3" xfId="577" xr:uid="{00000000-0005-0000-0000-000064020000}"/>
    <cellStyle name="20% - 강조색5 80" xfId="1838" xr:uid="{00000000-0005-0000-0000-000065020000}"/>
    <cellStyle name="20% - 강조색5 81" xfId="1852" xr:uid="{00000000-0005-0000-0000-000066020000}"/>
    <cellStyle name="20% - 강조색5 82" xfId="1866" xr:uid="{00000000-0005-0000-0000-000067020000}"/>
    <cellStyle name="20% - 강조색5 83" xfId="1880" xr:uid="{00000000-0005-0000-0000-000068020000}"/>
    <cellStyle name="20% - 강조색5 84" xfId="1894" xr:uid="{00000000-0005-0000-0000-000069020000}"/>
    <cellStyle name="20% - 강조색5 85" xfId="1908" xr:uid="{00000000-0005-0000-0000-00006A020000}"/>
    <cellStyle name="20% - 강조색5 86" xfId="1922" xr:uid="{00000000-0005-0000-0000-00006B020000}"/>
    <cellStyle name="20% - 강조색5 87" xfId="1937" xr:uid="{00000000-0005-0000-0000-00006C020000}"/>
    <cellStyle name="20% - 강조색5 88" xfId="1951" xr:uid="{00000000-0005-0000-0000-00006D020000}"/>
    <cellStyle name="20% - 강조색5 9" xfId="264" xr:uid="{00000000-0005-0000-0000-00006E020000}"/>
    <cellStyle name="20% - 강조색5 9 2" xfId="873" xr:uid="{00000000-0005-0000-0000-00006F020000}"/>
    <cellStyle name="20% - 강조색5 9 3" xfId="591" xr:uid="{00000000-0005-0000-0000-000070020000}"/>
    <cellStyle name="20% - 강조색6" xfId="206" builtinId="50" customBuiltin="1"/>
    <cellStyle name="20% - 강조색6 10" xfId="306" xr:uid="{00000000-0005-0000-0000-000072020000}"/>
    <cellStyle name="20% - 강조색6 10 2" xfId="889" xr:uid="{00000000-0005-0000-0000-000073020000}"/>
    <cellStyle name="20% - 강조색6 10 3" xfId="607" xr:uid="{00000000-0005-0000-0000-000074020000}"/>
    <cellStyle name="20% - 강조색6 11" xfId="321" xr:uid="{00000000-0005-0000-0000-000075020000}"/>
    <cellStyle name="20% - 강조색6 12" xfId="335" xr:uid="{00000000-0005-0000-0000-000076020000}"/>
    <cellStyle name="20% - 강조색6 12 2" xfId="903" xr:uid="{00000000-0005-0000-0000-000077020000}"/>
    <cellStyle name="20% - 강조색6 12 3" xfId="621" xr:uid="{00000000-0005-0000-0000-000078020000}"/>
    <cellStyle name="20% - 강조색6 13" xfId="349" xr:uid="{00000000-0005-0000-0000-000079020000}"/>
    <cellStyle name="20% - 강조색6 13 2" xfId="917" xr:uid="{00000000-0005-0000-0000-00007A020000}"/>
    <cellStyle name="20% - 강조색6 13 3" xfId="635" xr:uid="{00000000-0005-0000-0000-00007B020000}"/>
    <cellStyle name="20% - 강조색6 14" xfId="363" xr:uid="{00000000-0005-0000-0000-00007C020000}"/>
    <cellStyle name="20% - 강조색6 14 2" xfId="931" xr:uid="{00000000-0005-0000-0000-00007D020000}"/>
    <cellStyle name="20% - 강조색6 14 3" xfId="649" xr:uid="{00000000-0005-0000-0000-00007E020000}"/>
    <cellStyle name="20% - 강조색6 15" xfId="377" xr:uid="{00000000-0005-0000-0000-00007F020000}"/>
    <cellStyle name="20% - 강조색6 15 2" xfId="945" xr:uid="{00000000-0005-0000-0000-000080020000}"/>
    <cellStyle name="20% - 강조색6 15 3" xfId="663" xr:uid="{00000000-0005-0000-0000-000081020000}"/>
    <cellStyle name="20% - 강조색6 16" xfId="391" xr:uid="{00000000-0005-0000-0000-000082020000}"/>
    <cellStyle name="20% - 강조색6 16 2" xfId="959" xr:uid="{00000000-0005-0000-0000-000083020000}"/>
    <cellStyle name="20% - 강조색6 16 3" xfId="677" xr:uid="{00000000-0005-0000-0000-000084020000}"/>
    <cellStyle name="20% - 강조색6 17" xfId="405" xr:uid="{00000000-0005-0000-0000-000085020000}"/>
    <cellStyle name="20% - 강조색6 17 2" xfId="973" xr:uid="{00000000-0005-0000-0000-000086020000}"/>
    <cellStyle name="20% - 강조색6 17 3" xfId="691" xr:uid="{00000000-0005-0000-0000-000087020000}"/>
    <cellStyle name="20% - 강조색6 18" xfId="419" xr:uid="{00000000-0005-0000-0000-000088020000}"/>
    <cellStyle name="20% - 강조색6 18 2" xfId="987" xr:uid="{00000000-0005-0000-0000-000089020000}"/>
    <cellStyle name="20% - 강조색6 18 3" xfId="705" xr:uid="{00000000-0005-0000-0000-00008A020000}"/>
    <cellStyle name="20% - 강조색6 19" xfId="433" xr:uid="{00000000-0005-0000-0000-00008B020000}"/>
    <cellStyle name="20% - 강조색6 19 2" xfId="1001" xr:uid="{00000000-0005-0000-0000-00008C020000}"/>
    <cellStyle name="20% - 강조색6 19 3" xfId="719" xr:uid="{00000000-0005-0000-0000-00008D020000}"/>
    <cellStyle name="20% - 강조색6 2" xfId="21" xr:uid="{00000000-0005-0000-0000-00008E020000}"/>
    <cellStyle name="20% - 강조색6 20" xfId="447" xr:uid="{00000000-0005-0000-0000-00008F020000}"/>
    <cellStyle name="20% - 강조색6 20 2" xfId="1015" xr:uid="{00000000-0005-0000-0000-000090020000}"/>
    <cellStyle name="20% - 강조색6 20 3" xfId="733" xr:uid="{00000000-0005-0000-0000-000091020000}"/>
    <cellStyle name="20% - 강조색6 21" xfId="461" xr:uid="{00000000-0005-0000-0000-000092020000}"/>
    <cellStyle name="20% - 강조색6 21 2" xfId="1029" xr:uid="{00000000-0005-0000-0000-000093020000}"/>
    <cellStyle name="20% - 강조색6 21 3" xfId="747" xr:uid="{00000000-0005-0000-0000-000094020000}"/>
    <cellStyle name="20% - 강조색6 22" xfId="475" xr:uid="{00000000-0005-0000-0000-000095020000}"/>
    <cellStyle name="20% - 강조색6 22 2" xfId="1043" xr:uid="{00000000-0005-0000-0000-000096020000}"/>
    <cellStyle name="20% - 강조색6 22 3" xfId="761" xr:uid="{00000000-0005-0000-0000-000097020000}"/>
    <cellStyle name="20% - 강조색6 23" xfId="489" xr:uid="{00000000-0005-0000-0000-000098020000}"/>
    <cellStyle name="20% - 강조색6 23 2" xfId="1057" xr:uid="{00000000-0005-0000-0000-000099020000}"/>
    <cellStyle name="20% - 강조색6 23 3" xfId="775" xr:uid="{00000000-0005-0000-0000-00009A020000}"/>
    <cellStyle name="20% - 강조색6 24" xfId="503" xr:uid="{00000000-0005-0000-0000-00009B020000}"/>
    <cellStyle name="20% - 강조색6 24 2" xfId="1071" xr:uid="{00000000-0005-0000-0000-00009C020000}"/>
    <cellStyle name="20% - 강조색6 24 3" xfId="789" xr:uid="{00000000-0005-0000-0000-00009D020000}"/>
    <cellStyle name="20% - 강조색6 25" xfId="519" xr:uid="{00000000-0005-0000-0000-00009E020000}"/>
    <cellStyle name="20% - 강조색6 25 2" xfId="805" xr:uid="{00000000-0005-0000-0000-00009F020000}"/>
    <cellStyle name="20% - 강조색6 26" xfId="817" xr:uid="{00000000-0005-0000-0000-0000A0020000}"/>
    <cellStyle name="20% - 강조색6 27" xfId="533" xr:uid="{00000000-0005-0000-0000-0000A1020000}"/>
    <cellStyle name="20% - 강조색6 28" xfId="1085" xr:uid="{00000000-0005-0000-0000-0000A2020000}"/>
    <cellStyle name="20% - 강조색6 29" xfId="1099" xr:uid="{00000000-0005-0000-0000-0000A3020000}"/>
    <cellStyle name="20% - 강조색6 3" xfId="22" xr:uid="{00000000-0005-0000-0000-0000A4020000}"/>
    <cellStyle name="20% - 강조색6 30" xfId="1113" xr:uid="{00000000-0005-0000-0000-0000A5020000}"/>
    <cellStyle name="20% - 강조색6 31" xfId="1127" xr:uid="{00000000-0005-0000-0000-0000A6020000}"/>
    <cellStyle name="20% - 강조색6 32" xfId="1141" xr:uid="{00000000-0005-0000-0000-0000A7020000}"/>
    <cellStyle name="20% - 강조색6 33" xfId="1155" xr:uid="{00000000-0005-0000-0000-0000A8020000}"/>
    <cellStyle name="20% - 강조색6 34" xfId="1169" xr:uid="{00000000-0005-0000-0000-0000A9020000}"/>
    <cellStyle name="20% - 강조색6 35" xfId="1183" xr:uid="{00000000-0005-0000-0000-0000AA020000}"/>
    <cellStyle name="20% - 강조색6 36" xfId="1197" xr:uid="{00000000-0005-0000-0000-0000AB020000}"/>
    <cellStyle name="20% - 강조색6 37" xfId="1211" xr:uid="{00000000-0005-0000-0000-0000AC020000}"/>
    <cellStyle name="20% - 강조색6 38" xfId="1225" xr:uid="{00000000-0005-0000-0000-0000AD020000}"/>
    <cellStyle name="20% - 강조색6 39" xfId="1239" xr:uid="{00000000-0005-0000-0000-0000AE020000}"/>
    <cellStyle name="20% - 강조색6 4" xfId="23" xr:uid="{00000000-0005-0000-0000-0000AF020000}"/>
    <cellStyle name="20% - 강조색6 40" xfId="1253" xr:uid="{00000000-0005-0000-0000-0000B0020000}"/>
    <cellStyle name="20% - 강조색6 41" xfId="1267" xr:uid="{00000000-0005-0000-0000-0000B1020000}"/>
    <cellStyle name="20% - 강조색6 42" xfId="1281" xr:uid="{00000000-0005-0000-0000-0000B2020000}"/>
    <cellStyle name="20% - 강조색6 43" xfId="1295" xr:uid="{00000000-0005-0000-0000-0000B3020000}"/>
    <cellStyle name="20% - 강조색6 44" xfId="1309" xr:uid="{00000000-0005-0000-0000-0000B4020000}"/>
    <cellStyle name="20% - 강조색6 45" xfId="1323" xr:uid="{00000000-0005-0000-0000-0000B5020000}"/>
    <cellStyle name="20% - 강조색6 46" xfId="1337" xr:uid="{00000000-0005-0000-0000-0000B6020000}"/>
    <cellStyle name="20% - 강조색6 47" xfId="1351" xr:uid="{00000000-0005-0000-0000-0000B7020000}"/>
    <cellStyle name="20% - 강조색6 48" xfId="1365" xr:uid="{00000000-0005-0000-0000-0000B8020000}"/>
    <cellStyle name="20% - 강조색6 49" xfId="1379" xr:uid="{00000000-0005-0000-0000-0000B9020000}"/>
    <cellStyle name="20% - 강조색6 5" xfId="24" xr:uid="{00000000-0005-0000-0000-0000BA020000}"/>
    <cellStyle name="20% - 강조색6 50" xfId="1393" xr:uid="{00000000-0005-0000-0000-0000BB020000}"/>
    <cellStyle name="20% - 강조색6 51" xfId="1407" xr:uid="{00000000-0005-0000-0000-0000BC020000}"/>
    <cellStyle name="20% - 강조색6 52" xfId="1421" xr:uid="{00000000-0005-0000-0000-0000BD020000}"/>
    <cellStyle name="20% - 강조색6 53" xfId="1436" xr:uid="{00000000-0005-0000-0000-0000BE020000}"/>
    <cellStyle name="20% - 강조색6 54" xfId="1450" xr:uid="{00000000-0005-0000-0000-0000BF020000}"/>
    <cellStyle name="20% - 강조색6 55" xfId="1464" xr:uid="{00000000-0005-0000-0000-0000C0020000}"/>
    <cellStyle name="20% - 강조색6 56" xfId="1478" xr:uid="{00000000-0005-0000-0000-0000C1020000}"/>
    <cellStyle name="20% - 강조색6 57" xfId="1492" xr:uid="{00000000-0005-0000-0000-0000C2020000}"/>
    <cellStyle name="20% - 강조색6 58" xfId="1506" xr:uid="{00000000-0005-0000-0000-0000C3020000}"/>
    <cellStyle name="20% - 강조색6 59" xfId="1520" xr:uid="{00000000-0005-0000-0000-0000C4020000}"/>
    <cellStyle name="20% - 강조색6 6" xfId="221" xr:uid="{00000000-0005-0000-0000-0000C5020000}"/>
    <cellStyle name="20% - 강조색6 6 2" xfId="831" xr:uid="{00000000-0005-0000-0000-0000C6020000}"/>
    <cellStyle name="20% - 강조색6 6 3" xfId="549" xr:uid="{00000000-0005-0000-0000-0000C7020000}"/>
    <cellStyle name="20% - 강조색6 60" xfId="1534" xr:uid="{00000000-0005-0000-0000-0000C8020000}"/>
    <cellStyle name="20% - 강조색6 61" xfId="1548" xr:uid="{00000000-0005-0000-0000-0000C9020000}"/>
    <cellStyle name="20% - 강조색6 62" xfId="1562" xr:uid="{00000000-0005-0000-0000-0000CA020000}"/>
    <cellStyle name="20% - 강조색6 63" xfId="1576" xr:uid="{00000000-0005-0000-0000-0000CB020000}"/>
    <cellStyle name="20% - 강조색6 64" xfId="1590" xr:uid="{00000000-0005-0000-0000-0000CC020000}"/>
    <cellStyle name="20% - 강조색6 65" xfId="1604" xr:uid="{00000000-0005-0000-0000-0000CD020000}"/>
    <cellStyle name="20% - 강조색6 66" xfId="1618" xr:uid="{00000000-0005-0000-0000-0000CE020000}"/>
    <cellStyle name="20% - 강조색6 67" xfId="1632" xr:uid="{00000000-0005-0000-0000-0000CF020000}"/>
    <cellStyle name="20% - 강조색6 68" xfId="1646" xr:uid="{00000000-0005-0000-0000-0000D0020000}"/>
    <cellStyle name="20% - 강조색6 69" xfId="1660" xr:uid="{00000000-0005-0000-0000-0000D1020000}"/>
    <cellStyle name="20% - 강조색6 7" xfId="238" xr:uid="{00000000-0005-0000-0000-0000D2020000}"/>
    <cellStyle name="20% - 강조색6 7 2" xfId="847" xr:uid="{00000000-0005-0000-0000-0000D3020000}"/>
    <cellStyle name="20% - 강조색6 7 3" xfId="565" xr:uid="{00000000-0005-0000-0000-0000D4020000}"/>
    <cellStyle name="20% - 강조색6 70" xfId="1674" xr:uid="{00000000-0005-0000-0000-0000D5020000}"/>
    <cellStyle name="20% - 강조색6 71" xfId="1688" xr:uid="{00000000-0005-0000-0000-0000D6020000}"/>
    <cellStyle name="20% - 강조색6 72" xfId="1702" xr:uid="{00000000-0005-0000-0000-0000D7020000}"/>
    <cellStyle name="20% - 강조색6 73" xfId="1716" xr:uid="{00000000-0005-0000-0000-0000D8020000}"/>
    <cellStyle name="20% - 강조색6 74" xfId="1730" xr:uid="{00000000-0005-0000-0000-0000D9020000}"/>
    <cellStyle name="20% - 강조색6 75" xfId="1750" xr:uid="{00000000-0005-0000-0000-0000DA020000}"/>
    <cellStyle name="20% - 강조색6 76" xfId="1770" xr:uid="{00000000-0005-0000-0000-0000DB020000}"/>
    <cellStyle name="20% - 강조색6 77" xfId="1790" xr:uid="{00000000-0005-0000-0000-0000DC020000}"/>
    <cellStyle name="20% - 강조색6 78" xfId="1811" xr:uid="{00000000-0005-0000-0000-0000DD020000}"/>
    <cellStyle name="20% - 강조색6 79" xfId="1826" xr:uid="{00000000-0005-0000-0000-0000DE020000}"/>
    <cellStyle name="20% - 강조색6 8" xfId="252" xr:uid="{00000000-0005-0000-0000-0000DF020000}"/>
    <cellStyle name="20% - 강조색6 8 2" xfId="861" xr:uid="{00000000-0005-0000-0000-0000E0020000}"/>
    <cellStyle name="20% - 강조색6 8 3" xfId="579" xr:uid="{00000000-0005-0000-0000-0000E1020000}"/>
    <cellStyle name="20% - 강조색6 80" xfId="1840" xr:uid="{00000000-0005-0000-0000-0000E2020000}"/>
    <cellStyle name="20% - 강조색6 81" xfId="1854" xr:uid="{00000000-0005-0000-0000-0000E3020000}"/>
    <cellStyle name="20% - 강조색6 82" xfId="1868" xr:uid="{00000000-0005-0000-0000-0000E4020000}"/>
    <cellStyle name="20% - 강조색6 83" xfId="1882" xr:uid="{00000000-0005-0000-0000-0000E5020000}"/>
    <cellStyle name="20% - 강조색6 84" xfId="1896" xr:uid="{00000000-0005-0000-0000-0000E6020000}"/>
    <cellStyle name="20% - 강조색6 85" xfId="1910" xr:uid="{00000000-0005-0000-0000-0000E7020000}"/>
    <cellStyle name="20% - 강조색6 86" xfId="1924" xr:uid="{00000000-0005-0000-0000-0000E8020000}"/>
    <cellStyle name="20% - 강조색6 87" xfId="1939" xr:uid="{00000000-0005-0000-0000-0000E9020000}"/>
    <cellStyle name="20% - 강조색6 88" xfId="1953" xr:uid="{00000000-0005-0000-0000-0000EA020000}"/>
    <cellStyle name="20% - 강조색6 9" xfId="266" xr:uid="{00000000-0005-0000-0000-0000EB020000}"/>
    <cellStyle name="20% - 강조색6 9 2" xfId="875" xr:uid="{00000000-0005-0000-0000-0000EC020000}"/>
    <cellStyle name="20% - 강조색6 9 3" xfId="593" xr:uid="{00000000-0005-0000-0000-0000ED020000}"/>
    <cellStyle name="40% - 강조색1" xfId="187" builtinId="31" customBuiltin="1"/>
    <cellStyle name="40% - 강조색1 10" xfId="287" xr:uid="{00000000-0005-0000-0000-0000EF020000}"/>
    <cellStyle name="40% - 강조색1 10 2" xfId="880" xr:uid="{00000000-0005-0000-0000-0000F0020000}"/>
    <cellStyle name="40% - 강조색1 10 3" xfId="598" xr:uid="{00000000-0005-0000-0000-0000F1020000}"/>
    <cellStyle name="40% - 강조색1 11" xfId="312" xr:uid="{00000000-0005-0000-0000-0000F2020000}"/>
    <cellStyle name="40% - 강조색1 12" xfId="326" xr:uid="{00000000-0005-0000-0000-0000F3020000}"/>
    <cellStyle name="40% - 강조색1 12 2" xfId="894" xr:uid="{00000000-0005-0000-0000-0000F4020000}"/>
    <cellStyle name="40% - 강조색1 12 3" xfId="612" xr:uid="{00000000-0005-0000-0000-0000F5020000}"/>
    <cellStyle name="40% - 강조색1 13" xfId="340" xr:uid="{00000000-0005-0000-0000-0000F6020000}"/>
    <cellStyle name="40% - 강조색1 13 2" xfId="908" xr:uid="{00000000-0005-0000-0000-0000F7020000}"/>
    <cellStyle name="40% - 강조색1 13 3" xfId="626" xr:uid="{00000000-0005-0000-0000-0000F8020000}"/>
    <cellStyle name="40% - 강조색1 14" xfId="354" xr:uid="{00000000-0005-0000-0000-0000F9020000}"/>
    <cellStyle name="40% - 강조색1 14 2" xfId="922" xr:uid="{00000000-0005-0000-0000-0000FA020000}"/>
    <cellStyle name="40% - 강조색1 14 3" xfId="640" xr:uid="{00000000-0005-0000-0000-0000FB020000}"/>
    <cellStyle name="40% - 강조색1 15" xfId="368" xr:uid="{00000000-0005-0000-0000-0000FC020000}"/>
    <cellStyle name="40% - 강조색1 15 2" xfId="936" xr:uid="{00000000-0005-0000-0000-0000FD020000}"/>
    <cellStyle name="40% - 강조색1 15 3" xfId="654" xr:uid="{00000000-0005-0000-0000-0000FE020000}"/>
    <cellStyle name="40% - 강조색1 16" xfId="382" xr:uid="{00000000-0005-0000-0000-0000FF020000}"/>
    <cellStyle name="40% - 강조색1 16 2" xfId="950" xr:uid="{00000000-0005-0000-0000-000000030000}"/>
    <cellStyle name="40% - 강조색1 16 3" xfId="668" xr:uid="{00000000-0005-0000-0000-000001030000}"/>
    <cellStyle name="40% - 강조색1 17" xfId="396" xr:uid="{00000000-0005-0000-0000-000002030000}"/>
    <cellStyle name="40% - 강조색1 17 2" xfId="964" xr:uid="{00000000-0005-0000-0000-000003030000}"/>
    <cellStyle name="40% - 강조색1 17 3" xfId="682" xr:uid="{00000000-0005-0000-0000-000004030000}"/>
    <cellStyle name="40% - 강조색1 18" xfId="410" xr:uid="{00000000-0005-0000-0000-000005030000}"/>
    <cellStyle name="40% - 강조색1 18 2" xfId="978" xr:uid="{00000000-0005-0000-0000-000006030000}"/>
    <cellStyle name="40% - 강조색1 18 3" xfId="696" xr:uid="{00000000-0005-0000-0000-000007030000}"/>
    <cellStyle name="40% - 강조색1 19" xfId="424" xr:uid="{00000000-0005-0000-0000-000008030000}"/>
    <cellStyle name="40% - 강조색1 19 2" xfId="992" xr:uid="{00000000-0005-0000-0000-000009030000}"/>
    <cellStyle name="40% - 강조색1 19 3" xfId="710" xr:uid="{00000000-0005-0000-0000-00000A030000}"/>
    <cellStyle name="40% - 강조색1 2" xfId="25" xr:uid="{00000000-0005-0000-0000-00000B030000}"/>
    <cellStyle name="40% - 강조색1 20" xfId="438" xr:uid="{00000000-0005-0000-0000-00000C030000}"/>
    <cellStyle name="40% - 강조색1 20 2" xfId="1006" xr:uid="{00000000-0005-0000-0000-00000D030000}"/>
    <cellStyle name="40% - 강조색1 20 3" xfId="724" xr:uid="{00000000-0005-0000-0000-00000E030000}"/>
    <cellStyle name="40% - 강조색1 21" xfId="452" xr:uid="{00000000-0005-0000-0000-00000F030000}"/>
    <cellStyle name="40% - 강조색1 21 2" xfId="1020" xr:uid="{00000000-0005-0000-0000-000010030000}"/>
    <cellStyle name="40% - 강조색1 21 3" xfId="738" xr:uid="{00000000-0005-0000-0000-000011030000}"/>
    <cellStyle name="40% - 강조색1 22" xfId="466" xr:uid="{00000000-0005-0000-0000-000012030000}"/>
    <cellStyle name="40% - 강조색1 22 2" xfId="1034" xr:uid="{00000000-0005-0000-0000-000013030000}"/>
    <cellStyle name="40% - 강조색1 22 3" xfId="752" xr:uid="{00000000-0005-0000-0000-000014030000}"/>
    <cellStyle name="40% - 강조색1 23" xfId="480" xr:uid="{00000000-0005-0000-0000-000015030000}"/>
    <cellStyle name="40% - 강조색1 23 2" xfId="1048" xr:uid="{00000000-0005-0000-0000-000016030000}"/>
    <cellStyle name="40% - 강조색1 23 3" xfId="766" xr:uid="{00000000-0005-0000-0000-000017030000}"/>
    <cellStyle name="40% - 강조색1 24" xfId="494" xr:uid="{00000000-0005-0000-0000-000018030000}"/>
    <cellStyle name="40% - 강조색1 24 2" xfId="1062" xr:uid="{00000000-0005-0000-0000-000019030000}"/>
    <cellStyle name="40% - 강조색1 24 3" xfId="780" xr:uid="{00000000-0005-0000-0000-00001A030000}"/>
    <cellStyle name="40% - 강조색1 25" xfId="510" xr:uid="{00000000-0005-0000-0000-00001B030000}"/>
    <cellStyle name="40% - 강조색1 25 2" xfId="796" xr:uid="{00000000-0005-0000-0000-00001C030000}"/>
    <cellStyle name="40% - 강조색1 26" xfId="808" xr:uid="{00000000-0005-0000-0000-00001D030000}"/>
    <cellStyle name="40% - 강조색1 27" xfId="524" xr:uid="{00000000-0005-0000-0000-00001E030000}"/>
    <cellStyle name="40% - 강조색1 28" xfId="1076" xr:uid="{00000000-0005-0000-0000-00001F030000}"/>
    <cellStyle name="40% - 강조색1 29" xfId="1090" xr:uid="{00000000-0005-0000-0000-000020030000}"/>
    <cellStyle name="40% - 강조색1 3" xfId="26" xr:uid="{00000000-0005-0000-0000-000021030000}"/>
    <cellStyle name="40% - 강조색1 30" xfId="1104" xr:uid="{00000000-0005-0000-0000-000022030000}"/>
    <cellStyle name="40% - 강조색1 31" xfId="1118" xr:uid="{00000000-0005-0000-0000-000023030000}"/>
    <cellStyle name="40% - 강조색1 32" xfId="1132" xr:uid="{00000000-0005-0000-0000-000024030000}"/>
    <cellStyle name="40% - 강조색1 33" xfId="1146" xr:uid="{00000000-0005-0000-0000-000025030000}"/>
    <cellStyle name="40% - 강조색1 34" xfId="1160" xr:uid="{00000000-0005-0000-0000-000026030000}"/>
    <cellStyle name="40% - 강조색1 35" xfId="1174" xr:uid="{00000000-0005-0000-0000-000027030000}"/>
    <cellStyle name="40% - 강조색1 36" xfId="1188" xr:uid="{00000000-0005-0000-0000-000028030000}"/>
    <cellStyle name="40% - 강조색1 37" xfId="1202" xr:uid="{00000000-0005-0000-0000-000029030000}"/>
    <cellStyle name="40% - 강조색1 38" xfId="1216" xr:uid="{00000000-0005-0000-0000-00002A030000}"/>
    <cellStyle name="40% - 강조색1 39" xfId="1230" xr:uid="{00000000-0005-0000-0000-00002B030000}"/>
    <cellStyle name="40% - 강조색1 4" xfId="27" xr:uid="{00000000-0005-0000-0000-00002C030000}"/>
    <cellStyle name="40% - 강조색1 40" xfId="1244" xr:uid="{00000000-0005-0000-0000-00002D030000}"/>
    <cellStyle name="40% - 강조색1 41" xfId="1258" xr:uid="{00000000-0005-0000-0000-00002E030000}"/>
    <cellStyle name="40% - 강조색1 42" xfId="1272" xr:uid="{00000000-0005-0000-0000-00002F030000}"/>
    <cellStyle name="40% - 강조색1 43" xfId="1286" xr:uid="{00000000-0005-0000-0000-000030030000}"/>
    <cellStyle name="40% - 강조색1 44" xfId="1300" xr:uid="{00000000-0005-0000-0000-000031030000}"/>
    <cellStyle name="40% - 강조색1 45" xfId="1314" xr:uid="{00000000-0005-0000-0000-000032030000}"/>
    <cellStyle name="40% - 강조색1 46" xfId="1328" xr:uid="{00000000-0005-0000-0000-000033030000}"/>
    <cellStyle name="40% - 강조색1 47" xfId="1342" xr:uid="{00000000-0005-0000-0000-000034030000}"/>
    <cellStyle name="40% - 강조색1 48" xfId="1356" xr:uid="{00000000-0005-0000-0000-000035030000}"/>
    <cellStyle name="40% - 강조색1 49" xfId="1370" xr:uid="{00000000-0005-0000-0000-000036030000}"/>
    <cellStyle name="40% - 강조색1 5" xfId="28" xr:uid="{00000000-0005-0000-0000-000037030000}"/>
    <cellStyle name="40% - 강조색1 50" xfId="1384" xr:uid="{00000000-0005-0000-0000-000038030000}"/>
    <cellStyle name="40% - 강조색1 51" xfId="1398" xr:uid="{00000000-0005-0000-0000-000039030000}"/>
    <cellStyle name="40% - 강조색1 52" xfId="1412" xr:uid="{00000000-0005-0000-0000-00003A030000}"/>
    <cellStyle name="40% - 강조색1 53" xfId="1427" xr:uid="{00000000-0005-0000-0000-00003B030000}"/>
    <cellStyle name="40% - 강조색1 54" xfId="1441" xr:uid="{00000000-0005-0000-0000-00003C030000}"/>
    <cellStyle name="40% - 강조색1 55" xfId="1455" xr:uid="{00000000-0005-0000-0000-00003D030000}"/>
    <cellStyle name="40% - 강조색1 56" xfId="1469" xr:uid="{00000000-0005-0000-0000-00003E030000}"/>
    <cellStyle name="40% - 강조색1 57" xfId="1483" xr:uid="{00000000-0005-0000-0000-00003F030000}"/>
    <cellStyle name="40% - 강조색1 58" xfId="1497" xr:uid="{00000000-0005-0000-0000-000040030000}"/>
    <cellStyle name="40% - 강조색1 59" xfId="1511" xr:uid="{00000000-0005-0000-0000-000041030000}"/>
    <cellStyle name="40% - 강조색1 6" xfId="212" xr:uid="{00000000-0005-0000-0000-000042030000}"/>
    <cellStyle name="40% - 강조색1 6 2" xfId="822" xr:uid="{00000000-0005-0000-0000-000043030000}"/>
    <cellStyle name="40% - 강조색1 6 3" xfId="540" xr:uid="{00000000-0005-0000-0000-000044030000}"/>
    <cellStyle name="40% - 강조색1 60" xfId="1525" xr:uid="{00000000-0005-0000-0000-000045030000}"/>
    <cellStyle name="40% - 강조색1 61" xfId="1539" xr:uid="{00000000-0005-0000-0000-000046030000}"/>
    <cellStyle name="40% - 강조색1 62" xfId="1553" xr:uid="{00000000-0005-0000-0000-000047030000}"/>
    <cellStyle name="40% - 강조색1 63" xfId="1567" xr:uid="{00000000-0005-0000-0000-000048030000}"/>
    <cellStyle name="40% - 강조색1 64" xfId="1581" xr:uid="{00000000-0005-0000-0000-000049030000}"/>
    <cellStyle name="40% - 강조색1 65" xfId="1595" xr:uid="{00000000-0005-0000-0000-00004A030000}"/>
    <cellStyle name="40% - 강조색1 66" xfId="1609" xr:uid="{00000000-0005-0000-0000-00004B030000}"/>
    <cellStyle name="40% - 강조색1 67" xfId="1623" xr:uid="{00000000-0005-0000-0000-00004C030000}"/>
    <cellStyle name="40% - 강조색1 68" xfId="1637" xr:uid="{00000000-0005-0000-0000-00004D030000}"/>
    <cellStyle name="40% - 강조색1 69" xfId="1651" xr:uid="{00000000-0005-0000-0000-00004E030000}"/>
    <cellStyle name="40% - 강조색1 7" xfId="229" xr:uid="{00000000-0005-0000-0000-00004F030000}"/>
    <cellStyle name="40% - 강조색1 7 2" xfId="838" xr:uid="{00000000-0005-0000-0000-000050030000}"/>
    <cellStyle name="40% - 강조색1 7 3" xfId="556" xr:uid="{00000000-0005-0000-0000-000051030000}"/>
    <cellStyle name="40% - 강조색1 70" xfId="1665" xr:uid="{00000000-0005-0000-0000-000052030000}"/>
    <cellStyle name="40% - 강조색1 71" xfId="1679" xr:uid="{00000000-0005-0000-0000-000053030000}"/>
    <cellStyle name="40% - 강조색1 72" xfId="1693" xr:uid="{00000000-0005-0000-0000-000054030000}"/>
    <cellStyle name="40% - 강조색1 73" xfId="1707" xr:uid="{00000000-0005-0000-0000-000055030000}"/>
    <cellStyle name="40% - 강조색1 74" xfId="1721" xr:uid="{00000000-0005-0000-0000-000056030000}"/>
    <cellStyle name="40% - 강조색1 75" xfId="1736" xr:uid="{00000000-0005-0000-0000-000057030000}"/>
    <cellStyle name="40% - 강조색1 76" xfId="1756" xr:uid="{00000000-0005-0000-0000-000058030000}"/>
    <cellStyle name="40% - 강조색1 77" xfId="1776" xr:uid="{00000000-0005-0000-0000-000059030000}"/>
    <cellStyle name="40% - 강조색1 78" xfId="1797" xr:uid="{00000000-0005-0000-0000-00005A030000}"/>
    <cellStyle name="40% - 강조색1 79" xfId="1817" xr:uid="{00000000-0005-0000-0000-00005B030000}"/>
    <cellStyle name="40% - 강조색1 8" xfId="243" xr:uid="{00000000-0005-0000-0000-00005C030000}"/>
    <cellStyle name="40% - 강조색1 8 2" xfId="852" xr:uid="{00000000-0005-0000-0000-00005D030000}"/>
    <cellStyle name="40% - 강조색1 8 3" xfId="570" xr:uid="{00000000-0005-0000-0000-00005E030000}"/>
    <cellStyle name="40% - 강조색1 80" xfId="1831" xr:uid="{00000000-0005-0000-0000-00005F030000}"/>
    <cellStyle name="40% - 강조색1 81" xfId="1845" xr:uid="{00000000-0005-0000-0000-000060030000}"/>
    <cellStyle name="40% - 강조색1 82" xfId="1859" xr:uid="{00000000-0005-0000-0000-000061030000}"/>
    <cellStyle name="40% - 강조색1 83" xfId="1873" xr:uid="{00000000-0005-0000-0000-000062030000}"/>
    <cellStyle name="40% - 강조색1 84" xfId="1887" xr:uid="{00000000-0005-0000-0000-000063030000}"/>
    <cellStyle name="40% - 강조색1 85" xfId="1901" xr:uid="{00000000-0005-0000-0000-000064030000}"/>
    <cellStyle name="40% - 강조색1 86" xfId="1915" xr:uid="{00000000-0005-0000-0000-000065030000}"/>
    <cellStyle name="40% - 강조색1 87" xfId="1930" xr:uid="{00000000-0005-0000-0000-000066030000}"/>
    <cellStyle name="40% - 강조색1 88" xfId="1944" xr:uid="{00000000-0005-0000-0000-000067030000}"/>
    <cellStyle name="40% - 강조색1 9" xfId="257" xr:uid="{00000000-0005-0000-0000-000068030000}"/>
    <cellStyle name="40% - 강조색1 9 2" xfId="866" xr:uid="{00000000-0005-0000-0000-000069030000}"/>
    <cellStyle name="40% - 강조색1 9 3" xfId="584" xr:uid="{00000000-0005-0000-0000-00006A030000}"/>
    <cellStyle name="40% - 강조색2" xfId="191" builtinId="35" customBuiltin="1"/>
    <cellStyle name="40% - 강조색2 10" xfId="291" xr:uid="{00000000-0005-0000-0000-00006C030000}"/>
    <cellStyle name="40% - 강조색2 10 2" xfId="882" xr:uid="{00000000-0005-0000-0000-00006D030000}"/>
    <cellStyle name="40% - 강조색2 10 3" xfId="600" xr:uid="{00000000-0005-0000-0000-00006E030000}"/>
    <cellStyle name="40% - 강조색2 11" xfId="314" xr:uid="{00000000-0005-0000-0000-00006F030000}"/>
    <cellStyle name="40% - 강조색2 12" xfId="328" xr:uid="{00000000-0005-0000-0000-000070030000}"/>
    <cellStyle name="40% - 강조색2 12 2" xfId="896" xr:uid="{00000000-0005-0000-0000-000071030000}"/>
    <cellStyle name="40% - 강조색2 12 3" xfId="614" xr:uid="{00000000-0005-0000-0000-000072030000}"/>
    <cellStyle name="40% - 강조색2 13" xfId="342" xr:uid="{00000000-0005-0000-0000-000073030000}"/>
    <cellStyle name="40% - 강조색2 13 2" xfId="910" xr:uid="{00000000-0005-0000-0000-000074030000}"/>
    <cellStyle name="40% - 강조색2 13 3" xfId="628" xr:uid="{00000000-0005-0000-0000-000075030000}"/>
    <cellStyle name="40% - 강조색2 14" xfId="356" xr:uid="{00000000-0005-0000-0000-000076030000}"/>
    <cellStyle name="40% - 강조색2 14 2" xfId="924" xr:uid="{00000000-0005-0000-0000-000077030000}"/>
    <cellStyle name="40% - 강조색2 14 3" xfId="642" xr:uid="{00000000-0005-0000-0000-000078030000}"/>
    <cellStyle name="40% - 강조색2 15" xfId="370" xr:uid="{00000000-0005-0000-0000-000079030000}"/>
    <cellStyle name="40% - 강조색2 15 2" xfId="938" xr:uid="{00000000-0005-0000-0000-00007A030000}"/>
    <cellStyle name="40% - 강조색2 15 3" xfId="656" xr:uid="{00000000-0005-0000-0000-00007B030000}"/>
    <cellStyle name="40% - 강조색2 16" xfId="384" xr:uid="{00000000-0005-0000-0000-00007C030000}"/>
    <cellStyle name="40% - 강조색2 16 2" xfId="952" xr:uid="{00000000-0005-0000-0000-00007D030000}"/>
    <cellStyle name="40% - 강조색2 16 3" xfId="670" xr:uid="{00000000-0005-0000-0000-00007E030000}"/>
    <cellStyle name="40% - 강조색2 17" xfId="398" xr:uid="{00000000-0005-0000-0000-00007F030000}"/>
    <cellStyle name="40% - 강조색2 17 2" xfId="966" xr:uid="{00000000-0005-0000-0000-000080030000}"/>
    <cellStyle name="40% - 강조색2 17 3" xfId="684" xr:uid="{00000000-0005-0000-0000-000081030000}"/>
    <cellStyle name="40% - 강조색2 18" xfId="412" xr:uid="{00000000-0005-0000-0000-000082030000}"/>
    <cellStyle name="40% - 강조색2 18 2" xfId="980" xr:uid="{00000000-0005-0000-0000-000083030000}"/>
    <cellStyle name="40% - 강조색2 18 3" xfId="698" xr:uid="{00000000-0005-0000-0000-000084030000}"/>
    <cellStyle name="40% - 강조색2 19" xfId="426" xr:uid="{00000000-0005-0000-0000-000085030000}"/>
    <cellStyle name="40% - 강조색2 19 2" xfId="994" xr:uid="{00000000-0005-0000-0000-000086030000}"/>
    <cellStyle name="40% - 강조색2 19 3" xfId="712" xr:uid="{00000000-0005-0000-0000-000087030000}"/>
    <cellStyle name="40% - 강조색2 2" xfId="29" xr:uid="{00000000-0005-0000-0000-000088030000}"/>
    <cellStyle name="40% - 강조색2 20" xfId="440" xr:uid="{00000000-0005-0000-0000-000089030000}"/>
    <cellStyle name="40% - 강조색2 20 2" xfId="1008" xr:uid="{00000000-0005-0000-0000-00008A030000}"/>
    <cellStyle name="40% - 강조색2 20 3" xfId="726" xr:uid="{00000000-0005-0000-0000-00008B030000}"/>
    <cellStyle name="40% - 강조색2 21" xfId="454" xr:uid="{00000000-0005-0000-0000-00008C030000}"/>
    <cellStyle name="40% - 강조색2 21 2" xfId="1022" xr:uid="{00000000-0005-0000-0000-00008D030000}"/>
    <cellStyle name="40% - 강조색2 21 3" xfId="740" xr:uid="{00000000-0005-0000-0000-00008E030000}"/>
    <cellStyle name="40% - 강조색2 22" xfId="468" xr:uid="{00000000-0005-0000-0000-00008F030000}"/>
    <cellStyle name="40% - 강조색2 22 2" xfId="1036" xr:uid="{00000000-0005-0000-0000-000090030000}"/>
    <cellStyle name="40% - 강조색2 22 3" xfId="754" xr:uid="{00000000-0005-0000-0000-000091030000}"/>
    <cellStyle name="40% - 강조색2 23" xfId="482" xr:uid="{00000000-0005-0000-0000-000092030000}"/>
    <cellStyle name="40% - 강조색2 23 2" xfId="1050" xr:uid="{00000000-0005-0000-0000-000093030000}"/>
    <cellStyle name="40% - 강조색2 23 3" xfId="768" xr:uid="{00000000-0005-0000-0000-000094030000}"/>
    <cellStyle name="40% - 강조색2 24" xfId="496" xr:uid="{00000000-0005-0000-0000-000095030000}"/>
    <cellStyle name="40% - 강조색2 24 2" xfId="1064" xr:uid="{00000000-0005-0000-0000-000096030000}"/>
    <cellStyle name="40% - 강조색2 24 3" xfId="782" xr:uid="{00000000-0005-0000-0000-000097030000}"/>
    <cellStyle name="40% - 강조색2 25" xfId="512" xr:uid="{00000000-0005-0000-0000-000098030000}"/>
    <cellStyle name="40% - 강조색2 25 2" xfId="798" xr:uid="{00000000-0005-0000-0000-000099030000}"/>
    <cellStyle name="40% - 강조색2 26" xfId="810" xr:uid="{00000000-0005-0000-0000-00009A030000}"/>
    <cellStyle name="40% - 강조색2 27" xfId="526" xr:uid="{00000000-0005-0000-0000-00009B030000}"/>
    <cellStyle name="40% - 강조색2 28" xfId="1078" xr:uid="{00000000-0005-0000-0000-00009C030000}"/>
    <cellStyle name="40% - 강조색2 29" xfId="1092" xr:uid="{00000000-0005-0000-0000-00009D030000}"/>
    <cellStyle name="40% - 강조색2 3" xfId="30" xr:uid="{00000000-0005-0000-0000-00009E030000}"/>
    <cellStyle name="40% - 강조색2 30" xfId="1106" xr:uid="{00000000-0005-0000-0000-00009F030000}"/>
    <cellStyle name="40% - 강조색2 31" xfId="1120" xr:uid="{00000000-0005-0000-0000-0000A0030000}"/>
    <cellStyle name="40% - 강조색2 32" xfId="1134" xr:uid="{00000000-0005-0000-0000-0000A1030000}"/>
    <cellStyle name="40% - 강조색2 33" xfId="1148" xr:uid="{00000000-0005-0000-0000-0000A2030000}"/>
    <cellStyle name="40% - 강조색2 34" xfId="1162" xr:uid="{00000000-0005-0000-0000-0000A3030000}"/>
    <cellStyle name="40% - 강조색2 35" xfId="1176" xr:uid="{00000000-0005-0000-0000-0000A4030000}"/>
    <cellStyle name="40% - 강조색2 36" xfId="1190" xr:uid="{00000000-0005-0000-0000-0000A5030000}"/>
    <cellStyle name="40% - 강조색2 37" xfId="1204" xr:uid="{00000000-0005-0000-0000-0000A6030000}"/>
    <cellStyle name="40% - 강조색2 38" xfId="1218" xr:uid="{00000000-0005-0000-0000-0000A7030000}"/>
    <cellStyle name="40% - 강조색2 39" xfId="1232" xr:uid="{00000000-0005-0000-0000-0000A8030000}"/>
    <cellStyle name="40% - 강조색2 4" xfId="31" xr:uid="{00000000-0005-0000-0000-0000A9030000}"/>
    <cellStyle name="40% - 강조색2 40" xfId="1246" xr:uid="{00000000-0005-0000-0000-0000AA030000}"/>
    <cellStyle name="40% - 강조색2 41" xfId="1260" xr:uid="{00000000-0005-0000-0000-0000AB030000}"/>
    <cellStyle name="40% - 강조색2 42" xfId="1274" xr:uid="{00000000-0005-0000-0000-0000AC030000}"/>
    <cellStyle name="40% - 강조색2 43" xfId="1288" xr:uid="{00000000-0005-0000-0000-0000AD030000}"/>
    <cellStyle name="40% - 강조색2 44" xfId="1302" xr:uid="{00000000-0005-0000-0000-0000AE030000}"/>
    <cellStyle name="40% - 강조색2 45" xfId="1316" xr:uid="{00000000-0005-0000-0000-0000AF030000}"/>
    <cellStyle name="40% - 강조색2 46" xfId="1330" xr:uid="{00000000-0005-0000-0000-0000B0030000}"/>
    <cellStyle name="40% - 강조색2 47" xfId="1344" xr:uid="{00000000-0005-0000-0000-0000B1030000}"/>
    <cellStyle name="40% - 강조색2 48" xfId="1358" xr:uid="{00000000-0005-0000-0000-0000B2030000}"/>
    <cellStyle name="40% - 강조색2 49" xfId="1372" xr:uid="{00000000-0005-0000-0000-0000B3030000}"/>
    <cellStyle name="40% - 강조색2 5" xfId="32" xr:uid="{00000000-0005-0000-0000-0000B4030000}"/>
    <cellStyle name="40% - 강조색2 50" xfId="1386" xr:uid="{00000000-0005-0000-0000-0000B5030000}"/>
    <cellStyle name="40% - 강조색2 51" xfId="1400" xr:uid="{00000000-0005-0000-0000-0000B6030000}"/>
    <cellStyle name="40% - 강조색2 52" xfId="1414" xr:uid="{00000000-0005-0000-0000-0000B7030000}"/>
    <cellStyle name="40% - 강조색2 53" xfId="1429" xr:uid="{00000000-0005-0000-0000-0000B8030000}"/>
    <cellStyle name="40% - 강조색2 54" xfId="1443" xr:uid="{00000000-0005-0000-0000-0000B9030000}"/>
    <cellStyle name="40% - 강조색2 55" xfId="1457" xr:uid="{00000000-0005-0000-0000-0000BA030000}"/>
    <cellStyle name="40% - 강조색2 56" xfId="1471" xr:uid="{00000000-0005-0000-0000-0000BB030000}"/>
    <cellStyle name="40% - 강조색2 57" xfId="1485" xr:uid="{00000000-0005-0000-0000-0000BC030000}"/>
    <cellStyle name="40% - 강조색2 58" xfId="1499" xr:uid="{00000000-0005-0000-0000-0000BD030000}"/>
    <cellStyle name="40% - 강조색2 59" xfId="1513" xr:uid="{00000000-0005-0000-0000-0000BE030000}"/>
    <cellStyle name="40% - 강조색2 6" xfId="214" xr:uid="{00000000-0005-0000-0000-0000BF030000}"/>
    <cellStyle name="40% - 강조색2 6 2" xfId="824" xr:uid="{00000000-0005-0000-0000-0000C0030000}"/>
    <cellStyle name="40% - 강조색2 6 3" xfId="542" xr:uid="{00000000-0005-0000-0000-0000C1030000}"/>
    <cellStyle name="40% - 강조색2 60" xfId="1527" xr:uid="{00000000-0005-0000-0000-0000C2030000}"/>
    <cellStyle name="40% - 강조색2 61" xfId="1541" xr:uid="{00000000-0005-0000-0000-0000C3030000}"/>
    <cellStyle name="40% - 강조색2 62" xfId="1555" xr:uid="{00000000-0005-0000-0000-0000C4030000}"/>
    <cellStyle name="40% - 강조색2 63" xfId="1569" xr:uid="{00000000-0005-0000-0000-0000C5030000}"/>
    <cellStyle name="40% - 강조색2 64" xfId="1583" xr:uid="{00000000-0005-0000-0000-0000C6030000}"/>
    <cellStyle name="40% - 강조색2 65" xfId="1597" xr:uid="{00000000-0005-0000-0000-0000C7030000}"/>
    <cellStyle name="40% - 강조색2 66" xfId="1611" xr:uid="{00000000-0005-0000-0000-0000C8030000}"/>
    <cellStyle name="40% - 강조색2 67" xfId="1625" xr:uid="{00000000-0005-0000-0000-0000C9030000}"/>
    <cellStyle name="40% - 강조색2 68" xfId="1639" xr:uid="{00000000-0005-0000-0000-0000CA030000}"/>
    <cellStyle name="40% - 강조색2 69" xfId="1653" xr:uid="{00000000-0005-0000-0000-0000CB030000}"/>
    <cellStyle name="40% - 강조색2 7" xfId="231" xr:uid="{00000000-0005-0000-0000-0000CC030000}"/>
    <cellStyle name="40% - 강조색2 7 2" xfId="840" xr:uid="{00000000-0005-0000-0000-0000CD030000}"/>
    <cellStyle name="40% - 강조색2 7 3" xfId="558" xr:uid="{00000000-0005-0000-0000-0000CE030000}"/>
    <cellStyle name="40% - 강조색2 70" xfId="1667" xr:uid="{00000000-0005-0000-0000-0000CF030000}"/>
    <cellStyle name="40% - 강조색2 71" xfId="1681" xr:uid="{00000000-0005-0000-0000-0000D0030000}"/>
    <cellStyle name="40% - 강조색2 72" xfId="1695" xr:uid="{00000000-0005-0000-0000-0000D1030000}"/>
    <cellStyle name="40% - 강조색2 73" xfId="1709" xr:uid="{00000000-0005-0000-0000-0000D2030000}"/>
    <cellStyle name="40% - 강조색2 74" xfId="1723" xr:uid="{00000000-0005-0000-0000-0000D3030000}"/>
    <cellStyle name="40% - 강조색2 75" xfId="1739" xr:uid="{00000000-0005-0000-0000-0000D4030000}"/>
    <cellStyle name="40% - 강조색2 76" xfId="1759" xr:uid="{00000000-0005-0000-0000-0000D5030000}"/>
    <cellStyle name="40% - 강조색2 77" xfId="1779" xr:uid="{00000000-0005-0000-0000-0000D6030000}"/>
    <cellStyle name="40% - 강조색2 78" xfId="1800" xr:uid="{00000000-0005-0000-0000-0000D7030000}"/>
    <cellStyle name="40% - 강조색2 79" xfId="1819" xr:uid="{00000000-0005-0000-0000-0000D8030000}"/>
    <cellStyle name="40% - 강조색2 8" xfId="245" xr:uid="{00000000-0005-0000-0000-0000D9030000}"/>
    <cellStyle name="40% - 강조색2 8 2" xfId="854" xr:uid="{00000000-0005-0000-0000-0000DA030000}"/>
    <cellStyle name="40% - 강조색2 8 3" xfId="572" xr:uid="{00000000-0005-0000-0000-0000DB030000}"/>
    <cellStyle name="40% - 강조색2 80" xfId="1833" xr:uid="{00000000-0005-0000-0000-0000DC030000}"/>
    <cellStyle name="40% - 강조색2 81" xfId="1847" xr:uid="{00000000-0005-0000-0000-0000DD030000}"/>
    <cellStyle name="40% - 강조색2 82" xfId="1861" xr:uid="{00000000-0005-0000-0000-0000DE030000}"/>
    <cellStyle name="40% - 강조색2 83" xfId="1875" xr:uid="{00000000-0005-0000-0000-0000DF030000}"/>
    <cellStyle name="40% - 강조색2 84" xfId="1889" xr:uid="{00000000-0005-0000-0000-0000E0030000}"/>
    <cellStyle name="40% - 강조색2 85" xfId="1903" xr:uid="{00000000-0005-0000-0000-0000E1030000}"/>
    <cellStyle name="40% - 강조색2 86" xfId="1917" xr:uid="{00000000-0005-0000-0000-0000E2030000}"/>
    <cellStyle name="40% - 강조색2 87" xfId="1932" xr:uid="{00000000-0005-0000-0000-0000E3030000}"/>
    <cellStyle name="40% - 강조색2 88" xfId="1946" xr:uid="{00000000-0005-0000-0000-0000E4030000}"/>
    <cellStyle name="40% - 강조색2 9" xfId="259" xr:uid="{00000000-0005-0000-0000-0000E5030000}"/>
    <cellStyle name="40% - 강조색2 9 2" xfId="868" xr:uid="{00000000-0005-0000-0000-0000E6030000}"/>
    <cellStyle name="40% - 강조색2 9 3" xfId="586" xr:uid="{00000000-0005-0000-0000-0000E7030000}"/>
    <cellStyle name="40% - 강조색3" xfId="195" builtinId="39" customBuiltin="1"/>
    <cellStyle name="40% - 강조색3 10" xfId="295" xr:uid="{00000000-0005-0000-0000-0000E9030000}"/>
    <cellStyle name="40% - 강조색3 10 2" xfId="884" xr:uid="{00000000-0005-0000-0000-0000EA030000}"/>
    <cellStyle name="40% - 강조색3 10 3" xfId="602" xr:uid="{00000000-0005-0000-0000-0000EB030000}"/>
    <cellStyle name="40% - 강조색3 11" xfId="316" xr:uid="{00000000-0005-0000-0000-0000EC030000}"/>
    <cellStyle name="40% - 강조색3 12" xfId="330" xr:uid="{00000000-0005-0000-0000-0000ED030000}"/>
    <cellStyle name="40% - 강조색3 12 2" xfId="898" xr:uid="{00000000-0005-0000-0000-0000EE030000}"/>
    <cellStyle name="40% - 강조색3 12 3" xfId="616" xr:uid="{00000000-0005-0000-0000-0000EF030000}"/>
    <cellStyle name="40% - 강조색3 13" xfId="344" xr:uid="{00000000-0005-0000-0000-0000F0030000}"/>
    <cellStyle name="40% - 강조색3 13 2" xfId="912" xr:uid="{00000000-0005-0000-0000-0000F1030000}"/>
    <cellStyle name="40% - 강조색3 13 3" xfId="630" xr:uid="{00000000-0005-0000-0000-0000F2030000}"/>
    <cellStyle name="40% - 강조색3 14" xfId="358" xr:uid="{00000000-0005-0000-0000-0000F3030000}"/>
    <cellStyle name="40% - 강조색3 14 2" xfId="926" xr:uid="{00000000-0005-0000-0000-0000F4030000}"/>
    <cellStyle name="40% - 강조색3 14 3" xfId="644" xr:uid="{00000000-0005-0000-0000-0000F5030000}"/>
    <cellStyle name="40% - 강조색3 15" xfId="372" xr:uid="{00000000-0005-0000-0000-0000F6030000}"/>
    <cellStyle name="40% - 강조색3 15 2" xfId="940" xr:uid="{00000000-0005-0000-0000-0000F7030000}"/>
    <cellStyle name="40% - 강조색3 15 3" xfId="658" xr:uid="{00000000-0005-0000-0000-0000F8030000}"/>
    <cellStyle name="40% - 강조색3 16" xfId="386" xr:uid="{00000000-0005-0000-0000-0000F9030000}"/>
    <cellStyle name="40% - 강조색3 16 2" xfId="954" xr:uid="{00000000-0005-0000-0000-0000FA030000}"/>
    <cellStyle name="40% - 강조색3 16 3" xfId="672" xr:uid="{00000000-0005-0000-0000-0000FB030000}"/>
    <cellStyle name="40% - 강조색3 17" xfId="400" xr:uid="{00000000-0005-0000-0000-0000FC030000}"/>
    <cellStyle name="40% - 강조색3 17 2" xfId="968" xr:uid="{00000000-0005-0000-0000-0000FD030000}"/>
    <cellStyle name="40% - 강조색3 17 3" xfId="686" xr:uid="{00000000-0005-0000-0000-0000FE030000}"/>
    <cellStyle name="40% - 강조색3 18" xfId="414" xr:uid="{00000000-0005-0000-0000-0000FF030000}"/>
    <cellStyle name="40% - 강조색3 18 2" xfId="982" xr:uid="{00000000-0005-0000-0000-000000040000}"/>
    <cellStyle name="40% - 강조색3 18 3" xfId="700" xr:uid="{00000000-0005-0000-0000-000001040000}"/>
    <cellStyle name="40% - 강조색3 19" xfId="428" xr:uid="{00000000-0005-0000-0000-000002040000}"/>
    <cellStyle name="40% - 강조색3 19 2" xfId="996" xr:uid="{00000000-0005-0000-0000-000003040000}"/>
    <cellStyle name="40% - 강조색3 19 3" xfId="714" xr:uid="{00000000-0005-0000-0000-000004040000}"/>
    <cellStyle name="40% - 강조색3 2" xfId="33" xr:uid="{00000000-0005-0000-0000-000005040000}"/>
    <cellStyle name="40% - 강조색3 20" xfId="442" xr:uid="{00000000-0005-0000-0000-000006040000}"/>
    <cellStyle name="40% - 강조색3 20 2" xfId="1010" xr:uid="{00000000-0005-0000-0000-000007040000}"/>
    <cellStyle name="40% - 강조색3 20 3" xfId="728" xr:uid="{00000000-0005-0000-0000-000008040000}"/>
    <cellStyle name="40% - 강조색3 21" xfId="456" xr:uid="{00000000-0005-0000-0000-000009040000}"/>
    <cellStyle name="40% - 강조색3 21 2" xfId="1024" xr:uid="{00000000-0005-0000-0000-00000A040000}"/>
    <cellStyle name="40% - 강조색3 21 3" xfId="742" xr:uid="{00000000-0005-0000-0000-00000B040000}"/>
    <cellStyle name="40% - 강조색3 22" xfId="470" xr:uid="{00000000-0005-0000-0000-00000C040000}"/>
    <cellStyle name="40% - 강조색3 22 2" xfId="1038" xr:uid="{00000000-0005-0000-0000-00000D040000}"/>
    <cellStyle name="40% - 강조색3 22 3" xfId="756" xr:uid="{00000000-0005-0000-0000-00000E040000}"/>
    <cellStyle name="40% - 강조색3 23" xfId="484" xr:uid="{00000000-0005-0000-0000-00000F040000}"/>
    <cellStyle name="40% - 강조색3 23 2" xfId="1052" xr:uid="{00000000-0005-0000-0000-000010040000}"/>
    <cellStyle name="40% - 강조색3 23 3" xfId="770" xr:uid="{00000000-0005-0000-0000-000011040000}"/>
    <cellStyle name="40% - 강조색3 24" xfId="498" xr:uid="{00000000-0005-0000-0000-000012040000}"/>
    <cellStyle name="40% - 강조색3 24 2" xfId="1066" xr:uid="{00000000-0005-0000-0000-000013040000}"/>
    <cellStyle name="40% - 강조색3 24 3" xfId="784" xr:uid="{00000000-0005-0000-0000-000014040000}"/>
    <cellStyle name="40% - 강조색3 25" xfId="514" xr:uid="{00000000-0005-0000-0000-000015040000}"/>
    <cellStyle name="40% - 강조색3 25 2" xfId="800" xr:uid="{00000000-0005-0000-0000-000016040000}"/>
    <cellStyle name="40% - 강조색3 26" xfId="812" xr:uid="{00000000-0005-0000-0000-000017040000}"/>
    <cellStyle name="40% - 강조색3 27" xfId="528" xr:uid="{00000000-0005-0000-0000-000018040000}"/>
    <cellStyle name="40% - 강조색3 28" xfId="1080" xr:uid="{00000000-0005-0000-0000-000019040000}"/>
    <cellStyle name="40% - 강조색3 29" xfId="1094" xr:uid="{00000000-0005-0000-0000-00001A040000}"/>
    <cellStyle name="40% - 강조색3 3" xfId="34" xr:uid="{00000000-0005-0000-0000-00001B040000}"/>
    <cellStyle name="40% - 강조색3 30" xfId="1108" xr:uid="{00000000-0005-0000-0000-00001C040000}"/>
    <cellStyle name="40% - 강조색3 31" xfId="1122" xr:uid="{00000000-0005-0000-0000-00001D040000}"/>
    <cellStyle name="40% - 강조색3 32" xfId="1136" xr:uid="{00000000-0005-0000-0000-00001E040000}"/>
    <cellStyle name="40% - 강조색3 33" xfId="1150" xr:uid="{00000000-0005-0000-0000-00001F040000}"/>
    <cellStyle name="40% - 강조색3 34" xfId="1164" xr:uid="{00000000-0005-0000-0000-000020040000}"/>
    <cellStyle name="40% - 강조색3 35" xfId="1178" xr:uid="{00000000-0005-0000-0000-000021040000}"/>
    <cellStyle name="40% - 강조색3 36" xfId="1192" xr:uid="{00000000-0005-0000-0000-000022040000}"/>
    <cellStyle name="40% - 강조색3 37" xfId="1206" xr:uid="{00000000-0005-0000-0000-000023040000}"/>
    <cellStyle name="40% - 강조색3 38" xfId="1220" xr:uid="{00000000-0005-0000-0000-000024040000}"/>
    <cellStyle name="40% - 강조색3 39" xfId="1234" xr:uid="{00000000-0005-0000-0000-000025040000}"/>
    <cellStyle name="40% - 강조색3 4" xfId="35" xr:uid="{00000000-0005-0000-0000-000026040000}"/>
    <cellStyle name="40% - 강조색3 40" xfId="1248" xr:uid="{00000000-0005-0000-0000-000027040000}"/>
    <cellStyle name="40% - 강조색3 41" xfId="1262" xr:uid="{00000000-0005-0000-0000-000028040000}"/>
    <cellStyle name="40% - 강조색3 42" xfId="1276" xr:uid="{00000000-0005-0000-0000-000029040000}"/>
    <cellStyle name="40% - 강조색3 43" xfId="1290" xr:uid="{00000000-0005-0000-0000-00002A040000}"/>
    <cellStyle name="40% - 강조색3 44" xfId="1304" xr:uid="{00000000-0005-0000-0000-00002B040000}"/>
    <cellStyle name="40% - 강조색3 45" xfId="1318" xr:uid="{00000000-0005-0000-0000-00002C040000}"/>
    <cellStyle name="40% - 강조색3 46" xfId="1332" xr:uid="{00000000-0005-0000-0000-00002D040000}"/>
    <cellStyle name="40% - 강조색3 47" xfId="1346" xr:uid="{00000000-0005-0000-0000-00002E040000}"/>
    <cellStyle name="40% - 강조색3 48" xfId="1360" xr:uid="{00000000-0005-0000-0000-00002F040000}"/>
    <cellStyle name="40% - 강조색3 49" xfId="1374" xr:uid="{00000000-0005-0000-0000-000030040000}"/>
    <cellStyle name="40% - 강조색3 5" xfId="36" xr:uid="{00000000-0005-0000-0000-000031040000}"/>
    <cellStyle name="40% - 강조색3 50" xfId="1388" xr:uid="{00000000-0005-0000-0000-000032040000}"/>
    <cellStyle name="40% - 강조색3 51" xfId="1402" xr:uid="{00000000-0005-0000-0000-000033040000}"/>
    <cellStyle name="40% - 강조색3 52" xfId="1416" xr:uid="{00000000-0005-0000-0000-000034040000}"/>
    <cellStyle name="40% - 강조색3 53" xfId="1431" xr:uid="{00000000-0005-0000-0000-000035040000}"/>
    <cellStyle name="40% - 강조색3 54" xfId="1445" xr:uid="{00000000-0005-0000-0000-000036040000}"/>
    <cellStyle name="40% - 강조색3 55" xfId="1459" xr:uid="{00000000-0005-0000-0000-000037040000}"/>
    <cellStyle name="40% - 강조색3 56" xfId="1473" xr:uid="{00000000-0005-0000-0000-000038040000}"/>
    <cellStyle name="40% - 강조색3 57" xfId="1487" xr:uid="{00000000-0005-0000-0000-000039040000}"/>
    <cellStyle name="40% - 강조색3 58" xfId="1501" xr:uid="{00000000-0005-0000-0000-00003A040000}"/>
    <cellStyle name="40% - 강조색3 59" xfId="1515" xr:uid="{00000000-0005-0000-0000-00003B040000}"/>
    <cellStyle name="40% - 강조색3 6" xfId="216" xr:uid="{00000000-0005-0000-0000-00003C040000}"/>
    <cellStyle name="40% - 강조색3 6 2" xfId="826" xr:uid="{00000000-0005-0000-0000-00003D040000}"/>
    <cellStyle name="40% - 강조색3 6 3" xfId="544" xr:uid="{00000000-0005-0000-0000-00003E040000}"/>
    <cellStyle name="40% - 강조색3 60" xfId="1529" xr:uid="{00000000-0005-0000-0000-00003F040000}"/>
    <cellStyle name="40% - 강조색3 61" xfId="1543" xr:uid="{00000000-0005-0000-0000-000040040000}"/>
    <cellStyle name="40% - 강조색3 62" xfId="1557" xr:uid="{00000000-0005-0000-0000-000041040000}"/>
    <cellStyle name="40% - 강조색3 63" xfId="1571" xr:uid="{00000000-0005-0000-0000-000042040000}"/>
    <cellStyle name="40% - 강조색3 64" xfId="1585" xr:uid="{00000000-0005-0000-0000-000043040000}"/>
    <cellStyle name="40% - 강조색3 65" xfId="1599" xr:uid="{00000000-0005-0000-0000-000044040000}"/>
    <cellStyle name="40% - 강조색3 66" xfId="1613" xr:uid="{00000000-0005-0000-0000-000045040000}"/>
    <cellStyle name="40% - 강조색3 67" xfId="1627" xr:uid="{00000000-0005-0000-0000-000046040000}"/>
    <cellStyle name="40% - 강조색3 68" xfId="1641" xr:uid="{00000000-0005-0000-0000-000047040000}"/>
    <cellStyle name="40% - 강조색3 69" xfId="1655" xr:uid="{00000000-0005-0000-0000-000048040000}"/>
    <cellStyle name="40% - 강조색3 7" xfId="233" xr:uid="{00000000-0005-0000-0000-000049040000}"/>
    <cellStyle name="40% - 강조색3 7 2" xfId="842" xr:uid="{00000000-0005-0000-0000-00004A040000}"/>
    <cellStyle name="40% - 강조색3 7 3" xfId="560" xr:uid="{00000000-0005-0000-0000-00004B040000}"/>
    <cellStyle name="40% - 강조색3 70" xfId="1669" xr:uid="{00000000-0005-0000-0000-00004C040000}"/>
    <cellStyle name="40% - 강조색3 71" xfId="1683" xr:uid="{00000000-0005-0000-0000-00004D040000}"/>
    <cellStyle name="40% - 강조색3 72" xfId="1697" xr:uid="{00000000-0005-0000-0000-00004E040000}"/>
    <cellStyle name="40% - 강조색3 73" xfId="1711" xr:uid="{00000000-0005-0000-0000-00004F040000}"/>
    <cellStyle name="40% - 강조색3 74" xfId="1725" xr:uid="{00000000-0005-0000-0000-000050040000}"/>
    <cellStyle name="40% - 강조색3 75" xfId="1742" xr:uid="{00000000-0005-0000-0000-000051040000}"/>
    <cellStyle name="40% - 강조색3 76" xfId="1762" xr:uid="{00000000-0005-0000-0000-000052040000}"/>
    <cellStyle name="40% - 강조색3 77" xfId="1782" xr:uid="{00000000-0005-0000-0000-000053040000}"/>
    <cellStyle name="40% - 강조색3 78" xfId="1803" xr:uid="{00000000-0005-0000-0000-000054040000}"/>
    <cellStyle name="40% - 강조색3 79" xfId="1821" xr:uid="{00000000-0005-0000-0000-000055040000}"/>
    <cellStyle name="40% - 강조색3 8" xfId="247" xr:uid="{00000000-0005-0000-0000-000056040000}"/>
    <cellStyle name="40% - 강조색3 8 2" xfId="856" xr:uid="{00000000-0005-0000-0000-000057040000}"/>
    <cellStyle name="40% - 강조색3 8 3" xfId="574" xr:uid="{00000000-0005-0000-0000-000058040000}"/>
    <cellStyle name="40% - 강조색3 80" xfId="1835" xr:uid="{00000000-0005-0000-0000-000059040000}"/>
    <cellStyle name="40% - 강조색3 81" xfId="1849" xr:uid="{00000000-0005-0000-0000-00005A040000}"/>
    <cellStyle name="40% - 강조색3 82" xfId="1863" xr:uid="{00000000-0005-0000-0000-00005B040000}"/>
    <cellStyle name="40% - 강조색3 83" xfId="1877" xr:uid="{00000000-0005-0000-0000-00005C040000}"/>
    <cellStyle name="40% - 강조색3 84" xfId="1891" xr:uid="{00000000-0005-0000-0000-00005D040000}"/>
    <cellStyle name="40% - 강조색3 85" xfId="1905" xr:uid="{00000000-0005-0000-0000-00005E040000}"/>
    <cellStyle name="40% - 강조색3 86" xfId="1919" xr:uid="{00000000-0005-0000-0000-00005F040000}"/>
    <cellStyle name="40% - 강조색3 87" xfId="1934" xr:uid="{00000000-0005-0000-0000-000060040000}"/>
    <cellStyle name="40% - 강조색3 88" xfId="1948" xr:uid="{00000000-0005-0000-0000-000061040000}"/>
    <cellStyle name="40% - 강조색3 9" xfId="261" xr:uid="{00000000-0005-0000-0000-000062040000}"/>
    <cellStyle name="40% - 강조색3 9 2" xfId="870" xr:uid="{00000000-0005-0000-0000-000063040000}"/>
    <cellStyle name="40% - 강조색3 9 3" xfId="588" xr:uid="{00000000-0005-0000-0000-000064040000}"/>
    <cellStyle name="40% - 강조색4" xfId="199" builtinId="43" customBuiltin="1"/>
    <cellStyle name="40% - 강조색4 10" xfId="299" xr:uid="{00000000-0005-0000-0000-000066040000}"/>
    <cellStyle name="40% - 강조색4 10 2" xfId="886" xr:uid="{00000000-0005-0000-0000-000067040000}"/>
    <cellStyle name="40% - 강조색4 10 3" xfId="604" xr:uid="{00000000-0005-0000-0000-000068040000}"/>
    <cellStyle name="40% - 강조색4 11" xfId="318" xr:uid="{00000000-0005-0000-0000-000069040000}"/>
    <cellStyle name="40% - 강조색4 12" xfId="332" xr:uid="{00000000-0005-0000-0000-00006A040000}"/>
    <cellStyle name="40% - 강조색4 12 2" xfId="900" xr:uid="{00000000-0005-0000-0000-00006B040000}"/>
    <cellStyle name="40% - 강조색4 12 3" xfId="618" xr:uid="{00000000-0005-0000-0000-00006C040000}"/>
    <cellStyle name="40% - 강조색4 13" xfId="346" xr:uid="{00000000-0005-0000-0000-00006D040000}"/>
    <cellStyle name="40% - 강조색4 13 2" xfId="914" xr:uid="{00000000-0005-0000-0000-00006E040000}"/>
    <cellStyle name="40% - 강조색4 13 3" xfId="632" xr:uid="{00000000-0005-0000-0000-00006F040000}"/>
    <cellStyle name="40% - 강조색4 14" xfId="360" xr:uid="{00000000-0005-0000-0000-000070040000}"/>
    <cellStyle name="40% - 강조색4 14 2" xfId="928" xr:uid="{00000000-0005-0000-0000-000071040000}"/>
    <cellStyle name="40% - 강조색4 14 3" xfId="646" xr:uid="{00000000-0005-0000-0000-000072040000}"/>
    <cellStyle name="40% - 강조색4 15" xfId="374" xr:uid="{00000000-0005-0000-0000-000073040000}"/>
    <cellStyle name="40% - 강조색4 15 2" xfId="942" xr:uid="{00000000-0005-0000-0000-000074040000}"/>
    <cellStyle name="40% - 강조색4 15 3" xfId="660" xr:uid="{00000000-0005-0000-0000-000075040000}"/>
    <cellStyle name="40% - 강조색4 16" xfId="388" xr:uid="{00000000-0005-0000-0000-000076040000}"/>
    <cellStyle name="40% - 강조색4 16 2" xfId="956" xr:uid="{00000000-0005-0000-0000-000077040000}"/>
    <cellStyle name="40% - 강조색4 16 3" xfId="674" xr:uid="{00000000-0005-0000-0000-000078040000}"/>
    <cellStyle name="40% - 강조색4 17" xfId="402" xr:uid="{00000000-0005-0000-0000-000079040000}"/>
    <cellStyle name="40% - 강조색4 17 2" xfId="970" xr:uid="{00000000-0005-0000-0000-00007A040000}"/>
    <cellStyle name="40% - 강조색4 17 3" xfId="688" xr:uid="{00000000-0005-0000-0000-00007B040000}"/>
    <cellStyle name="40% - 강조색4 18" xfId="416" xr:uid="{00000000-0005-0000-0000-00007C040000}"/>
    <cellStyle name="40% - 강조색4 18 2" xfId="984" xr:uid="{00000000-0005-0000-0000-00007D040000}"/>
    <cellStyle name="40% - 강조색4 18 3" xfId="702" xr:uid="{00000000-0005-0000-0000-00007E040000}"/>
    <cellStyle name="40% - 강조색4 19" xfId="430" xr:uid="{00000000-0005-0000-0000-00007F040000}"/>
    <cellStyle name="40% - 강조색4 19 2" xfId="998" xr:uid="{00000000-0005-0000-0000-000080040000}"/>
    <cellStyle name="40% - 강조색4 19 3" xfId="716" xr:uid="{00000000-0005-0000-0000-000081040000}"/>
    <cellStyle name="40% - 강조색4 2" xfId="37" xr:uid="{00000000-0005-0000-0000-000082040000}"/>
    <cellStyle name="40% - 강조색4 20" xfId="444" xr:uid="{00000000-0005-0000-0000-000083040000}"/>
    <cellStyle name="40% - 강조색4 20 2" xfId="1012" xr:uid="{00000000-0005-0000-0000-000084040000}"/>
    <cellStyle name="40% - 강조색4 20 3" xfId="730" xr:uid="{00000000-0005-0000-0000-000085040000}"/>
    <cellStyle name="40% - 강조색4 21" xfId="458" xr:uid="{00000000-0005-0000-0000-000086040000}"/>
    <cellStyle name="40% - 강조색4 21 2" xfId="1026" xr:uid="{00000000-0005-0000-0000-000087040000}"/>
    <cellStyle name="40% - 강조색4 21 3" xfId="744" xr:uid="{00000000-0005-0000-0000-000088040000}"/>
    <cellStyle name="40% - 강조색4 22" xfId="472" xr:uid="{00000000-0005-0000-0000-000089040000}"/>
    <cellStyle name="40% - 강조색4 22 2" xfId="1040" xr:uid="{00000000-0005-0000-0000-00008A040000}"/>
    <cellStyle name="40% - 강조색4 22 3" xfId="758" xr:uid="{00000000-0005-0000-0000-00008B040000}"/>
    <cellStyle name="40% - 강조색4 23" xfId="486" xr:uid="{00000000-0005-0000-0000-00008C040000}"/>
    <cellStyle name="40% - 강조색4 23 2" xfId="1054" xr:uid="{00000000-0005-0000-0000-00008D040000}"/>
    <cellStyle name="40% - 강조색4 23 3" xfId="772" xr:uid="{00000000-0005-0000-0000-00008E040000}"/>
    <cellStyle name="40% - 강조색4 24" xfId="500" xr:uid="{00000000-0005-0000-0000-00008F040000}"/>
    <cellStyle name="40% - 강조색4 24 2" xfId="1068" xr:uid="{00000000-0005-0000-0000-000090040000}"/>
    <cellStyle name="40% - 강조색4 24 3" xfId="786" xr:uid="{00000000-0005-0000-0000-000091040000}"/>
    <cellStyle name="40% - 강조색4 25" xfId="516" xr:uid="{00000000-0005-0000-0000-000092040000}"/>
    <cellStyle name="40% - 강조색4 25 2" xfId="802" xr:uid="{00000000-0005-0000-0000-000093040000}"/>
    <cellStyle name="40% - 강조색4 26" xfId="814" xr:uid="{00000000-0005-0000-0000-000094040000}"/>
    <cellStyle name="40% - 강조색4 27" xfId="530" xr:uid="{00000000-0005-0000-0000-000095040000}"/>
    <cellStyle name="40% - 강조색4 28" xfId="1082" xr:uid="{00000000-0005-0000-0000-000096040000}"/>
    <cellStyle name="40% - 강조색4 29" xfId="1096" xr:uid="{00000000-0005-0000-0000-000097040000}"/>
    <cellStyle name="40% - 강조색4 3" xfId="38" xr:uid="{00000000-0005-0000-0000-000098040000}"/>
    <cellStyle name="40% - 강조색4 30" xfId="1110" xr:uid="{00000000-0005-0000-0000-000099040000}"/>
    <cellStyle name="40% - 강조색4 31" xfId="1124" xr:uid="{00000000-0005-0000-0000-00009A040000}"/>
    <cellStyle name="40% - 강조색4 32" xfId="1138" xr:uid="{00000000-0005-0000-0000-00009B040000}"/>
    <cellStyle name="40% - 강조색4 33" xfId="1152" xr:uid="{00000000-0005-0000-0000-00009C040000}"/>
    <cellStyle name="40% - 강조색4 34" xfId="1166" xr:uid="{00000000-0005-0000-0000-00009D040000}"/>
    <cellStyle name="40% - 강조색4 35" xfId="1180" xr:uid="{00000000-0005-0000-0000-00009E040000}"/>
    <cellStyle name="40% - 강조색4 36" xfId="1194" xr:uid="{00000000-0005-0000-0000-00009F040000}"/>
    <cellStyle name="40% - 강조색4 37" xfId="1208" xr:uid="{00000000-0005-0000-0000-0000A0040000}"/>
    <cellStyle name="40% - 강조색4 38" xfId="1222" xr:uid="{00000000-0005-0000-0000-0000A1040000}"/>
    <cellStyle name="40% - 강조색4 39" xfId="1236" xr:uid="{00000000-0005-0000-0000-0000A2040000}"/>
    <cellStyle name="40% - 강조색4 4" xfId="39" xr:uid="{00000000-0005-0000-0000-0000A3040000}"/>
    <cellStyle name="40% - 강조색4 40" xfId="1250" xr:uid="{00000000-0005-0000-0000-0000A4040000}"/>
    <cellStyle name="40% - 강조색4 41" xfId="1264" xr:uid="{00000000-0005-0000-0000-0000A5040000}"/>
    <cellStyle name="40% - 강조색4 42" xfId="1278" xr:uid="{00000000-0005-0000-0000-0000A6040000}"/>
    <cellStyle name="40% - 강조색4 43" xfId="1292" xr:uid="{00000000-0005-0000-0000-0000A7040000}"/>
    <cellStyle name="40% - 강조색4 44" xfId="1306" xr:uid="{00000000-0005-0000-0000-0000A8040000}"/>
    <cellStyle name="40% - 강조색4 45" xfId="1320" xr:uid="{00000000-0005-0000-0000-0000A9040000}"/>
    <cellStyle name="40% - 강조색4 46" xfId="1334" xr:uid="{00000000-0005-0000-0000-0000AA040000}"/>
    <cellStyle name="40% - 강조색4 47" xfId="1348" xr:uid="{00000000-0005-0000-0000-0000AB040000}"/>
    <cellStyle name="40% - 강조색4 48" xfId="1362" xr:uid="{00000000-0005-0000-0000-0000AC040000}"/>
    <cellStyle name="40% - 강조색4 49" xfId="1376" xr:uid="{00000000-0005-0000-0000-0000AD040000}"/>
    <cellStyle name="40% - 강조색4 5" xfId="40" xr:uid="{00000000-0005-0000-0000-0000AE040000}"/>
    <cellStyle name="40% - 강조색4 50" xfId="1390" xr:uid="{00000000-0005-0000-0000-0000AF040000}"/>
    <cellStyle name="40% - 강조색4 51" xfId="1404" xr:uid="{00000000-0005-0000-0000-0000B0040000}"/>
    <cellStyle name="40% - 강조색4 52" xfId="1418" xr:uid="{00000000-0005-0000-0000-0000B1040000}"/>
    <cellStyle name="40% - 강조색4 53" xfId="1433" xr:uid="{00000000-0005-0000-0000-0000B2040000}"/>
    <cellStyle name="40% - 강조색4 54" xfId="1447" xr:uid="{00000000-0005-0000-0000-0000B3040000}"/>
    <cellStyle name="40% - 강조색4 55" xfId="1461" xr:uid="{00000000-0005-0000-0000-0000B4040000}"/>
    <cellStyle name="40% - 강조색4 56" xfId="1475" xr:uid="{00000000-0005-0000-0000-0000B5040000}"/>
    <cellStyle name="40% - 강조색4 57" xfId="1489" xr:uid="{00000000-0005-0000-0000-0000B6040000}"/>
    <cellStyle name="40% - 강조색4 58" xfId="1503" xr:uid="{00000000-0005-0000-0000-0000B7040000}"/>
    <cellStyle name="40% - 강조색4 59" xfId="1517" xr:uid="{00000000-0005-0000-0000-0000B8040000}"/>
    <cellStyle name="40% - 강조색4 6" xfId="218" xr:uid="{00000000-0005-0000-0000-0000B9040000}"/>
    <cellStyle name="40% - 강조색4 6 2" xfId="828" xr:uid="{00000000-0005-0000-0000-0000BA040000}"/>
    <cellStyle name="40% - 강조색4 6 3" xfId="546" xr:uid="{00000000-0005-0000-0000-0000BB040000}"/>
    <cellStyle name="40% - 강조색4 60" xfId="1531" xr:uid="{00000000-0005-0000-0000-0000BC040000}"/>
    <cellStyle name="40% - 강조색4 61" xfId="1545" xr:uid="{00000000-0005-0000-0000-0000BD040000}"/>
    <cellStyle name="40% - 강조색4 62" xfId="1559" xr:uid="{00000000-0005-0000-0000-0000BE040000}"/>
    <cellStyle name="40% - 강조색4 63" xfId="1573" xr:uid="{00000000-0005-0000-0000-0000BF040000}"/>
    <cellStyle name="40% - 강조색4 64" xfId="1587" xr:uid="{00000000-0005-0000-0000-0000C0040000}"/>
    <cellStyle name="40% - 강조색4 65" xfId="1601" xr:uid="{00000000-0005-0000-0000-0000C1040000}"/>
    <cellStyle name="40% - 강조색4 66" xfId="1615" xr:uid="{00000000-0005-0000-0000-0000C2040000}"/>
    <cellStyle name="40% - 강조색4 67" xfId="1629" xr:uid="{00000000-0005-0000-0000-0000C3040000}"/>
    <cellStyle name="40% - 강조색4 68" xfId="1643" xr:uid="{00000000-0005-0000-0000-0000C4040000}"/>
    <cellStyle name="40% - 강조색4 69" xfId="1657" xr:uid="{00000000-0005-0000-0000-0000C5040000}"/>
    <cellStyle name="40% - 강조색4 7" xfId="235" xr:uid="{00000000-0005-0000-0000-0000C6040000}"/>
    <cellStyle name="40% - 강조색4 7 2" xfId="844" xr:uid="{00000000-0005-0000-0000-0000C7040000}"/>
    <cellStyle name="40% - 강조색4 7 3" xfId="562" xr:uid="{00000000-0005-0000-0000-0000C8040000}"/>
    <cellStyle name="40% - 강조색4 70" xfId="1671" xr:uid="{00000000-0005-0000-0000-0000C9040000}"/>
    <cellStyle name="40% - 강조색4 71" xfId="1685" xr:uid="{00000000-0005-0000-0000-0000CA040000}"/>
    <cellStyle name="40% - 강조색4 72" xfId="1699" xr:uid="{00000000-0005-0000-0000-0000CB040000}"/>
    <cellStyle name="40% - 강조색4 73" xfId="1713" xr:uid="{00000000-0005-0000-0000-0000CC040000}"/>
    <cellStyle name="40% - 강조색4 74" xfId="1727" xr:uid="{00000000-0005-0000-0000-0000CD040000}"/>
    <cellStyle name="40% - 강조색4 75" xfId="1745" xr:uid="{00000000-0005-0000-0000-0000CE040000}"/>
    <cellStyle name="40% - 강조색4 76" xfId="1765" xr:uid="{00000000-0005-0000-0000-0000CF040000}"/>
    <cellStyle name="40% - 강조색4 77" xfId="1785" xr:uid="{00000000-0005-0000-0000-0000D0040000}"/>
    <cellStyle name="40% - 강조색4 78" xfId="1806" xr:uid="{00000000-0005-0000-0000-0000D1040000}"/>
    <cellStyle name="40% - 강조색4 79" xfId="1823" xr:uid="{00000000-0005-0000-0000-0000D2040000}"/>
    <cellStyle name="40% - 강조색4 8" xfId="249" xr:uid="{00000000-0005-0000-0000-0000D3040000}"/>
    <cellStyle name="40% - 강조색4 8 2" xfId="858" xr:uid="{00000000-0005-0000-0000-0000D4040000}"/>
    <cellStyle name="40% - 강조색4 8 3" xfId="576" xr:uid="{00000000-0005-0000-0000-0000D5040000}"/>
    <cellStyle name="40% - 강조색4 80" xfId="1837" xr:uid="{00000000-0005-0000-0000-0000D6040000}"/>
    <cellStyle name="40% - 강조색4 81" xfId="1851" xr:uid="{00000000-0005-0000-0000-0000D7040000}"/>
    <cellStyle name="40% - 강조색4 82" xfId="1865" xr:uid="{00000000-0005-0000-0000-0000D8040000}"/>
    <cellStyle name="40% - 강조색4 83" xfId="1879" xr:uid="{00000000-0005-0000-0000-0000D9040000}"/>
    <cellStyle name="40% - 강조색4 84" xfId="1893" xr:uid="{00000000-0005-0000-0000-0000DA040000}"/>
    <cellStyle name="40% - 강조색4 85" xfId="1907" xr:uid="{00000000-0005-0000-0000-0000DB040000}"/>
    <cellStyle name="40% - 강조색4 86" xfId="1921" xr:uid="{00000000-0005-0000-0000-0000DC040000}"/>
    <cellStyle name="40% - 강조색4 87" xfId="1936" xr:uid="{00000000-0005-0000-0000-0000DD040000}"/>
    <cellStyle name="40% - 강조색4 88" xfId="1950" xr:uid="{00000000-0005-0000-0000-0000DE040000}"/>
    <cellStyle name="40% - 강조색4 9" xfId="263" xr:uid="{00000000-0005-0000-0000-0000DF040000}"/>
    <cellStyle name="40% - 강조색4 9 2" xfId="872" xr:uid="{00000000-0005-0000-0000-0000E0040000}"/>
    <cellStyle name="40% - 강조색4 9 3" xfId="590" xr:uid="{00000000-0005-0000-0000-0000E1040000}"/>
    <cellStyle name="40% - 강조색5" xfId="203" builtinId="47" customBuiltin="1"/>
    <cellStyle name="40% - 강조색5 10" xfId="303" xr:uid="{00000000-0005-0000-0000-0000E3040000}"/>
    <cellStyle name="40% - 강조색5 10 2" xfId="888" xr:uid="{00000000-0005-0000-0000-0000E4040000}"/>
    <cellStyle name="40% - 강조색5 10 3" xfId="606" xr:uid="{00000000-0005-0000-0000-0000E5040000}"/>
    <cellStyle name="40% - 강조색5 11" xfId="320" xr:uid="{00000000-0005-0000-0000-0000E6040000}"/>
    <cellStyle name="40% - 강조색5 12" xfId="334" xr:uid="{00000000-0005-0000-0000-0000E7040000}"/>
    <cellStyle name="40% - 강조색5 12 2" xfId="902" xr:uid="{00000000-0005-0000-0000-0000E8040000}"/>
    <cellStyle name="40% - 강조색5 12 3" xfId="620" xr:uid="{00000000-0005-0000-0000-0000E9040000}"/>
    <cellStyle name="40% - 강조색5 13" xfId="348" xr:uid="{00000000-0005-0000-0000-0000EA040000}"/>
    <cellStyle name="40% - 강조색5 13 2" xfId="916" xr:uid="{00000000-0005-0000-0000-0000EB040000}"/>
    <cellStyle name="40% - 강조색5 13 3" xfId="634" xr:uid="{00000000-0005-0000-0000-0000EC040000}"/>
    <cellStyle name="40% - 강조색5 14" xfId="362" xr:uid="{00000000-0005-0000-0000-0000ED040000}"/>
    <cellStyle name="40% - 강조색5 14 2" xfId="930" xr:uid="{00000000-0005-0000-0000-0000EE040000}"/>
    <cellStyle name="40% - 강조색5 14 3" xfId="648" xr:uid="{00000000-0005-0000-0000-0000EF040000}"/>
    <cellStyle name="40% - 강조색5 15" xfId="376" xr:uid="{00000000-0005-0000-0000-0000F0040000}"/>
    <cellStyle name="40% - 강조색5 15 2" xfId="944" xr:uid="{00000000-0005-0000-0000-0000F1040000}"/>
    <cellStyle name="40% - 강조색5 15 3" xfId="662" xr:uid="{00000000-0005-0000-0000-0000F2040000}"/>
    <cellStyle name="40% - 강조색5 16" xfId="390" xr:uid="{00000000-0005-0000-0000-0000F3040000}"/>
    <cellStyle name="40% - 강조색5 16 2" xfId="958" xr:uid="{00000000-0005-0000-0000-0000F4040000}"/>
    <cellStyle name="40% - 강조색5 16 3" xfId="676" xr:uid="{00000000-0005-0000-0000-0000F5040000}"/>
    <cellStyle name="40% - 강조색5 17" xfId="404" xr:uid="{00000000-0005-0000-0000-0000F6040000}"/>
    <cellStyle name="40% - 강조색5 17 2" xfId="972" xr:uid="{00000000-0005-0000-0000-0000F7040000}"/>
    <cellStyle name="40% - 강조색5 17 3" xfId="690" xr:uid="{00000000-0005-0000-0000-0000F8040000}"/>
    <cellStyle name="40% - 강조색5 18" xfId="418" xr:uid="{00000000-0005-0000-0000-0000F9040000}"/>
    <cellStyle name="40% - 강조색5 18 2" xfId="986" xr:uid="{00000000-0005-0000-0000-0000FA040000}"/>
    <cellStyle name="40% - 강조색5 18 3" xfId="704" xr:uid="{00000000-0005-0000-0000-0000FB040000}"/>
    <cellStyle name="40% - 강조색5 19" xfId="432" xr:uid="{00000000-0005-0000-0000-0000FC040000}"/>
    <cellStyle name="40% - 강조색5 19 2" xfId="1000" xr:uid="{00000000-0005-0000-0000-0000FD040000}"/>
    <cellStyle name="40% - 강조색5 19 3" xfId="718" xr:uid="{00000000-0005-0000-0000-0000FE040000}"/>
    <cellStyle name="40% - 강조색5 2" xfId="41" xr:uid="{00000000-0005-0000-0000-0000FF040000}"/>
    <cellStyle name="40% - 강조색5 20" xfId="446" xr:uid="{00000000-0005-0000-0000-000000050000}"/>
    <cellStyle name="40% - 강조색5 20 2" xfId="1014" xr:uid="{00000000-0005-0000-0000-000001050000}"/>
    <cellStyle name="40% - 강조색5 20 3" xfId="732" xr:uid="{00000000-0005-0000-0000-000002050000}"/>
    <cellStyle name="40% - 강조색5 21" xfId="460" xr:uid="{00000000-0005-0000-0000-000003050000}"/>
    <cellStyle name="40% - 강조색5 21 2" xfId="1028" xr:uid="{00000000-0005-0000-0000-000004050000}"/>
    <cellStyle name="40% - 강조색5 21 3" xfId="746" xr:uid="{00000000-0005-0000-0000-000005050000}"/>
    <cellStyle name="40% - 강조색5 22" xfId="474" xr:uid="{00000000-0005-0000-0000-000006050000}"/>
    <cellStyle name="40% - 강조색5 22 2" xfId="1042" xr:uid="{00000000-0005-0000-0000-000007050000}"/>
    <cellStyle name="40% - 강조색5 22 3" xfId="760" xr:uid="{00000000-0005-0000-0000-000008050000}"/>
    <cellStyle name="40% - 강조색5 23" xfId="488" xr:uid="{00000000-0005-0000-0000-000009050000}"/>
    <cellStyle name="40% - 강조색5 23 2" xfId="1056" xr:uid="{00000000-0005-0000-0000-00000A050000}"/>
    <cellStyle name="40% - 강조색5 23 3" xfId="774" xr:uid="{00000000-0005-0000-0000-00000B050000}"/>
    <cellStyle name="40% - 강조색5 24" xfId="502" xr:uid="{00000000-0005-0000-0000-00000C050000}"/>
    <cellStyle name="40% - 강조색5 24 2" xfId="1070" xr:uid="{00000000-0005-0000-0000-00000D050000}"/>
    <cellStyle name="40% - 강조색5 24 3" xfId="788" xr:uid="{00000000-0005-0000-0000-00000E050000}"/>
    <cellStyle name="40% - 강조색5 25" xfId="518" xr:uid="{00000000-0005-0000-0000-00000F050000}"/>
    <cellStyle name="40% - 강조색5 25 2" xfId="804" xr:uid="{00000000-0005-0000-0000-000010050000}"/>
    <cellStyle name="40% - 강조색5 26" xfId="816" xr:uid="{00000000-0005-0000-0000-000011050000}"/>
    <cellStyle name="40% - 강조색5 27" xfId="532" xr:uid="{00000000-0005-0000-0000-000012050000}"/>
    <cellStyle name="40% - 강조색5 28" xfId="1084" xr:uid="{00000000-0005-0000-0000-000013050000}"/>
    <cellStyle name="40% - 강조색5 29" xfId="1098" xr:uid="{00000000-0005-0000-0000-000014050000}"/>
    <cellStyle name="40% - 강조색5 3" xfId="42" xr:uid="{00000000-0005-0000-0000-000015050000}"/>
    <cellStyle name="40% - 강조색5 30" xfId="1112" xr:uid="{00000000-0005-0000-0000-000016050000}"/>
    <cellStyle name="40% - 강조색5 31" xfId="1126" xr:uid="{00000000-0005-0000-0000-000017050000}"/>
    <cellStyle name="40% - 강조색5 32" xfId="1140" xr:uid="{00000000-0005-0000-0000-000018050000}"/>
    <cellStyle name="40% - 강조색5 33" xfId="1154" xr:uid="{00000000-0005-0000-0000-000019050000}"/>
    <cellStyle name="40% - 강조색5 34" xfId="1168" xr:uid="{00000000-0005-0000-0000-00001A050000}"/>
    <cellStyle name="40% - 강조색5 35" xfId="1182" xr:uid="{00000000-0005-0000-0000-00001B050000}"/>
    <cellStyle name="40% - 강조색5 36" xfId="1196" xr:uid="{00000000-0005-0000-0000-00001C050000}"/>
    <cellStyle name="40% - 강조색5 37" xfId="1210" xr:uid="{00000000-0005-0000-0000-00001D050000}"/>
    <cellStyle name="40% - 강조색5 38" xfId="1224" xr:uid="{00000000-0005-0000-0000-00001E050000}"/>
    <cellStyle name="40% - 강조색5 39" xfId="1238" xr:uid="{00000000-0005-0000-0000-00001F050000}"/>
    <cellStyle name="40% - 강조색5 4" xfId="43" xr:uid="{00000000-0005-0000-0000-000020050000}"/>
    <cellStyle name="40% - 강조색5 40" xfId="1252" xr:uid="{00000000-0005-0000-0000-000021050000}"/>
    <cellStyle name="40% - 강조색5 41" xfId="1266" xr:uid="{00000000-0005-0000-0000-000022050000}"/>
    <cellStyle name="40% - 강조색5 42" xfId="1280" xr:uid="{00000000-0005-0000-0000-000023050000}"/>
    <cellStyle name="40% - 강조색5 43" xfId="1294" xr:uid="{00000000-0005-0000-0000-000024050000}"/>
    <cellStyle name="40% - 강조색5 44" xfId="1308" xr:uid="{00000000-0005-0000-0000-000025050000}"/>
    <cellStyle name="40% - 강조색5 45" xfId="1322" xr:uid="{00000000-0005-0000-0000-000026050000}"/>
    <cellStyle name="40% - 강조색5 46" xfId="1336" xr:uid="{00000000-0005-0000-0000-000027050000}"/>
    <cellStyle name="40% - 강조색5 47" xfId="1350" xr:uid="{00000000-0005-0000-0000-000028050000}"/>
    <cellStyle name="40% - 강조색5 48" xfId="1364" xr:uid="{00000000-0005-0000-0000-000029050000}"/>
    <cellStyle name="40% - 강조색5 49" xfId="1378" xr:uid="{00000000-0005-0000-0000-00002A050000}"/>
    <cellStyle name="40% - 강조색5 5" xfId="44" xr:uid="{00000000-0005-0000-0000-00002B050000}"/>
    <cellStyle name="40% - 강조색5 50" xfId="1392" xr:uid="{00000000-0005-0000-0000-00002C050000}"/>
    <cellStyle name="40% - 강조색5 51" xfId="1406" xr:uid="{00000000-0005-0000-0000-00002D050000}"/>
    <cellStyle name="40% - 강조색5 52" xfId="1420" xr:uid="{00000000-0005-0000-0000-00002E050000}"/>
    <cellStyle name="40% - 강조색5 53" xfId="1435" xr:uid="{00000000-0005-0000-0000-00002F050000}"/>
    <cellStyle name="40% - 강조색5 54" xfId="1449" xr:uid="{00000000-0005-0000-0000-000030050000}"/>
    <cellStyle name="40% - 강조색5 55" xfId="1463" xr:uid="{00000000-0005-0000-0000-000031050000}"/>
    <cellStyle name="40% - 강조색5 56" xfId="1477" xr:uid="{00000000-0005-0000-0000-000032050000}"/>
    <cellStyle name="40% - 강조색5 57" xfId="1491" xr:uid="{00000000-0005-0000-0000-000033050000}"/>
    <cellStyle name="40% - 강조색5 58" xfId="1505" xr:uid="{00000000-0005-0000-0000-000034050000}"/>
    <cellStyle name="40% - 강조색5 59" xfId="1519" xr:uid="{00000000-0005-0000-0000-000035050000}"/>
    <cellStyle name="40% - 강조색5 6" xfId="220" xr:uid="{00000000-0005-0000-0000-000036050000}"/>
    <cellStyle name="40% - 강조색5 6 2" xfId="830" xr:uid="{00000000-0005-0000-0000-000037050000}"/>
    <cellStyle name="40% - 강조색5 6 3" xfId="548" xr:uid="{00000000-0005-0000-0000-000038050000}"/>
    <cellStyle name="40% - 강조색5 60" xfId="1533" xr:uid="{00000000-0005-0000-0000-000039050000}"/>
    <cellStyle name="40% - 강조색5 61" xfId="1547" xr:uid="{00000000-0005-0000-0000-00003A050000}"/>
    <cellStyle name="40% - 강조색5 62" xfId="1561" xr:uid="{00000000-0005-0000-0000-00003B050000}"/>
    <cellStyle name="40% - 강조색5 63" xfId="1575" xr:uid="{00000000-0005-0000-0000-00003C050000}"/>
    <cellStyle name="40% - 강조색5 64" xfId="1589" xr:uid="{00000000-0005-0000-0000-00003D050000}"/>
    <cellStyle name="40% - 강조색5 65" xfId="1603" xr:uid="{00000000-0005-0000-0000-00003E050000}"/>
    <cellStyle name="40% - 강조색5 66" xfId="1617" xr:uid="{00000000-0005-0000-0000-00003F050000}"/>
    <cellStyle name="40% - 강조색5 67" xfId="1631" xr:uid="{00000000-0005-0000-0000-000040050000}"/>
    <cellStyle name="40% - 강조색5 68" xfId="1645" xr:uid="{00000000-0005-0000-0000-000041050000}"/>
    <cellStyle name="40% - 강조색5 69" xfId="1659" xr:uid="{00000000-0005-0000-0000-000042050000}"/>
    <cellStyle name="40% - 강조색5 7" xfId="237" xr:uid="{00000000-0005-0000-0000-000043050000}"/>
    <cellStyle name="40% - 강조색5 7 2" xfId="846" xr:uid="{00000000-0005-0000-0000-000044050000}"/>
    <cellStyle name="40% - 강조색5 7 3" xfId="564" xr:uid="{00000000-0005-0000-0000-000045050000}"/>
    <cellStyle name="40% - 강조색5 70" xfId="1673" xr:uid="{00000000-0005-0000-0000-000046050000}"/>
    <cellStyle name="40% - 강조색5 71" xfId="1687" xr:uid="{00000000-0005-0000-0000-000047050000}"/>
    <cellStyle name="40% - 강조색5 72" xfId="1701" xr:uid="{00000000-0005-0000-0000-000048050000}"/>
    <cellStyle name="40% - 강조색5 73" xfId="1715" xr:uid="{00000000-0005-0000-0000-000049050000}"/>
    <cellStyle name="40% - 강조색5 74" xfId="1729" xr:uid="{00000000-0005-0000-0000-00004A050000}"/>
    <cellStyle name="40% - 강조색5 75" xfId="1748" xr:uid="{00000000-0005-0000-0000-00004B050000}"/>
    <cellStyle name="40% - 강조색5 76" xfId="1768" xr:uid="{00000000-0005-0000-0000-00004C050000}"/>
    <cellStyle name="40% - 강조색5 77" xfId="1788" xr:uid="{00000000-0005-0000-0000-00004D050000}"/>
    <cellStyle name="40% - 강조색5 78" xfId="1809" xr:uid="{00000000-0005-0000-0000-00004E050000}"/>
    <cellStyle name="40% - 강조색5 79" xfId="1825" xr:uid="{00000000-0005-0000-0000-00004F050000}"/>
    <cellStyle name="40% - 강조색5 8" xfId="251" xr:uid="{00000000-0005-0000-0000-000050050000}"/>
    <cellStyle name="40% - 강조색5 8 2" xfId="860" xr:uid="{00000000-0005-0000-0000-000051050000}"/>
    <cellStyle name="40% - 강조색5 8 3" xfId="578" xr:uid="{00000000-0005-0000-0000-000052050000}"/>
    <cellStyle name="40% - 강조색5 80" xfId="1839" xr:uid="{00000000-0005-0000-0000-000053050000}"/>
    <cellStyle name="40% - 강조색5 81" xfId="1853" xr:uid="{00000000-0005-0000-0000-000054050000}"/>
    <cellStyle name="40% - 강조색5 82" xfId="1867" xr:uid="{00000000-0005-0000-0000-000055050000}"/>
    <cellStyle name="40% - 강조색5 83" xfId="1881" xr:uid="{00000000-0005-0000-0000-000056050000}"/>
    <cellStyle name="40% - 강조색5 84" xfId="1895" xr:uid="{00000000-0005-0000-0000-000057050000}"/>
    <cellStyle name="40% - 강조색5 85" xfId="1909" xr:uid="{00000000-0005-0000-0000-000058050000}"/>
    <cellStyle name="40% - 강조색5 86" xfId="1923" xr:uid="{00000000-0005-0000-0000-000059050000}"/>
    <cellStyle name="40% - 강조색5 87" xfId="1938" xr:uid="{00000000-0005-0000-0000-00005A050000}"/>
    <cellStyle name="40% - 강조색5 88" xfId="1952" xr:uid="{00000000-0005-0000-0000-00005B050000}"/>
    <cellStyle name="40% - 강조색5 9" xfId="265" xr:uid="{00000000-0005-0000-0000-00005C050000}"/>
    <cellStyle name="40% - 강조색5 9 2" xfId="874" xr:uid="{00000000-0005-0000-0000-00005D050000}"/>
    <cellStyle name="40% - 강조색5 9 3" xfId="592" xr:uid="{00000000-0005-0000-0000-00005E050000}"/>
    <cellStyle name="40% - 강조색6" xfId="207" builtinId="51" customBuiltin="1"/>
    <cellStyle name="40% - 강조색6 10" xfId="307" xr:uid="{00000000-0005-0000-0000-000060050000}"/>
    <cellStyle name="40% - 강조색6 10 2" xfId="890" xr:uid="{00000000-0005-0000-0000-000061050000}"/>
    <cellStyle name="40% - 강조색6 10 3" xfId="608" xr:uid="{00000000-0005-0000-0000-000062050000}"/>
    <cellStyle name="40% - 강조색6 11" xfId="322" xr:uid="{00000000-0005-0000-0000-000063050000}"/>
    <cellStyle name="40% - 강조색6 12" xfId="336" xr:uid="{00000000-0005-0000-0000-000064050000}"/>
    <cellStyle name="40% - 강조색6 12 2" xfId="904" xr:uid="{00000000-0005-0000-0000-000065050000}"/>
    <cellStyle name="40% - 강조색6 12 3" xfId="622" xr:uid="{00000000-0005-0000-0000-000066050000}"/>
    <cellStyle name="40% - 강조색6 13" xfId="350" xr:uid="{00000000-0005-0000-0000-000067050000}"/>
    <cellStyle name="40% - 강조색6 13 2" xfId="918" xr:uid="{00000000-0005-0000-0000-000068050000}"/>
    <cellStyle name="40% - 강조색6 13 3" xfId="636" xr:uid="{00000000-0005-0000-0000-000069050000}"/>
    <cellStyle name="40% - 강조색6 14" xfId="364" xr:uid="{00000000-0005-0000-0000-00006A050000}"/>
    <cellStyle name="40% - 강조색6 14 2" xfId="932" xr:uid="{00000000-0005-0000-0000-00006B050000}"/>
    <cellStyle name="40% - 강조색6 14 3" xfId="650" xr:uid="{00000000-0005-0000-0000-00006C050000}"/>
    <cellStyle name="40% - 강조색6 15" xfId="378" xr:uid="{00000000-0005-0000-0000-00006D050000}"/>
    <cellStyle name="40% - 강조색6 15 2" xfId="946" xr:uid="{00000000-0005-0000-0000-00006E050000}"/>
    <cellStyle name="40% - 강조색6 15 3" xfId="664" xr:uid="{00000000-0005-0000-0000-00006F050000}"/>
    <cellStyle name="40% - 강조색6 16" xfId="392" xr:uid="{00000000-0005-0000-0000-000070050000}"/>
    <cellStyle name="40% - 강조색6 16 2" xfId="960" xr:uid="{00000000-0005-0000-0000-000071050000}"/>
    <cellStyle name="40% - 강조색6 16 3" xfId="678" xr:uid="{00000000-0005-0000-0000-000072050000}"/>
    <cellStyle name="40% - 강조색6 17" xfId="406" xr:uid="{00000000-0005-0000-0000-000073050000}"/>
    <cellStyle name="40% - 강조색6 17 2" xfId="974" xr:uid="{00000000-0005-0000-0000-000074050000}"/>
    <cellStyle name="40% - 강조색6 17 3" xfId="692" xr:uid="{00000000-0005-0000-0000-000075050000}"/>
    <cellStyle name="40% - 강조색6 18" xfId="420" xr:uid="{00000000-0005-0000-0000-000076050000}"/>
    <cellStyle name="40% - 강조색6 18 2" xfId="988" xr:uid="{00000000-0005-0000-0000-000077050000}"/>
    <cellStyle name="40% - 강조색6 18 3" xfId="706" xr:uid="{00000000-0005-0000-0000-000078050000}"/>
    <cellStyle name="40% - 강조색6 19" xfId="434" xr:uid="{00000000-0005-0000-0000-000079050000}"/>
    <cellStyle name="40% - 강조색6 19 2" xfId="1002" xr:uid="{00000000-0005-0000-0000-00007A050000}"/>
    <cellStyle name="40% - 강조색6 19 3" xfId="720" xr:uid="{00000000-0005-0000-0000-00007B050000}"/>
    <cellStyle name="40% - 강조색6 2" xfId="45" xr:uid="{00000000-0005-0000-0000-00007C050000}"/>
    <cellStyle name="40% - 강조색6 20" xfId="448" xr:uid="{00000000-0005-0000-0000-00007D050000}"/>
    <cellStyle name="40% - 강조색6 20 2" xfId="1016" xr:uid="{00000000-0005-0000-0000-00007E050000}"/>
    <cellStyle name="40% - 강조색6 20 3" xfId="734" xr:uid="{00000000-0005-0000-0000-00007F050000}"/>
    <cellStyle name="40% - 강조색6 21" xfId="462" xr:uid="{00000000-0005-0000-0000-000080050000}"/>
    <cellStyle name="40% - 강조색6 21 2" xfId="1030" xr:uid="{00000000-0005-0000-0000-000081050000}"/>
    <cellStyle name="40% - 강조색6 21 3" xfId="748" xr:uid="{00000000-0005-0000-0000-000082050000}"/>
    <cellStyle name="40% - 강조색6 22" xfId="476" xr:uid="{00000000-0005-0000-0000-000083050000}"/>
    <cellStyle name="40% - 강조색6 22 2" xfId="1044" xr:uid="{00000000-0005-0000-0000-000084050000}"/>
    <cellStyle name="40% - 강조색6 22 3" xfId="762" xr:uid="{00000000-0005-0000-0000-000085050000}"/>
    <cellStyle name="40% - 강조색6 23" xfId="490" xr:uid="{00000000-0005-0000-0000-000086050000}"/>
    <cellStyle name="40% - 강조색6 23 2" xfId="1058" xr:uid="{00000000-0005-0000-0000-000087050000}"/>
    <cellStyle name="40% - 강조색6 23 3" xfId="776" xr:uid="{00000000-0005-0000-0000-000088050000}"/>
    <cellStyle name="40% - 강조색6 24" xfId="504" xr:uid="{00000000-0005-0000-0000-000089050000}"/>
    <cellStyle name="40% - 강조색6 24 2" xfId="1072" xr:uid="{00000000-0005-0000-0000-00008A050000}"/>
    <cellStyle name="40% - 강조색6 24 3" xfId="790" xr:uid="{00000000-0005-0000-0000-00008B050000}"/>
    <cellStyle name="40% - 강조색6 25" xfId="520" xr:uid="{00000000-0005-0000-0000-00008C050000}"/>
    <cellStyle name="40% - 강조색6 25 2" xfId="806" xr:uid="{00000000-0005-0000-0000-00008D050000}"/>
    <cellStyle name="40% - 강조색6 26" xfId="818" xr:uid="{00000000-0005-0000-0000-00008E050000}"/>
    <cellStyle name="40% - 강조색6 27" xfId="534" xr:uid="{00000000-0005-0000-0000-00008F050000}"/>
    <cellStyle name="40% - 강조색6 28" xfId="1086" xr:uid="{00000000-0005-0000-0000-000090050000}"/>
    <cellStyle name="40% - 강조색6 29" xfId="1100" xr:uid="{00000000-0005-0000-0000-000091050000}"/>
    <cellStyle name="40% - 강조색6 3" xfId="46" xr:uid="{00000000-0005-0000-0000-000092050000}"/>
    <cellStyle name="40% - 강조색6 30" xfId="1114" xr:uid="{00000000-0005-0000-0000-000093050000}"/>
    <cellStyle name="40% - 강조색6 31" xfId="1128" xr:uid="{00000000-0005-0000-0000-000094050000}"/>
    <cellStyle name="40% - 강조색6 32" xfId="1142" xr:uid="{00000000-0005-0000-0000-000095050000}"/>
    <cellStyle name="40% - 강조색6 33" xfId="1156" xr:uid="{00000000-0005-0000-0000-000096050000}"/>
    <cellStyle name="40% - 강조색6 34" xfId="1170" xr:uid="{00000000-0005-0000-0000-000097050000}"/>
    <cellStyle name="40% - 강조색6 35" xfId="1184" xr:uid="{00000000-0005-0000-0000-000098050000}"/>
    <cellStyle name="40% - 강조색6 36" xfId="1198" xr:uid="{00000000-0005-0000-0000-000099050000}"/>
    <cellStyle name="40% - 강조색6 37" xfId="1212" xr:uid="{00000000-0005-0000-0000-00009A050000}"/>
    <cellStyle name="40% - 강조색6 38" xfId="1226" xr:uid="{00000000-0005-0000-0000-00009B050000}"/>
    <cellStyle name="40% - 강조색6 39" xfId="1240" xr:uid="{00000000-0005-0000-0000-00009C050000}"/>
    <cellStyle name="40% - 강조색6 4" xfId="47" xr:uid="{00000000-0005-0000-0000-00009D050000}"/>
    <cellStyle name="40% - 강조색6 40" xfId="1254" xr:uid="{00000000-0005-0000-0000-00009E050000}"/>
    <cellStyle name="40% - 강조색6 41" xfId="1268" xr:uid="{00000000-0005-0000-0000-00009F050000}"/>
    <cellStyle name="40% - 강조색6 42" xfId="1282" xr:uid="{00000000-0005-0000-0000-0000A0050000}"/>
    <cellStyle name="40% - 강조색6 43" xfId="1296" xr:uid="{00000000-0005-0000-0000-0000A1050000}"/>
    <cellStyle name="40% - 강조색6 44" xfId="1310" xr:uid="{00000000-0005-0000-0000-0000A2050000}"/>
    <cellStyle name="40% - 강조색6 45" xfId="1324" xr:uid="{00000000-0005-0000-0000-0000A3050000}"/>
    <cellStyle name="40% - 강조색6 46" xfId="1338" xr:uid="{00000000-0005-0000-0000-0000A4050000}"/>
    <cellStyle name="40% - 강조색6 47" xfId="1352" xr:uid="{00000000-0005-0000-0000-0000A5050000}"/>
    <cellStyle name="40% - 강조색6 48" xfId="1366" xr:uid="{00000000-0005-0000-0000-0000A6050000}"/>
    <cellStyle name="40% - 강조색6 49" xfId="1380" xr:uid="{00000000-0005-0000-0000-0000A7050000}"/>
    <cellStyle name="40% - 강조색6 5" xfId="48" xr:uid="{00000000-0005-0000-0000-0000A8050000}"/>
    <cellStyle name="40% - 강조색6 50" xfId="1394" xr:uid="{00000000-0005-0000-0000-0000A9050000}"/>
    <cellStyle name="40% - 강조색6 51" xfId="1408" xr:uid="{00000000-0005-0000-0000-0000AA050000}"/>
    <cellStyle name="40% - 강조색6 52" xfId="1422" xr:uid="{00000000-0005-0000-0000-0000AB050000}"/>
    <cellStyle name="40% - 강조색6 53" xfId="1437" xr:uid="{00000000-0005-0000-0000-0000AC050000}"/>
    <cellStyle name="40% - 강조색6 54" xfId="1451" xr:uid="{00000000-0005-0000-0000-0000AD050000}"/>
    <cellStyle name="40% - 강조색6 55" xfId="1465" xr:uid="{00000000-0005-0000-0000-0000AE050000}"/>
    <cellStyle name="40% - 강조색6 56" xfId="1479" xr:uid="{00000000-0005-0000-0000-0000AF050000}"/>
    <cellStyle name="40% - 강조색6 57" xfId="1493" xr:uid="{00000000-0005-0000-0000-0000B0050000}"/>
    <cellStyle name="40% - 강조색6 58" xfId="1507" xr:uid="{00000000-0005-0000-0000-0000B1050000}"/>
    <cellStyle name="40% - 강조색6 59" xfId="1521" xr:uid="{00000000-0005-0000-0000-0000B2050000}"/>
    <cellStyle name="40% - 강조색6 6" xfId="222" xr:uid="{00000000-0005-0000-0000-0000B3050000}"/>
    <cellStyle name="40% - 강조색6 6 2" xfId="832" xr:uid="{00000000-0005-0000-0000-0000B4050000}"/>
    <cellStyle name="40% - 강조색6 6 3" xfId="550" xr:uid="{00000000-0005-0000-0000-0000B5050000}"/>
    <cellStyle name="40% - 강조색6 60" xfId="1535" xr:uid="{00000000-0005-0000-0000-0000B6050000}"/>
    <cellStyle name="40% - 강조색6 61" xfId="1549" xr:uid="{00000000-0005-0000-0000-0000B7050000}"/>
    <cellStyle name="40% - 강조색6 62" xfId="1563" xr:uid="{00000000-0005-0000-0000-0000B8050000}"/>
    <cellStyle name="40% - 강조색6 63" xfId="1577" xr:uid="{00000000-0005-0000-0000-0000B9050000}"/>
    <cellStyle name="40% - 강조색6 64" xfId="1591" xr:uid="{00000000-0005-0000-0000-0000BA050000}"/>
    <cellStyle name="40% - 강조색6 65" xfId="1605" xr:uid="{00000000-0005-0000-0000-0000BB050000}"/>
    <cellStyle name="40% - 강조색6 66" xfId="1619" xr:uid="{00000000-0005-0000-0000-0000BC050000}"/>
    <cellStyle name="40% - 강조색6 67" xfId="1633" xr:uid="{00000000-0005-0000-0000-0000BD050000}"/>
    <cellStyle name="40% - 강조색6 68" xfId="1647" xr:uid="{00000000-0005-0000-0000-0000BE050000}"/>
    <cellStyle name="40% - 강조색6 69" xfId="1661" xr:uid="{00000000-0005-0000-0000-0000BF050000}"/>
    <cellStyle name="40% - 강조색6 7" xfId="239" xr:uid="{00000000-0005-0000-0000-0000C0050000}"/>
    <cellStyle name="40% - 강조색6 7 2" xfId="848" xr:uid="{00000000-0005-0000-0000-0000C1050000}"/>
    <cellStyle name="40% - 강조색6 7 3" xfId="566" xr:uid="{00000000-0005-0000-0000-0000C2050000}"/>
    <cellStyle name="40% - 강조색6 70" xfId="1675" xr:uid="{00000000-0005-0000-0000-0000C3050000}"/>
    <cellStyle name="40% - 강조색6 71" xfId="1689" xr:uid="{00000000-0005-0000-0000-0000C4050000}"/>
    <cellStyle name="40% - 강조색6 72" xfId="1703" xr:uid="{00000000-0005-0000-0000-0000C5050000}"/>
    <cellStyle name="40% - 강조색6 73" xfId="1717" xr:uid="{00000000-0005-0000-0000-0000C6050000}"/>
    <cellStyle name="40% - 강조색6 74" xfId="1731" xr:uid="{00000000-0005-0000-0000-0000C7050000}"/>
    <cellStyle name="40% - 강조색6 75" xfId="1751" xr:uid="{00000000-0005-0000-0000-0000C8050000}"/>
    <cellStyle name="40% - 강조색6 76" xfId="1771" xr:uid="{00000000-0005-0000-0000-0000C9050000}"/>
    <cellStyle name="40% - 강조색6 77" xfId="1791" xr:uid="{00000000-0005-0000-0000-0000CA050000}"/>
    <cellStyle name="40% - 강조색6 78" xfId="1812" xr:uid="{00000000-0005-0000-0000-0000CB050000}"/>
    <cellStyle name="40% - 강조색6 79" xfId="1827" xr:uid="{00000000-0005-0000-0000-0000CC050000}"/>
    <cellStyle name="40% - 강조색6 8" xfId="253" xr:uid="{00000000-0005-0000-0000-0000CD050000}"/>
    <cellStyle name="40% - 강조색6 8 2" xfId="862" xr:uid="{00000000-0005-0000-0000-0000CE050000}"/>
    <cellStyle name="40% - 강조색6 8 3" xfId="580" xr:uid="{00000000-0005-0000-0000-0000CF050000}"/>
    <cellStyle name="40% - 강조색6 80" xfId="1841" xr:uid="{00000000-0005-0000-0000-0000D0050000}"/>
    <cellStyle name="40% - 강조색6 81" xfId="1855" xr:uid="{00000000-0005-0000-0000-0000D1050000}"/>
    <cellStyle name="40% - 강조색6 82" xfId="1869" xr:uid="{00000000-0005-0000-0000-0000D2050000}"/>
    <cellStyle name="40% - 강조색6 83" xfId="1883" xr:uid="{00000000-0005-0000-0000-0000D3050000}"/>
    <cellStyle name="40% - 강조색6 84" xfId="1897" xr:uid="{00000000-0005-0000-0000-0000D4050000}"/>
    <cellStyle name="40% - 강조색6 85" xfId="1911" xr:uid="{00000000-0005-0000-0000-0000D5050000}"/>
    <cellStyle name="40% - 강조색6 86" xfId="1925" xr:uid="{00000000-0005-0000-0000-0000D6050000}"/>
    <cellStyle name="40% - 강조색6 87" xfId="1940" xr:uid="{00000000-0005-0000-0000-0000D7050000}"/>
    <cellStyle name="40% - 강조색6 88" xfId="1954" xr:uid="{00000000-0005-0000-0000-0000D8050000}"/>
    <cellStyle name="40% - 강조색6 9" xfId="267" xr:uid="{00000000-0005-0000-0000-0000D9050000}"/>
    <cellStyle name="40% - 강조색6 9 2" xfId="876" xr:uid="{00000000-0005-0000-0000-0000DA050000}"/>
    <cellStyle name="40% - 강조색6 9 3" xfId="594" xr:uid="{00000000-0005-0000-0000-0000DB050000}"/>
    <cellStyle name="60% - 강조색1" xfId="188" builtinId="32" customBuiltin="1"/>
    <cellStyle name="60% - 강조색1 10" xfId="1798" xr:uid="{00000000-0005-0000-0000-0000DD050000}"/>
    <cellStyle name="60% - 강조색1 2" xfId="49" xr:uid="{00000000-0005-0000-0000-0000DE050000}"/>
    <cellStyle name="60% - 강조색1 3" xfId="50" xr:uid="{00000000-0005-0000-0000-0000DF050000}"/>
    <cellStyle name="60% - 강조색1 4" xfId="51" xr:uid="{00000000-0005-0000-0000-0000E0050000}"/>
    <cellStyle name="60% - 강조색1 5" xfId="52" xr:uid="{00000000-0005-0000-0000-0000E1050000}"/>
    <cellStyle name="60% - 강조색1 6" xfId="288" xr:uid="{00000000-0005-0000-0000-0000E2050000}"/>
    <cellStyle name="60% - 강조색1 7" xfId="1737" xr:uid="{00000000-0005-0000-0000-0000E3050000}"/>
    <cellStyle name="60% - 강조색1 8" xfId="1757" xr:uid="{00000000-0005-0000-0000-0000E4050000}"/>
    <cellStyle name="60% - 강조색1 9" xfId="1777" xr:uid="{00000000-0005-0000-0000-0000E5050000}"/>
    <cellStyle name="60% - 강조색2" xfId="192" builtinId="36" customBuiltin="1"/>
    <cellStyle name="60% - 강조색2 10" xfId="1801" xr:uid="{00000000-0005-0000-0000-0000E7050000}"/>
    <cellStyle name="60% - 강조색2 2" xfId="53" xr:uid="{00000000-0005-0000-0000-0000E8050000}"/>
    <cellStyle name="60% - 강조색2 3" xfId="54" xr:uid="{00000000-0005-0000-0000-0000E9050000}"/>
    <cellStyle name="60% - 강조색2 4" xfId="55" xr:uid="{00000000-0005-0000-0000-0000EA050000}"/>
    <cellStyle name="60% - 강조색2 5" xfId="56" xr:uid="{00000000-0005-0000-0000-0000EB050000}"/>
    <cellStyle name="60% - 강조색2 6" xfId="292" xr:uid="{00000000-0005-0000-0000-0000EC050000}"/>
    <cellStyle name="60% - 강조색2 7" xfId="1740" xr:uid="{00000000-0005-0000-0000-0000ED050000}"/>
    <cellStyle name="60% - 강조색2 8" xfId="1760" xr:uid="{00000000-0005-0000-0000-0000EE050000}"/>
    <cellStyle name="60% - 강조색2 9" xfId="1780" xr:uid="{00000000-0005-0000-0000-0000EF050000}"/>
    <cellStyle name="60% - 강조색3" xfId="196" builtinId="40" customBuiltin="1"/>
    <cellStyle name="60% - 강조색3 10" xfId="1804" xr:uid="{00000000-0005-0000-0000-0000F1050000}"/>
    <cellStyle name="60% - 강조색3 2" xfId="57" xr:uid="{00000000-0005-0000-0000-0000F2050000}"/>
    <cellStyle name="60% - 강조색3 3" xfId="58" xr:uid="{00000000-0005-0000-0000-0000F3050000}"/>
    <cellStyle name="60% - 강조색3 4" xfId="59" xr:uid="{00000000-0005-0000-0000-0000F4050000}"/>
    <cellStyle name="60% - 강조색3 5" xfId="60" xr:uid="{00000000-0005-0000-0000-0000F5050000}"/>
    <cellStyle name="60% - 강조색3 6" xfId="296" xr:uid="{00000000-0005-0000-0000-0000F6050000}"/>
    <cellStyle name="60% - 강조색3 7" xfId="1743" xr:uid="{00000000-0005-0000-0000-0000F7050000}"/>
    <cellStyle name="60% - 강조색3 8" xfId="1763" xr:uid="{00000000-0005-0000-0000-0000F8050000}"/>
    <cellStyle name="60% - 강조색3 9" xfId="1783" xr:uid="{00000000-0005-0000-0000-0000F9050000}"/>
    <cellStyle name="60% - 강조색4" xfId="200" builtinId="44" customBuiltin="1"/>
    <cellStyle name="60% - 강조색4 10" xfId="1807" xr:uid="{00000000-0005-0000-0000-0000FB050000}"/>
    <cellStyle name="60% - 강조색4 2" xfId="61" xr:uid="{00000000-0005-0000-0000-0000FC050000}"/>
    <cellStyle name="60% - 강조색4 3" xfId="62" xr:uid="{00000000-0005-0000-0000-0000FD050000}"/>
    <cellStyle name="60% - 강조색4 4" xfId="63" xr:uid="{00000000-0005-0000-0000-0000FE050000}"/>
    <cellStyle name="60% - 강조색4 5" xfId="64" xr:uid="{00000000-0005-0000-0000-0000FF050000}"/>
    <cellStyle name="60% - 강조색4 6" xfId="300" xr:uid="{00000000-0005-0000-0000-000000060000}"/>
    <cellStyle name="60% - 강조색4 7" xfId="1746" xr:uid="{00000000-0005-0000-0000-000001060000}"/>
    <cellStyle name="60% - 강조색4 8" xfId="1766" xr:uid="{00000000-0005-0000-0000-000002060000}"/>
    <cellStyle name="60% - 강조색4 9" xfId="1786" xr:uid="{00000000-0005-0000-0000-000003060000}"/>
    <cellStyle name="60% - 강조색5" xfId="204" builtinId="48" customBuiltin="1"/>
    <cellStyle name="60% - 강조색5 10" xfId="1810" xr:uid="{00000000-0005-0000-0000-000005060000}"/>
    <cellStyle name="60% - 강조색5 2" xfId="65" xr:uid="{00000000-0005-0000-0000-000006060000}"/>
    <cellStyle name="60% - 강조색5 3" xfId="66" xr:uid="{00000000-0005-0000-0000-000007060000}"/>
    <cellStyle name="60% - 강조색5 4" xfId="67" xr:uid="{00000000-0005-0000-0000-000008060000}"/>
    <cellStyle name="60% - 강조색5 5" xfId="68" xr:uid="{00000000-0005-0000-0000-000009060000}"/>
    <cellStyle name="60% - 강조색5 6" xfId="304" xr:uid="{00000000-0005-0000-0000-00000A060000}"/>
    <cellStyle name="60% - 강조색5 7" xfId="1749" xr:uid="{00000000-0005-0000-0000-00000B060000}"/>
    <cellStyle name="60% - 강조색5 8" xfId="1769" xr:uid="{00000000-0005-0000-0000-00000C060000}"/>
    <cellStyle name="60% - 강조색5 9" xfId="1789" xr:uid="{00000000-0005-0000-0000-00000D060000}"/>
    <cellStyle name="60% - 강조색6" xfId="208" builtinId="52" customBuiltin="1"/>
    <cellStyle name="60% - 강조색6 10" xfId="1813" xr:uid="{00000000-0005-0000-0000-00000F060000}"/>
    <cellStyle name="60% - 강조색6 2" xfId="69" xr:uid="{00000000-0005-0000-0000-000010060000}"/>
    <cellStyle name="60% - 강조색6 3" xfId="70" xr:uid="{00000000-0005-0000-0000-000011060000}"/>
    <cellStyle name="60% - 강조색6 4" xfId="71" xr:uid="{00000000-0005-0000-0000-000012060000}"/>
    <cellStyle name="60% - 강조색6 5" xfId="72" xr:uid="{00000000-0005-0000-0000-000013060000}"/>
    <cellStyle name="60% - 강조색6 6" xfId="308" xr:uid="{00000000-0005-0000-0000-000014060000}"/>
    <cellStyle name="60% - 강조색6 7" xfId="1752" xr:uid="{00000000-0005-0000-0000-000015060000}"/>
    <cellStyle name="60% - 강조색6 8" xfId="1772" xr:uid="{00000000-0005-0000-0000-000016060000}"/>
    <cellStyle name="60% - 강조색6 9" xfId="1792" xr:uid="{00000000-0005-0000-0000-000017060000}"/>
    <cellStyle name="강조색1" xfId="185" builtinId="29" customBuiltin="1"/>
    <cellStyle name="강조색1 2" xfId="73" xr:uid="{00000000-0005-0000-0000-000019060000}"/>
    <cellStyle name="강조색1 3" xfId="74" xr:uid="{00000000-0005-0000-0000-00001A060000}"/>
    <cellStyle name="강조색1 4" xfId="75" xr:uid="{00000000-0005-0000-0000-00001B060000}"/>
    <cellStyle name="강조색1 5" xfId="76" xr:uid="{00000000-0005-0000-0000-00001C060000}"/>
    <cellStyle name="강조색1 6" xfId="285" xr:uid="{00000000-0005-0000-0000-00001D060000}"/>
    <cellStyle name="강조색2" xfId="189" builtinId="33" customBuiltin="1"/>
    <cellStyle name="강조색2 2" xfId="77" xr:uid="{00000000-0005-0000-0000-00001F060000}"/>
    <cellStyle name="강조색2 3" xfId="78" xr:uid="{00000000-0005-0000-0000-000020060000}"/>
    <cellStyle name="강조색2 4" xfId="79" xr:uid="{00000000-0005-0000-0000-000021060000}"/>
    <cellStyle name="강조색2 5" xfId="80" xr:uid="{00000000-0005-0000-0000-000022060000}"/>
    <cellStyle name="강조색2 6" xfId="289" xr:uid="{00000000-0005-0000-0000-000023060000}"/>
    <cellStyle name="강조색3" xfId="193" builtinId="37" customBuiltin="1"/>
    <cellStyle name="강조색3 2" xfId="81" xr:uid="{00000000-0005-0000-0000-000025060000}"/>
    <cellStyle name="강조색3 3" xfId="82" xr:uid="{00000000-0005-0000-0000-000026060000}"/>
    <cellStyle name="강조색3 4" xfId="83" xr:uid="{00000000-0005-0000-0000-000027060000}"/>
    <cellStyle name="강조색3 5" xfId="84" xr:uid="{00000000-0005-0000-0000-000028060000}"/>
    <cellStyle name="강조색3 6" xfId="293" xr:uid="{00000000-0005-0000-0000-000029060000}"/>
    <cellStyle name="강조색4" xfId="197" builtinId="41" customBuiltin="1"/>
    <cellStyle name="강조색4 2" xfId="85" xr:uid="{00000000-0005-0000-0000-00002B060000}"/>
    <cellStyle name="강조색4 3" xfId="86" xr:uid="{00000000-0005-0000-0000-00002C060000}"/>
    <cellStyle name="강조색4 4" xfId="87" xr:uid="{00000000-0005-0000-0000-00002D060000}"/>
    <cellStyle name="강조색4 5" xfId="88" xr:uid="{00000000-0005-0000-0000-00002E060000}"/>
    <cellStyle name="강조색4 6" xfId="297" xr:uid="{00000000-0005-0000-0000-00002F060000}"/>
    <cellStyle name="강조색5" xfId="201" builtinId="45" customBuiltin="1"/>
    <cellStyle name="강조색5 2" xfId="89" xr:uid="{00000000-0005-0000-0000-000031060000}"/>
    <cellStyle name="강조색5 3" xfId="90" xr:uid="{00000000-0005-0000-0000-000032060000}"/>
    <cellStyle name="강조색5 4" xfId="91" xr:uid="{00000000-0005-0000-0000-000033060000}"/>
    <cellStyle name="강조색5 5" xfId="92" xr:uid="{00000000-0005-0000-0000-000034060000}"/>
    <cellStyle name="강조색5 6" xfId="301" xr:uid="{00000000-0005-0000-0000-000035060000}"/>
    <cellStyle name="강조색6" xfId="205" builtinId="49" customBuiltin="1"/>
    <cellStyle name="강조색6 2" xfId="93" xr:uid="{00000000-0005-0000-0000-000037060000}"/>
    <cellStyle name="강조색6 3" xfId="94" xr:uid="{00000000-0005-0000-0000-000038060000}"/>
    <cellStyle name="강조색6 4" xfId="95" xr:uid="{00000000-0005-0000-0000-000039060000}"/>
    <cellStyle name="강조색6 5" xfId="96" xr:uid="{00000000-0005-0000-0000-00003A060000}"/>
    <cellStyle name="강조색6 6" xfId="305" xr:uid="{00000000-0005-0000-0000-00003B060000}"/>
    <cellStyle name="경고문" xfId="182" builtinId="11" customBuiltin="1"/>
    <cellStyle name="경고문 2" xfId="97" xr:uid="{00000000-0005-0000-0000-00003D060000}"/>
    <cellStyle name="경고문 3" xfId="98" xr:uid="{00000000-0005-0000-0000-00003E060000}"/>
    <cellStyle name="경고문 4" xfId="99" xr:uid="{00000000-0005-0000-0000-00003F060000}"/>
    <cellStyle name="경고문 5" xfId="100" xr:uid="{00000000-0005-0000-0000-000040060000}"/>
    <cellStyle name="경고문 6" xfId="281" xr:uid="{00000000-0005-0000-0000-000041060000}"/>
    <cellStyle name="계산" xfId="179" builtinId="22" customBuiltin="1"/>
    <cellStyle name="계산 2" xfId="101" xr:uid="{00000000-0005-0000-0000-000043060000}"/>
    <cellStyle name="계산 3" xfId="102" xr:uid="{00000000-0005-0000-0000-000044060000}"/>
    <cellStyle name="계산 4" xfId="103" xr:uid="{00000000-0005-0000-0000-000045060000}"/>
    <cellStyle name="계산 5" xfId="104" xr:uid="{00000000-0005-0000-0000-000046060000}"/>
    <cellStyle name="계산 6" xfId="278" xr:uid="{00000000-0005-0000-0000-000047060000}"/>
    <cellStyle name="나쁨" xfId="175" builtinId="27" customBuiltin="1"/>
    <cellStyle name="나쁨 2" xfId="105" xr:uid="{00000000-0005-0000-0000-000049060000}"/>
    <cellStyle name="나쁨 3" xfId="106" xr:uid="{00000000-0005-0000-0000-00004A060000}"/>
    <cellStyle name="나쁨 4" xfId="107" xr:uid="{00000000-0005-0000-0000-00004B060000}"/>
    <cellStyle name="나쁨 5" xfId="108" xr:uid="{00000000-0005-0000-0000-00004C060000}"/>
    <cellStyle name="나쁨 6" xfId="274" xr:uid="{00000000-0005-0000-0000-00004D060000}"/>
    <cellStyle name="메모 10" xfId="282" xr:uid="{00000000-0005-0000-0000-00004E060000}"/>
    <cellStyle name="메모 10 2" xfId="878" xr:uid="{00000000-0005-0000-0000-00004F060000}"/>
    <cellStyle name="메모 10 3" xfId="596" xr:uid="{00000000-0005-0000-0000-000050060000}"/>
    <cellStyle name="메모 11" xfId="310" xr:uid="{00000000-0005-0000-0000-000051060000}"/>
    <cellStyle name="메모 12" xfId="324" xr:uid="{00000000-0005-0000-0000-000052060000}"/>
    <cellStyle name="메모 12 2" xfId="892" xr:uid="{00000000-0005-0000-0000-000053060000}"/>
    <cellStyle name="메모 12 3" xfId="610" xr:uid="{00000000-0005-0000-0000-000054060000}"/>
    <cellStyle name="메모 13" xfId="338" xr:uid="{00000000-0005-0000-0000-000055060000}"/>
    <cellStyle name="메모 13 2" xfId="906" xr:uid="{00000000-0005-0000-0000-000056060000}"/>
    <cellStyle name="메모 13 3" xfId="624" xr:uid="{00000000-0005-0000-0000-000057060000}"/>
    <cellStyle name="메모 14" xfId="352" xr:uid="{00000000-0005-0000-0000-000058060000}"/>
    <cellStyle name="메모 14 2" xfId="920" xr:uid="{00000000-0005-0000-0000-000059060000}"/>
    <cellStyle name="메모 14 3" xfId="638" xr:uid="{00000000-0005-0000-0000-00005A060000}"/>
    <cellStyle name="메모 15" xfId="366" xr:uid="{00000000-0005-0000-0000-00005B060000}"/>
    <cellStyle name="메모 15 2" xfId="934" xr:uid="{00000000-0005-0000-0000-00005C060000}"/>
    <cellStyle name="메모 15 3" xfId="652" xr:uid="{00000000-0005-0000-0000-00005D060000}"/>
    <cellStyle name="메모 16" xfId="380" xr:uid="{00000000-0005-0000-0000-00005E060000}"/>
    <cellStyle name="메모 16 2" xfId="948" xr:uid="{00000000-0005-0000-0000-00005F060000}"/>
    <cellStyle name="메모 16 3" xfId="666" xr:uid="{00000000-0005-0000-0000-000060060000}"/>
    <cellStyle name="메모 17" xfId="394" xr:uid="{00000000-0005-0000-0000-000061060000}"/>
    <cellStyle name="메모 17 2" xfId="962" xr:uid="{00000000-0005-0000-0000-000062060000}"/>
    <cellStyle name="메모 17 3" xfId="680" xr:uid="{00000000-0005-0000-0000-000063060000}"/>
    <cellStyle name="메모 18" xfId="408" xr:uid="{00000000-0005-0000-0000-000064060000}"/>
    <cellStyle name="메모 18 2" xfId="976" xr:uid="{00000000-0005-0000-0000-000065060000}"/>
    <cellStyle name="메모 18 3" xfId="694" xr:uid="{00000000-0005-0000-0000-000066060000}"/>
    <cellStyle name="메모 19" xfId="422" xr:uid="{00000000-0005-0000-0000-000067060000}"/>
    <cellStyle name="메모 19 2" xfId="990" xr:uid="{00000000-0005-0000-0000-000068060000}"/>
    <cellStyle name="메모 19 3" xfId="708" xr:uid="{00000000-0005-0000-0000-000069060000}"/>
    <cellStyle name="메모 2" xfId="109" xr:uid="{00000000-0005-0000-0000-00006A060000}"/>
    <cellStyle name="메모 20" xfId="436" xr:uid="{00000000-0005-0000-0000-00006B060000}"/>
    <cellStyle name="메모 20 2" xfId="1004" xr:uid="{00000000-0005-0000-0000-00006C060000}"/>
    <cellStyle name="메모 20 3" xfId="722" xr:uid="{00000000-0005-0000-0000-00006D060000}"/>
    <cellStyle name="메모 21" xfId="450" xr:uid="{00000000-0005-0000-0000-00006E060000}"/>
    <cellStyle name="메모 21 2" xfId="1018" xr:uid="{00000000-0005-0000-0000-00006F060000}"/>
    <cellStyle name="메모 21 3" xfId="736" xr:uid="{00000000-0005-0000-0000-000070060000}"/>
    <cellStyle name="메모 22" xfId="464" xr:uid="{00000000-0005-0000-0000-000071060000}"/>
    <cellStyle name="메모 22 2" xfId="1032" xr:uid="{00000000-0005-0000-0000-000072060000}"/>
    <cellStyle name="메모 22 3" xfId="750" xr:uid="{00000000-0005-0000-0000-000073060000}"/>
    <cellStyle name="메모 23" xfId="478" xr:uid="{00000000-0005-0000-0000-000074060000}"/>
    <cellStyle name="메모 23 2" xfId="1046" xr:uid="{00000000-0005-0000-0000-000075060000}"/>
    <cellStyle name="메모 23 3" xfId="764" xr:uid="{00000000-0005-0000-0000-000076060000}"/>
    <cellStyle name="메모 24" xfId="492" xr:uid="{00000000-0005-0000-0000-000077060000}"/>
    <cellStyle name="메모 24 2" xfId="1060" xr:uid="{00000000-0005-0000-0000-000078060000}"/>
    <cellStyle name="메모 24 3" xfId="778" xr:uid="{00000000-0005-0000-0000-000079060000}"/>
    <cellStyle name="메모 25" xfId="508" xr:uid="{00000000-0005-0000-0000-00007A060000}"/>
    <cellStyle name="메모 25 2" xfId="794" xr:uid="{00000000-0005-0000-0000-00007B060000}"/>
    <cellStyle name="메모 26" xfId="1074" xr:uid="{00000000-0005-0000-0000-00007C060000}"/>
    <cellStyle name="메모 27" xfId="1088" xr:uid="{00000000-0005-0000-0000-00007D060000}"/>
    <cellStyle name="메모 28" xfId="1102" xr:uid="{00000000-0005-0000-0000-00007E060000}"/>
    <cellStyle name="메모 29" xfId="1116" xr:uid="{00000000-0005-0000-0000-00007F060000}"/>
    <cellStyle name="메모 3" xfId="110" xr:uid="{00000000-0005-0000-0000-000080060000}"/>
    <cellStyle name="메모 30" xfId="1130" xr:uid="{00000000-0005-0000-0000-000081060000}"/>
    <cellStyle name="메모 31" xfId="1144" xr:uid="{00000000-0005-0000-0000-000082060000}"/>
    <cellStyle name="메모 32" xfId="1158" xr:uid="{00000000-0005-0000-0000-000083060000}"/>
    <cellStyle name="메모 33" xfId="1172" xr:uid="{00000000-0005-0000-0000-000084060000}"/>
    <cellStyle name="메모 34" xfId="1186" xr:uid="{00000000-0005-0000-0000-000085060000}"/>
    <cellStyle name="메모 35" xfId="1200" xr:uid="{00000000-0005-0000-0000-000086060000}"/>
    <cellStyle name="메모 36" xfId="1214" xr:uid="{00000000-0005-0000-0000-000087060000}"/>
    <cellStyle name="메모 37" xfId="1228" xr:uid="{00000000-0005-0000-0000-000088060000}"/>
    <cellStyle name="메모 38" xfId="1242" xr:uid="{00000000-0005-0000-0000-000089060000}"/>
    <cellStyle name="메모 39" xfId="1256" xr:uid="{00000000-0005-0000-0000-00008A060000}"/>
    <cellStyle name="메모 4" xfId="111" xr:uid="{00000000-0005-0000-0000-00008B060000}"/>
    <cellStyle name="메모 40" xfId="1270" xr:uid="{00000000-0005-0000-0000-00008C060000}"/>
    <cellStyle name="메모 41" xfId="1284" xr:uid="{00000000-0005-0000-0000-00008D060000}"/>
    <cellStyle name="메모 42" xfId="1298" xr:uid="{00000000-0005-0000-0000-00008E060000}"/>
    <cellStyle name="메모 43" xfId="1312" xr:uid="{00000000-0005-0000-0000-00008F060000}"/>
    <cellStyle name="메모 44" xfId="1326" xr:uid="{00000000-0005-0000-0000-000090060000}"/>
    <cellStyle name="메모 45" xfId="1340" xr:uid="{00000000-0005-0000-0000-000091060000}"/>
    <cellStyle name="메모 46" xfId="1354" xr:uid="{00000000-0005-0000-0000-000092060000}"/>
    <cellStyle name="메모 47" xfId="1368" xr:uid="{00000000-0005-0000-0000-000093060000}"/>
    <cellStyle name="메모 48" xfId="1382" xr:uid="{00000000-0005-0000-0000-000094060000}"/>
    <cellStyle name="메모 49" xfId="1396" xr:uid="{00000000-0005-0000-0000-000095060000}"/>
    <cellStyle name="메모 5" xfId="112" xr:uid="{00000000-0005-0000-0000-000096060000}"/>
    <cellStyle name="메모 50" xfId="1410" xr:uid="{00000000-0005-0000-0000-000097060000}"/>
    <cellStyle name="메모 51" xfId="1425" xr:uid="{00000000-0005-0000-0000-000098060000}"/>
    <cellStyle name="메모 52" xfId="1439" xr:uid="{00000000-0005-0000-0000-000099060000}"/>
    <cellStyle name="메모 53" xfId="1453" xr:uid="{00000000-0005-0000-0000-00009A060000}"/>
    <cellStyle name="메모 54" xfId="1467" xr:uid="{00000000-0005-0000-0000-00009B060000}"/>
    <cellStyle name="메모 55" xfId="1481" xr:uid="{00000000-0005-0000-0000-00009C060000}"/>
    <cellStyle name="메모 56" xfId="1495" xr:uid="{00000000-0005-0000-0000-00009D060000}"/>
    <cellStyle name="메모 57" xfId="1509" xr:uid="{00000000-0005-0000-0000-00009E060000}"/>
    <cellStyle name="메모 58" xfId="1523" xr:uid="{00000000-0005-0000-0000-00009F060000}"/>
    <cellStyle name="메모 59" xfId="1537" xr:uid="{00000000-0005-0000-0000-0000A0060000}"/>
    <cellStyle name="메모 6" xfId="210" xr:uid="{00000000-0005-0000-0000-0000A1060000}"/>
    <cellStyle name="메모 6 2" xfId="224" xr:uid="{00000000-0005-0000-0000-0000A2060000}"/>
    <cellStyle name="메모 6 2 2" xfId="834" xr:uid="{00000000-0005-0000-0000-0000A3060000}"/>
    <cellStyle name="메모 6 2 3" xfId="552" xr:uid="{00000000-0005-0000-0000-0000A4060000}"/>
    <cellStyle name="메모 6 3" xfId="820" xr:uid="{00000000-0005-0000-0000-0000A5060000}"/>
    <cellStyle name="메모 6 4" xfId="538" xr:uid="{00000000-0005-0000-0000-0000A6060000}"/>
    <cellStyle name="메모 60" xfId="1551" xr:uid="{00000000-0005-0000-0000-0000A7060000}"/>
    <cellStyle name="메모 61" xfId="1565" xr:uid="{00000000-0005-0000-0000-0000A8060000}"/>
    <cellStyle name="메모 62" xfId="1579" xr:uid="{00000000-0005-0000-0000-0000A9060000}"/>
    <cellStyle name="메모 63" xfId="1593" xr:uid="{00000000-0005-0000-0000-0000AA060000}"/>
    <cellStyle name="메모 64" xfId="1607" xr:uid="{00000000-0005-0000-0000-0000AB060000}"/>
    <cellStyle name="메모 65" xfId="1621" xr:uid="{00000000-0005-0000-0000-0000AC060000}"/>
    <cellStyle name="메모 66" xfId="1635" xr:uid="{00000000-0005-0000-0000-0000AD060000}"/>
    <cellStyle name="메모 67" xfId="1649" xr:uid="{00000000-0005-0000-0000-0000AE060000}"/>
    <cellStyle name="메모 68" xfId="1663" xr:uid="{00000000-0005-0000-0000-0000AF060000}"/>
    <cellStyle name="메모 69" xfId="1677" xr:uid="{00000000-0005-0000-0000-0000B0060000}"/>
    <cellStyle name="메모 7" xfId="227" xr:uid="{00000000-0005-0000-0000-0000B1060000}"/>
    <cellStyle name="메모 7 2" xfId="836" xr:uid="{00000000-0005-0000-0000-0000B2060000}"/>
    <cellStyle name="메모 7 3" xfId="554" xr:uid="{00000000-0005-0000-0000-0000B3060000}"/>
    <cellStyle name="메모 70" xfId="1691" xr:uid="{00000000-0005-0000-0000-0000B4060000}"/>
    <cellStyle name="메모 71" xfId="1705" xr:uid="{00000000-0005-0000-0000-0000B5060000}"/>
    <cellStyle name="메모 72" xfId="1719" xr:uid="{00000000-0005-0000-0000-0000B6060000}"/>
    <cellStyle name="메모 73" xfId="1734" xr:uid="{00000000-0005-0000-0000-0000B7060000}"/>
    <cellStyle name="메모 74" xfId="1754" xr:uid="{00000000-0005-0000-0000-0000B8060000}"/>
    <cellStyle name="메모 75" xfId="1774" xr:uid="{00000000-0005-0000-0000-0000B9060000}"/>
    <cellStyle name="메모 76" xfId="1795" xr:uid="{00000000-0005-0000-0000-0000BA060000}"/>
    <cellStyle name="메모 77" xfId="1815" xr:uid="{00000000-0005-0000-0000-0000BB060000}"/>
    <cellStyle name="메모 78" xfId="1829" xr:uid="{00000000-0005-0000-0000-0000BC060000}"/>
    <cellStyle name="메모 79" xfId="1843" xr:uid="{00000000-0005-0000-0000-0000BD060000}"/>
    <cellStyle name="메모 8" xfId="241" xr:uid="{00000000-0005-0000-0000-0000BE060000}"/>
    <cellStyle name="메모 8 2" xfId="850" xr:uid="{00000000-0005-0000-0000-0000BF060000}"/>
    <cellStyle name="메모 8 3" xfId="568" xr:uid="{00000000-0005-0000-0000-0000C0060000}"/>
    <cellStyle name="메모 80" xfId="1857" xr:uid="{00000000-0005-0000-0000-0000C1060000}"/>
    <cellStyle name="메모 81" xfId="1871" xr:uid="{00000000-0005-0000-0000-0000C2060000}"/>
    <cellStyle name="메모 82" xfId="1885" xr:uid="{00000000-0005-0000-0000-0000C3060000}"/>
    <cellStyle name="메모 83" xfId="1899" xr:uid="{00000000-0005-0000-0000-0000C4060000}"/>
    <cellStyle name="메모 84" xfId="1913" xr:uid="{00000000-0005-0000-0000-0000C5060000}"/>
    <cellStyle name="메모 85" xfId="1928" xr:uid="{00000000-0005-0000-0000-0000C6060000}"/>
    <cellStyle name="메모 86" xfId="1942" xr:uid="{00000000-0005-0000-0000-0000C7060000}"/>
    <cellStyle name="메모 9" xfId="255" xr:uid="{00000000-0005-0000-0000-0000C8060000}"/>
    <cellStyle name="메모 9 2" xfId="864" xr:uid="{00000000-0005-0000-0000-0000C9060000}"/>
    <cellStyle name="메모 9 3" xfId="582" xr:uid="{00000000-0005-0000-0000-0000CA060000}"/>
    <cellStyle name="보통" xfId="176" builtinId="28" customBuiltin="1"/>
    <cellStyle name="보통 2" xfId="113" xr:uid="{00000000-0005-0000-0000-0000CC060000}"/>
    <cellStyle name="보통 3" xfId="114" xr:uid="{00000000-0005-0000-0000-0000CD060000}"/>
    <cellStyle name="보통 4" xfId="115" xr:uid="{00000000-0005-0000-0000-0000CE060000}"/>
    <cellStyle name="보통 5" xfId="116" xr:uid="{00000000-0005-0000-0000-0000CF060000}"/>
    <cellStyle name="보통 6" xfId="275" xr:uid="{00000000-0005-0000-0000-0000D0060000}"/>
    <cellStyle name="보통 7" xfId="1733" xr:uid="{00000000-0005-0000-0000-0000D1060000}"/>
    <cellStyle name="설명 텍스트" xfId="183" builtinId="53" customBuiltin="1"/>
    <cellStyle name="설명 텍스트 2" xfId="117" xr:uid="{00000000-0005-0000-0000-0000D3060000}"/>
    <cellStyle name="설명 텍스트 3" xfId="118" xr:uid="{00000000-0005-0000-0000-0000D4060000}"/>
    <cellStyle name="설명 텍스트 4" xfId="119" xr:uid="{00000000-0005-0000-0000-0000D5060000}"/>
    <cellStyle name="설명 텍스트 5" xfId="120" xr:uid="{00000000-0005-0000-0000-0000D6060000}"/>
    <cellStyle name="설명 텍스트 6" xfId="283" xr:uid="{00000000-0005-0000-0000-0000D7060000}"/>
    <cellStyle name="셀 확인" xfId="181" builtinId="23" customBuiltin="1"/>
    <cellStyle name="셀 확인 2" xfId="121" xr:uid="{00000000-0005-0000-0000-0000D9060000}"/>
    <cellStyle name="셀 확인 3" xfId="122" xr:uid="{00000000-0005-0000-0000-0000DA060000}"/>
    <cellStyle name="셀 확인 4" xfId="123" xr:uid="{00000000-0005-0000-0000-0000DB060000}"/>
    <cellStyle name="셀 확인 5" xfId="124" xr:uid="{00000000-0005-0000-0000-0000DC060000}"/>
    <cellStyle name="셀 확인 6" xfId="280" xr:uid="{00000000-0005-0000-0000-0000DD060000}"/>
    <cellStyle name="쉼표 [0]" xfId="125" builtinId="6"/>
    <cellStyle name="쉼표 [0] 2" xfId="521" xr:uid="{00000000-0005-0000-0000-0000DF060000}"/>
    <cellStyle name="쉼표 [0] 3" xfId="536" xr:uid="{00000000-0005-0000-0000-0000E0060000}"/>
    <cellStyle name="연결된 셀" xfId="180" builtinId="24" customBuiltin="1"/>
    <cellStyle name="연결된 셀 2" xfId="126" xr:uid="{00000000-0005-0000-0000-0000E2060000}"/>
    <cellStyle name="연결된 셀 3" xfId="127" xr:uid="{00000000-0005-0000-0000-0000E3060000}"/>
    <cellStyle name="연결된 셀 4" xfId="128" xr:uid="{00000000-0005-0000-0000-0000E4060000}"/>
    <cellStyle name="연결된 셀 5" xfId="129" xr:uid="{00000000-0005-0000-0000-0000E5060000}"/>
    <cellStyle name="연결된 셀 6" xfId="279" xr:uid="{00000000-0005-0000-0000-0000E6060000}"/>
    <cellStyle name="요약" xfId="184" builtinId="25" customBuiltin="1"/>
    <cellStyle name="요약 2" xfId="130" xr:uid="{00000000-0005-0000-0000-0000E8060000}"/>
    <cellStyle name="요약 3" xfId="131" xr:uid="{00000000-0005-0000-0000-0000E9060000}"/>
    <cellStyle name="요약 4" xfId="132" xr:uid="{00000000-0005-0000-0000-0000EA060000}"/>
    <cellStyle name="요약 5" xfId="133" xr:uid="{00000000-0005-0000-0000-0000EB060000}"/>
    <cellStyle name="요약 6" xfId="284" xr:uid="{00000000-0005-0000-0000-0000EC060000}"/>
    <cellStyle name="입력" xfId="177" builtinId="20" customBuiltin="1"/>
    <cellStyle name="입력 2" xfId="134" xr:uid="{00000000-0005-0000-0000-0000EE060000}"/>
    <cellStyle name="입력 3" xfId="135" xr:uid="{00000000-0005-0000-0000-0000EF060000}"/>
    <cellStyle name="입력 4" xfId="136" xr:uid="{00000000-0005-0000-0000-0000F0060000}"/>
    <cellStyle name="입력 5" xfId="137" xr:uid="{00000000-0005-0000-0000-0000F1060000}"/>
    <cellStyle name="입력 6" xfId="276" xr:uid="{00000000-0005-0000-0000-0000F2060000}"/>
    <cellStyle name="제목" xfId="169" builtinId="15" customBuiltin="1"/>
    <cellStyle name="제목 1" xfId="170" builtinId="16" customBuiltin="1"/>
    <cellStyle name="제목 1 2" xfId="138" xr:uid="{00000000-0005-0000-0000-0000F5060000}"/>
    <cellStyle name="제목 1 3" xfId="139" xr:uid="{00000000-0005-0000-0000-0000F6060000}"/>
    <cellStyle name="제목 1 4" xfId="140" xr:uid="{00000000-0005-0000-0000-0000F7060000}"/>
    <cellStyle name="제목 1 5" xfId="141" xr:uid="{00000000-0005-0000-0000-0000F8060000}"/>
    <cellStyle name="제목 1 6" xfId="269" xr:uid="{00000000-0005-0000-0000-0000F9060000}"/>
    <cellStyle name="제목 2" xfId="171" builtinId="17" customBuiltin="1"/>
    <cellStyle name="제목 2 2" xfId="142" xr:uid="{00000000-0005-0000-0000-0000FB060000}"/>
    <cellStyle name="제목 2 3" xfId="143" xr:uid="{00000000-0005-0000-0000-0000FC060000}"/>
    <cellStyle name="제목 2 4" xfId="144" xr:uid="{00000000-0005-0000-0000-0000FD060000}"/>
    <cellStyle name="제목 2 5" xfId="145" xr:uid="{00000000-0005-0000-0000-0000FE060000}"/>
    <cellStyle name="제목 2 6" xfId="270" xr:uid="{00000000-0005-0000-0000-0000FF060000}"/>
    <cellStyle name="제목 3" xfId="172" builtinId="18" customBuiltin="1"/>
    <cellStyle name="제목 3 2" xfId="146" xr:uid="{00000000-0005-0000-0000-000001070000}"/>
    <cellStyle name="제목 3 3" xfId="147" xr:uid="{00000000-0005-0000-0000-000002070000}"/>
    <cellStyle name="제목 3 4" xfId="148" xr:uid="{00000000-0005-0000-0000-000003070000}"/>
    <cellStyle name="제목 3 5" xfId="149" xr:uid="{00000000-0005-0000-0000-000004070000}"/>
    <cellStyle name="제목 3 6" xfId="271" xr:uid="{00000000-0005-0000-0000-000005070000}"/>
    <cellStyle name="제목 4" xfId="173" builtinId="19" customBuiltin="1"/>
    <cellStyle name="제목 4 2" xfId="150" xr:uid="{00000000-0005-0000-0000-000007070000}"/>
    <cellStyle name="제목 4 3" xfId="151" xr:uid="{00000000-0005-0000-0000-000008070000}"/>
    <cellStyle name="제목 4 4" xfId="152" xr:uid="{00000000-0005-0000-0000-000009070000}"/>
    <cellStyle name="제목 4 5" xfId="153" xr:uid="{00000000-0005-0000-0000-00000A070000}"/>
    <cellStyle name="제목 4 6" xfId="272" xr:uid="{00000000-0005-0000-0000-00000B070000}"/>
    <cellStyle name="제목 5" xfId="154" xr:uid="{00000000-0005-0000-0000-00000C070000}"/>
    <cellStyle name="제목 6" xfId="155" xr:uid="{00000000-0005-0000-0000-00000D070000}"/>
    <cellStyle name="제목 7" xfId="156" xr:uid="{00000000-0005-0000-0000-00000E070000}"/>
    <cellStyle name="제목 8" xfId="157" xr:uid="{00000000-0005-0000-0000-00000F070000}"/>
    <cellStyle name="제목 9" xfId="226" xr:uid="{00000000-0005-0000-0000-000010070000}"/>
    <cellStyle name="좋음" xfId="174" builtinId="26" customBuiltin="1"/>
    <cellStyle name="좋음 2" xfId="158" xr:uid="{00000000-0005-0000-0000-000012070000}"/>
    <cellStyle name="좋음 3" xfId="159" xr:uid="{00000000-0005-0000-0000-000013070000}"/>
    <cellStyle name="좋음 4" xfId="160" xr:uid="{00000000-0005-0000-0000-000014070000}"/>
    <cellStyle name="좋음 5" xfId="161" xr:uid="{00000000-0005-0000-0000-000015070000}"/>
    <cellStyle name="좋음 6" xfId="273" xr:uid="{00000000-0005-0000-0000-000016070000}"/>
    <cellStyle name="출력" xfId="178" builtinId="21" customBuiltin="1"/>
    <cellStyle name="출력 2" xfId="162" xr:uid="{00000000-0005-0000-0000-000018070000}"/>
    <cellStyle name="출력 3" xfId="163" xr:uid="{00000000-0005-0000-0000-000019070000}"/>
    <cellStyle name="출력 4" xfId="164" xr:uid="{00000000-0005-0000-0000-00001A070000}"/>
    <cellStyle name="출력 5" xfId="165" xr:uid="{00000000-0005-0000-0000-00001B070000}"/>
    <cellStyle name="출력 6" xfId="277" xr:uid="{00000000-0005-0000-0000-00001C070000}"/>
    <cellStyle name="표준" xfId="0" builtinId="0"/>
    <cellStyle name="표준 10" xfId="323" xr:uid="{00000000-0005-0000-0000-00001E070000}"/>
    <cellStyle name="표준 10 2" xfId="891" xr:uid="{00000000-0005-0000-0000-00001F070000}"/>
    <cellStyle name="표준 10 3" xfId="609" xr:uid="{00000000-0005-0000-0000-000020070000}"/>
    <cellStyle name="표준 11" xfId="337" xr:uid="{00000000-0005-0000-0000-000021070000}"/>
    <cellStyle name="표준 11 2" xfId="905" xr:uid="{00000000-0005-0000-0000-000022070000}"/>
    <cellStyle name="표준 11 3" xfId="623" xr:uid="{00000000-0005-0000-0000-000023070000}"/>
    <cellStyle name="표준 12" xfId="351" xr:uid="{00000000-0005-0000-0000-000024070000}"/>
    <cellStyle name="표준 12 2" xfId="919" xr:uid="{00000000-0005-0000-0000-000025070000}"/>
    <cellStyle name="표준 12 3" xfId="637" xr:uid="{00000000-0005-0000-0000-000026070000}"/>
    <cellStyle name="표준 13" xfId="365" xr:uid="{00000000-0005-0000-0000-000027070000}"/>
    <cellStyle name="표준 13 2" xfId="933" xr:uid="{00000000-0005-0000-0000-000028070000}"/>
    <cellStyle name="표준 13 3" xfId="651" xr:uid="{00000000-0005-0000-0000-000029070000}"/>
    <cellStyle name="표준 14" xfId="379" xr:uid="{00000000-0005-0000-0000-00002A070000}"/>
    <cellStyle name="표준 14 2" xfId="947" xr:uid="{00000000-0005-0000-0000-00002B070000}"/>
    <cellStyle name="표준 14 3" xfId="665" xr:uid="{00000000-0005-0000-0000-00002C070000}"/>
    <cellStyle name="표준 15" xfId="393" xr:uid="{00000000-0005-0000-0000-00002D070000}"/>
    <cellStyle name="표준 15 2" xfId="961" xr:uid="{00000000-0005-0000-0000-00002E070000}"/>
    <cellStyle name="표준 15 3" xfId="679" xr:uid="{00000000-0005-0000-0000-00002F070000}"/>
    <cellStyle name="표준 16" xfId="407" xr:uid="{00000000-0005-0000-0000-000030070000}"/>
    <cellStyle name="표준 16 2" xfId="975" xr:uid="{00000000-0005-0000-0000-000031070000}"/>
    <cellStyle name="표준 16 3" xfId="693" xr:uid="{00000000-0005-0000-0000-000032070000}"/>
    <cellStyle name="표준 17" xfId="421" xr:uid="{00000000-0005-0000-0000-000033070000}"/>
    <cellStyle name="표준 17 2" xfId="989" xr:uid="{00000000-0005-0000-0000-000034070000}"/>
    <cellStyle name="표준 17 3" xfId="707" xr:uid="{00000000-0005-0000-0000-000035070000}"/>
    <cellStyle name="표준 18" xfId="435" xr:uid="{00000000-0005-0000-0000-000036070000}"/>
    <cellStyle name="표준 18 2" xfId="1003" xr:uid="{00000000-0005-0000-0000-000037070000}"/>
    <cellStyle name="표준 18 3" xfId="721" xr:uid="{00000000-0005-0000-0000-000038070000}"/>
    <cellStyle name="표준 19" xfId="449" xr:uid="{00000000-0005-0000-0000-000039070000}"/>
    <cellStyle name="표준 19 2" xfId="1017" xr:uid="{00000000-0005-0000-0000-00003A070000}"/>
    <cellStyle name="표준 19 3" xfId="735" xr:uid="{00000000-0005-0000-0000-00003B070000}"/>
    <cellStyle name="표준 2" xfId="166" xr:uid="{00000000-0005-0000-0000-00003C070000}"/>
    <cellStyle name="표준 20" xfId="463" xr:uid="{00000000-0005-0000-0000-00003D070000}"/>
    <cellStyle name="표준 20 2" xfId="1031" xr:uid="{00000000-0005-0000-0000-00003E070000}"/>
    <cellStyle name="표준 20 3" xfId="749" xr:uid="{00000000-0005-0000-0000-00003F070000}"/>
    <cellStyle name="표준 21" xfId="477" xr:uid="{00000000-0005-0000-0000-000040070000}"/>
    <cellStyle name="표준 21 2" xfId="1045" xr:uid="{00000000-0005-0000-0000-000041070000}"/>
    <cellStyle name="표준 21 3" xfId="763" xr:uid="{00000000-0005-0000-0000-000042070000}"/>
    <cellStyle name="표준 22" xfId="491" xr:uid="{00000000-0005-0000-0000-000043070000}"/>
    <cellStyle name="표준 22 2" xfId="1059" xr:uid="{00000000-0005-0000-0000-000044070000}"/>
    <cellStyle name="표준 22 3" xfId="777" xr:uid="{00000000-0005-0000-0000-000045070000}"/>
    <cellStyle name="표준 23" xfId="505" xr:uid="{00000000-0005-0000-0000-000046070000}"/>
    <cellStyle name="표준 23 2" xfId="791" xr:uid="{00000000-0005-0000-0000-000047070000}"/>
    <cellStyle name="표준 24" xfId="506" xr:uid="{00000000-0005-0000-0000-000048070000}"/>
    <cellStyle name="표준 24 2" xfId="792" xr:uid="{00000000-0005-0000-0000-000049070000}"/>
    <cellStyle name="표준 25" xfId="507" xr:uid="{00000000-0005-0000-0000-00004A070000}"/>
    <cellStyle name="표준 25 2" xfId="793" xr:uid="{00000000-0005-0000-0000-00004B070000}"/>
    <cellStyle name="표준 26" xfId="535" xr:uid="{00000000-0005-0000-0000-00004C070000}"/>
    <cellStyle name="표준 27" xfId="522" xr:uid="{00000000-0005-0000-0000-00004D070000}"/>
    <cellStyle name="표준 28" xfId="1073" xr:uid="{00000000-0005-0000-0000-00004E070000}"/>
    <cellStyle name="표준 29" xfId="1087" xr:uid="{00000000-0005-0000-0000-00004F070000}"/>
    <cellStyle name="표준 3" xfId="209" xr:uid="{00000000-0005-0000-0000-000050070000}"/>
    <cellStyle name="표준 3 2" xfId="223" xr:uid="{00000000-0005-0000-0000-000051070000}"/>
    <cellStyle name="표준 3 2 2" xfId="833" xr:uid="{00000000-0005-0000-0000-000052070000}"/>
    <cellStyle name="표준 3 2 3" xfId="551" xr:uid="{00000000-0005-0000-0000-000053070000}"/>
    <cellStyle name="표준 3 3" xfId="819" xr:uid="{00000000-0005-0000-0000-000054070000}"/>
    <cellStyle name="표준 3 4" xfId="537" xr:uid="{00000000-0005-0000-0000-000055070000}"/>
    <cellStyle name="표준 30" xfId="1101" xr:uid="{00000000-0005-0000-0000-000056070000}"/>
    <cellStyle name="표준 31" xfId="1115" xr:uid="{00000000-0005-0000-0000-000057070000}"/>
    <cellStyle name="표준 32" xfId="1129" xr:uid="{00000000-0005-0000-0000-000058070000}"/>
    <cellStyle name="표준 33" xfId="1143" xr:uid="{00000000-0005-0000-0000-000059070000}"/>
    <cellStyle name="표준 34" xfId="1157" xr:uid="{00000000-0005-0000-0000-00005A070000}"/>
    <cellStyle name="표준 35" xfId="1171" xr:uid="{00000000-0005-0000-0000-00005B070000}"/>
    <cellStyle name="표준 36" xfId="1185" xr:uid="{00000000-0005-0000-0000-00005C070000}"/>
    <cellStyle name="표준 37" xfId="1199" xr:uid="{00000000-0005-0000-0000-00005D070000}"/>
    <cellStyle name="표준 38" xfId="1213" xr:uid="{00000000-0005-0000-0000-00005E070000}"/>
    <cellStyle name="표준 39" xfId="1227" xr:uid="{00000000-0005-0000-0000-00005F070000}"/>
    <cellStyle name="표준 4" xfId="225" xr:uid="{00000000-0005-0000-0000-000060070000}"/>
    <cellStyle name="표준 4 2" xfId="835" xr:uid="{00000000-0005-0000-0000-000061070000}"/>
    <cellStyle name="표준 4 3" xfId="553" xr:uid="{00000000-0005-0000-0000-000062070000}"/>
    <cellStyle name="표준 40" xfId="1241" xr:uid="{00000000-0005-0000-0000-000063070000}"/>
    <cellStyle name="표준 41" xfId="1255" xr:uid="{00000000-0005-0000-0000-000064070000}"/>
    <cellStyle name="표준 42" xfId="1269" xr:uid="{00000000-0005-0000-0000-000065070000}"/>
    <cellStyle name="표준 43" xfId="1283" xr:uid="{00000000-0005-0000-0000-000066070000}"/>
    <cellStyle name="표준 44" xfId="1297" xr:uid="{00000000-0005-0000-0000-000067070000}"/>
    <cellStyle name="표준 45" xfId="1311" xr:uid="{00000000-0005-0000-0000-000068070000}"/>
    <cellStyle name="표준 46" xfId="1325" xr:uid="{00000000-0005-0000-0000-000069070000}"/>
    <cellStyle name="표준 47" xfId="1339" xr:uid="{00000000-0005-0000-0000-00006A070000}"/>
    <cellStyle name="표준 48" xfId="1353" xr:uid="{00000000-0005-0000-0000-00006B070000}"/>
    <cellStyle name="표준 49" xfId="1367" xr:uid="{00000000-0005-0000-0000-00006C070000}"/>
    <cellStyle name="표준 5" xfId="240" xr:uid="{00000000-0005-0000-0000-00006D070000}"/>
    <cellStyle name="표준 5 2" xfId="849" xr:uid="{00000000-0005-0000-0000-00006E070000}"/>
    <cellStyle name="표준 5 3" xfId="567" xr:uid="{00000000-0005-0000-0000-00006F070000}"/>
    <cellStyle name="표준 50" xfId="1381" xr:uid="{00000000-0005-0000-0000-000070070000}"/>
    <cellStyle name="표준 51" xfId="1395" xr:uid="{00000000-0005-0000-0000-000071070000}"/>
    <cellStyle name="표준 52" xfId="1409" xr:uid="{00000000-0005-0000-0000-000072070000}"/>
    <cellStyle name="표준 53" xfId="1423" xr:uid="{00000000-0005-0000-0000-000073070000}"/>
    <cellStyle name="표준 54" xfId="1424" xr:uid="{00000000-0005-0000-0000-000074070000}"/>
    <cellStyle name="표준 55" xfId="1438" xr:uid="{00000000-0005-0000-0000-000075070000}"/>
    <cellStyle name="표준 56" xfId="1452" xr:uid="{00000000-0005-0000-0000-000076070000}"/>
    <cellStyle name="표준 57" xfId="1466" xr:uid="{00000000-0005-0000-0000-000077070000}"/>
    <cellStyle name="표준 58" xfId="1480" xr:uid="{00000000-0005-0000-0000-000078070000}"/>
    <cellStyle name="표준 59" xfId="1494" xr:uid="{00000000-0005-0000-0000-000079070000}"/>
    <cellStyle name="표준 6" xfId="167" xr:uid="{00000000-0005-0000-0000-00007A070000}"/>
    <cellStyle name="표준 60" xfId="1508" xr:uid="{00000000-0005-0000-0000-00007B070000}"/>
    <cellStyle name="표준 61" xfId="1522" xr:uid="{00000000-0005-0000-0000-00007C070000}"/>
    <cellStyle name="표준 62" xfId="1536" xr:uid="{00000000-0005-0000-0000-00007D070000}"/>
    <cellStyle name="표준 63" xfId="1550" xr:uid="{00000000-0005-0000-0000-00007E070000}"/>
    <cellStyle name="표준 64" xfId="1564" xr:uid="{00000000-0005-0000-0000-00007F070000}"/>
    <cellStyle name="표준 65" xfId="1578" xr:uid="{00000000-0005-0000-0000-000080070000}"/>
    <cellStyle name="표준 66" xfId="1592" xr:uid="{00000000-0005-0000-0000-000081070000}"/>
    <cellStyle name="표준 67" xfId="1606" xr:uid="{00000000-0005-0000-0000-000082070000}"/>
    <cellStyle name="표준 68" xfId="1620" xr:uid="{00000000-0005-0000-0000-000083070000}"/>
    <cellStyle name="표준 69" xfId="1634" xr:uid="{00000000-0005-0000-0000-000084070000}"/>
    <cellStyle name="표준 7" xfId="254" xr:uid="{00000000-0005-0000-0000-000085070000}"/>
    <cellStyle name="표준 7 2" xfId="863" xr:uid="{00000000-0005-0000-0000-000086070000}"/>
    <cellStyle name="표준 7 3" xfId="581" xr:uid="{00000000-0005-0000-0000-000087070000}"/>
    <cellStyle name="표준 70" xfId="1648" xr:uid="{00000000-0005-0000-0000-000088070000}"/>
    <cellStyle name="표준 71" xfId="1662" xr:uid="{00000000-0005-0000-0000-000089070000}"/>
    <cellStyle name="표준 72" xfId="1676" xr:uid="{00000000-0005-0000-0000-00008A070000}"/>
    <cellStyle name="표준 73" xfId="1690" xr:uid="{00000000-0005-0000-0000-00008B070000}"/>
    <cellStyle name="표준 74" xfId="1704" xr:uid="{00000000-0005-0000-0000-00008C070000}"/>
    <cellStyle name="표준 75" xfId="1718" xr:uid="{00000000-0005-0000-0000-00008D070000}"/>
    <cellStyle name="표준 76" xfId="1732" xr:uid="{00000000-0005-0000-0000-00008E070000}"/>
    <cellStyle name="표준 77" xfId="1753" xr:uid="{00000000-0005-0000-0000-00008F070000}"/>
    <cellStyle name="표준 78" xfId="1773" xr:uid="{00000000-0005-0000-0000-000090070000}"/>
    <cellStyle name="표준 79" xfId="1793" xr:uid="{00000000-0005-0000-0000-000091070000}"/>
    <cellStyle name="표준 8" xfId="268" xr:uid="{00000000-0005-0000-0000-000092070000}"/>
    <cellStyle name="표준 8 2" xfId="877" xr:uid="{00000000-0005-0000-0000-000093070000}"/>
    <cellStyle name="표준 8 3" xfId="595" xr:uid="{00000000-0005-0000-0000-000094070000}"/>
    <cellStyle name="표준 80" xfId="1794" xr:uid="{00000000-0005-0000-0000-000095070000}"/>
    <cellStyle name="표준 81" xfId="1814" xr:uid="{00000000-0005-0000-0000-000096070000}"/>
    <cellStyle name="표준 82" xfId="1828" xr:uid="{00000000-0005-0000-0000-000097070000}"/>
    <cellStyle name="표준 83" xfId="1842" xr:uid="{00000000-0005-0000-0000-000098070000}"/>
    <cellStyle name="표준 84" xfId="1856" xr:uid="{00000000-0005-0000-0000-000099070000}"/>
    <cellStyle name="표준 85" xfId="1870" xr:uid="{00000000-0005-0000-0000-00009A070000}"/>
    <cellStyle name="표준 86" xfId="1884" xr:uid="{00000000-0005-0000-0000-00009B070000}"/>
    <cellStyle name="표준 87" xfId="1898" xr:uid="{00000000-0005-0000-0000-00009C070000}"/>
    <cellStyle name="표준 88" xfId="1912" xr:uid="{00000000-0005-0000-0000-00009D070000}"/>
    <cellStyle name="표준 89" xfId="1926" xr:uid="{00000000-0005-0000-0000-00009E070000}"/>
    <cellStyle name="표준 9" xfId="309" xr:uid="{00000000-0005-0000-0000-00009F070000}"/>
    <cellStyle name="표준 90" xfId="1927" xr:uid="{00000000-0005-0000-0000-0000A0070000}"/>
    <cellStyle name="표준 91" xfId="1941" xr:uid="{00000000-0005-0000-0000-0000A1070000}"/>
    <cellStyle name="표준 92" xfId="1955" xr:uid="{C8BB5B67-B75F-4B5C-B936-DD61A975A6D4}"/>
    <cellStyle name="표준_점포 (2)" xfId="168" xr:uid="{00000000-0005-0000-0000-0000A2070000}"/>
  </cellStyles>
  <dxfs count="32"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9"/>
      </font>
    </dxf>
    <dxf>
      <font>
        <name val="맑은 고딕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11</xdr:col>
      <xdr:colOff>190500</xdr:colOff>
      <xdr:row>57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190500</xdr:colOff>
      <xdr:row>57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35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soojin" refreshedDate="44616.685167592594" createdVersion="6" refreshedVersion="7" minRefreshableVersion="3" recordCount="6069" xr:uid="{00000000-000A-0000-FFFF-FFFF12000000}">
  <cacheSource type="worksheet">
    <worksheetSource ref="A1:K1048576" sheet="서식(직납)"/>
  </cacheSource>
  <cacheFields count="11">
    <cacheField name="발주일자" numFmtId="0">
      <sharedItems containsNonDate="0" containsString="0" containsBlank="1"/>
    </cacheField>
    <cacheField name="Sumcode" numFmtId="0">
      <sharedItems containsBlank="1"/>
    </cacheField>
    <cacheField name="점포명" numFmtId="0">
      <sharedItems containsBlank="1" containsMixedTypes="1" containsNumber="1" containsInteger="1" minValue="0" maxValue="0"/>
    </cacheField>
    <cacheField name="점포코드" numFmtId="0">
      <sharedItems containsBlank="1" containsMixedTypes="1" containsNumber="1" containsInteger="1" minValue="81010005" maxValue="81010928"/>
    </cacheField>
    <cacheField name="센터코드" numFmtId="0">
      <sharedItems containsBlank="1" containsMixedTypes="1" containsNumber="1" containsInteger="1" minValue="0" maxValue="9125"/>
    </cacheField>
    <cacheField name="배송코드 " numFmtId="0">
      <sharedItems containsBlank="1" containsMixedTypes="1" containsNumber="1" containsInteger="1" minValue="81010902" maxValue="81010925"/>
    </cacheField>
    <cacheField name="바코드" numFmtId="0">
      <sharedItems containsBlank="1" containsMixedTypes="1" containsNumber="1" containsInteger="1" minValue="0" maxValue="8809020349166"/>
    </cacheField>
    <cacheField name="상품명" numFmtId="0">
      <sharedItems containsBlank="1" containsMixedTypes="1" containsNumber="1" containsInteger="1" minValue="0" maxValue="368001" count="24">
        <e v="#REF!"/>
        <s v="아크네스 데일리 딥클렌저 100g"/>
        <s v="아크네스 세범 밸런싱 스킨 2.0"/>
        <s v="아크네스 스팟클리어크림패치 18g"/>
        <s v="아크네스 모이스처 플루이드 150ml"/>
        <s v="아크네스 클리어앤화이트 포밍워시 150g"/>
        <s v="아크네스 클리어 화이트 크리미워시 100g"/>
        <s v="고쿠쥰오일클렌징200ml"/>
        <s v="아크네스 모이스처크림2.0 60ml"/>
        <s v="하다라보 히아풀베리어 포어 클렌징폼 150g"/>
        <s v="립아이스 매직칼라 틴티드 컬러 레드 2g"/>
        <s v="딥모이스트 멘톨 4.5g"/>
        <s v="메디케이티드립젤트윈팩3.5g*2"/>
        <s v="립아이스 매직칼라 딸기향 2g"/>
        <s v="메디케이티드립밤3.5g"/>
        <s v="립아이스 립밤 스트로베리"/>
        <s v="립아이스 립밤 그레이프프루트 티"/>
        <s v="딥모이스트 네츄럴 4.5g"/>
        <s v="립아이스립밤 레몬"/>
        <s v="고쿠쥰훼이스워시100g"/>
        <s v="멘소래담 마사지 롤온 로션 50ml"/>
        <n v="0"/>
        <m/>
        <n v="368001" u="1"/>
      </sharedItems>
    </cacheField>
    <cacheField name="MECODE" numFmtId="0">
      <sharedItems containsBlank="1" containsMixedTypes="1" containsNumber="1" containsInteger="1" minValue="0" maxValue="0" count="24">
        <e v="#REF!"/>
        <s v="ME90621ADI"/>
        <s v="ME00621AN5"/>
        <s v="ME00621ASM"/>
        <s v="ME00621AN6"/>
        <s v="ME90621NA7"/>
        <s v="ME90621AC4"/>
        <s v="ME90621GO8"/>
        <s v="ME00621AN4"/>
        <s v="ME00621HPC"/>
        <s v="ME90521EL7"/>
        <s v="ME90521EL9"/>
        <s v="ME90521E18"/>
        <s v="ME90521EL6"/>
        <s v="ME90521EL4"/>
        <s v="ME90521GS2"/>
        <s v="ME90521GT2"/>
        <s v="ME90521EL8"/>
        <s v="ME90521LD9"/>
        <s v="ME00621CM5"/>
        <s v="ME80421DR2"/>
        <e v="#N/A"/>
        <m/>
        <n v="0" u="1"/>
      </sharedItems>
    </cacheField>
    <cacheField name="수량" numFmtId="0">
      <sharedItems containsBlank="1" containsMixedTypes="1" containsNumber="1" containsInteger="1" minValue="0" maxValue="24"/>
    </cacheField>
    <cacheField name="발주원가" numFmtId="177">
      <sharedItems containsBlank="1" containsMixedTypes="1" containsNumber="1" containsInteger="1" minValue="0" maxValue="19621" count="83">
        <e v="#REF!"/>
        <n v="6975"/>
        <n v="3875"/>
        <n v="3861"/>
        <n v="7750"/>
        <n v="3488"/>
        <n v="5028"/>
        <n v="4650"/>
        <n v="3868"/>
        <n v="2790"/>
        <n v="3513"/>
        <n v="2428"/>
        <n v="1963"/>
        <n v="2169"/>
        <n v="7220"/>
        <n v="5115"/>
        <n v="0"/>
        <m/>
        <n v="1700" u="1"/>
        <n v="1958" u="1"/>
        <n v="3610" u="1"/>
        <n v="2067" u="1"/>
        <n v="2493" u="1"/>
        <n v="3487" u="1"/>
        <n v="1570" u="1"/>
        <n v="2228" u="1"/>
        <n v="4625" u="1"/>
        <n v="15400" u="1"/>
        <n v="6509" u="1"/>
        <n v="9299" u="1"/>
        <n v="8736" u="1"/>
        <n v="9020" u="1"/>
        <n v="1440" u="1"/>
        <n v="13650" u="1"/>
        <n v="4252" u="1"/>
        <n v="6808" u="1"/>
        <n v="1736" u="1"/>
        <n v="13949" u="1"/>
        <n v="19040" u="1"/>
        <n v="7736" u="1"/>
        <n v="1393" u="1"/>
        <n v="3720" u="1"/>
        <n v="1767" u="1"/>
        <n v="1980" u="1"/>
        <n v="2480" u="1"/>
        <n v="8304" u="1"/>
        <n v="9440" u="1"/>
        <n v="9800" u="1"/>
        <n v="1360" u="1"/>
        <n v="6838" u="1"/>
        <n v="2220" u="1"/>
        <n v="3162" u="1"/>
        <n v="4000" u="1"/>
        <n v="5182" u="1"/>
        <n v="3986" u="1"/>
        <n v="4799" u="1"/>
        <n v="11346" u="1"/>
        <n v="3972" u="1"/>
        <n v="3565" u="1"/>
        <n v="2325" u="1"/>
        <n v="8252" u="1"/>
        <n v="5425" u="1"/>
        <n v="1550" u="1"/>
        <n v="10057" u="1"/>
        <n v="6510" u="1"/>
        <n v="11862" u="1"/>
        <n v="1813" u="1"/>
        <n v="7722" u="1"/>
        <n v="6946" u="1"/>
        <n v="5673" u="1"/>
        <n v="8266" u="1"/>
        <n v="2511" u="1"/>
        <n v="2459" u="1"/>
        <n v="11912" u="1"/>
        <n v="1953" u="1"/>
        <n v="1998" u="1"/>
        <n v="2232" u="1"/>
        <n v="3600" u="1"/>
        <n v="19621" u="1"/>
        <n v="2017" u="1"/>
        <n v="1539" u="1"/>
        <n v="3160" u="1"/>
        <n v="218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9"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25ME90621ADI"/>
    <s v="여주(RDC)_EMT"/>
    <n v="81010925"/>
    <n v="9125"/>
    <n v="81010925"/>
    <n v="8809020346592"/>
    <x v="1"/>
    <x v="1"/>
    <n v="6"/>
    <x v="1"/>
  </r>
  <r>
    <m/>
    <s v="81010903ME00621AN5"/>
    <s v="성서점"/>
    <n v="81010018"/>
    <n v="9101"/>
    <n v="81010903"/>
    <n v="8809020342464"/>
    <x v="2"/>
    <x v="2"/>
    <n v="6"/>
    <x v="2"/>
  </r>
  <r>
    <m/>
    <s v="81010905ME00621AN5"/>
    <s v="제주점"/>
    <n v="81010005"/>
    <n v="9121"/>
    <n v="81010905"/>
    <n v="8809020342464"/>
    <x v="2"/>
    <x v="2"/>
    <n v="6"/>
    <x v="2"/>
  </r>
  <r>
    <m/>
    <s v="81010905ME00621ASM"/>
    <s v="제주점"/>
    <n v="81010005"/>
    <n v="9121"/>
    <n v="81010905"/>
    <n v="8809020342457"/>
    <x v="3"/>
    <x v="3"/>
    <n v="6"/>
    <x v="3"/>
  </r>
  <r>
    <m/>
    <s v="81010903ME00621AN6"/>
    <s v="해운대점"/>
    <n v="81010022"/>
    <n v="9101"/>
    <n v="81010903"/>
    <n v="8809020342471"/>
    <x v="4"/>
    <x v="4"/>
    <n v="6"/>
    <x v="2"/>
  </r>
  <r>
    <m/>
    <s v="81010903ME00621ASM"/>
    <s v="진주점"/>
    <n v="81010026"/>
    <n v="9101"/>
    <n v="81010903"/>
    <n v="8809020342457"/>
    <x v="3"/>
    <x v="3"/>
    <n v="6"/>
    <x v="3"/>
  </r>
  <r>
    <m/>
    <s v="81010903ME00621AN6"/>
    <s v="진주점"/>
    <n v="81010026"/>
    <n v="9101"/>
    <n v="81010903"/>
    <n v="8809020342471"/>
    <x v="4"/>
    <x v="4"/>
    <n v="6"/>
    <x v="2"/>
  </r>
  <r>
    <m/>
    <s v="81010905ME90621NA7"/>
    <s v="상봉점"/>
    <n v="81010024"/>
    <n v="9121"/>
    <n v="81010905"/>
    <n v="8809020346585"/>
    <x v="5"/>
    <x v="5"/>
    <n v="6"/>
    <x v="4"/>
  </r>
  <r>
    <m/>
    <s v="81010903ME00621ASM"/>
    <s v="목포점"/>
    <n v="81010027"/>
    <n v="9101"/>
    <n v="81010903"/>
    <n v="8809020342457"/>
    <x v="3"/>
    <x v="3"/>
    <n v="6"/>
    <x v="3"/>
  </r>
  <r>
    <m/>
    <s v="81010905ME90621AC4"/>
    <s v="군산점"/>
    <n v="81010030"/>
    <n v="9121"/>
    <n v="81010905"/>
    <n v="8809020342433"/>
    <x v="6"/>
    <x v="6"/>
    <n v="6"/>
    <x v="5"/>
  </r>
  <r>
    <m/>
    <s v="81010903ME90621AC4"/>
    <s v="월배점"/>
    <n v="81010032"/>
    <n v="9101"/>
    <n v="81010903"/>
    <n v="8809020342433"/>
    <x v="6"/>
    <x v="6"/>
    <n v="6"/>
    <x v="5"/>
  </r>
  <r>
    <m/>
    <s v="81010903ME00621AN6"/>
    <s v="월배점"/>
    <n v="81010032"/>
    <n v="9101"/>
    <n v="81010903"/>
    <n v="8809020342471"/>
    <x v="4"/>
    <x v="4"/>
    <n v="6"/>
    <x v="2"/>
  </r>
  <r>
    <m/>
    <s v="81010905ME00621ASM"/>
    <s v="이천점"/>
    <n v="81010025"/>
    <n v="9121"/>
    <n v="81010905"/>
    <n v="8809020342457"/>
    <x v="3"/>
    <x v="3"/>
    <n v="6"/>
    <x v="3"/>
  </r>
  <r>
    <m/>
    <s v="81010905ME90621GO8"/>
    <s v="성수점"/>
    <n v="81010031"/>
    <n v="9121"/>
    <n v="81010905"/>
    <n v="8809020349166"/>
    <x v="7"/>
    <x v="7"/>
    <n v="12"/>
    <x v="6"/>
  </r>
  <r>
    <m/>
    <s v="81010905ME00621AN6"/>
    <s v="성수점"/>
    <n v="81010031"/>
    <n v="9121"/>
    <n v="81010905"/>
    <n v="8809020342471"/>
    <x v="4"/>
    <x v="4"/>
    <n v="6"/>
    <x v="2"/>
  </r>
  <r>
    <m/>
    <s v="81010905ME00621AN5"/>
    <s v="수원점"/>
    <n v="81010036"/>
    <n v="9121"/>
    <n v="81010905"/>
    <n v="8809020342464"/>
    <x v="2"/>
    <x v="2"/>
    <n v="6"/>
    <x v="2"/>
  </r>
  <r>
    <m/>
    <s v="81010903ME00621AN5"/>
    <s v="만촌점"/>
    <n v="81010029"/>
    <n v="9101"/>
    <n v="81010903"/>
    <n v="8809020342464"/>
    <x v="2"/>
    <x v="2"/>
    <n v="6"/>
    <x v="2"/>
  </r>
  <r>
    <m/>
    <s v="81010903ME00621AN6"/>
    <s v="만촌점"/>
    <n v="81010029"/>
    <n v="9101"/>
    <n v="81010903"/>
    <n v="8809020342471"/>
    <x v="4"/>
    <x v="4"/>
    <n v="6"/>
    <x v="2"/>
  </r>
  <r>
    <m/>
    <s v="81010903ME90621GO8"/>
    <s v="포항점"/>
    <n v="81010040"/>
    <n v="9101"/>
    <n v="81010903"/>
    <n v="8809020349166"/>
    <x v="7"/>
    <x v="7"/>
    <n v="12"/>
    <x v="6"/>
  </r>
  <r>
    <m/>
    <s v="81010903ME00621AN4"/>
    <s v="포항점"/>
    <n v="81010040"/>
    <n v="9101"/>
    <n v="81010903"/>
    <n v="8809020342488"/>
    <x v="8"/>
    <x v="8"/>
    <n v="6"/>
    <x v="7"/>
  </r>
  <r>
    <m/>
    <s v="81010905ME00621AN5"/>
    <s v="평택점"/>
    <n v="81010038"/>
    <n v="9121"/>
    <n v="81010905"/>
    <n v="8809020342464"/>
    <x v="2"/>
    <x v="2"/>
    <n v="6"/>
    <x v="2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5ME00621ASM"/>
    <s v="평택점"/>
    <n v="81010038"/>
    <n v="9121"/>
    <n v="81010905"/>
    <n v="8809020342457"/>
    <x v="3"/>
    <x v="3"/>
    <n v="6"/>
    <x v="3"/>
  </r>
  <r>
    <m/>
    <s v="81010903ME00621ASM"/>
    <s v="연제점"/>
    <n v="81010042"/>
    <n v="9101"/>
    <n v="81010903"/>
    <n v="8809020342457"/>
    <x v="3"/>
    <x v="3"/>
    <n v="6"/>
    <x v="3"/>
  </r>
  <r>
    <m/>
    <s v="81010903ME00621AN4"/>
    <s v="연제점"/>
    <n v="81010042"/>
    <n v="9101"/>
    <n v="81010903"/>
    <n v="8809020342488"/>
    <x v="8"/>
    <x v="8"/>
    <n v="6"/>
    <x v="7"/>
  </r>
  <r>
    <m/>
    <s v="81010905ME90621AC4"/>
    <s v="둔산점"/>
    <n v="81010044"/>
    <n v="9121"/>
    <n v="81010905"/>
    <n v="8809020342433"/>
    <x v="6"/>
    <x v="6"/>
    <n v="6"/>
    <x v="5"/>
  </r>
  <r>
    <m/>
    <s v="81010905ME90621NA7"/>
    <s v="둔산점"/>
    <n v="81010044"/>
    <n v="9121"/>
    <n v="81010905"/>
    <n v="8809020346585"/>
    <x v="5"/>
    <x v="5"/>
    <n v="6"/>
    <x v="4"/>
  </r>
  <r>
    <m/>
    <s v="81010903ME90621ADI"/>
    <s v="창원점"/>
    <n v="81010046"/>
    <n v="9101"/>
    <n v="81010903"/>
    <n v="8809020346592"/>
    <x v="1"/>
    <x v="1"/>
    <n v="6"/>
    <x v="1"/>
  </r>
  <r>
    <m/>
    <s v="81010903ME00621AN5"/>
    <s v="창원점"/>
    <n v="81010046"/>
    <n v="9101"/>
    <n v="81010903"/>
    <n v="8809020342464"/>
    <x v="2"/>
    <x v="2"/>
    <n v="6"/>
    <x v="2"/>
  </r>
  <r>
    <m/>
    <s v="81010903ME00621AN6"/>
    <s v="창원점"/>
    <n v="81010046"/>
    <n v="9101"/>
    <n v="81010903"/>
    <n v="8809020342471"/>
    <x v="4"/>
    <x v="4"/>
    <n v="6"/>
    <x v="2"/>
  </r>
  <r>
    <m/>
    <s v="81010905ME00621AN6"/>
    <s v="신제주점"/>
    <n v="81010056"/>
    <n v="9121"/>
    <n v="81010905"/>
    <n v="8809020342471"/>
    <x v="4"/>
    <x v="4"/>
    <n v="6"/>
    <x v="2"/>
  </r>
  <r>
    <m/>
    <s v="81010903ME90621AC4"/>
    <s v="문현점"/>
    <n v="81010053"/>
    <n v="9101"/>
    <n v="81010903"/>
    <n v="8809020342433"/>
    <x v="6"/>
    <x v="6"/>
    <n v="6"/>
    <x v="5"/>
  </r>
  <r>
    <m/>
    <s v="81010903ME90621GO8"/>
    <s v="문현점"/>
    <n v="81010053"/>
    <n v="9101"/>
    <n v="81010903"/>
    <n v="8809020349166"/>
    <x v="7"/>
    <x v="7"/>
    <n v="12"/>
    <x v="6"/>
  </r>
  <r>
    <m/>
    <s v="81010903ME00621AN4"/>
    <s v="금정점"/>
    <n v="81010055"/>
    <n v="9101"/>
    <n v="81010903"/>
    <n v="8809020342488"/>
    <x v="8"/>
    <x v="8"/>
    <n v="6"/>
    <x v="7"/>
  </r>
  <r>
    <m/>
    <s v="81010905ME00621AN5"/>
    <s v="속초점"/>
    <n v="81010057"/>
    <n v="9121"/>
    <n v="81010905"/>
    <n v="8809020342464"/>
    <x v="2"/>
    <x v="2"/>
    <n v="6"/>
    <x v="2"/>
  </r>
  <r>
    <m/>
    <s v="81010905ME00621AN5"/>
    <s v="동해점"/>
    <n v="81010060"/>
    <n v="9121"/>
    <n v="81010905"/>
    <n v="8809020342464"/>
    <x v="2"/>
    <x v="2"/>
    <n v="6"/>
    <x v="2"/>
  </r>
  <r>
    <m/>
    <s v="81010905ME00621AN6"/>
    <s v="동해점"/>
    <n v="81010060"/>
    <n v="9121"/>
    <n v="81010905"/>
    <n v="8809020342471"/>
    <x v="4"/>
    <x v="4"/>
    <n v="6"/>
    <x v="2"/>
  </r>
  <r>
    <m/>
    <s v="81010903ME00621AN4"/>
    <s v="반야월점"/>
    <n v="81010065"/>
    <n v="9101"/>
    <n v="81010903"/>
    <n v="8809020342488"/>
    <x v="8"/>
    <x v="8"/>
    <n v="6"/>
    <x v="7"/>
  </r>
  <r>
    <m/>
    <s v="81010905ME00621AN6"/>
    <s v="월계점"/>
    <n v="81010066"/>
    <n v="9121"/>
    <n v="81010905"/>
    <n v="8809020342471"/>
    <x v="4"/>
    <x v="4"/>
    <n v="6"/>
    <x v="2"/>
  </r>
  <r>
    <m/>
    <s v="81010905ME00621AN5"/>
    <s v="월계점"/>
    <n v="81010066"/>
    <n v="9121"/>
    <n v="81010905"/>
    <n v="8809020342464"/>
    <x v="2"/>
    <x v="2"/>
    <n v="6"/>
    <x v="2"/>
  </r>
  <r>
    <m/>
    <s v="81010905ME00621ASM"/>
    <s v="안동점"/>
    <n v="81010068"/>
    <n v="9121"/>
    <n v="81010905"/>
    <n v="8809020342457"/>
    <x v="3"/>
    <x v="3"/>
    <n v="6"/>
    <x v="3"/>
  </r>
  <r>
    <m/>
    <s v="81010902ME00621HPC"/>
    <s v="서수원점"/>
    <n v="81010073"/>
    <n v="9111"/>
    <n v="81010902"/>
    <n v="8809020342723"/>
    <x v="9"/>
    <x v="9"/>
    <n v="12"/>
    <x v="8"/>
  </r>
  <r>
    <m/>
    <s v="81010905ME00621AN6"/>
    <s v="춘천점"/>
    <n v="81010075"/>
    <n v="9121"/>
    <n v="81010905"/>
    <n v="8809020342471"/>
    <x v="4"/>
    <x v="4"/>
    <n v="6"/>
    <x v="2"/>
  </r>
  <r>
    <m/>
    <s v="81010905ME00621AN4"/>
    <s v="춘천점"/>
    <n v="81010075"/>
    <n v="9121"/>
    <n v="81010905"/>
    <n v="8809020342488"/>
    <x v="8"/>
    <x v="8"/>
    <n v="6"/>
    <x v="7"/>
  </r>
  <r>
    <m/>
    <s v="81010905ME90621GO8"/>
    <s v="오산점"/>
    <n v="81010077"/>
    <n v="9121"/>
    <n v="81010905"/>
    <n v="8809020349166"/>
    <x v="7"/>
    <x v="7"/>
    <n v="12"/>
    <x v="6"/>
  </r>
  <r>
    <m/>
    <s v="81010905ME00621AN6"/>
    <s v="죽전점"/>
    <n v="81010140"/>
    <n v="9121"/>
    <n v="81010905"/>
    <n v="8809020342471"/>
    <x v="4"/>
    <x v="4"/>
    <n v="6"/>
    <x v="2"/>
  </r>
  <r>
    <m/>
    <s v="81010905ME00621AN5"/>
    <s v="남양주점"/>
    <n v="81010076"/>
    <n v="9121"/>
    <n v="81010905"/>
    <n v="8809020342464"/>
    <x v="2"/>
    <x v="2"/>
    <n v="6"/>
    <x v="2"/>
  </r>
  <r>
    <m/>
    <s v="81010905ME90621AC4"/>
    <s v="남양주점"/>
    <n v="81010076"/>
    <n v="9121"/>
    <n v="81010905"/>
    <n v="8809020342433"/>
    <x v="6"/>
    <x v="6"/>
    <n v="6"/>
    <x v="5"/>
  </r>
  <r>
    <m/>
    <s v="81010905ME00621AN4"/>
    <s v="남양주점"/>
    <n v="81010076"/>
    <n v="9121"/>
    <n v="81010905"/>
    <n v="8809020342488"/>
    <x v="8"/>
    <x v="8"/>
    <n v="6"/>
    <x v="7"/>
  </r>
  <r>
    <m/>
    <s v="81010905ME00621AN5"/>
    <s v="서귀포점"/>
    <n v="81010079"/>
    <n v="9121"/>
    <n v="81010905"/>
    <n v="8809020342464"/>
    <x v="2"/>
    <x v="2"/>
    <n v="6"/>
    <x v="2"/>
  </r>
  <r>
    <m/>
    <s v="81010905ME00621AN5"/>
    <s v="익산점"/>
    <n v="81010100"/>
    <n v="9121"/>
    <n v="81010905"/>
    <n v="8809020342464"/>
    <x v="2"/>
    <x v="2"/>
    <n v="6"/>
    <x v="2"/>
  </r>
  <r>
    <m/>
    <s v="81010903ME00621AN4"/>
    <s v="경산점"/>
    <n v="81010080"/>
    <n v="9101"/>
    <n v="81010903"/>
    <n v="8809020342488"/>
    <x v="8"/>
    <x v="8"/>
    <n v="6"/>
    <x v="7"/>
  </r>
  <r>
    <m/>
    <s v="81010902ME00621AN4"/>
    <s v="신도림점"/>
    <n v="81010127"/>
    <n v="9111"/>
    <n v="81010902"/>
    <n v="8809020342488"/>
    <x v="8"/>
    <x v="8"/>
    <n v="6"/>
    <x v="7"/>
  </r>
  <r>
    <m/>
    <s v="81010902ME00621ASM"/>
    <s v="신도림점"/>
    <n v="81010127"/>
    <n v="9111"/>
    <n v="81010902"/>
    <n v="8809020342457"/>
    <x v="3"/>
    <x v="3"/>
    <n v="6"/>
    <x v="3"/>
  </r>
  <r>
    <m/>
    <s v="81010905ME90621AC4"/>
    <s v="자양점"/>
    <n v="81010103"/>
    <n v="9121"/>
    <n v="81010905"/>
    <n v="8809020342433"/>
    <x v="6"/>
    <x v="6"/>
    <n v="6"/>
    <x v="5"/>
  </r>
  <r>
    <m/>
    <s v="81010902ME90621AC4"/>
    <s v="청계천점"/>
    <n v="81010144"/>
    <n v="9111"/>
    <n v="81010902"/>
    <n v="8809020342433"/>
    <x v="6"/>
    <x v="6"/>
    <n v="6"/>
    <x v="5"/>
  </r>
  <r>
    <m/>
    <s v="81010902ME00621AN6"/>
    <s v="목동점"/>
    <n v="81010113"/>
    <n v="9111"/>
    <n v="81010902"/>
    <n v="8809020342471"/>
    <x v="4"/>
    <x v="4"/>
    <n v="6"/>
    <x v="2"/>
  </r>
  <r>
    <m/>
    <s v="81010902ME00621AN5"/>
    <s v="목동점"/>
    <n v="81010113"/>
    <n v="9111"/>
    <n v="81010902"/>
    <n v="8809020342464"/>
    <x v="2"/>
    <x v="2"/>
    <n v="6"/>
    <x v="2"/>
  </r>
  <r>
    <m/>
    <s v="81010905ME00621AN6"/>
    <s v="가든5점"/>
    <n v="81010150"/>
    <n v="9121"/>
    <n v="81010905"/>
    <n v="8809020342471"/>
    <x v="4"/>
    <x v="4"/>
    <n v="6"/>
    <x v="2"/>
  </r>
  <r>
    <m/>
    <s v="81010905ME90621AC4"/>
    <s v="펜타포트점"/>
    <n v="81010157"/>
    <n v="9121"/>
    <n v="81010905"/>
    <n v="8809020342433"/>
    <x v="6"/>
    <x v="6"/>
    <n v="6"/>
    <x v="5"/>
  </r>
  <r>
    <m/>
    <s v="81010905ME00621AN6"/>
    <s v="세종점"/>
    <n v="81010177"/>
    <n v="9121"/>
    <n v="81010905"/>
    <n v="8809020342471"/>
    <x v="4"/>
    <x v="4"/>
    <n v="6"/>
    <x v="2"/>
  </r>
  <r>
    <m/>
    <s v="81010905ME00621AN5"/>
    <s v="세종점"/>
    <n v="81010177"/>
    <n v="9121"/>
    <n v="81010905"/>
    <n v="8809020342464"/>
    <x v="2"/>
    <x v="2"/>
    <n v="6"/>
    <x v="2"/>
  </r>
  <r>
    <m/>
    <s v="81010905ME00621ASM"/>
    <s v="세종점"/>
    <n v="81010177"/>
    <n v="9121"/>
    <n v="81010905"/>
    <n v="8809020342457"/>
    <x v="3"/>
    <x v="3"/>
    <n v="6"/>
    <x v="3"/>
  </r>
  <r>
    <m/>
    <s v="81010905ME90521EL7"/>
    <s v="역삼점"/>
    <n v="81010088"/>
    <n v="9121"/>
    <n v="81010905"/>
    <n v="8809020344468"/>
    <x v="10"/>
    <x v="10"/>
    <n v="12"/>
    <x v="9"/>
  </r>
  <r>
    <m/>
    <s v="81010905ME90521EL9"/>
    <s v="역삼점"/>
    <n v="81010088"/>
    <n v="9121"/>
    <n v="81010905"/>
    <n v="8809020344444"/>
    <x v="11"/>
    <x v="11"/>
    <n v="10"/>
    <x v="10"/>
  </r>
  <r>
    <m/>
    <s v="81010905ME90521E18"/>
    <s v="이천점"/>
    <n v="81010025"/>
    <n v="9121"/>
    <n v="81010905"/>
    <n v="8809020348992"/>
    <x v="12"/>
    <x v="12"/>
    <n v="12"/>
    <x v="11"/>
  </r>
  <r>
    <m/>
    <s v="81010905ME90521EL6"/>
    <s v="이천점"/>
    <n v="81010025"/>
    <n v="9121"/>
    <n v="81010905"/>
    <n v="8809020344192"/>
    <x v="13"/>
    <x v="13"/>
    <n v="12"/>
    <x v="9"/>
  </r>
  <r>
    <m/>
    <s v="81010905ME90521EL7"/>
    <s v="천안점"/>
    <n v="81010142"/>
    <n v="9121"/>
    <n v="81010905"/>
    <n v="8809020344468"/>
    <x v="10"/>
    <x v="10"/>
    <n v="12"/>
    <x v="9"/>
  </r>
  <r>
    <m/>
    <s v="81010903ME90521EL4"/>
    <s v="포항점"/>
    <n v="81010040"/>
    <n v="9101"/>
    <n v="81010903"/>
    <n v="8809020344048"/>
    <x v="14"/>
    <x v="14"/>
    <n v="12"/>
    <x v="12"/>
  </r>
  <r>
    <m/>
    <s v="81010903ME90521GS2"/>
    <s v="포항점"/>
    <n v="81010040"/>
    <n v="9101"/>
    <n v="81010903"/>
    <n v="8809020342495"/>
    <x v="15"/>
    <x v="15"/>
    <n v="12"/>
    <x v="13"/>
  </r>
  <r>
    <m/>
    <s v="81010903ME90521GT2"/>
    <s v="포항점"/>
    <n v="81010040"/>
    <n v="9101"/>
    <n v="81010903"/>
    <n v="8809020342518"/>
    <x v="16"/>
    <x v="16"/>
    <n v="12"/>
    <x v="13"/>
  </r>
  <r>
    <m/>
    <s v="81010903ME90521EL7"/>
    <s v="포항점"/>
    <n v="81010040"/>
    <n v="9101"/>
    <n v="81010903"/>
    <n v="8809020344468"/>
    <x v="10"/>
    <x v="10"/>
    <n v="12"/>
    <x v="9"/>
  </r>
  <r>
    <m/>
    <s v="81010903ME90521EL6"/>
    <s v="포항점"/>
    <n v="81010040"/>
    <n v="9101"/>
    <n v="81010903"/>
    <n v="8809020344192"/>
    <x v="13"/>
    <x v="13"/>
    <n v="12"/>
    <x v="9"/>
  </r>
  <r>
    <m/>
    <s v="81010903ME90521EL8"/>
    <s v="포항점"/>
    <n v="81010040"/>
    <n v="9101"/>
    <n v="81010903"/>
    <n v="8809020344451"/>
    <x v="17"/>
    <x v="17"/>
    <n v="10"/>
    <x v="10"/>
  </r>
  <r>
    <m/>
    <s v="81010903ME90521EL9"/>
    <s v="포항점"/>
    <n v="81010040"/>
    <n v="9101"/>
    <n v="81010903"/>
    <n v="8809020344444"/>
    <x v="11"/>
    <x v="11"/>
    <n v="10"/>
    <x v="10"/>
  </r>
  <r>
    <m/>
    <s v="81010902ME90521EL4"/>
    <s v="평촌점"/>
    <n v="81010096"/>
    <n v="9111"/>
    <n v="81010902"/>
    <n v="8809020344048"/>
    <x v="14"/>
    <x v="14"/>
    <n v="12"/>
    <x v="12"/>
  </r>
  <r>
    <m/>
    <s v="81010902ME90521E18"/>
    <s v="평촌점"/>
    <n v="81010096"/>
    <n v="9111"/>
    <n v="81010902"/>
    <n v="8809020348992"/>
    <x v="12"/>
    <x v="12"/>
    <n v="12"/>
    <x v="11"/>
  </r>
  <r>
    <m/>
    <s v="81010902ME90521EL7"/>
    <s v="평촌점"/>
    <n v="81010096"/>
    <n v="9111"/>
    <n v="81010902"/>
    <n v="8809020344468"/>
    <x v="10"/>
    <x v="10"/>
    <n v="12"/>
    <x v="9"/>
  </r>
  <r>
    <m/>
    <s v="81010902ME90521EL6"/>
    <s v="평촌점"/>
    <n v="81010096"/>
    <n v="9111"/>
    <n v="81010902"/>
    <n v="8809020344192"/>
    <x v="13"/>
    <x v="13"/>
    <n v="12"/>
    <x v="9"/>
  </r>
  <r>
    <m/>
    <s v="81010902ME90521EL9"/>
    <s v="평촌점"/>
    <n v="81010096"/>
    <n v="9111"/>
    <n v="81010902"/>
    <n v="8809020344444"/>
    <x v="11"/>
    <x v="11"/>
    <n v="10"/>
    <x v="10"/>
  </r>
  <r>
    <m/>
    <s v="81010905ME90521EL4"/>
    <s v="수지점"/>
    <n v="81010054"/>
    <n v="9121"/>
    <n v="81010905"/>
    <n v="8809020344048"/>
    <x v="14"/>
    <x v="14"/>
    <n v="12"/>
    <x v="12"/>
  </r>
  <r>
    <m/>
    <s v="81010905ME90521GT2"/>
    <s v="수지점"/>
    <n v="81010054"/>
    <n v="9121"/>
    <n v="81010905"/>
    <n v="8809020342518"/>
    <x v="16"/>
    <x v="16"/>
    <n v="12"/>
    <x v="13"/>
  </r>
  <r>
    <m/>
    <s v="81010905ME90521E18"/>
    <s v="수지점"/>
    <n v="81010054"/>
    <n v="9121"/>
    <n v="81010905"/>
    <n v="8809020348992"/>
    <x v="12"/>
    <x v="12"/>
    <n v="12"/>
    <x v="11"/>
  </r>
  <r>
    <m/>
    <s v="81010905ME90521EL7"/>
    <s v="수지점"/>
    <n v="81010054"/>
    <n v="9121"/>
    <n v="81010905"/>
    <n v="8809020344468"/>
    <x v="10"/>
    <x v="10"/>
    <n v="12"/>
    <x v="9"/>
  </r>
  <r>
    <m/>
    <s v="81010905ME90521EL6"/>
    <s v="수지점"/>
    <n v="81010054"/>
    <n v="9121"/>
    <n v="81010905"/>
    <n v="8809020344192"/>
    <x v="13"/>
    <x v="13"/>
    <n v="12"/>
    <x v="9"/>
  </r>
  <r>
    <m/>
    <s v="81010905ME90521EL9"/>
    <s v="수지점"/>
    <n v="81010054"/>
    <n v="9121"/>
    <n v="81010905"/>
    <n v="8809020344444"/>
    <x v="11"/>
    <x v="11"/>
    <n v="10"/>
    <x v="10"/>
  </r>
  <r>
    <m/>
    <s v="81010905ME90521EL8"/>
    <s v="수지점"/>
    <n v="81010054"/>
    <n v="9121"/>
    <n v="81010905"/>
    <n v="8809020344451"/>
    <x v="17"/>
    <x v="17"/>
    <n v="10"/>
    <x v="10"/>
  </r>
  <r>
    <m/>
    <s v="81010903ME90521EL4"/>
    <s v="양산점"/>
    <n v="81010063"/>
    <n v="9101"/>
    <n v="81010903"/>
    <n v="8809020344048"/>
    <x v="14"/>
    <x v="14"/>
    <n v="12"/>
    <x v="12"/>
  </r>
  <r>
    <m/>
    <s v="81010903ME90521LD9"/>
    <s v="양산점"/>
    <n v="81010063"/>
    <n v="9101"/>
    <n v="81010903"/>
    <n v="8809020342501"/>
    <x v="18"/>
    <x v="18"/>
    <n v="12"/>
    <x v="13"/>
  </r>
  <r>
    <m/>
    <s v="81010903ME90521E18"/>
    <s v="양산점"/>
    <n v="81010063"/>
    <n v="9101"/>
    <n v="81010903"/>
    <n v="8809020348992"/>
    <x v="12"/>
    <x v="12"/>
    <n v="12"/>
    <x v="11"/>
  </r>
  <r>
    <m/>
    <s v="81010903ME90521EL7"/>
    <s v="양산점"/>
    <n v="81010063"/>
    <n v="9101"/>
    <n v="81010903"/>
    <n v="8809020344468"/>
    <x v="10"/>
    <x v="10"/>
    <n v="12"/>
    <x v="9"/>
  </r>
  <r>
    <m/>
    <s v="81010903ME90521EL9"/>
    <s v="양산점"/>
    <n v="81010063"/>
    <n v="9101"/>
    <n v="81010903"/>
    <n v="8809020344444"/>
    <x v="11"/>
    <x v="11"/>
    <n v="10"/>
    <x v="10"/>
  </r>
  <r>
    <m/>
    <s v="81010903ME90521EL8"/>
    <s v="양산점"/>
    <n v="81010063"/>
    <n v="9101"/>
    <n v="81010903"/>
    <n v="8809020344451"/>
    <x v="17"/>
    <x v="17"/>
    <n v="10"/>
    <x v="10"/>
  </r>
  <r>
    <m/>
    <s v="81010903ME90521EL4"/>
    <s v="순천점"/>
    <n v="81010072"/>
    <n v="9101"/>
    <n v="81010903"/>
    <n v="8809020344048"/>
    <x v="14"/>
    <x v="14"/>
    <n v="12"/>
    <x v="12"/>
  </r>
  <r>
    <m/>
    <s v="81010903ME90521GT2"/>
    <s v="순천점"/>
    <n v="81010072"/>
    <n v="9101"/>
    <n v="81010903"/>
    <n v="8809020342518"/>
    <x v="16"/>
    <x v="16"/>
    <n v="12"/>
    <x v="13"/>
  </r>
  <r>
    <m/>
    <s v="81010903ME90521GS2"/>
    <s v="순천점"/>
    <n v="81010072"/>
    <n v="9101"/>
    <n v="81010903"/>
    <n v="8809020342495"/>
    <x v="15"/>
    <x v="15"/>
    <n v="12"/>
    <x v="13"/>
  </r>
  <r>
    <m/>
    <s v="81010903ME90521E18"/>
    <s v="순천점"/>
    <n v="81010072"/>
    <n v="9101"/>
    <n v="81010903"/>
    <n v="8809020348992"/>
    <x v="12"/>
    <x v="12"/>
    <n v="12"/>
    <x v="11"/>
  </r>
  <r>
    <m/>
    <s v="81010903ME90521EL8"/>
    <s v="순천점"/>
    <n v="81010072"/>
    <n v="9101"/>
    <n v="81010903"/>
    <n v="8809020344451"/>
    <x v="17"/>
    <x v="17"/>
    <n v="10"/>
    <x v="10"/>
  </r>
  <r>
    <m/>
    <s v="81010903ME90521EL9"/>
    <s v="순천점"/>
    <n v="81010072"/>
    <n v="9101"/>
    <n v="81010903"/>
    <n v="8809020344444"/>
    <x v="11"/>
    <x v="11"/>
    <n v="10"/>
    <x v="10"/>
  </r>
  <r>
    <m/>
    <s v="81010905ME90521EL4"/>
    <s v="동백점"/>
    <n v="81010082"/>
    <n v="9121"/>
    <n v="81010905"/>
    <n v="8809020344048"/>
    <x v="14"/>
    <x v="14"/>
    <n v="12"/>
    <x v="12"/>
  </r>
  <r>
    <m/>
    <s v="81010905ME90521EL8"/>
    <s v="동백점"/>
    <n v="81010082"/>
    <n v="9121"/>
    <n v="81010905"/>
    <n v="8809020344451"/>
    <x v="17"/>
    <x v="17"/>
    <n v="10"/>
    <x v="10"/>
  </r>
  <r>
    <m/>
    <s v="81010905ME90521EL9"/>
    <s v="동백점"/>
    <n v="81010082"/>
    <n v="9121"/>
    <n v="81010905"/>
    <n v="8809020344444"/>
    <x v="11"/>
    <x v="11"/>
    <n v="10"/>
    <x v="10"/>
  </r>
  <r>
    <m/>
    <s v="81010905ME90521EL4"/>
    <s v="여주점"/>
    <n v="81010132"/>
    <n v="9121"/>
    <n v="81010905"/>
    <n v="8809020344048"/>
    <x v="14"/>
    <x v="14"/>
    <n v="12"/>
    <x v="12"/>
  </r>
  <r>
    <m/>
    <s v="81010905ME90521EL4"/>
    <s v="미아점"/>
    <n v="81010115"/>
    <n v="9121"/>
    <n v="81010905"/>
    <n v="8809020344048"/>
    <x v="14"/>
    <x v="14"/>
    <n v="12"/>
    <x v="12"/>
  </r>
  <r>
    <m/>
    <s v="81010905ME90521EL9"/>
    <s v="미아점"/>
    <n v="81010115"/>
    <n v="9121"/>
    <n v="81010905"/>
    <n v="8809020344444"/>
    <x v="11"/>
    <x v="11"/>
    <n v="10"/>
    <x v="10"/>
  </r>
  <r>
    <m/>
    <s v="81010905ME90521EL9"/>
    <s v="가든5점"/>
    <n v="81010150"/>
    <n v="9121"/>
    <n v="81010905"/>
    <n v="8809020344444"/>
    <x v="11"/>
    <x v="11"/>
    <n v="10"/>
    <x v="10"/>
  </r>
  <r>
    <m/>
    <s v="81010905ME90521EL8"/>
    <s v="가든5점"/>
    <n v="81010150"/>
    <n v="9121"/>
    <n v="81010905"/>
    <n v="8809020344451"/>
    <x v="17"/>
    <x v="17"/>
    <n v="10"/>
    <x v="10"/>
  </r>
  <r>
    <m/>
    <s v="81010902ME90521EL4"/>
    <s v="화성봉담점"/>
    <n v="81010163"/>
    <n v="9111"/>
    <n v="81010902"/>
    <n v="8809020344048"/>
    <x v="14"/>
    <x v="14"/>
    <n v="12"/>
    <x v="12"/>
  </r>
  <r>
    <m/>
    <s v="81010902ME90521EL9"/>
    <s v="화성봉담점"/>
    <n v="81010163"/>
    <n v="9111"/>
    <n v="81010902"/>
    <n v="8809020344444"/>
    <x v="11"/>
    <x v="11"/>
    <n v="10"/>
    <x v="10"/>
  </r>
  <r>
    <m/>
    <s v="81010902ME90521EL4"/>
    <s v="구로점"/>
    <n v="81010016"/>
    <n v="9111"/>
    <n v="81010902"/>
    <n v="8809020344048"/>
    <x v="14"/>
    <x v="14"/>
    <n v="12"/>
    <x v="12"/>
  </r>
  <r>
    <m/>
    <s v="81010903ME90521EL4"/>
    <s v="여수점"/>
    <n v="81010041"/>
    <n v="9101"/>
    <n v="81010903"/>
    <n v="8809020344048"/>
    <x v="14"/>
    <x v="14"/>
    <n v="12"/>
    <x v="12"/>
  </r>
  <r>
    <m/>
    <s v="81010903ME90521GS2"/>
    <s v="여수점"/>
    <n v="81010041"/>
    <n v="9101"/>
    <n v="81010903"/>
    <n v="8809020342495"/>
    <x v="15"/>
    <x v="15"/>
    <n v="12"/>
    <x v="13"/>
  </r>
  <r>
    <m/>
    <s v="81010903ME90521EL8"/>
    <s v="여수점"/>
    <n v="81010041"/>
    <n v="9101"/>
    <n v="81010903"/>
    <n v="8809020344451"/>
    <x v="17"/>
    <x v="17"/>
    <n v="10"/>
    <x v="10"/>
  </r>
  <r>
    <m/>
    <s v="81010903ME90521EL9"/>
    <s v="여수점"/>
    <n v="81010041"/>
    <n v="9101"/>
    <n v="81010903"/>
    <n v="8809020344444"/>
    <x v="11"/>
    <x v="11"/>
    <n v="10"/>
    <x v="10"/>
  </r>
  <r>
    <m/>
    <s v="81010905ME90521EL4"/>
    <s v="신제주점"/>
    <n v="81010056"/>
    <n v="9121"/>
    <n v="81010905"/>
    <n v="8809020344048"/>
    <x v="14"/>
    <x v="14"/>
    <n v="12"/>
    <x v="12"/>
  </r>
  <r>
    <m/>
    <s v="81010905ME90521E18"/>
    <s v="신제주점"/>
    <n v="81010056"/>
    <n v="9121"/>
    <n v="81010905"/>
    <n v="8809020348992"/>
    <x v="12"/>
    <x v="12"/>
    <n v="12"/>
    <x v="11"/>
  </r>
  <r>
    <m/>
    <s v="81010905ME90521EL7"/>
    <s v="신제주점"/>
    <n v="81010056"/>
    <n v="9121"/>
    <n v="81010905"/>
    <n v="8809020344468"/>
    <x v="10"/>
    <x v="10"/>
    <n v="12"/>
    <x v="9"/>
  </r>
  <r>
    <m/>
    <s v="81010905ME90521EL8"/>
    <s v="신제주점"/>
    <n v="81010056"/>
    <n v="9121"/>
    <n v="81010905"/>
    <n v="8809020344451"/>
    <x v="17"/>
    <x v="17"/>
    <n v="10"/>
    <x v="10"/>
  </r>
  <r>
    <m/>
    <s v="81010905ME90521EL9"/>
    <s v="신제주점"/>
    <n v="81010056"/>
    <n v="9121"/>
    <n v="81010905"/>
    <n v="8809020344444"/>
    <x v="11"/>
    <x v="11"/>
    <n v="10"/>
    <x v="10"/>
  </r>
  <r>
    <m/>
    <s v="81010902ME90521EL9"/>
    <s v="파주점"/>
    <n v="81010064"/>
    <n v="9111"/>
    <n v="81010902"/>
    <n v="8809020344444"/>
    <x v="11"/>
    <x v="11"/>
    <n v="10"/>
    <x v="10"/>
  </r>
  <r>
    <m/>
    <s v="81010902ME90521EL4"/>
    <s v="서수원점"/>
    <n v="81010073"/>
    <n v="9111"/>
    <n v="81010902"/>
    <n v="8809020344048"/>
    <x v="14"/>
    <x v="14"/>
    <n v="12"/>
    <x v="12"/>
  </r>
  <r>
    <m/>
    <s v="81010902ME90521LD9"/>
    <s v="서수원점"/>
    <n v="81010073"/>
    <n v="9111"/>
    <n v="81010902"/>
    <n v="8809020342501"/>
    <x v="18"/>
    <x v="18"/>
    <n v="12"/>
    <x v="13"/>
  </r>
  <r>
    <m/>
    <s v="81010902ME90521GT2"/>
    <s v="서수원점"/>
    <n v="81010073"/>
    <n v="9111"/>
    <n v="81010902"/>
    <n v="8809020342518"/>
    <x v="16"/>
    <x v="16"/>
    <n v="12"/>
    <x v="13"/>
  </r>
  <r>
    <m/>
    <s v="81010902ME90521GS2"/>
    <s v="서수원점"/>
    <n v="81010073"/>
    <n v="9111"/>
    <n v="81010902"/>
    <n v="8809020342495"/>
    <x v="15"/>
    <x v="15"/>
    <n v="12"/>
    <x v="13"/>
  </r>
  <r>
    <m/>
    <s v="81010902ME90521E18"/>
    <s v="서수원점"/>
    <n v="81010073"/>
    <n v="9111"/>
    <n v="81010902"/>
    <n v="8809020348992"/>
    <x v="12"/>
    <x v="12"/>
    <n v="12"/>
    <x v="11"/>
  </r>
  <r>
    <m/>
    <s v="81010902ME90521EL7"/>
    <s v="서수원점"/>
    <n v="81010073"/>
    <n v="9111"/>
    <n v="81010902"/>
    <n v="8809020344468"/>
    <x v="10"/>
    <x v="10"/>
    <n v="12"/>
    <x v="9"/>
  </r>
  <r>
    <m/>
    <s v="81010902ME90521EL9"/>
    <s v="서수원점"/>
    <n v="81010073"/>
    <n v="9111"/>
    <n v="81010902"/>
    <n v="8809020344444"/>
    <x v="11"/>
    <x v="11"/>
    <n v="10"/>
    <x v="10"/>
  </r>
  <r>
    <m/>
    <s v="81010902ME90521EL4"/>
    <s v="검단점"/>
    <n v="81010083"/>
    <n v="9111"/>
    <n v="81010902"/>
    <n v="8809020344048"/>
    <x v="14"/>
    <x v="14"/>
    <n v="12"/>
    <x v="12"/>
  </r>
  <r>
    <m/>
    <s v="81010902ME90521GS2"/>
    <s v="검단점"/>
    <n v="81010083"/>
    <n v="9111"/>
    <n v="81010902"/>
    <n v="8809020342495"/>
    <x v="15"/>
    <x v="15"/>
    <n v="12"/>
    <x v="13"/>
  </r>
  <r>
    <m/>
    <s v="81010902ME90521GT2"/>
    <s v="검단점"/>
    <n v="81010083"/>
    <n v="9111"/>
    <n v="81010902"/>
    <n v="8809020342518"/>
    <x v="16"/>
    <x v="16"/>
    <n v="12"/>
    <x v="13"/>
  </r>
  <r>
    <m/>
    <s v="81010902ME90521EL7"/>
    <s v="검단점"/>
    <n v="81010083"/>
    <n v="9111"/>
    <n v="81010902"/>
    <n v="8809020344468"/>
    <x v="10"/>
    <x v="10"/>
    <n v="12"/>
    <x v="9"/>
  </r>
  <r>
    <m/>
    <s v="81010902ME90521EL9"/>
    <s v="검단점"/>
    <n v="81010083"/>
    <n v="9111"/>
    <n v="81010902"/>
    <n v="8809020344444"/>
    <x v="11"/>
    <x v="11"/>
    <n v="10"/>
    <x v="10"/>
  </r>
  <r>
    <m/>
    <s v="81010905ME90521EL4"/>
    <s v="보라점"/>
    <n v="81010117"/>
    <n v="9121"/>
    <n v="81010905"/>
    <n v="8809020344048"/>
    <x v="14"/>
    <x v="14"/>
    <n v="12"/>
    <x v="12"/>
  </r>
  <r>
    <m/>
    <s v="81010902ME90521GS2"/>
    <s v="파주운정점"/>
    <n v="81010151"/>
    <n v="9111"/>
    <n v="81010902"/>
    <n v="8809020342495"/>
    <x v="15"/>
    <x v="15"/>
    <n v="12"/>
    <x v="13"/>
  </r>
  <r>
    <m/>
    <s v="81010902ME90521EL7"/>
    <s v="신월점"/>
    <n v="81010017"/>
    <n v="9111"/>
    <n v="81010902"/>
    <n v="8809020344468"/>
    <x v="10"/>
    <x v="10"/>
    <n v="12"/>
    <x v="9"/>
  </r>
  <r>
    <m/>
    <s v="81010902ME90521EL6"/>
    <s v="신월점"/>
    <n v="81010017"/>
    <n v="9111"/>
    <n v="81010902"/>
    <n v="8809020344192"/>
    <x v="13"/>
    <x v="13"/>
    <n v="12"/>
    <x v="9"/>
  </r>
  <r>
    <m/>
    <s v="81010903ME90521EL4"/>
    <s v="진주점"/>
    <n v="81010026"/>
    <n v="9101"/>
    <n v="81010903"/>
    <n v="8809020344048"/>
    <x v="14"/>
    <x v="14"/>
    <n v="12"/>
    <x v="12"/>
  </r>
  <r>
    <m/>
    <s v="81010903ME90521EL8"/>
    <s v="진주점"/>
    <n v="81010026"/>
    <n v="9101"/>
    <n v="81010903"/>
    <n v="8809020344451"/>
    <x v="17"/>
    <x v="17"/>
    <n v="10"/>
    <x v="10"/>
  </r>
  <r>
    <m/>
    <s v="81010903ME90521EL9"/>
    <s v="진주점"/>
    <n v="81010026"/>
    <n v="9101"/>
    <n v="81010903"/>
    <n v="8809020344444"/>
    <x v="11"/>
    <x v="11"/>
    <n v="10"/>
    <x v="10"/>
  </r>
  <r>
    <m/>
    <s v="81010903ME90521GT2"/>
    <s v="연제점"/>
    <n v="81010042"/>
    <n v="9101"/>
    <n v="81010903"/>
    <n v="8809020342518"/>
    <x v="16"/>
    <x v="16"/>
    <n v="12"/>
    <x v="13"/>
  </r>
  <r>
    <m/>
    <s v="81010903ME90521EL9"/>
    <s v="연제점"/>
    <n v="81010042"/>
    <n v="9101"/>
    <n v="81010903"/>
    <n v="8809020344444"/>
    <x v="11"/>
    <x v="11"/>
    <n v="10"/>
    <x v="10"/>
  </r>
  <r>
    <m/>
    <s v="81010905ME90521GT2"/>
    <s v="명일점"/>
    <n v="81010048"/>
    <n v="9121"/>
    <n v="81010905"/>
    <n v="8809020342518"/>
    <x v="16"/>
    <x v="16"/>
    <n v="12"/>
    <x v="13"/>
  </r>
  <r>
    <m/>
    <s v="81010905ME90521EL9"/>
    <s v="명일점"/>
    <n v="81010048"/>
    <n v="9121"/>
    <n v="81010905"/>
    <n v="8809020344444"/>
    <x v="11"/>
    <x v="11"/>
    <n v="10"/>
    <x v="10"/>
  </r>
  <r>
    <m/>
    <s v="81010905ME90521EL4"/>
    <s v="속초점"/>
    <n v="81010057"/>
    <n v="9121"/>
    <n v="81010905"/>
    <n v="8809020344048"/>
    <x v="14"/>
    <x v="14"/>
    <n v="12"/>
    <x v="12"/>
  </r>
  <r>
    <m/>
    <s v="81010905ME90521GT2"/>
    <s v="속초점"/>
    <n v="81010057"/>
    <n v="9121"/>
    <n v="81010905"/>
    <n v="8809020342518"/>
    <x v="16"/>
    <x v="16"/>
    <n v="12"/>
    <x v="13"/>
  </r>
  <r>
    <m/>
    <s v="81010903ME90521EL4"/>
    <s v="반야월점"/>
    <n v="81010065"/>
    <n v="9101"/>
    <n v="81010903"/>
    <n v="8809020344048"/>
    <x v="14"/>
    <x v="14"/>
    <n v="12"/>
    <x v="12"/>
  </r>
  <r>
    <m/>
    <s v="81010903ME90521GS2"/>
    <s v="반야월점"/>
    <n v="81010065"/>
    <n v="9101"/>
    <n v="81010903"/>
    <n v="8809020342495"/>
    <x v="15"/>
    <x v="15"/>
    <n v="12"/>
    <x v="13"/>
  </r>
  <r>
    <m/>
    <s v="81010903ME90521EL7"/>
    <s v="반야월점"/>
    <n v="81010065"/>
    <n v="9101"/>
    <n v="81010903"/>
    <n v="8809020344468"/>
    <x v="10"/>
    <x v="10"/>
    <n v="12"/>
    <x v="9"/>
  </r>
  <r>
    <m/>
    <s v="81010903ME90521EL6"/>
    <s v="반야월점"/>
    <n v="81010065"/>
    <n v="9101"/>
    <n v="81010903"/>
    <n v="8809020344192"/>
    <x v="13"/>
    <x v="13"/>
    <n v="12"/>
    <x v="9"/>
  </r>
  <r>
    <m/>
    <s v="81010905ME90521EL4"/>
    <s v="죽전점"/>
    <n v="81010140"/>
    <n v="9121"/>
    <n v="81010905"/>
    <n v="8809020344048"/>
    <x v="14"/>
    <x v="14"/>
    <n v="12"/>
    <x v="12"/>
  </r>
  <r>
    <m/>
    <s v="81010905ME90521GS2"/>
    <s v="죽전점"/>
    <n v="81010140"/>
    <n v="9121"/>
    <n v="81010905"/>
    <n v="8809020342495"/>
    <x v="15"/>
    <x v="15"/>
    <n v="12"/>
    <x v="13"/>
  </r>
  <r>
    <m/>
    <s v="81010905ME90521LD9"/>
    <s v="죽전점"/>
    <n v="81010140"/>
    <n v="9121"/>
    <n v="81010905"/>
    <n v="8809020342501"/>
    <x v="18"/>
    <x v="18"/>
    <n v="12"/>
    <x v="13"/>
  </r>
  <r>
    <m/>
    <s v="81010905ME90521GT2"/>
    <s v="죽전점"/>
    <n v="81010140"/>
    <n v="9121"/>
    <n v="81010905"/>
    <n v="8809020342518"/>
    <x v="16"/>
    <x v="16"/>
    <n v="12"/>
    <x v="13"/>
  </r>
  <r>
    <m/>
    <s v="81010905ME90521E18"/>
    <s v="죽전점"/>
    <n v="81010140"/>
    <n v="9121"/>
    <n v="81010905"/>
    <n v="8809020348992"/>
    <x v="12"/>
    <x v="12"/>
    <n v="12"/>
    <x v="11"/>
  </r>
  <r>
    <m/>
    <s v="81010905ME90521EL7"/>
    <s v="죽전점"/>
    <n v="81010140"/>
    <n v="9121"/>
    <n v="81010905"/>
    <n v="8809020344468"/>
    <x v="10"/>
    <x v="10"/>
    <n v="12"/>
    <x v="9"/>
  </r>
  <r>
    <m/>
    <s v="81010905ME90521EL6"/>
    <s v="죽전점"/>
    <n v="81010140"/>
    <n v="9121"/>
    <n v="81010905"/>
    <n v="8809020344192"/>
    <x v="13"/>
    <x v="13"/>
    <n v="12"/>
    <x v="9"/>
  </r>
  <r>
    <m/>
    <s v="81010905ME90521EL8"/>
    <s v="죽전점"/>
    <n v="81010140"/>
    <n v="9121"/>
    <n v="81010905"/>
    <n v="8809020344451"/>
    <x v="17"/>
    <x v="17"/>
    <n v="10"/>
    <x v="10"/>
  </r>
  <r>
    <m/>
    <s v="81010905ME90521EL4"/>
    <s v="익산점"/>
    <n v="81010100"/>
    <n v="9121"/>
    <n v="81010905"/>
    <n v="8809020344048"/>
    <x v="14"/>
    <x v="14"/>
    <n v="12"/>
    <x v="12"/>
  </r>
  <r>
    <m/>
    <s v="81010905ME90521GS2"/>
    <s v="익산점"/>
    <n v="81010100"/>
    <n v="9121"/>
    <n v="81010905"/>
    <n v="8809020342495"/>
    <x v="15"/>
    <x v="15"/>
    <n v="12"/>
    <x v="13"/>
  </r>
  <r>
    <m/>
    <s v="81010905ME90521EL6"/>
    <s v="익산점"/>
    <n v="81010100"/>
    <n v="9121"/>
    <n v="81010905"/>
    <n v="8809020344192"/>
    <x v="13"/>
    <x v="13"/>
    <n v="12"/>
    <x v="9"/>
  </r>
  <r>
    <m/>
    <s v="81010905ME90521EL7"/>
    <s v="익산점"/>
    <n v="81010100"/>
    <n v="9121"/>
    <n v="81010905"/>
    <n v="8809020344468"/>
    <x v="10"/>
    <x v="10"/>
    <n v="12"/>
    <x v="9"/>
  </r>
  <r>
    <m/>
    <s v="81010905ME90521EL4"/>
    <s v="포천점"/>
    <n v="81010145"/>
    <n v="9121"/>
    <n v="81010905"/>
    <n v="8809020344048"/>
    <x v="14"/>
    <x v="14"/>
    <n v="12"/>
    <x v="12"/>
  </r>
  <r>
    <m/>
    <s v="81010905ME90521GS2"/>
    <s v="포천점"/>
    <n v="81010145"/>
    <n v="9121"/>
    <n v="81010905"/>
    <n v="8809020342495"/>
    <x v="15"/>
    <x v="15"/>
    <n v="12"/>
    <x v="13"/>
  </r>
  <r>
    <m/>
    <s v="81010905ME90521EL7"/>
    <s v="포천점"/>
    <n v="81010145"/>
    <n v="9121"/>
    <n v="81010905"/>
    <n v="8809020344468"/>
    <x v="10"/>
    <x v="10"/>
    <n v="12"/>
    <x v="9"/>
  </r>
  <r>
    <m/>
    <s v="81010903ME90521EL4"/>
    <s v="동구미점"/>
    <n v="81010153"/>
    <n v="9101"/>
    <n v="81010903"/>
    <n v="8809020344048"/>
    <x v="14"/>
    <x v="14"/>
    <n v="12"/>
    <x v="12"/>
  </r>
  <r>
    <m/>
    <s v="81010903ME90521GS2"/>
    <s v="동구미점"/>
    <n v="81010153"/>
    <n v="9101"/>
    <n v="81010903"/>
    <n v="8809020342495"/>
    <x v="15"/>
    <x v="15"/>
    <n v="12"/>
    <x v="13"/>
  </r>
  <r>
    <m/>
    <s v="81010903ME90521EL7"/>
    <s v="동구미점"/>
    <n v="81010153"/>
    <n v="9101"/>
    <n v="81010903"/>
    <n v="8809020344468"/>
    <x v="10"/>
    <x v="10"/>
    <n v="12"/>
    <x v="9"/>
  </r>
  <r>
    <m/>
    <s v="81010903ME90521EL6"/>
    <s v="동구미점"/>
    <n v="81010153"/>
    <n v="9101"/>
    <n v="81010903"/>
    <n v="8809020344192"/>
    <x v="13"/>
    <x v="13"/>
    <n v="12"/>
    <x v="9"/>
  </r>
  <r>
    <m/>
    <s v="81010903ME90521EL9"/>
    <s v="동구미점"/>
    <n v="81010153"/>
    <n v="9101"/>
    <n v="81010903"/>
    <n v="8809020344444"/>
    <x v="11"/>
    <x v="11"/>
    <n v="10"/>
    <x v="10"/>
  </r>
  <r>
    <m/>
    <s v="81010905ME90521EL4"/>
    <s v="천안서북점"/>
    <n v="81010165"/>
    <n v="9121"/>
    <n v="81010905"/>
    <n v="8809020344048"/>
    <x v="14"/>
    <x v="14"/>
    <n v="12"/>
    <x v="12"/>
  </r>
  <r>
    <m/>
    <s v="81010905ME90521GS2"/>
    <s v="천안서북점"/>
    <n v="81010165"/>
    <n v="9121"/>
    <n v="81010905"/>
    <n v="8809020342495"/>
    <x v="15"/>
    <x v="15"/>
    <n v="12"/>
    <x v="13"/>
  </r>
  <r>
    <m/>
    <s v="81010905ME90521E18"/>
    <s v="천안서북점"/>
    <n v="81010165"/>
    <n v="9121"/>
    <n v="81010905"/>
    <n v="8809020348992"/>
    <x v="12"/>
    <x v="12"/>
    <n v="12"/>
    <x v="11"/>
  </r>
  <r>
    <m/>
    <s v="81010905ME90521EL7"/>
    <s v="천안서북점"/>
    <n v="81010165"/>
    <n v="9121"/>
    <n v="81010905"/>
    <n v="8809020344468"/>
    <x v="10"/>
    <x v="10"/>
    <n v="12"/>
    <x v="9"/>
  </r>
  <r>
    <m/>
    <s v="81010905ME90521EL9"/>
    <s v="천안서북점"/>
    <n v="81010165"/>
    <n v="9121"/>
    <n v="81010905"/>
    <n v="8809020344444"/>
    <x v="11"/>
    <x v="11"/>
    <n v="10"/>
    <x v="10"/>
  </r>
  <r>
    <m/>
    <s v="81010905ME90521EL8"/>
    <s v="천안서북점"/>
    <n v="81010165"/>
    <n v="9121"/>
    <n v="81010905"/>
    <n v="8809020344451"/>
    <x v="17"/>
    <x v="17"/>
    <n v="10"/>
    <x v="10"/>
  </r>
  <r>
    <m/>
    <s v="81010903ME90521EL6"/>
    <s v="김해점"/>
    <n v="81010928"/>
    <n v="9101"/>
    <n v="81010903"/>
    <n v="8809020344192"/>
    <x v="13"/>
    <x v="13"/>
    <n v="12"/>
    <x v="9"/>
  </r>
  <r>
    <m/>
    <s v="81010903ME90521EL9"/>
    <s v="김해점"/>
    <n v="81010928"/>
    <n v="9101"/>
    <n v="81010903"/>
    <n v="8809020344444"/>
    <x v="11"/>
    <x v="11"/>
    <n v="10"/>
    <x v="10"/>
  </r>
  <r>
    <m/>
    <s v="81010903ME90521EL4"/>
    <s v="성서점"/>
    <n v="81010018"/>
    <n v="9101"/>
    <n v="81010903"/>
    <n v="8809020344048"/>
    <x v="14"/>
    <x v="14"/>
    <n v="12"/>
    <x v="12"/>
  </r>
  <r>
    <m/>
    <s v="81010903ME90521EL9"/>
    <s v="성서점"/>
    <n v="81010018"/>
    <n v="9101"/>
    <n v="81010903"/>
    <n v="8809020344444"/>
    <x v="11"/>
    <x v="11"/>
    <n v="10"/>
    <x v="10"/>
  </r>
  <r>
    <m/>
    <s v="81010903ME90521EL6"/>
    <s v="마산점"/>
    <n v="81010098"/>
    <n v="9101"/>
    <n v="81010903"/>
    <n v="8809020344192"/>
    <x v="13"/>
    <x v="13"/>
    <n v="12"/>
    <x v="9"/>
  </r>
  <r>
    <m/>
    <s v="81010903ME90521EL9"/>
    <s v="마산점"/>
    <n v="81010098"/>
    <n v="9101"/>
    <n v="81010903"/>
    <n v="8809020344444"/>
    <x v="11"/>
    <x v="11"/>
    <n v="10"/>
    <x v="10"/>
  </r>
  <r>
    <m/>
    <s v="81010903ME90521EL7"/>
    <s v="사상점"/>
    <n v="81010058"/>
    <n v="9101"/>
    <n v="81010903"/>
    <n v="8809020344468"/>
    <x v="10"/>
    <x v="10"/>
    <n v="12"/>
    <x v="9"/>
  </r>
  <r>
    <m/>
    <s v="81010903ME90521EL4"/>
    <s v="포항이동점"/>
    <n v="81010099"/>
    <n v="9101"/>
    <n v="81010903"/>
    <n v="8809020344048"/>
    <x v="14"/>
    <x v="14"/>
    <n v="12"/>
    <x v="12"/>
  </r>
  <r>
    <m/>
    <s v="81010903ME90521GS2"/>
    <s v="포항이동점"/>
    <n v="81010099"/>
    <n v="9101"/>
    <n v="81010903"/>
    <n v="8809020342495"/>
    <x v="15"/>
    <x v="15"/>
    <n v="12"/>
    <x v="13"/>
  </r>
  <r>
    <m/>
    <s v="81010903ME90521GT2"/>
    <s v="포항이동점"/>
    <n v="81010099"/>
    <n v="9101"/>
    <n v="81010903"/>
    <n v="8809020342518"/>
    <x v="16"/>
    <x v="16"/>
    <n v="12"/>
    <x v="13"/>
  </r>
  <r>
    <m/>
    <s v="81010903ME90521E18"/>
    <s v="포항이동점"/>
    <n v="81010099"/>
    <n v="9101"/>
    <n v="81010903"/>
    <n v="8809020348992"/>
    <x v="12"/>
    <x v="12"/>
    <n v="12"/>
    <x v="11"/>
  </r>
  <r>
    <m/>
    <s v="81010903ME90521EL7"/>
    <s v="포항이동점"/>
    <n v="81010099"/>
    <n v="9101"/>
    <n v="81010903"/>
    <n v="8809020344468"/>
    <x v="10"/>
    <x v="10"/>
    <n v="12"/>
    <x v="9"/>
  </r>
  <r>
    <m/>
    <s v="81010903ME90521EL6"/>
    <s v="포항이동점"/>
    <n v="81010099"/>
    <n v="9101"/>
    <n v="81010903"/>
    <n v="8809020344192"/>
    <x v="13"/>
    <x v="13"/>
    <n v="12"/>
    <x v="9"/>
  </r>
  <r>
    <m/>
    <s v="81010903ME90521EL8"/>
    <s v="포항이동점"/>
    <n v="81010099"/>
    <n v="9101"/>
    <n v="81010903"/>
    <n v="8809020344451"/>
    <x v="17"/>
    <x v="17"/>
    <n v="10"/>
    <x v="10"/>
  </r>
  <r>
    <m/>
    <s v="81010903ME90521EL9"/>
    <s v="포항이동점"/>
    <n v="81010099"/>
    <n v="9101"/>
    <n v="81010903"/>
    <n v="8809020344444"/>
    <x v="11"/>
    <x v="11"/>
    <n v="10"/>
    <x v="10"/>
  </r>
  <r>
    <m/>
    <s v="81010905ME90521EL4"/>
    <s v="춘천점"/>
    <n v="81010075"/>
    <n v="9121"/>
    <n v="81010905"/>
    <n v="8809020344048"/>
    <x v="14"/>
    <x v="14"/>
    <n v="12"/>
    <x v="12"/>
  </r>
  <r>
    <m/>
    <s v="81010905ME90521E18"/>
    <s v="춘천점"/>
    <n v="81010075"/>
    <n v="9121"/>
    <n v="81010905"/>
    <n v="8809020348992"/>
    <x v="12"/>
    <x v="12"/>
    <n v="12"/>
    <x v="11"/>
  </r>
  <r>
    <m/>
    <s v="81010905ME90521EL9"/>
    <s v="춘천점"/>
    <n v="81010075"/>
    <n v="9121"/>
    <n v="81010905"/>
    <n v="8809020344444"/>
    <x v="11"/>
    <x v="11"/>
    <n v="10"/>
    <x v="10"/>
  </r>
  <r>
    <m/>
    <s v="81010905ME90521EL8"/>
    <s v="춘천점"/>
    <n v="81010075"/>
    <n v="9121"/>
    <n v="81010905"/>
    <n v="8809020344451"/>
    <x v="17"/>
    <x v="17"/>
    <n v="10"/>
    <x v="10"/>
  </r>
  <r>
    <m/>
    <s v="81010902ME90521EL4"/>
    <s v="여의도점"/>
    <n v="81010131"/>
    <n v="9111"/>
    <n v="81010902"/>
    <n v="8809020344048"/>
    <x v="14"/>
    <x v="14"/>
    <n v="12"/>
    <x v="12"/>
  </r>
  <r>
    <m/>
    <s v="81010905ME90521EL4"/>
    <s v="성남점"/>
    <n v="81010124"/>
    <n v="9121"/>
    <n v="81010905"/>
    <n v="8809020344048"/>
    <x v="14"/>
    <x v="14"/>
    <n v="12"/>
    <x v="12"/>
  </r>
  <r>
    <m/>
    <s v="81010905ME90521GT2"/>
    <s v="성남점"/>
    <n v="81010124"/>
    <n v="9121"/>
    <n v="81010905"/>
    <n v="8809020342518"/>
    <x v="16"/>
    <x v="16"/>
    <n v="12"/>
    <x v="13"/>
  </r>
  <r>
    <m/>
    <s v="81010905ME90521EL4"/>
    <s v="대전터미널점"/>
    <n v="81010154"/>
    <n v="9121"/>
    <n v="81010905"/>
    <n v="8809020344048"/>
    <x v="14"/>
    <x v="14"/>
    <n v="12"/>
    <x v="12"/>
  </r>
  <r>
    <m/>
    <s v="81010905ME90521GT2"/>
    <s v="대전터미널점"/>
    <n v="81010154"/>
    <n v="9121"/>
    <n v="81010905"/>
    <n v="8809020342518"/>
    <x v="16"/>
    <x v="16"/>
    <n v="12"/>
    <x v="13"/>
  </r>
  <r>
    <m/>
    <s v="81010905ME90521E18"/>
    <s v="대전터미널점"/>
    <n v="81010154"/>
    <n v="9121"/>
    <n v="81010905"/>
    <n v="8809020348992"/>
    <x v="12"/>
    <x v="12"/>
    <n v="12"/>
    <x v="11"/>
  </r>
  <r>
    <m/>
    <s v="81010905ME90521EL6"/>
    <s v="대전터미널점"/>
    <n v="81010154"/>
    <n v="9121"/>
    <n v="81010905"/>
    <n v="8809020344192"/>
    <x v="13"/>
    <x v="13"/>
    <n v="12"/>
    <x v="9"/>
  </r>
  <r>
    <m/>
    <s v="81010905ME90521EL8"/>
    <s v="대전터미널점"/>
    <n v="81010154"/>
    <n v="9121"/>
    <n v="81010905"/>
    <n v="8809020344451"/>
    <x v="17"/>
    <x v="17"/>
    <n v="10"/>
    <x v="10"/>
  </r>
  <r>
    <m/>
    <s v="81010905ME90521EL9"/>
    <s v="대전터미널점"/>
    <n v="81010154"/>
    <n v="9121"/>
    <n v="81010905"/>
    <n v="8809020344444"/>
    <x v="11"/>
    <x v="11"/>
    <n v="10"/>
    <x v="10"/>
  </r>
  <r>
    <m/>
    <s v="81010905ME90521EL7"/>
    <s v="의왕점"/>
    <e v="#N/A"/>
    <n v="9121"/>
    <n v="81010905"/>
    <n v="8809020344468"/>
    <x v="10"/>
    <x v="10"/>
    <n v="12"/>
    <x v="9"/>
  </r>
  <r>
    <m/>
    <s v="81010905ME90521EL9"/>
    <s v="의왕점"/>
    <e v="#N/A"/>
    <n v="9121"/>
    <n v="81010905"/>
    <n v="8809020344444"/>
    <x v="11"/>
    <x v="11"/>
    <n v="10"/>
    <x v="10"/>
  </r>
  <r>
    <m/>
    <s v="81010905ME90521EL4"/>
    <s v="김천점"/>
    <n v="81010010"/>
    <n v="9121"/>
    <n v="81010905"/>
    <n v="8809020344048"/>
    <x v="14"/>
    <x v="14"/>
    <n v="12"/>
    <x v="12"/>
  </r>
  <r>
    <m/>
    <s v="81010905ME90521EL6"/>
    <s v="김천점"/>
    <n v="81010010"/>
    <n v="9121"/>
    <n v="81010905"/>
    <n v="8809020344192"/>
    <x v="13"/>
    <x v="13"/>
    <n v="12"/>
    <x v="9"/>
  </r>
  <r>
    <m/>
    <s v="81010902ME90521EL4"/>
    <s v="산본점"/>
    <n v="81010019"/>
    <n v="9111"/>
    <n v="81010902"/>
    <n v="8809020344048"/>
    <x v="14"/>
    <x v="14"/>
    <n v="12"/>
    <x v="12"/>
  </r>
  <r>
    <m/>
    <s v="81010902ME90521GS2"/>
    <s v="산본점"/>
    <n v="81010019"/>
    <n v="9111"/>
    <n v="81010902"/>
    <n v="8809020342495"/>
    <x v="15"/>
    <x v="15"/>
    <n v="12"/>
    <x v="13"/>
  </r>
  <r>
    <m/>
    <s v="81010902ME90521GT2"/>
    <s v="산본점"/>
    <n v="81010019"/>
    <n v="9111"/>
    <n v="81010902"/>
    <n v="8809020342518"/>
    <x v="16"/>
    <x v="16"/>
    <n v="12"/>
    <x v="13"/>
  </r>
  <r>
    <m/>
    <s v="81010902ME90521LD9"/>
    <s v="산본점"/>
    <n v="81010019"/>
    <n v="9111"/>
    <n v="81010902"/>
    <n v="8809020342501"/>
    <x v="18"/>
    <x v="18"/>
    <n v="12"/>
    <x v="13"/>
  </r>
  <r>
    <m/>
    <s v="81010902ME90521E18"/>
    <s v="산본점"/>
    <n v="81010019"/>
    <n v="9111"/>
    <n v="81010902"/>
    <n v="8809020348992"/>
    <x v="12"/>
    <x v="12"/>
    <n v="12"/>
    <x v="11"/>
  </r>
  <r>
    <m/>
    <s v="81010902ME90521EL6"/>
    <s v="산본점"/>
    <n v="81010019"/>
    <n v="9111"/>
    <n v="81010902"/>
    <n v="8809020344192"/>
    <x v="13"/>
    <x v="13"/>
    <n v="12"/>
    <x v="9"/>
  </r>
  <r>
    <m/>
    <s v="81010902ME90521EL9"/>
    <s v="산본점"/>
    <n v="81010019"/>
    <n v="9111"/>
    <n v="81010902"/>
    <n v="8809020344444"/>
    <x v="11"/>
    <x v="11"/>
    <n v="10"/>
    <x v="10"/>
  </r>
  <r>
    <m/>
    <s v="81010902ME90521EL8"/>
    <s v="산본점"/>
    <n v="81010019"/>
    <n v="9111"/>
    <n v="81010902"/>
    <n v="8809020344451"/>
    <x v="17"/>
    <x v="17"/>
    <n v="10"/>
    <x v="10"/>
  </r>
  <r>
    <m/>
    <s v="81010903ME90521EL4"/>
    <s v="목포점"/>
    <n v="81010027"/>
    <n v="9101"/>
    <n v="81010903"/>
    <n v="8809020344048"/>
    <x v="14"/>
    <x v="14"/>
    <n v="12"/>
    <x v="12"/>
  </r>
  <r>
    <m/>
    <s v="81010903ME90521LD9"/>
    <s v="목포점"/>
    <n v="81010027"/>
    <n v="9101"/>
    <n v="81010903"/>
    <n v="8809020342501"/>
    <x v="18"/>
    <x v="18"/>
    <n v="12"/>
    <x v="13"/>
  </r>
  <r>
    <m/>
    <s v="81010903ME90521E18"/>
    <s v="목포점"/>
    <n v="81010027"/>
    <n v="9101"/>
    <n v="81010903"/>
    <n v="8809020348992"/>
    <x v="12"/>
    <x v="12"/>
    <n v="12"/>
    <x v="11"/>
  </r>
  <r>
    <m/>
    <s v="81010903ME90521EL6"/>
    <s v="목포점"/>
    <n v="81010027"/>
    <n v="9101"/>
    <n v="81010903"/>
    <n v="8809020344192"/>
    <x v="13"/>
    <x v="13"/>
    <n v="12"/>
    <x v="9"/>
  </r>
  <r>
    <m/>
    <s v="81010903ME90521EL7"/>
    <s v="목포점"/>
    <n v="81010027"/>
    <n v="9101"/>
    <n v="81010903"/>
    <n v="8809020344468"/>
    <x v="10"/>
    <x v="10"/>
    <n v="12"/>
    <x v="9"/>
  </r>
  <r>
    <m/>
    <s v="81010903ME90521EL9"/>
    <s v="목포점"/>
    <n v="81010027"/>
    <n v="9101"/>
    <n v="81010903"/>
    <n v="8809020344444"/>
    <x v="11"/>
    <x v="11"/>
    <n v="10"/>
    <x v="10"/>
  </r>
  <r>
    <m/>
    <s v="81010903ME90521EL8"/>
    <s v="목포점"/>
    <n v="81010027"/>
    <n v="9101"/>
    <n v="81010903"/>
    <n v="8809020344451"/>
    <x v="17"/>
    <x v="17"/>
    <n v="10"/>
    <x v="10"/>
  </r>
  <r>
    <m/>
    <s v="81010902ME90521GS2"/>
    <s v="중동점"/>
    <n v="81010094"/>
    <n v="9111"/>
    <n v="81010902"/>
    <n v="8809020342495"/>
    <x v="15"/>
    <x v="15"/>
    <n v="12"/>
    <x v="13"/>
  </r>
  <r>
    <m/>
    <s v="81010902ME90521EL4"/>
    <s v="연수점"/>
    <n v="81010049"/>
    <n v="9111"/>
    <n v="81010902"/>
    <n v="8809020344048"/>
    <x v="14"/>
    <x v="14"/>
    <n v="12"/>
    <x v="12"/>
  </r>
  <r>
    <m/>
    <s v="81010902ME90521GS2"/>
    <s v="연수점"/>
    <n v="81010049"/>
    <n v="9111"/>
    <n v="81010902"/>
    <n v="8809020342495"/>
    <x v="15"/>
    <x v="15"/>
    <n v="12"/>
    <x v="13"/>
  </r>
  <r>
    <m/>
    <s v="81010902ME90521LD9"/>
    <s v="연수점"/>
    <n v="81010049"/>
    <n v="9111"/>
    <n v="81010902"/>
    <n v="8809020342501"/>
    <x v="18"/>
    <x v="18"/>
    <n v="12"/>
    <x v="13"/>
  </r>
  <r>
    <m/>
    <s v="81010902ME90521E18"/>
    <s v="연수점"/>
    <n v="81010049"/>
    <n v="9111"/>
    <n v="81010902"/>
    <n v="8809020348992"/>
    <x v="12"/>
    <x v="12"/>
    <n v="12"/>
    <x v="11"/>
  </r>
  <r>
    <m/>
    <s v="81010902ME90521EL6"/>
    <s v="연수점"/>
    <n v="81010049"/>
    <n v="9111"/>
    <n v="81010902"/>
    <n v="8809020344192"/>
    <x v="13"/>
    <x v="13"/>
    <n v="12"/>
    <x v="9"/>
  </r>
  <r>
    <m/>
    <s v="81010902ME90521EL7"/>
    <s v="연수점"/>
    <n v="81010049"/>
    <n v="9111"/>
    <n v="81010902"/>
    <n v="8809020344468"/>
    <x v="10"/>
    <x v="10"/>
    <n v="12"/>
    <x v="9"/>
  </r>
  <r>
    <m/>
    <s v="81010902ME90521EL9"/>
    <s v="연수점"/>
    <n v="81010049"/>
    <n v="9111"/>
    <n v="81010902"/>
    <n v="8809020344444"/>
    <x v="11"/>
    <x v="11"/>
    <n v="10"/>
    <x v="10"/>
  </r>
  <r>
    <m/>
    <s v="81010902ME90521EL8"/>
    <s v="연수점"/>
    <n v="81010049"/>
    <n v="9111"/>
    <n v="81010902"/>
    <n v="8809020344451"/>
    <x v="17"/>
    <x v="17"/>
    <n v="10"/>
    <x v="10"/>
  </r>
  <r>
    <m/>
    <s v="81010903ME90521EL4"/>
    <s v="울산점"/>
    <n v="81010059"/>
    <n v="9101"/>
    <n v="81010903"/>
    <n v="8809020344048"/>
    <x v="14"/>
    <x v="14"/>
    <n v="12"/>
    <x v="12"/>
  </r>
  <r>
    <m/>
    <s v="81010903ME90521GT2"/>
    <s v="울산점"/>
    <n v="81010059"/>
    <n v="9101"/>
    <n v="81010903"/>
    <n v="8809020342518"/>
    <x v="16"/>
    <x v="16"/>
    <n v="12"/>
    <x v="13"/>
  </r>
  <r>
    <m/>
    <s v="81010903ME90521E18"/>
    <s v="울산점"/>
    <n v="81010059"/>
    <n v="9101"/>
    <n v="81010903"/>
    <n v="8809020348992"/>
    <x v="12"/>
    <x v="12"/>
    <n v="12"/>
    <x v="11"/>
  </r>
  <r>
    <m/>
    <s v="81010903ME90521EL9"/>
    <s v="울산점"/>
    <n v="81010059"/>
    <n v="9101"/>
    <n v="81010903"/>
    <n v="8809020344444"/>
    <x v="11"/>
    <x v="11"/>
    <n v="10"/>
    <x v="10"/>
  </r>
  <r>
    <m/>
    <s v="81010905ME90521EL4"/>
    <s v="월계점"/>
    <n v="81010066"/>
    <n v="9121"/>
    <n v="81010905"/>
    <n v="8809020344048"/>
    <x v="14"/>
    <x v="14"/>
    <n v="12"/>
    <x v="12"/>
  </r>
  <r>
    <m/>
    <s v="81010905ME90521GS2"/>
    <s v="월계점"/>
    <n v="81010066"/>
    <n v="9121"/>
    <n v="81010905"/>
    <n v="8809020342495"/>
    <x v="15"/>
    <x v="15"/>
    <n v="12"/>
    <x v="13"/>
  </r>
  <r>
    <m/>
    <s v="81010905ME90521LD9"/>
    <s v="월계점"/>
    <n v="81010066"/>
    <n v="9121"/>
    <n v="81010905"/>
    <n v="8809020342501"/>
    <x v="18"/>
    <x v="18"/>
    <n v="12"/>
    <x v="13"/>
  </r>
  <r>
    <m/>
    <s v="81010905ME90521GT2"/>
    <s v="월계점"/>
    <n v="81010066"/>
    <n v="9121"/>
    <n v="81010905"/>
    <n v="8809020342518"/>
    <x v="16"/>
    <x v="16"/>
    <n v="12"/>
    <x v="13"/>
  </r>
  <r>
    <m/>
    <s v="81010905ME90521E18"/>
    <s v="월계점"/>
    <n v="81010066"/>
    <n v="9121"/>
    <n v="81010905"/>
    <n v="8809020348992"/>
    <x v="12"/>
    <x v="12"/>
    <n v="12"/>
    <x v="11"/>
  </r>
  <r>
    <m/>
    <s v="81010905ME90521EL6"/>
    <s v="월계점"/>
    <n v="81010066"/>
    <n v="9121"/>
    <n v="81010905"/>
    <n v="8809020344192"/>
    <x v="13"/>
    <x v="13"/>
    <n v="12"/>
    <x v="9"/>
  </r>
  <r>
    <m/>
    <s v="81010905ME90521EL7"/>
    <s v="월계점"/>
    <n v="81010066"/>
    <n v="9121"/>
    <n v="81010905"/>
    <n v="8809020344468"/>
    <x v="10"/>
    <x v="10"/>
    <n v="12"/>
    <x v="9"/>
  </r>
  <r>
    <m/>
    <s v="81010905ME90521EL9"/>
    <s v="월계점"/>
    <n v="81010066"/>
    <n v="9121"/>
    <n v="81010905"/>
    <n v="8809020344444"/>
    <x v="11"/>
    <x v="11"/>
    <n v="10"/>
    <x v="10"/>
  </r>
  <r>
    <m/>
    <s v="81010905ME90521EL8"/>
    <s v="월계점"/>
    <n v="81010066"/>
    <n v="9121"/>
    <n v="81010905"/>
    <n v="8809020344451"/>
    <x v="17"/>
    <x v="17"/>
    <n v="10"/>
    <x v="10"/>
  </r>
  <r>
    <m/>
    <s v="81010905ME90521E18"/>
    <s v="남양주점"/>
    <n v="81010076"/>
    <n v="9121"/>
    <n v="81010905"/>
    <n v="8809020348992"/>
    <x v="12"/>
    <x v="12"/>
    <n v="12"/>
    <x v="11"/>
  </r>
  <r>
    <m/>
    <s v="81010905ME90521EL7"/>
    <s v="남양주점"/>
    <n v="81010076"/>
    <n v="9121"/>
    <n v="81010905"/>
    <n v="8809020344468"/>
    <x v="10"/>
    <x v="10"/>
    <n v="12"/>
    <x v="9"/>
  </r>
  <r>
    <m/>
    <s v="81010905ME90521EL8"/>
    <s v="남양주점"/>
    <n v="81010076"/>
    <n v="9121"/>
    <n v="81010905"/>
    <n v="8809020344451"/>
    <x v="17"/>
    <x v="17"/>
    <n v="10"/>
    <x v="10"/>
  </r>
  <r>
    <m/>
    <s v="81010905ME90521EL4"/>
    <s v="태백점"/>
    <n v="81010102"/>
    <n v="9121"/>
    <n v="81010905"/>
    <n v="8809020344048"/>
    <x v="14"/>
    <x v="14"/>
    <n v="12"/>
    <x v="12"/>
  </r>
  <r>
    <m/>
    <s v="81010905ME90521EL7"/>
    <s v="태백점"/>
    <n v="81010102"/>
    <n v="9121"/>
    <n v="81010905"/>
    <n v="8809020344468"/>
    <x v="10"/>
    <x v="10"/>
    <n v="12"/>
    <x v="9"/>
  </r>
  <r>
    <m/>
    <s v="81010905ME90521EL4"/>
    <s v="다산점"/>
    <e v="#N/A"/>
    <n v="9121"/>
    <n v="81010905"/>
    <n v="8809020344048"/>
    <x v="14"/>
    <x v="14"/>
    <n v="12"/>
    <x v="12"/>
  </r>
  <r>
    <m/>
    <s v="81010902ME90521EL4"/>
    <s v="목동점"/>
    <n v="81010113"/>
    <n v="9111"/>
    <n v="81010902"/>
    <n v="8809020344048"/>
    <x v="14"/>
    <x v="14"/>
    <n v="12"/>
    <x v="12"/>
  </r>
  <r>
    <m/>
    <s v="81010902ME90521GT2"/>
    <s v="목동점"/>
    <n v="81010113"/>
    <n v="9111"/>
    <n v="81010902"/>
    <n v="8809020342518"/>
    <x v="16"/>
    <x v="16"/>
    <n v="12"/>
    <x v="13"/>
  </r>
  <r>
    <m/>
    <s v="81010902ME90521GS2"/>
    <s v="목동점"/>
    <n v="81010113"/>
    <n v="9111"/>
    <n v="81010902"/>
    <n v="8809020342495"/>
    <x v="15"/>
    <x v="15"/>
    <n v="12"/>
    <x v="13"/>
  </r>
  <r>
    <m/>
    <s v="81010902ME90521EL9"/>
    <s v="목동점"/>
    <n v="81010113"/>
    <n v="9111"/>
    <n v="81010902"/>
    <n v="8809020344444"/>
    <x v="11"/>
    <x v="11"/>
    <n v="10"/>
    <x v="10"/>
  </r>
  <r>
    <m/>
    <s v="81010902ME90521EL8"/>
    <s v="목동점"/>
    <n v="81010113"/>
    <n v="9111"/>
    <n v="81010902"/>
    <n v="8809020344451"/>
    <x v="17"/>
    <x v="17"/>
    <n v="10"/>
    <x v="10"/>
  </r>
  <r>
    <m/>
    <s v="81010902ME90521EL4"/>
    <s v="광명소하점"/>
    <n v="81010109"/>
    <n v="9111"/>
    <n v="81010902"/>
    <n v="8809020344048"/>
    <x v="14"/>
    <x v="14"/>
    <n v="12"/>
    <x v="12"/>
  </r>
  <r>
    <m/>
    <s v="81010902ME90521EL8"/>
    <s v="광명소하점"/>
    <n v="81010109"/>
    <n v="9111"/>
    <n v="81010902"/>
    <n v="8809020344451"/>
    <x v="17"/>
    <x v="17"/>
    <n v="10"/>
    <x v="10"/>
  </r>
  <r>
    <m/>
    <s v="81010905ME90521GS2"/>
    <s v="의정부점"/>
    <n v="81010168"/>
    <n v="9121"/>
    <n v="81010905"/>
    <n v="8809020342495"/>
    <x v="15"/>
    <x v="15"/>
    <n v="12"/>
    <x v="13"/>
  </r>
  <r>
    <m/>
    <s v="81010905ME90521GT2"/>
    <s v="의정부점"/>
    <n v="81010168"/>
    <n v="9121"/>
    <n v="81010905"/>
    <n v="8809020342518"/>
    <x v="16"/>
    <x v="16"/>
    <n v="12"/>
    <x v="13"/>
  </r>
  <r>
    <m/>
    <s v="81010905ME90521EL7"/>
    <s v="의정부점"/>
    <n v="81010168"/>
    <n v="9121"/>
    <n v="81010905"/>
    <n v="8809020344468"/>
    <x v="10"/>
    <x v="10"/>
    <n v="12"/>
    <x v="9"/>
  </r>
  <r>
    <m/>
    <s v="81010905ME90521EL9"/>
    <s v="의정부점"/>
    <n v="81010168"/>
    <n v="9121"/>
    <n v="81010905"/>
    <n v="8809020344444"/>
    <x v="11"/>
    <x v="11"/>
    <n v="10"/>
    <x v="10"/>
  </r>
  <r>
    <m/>
    <s v="81010903ME90521EL4"/>
    <s v="광주점"/>
    <n v="81010081"/>
    <n v="9101"/>
    <n v="81010903"/>
    <n v="8809020344048"/>
    <x v="14"/>
    <x v="14"/>
    <n v="12"/>
    <x v="12"/>
  </r>
  <r>
    <m/>
    <s v="81010903ME90521LD9"/>
    <s v="광주점"/>
    <n v="81010081"/>
    <n v="9101"/>
    <n v="81010903"/>
    <n v="8809020342501"/>
    <x v="18"/>
    <x v="18"/>
    <n v="12"/>
    <x v="13"/>
  </r>
  <r>
    <m/>
    <s v="81010903ME90521GS2"/>
    <s v="광주점"/>
    <n v="81010081"/>
    <n v="9101"/>
    <n v="81010903"/>
    <n v="8809020342495"/>
    <x v="15"/>
    <x v="15"/>
    <n v="12"/>
    <x v="13"/>
  </r>
  <r>
    <m/>
    <s v="81010903ME90521E18"/>
    <s v="광주점"/>
    <n v="81010081"/>
    <n v="9101"/>
    <n v="81010903"/>
    <n v="8809020348992"/>
    <x v="12"/>
    <x v="12"/>
    <n v="12"/>
    <x v="11"/>
  </r>
  <r>
    <m/>
    <s v="81010903ME90521EL6"/>
    <s v="광주점"/>
    <n v="81010081"/>
    <n v="9101"/>
    <n v="81010903"/>
    <n v="8809020344192"/>
    <x v="13"/>
    <x v="13"/>
    <n v="12"/>
    <x v="9"/>
  </r>
  <r>
    <m/>
    <s v="81010903ME90521EL8"/>
    <s v="광주점"/>
    <n v="81010081"/>
    <n v="9101"/>
    <n v="81010903"/>
    <n v="8809020344451"/>
    <x v="17"/>
    <x v="17"/>
    <n v="10"/>
    <x v="10"/>
  </r>
  <r>
    <m/>
    <s v="81010905ME90521EL4"/>
    <s v="천호점"/>
    <n v="81010020"/>
    <n v="9121"/>
    <n v="81010905"/>
    <n v="8809020344048"/>
    <x v="14"/>
    <x v="14"/>
    <n v="12"/>
    <x v="12"/>
  </r>
  <r>
    <m/>
    <s v="81010905ME90521EL9"/>
    <s v="천호점"/>
    <n v="81010020"/>
    <n v="9121"/>
    <n v="81010905"/>
    <n v="8809020344444"/>
    <x v="11"/>
    <x v="11"/>
    <n v="10"/>
    <x v="10"/>
  </r>
  <r>
    <m/>
    <s v="81010903ME90521EL4"/>
    <s v="칠성점"/>
    <n v="81010043"/>
    <n v="9101"/>
    <n v="81010903"/>
    <n v="8809020344048"/>
    <x v="14"/>
    <x v="14"/>
    <n v="12"/>
    <x v="12"/>
  </r>
  <r>
    <m/>
    <s v="81010903ME90521GS2"/>
    <s v="칠성점"/>
    <n v="81010043"/>
    <n v="9101"/>
    <n v="81010903"/>
    <n v="8809020342495"/>
    <x v="15"/>
    <x v="15"/>
    <n v="12"/>
    <x v="13"/>
  </r>
  <r>
    <m/>
    <s v="81010903ME90521E18"/>
    <s v="칠성점"/>
    <n v="81010043"/>
    <n v="9101"/>
    <n v="81010903"/>
    <n v="8809020348992"/>
    <x v="12"/>
    <x v="12"/>
    <n v="12"/>
    <x v="11"/>
  </r>
  <r>
    <m/>
    <s v="81010903ME90521EL7"/>
    <s v="칠성점"/>
    <n v="81010043"/>
    <n v="9101"/>
    <n v="81010903"/>
    <n v="8809020344468"/>
    <x v="10"/>
    <x v="10"/>
    <n v="12"/>
    <x v="9"/>
  </r>
  <r>
    <m/>
    <s v="81010903ME90521EL6"/>
    <s v="칠성점"/>
    <n v="81010043"/>
    <n v="9101"/>
    <n v="81010903"/>
    <n v="8809020344192"/>
    <x v="13"/>
    <x v="13"/>
    <n v="12"/>
    <x v="9"/>
  </r>
  <r>
    <m/>
    <s v="81010903ME90521EL9"/>
    <s v="칠성점"/>
    <n v="81010043"/>
    <n v="9101"/>
    <n v="81010903"/>
    <n v="8809020344444"/>
    <x v="11"/>
    <x v="11"/>
    <n v="10"/>
    <x v="10"/>
  </r>
  <r>
    <m/>
    <s v="81010903ME90521EL8"/>
    <s v="칠성점"/>
    <n v="81010043"/>
    <n v="9101"/>
    <n v="81010903"/>
    <n v="8809020344451"/>
    <x v="17"/>
    <x v="17"/>
    <n v="10"/>
    <x v="10"/>
  </r>
  <r>
    <m/>
    <s v="81010905ME90521EL4"/>
    <s v="강릉점"/>
    <n v="81010050"/>
    <n v="9121"/>
    <n v="81010905"/>
    <n v="8809020344048"/>
    <x v="14"/>
    <x v="14"/>
    <n v="12"/>
    <x v="12"/>
  </r>
  <r>
    <m/>
    <s v="81010905ME90521E18"/>
    <s v="강릉점"/>
    <n v="81010050"/>
    <n v="9121"/>
    <n v="81010905"/>
    <n v="8809020348992"/>
    <x v="12"/>
    <x v="12"/>
    <n v="12"/>
    <x v="11"/>
  </r>
  <r>
    <m/>
    <s v="81010905ME90521EL7"/>
    <s v="강릉점"/>
    <n v="81010050"/>
    <n v="9121"/>
    <n v="81010905"/>
    <n v="8809020344468"/>
    <x v="10"/>
    <x v="10"/>
    <n v="12"/>
    <x v="9"/>
  </r>
  <r>
    <m/>
    <s v="81010905ME90521EL6"/>
    <s v="강릉점"/>
    <n v="81010050"/>
    <n v="9121"/>
    <n v="81010905"/>
    <n v="8809020344192"/>
    <x v="13"/>
    <x v="13"/>
    <n v="12"/>
    <x v="9"/>
  </r>
  <r>
    <m/>
    <s v="81010905ME90521EL8"/>
    <s v="강릉점"/>
    <n v="81010050"/>
    <n v="9121"/>
    <n v="81010905"/>
    <n v="8809020344451"/>
    <x v="17"/>
    <x v="17"/>
    <n v="10"/>
    <x v="10"/>
  </r>
  <r>
    <m/>
    <s v="81010902ME90521EL4"/>
    <s v="용산점"/>
    <n v="81010135"/>
    <n v="9111"/>
    <n v="81010902"/>
    <n v="8809020344048"/>
    <x v="14"/>
    <x v="14"/>
    <n v="12"/>
    <x v="12"/>
  </r>
  <r>
    <m/>
    <s v="81010902ME90521GS2"/>
    <s v="용산점"/>
    <n v="81010135"/>
    <n v="9111"/>
    <n v="81010902"/>
    <n v="8809020342495"/>
    <x v="15"/>
    <x v="15"/>
    <n v="12"/>
    <x v="13"/>
  </r>
  <r>
    <m/>
    <s v="81010902ME90521EL9"/>
    <s v="용산점"/>
    <n v="81010135"/>
    <n v="9111"/>
    <n v="81010902"/>
    <n v="8809020344444"/>
    <x v="11"/>
    <x v="11"/>
    <n v="10"/>
    <x v="10"/>
  </r>
  <r>
    <m/>
    <s v="81010902ME90521EL8"/>
    <s v="용산점"/>
    <n v="81010135"/>
    <n v="9111"/>
    <n v="81010902"/>
    <n v="8809020344451"/>
    <x v="17"/>
    <x v="17"/>
    <n v="10"/>
    <x v="10"/>
  </r>
  <r>
    <m/>
    <s v="81010905ME90521EL4"/>
    <s v="오산점"/>
    <n v="81010077"/>
    <n v="9121"/>
    <n v="81010905"/>
    <n v="8809020344048"/>
    <x v="14"/>
    <x v="14"/>
    <n v="12"/>
    <x v="12"/>
  </r>
  <r>
    <m/>
    <s v="81010905ME90521GS2"/>
    <s v="오산점"/>
    <n v="81010077"/>
    <n v="9121"/>
    <n v="81010905"/>
    <n v="8809020342495"/>
    <x v="15"/>
    <x v="15"/>
    <n v="12"/>
    <x v="13"/>
  </r>
  <r>
    <m/>
    <s v="81010905ME90521GT2"/>
    <s v="오산점"/>
    <n v="81010077"/>
    <n v="9121"/>
    <n v="81010905"/>
    <n v="8809020342518"/>
    <x v="16"/>
    <x v="16"/>
    <n v="12"/>
    <x v="13"/>
  </r>
  <r>
    <m/>
    <s v="81010905ME90521EL7"/>
    <s v="오산점"/>
    <n v="81010077"/>
    <n v="9121"/>
    <n v="81010905"/>
    <n v="8809020344468"/>
    <x v="10"/>
    <x v="10"/>
    <n v="12"/>
    <x v="9"/>
  </r>
  <r>
    <m/>
    <s v="81010905ME90521EL8"/>
    <s v="오산점"/>
    <n v="81010077"/>
    <n v="9121"/>
    <n v="81010905"/>
    <n v="8809020344451"/>
    <x v="17"/>
    <x v="17"/>
    <n v="10"/>
    <x v="10"/>
  </r>
  <r>
    <m/>
    <s v="81010905ME90521EL9"/>
    <s v="오산점"/>
    <n v="81010077"/>
    <n v="9121"/>
    <n v="81010905"/>
    <n v="8809020344444"/>
    <x v="11"/>
    <x v="11"/>
    <n v="10"/>
    <x v="10"/>
  </r>
  <r>
    <m/>
    <s v="81010905ME90521EL4"/>
    <s v="하남점"/>
    <n v="81010146"/>
    <n v="9121"/>
    <n v="81010905"/>
    <n v="8809020344048"/>
    <x v="14"/>
    <x v="14"/>
    <n v="12"/>
    <x v="12"/>
  </r>
  <r>
    <m/>
    <s v="81010905ME90521EL9"/>
    <s v="하남점"/>
    <n v="81010146"/>
    <n v="9121"/>
    <n v="81010905"/>
    <n v="8809020344444"/>
    <x v="11"/>
    <x v="11"/>
    <n v="10"/>
    <x v="10"/>
  </r>
  <r>
    <m/>
    <s v="81010905ME90521EL4"/>
    <s v="흥덕점"/>
    <n v="81010147"/>
    <n v="9121"/>
    <n v="81010905"/>
    <n v="8809020344048"/>
    <x v="14"/>
    <x v="14"/>
    <n v="12"/>
    <x v="12"/>
  </r>
  <r>
    <m/>
    <s v="81010905ME90521GT2"/>
    <s v="서산점"/>
    <n v="81010156"/>
    <n v="9121"/>
    <n v="81010905"/>
    <n v="8809020342518"/>
    <x v="16"/>
    <x v="16"/>
    <n v="12"/>
    <x v="13"/>
  </r>
  <r>
    <m/>
    <s v="81010905ME90521EL4"/>
    <s v="별내점"/>
    <n v="81010169"/>
    <n v="9121"/>
    <n v="81010905"/>
    <n v="8809020344048"/>
    <x v="14"/>
    <x v="14"/>
    <n v="12"/>
    <x v="12"/>
  </r>
  <r>
    <m/>
    <s v="81010905ME90521GS2"/>
    <s v="별내점"/>
    <n v="81010169"/>
    <n v="9121"/>
    <n v="81010905"/>
    <n v="8809020342495"/>
    <x v="15"/>
    <x v="15"/>
    <n v="12"/>
    <x v="13"/>
  </r>
  <r>
    <m/>
    <s v="81010905ME90521GT2"/>
    <s v="별내점"/>
    <n v="81010169"/>
    <n v="9121"/>
    <n v="81010905"/>
    <n v="8809020342518"/>
    <x v="16"/>
    <x v="16"/>
    <n v="12"/>
    <x v="13"/>
  </r>
  <r>
    <m/>
    <s v="81010905ME90521E18"/>
    <s v="별내점"/>
    <n v="81010169"/>
    <n v="9121"/>
    <n v="81010905"/>
    <n v="8809020348992"/>
    <x v="12"/>
    <x v="12"/>
    <n v="12"/>
    <x v="11"/>
  </r>
  <r>
    <m/>
    <s v="81010905ME90521EL6"/>
    <s v="별내점"/>
    <n v="81010169"/>
    <n v="9121"/>
    <n v="81010905"/>
    <n v="8809020344192"/>
    <x v="13"/>
    <x v="13"/>
    <n v="12"/>
    <x v="9"/>
  </r>
  <r>
    <m/>
    <s v="81010905ME90521EL7"/>
    <s v="별내점"/>
    <n v="81010169"/>
    <n v="9121"/>
    <n v="81010905"/>
    <n v="8809020344468"/>
    <x v="10"/>
    <x v="10"/>
    <n v="12"/>
    <x v="9"/>
  </r>
  <r>
    <m/>
    <s v="81010905ME90521EL9"/>
    <s v="별내점"/>
    <n v="81010169"/>
    <n v="9121"/>
    <n v="81010905"/>
    <n v="8809020344444"/>
    <x v="11"/>
    <x v="11"/>
    <n v="10"/>
    <x v="10"/>
  </r>
  <r>
    <m/>
    <s v="81010905ME90521EL4"/>
    <s v="제주점"/>
    <n v="81010005"/>
    <n v="9121"/>
    <n v="81010905"/>
    <n v="8809020344048"/>
    <x v="14"/>
    <x v="14"/>
    <n v="12"/>
    <x v="12"/>
  </r>
  <r>
    <m/>
    <s v="81010905ME90521GS2"/>
    <s v="제주점"/>
    <n v="81010005"/>
    <n v="9121"/>
    <n v="81010905"/>
    <n v="8809020342495"/>
    <x v="15"/>
    <x v="15"/>
    <n v="12"/>
    <x v="13"/>
  </r>
  <r>
    <m/>
    <s v="81010905ME90521E18"/>
    <s v="제주점"/>
    <n v="81010005"/>
    <n v="9121"/>
    <n v="81010905"/>
    <n v="8809020348992"/>
    <x v="12"/>
    <x v="12"/>
    <n v="12"/>
    <x v="11"/>
  </r>
  <r>
    <m/>
    <s v="81010905ME90521EL7"/>
    <s v="제주점"/>
    <n v="81010005"/>
    <n v="9121"/>
    <n v="81010905"/>
    <n v="8809020344468"/>
    <x v="10"/>
    <x v="10"/>
    <n v="12"/>
    <x v="9"/>
  </r>
  <r>
    <m/>
    <s v="81010905ME90521EL6"/>
    <s v="제주점"/>
    <n v="81010005"/>
    <n v="9121"/>
    <n v="81010905"/>
    <n v="8809020344192"/>
    <x v="13"/>
    <x v="13"/>
    <n v="12"/>
    <x v="9"/>
  </r>
  <r>
    <m/>
    <s v="81010905ME90521EL8"/>
    <s v="제주점"/>
    <n v="81010005"/>
    <n v="9121"/>
    <n v="81010905"/>
    <n v="8809020344451"/>
    <x v="17"/>
    <x v="17"/>
    <n v="10"/>
    <x v="10"/>
  </r>
  <r>
    <m/>
    <s v="81010905ME90521EL9"/>
    <s v="제주점"/>
    <n v="81010005"/>
    <n v="9121"/>
    <n v="81010905"/>
    <n v="8809020344444"/>
    <x v="11"/>
    <x v="11"/>
    <n v="10"/>
    <x v="10"/>
  </r>
  <r>
    <m/>
    <s v="81010905ME90521EL4"/>
    <s v="청주점"/>
    <n v="81010012"/>
    <n v="9121"/>
    <n v="81010905"/>
    <n v="8809020344048"/>
    <x v="14"/>
    <x v="14"/>
    <n v="12"/>
    <x v="12"/>
  </r>
  <r>
    <m/>
    <s v="81010905ME90521GT2"/>
    <s v="청주점"/>
    <n v="81010012"/>
    <n v="9121"/>
    <n v="81010905"/>
    <n v="8809020342518"/>
    <x v="16"/>
    <x v="16"/>
    <n v="12"/>
    <x v="13"/>
  </r>
  <r>
    <m/>
    <s v="81010905ME90521GS2"/>
    <s v="청주점"/>
    <n v="81010012"/>
    <n v="9121"/>
    <n v="81010905"/>
    <n v="8809020342495"/>
    <x v="15"/>
    <x v="15"/>
    <n v="12"/>
    <x v="13"/>
  </r>
  <r>
    <m/>
    <s v="81010905ME90521E18"/>
    <s v="청주점"/>
    <n v="81010012"/>
    <n v="9121"/>
    <n v="81010905"/>
    <n v="8809020348992"/>
    <x v="12"/>
    <x v="12"/>
    <n v="12"/>
    <x v="11"/>
  </r>
  <r>
    <m/>
    <s v="81010905ME90521EL8"/>
    <s v="청주점"/>
    <n v="81010012"/>
    <n v="9121"/>
    <n v="81010905"/>
    <n v="8809020344451"/>
    <x v="17"/>
    <x v="17"/>
    <n v="10"/>
    <x v="10"/>
  </r>
  <r>
    <m/>
    <s v="81010905ME90521EL9"/>
    <s v="청주점"/>
    <n v="81010012"/>
    <n v="9121"/>
    <n v="81010905"/>
    <n v="8809020344444"/>
    <x v="11"/>
    <x v="11"/>
    <n v="10"/>
    <x v="10"/>
  </r>
  <r>
    <m/>
    <s v="81010902ME90521EL4"/>
    <s v="가양점"/>
    <n v="81010021"/>
    <n v="9111"/>
    <n v="81010902"/>
    <n v="8809020344048"/>
    <x v="14"/>
    <x v="14"/>
    <n v="12"/>
    <x v="12"/>
  </r>
  <r>
    <m/>
    <s v="81010902ME90521LD9"/>
    <s v="가양점"/>
    <n v="81010021"/>
    <n v="9111"/>
    <n v="81010902"/>
    <n v="8809020342501"/>
    <x v="18"/>
    <x v="18"/>
    <n v="12"/>
    <x v="13"/>
  </r>
  <r>
    <m/>
    <s v="81010902ME90521EL6"/>
    <s v="가양점"/>
    <n v="81010021"/>
    <n v="9111"/>
    <n v="81010902"/>
    <n v="8809020344192"/>
    <x v="13"/>
    <x v="13"/>
    <n v="12"/>
    <x v="9"/>
  </r>
  <r>
    <m/>
    <s v="81010902ME90521EL8"/>
    <s v="가양점"/>
    <n v="81010021"/>
    <n v="9111"/>
    <n v="81010902"/>
    <n v="8809020344451"/>
    <x v="17"/>
    <x v="17"/>
    <n v="10"/>
    <x v="10"/>
  </r>
  <r>
    <m/>
    <s v="81010902ME90521EL9"/>
    <s v="가양점"/>
    <n v="81010021"/>
    <n v="9111"/>
    <n v="81010902"/>
    <n v="8809020344444"/>
    <x v="11"/>
    <x v="11"/>
    <n v="10"/>
    <x v="10"/>
  </r>
  <r>
    <m/>
    <s v="81010903ME90521EL4"/>
    <s v="만촌점"/>
    <n v="81010029"/>
    <n v="9101"/>
    <n v="81010903"/>
    <n v="8809020344048"/>
    <x v="14"/>
    <x v="14"/>
    <n v="12"/>
    <x v="12"/>
  </r>
  <r>
    <m/>
    <s v="81010903ME90521LD9"/>
    <s v="만촌점"/>
    <n v="81010029"/>
    <n v="9101"/>
    <n v="81010903"/>
    <n v="8809020342501"/>
    <x v="18"/>
    <x v="18"/>
    <n v="12"/>
    <x v="13"/>
  </r>
  <r>
    <m/>
    <s v="81010903ME90521GT2"/>
    <s v="만촌점"/>
    <n v="81010029"/>
    <n v="9101"/>
    <n v="81010903"/>
    <n v="8809020342518"/>
    <x v="16"/>
    <x v="16"/>
    <n v="12"/>
    <x v="13"/>
  </r>
  <r>
    <m/>
    <s v="81010903ME90521GS2"/>
    <s v="만촌점"/>
    <n v="81010029"/>
    <n v="9101"/>
    <n v="81010903"/>
    <n v="8809020342495"/>
    <x v="15"/>
    <x v="15"/>
    <n v="12"/>
    <x v="13"/>
  </r>
  <r>
    <m/>
    <s v="81010903ME90521E18"/>
    <s v="만촌점"/>
    <n v="81010029"/>
    <n v="9101"/>
    <n v="81010903"/>
    <n v="8809020348992"/>
    <x v="12"/>
    <x v="12"/>
    <n v="12"/>
    <x v="11"/>
  </r>
  <r>
    <m/>
    <s v="81010903ME90521EL6"/>
    <s v="만촌점"/>
    <n v="81010029"/>
    <n v="9101"/>
    <n v="81010903"/>
    <n v="8809020344192"/>
    <x v="13"/>
    <x v="13"/>
    <n v="12"/>
    <x v="9"/>
  </r>
  <r>
    <m/>
    <s v="81010903ME90521EL7"/>
    <s v="만촌점"/>
    <n v="81010029"/>
    <n v="9101"/>
    <n v="81010903"/>
    <n v="8809020344468"/>
    <x v="10"/>
    <x v="10"/>
    <n v="12"/>
    <x v="9"/>
  </r>
  <r>
    <m/>
    <s v="81010903ME90521EL9"/>
    <s v="만촌점"/>
    <n v="81010029"/>
    <n v="9101"/>
    <n v="81010903"/>
    <n v="8809020344444"/>
    <x v="11"/>
    <x v="11"/>
    <n v="10"/>
    <x v="10"/>
  </r>
  <r>
    <m/>
    <s v="81010905ME90521EL4"/>
    <s v="수원점"/>
    <n v="81010036"/>
    <n v="9121"/>
    <n v="81010905"/>
    <n v="8809020344048"/>
    <x v="14"/>
    <x v="14"/>
    <n v="12"/>
    <x v="12"/>
  </r>
  <r>
    <m/>
    <s v="81010905ME90521GT2"/>
    <s v="수원점"/>
    <n v="81010036"/>
    <n v="9121"/>
    <n v="81010905"/>
    <n v="8809020342518"/>
    <x v="16"/>
    <x v="16"/>
    <n v="12"/>
    <x v="13"/>
  </r>
  <r>
    <m/>
    <s v="81010905ME90521GS2"/>
    <s v="수원점"/>
    <n v="81010036"/>
    <n v="9121"/>
    <n v="81010905"/>
    <n v="8809020342495"/>
    <x v="15"/>
    <x v="15"/>
    <n v="12"/>
    <x v="13"/>
  </r>
  <r>
    <m/>
    <s v="81010905ME90521E18"/>
    <s v="수원점"/>
    <n v="81010036"/>
    <n v="9121"/>
    <n v="81010905"/>
    <n v="8809020348992"/>
    <x v="12"/>
    <x v="12"/>
    <n v="12"/>
    <x v="11"/>
  </r>
  <r>
    <m/>
    <s v="81010905ME90521EL9"/>
    <s v="수원점"/>
    <n v="81010036"/>
    <n v="9121"/>
    <n v="81010905"/>
    <n v="8809020344444"/>
    <x v="11"/>
    <x v="11"/>
    <n v="10"/>
    <x v="10"/>
  </r>
  <r>
    <m/>
    <s v="81010905ME90521EL4"/>
    <s v="둔산점"/>
    <n v="81010044"/>
    <n v="9121"/>
    <n v="81010905"/>
    <n v="8809020344048"/>
    <x v="14"/>
    <x v="14"/>
    <n v="12"/>
    <x v="12"/>
  </r>
  <r>
    <m/>
    <s v="81010905ME90521GS2"/>
    <s v="둔산점"/>
    <n v="81010044"/>
    <n v="9121"/>
    <n v="81010905"/>
    <n v="8809020342495"/>
    <x v="15"/>
    <x v="15"/>
    <n v="12"/>
    <x v="13"/>
  </r>
  <r>
    <m/>
    <s v="81010905ME90521E18"/>
    <s v="둔산점"/>
    <n v="81010044"/>
    <n v="9121"/>
    <n v="81010905"/>
    <n v="8809020348992"/>
    <x v="12"/>
    <x v="12"/>
    <n v="12"/>
    <x v="11"/>
  </r>
  <r>
    <m/>
    <s v="81010905ME90521EL8"/>
    <s v="둔산점"/>
    <n v="81010044"/>
    <n v="9121"/>
    <n v="81010905"/>
    <n v="8809020344451"/>
    <x v="17"/>
    <x v="17"/>
    <n v="10"/>
    <x v="10"/>
  </r>
  <r>
    <m/>
    <s v="81010905ME90521EL9"/>
    <s v="둔산점"/>
    <n v="81010044"/>
    <n v="9121"/>
    <n v="81010905"/>
    <n v="8809020344444"/>
    <x v="11"/>
    <x v="11"/>
    <n v="10"/>
    <x v="10"/>
  </r>
  <r>
    <m/>
    <s v="81010903ME90521EL4"/>
    <s v="영천점"/>
    <n v="81010061"/>
    <n v="9101"/>
    <n v="81010903"/>
    <n v="8809020344048"/>
    <x v="14"/>
    <x v="14"/>
    <n v="12"/>
    <x v="12"/>
  </r>
  <r>
    <m/>
    <s v="81010905ME90521EL6"/>
    <s v="안동점"/>
    <n v="81010068"/>
    <n v="9121"/>
    <n v="81010905"/>
    <n v="8809020344192"/>
    <x v="13"/>
    <x v="13"/>
    <n v="12"/>
    <x v="9"/>
  </r>
  <r>
    <m/>
    <s v="81010905ME90521GT2"/>
    <s v="용인점"/>
    <n v="81010078"/>
    <n v="9121"/>
    <n v="81010905"/>
    <n v="8809020342518"/>
    <x v="16"/>
    <x v="16"/>
    <n v="12"/>
    <x v="13"/>
  </r>
  <r>
    <m/>
    <s v="81010905ME90521EL6"/>
    <s v="용인점"/>
    <n v="81010078"/>
    <n v="9121"/>
    <n v="81010905"/>
    <n v="8809020344192"/>
    <x v="13"/>
    <x v="13"/>
    <n v="12"/>
    <x v="9"/>
  </r>
  <r>
    <m/>
    <s v="81010905ME90521EL4"/>
    <s v="자양점"/>
    <n v="81010103"/>
    <n v="9121"/>
    <n v="81010905"/>
    <n v="8809020344048"/>
    <x v="14"/>
    <x v="14"/>
    <n v="12"/>
    <x v="12"/>
  </r>
  <r>
    <m/>
    <s v="81010905ME90521LD9"/>
    <s v="자양점"/>
    <n v="81010103"/>
    <n v="9121"/>
    <n v="81010905"/>
    <n v="8809020342501"/>
    <x v="18"/>
    <x v="18"/>
    <n v="12"/>
    <x v="13"/>
  </r>
  <r>
    <m/>
    <s v="81010905ME90521GT2"/>
    <s v="자양점"/>
    <n v="81010103"/>
    <n v="9121"/>
    <n v="81010905"/>
    <n v="8809020342518"/>
    <x v="16"/>
    <x v="16"/>
    <n v="12"/>
    <x v="13"/>
  </r>
  <r>
    <m/>
    <s v="81010905ME90521EL7"/>
    <s v="자양점"/>
    <n v="81010103"/>
    <n v="9121"/>
    <n v="81010905"/>
    <n v="8809020344468"/>
    <x v="10"/>
    <x v="10"/>
    <n v="12"/>
    <x v="9"/>
  </r>
  <r>
    <m/>
    <s v="81010902ME90521EL4"/>
    <s v="청계천점"/>
    <n v="81010144"/>
    <n v="9111"/>
    <n v="81010902"/>
    <n v="8809020344048"/>
    <x v="14"/>
    <x v="14"/>
    <n v="12"/>
    <x v="12"/>
  </r>
  <r>
    <m/>
    <s v="81010902ME90521GT2"/>
    <s v="청계천점"/>
    <n v="81010144"/>
    <n v="9111"/>
    <n v="81010902"/>
    <n v="8809020342518"/>
    <x v="16"/>
    <x v="16"/>
    <n v="12"/>
    <x v="13"/>
  </r>
  <r>
    <m/>
    <s v="81010902ME90521LD9"/>
    <s v="청계천점"/>
    <n v="81010144"/>
    <n v="9111"/>
    <n v="81010902"/>
    <n v="8809020342501"/>
    <x v="18"/>
    <x v="18"/>
    <n v="12"/>
    <x v="13"/>
  </r>
  <r>
    <m/>
    <s v="81010905ME90521EL4"/>
    <s v="진접점"/>
    <n v="81010141"/>
    <n v="9121"/>
    <n v="81010905"/>
    <n v="8809020344048"/>
    <x v="14"/>
    <x v="14"/>
    <n v="12"/>
    <x v="12"/>
  </r>
  <r>
    <m/>
    <s v="81010905ME90521GS2"/>
    <s v="진접점"/>
    <n v="81010141"/>
    <n v="9121"/>
    <n v="81010905"/>
    <n v="8809020342495"/>
    <x v="15"/>
    <x v="15"/>
    <n v="12"/>
    <x v="13"/>
  </r>
  <r>
    <m/>
    <s v="81010905ME90521GT2"/>
    <s v="진접점"/>
    <n v="81010141"/>
    <n v="9121"/>
    <n v="81010905"/>
    <n v="8809020342518"/>
    <x v="16"/>
    <x v="16"/>
    <n v="12"/>
    <x v="13"/>
  </r>
  <r>
    <m/>
    <s v="81010905ME90521EL9"/>
    <s v="진접점"/>
    <n v="81010141"/>
    <n v="9121"/>
    <n v="81010905"/>
    <n v="8809020344444"/>
    <x v="11"/>
    <x v="11"/>
    <n v="10"/>
    <x v="10"/>
  </r>
  <r>
    <m/>
    <s v="81010905ME90521GT2"/>
    <s v="분당점"/>
    <n v="81010006"/>
    <n v="9121"/>
    <n v="81010905"/>
    <n v="8809020342518"/>
    <x v="16"/>
    <x v="16"/>
    <n v="12"/>
    <x v="13"/>
  </r>
  <r>
    <m/>
    <s v="81010905ME90521EL9"/>
    <s v="분당점"/>
    <n v="81010006"/>
    <n v="9121"/>
    <n v="81010905"/>
    <n v="8809020344444"/>
    <x v="11"/>
    <x v="11"/>
    <n v="10"/>
    <x v="10"/>
  </r>
  <r>
    <m/>
    <s v="81010905ME90521EL4"/>
    <s v="전주점"/>
    <n v="81010138"/>
    <n v="9121"/>
    <n v="81010905"/>
    <n v="8809020344048"/>
    <x v="14"/>
    <x v="14"/>
    <n v="12"/>
    <x v="12"/>
  </r>
  <r>
    <m/>
    <s v="81010905ME90521GT2"/>
    <s v="전주점"/>
    <n v="81010138"/>
    <n v="9121"/>
    <n v="81010905"/>
    <n v="8809020342518"/>
    <x v="16"/>
    <x v="16"/>
    <n v="12"/>
    <x v="13"/>
  </r>
  <r>
    <m/>
    <s v="81010905ME90521GS2"/>
    <s v="전주점"/>
    <n v="81010138"/>
    <n v="9121"/>
    <n v="81010905"/>
    <n v="8809020342495"/>
    <x v="15"/>
    <x v="15"/>
    <n v="12"/>
    <x v="13"/>
  </r>
  <r>
    <m/>
    <s v="81010905ME90521EL9"/>
    <s v="전주점"/>
    <n v="81010138"/>
    <n v="9121"/>
    <n v="81010905"/>
    <n v="8809020344444"/>
    <x v="11"/>
    <x v="11"/>
    <n v="10"/>
    <x v="10"/>
  </r>
  <r>
    <m/>
    <s v="81010903ME90521E18"/>
    <s v="해운대점"/>
    <n v="81010022"/>
    <n v="9101"/>
    <n v="81010903"/>
    <n v="8809020348992"/>
    <x v="12"/>
    <x v="12"/>
    <n v="12"/>
    <x v="11"/>
  </r>
  <r>
    <m/>
    <s v="81010903ME90521EL9"/>
    <s v="해운대점"/>
    <n v="81010022"/>
    <n v="9101"/>
    <n v="81010903"/>
    <n v="8809020344444"/>
    <x v="11"/>
    <x v="11"/>
    <n v="10"/>
    <x v="10"/>
  </r>
  <r>
    <m/>
    <s v="81010905ME90521EL4"/>
    <s v="군산점"/>
    <n v="81010030"/>
    <n v="9121"/>
    <n v="81010905"/>
    <n v="8809020344048"/>
    <x v="14"/>
    <x v="14"/>
    <n v="12"/>
    <x v="12"/>
  </r>
  <r>
    <m/>
    <s v="81010905ME90521EL4"/>
    <s v="충주점"/>
    <n v="81010037"/>
    <n v="9121"/>
    <n v="81010905"/>
    <n v="8809020344048"/>
    <x v="14"/>
    <x v="14"/>
    <n v="12"/>
    <x v="12"/>
  </r>
  <r>
    <m/>
    <s v="81010902ME90521GT2"/>
    <s v="안산고잔점"/>
    <e v="#N/A"/>
    <n v="9111"/>
    <n v="81010902"/>
    <n v="8809020342518"/>
    <x v="16"/>
    <x v="16"/>
    <n v="12"/>
    <x v="13"/>
  </r>
  <r>
    <m/>
    <s v="81010902ME90521GS2"/>
    <s v="안산고잔점"/>
    <e v="#N/A"/>
    <n v="9111"/>
    <n v="81010902"/>
    <n v="8809020342495"/>
    <x v="15"/>
    <x v="15"/>
    <n v="12"/>
    <x v="13"/>
  </r>
  <r>
    <m/>
    <s v="81010902ME90521E18"/>
    <s v="안산고잔점"/>
    <e v="#N/A"/>
    <n v="9111"/>
    <n v="81010902"/>
    <n v="8809020348992"/>
    <x v="12"/>
    <x v="12"/>
    <n v="12"/>
    <x v="11"/>
  </r>
  <r>
    <m/>
    <s v="81010902ME90521EL6"/>
    <s v="안산고잔점"/>
    <e v="#N/A"/>
    <n v="9111"/>
    <n v="81010902"/>
    <n v="8809020344192"/>
    <x v="13"/>
    <x v="13"/>
    <n v="12"/>
    <x v="9"/>
  </r>
  <r>
    <m/>
    <s v="81010902ME90521EL9"/>
    <s v="안산고잔점"/>
    <e v="#N/A"/>
    <n v="9111"/>
    <n v="81010902"/>
    <n v="8809020344444"/>
    <x v="11"/>
    <x v="11"/>
    <n v="10"/>
    <x v="10"/>
  </r>
  <r>
    <m/>
    <s v="81010902ME90521EL8"/>
    <s v="안산고잔점"/>
    <e v="#N/A"/>
    <n v="9111"/>
    <n v="81010902"/>
    <n v="8809020344451"/>
    <x v="17"/>
    <x v="17"/>
    <n v="10"/>
    <x v="10"/>
  </r>
  <r>
    <m/>
    <s v="81010903ME90521EL7"/>
    <s v="광산점"/>
    <n v="81010062"/>
    <n v="9101"/>
    <n v="81010903"/>
    <n v="8809020344468"/>
    <x v="10"/>
    <x v="10"/>
    <n v="12"/>
    <x v="9"/>
  </r>
  <r>
    <m/>
    <s v="81010905ME90521EL4"/>
    <s v="양재점"/>
    <n v="81010069"/>
    <n v="9121"/>
    <n v="81010905"/>
    <n v="8809020344048"/>
    <x v="14"/>
    <x v="14"/>
    <n v="12"/>
    <x v="12"/>
  </r>
  <r>
    <m/>
    <s v="81010905ME90521EL7"/>
    <s v="양재점"/>
    <n v="81010069"/>
    <n v="9121"/>
    <n v="81010905"/>
    <n v="8809020344468"/>
    <x v="10"/>
    <x v="10"/>
    <n v="12"/>
    <x v="9"/>
  </r>
  <r>
    <m/>
    <s v="81010905ME90521EL8"/>
    <s v="양재점"/>
    <n v="81010069"/>
    <n v="9121"/>
    <n v="81010905"/>
    <n v="8809020344451"/>
    <x v="17"/>
    <x v="17"/>
    <n v="10"/>
    <x v="10"/>
  </r>
  <r>
    <m/>
    <s v="81010905ME90521EL4"/>
    <s v="서귀포점"/>
    <n v="81010079"/>
    <n v="9121"/>
    <n v="81010905"/>
    <n v="8809020344048"/>
    <x v="14"/>
    <x v="14"/>
    <n v="12"/>
    <x v="12"/>
  </r>
  <r>
    <m/>
    <s v="81010905ME90521GT2"/>
    <s v="서귀포점"/>
    <n v="81010079"/>
    <n v="9121"/>
    <n v="81010905"/>
    <n v="8809020342518"/>
    <x v="16"/>
    <x v="16"/>
    <n v="12"/>
    <x v="13"/>
  </r>
  <r>
    <m/>
    <s v="81010905ME90521EL9"/>
    <s v="서귀포점"/>
    <n v="81010079"/>
    <n v="9121"/>
    <n v="81010905"/>
    <n v="8809020344444"/>
    <x v="11"/>
    <x v="11"/>
    <n v="10"/>
    <x v="10"/>
  </r>
  <r>
    <m/>
    <s v="81010905ME90521EL6"/>
    <s v="상주점"/>
    <n v="81010104"/>
    <n v="9121"/>
    <n v="81010905"/>
    <n v="8809020344192"/>
    <x v="13"/>
    <x v="13"/>
    <n v="12"/>
    <x v="9"/>
  </r>
  <r>
    <m/>
    <s v="81010905ME90521EL9"/>
    <s v="왕십리점"/>
    <n v="81010134"/>
    <n v="9121"/>
    <n v="81010905"/>
    <n v="8809020344444"/>
    <x v="11"/>
    <x v="11"/>
    <n v="10"/>
    <x v="10"/>
  </r>
  <r>
    <m/>
    <s v="81010905ME90521EL8"/>
    <s v="왕십리점"/>
    <n v="81010134"/>
    <n v="9121"/>
    <n v="81010905"/>
    <n v="8809020344451"/>
    <x v="17"/>
    <x v="17"/>
    <n v="10"/>
    <x v="10"/>
  </r>
  <r>
    <m/>
    <s v="81010905ME90521EL4"/>
    <s v="경기광주점"/>
    <n v="81010108"/>
    <n v="9121"/>
    <n v="81010905"/>
    <n v="8809020344048"/>
    <x v="14"/>
    <x v="14"/>
    <n v="12"/>
    <x v="12"/>
  </r>
  <r>
    <m/>
    <s v="81010905ME90521GT2"/>
    <s v="경기광주점"/>
    <n v="81010108"/>
    <n v="9121"/>
    <n v="81010905"/>
    <n v="8809020342518"/>
    <x v="16"/>
    <x v="16"/>
    <n v="12"/>
    <x v="13"/>
  </r>
  <r>
    <m/>
    <s v="81010905ME90521GS2"/>
    <s v="경기광주점"/>
    <n v="81010108"/>
    <n v="9121"/>
    <n v="81010905"/>
    <n v="8809020342495"/>
    <x v="15"/>
    <x v="15"/>
    <n v="12"/>
    <x v="13"/>
  </r>
  <r>
    <m/>
    <s v="81010905ME90521EL6"/>
    <s v="경기광주점"/>
    <n v="81010108"/>
    <n v="9121"/>
    <n v="81010905"/>
    <n v="8809020344192"/>
    <x v="13"/>
    <x v="13"/>
    <n v="12"/>
    <x v="9"/>
  </r>
  <r>
    <m/>
    <s v="81010905ME90521EL8"/>
    <s v="경기광주점"/>
    <n v="81010108"/>
    <n v="9121"/>
    <n v="81010905"/>
    <n v="8809020344451"/>
    <x v="17"/>
    <x v="17"/>
    <n v="10"/>
    <x v="10"/>
  </r>
  <r>
    <m/>
    <s v="81010905ME90521EL9"/>
    <s v="경기광주점"/>
    <n v="81010108"/>
    <n v="9121"/>
    <n v="81010905"/>
    <n v="8809020344444"/>
    <x v="11"/>
    <x v="11"/>
    <n v="10"/>
    <x v="10"/>
  </r>
  <r>
    <m/>
    <s v="81010903ME90521EL4"/>
    <s v="사천점"/>
    <n v="81010122"/>
    <n v="9101"/>
    <n v="81010903"/>
    <n v="8809020344048"/>
    <x v="14"/>
    <x v="14"/>
    <n v="12"/>
    <x v="12"/>
  </r>
  <r>
    <m/>
    <s v="81010902ME90521EL9"/>
    <s v="김포한강점"/>
    <n v="81010176"/>
    <n v="9111"/>
    <n v="81010902"/>
    <n v="8809020344444"/>
    <x v="11"/>
    <x v="11"/>
    <n v="10"/>
    <x v="10"/>
  </r>
  <r>
    <m/>
    <s v="81010905ME90521EL4"/>
    <s v="성수점"/>
    <n v="81010031"/>
    <n v="9121"/>
    <n v="81010905"/>
    <n v="8809020344048"/>
    <x v="14"/>
    <x v="14"/>
    <n v="12"/>
    <x v="12"/>
  </r>
  <r>
    <m/>
    <s v="81010905ME90521GS2"/>
    <s v="성수점"/>
    <n v="81010031"/>
    <n v="9121"/>
    <n v="81010905"/>
    <n v="8809020342495"/>
    <x v="15"/>
    <x v="15"/>
    <n v="12"/>
    <x v="13"/>
  </r>
  <r>
    <m/>
    <s v="81010905ME90521LD9"/>
    <s v="성수점"/>
    <n v="81010031"/>
    <n v="9121"/>
    <n v="81010905"/>
    <n v="8809020342501"/>
    <x v="18"/>
    <x v="18"/>
    <n v="12"/>
    <x v="13"/>
  </r>
  <r>
    <m/>
    <s v="81010905ME90521E18"/>
    <s v="성수점"/>
    <n v="81010031"/>
    <n v="9121"/>
    <n v="81010905"/>
    <n v="8809020348992"/>
    <x v="12"/>
    <x v="12"/>
    <n v="12"/>
    <x v="11"/>
  </r>
  <r>
    <m/>
    <s v="81010905ME90521EL7"/>
    <s v="성수점"/>
    <n v="81010031"/>
    <n v="9121"/>
    <n v="81010905"/>
    <n v="8809020344468"/>
    <x v="10"/>
    <x v="10"/>
    <n v="12"/>
    <x v="9"/>
  </r>
  <r>
    <m/>
    <s v="81010905ME90521EL6"/>
    <s v="성수점"/>
    <n v="81010031"/>
    <n v="9121"/>
    <n v="81010905"/>
    <n v="8809020344192"/>
    <x v="13"/>
    <x v="13"/>
    <n v="12"/>
    <x v="9"/>
  </r>
  <r>
    <m/>
    <s v="81010905ME90521EL8"/>
    <s v="성수점"/>
    <n v="81010031"/>
    <n v="9121"/>
    <n v="81010905"/>
    <n v="8809020344451"/>
    <x v="17"/>
    <x v="17"/>
    <n v="10"/>
    <x v="10"/>
  </r>
  <r>
    <m/>
    <s v="81010905ME90521EL9"/>
    <s v="성수점"/>
    <n v="81010031"/>
    <n v="9121"/>
    <n v="81010905"/>
    <n v="8809020344444"/>
    <x v="11"/>
    <x v="11"/>
    <n v="10"/>
    <x v="10"/>
  </r>
  <r>
    <m/>
    <s v="81010905ME90521EL9"/>
    <s v="평택점"/>
    <n v="81010038"/>
    <n v="9121"/>
    <n v="81010905"/>
    <n v="8809020344444"/>
    <x v="11"/>
    <x v="11"/>
    <n v="10"/>
    <x v="10"/>
  </r>
  <r>
    <m/>
    <s v="81010903ME90521EL4"/>
    <s v="구미점"/>
    <n v="81010045"/>
    <n v="9101"/>
    <n v="81010903"/>
    <n v="8809020344048"/>
    <x v="14"/>
    <x v="14"/>
    <n v="12"/>
    <x v="12"/>
  </r>
  <r>
    <m/>
    <s v="81010903ME90521EL4"/>
    <s v="문현점"/>
    <n v="81010053"/>
    <n v="9101"/>
    <n v="81010903"/>
    <n v="8809020344048"/>
    <x v="14"/>
    <x v="14"/>
    <n v="12"/>
    <x v="12"/>
  </r>
  <r>
    <m/>
    <s v="81010903ME90521GT2"/>
    <s v="문현점"/>
    <n v="81010053"/>
    <n v="9101"/>
    <n v="81010903"/>
    <n v="8809020342518"/>
    <x v="16"/>
    <x v="16"/>
    <n v="12"/>
    <x v="13"/>
  </r>
  <r>
    <m/>
    <s v="81010903ME90521EL8"/>
    <s v="문현점"/>
    <n v="81010053"/>
    <n v="9101"/>
    <n v="81010903"/>
    <n v="8809020344451"/>
    <x v="17"/>
    <x v="17"/>
    <n v="10"/>
    <x v="10"/>
  </r>
  <r>
    <m/>
    <s v="81010905ME90521EL9"/>
    <s v="양주점"/>
    <n v="81010130"/>
    <n v="9121"/>
    <n v="81010905"/>
    <n v="8809020344444"/>
    <x v="11"/>
    <x v="11"/>
    <n v="10"/>
    <x v="10"/>
  </r>
  <r>
    <m/>
    <s v="81010903ME90521EL4"/>
    <s v="경산점"/>
    <n v="81010080"/>
    <n v="9101"/>
    <n v="81010903"/>
    <n v="8809020344048"/>
    <x v="14"/>
    <x v="14"/>
    <n v="12"/>
    <x v="12"/>
  </r>
  <r>
    <m/>
    <s v="81010903ME90521LD9"/>
    <s v="경산점"/>
    <n v="81010080"/>
    <n v="9101"/>
    <n v="81010903"/>
    <n v="8809020342501"/>
    <x v="18"/>
    <x v="18"/>
    <n v="12"/>
    <x v="13"/>
  </r>
  <r>
    <m/>
    <s v="81010903ME90521GS2"/>
    <s v="경산점"/>
    <n v="81010080"/>
    <n v="9101"/>
    <n v="81010903"/>
    <n v="8809020342495"/>
    <x v="15"/>
    <x v="15"/>
    <n v="12"/>
    <x v="13"/>
  </r>
  <r>
    <m/>
    <s v="81010903ME90521GT2"/>
    <s v="경산점"/>
    <n v="81010080"/>
    <n v="9101"/>
    <n v="81010903"/>
    <n v="8809020342518"/>
    <x v="16"/>
    <x v="16"/>
    <n v="12"/>
    <x v="13"/>
  </r>
  <r>
    <m/>
    <s v="81010903ME90521E18"/>
    <s v="경산점"/>
    <n v="81010080"/>
    <n v="9101"/>
    <n v="81010903"/>
    <n v="8809020348992"/>
    <x v="12"/>
    <x v="12"/>
    <n v="12"/>
    <x v="11"/>
  </r>
  <r>
    <m/>
    <s v="81010903ME90521EL7"/>
    <s v="경산점"/>
    <n v="81010080"/>
    <n v="9101"/>
    <n v="81010903"/>
    <n v="8809020344468"/>
    <x v="10"/>
    <x v="10"/>
    <n v="12"/>
    <x v="9"/>
  </r>
  <r>
    <m/>
    <s v="81010903ME90521EL9"/>
    <s v="경산점"/>
    <n v="81010080"/>
    <n v="9101"/>
    <n v="81010903"/>
    <n v="8809020344444"/>
    <x v="11"/>
    <x v="11"/>
    <n v="10"/>
    <x v="10"/>
  </r>
  <r>
    <m/>
    <s v="81010903ME90521EL4"/>
    <s v="봉선점"/>
    <n v="81010119"/>
    <n v="9101"/>
    <n v="81010903"/>
    <n v="8809020344048"/>
    <x v="14"/>
    <x v="14"/>
    <n v="12"/>
    <x v="12"/>
  </r>
  <r>
    <m/>
    <s v="81010903ME90521GT2"/>
    <s v="봉선점"/>
    <n v="81010119"/>
    <n v="9101"/>
    <n v="81010903"/>
    <n v="8809020342518"/>
    <x v="16"/>
    <x v="16"/>
    <n v="12"/>
    <x v="13"/>
  </r>
  <r>
    <m/>
    <s v="81010903ME90521E18"/>
    <s v="봉선점"/>
    <n v="81010119"/>
    <n v="9101"/>
    <n v="81010903"/>
    <n v="8809020348992"/>
    <x v="12"/>
    <x v="12"/>
    <n v="12"/>
    <x v="11"/>
  </r>
  <r>
    <m/>
    <s v="81010905ME90521GS2"/>
    <s v="하월곡점"/>
    <n v="81010160"/>
    <n v="9121"/>
    <n v="81010905"/>
    <n v="8809020342495"/>
    <x v="15"/>
    <x v="15"/>
    <n v="12"/>
    <x v="13"/>
  </r>
  <r>
    <m/>
    <s v="81010905ME90521EL4"/>
    <s v="세종점"/>
    <n v="81010177"/>
    <n v="9121"/>
    <n v="81010905"/>
    <n v="8809020344048"/>
    <x v="14"/>
    <x v="14"/>
    <n v="12"/>
    <x v="12"/>
  </r>
  <r>
    <m/>
    <s v="81010905ME90521GS2"/>
    <s v="세종점"/>
    <n v="81010177"/>
    <n v="9121"/>
    <n v="81010905"/>
    <n v="8809020342495"/>
    <x v="15"/>
    <x v="15"/>
    <n v="12"/>
    <x v="13"/>
  </r>
  <r>
    <m/>
    <s v="81010905ME90521EL7"/>
    <s v="세종점"/>
    <n v="81010177"/>
    <n v="9121"/>
    <n v="81010905"/>
    <n v="8809020344468"/>
    <x v="10"/>
    <x v="10"/>
    <n v="12"/>
    <x v="9"/>
  </r>
  <r>
    <m/>
    <s v="81010905ME90521EL9"/>
    <s v="세종점"/>
    <n v="81010177"/>
    <n v="9121"/>
    <n v="81010905"/>
    <n v="8809020344444"/>
    <x v="11"/>
    <x v="11"/>
    <n v="10"/>
    <x v="10"/>
  </r>
  <r>
    <m/>
    <s v="81010905ME90521EL8"/>
    <s v="세종점"/>
    <n v="81010177"/>
    <n v="9121"/>
    <n v="81010905"/>
    <n v="8809020344451"/>
    <x v="17"/>
    <x v="17"/>
    <n v="10"/>
    <x v="10"/>
  </r>
  <r>
    <m/>
    <s v="81010903ME90521EL4"/>
    <s v="남원점"/>
    <n v="81010007"/>
    <n v="9101"/>
    <n v="81010903"/>
    <n v="8809020344048"/>
    <x v="14"/>
    <x v="14"/>
    <n v="12"/>
    <x v="12"/>
  </r>
  <r>
    <m/>
    <s v="81010905ME90521GT2"/>
    <s v="원주점"/>
    <n v="81010015"/>
    <n v="9121"/>
    <n v="81010905"/>
    <n v="8809020342518"/>
    <x v="16"/>
    <x v="16"/>
    <n v="12"/>
    <x v="13"/>
  </r>
  <r>
    <m/>
    <s v="81010905ME90521EL7"/>
    <s v="원주점"/>
    <n v="81010015"/>
    <n v="9121"/>
    <n v="81010905"/>
    <n v="8809020344468"/>
    <x v="10"/>
    <x v="10"/>
    <n v="12"/>
    <x v="9"/>
  </r>
  <r>
    <m/>
    <s v="81010905ME90521EL9"/>
    <s v="원주점"/>
    <n v="81010015"/>
    <n v="9121"/>
    <n v="81010905"/>
    <n v="8809020344444"/>
    <x v="11"/>
    <x v="11"/>
    <n v="10"/>
    <x v="10"/>
  </r>
  <r>
    <m/>
    <s v="81010903ME90521EL4"/>
    <s v="월배점"/>
    <n v="81010032"/>
    <n v="9101"/>
    <n v="81010903"/>
    <n v="8809020344048"/>
    <x v="14"/>
    <x v="14"/>
    <n v="12"/>
    <x v="12"/>
  </r>
  <r>
    <m/>
    <s v="81010903ME90521GS2"/>
    <s v="월배점"/>
    <n v="81010032"/>
    <n v="9101"/>
    <n v="81010903"/>
    <n v="8809020342495"/>
    <x v="15"/>
    <x v="15"/>
    <n v="12"/>
    <x v="13"/>
  </r>
  <r>
    <m/>
    <s v="81010903ME90521LD9"/>
    <s v="월배점"/>
    <n v="81010032"/>
    <n v="9101"/>
    <n v="81010903"/>
    <n v="8809020342501"/>
    <x v="18"/>
    <x v="18"/>
    <n v="12"/>
    <x v="13"/>
  </r>
  <r>
    <m/>
    <s v="81010903ME90521GT2"/>
    <s v="월배점"/>
    <n v="81010032"/>
    <n v="9101"/>
    <n v="81010903"/>
    <n v="8809020342518"/>
    <x v="16"/>
    <x v="16"/>
    <n v="12"/>
    <x v="13"/>
  </r>
  <r>
    <m/>
    <s v="81010903ME90521EL7"/>
    <s v="월배점"/>
    <n v="81010032"/>
    <n v="9101"/>
    <n v="81010903"/>
    <n v="8809020344468"/>
    <x v="10"/>
    <x v="10"/>
    <n v="12"/>
    <x v="9"/>
  </r>
  <r>
    <m/>
    <s v="81010903ME90521EL6"/>
    <s v="월배점"/>
    <n v="81010032"/>
    <n v="9101"/>
    <n v="81010903"/>
    <n v="8809020344192"/>
    <x v="13"/>
    <x v="13"/>
    <n v="12"/>
    <x v="9"/>
  </r>
  <r>
    <m/>
    <s v="81010903ME90521EL8"/>
    <s v="월배점"/>
    <n v="81010032"/>
    <n v="9101"/>
    <n v="81010903"/>
    <n v="8809020344451"/>
    <x v="17"/>
    <x v="17"/>
    <n v="10"/>
    <x v="10"/>
  </r>
  <r>
    <m/>
    <s v="81010903ME90521EL9"/>
    <s v="월배점"/>
    <n v="81010032"/>
    <n v="9101"/>
    <n v="81010903"/>
    <n v="8809020344444"/>
    <x v="11"/>
    <x v="11"/>
    <n v="10"/>
    <x v="10"/>
  </r>
  <r>
    <m/>
    <s v="81010902ME90521LD9"/>
    <s v="은평점"/>
    <n v="81010039"/>
    <n v="9111"/>
    <n v="81010902"/>
    <n v="8809020342501"/>
    <x v="18"/>
    <x v="18"/>
    <n v="12"/>
    <x v="13"/>
  </r>
  <r>
    <m/>
    <s v="81010902ME90521GT2"/>
    <s v="은평점"/>
    <n v="81010039"/>
    <n v="9111"/>
    <n v="81010902"/>
    <n v="8809020342518"/>
    <x v="16"/>
    <x v="16"/>
    <n v="12"/>
    <x v="13"/>
  </r>
  <r>
    <m/>
    <s v="81010902ME90521E18"/>
    <s v="은평점"/>
    <n v="81010039"/>
    <n v="9111"/>
    <n v="81010902"/>
    <n v="8809020348992"/>
    <x v="12"/>
    <x v="12"/>
    <n v="12"/>
    <x v="11"/>
  </r>
  <r>
    <m/>
    <s v="81010902ME90521EL7"/>
    <s v="은평점"/>
    <n v="81010039"/>
    <n v="9111"/>
    <n v="81010902"/>
    <n v="8809020344468"/>
    <x v="10"/>
    <x v="10"/>
    <n v="12"/>
    <x v="9"/>
  </r>
  <r>
    <m/>
    <s v="81010902ME90521EL6"/>
    <s v="은평점"/>
    <n v="81010039"/>
    <n v="9111"/>
    <n v="81010902"/>
    <n v="8809020344192"/>
    <x v="13"/>
    <x v="13"/>
    <n v="12"/>
    <x v="9"/>
  </r>
  <r>
    <m/>
    <s v="81010902ME90521EL9"/>
    <s v="은평점"/>
    <n v="81010039"/>
    <n v="9111"/>
    <n v="81010902"/>
    <n v="8809020344444"/>
    <x v="11"/>
    <x v="11"/>
    <n v="10"/>
    <x v="10"/>
  </r>
  <r>
    <m/>
    <s v="81010903ME90521E18"/>
    <s v="금정점"/>
    <n v="81010055"/>
    <n v="9101"/>
    <n v="81010903"/>
    <n v="8809020348992"/>
    <x v="12"/>
    <x v="12"/>
    <n v="12"/>
    <x v="11"/>
  </r>
  <r>
    <m/>
    <s v="81010903ME90521EL6"/>
    <s v="금정점"/>
    <n v="81010055"/>
    <n v="9101"/>
    <n v="81010903"/>
    <n v="8809020344192"/>
    <x v="13"/>
    <x v="13"/>
    <n v="12"/>
    <x v="9"/>
  </r>
  <r>
    <m/>
    <s v="81010903ME90521EL9"/>
    <s v="금정점"/>
    <n v="81010055"/>
    <n v="9101"/>
    <n v="81010903"/>
    <n v="8809020344444"/>
    <x v="11"/>
    <x v="11"/>
    <n v="10"/>
    <x v="10"/>
  </r>
  <r>
    <m/>
    <s v="81010903ME90521EL4"/>
    <s v="통영점"/>
    <n v="81010071"/>
    <n v="9101"/>
    <n v="81010903"/>
    <n v="8809020344048"/>
    <x v="14"/>
    <x v="14"/>
    <n v="12"/>
    <x v="12"/>
  </r>
  <r>
    <m/>
    <s v="81010903ME90521E18"/>
    <s v="통영점"/>
    <n v="81010071"/>
    <n v="9101"/>
    <n v="81010903"/>
    <n v="8809020348992"/>
    <x v="12"/>
    <x v="12"/>
    <n v="12"/>
    <x v="11"/>
  </r>
  <r>
    <m/>
    <s v="81010903ME90521EL8"/>
    <s v="통영점"/>
    <n v="81010071"/>
    <n v="9101"/>
    <n v="81010903"/>
    <n v="8809020344451"/>
    <x v="17"/>
    <x v="17"/>
    <n v="10"/>
    <x v="10"/>
  </r>
  <r>
    <m/>
    <s v="81010902ME90521EL4"/>
    <s v="신도림점"/>
    <n v="81010127"/>
    <n v="9111"/>
    <n v="81010902"/>
    <n v="8809020344048"/>
    <x v="14"/>
    <x v="14"/>
    <n v="12"/>
    <x v="12"/>
  </r>
  <r>
    <m/>
    <s v="81010902ME90521GT2"/>
    <s v="신도림점"/>
    <n v="81010127"/>
    <n v="9111"/>
    <n v="81010902"/>
    <n v="8809020342518"/>
    <x v="16"/>
    <x v="16"/>
    <n v="12"/>
    <x v="13"/>
  </r>
  <r>
    <m/>
    <s v="81010902ME90521EL7"/>
    <s v="신도림점"/>
    <n v="81010127"/>
    <n v="9111"/>
    <n v="81010902"/>
    <n v="8809020344468"/>
    <x v="10"/>
    <x v="10"/>
    <n v="12"/>
    <x v="9"/>
  </r>
  <r>
    <m/>
    <s v="81010905ME90521EL4"/>
    <s v="안성점"/>
    <n v="81010129"/>
    <n v="9121"/>
    <n v="81010905"/>
    <n v="8809020344048"/>
    <x v="14"/>
    <x v="14"/>
    <n v="12"/>
    <x v="12"/>
  </r>
  <r>
    <m/>
    <s v="81010905ME90521GT2"/>
    <s v="안성점"/>
    <n v="81010129"/>
    <n v="9121"/>
    <n v="81010905"/>
    <n v="8809020342518"/>
    <x v="16"/>
    <x v="16"/>
    <n v="12"/>
    <x v="13"/>
  </r>
  <r>
    <m/>
    <s v="81010905ME90521EL9"/>
    <s v="안성점"/>
    <n v="81010129"/>
    <n v="9121"/>
    <n v="81010905"/>
    <n v="8809020344444"/>
    <x v="11"/>
    <x v="11"/>
    <n v="10"/>
    <x v="10"/>
  </r>
  <r>
    <m/>
    <s v="81010905ME90521EL4"/>
    <s v="제천점"/>
    <n v="81010139"/>
    <n v="9121"/>
    <n v="81010905"/>
    <n v="8809020344048"/>
    <x v="14"/>
    <x v="14"/>
    <n v="12"/>
    <x v="12"/>
  </r>
  <r>
    <m/>
    <s v="81010905ME90521GS2"/>
    <s v="제천점"/>
    <n v="81010139"/>
    <n v="9121"/>
    <n v="81010905"/>
    <n v="8809020342495"/>
    <x v="15"/>
    <x v="15"/>
    <n v="12"/>
    <x v="13"/>
  </r>
  <r>
    <m/>
    <s v="81010905ME90521EL4"/>
    <s v="묵동점"/>
    <n v="81010114"/>
    <n v="9121"/>
    <n v="81010905"/>
    <n v="8809020344048"/>
    <x v="14"/>
    <x v="14"/>
    <n v="12"/>
    <x v="12"/>
  </r>
  <r>
    <m/>
    <s v="81010905ME90521EL6"/>
    <s v="묵동점"/>
    <n v="81010114"/>
    <n v="9121"/>
    <n v="81010905"/>
    <n v="8809020344192"/>
    <x v="13"/>
    <x v="13"/>
    <n v="12"/>
    <x v="9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7"/>
    <s v="시화(D)_EMT"/>
    <n v="81010902"/>
    <n v="9111"/>
    <n v="81010902"/>
    <n v="8809020344468"/>
    <x v="10"/>
    <x v="10"/>
    <n v="12"/>
    <x v="9"/>
  </r>
  <r>
    <m/>
    <s v="81010902ME90521EL6"/>
    <s v="시화(D)_EMT"/>
    <n v="81010902"/>
    <n v="9111"/>
    <n v="81010902"/>
    <n v="8809020344192"/>
    <x v="13"/>
    <x v="13"/>
    <n v="12"/>
    <x v="9"/>
  </r>
  <r>
    <m/>
    <s v="81010902ME90521EL8"/>
    <s v="시화(D)_EMT"/>
    <n v="81010902"/>
    <n v="9111"/>
    <n v="81010902"/>
    <n v="8809020344451"/>
    <x v="17"/>
    <x v="17"/>
    <n v="10"/>
    <x v="10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6"/>
    <s v="시화(D)_EMT"/>
    <n v="81010902"/>
    <n v="9111"/>
    <n v="81010902"/>
    <n v="8809020344192"/>
    <x v="13"/>
    <x v="13"/>
    <n v="12"/>
    <x v="9"/>
  </r>
  <r>
    <m/>
    <s v="81010925ME90621ADI"/>
    <s v="여주(RDC)_EMT"/>
    <n v="81010925"/>
    <n v="9125"/>
    <n v="81010925"/>
    <n v="8809020346592"/>
    <x v="1"/>
    <x v="1"/>
    <n v="24"/>
    <x v="1"/>
  </r>
  <r>
    <m/>
    <s v="81010925ME00621CM5"/>
    <s v="여주(RDC)_EMT"/>
    <n v="81010925"/>
    <n v="9125"/>
    <n v="81010925"/>
    <n v="8809020349036"/>
    <x v="19"/>
    <x v="19"/>
    <n v="12"/>
    <x v="14"/>
  </r>
  <r>
    <m/>
    <e v="#N/A"/>
    <s v="SSG청담점"/>
    <e v="#N/A"/>
    <s v="9116"/>
    <e v="#N/A"/>
    <n v="8809020341207"/>
    <x v="20"/>
    <x v="20"/>
    <n v="5"/>
    <x v="15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m/>
    <m/>
    <m/>
    <m/>
    <m/>
    <m/>
    <x v="22"/>
    <x v="22"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64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3" indent="0" compact="0" compactData="0" gridDropZones="1">
  <location ref="A3:D25" firstHeaderRow="2" firstDataRow="2" firstDataCol="3"/>
  <pivotFields count="11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sortType="descending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howAll="0"/>
    <pivotField axis="axisRow" compact="0" outline="0" subtotalTop="0" showAll="0" includeNewItemsInFilter="1" defaultSubtotal="0">
      <items count="24">
        <item h="1" sd="0" x="21"/>
        <item x="22"/>
        <item x="0"/>
        <item m="1" x="23"/>
        <item x="8"/>
        <item x="4"/>
        <item x="6"/>
        <item x="2"/>
        <item x="3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ubtotalTop="0" showAll="0" includeNewItemsInFilter="1" defaultSubtotal="0">
      <items count="24">
        <item x="21"/>
        <item h="1" x="22"/>
        <item h="1" m="1" x="23"/>
        <item h="1" x="0"/>
        <item x="2"/>
        <item x="3"/>
        <item x="8"/>
        <item x="6"/>
        <item x="4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compact="0" outline="0" subtotalTop="0" showAll="0" includeNewItemsInFilter="1" defaultSubtotal="0"/>
    <pivotField axis="axisRow" compact="0" outline="0" subtotalTop="0" showAll="0" includeNewItemsInFilter="1">
      <items count="84">
        <item x="16"/>
        <item m="1" x="63"/>
        <item x="14"/>
        <item x="4"/>
        <item x="17"/>
        <item m="1" x="56"/>
        <item m="1" x="29"/>
        <item m="1" x="67"/>
        <item m="1" x="49"/>
        <item m="1" x="45"/>
        <item m="1" x="62"/>
        <item m="1" x="18"/>
        <item m="1" x="36"/>
        <item m="1" x="74"/>
        <item m="1" x="72"/>
        <item m="1" x="65"/>
        <item x="1"/>
        <item m="1" x="30"/>
        <item m="1" x="24"/>
        <item m="1" x="76"/>
        <item m="1" x="64"/>
        <item m="1" x="47"/>
        <item m="1" x="27"/>
        <item m="1" x="33"/>
        <item m="1" x="31"/>
        <item m="1" x="20"/>
        <item x="6"/>
        <item m="1" x="61"/>
        <item m="1" x="69"/>
        <item m="1" x="28"/>
        <item m="1" x="73"/>
        <item x="15"/>
        <item m="1" x="70"/>
        <item m="1" x="37"/>
        <item m="1" x="41"/>
        <item m="1" x="55"/>
        <item m="1" x="53"/>
        <item m="1" x="68"/>
        <item m="1" x="35"/>
        <item m="1" x="58"/>
        <item m="1" x="44"/>
        <item m="1" x="52"/>
        <item m="1" x="57"/>
        <item m="1" x="46"/>
        <item m="1" x="21"/>
        <item m="1" x="78"/>
        <item m="1" x="77"/>
        <item m="1" x="23"/>
        <item x="2"/>
        <item m="1" x="38"/>
        <item m="1" x="59"/>
        <item x="3"/>
        <item m="1" x="75"/>
        <item m="1" x="81"/>
        <item m="1" x="42"/>
        <item m="1" x="82"/>
        <item m="1" x="71"/>
        <item m="1" x="51"/>
        <item x="0"/>
        <item m="1" x="79"/>
        <item m="1" x="26"/>
        <item x="11"/>
        <item x="9"/>
        <item x="10"/>
        <item x="12"/>
        <item x="13"/>
        <item m="1" x="50"/>
        <item m="1" x="48"/>
        <item m="1" x="40"/>
        <item m="1" x="80"/>
        <item m="1" x="43"/>
        <item m="1" x="22"/>
        <item m="1" x="25"/>
        <item m="1" x="32"/>
        <item m="1" x="19"/>
        <item m="1" x="66"/>
        <item m="1" x="60"/>
        <item m="1" x="39"/>
        <item m="1" x="54"/>
        <item m="1" x="34"/>
        <item x="5"/>
        <item x="8"/>
        <item x="7"/>
        <item t="default"/>
      </items>
    </pivotField>
  </pivotFields>
  <rowFields count="3">
    <field x="8"/>
    <field x="7"/>
    <field x="10"/>
  </rowFields>
  <rowItems count="21">
    <i>
      <x v="4"/>
      <x v="7"/>
      <x v="48"/>
    </i>
    <i>
      <x v="5"/>
      <x v="8"/>
      <x v="51"/>
    </i>
    <i>
      <x v="6"/>
      <x v="4"/>
      <x v="82"/>
    </i>
    <i>
      <x v="7"/>
      <x v="6"/>
      <x v="80"/>
    </i>
    <i>
      <x v="8"/>
      <x v="5"/>
      <x v="48"/>
    </i>
    <i>
      <x v="9"/>
      <x v="9"/>
      <x v="81"/>
    </i>
    <i>
      <x v="10"/>
      <x v="10"/>
      <x v="3"/>
    </i>
    <i>
      <x v="11"/>
      <x v="11"/>
      <x v="16"/>
    </i>
    <i>
      <x v="12"/>
      <x v="12"/>
      <x v="26"/>
    </i>
    <i>
      <x v="13"/>
      <x v="13"/>
      <x v="62"/>
    </i>
    <i>
      <x v="14"/>
      <x v="14"/>
      <x v="63"/>
    </i>
    <i>
      <x v="15"/>
      <x v="15"/>
      <x v="61"/>
    </i>
    <i>
      <x v="16"/>
      <x v="16"/>
      <x v="62"/>
    </i>
    <i>
      <x v="17"/>
      <x v="17"/>
      <x v="64"/>
    </i>
    <i>
      <x v="18"/>
      <x v="18"/>
      <x v="65"/>
    </i>
    <i>
      <x v="19"/>
      <x v="19"/>
      <x v="65"/>
    </i>
    <i>
      <x v="20"/>
      <x v="20"/>
      <x v="63"/>
    </i>
    <i>
      <x v="21"/>
      <x v="21"/>
      <x v="65"/>
    </i>
    <i>
      <x v="22"/>
      <x v="22"/>
      <x v="2"/>
    </i>
    <i>
      <x v="23"/>
      <x v="23"/>
      <x v="31"/>
    </i>
    <i t="grand">
      <x/>
    </i>
  </rowItems>
  <colItems count="1">
    <i/>
  </colItems>
  <dataFields count="1">
    <dataField name="합계 : 수량" fld="9" baseField="0" baseItem="0"/>
  </dataFields>
  <formats count="32">
    <format dxfId="31">
      <pivotArea type="all" dataOnly="0" outline="0" fieldPosition="0"/>
    </format>
    <format dxfId="30">
      <pivotArea type="all" dataOnly="0" outline="0" fieldPosition="0"/>
    </format>
    <format dxfId="29">
      <pivotArea grandRow="1" outline="0" fieldPosition="0"/>
    </format>
    <format dxfId="28">
      <pivotArea dataOnly="0" labelOnly="1" grandRow="1" outline="0" fieldPosition="0"/>
    </format>
    <format dxfId="27">
      <pivotArea grandRow="1" outline="0" fieldPosition="0"/>
    </format>
    <format dxfId="26">
      <pivotArea dataOnly="0" labelOnly="1" grandRow="1" outline="0" fieldPosition="0"/>
    </format>
    <format dxfId="25">
      <pivotArea grandRow="1" outline="0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topRight" dataOnly="0" labelOnly="1" outline="0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field="8" type="button" dataOnly="0" labelOnly="1" outline="0" axis="axisRow" fieldPosition="0"/>
    </format>
    <format dxfId="11">
      <pivotArea field="7" type="button" dataOnly="0" labelOnly="1" outline="0" axis="axisRow" fieldPosition="1"/>
    </format>
    <format dxfId="10">
      <pivotArea field="10" type="button" dataOnly="0" labelOnly="1" outline="0" axis="axisRow" fieldPosition="2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1664"/>
  <sheetViews>
    <sheetView zoomScale="85" zoomScaleNormal="85" workbookViewId="0">
      <pane ySplit="1" topLeftCell="A2" activePane="bottomLeft" state="frozen"/>
      <selection pane="bottomLeft" activeCell="A2" sqref="A2:XFD25"/>
    </sheetView>
  </sheetViews>
  <sheetFormatPr defaultRowHeight="14.4"/>
  <cols>
    <col min="1" max="1" width="10.09765625" bestFit="1" customWidth="1"/>
    <col min="2" max="2" width="8.8984375" bestFit="1" customWidth="1"/>
    <col min="3" max="3" width="11.59765625" customWidth="1"/>
    <col min="4" max="4" width="8.8984375" bestFit="1" customWidth="1"/>
    <col min="5" max="5" width="17" customWidth="1"/>
    <col min="6" max="6" width="15.796875" style="69" bestFit="1" customWidth="1"/>
    <col min="7" max="7" width="49.69921875" customWidth="1"/>
    <col min="8" max="8" width="8.796875" customWidth="1"/>
    <col min="9" max="9" width="10.3984375" customWidth="1"/>
    <col min="10" max="10" width="9.8984375" customWidth="1"/>
    <col min="11" max="11" width="10.59765625" customWidth="1"/>
    <col min="12" max="12" width="8.8984375" bestFit="1" customWidth="1"/>
    <col min="13" max="13" width="10.09765625" bestFit="1" customWidth="1"/>
    <col min="15" max="15" width="12.59765625" style="150" customWidth="1"/>
    <col min="16" max="16" width="8.8984375" bestFit="1" customWidth="1"/>
    <col min="17" max="17" width="10.09765625" bestFit="1" customWidth="1"/>
    <col min="18" max="19" width="8.8984375" bestFit="1" customWidth="1"/>
    <col min="20" max="20" width="12.8984375" customWidth="1"/>
  </cols>
  <sheetData>
    <row r="1" spans="1:27" ht="18.75" customHeight="1">
      <c r="A1" t="s">
        <v>0</v>
      </c>
      <c r="B1" t="s">
        <v>400</v>
      </c>
      <c r="C1" t="s">
        <v>401</v>
      </c>
      <c r="D1" t="s">
        <v>402</v>
      </c>
      <c r="E1" t="s">
        <v>1</v>
      </c>
      <c r="F1" s="69" t="s">
        <v>2</v>
      </c>
      <c r="G1" t="s">
        <v>3</v>
      </c>
      <c r="H1" t="s">
        <v>4</v>
      </c>
      <c r="I1" t="s">
        <v>403</v>
      </c>
      <c r="J1" t="s">
        <v>404</v>
      </c>
      <c r="K1" t="s">
        <v>405</v>
      </c>
      <c r="L1" t="s">
        <v>5</v>
      </c>
      <c r="M1" t="s">
        <v>6</v>
      </c>
      <c r="N1" t="s">
        <v>7</v>
      </c>
      <c r="O1" s="150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7" ht="52.2">
      <c r="A2" s="159">
        <v>20260415</v>
      </c>
      <c r="B2" s="160">
        <v>1368001</v>
      </c>
      <c r="C2" s="152" t="s">
        <v>1045</v>
      </c>
      <c r="D2" s="160">
        <v>1020</v>
      </c>
      <c r="E2" s="152" t="s">
        <v>979</v>
      </c>
      <c r="F2" s="160">
        <v>8809020345212</v>
      </c>
      <c r="G2" s="152" t="s">
        <v>1050</v>
      </c>
      <c r="H2" s="153">
        <v>2326</v>
      </c>
      <c r="I2" s="153">
        <v>8</v>
      </c>
      <c r="J2" s="153">
        <v>1</v>
      </c>
      <c r="K2" s="153">
        <v>8</v>
      </c>
      <c r="L2" s="153">
        <v>18608</v>
      </c>
      <c r="M2" s="160">
        <v>1283287135</v>
      </c>
      <c r="N2" s="152" t="s">
        <v>1048</v>
      </c>
      <c r="O2" s="160">
        <v>20260417</v>
      </c>
      <c r="P2" s="160">
        <v>9120</v>
      </c>
      <c r="Q2" s="152" t="s">
        <v>1049</v>
      </c>
      <c r="R2" s="160">
        <v>20260417</v>
      </c>
      <c r="S2" s="152" t="s">
        <v>1046</v>
      </c>
      <c r="T2" s="160">
        <v>1020</v>
      </c>
      <c r="U2" s="152" t="s">
        <v>979</v>
      </c>
      <c r="V2" s="152"/>
      <c r="W2" s="152"/>
      <c r="X2" s="152"/>
      <c r="Y2" s="152"/>
      <c r="Z2" s="152"/>
      <c r="AA2" s="152" t="s">
        <v>1047</v>
      </c>
    </row>
    <row r="3" spans="1:27" ht="52.2">
      <c r="A3" s="159">
        <v>20260415</v>
      </c>
      <c r="B3" s="160">
        <v>1368001</v>
      </c>
      <c r="C3" s="152" t="s">
        <v>1045</v>
      </c>
      <c r="D3" s="160">
        <v>1035</v>
      </c>
      <c r="E3" s="152" t="s">
        <v>988</v>
      </c>
      <c r="F3" s="160">
        <v>8809020345212</v>
      </c>
      <c r="G3" s="152" t="s">
        <v>1050</v>
      </c>
      <c r="H3" s="153">
        <v>2326</v>
      </c>
      <c r="I3" s="153">
        <v>8</v>
      </c>
      <c r="J3" s="153">
        <v>1</v>
      </c>
      <c r="K3" s="153">
        <v>8</v>
      </c>
      <c r="L3" s="153">
        <v>18608</v>
      </c>
      <c r="M3" s="160">
        <v>1283293862</v>
      </c>
      <c r="N3" s="152" t="s">
        <v>1048</v>
      </c>
      <c r="O3" s="160">
        <v>20260417</v>
      </c>
      <c r="P3" s="160">
        <v>9100</v>
      </c>
      <c r="Q3" s="152" t="s">
        <v>1051</v>
      </c>
      <c r="R3" s="160">
        <v>20260417</v>
      </c>
      <c r="S3" s="152" t="s">
        <v>1046</v>
      </c>
      <c r="T3" s="160">
        <v>1035</v>
      </c>
      <c r="U3" s="152" t="s">
        <v>988</v>
      </c>
      <c r="V3" s="152"/>
      <c r="W3" s="152"/>
      <c r="X3" s="152"/>
      <c r="Y3" s="152"/>
      <c r="Z3" s="152"/>
      <c r="AA3" s="152" t="s">
        <v>1047</v>
      </c>
    </row>
    <row r="4" spans="1:27" ht="52.2">
      <c r="A4" s="159">
        <v>20260415</v>
      </c>
      <c r="B4" s="160">
        <v>1368001</v>
      </c>
      <c r="C4" s="152" t="s">
        <v>1045</v>
      </c>
      <c r="D4" s="160">
        <v>1044</v>
      </c>
      <c r="E4" s="152" t="s">
        <v>997</v>
      </c>
      <c r="F4" s="160">
        <v>8809020346509</v>
      </c>
      <c r="G4" s="152" t="s">
        <v>484</v>
      </c>
      <c r="H4" s="153">
        <v>4469</v>
      </c>
      <c r="I4" s="153">
        <v>6</v>
      </c>
      <c r="J4" s="153">
        <v>1</v>
      </c>
      <c r="K4" s="153">
        <v>6</v>
      </c>
      <c r="L4" s="153">
        <v>26814</v>
      </c>
      <c r="M4" s="160">
        <v>1283298238</v>
      </c>
      <c r="N4" s="152" t="s">
        <v>1048</v>
      </c>
      <c r="O4" s="160">
        <v>20260417</v>
      </c>
      <c r="P4" s="160">
        <v>9110</v>
      </c>
      <c r="Q4" s="152" t="s">
        <v>1052</v>
      </c>
      <c r="R4" s="160">
        <v>20260417</v>
      </c>
      <c r="S4" s="152" t="s">
        <v>1046</v>
      </c>
      <c r="T4" s="160">
        <v>1044</v>
      </c>
      <c r="U4" s="152" t="s">
        <v>997</v>
      </c>
      <c r="V4" s="152"/>
      <c r="W4" s="152"/>
      <c r="X4" s="152"/>
      <c r="Y4" s="152"/>
      <c r="Z4" s="152"/>
      <c r="AA4" s="152" t="s">
        <v>1047</v>
      </c>
    </row>
    <row r="5" spans="1:27" ht="52.2">
      <c r="A5" s="159">
        <v>20260415</v>
      </c>
      <c r="B5" s="160">
        <v>1368001</v>
      </c>
      <c r="C5" s="152" t="s">
        <v>1045</v>
      </c>
      <c r="D5" s="160">
        <v>1044</v>
      </c>
      <c r="E5" s="152" t="s">
        <v>997</v>
      </c>
      <c r="F5" s="160">
        <v>8809020344321</v>
      </c>
      <c r="G5" s="152" t="s">
        <v>1053</v>
      </c>
      <c r="H5" s="153">
        <v>4284</v>
      </c>
      <c r="I5" s="153">
        <v>12</v>
      </c>
      <c r="J5" s="153">
        <v>1</v>
      </c>
      <c r="K5" s="153">
        <v>12</v>
      </c>
      <c r="L5" s="153">
        <v>51408</v>
      </c>
      <c r="M5" s="160">
        <v>1283298238</v>
      </c>
      <c r="N5" s="152" t="s">
        <v>1048</v>
      </c>
      <c r="O5" s="160">
        <v>20260417</v>
      </c>
      <c r="P5" s="160">
        <v>9110</v>
      </c>
      <c r="Q5" s="152" t="s">
        <v>1052</v>
      </c>
      <c r="R5" s="160">
        <v>20260417</v>
      </c>
      <c r="S5" s="152" t="s">
        <v>1046</v>
      </c>
      <c r="T5" s="160">
        <v>1044</v>
      </c>
      <c r="U5" s="152" t="s">
        <v>997</v>
      </c>
      <c r="V5" s="152"/>
      <c r="W5" s="152"/>
      <c r="X5" s="152"/>
      <c r="Y5" s="152"/>
      <c r="Z5" s="152"/>
      <c r="AA5" s="152" t="s">
        <v>1047</v>
      </c>
    </row>
    <row r="6" spans="1:27" ht="52.2">
      <c r="A6" s="159">
        <v>20260415</v>
      </c>
      <c r="B6" s="160">
        <v>1368001</v>
      </c>
      <c r="C6" s="152" t="s">
        <v>1045</v>
      </c>
      <c r="D6" s="160">
        <v>1046</v>
      </c>
      <c r="E6" s="152" t="s">
        <v>1055</v>
      </c>
      <c r="F6" s="160">
        <v>8809020344321</v>
      </c>
      <c r="G6" s="152" t="s">
        <v>1053</v>
      </c>
      <c r="H6" s="153">
        <v>4284</v>
      </c>
      <c r="I6" s="153">
        <v>12</v>
      </c>
      <c r="J6" s="153">
        <v>1</v>
      </c>
      <c r="K6" s="153">
        <v>12</v>
      </c>
      <c r="L6" s="153">
        <v>51408</v>
      </c>
      <c r="M6" s="160">
        <v>1283299700</v>
      </c>
      <c r="N6" s="152" t="s">
        <v>1048</v>
      </c>
      <c r="O6" s="160">
        <v>20260417</v>
      </c>
      <c r="P6" s="160">
        <v>9100</v>
      </c>
      <c r="Q6" s="152" t="s">
        <v>1051</v>
      </c>
      <c r="R6" s="160">
        <v>20260417</v>
      </c>
      <c r="S6" s="152" t="s">
        <v>1046</v>
      </c>
      <c r="T6" s="160">
        <v>1046</v>
      </c>
      <c r="U6" s="152" t="s">
        <v>1055</v>
      </c>
      <c r="V6" s="152"/>
      <c r="W6" s="152"/>
      <c r="X6" s="152"/>
      <c r="Y6" s="152"/>
      <c r="Z6" s="152"/>
      <c r="AA6" s="152" t="s">
        <v>1047</v>
      </c>
    </row>
    <row r="7" spans="1:27" ht="52.2">
      <c r="A7" s="159">
        <v>20260415</v>
      </c>
      <c r="B7" s="160">
        <v>1368001</v>
      </c>
      <c r="C7" s="152" t="s">
        <v>1045</v>
      </c>
      <c r="D7" s="160">
        <v>1056</v>
      </c>
      <c r="E7" s="152" t="s">
        <v>1056</v>
      </c>
      <c r="F7" s="160">
        <v>8809020345212</v>
      </c>
      <c r="G7" s="152" t="s">
        <v>1050</v>
      </c>
      <c r="H7" s="153">
        <v>2326</v>
      </c>
      <c r="I7" s="153">
        <v>8</v>
      </c>
      <c r="J7" s="153">
        <v>1</v>
      </c>
      <c r="K7" s="153">
        <v>8</v>
      </c>
      <c r="L7" s="153">
        <v>18608</v>
      </c>
      <c r="M7" s="160">
        <v>1283304859</v>
      </c>
      <c r="N7" s="152" t="s">
        <v>1048</v>
      </c>
      <c r="O7" s="160">
        <v>20260417</v>
      </c>
      <c r="P7" s="160">
        <v>9100</v>
      </c>
      <c r="Q7" s="152" t="s">
        <v>1051</v>
      </c>
      <c r="R7" s="160">
        <v>20260417</v>
      </c>
      <c r="S7" s="152" t="s">
        <v>1046</v>
      </c>
      <c r="T7" s="160">
        <v>1056</v>
      </c>
      <c r="U7" s="152" t="s">
        <v>1056</v>
      </c>
      <c r="V7" s="152"/>
      <c r="W7" s="152"/>
      <c r="X7" s="152"/>
      <c r="Y7" s="152"/>
      <c r="Z7" s="152"/>
      <c r="AA7" s="152" t="s">
        <v>1047</v>
      </c>
    </row>
    <row r="8" spans="1:27" ht="52.2">
      <c r="A8" s="159">
        <v>20260415</v>
      </c>
      <c r="B8" s="160">
        <v>1368001</v>
      </c>
      <c r="C8" s="152" t="s">
        <v>1045</v>
      </c>
      <c r="D8" s="160">
        <v>1061</v>
      </c>
      <c r="E8" s="152" t="s">
        <v>1005</v>
      </c>
      <c r="F8" s="160">
        <v>8809020345212</v>
      </c>
      <c r="G8" s="152" t="s">
        <v>1050</v>
      </c>
      <c r="H8" s="153">
        <v>2326</v>
      </c>
      <c r="I8" s="153">
        <v>8</v>
      </c>
      <c r="J8" s="153">
        <v>1</v>
      </c>
      <c r="K8" s="153">
        <v>8</v>
      </c>
      <c r="L8" s="153">
        <v>18608</v>
      </c>
      <c r="M8" s="160">
        <v>1283306926</v>
      </c>
      <c r="N8" s="152" t="s">
        <v>1048</v>
      </c>
      <c r="O8" s="160">
        <v>20260417</v>
      </c>
      <c r="P8" s="160">
        <v>9120</v>
      </c>
      <c r="Q8" s="152" t="s">
        <v>1049</v>
      </c>
      <c r="R8" s="160">
        <v>20260417</v>
      </c>
      <c r="S8" s="152" t="s">
        <v>1046</v>
      </c>
      <c r="T8" s="160">
        <v>1061</v>
      </c>
      <c r="U8" s="152" t="s">
        <v>1005</v>
      </c>
      <c r="V8" s="152"/>
      <c r="W8" s="152"/>
      <c r="X8" s="152"/>
      <c r="Y8" s="152"/>
      <c r="Z8" s="152"/>
      <c r="AA8" s="152" t="s">
        <v>1047</v>
      </c>
    </row>
    <row r="9" spans="1:27" ht="52.2">
      <c r="A9" s="159">
        <v>20260415</v>
      </c>
      <c r="B9" s="160">
        <v>1368001</v>
      </c>
      <c r="C9" s="152" t="s">
        <v>1045</v>
      </c>
      <c r="D9" s="160">
        <v>1066</v>
      </c>
      <c r="E9" s="152" t="s">
        <v>1010</v>
      </c>
      <c r="F9" s="160">
        <v>8809020345212</v>
      </c>
      <c r="G9" s="152" t="s">
        <v>1050</v>
      </c>
      <c r="H9" s="153">
        <v>2326</v>
      </c>
      <c r="I9" s="153">
        <v>8</v>
      </c>
      <c r="J9" s="153">
        <v>1</v>
      </c>
      <c r="K9" s="153">
        <v>8</v>
      </c>
      <c r="L9" s="153">
        <v>18608</v>
      </c>
      <c r="M9" s="160">
        <v>1283308885</v>
      </c>
      <c r="N9" s="152" t="s">
        <v>1048</v>
      </c>
      <c r="O9" s="160">
        <v>20260417</v>
      </c>
      <c r="P9" s="160">
        <v>9120</v>
      </c>
      <c r="Q9" s="152" t="s">
        <v>1049</v>
      </c>
      <c r="R9" s="160">
        <v>20260417</v>
      </c>
      <c r="S9" s="152" t="s">
        <v>1046</v>
      </c>
      <c r="T9" s="160">
        <v>1066</v>
      </c>
      <c r="U9" s="152" t="s">
        <v>1010</v>
      </c>
      <c r="V9" s="152"/>
      <c r="W9" s="152"/>
      <c r="X9" s="152"/>
      <c r="Y9" s="152"/>
      <c r="Z9" s="152"/>
      <c r="AA9" s="152" t="s">
        <v>1047</v>
      </c>
    </row>
    <row r="10" spans="1:27" ht="52.2">
      <c r="A10" s="159">
        <v>20260415</v>
      </c>
      <c r="B10" s="160">
        <v>1368001</v>
      </c>
      <c r="C10" s="152" t="s">
        <v>1045</v>
      </c>
      <c r="D10" s="160">
        <v>1102</v>
      </c>
      <c r="E10" s="152" t="s">
        <v>1004</v>
      </c>
      <c r="F10" s="160">
        <v>8809020345212</v>
      </c>
      <c r="G10" s="152" t="s">
        <v>1050</v>
      </c>
      <c r="H10" s="153">
        <v>2326</v>
      </c>
      <c r="I10" s="153">
        <v>8</v>
      </c>
      <c r="J10" s="153">
        <v>1</v>
      </c>
      <c r="K10" s="153">
        <v>8</v>
      </c>
      <c r="L10" s="153">
        <v>18608</v>
      </c>
      <c r="M10" s="160">
        <v>1283323916</v>
      </c>
      <c r="N10" s="152" t="s">
        <v>1048</v>
      </c>
      <c r="O10" s="160">
        <v>20260417</v>
      </c>
      <c r="P10" s="160">
        <v>9100</v>
      </c>
      <c r="Q10" s="152" t="s">
        <v>1051</v>
      </c>
      <c r="R10" s="160">
        <v>20260417</v>
      </c>
      <c r="S10" s="152" t="s">
        <v>1046</v>
      </c>
      <c r="T10" s="160">
        <v>1102</v>
      </c>
      <c r="U10" s="152" t="s">
        <v>1004</v>
      </c>
      <c r="V10" s="152"/>
      <c r="W10" s="152"/>
      <c r="X10" s="152"/>
      <c r="Y10" s="152"/>
      <c r="Z10" s="152"/>
      <c r="AA10" s="152" t="s">
        <v>1047</v>
      </c>
    </row>
    <row r="11" spans="1:27" ht="52.2">
      <c r="A11" s="159">
        <v>20260415</v>
      </c>
      <c r="B11" s="160">
        <v>1368001</v>
      </c>
      <c r="C11" s="152" t="s">
        <v>1045</v>
      </c>
      <c r="D11" s="160">
        <v>1106</v>
      </c>
      <c r="E11" s="152" t="s">
        <v>1057</v>
      </c>
      <c r="F11" s="160">
        <v>8809020345212</v>
      </c>
      <c r="G11" s="152" t="s">
        <v>1050</v>
      </c>
      <c r="H11" s="153">
        <v>2326</v>
      </c>
      <c r="I11" s="153">
        <v>8</v>
      </c>
      <c r="J11" s="153">
        <v>1</v>
      </c>
      <c r="K11" s="153">
        <v>8</v>
      </c>
      <c r="L11" s="153">
        <v>18608</v>
      </c>
      <c r="M11" s="160">
        <v>1283324954</v>
      </c>
      <c r="N11" s="152" t="s">
        <v>1048</v>
      </c>
      <c r="O11" s="160">
        <v>20260417</v>
      </c>
      <c r="P11" s="160">
        <v>9110</v>
      </c>
      <c r="Q11" s="152" t="s">
        <v>1052</v>
      </c>
      <c r="R11" s="160">
        <v>20260417</v>
      </c>
      <c r="S11" s="152" t="s">
        <v>1046</v>
      </c>
      <c r="T11" s="160">
        <v>1106</v>
      </c>
      <c r="U11" s="152" t="s">
        <v>1057</v>
      </c>
      <c r="V11" s="152"/>
      <c r="W11" s="152"/>
      <c r="X11" s="152"/>
      <c r="Y11" s="152"/>
      <c r="Z11" s="152"/>
      <c r="AA11" s="152" t="s">
        <v>1047</v>
      </c>
    </row>
    <row r="12" spans="1:27" ht="52.2">
      <c r="A12" s="159">
        <v>20260415</v>
      </c>
      <c r="B12" s="160">
        <v>1368001</v>
      </c>
      <c r="C12" s="152" t="s">
        <v>1045</v>
      </c>
      <c r="D12" s="160">
        <v>1114</v>
      </c>
      <c r="E12" s="152" t="s">
        <v>1058</v>
      </c>
      <c r="F12" s="160">
        <v>8809020345212</v>
      </c>
      <c r="G12" s="152" t="s">
        <v>1050</v>
      </c>
      <c r="H12" s="153">
        <v>2326</v>
      </c>
      <c r="I12" s="153">
        <v>8</v>
      </c>
      <c r="J12" s="153">
        <v>1</v>
      </c>
      <c r="K12" s="153">
        <v>8</v>
      </c>
      <c r="L12" s="153">
        <v>18608</v>
      </c>
      <c r="M12" s="160">
        <v>1283328003</v>
      </c>
      <c r="N12" s="152" t="s">
        <v>1048</v>
      </c>
      <c r="O12" s="160">
        <v>20260417</v>
      </c>
      <c r="P12" s="160">
        <v>9120</v>
      </c>
      <c r="Q12" s="152" t="s">
        <v>1049</v>
      </c>
      <c r="R12" s="160">
        <v>20260417</v>
      </c>
      <c r="S12" s="152" t="s">
        <v>1046</v>
      </c>
      <c r="T12" s="160">
        <v>1114</v>
      </c>
      <c r="U12" s="152" t="s">
        <v>1058</v>
      </c>
      <c r="V12" s="152"/>
      <c r="W12" s="152"/>
      <c r="X12" s="152"/>
      <c r="Y12" s="152"/>
      <c r="Z12" s="152"/>
      <c r="AA12" s="152" t="s">
        <v>1047</v>
      </c>
    </row>
    <row r="13" spans="1:27" ht="52.2">
      <c r="A13" s="159">
        <v>20260415</v>
      </c>
      <c r="B13" s="160">
        <v>1368001</v>
      </c>
      <c r="C13" s="152" t="s">
        <v>1045</v>
      </c>
      <c r="D13" s="160">
        <v>1119</v>
      </c>
      <c r="E13" s="152" t="s">
        <v>1054</v>
      </c>
      <c r="F13" s="160">
        <v>8809020346509</v>
      </c>
      <c r="G13" s="152" t="s">
        <v>484</v>
      </c>
      <c r="H13" s="153">
        <v>4469</v>
      </c>
      <c r="I13" s="153">
        <v>6</v>
      </c>
      <c r="J13" s="153">
        <v>1</v>
      </c>
      <c r="K13" s="153">
        <v>6</v>
      </c>
      <c r="L13" s="153">
        <v>26814</v>
      </c>
      <c r="M13" s="160">
        <v>1283329600</v>
      </c>
      <c r="N13" s="152" t="s">
        <v>1048</v>
      </c>
      <c r="O13" s="160">
        <v>20260417</v>
      </c>
      <c r="P13" s="160">
        <v>9110</v>
      </c>
      <c r="Q13" s="152" t="s">
        <v>1052</v>
      </c>
      <c r="R13" s="160">
        <v>20260417</v>
      </c>
      <c r="S13" s="152" t="s">
        <v>1046</v>
      </c>
      <c r="T13" s="160">
        <v>1119</v>
      </c>
      <c r="U13" s="152" t="s">
        <v>1054</v>
      </c>
      <c r="V13" s="152"/>
      <c r="W13" s="152"/>
      <c r="X13" s="152"/>
      <c r="Y13" s="152"/>
      <c r="Z13" s="152"/>
      <c r="AA13" s="152" t="s">
        <v>1047</v>
      </c>
    </row>
    <row r="14" spans="1:27" ht="52.2">
      <c r="A14" s="159">
        <v>20260415</v>
      </c>
      <c r="B14" s="160">
        <v>1368001</v>
      </c>
      <c r="C14" s="152" t="s">
        <v>1045</v>
      </c>
      <c r="D14" s="160">
        <v>1121</v>
      </c>
      <c r="E14" s="152" t="s">
        <v>1023</v>
      </c>
      <c r="F14" s="160">
        <v>8809020345212</v>
      </c>
      <c r="G14" s="152" t="s">
        <v>1050</v>
      </c>
      <c r="H14" s="153">
        <v>2326</v>
      </c>
      <c r="I14" s="153">
        <v>8</v>
      </c>
      <c r="J14" s="153">
        <v>1</v>
      </c>
      <c r="K14" s="153">
        <v>8</v>
      </c>
      <c r="L14" s="153">
        <v>18608</v>
      </c>
      <c r="M14" s="160">
        <v>1283330026</v>
      </c>
      <c r="N14" s="152" t="s">
        <v>1048</v>
      </c>
      <c r="O14" s="160">
        <v>20260417</v>
      </c>
      <c r="P14" s="160">
        <v>9120</v>
      </c>
      <c r="Q14" s="152" t="s">
        <v>1049</v>
      </c>
      <c r="R14" s="160">
        <v>20260417</v>
      </c>
      <c r="S14" s="152" t="s">
        <v>1046</v>
      </c>
      <c r="T14" s="160">
        <v>1121</v>
      </c>
      <c r="U14" s="152" t="s">
        <v>1023</v>
      </c>
      <c r="V14" s="152"/>
      <c r="W14" s="152"/>
      <c r="X14" s="152"/>
      <c r="Y14" s="152"/>
      <c r="Z14" s="152"/>
      <c r="AA14" s="152" t="s">
        <v>1047</v>
      </c>
    </row>
    <row r="15" spans="1:27" ht="52.2">
      <c r="A15" s="159">
        <v>20260415</v>
      </c>
      <c r="B15" s="160">
        <v>1368001</v>
      </c>
      <c r="C15" s="152" t="s">
        <v>1045</v>
      </c>
      <c r="D15" s="160">
        <v>1142</v>
      </c>
      <c r="E15" s="152" t="s">
        <v>1059</v>
      </c>
      <c r="F15" s="160">
        <v>8809020344321</v>
      </c>
      <c r="G15" s="152" t="s">
        <v>1053</v>
      </c>
      <c r="H15" s="153">
        <v>4284</v>
      </c>
      <c r="I15" s="153">
        <v>12</v>
      </c>
      <c r="J15" s="153">
        <v>1</v>
      </c>
      <c r="K15" s="153">
        <v>12</v>
      </c>
      <c r="L15" s="153">
        <v>51408</v>
      </c>
      <c r="M15" s="160">
        <v>1283337768</v>
      </c>
      <c r="N15" s="152" t="s">
        <v>1048</v>
      </c>
      <c r="O15" s="160">
        <v>20260417</v>
      </c>
      <c r="P15" s="160">
        <v>9120</v>
      </c>
      <c r="Q15" s="152" t="s">
        <v>1049</v>
      </c>
      <c r="R15" s="160">
        <v>20260417</v>
      </c>
      <c r="S15" s="152" t="s">
        <v>1046</v>
      </c>
      <c r="T15" s="160">
        <v>1142</v>
      </c>
      <c r="U15" s="152" t="s">
        <v>1059</v>
      </c>
      <c r="V15" s="152"/>
      <c r="W15" s="152"/>
      <c r="X15" s="152"/>
      <c r="Y15" s="152"/>
      <c r="Z15" s="152"/>
      <c r="AA15" s="152" t="s">
        <v>1047</v>
      </c>
    </row>
    <row r="16" spans="1:27" ht="52.2">
      <c r="A16" s="159">
        <v>20260415</v>
      </c>
      <c r="B16" s="160">
        <v>1368001</v>
      </c>
      <c r="C16" s="152" t="s">
        <v>1045</v>
      </c>
      <c r="D16" s="160">
        <v>9120</v>
      </c>
      <c r="E16" s="152" t="s">
        <v>1049</v>
      </c>
      <c r="F16" s="160">
        <v>8809020344321</v>
      </c>
      <c r="G16" s="152" t="s">
        <v>1053</v>
      </c>
      <c r="H16" s="153">
        <v>4284</v>
      </c>
      <c r="I16" s="153">
        <v>12</v>
      </c>
      <c r="J16" s="153">
        <v>1</v>
      </c>
      <c r="K16" s="153">
        <v>12</v>
      </c>
      <c r="L16" s="153">
        <v>51408</v>
      </c>
      <c r="M16" s="160">
        <v>1283416884</v>
      </c>
      <c r="N16" s="152" t="s">
        <v>1048</v>
      </c>
      <c r="O16" s="160">
        <v>20260417</v>
      </c>
      <c r="P16" s="160">
        <v>9120</v>
      </c>
      <c r="Q16" s="152" t="s">
        <v>1049</v>
      </c>
      <c r="R16" s="160">
        <v>20260417</v>
      </c>
      <c r="S16" s="152" t="s">
        <v>1060</v>
      </c>
      <c r="T16" s="160">
        <v>9120</v>
      </c>
      <c r="U16" s="152" t="s">
        <v>1049</v>
      </c>
      <c r="V16" s="160">
        <v>85</v>
      </c>
      <c r="W16" s="152" t="s">
        <v>1061</v>
      </c>
      <c r="X16" s="152"/>
      <c r="Y16" s="160">
        <v>8503</v>
      </c>
      <c r="Z16" s="152"/>
      <c r="AA16" s="152" t="s">
        <v>1047</v>
      </c>
    </row>
    <row r="17" spans="1:27" ht="52.2">
      <c r="A17" s="159">
        <v>20260415</v>
      </c>
      <c r="B17" s="160">
        <v>1368001</v>
      </c>
      <c r="C17" s="152" t="s">
        <v>1045</v>
      </c>
      <c r="D17" s="160">
        <v>1025</v>
      </c>
      <c r="E17" s="152" t="s">
        <v>982</v>
      </c>
      <c r="F17" s="160">
        <v>8809020346592</v>
      </c>
      <c r="G17" s="152" t="s">
        <v>486</v>
      </c>
      <c r="H17" s="153">
        <v>3656</v>
      </c>
      <c r="I17" s="153">
        <v>6</v>
      </c>
      <c r="J17" s="153">
        <v>1</v>
      </c>
      <c r="K17" s="153">
        <v>6</v>
      </c>
      <c r="L17" s="153">
        <v>21936</v>
      </c>
      <c r="M17" s="160">
        <v>1283491582</v>
      </c>
      <c r="N17" s="152" t="s">
        <v>1048</v>
      </c>
      <c r="O17" s="160">
        <v>20260417</v>
      </c>
      <c r="P17" s="160">
        <v>9120</v>
      </c>
      <c r="Q17" s="152" t="s">
        <v>1049</v>
      </c>
      <c r="R17" s="160">
        <v>20260417</v>
      </c>
      <c r="S17" s="152" t="s">
        <v>1046</v>
      </c>
      <c r="T17" s="160">
        <v>1025</v>
      </c>
      <c r="U17" s="152" t="s">
        <v>982</v>
      </c>
      <c r="V17" s="152"/>
      <c r="W17" s="152"/>
      <c r="X17" s="152"/>
      <c r="Y17" s="152"/>
      <c r="Z17" s="152"/>
      <c r="AA17" s="152" t="s">
        <v>1047</v>
      </c>
    </row>
    <row r="18" spans="1:27" ht="52.2">
      <c r="A18" s="159">
        <v>20260415</v>
      </c>
      <c r="B18" s="160">
        <v>1368001</v>
      </c>
      <c r="C18" s="152" t="s">
        <v>1045</v>
      </c>
      <c r="D18" s="160">
        <v>1025</v>
      </c>
      <c r="E18" s="152" t="s">
        <v>982</v>
      </c>
      <c r="F18" s="160">
        <v>8809020346509</v>
      </c>
      <c r="G18" s="152" t="s">
        <v>484</v>
      </c>
      <c r="H18" s="153">
        <v>4469</v>
      </c>
      <c r="I18" s="153">
        <v>6</v>
      </c>
      <c r="J18" s="153">
        <v>1</v>
      </c>
      <c r="K18" s="153">
        <v>6</v>
      </c>
      <c r="L18" s="153">
        <v>26814</v>
      </c>
      <c r="M18" s="160">
        <v>1283491582</v>
      </c>
      <c r="N18" s="152" t="s">
        <v>1048</v>
      </c>
      <c r="O18" s="160">
        <v>20260417</v>
      </c>
      <c r="P18" s="160">
        <v>9120</v>
      </c>
      <c r="Q18" s="152" t="s">
        <v>1049</v>
      </c>
      <c r="R18" s="160">
        <v>20260417</v>
      </c>
      <c r="S18" s="152" t="s">
        <v>1046</v>
      </c>
      <c r="T18" s="160">
        <v>1025</v>
      </c>
      <c r="U18" s="152" t="s">
        <v>982</v>
      </c>
      <c r="V18" s="152"/>
      <c r="W18" s="152"/>
      <c r="X18" s="152"/>
      <c r="Y18" s="152"/>
      <c r="Z18" s="152"/>
      <c r="AA18" s="152" t="s">
        <v>1047</v>
      </c>
    </row>
    <row r="19" spans="1:27" ht="52.2">
      <c r="A19" s="159">
        <v>20260415</v>
      </c>
      <c r="B19" s="160">
        <v>1368001</v>
      </c>
      <c r="C19" s="152" t="s">
        <v>1045</v>
      </c>
      <c r="D19" s="160">
        <v>1083</v>
      </c>
      <c r="E19" s="152" t="s">
        <v>1062</v>
      </c>
      <c r="F19" s="160">
        <v>8809020346509</v>
      </c>
      <c r="G19" s="152" t="s">
        <v>484</v>
      </c>
      <c r="H19" s="153">
        <v>4469</v>
      </c>
      <c r="I19" s="153">
        <v>6</v>
      </c>
      <c r="J19" s="153">
        <v>1</v>
      </c>
      <c r="K19" s="153">
        <v>6</v>
      </c>
      <c r="L19" s="153">
        <v>26814</v>
      </c>
      <c r="M19" s="160">
        <v>1283491676</v>
      </c>
      <c r="N19" s="152" t="s">
        <v>1048</v>
      </c>
      <c r="O19" s="160">
        <v>20260417</v>
      </c>
      <c r="P19" s="160">
        <v>9110</v>
      </c>
      <c r="Q19" s="152" t="s">
        <v>1052</v>
      </c>
      <c r="R19" s="160">
        <v>20260417</v>
      </c>
      <c r="S19" s="152" t="s">
        <v>1046</v>
      </c>
      <c r="T19" s="160">
        <v>1083</v>
      </c>
      <c r="U19" s="152" t="s">
        <v>1062</v>
      </c>
      <c r="V19" s="152"/>
      <c r="W19" s="152"/>
      <c r="X19" s="152"/>
      <c r="Y19" s="152"/>
      <c r="Z19" s="152"/>
      <c r="AA19" s="152" t="s">
        <v>1047</v>
      </c>
    </row>
    <row r="20" spans="1:27" ht="52.2">
      <c r="A20" s="159">
        <v>20260415</v>
      </c>
      <c r="B20" s="160">
        <v>1368001</v>
      </c>
      <c r="C20" s="152" t="s">
        <v>1045</v>
      </c>
      <c r="D20" s="160">
        <v>1036</v>
      </c>
      <c r="E20" s="152" t="s">
        <v>990</v>
      </c>
      <c r="F20" s="160">
        <v>8809020346509</v>
      </c>
      <c r="G20" s="152" t="s">
        <v>484</v>
      </c>
      <c r="H20" s="153">
        <v>4469</v>
      </c>
      <c r="I20" s="153">
        <v>6</v>
      </c>
      <c r="J20" s="153">
        <v>1</v>
      </c>
      <c r="K20" s="153">
        <v>6</v>
      </c>
      <c r="L20" s="153">
        <v>26814</v>
      </c>
      <c r="M20" s="160">
        <v>1283491677</v>
      </c>
      <c r="N20" s="152" t="s">
        <v>1048</v>
      </c>
      <c r="O20" s="160">
        <v>20260417</v>
      </c>
      <c r="P20" s="160">
        <v>9100</v>
      </c>
      <c r="Q20" s="152" t="s">
        <v>1051</v>
      </c>
      <c r="R20" s="160">
        <v>20260417</v>
      </c>
      <c r="S20" s="152" t="s">
        <v>1046</v>
      </c>
      <c r="T20" s="160">
        <v>1036</v>
      </c>
      <c r="U20" s="152" t="s">
        <v>990</v>
      </c>
      <c r="V20" s="152"/>
      <c r="W20" s="152"/>
      <c r="X20" s="152"/>
      <c r="Y20" s="152"/>
      <c r="Z20" s="152"/>
      <c r="AA20" s="152" t="s">
        <v>1047</v>
      </c>
    </row>
    <row r="21" spans="1:27" ht="52.2">
      <c r="A21" s="159">
        <v>20260415</v>
      </c>
      <c r="B21" s="160">
        <v>1368001</v>
      </c>
      <c r="C21" s="152" t="s">
        <v>1045</v>
      </c>
      <c r="D21" s="160">
        <v>1112</v>
      </c>
      <c r="E21" s="152" t="s">
        <v>1063</v>
      </c>
      <c r="F21" s="160">
        <v>8809020346585</v>
      </c>
      <c r="G21" s="152" t="s">
        <v>485</v>
      </c>
      <c r="H21" s="153">
        <v>4469</v>
      </c>
      <c r="I21" s="153">
        <v>6</v>
      </c>
      <c r="J21" s="153">
        <v>1</v>
      </c>
      <c r="K21" s="153">
        <v>6</v>
      </c>
      <c r="L21" s="153">
        <v>26814</v>
      </c>
      <c r="M21" s="160">
        <v>1283492010</v>
      </c>
      <c r="N21" s="152" t="s">
        <v>1048</v>
      </c>
      <c r="O21" s="160">
        <v>20260417</v>
      </c>
      <c r="P21" s="160">
        <v>9110</v>
      </c>
      <c r="Q21" s="152" t="s">
        <v>1052</v>
      </c>
      <c r="R21" s="160">
        <v>20260417</v>
      </c>
      <c r="S21" s="152" t="s">
        <v>1046</v>
      </c>
      <c r="T21" s="160">
        <v>1112</v>
      </c>
      <c r="U21" s="152" t="s">
        <v>1063</v>
      </c>
      <c r="V21" s="152"/>
      <c r="W21" s="152"/>
      <c r="X21" s="152"/>
      <c r="Y21" s="152"/>
      <c r="Z21" s="152"/>
      <c r="AA21" s="152" t="s">
        <v>1047</v>
      </c>
    </row>
    <row r="22" spans="1:27" ht="52.2">
      <c r="A22" s="159">
        <v>20260415</v>
      </c>
      <c r="B22" s="160">
        <v>1368001</v>
      </c>
      <c r="C22" s="152" t="s">
        <v>1045</v>
      </c>
      <c r="D22" s="160">
        <v>1015</v>
      </c>
      <c r="E22" s="152" t="s">
        <v>976</v>
      </c>
      <c r="F22" s="160">
        <v>8809020345212</v>
      </c>
      <c r="G22" s="152" t="s">
        <v>1050</v>
      </c>
      <c r="H22" s="153">
        <v>2326</v>
      </c>
      <c r="I22" s="153">
        <v>8</v>
      </c>
      <c r="J22" s="153">
        <v>1</v>
      </c>
      <c r="K22" s="153">
        <v>8</v>
      </c>
      <c r="L22" s="153">
        <v>18608</v>
      </c>
      <c r="M22" s="160">
        <v>1283505625</v>
      </c>
      <c r="N22" s="152" t="s">
        <v>1048</v>
      </c>
      <c r="O22" s="160">
        <v>20260417</v>
      </c>
      <c r="P22" s="160">
        <v>9110</v>
      </c>
      <c r="Q22" s="152" t="s">
        <v>1052</v>
      </c>
      <c r="R22" s="160">
        <v>20260417</v>
      </c>
      <c r="S22" s="152" t="s">
        <v>1046</v>
      </c>
      <c r="T22" s="160">
        <v>1015</v>
      </c>
      <c r="U22" s="152" t="s">
        <v>976</v>
      </c>
      <c r="V22" s="152"/>
      <c r="W22" s="152"/>
      <c r="X22" s="152"/>
      <c r="Y22" s="152"/>
      <c r="Z22" s="152"/>
      <c r="AA22" s="152" t="s">
        <v>1047</v>
      </c>
    </row>
    <row r="23" spans="1:27" ht="52.2">
      <c r="A23" s="159">
        <v>20260415</v>
      </c>
      <c r="B23" s="160">
        <v>1368001</v>
      </c>
      <c r="C23" s="152" t="s">
        <v>1045</v>
      </c>
      <c r="D23" s="160">
        <v>1018</v>
      </c>
      <c r="E23" s="152" t="s">
        <v>977</v>
      </c>
      <c r="F23" s="160">
        <v>8809020346585</v>
      </c>
      <c r="G23" s="152" t="s">
        <v>485</v>
      </c>
      <c r="H23" s="153">
        <v>4469</v>
      </c>
      <c r="I23" s="153">
        <v>6</v>
      </c>
      <c r="J23" s="153">
        <v>1</v>
      </c>
      <c r="K23" s="153">
        <v>6</v>
      </c>
      <c r="L23" s="153">
        <v>26814</v>
      </c>
      <c r="M23" s="160">
        <v>1283505750</v>
      </c>
      <c r="N23" s="152" t="s">
        <v>1048</v>
      </c>
      <c r="O23" s="160">
        <v>20260417</v>
      </c>
      <c r="P23" s="160">
        <v>9100</v>
      </c>
      <c r="Q23" s="152" t="s">
        <v>1051</v>
      </c>
      <c r="R23" s="160">
        <v>20260417</v>
      </c>
      <c r="S23" s="152" t="s">
        <v>1046</v>
      </c>
      <c r="T23" s="160">
        <v>1018</v>
      </c>
      <c r="U23" s="152" t="s">
        <v>977</v>
      </c>
      <c r="V23" s="152"/>
      <c r="W23" s="152"/>
      <c r="X23" s="152"/>
      <c r="Y23" s="152"/>
      <c r="Z23" s="152"/>
      <c r="AA23" s="152" t="s">
        <v>1047</v>
      </c>
    </row>
    <row r="24" spans="1:27" ht="52.2">
      <c r="A24" s="159">
        <v>20260415</v>
      </c>
      <c r="B24" s="160">
        <v>1368001</v>
      </c>
      <c r="C24" s="152" t="s">
        <v>1045</v>
      </c>
      <c r="D24" s="160">
        <v>1061</v>
      </c>
      <c r="E24" s="152" t="s">
        <v>1005</v>
      </c>
      <c r="F24" s="160">
        <v>8809020346592</v>
      </c>
      <c r="G24" s="152" t="s">
        <v>486</v>
      </c>
      <c r="H24" s="153">
        <v>3656</v>
      </c>
      <c r="I24" s="153">
        <v>6</v>
      </c>
      <c r="J24" s="153">
        <v>1</v>
      </c>
      <c r="K24" s="153">
        <v>6</v>
      </c>
      <c r="L24" s="153">
        <v>21936</v>
      </c>
      <c r="M24" s="160">
        <v>1283509767</v>
      </c>
      <c r="N24" s="152" t="s">
        <v>1048</v>
      </c>
      <c r="O24" s="160">
        <v>20260417</v>
      </c>
      <c r="P24" s="160">
        <v>9120</v>
      </c>
      <c r="Q24" s="152" t="s">
        <v>1049</v>
      </c>
      <c r="R24" s="160">
        <v>20260417</v>
      </c>
      <c r="S24" s="152" t="s">
        <v>1046</v>
      </c>
      <c r="T24" s="160">
        <v>1061</v>
      </c>
      <c r="U24" s="152" t="s">
        <v>1005</v>
      </c>
      <c r="V24" s="152"/>
      <c r="W24" s="152"/>
      <c r="X24" s="152"/>
      <c r="Y24" s="152"/>
      <c r="Z24" s="152"/>
      <c r="AA24" s="152" t="s">
        <v>1047</v>
      </c>
    </row>
    <row r="25" spans="1:27" ht="52.2">
      <c r="A25" s="159">
        <v>20260415</v>
      </c>
      <c r="B25" s="160">
        <v>1368001</v>
      </c>
      <c r="C25" s="152" t="s">
        <v>1045</v>
      </c>
      <c r="D25" s="160">
        <v>1061</v>
      </c>
      <c r="E25" s="152" t="s">
        <v>1005</v>
      </c>
      <c r="F25" s="160">
        <v>8809020349166</v>
      </c>
      <c r="G25" s="152" t="s">
        <v>960</v>
      </c>
      <c r="H25" s="153">
        <v>5271</v>
      </c>
      <c r="I25" s="153">
        <v>12</v>
      </c>
      <c r="J25" s="153">
        <v>1</v>
      </c>
      <c r="K25" s="153">
        <v>12</v>
      </c>
      <c r="L25" s="153">
        <v>63252</v>
      </c>
      <c r="M25" s="160">
        <v>1283509767</v>
      </c>
      <c r="N25" s="152" t="s">
        <v>1048</v>
      </c>
      <c r="O25" s="160">
        <v>20260417</v>
      </c>
      <c r="P25" s="160">
        <v>9120</v>
      </c>
      <c r="Q25" s="152" t="s">
        <v>1049</v>
      </c>
      <c r="R25" s="160">
        <v>20260417</v>
      </c>
      <c r="S25" s="152" t="s">
        <v>1046</v>
      </c>
      <c r="T25" s="160">
        <v>1061</v>
      </c>
      <c r="U25" s="152" t="s">
        <v>1005</v>
      </c>
      <c r="V25" s="152"/>
      <c r="W25" s="152"/>
      <c r="X25" s="152"/>
      <c r="Y25" s="152"/>
      <c r="Z25" s="152"/>
      <c r="AA25" s="152" t="s">
        <v>1047</v>
      </c>
    </row>
    <row r="26" spans="1:27" ht="17.399999999999999">
      <c r="A26" s="156"/>
      <c r="B26" s="152"/>
      <c r="C26" s="152"/>
      <c r="D26" s="152"/>
      <c r="E26" s="152"/>
      <c r="F26" s="152"/>
      <c r="G26" s="152"/>
      <c r="H26" s="153"/>
      <c r="I26" s="153"/>
      <c r="J26" s="153"/>
      <c r="K26" s="153"/>
      <c r="L26" s="153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spans="1:27" ht="17.399999999999999">
      <c r="A27" s="156"/>
      <c r="B27" s="152"/>
      <c r="C27" s="152"/>
      <c r="D27" s="152"/>
      <c r="E27" s="152"/>
      <c r="F27" s="152"/>
      <c r="G27" s="152"/>
      <c r="H27" s="153"/>
      <c r="I27" s="153"/>
      <c r="J27" s="153"/>
      <c r="K27" s="153"/>
      <c r="L27" s="153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 spans="1:27" ht="17.399999999999999">
      <c r="A28" s="156"/>
      <c r="B28" s="152"/>
      <c r="C28" s="152"/>
      <c r="D28" s="152"/>
      <c r="E28" s="152"/>
      <c r="F28" s="152"/>
      <c r="G28" s="152"/>
      <c r="H28" s="153"/>
      <c r="I28" s="153"/>
      <c r="J28" s="153"/>
      <c r="K28" s="153"/>
      <c r="L28" s="153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spans="1:27" ht="17.399999999999999">
      <c r="A29" s="156"/>
      <c r="B29" s="152"/>
      <c r="C29" s="152"/>
      <c r="D29" s="152"/>
      <c r="E29" s="152"/>
      <c r="F29" s="152"/>
      <c r="G29" s="152"/>
      <c r="H29" s="153"/>
      <c r="I29" s="153"/>
      <c r="J29" s="153"/>
      <c r="K29" s="153"/>
      <c r="L29" s="153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spans="1:27" ht="17.399999999999999">
      <c r="A30" s="156"/>
      <c r="B30" s="152"/>
      <c r="C30" s="152"/>
      <c r="D30" s="152"/>
      <c r="E30" s="152"/>
      <c r="F30" s="152"/>
      <c r="G30" s="152"/>
      <c r="H30" s="153"/>
      <c r="I30" s="153"/>
      <c r="J30" s="153"/>
      <c r="K30" s="153"/>
      <c r="L30" s="153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 spans="1:27" ht="17.399999999999999">
      <c r="A31" s="156"/>
      <c r="B31" s="152"/>
      <c r="C31" s="152"/>
      <c r="D31" s="152"/>
      <c r="E31" s="152"/>
      <c r="F31" s="152"/>
      <c r="G31" s="152"/>
      <c r="H31" s="153"/>
      <c r="I31" s="153"/>
      <c r="J31" s="153"/>
      <c r="K31" s="153"/>
      <c r="L31" s="153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 spans="1:27" ht="17.399999999999999">
      <c r="A32" s="156"/>
      <c r="B32" s="152"/>
      <c r="C32" s="152"/>
      <c r="D32" s="152"/>
      <c r="E32" s="152"/>
      <c r="F32" s="152"/>
      <c r="G32" s="152"/>
      <c r="H32" s="153"/>
      <c r="I32" s="153"/>
      <c r="J32" s="153"/>
      <c r="K32" s="153"/>
      <c r="L32" s="153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 spans="1:27" ht="17.399999999999999">
      <c r="A33" s="156"/>
      <c r="B33" s="152"/>
      <c r="C33" s="152"/>
      <c r="D33" s="152"/>
      <c r="E33" s="152"/>
      <c r="F33" s="152"/>
      <c r="G33" s="152"/>
      <c r="H33" s="153"/>
      <c r="I33" s="153"/>
      <c r="J33" s="153"/>
      <c r="K33" s="153"/>
      <c r="L33" s="153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</row>
    <row r="34" spans="1:27" ht="17.399999999999999">
      <c r="A34" s="156"/>
      <c r="B34" s="152"/>
      <c r="C34" s="152"/>
      <c r="D34" s="152"/>
      <c r="E34" s="152"/>
      <c r="F34" s="152"/>
      <c r="G34" s="152"/>
      <c r="H34" s="153"/>
      <c r="I34" s="153"/>
      <c r="J34" s="153"/>
      <c r="K34" s="153"/>
      <c r="L34" s="153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 spans="1:27" ht="17.399999999999999">
      <c r="A35" s="156"/>
      <c r="B35" s="152"/>
      <c r="C35" s="152"/>
      <c r="D35" s="152"/>
      <c r="E35" s="152"/>
      <c r="F35" s="152"/>
      <c r="G35" s="152"/>
      <c r="H35" s="153"/>
      <c r="I35" s="153"/>
      <c r="J35" s="153"/>
      <c r="K35" s="153"/>
      <c r="L35" s="153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 spans="1:27" ht="17.399999999999999">
      <c r="A36" s="156"/>
      <c r="B36" s="152"/>
      <c r="C36" s="152"/>
      <c r="D36" s="152"/>
      <c r="E36" s="152"/>
      <c r="F36" s="152"/>
      <c r="G36" s="152"/>
      <c r="H36" s="153"/>
      <c r="I36" s="153"/>
      <c r="J36" s="153"/>
      <c r="K36" s="153"/>
      <c r="L36" s="153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 spans="1:27" ht="17.399999999999999">
      <c r="A37" s="156"/>
      <c r="B37" s="152"/>
      <c r="C37" s="152"/>
      <c r="D37" s="152"/>
      <c r="E37" s="152"/>
      <c r="F37" s="152"/>
      <c r="G37" s="152"/>
      <c r="H37" s="153"/>
      <c r="I37" s="153"/>
      <c r="J37" s="153"/>
      <c r="K37" s="153"/>
      <c r="L37" s="153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 spans="1:27" ht="17.399999999999999">
      <c r="A38" s="156"/>
      <c r="B38" s="152"/>
      <c r="C38" s="152"/>
      <c r="D38" s="152"/>
      <c r="E38" s="152"/>
      <c r="F38" s="152"/>
      <c r="G38" s="152"/>
      <c r="H38" s="153"/>
      <c r="I38" s="153"/>
      <c r="J38" s="153"/>
      <c r="K38" s="153"/>
      <c r="L38" s="153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 spans="1:27" ht="17.399999999999999">
      <c r="A39" s="156"/>
      <c r="B39" s="152"/>
      <c r="C39" s="152"/>
      <c r="D39" s="152"/>
      <c r="E39" s="152"/>
      <c r="F39" s="152"/>
      <c r="G39" s="152"/>
      <c r="H39" s="153"/>
      <c r="I39" s="153"/>
      <c r="J39" s="153"/>
      <c r="K39" s="153"/>
      <c r="L39" s="153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 spans="1:27" ht="17.399999999999999">
      <c r="A40" s="156"/>
      <c r="B40" s="152"/>
      <c r="C40" s="152"/>
      <c r="D40" s="152"/>
      <c r="E40" s="152"/>
      <c r="F40" s="152"/>
      <c r="G40" s="152"/>
      <c r="H40" s="153"/>
      <c r="I40" s="153"/>
      <c r="J40" s="153"/>
      <c r="K40" s="153"/>
      <c r="L40" s="153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 spans="1:27" ht="17.399999999999999">
      <c r="A41" s="156"/>
      <c r="B41" s="152"/>
      <c r="C41" s="152"/>
      <c r="D41" s="152"/>
      <c r="E41" s="152"/>
      <c r="F41" s="152"/>
      <c r="G41" s="152"/>
      <c r="H41" s="153"/>
      <c r="I41" s="153"/>
      <c r="J41" s="153"/>
      <c r="K41" s="153"/>
      <c r="L41" s="153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 spans="1:27" ht="17.399999999999999">
      <c r="A42" s="156"/>
      <c r="B42" s="152"/>
      <c r="C42" s="152"/>
      <c r="D42" s="152"/>
      <c r="E42" s="152"/>
      <c r="F42" s="152"/>
      <c r="G42" s="152"/>
      <c r="H42" s="153"/>
      <c r="I42" s="153"/>
      <c r="J42" s="153"/>
      <c r="K42" s="153"/>
      <c r="L42" s="153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 spans="1:27" ht="17.399999999999999">
      <c r="A43" s="156"/>
      <c r="B43" s="152"/>
      <c r="C43" s="152"/>
      <c r="D43" s="152"/>
      <c r="E43" s="152"/>
      <c r="F43" s="152"/>
      <c r="G43" s="152"/>
      <c r="H43" s="153"/>
      <c r="I43" s="153"/>
      <c r="J43" s="153"/>
      <c r="K43" s="153"/>
      <c r="L43" s="153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 spans="1:27" ht="17.399999999999999">
      <c r="A44" s="156"/>
      <c r="B44" s="152"/>
      <c r="C44" s="152"/>
      <c r="D44" s="152"/>
      <c r="E44" s="152"/>
      <c r="F44" s="152"/>
      <c r="G44" s="152"/>
      <c r="H44" s="153"/>
      <c r="I44" s="153"/>
      <c r="J44" s="153"/>
      <c r="K44" s="153"/>
      <c r="L44" s="153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spans="1:27" ht="17.399999999999999">
      <c r="A45" s="156"/>
      <c r="B45" s="152"/>
      <c r="C45" s="152"/>
      <c r="D45" s="152"/>
      <c r="E45" s="152"/>
      <c r="F45" s="152"/>
      <c r="G45" s="152"/>
      <c r="H45" s="153"/>
      <c r="I45" s="153"/>
      <c r="J45" s="153"/>
      <c r="K45" s="153"/>
      <c r="L45" s="153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 spans="1:27" ht="17.399999999999999">
      <c r="A46" s="156"/>
      <c r="B46" s="152"/>
      <c r="C46" s="152"/>
      <c r="D46" s="152"/>
      <c r="E46" s="152"/>
      <c r="F46" s="152"/>
      <c r="G46" s="152"/>
      <c r="H46" s="153"/>
      <c r="I46" s="153"/>
      <c r="J46" s="153"/>
      <c r="K46" s="153"/>
      <c r="L46" s="153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 spans="1:27" ht="17.399999999999999">
      <c r="A47" s="156"/>
      <c r="B47" s="152"/>
      <c r="C47" s="152"/>
      <c r="D47" s="152"/>
      <c r="E47" s="152"/>
      <c r="F47" s="152"/>
      <c r="G47" s="152"/>
      <c r="H47" s="153"/>
      <c r="I47" s="153"/>
      <c r="J47" s="153"/>
      <c r="K47" s="153"/>
      <c r="L47" s="153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 spans="1:27" ht="17.399999999999999">
      <c r="A48" s="156"/>
      <c r="B48" s="152"/>
      <c r="C48" s="152"/>
      <c r="D48" s="152"/>
      <c r="E48" s="152"/>
      <c r="F48" s="152"/>
      <c r="G48" s="152"/>
      <c r="H48" s="153"/>
      <c r="I48" s="153"/>
      <c r="J48" s="153"/>
      <c r="K48" s="153"/>
      <c r="L48" s="153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 spans="1:27" ht="17.399999999999999">
      <c r="A49" s="156"/>
      <c r="B49" s="152"/>
      <c r="C49" s="152"/>
      <c r="D49" s="152"/>
      <c r="E49" s="152"/>
      <c r="F49" s="152"/>
      <c r="G49" s="152"/>
      <c r="H49" s="153"/>
      <c r="I49" s="153"/>
      <c r="J49" s="153"/>
      <c r="K49" s="153"/>
      <c r="L49" s="153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spans="1:27" ht="17.399999999999999">
      <c r="A50" s="156"/>
      <c r="B50" s="152"/>
      <c r="C50" s="152"/>
      <c r="D50" s="152"/>
      <c r="E50" s="152"/>
      <c r="F50" s="152"/>
      <c r="G50" s="152"/>
      <c r="H50" s="153"/>
      <c r="I50" s="153"/>
      <c r="J50" s="153"/>
      <c r="K50" s="153"/>
      <c r="L50" s="153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spans="1:27" ht="17.399999999999999">
      <c r="A51" s="156"/>
      <c r="B51" s="152"/>
      <c r="C51" s="152"/>
      <c r="D51" s="152"/>
      <c r="E51" s="152"/>
      <c r="F51" s="152"/>
      <c r="G51" s="152"/>
      <c r="H51" s="153"/>
      <c r="I51" s="153"/>
      <c r="J51" s="153"/>
      <c r="K51" s="153"/>
      <c r="L51" s="153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spans="1:27" ht="17.399999999999999">
      <c r="A52" s="156"/>
      <c r="B52" s="152"/>
      <c r="C52" s="152"/>
      <c r="D52" s="152"/>
      <c r="E52" s="152"/>
      <c r="F52" s="152"/>
      <c r="G52" s="152"/>
      <c r="H52" s="153"/>
      <c r="I52" s="153"/>
      <c r="J52" s="153"/>
      <c r="K52" s="153"/>
      <c r="L52" s="153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spans="1:27" ht="17.399999999999999">
      <c r="A53" s="156"/>
      <c r="B53" s="152"/>
      <c r="C53" s="152"/>
      <c r="D53" s="152"/>
      <c r="E53" s="152"/>
      <c r="F53" s="152"/>
      <c r="G53" s="152"/>
      <c r="H53" s="153"/>
      <c r="I53" s="153"/>
      <c r="J53" s="153"/>
      <c r="K53" s="153"/>
      <c r="L53" s="153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 spans="1:27" ht="17.399999999999999">
      <c r="A54" s="156"/>
      <c r="B54" s="152"/>
      <c r="C54" s="152"/>
      <c r="D54" s="152"/>
      <c r="E54" s="152"/>
      <c r="F54" s="152"/>
      <c r="G54" s="152"/>
      <c r="H54" s="153"/>
      <c r="I54" s="153"/>
      <c r="J54" s="153"/>
      <c r="K54" s="153"/>
      <c r="L54" s="153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 spans="1:27" ht="17.399999999999999">
      <c r="A55" s="156"/>
      <c r="B55" s="152"/>
      <c r="C55" s="152"/>
      <c r="D55" s="152"/>
      <c r="E55" s="152"/>
      <c r="F55" s="152"/>
      <c r="G55" s="152"/>
      <c r="H55" s="153"/>
      <c r="I55" s="153"/>
      <c r="J55" s="153"/>
      <c r="K55" s="153"/>
      <c r="L55" s="153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 spans="1:27" ht="17.399999999999999">
      <c r="A56" s="156"/>
      <c r="B56" s="152"/>
      <c r="C56" s="152"/>
      <c r="D56" s="152"/>
      <c r="E56" s="152"/>
      <c r="F56" s="152"/>
      <c r="G56" s="152"/>
      <c r="H56" s="153"/>
      <c r="I56" s="153"/>
      <c r="J56" s="153"/>
      <c r="K56" s="153"/>
      <c r="L56" s="153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 spans="1:27" ht="17.399999999999999">
      <c r="A57" s="156"/>
      <c r="B57" s="152"/>
      <c r="C57" s="152"/>
      <c r="D57" s="152"/>
      <c r="E57" s="152"/>
      <c r="F57" s="152"/>
      <c r="G57" s="152"/>
      <c r="H57" s="153"/>
      <c r="I57" s="153"/>
      <c r="J57" s="153"/>
      <c r="K57" s="153"/>
      <c r="L57" s="153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 spans="1:27" ht="17.399999999999999">
      <c r="A58" s="156"/>
      <c r="B58" s="152"/>
      <c r="C58" s="152"/>
      <c r="D58" s="152"/>
      <c r="E58" s="152"/>
      <c r="F58" s="152"/>
      <c r="G58" s="152"/>
      <c r="H58" s="153"/>
      <c r="I58" s="153"/>
      <c r="J58" s="153"/>
      <c r="K58" s="153"/>
      <c r="L58" s="153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 spans="1:27" ht="17.399999999999999">
      <c r="A59" s="156"/>
      <c r="B59" s="152"/>
      <c r="C59" s="152"/>
      <c r="D59" s="152"/>
      <c r="E59" s="152"/>
      <c r="F59" s="152"/>
      <c r="G59" s="152"/>
      <c r="H59" s="153"/>
      <c r="I59" s="153"/>
      <c r="J59" s="153"/>
      <c r="K59" s="153"/>
      <c r="L59" s="153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 spans="1:27" ht="17.399999999999999">
      <c r="A60" s="156"/>
      <c r="B60" s="152"/>
      <c r="C60" s="152"/>
      <c r="D60" s="152"/>
      <c r="E60" s="152"/>
      <c r="F60" s="152"/>
      <c r="G60" s="152"/>
      <c r="H60" s="153"/>
      <c r="I60" s="153"/>
      <c r="J60" s="153"/>
      <c r="K60" s="153"/>
      <c r="L60" s="153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 spans="1:27" ht="17.399999999999999">
      <c r="A61" s="156"/>
      <c r="B61" s="152"/>
      <c r="C61" s="152"/>
      <c r="D61" s="152"/>
      <c r="E61" s="152"/>
      <c r="F61" s="152"/>
      <c r="G61" s="152"/>
      <c r="H61" s="153"/>
      <c r="I61" s="153"/>
      <c r="J61" s="153"/>
      <c r="K61" s="153"/>
      <c r="L61" s="153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 spans="1:27" ht="17.399999999999999">
      <c r="A62" s="156"/>
      <c r="B62" s="152"/>
      <c r="C62" s="152"/>
      <c r="D62" s="152"/>
      <c r="E62" s="152"/>
      <c r="F62" s="152"/>
      <c r="G62" s="152"/>
      <c r="H62" s="153"/>
      <c r="I62" s="153"/>
      <c r="J62" s="153"/>
      <c r="K62" s="153"/>
      <c r="L62" s="153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 spans="1:27" ht="17.399999999999999">
      <c r="A63" s="156"/>
      <c r="B63" s="152"/>
      <c r="C63" s="152"/>
      <c r="D63" s="152"/>
      <c r="E63" s="152"/>
      <c r="F63" s="152"/>
      <c r="G63" s="152"/>
      <c r="H63" s="153"/>
      <c r="I63" s="153"/>
      <c r="J63" s="153"/>
      <c r="K63" s="153"/>
      <c r="L63" s="153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 spans="1:27" ht="17.399999999999999">
      <c r="A64" s="156"/>
      <c r="B64" s="152"/>
      <c r="C64" s="152"/>
      <c r="D64" s="152"/>
      <c r="E64" s="152"/>
      <c r="F64" s="152"/>
      <c r="G64" s="152"/>
      <c r="H64" s="153"/>
      <c r="I64" s="153"/>
      <c r="J64" s="153"/>
      <c r="K64" s="153"/>
      <c r="L64" s="153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 spans="1:27" ht="17.399999999999999">
      <c r="A65" s="156"/>
      <c r="B65" s="152"/>
      <c r="C65" s="152"/>
      <c r="D65" s="152"/>
      <c r="E65" s="152"/>
      <c r="F65" s="152"/>
      <c r="G65" s="152"/>
      <c r="H65" s="153"/>
      <c r="I65" s="153"/>
      <c r="J65" s="153"/>
      <c r="K65" s="153"/>
      <c r="L65" s="153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 spans="1:27" ht="17.399999999999999">
      <c r="A66" s="156"/>
      <c r="B66" s="152"/>
      <c r="C66" s="152"/>
      <c r="D66" s="152"/>
      <c r="E66" s="152"/>
      <c r="F66" s="152"/>
      <c r="G66" s="152"/>
      <c r="H66" s="153"/>
      <c r="I66" s="153"/>
      <c r="J66" s="153"/>
      <c r="K66" s="153"/>
      <c r="L66" s="153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 spans="1:27" ht="17.399999999999999">
      <c r="A67" s="156"/>
      <c r="B67" s="152"/>
      <c r="C67" s="152"/>
      <c r="D67" s="152"/>
      <c r="E67" s="152"/>
      <c r="F67" s="152"/>
      <c r="G67" s="152"/>
      <c r="H67" s="153"/>
      <c r="I67" s="153"/>
      <c r="J67" s="153"/>
      <c r="K67" s="153"/>
      <c r="L67" s="153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spans="1:27" ht="17.399999999999999">
      <c r="A68" s="156"/>
      <c r="B68" s="152"/>
      <c r="C68" s="152"/>
      <c r="D68" s="152"/>
      <c r="E68" s="152"/>
      <c r="F68" s="152"/>
      <c r="G68" s="152"/>
      <c r="H68" s="153"/>
      <c r="I68" s="153"/>
      <c r="J68" s="153"/>
      <c r="K68" s="153"/>
      <c r="L68" s="153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 spans="1:27" ht="17.399999999999999">
      <c r="A69" s="156"/>
      <c r="B69" s="152"/>
      <c r="C69" s="152"/>
      <c r="D69" s="152"/>
      <c r="E69" s="152"/>
      <c r="F69" s="152"/>
      <c r="G69" s="152"/>
      <c r="H69" s="153"/>
      <c r="I69" s="153"/>
      <c r="J69" s="153"/>
      <c r="K69" s="153"/>
      <c r="L69" s="153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 spans="1:27" ht="17.399999999999999">
      <c r="A70" s="156"/>
      <c r="B70" s="152"/>
      <c r="C70" s="152"/>
      <c r="D70" s="152"/>
      <c r="E70" s="152"/>
      <c r="F70" s="152"/>
      <c r="G70" s="152"/>
      <c r="H70" s="153"/>
      <c r="I70" s="153"/>
      <c r="J70" s="153"/>
      <c r="K70" s="153"/>
      <c r="L70" s="153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 spans="1:27" ht="17.399999999999999">
      <c r="A71" s="156"/>
      <c r="B71" s="152"/>
      <c r="C71" s="152"/>
      <c r="D71" s="152"/>
      <c r="E71" s="152"/>
      <c r="F71" s="152"/>
      <c r="G71" s="152"/>
      <c r="H71" s="153"/>
      <c r="I71" s="153"/>
      <c r="J71" s="153"/>
      <c r="K71" s="153"/>
      <c r="L71" s="153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 spans="1:27" ht="17.399999999999999">
      <c r="A72" s="156"/>
      <c r="B72" s="152"/>
      <c r="C72" s="152"/>
      <c r="D72" s="152"/>
      <c r="E72" s="152"/>
      <c r="F72" s="152"/>
      <c r="G72" s="152"/>
      <c r="H72" s="153"/>
      <c r="I72" s="153"/>
      <c r="J72" s="153"/>
      <c r="K72" s="153"/>
      <c r="L72" s="153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 spans="1:27" ht="17.399999999999999">
      <c r="A73" s="156"/>
      <c r="B73" s="152"/>
      <c r="C73" s="152"/>
      <c r="D73" s="152"/>
      <c r="E73" s="152"/>
      <c r="F73" s="152"/>
      <c r="G73" s="152"/>
      <c r="H73" s="153"/>
      <c r="I73" s="153"/>
      <c r="J73" s="153"/>
      <c r="K73" s="153"/>
      <c r="L73" s="153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spans="1:27" ht="17.399999999999999">
      <c r="A74" s="156"/>
      <c r="B74" s="152"/>
      <c r="C74" s="152"/>
      <c r="D74" s="152"/>
      <c r="E74" s="152"/>
      <c r="F74" s="152"/>
      <c r="G74" s="152"/>
      <c r="H74" s="153"/>
      <c r="I74" s="153"/>
      <c r="J74" s="153"/>
      <c r="K74" s="153"/>
      <c r="L74" s="153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spans="1:27" ht="17.399999999999999">
      <c r="A75" s="156"/>
      <c r="B75" s="152"/>
      <c r="C75" s="152"/>
      <c r="D75" s="152"/>
      <c r="E75" s="152"/>
      <c r="F75" s="152"/>
      <c r="G75" s="152"/>
      <c r="H75" s="153"/>
      <c r="I75" s="153"/>
      <c r="J75" s="153"/>
      <c r="K75" s="153"/>
      <c r="L75" s="153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spans="1:27" ht="17.399999999999999">
      <c r="A76" s="156"/>
      <c r="B76" s="152"/>
      <c r="C76" s="152"/>
      <c r="D76" s="152"/>
      <c r="E76" s="152"/>
      <c r="F76" s="152"/>
      <c r="G76" s="152"/>
      <c r="H76" s="153"/>
      <c r="I76" s="153"/>
      <c r="J76" s="153"/>
      <c r="K76" s="153"/>
      <c r="L76" s="153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spans="1:27" ht="17.399999999999999">
      <c r="A77" s="156"/>
      <c r="B77" s="152"/>
      <c r="C77" s="152"/>
      <c r="D77" s="152"/>
      <c r="E77" s="152"/>
      <c r="F77" s="152"/>
      <c r="G77" s="152"/>
      <c r="H77" s="153"/>
      <c r="I77" s="153"/>
      <c r="J77" s="153"/>
      <c r="K77" s="153"/>
      <c r="L77" s="153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 spans="1:27" ht="17.399999999999999">
      <c r="A78" s="156"/>
      <c r="B78" s="152"/>
      <c r="C78" s="152"/>
      <c r="D78" s="152"/>
      <c r="E78" s="152"/>
      <c r="F78" s="152"/>
      <c r="G78" s="152"/>
      <c r="H78" s="153"/>
      <c r="I78" s="153"/>
      <c r="J78" s="153"/>
      <c r="K78" s="153"/>
      <c r="L78" s="153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 spans="1:27" ht="17.399999999999999">
      <c r="A79" s="156"/>
      <c r="B79" s="152"/>
      <c r="C79" s="152"/>
      <c r="D79" s="152"/>
      <c r="E79" s="152"/>
      <c r="F79" s="152"/>
      <c r="G79" s="152"/>
      <c r="H79" s="153"/>
      <c r="I79" s="153"/>
      <c r="J79" s="153"/>
      <c r="K79" s="153"/>
      <c r="L79" s="153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 spans="1:27" ht="17.399999999999999">
      <c r="A80" s="156"/>
      <c r="B80" s="152"/>
      <c r="C80" s="152"/>
      <c r="D80" s="152"/>
      <c r="E80" s="152"/>
      <c r="F80" s="152"/>
      <c r="G80" s="152"/>
      <c r="H80" s="153"/>
      <c r="I80" s="153"/>
      <c r="J80" s="153"/>
      <c r="K80" s="153"/>
      <c r="L80" s="153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 spans="1:27" ht="17.399999999999999">
      <c r="A81" s="156"/>
      <c r="B81" s="152"/>
      <c r="C81" s="152"/>
      <c r="D81" s="152"/>
      <c r="E81" s="152"/>
      <c r="F81" s="152"/>
      <c r="G81" s="152"/>
      <c r="H81" s="153"/>
      <c r="I81" s="153"/>
      <c r="J81" s="153"/>
      <c r="K81" s="153"/>
      <c r="L81" s="153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 spans="1:27" ht="17.399999999999999">
      <c r="A82" s="156"/>
      <c r="B82" s="152"/>
      <c r="C82" s="152"/>
      <c r="D82" s="152"/>
      <c r="E82" s="152"/>
      <c r="F82" s="152"/>
      <c r="G82" s="152"/>
      <c r="H82" s="153"/>
      <c r="I82" s="153"/>
      <c r="J82" s="153"/>
      <c r="K82" s="153"/>
      <c r="L82" s="153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 spans="1:27" ht="17.399999999999999">
      <c r="A83" s="156"/>
      <c r="B83" s="152"/>
      <c r="C83" s="152"/>
      <c r="D83" s="152"/>
      <c r="E83" s="152"/>
      <c r="F83" s="152"/>
      <c r="G83" s="152"/>
      <c r="H83" s="153"/>
      <c r="I83" s="153"/>
      <c r="J83" s="153"/>
      <c r="K83" s="153"/>
      <c r="L83" s="153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 spans="1:27" ht="17.399999999999999">
      <c r="A84" s="156"/>
      <c r="B84" s="152"/>
      <c r="C84" s="152"/>
      <c r="D84" s="152"/>
      <c r="E84" s="152"/>
      <c r="F84" s="152"/>
      <c r="G84" s="152"/>
      <c r="H84" s="153"/>
      <c r="I84" s="153"/>
      <c r="J84" s="153"/>
      <c r="K84" s="153"/>
      <c r="L84" s="153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 spans="1:27" ht="17.399999999999999">
      <c r="A85" s="156"/>
      <c r="B85" s="152"/>
      <c r="C85" s="152"/>
      <c r="D85" s="152"/>
      <c r="E85" s="152"/>
      <c r="F85" s="152"/>
      <c r="G85" s="152"/>
      <c r="H85" s="153"/>
      <c r="I85" s="153"/>
      <c r="J85" s="153"/>
      <c r="K85" s="153"/>
      <c r="L85" s="153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 spans="1:27" ht="17.399999999999999">
      <c r="A86" s="156"/>
      <c r="B86" s="152"/>
      <c r="C86" s="152"/>
      <c r="D86" s="152"/>
      <c r="E86" s="152"/>
      <c r="F86" s="152"/>
      <c r="G86" s="152"/>
      <c r="H86" s="153"/>
      <c r="I86" s="153"/>
      <c r="J86" s="153"/>
      <c r="K86" s="153"/>
      <c r="L86" s="153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 spans="1:27" ht="17.399999999999999">
      <c r="A87" s="156"/>
      <c r="B87" s="152"/>
      <c r="C87" s="152"/>
      <c r="D87" s="152"/>
      <c r="E87" s="152"/>
      <c r="F87" s="152"/>
      <c r="G87" s="152"/>
      <c r="H87" s="153"/>
      <c r="I87" s="153"/>
      <c r="J87" s="153"/>
      <c r="K87" s="153"/>
      <c r="L87" s="153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 spans="1:27" ht="17.399999999999999">
      <c r="A88" s="156"/>
      <c r="B88" s="152"/>
      <c r="C88" s="152"/>
      <c r="D88" s="152"/>
      <c r="E88" s="152"/>
      <c r="F88" s="152"/>
      <c r="G88" s="152"/>
      <c r="H88" s="153"/>
      <c r="I88" s="153"/>
      <c r="J88" s="153"/>
      <c r="K88" s="153"/>
      <c r="L88" s="153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 spans="1:27" ht="17.399999999999999">
      <c r="A89" s="156"/>
      <c r="B89" s="152"/>
      <c r="C89" s="152"/>
      <c r="D89" s="152"/>
      <c r="E89" s="152"/>
      <c r="F89" s="152"/>
      <c r="G89" s="152"/>
      <c r="H89" s="153"/>
      <c r="I89" s="153"/>
      <c r="J89" s="153"/>
      <c r="K89" s="153"/>
      <c r="L89" s="153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 spans="1:27" ht="17.399999999999999">
      <c r="A90" s="156"/>
      <c r="B90" s="152"/>
      <c r="C90" s="152"/>
      <c r="D90" s="152"/>
      <c r="E90" s="152"/>
      <c r="F90" s="152"/>
      <c r="G90" s="152"/>
      <c r="H90" s="153"/>
      <c r="I90" s="153"/>
      <c r="J90" s="153"/>
      <c r="K90" s="153"/>
      <c r="L90" s="153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 spans="1:27" ht="17.399999999999999">
      <c r="A91" s="156"/>
      <c r="B91" s="152"/>
      <c r="C91" s="152"/>
      <c r="D91" s="152"/>
      <c r="E91" s="152"/>
      <c r="F91" s="152"/>
      <c r="G91" s="152"/>
      <c r="H91" s="153"/>
      <c r="I91" s="153"/>
      <c r="J91" s="153"/>
      <c r="K91" s="153"/>
      <c r="L91" s="153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 spans="1:27" ht="17.399999999999999">
      <c r="A92" s="156"/>
      <c r="B92" s="152"/>
      <c r="C92" s="152"/>
      <c r="D92" s="152"/>
      <c r="E92" s="152"/>
      <c r="F92" s="152"/>
      <c r="G92" s="152"/>
      <c r="H92" s="153"/>
      <c r="I92" s="153"/>
      <c r="J92" s="153"/>
      <c r="K92" s="153"/>
      <c r="L92" s="153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 spans="1:27" ht="17.399999999999999">
      <c r="A93" s="156"/>
      <c r="B93" s="152"/>
      <c r="C93" s="152"/>
      <c r="D93" s="152"/>
      <c r="E93" s="152"/>
      <c r="F93" s="152"/>
      <c r="G93" s="152"/>
      <c r="H93" s="153"/>
      <c r="I93" s="153"/>
      <c r="J93" s="153"/>
      <c r="K93" s="153"/>
      <c r="L93" s="153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</row>
    <row r="94" spans="1:27" ht="17.399999999999999">
      <c r="A94" s="156"/>
      <c r="B94" s="152"/>
      <c r="C94" s="152"/>
      <c r="D94" s="152"/>
      <c r="E94" s="152"/>
      <c r="F94" s="152"/>
      <c r="G94" s="152"/>
      <c r="H94" s="153"/>
      <c r="I94" s="153"/>
      <c r="J94" s="153"/>
      <c r="K94" s="153"/>
      <c r="L94" s="153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 spans="1:27" ht="17.399999999999999">
      <c r="A95" s="156"/>
      <c r="B95" s="152"/>
      <c r="C95" s="152"/>
      <c r="D95" s="152"/>
      <c r="E95" s="152"/>
      <c r="F95" s="152"/>
      <c r="G95" s="152"/>
      <c r="H95" s="153"/>
      <c r="I95" s="153"/>
      <c r="J95" s="153"/>
      <c r="K95" s="153"/>
      <c r="L95" s="153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spans="1:27" ht="17.399999999999999">
      <c r="A96" s="156"/>
      <c r="B96" s="152"/>
      <c r="C96" s="152"/>
      <c r="D96" s="152"/>
      <c r="E96" s="152"/>
      <c r="F96" s="152"/>
      <c r="G96" s="152"/>
      <c r="H96" s="153"/>
      <c r="I96" s="153"/>
      <c r="J96" s="153"/>
      <c r="K96" s="153"/>
      <c r="L96" s="153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spans="1:27" ht="17.399999999999999">
      <c r="A97" s="156"/>
      <c r="B97" s="152"/>
      <c r="C97" s="152"/>
      <c r="D97" s="152"/>
      <c r="E97" s="152"/>
      <c r="F97" s="152"/>
      <c r="G97" s="152"/>
      <c r="H97" s="153"/>
      <c r="I97" s="153"/>
      <c r="J97" s="153"/>
      <c r="K97" s="153"/>
      <c r="L97" s="153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spans="1:27" ht="17.399999999999999">
      <c r="A98" s="156"/>
      <c r="B98" s="152"/>
      <c r="C98" s="152"/>
      <c r="D98" s="152"/>
      <c r="E98" s="152"/>
      <c r="F98" s="152"/>
      <c r="G98" s="152"/>
      <c r="H98" s="153"/>
      <c r="I98" s="153"/>
      <c r="J98" s="153"/>
      <c r="K98" s="153"/>
      <c r="L98" s="153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spans="1:27" ht="17.399999999999999">
      <c r="A99" s="156"/>
      <c r="B99" s="152"/>
      <c r="C99" s="152"/>
      <c r="D99" s="152"/>
      <c r="E99" s="152"/>
      <c r="F99" s="152"/>
      <c r="G99" s="152"/>
      <c r="H99" s="153"/>
      <c r="I99" s="153"/>
      <c r="J99" s="153"/>
      <c r="K99" s="153"/>
      <c r="L99" s="153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spans="1:27" ht="17.399999999999999">
      <c r="A100" s="156"/>
      <c r="B100" s="152"/>
      <c r="C100" s="152"/>
      <c r="D100" s="152"/>
      <c r="E100" s="152"/>
      <c r="F100" s="152"/>
      <c r="G100" s="152"/>
      <c r="H100" s="153"/>
      <c r="I100" s="153"/>
      <c r="J100" s="153"/>
      <c r="K100" s="153"/>
      <c r="L100" s="153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spans="1:27" ht="17.399999999999999">
      <c r="A101" s="156"/>
      <c r="B101" s="152"/>
      <c r="C101" s="152"/>
      <c r="D101" s="152"/>
      <c r="E101" s="152"/>
      <c r="F101" s="152"/>
      <c r="G101" s="152"/>
      <c r="H101" s="153"/>
      <c r="I101" s="153"/>
      <c r="J101" s="153"/>
      <c r="K101" s="153"/>
      <c r="L101" s="153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spans="1:27" ht="17.399999999999999">
      <c r="A102" s="156"/>
      <c r="B102" s="152"/>
      <c r="C102" s="152"/>
      <c r="D102" s="152"/>
      <c r="E102" s="152"/>
      <c r="F102" s="152"/>
      <c r="G102" s="152"/>
      <c r="H102" s="153"/>
      <c r="I102" s="153"/>
      <c r="J102" s="153"/>
      <c r="K102" s="153"/>
      <c r="L102" s="153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spans="1:27" ht="17.399999999999999">
      <c r="A103" s="156"/>
      <c r="B103" s="152"/>
      <c r="C103" s="152"/>
      <c r="D103" s="152"/>
      <c r="E103" s="152"/>
      <c r="F103" s="152"/>
      <c r="G103" s="152"/>
      <c r="H103" s="153"/>
      <c r="I103" s="153"/>
      <c r="J103" s="153"/>
      <c r="K103" s="153"/>
      <c r="L103" s="153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spans="1:27" ht="17.399999999999999">
      <c r="A104" s="156"/>
      <c r="B104" s="152"/>
      <c r="C104" s="152"/>
      <c r="D104" s="152"/>
      <c r="E104" s="152"/>
      <c r="F104" s="152"/>
      <c r="G104" s="152"/>
      <c r="H104" s="153"/>
      <c r="I104" s="153"/>
      <c r="J104" s="153"/>
      <c r="K104" s="153"/>
      <c r="L104" s="153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spans="1:27" ht="17.399999999999999">
      <c r="A105" s="156"/>
      <c r="B105" s="152"/>
      <c r="C105" s="152"/>
      <c r="D105" s="152"/>
      <c r="E105" s="152"/>
      <c r="F105" s="152"/>
      <c r="G105" s="152"/>
      <c r="H105" s="153"/>
      <c r="I105" s="153"/>
      <c r="J105" s="153"/>
      <c r="K105" s="153"/>
      <c r="L105" s="153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spans="1:27" ht="17.399999999999999">
      <c r="A106" s="156"/>
      <c r="B106" s="152"/>
      <c r="C106" s="152"/>
      <c r="D106" s="152"/>
      <c r="E106" s="152"/>
      <c r="F106" s="152"/>
      <c r="G106" s="152"/>
      <c r="H106" s="153"/>
      <c r="I106" s="153"/>
      <c r="J106" s="153"/>
      <c r="K106" s="153"/>
      <c r="L106" s="153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spans="1:27" ht="17.399999999999999">
      <c r="A107" s="156"/>
      <c r="B107" s="152"/>
      <c r="C107" s="152"/>
      <c r="D107" s="152"/>
      <c r="E107" s="152"/>
      <c r="F107" s="152"/>
      <c r="G107" s="152"/>
      <c r="H107" s="153"/>
      <c r="I107" s="153"/>
      <c r="J107" s="153"/>
      <c r="K107" s="153"/>
      <c r="L107" s="153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spans="1:27" ht="17.399999999999999">
      <c r="A108" s="156"/>
      <c r="B108" s="152"/>
      <c r="C108" s="152"/>
      <c r="D108" s="152"/>
      <c r="E108" s="152"/>
      <c r="F108" s="152"/>
      <c r="G108" s="152"/>
      <c r="H108" s="153"/>
      <c r="I108" s="153"/>
      <c r="J108" s="153"/>
      <c r="K108" s="153"/>
      <c r="L108" s="153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spans="1:27" ht="17.399999999999999">
      <c r="A109" s="156"/>
      <c r="B109" s="152"/>
      <c r="C109" s="152"/>
      <c r="D109" s="152"/>
      <c r="E109" s="152"/>
      <c r="F109" s="152"/>
      <c r="G109" s="152"/>
      <c r="H109" s="153"/>
      <c r="I109" s="153"/>
      <c r="J109" s="153"/>
      <c r="K109" s="153"/>
      <c r="L109" s="153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spans="1:27" ht="17.399999999999999">
      <c r="A110" s="156"/>
      <c r="B110" s="152"/>
      <c r="C110" s="152"/>
      <c r="D110" s="152"/>
      <c r="E110" s="152"/>
      <c r="F110" s="152"/>
      <c r="G110" s="152"/>
      <c r="H110" s="153"/>
      <c r="I110" s="153"/>
      <c r="J110" s="153"/>
      <c r="K110" s="153"/>
      <c r="L110" s="153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spans="1:27" ht="17.399999999999999">
      <c r="A111" s="156"/>
      <c r="B111" s="152"/>
      <c r="C111" s="152"/>
      <c r="D111" s="152"/>
      <c r="E111" s="152"/>
      <c r="F111" s="152"/>
      <c r="G111" s="152"/>
      <c r="H111" s="153"/>
      <c r="I111" s="153"/>
      <c r="J111" s="153"/>
      <c r="K111" s="153"/>
      <c r="L111" s="153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spans="1:27" ht="17.399999999999999">
      <c r="A112" s="156"/>
      <c r="B112" s="152"/>
      <c r="C112" s="152"/>
      <c r="D112" s="152"/>
      <c r="E112" s="152"/>
      <c r="F112" s="152"/>
      <c r="G112" s="152"/>
      <c r="H112" s="153"/>
      <c r="I112" s="153"/>
      <c r="J112" s="153"/>
      <c r="K112" s="153"/>
      <c r="L112" s="153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spans="1:27" ht="17.399999999999999">
      <c r="A113" s="156"/>
      <c r="B113" s="152"/>
      <c r="C113" s="152"/>
      <c r="D113" s="152"/>
      <c r="E113" s="152"/>
      <c r="F113" s="152"/>
      <c r="G113" s="152"/>
      <c r="H113" s="153"/>
      <c r="I113" s="153"/>
      <c r="J113" s="153"/>
      <c r="K113" s="153"/>
      <c r="L113" s="153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spans="1:27" ht="17.399999999999999">
      <c r="A114" s="156"/>
      <c r="B114" s="152"/>
      <c r="C114" s="152"/>
      <c r="D114" s="152"/>
      <c r="E114" s="152"/>
      <c r="F114" s="152"/>
      <c r="G114" s="152"/>
      <c r="H114" s="153"/>
      <c r="I114" s="153"/>
      <c r="J114" s="153"/>
      <c r="K114" s="153"/>
      <c r="L114" s="153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spans="1:27" ht="17.399999999999999">
      <c r="A115" s="156"/>
      <c r="B115" s="152"/>
      <c r="C115" s="152"/>
      <c r="D115" s="152"/>
      <c r="E115" s="152"/>
      <c r="F115" s="152"/>
      <c r="G115" s="152"/>
      <c r="H115" s="153"/>
      <c r="I115" s="153"/>
      <c r="J115" s="153"/>
      <c r="K115" s="153"/>
      <c r="L115" s="153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spans="1:27" ht="17.399999999999999">
      <c r="A116" s="156"/>
      <c r="B116" s="152"/>
      <c r="C116" s="152"/>
      <c r="D116" s="152"/>
      <c r="E116" s="152"/>
      <c r="F116" s="152"/>
      <c r="G116" s="152"/>
      <c r="H116" s="153"/>
      <c r="I116" s="153"/>
      <c r="J116" s="153"/>
      <c r="K116" s="153"/>
      <c r="L116" s="153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spans="1:27" ht="17.399999999999999">
      <c r="A117" s="156"/>
      <c r="B117" s="152"/>
      <c r="C117" s="152"/>
      <c r="D117" s="152"/>
      <c r="E117" s="152"/>
      <c r="F117" s="152"/>
      <c r="G117" s="152"/>
      <c r="H117" s="153"/>
      <c r="I117" s="153"/>
      <c r="J117" s="153"/>
      <c r="K117" s="153"/>
      <c r="L117" s="153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spans="1:27" ht="17.399999999999999">
      <c r="A118" s="156"/>
      <c r="B118" s="152"/>
      <c r="C118" s="152"/>
      <c r="D118" s="152"/>
      <c r="E118" s="152"/>
      <c r="F118" s="152"/>
      <c r="G118" s="152"/>
      <c r="H118" s="153"/>
      <c r="I118" s="153"/>
      <c r="J118" s="153"/>
      <c r="K118" s="153"/>
      <c r="L118" s="153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spans="1:27" ht="17.399999999999999">
      <c r="A119" s="156"/>
      <c r="B119" s="152"/>
      <c r="C119" s="152"/>
      <c r="D119" s="152"/>
      <c r="E119" s="152"/>
      <c r="F119" s="152"/>
      <c r="G119" s="152"/>
      <c r="H119" s="153"/>
      <c r="I119" s="153"/>
      <c r="J119" s="153"/>
      <c r="K119" s="153"/>
      <c r="L119" s="153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spans="1:27" ht="17.399999999999999">
      <c r="A120" s="156"/>
      <c r="B120" s="152"/>
      <c r="C120" s="152"/>
      <c r="D120" s="152"/>
      <c r="E120" s="152"/>
      <c r="F120" s="152"/>
      <c r="G120" s="152"/>
      <c r="H120" s="153"/>
      <c r="I120" s="153"/>
      <c r="J120" s="153"/>
      <c r="K120" s="153"/>
      <c r="L120" s="153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spans="1:27" ht="17.399999999999999">
      <c r="A121" s="156"/>
      <c r="B121" s="152"/>
      <c r="C121" s="152"/>
      <c r="D121" s="152"/>
      <c r="E121" s="152"/>
      <c r="F121" s="152"/>
      <c r="G121" s="152"/>
      <c r="H121" s="153"/>
      <c r="I121" s="153"/>
      <c r="J121" s="153"/>
      <c r="K121" s="153"/>
      <c r="L121" s="153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spans="1:27" ht="17.399999999999999">
      <c r="A122" s="156"/>
      <c r="B122" s="152"/>
      <c r="C122" s="152"/>
      <c r="D122" s="152"/>
      <c r="E122" s="152"/>
      <c r="F122" s="152"/>
      <c r="G122" s="152"/>
      <c r="H122" s="153"/>
      <c r="I122" s="153"/>
      <c r="J122" s="153"/>
      <c r="K122" s="153"/>
      <c r="L122" s="153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spans="1:27" ht="17.399999999999999">
      <c r="A123" s="156"/>
      <c r="B123" s="152"/>
      <c r="C123" s="152"/>
      <c r="D123" s="152"/>
      <c r="E123" s="152"/>
      <c r="F123" s="152"/>
      <c r="G123" s="152"/>
      <c r="H123" s="153"/>
      <c r="I123" s="153"/>
      <c r="J123" s="153"/>
      <c r="K123" s="153"/>
      <c r="L123" s="153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spans="1:27" ht="17.399999999999999">
      <c r="A124" s="156"/>
      <c r="B124" s="152"/>
      <c r="C124" s="152"/>
      <c r="D124" s="152"/>
      <c r="E124" s="152"/>
      <c r="F124" s="152"/>
      <c r="G124" s="152"/>
      <c r="H124" s="153"/>
      <c r="I124" s="153"/>
      <c r="J124" s="153"/>
      <c r="K124" s="153"/>
      <c r="L124" s="153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spans="1:27" ht="17.399999999999999">
      <c r="A125" s="156"/>
      <c r="B125" s="152"/>
      <c r="C125" s="152"/>
      <c r="D125" s="152"/>
      <c r="E125" s="152"/>
      <c r="F125" s="152"/>
      <c r="G125" s="152"/>
      <c r="H125" s="153"/>
      <c r="I125" s="153"/>
      <c r="J125" s="153"/>
      <c r="K125" s="153"/>
      <c r="L125" s="153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spans="1:27" ht="17.399999999999999">
      <c r="A126" s="156"/>
      <c r="B126" s="152"/>
      <c r="C126" s="152"/>
      <c r="D126" s="152"/>
      <c r="E126" s="152"/>
      <c r="F126" s="152"/>
      <c r="G126" s="152"/>
      <c r="H126" s="153"/>
      <c r="I126" s="153"/>
      <c r="J126" s="153"/>
      <c r="K126" s="153"/>
      <c r="L126" s="153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spans="1:27" ht="17.399999999999999">
      <c r="A127" s="156"/>
      <c r="B127" s="152"/>
      <c r="C127" s="152"/>
      <c r="D127" s="152"/>
      <c r="E127" s="152"/>
      <c r="F127" s="152"/>
      <c r="G127" s="152"/>
      <c r="H127" s="153"/>
      <c r="I127" s="153"/>
      <c r="J127" s="153"/>
      <c r="K127" s="153"/>
      <c r="L127" s="153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spans="1:27" ht="17.399999999999999">
      <c r="A128" s="156"/>
      <c r="B128" s="152"/>
      <c r="C128" s="152"/>
      <c r="D128" s="152"/>
      <c r="E128" s="152"/>
      <c r="F128" s="152"/>
      <c r="G128" s="152"/>
      <c r="H128" s="153"/>
      <c r="I128" s="153"/>
      <c r="J128" s="153"/>
      <c r="K128" s="153"/>
      <c r="L128" s="153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spans="1:27" ht="17.399999999999999">
      <c r="A129" s="156"/>
      <c r="B129" s="152"/>
      <c r="C129" s="152"/>
      <c r="D129" s="152"/>
      <c r="E129" s="152"/>
      <c r="F129" s="152"/>
      <c r="G129" s="152"/>
      <c r="H129" s="153"/>
      <c r="I129" s="153"/>
      <c r="J129" s="153"/>
      <c r="K129" s="153"/>
      <c r="L129" s="153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spans="1:27" ht="17.399999999999999">
      <c r="A130" s="156"/>
      <c r="B130" s="152"/>
      <c r="C130" s="152"/>
      <c r="D130" s="152"/>
      <c r="E130" s="152"/>
      <c r="F130" s="152"/>
      <c r="G130" s="152"/>
      <c r="H130" s="153"/>
      <c r="I130" s="153"/>
      <c r="J130" s="153"/>
      <c r="K130" s="153"/>
      <c r="L130" s="153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spans="1:27" ht="17.399999999999999">
      <c r="A131" s="156"/>
      <c r="B131" s="152"/>
      <c r="C131" s="152"/>
      <c r="D131" s="152"/>
      <c r="E131" s="152"/>
      <c r="F131" s="152"/>
      <c r="G131" s="152"/>
      <c r="H131" s="153"/>
      <c r="I131" s="153"/>
      <c r="J131" s="153"/>
      <c r="K131" s="153"/>
      <c r="L131" s="153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spans="1:27" ht="17.399999999999999">
      <c r="A132" s="156"/>
      <c r="B132" s="152"/>
      <c r="C132" s="152"/>
      <c r="D132" s="152"/>
      <c r="E132" s="152"/>
      <c r="F132" s="152"/>
      <c r="G132" s="152"/>
      <c r="H132" s="153"/>
      <c r="I132" s="153"/>
      <c r="J132" s="153"/>
      <c r="K132" s="153"/>
      <c r="L132" s="153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spans="1:27" ht="17.399999999999999">
      <c r="A133" s="156"/>
      <c r="B133" s="152"/>
      <c r="C133" s="152"/>
      <c r="D133" s="152"/>
      <c r="E133" s="152"/>
      <c r="F133" s="152"/>
      <c r="G133" s="152"/>
      <c r="H133" s="153"/>
      <c r="I133" s="153"/>
      <c r="J133" s="153"/>
      <c r="K133" s="153"/>
      <c r="L133" s="153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spans="1:27" ht="17.399999999999999">
      <c r="A134" s="156"/>
      <c r="B134" s="152"/>
      <c r="C134" s="152"/>
      <c r="D134" s="152"/>
      <c r="E134" s="152"/>
      <c r="F134" s="152"/>
      <c r="G134" s="152"/>
      <c r="H134" s="153"/>
      <c r="I134" s="153"/>
      <c r="J134" s="153"/>
      <c r="K134" s="153"/>
      <c r="L134" s="153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spans="1:27" ht="17.399999999999999">
      <c r="A135" s="156"/>
      <c r="B135" s="152"/>
      <c r="C135" s="152"/>
      <c r="D135" s="152"/>
      <c r="E135" s="152"/>
      <c r="F135" s="152"/>
      <c r="G135" s="152"/>
      <c r="H135" s="153"/>
      <c r="I135" s="153"/>
      <c r="J135" s="153"/>
      <c r="K135" s="153"/>
      <c r="L135" s="153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spans="1:27" ht="17.399999999999999">
      <c r="A136" s="156"/>
      <c r="B136" s="152"/>
      <c r="C136" s="152"/>
      <c r="D136" s="152"/>
      <c r="E136" s="152"/>
      <c r="F136" s="152"/>
      <c r="G136" s="152"/>
      <c r="H136" s="153"/>
      <c r="I136" s="153"/>
      <c r="J136" s="153"/>
      <c r="K136" s="153"/>
      <c r="L136" s="153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 spans="1:27" ht="17.399999999999999">
      <c r="A137" s="156"/>
      <c r="B137" s="152"/>
      <c r="C137" s="152"/>
      <c r="D137" s="152"/>
      <c r="E137" s="152"/>
      <c r="F137" s="152"/>
      <c r="G137" s="152"/>
      <c r="H137" s="153"/>
      <c r="I137" s="153"/>
      <c r="J137" s="153"/>
      <c r="K137" s="153"/>
      <c r="L137" s="153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spans="1:27" ht="17.399999999999999">
      <c r="A138" s="156"/>
      <c r="B138" s="152"/>
      <c r="C138" s="152"/>
      <c r="D138" s="152"/>
      <c r="E138" s="152"/>
      <c r="F138" s="152"/>
      <c r="G138" s="152"/>
      <c r="H138" s="153"/>
      <c r="I138" s="153"/>
      <c r="J138" s="153"/>
      <c r="K138" s="153"/>
      <c r="L138" s="153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spans="1:27" ht="17.399999999999999">
      <c r="A139" s="156"/>
      <c r="B139" s="152"/>
      <c r="C139" s="152"/>
      <c r="D139" s="152"/>
      <c r="E139" s="152"/>
      <c r="F139" s="152"/>
      <c r="G139" s="152"/>
      <c r="H139" s="153"/>
      <c r="I139" s="153"/>
      <c r="J139" s="153"/>
      <c r="K139" s="153"/>
      <c r="L139" s="153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spans="1:27" ht="17.399999999999999">
      <c r="A140" s="156"/>
      <c r="B140" s="152"/>
      <c r="C140" s="152"/>
      <c r="D140" s="152"/>
      <c r="E140" s="152"/>
      <c r="F140" s="152"/>
      <c r="G140" s="152"/>
      <c r="H140" s="153"/>
      <c r="I140" s="153"/>
      <c r="J140" s="153"/>
      <c r="K140" s="153"/>
      <c r="L140" s="153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spans="1:27" ht="17.399999999999999">
      <c r="A141" s="156"/>
      <c r="B141" s="152"/>
      <c r="C141" s="152"/>
      <c r="D141" s="152"/>
      <c r="E141" s="152"/>
      <c r="F141" s="152"/>
      <c r="G141" s="152"/>
      <c r="H141" s="153"/>
      <c r="I141" s="153"/>
      <c r="J141" s="153"/>
      <c r="K141" s="153"/>
      <c r="L141" s="153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spans="1:27" ht="17.399999999999999">
      <c r="A142" s="156"/>
      <c r="B142" s="152"/>
      <c r="C142" s="152"/>
      <c r="D142" s="152"/>
      <c r="E142" s="152"/>
      <c r="F142" s="152"/>
      <c r="G142" s="152"/>
      <c r="H142" s="153"/>
      <c r="I142" s="153"/>
      <c r="J142" s="153"/>
      <c r="K142" s="153"/>
      <c r="L142" s="153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 spans="1:27" ht="17.399999999999999">
      <c r="A143" s="156"/>
      <c r="B143" s="152"/>
      <c r="C143" s="152"/>
      <c r="D143" s="152"/>
      <c r="E143" s="152"/>
      <c r="F143" s="152"/>
      <c r="G143" s="152"/>
      <c r="H143" s="153"/>
      <c r="I143" s="153"/>
      <c r="J143" s="153"/>
      <c r="K143" s="153"/>
      <c r="L143" s="153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spans="1:27" ht="17.399999999999999">
      <c r="A144" s="156"/>
      <c r="B144" s="152"/>
      <c r="C144" s="152"/>
      <c r="D144" s="152"/>
      <c r="E144" s="152"/>
      <c r="F144" s="152"/>
      <c r="G144" s="152"/>
      <c r="H144" s="153"/>
      <c r="I144" s="153"/>
      <c r="J144" s="153"/>
      <c r="K144" s="153"/>
      <c r="L144" s="153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spans="1:27" ht="17.399999999999999">
      <c r="A145" s="156"/>
      <c r="B145" s="152"/>
      <c r="C145" s="152"/>
      <c r="D145" s="152"/>
      <c r="E145" s="152"/>
      <c r="F145" s="152"/>
      <c r="G145" s="152"/>
      <c r="H145" s="153"/>
      <c r="I145" s="153"/>
      <c r="J145" s="153"/>
      <c r="K145" s="153"/>
      <c r="L145" s="153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spans="1:27" ht="17.399999999999999">
      <c r="A146" s="156"/>
      <c r="B146" s="152"/>
      <c r="C146" s="152"/>
      <c r="D146" s="152"/>
      <c r="E146" s="152"/>
      <c r="F146" s="152"/>
      <c r="G146" s="152"/>
      <c r="H146" s="153"/>
      <c r="I146" s="153"/>
      <c r="J146" s="153"/>
      <c r="K146" s="153"/>
      <c r="L146" s="153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spans="1:27" ht="17.399999999999999">
      <c r="A147" s="156"/>
      <c r="B147" s="152"/>
      <c r="C147" s="152"/>
      <c r="D147" s="152"/>
      <c r="E147" s="152"/>
      <c r="F147" s="152"/>
      <c r="G147" s="152"/>
      <c r="H147" s="153"/>
      <c r="I147" s="153"/>
      <c r="J147" s="153"/>
      <c r="K147" s="153"/>
      <c r="L147" s="153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spans="1:27" ht="17.399999999999999">
      <c r="A148" s="156"/>
      <c r="B148" s="152"/>
      <c r="C148" s="152"/>
      <c r="D148" s="152"/>
      <c r="E148" s="152"/>
      <c r="F148" s="152"/>
      <c r="G148" s="152"/>
      <c r="H148" s="153"/>
      <c r="I148" s="153"/>
      <c r="J148" s="153"/>
      <c r="K148" s="153"/>
      <c r="L148" s="153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spans="1:27" ht="17.399999999999999">
      <c r="A149" s="156"/>
      <c r="B149" s="152"/>
      <c r="C149" s="152"/>
      <c r="D149" s="152"/>
      <c r="E149" s="152"/>
      <c r="F149" s="152"/>
      <c r="G149" s="152"/>
      <c r="H149" s="153"/>
      <c r="I149" s="153"/>
      <c r="J149" s="153"/>
      <c r="K149" s="153"/>
      <c r="L149" s="153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spans="1:27" ht="17.399999999999999">
      <c r="A150" s="156"/>
      <c r="B150" s="152"/>
      <c r="C150" s="152"/>
      <c r="D150" s="152"/>
      <c r="E150" s="152"/>
      <c r="F150" s="152"/>
      <c r="G150" s="152"/>
      <c r="H150" s="153"/>
      <c r="I150" s="153"/>
      <c r="J150" s="153"/>
      <c r="K150" s="153"/>
      <c r="L150" s="153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spans="1:27" ht="17.399999999999999">
      <c r="A151" s="156"/>
      <c r="B151" s="152"/>
      <c r="C151" s="152"/>
      <c r="D151" s="152"/>
      <c r="E151" s="152"/>
      <c r="F151" s="152"/>
      <c r="G151" s="152"/>
      <c r="H151" s="153"/>
      <c r="I151" s="153"/>
      <c r="J151" s="153"/>
      <c r="K151" s="153"/>
      <c r="L151" s="153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spans="1:27" ht="17.399999999999999">
      <c r="A152" s="156"/>
      <c r="B152" s="152"/>
      <c r="C152" s="152"/>
      <c r="D152" s="152"/>
      <c r="E152" s="152"/>
      <c r="F152" s="152"/>
      <c r="G152" s="152"/>
      <c r="H152" s="153"/>
      <c r="I152" s="153"/>
      <c r="J152" s="153"/>
      <c r="K152" s="153"/>
      <c r="L152" s="153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spans="1:27" ht="17.399999999999999">
      <c r="A153" s="156"/>
      <c r="B153" s="152"/>
      <c r="C153" s="152"/>
      <c r="D153" s="152"/>
      <c r="E153" s="152"/>
      <c r="F153" s="152"/>
      <c r="G153" s="152"/>
      <c r="H153" s="153"/>
      <c r="I153" s="153"/>
      <c r="J153" s="153"/>
      <c r="K153" s="153"/>
      <c r="L153" s="153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spans="1:27" ht="17.399999999999999">
      <c r="A154" s="156"/>
      <c r="B154" s="152"/>
      <c r="C154" s="152"/>
      <c r="D154" s="152"/>
      <c r="E154" s="152"/>
      <c r="F154" s="152"/>
      <c r="G154" s="152"/>
      <c r="H154" s="153"/>
      <c r="I154" s="153"/>
      <c r="J154" s="153"/>
      <c r="K154" s="153"/>
      <c r="L154" s="153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spans="1:27" ht="17.399999999999999">
      <c r="A155" s="156"/>
      <c r="B155" s="152"/>
      <c r="C155" s="152"/>
      <c r="D155" s="152"/>
      <c r="E155" s="152"/>
      <c r="F155" s="152"/>
      <c r="G155" s="152"/>
      <c r="H155" s="153"/>
      <c r="I155" s="153"/>
      <c r="J155" s="153"/>
      <c r="K155" s="153"/>
      <c r="L155" s="153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spans="1:27" ht="17.399999999999999">
      <c r="A156" s="156"/>
      <c r="B156" s="152"/>
      <c r="C156" s="152"/>
      <c r="D156" s="152"/>
      <c r="E156" s="152"/>
      <c r="F156" s="152"/>
      <c r="G156" s="152"/>
      <c r="H156" s="153"/>
      <c r="I156" s="153"/>
      <c r="J156" s="153"/>
      <c r="K156" s="153"/>
      <c r="L156" s="153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spans="1:27" ht="17.399999999999999">
      <c r="A157" s="156"/>
      <c r="B157" s="152"/>
      <c r="C157" s="152"/>
      <c r="D157" s="152"/>
      <c r="E157" s="152"/>
      <c r="F157" s="152"/>
      <c r="G157" s="152"/>
      <c r="H157" s="153"/>
      <c r="I157" s="153"/>
      <c r="J157" s="153"/>
      <c r="K157" s="153"/>
      <c r="L157" s="153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spans="1:27" ht="17.399999999999999">
      <c r="A158" s="156"/>
      <c r="B158" s="152"/>
      <c r="C158" s="152"/>
      <c r="D158" s="152"/>
      <c r="E158" s="152"/>
      <c r="F158" s="152"/>
      <c r="G158" s="152"/>
      <c r="H158" s="153"/>
      <c r="I158" s="153"/>
      <c r="J158" s="153"/>
      <c r="K158" s="153"/>
      <c r="L158" s="153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 spans="1:27" ht="17.399999999999999">
      <c r="A159" s="156"/>
      <c r="B159" s="152"/>
      <c r="C159" s="152"/>
      <c r="D159" s="152"/>
      <c r="E159" s="152"/>
      <c r="F159" s="152"/>
      <c r="G159" s="152"/>
      <c r="H159" s="153"/>
      <c r="I159" s="153"/>
      <c r="J159" s="153"/>
      <c r="K159" s="153"/>
      <c r="L159" s="153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spans="1:27" ht="17.399999999999999">
      <c r="A160" s="156"/>
      <c r="B160" s="152"/>
      <c r="C160" s="152"/>
      <c r="D160" s="152"/>
      <c r="E160" s="152"/>
      <c r="F160" s="152"/>
      <c r="G160" s="152"/>
      <c r="H160" s="153"/>
      <c r="I160" s="153"/>
      <c r="J160" s="153"/>
      <c r="K160" s="153"/>
      <c r="L160" s="153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 spans="1:27" ht="17.399999999999999">
      <c r="A161" s="156"/>
      <c r="B161" s="152"/>
      <c r="C161" s="152"/>
      <c r="D161" s="152"/>
      <c r="E161" s="152"/>
      <c r="F161" s="152"/>
      <c r="G161" s="152"/>
      <c r="H161" s="153"/>
      <c r="I161" s="153"/>
      <c r="J161" s="153"/>
      <c r="K161" s="153"/>
      <c r="L161" s="153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spans="1:27" ht="17.399999999999999">
      <c r="A162" s="156"/>
      <c r="B162" s="152"/>
      <c r="C162" s="152"/>
      <c r="D162" s="152"/>
      <c r="E162" s="152"/>
      <c r="F162" s="152"/>
      <c r="G162" s="152"/>
      <c r="H162" s="153"/>
      <c r="I162" s="153"/>
      <c r="J162" s="153"/>
      <c r="K162" s="153"/>
      <c r="L162" s="153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spans="1:27" ht="17.399999999999999">
      <c r="A163" s="156"/>
      <c r="B163" s="152"/>
      <c r="C163" s="152"/>
      <c r="D163" s="152"/>
      <c r="E163" s="152"/>
      <c r="F163" s="152"/>
      <c r="G163" s="152"/>
      <c r="H163" s="153"/>
      <c r="I163" s="153"/>
      <c r="J163" s="153"/>
      <c r="K163" s="153"/>
      <c r="L163" s="153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spans="1:27" ht="17.399999999999999">
      <c r="A164" s="156"/>
      <c r="B164" s="152"/>
      <c r="C164" s="152"/>
      <c r="D164" s="152"/>
      <c r="E164" s="152"/>
      <c r="F164" s="152"/>
      <c r="G164" s="152"/>
      <c r="H164" s="153"/>
      <c r="I164" s="153"/>
      <c r="J164" s="153"/>
      <c r="K164" s="153"/>
      <c r="L164" s="153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spans="1:27" ht="17.399999999999999">
      <c r="A165" s="156"/>
      <c r="B165" s="152"/>
      <c r="C165" s="152"/>
      <c r="D165" s="152"/>
      <c r="E165" s="152"/>
      <c r="F165" s="152"/>
      <c r="G165" s="152"/>
      <c r="H165" s="153"/>
      <c r="I165" s="153"/>
      <c r="J165" s="153"/>
      <c r="K165" s="153"/>
      <c r="L165" s="153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spans="1:27" ht="17.399999999999999">
      <c r="A166" s="156"/>
      <c r="B166" s="152"/>
      <c r="C166" s="152"/>
      <c r="D166" s="152"/>
      <c r="E166" s="152"/>
      <c r="F166" s="152"/>
      <c r="G166" s="152"/>
      <c r="H166" s="153"/>
      <c r="I166" s="153"/>
      <c r="J166" s="153"/>
      <c r="K166" s="153"/>
      <c r="L166" s="153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spans="1:27" ht="17.399999999999999">
      <c r="A167" s="156"/>
      <c r="B167" s="152"/>
      <c r="C167" s="152"/>
      <c r="D167" s="152"/>
      <c r="E167" s="152"/>
      <c r="F167" s="152"/>
      <c r="G167" s="152"/>
      <c r="H167" s="153"/>
      <c r="I167" s="153"/>
      <c r="J167" s="153"/>
      <c r="K167" s="153"/>
      <c r="L167" s="153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 spans="1:27" ht="17.399999999999999">
      <c r="A168" s="156"/>
      <c r="B168" s="152"/>
      <c r="C168" s="152"/>
      <c r="D168" s="152"/>
      <c r="E168" s="152"/>
      <c r="F168" s="152"/>
      <c r="G168" s="152"/>
      <c r="H168" s="153"/>
      <c r="I168" s="153"/>
      <c r="J168" s="153"/>
      <c r="K168" s="153"/>
      <c r="L168" s="153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 spans="1:27" ht="17.399999999999999">
      <c r="A169" s="156"/>
      <c r="B169" s="152"/>
      <c r="C169" s="152"/>
      <c r="D169" s="152"/>
      <c r="E169" s="152"/>
      <c r="F169" s="152"/>
      <c r="G169" s="152"/>
      <c r="H169" s="153"/>
      <c r="I169" s="153"/>
      <c r="J169" s="153"/>
      <c r="K169" s="153"/>
      <c r="L169" s="153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spans="1:27" ht="17.399999999999999">
      <c r="A170" s="156"/>
      <c r="B170" s="152"/>
      <c r="C170" s="152"/>
      <c r="D170" s="152"/>
      <c r="E170" s="152"/>
      <c r="F170" s="152"/>
      <c r="G170" s="152"/>
      <c r="H170" s="153"/>
      <c r="I170" s="153"/>
      <c r="J170" s="153"/>
      <c r="K170" s="153"/>
      <c r="L170" s="153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spans="1:27" ht="17.399999999999999">
      <c r="A171" s="156"/>
      <c r="B171" s="152"/>
      <c r="C171" s="152"/>
      <c r="D171" s="152"/>
      <c r="E171" s="152"/>
      <c r="F171" s="152"/>
      <c r="G171" s="152"/>
      <c r="H171" s="153"/>
      <c r="I171" s="153"/>
      <c r="J171" s="153"/>
      <c r="K171" s="153"/>
      <c r="L171" s="153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spans="1:27" ht="17.399999999999999">
      <c r="A172" s="156"/>
      <c r="B172" s="152"/>
      <c r="C172" s="152"/>
      <c r="D172" s="152"/>
      <c r="E172" s="152"/>
      <c r="F172" s="152"/>
      <c r="G172" s="152"/>
      <c r="H172" s="153"/>
      <c r="I172" s="153"/>
      <c r="J172" s="153"/>
      <c r="K172" s="153"/>
      <c r="L172" s="153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spans="1:27" ht="17.399999999999999">
      <c r="A173" s="156"/>
      <c r="B173" s="152"/>
      <c r="C173" s="152"/>
      <c r="D173" s="152"/>
      <c r="E173" s="152"/>
      <c r="F173" s="152"/>
      <c r="G173" s="152"/>
      <c r="H173" s="153"/>
      <c r="I173" s="153"/>
      <c r="J173" s="153"/>
      <c r="K173" s="153"/>
      <c r="L173" s="153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spans="1:27" ht="17.399999999999999">
      <c r="A174" s="156"/>
      <c r="B174" s="152"/>
      <c r="C174" s="152"/>
      <c r="D174" s="152"/>
      <c r="E174" s="152"/>
      <c r="F174" s="152"/>
      <c r="G174" s="152"/>
      <c r="H174" s="153"/>
      <c r="I174" s="153"/>
      <c r="J174" s="153"/>
      <c r="K174" s="153"/>
      <c r="L174" s="153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spans="1:27" ht="17.399999999999999">
      <c r="A175" s="156"/>
      <c r="B175" s="152"/>
      <c r="C175" s="152"/>
      <c r="D175" s="152"/>
      <c r="E175" s="152"/>
      <c r="F175" s="152"/>
      <c r="G175" s="152"/>
      <c r="H175" s="153"/>
      <c r="I175" s="153"/>
      <c r="J175" s="153"/>
      <c r="K175" s="153"/>
      <c r="L175" s="153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spans="1:27" ht="17.399999999999999">
      <c r="A176" s="156"/>
      <c r="B176" s="152"/>
      <c r="C176" s="152"/>
      <c r="D176" s="152"/>
      <c r="E176" s="152"/>
      <c r="F176" s="152"/>
      <c r="G176" s="152"/>
      <c r="H176" s="153"/>
      <c r="I176" s="153"/>
      <c r="J176" s="153"/>
      <c r="K176" s="153"/>
      <c r="L176" s="153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spans="1:27" ht="17.399999999999999">
      <c r="A177" s="156"/>
      <c r="B177" s="152"/>
      <c r="C177" s="152"/>
      <c r="D177" s="152"/>
      <c r="E177" s="152"/>
      <c r="F177" s="152"/>
      <c r="G177" s="152"/>
      <c r="H177" s="153"/>
      <c r="I177" s="153"/>
      <c r="J177" s="153"/>
      <c r="K177" s="153"/>
      <c r="L177" s="153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spans="1:27" ht="17.399999999999999">
      <c r="A178" s="156"/>
      <c r="B178" s="152"/>
      <c r="C178" s="152"/>
      <c r="D178" s="152"/>
      <c r="E178" s="152"/>
      <c r="F178" s="152"/>
      <c r="G178" s="152"/>
      <c r="H178" s="153"/>
      <c r="I178" s="153"/>
      <c r="J178" s="153"/>
      <c r="K178" s="153"/>
      <c r="L178" s="153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spans="1:27" ht="17.399999999999999">
      <c r="A179" s="156"/>
      <c r="B179" s="152"/>
      <c r="C179" s="152"/>
      <c r="D179" s="152"/>
      <c r="E179" s="152"/>
      <c r="F179" s="152"/>
      <c r="G179" s="152"/>
      <c r="H179" s="153"/>
      <c r="I179" s="153"/>
      <c r="J179" s="153"/>
      <c r="K179" s="153"/>
      <c r="L179" s="153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spans="1:27" ht="17.399999999999999">
      <c r="A180" s="156"/>
      <c r="B180" s="152"/>
      <c r="C180" s="152"/>
      <c r="D180" s="152"/>
      <c r="E180" s="152"/>
      <c r="F180" s="152"/>
      <c r="G180" s="152"/>
      <c r="H180" s="153"/>
      <c r="I180" s="153"/>
      <c r="J180" s="153"/>
      <c r="K180" s="153"/>
      <c r="L180" s="153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spans="1:27" ht="17.399999999999999">
      <c r="A181" s="156"/>
      <c r="B181" s="152"/>
      <c r="C181" s="152"/>
      <c r="D181" s="152"/>
      <c r="E181" s="152"/>
      <c r="F181" s="152"/>
      <c r="G181" s="152"/>
      <c r="H181" s="153"/>
      <c r="I181" s="153"/>
      <c r="J181" s="153"/>
      <c r="K181" s="153"/>
      <c r="L181" s="153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spans="1:27" ht="17.399999999999999">
      <c r="A182" s="156"/>
      <c r="B182" s="152"/>
      <c r="C182" s="152"/>
      <c r="D182" s="152"/>
      <c r="E182" s="152"/>
      <c r="F182" s="152"/>
      <c r="G182" s="152"/>
      <c r="H182" s="153"/>
      <c r="I182" s="153"/>
      <c r="J182" s="153"/>
      <c r="K182" s="153"/>
      <c r="L182" s="153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spans="1:27" ht="17.399999999999999">
      <c r="A183" s="156"/>
      <c r="B183" s="152"/>
      <c r="C183" s="152"/>
      <c r="D183" s="152"/>
      <c r="E183" s="152"/>
      <c r="F183" s="152"/>
      <c r="G183" s="152"/>
      <c r="H183" s="153"/>
      <c r="I183" s="153"/>
      <c r="J183" s="153"/>
      <c r="K183" s="153"/>
      <c r="L183" s="153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spans="1:27" ht="17.399999999999999">
      <c r="A184" s="156"/>
      <c r="B184" s="152"/>
      <c r="C184" s="152"/>
      <c r="D184" s="152"/>
      <c r="E184" s="152"/>
      <c r="F184" s="152"/>
      <c r="G184" s="152"/>
      <c r="H184" s="153"/>
      <c r="I184" s="153"/>
      <c r="J184" s="153"/>
      <c r="K184" s="153"/>
      <c r="L184" s="153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spans="1:27" ht="17.399999999999999">
      <c r="A185" s="156"/>
      <c r="B185" s="152"/>
      <c r="C185" s="152"/>
      <c r="D185" s="152"/>
      <c r="E185" s="152"/>
      <c r="F185" s="152"/>
      <c r="G185" s="152"/>
      <c r="H185" s="153"/>
      <c r="I185" s="153"/>
      <c r="J185" s="153"/>
      <c r="K185" s="153"/>
      <c r="L185" s="153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spans="1:27" ht="17.399999999999999">
      <c r="A186" s="156"/>
      <c r="B186" s="152"/>
      <c r="C186" s="152"/>
      <c r="D186" s="152"/>
      <c r="E186" s="152"/>
      <c r="F186" s="152"/>
      <c r="G186" s="152"/>
      <c r="H186" s="153"/>
      <c r="I186" s="153"/>
      <c r="J186" s="153"/>
      <c r="K186" s="153"/>
      <c r="L186" s="153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spans="1:27" ht="17.399999999999999">
      <c r="A187" s="156"/>
      <c r="B187" s="152"/>
      <c r="C187" s="152"/>
      <c r="D187" s="152"/>
      <c r="E187" s="152"/>
      <c r="F187" s="152"/>
      <c r="G187" s="152"/>
      <c r="H187" s="153"/>
      <c r="I187" s="153"/>
      <c r="J187" s="153"/>
      <c r="K187" s="153"/>
      <c r="L187" s="153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spans="1:27" ht="17.399999999999999">
      <c r="A188" s="156"/>
      <c r="B188" s="152"/>
      <c r="C188" s="152"/>
      <c r="D188" s="152"/>
      <c r="E188" s="152"/>
      <c r="F188" s="152"/>
      <c r="G188" s="152"/>
      <c r="H188" s="153"/>
      <c r="I188" s="153"/>
      <c r="J188" s="153"/>
      <c r="K188" s="153"/>
      <c r="L188" s="153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 spans="1:27" ht="17.399999999999999">
      <c r="A189" s="156"/>
      <c r="B189" s="152"/>
      <c r="C189" s="152"/>
      <c r="D189" s="152"/>
      <c r="E189" s="152"/>
      <c r="F189" s="152"/>
      <c r="G189" s="152"/>
      <c r="H189" s="153"/>
      <c r="I189" s="153"/>
      <c r="J189" s="153"/>
      <c r="K189" s="153"/>
      <c r="L189" s="153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 spans="1:27" ht="17.399999999999999">
      <c r="A190" s="156"/>
      <c r="B190" s="152"/>
      <c r="C190" s="152"/>
      <c r="D190" s="152"/>
      <c r="E190" s="152"/>
      <c r="F190" s="152"/>
      <c r="G190" s="152"/>
      <c r="H190" s="153"/>
      <c r="I190" s="153"/>
      <c r="J190" s="153"/>
      <c r="K190" s="153"/>
      <c r="L190" s="153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 spans="1:27" ht="17.399999999999999">
      <c r="A191" s="156"/>
      <c r="B191" s="152"/>
      <c r="C191" s="152"/>
      <c r="D191" s="152"/>
      <c r="E191" s="152"/>
      <c r="F191" s="152"/>
      <c r="G191" s="152"/>
      <c r="H191" s="153"/>
      <c r="I191" s="153"/>
      <c r="J191" s="153"/>
      <c r="K191" s="153"/>
      <c r="L191" s="153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 spans="1:27" ht="17.399999999999999">
      <c r="A192" s="156"/>
      <c r="B192" s="152"/>
      <c r="C192" s="152"/>
      <c r="D192" s="152"/>
      <c r="E192" s="152"/>
      <c r="F192" s="152"/>
      <c r="G192" s="152"/>
      <c r="H192" s="153"/>
      <c r="I192" s="153"/>
      <c r="J192" s="153"/>
      <c r="K192" s="153"/>
      <c r="L192" s="153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 spans="1:27" ht="17.399999999999999">
      <c r="A193" s="156"/>
      <c r="B193" s="152"/>
      <c r="C193" s="152"/>
      <c r="D193" s="152"/>
      <c r="E193" s="152"/>
      <c r="F193" s="152"/>
      <c r="G193" s="152"/>
      <c r="H193" s="153"/>
      <c r="I193" s="153"/>
      <c r="J193" s="153"/>
      <c r="K193" s="153"/>
      <c r="L193" s="153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 spans="1:27" ht="17.399999999999999">
      <c r="A194" s="156"/>
      <c r="B194" s="152"/>
      <c r="C194" s="152"/>
      <c r="D194" s="152"/>
      <c r="E194" s="152"/>
      <c r="F194" s="152"/>
      <c r="G194" s="152"/>
      <c r="H194" s="153"/>
      <c r="I194" s="153"/>
      <c r="J194" s="153"/>
      <c r="K194" s="153"/>
      <c r="L194" s="153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 spans="1:27" ht="17.399999999999999">
      <c r="A195" s="156"/>
      <c r="B195" s="152"/>
      <c r="C195" s="152"/>
      <c r="D195" s="152"/>
      <c r="E195" s="152"/>
      <c r="F195" s="152"/>
      <c r="G195" s="152"/>
      <c r="H195" s="153"/>
      <c r="I195" s="153"/>
      <c r="J195" s="153"/>
      <c r="K195" s="153"/>
      <c r="L195" s="153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 spans="1:27" ht="17.399999999999999">
      <c r="A196" s="156"/>
      <c r="B196" s="152"/>
      <c r="C196" s="152"/>
      <c r="D196" s="152"/>
      <c r="E196" s="152"/>
      <c r="F196" s="152"/>
      <c r="G196" s="152"/>
      <c r="H196" s="153"/>
      <c r="I196" s="153"/>
      <c r="J196" s="153"/>
      <c r="K196" s="153"/>
      <c r="L196" s="153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 spans="1:27" ht="17.399999999999999">
      <c r="A197" s="156"/>
      <c r="B197" s="152"/>
      <c r="C197" s="152"/>
      <c r="D197" s="152"/>
      <c r="E197" s="152"/>
      <c r="F197" s="152"/>
      <c r="G197" s="152"/>
      <c r="H197" s="153"/>
      <c r="I197" s="153"/>
      <c r="J197" s="153"/>
      <c r="K197" s="153"/>
      <c r="L197" s="153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 spans="1:27" ht="17.399999999999999">
      <c r="A198" s="156"/>
      <c r="B198" s="152"/>
      <c r="C198" s="152"/>
      <c r="D198" s="152"/>
      <c r="E198" s="152"/>
      <c r="F198" s="152"/>
      <c r="G198" s="152"/>
      <c r="H198" s="153"/>
      <c r="I198" s="153"/>
      <c r="J198" s="153"/>
      <c r="K198" s="153"/>
      <c r="L198" s="153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 spans="1:27" ht="17.399999999999999">
      <c r="A199" s="156"/>
      <c r="B199" s="152"/>
      <c r="C199" s="152"/>
      <c r="D199" s="152"/>
      <c r="E199" s="152"/>
      <c r="F199" s="152"/>
      <c r="G199" s="152"/>
      <c r="H199" s="153"/>
      <c r="I199" s="153"/>
      <c r="J199" s="153"/>
      <c r="K199" s="153"/>
      <c r="L199" s="153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spans="1:27" ht="17.399999999999999">
      <c r="A200" s="156"/>
      <c r="B200" s="152"/>
      <c r="C200" s="152"/>
      <c r="D200" s="152"/>
      <c r="E200" s="152"/>
      <c r="F200" s="152"/>
      <c r="G200" s="152"/>
      <c r="H200" s="153"/>
      <c r="I200" s="153"/>
      <c r="J200" s="153"/>
      <c r="K200" s="153"/>
      <c r="L200" s="153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 spans="1:27" ht="17.399999999999999">
      <c r="A201" s="156"/>
      <c r="B201" s="152"/>
      <c r="C201" s="152"/>
      <c r="D201" s="152"/>
      <c r="E201" s="152"/>
      <c r="F201" s="152"/>
      <c r="G201" s="152"/>
      <c r="H201" s="153"/>
      <c r="I201" s="153"/>
      <c r="J201" s="153"/>
      <c r="K201" s="153"/>
      <c r="L201" s="153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 spans="1:27" ht="17.399999999999999">
      <c r="A202" s="156"/>
      <c r="B202" s="152"/>
      <c r="C202" s="152"/>
      <c r="D202" s="152"/>
      <c r="E202" s="152"/>
      <c r="F202" s="152"/>
      <c r="G202" s="152"/>
      <c r="H202" s="153"/>
      <c r="I202" s="153"/>
      <c r="J202" s="153"/>
      <c r="K202" s="153"/>
      <c r="L202" s="153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 spans="1:27" ht="17.399999999999999">
      <c r="A203" s="156"/>
      <c r="B203" s="152"/>
      <c r="C203" s="152"/>
      <c r="D203" s="152"/>
      <c r="E203" s="152"/>
      <c r="F203" s="152"/>
      <c r="G203" s="152"/>
      <c r="H203" s="153"/>
      <c r="I203" s="153"/>
      <c r="J203" s="153"/>
      <c r="K203" s="153"/>
      <c r="L203" s="153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 spans="1:27" ht="17.399999999999999">
      <c r="A204" s="156"/>
      <c r="B204" s="152"/>
      <c r="C204" s="152"/>
      <c r="D204" s="152"/>
      <c r="E204" s="152"/>
      <c r="F204" s="152"/>
      <c r="G204" s="152"/>
      <c r="H204" s="153"/>
      <c r="I204" s="153"/>
      <c r="J204" s="153"/>
      <c r="K204" s="153"/>
      <c r="L204" s="153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 spans="1:27" ht="17.399999999999999">
      <c r="A205" s="156"/>
      <c r="B205" s="152"/>
      <c r="C205" s="152"/>
      <c r="D205" s="152"/>
      <c r="E205" s="152"/>
      <c r="F205" s="152"/>
      <c r="G205" s="152"/>
      <c r="H205" s="153"/>
      <c r="I205" s="153"/>
      <c r="J205" s="153"/>
      <c r="K205" s="153"/>
      <c r="L205" s="153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 spans="1:27" ht="17.399999999999999">
      <c r="A206" s="156"/>
      <c r="B206" s="152"/>
      <c r="C206" s="152"/>
      <c r="D206" s="152"/>
      <c r="E206" s="152"/>
      <c r="F206" s="152"/>
      <c r="G206" s="152"/>
      <c r="H206" s="153"/>
      <c r="I206" s="153"/>
      <c r="J206" s="153"/>
      <c r="K206" s="153"/>
      <c r="L206" s="153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 spans="1:27" ht="17.399999999999999">
      <c r="A207" s="156"/>
      <c r="B207" s="152"/>
      <c r="C207" s="152"/>
      <c r="D207" s="152"/>
      <c r="E207" s="152"/>
      <c r="F207" s="152"/>
      <c r="G207" s="152"/>
      <c r="H207" s="153"/>
      <c r="I207" s="153"/>
      <c r="J207" s="153"/>
      <c r="K207" s="153"/>
      <c r="L207" s="153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 spans="1:27" ht="17.399999999999999">
      <c r="A208" s="156"/>
      <c r="B208" s="152"/>
      <c r="C208" s="152"/>
      <c r="D208" s="152"/>
      <c r="E208" s="152"/>
      <c r="F208" s="152"/>
      <c r="G208" s="152"/>
      <c r="H208" s="153"/>
      <c r="I208" s="153"/>
      <c r="J208" s="153"/>
      <c r="K208" s="153"/>
      <c r="L208" s="153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 spans="1:27" ht="17.399999999999999">
      <c r="A209" s="156"/>
      <c r="B209" s="152"/>
      <c r="C209" s="152"/>
      <c r="D209" s="152"/>
      <c r="E209" s="152"/>
      <c r="F209" s="152"/>
      <c r="G209" s="152"/>
      <c r="H209" s="153"/>
      <c r="I209" s="153"/>
      <c r="J209" s="153"/>
      <c r="K209" s="153"/>
      <c r="L209" s="153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 spans="1:27" ht="17.399999999999999">
      <c r="A210" s="156"/>
      <c r="B210" s="152"/>
      <c r="C210" s="152"/>
      <c r="D210" s="152"/>
      <c r="E210" s="152"/>
      <c r="F210" s="152"/>
      <c r="G210" s="152"/>
      <c r="H210" s="153"/>
      <c r="I210" s="153"/>
      <c r="J210" s="153"/>
      <c r="K210" s="153"/>
      <c r="L210" s="153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</row>
    <row r="211" spans="1:27" ht="17.399999999999999">
      <c r="A211" s="156"/>
      <c r="B211" s="152"/>
      <c r="C211" s="152"/>
      <c r="D211" s="152"/>
      <c r="E211" s="152"/>
      <c r="F211" s="152"/>
      <c r="G211" s="152"/>
      <c r="H211" s="153"/>
      <c r="I211" s="153"/>
      <c r="J211" s="153"/>
      <c r="K211" s="153"/>
      <c r="L211" s="153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</row>
    <row r="212" spans="1:27" ht="17.399999999999999">
      <c r="A212" s="156"/>
      <c r="B212" s="152"/>
      <c r="C212" s="152"/>
      <c r="D212" s="152"/>
      <c r="E212" s="152"/>
      <c r="F212" s="152"/>
      <c r="G212" s="152"/>
      <c r="H212" s="153"/>
      <c r="I212" s="153"/>
      <c r="J212" s="153"/>
      <c r="K212" s="153"/>
      <c r="L212" s="153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spans="1:27" ht="17.399999999999999">
      <c r="A213" s="156"/>
      <c r="B213" s="152"/>
      <c r="C213" s="152"/>
      <c r="D213" s="152"/>
      <c r="E213" s="152"/>
      <c r="F213" s="152"/>
      <c r="G213" s="152"/>
      <c r="H213" s="153"/>
      <c r="I213" s="153"/>
      <c r="J213" s="153"/>
      <c r="K213" s="153"/>
      <c r="L213" s="153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</row>
    <row r="214" spans="1:27" ht="17.399999999999999">
      <c r="A214" s="156"/>
      <c r="B214" s="152"/>
      <c r="C214" s="152"/>
      <c r="D214" s="152"/>
      <c r="E214" s="152"/>
      <c r="F214" s="152"/>
      <c r="G214" s="152"/>
      <c r="H214" s="153"/>
      <c r="I214" s="153"/>
      <c r="J214" s="153"/>
      <c r="K214" s="153"/>
      <c r="L214" s="153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</row>
    <row r="215" spans="1:27" ht="17.399999999999999">
      <c r="A215" s="156"/>
      <c r="B215" s="152"/>
      <c r="C215" s="152"/>
      <c r="D215" s="152"/>
      <c r="E215" s="152"/>
      <c r="F215" s="152"/>
      <c r="G215" s="152"/>
      <c r="H215" s="153"/>
      <c r="I215" s="153"/>
      <c r="J215" s="153"/>
      <c r="K215" s="153"/>
      <c r="L215" s="153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</row>
    <row r="216" spans="1:27" ht="17.399999999999999">
      <c r="A216" s="156"/>
      <c r="B216" s="152"/>
      <c r="C216" s="152"/>
      <c r="D216" s="152"/>
      <c r="E216" s="152"/>
      <c r="F216" s="152"/>
      <c r="G216" s="152"/>
      <c r="H216" s="153"/>
      <c r="I216" s="153"/>
      <c r="J216" s="153"/>
      <c r="K216" s="153"/>
      <c r="L216" s="153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</row>
    <row r="217" spans="1:27" ht="17.399999999999999">
      <c r="A217" s="156"/>
      <c r="B217" s="152"/>
      <c r="C217" s="152"/>
      <c r="D217" s="152"/>
      <c r="E217" s="152"/>
      <c r="F217" s="152"/>
      <c r="G217" s="152"/>
      <c r="H217" s="153"/>
      <c r="I217" s="153"/>
      <c r="J217" s="153"/>
      <c r="K217" s="153"/>
      <c r="L217" s="153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</row>
    <row r="218" spans="1:27" ht="17.399999999999999">
      <c r="A218" s="156"/>
      <c r="B218" s="152"/>
      <c r="C218" s="152"/>
      <c r="D218" s="152"/>
      <c r="E218" s="152"/>
      <c r="F218" s="152"/>
      <c r="G218" s="152"/>
      <c r="H218" s="153"/>
      <c r="I218" s="153"/>
      <c r="J218" s="153"/>
      <c r="K218" s="153"/>
      <c r="L218" s="153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</row>
    <row r="219" spans="1:27" ht="17.399999999999999">
      <c r="A219" s="156"/>
      <c r="B219" s="152"/>
      <c r="C219" s="152"/>
      <c r="D219" s="152"/>
      <c r="E219" s="152"/>
      <c r="F219" s="152"/>
      <c r="G219" s="152"/>
      <c r="H219" s="153"/>
      <c r="I219" s="153"/>
      <c r="J219" s="153"/>
      <c r="K219" s="153"/>
      <c r="L219" s="153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</row>
    <row r="220" spans="1:27" ht="17.399999999999999">
      <c r="A220" s="156"/>
      <c r="B220" s="152"/>
      <c r="C220" s="152"/>
      <c r="D220" s="152"/>
      <c r="E220" s="152"/>
      <c r="F220" s="152"/>
      <c r="G220" s="152"/>
      <c r="H220" s="153"/>
      <c r="I220" s="153"/>
      <c r="J220" s="153"/>
      <c r="K220" s="153"/>
      <c r="L220" s="153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</row>
    <row r="221" spans="1:27" ht="17.399999999999999">
      <c r="A221" s="156"/>
      <c r="B221" s="152"/>
      <c r="C221" s="152"/>
      <c r="D221" s="152"/>
      <c r="E221" s="152"/>
      <c r="F221" s="152"/>
      <c r="G221" s="152"/>
      <c r="H221" s="153"/>
      <c r="I221" s="153"/>
      <c r="J221" s="153"/>
      <c r="K221" s="153"/>
      <c r="L221" s="153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</row>
    <row r="222" spans="1:27" ht="17.399999999999999">
      <c r="A222" s="156"/>
      <c r="B222" s="152"/>
      <c r="C222" s="152"/>
      <c r="D222" s="152"/>
      <c r="E222" s="152"/>
      <c r="F222" s="152"/>
      <c r="G222" s="152"/>
      <c r="H222" s="153"/>
      <c r="I222" s="153"/>
      <c r="J222" s="153"/>
      <c r="K222" s="153"/>
      <c r="L222" s="153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</row>
    <row r="223" spans="1:27" ht="17.399999999999999">
      <c r="A223" s="156"/>
      <c r="B223" s="152"/>
      <c r="C223" s="152"/>
      <c r="D223" s="152"/>
      <c r="E223" s="152"/>
      <c r="F223" s="152"/>
      <c r="G223" s="152"/>
      <c r="H223" s="153"/>
      <c r="I223" s="153"/>
      <c r="J223" s="153"/>
      <c r="K223" s="153"/>
      <c r="L223" s="153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</row>
    <row r="224" spans="1:27" ht="17.399999999999999">
      <c r="A224" s="156"/>
      <c r="B224" s="152"/>
      <c r="C224" s="152"/>
      <c r="D224" s="152"/>
      <c r="E224" s="152"/>
      <c r="F224" s="152"/>
      <c r="G224" s="152"/>
      <c r="H224" s="153"/>
      <c r="I224" s="153"/>
      <c r="J224" s="153"/>
      <c r="K224" s="153"/>
      <c r="L224" s="153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</row>
    <row r="225" spans="1:27" ht="17.399999999999999">
      <c r="A225" s="156"/>
      <c r="B225" s="152"/>
      <c r="C225" s="152"/>
      <c r="D225" s="152"/>
      <c r="E225" s="152"/>
      <c r="F225" s="152"/>
      <c r="G225" s="152"/>
      <c r="H225" s="153"/>
      <c r="I225" s="153"/>
      <c r="J225" s="153"/>
      <c r="K225" s="153"/>
      <c r="L225" s="153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spans="1:27" ht="17.399999999999999">
      <c r="A226" s="156"/>
      <c r="B226" s="152"/>
      <c r="C226" s="152"/>
      <c r="D226" s="152"/>
      <c r="E226" s="152"/>
      <c r="F226" s="152"/>
      <c r="G226" s="152"/>
      <c r="H226" s="153"/>
      <c r="I226" s="153"/>
      <c r="J226" s="153"/>
      <c r="K226" s="153"/>
      <c r="L226" s="153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</row>
    <row r="227" spans="1:27" ht="17.399999999999999">
      <c r="A227" s="156"/>
      <c r="B227" s="152"/>
      <c r="C227" s="152"/>
      <c r="D227" s="152"/>
      <c r="E227" s="152"/>
      <c r="F227" s="152"/>
      <c r="G227" s="152"/>
      <c r="H227" s="153"/>
      <c r="I227" s="153"/>
      <c r="J227" s="153"/>
      <c r="K227" s="153"/>
      <c r="L227" s="153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</row>
    <row r="228" spans="1:27" ht="17.399999999999999">
      <c r="A228" s="156"/>
      <c r="B228" s="152"/>
      <c r="C228" s="152"/>
      <c r="D228" s="152"/>
      <c r="E228" s="152"/>
      <c r="F228" s="152"/>
      <c r="G228" s="152"/>
      <c r="H228" s="153"/>
      <c r="I228" s="153"/>
      <c r="J228" s="153"/>
      <c r="K228" s="153"/>
      <c r="L228" s="153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</row>
    <row r="229" spans="1:27" ht="17.399999999999999">
      <c r="A229" s="156"/>
      <c r="B229" s="152"/>
      <c r="C229" s="152"/>
      <c r="D229" s="152"/>
      <c r="E229" s="152"/>
      <c r="F229" s="152"/>
      <c r="G229" s="152"/>
      <c r="H229" s="153"/>
      <c r="I229" s="153"/>
      <c r="J229" s="153"/>
      <c r="K229" s="153"/>
      <c r="L229" s="153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</row>
    <row r="230" spans="1:27" ht="17.399999999999999">
      <c r="A230" s="156"/>
      <c r="B230" s="152"/>
      <c r="C230" s="152"/>
      <c r="D230" s="152"/>
      <c r="E230" s="152"/>
      <c r="F230" s="152"/>
      <c r="G230" s="152"/>
      <c r="H230" s="153"/>
      <c r="I230" s="153"/>
      <c r="J230" s="153"/>
      <c r="K230" s="153"/>
      <c r="L230" s="153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</row>
    <row r="231" spans="1:27" ht="17.399999999999999">
      <c r="A231" s="156"/>
      <c r="B231" s="152"/>
      <c r="C231" s="152"/>
      <c r="D231" s="152"/>
      <c r="E231" s="152"/>
      <c r="F231" s="152"/>
      <c r="G231" s="152"/>
      <c r="H231" s="153"/>
      <c r="I231" s="153"/>
      <c r="J231" s="153"/>
      <c r="K231" s="153"/>
      <c r="L231" s="153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</row>
    <row r="232" spans="1:27" ht="17.399999999999999">
      <c r="A232" s="156"/>
      <c r="B232" s="152"/>
      <c r="C232" s="152"/>
      <c r="D232" s="152"/>
      <c r="E232" s="152"/>
      <c r="F232" s="152"/>
      <c r="G232" s="152"/>
      <c r="H232" s="153"/>
      <c r="I232" s="153"/>
      <c r="J232" s="153"/>
      <c r="K232" s="153"/>
      <c r="L232" s="153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</row>
    <row r="233" spans="1:27" ht="17.399999999999999">
      <c r="A233" s="156"/>
      <c r="B233" s="152"/>
      <c r="C233" s="152"/>
      <c r="D233" s="152"/>
      <c r="E233" s="152"/>
      <c r="F233" s="152"/>
      <c r="G233" s="152"/>
      <c r="H233" s="153"/>
      <c r="I233" s="153"/>
      <c r="J233" s="153"/>
      <c r="K233" s="153"/>
      <c r="L233" s="153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</row>
    <row r="234" spans="1:27" ht="17.399999999999999">
      <c r="A234" s="156"/>
      <c r="B234" s="152"/>
      <c r="C234" s="152"/>
      <c r="D234" s="152"/>
      <c r="E234" s="152"/>
      <c r="F234" s="152"/>
      <c r="G234" s="152"/>
      <c r="H234" s="153"/>
      <c r="I234" s="153"/>
      <c r="J234" s="153"/>
      <c r="K234" s="153"/>
      <c r="L234" s="153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</row>
    <row r="235" spans="1:27" ht="17.399999999999999">
      <c r="A235" s="156"/>
      <c r="B235" s="152"/>
      <c r="C235" s="152"/>
      <c r="D235" s="152"/>
      <c r="E235" s="152"/>
      <c r="F235" s="152"/>
      <c r="G235" s="152"/>
      <c r="H235" s="153"/>
      <c r="I235" s="153"/>
      <c r="J235" s="153"/>
      <c r="K235" s="153"/>
      <c r="L235" s="153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</row>
    <row r="236" spans="1:27" ht="17.399999999999999">
      <c r="A236" s="156"/>
      <c r="B236" s="152"/>
      <c r="C236" s="152"/>
      <c r="D236" s="152"/>
      <c r="E236" s="152"/>
      <c r="F236" s="152"/>
      <c r="G236" s="152"/>
      <c r="H236" s="153"/>
      <c r="I236" s="153"/>
      <c r="J236" s="153"/>
      <c r="K236" s="153"/>
      <c r="L236" s="153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</row>
    <row r="237" spans="1:27" ht="17.399999999999999">
      <c r="A237" s="156"/>
      <c r="B237" s="152"/>
      <c r="C237" s="152"/>
      <c r="D237" s="152"/>
      <c r="E237" s="152"/>
      <c r="F237" s="152"/>
      <c r="G237" s="152"/>
      <c r="H237" s="153"/>
      <c r="I237" s="153"/>
      <c r="J237" s="153"/>
      <c r="K237" s="153"/>
      <c r="L237" s="153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</row>
    <row r="238" spans="1:27" ht="17.399999999999999">
      <c r="A238" s="156"/>
      <c r="B238" s="152"/>
      <c r="C238" s="152"/>
      <c r="D238" s="152"/>
      <c r="E238" s="152"/>
      <c r="F238" s="152"/>
      <c r="G238" s="152"/>
      <c r="H238" s="153"/>
      <c r="I238" s="153"/>
      <c r="J238" s="153"/>
      <c r="K238" s="153"/>
      <c r="L238" s="153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spans="1:27" ht="17.399999999999999">
      <c r="A239" s="156"/>
      <c r="B239" s="152"/>
      <c r="C239" s="152"/>
      <c r="D239" s="152"/>
      <c r="E239" s="152"/>
      <c r="F239" s="152"/>
      <c r="G239" s="152"/>
      <c r="H239" s="153"/>
      <c r="I239" s="153"/>
      <c r="J239" s="153"/>
      <c r="K239" s="153"/>
      <c r="L239" s="153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</row>
    <row r="240" spans="1:27" ht="17.399999999999999">
      <c r="A240" s="156"/>
      <c r="B240" s="152"/>
      <c r="C240" s="152"/>
      <c r="D240" s="152"/>
      <c r="E240" s="152"/>
      <c r="F240" s="152"/>
      <c r="G240" s="152"/>
      <c r="H240" s="153"/>
      <c r="I240" s="153"/>
      <c r="J240" s="153"/>
      <c r="K240" s="153"/>
      <c r="L240" s="153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</row>
    <row r="241" spans="1:27" ht="17.399999999999999">
      <c r="A241" s="156"/>
      <c r="B241" s="152"/>
      <c r="C241" s="152"/>
      <c r="D241" s="152"/>
      <c r="E241" s="152"/>
      <c r="F241" s="152"/>
      <c r="G241" s="152"/>
      <c r="H241" s="153"/>
      <c r="I241" s="153"/>
      <c r="J241" s="153"/>
      <c r="K241" s="153"/>
      <c r="L241" s="153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</row>
    <row r="242" spans="1:27" ht="17.399999999999999">
      <c r="A242" s="156"/>
      <c r="B242" s="152"/>
      <c r="C242" s="152"/>
      <c r="D242" s="152"/>
      <c r="E242" s="152"/>
      <c r="F242" s="152"/>
      <c r="G242" s="152"/>
      <c r="H242" s="153"/>
      <c r="I242" s="153"/>
      <c r="J242" s="153"/>
      <c r="K242" s="153"/>
      <c r="L242" s="153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</row>
    <row r="243" spans="1:27" ht="17.399999999999999">
      <c r="A243" s="156"/>
      <c r="B243" s="152"/>
      <c r="C243" s="152"/>
      <c r="D243" s="152"/>
      <c r="E243" s="152"/>
      <c r="F243" s="152"/>
      <c r="G243" s="152"/>
      <c r="H243" s="153"/>
      <c r="I243" s="153"/>
      <c r="J243" s="153"/>
      <c r="K243" s="153"/>
      <c r="L243" s="153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</row>
    <row r="244" spans="1:27" ht="17.399999999999999">
      <c r="A244" s="156"/>
      <c r="B244" s="152"/>
      <c r="C244" s="152"/>
      <c r="D244" s="152"/>
      <c r="E244" s="152"/>
      <c r="F244" s="152"/>
      <c r="G244" s="152"/>
      <c r="H244" s="153"/>
      <c r="I244" s="153"/>
      <c r="J244" s="153"/>
      <c r="K244" s="153"/>
      <c r="L244" s="153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</row>
    <row r="245" spans="1:27" ht="17.399999999999999">
      <c r="A245" s="156"/>
      <c r="B245" s="152"/>
      <c r="C245" s="152"/>
      <c r="D245" s="152"/>
      <c r="E245" s="152"/>
      <c r="F245" s="152"/>
      <c r="G245" s="152"/>
      <c r="H245" s="153"/>
      <c r="I245" s="153"/>
      <c r="J245" s="153"/>
      <c r="K245" s="153"/>
      <c r="L245" s="153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</row>
    <row r="246" spans="1:27" ht="17.399999999999999">
      <c r="A246" s="156"/>
      <c r="B246" s="152"/>
      <c r="C246" s="152"/>
      <c r="D246" s="152"/>
      <c r="E246" s="152"/>
      <c r="F246" s="152"/>
      <c r="G246" s="152"/>
      <c r="H246" s="153"/>
      <c r="I246" s="153"/>
      <c r="J246" s="153"/>
      <c r="K246" s="153"/>
      <c r="L246" s="153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</row>
    <row r="247" spans="1:27" ht="17.399999999999999">
      <c r="A247" s="156"/>
      <c r="B247" s="152"/>
      <c r="C247" s="152"/>
      <c r="D247" s="152"/>
      <c r="E247" s="152"/>
      <c r="F247" s="152"/>
      <c r="G247" s="152"/>
      <c r="H247" s="153"/>
      <c r="I247" s="153"/>
      <c r="J247" s="153"/>
      <c r="K247" s="153"/>
      <c r="L247" s="153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</row>
    <row r="248" spans="1:27" ht="17.399999999999999">
      <c r="A248" s="156"/>
      <c r="B248" s="152"/>
      <c r="C248" s="152"/>
      <c r="D248" s="152"/>
      <c r="E248" s="152"/>
      <c r="F248" s="152"/>
      <c r="G248" s="152"/>
      <c r="H248" s="153"/>
      <c r="I248" s="153"/>
      <c r="J248" s="153"/>
      <c r="K248" s="153"/>
      <c r="L248" s="153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 spans="1:27" ht="17.399999999999999">
      <c r="A249" s="156"/>
      <c r="B249" s="152"/>
      <c r="C249" s="152"/>
      <c r="D249" s="152"/>
      <c r="E249" s="152"/>
      <c r="F249" s="152"/>
      <c r="G249" s="152"/>
      <c r="H249" s="153"/>
      <c r="I249" s="153"/>
      <c r="J249" s="153"/>
      <c r="K249" s="153"/>
      <c r="L249" s="153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 spans="1:27" ht="17.399999999999999">
      <c r="A250" s="156"/>
      <c r="B250" s="152"/>
      <c r="C250" s="152"/>
      <c r="D250" s="152"/>
      <c r="E250" s="152"/>
      <c r="F250" s="152"/>
      <c r="G250" s="152"/>
      <c r="H250" s="153"/>
      <c r="I250" s="153"/>
      <c r="J250" s="153"/>
      <c r="K250" s="153"/>
      <c r="L250" s="153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</row>
    <row r="251" spans="1:27" ht="17.399999999999999">
      <c r="A251" s="156"/>
      <c r="B251" s="152"/>
      <c r="C251" s="152"/>
      <c r="D251" s="152"/>
      <c r="E251" s="152"/>
      <c r="F251" s="152"/>
      <c r="G251" s="152"/>
      <c r="H251" s="153"/>
      <c r="I251" s="153"/>
      <c r="J251" s="153"/>
      <c r="K251" s="153"/>
      <c r="L251" s="153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spans="1:27" ht="17.399999999999999">
      <c r="A252" s="156"/>
      <c r="B252" s="152"/>
      <c r="C252" s="152"/>
      <c r="D252" s="152"/>
      <c r="E252" s="152"/>
      <c r="F252" s="152"/>
      <c r="G252" s="152"/>
      <c r="H252" s="153"/>
      <c r="I252" s="153"/>
      <c r="J252" s="153"/>
      <c r="K252" s="153"/>
      <c r="L252" s="153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</row>
    <row r="253" spans="1:27" ht="17.399999999999999">
      <c r="A253" s="156"/>
      <c r="B253" s="152"/>
      <c r="C253" s="152"/>
      <c r="D253" s="152"/>
      <c r="E253" s="152"/>
      <c r="F253" s="152"/>
      <c r="G253" s="152"/>
      <c r="H253" s="153"/>
      <c r="I253" s="153"/>
      <c r="J253" s="153"/>
      <c r="K253" s="153"/>
      <c r="L253" s="153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</row>
    <row r="254" spans="1:27" ht="17.399999999999999">
      <c r="A254" s="156"/>
      <c r="B254" s="152"/>
      <c r="C254" s="152"/>
      <c r="D254" s="152"/>
      <c r="E254" s="152"/>
      <c r="F254" s="152"/>
      <c r="G254" s="152"/>
      <c r="H254" s="153"/>
      <c r="I254" s="153"/>
      <c r="J254" s="153"/>
      <c r="K254" s="153"/>
      <c r="L254" s="153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</row>
    <row r="255" spans="1:27" ht="17.399999999999999">
      <c r="A255" s="156"/>
      <c r="B255" s="152"/>
      <c r="C255" s="152"/>
      <c r="D255" s="152"/>
      <c r="E255" s="152"/>
      <c r="F255" s="152"/>
      <c r="G255" s="152"/>
      <c r="H255" s="153"/>
      <c r="I255" s="153"/>
      <c r="J255" s="153"/>
      <c r="K255" s="153"/>
      <c r="L255" s="153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</row>
    <row r="256" spans="1:27" ht="17.399999999999999">
      <c r="A256" s="156"/>
      <c r="B256" s="152"/>
      <c r="C256" s="152"/>
      <c r="D256" s="152"/>
      <c r="E256" s="152"/>
      <c r="F256" s="152"/>
      <c r="G256" s="152"/>
      <c r="H256" s="153"/>
      <c r="I256" s="153"/>
      <c r="J256" s="153"/>
      <c r="K256" s="153"/>
      <c r="L256" s="153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</row>
    <row r="257" spans="1:27" ht="17.399999999999999">
      <c r="A257" s="156"/>
      <c r="B257" s="152"/>
      <c r="C257" s="152"/>
      <c r="D257" s="152"/>
      <c r="E257" s="152"/>
      <c r="F257" s="152"/>
      <c r="G257" s="152"/>
      <c r="H257" s="153"/>
      <c r="I257" s="153"/>
      <c r="J257" s="153"/>
      <c r="K257" s="153"/>
      <c r="L257" s="153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</row>
    <row r="258" spans="1:27" ht="17.399999999999999">
      <c r="A258" s="156"/>
      <c r="B258" s="152"/>
      <c r="C258" s="152"/>
      <c r="D258" s="152"/>
      <c r="E258" s="152"/>
      <c r="F258" s="152"/>
      <c r="G258" s="152"/>
      <c r="H258" s="153"/>
      <c r="I258" s="153"/>
      <c r="J258" s="153"/>
      <c r="K258" s="153"/>
      <c r="L258" s="153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</row>
    <row r="259" spans="1:27" ht="17.399999999999999">
      <c r="A259" s="156"/>
      <c r="B259" s="152"/>
      <c r="C259" s="152"/>
      <c r="D259" s="152"/>
      <c r="E259" s="152"/>
      <c r="F259" s="152"/>
      <c r="G259" s="152"/>
      <c r="H259" s="153"/>
      <c r="I259" s="153"/>
      <c r="J259" s="153"/>
      <c r="K259" s="153"/>
      <c r="L259" s="153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</row>
    <row r="260" spans="1:27" ht="17.399999999999999">
      <c r="A260" s="156"/>
      <c r="B260" s="152"/>
      <c r="C260" s="152"/>
      <c r="D260" s="152"/>
      <c r="E260" s="152"/>
      <c r="F260" s="152"/>
      <c r="G260" s="152"/>
      <c r="H260" s="153"/>
      <c r="I260" s="153"/>
      <c r="J260" s="153"/>
      <c r="K260" s="153"/>
      <c r="L260" s="153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</row>
    <row r="261" spans="1:27" ht="17.399999999999999">
      <c r="A261" s="156"/>
      <c r="B261" s="152"/>
      <c r="C261" s="152"/>
      <c r="D261" s="152"/>
      <c r="E261" s="152"/>
      <c r="F261" s="152"/>
      <c r="G261" s="152"/>
      <c r="H261" s="153"/>
      <c r="I261" s="153"/>
      <c r="J261" s="153"/>
      <c r="K261" s="153"/>
      <c r="L261" s="153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</row>
    <row r="262" spans="1:27" ht="17.399999999999999">
      <c r="A262" s="156"/>
      <c r="B262" s="152"/>
      <c r="C262" s="152"/>
      <c r="D262" s="152"/>
      <c r="E262" s="152"/>
      <c r="F262" s="152"/>
      <c r="G262" s="152"/>
      <c r="H262" s="153"/>
      <c r="I262" s="153"/>
      <c r="J262" s="153"/>
      <c r="K262" s="153"/>
      <c r="L262" s="153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</row>
    <row r="263" spans="1:27" ht="17.399999999999999">
      <c r="A263" s="156"/>
      <c r="B263" s="152"/>
      <c r="C263" s="152"/>
      <c r="D263" s="152"/>
      <c r="E263" s="152"/>
      <c r="F263" s="152"/>
      <c r="G263" s="152"/>
      <c r="H263" s="153"/>
      <c r="I263" s="153"/>
      <c r="J263" s="153"/>
      <c r="K263" s="153"/>
      <c r="L263" s="153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</row>
    <row r="264" spans="1:27" ht="17.399999999999999">
      <c r="A264" s="156"/>
      <c r="B264" s="152"/>
      <c r="C264" s="152"/>
      <c r="D264" s="152"/>
      <c r="E264" s="152"/>
      <c r="F264" s="152"/>
      <c r="G264" s="152"/>
      <c r="H264" s="153"/>
      <c r="I264" s="153"/>
      <c r="J264" s="153"/>
      <c r="K264" s="153"/>
      <c r="L264" s="153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</row>
    <row r="265" spans="1:27" ht="17.399999999999999">
      <c r="A265" s="156"/>
      <c r="B265" s="152"/>
      <c r="C265" s="152"/>
      <c r="D265" s="152"/>
      <c r="E265" s="152"/>
      <c r="F265" s="152"/>
      <c r="G265" s="152"/>
      <c r="H265" s="153"/>
      <c r="I265" s="153"/>
      <c r="J265" s="153"/>
      <c r="K265" s="153"/>
      <c r="L265" s="153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</row>
    <row r="266" spans="1:27" ht="17.399999999999999">
      <c r="A266" s="156"/>
      <c r="B266" s="152"/>
      <c r="C266" s="152"/>
      <c r="D266" s="152"/>
      <c r="E266" s="152"/>
      <c r="F266" s="152"/>
      <c r="G266" s="152"/>
      <c r="H266" s="153"/>
      <c r="I266" s="153"/>
      <c r="J266" s="153"/>
      <c r="K266" s="153"/>
      <c r="L266" s="153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</row>
    <row r="267" spans="1:27" ht="17.399999999999999">
      <c r="A267" s="156"/>
      <c r="B267" s="152"/>
      <c r="C267" s="152"/>
      <c r="D267" s="152"/>
      <c r="E267" s="152"/>
      <c r="F267" s="152"/>
      <c r="G267" s="152"/>
      <c r="H267" s="153"/>
      <c r="I267" s="153"/>
      <c r="J267" s="153"/>
      <c r="K267" s="153"/>
      <c r="L267" s="153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</row>
    <row r="268" spans="1:27" ht="17.399999999999999">
      <c r="A268" s="156"/>
      <c r="B268" s="152"/>
      <c r="C268" s="152"/>
      <c r="D268" s="152"/>
      <c r="E268" s="152"/>
      <c r="F268" s="152"/>
      <c r="G268" s="152"/>
      <c r="H268" s="153"/>
      <c r="I268" s="153"/>
      <c r="J268" s="153"/>
      <c r="K268" s="153"/>
      <c r="L268" s="153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</row>
    <row r="269" spans="1:27" ht="17.399999999999999">
      <c r="A269" s="156"/>
      <c r="B269" s="152"/>
      <c r="C269" s="152"/>
      <c r="D269" s="152"/>
      <c r="E269" s="152"/>
      <c r="F269" s="152"/>
      <c r="G269" s="152"/>
      <c r="H269" s="153"/>
      <c r="I269" s="153"/>
      <c r="J269" s="153"/>
      <c r="K269" s="153"/>
      <c r="L269" s="153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</row>
    <row r="270" spans="1:27" ht="17.399999999999999">
      <c r="A270" s="156"/>
      <c r="B270" s="152"/>
      <c r="C270" s="152"/>
      <c r="D270" s="152"/>
      <c r="E270" s="152"/>
      <c r="F270" s="152"/>
      <c r="G270" s="152"/>
      <c r="H270" s="153"/>
      <c r="I270" s="153"/>
      <c r="J270" s="153"/>
      <c r="K270" s="153"/>
      <c r="L270" s="153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</row>
    <row r="271" spans="1:27" ht="17.399999999999999">
      <c r="A271" s="156"/>
      <c r="B271" s="152"/>
      <c r="C271" s="152"/>
      <c r="D271" s="152"/>
      <c r="E271" s="152"/>
      <c r="F271" s="152"/>
      <c r="G271" s="152"/>
      <c r="H271" s="153"/>
      <c r="I271" s="153"/>
      <c r="J271" s="153"/>
      <c r="K271" s="153"/>
      <c r="L271" s="153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</row>
    <row r="272" spans="1:27" ht="17.399999999999999">
      <c r="A272" s="156"/>
      <c r="B272" s="152"/>
      <c r="C272" s="152"/>
      <c r="D272" s="152"/>
      <c r="E272" s="152"/>
      <c r="F272" s="152"/>
      <c r="G272" s="152"/>
      <c r="H272" s="153"/>
      <c r="I272" s="153"/>
      <c r="J272" s="153"/>
      <c r="K272" s="153"/>
      <c r="L272" s="153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</row>
    <row r="273" spans="1:27" ht="17.399999999999999">
      <c r="A273" s="156"/>
      <c r="B273" s="152"/>
      <c r="C273" s="152"/>
      <c r="D273" s="152"/>
      <c r="E273" s="152"/>
      <c r="F273" s="152"/>
      <c r="G273" s="152"/>
      <c r="H273" s="153"/>
      <c r="I273" s="153"/>
      <c r="J273" s="153"/>
      <c r="K273" s="153"/>
      <c r="L273" s="153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</row>
    <row r="274" spans="1:27" ht="17.399999999999999">
      <c r="A274" s="156"/>
      <c r="B274" s="152"/>
      <c r="C274" s="152"/>
      <c r="D274" s="152"/>
      <c r="E274" s="152"/>
      <c r="F274" s="152"/>
      <c r="G274" s="152"/>
      <c r="H274" s="153"/>
      <c r="I274" s="153"/>
      <c r="J274" s="153"/>
      <c r="K274" s="153"/>
      <c r="L274" s="153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</row>
    <row r="275" spans="1:27" ht="17.399999999999999">
      <c r="A275" s="156"/>
      <c r="B275" s="152"/>
      <c r="C275" s="152"/>
      <c r="D275" s="152"/>
      <c r="E275" s="152"/>
      <c r="F275" s="152"/>
      <c r="G275" s="152"/>
      <c r="H275" s="153"/>
      <c r="I275" s="153"/>
      <c r="J275" s="153"/>
      <c r="K275" s="153"/>
      <c r="L275" s="153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</row>
    <row r="276" spans="1:27" ht="17.399999999999999">
      <c r="A276" s="156"/>
      <c r="B276" s="152"/>
      <c r="C276" s="152"/>
      <c r="D276" s="152"/>
      <c r="E276" s="152"/>
      <c r="F276" s="152"/>
      <c r="G276" s="152"/>
      <c r="H276" s="153"/>
      <c r="I276" s="153"/>
      <c r="J276" s="153"/>
      <c r="K276" s="153"/>
      <c r="L276" s="153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</row>
    <row r="277" spans="1:27" ht="17.399999999999999">
      <c r="A277" s="156"/>
      <c r="B277" s="152"/>
      <c r="C277" s="152"/>
      <c r="D277" s="152"/>
      <c r="E277" s="152"/>
      <c r="F277" s="152"/>
      <c r="G277" s="152"/>
      <c r="H277" s="153"/>
      <c r="I277" s="153"/>
      <c r="J277" s="153"/>
      <c r="K277" s="153"/>
      <c r="L277" s="153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</row>
    <row r="278" spans="1:27" ht="17.399999999999999">
      <c r="A278" s="156"/>
      <c r="B278" s="152"/>
      <c r="C278" s="152"/>
      <c r="D278" s="152"/>
      <c r="E278" s="152"/>
      <c r="F278" s="152"/>
      <c r="G278" s="152"/>
      <c r="H278" s="153"/>
      <c r="I278" s="153"/>
      <c r="J278" s="153"/>
      <c r="K278" s="153"/>
      <c r="L278" s="153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</row>
    <row r="279" spans="1:27" ht="17.399999999999999">
      <c r="A279" s="156"/>
      <c r="B279" s="152"/>
      <c r="C279" s="152"/>
      <c r="D279" s="152"/>
      <c r="E279" s="152"/>
      <c r="F279" s="152"/>
      <c r="G279" s="152"/>
      <c r="H279" s="153"/>
      <c r="I279" s="153"/>
      <c r="J279" s="153"/>
      <c r="K279" s="153"/>
      <c r="L279" s="153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</row>
    <row r="280" spans="1:27" ht="17.399999999999999">
      <c r="A280" s="156"/>
      <c r="B280" s="152"/>
      <c r="C280" s="152"/>
      <c r="D280" s="152"/>
      <c r="E280" s="152"/>
      <c r="F280" s="152"/>
      <c r="G280" s="152"/>
      <c r="H280" s="153"/>
      <c r="I280" s="153"/>
      <c r="J280" s="153"/>
      <c r="K280" s="153"/>
      <c r="L280" s="153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</row>
    <row r="281" spans="1:27" ht="17.399999999999999">
      <c r="A281" s="156"/>
      <c r="B281" s="152"/>
      <c r="C281" s="152"/>
      <c r="D281" s="152"/>
      <c r="E281" s="152"/>
      <c r="F281" s="152"/>
      <c r="G281" s="152"/>
      <c r="H281" s="153"/>
      <c r="I281" s="153"/>
      <c r="J281" s="153"/>
      <c r="K281" s="153"/>
      <c r="L281" s="153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</row>
    <row r="282" spans="1:27" ht="17.399999999999999">
      <c r="A282" s="156"/>
      <c r="B282" s="152"/>
      <c r="C282" s="152"/>
      <c r="D282" s="152"/>
      <c r="E282" s="152"/>
      <c r="F282" s="152"/>
      <c r="G282" s="152"/>
      <c r="H282" s="153"/>
      <c r="I282" s="153"/>
      <c r="J282" s="153"/>
      <c r="K282" s="153"/>
      <c r="L282" s="153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</row>
    <row r="283" spans="1:27" ht="17.399999999999999">
      <c r="A283" s="156"/>
      <c r="B283" s="152"/>
      <c r="C283" s="152"/>
      <c r="D283" s="152"/>
      <c r="E283" s="152"/>
      <c r="F283" s="152"/>
      <c r="G283" s="152"/>
      <c r="H283" s="153"/>
      <c r="I283" s="153"/>
      <c r="J283" s="153"/>
      <c r="K283" s="153"/>
      <c r="L283" s="153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</row>
    <row r="284" spans="1:27" ht="17.399999999999999">
      <c r="A284" s="156"/>
      <c r="B284" s="152"/>
      <c r="C284" s="152"/>
      <c r="D284" s="152"/>
      <c r="E284" s="152"/>
      <c r="F284" s="152"/>
      <c r="G284" s="152"/>
      <c r="H284" s="153"/>
      <c r="I284" s="153"/>
      <c r="J284" s="153"/>
      <c r="K284" s="153"/>
      <c r="L284" s="153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</row>
    <row r="285" spans="1:27" ht="17.399999999999999">
      <c r="A285" s="156"/>
      <c r="B285" s="152"/>
      <c r="C285" s="152"/>
      <c r="D285" s="152"/>
      <c r="E285" s="152"/>
      <c r="F285" s="152"/>
      <c r="G285" s="152"/>
      <c r="H285" s="153"/>
      <c r="I285" s="153"/>
      <c r="J285" s="153"/>
      <c r="K285" s="153"/>
      <c r="L285" s="153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</row>
    <row r="286" spans="1:27" ht="17.399999999999999">
      <c r="A286" s="156"/>
      <c r="B286" s="152"/>
      <c r="C286" s="152"/>
      <c r="D286" s="152"/>
      <c r="E286" s="152"/>
      <c r="F286" s="152"/>
      <c r="G286" s="152"/>
      <c r="H286" s="153"/>
      <c r="I286" s="153"/>
      <c r="J286" s="153"/>
      <c r="K286" s="153"/>
      <c r="L286" s="153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</row>
    <row r="287" spans="1:27" ht="17.399999999999999">
      <c r="A287" s="156"/>
      <c r="B287" s="152"/>
      <c r="C287" s="152"/>
      <c r="D287" s="152"/>
      <c r="E287" s="152"/>
      <c r="F287" s="152"/>
      <c r="G287" s="152"/>
      <c r="H287" s="153"/>
      <c r="I287" s="153"/>
      <c r="J287" s="153"/>
      <c r="K287" s="153"/>
      <c r="L287" s="153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</row>
    <row r="288" spans="1:27" ht="17.399999999999999">
      <c r="A288" s="156"/>
      <c r="B288" s="152"/>
      <c r="C288" s="152"/>
      <c r="D288" s="152"/>
      <c r="E288" s="152"/>
      <c r="F288" s="152"/>
      <c r="G288" s="152"/>
      <c r="H288" s="153"/>
      <c r="I288" s="153"/>
      <c r="J288" s="153"/>
      <c r="K288" s="153"/>
      <c r="L288" s="153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</row>
    <row r="289" spans="1:27" ht="17.399999999999999">
      <c r="A289" s="156"/>
      <c r="B289" s="152"/>
      <c r="C289" s="152"/>
      <c r="D289" s="152"/>
      <c r="E289" s="152"/>
      <c r="F289" s="152"/>
      <c r="G289" s="152"/>
      <c r="H289" s="153"/>
      <c r="I289" s="153"/>
      <c r="J289" s="153"/>
      <c r="K289" s="153"/>
      <c r="L289" s="153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</row>
    <row r="290" spans="1:27" ht="17.399999999999999">
      <c r="A290" s="156"/>
      <c r="B290" s="152"/>
      <c r="C290" s="152"/>
      <c r="D290" s="152"/>
      <c r="E290" s="152"/>
      <c r="F290" s="152"/>
      <c r="G290" s="152"/>
      <c r="H290" s="153"/>
      <c r="I290" s="153"/>
      <c r="J290" s="153"/>
      <c r="K290" s="153"/>
      <c r="L290" s="153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</row>
    <row r="291" spans="1:27" ht="17.399999999999999">
      <c r="A291" s="156"/>
      <c r="B291" s="152"/>
      <c r="C291" s="152"/>
      <c r="D291" s="152"/>
      <c r="E291" s="152"/>
      <c r="F291" s="152"/>
      <c r="G291" s="152"/>
      <c r="H291" s="153"/>
      <c r="I291" s="153"/>
      <c r="J291" s="153"/>
      <c r="K291" s="153"/>
      <c r="L291" s="153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</row>
    <row r="292" spans="1:27" ht="17.399999999999999">
      <c r="A292" s="156"/>
      <c r="B292" s="152"/>
      <c r="C292" s="152"/>
      <c r="D292" s="152"/>
      <c r="E292" s="152"/>
      <c r="F292" s="152"/>
      <c r="G292" s="152"/>
      <c r="H292" s="153"/>
      <c r="I292" s="153"/>
      <c r="J292" s="153"/>
      <c r="K292" s="153"/>
      <c r="L292" s="153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</row>
    <row r="293" spans="1:27" ht="17.399999999999999">
      <c r="A293" s="156"/>
      <c r="B293" s="152"/>
      <c r="C293" s="152"/>
      <c r="D293" s="152"/>
      <c r="E293" s="152"/>
      <c r="F293" s="152"/>
      <c r="G293" s="152"/>
      <c r="H293" s="153"/>
      <c r="I293" s="153"/>
      <c r="J293" s="153"/>
      <c r="K293" s="153"/>
      <c r="L293" s="153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</row>
    <row r="294" spans="1:27" ht="17.399999999999999">
      <c r="A294" s="156"/>
      <c r="B294" s="152"/>
      <c r="C294" s="152"/>
      <c r="D294" s="152"/>
      <c r="E294" s="152"/>
      <c r="F294" s="152"/>
      <c r="G294" s="152"/>
      <c r="H294" s="153"/>
      <c r="I294" s="153"/>
      <c r="J294" s="153"/>
      <c r="K294" s="153"/>
      <c r="L294" s="153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</row>
    <row r="295" spans="1:27" ht="17.399999999999999">
      <c r="A295" s="156"/>
      <c r="B295" s="152"/>
      <c r="C295" s="152"/>
      <c r="D295" s="152"/>
      <c r="E295" s="152"/>
      <c r="F295" s="152"/>
      <c r="G295" s="152"/>
      <c r="H295" s="153"/>
      <c r="I295" s="153"/>
      <c r="J295" s="153"/>
      <c r="K295" s="153"/>
      <c r="L295" s="153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</row>
    <row r="296" spans="1:27" ht="17.399999999999999">
      <c r="A296" s="156"/>
      <c r="B296" s="152"/>
      <c r="C296" s="152"/>
      <c r="D296" s="152"/>
      <c r="E296" s="152"/>
      <c r="F296" s="152"/>
      <c r="G296" s="152"/>
      <c r="H296" s="153"/>
      <c r="I296" s="153"/>
      <c r="J296" s="153"/>
      <c r="K296" s="153"/>
      <c r="L296" s="153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</row>
    <row r="297" spans="1:27" ht="17.399999999999999">
      <c r="A297" s="156"/>
      <c r="B297" s="152"/>
      <c r="C297" s="152"/>
      <c r="D297" s="152"/>
      <c r="E297" s="152"/>
      <c r="F297" s="152"/>
      <c r="G297" s="152"/>
      <c r="H297" s="153"/>
      <c r="I297" s="153"/>
      <c r="J297" s="153"/>
      <c r="K297" s="153"/>
      <c r="L297" s="153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</row>
    <row r="298" spans="1:27" ht="17.399999999999999">
      <c r="A298" s="156"/>
      <c r="B298" s="152"/>
      <c r="C298" s="152"/>
      <c r="D298" s="152"/>
      <c r="E298" s="152"/>
      <c r="F298" s="152"/>
      <c r="G298" s="152"/>
      <c r="H298" s="153"/>
      <c r="I298" s="153"/>
      <c r="J298" s="153"/>
      <c r="K298" s="153"/>
      <c r="L298" s="153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</row>
    <row r="299" spans="1:27" ht="17.399999999999999">
      <c r="A299" s="156"/>
      <c r="B299" s="152"/>
      <c r="C299" s="152"/>
      <c r="D299" s="152"/>
      <c r="E299" s="152"/>
      <c r="F299" s="152"/>
      <c r="G299" s="152"/>
      <c r="H299" s="153"/>
      <c r="I299" s="153"/>
      <c r="J299" s="153"/>
      <c r="K299" s="153"/>
      <c r="L299" s="153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</row>
    <row r="300" spans="1:27" ht="17.399999999999999">
      <c r="A300" s="156"/>
      <c r="B300" s="152"/>
      <c r="C300" s="152"/>
      <c r="D300" s="152"/>
      <c r="E300" s="152"/>
      <c r="F300" s="152"/>
      <c r="G300" s="152"/>
      <c r="H300" s="153"/>
      <c r="I300" s="153"/>
      <c r="J300" s="153"/>
      <c r="K300" s="153"/>
      <c r="L300" s="153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</row>
    <row r="301" spans="1:27" ht="17.399999999999999">
      <c r="A301" s="156"/>
      <c r="B301" s="152"/>
      <c r="C301" s="152"/>
      <c r="D301" s="152"/>
      <c r="E301" s="152"/>
      <c r="F301" s="152"/>
      <c r="G301" s="152"/>
      <c r="H301" s="153"/>
      <c r="I301" s="153"/>
      <c r="J301" s="153"/>
      <c r="K301" s="153"/>
      <c r="L301" s="153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</row>
    <row r="302" spans="1:27" ht="17.399999999999999">
      <c r="A302" s="156"/>
      <c r="B302" s="152"/>
      <c r="C302" s="152"/>
      <c r="D302" s="152"/>
      <c r="E302" s="152"/>
      <c r="F302" s="152"/>
      <c r="G302" s="152"/>
      <c r="H302" s="153"/>
      <c r="I302" s="153"/>
      <c r="J302" s="153"/>
      <c r="K302" s="153"/>
      <c r="L302" s="153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</row>
    <row r="303" spans="1:27" ht="17.399999999999999">
      <c r="A303" s="156"/>
      <c r="B303" s="152"/>
      <c r="C303" s="152"/>
      <c r="D303" s="152"/>
      <c r="E303" s="152"/>
      <c r="F303" s="152"/>
      <c r="G303" s="152"/>
      <c r="H303" s="153"/>
      <c r="I303" s="153"/>
      <c r="J303" s="153"/>
      <c r="K303" s="153"/>
      <c r="L303" s="153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</row>
    <row r="304" spans="1:27" ht="17.399999999999999">
      <c r="A304" s="156"/>
      <c r="B304" s="152"/>
      <c r="C304" s="152"/>
      <c r="D304" s="152"/>
      <c r="E304" s="152"/>
      <c r="F304" s="152"/>
      <c r="G304" s="152"/>
      <c r="H304" s="153"/>
      <c r="I304" s="153"/>
      <c r="J304" s="153"/>
      <c r="K304" s="153"/>
      <c r="L304" s="153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</row>
    <row r="305" spans="1:27" ht="17.399999999999999">
      <c r="A305" s="156"/>
      <c r="B305" s="152"/>
      <c r="C305" s="152"/>
      <c r="D305" s="152"/>
      <c r="E305" s="152"/>
      <c r="F305" s="152"/>
      <c r="G305" s="152"/>
      <c r="H305" s="153"/>
      <c r="I305" s="153"/>
      <c r="J305" s="153"/>
      <c r="K305" s="153"/>
      <c r="L305" s="153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</row>
    <row r="306" spans="1:27" ht="17.399999999999999">
      <c r="A306" s="156"/>
      <c r="B306" s="152"/>
      <c r="C306" s="152"/>
      <c r="D306" s="152"/>
      <c r="E306" s="152"/>
      <c r="F306" s="152"/>
      <c r="G306" s="152"/>
      <c r="H306" s="153"/>
      <c r="I306" s="153"/>
      <c r="J306" s="153"/>
      <c r="K306" s="153"/>
      <c r="L306" s="153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</row>
    <row r="307" spans="1:27" ht="17.399999999999999">
      <c r="A307" s="156"/>
      <c r="B307" s="152"/>
      <c r="C307" s="152"/>
      <c r="D307" s="152"/>
      <c r="E307" s="152"/>
      <c r="F307" s="152"/>
      <c r="G307" s="152"/>
      <c r="H307" s="153"/>
      <c r="I307" s="153"/>
      <c r="J307" s="153"/>
      <c r="K307" s="153"/>
      <c r="L307" s="153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</row>
    <row r="308" spans="1:27" ht="17.399999999999999">
      <c r="A308" s="156"/>
      <c r="B308" s="152"/>
      <c r="C308" s="152"/>
      <c r="D308" s="152"/>
      <c r="E308" s="152"/>
      <c r="F308" s="152"/>
      <c r="G308" s="152"/>
      <c r="H308" s="153"/>
      <c r="I308" s="153"/>
      <c r="J308" s="153"/>
      <c r="K308" s="153"/>
      <c r="L308" s="153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</row>
    <row r="309" spans="1:27" ht="17.399999999999999">
      <c r="A309" s="156"/>
      <c r="B309" s="152"/>
      <c r="C309" s="152"/>
      <c r="D309" s="152"/>
      <c r="E309" s="152"/>
      <c r="F309" s="152"/>
      <c r="G309" s="152"/>
      <c r="H309" s="153"/>
      <c r="I309" s="153"/>
      <c r="J309" s="153"/>
      <c r="K309" s="153"/>
      <c r="L309" s="153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</row>
    <row r="310" spans="1:27" ht="17.399999999999999">
      <c r="A310" s="156"/>
      <c r="B310" s="152"/>
      <c r="C310" s="152"/>
      <c r="D310" s="152"/>
      <c r="E310" s="152"/>
      <c r="F310" s="152"/>
      <c r="G310" s="152"/>
      <c r="H310" s="153"/>
      <c r="I310" s="153"/>
      <c r="J310" s="153"/>
      <c r="K310" s="153"/>
      <c r="L310" s="153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</row>
    <row r="311" spans="1:27" ht="17.399999999999999">
      <c r="A311" s="156"/>
      <c r="B311" s="152"/>
      <c r="C311" s="152"/>
      <c r="D311" s="152"/>
      <c r="E311" s="152"/>
      <c r="F311" s="152"/>
      <c r="G311" s="152"/>
      <c r="H311" s="153"/>
      <c r="I311" s="153"/>
      <c r="J311" s="153"/>
      <c r="K311" s="153"/>
      <c r="L311" s="153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</row>
    <row r="312" spans="1:27" ht="17.399999999999999">
      <c r="A312" s="156"/>
      <c r="B312" s="152"/>
      <c r="C312" s="152"/>
      <c r="D312" s="152"/>
      <c r="E312" s="152"/>
      <c r="F312" s="152"/>
      <c r="G312" s="152"/>
      <c r="H312" s="153"/>
      <c r="I312" s="153"/>
      <c r="J312" s="153"/>
      <c r="K312" s="153"/>
      <c r="L312" s="153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</row>
    <row r="313" spans="1:27" ht="17.399999999999999">
      <c r="A313" s="156"/>
      <c r="B313" s="152"/>
      <c r="C313" s="152"/>
      <c r="D313" s="152"/>
      <c r="E313" s="152"/>
      <c r="F313" s="152"/>
      <c r="G313" s="152"/>
      <c r="H313" s="153"/>
      <c r="I313" s="153"/>
      <c r="J313" s="153"/>
      <c r="K313" s="153"/>
      <c r="L313" s="153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</row>
    <row r="314" spans="1:27" ht="17.399999999999999">
      <c r="A314" s="156"/>
      <c r="B314" s="152"/>
      <c r="C314" s="152"/>
      <c r="D314" s="152"/>
      <c r="E314" s="152"/>
      <c r="F314" s="152"/>
      <c r="G314" s="152"/>
      <c r="H314" s="153"/>
      <c r="I314" s="153"/>
      <c r="J314" s="153"/>
      <c r="K314" s="153"/>
      <c r="L314" s="153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</row>
    <row r="315" spans="1:27" ht="17.399999999999999">
      <c r="A315" s="156"/>
      <c r="B315" s="152"/>
      <c r="C315" s="152"/>
      <c r="D315" s="152"/>
      <c r="E315" s="152"/>
      <c r="F315" s="152"/>
      <c r="G315" s="152"/>
      <c r="H315" s="153"/>
      <c r="I315" s="153"/>
      <c r="J315" s="153"/>
      <c r="K315" s="153"/>
      <c r="L315" s="153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</row>
    <row r="316" spans="1:27" ht="17.399999999999999">
      <c r="A316" s="156"/>
      <c r="B316" s="152"/>
      <c r="C316" s="152"/>
      <c r="D316" s="152"/>
      <c r="E316" s="152"/>
      <c r="F316" s="152"/>
      <c r="G316" s="152"/>
      <c r="H316" s="153"/>
      <c r="I316" s="153"/>
      <c r="J316" s="153"/>
      <c r="K316" s="153"/>
      <c r="L316" s="153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</row>
    <row r="317" spans="1:27" ht="17.399999999999999">
      <c r="A317" s="156"/>
      <c r="B317" s="152"/>
      <c r="C317" s="152"/>
      <c r="D317" s="152"/>
      <c r="E317" s="152"/>
      <c r="F317" s="152"/>
      <c r="G317" s="152"/>
      <c r="H317" s="153"/>
      <c r="I317" s="153"/>
      <c r="J317" s="153"/>
      <c r="K317" s="153"/>
      <c r="L317" s="153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</row>
    <row r="318" spans="1:27" ht="17.399999999999999">
      <c r="A318" s="156"/>
      <c r="B318" s="152"/>
      <c r="C318" s="152"/>
      <c r="D318" s="152"/>
      <c r="E318" s="152"/>
      <c r="F318" s="152"/>
      <c r="G318" s="152"/>
      <c r="H318" s="153"/>
      <c r="I318" s="153"/>
      <c r="J318" s="153"/>
      <c r="K318" s="153"/>
      <c r="L318" s="153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</row>
    <row r="319" spans="1:27" ht="17.399999999999999">
      <c r="A319" s="156"/>
      <c r="B319" s="152"/>
      <c r="C319" s="152"/>
      <c r="D319" s="152"/>
      <c r="E319" s="152"/>
      <c r="F319" s="152"/>
      <c r="G319" s="152"/>
      <c r="H319" s="153"/>
      <c r="I319" s="153"/>
      <c r="J319" s="153"/>
      <c r="K319" s="153"/>
      <c r="L319" s="153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</row>
    <row r="320" spans="1:27" ht="17.399999999999999">
      <c r="A320" s="156"/>
      <c r="B320" s="152"/>
      <c r="C320" s="152"/>
      <c r="D320" s="152"/>
      <c r="E320" s="152"/>
      <c r="F320" s="152"/>
      <c r="G320" s="152"/>
      <c r="H320" s="153"/>
      <c r="I320" s="153"/>
      <c r="J320" s="153"/>
      <c r="K320" s="153"/>
      <c r="L320" s="153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</row>
    <row r="321" spans="1:27" ht="17.399999999999999">
      <c r="A321" s="156"/>
      <c r="B321" s="152"/>
      <c r="C321" s="152"/>
      <c r="D321" s="152"/>
      <c r="E321" s="152"/>
      <c r="F321" s="152"/>
      <c r="G321" s="152"/>
      <c r="H321" s="153"/>
      <c r="I321" s="153"/>
      <c r="J321" s="153"/>
      <c r="K321" s="153"/>
      <c r="L321" s="153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</row>
    <row r="322" spans="1:27" ht="17.399999999999999">
      <c r="A322" s="156"/>
      <c r="B322" s="152"/>
      <c r="C322" s="152"/>
      <c r="D322" s="152"/>
      <c r="E322" s="152"/>
      <c r="F322" s="152"/>
      <c r="G322" s="152"/>
      <c r="H322" s="153"/>
      <c r="I322" s="153"/>
      <c r="J322" s="153"/>
      <c r="K322" s="153"/>
      <c r="L322" s="153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</row>
    <row r="323" spans="1:27" ht="17.399999999999999">
      <c r="A323" s="156"/>
      <c r="B323" s="152"/>
      <c r="C323" s="152"/>
      <c r="D323" s="152"/>
      <c r="E323" s="152"/>
      <c r="F323" s="152"/>
      <c r="G323" s="152"/>
      <c r="H323" s="153"/>
      <c r="I323" s="153"/>
      <c r="J323" s="153"/>
      <c r="K323" s="153"/>
      <c r="L323" s="153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</row>
    <row r="324" spans="1:27" ht="17.399999999999999">
      <c r="A324" s="156"/>
      <c r="B324" s="152"/>
      <c r="C324" s="152"/>
      <c r="D324" s="152"/>
      <c r="E324" s="152"/>
      <c r="F324" s="152"/>
      <c r="G324" s="152"/>
      <c r="H324" s="153"/>
      <c r="I324" s="153"/>
      <c r="J324" s="153"/>
      <c r="K324" s="153"/>
      <c r="L324" s="153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</row>
    <row r="325" spans="1:27" ht="17.399999999999999">
      <c r="A325" s="156"/>
      <c r="B325" s="152"/>
      <c r="C325" s="152"/>
      <c r="D325" s="152"/>
      <c r="E325" s="152"/>
      <c r="F325" s="152"/>
      <c r="G325" s="152"/>
      <c r="H325" s="153"/>
      <c r="I325" s="153"/>
      <c r="J325" s="153"/>
      <c r="K325" s="153"/>
      <c r="L325" s="153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</row>
    <row r="326" spans="1:27" ht="17.399999999999999">
      <c r="A326" s="156"/>
      <c r="B326" s="152"/>
      <c r="C326" s="152"/>
      <c r="D326" s="152"/>
      <c r="E326" s="152"/>
      <c r="F326" s="152"/>
      <c r="G326" s="152"/>
      <c r="H326" s="153"/>
      <c r="I326" s="153"/>
      <c r="J326" s="153"/>
      <c r="K326" s="153"/>
      <c r="L326" s="153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</row>
    <row r="327" spans="1:27" ht="17.399999999999999">
      <c r="A327" s="156"/>
      <c r="B327" s="152"/>
      <c r="C327" s="152"/>
      <c r="D327" s="152"/>
      <c r="E327" s="152"/>
      <c r="F327" s="152"/>
      <c r="G327" s="152"/>
      <c r="H327" s="153"/>
      <c r="I327" s="153"/>
      <c r="J327" s="153"/>
      <c r="K327" s="153"/>
      <c r="L327" s="153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</row>
    <row r="328" spans="1:27" ht="17.399999999999999">
      <c r="A328" s="156"/>
      <c r="B328" s="152"/>
      <c r="C328" s="152"/>
      <c r="D328" s="152"/>
      <c r="E328" s="152"/>
      <c r="F328" s="152"/>
      <c r="G328" s="152"/>
      <c r="H328" s="153"/>
      <c r="I328" s="153"/>
      <c r="J328" s="153"/>
      <c r="K328" s="153"/>
      <c r="L328" s="153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</row>
    <row r="329" spans="1:27" ht="17.399999999999999">
      <c r="A329" s="156"/>
      <c r="B329" s="152"/>
      <c r="C329" s="152"/>
      <c r="D329" s="152"/>
      <c r="E329" s="152"/>
      <c r="F329" s="152"/>
      <c r="G329" s="152"/>
      <c r="H329" s="153"/>
      <c r="I329" s="153"/>
      <c r="J329" s="153"/>
      <c r="K329" s="153"/>
      <c r="L329" s="153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</row>
    <row r="330" spans="1:27" ht="17.399999999999999">
      <c r="A330" s="156"/>
      <c r="B330" s="152"/>
      <c r="C330" s="152"/>
      <c r="D330" s="152"/>
      <c r="E330" s="152"/>
      <c r="F330" s="152"/>
      <c r="G330" s="152"/>
      <c r="H330" s="153"/>
      <c r="I330" s="153"/>
      <c r="J330" s="153"/>
      <c r="K330" s="153"/>
      <c r="L330" s="153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</row>
    <row r="331" spans="1:27" ht="17.399999999999999">
      <c r="A331" s="156"/>
      <c r="B331" s="152"/>
      <c r="C331" s="152"/>
      <c r="D331" s="152"/>
      <c r="E331" s="152"/>
      <c r="F331" s="152"/>
      <c r="G331" s="152"/>
      <c r="H331" s="153"/>
      <c r="I331" s="153"/>
      <c r="J331" s="153"/>
      <c r="K331" s="153"/>
      <c r="L331" s="153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</row>
    <row r="332" spans="1:27" ht="17.399999999999999">
      <c r="A332" s="156"/>
      <c r="B332" s="152"/>
      <c r="C332" s="152"/>
      <c r="D332" s="152"/>
      <c r="E332" s="152"/>
      <c r="F332" s="152"/>
      <c r="G332" s="152"/>
      <c r="H332" s="153"/>
      <c r="I332" s="153"/>
      <c r="J332" s="153"/>
      <c r="K332" s="153"/>
      <c r="L332" s="153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</row>
    <row r="333" spans="1:27" ht="17.399999999999999">
      <c r="A333" s="156"/>
      <c r="B333" s="152"/>
      <c r="C333" s="152"/>
      <c r="D333" s="152"/>
      <c r="E333" s="152"/>
      <c r="F333" s="152"/>
      <c r="G333" s="152"/>
      <c r="H333" s="153"/>
      <c r="I333" s="153"/>
      <c r="J333" s="153"/>
      <c r="K333" s="153"/>
      <c r="L333" s="153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</row>
    <row r="334" spans="1:27" ht="17.399999999999999">
      <c r="A334" s="156"/>
      <c r="B334" s="152"/>
      <c r="C334" s="152"/>
      <c r="D334" s="152"/>
      <c r="E334" s="152"/>
      <c r="F334" s="152"/>
      <c r="G334" s="152"/>
      <c r="H334" s="153"/>
      <c r="I334" s="153"/>
      <c r="J334" s="153"/>
      <c r="K334" s="153"/>
      <c r="L334" s="153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</row>
    <row r="335" spans="1:27" ht="17.399999999999999">
      <c r="A335" s="156"/>
      <c r="B335" s="152"/>
      <c r="C335" s="152"/>
      <c r="D335" s="152"/>
      <c r="E335" s="152"/>
      <c r="F335" s="152"/>
      <c r="G335" s="152"/>
      <c r="H335" s="153"/>
      <c r="I335" s="153"/>
      <c r="J335" s="153"/>
      <c r="K335" s="153"/>
      <c r="L335" s="153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</row>
    <row r="336" spans="1:27" ht="17.399999999999999">
      <c r="A336" s="156"/>
      <c r="B336" s="152"/>
      <c r="C336" s="152"/>
      <c r="D336" s="152"/>
      <c r="E336" s="152"/>
      <c r="F336" s="152"/>
      <c r="G336" s="152"/>
      <c r="H336" s="153"/>
      <c r="I336" s="153"/>
      <c r="J336" s="153"/>
      <c r="K336" s="153"/>
      <c r="L336" s="153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</row>
    <row r="337" spans="1:27" ht="17.399999999999999">
      <c r="A337" s="156"/>
      <c r="B337" s="152"/>
      <c r="C337" s="152"/>
      <c r="D337" s="152"/>
      <c r="E337" s="152"/>
      <c r="F337" s="152"/>
      <c r="G337" s="152"/>
      <c r="H337" s="153"/>
      <c r="I337" s="153"/>
      <c r="J337" s="153"/>
      <c r="K337" s="153"/>
      <c r="L337" s="153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</row>
    <row r="338" spans="1:27" ht="17.399999999999999">
      <c r="A338" s="156"/>
      <c r="B338" s="152"/>
      <c r="C338" s="152"/>
      <c r="D338" s="152"/>
      <c r="E338" s="152"/>
      <c r="F338" s="152"/>
      <c r="G338" s="152"/>
      <c r="H338" s="153"/>
      <c r="I338" s="153"/>
      <c r="J338" s="153"/>
      <c r="K338" s="153"/>
      <c r="L338" s="153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</row>
    <row r="339" spans="1:27" ht="17.399999999999999">
      <c r="A339" s="156"/>
      <c r="B339" s="152"/>
      <c r="C339" s="152"/>
      <c r="D339" s="152"/>
      <c r="E339" s="152"/>
      <c r="F339" s="152"/>
      <c r="G339" s="152"/>
      <c r="H339" s="153"/>
      <c r="I339" s="153"/>
      <c r="J339" s="153"/>
      <c r="K339" s="153"/>
      <c r="L339" s="153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</row>
    <row r="340" spans="1:27" ht="17.399999999999999">
      <c r="A340" s="156"/>
      <c r="B340" s="152"/>
      <c r="C340" s="152"/>
      <c r="D340" s="152"/>
      <c r="E340" s="152"/>
      <c r="F340" s="152"/>
      <c r="G340" s="152"/>
      <c r="H340" s="153"/>
      <c r="I340" s="153"/>
      <c r="J340" s="153"/>
      <c r="K340" s="153"/>
      <c r="L340" s="153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</row>
    <row r="341" spans="1:27" ht="17.399999999999999">
      <c r="A341" s="156"/>
      <c r="B341" s="152"/>
      <c r="C341" s="152"/>
      <c r="D341" s="152"/>
      <c r="E341" s="152"/>
      <c r="F341" s="152"/>
      <c r="G341" s="152"/>
      <c r="H341" s="153"/>
      <c r="I341" s="153"/>
      <c r="J341" s="153"/>
      <c r="K341" s="153"/>
      <c r="L341" s="153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</row>
    <row r="342" spans="1:27" ht="17.399999999999999">
      <c r="A342" s="156"/>
      <c r="B342" s="152"/>
      <c r="C342" s="152"/>
      <c r="D342" s="152"/>
      <c r="E342" s="152"/>
      <c r="F342" s="152"/>
      <c r="G342" s="152"/>
      <c r="H342" s="153"/>
      <c r="I342" s="153"/>
      <c r="J342" s="153"/>
      <c r="K342" s="153"/>
      <c r="L342" s="153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</row>
    <row r="343" spans="1:27" ht="17.399999999999999">
      <c r="A343" s="156"/>
      <c r="B343" s="152"/>
      <c r="C343" s="152"/>
      <c r="D343" s="152"/>
      <c r="E343" s="152"/>
      <c r="F343" s="152"/>
      <c r="G343" s="152"/>
      <c r="H343" s="153"/>
      <c r="I343" s="153"/>
      <c r="J343" s="153"/>
      <c r="K343" s="153"/>
      <c r="L343" s="153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</row>
    <row r="344" spans="1:27" ht="17.399999999999999">
      <c r="A344" s="156"/>
      <c r="B344" s="152"/>
      <c r="C344" s="152"/>
      <c r="D344" s="152"/>
      <c r="E344" s="152"/>
      <c r="F344" s="152"/>
      <c r="G344" s="152"/>
      <c r="H344" s="153"/>
      <c r="I344" s="153"/>
      <c r="J344" s="153"/>
      <c r="K344" s="153"/>
      <c r="L344" s="153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</row>
    <row r="345" spans="1:27" ht="17.399999999999999">
      <c r="A345" s="156"/>
      <c r="B345" s="152"/>
      <c r="C345" s="152"/>
      <c r="D345" s="152"/>
      <c r="E345" s="152"/>
      <c r="F345" s="152"/>
      <c r="G345" s="152"/>
      <c r="H345" s="153"/>
      <c r="I345" s="153"/>
      <c r="J345" s="153"/>
      <c r="K345" s="153"/>
      <c r="L345" s="153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</row>
    <row r="346" spans="1:27" ht="17.399999999999999">
      <c r="A346" s="156"/>
      <c r="B346" s="152"/>
      <c r="C346" s="152"/>
      <c r="D346" s="152"/>
      <c r="E346" s="152"/>
      <c r="F346" s="152"/>
      <c r="G346" s="152"/>
      <c r="H346" s="153"/>
      <c r="I346" s="153"/>
      <c r="J346" s="153"/>
      <c r="K346" s="153"/>
      <c r="L346" s="153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</row>
    <row r="347" spans="1:27" ht="17.399999999999999">
      <c r="A347" s="156"/>
      <c r="B347" s="152"/>
      <c r="C347" s="152"/>
      <c r="D347" s="152"/>
      <c r="E347" s="152"/>
      <c r="F347" s="152"/>
      <c r="G347" s="152"/>
      <c r="H347" s="153"/>
      <c r="I347" s="153"/>
      <c r="J347" s="153"/>
      <c r="K347" s="153"/>
      <c r="L347" s="153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</row>
    <row r="348" spans="1:27" ht="17.399999999999999">
      <c r="A348" s="156"/>
      <c r="B348" s="152"/>
      <c r="C348" s="152"/>
      <c r="D348" s="152"/>
      <c r="E348" s="152"/>
      <c r="F348" s="152"/>
      <c r="G348" s="152"/>
      <c r="H348" s="153"/>
      <c r="I348" s="153"/>
      <c r="J348" s="153"/>
      <c r="K348" s="153"/>
      <c r="L348" s="153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</row>
    <row r="349" spans="1:27" ht="17.399999999999999">
      <c r="A349" s="156"/>
      <c r="B349" s="152"/>
      <c r="C349" s="152"/>
      <c r="D349" s="152"/>
      <c r="E349" s="152"/>
      <c r="F349" s="152"/>
      <c r="G349" s="152"/>
      <c r="H349" s="153"/>
      <c r="I349" s="153"/>
      <c r="J349" s="153"/>
      <c r="K349" s="153"/>
      <c r="L349" s="153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</row>
    <row r="350" spans="1:27" ht="17.399999999999999">
      <c r="A350" s="156"/>
      <c r="B350" s="152"/>
      <c r="C350" s="152"/>
      <c r="D350" s="152"/>
      <c r="E350" s="152"/>
      <c r="F350" s="152"/>
      <c r="G350" s="152"/>
      <c r="H350" s="153"/>
      <c r="I350" s="153"/>
      <c r="J350" s="153"/>
      <c r="K350" s="153"/>
      <c r="L350" s="153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</row>
    <row r="351" spans="1:27" ht="17.399999999999999">
      <c r="A351" s="156"/>
      <c r="B351" s="152"/>
      <c r="C351" s="152"/>
      <c r="D351" s="152"/>
      <c r="E351" s="152"/>
      <c r="F351" s="152"/>
      <c r="G351" s="152"/>
      <c r="H351" s="153"/>
      <c r="I351" s="153"/>
      <c r="J351" s="153"/>
      <c r="K351" s="153"/>
      <c r="L351" s="153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</row>
    <row r="352" spans="1:27" ht="17.399999999999999">
      <c r="A352" s="156"/>
      <c r="B352" s="152"/>
      <c r="C352" s="152"/>
      <c r="D352" s="152"/>
      <c r="E352" s="152"/>
      <c r="F352" s="152"/>
      <c r="G352" s="152"/>
      <c r="H352" s="153"/>
      <c r="I352" s="153"/>
      <c r="J352" s="153"/>
      <c r="K352" s="153"/>
      <c r="L352" s="153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</row>
    <row r="353" spans="1:27" ht="17.399999999999999">
      <c r="A353" s="156"/>
      <c r="B353" s="152"/>
      <c r="C353" s="152"/>
      <c r="D353" s="152"/>
      <c r="E353" s="152"/>
      <c r="F353" s="152"/>
      <c r="G353" s="152"/>
      <c r="H353" s="153"/>
      <c r="I353" s="153"/>
      <c r="J353" s="153"/>
      <c r="K353" s="153"/>
      <c r="L353" s="153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</row>
    <row r="354" spans="1:27" ht="17.399999999999999">
      <c r="A354" s="156"/>
      <c r="B354" s="152"/>
      <c r="C354" s="152"/>
      <c r="D354" s="152"/>
      <c r="E354" s="152"/>
      <c r="F354" s="152"/>
      <c r="G354" s="152"/>
      <c r="H354" s="153"/>
      <c r="I354" s="153"/>
      <c r="J354" s="153"/>
      <c r="K354" s="153"/>
      <c r="L354" s="153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</row>
    <row r="355" spans="1:27" ht="17.399999999999999">
      <c r="A355" s="156"/>
      <c r="B355" s="152"/>
      <c r="C355" s="152"/>
      <c r="D355" s="152"/>
      <c r="E355" s="152"/>
      <c r="F355" s="152"/>
      <c r="G355" s="152"/>
      <c r="H355" s="153"/>
      <c r="I355" s="153"/>
      <c r="J355" s="153"/>
      <c r="K355" s="153"/>
      <c r="L355" s="153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</row>
    <row r="356" spans="1:27" ht="17.399999999999999">
      <c r="A356" s="156"/>
      <c r="B356" s="152"/>
      <c r="C356" s="152"/>
      <c r="D356" s="152"/>
      <c r="E356" s="152"/>
      <c r="F356" s="152"/>
      <c r="G356" s="152"/>
      <c r="H356" s="153"/>
      <c r="I356" s="153"/>
      <c r="J356" s="153"/>
      <c r="K356" s="153"/>
      <c r="L356" s="153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</row>
    <row r="357" spans="1:27" ht="17.399999999999999">
      <c r="A357" s="156"/>
      <c r="B357" s="152"/>
      <c r="C357" s="152"/>
      <c r="D357" s="152"/>
      <c r="E357" s="152"/>
      <c r="F357" s="152"/>
      <c r="G357" s="152"/>
      <c r="H357" s="153"/>
      <c r="I357" s="153"/>
      <c r="J357" s="153"/>
      <c r="K357" s="153"/>
      <c r="L357" s="153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</row>
    <row r="358" spans="1:27" ht="17.399999999999999">
      <c r="A358" s="156"/>
      <c r="B358" s="152"/>
      <c r="C358" s="152"/>
      <c r="D358" s="152"/>
      <c r="E358" s="152"/>
      <c r="F358" s="152"/>
      <c r="G358" s="152"/>
      <c r="H358" s="153"/>
      <c r="I358" s="153"/>
      <c r="J358" s="153"/>
      <c r="K358" s="153"/>
      <c r="L358" s="153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</row>
    <row r="359" spans="1:27" ht="17.399999999999999">
      <c r="A359" s="156"/>
      <c r="B359" s="152"/>
      <c r="C359" s="152"/>
      <c r="D359" s="152"/>
      <c r="E359" s="152"/>
      <c r="F359" s="152"/>
      <c r="G359" s="152"/>
      <c r="H359" s="153"/>
      <c r="I359" s="153"/>
      <c r="J359" s="153"/>
      <c r="K359" s="153"/>
      <c r="L359" s="153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</row>
    <row r="360" spans="1:27" ht="17.399999999999999">
      <c r="A360" s="156"/>
      <c r="B360" s="152"/>
      <c r="C360" s="152"/>
      <c r="D360" s="152"/>
      <c r="E360" s="152"/>
      <c r="F360" s="152"/>
      <c r="G360" s="152"/>
      <c r="H360" s="153"/>
      <c r="I360" s="153"/>
      <c r="J360" s="153"/>
      <c r="K360" s="153"/>
      <c r="L360" s="153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</row>
    <row r="361" spans="1:27" ht="17.399999999999999">
      <c r="A361" s="156"/>
      <c r="B361" s="152"/>
      <c r="C361" s="152"/>
      <c r="D361" s="152"/>
      <c r="E361" s="152"/>
      <c r="F361" s="152"/>
      <c r="G361" s="152"/>
      <c r="H361" s="153"/>
      <c r="I361" s="153"/>
      <c r="J361" s="153"/>
      <c r="K361" s="153"/>
      <c r="L361" s="153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</row>
    <row r="362" spans="1:27" ht="17.399999999999999">
      <c r="A362" s="156"/>
      <c r="B362" s="152"/>
      <c r="C362" s="152"/>
      <c r="D362" s="152"/>
      <c r="E362" s="152"/>
      <c r="F362" s="152"/>
      <c r="G362" s="152"/>
      <c r="H362" s="153"/>
      <c r="I362" s="153"/>
      <c r="J362" s="153"/>
      <c r="K362" s="153"/>
      <c r="L362" s="153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</row>
    <row r="363" spans="1:27" ht="17.399999999999999">
      <c r="A363" s="156"/>
      <c r="B363" s="152"/>
      <c r="C363" s="152"/>
      <c r="D363" s="152"/>
      <c r="E363" s="152"/>
      <c r="F363" s="152"/>
      <c r="G363" s="152"/>
      <c r="H363" s="153"/>
      <c r="I363" s="153"/>
      <c r="J363" s="153"/>
      <c r="K363" s="153"/>
      <c r="L363" s="153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</row>
    <row r="364" spans="1:27" ht="17.399999999999999">
      <c r="A364" s="156"/>
      <c r="B364" s="152"/>
      <c r="C364" s="152"/>
      <c r="D364" s="152"/>
      <c r="E364" s="152"/>
      <c r="F364" s="152"/>
      <c r="G364" s="152"/>
      <c r="H364" s="153"/>
      <c r="I364" s="153"/>
      <c r="J364" s="153"/>
      <c r="K364" s="153"/>
      <c r="L364" s="153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</row>
    <row r="365" spans="1:27" ht="17.399999999999999">
      <c r="A365" s="156"/>
      <c r="B365" s="152"/>
      <c r="C365" s="152"/>
      <c r="D365" s="152"/>
      <c r="E365" s="152"/>
      <c r="F365" s="152"/>
      <c r="G365" s="152"/>
      <c r="H365" s="153"/>
      <c r="I365" s="153"/>
      <c r="J365" s="153"/>
      <c r="K365" s="153"/>
      <c r="L365" s="153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</row>
    <row r="366" spans="1:27" ht="17.399999999999999">
      <c r="A366" s="156"/>
      <c r="B366" s="152"/>
      <c r="C366" s="152"/>
      <c r="D366" s="152"/>
      <c r="E366" s="152"/>
      <c r="F366" s="152"/>
      <c r="G366" s="152"/>
      <c r="H366" s="153"/>
      <c r="I366" s="153"/>
      <c r="J366" s="153"/>
      <c r="K366" s="153"/>
      <c r="L366" s="153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</row>
    <row r="367" spans="1:27" ht="17.399999999999999">
      <c r="A367" s="156"/>
      <c r="B367" s="152"/>
      <c r="C367" s="152"/>
      <c r="D367" s="152"/>
      <c r="E367" s="152"/>
      <c r="F367" s="152"/>
      <c r="G367" s="152"/>
      <c r="H367" s="153"/>
      <c r="I367" s="153"/>
      <c r="J367" s="153"/>
      <c r="K367" s="153"/>
      <c r="L367" s="153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</row>
    <row r="368" spans="1:27" ht="17.399999999999999">
      <c r="A368" s="156"/>
      <c r="B368" s="152"/>
      <c r="C368" s="152"/>
      <c r="D368" s="152"/>
      <c r="E368" s="152"/>
      <c r="F368" s="152"/>
      <c r="G368" s="152"/>
      <c r="H368" s="153"/>
      <c r="I368" s="153"/>
      <c r="J368" s="153"/>
      <c r="K368" s="153"/>
      <c r="L368" s="153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</row>
    <row r="369" spans="1:27" ht="17.399999999999999">
      <c r="A369" s="156"/>
      <c r="B369" s="152"/>
      <c r="C369" s="152"/>
      <c r="D369" s="152"/>
      <c r="E369" s="152"/>
      <c r="F369" s="152"/>
      <c r="G369" s="152"/>
      <c r="H369" s="153"/>
      <c r="I369" s="153"/>
      <c r="J369" s="153"/>
      <c r="K369" s="153"/>
      <c r="L369" s="153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</row>
    <row r="370" spans="1:27" ht="17.399999999999999">
      <c r="A370" s="156"/>
      <c r="B370" s="152"/>
      <c r="C370" s="152"/>
      <c r="D370" s="152"/>
      <c r="E370" s="152"/>
      <c r="F370" s="152"/>
      <c r="G370" s="152"/>
      <c r="H370" s="153"/>
      <c r="I370" s="153"/>
      <c r="J370" s="153"/>
      <c r="K370" s="153"/>
      <c r="L370" s="153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</row>
    <row r="371" spans="1:27" ht="17.399999999999999">
      <c r="A371" s="156"/>
      <c r="B371" s="152"/>
      <c r="C371" s="152"/>
      <c r="D371" s="152"/>
      <c r="E371" s="152"/>
      <c r="F371" s="152"/>
      <c r="G371" s="152"/>
      <c r="H371" s="153"/>
      <c r="I371" s="153"/>
      <c r="J371" s="153"/>
      <c r="K371" s="153"/>
      <c r="L371" s="153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</row>
    <row r="372" spans="1:27" ht="17.399999999999999">
      <c r="A372" s="156"/>
      <c r="B372" s="152"/>
      <c r="C372" s="152"/>
      <c r="D372" s="152"/>
      <c r="E372" s="152"/>
      <c r="F372" s="152"/>
      <c r="G372" s="152"/>
      <c r="H372" s="153"/>
      <c r="I372" s="153"/>
      <c r="J372" s="153"/>
      <c r="K372" s="153"/>
      <c r="L372" s="153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</row>
    <row r="373" spans="1:27" ht="17.399999999999999">
      <c r="A373" s="156"/>
      <c r="B373" s="152"/>
      <c r="C373" s="152"/>
      <c r="D373" s="152"/>
      <c r="E373" s="152"/>
      <c r="F373" s="152"/>
      <c r="G373" s="152"/>
      <c r="H373" s="153"/>
      <c r="I373" s="153"/>
      <c r="J373" s="153"/>
      <c r="K373" s="153"/>
      <c r="L373" s="153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</row>
    <row r="374" spans="1:27" ht="17.399999999999999">
      <c r="A374" s="156"/>
      <c r="B374" s="152"/>
      <c r="C374" s="152"/>
      <c r="D374" s="152"/>
      <c r="E374" s="152"/>
      <c r="F374" s="152"/>
      <c r="G374" s="152"/>
      <c r="H374" s="153"/>
      <c r="I374" s="153"/>
      <c r="J374" s="153"/>
      <c r="K374" s="153"/>
      <c r="L374" s="153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</row>
    <row r="375" spans="1:27" ht="17.399999999999999">
      <c r="A375" s="156"/>
      <c r="B375" s="152"/>
      <c r="C375" s="152"/>
      <c r="D375" s="152"/>
      <c r="E375" s="152"/>
      <c r="F375" s="152"/>
      <c r="G375" s="152"/>
      <c r="H375" s="153"/>
      <c r="I375" s="153"/>
      <c r="J375" s="153"/>
      <c r="K375" s="153"/>
      <c r="L375" s="153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</row>
    <row r="376" spans="1:27" ht="17.399999999999999">
      <c r="A376" s="156"/>
      <c r="B376" s="152"/>
      <c r="C376" s="152"/>
      <c r="D376" s="152"/>
      <c r="E376" s="152"/>
      <c r="F376" s="152"/>
      <c r="G376" s="152"/>
      <c r="H376" s="153"/>
      <c r="I376" s="153"/>
      <c r="J376" s="153"/>
      <c r="K376" s="153"/>
      <c r="L376" s="153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</row>
    <row r="377" spans="1:27" ht="17.399999999999999">
      <c r="A377" s="156"/>
      <c r="B377" s="152"/>
      <c r="C377" s="152"/>
      <c r="D377" s="152"/>
      <c r="E377" s="152"/>
      <c r="F377" s="152"/>
      <c r="G377" s="152"/>
      <c r="H377" s="153"/>
      <c r="I377" s="153"/>
      <c r="J377" s="153"/>
      <c r="K377" s="153"/>
      <c r="L377" s="153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</row>
    <row r="378" spans="1:27" ht="17.399999999999999">
      <c r="A378" s="156"/>
      <c r="B378" s="152"/>
      <c r="C378" s="152"/>
      <c r="D378" s="152"/>
      <c r="E378" s="152"/>
      <c r="F378" s="152"/>
      <c r="G378" s="152"/>
      <c r="H378" s="153"/>
      <c r="I378" s="153"/>
      <c r="J378" s="153"/>
      <c r="K378" s="153"/>
      <c r="L378" s="153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</row>
    <row r="379" spans="1:27" ht="17.399999999999999">
      <c r="A379" s="156"/>
      <c r="B379" s="152"/>
      <c r="C379" s="152"/>
      <c r="D379" s="152"/>
      <c r="E379" s="152"/>
      <c r="F379" s="152"/>
      <c r="G379" s="152"/>
      <c r="H379" s="153"/>
      <c r="I379" s="153"/>
      <c r="J379" s="153"/>
      <c r="K379" s="153"/>
      <c r="L379" s="153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</row>
    <row r="380" spans="1:27" ht="17.399999999999999">
      <c r="A380" s="156"/>
      <c r="B380" s="152"/>
      <c r="C380" s="152"/>
      <c r="D380" s="152"/>
      <c r="E380" s="152"/>
      <c r="F380" s="152"/>
      <c r="G380" s="152"/>
      <c r="H380" s="153"/>
      <c r="I380" s="153"/>
      <c r="J380" s="153"/>
      <c r="K380" s="153"/>
      <c r="L380" s="153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</row>
    <row r="381" spans="1:27" ht="17.399999999999999">
      <c r="A381" s="156"/>
      <c r="B381" s="152"/>
      <c r="C381" s="152"/>
      <c r="D381" s="152"/>
      <c r="E381" s="152"/>
      <c r="F381" s="152"/>
      <c r="G381" s="152"/>
      <c r="H381" s="153"/>
      <c r="I381" s="153"/>
      <c r="J381" s="153"/>
      <c r="K381" s="153"/>
      <c r="L381" s="153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</row>
    <row r="382" spans="1:27" ht="17.399999999999999">
      <c r="A382" s="156"/>
      <c r="B382" s="152"/>
      <c r="C382" s="152"/>
      <c r="D382" s="152"/>
      <c r="E382" s="152"/>
      <c r="F382" s="152"/>
      <c r="G382" s="152"/>
      <c r="H382" s="153"/>
      <c r="I382" s="153"/>
      <c r="J382" s="153"/>
      <c r="K382" s="153"/>
      <c r="L382" s="153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</row>
    <row r="383" spans="1:27" ht="17.399999999999999">
      <c r="A383" s="156"/>
      <c r="B383" s="152"/>
      <c r="C383" s="152"/>
      <c r="D383" s="152"/>
      <c r="E383" s="152"/>
      <c r="F383" s="152"/>
      <c r="G383" s="152"/>
      <c r="H383" s="153"/>
      <c r="I383" s="153"/>
      <c r="J383" s="153"/>
      <c r="K383" s="153"/>
      <c r="L383" s="153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</row>
    <row r="384" spans="1:27" ht="17.399999999999999">
      <c r="A384" s="156"/>
      <c r="B384" s="152"/>
      <c r="C384" s="152"/>
      <c r="D384" s="152"/>
      <c r="E384" s="152"/>
      <c r="F384" s="152"/>
      <c r="G384" s="152"/>
      <c r="H384" s="153"/>
      <c r="I384" s="153"/>
      <c r="J384" s="153"/>
      <c r="K384" s="153"/>
      <c r="L384" s="153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</row>
    <row r="385" spans="1:27" ht="17.399999999999999">
      <c r="A385" s="156"/>
      <c r="B385" s="152"/>
      <c r="C385" s="152"/>
      <c r="D385" s="152"/>
      <c r="E385" s="152"/>
      <c r="F385" s="152"/>
      <c r="G385" s="152"/>
      <c r="H385" s="153"/>
      <c r="I385" s="153"/>
      <c r="J385" s="153"/>
      <c r="K385" s="153"/>
      <c r="L385" s="153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</row>
    <row r="386" spans="1:27" ht="17.399999999999999">
      <c r="A386" s="156"/>
      <c r="B386" s="152"/>
      <c r="C386" s="152"/>
      <c r="D386" s="152"/>
      <c r="E386" s="152"/>
      <c r="F386" s="152"/>
      <c r="G386" s="152"/>
      <c r="H386" s="153"/>
      <c r="I386" s="153"/>
      <c r="J386" s="153"/>
      <c r="K386" s="153"/>
      <c r="L386" s="153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</row>
    <row r="387" spans="1:27" ht="17.399999999999999">
      <c r="A387" s="156"/>
      <c r="B387" s="152"/>
      <c r="C387" s="152"/>
      <c r="D387" s="152"/>
      <c r="E387" s="152"/>
      <c r="F387" s="152"/>
      <c r="G387" s="152"/>
      <c r="H387" s="153"/>
      <c r="I387" s="153"/>
      <c r="J387" s="153"/>
      <c r="K387" s="153"/>
      <c r="L387" s="153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</row>
    <row r="388" spans="1:27" ht="17.399999999999999">
      <c r="A388" s="156"/>
      <c r="B388" s="152"/>
      <c r="C388" s="152"/>
      <c r="D388" s="152"/>
      <c r="E388" s="152"/>
      <c r="F388" s="152"/>
      <c r="G388" s="152"/>
      <c r="H388" s="153"/>
      <c r="I388" s="153"/>
      <c r="J388" s="153"/>
      <c r="K388" s="153"/>
      <c r="L388" s="153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</row>
    <row r="389" spans="1:27" ht="17.399999999999999">
      <c r="A389" s="156"/>
      <c r="B389" s="152"/>
      <c r="C389" s="152"/>
      <c r="D389" s="152"/>
      <c r="E389" s="152"/>
      <c r="F389" s="152"/>
      <c r="G389" s="152"/>
      <c r="H389" s="153"/>
      <c r="I389" s="153"/>
      <c r="J389" s="153"/>
      <c r="K389" s="153"/>
      <c r="L389" s="153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</row>
    <row r="390" spans="1:27" ht="17.399999999999999">
      <c r="A390" s="156"/>
      <c r="B390" s="152"/>
      <c r="C390" s="152"/>
      <c r="D390" s="152"/>
      <c r="E390" s="152"/>
      <c r="F390" s="152"/>
      <c r="G390" s="152"/>
      <c r="H390" s="153"/>
      <c r="I390" s="153"/>
      <c r="J390" s="153"/>
      <c r="K390" s="153"/>
      <c r="L390" s="153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</row>
    <row r="391" spans="1:27" ht="17.399999999999999">
      <c r="A391" s="156"/>
      <c r="B391" s="152"/>
      <c r="C391" s="152"/>
      <c r="D391" s="152"/>
      <c r="E391" s="152"/>
      <c r="F391" s="152"/>
      <c r="G391" s="152"/>
      <c r="H391" s="153"/>
      <c r="I391" s="153"/>
      <c r="J391" s="153"/>
      <c r="K391" s="153"/>
      <c r="L391" s="153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</row>
    <row r="392" spans="1:27" ht="17.399999999999999">
      <c r="A392" s="156"/>
      <c r="B392" s="152"/>
      <c r="C392" s="152"/>
      <c r="D392" s="152"/>
      <c r="E392" s="152"/>
      <c r="F392" s="152"/>
      <c r="G392" s="152"/>
      <c r="H392" s="153"/>
      <c r="I392" s="153"/>
      <c r="J392" s="153"/>
      <c r="K392" s="153"/>
      <c r="L392" s="153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</row>
    <row r="393" spans="1:27" ht="17.399999999999999">
      <c r="A393" s="156"/>
      <c r="B393" s="152"/>
      <c r="C393" s="152"/>
      <c r="D393" s="152"/>
      <c r="E393" s="152"/>
      <c r="F393" s="152"/>
      <c r="G393" s="152"/>
      <c r="H393" s="153"/>
      <c r="I393" s="153"/>
      <c r="J393" s="153"/>
      <c r="K393" s="153"/>
      <c r="L393" s="153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</row>
    <row r="394" spans="1:27" ht="17.399999999999999">
      <c r="A394" s="156"/>
      <c r="B394" s="152"/>
      <c r="C394" s="152"/>
      <c r="D394" s="152"/>
      <c r="E394" s="152"/>
      <c r="F394" s="152"/>
      <c r="G394" s="152"/>
      <c r="H394" s="153"/>
      <c r="I394" s="153"/>
      <c r="J394" s="153"/>
      <c r="K394" s="153"/>
      <c r="L394" s="153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</row>
    <row r="395" spans="1:27" ht="17.399999999999999">
      <c r="A395" s="156"/>
      <c r="B395" s="152"/>
      <c r="C395" s="152"/>
      <c r="D395" s="152"/>
      <c r="E395" s="152"/>
      <c r="F395" s="152"/>
      <c r="G395" s="152"/>
      <c r="H395" s="153"/>
      <c r="I395" s="153"/>
      <c r="J395" s="153"/>
      <c r="K395" s="153"/>
      <c r="L395" s="153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</row>
    <row r="396" spans="1:27" ht="17.399999999999999">
      <c r="A396" s="156"/>
      <c r="B396" s="152"/>
      <c r="C396" s="152"/>
      <c r="D396" s="152"/>
      <c r="E396" s="152"/>
      <c r="F396" s="152"/>
      <c r="G396" s="152"/>
      <c r="H396" s="153"/>
      <c r="I396" s="153"/>
      <c r="J396" s="153"/>
      <c r="K396" s="153"/>
      <c r="L396" s="153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</row>
    <row r="397" spans="1:27" ht="17.399999999999999">
      <c r="A397" s="156"/>
      <c r="B397" s="152"/>
      <c r="C397" s="152"/>
      <c r="D397" s="152"/>
      <c r="E397" s="152"/>
      <c r="F397" s="152"/>
      <c r="G397" s="152"/>
      <c r="H397" s="153"/>
      <c r="I397" s="153"/>
      <c r="J397" s="153"/>
      <c r="K397" s="153"/>
      <c r="L397" s="153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</row>
    <row r="398" spans="1:27" ht="17.399999999999999">
      <c r="A398" s="156"/>
      <c r="B398" s="152"/>
      <c r="C398" s="152"/>
      <c r="D398" s="152"/>
      <c r="E398" s="152"/>
      <c r="F398" s="152"/>
      <c r="G398" s="152"/>
      <c r="H398" s="153"/>
      <c r="I398" s="153"/>
      <c r="J398" s="153"/>
      <c r="K398" s="153"/>
      <c r="L398" s="153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</row>
    <row r="399" spans="1:27" ht="17.399999999999999">
      <c r="A399" s="156"/>
      <c r="B399" s="152"/>
      <c r="C399" s="152"/>
      <c r="D399" s="152"/>
      <c r="E399" s="152"/>
      <c r="F399" s="152"/>
      <c r="G399" s="152"/>
      <c r="H399" s="153"/>
      <c r="I399" s="153"/>
      <c r="J399" s="153"/>
      <c r="K399" s="153"/>
      <c r="L399" s="153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</row>
    <row r="400" spans="1:27" ht="17.399999999999999">
      <c r="A400" s="156"/>
      <c r="B400" s="152"/>
      <c r="C400" s="152"/>
      <c r="D400" s="152"/>
      <c r="E400" s="152"/>
      <c r="F400" s="152"/>
      <c r="G400" s="152"/>
      <c r="H400" s="153"/>
      <c r="I400" s="153"/>
      <c r="J400" s="153"/>
      <c r="K400" s="153"/>
      <c r="L400" s="153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</row>
    <row r="401" spans="1:27" ht="17.399999999999999">
      <c r="A401" s="156"/>
      <c r="B401" s="152"/>
      <c r="C401" s="152"/>
      <c r="D401" s="152"/>
      <c r="E401" s="152"/>
      <c r="F401" s="152"/>
      <c r="G401" s="152"/>
      <c r="H401" s="153"/>
      <c r="I401" s="153"/>
      <c r="J401" s="153"/>
      <c r="K401" s="153"/>
      <c r="L401" s="153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</row>
    <row r="402" spans="1:27" ht="17.399999999999999">
      <c r="A402" s="156"/>
      <c r="B402" s="152"/>
      <c r="C402" s="152"/>
      <c r="D402" s="152"/>
      <c r="E402" s="152"/>
      <c r="F402" s="152"/>
      <c r="G402" s="152"/>
      <c r="H402" s="153"/>
      <c r="I402" s="153"/>
      <c r="J402" s="153"/>
      <c r="K402" s="153"/>
      <c r="L402" s="153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</row>
    <row r="403" spans="1:27" ht="17.399999999999999">
      <c r="A403" s="156"/>
      <c r="B403" s="152"/>
      <c r="C403" s="152"/>
      <c r="D403" s="152"/>
      <c r="E403" s="152"/>
      <c r="F403" s="152"/>
      <c r="G403" s="152"/>
      <c r="H403" s="153"/>
      <c r="I403" s="153"/>
      <c r="J403" s="153"/>
      <c r="K403" s="153"/>
      <c r="L403" s="153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</row>
    <row r="404" spans="1:27" ht="17.399999999999999">
      <c r="A404" s="156"/>
      <c r="B404" s="152"/>
      <c r="C404" s="152"/>
      <c r="D404" s="152"/>
      <c r="E404" s="152"/>
      <c r="F404" s="152"/>
      <c r="G404" s="152"/>
      <c r="H404" s="153"/>
      <c r="I404" s="153"/>
      <c r="J404" s="153"/>
      <c r="K404" s="153"/>
      <c r="L404" s="153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</row>
    <row r="405" spans="1:27" ht="17.399999999999999">
      <c r="A405" s="156"/>
      <c r="B405" s="152"/>
      <c r="C405" s="152"/>
      <c r="D405" s="152"/>
      <c r="E405" s="152"/>
      <c r="F405" s="152"/>
      <c r="G405" s="152"/>
      <c r="H405" s="153"/>
      <c r="I405" s="153"/>
      <c r="J405" s="153"/>
      <c r="K405" s="153"/>
      <c r="L405" s="153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</row>
    <row r="406" spans="1:27" ht="17.399999999999999">
      <c r="A406" s="156"/>
      <c r="B406" s="152"/>
      <c r="C406" s="152"/>
      <c r="D406" s="152"/>
      <c r="E406" s="152"/>
      <c r="F406" s="152"/>
      <c r="G406" s="152"/>
      <c r="H406" s="153"/>
      <c r="I406" s="153"/>
      <c r="J406" s="153"/>
      <c r="K406" s="153"/>
      <c r="L406" s="153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</row>
    <row r="407" spans="1:27" ht="17.399999999999999">
      <c r="A407" s="156"/>
      <c r="B407" s="152"/>
      <c r="C407" s="152"/>
      <c r="D407" s="152"/>
      <c r="E407" s="152"/>
      <c r="F407" s="152"/>
      <c r="G407" s="152"/>
      <c r="H407" s="153"/>
      <c r="I407" s="153"/>
      <c r="J407" s="153"/>
      <c r="K407" s="153"/>
      <c r="L407" s="153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</row>
    <row r="408" spans="1:27" ht="17.399999999999999">
      <c r="A408" s="156"/>
      <c r="B408" s="152"/>
      <c r="C408" s="152"/>
      <c r="D408" s="152"/>
      <c r="E408" s="152"/>
      <c r="F408" s="152"/>
      <c r="G408" s="152"/>
      <c r="H408" s="153"/>
      <c r="I408" s="153"/>
      <c r="J408" s="153"/>
      <c r="K408" s="153"/>
      <c r="L408" s="153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</row>
    <row r="409" spans="1:27" ht="17.399999999999999">
      <c r="A409" s="156"/>
      <c r="B409" s="152"/>
      <c r="C409" s="152"/>
      <c r="D409" s="152"/>
      <c r="E409" s="152"/>
      <c r="F409" s="152"/>
      <c r="G409" s="152"/>
      <c r="H409" s="153"/>
      <c r="I409" s="153"/>
      <c r="J409" s="153"/>
      <c r="K409" s="153"/>
      <c r="L409" s="153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</row>
    <row r="410" spans="1:27" ht="17.399999999999999">
      <c r="A410" s="156"/>
      <c r="B410" s="152"/>
      <c r="C410" s="152"/>
      <c r="D410" s="152"/>
      <c r="E410" s="152"/>
      <c r="F410" s="152"/>
      <c r="G410" s="152"/>
      <c r="H410" s="153"/>
      <c r="I410" s="153"/>
      <c r="J410" s="153"/>
      <c r="K410" s="153"/>
      <c r="L410" s="153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</row>
    <row r="411" spans="1:27" ht="17.399999999999999">
      <c r="A411" s="156"/>
      <c r="B411" s="152"/>
      <c r="C411" s="152"/>
      <c r="D411" s="152"/>
      <c r="E411" s="152"/>
      <c r="F411" s="152"/>
      <c r="G411" s="152"/>
      <c r="H411" s="153"/>
      <c r="I411" s="153"/>
      <c r="J411" s="153"/>
      <c r="K411" s="153"/>
      <c r="L411" s="153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</row>
    <row r="412" spans="1:27" ht="17.399999999999999">
      <c r="A412" s="156"/>
      <c r="B412" s="152"/>
      <c r="C412" s="152"/>
      <c r="D412" s="152"/>
      <c r="E412" s="152"/>
      <c r="F412" s="152"/>
      <c r="G412" s="152"/>
      <c r="H412" s="153"/>
      <c r="I412" s="153"/>
      <c r="J412" s="153"/>
      <c r="K412" s="153"/>
      <c r="L412" s="153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</row>
    <row r="413" spans="1:27" ht="17.399999999999999">
      <c r="A413" s="156"/>
      <c r="B413" s="152"/>
      <c r="C413" s="152"/>
      <c r="D413" s="152"/>
      <c r="E413" s="152"/>
      <c r="F413" s="152"/>
      <c r="G413" s="152"/>
      <c r="H413" s="153"/>
      <c r="I413" s="153"/>
      <c r="J413" s="153"/>
      <c r="K413" s="153"/>
      <c r="L413" s="153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</row>
    <row r="414" spans="1:27" ht="17.399999999999999">
      <c r="A414" s="156"/>
      <c r="B414" s="152"/>
      <c r="C414" s="152"/>
      <c r="D414" s="152"/>
      <c r="E414" s="152"/>
      <c r="F414" s="152"/>
      <c r="G414" s="152"/>
      <c r="H414" s="153"/>
      <c r="I414" s="153"/>
      <c r="J414" s="153"/>
      <c r="K414" s="153"/>
      <c r="L414" s="153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</row>
    <row r="415" spans="1:27" ht="17.399999999999999">
      <c r="A415" s="156"/>
      <c r="B415" s="152"/>
      <c r="C415" s="152"/>
      <c r="D415" s="152"/>
      <c r="E415" s="152"/>
      <c r="F415" s="152"/>
      <c r="G415" s="152"/>
      <c r="H415" s="153"/>
      <c r="I415" s="153"/>
      <c r="J415" s="153"/>
      <c r="K415" s="153"/>
      <c r="L415" s="153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</row>
    <row r="416" spans="1:27" ht="17.399999999999999">
      <c r="A416" s="156"/>
      <c r="B416" s="152"/>
      <c r="C416" s="152"/>
      <c r="D416" s="152"/>
      <c r="E416" s="152"/>
      <c r="F416" s="152"/>
      <c r="G416" s="152"/>
      <c r="H416" s="153"/>
      <c r="I416" s="153"/>
      <c r="J416" s="153"/>
      <c r="K416" s="153"/>
      <c r="L416" s="153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</row>
    <row r="417" spans="1:27" ht="17.399999999999999">
      <c r="A417" s="156"/>
      <c r="B417" s="152"/>
      <c r="C417" s="152"/>
      <c r="D417" s="152"/>
      <c r="E417" s="152"/>
      <c r="F417" s="152"/>
      <c r="G417" s="152"/>
      <c r="H417" s="153"/>
      <c r="I417" s="153"/>
      <c r="J417" s="153"/>
      <c r="K417" s="153"/>
      <c r="L417" s="153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</row>
    <row r="418" spans="1:27" ht="17.399999999999999">
      <c r="A418" s="156"/>
      <c r="B418" s="152"/>
      <c r="C418" s="152"/>
      <c r="D418" s="152"/>
      <c r="E418" s="152"/>
      <c r="F418" s="152"/>
      <c r="G418" s="152"/>
      <c r="H418" s="153"/>
      <c r="I418" s="153"/>
      <c r="J418" s="153"/>
      <c r="K418" s="153"/>
      <c r="L418" s="153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</row>
    <row r="419" spans="1:27" ht="17.399999999999999">
      <c r="A419" s="156"/>
      <c r="B419" s="152"/>
      <c r="C419" s="152"/>
      <c r="D419" s="152"/>
      <c r="E419" s="152"/>
      <c r="F419" s="152"/>
      <c r="G419" s="152"/>
      <c r="H419" s="153"/>
      <c r="I419" s="153"/>
      <c r="J419" s="153"/>
      <c r="K419" s="153"/>
      <c r="L419" s="153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</row>
    <row r="420" spans="1:27" ht="17.399999999999999">
      <c r="A420" s="156"/>
      <c r="B420" s="152"/>
      <c r="C420" s="152"/>
      <c r="D420" s="152"/>
      <c r="E420" s="152"/>
      <c r="F420" s="152"/>
      <c r="G420" s="152"/>
      <c r="H420" s="153"/>
      <c r="I420" s="153"/>
      <c r="J420" s="153"/>
      <c r="K420" s="153"/>
      <c r="L420" s="153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</row>
    <row r="421" spans="1:27" ht="17.399999999999999">
      <c r="A421" s="156"/>
      <c r="B421" s="152"/>
      <c r="C421" s="152"/>
      <c r="D421" s="152"/>
      <c r="E421" s="152"/>
      <c r="F421" s="152"/>
      <c r="G421" s="152"/>
      <c r="H421" s="153"/>
      <c r="I421" s="153"/>
      <c r="J421" s="153"/>
      <c r="K421" s="153"/>
      <c r="L421" s="153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</row>
    <row r="422" spans="1:27" ht="17.399999999999999">
      <c r="A422" s="156"/>
      <c r="B422" s="152"/>
      <c r="C422" s="152"/>
      <c r="D422" s="152"/>
      <c r="E422" s="152"/>
      <c r="F422" s="152"/>
      <c r="G422" s="152"/>
      <c r="H422" s="153"/>
      <c r="I422" s="153"/>
      <c r="J422" s="153"/>
      <c r="K422" s="153"/>
      <c r="L422" s="153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</row>
    <row r="423" spans="1:27" ht="17.399999999999999">
      <c r="A423" s="156"/>
      <c r="B423" s="152"/>
      <c r="C423" s="152"/>
      <c r="D423" s="152"/>
      <c r="E423" s="152"/>
      <c r="F423" s="152"/>
      <c r="G423" s="152"/>
      <c r="H423" s="153"/>
      <c r="I423" s="153"/>
      <c r="J423" s="153"/>
      <c r="K423" s="153"/>
      <c r="L423" s="153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</row>
    <row r="424" spans="1:27" ht="17.399999999999999">
      <c r="A424" s="156"/>
      <c r="B424" s="152"/>
      <c r="C424" s="152"/>
      <c r="D424" s="152"/>
      <c r="E424" s="152"/>
      <c r="F424" s="152"/>
      <c r="G424" s="152"/>
      <c r="H424" s="153"/>
      <c r="I424" s="153"/>
      <c r="J424" s="153"/>
      <c r="K424" s="153"/>
      <c r="L424" s="153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</row>
    <row r="425" spans="1:27" ht="17.399999999999999">
      <c r="A425" s="156"/>
      <c r="B425" s="152"/>
      <c r="C425" s="152"/>
      <c r="D425" s="152"/>
      <c r="E425" s="152"/>
      <c r="F425" s="152"/>
      <c r="G425" s="152"/>
      <c r="H425" s="153"/>
      <c r="I425" s="153"/>
      <c r="J425" s="153"/>
      <c r="K425" s="153"/>
      <c r="L425" s="153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</row>
    <row r="426" spans="1:27" ht="17.399999999999999">
      <c r="A426" s="156"/>
      <c r="B426" s="152"/>
      <c r="C426" s="152"/>
      <c r="D426" s="152"/>
      <c r="E426" s="152"/>
      <c r="F426" s="152"/>
      <c r="G426" s="152"/>
      <c r="H426" s="153"/>
      <c r="I426" s="153"/>
      <c r="J426" s="153"/>
      <c r="K426" s="153"/>
      <c r="L426" s="153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</row>
    <row r="427" spans="1:27" ht="17.399999999999999">
      <c r="A427" s="156"/>
      <c r="B427" s="152"/>
      <c r="C427" s="152"/>
      <c r="D427" s="152"/>
      <c r="E427" s="152"/>
      <c r="F427" s="152"/>
      <c r="G427" s="152"/>
      <c r="H427" s="153"/>
      <c r="I427" s="153"/>
      <c r="J427" s="153"/>
      <c r="K427" s="153"/>
      <c r="L427" s="153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</row>
    <row r="428" spans="1:27" ht="17.399999999999999">
      <c r="A428" s="156"/>
      <c r="B428" s="152"/>
      <c r="C428" s="152"/>
      <c r="D428" s="152"/>
      <c r="E428" s="152"/>
      <c r="F428" s="152"/>
      <c r="G428" s="152"/>
      <c r="H428" s="153"/>
      <c r="I428" s="153"/>
      <c r="J428" s="153"/>
      <c r="K428" s="153"/>
      <c r="L428" s="153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</row>
    <row r="429" spans="1:27" ht="17.399999999999999">
      <c r="A429" s="156"/>
      <c r="B429" s="152"/>
      <c r="C429" s="152"/>
      <c r="D429" s="152"/>
      <c r="E429" s="152"/>
      <c r="F429" s="152"/>
      <c r="G429" s="152"/>
      <c r="H429" s="153"/>
      <c r="I429" s="153"/>
      <c r="J429" s="153"/>
      <c r="K429" s="153"/>
      <c r="L429" s="153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</row>
    <row r="430" spans="1:27" ht="17.399999999999999">
      <c r="A430" s="156"/>
      <c r="B430" s="152"/>
      <c r="C430" s="152"/>
      <c r="D430" s="152"/>
      <c r="E430" s="152"/>
      <c r="F430" s="152"/>
      <c r="G430" s="152"/>
      <c r="H430" s="153"/>
      <c r="I430" s="153"/>
      <c r="J430" s="153"/>
      <c r="K430" s="153"/>
      <c r="L430" s="153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</row>
    <row r="431" spans="1:27" ht="17.399999999999999">
      <c r="A431" s="156"/>
      <c r="B431" s="152"/>
      <c r="C431" s="152"/>
      <c r="D431" s="152"/>
      <c r="E431" s="152"/>
      <c r="F431" s="152"/>
      <c r="G431" s="152"/>
      <c r="H431" s="153"/>
      <c r="I431" s="153"/>
      <c r="J431" s="153"/>
      <c r="K431" s="153"/>
      <c r="L431" s="153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</row>
    <row r="432" spans="1:27" ht="17.399999999999999">
      <c r="A432" s="156"/>
      <c r="B432" s="152"/>
      <c r="C432" s="152"/>
      <c r="D432" s="152"/>
      <c r="E432" s="152"/>
      <c r="F432" s="152"/>
      <c r="G432" s="152"/>
      <c r="H432" s="153"/>
      <c r="I432" s="153"/>
      <c r="J432" s="153"/>
      <c r="K432" s="153"/>
      <c r="L432" s="153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</row>
    <row r="433" spans="1:27" ht="17.399999999999999">
      <c r="A433" s="156"/>
      <c r="B433" s="152"/>
      <c r="C433" s="152"/>
      <c r="D433" s="152"/>
      <c r="E433" s="152"/>
      <c r="F433" s="152"/>
      <c r="G433" s="152"/>
      <c r="H433" s="153"/>
      <c r="I433" s="153"/>
      <c r="J433" s="153"/>
      <c r="K433" s="153"/>
      <c r="L433" s="153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</row>
    <row r="434" spans="1:27" ht="17.399999999999999">
      <c r="A434" s="156"/>
      <c r="B434" s="152"/>
      <c r="C434" s="152"/>
      <c r="D434" s="152"/>
      <c r="E434" s="152"/>
      <c r="F434" s="152"/>
      <c r="G434" s="152"/>
      <c r="H434" s="153"/>
      <c r="I434" s="153"/>
      <c r="J434" s="153"/>
      <c r="K434" s="153"/>
      <c r="L434" s="153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</row>
    <row r="435" spans="1:27" ht="17.399999999999999">
      <c r="A435" s="156"/>
      <c r="B435" s="152"/>
      <c r="C435" s="152"/>
      <c r="D435" s="152"/>
      <c r="E435" s="152"/>
      <c r="F435" s="152"/>
      <c r="G435" s="152"/>
      <c r="H435" s="153"/>
      <c r="I435" s="153"/>
      <c r="J435" s="153"/>
      <c r="K435" s="153"/>
      <c r="L435" s="153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</row>
    <row r="436" spans="1:27" ht="17.399999999999999">
      <c r="A436" s="156"/>
      <c r="B436" s="152"/>
      <c r="C436" s="152"/>
      <c r="D436" s="152"/>
      <c r="E436" s="152"/>
      <c r="F436" s="152"/>
      <c r="G436" s="152"/>
      <c r="H436" s="153"/>
      <c r="I436" s="153"/>
      <c r="J436" s="153"/>
      <c r="K436" s="153"/>
      <c r="L436" s="153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</row>
    <row r="437" spans="1:27" ht="17.399999999999999">
      <c r="A437" s="156"/>
      <c r="B437" s="152"/>
      <c r="C437" s="152"/>
      <c r="D437" s="152"/>
      <c r="E437" s="152"/>
      <c r="F437" s="152"/>
      <c r="G437" s="152"/>
      <c r="H437" s="153"/>
      <c r="I437" s="153"/>
      <c r="J437" s="153"/>
      <c r="K437" s="153"/>
      <c r="L437" s="153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</row>
    <row r="438" spans="1:27" ht="17.399999999999999">
      <c r="A438" s="156"/>
      <c r="B438" s="152"/>
      <c r="C438" s="152"/>
      <c r="D438" s="152"/>
      <c r="E438" s="152"/>
      <c r="F438" s="152"/>
      <c r="G438" s="152"/>
      <c r="H438" s="153"/>
      <c r="I438" s="153"/>
      <c r="J438" s="153"/>
      <c r="K438" s="153"/>
      <c r="L438" s="153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</row>
    <row r="439" spans="1:27" ht="17.399999999999999">
      <c r="A439" s="156"/>
      <c r="B439" s="152"/>
      <c r="C439" s="152"/>
      <c r="D439" s="152"/>
      <c r="E439" s="152"/>
      <c r="F439" s="152"/>
      <c r="G439" s="152"/>
      <c r="H439" s="153"/>
      <c r="I439" s="153"/>
      <c r="J439" s="153"/>
      <c r="K439" s="153"/>
      <c r="L439" s="153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</row>
    <row r="440" spans="1:27" ht="17.399999999999999">
      <c r="A440" s="156"/>
      <c r="B440" s="152"/>
      <c r="C440" s="152"/>
      <c r="D440" s="152"/>
      <c r="E440" s="152"/>
      <c r="F440" s="152"/>
      <c r="G440" s="152"/>
      <c r="H440" s="153"/>
      <c r="I440" s="153"/>
      <c r="J440" s="153"/>
      <c r="K440" s="153"/>
      <c r="L440" s="153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</row>
    <row r="441" spans="1:27" ht="17.399999999999999">
      <c r="A441" s="156"/>
      <c r="B441" s="152"/>
      <c r="C441" s="152"/>
      <c r="D441" s="152"/>
      <c r="E441" s="152"/>
      <c r="F441" s="152"/>
      <c r="G441" s="152"/>
      <c r="H441" s="153"/>
      <c r="I441" s="153"/>
      <c r="J441" s="153"/>
      <c r="K441" s="153"/>
      <c r="L441" s="153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</row>
    <row r="442" spans="1:27" ht="17.399999999999999">
      <c r="A442" s="156"/>
      <c r="B442" s="152"/>
      <c r="C442" s="152"/>
      <c r="D442" s="152"/>
      <c r="E442" s="152"/>
      <c r="F442" s="152"/>
      <c r="G442" s="152"/>
      <c r="H442" s="153"/>
      <c r="I442" s="153"/>
      <c r="J442" s="153"/>
      <c r="K442" s="153"/>
      <c r="L442" s="153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</row>
    <row r="443" spans="1:27" ht="17.399999999999999">
      <c r="A443" s="156"/>
      <c r="B443" s="152"/>
      <c r="C443" s="152"/>
      <c r="D443" s="152"/>
      <c r="E443" s="152"/>
      <c r="F443" s="152"/>
      <c r="G443" s="152"/>
      <c r="H443" s="153"/>
      <c r="I443" s="153"/>
      <c r="J443" s="153"/>
      <c r="K443" s="153"/>
      <c r="L443" s="153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</row>
    <row r="444" spans="1:27" ht="17.399999999999999">
      <c r="A444" s="156"/>
      <c r="B444" s="152"/>
      <c r="C444" s="152"/>
      <c r="D444" s="152"/>
      <c r="E444" s="152"/>
      <c r="F444" s="152"/>
      <c r="G444" s="152"/>
      <c r="H444" s="153"/>
      <c r="I444" s="153"/>
      <c r="J444" s="153"/>
      <c r="K444" s="153"/>
      <c r="L444" s="153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</row>
    <row r="445" spans="1:27" ht="17.399999999999999">
      <c r="A445" s="156"/>
      <c r="B445" s="152"/>
      <c r="C445" s="152"/>
      <c r="D445" s="152"/>
      <c r="E445" s="152"/>
      <c r="F445" s="152"/>
      <c r="G445" s="152"/>
      <c r="H445" s="153"/>
      <c r="I445" s="153"/>
      <c r="J445" s="153"/>
      <c r="K445" s="153"/>
      <c r="L445" s="153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</row>
    <row r="446" spans="1:27" ht="17.399999999999999">
      <c r="A446" s="156"/>
      <c r="B446" s="152"/>
      <c r="C446" s="152"/>
      <c r="D446" s="152"/>
      <c r="E446" s="152"/>
      <c r="F446" s="152"/>
      <c r="G446" s="152"/>
      <c r="H446" s="153"/>
      <c r="I446" s="153"/>
      <c r="J446" s="153"/>
      <c r="K446" s="153"/>
      <c r="L446" s="153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</row>
    <row r="447" spans="1:27" ht="17.399999999999999">
      <c r="A447" s="156"/>
      <c r="B447" s="152"/>
      <c r="C447" s="152"/>
      <c r="D447" s="152"/>
      <c r="E447" s="152"/>
      <c r="F447" s="152"/>
      <c r="G447" s="152"/>
      <c r="H447" s="153"/>
      <c r="I447" s="153"/>
      <c r="J447" s="153"/>
      <c r="K447" s="153"/>
      <c r="L447" s="153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</row>
    <row r="448" spans="1:27" ht="17.399999999999999">
      <c r="A448" s="156"/>
      <c r="B448" s="152"/>
      <c r="C448" s="152"/>
      <c r="D448" s="152"/>
      <c r="E448" s="152"/>
      <c r="F448" s="152"/>
      <c r="G448" s="152"/>
      <c r="H448" s="153"/>
      <c r="I448" s="153"/>
      <c r="J448" s="153"/>
      <c r="K448" s="153"/>
      <c r="L448" s="153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</row>
    <row r="449" spans="1:27" ht="17.399999999999999">
      <c r="A449" s="156"/>
      <c r="B449" s="152"/>
      <c r="C449" s="152"/>
      <c r="D449" s="152"/>
      <c r="E449" s="152"/>
      <c r="F449" s="152"/>
      <c r="G449" s="152"/>
      <c r="H449" s="153"/>
      <c r="I449" s="153"/>
      <c r="J449" s="153"/>
      <c r="K449" s="153"/>
      <c r="L449" s="153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</row>
    <row r="450" spans="1:27" ht="17.399999999999999">
      <c r="A450" s="156"/>
      <c r="B450" s="152"/>
      <c r="C450" s="152"/>
      <c r="D450" s="152"/>
      <c r="E450" s="152"/>
      <c r="F450" s="152"/>
      <c r="G450" s="152"/>
      <c r="H450" s="153"/>
      <c r="I450" s="153"/>
      <c r="J450" s="153"/>
      <c r="K450" s="153"/>
      <c r="L450" s="153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</row>
    <row r="451" spans="1:27" ht="17.399999999999999">
      <c r="A451" s="156"/>
      <c r="B451" s="152"/>
      <c r="C451" s="152"/>
      <c r="D451" s="152"/>
      <c r="E451" s="152"/>
      <c r="F451" s="152"/>
      <c r="G451" s="152"/>
      <c r="H451" s="153"/>
      <c r="I451" s="153"/>
      <c r="J451" s="153"/>
      <c r="K451" s="153"/>
      <c r="L451" s="153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</row>
    <row r="452" spans="1:27" ht="17.399999999999999">
      <c r="A452" s="156"/>
      <c r="B452" s="152"/>
      <c r="C452" s="152"/>
      <c r="D452" s="152"/>
      <c r="E452" s="152"/>
      <c r="F452" s="152"/>
      <c r="G452" s="152"/>
      <c r="H452" s="153"/>
      <c r="I452" s="153"/>
      <c r="J452" s="153"/>
      <c r="K452" s="153"/>
      <c r="L452" s="153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</row>
    <row r="453" spans="1:27" ht="17.399999999999999">
      <c r="A453" s="156"/>
      <c r="B453" s="152"/>
      <c r="C453" s="152"/>
      <c r="D453" s="152"/>
      <c r="E453" s="152"/>
      <c r="F453" s="152"/>
      <c r="G453" s="152"/>
      <c r="H453" s="153"/>
      <c r="I453" s="153"/>
      <c r="J453" s="153"/>
      <c r="K453" s="153"/>
      <c r="L453" s="153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</row>
    <row r="454" spans="1:27" ht="17.399999999999999">
      <c r="A454" s="156"/>
      <c r="B454" s="152"/>
      <c r="C454" s="152"/>
      <c r="D454" s="152"/>
      <c r="E454" s="152"/>
      <c r="F454" s="152"/>
      <c r="G454" s="152"/>
      <c r="H454" s="153"/>
      <c r="I454" s="153"/>
      <c r="J454" s="153"/>
      <c r="K454" s="153"/>
      <c r="L454" s="153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</row>
    <row r="455" spans="1:27" ht="17.399999999999999">
      <c r="A455" s="156"/>
      <c r="B455" s="152"/>
      <c r="C455" s="152"/>
      <c r="D455" s="152"/>
      <c r="E455" s="152"/>
      <c r="F455" s="152"/>
      <c r="G455" s="152"/>
      <c r="H455" s="153"/>
      <c r="I455" s="153"/>
      <c r="J455" s="153"/>
      <c r="K455" s="153"/>
      <c r="L455" s="153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</row>
    <row r="456" spans="1:27" ht="17.399999999999999">
      <c r="A456" s="156"/>
      <c r="B456" s="152"/>
      <c r="C456" s="152"/>
      <c r="D456" s="152"/>
      <c r="E456" s="152"/>
      <c r="F456" s="152"/>
      <c r="G456" s="152"/>
      <c r="H456" s="153"/>
      <c r="I456" s="153"/>
      <c r="J456" s="153"/>
      <c r="K456" s="153"/>
      <c r="L456" s="153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</row>
    <row r="457" spans="1:27" ht="17.399999999999999">
      <c r="A457" s="156"/>
      <c r="B457" s="152"/>
      <c r="C457" s="152"/>
      <c r="D457" s="152"/>
      <c r="E457" s="152"/>
      <c r="F457" s="152"/>
      <c r="G457" s="152"/>
      <c r="H457" s="153"/>
      <c r="I457" s="153"/>
      <c r="J457" s="153"/>
      <c r="K457" s="153"/>
      <c r="L457" s="153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</row>
    <row r="458" spans="1:27" ht="17.399999999999999">
      <c r="A458" s="156"/>
      <c r="B458" s="152"/>
      <c r="C458" s="152"/>
      <c r="D458" s="152"/>
      <c r="E458" s="152"/>
      <c r="F458" s="152"/>
      <c r="G458" s="152"/>
      <c r="H458" s="153"/>
      <c r="I458" s="153"/>
      <c r="J458" s="153"/>
      <c r="K458" s="153"/>
      <c r="L458" s="153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</row>
    <row r="459" spans="1:27" ht="17.399999999999999">
      <c r="A459" s="156"/>
      <c r="B459" s="152"/>
      <c r="C459" s="152"/>
      <c r="D459" s="152"/>
      <c r="E459" s="152"/>
      <c r="F459" s="152"/>
      <c r="G459" s="152"/>
      <c r="H459" s="153"/>
      <c r="I459" s="153"/>
      <c r="J459" s="153"/>
      <c r="K459" s="153"/>
      <c r="L459" s="153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</row>
    <row r="460" spans="1:27" ht="17.399999999999999">
      <c r="A460" s="156"/>
      <c r="B460" s="152"/>
      <c r="C460" s="152"/>
      <c r="D460" s="152"/>
      <c r="E460" s="152"/>
      <c r="F460" s="152"/>
      <c r="G460" s="152"/>
      <c r="H460" s="153"/>
      <c r="I460" s="153"/>
      <c r="J460" s="153"/>
      <c r="K460" s="153"/>
      <c r="L460" s="153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</row>
    <row r="461" spans="1:27" ht="17.399999999999999">
      <c r="A461" s="156"/>
      <c r="B461" s="152"/>
      <c r="C461" s="152"/>
      <c r="D461" s="152"/>
      <c r="E461" s="152"/>
      <c r="F461" s="152"/>
      <c r="G461" s="152"/>
      <c r="H461" s="153"/>
      <c r="I461" s="153"/>
      <c r="J461" s="153"/>
      <c r="K461" s="153"/>
      <c r="L461" s="153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</row>
    <row r="462" spans="1:27" ht="17.399999999999999">
      <c r="A462" s="156"/>
      <c r="B462" s="152"/>
      <c r="C462" s="152"/>
      <c r="D462" s="152"/>
      <c r="E462" s="152"/>
      <c r="F462" s="152"/>
      <c r="G462" s="152"/>
      <c r="H462" s="153"/>
      <c r="I462" s="153"/>
      <c r="J462" s="153"/>
      <c r="K462" s="153"/>
      <c r="L462" s="153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</row>
    <row r="463" spans="1:27" ht="17.399999999999999">
      <c r="A463" s="156"/>
      <c r="B463" s="152"/>
      <c r="C463" s="152"/>
      <c r="D463" s="152"/>
      <c r="E463" s="152"/>
      <c r="F463" s="152"/>
      <c r="G463" s="152"/>
      <c r="H463" s="153"/>
      <c r="I463" s="153"/>
      <c r="J463" s="153"/>
      <c r="K463" s="153"/>
      <c r="L463" s="153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</row>
    <row r="464" spans="1:27" ht="17.399999999999999">
      <c r="A464" s="156"/>
      <c r="B464" s="152"/>
      <c r="C464" s="152"/>
      <c r="D464" s="152"/>
      <c r="E464" s="152"/>
      <c r="F464" s="152"/>
      <c r="G464" s="152"/>
      <c r="H464" s="153"/>
      <c r="I464" s="153"/>
      <c r="J464" s="153"/>
      <c r="K464" s="153"/>
      <c r="L464" s="153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</row>
    <row r="465" spans="1:27" ht="17.399999999999999">
      <c r="A465" s="156"/>
      <c r="B465" s="152"/>
      <c r="C465" s="152"/>
      <c r="D465" s="152"/>
      <c r="E465" s="152"/>
      <c r="F465" s="152"/>
      <c r="G465" s="152"/>
      <c r="H465" s="153"/>
      <c r="I465" s="153"/>
      <c r="J465" s="153"/>
      <c r="K465" s="153"/>
      <c r="L465" s="153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</row>
    <row r="466" spans="1:27" ht="17.399999999999999">
      <c r="A466" s="156"/>
      <c r="B466" s="152"/>
      <c r="C466" s="152"/>
      <c r="D466" s="152"/>
      <c r="E466" s="152"/>
      <c r="F466" s="152"/>
      <c r="G466" s="152"/>
      <c r="H466" s="153"/>
      <c r="I466" s="153"/>
      <c r="J466" s="153"/>
      <c r="K466" s="153"/>
      <c r="L466" s="153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</row>
    <row r="467" spans="1:27" ht="17.399999999999999">
      <c r="A467" s="156"/>
      <c r="B467" s="152"/>
      <c r="C467" s="152"/>
      <c r="D467" s="152"/>
      <c r="E467" s="152"/>
      <c r="F467" s="152"/>
      <c r="G467" s="152"/>
      <c r="H467" s="153"/>
      <c r="I467" s="153"/>
      <c r="J467" s="153"/>
      <c r="K467" s="153"/>
      <c r="L467" s="153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</row>
    <row r="468" spans="1:27" ht="17.399999999999999">
      <c r="A468" s="156"/>
      <c r="B468" s="152"/>
      <c r="C468" s="152"/>
      <c r="D468" s="152"/>
      <c r="E468" s="152"/>
      <c r="F468" s="152"/>
      <c r="G468" s="152"/>
      <c r="H468" s="153"/>
      <c r="I468" s="153"/>
      <c r="J468" s="153"/>
      <c r="K468" s="153"/>
      <c r="L468" s="153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</row>
    <row r="469" spans="1:27" ht="17.399999999999999">
      <c r="A469" s="156"/>
      <c r="B469" s="152"/>
      <c r="C469" s="152"/>
      <c r="D469" s="152"/>
      <c r="E469" s="152"/>
      <c r="F469" s="152"/>
      <c r="G469" s="152"/>
      <c r="H469" s="153"/>
      <c r="I469" s="153"/>
      <c r="J469" s="153"/>
      <c r="K469" s="153"/>
      <c r="L469" s="153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</row>
    <row r="470" spans="1:27" ht="17.399999999999999">
      <c r="A470" s="156"/>
      <c r="B470" s="152"/>
      <c r="C470" s="152"/>
      <c r="D470" s="152"/>
      <c r="E470" s="152"/>
      <c r="F470" s="152"/>
      <c r="G470" s="152"/>
      <c r="H470" s="153"/>
      <c r="I470" s="153"/>
      <c r="J470" s="153"/>
      <c r="K470" s="153"/>
      <c r="L470" s="153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</row>
    <row r="471" spans="1:27" ht="17.399999999999999">
      <c r="A471" s="156"/>
      <c r="B471" s="152"/>
      <c r="C471" s="152"/>
      <c r="D471" s="152"/>
      <c r="E471" s="152"/>
      <c r="F471" s="152"/>
      <c r="G471" s="152"/>
      <c r="H471" s="153"/>
      <c r="I471" s="153"/>
      <c r="J471" s="153"/>
      <c r="K471" s="153"/>
      <c r="L471" s="153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</row>
    <row r="472" spans="1:27" ht="17.399999999999999">
      <c r="A472" s="156"/>
      <c r="B472" s="152"/>
      <c r="C472" s="152"/>
      <c r="D472" s="152"/>
      <c r="E472" s="152"/>
      <c r="F472" s="152"/>
      <c r="G472" s="152"/>
      <c r="H472" s="153"/>
      <c r="I472" s="153"/>
      <c r="J472" s="153"/>
      <c r="K472" s="153"/>
      <c r="L472" s="153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</row>
    <row r="473" spans="1:27" ht="17.399999999999999">
      <c r="A473" s="156"/>
      <c r="B473" s="152"/>
      <c r="C473" s="152"/>
      <c r="D473" s="152"/>
      <c r="E473" s="152"/>
      <c r="F473" s="152"/>
      <c r="G473" s="152"/>
      <c r="H473" s="153"/>
      <c r="I473" s="153"/>
      <c r="J473" s="153"/>
      <c r="K473" s="153"/>
      <c r="L473" s="153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</row>
    <row r="474" spans="1:27" ht="17.399999999999999">
      <c r="A474" s="156"/>
      <c r="B474" s="152"/>
      <c r="C474" s="152"/>
      <c r="D474" s="152"/>
      <c r="E474" s="152"/>
      <c r="F474" s="152"/>
      <c r="G474" s="152"/>
      <c r="H474" s="153"/>
      <c r="I474" s="153"/>
      <c r="J474" s="153"/>
      <c r="K474" s="153"/>
      <c r="L474" s="153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 spans="1:27" ht="17.399999999999999">
      <c r="A475" s="156"/>
      <c r="B475" s="152"/>
      <c r="C475" s="152"/>
      <c r="D475" s="152"/>
      <c r="E475" s="152"/>
      <c r="F475" s="152"/>
      <c r="G475" s="152"/>
      <c r="H475" s="153"/>
      <c r="I475" s="153"/>
      <c r="J475" s="153"/>
      <c r="K475" s="153"/>
      <c r="L475" s="153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76" spans="1:27" ht="17.399999999999999">
      <c r="A476" s="156"/>
      <c r="B476" s="152"/>
      <c r="C476" s="152"/>
      <c r="D476" s="152"/>
      <c r="E476" s="152"/>
      <c r="F476" s="152"/>
      <c r="G476" s="152"/>
      <c r="H476" s="153"/>
      <c r="I476" s="153"/>
      <c r="J476" s="153"/>
      <c r="K476" s="153"/>
      <c r="L476" s="153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</row>
    <row r="477" spans="1:27" ht="17.399999999999999">
      <c r="A477" s="156"/>
      <c r="B477" s="152"/>
      <c r="C477" s="152"/>
      <c r="D477" s="152"/>
      <c r="E477" s="152"/>
      <c r="F477" s="152"/>
      <c r="G477" s="152"/>
      <c r="H477" s="153"/>
      <c r="I477" s="153"/>
      <c r="J477" s="153"/>
      <c r="K477" s="153"/>
      <c r="L477" s="153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</row>
    <row r="478" spans="1:27" ht="17.399999999999999">
      <c r="A478" s="156"/>
      <c r="B478" s="152"/>
      <c r="C478" s="152"/>
      <c r="D478" s="152"/>
      <c r="E478" s="152"/>
      <c r="F478" s="152"/>
      <c r="G478" s="152"/>
      <c r="H478" s="153"/>
      <c r="I478" s="153"/>
      <c r="J478" s="153"/>
      <c r="K478" s="153"/>
      <c r="L478" s="153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</row>
    <row r="479" spans="1:27" ht="17.399999999999999">
      <c r="A479" s="156"/>
      <c r="B479" s="152"/>
      <c r="C479" s="152"/>
      <c r="D479" s="152"/>
      <c r="E479" s="152"/>
      <c r="F479" s="152"/>
      <c r="G479" s="152"/>
      <c r="H479" s="153"/>
      <c r="I479" s="153"/>
      <c r="J479" s="153"/>
      <c r="K479" s="153"/>
      <c r="L479" s="153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</row>
    <row r="480" spans="1:27" ht="17.399999999999999">
      <c r="A480" s="156"/>
      <c r="B480" s="152"/>
      <c r="C480" s="152"/>
      <c r="D480" s="152"/>
      <c r="E480" s="152"/>
      <c r="F480" s="152"/>
      <c r="G480" s="152"/>
      <c r="H480" s="153"/>
      <c r="I480" s="153"/>
      <c r="J480" s="153"/>
      <c r="K480" s="153"/>
      <c r="L480" s="153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 spans="1:27" ht="17.399999999999999">
      <c r="A481" s="156"/>
      <c r="B481" s="152"/>
      <c r="C481" s="152"/>
      <c r="D481" s="152"/>
      <c r="E481" s="152"/>
      <c r="F481" s="152"/>
      <c r="G481" s="152"/>
      <c r="H481" s="153"/>
      <c r="I481" s="153"/>
      <c r="J481" s="153"/>
      <c r="K481" s="153"/>
      <c r="L481" s="153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  <row r="482" spans="1:27" ht="17.399999999999999">
      <c r="A482" s="156"/>
      <c r="B482" s="152"/>
      <c r="C482" s="152"/>
      <c r="D482" s="152"/>
      <c r="E482" s="152"/>
      <c r="F482" s="152"/>
      <c r="G482" s="152"/>
      <c r="H482" s="153"/>
      <c r="I482" s="153"/>
      <c r="J482" s="153"/>
      <c r="K482" s="153"/>
      <c r="L482" s="153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</row>
    <row r="483" spans="1:27" ht="17.399999999999999">
      <c r="A483" s="156"/>
      <c r="B483" s="152"/>
      <c r="C483" s="152"/>
      <c r="D483" s="152"/>
      <c r="E483" s="152"/>
      <c r="F483" s="152"/>
      <c r="G483" s="152"/>
      <c r="H483" s="153"/>
      <c r="I483" s="153"/>
      <c r="J483" s="153"/>
      <c r="K483" s="153"/>
      <c r="L483" s="153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</row>
    <row r="484" spans="1:27" ht="17.399999999999999">
      <c r="A484" s="156"/>
      <c r="B484" s="152"/>
      <c r="C484" s="152"/>
      <c r="D484" s="152"/>
      <c r="E484" s="152"/>
      <c r="F484" s="152"/>
      <c r="G484" s="152"/>
      <c r="H484" s="153"/>
      <c r="I484" s="153"/>
      <c r="J484" s="153"/>
      <c r="K484" s="153"/>
      <c r="L484" s="153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</row>
    <row r="485" spans="1:27" ht="17.399999999999999">
      <c r="A485" s="156"/>
      <c r="B485" s="152"/>
      <c r="C485" s="152"/>
      <c r="D485" s="152"/>
      <c r="E485" s="152"/>
      <c r="F485" s="152"/>
      <c r="G485" s="152"/>
      <c r="H485" s="153"/>
      <c r="I485" s="153"/>
      <c r="J485" s="153"/>
      <c r="K485" s="153"/>
      <c r="L485" s="153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</row>
    <row r="486" spans="1:27" ht="17.399999999999999">
      <c r="A486" s="156"/>
      <c r="B486" s="152"/>
      <c r="C486" s="152"/>
      <c r="D486" s="152"/>
      <c r="E486" s="152"/>
      <c r="F486" s="152"/>
      <c r="G486" s="152"/>
      <c r="H486" s="153"/>
      <c r="I486" s="153"/>
      <c r="J486" s="153"/>
      <c r="K486" s="153"/>
      <c r="L486" s="153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</row>
    <row r="487" spans="1:27" ht="17.399999999999999">
      <c r="A487" s="156"/>
      <c r="B487" s="152"/>
      <c r="C487" s="152"/>
      <c r="D487" s="152"/>
      <c r="E487" s="152"/>
      <c r="F487" s="152"/>
      <c r="G487" s="152"/>
      <c r="H487" s="153"/>
      <c r="I487" s="153"/>
      <c r="J487" s="153"/>
      <c r="K487" s="153"/>
      <c r="L487" s="153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</row>
    <row r="488" spans="1:27" ht="17.399999999999999">
      <c r="A488" s="156"/>
      <c r="B488" s="152"/>
      <c r="C488" s="152"/>
      <c r="D488" s="152"/>
      <c r="E488" s="152"/>
      <c r="F488" s="152"/>
      <c r="G488" s="152"/>
      <c r="H488" s="153"/>
      <c r="I488" s="153"/>
      <c r="J488" s="153"/>
      <c r="K488" s="153"/>
      <c r="L488" s="153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</row>
    <row r="489" spans="1:27" ht="17.399999999999999">
      <c r="A489" s="156"/>
      <c r="B489" s="152"/>
      <c r="C489" s="152"/>
      <c r="D489" s="152"/>
      <c r="E489" s="152"/>
      <c r="F489" s="152"/>
      <c r="G489" s="152"/>
      <c r="H489" s="153"/>
      <c r="I489" s="153"/>
      <c r="J489" s="153"/>
      <c r="K489" s="153"/>
      <c r="L489" s="153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</row>
    <row r="490" spans="1:27" ht="17.399999999999999">
      <c r="A490" s="156"/>
      <c r="B490" s="152"/>
      <c r="C490" s="152"/>
      <c r="D490" s="152"/>
      <c r="E490" s="152"/>
      <c r="F490" s="152"/>
      <c r="G490" s="152"/>
      <c r="H490" s="153"/>
      <c r="I490" s="153"/>
      <c r="J490" s="153"/>
      <c r="K490" s="153"/>
      <c r="L490" s="153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</row>
    <row r="491" spans="1:27" ht="17.399999999999999">
      <c r="A491" s="156"/>
      <c r="B491" s="152"/>
      <c r="C491" s="152"/>
      <c r="D491" s="152"/>
      <c r="E491" s="152"/>
      <c r="F491" s="152"/>
      <c r="G491" s="152"/>
      <c r="H491" s="153"/>
      <c r="I491" s="153"/>
      <c r="J491" s="153"/>
      <c r="K491" s="153"/>
      <c r="L491" s="153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</row>
    <row r="492" spans="1:27" ht="17.399999999999999">
      <c r="A492" s="156"/>
      <c r="B492" s="152"/>
      <c r="C492" s="152"/>
      <c r="D492" s="152"/>
      <c r="E492" s="152"/>
      <c r="F492" s="152"/>
      <c r="G492" s="152"/>
      <c r="H492" s="153"/>
      <c r="I492" s="153"/>
      <c r="J492" s="153"/>
      <c r="K492" s="153"/>
      <c r="L492" s="153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</row>
    <row r="493" spans="1:27" ht="17.399999999999999">
      <c r="A493" s="156"/>
      <c r="B493" s="152"/>
      <c r="C493" s="152"/>
      <c r="D493" s="152"/>
      <c r="E493" s="152"/>
      <c r="F493" s="152"/>
      <c r="G493" s="152"/>
      <c r="H493" s="153"/>
      <c r="I493" s="153"/>
      <c r="J493" s="153"/>
      <c r="K493" s="153"/>
      <c r="L493" s="153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</row>
    <row r="494" spans="1:27" ht="17.399999999999999">
      <c r="A494" s="156"/>
      <c r="B494" s="152"/>
      <c r="C494" s="152"/>
      <c r="D494" s="152"/>
      <c r="E494" s="152"/>
      <c r="F494" s="152"/>
      <c r="G494" s="152"/>
      <c r="H494" s="153"/>
      <c r="I494" s="153"/>
      <c r="J494" s="153"/>
      <c r="K494" s="153"/>
      <c r="L494" s="153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</row>
    <row r="495" spans="1:27" ht="17.399999999999999">
      <c r="A495" s="156"/>
      <c r="B495" s="152"/>
      <c r="C495" s="152"/>
      <c r="D495" s="152"/>
      <c r="E495" s="152"/>
      <c r="F495" s="152"/>
      <c r="G495" s="152"/>
      <c r="H495" s="153"/>
      <c r="I495" s="153"/>
      <c r="J495" s="153"/>
      <c r="K495" s="153"/>
      <c r="L495" s="153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</row>
    <row r="496" spans="1:27" ht="17.399999999999999">
      <c r="A496" s="156"/>
      <c r="B496" s="152"/>
      <c r="C496" s="152"/>
      <c r="D496" s="152"/>
      <c r="E496" s="152"/>
      <c r="F496" s="152"/>
      <c r="G496" s="152"/>
      <c r="H496" s="153"/>
      <c r="I496" s="153"/>
      <c r="J496" s="153"/>
      <c r="K496" s="153"/>
      <c r="L496" s="153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</row>
    <row r="497" spans="1:27" ht="17.399999999999999">
      <c r="A497" s="156"/>
      <c r="B497" s="152"/>
      <c r="C497" s="152"/>
      <c r="D497" s="152"/>
      <c r="E497" s="152"/>
      <c r="F497" s="152"/>
      <c r="G497" s="152"/>
      <c r="H497" s="153"/>
      <c r="I497" s="153"/>
      <c r="J497" s="153"/>
      <c r="K497" s="153"/>
      <c r="L497" s="153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</row>
    <row r="498" spans="1:27" ht="17.399999999999999">
      <c r="A498" s="156"/>
      <c r="B498" s="152"/>
      <c r="C498" s="152"/>
      <c r="D498" s="152"/>
      <c r="E498" s="152"/>
      <c r="F498" s="152"/>
      <c r="G498" s="152"/>
      <c r="H498" s="153"/>
      <c r="I498" s="153"/>
      <c r="J498" s="153"/>
      <c r="K498" s="153"/>
      <c r="L498" s="153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</row>
    <row r="499" spans="1:27" ht="17.399999999999999">
      <c r="A499" s="156"/>
      <c r="B499" s="152"/>
      <c r="C499" s="152"/>
      <c r="D499" s="152"/>
      <c r="E499" s="152"/>
      <c r="F499" s="152"/>
      <c r="G499" s="152"/>
      <c r="H499" s="153"/>
      <c r="I499" s="153"/>
      <c r="J499" s="153"/>
      <c r="K499" s="153"/>
      <c r="L499" s="153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</row>
    <row r="500" spans="1:27" ht="17.399999999999999">
      <c r="A500" s="156"/>
      <c r="B500" s="152"/>
      <c r="C500" s="152"/>
      <c r="D500" s="152"/>
      <c r="E500" s="152"/>
      <c r="F500" s="152"/>
      <c r="G500" s="152"/>
      <c r="H500" s="153"/>
      <c r="I500" s="153"/>
      <c r="J500" s="153"/>
      <c r="K500" s="153"/>
      <c r="L500" s="153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</row>
    <row r="501" spans="1:27" ht="17.399999999999999">
      <c r="A501" s="156"/>
      <c r="B501" s="152"/>
      <c r="C501" s="152"/>
      <c r="D501" s="152"/>
      <c r="E501" s="152"/>
      <c r="F501" s="152"/>
      <c r="G501" s="152"/>
      <c r="H501" s="153"/>
      <c r="I501" s="153"/>
      <c r="J501" s="153"/>
      <c r="K501" s="153"/>
      <c r="L501" s="153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</row>
    <row r="502" spans="1:27" ht="17.399999999999999">
      <c r="A502" s="156"/>
      <c r="B502" s="152"/>
      <c r="C502" s="152"/>
      <c r="D502" s="152"/>
      <c r="E502" s="152"/>
      <c r="F502" s="152"/>
      <c r="G502" s="152"/>
      <c r="H502" s="153"/>
      <c r="I502" s="153"/>
      <c r="J502" s="153"/>
      <c r="K502" s="153"/>
      <c r="L502" s="153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</row>
    <row r="503" spans="1:27" ht="17.399999999999999">
      <c r="A503" s="156"/>
      <c r="B503" s="152"/>
      <c r="C503" s="152"/>
      <c r="D503" s="152"/>
      <c r="E503" s="152"/>
      <c r="F503" s="152"/>
      <c r="G503" s="152"/>
      <c r="H503" s="153"/>
      <c r="I503" s="153"/>
      <c r="J503" s="153"/>
      <c r="K503" s="153"/>
      <c r="L503" s="153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</row>
    <row r="504" spans="1:27" ht="17.399999999999999">
      <c r="A504" s="156"/>
      <c r="B504" s="152"/>
      <c r="C504" s="152"/>
      <c r="D504" s="152"/>
      <c r="E504" s="152"/>
      <c r="F504" s="152"/>
      <c r="G504" s="152"/>
      <c r="H504" s="153"/>
      <c r="I504" s="153"/>
      <c r="J504" s="153"/>
      <c r="K504" s="153"/>
      <c r="L504" s="153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</row>
    <row r="505" spans="1:27" ht="17.399999999999999">
      <c r="A505" s="156"/>
      <c r="B505" s="152"/>
      <c r="C505" s="152"/>
      <c r="D505" s="152"/>
      <c r="E505" s="152"/>
      <c r="F505" s="152"/>
      <c r="G505" s="152"/>
      <c r="H505" s="153"/>
      <c r="I505" s="153"/>
      <c r="J505" s="153"/>
      <c r="K505" s="153"/>
      <c r="L505" s="153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</row>
    <row r="506" spans="1:27" ht="17.399999999999999">
      <c r="A506" s="156"/>
      <c r="B506" s="152"/>
      <c r="C506" s="152"/>
      <c r="D506" s="152"/>
      <c r="E506" s="152"/>
      <c r="F506" s="152"/>
      <c r="G506" s="152"/>
      <c r="H506" s="153"/>
      <c r="I506" s="153"/>
      <c r="J506" s="153"/>
      <c r="K506" s="153"/>
      <c r="L506" s="153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</row>
    <row r="507" spans="1:27" ht="17.399999999999999">
      <c r="A507" s="156"/>
      <c r="B507" s="152"/>
      <c r="C507" s="152"/>
      <c r="D507" s="152"/>
      <c r="E507" s="152"/>
      <c r="F507" s="152"/>
      <c r="G507" s="152"/>
      <c r="H507" s="153"/>
      <c r="I507" s="153"/>
      <c r="J507" s="153"/>
      <c r="K507" s="153"/>
      <c r="L507" s="153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</row>
    <row r="508" spans="1:27" ht="17.399999999999999">
      <c r="A508" s="156"/>
      <c r="B508" s="152"/>
      <c r="C508" s="152"/>
      <c r="D508" s="152"/>
      <c r="E508" s="152"/>
      <c r="F508" s="152"/>
      <c r="G508" s="152"/>
      <c r="H508" s="153"/>
      <c r="I508" s="153"/>
      <c r="J508" s="153"/>
      <c r="K508" s="153"/>
      <c r="L508" s="153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</row>
    <row r="509" spans="1:27" ht="17.399999999999999">
      <c r="A509" s="156"/>
      <c r="B509" s="152"/>
      <c r="C509" s="152"/>
      <c r="D509" s="152"/>
      <c r="E509" s="152"/>
      <c r="F509" s="152"/>
      <c r="G509" s="152"/>
      <c r="H509" s="153"/>
      <c r="I509" s="153"/>
      <c r="J509" s="153"/>
      <c r="K509" s="153"/>
      <c r="L509" s="153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</row>
    <row r="510" spans="1:27" ht="17.399999999999999">
      <c r="A510" s="156"/>
      <c r="B510" s="152"/>
      <c r="C510" s="152"/>
      <c r="D510" s="152"/>
      <c r="E510" s="152"/>
      <c r="F510" s="152"/>
      <c r="G510" s="152"/>
      <c r="H510" s="153"/>
      <c r="I510" s="153"/>
      <c r="J510" s="153"/>
      <c r="K510" s="153"/>
      <c r="L510" s="153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</row>
    <row r="511" spans="1:27" ht="17.399999999999999">
      <c r="A511" s="156"/>
      <c r="B511" s="152"/>
      <c r="C511" s="152"/>
      <c r="D511" s="152"/>
      <c r="E511" s="152"/>
      <c r="F511" s="152"/>
      <c r="G511" s="152"/>
      <c r="H511" s="153"/>
      <c r="I511" s="153"/>
      <c r="J511" s="153"/>
      <c r="K511" s="153"/>
      <c r="L511" s="153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</row>
    <row r="512" spans="1:27" ht="17.399999999999999">
      <c r="A512" s="156"/>
      <c r="B512" s="152"/>
      <c r="C512" s="152"/>
      <c r="D512" s="152"/>
      <c r="E512" s="152"/>
      <c r="F512" s="152"/>
      <c r="G512" s="152"/>
      <c r="H512" s="153"/>
      <c r="I512" s="153"/>
      <c r="J512" s="153"/>
      <c r="K512" s="153"/>
      <c r="L512" s="153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</row>
    <row r="513" spans="1:27" ht="17.399999999999999">
      <c r="A513" s="156"/>
      <c r="B513" s="152"/>
      <c r="C513" s="152"/>
      <c r="D513" s="152"/>
      <c r="E513" s="152"/>
      <c r="F513" s="152"/>
      <c r="G513" s="152"/>
      <c r="H513" s="153"/>
      <c r="I513" s="153"/>
      <c r="J513" s="153"/>
      <c r="K513" s="153"/>
      <c r="L513" s="153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</row>
    <row r="514" spans="1:27" ht="17.399999999999999">
      <c r="A514" s="156"/>
      <c r="B514" s="152"/>
      <c r="C514" s="152"/>
      <c r="D514" s="152"/>
      <c r="E514" s="152"/>
      <c r="F514" s="152"/>
      <c r="G514" s="152"/>
      <c r="H514" s="153"/>
      <c r="I514" s="153"/>
      <c r="J514" s="153"/>
      <c r="K514" s="153"/>
      <c r="L514" s="153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</row>
    <row r="515" spans="1:27" ht="17.399999999999999">
      <c r="A515" s="156"/>
      <c r="B515" s="152"/>
      <c r="C515" s="152"/>
      <c r="D515" s="152"/>
      <c r="E515" s="152"/>
      <c r="F515" s="152"/>
      <c r="G515" s="152"/>
      <c r="H515" s="153"/>
      <c r="I515" s="153"/>
      <c r="J515" s="153"/>
      <c r="K515" s="153"/>
      <c r="L515" s="153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</row>
    <row r="516" spans="1:27" ht="17.399999999999999">
      <c r="A516" s="156"/>
      <c r="B516" s="152"/>
      <c r="C516" s="152"/>
      <c r="D516" s="152"/>
      <c r="E516" s="152"/>
      <c r="F516" s="152"/>
      <c r="G516" s="152"/>
      <c r="H516" s="153"/>
      <c r="I516" s="153"/>
      <c r="J516" s="153"/>
      <c r="K516" s="153"/>
      <c r="L516" s="153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</row>
    <row r="517" spans="1:27" ht="17.399999999999999">
      <c r="A517" s="156"/>
      <c r="B517" s="152"/>
      <c r="C517" s="152"/>
      <c r="D517" s="152"/>
      <c r="E517" s="152"/>
      <c r="F517" s="152"/>
      <c r="G517" s="152"/>
      <c r="H517" s="153"/>
      <c r="I517" s="153"/>
      <c r="J517" s="153"/>
      <c r="K517" s="153"/>
      <c r="L517" s="153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</row>
    <row r="518" spans="1:27" ht="17.399999999999999">
      <c r="A518" s="156"/>
      <c r="B518" s="152"/>
      <c r="C518" s="152"/>
      <c r="D518" s="152"/>
      <c r="E518" s="152"/>
      <c r="F518" s="152"/>
      <c r="G518" s="152"/>
      <c r="H518" s="153"/>
      <c r="I518" s="153"/>
      <c r="J518" s="153"/>
      <c r="K518" s="153"/>
      <c r="L518" s="153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</row>
    <row r="519" spans="1:27" ht="17.399999999999999">
      <c r="A519" s="156"/>
      <c r="B519" s="152"/>
      <c r="C519" s="152"/>
      <c r="D519" s="152"/>
      <c r="E519" s="152"/>
      <c r="F519" s="152"/>
      <c r="G519" s="152"/>
      <c r="H519" s="153"/>
      <c r="I519" s="153"/>
      <c r="J519" s="153"/>
      <c r="K519" s="153"/>
      <c r="L519" s="153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</row>
    <row r="520" spans="1:27" ht="17.399999999999999">
      <c r="A520" s="156"/>
      <c r="B520" s="152"/>
      <c r="C520" s="152"/>
      <c r="D520" s="152"/>
      <c r="E520" s="152"/>
      <c r="F520" s="152"/>
      <c r="G520" s="152"/>
      <c r="H520" s="153"/>
      <c r="I520" s="153"/>
      <c r="J520" s="153"/>
      <c r="K520" s="153"/>
      <c r="L520" s="153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</row>
    <row r="521" spans="1:27" ht="17.399999999999999">
      <c r="A521" s="156"/>
      <c r="B521" s="152"/>
      <c r="C521" s="152"/>
      <c r="D521" s="152"/>
      <c r="E521" s="152"/>
      <c r="F521" s="152"/>
      <c r="G521" s="152"/>
      <c r="H521" s="153"/>
      <c r="I521" s="153"/>
      <c r="J521" s="153"/>
      <c r="K521" s="153"/>
      <c r="L521" s="153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</row>
    <row r="522" spans="1:27" ht="17.399999999999999">
      <c r="A522" s="156"/>
      <c r="B522" s="152"/>
      <c r="C522" s="152"/>
      <c r="D522" s="152"/>
      <c r="E522" s="152"/>
      <c r="F522" s="152"/>
      <c r="G522" s="152"/>
      <c r="H522" s="153"/>
      <c r="I522" s="153"/>
      <c r="J522" s="153"/>
      <c r="K522" s="153"/>
      <c r="L522" s="153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</row>
    <row r="523" spans="1:27" ht="17.399999999999999">
      <c r="A523" s="156"/>
      <c r="B523" s="152"/>
      <c r="C523" s="152"/>
      <c r="D523" s="152"/>
      <c r="E523" s="152"/>
      <c r="F523" s="152"/>
      <c r="G523" s="152"/>
      <c r="H523" s="153"/>
      <c r="I523" s="153"/>
      <c r="J523" s="153"/>
      <c r="K523" s="153"/>
      <c r="L523" s="153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</row>
    <row r="524" spans="1:27" ht="17.399999999999999">
      <c r="A524" s="156"/>
      <c r="B524" s="152"/>
      <c r="C524" s="152"/>
      <c r="D524" s="152"/>
      <c r="E524" s="152"/>
      <c r="F524" s="152"/>
      <c r="G524" s="152"/>
      <c r="H524" s="153"/>
      <c r="I524" s="153"/>
      <c r="J524" s="153"/>
      <c r="K524" s="153"/>
      <c r="L524" s="153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</row>
    <row r="525" spans="1:27" ht="17.399999999999999">
      <c r="A525" s="156"/>
      <c r="B525" s="152"/>
      <c r="C525" s="152"/>
      <c r="D525" s="152"/>
      <c r="E525" s="152"/>
      <c r="F525" s="152"/>
      <c r="G525" s="152"/>
      <c r="H525" s="153"/>
      <c r="I525" s="153"/>
      <c r="J525" s="153"/>
      <c r="K525" s="153"/>
      <c r="L525" s="153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</row>
    <row r="526" spans="1:27" ht="17.399999999999999">
      <c r="A526" s="156"/>
      <c r="B526" s="152"/>
      <c r="C526" s="152"/>
      <c r="D526" s="152"/>
      <c r="E526" s="152"/>
      <c r="F526" s="152"/>
      <c r="G526" s="152"/>
      <c r="H526" s="153"/>
      <c r="I526" s="153"/>
      <c r="J526" s="153"/>
      <c r="K526" s="153"/>
      <c r="L526" s="153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</row>
    <row r="527" spans="1:27" ht="17.399999999999999">
      <c r="A527" s="156"/>
      <c r="B527" s="152"/>
      <c r="C527" s="152"/>
      <c r="D527" s="152"/>
      <c r="E527" s="152"/>
      <c r="F527" s="152"/>
      <c r="G527" s="152"/>
      <c r="H527" s="153"/>
      <c r="I527" s="153"/>
      <c r="J527" s="153"/>
      <c r="K527" s="153"/>
      <c r="L527" s="153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</row>
    <row r="528" spans="1:27" ht="17.399999999999999">
      <c r="A528" s="156"/>
      <c r="B528" s="152"/>
      <c r="C528" s="152"/>
      <c r="D528" s="152"/>
      <c r="E528" s="152"/>
      <c r="F528" s="152"/>
      <c r="G528" s="152"/>
      <c r="H528" s="153"/>
      <c r="I528" s="153"/>
      <c r="J528" s="153"/>
      <c r="K528" s="153"/>
      <c r="L528" s="153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</row>
    <row r="529" spans="1:27" ht="17.399999999999999">
      <c r="A529" s="156"/>
      <c r="B529" s="152"/>
      <c r="C529" s="152"/>
      <c r="D529" s="152"/>
      <c r="E529" s="152"/>
      <c r="F529" s="152"/>
      <c r="G529" s="152"/>
      <c r="H529" s="153"/>
      <c r="I529" s="153"/>
      <c r="J529" s="153"/>
      <c r="K529" s="153"/>
      <c r="L529" s="153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</row>
    <row r="530" spans="1:27" ht="17.399999999999999">
      <c r="A530" s="156"/>
      <c r="B530" s="152"/>
      <c r="C530" s="152"/>
      <c r="D530" s="152"/>
      <c r="E530" s="152"/>
      <c r="F530" s="152"/>
      <c r="G530" s="152"/>
      <c r="H530" s="153"/>
      <c r="I530" s="153"/>
      <c r="J530" s="153"/>
      <c r="K530" s="153"/>
      <c r="L530" s="153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</row>
    <row r="531" spans="1:27" ht="17.399999999999999">
      <c r="A531" s="156"/>
      <c r="B531" s="152"/>
      <c r="C531" s="152"/>
      <c r="D531" s="152"/>
      <c r="E531" s="152"/>
      <c r="F531" s="152"/>
      <c r="G531" s="152"/>
      <c r="H531" s="153"/>
      <c r="I531" s="153"/>
      <c r="J531" s="153"/>
      <c r="K531" s="153"/>
      <c r="L531" s="153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</row>
    <row r="532" spans="1:27" ht="17.399999999999999">
      <c r="A532" s="156"/>
      <c r="B532" s="152"/>
      <c r="C532" s="152"/>
      <c r="D532" s="152"/>
      <c r="E532" s="152"/>
      <c r="F532" s="152"/>
      <c r="G532" s="152"/>
      <c r="H532" s="153"/>
      <c r="I532" s="153"/>
      <c r="J532" s="153"/>
      <c r="K532" s="153"/>
      <c r="L532" s="153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</row>
    <row r="533" spans="1:27" ht="17.399999999999999">
      <c r="A533" s="156"/>
      <c r="B533" s="152"/>
      <c r="C533" s="152"/>
      <c r="D533" s="152"/>
      <c r="E533" s="152"/>
      <c r="F533" s="152"/>
      <c r="G533" s="152"/>
      <c r="H533" s="153"/>
      <c r="I533" s="153"/>
      <c r="J533" s="153"/>
      <c r="K533" s="153"/>
      <c r="L533" s="153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</row>
    <row r="534" spans="1:27" ht="17.399999999999999">
      <c r="A534" s="156"/>
      <c r="B534" s="152"/>
      <c r="C534" s="152"/>
      <c r="D534" s="152"/>
      <c r="E534" s="152"/>
      <c r="F534" s="152"/>
      <c r="G534" s="152"/>
      <c r="H534" s="153"/>
      <c r="I534" s="153"/>
      <c r="J534" s="153"/>
      <c r="K534" s="153"/>
      <c r="L534" s="153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</row>
    <row r="535" spans="1:27" ht="17.399999999999999">
      <c r="A535" s="156"/>
      <c r="B535" s="152"/>
      <c r="C535" s="152"/>
      <c r="D535" s="152"/>
      <c r="E535" s="152"/>
      <c r="F535" s="152"/>
      <c r="G535" s="152"/>
      <c r="H535" s="153"/>
      <c r="I535" s="153"/>
      <c r="J535" s="153"/>
      <c r="K535" s="153"/>
      <c r="L535" s="153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</row>
    <row r="536" spans="1:27" ht="17.399999999999999">
      <c r="A536" s="156"/>
      <c r="B536" s="152"/>
      <c r="C536" s="152"/>
      <c r="D536" s="152"/>
      <c r="E536" s="152"/>
      <c r="F536" s="152"/>
      <c r="G536" s="152"/>
      <c r="H536" s="153"/>
      <c r="I536" s="153"/>
      <c r="J536" s="153"/>
      <c r="K536" s="153"/>
      <c r="L536" s="153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</row>
    <row r="537" spans="1:27" ht="17.399999999999999">
      <c r="A537" s="156"/>
      <c r="B537" s="152"/>
      <c r="C537" s="152"/>
      <c r="D537" s="152"/>
      <c r="E537" s="152"/>
      <c r="F537" s="152"/>
      <c r="G537" s="152"/>
      <c r="H537" s="153"/>
      <c r="I537" s="153"/>
      <c r="J537" s="153"/>
      <c r="K537" s="153"/>
      <c r="L537" s="153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</row>
    <row r="538" spans="1:27" ht="17.399999999999999">
      <c r="A538" s="156"/>
      <c r="B538" s="152"/>
      <c r="C538" s="152"/>
      <c r="D538" s="152"/>
      <c r="E538" s="152"/>
      <c r="F538" s="152"/>
      <c r="G538" s="152"/>
      <c r="H538" s="153"/>
      <c r="I538" s="153"/>
      <c r="J538" s="153"/>
      <c r="K538" s="153"/>
      <c r="L538" s="153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</row>
    <row r="539" spans="1:27" ht="17.399999999999999">
      <c r="A539" s="156"/>
      <c r="B539" s="152"/>
      <c r="C539" s="152"/>
      <c r="D539" s="152"/>
      <c r="E539" s="152"/>
      <c r="F539" s="152"/>
      <c r="G539" s="152"/>
      <c r="H539" s="153"/>
      <c r="I539" s="153"/>
      <c r="J539" s="153"/>
      <c r="K539" s="153"/>
      <c r="L539" s="153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</row>
    <row r="540" spans="1:27" ht="17.399999999999999">
      <c r="A540" s="156"/>
      <c r="B540" s="152"/>
      <c r="C540" s="152"/>
      <c r="D540" s="152"/>
      <c r="E540" s="152"/>
      <c r="F540" s="152"/>
      <c r="G540" s="152"/>
      <c r="H540" s="153"/>
      <c r="I540" s="153"/>
      <c r="J540" s="153"/>
      <c r="K540" s="153"/>
      <c r="L540" s="153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</row>
    <row r="541" spans="1:27" ht="17.399999999999999">
      <c r="A541" s="156"/>
      <c r="B541" s="152"/>
      <c r="C541" s="152"/>
      <c r="D541" s="152"/>
      <c r="E541" s="152"/>
      <c r="F541" s="152"/>
      <c r="G541" s="152"/>
      <c r="H541" s="153"/>
      <c r="I541" s="153"/>
      <c r="J541" s="153"/>
      <c r="K541" s="153"/>
      <c r="L541" s="153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</row>
    <row r="542" spans="1:27" ht="17.399999999999999">
      <c r="A542" s="156"/>
      <c r="B542" s="152"/>
      <c r="C542" s="152"/>
      <c r="D542" s="152"/>
      <c r="E542" s="152"/>
      <c r="F542" s="152"/>
      <c r="G542" s="152"/>
      <c r="H542" s="153"/>
      <c r="I542" s="153"/>
      <c r="J542" s="153"/>
      <c r="K542" s="153"/>
      <c r="L542" s="153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</row>
    <row r="543" spans="1:27" ht="17.399999999999999">
      <c r="A543" s="156"/>
      <c r="B543" s="152"/>
      <c r="C543" s="152"/>
      <c r="D543" s="152"/>
      <c r="E543" s="152"/>
      <c r="F543" s="152"/>
      <c r="G543" s="152"/>
      <c r="H543" s="153"/>
      <c r="I543" s="153"/>
      <c r="J543" s="153"/>
      <c r="K543" s="153"/>
      <c r="L543" s="153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</row>
    <row r="544" spans="1:27" ht="17.399999999999999">
      <c r="A544" s="156"/>
      <c r="B544" s="152"/>
      <c r="C544" s="152"/>
      <c r="D544" s="152"/>
      <c r="E544" s="152"/>
      <c r="F544" s="152"/>
      <c r="G544" s="152"/>
      <c r="H544" s="153"/>
      <c r="I544" s="153"/>
      <c r="J544" s="153"/>
      <c r="K544" s="153"/>
      <c r="L544" s="153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</row>
    <row r="545" spans="1:27" ht="17.399999999999999">
      <c r="A545" s="156"/>
      <c r="B545" s="152"/>
      <c r="C545" s="152"/>
      <c r="D545" s="152"/>
      <c r="E545" s="152"/>
      <c r="F545" s="152"/>
      <c r="G545" s="152"/>
      <c r="H545" s="153"/>
      <c r="I545" s="153"/>
      <c r="J545" s="153"/>
      <c r="K545" s="153"/>
      <c r="L545" s="153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</row>
    <row r="546" spans="1:27" ht="17.399999999999999">
      <c r="A546" s="156"/>
      <c r="B546" s="152"/>
      <c r="C546" s="152"/>
      <c r="D546" s="152"/>
      <c r="E546" s="152"/>
      <c r="F546" s="152"/>
      <c r="G546" s="152"/>
      <c r="H546" s="153"/>
      <c r="I546" s="153"/>
      <c r="J546" s="153"/>
      <c r="K546" s="153"/>
      <c r="L546" s="153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</row>
    <row r="547" spans="1:27" ht="17.399999999999999">
      <c r="A547" s="156"/>
      <c r="B547" s="152"/>
      <c r="C547" s="152"/>
      <c r="D547" s="152"/>
      <c r="E547" s="152"/>
      <c r="F547" s="152"/>
      <c r="G547" s="152"/>
      <c r="H547" s="153"/>
      <c r="I547" s="153"/>
      <c r="J547" s="153"/>
      <c r="K547" s="153"/>
      <c r="L547" s="153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</row>
    <row r="548" spans="1:27" ht="17.399999999999999">
      <c r="A548" s="156"/>
      <c r="B548" s="152"/>
      <c r="C548" s="152"/>
      <c r="D548" s="152"/>
      <c r="E548" s="152"/>
      <c r="F548" s="152"/>
      <c r="G548" s="152"/>
      <c r="H548" s="153"/>
      <c r="I548" s="153"/>
      <c r="J548" s="153"/>
      <c r="K548" s="153"/>
      <c r="L548" s="153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</row>
    <row r="549" spans="1:27" ht="17.399999999999999">
      <c r="A549" s="156"/>
      <c r="B549" s="152"/>
      <c r="C549" s="152"/>
      <c r="D549" s="152"/>
      <c r="E549" s="152"/>
      <c r="F549" s="152"/>
      <c r="G549" s="152"/>
      <c r="H549" s="153"/>
      <c r="I549" s="153"/>
      <c r="J549" s="153"/>
      <c r="K549" s="153"/>
      <c r="L549" s="153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</row>
    <row r="550" spans="1:27" ht="17.399999999999999">
      <c r="A550" s="156"/>
      <c r="B550" s="152"/>
      <c r="C550" s="152"/>
      <c r="D550" s="152"/>
      <c r="E550" s="152"/>
      <c r="F550" s="152"/>
      <c r="G550" s="152"/>
      <c r="H550" s="153"/>
      <c r="I550" s="153"/>
      <c r="J550" s="153"/>
      <c r="K550" s="153"/>
      <c r="L550" s="153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</row>
    <row r="551" spans="1:27" ht="17.399999999999999">
      <c r="A551" s="156"/>
      <c r="B551" s="152"/>
      <c r="C551" s="152"/>
      <c r="D551" s="152"/>
      <c r="E551" s="152"/>
      <c r="F551" s="152"/>
      <c r="G551" s="152"/>
      <c r="H551" s="153"/>
      <c r="I551" s="153"/>
      <c r="J551" s="153"/>
      <c r="K551" s="153"/>
      <c r="L551" s="153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</row>
    <row r="552" spans="1:27" ht="17.399999999999999">
      <c r="A552" s="156"/>
      <c r="B552" s="152"/>
      <c r="C552" s="152"/>
      <c r="D552" s="152"/>
      <c r="E552" s="152"/>
      <c r="F552" s="152"/>
      <c r="G552" s="152"/>
      <c r="H552" s="153"/>
      <c r="I552" s="153"/>
      <c r="J552" s="153"/>
      <c r="K552" s="153"/>
      <c r="L552" s="153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</row>
    <row r="553" spans="1:27" ht="17.399999999999999">
      <c r="A553" s="156"/>
      <c r="B553" s="152"/>
      <c r="C553" s="152"/>
      <c r="D553" s="152"/>
      <c r="E553" s="152"/>
      <c r="F553" s="152"/>
      <c r="G553" s="152"/>
      <c r="H553" s="153"/>
      <c r="I553" s="153"/>
      <c r="J553" s="153"/>
      <c r="K553" s="153"/>
      <c r="L553" s="153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</row>
    <row r="554" spans="1:27" ht="17.399999999999999">
      <c r="A554" s="156"/>
      <c r="B554" s="152"/>
      <c r="C554" s="152"/>
      <c r="D554" s="152"/>
      <c r="E554" s="152"/>
      <c r="F554" s="152"/>
      <c r="G554" s="152"/>
      <c r="H554" s="153"/>
      <c r="I554" s="153"/>
      <c r="J554" s="153"/>
      <c r="K554" s="153"/>
      <c r="L554" s="153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</row>
    <row r="555" spans="1:27" ht="17.399999999999999">
      <c r="A555" s="156"/>
      <c r="B555" s="152"/>
      <c r="C555" s="152"/>
      <c r="D555" s="152"/>
      <c r="E555" s="152"/>
      <c r="F555" s="152"/>
      <c r="G555" s="152"/>
      <c r="H555" s="153"/>
      <c r="I555" s="153"/>
      <c r="J555" s="153"/>
      <c r="K555" s="153"/>
      <c r="L555" s="153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</row>
    <row r="556" spans="1:27" ht="17.399999999999999">
      <c r="A556" s="156"/>
      <c r="B556" s="152"/>
      <c r="C556" s="152"/>
      <c r="D556" s="152"/>
      <c r="E556" s="152"/>
      <c r="F556" s="152"/>
      <c r="G556" s="152"/>
      <c r="H556" s="153"/>
      <c r="I556" s="153"/>
      <c r="J556" s="153"/>
      <c r="K556" s="153"/>
      <c r="L556" s="153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</row>
    <row r="557" spans="1:27" ht="17.399999999999999">
      <c r="A557" s="156"/>
      <c r="B557" s="152"/>
      <c r="C557" s="152"/>
      <c r="D557" s="152"/>
      <c r="E557" s="152"/>
      <c r="F557" s="152"/>
      <c r="G557" s="152"/>
      <c r="H557" s="153"/>
      <c r="I557" s="153"/>
      <c r="J557" s="153"/>
      <c r="K557" s="153"/>
      <c r="L557" s="153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</row>
    <row r="558" spans="1:27" ht="17.399999999999999">
      <c r="A558" s="156"/>
      <c r="B558" s="152"/>
      <c r="C558" s="152"/>
      <c r="D558" s="152"/>
      <c r="E558" s="152"/>
      <c r="F558" s="152"/>
      <c r="G558" s="152"/>
      <c r="H558" s="153"/>
      <c r="I558" s="153"/>
      <c r="J558" s="153"/>
      <c r="K558" s="153"/>
      <c r="L558" s="153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</row>
    <row r="559" spans="1:27" ht="17.399999999999999">
      <c r="A559" s="156"/>
      <c r="B559" s="152"/>
      <c r="C559" s="152"/>
      <c r="D559" s="152"/>
      <c r="E559" s="152"/>
      <c r="F559" s="152"/>
      <c r="G559" s="152"/>
      <c r="H559" s="153"/>
      <c r="I559" s="153"/>
      <c r="J559" s="153"/>
      <c r="K559" s="153"/>
      <c r="L559" s="153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</row>
    <row r="560" spans="1:27" ht="17.399999999999999">
      <c r="A560" s="156"/>
      <c r="B560" s="152"/>
      <c r="C560" s="152"/>
      <c r="D560" s="152"/>
      <c r="E560" s="152"/>
      <c r="F560" s="152"/>
      <c r="G560" s="152"/>
      <c r="H560" s="153"/>
      <c r="I560" s="153"/>
      <c r="J560" s="153"/>
      <c r="K560" s="153"/>
      <c r="L560" s="153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</row>
    <row r="561" spans="1:27" ht="17.399999999999999">
      <c r="A561" s="156"/>
      <c r="B561" s="152"/>
      <c r="C561" s="152"/>
      <c r="D561" s="152"/>
      <c r="E561" s="152"/>
      <c r="F561" s="152"/>
      <c r="G561" s="152"/>
      <c r="H561" s="153"/>
      <c r="I561" s="153"/>
      <c r="J561" s="153"/>
      <c r="K561" s="153"/>
      <c r="L561" s="153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</row>
    <row r="562" spans="1:27" ht="17.399999999999999">
      <c r="A562" s="156"/>
      <c r="B562" s="152"/>
      <c r="C562" s="152"/>
      <c r="D562" s="152"/>
      <c r="E562" s="152"/>
      <c r="F562" s="152"/>
      <c r="G562" s="152"/>
      <c r="H562" s="153"/>
      <c r="I562" s="153"/>
      <c r="J562" s="153"/>
      <c r="K562" s="153"/>
      <c r="L562" s="153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</row>
    <row r="563" spans="1:27" ht="17.399999999999999">
      <c r="A563" s="156"/>
      <c r="B563" s="152"/>
      <c r="C563" s="152"/>
      <c r="D563" s="152"/>
      <c r="E563" s="152"/>
      <c r="F563" s="152"/>
      <c r="G563" s="152"/>
      <c r="H563" s="153"/>
      <c r="I563" s="153"/>
      <c r="J563" s="153"/>
      <c r="K563" s="153"/>
      <c r="L563" s="153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</row>
    <row r="564" spans="1:27" ht="17.399999999999999">
      <c r="A564" s="156"/>
      <c r="B564" s="152"/>
      <c r="C564" s="152"/>
      <c r="D564" s="152"/>
      <c r="E564" s="152"/>
      <c r="F564" s="152"/>
      <c r="G564" s="152"/>
      <c r="H564" s="153"/>
      <c r="I564" s="153"/>
      <c r="J564" s="153"/>
      <c r="K564" s="153"/>
      <c r="L564" s="153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</row>
    <row r="565" spans="1:27" ht="17.399999999999999">
      <c r="A565" s="156"/>
      <c r="B565" s="152"/>
      <c r="C565" s="152"/>
      <c r="D565" s="152"/>
      <c r="E565" s="152"/>
      <c r="F565" s="152"/>
      <c r="G565" s="152"/>
      <c r="H565" s="153"/>
      <c r="I565" s="153"/>
      <c r="J565" s="153"/>
      <c r="K565" s="153"/>
      <c r="L565" s="153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</row>
    <row r="566" spans="1:27" ht="17.399999999999999">
      <c r="A566" s="156"/>
      <c r="B566" s="152"/>
      <c r="C566" s="152"/>
      <c r="D566" s="152"/>
      <c r="E566" s="152"/>
      <c r="F566" s="152"/>
      <c r="G566" s="152"/>
      <c r="H566" s="153"/>
      <c r="I566" s="153"/>
      <c r="J566" s="153"/>
      <c r="K566" s="153"/>
      <c r="L566" s="153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</row>
    <row r="567" spans="1:27" ht="17.399999999999999">
      <c r="A567" s="156"/>
      <c r="B567" s="152"/>
      <c r="C567" s="152"/>
      <c r="D567" s="152"/>
      <c r="E567" s="152"/>
      <c r="F567" s="152"/>
      <c r="G567" s="152"/>
      <c r="H567" s="153"/>
      <c r="I567" s="153"/>
      <c r="J567" s="153"/>
      <c r="K567" s="153"/>
      <c r="L567" s="153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</row>
    <row r="568" spans="1:27" ht="17.399999999999999">
      <c r="A568" s="156"/>
      <c r="B568" s="152"/>
      <c r="C568" s="152"/>
      <c r="D568" s="152"/>
      <c r="E568" s="152"/>
      <c r="F568" s="152"/>
      <c r="G568" s="152"/>
      <c r="H568" s="153"/>
      <c r="I568" s="153"/>
      <c r="J568" s="153"/>
      <c r="K568" s="153"/>
      <c r="L568" s="153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</row>
    <row r="569" spans="1:27" ht="17.399999999999999">
      <c r="A569" s="156"/>
      <c r="B569" s="152"/>
      <c r="C569" s="152"/>
      <c r="D569" s="152"/>
      <c r="E569" s="152"/>
      <c r="F569" s="152"/>
      <c r="G569" s="152"/>
      <c r="H569" s="153"/>
      <c r="I569" s="153"/>
      <c r="J569" s="153"/>
      <c r="K569" s="153"/>
      <c r="L569" s="153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</row>
    <row r="570" spans="1:27" ht="17.399999999999999">
      <c r="A570" s="156"/>
      <c r="B570" s="152"/>
      <c r="C570" s="152"/>
      <c r="D570" s="152"/>
      <c r="E570" s="152"/>
      <c r="F570" s="152"/>
      <c r="G570" s="152"/>
      <c r="H570" s="153"/>
      <c r="I570" s="153"/>
      <c r="J570" s="153"/>
      <c r="K570" s="153"/>
      <c r="L570" s="153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</row>
    <row r="571" spans="1:27" ht="17.399999999999999">
      <c r="A571" s="156"/>
      <c r="B571" s="152"/>
      <c r="C571" s="152"/>
      <c r="D571" s="152"/>
      <c r="E571" s="152"/>
      <c r="F571" s="152"/>
      <c r="G571" s="152"/>
      <c r="H571" s="153"/>
      <c r="I571" s="153"/>
      <c r="J571" s="153"/>
      <c r="K571" s="153"/>
      <c r="L571" s="153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</row>
    <row r="572" spans="1:27" ht="17.399999999999999">
      <c r="A572" s="156"/>
      <c r="B572" s="152"/>
      <c r="C572" s="152"/>
      <c r="D572" s="152"/>
      <c r="E572" s="152"/>
      <c r="F572" s="152"/>
      <c r="G572" s="152"/>
      <c r="H572" s="153"/>
      <c r="I572" s="153"/>
      <c r="J572" s="153"/>
      <c r="K572" s="153"/>
      <c r="L572" s="153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</row>
    <row r="573" spans="1:27" ht="17.399999999999999">
      <c r="A573" s="156"/>
      <c r="B573" s="152"/>
      <c r="C573" s="152"/>
      <c r="D573" s="152"/>
      <c r="E573" s="152"/>
      <c r="F573" s="152"/>
      <c r="G573" s="152"/>
      <c r="H573" s="153"/>
      <c r="I573" s="153"/>
      <c r="J573" s="153"/>
      <c r="K573" s="153"/>
      <c r="L573" s="153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</row>
    <row r="574" spans="1:27" ht="17.399999999999999">
      <c r="A574" s="156"/>
      <c r="B574" s="152"/>
      <c r="C574" s="152"/>
      <c r="D574" s="152"/>
      <c r="E574" s="152"/>
      <c r="F574" s="152"/>
      <c r="G574" s="152"/>
      <c r="H574" s="153"/>
      <c r="I574" s="153"/>
      <c r="J574" s="153"/>
      <c r="K574" s="153"/>
      <c r="L574" s="153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</row>
    <row r="575" spans="1:27" ht="17.399999999999999">
      <c r="A575" s="156"/>
      <c r="B575" s="152"/>
      <c r="C575" s="152"/>
      <c r="D575" s="152"/>
      <c r="E575" s="152"/>
      <c r="F575" s="152"/>
      <c r="G575" s="152"/>
      <c r="H575" s="153"/>
      <c r="I575" s="153"/>
      <c r="J575" s="153"/>
      <c r="K575" s="153"/>
      <c r="L575" s="153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</row>
    <row r="576" spans="1:27" ht="17.399999999999999">
      <c r="A576" s="156"/>
      <c r="B576" s="152"/>
      <c r="C576" s="152"/>
      <c r="D576" s="152"/>
      <c r="E576" s="152"/>
      <c r="F576" s="152"/>
      <c r="G576" s="152"/>
      <c r="H576" s="153"/>
      <c r="I576" s="153"/>
      <c r="J576" s="153"/>
      <c r="K576" s="153"/>
      <c r="L576" s="153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</row>
    <row r="577" spans="1:27" ht="17.399999999999999">
      <c r="A577" s="156"/>
      <c r="B577" s="152"/>
      <c r="C577" s="152"/>
      <c r="D577" s="152"/>
      <c r="E577" s="152"/>
      <c r="F577" s="152"/>
      <c r="G577" s="152"/>
      <c r="H577" s="153"/>
      <c r="I577" s="153"/>
      <c r="J577" s="153"/>
      <c r="K577" s="153"/>
      <c r="L577" s="153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</row>
    <row r="578" spans="1:27" ht="17.399999999999999">
      <c r="A578" s="156"/>
      <c r="B578" s="152"/>
      <c r="C578" s="152"/>
      <c r="D578" s="152"/>
      <c r="E578" s="152"/>
      <c r="F578" s="152"/>
      <c r="G578" s="152"/>
      <c r="H578" s="153"/>
      <c r="I578" s="153"/>
      <c r="J578" s="153"/>
      <c r="K578" s="153"/>
      <c r="L578" s="153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</row>
    <row r="579" spans="1:27" ht="17.399999999999999">
      <c r="A579" s="156"/>
      <c r="B579" s="152"/>
      <c r="C579" s="152"/>
      <c r="D579" s="152"/>
      <c r="E579" s="152"/>
      <c r="F579" s="152"/>
      <c r="G579" s="152"/>
      <c r="H579" s="153"/>
      <c r="I579" s="153"/>
      <c r="J579" s="153"/>
      <c r="K579" s="153"/>
      <c r="L579" s="153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</row>
    <row r="580" spans="1:27" ht="17.399999999999999">
      <c r="A580" s="156"/>
      <c r="B580" s="152"/>
      <c r="C580" s="152"/>
      <c r="D580" s="152"/>
      <c r="E580" s="152"/>
      <c r="F580" s="152"/>
      <c r="G580" s="152"/>
      <c r="H580" s="153"/>
      <c r="I580" s="153"/>
      <c r="J580" s="153"/>
      <c r="K580" s="153"/>
      <c r="L580" s="153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 spans="1:27" ht="17.399999999999999">
      <c r="A581" s="156"/>
      <c r="B581" s="152"/>
      <c r="C581" s="152"/>
      <c r="D581" s="152"/>
      <c r="E581" s="152"/>
      <c r="F581" s="152"/>
      <c r="G581" s="152"/>
      <c r="H581" s="153"/>
      <c r="I581" s="153"/>
      <c r="J581" s="153"/>
      <c r="K581" s="153"/>
      <c r="L581" s="153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</row>
    <row r="582" spans="1:27" ht="17.399999999999999">
      <c r="A582" s="156"/>
      <c r="B582" s="152"/>
      <c r="C582" s="152"/>
      <c r="D582" s="152"/>
      <c r="E582" s="152"/>
      <c r="F582" s="152"/>
      <c r="G582" s="152"/>
      <c r="H582" s="153"/>
      <c r="I582" s="153"/>
      <c r="J582" s="153"/>
      <c r="K582" s="153"/>
      <c r="L582" s="153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</row>
    <row r="583" spans="1:27" ht="17.399999999999999">
      <c r="A583" s="156"/>
      <c r="B583" s="152"/>
      <c r="C583" s="152"/>
      <c r="D583" s="152"/>
      <c r="E583" s="152"/>
      <c r="F583" s="152"/>
      <c r="G583" s="152"/>
      <c r="H583" s="153"/>
      <c r="I583" s="153"/>
      <c r="J583" s="153"/>
      <c r="K583" s="153"/>
      <c r="L583" s="153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</row>
    <row r="584" spans="1:27" ht="17.399999999999999">
      <c r="A584" s="156"/>
      <c r="B584" s="152"/>
      <c r="C584" s="152"/>
      <c r="D584" s="152"/>
      <c r="E584" s="152"/>
      <c r="F584" s="152"/>
      <c r="G584" s="152"/>
      <c r="H584" s="153"/>
      <c r="I584" s="153"/>
      <c r="J584" s="153"/>
      <c r="K584" s="153"/>
      <c r="L584" s="153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</row>
    <row r="585" spans="1:27" ht="17.399999999999999">
      <c r="A585" s="156"/>
      <c r="B585" s="152"/>
      <c r="C585" s="152"/>
      <c r="D585" s="152"/>
      <c r="E585" s="152"/>
      <c r="F585" s="152"/>
      <c r="G585" s="152"/>
      <c r="H585" s="153"/>
      <c r="I585" s="153"/>
      <c r="J585" s="153"/>
      <c r="K585" s="153"/>
      <c r="L585" s="153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</row>
    <row r="586" spans="1:27" ht="17.399999999999999">
      <c r="A586" s="156"/>
      <c r="B586" s="152"/>
      <c r="C586" s="152"/>
      <c r="D586" s="152"/>
      <c r="E586" s="152"/>
      <c r="F586" s="152"/>
      <c r="G586" s="152"/>
      <c r="H586" s="153"/>
      <c r="I586" s="153"/>
      <c r="J586" s="153"/>
      <c r="K586" s="153"/>
      <c r="L586" s="153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</row>
    <row r="587" spans="1:27" ht="17.399999999999999">
      <c r="A587" s="156"/>
      <c r="B587" s="152"/>
      <c r="C587" s="152"/>
      <c r="D587" s="152"/>
      <c r="E587" s="152"/>
      <c r="F587" s="152"/>
      <c r="G587" s="152"/>
      <c r="H587" s="153"/>
      <c r="I587" s="153"/>
      <c r="J587" s="153"/>
      <c r="K587" s="153"/>
      <c r="L587" s="153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</row>
    <row r="588" spans="1:27" ht="17.399999999999999">
      <c r="A588" s="156"/>
      <c r="B588" s="152"/>
      <c r="C588" s="152"/>
      <c r="D588" s="152"/>
      <c r="E588" s="152"/>
      <c r="F588" s="152"/>
      <c r="G588" s="152"/>
      <c r="H588" s="153"/>
      <c r="I588" s="153"/>
      <c r="J588" s="153"/>
      <c r="K588" s="153"/>
      <c r="L588" s="153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</row>
    <row r="589" spans="1:27" ht="17.399999999999999">
      <c r="A589" s="156"/>
      <c r="B589" s="152"/>
      <c r="C589" s="152"/>
      <c r="D589" s="152"/>
      <c r="E589" s="152"/>
      <c r="F589" s="152"/>
      <c r="G589" s="152"/>
      <c r="H589" s="153"/>
      <c r="I589" s="153"/>
      <c r="J589" s="153"/>
      <c r="K589" s="153"/>
      <c r="L589" s="153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</row>
    <row r="590" spans="1:27" ht="17.399999999999999">
      <c r="A590" s="156"/>
      <c r="B590" s="152"/>
      <c r="C590" s="152"/>
      <c r="D590" s="152"/>
      <c r="E590" s="152"/>
      <c r="F590" s="152"/>
      <c r="G590" s="152"/>
      <c r="H590" s="153"/>
      <c r="I590" s="153"/>
      <c r="J590" s="153"/>
      <c r="K590" s="153"/>
      <c r="L590" s="153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</row>
    <row r="591" spans="1:27" ht="17.399999999999999">
      <c r="A591" s="156"/>
      <c r="B591" s="152"/>
      <c r="C591" s="152"/>
      <c r="D591" s="152"/>
      <c r="E591" s="152"/>
      <c r="F591" s="152"/>
      <c r="G591" s="152"/>
      <c r="H591" s="153"/>
      <c r="I591" s="153"/>
      <c r="J591" s="153"/>
      <c r="K591" s="153"/>
      <c r="L591" s="153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</row>
    <row r="592" spans="1:27" ht="17.399999999999999">
      <c r="A592" s="156"/>
      <c r="B592" s="152"/>
      <c r="C592" s="152"/>
      <c r="D592" s="152"/>
      <c r="E592" s="152"/>
      <c r="F592" s="152"/>
      <c r="G592" s="152"/>
      <c r="H592" s="153"/>
      <c r="I592" s="153"/>
      <c r="J592" s="153"/>
      <c r="K592" s="153"/>
      <c r="L592" s="153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</row>
    <row r="593" spans="1:27" ht="17.399999999999999">
      <c r="A593" s="156"/>
      <c r="B593" s="152"/>
      <c r="C593" s="152"/>
      <c r="D593" s="152"/>
      <c r="E593" s="152"/>
      <c r="F593" s="152"/>
      <c r="G593" s="152"/>
      <c r="H593" s="153"/>
      <c r="I593" s="153"/>
      <c r="J593" s="153"/>
      <c r="K593" s="153"/>
      <c r="L593" s="153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</row>
    <row r="594" spans="1:27" ht="17.399999999999999">
      <c r="A594" s="156"/>
      <c r="B594" s="152"/>
      <c r="C594" s="152"/>
      <c r="D594" s="152"/>
      <c r="E594" s="152"/>
      <c r="F594" s="152"/>
      <c r="G594" s="152"/>
      <c r="H594" s="153"/>
      <c r="I594" s="153"/>
      <c r="J594" s="153"/>
      <c r="K594" s="153"/>
      <c r="L594" s="153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</row>
    <row r="595" spans="1:27" ht="17.399999999999999">
      <c r="A595" s="156"/>
      <c r="B595" s="152"/>
      <c r="C595" s="152"/>
      <c r="D595" s="152"/>
      <c r="E595" s="152"/>
      <c r="F595" s="152"/>
      <c r="G595" s="152"/>
      <c r="H595" s="153"/>
      <c r="I595" s="153"/>
      <c r="J595" s="153"/>
      <c r="K595" s="153"/>
      <c r="L595" s="153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</row>
    <row r="596" spans="1:27" ht="17.399999999999999">
      <c r="A596" s="156"/>
      <c r="B596" s="152"/>
      <c r="C596" s="152"/>
      <c r="D596" s="152"/>
      <c r="E596" s="152"/>
      <c r="F596" s="152"/>
      <c r="G596" s="152"/>
      <c r="H596" s="153"/>
      <c r="I596" s="153"/>
      <c r="J596" s="153"/>
      <c r="K596" s="153"/>
      <c r="L596" s="153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</row>
    <row r="597" spans="1:27" ht="17.399999999999999">
      <c r="A597" s="156"/>
      <c r="B597" s="152"/>
      <c r="C597" s="152"/>
      <c r="D597" s="152"/>
      <c r="E597" s="152"/>
      <c r="F597" s="152"/>
      <c r="G597" s="152"/>
      <c r="H597" s="153"/>
      <c r="I597" s="153"/>
      <c r="J597" s="153"/>
      <c r="K597" s="153"/>
      <c r="L597" s="153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</row>
    <row r="598" spans="1:27" ht="17.399999999999999">
      <c r="A598" s="156"/>
      <c r="B598" s="152"/>
      <c r="C598" s="152"/>
      <c r="D598" s="152"/>
      <c r="E598" s="152"/>
      <c r="F598" s="152"/>
      <c r="G598" s="152"/>
      <c r="H598" s="153"/>
      <c r="I598" s="153"/>
      <c r="J598" s="153"/>
      <c r="K598" s="153"/>
      <c r="L598" s="153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</row>
    <row r="599" spans="1:27" ht="17.399999999999999">
      <c r="A599" s="156"/>
      <c r="B599" s="152"/>
      <c r="C599" s="152"/>
      <c r="D599" s="152"/>
      <c r="E599" s="152"/>
      <c r="F599" s="152"/>
      <c r="G599" s="152"/>
      <c r="H599" s="153"/>
      <c r="I599" s="153"/>
      <c r="J599" s="153"/>
      <c r="K599" s="153"/>
      <c r="L599" s="153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</row>
    <row r="600" spans="1:27" ht="17.399999999999999">
      <c r="A600" s="156"/>
      <c r="B600" s="152"/>
      <c r="C600" s="152"/>
      <c r="D600" s="152"/>
      <c r="E600" s="152"/>
      <c r="F600" s="152"/>
      <c r="G600" s="152"/>
      <c r="H600" s="153"/>
      <c r="I600" s="153"/>
      <c r="J600" s="153"/>
      <c r="K600" s="153"/>
      <c r="L600" s="153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</row>
    <row r="601" spans="1:27" ht="17.399999999999999">
      <c r="A601" s="156"/>
      <c r="B601" s="152"/>
      <c r="C601" s="152"/>
      <c r="D601" s="152"/>
      <c r="E601" s="152"/>
      <c r="F601" s="152"/>
      <c r="G601" s="152"/>
      <c r="H601" s="153"/>
      <c r="I601" s="153"/>
      <c r="J601" s="153"/>
      <c r="K601" s="153"/>
      <c r="L601" s="153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</row>
    <row r="602" spans="1:27" ht="17.399999999999999">
      <c r="A602" s="156"/>
      <c r="B602" s="152"/>
      <c r="C602" s="152"/>
      <c r="D602" s="152"/>
      <c r="E602" s="152"/>
      <c r="F602" s="152"/>
      <c r="G602" s="152"/>
      <c r="H602" s="153"/>
      <c r="I602" s="153"/>
      <c r="J602" s="153"/>
      <c r="K602" s="153"/>
      <c r="L602" s="153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</row>
    <row r="603" spans="1:27" ht="17.399999999999999">
      <c r="A603" s="156"/>
      <c r="B603" s="152"/>
      <c r="C603" s="152"/>
      <c r="D603" s="152"/>
      <c r="E603" s="152"/>
      <c r="F603" s="152"/>
      <c r="G603" s="152"/>
      <c r="H603" s="153"/>
      <c r="I603" s="153"/>
      <c r="J603" s="153"/>
      <c r="K603" s="153"/>
      <c r="L603" s="153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</row>
    <row r="604" spans="1:27" ht="17.399999999999999">
      <c r="A604" s="156"/>
      <c r="B604" s="152"/>
      <c r="C604" s="152"/>
      <c r="D604" s="152"/>
      <c r="E604" s="152"/>
      <c r="F604" s="152"/>
      <c r="G604" s="152"/>
      <c r="H604" s="153"/>
      <c r="I604" s="153"/>
      <c r="J604" s="153"/>
      <c r="K604" s="153"/>
      <c r="L604" s="153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</row>
    <row r="605" spans="1:27" ht="17.399999999999999">
      <c r="A605" s="156"/>
      <c r="B605" s="152"/>
      <c r="C605" s="152"/>
      <c r="D605" s="152"/>
      <c r="E605" s="152"/>
      <c r="F605" s="152"/>
      <c r="G605" s="152"/>
      <c r="H605" s="153"/>
      <c r="I605" s="153"/>
      <c r="J605" s="153"/>
      <c r="K605" s="153"/>
      <c r="L605" s="153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</row>
    <row r="606" spans="1:27" ht="17.399999999999999">
      <c r="A606" s="156"/>
      <c r="B606" s="152"/>
      <c r="C606" s="152"/>
      <c r="D606" s="152"/>
      <c r="E606" s="152"/>
      <c r="F606" s="152"/>
      <c r="G606" s="152"/>
      <c r="H606" s="153"/>
      <c r="I606" s="153"/>
      <c r="J606" s="153"/>
      <c r="K606" s="153"/>
      <c r="L606" s="153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</row>
    <row r="607" spans="1:27" ht="17.399999999999999">
      <c r="A607" s="156"/>
      <c r="B607" s="152"/>
      <c r="C607" s="152"/>
      <c r="D607" s="152"/>
      <c r="E607" s="152"/>
      <c r="F607" s="152"/>
      <c r="G607" s="152"/>
      <c r="H607" s="153"/>
      <c r="I607" s="153"/>
      <c r="J607" s="153"/>
      <c r="K607" s="153"/>
      <c r="L607" s="153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</row>
    <row r="608" spans="1:27" ht="17.399999999999999">
      <c r="A608" s="156"/>
      <c r="B608" s="152"/>
      <c r="C608" s="152"/>
      <c r="D608" s="152"/>
      <c r="E608" s="152"/>
      <c r="F608" s="152"/>
      <c r="G608" s="152"/>
      <c r="H608" s="153"/>
      <c r="I608" s="153"/>
      <c r="J608" s="153"/>
      <c r="K608" s="153"/>
      <c r="L608" s="153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</row>
    <row r="609" spans="1:27" ht="17.399999999999999">
      <c r="A609" s="156"/>
      <c r="B609" s="152"/>
      <c r="C609" s="152"/>
      <c r="D609" s="152"/>
      <c r="E609" s="152"/>
      <c r="F609" s="152"/>
      <c r="G609" s="152"/>
      <c r="H609" s="153"/>
      <c r="I609" s="153"/>
      <c r="J609" s="153"/>
      <c r="K609" s="153"/>
      <c r="L609" s="153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</row>
    <row r="610" spans="1:27" ht="17.399999999999999">
      <c r="A610" s="156"/>
      <c r="B610" s="152"/>
      <c r="C610" s="152"/>
      <c r="D610" s="152"/>
      <c r="E610" s="152"/>
      <c r="F610" s="152"/>
      <c r="G610" s="152"/>
      <c r="H610" s="153"/>
      <c r="I610" s="153"/>
      <c r="J610" s="153"/>
      <c r="K610" s="153"/>
      <c r="L610" s="153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</row>
    <row r="611" spans="1:27" ht="17.399999999999999">
      <c r="A611" s="156"/>
      <c r="B611" s="152"/>
      <c r="C611" s="152"/>
      <c r="D611" s="152"/>
      <c r="E611" s="152"/>
      <c r="F611" s="152"/>
      <c r="G611" s="152"/>
      <c r="H611" s="153"/>
      <c r="I611" s="153"/>
      <c r="J611" s="153"/>
      <c r="K611" s="153"/>
      <c r="L611" s="153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</row>
    <row r="612" spans="1:27" ht="17.399999999999999">
      <c r="A612" s="156"/>
      <c r="B612" s="152"/>
      <c r="C612" s="152"/>
      <c r="D612" s="152"/>
      <c r="E612" s="152"/>
      <c r="F612" s="152"/>
      <c r="G612" s="152"/>
      <c r="H612" s="153"/>
      <c r="I612" s="153"/>
      <c r="J612" s="153"/>
      <c r="K612" s="153"/>
      <c r="L612" s="153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</row>
    <row r="613" spans="1:27" ht="17.399999999999999">
      <c r="A613" s="156"/>
      <c r="B613" s="152"/>
      <c r="C613" s="152"/>
      <c r="D613" s="152"/>
      <c r="E613" s="152"/>
      <c r="F613" s="152"/>
      <c r="G613" s="152"/>
      <c r="H613" s="153"/>
      <c r="I613" s="153"/>
      <c r="J613" s="153"/>
      <c r="K613" s="153"/>
      <c r="L613" s="153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</row>
    <row r="614" spans="1:27" ht="17.399999999999999">
      <c r="A614" s="156"/>
      <c r="B614" s="152"/>
      <c r="C614" s="152"/>
      <c r="D614" s="152"/>
      <c r="E614" s="152"/>
      <c r="F614" s="152"/>
      <c r="G614" s="152"/>
      <c r="H614" s="153"/>
      <c r="I614" s="153"/>
      <c r="J614" s="153"/>
      <c r="K614" s="153"/>
      <c r="L614" s="153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</row>
    <row r="615" spans="1:27" ht="17.399999999999999">
      <c r="A615" s="156"/>
      <c r="B615" s="152"/>
      <c r="C615" s="152"/>
      <c r="D615" s="152"/>
      <c r="E615" s="152"/>
      <c r="F615" s="152"/>
      <c r="G615" s="152"/>
      <c r="H615" s="153"/>
      <c r="I615" s="153"/>
      <c r="J615" s="153"/>
      <c r="K615" s="153"/>
      <c r="L615" s="153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</row>
    <row r="616" spans="1:27" ht="17.399999999999999">
      <c r="A616" s="156"/>
      <c r="B616" s="152"/>
      <c r="C616" s="152"/>
      <c r="D616" s="152"/>
      <c r="E616" s="152"/>
      <c r="F616" s="152"/>
      <c r="G616" s="152"/>
      <c r="H616" s="153"/>
      <c r="I616" s="153"/>
      <c r="J616" s="153"/>
      <c r="K616" s="153"/>
      <c r="L616" s="153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</row>
    <row r="617" spans="1:27" ht="17.399999999999999">
      <c r="A617" s="156"/>
      <c r="B617" s="152"/>
      <c r="C617" s="152"/>
      <c r="D617" s="152"/>
      <c r="E617" s="152"/>
      <c r="F617" s="152"/>
      <c r="G617" s="152"/>
      <c r="H617" s="153"/>
      <c r="I617" s="153"/>
      <c r="J617" s="153"/>
      <c r="K617" s="153"/>
      <c r="L617" s="153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</row>
    <row r="618" spans="1:27" ht="17.399999999999999">
      <c r="A618" s="156"/>
      <c r="B618" s="152"/>
      <c r="C618" s="152"/>
      <c r="D618" s="152"/>
      <c r="E618" s="152"/>
      <c r="F618" s="152"/>
      <c r="G618" s="152"/>
      <c r="H618" s="153"/>
      <c r="I618" s="153"/>
      <c r="J618" s="153"/>
      <c r="K618" s="153"/>
      <c r="L618" s="153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</row>
    <row r="619" spans="1:27" ht="17.399999999999999">
      <c r="A619" s="156"/>
      <c r="B619" s="152"/>
      <c r="C619" s="152"/>
      <c r="D619" s="152"/>
      <c r="E619" s="152"/>
      <c r="F619" s="152"/>
      <c r="G619" s="152"/>
      <c r="H619" s="153"/>
      <c r="I619" s="153"/>
      <c r="J619" s="153"/>
      <c r="K619" s="153"/>
      <c r="L619" s="153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</row>
    <row r="620" spans="1:27" ht="17.399999999999999">
      <c r="A620" s="156"/>
      <c r="B620" s="152"/>
      <c r="C620" s="152"/>
      <c r="D620" s="152"/>
      <c r="E620" s="152"/>
      <c r="F620" s="152"/>
      <c r="G620" s="152"/>
      <c r="H620" s="153"/>
      <c r="I620" s="153"/>
      <c r="J620" s="153"/>
      <c r="K620" s="153"/>
      <c r="L620" s="153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</row>
    <row r="621" spans="1:27" ht="17.399999999999999">
      <c r="A621" s="156"/>
      <c r="B621" s="152"/>
      <c r="C621" s="152"/>
      <c r="D621" s="152"/>
      <c r="E621" s="152"/>
      <c r="F621" s="152"/>
      <c r="G621" s="152"/>
      <c r="H621" s="153"/>
      <c r="I621" s="153"/>
      <c r="J621" s="153"/>
      <c r="K621" s="153"/>
      <c r="L621" s="153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</row>
    <row r="622" spans="1:27" ht="17.399999999999999">
      <c r="A622" s="156"/>
      <c r="B622" s="152"/>
      <c r="C622" s="152"/>
      <c r="D622" s="152"/>
      <c r="E622" s="152"/>
      <c r="F622" s="152"/>
      <c r="G622" s="152"/>
      <c r="H622" s="153"/>
      <c r="I622" s="153"/>
      <c r="J622" s="153"/>
      <c r="K622" s="153"/>
      <c r="L622" s="153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</row>
    <row r="623" spans="1:27" ht="17.399999999999999">
      <c r="A623" s="156"/>
      <c r="B623" s="152"/>
      <c r="C623" s="152"/>
      <c r="D623" s="152"/>
      <c r="E623" s="152"/>
      <c r="F623" s="152"/>
      <c r="G623" s="152"/>
      <c r="H623" s="153"/>
      <c r="I623" s="153"/>
      <c r="J623" s="153"/>
      <c r="K623" s="153"/>
      <c r="L623" s="153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</row>
    <row r="624" spans="1:27" ht="17.399999999999999">
      <c r="A624" s="156"/>
      <c r="B624" s="152"/>
      <c r="C624" s="152"/>
      <c r="D624" s="152"/>
      <c r="E624" s="152"/>
      <c r="F624" s="152"/>
      <c r="G624" s="152"/>
      <c r="H624" s="153"/>
      <c r="I624" s="153"/>
      <c r="J624" s="153"/>
      <c r="K624" s="153"/>
      <c r="L624" s="153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</row>
    <row r="625" spans="1:27" ht="17.399999999999999">
      <c r="A625" s="156"/>
      <c r="B625" s="152"/>
      <c r="C625" s="152"/>
      <c r="D625" s="152"/>
      <c r="E625" s="152"/>
      <c r="F625" s="152"/>
      <c r="G625" s="152"/>
      <c r="H625" s="153"/>
      <c r="I625" s="153"/>
      <c r="J625" s="153"/>
      <c r="K625" s="153"/>
      <c r="L625" s="153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</row>
    <row r="626" spans="1:27" ht="17.399999999999999">
      <c r="A626" s="156"/>
      <c r="B626" s="152"/>
      <c r="C626" s="152"/>
      <c r="D626" s="152"/>
      <c r="E626" s="152"/>
      <c r="F626" s="152"/>
      <c r="G626" s="152"/>
      <c r="H626" s="153"/>
      <c r="I626" s="153"/>
      <c r="J626" s="153"/>
      <c r="K626" s="153"/>
      <c r="L626" s="153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</row>
    <row r="627" spans="1:27" ht="17.399999999999999">
      <c r="A627" s="156"/>
      <c r="B627" s="152"/>
      <c r="C627" s="152"/>
      <c r="D627" s="152"/>
      <c r="E627" s="152"/>
      <c r="F627" s="152"/>
      <c r="G627" s="152"/>
      <c r="H627" s="153"/>
      <c r="I627" s="153"/>
      <c r="J627" s="153"/>
      <c r="K627" s="153"/>
      <c r="L627" s="153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</row>
    <row r="628" spans="1:27" ht="17.399999999999999">
      <c r="A628" s="156"/>
      <c r="B628" s="152"/>
      <c r="C628" s="152"/>
      <c r="D628" s="152"/>
      <c r="E628" s="152"/>
      <c r="F628" s="152"/>
      <c r="G628" s="152"/>
      <c r="H628" s="153"/>
      <c r="I628" s="153"/>
      <c r="J628" s="153"/>
      <c r="K628" s="153"/>
      <c r="L628" s="153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</row>
    <row r="629" spans="1:27" ht="17.399999999999999">
      <c r="A629" s="156"/>
      <c r="B629" s="152"/>
      <c r="C629" s="152"/>
      <c r="D629" s="152"/>
      <c r="E629" s="152"/>
      <c r="F629" s="152"/>
      <c r="G629" s="152"/>
      <c r="H629" s="153"/>
      <c r="I629" s="153"/>
      <c r="J629" s="153"/>
      <c r="K629" s="153"/>
      <c r="L629" s="153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</row>
    <row r="630" spans="1:27" ht="17.399999999999999">
      <c r="A630" s="156"/>
      <c r="B630" s="152"/>
      <c r="C630" s="152"/>
      <c r="D630" s="152"/>
      <c r="E630" s="152"/>
      <c r="F630" s="152"/>
      <c r="G630" s="152"/>
      <c r="H630" s="153"/>
      <c r="I630" s="153"/>
      <c r="J630" s="153"/>
      <c r="K630" s="153"/>
      <c r="L630" s="153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</row>
    <row r="631" spans="1:27" ht="17.399999999999999">
      <c r="A631" s="156"/>
      <c r="B631" s="152"/>
      <c r="C631" s="152"/>
      <c r="D631" s="152"/>
      <c r="E631" s="152"/>
      <c r="F631" s="152"/>
      <c r="G631" s="152"/>
      <c r="H631" s="153"/>
      <c r="I631" s="153"/>
      <c r="J631" s="153"/>
      <c r="K631" s="153"/>
      <c r="L631" s="153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</row>
    <row r="632" spans="1:27" ht="17.399999999999999">
      <c r="A632" s="156"/>
      <c r="B632" s="152"/>
      <c r="C632" s="152"/>
      <c r="D632" s="152"/>
      <c r="E632" s="152"/>
      <c r="F632" s="152"/>
      <c r="G632" s="152"/>
      <c r="H632" s="153"/>
      <c r="I632" s="153"/>
      <c r="J632" s="153"/>
      <c r="K632" s="153"/>
      <c r="L632" s="153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</row>
    <row r="633" spans="1:27" ht="17.399999999999999">
      <c r="A633" s="156"/>
      <c r="B633" s="152"/>
      <c r="C633" s="152"/>
      <c r="D633" s="152"/>
      <c r="E633" s="152"/>
      <c r="F633" s="152"/>
      <c r="G633" s="152"/>
      <c r="H633" s="153"/>
      <c r="I633" s="153"/>
      <c r="J633" s="153"/>
      <c r="K633" s="153"/>
      <c r="L633" s="153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</row>
    <row r="634" spans="1:27" ht="17.399999999999999">
      <c r="A634" s="156"/>
      <c r="B634" s="152"/>
      <c r="C634" s="152"/>
      <c r="D634" s="152"/>
      <c r="E634" s="152"/>
      <c r="F634" s="152"/>
      <c r="G634" s="152"/>
      <c r="H634" s="153"/>
      <c r="I634" s="153"/>
      <c r="J634" s="153"/>
      <c r="K634" s="153"/>
      <c r="L634" s="153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</row>
    <row r="635" spans="1:27" ht="17.399999999999999">
      <c r="A635" s="156"/>
      <c r="B635" s="152"/>
      <c r="C635" s="152"/>
      <c r="D635" s="152"/>
      <c r="E635" s="152"/>
      <c r="F635" s="152"/>
      <c r="G635" s="152"/>
      <c r="H635" s="153"/>
      <c r="I635" s="153"/>
      <c r="J635" s="153"/>
      <c r="K635" s="153"/>
      <c r="L635" s="153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</row>
    <row r="636" spans="1:27" ht="17.399999999999999">
      <c r="A636" s="156"/>
      <c r="B636" s="152"/>
      <c r="C636" s="152"/>
      <c r="D636" s="152"/>
      <c r="E636" s="152"/>
      <c r="F636" s="152"/>
      <c r="G636" s="152"/>
      <c r="H636" s="153"/>
      <c r="I636" s="153"/>
      <c r="J636" s="153"/>
      <c r="K636" s="153"/>
      <c r="L636" s="153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</row>
    <row r="637" spans="1:27" ht="17.399999999999999">
      <c r="A637" s="156"/>
      <c r="B637" s="152"/>
      <c r="C637" s="152"/>
      <c r="D637" s="152"/>
      <c r="E637" s="152"/>
      <c r="F637" s="152"/>
      <c r="G637" s="152"/>
      <c r="H637" s="153"/>
      <c r="I637" s="153"/>
      <c r="J637" s="153"/>
      <c r="K637" s="153"/>
      <c r="L637" s="153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</row>
    <row r="638" spans="1:27" ht="17.399999999999999">
      <c r="A638" s="156"/>
      <c r="B638" s="152"/>
      <c r="C638" s="152"/>
      <c r="D638" s="152"/>
      <c r="E638" s="152"/>
      <c r="F638" s="152"/>
      <c r="G638" s="152"/>
      <c r="H638" s="153"/>
      <c r="I638" s="153"/>
      <c r="J638" s="153"/>
      <c r="K638" s="153"/>
      <c r="L638" s="153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</row>
    <row r="639" spans="1:27" ht="17.399999999999999">
      <c r="A639" s="156"/>
      <c r="B639" s="152"/>
      <c r="C639" s="152"/>
      <c r="D639" s="152"/>
      <c r="E639" s="152"/>
      <c r="F639" s="152"/>
      <c r="G639" s="152"/>
      <c r="H639" s="153"/>
      <c r="I639" s="153"/>
      <c r="J639" s="153"/>
      <c r="K639" s="153"/>
      <c r="L639" s="153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</row>
    <row r="640" spans="1:27" ht="17.399999999999999">
      <c r="A640" s="156"/>
      <c r="B640" s="152"/>
      <c r="C640" s="152"/>
      <c r="D640" s="152"/>
      <c r="E640" s="152"/>
      <c r="F640" s="152"/>
      <c r="G640" s="152"/>
      <c r="H640" s="153"/>
      <c r="I640" s="153"/>
      <c r="J640" s="153"/>
      <c r="K640" s="153"/>
      <c r="L640" s="153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</row>
    <row r="641" spans="1:27" ht="17.399999999999999">
      <c r="A641" s="156"/>
      <c r="B641" s="152"/>
      <c r="C641" s="152"/>
      <c r="D641" s="152"/>
      <c r="E641" s="152"/>
      <c r="F641" s="152"/>
      <c r="G641" s="152"/>
      <c r="H641" s="153"/>
      <c r="I641" s="153"/>
      <c r="J641" s="153"/>
      <c r="K641" s="153"/>
      <c r="L641" s="153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</row>
    <row r="642" spans="1:27" ht="17.399999999999999">
      <c r="A642" s="156"/>
      <c r="B642" s="152"/>
      <c r="C642" s="152"/>
      <c r="D642" s="152"/>
      <c r="E642" s="152"/>
      <c r="F642" s="152"/>
      <c r="G642" s="152"/>
      <c r="H642" s="153"/>
      <c r="I642" s="153"/>
      <c r="J642" s="153"/>
      <c r="K642" s="153"/>
      <c r="L642" s="153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</row>
    <row r="643" spans="1:27" ht="17.399999999999999">
      <c r="A643" s="156"/>
      <c r="B643" s="152"/>
      <c r="C643" s="152"/>
      <c r="D643" s="152"/>
      <c r="E643" s="152"/>
      <c r="F643" s="152"/>
      <c r="G643" s="152"/>
      <c r="H643" s="153"/>
      <c r="I643" s="153"/>
      <c r="J643" s="153"/>
      <c r="K643" s="153"/>
      <c r="L643" s="153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</row>
    <row r="644" spans="1:27" ht="17.399999999999999">
      <c r="A644" s="156"/>
      <c r="B644" s="152"/>
      <c r="C644" s="152"/>
      <c r="D644" s="152"/>
      <c r="E644" s="152"/>
      <c r="F644" s="152"/>
      <c r="G644" s="152"/>
      <c r="H644" s="153"/>
      <c r="I644" s="153"/>
      <c r="J644" s="153"/>
      <c r="K644" s="153"/>
      <c r="L644" s="153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</row>
    <row r="645" spans="1:27" ht="17.399999999999999">
      <c r="A645" s="156"/>
      <c r="B645" s="152"/>
      <c r="C645" s="152"/>
      <c r="D645" s="152"/>
      <c r="E645" s="152"/>
      <c r="F645" s="152"/>
      <c r="G645" s="152"/>
      <c r="H645" s="153"/>
      <c r="I645" s="153"/>
      <c r="J645" s="153"/>
      <c r="K645" s="153"/>
      <c r="L645" s="153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</row>
    <row r="646" spans="1:27" ht="17.399999999999999">
      <c r="A646" s="156"/>
      <c r="B646" s="152"/>
      <c r="C646" s="152"/>
      <c r="D646" s="152"/>
      <c r="E646" s="152"/>
      <c r="F646" s="152"/>
      <c r="G646" s="152"/>
      <c r="H646" s="153"/>
      <c r="I646" s="153"/>
      <c r="J646" s="153"/>
      <c r="K646" s="153"/>
      <c r="L646" s="153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</row>
    <row r="647" spans="1:27" ht="17.399999999999999">
      <c r="A647" s="156"/>
      <c r="B647" s="152"/>
      <c r="C647" s="152"/>
      <c r="D647" s="152"/>
      <c r="E647" s="152"/>
      <c r="F647" s="152"/>
      <c r="G647" s="152"/>
      <c r="H647" s="153"/>
      <c r="I647" s="153"/>
      <c r="J647" s="153"/>
      <c r="K647" s="153"/>
      <c r="L647" s="153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</row>
    <row r="648" spans="1:27" ht="17.399999999999999">
      <c r="A648" s="156"/>
      <c r="B648" s="152"/>
      <c r="C648" s="152"/>
      <c r="D648" s="152"/>
      <c r="E648" s="152"/>
      <c r="F648" s="152"/>
      <c r="G648" s="152"/>
      <c r="H648" s="153"/>
      <c r="I648" s="153"/>
      <c r="J648" s="153"/>
      <c r="K648" s="153"/>
      <c r="L648" s="153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</row>
    <row r="649" spans="1:27" ht="17.399999999999999">
      <c r="A649" s="156"/>
      <c r="B649" s="152"/>
      <c r="C649" s="152"/>
      <c r="D649" s="152"/>
      <c r="E649" s="152"/>
      <c r="F649" s="152"/>
      <c r="G649" s="152"/>
      <c r="H649" s="153"/>
      <c r="I649" s="153"/>
      <c r="J649" s="153"/>
      <c r="K649" s="153"/>
      <c r="L649" s="153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</row>
    <row r="650" spans="1:27" ht="17.399999999999999">
      <c r="A650" s="156"/>
      <c r="B650" s="152"/>
      <c r="C650" s="152"/>
      <c r="D650" s="152"/>
      <c r="E650" s="152"/>
      <c r="F650" s="152"/>
      <c r="G650" s="152"/>
      <c r="H650" s="153"/>
      <c r="I650" s="153"/>
      <c r="J650" s="153"/>
      <c r="K650" s="153"/>
      <c r="L650" s="153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</row>
    <row r="651" spans="1:27" ht="17.399999999999999">
      <c r="A651" s="156"/>
      <c r="B651" s="152"/>
      <c r="C651" s="152"/>
      <c r="D651" s="152"/>
      <c r="E651" s="152"/>
      <c r="F651" s="152"/>
      <c r="G651" s="152"/>
      <c r="H651" s="153"/>
      <c r="I651" s="153"/>
      <c r="J651" s="153"/>
      <c r="K651" s="153"/>
      <c r="L651" s="153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</row>
    <row r="652" spans="1:27" ht="17.399999999999999">
      <c r="A652" s="156"/>
      <c r="B652" s="152"/>
      <c r="C652" s="152"/>
      <c r="D652" s="152"/>
      <c r="E652" s="152"/>
      <c r="F652" s="152"/>
      <c r="G652" s="152"/>
      <c r="H652" s="153"/>
      <c r="I652" s="153"/>
      <c r="J652" s="153"/>
      <c r="K652" s="153"/>
      <c r="L652" s="153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</row>
    <row r="653" spans="1:27" ht="17.399999999999999">
      <c r="A653" s="156"/>
      <c r="B653" s="152"/>
      <c r="C653" s="152"/>
      <c r="D653" s="152"/>
      <c r="E653" s="152"/>
      <c r="F653" s="152"/>
      <c r="G653" s="152"/>
      <c r="H653" s="153"/>
      <c r="I653" s="153"/>
      <c r="J653" s="153"/>
      <c r="K653" s="153"/>
      <c r="L653" s="153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</row>
    <row r="654" spans="1:27" ht="17.399999999999999">
      <c r="A654" s="156"/>
      <c r="B654" s="152"/>
      <c r="C654" s="152"/>
      <c r="D654" s="152"/>
      <c r="E654" s="152"/>
      <c r="F654" s="152"/>
      <c r="G654" s="152"/>
      <c r="H654" s="153"/>
      <c r="I654" s="153"/>
      <c r="J654" s="153"/>
      <c r="K654" s="153"/>
      <c r="L654" s="153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</row>
    <row r="655" spans="1:27" ht="17.399999999999999">
      <c r="A655" s="156"/>
      <c r="B655" s="152"/>
      <c r="C655" s="152"/>
      <c r="D655" s="152"/>
      <c r="E655" s="152"/>
      <c r="F655" s="152"/>
      <c r="G655" s="152"/>
      <c r="H655" s="153"/>
      <c r="I655" s="153"/>
      <c r="J655" s="153"/>
      <c r="K655" s="153"/>
      <c r="L655" s="153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</row>
    <row r="656" spans="1:27" ht="17.399999999999999">
      <c r="A656" s="156"/>
      <c r="B656" s="152"/>
      <c r="C656" s="152"/>
      <c r="D656" s="152"/>
      <c r="E656" s="152"/>
      <c r="F656" s="152"/>
      <c r="G656" s="152"/>
      <c r="H656" s="153"/>
      <c r="I656" s="153"/>
      <c r="J656" s="153"/>
      <c r="K656" s="153"/>
      <c r="L656" s="153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</row>
    <row r="657" spans="1:27" ht="17.399999999999999">
      <c r="A657" s="156"/>
      <c r="B657" s="152"/>
      <c r="C657" s="152"/>
      <c r="D657" s="152"/>
      <c r="E657" s="152"/>
      <c r="F657" s="152"/>
      <c r="G657" s="152"/>
      <c r="H657" s="153"/>
      <c r="I657" s="153"/>
      <c r="J657" s="153"/>
      <c r="K657" s="153"/>
      <c r="L657" s="153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</row>
    <row r="658" spans="1:27" ht="17.399999999999999">
      <c r="A658" s="156"/>
      <c r="B658" s="152"/>
      <c r="C658" s="152"/>
      <c r="D658" s="152"/>
      <c r="E658" s="152"/>
      <c r="F658" s="152"/>
      <c r="G658" s="152"/>
      <c r="H658" s="153"/>
      <c r="I658" s="153"/>
      <c r="J658" s="153"/>
      <c r="K658" s="153"/>
      <c r="L658" s="153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</row>
    <row r="659" spans="1:27" ht="17.399999999999999">
      <c r="A659" s="156"/>
      <c r="B659" s="152"/>
      <c r="C659" s="152"/>
      <c r="D659" s="152"/>
      <c r="E659" s="152"/>
      <c r="F659" s="152"/>
      <c r="G659" s="152"/>
      <c r="H659" s="153"/>
      <c r="I659" s="153"/>
      <c r="J659" s="153"/>
      <c r="K659" s="153"/>
      <c r="L659" s="153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</row>
    <row r="660" spans="1:27" ht="17.399999999999999">
      <c r="A660" s="156"/>
      <c r="B660" s="152"/>
      <c r="C660" s="152"/>
      <c r="D660" s="152"/>
      <c r="E660" s="152"/>
      <c r="F660" s="152"/>
      <c r="G660" s="152"/>
      <c r="H660" s="153"/>
      <c r="I660" s="153"/>
      <c r="J660" s="153"/>
      <c r="K660" s="153"/>
      <c r="L660" s="153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</row>
    <row r="661" spans="1:27" ht="17.399999999999999">
      <c r="A661" s="156"/>
      <c r="B661" s="152"/>
      <c r="C661" s="152"/>
      <c r="D661" s="152"/>
      <c r="E661" s="152"/>
      <c r="F661" s="152"/>
      <c r="G661" s="152"/>
      <c r="H661" s="153"/>
      <c r="I661" s="153"/>
      <c r="J661" s="153"/>
      <c r="K661" s="153"/>
      <c r="L661" s="153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</row>
    <row r="662" spans="1:27" ht="17.399999999999999">
      <c r="A662" s="156"/>
      <c r="B662" s="152"/>
      <c r="C662" s="152"/>
      <c r="D662" s="152"/>
      <c r="E662" s="152"/>
      <c r="F662" s="152"/>
      <c r="G662" s="152"/>
      <c r="H662" s="153"/>
      <c r="I662" s="153"/>
      <c r="J662" s="153"/>
      <c r="K662" s="153"/>
      <c r="L662" s="153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</row>
    <row r="663" spans="1:27" ht="17.399999999999999">
      <c r="A663" s="156"/>
      <c r="B663" s="152"/>
      <c r="C663" s="152"/>
      <c r="D663" s="152"/>
      <c r="E663" s="152"/>
      <c r="F663" s="152"/>
      <c r="G663" s="152"/>
      <c r="H663" s="153"/>
      <c r="I663" s="153"/>
      <c r="J663" s="153"/>
      <c r="K663" s="153"/>
      <c r="L663" s="153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</row>
    <row r="664" spans="1:27" ht="17.399999999999999">
      <c r="A664" s="156"/>
      <c r="B664" s="152"/>
      <c r="C664" s="152"/>
      <c r="D664" s="152"/>
      <c r="E664" s="152"/>
      <c r="F664" s="152"/>
      <c r="G664" s="152"/>
      <c r="H664" s="153"/>
      <c r="I664" s="153"/>
      <c r="J664" s="153"/>
      <c r="K664" s="153"/>
      <c r="L664" s="153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</row>
    <row r="665" spans="1:27" ht="17.399999999999999">
      <c r="A665" s="156"/>
      <c r="B665" s="152"/>
      <c r="C665" s="152"/>
      <c r="D665" s="152"/>
      <c r="E665" s="152"/>
      <c r="F665" s="152"/>
      <c r="G665" s="152"/>
      <c r="H665" s="153"/>
      <c r="I665" s="153"/>
      <c r="J665" s="153"/>
      <c r="K665" s="153"/>
      <c r="L665" s="153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</row>
    <row r="666" spans="1:27" ht="17.399999999999999">
      <c r="A666" s="156"/>
      <c r="B666" s="152"/>
      <c r="C666" s="152"/>
      <c r="D666" s="152"/>
      <c r="E666" s="152"/>
      <c r="F666" s="152"/>
      <c r="G666" s="152"/>
      <c r="H666" s="153"/>
      <c r="I666" s="153"/>
      <c r="J666" s="153"/>
      <c r="K666" s="153"/>
      <c r="L666" s="153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</row>
    <row r="667" spans="1:27" ht="17.399999999999999">
      <c r="A667" s="156"/>
      <c r="B667" s="152"/>
      <c r="C667" s="152"/>
      <c r="D667" s="152"/>
      <c r="E667" s="152"/>
      <c r="F667" s="152"/>
      <c r="G667" s="152"/>
      <c r="H667" s="153"/>
      <c r="I667" s="153"/>
      <c r="J667" s="153"/>
      <c r="K667" s="153"/>
      <c r="L667" s="153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</row>
    <row r="668" spans="1:27" ht="17.399999999999999">
      <c r="A668" s="156"/>
      <c r="B668" s="152"/>
      <c r="C668" s="152"/>
      <c r="D668" s="152"/>
      <c r="E668" s="152"/>
      <c r="F668" s="152"/>
      <c r="G668" s="152"/>
      <c r="H668" s="153"/>
      <c r="I668" s="153"/>
      <c r="J668" s="153"/>
      <c r="K668" s="153"/>
      <c r="L668" s="153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</row>
    <row r="669" spans="1:27" ht="17.399999999999999">
      <c r="A669" s="156"/>
      <c r="B669" s="152"/>
      <c r="C669" s="152"/>
      <c r="D669" s="152"/>
      <c r="E669" s="152"/>
      <c r="F669" s="152"/>
      <c r="G669" s="152"/>
      <c r="H669" s="153"/>
      <c r="I669" s="153"/>
      <c r="J669" s="153"/>
      <c r="K669" s="153"/>
      <c r="L669" s="153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</row>
    <row r="670" spans="1:27" ht="17.399999999999999">
      <c r="A670" s="156"/>
      <c r="B670" s="152"/>
      <c r="C670" s="152"/>
      <c r="D670" s="152"/>
      <c r="E670" s="152"/>
      <c r="F670" s="152"/>
      <c r="G670" s="152"/>
      <c r="H670" s="153"/>
      <c r="I670" s="153"/>
      <c r="J670" s="153"/>
      <c r="K670" s="153"/>
      <c r="L670" s="153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</row>
    <row r="671" spans="1:27" ht="17.399999999999999">
      <c r="A671" s="156"/>
      <c r="B671" s="152"/>
      <c r="C671" s="152"/>
      <c r="D671" s="152"/>
      <c r="E671" s="152"/>
      <c r="F671" s="152"/>
      <c r="G671" s="152"/>
      <c r="H671" s="153"/>
      <c r="I671" s="153"/>
      <c r="J671" s="153"/>
      <c r="K671" s="153"/>
      <c r="L671" s="153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</row>
    <row r="672" spans="1:27" ht="17.399999999999999">
      <c r="A672" s="156"/>
      <c r="B672" s="152"/>
      <c r="C672" s="152"/>
      <c r="D672" s="152"/>
      <c r="E672" s="152"/>
      <c r="F672" s="152"/>
      <c r="G672" s="152"/>
      <c r="H672" s="153"/>
      <c r="I672" s="153"/>
      <c r="J672" s="153"/>
      <c r="K672" s="153"/>
      <c r="L672" s="153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</row>
    <row r="673" spans="1:27" ht="17.399999999999999">
      <c r="A673" s="156"/>
      <c r="B673" s="152"/>
      <c r="C673" s="152"/>
      <c r="D673" s="152"/>
      <c r="E673" s="152"/>
      <c r="F673" s="152"/>
      <c r="G673" s="152"/>
      <c r="H673" s="153"/>
      <c r="I673" s="153"/>
      <c r="J673" s="153"/>
      <c r="K673" s="153"/>
      <c r="L673" s="153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</row>
    <row r="674" spans="1:27" ht="17.399999999999999">
      <c r="A674" s="156"/>
      <c r="B674" s="152"/>
      <c r="C674" s="152"/>
      <c r="D674" s="152"/>
      <c r="E674" s="152"/>
      <c r="F674" s="152"/>
      <c r="G674" s="152"/>
      <c r="H674" s="153"/>
      <c r="I674" s="153"/>
      <c r="J674" s="153"/>
      <c r="K674" s="153"/>
      <c r="L674" s="153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</row>
    <row r="675" spans="1:27" ht="17.399999999999999">
      <c r="A675" s="156"/>
      <c r="B675" s="152"/>
      <c r="C675" s="152"/>
      <c r="D675" s="152"/>
      <c r="E675" s="152"/>
      <c r="F675" s="152"/>
      <c r="G675" s="152"/>
      <c r="H675" s="153"/>
      <c r="I675" s="153"/>
      <c r="J675" s="153"/>
      <c r="K675" s="153"/>
      <c r="L675" s="153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</row>
    <row r="676" spans="1:27" ht="17.399999999999999">
      <c r="A676" s="156"/>
      <c r="B676" s="152"/>
      <c r="C676" s="152"/>
      <c r="D676" s="152"/>
      <c r="E676" s="152"/>
      <c r="F676" s="152"/>
      <c r="G676" s="152"/>
      <c r="H676" s="153"/>
      <c r="I676" s="153"/>
      <c r="J676" s="153"/>
      <c r="K676" s="153"/>
      <c r="L676" s="153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</row>
    <row r="677" spans="1:27" ht="17.399999999999999">
      <c r="A677" s="156"/>
      <c r="B677" s="152"/>
      <c r="C677" s="152"/>
      <c r="D677" s="152"/>
      <c r="E677" s="152"/>
      <c r="F677" s="152"/>
      <c r="G677" s="152"/>
      <c r="H677" s="153"/>
      <c r="I677" s="153"/>
      <c r="J677" s="153"/>
      <c r="K677" s="153"/>
      <c r="L677" s="153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</row>
    <row r="678" spans="1:27" ht="17.399999999999999">
      <c r="A678" s="156"/>
      <c r="B678" s="152"/>
      <c r="C678" s="152"/>
      <c r="D678" s="152"/>
      <c r="E678" s="152"/>
      <c r="F678" s="152"/>
      <c r="G678" s="152"/>
      <c r="H678" s="153"/>
      <c r="I678" s="153"/>
      <c r="J678" s="153"/>
      <c r="K678" s="153"/>
      <c r="L678" s="153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</row>
    <row r="679" spans="1:27" ht="17.399999999999999">
      <c r="A679" s="156"/>
      <c r="B679" s="152"/>
      <c r="C679" s="152"/>
      <c r="D679" s="152"/>
      <c r="E679" s="152"/>
      <c r="F679" s="152"/>
      <c r="G679" s="152"/>
      <c r="H679" s="153"/>
      <c r="I679" s="153"/>
      <c r="J679" s="153"/>
      <c r="K679" s="153"/>
      <c r="L679" s="153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</row>
    <row r="680" spans="1:27" ht="17.399999999999999">
      <c r="A680" s="156"/>
      <c r="B680" s="152"/>
      <c r="C680" s="152"/>
      <c r="D680" s="152"/>
      <c r="E680" s="152"/>
      <c r="F680" s="152"/>
      <c r="G680" s="152"/>
      <c r="H680" s="153"/>
      <c r="I680" s="153"/>
      <c r="J680" s="153"/>
      <c r="K680" s="153"/>
      <c r="L680" s="153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</row>
    <row r="681" spans="1:27" ht="17.399999999999999">
      <c r="A681" s="156"/>
      <c r="B681" s="152"/>
      <c r="C681" s="152"/>
      <c r="D681" s="152"/>
      <c r="E681" s="152"/>
      <c r="F681" s="152"/>
      <c r="G681" s="152"/>
      <c r="H681" s="153"/>
      <c r="I681" s="153"/>
      <c r="J681" s="153"/>
      <c r="K681" s="153"/>
      <c r="L681" s="153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</row>
    <row r="682" spans="1:27" ht="17.399999999999999">
      <c r="A682" s="156"/>
      <c r="B682" s="152"/>
      <c r="C682" s="152"/>
      <c r="D682" s="152"/>
      <c r="E682" s="152"/>
      <c r="F682" s="152"/>
      <c r="G682" s="152"/>
      <c r="H682" s="153"/>
      <c r="I682" s="153"/>
      <c r="J682" s="153"/>
      <c r="K682" s="153"/>
      <c r="L682" s="153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</row>
    <row r="683" spans="1:27" ht="17.399999999999999">
      <c r="A683" s="156"/>
      <c r="B683" s="152"/>
      <c r="C683" s="152"/>
      <c r="D683" s="152"/>
      <c r="E683" s="152"/>
      <c r="F683" s="152"/>
      <c r="G683" s="152"/>
      <c r="H683" s="153"/>
      <c r="I683" s="153"/>
      <c r="J683" s="153"/>
      <c r="K683" s="153"/>
      <c r="L683" s="153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</row>
    <row r="684" spans="1:27" ht="17.399999999999999">
      <c r="A684" s="156"/>
      <c r="B684" s="152"/>
      <c r="C684" s="152"/>
      <c r="D684" s="152"/>
      <c r="E684" s="152"/>
      <c r="F684" s="152"/>
      <c r="G684" s="152"/>
      <c r="H684" s="153"/>
      <c r="I684" s="153"/>
      <c r="J684" s="153"/>
      <c r="K684" s="153"/>
      <c r="L684" s="153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</row>
    <row r="685" spans="1:27" ht="17.399999999999999">
      <c r="A685" s="156"/>
      <c r="B685" s="152"/>
      <c r="C685" s="152"/>
      <c r="D685" s="152"/>
      <c r="E685" s="152"/>
      <c r="F685" s="152"/>
      <c r="G685" s="152"/>
      <c r="H685" s="153"/>
      <c r="I685" s="153"/>
      <c r="J685" s="153"/>
      <c r="K685" s="153"/>
      <c r="L685" s="153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</row>
    <row r="686" spans="1:27" ht="17.399999999999999">
      <c r="A686" s="156"/>
      <c r="B686" s="152"/>
      <c r="C686" s="152"/>
      <c r="D686" s="152"/>
      <c r="E686" s="152"/>
      <c r="F686" s="152"/>
      <c r="G686" s="152"/>
      <c r="H686" s="153"/>
      <c r="I686" s="153"/>
      <c r="J686" s="153"/>
      <c r="K686" s="153"/>
      <c r="L686" s="153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</row>
    <row r="687" spans="1:27" ht="17.399999999999999">
      <c r="A687" s="156"/>
      <c r="B687" s="152"/>
      <c r="C687" s="152"/>
      <c r="D687" s="152"/>
      <c r="E687" s="152"/>
      <c r="F687" s="152"/>
      <c r="G687" s="152"/>
      <c r="H687" s="153"/>
      <c r="I687" s="153"/>
      <c r="J687" s="153"/>
      <c r="K687" s="153"/>
      <c r="L687" s="153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</row>
    <row r="688" spans="1:27" ht="17.399999999999999">
      <c r="A688" s="156"/>
      <c r="B688" s="152"/>
      <c r="C688" s="152"/>
      <c r="D688" s="152"/>
      <c r="E688" s="152"/>
      <c r="F688" s="152"/>
      <c r="G688" s="152"/>
      <c r="H688" s="153"/>
      <c r="I688" s="153"/>
      <c r="J688" s="153"/>
      <c r="K688" s="153"/>
      <c r="L688" s="153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</row>
    <row r="689" spans="1:27" ht="17.399999999999999">
      <c r="A689" s="156"/>
      <c r="B689" s="152"/>
      <c r="C689" s="152"/>
      <c r="D689" s="152"/>
      <c r="E689" s="152"/>
      <c r="F689" s="152"/>
      <c r="G689" s="152"/>
      <c r="H689" s="153"/>
      <c r="I689" s="153"/>
      <c r="J689" s="153"/>
      <c r="K689" s="153"/>
      <c r="L689" s="153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</row>
    <row r="690" spans="1:27" ht="17.399999999999999">
      <c r="A690" s="156"/>
      <c r="B690" s="152"/>
      <c r="C690" s="152"/>
      <c r="D690" s="152"/>
      <c r="E690" s="152"/>
      <c r="F690" s="152"/>
      <c r="G690" s="152"/>
      <c r="H690" s="153"/>
      <c r="I690" s="153"/>
      <c r="J690" s="153"/>
      <c r="K690" s="153"/>
      <c r="L690" s="153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</row>
    <row r="691" spans="1:27" ht="17.399999999999999">
      <c r="A691" s="156"/>
      <c r="B691" s="152"/>
      <c r="C691" s="152"/>
      <c r="D691" s="152"/>
      <c r="E691" s="152"/>
      <c r="F691" s="152"/>
      <c r="G691" s="152"/>
      <c r="H691" s="153"/>
      <c r="I691" s="153"/>
      <c r="J691" s="153"/>
      <c r="K691" s="153"/>
      <c r="L691" s="153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</row>
    <row r="692" spans="1:27" ht="17.399999999999999">
      <c r="A692" s="156"/>
      <c r="B692" s="152"/>
      <c r="C692" s="152"/>
      <c r="D692" s="152"/>
      <c r="E692" s="152"/>
      <c r="F692" s="152"/>
      <c r="G692" s="152"/>
      <c r="H692" s="153"/>
      <c r="I692" s="153"/>
      <c r="J692" s="153"/>
      <c r="K692" s="153"/>
      <c r="L692" s="153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</row>
    <row r="693" spans="1:27" ht="17.399999999999999">
      <c r="A693" s="156"/>
      <c r="B693" s="152"/>
      <c r="C693" s="152"/>
      <c r="D693" s="152"/>
      <c r="E693" s="152"/>
      <c r="F693" s="152"/>
      <c r="G693" s="152"/>
      <c r="H693" s="153"/>
      <c r="I693" s="153"/>
      <c r="J693" s="153"/>
      <c r="K693" s="153"/>
      <c r="L693" s="153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</row>
    <row r="694" spans="1:27" ht="17.399999999999999">
      <c r="A694" s="156"/>
      <c r="B694" s="152"/>
      <c r="C694" s="152"/>
      <c r="D694" s="152"/>
      <c r="E694" s="152"/>
      <c r="F694" s="152"/>
      <c r="G694" s="152"/>
      <c r="H694" s="153"/>
      <c r="I694" s="153"/>
      <c r="J694" s="153"/>
      <c r="K694" s="153"/>
      <c r="L694" s="153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</row>
    <row r="695" spans="1:27" ht="17.399999999999999">
      <c r="A695" s="156"/>
      <c r="B695" s="152"/>
      <c r="C695" s="152"/>
      <c r="D695" s="152"/>
      <c r="E695" s="152"/>
      <c r="F695" s="152"/>
      <c r="G695" s="152"/>
      <c r="H695" s="153"/>
      <c r="I695" s="153"/>
      <c r="J695" s="153"/>
      <c r="K695" s="153"/>
      <c r="L695" s="153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</row>
    <row r="696" spans="1:27" ht="17.399999999999999">
      <c r="A696" s="156"/>
      <c r="B696" s="152"/>
      <c r="C696" s="152"/>
      <c r="D696" s="152"/>
      <c r="E696" s="152"/>
      <c r="F696" s="152"/>
      <c r="G696" s="152"/>
      <c r="H696" s="153"/>
      <c r="I696" s="153"/>
      <c r="J696" s="153"/>
      <c r="K696" s="153"/>
      <c r="L696" s="153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</row>
    <row r="697" spans="1:27" ht="17.399999999999999">
      <c r="A697" s="156"/>
      <c r="B697" s="152"/>
      <c r="C697" s="152"/>
      <c r="D697" s="152"/>
      <c r="E697" s="152"/>
      <c r="F697" s="152"/>
      <c r="G697" s="152"/>
      <c r="H697" s="153"/>
      <c r="I697" s="153"/>
      <c r="J697" s="153"/>
      <c r="K697" s="153"/>
      <c r="L697" s="153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</row>
    <row r="698" spans="1:27" ht="17.399999999999999">
      <c r="A698" s="156"/>
      <c r="B698" s="152"/>
      <c r="C698" s="152"/>
      <c r="D698" s="152"/>
      <c r="E698" s="152"/>
      <c r="F698" s="152"/>
      <c r="G698" s="152"/>
      <c r="H698" s="153"/>
      <c r="I698" s="153"/>
      <c r="J698" s="153"/>
      <c r="K698" s="153"/>
      <c r="L698" s="153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</row>
    <row r="699" spans="1:27" ht="17.399999999999999">
      <c r="A699" s="156"/>
      <c r="B699" s="152"/>
      <c r="C699" s="152"/>
      <c r="D699" s="152"/>
      <c r="E699" s="152"/>
      <c r="F699" s="152"/>
      <c r="G699" s="152"/>
      <c r="H699" s="153"/>
      <c r="I699" s="153"/>
      <c r="J699" s="153"/>
      <c r="K699" s="153"/>
      <c r="L699" s="153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</row>
    <row r="700" spans="1:27" ht="17.399999999999999">
      <c r="A700" s="156"/>
      <c r="B700" s="152"/>
      <c r="C700" s="152"/>
      <c r="D700" s="152"/>
      <c r="E700" s="152"/>
      <c r="F700" s="152"/>
      <c r="G700" s="152"/>
      <c r="H700" s="153"/>
      <c r="I700" s="153"/>
      <c r="J700" s="153"/>
      <c r="K700" s="153"/>
      <c r="L700" s="153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</row>
    <row r="701" spans="1:27" ht="17.399999999999999">
      <c r="A701" s="156"/>
      <c r="B701" s="152"/>
      <c r="C701" s="152"/>
      <c r="D701" s="152"/>
      <c r="E701" s="152"/>
      <c r="F701" s="152"/>
      <c r="G701" s="152"/>
      <c r="H701" s="153"/>
      <c r="I701" s="153"/>
      <c r="J701" s="153"/>
      <c r="K701" s="153"/>
      <c r="L701" s="153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</row>
    <row r="702" spans="1:27" ht="17.399999999999999">
      <c r="A702" s="156"/>
      <c r="B702" s="152"/>
      <c r="C702" s="152"/>
      <c r="D702" s="152"/>
      <c r="E702" s="152"/>
      <c r="F702" s="152"/>
      <c r="G702" s="152"/>
      <c r="H702" s="153"/>
      <c r="I702" s="153"/>
      <c r="J702" s="153"/>
      <c r="K702" s="153"/>
      <c r="L702" s="153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</row>
    <row r="703" spans="1:27" ht="17.399999999999999">
      <c r="A703" s="156"/>
      <c r="B703" s="152"/>
      <c r="C703" s="152"/>
      <c r="D703" s="152"/>
      <c r="E703" s="152"/>
      <c r="F703" s="152"/>
      <c r="G703" s="152"/>
      <c r="H703" s="153"/>
      <c r="I703" s="153"/>
      <c r="J703" s="153"/>
      <c r="K703" s="153"/>
      <c r="L703" s="153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</row>
    <row r="704" spans="1:27" ht="17.399999999999999">
      <c r="A704" s="156"/>
      <c r="B704" s="152"/>
      <c r="C704" s="152"/>
      <c r="D704" s="152"/>
      <c r="E704" s="152"/>
      <c r="F704" s="152"/>
      <c r="G704" s="152"/>
      <c r="H704" s="153"/>
      <c r="I704" s="153"/>
      <c r="J704" s="153"/>
      <c r="K704" s="153"/>
      <c r="L704" s="153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</row>
    <row r="705" spans="1:27" ht="17.399999999999999">
      <c r="A705" s="156"/>
      <c r="B705" s="152"/>
      <c r="C705" s="152"/>
      <c r="D705" s="152"/>
      <c r="E705" s="152"/>
      <c r="F705" s="152"/>
      <c r="G705" s="152"/>
      <c r="H705" s="153"/>
      <c r="I705" s="153"/>
      <c r="J705" s="153"/>
      <c r="K705" s="153"/>
      <c r="L705" s="153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</row>
    <row r="706" spans="1:27" ht="17.399999999999999">
      <c r="A706" s="156"/>
      <c r="B706" s="152"/>
      <c r="C706" s="152"/>
      <c r="D706" s="152"/>
      <c r="E706" s="152"/>
      <c r="F706" s="152"/>
      <c r="G706" s="152"/>
      <c r="H706" s="153"/>
      <c r="I706" s="153"/>
      <c r="J706" s="153"/>
      <c r="K706" s="153"/>
      <c r="L706" s="153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</row>
    <row r="707" spans="1:27" ht="17.399999999999999">
      <c r="A707" s="156"/>
      <c r="B707" s="152"/>
      <c r="C707" s="152"/>
      <c r="D707" s="152"/>
      <c r="E707" s="152"/>
      <c r="F707" s="152"/>
      <c r="G707" s="152"/>
      <c r="H707" s="153"/>
      <c r="I707" s="153"/>
      <c r="J707" s="153"/>
      <c r="K707" s="153"/>
      <c r="L707" s="153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</row>
    <row r="708" spans="1:27" ht="17.399999999999999">
      <c r="A708" s="156"/>
      <c r="B708" s="152"/>
      <c r="C708" s="152"/>
      <c r="D708" s="152"/>
      <c r="E708" s="152"/>
      <c r="F708" s="152"/>
      <c r="G708" s="152"/>
      <c r="H708" s="153"/>
      <c r="I708" s="153"/>
      <c r="J708" s="153"/>
      <c r="K708" s="153"/>
      <c r="L708" s="153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</row>
    <row r="709" spans="1:27" ht="17.399999999999999">
      <c r="A709" s="156"/>
      <c r="B709" s="152"/>
      <c r="C709" s="152"/>
      <c r="D709" s="152"/>
      <c r="E709" s="152"/>
      <c r="F709" s="152"/>
      <c r="G709" s="152"/>
      <c r="H709" s="153"/>
      <c r="I709" s="153"/>
      <c r="J709" s="153"/>
      <c r="K709" s="153"/>
      <c r="L709" s="153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</row>
    <row r="710" spans="1:27" ht="17.399999999999999">
      <c r="A710" s="156"/>
      <c r="B710" s="152"/>
      <c r="C710" s="152"/>
      <c r="D710" s="152"/>
      <c r="E710" s="152"/>
      <c r="F710" s="152"/>
      <c r="G710" s="152"/>
      <c r="H710" s="153"/>
      <c r="I710" s="153"/>
      <c r="J710" s="153"/>
      <c r="K710" s="153"/>
      <c r="L710" s="153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</row>
    <row r="711" spans="1:27" ht="17.399999999999999">
      <c r="A711" s="156"/>
      <c r="B711" s="152"/>
      <c r="C711" s="152"/>
      <c r="D711" s="152"/>
      <c r="E711" s="152"/>
      <c r="F711" s="152"/>
      <c r="G711" s="152"/>
      <c r="H711" s="153"/>
      <c r="I711" s="153"/>
      <c r="J711" s="153"/>
      <c r="K711" s="153"/>
      <c r="L711" s="153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</row>
    <row r="712" spans="1:27" ht="17.399999999999999">
      <c r="A712" s="156"/>
      <c r="B712" s="152"/>
      <c r="C712" s="152"/>
      <c r="D712" s="152"/>
      <c r="E712" s="152"/>
      <c r="F712" s="152"/>
      <c r="G712" s="152"/>
      <c r="H712" s="153"/>
      <c r="I712" s="153"/>
      <c r="J712" s="153"/>
      <c r="K712" s="153"/>
      <c r="L712" s="153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</row>
    <row r="713" spans="1:27" ht="17.399999999999999">
      <c r="A713" s="156"/>
      <c r="B713" s="152"/>
      <c r="C713" s="152"/>
      <c r="D713" s="152"/>
      <c r="E713" s="152"/>
      <c r="F713" s="152"/>
      <c r="G713" s="152"/>
      <c r="H713" s="153"/>
      <c r="I713" s="153"/>
      <c r="J713" s="153"/>
      <c r="K713" s="153"/>
      <c r="L713" s="153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</row>
    <row r="714" spans="1:27" ht="17.399999999999999">
      <c r="A714" s="156"/>
      <c r="B714" s="152"/>
      <c r="C714" s="152"/>
      <c r="D714" s="152"/>
      <c r="E714" s="152"/>
      <c r="F714" s="152"/>
      <c r="G714" s="152"/>
      <c r="H714" s="153"/>
      <c r="I714" s="153"/>
      <c r="J714" s="153"/>
      <c r="K714" s="153"/>
      <c r="L714" s="153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</row>
    <row r="715" spans="1:27" ht="17.399999999999999">
      <c r="A715" s="156"/>
      <c r="B715" s="152"/>
      <c r="C715" s="152"/>
      <c r="D715" s="152"/>
      <c r="E715" s="152"/>
      <c r="F715" s="152"/>
      <c r="G715" s="152"/>
      <c r="H715" s="153"/>
      <c r="I715" s="153"/>
      <c r="J715" s="153"/>
      <c r="K715" s="153"/>
      <c r="L715" s="153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</row>
    <row r="716" spans="1:27" ht="17.399999999999999">
      <c r="A716" s="156"/>
      <c r="B716" s="152"/>
      <c r="C716" s="152"/>
      <c r="D716" s="152"/>
      <c r="E716" s="152"/>
      <c r="F716" s="152"/>
      <c r="G716" s="152"/>
      <c r="H716" s="153"/>
      <c r="I716" s="153"/>
      <c r="J716" s="153"/>
      <c r="K716" s="153"/>
      <c r="L716" s="153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</row>
    <row r="717" spans="1:27" ht="17.399999999999999">
      <c r="A717" s="156"/>
      <c r="B717" s="152"/>
      <c r="C717" s="152"/>
      <c r="D717" s="152"/>
      <c r="E717" s="152"/>
      <c r="F717" s="152"/>
      <c r="G717" s="152"/>
      <c r="H717" s="153"/>
      <c r="I717" s="153"/>
      <c r="J717" s="153"/>
      <c r="K717" s="153"/>
      <c r="L717" s="153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</row>
    <row r="718" spans="1:27" ht="17.399999999999999">
      <c r="A718" s="156"/>
      <c r="B718" s="152"/>
      <c r="C718" s="152"/>
      <c r="D718" s="152"/>
      <c r="E718" s="152"/>
      <c r="F718" s="152"/>
      <c r="G718" s="152"/>
      <c r="H718" s="153"/>
      <c r="I718" s="153"/>
      <c r="J718" s="153"/>
      <c r="K718" s="153"/>
      <c r="L718" s="153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</row>
    <row r="719" spans="1:27" ht="17.399999999999999">
      <c r="A719" s="156"/>
      <c r="B719" s="152"/>
      <c r="C719" s="152"/>
      <c r="D719" s="152"/>
      <c r="E719" s="152"/>
      <c r="F719" s="152"/>
      <c r="G719" s="152"/>
      <c r="H719" s="153"/>
      <c r="I719" s="153"/>
      <c r="J719" s="153"/>
      <c r="K719" s="153"/>
      <c r="L719" s="153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</row>
    <row r="720" spans="1:27" ht="17.399999999999999">
      <c r="A720" s="156"/>
      <c r="B720" s="152"/>
      <c r="C720" s="152"/>
      <c r="D720" s="152"/>
      <c r="E720" s="152"/>
      <c r="F720" s="152"/>
      <c r="G720" s="152"/>
      <c r="H720" s="153"/>
      <c r="I720" s="153"/>
      <c r="J720" s="153"/>
      <c r="K720" s="153"/>
      <c r="L720" s="153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</row>
    <row r="721" spans="1:27" ht="17.399999999999999">
      <c r="A721" s="156"/>
      <c r="B721" s="152"/>
      <c r="C721" s="152"/>
      <c r="D721" s="152"/>
      <c r="E721" s="152"/>
      <c r="F721" s="152"/>
      <c r="G721" s="152"/>
      <c r="H721" s="153"/>
      <c r="I721" s="153"/>
      <c r="J721" s="153"/>
      <c r="K721" s="153"/>
      <c r="L721" s="153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</row>
    <row r="722" spans="1:27" ht="17.399999999999999">
      <c r="A722" s="156"/>
      <c r="B722" s="152"/>
      <c r="C722" s="152"/>
      <c r="D722" s="152"/>
      <c r="E722" s="152"/>
      <c r="F722" s="152"/>
      <c r="G722" s="152"/>
      <c r="H722" s="153"/>
      <c r="I722" s="153"/>
      <c r="J722" s="153"/>
      <c r="K722" s="153"/>
      <c r="L722" s="153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</row>
    <row r="723" spans="1:27" ht="17.399999999999999">
      <c r="A723" s="156"/>
      <c r="B723" s="152"/>
      <c r="C723" s="152"/>
      <c r="D723" s="152"/>
      <c r="E723" s="152"/>
      <c r="F723" s="152"/>
      <c r="G723" s="152"/>
      <c r="H723" s="153"/>
      <c r="I723" s="153"/>
      <c r="J723" s="153"/>
      <c r="K723" s="153"/>
      <c r="L723" s="153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</row>
    <row r="724" spans="1:27" ht="17.399999999999999">
      <c r="A724" s="156"/>
      <c r="B724" s="152"/>
      <c r="C724" s="152"/>
      <c r="D724" s="152"/>
      <c r="E724" s="152"/>
      <c r="F724" s="152"/>
      <c r="G724" s="152"/>
      <c r="H724" s="153"/>
      <c r="I724" s="153"/>
      <c r="J724" s="153"/>
      <c r="K724" s="153"/>
      <c r="L724" s="153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</row>
    <row r="725" spans="1:27" ht="17.399999999999999">
      <c r="A725" s="156"/>
      <c r="B725" s="152"/>
      <c r="C725" s="152"/>
      <c r="D725" s="152"/>
      <c r="E725" s="152"/>
      <c r="F725" s="152"/>
      <c r="G725" s="152"/>
      <c r="H725" s="153"/>
      <c r="I725" s="153"/>
      <c r="J725" s="153"/>
      <c r="K725" s="153"/>
      <c r="L725" s="153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</row>
    <row r="726" spans="1:27" ht="17.399999999999999">
      <c r="A726" s="156"/>
      <c r="B726" s="152"/>
      <c r="C726" s="152"/>
      <c r="D726" s="152"/>
      <c r="E726" s="152"/>
      <c r="F726" s="152"/>
      <c r="G726" s="152"/>
      <c r="H726" s="153"/>
      <c r="I726" s="153"/>
      <c r="J726" s="153"/>
      <c r="K726" s="153"/>
      <c r="L726" s="153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</row>
    <row r="727" spans="1:27" ht="17.399999999999999">
      <c r="A727" s="156"/>
      <c r="B727" s="152"/>
      <c r="C727" s="152"/>
      <c r="D727" s="152"/>
      <c r="E727" s="152"/>
      <c r="F727" s="152"/>
      <c r="G727" s="152"/>
      <c r="H727" s="153"/>
      <c r="I727" s="153"/>
      <c r="J727" s="153"/>
      <c r="K727" s="153"/>
      <c r="L727" s="153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</row>
    <row r="728" spans="1:27" ht="17.399999999999999">
      <c r="A728" s="156"/>
      <c r="B728" s="152"/>
      <c r="C728" s="152"/>
      <c r="D728" s="152"/>
      <c r="E728" s="152"/>
      <c r="F728" s="152"/>
      <c r="G728" s="152"/>
      <c r="H728" s="153"/>
      <c r="I728" s="153"/>
      <c r="J728" s="153"/>
      <c r="K728" s="153"/>
      <c r="L728" s="153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</row>
    <row r="729" spans="1:27" ht="17.399999999999999">
      <c r="A729" s="156"/>
      <c r="B729" s="152"/>
      <c r="C729" s="152"/>
      <c r="D729" s="152"/>
      <c r="E729" s="152"/>
      <c r="F729" s="152"/>
      <c r="G729" s="152"/>
      <c r="H729" s="153"/>
      <c r="I729" s="153"/>
      <c r="J729" s="153"/>
      <c r="K729" s="153"/>
      <c r="L729" s="153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</row>
    <row r="730" spans="1:27" ht="17.399999999999999">
      <c r="A730" s="156"/>
      <c r="B730" s="152"/>
      <c r="C730" s="152"/>
      <c r="D730" s="152"/>
      <c r="E730" s="152"/>
      <c r="F730" s="152"/>
      <c r="G730" s="152"/>
      <c r="H730" s="153"/>
      <c r="I730" s="153"/>
      <c r="J730" s="153"/>
      <c r="K730" s="153"/>
      <c r="L730" s="153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</row>
    <row r="731" spans="1:27" ht="17.399999999999999">
      <c r="A731" s="156"/>
      <c r="B731" s="152"/>
      <c r="C731" s="152"/>
      <c r="D731" s="152"/>
      <c r="E731" s="152"/>
      <c r="F731" s="152"/>
      <c r="G731" s="152"/>
      <c r="H731" s="153"/>
      <c r="I731" s="153"/>
      <c r="J731" s="153"/>
      <c r="K731" s="153"/>
      <c r="L731" s="153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</row>
    <row r="732" spans="1:27" ht="17.399999999999999">
      <c r="A732" s="156"/>
      <c r="B732" s="152"/>
      <c r="C732" s="152"/>
      <c r="D732" s="152"/>
      <c r="E732" s="152"/>
      <c r="F732" s="152"/>
      <c r="G732" s="152"/>
      <c r="H732" s="153"/>
      <c r="I732" s="153"/>
      <c r="J732" s="153"/>
      <c r="K732" s="153"/>
      <c r="L732" s="153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</row>
    <row r="733" spans="1:27" ht="17.399999999999999">
      <c r="A733" s="156"/>
      <c r="B733" s="152"/>
      <c r="C733" s="152"/>
      <c r="D733" s="152"/>
      <c r="E733" s="152"/>
      <c r="F733" s="152"/>
      <c r="G733" s="152"/>
      <c r="H733" s="153"/>
      <c r="I733" s="153"/>
      <c r="J733" s="153"/>
      <c r="K733" s="153"/>
      <c r="L733" s="153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</row>
    <row r="734" spans="1:27" ht="17.399999999999999">
      <c r="A734" s="156"/>
      <c r="B734" s="152"/>
      <c r="C734" s="152"/>
      <c r="D734" s="152"/>
      <c r="E734" s="152"/>
      <c r="F734" s="152"/>
      <c r="G734" s="152"/>
      <c r="H734" s="153"/>
      <c r="I734" s="153"/>
      <c r="J734" s="153"/>
      <c r="K734" s="153"/>
      <c r="L734" s="153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</row>
    <row r="735" spans="1:27" ht="17.399999999999999">
      <c r="A735" s="156"/>
      <c r="B735" s="152"/>
      <c r="C735" s="152"/>
      <c r="D735" s="152"/>
      <c r="E735" s="152"/>
      <c r="F735" s="152"/>
      <c r="G735" s="152"/>
      <c r="H735" s="153"/>
      <c r="I735" s="153"/>
      <c r="J735" s="153"/>
      <c r="K735" s="153"/>
      <c r="L735" s="153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</row>
    <row r="736" spans="1:27" ht="17.399999999999999">
      <c r="A736" s="156"/>
      <c r="B736" s="152"/>
      <c r="C736" s="152"/>
      <c r="D736" s="152"/>
      <c r="E736" s="152"/>
      <c r="F736" s="152"/>
      <c r="G736" s="152"/>
      <c r="H736" s="153"/>
      <c r="I736" s="153"/>
      <c r="J736" s="153"/>
      <c r="K736" s="153"/>
      <c r="L736" s="153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</row>
    <row r="737" spans="1:27" ht="17.399999999999999">
      <c r="A737" s="156"/>
      <c r="B737" s="152"/>
      <c r="C737" s="152"/>
      <c r="D737" s="152"/>
      <c r="E737" s="152"/>
      <c r="F737" s="152"/>
      <c r="G737" s="152"/>
      <c r="H737" s="153"/>
      <c r="I737" s="153"/>
      <c r="J737" s="153"/>
      <c r="K737" s="153"/>
      <c r="L737" s="153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</row>
    <row r="738" spans="1:27" ht="17.399999999999999">
      <c r="A738" s="156"/>
      <c r="B738" s="152"/>
      <c r="C738" s="152"/>
      <c r="D738" s="152"/>
      <c r="E738" s="152"/>
      <c r="F738" s="152"/>
      <c r="G738" s="152"/>
      <c r="H738" s="153"/>
      <c r="I738" s="153"/>
      <c r="J738" s="153"/>
      <c r="K738" s="153"/>
      <c r="L738" s="153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</row>
    <row r="739" spans="1:27" ht="17.399999999999999">
      <c r="A739" s="156"/>
      <c r="B739" s="152"/>
      <c r="C739" s="152"/>
      <c r="D739" s="152"/>
      <c r="E739" s="152"/>
      <c r="F739" s="152"/>
      <c r="G739" s="152"/>
      <c r="H739" s="153"/>
      <c r="I739" s="153"/>
      <c r="J739" s="153"/>
      <c r="K739" s="153"/>
      <c r="L739" s="153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</row>
    <row r="740" spans="1:27" ht="17.399999999999999">
      <c r="A740" s="156"/>
      <c r="B740" s="152"/>
      <c r="C740" s="152"/>
      <c r="D740" s="152"/>
      <c r="E740" s="152"/>
      <c r="F740" s="152"/>
      <c r="G740" s="152"/>
      <c r="H740" s="153"/>
      <c r="I740" s="153"/>
      <c r="J740" s="153"/>
      <c r="K740" s="153"/>
      <c r="L740" s="153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</row>
    <row r="741" spans="1:27" ht="17.399999999999999">
      <c r="A741" s="156"/>
      <c r="B741" s="152"/>
      <c r="C741" s="152"/>
      <c r="D741" s="152"/>
      <c r="E741" s="152"/>
      <c r="F741" s="152"/>
      <c r="G741" s="152"/>
      <c r="H741" s="153"/>
      <c r="I741" s="153"/>
      <c r="J741" s="153"/>
      <c r="K741" s="153"/>
      <c r="L741" s="153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</row>
    <row r="742" spans="1:27" ht="17.399999999999999">
      <c r="A742" s="156"/>
      <c r="B742" s="152"/>
      <c r="C742" s="152"/>
      <c r="D742" s="152"/>
      <c r="E742" s="152"/>
      <c r="F742" s="152"/>
      <c r="G742" s="152"/>
      <c r="H742" s="153"/>
      <c r="I742" s="153"/>
      <c r="J742" s="153"/>
      <c r="K742" s="153"/>
      <c r="L742" s="153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</row>
    <row r="743" spans="1:27" ht="17.399999999999999">
      <c r="A743" s="156"/>
      <c r="B743" s="152"/>
      <c r="C743" s="152"/>
      <c r="D743" s="152"/>
      <c r="E743" s="152"/>
      <c r="F743" s="152"/>
      <c r="G743" s="152"/>
      <c r="H743" s="153"/>
      <c r="I743" s="153"/>
      <c r="J743" s="153"/>
      <c r="K743" s="153"/>
      <c r="L743" s="153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</row>
    <row r="744" spans="1:27" ht="17.399999999999999">
      <c r="A744" s="156"/>
      <c r="B744" s="152"/>
      <c r="C744" s="152"/>
      <c r="D744" s="152"/>
      <c r="E744" s="152"/>
      <c r="F744" s="152"/>
      <c r="G744" s="152"/>
      <c r="H744" s="153"/>
      <c r="I744" s="153"/>
      <c r="J744" s="153"/>
      <c r="K744" s="153"/>
      <c r="L744" s="153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</row>
    <row r="745" spans="1:27" ht="17.399999999999999">
      <c r="A745" s="156"/>
      <c r="B745" s="152"/>
      <c r="C745" s="152"/>
      <c r="D745" s="152"/>
      <c r="E745" s="152"/>
      <c r="F745" s="152"/>
      <c r="G745" s="152"/>
      <c r="H745" s="153"/>
      <c r="I745" s="153"/>
      <c r="J745" s="153"/>
      <c r="K745" s="153"/>
      <c r="L745" s="153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</row>
    <row r="746" spans="1:27" ht="17.399999999999999">
      <c r="A746" s="156"/>
      <c r="B746" s="152"/>
      <c r="C746" s="152"/>
      <c r="D746" s="152"/>
      <c r="E746" s="152"/>
      <c r="F746" s="152"/>
      <c r="G746" s="152"/>
      <c r="H746" s="153"/>
      <c r="I746" s="153"/>
      <c r="J746" s="153"/>
      <c r="K746" s="153"/>
      <c r="L746" s="153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</row>
    <row r="747" spans="1:27" ht="17.399999999999999">
      <c r="A747" s="156"/>
      <c r="B747" s="152"/>
      <c r="C747" s="152"/>
      <c r="D747" s="152"/>
      <c r="E747" s="152"/>
      <c r="F747" s="152"/>
      <c r="G747" s="152"/>
      <c r="H747" s="153"/>
      <c r="I747" s="153"/>
      <c r="J747" s="153"/>
      <c r="K747" s="153"/>
      <c r="L747" s="153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</row>
    <row r="748" spans="1:27" ht="17.399999999999999">
      <c r="A748" s="156"/>
      <c r="B748" s="152"/>
      <c r="C748" s="152"/>
      <c r="D748" s="152"/>
      <c r="E748" s="152"/>
      <c r="F748" s="152"/>
      <c r="G748" s="152"/>
      <c r="H748" s="153"/>
      <c r="I748" s="153"/>
      <c r="J748" s="153"/>
      <c r="K748" s="153"/>
      <c r="L748" s="153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</row>
    <row r="749" spans="1:27" ht="17.399999999999999">
      <c r="A749" s="156"/>
      <c r="B749" s="152"/>
      <c r="C749" s="152"/>
      <c r="D749" s="152"/>
      <c r="E749" s="152"/>
      <c r="F749" s="152"/>
      <c r="G749" s="152"/>
      <c r="H749" s="153"/>
      <c r="I749" s="153"/>
      <c r="J749" s="153"/>
      <c r="K749" s="153"/>
      <c r="L749" s="153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</row>
    <row r="750" spans="1:27" ht="17.399999999999999">
      <c r="A750" s="156"/>
      <c r="B750" s="152"/>
      <c r="C750" s="152"/>
      <c r="D750" s="152"/>
      <c r="E750" s="152"/>
      <c r="F750" s="152"/>
      <c r="G750" s="152"/>
      <c r="H750" s="153"/>
      <c r="I750" s="153"/>
      <c r="J750" s="153"/>
      <c r="K750" s="153"/>
      <c r="L750" s="153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</row>
    <row r="751" spans="1:27" ht="17.399999999999999">
      <c r="A751" s="156"/>
      <c r="B751" s="152"/>
      <c r="C751" s="152"/>
      <c r="D751" s="152"/>
      <c r="E751" s="152"/>
      <c r="F751" s="152"/>
      <c r="G751" s="152"/>
      <c r="H751" s="153"/>
      <c r="I751" s="153"/>
      <c r="J751" s="153"/>
      <c r="K751" s="153"/>
      <c r="L751" s="153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</row>
    <row r="752" spans="1:27" ht="17.399999999999999">
      <c r="A752" s="156"/>
      <c r="B752" s="152"/>
      <c r="C752" s="152"/>
      <c r="D752" s="152"/>
      <c r="E752" s="152"/>
      <c r="F752" s="152"/>
      <c r="G752" s="152"/>
      <c r="H752" s="153"/>
      <c r="I752" s="153"/>
      <c r="J752" s="153"/>
      <c r="K752" s="153"/>
      <c r="L752" s="153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</row>
    <row r="753" spans="1:27" ht="17.399999999999999">
      <c r="A753" s="156"/>
      <c r="B753" s="152"/>
      <c r="C753" s="152"/>
      <c r="D753" s="152"/>
      <c r="E753" s="152"/>
      <c r="F753" s="152"/>
      <c r="G753" s="152"/>
      <c r="H753" s="153"/>
      <c r="I753" s="153"/>
      <c r="J753" s="153"/>
      <c r="K753" s="153"/>
      <c r="L753" s="153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</row>
    <row r="754" spans="1:27" ht="17.399999999999999">
      <c r="A754" s="156"/>
      <c r="B754" s="152"/>
      <c r="C754" s="152"/>
      <c r="D754" s="152"/>
      <c r="E754" s="152"/>
      <c r="F754" s="152"/>
      <c r="G754" s="152"/>
      <c r="H754" s="153"/>
      <c r="I754" s="153"/>
      <c r="J754" s="153"/>
      <c r="K754" s="153"/>
      <c r="L754" s="153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</row>
    <row r="755" spans="1:27" ht="17.399999999999999">
      <c r="A755" s="156"/>
      <c r="B755" s="152"/>
      <c r="C755" s="152"/>
      <c r="D755" s="152"/>
      <c r="E755" s="152"/>
      <c r="F755" s="152"/>
      <c r="G755" s="152"/>
      <c r="H755" s="153"/>
      <c r="I755" s="153"/>
      <c r="J755" s="153"/>
      <c r="K755" s="153"/>
      <c r="L755" s="153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</row>
    <row r="756" spans="1:27" ht="17.399999999999999">
      <c r="A756" s="156"/>
      <c r="B756" s="152"/>
      <c r="C756" s="152"/>
      <c r="D756" s="152"/>
      <c r="E756" s="152"/>
      <c r="F756" s="152"/>
      <c r="G756" s="152"/>
      <c r="H756" s="153"/>
      <c r="I756" s="153"/>
      <c r="J756" s="153"/>
      <c r="K756" s="153"/>
      <c r="L756" s="153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</row>
    <row r="757" spans="1:27" ht="17.399999999999999">
      <c r="A757" s="156"/>
      <c r="B757" s="152"/>
      <c r="C757" s="152"/>
      <c r="D757" s="152"/>
      <c r="E757" s="152"/>
      <c r="F757" s="152"/>
      <c r="G757" s="152"/>
      <c r="H757" s="153"/>
      <c r="I757" s="153"/>
      <c r="J757" s="153"/>
      <c r="K757" s="153"/>
      <c r="L757" s="153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</row>
    <row r="758" spans="1:27" ht="17.399999999999999">
      <c r="A758" s="156"/>
      <c r="B758" s="152"/>
      <c r="C758" s="152"/>
      <c r="D758" s="152"/>
      <c r="E758" s="152"/>
      <c r="F758" s="152"/>
      <c r="G758" s="152"/>
      <c r="H758" s="153"/>
      <c r="I758" s="153"/>
      <c r="J758" s="153"/>
      <c r="K758" s="153"/>
      <c r="L758" s="153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</row>
    <row r="759" spans="1:27" ht="17.399999999999999">
      <c r="A759" s="156"/>
      <c r="B759" s="152"/>
      <c r="C759" s="152"/>
      <c r="D759" s="152"/>
      <c r="E759" s="152"/>
      <c r="F759" s="152"/>
      <c r="G759" s="152"/>
      <c r="H759" s="153"/>
      <c r="I759" s="153"/>
      <c r="J759" s="153"/>
      <c r="K759" s="153"/>
      <c r="L759" s="153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</row>
    <row r="760" spans="1:27" ht="17.399999999999999">
      <c r="A760" s="156"/>
      <c r="B760" s="152"/>
      <c r="C760" s="152"/>
      <c r="D760" s="152"/>
      <c r="E760" s="152"/>
      <c r="F760" s="152"/>
      <c r="G760" s="152"/>
      <c r="H760" s="153"/>
      <c r="I760" s="153"/>
      <c r="J760" s="153"/>
      <c r="K760" s="153"/>
      <c r="L760" s="153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</row>
    <row r="761" spans="1:27" ht="17.399999999999999">
      <c r="A761" s="156"/>
      <c r="B761" s="152"/>
      <c r="C761" s="152"/>
      <c r="D761" s="152"/>
      <c r="E761" s="152"/>
      <c r="F761" s="152"/>
      <c r="G761" s="152"/>
      <c r="H761" s="153"/>
      <c r="I761" s="153"/>
      <c r="J761" s="153"/>
      <c r="K761" s="153"/>
      <c r="L761" s="153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</row>
    <row r="762" spans="1:27" ht="17.399999999999999">
      <c r="A762" s="156"/>
      <c r="B762" s="152"/>
      <c r="C762" s="152"/>
      <c r="D762" s="152"/>
      <c r="E762" s="152"/>
      <c r="F762" s="152"/>
      <c r="G762" s="152"/>
      <c r="H762" s="153"/>
      <c r="I762" s="153"/>
      <c r="J762" s="153"/>
      <c r="K762" s="153"/>
      <c r="L762" s="153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</row>
    <row r="763" spans="1:27" ht="17.399999999999999">
      <c r="A763" s="156"/>
      <c r="B763" s="152"/>
      <c r="C763" s="152"/>
      <c r="D763" s="152"/>
      <c r="E763" s="152"/>
      <c r="F763" s="152"/>
      <c r="G763" s="152"/>
      <c r="H763" s="153"/>
      <c r="I763" s="153"/>
      <c r="J763" s="153"/>
      <c r="K763" s="153"/>
      <c r="L763" s="153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</row>
    <row r="764" spans="1:27" ht="17.399999999999999">
      <c r="A764" s="156"/>
      <c r="B764" s="152"/>
      <c r="C764" s="152"/>
      <c r="D764" s="152"/>
      <c r="E764" s="152"/>
      <c r="F764" s="152"/>
      <c r="G764" s="152"/>
      <c r="H764" s="153"/>
      <c r="I764" s="153"/>
      <c r="J764" s="153"/>
      <c r="K764" s="153"/>
      <c r="L764" s="153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</row>
    <row r="765" spans="1:27" ht="17.399999999999999">
      <c r="A765" s="156"/>
      <c r="B765" s="152"/>
      <c r="C765" s="152"/>
      <c r="D765" s="152"/>
      <c r="E765" s="152"/>
      <c r="F765" s="152"/>
      <c r="G765" s="152"/>
      <c r="H765" s="153"/>
      <c r="I765" s="153"/>
      <c r="J765" s="153"/>
      <c r="K765" s="153"/>
      <c r="L765" s="153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</row>
    <row r="766" spans="1:27" ht="17.399999999999999">
      <c r="A766" s="156"/>
      <c r="B766" s="152"/>
      <c r="C766" s="152"/>
      <c r="D766" s="152"/>
      <c r="E766" s="152"/>
      <c r="F766" s="152"/>
      <c r="G766" s="152"/>
      <c r="H766" s="153"/>
      <c r="I766" s="153"/>
      <c r="J766" s="153"/>
      <c r="K766" s="153"/>
      <c r="L766" s="153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</row>
    <row r="767" spans="1:27" ht="17.399999999999999">
      <c r="A767" s="156"/>
      <c r="B767" s="152"/>
      <c r="C767" s="152"/>
      <c r="D767" s="152"/>
      <c r="E767" s="152"/>
      <c r="F767" s="152"/>
      <c r="G767" s="152"/>
      <c r="H767" s="153"/>
      <c r="I767" s="153"/>
      <c r="J767" s="153"/>
      <c r="K767" s="153"/>
      <c r="L767" s="153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</row>
    <row r="768" spans="1:27" ht="17.399999999999999">
      <c r="A768" s="156"/>
      <c r="B768" s="152"/>
      <c r="C768" s="152"/>
      <c r="D768" s="152"/>
      <c r="E768" s="152"/>
      <c r="F768" s="152"/>
      <c r="G768" s="152"/>
      <c r="H768" s="153"/>
      <c r="I768" s="153"/>
      <c r="J768" s="153"/>
      <c r="K768" s="153"/>
      <c r="L768" s="153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</row>
    <row r="769" spans="1:27" ht="17.399999999999999">
      <c r="A769" s="156"/>
      <c r="B769" s="152"/>
      <c r="C769" s="152"/>
      <c r="D769" s="152"/>
      <c r="E769" s="152"/>
      <c r="F769" s="152"/>
      <c r="G769" s="152"/>
      <c r="H769" s="153"/>
      <c r="I769" s="153"/>
      <c r="J769" s="153"/>
      <c r="K769" s="153"/>
      <c r="L769" s="153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</row>
    <row r="770" spans="1:27" ht="17.399999999999999">
      <c r="A770" s="156"/>
      <c r="B770" s="152"/>
      <c r="C770" s="152"/>
      <c r="D770" s="152"/>
      <c r="E770" s="152"/>
      <c r="F770" s="152"/>
      <c r="G770" s="152"/>
      <c r="H770" s="153"/>
      <c r="I770" s="153"/>
      <c r="J770" s="153"/>
      <c r="K770" s="153"/>
      <c r="L770" s="153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</row>
    <row r="771" spans="1:27" ht="17.399999999999999">
      <c r="A771" s="156"/>
      <c r="B771" s="152"/>
      <c r="C771" s="152"/>
      <c r="D771" s="152"/>
      <c r="E771" s="152"/>
      <c r="F771" s="152"/>
      <c r="G771" s="152"/>
      <c r="H771" s="153"/>
      <c r="I771" s="153"/>
      <c r="J771" s="153"/>
      <c r="K771" s="153"/>
      <c r="L771" s="153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</row>
    <row r="772" spans="1:27" ht="17.399999999999999">
      <c r="A772" s="156"/>
      <c r="B772" s="152"/>
      <c r="C772" s="152"/>
      <c r="D772" s="152"/>
      <c r="E772" s="152"/>
      <c r="F772" s="152"/>
      <c r="G772" s="152"/>
      <c r="H772" s="153"/>
      <c r="I772" s="153"/>
      <c r="J772" s="153"/>
      <c r="K772" s="153"/>
      <c r="L772" s="153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</row>
    <row r="773" spans="1:27" ht="17.399999999999999">
      <c r="A773" s="156"/>
      <c r="B773" s="152"/>
      <c r="C773" s="152"/>
      <c r="D773" s="152"/>
      <c r="E773" s="152"/>
      <c r="F773" s="152"/>
      <c r="G773" s="152"/>
      <c r="H773" s="153"/>
      <c r="I773" s="153"/>
      <c r="J773" s="153"/>
      <c r="K773" s="153"/>
      <c r="L773" s="153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</row>
    <row r="774" spans="1:27" ht="17.399999999999999">
      <c r="A774" s="156"/>
      <c r="B774" s="152"/>
      <c r="C774" s="152"/>
      <c r="D774" s="152"/>
      <c r="E774" s="152"/>
      <c r="F774" s="152"/>
      <c r="G774" s="152"/>
      <c r="H774" s="153"/>
      <c r="I774" s="153"/>
      <c r="J774" s="153"/>
      <c r="K774" s="153"/>
      <c r="L774" s="153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</row>
    <row r="775" spans="1:27" ht="17.399999999999999">
      <c r="A775" s="156"/>
      <c r="B775" s="152"/>
      <c r="C775" s="152"/>
      <c r="D775" s="152"/>
      <c r="E775" s="152"/>
      <c r="F775" s="152"/>
      <c r="G775" s="152"/>
      <c r="H775" s="153"/>
      <c r="I775" s="153"/>
      <c r="J775" s="153"/>
      <c r="K775" s="153"/>
      <c r="L775" s="153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</row>
    <row r="776" spans="1:27" ht="17.399999999999999">
      <c r="A776" s="156"/>
      <c r="B776" s="152"/>
      <c r="C776" s="152"/>
      <c r="D776" s="152"/>
      <c r="E776" s="152"/>
      <c r="F776" s="152"/>
      <c r="G776" s="152"/>
      <c r="H776" s="153"/>
      <c r="I776" s="153"/>
      <c r="J776" s="153"/>
      <c r="K776" s="153"/>
      <c r="L776" s="153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</row>
    <row r="777" spans="1:27" ht="17.399999999999999">
      <c r="A777" s="156"/>
      <c r="B777" s="152"/>
      <c r="C777" s="152"/>
      <c r="D777" s="152"/>
      <c r="E777" s="152"/>
      <c r="F777" s="152"/>
      <c r="G777" s="152"/>
      <c r="H777" s="153"/>
      <c r="I777" s="153"/>
      <c r="J777" s="153"/>
      <c r="K777" s="153"/>
      <c r="L777" s="153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</row>
    <row r="778" spans="1:27" ht="17.399999999999999">
      <c r="A778" s="156"/>
      <c r="B778" s="152"/>
      <c r="C778" s="152"/>
      <c r="D778" s="152"/>
      <c r="E778" s="152"/>
      <c r="F778" s="152"/>
      <c r="G778" s="152"/>
      <c r="H778" s="153"/>
      <c r="I778" s="153"/>
      <c r="J778" s="153"/>
      <c r="K778" s="153"/>
      <c r="L778" s="153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</row>
    <row r="779" spans="1:27" ht="17.399999999999999">
      <c r="A779" s="156"/>
      <c r="B779" s="152"/>
      <c r="C779" s="152"/>
      <c r="D779" s="152"/>
      <c r="E779" s="152"/>
      <c r="F779" s="152"/>
      <c r="G779" s="152"/>
      <c r="H779" s="153"/>
      <c r="I779" s="153"/>
      <c r="J779" s="153"/>
      <c r="K779" s="153"/>
      <c r="L779" s="153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</row>
    <row r="780" spans="1:27" ht="17.399999999999999">
      <c r="A780" s="156"/>
      <c r="B780" s="152"/>
      <c r="C780" s="152"/>
      <c r="D780" s="152"/>
      <c r="E780" s="152"/>
      <c r="F780" s="152"/>
      <c r="G780" s="152"/>
      <c r="H780" s="153"/>
      <c r="I780" s="153"/>
      <c r="J780" s="153"/>
      <c r="K780" s="153"/>
      <c r="L780" s="153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</row>
    <row r="781" spans="1:27" ht="17.399999999999999">
      <c r="A781" s="156"/>
      <c r="B781" s="152"/>
      <c r="C781" s="152"/>
      <c r="D781" s="152"/>
      <c r="E781" s="152"/>
      <c r="F781" s="152"/>
      <c r="G781" s="152"/>
      <c r="H781" s="153"/>
      <c r="I781" s="153"/>
      <c r="J781" s="153"/>
      <c r="K781" s="153"/>
      <c r="L781" s="153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</row>
    <row r="782" spans="1:27" ht="17.399999999999999">
      <c r="A782" s="156"/>
      <c r="B782" s="152"/>
      <c r="C782" s="152"/>
      <c r="D782" s="152"/>
      <c r="E782" s="152"/>
      <c r="F782" s="152"/>
      <c r="G782" s="152"/>
      <c r="H782" s="153"/>
      <c r="I782" s="153"/>
      <c r="J782" s="153"/>
      <c r="K782" s="153"/>
      <c r="L782" s="153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</row>
    <row r="783" spans="1:27" ht="17.399999999999999">
      <c r="A783" s="156"/>
      <c r="B783" s="152"/>
      <c r="C783" s="152"/>
      <c r="D783" s="152"/>
      <c r="E783" s="152"/>
      <c r="F783" s="152"/>
      <c r="G783" s="152"/>
      <c r="H783" s="153"/>
      <c r="I783" s="153"/>
      <c r="J783" s="153"/>
      <c r="K783" s="153"/>
      <c r="L783" s="153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</row>
    <row r="784" spans="1:27" ht="17.399999999999999">
      <c r="A784" s="156"/>
      <c r="B784" s="152"/>
      <c r="C784" s="152"/>
      <c r="D784" s="152"/>
      <c r="E784" s="152"/>
      <c r="F784" s="152"/>
      <c r="G784" s="152"/>
      <c r="H784" s="153"/>
      <c r="I784" s="153"/>
      <c r="J784" s="153"/>
      <c r="K784" s="153"/>
      <c r="L784" s="153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</row>
    <row r="785" spans="1:27" ht="17.399999999999999">
      <c r="A785" s="156"/>
      <c r="B785" s="152"/>
      <c r="C785" s="152"/>
      <c r="D785" s="152"/>
      <c r="E785" s="152"/>
      <c r="F785" s="152"/>
      <c r="G785" s="152"/>
      <c r="H785" s="153"/>
      <c r="I785" s="153"/>
      <c r="J785" s="153"/>
      <c r="K785" s="153"/>
      <c r="L785" s="153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</row>
    <row r="786" spans="1:27" ht="17.399999999999999">
      <c r="A786" s="156"/>
      <c r="B786" s="152"/>
      <c r="C786" s="152"/>
      <c r="D786" s="152"/>
      <c r="E786" s="152"/>
      <c r="F786" s="152"/>
      <c r="G786" s="152"/>
      <c r="H786" s="153"/>
      <c r="I786" s="153"/>
      <c r="J786" s="153"/>
      <c r="K786" s="153"/>
      <c r="L786" s="153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</row>
    <row r="787" spans="1:27" ht="17.399999999999999">
      <c r="A787" s="156"/>
      <c r="B787" s="152"/>
      <c r="C787" s="152"/>
      <c r="D787" s="152"/>
      <c r="E787" s="152"/>
      <c r="F787" s="152"/>
      <c r="G787" s="152"/>
      <c r="H787" s="153"/>
      <c r="I787" s="153"/>
      <c r="J787" s="153"/>
      <c r="K787" s="153"/>
      <c r="L787" s="153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</row>
    <row r="788" spans="1:27" ht="17.399999999999999">
      <c r="A788" s="156"/>
      <c r="B788" s="152"/>
      <c r="C788" s="152"/>
      <c r="D788" s="152"/>
      <c r="E788" s="152"/>
      <c r="F788" s="152"/>
      <c r="G788" s="152"/>
      <c r="H788" s="153"/>
      <c r="I788" s="153"/>
      <c r="J788" s="153"/>
      <c r="K788" s="153"/>
      <c r="L788" s="153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</row>
    <row r="789" spans="1:27" ht="17.399999999999999">
      <c r="A789" s="156"/>
      <c r="B789" s="152"/>
      <c r="C789" s="152"/>
      <c r="D789" s="152"/>
      <c r="E789" s="152"/>
      <c r="F789" s="152"/>
      <c r="G789" s="152"/>
      <c r="H789" s="153"/>
      <c r="I789" s="153"/>
      <c r="J789" s="153"/>
      <c r="K789" s="153"/>
      <c r="L789" s="153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</row>
    <row r="790" spans="1:27" ht="17.399999999999999">
      <c r="A790" s="156"/>
      <c r="B790" s="152"/>
      <c r="C790" s="152"/>
      <c r="D790" s="152"/>
      <c r="E790" s="152"/>
      <c r="F790" s="152"/>
      <c r="G790" s="152"/>
      <c r="H790" s="153"/>
      <c r="I790" s="153"/>
      <c r="J790" s="153"/>
      <c r="K790" s="153"/>
      <c r="L790" s="153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</row>
    <row r="791" spans="1:27" ht="17.399999999999999">
      <c r="A791" s="156"/>
      <c r="B791" s="152"/>
      <c r="C791" s="152"/>
      <c r="D791" s="152"/>
      <c r="E791" s="152"/>
      <c r="F791" s="152"/>
      <c r="G791" s="152"/>
      <c r="H791" s="153"/>
      <c r="I791" s="153"/>
      <c r="J791" s="153"/>
      <c r="K791" s="153"/>
      <c r="L791" s="153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</row>
    <row r="792" spans="1:27" ht="17.399999999999999">
      <c r="A792" s="156"/>
      <c r="B792" s="152"/>
      <c r="C792" s="152"/>
      <c r="D792" s="152"/>
      <c r="E792" s="152"/>
      <c r="F792" s="152"/>
      <c r="G792" s="152"/>
      <c r="H792" s="153"/>
      <c r="I792" s="153"/>
      <c r="J792" s="153"/>
      <c r="K792" s="153"/>
      <c r="L792" s="153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</row>
    <row r="793" spans="1:27" ht="17.399999999999999">
      <c r="A793" s="156"/>
      <c r="B793" s="152"/>
      <c r="C793" s="152"/>
      <c r="D793" s="152"/>
      <c r="E793" s="152"/>
      <c r="F793" s="152"/>
      <c r="G793" s="152"/>
      <c r="H793" s="153"/>
      <c r="I793" s="153"/>
      <c r="J793" s="153"/>
      <c r="K793" s="153"/>
      <c r="L793" s="153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</row>
    <row r="794" spans="1:27" ht="17.399999999999999">
      <c r="A794" s="156"/>
      <c r="B794" s="152"/>
      <c r="C794" s="152"/>
      <c r="D794" s="152"/>
      <c r="E794" s="152"/>
      <c r="F794" s="152"/>
      <c r="G794" s="152"/>
      <c r="H794" s="153"/>
      <c r="I794" s="153"/>
      <c r="J794" s="153"/>
      <c r="K794" s="153"/>
      <c r="L794" s="153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</row>
    <row r="795" spans="1:27" ht="17.399999999999999">
      <c r="A795" s="156"/>
      <c r="B795" s="152"/>
      <c r="C795" s="152"/>
      <c r="D795" s="152"/>
      <c r="E795" s="152"/>
      <c r="F795" s="152"/>
      <c r="G795" s="152"/>
      <c r="H795" s="153"/>
      <c r="I795" s="153"/>
      <c r="J795" s="153"/>
      <c r="K795" s="153"/>
      <c r="L795" s="153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</row>
    <row r="796" spans="1:27" ht="17.399999999999999">
      <c r="A796" s="156"/>
      <c r="B796" s="152"/>
      <c r="C796" s="152"/>
      <c r="D796" s="152"/>
      <c r="E796" s="152"/>
      <c r="F796" s="152"/>
      <c r="G796" s="152"/>
      <c r="H796" s="153"/>
      <c r="I796" s="153"/>
      <c r="J796" s="153"/>
      <c r="K796" s="153"/>
      <c r="L796" s="153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</row>
    <row r="797" spans="1:27" ht="17.399999999999999">
      <c r="A797" s="156"/>
      <c r="B797" s="152"/>
      <c r="C797" s="152"/>
      <c r="D797" s="152"/>
      <c r="E797" s="152"/>
      <c r="F797" s="152"/>
      <c r="G797" s="152"/>
      <c r="H797" s="153"/>
      <c r="I797" s="153"/>
      <c r="J797" s="153"/>
      <c r="K797" s="153"/>
      <c r="L797" s="153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</row>
    <row r="798" spans="1:27" ht="17.399999999999999">
      <c r="A798" s="156"/>
      <c r="B798" s="152"/>
      <c r="C798" s="152"/>
      <c r="D798" s="152"/>
      <c r="E798" s="152"/>
      <c r="F798" s="152"/>
      <c r="G798" s="152"/>
      <c r="H798" s="153"/>
      <c r="I798" s="153"/>
      <c r="J798" s="153"/>
      <c r="K798" s="153"/>
      <c r="L798" s="153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</row>
    <row r="799" spans="1:27" ht="17.399999999999999">
      <c r="A799" s="156"/>
      <c r="B799" s="152"/>
      <c r="C799" s="152"/>
      <c r="D799" s="152"/>
      <c r="E799" s="152"/>
      <c r="F799" s="152"/>
      <c r="G799" s="152"/>
      <c r="H799" s="153"/>
      <c r="I799" s="153"/>
      <c r="J799" s="153"/>
      <c r="K799" s="153"/>
      <c r="L799" s="153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</row>
    <row r="800" spans="1:27" ht="17.399999999999999">
      <c r="A800" s="156"/>
      <c r="B800" s="152"/>
      <c r="C800" s="152"/>
      <c r="D800" s="152"/>
      <c r="E800" s="152"/>
      <c r="F800" s="152"/>
      <c r="G800" s="152"/>
      <c r="H800" s="153"/>
      <c r="I800" s="153"/>
      <c r="J800" s="153"/>
      <c r="K800" s="153"/>
      <c r="L800" s="153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</row>
    <row r="801" spans="1:27" ht="17.399999999999999">
      <c r="A801" s="156"/>
      <c r="B801" s="152"/>
      <c r="C801" s="152"/>
      <c r="D801" s="152"/>
      <c r="E801" s="152"/>
      <c r="F801" s="152"/>
      <c r="G801" s="152"/>
      <c r="H801" s="153"/>
      <c r="I801" s="153"/>
      <c r="J801" s="153"/>
      <c r="K801" s="153"/>
      <c r="L801" s="153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</row>
    <row r="802" spans="1:27" ht="17.399999999999999">
      <c r="A802" s="156"/>
      <c r="B802" s="152"/>
      <c r="C802" s="152"/>
      <c r="D802" s="152"/>
      <c r="E802" s="152"/>
      <c r="F802" s="152"/>
      <c r="G802" s="152"/>
      <c r="H802" s="153"/>
      <c r="I802" s="153"/>
      <c r="J802" s="153"/>
      <c r="K802" s="153"/>
      <c r="L802" s="153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</row>
    <row r="803" spans="1:27" ht="17.399999999999999">
      <c r="A803" s="156"/>
      <c r="B803" s="152"/>
      <c r="C803" s="152"/>
      <c r="D803" s="152"/>
      <c r="E803" s="152"/>
      <c r="F803" s="152"/>
      <c r="G803" s="152"/>
      <c r="H803" s="153"/>
      <c r="I803" s="153"/>
      <c r="J803" s="153"/>
      <c r="K803" s="153"/>
      <c r="L803" s="153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</row>
    <row r="804" spans="1:27" ht="17.399999999999999">
      <c r="A804" s="156"/>
      <c r="B804" s="152"/>
      <c r="C804" s="152"/>
      <c r="D804" s="152"/>
      <c r="E804" s="152"/>
      <c r="F804" s="152"/>
      <c r="G804" s="152"/>
      <c r="H804" s="153"/>
      <c r="I804" s="153"/>
      <c r="J804" s="153"/>
      <c r="K804" s="153"/>
      <c r="L804" s="153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</row>
    <row r="805" spans="1:27" ht="17.399999999999999">
      <c r="A805" s="156"/>
      <c r="B805" s="152"/>
      <c r="C805" s="152"/>
      <c r="D805" s="152"/>
      <c r="E805" s="152"/>
      <c r="F805" s="152"/>
      <c r="G805" s="152"/>
      <c r="H805" s="153"/>
      <c r="I805" s="153"/>
      <c r="J805" s="153"/>
      <c r="K805" s="153"/>
      <c r="L805" s="153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</row>
    <row r="806" spans="1:27" ht="17.399999999999999">
      <c r="A806" s="156"/>
      <c r="B806" s="152"/>
      <c r="C806" s="152"/>
      <c r="D806" s="152"/>
      <c r="E806" s="152"/>
      <c r="F806" s="152"/>
      <c r="G806" s="152"/>
      <c r="H806" s="153"/>
      <c r="I806" s="153"/>
      <c r="J806" s="153"/>
      <c r="K806" s="153"/>
      <c r="L806" s="153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</row>
    <row r="807" spans="1:27" ht="17.399999999999999">
      <c r="A807" s="156"/>
      <c r="B807" s="152"/>
      <c r="C807" s="152"/>
      <c r="D807" s="152"/>
      <c r="E807" s="152"/>
      <c r="F807" s="152"/>
      <c r="G807" s="152"/>
      <c r="H807" s="153"/>
      <c r="I807" s="153"/>
      <c r="J807" s="153"/>
      <c r="K807" s="153"/>
      <c r="L807" s="153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</row>
    <row r="808" spans="1:27" ht="17.399999999999999">
      <c r="A808" s="156"/>
      <c r="B808" s="152"/>
      <c r="C808" s="152"/>
      <c r="D808" s="152"/>
      <c r="E808" s="152"/>
      <c r="F808" s="152"/>
      <c r="G808" s="152"/>
      <c r="H808" s="153"/>
      <c r="I808" s="153"/>
      <c r="J808" s="153"/>
      <c r="K808" s="153"/>
      <c r="L808" s="153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</row>
    <row r="809" spans="1:27" ht="17.399999999999999">
      <c r="A809" s="156"/>
      <c r="B809" s="152"/>
      <c r="C809" s="152"/>
      <c r="D809" s="152"/>
      <c r="E809" s="152"/>
      <c r="F809" s="152"/>
      <c r="G809" s="152"/>
      <c r="H809" s="153"/>
      <c r="I809" s="153"/>
      <c r="J809" s="153"/>
      <c r="K809" s="153"/>
      <c r="L809" s="153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</row>
    <row r="810" spans="1:27" ht="17.399999999999999">
      <c r="A810" s="156"/>
      <c r="B810" s="152"/>
      <c r="C810" s="152"/>
      <c r="D810" s="152"/>
      <c r="E810" s="152"/>
      <c r="F810" s="152"/>
      <c r="G810" s="152"/>
      <c r="H810" s="153"/>
      <c r="I810" s="153"/>
      <c r="J810" s="153"/>
      <c r="K810" s="153"/>
      <c r="L810" s="153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</row>
    <row r="811" spans="1:27" ht="17.399999999999999">
      <c r="A811" s="156"/>
      <c r="B811" s="152"/>
      <c r="C811" s="152"/>
      <c r="D811" s="152"/>
      <c r="E811" s="152"/>
      <c r="F811" s="152"/>
      <c r="G811" s="152"/>
      <c r="H811" s="153"/>
      <c r="I811" s="153"/>
      <c r="J811" s="153"/>
      <c r="K811" s="153"/>
      <c r="L811" s="153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</row>
    <row r="812" spans="1:27" ht="17.399999999999999">
      <c r="A812" s="156"/>
      <c r="B812" s="152"/>
      <c r="C812" s="152"/>
      <c r="D812" s="152"/>
      <c r="E812" s="152"/>
      <c r="F812" s="152"/>
      <c r="G812" s="152"/>
      <c r="H812" s="153"/>
      <c r="I812" s="153"/>
      <c r="J812" s="153"/>
      <c r="K812" s="153"/>
      <c r="L812" s="153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</row>
    <row r="813" spans="1:27" ht="17.399999999999999">
      <c r="A813" s="156"/>
      <c r="B813" s="152"/>
      <c r="C813" s="152"/>
      <c r="D813" s="152"/>
      <c r="E813" s="152"/>
      <c r="F813" s="152"/>
      <c r="G813" s="152"/>
      <c r="H813" s="153"/>
      <c r="I813" s="153"/>
      <c r="J813" s="153"/>
      <c r="K813" s="153"/>
      <c r="L813" s="153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</row>
    <row r="814" spans="1:27" ht="17.399999999999999">
      <c r="A814" s="156"/>
      <c r="B814" s="152"/>
      <c r="C814" s="152"/>
      <c r="D814" s="152"/>
      <c r="E814" s="152"/>
      <c r="F814" s="152"/>
      <c r="G814" s="152"/>
      <c r="H814" s="153"/>
      <c r="I814" s="153"/>
      <c r="J814" s="153"/>
      <c r="K814" s="153"/>
      <c r="L814" s="153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</row>
    <row r="815" spans="1:27" ht="17.399999999999999">
      <c r="A815" s="156"/>
      <c r="B815" s="152"/>
      <c r="C815" s="152"/>
      <c r="D815" s="152"/>
      <c r="E815" s="152"/>
      <c r="F815" s="152"/>
      <c r="G815" s="152"/>
      <c r="H815" s="153"/>
      <c r="I815" s="153"/>
      <c r="J815" s="153"/>
      <c r="K815" s="153"/>
      <c r="L815" s="153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</row>
    <row r="816" spans="1:27" ht="17.399999999999999">
      <c r="A816" s="156"/>
      <c r="B816" s="152"/>
      <c r="C816" s="152"/>
      <c r="D816" s="152"/>
      <c r="E816" s="152"/>
      <c r="F816" s="152"/>
      <c r="G816" s="152"/>
      <c r="H816" s="153"/>
      <c r="I816" s="153"/>
      <c r="J816" s="153"/>
      <c r="K816" s="153"/>
      <c r="L816" s="153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</row>
    <row r="817" spans="1:27" ht="17.399999999999999">
      <c r="A817" s="156"/>
      <c r="B817" s="152"/>
      <c r="C817" s="152"/>
      <c r="D817" s="152"/>
      <c r="E817" s="152"/>
      <c r="F817" s="152"/>
      <c r="G817" s="152"/>
      <c r="H817" s="153"/>
      <c r="I817" s="153"/>
      <c r="J817" s="153"/>
      <c r="K817" s="153"/>
      <c r="L817" s="153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</row>
    <row r="818" spans="1:27" ht="17.399999999999999">
      <c r="A818" s="156"/>
      <c r="B818" s="152"/>
      <c r="C818" s="152"/>
      <c r="D818" s="152"/>
      <c r="E818" s="152"/>
      <c r="F818" s="152"/>
      <c r="G818" s="152"/>
      <c r="H818" s="153"/>
      <c r="I818" s="153"/>
      <c r="J818" s="153"/>
      <c r="K818" s="153"/>
      <c r="L818" s="153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</row>
    <row r="819" spans="1:27" ht="17.399999999999999">
      <c r="A819" s="156"/>
      <c r="B819" s="152"/>
      <c r="C819" s="152"/>
      <c r="D819" s="152"/>
      <c r="E819" s="152"/>
      <c r="F819" s="152"/>
      <c r="G819" s="152"/>
      <c r="H819" s="153"/>
      <c r="I819" s="153"/>
      <c r="J819" s="153"/>
      <c r="K819" s="153"/>
      <c r="L819" s="153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</row>
    <row r="820" spans="1:27" ht="17.399999999999999">
      <c r="A820" s="156"/>
      <c r="B820" s="152"/>
      <c r="C820" s="152"/>
      <c r="D820" s="152"/>
      <c r="E820" s="152"/>
      <c r="F820" s="152"/>
      <c r="G820" s="152"/>
      <c r="H820" s="153"/>
      <c r="I820" s="153"/>
      <c r="J820" s="153"/>
      <c r="K820" s="153"/>
      <c r="L820" s="153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</row>
    <row r="821" spans="1:27" ht="17.399999999999999">
      <c r="A821" s="156"/>
      <c r="B821" s="152"/>
      <c r="C821" s="152"/>
      <c r="D821" s="152"/>
      <c r="E821" s="152"/>
      <c r="F821" s="152"/>
      <c r="G821" s="152"/>
      <c r="H821" s="153"/>
      <c r="I821" s="153"/>
      <c r="J821" s="153"/>
      <c r="K821" s="153"/>
      <c r="L821" s="153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</row>
    <row r="822" spans="1:27" ht="17.399999999999999">
      <c r="A822" s="156"/>
      <c r="B822" s="152"/>
      <c r="C822" s="152"/>
      <c r="D822" s="152"/>
      <c r="E822" s="152"/>
      <c r="F822" s="152"/>
      <c r="G822" s="152"/>
      <c r="H822" s="153"/>
      <c r="I822" s="153"/>
      <c r="J822" s="153"/>
      <c r="K822" s="153"/>
      <c r="L822" s="153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</row>
    <row r="823" spans="1:27" ht="17.399999999999999">
      <c r="A823" s="156"/>
      <c r="B823" s="152"/>
      <c r="C823" s="152"/>
      <c r="D823" s="152"/>
      <c r="E823" s="152"/>
      <c r="F823" s="152"/>
      <c r="G823" s="152"/>
      <c r="H823" s="153"/>
      <c r="I823" s="153"/>
      <c r="J823" s="153"/>
      <c r="K823" s="153"/>
      <c r="L823" s="153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</row>
    <row r="824" spans="1:27" ht="17.399999999999999">
      <c r="A824" s="156"/>
      <c r="B824" s="152"/>
      <c r="C824" s="152"/>
      <c r="D824" s="152"/>
      <c r="E824" s="152"/>
      <c r="F824" s="152"/>
      <c r="G824" s="152"/>
      <c r="H824" s="153"/>
      <c r="I824" s="153"/>
      <c r="J824" s="153"/>
      <c r="K824" s="153"/>
      <c r="L824" s="153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</row>
    <row r="825" spans="1:27" ht="17.399999999999999">
      <c r="A825" s="156"/>
      <c r="B825" s="152"/>
      <c r="C825" s="152"/>
      <c r="D825" s="152"/>
      <c r="E825" s="152"/>
      <c r="F825" s="152"/>
      <c r="G825" s="152"/>
      <c r="H825" s="153"/>
      <c r="I825" s="153"/>
      <c r="J825" s="153"/>
      <c r="K825" s="153"/>
      <c r="L825" s="153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</row>
    <row r="826" spans="1:27" ht="17.399999999999999">
      <c r="A826" s="156"/>
      <c r="B826" s="152"/>
      <c r="C826" s="152"/>
      <c r="D826" s="152"/>
      <c r="E826" s="152"/>
      <c r="F826" s="152"/>
      <c r="G826" s="152"/>
      <c r="H826" s="153"/>
      <c r="I826" s="153"/>
      <c r="J826" s="153"/>
      <c r="K826" s="153"/>
      <c r="L826" s="153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</row>
    <row r="827" spans="1:27" ht="17.399999999999999">
      <c r="A827" s="156"/>
      <c r="B827" s="152"/>
      <c r="C827" s="152"/>
      <c r="D827" s="152"/>
      <c r="E827" s="152"/>
      <c r="F827" s="152"/>
      <c r="G827" s="152"/>
      <c r="H827" s="153"/>
      <c r="I827" s="153"/>
      <c r="J827" s="153"/>
      <c r="K827" s="153"/>
      <c r="L827" s="153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</row>
    <row r="828" spans="1:27" ht="17.399999999999999">
      <c r="A828" s="156"/>
      <c r="B828" s="152"/>
      <c r="C828" s="152"/>
      <c r="D828" s="152"/>
      <c r="E828" s="152"/>
      <c r="F828" s="152"/>
      <c r="G828" s="152"/>
      <c r="H828" s="153"/>
      <c r="I828" s="153"/>
      <c r="J828" s="153"/>
      <c r="K828" s="153"/>
      <c r="L828" s="153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</row>
    <row r="829" spans="1:27" ht="17.399999999999999">
      <c r="A829" s="156"/>
      <c r="B829" s="152"/>
      <c r="C829" s="152"/>
      <c r="D829" s="152"/>
      <c r="E829" s="152"/>
      <c r="F829" s="152"/>
      <c r="G829" s="152"/>
      <c r="H829" s="153"/>
      <c r="I829" s="153"/>
      <c r="J829" s="153"/>
      <c r="K829" s="153"/>
      <c r="L829" s="153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</row>
    <row r="830" spans="1:27" ht="17.399999999999999">
      <c r="A830" s="156"/>
      <c r="B830" s="152"/>
      <c r="C830" s="152"/>
      <c r="D830" s="152"/>
      <c r="E830" s="152"/>
      <c r="F830" s="152"/>
      <c r="G830" s="152"/>
      <c r="H830" s="153"/>
      <c r="I830" s="153"/>
      <c r="J830" s="153"/>
      <c r="K830" s="153"/>
      <c r="L830" s="153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</row>
    <row r="831" spans="1:27" ht="17.399999999999999">
      <c r="A831" s="156"/>
      <c r="B831" s="152"/>
      <c r="C831" s="152"/>
      <c r="D831" s="152"/>
      <c r="E831" s="152"/>
      <c r="F831" s="152"/>
      <c r="G831" s="152"/>
      <c r="H831" s="153"/>
      <c r="I831" s="153"/>
      <c r="J831" s="153"/>
      <c r="K831" s="153"/>
      <c r="L831" s="153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</row>
    <row r="832" spans="1:27" ht="17.399999999999999">
      <c r="A832" s="156"/>
      <c r="B832" s="152"/>
      <c r="C832" s="152"/>
      <c r="D832" s="152"/>
      <c r="E832" s="152"/>
      <c r="F832" s="152"/>
      <c r="G832" s="152"/>
      <c r="H832" s="153"/>
      <c r="I832" s="153"/>
      <c r="J832" s="153"/>
      <c r="K832" s="153"/>
      <c r="L832" s="153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</row>
    <row r="833" spans="1:27" ht="17.399999999999999">
      <c r="A833" s="156"/>
      <c r="B833" s="152"/>
      <c r="C833" s="152"/>
      <c r="D833" s="152"/>
      <c r="E833" s="152"/>
      <c r="F833" s="152"/>
      <c r="G833" s="152"/>
      <c r="H833" s="153"/>
      <c r="I833" s="153"/>
      <c r="J833" s="153"/>
      <c r="K833" s="153"/>
      <c r="L833" s="153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</row>
    <row r="834" spans="1:27" ht="17.399999999999999">
      <c r="A834" s="156"/>
      <c r="B834" s="152"/>
      <c r="C834" s="152"/>
      <c r="D834" s="152"/>
      <c r="E834" s="152"/>
      <c r="F834" s="152"/>
      <c r="G834" s="152"/>
      <c r="H834" s="153"/>
      <c r="I834" s="153"/>
      <c r="J834" s="153"/>
      <c r="K834" s="153"/>
      <c r="L834" s="153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</row>
    <row r="835" spans="1:27" ht="17.399999999999999">
      <c r="A835" s="156"/>
      <c r="B835" s="152"/>
      <c r="C835" s="152"/>
      <c r="D835" s="152"/>
      <c r="E835" s="152"/>
      <c r="F835" s="152"/>
      <c r="G835" s="152"/>
      <c r="H835" s="153"/>
      <c r="I835" s="153"/>
      <c r="J835" s="153"/>
      <c r="K835" s="153"/>
      <c r="L835" s="153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</row>
    <row r="836" spans="1:27" ht="17.399999999999999">
      <c r="A836" s="156"/>
      <c r="B836" s="152"/>
      <c r="C836" s="152"/>
      <c r="D836" s="152"/>
      <c r="E836" s="152"/>
      <c r="F836" s="152"/>
      <c r="G836" s="152"/>
      <c r="H836" s="153"/>
      <c r="I836" s="153"/>
      <c r="J836" s="153"/>
      <c r="K836" s="153"/>
      <c r="L836" s="153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</row>
    <row r="837" spans="1:27" ht="17.399999999999999">
      <c r="A837" s="156"/>
      <c r="B837" s="152"/>
      <c r="C837" s="152"/>
      <c r="D837" s="152"/>
      <c r="E837" s="152"/>
      <c r="F837" s="152"/>
      <c r="G837" s="152"/>
      <c r="H837" s="153"/>
      <c r="I837" s="153"/>
      <c r="J837" s="153"/>
      <c r="K837" s="153"/>
      <c r="L837" s="153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</row>
    <row r="838" spans="1:27" ht="17.399999999999999">
      <c r="A838" s="156"/>
      <c r="B838" s="152"/>
      <c r="C838" s="152"/>
      <c r="D838" s="152"/>
      <c r="E838" s="152"/>
      <c r="F838" s="152"/>
      <c r="G838" s="152"/>
      <c r="H838" s="153"/>
      <c r="I838" s="153"/>
      <c r="J838" s="153"/>
      <c r="K838" s="153"/>
      <c r="L838" s="153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</row>
    <row r="839" spans="1:27" ht="17.399999999999999">
      <c r="A839" s="156"/>
      <c r="B839" s="152"/>
      <c r="C839" s="152"/>
      <c r="D839" s="152"/>
      <c r="E839" s="152"/>
      <c r="F839" s="152"/>
      <c r="G839" s="152"/>
      <c r="H839" s="153"/>
      <c r="I839" s="153"/>
      <c r="J839" s="153"/>
      <c r="K839" s="153"/>
      <c r="L839" s="153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</row>
    <row r="840" spans="1:27" ht="17.399999999999999">
      <c r="A840" s="156"/>
      <c r="B840" s="152"/>
      <c r="C840" s="152"/>
      <c r="D840" s="152"/>
      <c r="E840" s="152"/>
      <c r="F840" s="152"/>
      <c r="G840" s="152"/>
      <c r="H840" s="153"/>
      <c r="I840" s="153"/>
      <c r="J840" s="153"/>
      <c r="K840" s="153"/>
      <c r="L840" s="153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</row>
    <row r="841" spans="1:27" ht="17.399999999999999">
      <c r="A841" s="156"/>
      <c r="B841" s="152"/>
      <c r="C841" s="152"/>
      <c r="D841" s="152"/>
      <c r="E841" s="152"/>
      <c r="F841" s="152"/>
      <c r="G841" s="152"/>
      <c r="H841" s="153"/>
      <c r="I841" s="153"/>
      <c r="J841" s="153"/>
      <c r="K841" s="153"/>
      <c r="L841" s="153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</row>
    <row r="842" spans="1:27" ht="17.399999999999999">
      <c r="A842" s="156"/>
      <c r="B842" s="152"/>
      <c r="C842" s="152"/>
      <c r="D842" s="152"/>
      <c r="E842" s="152"/>
      <c r="F842" s="152"/>
      <c r="G842" s="152"/>
      <c r="H842" s="153"/>
      <c r="I842" s="153"/>
      <c r="J842" s="153"/>
      <c r="K842" s="153"/>
      <c r="L842" s="153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</row>
    <row r="843" spans="1:27" ht="17.399999999999999">
      <c r="A843" s="156"/>
      <c r="B843" s="152"/>
      <c r="C843" s="152"/>
      <c r="D843" s="152"/>
      <c r="E843" s="152"/>
      <c r="F843" s="152"/>
      <c r="G843" s="152"/>
      <c r="H843" s="153"/>
      <c r="I843" s="153"/>
      <c r="J843" s="153"/>
      <c r="K843" s="153"/>
      <c r="L843" s="153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</row>
    <row r="844" spans="1:27" ht="17.399999999999999">
      <c r="A844" s="156"/>
      <c r="B844" s="152"/>
      <c r="C844" s="152"/>
      <c r="D844" s="152"/>
      <c r="E844" s="152"/>
      <c r="F844" s="152"/>
      <c r="G844" s="152"/>
      <c r="H844" s="153"/>
      <c r="I844" s="153"/>
      <c r="J844" s="153"/>
      <c r="K844" s="153"/>
      <c r="L844" s="153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</row>
    <row r="845" spans="1:27" ht="17.399999999999999">
      <c r="A845" s="156"/>
      <c r="B845" s="152"/>
      <c r="C845" s="152"/>
      <c r="D845" s="152"/>
      <c r="E845" s="152"/>
      <c r="F845" s="152"/>
      <c r="G845" s="152"/>
      <c r="H845" s="153"/>
      <c r="I845" s="153"/>
      <c r="J845" s="153"/>
      <c r="K845" s="153"/>
      <c r="L845" s="153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</row>
    <row r="846" spans="1:27" ht="17.399999999999999">
      <c r="A846" s="156"/>
      <c r="B846" s="152"/>
      <c r="C846" s="152"/>
      <c r="D846" s="152"/>
      <c r="E846" s="152"/>
      <c r="F846" s="152"/>
      <c r="G846" s="152"/>
      <c r="H846" s="153"/>
      <c r="I846" s="153"/>
      <c r="J846" s="153"/>
      <c r="K846" s="153"/>
      <c r="L846" s="153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</row>
    <row r="847" spans="1:27" ht="17.399999999999999">
      <c r="A847" s="156"/>
      <c r="B847" s="152"/>
      <c r="C847" s="152"/>
      <c r="D847" s="152"/>
      <c r="E847" s="152"/>
      <c r="F847" s="152"/>
      <c r="G847" s="152"/>
      <c r="H847" s="153"/>
      <c r="I847" s="153"/>
      <c r="J847" s="153"/>
      <c r="K847" s="153"/>
      <c r="L847" s="153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</row>
    <row r="848" spans="1:27" ht="17.399999999999999">
      <c r="A848" s="156"/>
      <c r="B848" s="152"/>
      <c r="C848" s="152"/>
      <c r="D848" s="152"/>
      <c r="E848" s="152"/>
      <c r="F848" s="152"/>
      <c r="G848" s="152"/>
      <c r="H848" s="153"/>
      <c r="I848" s="153"/>
      <c r="J848" s="153"/>
      <c r="K848" s="153"/>
      <c r="L848" s="153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</row>
    <row r="849" spans="1:27" ht="17.399999999999999">
      <c r="A849" s="156"/>
      <c r="B849" s="152"/>
      <c r="C849" s="152"/>
      <c r="D849" s="152"/>
      <c r="E849" s="152"/>
      <c r="F849" s="152"/>
      <c r="G849" s="152"/>
      <c r="H849" s="153"/>
      <c r="I849" s="153"/>
      <c r="J849" s="153"/>
      <c r="K849" s="153"/>
      <c r="L849" s="153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</row>
    <row r="850" spans="1:27" ht="17.399999999999999">
      <c r="A850" s="156"/>
      <c r="B850" s="152"/>
      <c r="C850" s="152"/>
      <c r="D850" s="152"/>
      <c r="E850" s="152"/>
      <c r="F850" s="152"/>
      <c r="G850" s="152"/>
      <c r="H850" s="153"/>
      <c r="I850" s="153"/>
      <c r="J850" s="153"/>
      <c r="K850" s="153"/>
      <c r="L850" s="153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</row>
    <row r="851" spans="1:27" ht="17.399999999999999">
      <c r="A851" s="156"/>
      <c r="B851" s="152"/>
      <c r="C851" s="152"/>
      <c r="D851" s="152"/>
      <c r="E851" s="152"/>
      <c r="F851" s="152"/>
      <c r="G851" s="152"/>
      <c r="H851" s="153"/>
      <c r="I851" s="153"/>
      <c r="J851" s="153"/>
      <c r="K851" s="153"/>
      <c r="L851" s="153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</row>
    <row r="852" spans="1:27" ht="17.399999999999999">
      <c r="A852" s="156"/>
      <c r="B852" s="152"/>
      <c r="C852" s="152"/>
      <c r="D852" s="152"/>
      <c r="E852" s="152"/>
      <c r="F852" s="152"/>
      <c r="G852" s="152"/>
      <c r="H852" s="153"/>
      <c r="I852" s="153"/>
      <c r="J852" s="153"/>
      <c r="K852" s="153"/>
      <c r="L852" s="153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</row>
    <row r="853" spans="1:27" ht="17.399999999999999">
      <c r="A853" s="156"/>
      <c r="B853" s="152"/>
      <c r="C853" s="152"/>
      <c r="D853" s="152"/>
      <c r="E853" s="152"/>
      <c r="F853" s="152"/>
      <c r="G853" s="152"/>
      <c r="H853" s="153"/>
      <c r="I853" s="153"/>
      <c r="J853" s="153"/>
      <c r="K853" s="153"/>
      <c r="L853" s="153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</row>
    <row r="854" spans="1:27" ht="17.399999999999999">
      <c r="A854" s="156"/>
      <c r="B854" s="152"/>
      <c r="C854" s="152"/>
      <c r="D854" s="152"/>
      <c r="E854" s="152"/>
      <c r="F854" s="152"/>
      <c r="G854" s="152"/>
      <c r="H854" s="153"/>
      <c r="I854" s="153"/>
      <c r="J854" s="153"/>
      <c r="K854" s="153"/>
      <c r="L854" s="153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</row>
    <row r="855" spans="1:27" ht="17.399999999999999">
      <c r="A855" s="156"/>
      <c r="B855" s="152"/>
      <c r="C855" s="152"/>
      <c r="D855" s="152"/>
      <c r="E855" s="152"/>
      <c r="F855" s="152"/>
      <c r="G855" s="152"/>
      <c r="H855" s="153"/>
      <c r="I855" s="153"/>
      <c r="J855" s="153"/>
      <c r="K855" s="153"/>
      <c r="L855" s="153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</row>
    <row r="856" spans="1:27" ht="17.399999999999999">
      <c r="A856" s="156"/>
      <c r="B856" s="152"/>
      <c r="C856" s="152"/>
      <c r="D856" s="152"/>
      <c r="E856" s="152"/>
      <c r="F856" s="152"/>
      <c r="G856" s="152"/>
      <c r="H856" s="153"/>
      <c r="I856" s="153"/>
      <c r="J856" s="153"/>
      <c r="K856" s="153"/>
      <c r="L856" s="153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</row>
    <row r="857" spans="1:27" ht="17.399999999999999">
      <c r="A857" s="156"/>
      <c r="B857" s="152"/>
      <c r="C857" s="152"/>
      <c r="D857" s="152"/>
      <c r="E857" s="152"/>
      <c r="F857" s="152"/>
      <c r="G857" s="152"/>
      <c r="H857" s="153"/>
      <c r="I857" s="153"/>
      <c r="J857" s="153"/>
      <c r="K857" s="153"/>
      <c r="L857" s="153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</row>
    <row r="858" spans="1:27" ht="17.399999999999999">
      <c r="A858" s="156"/>
      <c r="B858" s="152"/>
      <c r="C858" s="152"/>
      <c r="D858" s="152"/>
      <c r="E858" s="152"/>
      <c r="F858" s="152"/>
      <c r="G858" s="152"/>
      <c r="H858" s="153"/>
      <c r="I858" s="153"/>
      <c r="J858" s="153"/>
      <c r="K858" s="153"/>
      <c r="L858" s="153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</row>
    <row r="859" spans="1:27" ht="17.399999999999999">
      <c r="A859" s="156"/>
      <c r="B859" s="152"/>
      <c r="C859" s="152"/>
      <c r="D859" s="152"/>
      <c r="E859" s="152"/>
      <c r="F859" s="152"/>
      <c r="G859" s="152"/>
      <c r="H859" s="153"/>
      <c r="I859" s="153"/>
      <c r="J859" s="153"/>
      <c r="K859" s="153"/>
      <c r="L859" s="153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</row>
    <row r="860" spans="1:27" ht="17.399999999999999">
      <c r="A860" s="156"/>
      <c r="B860" s="152"/>
      <c r="C860" s="152"/>
      <c r="D860" s="152"/>
      <c r="E860" s="152"/>
      <c r="F860" s="152"/>
      <c r="G860" s="152"/>
      <c r="H860" s="153"/>
      <c r="I860" s="153"/>
      <c r="J860" s="153"/>
      <c r="K860" s="153"/>
      <c r="L860" s="153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</row>
    <row r="861" spans="1:27" ht="17.399999999999999">
      <c r="A861" s="156"/>
      <c r="B861" s="152"/>
      <c r="C861" s="152"/>
      <c r="D861" s="152"/>
      <c r="E861" s="152"/>
      <c r="F861" s="152"/>
      <c r="G861" s="152"/>
      <c r="H861" s="153"/>
      <c r="I861" s="153"/>
      <c r="J861" s="153"/>
      <c r="K861" s="153"/>
      <c r="L861" s="153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</row>
    <row r="862" spans="1:27" ht="17.399999999999999">
      <c r="A862" s="156"/>
      <c r="B862" s="152"/>
      <c r="C862" s="152"/>
      <c r="D862" s="152"/>
      <c r="E862" s="152"/>
      <c r="F862" s="152"/>
      <c r="G862" s="152"/>
      <c r="H862" s="153"/>
      <c r="I862" s="153"/>
      <c r="J862" s="153"/>
      <c r="K862" s="153"/>
      <c r="L862" s="153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</row>
    <row r="863" spans="1:27" ht="17.399999999999999">
      <c r="A863" s="156"/>
      <c r="B863" s="152"/>
      <c r="C863" s="152"/>
      <c r="D863" s="152"/>
      <c r="E863" s="152"/>
      <c r="F863" s="152"/>
      <c r="G863" s="152"/>
      <c r="H863" s="153"/>
      <c r="I863" s="153"/>
      <c r="J863" s="153"/>
      <c r="K863" s="153"/>
      <c r="L863" s="153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</row>
    <row r="864" spans="1:27" ht="17.399999999999999">
      <c r="A864" s="156"/>
      <c r="B864" s="152"/>
      <c r="C864" s="152"/>
      <c r="D864" s="152"/>
      <c r="E864" s="152"/>
      <c r="F864" s="152"/>
      <c r="G864" s="152"/>
      <c r="H864" s="153"/>
      <c r="I864" s="153"/>
      <c r="J864" s="153"/>
      <c r="K864" s="153"/>
      <c r="L864" s="153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</row>
    <row r="865" spans="1:27" ht="17.399999999999999">
      <c r="A865" s="156"/>
      <c r="B865" s="152"/>
      <c r="C865" s="152"/>
      <c r="D865" s="152"/>
      <c r="E865" s="152"/>
      <c r="F865" s="152"/>
      <c r="G865" s="152"/>
      <c r="H865" s="153"/>
      <c r="I865" s="153"/>
      <c r="J865" s="153"/>
      <c r="K865" s="153"/>
      <c r="L865" s="153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</row>
    <row r="866" spans="1:27" ht="17.399999999999999">
      <c r="A866" s="156"/>
      <c r="B866" s="152"/>
      <c r="C866" s="152"/>
      <c r="D866" s="152"/>
      <c r="E866" s="152"/>
      <c r="F866" s="152"/>
      <c r="G866" s="152"/>
      <c r="H866" s="153"/>
      <c r="I866" s="153"/>
      <c r="J866" s="153"/>
      <c r="K866" s="153"/>
      <c r="L866" s="153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</row>
    <row r="867" spans="1:27" ht="17.399999999999999">
      <c r="A867" s="156"/>
      <c r="B867" s="152"/>
      <c r="C867" s="152"/>
      <c r="D867" s="152"/>
      <c r="E867" s="152"/>
      <c r="F867" s="152"/>
      <c r="G867" s="152"/>
      <c r="H867" s="153"/>
      <c r="I867" s="153"/>
      <c r="J867" s="153"/>
      <c r="K867" s="153"/>
      <c r="L867" s="153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</row>
    <row r="868" spans="1:27" ht="17.399999999999999">
      <c r="A868" s="156"/>
      <c r="B868" s="152"/>
      <c r="C868" s="152"/>
      <c r="D868" s="152"/>
      <c r="E868" s="152"/>
      <c r="F868" s="152"/>
      <c r="G868" s="152"/>
      <c r="H868" s="153"/>
      <c r="I868" s="153"/>
      <c r="J868" s="153"/>
      <c r="K868" s="153"/>
      <c r="L868" s="153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</row>
    <row r="869" spans="1:27" ht="17.399999999999999">
      <c r="A869" s="156"/>
      <c r="B869" s="152"/>
      <c r="C869" s="152"/>
      <c r="D869" s="152"/>
      <c r="E869" s="152"/>
      <c r="F869" s="152"/>
      <c r="G869" s="152"/>
      <c r="H869" s="153"/>
      <c r="I869" s="153"/>
      <c r="J869" s="153"/>
      <c r="K869" s="153"/>
      <c r="L869" s="153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</row>
    <row r="870" spans="1:27" ht="17.399999999999999">
      <c r="A870" s="156"/>
      <c r="B870" s="152"/>
      <c r="C870" s="152"/>
      <c r="D870" s="152"/>
      <c r="E870" s="152"/>
      <c r="F870" s="152"/>
      <c r="G870" s="152"/>
      <c r="H870" s="153"/>
      <c r="I870" s="153"/>
      <c r="J870" s="153"/>
      <c r="K870" s="153"/>
      <c r="L870" s="153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</row>
    <row r="871" spans="1:27" ht="17.399999999999999">
      <c r="A871" s="156"/>
      <c r="B871" s="152"/>
      <c r="C871" s="152"/>
      <c r="D871" s="152"/>
      <c r="E871" s="152"/>
      <c r="F871" s="152"/>
      <c r="G871" s="152"/>
      <c r="H871" s="153"/>
      <c r="I871" s="153"/>
      <c r="J871" s="153"/>
      <c r="K871" s="153"/>
      <c r="L871" s="153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</row>
    <row r="872" spans="1:27" ht="17.399999999999999">
      <c r="A872" s="156"/>
      <c r="B872" s="152"/>
      <c r="C872" s="152"/>
      <c r="D872" s="152"/>
      <c r="E872" s="152"/>
      <c r="F872" s="152"/>
      <c r="G872" s="152"/>
      <c r="H872" s="153"/>
      <c r="I872" s="153"/>
      <c r="J872" s="153"/>
      <c r="K872" s="153"/>
      <c r="L872" s="153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</row>
    <row r="873" spans="1:27" ht="17.399999999999999">
      <c r="A873" s="156"/>
      <c r="B873" s="152"/>
      <c r="C873" s="152"/>
      <c r="D873" s="152"/>
      <c r="E873" s="152"/>
      <c r="F873" s="152"/>
      <c r="G873" s="152"/>
      <c r="H873" s="153"/>
      <c r="I873" s="153"/>
      <c r="J873" s="153"/>
      <c r="K873" s="153"/>
      <c r="L873" s="153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</row>
    <row r="874" spans="1:27" ht="17.399999999999999">
      <c r="A874" s="156"/>
      <c r="B874" s="152"/>
      <c r="C874" s="152"/>
      <c r="D874" s="152"/>
      <c r="E874" s="152"/>
      <c r="F874" s="152"/>
      <c r="G874" s="152"/>
      <c r="H874" s="153"/>
      <c r="I874" s="153"/>
      <c r="J874" s="153"/>
      <c r="K874" s="153"/>
      <c r="L874" s="153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</row>
    <row r="875" spans="1:27" ht="17.399999999999999">
      <c r="A875" s="156"/>
      <c r="B875" s="152"/>
      <c r="C875" s="152"/>
      <c r="D875" s="152"/>
      <c r="E875" s="152"/>
      <c r="F875" s="152"/>
      <c r="G875" s="152"/>
      <c r="H875" s="153"/>
      <c r="I875" s="153"/>
      <c r="J875" s="153"/>
      <c r="K875" s="153"/>
      <c r="L875" s="153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</row>
    <row r="876" spans="1:27" ht="17.399999999999999">
      <c r="A876" s="156"/>
      <c r="B876" s="152"/>
      <c r="C876" s="152"/>
      <c r="D876" s="152"/>
      <c r="E876" s="152"/>
      <c r="F876" s="152"/>
      <c r="G876" s="152"/>
      <c r="H876" s="153"/>
      <c r="I876" s="153"/>
      <c r="J876" s="153"/>
      <c r="K876" s="153"/>
      <c r="L876" s="153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</row>
    <row r="877" spans="1:27" ht="17.399999999999999">
      <c r="A877" s="156"/>
      <c r="B877" s="152"/>
      <c r="C877" s="152"/>
      <c r="D877" s="152"/>
      <c r="E877" s="152"/>
      <c r="F877" s="152"/>
      <c r="G877" s="152"/>
      <c r="H877" s="153"/>
      <c r="I877" s="153"/>
      <c r="J877" s="153"/>
      <c r="K877" s="153"/>
      <c r="L877" s="153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</row>
    <row r="878" spans="1:27" ht="17.399999999999999">
      <c r="A878" s="156"/>
      <c r="B878" s="152"/>
      <c r="C878" s="152"/>
      <c r="D878" s="152"/>
      <c r="E878" s="152"/>
      <c r="F878" s="152"/>
      <c r="G878" s="152"/>
      <c r="H878" s="153"/>
      <c r="I878" s="153"/>
      <c r="J878" s="153"/>
      <c r="K878" s="153"/>
      <c r="L878" s="153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</row>
    <row r="879" spans="1:27" ht="17.399999999999999">
      <c r="A879" s="156"/>
      <c r="B879" s="152"/>
      <c r="C879" s="152"/>
      <c r="D879" s="152"/>
      <c r="E879" s="152"/>
      <c r="F879" s="152"/>
      <c r="G879" s="152"/>
      <c r="H879" s="153"/>
      <c r="I879" s="153"/>
      <c r="J879" s="153"/>
      <c r="K879" s="153"/>
      <c r="L879" s="153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</row>
    <row r="880" spans="1:27" ht="17.399999999999999">
      <c r="A880" s="156"/>
      <c r="B880" s="152"/>
      <c r="C880" s="152"/>
      <c r="D880" s="152"/>
      <c r="E880" s="152"/>
      <c r="F880" s="152"/>
      <c r="G880" s="152"/>
      <c r="H880" s="153"/>
      <c r="I880" s="153"/>
      <c r="J880" s="153"/>
      <c r="K880" s="153"/>
      <c r="L880" s="153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 spans="1:27" ht="17.399999999999999">
      <c r="A881" s="156"/>
      <c r="B881" s="152"/>
      <c r="C881" s="152"/>
      <c r="D881" s="152"/>
      <c r="E881" s="152"/>
      <c r="F881" s="152"/>
      <c r="G881" s="152"/>
      <c r="H881" s="153"/>
      <c r="I881" s="153"/>
      <c r="J881" s="153"/>
      <c r="K881" s="153"/>
      <c r="L881" s="153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</row>
    <row r="882" spans="1:27" ht="17.399999999999999">
      <c r="A882" s="156"/>
      <c r="B882" s="152"/>
      <c r="C882" s="152"/>
      <c r="D882" s="152"/>
      <c r="E882" s="152"/>
      <c r="F882" s="152"/>
      <c r="G882" s="152"/>
      <c r="H882" s="153"/>
      <c r="I882" s="153"/>
      <c r="J882" s="153"/>
      <c r="K882" s="153"/>
      <c r="L882" s="153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</row>
    <row r="883" spans="1:27" ht="17.399999999999999">
      <c r="A883" s="156"/>
      <c r="B883" s="152"/>
      <c r="C883" s="152"/>
      <c r="D883" s="152"/>
      <c r="E883" s="152"/>
      <c r="F883" s="152"/>
      <c r="G883" s="152"/>
      <c r="H883" s="153"/>
      <c r="I883" s="153"/>
      <c r="J883" s="153"/>
      <c r="K883" s="153"/>
      <c r="L883" s="153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</row>
    <row r="884" spans="1:27" ht="17.399999999999999">
      <c r="A884" s="156"/>
      <c r="B884" s="152"/>
      <c r="C884" s="152"/>
      <c r="D884" s="152"/>
      <c r="E884" s="152"/>
      <c r="F884" s="152"/>
      <c r="G884" s="152"/>
      <c r="H884" s="153"/>
      <c r="I884" s="153"/>
      <c r="J884" s="153"/>
      <c r="K884" s="153"/>
      <c r="L884" s="153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</row>
    <row r="885" spans="1:27" ht="17.399999999999999">
      <c r="A885" s="156"/>
      <c r="B885" s="152"/>
      <c r="C885" s="152"/>
      <c r="D885" s="152"/>
      <c r="E885" s="152"/>
      <c r="F885" s="152"/>
      <c r="G885" s="152"/>
      <c r="H885" s="153"/>
      <c r="I885" s="153"/>
      <c r="J885" s="153"/>
      <c r="K885" s="153"/>
      <c r="L885" s="153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</row>
    <row r="886" spans="1:27" ht="17.399999999999999">
      <c r="A886" s="156"/>
      <c r="B886" s="152"/>
      <c r="C886" s="152"/>
      <c r="D886" s="152"/>
      <c r="E886" s="152"/>
      <c r="F886" s="152"/>
      <c r="G886" s="152"/>
      <c r="H886" s="153"/>
      <c r="I886" s="153"/>
      <c r="J886" s="153"/>
      <c r="K886" s="153"/>
      <c r="L886" s="153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</row>
    <row r="887" spans="1:27" ht="17.399999999999999">
      <c r="A887" s="156"/>
      <c r="B887" s="152"/>
      <c r="C887" s="152"/>
      <c r="D887" s="152"/>
      <c r="E887" s="152"/>
      <c r="F887" s="152"/>
      <c r="G887" s="152"/>
      <c r="H887" s="153"/>
      <c r="I887" s="153"/>
      <c r="J887" s="153"/>
      <c r="K887" s="153"/>
      <c r="L887" s="153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</row>
    <row r="888" spans="1:27" ht="17.399999999999999">
      <c r="A888" s="156"/>
      <c r="B888" s="152"/>
      <c r="C888" s="152"/>
      <c r="D888" s="152"/>
      <c r="E888" s="152"/>
      <c r="F888" s="152"/>
      <c r="G888" s="152"/>
      <c r="H888" s="153"/>
      <c r="I888" s="153"/>
      <c r="J888" s="153"/>
      <c r="K888" s="153"/>
      <c r="L888" s="153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</row>
    <row r="889" spans="1:27" ht="17.399999999999999">
      <c r="A889" s="156"/>
      <c r="B889" s="152"/>
      <c r="C889" s="152"/>
      <c r="D889" s="152"/>
      <c r="E889" s="152"/>
      <c r="F889" s="152"/>
      <c r="G889" s="152"/>
      <c r="H889" s="153"/>
      <c r="I889" s="153"/>
      <c r="J889" s="153"/>
      <c r="K889" s="153"/>
      <c r="L889" s="153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</row>
    <row r="890" spans="1:27" ht="17.399999999999999">
      <c r="A890" s="156"/>
      <c r="B890" s="152"/>
      <c r="C890" s="152"/>
      <c r="D890" s="152"/>
      <c r="E890" s="152"/>
      <c r="F890" s="152"/>
      <c r="G890" s="152"/>
      <c r="H890" s="153"/>
      <c r="I890" s="153"/>
      <c r="J890" s="153"/>
      <c r="K890" s="153"/>
      <c r="L890" s="153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</row>
    <row r="891" spans="1:27" ht="17.399999999999999">
      <c r="A891" s="156"/>
      <c r="B891" s="152"/>
      <c r="C891" s="152"/>
      <c r="D891" s="152"/>
      <c r="E891" s="152"/>
      <c r="F891" s="152"/>
      <c r="G891" s="152"/>
      <c r="H891" s="153"/>
      <c r="I891" s="153"/>
      <c r="J891" s="153"/>
      <c r="K891" s="153"/>
      <c r="L891" s="153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</row>
    <row r="892" spans="1:27" ht="17.399999999999999">
      <c r="A892" s="156"/>
      <c r="B892" s="152"/>
      <c r="C892" s="152"/>
      <c r="D892" s="152"/>
      <c r="E892" s="152"/>
      <c r="F892" s="152"/>
      <c r="G892" s="152"/>
      <c r="H892" s="153"/>
      <c r="I892" s="153"/>
      <c r="J892" s="153"/>
      <c r="K892" s="153"/>
      <c r="L892" s="153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</row>
    <row r="893" spans="1:27" ht="17.399999999999999">
      <c r="A893" s="156"/>
      <c r="B893" s="152"/>
      <c r="C893" s="152"/>
      <c r="D893" s="152"/>
      <c r="E893" s="152"/>
      <c r="F893" s="152"/>
      <c r="G893" s="152"/>
      <c r="H893" s="153"/>
      <c r="I893" s="153"/>
      <c r="J893" s="153"/>
      <c r="K893" s="153"/>
      <c r="L893" s="153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</row>
    <row r="894" spans="1:27" ht="17.399999999999999">
      <c r="A894" s="156"/>
      <c r="B894" s="152"/>
      <c r="C894" s="152"/>
      <c r="D894" s="152"/>
      <c r="E894" s="152"/>
      <c r="F894" s="152"/>
      <c r="G894" s="152"/>
      <c r="H894" s="153"/>
      <c r="I894" s="153"/>
      <c r="J894" s="153"/>
      <c r="K894" s="153"/>
      <c r="L894" s="153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</row>
    <row r="895" spans="1:27" ht="17.399999999999999">
      <c r="A895" s="156"/>
      <c r="B895" s="152"/>
      <c r="C895" s="152"/>
      <c r="D895" s="152"/>
      <c r="E895" s="152"/>
      <c r="F895" s="152"/>
      <c r="G895" s="152"/>
      <c r="H895" s="153"/>
      <c r="I895" s="153"/>
      <c r="J895" s="153"/>
      <c r="K895" s="153"/>
      <c r="L895" s="153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</row>
    <row r="896" spans="1:27" ht="17.399999999999999">
      <c r="A896" s="156"/>
      <c r="B896" s="152"/>
      <c r="C896" s="152"/>
      <c r="D896" s="152"/>
      <c r="E896" s="152"/>
      <c r="F896" s="152"/>
      <c r="G896" s="152"/>
      <c r="H896" s="153"/>
      <c r="I896" s="153"/>
      <c r="J896" s="153"/>
      <c r="K896" s="153"/>
      <c r="L896" s="153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</row>
    <row r="897" spans="1:27" ht="17.399999999999999">
      <c r="A897" s="156"/>
      <c r="B897" s="152"/>
      <c r="C897" s="152"/>
      <c r="D897" s="152"/>
      <c r="E897" s="152"/>
      <c r="F897" s="152"/>
      <c r="G897" s="152"/>
      <c r="H897" s="153"/>
      <c r="I897" s="153"/>
      <c r="J897" s="153"/>
      <c r="K897" s="153"/>
      <c r="L897" s="153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</row>
    <row r="898" spans="1:27" ht="17.399999999999999">
      <c r="A898" s="156"/>
      <c r="B898" s="152"/>
      <c r="C898" s="152"/>
      <c r="D898" s="152"/>
      <c r="E898" s="152"/>
      <c r="F898" s="152"/>
      <c r="G898" s="152"/>
      <c r="H898" s="153"/>
      <c r="I898" s="153"/>
      <c r="J898" s="153"/>
      <c r="K898" s="153"/>
      <c r="L898" s="153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</row>
    <row r="899" spans="1:27" ht="17.399999999999999">
      <c r="A899" s="156"/>
      <c r="B899" s="152"/>
      <c r="C899" s="152"/>
      <c r="D899" s="152"/>
      <c r="E899" s="152"/>
      <c r="F899" s="152"/>
      <c r="G899" s="152"/>
      <c r="H899" s="153"/>
      <c r="I899" s="153"/>
      <c r="J899" s="153"/>
      <c r="K899" s="153"/>
      <c r="L899" s="153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</row>
    <row r="900" spans="1:27" ht="17.399999999999999">
      <c r="A900" s="156"/>
      <c r="B900" s="152"/>
      <c r="C900" s="152"/>
      <c r="D900" s="152"/>
      <c r="E900" s="152"/>
      <c r="F900" s="152"/>
      <c r="G900" s="152"/>
      <c r="H900" s="153"/>
      <c r="I900" s="153"/>
      <c r="J900" s="153"/>
      <c r="K900" s="153"/>
      <c r="L900" s="153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</row>
    <row r="901" spans="1:27" ht="17.399999999999999">
      <c r="A901" s="156"/>
      <c r="B901" s="152"/>
      <c r="C901" s="152"/>
      <c r="D901" s="152"/>
      <c r="E901" s="152"/>
      <c r="F901" s="152"/>
      <c r="G901" s="152"/>
      <c r="H901" s="153"/>
      <c r="I901" s="153"/>
      <c r="J901" s="153"/>
      <c r="K901" s="153"/>
      <c r="L901" s="153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</row>
    <row r="902" spans="1:27" ht="17.399999999999999">
      <c r="A902" s="156"/>
      <c r="B902" s="152"/>
      <c r="C902" s="152"/>
      <c r="D902" s="152"/>
      <c r="E902" s="152"/>
      <c r="F902" s="152"/>
      <c r="G902" s="152"/>
      <c r="H902" s="153"/>
      <c r="I902" s="153"/>
      <c r="J902" s="153"/>
      <c r="K902" s="153"/>
      <c r="L902" s="153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</row>
    <row r="903" spans="1:27" ht="17.399999999999999">
      <c r="A903" s="156"/>
      <c r="B903" s="152"/>
      <c r="C903" s="152"/>
      <c r="D903" s="152"/>
      <c r="E903" s="152"/>
      <c r="F903" s="152"/>
      <c r="G903" s="152"/>
      <c r="H903" s="153"/>
      <c r="I903" s="153"/>
      <c r="J903" s="153"/>
      <c r="K903" s="153"/>
      <c r="L903" s="153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</row>
    <row r="904" spans="1:27" ht="17.399999999999999">
      <c r="A904" s="156"/>
      <c r="B904" s="152"/>
      <c r="C904" s="152"/>
      <c r="D904" s="152"/>
      <c r="E904" s="152"/>
      <c r="F904" s="152"/>
      <c r="G904" s="152"/>
      <c r="H904" s="153"/>
      <c r="I904" s="153"/>
      <c r="J904" s="153"/>
      <c r="K904" s="153"/>
      <c r="L904" s="153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</row>
    <row r="905" spans="1:27" ht="17.399999999999999">
      <c r="A905" s="156"/>
      <c r="B905" s="152"/>
      <c r="C905" s="152"/>
      <c r="D905" s="152"/>
      <c r="E905" s="152"/>
      <c r="F905" s="152"/>
      <c r="G905" s="152"/>
      <c r="H905" s="153"/>
      <c r="I905" s="153"/>
      <c r="J905" s="153"/>
      <c r="K905" s="153"/>
      <c r="L905" s="153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</row>
    <row r="906" spans="1:27" ht="17.399999999999999">
      <c r="A906" s="156"/>
      <c r="B906" s="152"/>
      <c r="C906" s="152"/>
      <c r="D906" s="152"/>
      <c r="E906" s="152"/>
      <c r="F906" s="152"/>
      <c r="G906" s="152"/>
      <c r="H906" s="153"/>
      <c r="I906" s="153"/>
      <c r="J906" s="153"/>
      <c r="K906" s="153"/>
      <c r="L906" s="153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</row>
    <row r="907" spans="1:27" ht="17.399999999999999">
      <c r="A907" s="156"/>
      <c r="B907" s="152"/>
      <c r="C907" s="152"/>
      <c r="D907" s="152"/>
      <c r="E907" s="152"/>
      <c r="F907" s="152"/>
      <c r="G907" s="152"/>
      <c r="H907" s="153"/>
      <c r="I907" s="153"/>
      <c r="J907" s="153"/>
      <c r="K907" s="153"/>
      <c r="L907" s="153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</row>
    <row r="908" spans="1:27" ht="17.399999999999999">
      <c r="A908" s="156"/>
      <c r="B908" s="152"/>
      <c r="C908" s="152"/>
      <c r="D908" s="152"/>
      <c r="E908" s="152"/>
      <c r="F908" s="152"/>
      <c r="G908" s="152"/>
      <c r="H908" s="153"/>
      <c r="I908" s="153"/>
      <c r="J908" s="153"/>
      <c r="K908" s="153"/>
      <c r="L908" s="153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</row>
    <row r="909" spans="1:27" ht="17.399999999999999">
      <c r="A909" s="156"/>
      <c r="B909" s="152"/>
      <c r="C909" s="152"/>
      <c r="D909" s="152"/>
      <c r="E909" s="152"/>
      <c r="F909" s="152"/>
      <c r="G909" s="152"/>
      <c r="H909" s="153"/>
      <c r="I909" s="153"/>
      <c r="J909" s="153"/>
      <c r="K909" s="153"/>
      <c r="L909" s="153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</row>
    <row r="910" spans="1:27" ht="17.399999999999999">
      <c r="A910" s="156"/>
      <c r="B910" s="152"/>
      <c r="C910" s="152"/>
      <c r="D910" s="152"/>
      <c r="E910" s="152"/>
      <c r="F910" s="152"/>
      <c r="G910" s="152"/>
      <c r="H910" s="153"/>
      <c r="I910" s="153"/>
      <c r="J910" s="153"/>
      <c r="K910" s="153"/>
      <c r="L910" s="153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</row>
    <row r="911" spans="1:27" ht="17.399999999999999">
      <c r="A911" s="156"/>
      <c r="B911" s="152"/>
      <c r="C911" s="152"/>
      <c r="D911" s="152"/>
      <c r="E911" s="152"/>
      <c r="F911" s="152"/>
      <c r="G911" s="152"/>
      <c r="H911" s="153"/>
      <c r="I911" s="153"/>
      <c r="J911" s="153"/>
      <c r="K911" s="153"/>
      <c r="L911" s="153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</row>
    <row r="912" spans="1:27" ht="17.399999999999999">
      <c r="A912" s="156"/>
      <c r="B912" s="152"/>
      <c r="C912" s="152"/>
      <c r="D912" s="152"/>
      <c r="E912" s="152"/>
      <c r="F912" s="152"/>
      <c r="G912" s="152"/>
      <c r="H912" s="153"/>
      <c r="I912" s="153"/>
      <c r="J912" s="153"/>
      <c r="K912" s="153"/>
      <c r="L912" s="153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</row>
    <row r="913" spans="1:27" ht="17.399999999999999">
      <c r="A913" s="156"/>
      <c r="B913" s="152"/>
      <c r="C913" s="152"/>
      <c r="D913" s="152"/>
      <c r="E913" s="152"/>
      <c r="F913" s="152"/>
      <c r="G913" s="152"/>
      <c r="H913" s="153"/>
      <c r="I913" s="153"/>
      <c r="J913" s="153"/>
      <c r="K913" s="153"/>
      <c r="L913" s="153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</row>
    <row r="914" spans="1:27" ht="17.399999999999999">
      <c r="A914" s="156"/>
      <c r="B914" s="152"/>
      <c r="C914" s="152"/>
      <c r="D914" s="152"/>
      <c r="E914" s="152"/>
      <c r="F914" s="152"/>
      <c r="G914" s="152"/>
      <c r="H914" s="153"/>
      <c r="I914" s="153"/>
      <c r="J914" s="153"/>
      <c r="K914" s="153"/>
      <c r="L914" s="153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</row>
    <row r="915" spans="1:27" ht="17.399999999999999">
      <c r="A915" s="156"/>
      <c r="B915" s="152"/>
      <c r="C915" s="152"/>
      <c r="D915" s="152"/>
      <c r="E915" s="152"/>
      <c r="F915" s="152"/>
      <c r="G915" s="152"/>
      <c r="H915" s="153"/>
      <c r="I915" s="153"/>
      <c r="J915" s="153"/>
      <c r="K915" s="153"/>
      <c r="L915" s="153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</row>
    <row r="916" spans="1:27" ht="17.399999999999999">
      <c r="A916" s="156"/>
      <c r="B916" s="152"/>
      <c r="C916" s="152"/>
      <c r="D916" s="152"/>
      <c r="E916" s="152"/>
      <c r="F916" s="152"/>
      <c r="G916" s="152"/>
      <c r="H916" s="153"/>
      <c r="I916" s="153"/>
      <c r="J916" s="153"/>
      <c r="K916" s="153"/>
      <c r="L916" s="153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</row>
    <row r="917" spans="1:27" ht="17.399999999999999">
      <c r="A917" s="156"/>
      <c r="B917" s="152"/>
      <c r="C917" s="152"/>
      <c r="D917" s="152"/>
      <c r="E917" s="152"/>
      <c r="F917" s="152"/>
      <c r="G917" s="152"/>
      <c r="H917" s="153"/>
      <c r="I917" s="153"/>
      <c r="J917" s="153"/>
      <c r="K917" s="153"/>
      <c r="L917" s="153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</row>
    <row r="918" spans="1:27" ht="17.399999999999999">
      <c r="A918" s="156"/>
      <c r="B918" s="152"/>
      <c r="C918" s="152"/>
      <c r="D918" s="152"/>
      <c r="E918" s="152"/>
      <c r="F918" s="152"/>
      <c r="G918" s="152"/>
      <c r="H918" s="153"/>
      <c r="I918" s="153"/>
      <c r="J918" s="153"/>
      <c r="K918" s="153"/>
      <c r="L918" s="153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</row>
    <row r="919" spans="1:27" ht="17.399999999999999">
      <c r="A919" s="156"/>
      <c r="B919" s="152"/>
      <c r="C919" s="152"/>
      <c r="D919" s="152"/>
      <c r="E919" s="152"/>
      <c r="F919" s="152"/>
      <c r="G919" s="152"/>
      <c r="H919" s="153"/>
      <c r="I919" s="153"/>
      <c r="J919" s="153"/>
      <c r="K919" s="153"/>
      <c r="L919" s="153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</row>
    <row r="920" spans="1:27" ht="17.399999999999999">
      <c r="A920" s="156"/>
      <c r="B920" s="152"/>
      <c r="C920" s="152"/>
      <c r="D920" s="152"/>
      <c r="E920" s="152"/>
      <c r="F920" s="152"/>
      <c r="G920" s="152"/>
      <c r="H920" s="153"/>
      <c r="I920" s="153"/>
      <c r="J920" s="153"/>
      <c r="K920" s="153"/>
      <c r="L920" s="153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</row>
    <row r="921" spans="1:27" ht="17.399999999999999">
      <c r="A921" s="156"/>
      <c r="B921" s="152"/>
      <c r="C921" s="152"/>
      <c r="D921" s="152"/>
      <c r="E921" s="152"/>
      <c r="F921" s="152"/>
      <c r="G921" s="152"/>
      <c r="H921" s="153"/>
      <c r="I921" s="153"/>
      <c r="J921" s="153"/>
      <c r="K921" s="153"/>
      <c r="L921" s="153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</row>
    <row r="922" spans="1:27" ht="17.399999999999999">
      <c r="A922" s="156"/>
      <c r="B922" s="152"/>
      <c r="C922" s="152"/>
      <c r="D922" s="152"/>
      <c r="E922" s="152"/>
      <c r="F922" s="152"/>
      <c r="G922" s="152"/>
      <c r="H922" s="153"/>
      <c r="I922" s="153"/>
      <c r="J922" s="153"/>
      <c r="K922" s="153"/>
      <c r="L922" s="153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</row>
    <row r="923" spans="1:27" ht="17.399999999999999">
      <c r="A923" s="156"/>
      <c r="B923" s="152"/>
      <c r="C923" s="152"/>
      <c r="D923" s="152"/>
      <c r="E923" s="152"/>
      <c r="F923" s="152"/>
      <c r="G923" s="152"/>
      <c r="H923" s="153"/>
      <c r="I923" s="153"/>
      <c r="J923" s="153"/>
      <c r="K923" s="153"/>
      <c r="L923" s="153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</row>
    <row r="924" spans="1:27" ht="17.399999999999999">
      <c r="A924" s="156"/>
      <c r="B924" s="152"/>
      <c r="C924" s="152"/>
      <c r="D924" s="152"/>
      <c r="E924" s="152"/>
      <c r="F924" s="152"/>
      <c r="G924" s="152"/>
      <c r="H924" s="153"/>
      <c r="I924" s="153"/>
      <c r="J924" s="153"/>
      <c r="K924" s="153"/>
      <c r="L924" s="153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</row>
    <row r="925" spans="1:27" ht="17.399999999999999">
      <c r="A925" s="156"/>
      <c r="B925" s="152"/>
      <c r="C925" s="152"/>
      <c r="D925" s="152"/>
      <c r="E925" s="152"/>
      <c r="F925" s="152"/>
      <c r="G925" s="152"/>
      <c r="H925" s="153"/>
      <c r="I925" s="153"/>
      <c r="J925" s="153"/>
      <c r="K925" s="153"/>
      <c r="L925" s="153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</row>
    <row r="926" spans="1:27" ht="17.399999999999999">
      <c r="A926" s="156"/>
      <c r="B926" s="152"/>
      <c r="C926" s="152"/>
      <c r="D926" s="152"/>
      <c r="E926" s="152"/>
      <c r="F926" s="152"/>
      <c r="G926" s="152"/>
      <c r="H926" s="153"/>
      <c r="I926" s="153"/>
      <c r="J926" s="153"/>
      <c r="K926" s="153"/>
      <c r="L926" s="153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</row>
    <row r="927" spans="1:27" ht="17.399999999999999">
      <c r="A927" s="156"/>
      <c r="B927" s="152"/>
      <c r="C927" s="152"/>
      <c r="D927" s="152"/>
      <c r="E927" s="152"/>
      <c r="F927" s="152"/>
      <c r="G927" s="152"/>
      <c r="H927" s="153"/>
      <c r="I927" s="153"/>
      <c r="J927" s="153"/>
      <c r="K927" s="153"/>
      <c r="L927" s="153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</row>
    <row r="928" spans="1:27" ht="17.399999999999999">
      <c r="A928" s="156"/>
      <c r="B928" s="152"/>
      <c r="C928" s="152"/>
      <c r="D928" s="152"/>
      <c r="E928" s="152"/>
      <c r="F928" s="152"/>
      <c r="G928" s="152"/>
      <c r="H928" s="153"/>
      <c r="I928" s="153"/>
      <c r="J928" s="153"/>
      <c r="K928" s="153"/>
      <c r="L928" s="153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</row>
    <row r="929" spans="1:27" ht="17.399999999999999">
      <c r="A929" s="156"/>
      <c r="B929" s="152"/>
      <c r="C929" s="152"/>
      <c r="D929" s="152"/>
      <c r="E929" s="152"/>
      <c r="F929" s="152"/>
      <c r="G929" s="152"/>
      <c r="H929" s="153"/>
      <c r="I929" s="153"/>
      <c r="J929" s="153"/>
      <c r="K929" s="153"/>
      <c r="L929" s="153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</row>
    <row r="930" spans="1:27" ht="17.399999999999999">
      <c r="A930" s="156"/>
      <c r="B930" s="152"/>
      <c r="C930" s="152"/>
      <c r="D930" s="152"/>
      <c r="E930" s="152"/>
      <c r="F930" s="152"/>
      <c r="G930" s="152"/>
      <c r="H930" s="153"/>
      <c r="I930" s="153"/>
      <c r="J930" s="153"/>
      <c r="K930" s="153"/>
      <c r="L930" s="153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</row>
    <row r="931" spans="1:27" ht="17.399999999999999">
      <c r="A931" s="156"/>
      <c r="B931" s="152"/>
      <c r="C931" s="152"/>
      <c r="D931" s="152"/>
      <c r="E931" s="152"/>
      <c r="F931" s="152"/>
      <c r="G931" s="152"/>
      <c r="H931" s="153"/>
      <c r="I931" s="153"/>
      <c r="J931" s="153"/>
      <c r="K931" s="153"/>
      <c r="L931" s="153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</row>
    <row r="932" spans="1:27" ht="17.399999999999999">
      <c r="A932" s="156"/>
      <c r="B932" s="152"/>
      <c r="C932" s="152"/>
      <c r="D932" s="152"/>
      <c r="E932" s="152"/>
      <c r="F932" s="152"/>
      <c r="G932" s="152"/>
      <c r="H932" s="153"/>
      <c r="I932" s="153"/>
      <c r="J932" s="153"/>
      <c r="K932" s="153"/>
      <c r="L932" s="153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</row>
    <row r="933" spans="1:27" ht="17.399999999999999">
      <c r="A933" s="156"/>
      <c r="B933" s="152"/>
      <c r="C933" s="152"/>
      <c r="D933" s="152"/>
      <c r="E933" s="152"/>
      <c r="F933" s="152"/>
      <c r="G933" s="152"/>
      <c r="H933" s="153"/>
      <c r="I933" s="153"/>
      <c r="J933" s="153"/>
      <c r="K933" s="153"/>
      <c r="L933" s="153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</row>
    <row r="934" spans="1:27" ht="17.399999999999999">
      <c r="A934" s="156"/>
      <c r="B934" s="152"/>
      <c r="C934" s="152"/>
      <c r="D934" s="152"/>
      <c r="E934" s="152"/>
      <c r="F934" s="152"/>
      <c r="G934" s="152"/>
      <c r="H934" s="153"/>
      <c r="I934" s="153"/>
      <c r="J934" s="153"/>
      <c r="K934" s="153"/>
      <c r="L934" s="153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</row>
    <row r="935" spans="1:27" ht="17.399999999999999">
      <c r="A935" s="156"/>
      <c r="B935" s="152"/>
      <c r="C935" s="152"/>
      <c r="D935" s="152"/>
      <c r="E935" s="152"/>
      <c r="F935" s="152"/>
      <c r="G935" s="152"/>
      <c r="H935" s="153"/>
      <c r="I935" s="153"/>
      <c r="J935" s="153"/>
      <c r="K935" s="153"/>
      <c r="L935" s="153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</row>
    <row r="936" spans="1:27" ht="17.399999999999999">
      <c r="A936" s="156"/>
      <c r="B936" s="152"/>
      <c r="C936" s="152"/>
      <c r="D936" s="152"/>
      <c r="E936" s="152"/>
      <c r="F936" s="152"/>
      <c r="G936" s="152"/>
      <c r="H936" s="153"/>
      <c r="I936" s="153"/>
      <c r="J936" s="153"/>
      <c r="K936" s="153"/>
      <c r="L936" s="153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</row>
    <row r="937" spans="1:27" ht="17.399999999999999">
      <c r="A937" s="156"/>
      <c r="B937" s="152"/>
      <c r="C937" s="152"/>
      <c r="D937" s="152"/>
      <c r="E937" s="152"/>
      <c r="F937" s="152"/>
      <c r="G937" s="152"/>
      <c r="H937" s="153"/>
      <c r="I937" s="153"/>
      <c r="J937" s="153"/>
      <c r="K937" s="153"/>
      <c r="L937" s="153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</row>
    <row r="938" spans="1:27" ht="17.399999999999999">
      <c r="A938" s="156"/>
      <c r="B938" s="152"/>
      <c r="C938" s="152"/>
      <c r="D938" s="152"/>
      <c r="E938" s="152"/>
      <c r="F938" s="152"/>
      <c r="G938" s="152"/>
      <c r="H938" s="153"/>
      <c r="I938" s="153"/>
      <c r="J938" s="153"/>
      <c r="K938" s="153"/>
      <c r="L938" s="153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</row>
    <row r="939" spans="1:27" ht="17.399999999999999">
      <c r="A939" s="156"/>
      <c r="B939" s="152"/>
      <c r="C939" s="152"/>
      <c r="D939" s="152"/>
      <c r="E939" s="152"/>
      <c r="F939" s="152"/>
      <c r="G939" s="152"/>
      <c r="H939" s="153"/>
      <c r="I939" s="153"/>
      <c r="J939" s="153"/>
      <c r="K939" s="153"/>
      <c r="L939" s="153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</row>
    <row r="940" spans="1:27" ht="17.399999999999999">
      <c r="A940" s="156"/>
      <c r="B940" s="152"/>
      <c r="C940" s="152"/>
      <c r="D940" s="152"/>
      <c r="E940" s="152"/>
      <c r="F940" s="152"/>
      <c r="G940" s="152"/>
      <c r="H940" s="153"/>
      <c r="I940" s="153"/>
      <c r="J940" s="153"/>
      <c r="K940" s="153"/>
      <c r="L940" s="153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</row>
    <row r="941" spans="1:27" ht="17.399999999999999">
      <c r="A941" s="156"/>
      <c r="B941" s="152"/>
      <c r="C941" s="152"/>
      <c r="D941" s="152"/>
      <c r="E941" s="152"/>
      <c r="F941" s="152"/>
      <c r="G941" s="152"/>
      <c r="H941" s="153"/>
      <c r="I941" s="153"/>
      <c r="J941" s="153"/>
      <c r="K941" s="153"/>
      <c r="L941" s="153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</row>
    <row r="942" spans="1:27" ht="17.399999999999999">
      <c r="A942" s="156"/>
      <c r="B942" s="152"/>
      <c r="C942" s="152"/>
      <c r="D942" s="152"/>
      <c r="E942" s="152"/>
      <c r="F942" s="152"/>
      <c r="G942" s="152"/>
      <c r="H942" s="153"/>
      <c r="I942" s="153"/>
      <c r="J942" s="153"/>
      <c r="K942" s="153"/>
      <c r="L942" s="153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</row>
    <row r="943" spans="1:27" ht="17.399999999999999">
      <c r="A943" s="156"/>
      <c r="B943" s="152"/>
      <c r="C943" s="152"/>
      <c r="D943" s="152"/>
      <c r="E943" s="152"/>
      <c r="F943" s="152"/>
      <c r="G943" s="152"/>
      <c r="H943" s="153"/>
      <c r="I943" s="153"/>
      <c r="J943" s="153"/>
      <c r="K943" s="153"/>
      <c r="L943" s="153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</row>
    <row r="944" spans="1:27" ht="17.399999999999999">
      <c r="A944" s="156"/>
      <c r="B944" s="152"/>
      <c r="C944" s="152"/>
      <c r="D944" s="152"/>
      <c r="E944" s="152"/>
      <c r="F944" s="152"/>
      <c r="G944" s="152"/>
      <c r="H944" s="153"/>
      <c r="I944" s="153"/>
      <c r="J944" s="153"/>
      <c r="K944" s="153"/>
      <c r="L944" s="153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</row>
    <row r="945" spans="1:27" ht="17.399999999999999">
      <c r="A945" s="156"/>
      <c r="B945" s="152"/>
      <c r="C945" s="152"/>
      <c r="D945" s="152"/>
      <c r="E945" s="152"/>
      <c r="F945" s="152"/>
      <c r="G945" s="152"/>
      <c r="H945" s="153"/>
      <c r="I945" s="153"/>
      <c r="J945" s="153"/>
      <c r="K945" s="153"/>
      <c r="L945" s="153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</row>
    <row r="946" spans="1:27" ht="17.399999999999999">
      <c r="A946" s="156"/>
      <c r="B946" s="152"/>
      <c r="C946" s="152"/>
      <c r="D946" s="152"/>
      <c r="E946" s="152"/>
      <c r="F946" s="152"/>
      <c r="G946" s="152"/>
      <c r="H946" s="153"/>
      <c r="I946" s="153"/>
      <c r="J946" s="153"/>
      <c r="K946" s="153"/>
      <c r="L946" s="153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</row>
    <row r="947" spans="1:27" ht="17.399999999999999">
      <c r="A947" s="156"/>
      <c r="B947" s="152"/>
      <c r="C947" s="152"/>
      <c r="D947" s="152"/>
      <c r="E947" s="152"/>
      <c r="F947" s="152"/>
      <c r="G947" s="152"/>
      <c r="H947" s="153"/>
      <c r="I947" s="153"/>
      <c r="J947" s="153"/>
      <c r="K947" s="153"/>
      <c r="L947" s="153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</row>
    <row r="948" spans="1:27" ht="17.399999999999999">
      <c r="A948" s="156"/>
      <c r="B948" s="152"/>
      <c r="C948" s="152"/>
      <c r="D948" s="152"/>
      <c r="E948" s="152"/>
      <c r="F948" s="152"/>
      <c r="G948" s="152"/>
      <c r="H948" s="153"/>
      <c r="I948" s="153"/>
      <c r="J948" s="153"/>
      <c r="K948" s="153"/>
      <c r="L948" s="153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</row>
    <row r="949" spans="1:27" ht="17.399999999999999">
      <c r="A949" s="156"/>
      <c r="B949" s="152"/>
      <c r="C949" s="152"/>
      <c r="D949" s="152"/>
      <c r="E949" s="152"/>
      <c r="F949" s="152"/>
      <c r="G949" s="152"/>
      <c r="H949" s="153"/>
      <c r="I949" s="153"/>
      <c r="J949" s="153"/>
      <c r="K949" s="153"/>
      <c r="L949" s="153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</row>
    <row r="950" spans="1:27" ht="17.399999999999999">
      <c r="A950" s="156"/>
      <c r="B950" s="152"/>
      <c r="C950" s="152"/>
      <c r="D950" s="152"/>
      <c r="E950" s="152"/>
      <c r="F950" s="152"/>
      <c r="G950" s="152"/>
      <c r="H950" s="153"/>
      <c r="I950" s="153"/>
      <c r="J950" s="153"/>
      <c r="K950" s="153"/>
      <c r="L950" s="153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</row>
    <row r="951" spans="1:27" ht="17.399999999999999">
      <c r="A951" s="156"/>
      <c r="B951" s="152"/>
      <c r="C951" s="152"/>
      <c r="D951" s="152"/>
      <c r="E951" s="152"/>
      <c r="F951" s="152"/>
      <c r="G951" s="152"/>
      <c r="H951" s="153"/>
      <c r="I951" s="153"/>
      <c r="J951" s="153"/>
      <c r="K951" s="153"/>
      <c r="L951" s="153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</row>
    <row r="952" spans="1:27" ht="17.399999999999999">
      <c r="A952" s="156"/>
      <c r="B952" s="152"/>
      <c r="C952" s="152"/>
      <c r="D952" s="152"/>
      <c r="E952" s="152"/>
      <c r="F952" s="152"/>
      <c r="G952" s="152"/>
      <c r="H952" s="153"/>
      <c r="I952" s="153"/>
      <c r="J952" s="153"/>
      <c r="K952" s="153"/>
      <c r="L952" s="153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</row>
    <row r="953" spans="1:27" ht="17.399999999999999">
      <c r="A953" s="156"/>
      <c r="B953" s="152"/>
      <c r="C953" s="152"/>
      <c r="D953" s="152"/>
      <c r="E953" s="152"/>
      <c r="F953" s="152"/>
      <c r="G953" s="152"/>
      <c r="H953" s="153"/>
      <c r="I953" s="153"/>
      <c r="J953" s="153"/>
      <c r="K953" s="153"/>
      <c r="L953" s="153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</row>
    <row r="954" spans="1:27" ht="17.399999999999999">
      <c r="A954" s="156"/>
      <c r="B954" s="152"/>
      <c r="C954" s="152"/>
      <c r="D954" s="152"/>
      <c r="E954" s="152"/>
      <c r="F954" s="152"/>
      <c r="G954" s="152"/>
      <c r="H954" s="153"/>
      <c r="I954" s="153"/>
      <c r="J954" s="153"/>
      <c r="K954" s="153"/>
      <c r="L954" s="153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</row>
    <row r="955" spans="1:27" ht="17.399999999999999">
      <c r="A955" s="156"/>
      <c r="B955" s="152"/>
      <c r="C955" s="152"/>
      <c r="D955" s="152"/>
      <c r="E955" s="152"/>
      <c r="F955" s="152"/>
      <c r="G955" s="152"/>
      <c r="H955" s="153"/>
      <c r="I955" s="153"/>
      <c r="J955" s="153"/>
      <c r="K955" s="153"/>
      <c r="L955" s="153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</row>
    <row r="956" spans="1:27" ht="17.399999999999999">
      <c r="A956" s="156"/>
      <c r="B956" s="152"/>
      <c r="C956" s="152"/>
      <c r="D956" s="152"/>
      <c r="E956" s="152"/>
      <c r="F956" s="152"/>
      <c r="G956" s="152"/>
      <c r="H956" s="153"/>
      <c r="I956" s="153"/>
      <c r="J956" s="153"/>
      <c r="K956" s="153"/>
      <c r="L956" s="153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</row>
    <row r="957" spans="1:27" ht="17.399999999999999">
      <c r="A957" s="156"/>
      <c r="B957" s="152"/>
      <c r="C957" s="152"/>
      <c r="D957" s="152"/>
      <c r="E957" s="152"/>
      <c r="F957" s="152"/>
      <c r="G957" s="152"/>
      <c r="H957" s="153"/>
      <c r="I957" s="153"/>
      <c r="J957" s="153"/>
      <c r="K957" s="153"/>
      <c r="L957" s="153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</row>
    <row r="958" spans="1:27" ht="17.399999999999999">
      <c r="A958" s="156"/>
      <c r="B958" s="152"/>
      <c r="C958" s="152"/>
      <c r="D958" s="152"/>
      <c r="E958" s="152"/>
      <c r="F958" s="152"/>
      <c r="G958" s="152"/>
      <c r="H958" s="153"/>
      <c r="I958" s="153"/>
      <c r="J958" s="153"/>
      <c r="K958" s="153"/>
      <c r="L958" s="153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</row>
    <row r="959" spans="1:27" ht="17.399999999999999">
      <c r="A959" s="156"/>
      <c r="B959" s="152"/>
      <c r="C959" s="152"/>
      <c r="D959" s="152"/>
      <c r="E959" s="152"/>
      <c r="F959" s="152"/>
      <c r="G959" s="152"/>
      <c r="H959" s="153"/>
      <c r="I959" s="153"/>
      <c r="J959" s="153"/>
      <c r="K959" s="153"/>
      <c r="L959" s="153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</row>
    <row r="960" spans="1:27" ht="17.399999999999999">
      <c r="A960" s="156"/>
      <c r="B960" s="152"/>
      <c r="C960" s="152"/>
      <c r="D960" s="152"/>
      <c r="E960" s="152"/>
      <c r="F960" s="152"/>
      <c r="G960" s="152"/>
      <c r="H960" s="153"/>
      <c r="I960" s="153"/>
      <c r="J960" s="153"/>
      <c r="K960" s="153"/>
      <c r="L960" s="153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</row>
    <row r="961" spans="1:27" ht="17.399999999999999">
      <c r="A961" s="156"/>
      <c r="B961" s="152"/>
      <c r="C961" s="152"/>
      <c r="D961" s="152"/>
      <c r="E961" s="152"/>
      <c r="F961" s="152"/>
      <c r="G961" s="152"/>
      <c r="H961" s="153"/>
      <c r="I961" s="153"/>
      <c r="J961" s="153"/>
      <c r="K961" s="153"/>
      <c r="L961" s="153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</row>
    <row r="962" spans="1:27" ht="17.399999999999999">
      <c r="A962" s="156"/>
      <c r="B962" s="152"/>
      <c r="C962" s="152"/>
      <c r="D962" s="152"/>
      <c r="E962" s="152"/>
      <c r="F962" s="152"/>
      <c r="G962" s="152"/>
      <c r="H962" s="153"/>
      <c r="I962" s="153"/>
      <c r="J962" s="153"/>
      <c r="K962" s="153"/>
      <c r="L962" s="153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</row>
    <row r="963" spans="1:27" ht="17.399999999999999">
      <c r="A963" s="156"/>
      <c r="B963" s="152"/>
      <c r="C963" s="152"/>
      <c r="D963" s="152"/>
      <c r="E963" s="152"/>
      <c r="F963" s="152"/>
      <c r="G963" s="152"/>
      <c r="H963" s="153"/>
      <c r="I963" s="153"/>
      <c r="J963" s="153"/>
      <c r="K963" s="153"/>
      <c r="L963" s="153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</row>
    <row r="964" spans="1:27" ht="17.399999999999999">
      <c r="A964" s="156"/>
      <c r="B964" s="152"/>
      <c r="C964" s="152"/>
      <c r="D964" s="152"/>
      <c r="E964" s="152"/>
      <c r="F964" s="152"/>
      <c r="G964" s="152"/>
      <c r="H964" s="153"/>
      <c r="I964" s="153"/>
      <c r="J964" s="153"/>
      <c r="K964" s="153"/>
      <c r="L964" s="153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</row>
    <row r="965" spans="1:27" ht="17.399999999999999">
      <c r="A965" s="156"/>
      <c r="B965" s="152"/>
      <c r="C965" s="152"/>
      <c r="D965" s="152"/>
      <c r="E965" s="152"/>
      <c r="F965" s="152"/>
      <c r="G965" s="152"/>
      <c r="H965" s="153"/>
      <c r="I965" s="153"/>
      <c r="J965" s="153"/>
      <c r="K965" s="153"/>
      <c r="L965" s="153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</row>
    <row r="966" spans="1:27" ht="17.399999999999999">
      <c r="A966" s="156"/>
      <c r="B966" s="152"/>
      <c r="C966" s="152"/>
      <c r="D966" s="152"/>
      <c r="E966" s="152"/>
      <c r="F966" s="152"/>
      <c r="G966" s="152"/>
      <c r="H966" s="153"/>
      <c r="I966" s="153"/>
      <c r="J966" s="153"/>
      <c r="K966" s="153"/>
      <c r="L966" s="153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</row>
    <row r="967" spans="1:27" ht="17.399999999999999">
      <c r="A967" s="156"/>
      <c r="B967" s="152"/>
      <c r="C967" s="152"/>
      <c r="D967" s="152"/>
      <c r="E967" s="152"/>
      <c r="F967" s="152"/>
      <c r="G967" s="152"/>
      <c r="H967" s="153"/>
      <c r="I967" s="153"/>
      <c r="J967" s="153"/>
      <c r="K967" s="153"/>
      <c r="L967" s="153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</row>
    <row r="968" spans="1:27" ht="17.399999999999999">
      <c r="A968" s="156"/>
      <c r="B968" s="152"/>
      <c r="C968" s="152"/>
      <c r="D968" s="152"/>
      <c r="E968" s="152"/>
      <c r="F968" s="152"/>
      <c r="G968" s="152"/>
      <c r="H968" s="153"/>
      <c r="I968" s="153"/>
      <c r="J968" s="153"/>
      <c r="K968" s="153"/>
      <c r="L968" s="153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</row>
    <row r="969" spans="1:27" ht="17.399999999999999">
      <c r="A969" s="156"/>
      <c r="B969" s="152"/>
      <c r="C969" s="152"/>
      <c r="D969" s="152"/>
      <c r="E969" s="152"/>
      <c r="F969" s="152"/>
      <c r="G969" s="152"/>
      <c r="H969" s="153"/>
      <c r="I969" s="153"/>
      <c r="J969" s="153"/>
      <c r="K969" s="153"/>
      <c r="L969" s="153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</row>
    <row r="970" spans="1:27" ht="17.399999999999999">
      <c r="A970" s="156"/>
      <c r="B970" s="152"/>
      <c r="C970" s="152"/>
      <c r="D970" s="152"/>
      <c r="E970" s="152"/>
      <c r="F970" s="152"/>
      <c r="G970" s="152"/>
      <c r="H970" s="153"/>
      <c r="I970" s="153"/>
      <c r="J970" s="153"/>
      <c r="K970" s="153"/>
      <c r="L970" s="153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</row>
    <row r="971" spans="1:27" ht="17.399999999999999">
      <c r="A971" s="156"/>
      <c r="B971" s="152"/>
      <c r="C971" s="152"/>
      <c r="D971" s="152"/>
      <c r="E971" s="152"/>
      <c r="F971" s="152"/>
      <c r="G971" s="152"/>
      <c r="H971" s="153"/>
      <c r="I971" s="153"/>
      <c r="J971" s="153"/>
      <c r="K971" s="153"/>
      <c r="L971" s="153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</row>
    <row r="972" spans="1:27" ht="17.399999999999999">
      <c r="A972" s="156"/>
      <c r="B972" s="152"/>
      <c r="C972" s="152"/>
      <c r="D972" s="152"/>
      <c r="E972" s="152"/>
      <c r="F972" s="152"/>
      <c r="G972" s="152"/>
      <c r="H972" s="153"/>
      <c r="I972" s="153"/>
      <c r="J972" s="153"/>
      <c r="K972" s="153"/>
      <c r="L972" s="153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</row>
    <row r="973" spans="1:27" ht="17.399999999999999">
      <c r="A973" s="156"/>
      <c r="B973" s="152"/>
      <c r="C973" s="152"/>
      <c r="D973" s="152"/>
      <c r="E973" s="152"/>
      <c r="F973" s="152"/>
      <c r="G973" s="152"/>
      <c r="H973" s="153"/>
      <c r="I973" s="153"/>
      <c r="J973" s="153"/>
      <c r="K973" s="153"/>
      <c r="L973" s="153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</row>
    <row r="974" spans="1:27" ht="17.399999999999999">
      <c r="A974" s="156"/>
      <c r="B974" s="152"/>
      <c r="C974" s="152"/>
      <c r="D974" s="152"/>
      <c r="E974" s="152"/>
      <c r="F974" s="152"/>
      <c r="G974" s="152"/>
      <c r="H974" s="153"/>
      <c r="I974" s="153"/>
      <c r="J974" s="153"/>
      <c r="K974" s="153"/>
      <c r="L974" s="153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</row>
    <row r="975" spans="1:27" ht="17.399999999999999">
      <c r="A975" s="156"/>
      <c r="B975" s="152"/>
      <c r="C975" s="152"/>
      <c r="D975" s="152"/>
      <c r="E975" s="152"/>
      <c r="F975" s="152"/>
      <c r="G975" s="152"/>
      <c r="H975" s="153"/>
      <c r="I975" s="153"/>
      <c r="J975" s="153"/>
      <c r="K975" s="153"/>
      <c r="L975" s="153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</row>
    <row r="976" spans="1:27" ht="17.399999999999999">
      <c r="A976" s="156"/>
      <c r="B976" s="152"/>
      <c r="C976" s="152"/>
      <c r="D976" s="152"/>
      <c r="E976" s="152"/>
      <c r="F976" s="152"/>
      <c r="G976" s="152"/>
      <c r="H976" s="153"/>
      <c r="I976" s="153"/>
      <c r="J976" s="153"/>
      <c r="K976" s="153"/>
      <c r="L976" s="153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</row>
    <row r="977" spans="1:27" ht="17.399999999999999">
      <c r="A977" s="156"/>
      <c r="B977" s="152"/>
      <c r="C977" s="152"/>
      <c r="D977" s="152"/>
      <c r="E977" s="152"/>
      <c r="F977" s="152"/>
      <c r="G977" s="152"/>
      <c r="H977" s="153"/>
      <c r="I977" s="153"/>
      <c r="J977" s="153"/>
      <c r="K977" s="153"/>
      <c r="L977" s="153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</row>
    <row r="978" spans="1:27" ht="17.399999999999999">
      <c r="A978" s="156"/>
      <c r="B978" s="152"/>
      <c r="C978" s="152"/>
      <c r="D978" s="152"/>
      <c r="E978" s="152"/>
      <c r="F978" s="152"/>
      <c r="G978" s="152"/>
      <c r="H978" s="153"/>
      <c r="I978" s="153"/>
      <c r="J978" s="153"/>
      <c r="K978" s="153"/>
      <c r="L978" s="153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</row>
    <row r="979" spans="1:27" ht="17.399999999999999">
      <c r="A979" s="156"/>
      <c r="B979" s="152"/>
      <c r="C979" s="152"/>
      <c r="D979" s="152"/>
      <c r="E979" s="152"/>
      <c r="F979" s="152"/>
      <c r="G979" s="152"/>
      <c r="H979" s="153"/>
      <c r="I979" s="153"/>
      <c r="J979" s="153"/>
      <c r="K979" s="153"/>
      <c r="L979" s="153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</row>
    <row r="980" spans="1:27" ht="17.399999999999999">
      <c r="A980" s="156"/>
      <c r="B980" s="152"/>
      <c r="C980" s="152"/>
      <c r="D980" s="152"/>
      <c r="E980" s="152"/>
      <c r="F980" s="152"/>
      <c r="G980" s="152"/>
      <c r="H980" s="153"/>
      <c r="I980" s="153"/>
      <c r="J980" s="153"/>
      <c r="K980" s="153"/>
      <c r="L980" s="153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</row>
    <row r="981" spans="1:27" ht="17.399999999999999">
      <c r="A981" s="156"/>
      <c r="B981" s="152"/>
      <c r="C981" s="152"/>
      <c r="D981" s="152"/>
      <c r="E981" s="152"/>
      <c r="F981" s="152"/>
      <c r="G981" s="152"/>
      <c r="H981" s="153"/>
      <c r="I981" s="153"/>
      <c r="J981" s="153"/>
      <c r="K981" s="153"/>
      <c r="L981" s="153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</row>
    <row r="982" spans="1:27" ht="17.399999999999999">
      <c r="A982" s="156"/>
      <c r="B982" s="152"/>
      <c r="C982" s="152"/>
      <c r="D982" s="152"/>
      <c r="E982" s="152"/>
      <c r="F982" s="152"/>
      <c r="G982" s="152"/>
      <c r="H982" s="153"/>
      <c r="I982" s="153"/>
      <c r="J982" s="153"/>
      <c r="K982" s="153"/>
      <c r="L982" s="153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</row>
    <row r="983" spans="1:27" ht="17.399999999999999">
      <c r="A983" s="156"/>
      <c r="B983" s="152"/>
      <c r="C983" s="152"/>
      <c r="D983" s="152"/>
      <c r="E983" s="152"/>
      <c r="F983" s="152"/>
      <c r="G983" s="152"/>
      <c r="H983" s="153"/>
      <c r="I983" s="153"/>
      <c r="J983" s="153"/>
      <c r="K983" s="153"/>
      <c r="L983" s="153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</row>
    <row r="984" spans="1:27" ht="17.399999999999999">
      <c r="A984" s="156"/>
      <c r="B984" s="152"/>
      <c r="C984" s="152"/>
      <c r="D984" s="152"/>
      <c r="E984" s="152"/>
      <c r="F984" s="152"/>
      <c r="G984" s="152"/>
      <c r="H984" s="153"/>
      <c r="I984" s="153"/>
      <c r="J984" s="153"/>
      <c r="K984" s="153"/>
      <c r="L984" s="153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</row>
    <row r="985" spans="1:27" ht="17.399999999999999">
      <c r="A985" s="156"/>
      <c r="B985" s="152"/>
      <c r="C985" s="152"/>
      <c r="D985" s="152"/>
      <c r="E985" s="152"/>
      <c r="F985" s="152"/>
      <c r="G985" s="152"/>
      <c r="H985" s="153"/>
      <c r="I985" s="153"/>
      <c r="J985" s="153"/>
      <c r="K985" s="153"/>
      <c r="L985" s="153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</row>
    <row r="986" spans="1:27" ht="17.399999999999999">
      <c r="A986" s="156"/>
      <c r="B986" s="152"/>
      <c r="C986" s="152"/>
      <c r="D986" s="152"/>
      <c r="E986" s="152"/>
      <c r="F986" s="152"/>
      <c r="G986" s="152"/>
      <c r="H986" s="153"/>
      <c r="I986" s="153"/>
      <c r="J986" s="153"/>
      <c r="K986" s="153"/>
      <c r="L986" s="153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</row>
    <row r="987" spans="1:27" ht="17.399999999999999">
      <c r="A987" s="156"/>
      <c r="B987" s="152"/>
      <c r="C987" s="152"/>
      <c r="D987" s="152"/>
      <c r="E987" s="152"/>
      <c r="F987" s="152"/>
      <c r="G987" s="152"/>
      <c r="H987" s="153"/>
      <c r="I987" s="153"/>
      <c r="J987" s="153"/>
      <c r="K987" s="153"/>
      <c r="L987" s="153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</row>
    <row r="988" spans="1:27" ht="17.399999999999999">
      <c r="A988" s="156"/>
      <c r="B988" s="152"/>
      <c r="C988" s="152"/>
      <c r="D988" s="152"/>
      <c r="E988" s="152"/>
      <c r="F988" s="152"/>
      <c r="G988" s="152"/>
      <c r="H988" s="153"/>
      <c r="I988" s="153"/>
      <c r="J988" s="153"/>
      <c r="K988" s="153"/>
      <c r="L988" s="153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</row>
    <row r="989" spans="1:27" ht="17.399999999999999">
      <c r="A989" s="156"/>
      <c r="B989" s="152"/>
      <c r="C989" s="152"/>
      <c r="D989" s="152"/>
      <c r="E989" s="152"/>
      <c r="F989" s="152"/>
      <c r="G989" s="152"/>
      <c r="H989" s="153"/>
      <c r="I989" s="153"/>
      <c r="J989" s="153"/>
      <c r="K989" s="153"/>
      <c r="L989" s="153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</row>
    <row r="990" spans="1:27" ht="17.399999999999999">
      <c r="A990" s="156"/>
      <c r="B990" s="152"/>
      <c r="C990" s="152"/>
      <c r="D990" s="152"/>
      <c r="E990" s="152"/>
      <c r="F990" s="152"/>
      <c r="G990" s="152"/>
      <c r="H990" s="153"/>
      <c r="I990" s="153"/>
      <c r="J990" s="153"/>
      <c r="K990" s="153"/>
      <c r="L990" s="153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</row>
    <row r="991" spans="1:27" ht="17.399999999999999">
      <c r="A991" s="156"/>
      <c r="B991" s="152"/>
      <c r="C991" s="152"/>
      <c r="D991" s="152"/>
      <c r="E991" s="152"/>
      <c r="F991" s="152"/>
      <c r="G991" s="152"/>
      <c r="H991" s="153"/>
      <c r="I991" s="153"/>
      <c r="J991" s="153"/>
      <c r="K991" s="153"/>
      <c r="L991" s="153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</row>
    <row r="992" spans="1:27" ht="17.399999999999999">
      <c r="A992" s="156"/>
      <c r="B992" s="152"/>
      <c r="C992" s="152"/>
      <c r="D992" s="152"/>
      <c r="E992" s="152"/>
      <c r="F992" s="152"/>
      <c r="G992" s="152"/>
      <c r="H992" s="153"/>
      <c r="I992" s="153"/>
      <c r="J992" s="153"/>
      <c r="K992" s="153"/>
      <c r="L992" s="153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</row>
    <row r="993" spans="1:27" ht="17.399999999999999">
      <c r="A993" s="156"/>
      <c r="B993" s="152"/>
      <c r="C993" s="152"/>
      <c r="D993" s="152"/>
      <c r="E993" s="152"/>
      <c r="F993" s="152"/>
      <c r="G993" s="152"/>
      <c r="H993" s="153"/>
      <c r="I993" s="153"/>
      <c r="J993" s="153"/>
      <c r="K993" s="153"/>
      <c r="L993" s="153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</row>
    <row r="994" spans="1:27" ht="17.399999999999999">
      <c r="A994" s="156"/>
      <c r="B994" s="152"/>
      <c r="C994" s="152"/>
      <c r="D994" s="152"/>
      <c r="E994" s="152"/>
      <c r="F994" s="152"/>
      <c r="G994" s="152"/>
      <c r="H994" s="153"/>
      <c r="I994" s="153"/>
      <c r="J994" s="153"/>
      <c r="K994" s="153"/>
      <c r="L994" s="153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</row>
    <row r="995" spans="1:27" ht="17.399999999999999">
      <c r="A995" s="156"/>
      <c r="B995" s="152"/>
      <c r="C995" s="152"/>
      <c r="D995" s="152"/>
      <c r="E995" s="152"/>
      <c r="F995" s="152"/>
      <c r="G995" s="152"/>
      <c r="H995" s="153"/>
      <c r="I995" s="153"/>
      <c r="J995" s="153"/>
      <c r="K995" s="153"/>
      <c r="L995" s="153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</row>
    <row r="996" spans="1:27" ht="17.399999999999999">
      <c r="A996" s="156"/>
      <c r="B996" s="152"/>
      <c r="C996" s="152"/>
      <c r="D996" s="152"/>
      <c r="E996" s="152"/>
      <c r="F996" s="152"/>
      <c r="G996" s="152"/>
      <c r="H996" s="153"/>
      <c r="I996" s="153"/>
      <c r="J996" s="153"/>
      <c r="K996" s="153"/>
      <c r="L996" s="153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</row>
    <row r="997" spans="1:27" ht="17.399999999999999">
      <c r="A997" s="156"/>
      <c r="B997" s="152"/>
      <c r="C997" s="152"/>
      <c r="D997" s="152"/>
      <c r="E997" s="152"/>
      <c r="F997" s="152"/>
      <c r="G997" s="152"/>
      <c r="H997" s="153"/>
      <c r="I997" s="153"/>
      <c r="J997" s="153"/>
      <c r="K997" s="153"/>
      <c r="L997" s="153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</row>
    <row r="998" spans="1:27" ht="17.399999999999999">
      <c r="A998" s="156"/>
      <c r="B998" s="152"/>
      <c r="C998" s="152"/>
      <c r="D998" s="152"/>
      <c r="E998" s="152"/>
      <c r="F998" s="152"/>
      <c r="G998" s="152"/>
      <c r="H998" s="153"/>
      <c r="I998" s="153"/>
      <c r="J998" s="153"/>
      <c r="K998" s="153"/>
      <c r="L998" s="153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</row>
    <row r="999" spans="1:27" ht="17.399999999999999">
      <c r="A999" s="156"/>
      <c r="B999" s="152"/>
      <c r="C999" s="152"/>
      <c r="D999" s="152"/>
      <c r="E999" s="152"/>
      <c r="F999" s="152"/>
      <c r="G999" s="152"/>
      <c r="H999" s="153"/>
      <c r="I999" s="153"/>
      <c r="J999" s="153"/>
      <c r="K999" s="153"/>
      <c r="L999" s="153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</row>
    <row r="1000" spans="1:27" ht="17.399999999999999">
      <c r="A1000" s="156"/>
      <c r="B1000" s="152"/>
      <c r="C1000" s="152"/>
      <c r="D1000" s="152"/>
      <c r="E1000" s="152"/>
      <c r="F1000" s="152"/>
      <c r="G1000" s="152"/>
      <c r="H1000" s="153"/>
      <c r="I1000" s="153"/>
      <c r="J1000" s="153"/>
      <c r="K1000" s="153"/>
      <c r="L1000" s="153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</row>
    <row r="1001" spans="1:27" ht="17.399999999999999">
      <c r="A1001" s="156"/>
      <c r="B1001" s="152"/>
      <c r="C1001" s="152"/>
      <c r="D1001" s="152"/>
      <c r="E1001" s="152"/>
      <c r="F1001" s="152"/>
      <c r="G1001" s="152"/>
      <c r="H1001" s="153"/>
      <c r="I1001" s="153"/>
      <c r="J1001" s="153"/>
      <c r="K1001" s="153"/>
      <c r="L1001" s="153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</row>
    <row r="1002" spans="1:27" ht="17.399999999999999">
      <c r="A1002" s="156"/>
      <c r="B1002" s="152"/>
      <c r="C1002" s="152"/>
      <c r="D1002" s="152"/>
      <c r="E1002" s="152"/>
      <c r="F1002" s="152"/>
      <c r="G1002" s="152"/>
      <c r="H1002" s="153"/>
      <c r="I1002" s="153"/>
      <c r="J1002" s="153"/>
      <c r="K1002" s="153"/>
      <c r="L1002" s="153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</row>
    <row r="1003" spans="1:27" ht="17.399999999999999">
      <c r="A1003" s="156"/>
      <c r="B1003" s="152"/>
      <c r="C1003" s="152"/>
      <c r="D1003" s="152"/>
      <c r="E1003" s="152"/>
      <c r="F1003" s="152"/>
      <c r="G1003" s="152"/>
      <c r="H1003" s="153"/>
      <c r="I1003" s="153"/>
      <c r="J1003" s="153"/>
      <c r="K1003" s="153"/>
      <c r="L1003" s="153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</row>
    <row r="1004" spans="1:27" ht="17.399999999999999">
      <c r="A1004" s="156"/>
      <c r="B1004" s="152"/>
      <c r="C1004" s="152"/>
      <c r="D1004" s="152"/>
      <c r="E1004" s="152"/>
      <c r="F1004" s="152"/>
      <c r="G1004" s="152"/>
      <c r="H1004" s="153"/>
      <c r="I1004" s="153"/>
      <c r="J1004" s="153"/>
      <c r="K1004" s="153"/>
      <c r="L1004" s="153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</row>
    <row r="1005" spans="1:27" ht="17.399999999999999">
      <c r="A1005" s="156"/>
      <c r="B1005" s="152"/>
      <c r="C1005" s="152"/>
      <c r="D1005" s="152"/>
      <c r="E1005" s="152"/>
      <c r="F1005" s="152"/>
      <c r="G1005" s="152"/>
      <c r="H1005" s="153"/>
      <c r="I1005" s="153"/>
      <c r="J1005" s="153"/>
      <c r="K1005" s="153"/>
      <c r="L1005" s="153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</row>
    <row r="1006" spans="1:27" ht="17.399999999999999">
      <c r="A1006" s="156"/>
      <c r="B1006" s="152"/>
      <c r="C1006" s="152"/>
      <c r="D1006" s="152"/>
      <c r="E1006" s="152"/>
      <c r="F1006" s="152"/>
      <c r="G1006" s="152"/>
      <c r="H1006" s="153"/>
      <c r="I1006" s="153"/>
      <c r="J1006" s="153"/>
      <c r="K1006" s="153"/>
      <c r="L1006" s="153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</row>
    <row r="1007" spans="1:27" ht="17.399999999999999">
      <c r="A1007" s="156"/>
      <c r="B1007" s="152"/>
      <c r="C1007" s="152"/>
      <c r="D1007" s="152"/>
      <c r="E1007" s="152"/>
      <c r="F1007" s="152"/>
      <c r="G1007" s="152"/>
      <c r="H1007" s="153"/>
      <c r="I1007" s="153"/>
      <c r="J1007" s="153"/>
      <c r="K1007" s="153"/>
      <c r="L1007" s="153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</row>
    <row r="1008" spans="1:27" ht="17.399999999999999">
      <c r="A1008" s="156"/>
      <c r="B1008" s="152"/>
      <c r="C1008" s="152"/>
      <c r="D1008" s="152"/>
      <c r="E1008" s="152"/>
      <c r="F1008" s="152"/>
      <c r="G1008" s="152"/>
      <c r="H1008" s="153"/>
      <c r="I1008" s="153"/>
      <c r="J1008" s="153"/>
      <c r="K1008" s="153"/>
      <c r="L1008" s="153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</row>
    <row r="1009" spans="1:27" ht="17.399999999999999">
      <c r="A1009" s="156"/>
      <c r="B1009" s="152"/>
      <c r="C1009" s="152"/>
      <c r="D1009" s="152"/>
      <c r="E1009" s="152"/>
      <c r="F1009" s="152"/>
      <c r="G1009" s="152"/>
      <c r="H1009" s="153"/>
      <c r="I1009" s="153"/>
      <c r="J1009" s="153"/>
      <c r="K1009" s="153"/>
      <c r="L1009" s="153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</row>
    <row r="1010" spans="1:27" ht="17.399999999999999">
      <c r="A1010" s="156"/>
      <c r="B1010" s="152"/>
      <c r="C1010" s="152"/>
      <c r="D1010" s="152"/>
      <c r="E1010" s="152"/>
      <c r="F1010" s="152"/>
      <c r="G1010" s="152"/>
      <c r="H1010" s="153"/>
      <c r="I1010" s="153"/>
      <c r="J1010" s="153"/>
      <c r="K1010" s="153"/>
      <c r="L1010" s="153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</row>
    <row r="1011" spans="1:27" ht="17.399999999999999">
      <c r="A1011" s="156"/>
      <c r="B1011" s="152"/>
      <c r="C1011" s="152"/>
      <c r="D1011" s="152"/>
      <c r="E1011" s="152"/>
      <c r="F1011" s="152"/>
      <c r="G1011" s="152"/>
      <c r="H1011" s="153"/>
      <c r="I1011" s="153"/>
      <c r="J1011" s="153"/>
      <c r="K1011" s="153"/>
      <c r="L1011" s="153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</row>
    <row r="1012" spans="1:27" ht="17.399999999999999">
      <c r="A1012" s="156"/>
      <c r="B1012" s="152"/>
      <c r="C1012" s="152"/>
      <c r="D1012" s="152"/>
      <c r="E1012" s="152"/>
      <c r="F1012" s="152"/>
      <c r="G1012" s="152"/>
      <c r="H1012" s="153"/>
      <c r="I1012" s="153"/>
      <c r="J1012" s="153"/>
      <c r="K1012" s="153"/>
      <c r="L1012" s="153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</row>
    <row r="1013" spans="1:27" ht="17.399999999999999">
      <c r="A1013" s="156"/>
      <c r="B1013" s="152"/>
      <c r="C1013" s="152"/>
      <c r="D1013" s="152"/>
      <c r="E1013" s="152"/>
      <c r="F1013" s="152"/>
      <c r="G1013" s="152"/>
      <c r="H1013" s="153"/>
      <c r="I1013" s="153"/>
      <c r="J1013" s="153"/>
      <c r="K1013" s="153"/>
      <c r="L1013" s="153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</row>
    <row r="1014" spans="1:27" ht="17.399999999999999">
      <c r="A1014" s="156"/>
      <c r="B1014" s="152"/>
      <c r="C1014" s="152"/>
      <c r="D1014" s="152"/>
      <c r="E1014" s="152"/>
      <c r="F1014" s="152"/>
      <c r="G1014" s="152"/>
      <c r="H1014" s="153"/>
      <c r="I1014" s="153"/>
      <c r="J1014" s="153"/>
      <c r="K1014" s="153"/>
      <c r="L1014" s="153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</row>
    <row r="1015" spans="1:27" ht="17.399999999999999">
      <c r="A1015" s="156"/>
      <c r="B1015" s="152"/>
      <c r="C1015" s="152"/>
      <c r="D1015" s="152"/>
      <c r="E1015" s="152"/>
      <c r="F1015" s="152"/>
      <c r="G1015" s="152"/>
      <c r="H1015" s="153"/>
      <c r="I1015" s="153"/>
      <c r="J1015" s="153"/>
      <c r="K1015" s="153"/>
      <c r="L1015" s="153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</row>
    <row r="1016" spans="1:27" ht="17.399999999999999">
      <c r="A1016" s="156"/>
      <c r="B1016" s="152"/>
      <c r="C1016" s="152"/>
      <c r="D1016" s="152"/>
      <c r="E1016" s="152"/>
      <c r="F1016" s="152"/>
      <c r="G1016" s="152"/>
      <c r="H1016" s="153"/>
      <c r="I1016" s="153"/>
      <c r="J1016" s="153"/>
      <c r="K1016" s="153"/>
      <c r="L1016" s="153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</row>
    <row r="1017" spans="1:27" ht="17.399999999999999">
      <c r="A1017" s="156"/>
      <c r="B1017" s="152"/>
      <c r="C1017" s="152"/>
      <c r="D1017" s="152"/>
      <c r="E1017" s="152"/>
      <c r="F1017" s="152"/>
      <c r="G1017" s="152"/>
      <c r="H1017" s="153"/>
      <c r="I1017" s="153"/>
      <c r="J1017" s="153"/>
      <c r="K1017" s="153"/>
      <c r="L1017" s="153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</row>
    <row r="1018" spans="1:27" ht="17.399999999999999">
      <c r="A1018" s="156"/>
      <c r="B1018" s="152"/>
      <c r="C1018" s="152"/>
      <c r="D1018" s="152"/>
      <c r="E1018" s="152"/>
      <c r="F1018" s="152"/>
      <c r="G1018" s="152"/>
      <c r="H1018" s="153"/>
      <c r="I1018" s="153"/>
      <c r="J1018" s="153"/>
      <c r="K1018" s="153"/>
      <c r="L1018" s="153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</row>
    <row r="1019" spans="1:27" ht="17.399999999999999">
      <c r="A1019" s="156"/>
      <c r="B1019" s="152"/>
      <c r="C1019" s="152"/>
      <c r="D1019" s="152"/>
      <c r="E1019" s="152"/>
      <c r="F1019" s="152"/>
      <c r="G1019" s="152"/>
      <c r="H1019" s="153"/>
      <c r="I1019" s="153"/>
      <c r="J1019" s="153"/>
      <c r="K1019" s="153"/>
      <c r="L1019" s="153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</row>
    <row r="1020" spans="1:27" ht="17.399999999999999">
      <c r="A1020" s="156"/>
      <c r="B1020" s="152"/>
      <c r="C1020" s="152"/>
      <c r="D1020" s="152"/>
      <c r="E1020" s="152"/>
      <c r="F1020" s="152"/>
      <c r="G1020" s="152"/>
      <c r="H1020" s="153"/>
      <c r="I1020" s="153"/>
      <c r="J1020" s="153"/>
      <c r="K1020" s="153"/>
      <c r="L1020" s="153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</row>
    <row r="1021" spans="1:27" ht="17.399999999999999">
      <c r="A1021" s="156"/>
      <c r="B1021" s="152"/>
      <c r="C1021" s="152"/>
      <c r="D1021" s="152"/>
      <c r="E1021" s="152"/>
      <c r="F1021" s="152"/>
      <c r="G1021" s="152"/>
      <c r="H1021" s="153"/>
      <c r="I1021" s="153"/>
      <c r="J1021" s="153"/>
      <c r="K1021" s="153"/>
      <c r="L1021" s="153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</row>
    <row r="1022" spans="1:27" ht="17.399999999999999">
      <c r="A1022" s="156"/>
      <c r="B1022" s="152"/>
      <c r="C1022" s="152"/>
      <c r="D1022" s="152"/>
      <c r="E1022" s="152"/>
      <c r="F1022" s="152"/>
      <c r="G1022" s="152"/>
      <c r="H1022" s="153"/>
      <c r="I1022" s="153"/>
      <c r="J1022" s="153"/>
      <c r="K1022" s="153"/>
      <c r="L1022" s="153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</row>
    <row r="1023" spans="1:27" ht="17.399999999999999">
      <c r="A1023" s="156"/>
      <c r="B1023" s="152"/>
      <c r="C1023" s="152"/>
      <c r="D1023" s="152"/>
      <c r="E1023" s="152"/>
      <c r="F1023" s="152"/>
      <c r="G1023" s="152"/>
      <c r="H1023" s="153"/>
      <c r="I1023" s="153"/>
      <c r="J1023" s="153"/>
      <c r="K1023" s="153"/>
      <c r="L1023" s="153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</row>
    <row r="1024" spans="1:27" ht="17.399999999999999">
      <c r="A1024" s="156"/>
      <c r="B1024" s="152"/>
      <c r="C1024" s="152"/>
      <c r="D1024" s="152"/>
      <c r="E1024" s="152"/>
      <c r="F1024" s="152"/>
      <c r="G1024" s="152"/>
      <c r="H1024" s="153"/>
      <c r="I1024" s="153"/>
      <c r="J1024" s="153"/>
      <c r="K1024" s="153"/>
      <c r="L1024" s="153"/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</row>
    <row r="1025" spans="1:27" ht="17.399999999999999">
      <c r="A1025" s="156"/>
      <c r="B1025" s="152"/>
      <c r="C1025" s="152"/>
      <c r="D1025" s="152"/>
      <c r="E1025" s="152"/>
      <c r="F1025" s="152"/>
      <c r="G1025" s="152"/>
      <c r="H1025" s="153"/>
      <c r="I1025" s="153"/>
      <c r="J1025" s="153"/>
      <c r="K1025" s="153"/>
      <c r="L1025" s="153"/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</row>
    <row r="1026" spans="1:27" ht="17.399999999999999">
      <c r="A1026" s="156"/>
      <c r="B1026" s="152"/>
      <c r="C1026" s="152"/>
      <c r="D1026" s="152"/>
      <c r="E1026" s="152"/>
      <c r="F1026" s="152"/>
      <c r="G1026" s="152"/>
      <c r="H1026" s="153"/>
      <c r="I1026" s="153"/>
      <c r="J1026" s="153"/>
      <c r="K1026" s="153"/>
      <c r="L1026" s="153"/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</row>
    <row r="1027" spans="1:27" ht="17.399999999999999">
      <c r="A1027" s="156"/>
      <c r="B1027" s="152"/>
      <c r="C1027" s="152"/>
      <c r="D1027" s="152"/>
      <c r="E1027" s="152"/>
      <c r="F1027" s="152"/>
      <c r="G1027" s="152"/>
      <c r="H1027" s="153"/>
      <c r="I1027" s="153"/>
      <c r="J1027" s="153"/>
      <c r="K1027" s="153"/>
      <c r="L1027" s="153"/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</row>
    <row r="1028" spans="1:27" ht="17.399999999999999">
      <c r="A1028" s="156"/>
      <c r="B1028" s="152"/>
      <c r="C1028" s="152"/>
      <c r="D1028" s="152"/>
      <c r="E1028" s="152"/>
      <c r="F1028" s="152"/>
      <c r="G1028" s="152"/>
      <c r="H1028" s="153"/>
      <c r="I1028" s="153"/>
      <c r="J1028" s="153"/>
      <c r="K1028" s="153"/>
      <c r="L1028" s="153"/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</row>
    <row r="1029" spans="1:27" ht="17.399999999999999">
      <c r="A1029" s="156"/>
      <c r="B1029" s="152"/>
      <c r="C1029" s="152"/>
      <c r="D1029" s="152"/>
      <c r="E1029" s="152"/>
      <c r="F1029" s="152"/>
      <c r="G1029" s="152"/>
      <c r="H1029" s="153"/>
      <c r="I1029" s="153"/>
      <c r="J1029" s="153"/>
      <c r="K1029" s="153"/>
      <c r="L1029" s="153"/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</row>
    <row r="1030" spans="1:27" ht="17.399999999999999">
      <c r="A1030" s="156"/>
      <c r="B1030" s="152"/>
      <c r="C1030" s="152"/>
      <c r="D1030" s="152"/>
      <c r="E1030" s="152"/>
      <c r="F1030" s="152"/>
      <c r="G1030" s="152"/>
      <c r="H1030" s="153"/>
      <c r="I1030" s="153"/>
      <c r="J1030" s="153"/>
      <c r="K1030" s="153"/>
      <c r="L1030" s="153"/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</row>
    <row r="1031" spans="1:27" ht="17.399999999999999">
      <c r="A1031" s="156"/>
      <c r="B1031" s="152"/>
      <c r="C1031" s="152"/>
      <c r="D1031" s="152"/>
      <c r="E1031" s="152"/>
      <c r="F1031" s="152"/>
      <c r="G1031" s="152"/>
      <c r="H1031" s="153"/>
      <c r="I1031" s="153"/>
      <c r="J1031" s="153"/>
      <c r="K1031" s="153"/>
      <c r="L1031" s="153"/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</row>
    <row r="1032" spans="1:27" ht="17.399999999999999">
      <c r="A1032" s="156"/>
      <c r="B1032" s="152"/>
      <c r="C1032" s="152"/>
      <c r="D1032" s="152"/>
      <c r="E1032" s="152"/>
      <c r="F1032" s="152"/>
      <c r="G1032" s="152"/>
      <c r="H1032" s="153"/>
      <c r="I1032" s="153"/>
      <c r="J1032" s="153"/>
      <c r="K1032" s="153"/>
      <c r="L1032" s="153"/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</row>
    <row r="1033" spans="1:27" ht="17.399999999999999">
      <c r="A1033" s="156"/>
      <c r="B1033" s="152"/>
      <c r="C1033" s="152"/>
      <c r="D1033" s="152"/>
      <c r="E1033" s="152"/>
      <c r="F1033" s="152"/>
      <c r="G1033" s="152"/>
      <c r="H1033" s="153"/>
      <c r="I1033" s="153"/>
      <c r="J1033" s="153"/>
      <c r="K1033" s="153"/>
      <c r="L1033" s="153"/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</row>
    <row r="1034" spans="1:27" ht="17.399999999999999">
      <c r="A1034" s="156"/>
      <c r="B1034" s="152"/>
      <c r="C1034" s="152"/>
      <c r="D1034" s="152"/>
      <c r="E1034" s="152"/>
      <c r="F1034" s="152"/>
      <c r="G1034" s="152"/>
      <c r="H1034" s="153"/>
      <c r="I1034" s="153"/>
      <c r="J1034" s="153"/>
      <c r="K1034" s="153"/>
      <c r="L1034" s="153"/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</row>
    <row r="1035" spans="1:27" ht="17.399999999999999">
      <c r="A1035" s="156"/>
      <c r="B1035" s="152"/>
      <c r="C1035" s="152"/>
      <c r="D1035" s="152"/>
      <c r="E1035" s="152"/>
      <c r="F1035" s="152"/>
      <c r="G1035" s="152"/>
      <c r="H1035" s="153"/>
      <c r="I1035" s="153"/>
      <c r="J1035" s="153"/>
      <c r="K1035" s="153"/>
      <c r="L1035" s="153"/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</row>
    <row r="1036" spans="1:27" ht="17.399999999999999">
      <c r="A1036" s="156"/>
      <c r="B1036" s="152"/>
      <c r="C1036" s="152"/>
      <c r="D1036" s="152"/>
      <c r="E1036" s="152"/>
      <c r="F1036" s="152"/>
      <c r="G1036" s="152"/>
      <c r="H1036" s="153"/>
      <c r="I1036" s="153"/>
      <c r="J1036" s="153"/>
      <c r="K1036" s="153"/>
      <c r="L1036" s="153"/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</row>
    <row r="1037" spans="1:27" ht="17.399999999999999">
      <c r="A1037" s="156"/>
      <c r="B1037" s="152"/>
      <c r="C1037" s="152"/>
      <c r="D1037" s="152"/>
      <c r="E1037" s="152"/>
      <c r="F1037" s="152"/>
      <c r="G1037" s="152"/>
      <c r="H1037" s="153"/>
      <c r="I1037" s="153"/>
      <c r="J1037" s="153"/>
      <c r="K1037" s="153"/>
      <c r="L1037" s="153"/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</row>
    <row r="1038" spans="1:27" ht="17.399999999999999">
      <c r="A1038" s="156"/>
      <c r="B1038" s="152"/>
      <c r="C1038" s="152"/>
      <c r="D1038" s="152"/>
      <c r="E1038" s="152"/>
      <c r="F1038" s="152"/>
      <c r="G1038" s="152"/>
      <c r="H1038" s="153"/>
      <c r="I1038" s="153"/>
      <c r="J1038" s="153"/>
      <c r="K1038" s="153"/>
      <c r="L1038" s="153"/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</row>
    <row r="1039" spans="1:27" ht="17.399999999999999">
      <c r="A1039" s="156"/>
      <c r="B1039" s="152"/>
      <c r="C1039" s="152"/>
      <c r="D1039" s="152"/>
      <c r="E1039" s="152"/>
      <c r="F1039" s="152"/>
      <c r="G1039" s="152"/>
      <c r="H1039" s="153"/>
      <c r="I1039" s="153"/>
      <c r="J1039" s="153"/>
      <c r="K1039" s="153"/>
      <c r="L1039" s="153"/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</row>
    <row r="1040" spans="1:27" ht="17.399999999999999">
      <c r="A1040" s="156"/>
      <c r="B1040" s="152"/>
      <c r="C1040" s="152"/>
      <c r="D1040" s="152"/>
      <c r="E1040" s="152"/>
      <c r="F1040" s="152"/>
      <c r="G1040" s="152"/>
      <c r="H1040" s="153"/>
      <c r="I1040" s="153"/>
      <c r="J1040" s="153"/>
      <c r="K1040" s="153"/>
      <c r="L1040" s="153"/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</row>
    <row r="1041" spans="1:27" ht="17.399999999999999">
      <c r="A1041" s="156"/>
      <c r="B1041" s="152"/>
      <c r="C1041" s="152"/>
      <c r="D1041" s="152"/>
      <c r="E1041" s="152"/>
      <c r="F1041" s="152"/>
      <c r="G1041" s="152"/>
      <c r="H1041" s="153"/>
      <c r="I1041" s="153"/>
      <c r="J1041" s="153"/>
      <c r="K1041" s="153"/>
      <c r="L1041" s="153"/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</row>
    <row r="1042" spans="1:27" ht="17.399999999999999">
      <c r="A1042" s="156"/>
      <c r="B1042" s="152"/>
      <c r="C1042" s="152"/>
      <c r="D1042" s="152"/>
      <c r="E1042" s="152"/>
      <c r="F1042" s="152"/>
      <c r="G1042" s="152"/>
      <c r="H1042" s="153"/>
      <c r="I1042" s="153"/>
      <c r="J1042" s="153"/>
      <c r="K1042" s="153"/>
      <c r="L1042" s="153"/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</row>
    <row r="1043" spans="1:27" ht="17.399999999999999">
      <c r="A1043" s="156"/>
      <c r="B1043" s="152"/>
      <c r="C1043" s="152"/>
      <c r="D1043" s="152"/>
      <c r="E1043" s="152"/>
      <c r="F1043" s="152"/>
      <c r="G1043" s="152"/>
      <c r="H1043" s="153"/>
      <c r="I1043" s="153"/>
      <c r="J1043" s="153"/>
      <c r="K1043" s="153"/>
      <c r="L1043" s="153"/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</row>
    <row r="1044" spans="1:27" ht="17.399999999999999">
      <c r="A1044" s="156"/>
      <c r="B1044" s="152"/>
      <c r="C1044" s="152"/>
      <c r="D1044" s="152"/>
      <c r="E1044" s="152"/>
      <c r="F1044" s="152"/>
      <c r="G1044" s="152"/>
      <c r="H1044" s="153"/>
      <c r="I1044" s="153"/>
      <c r="J1044" s="153"/>
      <c r="K1044" s="153"/>
      <c r="L1044" s="153"/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</row>
    <row r="1045" spans="1:27" ht="17.399999999999999">
      <c r="A1045" s="156"/>
      <c r="B1045" s="152"/>
      <c r="C1045" s="152"/>
      <c r="D1045" s="152"/>
      <c r="E1045" s="152"/>
      <c r="F1045" s="152"/>
      <c r="G1045" s="152"/>
      <c r="H1045" s="153"/>
      <c r="I1045" s="153"/>
      <c r="J1045" s="153"/>
      <c r="K1045" s="153"/>
      <c r="L1045" s="153"/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</row>
    <row r="1046" spans="1:27" ht="17.399999999999999">
      <c r="A1046" s="156"/>
      <c r="B1046" s="152"/>
      <c r="C1046" s="152"/>
      <c r="D1046" s="152"/>
      <c r="E1046" s="152"/>
      <c r="F1046" s="152"/>
      <c r="G1046" s="152"/>
      <c r="H1046" s="153"/>
      <c r="I1046" s="153"/>
      <c r="J1046" s="153"/>
      <c r="K1046" s="153"/>
      <c r="L1046" s="153"/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</row>
    <row r="1047" spans="1:27" ht="17.399999999999999">
      <c r="A1047" s="156"/>
      <c r="B1047" s="152"/>
      <c r="C1047" s="152"/>
      <c r="D1047" s="152"/>
      <c r="E1047" s="152"/>
      <c r="F1047" s="152"/>
      <c r="G1047" s="152"/>
      <c r="H1047" s="153"/>
      <c r="I1047" s="153"/>
      <c r="J1047" s="153"/>
      <c r="K1047" s="153"/>
      <c r="L1047" s="153"/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</row>
    <row r="1048" spans="1:27" ht="17.399999999999999">
      <c r="A1048" s="156"/>
      <c r="B1048" s="152"/>
      <c r="C1048" s="152"/>
      <c r="D1048" s="152"/>
      <c r="E1048" s="152"/>
      <c r="F1048" s="152"/>
      <c r="G1048" s="152"/>
      <c r="H1048" s="153"/>
      <c r="I1048" s="153"/>
      <c r="J1048" s="153"/>
      <c r="K1048" s="153"/>
      <c r="L1048" s="153"/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</row>
    <row r="1049" spans="1:27" ht="17.399999999999999">
      <c r="A1049" s="156"/>
      <c r="B1049" s="152"/>
      <c r="C1049" s="152"/>
      <c r="D1049" s="152"/>
      <c r="E1049" s="152"/>
      <c r="F1049" s="152"/>
      <c r="G1049" s="152"/>
      <c r="H1049" s="153"/>
      <c r="I1049" s="153"/>
      <c r="J1049" s="153"/>
      <c r="K1049" s="153"/>
      <c r="L1049" s="153"/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</row>
    <row r="1050" spans="1:27" ht="17.399999999999999">
      <c r="A1050" s="156"/>
      <c r="B1050" s="152"/>
      <c r="C1050" s="152"/>
      <c r="D1050" s="152"/>
      <c r="E1050" s="152"/>
      <c r="F1050" s="152"/>
      <c r="G1050" s="152"/>
      <c r="H1050" s="153"/>
      <c r="I1050" s="153"/>
      <c r="J1050" s="153"/>
      <c r="K1050" s="153"/>
      <c r="L1050" s="153"/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</row>
    <row r="1051" spans="1:27" ht="17.399999999999999">
      <c r="A1051" s="156"/>
      <c r="B1051" s="152"/>
      <c r="C1051" s="152"/>
      <c r="D1051" s="152"/>
      <c r="E1051" s="152"/>
      <c r="F1051" s="152"/>
      <c r="G1051" s="152"/>
      <c r="H1051" s="153"/>
      <c r="I1051" s="153"/>
      <c r="J1051" s="153"/>
      <c r="K1051" s="153"/>
      <c r="L1051" s="153"/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</row>
    <row r="1052" spans="1:27" ht="17.399999999999999">
      <c r="A1052" s="156"/>
      <c r="B1052" s="152"/>
      <c r="C1052" s="152"/>
      <c r="D1052" s="152"/>
      <c r="E1052" s="152"/>
      <c r="F1052" s="152"/>
      <c r="G1052" s="152"/>
      <c r="H1052" s="153"/>
      <c r="I1052" s="153"/>
      <c r="J1052" s="153"/>
      <c r="K1052" s="153"/>
      <c r="L1052" s="153"/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</row>
    <row r="1053" spans="1:27" ht="17.399999999999999">
      <c r="A1053" s="156"/>
      <c r="B1053" s="152"/>
      <c r="C1053" s="152"/>
      <c r="D1053" s="152"/>
      <c r="E1053" s="152"/>
      <c r="F1053" s="152"/>
      <c r="G1053" s="152"/>
      <c r="H1053" s="153"/>
      <c r="I1053" s="153"/>
      <c r="J1053" s="153"/>
      <c r="K1053" s="153"/>
      <c r="L1053" s="153"/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</row>
    <row r="1054" spans="1:27" ht="17.399999999999999">
      <c r="A1054" s="156"/>
      <c r="B1054" s="152"/>
      <c r="C1054" s="152"/>
      <c r="D1054" s="152"/>
      <c r="E1054" s="152"/>
      <c r="F1054" s="152"/>
      <c r="G1054" s="152"/>
      <c r="H1054" s="153"/>
      <c r="I1054" s="153"/>
      <c r="J1054" s="153"/>
      <c r="K1054" s="153"/>
      <c r="L1054" s="153"/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</row>
    <row r="1055" spans="1:27" ht="17.399999999999999">
      <c r="A1055" s="156"/>
      <c r="B1055" s="152"/>
      <c r="C1055" s="152"/>
      <c r="D1055" s="152"/>
      <c r="E1055" s="152"/>
      <c r="F1055" s="152"/>
      <c r="G1055" s="152"/>
      <c r="H1055" s="153"/>
      <c r="I1055" s="153"/>
      <c r="J1055" s="153"/>
      <c r="K1055" s="153"/>
      <c r="L1055" s="153"/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</row>
    <row r="1056" spans="1:27" ht="17.399999999999999">
      <c r="A1056" s="156"/>
      <c r="B1056" s="152"/>
      <c r="C1056" s="152"/>
      <c r="D1056" s="152"/>
      <c r="E1056" s="152"/>
      <c r="F1056" s="152"/>
      <c r="G1056" s="152"/>
      <c r="H1056" s="153"/>
      <c r="I1056" s="153"/>
      <c r="J1056" s="153"/>
      <c r="K1056" s="153"/>
      <c r="L1056" s="153"/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</row>
    <row r="1057" spans="1:27" ht="17.399999999999999">
      <c r="A1057" s="156"/>
      <c r="B1057" s="152"/>
      <c r="C1057" s="152"/>
      <c r="D1057" s="152"/>
      <c r="E1057" s="152"/>
      <c r="F1057" s="152"/>
      <c r="G1057" s="152"/>
      <c r="H1057" s="153"/>
      <c r="I1057" s="153"/>
      <c r="J1057" s="153"/>
      <c r="K1057" s="153"/>
      <c r="L1057" s="153"/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</row>
    <row r="1058" spans="1:27" ht="17.399999999999999">
      <c r="A1058" s="156"/>
      <c r="B1058" s="152"/>
      <c r="C1058" s="152"/>
      <c r="D1058" s="152"/>
      <c r="E1058" s="152"/>
      <c r="F1058" s="152"/>
      <c r="G1058" s="152"/>
      <c r="H1058" s="153"/>
      <c r="I1058" s="153"/>
      <c r="J1058" s="153"/>
      <c r="K1058" s="153"/>
      <c r="L1058" s="153"/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</row>
    <row r="1059" spans="1:27" ht="17.399999999999999">
      <c r="A1059" s="156"/>
      <c r="B1059" s="152"/>
      <c r="C1059" s="152"/>
      <c r="D1059" s="152"/>
      <c r="E1059" s="152"/>
      <c r="F1059" s="152"/>
      <c r="G1059" s="152"/>
      <c r="H1059" s="153"/>
      <c r="I1059" s="153"/>
      <c r="J1059" s="153"/>
      <c r="K1059" s="153"/>
      <c r="L1059" s="153"/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</row>
    <row r="1060" spans="1:27" ht="17.399999999999999">
      <c r="A1060" s="156"/>
      <c r="B1060" s="152"/>
      <c r="C1060" s="152"/>
      <c r="D1060" s="152"/>
      <c r="E1060" s="152"/>
      <c r="F1060" s="152"/>
      <c r="G1060" s="152"/>
      <c r="H1060" s="153"/>
      <c r="I1060" s="153"/>
      <c r="J1060" s="153"/>
      <c r="K1060" s="153"/>
      <c r="L1060" s="153"/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</row>
    <row r="1061" spans="1:27" ht="17.399999999999999">
      <c r="A1061" s="156"/>
      <c r="B1061" s="152"/>
      <c r="C1061" s="152"/>
      <c r="D1061" s="152"/>
      <c r="E1061" s="152"/>
      <c r="F1061" s="152"/>
      <c r="G1061" s="152"/>
      <c r="H1061" s="153"/>
      <c r="I1061" s="153"/>
      <c r="J1061" s="153"/>
      <c r="K1061" s="153"/>
      <c r="L1061" s="153"/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</row>
    <row r="1062" spans="1:27" ht="17.399999999999999">
      <c r="A1062" s="156"/>
      <c r="B1062" s="152"/>
      <c r="C1062" s="152"/>
      <c r="D1062" s="152"/>
      <c r="E1062" s="152"/>
      <c r="F1062" s="152"/>
      <c r="G1062" s="152"/>
      <c r="H1062" s="153"/>
      <c r="I1062" s="153"/>
      <c r="J1062" s="153"/>
      <c r="K1062" s="153"/>
      <c r="L1062" s="153"/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</row>
    <row r="1063" spans="1:27" ht="17.399999999999999">
      <c r="A1063" s="156"/>
      <c r="B1063" s="152"/>
      <c r="C1063" s="152"/>
      <c r="D1063" s="152"/>
      <c r="E1063" s="152"/>
      <c r="F1063" s="152"/>
      <c r="G1063" s="152"/>
      <c r="H1063" s="153"/>
      <c r="I1063" s="153"/>
      <c r="J1063" s="153"/>
      <c r="K1063" s="153"/>
      <c r="L1063" s="153"/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</row>
    <row r="1064" spans="1:27" ht="17.399999999999999">
      <c r="A1064" s="156"/>
      <c r="B1064" s="152"/>
      <c r="C1064" s="152"/>
      <c r="D1064" s="152"/>
      <c r="E1064" s="152"/>
      <c r="F1064" s="152"/>
      <c r="G1064" s="152"/>
      <c r="H1064" s="153"/>
      <c r="I1064" s="153"/>
      <c r="J1064" s="153"/>
      <c r="K1064" s="153"/>
      <c r="L1064" s="153"/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</row>
    <row r="1065" spans="1:27" ht="17.399999999999999">
      <c r="A1065" s="156"/>
      <c r="B1065" s="152"/>
      <c r="C1065" s="152"/>
      <c r="D1065" s="152"/>
      <c r="E1065" s="152"/>
      <c r="F1065" s="152"/>
      <c r="G1065" s="152"/>
      <c r="H1065" s="153"/>
      <c r="I1065" s="153"/>
      <c r="J1065" s="153"/>
      <c r="K1065" s="153"/>
      <c r="L1065" s="153"/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</row>
    <row r="1066" spans="1:27" ht="17.399999999999999">
      <c r="A1066" s="156"/>
      <c r="B1066" s="152"/>
      <c r="C1066" s="152"/>
      <c r="D1066" s="152"/>
      <c r="E1066" s="152"/>
      <c r="F1066" s="152"/>
      <c r="G1066" s="152"/>
      <c r="H1066" s="153"/>
      <c r="I1066" s="153"/>
      <c r="J1066" s="153"/>
      <c r="K1066" s="153"/>
      <c r="L1066" s="153"/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</row>
    <row r="1067" spans="1:27" ht="17.399999999999999">
      <c r="A1067" s="156"/>
      <c r="B1067" s="152"/>
      <c r="C1067" s="152"/>
      <c r="D1067" s="152"/>
      <c r="E1067" s="152"/>
      <c r="F1067" s="152"/>
      <c r="G1067" s="152"/>
      <c r="H1067" s="153"/>
      <c r="I1067" s="153"/>
      <c r="J1067" s="153"/>
      <c r="K1067" s="153"/>
      <c r="L1067" s="153"/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</row>
    <row r="1068" spans="1:27" ht="17.399999999999999">
      <c r="A1068" s="156"/>
      <c r="B1068" s="152"/>
      <c r="C1068" s="152"/>
      <c r="D1068" s="152"/>
      <c r="E1068" s="152"/>
      <c r="F1068" s="152"/>
      <c r="G1068" s="152"/>
      <c r="H1068" s="153"/>
      <c r="I1068" s="153"/>
      <c r="J1068" s="153"/>
      <c r="K1068" s="153"/>
      <c r="L1068" s="153"/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</row>
    <row r="1069" spans="1:27" ht="17.399999999999999">
      <c r="A1069" s="156"/>
      <c r="B1069" s="152"/>
      <c r="C1069" s="152"/>
      <c r="D1069" s="152"/>
      <c r="E1069" s="152"/>
      <c r="F1069" s="152"/>
      <c r="G1069" s="152"/>
      <c r="H1069" s="153"/>
      <c r="I1069" s="153"/>
      <c r="J1069" s="153"/>
      <c r="K1069" s="153"/>
      <c r="L1069" s="153"/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</row>
    <row r="1070" spans="1:27" ht="17.399999999999999">
      <c r="A1070" s="156"/>
      <c r="B1070" s="152"/>
      <c r="C1070" s="152"/>
      <c r="D1070" s="152"/>
      <c r="E1070" s="152"/>
      <c r="F1070" s="152"/>
      <c r="G1070" s="152"/>
      <c r="H1070" s="153"/>
      <c r="I1070" s="153"/>
      <c r="J1070" s="153"/>
      <c r="K1070" s="153"/>
      <c r="L1070" s="153"/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</row>
    <row r="1071" spans="1:27" ht="17.399999999999999">
      <c r="A1071" s="156"/>
      <c r="B1071" s="152"/>
      <c r="C1071" s="152"/>
      <c r="D1071" s="152"/>
      <c r="E1071" s="152"/>
      <c r="F1071" s="152"/>
      <c r="G1071" s="152"/>
      <c r="H1071" s="153"/>
      <c r="I1071" s="153"/>
      <c r="J1071" s="153"/>
      <c r="K1071" s="153"/>
      <c r="L1071" s="153"/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</row>
    <row r="1072" spans="1:27" ht="17.399999999999999">
      <c r="A1072" s="156"/>
      <c r="B1072" s="152"/>
      <c r="C1072" s="152"/>
      <c r="D1072" s="152"/>
      <c r="E1072" s="152"/>
      <c r="F1072" s="152"/>
      <c r="G1072" s="152"/>
      <c r="H1072" s="153"/>
      <c r="I1072" s="153"/>
      <c r="J1072" s="153"/>
      <c r="K1072" s="153"/>
      <c r="L1072" s="153"/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</row>
    <row r="1073" spans="1:27" ht="17.399999999999999">
      <c r="A1073" s="156"/>
      <c r="B1073" s="152"/>
      <c r="C1073" s="152"/>
      <c r="D1073" s="152"/>
      <c r="E1073" s="152"/>
      <c r="F1073" s="152"/>
      <c r="G1073" s="152"/>
      <c r="H1073" s="153"/>
      <c r="I1073" s="153"/>
      <c r="J1073" s="153"/>
      <c r="K1073" s="153"/>
      <c r="L1073" s="153"/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</row>
    <row r="1074" spans="1:27" ht="17.399999999999999">
      <c r="A1074" s="156"/>
      <c r="B1074" s="152"/>
      <c r="C1074" s="152"/>
      <c r="D1074" s="152"/>
      <c r="E1074" s="152"/>
      <c r="F1074" s="152"/>
      <c r="G1074" s="152"/>
      <c r="H1074" s="153"/>
      <c r="I1074" s="153"/>
      <c r="J1074" s="153"/>
      <c r="K1074" s="153"/>
      <c r="L1074" s="153"/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</row>
    <row r="1075" spans="1:27" ht="17.399999999999999">
      <c r="A1075" s="156"/>
      <c r="B1075" s="152"/>
      <c r="C1075" s="152"/>
      <c r="D1075" s="152"/>
      <c r="E1075" s="152"/>
      <c r="F1075" s="152"/>
      <c r="G1075" s="152"/>
      <c r="H1075" s="153"/>
      <c r="I1075" s="153"/>
      <c r="J1075" s="153"/>
      <c r="K1075" s="153"/>
      <c r="L1075" s="153"/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</row>
    <row r="1076" spans="1:27" ht="17.399999999999999">
      <c r="A1076" s="156"/>
      <c r="B1076" s="152"/>
      <c r="C1076" s="152"/>
      <c r="D1076" s="152"/>
      <c r="E1076" s="152"/>
      <c r="F1076" s="152"/>
      <c r="G1076" s="152"/>
      <c r="H1076" s="153"/>
      <c r="I1076" s="153"/>
      <c r="J1076" s="153"/>
      <c r="K1076" s="153"/>
      <c r="L1076" s="153"/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</row>
    <row r="1077" spans="1:27" ht="17.399999999999999">
      <c r="A1077" s="156"/>
      <c r="B1077" s="152"/>
      <c r="C1077" s="152"/>
      <c r="D1077" s="152"/>
      <c r="E1077" s="152"/>
      <c r="F1077" s="152"/>
      <c r="G1077" s="152"/>
      <c r="H1077" s="153"/>
      <c r="I1077" s="153"/>
      <c r="J1077" s="153"/>
      <c r="K1077" s="153"/>
      <c r="L1077" s="153"/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</row>
    <row r="1078" spans="1:27" ht="17.399999999999999">
      <c r="A1078" s="156"/>
      <c r="B1078" s="152"/>
      <c r="C1078" s="152"/>
      <c r="D1078" s="152"/>
      <c r="E1078" s="152"/>
      <c r="F1078" s="152"/>
      <c r="G1078" s="152"/>
      <c r="H1078" s="153"/>
      <c r="I1078" s="153"/>
      <c r="J1078" s="153"/>
      <c r="K1078" s="153"/>
      <c r="L1078" s="153"/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</row>
    <row r="1079" spans="1:27" ht="17.399999999999999">
      <c r="A1079" s="156"/>
      <c r="B1079" s="152"/>
      <c r="C1079" s="152"/>
      <c r="D1079" s="152"/>
      <c r="E1079" s="152"/>
      <c r="F1079" s="152"/>
      <c r="G1079" s="152"/>
      <c r="H1079" s="153"/>
      <c r="I1079" s="153"/>
      <c r="J1079" s="153"/>
      <c r="K1079" s="153"/>
      <c r="L1079" s="153"/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</row>
    <row r="1080" spans="1:27" ht="17.399999999999999">
      <c r="A1080" s="156"/>
      <c r="B1080" s="152"/>
      <c r="C1080" s="152"/>
      <c r="D1080" s="152"/>
      <c r="E1080" s="152"/>
      <c r="F1080" s="152"/>
      <c r="G1080" s="152"/>
      <c r="H1080" s="153"/>
      <c r="I1080" s="153"/>
      <c r="J1080" s="153"/>
      <c r="K1080" s="153"/>
      <c r="L1080" s="153"/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</row>
    <row r="1081" spans="1:27" ht="17.399999999999999">
      <c r="A1081" s="156"/>
      <c r="B1081" s="152"/>
      <c r="C1081" s="152"/>
      <c r="D1081" s="152"/>
      <c r="E1081" s="152"/>
      <c r="F1081" s="152"/>
      <c r="G1081" s="152"/>
      <c r="H1081" s="153"/>
      <c r="I1081" s="153"/>
      <c r="J1081" s="153"/>
      <c r="K1081" s="153"/>
      <c r="L1081" s="153"/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</row>
    <row r="1082" spans="1:27" ht="17.399999999999999">
      <c r="A1082" s="156"/>
      <c r="B1082" s="152"/>
      <c r="C1082" s="152"/>
      <c r="D1082" s="152"/>
      <c r="E1082" s="152"/>
      <c r="F1082" s="152"/>
      <c r="G1082" s="152"/>
      <c r="H1082" s="153"/>
      <c r="I1082" s="153"/>
      <c r="J1082" s="153"/>
      <c r="K1082" s="153"/>
      <c r="L1082" s="153"/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</row>
    <row r="1083" spans="1:27" ht="17.399999999999999">
      <c r="A1083" s="156"/>
      <c r="B1083" s="152"/>
      <c r="C1083" s="152"/>
      <c r="D1083" s="152"/>
      <c r="E1083" s="152"/>
      <c r="F1083" s="152"/>
      <c r="G1083" s="152"/>
      <c r="H1083" s="153"/>
      <c r="I1083" s="153"/>
      <c r="J1083" s="153"/>
      <c r="K1083" s="153"/>
      <c r="L1083" s="153"/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</row>
    <row r="1084" spans="1:27" ht="17.399999999999999">
      <c r="A1084" s="156"/>
      <c r="B1084" s="152"/>
      <c r="C1084" s="152"/>
      <c r="D1084" s="152"/>
      <c r="E1084" s="152"/>
      <c r="F1084" s="152"/>
      <c r="G1084" s="152"/>
      <c r="H1084" s="153"/>
      <c r="I1084" s="153"/>
      <c r="J1084" s="153"/>
      <c r="K1084" s="153"/>
      <c r="L1084" s="153"/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</row>
    <row r="1085" spans="1:27" ht="17.399999999999999">
      <c r="A1085" s="156"/>
      <c r="B1085" s="152"/>
      <c r="C1085" s="152"/>
      <c r="D1085" s="152"/>
      <c r="E1085" s="152"/>
      <c r="F1085" s="152"/>
      <c r="G1085" s="152"/>
      <c r="H1085" s="153"/>
      <c r="I1085" s="153"/>
      <c r="J1085" s="153"/>
      <c r="K1085" s="153"/>
      <c r="L1085" s="153"/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</row>
    <row r="1086" spans="1:27" ht="17.399999999999999">
      <c r="A1086" s="156"/>
      <c r="B1086" s="152"/>
      <c r="C1086" s="152"/>
      <c r="D1086" s="152"/>
      <c r="E1086" s="152"/>
      <c r="F1086" s="152"/>
      <c r="G1086" s="152"/>
      <c r="H1086" s="153"/>
      <c r="I1086" s="153"/>
      <c r="J1086" s="153"/>
      <c r="K1086" s="153"/>
      <c r="L1086" s="153"/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</row>
    <row r="1087" spans="1:27" ht="17.399999999999999">
      <c r="A1087" s="156"/>
      <c r="B1087" s="152"/>
      <c r="C1087" s="152"/>
      <c r="D1087" s="152"/>
      <c r="E1087" s="152"/>
      <c r="F1087" s="152"/>
      <c r="G1087" s="152"/>
      <c r="H1087" s="153"/>
      <c r="I1087" s="153"/>
      <c r="J1087" s="153"/>
      <c r="K1087" s="153"/>
      <c r="L1087" s="153"/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</row>
    <row r="1088" spans="1:27" ht="17.399999999999999">
      <c r="A1088" s="156"/>
      <c r="B1088" s="152"/>
      <c r="C1088" s="152"/>
      <c r="D1088" s="152"/>
      <c r="E1088" s="152"/>
      <c r="F1088" s="152"/>
      <c r="G1088" s="152"/>
      <c r="H1088" s="153"/>
      <c r="I1088" s="153"/>
      <c r="J1088" s="153"/>
      <c r="K1088" s="153"/>
      <c r="L1088" s="153"/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</row>
    <row r="1089" spans="1:27" ht="17.399999999999999">
      <c r="A1089" s="156"/>
      <c r="B1089" s="152"/>
      <c r="C1089" s="152"/>
      <c r="D1089" s="152"/>
      <c r="E1089" s="152"/>
      <c r="F1089" s="152"/>
      <c r="G1089" s="152"/>
      <c r="H1089" s="153"/>
      <c r="I1089" s="153"/>
      <c r="J1089" s="153"/>
      <c r="K1089" s="153"/>
      <c r="L1089" s="153"/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</row>
    <row r="1090" spans="1:27" ht="17.399999999999999">
      <c r="A1090" s="156"/>
      <c r="B1090" s="152"/>
      <c r="C1090" s="152"/>
      <c r="D1090" s="152"/>
      <c r="E1090" s="152"/>
      <c r="F1090" s="152"/>
      <c r="G1090" s="152"/>
      <c r="H1090" s="153"/>
      <c r="I1090" s="153"/>
      <c r="J1090" s="153"/>
      <c r="K1090" s="153"/>
      <c r="L1090" s="153"/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</row>
    <row r="1091" spans="1:27" ht="17.399999999999999">
      <c r="A1091" s="156"/>
      <c r="B1091" s="152"/>
      <c r="C1091" s="152"/>
      <c r="D1091" s="152"/>
      <c r="E1091" s="152"/>
      <c r="F1091" s="152"/>
      <c r="G1091" s="152"/>
      <c r="H1091" s="153"/>
      <c r="I1091" s="153"/>
      <c r="J1091" s="153"/>
      <c r="K1091" s="153"/>
      <c r="L1091" s="153"/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</row>
    <row r="1092" spans="1:27" ht="17.399999999999999">
      <c r="A1092" s="156"/>
      <c r="B1092" s="152"/>
      <c r="C1092" s="152"/>
      <c r="D1092" s="152"/>
      <c r="E1092" s="152"/>
      <c r="F1092" s="152"/>
      <c r="G1092" s="152"/>
      <c r="H1092" s="153"/>
      <c r="I1092" s="153"/>
      <c r="J1092" s="153"/>
      <c r="K1092" s="153"/>
      <c r="L1092" s="153"/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</row>
    <row r="1093" spans="1:27" ht="17.399999999999999">
      <c r="A1093" s="156"/>
      <c r="B1093" s="152"/>
      <c r="C1093" s="152"/>
      <c r="D1093" s="152"/>
      <c r="E1093" s="152"/>
      <c r="F1093" s="152"/>
      <c r="G1093" s="152"/>
      <c r="H1093" s="153"/>
      <c r="I1093" s="153"/>
      <c r="J1093" s="153"/>
      <c r="K1093" s="153"/>
      <c r="L1093" s="153"/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</row>
    <row r="1094" spans="1:27" ht="17.399999999999999">
      <c r="A1094" s="156"/>
      <c r="B1094" s="152"/>
      <c r="C1094" s="152"/>
      <c r="D1094" s="152"/>
      <c r="E1094" s="152"/>
      <c r="F1094" s="152"/>
      <c r="G1094" s="152"/>
      <c r="H1094" s="153"/>
      <c r="I1094" s="153"/>
      <c r="J1094" s="153"/>
      <c r="K1094" s="153"/>
      <c r="L1094" s="153"/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</row>
    <row r="1095" spans="1:27" ht="17.399999999999999">
      <c r="A1095" s="156"/>
      <c r="B1095" s="152"/>
      <c r="C1095" s="152"/>
      <c r="D1095" s="152"/>
      <c r="E1095" s="152"/>
      <c r="F1095" s="152"/>
      <c r="G1095" s="152"/>
      <c r="H1095" s="153"/>
      <c r="I1095" s="153"/>
      <c r="J1095" s="153"/>
      <c r="K1095" s="153"/>
      <c r="L1095" s="153"/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</row>
    <row r="1096" spans="1:27" ht="17.399999999999999">
      <c r="A1096" s="156"/>
      <c r="B1096" s="152"/>
      <c r="C1096" s="152"/>
      <c r="D1096" s="152"/>
      <c r="E1096" s="152"/>
      <c r="F1096" s="152"/>
      <c r="G1096" s="152"/>
      <c r="H1096" s="153"/>
      <c r="I1096" s="153"/>
      <c r="J1096" s="153"/>
      <c r="K1096" s="153"/>
      <c r="L1096" s="153"/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</row>
    <row r="1097" spans="1:27" ht="17.399999999999999">
      <c r="A1097" s="156"/>
      <c r="B1097" s="152"/>
      <c r="C1097" s="152"/>
      <c r="D1097" s="152"/>
      <c r="E1097" s="152"/>
      <c r="F1097" s="152"/>
      <c r="G1097" s="152"/>
      <c r="H1097" s="153"/>
      <c r="I1097" s="153"/>
      <c r="J1097" s="153"/>
      <c r="K1097" s="153"/>
      <c r="L1097" s="153"/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</row>
    <row r="1098" spans="1:27" ht="17.399999999999999">
      <c r="A1098" s="156"/>
      <c r="B1098" s="152"/>
      <c r="C1098" s="152"/>
      <c r="D1098" s="152"/>
      <c r="E1098" s="152"/>
      <c r="F1098" s="152"/>
      <c r="G1098" s="152"/>
      <c r="H1098" s="153"/>
      <c r="I1098" s="153"/>
      <c r="J1098" s="153"/>
      <c r="K1098" s="153"/>
      <c r="L1098" s="153"/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</row>
    <row r="1099" spans="1:27" ht="17.399999999999999">
      <c r="A1099" s="156"/>
      <c r="B1099" s="152"/>
      <c r="C1099" s="152"/>
      <c r="D1099" s="152"/>
      <c r="E1099" s="152"/>
      <c r="F1099" s="152"/>
      <c r="G1099" s="152"/>
      <c r="H1099" s="153"/>
      <c r="I1099" s="153"/>
      <c r="J1099" s="153"/>
      <c r="K1099" s="153"/>
      <c r="L1099" s="153"/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</row>
    <row r="1100" spans="1:27" ht="17.399999999999999">
      <c r="A1100" s="156"/>
      <c r="B1100" s="152"/>
      <c r="C1100" s="152"/>
      <c r="D1100" s="152"/>
      <c r="E1100" s="152"/>
      <c r="F1100" s="152"/>
      <c r="G1100" s="152"/>
      <c r="H1100" s="153"/>
      <c r="I1100" s="153"/>
      <c r="J1100" s="153"/>
      <c r="K1100" s="153"/>
      <c r="L1100" s="153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</row>
    <row r="1101" spans="1:27" ht="17.399999999999999">
      <c r="A1101" s="156"/>
      <c r="B1101" s="152"/>
      <c r="C1101" s="152"/>
      <c r="D1101" s="152"/>
      <c r="E1101" s="152"/>
      <c r="F1101" s="152"/>
      <c r="G1101" s="152"/>
      <c r="H1101" s="153"/>
      <c r="I1101" s="153"/>
      <c r="J1101" s="153"/>
      <c r="K1101" s="153"/>
      <c r="L1101" s="153"/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</row>
    <row r="1102" spans="1:27" ht="17.399999999999999">
      <c r="A1102" s="156"/>
      <c r="B1102" s="152"/>
      <c r="C1102" s="152"/>
      <c r="D1102" s="152"/>
      <c r="E1102" s="152"/>
      <c r="F1102" s="152"/>
      <c r="G1102" s="152"/>
      <c r="H1102" s="153"/>
      <c r="I1102" s="153"/>
      <c r="J1102" s="153"/>
      <c r="K1102" s="153"/>
      <c r="L1102" s="153"/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</row>
    <row r="1103" spans="1:27" ht="17.399999999999999">
      <c r="A1103" s="156"/>
      <c r="B1103" s="152"/>
      <c r="C1103" s="152"/>
      <c r="D1103" s="152"/>
      <c r="E1103" s="152"/>
      <c r="F1103" s="152"/>
      <c r="G1103" s="152"/>
      <c r="H1103" s="153"/>
      <c r="I1103" s="153"/>
      <c r="J1103" s="153"/>
      <c r="K1103" s="153"/>
      <c r="L1103" s="153"/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</row>
    <row r="1104" spans="1:27" ht="17.399999999999999">
      <c r="A1104" s="156"/>
      <c r="B1104" s="152"/>
      <c r="C1104" s="152"/>
      <c r="D1104" s="152"/>
      <c r="E1104" s="152"/>
      <c r="F1104" s="152"/>
      <c r="G1104" s="152"/>
      <c r="H1104" s="153"/>
      <c r="I1104" s="153"/>
      <c r="J1104" s="153"/>
      <c r="K1104" s="153"/>
      <c r="L1104" s="153"/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</row>
    <row r="1105" spans="1:27" ht="17.399999999999999">
      <c r="A1105" s="156"/>
      <c r="B1105" s="152"/>
      <c r="C1105" s="152"/>
      <c r="D1105" s="152"/>
      <c r="E1105" s="152"/>
      <c r="F1105" s="152"/>
      <c r="G1105" s="152"/>
      <c r="H1105" s="153"/>
      <c r="I1105" s="153"/>
      <c r="J1105" s="153"/>
      <c r="K1105" s="153"/>
      <c r="L1105" s="153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</row>
    <row r="1106" spans="1:27" ht="17.399999999999999">
      <c r="A1106" s="156"/>
      <c r="B1106" s="152"/>
      <c r="C1106" s="152"/>
      <c r="D1106" s="152"/>
      <c r="E1106" s="152"/>
      <c r="F1106" s="152"/>
      <c r="G1106" s="152"/>
      <c r="H1106" s="153"/>
      <c r="I1106" s="153"/>
      <c r="J1106" s="153"/>
      <c r="K1106" s="153"/>
      <c r="L1106" s="153"/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</row>
    <row r="1107" spans="1:27" ht="17.399999999999999">
      <c r="A1107" s="156"/>
      <c r="B1107" s="152"/>
      <c r="C1107" s="152"/>
      <c r="D1107" s="152"/>
      <c r="E1107" s="152"/>
      <c r="F1107" s="152"/>
      <c r="G1107" s="152"/>
      <c r="H1107" s="153"/>
      <c r="I1107" s="153"/>
      <c r="J1107" s="153"/>
      <c r="K1107" s="153"/>
      <c r="L1107" s="153"/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</row>
    <row r="1108" spans="1:27" ht="17.399999999999999">
      <c r="A1108" s="156"/>
      <c r="B1108" s="152"/>
      <c r="C1108" s="152"/>
      <c r="D1108" s="152"/>
      <c r="E1108" s="152"/>
      <c r="F1108" s="152"/>
      <c r="G1108" s="152"/>
      <c r="H1108" s="153"/>
      <c r="I1108" s="153"/>
      <c r="J1108" s="153"/>
      <c r="K1108" s="153"/>
      <c r="L1108" s="153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</row>
    <row r="1109" spans="1:27" ht="17.399999999999999">
      <c r="A1109" s="156"/>
      <c r="B1109" s="152"/>
      <c r="C1109" s="152"/>
      <c r="D1109" s="152"/>
      <c r="E1109" s="152"/>
      <c r="F1109" s="152"/>
      <c r="G1109" s="152"/>
      <c r="H1109" s="153"/>
      <c r="I1109" s="153"/>
      <c r="J1109" s="153"/>
      <c r="K1109" s="153"/>
      <c r="L1109" s="153"/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</row>
    <row r="1110" spans="1:27" ht="17.399999999999999">
      <c r="A1110" s="156"/>
      <c r="B1110" s="152"/>
      <c r="C1110" s="152"/>
      <c r="D1110" s="152"/>
      <c r="E1110" s="152"/>
      <c r="F1110" s="152"/>
      <c r="G1110" s="152"/>
      <c r="H1110" s="153"/>
      <c r="I1110" s="153"/>
      <c r="J1110" s="153"/>
      <c r="K1110" s="153"/>
      <c r="L1110" s="153"/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</row>
    <row r="1111" spans="1:27" ht="17.399999999999999">
      <c r="A1111" s="156"/>
      <c r="B1111" s="152"/>
      <c r="C1111" s="152"/>
      <c r="D1111" s="152"/>
      <c r="E1111" s="152"/>
      <c r="F1111" s="152"/>
      <c r="G1111" s="152"/>
      <c r="H1111" s="153"/>
      <c r="I1111" s="153"/>
      <c r="J1111" s="153"/>
      <c r="K1111" s="153"/>
      <c r="L1111" s="153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</row>
    <row r="1112" spans="1:27" ht="17.399999999999999">
      <c r="A1112" s="156"/>
      <c r="B1112" s="152"/>
      <c r="C1112" s="152"/>
      <c r="D1112" s="152"/>
      <c r="E1112" s="152"/>
      <c r="F1112" s="152"/>
      <c r="G1112" s="152"/>
      <c r="H1112" s="153"/>
      <c r="I1112" s="153"/>
      <c r="J1112" s="153"/>
      <c r="K1112" s="153"/>
      <c r="L1112" s="153"/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</row>
    <row r="1113" spans="1:27" ht="17.399999999999999">
      <c r="A1113" s="156"/>
      <c r="B1113" s="152"/>
      <c r="C1113" s="152"/>
      <c r="D1113" s="152"/>
      <c r="E1113" s="152"/>
      <c r="F1113" s="152"/>
      <c r="G1113" s="152"/>
      <c r="H1113" s="153"/>
      <c r="I1113" s="153"/>
      <c r="J1113" s="153"/>
      <c r="K1113" s="153"/>
      <c r="L1113" s="153"/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</row>
    <row r="1114" spans="1:27" ht="17.399999999999999">
      <c r="A1114" s="156"/>
      <c r="B1114" s="152"/>
      <c r="C1114" s="152"/>
      <c r="D1114" s="152"/>
      <c r="E1114" s="152"/>
      <c r="F1114" s="152"/>
      <c r="G1114" s="152"/>
      <c r="H1114" s="153"/>
      <c r="I1114" s="153"/>
      <c r="J1114" s="153"/>
      <c r="K1114" s="153"/>
      <c r="L1114" s="153"/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</row>
    <row r="1115" spans="1:27" ht="17.399999999999999">
      <c r="A1115" s="156"/>
      <c r="B1115" s="152"/>
      <c r="C1115" s="152"/>
      <c r="D1115" s="152"/>
      <c r="E1115" s="152"/>
      <c r="F1115" s="152"/>
      <c r="G1115" s="152"/>
      <c r="H1115" s="153"/>
      <c r="I1115" s="153"/>
      <c r="J1115" s="153"/>
      <c r="K1115" s="153"/>
      <c r="L1115" s="153"/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</row>
    <row r="1116" spans="1:27" ht="17.399999999999999">
      <c r="A1116" s="156"/>
      <c r="B1116" s="152"/>
      <c r="C1116" s="152"/>
      <c r="D1116" s="152"/>
      <c r="E1116" s="152"/>
      <c r="F1116" s="152"/>
      <c r="G1116" s="152"/>
      <c r="H1116" s="153"/>
      <c r="I1116" s="153"/>
      <c r="J1116" s="153"/>
      <c r="K1116" s="153"/>
      <c r="L1116" s="153"/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</row>
    <row r="1117" spans="1:27" ht="17.399999999999999">
      <c r="A1117" s="156"/>
      <c r="B1117" s="152"/>
      <c r="C1117" s="152"/>
      <c r="D1117" s="152"/>
      <c r="E1117" s="152"/>
      <c r="F1117" s="152"/>
      <c r="G1117" s="152"/>
      <c r="H1117" s="153"/>
      <c r="I1117" s="153"/>
      <c r="J1117" s="153"/>
      <c r="K1117" s="153"/>
      <c r="L1117" s="153"/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</row>
    <row r="1118" spans="1:27" ht="17.399999999999999">
      <c r="A1118" s="156"/>
      <c r="B1118" s="152"/>
      <c r="C1118" s="152"/>
      <c r="D1118" s="152"/>
      <c r="E1118" s="152"/>
      <c r="F1118" s="152"/>
      <c r="G1118" s="152"/>
      <c r="H1118" s="153"/>
      <c r="I1118" s="153"/>
      <c r="J1118" s="153"/>
      <c r="K1118" s="153"/>
      <c r="L1118" s="153"/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</row>
    <row r="1119" spans="1:27" ht="17.399999999999999">
      <c r="A1119" s="156"/>
      <c r="B1119" s="152"/>
      <c r="C1119" s="152"/>
      <c r="D1119" s="152"/>
      <c r="E1119" s="152"/>
      <c r="F1119" s="152"/>
      <c r="G1119" s="152"/>
      <c r="H1119" s="153"/>
      <c r="I1119" s="153"/>
      <c r="J1119" s="153"/>
      <c r="K1119" s="153"/>
      <c r="L1119" s="153"/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</row>
    <row r="1120" spans="1:27" ht="17.399999999999999">
      <c r="A1120" s="156"/>
      <c r="B1120" s="152"/>
      <c r="C1120" s="152"/>
      <c r="D1120" s="152"/>
      <c r="E1120" s="152"/>
      <c r="F1120" s="152"/>
      <c r="G1120" s="152"/>
      <c r="H1120" s="153"/>
      <c r="I1120" s="153"/>
      <c r="J1120" s="153"/>
      <c r="K1120" s="153"/>
      <c r="L1120" s="153"/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</row>
    <row r="1121" spans="1:27" ht="17.399999999999999">
      <c r="A1121" s="156"/>
      <c r="B1121" s="152"/>
      <c r="C1121" s="152"/>
      <c r="D1121" s="152"/>
      <c r="E1121" s="152"/>
      <c r="F1121" s="152"/>
      <c r="G1121" s="152"/>
      <c r="H1121" s="153"/>
      <c r="I1121" s="153"/>
      <c r="J1121" s="153"/>
      <c r="K1121" s="153"/>
      <c r="L1121" s="153"/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</row>
    <row r="1122" spans="1:27" ht="17.399999999999999">
      <c r="A1122" s="156"/>
      <c r="B1122" s="152"/>
      <c r="C1122" s="152"/>
      <c r="D1122" s="152"/>
      <c r="E1122" s="152"/>
      <c r="F1122" s="152"/>
      <c r="G1122" s="152"/>
      <c r="H1122" s="153"/>
      <c r="I1122" s="153"/>
      <c r="J1122" s="153"/>
      <c r="K1122" s="153"/>
      <c r="L1122" s="153"/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</row>
    <row r="1123" spans="1:27" ht="17.399999999999999">
      <c r="A1123" s="156"/>
      <c r="B1123" s="152"/>
      <c r="C1123" s="152"/>
      <c r="D1123" s="152"/>
      <c r="E1123" s="152"/>
      <c r="F1123" s="152"/>
      <c r="G1123" s="152"/>
      <c r="H1123" s="153"/>
      <c r="I1123" s="153"/>
      <c r="J1123" s="153"/>
      <c r="K1123" s="153"/>
      <c r="L1123" s="153"/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</row>
    <row r="1124" spans="1:27" ht="17.399999999999999">
      <c r="A1124" s="156"/>
      <c r="B1124" s="152"/>
      <c r="C1124" s="152"/>
      <c r="D1124" s="152"/>
      <c r="E1124" s="152"/>
      <c r="F1124" s="152"/>
      <c r="G1124" s="152"/>
      <c r="H1124" s="153"/>
      <c r="I1124" s="153"/>
      <c r="J1124" s="153"/>
      <c r="K1124" s="153"/>
      <c r="L1124" s="153"/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</row>
    <row r="1125" spans="1:27" ht="17.399999999999999">
      <c r="A1125" s="156"/>
      <c r="B1125" s="152"/>
      <c r="C1125" s="152"/>
      <c r="D1125" s="152"/>
      <c r="E1125" s="152"/>
      <c r="F1125" s="152"/>
      <c r="G1125" s="152"/>
      <c r="H1125" s="153"/>
      <c r="I1125" s="153"/>
      <c r="J1125" s="153"/>
      <c r="K1125" s="153"/>
      <c r="L1125" s="153"/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</row>
    <row r="1126" spans="1:27" ht="17.399999999999999">
      <c r="A1126" s="156"/>
      <c r="B1126" s="152"/>
      <c r="C1126" s="152"/>
      <c r="D1126" s="152"/>
      <c r="E1126" s="152"/>
      <c r="F1126" s="152"/>
      <c r="G1126" s="152"/>
      <c r="H1126" s="153"/>
      <c r="I1126" s="153"/>
      <c r="J1126" s="153"/>
      <c r="K1126" s="153"/>
      <c r="L1126" s="153"/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</row>
    <row r="1127" spans="1:27" ht="17.399999999999999">
      <c r="A1127" s="156"/>
      <c r="B1127" s="152"/>
      <c r="C1127" s="152"/>
      <c r="D1127" s="152"/>
      <c r="E1127" s="152"/>
      <c r="F1127" s="152"/>
      <c r="G1127" s="152"/>
      <c r="H1127" s="153"/>
      <c r="I1127" s="153"/>
      <c r="J1127" s="153"/>
      <c r="K1127" s="153"/>
      <c r="L1127" s="153"/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</row>
    <row r="1128" spans="1:27" ht="17.399999999999999">
      <c r="A1128" s="156"/>
      <c r="B1128" s="152"/>
      <c r="C1128" s="152"/>
      <c r="D1128" s="152"/>
      <c r="E1128" s="152"/>
      <c r="F1128" s="152"/>
      <c r="G1128" s="152"/>
      <c r="H1128" s="153"/>
      <c r="I1128" s="153"/>
      <c r="J1128" s="153"/>
      <c r="K1128" s="153"/>
      <c r="L1128" s="153"/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</row>
    <row r="1129" spans="1:27" ht="17.399999999999999">
      <c r="A1129" s="156"/>
      <c r="B1129" s="152"/>
      <c r="C1129" s="152"/>
      <c r="D1129" s="152"/>
      <c r="E1129" s="152"/>
      <c r="F1129" s="152"/>
      <c r="G1129" s="152"/>
      <c r="H1129" s="153"/>
      <c r="I1129" s="153"/>
      <c r="J1129" s="153"/>
      <c r="K1129" s="153"/>
      <c r="L1129" s="153"/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</row>
    <row r="1130" spans="1:27" ht="17.399999999999999">
      <c r="A1130" s="156"/>
      <c r="B1130" s="152"/>
      <c r="C1130" s="152"/>
      <c r="D1130" s="152"/>
      <c r="E1130" s="152"/>
      <c r="F1130" s="152"/>
      <c r="G1130" s="152"/>
      <c r="H1130" s="153"/>
      <c r="I1130" s="153"/>
      <c r="J1130" s="153"/>
      <c r="K1130" s="153"/>
      <c r="L1130" s="153"/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</row>
    <row r="1131" spans="1:27" ht="17.399999999999999">
      <c r="A1131" s="156"/>
      <c r="B1131" s="152"/>
      <c r="C1131" s="152"/>
      <c r="D1131" s="152"/>
      <c r="E1131" s="152"/>
      <c r="F1131" s="152"/>
      <c r="G1131" s="152"/>
      <c r="H1131" s="153"/>
      <c r="I1131" s="153"/>
      <c r="J1131" s="153"/>
      <c r="K1131" s="153"/>
      <c r="L1131" s="153"/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</row>
    <row r="1132" spans="1:27" ht="17.399999999999999">
      <c r="A1132" s="156"/>
      <c r="B1132" s="152"/>
      <c r="C1132" s="152"/>
      <c r="D1132" s="152"/>
      <c r="E1132" s="152"/>
      <c r="F1132" s="152"/>
      <c r="G1132" s="152"/>
      <c r="H1132" s="153"/>
      <c r="I1132" s="153"/>
      <c r="J1132" s="153"/>
      <c r="K1132" s="153"/>
      <c r="L1132" s="153"/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</row>
    <row r="1133" spans="1:27" ht="17.399999999999999">
      <c r="A1133" s="156"/>
      <c r="B1133" s="152"/>
      <c r="C1133" s="152"/>
      <c r="D1133" s="152"/>
      <c r="E1133" s="152"/>
      <c r="F1133" s="152"/>
      <c r="G1133" s="152"/>
      <c r="H1133" s="153"/>
      <c r="I1133" s="153"/>
      <c r="J1133" s="153"/>
      <c r="K1133" s="153"/>
      <c r="L1133" s="153"/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</row>
    <row r="1134" spans="1:27" ht="17.399999999999999">
      <c r="A1134" s="156"/>
      <c r="B1134" s="152"/>
      <c r="C1134" s="152"/>
      <c r="D1134" s="152"/>
      <c r="E1134" s="152"/>
      <c r="F1134" s="152"/>
      <c r="G1134" s="152"/>
      <c r="H1134" s="153"/>
      <c r="I1134" s="153"/>
      <c r="J1134" s="153"/>
      <c r="K1134" s="153"/>
      <c r="L1134" s="153"/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</row>
    <row r="1135" spans="1:27" ht="17.399999999999999">
      <c r="A1135" s="156"/>
      <c r="B1135" s="152"/>
      <c r="C1135" s="152"/>
      <c r="D1135" s="152"/>
      <c r="E1135" s="152"/>
      <c r="F1135" s="152"/>
      <c r="G1135" s="152"/>
      <c r="H1135" s="153"/>
      <c r="I1135" s="153"/>
      <c r="J1135" s="153"/>
      <c r="K1135" s="153"/>
      <c r="L1135" s="153"/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</row>
    <row r="1136" spans="1:27" ht="17.399999999999999">
      <c r="A1136" s="156"/>
      <c r="B1136" s="152"/>
      <c r="C1136" s="152"/>
      <c r="D1136" s="152"/>
      <c r="E1136" s="152"/>
      <c r="F1136" s="152"/>
      <c r="G1136" s="152"/>
      <c r="H1136" s="153"/>
      <c r="I1136" s="153"/>
      <c r="J1136" s="153"/>
      <c r="K1136" s="153"/>
      <c r="L1136" s="153"/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</row>
    <row r="1137" spans="1:27" ht="17.399999999999999">
      <c r="A1137" s="156"/>
      <c r="B1137" s="152"/>
      <c r="C1137" s="152"/>
      <c r="D1137" s="152"/>
      <c r="E1137" s="152"/>
      <c r="F1137" s="152"/>
      <c r="G1137" s="152"/>
      <c r="H1137" s="153"/>
      <c r="I1137" s="153"/>
      <c r="J1137" s="153"/>
      <c r="K1137" s="153"/>
      <c r="L1137" s="153"/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</row>
    <row r="1138" spans="1:27" ht="17.399999999999999">
      <c r="A1138" s="156"/>
      <c r="B1138" s="152"/>
      <c r="C1138" s="152"/>
      <c r="D1138" s="152"/>
      <c r="E1138" s="152"/>
      <c r="F1138" s="152"/>
      <c r="G1138" s="152"/>
      <c r="H1138" s="153"/>
      <c r="I1138" s="153"/>
      <c r="J1138" s="153"/>
      <c r="K1138" s="153"/>
      <c r="L1138" s="153"/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</row>
    <row r="1139" spans="1:27" ht="17.399999999999999">
      <c r="A1139" s="156"/>
      <c r="B1139" s="152"/>
      <c r="C1139" s="152"/>
      <c r="D1139" s="152"/>
      <c r="E1139" s="152"/>
      <c r="F1139" s="152"/>
      <c r="G1139" s="152"/>
      <c r="H1139" s="153"/>
      <c r="I1139" s="153"/>
      <c r="J1139" s="153"/>
      <c r="K1139" s="153"/>
      <c r="L1139" s="153"/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</row>
    <row r="1140" spans="1:27" ht="17.399999999999999">
      <c r="A1140" s="156"/>
      <c r="B1140" s="152"/>
      <c r="C1140" s="152"/>
      <c r="D1140" s="152"/>
      <c r="E1140" s="152"/>
      <c r="F1140" s="152"/>
      <c r="G1140" s="152"/>
      <c r="H1140" s="153"/>
      <c r="I1140" s="153"/>
      <c r="J1140" s="153"/>
      <c r="K1140" s="153"/>
      <c r="L1140" s="153"/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</row>
    <row r="1141" spans="1:27" ht="17.399999999999999">
      <c r="A1141" s="156"/>
      <c r="B1141" s="152"/>
      <c r="C1141" s="152"/>
      <c r="D1141" s="152"/>
      <c r="E1141" s="152"/>
      <c r="F1141" s="152"/>
      <c r="G1141" s="152"/>
      <c r="H1141" s="153"/>
      <c r="I1141" s="153"/>
      <c r="J1141" s="153"/>
      <c r="K1141" s="153"/>
      <c r="L1141" s="153"/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</row>
    <row r="1142" spans="1:27" ht="17.399999999999999">
      <c r="A1142" s="156"/>
      <c r="B1142" s="152"/>
      <c r="C1142" s="152"/>
      <c r="D1142" s="152"/>
      <c r="E1142" s="152"/>
      <c r="F1142" s="152"/>
      <c r="G1142" s="152"/>
      <c r="H1142" s="153"/>
      <c r="I1142" s="153"/>
      <c r="J1142" s="153"/>
      <c r="K1142" s="153"/>
      <c r="L1142" s="153"/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</row>
    <row r="1143" spans="1:27" ht="17.399999999999999">
      <c r="A1143" s="156"/>
      <c r="B1143" s="152"/>
      <c r="C1143" s="152"/>
      <c r="D1143" s="152"/>
      <c r="E1143" s="152"/>
      <c r="F1143" s="152"/>
      <c r="G1143" s="152"/>
      <c r="H1143" s="153"/>
      <c r="I1143" s="153"/>
      <c r="J1143" s="153"/>
      <c r="K1143" s="153"/>
      <c r="L1143" s="153"/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</row>
    <row r="1144" spans="1:27" ht="17.399999999999999">
      <c r="A1144" s="156"/>
      <c r="B1144" s="152"/>
      <c r="C1144" s="152"/>
      <c r="D1144" s="152"/>
      <c r="E1144" s="152"/>
      <c r="F1144" s="152"/>
      <c r="G1144" s="152"/>
      <c r="H1144" s="153"/>
      <c r="I1144" s="153"/>
      <c r="J1144" s="153"/>
      <c r="K1144" s="153"/>
      <c r="L1144" s="153"/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</row>
    <row r="1145" spans="1:27" ht="17.399999999999999">
      <c r="A1145" s="156"/>
      <c r="B1145" s="152"/>
      <c r="C1145" s="152"/>
      <c r="D1145" s="152"/>
      <c r="E1145" s="152"/>
      <c r="F1145" s="152"/>
      <c r="G1145" s="152"/>
      <c r="H1145" s="153"/>
      <c r="I1145" s="153"/>
      <c r="J1145" s="153"/>
      <c r="K1145" s="153"/>
      <c r="L1145" s="153"/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</row>
    <row r="1146" spans="1:27" ht="17.399999999999999">
      <c r="A1146" s="156"/>
      <c r="B1146" s="152"/>
      <c r="C1146" s="152"/>
      <c r="D1146" s="152"/>
      <c r="E1146" s="152"/>
      <c r="F1146" s="152"/>
      <c r="G1146" s="152"/>
      <c r="H1146" s="153"/>
      <c r="I1146" s="153"/>
      <c r="J1146" s="153"/>
      <c r="K1146" s="153"/>
      <c r="L1146" s="153"/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</row>
    <row r="1147" spans="1:27" ht="17.399999999999999">
      <c r="A1147" s="156"/>
      <c r="B1147" s="152"/>
      <c r="C1147" s="152"/>
      <c r="D1147" s="152"/>
      <c r="E1147" s="152"/>
      <c r="F1147" s="152"/>
      <c r="G1147" s="152"/>
      <c r="H1147" s="153"/>
      <c r="I1147" s="153"/>
      <c r="J1147" s="153"/>
      <c r="K1147" s="153"/>
      <c r="L1147" s="153"/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</row>
    <row r="1148" spans="1:27" ht="17.399999999999999">
      <c r="A1148" s="156"/>
      <c r="B1148" s="152"/>
      <c r="C1148" s="152"/>
      <c r="D1148" s="152"/>
      <c r="E1148" s="152"/>
      <c r="F1148" s="152"/>
      <c r="G1148" s="152"/>
      <c r="H1148" s="153"/>
      <c r="I1148" s="153"/>
      <c r="J1148" s="153"/>
      <c r="K1148" s="153"/>
      <c r="L1148" s="153"/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</row>
    <row r="1149" spans="1:27" ht="17.399999999999999">
      <c r="A1149" s="156"/>
      <c r="B1149" s="152"/>
      <c r="C1149" s="152"/>
      <c r="D1149" s="152"/>
      <c r="E1149" s="152"/>
      <c r="F1149" s="152"/>
      <c r="G1149" s="152"/>
      <c r="H1149" s="153"/>
      <c r="I1149" s="153"/>
      <c r="J1149" s="153"/>
      <c r="K1149" s="153"/>
      <c r="L1149" s="153"/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</row>
    <row r="1150" spans="1:27" ht="17.399999999999999">
      <c r="A1150" s="156"/>
      <c r="B1150" s="152"/>
      <c r="C1150" s="152"/>
      <c r="D1150" s="152"/>
      <c r="E1150" s="152"/>
      <c r="F1150" s="152"/>
      <c r="G1150" s="152"/>
      <c r="H1150" s="153"/>
      <c r="I1150" s="153"/>
      <c r="J1150" s="153"/>
      <c r="K1150" s="153"/>
      <c r="L1150" s="153"/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</row>
    <row r="1151" spans="1:27" ht="17.399999999999999">
      <c r="A1151" s="156"/>
      <c r="B1151" s="152"/>
      <c r="C1151" s="152"/>
      <c r="D1151" s="152"/>
      <c r="E1151" s="152"/>
      <c r="F1151" s="152"/>
      <c r="G1151" s="152"/>
      <c r="H1151" s="153"/>
      <c r="I1151" s="153"/>
      <c r="J1151" s="153"/>
      <c r="K1151" s="153"/>
      <c r="L1151" s="153"/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</row>
    <row r="1152" spans="1:27" ht="17.399999999999999">
      <c r="A1152" s="156"/>
      <c r="B1152" s="152"/>
      <c r="C1152" s="152"/>
      <c r="D1152" s="152"/>
      <c r="E1152" s="152"/>
      <c r="F1152" s="152"/>
      <c r="G1152" s="152"/>
      <c r="H1152" s="153"/>
      <c r="I1152" s="153"/>
      <c r="J1152" s="153"/>
      <c r="K1152" s="153"/>
      <c r="L1152" s="153"/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</row>
    <row r="1153" spans="1:27" ht="17.399999999999999">
      <c r="A1153" s="156"/>
      <c r="B1153" s="152"/>
      <c r="C1153" s="152"/>
      <c r="D1153" s="152"/>
      <c r="E1153" s="152"/>
      <c r="F1153" s="152"/>
      <c r="G1153" s="152"/>
      <c r="H1153" s="153"/>
      <c r="I1153" s="153"/>
      <c r="J1153" s="153"/>
      <c r="K1153" s="153"/>
      <c r="L1153" s="153"/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</row>
    <row r="1154" spans="1:27" ht="17.399999999999999">
      <c r="A1154" s="156"/>
      <c r="B1154" s="152"/>
      <c r="C1154" s="152"/>
      <c r="D1154" s="152"/>
      <c r="E1154" s="152"/>
      <c r="F1154" s="152"/>
      <c r="G1154" s="152"/>
      <c r="H1154" s="153"/>
      <c r="I1154" s="153"/>
      <c r="J1154" s="153"/>
      <c r="K1154" s="153"/>
      <c r="L1154" s="153"/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</row>
    <row r="1155" spans="1:27" ht="17.399999999999999">
      <c r="A1155" s="156"/>
      <c r="B1155" s="152"/>
      <c r="C1155" s="152"/>
      <c r="D1155" s="152"/>
      <c r="E1155" s="152"/>
      <c r="F1155" s="152"/>
      <c r="G1155" s="152"/>
      <c r="H1155" s="153"/>
      <c r="I1155" s="153"/>
      <c r="J1155" s="153"/>
      <c r="K1155" s="153"/>
      <c r="L1155" s="153"/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</row>
    <row r="1156" spans="1:27" ht="17.399999999999999">
      <c r="A1156" s="156"/>
      <c r="B1156" s="152"/>
      <c r="C1156" s="152"/>
      <c r="D1156" s="152"/>
      <c r="E1156" s="152"/>
      <c r="F1156" s="152"/>
      <c r="G1156" s="152"/>
      <c r="H1156" s="153"/>
      <c r="I1156" s="153"/>
      <c r="J1156" s="153"/>
      <c r="K1156" s="153"/>
      <c r="L1156" s="153"/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</row>
    <row r="1157" spans="1:27" ht="17.399999999999999">
      <c r="A1157" s="156"/>
      <c r="B1157" s="152"/>
      <c r="C1157" s="152"/>
      <c r="D1157" s="152"/>
      <c r="E1157" s="152"/>
      <c r="F1157" s="152"/>
      <c r="G1157" s="152"/>
      <c r="H1157" s="153"/>
      <c r="I1157" s="153"/>
      <c r="J1157" s="153"/>
      <c r="K1157" s="153"/>
      <c r="L1157" s="153"/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</row>
    <row r="1158" spans="1:27" ht="17.399999999999999">
      <c r="A1158" s="156"/>
      <c r="B1158" s="152"/>
      <c r="C1158" s="152"/>
      <c r="D1158" s="152"/>
      <c r="E1158" s="152"/>
      <c r="F1158" s="152"/>
      <c r="G1158" s="152"/>
      <c r="H1158" s="153"/>
      <c r="I1158" s="153"/>
      <c r="J1158" s="153"/>
      <c r="K1158" s="153"/>
      <c r="L1158" s="153"/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</row>
    <row r="1159" spans="1:27" ht="17.399999999999999">
      <c r="A1159" s="156"/>
      <c r="B1159" s="152"/>
      <c r="C1159" s="152"/>
      <c r="D1159" s="152"/>
      <c r="E1159" s="152"/>
      <c r="F1159" s="152"/>
      <c r="G1159" s="152"/>
      <c r="H1159" s="153"/>
      <c r="I1159" s="153"/>
      <c r="J1159" s="153"/>
      <c r="K1159" s="153"/>
      <c r="L1159" s="153"/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</row>
    <row r="1160" spans="1:27" ht="17.399999999999999">
      <c r="A1160" s="156"/>
      <c r="B1160" s="152"/>
      <c r="C1160" s="152"/>
      <c r="D1160" s="152"/>
      <c r="E1160" s="152"/>
      <c r="F1160" s="152"/>
      <c r="G1160" s="152"/>
      <c r="H1160" s="153"/>
      <c r="I1160" s="153"/>
      <c r="J1160" s="153"/>
      <c r="K1160" s="153"/>
      <c r="L1160" s="153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</row>
    <row r="1161" spans="1:27" ht="17.399999999999999">
      <c r="A1161" s="156"/>
      <c r="B1161" s="152"/>
      <c r="C1161" s="152"/>
      <c r="D1161" s="152"/>
      <c r="E1161" s="152"/>
      <c r="F1161" s="152"/>
      <c r="G1161" s="152"/>
      <c r="H1161" s="153"/>
      <c r="I1161" s="153"/>
      <c r="J1161" s="153"/>
      <c r="K1161" s="153"/>
      <c r="L1161" s="153"/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</row>
    <row r="1162" spans="1:27" ht="17.399999999999999">
      <c r="A1162" s="156"/>
      <c r="B1162" s="152"/>
      <c r="C1162" s="152"/>
      <c r="D1162" s="152"/>
      <c r="E1162" s="152"/>
      <c r="F1162" s="152"/>
      <c r="G1162" s="152"/>
      <c r="H1162" s="153"/>
      <c r="I1162" s="153"/>
      <c r="J1162" s="153"/>
      <c r="K1162" s="153"/>
      <c r="L1162" s="153"/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</row>
    <row r="1163" spans="1:27" ht="17.399999999999999">
      <c r="A1163" s="156"/>
      <c r="B1163" s="152"/>
      <c r="C1163" s="152"/>
      <c r="D1163" s="152"/>
      <c r="E1163" s="152"/>
      <c r="F1163" s="152"/>
      <c r="G1163" s="152"/>
      <c r="H1163" s="153"/>
      <c r="I1163" s="153"/>
      <c r="J1163" s="153"/>
      <c r="K1163" s="153"/>
      <c r="L1163" s="153"/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</row>
    <row r="1164" spans="1:27" ht="17.399999999999999">
      <c r="A1164" s="156"/>
      <c r="B1164" s="152"/>
      <c r="C1164" s="152"/>
      <c r="D1164" s="152"/>
      <c r="E1164" s="152"/>
      <c r="F1164" s="152"/>
      <c r="G1164" s="152"/>
      <c r="H1164" s="153"/>
      <c r="I1164" s="153"/>
      <c r="J1164" s="153"/>
      <c r="K1164" s="153"/>
      <c r="L1164" s="153"/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</row>
    <row r="1165" spans="1:27" ht="17.399999999999999">
      <c r="A1165" s="156"/>
      <c r="B1165" s="152"/>
      <c r="C1165" s="152"/>
      <c r="D1165" s="152"/>
      <c r="E1165" s="152"/>
      <c r="F1165" s="152"/>
      <c r="G1165" s="152"/>
      <c r="H1165" s="153"/>
      <c r="I1165" s="153"/>
      <c r="J1165" s="153"/>
      <c r="K1165" s="153"/>
      <c r="L1165" s="153"/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</row>
    <row r="1166" spans="1:27" ht="17.399999999999999">
      <c r="A1166" s="156"/>
      <c r="B1166" s="152"/>
      <c r="C1166" s="152"/>
      <c r="D1166" s="152"/>
      <c r="E1166" s="152"/>
      <c r="F1166" s="152"/>
      <c r="G1166" s="152"/>
      <c r="H1166" s="153"/>
      <c r="I1166" s="153"/>
      <c r="J1166" s="153"/>
      <c r="K1166" s="153"/>
      <c r="L1166" s="153"/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</row>
    <row r="1167" spans="1:27" ht="17.399999999999999">
      <c r="A1167" s="156"/>
      <c r="B1167" s="152"/>
      <c r="C1167" s="152"/>
      <c r="D1167" s="152"/>
      <c r="E1167" s="152"/>
      <c r="F1167" s="152"/>
      <c r="G1167" s="152"/>
      <c r="H1167" s="153"/>
      <c r="I1167" s="153"/>
      <c r="J1167" s="153"/>
      <c r="K1167" s="153"/>
      <c r="L1167" s="153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</row>
    <row r="1168" spans="1:27" ht="17.399999999999999">
      <c r="A1168" s="156"/>
      <c r="B1168" s="152"/>
      <c r="C1168" s="152"/>
      <c r="D1168" s="152"/>
      <c r="E1168" s="152"/>
      <c r="F1168" s="152"/>
      <c r="G1168" s="152"/>
      <c r="H1168" s="153"/>
      <c r="I1168" s="153"/>
      <c r="J1168" s="153"/>
      <c r="K1168" s="153"/>
      <c r="L1168" s="153"/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</row>
    <row r="1169" spans="1:27" ht="17.399999999999999">
      <c r="A1169" s="156"/>
      <c r="B1169" s="152"/>
      <c r="C1169" s="152"/>
      <c r="D1169" s="152"/>
      <c r="E1169" s="152"/>
      <c r="F1169" s="152"/>
      <c r="G1169" s="152"/>
      <c r="H1169" s="153"/>
      <c r="I1169" s="153"/>
      <c r="J1169" s="153"/>
      <c r="K1169" s="153"/>
      <c r="L1169" s="153"/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</row>
    <row r="1170" spans="1:27" ht="17.399999999999999">
      <c r="A1170" s="156"/>
      <c r="B1170" s="152"/>
      <c r="C1170" s="152"/>
      <c r="D1170" s="152"/>
      <c r="E1170" s="152"/>
      <c r="F1170" s="152"/>
      <c r="G1170" s="152"/>
      <c r="H1170" s="153"/>
      <c r="I1170" s="153"/>
      <c r="J1170" s="153"/>
      <c r="K1170" s="153"/>
      <c r="L1170" s="153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</row>
    <row r="1171" spans="1:27" ht="17.399999999999999">
      <c r="A1171" s="156"/>
      <c r="B1171" s="152"/>
      <c r="C1171" s="152"/>
      <c r="D1171" s="152"/>
      <c r="E1171" s="152"/>
      <c r="F1171" s="152"/>
      <c r="G1171" s="152"/>
      <c r="H1171" s="153"/>
      <c r="I1171" s="153"/>
      <c r="J1171" s="153"/>
      <c r="K1171" s="153"/>
      <c r="L1171" s="153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</row>
    <row r="1172" spans="1:27" ht="17.399999999999999">
      <c r="A1172" s="156"/>
      <c r="B1172" s="152"/>
      <c r="C1172" s="152"/>
      <c r="D1172" s="152"/>
      <c r="E1172" s="152"/>
      <c r="F1172" s="152"/>
      <c r="G1172" s="152"/>
      <c r="H1172" s="153"/>
      <c r="I1172" s="153"/>
      <c r="J1172" s="153"/>
      <c r="K1172" s="153"/>
      <c r="L1172" s="153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</row>
    <row r="1173" spans="1:27" ht="17.399999999999999">
      <c r="A1173" s="156"/>
      <c r="B1173" s="152"/>
      <c r="C1173" s="152"/>
      <c r="D1173" s="152"/>
      <c r="E1173" s="152"/>
      <c r="F1173" s="152"/>
      <c r="G1173" s="152"/>
      <c r="H1173" s="153"/>
      <c r="I1173" s="153"/>
      <c r="J1173" s="153"/>
      <c r="K1173" s="153"/>
      <c r="L1173" s="153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</row>
    <row r="1174" spans="1:27" ht="17.399999999999999">
      <c r="A1174" s="156"/>
      <c r="B1174" s="152"/>
      <c r="C1174" s="152"/>
      <c r="D1174" s="152"/>
      <c r="E1174" s="152"/>
      <c r="F1174" s="152"/>
      <c r="G1174" s="152"/>
      <c r="H1174" s="153"/>
      <c r="I1174" s="153"/>
      <c r="J1174" s="153"/>
      <c r="K1174" s="153"/>
      <c r="L1174" s="153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</row>
    <row r="1175" spans="1:27" ht="17.399999999999999">
      <c r="A1175" s="156"/>
      <c r="B1175" s="152"/>
      <c r="C1175" s="152"/>
      <c r="D1175" s="152"/>
      <c r="E1175" s="152"/>
      <c r="F1175" s="152"/>
      <c r="G1175" s="152"/>
      <c r="H1175" s="153"/>
      <c r="I1175" s="153"/>
      <c r="J1175" s="153"/>
      <c r="K1175" s="153"/>
      <c r="L1175" s="153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</row>
    <row r="1176" spans="1:27" ht="17.399999999999999">
      <c r="A1176" s="156"/>
      <c r="B1176" s="152"/>
      <c r="C1176" s="152"/>
      <c r="D1176" s="152"/>
      <c r="E1176" s="152"/>
      <c r="F1176" s="152"/>
      <c r="G1176" s="152"/>
      <c r="H1176" s="153"/>
      <c r="I1176" s="153"/>
      <c r="J1176" s="153"/>
      <c r="K1176" s="153"/>
      <c r="L1176" s="153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</row>
    <row r="1177" spans="1:27" ht="17.399999999999999">
      <c r="A1177" s="156"/>
      <c r="B1177" s="152"/>
      <c r="C1177" s="152"/>
      <c r="D1177" s="152"/>
      <c r="E1177" s="152"/>
      <c r="F1177" s="152"/>
      <c r="G1177" s="152"/>
      <c r="H1177" s="153"/>
      <c r="I1177" s="153"/>
      <c r="J1177" s="153"/>
      <c r="K1177" s="153"/>
      <c r="L1177" s="153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</row>
    <row r="1178" spans="1:27" ht="17.399999999999999">
      <c r="A1178" s="156"/>
      <c r="B1178" s="152"/>
      <c r="C1178" s="152"/>
      <c r="D1178" s="152"/>
      <c r="E1178" s="152"/>
      <c r="F1178" s="152"/>
      <c r="G1178" s="152"/>
      <c r="H1178" s="153"/>
      <c r="I1178" s="153"/>
      <c r="J1178" s="153"/>
      <c r="K1178" s="153"/>
      <c r="L1178" s="153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</row>
    <row r="1179" spans="1:27" ht="17.399999999999999">
      <c r="A1179" s="156"/>
      <c r="B1179" s="152"/>
      <c r="C1179" s="152"/>
      <c r="D1179" s="152"/>
      <c r="E1179" s="152"/>
      <c r="F1179" s="152"/>
      <c r="G1179" s="152"/>
      <c r="H1179" s="153"/>
      <c r="I1179" s="153"/>
      <c r="J1179" s="153"/>
      <c r="K1179" s="153"/>
      <c r="L1179" s="153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</row>
    <row r="1180" spans="1:27" ht="17.399999999999999">
      <c r="A1180" s="156"/>
      <c r="B1180" s="152"/>
      <c r="C1180" s="152"/>
      <c r="D1180" s="152"/>
      <c r="E1180" s="152"/>
      <c r="F1180" s="152"/>
      <c r="G1180" s="152"/>
      <c r="H1180" s="153"/>
      <c r="I1180" s="153"/>
      <c r="J1180" s="153"/>
      <c r="K1180" s="153"/>
      <c r="L1180" s="153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</row>
    <row r="1181" spans="1:27" ht="17.399999999999999">
      <c r="A1181" s="156"/>
      <c r="B1181" s="152"/>
      <c r="C1181" s="152"/>
      <c r="D1181" s="152"/>
      <c r="E1181" s="152"/>
      <c r="F1181" s="152"/>
      <c r="G1181" s="152"/>
      <c r="H1181" s="153"/>
      <c r="I1181" s="153"/>
      <c r="J1181" s="153"/>
      <c r="K1181" s="153"/>
      <c r="L1181" s="153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</row>
    <row r="1182" spans="1:27" ht="17.399999999999999">
      <c r="A1182" s="156"/>
      <c r="B1182" s="152"/>
      <c r="C1182" s="152"/>
      <c r="D1182" s="152"/>
      <c r="E1182" s="152"/>
      <c r="F1182" s="152"/>
      <c r="G1182" s="152"/>
      <c r="H1182" s="153"/>
      <c r="I1182" s="153"/>
      <c r="J1182" s="153"/>
      <c r="K1182" s="153"/>
      <c r="L1182" s="153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</row>
    <row r="1183" spans="1:27" ht="17.399999999999999">
      <c r="A1183" s="156"/>
      <c r="B1183" s="152"/>
      <c r="C1183" s="152"/>
      <c r="D1183" s="152"/>
      <c r="E1183" s="152"/>
      <c r="F1183" s="152"/>
      <c r="G1183" s="152"/>
      <c r="H1183" s="153"/>
      <c r="I1183" s="153"/>
      <c r="J1183" s="153"/>
      <c r="K1183" s="153"/>
      <c r="L1183" s="153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</row>
    <row r="1184" spans="1:27" ht="17.399999999999999">
      <c r="A1184" s="156"/>
      <c r="B1184" s="152"/>
      <c r="C1184" s="152"/>
      <c r="D1184" s="152"/>
      <c r="E1184" s="152"/>
      <c r="F1184" s="152"/>
      <c r="G1184" s="152"/>
      <c r="H1184" s="153"/>
      <c r="I1184" s="153"/>
      <c r="J1184" s="153"/>
      <c r="K1184" s="153"/>
      <c r="L1184" s="153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</row>
    <row r="1185" spans="1:27" ht="17.399999999999999">
      <c r="A1185" s="156"/>
      <c r="B1185" s="152"/>
      <c r="C1185" s="152"/>
      <c r="D1185" s="152"/>
      <c r="E1185" s="152"/>
      <c r="F1185" s="152"/>
      <c r="G1185" s="152"/>
      <c r="H1185" s="153"/>
      <c r="I1185" s="153"/>
      <c r="J1185" s="153"/>
      <c r="K1185" s="153"/>
      <c r="L1185" s="153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</row>
    <row r="1186" spans="1:27" ht="17.399999999999999">
      <c r="A1186" s="156"/>
      <c r="B1186" s="152"/>
      <c r="C1186" s="152"/>
      <c r="D1186" s="152"/>
      <c r="E1186" s="152"/>
      <c r="F1186" s="152"/>
      <c r="G1186" s="152"/>
      <c r="H1186" s="153"/>
      <c r="I1186" s="153"/>
      <c r="J1186" s="153"/>
      <c r="K1186" s="153"/>
      <c r="L1186" s="153"/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</row>
    <row r="1187" spans="1:27" ht="17.399999999999999">
      <c r="A1187" s="156"/>
      <c r="B1187" s="152"/>
      <c r="C1187" s="152"/>
      <c r="D1187" s="152"/>
      <c r="E1187" s="152"/>
      <c r="F1187" s="152"/>
      <c r="G1187" s="152"/>
      <c r="H1187" s="153"/>
      <c r="I1187" s="153"/>
      <c r="J1187" s="153"/>
      <c r="K1187" s="153"/>
      <c r="L1187" s="153"/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</row>
    <row r="1188" spans="1:27" ht="17.399999999999999">
      <c r="A1188" s="156"/>
      <c r="B1188" s="152"/>
      <c r="C1188" s="152"/>
      <c r="D1188" s="152"/>
      <c r="E1188" s="152"/>
      <c r="F1188" s="152"/>
      <c r="G1188" s="152"/>
      <c r="H1188" s="153"/>
      <c r="I1188" s="153"/>
      <c r="J1188" s="153"/>
      <c r="K1188" s="153"/>
      <c r="L1188" s="153"/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</row>
    <row r="1189" spans="1:27" ht="17.399999999999999">
      <c r="A1189" s="156"/>
      <c r="B1189" s="152"/>
      <c r="C1189" s="152"/>
      <c r="D1189" s="152"/>
      <c r="E1189" s="152"/>
      <c r="F1189" s="152"/>
      <c r="G1189" s="152"/>
      <c r="H1189" s="153"/>
      <c r="I1189" s="153"/>
      <c r="J1189" s="153"/>
      <c r="K1189" s="153"/>
      <c r="L1189" s="153"/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</row>
    <row r="1190" spans="1:27" ht="17.399999999999999">
      <c r="A1190" s="156"/>
      <c r="B1190" s="152"/>
      <c r="C1190" s="152"/>
      <c r="D1190" s="152"/>
      <c r="E1190" s="152"/>
      <c r="F1190" s="152"/>
      <c r="G1190" s="152"/>
      <c r="H1190" s="153"/>
      <c r="I1190" s="153"/>
      <c r="J1190" s="153"/>
      <c r="K1190" s="153"/>
      <c r="L1190" s="153"/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</row>
    <row r="1191" spans="1:27" ht="17.399999999999999">
      <c r="A1191" s="156"/>
      <c r="B1191" s="152"/>
      <c r="C1191" s="152"/>
      <c r="D1191" s="152"/>
      <c r="E1191" s="152"/>
      <c r="F1191" s="152"/>
      <c r="G1191" s="152"/>
      <c r="H1191" s="153"/>
      <c r="I1191" s="153"/>
      <c r="J1191" s="153"/>
      <c r="K1191" s="153"/>
      <c r="L1191" s="153"/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</row>
    <row r="1192" spans="1:27" ht="17.399999999999999">
      <c r="A1192" s="156"/>
      <c r="B1192" s="152"/>
      <c r="C1192" s="152"/>
      <c r="D1192" s="152"/>
      <c r="E1192" s="152"/>
      <c r="F1192" s="152"/>
      <c r="G1192" s="152"/>
      <c r="H1192" s="153"/>
      <c r="I1192" s="153"/>
      <c r="J1192" s="153"/>
      <c r="K1192" s="153"/>
      <c r="L1192" s="153"/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</row>
    <row r="1193" spans="1:27" ht="17.399999999999999">
      <c r="A1193" s="156"/>
      <c r="B1193" s="152"/>
      <c r="C1193" s="152"/>
      <c r="D1193" s="152"/>
      <c r="E1193" s="152"/>
      <c r="F1193" s="152"/>
      <c r="G1193" s="152"/>
      <c r="H1193" s="153"/>
      <c r="I1193" s="153"/>
      <c r="J1193" s="153"/>
      <c r="K1193" s="153"/>
      <c r="L1193" s="153"/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</row>
    <row r="1194" spans="1:27" ht="17.399999999999999">
      <c r="A1194" s="156"/>
      <c r="B1194" s="152"/>
      <c r="C1194" s="152"/>
      <c r="D1194" s="152"/>
      <c r="E1194" s="152"/>
      <c r="F1194" s="152"/>
      <c r="G1194" s="152"/>
      <c r="H1194" s="153"/>
      <c r="I1194" s="153"/>
      <c r="J1194" s="153"/>
      <c r="K1194" s="153"/>
      <c r="L1194" s="153"/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</row>
    <row r="1195" spans="1:27" ht="17.399999999999999">
      <c r="A1195" s="156"/>
      <c r="B1195" s="152"/>
      <c r="C1195" s="152"/>
      <c r="D1195" s="152"/>
      <c r="E1195" s="152"/>
      <c r="F1195" s="152"/>
      <c r="G1195" s="152"/>
      <c r="H1195" s="153"/>
      <c r="I1195" s="153"/>
      <c r="J1195" s="153"/>
      <c r="K1195" s="153"/>
      <c r="L1195" s="153"/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</row>
    <row r="1196" spans="1:27" ht="17.399999999999999">
      <c r="A1196" s="156"/>
      <c r="B1196" s="152"/>
      <c r="C1196" s="152"/>
      <c r="D1196" s="152"/>
      <c r="E1196" s="152"/>
      <c r="F1196" s="152"/>
      <c r="G1196" s="152"/>
      <c r="H1196" s="153"/>
      <c r="I1196" s="153"/>
      <c r="J1196" s="153"/>
      <c r="K1196" s="153"/>
      <c r="L1196" s="153"/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</row>
    <row r="1197" spans="1:27" ht="17.399999999999999">
      <c r="A1197" s="156"/>
      <c r="B1197" s="152"/>
      <c r="C1197" s="152"/>
      <c r="D1197" s="152"/>
      <c r="E1197" s="152"/>
      <c r="F1197" s="152"/>
      <c r="G1197" s="152"/>
      <c r="H1197" s="153"/>
      <c r="I1197" s="153"/>
      <c r="J1197" s="153"/>
      <c r="K1197" s="153"/>
      <c r="L1197" s="153"/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</row>
    <row r="1198" spans="1:27" ht="17.399999999999999">
      <c r="A1198" s="156"/>
      <c r="B1198" s="152"/>
      <c r="C1198" s="152"/>
      <c r="D1198" s="152"/>
      <c r="E1198" s="152"/>
      <c r="F1198" s="152"/>
      <c r="G1198" s="152"/>
      <c r="H1198" s="153"/>
      <c r="I1198" s="153"/>
      <c r="J1198" s="153"/>
      <c r="K1198" s="153"/>
      <c r="L1198" s="153"/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</row>
    <row r="1199" spans="1:27" ht="17.399999999999999">
      <c r="A1199" s="156"/>
      <c r="B1199" s="152"/>
      <c r="C1199" s="152"/>
      <c r="D1199" s="152"/>
      <c r="E1199" s="152"/>
      <c r="F1199" s="152"/>
      <c r="G1199" s="152"/>
      <c r="H1199" s="153"/>
      <c r="I1199" s="153"/>
      <c r="J1199" s="153"/>
      <c r="K1199" s="153"/>
      <c r="L1199" s="153"/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</row>
    <row r="1200" spans="1:27" ht="17.399999999999999">
      <c r="A1200" s="156"/>
      <c r="B1200" s="152"/>
      <c r="C1200" s="152"/>
      <c r="D1200" s="152"/>
      <c r="E1200" s="152"/>
      <c r="F1200" s="152"/>
      <c r="G1200" s="152"/>
      <c r="H1200" s="153"/>
      <c r="I1200" s="153"/>
      <c r="J1200" s="153"/>
      <c r="K1200" s="153"/>
      <c r="L1200" s="153"/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</row>
    <row r="1201" spans="1:27" ht="17.399999999999999">
      <c r="A1201" s="156"/>
      <c r="B1201" s="152"/>
      <c r="C1201" s="152"/>
      <c r="D1201" s="152"/>
      <c r="E1201" s="152"/>
      <c r="F1201" s="152"/>
      <c r="G1201" s="152"/>
      <c r="H1201" s="153"/>
      <c r="I1201" s="153"/>
      <c r="J1201" s="153"/>
      <c r="K1201" s="153"/>
      <c r="L1201" s="153"/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</row>
    <row r="1202" spans="1:27" ht="17.399999999999999">
      <c r="A1202" s="156"/>
      <c r="B1202" s="152"/>
      <c r="C1202" s="152"/>
      <c r="D1202" s="152"/>
      <c r="E1202" s="152"/>
      <c r="F1202" s="152"/>
      <c r="G1202" s="152"/>
      <c r="H1202" s="153"/>
      <c r="I1202" s="153"/>
      <c r="J1202" s="153"/>
      <c r="K1202" s="153"/>
      <c r="L1202" s="153"/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</row>
    <row r="1203" spans="1:27" ht="17.399999999999999">
      <c r="A1203" s="156"/>
      <c r="B1203" s="152"/>
      <c r="C1203" s="152"/>
      <c r="D1203" s="152"/>
      <c r="E1203" s="152"/>
      <c r="F1203" s="152"/>
      <c r="G1203" s="152"/>
      <c r="H1203" s="153"/>
      <c r="I1203" s="153"/>
      <c r="J1203" s="153"/>
      <c r="K1203" s="153"/>
      <c r="L1203" s="153"/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</row>
    <row r="1204" spans="1:27" ht="17.399999999999999">
      <c r="A1204" s="156"/>
      <c r="B1204" s="152"/>
      <c r="C1204" s="152"/>
      <c r="D1204" s="152"/>
      <c r="E1204" s="152"/>
      <c r="F1204" s="152"/>
      <c r="G1204" s="152"/>
      <c r="H1204" s="153"/>
      <c r="I1204" s="153"/>
      <c r="J1204" s="153"/>
      <c r="K1204" s="153"/>
      <c r="L1204" s="153"/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</row>
    <row r="1205" spans="1:27" ht="17.399999999999999">
      <c r="A1205" s="156"/>
      <c r="B1205" s="152"/>
      <c r="C1205" s="152"/>
      <c r="D1205" s="152"/>
      <c r="E1205" s="152"/>
      <c r="F1205" s="152"/>
      <c r="G1205" s="152"/>
      <c r="H1205" s="153"/>
      <c r="I1205" s="153"/>
      <c r="J1205" s="153"/>
      <c r="K1205" s="153"/>
      <c r="L1205" s="153"/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</row>
    <row r="1206" spans="1:27" ht="17.399999999999999">
      <c r="A1206" s="156"/>
      <c r="B1206" s="152"/>
      <c r="C1206" s="152"/>
      <c r="D1206" s="152"/>
      <c r="E1206" s="152"/>
      <c r="F1206" s="152"/>
      <c r="G1206" s="152"/>
      <c r="H1206" s="153"/>
      <c r="I1206" s="153"/>
      <c r="J1206" s="153"/>
      <c r="K1206" s="153"/>
      <c r="L1206" s="153"/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</row>
    <row r="1207" spans="1:27" ht="17.399999999999999">
      <c r="A1207" s="156"/>
      <c r="B1207" s="152"/>
      <c r="C1207" s="152"/>
      <c r="D1207" s="152"/>
      <c r="E1207" s="152"/>
      <c r="F1207" s="152"/>
      <c r="G1207" s="152"/>
      <c r="H1207" s="153"/>
      <c r="I1207" s="153"/>
      <c r="J1207" s="153"/>
      <c r="K1207" s="153"/>
      <c r="L1207" s="153"/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</row>
    <row r="1208" spans="1:27" ht="17.399999999999999">
      <c r="A1208" s="156"/>
      <c r="B1208" s="152"/>
      <c r="C1208" s="152"/>
      <c r="D1208" s="152"/>
      <c r="E1208" s="152"/>
      <c r="F1208" s="152"/>
      <c r="G1208" s="152"/>
      <c r="H1208" s="153"/>
      <c r="I1208" s="153"/>
      <c r="J1208" s="153"/>
      <c r="K1208" s="153"/>
      <c r="L1208" s="153"/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</row>
    <row r="1209" spans="1:27" ht="17.399999999999999">
      <c r="A1209" s="156"/>
      <c r="B1209" s="152"/>
      <c r="C1209" s="152"/>
      <c r="D1209" s="152"/>
      <c r="E1209" s="152"/>
      <c r="F1209" s="152"/>
      <c r="G1209" s="152"/>
      <c r="H1209" s="153"/>
      <c r="I1209" s="153"/>
      <c r="J1209" s="153"/>
      <c r="K1209" s="153"/>
      <c r="L1209" s="153"/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</row>
    <row r="1210" spans="1:27" ht="17.399999999999999">
      <c r="A1210" s="156"/>
      <c r="B1210" s="152"/>
      <c r="C1210" s="152"/>
      <c r="D1210" s="152"/>
      <c r="E1210" s="152"/>
      <c r="F1210" s="152"/>
      <c r="G1210" s="152"/>
      <c r="H1210" s="153"/>
      <c r="I1210" s="153"/>
      <c r="J1210" s="153"/>
      <c r="K1210" s="153"/>
      <c r="L1210" s="153"/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</row>
    <row r="1211" spans="1:27" ht="17.399999999999999">
      <c r="A1211" s="156"/>
      <c r="B1211" s="152"/>
      <c r="C1211" s="152"/>
      <c r="D1211" s="152"/>
      <c r="E1211" s="152"/>
      <c r="F1211" s="152"/>
      <c r="G1211" s="152"/>
      <c r="H1211" s="153"/>
      <c r="I1211" s="153"/>
      <c r="J1211" s="153"/>
      <c r="K1211" s="153"/>
      <c r="L1211" s="153"/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</row>
    <row r="1212" spans="1:27" ht="17.399999999999999">
      <c r="A1212" s="156"/>
      <c r="B1212" s="152"/>
      <c r="C1212" s="152"/>
      <c r="D1212" s="152"/>
      <c r="E1212" s="152"/>
      <c r="F1212" s="152"/>
      <c r="G1212" s="152"/>
      <c r="H1212" s="153"/>
      <c r="I1212" s="153"/>
      <c r="J1212" s="153"/>
      <c r="K1212" s="153"/>
      <c r="L1212" s="153"/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</row>
    <row r="1213" spans="1:27" ht="17.399999999999999">
      <c r="A1213" s="156"/>
      <c r="B1213" s="152"/>
      <c r="C1213" s="152"/>
      <c r="D1213" s="152"/>
      <c r="E1213" s="152"/>
      <c r="F1213" s="152"/>
      <c r="G1213" s="152"/>
      <c r="H1213" s="153"/>
      <c r="I1213" s="153"/>
      <c r="J1213" s="153"/>
      <c r="K1213" s="153"/>
      <c r="L1213" s="153"/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</row>
    <row r="1214" spans="1:27" ht="17.399999999999999">
      <c r="A1214" s="156"/>
      <c r="B1214" s="152"/>
      <c r="C1214" s="152"/>
      <c r="D1214" s="152"/>
      <c r="E1214" s="152"/>
      <c r="F1214" s="152"/>
      <c r="G1214" s="152"/>
      <c r="H1214" s="153"/>
      <c r="I1214" s="153"/>
      <c r="J1214" s="153"/>
      <c r="K1214" s="153"/>
      <c r="L1214" s="153"/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</row>
    <row r="1215" spans="1:27" ht="17.399999999999999">
      <c r="A1215" s="156"/>
      <c r="B1215" s="152"/>
      <c r="C1215" s="152"/>
      <c r="D1215" s="152"/>
      <c r="E1215" s="152"/>
      <c r="F1215" s="152"/>
      <c r="G1215" s="152"/>
      <c r="H1215" s="153"/>
      <c r="I1215" s="153"/>
      <c r="J1215" s="153"/>
      <c r="K1215" s="153"/>
      <c r="L1215" s="153"/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</row>
    <row r="1216" spans="1:27" ht="17.399999999999999">
      <c r="A1216" s="156"/>
      <c r="B1216" s="152"/>
      <c r="C1216" s="152"/>
      <c r="D1216" s="152"/>
      <c r="E1216" s="152"/>
      <c r="F1216" s="152"/>
      <c r="G1216" s="152"/>
      <c r="H1216" s="153"/>
      <c r="I1216" s="153"/>
      <c r="J1216" s="153"/>
      <c r="K1216" s="153"/>
      <c r="L1216" s="153"/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</row>
    <row r="1217" spans="1:27" ht="17.399999999999999">
      <c r="A1217" s="156"/>
      <c r="B1217" s="152"/>
      <c r="C1217" s="152"/>
      <c r="D1217" s="152"/>
      <c r="E1217" s="152"/>
      <c r="F1217" s="152"/>
      <c r="G1217" s="152"/>
      <c r="H1217" s="153"/>
      <c r="I1217" s="153"/>
      <c r="J1217" s="153"/>
      <c r="K1217" s="153"/>
      <c r="L1217" s="153"/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</row>
    <row r="1218" spans="1:27" ht="17.399999999999999">
      <c r="A1218" s="156"/>
      <c r="B1218" s="152"/>
      <c r="C1218" s="152"/>
      <c r="D1218" s="152"/>
      <c r="E1218" s="152"/>
      <c r="F1218" s="152"/>
      <c r="G1218" s="152"/>
      <c r="H1218" s="153"/>
      <c r="I1218" s="153"/>
      <c r="J1218" s="153"/>
      <c r="K1218" s="153"/>
      <c r="L1218" s="153"/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</row>
    <row r="1219" spans="1:27" ht="17.399999999999999">
      <c r="A1219" s="156"/>
      <c r="B1219" s="152"/>
      <c r="C1219" s="152"/>
      <c r="D1219" s="152"/>
      <c r="E1219" s="152"/>
      <c r="F1219" s="152"/>
      <c r="G1219" s="152"/>
      <c r="H1219" s="153"/>
      <c r="I1219" s="153"/>
      <c r="J1219" s="153"/>
      <c r="K1219" s="153"/>
      <c r="L1219" s="153"/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</row>
    <row r="1220" spans="1:27" ht="17.399999999999999">
      <c r="A1220" s="156"/>
      <c r="B1220" s="152"/>
      <c r="C1220" s="152"/>
      <c r="D1220" s="152"/>
      <c r="E1220" s="152"/>
      <c r="F1220" s="152"/>
      <c r="G1220" s="152"/>
      <c r="H1220" s="153"/>
      <c r="I1220" s="153"/>
      <c r="J1220" s="153"/>
      <c r="K1220" s="153"/>
      <c r="L1220" s="153"/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</row>
    <row r="1221" spans="1:27" ht="17.399999999999999">
      <c r="A1221" s="156"/>
      <c r="B1221" s="152"/>
      <c r="C1221" s="152"/>
      <c r="D1221" s="152"/>
      <c r="E1221" s="152"/>
      <c r="F1221" s="152"/>
      <c r="G1221" s="152"/>
      <c r="H1221" s="153"/>
      <c r="I1221" s="153"/>
      <c r="J1221" s="153"/>
      <c r="K1221" s="153"/>
      <c r="L1221" s="153"/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</row>
    <row r="1222" spans="1:27" ht="17.399999999999999">
      <c r="A1222" s="156"/>
      <c r="B1222" s="152"/>
      <c r="C1222" s="152"/>
      <c r="D1222" s="152"/>
      <c r="E1222" s="152"/>
      <c r="F1222" s="152"/>
      <c r="G1222" s="152"/>
      <c r="H1222" s="153"/>
      <c r="I1222" s="153"/>
      <c r="J1222" s="153"/>
      <c r="K1222" s="153"/>
      <c r="L1222" s="153"/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</row>
    <row r="1223" spans="1:27" ht="17.399999999999999">
      <c r="A1223" s="156"/>
      <c r="B1223" s="152"/>
      <c r="C1223" s="152"/>
      <c r="D1223" s="152"/>
      <c r="E1223" s="152"/>
      <c r="F1223" s="152"/>
      <c r="G1223" s="152"/>
      <c r="H1223" s="153"/>
      <c r="I1223" s="153"/>
      <c r="J1223" s="153"/>
      <c r="K1223" s="153"/>
      <c r="L1223" s="153"/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</row>
    <row r="1224" spans="1:27" ht="17.399999999999999">
      <c r="A1224" s="156"/>
      <c r="B1224" s="152"/>
      <c r="C1224" s="152"/>
      <c r="D1224" s="152"/>
      <c r="E1224" s="152"/>
      <c r="F1224" s="152"/>
      <c r="G1224" s="152"/>
      <c r="H1224" s="153"/>
      <c r="I1224" s="153"/>
      <c r="J1224" s="153"/>
      <c r="K1224" s="153"/>
      <c r="L1224" s="153"/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</row>
    <row r="1225" spans="1:27" ht="17.399999999999999">
      <c r="A1225" s="156"/>
      <c r="B1225" s="152"/>
      <c r="C1225" s="152"/>
      <c r="D1225" s="152"/>
      <c r="E1225" s="152"/>
      <c r="F1225" s="152"/>
      <c r="G1225" s="152"/>
      <c r="H1225" s="153"/>
      <c r="I1225" s="153"/>
      <c r="J1225" s="153"/>
      <c r="K1225" s="153"/>
      <c r="L1225" s="153"/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</row>
    <row r="1226" spans="1:27" ht="17.399999999999999">
      <c r="A1226" s="156"/>
      <c r="B1226" s="152"/>
      <c r="C1226" s="152"/>
      <c r="D1226" s="152"/>
      <c r="E1226" s="152"/>
      <c r="F1226" s="152"/>
      <c r="G1226" s="152"/>
      <c r="H1226" s="153"/>
      <c r="I1226" s="153"/>
      <c r="J1226" s="153"/>
      <c r="K1226" s="153"/>
      <c r="L1226" s="153"/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</row>
    <row r="1227" spans="1:27" ht="17.399999999999999">
      <c r="A1227" s="156"/>
      <c r="B1227" s="152"/>
      <c r="C1227" s="152"/>
      <c r="D1227" s="152"/>
      <c r="E1227" s="152"/>
      <c r="F1227" s="152"/>
      <c r="G1227" s="152"/>
      <c r="H1227" s="153"/>
      <c r="I1227" s="153"/>
      <c r="J1227" s="153"/>
      <c r="K1227" s="153"/>
      <c r="L1227" s="153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</row>
    <row r="1228" spans="1:27" ht="17.399999999999999">
      <c r="A1228" s="156"/>
      <c r="B1228" s="152"/>
      <c r="C1228" s="152"/>
      <c r="D1228" s="152"/>
      <c r="E1228" s="152"/>
      <c r="F1228" s="152"/>
      <c r="G1228" s="152"/>
      <c r="H1228" s="153"/>
      <c r="I1228" s="153"/>
      <c r="J1228" s="153"/>
      <c r="K1228" s="153"/>
      <c r="L1228" s="153"/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</row>
    <row r="1229" spans="1:27" ht="17.399999999999999">
      <c r="A1229" s="156"/>
      <c r="B1229" s="152"/>
      <c r="C1229" s="152"/>
      <c r="D1229" s="152"/>
      <c r="E1229" s="152"/>
      <c r="F1229" s="152"/>
      <c r="G1229" s="152"/>
      <c r="H1229" s="153"/>
      <c r="I1229" s="153"/>
      <c r="J1229" s="153"/>
      <c r="K1229" s="153"/>
      <c r="L1229" s="153"/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</row>
    <row r="1230" spans="1:27" ht="17.399999999999999">
      <c r="A1230" s="156"/>
      <c r="B1230" s="152"/>
      <c r="C1230" s="152"/>
      <c r="D1230" s="152"/>
      <c r="E1230" s="152"/>
      <c r="F1230" s="152"/>
      <c r="G1230" s="152"/>
      <c r="H1230" s="153"/>
      <c r="I1230" s="153"/>
      <c r="J1230" s="153"/>
      <c r="K1230" s="153"/>
      <c r="L1230" s="153"/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</row>
    <row r="1231" spans="1:27" ht="17.399999999999999">
      <c r="A1231" s="156"/>
      <c r="B1231" s="152"/>
      <c r="C1231" s="152"/>
      <c r="D1231" s="152"/>
      <c r="E1231" s="152"/>
      <c r="F1231" s="152"/>
      <c r="G1231" s="152"/>
      <c r="H1231" s="153"/>
      <c r="I1231" s="153"/>
      <c r="J1231" s="153"/>
      <c r="K1231" s="153"/>
      <c r="L1231" s="153"/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</row>
    <row r="1232" spans="1:27" ht="17.399999999999999">
      <c r="A1232" s="156"/>
      <c r="B1232" s="152"/>
      <c r="C1232" s="152"/>
      <c r="D1232" s="152"/>
      <c r="E1232" s="152"/>
      <c r="F1232" s="152"/>
      <c r="G1232" s="152"/>
      <c r="H1232" s="153"/>
      <c r="I1232" s="153"/>
      <c r="J1232" s="153"/>
      <c r="K1232" s="153"/>
      <c r="L1232" s="153"/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</row>
    <row r="1233" spans="1:27" ht="17.399999999999999">
      <c r="A1233" s="156"/>
      <c r="B1233" s="152"/>
      <c r="C1233" s="152"/>
      <c r="D1233" s="152"/>
      <c r="E1233" s="152"/>
      <c r="F1233" s="152"/>
      <c r="G1233" s="152"/>
      <c r="H1233" s="153"/>
      <c r="I1233" s="153"/>
      <c r="J1233" s="153"/>
      <c r="K1233" s="153"/>
      <c r="L1233" s="153"/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</row>
    <row r="1234" spans="1:27" ht="17.399999999999999">
      <c r="A1234" s="156"/>
      <c r="B1234" s="152"/>
      <c r="C1234" s="152"/>
      <c r="D1234" s="152"/>
      <c r="E1234" s="152"/>
      <c r="F1234" s="152"/>
      <c r="G1234" s="152"/>
      <c r="H1234" s="153"/>
      <c r="I1234" s="153"/>
      <c r="J1234" s="153"/>
      <c r="K1234" s="153"/>
      <c r="L1234" s="153"/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</row>
    <row r="1235" spans="1:27" ht="17.399999999999999">
      <c r="A1235" s="156"/>
      <c r="B1235" s="152"/>
      <c r="C1235" s="152"/>
      <c r="D1235" s="152"/>
      <c r="E1235" s="152"/>
      <c r="F1235" s="152"/>
      <c r="G1235" s="152"/>
      <c r="H1235" s="153"/>
      <c r="I1235" s="153"/>
      <c r="J1235" s="153"/>
      <c r="K1235" s="153"/>
      <c r="L1235" s="153"/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</row>
    <row r="1236" spans="1:27" ht="17.399999999999999">
      <c r="A1236" s="156"/>
      <c r="B1236" s="152"/>
      <c r="C1236" s="152"/>
      <c r="D1236" s="152"/>
      <c r="E1236" s="152"/>
      <c r="F1236" s="152"/>
      <c r="G1236" s="152"/>
      <c r="H1236" s="153"/>
      <c r="I1236" s="153"/>
      <c r="J1236" s="153"/>
      <c r="K1236" s="153"/>
      <c r="L1236" s="153"/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</row>
    <row r="1237" spans="1:27" ht="17.399999999999999">
      <c r="A1237" s="156"/>
      <c r="B1237" s="152"/>
      <c r="C1237" s="152"/>
      <c r="D1237" s="152"/>
      <c r="E1237" s="152"/>
      <c r="F1237" s="152"/>
      <c r="G1237" s="152"/>
      <c r="H1237" s="153"/>
      <c r="I1237" s="153"/>
      <c r="J1237" s="153"/>
      <c r="K1237" s="153"/>
      <c r="L1237" s="153"/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</row>
    <row r="1238" spans="1:27" ht="17.399999999999999">
      <c r="A1238" s="156"/>
      <c r="B1238" s="152"/>
      <c r="C1238" s="152"/>
      <c r="D1238" s="152"/>
      <c r="E1238" s="152"/>
      <c r="F1238" s="152"/>
      <c r="G1238" s="152"/>
      <c r="H1238" s="153"/>
      <c r="I1238" s="153"/>
      <c r="J1238" s="153"/>
      <c r="K1238" s="153"/>
      <c r="L1238" s="153"/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</row>
    <row r="1239" spans="1:27" ht="17.399999999999999">
      <c r="A1239" s="156"/>
      <c r="B1239" s="152"/>
      <c r="C1239" s="152"/>
      <c r="D1239" s="152"/>
      <c r="E1239" s="152"/>
      <c r="F1239" s="152"/>
      <c r="G1239" s="152"/>
      <c r="H1239" s="153"/>
      <c r="I1239" s="153"/>
      <c r="J1239" s="153"/>
      <c r="K1239" s="153"/>
      <c r="L1239" s="153"/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</row>
    <row r="1240" spans="1:27" ht="17.399999999999999">
      <c r="A1240" s="156"/>
      <c r="B1240" s="152"/>
      <c r="C1240" s="152"/>
      <c r="D1240" s="152"/>
      <c r="E1240" s="152"/>
      <c r="F1240" s="152"/>
      <c r="G1240" s="152"/>
      <c r="H1240" s="153"/>
      <c r="I1240" s="153"/>
      <c r="J1240" s="153"/>
      <c r="K1240" s="153"/>
      <c r="L1240" s="153"/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</row>
    <row r="1241" spans="1:27" ht="17.399999999999999">
      <c r="A1241" s="156"/>
      <c r="B1241" s="152"/>
      <c r="C1241" s="152"/>
      <c r="D1241" s="152"/>
      <c r="E1241" s="152"/>
      <c r="F1241" s="152"/>
      <c r="G1241" s="152"/>
      <c r="H1241" s="153"/>
      <c r="I1241" s="153"/>
      <c r="J1241" s="153"/>
      <c r="K1241" s="153"/>
      <c r="L1241" s="153"/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</row>
    <row r="1242" spans="1:27" ht="17.399999999999999">
      <c r="A1242" s="156"/>
      <c r="B1242" s="152"/>
      <c r="C1242" s="152"/>
      <c r="D1242" s="152"/>
      <c r="E1242" s="152"/>
      <c r="F1242" s="152"/>
      <c r="G1242" s="152"/>
      <c r="H1242" s="153"/>
      <c r="I1242" s="153"/>
      <c r="J1242" s="153"/>
      <c r="K1242" s="153"/>
      <c r="L1242" s="153"/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</row>
    <row r="1243" spans="1:27" ht="17.399999999999999">
      <c r="A1243" s="156"/>
      <c r="B1243" s="152"/>
      <c r="C1243" s="152"/>
      <c r="D1243" s="152"/>
      <c r="E1243" s="152"/>
      <c r="F1243" s="152"/>
      <c r="G1243" s="152"/>
      <c r="H1243" s="153"/>
      <c r="I1243" s="153"/>
      <c r="J1243" s="153"/>
      <c r="K1243" s="153"/>
      <c r="L1243" s="153"/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</row>
    <row r="1244" spans="1:27" ht="17.399999999999999">
      <c r="A1244" s="156"/>
      <c r="B1244" s="152"/>
      <c r="C1244" s="152"/>
      <c r="D1244" s="152"/>
      <c r="E1244" s="152"/>
      <c r="F1244" s="152"/>
      <c r="G1244" s="152"/>
      <c r="H1244" s="153"/>
      <c r="I1244" s="153"/>
      <c r="J1244" s="153"/>
      <c r="K1244" s="153"/>
      <c r="L1244" s="153"/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</row>
    <row r="1245" spans="1:27" ht="17.399999999999999">
      <c r="A1245" s="156"/>
      <c r="B1245" s="152"/>
      <c r="C1245" s="152"/>
      <c r="D1245" s="152"/>
      <c r="E1245" s="152"/>
      <c r="F1245" s="152"/>
      <c r="G1245" s="152"/>
      <c r="H1245" s="153"/>
      <c r="I1245" s="153"/>
      <c r="J1245" s="153"/>
      <c r="K1245" s="153"/>
      <c r="L1245" s="153"/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</row>
    <row r="1246" spans="1:27" ht="17.399999999999999">
      <c r="A1246" s="156"/>
      <c r="B1246" s="152"/>
      <c r="C1246" s="152"/>
      <c r="D1246" s="152"/>
      <c r="E1246" s="152"/>
      <c r="F1246" s="152"/>
      <c r="G1246" s="152"/>
      <c r="H1246" s="153"/>
      <c r="I1246" s="153"/>
      <c r="J1246" s="153"/>
      <c r="K1246" s="153"/>
      <c r="L1246" s="153"/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</row>
    <row r="1247" spans="1:27" ht="17.399999999999999">
      <c r="A1247" s="156"/>
      <c r="B1247" s="152"/>
      <c r="C1247" s="152"/>
      <c r="D1247" s="152"/>
      <c r="E1247" s="152"/>
      <c r="F1247" s="152"/>
      <c r="G1247" s="152"/>
      <c r="H1247" s="153"/>
      <c r="I1247" s="153"/>
      <c r="J1247" s="153"/>
      <c r="K1247" s="153"/>
      <c r="L1247" s="153"/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</row>
    <row r="1248" spans="1:27" ht="17.399999999999999">
      <c r="A1248" s="156"/>
      <c r="B1248" s="152"/>
      <c r="C1248" s="152"/>
      <c r="D1248" s="152"/>
      <c r="E1248" s="152"/>
      <c r="F1248" s="152"/>
      <c r="G1248" s="152"/>
      <c r="H1248" s="153"/>
      <c r="I1248" s="153"/>
      <c r="J1248" s="153"/>
      <c r="K1248" s="153"/>
      <c r="L1248" s="153"/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</row>
    <row r="1249" spans="1:27" ht="17.399999999999999">
      <c r="A1249" s="156"/>
      <c r="B1249" s="152"/>
      <c r="C1249" s="152"/>
      <c r="D1249" s="152"/>
      <c r="E1249" s="152"/>
      <c r="F1249" s="152"/>
      <c r="G1249" s="152"/>
      <c r="H1249" s="153"/>
      <c r="I1249" s="153"/>
      <c r="J1249" s="153"/>
      <c r="K1249" s="153"/>
      <c r="L1249" s="153"/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</row>
    <row r="1250" spans="1:27" ht="17.399999999999999">
      <c r="A1250" s="156"/>
      <c r="B1250" s="152"/>
      <c r="C1250" s="152"/>
      <c r="D1250" s="152"/>
      <c r="E1250" s="152"/>
      <c r="F1250" s="152"/>
      <c r="G1250" s="152"/>
      <c r="H1250" s="153"/>
      <c r="I1250" s="153"/>
      <c r="J1250" s="153"/>
      <c r="K1250" s="153"/>
      <c r="L1250" s="153"/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</row>
    <row r="1251" spans="1:27" ht="17.399999999999999">
      <c r="A1251" s="156"/>
      <c r="B1251" s="152"/>
      <c r="C1251" s="152"/>
      <c r="D1251" s="152"/>
      <c r="E1251" s="152"/>
      <c r="F1251" s="152"/>
      <c r="G1251" s="152"/>
      <c r="H1251" s="153"/>
      <c r="I1251" s="153"/>
      <c r="J1251" s="153"/>
      <c r="K1251" s="153"/>
      <c r="L1251" s="153"/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</row>
    <row r="1252" spans="1:27" ht="17.399999999999999">
      <c r="A1252" s="156"/>
      <c r="B1252" s="152"/>
      <c r="C1252" s="152"/>
      <c r="D1252" s="152"/>
      <c r="E1252" s="152"/>
      <c r="F1252" s="152"/>
      <c r="G1252" s="152"/>
      <c r="H1252" s="153"/>
      <c r="I1252" s="153"/>
      <c r="J1252" s="153"/>
      <c r="K1252" s="153"/>
      <c r="L1252" s="153"/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</row>
    <row r="1253" spans="1:27" ht="17.399999999999999">
      <c r="A1253" s="156"/>
      <c r="B1253" s="152"/>
      <c r="C1253" s="152"/>
      <c r="D1253" s="152"/>
      <c r="E1253" s="152"/>
      <c r="F1253" s="152"/>
      <c r="G1253" s="152"/>
      <c r="H1253" s="153"/>
      <c r="I1253" s="153"/>
      <c r="J1253" s="153"/>
      <c r="K1253" s="153"/>
      <c r="L1253" s="153"/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</row>
    <row r="1254" spans="1:27" ht="17.399999999999999">
      <c r="A1254" s="156"/>
      <c r="B1254" s="152"/>
      <c r="C1254" s="152"/>
      <c r="D1254" s="152"/>
      <c r="E1254" s="152"/>
      <c r="F1254" s="152"/>
      <c r="G1254" s="152"/>
      <c r="H1254" s="153"/>
      <c r="I1254" s="153"/>
      <c r="J1254" s="153"/>
      <c r="K1254" s="153"/>
      <c r="L1254" s="153"/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</row>
    <row r="1255" spans="1:27" ht="17.399999999999999">
      <c r="A1255" s="156"/>
      <c r="B1255" s="152"/>
      <c r="C1255" s="152"/>
      <c r="D1255" s="152"/>
      <c r="E1255" s="152"/>
      <c r="F1255" s="152"/>
      <c r="G1255" s="152"/>
      <c r="H1255" s="153"/>
      <c r="I1255" s="153"/>
      <c r="J1255" s="153"/>
      <c r="K1255" s="153"/>
      <c r="L1255" s="153"/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</row>
    <row r="1256" spans="1:27" ht="17.399999999999999">
      <c r="A1256" s="156"/>
      <c r="B1256" s="152"/>
      <c r="C1256" s="152"/>
      <c r="D1256" s="152"/>
      <c r="E1256" s="152"/>
      <c r="F1256" s="152"/>
      <c r="G1256" s="152"/>
      <c r="H1256" s="153"/>
      <c r="I1256" s="153"/>
      <c r="J1256" s="153"/>
      <c r="K1256" s="153"/>
      <c r="L1256" s="153"/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</row>
    <row r="1257" spans="1:27" ht="17.399999999999999">
      <c r="A1257" s="156"/>
      <c r="B1257" s="152"/>
      <c r="C1257" s="152"/>
      <c r="D1257" s="152"/>
      <c r="E1257" s="152"/>
      <c r="F1257" s="152"/>
      <c r="G1257" s="152"/>
      <c r="H1257" s="153"/>
      <c r="I1257" s="153"/>
      <c r="J1257" s="153"/>
      <c r="K1257" s="153"/>
      <c r="L1257" s="153"/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</row>
    <row r="1258" spans="1:27" ht="17.399999999999999">
      <c r="A1258" s="156"/>
      <c r="B1258" s="152"/>
      <c r="C1258" s="152"/>
      <c r="D1258" s="152"/>
      <c r="E1258" s="152"/>
      <c r="F1258" s="152"/>
      <c r="G1258" s="152"/>
      <c r="H1258" s="153"/>
      <c r="I1258" s="153"/>
      <c r="J1258" s="153"/>
      <c r="K1258" s="153"/>
      <c r="L1258" s="153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</row>
    <row r="1259" spans="1:27" ht="17.399999999999999">
      <c r="A1259" s="156"/>
      <c r="B1259" s="152"/>
      <c r="C1259" s="152"/>
      <c r="D1259" s="152"/>
      <c r="E1259" s="152"/>
      <c r="F1259" s="152"/>
      <c r="G1259" s="152"/>
      <c r="H1259" s="153"/>
      <c r="I1259" s="153"/>
      <c r="J1259" s="153"/>
      <c r="K1259" s="153"/>
      <c r="L1259" s="153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</row>
    <row r="1260" spans="1:27" ht="17.399999999999999">
      <c r="A1260" s="156"/>
      <c r="B1260" s="152"/>
      <c r="C1260" s="152"/>
      <c r="D1260" s="152"/>
      <c r="E1260" s="152"/>
      <c r="F1260" s="152"/>
      <c r="G1260" s="152"/>
      <c r="H1260" s="153"/>
      <c r="I1260" s="153"/>
      <c r="J1260" s="153"/>
      <c r="K1260" s="153"/>
      <c r="L1260" s="153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</row>
    <row r="1261" spans="1:27" ht="17.399999999999999">
      <c r="A1261" s="156"/>
      <c r="B1261" s="152"/>
      <c r="C1261" s="152"/>
      <c r="D1261" s="152"/>
      <c r="E1261" s="152"/>
      <c r="F1261" s="152"/>
      <c r="G1261" s="152"/>
      <c r="H1261" s="153"/>
      <c r="I1261" s="153"/>
      <c r="J1261" s="153"/>
      <c r="K1261" s="153"/>
      <c r="L1261" s="153"/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</row>
    <row r="1262" spans="1:27" ht="17.399999999999999">
      <c r="A1262" s="156"/>
      <c r="B1262" s="152"/>
      <c r="C1262" s="152"/>
      <c r="D1262" s="152"/>
      <c r="E1262" s="152"/>
      <c r="F1262" s="152"/>
      <c r="G1262" s="152"/>
      <c r="H1262" s="153"/>
      <c r="I1262" s="153"/>
      <c r="J1262" s="153"/>
      <c r="K1262" s="153"/>
      <c r="L1262" s="153"/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</row>
    <row r="1263" spans="1:27" ht="17.399999999999999">
      <c r="A1263" s="156"/>
      <c r="B1263" s="152"/>
      <c r="C1263" s="152"/>
      <c r="D1263" s="152"/>
      <c r="E1263" s="152"/>
      <c r="F1263" s="152"/>
      <c r="G1263" s="152"/>
      <c r="H1263" s="153"/>
      <c r="I1263" s="153"/>
      <c r="J1263" s="153"/>
      <c r="K1263" s="153"/>
      <c r="L1263" s="153"/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</row>
    <row r="1264" spans="1:27" ht="17.399999999999999">
      <c r="A1264" s="156"/>
      <c r="B1264" s="152"/>
      <c r="C1264" s="152"/>
      <c r="D1264" s="152"/>
      <c r="E1264" s="152"/>
      <c r="F1264" s="152"/>
      <c r="G1264" s="152"/>
      <c r="H1264" s="153"/>
      <c r="I1264" s="153"/>
      <c r="J1264" s="153"/>
      <c r="K1264" s="153"/>
      <c r="L1264" s="153"/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</row>
    <row r="1265" spans="1:27" ht="17.399999999999999">
      <c r="A1265" s="156"/>
      <c r="B1265" s="152"/>
      <c r="C1265" s="152"/>
      <c r="D1265" s="152"/>
      <c r="E1265" s="152"/>
      <c r="F1265" s="152"/>
      <c r="G1265" s="152"/>
      <c r="H1265" s="153"/>
      <c r="I1265" s="153"/>
      <c r="J1265" s="153"/>
      <c r="K1265" s="153"/>
      <c r="L1265" s="153"/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</row>
    <row r="1266" spans="1:27" ht="17.399999999999999">
      <c r="A1266" s="156"/>
      <c r="B1266" s="152"/>
      <c r="C1266" s="152"/>
      <c r="D1266" s="152"/>
      <c r="E1266" s="152"/>
      <c r="F1266" s="152"/>
      <c r="G1266" s="152"/>
      <c r="H1266" s="153"/>
      <c r="I1266" s="153"/>
      <c r="J1266" s="153"/>
      <c r="K1266" s="153"/>
      <c r="L1266" s="153"/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</row>
    <row r="1267" spans="1:27" ht="17.399999999999999">
      <c r="A1267" s="156"/>
      <c r="B1267" s="152"/>
      <c r="C1267" s="152"/>
      <c r="D1267" s="152"/>
      <c r="E1267" s="152"/>
      <c r="F1267" s="152"/>
      <c r="G1267" s="152"/>
      <c r="H1267" s="153"/>
      <c r="I1267" s="153"/>
      <c r="J1267" s="153"/>
      <c r="K1267" s="153"/>
      <c r="L1267" s="153"/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</row>
    <row r="1268" spans="1:27" ht="17.399999999999999">
      <c r="A1268" s="156"/>
      <c r="B1268" s="152"/>
      <c r="C1268" s="152"/>
      <c r="D1268" s="152"/>
      <c r="E1268" s="152"/>
      <c r="F1268" s="152"/>
      <c r="G1268" s="152"/>
      <c r="H1268" s="153"/>
      <c r="I1268" s="153"/>
      <c r="J1268" s="153"/>
      <c r="K1268" s="153"/>
      <c r="L1268" s="153"/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</row>
    <row r="1269" spans="1:27" ht="17.399999999999999">
      <c r="A1269" s="156"/>
      <c r="B1269" s="152"/>
      <c r="C1269" s="152"/>
      <c r="D1269" s="152"/>
      <c r="E1269" s="152"/>
      <c r="F1269" s="152"/>
      <c r="G1269" s="152"/>
      <c r="H1269" s="153"/>
      <c r="I1269" s="153"/>
      <c r="J1269" s="153"/>
      <c r="K1269" s="153"/>
      <c r="L1269" s="153"/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</row>
    <row r="1270" spans="1:27" ht="17.399999999999999">
      <c r="A1270" s="156"/>
      <c r="B1270" s="152"/>
      <c r="C1270" s="152"/>
      <c r="D1270" s="152"/>
      <c r="E1270" s="152"/>
      <c r="F1270" s="152"/>
      <c r="G1270" s="152"/>
      <c r="H1270" s="153"/>
      <c r="I1270" s="153"/>
      <c r="J1270" s="153"/>
      <c r="K1270" s="153"/>
      <c r="L1270" s="153"/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</row>
    <row r="1271" spans="1:27" ht="17.399999999999999">
      <c r="A1271" s="156"/>
      <c r="B1271" s="152"/>
      <c r="C1271" s="152"/>
      <c r="D1271" s="152"/>
      <c r="E1271" s="152"/>
      <c r="F1271" s="152"/>
      <c r="G1271" s="152"/>
      <c r="H1271" s="153"/>
      <c r="I1271" s="153"/>
      <c r="J1271" s="153"/>
      <c r="K1271" s="153"/>
      <c r="L1271" s="153"/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</row>
    <row r="1272" spans="1:27" ht="17.399999999999999">
      <c r="A1272" s="156"/>
      <c r="B1272" s="152"/>
      <c r="C1272" s="152"/>
      <c r="D1272" s="152"/>
      <c r="E1272" s="152"/>
      <c r="F1272" s="152"/>
      <c r="G1272" s="152"/>
      <c r="H1272" s="153"/>
      <c r="I1272" s="153"/>
      <c r="J1272" s="153"/>
      <c r="K1272" s="153"/>
      <c r="L1272" s="153"/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</row>
    <row r="1273" spans="1:27" ht="17.399999999999999">
      <c r="A1273" s="156"/>
      <c r="B1273" s="152"/>
      <c r="C1273" s="152"/>
      <c r="D1273" s="152"/>
      <c r="E1273" s="152"/>
      <c r="F1273" s="152"/>
      <c r="G1273" s="152"/>
      <c r="H1273" s="153"/>
      <c r="I1273" s="153"/>
      <c r="J1273" s="153"/>
      <c r="K1273" s="153"/>
      <c r="L1273" s="153"/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</row>
    <row r="1274" spans="1:27" ht="17.399999999999999">
      <c r="A1274" s="156"/>
      <c r="B1274" s="152"/>
      <c r="C1274" s="152"/>
      <c r="D1274" s="152"/>
      <c r="E1274" s="152"/>
      <c r="F1274" s="152"/>
      <c r="G1274" s="152"/>
      <c r="H1274" s="153"/>
      <c r="I1274" s="153"/>
      <c r="J1274" s="153"/>
      <c r="K1274" s="153"/>
      <c r="L1274" s="153"/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</row>
    <row r="1275" spans="1:27" ht="17.399999999999999">
      <c r="A1275" s="156"/>
      <c r="B1275" s="152"/>
      <c r="C1275" s="152"/>
      <c r="D1275" s="152"/>
      <c r="E1275" s="152"/>
      <c r="F1275" s="152"/>
      <c r="G1275" s="152"/>
      <c r="H1275" s="153"/>
      <c r="I1275" s="153"/>
      <c r="J1275" s="153"/>
      <c r="K1275" s="153"/>
      <c r="L1275" s="153"/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</row>
    <row r="1276" spans="1:27" ht="17.399999999999999">
      <c r="A1276" s="156"/>
      <c r="B1276" s="152"/>
      <c r="C1276" s="152"/>
      <c r="D1276" s="152"/>
      <c r="E1276" s="152"/>
      <c r="F1276" s="152"/>
      <c r="G1276" s="152"/>
      <c r="H1276" s="153"/>
      <c r="I1276" s="153"/>
      <c r="J1276" s="153"/>
      <c r="K1276" s="153"/>
      <c r="L1276" s="153"/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</row>
    <row r="1277" spans="1:27" ht="17.399999999999999">
      <c r="A1277" s="156"/>
      <c r="B1277" s="152"/>
      <c r="C1277" s="152"/>
      <c r="D1277" s="152"/>
      <c r="E1277" s="152"/>
      <c r="F1277" s="152"/>
      <c r="G1277" s="152"/>
      <c r="H1277" s="153"/>
      <c r="I1277" s="153"/>
      <c r="J1277" s="153"/>
      <c r="K1277" s="153"/>
      <c r="L1277" s="153"/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</row>
    <row r="1278" spans="1:27" ht="17.399999999999999">
      <c r="A1278" s="156"/>
      <c r="B1278" s="152"/>
      <c r="C1278" s="152"/>
      <c r="D1278" s="152"/>
      <c r="E1278" s="152"/>
      <c r="F1278" s="152"/>
      <c r="G1278" s="152"/>
      <c r="H1278" s="153"/>
      <c r="I1278" s="153"/>
      <c r="J1278" s="153"/>
      <c r="K1278" s="153"/>
      <c r="L1278" s="153"/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</row>
    <row r="1279" spans="1:27" ht="17.399999999999999">
      <c r="A1279" s="156"/>
      <c r="B1279" s="152"/>
      <c r="C1279" s="152"/>
      <c r="D1279" s="152"/>
      <c r="E1279" s="152"/>
      <c r="F1279" s="152"/>
      <c r="G1279" s="152"/>
      <c r="H1279" s="153"/>
      <c r="I1279" s="153"/>
      <c r="J1279" s="153"/>
      <c r="K1279" s="153"/>
      <c r="L1279" s="153"/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</row>
    <row r="1280" spans="1:27" ht="17.399999999999999">
      <c r="A1280" s="156"/>
      <c r="B1280" s="152"/>
      <c r="C1280" s="152"/>
      <c r="D1280" s="152"/>
      <c r="E1280" s="152"/>
      <c r="F1280" s="152"/>
      <c r="G1280" s="152"/>
      <c r="H1280" s="153"/>
      <c r="I1280" s="153"/>
      <c r="J1280" s="153"/>
      <c r="K1280" s="153"/>
      <c r="L1280" s="153"/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</row>
    <row r="1281" spans="1:27" ht="17.399999999999999">
      <c r="A1281" s="156"/>
      <c r="B1281" s="152"/>
      <c r="C1281" s="152"/>
      <c r="D1281" s="152"/>
      <c r="E1281" s="152"/>
      <c r="F1281" s="152"/>
      <c r="G1281" s="152"/>
      <c r="H1281" s="153"/>
      <c r="I1281" s="153"/>
      <c r="J1281" s="153"/>
      <c r="K1281" s="153"/>
      <c r="L1281" s="153"/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</row>
    <row r="1282" spans="1:27" ht="17.399999999999999">
      <c r="A1282" s="156"/>
      <c r="B1282" s="152"/>
      <c r="C1282" s="152"/>
      <c r="D1282" s="152"/>
      <c r="E1282" s="152"/>
      <c r="F1282" s="152"/>
      <c r="G1282" s="152"/>
      <c r="H1282" s="153"/>
      <c r="I1282" s="153"/>
      <c r="J1282" s="153"/>
      <c r="K1282" s="153"/>
      <c r="L1282" s="153"/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</row>
    <row r="1283" spans="1:27" ht="17.399999999999999">
      <c r="A1283" s="156"/>
      <c r="B1283" s="152"/>
      <c r="C1283" s="152"/>
      <c r="D1283" s="152"/>
      <c r="E1283" s="152"/>
      <c r="F1283" s="152"/>
      <c r="G1283" s="152"/>
      <c r="H1283" s="153"/>
      <c r="I1283" s="153"/>
      <c r="J1283" s="153"/>
      <c r="K1283" s="153"/>
      <c r="L1283" s="153"/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</row>
    <row r="1284" spans="1:27" ht="17.399999999999999">
      <c r="A1284" s="156"/>
      <c r="B1284" s="152"/>
      <c r="C1284" s="152"/>
      <c r="D1284" s="152"/>
      <c r="E1284" s="152"/>
      <c r="F1284" s="152"/>
      <c r="G1284" s="152"/>
      <c r="H1284" s="153"/>
      <c r="I1284" s="153"/>
      <c r="J1284" s="153"/>
      <c r="K1284" s="153"/>
      <c r="L1284" s="153"/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</row>
    <row r="1285" spans="1:27" ht="17.399999999999999">
      <c r="A1285" s="156"/>
      <c r="B1285" s="152"/>
      <c r="C1285" s="152"/>
      <c r="D1285" s="152"/>
      <c r="E1285" s="152"/>
      <c r="F1285" s="152"/>
      <c r="G1285" s="152"/>
      <c r="H1285" s="153"/>
      <c r="I1285" s="153"/>
      <c r="J1285" s="153"/>
      <c r="K1285" s="153"/>
      <c r="L1285" s="153"/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</row>
    <row r="1286" spans="1:27" ht="17.399999999999999">
      <c r="A1286" s="156"/>
      <c r="B1286" s="152"/>
      <c r="C1286" s="152"/>
      <c r="D1286" s="152"/>
      <c r="E1286" s="152"/>
      <c r="F1286" s="152"/>
      <c r="G1286" s="152"/>
      <c r="H1286" s="153"/>
      <c r="I1286" s="153"/>
      <c r="J1286" s="153"/>
      <c r="K1286" s="153"/>
      <c r="L1286" s="153"/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</row>
    <row r="1287" spans="1:27" ht="17.399999999999999">
      <c r="A1287" s="156"/>
      <c r="B1287" s="152"/>
      <c r="C1287" s="152"/>
      <c r="D1287" s="152"/>
      <c r="E1287" s="152"/>
      <c r="F1287" s="152"/>
      <c r="G1287" s="152"/>
      <c r="H1287" s="153"/>
      <c r="I1287" s="153"/>
      <c r="J1287" s="153"/>
      <c r="K1287" s="153"/>
      <c r="L1287" s="153"/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</row>
    <row r="1288" spans="1:27" ht="17.399999999999999">
      <c r="A1288" s="156"/>
      <c r="B1288" s="152"/>
      <c r="C1288" s="152"/>
      <c r="D1288" s="152"/>
      <c r="E1288" s="152"/>
      <c r="F1288" s="152"/>
      <c r="G1288" s="152"/>
      <c r="H1288" s="153"/>
      <c r="I1288" s="153"/>
      <c r="J1288" s="153"/>
      <c r="K1288" s="153"/>
      <c r="L1288" s="153"/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</row>
    <row r="1289" spans="1:27" ht="17.399999999999999">
      <c r="A1289" s="156"/>
      <c r="B1289" s="152"/>
      <c r="C1289" s="152"/>
      <c r="D1289" s="152"/>
      <c r="E1289" s="152"/>
      <c r="F1289" s="152"/>
      <c r="G1289" s="152"/>
      <c r="H1289" s="153"/>
      <c r="I1289" s="153"/>
      <c r="J1289" s="153"/>
      <c r="K1289" s="153"/>
      <c r="L1289" s="153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</row>
    <row r="1290" spans="1:27" ht="17.399999999999999">
      <c r="A1290" s="156"/>
      <c r="B1290" s="152"/>
      <c r="C1290" s="152"/>
      <c r="D1290" s="152"/>
      <c r="E1290" s="152"/>
      <c r="F1290" s="152"/>
      <c r="G1290" s="152"/>
      <c r="H1290" s="153"/>
      <c r="I1290" s="153"/>
      <c r="J1290" s="153"/>
      <c r="K1290" s="153"/>
      <c r="L1290" s="153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</row>
    <row r="1291" spans="1:27" ht="17.399999999999999">
      <c r="A1291" s="156"/>
      <c r="B1291" s="152"/>
      <c r="C1291" s="152"/>
      <c r="D1291" s="152"/>
      <c r="E1291" s="152"/>
      <c r="F1291" s="152"/>
      <c r="G1291" s="152"/>
      <c r="H1291" s="153"/>
      <c r="I1291" s="153"/>
      <c r="J1291" s="153"/>
      <c r="K1291" s="153"/>
      <c r="L1291" s="153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</row>
    <row r="1292" spans="1:27" ht="17.399999999999999">
      <c r="A1292" s="156"/>
      <c r="B1292" s="152"/>
      <c r="C1292" s="152"/>
      <c r="D1292" s="152"/>
      <c r="E1292" s="152"/>
      <c r="F1292" s="152"/>
      <c r="G1292" s="152"/>
      <c r="H1292" s="153"/>
      <c r="I1292" s="153"/>
      <c r="J1292" s="153"/>
      <c r="K1292" s="153"/>
      <c r="L1292" s="153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</row>
    <row r="1293" spans="1:27" ht="17.399999999999999">
      <c r="A1293" s="156"/>
      <c r="B1293" s="152"/>
      <c r="C1293" s="152"/>
      <c r="D1293" s="152"/>
      <c r="E1293" s="152"/>
      <c r="F1293" s="152"/>
      <c r="G1293" s="152"/>
      <c r="H1293" s="153"/>
      <c r="I1293" s="153"/>
      <c r="J1293" s="153"/>
      <c r="K1293" s="153"/>
      <c r="L1293" s="153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</row>
    <row r="1294" spans="1:27" ht="17.399999999999999">
      <c r="A1294" s="156"/>
      <c r="B1294" s="152"/>
      <c r="C1294" s="152"/>
      <c r="D1294" s="152"/>
      <c r="E1294" s="152"/>
      <c r="F1294" s="152"/>
      <c r="G1294" s="152"/>
      <c r="H1294" s="153"/>
      <c r="I1294" s="153"/>
      <c r="J1294" s="153"/>
      <c r="K1294" s="153"/>
      <c r="L1294" s="153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</row>
    <row r="1295" spans="1:27" ht="17.399999999999999">
      <c r="A1295" s="156"/>
      <c r="B1295" s="152"/>
      <c r="C1295" s="152"/>
      <c r="D1295" s="152"/>
      <c r="E1295" s="152"/>
      <c r="F1295" s="152"/>
      <c r="G1295" s="152"/>
      <c r="H1295" s="153"/>
      <c r="I1295" s="153"/>
      <c r="J1295" s="153"/>
      <c r="K1295" s="153"/>
      <c r="L1295" s="153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</row>
    <row r="1296" spans="1:27" ht="17.399999999999999">
      <c r="A1296" s="156"/>
      <c r="B1296" s="152"/>
      <c r="C1296" s="152"/>
      <c r="D1296" s="152"/>
      <c r="E1296" s="152"/>
      <c r="F1296" s="152"/>
      <c r="G1296" s="152"/>
      <c r="H1296" s="153"/>
      <c r="I1296" s="153"/>
      <c r="J1296" s="153"/>
      <c r="K1296" s="153"/>
      <c r="L1296" s="153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</row>
    <row r="1297" spans="1:27" ht="17.399999999999999">
      <c r="A1297" s="156"/>
      <c r="B1297" s="152"/>
      <c r="C1297" s="152"/>
      <c r="D1297" s="152"/>
      <c r="E1297" s="152"/>
      <c r="F1297" s="152"/>
      <c r="G1297" s="152"/>
      <c r="H1297" s="153"/>
      <c r="I1297" s="153"/>
      <c r="J1297" s="153"/>
      <c r="K1297" s="153"/>
      <c r="L1297" s="153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</row>
    <row r="1298" spans="1:27" ht="17.399999999999999">
      <c r="A1298" s="156"/>
      <c r="B1298" s="152"/>
      <c r="C1298" s="152"/>
      <c r="D1298" s="152"/>
      <c r="E1298" s="152"/>
      <c r="F1298" s="152"/>
      <c r="G1298" s="152"/>
      <c r="H1298" s="153"/>
      <c r="I1298" s="153"/>
      <c r="J1298" s="153"/>
      <c r="K1298" s="153"/>
      <c r="L1298" s="153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</row>
    <row r="1299" spans="1:27" ht="17.399999999999999">
      <c r="A1299" s="156"/>
      <c r="B1299" s="152"/>
      <c r="C1299" s="152"/>
      <c r="D1299" s="152"/>
      <c r="E1299" s="152"/>
      <c r="F1299" s="152"/>
      <c r="G1299" s="152"/>
      <c r="H1299" s="153"/>
      <c r="I1299" s="153"/>
      <c r="J1299" s="153"/>
      <c r="K1299" s="153"/>
      <c r="L1299" s="153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</row>
    <row r="1300" spans="1:27" ht="17.399999999999999">
      <c r="A1300" s="156"/>
      <c r="B1300" s="152"/>
      <c r="C1300" s="152"/>
      <c r="D1300" s="152"/>
      <c r="E1300" s="152"/>
      <c r="F1300" s="152"/>
      <c r="G1300" s="152"/>
      <c r="H1300" s="153"/>
      <c r="I1300" s="153"/>
      <c r="J1300" s="153"/>
      <c r="K1300" s="153"/>
      <c r="L1300" s="153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</row>
    <row r="1301" spans="1:27" ht="17.399999999999999">
      <c r="A1301" s="156"/>
      <c r="B1301" s="152"/>
      <c r="C1301" s="152"/>
      <c r="D1301" s="152"/>
      <c r="E1301" s="152"/>
      <c r="F1301" s="152"/>
      <c r="G1301" s="152"/>
      <c r="H1301" s="153"/>
      <c r="I1301" s="153"/>
      <c r="J1301" s="153"/>
      <c r="K1301" s="153"/>
      <c r="L1301" s="153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</row>
    <row r="1302" spans="1:27" ht="17.399999999999999">
      <c r="A1302" s="156"/>
      <c r="B1302" s="152"/>
      <c r="C1302" s="152"/>
      <c r="D1302" s="152"/>
      <c r="E1302" s="152"/>
      <c r="F1302" s="152"/>
      <c r="G1302" s="152"/>
      <c r="H1302" s="153"/>
      <c r="I1302" s="153"/>
      <c r="J1302" s="153"/>
      <c r="K1302" s="153"/>
      <c r="L1302" s="153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</row>
    <row r="1303" spans="1:27" ht="17.399999999999999">
      <c r="A1303" s="156"/>
      <c r="B1303" s="152"/>
      <c r="C1303" s="152"/>
      <c r="D1303" s="152"/>
      <c r="E1303" s="152"/>
      <c r="F1303" s="152"/>
      <c r="G1303" s="152"/>
      <c r="H1303" s="153"/>
      <c r="I1303" s="153"/>
      <c r="J1303" s="153"/>
      <c r="K1303" s="153"/>
      <c r="L1303" s="153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</row>
    <row r="1304" spans="1:27" ht="17.399999999999999">
      <c r="A1304" s="156"/>
      <c r="B1304" s="152"/>
      <c r="C1304" s="152"/>
      <c r="D1304" s="152"/>
      <c r="E1304" s="152"/>
      <c r="F1304" s="152"/>
      <c r="G1304" s="152"/>
      <c r="H1304" s="153"/>
      <c r="I1304" s="153"/>
      <c r="J1304" s="153"/>
      <c r="K1304" s="153"/>
      <c r="L1304" s="153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</row>
    <row r="1305" spans="1:27" ht="17.399999999999999">
      <c r="A1305" s="156"/>
      <c r="B1305" s="152"/>
      <c r="C1305" s="152"/>
      <c r="D1305" s="152"/>
      <c r="E1305" s="152"/>
      <c r="F1305" s="152"/>
      <c r="G1305" s="152"/>
      <c r="H1305" s="153"/>
      <c r="I1305" s="153"/>
      <c r="J1305" s="153"/>
      <c r="K1305" s="153"/>
      <c r="L1305" s="153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</row>
    <row r="1306" spans="1:27" ht="17.399999999999999">
      <c r="A1306" s="156"/>
      <c r="B1306" s="152"/>
      <c r="C1306" s="152"/>
      <c r="D1306" s="152"/>
      <c r="E1306" s="152"/>
      <c r="F1306" s="152"/>
      <c r="G1306" s="152"/>
      <c r="H1306" s="153"/>
      <c r="I1306" s="153"/>
      <c r="J1306" s="153"/>
      <c r="K1306" s="153"/>
      <c r="L1306" s="153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</row>
    <row r="1307" spans="1:27" ht="17.399999999999999">
      <c r="A1307" s="156"/>
      <c r="B1307" s="152"/>
      <c r="C1307" s="152"/>
      <c r="D1307" s="152"/>
      <c r="E1307" s="152"/>
      <c r="F1307" s="152"/>
      <c r="G1307" s="152"/>
      <c r="H1307" s="153"/>
      <c r="I1307" s="153"/>
      <c r="J1307" s="153"/>
      <c r="K1307" s="153"/>
      <c r="L1307" s="153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</row>
    <row r="1308" spans="1:27" ht="17.399999999999999">
      <c r="A1308" s="156"/>
      <c r="B1308" s="152"/>
      <c r="C1308" s="152"/>
      <c r="D1308" s="152"/>
      <c r="E1308" s="152"/>
      <c r="F1308" s="152"/>
      <c r="G1308" s="152"/>
      <c r="H1308" s="153"/>
      <c r="I1308" s="153"/>
      <c r="J1308" s="153"/>
      <c r="K1308" s="153"/>
      <c r="L1308" s="153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</row>
    <row r="1309" spans="1:27" ht="17.399999999999999">
      <c r="A1309" s="156"/>
      <c r="B1309" s="152"/>
      <c r="C1309" s="152"/>
      <c r="D1309" s="152"/>
      <c r="E1309" s="152"/>
      <c r="F1309" s="152"/>
      <c r="G1309" s="152"/>
      <c r="H1309" s="153"/>
      <c r="I1309" s="153"/>
      <c r="J1309" s="153"/>
      <c r="K1309" s="153"/>
      <c r="L1309" s="153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</row>
    <row r="1310" spans="1:27" ht="17.399999999999999">
      <c r="A1310" s="156"/>
      <c r="B1310" s="152"/>
      <c r="C1310" s="152"/>
      <c r="D1310" s="152"/>
      <c r="E1310" s="152"/>
      <c r="F1310" s="152"/>
      <c r="G1310" s="152"/>
      <c r="H1310" s="153"/>
      <c r="I1310" s="153"/>
      <c r="J1310" s="153"/>
      <c r="K1310" s="153"/>
      <c r="L1310" s="153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</row>
    <row r="1311" spans="1:27" ht="17.399999999999999">
      <c r="A1311" s="156"/>
      <c r="B1311" s="152"/>
      <c r="C1311" s="152"/>
      <c r="D1311" s="152"/>
      <c r="E1311" s="152"/>
      <c r="F1311" s="152"/>
      <c r="G1311" s="152"/>
      <c r="H1311" s="153"/>
      <c r="I1311" s="153"/>
      <c r="J1311" s="153"/>
      <c r="K1311" s="153"/>
      <c r="L1311" s="153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</row>
    <row r="1312" spans="1:27" ht="17.399999999999999">
      <c r="A1312" s="156"/>
      <c r="B1312" s="152"/>
      <c r="C1312" s="152"/>
      <c r="D1312" s="152"/>
      <c r="E1312" s="152"/>
      <c r="F1312" s="152"/>
      <c r="G1312" s="152"/>
      <c r="H1312" s="153"/>
      <c r="I1312" s="153"/>
      <c r="J1312" s="153"/>
      <c r="K1312" s="153"/>
      <c r="L1312" s="153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</row>
    <row r="1313" spans="1:27" ht="17.399999999999999">
      <c r="A1313" s="156"/>
      <c r="B1313" s="152"/>
      <c r="C1313" s="152"/>
      <c r="D1313" s="152"/>
      <c r="E1313" s="152"/>
      <c r="F1313" s="152"/>
      <c r="G1313" s="152"/>
      <c r="H1313" s="153"/>
      <c r="I1313" s="153"/>
      <c r="J1313" s="153"/>
      <c r="K1313" s="153"/>
      <c r="L1313" s="153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</row>
    <row r="1314" spans="1:27" ht="17.399999999999999">
      <c r="A1314" s="156"/>
      <c r="B1314" s="152"/>
      <c r="C1314" s="152"/>
      <c r="D1314" s="152"/>
      <c r="E1314" s="152"/>
      <c r="F1314" s="152"/>
      <c r="G1314" s="152"/>
      <c r="H1314" s="153"/>
      <c r="I1314" s="153"/>
      <c r="J1314" s="153"/>
      <c r="K1314" s="153"/>
      <c r="L1314" s="153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</row>
    <row r="1315" spans="1:27" ht="17.399999999999999">
      <c r="A1315" s="156"/>
      <c r="B1315" s="152"/>
      <c r="C1315" s="152"/>
      <c r="D1315" s="152"/>
      <c r="E1315" s="152"/>
      <c r="F1315" s="152"/>
      <c r="G1315" s="152"/>
      <c r="H1315" s="153"/>
      <c r="I1315" s="153"/>
      <c r="J1315" s="153"/>
      <c r="K1315" s="153"/>
      <c r="L1315" s="153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</row>
    <row r="1316" spans="1:27" ht="17.399999999999999">
      <c r="A1316" s="156"/>
      <c r="B1316" s="152"/>
      <c r="C1316" s="152"/>
      <c r="D1316" s="152"/>
      <c r="E1316" s="152"/>
      <c r="F1316" s="152"/>
      <c r="G1316" s="152"/>
      <c r="H1316" s="153"/>
      <c r="I1316" s="153"/>
      <c r="J1316" s="153"/>
      <c r="K1316" s="153"/>
      <c r="L1316" s="153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</row>
    <row r="1317" spans="1:27" ht="17.399999999999999">
      <c r="A1317" s="156"/>
      <c r="B1317" s="152"/>
      <c r="C1317" s="152"/>
      <c r="D1317" s="152"/>
      <c r="E1317" s="152"/>
      <c r="F1317" s="152"/>
      <c r="G1317" s="152"/>
      <c r="H1317" s="153"/>
      <c r="I1317" s="153"/>
      <c r="J1317" s="153"/>
      <c r="K1317" s="153"/>
      <c r="L1317" s="153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</row>
    <row r="1318" spans="1:27" ht="17.399999999999999">
      <c r="A1318" s="156"/>
      <c r="B1318" s="152"/>
      <c r="C1318" s="152"/>
      <c r="D1318" s="152"/>
      <c r="E1318" s="152"/>
      <c r="F1318" s="152"/>
      <c r="G1318" s="152"/>
      <c r="H1318" s="153"/>
      <c r="I1318" s="153"/>
      <c r="J1318" s="153"/>
      <c r="K1318" s="153"/>
      <c r="L1318" s="153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</row>
    <row r="1319" spans="1:27" ht="17.399999999999999">
      <c r="A1319" s="156"/>
      <c r="B1319" s="152"/>
      <c r="C1319" s="152"/>
      <c r="D1319" s="152"/>
      <c r="E1319" s="152"/>
      <c r="F1319" s="152"/>
      <c r="G1319" s="152"/>
      <c r="H1319" s="153"/>
      <c r="I1319" s="153"/>
      <c r="J1319" s="153"/>
      <c r="K1319" s="153"/>
      <c r="L1319" s="153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</row>
    <row r="1320" spans="1:27" ht="17.399999999999999">
      <c r="A1320" s="156"/>
      <c r="B1320" s="152"/>
      <c r="C1320" s="152"/>
      <c r="D1320" s="152"/>
      <c r="E1320" s="152"/>
      <c r="F1320" s="152"/>
      <c r="G1320" s="152"/>
      <c r="H1320" s="153"/>
      <c r="I1320" s="153"/>
      <c r="J1320" s="153"/>
      <c r="K1320" s="153"/>
      <c r="L1320" s="153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</row>
    <row r="1321" spans="1:27" ht="17.399999999999999">
      <c r="A1321" s="156"/>
      <c r="B1321" s="152"/>
      <c r="C1321" s="152"/>
      <c r="D1321" s="152"/>
      <c r="E1321" s="152"/>
      <c r="F1321" s="152"/>
      <c r="G1321" s="152"/>
      <c r="H1321" s="153"/>
      <c r="I1321" s="153"/>
      <c r="J1321" s="153"/>
      <c r="K1321" s="153"/>
      <c r="L1321" s="153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</row>
    <row r="1322" spans="1:27" ht="17.399999999999999">
      <c r="A1322" s="156"/>
      <c r="B1322" s="152"/>
      <c r="C1322" s="152"/>
      <c r="D1322" s="152"/>
      <c r="E1322" s="152"/>
      <c r="F1322" s="152"/>
      <c r="G1322" s="152"/>
      <c r="H1322" s="153"/>
      <c r="I1322" s="153"/>
      <c r="J1322" s="153"/>
      <c r="K1322" s="153"/>
      <c r="L1322" s="153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</row>
    <row r="1323" spans="1:27" ht="17.399999999999999">
      <c r="A1323" s="156"/>
      <c r="B1323" s="152"/>
      <c r="C1323" s="152"/>
      <c r="D1323" s="152"/>
      <c r="E1323" s="152"/>
      <c r="F1323" s="152"/>
      <c r="G1323" s="152"/>
      <c r="H1323" s="153"/>
      <c r="I1323" s="153"/>
      <c r="J1323" s="153"/>
      <c r="K1323" s="153"/>
      <c r="L1323" s="153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</row>
    <row r="1324" spans="1:27" ht="17.399999999999999">
      <c r="A1324" s="156"/>
      <c r="B1324" s="152"/>
      <c r="C1324" s="152"/>
      <c r="D1324" s="152"/>
      <c r="E1324" s="152"/>
      <c r="F1324" s="152"/>
      <c r="G1324" s="152"/>
      <c r="H1324" s="153"/>
      <c r="I1324" s="153"/>
      <c r="J1324" s="153"/>
      <c r="K1324" s="153"/>
      <c r="L1324" s="153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</row>
    <row r="1325" spans="1:27" ht="17.399999999999999">
      <c r="A1325" s="156"/>
      <c r="B1325" s="152"/>
      <c r="C1325" s="152"/>
      <c r="D1325" s="152"/>
      <c r="E1325" s="152"/>
      <c r="F1325" s="152"/>
      <c r="G1325" s="152"/>
      <c r="H1325" s="153"/>
      <c r="I1325" s="153"/>
      <c r="J1325" s="153"/>
      <c r="K1325" s="153"/>
      <c r="L1325" s="153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</row>
    <row r="1326" spans="1:27" ht="17.399999999999999">
      <c r="A1326" s="156"/>
      <c r="B1326" s="152"/>
      <c r="C1326" s="152"/>
      <c r="D1326" s="152"/>
      <c r="E1326" s="152"/>
      <c r="F1326" s="152"/>
      <c r="G1326" s="152"/>
      <c r="H1326" s="153"/>
      <c r="I1326" s="153"/>
      <c r="J1326" s="153"/>
      <c r="K1326" s="153"/>
      <c r="L1326" s="153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</row>
    <row r="1327" spans="1:27" ht="17.399999999999999">
      <c r="A1327" s="156"/>
      <c r="B1327" s="152"/>
      <c r="C1327" s="152"/>
      <c r="D1327" s="152"/>
      <c r="E1327" s="152"/>
      <c r="F1327" s="152"/>
      <c r="G1327" s="152"/>
      <c r="H1327" s="153"/>
      <c r="I1327" s="153"/>
      <c r="J1327" s="153"/>
      <c r="K1327" s="153"/>
      <c r="L1327" s="153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</row>
    <row r="1328" spans="1:27" ht="17.399999999999999">
      <c r="A1328" s="156"/>
      <c r="B1328" s="152"/>
      <c r="C1328" s="152"/>
      <c r="D1328" s="152"/>
      <c r="E1328" s="152"/>
      <c r="F1328" s="152"/>
      <c r="G1328" s="152"/>
      <c r="H1328" s="153"/>
      <c r="I1328" s="153"/>
      <c r="J1328" s="153"/>
      <c r="K1328" s="153"/>
      <c r="L1328" s="153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</row>
    <row r="1329" spans="1:27" ht="17.399999999999999">
      <c r="A1329" s="156"/>
      <c r="B1329" s="152"/>
      <c r="C1329" s="152"/>
      <c r="D1329" s="152"/>
      <c r="E1329" s="152"/>
      <c r="F1329" s="152"/>
      <c r="G1329" s="152"/>
      <c r="H1329" s="153"/>
      <c r="I1329" s="153"/>
      <c r="J1329" s="153"/>
      <c r="K1329" s="153"/>
      <c r="L1329" s="153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</row>
    <row r="1330" spans="1:27" ht="17.399999999999999">
      <c r="A1330" s="156"/>
      <c r="B1330" s="152"/>
      <c r="C1330" s="152"/>
      <c r="D1330" s="152"/>
      <c r="E1330" s="152"/>
      <c r="F1330" s="152"/>
      <c r="G1330" s="152"/>
      <c r="H1330" s="153"/>
      <c r="I1330" s="153"/>
      <c r="J1330" s="153"/>
      <c r="K1330" s="153"/>
      <c r="L1330" s="153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</row>
    <row r="1331" spans="1:27" ht="17.399999999999999">
      <c r="A1331" s="156"/>
      <c r="B1331" s="152"/>
      <c r="C1331" s="152"/>
      <c r="D1331" s="152"/>
      <c r="E1331" s="152"/>
      <c r="F1331" s="152"/>
      <c r="G1331" s="152"/>
      <c r="H1331" s="153"/>
      <c r="I1331" s="153"/>
      <c r="J1331" s="153"/>
      <c r="K1331" s="153"/>
      <c r="L1331" s="153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</row>
    <row r="1332" spans="1:27" ht="17.399999999999999">
      <c r="A1332" s="156"/>
      <c r="B1332" s="152"/>
      <c r="C1332" s="152"/>
      <c r="D1332" s="152"/>
      <c r="E1332" s="152"/>
      <c r="F1332" s="152"/>
      <c r="G1332" s="152"/>
      <c r="H1332" s="153"/>
      <c r="I1332" s="153"/>
      <c r="J1332" s="153"/>
      <c r="K1332" s="153"/>
      <c r="L1332" s="153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</row>
    <row r="1333" spans="1:27" ht="17.399999999999999">
      <c r="A1333" s="156"/>
      <c r="B1333" s="152"/>
      <c r="C1333" s="152"/>
      <c r="D1333" s="152"/>
      <c r="E1333" s="152"/>
      <c r="F1333" s="152"/>
      <c r="G1333" s="152"/>
      <c r="H1333" s="153"/>
      <c r="I1333" s="153"/>
      <c r="J1333" s="153"/>
      <c r="K1333" s="153"/>
      <c r="L1333" s="153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</row>
    <row r="1334" spans="1:27" ht="17.399999999999999">
      <c r="A1334" s="156"/>
      <c r="B1334" s="152"/>
      <c r="C1334" s="152"/>
      <c r="D1334" s="152"/>
      <c r="E1334" s="152"/>
      <c r="F1334" s="152"/>
      <c r="G1334" s="152"/>
      <c r="H1334" s="153"/>
      <c r="I1334" s="153"/>
      <c r="J1334" s="153"/>
      <c r="K1334" s="153"/>
      <c r="L1334" s="153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</row>
    <row r="1335" spans="1:27" ht="17.399999999999999">
      <c r="A1335" s="156"/>
      <c r="B1335" s="152"/>
      <c r="C1335" s="152"/>
      <c r="D1335" s="152"/>
      <c r="E1335" s="152"/>
      <c r="F1335" s="152"/>
      <c r="G1335" s="152"/>
      <c r="H1335" s="153"/>
      <c r="I1335" s="153"/>
      <c r="J1335" s="153"/>
      <c r="K1335" s="153"/>
      <c r="L1335" s="153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</row>
    <row r="1336" spans="1:27" ht="17.399999999999999">
      <c r="A1336" s="156"/>
      <c r="B1336" s="152"/>
      <c r="C1336" s="152"/>
      <c r="D1336" s="152"/>
      <c r="E1336" s="152"/>
      <c r="F1336" s="152"/>
      <c r="G1336" s="152"/>
      <c r="H1336" s="153"/>
      <c r="I1336" s="153"/>
      <c r="J1336" s="153"/>
      <c r="K1336" s="153"/>
      <c r="L1336" s="153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</row>
    <row r="1337" spans="1:27" ht="17.399999999999999">
      <c r="A1337" s="156"/>
      <c r="B1337" s="152"/>
      <c r="C1337" s="152"/>
      <c r="D1337" s="152"/>
      <c r="E1337" s="152"/>
      <c r="F1337" s="152"/>
      <c r="G1337" s="152"/>
      <c r="H1337" s="153"/>
      <c r="I1337" s="153"/>
      <c r="J1337" s="153"/>
      <c r="K1337" s="153"/>
      <c r="L1337" s="153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</row>
    <row r="1338" spans="1:27" ht="17.399999999999999">
      <c r="A1338" s="156"/>
      <c r="B1338" s="152"/>
      <c r="C1338" s="152"/>
      <c r="D1338" s="152"/>
      <c r="E1338" s="152"/>
      <c r="F1338" s="152"/>
      <c r="G1338" s="152"/>
      <c r="H1338" s="153"/>
      <c r="I1338" s="153"/>
      <c r="J1338" s="153"/>
      <c r="K1338" s="153"/>
      <c r="L1338" s="153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</row>
    <row r="1339" spans="1:27" ht="17.399999999999999">
      <c r="A1339" s="156"/>
      <c r="B1339" s="152"/>
      <c r="C1339" s="152"/>
      <c r="D1339" s="152"/>
      <c r="E1339" s="152"/>
      <c r="F1339" s="152"/>
      <c r="G1339" s="152"/>
      <c r="H1339" s="153"/>
      <c r="I1339" s="153"/>
      <c r="J1339" s="153"/>
      <c r="K1339" s="153"/>
      <c r="L1339" s="153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</row>
    <row r="1340" spans="1:27" ht="17.399999999999999">
      <c r="A1340" s="156"/>
      <c r="B1340" s="152"/>
      <c r="C1340" s="152"/>
      <c r="D1340" s="152"/>
      <c r="E1340" s="152"/>
      <c r="F1340" s="152"/>
      <c r="G1340" s="152"/>
      <c r="H1340" s="153"/>
      <c r="I1340" s="153"/>
      <c r="J1340" s="153"/>
      <c r="K1340" s="153"/>
      <c r="L1340" s="153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</row>
    <row r="1341" spans="1:27" ht="17.399999999999999">
      <c r="A1341" s="156"/>
      <c r="B1341" s="152"/>
      <c r="C1341" s="152"/>
      <c r="D1341" s="152"/>
      <c r="E1341" s="152"/>
      <c r="F1341" s="152"/>
      <c r="G1341" s="152"/>
      <c r="H1341" s="153"/>
      <c r="I1341" s="153"/>
      <c r="J1341" s="153"/>
      <c r="K1341" s="153"/>
      <c r="L1341" s="153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</row>
    <row r="1342" spans="1:27" ht="17.399999999999999">
      <c r="A1342" s="156"/>
      <c r="B1342" s="152"/>
      <c r="C1342" s="152"/>
      <c r="D1342" s="152"/>
      <c r="E1342" s="152"/>
      <c r="F1342" s="152"/>
      <c r="G1342" s="152"/>
      <c r="H1342" s="153"/>
      <c r="I1342" s="153"/>
      <c r="J1342" s="153"/>
      <c r="K1342" s="153"/>
      <c r="L1342" s="153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</row>
    <row r="1343" spans="1:27" ht="17.399999999999999">
      <c r="A1343" s="156"/>
      <c r="B1343" s="152"/>
      <c r="C1343" s="152"/>
      <c r="D1343" s="152"/>
      <c r="E1343" s="152"/>
      <c r="F1343" s="152"/>
      <c r="G1343" s="152"/>
      <c r="H1343" s="153"/>
      <c r="I1343" s="153"/>
      <c r="J1343" s="153"/>
      <c r="K1343" s="153"/>
      <c r="L1343" s="153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</row>
    <row r="1344" spans="1:27" ht="17.399999999999999">
      <c r="A1344" s="156"/>
      <c r="B1344" s="152"/>
      <c r="C1344" s="152"/>
      <c r="D1344" s="152"/>
      <c r="E1344" s="152"/>
      <c r="F1344" s="152"/>
      <c r="G1344" s="152"/>
      <c r="H1344" s="153"/>
      <c r="I1344" s="153"/>
      <c r="J1344" s="153"/>
      <c r="K1344" s="153"/>
      <c r="L1344" s="153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</row>
    <row r="1345" spans="1:27" ht="17.399999999999999">
      <c r="A1345" s="156"/>
      <c r="B1345" s="152"/>
      <c r="C1345" s="152"/>
      <c r="D1345" s="152"/>
      <c r="E1345" s="152"/>
      <c r="F1345" s="152"/>
      <c r="G1345" s="152"/>
      <c r="H1345" s="153"/>
      <c r="I1345" s="153"/>
      <c r="J1345" s="153"/>
      <c r="K1345" s="153"/>
      <c r="L1345" s="153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</row>
    <row r="1346" spans="1:27" ht="17.399999999999999">
      <c r="A1346" s="156"/>
      <c r="B1346" s="152"/>
      <c r="C1346" s="152"/>
      <c r="D1346" s="152"/>
      <c r="E1346" s="152"/>
      <c r="F1346" s="152"/>
      <c r="G1346" s="152"/>
      <c r="H1346" s="153"/>
      <c r="I1346" s="153"/>
      <c r="J1346" s="153"/>
      <c r="K1346" s="153"/>
      <c r="L1346" s="153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</row>
    <row r="1347" spans="1:27" ht="17.399999999999999">
      <c r="A1347" s="156"/>
      <c r="B1347" s="152"/>
      <c r="C1347" s="152"/>
      <c r="D1347" s="152"/>
      <c r="E1347" s="152"/>
      <c r="F1347" s="152"/>
      <c r="G1347" s="152"/>
      <c r="H1347" s="153"/>
      <c r="I1347" s="153"/>
      <c r="J1347" s="153"/>
      <c r="K1347" s="153"/>
      <c r="L1347" s="153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</row>
    <row r="1348" spans="1:27" ht="17.399999999999999">
      <c r="A1348" s="156"/>
      <c r="B1348" s="152"/>
      <c r="C1348" s="152"/>
      <c r="D1348" s="152"/>
      <c r="E1348" s="152"/>
      <c r="F1348" s="152"/>
      <c r="G1348" s="152"/>
      <c r="H1348" s="153"/>
      <c r="I1348" s="153"/>
      <c r="J1348" s="153"/>
      <c r="K1348" s="153"/>
      <c r="L1348" s="153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</row>
    <row r="1349" spans="1:27" ht="17.399999999999999">
      <c r="A1349" s="156"/>
      <c r="B1349" s="152"/>
      <c r="C1349" s="152"/>
      <c r="D1349" s="152"/>
      <c r="E1349" s="152"/>
      <c r="F1349" s="152"/>
      <c r="G1349" s="152"/>
      <c r="H1349" s="153"/>
      <c r="I1349" s="153"/>
      <c r="J1349" s="153"/>
      <c r="K1349" s="153"/>
      <c r="L1349" s="153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</row>
    <row r="1350" spans="1:27" ht="17.399999999999999">
      <c r="A1350" s="156"/>
      <c r="B1350" s="152"/>
      <c r="C1350" s="152"/>
      <c r="D1350" s="152"/>
      <c r="E1350" s="152"/>
      <c r="F1350" s="152"/>
      <c r="G1350" s="152"/>
      <c r="H1350" s="153"/>
      <c r="I1350" s="153"/>
      <c r="J1350" s="153"/>
      <c r="K1350" s="153"/>
      <c r="L1350" s="153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</row>
    <row r="1351" spans="1:27" ht="17.399999999999999">
      <c r="A1351" s="156"/>
      <c r="B1351" s="152"/>
      <c r="C1351" s="152"/>
      <c r="D1351" s="152"/>
      <c r="E1351" s="152"/>
      <c r="F1351" s="152"/>
      <c r="G1351" s="152"/>
      <c r="H1351" s="153"/>
      <c r="I1351" s="153"/>
      <c r="J1351" s="153"/>
      <c r="K1351" s="153"/>
      <c r="L1351" s="153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</row>
    <row r="1352" spans="1:27" ht="17.399999999999999">
      <c r="A1352" s="156"/>
      <c r="B1352" s="152"/>
      <c r="C1352" s="152"/>
      <c r="D1352" s="152"/>
      <c r="E1352" s="152"/>
      <c r="F1352" s="152"/>
      <c r="G1352" s="152"/>
      <c r="H1352" s="153"/>
      <c r="I1352" s="153"/>
      <c r="J1352" s="153"/>
      <c r="K1352" s="153"/>
      <c r="L1352" s="153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</row>
    <row r="1353" spans="1:27" ht="17.399999999999999">
      <c r="A1353" s="156"/>
      <c r="B1353" s="152"/>
      <c r="C1353" s="152"/>
      <c r="D1353" s="152"/>
      <c r="E1353" s="152"/>
      <c r="F1353" s="152"/>
      <c r="G1353" s="152"/>
      <c r="H1353" s="153"/>
      <c r="I1353" s="153"/>
      <c r="J1353" s="153"/>
      <c r="K1353" s="153"/>
      <c r="L1353" s="153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</row>
    <row r="1354" spans="1:27" ht="17.399999999999999">
      <c r="A1354" s="156"/>
      <c r="B1354" s="152"/>
      <c r="C1354" s="152"/>
      <c r="D1354" s="152"/>
      <c r="E1354" s="152"/>
      <c r="F1354" s="152"/>
      <c r="G1354" s="152"/>
      <c r="H1354" s="153"/>
      <c r="I1354" s="153"/>
      <c r="J1354" s="153"/>
      <c r="K1354" s="153"/>
      <c r="L1354" s="153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</row>
    <row r="1355" spans="1:27" ht="17.399999999999999">
      <c r="A1355" s="156"/>
      <c r="B1355" s="152"/>
      <c r="C1355" s="152"/>
      <c r="D1355" s="152"/>
      <c r="E1355" s="152"/>
      <c r="F1355" s="152"/>
      <c r="G1355" s="152"/>
      <c r="H1355" s="153"/>
      <c r="I1355" s="153"/>
      <c r="J1355" s="153"/>
      <c r="K1355" s="153"/>
      <c r="L1355" s="153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</row>
    <row r="1356" spans="1:27" ht="17.399999999999999">
      <c r="A1356" s="156"/>
      <c r="B1356" s="152"/>
      <c r="C1356" s="152"/>
      <c r="D1356" s="152"/>
      <c r="E1356" s="152"/>
      <c r="F1356" s="152"/>
      <c r="G1356" s="152"/>
      <c r="H1356" s="153"/>
      <c r="I1356" s="153"/>
      <c r="J1356" s="153"/>
      <c r="K1356" s="153"/>
      <c r="L1356" s="153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</row>
    <row r="1357" spans="1:27" ht="17.399999999999999">
      <c r="A1357" s="156"/>
      <c r="B1357" s="152"/>
      <c r="C1357" s="152"/>
      <c r="D1357" s="152"/>
      <c r="E1357" s="152"/>
      <c r="F1357" s="152"/>
      <c r="G1357" s="152"/>
      <c r="H1357" s="153"/>
      <c r="I1357" s="153"/>
      <c r="J1357" s="153"/>
      <c r="K1357" s="153"/>
      <c r="L1357" s="153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</row>
    <row r="1358" spans="1:27" ht="17.399999999999999">
      <c r="A1358" s="156"/>
      <c r="B1358" s="152"/>
      <c r="C1358" s="152"/>
      <c r="D1358" s="152"/>
      <c r="E1358" s="152"/>
      <c r="F1358" s="152"/>
      <c r="G1358" s="152"/>
      <c r="H1358" s="153"/>
      <c r="I1358" s="153"/>
      <c r="J1358" s="153"/>
      <c r="K1358" s="153"/>
      <c r="L1358" s="153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</row>
    <row r="1359" spans="1:27" ht="17.399999999999999">
      <c r="A1359" s="156"/>
      <c r="B1359" s="152"/>
      <c r="C1359" s="152"/>
      <c r="D1359" s="152"/>
      <c r="E1359" s="152"/>
      <c r="F1359" s="152"/>
      <c r="G1359" s="152"/>
      <c r="H1359" s="153"/>
      <c r="I1359" s="153"/>
      <c r="J1359" s="153"/>
      <c r="K1359" s="153"/>
      <c r="L1359" s="153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</row>
    <row r="1360" spans="1:27" ht="17.399999999999999">
      <c r="A1360" s="156"/>
      <c r="B1360" s="152"/>
      <c r="C1360" s="152"/>
      <c r="D1360" s="152"/>
      <c r="E1360" s="152"/>
      <c r="F1360" s="152"/>
      <c r="G1360" s="152"/>
      <c r="H1360" s="153"/>
      <c r="I1360" s="153"/>
      <c r="J1360" s="153"/>
      <c r="K1360" s="153"/>
      <c r="L1360" s="153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</row>
    <row r="1361" spans="1:27" ht="17.399999999999999">
      <c r="A1361" s="156"/>
      <c r="B1361" s="152"/>
      <c r="C1361" s="152"/>
      <c r="D1361" s="152"/>
      <c r="E1361" s="152"/>
      <c r="F1361" s="152"/>
      <c r="G1361" s="152"/>
      <c r="H1361" s="153"/>
      <c r="I1361" s="153"/>
      <c r="J1361" s="153"/>
      <c r="K1361" s="153"/>
      <c r="L1361" s="153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</row>
    <row r="1362" spans="1:27" ht="17.399999999999999">
      <c r="A1362" s="156"/>
      <c r="B1362" s="152"/>
      <c r="C1362" s="152"/>
      <c r="D1362" s="152"/>
      <c r="E1362" s="152"/>
      <c r="F1362" s="152"/>
      <c r="G1362" s="152"/>
      <c r="H1362" s="153"/>
      <c r="I1362" s="153"/>
      <c r="J1362" s="153"/>
      <c r="K1362" s="153"/>
      <c r="L1362" s="153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</row>
    <row r="1363" spans="1:27" ht="17.399999999999999">
      <c r="A1363" s="156"/>
      <c r="B1363" s="152"/>
      <c r="C1363" s="152"/>
      <c r="D1363" s="152"/>
      <c r="E1363" s="152"/>
      <c r="F1363" s="152"/>
      <c r="G1363" s="152"/>
      <c r="H1363" s="153"/>
      <c r="I1363" s="153"/>
      <c r="J1363" s="153"/>
      <c r="K1363" s="153"/>
      <c r="L1363" s="153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</row>
    <row r="1364" spans="1:27" ht="17.399999999999999">
      <c r="A1364" s="156"/>
      <c r="B1364" s="152"/>
      <c r="C1364" s="152"/>
      <c r="D1364" s="152"/>
      <c r="E1364" s="152"/>
      <c r="F1364" s="152"/>
      <c r="G1364" s="152"/>
      <c r="H1364" s="153"/>
      <c r="I1364" s="153"/>
      <c r="J1364" s="153"/>
      <c r="K1364" s="153"/>
      <c r="L1364" s="153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</row>
    <row r="1365" spans="1:27" ht="17.399999999999999">
      <c r="A1365" s="156"/>
      <c r="B1365" s="152"/>
      <c r="C1365" s="152"/>
      <c r="D1365" s="152"/>
      <c r="E1365" s="152"/>
      <c r="F1365" s="152"/>
      <c r="G1365" s="152"/>
      <c r="H1365" s="153"/>
      <c r="I1365" s="153"/>
      <c r="J1365" s="153"/>
      <c r="K1365" s="153"/>
      <c r="L1365" s="153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</row>
    <row r="1366" spans="1:27" ht="17.399999999999999">
      <c r="A1366" s="156"/>
      <c r="B1366" s="152"/>
      <c r="C1366" s="152"/>
      <c r="D1366" s="152"/>
      <c r="E1366" s="152"/>
      <c r="F1366" s="152"/>
      <c r="G1366" s="152"/>
      <c r="H1366" s="153"/>
      <c r="I1366" s="153"/>
      <c r="J1366" s="153"/>
      <c r="K1366" s="153"/>
      <c r="L1366" s="153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</row>
    <row r="1367" spans="1:27" ht="17.399999999999999">
      <c r="A1367" s="156"/>
      <c r="B1367" s="152"/>
      <c r="C1367" s="152"/>
      <c r="D1367" s="152"/>
      <c r="E1367" s="152"/>
      <c r="F1367" s="152"/>
      <c r="G1367" s="152"/>
      <c r="H1367" s="153"/>
      <c r="I1367" s="153"/>
      <c r="J1367" s="153"/>
      <c r="K1367" s="153"/>
      <c r="L1367" s="153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</row>
    <row r="1368" spans="1:27" ht="17.399999999999999">
      <c r="A1368" s="156"/>
      <c r="B1368" s="152"/>
      <c r="C1368" s="152"/>
      <c r="D1368" s="152"/>
      <c r="E1368" s="152"/>
      <c r="F1368" s="152"/>
      <c r="G1368" s="152"/>
      <c r="H1368" s="153"/>
      <c r="I1368" s="153"/>
      <c r="J1368" s="153"/>
      <c r="K1368" s="153"/>
      <c r="L1368" s="153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</row>
    <row r="1369" spans="1:27" ht="17.399999999999999">
      <c r="A1369" s="156"/>
      <c r="B1369" s="152"/>
      <c r="C1369" s="152"/>
      <c r="D1369" s="152"/>
      <c r="E1369" s="152"/>
      <c r="F1369" s="152"/>
      <c r="G1369" s="152"/>
      <c r="H1369" s="153"/>
      <c r="I1369" s="153"/>
      <c r="J1369" s="153"/>
      <c r="K1369" s="153"/>
      <c r="L1369" s="153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</row>
    <row r="1370" spans="1:27" ht="17.399999999999999">
      <c r="A1370" s="156"/>
      <c r="B1370" s="152"/>
      <c r="C1370" s="152"/>
      <c r="D1370" s="152"/>
      <c r="E1370" s="152"/>
      <c r="F1370" s="152"/>
      <c r="G1370" s="152"/>
      <c r="H1370" s="153"/>
      <c r="I1370" s="153"/>
      <c r="J1370" s="153"/>
      <c r="K1370" s="153"/>
      <c r="L1370" s="153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</row>
    <row r="1371" spans="1:27" ht="17.399999999999999">
      <c r="A1371" s="156"/>
      <c r="B1371" s="152"/>
      <c r="C1371" s="152"/>
      <c r="D1371" s="152"/>
      <c r="E1371" s="152"/>
      <c r="F1371" s="152"/>
      <c r="G1371" s="152"/>
      <c r="H1371" s="153"/>
      <c r="I1371" s="153"/>
      <c r="J1371" s="153"/>
      <c r="K1371" s="153"/>
      <c r="L1371" s="153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</row>
    <row r="1372" spans="1:27" ht="17.399999999999999">
      <c r="A1372" s="156"/>
      <c r="B1372" s="152"/>
      <c r="C1372" s="152"/>
      <c r="D1372" s="152"/>
      <c r="E1372" s="152"/>
      <c r="F1372" s="152"/>
      <c r="G1372" s="152"/>
      <c r="H1372" s="153"/>
      <c r="I1372" s="153"/>
      <c r="J1372" s="153"/>
      <c r="K1372" s="153"/>
      <c r="L1372" s="153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</row>
    <row r="1373" spans="1:27" ht="17.399999999999999">
      <c r="A1373" s="156"/>
      <c r="B1373" s="152"/>
      <c r="C1373" s="152"/>
      <c r="D1373" s="152"/>
      <c r="E1373" s="152"/>
      <c r="F1373" s="152"/>
      <c r="G1373" s="152"/>
      <c r="H1373" s="153"/>
      <c r="I1373" s="153"/>
      <c r="J1373" s="153"/>
      <c r="K1373" s="153"/>
      <c r="L1373" s="153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</row>
    <row r="1374" spans="1:27" ht="17.399999999999999">
      <c r="A1374" s="156"/>
      <c r="B1374" s="152"/>
      <c r="C1374" s="152"/>
      <c r="D1374" s="152"/>
      <c r="E1374" s="152"/>
      <c r="F1374" s="152"/>
      <c r="G1374" s="152"/>
      <c r="H1374" s="153"/>
      <c r="I1374" s="153"/>
      <c r="J1374" s="153"/>
      <c r="K1374" s="153"/>
      <c r="L1374" s="153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</row>
    <row r="1375" spans="1:27" ht="17.399999999999999">
      <c r="A1375" s="156"/>
      <c r="B1375" s="152"/>
      <c r="C1375" s="152"/>
      <c r="D1375" s="152"/>
      <c r="E1375" s="152"/>
      <c r="F1375" s="152"/>
      <c r="G1375" s="152"/>
      <c r="H1375" s="153"/>
      <c r="I1375" s="153"/>
      <c r="J1375" s="153"/>
      <c r="K1375" s="153"/>
      <c r="L1375" s="153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</row>
    <row r="1376" spans="1:27" ht="17.399999999999999">
      <c r="A1376" s="156"/>
      <c r="B1376" s="152"/>
      <c r="C1376" s="152"/>
      <c r="D1376" s="152"/>
      <c r="E1376" s="152"/>
      <c r="F1376" s="152"/>
      <c r="G1376" s="152"/>
      <c r="H1376" s="153"/>
      <c r="I1376" s="153"/>
      <c r="J1376" s="153"/>
      <c r="K1376" s="153"/>
      <c r="L1376" s="153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</row>
    <row r="1377" spans="1:27" ht="17.399999999999999">
      <c r="A1377" s="156"/>
      <c r="B1377" s="152"/>
      <c r="C1377" s="152"/>
      <c r="D1377" s="152"/>
      <c r="E1377" s="152"/>
      <c r="F1377" s="152"/>
      <c r="G1377" s="152"/>
      <c r="H1377" s="153"/>
      <c r="I1377" s="153"/>
      <c r="J1377" s="153"/>
      <c r="K1377" s="153"/>
      <c r="L1377" s="153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</row>
    <row r="1378" spans="1:27" ht="17.399999999999999">
      <c r="A1378" s="156"/>
      <c r="B1378" s="152"/>
      <c r="C1378" s="152"/>
      <c r="D1378" s="152"/>
      <c r="E1378" s="152"/>
      <c r="F1378" s="152"/>
      <c r="G1378" s="152"/>
      <c r="H1378" s="153"/>
      <c r="I1378" s="153"/>
      <c r="J1378" s="153"/>
      <c r="K1378" s="153"/>
      <c r="L1378" s="153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</row>
    <row r="1379" spans="1:27" ht="17.399999999999999">
      <c r="A1379" s="156"/>
      <c r="B1379" s="152"/>
      <c r="C1379" s="152"/>
      <c r="D1379" s="152"/>
      <c r="E1379" s="152"/>
      <c r="F1379" s="152"/>
      <c r="G1379" s="152"/>
      <c r="H1379" s="153"/>
      <c r="I1379" s="153"/>
      <c r="J1379" s="153"/>
      <c r="K1379" s="153"/>
      <c r="L1379" s="153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</row>
    <row r="1380" spans="1:27" ht="17.399999999999999">
      <c r="A1380" s="156"/>
      <c r="B1380" s="152"/>
      <c r="C1380" s="152"/>
      <c r="D1380" s="152"/>
      <c r="E1380" s="152"/>
      <c r="F1380" s="152"/>
      <c r="G1380" s="152"/>
      <c r="H1380" s="153"/>
      <c r="I1380" s="153"/>
      <c r="J1380" s="153"/>
      <c r="K1380" s="153"/>
      <c r="L1380" s="153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</row>
    <row r="1381" spans="1:27" ht="17.399999999999999">
      <c r="A1381" s="156"/>
      <c r="B1381" s="152"/>
      <c r="C1381" s="152"/>
      <c r="D1381" s="152"/>
      <c r="E1381" s="152"/>
      <c r="F1381" s="152"/>
      <c r="G1381" s="152"/>
      <c r="H1381" s="153"/>
      <c r="I1381" s="153"/>
      <c r="J1381" s="153"/>
      <c r="K1381" s="153"/>
      <c r="L1381" s="153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</row>
    <row r="1382" spans="1:27" ht="17.399999999999999">
      <c r="A1382" s="156"/>
      <c r="B1382" s="152"/>
      <c r="C1382" s="152"/>
      <c r="D1382" s="152"/>
      <c r="E1382" s="152"/>
      <c r="F1382" s="152"/>
      <c r="G1382" s="152"/>
      <c r="H1382" s="153"/>
      <c r="I1382" s="153"/>
      <c r="J1382" s="153"/>
      <c r="K1382" s="153"/>
      <c r="L1382" s="153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</row>
    <row r="1383" spans="1:27" ht="17.399999999999999">
      <c r="A1383" s="156"/>
      <c r="B1383" s="152"/>
      <c r="C1383" s="152"/>
      <c r="D1383" s="152"/>
      <c r="E1383" s="152"/>
      <c r="F1383" s="152"/>
      <c r="G1383" s="152"/>
      <c r="H1383" s="153"/>
      <c r="I1383" s="153"/>
      <c r="J1383" s="153"/>
      <c r="K1383" s="153"/>
      <c r="L1383" s="153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</row>
    <row r="1384" spans="1:27" ht="17.399999999999999">
      <c r="A1384" s="156"/>
      <c r="B1384" s="152"/>
      <c r="C1384" s="152"/>
      <c r="D1384" s="152"/>
      <c r="E1384" s="152"/>
      <c r="F1384" s="152"/>
      <c r="G1384" s="152"/>
      <c r="H1384" s="153"/>
      <c r="I1384" s="153"/>
      <c r="J1384" s="153"/>
      <c r="K1384" s="153"/>
      <c r="L1384" s="153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</row>
    <row r="1385" spans="1:27" ht="17.399999999999999">
      <c r="A1385" s="156"/>
      <c r="B1385" s="152"/>
      <c r="C1385" s="152"/>
      <c r="D1385" s="152"/>
      <c r="E1385" s="152"/>
      <c r="F1385" s="152"/>
      <c r="G1385" s="152"/>
      <c r="H1385" s="153"/>
      <c r="I1385" s="153"/>
      <c r="J1385" s="153"/>
      <c r="K1385" s="153"/>
      <c r="L1385" s="153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</row>
    <row r="1386" spans="1:27" ht="17.399999999999999">
      <c r="A1386" s="156"/>
      <c r="B1386" s="152"/>
      <c r="C1386" s="152"/>
      <c r="D1386" s="152"/>
      <c r="E1386" s="152"/>
      <c r="F1386" s="152"/>
      <c r="G1386" s="152"/>
      <c r="H1386" s="153"/>
      <c r="I1386" s="153"/>
      <c r="J1386" s="153"/>
      <c r="K1386" s="153"/>
      <c r="L1386" s="153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</row>
    <row r="1387" spans="1:27" ht="17.399999999999999">
      <c r="A1387" s="156"/>
      <c r="B1387" s="152"/>
      <c r="C1387" s="152"/>
      <c r="D1387" s="152"/>
      <c r="E1387" s="152"/>
      <c r="F1387" s="152"/>
      <c r="G1387" s="152"/>
      <c r="H1387" s="153"/>
      <c r="I1387" s="153"/>
      <c r="J1387" s="153"/>
      <c r="K1387" s="153"/>
      <c r="L1387" s="153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</row>
    <row r="1388" spans="1:27" ht="17.399999999999999">
      <c r="A1388" s="156"/>
      <c r="B1388" s="152"/>
      <c r="C1388" s="152"/>
      <c r="D1388" s="152"/>
      <c r="E1388" s="152"/>
      <c r="F1388" s="152"/>
      <c r="G1388" s="152"/>
      <c r="H1388" s="153"/>
      <c r="I1388" s="153"/>
      <c r="J1388" s="153"/>
      <c r="K1388" s="153"/>
      <c r="L1388" s="153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</row>
    <row r="1389" spans="1:27" ht="17.399999999999999">
      <c r="A1389" s="156"/>
      <c r="B1389" s="152"/>
      <c r="C1389" s="152"/>
      <c r="D1389" s="152"/>
      <c r="E1389" s="152"/>
      <c r="F1389" s="152"/>
      <c r="G1389" s="152"/>
      <c r="H1389" s="153"/>
      <c r="I1389" s="153"/>
      <c r="J1389" s="153"/>
      <c r="K1389" s="153"/>
      <c r="L1389" s="153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</row>
    <row r="1390" spans="1:27" ht="17.399999999999999">
      <c r="A1390" s="156"/>
      <c r="B1390" s="152"/>
      <c r="C1390" s="152"/>
      <c r="D1390" s="152"/>
      <c r="E1390" s="152"/>
      <c r="F1390" s="152"/>
      <c r="G1390" s="152"/>
      <c r="H1390" s="153"/>
      <c r="I1390" s="153"/>
      <c r="J1390" s="153"/>
      <c r="K1390" s="153"/>
      <c r="L1390" s="153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</row>
    <row r="1391" spans="1:27" ht="17.399999999999999">
      <c r="A1391" s="156"/>
      <c r="B1391" s="152"/>
      <c r="C1391" s="152"/>
      <c r="D1391" s="152"/>
      <c r="E1391" s="152"/>
      <c r="F1391" s="152"/>
      <c r="G1391" s="152"/>
      <c r="H1391" s="153"/>
      <c r="I1391" s="153"/>
      <c r="J1391" s="153"/>
      <c r="K1391" s="153"/>
      <c r="L1391" s="153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</row>
    <row r="1392" spans="1:27" ht="17.399999999999999">
      <c r="A1392" s="156"/>
      <c r="B1392" s="152"/>
      <c r="C1392" s="152"/>
      <c r="D1392" s="152"/>
      <c r="E1392" s="152"/>
      <c r="F1392" s="152"/>
      <c r="G1392" s="152"/>
      <c r="H1392" s="153"/>
      <c r="I1392" s="153"/>
      <c r="J1392" s="153"/>
      <c r="K1392" s="153"/>
      <c r="L1392" s="153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</row>
    <row r="1393" spans="1:27" ht="17.399999999999999">
      <c r="A1393" s="156"/>
      <c r="B1393" s="152"/>
      <c r="C1393" s="152"/>
      <c r="D1393" s="152"/>
      <c r="E1393" s="152"/>
      <c r="F1393" s="152"/>
      <c r="G1393" s="152"/>
      <c r="H1393" s="153"/>
      <c r="I1393" s="153"/>
      <c r="J1393" s="153"/>
      <c r="K1393" s="153"/>
      <c r="L1393" s="153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</row>
    <row r="1394" spans="1:27" ht="17.399999999999999">
      <c r="A1394" s="156"/>
      <c r="B1394" s="152"/>
      <c r="C1394" s="152"/>
      <c r="D1394" s="152"/>
      <c r="E1394" s="152"/>
      <c r="F1394" s="152"/>
      <c r="G1394" s="152"/>
      <c r="H1394" s="153"/>
      <c r="I1394" s="153"/>
      <c r="J1394" s="153"/>
      <c r="K1394" s="153"/>
      <c r="L1394" s="153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</row>
    <row r="1395" spans="1:27" ht="17.399999999999999">
      <c r="A1395" s="156"/>
      <c r="B1395" s="152"/>
      <c r="C1395" s="152"/>
      <c r="D1395" s="152"/>
      <c r="E1395" s="152"/>
      <c r="F1395" s="152"/>
      <c r="G1395" s="152"/>
      <c r="H1395" s="153"/>
      <c r="I1395" s="153"/>
      <c r="J1395" s="153"/>
      <c r="K1395" s="153"/>
      <c r="L1395" s="153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</row>
    <row r="1396" spans="1:27" ht="17.399999999999999">
      <c r="A1396" s="156"/>
      <c r="B1396" s="152"/>
      <c r="C1396" s="152"/>
      <c r="D1396" s="152"/>
      <c r="E1396" s="152"/>
      <c r="F1396" s="152"/>
      <c r="G1396" s="152"/>
      <c r="H1396" s="153"/>
      <c r="I1396" s="153"/>
      <c r="J1396" s="153"/>
      <c r="K1396" s="153"/>
      <c r="L1396" s="153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</row>
    <row r="1397" spans="1:27" ht="17.399999999999999">
      <c r="A1397" s="156"/>
      <c r="B1397" s="152"/>
      <c r="C1397" s="152"/>
      <c r="D1397" s="152"/>
      <c r="E1397" s="152"/>
      <c r="F1397" s="152"/>
      <c r="G1397" s="152"/>
      <c r="H1397" s="153"/>
      <c r="I1397" s="153"/>
      <c r="J1397" s="153"/>
      <c r="K1397" s="153"/>
      <c r="L1397" s="153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</row>
    <row r="1398" spans="1:27" ht="17.399999999999999">
      <c r="A1398" s="156"/>
      <c r="B1398" s="152"/>
      <c r="C1398" s="152"/>
      <c r="D1398" s="152"/>
      <c r="E1398" s="152"/>
      <c r="F1398" s="152"/>
      <c r="G1398" s="152"/>
      <c r="H1398" s="153"/>
      <c r="I1398" s="153"/>
      <c r="J1398" s="153"/>
      <c r="K1398" s="153"/>
      <c r="L1398" s="153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</row>
    <row r="1399" spans="1:27" ht="17.399999999999999">
      <c r="A1399" s="156"/>
      <c r="B1399" s="152"/>
      <c r="C1399" s="152"/>
      <c r="D1399" s="152"/>
      <c r="E1399" s="152"/>
      <c r="F1399" s="152"/>
      <c r="G1399" s="152"/>
      <c r="H1399" s="153"/>
      <c r="I1399" s="153"/>
      <c r="J1399" s="153"/>
      <c r="K1399" s="153"/>
      <c r="L1399" s="153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</row>
    <row r="1400" spans="1:27" ht="17.399999999999999">
      <c r="A1400" s="156"/>
      <c r="B1400" s="152"/>
      <c r="C1400" s="152"/>
      <c r="D1400" s="152"/>
      <c r="E1400" s="152"/>
      <c r="F1400" s="152"/>
      <c r="G1400" s="152"/>
      <c r="H1400" s="153"/>
      <c r="I1400" s="153"/>
      <c r="J1400" s="153"/>
      <c r="K1400" s="153"/>
      <c r="L1400" s="153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</row>
    <row r="1401" spans="1:27" ht="17.399999999999999">
      <c r="A1401" s="156"/>
      <c r="B1401" s="152"/>
      <c r="C1401" s="152"/>
      <c r="D1401" s="152"/>
      <c r="E1401" s="152"/>
      <c r="F1401" s="152"/>
      <c r="G1401" s="152"/>
      <c r="H1401" s="153"/>
      <c r="I1401" s="153"/>
      <c r="J1401" s="153"/>
      <c r="K1401" s="153"/>
      <c r="L1401" s="153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</row>
    <row r="1402" spans="1:27" ht="17.399999999999999">
      <c r="A1402" s="156"/>
      <c r="B1402" s="152"/>
      <c r="C1402" s="152"/>
      <c r="D1402" s="152"/>
      <c r="E1402" s="152"/>
      <c r="F1402" s="152"/>
      <c r="G1402" s="152"/>
      <c r="H1402" s="153"/>
      <c r="I1402" s="153"/>
      <c r="J1402" s="153"/>
      <c r="K1402" s="153"/>
      <c r="L1402" s="153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</row>
    <row r="1403" spans="1:27" ht="17.399999999999999">
      <c r="A1403" s="156"/>
      <c r="B1403" s="152"/>
      <c r="C1403" s="152"/>
      <c r="D1403" s="152"/>
      <c r="E1403" s="152"/>
      <c r="F1403" s="152"/>
      <c r="G1403" s="152"/>
      <c r="H1403" s="153"/>
      <c r="I1403" s="153"/>
      <c r="J1403" s="153"/>
      <c r="K1403" s="153"/>
      <c r="L1403" s="153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</row>
    <row r="1404" spans="1:27" ht="17.399999999999999">
      <c r="A1404" s="156"/>
      <c r="B1404" s="152"/>
      <c r="C1404" s="152"/>
      <c r="D1404" s="152"/>
      <c r="E1404" s="152"/>
      <c r="F1404" s="152"/>
      <c r="G1404" s="152"/>
      <c r="H1404" s="153"/>
      <c r="I1404" s="153"/>
      <c r="J1404" s="153"/>
      <c r="K1404" s="153"/>
      <c r="L1404" s="153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</row>
    <row r="1405" spans="1:27" ht="17.399999999999999">
      <c r="A1405" s="156"/>
      <c r="B1405" s="152"/>
      <c r="C1405" s="152"/>
      <c r="D1405" s="152"/>
      <c r="E1405" s="152"/>
      <c r="F1405" s="152"/>
      <c r="G1405" s="152"/>
      <c r="H1405" s="153"/>
      <c r="I1405" s="153"/>
      <c r="J1405" s="153"/>
      <c r="K1405" s="153"/>
      <c r="L1405" s="153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</row>
    <row r="1406" spans="1:27" ht="17.399999999999999">
      <c r="A1406" s="156"/>
      <c r="B1406" s="152"/>
      <c r="C1406" s="152"/>
      <c r="D1406" s="152"/>
      <c r="E1406" s="152"/>
      <c r="F1406" s="152"/>
      <c r="G1406" s="152"/>
      <c r="H1406" s="153"/>
      <c r="I1406" s="153"/>
      <c r="J1406" s="153"/>
      <c r="K1406" s="153"/>
      <c r="L1406" s="153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</row>
    <row r="1407" spans="1:27" ht="17.399999999999999">
      <c r="A1407" s="156"/>
      <c r="B1407" s="152"/>
      <c r="C1407" s="152"/>
      <c r="D1407" s="152"/>
      <c r="E1407" s="152"/>
      <c r="F1407" s="152"/>
      <c r="G1407" s="152"/>
      <c r="H1407" s="153"/>
      <c r="I1407" s="153"/>
      <c r="J1407" s="153"/>
      <c r="K1407" s="153"/>
      <c r="L1407" s="153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</row>
    <row r="1408" spans="1:27" ht="17.399999999999999">
      <c r="A1408" s="156"/>
      <c r="B1408" s="152"/>
      <c r="C1408" s="152"/>
      <c r="D1408" s="152"/>
      <c r="E1408" s="152"/>
      <c r="F1408" s="152"/>
      <c r="G1408" s="152"/>
      <c r="H1408" s="153"/>
      <c r="I1408" s="153"/>
      <c r="J1408" s="153"/>
      <c r="K1408" s="153"/>
      <c r="L1408" s="153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</row>
    <row r="1409" spans="1:27" ht="17.399999999999999">
      <c r="A1409" s="156"/>
      <c r="B1409" s="152"/>
      <c r="C1409" s="152"/>
      <c r="D1409" s="152"/>
      <c r="E1409" s="152"/>
      <c r="F1409" s="152"/>
      <c r="G1409" s="152"/>
      <c r="H1409" s="153"/>
      <c r="I1409" s="153"/>
      <c r="J1409" s="153"/>
      <c r="K1409" s="153"/>
      <c r="L1409" s="153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</row>
    <row r="1410" spans="1:27" ht="17.399999999999999">
      <c r="A1410" s="156"/>
      <c r="B1410" s="152"/>
      <c r="C1410" s="152"/>
      <c r="D1410" s="152"/>
      <c r="E1410" s="152"/>
      <c r="F1410" s="152"/>
      <c r="G1410" s="152"/>
      <c r="H1410" s="153"/>
      <c r="I1410" s="153"/>
      <c r="J1410" s="153"/>
      <c r="K1410" s="153"/>
      <c r="L1410" s="153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</row>
    <row r="1411" spans="1:27" ht="17.399999999999999">
      <c r="A1411" s="156"/>
      <c r="B1411" s="152"/>
      <c r="C1411" s="152"/>
      <c r="D1411" s="152"/>
      <c r="E1411" s="152"/>
      <c r="F1411" s="152"/>
      <c r="G1411" s="152"/>
      <c r="H1411" s="153"/>
      <c r="I1411" s="153"/>
      <c r="J1411" s="153"/>
      <c r="K1411" s="153"/>
      <c r="L1411" s="153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</row>
    <row r="1412" spans="1:27" ht="17.399999999999999">
      <c r="A1412" s="156"/>
      <c r="B1412" s="152"/>
      <c r="C1412" s="152"/>
      <c r="D1412" s="152"/>
      <c r="E1412" s="152"/>
      <c r="F1412" s="152"/>
      <c r="G1412" s="152"/>
      <c r="H1412" s="153"/>
      <c r="I1412" s="153"/>
      <c r="J1412" s="153"/>
      <c r="K1412" s="153"/>
      <c r="L1412" s="153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</row>
    <row r="1413" spans="1:27" ht="17.399999999999999">
      <c r="A1413" s="156"/>
      <c r="B1413" s="152"/>
      <c r="C1413" s="152"/>
      <c r="D1413" s="152"/>
      <c r="E1413" s="152"/>
      <c r="F1413" s="152"/>
      <c r="G1413" s="152"/>
      <c r="H1413" s="153"/>
      <c r="I1413" s="153"/>
      <c r="J1413" s="153"/>
      <c r="K1413" s="153"/>
      <c r="L1413" s="153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</row>
    <row r="1414" spans="1:27" ht="17.399999999999999">
      <c r="A1414" s="156"/>
      <c r="B1414" s="152"/>
      <c r="C1414" s="152"/>
      <c r="D1414" s="152"/>
      <c r="E1414" s="152"/>
      <c r="F1414" s="152"/>
      <c r="G1414" s="152"/>
      <c r="H1414" s="153"/>
      <c r="I1414" s="153"/>
      <c r="J1414" s="153"/>
      <c r="K1414" s="153"/>
      <c r="L1414" s="153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</row>
    <row r="1415" spans="1:27" ht="17.399999999999999">
      <c r="A1415" s="156"/>
      <c r="B1415" s="152"/>
      <c r="C1415" s="152"/>
      <c r="D1415" s="152"/>
      <c r="E1415" s="152"/>
      <c r="F1415" s="152"/>
      <c r="G1415" s="152"/>
      <c r="H1415" s="153"/>
      <c r="I1415" s="153"/>
      <c r="J1415" s="153"/>
      <c r="K1415" s="153"/>
      <c r="L1415" s="153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</row>
    <row r="1416" spans="1:27" ht="17.399999999999999">
      <c r="A1416" s="156"/>
      <c r="B1416" s="152"/>
      <c r="C1416" s="152"/>
      <c r="D1416" s="152"/>
      <c r="E1416" s="152"/>
      <c r="F1416" s="152"/>
      <c r="G1416" s="152"/>
      <c r="H1416" s="153"/>
      <c r="I1416" s="153"/>
      <c r="J1416" s="153"/>
      <c r="K1416" s="153"/>
      <c r="L1416" s="153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</row>
    <row r="1417" spans="1:27" ht="17.399999999999999">
      <c r="A1417" s="156"/>
      <c r="B1417" s="152"/>
      <c r="C1417" s="152"/>
      <c r="D1417" s="152"/>
      <c r="E1417" s="152"/>
      <c r="F1417" s="152"/>
      <c r="G1417" s="152"/>
      <c r="H1417" s="153"/>
      <c r="I1417" s="153"/>
      <c r="J1417" s="153"/>
      <c r="K1417" s="153"/>
      <c r="L1417" s="153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</row>
    <row r="1418" spans="1:27" ht="17.399999999999999">
      <c r="A1418" s="156"/>
      <c r="B1418" s="152"/>
      <c r="C1418" s="152"/>
      <c r="D1418" s="152"/>
      <c r="E1418" s="152"/>
      <c r="F1418" s="152"/>
      <c r="G1418" s="152"/>
      <c r="H1418" s="153"/>
      <c r="I1418" s="153"/>
      <c r="J1418" s="153"/>
      <c r="K1418" s="153"/>
      <c r="L1418" s="153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</row>
    <row r="1419" spans="1:27" ht="17.399999999999999">
      <c r="A1419" s="156"/>
      <c r="B1419" s="152"/>
      <c r="C1419" s="152"/>
      <c r="D1419" s="152"/>
      <c r="E1419" s="152"/>
      <c r="F1419" s="152"/>
      <c r="G1419" s="152"/>
      <c r="H1419" s="153"/>
      <c r="I1419" s="153"/>
      <c r="J1419" s="153"/>
      <c r="K1419" s="153"/>
      <c r="L1419" s="153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</row>
    <row r="1420" spans="1:27" ht="17.399999999999999">
      <c r="A1420" s="156"/>
      <c r="B1420" s="152"/>
      <c r="C1420" s="152"/>
      <c r="D1420" s="152"/>
      <c r="E1420" s="152"/>
      <c r="F1420" s="152"/>
      <c r="G1420" s="152"/>
      <c r="H1420" s="153"/>
      <c r="I1420" s="153"/>
      <c r="J1420" s="153"/>
      <c r="K1420" s="153"/>
      <c r="L1420" s="153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</row>
    <row r="1421" spans="1:27" ht="17.399999999999999">
      <c r="A1421" s="156"/>
      <c r="B1421" s="152"/>
      <c r="C1421" s="152"/>
      <c r="D1421" s="152"/>
      <c r="E1421" s="152"/>
      <c r="F1421" s="152"/>
      <c r="G1421" s="152"/>
      <c r="H1421" s="153"/>
      <c r="I1421" s="153"/>
      <c r="J1421" s="153"/>
      <c r="K1421" s="153"/>
      <c r="L1421" s="153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</row>
    <row r="1422" spans="1:27" ht="17.399999999999999">
      <c r="A1422" s="156"/>
      <c r="B1422" s="152"/>
      <c r="C1422" s="152"/>
      <c r="D1422" s="152"/>
      <c r="E1422" s="152"/>
      <c r="F1422" s="152"/>
      <c r="G1422" s="152"/>
      <c r="H1422" s="153"/>
      <c r="I1422" s="153"/>
      <c r="J1422" s="153"/>
      <c r="K1422" s="153"/>
      <c r="L1422" s="153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</row>
    <row r="1423" spans="1:27" ht="17.399999999999999">
      <c r="A1423" s="156"/>
      <c r="B1423" s="152"/>
      <c r="C1423" s="152"/>
      <c r="D1423" s="152"/>
      <c r="E1423" s="152"/>
      <c r="F1423" s="152"/>
      <c r="G1423" s="152"/>
      <c r="H1423" s="153"/>
      <c r="I1423" s="153"/>
      <c r="J1423" s="153"/>
      <c r="K1423" s="153"/>
      <c r="L1423" s="153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</row>
    <row r="1424" spans="1:27" ht="17.399999999999999">
      <c r="A1424" s="156"/>
      <c r="B1424" s="152"/>
      <c r="C1424" s="152"/>
      <c r="D1424" s="152"/>
      <c r="E1424" s="152"/>
      <c r="F1424" s="152"/>
      <c r="G1424" s="152"/>
      <c r="H1424" s="153"/>
      <c r="I1424" s="153"/>
      <c r="J1424" s="153"/>
      <c r="K1424" s="153"/>
      <c r="L1424" s="153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</row>
    <row r="1425" spans="1:27" ht="17.399999999999999">
      <c r="A1425" s="156"/>
      <c r="B1425" s="152"/>
      <c r="C1425" s="152"/>
      <c r="D1425" s="152"/>
      <c r="E1425" s="152"/>
      <c r="F1425" s="152"/>
      <c r="G1425" s="152"/>
      <c r="H1425" s="153"/>
      <c r="I1425" s="153"/>
      <c r="J1425" s="153"/>
      <c r="K1425" s="153"/>
      <c r="L1425" s="153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</row>
    <row r="1426" spans="1:27" ht="17.399999999999999">
      <c r="A1426" s="156"/>
      <c r="B1426" s="152"/>
      <c r="C1426" s="152"/>
      <c r="D1426" s="152"/>
      <c r="E1426" s="152"/>
      <c r="F1426" s="152"/>
      <c r="G1426" s="152"/>
      <c r="H1426" s="153"/>
      <c r="I1426" s="153"/>
      <c r="J1426" s="153"/>
      <c r="K1426" s="153"/>
      <c r="L1426" s="153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</row>
    <row r="1427" spans="1:27" ht="17.399999999999999">
      <c r="A1427" s="156"/>
      <c r="B1427" s="152"/>
      <c r="C1427" s="152"/>
      <c r="D1427" s="152"/>
      <c r="E1427" s="152"/>
      <c r="F1427" s="152"/>
      <c r="G1427" s="152"/>
      <c r="H1427" s="153"/>
      <c r="I1427" s="153"/>
      <c r="J1427" s="153"/>
      <c r="K1427" s="153"/>
      <c r="L1427" s="153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</row>
    <row r="1428" spans="1:27" ht="17.399999999999999">
      <c r="A1428" s="156"/>
      <c r="B1428" s="152"/>
      <c r="C1428" s="152"/>
      <c r="D1428" s="152"/>
      <c r="E1428" s="152"/>
      <c r="F1428" s="152"/>
      <c r="G1428" s="152"/>
      <c r="H1428" s="153"/>
      <c r="I1428" s="153"/>
      <c r="J1428" s="153"/>
      <c r="K1428" s="153"/>
      <c r="L1428" s="153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</row>
    <row r="1429" spans="1:27" ht="17.399999999999999">
      <c r="A1429" s="156"/>
      <c r="B1429" s="152"/>
      <c r="C1429" s="152"/>
      <c r="D1429" s="152"/>
      <c r="E1429" s="152"/>
      <c r="F1429" s="152"/>
      <c r="G1429" s="152"/>
      <c r="H1429" s="153"/>
      <c r="I1429" s="153"/>
      <c r="J1429" s="153"/>
      <c r="K1429" s="153"/>
      <c r="L1429" s="153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</row>
    <row r="1430" spans="1:27" ht="17.399999999999999">
      <c r="A1430" s="156"/>
      <c r="B1430" s="152"/>
      <c r="C1430" s="152"/>
      <c r="D1430" s="152"/>
      <c r="E1430" s="152"/>
      <c r="F1430" s="152"/>
      <c r="G1430" s="152"/>
      <c r="H1430" s="153"/>
      <c r="I1430" s="153"/>
      <c r="J1430" s="153"/>
      <c r="K1430" s="153"/>
      <c r="L1430" s="153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</row>
    <row r="1431" spans="1:27" ht="17.399999999999999">
      <c r="A1431" s="156"/>
      <c r="B1431" s="152"/>
      <c r="C1431" s="152"/>
      <c r="D1431" s="152"/>
      <c r="E1431" s="152"/>
      <c r="F1431" s="152"/>
      <c r="G1431" s="152"/>
      <c r="H1431" s="153"/>
      <c r="I1431" s="153"/>
      <c r="J1431" s="153"/>
      <c r="K1431" s="153"/>
      <c r="L1431" s="153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</row>
    <row r="1432" spans="1:27" ht="17.399999999999999">
      <c r="A1432" s="156"/>
      <c r="B1432" s="152"/>
      <c r="C1432" s="152"/>
      <c r="D1432" s="152"/>
      <c r="E1432" s="152"/>
      <c r="F1432" s="152"/>
      <c r="G1432" s="152"/>
      <c r="H1432" s="153"/>
      <c r="I1432" s="153"/>
      <c r="J1432" s="153"/>
      <c r="K1432" s="153"/>
      <c r="L1432" s="153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</row>
    <row r="1433" spans="1:27" ht="17.399999999999999">
      <c r="A1433" s="156"/>
      <c r="B1433" s="152"/>
      <c r="C1433" s="152"/>
      <c r="D1433" s="152"/>
      <c r="E1433" s="152"/>
      <c r="F1433" s="152"/>
      <c r="G1433" s="152"/>
      <c r="H1433" s="153"/>
      <c r="I1433" s="153"/>
      <c r="J1433" s="153"/>
      <c r="K1433" s="153"/>
      <c r="L1433" s="153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</row>
    <row r="1434" spans="1:27" ht="17.399999999999999">
      <c r="A1434" s="156"/>
      <c r="B1434" s="152"/>
      <c r="C1434" s="152"/>
      <c r="D1434" s="152"/>
      <c r="E1434" s="152"/>
      <c r="F1434" s="152"/>
      <c r="G1434" s="152"/>
      <c r="H1434" s="153"/>
      <c r="I1434" s="153"/>
      <c r="J1434" s="153"/>
      <c r="K1434" s="153"/>
      <c r="L1434" s="153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</row>
    <row r="1435" spans="1:27" ht="17.399999999999999">
      <c r="A1435" s="156"/>
      <c r="B1435" s="152"/>
      <c r="C1435" s="152"/>
      <c r="D1435" s="152"/>
      <c r="E1435" s="152"/>
      <c r="F1435" s="152"/>
      <c r="G1435" s="152"/>
      <c r="H1435" s="153"/>
      <c r="I1435" s="153"/>
      <c r="J1435" s="153"/>
      <c r="K1435" s="153"/>
      <c r="L1435" s="153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</row>
    <row r="1436" spans="1:27" ht="17.399999999999999">
      <c r="A1436" s="156"/>
      <c r="B1436" s="152"/>
      <c r="C1436" s="152"/>
      <c r="D1436" s="152"/>
      <c r="E1436" s="152"/>
      <c r="F1436" s="152"/>
      <c r="G1436" s="152"/>
      <c r="H1436" s="153"/>
      <c r="I1436" s="153"/>
      <c r="J1436" s="153"/>
      <c r="K1436" s="153"/>
      <c r="L1436" s="153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</row>
    <row r="1437" spans="1:27" ht="17.399999999999999">
      <c r="A1437" s="156"/>
      <c r="B1437" s="152"/>
      <c r="C1437" s="152"/>
      <c r="D1437" s="152"/>
      <c r="E1437" s="152"/>
      <c r="F1437" s="152"/>
      <c r="G1437" s="152"/>
      <c r="H1437" s="153"/>
      <c r="I1437" s="153"/>
      <c r="J1437" s="153"/>
      <c r="K1437" s="153"/>
      <c r="L1437" s="153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</row>
    <row r="1438" spans="1:27" ht="17.399999999999999">
      <c r="A1438" s="156"/>
      <c r="B1438" s="152"/>
      <c r="C1438" s="152"/>
      <c r="D1438" s="152"/>
      <c r="E1438" s="152"/>
      <c r="F1438" s="152"/>
      <c r="G1438" s="152"/>
      <c r="H1438" s="153"/>
      <c r="I1438" s="153"/>
      <c r="J1438" s="153"/>
      <c r="K1438" s="153"/>
      <c r="L1438" s="153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</row>
    <row r="1439" spans="1:27" ht="17.399999999999999">
      <c r="A1439" s="156"/>
      <c r="B1439" s="152"/>
      <c r="C1439" s="152"/>
      <c r="D1439" s="152"/>
      <c r="E1439" s="152"/>
      <c r="F1439" s="152"/>
      <c r="G1439" s="152"/>
      <c r="H1439" s="153"/>
      <c r="I1439" s="153"/>
      <c r="J1439" s="153"/>
      <c r="K1439" s="153"/>
      <c r="L1439" s="153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</row>
    <row r="1440" spans="1:27" ht="17.399999999999999">
      <c r="A1440" s="156"/>
      <c r="B1440" s="152"/>
      <c r="C1440" s="152"/>
      <c r="D1440" s="152"/>
      <c r="E1440" s="152"/>
      <c r="F1440" s="152"/>
      <c r="G1440" s="152"/>
      <c r="H1440" s="153"/>
      <c r="I1440" s="153"/>
      <c r="J1440" s="153"/>
      <c r="K1440" s="153"/>
      <c r="L1440" s="153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</row>
    <row r="1441" spans="1:27" ht="17.399999999999999">
      <c r="A1441" s="156"/>
      <c r="B1441" s="152"/>
      <c r="C1441" s="152"/>
      <c r="D1441" s="152"/>
      <c r="E1441" s="152"/>
      <c r="F1441" s="152"/>
      <c r="G1441" s="152"/>
      <c r="H1441" s="153"/>
      <c r="I1441" s="153"/>
      <c r="J1441" s="153"/>
      <c r="K1441" s="153"/>
      <c r="L1441" s="153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</row>
    <row r="1442" spans="1:27" ht="17.399999999999999">
      <c r="A1442" s="156"/>
      <c r="B1442" s="152"/>
      <c r="C1442" s="152"/>
      <c r="D1442" s="152"/>
      <c r="E1442" s="152"/>
      <c r="F1442" s="152"/>
      <c r="G1442" s="152"/>
      <c r="H1442" s="153"/>
      <c r="I1442" s="153"/>
      <c r="J1442" s="153"/>
      <c r="K1442" s="153"/>
      <c r="L1442" s="153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</row>
    <row r="1443" spans="1:27" ht="17.399999999999999">
      <c r="A1443" s="156"/>
      <c r="B1443" s="152"/>
      <c r="C1443" s="152"/>
      <c r="D1443" s="152"/>
      <c r="E1443" s="152"/>
      <c r="F1443" s="152"/>
      <c r="G1443" s="152"/>
      <c r="H1443" s="153"/>
      <c r="I1443" s="153"/>
      <c r="J1443" s="153"/>
      <c r="K1443" s="153"/>
      <c r="L1443" s="153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</row>
    <row r="1444" spans="1:27" ht="17.399999999999999">
      <c r="A1444" s="156"/>
      <c r="B1444" s="152"/>
      <c r="C1444" s="152"/>
      <c r="D1444" s="152"/>
      <c r="E1444" s="152"/>
      <c r="F1444" s="152"/>
      <c r="G1444" s="152"/>
      <c r="H1444" s="153"/>
      <c r="I1444" s="153"/>
      <c r="J1444" s="153"/>
      <c r="K1444" s="153"/>
      <c r="L1444" s="153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</row>
    <row r="1445" spans="1:27" ht="17.399999999999999">
      <c r="A1445" s="156"/>
      <c r="B1445" s="152"/>
      <c r="C1445" s="152"/>
      <c r="D1445" s="152"/>
      <c r="E1445" s="152"/>
      <c r="F1445" s="152"/>
      <c r="G1445" s="152"/>
      <c r="H1445" s="153"/>
      <c r="I1445" s="153"/>
      <c r="J1445" s="153"/>
      <c r="K1445" s="153"/>
      <c r="L1445" s="153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</row>
    <row r="1446" spans="1:27" ht="17.399999999999999">
      <c r="A1446" s="156"/>
      <c r="B1446" s="152"/>
      <c r="C1446" s="152"/>
      <c r="D1446" s="152"/>
      <c r="E1446" s="152"/>
      <c r="F1446" s="152"/>
      <c r="G1446" s="152"/>
      <c r="H1446" s="153"/>
      <c r="I1446" s="153"/>
      <c r="J1446" s="153"/>
      <c r="K1446" s="153"/>
      <c r="L1446" s="153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</row>
    <row r="1447" spans="1:27" ht="17.399999999999999">
      <c r="A1447" s="156"/>
      <c r="B1447" s="152"/>
      <c r="C1447" s="152"/>
      <c r="D1447" s="152"/>
      <c r="E1447" s="152"/>
      <c r="F1447" s="152"/>
      <c r="G1447" s="152"/>
      <c r="H1447" s="153"/>
      <c r="I1447" s="153"/>
      <c r="J1447" s="153"/>
      <c r="K1447" s="153"/>
      <c r="L1447" s="153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</row>
    <row r="1448" spans="1:27" ht="17.399999999999999">
      <c r="A1448" s="156"/>
      <c r="B1448" s="152"/>
      <c r="C1448" s="152"/>
      <c r="D1448" s="152"/>
      <c r="E1448" s="152"/>
      <c r="F1448" s="152"/>
      <c r="G1448" s="152"/>
      <c r="H1448" s="153"/>
      <c r="I1448" s="153"/>
      <c r="J1448" s="153"/>
      <c r="K1448" s="153"/>
      <c r="L1448" s="153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</row>
    <row r="1449" spans="1:27" ht="17.399999999999999">
      <c r="A1449" s="156"/>
      <c r="B1449" s="152"/>
      <c r="C1449" s="152"/>
      <c r="D1449" s="152"/>
      <c r="E1449" s="152"/>
      <c r="F1449" s="152"/>
      <c r="G1449" s="152"/>
      <c r="H1449" s="153"/>
      <c r="I1449" s="153"/>
      <c r="J1449" s="153"/>
      <c r="K1449" s="153"/>
      <c r="L1449" s="153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</row>
    <row r="1450" spans="1:27" ht="17.399999999999999">
      <c r="A1450" s="156"/>
      <c r="B1450" s="152"/>
      <c r="C1450" s="152"/>
      <c r="D1450" s="152"/>
      <c r="E1450" s="152"/>
      <c r="F1450" s="152"/>
      <c r="G1450" s="152"/>
      <c r="H1450" s="153"/>
      <c r="I1450" s="153"/>
      <c r="J1450" s="153"/>
      <c r="K1450" s="153"/>
      <c r="L1450" s="153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</row>
    <row r="1451" spans="1:27" ht="17.399999999999999">
      <c r="A1451" s="156"/>
      <c r="B1451" s="152"/>
      <c r="C1451" s="152"/>
      <c r="D1451" s="152"/>
      <c r="E1451" s="152"/>
      <c r="F1451" s="152"/>
      <c r="G1451" s="152"/>
      <c r="H1451" s="153"/>
      <c r="I1451" s="153"/>
      <c r="J1451" s="153"/>
      <c r="K1451" s="153"/>
      <c r="L1451" s="153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</row>
    <row r="1452" spans="1:27" ht="17.399999999999999">
      <c r="A1452" s="156"/>
      <c r="B1452" s="152"/>
      <c r="C1452" s="152"/>
      <c r="D1452" s="152"/>
      <c r="E1452" s="152"/>
      <c r="F1452" s="152"/>
      <c r="G1452" s="152"/>
      <c r="H1452" s="153"/>
      <c r="I1452" s="153"/>
      <c r="J1452" s="153"/>
      <c r="K1452" s="153"/>
      <c r="L1452" s="153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</row>
    <row r="1453" spans="1:27" ht="17.399999999999999">
      <c r="A1453" s="156"/>
      <c r="B1453" s="152"/>
      <c r="C1453" s="152"/>
      <c r="D1453" s="152"/>
      <c r="E1453" s="152"/>
      <c r="F1453" s="152"/>
      <c r="G1453" s="152"/>
      <c r="H1453" s="153"/>
      <c r="I1453" s="153"/>
      <c r="J1453" s="153"/>
      <c r="K1453" s="153"/>
      <c r="L1453" s="153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</row>
    <row r="1454" spans="1:27" ht="17.399999999999999">
      <c r="A1454" s="156"/>
      <c r="B1454" s="152"/>
      <c r="C1454" s="152"/>
      <c r="D1454" s="152"/>
      <c r="E1454" s="152"/>
      <c r="F1454" s="152"/>
      <c r="G1454" s="152"/>
      <c r="H1454" s="153"/>
      <c r="I1454" s="153"/>
      <c r="J1454" s="153"/>
      <c r="K1454" s="153"/>
      <c r="L1454" s="153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</row>
    <row r="1455" spans="1:27" ht="17.399999999999999">
      <c r="A1455" s="156"/>
      <c r="B1455" s="152"/>
      <c r="C1455" s="152"/>
      <c r="D1455" s="152"/>
      <c r="E1455" s="152"/>
      <c r="F1455" s="152"/>
      <c r="G1455" s="152"/>
      <c r="H1455" s="153"/>
      <c r="I1455" s="153"/>
      <c r="J1455" s="153"/>
      <c r="K1455" s="153"/>
      <c r="L1455" s="153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</row>
    <row r="1456" spans="1:27" ht="17.399999999999999">
      <c r="A1456" s="156"/>
      <c r="B1456" s="152"/>
      <c r="C1456" s="152"/>
      <c r="D1456" s="152"/>
      <c r="E1456" s="152"/>
      <c r="F1456" s="152"/>
      <c r="G1456" s="152"/>
      <c r="H1456" s="153"/>
      <c r="I1456" s="153"/>
      <c r="J1456" s="153"/>
      <c r="K1456" s="153"/>
      <c r="L1456" s="153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</row>
    <row r="1457" spans="1:27" ht="17.399999999999999">
      <c r="A1457" s="156"/>
      <c r="B1457" s="152"/>
      <c r="C1457" s="152"/>
      <c r="D1457" s="152"/>
      <c r="E1457" s="152"/>
      <c r="F1457" s="152"/>
      <c r="G1457" s="152"/>
      <c r="H1457" s="153"/>
      <c r="I1457" s="153"/>
      <c r="J1457" s="153"/>
      <c r="K1457" s="153"/>
      <c r="L1457" s="153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</row>
    <row r="1458" spans="1:27" ht="17.399999999999999">
      <c r="A1458" s="156"/>
      <c r="B1458" s="152"/>
      <c r="C1458" s="152"/>
      <c r="D1458" s="152"/>
      <c r="E1458" s="152"/>
      <c r="F1458" s="152"/>
      <c r="G1458" s="152"/>
      <c r="H1458" s="153"/>
      <c r="I1458" s="153"/>
      <c r="J1458" s="153"/>
      <c r="K1458" s="153"/>
      <c r="L1458" s="153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</row>
    <row r="1459" spans="1:27" ht="17.399999999999999">
      <c r="A1459" s="156"/>
      <c r="B1459" s="152"/>
      <c r="C1459" s="152"/>
      <c r="D1459" s="152"/>
      <c r="E1459" s="152"/>
      <c r="F1459" s="152"/>
      <c r="G1459" s="152"/>
      <c r="H1459" s="153"/>
      <c r="I1459" s="153"/>
      <c r="J1459" s="153"/>
      <c r="K1459" s="153"/>
      <c r="L1459" s="153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</row>
    <row r="1460" spans="1:27" ht="17.399999999999999">
      <c r="A1460" s="156"/>
      <c r="B1460" s="152"/>
      <c r="C1460" s="152"/>
      <c r="D1460" s="152"/>
      <c r="E1460" s="152"/>
      <c r="F1460" s="152"/>
      <c r="G1460" s="152"/>
      <c r="H1460" s="153"/>
      <c r="I1460" s="153"/>
      <c r="J1460" s="153"/>
      <c r="K1460" s="153"/>
      <c r="L1460" s="153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</row>
    <row r="1461" spans="1:27" ht="17.399999999999999">
      <c r="A1461" s="156"/>
      <c r="B1461" s="152"/>
      <c r="C1461" s="152"/>
      <c r="D1461" s="152"/>
      <c r="E1461" s="152"/>
      <c r="F1461" s="152"/>
      <c r="G1461" s="152"/>
      <c r="H1461" s="153"/>
      <c r="I1461" s="153"/>
      <c r="J1461" s="153"/>
      <c r="K1461" s="153"/>
      <c r="L1461" s="153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</row>
    <row r="1462" spans="1:27" ht="17.399999999999999">
      <c r="A1462" s="156"/>
      <c r="B1462" s="152"/>
      <c r="C1462" s="152"/>
      <c r="D1462" s="152"/>
      <c r="E1462" s="152"/>
      <c r="F1462" s="152"/>
      <c r="G1462" s="152"/>
      <c r="H1462" s="153"/>
      <c r="I1462" s="153"/>
      <c r="J1462" s="153"/>
      <c r="K1462" s="153"/>
      <c r="L1462" s="153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</row>
    <row r="1463" spans="1:27" ht="17.399999999999999">
      <c r="A1463" s="156"/>
      <c r="B1463" s="152"/>
      <c r="C1463" s="152"/>
      <c r="D1463" s="152"/>
      <c r="E1463" s="152"/>
      <c r="F1463" s="152"/>
      <c r="G1463" s="152"/>
      <c r="H1463" s="153"/>
      <c r="I1463" s="153"/>
      <c r="J1463" s="153"/>
      <c r="K1463" s="153"/>
      <c r="L1463" s="153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</row>
    <row r="1464" spans="1:27" ht="17.399999999999999">
      <c r="A1464" s="156"/>
      <c r="B1464" s="152"/>
      <c r="C1464" s="152"/>
      <c r="D1464" s="152"/>
      <c r="E1464" s="152"/>
      <c r="F1464" s="152"/>
      <c r="G1464" s="152"/>
      <c r="H1464" s="153"/>
      <c r="I1464" s="153"/>
      <c r="J1464" s="153"/>
      <c r="K1464" s="153"/>
      <c r="L1464" s="153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</row>
    <row r="1465" spans="1:27" ht="17.399999999999999">
      <c r="A1465" s="156"/>
      <c r="B1465" s="152"/>
      <c r="C1465" s="152"/>
      <c r="D1465" s="152"/>
      <c r="E1465" s="152"/>
      <c r="F1465" s="152"/>
      <c r="G1465" s="152"/>
      <c r="H1465" s="153"/>
      <c r="I1465" s="153"/>
      <c r="J1465" s="153"/>
      <c r="K1465" s="153"/>
      <c r="L1465" s="153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</row>
    <row r="1466" spans="1:27" ht="17.399999999999999">
      <c r="A1466" s="156"/>
      <c r="B1466" s="152"/>
      <c r="C1466" s="152"/>
      <c r="D1466" s="152"/>
      <c r="E1466" s="152"/>
      <c r="F1466" s="152"/>
      <c r="G1466" s="152"/>
      <c r="H1466" s="153"/>
      <c r="I1466" s="153"/>
      <c r="J1466" s="153"/>
      <c r="K1466" s="153"/>
      <c r="L1466" s="153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</row>
    <row r="1467" spans="1:27" ht="17.399999999999999">
      <c r="A1467" s="156"/>
      <c r="B1467" s="152"/>
      <c r="C1467" s="152"/>
      <c r="D1467" s="152"/>
      <c r="E1467" s="152"/>
      <c r="F1467" s="152"/>
      <c r="G1467" s="152"/>
      <c r="H1467" s="153"/>
      <c r="I1467" s="153"/>
      <c r="J1467" s="153"/>
      <c r="K1467" s="153"/>
      <c r="L1467" s="153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</row>
    <row r="1468" spans="1:27" ht="17.399999999999999">
      <c r="A1468" s="156"/>
      <c r="B1468" s="152"/>
      <c r="C1468" s="152"/>
      <c r="D1468" s="152"/>
      <c r="E1468" s="152"/>
      <c r="F1468" s="152"/>
      <c r="G1468" s="152"/>
      <c r="H1468" s="153"/>
      <c r="I1468" s="153"/>
      <c r="J1468" s="153"/>
      <c r="K1468" s="153"/>
      <c r="L1468" s="153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</row>
    <row r="1469" spans="1:27" ht="17.399999999999999">
      <c r="A1469" s="156"/>
      <c r="B1469" s="152"/>
      <c r="C1469" s="152"/>
      <c r="D1469" s="152"/>
      <c r="E1469" s="152"/>
      <c r="F1469" s="152"/>
      <c r="G1469" s="152"/>
      <c r="H1469" s="153"/>
      <c r="I1469" s="153"/>
      <c r="J1469" s="153"/>
      <c r="K1469" s="153"/>
      <c r="L1469" s="153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</row>
    <row r="1470" spans="1:27" ht="17.399999999999999">
      <c r="A1470" s="156"/>
      <c r="B1470" s="152"/>
      <c r="C1470" s="152"/>
      <c r="D1470" s="152"/>
      <c r="E1470" s="152"/>
      <c r="F1470" s="152"/>
      <c r="G1470" s="152"/>
      <c r="H1470" s="153"/>
      <c r="I1470" s="153"/>
      <c r="J1470" s="153"/>
      <c r="K1470" s="153"/>
      <c r="L1470" s="153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</row>
    <row r="1471" spans="1:27" ht="17.399999999999999">
      <c r="A1471" s="156"/>
      <c r="B1471" s="152"/>
      <c r="C1471" s="152"/>
      <c r="D1471" s="152"/>
      <c r="E1471" s="152"/>
      <c r="F1471" s="152"/>
      <c r="G1471" s="152"/>
      <c r="H1471" s="153"/>
      <c r="I1471" s="153"/>
      <c r="J1471" s="153"/>
      <c r="K1471" s="153"/>
      <c r="L1471" s="153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</row>
    <row r="1472" spans="1:27" ht="17.399999999999999">
      <c r="A1472" s="156"/>
      <c r="B1472" s="152"/>
      <c r="C1472" s="152"/>
      <c r="D1472" s="152"/>
      <c r="E1472" s="152"/>
      <c r="F1472" s="152"/>
      <c r="G1472" s="152"/>
      <c r="H1472" s="153"/>
      <c r="I1472" s="153"/>
      <c r="J1472" s="153"/>
      <c r="K1472" s="153"/>
      <c r="L1472" s="153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</row>
    <row r="1473" spans="1:27" ht="17.399999999999999">
      <c r="A1473" s="156"/>
      <c r="B1473" s="152"/>
      <c r="C1473" s="152"/>
      <c r="D1473" s="152"/>
      <c r="E1473" s="152"/>
      <c r="F1473" s="152"/>
      <c r="G1473" s="152"/>
      <c r="H1473" s="153"/>
      <c r="I1473" s="153"/>
      <c r="J1473" s="153"/>
      <c r="K1473" s="153"/>
      <c r="L1473" s="153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</row>
    <row r="1474" spans="1:27" ht="17.399999999999999">
      <c r="A1474" s="156"/>
      <c r="B1474" s="152"/>
      <c r="C1474" s="152"/>
      <c r="D1474" s="152"/>
      <c r="E1474" s="152"/>
      <c r="F1474" s="152"/>
      <c r="G1474" s="152"/>
      <c r="H1474" s="153"/>
      <c r="I1474" s="153"/>
      <c r="J1474" s="153"/>
      <c r="K1474" s="153"/>
      <c r="L1474" s="153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</row>
    <row r="1475" spans="1:27" ht="17.399999999999999">
      <c r="A1475" s="156"/>
      <c r="B1475" s="152"/>
      <c r="C1475" s="152"/>
      <c r="D1475" s="152"/>
      <c r="E1475" s="152"/>
      <c r="F1475" s="152"/>
      <c r="G1475" s="152"/>
      <c r="H1475" s="153"/>
      <c r="I1475" s="153"/>
      <c r="J1475" s="153"/>
      <c r="K1475" s="153"/>
      <c r="L1475" s="153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</row>
    <row r="1476" spans="1:27" ht="17.399999999999999">
      <c r="A1476" s="156"/>
      <c r="B1476" s="152"/>
      <c r="C1476" s="152"/>
      <c r="D1476" s="152"/>
      <c r="E1476" s="152"/>
      <c r="F1476" s="152"/>
      <c r="G1476" s="152"/>
      <c r="H1476" s="153"/>
      <c r="I1476" s="153"/>
      <c r="J1476" s="153"/>
      <c r="K1476" s="153"/>
      <c r="L1476" s="153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</row>
    <row r="1477" spans="1:27" ht="17.399999999999999">
      <c r="A1477" s="156"/>
      <c r="B1477" s="152"/>
      <c r="C1477" s="152"/>
      <c r="D1477" s="152"/>
      <c r="E1477" s="152"/>
      <c r="F1477" s="152"/>
      <c r="G1477" s="152"/>
      <c r="H1477" s="153"/>
      <c r="I1477" s="153"/>
      <c r="J1477" s="153"/>
      <c r="K1477" s="153"/>
      <c r="L1477" s="153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</row>
    <row r="1478" spans="1:27" ht="17.399999999999999">
      <c r="A1478" s="156"/>
      <c r="B1478" s="152"/>
      <c r="C1478" s="152"/>
      <c r="D1478" s="152"/>
      <c r="E1478" s="152"/>
      <c r="F1478" s="152"/>
      <c r="G1478" s="152"/>
      <c r="H1478" s="153"/>
      <c r="I1478" s="153"/>
      <c r="J1478" s="153"/>
      <c r="K1478" s="153"/>
      <c r="L1478" s="153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</row>
    <row r="1479" spans="1:27" ht="17.399999999999999">
      <c r="A1479" s="156"/>
      <c r="B1479" s="152"/>
      <c r="C1479" s="152"/>
      <c r="D1479" s="152"/>
      <c r="E1479" s="152"/>
      <c r="F1479" s="152"/>
      <c r="G1479" s="152"/>
      <c r="H1479" s="153"/>
      <c r="I1479" s="153"/>
      <c r="J1479" s="153"/>
      <c r="K1479" s="153"/>
      <c r="L1479" s="153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</row>
    <row r="1480" spans="1:27" ht="17.399999999999999">
      <c r="A1480" s="156"/>
      <c r="B1480" s="152"/>
      <c r="C1480" s="152"/>
      <c r="D1480" s="152"/>
      <c r="E1480" s="152"/>
      <c r="F1480" s="152"/>
      <c r="G1480" s="152"/>
      <c r="H1480" s="153"/>
      <c r="I1480" s="153"/>
      <c r="J1480" s="153"/>
      <c r="K1480" s="153"/>
      <c r="L1480" s="153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</row>
    <row r="1481" spans="1:27" ht="17.399999999999999">
      <c r="A1481" s="156"/>
      <c r="B1481" s="152"/>
      <c r="C1481" s="152"/>
      <c r="D1481" s="152"/>
      <c r="E1481" s="152"/>
      <c r="F1481" s="152"/>
      <c r="G1481" s="152"/>
      <c r="H1481" s="153"/>
      <c r="I1481" s="153"/>
      <c r="J1481" s="153"/>
      <c r="K1481" s="153"/>
      <c r="L1481" s="153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</row>
    <row r="1482" spans="1:27" ht="17.399999999999999">
      <c r="A1482" s="156"/>
      <c r="B1482" s="152"/>
      <c r="C1482" s="152"/>
      <c r="D1482" s="152"/>
      <c r="E1482" s="152"/>
      <c r="F1482" s="152"/>
      <c r="G1482" s="152"/>
      <c r="H1482" s="153"/>
      <c r="I1482" s="153"/>
      <c r="J1482" s="153"/>
      <c r="K1482" s="153"/>
      <c r="L1482" s="153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</row>
    <row r="1483" spans="1:27" ht="17.399999999999999">
      <c r="A1483" s="156"/>
      <c r="B1483" s="152"/>
      <c r="C1483" s="152"/>
      <c r="D1483" s="152"/>
      <c r="E1483" s="152"/>
      <c r="F1483" s="152"/>
      <c r="G1483" s="152"/>
      <c r="H1483" s="153"/>
      <c r="I1483" s="153"/>
      <c r="J1483" s="153"/>
      <c r="K1483" s="153"/>
      <c r="L1483" s="153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</row>
    <row r="1484" spans="1:27" ht="17.399999999999999">
      <c r="A1484" s="156"/>
      <c r="B1484" s="152"/>
      <c r="C1484" s="152"/>
      <c r="D1484" s="152"/>
      <c r="E1484" s="152"/>
      <c r="F1484" s="152"/>
      <c r="G1484" s="152"/>
      <c r="H1484" s="153"/>
      <c r="I1484" s="153"/>
      <c r="J1484" s="153"/>
      <c r="K1484" s="153"/>
      <c r="L1484" s="153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</row>
    <row r="1485" spans="1:27" ht="17.399999999999999">
      <c r="A1485" s="156"/>
      <c r="B1485" s="152"/>
      <c r="C1485" s="152"/>
      <c r="D1485" s="152"/>
      <c r="E1485" s="152"/>
      <c r="F1485" s="152"/>
      <c r="G1485" s="152"/>
      <c r="H1485" s="153"/>
      <c r="I1485" s="153"/>
      <c r="J1485" s="153"/>
      <c r="K1485" s="153"/>
      <c r="L1485" s="153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</row>
    <row r="1486" spans="1:27" ht="17.399999999999999">
      <c r="A1486" s="156"/>
      <c r="B1486" s="152"/>
      <c r="C1486" s="152"/>
      <c r="D1486" s="152"/>
      <c r="E1486" s="152"/>
      <c r="F1486" s="152"/>
      <c r="G1486" s="152"/>
      <c r="H1486" s="153"/>
      <c r="I1486" s="153"/>
      <c r="J1486" s="153"/>
      <c r="K1486" s="153"/>
      <c r="L1486" s="153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</row>
    <row r="1487" spans="1:27" ht="17.399999999999999">
      <c r="A1487" s="156"/>
      <c r="B1487" s="152"/>
      <c r="C1487" s="152"/>
      <c r="D1487" s="152"/>
      <c r="E1487" s="152"/>
      <c r="F1487" s="152"/>
      <c r="G1487" s="152"/>
      <c r="H1487" s="153"/>
      <c r="I1487" s="153"/>
      <c r="J1487" s="153"/>
      <c r="K1487" s="153"/>
      <c r="L1487" s="153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</row>
    <row r="1488" spans="1:27" ht="17.399999999999999">
      <c r="A1488" s="156"/>
      <c r="B1488" s="152"/>
      <c r="C1488" s="152"/>
      <c r="D1488" s="152"/>
      <c r="E1488" s="152"/>
      <c r="F1488" s="152"/>
      <c r="G1488" s="152"/>
      <c r="H1488" s="153"/>
      <c r="I1488" s="153"/>
      <c r="J1488" s="153"/>
      <c r="K1488" s="153"/>
      <c r="L1488" s="153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</row>
    <row r="1489" spans="1:27" ht="17.399999999999999">
      <c r="A1489" s="156"/>
      <c r="B1489" s="152"/>
      <c r="C1489" s="152"/>
      <c r="D1489" s="152"/>
      <c r="E1489" s="152"/>
      <c r="F1489" s="152"/>
      <c r="G1489" s="152"/>
      <c r="H1489" s="153"/>
      <c r="I1489" s="153"/>
      <c r="J1489" s="153"/>
      <c r="K1489" s="153"/>
      <c r="L1489" s="153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</row>
    <row r="1490" spans="1:27" ht="17.399999999999999">
      <c r="A1490" s="156"/>
      <c r="B1490" s="152"/>
      <c r="C1490" s="152"/>
      <c r="D1490" s="152"/>
      <c r="E1490" s="152"/>
      <c r="F1490" s="152"/>
      <c r="G1490" s="152"/>
      <c r="H1490" s="153"/>
      <c r="I1490" s="153"/>
      <c r="J1490" s="153"/>
      <c r="K1490" s="153"/>
      <c r="L1490" s="153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</row>
    <row r="1491" spans="1:27" ht="17.399999999999999">
      <c r="A1491" s="156"/>
      <c r="B1491" s="152"/>
      <c r="C1491" s="152"/>
      <c r="D1491" s="152"/>
      <c r="E1491" s="152"/>
      <c r="F1491" s="152"/>
      <c r="G1491" s="152"/>
      <c r="H1491" s="153"/>
      <c r="I1491" s="153"/>
      <c r="J1491" s="153"/>
      <c r="K1491" s="153"/>
      <c r="L1491" s="153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</row>
    <row r="1492" spans="1:27" ht="17.399999999999999">
      <c r="A1492" s="156"/>
      <c r="B1492" s="152"/>
      <c r="C1492" s="152"/>
      <c r="D1492" s="152"/>
      <c r="E1492" s="152"/>
      <c r="F1492" s="152"/>
      <c r="G1492" s="152"/>
      <c r="H1492" s="153"/>
      <c r="I1492" s="153"/>
      <c r="J1492" s="153"/>
      <c r="K1492" s="153"/>
      <c r="L1492" s="153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</row>
    <row r="1493" spans="1:27" ht="17.399999999999999">
      <c r="A1493" s="156"/>
      <c r="B1493" s="152"/>
      <c r="C1493" s="152"/>
      <c r="D1493" s="152"/>
      <c r="E1493" s="152"/>
      <c r="F1493" s="152"/>
      <c r="G1493" s="152"/>
      <c r="H1493" s="153"/>
      <c r="I1493" s="153"/>
      <c r="J1493" s="153"/>
      <c r="K1493" s="153"/>
      <c r="L1493" s="153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</row>
    <row r="1494" spans="1:27" ht="17.399999999999999">
      <c r="A1494" s="156"/>
      <c r="B1494" s="152"/>
      <c r="C1494" s="152"/>
      <c r="D1494" s="152"/>
      <c r="E1494" s="152"/>
      <c r="F1494" s="152"/>
      <c r="G1494" s="152"/>
      <c r="H1494" s="153"/>
      <c r="I1494" s="153"/>
      <c r="J1494" s="153"/>
      <c r="K1494" s="153"/>
      <c r="L1494" s="153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</row>
    <row r="1495" spans="1:27" ht="17.399999999999999">
      <c r="A1495" s="156"/>
      <c r="B1495" s="152"/>
      <c r="C1495" s="152"/>
      <c r="D1495" s="152"/>
      <c r="E1495" s="152"/>
      <c r="F1495" s="152"/>
      <c r="G1495" s="152"/>
      <c r="H1495" s="153"/>
      <c r="I1495" s="153"/>
      <c r="J1495" s="153"/>
      <c r="K1495" s="153"/>
      <c r="L1495" s="153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</row>
    <row r="1496" spans="1:27" ht="17.399999999999999">
      <c r="A1496" s="156"/>
      <c r="B1496" s="152"/>
      <c r="C1496" s="152"/>
      <c r="D1496" s="152"/>
      <c r="E1496" s="152"/>
      <c r="F1496" s="152"/>
      <c r="G1496" s="152"/>
      <c r="H1496" s="153"/>
      <c r="I1496" s="153"/>
      <c r="J1496" s="153"/>
      <c r="K1496" s="153"/>
      <c r="L1496" s="153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</row>
    <row r="1497" spans="1:27" ht="17.399999999999999">
      <c r="A1497" s="156"/>
      <c r="B1497" s="152"/>
      <c r="C1497" s="152"/>
      <c r="D1497" s="152"/>
      <c r="E1497" s="152"/>
      <c r="F1497" s="152"/>
      <c r="G1497" s="152"/>
      <c r="H1497" s="153"/>
      <c r="I1497" s="153"/>
      <c r="J1497" s="153"/>
      <c r="K1497" s="153"/>
      <c r="L1497" s="153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</row>
    <row r="1498" spans="1:27" ht="17.399999999999999">
      <c r="A1498" s="156"/>
      <c r="B1498" s="152"/>
      <c r="C1498" s="152"/>
      <c r="D1498" s="152"/>
      <c r="E1498" s="152"/>
      <c r="F1498" s="152"/>
      <c r="G1498" s="152"/>
      <c r="H1498" s="153"/>
      <c r="I1498" s="153"/>
      <c r="J1498" s="153"/>
      <c r="K1498" s="153"/>
      <c r="L1498" s="153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</row>
    <row r="1499" spans="1:27" ht="17.399999999999999">
      <c r="A1499" s="156"/>
      <c r="B1499" s="152"/>
      <c r="C1499" s="152"/>
      <c r="D1499" s="152"/>
      <c r="E1499" s="152"/>
      <c r="F1499" s="152"/>
      <c r="G1499" s="152"/>
      <c r="H1499" s="153"/>
      <c r="I1499" s="153"/>
      <c r="J1499" s="153"/>
      <c r="K1499" s="153"/>
      <c r="L1499" s="153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</row>
    <row r="1500" spans="1:27" ht="17.399999999999999">
      <c r="A1500" s="156"/>
      <c r="B1500" s="152"/>
      <c r="C1500" s="152"/>
      <c r="D1500" s="152"/>
      <c r="E1500" s="152"/>
      <c r="F1500" s="152"/>
      <c r="G1500" s="152"/>
      <c r="H1500" s="153"/>
      <c r="I1500" s="153"/>
      <c r="J1500" s="153"/>
      <c r="K1500" s="153"/>
      <c r="L1500" s="153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</row>
    <row r="1501" spans="1:27" ht="17.399999999999999">
      <c r="A1501" s="156"/>
      <c r="B1501" s="152"/>
      <c r="C1501" s="152"/>
      <c r="D1501" s="152"/>
      <c r="E1501" s="152"/>
      <c r="F1501" s="152"/>
      <c r="G1501" s="152"/>
      <c r="H1501" s="153"/>
      <c r="I1501" s="153"/>
      <c r="J1501" s="153"/>
      <c r="K1501" s="153"/>
      <c r="L1501" s="153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</row>
    <row r="1502" spans="1:27" ht="17.399999999999999">
      <c r="A1502" s="156"/>
      <c r="B1502" s="152"/>
      <c r="C1502" s="152"/>
      <c r="D1502" s="152"/>
      <c r="E1502" s="152"/>
      <c r="F1502" s="152"/>
      <c r="G1502" s="152"/>
      <c r="H1502" s="153"/>
      <c r="I1502" s="153"/>
      <c r="J1502" s="153"/>
      <c r="K1502" s="153"/>
      <c r="L1502" s="153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</row>
    <row r="1503" spans="1:27" ht="17.399999999999999">
      <c r="A1503" s="156"/>
      <c r="B1503" s="152"/>
      <c r="C1503" s="152"/>
      <c r="D1503" s="152"/>
      <c r="E1503" s="152"/>
      <c r="F1503" s="152"/>
      <c r="G1503" s="152"/>
      <c r="H1503" s="153"/>
      <c r="I1503" s="153"/>
      <c r="J1503" s="153"/>
      <c r="K1503" s="153"/>
      <c r="L1503" s="153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</row>
    <row r="1504" spans="1:27" ht="17.399999999999999">
      <c r="A1504" s="156"/>
      <c r="B1504" s="152"/>
      <c r="C1504" s="152"/>
      <c r="D1504" s="152"/>
      <c r="E1504" s="152"/>
      <c r="F1504" s="152"/>
      <c r="G1504" s="152"/>
      <c r="H1504" s="153"/>
      <c r="I1504" s="153"/>
      <c r="J1504" s="153"/>
      <c r="K1504" s="153"/>
      <c r="L1504" s="153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</row>
    <row r="1505" spans="1:27" ht="17.399999999999999">
      <c r="A1505" s="156"/>
      <c r="B1505" s="152"/>
      <c r="C1505" s="152"/>
      <c r="D1505" s="152"/>
      <c r="E1505" s="152"/>
      <c r="F1505" s="152"/>
      <c r="G1505" s="152"/>
      <c r="H1505" s="153"/>
      <c r="I1505" s="153"/>
      <c r="J1505" s="153"/>
      <c r="K1505" s="153"/>
      <c r="L1505" s="153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</row>
    <row r="1506" spans="1:27" ht="17.399999999999999">
      <c r="A1506" s="156"/>
      <c r="B1506" s="152"/>
      <c r="C1506" s="152"/>
      <c r="D1506" s="152"/>
      <c r="E1506" s="152"/>
      <c r="F1506" s="152"/>
      <c r="G1506" s="152"/>
      <c r="H1506" s="153"/>
      <c r="I1506" s="153"/>
      <c r="J1506" s="153"/>
      <c r="K1506" s="153"/>
      <c r="L1506" s="153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</row>
    <row r="1507" spans="1:27" ht="17.399999999999999">
      <c r="A1507" s="156"/>
      <c r="B1507" s="152"/>
      <c r="C1507" s="152"/>
      <c r="D1507" s="152"/>
      <c r="E1507" s="152"/>
      <c r="F1507" s="152"/>
      <c r="G1507" s="152"/>
      <c r="H1507" s="153"/>
      <c r="I1507" s="153"/>
      <c r="J1507" s="153"/>
      <c r="K1507" s="153"/>
      <c r="L1507" s="153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</row>
    <row r="1508" spans="1:27" ht="17.399999999999999">
      <c r="A1508" s="156"/>
      <c r="B1508" s="152"/>
      <c r="C1508" s="152"/>
      <c r="D1508" s="152"/>
      <c r="E1508" s="152"/>
      <c r="F1508" s="152"/>
      <c r="G1508" s="152"/>
      <c r="H1508" s="153"/>
      <c r="I1508" s="153"/>
      <c r="J1508" s="153"/>
      <c r="K1508" s="153"/>
      <c r="L1508" s="153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</row>
    <row r="1509" spans="1:27" ht="17.399999999999999">
      <c r="A1509" s="156"/>
      <c r="B1509" s="152"/>
      <c r="C1509" s="152"/>
      <c r="D1509" s="152"/>
      <c r="E1509" s="152"/>
      <c r="F1509" s="152"/>
      <c r="G1509" s="152"/>
      <c r="H1509" s="153"/>
      <c r="I1509" s="153"/>
      <c r="J1509" s="153"/>
      <c r="K1509" s="153"/>
      <c r="L1509" s="153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</row>
    <row r="1510" spans="1:27" ht="17.399999999999999">
      <c r="A1510" s="156"/>
      <c r="B1510" s="152"/>
      <c r="C1510" s="152"/>
      <c r="D1510" s="152"/>
      <c r="E1510" s="152"/>
      <c r="F1510" s="152"/>
      <c r="G1510" s="152"/>
      <c r="H1510" s="153"/>
      <c r="I1510" s="153"/>
      <c r="J1510" s="153"/>
      <c r="K1510" s="153"/>
      <c r="L1510" s="153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</row>
    <row r="1511" spans="1:27" ht="17.399999999999999">
      <c r="A1511" s="156"/>
      <c r="B1511" s="152"/>
      <c r="C1511" s="152"/>
      <c r="D1511" s="152"/>
      <c r="E1511" s="152"/>
      <c r="F1511" s="152"/>
      <c r="G1511" s="152"/>
      <c r="H1511" s="153"/>
      <c r="I1511" s="153"/>
      <c r="J1511" s="153"/>
      <c r="K1511" s="153"/>
      <c r="L1511" s="153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</row>
    <row r="1512" spans="1:27" ht="17.399999999999999">
      <c r="A1512" s="156"/>
      <c r="B1512" s="152"/>
      <c r="C1512" s="152"/>
      <c r="D1512" s="152"/>
      <c r="E1512" s="152"/>
      <c r="F1512" s="152"/>
      <c r="G1512" s="152"/>
      <c r="H1512" s="153"/>
      <c r="I1512" s="153"/>
      <c r="J1512" s="153"/>
      <c r="K1512" s="153"/>
      <c r="L1512" s="153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</row>
    <row r="1513" spans="1:27" ht="17.399999999999999">
      <c r="A1513" s="156"/>
      <c r="B1513" s="152"/>
      <c r="C1513" s="152"/>
      <c r="D1513" s="152"/>
      <c r="E1513" s="152"/>
      <c r="F1513" s="152"/>
      <c r="G1513" s="152"/>
      <c r="H1513" s="153"/>
      <c r="I1513" s="153"/>
      <c r="J1513" s="153"/>
      <c r="K1513" s="153"/>
      <c r="L1513" s="153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</row>
    <row r="1514" spans="1:27" ht="17.399999999999999">
      <c r="A1514" s="156"/>
      <c r="B1514" s="152"/>
      <c r="C1514" s="152"/>
      <c r="D1514" s="152"/>
      <c r="E1514" s="152"/>
      <c r="F1514" s="152"/>
      <c r="G1514" s="152"/>
      <c r="H1514" s="153"/>
      <c r="I1514" s="153"/>
      <c r="J1514" s="153"/>
      <c r="K1514" s="153"/>
      <c r="L1514" s="153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</row>
    <row r="1515" spans="1:27" ht="17.399999999999999">
      <c r="A1515" s="156"/>
      <c r="B1515" s="152"/>
      <c r="C1515" s="152"/>
      <c r="D1515" s="152"/>
      <c r="E1515" s="152"/>
      <c r="F1515" s="152"/>
      <c r="G1515" s="152"/>
      <c r="H1515" s="153"/>
      <c r="I1515" s="153"/>
      <c r="J1515" s="153"/>
      <c r="K1515" s="153"/>
      <c r="L1515" s="153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</row>
    <row r="1516" spans="1:27" ht="17.399999999999999">
      <c r="A1516" s="156"/>
      <c r="B1516" s="152"/>
      <c r="C1516" s="152"/>
      <c r="D1516" s="152"/>
      <c r="E1516" s="152"/>
      <c r="F1516" s="152"/>
      <c r="G1516" s="152"/>
      <c r="H1516" s="153"/>
      <c r="I1516" s="153"/>
      <c r="J1516" s="153"/>
      <c r="K1516" s="153"/>
      <c r="L1516" s="153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</row>
    <row r="1517" spans="1:27" ht="17.399999999999999">
      <c r="A1517" s="156"/>
      <c r="B1517" s="152"/>
      <c r="C1517" s="152"/>
      <c r="D1517" s="152"/>
      <c r="E1517" s="152"/>
      <c r="F1517" s="152"/>
      <c r="G1517" s="152"/>
      <c r="H1517" s="153"/>
      <c r="I1517" s="153"/>
      <c r="J1517" s="153"/>
      <c r="K1517" s="153"/>
      <c r="L1517" s="153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</row>
    <row r="1518" spans="1:27" ht="17.399999999999999">
      <c r="A1518" s="156"/>
      <c r="B1518" s="152"/>
      <c r="C1518" s="152"/>
      <c r="D1518" s="152"/>
      <c r="E1518" s="152"/>
      <c r="F1518" s="152"/>
      <c r="G1518" s="152"/>
      <c r="H1518" s="153"/>
      <c r="I1518" s="153"/>
      <c r="J1518" s="153"/>
      <c r="K1518" s="153"/>
      <c r="L1518" s="153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</row>
    <row r="1519" spans="1:27" ht="17.399999999999999">
      <c r="A1519" s="156"/>
      <c r="B1519" s="152"/>
      <c r="C1519" s="152"/>
      <c r="D1519" s="152"/>
      <c r="E1519" s="152"/>
      <c r="F1519" s="152"/>
      <c r="G1519" s="152"/>
      <c r="H1519" s="153"/>
      <c r="I1519" s="153"/>
      <c r="J1519" s="153"/>
      <c r="K1519" s="153"/>
      <c r="L1519" s="153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</row>
    <row r="1520" spans="1:27" ht="17.399999999999999">
      <c r="A1520" s="156"/>
      <c r="B1520" s="152"/>
      <c r="C1520" s="152"/>
      <c r="D1520" s="152"/>
      <c r="E1520" s="152"/>
      <c r="F1520" s="152"/>
      <c r="G1520" s="152"/>
      <c r="H1520" s="153"/>
      <c r="I1520" s="153"/>
      <c r="J1520" s="153"/>
      <c r="K1520" s="153"/>
      <c r="L1520" s="153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</row>
    <row r="1521" spans="1:27" ht="17.399999999999999">
      <c r="A1521" s="156"/>
      <c r="B1521" s="152"/>
      <c r="C1521" s="152"/>
      <c r="D1521" s="152"/>
      <c r="E1521" s="152"/>
      <c r="F1521" s="152"/>
      <c r="G1521" s="152"/>
      <c r="H1521" s="153"/>
      <c r="I1521" s="153"/>
      <c r="J1521" s="153"/>
      <c r="K1521" s="153"/>
      <c r="L1521" s="153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</row>
    <row r="1522" spans="1:27" ht="17.399999999999999">
      <c r="A1522" s="156"/>
      <c r="B1522" s="152"/>
      <c r="C1522" s="152"/>
      <c r="D1522" s="152"/>
      <c r="E1522" s="152"/>
      <c r="F1522" s="152"/>
      <c r="G1522" s="152"/>
      <c r="H1522" s="153"/>
      <c r="I1522" s="153"/>
      <c r="J1522" s="153"/>
      <c r="K1522" s="153"/>
      <c r="L1522" s="153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</row>
    <row r="1523" spans="1:27" ht="17.399999999999999">
      <c r="A1523" s="156"/>
      <c r="B1523" s="152"/>
      <c r="C1523" s="152"/>
      <c r="D1523" s="152"/>
      <c r="E1523" s="152"/>
      <c r="F1523" s="152"/>
      <c r="G1523" s="152"/>
      <c r="H1523" s="153"/>
      <c r="I1523" s="153"/>
      <c r="J1523" s="153"/>
      <c r="K1523" s="153"/>
      <c r="L1523" s="153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</row>
    <row r="1524" spans="1:27" ht="17.399999999999999">
      <c r="A1524" s="156"/>
      <c r="B1524" s="152"/>
      <c r="C1524" s="152"/>
      <c r="D1524" s="152"/>
      <c r="E1524" s="152"/>
      <c r="F1524" s="152"/>
      <c r="G1524" s="152"/>
      <c r="H1524" s="153"/>
      <c r="I1524" s="153"/>
      <c r="J1524" s="153"/>
      <c r="K1524" s="153"/>
      <c r="L1524" s="153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</row>
    <row r="1525" spans="1:27" ht="17.399999999999999">
      <c r="A1525" s="156"/>
      <c r="B1525" s="152"/>
      <c r="C1525" s="152"/>
      <c r="D1525" s="152"/>
      <c r="E1525" s="152"/>
      <c r="F1525" s="152"/>
      <c r="G1525" s="152"/>
      <c r="H1525" s="153"/>
      <c r="I1525" s="153"/>
      <c r="J1525" s="153"/>
      <c r="K1525" s="153"/>
      <c r="L1525" s="153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</row>
    <row r="1526" spans="1:27" ht="17.399999999999999">
      <c r="A1526" s="156"/>
      <c r="B1526" s="152"/>
      <c r="C1526" s="152"/>
      <c r="D1526" s="152"/>
      <c r="E1526" s="152"/>
      <c r="F1526" s="152"/>
      <c r="G1526" s="152"/>
      <c r="H1526" s="153"/>
      <c r="I1526" s="153"/>
      <c r="J1526" s="153"/>
      <c r="K1526" s="153"/>
      <c r="L1526" s="153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</row>
    <row r="1527" spans="1:27" ht="17.399999999999999">
      <c r="A1527" s="156"/>
      <c r="B1527" s="152"/>
      <c r="C1527" s="152"/>
      <c r="D1527" s="152"/>
      <c r="E1527" s="152"/>
      <c r="F1527" s="152"/>
      <c r="G1527" s="152"/>
      <c r="H1527" s="153"/>
      <c r="I1527" s="153"/>
      <c r="J1527" s="153"/>
      <c r="K1527" s="153"/>
      <c r="L1527" s="153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</row>
    <row r="1528" spans="1:27" ht="17.399999999999999">
      <c r="A1528" s="156"/>
      <c r="B1528" s="152"/>
      <c r="C1528" s="152"/>
      <c r="D1528" s="152"/>
      <c r="E1528" s="152"/>
      <c r="F1528" s="152"/>
      <c r="G1528" s="152"/>
      <c r="H1528" s="153"/>
      <c r="I1528" s="153"/>
      <c r="J1528" s="153"/>
      <c r="K1528" s="153"/>
      <c r="L1528" s="153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</row>
    <row r="1529" spans="1:27" ht="17.399999999999999">
      <c r="A1529" s="156"/>
      <c r="B1529" s="152"/>
      <c r="C1529" s="152"/>
      <c r="D1529" s="152"/>
      <c r="E1529" s="152"/>
      <c r="F1529" s="152"/>
      <c r="G1529" s="152"/>
      <c r="H1529" s="153"/>
      <c r="I1529" s="153"/>
      <c r="J1529" s="153"/>
      <c r="K1529" s="153"/>
      <c r="L1529" s="153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</row>
    <row r="1530" spans="1:27" ht="17.399999999999999">
      <c r="A1530" s="156"/>
      <c r="B1530" s="152"/>
      <c r="C1530" s="152"/>
      <c r="D1530" s="152"/>
      <c r="E1530" s="152"/>
      <c r="F1530" s="152"/>
      <c r="G1530" s="152"/>
      <c r="H1530" s="153"/>
      <c r="I1530" s="153"/>
      <c r="J1530" s="153"/>
      <c r="K1530" s="153"/>
      <c r="L1530" s="153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</row>
    <row r="1531" spans="1:27" ht="17.399999999999999">
      <c r="A1531" s="156"/>
      <c r="B1531" s="152"/>
      <c r="C1531" s="152"/>
      <c r="D1531" s="152"/>
      <c r="E1531" s="152"/>
      <c r="F1531" s="152"/>
      <c r="G1531" s="152"/>
      <c r="H1531" s="153"/>
      <c r="I1531" s="153"/>
      <c r="J1531" s="153"/>
      <c r="K1531" s="153"/>
      <c r="L1531" s="153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</row>
    <row r="1532" spans="1:27" ht="17.399999999999999">
      <c r="A1532" s="156"/>
      <c r="B1532" s="152"/>
      <c r="C1532" s="152"/>
      <c r="D1532" s="152"/>
      <c r="E1532" s="152"/>
      <c r="F1532" s="152"/>
      <c r="G1532" s="152"/>
      <c r="H1532" s="153"/>
      <c r="I1532" s="153"/>
      <c r="J1532" s="153"/>
      <c r="K1532" s="153"/>
      <c r="L1532" s="153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</row>
    <row r="1533" spans="1:27" ht="17.399999999999999">
      <c r="A1533" s="156"/>
      <c r="B1533" s="152"/>
      <c r="C1533" s="152"/>
      <c r="D1533" s="152"/>
      <c r="E1533" s="152"/>
      <c r="F1533" s="152"/>
      <c r="G1533" s="152"/>
      <c r="H1533" s="153"/>
      <c r="I1533" s="153"/>
      <c r="J1533" s="153"/>
      <c r="K1533" s="153"/>
      <c r="L1533" s="153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</row>
    <row r="1534" spans="1:27" ht="17.399999999999999">
      <c r="A1534" s="156"/>
      <c r="B1534" s="152"/>
      <c r="C1534" s="152"/>
      <c r="D1534" s="152"/>
      <c r="E1534" s="152"/>
      <c r="F1534" s="152"/>
      <c r="G1534" s="152"/>
      <c r="H1534" s="153"/>
      <c r="I1534" s="153"/>
      <c r="J1534" s="153"/>
      <c r="K1534" s="153"/>
      <c r="L1534" s="153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</row>
    <row r="1535" spans="1:27" ht="17.399999999999999">
      <c r="A1535" s="156"/>
      <c r="B1535" s="152"/>
      <c r="C1535" s="152"/>
      <c r="D1535" s="152"/>
      <c r="E1535" s="152"/>
      <c r="F1535" s="152"/>
      <c r="G1535" s="152"/>
      <c r="H1535" s="153"/>
      <c r="I1535" s="153"/>
      <c r="J1535" s="153"/>
      <c r="K1535" s="153"/>
      <c r="L1535" s="153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</row>
    <row r="1536" spans="1:27" ht="17.399999999999999">
      <c r="A1536" s="156"/>
      <c r="B1536" s="152"/>
      <c r="C1536" s="152"/>
      <c r="D1536" s="152"/>
      <c r="E1536" s="152"/>
      <c r="F1536" s="152"/>
      <c r="G1536" s="152"/>
      <c r="H1536" s="153"/>
      <c r="I1536" s="153"/>
      <c r="J1536" s="153"/>
      <c r="K1536" s="153"/>
      <c r="L1536" s="153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</row>
    <row r="1537" spans="1:27" ht="17.399999999999999">
      <c r="A1537" s="156"/>
      <c r="B1537" s="152"/>
      <c r="C1537" s="152"/>
      <c r="D1537" s="152"/>
      <c r="E1537" s="152"/>
      <c r="F1537" s="152"/>
      <c r="G1537" s="152"/>
      <c r="H1537" s="153"/>
      <c r="I1537" s="153"/>
      <c r="J1537" s="153"/>
      <c r="K1537" s="153"/>
      <c r="L1537" s="153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</row>
    <row r="1538" spans="1:27" ht="17.399999999999999">
      <c r="A1538" s="156"/>
      <c r="B1538" s="152"/>
      <c r="C1538" s="152"/>
      <c r="D1538" s="152"/>
      <c r="E1538" s="152"/>
      <c r="F1538" s="152"/>
      <c r="G1538" s="152"/>
      <c r="H1538" s="153"/>
      <c r="I1538" s="153"/>
      <c r="J1538" s="153"/>
      <c r="K1538" s="153"/>
      <c r="L1538" s="153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</row>
    <row r="1539" spans="1:27" ht="17.399999999999999">
      <c r="A1539" s="156"/>
      <c r="B1539" s="152"/>
      <c r="C1539" s="152"/>
      <c r="D1539" s="152"/>
      <c r="E1539" s="152"/>
      <c r="F1539" s="152"/>
      <c r="G1539" s="152"/>
      <c r="H1539" s="153"/>
      <c r="I1539" s="153"/>
      <c r="J1539" s="153"/>
      <c r="K1539" s="153"/>
      <c r="L1539" s="153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</row>
    <row r="1540" spans="1:27" ht="17.399999999999999">
      <c r="A1540" s="156"/>
      <c r="B1540" s="152"/>
      <c r="C1540" s="152"/>
      <c r="D1540" s="152"/>
      <c r="E1540" s="152"/>
      <c r="F1540" s="152"/>
      <c r="G1540" s="152"/>
      <c r="H1540" s="153"/>
      <c r="I1540" s="153"/>
      <c r="J1540" s="153"/>
      <c r="K1540" s="153"/>
      <c r="L1540" s="153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</row>
    <row r="1541" spans="1:27" ht="17.399999999999999">
      <c r="A1541" s="156"/>
      <c r="B1541" s="152"/>
      <c r="C1541" s="152"/>
      <c r="D1541" s="152"/>
      <c r="E1541" s="152"/>
      <c r="F1541" s="152"/>
      <c r="G1541" s="152"/>
      <c r="H1541" s="153"/>
      <c r="I1541" s="153"/>
      <c r="J1541" s="153"/>
      <c r="K1541" s="153"/>
      <c r="L1541" s="153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</row>
    <row r="1542" spans="1:27" ht="17.399999999999999">
      <c r="A1542" s="156"/>
      <c r="B1542" s="152"/>
      <c r="C1542" s="152"/>
      <c r="D1542" s="152"/>
      <c r="E1542" s="152"/>
      <c r="F1542" s="152"/>
      <c r="G1542" s="152"/>
      <c r="H1542" s="153"/>
      <c r="I1542" s="153"/>
      <c r="J1542" s="153"/>
      <c r="K1542" s="153"/>
      <c r="L1542" s="153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</row>
    <row r="1543" spans="1:27" ht="17.399999999999999">
      <c r="A1543" s="156"/>
      <c r="B1543" s="152"/>
      <c r="C1543" s="152"/>
      <c r="D1543" s="152"/>
      <c r="E1543" s="152"/>
      <c r="F1543" s="152"/>
      <c r="G1543" s="152"/>
      <c r="H1543" s="153"/>
      <c r="I1543" s="153"/>
      <c r="J1543" s="153"/>
      <c r="K1543" s="153"/>
      <c r="L1543" s="153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</row>
    <row r="1544" spans="1:27" ht="17.399999999999999">
      <c r="A1544" s="156"/>
      <c r="B1544" s="152"/>
      <c r="C1544" s="152"/>
      <c r="D1544" s="152"/>
      <c r="E1544" s="152"/>
      <c r="F1544" s="152"/>
      <c r="G1544" s="152"/>
      <c r="H1544" s="153"/>
      <c r="I1544" s="153"/>
      <c r="J1544" s="153"/>
      <c r="K1544" s="153"/>
      <c r="L1544" s="153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</row>
    <row r="1545" spans="1:27" ht="17.399999999999999">
      <c r="A1545" s="156"/>
      <c r="B1545" s="152"/>
      <c r="C1545" s="152"/>
      <c r="D1545" s="152"/>
      <c r="E1545" s="152"/>
      <c r="F1545" s="152"/>
      <c r="G1545" s="152"/>
      <c r="H1545" s="153"/>
      <c r="I1545" s="153"/>
      <c r="J1545" s="153"/>
      <c r="K1545" s="153"/>
      <c r="L1545" s="153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</row>
    <row r="1546" spans="1:27" ht="17.399999999999999">
      <c r="A1546" s="156"/>
      <c r="B1546" s="152"/>
      <c r="C1546" s="152"/>
      <c r="D1546" s="152"/>
      <c r="E1546" s="152"/>
      <c r="F1546" s="152"/>
      <c r="G1546" s="152"/>
      <c r="H1546" s="153"/>
      <c r="I1546" s="153"/>
      <c r="J1546" s="153"/>
      <c r="K1546" s="153"/>
      <c r="L1546" s="153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</row>
    <row r="1547" spans="1:27" ht="17.399999999999999">
      <c r="A1547" s="156"/>
      <c r="B1547" s="152"/>
      <c r="C1547" s="152"/>
      <c r="D1547" s="152"/>
      <c r="E1547" s="152"/>
      <c r="F1547" s="152"/>
      <c r="G1547" s="152"/>
      <c r="H1547" s="153"/>
      <c r="I1547" s="153"/>
      <c r="J1547" s="153"/>
      <c r="K1547" s="153"/>
      <c r="L1547" s="153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</row>
    <row r="1548" spans="1:27" ht="17.399999999999999">
      <c r="A1548" s="156"/>
      <c r="B1548" s="152"/>
      <c r="C1548" s="152"/>
      <c r="D1548" s="152"/>
      <c r="E1548" s="152"/>
      <c r="F1548" s="152"/>
      <c r="G1548" s="152"/>
      <c r="H1548" s="153"/>
      <c r="I1548" s="153"/>
      <c r="J1548" s="153"/>
      <c r="K1548" s="153"/>
      <c r="L1548" s="153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</row>
    <row r="1549" spans="1:27" ht="17.399999999999999">
      <c r="A1549" s="156"/>
      <c r="B1549" s="152"/>
      <c r="C1549" s="152"/>
      <c r="D1549" s="152"/>
      <c r="E1549" s="152"/>
      <c r="F1549" s="152"/>
      <c r="G1549" s="152"/>
      <c r="H1549" s="153"/>
      <c r="I1549" s="153"/>
      <c r="J1549" s="153"/>
      <c r="K1549" s="153"/>
      <c r="L1549" s="153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</row>
    <row r="1550" spans="1:27" ht="17.399999999999999">
      <c r="A1550" s="156"/>
      <c r="B1550" s="152"/>
      <c r="C1550" s="152"/>
      <c r="D1550" s="152"/>
      <c r="E1550" s="152"/>
      <c r="F1550" s="152"/>
      <c r="G1550" s="152"/>
      <c r="H1550" s="153"/>
      <c r="I1550" s="153"/>
      <c r="J1550" s="153"/>
      <c r="K1550" s="153"/>
      <c r="L1550" s="153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</row>
    <row r="1551" spans="1:27" ht="17.399999999999999">
      <c r="A1551" s="156"/>
      <c r="B1551" s="152"/>
      <c r="C1551" s="152"/>
      <c r="D1551" s="152"/>
      <c r="E1551" s="152"/>
      <c r="F1551" s="152"/>
      <c r="G1551" s="152"/>
      <c r="H1551" s="153"/>
      <c r="I1551" s="153"/>
      <c r="J1551" s="153"/>
      <c r="K1551" s="153"/>
      <c r="L1551" s="153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</row>
    <row r="1552" spans="1:27" ht="17.399999999999999">
      <c r="A1552" s="156"/>
      <c r="B1552" s="152"/>
      <c r="C1552" s="152"/>
      <c r="D1552" s="152"/>
      <c r="E1552" s="152"/>
      <c r="F1552" s="152"/>
      <c r="G1552" s="152"/>
      <c r="H1552" s="153"/>
      <c r="I1552" s="153"/>
      <c r="J1552" s="153"/>
      <c r="K1552" s="153"/>
      <c r="L1552" s="153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</row>
    <row r="1553" spans="1:27" ht="17.399999999999999">
      <c r="A1553" s="156"/>
      <c r="B1553" s="152"/>
      <c r="C1553" s="152"/>
      <c r="D1553" s="152"/>
      <c r="E1553" s="152"/>
      <c r="F1553" s="152"/>
      <c r="G1553" s="152"/>
      <c r="H1553" s="153"/>
      <c r="I1553" s="153"/>
      <c r="J1553" s="153"/>
      <c r="K1553" s="153"/>
      <c r="L1553" s="153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</row>
    <row r="1554" spans="1:27" ht="17.399999999999999">
      <c r="A1554" s="156"/>
      <c r="B1554" s="152"/>
      <c r="C1554" s="152"/>
      <c r="D1554" s="152"/>
      <c r="E1554" s="152"/>
      <c r="F1554" s="152"/>
      <c r="G1554" s="152"/>
      <c r="H1554" s="153"/>
      <c r="I1554" s="153"/>
      <c r="J1554" s="153"/>
      <c r="K1554" s="153"/>
      <c r="L1554" s="153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</row>
    <row r="1555" spans="1:27" ht="17.399999999999999">
      <c r="A1555" s="156"/>
      <c r="B1555" s="152"/>
      <c r="C1555" s="152"/>
      <c r="D1555" s="152"/>
      <c r="E1555" s="152"/>
      <c r="F1555" s="152"/>
      <c r="G1555" s="152"/>
      <c r="H1555" s="153"/>
      <c r="I1555" s="153"/>
      <c r="J1555" s="153"/>
      <c r="K1555" s="153"/>
      <c r="L1555" s="153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</row>
    <row r="1556" spans="1:27" ht="17.399999999999999">
      <c r="A1556" s="156"/>
      <c r="B1556" s="152"/>
      <c r="C1556" s="152"/>
      <c r="D1556" s="152"/>
      <c r="E1556" s="152"/>
      <c r="F1556" s="152"/>
      <c r="G1556" s="152"/>
      <c r="H1556" s="153"/>
      <c r="I1556" s="153"/>
      <c r="J1556" s="153"/>
      <c r="K1556" s="153"/>
      <c r="L1556" s="153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</row>
    <row r="1557" spans="1:27" ht="17.399999999999999">
      <c r="A1557" s="156"/>
      <c r="B1557" s="152"/>
      <c r="C1557" s="152"/>
      <c r="D1557" s="152"/>
      <c r="E1557" s="152"/>
      <c r="F1557" s="152"/>
      <c r="G1557" s="152"/>
      <c r="H1557" s="153"/>
      <c r="I1557" s="153"/>
      <c r="J1557" s="153"/>
      <c r="K1557" s="153"/>
      <c r="L1557" s="153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</row>
    <row r="1558" spans="1:27" ht="17.399999999999999">
      <c r="A1558" s="156"/>
      <c r="B1558" s="152"/>
      <c r="C1558" s="152"/>
      <c r="D1558" s="152"/>
      <c r="E1558" s="152"/>
      <c r="F1558" s="152"/>
      <c r="G1558" s="152"/>
      <c r="H1558" s="153"/>
      <c r="I1558" s="153"/>
      <c r="J1558" s="153"/>
      <c r="K1558" s="153"/>
      <c r="L1558" s="153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</row>
    <row r="1559" spans="1:27" ht="17.399999999999999">
      <c r="A1559" s="156"/>
      <c r="B1559" s="152"/>
      <c r="C1559" s="152"/>
      <c r="D1559" s="152"/>
      <c r="E1559" s="152"/>
      <c r="F1559" s="152"/>
      <c r="G1559" s="152"/>
      <c r="H1559" s="153"/>
      <c r="I1559" s="153"/>
      <c r="J1559" s="153"/>
      <c r="K1559" s="153"/>
      <c r="L1559" s="153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</row>
    <row r="1560" spans="1:27" ht="17.399999999999999">
      <c r="A1560" s="156"/>
      <c r="B1560" s="152"/>
      <c r="C1560" s="152"/>
      <c r="D1560" s="152"/>
      <c r="E1560" s="152"/>
      <c r="F1560" s="152"/>
      <c r="G1560" s="152"/>
      <c r="H1560" s="153"/>
      <c r="I1560" s="153"/>
      <c r="J1560" s="153"/>
      <c r="K1560" s="153"/>
      <c r="L1560" s="153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</row>
    <row r="1561" spans="1:27" ht="17.399999999999999">
      <c r="A1561" s="156"/>
      <c r="B1561" s="152"/>
      <c r="C1561" s="152"/>
      <c r="D1561" s="152"/>
      <c r="E1561" s="152"/>
      <c r="F1561" s="152"/>
      <c r="G1561" s="152"/>
      <c r="H1561" s="153"/>
      <c r="I1561" s="153"/>
      <c r="J1561" s="153"/>
      <c r="K1561" s="153"/>
      <c r="L1561" s="153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</row>
    <row r="1562" spans="1:27" ht="17.399999999999999">
      <c r="A1562" s="156"/>
      <c r="B1562" s="152"/>
      <c r="C1562" s="152"/>
      <c r="D1562" s="152"/>
      <c r="E1562" s="152"/>
      <c r="F1562" s="152"/>
      <c r="G1562" s="152"/>
      <c r="H1562" s="153"/>
      <c r="I1562" s="153"/>
      <c r="J1562" s="153"/>
      <c r="K1562" s="153"/>
      <c r="L1562" s="153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</row>
    <row r="1563" spans="1:27" ht="17.399999999999999">
      <c r="A1563" s="156"/>
      <c r="B1563" s="152"/>
      <c r="C1563" s="152"/>
      <c r="D1563" s="152"/>
      <c r="E1563" s="152"/>
      <c r="F1563" s="152"/>
      <c r="G1563" s="152"/>
      <c r="H1563" s="153"/>
      <c r="I1563" s="153"/>
      <c r="J1563" s="153"/>
      <c r="K1563" s="153"/>
      <c r="L1563" s="153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</row>
    <row r="1564" spans="1:27" ht="17.399999999999999">
      <c r="A1564" s="156"/>
      <c r="B1564" s="152"/>
      <c r="C1564" s="152"/>
      <c r="D1564" s="152"/>
      <c r="E1564" s="152"/>
      <c r="F1564" s="152"/>
      <c r="G1564" s="152"/>
      <c r="H1564" s="153"/>
      <c r="I1564" s="153"/>
      <c r="J1564" s="153"/>
      <c r="K1564" s="153"/>
      <c r="L1564" s="153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</row>
    <row r="1565" spans="1:27" ht="17.399999999999999">
      <c r="A1565" s="156"/>
      <c r="B1565" s="152"/>
      <c r="C1565" s="152"/>
      <c r="D1565" s="152"/>
      <c r="E1565" s="152"/>
      <c r="F1565" s="152"/>
      <c r="G1565" s="152"/>
      <c r="H1565" s="153"/>
      <c r="I1565" s="153"/>
      <c r="J1565" s="153"/>
      <c r="K1565" s="153"/>
      <c r="L1565" s="153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</row>
    <row r="1566" spans="1:27" ht="17.399999999999999">
      <c r="A1566" s="156"/>
      <c r="B1566" s="152"/>
      <c r="C1566" s="152"/>
      <c r="D1566" s="152"/>
      <c r="E1566" s="152"/>
      <c r="F1566" s="152"/>
      <c r="G1566" s="152"/>
      <c r="H1566" s="153"/>
      <c r="I1566" s="153"/>
      <c r="J1566" s="153"/>
      <c r="K1566" s="153"/>
      <c r="L1566" s="153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</row>
    <row r="1567" spans="1:27" ht="17.399999999999999">
      <c r="A1567" s="156"/>
      <c r="B1567" s="152"/>
      <c r="C1567" s="152"/>
      <c r="D1567" s="152"/>
      <c r="E1567" s="152"/>
      <c r="F1567" s="152"/>
      <c r="G1567" s="152"/>
      <c r="H1567" s="153"/>
      <c r="I1567" s="153"/>
      <c r="J1567" s="153"/>
      <c r="K1567" s="153"/>
      <c r="L1567" s="153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</row>
    <row r="1568" spans="1:27" ht="17.399999999999999">
      <c r="A1568" s="156"/>
      <c r="B1568" s="152"/>
      <c r="C1568" s="152"/>
      <c r="D1568" s="152"/>
      <c r="E1568" s="152"/>
      <c r="F1568" s="152"/>
      <c r="G1568" s="152"/>
      <c r="H1568" s="153"/>
      <c r="I1568" s="153"/>
      <c r="J1568" s="153"/>
      <c r="K1568" s="153"/>
      <c r="L1568" s="153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</row>
    <row r="1569" spans="1:27" ht="17.399999999999999">
      <c r="A1569" s="156"/>
      <c r="B1569" s="152"/>
      <c r="C1569" s="152"/>
      <c r="D1569" s="152"/>
      <c r="E1569" s="152"/>
      <c r="F1569" s="152"/>
      <c r="G1569" s="152"/>
      <c r="H1569" s="153"/>
      <c r="I1569" s="153"/>
      <c r="J1569" s="153"/>
      <c r="K1569" s="153"/>
      <c r="L1569" s="153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</row>
    <row r="1570" spans="1:27" ht="17.399999999999999">
      <c r="A1570" s="156"/>
      <c r="B1570" s="152"/>
      <c r="C1570" s="152"/>
      <c r="D1570" s="152"/>
      <c r="E1570" s="152"/>
      <c r="F1570" s="152"/>
      <c r="G1570" s="152"/>
      <c r="H1570" s="153"/>
      <c r="I1570" s="153"/>
      <c r="J1570" s="153"/>
      <c r="K1570" s="153"/>
      <c r="L1570" s="153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</row>
    <row r="1571" spans="1:27" ht="17.399999999999999">
      <c r="A1571" s="156"/>
      <c r="B1571" s="152"/>
      <c r="C1571" s="152"/>
      <c r="D1571" s="152"/>
      <c r="E1571" s="152"/>
      <c r="F1571" s="152"/>
      <c r="G1571" s="152"/>
      <c r="H1571" s="153"/>
      <c r="I1571" s="153"/>
      <c r="J1571" s="153"/>
      <c r="K1571" s="153"/>
      <c r="L1571" s="153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</row>
    <row r="1572" spans="1:27" ht="17.399999999999999">
      <c r="A1572" s="156"/>
      <c r="B1572" s="152"/>
      <c r="C1572" s="152"/>
      <c r="D1572" s="152"/>
      <c r="E1572" s="152"/>
      <c r="F1572" s="152"/>
      <c r="G1572" s="152"/>
      <c r="H1572" s="153"/>
      <c r="I1572" s="153"/>
      <c r="J1572" s="153"/>
      <c r="K1572" s="153"/>
      <c r="L1572" s="153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</row>
    <row r="1573" spans="1:27" ht="17.399999999999999">
      <c r="A1573" s="156"/>
      <c r="B1573" s="152"/>
      <c r="C1573" s="152"/>
      <c r="D1573" s="152"/>
      <c r="E1573" s="152"/>
      <c r="F1573" s="152"/>
      <c r="G1573" s="152"/>
      <c r="H1573" s="153"/>
      <c r="I1573" s="153"/>
      <c r="J1573" s="153"/>
      <c r="K1573" s="153"/>
      <c r="L1573" s="153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</row>
    <row r="1574" spans="1:27" ht="17.399999999999999">
      <c r="A1574" s="156"/>
      <c r="B1574" s="152"/>
      <c r="C1574" s="152"/>
      <c r="D1574" s="152"/>
      <c r="E1574" s="152"/>
      <c r="F1574" s="152"/>
      <c r="G1574" s="152"/>
      <c r="H1574" s="153"/>
      <c r="I1574" s="153"/>
      <c r="J1574" s="153"/>
      <c r="K1574" s="153"/>
      <c r="L1574" s="153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</row>
    <row r="1575" spans="1:27" ht="17.399999999999999">
      <c r="A1575" s="156"/>
      <c r="B1575" s="152"/>
      <c r="C1575" s="152"/>
      <c r="D1575" s="152"/>
      <c r="E1575" s="152"/>
      <c r="F1575" s="152"/>
      <c r="G1575" s="152"/>
      <c r="H1575" s="153"/>
      <c r="I1575" s="153"/>
      <c r="J1575" s="153"/>
      <c r="K1575" s="153"/>
      <c r="L1575" s="153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</row>
    <row r="1576" spans="1:27" ht="17.399999999999999">
      <c r="A1576" s="156"/>
      <c r="B1576" s="152"/>
      <c r="C1576" s="152"/>
      <c r="D1576" s="152"/>
      <c r="E1576" s="152"/>
      <c r="F1576" s="152"/>
      <c r="G1576" s="152"/>
      <c r="H1576" s="153"/>
      <c r="I1576" s="153"/>
      <c r="J1576" s="153"/>
      <c r="K1576" s="153"/>
      <c r="L1576" s="153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</row>
    <row r="1577" spans="1:27" ht="17.399999999999999">
      <c r="A1577" s="156"/>
      <c r="B1577" s="152"/>
      <c r="C1577" s="152"/>
      <c r="D1577" s="152"/>
      <c r="E1577" s="152"/>
      <c r="F1577" s="152"/>
      <c r="G1577" s="152"/>
      <c r="H1577" s="153"/>
      <c r="I1577" s="153"/>
      <c r="J1577" s="153"/>
      <c r="K1577" s="153"/>
      <c r="L1577" s="153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</row>
    <row r="1578" spans="1:27" ht="17.399999999999999">
      <c r="A1578" s="156"/>
      <c r="B1578" s="152"/>
      <c r="C1578" s="152"/>
      <c r="D1578" s="152"/>
      <c r="E1578" s="152"/>
      <c r="F1578" s="152"/>
      <c r="G1578" s="152"/>
      <c r="H1578" s="153"/>
      <c r="I1578" s="153"/>
      <c r="J1578" s="153"/>
      <c r="K1578" s="153"/>
      <c r="L1578" s="153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</row>
    <row r="1579" spans="1:27" ht="17.399999999999999">
      <c r="A1579" s="156"/>
      <c r="B1579" s="152"/>
      <c r="C1579" s="152"/>
      <c r="D1579" s="152"/>
      <c r="E1579" s="152"/>
      <c r="F1579" s="152"/>
      <c r="G1579" s="152"/>
      <c r="H1579" s="153"/>
      <c r="I1579" s="153"/>
      <c r="J1579" s="153"/>
      <c r="K1579" s="153"/>
      <c r="L1579" s="153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</row>
    <row r="1580" spans="1:27" ht="17.399999999999999">
      <c r="A1580" s="156"/>
      <c r="B1580" s="152"/>
      <c r="C1580" s="152"/>
      <c r="D1580" s="152"/>
      <c r="E1580" s="152"/>
      <c r="F1580" s="152"/>
      <c r="G1580" s="152"/>
      <c r="H1580" s="153"/>
      <c r="I1580" s="153"/>
      <c r="J1580" s="153"/>
      <c r="K1580" s="153"/>
      <c r="L1580" s="153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</row>
    <row r="1581" spans="1:27" ht="17.399999999999999">
      <c r="A1581" s="156"/>
      <c r="B1581" s="152"/>
      <c r="C1581" s="152"/>
      <c r="D1581" s="152"/>
      <c r="E1581" s="152"/>
      <c r="F1581" s="152"/>
      <c r="G1581" s="152"/>
      <c r="H1581" s="153"/>
      <c r="I1581" s="153"/>
      <c r="J1581" s="153"/>
      <c r="K1581" s="153"/>
      <c r="L1581" s="153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</row>
    <row r="1582" spans="1:27" ht="17.399999999999999">
      <c r="A1582" s="156"/>
      <c r="B1582" s="152"/>
      <c r="C1582" s="152"/>
      <c r="D1582" s="152"/>
      <c r="E1582" s="152"/>
      <c r="F1582" s="152"/>
      <c r="G1582" s="152"/>
      <c r="H1582" s="153"/>
      <c r="I1582" s="153"/>
      <c r="J1582" s="153"/>
      <c r="K1582" s="153"/>
      <c r="L1582" s="153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</row>
    <row r="1583" spans="1:27" ht="17.399999999999999">
      <c r="A1583" s="156"/>
      <c r="B1583" s="152"/>
      <c r="C1583" s="152"/>
      <c r="D1583" s="152"/>
      <c r="E1583" s="152"/>
      <c r="F1583" s="152"/>
      <c r="G1583" s="152"/>
      <c r="H1583" s="153"/>
      <c r="I1583" s="153"/>
      <c r="J1583" s="153"/>
      <c r="K1583" s="153"/>
      <c r="L1583" s="153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</row>
    <row r="1584" spans="1:27" ht="17.399999999999999">
      <c r="A1584" s="156"/>
      <c r="B1584" s="152"/>
      <c r="C1584" s="152"/>
      <c r="D1584" s="152"/>
      <c r="E1584" s="152"/>
      <c r="F1584" s="152"/>
      <c r="G1584" s="152"/>
      <c r="H1584" s="153"/>
      <c r="I1584" s="153"/>
      <c r="J1584" s="153"/>
      <c r="K1584" s="153"/>
      <c r="L1584" s="153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</row>
    <row r="1585" spans="1:27" ht="17.399999999999999">
      <c r="A1585" s="156"/>
      <c r="B1585" s="152"/>
      <c r="C1585" s="152"/>
      <c r="D1585" s="152"/>
      <c r="E1585" s="152"/>
      <c r="F1585" s="152"/>
      <c r="G1585" s="152"/>
      <c r="H1585" s="153"/>
      <c r="I1585" s="153"/>
      <c r="J1585" s="153"/>
      <c r="K1585" s="153"/>
      <c r="L1585" s="153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</row>
    <row r="1586" spans="1:27" ht="17.399999999999999">
      <c r="A1586" s="156"/>
      <c r="B1586" s="152"/>
      <c r="C1586" s="152"/>
      <c r="D1586" s="152"/>
      <c r="E1586" s="152"/>
      <c r="F1586" s="152"/>
      <c r="G1586" s="152"/>
      <c r="H1586" s="153"/>
      <c r="I1586" s="153"/>
      <c r="J1586" s="153"/>
      <c r="K1586" s="153"/>
      <c r="L1586" s="153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</row>
    <row r="1587" spans="1:27" ht="17.399999999999999">
      <c r="A1587" s="156"/>
      <c r="B1587" s="152"/>
      <c r="C1587" s="152"/>
      <c r="D1587" s="152"/>
      <c r="E1587" s="152"/>
      <c r="F1587" s="152"/>
      <c r="G1587" s="152"/>
      <c r="H1587" s="153"/>
      <c r="I1587" s="153"/>
      <c r="J1587" s="153"/>
      <c r="K1587" s="153"/>
      <c r="L1587" s="153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</row>
    <row r="1588" spans="1:27" ht="17.399999999999999">
      <c r="A1588" s="156"/>
      <c r="B1588" s="152"/>
      <c r="C1588" s="152"/>
      <c r="D1588" s="152"/>
      <c r="E1588" s="152"/>
      <c r="F1588" s="152"/>
      <c r="G1588" s="152"/>
      <c r="H1588" s="153"/>
      <c r="I1588" s="153"/>
      <c r="J1588" s="153"/>
      <c r="K1588" s="153"/>
      <c r="L1588" s="153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</row>
    <row r="1589" spans="1:27" ht="17.399999999999999">
      <c r="A1589" s="156"/>
      <c r="B1589" s="152"/>
      <c r="C1589" s="152"/>
      <c r="D1589" s="152"/>
      <c r="E1589" s="152"/>
      <c r="F1589" s="152"/>
      <c r="G1589" s="152"/>
      <c r="H1589" s="153"/>
      <c r="I1589" s="153"/>
      <c r="J1589" s="153"/>
      <c r="K1589" s="153"/>
      <c r="L1589" s="153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</row>
    <row r="1590" spans="1:27" ht="17.399999999999999">
      <c r="A1590" s="156"/>
      <c r="B1590" s="152"/>
      <c r="C1590" s="152"/>
      <c r="D1590" s="152"/>
      <c r="E1590" s="152"/>
      <c r="F1590" s="152"/>
      <c r="G1590" s="152"/>
      <c r="H1590" s="153"/>
      <c r="I1590" s="153"/>
      <c r="J1590" s="153"/>
      <c r="K1590" s="153"/>
      <c r="L1590" s="153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</row>
    <row r="1591" spans="1:27" ht="17.399999999999999">
      <c r="A1591" s="156"/>
      <c r="B1591" s="152"/>
      <c r="C1591" s="152"/>
      <c r="D1591" s="152"/>
      <c r="E1591" s="152"/>
      <c r="F1591" s="152"/>
      <c r="G1591" s="152"/>
      <c r="H1591" s="153"/>
      <c r="I1591" s="153"/>
      <c r="J1591" s="153"/>
      <c r="K1591" s="153"/>
      <c r="L1591" s="153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</row>
    <row r="1592" spans="1:27" ht="17.399999999999999">
      <c r="A1592" s="156"/>
      <c r="B1592" s="152"/>
      <c r="C1592" s="152"/>
      <c r="D1592" s="152"/>
      <c r="E1592" s="152"/>
      <c r="F1592" s="152"/>
      <c r="G1592" s="152"/>
      <c r="H1592" s="153"/>
      <c r="I1592" s="153"/>
      <c r="J1592" s="153"/>
      <c r="K1592" s="153"/>
      <c r="L1592" s="153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</row>
    <row r="1593" spans="1:27" ht="17.399999999999999">
      <c r="A1593" s="156"/>
      <c r="B1593" s="152"/>
      <c r="C1593" s="152"/>
      <c r="D1593" s="152"/>
      <c r="E1593" s="152"/>
      <c r="F1593" s="152"/>
      <c r="G1593" s="152"/>
      <c r="H1593" s="153"/>
      <c r="I1593" s="153"/>
      <c r="J1593" s="153"/>
      <c r="K1593" s="153"/>
      <c r="L1593" s="153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</row>
    <row r="1594" spans="1:27" ht="17.399999999999999">
      <c r="A1594" s="156"/>
      <c r="B1594" s="152"/>
      <c r="C1594" s="152"/>
      <c r="D1594" s="152"/>
      <c r="E1594" s="152"/>
      <c r="F1594" s="152"/>
      <c r="G1594" s="152"/>
      <c r="H1594" s="153"/>
      <c r="I1594" s="153"/>
      <c r="J1594" s="153"/>
      <c r="K1594" s="153"/>
      <c r="L1594" s="153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</row>
    <row r="1595" spans="1:27" ht="17.399999999999999">
      <c r="A1595" s="156"/>
      <c r="B1595" s="152"/>
      <c r="C1595" s="152"/>
      <c r="D1595" s="152"/>
      <c r="E1595" s="152"/>
      <c r="F1595" s="152"/>
      <c r="G1595" s="152"/>
      <c r="H1595" s="153"/>
      <c r="I1595" s="153"/>
      <c r="J1595" s="153"/>
      <c r="K1595" s="153"/>
      <c r="L1595" s="153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</row>
    <row r="1596" spans="1:27" ht="17.399999999999999">
      <c r="A1596" s="156"/>
      <c r="B1596" s="152"/>
      <c r="C1596" s="152"/>
      <c r="D1596" s="152"/>
      <c r="E1596" s="152"/>
      <c r="F1596" s="152"/>
      <c r="G1596" s="152"/>
      <c r="H1596" s="153"/>
      <c r="I1596" s="153"/>
      <c r="J1596" s="153"/>
      <c r="K1596" s="153"/>
      <c r="L1596" s="153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</row>
    <row r="1597" spans="1:27" ht="17.399999999999999">
      <c r="A1597" s="156"/>
      <c r="B1597" s="152"/>
      <c r="C1597" s="152"/>
      <c r="D1597" s="152"/>
      <c r="E1597" s="152"/>
      <c r="F1597" s="152"/>
      <c r="G1597" s="152"/>
      <c r="H1597" s="153"/>
      <c r="I1597" s="153"/>
      <c r="J1597" s="153"/>
      <c r="K1597" s="153"/>
      <c r="L1597" s="153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</row>
    <row r="1598" spans="1:27" ht="17.399999999999999">
      <c r="A1598" s="156"/>
      <c r="B1598" s="152"/>
      <c r="C1598" s="152"/>
      <c r="D1598" s="152"/>
      <c r="E1598" s="152"/>
      <c r="F1598" s="152"/>
      <c r="G1598" s="152"/>
      <c r="H1598" s="153"/>
      <c r="I1598" s="153"/>
      <c r="J1598" s="153"/>
      <c r="K1598" s="153"/>
      <c r="L1598" s="153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</row>
    <row r="1599" spans="1:27" ht="17.399999999999999">
      <c r="A1599" s="156"/>
      <c r="B1599" s="152"/>
      <c r="C1599" s="152"/>
      <c r="D1599" s="152"/>
      <c r="E1599" s="152"/>
      <c r="F1599" s="152"/>
      <c r="G1599" s="152"/>
      <c r="H1599" s="153"/>
      <c r="I1599" s="153"/>
      <c r="J1599" s="153"/>
      <c r="K1599" s="153"/>
      <c r="L1599" s="153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</row>
    <row r="1600" spans="1:27" ht="17.399999999999999">
      <c r="A1600" s="156"/>
      <c r="B1600" s="152"/>
      <c r="C1600" s="152"/>
      <c r="D1600" s="152"/>
      <c r="E1600" s="152"/>
      <c r="F1600" s="152"/>
      <c r="G1600" s="152"/>
      <c r="H1600" s="153"/>
      <c r="I1600" s="153"/>
      <c r="J1600" s="153"/>
      <c r="K1600" s="153"/>
      <c r="L1600" s="153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</row>
    <row r="1601" spans="1:27" ht="17.399999999999999">
      <c r="A1601" s="156"/>
      <c r="B1601" s="152"/>
      <c r="C1601" s="152"/>
      <c r="D1601" s="152"/>
      <c r="E1601" s="152"/>
      <c r="F1601" s="152"/>
      <c r="G1601" s="152"/>
      <c r="H1601" s="153"/>
      <c r="I1601" s="153"/>
      <c r="J1601" s="153"/>
      <c r="K1601" s="153"/>
      <c r="L1601" s="153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</row>
    <row r="1602" spans="1:27" ht="17.399999999999999">
      <c r="A1602" s="156"/>
      <c r="B1602" s="152"/>
      <c r="C1602" s="152"/>
      <c r="D1602" s="152"/>
      <c r="E1602" s="152"/>
      <c r="F1602" s="152"/>
      <c r="G1602" s="152"/>
      <c r="H1602" s="153"/>
      <c r="I1602" s="153"/>
      <c r="J1602" s="153"/>
      <c r="K1602" s="153"/>
      <c r="L1602" s="153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</row>
    <row r="1603" spans="1:27" ht="17.399999999999999">
      <c r="A1603" s="156"/>
      <c r="B1603" s="152"/>
      <c r="C1603" s="152"/>
      <c r="D1603" s="152"/>
      <c r="E1603" s="152"/>
      <c r="F1603" s="152"/>
      <c r="G1603" s="152"/>
      <c r="H1603" s="153"/>
      <c r="I1603" s="153"/>
      <c r="J1603" s="153"/>
      <c r="K1603" s="153"/>
      <c r="L1603" s="153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</row>
    <row r="1604" spans="1:27" ht="17.399999999999999">
      <c r="A1604" s="156"/>
      <c r="B1604" s="152"/>
      <c r="C1604" s="152"/>
      <c r="D1604" s="152"/>
      <c r="E1604" s="152"/>
      <c r="F1604" s="152"/>
      <c r="G1604" s="152"/>
      <c r="H1604" s="153"/>
      <c r="I1604" s="153"/>
      <c r="J1604" s="153"/>
      <c r="K1604" s="153"/>
      <c r="L1604" s="153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</row>
    <row r="1605" spans="1:27" ht="17.399999999999999">
      <c r="A1605" s="156"/>
      <c r="B1605" s="152"/>
      <c r="C1605" s="152"/>
      <c r="D1605" s="152"/>
      <c r="E1605" s="152"/>
      <c r="F1605" s="152"/>
      <c r="G1605" s="152"/>
      <c r="H1605" s="153"/>
      <c r="I1605" s="153"/>
      <c r="J1605" s="153"/>
      <c r="K1605" s="153"/>
      <c r="L1605" s="153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</row>
    <row r="1606" spans="1:27" ht="17.399999999999999">
      <c r="A1606" s="156"/>
      <c r="B1606" s="152"/>
      <c r="C1606" s="152"/>
      <c r="D1606" s="152"/>
      <c r="E1606" s="152"/>
      <c r="F1606" s="152"/>
      <c r="G1606" s="152"/>
      <c r="H1606" s="153"/>
      <c r="I1606" s="153"/>
      <c r="J1606" s="153"/>
      <c r="K1606" s="153"/>
      <c r="L1606" s="153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</row>
    <row r="1607" spans="1:27" ht="17.399999999999999">
      <c r="A1607" s="156"/>
      <c r="B1607" s="152"/>
      <c r="C1607" s="152"/>
      <c r="D1607" s="152"/>
      <c r="E1607" s="152"/>
      <c r="F1607" s="152"/>
      <c r="G1607" s="152"/>
      <c r="H1607" s="153"/>
      <c r="I1607" s="153"/>
      <c r="J1607" s="153"/>
      <c r="K1607" s="153"/>
      <c r="L1607" s="153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</row>
    <row r="1608" spans="1:27" ht="17.399999999999999">
      <c r="A1608" s="156"/>
      <c r="B1608" s="152"/>
      <c r="C1608" s="152"/>
      <c r="D1608" s="152"/>
      <c r="E1608" s="152"/>
      <c r="F1608" s="152"/>
      <c r="G1608" s="152"/>
      <c r="H1608" s="153"/>
      <c r="I1608" s="153"/>
      <c r="J1608" s="153"/>
      <c r="K1608" s="153"/>
      <c r="L1608" s="153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</row>
    <row r="1609" spans="1:27" ht="17.399999999999999">
      <c r="A1609" s="156"/>
      <c r="B1609" s="152"/>
      <c r="C1609" s="152"/>
      <c r="D1609" s="152"/>
      <c r="E1609" s="152"/>
      <c r="F1609" s="152"/>
      <c r="G1609" s="152"/>
      <c r="H1609" s="153"/>
      <c r="I1609" s="153"/>
      <c r="J1609" s="153"/>
      <c r="K1609" s="153"/>
      <c r="L1609" s="153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</row>
    <row r="1610" spans="1:27" ht="17.399999999999999">
      <c r="A1610" s="156"/>
      <c r="B1610" s="152"/>
      <c r="C1610" s="152"/>
      <c r="D1610" s="152"/>
      <c r="E1610" s="152"/>
      <c r="F1610" s="152"/>
      <c r="G1610" s="152"/>
      <c r="H1610" s="153"/>
      <c r="I1610" s="153"/>
      <c r="J1610" s="153"/>
      <c r="K1610" s="153"/>
      <c r="L1610" s="153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</row>
    <row r="1611" spans="1:27" ht="17.399999999999999">
      <c r="A1611" s="156"/>
      <c r="B1611" s="152"/>
      <c r="C1611" s="152"/>
      <c r="D1611" s="152"/>
      <c r="E1611" s="152"/>
      <c r="F1611" s="152"/>
      <c r="G1611" s="152"/>
      <c r="H1611" s="153"/>
      <c r="I1611" s="153"/>
      <c r="J1611" s="153"/>
      <c r="K1611" s="153"/>
      <c r="L1611" s="153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</row>
    <row r="1612" spans="1:27" ht="17.399999999999999">
      <c r="A1612" s="156"/>
      <c r="B1612" s="152"/>
      <c r="C1612" s="152"/>
      <c r="D1612" s="152"/>
      <c r="E1612" s="152"/>
      <c r="F1612" s="152"/>
      <c r="G1612" s="152"/>
      <c r="H1612" s="153"/>
      <c r="I1612" s="153"/>
      <c r="J1612" s="153"/>
      <c r="K1612" s="153"/>
      <c r="L1612" s="153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</row>
    <row r="1613" spans="1:27" ht="17.399999999999999">
      <c r="A1613" s="156"/>
      <c r="B1613" s="152"/>
      <c r="C1613" s="152"/>
      <c r="D1613" s="152"/>
      <c r="E1613" s="152"/>
      <c r="F1613" s="152"/>
      <c r="G1613" s="152"/>
      <c r="H1613" s="153"/>
      <c r="I1613" s="153"/>
      <c r="J1613" s="153"/>
      <c r="K1613" s="153"/>
      <c r="L1613" s="153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</row>
    <row r="1614" spans="1:27" ht="17.399999999999999">
      <c r="A1614" s="156"/>
      <c r="B1614" s="152"/>
      <c r="C1614" s="152"/>
      <c r="D1614" s="152"/>
      <c r="E1614" s="152"/>
      <c r="F1614" s="152"/>
      <c r="G1614" s="152"/>
      <c r="H1614" s="153"/>
      <c r="I1614" s="153"/>
      <c r="J1614" s="153"/>
      <c r="K1614" s="153"/>
      <c r="L1614" s="153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</row>
    <row r="1615" spans="1:27" ht="17.399999999999999">
      <c r="A1615" s="156"/>
      <c r="B1615" s="152"/>
      <c r="C1615" s="152"/>
      <c r="D1615" s="152"/>
      <c r="E1615" s="152"/>
      <c r="F1615" s="152"/>
      <c r="G1615" s="152"/>
      <c r="H1615" s="153"/>
      <c r="I1615" s="153"/>
      <c r="J1615" s="153"/>
      <c r="K1615" s="153"/>
      <c r="L1615" s="153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</row>
    <row r="1616" spans="1:27" ht="17.399999999999999">
      <c r="A1616" s="156"/>
      <c r="B1616" s="152"/>
      <c r="C1616" s="152"/>
      <c r="D1616" s="152"/>
      <c r="E1616" s="152"/>
      <c r="F1616" s="152"/>
      <c r="G1616" s="152"/>
      <c r="H1616" s="153"/>
      <c r="I1616" s="153"/>
      <c r="J1616" s="153"/>
      <c r="K1616" s="153"/>
      <c r="L1616" s="153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</row>
    <row r="1617" spans="1:27" ht="17.399999999999999">
      <c r="A1617" s="156"/>
      <c r="B1617" s="152"/>
      <c r="C1617" s="152"/>
      <c r="D1617" s="152"/>
      <c r="E1617" s="152"/>
      <c r="F1617" s="152"/>
      <c r="G1617" s="152"/>
      <c r="H1617" s="153"/>
      <c r="I1617" s="153"/>
      <c r="J1617" s="153"/>
      <c r="K1617" s="153"/>
      <c r="L1617" s="153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</row>
    <row r="1618" spans="1:27" ht="17.399999999999999">
      <c r="A1618" s="156"/>
      <c r="B1618" s="152"/>
      <c r="C1618" s="152"/>
      <c r="D1618" s="152"/>
      <c r="E1618" s="152"/>
      <c r="F1618" s="152"/>
      <c r="G1618" s="152"/>
      <c r="H1618" s="153"/>
      <c r="I1618" s="153"/>
      <c r="J1618" s="153"/>
      <c r="K1618" s="153"/>
      <c r="L1618" s="153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</row>
    <row r="1619" spans="1:27" ht="17.399999999999999">
      <c r="A1619" s="156"/>
      <c r="B1619" s="152"/>
      <c r="C1619" s="152"/>
      <c r="D1619" s="152"/>
      <c r="E1619" s="152"/>
      <c r="F1619" s="152"/>
      <c r="G1619" s="152"/>
      <c r="H1619" s="153"/>
      <c r="I1619" s="153"/>
      <c r="J1619" s="153"/>
      <c r="K1619" s="153"/>
      <c r="L1619" s="153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</row>
    <row r="1620" spans="1:27" ht="17.399999999999999">
      <c r="A1620" s="156"/>
      <c r="B1620" s="152"/>
      <c r="C1620" s="152"/>
      <c r="D1620" s="152"/>
      <c r="E1620" s="152"/>
      <c r="F1620" s="152"/>
      <c r="G1620" s="152"/>
      <c r="H1620" s="153"/>
      <c r="I1620" s="153"/>
      <c r="J1620" s="153"/>
      <c r="K1620" s="153"/>
      <c r="L1620" s="153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</row>
    <row r="1621" spans="1:27" ht="17.399999999999999">
      <c r="A1621" s="156"/>
      <c r="B1621" s="152"/>
      <c r="C1621" s="152"/>
      <c r="D1621" s="152"/>
      <c r="E1621" s="152"/>
      <c r="F1621" s="152"/>
      <c r="G1621" s="152"/>
      <c r="H1621" s="153"/>
      <c r="I1621" s="153"/>
      <c r="J1621" s="153"/>
      <c r="K1621" s="153"/>
      <c r="L1621" s="153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</row>
    <row r="1622" spans="1:27" ht="17.399999999999999">
      <c r="A1622" s="156"/>
      <c r="B1622" s="152"/>
      <c r="C1622" s="152"/>
      <c r="D1622" s="152"/>
      <c r="E1622" s="152"/>
      <c r="F1622" s="152"/>
      <c r="G1622" s="152"/>
      <c r="H1622" s="153"/>
      <c r="I1622" s="153"/>
      <c r="J1622" s="153"/>
      <c r="K1622" s="153"/>
      <c r="L1622" s="153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</row>
    <row r="1623" spans="1:27" ht="17.399999999999999">
      <c r="A1623" s="156"/>
      <c r="B1623" s="152"/>
      <c r="C1623" s="152"/>
      <c r="D1623" s="152"/>
      <c r="E1623" s="152"/>
      <c r="F1623" s="152"/>
      <c r="G1623" s="152"/>
      <c r="H1623" s="153"/>
      <c r="I1623" s="153"/>
      <c r="J1623" s="153"/>
      <c r="K1623" s="153"/>
      <c r="L1623" s="153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</row>
    <row r="1624" spans="1:27" ht="17.399999999999999">
      <c r="A1624" s="156"/>
      <c r="B1624" s="152"/>
      <c r="C1624" s="152"/>
      <c r="D1624" s="152"/>
      <c r="E1624" s="152"/>
      <c r="F1624" s="152"/>
      <c r="G1624" s="152"/>
      <c r="H1624" s="153"/>
      <c r="I1624" s="153"/>
      <c r="J1624" s="153"/>
      <c r="K1624" s="153"/>
      <c r="L1624" s="153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</row>
    <row r="1625" spans="1:27" ht="17.399999999999999">
      <c r="A1625" s="156"/>
      <c r="B1625" s="152"/>
      <c r="C1625" s="152"/>
      <c r="D1625" s="152"/>
      <c r="E1625" s="152"/>
      <c r="F1625" s="152"/>
      <c r="G1625" s="152"/>
      <c r="H1625" s="153"/>
      <c r="I1625" s="153"/>
      <c r="J1625" s="153"/>
      <c r="K1625" s="153"/>
      <c r="L1625" s="153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</row>
    <row r="1626" spans="1:27" ht="17.399999999999999">
      <c r="A1626" s="156"/>
      <c r="B1626" s="152"/>
      <c r="C1626" s="152"/>
      <c r="D1626" s="152"/>
      <c r="E1626" s="152"/>
      <c r="F1626" s="152"/>
      <c r="G1626" s="152"/>
      <c r="H1626" s="153"/>
      <c r="I1626" s="153"/>
      <c r="J1626" s="153"/>
      <c r="K1626" s="153"/>
      <c r="L1626" s="153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</row>
    <row r="1627" spans="1:27" ht="17.399999999999999">
      <c r="A1627" s="156"/>
      <c r="B1627" s="152"/>
      <c r="C1627" s="152"/>
      <c r="D1627" s="152"/>
      <c r="E1627" s="152"/>
      <c r="F1627" s="152"/>
      <c r="G1627" s="152"/>
      <c r="H1627" s="153"/>
      <c r="I1627" s="153"/>
      <c r="J1627" s="153"/>
      <c r="K1627" s="153"/>
      <c r="L1627" s="153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</row>
    <row r="1628" spans="1:27" ht="17.399999999999999">
      <c r="A1628" s="156"/>
      <c r="B1628" s="152"/>
      <c r="C1628" s="152"/>
      <c r="D1628" s="152"/>
      <c r="E1628" s="152"/>
      <c r="F1628" s="152"/>
      <c r="G1628" s="152"/>
      <c r="H1628" s="153"/>
      <c r="I1628" s="153"/>
      <c r="J1628" s="153"/>
      <c r="K1628" s="153"/>
      <c r="L1628" s="153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</row>
    <row r="1629" spans="1:27" ht="17.399999999999999">
      <c r="A1629" s="156"/>
      <c r="B1629" s="152"/>
      <c r="C1629" s="152"/>
      <c r="D1629" s="152"/>
      <c r="E1629" s="152"/>
      <c r="F1629" s="152"/>
      <c r="G1629" s="152"/>
      <c r="H1629" s="153"/>
      <c r="I1629" s="153"/>
      <c r="J1629" s="153"/>
      <c r="K1629" s="153"/>
      <c r="L1629" s="153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</row>
    <row r="1630" spans="1:27" ht="17.399999999999999">
      <c r="A1630" s="156"/>
      <c r="B1630" s="152"/>
      <c r="C1630" s="152"/>
      <c r="D1630" s="152"/>
      <c r="E1630" s="152"/>
      <c r="F1630" s="152"/>
      <c r="G1630" s="152"/>
      <c r="H1630" s="153"/>
      <c r="I1630" s="153"/>
      <c r="J1630" s="153"/>
      <c r="K1630" s="153"/>
      <c r="L1630" s="153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</row>
    <row r="1631" spans="1:27" ht="17.399999999999999">
      <c r="A1631" s="156"/>
      <c r="B1631" s="152"/>
      <c r="C1631" s="152"/>
      <c r="D1631" s="152"/>
      <c r="E1631" s="152"/>
      <c r="F1631" s="152"/>
      <c r="G1631" s="152"/>
      <c r="H1631" s="153"/>
      <c r="I1631" s="153"/>
      <c r="J1631" s="153"/>
      <c r="K1631" s="153"/>
      <c r="L1631" s="153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</row>
    <row r="1632" spans="1:27" ht="17.399999999999999">
      <c r="A1632" s="156"/>
      <c r="B1632" s="152"/>
      <c r="C1632" s="152"/>
      <c r="D1632" s="152"/>
      <c r="E1632" s="152"/>
      <c r="F1632" s="152"/>
      <c r="G1632" s="152"/>
      <c r="H1632" s="153"/>
      <c r="I1632" s="153"/>
      <c r="J1632" s="153"/>
      <c r="K1632" s="153"/>
      <c r="L1632" s="153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</row>
    <row r="1633" spans="1:27" ht="17.399999999999999">
      <c r="A1633" s="156"/>
      <c r="B1633" s="152"/>
      <c r="C1633" s="152"/>
      <c r="D1633" s="152"/>
      <c r="E1633" s="152"/>
      <c r="F1633" s="152"/>
      <c r="G1633" s="152"/>
      <c r="H1633" s="153"/>
      <c r="I1633" s="153"/>
      <c r="J1633" s="153"/>
      <c r="K1633" s="153"/>
      <c r="L1633" s="153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</row>
    <row r="1634" spans="1:27" ht="17.399999999999999">
      <c r="A1634" s="156"/>
      <c r="B1634" s="152"/>
      <c r="C1634" s="152"/>
      <c r="D1634" s="152"/>
      <c r="E1634" s="152"/>
      <c r="F1634" s="152"/>
      <c r="G1634" s="152"/>
      <c r="H1634" s="153"/>
      <c r="I1634" s="153"/>
      <c r="J1634" s="153"/>
      <c r="K1634" s="153"/>
      <c r="L1634" s="153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</row>
    <row r="1635" spans="1:27" ht="17.399999999999999">
      <c r="A1635" s="156"/>
      <c r="B1635" s="152"/>
      <c r="C1635" s="152"/>
      <c r="D1635" s="152"/>
      <c r="E1635" s="152"/>
      <c r="F1635" s="152"/>
      <c r="G1635" s="152"/>
      <c r="H1635" s="153"/>
      <c r="I1635" s="153"/>
      <c r="J1635" s="153"/>
      <c r="K1635" s="153"/>
      <c r="L1635" s="153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</row>
    <row r="1636" spans="1:27" ht="17.399999999999999">
      <c r="A1636" s="156"/>
      <c r="B1636" s="152"/>
      <c r="C1636" s="152"/>
      <c r="D1636" s="152"/>
      <c r="E1636" s="152"/>
      <c r="F1636" s="152"/>
      <c r="G1636" s="152"/>
      <c r="H1636" s="153"/>
      <c r="I1636" s="153"/>
      <c r="J1636" s="153"/>
      <c r="K1636" s="153"/>
      <c r="L1636" s="153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</row>
    <row r="1637" spans="1:27" ht="17.399999999999999">
      <c r="A1637" s="156"/>
      <c r="B1637" s="152"/>
      <c r="C1637" s="152"/>
      <c r="D1637" s="152"/>
      <c r="E1637" s="152"/>
      <c r="F1637" s="152"/>
      <c r="G1637" s="152"/>
      <c r="H1637" s="153"/>
      <c r="I1637" s="153"/>
      <c r="J1637" s="153"/>
      <c r="K1637" s="153"/>
      <c r="L1637" s="153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</row>
    <row r="1638" spans="1:27" ht="17.399999999999999">
      <c r="A1638" s="156"/>
      <c r="B1638" s="152"/>
      <c r="C1638" s="152"/>
      <c r="D1638" s="152"/>
      <c r="E1638" s="152"/>
      <c r="F1638" s="152"/>
      <c r="G1638" s="152"/>
      <c r="H1638" s="153"/>
      <c r="I1638" s="153"/>
      <c r="J1638" s="153"/>
      <c r="K1638" s="153"/>
      <c r="L1638" s="153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</row>
    <row r="1639" spans="1:27" ht="17.399999999999999">
      <c r="A1639" s="156"/>
      <c r="B1639" s="152"/>
      <c r="C1639" s="152"/>
      <c r="D1639" s="152"/>
      <c r="E1639" s="152"/>
      <c r="F1639" s="152"/>
      <c r="G1639" s="152"/>
      <c r="H1639" s="153"/>
      <c r="I1639" s="153"/>
      <c r="J1639" s="153"/>
      <c r="K1639" s="153"/>
      <c r="L1639" s="153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</row>
    <row r="1640" spans="1:27" ht="17.399999999999999">
      <c r="A1640" s="156"/>
      <c r="B1640" s="152"/>
      <c r="C1640" s="152"/>
      <c r="D1640" s="152"/>
      <c r="E1640" s="152"/>
      <c r="F1640" s="152"/>
      <c r="G1640" s="152"/>
      <c r="H1640" s="153"/>
      <c r="I1640" s="153"/>
      <c r="J1640" s="153"/>
      <c r="K1640" s="153"/>
      <c r="L1640" s="153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</row>
    <row r="1641" spans="1:27" ht="17.399999999999999">
      <c r="A1641" s="156"/>
      <c r="B1641" s="152"/>
      <c r="C1641" s="152"/>
      <c r="D1641" s="152"/>
      <c r="E1641" s="152"/>
      <c r="F1641" s="152"/>
      <c r="G1641" s="152"/>
      <c r="H1641" s="153"/>
      <c r="I1641" s="153"/>
      <c r="J1641" s="153"/>
      <c r="K1641" s="153"/>
      <c r="L1641" s="153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</row>
    <row r="1642" spans="1:27" ht="17.399999999999999">
      <c r="A1642" s="156"/>
      <c r="B1642" s="152"/>
      <c r="C1642" s="152"/>
      <c r="D1642" s="152"/>
      <c r="E1642" s="152"/>
      <c r="F1642" s="152"/>
      <c r="G1642" s="152"/>
      <c r="H1642" s="153"/>
      <c r="I1642" s="153"/>
      <c r="J1642" s="153"/>
      <c r="K1642" s="153"/>
      <c r="L1642" s="153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</row>
    <row r="1643" spans="1:27" ht="17.399999999999999">
      <c r="A1643" s="156"/>
      <c r="B1643" s="152"/>
      <c r="C1643" s="152"/>
      <c r="D1643" s="152"/>
      <c r="E1643" s="152"/>
      <c r="F1643" s="152"/>
      <c r="G1643" s="152"/>
      <c r="H1643" s="153"/>
      <c r="I1643" s="153"/>
      <c r="J1643" s="153"/>
      <c r="K1643" s="153"/>
      <c r="L1643" s="153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</row>
    <row r="1644" spans="1:27" ht="17.399999999999999">
      <c r="A1644" s="156"/>
      <c r="B1644" s="152"/>
      <c r="C1644" s="152"/>
      <c r="D1644" s="152"/>
      <c r="E1644" s="152"/>
      <c r="F1644" s="152"/>
      <c r="G1644" s="152"/>
      <c r="H1644" s="153"/>
      <c r="I1644" s="153"/>
      <c r="J1644" s="153"/>
      <c r="K1644" s="153"/>
      <c r="L1644" s="153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</row>
    <row r="1645" spans="1:27" ht="17.399999999999999">
      <c r="A1645" s="156"/>
      <c r="B1645" s="152"/>
      <c r="C1645" s="152"/>
      <c r="D1645" s="152"/>
      <c r="E1645" s="152"/>
      <c r="F1645" s="152"/>
      <c r="G1645" s="152"/>
      <c r="H1645" s="153"/>
      <c r="I1645" s="153"/>
      <c r="J1645" s="153"/>
      <c r="K1645" s="153"/>
      <c r="L1645" s="153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</row>
    <row r="1646" spans="1:27" ht="17.399999999999999">
      <c r="A1646" s="156"/>
      <c r="B1646" s="152"/>
      <c r="C1646" s="152"/>
      <c r="D1646" s="152"/>
      <c r="E1646" s="152"/>
      <c r="F1646" s="152"/>
      <c r="G1646" s="152"/>
      <c r="H1646" s="153"/>
      <c r="I1646" s="153"/>
      <c r="J1646" s="153"/>
      <c r="K1646" s="153"/>
      <c r="L1646" s="153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</row>
    <row r="1647" spans="1:27" ht="17.399999999999999">
      <c r="A1647" s="156"/>
      <c r="B1647" s="152"/>
      <c r="C1647" s="152"/>
      <c r="D1647" s="152"/>
      <c r="E1647" s="152"/>
      <c r="F1647" s="152"/>
      <c r="G1647" s="152"/>
      <c r="H1647" s="153"/>
      <c r="I1647" s="153"/>
      <c r="J1647" s="153"/>
      <c r="K1647" s="153"/>
      <c r="L1647" s="153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</row>
    <row r="1648" spans="1:27" ht="17.399999999999999">
      <c r="A1648" s="156"/>
      <c r="B1648" s="152"/>
      <c r="C1648" s="152"/>
      <c r="D1648" s="152"/>
      <c r="E1648" s="152"/>
      <c r="F1648" s="152"/>
      <c r="G1648" s="152"/>
      <c r="H1648" s="153"/>
      <c r="I1648" s="153"/>
      <c r="J1648" s="153"/>
      <c r="K1648" s="153"/>
      <c r="L1648" s="153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</row>
    <row r="1649" spans="1:27" ht="17.399999999999999">
      <c r="A1649" s="156"/>
      <c r="B1649" s="152"/>
      <c r="C1649" s="152"/>
      <c r="D1649" s="152"/>
      <c r="E1649" s="152"/>
      <c r="F1649" s="152"/>
      <c r="G1649" s="152"/>
      <c r="H1649" s="153"/>
      <c r="I1649" s="153"/>
      <c r="J1649" s="153"/>
      <c r="K1649" s="153"/>
      <c r="L1649" s="153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</row>
    <row r="1650" spans="1:27" ht="17.399999999999999">
      <c r="A1650" s="156"/>
      <c r="B1650" s="152"/>
      <c r="C1650" s="152"/>
      <c r="D1650" s="152"/>
      <c r="E1650" s="152"/>
      <c r="F1650" s="152"/>
      <c r="G1650" s="152"/>
      <c r="H1650" s="153"/>
      <c r="I1650" s="153"/>
      <c r="J1650" s="153"/>
      <c r="K1650" s="153"/>
      <c r="L1650" s="153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</row>
    <row r="1651" spans="1:27" ht="17.399999999999999">
      <c r="A1651" s="156"/>
      <c r="B1651" s="152"/>
      <c r="C1651" s="152"/>
      <c r="D1651" s="152"/>
      <c r="E1651" s="152"/>
      <c r="F1651" s="152"/>
      <c r="G1651" s="152"/>
      <c r="H1651" s="153"/>
      <c r="I1651" s="153"/>
      <c r="J1651" s="153"/>
      <c r="K1651" s="153"/>
      <c r="L1651" s="153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</row>
    <row r="1652" spans="1:27" ht="17.399999999999999">
      <c r="A1652" s="156"/>
      <c r="B1652" s="152"/>
      <c r="C1652" s="152"/>
      <c r="D1652" s="152"/>
      <c r="E1652" s="152"/>
      <c r="F1652" s="152"/>
      <c r="G1652" s="152"/>
      <c r="H1652" s="153"/>
      <c r="I1652" s="153"/>
      <c r="J1652" s="153"/>
      <c r="K1652" s="153"/>
      <c r="L1652" s="153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</row>
    <row r="1653" spans="1:27" ht="17.399999999999999">
      <c r="A1653" s="156"/>
      <c r="B1653" s="152"/>
      <c r="C1653" s="152"/>
      <c r="D1653" s="152"/>
      <c r="E1653" s="152"/>
      <c r="F1653" s="152"/>
      <c r="G1653" s="152"/>
      <c r="H1653" s="153"/>
      <c r="I1653" s="153"/>
      <c r="J1653" s="153"/>
      <c r="K1653" s="153"/>
      <c r="L1653" s="153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</row>
    <row r="1654" spans="1:27" ht="17.399999999999999">
      <c r="A1654" s="156"/>
      <c r="B1654" s="152"/>
      <c r="C1654" s="152"/>
      <c r="D1654" s="152"/>
      <c r="E1654" s="152"/>
      <c r="F1654" s="152"/>
      <c r="G1654" s="152"/>
      <c r="H1654" s="153"/>
      <c r="I1654" s="153"/>
      <c r="J1654" s="153"/>
      <c r="K1654" s="153"/>
      <c r="L1654" s="153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</row>
    <row r="1655" spans="1:27" ht="17.399999999999999">
      <c r="A1655" s="156"/>
      <c r="B1655" s="152"/>
      <c r="C1655" s="152"/>
      <c r="D1655" s="152"/>
      <c r="E1655" s="152"/>
      <c r="F1655" s="152"/>
      <c r="G1655" s="152"/>
      <c r="H1655" s="153"/>
      <c r="I1655" s="153"/>
      <c r="J1655" s="153"/>
      <c r="K1655" s="153"/>
      <c r="L1655" s="153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</row>
    <row r="1656" spans="1:27" ht="17.399999999999999">
      <c r="A1656" s="156"/>
      <c r="B1656" s="152"/>
      <c r="C1656" s="152"/>
      <c r="D1656" s="152"/>
      <c r="E1656" s="152"/>
      <c r="F1656" s="152"/>
      <c r="G1656" s="152"/>
      <c r="H1656" s="153"/>
      <c r="I1656" s="153"/>
      <c r="J1656" s="153"/>
      <c r="K1656" s="153"/>
      <c r="L1656" s="153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</row>
    <row r="1657" spans="1:27" ht="17.399999999999999">
      <c r="A1657" s="156"/>
      <c r="B1657" s="152"/>
      <c r="C1657" s="152"/>
      <c r="D1657" s="152"/>
      <c r="E1657" s="152"/>
      <c r="F1657" s="152"/>
      <c r="G1657" s="152"/>
      <c r="H1657" s="153"/>
      <c r="I1657" s="153"/>
      <c r="J1657" s="153"/>
      <c r="K1657" s="153"/>
      <c r="L1657" s="153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</row>
    <row r="1658" spans="1:27" ht="17.399999999999999">
      <c r="A1658" s="156"/>
      <c r="B1658" s="152"/>
      <c r="C1658" s="152"/>
      <c r="D1658" s="152"/>
      <c r="E1658" s="152"/>
      <c r="F1658" s="152"/>
      <c r="G1658" s="152"/>
      <c r="H1658" s="153"/>
      <c r="I1658" s="153"/>
      <c r="J1658" s="153"/>
      <c r="K1658" s="153"/>
      <c r="L1658" s="153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</row>
    <row r="1659" spans="1:27" ht="17.399999999999999">
      <c r="A1659" s="156"/>
      <c r="B1659" s="152"/>
      <c r="C1659" s="152"/>
      <c r="D1659" s="152"/>
      <c r="E1659" s="152"/>
      <c r="F1659" s="152"/>
      <c r="G1659" s="152"/>
      <c r="H1659" s="153"/>
      <c r="I1659" s="153"/>
      <c r="J1659" s="153"/>
      <c r="K1659" s="153"/>
      <c r="L1659" s="153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</row>
    <row r="1660" spans="1:27" ht="17.399999999999999">
      <c r="A1660" s="156"/>
      <c r="B1660" s="152"/>
      <c r="C1660" s="152"/>
      <c r="D1660" s="152"/>
      <c r="E1660" s="152"/>
      <c r="F1660" s="152"/>
      <c r="G1660" s="152"/>
      <c r="H1660" s="153"/>
      <c r="I1660" s="153"/>
      <c r="J1660" s="153"/>
      <c r="K1660" s="153"/>
      <c r="L1660" s="153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</row>
    <row r="1661" spans="1:27" ht="17.399999999999999">
      <c r="A1661" s="156"/>
      <c r="B1661" s="152"/>
      <c r="C1661" s="152"/>
      <c r="D1661" s="152"/>
      <c r="E1661" s="152"/>
      <c r="F1661" s="152"/>
      <c r="G1661" s="152"/>
      <c r="H1661" s="153"/>
      <c r="I1661" s="153"/>
      <c r="J1661" s="153"/>
      <c r="K1661" s="153"/>
      <c r="L1661" s="153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</row>
    <row r="1662" spans="1:27" ht="17.399999999999999">
      <c r="A1662" s="156"/>
      <c r="B1662" s="152"/>
      <c r="C1662" s="152"/>
      <c r="D1662" s="152"/>
      <c r="E1662" s="152"/>
      <c r="F1662" s="152"/>
      <c r="G1662" s="152"/>
      <c r="H1662" s="153"/>
      <c r="I1662" s="153"/>
      <c r="J1662" s="153"/>
      <c r="K1662" s="153"/>
      <c r="L1662" s="153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</row>
    <row r="1663" spans="1:27" ht="17.399999999999999">
      <c r="A1663" s="156"/>
      <c r="B1663" s="152"/>
      <c r="C1663" s="152"/>
      <c r="D1663" s="152"/>
      <c r="E1663" s="152"/>
      <c r="F1663" s="152"/>
      <c r="G1663" s="152"/>
      <c r="H1663" s="153"/>
      <c r="I1663" s="153"/>
      <c r="J1663" s="153"/>
      <c r="K1663" s="153"/>
      <c r="L1663" s="153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</row>
    <row r="1664" spans="1:27" ht="17.399999999999999">
      <c r="A1664" s="156"/>
      <c r="B1664" s="152"/>
      <c r="C1664" s="152"/>
      <c r="D1664" s="152"/>
      <c r="E1664" s="152"/>
      <c r="F1664" s="152"/>
      <c r="G1664" s="152"/>
      <c r="H1664" s="153"/>
      <c r="I1664" s="153"/>
      <c r="J1664" s="153"/>
      <c r="K1664" s="153"/>
      <c r="L1664" s="153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</row>
  </sheetData>
  <phoneticPr fontId="9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2:J597"/>
  <sheetViews>
    <sheetView zoomScale="130" zoomScaleNormal="130" workbookViewId="0">
      <selection activeCell="D7" sqref="D7"/>
    </sheetView>
  </sheetViews>
  <sheetFormatPr defaultColWidth="8.8984375" defaultRowHeight="15.6"/>
  <cols>
    <col min="1" max="1" width="15.59765625" style="51" customWidth="1"/>
    <col min="2" max="2" width="34.796875" style="51" customWidth="1"/>
    <col min="3" max="3" width="8.8984375" style="52" hidden="1" customWidth="1"/>
    <col min="4" max="4" width="5.3984375" style="52" bestFit="1" customWidth="1"/>
    <col min="5" max="5" width="12.59765625" style="53" hidden="1" customWidth="1"/>
    <col min="6" max="6" width="6.69921875" style="51" customWidth="1"/>
    <col min="7" max="7" width="7.09765625" style="51" customWidth="1"/>
    <col min="8" max="16384" width="8.8984375" style="51"/>
  </cols>
  <sheetData>
    <row r="2" spans="1:10">
      <c r="A2" s="51" t="s">
        <v>684</v>
      </c>
      <c r="F2"/>
    </row>
    <row r="3" spans="1:10">
      <c r="A3" s="135" t="s">
        <v>350</v>
      </c>
      <c r="B3" s="136"/>
      <c r="C3" s="136"/>
      <c r="D3" s="137"/>
      <c r="F3"/>
    </row>
    <row r="4" spans="1:10">
      <c r="A4" s="139" t="s">
        <v>354</v>
      </c>
      <c r="B4" s="139" t="s">
        <v>3</v>
      </c>
      <c r="C4" s="139" t="s">
        <v>4</v>
      </c>
      <c r="D4" s="137" t="s">
        <v>332</v>
      </c>
      <c r="F4" s="51" t="s">
        <v>906</v>
      </c>
      <c r="G4" s="51" t="s">
        <v>907</v>
      </c>
      <c r="I4" s="146" t="s">
        <v>952</v>
      </c>
      <c r="J4" s="146"/>
    </row>
    <row r="5" spans="1:10">
      <c r="A5" s="138" t="s">
        <v>697</v>
      </c>
      <c r="B5" s="138" t="s">
        <v>691</v>
      </c>
      <c r="C5" s="138">
        <v>3875</v>
      </c>
      <c r="D5" s="137">
        <v>84</v>
      </c>
      <c r="E5"/>
      <c r="F5"/>
      <c r="G5"/>
      <c r="I5" s="146" t="s">
        <v>953</v>
      </c>
      <c r="J5" s="146"/>
    </row>
    <row r="6" spans="1:10" ht="17.399999999999999">
      <c r="A6" s="138" t="s">
        <v>696</v>
      </c>
      <c r="B6" s="138" t="s">
        <v>692</v>
      </c>
      <c r="C6" s="138">
        <v>3861</v>
      </c>
      <c r="D6" s="137">
        <v>54</v>
      </c>
      <c r="E6" s="132"/>
      <c r="F6"/>
      <c r="G6"/>
      <c r="H6"/>
      <c r="I6" s="146"/>
      <c r="J6" s="146"/>
    </row>
    <row r="7" spans="1:10" ht="17.399999999999999">
      <c r="A7" s="138" t="s">
        <v>693</v>
      </c>
      <c r="B7" s="138" t="s">
        <v>689</v>
      </c>
      <c r="C7" s="138">
        <v>4650</v>
      </c>
      <c r="D7" s="137">
        <v>48</v>
      </c>
      <c r="E7" s="133"/>
      <c r="F7"/>
      <c r="G7"/>
      <c r="H7"/>
    </row>
    <row r="8" spans="1:10">
      <c r="A8" s="138" t="s">
        <v>938</v>
      </c>
      <c r="B8" s="138" t="s">
        <v>957</v>
      </c>
      <c r="C8" s="138">
        <v>3488</v>
      </c>
      <c r="D8" s="137">
        <v>48</v>
      </c>
      <c r="E8" t="s">
        <v>651</v>
      </c>
      <c r="F8"/>
      <c r="G8"/>
      <c r="H8"/>
    </row>
    <row r="9" spans="1:10" ht="17.399999999999999">
      <c r="A9" s="138" t="s">
        <v>695</v>
      </c>
      <c r="B9" s="138" t="s">
        <v>690</v>
      </c>
      <c r="C9" s="138">
        <v>3875</v>
      </c>
      <c r="D9" s="137">
        <v>84</v>
      </c>
      <c r="E9" s="133" t="s">
        <v>650</v>
      </c>
      <c r="F9"/>
      <c r="G9"/>
      <c r="H9"/>
      <c r="I9"/>
    </row>
    <row r="10" spans="1:10" ht="17.399999999999999">
      <c r="A10" s="138" t="s">
        <v>767</v>
      </c>
      <c r="B10" s="138" t="s">
        <v>959</v>
      </c>
      <c r="C10" s="138">
        <v>3868</v>
      </c>
      <c r="D10" s="137">
        <v>12</v>
      </c>
      <c r="E10" s="133"/>
      <c r="F10"/>
      <c r="G10"/>
      <c r="H10"/>
    </row>
    <row r="11" spans="1:10" ht="17.399999999999999">
      <c r="A11" s="138" t="s">
        <v>685</v>
      </c>
      <c r="B11" s="138" t="s">
        <v>485</v>
      </c>
      <c r="C11" s="138">
        <v>7750</v>
      </c>
      <c r="D11" s="137">
        <v>12</v>
      </c>
      <c r="E11" s="94"/>
      <c r="F11"/>
      <c r="G11"/>
      <c r="H11"/>
    </row>
    <row r="12" spans="1:10" ht="17.399999999999999">
      <c r="A12" s="138" t="s">
        <v>954</v>
      </c>
      <c r="B12" s="138" t="s">
        <v>486</v>
      </c>
      <c r="C12" s="138">
        <v>6975</v>
      </c>
      <c r="D12" s="137">
        <v>36</v>
      </c>
      <c r="E12" s="133"/>
      <c r="F12"/>
      <c r="G12"/>
      <c r="H12"/>
    </row>
    <row r="13" spans="1:10" ht="17.399999999999999">
      <c r="A13" s="138" t="s">
        <v>956</v>
      </c>
      <c r="B13" s="138" t="s">
        <v>960</v>
      </c>
      <c r="C13" s="138">
        <v>5028</v>
      </c>
      <c r="D13" s="137">
        <v>48</v>
      </c>
      <c r="E13" s="133"/>
      <c r="F13"/>
      <c r="G13"/>
      <c r="H13"/>
      <c r="I13"/>
    </row>
    <row r="14" spans="1:10" ht="17.399999999999999">
      <c r="A14" s="138" t="s">
        <v>372</v>
      </c>
      <c r="B14" s="138" t="s">
        <v>578</v>
      </c>
      <c r="C14" s="138">
        <v>2790</v>
      </c>
      <c r="D14" s="137">
        <v>504</v>
      </c>
      <c r="E14" s="133"/>
      <c r="F14"/>
      <c r="G14"/>
      <c r="H14"/>
    </row>
    <row r="15" spans="1:10" ht="17.399999999999999">
      <c r="A15" s="138" t="s">
        <v>331</v>
      </c>
      <c r="B15" s="138" t="s">
        <v>961</v>
      </c>
      <c r="C15" s="138">
        <v>3513</v>
      </c>
      <c r="D15" s="137">
        <v>650</v>
      </c>
      <c r="E15" s="133"/>
      <c r="F15"/>
      <c r="G15"/>
      <c r="H15"/>
    </row>
    <row r="16" spans="1:10">
      <c r="A16" s="138" t="s">
        <v>676</v>
      </c>
      <c r="B16" s="138" t="s">
        <v>562</v>
      </c>
      <c r="C16" s="138">
        <v>2428</v>
      </c>
      <c r="D16" s="137">
        <v>420</v>
      </c>
      <c r="E16"/>
      <c r="F16"/>
      <c r="G16"/>
      <c r="H16"/>
      <c r="I16"/>
    </row>
    <row r="17" spans="1:9">
      <c r="A17" s="138" t="s">
        <v>371</v>
      </c>
      <c r="B17" s="138" t="s">
        <v>580</v>
      </c>
      <c r="C17" s="138">
        <v>2790</v>
      </c>
      <c r="D17" s="137">
        <v>444</v>
      </c>
      <c r="E17"/>
      <c r="F17"/>
      <c r="G17"/>
      <c r="H17"/>
    </row>
    <row r="18" spans="1:9" ht="17.399999999999999">
      <c r="A18" s="138" t="s">
        <v>398</v>
      </c>
      <c r="B18" s="138" t="s">
        <v>560</v>
      </c>
      <c r="C18" s="138">
        <v>1963</v>
      </c>
      <c r="D18" s="137">
        <v>960</v>
      </c>
      <c r="E18" s="129"/>
      <c r="F18"/>
      <c r="G18"/>
      <c r="H18"/>
    </row>
    <row r="19" spans="1:9" ht="17.399999999999999">
      <c r="A19" s="138" t="s">
        <v>916</v>
      </c>
      <c r="B19" s="138" t="s">
        <v>962</v>
      </c>
      <c r="C19" s="138">
        <v>2169</v>
      </c>
      <c r="D19" s="137">
        <v>492</v>
      </c>
      <c r="E19" s="129"/>
      <c r="F19"/>
      <c r="G19"/>
      <c r="H19"/>
    </row>
    <row r="20" spans="1:9">
      <c r="A20" s="138" t="s">
        <v>912</v>
      </c>
      <c r="B20" s="138" t="s">
        <v>963</v>
      </c>
      <c r="C20" s="138">
        <v>2169</v>
      </c>
      <c r="D20" s="137">
        <v>480</v>
      </c>
      <c r="E20"/>
      <c r="F20"/>
      <c r="G20"/>
      <c r="H20"/>
    </row>
    <row r="21" spans="1:9">
      <c r="A21" s="138" t="s">
        <v>340</v>
      </c>
      <c r="B21" s="138" t="s">
        <v>964</v>
      </c>
      <c r="C21" s="138">
        <v>3513</v>
      </c>
      <c r="D21" s="137">
        <v>400</v>
      </c>
      <c r="E21"/>
      <c r="F21"/>
      <c r="G21"/>
      <c r="H21"/>
    </row>
    <row r="22" spans="1:9" ht="17.399999999999999">
      <c r="A22" s="138" t="s">
        <v>918</v>
      </c>
      <c r="B22" s="138" t="s">
        <v>965</v>
      </c>
      <c r="C22" s="138">
        <v>2169</v>
      </c>
      <c r="D22" s="137">
        <v>192</v>
      </c>
      <c r="E22"/>
      <c r="F22" s="94"/>
      <c r="G22"/>
      <c r="H22"/>
      <c r="I22"/>
    </row>
    <row r="23" spans="1:9" ht="17.399999999999999">
      <c r="A23" s="138" t="s">
        <v>620</v>
      </c>
      <c r="B23" s="138" t="s">
        <v>23</v>
      </c>
      <c r="C23" s="138">
        <v>7220</v>
      </c>
      <c r="D23" s="137">
        <v>12</v>
      </c>
      <c r="E23"/>
      <c r="F23" s="94"/>
      <c r="G23"/>
      <c r="H23"/>
      <c r="I23"/>
    </row>
    <row r="24" spans="1:9" ht="17.399999999999999">
      <c r="A24" s="138" t="s">
        <v>656</v>
      </c>
      <c r="B24" s="138" t="s">
        <v>652</v>
      </c>
      <c r="C24" s="138">
        <v>5115</v>
      </c>
      <c r="D24" s="137">
        <v>5</v>
      </c>
      <c r="E24" s="94" t="s">
        <v>648</v>
      </c>
      <c r="F24"/>
    </row>
    <row r="25" spans="1:9">
      <c r="A25" s="142" t="s">
        <v>688</v>
      </c>
      <c r="B25" s="143"/>
      <c r="C25" s="143"/>
      <c r="D25" s="141">
        <v>4985</v>
      </c>
      <c r="E25"/>
      <c r="F25"/>
      <c r="G25"/>
      <c r="H25"/>
    </row>
    <row r="26" spans="1:9">
      <c r="A26"/>
      <c r="B26"/>
      <c r="C26"/>
      <c r="D26"/>
      <c r="E26"/>
      <c r="F26"/>
      <c r="G26"/>
      <c r="H26"/>
    </row>
    <row r="27" spans="1:9">
      <c r="A27"/>
      <c r="B27"/>
      <c r="C27"/>
      <c r="D27"/>
      <c r="E27"/>
      <c r="F27"/>
    </row>
    <row r="28" spans="1:9">
      <c r="A28"/>
      <c r="B28"/>
      <c r="C28"/>
      <c r="D28"/>
      <c r="E28"/>
      <c r="F28"/>
      <c r="G28"/>
      <c r="H28"/>
    </row>
    <row r="29" spans="1:9">
      <c r="A29"/>
      <c r="B29"/>
      <c r="C29"/>
      <c r="D29"/>
      <c r="E29"/>
      <c r="F29"/>
    </row>
    <row r="30" spans="1:9">
      <c r="A30"/>
      <c r="B30"/>
      <c r="C30"/>
      <c r="D30"/>
      <c r="E30"/>
    </row>
    <row r="31" spans="1:9" ht="17.399999999999999">
      <c r="A31"/>
      <c r="B31"/>
      <c r="C31"/>
      <c r="D31"/>
      <c r="E31"/>
      <c r="F31" s="94"/>
      <c r="G31"/>
      <c r="H31"/>
    </row>
    <row r="32" spans="1:9">
      <c r="A32"/>
      <c r="B32"/>
      <c r="C32"/>
      <c r="D32"/>
      <c r="E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</row>
    <row r="37" spans="1:7">
      <c r="A37"/>
      <c r="B37"/>
      <c r="C37"/>
      <c r="D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</row>
    <row r="40" spans="1:7">
      <c r="A40"/>
      <c r="B40"/>
      <c r="C40"/>
      <c r="D40"/>
    </row>
    <row r="41" spans="1:7">
      <c r="C41" s="51"/>
    </row>
    <row r="42" spans="1:7">
      <c r="C42" s="51"/>
    </row>
    <row r="43" spans="1:7">
      <c r="C43" s="51"/>
    </row>
    <row r="44" spans="1:7">
      <c r="C44" s="51"/>
    </row>
    <row r="45" spans="1:7">
      <c r="C45" s="51"/>
    </row>
    <row r="46" spans="1:7">
      <c r="C46" s="51"/>
    </row>
    <row r="47" spans="1:7">
      <c r="C47" s="51"/>
    </row>
    <row r="48" spans="1:7">
      <c r="C48" s="51"/>
    </row>
    <row r="49" spans="3:3">
      <c r="C49" s="51"/>
    </row>
    <row r="50" spans="3:3">
      <c r="C50" s="51"/>
    </row>
    <row r="51" spans="3:3">
      <c r="C51" s="51"/>
    </row>
    <row r="52" spans="3:3">
      <c r="C52" s="51"/>
    </row>
    <row r="53" spans="3:3">
      <c r="C53" s="51"/>
    </row>
    <row r="54" spans="3:3">
      <c r="C54" s="51"/>
    </row>
    <row r="55" spans="3:3">
      <c r="C55" s="51"/>
    </row>
    <row r="56" spans="3:3">
      <c r="C56" s="51"/>
    </row>
    <row r="57" spans="3:3">
      <c r="C57" s="51"/>
    </row>
    <row r="58" spans="3:3">
      <c r="C58" s="51"/>
    </row>
    <row r="59" spans="3:3">
      <c r="C59" s="51"/>
    </row>
    <row r="60" spans="3:3">
      <c r="C60" s="51"/>
    </row>
    <row r="61" spans="3:3">
      <c r="C61" s="51"/>
    </row>
    <row r="62" spans="3:3">
      <c r="C62" s="51"/>
    </row>
    <row r="63" spans="3:3">
      <c r="C63" s="51"/>
    </row>
    <row r="64" spans="3:3">
      <c r="C64" s="51"/>
    </row>
    <row r="65" spans="3:3">
      <c r="C65" s="51"/>
    </row>
    <row r="66" spans="3:3">
      <c r="C66" s="51"/>
    </row>
    <row r="67" spans="3:3">
      <c r="C67" s="51"/>
    </row>
    <row r="68" spans="3:3">
      <c r="C68" s="51"/>
    </row>
    <row r="69" spans="3:3">
      <c r="C69" s="51"/>
    </row>
    <row r="70" spans="3:3">
      <c r="C70" s="51"/>
    </row>
    <row r="71" spans="3:3">
      <c r="C71" s="51"/>
    </row>
    <row r="72" spans="3:3">
      <c r="C72" s="51"/>
    </row>
    <row r="73" spans="3:3">
      <c r="C73" s="51"/>
    </row>
    <row r="74" spans="3:3">
      <c r="C74" s="51"/>
    </row>
    <row r="75" spans="3:3">
      <c r="C75" s="51"/>
    </row>
    <row r="76" spans="3:3">
      <c r="C76" s="51"/>
    </row>
    <row r="77" spans="3:3">
      <c r="C77" s="51"/>
    </row>
    <row r="78" spans="3:3">
      <c r="C78" s="51"/>
    </row>
    <row r="79" spans="3:3">
      <c r="C79" s="51"/>
    </row>
    <row r="80" spans="3:3">
      <c r="C80" s="51"/>
    </row>
    <row r="81" spans="3:3">
      <c r="C81" s="51"/>
    </row>
    <row r="82" spans="3:3">
      <c r="C82" s="51"/>
    </row>
    <row r="83" spans="3:3">
      <c r="C83" s="51"/>
    </row>
    <row r="84" spans="3:3">
      <c r="C84" s="51"/>
    </row>
    <row r="85" spans="3:3">
      <c r="C85" s="51"/>
    </row>
    <row r="86" spans="3:3">
      <c r="C86" s="51"/>
    </row>
    <row r="87" spans="3:3">
      <c r="C87" s="51"/>
    </row>
    <row r="88" spans="3:3">
      <c r="C88" s="51"/>
    </row>
    <row r="89" spans="3:3">
      <c r="C89" s="51"/>
    </row>
    <row r="90" spans="3:3">
      <c r="C90" s="51"/>
    </row>
    <row r="91" spans="3:3">
      <c r="C91" s="51"/>
    </row>
    <row r="92" spans="3:3">
      <c r="C92" s="51"/>
    </row>
    <row r="93" spans="3:3">
      <c r="C93" s="51"/>
    </row>
    <row r="94" spans="3:3">
      <c r="C94" s="51"/>
    </row>
    <row r="95" spans="3:3">
      <c r="C95" s="51"/>
    </row>
    <row r="96" spans="3:3">
      <c r="C96" s="51"/>
    </row>
    <row r="97" spans="3:3">
      <c r="C97" s="51"/>
    </row>
    <row r="98" spans="3:3">
      <c r="C98" s="51"/>
    </row>
    <row r="99" spans="3:3">
      <c r="C99" s="51"/>
    </row>
    <row r="100" spans="3:3">
      <c r="C100" s="51"/>
    </row>
    <row r="101" spans="3:3">
      <c r="C101" s="51"/>
    </row>
    <row r="102" spans="3:3">
      <c r="C102" s="51"/>
    </row>
    <row r="103" spans="3:3">
      <c r="C103" s="51"/>
    </row>
    <row r="104" spans="3:3">
      <c r="C104" s="51"/>
    </row>
    <row r="105" spans="3:3">
      <c r="C105" s="51"/>
    </row>
    <row r="106" spans="3:3">
      <c r="C106" s="51"/>
    </row>
    <row r="107" spans="3:3">
      <c r="C107" s="51"/>
    </row>
    <row r="108" spans="3:3">
      <c r="C108" s="51"/>
    </row>
    <row r="109" spans="3:3">
      <c r="C109" s="51"/>
    </row>
    <row r="110" spans="3:3">
      <c r="C110" s="51"/>
    </row>
    <row r="111" spans="3:3">
      <c r="C111" s="51"/>
    </row>
    <row r="112" spans="3:3">
      <c r="C112" s="51"/>
    </row>
    <row r="113" spans="3:3">
      <c r="C113" s="51"/>
    </row>
    <row r="114" spans="3:3">
      <c r="C114" s="51"/>
    </row>
    <row r="115" spans="3:3">
      <c r="C115" s="51"/>
    </row>
    <row r="116" spans="3:3">
      <c r="C116" s="51"/>
    </row>
    <row r="117" spans="3:3">
      <c r="C117" s="51"/>
    </row>
    <row r="118" spans="3:3">
      <c r="C118" s="51"/>
    </row>
    <row r="119" spans="3:3">
      <c r="C119" s="51"/>
    </row>
    <row r="120" spans="3:3">
      <c r="C120" s="51"/>
    </row>
    <row r="121" spans="3:3">
      <c r="C121" s="51"/>
    </row>
    <row r="122" spans="3:3">
      <c r="C122" s="51"/>
    </row>
    <row r="123" spans="3:3">
      <c r="C123" s="51"/>
    </row>
    <row r="124" spans="3:3">
      <c r="C124" s="51"/>
    </row>
    <row r="125" spans="3:3">
      <c r="C125" s="51"/>
    </row>
    <row r="126" spans="3:3">
      <c r="C126" s="51"/>
    </row>
    <row r="127" spans="3:3">
      <c r="C127" s="51"/>
    </row>
    <row r="128" spans="3:3">
      <c r="C128" s="51"/>
    </row>
    <row r="129" spans="3:3">
      <c r="C129" s="51"/>
    </row>
    <row r="130" spans="3:3">
      <c r="C130" s="51"/>
    </row>
    <row r="131" spans="3:3">
      <c r="C131" s="51"/>
    </row>
    <row r="132" spans="3:3">
      <c r="C132" s="51"/>
    </row>
    <row r="133" spans="3:3">
      <c r="C133" s="51"/>
    </row>
    <row r="134" spans="3:3">
      <c r="C134" s="51"/>
    </row>
    <row r="135" spans="3:3">
      <c r="C135" s="51"/>
    </row>
    <row r="136" spans="3:3">
      <c r="C136" s="51"/>
    </row>
    <row r="137" spans="3:3">
      <c r="C137" s="51"/>
    </row>
    <row r="138" spans="3:3">
      <c r="C138" s="51"/>
    </row>
    <row r="139" spans="3:3">
      <c r="C139" s="51"/>
    </row>
    <row r="140" spans="3:3">
      <c r="C140" s="51"/>
    </row>
    <row r="141" spans="3:3">
      <c r="C141" s="51"/>
    </row>
    <row r="142" spans="3:3">
      <c r="C142" s="51"/>
    </row>
    <row r="143" spans="3:3">
      <c r="C143" s="51"/>
    </row>
    <row r="144" spans="3:3">
      <c r="C144" s="51"/>
    </row>
    <row r="145" spans="3:3">
      <c r="C145" s="51"/>
    </row>
    <row r="146" spans="3:3">
      <c r="C146" s="51"/>
    </row>
    <row r="147" spans="3:3">
      <c r="C147" s="51"/>
    </row>
    <row r="148" spans="3:3">
      <c r="C148" s="51"/>
    </row>
    <row r="149" spans="3:3">
      <c r="C149" s="51"/>
    </row>
    <row r="150" spans="3:3">
      <c r="C150" s="51"/>
    </row>
    <row r="151" spans="3:3">
      <c r="C151" s="51"/>
    </row>
    <row r="152" spans="3:3">
      <c r="C152" s="51"/>
    </row>
    <row r="153" spans="3:3">
      <c r="C153" s="51"/>
    </row>
    <row r="154" spans="3:3">
      <c r="C154" s="51"/>
    </row>
    <row r="155" spans="3:3">
      <c r="C155" s="51"/>
    </row>
    <row r="156" spans="3:3">
      <c r="C156" s="51"/>
    </row>
    <row r="157" spans="3:3">
      <c r="C157" s="51"/>
    </row>
    <row r="158" spans="3:3">
      <c r="C158" s="51"/>
    </row>
    <row r="159" spans="3:3">
      <c r="C159" s="51"/>
    </row>
    <row r="160" spans="3:3">
      <c r="C160" s="51"/>
    </row>
    <row r="161" spans="3:3">
      <c r="C161" s="51"/>
    </row>
    <row r="162" spans="3:3">
      <c r="C162" s="51"/>
    </row>
    <row r="163" spans="3:3">
      <c r="C163" s="51"/>
    </row>
    <row r="164" spans="3:3">
      <c r="C164" s="51"/>
    </row>
    <row r="165" spans="3:3">
      <c r="C165" s="51"/>
    </row>
    <row r="166" spans="3:3">
      <c r="C166" s="51"/>
    </row>
    <row r="167" spans="3:3">
      <c r="C167" s="51"/>
    </row>
    <row r="168" spans="3:3">
      <c r="C168" s="51"/>
    </row>
    <row r="169" spans="3:3">
      <c r="C169" s="51"/>
    </row>
    <row r="170" spans="3:3">
      <c r="C170" s="51"/>
    </row>
    <row r="171" spans="3:3">
      <c r="C171" s="51"/>
    </row>
    <row r="172" spans="3:3">
      <c r="C172" s="51"/>
    </row>
    <row r="173" spans="3:3">
      <c r="C173" s="51"/>
    </row>
    <row r="174" spans="3:3">
      <c r="C174" s="51"/>
    </row>
    <row r="175" spans="3:3">
      <c r="C175" s="51"/>
    </row>
    <row r="176" spans="3:3">
      <c r="C176" s="51"/>
    </row>
    <row r="177" spans="3:3">
      <c r="C177" s="51"/>
    </row>
    <row r="178" spans="3:3">
      <c r="C178" s="51"/>
    </row>
    <row r="179" spans="3:3">
      <c r="C179" s="51"/>
    </row>
    <row r="180" spans="3:3">
      <c r="C180" s="51"/>
    </row>
    <row r="181" spans="3:3">
      <c r="C181" s="51"/>
    </row>
    <row r="182" spans="3:3">
      <c r="C182" s="51"/>
    </row>
    <row r="183" spans="3:3">
      <c r="C183" s="51"/>
    </row>
    <row r="184" spans="3:3">
      <c r="C184" s="51"/>
    </row>
    <row r="185" spans="3:3">
      <c r="C185" s="51"/>
    </row>
    <row r="186" spans="3:3">
      <c r="C186" s="51"/>
    </row>
    <row r="187" spans="3:3">
      <c r="C187" s="51"/>
    </row>
    <row r="188" spans="3:3">
      <c r="C188" s="51"/>
    </row>
    <row r="189" spans="3:3">
      <c r="C189" s="51"/>
    </row>
    <row r="190" spans="3:3">
      <c r="C190" s="51"/>
    </row>
    <row r="191" spans="3:3">
      <c r="C191" s="51"/>
    </row>
    <row r="192" spans="3:3">
      <c r="C192" s="51"/>
    </row>
    <row r="193" spans="3:3">
      <c r="C193" s="51"/>
    </row>
    <row r="194" spans="3:3">
      <c r="C194" s="51"/>
    </row>
    <row r="195" spans="3:3">
      <c r="C195" s="51"/>
    </row>
    <row r="196" spans="3:3">
      <c r="C196" s="51"/>
    </row>
    <row r="197" spans="3:3">
      <c r="C197" s="51"/>
    </row>
    <row r="198" spans="3:3">
      <c r="C198" s="51"/>
    </row>
    <row r="199" spans="3:3">
      <c r="C199" s="51"/>
    </row>
    <row r="200" spans="3:3">
      <c r="C200" s="51"/>
    </row>
    <row r="201" spans="3:3">
      <c r="C201" s="51"/>
    </row>
    <row r="202" spans="3:3">
      <c r="C202" s="51"/>
    </row>
    <row r="203" spans="3:3">
      <c r="C203" s="51"/>
    </row>
    <row r="204" spans="3:3">
      <c r="C204" s="51"/>
    </row>
    <row r="205" spans="3:3">
      <c r="C205" s="51"/>
    </row>
    <row r="206" spans="3:3">
      <c r="C206" s="51"/>
    </row>
    <row r="207" spans="3:3">
      <c r="C207" s="51"/>
    </row>
    <row r="208" spans="3:3">
      <c r="C208" s="51"/>
    </row>
    <row r="209" spans="3:3">
      <c r="C209" s="51"/>
    </row>
    <row r="210" spans="3:3">
      <c r="C210" s="51"/>
    </row>
    <row r="211" spans="3:3">
      <c r="C211" s="51"/>
    </row>
    <row r="212" spans="3:3">
      <c r="C212" s="51"/>
    </row>
    <row r="213" spans="3:3">
      <c r="C213" s="51"/>
    </row>
    <row r="214" spans="3:3">
      <c r="C214" s="51"/>
    </row>
    <row r="215" spans="3:3">
      <c r="C215" s="51"/>
    </row>
    <row r="216" spans="3:3">
      <c r="C216" s="51"/>
    </row>
    <row r="217" spans="3:3">
      <c r="C217" s="51"/>
    </row>
    <row r="218" spans="3:3">
      <c r="C218" s="51"/>
    </row>
    <row r="219" spans="3:3">
      <c r="C219" s="51"/>
    </row>
    <row r="220" spans="3:3">
      <c r="C220" s="51"/>
    </row>
    <row r="221" spans="3:3">
      <c r="C221" s="51"/>
    </row>
    <row r="222" spans="3:3">
      <c r="C222" s="51"/>
    </row>
    <row r="223" spans="3:3">
      <c r="C223" s="51"/>
    </row>
    <row r="224" spans="3:3">
      <c r="C224" s="51"/>
    </row>
    <row r="225" spans="3:3">
      <c r="C225" s="51"/>
    </row>
    <row r="226" spans="3:3">
      <c r="C226" s="51"/>
    </row>
    <row r="227" spans="3:3">
      <c r="C227" s="51"/>
    </row>
    <row r="228" spans="3:3">
      <c r="C228" s="51"/>
    </row>
    <row r="229" spans="3:3">
      <c r="C229" s="51"/>
    </row>
    <row r="230" spans="3:3">
      <c r="C230" s="51"/>
    </row>
    <row r="231" spans="3:3">
      <c r="C231" s="51"/>
    </row>
    <row r="232" spans="3:3">
      <c r="C232" s="51"/>
    </row>
    <row r="233" spans="3:3">
      <c r="C233" s="51"/>
    </row>
    <row r="234" spans="3:3">
      <c r="C234" s="51"/>
    </row>
    <row r="235" spans="3:3">
      <c r="C235" s="51"/>
    </row>
    <row r="236" spans="3:3">
      <c r="C236" s="51"/>
    </row>
    <row r="237" spans="3:3">
      <c r="C237" s="51"/>
    </row>
    <row r="238" spans="3:3">
      <c r="C238" s="51"/>
    </row>
    <row r="239" spans="3:3">
      <c r="C239" s="51"/>
    </row>
    <row r="240" spans="3:3">
      <c r="C240" s="51"/>
    </row>
    <row r="241" spans="3:3">
      <c r="C241" s="51"/>
    </row>
    <row r="242" spans="3:3">
      <c r="C242" s="51"/>
    </row>
    <row r="243" spans="3:3">
      <c r="C243" s="51"/>
    </row>
    <row r="244" spans="3:3">
      <c r="C244" s="51"/>
    </row>
    <row r="245" spans="3:3">
      <c r="C245" s="51"/>
    </row>
    <row r="246" spans="3:3">
      <c r="C246" s="51"/>
    </row>
    <row r="247" spans="3:3">
      <c r="C247" s="51"/>
    </row>
    <row r="248" spans="3:3">
      <c r="C248" s="51"/>
    </row>
    <row r="249" spans="3:3">
      <c r="C249" s="51"/>
    </row>
    <row r="250" spans="3:3">
      <c r="C250" s="51"/>
    </row>
    <row r="251" spans="3:3">
      <c r="C251" s="51"/>
    </row>
    <row r="252" spans="3:3">
      <c r="C252" s="51"/>
    </row>
    <row r="253" spans="3:3">
      <c r="C253" s="51"/>
    </row>
    <row r="254" spans="3:3">
      <c r="C254" s="51"/>
    </row>
    <row r="255" spans="3:3">
      <c r="C255" s="51"/>
    </row>
    <row r="256" spans="3:3">
      <c r="C256" s="51"/>
    </row>
    <row r="257" spans="3:3">
      <c r="C257" s="51"/>
    </row>
    <row r="258" spans="3:3">
      <c r="C258" s="51"/>
    </row>
    <row r="259" spans="3:3">
      <c r="C259" s="51"/>
    </row>
    <row r="260" spans="3:3">
      <c r="C260" s="51"/>
    </row>
    <row r="261" spans="3:3">
      <c r="C261" s="51"/>
    </row>
    <row r="262" spans="3:3">
      <c r="C262" s="51"/>
    </row>
    <row r="263" spans="3:3">
      <c r="C263" s="51"/>
    </row>
    <row r="264" spans="3:3">
      <c r="C264" s="51"/>
    </row>
    <row r="265" spans="3:3">
      <c r="C265" s="51"/>
    </row>
    <row r="266" spans="3:3">
      <c r="C266" s="51"/>
    </row>
    <row r="267" spans="3:3">
      <c r="C267" s="51"/>
    </row>
    <row r="268" spans="3:3">
      <c r="C268" s="51"/>
    </row>
    <row r="269" spans="3:3">
      <c r="C269" s="51"/>
    </row>
    <row r="270" spans="3:3">
      <c r="C270" s="51"/>
    </row>
    <row r="271" spans="3:3">
      <c r="C271" s="51"/>
    </row>
    <row r="272" spans="3:3">
      <c r="C272" s="51"/>
    </row>
    <row r="273" spans="3:3">
      <c r="C273" s="51"/>
    </row>
    <row r="274" spans="3:3">
      <c r="C274" s="51"/>
    </row>
    <row r="275" spans="3:3">
      <c r="C275" s="51"/>
    </row>
    <row r="276" spans="3:3">
      <c r="C276" s="51"/>
    </row>
    <row r="277" spans="3:3">
      <c r="C277" s="51"/>
    </row>
    <row r="278" spans="3:3">
      <c r="C278" s="51"/>
    </row>
    <row r="279" spans="3:3">
      <c r="C279" s="51"/>
    </row>
    <row r="280" spans="3:3">
      <c r="C280" s="51"/>
    </row>
    <row r="281" spans="3:3">
      <c r="C281" s="51"/>
    </row>
    <row r="282" spans="3:3">
      <c r="C282" s="51"/>
    </row>
    <row r="283" spans="3:3">
      <c r="C283" s="51"/>
    </row>
    <row r="284" spans="3:3">
      <c r="C284" s="51"/>
    </row>
    <row r="285" spans="3:3">
      <c r="C285" s="51"/>
    </row>
    <row r="286" spans="3:3">
      <c r="C286" s="51"/>
    </row>
    <row r="287" spans="3:3">
      <c r="C287" s="51"/>
    </row>
    <row r="288" spans="3:3">
      <c r="C288" s="51"/>
    </row>
    <row r="289" spans="3:3">
      <c r="C289" s="51"/>
    </row>
    <row r="290" spans="3:3">
      <c r="C290" s="51"/>
    </row>
    <row r="291" spans="3:3">
      <c r="C291" s="51"/>
    </row>
    <row r="292" spans="3:3">
      <c r="C292" s="51"/>
    </row>
    <row r="293" spans="3:3">
      <c r="C293" s="51"/>
    </row>
    <row r="294" spans="3:3">
      <c r="C294" s="51"/>
    </row>
    <row r="295" spans="3:3">
      <c r="C295" s="51"/>
    </row>
    <row r="296" spans="3:3">
      <c r="C296" s="51"/>
    </row>
    <row r="297" spans="3:3">
      <c r="C297" s="51"/>
    </row>
    <row r="298" spans="3:3">
      <c r="C298" s="51"/>
    </row>
    <row r="299" spans="3:3">
      <c r="C299" s="51"/>
    </row>
    <row r="300" spans="3:3">
      <c r="C300" s="51"/>
    </row>
    <row r="301" spans="3:3">
      <c r="C301" s="51"/>
    </row>
    <row r="302" spans="3:3">
      <c r="C302" s="51"/>
    </row>
    <row r="303" spans="3:3">
      <c r="C303" s="51"/>
    </row>
    <row r="304" spans="3:3">
      <c r="C304" s="51"/>
    </row>
    <row r="305" spans="3:3">
      <c r="C305" s="51"/>
    </row>
    <row r="306" spans="3:3">
      <c r="C306" s="51"/>
    </row>
    <row r="307" spans="3:3">
      <c r="C307" s="51"/>
    </row>
    <row r="308" spans="3:3">
      <c r="C308" s="51"/>
    </row>
    <row r="309" spans="3:3">
      <c r="C309" s="51"/>
    </row>
    <row r="310" spans="3:3">
      <c r="C310" s="51"/>
    </row>
    <row r="311" spans="3:3">
      <c r="C311" s="51"/>
    </row>
    <row r="312" spans="3:3">
      <c r="C312" s="51"/>
    </row>
    <row r="313" spans="3:3">
      <c r="C313" s="51"/>
    </row>
    <row r="314" spans="3:3">
      <c r="C314" s="51"/>
    </row>
    <row r="315" spans="3:3">
      <c r="C315" s="51"/>
    </row>
    <row r="316" spans="3:3">
      <c r="C316" s="51"/>
    </row>
    <row r="317" spans="3:3">
      <c r="C317" s="51"/>
    </row>
    <row r="318" spans="3:3">
      <c r="C318" s="51"/>
    </row>
    <row r="319" spans="3:3">
      <c r="C319" s="51"/>
    </row>
    <row r="320" spans="3:3">
      <c r="C320" s="51"/>
    </row>
    <row r="321" spans="3:3">
      <c r="C321" s="51"/>
    </row>
    <row r="322" spans="3:3">
      <c r="C322" s="51"/>
    </row>
    <row r="323" spans="3:3">
      <c r="C323" s="51"/>
    </row>
    <row r="324" spans="3:3">
      <c r="C324" s="51"/>
    </row>
    <row r="325" spans="3:3">
      <c r="C325" s="51"/>
    </row>
    <row r="326" spans="3:3">
      <c r="C326" s="51"/>
    </row>
    <row r="327" spans="3:3">
      <c r="C327" s="51"/>
    </row>
    <row r="328" spans="3:3">
      <c r="C328" s="51"/>
    </row>
    <row r="329" spans="3:3">
      <c r="C329" s="51"/>
    </row>
    <row r="330" spans="3:3">
      <c r="C330" s="51"/>
    </row>
    <row r="331" spans="3:3">
      <c r="C331" s="51"/>
    </row>
    <row r="332" spans="3:3">
      <c r="C332" s="51"/>
    </row>
    <row r="333" spans="3:3">
      <c r="C333" s="51"/>
    </row>
    <row r="334" spans="3:3">
      <c r="C334" s="51"/>
    </row>
    <row r="335" spans="3:3">
      <c r="C335" s="51"/>
    </row>
    <row r="336" spans="3:3">
      <c r="C336" s="51"/>
    </row>
    <row r="337" spans="3:3">
      <c r="C337" s="51"/>
    </row>
    <row r="338" spans="3:3">
      <c r="C338" s="51"/>
    </row>
    <row r="339" spans="3:3">
      <c r="C339" s="51"/>
    </row>
    <row r="340" spans="3:3">
      <c r="C340" s="51"/>
    </row>
    <row r="341" spans="3:3">
      <c r="C341" s="51"/>
    </row>
    <row r="342" spans="3:3">
      <c r="C342" s="51"/>
    </row>
    <row r="343" spans="3:3">
      <c r="C343" s="51"/>
    </row>
    <row r="344" spans="3:3">
      <c r="C344" s="51"/>
    </row>
    <row r="345" spans="3:3">
      <c r="C345" s="51"/>
    </row>
    <row r="346" spans="3:3">
      <c r="C346" s="51"/>
    </row>
    <row r="347" spans="3:3">
      <c r="C347" s="51"/>
    </row>
    <row r="348" spans="3:3">
      <c r="C348" s="51"/>
    </row>
    <row r="349" spans="3:3">
      <c r="C349" s="51"/>
    </row>
    <row r="350" spans="3:3">
      <c r="C350" s="51"/>
    </row>
    <row r="351" spans="3:3">
      <c r="C351" s="51"/>
    </row>
    <row r="352" spans="3:3">
      <c r="C352" s="51"/>
    </row>
    <row r="353" spans="3:3">
      <c r="C353" s="51"/>
    </row>
    <row r="354" spans="3:3">
      <c r="C354" s="51"/>
    </row>
    <row r="355" spans="3:3">
      <c r="C355" s="51"/>
    </row>
    <row r="356" spans="3:3">
      <c r="C356" s="51"/>
    </row>
    <row r="357" spans="3:3">
      <c r="C357" s="51"/>
    </row>
    <row r="358" spans="3:3">
      <c r="C358" s="51"/>
    </row>
    <row r="359" spans="3:3">
      <c r="C359" s="51"/>
    </row>
    <row r="360" spans="3:3">
      <c r="C360" s="51"/>
    </row>
    <row r="361" spans="3:3">
      <c r="C361" s="51"/>
    </row>
    <row r="362" spans="3:3">
      <c r="C362" s="51"/>
    </row>
    <row r="363" spans="3:3">
      <c r="C363" s="51"/>
    </row>
    <row r="364" spans="3:3">
      <c r="C364" s="51"/>
    </row>
    <row r="365" spans="3:3">
      <c r="C365" s="51"/>
    </row>
    <row r="366" spans="3:3">
      <c r="C366" s="51"/>
    </row>
    <row r="367" spans="3:3">
      <c r="C367" s="51"/>
    </row>
    <row r="368" spans="3:3">
      <c r="C368" s="51"/>
    </row>
    <row r="369" spans="3:3">
      <c r="C369" s="51"/>
    </row>
    <row r="370" spans="3:3">
      <c r="C370" s="51"/>
    </row>
    <row r="371" spans="3:3">
      <c r="C371" s="51"/>
    </row>
    <row r="372" spans="3:3">
      <c r="C372" s="51"/>
    </row>
    <row r="373" spans="3:3">
      <c r="C373" s="51"/>
    </row>
    <row r="374" spans="3:3">
      <c r="C374" s="51"/>
    </row>
    <row r="375" spans="3:3">
      <c r="C375" s="51"/>
    </row>
    <row r="376" spans="3:3">
      <c r="C376" s="51"/>
    </row>
    <row r="377" spans="3:3">
      <c r="C377" s="51"/>
    </row>
    <row r="378" spans="3:3">
      <c r="C378" s="51"/>
    </row>
    <row r="379" spans="3:3">
      <c r="C379" s="51"/>
    </row>
    <row r="380" spans="3:3">
      <c r="C380" s="51"/>
    </row>
    <row r="381" spans="3:3">
      <c r="C381" s="51"/>
    </row>
    <row r="382" spans="3:3">
      <c r="C382" s="51"/>
    </row>
    <row r="383" spans="3:3">
      <c r="C383" s="51"/>
    </row>
    <row r="384" spans="3:3">
      <c r="C384" s="51"/>
    </row>
    <row r="385" spans="3:3">
      <c r="C385" s="51"/>
    </row>
    <row r="386" spans="3:3">
      <c r="C386" s="51"/>
    </row>
    <row r="387" spans="3:3">
      <c r="C387" s="51"/>
    </row>
    <row r="388" spans="3:3">
      <c r="C388" s="51"/>
    </row>
    <row r="389" spans="3:3">
      <c r="C389" s="51"/>
    </row>
    <row r="390" spans="3:3">
      <c r="C390" s="51"/>
    </row>
    <row r="391" spans="3:3">
      <c r="C391" s="51"/>
    </row>
    <row r="392" spans="3:3">
      <c r="C392" s="51"/>
    </row>
    <row r="393" spans="3:3">
      <c r="C393" s="51"/>
    </row>
    <row r="394" spans="3:3">
      <c r="C394" s="51"/>
    </row>
    <row r="395" spans="3:3">
      <c r="C395" s="51"/>
    </row>
    <row r="396" spans="3:3">
      <c r="C396" s="51"/>
    </row>
    <row r="397" spans="3:3">
      <c r="C397" s="51"/>
    </row>
    <row r="398" spans="3:3">
      <c r="C398" s="51"/>
    </row>
    <row r="399" spans="3:3">
      <c r="C399" s="51"/>
    </row>
    <row r="400" spans="3:3">
      <c r="C400" s="51"/>
    </row>
    <row r="401" spans="3:3">
      <c r="C401" s="51"/>
    </row>
    <row r="402" spans="3:3">
      <c r="C402" s="51"/>
    </row>
    <row r="403" spans="3:3">
      <c r="C403" s="51"/>
    </row>
    <row r="404" spans="3:3">
      <c r="C404" s="51"/>
    </row>
    <row r="405" spans="3:3">
      <c r="C405" s="51"/>
    </row>
    <row r="406" spans="3:3">
      <c r="C406" s="51"/>
    </row>
    <row r="407" spans="3:3">
      <c r="C407" s="51"/>
    </row>
    <row r="408" spans="3:3">
      <c r="C408" s="51"/>
    </row>
    <row r="409" spans="3:3">
      <c r="C409" s="51"/>
    </row>
    <row r="410" spans="3:3">
      <c r="C410" s="51"/>
    </row>
    <row r="411" spans="3:3">
      <c r="C411" s="51"/>
    </row>
    <row r="412" spans="3:3">
      <c r="C412" s="51"/>
    </row>
    <row r="413" spans="3:3">
      <c r="C413" s="51"/>
    </row>
    <row r="414" spans="3:3">
      <c r="C414" s="51"/>
    </row>
    <row r="415" spans="3:3">
      <c r="C415" s="51"/>
    </row>
    <row r="416" spans="3:3">
      <c r="C416" s="51"/>
    </row>
    <row r="417" spans="3:3">
      <c r="C417" s="51"/>
    </row>
    <row r="418" spans="3:3">
      <c r="C418" s="51"/>
    </row>
    <row r="419" spans="3:3">
      <c r="C419" s="51"/>
    </row>
    <row r="420" spans="3:3">
      <c r="C420" s="51"/>
    </row>
    <row r="421" spans="3:3">
      <c r="C421" s="51"/>
    </row>
    <row r="422" spans="3:3">
      <c r="C422" s="51"/>
    </row>
    <row r="423" spans="3:3">
      <c r="C423" s="51"/>
    </row>
    <row r="424" spans="3:3">
      <c r="C424" s="51"/>
    </row>
    <row r="425" spans="3:3">
      <c r="C425" s="51"/>
    </row>
    <row r="426" spans="3:3">
      <c r="C426" s="51"/>
    </row>
    <row r="427" spans="3:3">
      <c r="C427" s="51"/>
    </row>
    <row r="428" spans="3:3">
      <c r="C428" s="51"/>
    </row>
    <row r="429" spans="3:3">
      <c r="C429" s="51"/>
    </row>
    <row r="430" spans="3:3">
      <c r="C430" s="51"/>
    </row>
    <row r="431" spans="3:3">
      <c r="C431" s="51"/>
    </row>
    <row r="432" spans="3:3">
      <c r="C432" s="51"/>
    </row>
    <row r="433" spans="3:3">
      <c r="C433" s="51"/>
    </row>
    <row r="434" spans="3:3">
      <c r="C434" s="51"/>
    </row>
    <row r="435" spans="3:3">
      <c r="C435" s="51"/>
    </row>
    <row r="436" spans="3:3">
      <c r="C436" s="51"/>
    </row>
    <row r="437" spans="3:3">
      <c r="C437" s="51"/>
    </row>
    <row r="438" spans="3:3">
      <c r="C438" s="51"/>
    </row>
    <row r="439" spans="3:3">
      <c r="C439" s="51"/>
    </row>
    <row r="440" spans="3:3">
      <c r="C440" s="51"/>
    </row>
    <row r="441" spans="3:3">
      <c r="C441" s="51"/>
    </row>
    <row r="442" spans="3:3">
      <c r="C442" s="51"/>
    </row>
    <row r="443" spans="3:3">
      <c r="C443" s="51"/>
    </row>
    <row r="444" spans="3:3">
      <c r="C444" s="51"/>
    </row>
    <row r="445" spans="3:3">
      <c r="C445" s="51"/>
    </row>
    <row r="446" spans="3:3">
      <c r="C446" s="51"/>
    </row>
    <row r="447" spans="3:3">
      <c r="C447" s="51"/>
    </row>
    <row r="448" spans="3:3">
      <c r="C448" s="51"/>
    </row>
    <row r="449" spans="3:3">
      <c r="C449" s="51"/>
    </row>
    <row r="450" spans="3:3">
      <c r="C450" s="51"/>
    </row>
    <row r="451" spans="3:3">
      <c r="C451" s="51"/>
    </row>
    <row r="452" spans="3:3">
      <c r="C452" s="51"/>
    </row>
    <row r="453" spans="3:3">
      <c r="C453" s="51"/>
    </row>
    <row r="454" spans="3:3">
      <c r="C454" s="51"/>
    </row>
    <row r="455" spans="3:3">
      <c r="C455" s="51"/>
    </row>
    <row r="456" spans="3:3">
      <c r="C456" s="51"/>
    </row>
    <row r="457" spans="3:3">
      <c r="C457" s="51"/>
    </row>
    <row r="458" spans="3:3">
      <c r="C458" s="51"/>
    </row>
    <row r="459" spans="3:3">
      <c r="C459" s="51"/>
    </row>
    <row r="460" spans="3:3">
      <c r="C460" s="51"/>
    </row>
    <row r="461" spans="3:3">
      <c r="C461" s="51"/>
    </row>
    <row r="462" spans="3:3">
      <c r="C462" s="51"/>
    </row>
    <row r="463" spans="3:3">
      <c r="C463" s="51"/>
    </row>
    <row r="464" spans="3:3">
      <c r="C464" s="51"/>
    </row>
    <row r="465" spans="3:3">
      <c r="C465" s="51"/>
    </row>
    <row r="466" spans="3:3">
      <c r="C466" s="51"/>
    </row>
    <row r="467" spans="3:3">
      <c r="C467" s="51"/>
    </row>
    <row r="468" spans="3:3">
      <c r="C468" s="51"/>
    </row>
    <row r="469" spans="3:3">
      <c r="C469" s="51"/>
    </row>
    <row r="470" spans="3:3">
      <c r="C470" s="51"/>
    </row>
    <row r="471" spans="3:3">
      <c r="C471" s="51"/>
    </row>
    <row r="472" spans="3:3">
      <c r="C472" s="51"/>
    </row>
    <row r="473" spans="3:3">
      <c r="C473" s="51"/>
    </row>
    <row r="474" spans="3:3">
      <c r="C474" s="51"/>
    </row>
    <row r="475" spans="3:3">
      <c r="C475" s="51"/>
    </row>
    <row r="476" spans="3:3">
      <c r="C476" s="51"/>
    </row>
    <row r="477" spans="3:3">
      <c r="C477" s="51"/>
    </row>
    <row r="478" spans="3:3">
      <c r="C478" s="51"/>
    </row>
    <row r="479" spans="3:3">
      <c r="C479" s="51"/>
    </row>
    <row r="480" spans="3:3">
      <c r="C480" s="51"/>
    </row>
    <row r="481" spans="3:3">
      <c r="C481" s="51"/>
    </row>
    <row r="482" spans="3:3">
      <c r="C482" s="51"/>
    </row>
    <row r="483" spans="3:3">
      <c r="C483" s="51"/>
    </row>
    <row r="484" spans="3:3">
      <c r="C484" s="51"/>
    </row>
    <row r="485" spans="3:3">
      <c r="C485" s="51"/>
    </row>
    <row r="486" spans="3:3">
      <c r="C486" s="51"/>
    </row>
    <row r="487" spans="3:3">
      <c r="C487" s="51"/>
    </row>
    <row r="488" spans="3:3">
      <c r="C488" s="51"/>
    </row>
    <row r="489" spans="3:3">
      <c r="C489" s="51"/>
    </row>
    <row r="490" spans="3:3">
      <c r="C490" s="51"/>
    </row>
    <row r="491" spans="3:3">
      <c r="C491" s="51"/>
    </row>
    <row r="492" spans="3:3">
      <c r="C492" s="51"/>
    </row>
    <row r="493" spans="3:3">
      <c r="C493" s="51"/>
    </row>
    <row r="494" spans="3:3">
      <c r="C494" s="51"/>
    </row>
    <row r="495" spans="3:3">
      <c r="C495" s="51"/>
    </row>
    <row r="496" spans="3:3">
      <c r="C496" s="51"/>
    </row>
    <row r="497" spans="3:3">
      <c r="C497" s="51"/>
    </row>
    <row r="498" spans="3:3">
      <c r="C498" s="51"/>
    </row>
    <row r="499" spans="3:3">
      <c r="C499" s="51"/>
    </row>
    <row r="500" spans="3:3">
      <c r="C500" s="51"/>
    </row>
    <row r="501" spans="3:3">
      <c r="C501" s="51"/>
    </row>
    <row r="502" spans="3:3">
      <c r="C502" s="51"/>
    </row>
    <row r="503" spans="3:3">
      <c r="C503" s="51"/>
    </row>
    <row r="504" spans="3:3">
      <c r="C504" s="51"/>
    </row>
    <row r="505" spans="3:3">
      <c r="C505" s="51"/>
    </row>
    <row r="506" spans="3:3">
      <c r="C506" s="51"/>
    </row>
    <row r="507" spans="3:3">
      <c r="C507" s="51"/>
    </row>
    <row r="508" spans="3:3">
      <c r="C508" s="51"/>
    </row>
    <row r="509" spans="3:3">
      <c r="C509" s="51"/>
    </row>
    <row r="510" spans="3:3">
      <c r="C510" s="51"/>
    </row>
    <row r="511" spans="3:3">
      <c r="C511" s="51"/>
    </row>
    <row r="512" spans="3:3">
      <c r="C512" s="51"/>
    </row>
    <row r="513" spans="3:3">
      <c r="C513" s="51"/>
    </row>
    <row r="514" spans="3:3">
      <c r="C514" s="51"/>
    </row>
    <row r="515" spans="3:3">
      <c r="C515" s="51"/>
    </row>
    <row r="516" spans="3:3">
      <c r="C516" s="51"/>
    </row>
    <row r="517" spans="3:3">
      <c r="C517" s="51"/>
    </row>
    <row r="518" spans="3:3">
      <c r="C518" s="51"/>
    </row>
    <row r="519" spans="3:3">
      <c r="C519" s="51"/>
    </row>
    <row r="520" spans="3:3">
      <c r="C520" s="51"/>
    </row>
    <row r="521" spans="3:3">
      <c r="C521" s="51"/>
    </row>
    <row r="522" spans="3:3">
      <c r="C522" s="51"/>
    </row>
    <row r="523" spans="3:3">
      <c r="C523" s="51"/>
    </row>
    <row r="524" spans="3:3">
      <c r="C524" s="51"/>
    </row>
    <row r="525" spans="3:3">
      <c r="C525" s="51"/>
    </row>
    <row r="526" spans="3:3">
      <c r="C526" s="51"/>
    </row>
    <row r="527" spans="3:3">
      <c r="C527" s="51"/>
    </row>
    <row r="528" spans="3:3">
      <c r="C528" s="51"/>
    </row>
    <row r="529" spans="3:3">
      <c r="C529" s="51"/>
    </row>
    <row r="530" spans="3:3">
      <c r="C530" s="51"/>
    </row>
    <row r="531" spans="3:3">
      <c r="C531" s="51"/>
    </row>
    <row r="532" spans="3:3">
      <c r="C532" s="51"/>
    </row>
    <row r="533" spans="3:3">
      <c r="C533" s="51"/>
    </row>
    <row r="534" spans="3:3">
      <c r="C534" s="51"/>
    </row>
    <row r="535" spans="3:3">
      <c r="C535" s="51"/>
    </row>
    <row r="536" spans="3:3">
      <c r="C536" s="51"/>
    </row>
    <row r="537" spans="3:3">
      <c r="C537" s="51"/>
    </row>
    <row r="538" spans="3:3">
      <c r="C538" s="51"/>
    </row>
    <row r="539" spans="3:3">
      <c r="C539" s="51"/>
    </row>
    <row r="540" spans="3:3">
      <c r="C540" s="51"/>
    </row>
    <row r="541" spans="3:3">
      <c r="C541" s="51"/>
    </row>
    <row r="542" spans="3:3">
      <c r="C542" s="51"/>
    </row>
    <row r="543" spans="3:3">
      <c r="C543" s="51"/>
    </row>
    <row r="544" spans="3:3">
      <c r="C544" s="51"/>
    </row>
    <row r="545" spans="3:3">
      <c r="C545" s="51"/>
    </row>
    <row r="546" spans="3:3">
      <c r="C546" s="51"/>
    </row>
    <row r="547" spans="3:3">
      <c r="C547" s="51"/>
    </row>
    <row r="548" spans="3:3">
      <c r="C548" s="51"/>
    </row>
    <row r="549" spans="3:3">
      <c r="C549" s="51"/>
    </row>
    <row r="550" spans="3:3">
      <c r="C550" s="51"/>
    </row>
    <row r="551" spans="3:3">
      <c r="C551" s="51"/>
    </row>
    <row r="552" spans="3:3">
      <c r="C552" s="51"/>
    </row>
    <row r="553" spans="3:3">
      <c r="C553" s="51"/>
    </row>
    <row r="554" spans="3:3">
      <c r="C554" s="51"/>
    </row>
    <row r="555" spans="3:3">
      <c r="C555" s="51"/>
    </row>
    <row r="556" spans="3:3">
      <c r="C556" s="51"/>
    </row>
    <row r="557" spans="3:3">
      <c r="C557" s="51"/>
    </row>
    <row r="558" spans="3:3">
      <c r="C558" s="51"/>
    </row>
    <row r="559" spans="3:3">
      <c r="C559" s="51"/>
    </row>
    <row r="560" spans="3:3">
      <c r="C560" s="51"/>
    </row>
    <row r="561" spans="3:3">
      <c r="C561" s="51"/>
    </row>
    <row r="562" spans="3:3">
      <c r="C562" s="51"/>
    </row>
    <row r="563" spans="3:3">
      <c r="C563" s="51"/>
    </row>
    <row r="564" spans="3:3">
      <c r="C564" s="51"/>
    </row>
    <row r="565" spans="3:3">
      <c r="C565" s="51"/>
    </row>
    <row r="566" spans="3:3">
      <c r="C566" s="51"/>
    </row>
    <row r="567" spans="3:3">
      <c r="C567" s="51"/>
    </row>
    <row r="568" spans="3:3">
      <c r="C568" s="51"/>
    </row>
    <row r="569" spans="3:3">
      <c r="C569" s="51"/>
    </row>
    <row r="570" spans="3:3">
      <c r="C570" s="51"/>
    </row>
    <row r="571" spans="3:3">
      <c r="C571" s="51"/>
    </row>
    <row r="572" spans="3:3">
      <c r="C572" s="51"/>
    </row>
    <row r="573" spans="3:3">
      <c r="C573" s="51"/>
    </row>
    <row r="574" spans="3:3">
      <c r="C574" s="51"/>
    </row>
    <row r="575" spans="3:3">
      <c r="C575" s="51"/>
    </row>
    <row r="576" spans="3:3">
      <c r="C576" s="51"/>
    </row>
    <row r="577" spans="3:3">
      <c r="C577" s="51"/>
    </row>
    <row r="578" spans="3:3">
      <c r="C578" s="51"/>
    </row>
    <row r="579" spans="3:3">
      <c r="C579" s="51"/>
    </row>
    <row r="580" spans="3:3">
      <c r="C580" s="51"/>
    </row>
    <row r="581" spans="3:3">
      <c r="C581" s="51"/>
    </row>
    <row r="582" spans="3:3">
      <c r="C582" s="51"/>
    </row>
    <row r="583" spans="3:3">
      <c r="C583" s="51"/>
    </row>
    <row r="584" spans="3:3">
      <c r="C584" s="51"/>
    </row>
    <row r="585" spans="3:3">
      <c r="C585" s="51"/>
    </row>
    <row r="586" spans="3:3">
      <c r="C586" s="51"/>
    </row>
    <row r="587" spans="3:3">
      <c r="C587" s="51"/>
    </row>
    <row r="588" spans="3:3">
      <c r="C588" s="51"/>
    </row>
    <row r="589" spans="3:3">
      <c r="C589" s="51"/>
    </row>
    <row r="590" spans="3:3">
      <c r="C590" s="51"/>
    </row>
    <row r="591" spans="3:3">
      <c r="C591" s="51"/>
    </row>
    <row r="592" spans="3:3">
      <c r="C592" s="51"/>
    </row>
    <row r="593" spans="3:3">
      <c r="C593" s="51"/>
    </row>
    <row r="594" spans="3:3">
      <c r="C594" s="51"/>
    </row>
    <row r="595" spans="3:3">
      <c r="C595" s="51"/>
    </row>
    <row r="596" spans="3:3">
      <c r="C596" s="51"/>
    </row>
    <row r="597" spans="3:3">
      <c r="C597" s="51"/>
    </row>
  </sheetData>
  <phoneticPr fontId="91" type="noConversion"/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6094"/>
  <sheetViews>
    <sheetView zoomScaleNormal="100" workbookViewId="0">
      <pane ySplit="1" topLeftCell="A17" activePane="bottomLeft" state="frozen"/>
      <selection pane="bottomLeft" activeCell="H1" sqref="H1"/>
    </sheetView>
  </sheetViews>
  <sheetFormatPr defaultColWidth="8.8984375" defaultRowHeight="13.2"/>
  <cols>
    <col min="1" max="1" width="2.3984375" style="4" customWidth="1"/>
    <col min="2" max="2" width="17.296875" style="4" customWidth="1"/>
    <col min="3" max="3" width="12.296875" style="4" customWidth="1"/>
    <col min="4" max="4" width="8.59765625" style="29" customWidth="1"/>
    <col min="5" max="5" width="8.09765625" style="30" customWidth="1"/>
    <col min="6" max="6" width="8.59765625" style="29" customWidth="1"/>
    <col min="7" max="7" width="10.296875" style="46" bestFit="1" customWidth="1"/>
    <col min="8" max="8" width="29.3984375" style="4" bestFit="1" customWidth="1"/>
    <col min="9" max="9" width="11.296875" style="29" customWidth="1"/>
    <col min="10" max="10" width="5.796875" style="29" customWidth="1"/>
    <col min="11" max="11" width="9" style="31" customWidth="1"/>
    <col min="12" max="12" width="8.3984375" style="26" customWidth="1"/>
    <col min="13" max="13" width="8.8984375" style="4"/>
    <col min="14" max="14" width="10.796875" style="4" customWidth="1"/>
    <col min="15" max="16384" width="8.8984375" style="4"/>
  </cols>
  <sheetData>
    <row r="1" spans="1:20" s="40" customFormat="1">
      <c r="A1" s="40" t="s">
        <v>0</v>
      </c>
      <c r="B1" s="40" t="s">
        <v>346</v>
      </c>
      <c r="C1" s="40" t="s">
        <v>1</v>
      </c>
      <c r="D1" s="41" t="s">
        <v>355</v>
      </c>
      <c r="E1" s="42" t="s">
        <v>356</v>
      </c>
      <c r="F1" s="41" t="s">
        <v>357</v>
      </c>
      <c r="G1" s="43" t="s">
        <v>600</v>
      </c>
      <c r="H1" s="40" t="s">
        <v>3</v>
      </c>
      <c r="I1" s="41" t="s">
        <v>358</v>
      </c>
      <c r="J1" s="41" t="s">
        <v>349</v>
      </c>
      <c r="K1" s="44" t="s">
        <v>4</v>
      </c>
      <c r="L1" s="45" t="s">
        <v>5</v>
      </c>
      <c r="M1" s="40" t="s">
        <v>6</v>
      </c>
      <c r="N1" s="40" t="s">
        <v>7</v>
      </c>
      <c r="O1" s="40" t="s">
        <v>8</v>
      </c>
      <c r="P1" s="40" t="s">
        <v>9</v>
      </c>
      <c r="Q1" s="40" t="s">
        <v>10</v>
      </c>
      <c r="R1" s="40" t="s">
        <v>11</v>
      </c>
      <c r="S1" s="40" t="s">
        <v>12</v>
      </c>
      <c r="T1" s="40" t="s">
        <v>13</v>
      </c>
    </row>
    <row r="2" spans="1:20">
      <c r="B2" s="4" t="e">
        <f t="shared" ref="B2:B65" si="0">F2&amp;I2</f>
        <v>#REF!</v>
      </c>
      <c r="C2" s="4" t="e">
        <f>'Raw data'!#REF!</f>
        <v>#REF!</v>
      </c>
      <c r="D2" s="29" t="e">
        <f>VLOOKUP(C2,'점포코드 '!A:B,2,0)</f>
        <v>#REF!</v>
      </c>
      <c r="E2" s="30" t="e">
        <f>'Raw data'!#REF!</f>
        <v>#REF!</v>
      </c>
      <c r="F2" s="29" t="e">
        <f>VLOOKUP(E2,'점포코드 '!$A$2:$C$247,2,0)</f>
        <v>#REF!</v>
      </c>
      <c r="G2" s="46" t="e">
        <f>'Raw data'!#REF!</f>
        <v>#REF!</v>
      </c>
      <c r="H2" s="4" t="e">
        <f>'Raw data'!#REF!</f>
        <v>#REF!</v>
      </c>
      <c r="I2" s="29" t="e">
        <f>VLOOKUP(G2,제품명!$C$1:$E$114,2,0)</f>
        <v>#REF!</v>
      </c>
      <c r="J2" s="29" t="e">
        <f>'Raw data'!#REF!</f>
        <v>#REF!</v>
      </c>
      <c r="K2" s="31" t="e">
        <f>'Raw data'!#REF!</f>
        <v>#REF!</v>
      </c>
      <c r="L2" s="26" t="e">
        <f t="shared" ref="L2" si="1">J2*K2</f>
        <v>#REF!</v>
      </c>
    </row>
    <row r="3" spans="1:20">
      <c r="B3" s="4" t="e">
        <f t="shared" si="0"/>
        <v>#REF!</v>
      </c>
      <c r="C3" s="4" t="e">
        <f>'Raw data'!#REF!</f>
        <v>#REF!</v>
      </c>
      <c r="D3" s="29" t="e">
        <f>VLOOKUP(C3,'점포코드 '!A:B,2,0)</f>
        <v>#REF!</v>
      </c>
      <c r="E3" s="30" t="e">
        <f>'Raw data'!#REF!</f>
        <v>#REF!</v>
      </c>
      <c r="F3" s="29" t="e">
        <f>VLOOKUP(E3,'점포코드 '!$A$2:$C$247,2,0)</f>
        <v>#REF!</v>
      </c>
      <c r="G3" s="46" t="e">
        <f>'Raw data'!#REF!</f>
        <v>#REF!</v>
      </c>
      <c r="H3" s="4" t="e">
        <f>'Raw data'!#REF!</f>
        <v>#REF!</v>
      </c>
      <c r="I3" s="29" t="e">
        <f>VLOOKUP(G3,제품명!$C$1:$E$114,2,0)</f>
        <v>#REF!</v>
      </c>
      <c r="J3" s="29" t="e">
        <f>'Raw data'!#REF!</f>
        <v>#REF!</v>
      </c>
      <c r="K3" s="31" t="e">
        <f>'Raw data'!#REF!</f>
        <v>#REF!</v>
      </c>
      <c r="L3" s="26" t="e">
        <f t="shared" ref="L3:L66" si="2">J3*K3</f>
        <v>#REF!</v>
      </c>
    </row>
    <row r="4" spans="1:20">
      <c r="B4" s="4" t="e">
        <f t="shared" si="0"/>
        <v>#REF!</v>
      </c>
      <c r="C4" s="4" t="e">
        <f>'Raw data'!#REF!</f>
        <v>#REF!</v>
      </c>
      <c r="D4" s="29" t="e">
        <f>VLOOKUP(C4,'점포코드 '!A:B,2,0)</f>
        <v>#REF!</v>
      </c>
      <c r="E4" s="30" t="e">
        <f>'Raw data'!#REF!</f>
        <v>#REF!</v>
      </c>
      <c r="F4" s="29" t="e">
        <f>VLOOKUP(E4,'점포코드 '!$A$2:$C$247,2,0)</f>
        <v>#REF!</v>
      </c>
      <c r="G4" s="46" t="e">
        <f>'Raw data'!#REF!</f>
        <v>#REF!</v>
      </c>
      <c r="H4" s="4" t="e">
        <f>'Raw data'!#REF!</f>
        <v>#REF!</v>
      </c>
      <c r="I4" s="29" t="e">
        <f>VLOOKUP(G4,제품명!$C$1:$E$114,2,0)</f>
        <v>#REF!</v>
      </c>
      <c r="J4" s="29" t="e">
        <f>'Raw data'!#REF!</f>
        <v>#REF!</v>
      </c>
      <c r="K4" s="31" t="e">
        <f>'Raw data'!#REF!</f>
        <v>#REF!</v>
      </c>
      <c r="L4" s="26" t="e">
        <f t="shared" si="2"/>
        <v>#REF!</v>
      </c>
    </row>
    <row r="5" spans="1:20">
      <c r="B5" s="4" t="e">
        <f t="shared" si="0"/>
        <v>#REF!</v>
      </c>
      <c r="C5" s="4" t="e">
        <f>'Raw data'!#REF!</f>
        <v>#REF!</v>
      </c>
      <c r="D5" s="29" t="e">
        <f>VLOOKUP(C5,'점포코드 '!A:B,2,0)</f>
        <v>#REF!</v>
      </c>
      <c r="E5" s="30" t="e">
        <f>'Raw data'!#REF!</f>
        <v>#REF!</v>
      </c>
      <c r="F5" s="29" t="e">
        <f>VLOOKUP(E5,'점포코드 '!$A$2:$C$247,2,0)</f>
        <v>#REF!</v>
      </c>
      <c r="G5" s="46" t="e">
        <f>'Raw data'!#REF!</f>
        <v>#REF!</v>
      </c>
      <c r="H5" s="4" t="e">
        <f>'Raw data'!#REF!</f>
        <v>#REF!</v>
      </c>
      <c r="I5" s="29" t="e">
        <f>VLOOKUP(G5,제품명!$C$1:$E$114,2,0)</f>
        <v>#REF!</v>
      </c>
      <c r="J5" s="29" t="e">
        <f>'Raw data'!#REF!</f>
        <v>#REF!</v>
      </c>
      <c r="K5" s="31" t="e">
        <f>'Raw data'!#REF!</f>
        <v>#REF!</v>
      </c>
      <c r="L5" s="26" t="e">
        <f t="shared" si="2"/>
        <v>#REF!</v>
      </c>
    </row>
    <row r="6" spans="1:20">
      <c r="B6" s="4" t="e">
        <f t="shared" si="0"/>
        <v>#REF!</v>
      </c>
      <c r="C6" s="4" t="e">
        <f>'Raw data'!#REF!</f>
        <v>#REF!</v>
      </c>
      <c r="D6" s="29" t="e">
        <f>VLOOKUP(C6,'점포코드 '!A:B,2,0)</f>
        <v>#REF!</v>
      </c>
      <c r="E6" s="30" t="e">
        <f>'Raw data'!#REF!</f>
        <v>#REF!</v>
      </c>
      <c r="F6" s="29" t="e">
        <f>VLOOKUP(E6,'점포코드 '!$A$2:$C$247,2,0)</f>
        <v>#REF!</v>
      </c>
      <c r="G6" s="46" t="e">
        <f>'Raw data'!#REF!</f>
        <v>#REF!</v>
      </c>
      <c r="H6" s="4" t="e">
        <f>'Raw data'!#REF!</f>
        <v>#REF!</v>
      </c>
      <c r="I6" s="29" t="e">
        <f>VLOOKUP(G6,제품명!$C$1:$E$114,2,0)</f>
        <v>#REF!</v>
      </c>
      <c r="J6" s="29" t="e">
        <f>'Raw data'!#REF!</f>
        <v>#REF!</v>
      </c>
      <c r="K6" s="31" t="e">
        <f>'Raw data'!#REF!</f>
        <v>#REF!</v>
      </c>
      <c r="L6" s="26" t="e">
        <f t="shared" si="2"/>
        <v>#REF!</v>
      </c>
    </row>
    <row r="7" spans="1:20">
      <c r="B7" s="4" t="e">
        <f t="shared" si="0"/>
        <v>#REF!</v>
      </c>
      <c r="C7" s="4" t="e">
        <f>'Raw data'!#REF!</f>
        <v>#REF!</v>
      </c>
      <c r="D7" s="29" t="e">
        <f>VLOOKUP(C7,'점포코드 '!A:B,2,0)</f>
        <v>#REF!</v>
      </c>
      <c r="E7" s="30" t="e">
        <f>'Raw data'!#REF!</f>
        <v>#REF!</v>
      </c>
      <c r="F7" s="29" t="e">
        <f>VLOOKUP(E7,'점포코드 '!$A$2:$C$247,2,0)</f>
        <v>#REF!</v>
      </c>
      <c r="G7" s="46" t="e">
        <f>'Raw data'!#REF!</f>
        <v>#REF!</v>
      </c>
      <c r="H7" s="4" t="e">
        <f>'Raw data'!#REF!</f>
        <v>#REF!</v>
      </c>
      <c r="I7" s="29" t="e">
        <f>VLOOKUP(G7,제품명!$C$1:$E$114,2,0)</f>
        <v>#REF!</v>
      </c>
      <c r="J7" s="29" t="e">
        <f>'Raw data'!#REF!</f>
        <v>#REF!</v>
      </c>
      <c r="K7" s="31" t="e">
        <f>'Raw data'!#REF!</f>
        <v>#REF!</v>
      </c>
      <c r="L7" s="26" t="e">
        <f t="shared" si="2"/>
        <v>#REF!</v>
      </c>
    </row>
    <row r="8" spans="1:20">
      <c r="B8" s="4" t="e">
        <f t="shared" si="0"/>
        <v>#REF!</v>
      </c>
      <c r="C8" s="4" t="e">
        <f>'Raw data'!#REF!</f>
        <v>#REF!</v>
      </c>
      <c r="D8" s="29" t="e">
        <f>VLOOKUP(C8,'점포코드 '!A:B,2,0)</f>
        <v>#REF!</v>
      </c>
      <c r="E8" s="30" t="e">
        <f>'Raw data'!#REF!</f>
        <v>#REF!</v>
      </c>
      <c r="F8" s="29" t="e">
        <f>VLOOKUP(E8,'점포코드 '!$A$2:$C$247,2,0)</f>
        <v>#REF!</v>
      </c>
      <c r="G8" s="46" t="e">
        <f>'Raw data'!#REF!</f>
        <v>#REF!</v>
      </c>
      <c r="H8" s="4" t="e">
        <f>'Raw data'!#REF!</f>
        <v>#REF!</v>
      </c>
      <c r="I8" s="29" t="e">
        <f>VLOOKUP(G8,제품명!$C$1:$E$114,2,0)</f>
        <v>#REF!</v>
      </c>
      <c r="J8" s="29" t="e">
        <f>'Raw data'!#REF!</f>
        <v>#REF!</v>
      </c>
      <c r="K8" s="31" t="e">
        <f>'Raw data'!#REF!</f>
        <v>#REF!</v>
      </c>
      <c r="L8" s="26" t="e">
        <f t="shared" si="2"/>
        <v>#REF!</v>
      </c>
    </row>
    <row r="9" spans="1:20">
      <c r="B9" s="4" t="e">
        <f t="shared" si="0"/>
        <v>#REF!</v>
      </c>
      <c r="C9" s="4" t="e">
        <f>'Raw data'!#REF!</f>
        <v>#REF!</v>
      </c>
      <c r="D9" s="29" t="e">
        <f>VLOOKUP(C9,'점포코드 '!A:B,2,0)</f>
        <v>#REF!</v>
      </c>
      <c r="E9" s="30" t="e">
        <f>'Raw data'!#REF!</f>
        <v>#REF!</v>
      </c>
      <c r="F9" s="29" t="e">
        <f>VLOOKUP(E9,'점포코드 '!$A$2:$C$247,2,0)</f>
        <v>#REF!</v>
      </c>
      <c r="G9" s="46" t="e">
        <f>'Raw data'!#REF!</f>
        <v>#REF!</v>
      </c>
      <c r="H9" s="4" t="e">
        <f>'Raw data'!#REF!</f>
        <v>#REF!</v>
      </c>
      <c r="I9" s="29" t="e">
        <f>VLOOKUP(G9,제품명!$C$1:$E$114,2,0)</f>
        <v>#REF!</v>
      </c>
      <c r="J9" s="29" t="e">
        <f>'Raw data'!#REF!</f>
        <v>#REF!</v>
      </c>
      <c r="K9" s="31" t="e">
        <f>'Raw data'!#REF!</f>
        <v>#REF!</v>
      </c>
      <c r="L9" s="26" t="e">
        <f t="shared" si="2"/>
        <v>#REF!</v>
      </c>
    </row>
    <row r="10" spans="1:20">
      <c r="B10" s="4" t="e">
        <f t="shared" si="0"/>
        <v>#REF!</v>
      </c>
      <c r="C10" s="4" t="e">
        <f>'Raw data'!#REF!</f>
        <v>#REF!</v>
      </c>
      <c r="D10" s="29" t="e">
        <f>VLOOKUP(C10,'점포코드 '!A:B,2,0)</f>
        <v>#REF!</v>
      </c>
      <c r="E10" s="30" t="e">
        <f>'Raw data'!#REF!</f>
        <v>#REF!</v>
      </c>
      <c r="F10" s="29" t="e">
        <f>VLOOKUP(E10,'점포코드 '!$A$2:$C$247,2,0)</f>
        <v>#REF!</v>
      </c>
      <c r="G10" s="46" t="e">
        <f>'Raw data'!#REF!</f>
        <v>#REF!</v>
      </c>
      <c r="H10" s="4" t="e">
        <f>'Raw data'!#REF!</f>
        <v>#REF!</v>
      </c>
      <c r="I10" s="29" t="e">
        <f>VLOOKUP(G10,제품명!$C$1:$E$114,2,0)</f>
        <v>#REF!</v>
      </c>
      <c r="J10" s="29" t="e">
        <f>'Raw data'!#REF!</f>
        <v>#REF!</v>
      </c>
      <c r="K10" s="31" t="e">
        <f>'Raw data'!#REF!</f>
        <v>#REF!</v>
      </c>
      <c r="L10" s="26" t="e">
        <f t="shared" si="2"/>
        <v>#REF!</v>
      </c>
    </row>
    <row r="11" spans="1:20">
      <c r="B11" s="4" t="e">
        <f t="shared" si="0"/>
        <v>#REF!</v>
      </c>
      <c r="C11" s="4" t="e">
        <f>'Raw data'!#REF!</f>
        <v>#REF!</v>
      </c>
      <c r="D11" s="29" t="e">
        <f>VLOOKUP(C11,'점포코드 '!A:B,2,0)</f>
        <v>#REF!</v>
      </c>
      <c r="E11" s="30" t="e">
        <f>'Raw data'!#REF!</f>
        <v>#REF!</v>
      </c>
      <c r="F11" s="29" t="e">
        <f>VLOOKUP(E11,'점포코드 '!$A$2:$C$247,2,0)</f>
        <v>#REF!</v>
      </c>
      <c r="G11" s="46" t="e">
        <f>'Raw data'!#REF!</f>
        <v>#REF!</v>
      </c>
      <c r="H11" s="4" t="e">
        <f>'Raw data'!#REF!</f>
        <v>#REF!</v>
      </c>
      <c r="I11" s="29" t="e">
        <f>VLOOKUP(G11,제품명!$C$1:$E$114,2,0)</f>
        <v>#REF!</v>
      </c>
      <c r="J11" s="29" t="e">
        <f>'Raw data'!#REF!</f>
        <v>#REF!</v>
      </c>
      <c r="K11" s="31" t="e">
        <f>'Raw data'!#REF!</f>
        <v>#REF!</v>
      </c>
      <c r="L11" s="26" t="e">
        <f t="shared" si="2"/>
        <v>#REF!</v>
      </c>
    </row>
    <row r="12" spans="1:20">
      <c r="B12" s="4" t="e">
        <f t="shared" si="0"/>
        <v>#REF!</v>
      </c>
      <c r="C12" s="4" t="e">
        <f>'Raw data'!#REF!</f>
        <v>#REF!</v>
      </c>
      <c r="D12" s="29" t="e">
        <f>VLOOKUP(C12,'점포코드 '!A:B,2,0)</f>
        <v>#REF!</v>
      </c>
      <c r="E12" s="30" t="e">
        <f>'Raw data'!#REF!</f>
        <v>#REF!</v>
      </c>
      <c r="F12" s="29" t="e">
        <f>VLOOKUP(E12,'점포코드 '!$A$2:$C$247,2,0)</f>
        <v>#REF!</v>
      </c>
      <c r="G12" s="46" t="e">
        <f>'Raw data'!#REF!</f>
        <v>#REF!</v>
      </c>
      <c r="H12" s="4" t="e">
        <f>'Raw data'!#REF!</f>
        <v>#REF!</v>
      </c>
      <c r="I12" s="29" t="e">
        <f>VLOOKUP(G12,제품명!$C$1:$E$114,2,0)</f>
        <v>#REF!</v>
      </c>
      <c r="J12" s="29" t="e">
        <f>'Raw data'!#REF!</f>
        <v>#REF!</v>
      </c>
      <c r="K12" s="31" t="e">
        <f>'Raw data'!#REF!</f>
        <v>#REF!</v>
      </c>
      <c r="L12" s="26" t="e">
        <f t="shared" si="2"/>
        <v>#REF!</v>
      </c>
    </row>
    <row r="13" spans="1:20">
      <c r="B13" s="4" t="e">
        <f t="shared" si="0"/>
        <v>#REF!</v>
      </c>
      <c r="C13" s="4" t="e">
        <f>'Raw data'!#REF!</f>
        <v>#REF!</v>
      </c>
      <c r="D13" s="29" t="e">
        <f>VLOOKUP(C13,'점포코드 '!A:B,2,0)</f>
        <v>#REF!</v>
      </c>
      <c r="E13" s="30" t="e">
        <f>'Raw data'!#REF!</f>
        <v>#REF!</v>
      </c>
      <c r="F13" s="29" t="e">
        <f>VLOOKUP(E13,'점포코드 '!$A$2:$C$247,2,0)</f>
        <v>#REF!</v>
      </c>
      <c r="G13" s="46" t="e">
        <f>'Raw data'!#REF!</f>
        <v>#REF!</v>
      </c>
      <c r="H13" s="4" t="e">
        <f>'Raw data'!#REF!</f>
        <v>#REF!</v>
      </c>
      <c r="I13" s="29" t="e">
        <f>VLOOKUP(G13,제품명!$C$1:$E$114,2,0)</f>
        <v>#REF!</v>
      </c>
      <c r="J13" s="29" t="e">
        <f>'Raw data'!#REF!</f>
        <v>#REF!</v>
      </c>
      <c r="K13" s="31" t="e">
        <f>'Raw data'!#REF!</f>
        <v>#REF!</v>
      </c>
      <c r="L13" s="26" t="e">
        <f t="shared" si="2"/>
        <v>#REF!</v>
      </c>
    </row>
    <row r="14" spans="1:20">
      <c r="B14" s="4" t="e">
        <f t="shared" si="0"/>
        <v>#REF!</v>
      </c>
      <c r="C14" s="4" t="e">
        <f>'Raw data'!#REF!</f>
        <v>#REF!</v>
      </c>
      <c r="D14" s="29" t="e">
        <f>VLOOKUP(C14,'점포코드 '!A:B,2,0)</f>
        <v>#REF!</v>
      </c>
      <c r="E14" s="30" t="e">
        <f>'Raw data'!#REF!</f>
        <v>#REF!</v>
      </c>
      <c r="F14" s="29" t="e">
        <f>VLOOKUP(E14,'점포코드 '!$A$2:$C$247,2,0)</f>
        <v>#REF!</v>
      </c>
      <c r="G14" s="46" t="e">
        <f>'Raw data'!#REF!</f>
        <v>#REF!</v>
      </c>
      <c r="H14" s="4" t="e">
        <f>'Raw data'!#REF!</f>
        <v>#REF!</v>
      </c>
      <c r="I14" s="29" t="e">
        <f>VLOOKUP(G14,제품명!$C$1:$E$114,2,0)</f>
        <v>#REF!</v>
      </c>
      <c r="J14" s="29" t="e">
        <f>'Raw data'!#REF!</f>
        <v>#REF!</v>
      </c>
      <c r="K14" s="31" t="e">
        <f>'Raw data'!#REF!</f>
        <v>#REF!</v>
      </c>
      <c r="L14" s="26" t="e">
        <f t="shared" si="2"/>
        <v>#REF!</v>
      </c>
    </row>
    <row r="15" spans="1:20">
      <c r="B15" s="4" t="e">
        <f t="shared" si="0"/>
        <v>#REF!</v>
      </c>
      <c r="C15" s="4" t="e">
        <f>'Raw data'!#REF!</f>
        <v>#REF!</v>
      </c>
      <c r="D15" s="29" t="e">
        <f>VLOOKUP(C15,'점포코드 '!A:B,2,0)</f>
        <v>#REF!</v>
      </c>
      <c r="E15" s="30" t="e">
        <f>'Raw data'!#REF!</f>
        <v>#REF!</v>
      </c>
      <c r="F15" s="29" t="e">
        <f>VLOOKUP(E15,'점포코드 '!$A$2:$C$247,2,0)</f>
        <v>#REF!</v>
      </c>
      <c r="G15" s="46" t="e">
        <f>'Raw data'!#REF!</f>
        <v>#REF!</v>
      </c>
      <c r="H15" s="4" t="e">
        <f>'Raw data'!#REF!</f>
        <v>#REF!</v>
      </c>
      <c r="I15" s="29" t="e">
        <f>VLOOKUP(G15,제품명!$C$1:$E$114,2,0)</f>
        <v>#REF!</v>
      </c>
      <c r="J15" s="29" t="e">
        <f>'Raw data'!#REF!</f>
        <v>#REF!</v>
      </c>
      <c r="K15" s="31" t="e">
        <f>'Raw data'!#REF!</f>
        <v>#REF!</v>
      </c>
      <c r="L15" s="26" t="e">
        <f t="shared" si="2"/>
        <v>#REF!</v>
      </c>
    </row>
    <row r="16" spans="1:20">
      <c r="B16" s="4" t="e">
        <f t="shared" si="0"/>
        <v>#REF!</v>
      </c>
      <c r="C16" s="4" t="e">
        <f>'Raw data'!#REF!</f>
        <v>#REF!</v>
      </c>
      <c r="D16" s="29" t="e">
        <f>VLOOKUP(C16,'점포코드 '!A:B,2,0)</f>
        <v>#REF!</v>
      </c>
      <c r="E16" s="30" t="e">
        <f>'Raw data'!#REF!</f>
        <v>#REF!</v>
      </c>
      <c r="F16" s="29" t="e">
        <f>VLOOKUP(E16,'점포코드 '!$A$2:$C$247,2,0)</f>
        <v>#REF!</v>
      </c>
      <c r="G16" s="46" t="e">
        <f>'Raw data'!#REF!</f>
        <v>#REF!</v>
      </c>
      <c r="H16" s="4" t="e">
        <f>'Raw data'!#REF!</f>
        <v>#REF!</v>
      </c>
      <c r="I16" s="29" t="e">
        <f>VLOOKUP(G16,제품명!$C$1:$E$114,2,0)</f>
        <v>#REF!</v>
      </c>
      <c r="J16" s="29" t="e">
        <f>'Raw data'!#REF!</f>
        <v>#REF!</v>
      </c>
      <c r="K16" s="31" t="e">
        <f>'Raw data'!#REF!</f>
        <v>#REF!</v>
      </c>
      <c r="L16" s="26" t="e">
        <f t="shared" si="2"/>
        <v>#REF!</v>
      </c>
    </row>
    <row r="17" spans="2:12">
      <c r="B17" s="4" t="e">
        <f t="shared" si="0"/>
        <v>#REF!</v>
      </c>
      <c r="C17" s="4" t="e">
        <f>'Raw data'!#REF!</f>
        <v>#REF!</v>
      </c>
      <c r="D17" s="29" t="e">
        <f>VLOOKUP(C17,'점포코드 '!A:B,2,0)</f>
        <v>#REF!</v>
      </c>
      <c r="E17" s="30" t="e">
        <f>'Raw data'!#REF!</f>
        <v>#REF!</v>
      </c>
      <c r="F17" s="29" t="e">
        <f>VLOOKUP(E17,'점포코드 '!$A$2:$C$247,2,0)</f>
        <v>#REF!</v>
      </c>
      <c r="G17" s="46" t="e">
        <f>'Raw data'!#REF!</f>
        <v>#REF!</v>
      </c>
      <c r="H17" s="4" t="e">
        <f>'Raw data'!#REF!</f>
        <v>#REF!</v>
      </c>
      <c r="I17" s="29" t="e">
        <f>VLOOKUP(G17,제품명!$C$1:$E$114,2,0)</f>
        <v>#REF!</v>
      </c>
      <c r="J17" s="29" t="e">
        <f>'Raw data'!#REF!</f>
        <v>#REF!</v>
      </c>
      <c r="K17" s="31" t="e">
        <f>'Raw data'!#REF!</f>
        <v>#REF!</v>
      </c>
      <c r="L17" s="26" t="e">
        <f t="shared" si="2"/>
        <v>#REF!</v>
      </c>
    </row>
    <row r="18" spans="2:12">
      <c r="B18" s="4" t="e">
        <f t="shared" si="0"/>
        <v>#REF!</v>
      </c>
      <c r="C18" s="4" t="e">
        <f>'Raw data'!#REF!</f>
        <v>#REF!</v>
      </c>
      <c r="D18" s="29" t="e">
        <f>VLOOKUP(C18,'점포코드 '!A:B,2,0)</f>
        <v>#REF!</v>
      </c>
      <c r="E18" s="30" t="e">
        <f>'Raw data'!#REF!</f>
        <v>#REF!</v>
      </c>
      <c r="F18" s="29" t="e">
        <f>VLOOKUP(E18,'점포코드 '!$A$2:$C$247,2,0)</f>
        <v>#REF!</v>
      </c>
      <c r="G18" s="46" t="e">
        <f>'Raw data'!#REF!</f>
        <v>#REF!</v>
      </c>
      <c r="H18" s="4" t="e">
        <f>'Raw data'!#REF!</f>
        <v>#REF!</v>
      </c>
      <c r="I18" s="29" t="e">
        <f>VLOOKUP(G18,제품명!$C$1:$E$114,2,0)</f>
        <v>#REF!</v>
      </c>
      <c r="J18" s="29" t="e">
        <f>'Raw data'!#REF!</f>
        <v>#REF!</v>
      </c>
      <c r="K18" s="31" t="e">
        <f>'Raw data'!#REF!</f>
        <v>#REF!</v>
      </c>
      <c r="L18" s="26" t="e">
        <f t="shared" si="2"/>
        <v>#REF!</v>
      </c>
    </row>
    <row r="19" spans="2:12">
      <c r="B19" s="4" t="e">
        <f t="shared" si="0"/>
        <v>#REF!</v>
      </c>
      <c r="C19" s="4" t="e">
        <f>'Raw data'!#REF!</f>
        <v>#REF!</v>
      </c>
      <c r="D19" s="29" t="e">
        <f>VLOOKUP(C19,'점포코드 '!A:B,2,0)</f>
        <v>#REF!</v>
      </c>
      <c r="E19" s="30" t="e">
        <f>'Raw data'!#REF!</f>
        <v>#REF!</v>
      </c>
      <c r="F19" s="29" t="e">
        <f>VLOOKUP(E19,'점포코드 '!$A$2:$C$247,2,0)</f>
        <v>#REF!</v>
      </c>
      <c r="G19" s="46" t="e">
        <f>'Raw data'!#REF!</f>
        <v>#REF!</v>
      </c>
      <c r="H19" s="4" t="e">
        <f>'Raw data'!#REF!</f>
        <v>#REF!</v>
      </c>
      <c r="I19" s="29" t="e">
        <f>VLOOKUP(G19,제품명!$C$1:$E$114,2,0)</f>
        <v>#REF!</v>
      </c>
      <c r="J19" s="29" t="e">
        <f>'Raw data'!#REF!</f>
        <v>#REF!</v>
      </c>
      <c r="K19" s="31" t="e">
        <f>'Raw data'!#REF!</f>
        <v>#REF!</v>
      </c>
      <c r="L19" s="26" t="e">
        <f t="shared" si="2"/>
        <v>#REF!</v>
      </c>
    </row>
    <row r="20" spans="2:12">
      <c r="B20" s="4" t="e">
        <f t="shared" si="0"/>
        <v>#REF!</v>
      </c>
      <c r="C20" s="4" t="e">
        <f>'Raw data'!#REF!</f>
        <v>#REF!</v>
      </c>
      <c r="D20" s="29" t="e">
        <f>VLOOKUP(C20,'점포코드 '!A:B,2,0)</f>
        <v>#REF!</v>
      </c>
      <c r="E20" s="30" t="e">
        <f>'Raw data'!#REF!</f>
        <v>#REF!</v>
      </c>
      <c r="F20" s="29" t="e">
        <f>VLOOKUP(E20,'점포코드 '!$A$2:$C$247,2,0)</f>
        <v>#REF!</v>
      </c>
      <c r="G20" s="46" t="e">
        <f>'Raw data'!#REF!</f>
        <v>#REF!</v>
      </c>
      <c r="H20" s="4" t="e">
        <f>'Raw data'!#REF!</f>
        <v>#REF!</v>
      </c>
      <c r="I20" s="29" t="e">
        <f>VLOOKUP(G20,제품명!$C$1:$E$114,2,0)</f>
        <v>#REF!</v>
      </c>
      <c r="J20" s="29" t="e">
        <f>'Raw data'!#REF!</f>
        <v>#REF!</v>
      </c>
      <c r="K20" s="31" t="e">
        <f>'Raw data'!#REF!</f>
        <v>#REF!</v>
      </c>
      <c r="L20" s="26" t="e">
        <f t="shared" si="2"/>
        <v>#REF!</v>
      </c>
    </row>
    <row r="21" spans="2:12">
      <c r="B21" s="4" t="e">
        <f t="shared" si="0"/>
        <v>#REF!</v>
      </c>
      <c r="C21" s="4" t="e">
        <f>'Raw data'!#REF!</f>
        <v>#REF!</v>
      </c>
      <c r="D21" s="29" t="e">
        <f>VLOOKUP(C21,'점포코드 '!A:B,2,0)</f>
        <v>#REF!</v>
      </c>
      <c r="E21" s="30" t="e">
        <f>'Raw data'!#REF!</f>
        <v>#REF!</v>
      </c>
      <c r="F21" s="29" t="e">
        <f>VLOOKUP(E21,'점포코드 '!$A$2:$C$247,2,0)</f>
        <v>#REF!</v>
      </c>
      <c r="G21" s="46" t="e">
        <f>'Raw data'!#REF!</f>
        <v>#REF!</v>
      </c>
      <c r="H21" s="4" t="e">
        <f>'Raw data'!#REF!</f>
        <v>#REF!</v>
      </c>
      <c r="I21" s="29" t="e">
        <f>VLOOKUP(G21,제품명!$C$1:$E$114,2,0)</f>
        <v>#REF!</v>
      </c>
      <c r="J21" s="29" t="e">
        <f>'Raw data'!#REF!</f>
        <v>#REF!</v>
      </c>
      <c r="K21" s="31" t="e">
        <f>'Raw data'!#REF!</f>
        <v>#REF!</v>
      </c>
      <c r="L21" s="26" t="e">
        <f t="shared" si="2"/>
        <v>#REF!</v>
      </c>
    </row>
    <row r="22" spans="2:12">
      <c r="B22" s="4" t="e">
        <f t="shared" si="0"/>
        <v>#REF!</v>
      </c>
      <c r="C22" s="4" t="e">
        <f>'Raw data'!#REF!</f>
        <v>#REF!</v>
      </c>
      <c r="D22" s="29" t="e">
        <f>VLOOKUP(C22,'점포코드 '!A:B,2,0)</f>
        <v>#REF!</v>
      </c>
      <c r="E22" s="30" t="e">
        <f>'Raw data'!#REF!</f>
        <v>#REF!</v>
      </c>
      <c r="F22" s="29" t="e">
        <f>VLOOKUP(E22,'점포코드 '!$A$2:$C$247,2,0)</f>
        <v>#REF!</v>
      </c>
      <c r="G22" s="46" t="e">
        <f>'Raw data'!#REF!</f>
        <v>#REF!</v>
      </c>
      <c r="H22" s="4" t="e">
        <f>'Raw data'!#REF!</f>
        <v>#REF!</v>
      </c>
      <c r="I22" s="29" t="e">
        <f>VLOOKUP(G22,제품명!$C$1:$E$114,2,0)</f>
        <v>#REF!</v>
      </c>
      <c r="J22" s="29" t="e">
        <f>'Raw data'!#REF!</f>
        <v>#REF!</v>
      </c>
      <c r="K22" s="31" t="e">
        <f>'Raw data'!#REF!</f>
        <v>#REF!</v>
      </c>
      <c r="L22" s="26" t="e">
        <f t="shared" si="2"/>
        <v>#REF!</v>
      </c>
    </row>
    <row r="23" spans="2:12">
      <c r="B23" s="4" t="e">
        <f t="shared" si="0"/>
        <v>#REF!</v>
      </c>
      <c r="C23" s="4" t="e">
        <f>'Raw data'!#REF!</f>
        <v>#REF!</v>
      </c>
      <c r="D23" s="29" t="e">
        <f>VLOOKUP(C23,'점포코드 '!A:B,2,0)</f>
        <v>#REF!</v>
      </c>
      <c r="E23" s="30" t="e">
        <f>'Raw data'!#REF!</f>
        <v>#REF!</v>
      </c>
      <c r="F23" s="29" t="e">
        <f>VLOOKUP(E23,'점포코드 '!$A$2:$C$247,2,0)</f>
        <v>#REF!</v>
      </c>
      <c r="G23" s="46" t="e">
        <f>'Raw data'!#REF!</f>
        <v>#REF!</v>
      </c>
      <c r="H23" s="4" t="e">
        <f>'Raw data'!#REF!</f>
        <v>#REF!</v>
      </c>
      <c r="I23" s="29" t="e">
        <f>VLOOKUP(G23,제품명!$C$1:$E$114,2,0)</f>
        <v>#REF!</v>
      </c>
      <c r="J23" s="29" t="e">
        <f>'Raw data'!#REF!</f>
        <v>#REF!</v>
      </c>
      <c r="K23" s="31" t="e">
        <f>'Raw data'!#REF!</f>
        <v>#REF!</v>
      </c>
      <c r="L23" s="26" t="e">
        <f t="shared" si="2"/>
        <v>#REF!</v>
      </c>
    </row>
    <row r="24" spans="2:12">
      <c r="B24" s="4" t="e">
        <f t="shared" si="0"/>
        <v>#REF!</v>
      </c>
      <c r="C24" s="4" t="e">
        <f>'Raw data'!#REF!</f>
        <v>#REF!</v>
      </c>
      <c r="D24" s="29" t="e">
        <f>VLOOKUP(C24,'점포코드 '!A:B,2,0)</f>
        <v>#REF!</v>
      </c>
      <c r="E24" s="30" t="e">
        <f>'Raw data'!#REF!</f>
        <v>#REF!</v>
      </c>
      <c r="F24" s="29" t="e">
        <f>VLOOKUP(E24,'점포코드 '!$A$2:$C$247,2,0)</f>
        <v>#REF!</v>
      </c>
      <c r="G24" s="46" t="e">
        <f>'Raw data'!#REF!</f>
        <v>#REF!</v>
      </c>
      <c r="H24" s="4" t="e">
        <f>'Raw data'!#REF!</f>
        <v>#REF!</v>
      </c>
      <c r="I24" s="29" t="e">
        <f>VLOOKUP(G24,제품명!$C$1:$E$114,2,0)</f>
        <v>#REF!</v>
      </c>
      <c r="J24" s="29" t="e">
        <f>'Raw data'!#REF!</f>
        <v>#REF!</v>
      </c>
      <c r="K24" s="31" t="e">
        <f>'Raw data'!#REF!</f>
        <v>#REF!</v>
      </c>
      <c r="L24" s="26" t="e">
        <f t="shared" si="2"/>
        <v>#REF!</v>
      </c>
    </row>
    <row r="25" spans="2:12">
      <c r="B25" s="4" t="e">
        <f>F25&amp;I25</f>
        <v>#REF!</v>
      </c>
      <c r="C25" s="4" t="e">
        <f>'Raw data'!#REF!</f>
        <v>#REF!</v>
      </c>
      <c r="D25" s="29" t="e">
        <f>VLOOKUP(C25,'점포코드 '!A:B,2,0)</f>
        <v>#REF!</v>
      </c>
      <c r="E25" s="30" t="e">
        <f>'Raw data'!#REF!</f>
        <v>#REF!</v>
      </c>
      <c r="F25" s="29" t="e">
        <f>VLOOKUP(E25,'점포코드 '!$A$2:$C$247,2,0)</f>
        <v>#REF!</v>
      </c>
      <c r="G25" s="46" t="e">
        <f>'Raw data'!#REF!</f>
        <v>#REF!</v>
      </c>
      <c r="H25" s="4" t="e">
        <f>'Raw data'!#REF!</f>
        <v>#REF!</v>
      </c>
      <c r="I25" s="29" t="e">
        <f>VLOOKUP(G25,제품명!$C$1:$E$114,2,0)</f>
        <v>#REF!</v>
      </c>
      <c r="J25" s="29" t="e">
        <f>'Raw data'!#REF!</f>
        <v>#REF!</v>
      </c>
      <c r="K25" s="31" t="e">
        <f>'Raw data'!#REF!</f>
        <v>#REF!</v>
      </c>
      <c r="L25" s="26" t="e">
        <f t="shared" si="2"/>
        <v>#REF!</v>
      </c>
    </row>
    <row r="26" spans="2:12">
      <c r="B26" s="4" t="e">
        <f t="shared" si="0"/>
        <v>#REF!</v>
      </c>
      <c r="C26" s="4" t="e">
        <f>'Raw data'!#REF!</f>
        <v>#REF!</v>
      </c>
      <c r="D26" s="29" t="e">
        <f>VLOOKUP(C26,'점포코드 '!A:B,2,0)</f>
        <v>#REF!</v>
      </c>
      <c r="E26" s="30" t="e">
        <f>'Raw data'!#REF!</f>
        <v>#REF!</v>
      </c>
      <c r="F26" s="29" t="e">
        <f>VLOOKUP(E26,'점포코드 '!$A$2:$C$247,2,0)</f>
        <v>#REF!</v>
      </c>
      <c r="G26" s="46" t="e">
        <f>'Raw data'!#REF!</f>
        <v>#REF!</v>
      </c>
      <c r="H26" s="4" t="e">
        <f>'Raw data'!#REF!</f>
        <v>#REF!</v>
      </c>
      <c r="I26" s="29" t="e">
        <f>VLOOKUP(G26,제품명!$C$1:$E$114,2,0)</f>
        <v>#REF!</v>
      </c>
      <c r="J26" s="29" t="e">
        <f>'Raw data'!#REF!</f>
        <v>#REF!</v>
      </c>
      <c r="K26" s="31" t="e">
        <f>'Raw data'!#REF!</f>
        <v>#REF!</v>
      </c>
      <c r="L26" s="26" t="e">
        <f t="shared" si="2"/>
        <v>#REF!</v>
      </c>
    </row>
    <row r="27" spans="2:12">
      <c r="B27" s="4" t="e">
        <f t="shared" si="0"/>
        <v>#REF!</v>
      </c>
      <c r="C27" s="4" t="e">
        <f>'Raw data'!#REF!</f>
        <v>#REF!</v>
      </c>
      <c r="D27" s="29" t="e">
        <f>VLOOKUP(C27,'점포코드 '!A:B,2,0)</f>
        <v>#REF!</v>
      </c>
      <c r="E27" s="30" t="e">
        <f>'Raw data'!#REF!</f>
        <v>#REF!</v>
      </c>
      <c r="F27" s="29" t="e">
        <f>VLOOKUP(E27,'점포코드 '!$A$2:$C$247,2,0)</f>
        <v>#REF!</v>
      </c>
      <c r="G27" s="46" t="e">
        <f>'Raw data'!#REF!</f>
        <v>#REF!</v>
      </c>
      <c r="H27" s="4" t="e">
        <f>'Raw data'!#REF!</f>
        <v>#REF!</v>
      </c>
      <c r="I27" s="29" t="e">
        <f>VLOOKUP(G27,제품명!$C$1:$E$114,2,0)</f>
        <v>#REF!</v>
      </c>
      <c r="J27" s="29" t="e">
        <f>'Raw data'!#REF!</f>
        <v>#REF!</v>
      </c>
      <c r="K27" s="31" t="e">
        <f>'Raw data'!#REF!</f>
        <v>#REF!</v>
      </c>
      <c r="L27" s="26" t="e">
        <f t="shared" si="2"/>
        <v>#REF!</v>
      </c>
    </row>
    <row r="28" spans="2:12">
      <c r="B28" s="4" t="e">
        <f t="shared" si="0"/>
        <v>#REF!</v>
      </c>
      <c r="C28" s="4" t="e">
        <f>'Raw data'!#REF!</f>
        <v>#REF!</v>
      </c>
      <c r="D28" s="29" t="e">
        <f>VLOOKUP(C28,'점포코드 '!A:B,2,0)</f>
        <v>#REF!</v>
      </c>
      <c r="E28" s="30" t="e">
        <f>'Raw data'!#REF!</f>
        <v>#REF!</v>
      </c>
      <c r="F28" s="29" t="e">
        <f>VLOOKUP(E28,'점포코드 '!$A$2:$C$247,2,0)</f>
        <v>#REF!</v>
      </c>
      <c r="G28" s="46" t="e">
        <f>'Raw data'!#REF!</f>
        <v>#REF!</v>
      </c>
      <c r="H28" s="4" t="e">
        <f>'Raw data'!#REF!</f>
        <v>#REF!</v>
      </c>
      <c r="I28" s="29" t="e">
        <f>VLOOKUP(G28,제품명!$C$1:$E$114,2,0)</f>
        <v>#REF!</v>
      </c>
      <c r="J28" s="29" t="e">
        <f>'Raw data'!#REF!</f>
        <v>#REF!</v>
      </c>
      <c r="K28" s="31" t="e">
        <f>'Raw data'!#REF!</f>
        <v>#REF!</v>
      </c>
      <c r="L28" s="26" t="e">
        <f t="shared" si="2"/>
        <v>#REF!</v>
      </c>
    </row>
    <row r="29" spans="2:12">
      <c r="B29" s="4" t="e">
        <f t="shared" si="0"/>
        <v>#REF!</v>
      </c>
      <c r="C29" s="4" t="e">
        <f>'Raw data'!#REF!</f>
        <v>#REF!</v>
      </c>
      <c r="D29" s="29" t="e">
        <f>VLOOKUP(C29,'점포코드 '!A:B,2,0)</f>
        <v>#REF!</v>
      </c>
      <c r="E29" s="30" t="e">
        <f>'Raw data'!#REF!</f>
        <v>#REF!</v>
      </c>
      <c r="F29" s="29" t="e">
        <f>VLOOKUP(E29,'점포코드 '!$A$2:$C$247,2,0)</f>
        <v>#REF!</v>
      </c>
      <c r="G29" s="46" t="e">
        <f>'Raw data'!#REF!</f>
        <v>#REF!</v>
      </c>
      <c r="H29" s="4" t="e">
        <f>'Raw data'!#REF!</f>
        <v>#REF!</v>
      </c>
      <c r="I29" s="29" t="e">
        <f>VLOOKUP(G29,제품명!$C$1:$E$114,2,0)</f>
        <v>#REF!</v>
      </c>
      <c r="J29" s="29" t="e">
        <f>'Raw data'!#REF!</f>
        <v>#REF!</v>
      </c>
      <c r="K29" s="31" t="e">
        <f>'Raw data'!#REF!</f>
        <v>#REF!</v>
      </c>
      <c r="L29" s="26" t="e">
        <f t="shared" si="2"/>
        <v>#REF!</v>
      </c>
    </row>
    <row r="30" spans="2:12">
      <c r="B30" s="4" t="e">
        <f t="shared" si="0"/>
        <v>#REF!</v>
      </c>
      <c r="C30" s="4" t="e">
        <f>'Raw data'!#REF!</f>
        <v>#REF!</v>
      </c>
      <c r="D30" s="29" t="e">
        <f>VLOOKUP(C30,'점포코드 '!A:B,2,0)</f>
        <v>#REF!</v>
      </c>
      <c r="E30" s="30" t="e">
        <f>'Raw data'!#REF!</f>
        <v>#REF!</v>
      </c>
      <c r="F30" s="29" t="e">
        <f>VLOOKUP(E30,'점포코드 '!$A$2:$C$247,2,0)</f>
        <v>#REF!</v>
      </c>
      <c r="G30" s="46" t="e">
        <f>'Raw data'!#REF!</f>
        <v>#REF!</v>
      </c>
      <c r="H30" s="4" t="e">
        <f>'Raw data'!#REF!</f>
        <v>#REF!</v>
      </c>
      <c r="I30" s="29" t="e">
        <f>VLOOKUP(G30,제품명!$C$1:$E$114,2,0)</f>
        <v>#REF!</v>
      </c>
      <c r="J30" s="29" t="e">
        <f>'Raw data'!#REF!</f>
        <v>#REF!</v>
      </c>
      <c r="K30" s="31" t="e">
        <f>'Raw data'!#REF!</f>
        <v>#REF!</v>
      </c>
      <c r="L30" s="26" t="e">
        <f t="shared" si="2"/>
        <v>#REF!</v>
      </c>
    </row>
    <row r="31" spans="2:12">
      <c r="B31" s="4" t="e">
        <f t="shared" si="0"/>
        <v>#REF!</v>
      </c>
      <c r="C31" s="4" t="e">
        <f>'Raw data'!#REF!</f>
        <v>#REF!</v>
      </c>
      <c r="D31" s="29" t="e">
        <f>VLOOKUP(C31,'점포코드 '!A:B,2,0)</f>
        <v>#REF!</v>
      </c>
      <c r="E31" s="30" t="e">
        <f>'Raw data'!#REF!</f>
        <v>#REF!</v>
      </c>
      <c r="F31" s="29" t="e">
        <f>VLOOKUP(E31,'점포코드 '!$A$2:$C$247,2,0)</f>
        <v>#REF!</v>
      </c>
      <c r="G31" s="46" t="e">
        <f>'Raw data'!#REF!</f>
        <v>#REF!</v>
      </c>
      <c r="H31" s="4" t="e">
        <f>'Raw data'!#REF!</f>
        <v>#REF!</v>
      </c>
      <c r="I31" s="29" t="e">
        <f>VLOOKUP(G31,제품명!$C$1:$E$114,2,0)</f>
        <v>#REF!</v>
      </c>
      <c r="J31" s="29" t="e">
        <f>'Raw data'!#REF!</f>
        <v>#REF!</v>
      </c>
      <c r="K31" s="31" t="e">
        <f>'Raw data'!#REF!</f>
        <v>#REF!</v>
      </c>
      <c r="L31" s="26" t="e">
        <f t="shared" si="2"/>
        <v>#REF!</v>
      </c>
    </row>
    <row r="32" spans="2:12">
      <c r="B32" s="4" t="e">
        <f t="shared" si="0"/>
        <v>#REF!</v>
      </c>
      <c r="C32" s="4" t="e">
        <f>'Raw data'!#REF!</f>
        <v>#REF!</v>
      </c>
      <c r="D32" s="29" t="e">
        <f>VLOOKUP(C32,'점포코드 '!A:B,2,0)</f>
        <v>#REF!</v>
      </c>
      <c r="E32" s="30" t="e">
        <f>'Raw data'!#REF!</f>
        <v>#REF!</v>
      </c>
      <c r="F32" s="29" t="e">
        <f>VLOOKUP(E32,'점포코드 '!$A$2:$C$247,2,0)</f>
        <v>#REF!</v>
      </c>
      <c r="G32" s="46" t="e">
        <f>'Raw data'!#REF!</f>
        <v>#REF!</v>
      </c>
      <c r="H32" s="4" t="e">
        <f>'Raw data'!#REF!</f>
        <v>#REF!</v>
      </c>
      <c r="I32" s="29" t="e">
        <f>VLOOKUP(G32,제품명!$C$1:$E$114,2,0)</f>
        <v>#REF!</v>
      </c>
      <c r="J32" s="29" t="e">
        <f>'Raw data'!#REF!</f>
        <v>#REF!</v>
      </c>
      <c r="K32" s="31" t="e">
        <f>'Raw data'!#REF!</f>
        <v>#REF!</v>
      </c>
      <c r="L32" s="26" t="e">
        <f t="shared" si="2"/>
        <v>#REF!</v>
      </c>
    </row>
    <row r="33" spans="2:12">
      <c r="B33" s="4" t="e">
        <f t="shared" si="0"/>
        <v>#REF!</v>
      </c>
      <c r="C33" s="4" t="e">
        <f>'Raw data'!#REF!</f>
        <v>#REF!</v>
      </c>
      <c r="D33" s="29" t="e">
        <f>VLOOKUP(C33,'점포코드 '!A:B,2,0)</f>
        <v>#REF!</v>
      </c>
      <c r="E33" s="30" t="e">
        <f>'Raw data'!#REF!</f>
        <v>#REF!</v>
      </c>
      <c r="F33" s="29" t="e">
        <f>VLOOKUP(E33,'점포코드 '!$A$2:$C$247,2,0)</f>
        <v>#REF!</v>
      </c>
      <c r="G33" s="46" t="e">
        <f>'Raw data'!#REF!</f>
        <v>#REF!</v>
      </c>
      <c r="H33" s="4" t="e">
        <f>'Raw data'!#REF!</f>
        <v>#REF!</v>
      </c>
      <c r="I33" s="29" t="e">
        <f>VLOOKUP(G33,제품명!$C$1:$E$114,2,0)</f>
        <v>#REF!</v>
      </c>
      <c r="J33" s="29" t="e">
        <f>'Raw data'!#REF!</f>
        <v>#REF!</v>
      </c>
      <c r="K33" s="31" t="e">
        <f>'Raw data'!#REF!</f>
        <v>#REF!</v>
      </c>
      <c r="L33" s="26" t="e">
        <f t="shared" si="2"/>
        <v>#REF!</v>
      </c>
    </row>
    <row r="34" spans="2:12">
      <c r="B34" s="4" t="e">
        <f t="shared" si="0"/>
        <v>#REF!</v>
      </c>
      <c r="C34" s="4" t="e">
        <f>'Raw data'!#REF!</f>
        <v>#REF!</v>
      </c>
      <c r="D34" s="29" t="e">
        <f>VLOOKUP(C34,'점포코드 '!A:B,2,0)</f>
        <v>#REF!</v>
      </c>
      <c r="E34" s="30" t="e">
        <f>'Raw data'!#REF!</f>
        <v>#REF!</v>
      </c>
      <c r="F34" s="29" t="e">
        <f>VLOOKUP(E34,'점포코드 '!$A$2:$C$247,2,0)</f>
        <v>#REF!</v>
      </c>
      <c r="G34" s="46" t="e">
        <f>'Raw data'!#REF!</f>
        <v>#REF!</v>
      </c>
      <c r="H34" s="4" t="e">
        <f>'Raw data'!#REF!</f>
        <v>#REF!</v>
      </c>
      <c r="I34" s="29" t="e">
        <f>VLOOKUP(G34,제품명!$C$1:$E$114,2,0)</f>
        <v>#REF!</v>
      </c>
      <c r="J34" s="29" t="e">
        <f>'Raw data'!#REF!</f>
        <v>#REF!</v>
      </c>
      <c r="K34" s="31" t="e">
        <f>'Raw data'!#REF!</f>
        <v>#REF!</v>
      </c>
      <c r="L34" s="26" t="e">
        <f t="shared" si="2"/>
        <v>#REF!</v>
      </c>
    </row>
    <row r="35" spans="2:12">
      <c r="B35" s="4" t="e">
        <f t="shared" si="0"/>
        <v>#REF!</v>
      </c>
      <c r="C35" s="4" t="e">
        <f>'Raw data'!#REF!</f>
        <v>#REF!</v>
      </c>
      <c r="D35" s="29" t="e">
        <f>VLOOKUP(C35,'점포코드 '!A:B,2,0)</f>
        <v>#REF!</v>
      </c>
      <c r="E35" s="30" t="e">
        <f>'Raw data'!#REF!</f>
        <v>#REF!</v>
      </c>
      <c r="F35" s="29" t="e">
        <f>VLOOKUP(E35,'점포코드 '!$A$2:$C$247,2,0)</f>
        <v>#REF!</v>
      </c>
      <c r="G35" s="46" t="e">
        <f>'Raw data'!#REF!</f>
        <v>#REF!</v>
      </c>
      <c r="H35" s="4" t="e">
        <f>'Raw data'!#REF!</f>
        <v>#REF!</v>
      </c>
      <c r="I35" s="29" t="e">
        <f>VLOOKUP(G35,제품명!$C$1:$E$114,2,0)</f>
        <v>#REF!</v>
      </c>
      <c r="J35" s="29" t="e">
        <f>'Raw data'!#REF!</f>
        <v>#REF!</v>
      </c>
      <c r="K35" s="31" t="e">
        <f>'Raw data'!#REF!</f>
        <v>#REF!</v>
      </c>
      <c r="L35" s="26" t="e">
        <f t="shared" si="2"/>
        <v>#REF!</v>
      </c>
    </row>
    <row r="36" spans="2:12">
      <c r="B36" s="4" t="e">
        <f t="shared" si="0"/>
        <v>#REF!</v>
      </c>
      <c r="C36" s="4" t="e">
        <f>'Raw data'!#REF!</f>
        <v>#REF!</v>
      </c>
      <c r="D36" s="29" t="e">
        <f>VLOOKUP(C36,'점포코드 '!A:B,2,0)</f>
        <v>#REF!</v>
      </c>
      <c r="E36" s="30" t="e">
        <f>'Raw data'!#REF!</f>
        <v>#REF!</v>
      </c>
      <c r="F36" s="29" t="e">
        <f>VLOOKUP(E36,'점포코드 '!$A$2:$C$247,2,0)</f>
        <v>#REF!</v>
      </c>
      <c r="G36" s="46" t="e">
        <f>'Raw data'!#REF!</f>
        <v>#REF!</v>
      </c>
      <c r="H36" s="4" t="e">
        <f>'Raw data'!#REF!</f>
        <v>#REF!</v>
      </c>
      <c r="I36" s="29" t="e">
        <f>VLOOKUP(G36,제품명!$C$1:$E$114,2,0)</f>
        <v>#REF!</v>
      </c>
      <c r="J36" s="29" t="e">
        <f>'Raw data'!#REF!</f>
        <v>#REF!</v>
      </c>
      <c r="K36" s="31" t="e">
        <f>'Raw data'!#REF!</f>
        <v>#REF!</v>
      </c>
      <c r="L36" s="26" t="e">
        <f t="shared" si="2"/>
        <v>#REF!</v>
      </c>
    </row>
    <row r="37" spans="2:12">
      <c r="B37" s="4" t="e">
        <f t="shared" si="0"/>
        <v>#REF!</v>
      </c>
      <c r="C37" s="4" t="e">
        <f>'Raw data'!#REF!</f>
        <v>#REF!</v>
      </c>
      <c r="D37" s="29" t="e">
        <f>VLOOKUP(C37,'점포코드 '!A:B,2,0)</f>
        <v>#REF!</v>
      </c>
      <c r="E37" s="30" t="e">
        <f>'Raw data'!#REF!</f>
        <v>#REF!</v>
      </c>
      <c r="F37" s="29" t="e">
        <f>VLOOKUP(E37,'점포코드 '!$A$2:$C$247,2,0)</f>
        <v>#REF!</v>
      </c>
      <c r="G37" s="46" t="e">
        <f>'Raw data'!#REF!</f>
        <v>#REF!</v>
      </c>
      <c r="H37" s="4" t="e">
        <f>'Raw data'!#REF!</f>
        <v>#REF!</v>
      </c>
      <c r="I37" s="29" t="e">
        <f>VLOOKUP(G37,제품명!$C$1:$E$114,2,0)</f>
        <v>#REF!</v>
      </c>
      <c r="J37" s="29" t="e">
        <f>'Raw data'!#REF!</f>
        <v>#REF!</v>
      </c>
      <c r="K37" s="31" t="e">
        <f>'Raw data'!#REF!</f>
        <v>#REF!</v>
      </c>
      <c r="L37" s="26" t="e">
        <f t="shared" si="2"/>
        <v>#REF!</v>
      </c>
    </row>
    <row r="38" spans="2:12">
      <c r="B38" s="4" t="e">
        <f>F38&amp;I38</f>
        <v>#REF!</v>
      </c>
      <c r="C38" s="4" t="e">
        <f>'Raw data'!#REF!</f>
        <v>#REF!</v>
      </c>
      <c r="D38" s="29" t="e">
        <f>VLOOKUP(C38,'점포코드 '!A:B,2,0)</f>
        <v>#REF!</v>
      </c>
      <c r="E38" s="30" t="e">
        <f>'Raw data'!#REF!</f>
        <v>#REF!</v>
      </c>
      <c r="F38" s="29" t="e">
        <f>VLOOKUP(E38,'점포코드 '!A:B,2,0)</f>
        <v>#REF!</v>
      </c>
      <c r="G38" s="46" t="e">
        <f>'Raw data'!#REF!</f>
        <v>#REF!</v>
      </c>
      <c r="H38" s="4" t="e">
        <f>'Raw data'!#REF!</f>
        <v>#REF!</v>
      </c>
      <c r="I38" s="29" t="e">
        <f>VLOOKUP(G38,제품명!$C$1:$E$114,2,0)</f>
        <v>#REF!</v>
      </c>
      <c r="J38" s="29" t="e">
        <f>'Raw data'!#REF!</f>
        <v>#REF!</v>
      </c>
      <c r="K38" s="31" t="e">
        <f>'Raw data'!#REF!</f>
        <v>#REF!</v>
      </c>
      <c r="L38" s="26" t="e">
        <f t="shared" si="2"/>
        <v>#REF!</v>
      </c>
    </row>
    <row r="39" spans="2:12">
      <c r="B39" s="4" t="e">
        <f t="shared" si="0"/>
        <v>#REF!</v>
      </c>
      <c r="C39" s="4" t="e">
        <f>'Raw data'!#REF!</f>
        <v>#REF!</v>
      </c>
      <c r="D39" s="29" t="e">
        <f>VLOOKUP(C39,'점포코드 '!A:B,2,0)</f>
        <v>#REF!</v>
      </c>
      <c r="E39" s="30" t="e">
        <f>'Raw data'!#REF!</f>
        <v>#REF!</v>
      </c>
      <c r="F39" s="29" t="e">
        <f>VLOOKUP(E39,'점포코드 '!A:B,2,0)</f>
        <v>#REF!</v>
      </c>
      <c r="G39" s="46" t="e">
        <f>'Raw data'!#REF!</f>
        <v>#REF!</v>
      </c>
      <c r="H39" s="4" t="e">
        <f>'Raw data'!#REF!</f>
        <v>#REF!</v>
      </c>
      <c r="I39" s="29" t="e">
        <f>VLOOKUP(G39,제품명!$C$1:$E$114,2,0)</f>
        <v>#REF!</v>
      </c>
      <c r="J39" s="29" t="e">
        <f>'Raw data'!#REF!</f>
        <v>#REF!</v>
      </c>
      <c r="K39" s="31" t="e">
        <f>'Raw data'!#REF!</f>
        <v>#REF!</v>
      </c>
      <c r="L39" s="26" t="e">
        <f t="shared" si="2"/>
        <v>#REF!</v>
      </c>
    </row>
    <row r="40" spans="2:12">
      <c r="B40" s="4" t="e">
        <f t="shared" si="0"/>
        <v>#REF!</v>
      </c>
      <c r="C40" s="4" t="e">
        <f>'Raw data'!#REF!</f>
        <v>#REF!</v>
      </c>
      <c r="D40" s="29" t="e">
        <f>VLOOKUP(C40,'점포코드 '!A:B,2,0)</f>
        <v>#REF!</v>
      </c>
      <c r="E40" s="30" t="e">
        <f>'Raw data'!#REF!</f>
        <v>#REF!</v>
      </c>
      <c r="F40" s="29" t="e">
        <f>VLOOKUP(E40,'점포코드 '!A:B,2,0)</f>
        <v>#REF!</v>
      </c>
      <c r="G40" s="46" t="e">
        <f>'Raw data'!#REF!</f>
        <v>#REF!</v>
      </c>
      <c r="H40" s="4" t="e">
        <f>'Raw data'!#REF!</f>
        <v>#REF!</v>
      </c>
      <c r="I40" s="29" t="e">
        <f>VLOOKUP(G40,제품명!$C$1:$E$114,2,0)</f>
        <v>#REF!</v>
      </c>
      <c r="J40" s="29" t="e">
        <f>'Raw data'!#REF!</f>
        <v>#REF!</v>
      </c>
      <c r="K40" s="31" t="e">
        <f>'Raw data'!#REF!</f>
        <v>#REF!</v>
      </c>
      <c r="L40" s="26" t="e">
        <f t="shared" si="2"/>
        <v>#REF!</v>
      </c>
    </row>
    <row r="41" spans="2:12">
      <c r="B41" s="4" t="e">
        <f t="shared" si="0"/>
        <v>#REF!</v>
      </c>
      <c r="C41" s="4" t="e">
        <f>'Raw data'!#REF!</f>
        <v>#REF!</v>
      </c>
      <c r="D41" s="29" t="e">
        <f>VLOOKUP(C41,'점포코드 '!A:B,2,0)</f>
        <v>#REF!</v>
      </c>
      <c r="E41" s="30" t="e">
        <f>'Raw data'!#REF!</f>
        <v>#REF!</v>
      </c>
      <c r="F41" s="29" t="e">
        <f>VLOOKUP(E41,'점포코드 '!A:B,2,0)</f>
        <v>#REF!</v>
      </c>
      <c r="G41" s="46" t="e">
        <f>'Raw data'!#REF!</f>
        <v>#REF!</v>
      </c>
      <c r="H41" s="4" t="e">
        <f>'Raw data'!#REF!</f>
        <v>#REF!</v>
      </c>
      <c r="I41" s="29" t="e">
        <f>VLOOKUP(G41,제품명!$C$1:$E$114,2,0)</f>
        <v>#REF!</v>
      </c>
      <c r="J41" s="29" t="e">
        <f>'Raw data'!#REF!</f>
        <v>#REF!</v>
      </c>
      <c r="K41" s="31" t="e">
        <f>'Raw data'!#REF!</f>
        <v>#REF!</v>
      </c>
      <c r="L41" s="26" t="e">
        <f t="shared" si="2"/>
        <v>#REF!</v>
      </c>
    </row>
    <row r="42" spans="2:12">
      <c r="B42" s="4" t="e">
        <f t="shared" si="0"/>
        <v>#REF!</v>
      </c>
      <c r="C42" s="4" t="e">
        <f>'Raw data'!#REF!</f>
        <v>#REF!</v>
      </c>
      <c r="D42" s="29" t="e">
        <f>VLOOKUP(C42,'점포코드 '!A:B,2,0)</f>
        <v>#REF!</v>
      </c>
      <c r="E42" s="30" t="e">
        <f>'Raw data'!#REF!</f>
        <v>#REF!</v>
      </c>
      <c r="F42" s="29" t="e">
        <f>VLOOKUP(E42,'점포코드 '!A:B,2,0)</f>
        <v>#REF!</v>
      </c>
      <c r="G42" s="46" t="e">
        <f>'Raw data'!#REF!</f>
        <v>#REF!</v>
      </c>
      <c r="H42" s="4" t="e">
        <f>'Raw data'!#REF!</f>
        <v>#REF!</v>
      </c>
      <c r="I42" s="29" t="e">
        <f>VLOOKUP(G42,제품명!$C$1:$E$114,2,0)</f>
        <v>#REF!</v>
      </c>
      <c r="J42" s="29" t="e">
        <f>'Raw data'!#REF!</f>
        <v>#REF!</v>
      </c>
      <c r="K42" s="31" t="e">
        <f>'Raw data'!#REF!</f>
        <v>#REF!</v>
      </c>
      <c r="L42" s="26" t="e">
        <f t="shared" si="2"/>
        <v>#REF!</v>
      </c>
    </row>
    <row r="43" spans="2:12">
      <c r="B43" s="4" t="e">
        <f t="shared" si="0"/>
        <v>#REF!</v>
      </c>
      <c r="C43" s="4" t="e">
        <f>'Raw data'!#REF!</f>
        <v>#REF!</v>
      </c>
      <c r="D43" s="29" t="e">
        <f>VLOOKUP(C43,'점포코드 '!A:B,2,0)</f>
        <v>#REF!</v>
      </c>
      <c r="E43" s="30" t="e">
        <f>'Raw data'!#REF!</f>
        <v>#REF!</v>
      </c>
      <c r="F43" s="29" t="e">
        <f>VLOOKUP(E43,'점포코드 '!A:B,2,0)</f>
        <v>#REF!</v>
      </c>
      <c r="G43" s="46" t="e">
        <f>'Raw data'!#REF!</f>
        <v>#REF!</v>
      </c>
      <c r="H43" s="4" t="e">
        <f>'Raw data'!#REF!</f>
        <v>#REF!</v>
      </c>
      <c r="I43" s="29" t="e">
        <f>VLOOKUP(G43,제품명!$C$1:$E$114,2,0)</f>
        <v>#REF!</v>
      </c>
      <c r="J43" s="29" t="e">
        <f>'Raw data'!#REF!</f>
        <v>#REF!</v>
      </c>
      <c r="K43" s="31" t="e">
        <f>'Raw data'!#REF!</f>
        <v>#REF!</v>
      </c>
      <c r="L43" s="26" t="e">
        <f t="shared" si="2"/>
        <v>#REF!</v>
      </c>
    </row>
    <row r="44" spans="2:12">
      <c r="B44" s="4" t="e">
        <f t="shared" si="0"/>
        <v>#REF!</v>
      </c>
      <c r="C44" s="4" t="e">
        <f>'Raw data'!#REF!</f>
        <v>#REF!</v>
      </c>
      <c r="D44" s="29" t="e">
        <f>VLOOKUP(C44,'점포코드 '!A:B,2,0)</f>
        <v>#REF!</v>
      </c>
      <c r="E44" s="30" t="e">
        <f>'Raw data'!#REF!</f>
        <v>#REF!</v>
      </c>
      <c r="F44" s="29" t="e">
        <f>VLOOKUP(E44,'점포코드 '!A:B,2,0)</f>
        <v>#REF!</v>
      </c>
      <c r="G44" s="46" t="e">
        <f>'Raw data'!#REF!</f>
        <v>#REF!</v>
      </c>
      <c r="H44" s="4" t="e">
        <f>'Raw data'!#REF!</f>
        <v>#REF!</v>
      </c>
      <c r="I44" s="29" t="e">
        <f>VLOOKUP(G44,제품명!$C$1:$E$114,2,0)</f>
        <v>#REF!</v>
      </c>
      <c r="J44" s="29" t="e">
        <f>'Raw data'!#REF!</f>
        <v>#REF!</v>
      </c>
      <c r="K44" s="31" t="e">
        <f>'Raw data'!#REF!</f>
        <v>#REF!</v>
      </c>
      <c r="L44" s="26" t="e">
        <f t="shared" si="2"/>
        <v>#REF!</v>
      </c>
    </row>
    <row r="45" spans="2:12">
      <c r="B45" s="4" t="e">
        <f t="shared" si="0"/>
        <v>#REF!</v>
      </c>
      <c r="C45" s="4" t="e">
        <f>'Raw data'!#REF!</f>
        <v>#REF!</v>
      </c>
      <c r="D45" s="29" t="e">
        <f>VLOOKUP(C45,'점포코드 '!A:B,2,0)</f>
        <v>#REF!</v>
      </c>
      <c r="E45" s="30" t="e">
        <f>'Raw data'!#REF!</f>
        <v>#REF!</v>
      </c>
      <c r="F45" s="29" t="e">
        <f>VLOOKUP(E45,'점포코드 '!A:B,2,0)</f>
        <v>#REF!</v>
      </c>
      <c r="G45" s="46" t="e">
        <f>'Raw data'!#REF!</f>
        <v>#REF!</v>
      </c>
      <c r="H45" s="4" t="e">
        <f>'Raw data'!#REF!</f>
        <v>#REF!</v>
      </c>
      <c r="I45" s="29" t="e">
        <f>VLOOKUP(G45,제품명!$C$1:$E$114,2,0)</f>
        <v>#REF!</v>
      </c>
      <c r="J45" s="29" t="e">
        <f>'Raw data'!#REF!</f>
        <v>#REF!</v>
      </c>
      <c r="K45" s="31" t="e">
        <f>'Raw data'!#REF!</f>
        <v>#REF!</v>
      </c>
      <c r="L45" s="26" t="e">
        <f t="shared" si="2"/>
        <v>#REF!</v>
      </c>
    </row>
    <row r="46" spans="2:12">
      <c r="B46" s="4" t="e">
        <f t="shared" si="0"/>
        <v>#REF!</v>
      </c>
      <c r="C46" s="4" t="e">
        <f>'Raw data'!#REF!</f>
        <v>#REF!</v>
      </c>
      <c r="D46" s="29" t="e">
        <f>VLOOKUP(C46,'점포코드 '!A:B,2,0)</f>
        <v>#REF!</v>
      </c>
      <c r="E46" s="30" t="e">
        <f>'Raw data'!#REF!</f>
        <v>#REF!</v>
      </c>
      <c r="F46" s="29" t="e">
        <f>VLOOKUP(E46,'점포코드 '!A:B,2,0)</f>
        <v>#REF!</v>
      </c>
      <c r="G46" s="46" t="e">
        <f>'Raw data'!#REF!</f>
        <v>#REF!</v>
      </c>
      <c r="H46" s="4" t="e">
        <f>'Raw data'!#REF!</f>
        <v>#REF!</v>
      </c>
      <c r="I46" s="29" t="e">
        <f>VLOOKUP(G46,제품명!$C$1:$E$114,2,0)</f>
        <v>#REF!</v>
      </c>
      <c r="J46" s="29" t="e">
        <f>'Raw data'!#REF!</f>
        <v>#REF!</v>
      </c>
      <c r="K46" s="31" t="e">
        <f>'Raw data'!#REF!</f>
        <v>#REF!</v>
      </c>
      <c r="L46" s="26" t="e">
        <f t="shared" si="2"/>
        <v>#REF!</v>
      </c>
    </row>
    <row r="47" spans="2:12">
      <c r="B47" s="4" t="e">
        <f t="shared" si="0"/>
        <v>#REF!</v>
      </c>
      <c r="C47" s="4" t="e">
        <f>'Raw data'!#REF!</f>
        <v>#REF!</v>
      </c>
      <c r="D47" s="29" t="e">
        <f>VLOOKUP(C47,'점포코드 '!A:B,2,0)</f>
        <v>#REF!</v>
      </c>
      <c r="E47" s="30" t="e">
        <f>'Raw data'!#REF!</f>
        <v>#REF!</v>
      </c>
      <c r="F47" s="29" t="e">
        <f>VLOOKUP(E47,'점포코드 '!A:B,2,0)</f>
        <v>#REF!</v>
      </c>
      <c r="G47" s="46" t="e">
        <f>'Raw data'!#REF!</f>
        <v>#REF!</v>
      </c>
      <c r="H47" s="4" t="e">
        <f>'Raw data'!#REF!</f>
        <v>#REF!</v>
      </c>
      <c r="I47" s="29" t="e">
        <f>VLOOKUP(G47,제품명!$C$1:$E$114,2,0)</f>
        <v>#REF!</v>
      </c>
      <c r="J47" s="29" t="e">
        <f>'Raw data'!#REF!</f>
        <v>#REF!</v>
      </c>
      <c r="K47" s="31" t="e">
        <f>'Raw data'!#REF!</f>
        <v>#REF!</v>
      </c>
      <c r="L47" s="26" t="e">
        <f t="shared" si="2"/>
        <v>#REF!</v>
      </c>
    </row>
    <row r="48" spans="2:12">
      <c r="B48" s="4" t="e">
        <f t="shared" si="0"/>
        <v>#REF!</v>
      </c>
      <c r="C48" s="4" t="e">
        <f>'Raw data'!#REF!</f>
        <v>#REF!</v>
      </c>
      <c r="D48" s="29" t="e">
        <f>VLOOKUP(C48,'점포코드 '!A:B,2,0)</f>
        <v>#REF!</v>
      </c>
      <c r="E48" s="30" t="e">
        <f>'Raw data'!#REF!</f>
        <v>#REF!</v>
      </c>
      <c r="F48" s="29" t="e">
        <f>VLOOKUP(E48,'점포코드 '!A:B,2,0)</f>
        <v>#REF!</v>
      </c>
      <c r="G48" s="46" t="e">
        <f>'Raw data'!#REF!</f>
        <v>#REF!</v>
      </c>
      <c r="H48" s="4" t="e">
        <f>'Raw data'!#REF!</f>
        <v>#REF!</v>
      </c>
      <c r="I48" s="29" t="e">
        <f>VLOOKUP(G48,제품명!$C$1:$E$114,2,0)</f>
        <v>#REF!</v>
      </c>
      <c r="J48" s="29" t="e">
        <f>'Raw data'!#REF!</f>
        <v>#REF!</v>
      </c>
      <c r="K48" s="31" t="e">
        <f>'Raw data'!#REF!</f>
        <v>#REF!</v>
      </c>
      <c r="L48" s="26" t="e">
        <f t="shared" si="2"/>
        <v>#REF!</v>
      </c>
    </row>
    <row r="49" spans="2:12">
      <c r="B49" s="4" t="e">
        <f t="shared" si="0"/>
        <v>#REF!</v>
      </c>
      <c r="C49" s="4" t="e">
        <f>'Raw data'!#REF!</f>
        <v>#REF!</v>
      </c>
      <c r="D49" s="29" t="e">
        <f>VLOOKUP(C49,'점포코드 '!A:B,2,0)</f>
        <v>#REF!</v>
      </c>
      <c r="E49" s="30" t="e">
        <f>'Raw data'!#REF!</f>
        <v>#REF!</v>
      </c>
      <c r="F49" s="29" t="e">
        <f>VLOOKUP(E49,'점포코드 '!A:B,2,0)</f>
        <v>#REF!</v>
      </c>
      <c r="G49" s="46" t="e">
        <f>'Raw data'!#REF!</f>
        <v>#REF!</v>
      </c>
      <c r="H49" s="4" t="e">
        <f>'Raw data'!#REF!</f>
        <v>#REF!</v>
      </c>
      <c r="I49" s="29" t="e">
        <f>VLOOKUP(G49,제품명!$C$1:$E$114,2,0)</f>
        <v>#REF!</v>
      </c>
      <c r="J49" s="29" t="e">
        <f>'Raw data'!#REF!</f>
        <v>#REF!</v>
      </c>
      <c r="K49" s="31" t="e">
        <f>'Raw data'!#REF!</f>
        <v>#REF!</v>
      </c>
      <c r="L49" s="26" t="e">
        <f t="shared" si="2"/>
        <v>#REF!</v>
      </c>
    </row>
    <row r="50" spans="2:12">
      <c r="B50" s="4" t="e">
        <f t="shared" si="0"/>
        <v>#REF!</v>
      </c>
      <c r="C50" s="4" t="e">
        <f>'Raw data'!#REF!</f>
        <v>#REF!</v>
      </c>
      <c r="D50" s="29" t="e">
        <f>VLOOKUP(C50,'점포코드 '!A:B,2,0)</f>
        <v>#REF!</v>
      </c>
      <c r="E50" s="30" t="e">
        <f>'Raw data'!#REF!</f>
        <v>#REF!</v>
      </c>
      <c r="F50" s="29" t="e">
        <f>VLOOKUP(E50,'점포코드 '!A:B,2,0)</f>
        <v>#REF!</v>
      </c>
      <c r="G50" s="46" t="e">
        <f>'Raw data'!#REF!</f>
        <v>#REF!</v>
      </c>
      <c r="H50" s="4" t="e">
        <f>'Raw data'!#REF!</f>
        <v>#REF!</v>
      </c>
      <c r="I50" s="29" t="e">
        <f>VLOOKUP(G50,제품명!$C$1:$E$114,2,0)</f>
        <v>#REF!</v>
      </c>
      <c r="J50" s="29" t="e">
        <f>'Raw data'!#REF!</f>
        <v>#REF!</v>
      </c>
      <c r="K50" s="31" t="e">
        <f>'Raw data'!#REF!</f>
        <v>#REF!</v>
      </c>
      <c r="L50" s="26" t="e">
        <f t="shared" si="2"/>
        <v>#REF!</v>
      </c>
    </row>
    <row r="51" spans="2:12">
      <c r="B51" s="4" t="e">
        <f t="shared" si="0"/>
        <v>#REF!</v>
      </c>
      <c r="C51" s="4" t="e">
        <f>'Raw data'!#REF!</f>
        <v>#REF!</v>
      </c>
      <c r="D51" s="29" t="e">
        <f>VLOOKUP(C51,'점포코드 '!A:B,2,0)</f>
        <v>#REF!</v>
      </c>
      <c r="E51" s="30" t="e">
        <f>'Raw data'!#REF!</f>
        <v>#REF!</v>
      </c>
      <c r="F51" s="29" t="e">
        <f>VLOOKUP(E51,'점포코드 '!A:B,2,0)</f>
        <v>#REF!</v>
      </c>
      <c r="G51" s="46" t="e">
        <f>'Raw data'!#REF!</f>
        <v>#REF!</v>
      </c>
      <c r="H51" s="4" t="e">
        <f>'Raw data'!#REF!</f>
        <v>#REF!</v>
      </c>
      <c r="I51" s="29" t="e">
        <f>VLOOKUP(G51,제품명!$C$1:$E$114,2,0)</f>
        <v>#REF!</v>
      </c>
      <c r="J51" s="29" t="e">
        <f>'Raw data'!#REF!</f>
        <v>#REF!</v>
      </c>
      <c r="K51" s="31" t="e">
        <f>'Raw data'!#REF!</f>
        <v>#REF!</v>
      </c>
      <c r="L51" s="26" t="e">
        <f t="shared" si="2"/>
        <v>#REF!</v>
      </c>
    </row>
    <row r="52" spans="2:12">
      <c r="B52" s="4" t="e">
        <f t="shared" si="0"/>
        <v>#REF!</v>
      </c>
      <c r="C52" s="4" t="e">
        <f>'Raw data'!#REF!</f>
        <v>#REF!</v>
      </c>
      <c r="D52" s="29" t="e">
        <f>VLOOKUP(C52,'점포코드 '!A:B,2,0)</f>
        <v>#REF!</v>
      </c>
      <c r="E52" s="30" t="e">
        <f>'Raw data'!#REF!</f>
        <v>#REF!</v>
      </c>
      <c r="F52" s="29" t="e">
        <f>VLOOKUP(E52,'점포코드 '!A:B,2,0)</f>
        <v>#REF!</v>
      </c>
      <c r="G52" s="46" t="e">
        <f>'Raw data'!#REF!</f>
        <v>#REF!</v>
      </c>
      <c r="H52" s="4" t="e">
        <f>'Raw data'!#REF!</f>
        <v>#REF!</v>
      </c>
      <c r="I52" s="29" t="e">
        <f>VLOOKUP(G52,제품명!$C$1:$E$114,2,0)</f>
        <v>#REF!</v>
      </c>
      <c r="J52" s="29" t="e">
        <f>'Raw data'!#REF!</f>
        <v>#REF!</v>
      </c>
      <c r="K52" s="31" t="e">
        <f>'Raw data'!#REF!</f>
        <v>#REF!</v>
      </c>
      <c r="L52" s="26" t="e">
        <f t="shared" si="2"/>
        <v>#REF!</v>
      </c>
    </row>
    <row r="53" spans="2:12">
      <c r="B53" s="4" t="e">
        <f t="shared" si="0"/>
        <v>#REF!</v>
      </c>
      <c r="C53" s="4" t="e">
        <f>'Raw data'!#REF!</f>
        <v>#REF!</v>
      </c>
      <c r="D53" s="29" t="e">
        <f>VLOOKUP(C53,'점포코드 '!A:B,2,0)</f>
        <v>#REF!</v>
      </c>
      <c r="E53" s="30" t="e">
        <f>'Raw data'!#REF!</f>
        <v>#REF!</v>
      </c>
      <c r="F53" s="29" t="e">
        <f>VLOOKUP(E53,'점포코드 '!A:B,2,0)</f>
        <v>#REF!</v>
      </c>
      <c r="G53" s="46" t="e">
        <f>'Raw data'!#REF!</f>
        <v>#REF!</v>
      </c>
      <c r="H53" s="4" t="e">
        <f>'Raw data'!#REF!</f>
        <v>#REF!</v>
      </c>
      <c r="I53" s="29" t="e">
        <f>VLOOKUP(G53,제품명!$C$1:$E$114,2,0)</f>
        <v>#REF!</v>
      </c>
      <c r="J53" s="29" t="e">
        <f>'Raw data'!#REF!</f>
        <v>#REF!</v>
      </c>
      <c r="K53" s="31" t="e">
        <f>'Raw data'!#REF!</f>
        <v>#REF!</v>
      </c>
      <c r="L53" s="26" t="e">
        <f t="shared" si="2"/>
        <v>#REF!</v>
      </c>
    </row>
    <row r="54" spans="2:12">
      <c r="B54" s="4" t="e">
        <f t="shared" si="0"/>
        <v>#REF!</v>
      </c>
      <c r="C54" s="4" t="e">
        <f>'Raw data'!#REF!</f>
        <v>#REF!</v>
      </c>
      <c r="D54" s="29" t="e">
        <f>VLOOKUP(C54,'점포코드 '!A:B,2,0)</f>
        <v>#REF!</v>
      </c>
      <c r="E54" s="30" t="e">
        <f>'Raw data'!#REF!</f>
        <v>#REF!</v>
      </c>
      <c r="F54" s="29" t="e">
        <f>VLOOKUP(E54,'점포코드 '!A:B,2,0)</f>
        <v>#REF!</v>
      </c>
      <c r="G54" s="46" t="e">
        <f>'Raw data'!#REF!</f>
        <v>#REF!</v>
      </c>
      <c r="H54" s="4" t="e">
        <f>'Raw data'!#REF!</f>
        <v>#REF!</v>
      </c>
      <c r="I54" s="29" t="e">
        <f>VLOOKUP(G54,제품명!$C$1:$E$114,2,0)</f>
        <v>#REF!</v>
      </c>
      <c r="J54" s="29" t="e">
        <f>'Raw data'!#REF!</f>
        <v>#REF!</v>
      </c>
      <c r="K54" s="31" t="e">
        <f>'Raw data'!#REF!</f>
        <v>#REF!</v>
      </c>
      <c r="L54" s="26" t="e">
        <f t="shared" si="2"/>
        <v>#REF!</v>
      </c>
    </row>
    <row r="55" spans="2:12">
      <c r="B55" s="4" t="e">
        <f t="shared" si="0"/>
        <v>#REF!</v>
      </c>
      <c r="C55" s="4" t="e">
        <f>'Raw data'!#REF!</f>
        <v>#REF!</v>
      </c>
      <c r="D55" s="29" t="e">
        <f>VLOOKUP(C55,'점포코드 '!A:B,2,0)</f>
        <v>#REF!</v>
      </c>
      <c r="E55" s="30" t="e">
        <f>'Raw data'!#REF!</f>
        <v>#REF!</v>
      </c>
      <c r="F55" s="29" t="e">
        <f>VLOOKUP(E55,'점포코드 '!A:B,2,0)</f>
        <v>#REF!</v>
      </c>
      <c r="G55" s="46" t="e">
        <f>'Raw data'!#REF!</f>
        <v>#REF!</v>
      </c>
      <c r="H55" s="4" t="e">
        <f>'Raw data'!#REF!</f>
        <v>#REF!</v>
      </c>
      <c r="I55" s="29" t="e">
        <f>VLOOKUP(G55,제품명!$C$1:$E$114,2,0)</f>
        <v>#REF!</v>
      </c>
      <c r="J55" s="29" t="e">
        <f>'Raw data'!#REF!</f>
        <v>#REF!</v>
      </c>
      <c r="K55" s="31" t="e">
        <f>'Raw data'!#REF!</f>
        <v>#REF!</v>
      </c>
      <c r="L55" s="26" t="e">
        <f t="shared" si="2"/>
        <v>#REF!</v>
      </c>
    </row>
    <row r="56" spans="2:12">
      <c r="B56" s="4" t="e">
        <f t="shared" si="0"/>
        <v>#REF!</v>
      </c>
      <c r="C56" s="4" t="e">
        <f>'Raw data'!#REF!</f>
        <v>#REF!</v>
      </c>
      <c r="D56" s="29" t="e">
        <f>VLOOKUP(C56,'점포코드 '!A:B,2,0)</f>
        <v>#REF!</v>
      </c>
      <c r="E56" s="30" t="e">
        <f>'Raw data'!#REF!</f>
        <v>#REF!</v>
      </c>
      <c r="F56" s="29" t="e">
        <f>VLOOKUP(E56,'점포코드 '!A:B,2,0)</f>
        <v>#REF!</v>
      </c>
      <c r="G56" s="46" t="e">
        <f>'Raw data'!#REF!</f>
        <v>#REF!</v>
      </c>
      <c r="H56" s="4" t="e">
        <f>'Raw data'!#REF!</f>
        <v>#REF!</v>
      </c>
      <c r="I56" s="29" t="e">
        <f>VLOOKUP(G56,제품명!$C$1:$E$114,2,0)</f>
        <v>#REF!</v>
      </c>
      <c r="J56" s="29" t="e">
        <f>'Raw data'!#REF!</f>
        <v>#REF!</v>
      </c>
      <c r="K56" s="31" t="e">
        <f>'Raw data'!#REF!</f>
        <v>#REF!</v>
      </c>
      <c r="L56" s="26" t="e">
        <f t="shared" si="2"/>
        <v>#REF!</v>
      </c>
    </row>
    <row r="57" spans="2:12">
      <c r="B57" s="4" t="e">
        <f t="shared" si="0"/>
        <v>#REF!</v>
      </c>
      <c r="C57" s="4" t="e">
        <f>'Raw data'!#REF!</f>
        <v>#REF!</v>
      </c>
      <c r="D57" s="29" t="e">
        <f>VLOOKUP(C57,'점포코드 '!A:B,2,0)</f>
        <v>#REF!</v>
      </c>
      <c r="E57" s="30" t="e">
        <f>'Raw data'!#REF!</f>
        <v>#REF!</v>
      </c>
      <c r="F57" s="29" t="e">
        <f>VLOOKUP(E57,'점포코드 '!A:B,2,0)</f>
        <v>#REF!</v>
      </c>
      <c r="G57" s="46" t="e">
        <f>'Raw data'!#REF!</f>
        <v>#REF!</v>
      </c>
      <c r="H57" s="4" t="e">
        <f>'Raw data'!#REF!</f>
        <v>#REF!</v>
      </c>
      <c r="I57" s="29" t="e">
        <f>VLOOKUP(G57,제품명!$C$1:$E$114,2,0)</f>
        <v>#REF!</v>
      </c>
      <c r="J57" s="29" t="e">
        <f>'Raw data'!#REF!</f>
        <v>#REF!</v>
      </c>
      <c r="K57" s="31" t="e">
        <f>'Raw data'!#REF!</f>
        <v>#REF!</v>
      </c>
      <c r="L57" s="26" t="e">
        <f t="shared" si="2"/>
        <v>#REF!</v>
      </c>
    </row>
    <row r="58" spans="2:12">
      <c r="B58" s="4" t="e">
        <f t="shared" si="0"/>
        <v>#REF!</v>
      </c>
      <c r="C58" s="4" t="e">
        <f>'Raw data'!#REF!</f>
        <v>#REF!</v>
      </c>
      <c r="D58" s="29" t="e">
        <f>VLOOKUP(C58,'점포코드 '!A:B,2,0)</f>
        <v>#REF!</v>
      </c>
      <c r="E58" s="30" t="e">
        <f>'Raw data'!#REF!</f>
        <v>#REF!</v>
      </c>
      <c r="F58" s="29" t="e">
        <f>VLOOKUP(E58,'점포코드 '!A:B,2,0)</f>
        <v>#REF!</v>
      </c>
      <c r="G58" s="46" t="e">
        <f>'Raw data'!#REF!</f>
        <v>#REF!</v>
      </c>
      <c r="H58" s="4" t="e">
        <f>'Raw data'!#REF!</f>
        <v>#REF!</v>
      </c>
      <c r="I58" s="29" t="e">
        <f>VLOOKUP(G58,제품명!$C$1:$E$114,2,0)</f>
        <v>#REF!</v>
      </c>
      <c r="J58" s="29" t="e">
        <f>'Raw data'!#REF!</f>
        <v>#REF!</v>
      </c>
      <c r="K58" s="31" t="e">
        <f>'Raw data'!#REF!</f>
        <v>#REF!</v>
      </c>
      <c r="L58" s="26" t="e">
        <f t="shared" si="2"/>
        <v>#REF!</v>
      </c>
    </row>
    <row r="59" spans="2:12">
      <c r="B59" s="4" t="e">
        <f t="shared" si="0"/>
        <v>#REF!</v>
      </c>
      <c r="C59" s="4" t="e">
        <f>'Raw data'!#REF!</f>
        <v>#REF!</v>
      </c>
      <c r="D59" s="29" t="e">
        <f>VLOOKUP(C59,'점포코드 '!A:B,2,0)</f>
        <v>#REF!</v>
      </c>
      <c r="E59" s="30" t="e">
        <f>'Raw data'!#REF!</f>
        <v>#REF!</v>
      </c>
      <c r="F59" s="29" t="e">
        <f>VLOOKUP(E59,'점포코드 '!A:B,2,0)</f>
        <v>#REF!</v>
      </c>
      <c r="G59" s="46" t="e">
        <f>'Raw data'!#REF!</f>
        <v>#REF!</v>
      </c>
      <c r="H59" s="4" t="e">
        <f>'Raw data'!#REF!</f>
        <v>#REF!</v>
      </c>
      <c r="I59" s="29" t="e">
        <f>VLOOKUP(G59,제품명!$C$1:$E$114,2,0)</f>
        <v>#REF!</v>
      </c>
      <c r="J59" s="29" t="e">
        <f>'Raw data'!#REF!</f>
        <v>#REF!</v>
      </c>
      <c r="K59" s="31" t="e">
        <f>'Raw data'!#REF!</f>
        <v>#REF!</v>
      </c>
      <c r="L59" s="26" t="e">
        <f t="shared" si="2"/>
        <v>#REF!</v>
      </c>
    </row>
    <row r="60" spans="2:12">
      <c r="B60" s="4" t="e">
        <f t="shared" si="0"/>
        <v>#REF!</v>
      </c>
      <c r="C60" s="4" t="e">
        <f>'Raw data'!#REF!</f>
        <v>#REF!</v>
      </c>
      <c r="D60" s="29" t="e">
        <f>VLOOKUP(C60,'점포코드 '!A:B,2,0)</f>
        <v>#REF!</v>
      </c>
      <c r="E60" s="30" t="e">
        <f>'Raw data'!#REF!</f>
        <v>#REF!</v>
      </c>
      <c r="F60" s="29" t="e">
        <f>VLOOKUP(E60,'점포코드 '!A:B,2,0)</f>
        <v>#REF!</v>
      </c>
      <c r="G60" s="46" t="e">
        <f>'Raw data'!#REF!</f>
        <v>#REF!</v>
      </c>
      <c r="H60" s="4" t="e">
        <f>'Raw data'!#REF!</f>
        <v>#REF!</v>
      </c>
      <c r="I60" s="29" t="e">
        <f>VLOOKUP(G60,제품명!$C$1:$E$114,2,0)</f>
        <v>#REF!</v>
      </c>
      <c r="J60" s="29" t="e">
        <f>'Raw data'!#REF!</f>
        <v>#REF!</v>
      </c>
      <c r="K60" s="31" t="e">
        <f>'Raw data'!#REF!</f>
        <v>#REF!</v>
      </c>
      <c r="L60" s="26" t="e">
        <f t="shared" si="2"/>
        <v>#REF!</v>
      </c>
    </row>
    <row r="61" spans="2:12">
      <c r="B61" s="4" t="e">
        <f t="shared" si="0"/>
        <v>#REF!</v>
      </c>
      <c r="C61" s="4" t="e">
        <f>'Raw data'!#REF!</f>
        <v>#REF!</v>
      </c>
      <c r="D61" s="29" t="e">
        <f>VLOOKUP(C61,'점포코드 '!A:B,2,0)</f>
        <v>#REF!</v>
      </c>
      <c r="E61" s="30" t="e">
        <f>'Raw data'!#REF!</f>
        <v>#REF!</v>
      </c>
      <c r="F61" s="29" t="e">
        <f>VLOOKUP(E61,'점포코드 '!A:B,2,0)</f>
        <v>#REF!</v>
      </c>
      <c r="G61" s="46" t="e">
        <f>'Raw data'!#REF!</f>
        <v>#REF!</v>
      </c>
      <c r="H61" s="4" t="e">
        <f>'Raw data'!#REF!</f>
        <v>#REF!</v>
      </c>
      <c r="I61" s="29" t="e">
        <f>VLOOKUP(G61,제품명!$C$1:$E$114,2,0)</f>
        <v>#REF!</v>
      </c>
      <c r="J61" s="29" t="e">
        <f>'Raw data'!#REF!</f>
        <v>#REF!</v>
      </c>
      <c r="K61" s="31" t="e">
        <f>'Raw data'!#REF!</f>
        <v>#REF!</v>
      </c>
      <c r="L61" s="26" t="e">
        <f t="shared" si="2"/>
        <v>#REF!</v>
      </c>
    </row>
    <row r="62" spans="2:12">
      <c r="B62" s="4" t="e">
        <f t="shared" si="0"/>
        <v>#REF!</v>
      </c>
      <c r="C62" s="4" t="e">
        <f>'Raw data'!#REF!</f>
        <v>#REF!</v>
      </c>
      <c r="D62" s="29" t="e">
        <f>VLOOKUP(C62,'점포코드 '!A:B,2,0)</f>
        <v>#REF!</v>
      </c>
      <c r="E62" s="30" t="e">
        <f>'Raw data'!#REF!</f>
        <v>#REF!</v>
      </c>
      <c r="F62" s="29" t="e">
        <f>VLOOKUP(E62,'점포코드 '!A:B,2,0)</f>
        <v>#REF!</v>
      </c>
      <c r="G62" s="46" t="e">
        <f>'Raw data'!#REF!</f>
        <v>#REF!</v>
      </c>
      <c r="H62" s="4" t="e">
        <f>'Raw data'!#REF!</f>
        <v>#REF!</v>
      </c>
      <c r="I62" s="29" t="e">
        <f>VLOOKUP(G62,제품명!$C$1:$E$114,2,0)</f>
        <v>#REF!</v>
      </c>
      <c r="J62" s="29" t="e">
        <f>'Raw data'!#REF!</f>
        <v>#REF!</v>
      </c>
      <c r="K62" s="31" t="e">
        <f>'Raw data'!#REF!</f>
        <v>#REF!</v>
      </c>
      <c r="L62" s="26" t="e">
        <f t="shared" si="2"/>
        <v>#REF!</v>
      </c>
    </row>
    <row r="63" spans="2:12">
      <c r="B63" s="4" t="e">
        <f t="shared" si="0"/>
        <v>#REF!</v>
      </c>
      <c r="C63" s="4" t="e">
        <f>'Raw data'!#REF!</f>
        <v>#REF!</v>
      </c>
      <c r="D63" s="29" t="e">
        <f>VLOOKUP(C63,'점포코드 '!A:B,2,0)</f>
        <v>#REF!</v>
      </c>
      <c r="E63" s="30" t="e">
        <f>'Raw data'!#REF!</f>
        <v>#REF!</v>
      </c>
      <c r="F63" s="29" t="e">
        <f>VLOOKUP(E63,'점포코드 '!A:B,2,0)</f>
        <v>#REF!</v>
      </c>
      <c r="G63" s="46" t="e">
        <f>'Raw data'!#REF!</f>
        <v>#REF!</v>
      </c>
      <c r="H63" s="4" t="e">
        <f>'Raw data'!#REF!</f>
        <v>#REF!</v>
      </c>
      <c r="I63" s="29" t="e">
        <f>VLOOKUP(G63,제품명!$C$1:$E$114,2,0)</f>
        <v>#REF!</v>
      </c>
      <c r="J63" s="29" t="e">
        <f>'Raw data'!#REF!</f>
        <v>#REF!</v>
      </c>
      <c r="K63" s="31" t="e">
        <f>'Raw data'!#REF!</f>
        <v>#REF!</v>
      </c>
      <c r="L63" s="26" t="e">
        <f t="shared" si="2"/>
        <v>#REF!</v>
      </c>
    </row>
    <row r="64" spans="2:12">
      <c r="B64" s="4" t="e">
        <f t="shared" si="0"/>
        <v>#REF!</v>
      </c>
      <c r="C64" s="4" t="e">
        <f>'Raw data'!#REF!</f>
        <v>#REF!</v>
      </c>
      <c r="D64" s="29" t="e">
        <f>VLOOKUP(C64,'점포코드 '!A:B,2,0)</f>
        <v>#REF!</v>
      </c>
      <c r="E64" s="30" t="e">
        <f>'Raw data'!#REF!</f>
        <v>#REF!</v>
      </c>
      <c r="F64" s="29" t="e">
        <f>VLOOKUP(E64,'점포코드 '!A:B,2,0)</f>
        <v>#REF!</v>
      </c>
      <c r="G64" s="46" t="e">
        <f>'Raw data'!#REF!</f>
        <v>#REF!</v>
      </c>
      <c r="H64" s="4" t="e">
        <f>'Raw data'!#REF!</f>
        <v>#REF!</v>
      </c>
      <c r="I64" s="29" t="e">
        <f>VLOOKUP(G64,제품명!$C$1:$E$114,2,0)</f>
        <v>#REF!</v>
      </c>
      <c r="J64" s="29" t="e">
        <f>'Raw data'!#REF!</f>
        <v>#REF!</v>
      </c>
      <c r="K64" s="31" t="e">
        <f>'Raw data'!#REF!</f>
        <v>#REF!</v>
      </c>
      <c r="L64" s="26" t="e">
        <f t="shared" si="2"/>
        <v>#REF!</v>
      </c>
    </row>
    <row r="65" spans="2:12">
      <c r="B65" s="4" t="e">
        <f t="shared" si="0"/>
        <v>#REF!</v>
      </c>
      <c r="C65" s="4" t="e">
        <f>'Raw data'!#REF!</f>
        <v>#REF!</v>
      </c>
      <c r="D65" s="29" t="e">
        <f>VLOOKUP(C65,'점포코드 '!A:B,2,0)</f>
        <v>#REF!</v>
      </c>
      <c r="E65" s="30" t="e">
        <f>'Raw data'!#REF!</f>
        <v>#REF!</v>
      </c>
      <c r="F65" s="29" t="e">
        <f>VLOOKUP(E65,'점포코드 '!A:B,2,0)</f>
        <v>#REF!</v>
      </c>
      <c r="G65" s="46" t="e">
        <f>'Raw data'!#REF!</f>
        <v>#REF!</v>
      </c>
      <c r="H65" s="4" t="e">
        <f>'Raw data'!#REF!</f>
        <v>#REF!</v>
      </c>
      <c r="I65" s="29" t="e">
        <f>VLOOKUP(G65,제품명!$C$1:$E$114,2,0)</f>
        <v>#REF!</v>
      </c>
      <c r="J65" s="29" t="e">
        <f>'Raw data'!#REF!</f>
        <v>#REF!</v>
      </c>
      <c r="K65" s="31" t="e">
        <f>'Raw data'!#REF!</f>
        <v>#REF!</v>
      </c>
      <c r="L65" s="26" t="e">
        <f t="shared" si="2"/>
        <v>#REF!</v>
      </c>
    </row>
    <row r="66" spans="2:12">
      <c r="B66" s="4" t="e">
        <f t="shared" ref="B66:B129" si="3">F66&amp;I66</f>
        <v>#REF!</v>
      </c>
      <c r="C66" s="4" t="e">
        <f>'Raw data'!#REF!</f>
        <v>#REF!</v>
      </c>
      <c r="D66" s="29" t="e">
        <f>VLOOKUP(C66,'점포코드 '!A:B,2,0)</f>
        <v>#REF!</v>
      </c>
      <c r="E66" s="30" t="e">
        <f>'Raw data'!#REF!</f>
        <v>#REF!</v>
      </c>
      <c r="F66" s="29" t="e">
        <f>VLOOKUP(E66,'점포코드 '!A:B,2,0)</f>
        <v>#REF!</v>
      </c>
      <c r="G66" s="46" t="e">
        <f>'Raw data'!#REF!</f>
        <v>#REF!</v>
      </c>
      <c r="H66" s="4" t="e">
        <f>'Raw data'!#REF!</f>
        <v>#REF!</v>
      </c>
      <c r="I66" s="29" t="e">
        <f>VLOOKUP(G66,제품명!$C$1:$E$114,2,0)</f>
        <v>#REF!</v>
      </c>
      <c r="J66" s="29" t="e">
        <f>'Raw data'!#REF!</f>
        <v>#REF!</v>
      </c>
      <c r="K66" s="31" t="e">
        <f>'Raw data'!#REF!</f>
        <v>#REF!</v>
      </c>
      <c r="L66" s="26" t="e">
        <f t="shared" si="2"/>
        <v>#REF!</v>
      </c>
    </row>
    <row r="67" spans="2:12">
      <c r="B67" s="4" t="e">
        <f t="shared" si="3"/>
        <v>#REF!</v>
      </c>
      <c r="C67" s="4" t="e">
        <f>'Raw data'!#REF!</f>
        <v>#REF!</v>
      </c>
      <c r="D67" s="29" t="e">
        <f>VLOOKUP(C67,'점포코드 '!A:B,2,0)</f>
        <v>#REF!</v>
      </c>
      <c r="E67" s="30" t="e">
        <f>'Raw data'!#REF!</f>
        <v>#REF!</v>
      </c>
      <c r="F67" s="29" t="e">
        <f>VLOOKUP(E67,'점포코드 '!A:B,2,0)</f>
        <v>#REF!</v>
      </c>
      <c r="G67" s="46" t="e">
        <f>'Raw data'!#REF!</f>
        <v>#REF!</v>
      </c>
      <c r="H67" s="4" t="e">
        <f>'Raw data'!#REF!</f>
        <v>#REF!</v>
      </c>
      <c r="I67" s="29" t="e">
        <f>VLOOKUP(G67,제품명!$C$1:$E$114,2,0)</f>
        <v>#REF!</v>
      </c>
      <c r="J67" s="29" t="e">
        <f>'Raw data'!#REF!</f>
        <v>#REF!</v>
      </c>
      <c r="K67" s="31" t="e">
        <f>'Raw data'!#REF!</f>
        <v>#REF!</v>
      </c>
      <c r="L67" s="26" t="e">
        <f t="shared" ref="L67:L130" si="4">J67*K67</f>
        <v>#REF!</v>
      </c>
    </row>
    <row r="68" spans="2:12">
      <c r="B68" s="4" t="e">
        <f t="shared" si="3"/>
        <v>#REF!</v>
      </c>
      <c r="C68" s="4" t="e">
        <f>'Raw data'!#REF!</f>
        <v>#REF!</v>
      </c>
      <c r="D68" s="29" t="e">
        <f>VLOOKUP(C68,'점포코드 '!A:B,2,0)</f>
        <v>#REF!</v>
      </c>
      <c r="E68" s="30" t="e">
        <f>'Raw data'!#REF!</f>
        <v>#REF!</v>
      </c>
      <c r="F68" s="29" t="e">
        <f>VLOOKUP(E68,'점포코드 '!A:B,2,0)</f>
        <v>#REF!</v>
      </c>
      <c r="G68" s="46" t="e">
        <f>'Raw data'!#REF!</f>
        <v>#REF!</v>
      </c>
      <c r="H68" s="4" t="e">
        <f>'Raw data'!#REF!</f>
        <v>#REF!</v>
      </c>
      <c r="I68" s="29" t="e">
        <f>VLOOKUP(G68,제품명!$C$1:$E$114,2,0)</f>
        <v>#REF!</v>
      </c>
      <c r="J68" s="29" t="e">
        <f>'Raw data'!#REF!</f>
        <v>#REF!</v>
      </c>
      <c r="K68" s="31" t="e">
        <f>'Raw data'!#REF!</f>
        <v>#REF!</v>
      </c>
      <c r="L68" s="26" t="e">
        <f t="shared" si="4"/>
        <v>#REF!</v>
      </c>
    </row>
    <row r="69" spans="2:12">
      <c r="B69" s="4" t="e">
        <f t="shared" si="3"/>
        <v>#REF!</v>
      </c>
      <c r="C69" s="4" t="e">
        <f>'Raw data'!#REF!</f>
        <v>#REF!</v>
      </c>
      <c r="D69" s="29" t="e">
        <f>VLOOKUP(C69,'점포코드 '!A:B,2,0)</f>
        <v>#REF!</v>
      </c>
      <c r="E69" s="30" t="e">
        <f>'Raw data'!#REF!</f>
        <v>#REF!</v>
      </c>
      <c r="F69" s="29" t="e">
        <f>VLOOKUP(E69,'점포코드 '!A:B,2,0)</f>
        <v>#REF!</v>
      </c>
      <c r="G69" s="46" t="e">
        <f>'Raw data'!#REF!</f>
        <v>#REF!</v>
      </c>
      <c r="H69" s="4" t="e">
        <f>'Raw data'!#REF!</f>
        <v>#REF!</v>
      </c>
      <c r="I69" s="29" t="e">
        <f>VLOOKUP(G69,제품명!$C$1:$E$114,2,0)</f>
        <v>#REF!</v>
      </c>
      <c r="J69" s="29" t="e">
        <f>'Raw data'!#REF!</f>
        <v>#REF!</v>
      </c>
      <c r="K69" s="31" t="e">
        <f>'Raw data'!#REF!</f>
        <v>#REF!</v>
      </c>
      <c r="L69" s="26" t="e">
        <f t="shared" si="4"/>
        <v>#REF!</v>
      </c>
    </row>
    <row r="70" spans="2:12">
      <c r="B70" s="4" t="e">
        <f t="shared" si="3"/>
        <v>#REF!</v>
      </c>
      <c r="C70" s="4" t="e">
        <f>'Raw data'!#REF!</f>
        <v>#REF!</v>
      </c>
      <c r="D70" s="29" t="e">
        <f>VLOOKUP(C70,'점포코드 '!A:B,2,0)</f>
        <v>#REF!</v>
      </c>
      <c r="E70" s="30" t="e">
        <f>'Raw data'!#REF!</f>
        <v>#REF!</v>
      </c>
      <c r="F70" s="29" t="e">
        <f>VLOOKUP(E70,'점포코드 '!A:B,2,0)</f>
        <v>#REF!</v>
      </c>
      <c r="G70" s="46" t="e">
        <f>'Raw data'!#REF!</f>
        <v>#REF!</v>
      </c>
      <c r="H70" s="4" t="e">
        <f>'Raw data'!#REF!</f>
        <v>#REF!</v>
      </c>
      <c r="I70" s="29" t="e">
        <f>VLOOKUP(G70,제품명!$C$1:$E$114,2,0)</f>
        <v>#REF!</v>
      </c>
      <c r="J70" s="29" t="e">
        <f>'Raw data'!#REF!</f>
        <v>#REF!</v>
      </c>
      <c r="K70" s="31" t="e">
        <f>'Raw data'!#REF!</f>
        <v>#REF!</v>
      </c>
      <c r="L70" s="26" t="e">
        <f t="shared" si="4"/>
        <v>#REF!</v>
      </c>
    </row>
    <row r="71" spans="2:12">
      <c r="B71" s="4" t="e">
        <f t="shared" si="3"/>
        <v>#REF!</v>
      </c>
      <c r="C71" s="4" t="e">
        <f>'Raw data'!#REF!</f>
        <v>#REF!</v>
      </c>
      <c r="D71" s="29" t="e">
        <f>VLOOKUP(C71,'점포코드 '!A:B,2,0)</f>
        <v>#REF!</v>
      </c>
      <c r="E71" s="30" t="e">
        <f>'Raw data'!#REF!</f>
        <v>#REF!</v>
      </c>
      <c r="F71" s="29" t="e">
        <f>VLOOKUP(E71,'점포코드 '!A:B,2,0)</f>
        <v>#REF!</v>
      </c>
      <c r="G71" s="46" t="e">
        <f>'Raw data'!#REF!</f>
        <v>#REF!</v>
      </c>
      <c r="H71" s="4" t="e">
        <f>'Raw data'!#REF!</f>
        <v>#REF!</v>
      </c>
      <c r="I71" s="29" t="e">
        <f>VLOOKUP(G71,제품명!$C$1:$E$114,2,0)</f>
        <v>#REF!</v>
      </c>
      <c r="J71" s="29" t="e">
        <f>'Raw data'!#REF!</f>
        <v>#REF!</v>
      </c>
      <c r="K71" s="31" t="e">
        <f>'Raw data'!#REF!</f>
        <v>#REF!</v>
      </c>
      <c r="L71" s="26" t="e">
        <f t="shared" si="4"/>
        <v>#REF!</v>
      </c>
    </row>
    <row r="72" spans="2:12">
      <c r="B72" s="4" t="e">
        <f t="shared" si="3"/>
        <v>#REF!</v>
      </c>
      <c r="C72" s="4" t="e">
        <f>'Raw data'!#REF!</f>
        <v>#REF!</v>
      </c>
      <c r="D72" s="29" t="e">
        <f>VLOOKUP(C72,'점포코드 '!A:B,2,0)</f>
        <v>#REF!</v>
      </c>
      <c r="E72" s="30" t="e">
        <f>'Raw data'!#REF!</f>
        <v>#REF!</v>
      </c>
      <c r="F72" s="29" t="e">
        <f>VLOOKUP(E72,'점포코드 '!A:B,2,0)</f>
        <v>#REF!</v>
      </c>
      <c r="G72" s="46" t="e">
        <f>'Raw data'!#REF!</f>
        <v>#REF!</v>
      </c>
      <c r="H72" s="4" t="e">
        <f>'Raw data'!#REF!</f>
        <v>#REF!</v>
      </c>
      <c r="I72" s="29" t="e">
        <f>VLOOKUP(G72,제품명!$C$1:$E$114,2,0)</f>
        <v>#REF!</v>
      </c>
      <c r="J72" s="29" t="e">
        <f>'Raw data'!#REF!</f>
        <v>#REF!</v>
      </c>
      <c r="K72" s="31" t="e">
        <f>'Raw data'!#REF!</f>
        <v>#REF!</v>
      </c>
      <c r="L72" s="26" t="e">
        <f t="shared" si="4"/>
        <v>#REF!</v>
      </c>
    </row>
    <row r="73" spans="2:12">
      <c r="B73" s="4" t="e">
        <f t="shared" si="3"/>
        <v>#REF!</v>
      </c>
      <c r="C73" s="4" t="e">
        <f>'Raw data'!#REF!</f>
        <v>#REF!</v>
      </c>
      <c r="D73" s="29" t="e">
        <f>VLOOKUP(C73,'점포코드 '!A:B,2,0)</f>
        <v>#REF!</v>
      </c>
      <c r="E73" s="30" t="e">
        <f>'Raw data'!#REF!</f>
        <v>#REF!</v>
      </c>
      <c r="F73" s="29" t="e">
        <f>VLOOKUP(E73,'점포코드 '!A:B,2,0)</f>
        <v>#REF!</v>
      </c>
      <c r="G73" s="46" t="e">
        <f>'Raw data'!#REF!</f>
        <v>#REF!</v>
      </c>
      <c r="H73" s="4" t="e">
        <f>'Raw data'!#REF!</f>
        <v>#REF!</v>
      </c>
      <c r="I73" s="29" t="e">
        <f>VLOOKUP(G73,제품명!$C$1:$E$114,2,0)</f>
        <v>#REF!</v>
      </c>
      <c r="J73" s="29" t="e">
        <f>'Raw data'!#REF!</f>
        <v>#REF!</v>
      </c>
      <c r="K73" s="31" t="e">
        <f>'Raw data'!#REF!</f>
        <v>#REF!</v>
      </c>
      <c r="L73" s="26" t="e">
        <f t="shared" si="4"/>
        <v>#REF!</v>
      </c>
    </row>
    <row r="74" spans="2:12">
      <c r="B74" s="4" t="e">
        <f t="shared" si="3"/>
        <v>#REF!</v>
      </c>
      <c r="C74" s="4" t="e">
        <f>'Raw data'!#REF!</f>
        <v>#REF!</v>
      </c>
      <c r="D74" s="29" t="e">
        <f>VLOOKUP(C74,'점포코드 '!A:B,2,0)</f>
        <v>#REF!</v>
      </c>
      <c r="E74" s="30" t="e">
        <f>'Raw data'!#REF!</f>
        <v>#REF!</v>
      </c>
      <c r="F74" s="29" t="e">
        <f>VLOOKUP(E74,'점포코드 '!A:B,2,0)</f>
        <v>#REF!</v>
      </c>
      <c r="G74" s="46" t="e">
        <f>'Raw data'!#REF!</f>
        <v>#REF!</v>
      </c>
      <c r="H74" s="4" t="e">
        <f>'Raw data'!#REF!</f>
        <v>#REF!</v>
      </c>
      <c r="I74" s="29" t="e">
        <f>VLOOKUP(G74,제품명!$C$1:$E$114,2,0)</f>
        <v>#REF!</v>
      </c>
      <c r="J74" s="29" t="e">
        <f>'Raw data'!#REF!</f>
        <v>#REF!</v>
      </c>
      <c r="K74" s="31" t="e">
        <f>'Raw data'!#REF!</f>
        <v>#REF!</v>
      </c>
      <c r="L74" s="26" t="e">
        <f t="shared" si="4"/>
        <v>#REF!</v>
      </c>
    </row>
    <row r="75" spans="2:12">
      <c r="B75" s="4" t="e">
        <f t="shared" si="3"/>
        <v>#REF!</v>
      </c>
      <c r="C75" s="4" t="e">
        <f>'Raw data'!#REF!</f>
        <v>#REF!</v>
      </c>
      <c r="D75" s="29" t="e">
        <f>VLOOKUP(C75,'점포코드 '!A:B,2,0)</f>
        <v>#REF!</v>
      </c>
      <c r="E75" s="30" t="e">
        <f>'Raw data'!#REF!</f>
        <v>#REF!</v>
      </c>
      <c r="F75" s="29" t="e">
        <f>VLOOKUP(E75,'점포코드 '!A:B,2,0)</f>
        <v>#REF!</v>
      </c>
      <c r="G75" s="46" t="e">
        <f>'Raw data'!#REF!</f>
        <v>#REF!</v>
      </c>
      <c r="H75" s="4" t="e">
        <f>'Raw data'!#REF!</f>
        <v>#REF!</v>
      </c>
      <c r="I75" s="29" t="e">
        <f>VLOOKUP(G75,제품명!$C$1:$E$114,2,0)</f>
        <v>#REF!</v>
      </c>
      <c r="J75" s="29" t="e">
        <f>'Raw data'!#REF!</f>
        <v>#REF!</v>
      </c>
      <c r="K75" s="31" t="e">
        <f>'Raw data'!#REF!</f>
        <v>#REF!</v>
      </c>
      <c r="L75" s="26" t="e">
        <f t="shared" si="4"/>
        <v>#REF!</v>
      </c>
    </row>
    <row r="76" spans="2:12">
      <c r="B76" s="4" t="e">
        <f t="shared" si="3"/>
        <v>#REF!</v>
      </c>
      <c r="C76" s="4" t="e">
        <f>'Raw data'!#REF!</f>
        <v>#REF!</v>
      </c>
      <c r="D76" s="29" t="e">
        <f>VLOOKUP(C76,'점포코드 '!A:B,2,0)</f>
        <v>#REF!</v>
      </c>
      <c r="E76" s="30" t="e">
        <f>'Raw data'!#REF!</f>
        <v>#REF!</v>
      </c>
      <c r="F76" s="29" t="e">
        <f>VLOOKUP(E76,'점포코드 '!A:B,2,0)</f>
        <v>#REF!</v>
      </c>
      <c r="G76" s="46" t="e">
        <f>'Raw data'!#REF!</f>
        <v>#REF!</v>
      </c>
      <c r="H76" s="4" t="e">
        <f>'Raw data'!#REF!</f>
        <v>#REF!</v>
      </c>
      <c r="I76" s="29" t="e">
        <f>VLOOKUP(G76,제품명!$C$1:$E$114,2,0)</f>
        <v>#REF!</v>
      </c>
      <c r="J76" s="29" t="e">
        <f>'Raw data'!#REF!</f>
        <v>#REF!</v>
      </c>
      <c r="K76" s="31" t="e">
        <f>'Raw data'!#REF!</f>
        <v>#REF!</v>
      </c>
      <c r="L76" s="26" t="e">
        <f t="shared" si="4"/>
        <v>#REF!</v>
      </c>
    </row>
    <row r="77" spans="2:12">
      <c r="B77" s="4" t="e">
        <f t="shared" si="3"/>
        <v>#REF!</v>
      </c>
      <c r="C77" s="4" t="e">
        <f>'Raw data'!#REF!</f>
        <v>#REF!</v>
      </c>
      <c r="D77" s="29" t="e">
        <f>VLOOKUP(C77,'점포코드 '!A:B,2,0)</f>
        <v>#REF!</v>
      </c>
      <c r="E77" s="30" t="e">
        <f>'Raw data'!#REF!</f>
        <v>#REF!</v>
      </c>
      <c r="F77" s="29" t="e">
        <f>VLOOKUP(E77,'점포코드 '!A:B,2,0)</f>
        <v>#REF!</v>
      </c>
      <c r="G77" s="46" t="e">
        <f>'Raw data'!#REF!</f>
        <v>#REF!</v>
      </c>
      <c r="H77" s="4" t="e">
        <f>'Raw data'!#REF!</f>
        <v>#REF!</v>
      </c>
      <c r="I77" s="29" t="e">
        <f>VLOOKUP(G77,제품명!$C$1:$E$114,2,0)</f>
        <v>#REF!</v>
      </c>
      <c r="J77" s="29" t="e">
        <f>'Raw data'!#REF!</f>
        <v>#REF!</v>
      </c>
      <c r="K77" s="31" t="e">
        <f>'Raw data'!#REF!</f>
        <v>#REF!</v>
      </c>
      <c r="L77" s="26" t="e">
        <f t="shared" si="4"/>
        <v>#REF!</v>
      </c>
    </row>
    <row r="78" spans="2:12">
      <c r="B78" s="4" t="e">
        <f t="shared" si="3"/>
        <v>#REF!</v>
      </c>
      <c r="C78" s="4" t="e">
        <f>'Raw data'!#REF!</f>
        <v>#REF!</v>
      </c>
      <c r="D78" s="29" t="e">
        <f>VLOOKUP(C78,'점포코드 '!A:B,2,0)</f>
        <v>#REF!</v>
      </c>
      <c r="E78" s="30" t="e">
        <f>'Raw data'!#REF!</f>
        <v>#REF!</v>
      </c>
      <c r="F78" s="29" t="e">
        <f>VLOOKUP(E78,'점포코드 '!A:B,2,0)</f>
        <v>#REF!</v>
      </c>
      <c r="G78" s="46" t="e">
        <f>'Raw data'!#REF!</f>
        <v>#REF!</v>
      </c>
      <c r="H78" s="4" t="e">
        <f>'Raw data'!#REF!</f>
        <v>#REF!</v>
      </c>
      <c r="I78" s="29" t="e">
        <f>VLOOKUP(G78,제품명!$C$1:$E$114,2,0)</f>
        <v>#REF!</v>
      </c>
      <c r="J78" s="29" t="e">
        <f>'Raw data'!#REF!</f>
        <v>#REF!</v>
      </c>
      <c r="K78" s="31" t="e">
        <f>'Raw data'!#REF!</f>
        <v>#REF!</v>
      </c>
      <c r="L78" s="26" t="e">
        <f t="shared" si="4"/>
        <v>#REF!</v>
      </c>
    </row>
    <row r="79" spans="2:12">
      <c r="B79" s="4" t="e">
        <f t="shared" si="3"/>
        <v>#REF!</v>
      </c>
      <c r="C79" s="4" t="e">
        <f>'Raw data'!#REF!</f>
        <v>#REF!</v>
      </c>
      <c r="D79" s="29" t="e">
        <f>VLOOKUP(C79,'점포코드 '!A:B,2,0)</f>
        <v>#REF!</v>
      </c>
      <c r="E79" s="30" t="e">
        <f>'Raw data'!#REF!</f>
        <v>#REF!</v>
      </c>
      <c r="F79" s="29" t="e">
        <f>VLOOKUP(E79,'점포코드 '!A:B,2,0)</f>
        <v>#REF!</v>
      </c>
      <c r="G79" s="46" t="e">
        <f>'Raw data'!#REF!</f>
        <v>#REF!</v>
      </c>
      <c r="H79" s="4" t="e">
        <f>'Raw data'!#REF!</f>
        <v>#REF!</v>
      </c>
      <c r="I79" s="29" t="e">
        <f>VLOOKUP(G79,제품명!$C$1:$E$114,2,0)</f>
        <v>#REF!</v>
      </c>
      <c r="J79" s="29" t="e">
        <f>'Raw data'!#REF!</f>
        <v>#REF!</v>
      </c>
      <c r="K79" s="31" t="e">
        <f>'Raw data'!#REF!</f>
        <v>#REF!</v>
      </c>
      <c r="L79" s="26" t="e">
        <f t="shared" si="4"/>
        <v>#REF!</v>
      </c>
    </row>
    <row r="80" spans="2:12">
      <c r="B80" s="4" t="e">
        <f t="shared" si="3"/>
        <v>#REF!</v>
      </c>
      <c r="C80" s="4" t="e">
        <f>'Raw data'!#REF!</f>
        <v>#REF!</v>
      </c>
      <c r="D80" s="29" t="e">
        <f>VLOOKUP(C80,'점포코드 '!A:B,2,0)</f>
        <v>#REF!</v>
      </c>
      <c r="E80" s="30" t="e">
        <f>'Raw data'!#REF!</f>
        <v>#REF!</v>
      </c>
      <c r="F80" s="29" t="e">
        <f>VLOOKUP(E80,'점포코드 '!A:B,2,0)</f>
        <v>#REF!</v>
      </c>
      <c r="G80" s="46" t="e">
        <f>'Raw data'!#REF!</f>
        <v>#REF!</v>
      </c>
      <c r="H80" s="4" t="e">
        <f>'Raw data'!#REF!</f>
        <v>#REF!</v>
      </c>
      <c r="I80" s="29" t="e">
        <f>VLOOKUP(G80,제품명!$C$1:$E$114,2,0)</f>
        <v>#REF!</v>
      </c>
      <c r="J80" s="29" t="e">
        <f>'Raw data'!#REF!</f>
        <v>#REF!</v>
      </c>
      <c r="K80" s="31" t="e">
        <f>'Raw data'!#REF!</f>
        <v>#REF!</v>
      </c>
      <c r="L80" s="26" t="e">
        <f t="shared" si="4"/>
        <v>#REF!</v>
      </c>
    </row>
    <row r="81" spans="2:12">
      <c r="B81" s="4" t="e">
        <f t="shared" si="3"/>
        <v>#REF!</v>
      </c>
      <c r="C81" s="4" t="e">
        <f>'Raw data'!#REF!</f>
        <v>#REF!</v>
      </c>
      <c r="D81" s="29" t="e">
        <f>VLOOKUP(C81,'점포코드 '!A:B,2,0)</f>
        <v>#REF!</v>
      </c>
      <c r="E81" s="30" t="e">
        <f>'Raw data'!#REF!</f>
        <v>#REF!</v>
      </c>
      <c r="F81" s="29" t="e">
        <f>VLOOKUP(E81,'점포코드 '!A:B,2,0)</f>
        <v>#REF!</v>
      </c>
      <c r="G81" s="46" t="e">
        <f>'Raw data'!#REF!</f>
        <v>#REF!</v>
      </c>
      <c r="H81" s="4" t="e">
        <f>'Raw data'!#REF!</f>
        <v>#REF!</v>
      </c>
      <c r="I81" s="29" t="e">
        <f>VLOOKUP(G81,제품명!$C$1:$E$114,2,0)</f>
        <v>#REF!</v>
      </c>
      <c r="J81" s="29" t="e">
        <f>'Raw data'!#REF!</f>
        <v>#REF!</v>
      </c>
      <c r="K81" s="31" t="e">
        <f>'Raw data'!#REF!</f>
        <v>#REF!</v>
      </c>
      <c r="L81" s="26" t="e">
        <f t="shared" si="4"/>
        <v>#REF!</v>
      </c>
    </row>
    <row r="82" spans="2:12">
      <c r="B82" s="4" t="str">
        <f t="shared" si="3"/>
        <v>81010905ME00421186</v>
      </c>
      <c r="C82" s="4" t="str">
        <f>'Raw data'!E2</f>
        <v>EM이천점</v>
      </c>
      <c r="D82" s="29">
        <f>VLOOKUP(C82,'점포코드 '!A:B,2,0)</f>
        <v>1020</v>
      </c>
      <c r="E82" s="30">
        <f>'Raw data'!P2</f>
        <v>9120</v>
      </c>
      <c r="F82" s="29">
        <f>VLOOKUP(E82,'점포코드 '!A:B,2,0)</f>
        <v>81010905</v>
      </c>
      <c r="G82" s="46">
        <f>'Raw data'!F2</f>
        <v>8809020345212</v>
      </c>
      <c r="H82" s="4" t="str">
        <f>'Raw data'!G2</f>
        <v>맨소래담 스프레이쿨180ml</v>
      </c>
      <c r="I82" s="29" t="str">
        <f>VLOOKUP(G82,제품명!$C$1:$E$114,2,0)</f>
        <v>ME00421186</v>
      </c>
      <c r="J82" s="29">
        <f>'Raw data'!K2</f>
        <v>8</v>
      </c>
      <c r="K82" s="31">
        <f>'Raw data'!H2</f>
        <v>2326</v>
      </c>
      <c r="L82" s="26">
        <f t="shared" si="4"/>
        <v>18608</v>
      </c>
    </row>
    <row r="83" spans="2:12">
      <c r="B83" s="4" t="str">
        <f t="shared" si="3"/>
        <v>81010903ME00421186</v>
      </c>
      <c r="C83" s="4" t="str">
        <f>'Raw data'!E3</f>
        <v>EM포항점</v>
      </c>
      <c r="D83" s="29">
        <f>VLOOKUP(C83,'점포코드 '!A:B,2,0)</f>
        <v>1035</v>
      </c>
      <c r="E83" s="30">
        <f>'Raw data'!P3</f>
        <v>9100</v>
      </c>
      <c r="F83" s="29">
        <f>VLOOKUP(E83,'점포코드 '!A:B,2,0)</f>
        <v>81010903</v>
      </c>
      <c r="G83" s="46">
        <f>'Raw data'!F3</f>
        <v>8809020345212</v>
      </c>
      <c r="H83" s="4" t="str">
        <f>'Raw data'!G3</f>
        <v>맨소래담 스프레이쿨180ml</v>
      </c>
      <c r="I83" s="29" t="str">
        <f>VLOOKUP(G83,제품명!$C$1:$E$114,2,0)</f>
        <v>ME00421186</v>
      </c>
      <c r="J83" s="29">
        <f>'Raw data'!K3</f>
        <v>8</v>
      </c>
      <c r="K83" s="31">
        <f>'Raw data'!H3</f>
        <v>2326</v>
      </c>
      <c r="L83" s="26">
        <f t="shared" si="4"/>
        <v>18608</v>
      </c>
    </row>
    <row r="84" spans="2:12">
      <c r="B84" s="4" t="str">
        <f t="shared" si="3"/>
        <v>81010902ME90621AFE</v>
      </c>
      <c r="C84" s="4" t="str">
        <f>'Raw data'!E4</f>
        <v>EM안산고잔점</v>
      </c>
      <c r="D84" s="29">
        <f>VLOOKUP(C84,'점포코드 '!A:B,2,0)</f>
        <v>1044</v>
      </c>
      <c r="E84" s="30">
        <f>'Raw data'!P4</f>
        <v>9110</v>
      </c>
      <c r="F84" s="29">
        <f>VLOOKUP(E84,'점포코드 '!A:B,2,0)</f>
        <v>81010902</v>
      </c>
      <c r="G84" s="46">
        <f>'Raw data'!F4</f>
        <v>8809020346509</v>
      </c>
      <c r="H84" s="4" t="str">
        <f>'Raw data'!G4</f>
        <v>아크네스 포밍워시 200ml</v>
      </c>
      <c r="I84" s="29" t="str">
        <f>VLOOKUP(G84,제품명!$C$1:$E$114,2,0)</f>
        <v>ME90621AFE</v>
      </c>
      <c r="J84" s="29">
        <f>'Raw data'!K4</f>
        <v>6</v>
      </c>
      <c r="K84" s="31">
        <f>'Raw data'!H4</f>
        <v>4469</v>
      </c>
      <c r="L84" s="26">
        <f t="shared" si="4"/>
        <v>26814</v>
      </c>
    </row>
    <row r="85" spans="2:12">
      <c r="B85" s="4" t="str">
        <f t="shared" si="3"/>
        <v>81010902ME90621MAM</v>
      </c>
      <c r="C85" s="4" t="str">
        <f>'Raw data'!E5</f>
        <v>EM안산고잔점</v>
      </c>
      <c r="D85" s="29">
        <f>VLOOKUP(C85,'점포코드 '!A:B,2,0)</f>
        <v>1044</v>
      </c>
      <c r="E85" s="30">
        <f>'Raw data'!P5</f>
        <v>9110</v>
      </c>
      <c r="F85" s="29">
        <f>VLOOKUP(E85,'점포코드 '!A:B,2,0)</f>
        <v>81010902</v>
      </c>
      <c r="G85" s="46">
        <f>'Raw data'!F5</f>
        <v>8809020344321</v>
      </c>
      <c r="H85" s="4" t="str">
        <f>'Raw data'!G5</f>
        <v>멜라노CC 엔자임 페이스 워시 130g</v>
      </c>
      <c r="I85" s="29" t="str">
        <f>VLOOKUP(G85,제품명!$C$1:$E$114,2,0)</f>
        <v>ME90621MAM</v>
      </c>
      <c r="J85" s="29">
        <f>'Raw data'!K5</f>
        <v>12</v>
      </c>
      <c r="K85" s="31">
        <f>'Raw data'!H5</f>
        <v>4284</v>
      </c>
      <c r="L85" s="26">
        <f t="shared" si="4"/>
        <v>51408</v>
      </c>
    </row>
    <row r="86" spans="2:12">
      <c r="B86" s="4" t="str">
        <f t="shared" si="3"/>
        <v>81010903ME90621MAM</v>
      </c>
      <c r="C86" s="4" t="str">
        <f>'Raw data'!E6</f>
        <v>EM금정점</v>
      </c>
      <c r="D86" s="29" t="e">
        <f>VLOOKUP(C86,'점포코드 '!A:B,2,0)</f>
        <v>#N/A</v>
      </c>
      <c r="E86" s="30">
        <f>'Raw data'!P6</f>
        <v>9100</v>
      </c>
      <c r="F86" s="29">
        <f>VLOOKUP(E86,'점포코드 '!A:B,2,0)</f>
        <v>81010903</v>
      </c>
      <c r="G86" s="46">
        <f>'Raw data'!F6</f>
        <v>8809020344321</v>
      </c>
      <c r="H86" s="4" t="str">
        <f>'Raw data'!G6</f>
        <v>멜라노CC 엔자임 페이스 워시 130g</v>
      </c>
      <c r="I86" s="29" t="str">
        <f>VLOOKUP(G86,제품명!$C$1:$E$114,2,0)</f>
        <v>ME90621MAM</v>
      </c>
      <c r="J86" s="29">
        <f>'Raw data'!K6</f>
        <v>12</v>
      </c>
      <c r="K86" s="31">
        <f>'Raw data'!H6</f>
        <v>4284</v>
      </c>
      <c r="L86" s="26">
        <f t="shared" si="4"/>
        <v>51408</v>
      </c>
    </row>
    <row r="87" spans="2:12">
      <c r="B87" s="4" t="str">
        <f t="shared" si="3"/>
        <v>81010903ME00421186</v>
      </c>
      <c r="C87" s="4" t="str">
        <f>'Raw data'!E7</f>
        <v>EM양산점</v>
      </c>
      <c r="D87" s="29" t="e">
        <f>VLOOKUP(C87,'점포코드 '!A:B,2,0)</f>
        <v>#N/A</v>
      </c>
      <c r="E87" s="30">
        <f>'Raw data'!P7</f>
        <v>9100</v>
      </c>
      <c r="F87" s="29">
        <f>VLOOKUP(E87,'점포코드 '!A:B,2,0)</f>
        <v>81010903</v>
      </c>
      <c r="G87" s="46">
        <f>'Raw data'!F7</f>
        <v>8809020345212</v>
      </c>
      <c r="H87" s="4" t="str">
        <f>'Raw data'!G7</f>
        <v>맨소래담 스프레이쿨180ml</v>
      </c>
      <c r="I87" s="29" t="str">
        <f>VLOOKUP(G87,제품명!$C$1:$E$114,2,0)</f>
        <v>ME00421186</v>
      </c>
      <c r="J87" s="29">
        <f>'Raw data'!K7</f>
        <v>8</v>
      </c>
      <c r="K87" s="31">
        <f>'Raw data'!H7</f>
        <v>2326</v>
      </c>
      <c r="L87" s="26">
        <f t="shared" si="4"/>
        <v>18608</v>
      </c>
    </row>
    <row r="88" spans="2:12">
      <c r="B88" s="4" t="str">
        <f t="shared" si="3"/>
        <v>81010905ME00421186</v>
      </c>
      <c r="C88" s="4" t="str">
        <f>'Raw data'!E8</f>
        <v>EM안동점</v>
      </c>
      <c r="D88" s="29">
        <f>VLOOKUP(C88,'점포코드 '!A:B,2,0)</f>
        <v>1061</v>
      </c>
      <c r="E88" s="30">
        <f>'Raw data'!P8</f>
        <v>9120</v>
      </c>
      <c r="F88" s="29">
        <f>VLOOKUP(E88,'점포코드 '!A:B,2,0)</f>
        <v>81010905</v>
      </c>
      <c r="G88" s="46">
        <f>'Raw data'!F8</f>
        <v>8809020345212</v>
      </c>
      <c r="H88" s="4" t="str">
        <f>'Raw data'!G8</f>
        <v>맨소래담 스프레이쿨180ml</v>
      </c>
      <c r="I88" s="29" t="str">
        <f>VLOOKUP(G88,제품명!$C$1:$E$114,2,0)</f>
        <v>ME00421186</v>
      </c>
      <c r="J88" s="29">
        <f>'Raw data'!K8</f>
        <v>8</v>
      </c>
      <c r="K88" s="31">
        <f>'Raw data'!H8</f>
        <v>2326</v>
      </c>
      <c r="L88" s="26">
        <f t="shared" si="4"/>
        <v>18608</v>
      </c>
    </row>
    <row r="89" spans="2:12">
      <c r="B89" s="4" t="str">
        <f t="shared" si="3"/>
        <v>81010905ME00421186</v>
      </c>
      <c r="C89" s="4" t="str">
        <f>'Raw data'!E9</f>
        <v>EM춘천점</v>
      </c>
      <c r="D89" s="29">
        <f>VLOOKUP(C89,'점포코드 '!A:B,2,0)</f>
        <v>1066</v>
      </c>
      <c r="E89" s="30">
        <f>'Raw data'!P9</f>
        <v>9120</v>
      </c>
      <c r="F89" s="29">
        <f>VLOOKUP(E89,'점포코드 '!A:B,2,0)</f>
        <v>81010905</v>
      </c>
      <c r="G89" s="46">
        <f>'Raw data'!F9</f>
        <v>8809020345212</v>
      </c>
      <c r="H89" s="4" t="str">
        <f>'Raw data'!G9</f>
        <v>맨소래담 스프레이쿨180ml</v>
      </c>
      <c r="I89" s="29" t="str">
        <f>VLOOKUP(G89,제품명!$C$1:$E$114,2,0)</f>
        <v>ME00421186</v>
      </c>
      <c r="J89" s="29">
        <f>'Raw data'!K9</f>
        <v>8</v>
      </c>
      <c r="K89" s="31">
        <f>'Raw data'!H9</f>
        <v>2326</v>
      </c>
      <c r="L89" s="26">
        <f t="shared" si="4"/>
        <v>18608</v>
      </c>
    </row>
    <row r="90" spans="2:12">
      <c r="B90" s="4" t="str">
        <f t="shared" si="3"/>
        <v>81010903ME00421186</v>
      </c>
      <c r="C90" s="4" t="str">
        <f>'Raw data'!E10</f>
        <v>EM포항이동점</v>
      </c>
      <c r="D90" s="29">
        <f>VLOOKUP(C90,'점포코드 '!A:B,2,0)</f>
        <v>1102</v>
      </c>
      <c r="E90" s="30">
        <f>'Raw data'!P10</f>
        <v>9100</v>
      </c>
      <c r="F90" s="29">
        <f>VLOOKUP(E90,'점포코드 '!A:B,2,0)</f>
        <v>81010903</v>
      </c>
      <c r="G90" s="46">
        <f>'Raw data'!F10</f>
        <v>8809020345212</v>
      </c>
      <c r="H90" s="4" t="str">
        <f>'Raw data'!G10</f>
        <v>맨소래담 스프레이쿨180ml</v>
      </c>
      <c r="I90" s="29" t="str">
        <f>VLOOKUP(G90,제품명!$C$1:$E$114,2,0)</f>
        <v>ME00421186</v>
      </c>
      <c r="J90" s="29">
        <f>'Raw data'!K10</f>
        <v>8</v>
      </c>
      <c r="K90" s="31">
        <f>'Raw data'!H10</f>
        <v>2326</v>
      </c>
      <c r="L90" s="26">
        <f t="shared" si="4"/>
        <v>18608</v>
      </c>
    </row>
    <row r="91" spans="2:12">
      <c r="B91" s="4" t="str">
        <f t="shared" si="3"/>
        <v>81010902ME00421186</v>
      </c>
      <c r="C91" s="4" t="str">
        <f>'Raw data'!E11</f>
        <v>EM영등포점</v>
      </c>
      <c r="D91" s="29" t="e">
        <f>VLOOKUP(C91,'점포코드 '!A:B,2,0)</f>
        <v>#N/A</v>
      </c>
      <c r="E91" s="30">
        <f>'Raw data'!P11</f>
        <v>9110</v>
      </c>
      <c r="F91" s="29">
        <f>VLOOKUP(E91,'점포코드 '!A:B,2,0)</f>
        <v>81010902</v>
      </c>
      <c r="G91" s="46">
        <f>'Raw data'!F11</f>
        <v>8809020345212</v>
      </c>
      <c r="H91" s="4" t="str">
        <f>'Raw data'!G11</f>
        <v>맨소래담 스프레이쿨180ml</v>
      </c>
      <c r="I91" s="29" t="str">
        <f>VLOOKUP(G91,제품명!$C$1:$E$114,2,0)</f>
        <v>ME00421186</v>
      </c>
      <c r="J91" s="29">
        <f>'Raw data'!K11</f>
        <v>8</v>
      </c>
      <c r="K91" s="31">
        <f>'Raw data'!H11</f>
        <v>2326</v>
      </c>
      <c r="L91" s="26">
        <f t="shared" si="4"/>
        <v>18608</v>
      </c>
    </row>
    <row r="92" spans="2:12">
      <c r="B92" s="4" t="str">
        <f t="shared" si="3"/>
        <v>81010905ME00421186</v>
      </c>
      <c r="C92" s="4" t="str">
        <f>'Raw data'!E12</f>
        <v>EM천안터미널점</v>
      </c>
      <c r="D92" s="29" t="e">
        <f>VLOOKUP(C92,'점포코드 '!A:B,2,0)</f>
        <v>#N/A</v>
      </c>
      <c r="E92" s="30">
        <f>'Raw data'!P12</f>
        <v>9120</v>
      </c>
      <c r="F92" s="29">
        <f>VLOOKUP(E92,'점포코드 '!A:B,2,0)</f>
        <v>81010905</v>
      </c>
      <c r="G92" s="46">
        <f>'Raw data'!F12</f>
        <v>8809020345212</v>
      </c>
      <c r="H92" s="4" t="str">
        <f>'Raw data'!G12</f>
        <v>맨소래담 스프레이쿨180ml</v>
      </c>
      <c r="I92" s="29" t="str">
        <f>VLOOKUP(G92,제품명!$C$1:$E$114,2,0)</f>
        <v>ME00421186</v>
      </c>
      <c r="J92" s="29">
        <f>'Raw data'!K12</f>
        <v>8</v>
      </c>
      <c r="K92" s="31">
        <f>'Raw data'!H12</f>
        <v>2326</v>
      </c>
      <c r="L92" s="26">
        <f t="shared" si="4"/>
        <v>18608</v>
      </c>
    </row>
    <row r="93" spans="2:12">
      <c r="B93" s="4" t="str">
        <f t="shared" si="3"/>
        <v>81010902ME90621AFE</v>
      </c>
      <c r="C93" s="4" t="str">
        <f>'Raw data'!E13</f>
        <v>EM파주운정점</v>
      </c>
      <c r="D93" s="29" t="e">
        <f>VLOOKUP(C93,'점포코드 '!A:B,2,0)</f>
        <v>#N/A</v>
      </c>
      <c r="E93" s="30">
        <f>'Raw data'!P13</f>
        <v>9110</v>
      </c>
      <c r="F93" s="29">
        <f>VLOOKUP(E93,'점포코드 '!A:B,2,0)</f>
        <v>81010902</v>
      </c>
      <c r="G93" s="46">
        <f>'Raw data'!F13</f>
        <v>8809020346509</v>
      </c>
      <c r="H93" s="4" t="str">
        <f>'Raw data'!G13</f>
        <v>아크네스 포밍워시 200ml</v>
      </c>
      <c r="I93" s="29" t="str">
        <f>VLOOKUP(G93,제품명!$C$1:$E$114,2,0)</f>
        <v>ME90621AFE</v>
      </c>
      <c r="J93" s="29">
        <f>'Raw data'!K13</f>
        <v>6</v>
      </c>
      <c r="K93" s="31">
        <f>'Raw data'!H13</f>
        <v>4469</v>
      </c>
      <c r="L93" s="26">
        <f t="shared" si="4"/>
        <v>26814</v>
      </c>
    </row>
    <row r="94" spans="2:12">
      <c r="B94" s="4" t="str">
        <f t="shared" si="3"/>
        <v>81010905ME00421186</v>
      </c>
      <c r="C94" s="4" t="str">
        <f>'Raw data'!E14</f>
        <v>EM대전터미널점</v>
      </c>
      <c r="D94" s="29">
        <f>VLOOKUP(C94,'점포코드 '!A:B,2,0)</f>
        <v>1121</v>
      </c>
      <c r="E94" s="30">
        <f>'Raw data'!P14</f>
        <v>9120</v>
      </c>
      <c r="F94" s="29">
        <f>VLOOKUP(E94,'점포코드 '!A:B,2,0)</f>
        <v>81010905</v>
      </c>
      <c r="G94" s="46">
        <f>'Raw data'!F14</f>
        <v>8809020345212</v>
      </c>
      <c r="H94" s="4" t="str">
        <f>'Raw data'!G14</f>
        <v>맨소래담 스프레이쿨180ml</v>
      </c>
      <c r="I94" s="29" t="str">
        <f>VLOOKUP(G94,제품명!$C$1:$E$114,2,0)</f>
        <v>ME00421186</v>
      </c>
      <c r="J94" s="29">
        <f>'Raw data'!K14</f>
        <v>8</v>
      </c>
      <c r="K94" s="31">
        <f>'Raw data'!H14</f>
        <v>2326</v>
      </c>
      <c r="L94" s="26">
        <f t="shared" si="4"/>
        <v>18608</v>
      </c>
    </row>
    <row r="95" spans="2:12">
      <c r="B95" s="4" t="str">
        <f t="shared" si="3"/>
        <v>81010905ME90621MAM</v>
      </c>
      <c r="C95" s="4" t="str">
        <f>'Raw data'!E15</f>
        <v>EMF고덕점</v>
      </c>
      <c r="D95" s="29" t="e">
        <f>VLOOKUP(C95,'점포코드 '!A:B,2,0)</f>
        <v>#N/A</v>
      </c>
      <c r="E95" s="30">
        <f>'Raw data'!P15</f>
        <v>9120</v>
      </c>
      <c r="F95" s="29">
        <f>VLOOKUP(E95,'점포코드 '!A:B,2,0)</f>
        <v>81010905</v>
      </c>
      <c r="G95" s="46">
        <f>'Raw data'!F15</f>
        <v>8809020344321</v>
      </c>
      <c r="H95" s="4" t="str">
        <f>'Raw data'!G15</f>
        <v>멜라노CC 엔자임 페이스 워시 130g</v>
      </c>
      <c r="I95" s="29" t="str">
        <f>VLOOKUP(G95,제품명!$C$1:$E$114,2,0)</f>
        <v>ME90621MAM</v>
      </c>
      <c r="J95" s="29">
        <f>'Raw data'!K15</f>
        <v>12</v>
      </c>
      <c r="K95" s="31">
        <f>'Raw data'!H15</f>
        <v>4284</v>
      </c>
      <c r="L95" s="26">
        <f t="shared" si="4"/>
        <v>51408</v>
      </c>
    </row>
    <row r="96" spans="2:12">
      <c r="B96" s="4" t="str">
        <f t="shared" si="3"/>
        <v>81010905ME90621MAM</v>
      </c>
      <c r="C96" s="4" t="str">
        <f>'Raw data'!E16</f>
        <v>여주DRY센터</v>
      </c>
      <c r="D96" s="29" t="e">
        <f>VLOOKUP(C96,'점포코드 '!A:B,2,0)</f>
        <v>#N/A</v>
      </c>
      <c r="E96" s="30">
        <f>'Raw data'!P16</f>
        <v>9120</v>
      </c>
      <c r="F96" s="29">
        <f>VLOOKUP(E96,'점포코드 '!A:B,2,0)</f>
        <v>81010905</v>
      </c>
      <c r="G96" s="46">
        <f>'Raw data'!F16</f>
        <v>8809020344321</v>
      </c>
      <c r="H96" s="4" t="str">
        <f>'Raw data'!G16</f>
        <v>멜라노CC 엔자임 페이스 워시 130g</v>
      </c>
      <c r="I96" s="29" t="str">
        <f>VLOOKUP(G96,제품명!$C$1:$E$114,2,0)</f>
        <v>ME90621MAM</v>
      </c>
      <c r="J96" s="29">
        <f>'Raw data'!K16</f>
        <v>12</v>
      </c>
      <c r="K96" s="31">
        <f>'Raw data'!H16</f>
        <v>4284</v>
      </c>
      <c r="L96" s="26">
        <f t="shared" si="4"/>
        <v>51408</v>
      </c>
    </row>
    <row r="97" spans="2:12">
      <c r="B97" s="4" t="str">
        <f t="shared" si="3"/>
        <v>81010905ME90621ADI</v>
      </c>
      <c r="C97" s="4" t="str">
        <f>'Raw data'!E17</f>
        <v>EM군산점</v>
      </c>
      <c r="D97" s="29">
        <f>VLOOKUP(C97,'점포코드 '!A:B,2,0)</f>
        <v>1025</v>
      </c>
      <c r="E97" s="30">
        <f>'Raw data'!P17</f>
        <v>9120</v>
      </c>
      <c r="F97" s="29">
        <f>VLOOKUP(E97,'점포코드 '!A:B,2,0)</f>
        <v>81010905</v>
      </c>
      <c r="G97" s="46">
        <f>'Raw data'!F17</f>
        <v>8809020346592</v>
      </c>
      <c r="H97" s="4" t="str">
        <f>'Raw data'!G17</f>
        <v>아크네스 데일리 딥클렌저 100g</v>
      </c>
      <c r="I97" s="29" t="str">
        <f>VLOOKUP(G97,제품명!$C$1:$E$114,2,0)</f>
        <v>ME90621ADI</v>
      </c>
      <c r="J97" s="29">
        <f>'Raw data'!K17</f>
        <v>6</v>
      </c>
      <c r="K97" s="31">
        <f>'Raw data'!H17</f>
        <v>3656</v>
      </c>
      <c r="L97" s="26">
        <f t="shared" si="4"/>
        <v>21936</v>
      </c>
    </row>
    <row r="98" spans="2:12">
      <c r="B98" s="4" t="str">
        <f t="shared" si="3"/>
        <v>81010905ME90621AFE</v>
      </c>
      <c r="C98" s="4" t="str">
        <f>'Raw data'!E18</f>
        <v>EM군산점</v>
      </c>
      <c r="D98" s="29">
        <f>VLOOKUP(C98,'점포코드 '!A:B,2,0)</f>
        <v>1025</v>
      </c>
      <c r="E98" s="30">
        <f>'Raw data'!P18</f>
        <v>9120</v>
      </c>
      <c r="F98" s="29">
        <f>VLOOKUP(E98,'점포코드 '!A:B,2,0)</f>
        <v>81010905</v>
      </c>
      <c r="G98" s="46">
        <f>'Raw data'!F18</f>
        <v>8809020346509</v>
      </c>
      <c r="H98" s="4" t="str">
        <f>'Raw data'!G18</f>
        <v>아크네스 포밍워시 200ml</v>
      </c>
      <c r="I98" s="29" t="str">
        <f>VLOOKUP(G98,제품명!$C$1:$E$114,2,0)</f>
        <v>ME90621AFE</v>
      </c>
      <c r="J98" s="29">
        <f>'Raw data'!K18</f>
        <v>6</v>
      </c>
      <c r="K98" s="31">
        <f>'Raw data'!H18</f>
        <v>4469</v>
      </c>
      <c r="L98" s="26">
        <f t="shared" si="4"/>
        <v>26814</v>
      </c>
    </row>
    <row r="99" spans="2:12">
      <c r="B99" s="4" t="str">
        <f t="shared" si="3"/>
        <v>81010902ME90621AFE</v>
      </c>
      <c r="C99" s="4" t="str">
        <f>'Raw data'!E19</f>
        <v>EM신도림점</v>
      </c>
      <c r="D99" s="29" t="e">
        <f>VLOOKUP(C99,'점포코드 '!A:B,2,0)</f>
        <v>#N/A</v>
      </c>
      <c r="E99" s="30">
        <f>'Raw data'!P19</f>
        <v>9110</v>
      </c>
      <c r="F99" s="29">
        <f>VLOOKUP(E99,'점포코드 '!A:B,2,0)</f>
        <v>81010902</v>
      </c>
      <c r="G99" s="46">
        <f>'Raw data'!F19</f>
        <v>8809020346509</v>
      </c>
      <c r="H99" s="4" t="str">
        <f>'Raw data'!G19</f>
        <v>아크네스 포밍워시 200ml</v>
      </c>
      <c r="I99" s="29" t="str">
        <f>VLOOKUP(G99,제품명!$C$1:$E$114,2,0)</f>
        <v>ME90621AFE</v>
      </c>
      <c r="J99" s="29">
        <f>'Raw data'!K19</f>
        <v>6</v>
      </c>
      <c r="K99" s="31">
        <f>'Raw data'!H19</f>
        <v>4469</v>
      </c>
      <c r="L99" s="26">
        <f t="shared" si="4"/>
        <v>26814</v>
      </c>
    </row>
    <row r="100" spans="2:12">
      <c r="B100" s="4" t="str">
        <f t="shared" si="3"/>
        <v>81010903ME90621AFE</v>
      </c>
      <c r="C100" s="4" t="str">
        <f>'Raw data'!E20</f>
        <v>EM연제점</v>
      </c>
      <c r="D100" s="29">
        <f>VLOOKUP(C100,'점포코드 '!A:B,2,0)</f>
        <v>1036</v>
      </c>
      <c r="E100" s="30">
        <f>'Raw data'!P20</f>
        <v>9100</v>
      </c>
      <c r="F100" s="29">
        <f>VLOOKUP(E100,'점포코드 '!A:B,2,0)</f>
        <v>81010903</v>
      </c>
      <c r="G100" s="46">
        <f>'Raw data'!F20</f>
        <v>8809020346509</v>
      </c>
      <c r="H100" s="4" t="str">
        <f>'Raw data'!G20</f>
        <v>아크네스 포밍워시 200ml</v>
      </c>
      <c r="I100" s="29" t="str">
        <f>VLOOKUP(G100,제품명!$C$1:$E$114,2,0)</f>
        <v>ME90621AFE</v>
      </c>
      <c r="J100" s="29">
        <f>'Raw data'!K20</f>
        <v>6</v>
      </c>
      <c r="K100" s="31">
        <f>'Raw data'!H20</f>
        <v>4469</v>
      </c>
      <c r="L100" s="26">
        <f t="shared" si="4"/>
        <v>26814</v>
      </c>
    </row>
    <row r="101" spans="2:12">
      <c r="B101" s="4" t="str">
        <f t="shared" si="3"/>
        <v>81010902ME90621NA7</v>
      </c>
      <c r="C101" s="4" t="str">
        <f>'Raw data'!E21</f>
        <v>EM광명소하점</v>
      </c>
      <c r="D101" s="29" t="e">
        <f>VLOOKUP(C101,'점포코드 '!A:B,2,0)</f>
        <v>#N/A</v>
      </c>
      <c r="E101" s="30">
        <f>'Raw data'!P21</f>
        <v>9110</v>
      </c>
      <c r="F101" s="29">
        <f>VLOOKUP(E101,'점포코드 '!A:B,2,0)</f>
        <v>81010902</v>
      </c>
      <c r="G101" s="46">
        <f>'Raw data'!F21</f>
        <v>8809020346585</v>
      </c>
      <c r="H101" s="4" t="str">
        <f>'Raw data'!G21</f>
        <v>아크네스 클리어앤화이트 포밍워시 150g</v>
      </c>
      <c r="I101" s="29" t="str">
        <f>VLOOKUP(G101,제품명!$C$1:$E$114,2,0)</f>
        <v>ME90621NA7</v>
      </c>
      <c r="J101" s="29">
        <f>'Raw data'!K21</f>
        <v>6</v>
      </c>
      <c r="K101" s="31">
        <f>'Raw data'!H21</f>
        <v>4469</v>
      </c>
      <c r="L101" s="26">
        <f t="shared" si="4"/>
        <v>26814</v>
      </c>
    </row>
    <row r="102" spans="2:12">
      <c r="B102" s="4" t="str">
        <f t="shared" si="3"/>
        <v>81010902ME00421186</v>
      </c>
      <c r="C102" s="4" t="str">
        <f>'Raw data'!E22</f>
        <v>EM산본점</v>
      </c>
      <c r="D102" s="29">
        <f>VLOOKUP(C102,'점포코드 '!A:B,2,0)</f>
        <v>1015</v>
      </c>
      <c r="E102" s="30">
        <f>'Raw data'!P22</f>
        <v>9110</v>
      </c>
      <c r="F102" s="29">
        <f>VLOOKUP(E102,'점포코드 '!A:B,2,0)</f>
        <v>81010902</v>
      </c>
      <c r="G102" s="46">
        <f>'Raw data'!F22</f>
        <v>8809020345212</v>
      </c>
      <c r="H102" s="4" t="str">
        <f>'Raw data'!G22</f>
        <v>맨소래담 스프레이쿨180ml</v>
      </c>
      <c r="I102" s="29" t="str">
        <f>VLOOKUP(G102,제품명!$C$1:$E$114,2,0)</f>
        <v>ME00421186</v>
      </c>
      <c r="J102" s="29">
        <f>'Raw data'!K22</f>
        <v>8</v>
      </c>
      <c r="K102" s="31">
        <f>'Raw data'!H22</f>
        <v>2326</v>
      </c>
      <c r="L102" s="26">
        <f t="shared" si="4"/>
        <v>18608</v>
      </c>
    </row>
    <row r="103" spans="2:12">
      <c r="B103" s="4" t="str">
        <f t="shared" si="3"/>
        <v>81010903ME90621NA7</v>
      </c>
      <c r="C103" s="4" t="str">
        <f>'Raw data'!E23</f>
        <v>EM해운대점</v>
      </c>
      <c r="D103" s="29">
        <f>VLOOKUP(C103,'점포코드 '!A:B,2,0)</f>
        <v>1018</v>
      </c>
      <c r="E103" s="30">
        <f>'Raw data'!P23</f>
        <v>9100</v>
      </c>
      <c r="F103" s="29">
        <f>VLOOKUP(E103,'점포코드 '!A:B,2,0)</f>
        <v>81010903</v>
      </c>
      <c r="G103" s="46">
        <f>'Raw data'!F23</f>
        <v>8809020346585</v>
      </c>
      <c r="H103" s="4" t="str">
        <f>'Raw data'!G23</f>
        <v>아크네스 클리어앤화이트 포밍워시 150g</v>
      </c>
      <c r="I103" s="29" t="str">
        <f>VLOOKUP(G103,제품명!$C$1:$E$114,2,0)</f>
        <v>ME90621NA7</v>
      </c>
      <c r="J103" s="29">
        <f>'Raw data'!K23</f>
        <v>6</v>
      </c>
      <c r="K103" s="31">
        <f>'Raw data'!H23</f>
        <v>4469</v>
      </c>
      <c r="L103" s="26">
        <f t="shared" si="4"/>
        <v>26814</v>
      </c>
    </row>
    <row r="104" spans="2:12">
      <c r="B104" s="4" t="str">
        <f t="shared" si="3"/>
        <v>81010905ME90621ADI</v>
      </c>
      <c r="C104" s="4" t="str">
        <f>'Raw data'!E24</f>
        <v>EM안동점</v>
      </c>
      <c r="D104" s="29">
        <f>VLOOKUP(C104,'점포코드 '!A:B,2,0)</f>
        <v>1061</v>
      </c>
      <c r="E104" s="30">
        <f>'Raw data'!P24</f>
        <v>9120</v>
      </c>
      <c r="F104" s="29">
        <f>VLOOKUP(E104,'점포코드 '!A:B,2,0)</f>
        <v>81010905</v>
      </c>
      <c r="G104" s="46">
        <f>'Raw data'!F24</f>
        <v>8809020346592</v>
      </c>
      <c r="H104" s="4" t="str">
        <f>'Raw data'!G24</f>
        <v>아크네스 데일리 딥클렌저 100g</v>
      </c>
      <c r="I104" s="29" t="str">
        <f>VLOOKUP(G104,제품명!$C$1:$E$114,2,0)</f>
        <v>ME90621ADI</v>
      </c>
      <c r="J104" s="29">
        <f>'Raw data'!K24</f>
        <v>6</v>
      </c>
      <c r="K104" s="31">
        <f>'Raw data'!H24</f>
        <v>3656</v>
      </c>
      <c r="L104" s="26">
        <f t="shared" si="4"/>
        <v>21936</v>
      </c>
    </row>
    <row r="105" spans="2:12">
      <c r="B105" s="4" t="str">
        <f t="shared" si="3"/>
        <v>81010905ME90621GO8</v>
      </c>
      <c r="C105" s="4" t="str">
        <f>'Raw data'!E25</f>
        <v>EM안동점</v>
      </c>
      <c r="D105" s="29">
        <f>VLOOKUP(C105,'점포코드 '!A:B,2,0)</f>
        <v>1061</v>
      </c>
      <c r="E105" s="30">
        <f>'Raw data'!P25</f>
        <v>9120</v>
      </c>
      <c r="F105" s="29">
        <f>VLOOKUP(E105,'점포코드 '!A:B,2,0)</f>
        <v>81010905</v>
      </c>
      <c r="G105" s="46">
        <f>'Raw data'!F25</f>
        <v>8809020349166</v>
      </c>
      <c r="H105" s="4" t="str">
        <f>'Raw data'!G25</f>
        <v>고쿠쥰오일클렌징200ml</v>
      </c>
      <c r="I105" s="29" t="str">
        <f>VLOOKUP(G105,제품명!$C$1:$E$114,2,0)</f>
        <v>ME90621GO8</v>
      </c>
      <c r="J105" s="29">
        <f>'Raw data'!K25</f>
        <v>12</v>
      </c>
      <c r="K105" s="31">
        <f>'Raw data'!H25</f>
        <v>5271</v>
      </c>
      <c r="L105" s="26">
        <f t="shared" si="4"/>
        <v>63252</v>
      </c>
    </row>
    <row r="106" spans="2:12">
      <c r="B106" s="4" t="e">
        <f t="shared" si="3"/>
        <v>#N/A</v>
      </c>
      <c r="C106" s="4">
        <f>'Raw data'!E26</f>
        <v>0</v>
      </c>
      <c r="D106" s="29" t="e">
        <f>VLOOKUP(C106,'점포코드 '!A:B,2,0)</f>
        <v>#N/A</v>
      </c>
      <c r="E106" s="30">
        <f>'Raw data'!P26</f>
        <v>0</v>
      </c>
      <c r="F106" s="29" t="e">
        <f>VLOOKUP(E106,'점포코드 '!A:B,2,0)</f>
        <v>#N/A</v>
      </c>
      <c r="G106" s="46">
        <f>'Raw data'!F26</f>
        <v>0</v>
      </c>
      <c r="H106" s="4">
        <f>'Raw data'!G26</f>
        <v>0</v>
      </c>
      <c r="I106" s="29" t="e">
        <f>VLOOKUP(G106,제품명!$C$1:$E$114,2,0)</f>
        <v>#N/A</v>
      </c>
      <c r="J106" s="29">
        <f>'Raw data'!K26</f>
        <v>0</v>
      </c>
      <c r="K106" s="31">
        <f>'Raw data'!H26</f>
        <v>0</v>
      </c>
      <c r="L106" s="26">
        <f t="shared" si="4"/>
        <v>0</v>
      </c>
    </row>
    <row r="107" spans="2:12">
      <c r="B107" s="4" t="e">
        <f t="shared" si="3"/>
        <v>#N/A</v>
      </c>
      <c r="C107" s="4">
        <f>'Raw data'!E27</f>
        <v>0</v>
      </c>
      <c r="D107" s="29" t="e">
        <f>VLOOKUP(C107,'점포코드 '!A:B,2,0)</f>
        <v>#N/A</v>
      </c>
      <c r="E107" s="30">
        <f>'Raw data'!P27</f>
        <v>0</v>
      </c>
      <c r="F107" s="29" t="e">
        <f>VLOOKUP(E107,'점포코드 '!A:B,2,0)</f>
        <v>#N/A</v>
      </c>
      <c r="G107" s="46">
        <f>'Raw data'!F27</f>
        <v>0</v>
      </c>
      <c r="H107" s="4">
        <f>'Raw data'!G27</f>
        <v>0</v>
      </c>
      <c r="I107" s="29" t="e">
        <f>VLOOKUP(G107,제품명!$C$1:$E$114,2,0)</f>
        <v>#N/A</v>
      </c>
      <c r="J107" s="29">
        <f>'Raw data'!K27</f>
        <v>0</v>
      </c>
      <c r="K107" s="31">
        <f>'Raw data'!H27</f>
        <v>0</v>
      </c>
      <c r="L107" s="26">
        <f t="shared" si="4"/>
        <v>0</v>
      </c>
    </row>
    <row r="108" spans="2:12">
      <c r="B108" s="4" t="e">
        <f t="shared" si="3"/>
        <v>#N/A</v>
      </c>
      <c r="C108" s="4">
        <f>'Raw data'!E28</f>
        <v>0</v>
      </c>
      <c r="D108" s="29" t="e">
        <f>VLOOKUP(C108,'점포코드 '!A:B,2,0)</f>
        <v>#N/A</v>
      </c>
      <c r="E108" s="30">
        <f>'Raw data'!P28</f>
        <v>0</v>
      </c>
      <c r="F108" s="29" t="e">
        <f>VLOOKUP(E108,'점포코드 '!A:B,2,0)</f>
        <v>#N/A</v>
      </c>
      <c r="G108" s="46">
        <f>'Raw data'!F28</f>
        <v>0</v>
      </c>
      <c r="H108" s="4">
        <f>'Raw data'!G28</f>
        <v>0</v>
      </c>
      <c r="I108" s="29" t="e">
        <f>VLOOKUP(G108,제품명!$C$1:$E$114,2,0)</f>
        <v>#N/A</v>
      </c>
      <c r="J108" s="29">
        <f>'Raw data'!K28</f>
        <v>0</v>
      </c>
      <c r="K108" s="31">
        <f>'Raw data'!H28</f>
        <v>0</v>
      </c>
      <c r="L108" s="26">
        <f t="shared" si="4"/>
        <v>0</v>
      </c>
    </row>
    <row r="109" spans="2:12">
      <c r="B109" s="4" t="e">
        <f t="shared" si="3"/>
        <v>#N/A</v>
      </c>
      <c r="C109" s="4">
        <f>'Raw data'!E29</f>
        <v>0</v>
      </c>
      <c r="D109" s="29" t="e">
        <f>VLOOKUP(C109,'점포코드 '!A:B,2,0)</f>
        <v>#N/A</v>
      </c>
      <c r="E109" s="30">
        <f>'Raw data'!P29</f>
        <v>0</v>
      </c>
      <c r="F109" s="29" t="e">
        <f>VLOOKUP(E109,'점포코드 '!A:B,2,0)</f>
        <v>#N/A</v>
      </c>
      <c r="G109" s="46">
        <f>'Raw data'!F29</f>
        <v>0</v>
      </c>
      <c r="H109" s="4">
        <f>'Raw data'!G29</f>
        <v>0</v>
      </c>
      <c r="I109" s="29" t="e">
        <f>VLOOKUP(G109,제품명!$C$1:$E$114,2,0)</f>
        <v>#N/A</v>
      </c>
      <c r="J109" s="29">
        <f>'Raw data'!K29</f>
        <v>0</v>
      </c>
      <c r="K109" s="31">
        <f>'Raw data'!H29</f>
        <v>0</v>
      </c>
      <c r="L109" s="26">
        <f t="shared" si="4"/>
        <v>0</v>
      </c>
    </row>
    <row r="110" spans="2:12">
      <c r="B110" s="4" t="e">
        <f t="shared" si="3"/>
        <v>#N/A</v>
      </c>
      <c r="C110" s="4">
        <f>'Raw data'!E30</f>
        <v>0</v>
      </c>
      <c r="D110" s="29" t="e">
        <f>VLOOKUP(C110,'점포코드 '!A:B,2,0)</f>
        <v>#N/A</v>
      </c>
      <c r="E110" s="30">
        <f>'Raw data'!P30</f>
        <v>0</v>
      </c>
      <c r="F110" s="29" t="e">
        <f>VLOOKUP(E110,'점포코드 '!A:B,2,0)</f>
        <v>#N/A</v>
      </c>
      <c r="G110" s="46">
        <f>'Raw data'!F30</f>
        <v>0</v>
      </c>
      <c r="H110" s="4">
        <f>'Raw data'!G30</f>
        <v>0</v>
      </c>
      <c r="I110" s="29" t="e">
        <f>VLOOKUP(G110,제품명!$C$1:$E$114,2,0)</f>
        <v>#N/A</v>
      </c>
      <c r="J110" s="29">
        <f>'Raw data'!K30</f>
        <v>0</v>
      </c>
      <c r="K110" s="31">
        <f>'Raw data'!H30</f>
        <v>0</v>
      </c>
      <c r="L110" s="26">
        <f t="shared" si="4"/>
        <v>0</v>
      </c>
    </row>
    <row r="111" spans="2:12">
      <c r="B111" s="4" t="e">
        <f t="shared" si="3"/>
        <v>#N/A</v>
      </c>
      <c r="C111" s="4">
        <f>'Raw data'!E31</f>
        <v>0</v>
      </c>
      <c r="D111" s="29" t="e">
        <f>VLOOKUP(C111,'점포코드 '!A:B,2,0)</f>
        <v>#N/A</v>
      </c>
      <c r="E111" s="30">
        <f>'Raw data'!P31</f>
        <v>0</v>
      </c>
      <c r="F111" s="29" t="e">
        <f>VLOOKUP(E111,'점포코드 '!A:B,2,0)</f>
        <v>#N/A</v>
      </c>
      <c r="G111" s="46">
        <f>'Raw data'!F31</f>
        <v>0</v>
      </c>
      <c r="H111" s="4">
        <f>'Raw data'!G31</f>
        <v>0</v>
      </c>
      <c r="I111" s="29" t="e">
        <f>VLOOKUP(G111,제품명!$C$1:$E$114,2,0)</f>
        <v>#N/A</v>
      </c>
      <c r="J111" s="29">
        <f>'Raw data'!K31</f>
        <v>0</v>
      </c>
      <c r="K111" s="31">
        <f>'Raw data'!H31</f>
        <v>0</v>
      </c>
      <c r="L111" s="26">
        <f t="shared" si="4"/>
        <v>0</v>
      </c>
    </row>
    <row r="112" spans="2:12">
      <c r="B112" s="4" t="e">
        <f t="shared" si="3"/>
        <v>#N/A</v>
      </c>
      <c r="C112" s="4">
        <f>'Raw data'!E32</f>
        <v>0</v>
      </c>
      <c r="D112" s="29" t="e">
        <f>VLOOKUP(C112,'점포코드 '!A:B,2,0)</f>
        <v>#N/A</v>
      </c>
      <c r="E112" s="30">
        <f>'Raw data'!P32</f>
        <v>0</v>
      </c>
      <c r="F112" s="29" t="e">
        <f>VLOOKUP(E112,'점포코드 '!A:B,2,0)</f>
        <v>#N/A</v>
      </c>
      <c r="G112" s="46">
        <f>'Raw data'!F32</f>
        <v>0</v>
      </c>
      <c r="H112" s="4">
        <f>'Raw data'!G32</f>
        <v>0</v>
      </c>
      <c r="I112" s="29" t="e">
        <f>VLOOKUP(G112,제품명!$C$1:$E$114,2,0)</f>
        <v>#N/A</v>
      </c>
      <c r="J112" s="29">
        <f>'Raw data'!K32</f>
        <v>0</v>
      </c>
      <c r="K112" s="31">
        <f>'Raw data'!H32</f>
        <v>0</v>
      </c>
      <c r="L112" s="26">
        <f t="shared" si="4"/>
        <v>0</v>
      </c>
    </row>
    <row r="113" spans="2:12">
      <c r="B113" s="4" t="e">
        <f t="shared" si="3"/>
        <v>#N/A</v>
      </c>
      <c r="C113" s="4">
        <f>'Raw data'!E33</f>
        <v>0</v>
      </c>
      <c r="D113" s="29" t="e">
        <f>VLOOKUP(C113,'점포코드 '!A:B,2,0)</f>
        <v>#N/A</v>
      </c>
      <c r="E113" s="30">
        <f>'Raw data'!P33</f>
        <v>0</v>
      </c>
      <c r="F113" s="29" t="e">
        <f>VLOOKUP(E113,'점포코드 '!A:B,2,0)</f>
        <v>#N/A</v>
      </c>
      <c r="G113" s="46">
        <f>'Raw data'!F33</f>
        <v>0</v>
      </c>
      <c r="H113" s="4">
        <f>'Raw data'!G33</f>
        <v>0</v>
      </c>
      <c r="I113" s="29" t="e">
        <f>VLOOKUP(G113,제품명!$C$1:$E$114,2,0)</f>
        <v>#N/A</v>
      </c>
      <c r="J113" s="29">
        <f>'Raw data'!K33</f>
        <v>0</v>
      </c>
      <c r="K113" s="31">
        <f>'Raw data'!H33</f>
        <v>0</v>
      </c>
      <c r="L113" s="26">
        <f t="shared" si="4"/>
        <v>0</v>
      </c>
    </row>
    <row r="114" spans="2:12">
      <c r="B114" s="4" t="e">
        <f t="shared" si="3"/>
        <v>#N/A</v>
      </c>
      <c r="C114" s="4">
        <f>'Raw data'!E34</f>
        <v>0</v>
      </c>
      <c r="D114" s="29" t="e">
        <f>VLOOKUP(C114,'점포코드 '!A:B,2,0)</f>
        <v>#N/A</v>
      </c>
      <c r="E114" s="30">
        <f>'Raw data'!P34</f>
        <v>0</v>
      </c>
      <c r="F114" s="29" t="e">
        <f>VLOOKUP(E114,'점포코드 '!A:B,2,0)</f>
        <v>#N/A</v>
      </c>
      <c r="G114" s="46">
        <f>'Raw data'!F34</f>
        <v>0</v>
      </c>
      <c r="H114" s="4">
        <f>'Raw data'!G34</f>
        <v>0</v>
      </c>
      <c r="I114" s="29" t="e">
        <f>VLOOKUP(G114,제품명!$C$1:$E$114,2,0)</f>
        <v>#N/A</v>
      </c>
      <c r="J114" s="29">
        <f>'Raw data'!K34</f>
        <v>0</v>
      </c>
      <c r="K114" s="31">
        <f>'Raw data'!H34</f>
        <v>0</v>
      </c>
      <c r="L114" s="26">
        <f t="shared" si="4"/>
        <v>0</v>
      </c>
    </row>
    <row r="115" spans="2:12">
      <c r="B115" s="4" t="e">
        <f t="shared" si="3"/>
        <v>#N/A</v>
      </c>
      <c r="C115" s="4">
        <f>'Raw data'!E35</f>
        <v>0</v>
      </c>
      <c r="D115" s="29" t="e">
        <f>VLOOKUP(C115,'점포코드 '!A:B,2,0)</f>
        <v>#N/A</v>
      </c>
      <c r="E115" s="30">
        <f>'Raw data'!P35</f>
        <v>0</v>
      </c>
      <c r="F115" s="29" t="e">
        <f>VLOOKUP(E115,'점포코드 '!A:B,2,0)</f>
        <v>#N/A</v>
      </c>
      <c r="G115" s="46">
        <f>'Raw data'!F35</f>
        <v>0</v>
      </c>
      <c r="H115" s="4">
        <f>'Raw data'!G35</f>
        <v>0</v>
      </c>
      <c r="I115" s="29" t="e">
        <f>VLOOKUP(G115,제품명!$C$1:$E$114,2,0)</f>
        <v>#N/A</v>
      </c>
      <c r="J115" s="29">
        <f>'Raw data'!K35</f>
        <v>0</v>
      </c>
      <c r="K115" s="31">
        <f>'Raw data'!H35</f>
        <v>0</v>
      </c>
      <c r="L115" s="26">
        <f t="shared" si="4"/>
        <v>0</v>
      </c>
    </row>
    <row r="116" spans="2:12">
      <c r="B116" s="4" t="e">
        <f t="shared" si="3"/>
        <v>#N/A</v>
      </c>
      <c r="C116" s="4">
        <f>'Raw data'!E36</f>
        <v>0</v>
      </c>
      <c r="D116" s="29" t="e">
        <f>VLOOKUP(C116,'점포코드 '!A:B,2,0)</f>
        <v>#N/A</v>
      </c>
      <c r="E116" s="30">
        <f>'Raw data'!P36</f>
        <v>0</v>
      </c>
      <c r="F116" s="29" t="e">
        <f>VLOOKUP(E116,'점포코드 '!A:B,2,0)</f>
        <v>#N/A</v>
      </c>
      <c r="G116" s="46">
        <f>'Raw data'!F36</f>
        <v>0</v>
      </c>
      <c r="H116" s="4">
        <f>'Raw data'!G36</f>
        <v>0</v>
      </c>
      <c r="I116" s="29" t="e">
        <f>VLOOKUP(G116,제품명!$C$1:$E$114,2,0)</f>
        <v>#N/A</v>
      </c>
      <c r="J116" s="29">
        <f>'Raw data'!K36</f>
        <v>0</v>
      </c>
      <c r="K116" s="31">
        <f>'Raw data'!H36</f>
        <v>0</v>
      </c>
      <c r="L116" s="26">
        <f t="shared" si="4"/>
        <v>0</v>
      </c>
    </row>
    <row r="117" spans="2:12">
      <c r="B117" s="4" t="e">
        <f t="shared" si="3"/>
        <v>#N/A</v>
      </c>
      <c r="C117" s="4">
        <f>'Raw data'!E37</f>
        <v>0</v>
      </c>
      <c r="D117" s="29" t="e">
        <f>VLOOKUP(C117,'점포코드 '!A:B,2,0)</f>
        <v>#N/A</v>
      </c>
      <c r="E117" s="30">
        <f>'Raw data'!P37</f>
        <v>0</v>
      </c>
      <c r="F117" s="29" t="e">
        <f>VLOOKUP(E117,'점포코드 '!A:B,2,0)</f>
        <v>#N/A</v>
      </c>
      <c r="G117" s="46">
        <f>'Raw data'!F37</f>
        <v>0</v>
      </c>
      <c r="H117" s="4">
        <f>'Raw data'!G37</f>
        <v>0</v>
      </c>
      <c r="I117" s="29" t="e">
        <f>VLOOKUP(G117,제품명!$C$1:$E$114,2,0)</f>
        <v>#N/A</v>
      </c>
      <c r="J117" s="29">
        <f>'Raw data'!K37</f>
        <v>0</v>
      </c>
      <c r="K117" s="31">
        <f>'Raw data'!H37</f>
        <v>0</v>
      </c>
      <c r="L117" s="26">
        <f t="shared" si="4"/>
        <v>0</v>
      </c>
    </row>
    <row r="118" spans="2:12">
      <c r="B118" s="4" t="e">
        <f t="shared" si="3"/>
        <v>#N/A</v>
      </c>
      <c r="C118" s="4">
        <f>'Raw data'!E38</f>
        <v>0</v>
      </c>
      <c r="D118" s="29" t="e">
        <f>VLOOKUP(C118,'점포코드 '!A:B,2,0)</f>
        <v>#N/A</v>
      </c>
      <c r="E118" s="30">
        <f>'Raw data'!P38</f>
        <v>0</v>
      </c>
      <c r="F118" s="29" t="e">
        <f>VLOOKUP(E118,'점포코드 '!A:B,2,0)</f>
        <v>#N/A</v>
      </c>
      <c r="G118" s="46">
        <f>'Raw data'!F38</f>
        <v>0</v>
      </c>
      <c r="H118" s="4">
        <f>'Raw data'!G38</f>
        <v>0</v>
      </c>
      <c r="I118" s="29" t="e">
        <f>VLOOKUP(G118,제품명!$C$1:$E$114,2,0)</f>
        <v>#N/A</v>
      </c>
      <c r="J118" s="29">
        <f>'Raw data'!K38</f>
        <v>0</v>
      </c>
      <c r="K118" s="31">
        <f>'Raw data'!H38</f>
        <v>0</v>
      </c>
      <c r="L118" s="26">
        <f t="shared" si="4"/>
        <v>0</v>
      </c>
    </row>
    <row r="119" spans="2:12">
      <c r="B119" s="4" t="e">
        <f t="shared" si="3"/>
        <v>#N/A</v>
      </c>
      <c r="C119" s="4">
        <f>'Raw data'!E39</f>
        <v>0</v>
      </c>
      <c r="D119" s="29" t="e">
        <f>VLOOKUP(C119,'점포코드 '!A:B,2,0)</f>
        <v>#N/A</v>
      </c>
      <c r="E119" s="30">
        <f>'Raw data'!P39</f>
        <v>0</v>
      </c>
      <c r="F119" s="29" t="e">
        <f>VLOOKUP(E119,'점포코드 '!A:B,2,0)</f>
        <v>#N/A</v>
      </c>
      <c r="G119" s="46">
        <f>'Raw data'!F39</f>
        <v>0</v>
      </c>
      <c r="H119" s="4">
        <f>'Raw data'!G39</f>
        <v>0</v>
      </c>
      <c r="I119" s="29" t="e">
        <f>VLOOKUP(G119,제품명!$C$1:$E$114,2,0)</f>
        <v>#N/A</v>
      </c>
      <c r="J119" s="29">
        <f>'Raw data'!K39</f>
        <v>0</v>
      </c>
      <c r="K119" s="31">
        <f>'Raw data'!H39</f>
        <v>0</v>
      </c>
      <c r="L119" s="26">
        <f t="shared" si="4"/>
        <v>0</v>
      </c>
    </row>
    <row r="120" spans="2:12">
      <c r="B120" s="4" t="e">
        <f t="shared" si="3"/>
        <v>#N/A</v>
      </c>
      <c r="C120" s="4">
        <f>'Raw data'!E40</f>
        <v>0</v>
      </c>
      <c r="D120" s="29" t="e">
        <f>VLOOKUP(C120,'점포코드 '!A:B,2,0)</f>
        <v>#N/A</v>
      </c>
      <c r="E120" s="30">
        <f>'Raw data'!P40</f>
        <v>0</v>
      </c>
      <c r="F120" s="29" t="e">
        <f>VLOOKUP(E120,'점포코드 '!A:B,2,0)</f>
        <v>#N/A</v>
      </c>
      <c r="G120" s="46">
        <f>'Raw data'!F40</f>
        <v>0</v>
      </c>
      <c r="H120" s="4">
        <f>'Raw data'!G40</f>
        <v>0</v>
      </c>
      <c r="I120" s="29" t="e">
        <f>VLOOKUP(G120,제품명!$C$1:$E$114,2,0)</f>
        <v>#N/A</v>
      </c>
      <c r="J120" s="29">
        <f>'Raw data'!K40</f>
        <v>0</v>
      </c>
      <c r="K120" s="31">
        <f>'Raw data'!H40</f>
        <v>0</v>
      </c>
      <c r="L120" s="26">
        <f t="shared" si="4"/>
        <v>0</v>
      </c>
    </row>
    <row r="121" spans="2:12">
      <c r="B121" s="4" t="e">
        <f t="shared" si="3"/>
        <v>#N/A</v>
      </c>
      <c r="C121" s="4">
        <f>'Raw data'!E41</f>
        <v>0</v>
      </c>
      <c r="D121" s="29" t="e">
        <f>VLOOKUP(C121,'점포코드 '!A:B,2,0)</f>
        <v>#N/A</v>
      </c>
      <c r="E121" s="30">
        <f>'Raw data'!P41</f>
        <v>0</v>
      </c>
      <c r="F121" s="29" t="e">
        <f>VLOOKUP(E121,'점포코드 '!A:B,2,0)</f>
        <v>#N/A</v>
      </c>
      <c r="G121" s="46">
        <f>'Raw data'!F41</f>
        <v>0</v>
      </c>
      <c r="H121" s="4">
        <f>'Raw data'!G41</f>
        <v>0</v>
      </c>
      <c r="I121" s="29" t="e">
        <f>VLOOKUP(G121,제품명!$C$1:$E$114,2,0)</f>
        <v>#N/A</v>
      </c>
      <c r="J121" s="29">
        <f>'Raw data'!K41</f>
        <v>0</v>
      </c>
      <c r="K121" s="31">
        <f>'Raw data'!H41</f>
        <v>0</v>
      </c>
      <c r="L121" s="26">
        <f t="shared" si="4"/>
        <v>0</v>
      </c>
    </row>
    <row r="122" spans="2:12">
      <c r="B122" s="4" t="e">
        <f t="shared" si="3"/>
        <v>#N/A</v>
      </c>
      <c r="C122" s="4">
        <f>'Raw data'!E42</f>
        <v>0</v>
      </c>
      <c r="D122" s="29" t="e">
        <f>VLOOKUP(C122,'점포코드 '!A:B,2,0)</f>
        <v>#N/A</v>
      </c>
      <c r="E122" s="30">
        <f>'Raw data'!P42</f>
        <v>0</v>
      </c>
      <c r="F122" s="29" t="e">
        <f>VLOOKUP(E122,'점포코드 '!A:B,2,0)</f>
        <v>#N/A</v>
      </c>
      <c r="G122" s="46">
        <f>'Raw data'!F42</f>
        <v>0</v>
      </c>
      <c r="H122" s="4">
        <f>'Raw data'!G42</f>
        <v>0</v>
      </c>
      <c r="I122" s="29" t="e">
        <f>VLOOKUP(G122,제품명!$C$1:$E$114,2,0)</f>
        <v>#N/A</v>
      </c>
      <c r="J122" s="29">
        <f>'Raw data'!K42</f>
        <v>0</v>
      </c>
      <c r="K122" s="31">
        <f>'Raw data'!H42</f>
        <v>0</v>
      </c>
      <c r="L122" s="26">
        <f t="shared" si="4"/>
        <v>0</v>
      </c>
    </row>
    <row r="123" spans="2:12">
      <c r="B123" s="4" t="e">
        <f t="shared" si="3"/>
        <v>#N/A</v>
      </c>
      <c r="C123" s="4">
        <f>'Raw data'!E43</f>
        <v>0</v>
      </c>
      <c r="D123" s="29" t="e">
        <f>VLOOKUP(C123,'점포코드 '!A:B,2,0)</f>
        <v>#N/A</v>
      </c>
      <c r="E123" s="30">
        <f>'Raw data'!P43</f>
        <v>0</v>
      </c>
      <c r="F123" s="29" t="e">
        <f>VLOOKUP(E123,'점포코드 '!A:B,2,0)</f>
        <v>#N/A</v>
      </c>
      <c r="G123" s="46">
        <f>'Raw data'!F43</f>
        <v>0</v>
      </c>
      <c r="H123" s="4">
        <f>'Raw data'!G43</f>
        <v>0</v>
      </c>
      <c r="I123" s="29" t="e">
        <f>VLOOKUP(G123,제품명!$C$1:$E$114,2,0)</f>
        <v>#N/A</v>
      </c>
      <c r="J123" s="29">
        <f>'Raw data'!K43</f>
        <v>0</v>
      </c>
      <c r="K123" s="31">
        <f>'Raw data'!H43</f>
        <v>0</v>
      </c>
      <c r="L123" s="26">
        <f t="shared" si="4"/>
        <v>0</v>
      </c>
    </row>
    <row r="124" spans="2:12">
      <c r="B124" s="4" t="e">
        <f t="shared" si="3"/>
        <v>#N/A</v>
      </c>
      <c r="C124" s="4">
        <f>'Raw data'!E44</f>
        <v>0</v>
      </c>
      <c r="D124" s="29" t="e">
        <f>VLOOKUP(C124,'점포코드 '!A:B,2,0)</f>
        <v>#N/A</v>
      </c>
      <c r="E124" s="30">
        <f>'Raw data'!P44</f>
        <v>0</v>
      </c>
      <c r="F124" s="29" t="e">
        <f>VLOOKUP(E124,'점포코드 '!A:B,2,0)</f>
        <v>#N/A</v>
      </c>
      <c r="G124" s="46">
        <f>'Raw data'!F44</f>
        <v>0</v>
      </c>
      <c r="H124" s="4">
        <f>'Raw data'!G44</f>
        <v>0</v>
      </c>
      <c r="I124" s="29" t="e">
        <f>VLOOKUP(G124,제품명!$C$1:$E$114,2,0)</f>
        <v>#N/A</v>
      </c>
      <c r="J124" s="29">
        <f>'Raw data'!K44</f>
        <v>0</v>
      </c>
      <c r="K124" s="31">
        <f>'Raw data'!H44</f>
        <v>0</v>
      </c>
      <c r="L124" s="26">
        <f t="shared" si="4"/>
        <v>0</v>
      </c>
    </row>
    <row r="125" spans="2:12">
      <c r="B125" s="4" t="e">
        <f>F125&amp;I125</f>
        <v>#N/A</v>
      </c>
      <c r="C125" s="4">
        <f>'Raw data'!E45</f>
        <v>0</v>
      </c>
      <c r="D125" s="29" t="e">
        <f>VLOOKUP(C125,'점포코드 '!A:B,2,0)</f>
        <v>#N/A</v>
      </c>
      <c r="E125" s="30">
        <f>'Raw data'!P45</f>
        <v>0</v>
      </c>
      <c r="F125" s="29" t="e">
        <f>VLOOKUP(E125,'점포코드 '!A:B,2,0)</f>
        <v>#N/A</v>
      </c>
      <c r="G125" s="46">
        <f>'Raw data'!F45</f>
        <v>0</v>
      </c>
      <c r="H125" s="4">
        <f>'Raw data'!G45</f>
        <v>0</v>
      </c>
      <c r="I125" s="29" t="e">
        <f>VLOOKUP(G125,제품명!$C$1:$E$114,2,0)</f>
        <v>#N/A</v>
      </c>
      <c r="J125" s="29">
        <f>'Raw data'!K45</f>
        <v>0</v>
      </c>
      <c r="K125" s="31">
        <f>'Raw data'!H45</f>
        <v>0</v>
      </c>
      <c r="L125" s="26">
        <f t="shared" si="4"/>
        <v>0</v>
      </c>
    </row>
    <row r="126" spans="2:12">
      <c r="B126" s="4" t="e">
        <f t="shared" si="3"/>
        <v>#N/A</v>
      </c>
      <c r="C126" s="4">
        <f>'Raw data'!E46</f>
        <v>0</v>
      </c>
      <c r="D126" s="29" t="e">
        <f>VLOOKUP(C126,'점포코드 '!A:B,2,0)</f>
        <v>#N/A</v>
      </c>
      <c r="E126" s="30">
        <f>'Raw data'!P46</f>
        <v>0</v>
      </c>
      <c r="F126" s="29" t="e">
        <f>VLOOKUP(E126,'점포코드 '!A:B,2,0)</f>
        <v>#N/A</v>
      </c>
      <c r="G126" s="46">
        <f>'Raw data'!F46</f>
        <v>0</v>
      </c>
      <c r="H126" s="4">
        <f>'Raw data'!G46</f>
        <v>0</v>
      </c>
      <c r="I126" s="29" t="e">
        <f>VLOOKUP(G126,제품명!$C$1:$E$114,2,0)</f>
        <v>#N/A</v>
      </c>
      <c r="J126" s="29">
        <f>'Raw data'!K46</f>
        <v>0</v>
      </c>
      <c r="K126" s="31">
        <f>'Raw data'!H46</f>
        <v>0</v>
      </c>
      <c r="L126" s="26">
        <f t="shared" si="4"/>
        <v>0</v>
      </c>
    </row>
    <row r="127" spans="2:12">
      <c r="B127" s="4" t="e">
        <f t="shared" si="3"/>
        <v>#N/A</v>
      </c>
      <c r="C127" s="4">
        <f>'Raw data'!E47</f>
        <v>0</v>
      </c>
      <c r="D127" s="29" t="e">
        <f>VLOOKUP(C127,'점포코드 '!A:B,2,0)</f>
        <v>#N/A</v>
      </c>
      <c r="E127" s="30">
        <f>'Raw data'!P47</f>
        <v>0</v>
      </c>
      <c r="F127" s="29" t="e">
        <f>VLOOKUP(E127,'점포코드 '!A:B,2,0)</f>
        <v>#N/A</v>
      </c>
      <c r="G127" s="46">
        <f>'Raw data'!F47</f>
        <v>0</v>
      </c>
      <c r="H127" s="4">
        <f>'Raw data'!G47</f>
        <v>0</v>
      </c>
      <c r="I127" s="29" t="e">
        <f>VLOOKUP(G127,제품명!$C$1:$E$114,2,0)</f>
        <v>#N/A</v>
      </c>
      <c r="J127" s="29">
        <f>'Raw data'!K47</f>
        <v>0</v>
      </c>
      <c r="K127" s="31">
        <f>'Raw data'!H47</f>
        <v>0</v>
      </c>
      <c r="L127" s="26">
        <f t="shared" si="4"/>
        <v>0</v>
      </c>
    </row>
    <row r="128" spans="2:12">
      <c r="B128" s="4" t="e">
        <f t="shared" si="3"/>
        <v>#N/A</v>
      </c>
      <c r="C128" s="4">
        <f>'Raw data'!E48</f>
        <v>0</v>
      </c>
      <c r="D128" s="29" t="e">
        <f>VLOOKUP(C128,'점포코드 '!A:B,2,0)</f>
        <v>#N/A</v>
      </c>
      <c r="E128" s="30">
        <f>'Raw data'!P48</f>
        <v>0</v>
      </c>
      <c r="F128" s="29" t="e">
        <f>VLOOKUP(E128,'점포코드 '!A:B,2,0)</f>
        <v>#N/A</v>
      </c>
      <c r="G128" s="46">
        <f>'Raw data'!F48</f>
        <v>0</v>
      </c>
      <c r="H128" s="4">
        <f>'Raw data'!G48</f>
        <v>0</v>
      </c>
      <c r="I128" s="29" t="e">
        <f>VLOOKUP(G128,제품명!$C$1:$E$114,2,0)</f>
        <v>#N/A</v>
      </c>
      <c r="J128" s="29">
        <f>'Raw data'!K48</f>
        <v>0</v>
      </c>
      <c r="K128" s="31">
        <f>'Raw data'!H48</f>
        <v>0</v>
      </c>
      <c r="L128" s="26">
        <f t="shared" si="4"/>
        <v>0</v>
      </c>
    </row>
    <row r="129" spans="2:12">
      <c r="B129" s="4" t="e">
        <f t="shared" si="3"/>
        <v>#N/A</v>
      </c>
      <c r="C129" s="4">
        <f>'Raw data'!E49</f>
        <v>0</v>
      </c>
      <c r="D129" s="29" t="e">
        <f>VLOOKUP(C129,'점포코드 '!A:B,2,0)</f>
        <v>#N/A</v>
      </c>
      <c r="E129" s="30">
        <f>'Raw data'!P49</f>
        <v>0</v>
      </c>
      <c r="F129" s="29" t="e">
        <f>VLOOKUP(E129,'점포코드 '!A:B,2,0)</f>
        <v>#N/A</v>
      </c>
      <c r="G129" s="46">
        <f>'Raw data'!F49</f>
        <v>0</v>
      </c>
      <c r="H129" s="4">
        <f>'Raw data'!G49</f>
        <v>0</v>
      </c>
      <c r="I129" s="29" t="e">
        <f>VLOOKUP(G129,제품명!$C$1:$E$114,2,0)</f>
        <v>#N/A</v>
      </c>
      <c r="J129" s="29">
        <f>'Raw data'!K49</f>
        <v>0</v>
      </c>
      <c r="K129" s="31">
        <f>'Raw data'!H49</f>
        <v>0</v>
      </c>
      <c r="L129" s="26">
        <f t="shared" si="4"/>
        <v>0</v>
      </c>
    </row>
    <row r="130" spans="2:12">
      <c r="B130" s="4" t="e">
        <f t="shared" ref="B130:B193" si="5">F130&amp;I130</f>
        <v>#N/A</v>
      </c>
      <c r="C130" s="4">
        <f>'Raw data'!E50</f>
        <v>0</v>
      </c>
      <c r="D130" s="29" t="e">
        <f>VLOOKUP(C130,'점포코드 '!A:B,2,0)</f>
        <v>#N/A</v>
      </c>
      <c r="E130" s="30">
        <f>'Raw data'!P50</f>
        <v>0</v>
      </c>
      <c r="F130" s="29" t="e">
        <f>VLOOKUP(E130,'점포코드 '!A:B,2,0)</f>
        <v>#N/A</v>
      </c>
      <c r="G130" s="46">
        <f>'Raw data'!F50</f>
        <v>0</v>
      </c>
      <c r="H130" s="4">
        <f>'Raw data'!G50</f>
        <v>0</v>
      </c>
      <c r="I130" s="29" t="e">
        <f>VLOOKUP(G130,제품명!$C$1:$E$114,2,0)</f>
        <v>#N/A</v>
      </c>
      <c r="J130" s="29">
        <f>'Raw data'!K50</f>
        <v>0</v>
      </c>
      <c r="K130" s="31">
        <f>'Raw data'!H50</f>
        <v>0</v>
      </c>
      <c r="L130" s="26">
        <f t="shared" si="4"/>
        <v>0</v>
      </c>
    </row>
    <row r="131" spans="2:12">
      <c r="B131" s="4" t="e">
        <f t="shared" si="5"/>
        <v>#N/A</v>
      </c>
      <c r="C131" s="4">
        <f>'Raw data'!E51</f>
        <v>0</v>
      </c>
      <c r="D131" s="29" t="e">
        <f>VLOOKUP(C131,'점포코드 '!A:B,2,0)</f>
        <v>#N/A</v>
      </c>
      <c r="E131" s="30">
        <f>'Raw data'!P51</f>
        <v>0</v>
      </c>
      <c r="F131" s="29" t="e">
        <f>VLOOKUP(E131,'점포코드 '!A:B,2,0)</f>
        <v>#N/A</v>
      </c>
      <c r="G131" s="46">
        <f>'Raw data'!F51</f>
        <v>0</v>
      </c>
      <c r="H131" s="4">
        <f>'Raw data'!G51</f>
        <v>0</v>
      </c>
      <c r="I131" s="29" t="e">
        <f>VLOOKUP(G131,제품명!$C$1:$E$114,2,0)</f>
        <v>#N/A</v>
      </c>
      <c r="J131" s="29">
        <f>'Raw data'!K51</f>
        <v>0</v>
      </c>
      <c r="K131" s="31">
        <f>'Raw data'!H51</f>
        <v>0</v>
      </c>
      <c r="L131" s="26">
        <f t="shared" ref="L131:L194" si="6">J131*K131</f>
        <v>0</v>
      </c>
    </row>
    <row r="132" spans="2:12">
      <c r="B132" s="4" t="e">
        <f t="shared" si="5"/>
        <v>#N/A</v>
      </c>
      <c r="C132" s="4">
        <f>'Raw data'!E52</f>
        <v>0</v>
      </c>
      <c r="D132" s="29" t="e">
        <f>VLOOKUP(C132,'점포코드 '!A:B,2,0)</f>
        <v>#N/A</v>
      </c>
      <c r="E132" s="30">
        <f>'Raw data'!P52</f>
        <v>0</v>
      </c>
      <c r="F132" s="29" t="e">
        <f>VLOOKUP(E132,'점포코드 '!A:B,2,0)</f>
        <v>#N/A</v>
      </c>
      <c r="G132" s="46">
        <f>'Raw data'!F52</f>
        <v>0</v>
      </c>
      <c r="H132" s="4">
        <f>'Raw data'!G52</f>
        <v>0</v>
      </c>
      <c r="I132" s="29" t="e">
        <f>VLOOKUP(G132,제품명!$C$1:$E$114,2,0)</f>
        <v>#N/A</v>
      </c>
      <c r="J132" s="29">
        <f>'Raw data'!K52</f>
        <v>0</v>
      </c>
      <c r="K132" s="31">
        <f>'Raw data'!H52</f>
        <v>0</v>
      </c>
      <c r="L132" s="26">
        <f t="shared" si="6"/>
        <v>0</v>
      </c>
    </row>
    <row r="133" spans="2:12">
      <c r="B133" s="4" t="e">
        <f t="shared" si="5"/>
        <v>#N/A</v>
      </c>
      <c r="C133" s="4">
        <f>'Raw data'!E53</f>
        <v>0</v>
      </c>
      <c r="D133" s="29" t="e">
        <f>VLOOKUP(C133,'점포코드 '!A:B,2,0)</f>
        <v>#N/A</v>
      </c>
      <c r="E133" s="30">
        <f>'Raw data'!P53</f>
        <v>0</v>
      </c>
      <c r="F133" s="29" t="e">
        <f>VLOOKUP(E133,'점포코드 '!A:B,2,0)</f>
        <v>#N/A</v>
      </c>
      <c r="G133" s="46">
        <f>'Raw data'!F53</f>
        <v>0</v>
      </c>
      <c r="H133" s="4">
        <f>'Raw data'!G53</f>
        <v>0</v>
      </c>
      <c r="I133" s="29" t="e">
        <f>VLOOKUP(G133,제품명!$C$1:$E$114,2,0)</f>
        <v>#N/A</v>
      </c>
      <c r="J133" s="29">
        <f>'Raw data'!K53</f>
        <v>0</v>
      </c>
      <c r="K133" s="31">
        <f>'Raw data'!H53</f>
        <v>0</v>
      </c>
      <c r="L133" s="26">
        <f t="shared" si="6"/>
        <v>0</v>
      </c>
    </row>
    <row r="134" spans="2:12">
      <c r="B134" s="4" t="e">
        <f t="shared" si="5"/>
        <v>#N/A</v>
      </c>
      <c r="C134" s="4">
        <f>'Raw data'!E54</f>
        <v>0</v>
      </c>
      <c r="D134" s="29" t="e">
        <f>VLOOKUP(C134,'점포코드 '!A:B,2,0)</f>
        <v>#N/A</v>
      </c>
      <c r="E134" s="30">
        <f>'Raw data'!P54</f>
        <v>0</v>
      </c>
      <c r="F134" s="29" t="e">
        <f>VLOOKUP(E134,'점포코드 '!A:B,2,0)</f>
        <v>#N/A</v>
      </c>
      <c r="G134" s="46">
        <f>'Raw data'!F54</f>
        <v>0</v>
      </c>
      <c r="H134" s="4">
        <f>'Raw data'!G54</f>
        <v>0</v>
      </c>
      <c r="I134" s="29" t="e">
        <f>VLOOKUP(G134,제품명!$C$1:$E$114,2,0)</f>
        <v>#N/A</v>
      </c>
      <c r="J134" s="29">
        <f>'Raw data'!K54</f>
        <v>0</v>
      </c>
      <c r="K134" s="31">
        <f>'Raw data'!H54</f>
        <v>0</v>
      </c>
      <c r="L134" s="26">
        <f t="shared" si="6"/>
        <v>0</v>
      </c>
    </row>
    <row r="135" spans="2:12">
      <c r="B135" s="4" t="e">
        <f t="shared" si="5"/>
        <v>#N/A</v>
      </c>
      <c r="C135" s="4">
        <f>'Raw data'!E55</f>
        <v>0</v>
      </c>
      <c r="D135" s="29" t="e">
        <f>VLOOKUP(C135,'점포코드 '!A:B,2,0)</f>
        <v>#N/A</v>
      </c>
      <c r="E135" s="30">
        <f>'Raw data'!P55</f>
        <v>0</v>
      </c>
      <c r="F135" s="29" t="e">
        <f>VLOOKUP(E135,'점포코드 '!A:B,2,0)</f>
        <v>#N/A</v>
      </c>
      <c r="G135" s="46">
        <f>'Raw data'!F55</f>
        <v>0</v>
      </c>
      <c r="H135" s="4">
        <f>'Raw data'!G55</f>
        <v>0</v>
      </c>
      <c r="I135" s="29" t="e">
        <f>VLOOKUP(G135,제품명!$C$1:$E$114,2,0)</f>
        <v>#N/A</v>
      </c>
      <c r="J135" s="29">
        <f>'Raw data'!K55</f>
        <v>0</v>
      </c>
      <c r="K135" s="31">
        <f>'Raw data'!H55</f>
        <v>0</v>
      </c>
      <c r="L135" s="26">
        <f t="shared" si="6"/>
        <v>0</v>
      </c>
    </row>
    <row r="136" spans="2:12">
      <c r="B136" s="4" t="e">
        <f t="shared" si="5"/>
        <v>#N/A</v>
      </c>
      <c r="C136" s="4">
        <f>'Raw data'!E56</f>
        <v>0</v>
      </c>
      <c r="D136" s="29" t="e">
        <f>VLOOKUP(C136,'점포코드 '!A:B,2,0)</f>
        <v>#N/A</v>
      </c>
      <c r="E136" s="30">
        <f>'Raw data'!P56</f>
        <v>0</v>
      </c>
      <c r="F136" s="29" t="e">
        <f>VLOOKUP(E136,'점포코드 '!A:B,2,0)</f>
        <v>#N/A</v>
      </c>
      <c r="G136" s="46">
        <f>'Raw data'!F56</f>
        <v>0</v>
      </c>
      <c r="H136" s="4">
        <f>'Raw data'!G56</f>
        <v>0</v>
      </c>
      <c r="I136" s="29" t="e">
        <f>VLOOKUP(G136,제품명!$C$1:$E$114,2,0)</f>
        <v>#N/A</v>
      </c>
      <c r="J136" s="29">
        <f>'Raw data'!K56</f>
        <v>0</v>
      </c>
      <c r="K136" s="31">
        <f>'Raw data'!H56</f>
        <v>0</v>
      </c>
      <c r="L136" s="26">
        <f t="shared" si="6"/>
        <v>0</v>
      </c>
    </row>
    <row r="137" spans="2:12">
      <c r="B137" s="4" t="e">
        <f t="shared" si="5"/>
        <v>#N/A</v>
      </c>
      <c r="C137" s="4">
        <f>'Raw data'!E57</f>
        <v>0</v>
      </c>
      <c r="D137" s="29" t="e">
        <f>VLOOKUP(C137,'점포코드 '!A:B,2,0)</f>
        <v>#N/A</v>
      </c>
      <c r="E137" s="30">
        <f>'Raw data'!P57</f>
        <v>0</v>
      </c>
      <c r="F137" s="29" t="e">
        <f>VLOOKUP(E137,'점포코드 '!A:B,2,0)</f>
        <v>#N/A</v>
      </c>
      <c r="G137" s="46">
        <f>'Raw data'!F57</f>
        <v>0</v>
      </c>
      <c r="H137" s="4">
        <f>'Raw data'!G57</f>
        <v>0</v>
      </c>
      <c r="I137" s="29" t="e">
        <f>VLOOKUP(G137,제품명!$C$1:$E$114,2,0)</f>
        <v>#N/A</v>
      </c>
      <c r="J137" s="29">
        <f>'Raw data'!K57</f>
        <v>0</v>
      </c>
      <c r="K137" s="31">
        <f>'Raw data'!H57</f>
        <v>0</v>
      </c>
      <c r="L137" s="26">
        <f t="shared" si="6"/>
        <v>0</v>
      </c>
    </row>
    <row r="138" spans="2:12">
      <c r="B138" s="4" t="e">
        <f t="shared" si="5"/>
        <v>#N/A</v>
      </c>
      <c r="C138" s="4">
        <f>'Raw data'!E58</f>
        <v>0</v>
      </c>
      <c r="D138" s="29" t="e">
        <f>VLOOKUP(C138,'점포코드 '!A:B,2,0)</f>
        <v>#N/A</v>
      </c>
      <c r="E138" s="30">
        <f>'Raw data'!P58</f>
        <v>0</v>
      </c>
      <c r="F138" s="29" t="e">
        <f>VLOOKUP(E138,'점포코드 '!A:B,2,0)</f>
        <v>#N/A</v>
      </c>
      <c r="G138" s="46">
        <f>'Raw data'!F58</f>
        <v>0</v>
      </c>
      <c r="H138" s="4">
        <f>'Raw data'!G58</f>
        <v>0</v>
      </c>
      <c r="I138" s="29" t="e">
        <f>VLOOKUP(G138,제품명!$C$1:$E$114,2,0)</f>
        <v>#N/A</v>
      </c>
      <c r="J138" s="29">
        <f>'Raw data'!K58</f>
        <v>0</v>
      </c>
      <c r="K138" s="31">
        <f>'Raw data'!H58</f>
        <v>0</v>
      </c>
      <c r="L138" s="26">
        <f t="shared" si="6"/>
        <v>0</v>
      </c>
    </row>
    <row r="139" spans="2:12">
      <c r="B139" s="4" t="e">
        <f t="shared" si="5"/>
        <v>#N/A</v>
      </c>
      <c r="C139" s="4">
        <f>'Raw data'!E59</f>
        <v>0</v>
      </c>
      <c r="D139" s="29" t="e">
        <f>VLOOKUP(C139,'점포코드 '!A:B,2,0)</f>
        <v>#N/A</v>
      </c>
      <c r="E139" s="30">
        <f>'Raw data'!P59</f>
        <v>0</v>
      </c>
      <c r="F139" s="29" t="e">
        <f>VLOOKUP(E139,'점포코드 '!A:B,2,0)</f>
        <v>#N/A</v>
      </c>
      <c r="G139" s="46">
        <f>'Raw data'!F59</f>
        <v>0</v>
      </c>
      <c r="H139" s="4">
        <f>'Raw data'!G59</f>
        <v>0</v>
      </c>
      <c r="I139" s="29" t="e">
        <f>VLOOKUP(G139,제품명!$C$1:$E$114,2,0)</f>
        <v>#N/A</v>
      </c>
      <c r="J139" s="29">
        <f>'Raw data'!K59</f>
        <v>0</v>
      </c>
      <c r="K139" s="31">
        <f>'Raw data'!H59</f>
        <v>0</v>
      </c>
      <c r="L139" s="26">
        <f t="shared" si="6"/>
        <v>0</v>
      </c>
    </row>
    <row r="140" spans="2:12">
      <c r="B140" s="4" t="e">
        <f t="shared" si="5"/>
        <v>#N/A</v>
      </c>
      <c r="C140" s="4">
        <f>'Raw data'!E60</f>
        <v>0</v>
      </c>
      <c r="D140" s="29" t="e">
        <f>VLOOKUP(C140,'점포코드 '!A:B,2,0)</f>
        <v>#N/A</v>
      </c>
      <c r="E140" s="30">
        <f>'Raw data'!P60</f>
        <v>0</v>
      </c>
      <c r="F140" s="29" t="e">
        <f>VLOOKUP(E140,'점포코드 '!A:B,2,0)</f>
        <v>#N/A</v>
      </c>
      <c r="G140" s="46">
        <f>'Raw data'!F60</f>
        <v>0</v>
      </c>
      <c r="H140" s="4">
        <f>'Raw data'!G60</f>
        <v>0</v>
      </c>
      <c r="I140" s="29" t="e">
        <f>VLOOKUP(G140,제품명!$C$1:$E$114,2,0)</f>
        <v>#N/A</v>
      </c>
      <c r="J140" s="29">
        <f>'Raw data'!K60</f>
        <v>0</v>
      </c>
      <c r="K140" s="31">
        <f>'Raw data'!H60</f>
        <v>0</v>
      </c>
      <c r="L140" s="26">
        <f t="shared" si="6"/>
        <v>0</v>
      </c>
    </row>
    <row r="141" spans="2:12">
      <c r="B141" s="4" t="e">
        <f t="shared" si="5"/>
        <v>#N/A</v>
      </c>
      <c r="C141" s="4">
        <f>'Raw data'!E61</f>
        <v>0</v>
      </c>
      <c r="D141" s="29" t="e">
        <f>VLOOKUP(C141,'점포코드 '!A:B,2,0)</f>
        <v>#N/A</v>
      </c>
      <c r="E141" s="30">
        <f>'Raw data'!P61</f>
        <v>0</v>
      </c>
      <c r="F141" s="29" t="e">
        <f>VLOOKUP(E141,'점포코드 '!A:B,2,0)</f>
        <v>#N/A</v>
      </c>
      <c r="G141" s="46">
        <f>'Raw data'!F61</f>
        <v>0</v>
      </c>
      <c r="H141" s="4">
        <f>'Raw data'!G61</f>
        <v>0</v>
      </c>
      <c r="I141" s="29" t="e">
        <f>VLOOKUP(G141,제품명!$C$1:$E$114,2,0)</f>
        <v>#N/A</v>
      </c>
      <c r="J141" s="29">
        <f>'Raw data'!K61</f>
        <v>0</v>
      </c>
      <c r="K141" s="31">
        <f>'Raw data'!H61</f>
        <v>0</v>
      </c>
      <c r="L141" s="26">
        <f t="shared" si="6"/>
        <v>0</v>
      </c>
    </row>
    <row r="142" spans="2:12">
      <c r="B142" s="4" t="e">
        <f t="shared" si="5"/>
        <v>#N/A</v>
      </c>
      <c r="C142" s="4">
        <f>'Raw data'!E62</f>
        <v>0</v>
      </c>
      <c r="D142" s="29" t="e">
        <f>VLOOKUP(C142,'점포코드 '!A:B,2,0)</f>
        <v>#N/A</v>
      </c>
      <c r="E142" s="30">
        <f>'Raw data'!P62</f>
        <v>0</v>
      </c>
      <c r="F142" s="29" t="e">
        <f>VLOOKUP(E142,'점포코드 '!A:B,2,0)</f>
        <v>#N/A</v>
      </c>
      <c r="G142" s="46">
        <f>'Raw data'!F62</f>
        <v>0</v>
      </c>
      <c r="H142" s="4">
        <f>'Raw data'!G62</f>
        <v>0</v>
      </c>
      <c r="I142" s="29" t="e">
        <f>VLOOKUP(G142,제품명!$C$1:$E$114,2,0)</f>
        <v>#N/A</v>
      </c>
      <c r="J142" s="29">
        <f>'Raw data'!K62</f>
        <v>0</v>
      </c>
      <c r="K142" s="31">
        <f>'Raw data'!H62</f>
        <v>0</v>
      </c>
      <c r="L142" s="26">
        <f t="shared" si="6"/>
        <v>0</v>
      </c>
    </row>
    <row r="143" spans="2:12">
      <c r="B143" s="4" t="e">
        <f t="shared" si="5"/>
        <v>#N/A</v>
      </c>
      <c r="C143" s="4">
        <f>'Raw data'!E63</f>
        <v>0</v>
      </c>
      <c r="D143" s="29" t="e">
        <f>VLOOKUP(C143,'점포코드 '!A:B,2,0)</f>
        <v>#N/A</v>
      </c>
      <c r="E143" s="30">
        <f>'Raw data'!P63</f>
        <v>0</v>
      </c>
      <c r="F143" s="29" t="e">
        <f>VLOOKUP(E143,'점포코드 '!A:B,2,0)</f>
        <v>#N/A</v>
      </c>
      <c r="G143" s="46">
        <f>'Raw data'!F63</f>
        <v>0</v>
      </c>
      <c r="H143" s="4">
        <f>'Raw data'!G63</f>
        <v>0</v>
      </c>
      <c r="I143" s="29" t="e">
        <f>VLOOKUP(G143,제품명!$C$1:$E$114,2,0)</f>
        <v>#N/A</v>
      </c>
      <c r="J143" s="29">
        <f>'Raw data'!K63</f>
        <v>0</v>
      </c>
      <c r="K143" s="31">
        <f>'Raw data'!H63</f>
        <v>0</v>
      </c>
      <c r="L143" s="26">
        <f t="shared" si="6"/>
        <v>0</v>
      </c>
    </row>
    <row r="144" spans="2:12">
      <c r="B144" s="4" t="e">
        <f t="shared" si="5"/>
        <v>#N/A</v>
      </c>
      <c r="C144" s="4">
        <f>'Raw data'!E64</f>
        <v>0</v>
      </c>
      <c r="D144" s="29" t="e">
        <f>VLOOKUP(C144,'점포코드 '!A:B,2,0)</f>
        <v>#N/A</v>
      </c>
      <c r="E144" s="30">
        <f>'Raw data'!P64</f>
        <v>0</v>
      </c>
      <c r="F144" s="29" t="e">
        <f>VLOOKUP(E144,'점포코드 '!A:B,2,0)</f>
        <v>#N/A</v>
      </c>
      <c r="G144" s="46">
        <f>'Raw data'!F64</f>
        <v>0</v>
      </c>
      <c r="H144" s="4">
        <f>'Raw data'!G64</f>
        <v>0</v>
      </c>
      <c r="I144" s="29" t="e">
        <f>VLOOKUP(G144,제품명!$C$1:$E$114,2,0)</f>
        <v>#N/A</v>
      </c>
      <c r="J144" s="29">
        <f>'Raw data'!K64</f>
        <v>0</v>
      </c>
      <c r="K144" s="31">
        <f>'Raw data'!H64</f>
        <v>0</v>
      </c>
      <c r="L144" s="26">
        <f t="shared" si="6"/>
        <v>0</v>
      </c>
    </row>
    <row r="145" spans="2:12">
      <c r="B145" s="4" t="e">
        <f t="shared" si="5"/>
        <v>#N/A</v>
      </c>
      <c r="C145" s="4">
        <f>'Raw data'!E65</f>
        <v>0</v>
      </c>
      <c r="D145" s="29" t="e">
        <f>VLOOKUP(C145,'점포코드 '!A:B,2,0)</f>
        <v>#N/A</v>
      </c>
      <c r="E145" s="30">
        <f>'Raw data'!P65</f>
        <v>0</v>
      </c>
      <c r="F145" s="29" t="e">
        <f>VLOOKUP(E145,'점포코드 '!A:B,2,0)</f>
        <v>#N/A</v>
      </c>
      <c r="G145" s="46">
        <f>'Raw data'!F65</f>
        <v>0</v>
      </c>
      <c r="H145" s="4">
        <f>'Raw data'!G65</f>
        <v>0</v>
      </c>
      <c r="I145" s="29" t="e">
        <f>VLOOKUP(G145,제품명!$C$1:$E$114,2,0)</f>
        <v>#N/A</v>
      </c>
      <c r="J145" s="29">
        <f>'Raw data'!K65</f>
        <v>0</v>
      </c>
      <c r="K145" s="31">
        <f>'Raw data'!H65</f>
        <v>0</v>
      </c>
      <c r="L145" s="26">
        <f t="shared" si="6"/>
        <v>0</v>
      </c>
    </row>
    <row r="146" spans="2:12">
      <c r="B146" s="4" t="e">
        <f t="shared" si="5"/>
        <v>#N/A</v>
      </c>
      <c r="C146" s="4">
        <f>'Raw data'!E66</f>
        <v>0</v>
      </c>
      <c r="D146" s="29" t="e">
        <f>VLOOKUP(C146,'점포코드 '!A:B,2,0)</f>
        <v>#N/A</v>
      </c>
      <c r="E146" s="30">
        <f>'Raw data'!P66</f>
        <v>0</v>
      </c>
      <c r="F146" s="29" t="e">
        <f>VLOOKUP(E146,'점포코드 '!A:B,2,0)</f>
        <v>#N/A</v>
      </c>
      <c r="G146" s="46">
        <f>'Raw data'!F66</f>
        <v>0</v>
      </c>
      <c r="H146" s="4">
        <f>'Raw data'!G66</f>
        <v>0</v>
      </c>
      <c r="I146" s="29" t="e">
        <f>VLOOKUP(G146,제품명!$C$1:$E$114,2,0)</f>
        <v>#N/A</v>
      </c>
      <c r="J146" s="29">
        <f>'Raw data'!K66</f>
        <v>0</v>
      </c>
      <c r="K146" s="31">
        <f>'Raw data'!H66</f>
        <v>0</v>
      </c>
      <c r="L146" s="26">
        <f t="shared" si="6"/>
        <v>0</v>
      </c>
    </row>
    <row r="147" spans="2:12">
      <c r="B147" s="4" t="e">
        <f t="shared" si="5"/>
        <v>#N/A</v>
      </c>
      <c r="C147" s="4">
        <f>'Raw data'!E67</f>
        <v>0</v>
      </c>
      <c r="D147" s="29" t="e">
        <f>VLOOKUP(C147,'점포코드 '!A:B,2,0)</f>
        <v>#N/A</v>
      </c>
      <c r="E147" s="30">
        <f>'Raw data'!P67</f>
        <v>0</v>
      </c>
      <c r="F147" s="29" t="e">
        <f>VLOOKUP(E147,'점포코드 '!A:B,2,0)</f>
        <v>#N/A</v>
      </c>
      <c r="G147" s="46">
        <f>'Raw data'!F67</f>
        <v>0</v>
      </c>
      <c r="H147" s="4">
        <f>'Raw data'!G67</f>
        <v>0</v>
      </c>
      <c r="I147" s="29" t="e">
        <f>VLOOKUP(G147,제품명!$C$1:$E$114,2,0)</f>
        <v>#N/A</v>
      </c>
      <c r="J147" s="29">
        <f>'Raw data'!K67</f>
        <v>0</v>
      </c>
      <c r="K147" s="31">
        <f>'Raw data'!H67</f>
        <v>0</v>
      </c>
      <c r="L147" s="26">
        <f t="shared" si="6"/>
        <v>0</v>
      </c>
    </row>
    <row r="148" spans="2:12">
      <c r="B148" s="4" t="e">
        <f t="shared" si="5"/>
        <v>#N/A</v>
      </c>
      <c r="C148" s="4">
        <f>'Raw data'!E68</f>
        <v>0</v>
      </c>
      <c r="D148" s="29" t="e">
        <f>VLOOKUP(C148,'점포코드 '!A:B,2,0)</f>
        <v>#N/A</v>
      </c>
      <c r="E148" s="30">
        <f>'Raw data'!P68</f>
        <v>0</v>
      </c>
      <c r="F148" s="29" t="e">
        <f>VLOOKUP(E148,'점포코드 '!A:B,2,0)</f>
        <v>#N/A</v>
      </c>
      <c r="G148" s="46">
        <f>'Raw data'!F68</f>
        <v>0</v>
      </c>
      <c r="H148" s="4">
        <f>'Raw data'!G68</f>
        <v>0</v>
      </c>
      <c r="I148" s="29" t="e">
        <f>VLOOKUP(G148,제품명!$C$1:$E$114,2,0)</f>
        <v>#N/A</v>
      </c>
      <c r="J148" s="29">
        <f>'Raw data'!K68</f>
        <v>0</v>
      </c>
      <c r="K148" s="31">
        <f>'Raw data'!H68</f>
        <v>0</v>
      </c>
      <c r="L148" s="26">
        <f t="shared" si="6"/>
        <v>0</v>
      </c>
    </row>
    <row r="149" spans="2:12">
      <c r="B149" s="4" t="e">
        <f t="shared" si="5"/>
        <v>#N/A</v>
      </c>
      <c r="C149" s="4">
        <f>'Raw data'!E69</f>
        <v>0</v>
      </c>
      <c r="D149" s="29" t="e">
        <f>VLOOKUP(C149,'점포코드 '!A:B,2,0)</f>
        <v>#N/A</v>
      </c>
      <c r="E149" s="30">
        <f>'Raw data'!P69</f>
        <v>0</v>
      </c>
      <c r="F149" s="29" t="e">
        <f>VLOOKUP(E149,'점포코드 '!A:B,2,0)</f>
        <v>#N/A</v>
      </c>
      <c r="G149" s="46">
        <f>'Raw data'!F69</f>
        <v>0</v>
      </c>
      <c r="H149" s="4">
        <f>'Raw data'!G69</f>
        <v>0</v>
      </c>
      <c r="I149" s="29" t="e">
        <f>VLOOKUP(G149,제품명!$C$1:$E$114,2,0)</f>
        <v>#N/A</v>
      </c>
      <c r="J149" s="29">
        <f>'Raw data'!K69</f>
        <v>0</v>
      </c>
      <c r="K149" s="31">
        <f>'Raw data'!H69</f>
        <v>0</v>
      </c>
      <c r="L149" s="26">
        <f t="shared" si="6"/>
        <v>0</v>
      </c>
    </row>
    <row r="150" spans="2:12">
      <c r="B150" s="4" t="e">
        <f t="shared" si="5"/>
        <v>#N/A</v>
      </c>
      <c r="C150" s="4">
        <f>'Raw data'!E70</f>
        <v>0</v>
      </c>
      <c r="D150" s="29" t="e">
        <f>VLOOKUP(C150,'점포코드 '!A:B,2,0)</f>
        <v>#N/A</v>
      </c>
      <c r="E150" s="30">
        <f>'Raw data'!P70</f>
        <v>0</v>
      </c>
      <c r="F150" s="29" t="e">
        <f>VLOOKUP(E150,'점포코드 '!A:B,2,0)</f>
        <v>#N/A</v>
      </c>
      <c r="G150" s="46">
        <f>'Raw data'!F70</f>
        <v>0</v>
      </c>
      <c r="H150" s="4">
        <f>'Raw data'!G70</f>
        <v>0</v>
      </c>
      <c r="I150" s="29" t="e">
        <f>VLOOKUP(G150,제품명!$C$1:$E$114,2,0)</f>
        <v>#N/A</v>
      </c>
      <c r="J150" s="29">
        <f>'Raw data'!K70</f>
        <v>0</v>
      </c>
      <c r="K150" s="31">
        <f>'Raw data'!H70</f>
        <v>0</v>
      </c>
      <c r="L150" s="26">
        <f t="shared" si="6"/>
        <v>0</v>
      </c>
    </row>
    <row r="151" spans="2:12">
      <c r="B151" s="4" t="e">
        <f t="shared" si="5"/>
        <v>#N/A</v>
      </c>
      <c r="C151" s="4">
        <f>'Raw data'!E71</f>
        <v>0</v>
      </c>
      <c r="D151" s="29" t="e">
        <f>VLOOKUP(C151,'점포코드 '!A:B,2,0)</f>
        <v>#N/A</v>
      </c>
      <c r="E151" s="30">
        <f>'Raw data'!P71</f>
        <v>0</v>
      </c>
      <c r="F151" s="29" t="e">
        <f>VLOOKUP(E151,'점포코드 '!A:B,2,0)</f>
        <v>#N/A</v>
      </c>
      <c r="G151" s="46">
        <f>'Raw data'!F71</f>
        <v>0</v>
      </c>
      <c r="H151" s="4">
        <f>'Raw data'!G71</f>
        <v>0</v>
      </c>
      <c r="I151" s="29" t="e">
        <f>VLOOKUP(G151,제품명!$C$1:$E$114,2,0)</f>
        <v>#N/A</v>
      </c>
      <c r="J151" s="29">
        <f>'Raw data'!K71</f>
        <v>0</v>
      </c>
      <c r="K151" s="31">
        <f>'Raw data'!H71</f>
        <v>0</v>
      </c>
      <c r="L151" s="26">
        <f t="shared" si="6"/>
        <v>0</v>
      </c>
    </row>
    <row r="152" spans="2:12">
      <c r="B152" s="4" t="e">
        <f t="shared" si="5"/>
        <v>#N/A</v>
      </c>
      <c r="C152" s="4">
        <f>'Raw data'!E72</f>
        <v>0</v>
      </c>
      <c r="D152" s="29" t="e">
        <f>VLOOKUP(C152,'점포코드 '!A:B,2,0)</f>
        <v>#N/A</v>
      </c>
      <c r="E152" s="30">
        <f>'Raw data'!P72</f>
        <v>0</v>
      </c>
      <c r="F152" s="29" t="e">
        <f>VLOOKUP(E152,'점포코드 '!A:B,2,0)</f>
        <v>#N/A</v>
      </c>
      <c r="G152" s="46">
        <f>'Raw data'!F72</f>
        <v>0</v>
      </c>
      <c r="H152" s="4">
        <f>'Raw data'!G72</f>
        <v>0</v>
      </c>
      <c r="I152" s="29" t="e">
        <f>VLOOKUP(G152,제품명!$C$1:$E$114,2,0)</f>
        <v>#N/A</v>
      </c>
      <c r="J152" s="29">
        <f>'Raw data'!K72</f>
        <v>0</v>
      </c>
      <c r="K152" s="31">
        <f>'Raw data'!H72</f>
        <v>0</v>
      </c>
      <c r="L152" s="26">
        <f t="shared" si="6"/>
        <v>0</v>
      </c>
    </row>
    <row r="153" spans="2:12">
      <c r="B153" s="4" t="e">
        <f t="shared" si="5"/>
        <v>#N/A</v>
      </c>
      <c r="C153" s="4">
        <f>'Raw data'!E73</f>
        <v>0</v>
      </c>
      <c r="D153" s="29" t="e">
        <f>VLOOKUP(C153,'점포코드 '!A:B,2,0)</f>
        <v>#N/A</v>
      </c>
      <c r="E153" s="30">
        <f>'Raw data'!P73</f>
        <v>0</v>
      </c>
      <c r="F153" s="29" t="e">
        <f>VLOOKUP(E153,'점포코드 '!A:B,2,0)</f>
        <v>#N/A</v>
      </c>
      <c r="G153" s="46">
        <f>'Raw data'!F73</f>
        <v>0</v>
      </c>
      <c r="H153" s="4">
        <f>'Raw data'!G73</f>
        <v>0</v>
      </c>
      <c r="I153" s="29" t="e">
        <f>VLOOKUP(G153,제품명!$C$1:$E$114,2,0)</f>
        <v>#N/A</v>
      </c>
      <c r="J153" s="29">
        <f>'Raw data'!K73</f>
        <v>0</v>
      </c>
      <c r="K153" s="31">
        <f>'Raw data'!H73</f>
        <v>0</v>
      </c>
      <c r="L153" s="26">
        <f t="shared" si="6"/>
        <v>0</v>
      </c>
    </row>
    <row r="154" spans="2:12">
      <c r="B154" s="4" t="e">
        <f t="shared" si="5"/>
        <v>#N/A</v>
      </c>
      <c r="C154" s="4">
        <f>'Raw data'!E74</f>
        <v>0</v>
      </c>
      <c r="D154" s="29" t="e">
        <f>VLOOKUP(C154,'점포코드 '!A:B,2,0)</f>
        <v>#N/A</v>
      </c>
      <c r="E154" s="30">
        <f>'Raw data'!P74</f>
        <v>0</v>
      </c>
      <c r="F154" s="29" t="e">
        <f>VLOOKUP(E154,'점포코드 '!A:B,2,0)</f>
        <v>#N/A</v>
      </c>
      <c r="G154" s="46">
        <f>'Raw data'!F74</f>
        <v>0</v>
      </c>
      <c r="H154" s="4">
        <f>'Raw data'!G74</f>
        <v>0</v>
      </c>
      <c r="I154" s="29" t="e">
        <f>VLOOKUP(G154,제품명!$C$1:$E$114,2,0)</f>
        <v>#N/A</v>
      </c>
      <c r="J154" s="29">
        <f>'Raw data'!K74</f>
        <v>0</v>
      </c>
      <c r="K154" s="31">
        <f>'Raw data'!H74</f>
        <v>0</v>
      </c>
      <c r="L154" s="26">
        <f t="shared" si="6"/>
        <v>0</v>
      </c>
    </row>
    <row r="155" spans="2:12">
      <c r="B155" s="4" t="e">
        <f t="shared" si="5"/>
        <v>#N/A</v>
      </c>
      <c r="C155" s="4">
        <f>'Raw data'!E75</f>
        <v>0</v>
      </c>
      <c r="D155" s="29" t="e">
        <f>VLOOKUP(C155,'점포코드 '!A:B,2,0)</f>
        <v>#N/A</v>
      </c>
      <c r="E155" s="30">
        <f>'Raw data'!P75</f>
        <v>0</v>
      </c>
      <c r="F155" s="29" t="e">
        <f>VLOOKUP(E155,'점포코드 '!A:B,2,0)</f>
        <v>#N/A</v>
      </c>
      <c r="G155" s="46">
        <f>'Raw data'!F75</f>
        <v>0</v>
      </c>
      <c r="H155" s="4">
        <f>'Raw data'!G75</f>
        <v>0</v>
      </c>
      <c r="I155" s="29" t="e">
        <f>VLOOKUP(G155,제품명!$C$1:$E$114,2,0)</f>
        <v>#N/A</v>
      </c>
      <c r="J155" s="29">
        <f>'Raw data'!K75</f>
        <v>0</v>
      </c>
      <c r="K155" s="31">
        <f>'Raw data'!H75</f>
        <v>0</v>
      </c>
      <c r="L155" s="26">
        <f t="shared" si="6"/>
        <v>0</v>
      </c>
    </row>
    <row r="156" spans="2:12">
      <c r="B156" s="4" t="e">
        <f t="shared" si="5"/>
        <v>#N/A</v>
      </c>
      <c r="C156" s="4">
        <f>'Raw data'!E76</f>
        <v>0</v>
      </c>
      <c r="D156" s="29" t="e">
        <f>VLOOKUP(C156,'점포코드 '!A:B,2,0)</f>
        <v>#N/A</v>
      </c>
      <c r="E156" s="30">
        <f>'Raw data'!P76</f>
        <v>0</v>
      </c>
      <c r="F156" s="29" t="e">
        <f>VLOOKUP(E156,'점포코드 '!A:B,2,0)</f>
        <v>#N/A</v>
      </c>
      <c r="G156" s="46">
        <f>'Raw data'!F76</f>
        <v>0</v>
      </c>
      <c r="H156" s="4">
        <f>'Raw data'!G76</f>
        <v>0</v>
      </c>
      <c r="I156" s="29" t="e">
        <f>VLOOKUP(G156,제품명!$C$1:$E$114,2,0)</f>
        <v>#N/A</v>
      </c>
      <c r="J156" s="29">
        <f>'Raw data'!K76</f>
        <v>0</v>
      </c>
      <c r="K156" s="31">
        <f>'Raw data'!H76</f>
        <v>0</v>
      </c>
      <c r="L156" s="26">
        <f t="shared" si="6"/>
        <v>0</v>
      </c>
    </row>
    <row r="157" spans="2:12">
      <c r="B157" s="4" t="e">
        <f t="shared" si="5"/>
        <v>#N/A</v>
      </c>
      <c r="C157" s="4">
        <f>'Raw data'!E77</f>
        <v>0</v>
      </c>
      <c r="D157" s="29" t="e">
        <f>VLOOKUP(C157,'점포코드 '!A:B,2,0)</f>
        <v>#N/A</v>
      </c>
      <c r="E157" s="30">
        <f>'Raw data'!P77</f>
        <v>0</v>
      </c>
      <c r="F157" s="29" t="e">
        <f>VLOOKUP(E157,'점포코드 '!A:B,2,0)</f>
        <v>#N/A</v>
      </c>
      <c r="G157" s="46">
        <f>'Raw data'!F77</f>
        <v>0</v>
      </c>
      <c r="H157" s="4">
        <f>'Raw data'!G77</f>
        <v>0</v>
      </c>
      <c r="I157" s="29" t="e">
        <f>VLOOKUP(G157,제품명!$C$1:$E$114,2,0)</f>
        <v>#N/A</v>
      </c>
      <c r="J157" s="29">
        <f>'Raw data'!K77</f>
        <v>0</v>
      </c>
      <c r="K157" s="31">
        <f>'Raw data'!H77</f>
        <v>0</v>
      </c>
      <c r="L157" s="26">
        <f t="shared" si="6"/>
        <v>0</v>
      </c>
    </row>
    <row r="158" spans="2:12">
      <c r="B158" s="4" t="e">
        <f t="shared" si="5"/>
        <v>#N/A</v>
      </c>
      <c r="C158" s="4">
        <f>'Raw data'!E78</f>
        <v>0</v>
      </c>
      <c r="D158" s="29" t="e">
        <f>VLOOKUP(C158,'점포코드 '!A:B,2,0)</f>
        <v>#N/A</v>
      </c>
      <c r="E158" s="30">
        <f>'Raw data'!P78</f>
        <v>0</v>
      </c>
      <c r="F158" s="29" t="e">
        <f>VLOOKUP(E158,'점포코드 '!A:B,2,0)</f>
        <v>#N/A</v>
      </c>
      <c r="G158" s="46">
        <f>'Raw data'!F78</f>
        <v>0</v>
      </c>
      <c r="H158" s="4">
        <f>'Raw data'!G78</f>
        <v>0</v>
      </c>
      <c r="I158" s="29" t="e">
        <f>VLOOKUP(G158,제품명!$C$1:$E$114,2,0)</f>
        <v>#N/A</v>
      </c>
      <c r="J158" s="29">
        <f>'Raw data'!K78</f>
        <v>0</v>
      </c>
      <c r="K158" s="31">
        <f>'Raw data'!H78</f>
        <v>0</v>
      </c>
      <c r="L158" s="26">
        <f t="shared" si="6"/>
        <v>0</v>
      </c>
    </row>
    <row r="159" spans="2:12">
      <c r="B159" s="4" t="e">
        <f t="shared" si="5"/>
        <v>#N/A</v>
      </c>
      <c r="C159" s="4">
        <f>'Raw data'!E79</f>
        <v>0</v>
      </c>
      <c r="D159" s="29" t="e">
        <f>VLOOKUP(C159,'점포코드 '!A:B,2,0)</f>
        <v>#N/A</v>
      </c>
      <c r="E159" s="30">
        <f>'Raw data'!P79</f>
        <v>0</v>
      </c>
      <c r="F159" s="29" t="e">
        <f>VLOOKUP(E159,'점포코드 '!A:B,2,0)</f>
        <v>#N/A</v>
      </c>
      <c r="G159" s="46">
        <f>'Raw data'!F79</f>
        <v>0</v>
      </c>
      <c r="H159" s="4">
        <f>'Raw data'!G79</f>
        <v>0</v>
      </c>
      <c r="I159" s="29" t="e">
        <f>VLOOKUP(G159,제품명!$C$1:$E$114,2,0)</f>
        <v>#N/A</v>
      </c>
      <c r="J159" s="29">
        <f>'Raw data'!K79</f>
        <v>0</v>
      </c>
      <c r="K159" s="31">
        <f>'Raw data'!H79</f>
        <v>0</v>
      </c>
      <c r="L159" s="26">
        <f t="shared" si="6"/>
        <v>0</v>
      </c>
    </row>
    <row r="160" spans="2:12">
      <c r="B160" s="4" t="e">
        <f t="shared" si="5"/>
        <v>#N/A</v>
      </c>
      <c r="C160" s="4">
        <f>'Raw data'!E80</f>
        <v>0</v>
      </c>
      <c r="D160" s="29" t="e">
        <f>VLOOKUP(C160,'점포코드 '!A:B,2,0)</f>
        <v>#N/A</v>
      </c>
      <c r="E160" s="30">
        <f>'Raw data'!P80</f>
        <v>0</v>
      </c>
      <c r="F160" s="29" t="e">
        <f>VLOOKUP(E160,'점포코드 '!A:B,2,0)</f>
        <v>#N/A</v>
      </c>
      <c r="G160" s="46">
        <f>'Raw data'!F80</f>
        <v>0</v>
      </c>
      <c r="H160" s="4">
        <f>'Raw data'!G80</f>
        <v>0</v>
      </c>
      <c r="I160" s="29" t="e">
        <f>VLOOKUP(G160,제품명!$C$1:$E$114,2,0)</f>
        <v>#N/A</v>
      </c>
      <c r="J160" s="29">
        <f>'Raw data'!K80</f>
        <v>0</v>
      </c>
      <c r="K160" s="31">
        <f>'Raw data'!H80</f>
        <v>0</v>
      </c>
      <c r="L160" s="26">
        <f t="shared" si="6"/>
        <v>0</v>
      </c>
    </row>
    <row r="161" spans="2:12">
      <c r="B161" s="4" t="e">
        <f t="shared" si="5"/>
        <v>#N/A</v>
      </c>
      <c r="C161" s="4">
        <f>'Raw data'!E81</f>
        <v>0</v>
      </c>
      <c r="D161" s="29" t="e">
        <f>VLOOKUP(C161,'점포코드 '!A:B,2,0)</f>
        <v>#N/A</v>
      </c>
      <c r="E161" s="30">
        <f>'Raw data'!P81</f>
        <v>0</v>
      </c>
      <c r="F161" s="29" t="e">
        <f>VLOOKUP(E161,'점포코드 '!A:B,2,0)</f>
        <v>#N/A</v>
      </c>
      <c r="G161" s="46">
        <f>'Raw data'!F81</f>
        <v>0</v>
      </c>
      <c r="H161" s="4">
        <f>'Raw data'!G81</f>
        <v>0</v>
      </c>
      <c r="I161" s="29" t="e">
        <f>VLOOKUP(G161,제품명!$C$1:$E$114,2,0)</f>
        <v>#N/A</v>
      </c>
      <c r="J161" s="29">
        <f>'Raw data'!K81</f>
        <v>0</v>
      </c>
      <c r="K161" s="31">
        <f>'Raw data'!H81</f>
        <v>0</v>
      </c>
      <c r="L161" s="26">
        <f t="shared" si="6"/>
        <v>0</v>
      </c>
    </row>
    <row r="162" spans="2:12">
      <c r="B162" s="4" t="e">
        <f t="shared" si="5"/>
        <v>#N/A</v>
      </c>
      <c r="C162" s="4">
        <f>'Raw data'!E82</f>
        <v>0</v>
      </c>
      <c r="D162" s="29" t="e">
        <f>VLOOKUP(C162,'점포코드 '!A:B,2,0)</f>
        <v>#N/A</v>
      </c>
      <c r="E162" s="30">
        <f>'Raw data'!P82</f>
        <v>0</v>
      </c>
      <c r="F162" s="29" t="e">
        <f>VLOOKUP(E162,'점포코드 '!A:B,2,0)</f>
        <v>#N/A</v>
      </c>
      <c r="G162" s="46">
        <f>'Raw data'!F82</f>
        <v>0</v>
      </c>
      <c r="H162" s="4">
        <f>'Raw data'!G82</f>
        <v>0</v>
      </c>
      <c r="I162" s="29" t="e">
        <f>VLOOKUP(G162,제품명!$C$1:$E$114,2,0)</f>
        <v>#N/A</v>
      </c>
      <c r="J162" s="29">
        <f>'Raw data'!K82</f>
        <v>0</v>
      </c>
      <c r="K162" s="31">
        <f>'Raw data'!H82</f>
        <v>0</v>
      </c>
      <c r="L162" s="26">
        <f t="shared" si="6"/>
        <v>0</v>
      </c>
    </row>
    <row r="163" spans="2:12">
      <c r="B163" s="4" t="e">
        <f t="shared" si="5"/>
        <v>#N/A</v>
      </c>
      <c r="C163" s="4">
        <f>'Raw data'!E83</f>
        <v>0</v>
      </c>
      <c r="D163" s="29" t="e">
        <f>VLOOKUP(C163,'점포코드 '!A:B,2,0)</f>
        <v>#N/A</v>
      </c>
      <c r="E163" s="30">
        <f>'Raw data'!P83</f>
        <v>0</v>
      </c>
      <c r="F163" s="29" t="e">
        <f>VLOOKUP(E163,'점포코드 '!A:B,2,0)</f>
        <v>#N/A</v>
      </c>
      <c r="G163" s="46">
        <f>'Raw data'!F83</f>
        <v>0</v>
      </c>
      <c r="H163" s="4">
        <f>'Raw data'!G83</f>
        <v>0</v>
      </c>
      <c r="I163" s="29" t="e">
        <f>VLOOKUP(G163,제품명!$C$1:$E$114,2,0)</f>
        <v>#N/A</v>
      </c>
      <c r="J163" s="29">
        <f>'Raw data'!K83</f>
        <v>0</v>
      </c>
      <c r="K163" s="31">
        <f>'Raw data'!H83</f>
        <v>0</v>
      </c>
      <c r="L163" s="26">
        <f t="shared" si="6"/>
        <v>0</v>
      </c>
    </row>
    <row r="164" spans="2:12">
      <c r="B164" s="4" t="e">
        <f t="shared" si="5"/>
        <v>#N/A</v>
      </c>
      <c r="C164" s="4">
        <f>'Raw data'!E84</f>
        <v>0</v>
      </c>
      <c r="D164" s="29" t="e">
        <f>VLOOKUP(C164,'점포코드 '!A:B,2,0)</f>
        <v>#N/A</v>
      </c>
      <c r="E164" s="30">
        <f>'Raw data'!P84</f>
        <v>0</v>
      </c>
      <c r="F164" s="29" t="e">
        <f>VLOOKUP(E164,'점포코드 '!A:B,2,0)</f>
        <v>#N/A</v>
      </c>
      <c r="G164" s="46">
        <f>'Raw data'!F84</f>
        <v>0</v>
      </c>
      <c r="H164" s="4">
        <f>'Raw data'!G84</f>
        <v>0</v>
      </c>
      <c r="I164" s="29" t="e">
        <f>VLOOKUP(G164,제품명!$C$1:$E$114,2,0)</f>
        <v>#N/A</v>
      </c>
      <c r="J164" s="29">
        <f>'Raw data'!K84</f>
        <v>0</v>
      </c>
      <c r="K164" s="31">
        <f>'Raw data'!H84</f>
        <v>0</v>
      </c>
      <c r="L164" s="26">
        <f t="shared" si="6"/>
        <v>0</v>
      </c>
    </row>
    <row r="165" spans="2:12">
      <c r="B165" s="4" t="e">
        <f t="shared" si="5"/>
        <v>#N/A</v>
      </c>
      <c r="C165" s="4">
        <f>'Raw data'!E85</f>
        <v>0</v>
      </c>
      <c r="D165" s="29" t="e">
        <f>VLOOKUP(C165,'점포코드 '!A:B,2,0)</f>
        <v>#N/A</v>
      </c>
      <c r="E165" s="30">
        <f>'Raw data'!P85</f>
        <v>0</v>
      </c>
      <c r="F165" s="29" t="e">
        <f>VLOOKUP(E165,'점포코드 '!A:B,2,0)</f>
        <v>#N/A</v>
      </c>
      <c r="G165" s="46">
        <f>'Raw data'!F85</f>
        <v>0</v>
      </c>
      <c r="H165" s="4">
        <f>'Raw data'!G85</f>
        <v>0</v>
      </c>
      <c r="I165" s="29" t="e">
        <f>VLOOKUP(G165,제품명!$C$1:$E$114,2,0)</f>
        <v>#N/A</v>
      </c>
      <c r="J165" s="29">
        <f>'Raw data'!K85</f>
        <v>0</v>
      </c>
      <c r="K165" s="31">
        <f>'Raw data'!H85</f>
        <v>0</v>
      </c>
      <c r="L165" s="26">
        <f t="shared" si="6"/>
        <v>0</v>
      </c>
    </row>
    <row r="166" spans="2:12">
      <c r="B166" s="4" t="e">
        <f t="shared" si="5"/>
        <v>#N/A</v>
      </c>
      <c r="C166" s="4">
        <f>'Raw data'!E86</f>
        <v>0</v>
      </c>
      <c r="D166" s="29" t="e">
        <f>VLOOKUP(C166,'점포코드 '!A:B,2,0)</f>
        <v>#N/A</v>
      </c>
      <c r="E166" s="30">
        <f>'Raw data'!P86</f>
        <v>0</v>
      </c>
      <c r="F166" s="29" t="e">
        <f>VLOOKUP(E166,'점포코드 '!A:B,2,0)</f>
        <v>#N/A</v>
      </c>
      <c r="G166" s="46">
        <f>'Raw data'!F86</f>
        <v>0</v>
      </c>
      <c r="H166" s="4">
        <f>'Raw data'!G86</f>
        <v>0</v>
      </c>
      <c r="I166" s="29" t="e">
        <f>VLOOKUP(G166,제품명!$C$1:$E$114,2,0)</f>
        <v>#N/A</v>
      </c>
      <c r="J166" s="29">
        <f>'Raw data'!K86</f>
        <v>0</v>
      </c>
      <c r="K166" s="31">
        <f>'Raw data'!H86</f>
        <v>0</v>
      </c>
      <c r="L166" s="26">
        <f t="shared" si="6"/>
        <v>0</v>
      </c>
    </row>
    <row r="167" spans="2:12">
      <c r="B167" s="4" t="e">
        <f t="shared" si="5"/>
        <v>#N/A</v>
      </c>
      <c r="C167" s="4">
        <f>'Raw data'!E87</f>
        <v>0</v>
      </c>
      <c r="D167" s="29" t="e">
        <f>VLOOKUP(C167,'점포코드 '!A:B,2,0)</f>
        <v>#N/A</v>
      </c>
      <c r="E167" s="30">
        <f>'Raw data'!P87</f>
        <v>0</v>
      </c>
      <c r="F167" s="29" t="e">
        <f>VLOOKUP(E167,'점포코드 '!A:B,2,0)</f>
        <v>#N/A</v>
      </c>
      <c r="G167" s="46">
        <f>'Raw data'!F87</f>
        <v>0</v>
      </c>
      <c r="H167" s="4">
        <f>'Raw data'!G87</f>
        <v>0</v>
      </c>
      <c r="I167" s="29" t="e">
        <f>VLOOKUP(G167,제품명!$C$1:$E$114,2,0)</f>
        <v>#N/A</v>
      </c>
      <c r="J167" s="29">
        <f>'Raw data'!K87</f>
        <v>0</v>
      </c>
      <c r="K167" s="31">
        <f>'Raw data'!H87</f>
        <v>0</v>
      </c>
      <c r="L167" s="26">
        <f t="shared" si="6"/>
        <v>0</v>
      </c>
    </row>
    <row r="168" spans="2:12">
      <c r="B168" s="4" t="e">
        <f t="shared" si="5"/>
        <v>#N/A</v>
      </c>
      <c r="C168" s="4">
        <f>'Raw data'!E88</f>
        <v>0</v>
      </c>
      <c r="D168" s="29" t="e">
        <f>VLOOKUP(C168,'점포코드 '!A:B,2,0)</f>
        <v>#N/A</v>
      </c>
      <c r="E168" s="30">
        <f>'Raw data'!P88</f>
        <v>0</v>
      </c>
      <c r="F168" s="29" t="e">
        <f>VLOOKUP(E168,'점포코드 '!A:B,2,0)</f>
        <v>#N/A</v>
      </c>
      <c r="G168" s="46">
        <f>'Raw data'!F88</f>
        <v>0</v>
      </c>
      <c r="H168" s="4">
        <f>'Raw data'!G88</f>
        <v>0</v>
      </c>
      <c r="I168" s="29" t="e">
        <f>VLOOKUP(G168,제품명!$C$1:$E$114,2,0)</f>
        <v>#N/A</v>
      </c>
      <c r="J168" s="29">
        <f>'Raw data'!K88</f>
        <v>0</v>
      </c>
      <c r="K168" s="31">
        <f>'Raw data'!H88</f>
        <v>0</v>
      </c>
      <c r="L168" s="26">
        <f t="shared" si="6"/>
        <v>0</v>
      </c>
    </row>
    <row r="169" spans="2:12">
      <c r="B169" s="4" t="e">
        <f t="shared" si="5"/>
        <v>#N/A</v>
      </c>
      <c r="C169" s="4">
        <f>'Raw data'!E89</f>
        <v>0</v>
      </c>
      <c r="D169" s="29" t="e">
        <f>VLOOKUP(C169,'점포코드 '!A:B,2,0)</f>
        <v>#N/A</v>
      </c>
      <c r="E169" s="30">
        <f>'Raw data'!P89</f>
        <v>0</v>
      </c>
      <c r="F169" s="29" t="e">
        <f>VLOOKUP(E169,'점포코드 '!A:B,2,0)</f>
        <v>#N/A</v>
      </c>
      <c r="G169" s="46">
        <f>'Raw data'!F89</f>
        <v>0</v>
      </c>
      <c r="H169" s="4">
        <f>'Raw data'!G89</f>
        <v>0</v>
      </c>
      <c r="I169" s="29" t="e">
        <f>VLOOKUP(G169,제품명!$C$1:$E$114,2,0)</f>
        <v>#N/A</v>
      </c>
      <c r="J169" s="29">
        <f>'Raw data'!K89</f>
        <v>0</v>
      </c>
      <c r="K169" s="31">
        <f>'Raw data'!H89</f>
        <v>0</v>
      </c>
      <c r="L169" s="26">
        <f t="shared" si="6"/>
        <v>0</v>
      </c>
    </row>
    <row r="170" spans="2:12">
      <c r="B170" s="4" t="e">
        <f t="shared" si="5"/>
        <v>#N/A</v>
      </c>
      <c r="C170" s="4">
        <f>'Raw data'!E90</f>
        <v>0</v>
      </c>
      <c r="D170" s="29" t="e">
        <f>VLOOKUP(C170,'점포코드 '!A:B,2,0)</f>
        <v>#N/A</v>
      </c>
      <c r="E170" s="30">
        <f>'Raw data'!P90</f>
        <v>0</v>
      </c>
      <c r="F170" s="29" t="e">
        <f>VLOOKUP(E170,'점포코드 '!A:B,2,0)</f>
        <v>#N/A</v>
      </c>
      <c r="G170" s="46">
        <f>'Raw data'!F90</f>
        <v>0</v>
      </c>
      <c r="H170" s="4">
        <f>'Raw data'!G90</f>
        <v>0</v>
      </c>
      <c r="I170" s="29" t="e">
        <f>VLOOKUP(G170,제품명!$C$1:$E$114,2,0)</f>
        <v>#N/A</v>
      </c>
      <c r="J170" s="29">
        <f>'Raw data'!K90</f>
        <v>0</v>
      </c>
      <c r="K170" s="31">
        <f>'Raw data'!H90</f>
        <v>0</v>
      </c>
      <c r="L170" s="26">
        <f t="shared" si="6"/>
        <v>0</v>
      </c>
    </row>
    <row r="171" spans="2:12">
      <c r="B171" s="4" t="e">
        <f t="shared" si="5"/>
        <v>#N/A</v>
      </c>
      <c r="C171" s="4">
        <f>'Raw data'!E91</f>
        <v>0</v>
      </c>
      <c r="D171" s="29" t="e">
        <f>VLOOKUP(C171,'점포코드 '!A:B,2,0)</f>
        <v>#N/A</v>
      </c>
      <c r="E171" s="30">
        <f>'Raw data'!P91</f>
        <v>0</v>
      </c>
      <c r="F171" s="29" t="e">
        <f>VLOOKUP(E171,'점포코드 '!A:B,2,0)</f>
        <v>#N/A</v>
      </c>
      <c r="G171" s="46">
        <f>'Raw data'!F91</f>
        <v>0</v>
      </c>
      <c r="H171" s="4">
        <f>'Raw data'!G91</f>
        <v>0</v>
      </c>
      <c r="I171" s="29" t="e">
        <f>VLOOKUP(G171,제품명!$C$1:$E$114,2,0)</f>
        <v>#N/A</v>
      </c>
      <c r="J171" s="29">
        <f>'Raw data'!K91</f>
        <v>0</v>
      </c>
      <c r="K171" s="31">
        <f>'Raw data'!H91</f>
        <v>0</v>
      </c>
      <c r="L171" s="26">
        <f t="shared" si="6"/>
        <v>0</v>
      </c>
    </row>
    <row r="172" spans="2:12">
      <c r="B172" s="4" t="e">
        <f t="shared" si="5"/>
        <v>#N/A</v>
      </c>
      <c r="C172" s="4">
        <f>'Raw data'!E92</f>
        <v>0</v>
      </c>
      <c r="D172" s="29" t="e">
        <f>VLOOKUP(C172,'점포코드 '!A:B,2,0)</f>
        <v>#N/A</v>
      </c>
      <c r="E172" s="30">
        <f>'Raw data'!P92</f>
        <v>0</v>
      </c>
      <c r="F172" s="29" t="e">
        <f>VLOOKUP(E172,'점포코드 '!A:B,2,0)</f>
        <v>#N/A</v>
      </c>
      <c r="G172" s="46">
        <f>'Raw data'!F92</f>
        <v>0</v>
      </c>
      <c r="H172" s="4">
        <f>'Raw data'!G92</f>
        <v>0</v>
      </c>
      <c r="I172" s="29" t="e">
        <f>VLOOKUP(G172,제품명!$C$1:$E$114,2,0)</f>
        <v>#N/A</v>
      </c>
      <c r="J172" s="29">
        <f>'Raw data'!K92</f>
        <v>0</v>
      </c>
      <c r="K172" s="31">
        <f>'Raw data'!H92</f>
        <v>0</v>
      </c>
      <c r="L172" s="26">
        <f t="shared" si="6"/>
        <v>0</v>
      </c>
    </row>
    <row r="173" spans="2:12">
      <c r="B173" s="4" t="e">
        <f t="shared" si="5"/>
        <v>#N/A</v>
      </c>
      <c r="C173" s="4">
        <f>'Raw data'!E93</f>
        <v>0</v>
      </c>
      <c r="D173" s="29" t="e">
        <f>VLOOKUP(C173,'점포코드 '!A:B,2,0)</f>
        <v>#N/A</v>
      </c>
      <c r="E173" s="30">
        <f>'Raw data'!P93</f>
        <v>0</v>
      </c>
      <c r="F173" s="29" t="e">
        <f>VLOOKUP(E173,'점포코드 '!A:B,2,0)</f>
        <v>#N/A</v>
      </c>
      <c r="G173" s="46">
        <f>'Raw data'!F93</f>
        <v>0</v>
      </c>
      <c r="H173" s="4">
        <f>'Raw data'!G93</f>
        <v>0</v>
      </c>
      <c r="I173" s="29" t="e">
        <f>VLOOKUP(G173,제품명!$C$1:$E$114,2,0)</f>
        <v>#N/A</v>
      </c>
      <c r="J173" s="29">
        <f>'Raw data'!K93</f>
        <v>0</v>
      </c>
      <c r="K173" s="31">
        <f>'Raw data'!H93</f>
        <v>0</v>
      </c>
      <c r="L173" s="26">
        <f t="shared" si="6"/>
        <v>0</v>
      </c>
    </row>
    <row r="174" spans="2:12">
      <c r="B174" s="4" t="e">
        <f t="shared" si="5"/>
        <v>#N/A</v>
      </c>
      <c r="C174" s="4">
        <f>'Raw data'!E94</f>
        <v>0</v>
      </c>
      <c r="D174" s="29" t="e">
        <f>VLOOKUP(C174,'점포코드 '!A:B,2,0)</f>
        <v>#N/A</v>
      </c>
      <c r="E174" s="30">
        <f>'Raw data'!P94</f>
        <v>0</v>
      </c>
      <c r="F174" s="29" t="e">
        <f>VLOOKUP(E174,'점포코드 '!A:B,2,0)</f>
        <v>#N/A</v>
      </c>
      <c r="G174" s="46">
        <f>'Raw data'!F94</f>
        <v>0</v>
      </c>
      <c r="H174" s="4">
        <f>'Raw data'!G94</f>
        <v>0</v>
      </c>
      <c r="I174" s="29" t="e">
        <f>VLOOKUP(G174,제품명!$C$1:$E$114,2,0)</f>
        <v>#N/A</v>
      </c>
      <c r="J174" s="29">
        <f>'Raw data'!K94</f>
        <v>0</v>
      </c>
      <c r="K174" s="31">
        <f>'Raw data'!H94</f>
        <v>0</v>
      </c>
      <c r="L174" s="26">
        <f t="shared" si="6"/>
        <v>0</v>
      </c>
    </row>
    <row r="175" spans="2:12">
      <c r="B175" s="4" t="e">
        <f t="shared" si="5"/>
        <v>#N/A</v>
      </c>
      <c r="C175" s="4">
        <f>'Raw data'!E95</f>
        <v>0</v>
      </c>
      <c r="D175" s="29" t="e">
        <f>VLOOKUP(C175,'점포코드 '!A:B,2,0)</f>
        <v>#N/A</v>
      </c>
      <c r="E175" s="30">
        <f>'Raw data'!P95</f>
        <v>0</v>
      </c>
      <c r="F175" s="29" t="e">
        <f>VLOOKUP(E175,'점포코드 '!A:B,2,0)</f>
        <v>#N/A</v>
      </c>
      <c r="G175" s="46">
        <f>'Raw data'!F95</f>
        <v>0</v>
      </c>
      <c r="H175" s="4">
        <f>'Raw data'!G95</f>
        <v>0</v>
      </c>
      <c r="I175" s="29" t="e">
        <f>VLOOKUP(G175,제품명!$C$1:$E$114,2,0)</f>
        <v>#N/A</v>
      </c>
      <c r="J175" s="29">
        <f>'Raw data'!K95</f>
        <v>0</v>
      </c>
      <c r="K175" s="31">
        <f>'Raw data'!H95</f>
        <v>0</v>
      </c>
      <c r="L175" s="26">
        <f t="shared" si="6"/>
        <v>0</v>
      </c>
    </row>
    <row r="176" spans="2:12">
      <c r="B176" s="4" t="e">
        <f t="shared" si="5"/>
        <v>#N/A</v>
      </c>
      <c r="C176" s="4">
        <f>'Raw data'!E96</f>
        <v>0</v>
      </c>
      <c r="D176" s="29" t="e">
        <f>VLOOKUP(C176,'점포코드 '!A:B,2,0)</f>
        <v>#N/A</v>
      </c>
      <c r="E176" s="30">
        <f>'Raw data'!P96</f>
        <v>0</v>
      </c>
      <c r="F176" s="29" t="e">
        <f>VLOOKUP(E176,'점포코드 '!A:B,2,0)</f>
        <v>#N/A</v>
      </c>
      <c r="G176" s="46">
        <f>'Raw data'!F96</f>
        <v>0</v>
      </c>
      <c r="H176" s="4">
        <f>'Raw data'!G96</f>
        <v>0</v>
      </c>
      <c r="I176" s="29" t="e">
        <f>VLOOKUP(G176,제품명!$C$1:$E$114,2,0)</f>
        <v>#N/A</v>
      </c>
      <c r="J176" s="29">
        <f>'Raw data'!K96</f>
        <v>0</v>
      </c>
      <c r="K176" s="31">
        <f>'Raw data'!H96</f>
        <v>0</v>
      </c>
      <c r="L176" s="26">
        <f t="shared" si="6"/>
        <v>0</v>
      </c>
    </row>
    <row r="177" spans="2:12">
      <c r="B177" s="4" t="e">
        <f t="shared" si="5"/>
        <v>#N/A</v>
      </c>
      <c r="C177" s="4">
        <f>'Raw data'!E97</f>
        <v>0</v>
      </c>
      <c r="D177" s="29" t="e">
        <f>VLOOKUP(C177,'점포코드 '!A:B,2,0)</f>
        <v>#N/A</v>
      </c>
      <c r="E177" s="30">
        <f>'Raw data'!P97</f>
        <v>0</v>
      </c>
      <c r="F177" s="29" t="e">
        <f>VLOOKUP(E177,'점포코드 '!A:B,2,0)</f>
        <v>#N/A</v>
      </c>
      <c r="G177" s="46">
        <f>'Raw data'!F97</f>
        <v>0</v>
      </c>
      <c r="H177" s="4">
        <f>'Raw data'!G97</f>
        <v>0</v>
      </c>
      <c r="I177" s="29" t="e">
        <f>VLOOKUP(G177,제품명!$C$1:$E$114,2,0)</f>
        <v>#N/A</v>
      </c>
      <c r="J177" s="29">
        <f>'Raw data'!K97</f>
        <v>0</v>
      </c>
      <c r="K177" s="31">
        <f>'Raw data'!H97</f>
        <v>0</v>
      </c>
      <c r="L177" s="26">
        <f t="shared" si="6"/>
        <v>0</v>
      </c>
    </row>
    <row r="178" spans="2:12">
      <c r="B178" s="4" t="e">
        <f t="shared" si="5"/>
        <v>#N/A</v>
      </c>
      <c r="C178" s="4">
        <f>'Raw data'!E98</f>
        <v>0</v>
      </c>
      <c r="D178" s="29" t="e">
        <f>VLOOKUP(C178,'점포코드 '!A:B,2,0)</f>
        <v>#N/A</v>
      </c>
      <c r="E178" s="30">
        <f>'Raw data'!P98</f>
        <v>0</v>
      </c>
      <c r="F178" s="29" t="e">
        <f>VLOOKUP(E178,'점포코드 '!A:B,2,0)</f>
        <v>#N/A</v>
      </c>
      <c r="G178" s="46">
        <f>'Raw data'!F98</f>
        <v>0</v>
      </c>
      <c r="H178" s="4">
        <f>'Raw data'!G98</f>
        <v>0</v>
      </c>
      <c r="I178" s="29" t="e">
        <f>VLOOKUP(G178,제품명!$C$1:$E$114,2,0)</f>
        <v>#N/A</v>
      </c>
      <c r="J178" s="29">
        <f>'Raw data'!K98</f>
        <v>0</v>
      </c>
      <c r="K178" s="31">
        <f>'Raw data'!H98</f>
        <v>0</v>
      </c>
      <c r="L178" s="26">
        <f t="shared" si="6"/>
        <v>0</v>
      </c>
    </row>
    <row r="179" spans="2:12">
      <c r="B179" s="4" t="e">
        <f t="shared" si="5"/>
        <v>#N/A</v>
      </c>
      <c r="C179" s="4">
        <f>'Raw data'!E99</f>
        <v>0</v>
      </c>
      <c r="D179" s="29" t="e">
        <f>VLOOKUP(C179,'점포코드 '!A:B,2,0)</f>
        <v>#N/A</v>
      </c>
      <c r="E179" s="30">
        <f>'Raw data'!P99</f>
        <v>0</v>
      </c>
      <c r="F179" s="29" t="e">
        <f>VLOOKUP(E179,'점포코드 '!A:B,2,0)</f>
        <v>#N/A</v>
      </c>
      <c r="G179" s="46">
        <f>'Raw data'!F99</f>
        <v>0</v>
      </c>
      <c r="H179" s="4">
        <f>'Raw data'!G99</f>
        <v>0</v>
      </c>
      <c r="I179" s="29" t="e">
        <f>VLOOKUP(G179,제품명!$C$1:$E$114,2,0)</f>
        <v>#N/A</v>
      </c>
      <c r="J179" s="29">
        <f>'Raw data'!K99</f>
        <v>0</v>
      </c>
      <c r="K179" s="31">
        <f>'Raw data'!H99</f>
        <v>0</v>
      </c>
      <c r="L179" s="26">
        <f t="shared" si="6"/>
        <v>0</v>
      </c>
    </row>
    <row r="180" spans="2:12">
      <c r="B180" s="4" t="e">
        <f t="shared" si="5"/>
        <v>#N/A</v>
      </c>
      <c r="C180" s="4">
        <f>'Raw data'!E100</f>
        <v>0</v>
      </c>
      <c r="D180" s="29" t="e">
        <f>VLOOKUP(C180,'점포코드 '!A:B,2,0)</f>
        <v>#N/A</v>
      </c>
      <c r="E180" s="30">
        <f>'Raw data'!P100</f>
        <v>0</v>
      </c>
      <c r="F180" s="29" t="e">
        <f>VLOOKUP(E180,'점포코드 '!A:B,2,0)</f>
        <v>#N/A</v>
      </c>
      <c r="G180" s="46">
        <f>'Raw data'!F100</f>
        <v>0</v>
      </c>
      <c r="H180" s="4">
        <f>'Raw data'!G100</f>
        <v>0</v>
      </c>
      <c r="I180" s="29" t="e">
        <f>VLOOKUP(G180,제품명!$C$1:$E$114,2,0)</f>
        <v>#N/A</v>
      </c>
      <c r="J180" s="29">
        <f>'Raw data'!K100</f>
        <v>0</v>
      </c>
      <c r="K180" s="31">
        <f>'Raw data'!H100</f>
        <v>0</v>
      </c>
      <c r="L180" s="26">
        <f t="shared" si="6"/>
        <v>0</v>
      </c>
    </row>
    <row r="181" spans="2:12">
      <c r="B181" s="4" t="e">
        <f t="shared" si="5"/>
        <v>#N/A</v>
      </c>
      <c r="C181" s="4">
        <f>'Raw data'!E101</f>
        <v>0</v>
      </c>
      <c r="D181" s="29" t="e">
        <f>VLOOKUP(C181,'점포코드 '!A:B,2,0)</f>
        <v>#N/A</v>
      </c>
      <c r="E181" s="30">
        <f>'Raw data'!P101</f>
        <v>0</v>
      </c>
      <c r="F181" s="29" t="e">
        <f>VLOOKUP(E181,'점포코드 '!A:B,2,0)</f>
        <v>#N/A</v>
      </c>
      <c r="G181" s="46">
        <f>'Raw data'!F101</f>
        <v>0</v>
      </c>
      <c r="H181" s="4">
        <f>'Raw data'!G101</f>
        <v>0</v>
      </c>
      <c r="I181" s="29" t="e">
        <f>VLOOKUP(G181,제품명!$C$1:$E$114,2,0)</f>
        <v>#N/A</v>
      </c>
      <c r="J181" s="29">
        <f>'Raw data'!K101</f>
        <v>0</v>
      </c>
      <c r="K181" s="31">
        <f>'Raw data'!H101</f>
        <v>0</v>
      </c>
      <c r="L181" s="26">
        <f t="shared" si="6"/>
        <v>0</v>
      </c>
    </row>
    <row r="182" spans="2:12">
      <c r="B182" s="4" t="e">
        <f t="shared" si="5"/>
        <v>#N/A</v>
      </c>
      <c r="C182" s="4">
        <f>'Raw data'!E102</f>
        <v>0</v>
      </c>
      <c r="D182" s="29" t="e">
        <f>VLOOKUP(C182,'점포코드 '!A:B,2,0)</f>
        <v>#N/A</v>
      </c>
      <c r="E182" s="30">
        <f>'Raw data'!P102</f>
        <v>0</v>
      </c>
      <c r="F182" s="29" t="e">
        <f>VLOOKUP(E182,'점포코드 '!A:B,2,0)</f>
        <v>#N/A</v>
      </c>
      <c r="G182" s="46">
        <f>'Raw data'!F102</f>
        <v>0</v>
      </c>
      <c r="H182" s="4">
        <f>'Raw data'!G102</f>
        <v>0</v>
      </c>
      <c r="I182" s="29" t="e">
        <f>VLOOKUP(G182,제품명!$C$1:$E$114,2,0)</f>
        <v>#N/A</v>
      </c>
      <c r="J182" s="29">
        <f>'Raw data'!K102</f>
        <v>0</v>
      </c>
      <c r="K182" s="31">
        <f>'Raw data'!H102</f>
        <v>0</v>
      </c>
      <c r="L182" s="26">
        <f t="shared" si="6"/>
        <v>0</v>
      </c>
    </row>
    <row r="183" spans="2:12">
      <c r="B183" s="4" t="e">
        <f t="shared" si="5"/>
        <v>#N/A</v>
      </c>
      <c r="C183" s="4">
        <f>'Raw data'!E103</f>
        <v>0</v>
      </c>
      <c r="D183" s="29" t="e">
        <f>VLOOKUP(C183,'점포코드 '!A:B,2,0)</f>
        <v>#N/A</v>
      </c>
      <c r="E183" s="30">
        <f>'Raw data'!P103</f>
        <v>0</v>
      </c>
      <c r="F183" s="29" t="e">
        <f>VLOOKUP(E183,'점포코드 '!A:B,2,0)</f>
        <v>#N/A</v>
      </c>
      <c r="G183" s="46">
        <f>'Raw data'!F103</f>
        <v>0</v>
      </c>
      <c r="H183" s="4">
        <f>'Raw data'!G103</f>
        <v>0</v>
      </c>
      <c r="I183" s="29" t="e">
        <f>VLOOKUP(G183,제품명!$C$1:$E$114,2,0)</f>
        <v>#N/A</v>
      </c>
      <c r="J183" s="29">
        <f>'Raw data'!K103</f>
        <v>0</v>
      </c>
      <c r="K183" s="31">
        <f>'Raw data'!H103</f>
        <v>0</v>
      </c>
      <c r="L183" s="26">
        <f t="shared" si="6"/>
        <v>0</v>
      </c>
    </row>
    <row r="184" spans="2:12">
      <c r="B184" s="4" t="e">
        <f t="shared" si="5"/>
        <v>#N/A</v>
      </c>
      <c r="C184" s="4">
        <f>'Raw data'!E104</f>
        <v>0</v>
      </c>
      <c r="D184" s="29" t="e">
        <f>VLOOKUP(C184,'점포코드 '!A:B,2,0)</f>
        <v>#N/A</v>
      </c>
      <c r="E184" s="30">
        <f>'Raw data'!P104</f>
        <v>0</v>
      </c>
      <c r="F184" s="29" t="e">
        <f>VLOOKUP(E184,'점포코드 '!A:B,2,0)</f>
        <v>#N/A</v>
      </c>
      <c r="G184" s="46">
        <f>'Raw data'!F104</f>
        <v>0</v>
      </c>
      <c r="H184" s="4">
        <f>'Raw data'!G104</f>
        <v>0</v>
      </c>
      <c r="I184" s="29" t="e">
        <f>VLOOKUP(G184,제품명!$C$1:$E$114,2,0)</f>
        <v>#N/A</v>
      </c>
      <c r="J184" s="29">
        <f>'Raw data'!K104</f>
        <v>0</v>
      </c>
      <c r="K184" s="31">
        <f>'Raw data'!H104</f>
        <v>0</v>
      </c>
      <c r="L184" s="26">
        <f t="shared" si="6"/>
        <v>0</v>
      </c>
    </row>
    <row r="185" spans="2:12">
      <c r="B185" s="4" t="e">
        <f t="shared" si="5"/>
        <v>#N/A</v>
      </c>
      <c r="C185" s="4">
        <f>'Raw data'!E105</f>
        <v>0</v>
      </c>
      <c r="D185" s="29" t="e">
        <f>VLOOKUP(C185,'점포코드 '!A:B,2,0)</f>
        <v>#N/A</v>
      </c>
      <c r="E185" s="30">
        <f>'Raw data'!P105</f>
        <v>0</v>
      </c>
      <c r="F185" s="29" t="e">
        <f>VLOOKUP(E185,'점포코드 '!A:B,2,0)</f>
        <v>#N/A</v>
      </c>
      <c r="G185" s="46">
        <f>'Raw data'!F105</f>
        <v>0</v>
      </c>
      <c r="H185" s="4">
        <f>'Raw data'!G105</f>
        <v>0</v>
      </c>
      <c r="I185" s="29" t="e">
        <f>VLOOKUP(G185,제품명!$C$1:$E$114,2,0)</f>
        <v>#N/A</v>
      </c>
      <c r="J185" s="29">
        <f>'Raw data'!K105</f>
        <v>0</v>
      </c>
      <c r="K185" s="31">
        <f>'Raw data'!H105</f>
        <v>0</v>
      </c>
      <c r="L185" s="26">
        <f t="shared" si="6"/>
        <v>0</v>
      </c>
    </row>
    <row r="186" spans="2:12">
      <c r="B186" s="4" t="e">
        <f t="shared" si="5"/>
        <v>#N/A</v>
      </c>
      <c r="C186" s="4">
        <f>'Raw data'!E106</f>
        <v>0</v>
      </c>
      <c r="D186" s="29" t="e">
        <f>VLOOKUP(C186,'점포코드 '!A:B,2,0)</f>
        <v>#N/A</v>
      </c>
      <c r="E186" s="30">
        <f>'Raw data'!P106</f>
        <v>0</v>
      </c>
      <c r="F186" s="29" t="e">
        <f>VLOOKUP(E186,'점포코드 '!A:B,2,0)</f>
        <v>#N/A</v>
      </c>
      <c r="G186" s="46">
        <f>'Raw data'!F106</f>
        <v>0</v>
      </c>
      <c r="H186" s="4">
        <f>'Raw data'!G106</f>
        <v>0</v>
      </c>
      <c r="I186" s="29" t="e">
        <f>VLOOKUP(G186,제품명!$C$1:$E$114,2,0)</f>
        <v>#N/A</v>
      </c>
      <c r="J186" s="29">
        <f>'Raw data'!K106</f>
        <v>0</v>
      </c>
      <c r="K186" s="31">
        <f>'Raw data'!H106</f>
        <v>0</v>
      </c>
      <c r="L186" s="26">
        <f t="shared" si="6"/>
        <v>0</v>
      </c>
    </row>
    <row r="187" spans="2:12">
      <c r="B187" s="4" t="e">
        <f t="shared" si="5"/>
        <v>#N/A</v>
      </c>
      <c r="C187" s="4">
        <f>'Raw data'!E107</f>
        <v>0</v>
      </c>
      <c r="D187" s="29" t="e">
        <f>VLOOKUP(C187,'점포코드 '!A:B,2,0)</f>
        <v>#N/A</v>
      </c>
      <c r="E187" s="30">
        <f>'Raw data'!P107</f>
        <v>0</v>
      </c>
      <c r="F187" s="29" t="e">
        <f>VLOOKUP(E187,'점포코드 '!A:B,2,0)</f>
        <v>#N/A</v>
      </c>
      <c r="G187" s="46">
        <f>'Raw data'!F107</f>
        <v>0</v>
      </c>
      <c r="H187" s="4">
        <f>'Raw data'!G107</f>
        <v>0</v>
      </c>
      <c r="I187" s="29" t="e">
        <f>VLOOKUP(G187,제품명!$C$1:$E$114,2,0)</f>
        <v>#N/A</v>
      </c>
      <c r="J187" s="29">
        <f>'Raw data'!K107</f>
        <v>0</v>
      </c>
      <c r="K187" s="31">
        <f>'Raw data'!H107</f>
        <v>0</v>
      </c>
      <c r="L187" s="26">
        <f t="shared" si="6"/>
        <v>0</v>
      </c>
    </row>
    <row r="188" spans="2:12">
      <c r="B188" s="4" t="e">
        <f t="shared" si="5"/>
        <v>#N/A</v>
      </c>
      <c r="C188" s="4">
        <f>'Raw data'!E108</f>
        <v>0</v>
      </c>
      <c r="D188" s="29" t="e">
        <f>VLOOKUP(C188,'점포코드 '!A:B,2,0)</f>
        <v>#N/A</v>
      </c>
      <c r="E188" s="30">
        <f>'Raw data'!P108</f>
        <v>0</v>
      </c>
      <c r="F188" s="29" t="e">
        <f>VLOOKUP(E188,'점포코드 '!A:B,2,0)</f>
        <v>#N/A</v>
      </c>
      <c r="G188" s="46">
        <f>'Raw data'!F108</f>
        <v>0</v>
      </c>
      <c r="H188" s="4">
        <f>'Raw data'!G108</f>
        <v>0</v>
      </c>
      <c r="I188" s="29" t="e">
        <f>VLOOKUP(G188,제품명!$C$1:$E$114,2,0)</f>
        <v>#N/A</v>
      </c>
      <c r="J188" s="29">
        <f>'Raw data'!K108</f>
        <v>0</v>
      </c>
      <c r="K188" s="31">
        <f>'Raw data'!H108</f>
        <v>0</v>
      </c>
      <c r="L188" s="26">
        <f t="shared" si="6"/>
        <v>0</v>
      </c>
    </row>
    <row r="189" spans="2:12">
      <c r="B189" s="4" t="e">
        <f t="shared" si="5"/>
        <v>#N/A</v>
      </c>
      <c r="C189" s="4">
        <f>'Raw data'!E109</f>
        <v>0</v>
      </c>
      <c r="D189" s="29" t="e">
        <f>VLOOKUP(C189,'점포코드 '!A:B,2,0)</f>
        <v>#N/A</v>
      </c>
      <c r="E189" s="30">
        <f>'Raw data'!P109</f>
        <v>0</v>
      </c>
      <c r="F189" s="29" t="e">
        <f>VLOOKUP(E189,'점포코드 '!A:B,2,0)</f>
        <v>#N/A</v>
      </c>
      <c r="G189" s="46">
        <f>'Raw data'!F109</f>
        <v>0</v>
      </c>
      <c r="H189" s="4">
        <f>'Raw data'!G109</f>
        <v>0</v>
      </c>
      <c r="I189" s="29" t="e">
        <f>VLOOKUP(G189,제품명!$C$1:$E$114,2,0)</f>
        <v>#N/A</v>
      </c>
      <c r="J189" s="29">
        <f>'Raw data'!K109</f>
        <v>0</v>
      </c>
      <c r="K189" s="31">
        <f>'Raw data'!H109</f>
        <v>0</v>
      </c>
      <c r="L189" s="26">
        <f t="shared" si="6"/>
        <v>0</v>
      </c>
    </row>
    <row r="190" spans="2:12">
      <c r="B190" s="4" t="e">
        <f t="shared" si="5"/>
        <v>#N/A</v>
      </c>
      <c r="C190" s="4">
        <f>'Raw data'!E110</f>
        <v>0</v>
      </c>
      <c r="D190" s="29" t="e">
        <f>VLOOKUP(C190,'점포코드 '!A:B,2,0)</f>
        <v>#N/A</v>
      </c>
      <c r="E190" s="30">
        <f>'Raw data'!P110</f>
        <v>0</v>
      </c>
      <c r="F190" s="29" t="e">
        <f>VLOOKUP(E190,'점포코드 '!A:B,2,0)</f>
        <v>#N/A</v>
      </c>
      <c r="G190" s="46">
        <f>'Raw data'!F110</f>
        <v>0</v>
      </c>
      <c r="H190" s="4">
        <f>'Raw data'!G110</f>
        <v>0</v>
      </c>
      <c r="I190" s="29" t="e">
        <f>VLOOKUP(G190,제품명!$C$1:$E$114,2,0)</f>
        <v>#N/A</v>
      </c>
      <c r="J190" s="29">
        <f>'Raw data'!K110</f>
        <v>0</v>
      </c>
      <c r="K190" s="31">
        <f>'Raw data'!H110</f>
        <v>0</v>
      </c>
      <c r="L190" s="26">
        <f t="shared" si="6"/>
        <v>0</v>
      </c>
    </row>
    <row r="191" spans="2:12">
      <c r="B191" s="4" t="e">
        <f t="shared" si="5"/>
        <v>#N/A</v>
      </c>
      <c r="C191" s="4">
        <f>'Raw data'!E111</f>
        <v>0</v>
      </c>
      <c r="D191" s="29" t="e">
        <f>VLOOKUP(C191,'점포코드 '!A:B,2,0)</f>
        <v>#N/A</v>
      </c>
      <c r="E191" s="30">
        <f>'Raw data'!P111</f>
        <v>0</v>
      </c>
      <c r="F191" s="29" t="e">
        <f>VLOOKUP(E191,'점포코드 '!A:B,2,0)</f>
        <v>#N/A</v>
      </c>
      <c r="G191" s="46">
        <f>'Raw data'!F111</f>
        <v>0</v>
      </c>
      <c r="H191" s="4">
        <f>'Raw data'!G111</f>
        <v>0</v>
      </c>
      <c r="I191" s="29" t="e">
        <f>VLOOKUP(G191,제품명!$C$1:$E$114,2,0)</f>
        <v>#N/A</v>
      </c>
      <c r="J191" s="29">
        <f>'Raw data'!K111</f>
        <v>0</v>
      </c>
      <c r="K191" s="31">
        <f>'Raw data'!H111</f>
        <v>0</v>
      </c>
      <c r="L191" s="26">
        <f t="shared" si="6"/>
        <v>0</v>
      </c>
    </row>
    <row r="192" spans="2:12">
      <c r="B192" s="4" t="e">
        <f t="shared" si="5"/>
        <v>#N/A</v>
      </c>
      <c r="C192" s="4">
        <f>'Raw data'!E112</f>
        <v>0</v>
      </c>
      <c r="D192" s="29" t="e">
        <f>VLOOKUP(C192,'점포코드 '!A:B,2,0)</f>
        <v>#N/A</v>
      </c>
      <c r="E192" s="30">
        <f>'Raw data'!P112</f>
        <v>0</v>
      </c>
      <c r="F192" s="29" t="e">
        <f>VLOOKUP(E192,'점포코드 '!A:B,2,0)</f>
        <v>#N/A</v>
      </c>
      <c r="G192" s="46">
        <f>'Raw data'!F112</f>
        <v>0</v>
      </c>
      <c r="H192" s="4">
        <f>'Raw data'!G112</f>
        <v>0</v>
      </c>
      <c r="I192" s="29" t="e">
        <f>VLOOKUP(G192,제품명!$C$1:$E$114,2,0)</f>
        <v>#N/A</v>
      </c>
      <c r="J192" s="29">
        <f>'Raw data'!K112</f>
        <v>0</v>
      </c>
      <c r="K192" s="31">
        <f>'Raw data'!H112</f>
        <v>0</v>
      </c>
      <c r="L192" s="26">
        <f t="shared" si="6"/>
        <v>0</v>
      </c>
    </row>
    <row r="193" spans="2:12">
      <c r="B193" s="4" t="e">
        <f t="shared" si="5"/>
        <v>#N/A</v>
      </c>
      <c r="C193" s="4">
        <f>'Raw data'!E113</f>
        <v>0</v>
      </c>
      <c r="D193" s="29" t="e">
        <f>VLOOKUP(C193,'점포코드 '!A:B,2,0)</f>
        <v>#N/A</v>
      </c>
      <c r="E193" s="30">
        <f>'Raw data'!P113</f>
        <v>0</v>
      </c>
      <c r="F193" s="29" t="e">
        <f>VLOOKUP(E193,'점포코드 '!A:B,2,0)</f>
        <v>#N/A</v>
      </c>
      <c r="G193" s="46">
        <f>'Raw data'!F113</f>
        <v>0</v>
      </c>
      <c r="H193" s="4">
        <f>'Raw data'!G113</f>
        <v>0</v>
      </c>
      <c r="I193" s="29" t="e">
        <f>VLOOKUP(G193,제품명!$C$1:$E$114,2,0)</f>
        <v>#N/A</v>
      </c>
      <c r="J193" s="29">
        <f>'Raw data'!K113</f>
        <v>0</v>
      </c>
      <c r="K193" s="31">
        <f>'Raw data'!H113</f>
        <v>0</v>
      </c>
      <c r="L193" s="26">
        <f t="shared" si="6"/>
        <v>0</v>
      </c>
    </row>
    <row r="194" spans="2:12">
      <c r="B194" s="4" t="e">
        <f t="shared" ref="B194:B257" si="7">F194&amp;I194</f>
        <v>#N/A</v>
      </c>
      <c r="C194" s="4">
        <f>'Raw data'!E114</f>
        <v>0</v>
      </c>
      <c r="D194" s="29" t="e">
        <f>VLOOKUP(C194,'점포코드 '!A:B,2,0)</f>
        <v>#N/A</v>
      </c>
      <c r="E194" s="30">
        <f>'Raw data'!P114</f>
        <v>0</v>
      </c>
      <c r="F194" s="29" t="e">
        <f>VLOOKUP(E194,'점포코드 '!A:B,2,0)</f>
        <v>#N/A</v>
      </c>
      <c r="G194" s="46">
        <f>'Raw data'!F114</f>
        <v>0</v>
      </c>
      <c r="H194" s="4">
        <f>'Raw data'!G114</f>
        <v>0</v>
      </c>
      <c r="I194" s="29" t="e">
        <f>VLOOKUP(G194,제품명!$C$1:$E$114,2,0)</f>
        <v>#N/A</v>
      </c>
      <c r="J194" s="29">
        <f>'Raw data'!K114</f>
        <v>0</v>
      </c>
      <c r="K194" s="31">
        <f>'Raw data'!H114</f>
        <v>0</v>
      </c>
      <c r="L194" s="26">
        <f t="shared" si="6"/>
        <v>0</v>
      </c>
    </row>
    <row r="195" spans="2:12">
      <c r="B195" s="4" t="e">
        <f t="shared" si="7"/>
        <v>#N/A</v>
      </c>
      <c r="C195" s="4">
        <f>'Raw data'!E115</f>
        <v>0</v>
      </c>
      <c r="D195" s="29" t="e">
        <f>VLOOKUP(C195,'점포코드 '!A:B,2,0)</f>
        <v>#N/A</v>
      </c>
      <c r="E195" s="30">
        <f>'Raw data'!P115</f>
        <v>0</v>
      </c>
      <c r="F195" s="29" t="e">
        <f>VLOOKUP(E195,'점포코드 '!A:B,2,0)</f>
        <v>#N/A</v>
      </c>
      <c r="G195" s="46">
        <f>'Raw data'!F115</f>
        <v>0</v>
      </c>
      <c r="H195" s="4">
        <f>'Raw data'!G115</f>
        <v>0</v>
      </c>
      <c r="I195" s="29" t="e">
        <f>VLOOKUP(G195,제품명!$C$1:$E$114,2,0)</f>
        <v>#N/A</v>
      </c>
      <c r="J195" s="29">
        <f>'Raw data'!K115</f>
        <v>0</v>
      </c>
      <c r="K195" s="31">
        <f>'Raw data'!H115</f>
        <v>0</v>
      </c>
      <c r="L195" s="26">
        <f t="shared" ref="L195:L258" si="8">J195*K195</f>
        <v>0</v>
      </c>
    </row>
    <row r="196" spans="2:12">
      <c r="B196" s="4" t="e">
        <f t="shared" si="7"/>
        <v>#N/A</v>
      </c>
      <c r="C196" s="4">
        <f>'Raw data'!E116</f>
        <v>0</v>
      </c>
      <c r="D196" s="29" t="e">
        <f>VLOOKUP(C196,'점포코드 '!A:B,2,0)</f>
        <v>#N/A</v>
      </c>
      <c r="E196" s="30">
        <f>'Raw data'!P116</f>
        <v>0</v>
      </c>
      <c r="F196" s="29" t="e">
        <f>VLOOKUP(E196,'점포코드 '!A:B,2,0)</f>
        <v>#N/A</v>
      </c>
      <c r="G196" s="46">
        <f>'Raw data'!F116</f>
        <v>0</v>
      </c>
      <c r="H196" s="4">
        <f>'Raw data'!G116</f>
        <v>0</v>
      </c>
      <c r="I196" s="29" t="e">
        <f>VLOOKUP(G196,제품명!$C$1:$E$114,2,0)</f>
        <v>#N/A</v>
      </c>
      <c r="J196" s="29">
        <f>'Raw data'!K116</f>
        <v>0</v>
      </c>
      <c r="K196" s="31">
        <f>'Raw data'!H116</f>
        <v>0</v>
      </c>
      <c r="L196" s="26">
        <f t="shared" si="8"/>
        <v>0</v>
      </c>
    </row>
    <row r="197" spans="2:12">
      <c r="B197" s="4" t="e">
        <f t="shared" si="7"/>
        <v>#N/A</v>
      </c>
      <c r="C197" s="4">
        <f>'Raw data'!E117</f>
        <v>0</v>
      </c>
      <c r="D197" s="29" t="e">
        <f>VLOOKUP(C197,'점포코드 '!A:B,2,0)</f>
        <v>#N/A</v>
      </c>
      <c r="E197" s="30">
        <f>'Raw data'!P117</f>
        <v>0</v>
      </c>
      <c r="F197" s="29" t="e">
        <f>VLOOKUP(E197,'점포코드 '!A:B,2,0)</f>
        <v>#N/A</v>
      </c>
      <c r="G197" s="46">
        <f>'Raw data'!F117</f>
        <v>0</v>
      </c>
      <c r="H197" s="4">
        <f>'Raw data'!G117</f>
        <v>0</v>
      </c>
      <c r="I197" s="29" t="e">
        <f>VLOOKUP(G197,제품명!$C$1:$E$114,2,0)</f>
        <v>#N/A</v>
      </c>
      <c r="J197" s="29">
        <f>'Raw data'!K117</f>
        <v>0</v>
      </c>
      <c r="K197" s="31">
        <f>'Raw data'!H117</f>
        <v>0</v>
      </c>
      <c r="L197" s="26">
        <f t="shared" si="8"/>
        <v>0</v>
      </c>
    </row>
    <row r="198" spans="2:12">
      <c r="B198" s="4" t="e">
        <f t="shared" si="7"/>
        <v>#N/A</v>
      </c>
      <c r="C198" s="4">
        <f>'Raw data'!E118</f>
        <v>0</v>
      </c>
      <c r="D198" s="29" t="e">
        <f>VLOOKUP(C198,'점포코드 '!A:B,2,0)</f>
        <v>#N/A</v>
      </c>
      <c r="E198" s="30">
        <f>'Raw data'!P118</f>
        <v>0</v>
      </c>
      <c r="F198" s="29" t="e">
        <f>VLOOKUP(E198,'점포코드 '!A:B,2,0)</f>
        <v>#N/A</v>
      </c>
      <c r="G198" s="46">
        <f>'Raw data'!F118</f>
        <v>0</v>
      </c>
      <c r="H198" s="4">
        <f>'Raw data'!G118</f>
        <v>0</v>
      </c>
      <c r="I198" s="29" t="e">
        <f>VLOOKUP(G198,제품명!$C$1:$E$114,2,0)</f>
        <v>#N/A</v>
      </c>
      <c r="J198" s="29">
        <f>'Raw data'!K118</f>
        <v>0</v>
      </c>
      <c r="K198" s="31">
        <f>'Raw data'!H118</f>
        <v>0</v>
      </c>
      <c r="L198" s="26">
        <f t="shared" si="8"/>
        <v>0</v>
      </c>
    </row>
    <row r="199" spans="2:12">
      <c r="B199" s="4" t="e">
        <f t="shared" si="7"/>
        <v>#N/A</v>
      </c>
      <c r="C199" s="4">
        <f>'Raw data'!E119</f>
        <v>0</v>
      </c>
      <c r="D199" s="29" t="e">
        <f>VLOOKUP(C199,'점포코드 '!A:B,2,0)</f>
        <v>#N/A</v>
      </c>
      <c r="E199" s="30">
        <f>'Raw data'!P119</f>
        <v>0</v>
      </c>
      <c r="F199" s="29" t="e">
        <f>VLOOKUP(E199,'점포코드 '!A:B,2,0)</f>
        <v>#N/A</v>
      </c>
      <c r="G199" s="46">
        <f>'Raw data'!F119</f>
        <v>0</v>
      </c>
      <c r="H199" s="4">
        <f>'Raw data'!G119</f>
        <v>0</v>
      </c>
      <c r="I199" s="29" t="e">
        <f>VLOOKUP(G199,제품명!$C$1:$E$114,2,0)</f>
        <v>#N/A</v>
      </c>
      <c r="J199" s="29">
        <f>'Raw data'!K119</f>
        <v>0</v>
      </c>
      <c r="K199" s="31">
        <f>'Raw data'!H119</f>
        <v>0</v>
      </c>
      <c r="L199" s="26">
        <f t="shared" si="8"/>
        <v>0</v>
      </c>
    </row>
    <row r="200" spans="2:12">
      <c r="B200" s="4" t="e">
        <f t="shared" si="7"/>
        <v>#N/A</v>
      </c>
      <c r="C200" s="4">
        <f>'Raw data'!E120</f>
        <v>0</v>
      </c>
      <c r="D200" s="29" t="e">
        <f>VLOOKUP(C200,'점포코드 '!A:B,2,0)</f>
        <v>#N/A</v>
      </c>
      <c r="E200" s="30">
        <f>'Raw data'!P120</f>
        <v>0</v>
      </c>
      <c r="F200" s="29" t="e">
        <f>VLOOKUP(E200,'점포코드 '!A:B,2,0)</f>
        <v>#N/A</v>
      </c>
      <c r="G200" s="46">
        <f>'Raw data'!F120</f>
        <v>0</v>
      </c>
      <c r="H200" s="4">
        <f>'Raw data'!G120</f>
        <v>0</v>
      </c>
      <c r="I200" s="29" t="e">
        <f>VLOOKUP(G200,제품명!$C$1:$E$114,2,0)</f>
        <v>#N/A</v>
      </c>
      <c r="J200" s="29">
        <f>'Raw data'!K120</f>
        <v>0</v>
      </c>
      <c r="K200" s="31">
        <f>'Raw data'!H120</f>
        <v>0</v>
      </c>
      <c r="L200" s="26">
        <f t="shared" si="8"/>
        <v>0</v>
      </c>
    </row>
    <row r="201" spans="2:12">
      <c r="B201" s="4" t="e">
        <f t="shared" si="7"/>
        <v>#N/A</v>
      </c>
      <c r="C201" s="4">
        <f>'Raw data'!E121</f>
        <v>0</v>
      </c>
      <c r="D201" s="29" t="e">
        <f>VLOOKUP(C201,'점포코드 '!A:B,2,0)</f>
        <v>#N/A</v>
      </c>
      <c r="E201" s="30">
        <f>'Raw data'!P121</f>
        <v>0</v>
      </c>
      <c r="F201" s="29" t="e">
        <f>VLOOKUP(E201,'점포코드 '!A:B,2,0)</f>
        <v>#N/A</v>
      </c>
      <c r="G201" s="46">
        <f>'Raw data'!F121</f>
        <v>0</v>
      </c>
      <c r="H201" s="4">
        <f>'Raw data'!G121</f>
        <v>0</v>
      </c>
      <c r="I201" s="29" t="e">
        <f>VLOOKUP(G201,제품명!$C$1:$E$114,2,0)</f>
        <v>#N/A</v>
      </c>
      <c r="J201" s="29">
        <f>'Raw data'!K121</f>
        <v>0</v>
      </c>
      <c r="K201" s="31">
        <f>'Raw data'!H121</f>
        <v>0</v>
      </c>
      <c r="L201" s="26">
        <f t="shared" si="8"/>
        <v>0</v>
      </c>
    </row>
    <row r="202" spans="2:12">
      <c r="B202" s="4" t="e">
        <f t="shared" si="7"/>
        <v>#N/A</v>
      </c>
      <c r="C202" s="4">
        <f>'Raw data'!E122</f>
        <v>0</v>
      </c>
      <c r="D202" s="29" t="e">
        <f>VLOOKUP(C202,'점포코드 '!A:B,2,0)</f>
        <v>#N/A</v>
      </c>
      <c r="E202" s="30">
        <f>'Raw data'!P122</f>
        <v>0</v>
      </c>
      <c r="F202" s="29" t="e">
        <f>VLOOKUP(E202,'점포코드 '!A:B,2,0)</f>
        <v>#N/A</v>
      </c>
      <c r="G202" s="46">
        <f>'Raw data'!F122</f>
        <v>0</v>
      </c>
      <c r="H202" s="4">
        <f>'Raw data'!G122</f>
        <v>0</v>
      </c>
      <c r="I202" s="29" t="e">
        <f>VLOOKUP(G202,제품명!$C$1:$E$114,2,0)</f>
        <v>#N/A</v>
      </c>
      <c r="J202" s="29">
        <f>'Raw data'!K122</f>
        <v>0</v>
      </c>
      <c r="K202" s="31">
        <f>'Raw data'!H122</f>
        <v>0</v>
      </c>
      <c r="L202" s="26">
        <f t="shared" si="8"/>
        <v>0</v>
      </c>
    </row>
    <row r="203" spans="2:12">
      <c r="B203" s="4" t="e">
        <f t="shared" si="7"/>
        <v>#N/A</v>
      </c>
      <c r="C203" s="4">
        <f>'Raw data'!E123</f>
        <v>0</v>
      </c>
      <c r="D203" s="29" t="e">
        <f>VLOOKUP(C203,'점포코드 '!A:B,2,0)</f>
        <v>#N/A</v>
      </c>
      <c r="E203" s="30">
        <f>'Raw data'!P123</f>
        <v>0</v>
      </c>
      <c r="F203" s="29" t="e">
        <f>VLOOKUP(E203,'점포코드 '!A:B,2,0)</f>
        <v>#N/A</v>
      </c>
      <c r="G203" s="46">
        <f>'Raw data'!F123</f>
        <v>0</v>
      </c>
      <c r="H203" s="4">
        <f>'Raw data'!G123</f>
        <v>0</v>
      </c>
      <c r="I203" s="29" t="e">
        <f>VLOOKUP(G203,제품명!$C$1:$E$114,2,0)</f>
        <v>#N/A</v>
      </c>
      <c r="J203" s="29">
        <f>'Raw data'!K123</f>
        <v>0</v>
      </c>
      <c r="K203" s="31">
        <f>'Raw data'!H123</f>
        <v>0</v>
      </c>
      <c r="L203" s="26">
        <f t="shared" si="8"/>
        <v>0</v>
      </c>
    </row>
    <row r="204" spans="2:12">
      <c r="B204" s="4" t="e">
        <f t="shared" si="7"/>
        <v>#N/A</v>
      </c>
      <c r="C204" s="4">
        <f>'Raw data'!E124</f>
        <v>0</v>
      </c>
      <c r="D204" s="29" t="e">
        <f>VLOOKUP(C204,'점포코드 '!A:B,2,0)</f>
        <v>#N/A</v>
      </c>
      <c r="E204" s="30">
        <f>'Raw data'!P124</f>
        <v>0</v>
      </c>
      <c r="F204" s="29" t="e">
        <f>VLOOKUP(E204,'점포코드 '!A:B,2,0)</f>
        <v>#N/A</v>
      </c>
      <c r="G204" s="46">
        <f>'Raw data'!F124</f>
        <v>0</v>
      </c>
      <c r="H204" s="4">
        <f>'Raw data'!G124</f>
        <v>0</v>
      </c>
      <c r="I204" s="29" t="e">
        <f>VLOOKUP(G204,제품명!$C$1:$E$114,2,0)</f>
        <v>#N/A</v>
      </c>
      <c r="J204" s="29">
        <f>'Raw data'!K124</f>
        <v>0</v>
      </c>
      <c r="K204" s="31">
        <f>'Raw data'!H124</f>
        <v>0</v>
      </c>
      <c r="L204" s="26">
        <f t="shared" si="8"/>
        <v>0</v>
      </c>
    </row>
    <row r="205" spans="2:12">
      <c r="B205" s="4" t="e">
        <f t="shared" si="7"/>
        <v>#N/A</v>
      </c>
      <c r="C205" s="4">
        <f>'Raw data'!E125</f>
        <v>0</v>
      </c>
      <c r="D205" s="29" t="e">
        <f>VLOOKUP(C205,'점포코드 '!A:B,2,0)</f>
        <v>#N/A</v>
      </c>
      <c r="E205" s="30">
        <f>'Raw data'!P125</f>
        <v>0</v>
      </c>
      <c r="F205" s="29" t="e">
        <f>VLOOKUP(E205,'점포코드 '!A:B,2,0)</f>
        <v>#N/A</v>
      </c>
      <c r="G205" s="46">
        <f>'Raw data'!F125</f>
        <v>0</v>
      </c>
      <c r="H205" s="4">
        <f>'Raw data'!G125</f>
        <v>0</v>
      </c>
      <c r="I205" s="29" t="e">
        <f>VLOOKUP(G205,제품명!$C$1:$E$114,2,0)</f>
        <v>#N/A</v>
      </c>
      <c r="J205" s="29">
        <f>'Raw data'!K125</f>
        <v>0</v>
      </c>
      <c r="K205" s="31">
        <f>'Raw data'!H125</f>
        <v>0</v>
      </c>
      <c r="L205" s="26">
        <f t="shared" si="8"/>
        <v>0</v>
      </c>
    </row>
    <row r="206" spans="2:12">
      <c r="B206" s="4" t="e">
        <f t="shared" si="7"/>
        <v>#N/A</v>
      </c>
      <c r="C206" s="4">
        <f>'Raw data'!E126</f>
        <v>0</v>
      </c>
      <c r="D206" s="29" t="e">
        <f>VLOOKUP(C206,'점포코드 '!A:B,2,0)</f>
        <v>#N/A</v>
      </c>
      <c r="E206" s="30">
        <f>'Raw data'!P126</f>
        <v>0</v>
      </c>
      <c r="F206" s="29" t="e">
        <f>VLOOKUP(E206,'점포코드 '!A:B,2,0)</f>
        <v>#N/A</v>
      </c>
      <c r="G206" s="46">
        <f>'Raw data'!F126</f>
        <v>0</v>
      </c>
      <c r="H206" s="4">
        <f>'Raw data'!G126</f>
        <v>0</v>
      </c>
      <c r="I206" s="29" t="e">
        <f>VLOOKUP(G206,제품명!$C$1:$E$114,2,0)</f>
        <v>#N/A</v>
      </c>
      <c r="J206" s="29">
        <f>'Raw data'!K126</f>
        <v>0</v>
      </c>
      <c r="K206" s="31">
        <f>'Raw data'!H126</f>
        <v>0</v>
      </c>
      <c r="L206" s="26">
        <f t="shared" si="8"/>
        <v>0</v>
      </c>
    </row>
    <row r="207" spans="2:12">
      <c r="B207" s="4" t="e">
        <f t="shared" si="7"/>
        <v>#N/A</v>
      </c>
      <c r="C207" s="4">
        <f>'Raw data'!E127</f>
        <v>0</v>
      </c>
      <c r="D207" s="29" t="e">
        <f>VLOOKUP(C207,'점포코드 '!A:B,2,0)</f>
        <v>#N/A</v>
      </c>
      <c r="E207" s="30">
        <f>'Raw data'!P127</f>
        <v>0</v>
      </c>
      <c r="F207" s="29" t="e">
        <f>VLOOKUP(E207,'점포코드 '!A:B,2,0)</f>
        <v>#N/A</v>
      </c>
      <c r="G207" s="46">
        <f>'Raw data'!F127</f>
        <v>0</v>
      </c>
      <c r="H207" s="4">
        <f>'Raw data'!G127</f>
        <v>0</v>
      </c>
      <c r="I207" s="29" t="e">
        <f>VLOOKUP(G207,제품명!$C$1:$E$114,2,0)</f>
        <v>#N/A</v>
      </c>
      <c r="J207" s="29">
        <f>'Raw data'!K127</f>
        <v>0</v>
      </c>
      <c r="K207" s="31">
        <f>'Raw data'!H127</f>
        <v>0</v>
      </c>
      <c r="L207" s="26">
        <f t="shared" si="8"/>
        <v>0</v>
      </c>
    </row>
    <row r="208" spans="2:12">
      <c r="B208" s="4" t="e">
        <f t="shared" si="7"/>
        <v>#N/A</v>
      </c>
      <c r="C208" s="4">
        <f>'Raw data'!E128</f>
        <v>0</v>
      </c>
      <c r="D208" s="29" t="e">
        <f>VLOOKUP(C208,'점포코드 '!A:B,2,0)</f>
        <v>#N/A</v>
      </c>
      <c r="E208" s="30">
        <f>'Raw data'!P128</f>
        <v>0</v>
      </c>
      <c r="F208" s="29" t="e">
        <f>VLOOKUP(E208,'점포코드 '!A:B,2,0)</f>
        <v>#N/A</v>
      </c>
      <c r="G208" s="46">
        <f>'Raw data'!F128</f>
        <v>0</v>
      </c>
      <c r="H208" s="4">
        <f>'Raw data'!G128</f>
        <v>0</v>
      </c>
      <c r="I208" s="29" t="e">
        <f>VLOOKUP(G208,제품명!$C$1:$E$114,2,0)</f>
        <v>#N/A</v>
      </c>
      <c r="J208" s="29">
        <f>'Raw data'!K128</f>
        <v>0</v>
      </c>
      <c r="K208" s="31">
        <f>'Raw data'!H128</f>
        <v>0</v>
      </c>
      <c r="L208" s="26">
        <f t="shared" si="8"/>
        <v>0</v>
      </c>
    </row>
    <row r="209" spans="2:12">
      <c r="B209" s="4" t="e">
        <f t="shared" si="7"/>
        <v>#N/A</v>
      </c>
      <c r="C209" s="4">
        <f>'Raw data'!E129</f>
        <v>0</v>
      </c>
      <c r="D209" s="29" t="e">
        <f>VLOOKUP(C209,'점포코드 '!A:B,2,0)</f>
        <v>#N/A</v>
      </c>
      <c r="E209" s="30">
        <f>'Raw data'!P129</f>
        <v>0</v>
      </c>
      <c r="F209" s="29" t="e">
        <f>VLOOKUP(E209,'점포코드 '!A:B,2,0)</f>
        <v>#N/A</v>
      </c>
      <c r="G209" s="46">
        <f>'Raw data'!F129</f>
        <v>0</v>
      </c>
      <c r="H209" s="4">
        <f>'Raw data'!G129</f>
        <v>0</v>
      </c>
      <c r="I209" s="29" t="e">
        <f>VLOOKUP(G209,제품명!$C$1:$E$114,2,0)</f>
        <v>#N/A</v>
      </c>
      <c r="J209" s="29">
        <f>'Raw data'!K129</f>
        <v>0</v>
      </c>
      <c r="K209" s="31">
        <f>'Raw data'!H129</f>
        <v>0</v>
      </c>
      <c r="L209" s="26">
        <f t="shared" si="8"/>
        <v>0</v>
      </c>
    </row>
    <row r="210" spans="2:12">
      <c r="B210" s="4" t="e">
        <f t="shared" si="7"/>
        <v>#N/A</v>
      </c>
      <c r="C210" s="4">
        <f>'Raw data'!E130</f>
        <v>0</v>
      </c>
      <c r="D210" s="29" t="e">
        <f>VLOOKUP(C210,'점포코드 '!A:B,2,0)</f>
        <v>#N/A</v>
      </c>
      <c r="E210" s="30">
        <f>'Raw data'!P130</f>
        <v>0</v>
      </c>
      <c r="F210" s="29" t="e">
        <f>VLOOKUP(E210,'점포코드 '!A:B,2,0)</f>
        <v>#N/A</v>
      </c>
      <c r="G210" s="46">
        <f>'Raw data'!F130</f>
        <v>0</v>
      </c>
      <c r="H210" s="4">
        <f>'Raw data'!G130</f>
        <v>0</v>
      </c>
      <c r="I210" s="29" t="e">
        <f>VLOOKUP(G210,제품명!$C$1:$E$114,2,0)</f>
        <v>#N/A</v>
      </c>
      <c r="J210" s="29">
        <f>'Raw data'!K130</f>
        <v>0</v>
      </c>
      <c r="K210" s="31">
        <f>'Raw data'!H130</f>
        <v>0</v>
      </c>
      <c r="L210" s="26">
        <f t="shared" si="8"/>
        <v>0</v>
      </c>
    </row>
    <row r="211" spans="2:12">
      <c r="B211" s="4" t="e">
        <f t="shared" si="7"/>
        <v>#N/A</v>
      </c>
      <c r="C211" s="4">
        <f>'Raw data'!E131</f>
        <v>0</v>
      </c>
      <c r="D211" s="29" t="e">
        <f>VLOOKUP(C211,'점포코드 '!A:B,2,0)</f>
        <v>#N/A</v>
      </c>
      <c r="E211" s="30">
        <f>'Raw data'!P131</f>
        <v>0</v>
      </c>
      <c r="F211" s="29" t="e">
        <f>VLOOKUP(E211,'점포코드 '!A:B,2,0)</f>
        <v>#N/A</v>
      </c>
      <c r="G211" s="46">
        <f>'Raw data'!F131</f>
        <v>0</v>
      </c>
      <c r="H211" s="4">
        <f>'Raw data'!G131</f>
        <v>0</v>
      </c>
      <c r="I211" s="29" t="e">
        <f>VLOOKUP(G211,제품명!$C$1:$E$114,2,0)</f>
        <v>#N/A</v>
      </c>
      <c r="J211" s="29">
        <f>'Raw data'!K131</f>
        <v>0</v>
      </c>
      <c r="K211" s="31">
        <f>'Raw data'!H131</f>
        <v>0</v>
      </c>
      <c r="L211" s="26">
        <f t="shared" si="8"/>
        <v>0</v>
      </c>
    </row>
    <row r="212" spans="2:12">
      <c r="B212" s="4" t="e">
        <f t="shared" si="7"/>
        <v>#N/A</v>
      </c>
      <c r="C212" s="4">
        <f>'Raw data'!E132</f>
        <v>0</v>
      </c>
      <c r="D212" s="29" t="e">
        <f>VLOOKUP(C212,'점포코드 '!A:B,2,0)</f>
        <v>#N/A</v>
      </c>
      <c r="E212" s="30">
        <f>'Raw data'!P132</f>
        <v>0</v>
      </c>
      <c r="F212" s="29" t="e">
        <f>VLOOKUP(E212,'점포코드 '!A:B,2,0)</f>
        <v>#N/A</v>
      </c>
      <c r="G212" s="46">
        <f>'Raw data'!F132</f>
        <v>0</v>
      </c>
      <c r="H212" s="4">
        <f>'Raw data'!G132</f>
        <v>0</v>
      </c>
      <c r="I212" s="29" t="e">
        <f>VLOOKUP(G212,제품명!$C$1:$E$114,2,0)</f>
        <v>#N/A</v>
      </c>
      <c r="J212" s="29">
        <f>'Raw data'!K132</f>
        <v>0</v>
      </c>
      <c r="K212" s="31">
        <f>'Raw data'!H132</f>
        <v>0</v>
      </c>
      <c r="L212" s="26">
        <f t="shared" si="8"/>
        <v>0</v>
      </c>
    </row>
    <row r="213" spans="2:12">
      <c r="B213" s="4" t="e">
        <f t="shared" si="7"/>
        <v>#N/A</v>
      </c>
      <c r="C213" s="4">
        <f>'Raw data'!E133</f>
        <v>0</v>
      </c>
      <c r="D213" s="29" t="e">
        <f>VLOOKUP(C213,'점포코드 '!A:B,2,0)</f>
        <v>#N/A</v>
      </c>
      <c r="E213" s="30">
        <f>'Raw data'!P133</f>
        <v>0</v>
      </c>
      <c r="F213" s="29" t="e">
        <f>VLOOKUP(E213,'점포코드 '!A:B,2,0)</f>
        <v>#N/A</v>
      </c>
      <c r="G213" s="46">
        <f>'Raw data'!F133</f>
        <v>0</v>
      </c>
      <c r="H213" s="4">
        <f>'Raw data'!G133</f>
        <v>0</v>
      </c>
      <c r="I213" s="29" t="e">
        <f>VLOOKUP(G213,제품명!$C$1:$E$114,2,0)</f>
        <v>#N/A</v>
      </c>
      <c r="J213" s="29">
        <f>'Raw data'!K133</f>
        <v>0</v>
      </c>
      <c r="K213" s="31">
        <f>'Raw data'!H133</f>
        <v>0</v>
      </c>
      <c r="L213" s="26">
        <f t="shared" si="8"/>
        <v>0</v>
      </c>
    </row>
    <row r="214" spans="2:12">
      <c r="B214" s="4" t="e">
        <f t="shared" si="7"/>
        <v>#N/A</v>
      </c>
      <c r="C214" s="4">
        <f>'Raw data'!E134</f>
        <v>0</v>
      </c>
      <c r="D214" s="29" t="e">
        <f>VLOOKUP(C214,'점포코드 '!A:B,2,0)</f>
        <v>#N/A</v>
      </c>
      <c r="E214" s="30">
        <f>'Raw data'!P134</f>
        <v>0</v>
      </c>
      <c r="F214" s="29" t="e">
        <f>VLOOKUP(E214,'점포코드 '!A:B,2,0)</f>
        <v>#N/A</v>
      </c>
      <c r="G214" s="46">
        <f>'Raw data'!F134</f>
        <v>0</v>
      </c>
      <c r="H214" s="4">
        <f>'Raw data'!G134</f>
        <v>0</v>
      </c>
      <c r="I214" s="29" t="e">
        <f>VLOOKUP(G214,제품명!$C$1:$E$114,2,0)</f>
        <v>#N/A</v>
      </c>
      <c r="J214" s="29">
        <f>'Raw data'!K134</f>
        <v>0</v>
      </c>
      <c r="K214" s="31">
        <f>'Raw data'!H134</f>
        <v>0</v>
      </c>
      <c r="L214" s="26">
        <f t="shared" si="8"/>
        <v>0</v>
      </c>
    </row>
    <row r="215" spans="2:12">
      <c r="B215" s="4" t="e">
        <f t="shared" si="7"/>
        <v>#N/A</v>
      </c>
      <c r="C215" s="4">
        <f>'Raw data'!E135</f>
        <v>0</v>
      </c>
      <c r="D215" s="29" t="e">
        <f>VLOOKUP(C215,'점포코드 '!A:B,2,0)</f>
        <v>#N/A</v>
      </c>
      <c r="E215" s="30">
        <f>'Raw data'!P135</f>
        <v>0</v>
      </c>
      <c r="F215" s="29" t="e">
        <f>VLOOKUP(E215,'점포코드 '!A:B,2,0)</f>
        <v>#N/A</v>
      </c>
      <c r="G215" s="46">
        <f>'Raw data'!F135</f>
        <v>0</v>
      </c>
      <c r="H215" s="4">
        <f>'Raw data'!G135</f>
        <v>0</v>
      </c>
      <c r="I215" s="29" t="e">
        <f>VLOOKUP(G215,제품명!$C$1:$E$114,2,0)</f>
        <v>#N/A</v>
      </c>
      <c r="J215" s="29">
        <f>'Raw data'!K135</f>
        <v>0</v>
      </c>
      <c r="K215" s="31">
        <f>'Raw data'!H135</f>
        <v>0</v>
      </c>
      <c r="L215" s="26">
        <f t="shared" si="8"/>
        <v>0</v>
      </c>
    </row>
    <row r="216" spans="2:12">
      <c r="B216" s="4" t="e">
        <f t="shared" si="7"/>
        <v>#N/A</v>
      </c>
      <c r="C216" s="4">
        <f>'Raw data'!E136</f>
        <v>0</v>
      </c>
      <c r="D216" s="29" t="e">
        <f>VLOOKUP(C216,'점포코드 '!A:B,2,0)</f>
        <v>#N/A</v>
      </c>
      <c r="E216" s="30">
        <f>'Raw data'!P136</f>
        <v>0</v>
      </c>
      <c r="F216" s="29" t="e">
        <f>VLOOKUP(E216,'점포코드 '!A:B,2,0)</f>
        <v>#N/A</v>
      </c>
      <c r="G216" s="46">
        <f>'Raw data'!F136</f>
        <v>0</v>
      </c>
      <c r="H216" s="4">
        <f>'Raw data'!G136</f>
        <v>0</v>
      </c>
      <c r="I216" s="29" t="e">
        <f>VLOOKUP(G216,제품명!$C$1:$E$114,2,0)</f>
        <v>#N/A</v>
      </c>
      <c r="J216" s="29">
        <f>'Raw data'!K136</f>
        <v>0</v>
      </c>
      <c r="K216" s="31">
        <f>'Raw data'!H136</f>
        <v>0</v>
      </c>
      <c r="L216" s="26">
        <f t="shared" si="8"/>
        <v>0</v>
      </c>
    </row>
    <row r="217" spans="2:12">
      <c r="B217" s="4" t="e">
        <f t="shared" si="7"/>
        <v>#N/A</v>
      </c>
      <c r="C217" s="4">
        <f>'Raw data'!E137</f>
        <v>0</v>
      </c>
      <c r="D217" s="29" t="e">
        <f>VLOOKUP(C217,'점포코드 '!A:B,2,0)</f>
        <v>#N/A</v>
      </c>
      <c r="E217" s="30">
        <f>'Raw data'!P137</f>
        <v>0</v>
      </c>
      <c r="F217" s="29" t="e">
        <f>VLOOKUP(E217,'점포코드 '!A:B,2,0)</f>
        <v>#N/A</v>
      </c>
      <c r="G217" s="46">
        <f>'Raw data'!F137</f>
        <v>0</v>
      </c>
      <c r="H217" s="4">
        <f>'Raw data'!G137</f>
        <v>0</v>
      </c>
      <c r="I217" s="29" t="e">
        <f>VLOOKUP(G217,제품명!$C$1:$E$114,2,0)</f>
        <v>#N/A</v>
      </c>
      <c r="J217" s="29">
        <f>'Raw data'!K137</f>
        <v>0</v>
      </c>
      <c r="K217" s="31">
        <f>'Raw data'!H137</f>
        <v>0</v>
      </c>
      <c r="L217" s="26">
        <f t="shared" si="8"/>
        <v>0</v>
      </c>
    </row>
    <row r="218" spans="2:12">
      <c r="B218" s="4" t="e">
        <f t="shared" si="7"/>
        <v>#N/A</v>
      </c>
      <c r="C218" s="4">
        <f>'Raw data'!E138</f>
        <v>0</v>
      </c>
      <c r="D218" s="29" t="e">
        <f>VLOOKUP(C218,'점포코드 '!A:B,2,0)</f>
        <v>#N/A</v>
      </c>
      <c r="E218" s="30">
        <f>'Raw data'!P138</f>
        <v>0</v>
      </c>
      <c r="F218" s="29" t="e">
        <f>VLOOKUP(E218,'점포코드 '!A:B,2,0)</f>
        <v>#N/A</v>
      </c>
      <c r="G218" s="46">
        <f>'Raw data'!F138</f>
        <v>0</v>
      </c>
      <c r="H218" s="4">
        <f>'Raw data'!G138</f>
        <v>0</v>
      </c>
      <c r="I218" s="29" t="e">
        <f>VLOOKUP(G218,제품명!$C$1:$E$114,2,0)</f>
        <v>#N/A</v>
      </c>
      <c r="J218" s="29">
        <f>'Raw data'!K138</f>
        <v>0</v>
      </c>
      <c r="K218" s="31">
        <f>'Raw data'!H138</f>
        <v>0</v>
      </c>
      <c r="L218" s="26">
        <f t="shared" si="8"/>
        <v>0</v>
      </c>
    </row>
    <row r="219" spans="2:12">
      <c r="B219" s="4" t="e">
        <f t="shared" si="7"/>
        <v>#N/A</v>
      </c>
      <c r="C219" s="4">
        <f>'Raw data'!E139</f>
        <v>0</v>
      </c>
      <c r="D219" s="29" t="e">
        <f>VLOOKUP(C219,'점포코드 '!A:B,2,0)</f>
        <v>#N/A</v>
      </c>
      <c r="E219" s="30">
        <f>'Raw data'!P139</f>
        <v>0</v>
      </c>
      <c r="F219" s="29" t="e">
        <f>VLOOKUP(E219,'점포코드 '!A:B,2,0)</f>
        <v>#N/A</v>
      </c>
      <c r="G219" s="46">
        <f>'Raw data'!F139</f>
        <v>0</v>
      </c>
      <c r="H219" s="4">
        <f>'Raw data'!G139</f>
        <v>0</v>
      </c>
      <c r="I219" s="29" t="e">
        <f>VLOOKUP(G219,제품명!$C$1:$E$114,2,0)</f>
        <v>#N/A</v>
      </c>
      <c r="J219" s="29">
        <f>'Raw data'!K139</f>
        <v>0</v>
      </c>
      <c r="K219" s="31">
        <f>'Raw data'!H139</f>
        <v>0</v>
      </c>
      <c r="L219" s="26">
        <f t="shared" si="8"/>
        <v>0</v>
      </c>
    </row>
    <row r="220" spans="2:12">
      <c r="B220" s="4" t="e">
        <f t="shared" si="7"/>
        <v>#N/A</v>
      </c>
      <c r="C220" s="4">
        <f>'Raw data'!E140</f>
        <v>0</v>
      </c>
      <c r="D220" s="29" t="e">
        <f>VLOOKUP(C220,'점포코드 '!A:B,2,0)</f>
        <v>#N/A</v>
      </c>
      <c r="E220" s="30">
        <f>'Raw data'!P140</f>
        <v>0</v>
      </c>
      <c r="F220" s="29" t="e">
        <f>VLOOKUP(E220,'점포코드 '!A:B,2,0)</f>
        <v>#N/A</v>
      </c>
      <c r="G220" s="46">
        <f>'Raw data'!F140</f>
        <v>0</v>
      </c>
      <c r="H220" s="4">
        <f>'Raw data'!G140</f>
        <v>0</v>
      </c>
      <c r="I220" s="29" t="e">
        <f>VLOOKUP(G220,제품명!$C$1:$E$114,2,0)</f>
        <v>#N/A</v>
      </c>
      <c r="J220" s="29">
        <f>'Raw data'!K140</f>
        <v>0</v>
      </c>
      <c r="K220" s="31">
        <f>'Raw data'!H140</f>
        <v>0</v>
      </c>
      <c r="L220" s="26">
        <f t="shared" si="8"/>
        <v>0</v>
      </c>
    </row>
    <row r="221" spans="2:12">
      <c r="B221" s="4" t="e">
        <f t="shared" si="7"/>
        <v>#N/A</v>
      </c>
      <c r="C221" s="4">
        <f>'Raw data'!E141</f>
        <v>0</v>
      </c>
      <c r="D221" s="29" t="e">
        <f>VLOOKUP(C221,'점포코드 '!A:B,2,0)</f>
        <v>#N/A</v>
      </c>
      <c r="E221" s="30">
        <f>'Raw data'!P141</f>
        <v>0</v>
      </c>
      <c r="F221" s="29" t="e">
        <f>VLOOKUP(E221,'점포코드 '!A:B,2,0)</f>
        <v>#N/A</v>
      </c>
      <c r="G221" s="46">
        <f>'Raw data'!F141</f>
        <v>0</v>
      </c>
      <c r="H221" s="4">
        <f>'Raw data'!G141</f>
        <v>0</v>
      </c>
      <c r="I221" s="29" t="e">
        <f>VLOOKUP(G221,제품명!$C$1:$E$114,2,0)</f>
        <v>#N/A</v>
      </c>
      <c r="J221" s="29">
        <f>'Raw data'!K141</f>
        <v>0</v>
      </c>
      <c r="K221" s="31">
        <f>'Raw data'!H141</f>
        <v>0</v>
      </c>
      <c r="L221" s="26">
        <f t="shared" si="8"/>
        <v>0</v>
      </c>
    </row>
    <row r="222" spans="2:12">
      <c r="B222" s="4" t="e">
        <f t="shared" si="7"/>
        <v>#N/A</v>
      </c>
      <c r="C222" s="4">
        <f>'Raw data'!E142</f>
        <v>0</v>
      </c>
      <c r="D222" s="29" t="e">
        <f>VLOOKUP(C222,'점포코드 '!A:B,2,0)</f>
        <v>#N/A</v>
      </c>
      <c r="E222" s="30">
        <f>'Raw data'!P142</f>
        <v>0</v>
      </c>
      <c r="F222" s="29" t="e">
        <f>VLOOKUP(E222,'점포코드 '!A:B,2,0)</f>
        <v>#N/A</v>
      </c>
      <c r="G222" s="46">
        <f>'Raw data'!F142</f>
        <v>0</v>
      </c>
      <c r="H222" s="4">
        <f>'Raw data'!G142</f>
        <v>0</v>
      </c>
      <c r="I222" s="29" t="e">
        <f>VLOOKUP(G222,제품명!$C$1:$E$114,2,0)</f>
        <v>#N/A</v>
      </c>
      <c r="J222" s="29">
        <f>'Raw data'!K142</f>
        <v>0</v>
      </c>
      <c r="K222" s="31">
        <f>'Raw data'!H142</f>
        <v>0</v>
      </c>
      <c r="L222" s="26">
        <f t="shared" si="8"/>
        <v>0</v>
      </c>
    </row>
    <row r="223" spans="2:12">
      <c r="B223" s="4" t="e">
        <f t="shared" si="7"/>
        <v>#N/A</v>
      </c>
      <c r="C223" s="4">
        <f>'Raw data'!E143</f>
        <v>0</v>
      </c>
      <c r="D223" s="29" t="e">
        <f>VLOOKUP(C223,'점포코드 '!A:B,2,0)</f>
        <v>#N/A</v>
      </c>
      <c r="E223" s="30">
        <f>'Raw data'!P143</f>
        <v>0</v>
      </c>
      <c r="F223" s="29" t="e">
        <f>VLOOKUP(E223,'점포코드 '!A:B,2,0)</f>
        <v>#N/A</v>
      </c>
      <c r="G223" s="46">
        <f>'Raw data'!F143</f>
        <v>0</v>
      </c>
      <c r="H223" s="4">
        <f>'Raw data'!G143</f>
        <v>0</v>
      </c>
      <c r="I223" s="29" t="e">
        <f>VLOOKUP(G223,제품명!$C$1:$E$114,2,0)</f>
        <v>#N/A</v>
      </c>
      <c r="J223" s="29">
        <f>'Raw data'!K143</f>
        <v>0</v>
      </c>
      <c r="K223" s="31">
        <f>'Raw data'!H143</f>
        <v>0</v>
      </c>
      <c r="L223" s="26">
        <f t="shared" si="8"/>
        <v>0</v>
      </c>
    </row>
    <row r="224" spans="2:12">
      <c r="B224" s="4" t="e">
        <f t="shared" si="7"/>
        <v>#N/A</v>
      </c>
      <c r="C224" s="4">
        <f>'Raw data'!E144</f>
        <v>0</v>
      </c>
      <c r="D224" s="29" t="e">
        <f>VLOOKUP(C224,'점포코드 '!A:B,2,0)</f>
        <v>#N/A</v>
      </c>
      <c r="E224" s="30">
        <f>'Raw data'!P144</f>
        <v>0</v>
      </c>
      <c r="F224" s="29" t="e">
        <f>VLOOKUP(E224,'점포코드 '!A:B,2,0)</f>
        <v>#N/A</v>
      </c>
      <c r="G224" s="46">
        <f>'Raw data'!F144</f>
        <v>0</v>
      </c>
      <c r="H224" s="4">
        <f>'Raw data'!G144</f>
        <v>0</v>
      </c>
      <c r="I224" s="29" t="e">
        <f>VLOOKUP(G224,제품명!$C$1:$E$114,2,0)</f>
        <v>#N/A</v>
      </c>
      <c r="J224" s="29">
        <f>'Raw data'!K144</f>
        <v>0</v>
      </c>
      <c r="K224" s="31">
        <f>'Raw data'!H144</f>
        <v>0</v>
      </c>
      <c r="L224" s="26">
        <f t="shared" si="8"/>
        <v>0</v>
      </c>
    </row>
    <row r="225" spans="2:12">
      <c r="B225" s="4" t="e">
        <f t="shared" si="7"/>
        <v>#N/A</v>
      </c>
      <c r="C225" s="4">
        <f>'Raw data'!E145</f>
        <v>0</v>
      </c>
      <c r="D225" s="29" t="e">
        <f>VLOOKUP(C225,'점포코드 '!A:B,2,0)</f>
        <v>#N/A</v>
      </c>
      <c r="E225" s="30">
        <f>'Raw data'!P145</f>
        <v>0</v>
      </c>
      <c r="F225" s="29" t="e">
        <f>VLOOKUP(E225,'점포코드 '!A:B,2,0)</f>
        <v>#N/A</v>
      </c>
      <c r="G225" s="46">
        <f>'Raw data'!F145</f>
        <v>0</v>
      </c>
      <c r="H225" s="4">
        <f>'Raw data'!G145</f>
        <v>0</v>
      </c>
      <c r="I225" s="29" t="e">
        <f>VLOOKUP(G225,제품명!$C$1:$E$114,2,0)</f>
        <v>#N/A</v>
      </c>
      <c r="J225" s="29">
        <f>'Raw data'!K145</f>
        <v>0</v>
      </c>
      <c r="K225" s="31">
        <f>'Raw data'!H145</f>
        <v>0</v>
      </c>
      <c r="L225" s="26">
        <f t="shared" si="8"/>
        <v>0</v>
      </c>
    </row>
    <row r="226" spans="2:12">
      <c r="B226" s="4" t="e">
        <f t="shared" si="7"/>
        <v>#N/A</v>
      </c>
      <c r="C226" s="4">
        <f>'Raw data'!E146</f>
        <v>0</v>
      </c>
      <c r="D226" s="29" t="e">
        <f>VLOOKUP(C226,'점포코드 '!A:B,2,0)</f>
        <v>#N/A</v>
      </c>
      <c r="E226" s="30">
        <f>'Raw data'!P146</f>
        <v>0</v>
      </c>
      <c r="F226" s="29" t="e">
        <f>VLOOKUP(E226,'점포코드 '!A:B,2,0)</f>
        <v>#N/A</v>
      </c>
      <c r="G226" s="46">
        <f>'Raw data'!F146</f>
        <v>0</v>
      </c>
      <c r="H226" s="4">
        <f>'Raw data'!G146</f>
        <v>0</v>
      </c>
      <c r="I226" s="29" t="e">
        <f>VLOOKUP(G226,제품명!$C$1:$E$114,2,0)</f>
        <v>#N/A</v>
      </c>
      <c r="J226" s="29">
        <f>'Raw data'!K146</f>
        <v>0</v>
      </c>
      <c r="K226" s="31">
        <f>'Raw data'!H146</f>
        <v>0</v>
      </c>
      <c r="L226" s="26">
        <f t="shared" si="8"/>
        <v>0</v>
      </c>
    </row>
    <row r="227" spans="2:12">
      <c r="B227" s="4" t="e">
        <f t="shared" si="7"/>
        <v>#N/A</v>
      </c>
      <c r="C227" s="4">
        <f>'Raw data'!E147</f>
        <v>0</v>
      </c>
      <c r="D227" s="29" t="e">
        <f>VLOOKUP(C227,'점포코드 '!A:B,2,0)</f>
        <v>#N/A</v>
      </c>
      <c r="E227" s="30">
        <f>'Raw data'!P147</f>
        <v>0</v>
      </c>
      <c r="F227" s="29" t="e">
        <f>VLOOKUP(E227,'점포코드 '!A:B,2,0)</f>
        <v>#N/A</v>
      </c>
      <c r="G227" s="46">
        <f>'Raw data'!F147</f>
        <v>0</v>
      </c>
      <c r="H227" s="4">
        <f>'Raw data'!G147</f>
        <v>0</v>
      </c>
      <c r="I227" s="29" t="e">
        <f>VLOOKUP(G227,제품명!$C$1:$E$114,2,0)</f>
        <v>#N/A</v>
      </c>
      <c r="J227" s="29">
        <f>'Raw data'!K147</f>
        <v>0</v>
      </c>
      <c r="K227" s="31">
        <f>'Raw data'!H147</f>
        <v>0</v>
      </c>
      <c r="L227" s="26">
        <f t="shared" si="8"/>
        <v>0</v>
      </c>
    </row>
    <row r="228" spans="2:12">
      <c r="B228" s="4" t="e">
        <f t="shared" si="7"/>
        <v>#N/A</v>
      </c>
      <c r="C228" s="4">
        <f>'Raw data'!E148</f>
        <v>0</v>
      </c>
      <c r="D228" s="29" t="e">
        <f>VLOOKUP(C228,'점포코드 '!A:B,2,0)</f>
        <v>#N/A</v>
      </c>
      <c r="E228" s="30">
        <f>'Raw data'!P148</f>
        <v>0</v>
      </c>
      <c r="F228" s="29" t="e">
        <f>VLOOKUP(E228,'점포코드 '!A:B,2,0)</f>
        <v>#N/A</v>
      </c>
      <c r="G228" s="46">
        <f>'Raw data'!F148</f>
        <v>0</v>
      </c>
      <c r="H228" s="4">
        <f>'Raw data'!G148</f>
        <v>0</v>
      </c>
      <c r="I228" s="29" t="e">
        <f>VLOOKUP(G228,제품명!$C$1:$E$114,2,0)</f>
        <v>#N/A</v>
      </c>
      <c r="J228" s="29">
        <f>'Raw data'!K148</f>
        <v>0</v>
      </c>
      <c r="K228" s="31">
        <f>'Raw data'!H148</f>
        <v>0</v>
      </c>
      <c r="L228" s="26">
        <f t="shared" si="8"/>
        <v>0</v>
      </c>
    </row>
    <row r="229" spans="2:12">
      <c r="B229" s="4" t="e">
        <f t="shared" si="7"/>
        <v>#N/A</v>
      </c>
      <c r="C229" s="4">
        <f>'Raw data'!E149</f>
        <v>0</v>
      </c>
      <c r="D229" s="29" t="e">
        <f>VLOOKUP(C229,'점포코드 '!A:B,2,0)</f>
        <v>#N/A</v>
      </c>
      <c r="E229" s="30">
        <f>'Raw data'!P149</f>
        <v>0</v>
      </c>
      <c r="F229" s="29" t="e">
        <f>VLOOKUP(E229,'점포코드 '!A:B,2,0)</f>
        <v>#N/A</v>
      </c>
      <c r="G229" s="46">
        <f>'Raw data'!F149</f>
        <v>0</v>
      </c>
      <c r="H229" s="4">
        <f>'Raw data'!G149</f>
        <v>0</v>
      </c>
      <c r="I229" s="29" t="e">
        <f>VLOOKUP(G229,제품명!$C$1:$E$114,2,0)</f>
        <v>#N/A</v>
      </c>
      <c r="J229" s="29">
        <f>'Raw data'!K149</f>
        <v>0</v>
      </c>
      <c r="K229" s="31">
        <f>'Raw data'!H149</f>
        <v>0</v>
      </c>
      <c r="L229" s="26">
        <f t="shared" si="8"/>
        <v>0</v>
      </c>
    </row>
    <row r="230" spans="2:12">
      <c r="B230" s="4" t="e">
        <f t="shared" si="7"/>
        <v>#N/A</v>
      </c>
      <c r="C230" s="4">
        <f>'Raw data'!E150</f>
        <v>0</v>
      </c>
      <c r="D230" s="29" t="e">
        <f>VLOOKUP(C230,'점포코드 '!A:B,2,0)</f>
        <v>#N/A</v>
      </c>
      <c r="E230" s="30">
        <f>'Raw data'!P150</f>
        <v>0</v>
      </c>
      <c r="F230" s="29" t="e">
        <f>VLOOKUP(E230,'점포코드 '!A:B,2,0)</f>
        <v>#N/A</v>
      </c>
      <c r="G230" s="46">
        <f>'Raw data'!F150</f>
        <v>0</v>
      </c>
      <c r="H230" s="4">
        <f>'Raw data'!G150</f>
        <v>0</v>
      </c>
      <c r="I230" s="29" t="e">
        <f>VLOOKUP(G230,제품명!$C$1:$E$114,2,0)</f>
        <v>#N/A</v>
      </c>
      <c r="J230" s="29">
        <f>'Raw data'!K150</f>
        <v>0</v>
      </c>
      <c r="K230" s="31">
        <f>'Raw data'!H150</f>
        <v>0</v>
      </c>
      <c r="L230" s="26">
        <f t="shared" si="8"/>
        <v>0</v>
      </c>
    </row>
    <row r="231" spans="2:12">
      <c r="B231" s="4" t="e">
        <f t="shared" si="7"/>
        <v>#N/A</v>
      </c>
      <c r="C231" s="4">
        <f>'Raw data'!E151</f>
        <v>0</v>
      </c>
      <c r="D231" s="29" t="e">
        <f>VLOOKUP(C231,'점포코드 '!A:B,2,0)</f>
        <v>#N/A</v>
      </c>
      <c r="E231" s="30">
        <f>'Raw data'!P151</f>
        <v>0</v>
      </c>
      <c r="F231" s="29" t="e">
        <f>VLOOKUP(E231,'점포코드 '!A:B,2,0)</f>
        <v>#N/A</v>
      </c>
      <c r="G231" s="46">
        <f>'Raw data'!F151</f>
        <v>0</v>
      </c>
      <c r="H231" s="4">
        <f>'Raw data'!G151</f>
        <v>0</v>
      </c>
      <c r="I231" s="29" t="e">
        <f>VLOOKUP(G231,제품명!$C$1:$E$114,2,0)</f>
        <v>#N/A</v>
      </c>
      <c r="J231" s="29">
        <f>'Raw data'!K151</f>
        <v>0</v>
      </c>
      <c r="K231" s="31">
        <f>'Raw data'!H151</f>
        <v>0</v>
      </c>
      <c r="L231" s="26">
        <f t="shared" si="8"/>
        <v>0</v>
      </c>
    </row>
    <row r="232" spans="2:12">
      <c r="B232" s="4" t="e">
        <f t="shared" si="7"/>
        <v>#N/A</v>
      </c>
      <c r="C232" s="4">
        <f>'Raw data'!E152</f>
        <v>0</v>
      </c>
      <c r="D232" s="29" t="e">
        <f>VLOOKUP(C232,'점포코드 '!A:B,2,0)</f>
        <v>#N/A</v>
      </c>
      <c r="E232" s="30">
        <f>'Raw data'!P152</f>
        <v>0</v>
      </c>
      <c r="F232" s="29" t="e">
        <f>VLOOKUP(E232,'점포코드 '!A:B,2,0)</f>
        <v>#N/A</v>
      </c>
      <c r="G232" s="46">
        <f>'Raw data'!F152</f>
        <v>0</v>
      </c>
      <c r="H232" s="4">
        <f>'Raw data'!G152</f>
        <v>0</v>
      </c>
      <c r="I232" s="29" t="e">
        <f>VLOOKUP(G232,제품명!$C$1:$E$114,2,0)</f>
        <v>#N/A</v>
      </c>
      <c r="J232" s="29">
        <f>'Raw data'!K152</f>
        <v>0</v>
      </c>
      <c r="K232" s="31">
        <f>'Raw data'!H152</f>
        <v>0</v>
      </c>
      <c r="L232" s="26">
        <f t="shared" si="8"/>
        <v>0</v>
      </c>
    </row>
    <row r="233" spans="2:12">
      <c r="B233" s="4" t="e">
        <f t="shared" si="7"/>
        <v>#N/A</v>
      </c>
      <c r="C233" s="4">
        <f>'Raw data'!E153</f>
        <v>0</v>
      </c>
      <c r="D233" s="29" t="e">
        <f>VLOOKUP(C233,'점포코드 '!A:B,2,0)</f>
        <v>#N/A</v>
      </c>
      <c r="E233" s="30">
        <f>'Raw data'!P153</f>
        <v>0</v>
      </c>
      <c r="F233" s="29" t="e">
        <f>VLOOKUP(E233,'점포코드 '!A:B,2,0)</f>
        <v>#N/A</v>
      </c>
      <c r="G233" s="46">
        <f>'Raw data'!F153</f>
        <v>0</v>
      </c>
      <c r="H233" s="4">
        <f>'Raw data'!G153</f>
        <v>0</v>
      </c>
      <c r="I233" s="29" t="e">
        <f>VLOOKUP(G233,제품명!$C$1:$E$114,2,0)</f>
        <v>#N/A</v>
      </c>
      <c r="J233" s="29">
        <f>'Raw data'!K153</f>
        <v>0</v>
      </c>
      <c r="K233" s="31">
        <f>'Raw data'!H153</f>
        <v>0</v>
      </c>
      <c r="L233" s="26">
        <f t="shared" si="8"/>
        <v>0</v>
      </c>
    </row>
    <row r="234" spans="2:12">
      <c r="B234" s="4" t="e">
        <f t="shared" si="7"/>
        <v>#N/A</v>
      </c>
      <c r="C234" s="4">
        <f>'Raw data'!E154</f>
        <v>0</v>
      </c>
      <c r="D234" s="29" t="e">
        <f>VLOOKUP(C234,'점포코드 '!A:B,2,0)</f>
        <v>#N/A</v>
      </c>
      <c r="E234" s="30">
        <f>'Raw data'!P154</f>
        <v>0</v>
      </c>
      <c r="F234" s="29" t="e">
        <f>VLOOKUP(E234,'점포코드 '!A:B,2,0)</f>
        <v>#N/A</v>
      </c>
      <c r="G234" s="46">
        <f>'Raw data'!F154</f>
        <v>0</v>
      </c>
      <c r="H234" s="4">
        <f>'Raw data'!G154</f>
        <v>0</v>
      </c>
      <c r="I234" s="29" t="e">
        <f>VLOOKUP(G234,제품명!$C$1:$E$114,2,0)</f>
        <v>#N/A</v>
      </c>
      <c r="J234" s="29">
        <f>'Raw data'!K154</f>
        <v>0</v>
      </c>
      <c r="K234" s="31">
        <f>'Raw data'!H154</f>
        <v>0</v>
      </c>
      <c r="L234" s="26">
        <f t="shared" si="8"/>
        <v>0</v>
      </c>
    </row>
    <row r="235" spans="2:12">
      <c r="B235" s="4" t="e">
        <f t="shared" si="7"/>
        <v>#N/A</v>
      </c>
      <c r="C235" s="4">
        <f>'Raw data'!E155</f>
        <v>0</v>
      </c>
      <c r="D235" s="29" t="e">
        <f>VLOOKUP(C235,'점포코드 '!A:B,2,0)</f>
        <v>#N/A</v>
      </c>
      <c r="E235" s="30">
        <f>'Raw data'!P155</f>
        <v>0</v>
      </c>
      <c r="F235" s="29" t="e">
        <f>VLOOKUP(E235,'점포코드 '!A:B,2,0)</f>
        <v>#N/A</v>
      </c>
      <c r="G235" s="46">
        <f>'Raw data'!F155</f>
        <v>0</v>
      </c>
      <c r="H235" s="4">
        <f>'Raw data'!G155</f>
        <v>0</v>
      </c>
      <c r="I235" s="29" t="e">
        <f>VLOOKUP(G235,제품명!$C$1:$E$114,2,0)</f>
        <v>#N/A</v>
      </c>
      <c r="J235" s="29">
        <f>'Raw data'!K155</f>
        <v>0</v>
      </c>
      <c r="K235" s="31">
        <f>'Raw data'!H155</f>
        <v>0</v>
      </c>
      <c r="L235" s="26">
        <f t="shared" si="8"/>
        <v>0</v>
      </c>
    </row>
    <row r="236" spans="2:12">
      <c r="B236" s="4" t="e">
        <f t="shared" si="7"/>
        <v>#N/A</v>
      </c>
      <c r="C236" s="4">
        <f>'Raw data'!E156</f>
        <v>0</v>
      </c>
      <c r="D236" s="29" t="e">
        <f>VLOOKUP(C236,'점포코드 '!A:B,2,0)</f>
        <v>#N/A</v>
      </c>
      <c r="E236" s="30">
        <f>'Raw data'!P156</f>
        <v>0</v>
      </c>
      <c r="F236" s="29" t="e">
        <f>VLOOKUP(E236,'점포코드 '!A:B,2,0)</f>
        <v>#N/A</v>
      </c>
      <c r="G236" s="46">
        <f>'Raw data'!F156</f>
        <v>0</v>
      </c>
      <c r="H236" s="4">
        <f>'Raw data'!G156</f>
        <v>0</v>
      </c>
      <c r="I236" s="29" t="e">
        <f>VLOOKUP(G236,제품명!$C$1:$E$114,2,0)</f>
        <v>#N/A</v>
      </c>
      <c r="J236" s="29">
        <f>'Raw data'!K156</f>
        <v>0</v>
      </c>
      <c r="K236" s="31">
        <f>'Raw data'!H156</f>
        <v>0</v>
      </c>
      <c r="L236" s="26">
        <f t="shared" si="8"/>
        <v>0</v>
      </c>
    </row>
    <row r="237" spans="2:12">
      <c r="B237" s="4" t="e">
        <f t="shared" si="7"/>
        <v>#N/A</v>
      </c>
      <c r="C237" s="4">
        <f>'Raw data'!E157</f>
        <v>0</v>
      </c>
      <c r="D237" s="29" t="e">
        <f>VLOOKUP(C237,'점포코드 '!A:B,2,0)</f>
        <v>#N/A</v>
      </c>
      <c r="E237" s="30">
        <f>'Raw data'!P157</f>
        <v>0</v>
      </c>
      <c r="F237" s="29" t="e">
        <f>VLOOKUP(E237,'점포코드 '!A:B,2,0)</f>
        <v>#N/A</v>
      </c>
      <c r="G237" s="46">
        <f>'Raw data'!F157</f>
        <v>0</v>
      </c>
      <c r="H237" s="4">
        <f>'Raw data'!G157</f>
        <v>0</v>
      </c>
      <c r="I237" s="29" t="e">
        <f>VLOOKUP(G237,제품명!$C$1:$E$114,2,0)</f>
        <v>#N/A</v>
      </c>
      <c r="J237" s="29">
        <f>'Raw data'!K157</f>
        <v>0</v>
      </c>
      <c r="K237" s="31">
        <f>'Raw data'!H157</f>
        <v>0</v>
      </c>
      <c r="L237" s="26">
        <f t="shared" si="8"/>
        <v>0</v>
      </c>
    </row>
    <row r="238" spans="2:12">
      <c r="B238" s="4" t="e">
        <f t="shared" si="7"/>
        <v>#N/A</v>
      </c>
      <c r="C238" s="4">
        <f>'Raw data'!E158</f>
        <v>0</v>
      </c>
      <c r="D238" s="29" t="e">
        <f>VLOOKUP(C238,'점포코드 '!A:B,2,0)</f>
        <v>#N/A</v>
      </c>
      <c r="E238" s="30">
        <f>'Raw data'!P158</f>
        <v>0</v>
      </c>
      <c r="F238" s="29" t="e">
        <f>VLOOKUP(E238,'점포코드 '!A:B,2,0)</f>
        <v>#N/A</v>
      </c>
      <c r="G238" s="46">
        <f>'Raw data'!F158</f>
        <v>0</v>
      </c>
      <c r="H238" s="4">
        <f>'Raw data'!G158</f>
        <v>0</v>
      </c>
      <c r="I238" s="29" t="e">
        <f>VLOOKUP(G238,제품명!$C$1:$E$114,2,0)</f>
        <v>#N/A</v>
      </c>
      <c r="J238" s="29">
        <f>'Raw data'!K158</f>
        <v>0</v>
      </c>
      <c r="K238" s="31">
        <f>'Raw data'!H158</f>
        <v>0</v>
      </c>
      <c r="L238" s="26">
        <f t="shared" si="8"/>
        <v>0</v>
      </c>
    </row>
    <row r="239" spans="2:12">
      <c r="B239" s="4" t="e">
        <f t="shared" si="7"/>
        <v>#N/A</v>
      </c>
      <c r="C239" s="4">
        <f>'Raw data'!E159</f>
        <v>0</v>
      </c>
      <c r="D239" s="29" t="e">
        <f>VLOOKUP(C239,'점포코드 '!A:B,2,0)</f>
        <v>#N/A</v>
      </c>
      <c r="E239" s="30">
        <f>'Raw data'!P159</f>
        <v>0</v>
      </c>
      <c r="F239" s="29" t="e">
        <f>VLOOKUP(E239,'점포코드 '!A:B,2,0)</f>
        <v>#N/A</v>
      </c>
      <c r="G239" s="46">
        <f>'Raw data'!F159</f>
        <v>0</v>
      </c>
      <c r="H239" s="4">
        <f>'Raw data'!G159</f>
        <v>0</v>
      </c>
      <c r="I239" s="29" t="e">
        <f>VLOOKUP(G239,제품명!$C$1:$E$114,2,0)</f>
        <v>#N/A</v>
      </c>
      <c r="J239" s="29">
        <f>'Raw data'!K159</f>
        <v>0</v>
      </c>
      <c r="K239" s="31">
        <f>'Raw data'!H159</f>
        <v>0</v>
      </c>
      <c r="L239" s="26">
        <f t="shared" si="8"/>
        <v>0</v>
      </c>
    </row>
    <row r="240" spans="2:12">
      <c r="B240" s="4" t="e">
        <f t="shared" si="7"/>
        <v>#N/A</v>
      </c>
      <c r="C240" s="4">
        <f>'Raw data'!E160</f>
        <v>0</v>
      </c>
      <c r="D240" s="29" t="e">
        <f>VLOOKUP(C240,'점포코드 '!A:B,2,0)</f>
        <v>#N/A</v>
      </c>
      <c r="E240" s="30">
        <f>'Raw data'!P160</f>
        <v>0</v>
      </c>
      <c r="F240" s="29" t="e">
        <f>VLOOKUP(E240,'점포코드 '!A:B,2,0)</f>
        <v>#N/A</v>
      </c>
      <c r="G240" s="46">
        <f>'Raw data'!F160</f>
        <v>0</v>
      </c>
      <c r="H240" s="4">
        <f>'Raw data'!G160</f>
        <v>0</v>
      </c>
      <c r="I240" s="29" t="e">
        <f>VLOOKUP(G240,제품명!$C$1:$E$114,2,0)</f>
        <v>#N/A</v>
      </c>
      <c r="J240" s="29">
        <f>'Raw data'!K160</f>
        <v>0</v>
      </c>
      <c r="K240" s="31">
        <f>'Raw data'!H160</f>
        <v>0</v>
      </c>
      <c r="L240" s="26">
        <f t="shared" si="8"/>
        <v>0</v>
      </c>
    </row>
    <row r="241" spans="2:12">
      <c r="B241" s="4" t="e">
        <f t="shared" si="7"/>
        <v>#N/A</v>
      </c>
      <c r="C241" s="4">
        <f>'Raw data'!E161</f>
        <v>0</v>
      </c>
      <c r="D241" s="29" t="e">
        <f>VLOOKUP(C241,'점포코드 '!A:B,2,0)</f>
        <v>#N/A</v>
      </c>
      <c r="E241" s="30">
        <f>'Raw data'!P161</f>
        <v>0</v>
      </c>
      <c r="F241" s="29" t="e">
        <f>VLOOKUP(E241,'점포코드 '!A:B,2,0)</f>
        <v>#N/A</v>
      </c>
      <c r="G241" s="46">
        <f>'Raw data'!F161</f>
        <v>0</v>
      </c>
      <c r="H241" s="4">
        <f>'Raw data'!G161</f>
        <v>0</v>
      </c>
      <c r="I241" s="29" t="e">
        <f>VLOOKUP(G241,제품명!$C$1:$E$114,2,0)</f>
        <v>#N/A</v>
      </c>
      <c r="J241" s="29">
        <f>'Raw data'!K161</f>
        <v>0</v>
      </c>
      <c r="K241" s="31">
        <f>'Raw data'!H161</f>
        <v>0</v>
      </c>
      <c r="L241" s="26">
        <f t="shared" si="8"/>
        <v>0</v>
      </c>
    </row>
    <row r="242" spans="2:12">
      <c r="B242" s="4" t="e">
        <f t="shared" si="7"/>
        <v>#N/A</v>
      </c>
      <c r="C242" s="4">
        <f>'Raw data'!E162</f>
        <v>0</v>
      </c>
      <c r="D242" s="29" t="e">
        <f>VLOOKUP(C242,'점포코드 '!A:B,2,0)</f>
        <v>#N/A</v>
      </c>
      <c r="E242" s="30">
        <f>'Raw data'!P162</f>
        <v>0</v>
      </c>
      <c r="F242" s="29" t="e">
        <f>VLOOKUP(E242,'점포코드 '!A:B,2,0)</f>
        <v>#N/A</v>
      </c>
      <c r="G242" s="46">
        <f>'Raw data'!F162</f>
        <v>0</v>
      </c>
      <c r="H242" s="4">
        <f>'Raw data'!G162</f>
        <v>0</v>
      </c>
      <c r="I242" s="29" t="e">
        <f>VLOOKUP(G242,제품명!$C$1:$E$114,2,0)</f>
        <v>#N/A</v>
      </c>
      <c r="J242" s="29">
        <f>'Raw data'!K162</f>
        <v>0</v>
      </c>
      <c r="K242" s="31">
        <f>'Raw data'!H162</f>
        <v>0</v>
      </c>
      <c r="L242" s="26">
        <f t="shared" si="8"/>
        <v>0</v>
      </c>
    </row>
    <row r="243" spans="2:12">
      <c r="B243" s="4" t="e">
        <f t="shared" si="7"/>
        <v>#N/A</v>
      </c>
      <c r="C243" s="4">
        <f>'Raw data'!E163</f>
        <v>0</v>
      </c>
      <c r="D243" s="29" t="e">
        <f>VLOOKUP(C243,'점포코드 '!A:B,2,0)</f>
        <v>#N/A</v>
      </c>
      <c r="E243" s="30">
        <f>'Raw data'!P163</f>
        <v>0</v>
      </c>
      <c r="F243" s="29" t="e">
        <f>VLOOKUP(E243,'점포코드 '!A:B,2,0)</f>
        <v>#N/A</v>
      </c>
      <c r="G243" s="46">
        <f>'Raw data'!F163</f>
        <v>0</v>
      </c>
      <c r="H243" s="4">
        <f>'Raw data'!G163</f>
        <v>0</v>
      </c>
      <c r="I243" s="29" t="e">
        <f>VLOOKUP(G243,제품명!$C$1:$E$114,2,0)</f>
        <v>#N/A</v>
      </c>
      <c r="J243" s="29">
        <f>'Raw data'!K163</f>
        <v>0</v>
      </c>
      <c r="K243" s="31">
        <f>'Raw data'!H163</f>
        <v>0</v>
      </c>
      <c r="L243" s="26">
        <f t="shared" si="8"/>
        <v>0</v>
      </c>
    </row>
    <row r="244" spans="2:12">
      <c r="B244" s="4" t="e">
        <f t="shared" si="7"/>
        <v>#N/A</v>
      </c>
      <c r="C244" s="4">
        <f>'Raw data'!E164</f>
        <v>0</v>
      </c>
      <c r="D244" s="29" t="e">
        <f>VLOOKUP(C244,'점포코드 '!A:B,2,0)</f>
        <v>#N/A</v>
      </c>
      <c r="E244" s="30">
        <f>'Raw data'!P164</f>
        <v>0</v>
      </c>
      <c r="F244" s="29" t="e">
        <f>VLOOKUP(E244,'점포코드 '!A:B,2,0)</f>
        <v>#N/A</v>
      </c>
      <c r="G244" s="46">
        <f>'Raw data'!F164</f>
        <v>0</v>
      </c>
      <c r="H244" s="4">
        <f>'Raw data'!G164</f>
        <v>0</v>
      </c>
      <c r="I244" s="29" t="e">
        <f>VLOOKUP(G244,제품명!$C$1:$E$114,2,0)</f>
        <v>#N/A</v>
      </c>
      <c r="J244" s="29">
        <f>'Raw data'!K164</f>
        <v>0</v>
      </c>
      <c r="K244" s="31">
        <f>'Raw data'!H164</f>
        <v>0</v>
      </c>
      <c r="L244" s="26">
        <f t="shared" si="8"/>
        <v>0</v>
      </c>
    </row>
    <row r="245" spans="2:12">
      <c r="B245" s="4" t="e">
        <f t="shared" si="7"/>
        <v>#N/A</v>
      </c>
      <c r="C245" s="4">
        <f>'Raw data'!E165</f>
        <v>0</v>
      </c>
      <c r="D245" s="29" t="e">
        <f>VLOOKUP(C245,'점포코드 '!A:B,2,0)</f>
        <v>#N/A</v>
      </c>
      <c r="E245" s="30">
        <f>'Raw data'!P165</f>
        <v>0</v>
      </c>
      <c r="F245" s="29" t="e">
        <f>VLOOKUP(E245,'점포코드 '!A:B,2,0)</f>
        <v>#N/A</v>
      </c>
      <c r="G245" s="46">
        <f>'Raw data'!F165</f>
        <v>0</v>
      </c>
      <c r="H245" s="4">
        <f>'Raw data'!G165</f>
        <v>0</v>
      </c>
      <c r="I245" s="29" t="e">
        <f>VLOOKUP(G245,제품명!$C$1:$E$114,2,0)</f>
        <v>#N/A</v>
      </c>
      <c r="J245" s="29">
        <f>'Raw data'!K165</f>
        <v>0</v>
      </c>
      <c r="K245" s="31">
        <f>'Raw data'!H165</f>
        <v>0</v>
      </c>
      <c r="L245" s="26">
        <f t="shared" si="8"/>
        <v>0</v>
      </c>
    </row>
    <row r="246" spans="2:12">
      <c r="B246" s="4" t="e">
        <f t="shared" si="7"/>
        <v>#N/A</v>
      </c>
      <c r="C246" s="4">
        <f>'Raw data'!E166</f>
        <v>0</v>
      </c>
      <c r="D246" s="29" t="e">
        <f>VLOOKUP(C246,'점포코드 '!A:B,2,0)</f>
        <v>#N/A</v>
      </c>
      <c r="E246" s="30">
        <f>'Raw data'!P166</f>
        <v>0</v>
      </c>
      <c r="F246" s="29" t="e">
        <f>VLOOKUP(E246,'점포코드 '!A:B,2,0)</f>
        <v>#N/A</v>
      </c>
      <c r="G246" s="46">
        <f>'Raw data'!F166</f>
        <v>0</v>
      </c>
      <c r="H246" s="4">
        <f>'Raw data'!G166</f>
        <v>0</v>
      </c>
      <c r="I246" s="29" t="e">
        <f>VLOOKUP(G246,제품명!$C$1:$E$114,2,0)</f>
        <v>#N/A</v>
      </c>
      <c r="J246" s="29">
        <f>'Raw data'!K166</f>
        <v>0</v>
      </c>
      <c r="K246" s="31">
        <f>'Raw data'!H166</f>
        <v>0</v>
      </c>
      <c r="L246" s="26">
        <f t="shared" si="8"/>
        <v>0</v>
      </c>
    </row>
    <row r="247" spans="2:12">
      <c r="B247" s="4" t="e">
        <f t="shared" si="7"/>
        <v>#N/A</v>
      </c>
      <c r="C247" s="4">
        <f>'Raw data'!E167</f>
        <v>0</v>
      </c>
      <c r="D247" s="29" t="e">
        <f>VLOOKUP(C247,'점포코드 '!A:B,2,0)</f>
        <v>#N/A</v>
      </c>
      <c r="E247" s="30">
        <f>'Raw data'!P167</f>
        <v>0</v>
      </c>
      <c r="F247" s="29" t="e">
        <f>VLOOKUP(E247,'점포코드 '!A:B,2,0)</f>
        <v>#N/A</v>
      </c>
      <c r="G247" s="46">
        <f>'Raw data'!F167</f>
        <v>0</v>
      </c>
      <c r="H247" s="4">
        <f>'Raw data'!G167</f>
        <v>0</v>
      </c>
      <c r="I247" s="29" t="e">
        <f>VLOOKUP(G247,제품명!$C$1:$E$114,2,0)</f>
        <v>#N/A</v>
      </c>
      <c r="J247" s="29">
        <f>'Raw data'!K167</f>
        <v>0</v>
      </c>
      <c r="K247" s="31">
        <f>'Raw data'!H167</f>
        <v>0</v>
      </c>
      <c r="L247" s="26">
        <f t="shared" si="8"/>
        <v>0</v>
      </c>
    </row>
    <row r="248" spans="2:12">
      <c r="B248" s="4" t="e">
        <f t="shared" si="7"/>
        <v>#N/A</v>
      </c>
      <c r="C248" s="4">
        <f>'Raw data'!E168</f>
        <v>0</v>
      </c>
      <c r="D248" s="29" t="e">
        <f>VLOOKUP(C248,'점포코드 '!A:B,2,0)</f>
        <v>#N/A</v>
      </c>
      <c r="E248" s="30">
        <f>'Raw data'!P168</f>
        <v>0</v>
      </c>
      <c r="F248" s="29" t="e">
        <f>VLOOKUP(E248,'점포코드 '!A:B,2,0)</f>
        <v>#N/A</v>
      </c>
      <c r="G248" s="46">
        <f>'Raw data'!F168</f>
        <v>0</v>
      </c>
      <c r="H248" s="4">
        <f>'Raw data'!G168</f>
        <v>0</v>
      </c>
      <c r="I248" s="29" t="e">
        <f>VLOOKUP(G248,제품명!$C$1:$E$114,2,0)</f>
        <v>#N/A</v>
      </c>
      <c r="J248" s="29">
        <f>'Raw data'!K168</f>
        <v>0</v>
      </c>
      <c r="K248" s="31">
        <f>'Raw data'!H168</f>
        <v>0</v>
      </c>
      <c r="L248" s="26">
        <f t="shared" si="8"/>
        <v>0</v>
      </c>
    </row>
    <row r="249" spans="2:12">
      <c r="B249" s="4" t="e">
        <f t="shared" si="7"/>
        <v>#N/A</v>
      </c>
      <c r="C249" s="4">
        <f>'Raw data'!E169</f>
        <v>0</v>
      </c>
      <c r="D249" s="29" t="e">
        <f>VLOOKUP(C249,'점포코드 '!A:B,2,0)</f>
        <v>#N/A</v>
      </c>
      <c r="E249" s="30">
        <f>'Raw data'!P169</f>
        <v>0</v>
      </c>
      <c r="F249" s="29" t="e">
        <f>VLOOKUP(E249,'점포코드 '!A:B,2,0)</f>
        <v>#N/A</v>
      </c>
      <c r="G249" s="46">
        <f>'Raw data'!F169</f>
        <v>0</v>
      </c>
      <c r="H249" s="4">
        <f>'Raw data'!G169</f>
        <v>0</v>
      </c>
      <c r="I249" s="29" t="e">
        <f>VLOOKUP(G249,제품명!$C$1:$E$114,2,0)</f>
        <v>#N/A</v>
      </c>
      <c r="J249" s="29">
        <f>'Raw data'!K169</f>
        <v>0</v>
      </c>
      <c r="K249" s="31">
        <f>'Raw data'!H169</f>
        <v>0</v>
      </c>
      <c r="L249" s="26">
        <f t="shared" si="8"/>
        <v>0</v>
      </c>
    </row>
    <row r="250" spans="2:12">
      <c r="B250" s="4" t="e">
        <f t="shared" si="7"/>
        <v>#N/A</v>
      </c>
      <c r="C250" s="4">
        <f>'Raw data'!E170</f>
        <v>0</v>
      </c>
      <c r="D250" s="29" t="e">
        <f>VLOOKUP(C250,'점포코드 '!A:B,2,0)</f>
        <v>#N/A</v>
      </c>
      <c r="E250" s="30">
        <f>'Raw data'!P170</f>
        <v>0</v>
      </c>
      <c r="F250" s="29" t="e">
        <f>VLOOKUP(E250,'점포코드 '!A:B,2,0)</f>
        <v>#N/A</v>
      </c>
      <c r="G250" s="46">
        <f>'Raw data'!F170</f>
        <v>0</v>
      </c>
      <c r="H250" s="4">
        <f>'Raw data'!G170</f>
        <v>0</v>
      </c>
      <c r="I250" s="29" t="e">
        <f>VLOOKUP(G250,제품명!$C$1:$E$114,2,0)</f>
        <v>#N/A</v>
      </c>
      <c r="J250" s="29">
        <f>'Raw data'!K170</f>
        <v>0</v>
      </c>
      <c r="K250" s="31">
        <f>'Raw data'!H170</f>
        <v>0</v>
      </c>
      <c r="L250" s="26">
        <f t="shared" si="8"/>
        <v>0</v>
      </c>
    </row>
    <row r="251" spans="2:12">
      <c r="B251" s="4" t="e">
        <f t="shared" si="7"/>
        <v>#N/A</v>
      </c>
      <c r="C251" s="4">
        <f>'Raw data'!E171</f>
        <v>0</v>
      </c>
      <c r="D251" s="29" t="e">
        <f>VLOOKUP(C251,'점포코드 '!A:B,2,0)</f>
        <v>#N/A</v>
      </c>
      <c r="E251" s="30">
        <f>'Raw data'!P171</f>
        <v>0</v>
      </c>
      <c r="F251" s="29" t="e">
        <f>VLOOKUP(E251,'점포코드 '!A:B,2,0)</f>
        <v>#N/A</v>
      </c>
      <c r="G251" s="46">
        <f>'Raw data'!F171</f>
        <v>0</v>
      </c>
      <c r="H251" s="4">
        <f>'Raw data'!G171</f>
        <v>0</v>
      </c>
      <c r="I251" s="29" t="e">
        <f>VLOOKUP(G251,제품명!$C$1:$E$114,2,0)</f>
        <v>#N/A</v>
      </c>
      <c r="J251" s="29">
        <f>'Raw data'!K171</f>
        <v>0</v>
      </c>
      <c r="K251" s="31">
        <f>'Raw data'!H171</f>
        <v>0</v>
      </c>
      <c r="L251" s="26">
        <f t="shared" si="8"/>
        <v>0</v>
      </c>
    </row>
    <row r="252" spans="2:12">
      <c r="B252" s="4" t="e">
        <f t="shared" si="7"/>
        <v>#N/A</v>
      </c>
      <c r="C252" s="4">
        <f>'Raw data'!E172</f>
        <v>0</v>
      </c>
      <c r="D252" s="29" t="e">
        <f>VLOOKUP(C252,'점포코드 '!A:B,2,0)</f>
        <v>#N/A</v>
      </c>
      <c r="E252" s="30">
        <f>'Raw data'!P172</f>
        <v>0</v>
      </c>
      <c r="F252" s="29" t="e">
        <f>VLOOKUP(E252,'점포코드 '!A:B,2,0)</f>
        <v>#N/A</v>
      </c>
      <c r="G252" s="46">
        <f>'Raw data'!F172</f>
        <v>0</v>
      </c>
      <c r="H252" s="4">
        <f>'Raw data'!G172</f>
        <v>0</v>
      </c>
      <c r="I252" s="29" t="e">
        <f>VLOOKUP(G252,제품명!$C$1:$E$114,2,0)</f>
        <v>#N/A</v>
      </c>
      <c r="J252" s="29">
        <f>'Raw data'!K172</f>
        <v>0</v>
      </c>
      <c r="K252" s="31">
        <f>'Raw data'!H172</f>
        <v>0</v>
      </c>
      <c r="L252" s="26">
        <f t="shared" si="8"/>
        <v>0</v>
      </c>
    </row>
    <row r="253" spans="2:12">
      <c r="B253" s="4" t="e">
        <f t="shared" si="7"/>
        <v>#N/A</v>
      </c>
      <c r="C253" s="4">
        <f>'Raw data'!E173</f>
        <v>0</v>
      </c>
      <c r="D253" s="29" t="e">
        <f>VLOOKUP(C253,'점포코드 '!A:B,2,0)</f>
        <v>#N/A</v>
      </c>
      <c r="E253" s="30">
        <f>'Raw data'!P173</f>
        <v>0</v>
      </c>
      <c r="F253" s="29" t="e">
        <f>VLOOKUP(E253,'점포코드 '!A:B,2,0)</f>
        <v>#N/A</v>
      </c>
      <c r="G253" s="46">
        <f>'Raw data'!F173</f>
        <v>0</v>
      </c>
      <c r="H253" s="4">
        <f>'Raw data'!G173</f>
        <v>0</v>
      </c>
      <c r="I253" s="29" t="e">
        <f>VLOOKUP(G253,제품명!$C$1:$E$114,2,0)</f>
        <v>#N/A</v>
      </c>
      <c r="J253" s="29">
        <f>'Raw data'!K173</f>
        <v>0</v>
      </c>
      <c r="K253" s="31">
        <f>'Raw data'!H173</f>
        <v>0</v>
      </c>
      <c r="L253" s="26">
        <f t="shared" si="8"/>
        <v>0</v>
      </c>
    </row>
    <row r="254" spans="2:12">
      <c r="B254" s="4" t="e">
        <f t="shared" si="7"/>
        <v>#N/A</v>
      </c>
      <c r="C254" s="4">
        <f>'Raw data'!E174</f>
        <v>0</v>
      </c>
      <c r="D254" s="29" t="e">
        <f>VLOOKUP(C254,'점포코드 '!A:B,2,0)</f>
        <v>#N/A</v>
      </c>
      <c r="E254" s="30">
        <f>'Raw data'!P174</f>
        <v>0</v>
      </c>
      <c r="F254" s="29" t="e">
        <f>VLOOKUP(E254,'점포코드 '!A:B,2,0)</f>
        <v>#N/A</v>
      </c>
      <c r="G254" s="46">
        <f>'Raw data'!F174</f>
        <v>0</v>
      </c>
      <c r="H254" s="4">
        <f>'Raw data'!G174</f>
        <v>0</v>
      </c>
      <c r="I254" s="29" t="e">
        <f>VLOOKUP(G254,제품명!$C$1:$E$114,2,0)</f>
        <v>#N/A</v>
      </c>
      <c r="J254" s="29">
        <f>'Raw data'!K174</f>
        <v>0</v>
      </c>
      <c r="K254" s="31">
        <f>'Raw data'!H174</f>
        <v>0</v>
      </c>
      <c r="L254" s="26">
        <f t="shared" si="8"/>
        <v>0</v>
      </c>
    </row>
    <row r="255" spans="2:12">
      <c r="B255" s="4" t="e">
        <f t="shared" si="7"/>
        <v>#N/A</v>
      </c>
      <c r="C255" s="4">
        <f>'Raw data'!E175</f>
        <v>0</v>
      </c>
      <c r="D255" s="29" t="e">
        <f>VLOOKUP(C255,'점포코드 '!A:B,2,0)</f>
        <v>#N/A</v>
      </c>
      <c r="E255" s="30">
        <f>'Raw data'!P175</f>
        <v>0</v>
      </c>
      <c r="F255" s="29" t="e">
        <f>VLOOKUP(E255,'점포코드 '!A:B,2,0)</f>
        <v>#N/A</v>
      </c>
      <c r="G255" s="46">
        <f>'Raw data'!F175</f>
        <v>0</v>
      </c>
      <c r="H255" s="4">
        <f>'Raw data'!G175</f>
        <v>0</v>
      </c>
      <c r="I255" s="29" t="e">
        <f>VLOOKUP(G255,제품명!$C$1:$E$114,2,0)</f>
        <v>#N/A</v>
      </c>
      <c r="J255" s="29">
        <f>'Raw data'!K175</f>
        <v>0</v>
      </c>
      <c r="K255" s="31">
        <f>'Raw data'!H175</f>
        <v>0</v>
      </c>
      <c r="L255" s="26">
        <f t="shared" si="8"/>
        <v>0</v>
      </c>
    </row>
    <row r="256" spans="2:12">
      <c r="B256" s="4" t="e">
        <f t="shared" si="7"/>
        <v>#N/A</v>
      </c>
      <c r="C256" s="4">
        <f>'Raw data'!E176</f>
        <v>0</v>
      </c>
      <c r="D256" s="29" t="e">
        <f>VLOOKUP(C256,'점포코드 '!A:B,2,0)</f>
        <v>#N/A</v>
      </c>
      <c r="E256" s="30">
        <f>'Raw data'!P176</f>
        <v>0</v>
      </c>
      <c r="F256" s="29" t="e">
        <f>VLOOKUP(E256,'점포코드 '!A:B,2,0)</f>
        <v>#N/A</v>
      </c>
      <c r="G256" s="46">
        <f>'Raw data'!F176</f>
        <v>0</v>
      </c>
      <c r="H256" s="4">
        <f>'Raw data'!G176</f>
        <v>0</v>
      </c>
      <c r="I256" s="29" t="e">
        <f>VLOOKUP(G256,제품명!$C$1:$E$114,2,0)</f>
        <v>#N/A</v>
      </c>
      <c r="J256" s="29">
        <f>'Raw data'!K176</f>
        <v>0</v>
      </c>
      <c r="K256" s="31">
        <f>'Raw data'!H176</f>
        <v>0</v>
      </c>
      <c r="L256" s="26">
        <f t="shared" si="8"/>
        <v>0</v>
      </c>
    </row>
    <row r="257" spans="2:12">
      <c r="B257" s="4" t="e">
        <f t="shared" si="7"/>
        <v>#N/A</v>
      </c>
      <c r="C257" s="4">
        <f>'Raw data'!E177</f>
        <v>0</v>
      </c>
      <c r="D257" s="29" t="e">
        <f>VLOOKUP(C257,'점포코드 '!A:B,2,0)</f>
        <v>#N/A</v>
      </c>
      <c r="E257" s="30">
        <f>'Raw data'!P177</f>
        <v>0</v>
      </c>
      <c r="F257" s="29" t="e">
        <f>VLOOKUP(E257,'점포코드 '!A:B,2,0)</f>
        <v>#N/A</v>
      </c>
      <c r="G257" s="46">
        <f>'Raw data'!F177</f>
        <v>0</v>
      </c>
      <c r="H257" s="4">
        <f>'Raw data'!G177</f>
        <v>0</v>
      </c>
      <c r="I257" s="29" t="e">
        <f>VLOOKUP(G257,제품명!$C$1:$E$114,2,0)</f>
        <v>#N/A</v>
      </c>
      <c r="J257" s="29">
        <f>'Raw data'!K177</f>
        <v>0</v>
      </c>
      <c r="K257" s="31">
        <f>'Raw data'!H177</f>
        <v>0</v>
      </c>
      <c r="L257" s="26">
        <f t="shared" si="8"/>
        <v>0</v>
      </c>
    </row>
    <row r="258" spans="2:12">
      <c r="B258" s="4" t="e">
        <f t="shared" ref="B258:B321" si="9">F258&amp;I258</f>
        <v>#N/A</v>
      </c>
      <c r="C258" s="4">
        <f>'Raw data'!E178</f>
        <v>0</v>
      </c>
      <c r="D258" s="29" t="e">
        <f>VLOOKUP(C258,'점포코드 '!A:B,2,0)</f>
        <v>#N/A</v>
      </c>
      <c r="E258" s="30">
        <f>'Raw data'!P178</f>
        <v>0</v>
      </c>
      <c r="F258" s="29" t="e">
        <f>VLOOKUP(E258,'점포코드 '!A:B,2,0)</f>
        <v>#N/A</v>
      </c>
      <c r="G258" s="46">
        <f>'Raw data'!F178</f>
        <v>0</v>
      </c>
      <c r="H258" s="4">
        <f>'Raw data'!G178</f>
        <v>0</v>
      </c>
      <c r="I258" s="29" t="e">
        <f>VLOOKUP(G258,제품명!$C$1:$E$114,2,0)</f>
        <v>#N/A</v>
      </c>
      <c r="J258" s="29">
        <f>'Raw data'!K178</f>
        <v>0</v>
      </c>
      <c r="K258" s="31">
        <f>'Raw data'!H178</f>
        <v>0</v>
      </c>
      <c r="L258" s="26">
        <f t="shared" si="8"/>
        <v>0</v>
      </c>
    </row>
    <row r="259" spans="2:12">
      <c r="B259" s="4" t="e">
        <f t="shared" si="9"/>
        <v>#N/A</v>
      </c>
      <c r="C259" s="4">
        <f>'Raw data'!E179</f>
        <v>0</v>
      </c>
      <c r="D259" s="29" t="e">
        <f>VLOOKUP(C259,'점포코드 '!A:B,2,0)</f>
        <v>#N/A</v>
      </c>
      <c r="E259" s="30">
        <f>'Raw data'!P179</f>
        <v>0</v>
      </c>
      <c r="F259" s="29" t="e">
        <f>VLOOKUP(E259,'점포코드 '!A:B,2,0)</f>
        <v>#N/A</v>
      </c>
      <c r="G259" s="46">
        <f>'Raw data'!F179</f>
        <v>0</v>
      </c>
      <c r="H259" s="4">
        <f>'Raw data'!G179</f>
        <v>0</v>
      </c>
      <c r="I259" s="29" t="e">
        <f>VLOOKUP(G259,제품명!$C$1:$E$114,2,0)</f>
        <v>#N/A</v>
      </c>
      <c r="J259" s="29">
        <f>'Raw data'!K179</f>
        <v>0</v>
      </c>
      <c r="K259" s="31">
        <f>'Raw data'!H179</f>
        <v>0</v>
      </c>
      <c r="L259" s="26">
        <f t="shared" ref="L259:L322" si="10">J259*K259</f>
        <v>0</v>
      </c>
    </row>
    <row r="260" spans="2:12">
      <c r="B260" s="4" t="e">
        <f t="shared" si="9"/>
        <v>#N/A</v>
      </c>
      <c r="C260" s="4">
        <f>'Raw data'!E180</f>
        <v>0</v>
      </c>
      <c r="D260" s="29" t="e">
        <f>VLOOKUP(C260,'점포코드 '!A:B,2,0)</f>
        <v>#N/A</v>
      </c>
      <c r="E260" s="30">
        <f>'Raw data'!P180</f>
        <v>0</v>
      </c>
      <c r="F260" s="29" t="e">
        <f>VLOOKUP(E260,'점포코드 '!A:B,2,0)</f>
        <v>#N/A</v>
      </c>
      <c r="G260" s="46">
        <f>'Raw data'!F180</f>
        <v>0</v>
      </c>
      <c r="H260" s="4">
        <f>'Raw data'!G180</f>
        <v>0</v>
      </c>
      <c r="I260" s="29" t="e">
        <f>VLOOKUP(G260,제품명!$C$1:$E$114,2,0)</f>
        <v>#N/A</v>
      </c>
      <c r="J260" s="29">
        <f>'Raw data'!K180</f>
        <v>0</v>
      </c>
      <c r="K260" s="31">
        <f>'Raw data'!H180</f>
        <v>0</v>
      </c>
      <c r="L260" s="26">
        <f t="shared" si="10"/>
        <v>0</v>
      </c>
    </row>
    <row r="261" spans="2:12">
      <c r="B261" s="4" t="e">
        <f t="shared" si="9"/>
        <v>#N/A</v>
      </c>
      <c r="C261" s="4">
        <f>'Raw data'!E181</f>
        <v>0</v>
      </c>
      <c r="D261" s="29" t="e">
        <f>VLOOKUP(C261,'점포코드 '!A:B,2,0)</f>
        <v>#N/A</v>
      </c>
      <c r="E261" s="30">
        <f>'Raw data'!P181</f>
        <v>0</v>
      </c>
      <c r="F261" s="29" t="e">
        <f>VLOOKUP(E261,'점포코드 '!A:B,2,0)</f>
        <v>#N/A</v>
      </c>
      <c r="G261" s="46">
        <f>'Raw data'!F181</f>
        <v>0</v>
      </c>
      <c r="H261" s="4">
        <f>'Raw data'!G181</f>
        <v>0</v>
      </c>
      <c r="I261" s="29" t="e">
        <f>VLOOKUP(G261,제품명!$C$1:$E$114,2,0)</f>
        <v>#N/A</v>
      </c>
      <c r="J261" s="29">
        <f>'Raw data'!K181</f>
        <v>0</v>
      </c>
      <c r="K261" s="31">
        <f>'Raw data'!H181</f>
        <v>0</v>
      </c>
      <c r="L261" s="26">
        <f t="shared" si="10"/>
        <v>0</v>
      </c>
    </row>
    <row r="262" spans="2:12">
      <c r="B262" s="4" t="e">
        <f t="shared" si="9"/>
        <v>#N/A</v>
      </c>
      <c r="C262" s="4">
        <f>'Raw data'!E182</f>
        <v>0</v>
      </c>
      <c r="D262" s="29" t="e">
        <f>VLOOKUP(C262,'점포코드 '!A:B,2,0)</f>
        <v>#N/A</v>
      </c>
      <c r="E262" s="30">
        <f>'Raw data'!P182</f>
        <v>0</v>
      </c>
      <c r="F262" s="29" t="e">
        <f>VLOOKUP(E262,'점포코드 '!A:B,2,0)</f>
        <v>#N/A</v>
      </c>
      <c r="G262" s="46">
        <f>'Raw data'!F182</f>
        <v>0</v>
      </c>
      <c r="H262" s="4">
        <f>'Raw data'!G182</f>
        <v>0</v>
      </c>
      <c r="I262" s="29" t="e">
        <f>VLOOKUP(G262,제품명!$C$1:$E$114,2,0)</f>
        <v>#N/A</v>
      </c>
      <c r="J262" s="29">
        <f>'Raw data'!K182</f>
        <v>0</v>
      </c>
      <c r="K262" s="31">
        <f>'Raw data'!H182</f>
        <v>0</v>
      </c>
      <c r="L262" s="26">
        <f t="shared" si="10"/>
        <v>0</v>
      </c>
    </row>
    <row r="263" spans="2:12">
      <c r="B263" s="4" t="e">
        <f t="shared" si="9"/>
        <v>#N/A</v>
      </c>
      <c r="C263" s="4">
        <f>'Raw data'!E183</f>
        <v>0</v>
      </c>
      <c r="D263" s="29" t="e">
        <f>VLOOKUP(C263,'점포코드 '!A:B,2,0)</f>
        <v>#N/A</v>
      </c>
      <c r="E263" s="30">
        <f>'Raw data'!P183</f>
        <v>0</v>
      </c>
      <c r="F263" s="29" t="e">
        <f>VLOOKUP(E263,'점포코드 '!A:B,2,0)</f>
        <v>#N/A</v>
      </c>
      <c r="G263" s="46">
        <f>'Raw data'!F183</f>
        <v>0</v>
      </c>
      <c r="H263" s="4">
        <f>'Raw data'!G183</f>
        <v>0</v>
      </c>
      <c r="I263" s="29" t="e">
        <f>VLOOKUP(G263,제품명!$C$1:$E$114,2,0)</f>
        <v>#N/A</v>
      </c>
      <c r="J263" s="29">
        <f>'Raw data'!K183</f>
        <v>0</v>
      </c>
      <c r="K263" s="31">
        <f>'Raw data'!H183</f>
        <v>0</v>
      </c>
      <c r="L263" s="26">
        <f t="shared" si="10"/>
        <v>0</v>
      </c>
    </row>
    <row r="264" spans="2:12">
      <c r="B264" s="4" t="e">
        <f t="shared" si="9"/>
        <v>#N/A</v>
      </c>
      <c r="C264" s="4">
        <f>'Raw data'!E184</f>
        <v>0</v>
      </c>
      <c r="D264" s="29" t="e">
        <f>VLOOKUP(C264,'점포코드 '!A:B,2,0)</f>
        <v>#N/A</v>
      </c>
      <c r="E264" s="30">
        <f>'Raw data'!P184</f>
        <v>0</v>
      </c>
      <c r="F264" s="29" t="e">
        <f>VLOOKUP(E264,'점포코드 '!A:B,2,0)</f>
        <v>#N/A</v>
      </c>
      <c r="G264" s="46">
        <f>'Raw data'!F184</f>
        <v>0</v>
      </c>
      <c r="H264" s="4">
        <f>'Raw data'!G184</f>
        <v>0</v>
      </c>
      <c r="I264" s="29" t="e">
        <f>VLOOKUP(G264,제품명!$C$1:$E$114,2,0)</f>
        <v>#N/A</v>
      </c>
      <c r="J264" s="29">
        <f>'Raw data'!K184</f>
        <v>0</v>
      </c>
      <c r="K264" s="31">
        <f>'Raw data'!H184</f>
        <v>0</v>
      </c>
      <c r="L264" s="26">
        <f t="shared" si="10"/>
        <v>0</v>
      </c>
    </row>
    <row r="265" spans="2:12">
      <c r="B265" s="4" t="e">
        <f t="shared" si="9"/>
        <v>#N/A</v>
      </c>
      <c r="C265" s="4">
        <f>'Raw data'!E185</f>
        <v>0</v>
      </c>
      <c r="D265" s="29" t="e">
        <f>VLOOKUP(C265,'점포코드 '!A:B,2,0)</f>
        <v>#N/A</v>
      </c>
      <c r="E265" s="30">
        <f>'Raw data'!P185</f>
        <v>0</v>
      </c>
      <c r="F265" s="29" t="e">
        <f>VLOOKUP(E265,'점포코드 '!A:B,2,0)</f>
        <v>#N/A</v>
      </c>
      <c r="G265" s="46">
        <f>'Raw data'!F185</f>
        <v>0</v>
      </c>
      <c r="H265" s="4">
        <f>'Raw data'!G185</f>
        <v>0</v>
      </c>
      <c r="I265" s="29" t="e">
        <f>VLOOKUP(G265,제품명!$C$1:$E$114,2,0)</f>
        <v>#N/A</v>
      </c>
      <c r="J265" s="29">
        <f>'Raw data'!K185</f>
        <v>0</v>
      </c>
      <c r="K265" s="31">
        <f>'Raw data'!H185</f>
        <v>0</v>
      </c>
      <c r="L265" s="26">
        <f t="shared" si="10"/>
        <v>0</v>
      </c>
    </row>
    <row r="266" spans="2:12">
      <c r="B266" s="4" t="e">
        <f t="shared" si="9"/>
        <v>#N/A</v>
      </c>
      <c r="C266" s="4">
        <f>'Raw data'!E186</f>
        <v>0</v>
      </c>
      <c r="D266" s="29" t="e">
        <f>VLOOKUP(C266,'점포코드 '!A:B,2,0)</f>
        <v>#N/A</v>
      </c>
      <c r="E266" s="30">
        <f>'Raw data'!P186</f>
        <v>0</v>
      </c>
      <c r="F266" s="29" t="e">
        <f>VLOOKUP(E266,'점포코드 '!A:B,2,0)</f>
        <v>#N/A</v>
      </c>
      <c r="G266" s="46">
        <f>'Raw data'!F186</f>
        <v>0</v>
      </c>
      <c r="H266" s="4">
        <f>'Raw data'!G186</f>
        <v>0</v>
      </c>
      <c r="I266" s="29" t="e">
        <f>VLOOKUP(G266,제품명!$C$1:$E$114,2,0)</f>
        <v>#N/A</v>
      </c>
      <c r="J266" s="29">
        <f>'Raw data'!K186</f>
        <v>0</v>
      </c>
      <c r="K266" s="31">
        <f>'Raw data'!H186</f>
        <v>0</v>
      </c>
      <c r="L266" s="26">
        <f t="shared" si="10"/>
        <v>0</v>
      </c>
    </row>
    <row r="267" spans="2:12">
      <c r="B267" s="4" t="e">
        <f t="shared" si="9"/>
        <v>#N/A</v>
      </c>
      <c r="C267" s="4">
        <f>'Raw data'!E187</f>
        <v>0</v>
      </c>
      <c r="D267" s="29" t="e">
        <f>VLOOKUP(C267,'점포코드 '!A:B,2,0)</f>
        <v>#N/A</v>
      </c>
      <c r="E267" s="30">
        <f>'Raw data'!P187</f>
        <v>0</v>
      </c>
      <c r="F267" s="29" t="e">
        <f>VLOOKUP(E267,'점포코드 '!A:B,2,0)</f>
        <v>#N/A</v>
      </c>
      <c r="G267" s="46">
        <f>'Raw data'!F187</f>
        <v>0</v>
      </c>
      <c r="H267" s="4">
        <f>'Raw data'!G187</f>
        <v>0</v>
      </c>
      <c r="I267" s="29" t="e">
        <f>VLOOKUP(G267,제품명!$C$1:$E$114,2,0)</f>
        <v>#N/A</v>
      </c>
      <c r="J267" s="29">
        <f>'Raw data'!K187</f>
        <v>0</v>
      </c>
      <c r="K267" s="31">
        <f>'Raw data'!H187</f>
        <v>0</v>
      </c>
      <c r="L267" s="26">
        <f t="shared" si="10"/>
        <v>0</v>
      </c>
    </row>
    <row r="268" spans="2:12">
      <c r="B268" s="4" t="e">
        <f t="shared" si="9"/>
        <v>#REF!</v>
      </c>
      <c r="C268" s="4" t="e">
        <f>'Raw data'!#REF!</f>
        <v>#REF!</v>
      </c>
      <c r="D268" s="29" t="e">
        <f>VLOOKUP(C268,'점포코드 '!A:B,2,0)</f>
        <v>#REF!</v>
      </c>
      <c r="E268" s="30" t="e">
        <f>'Raw data'!#REF!</f>
        <v>#REF!</v>
      </c>
      <c r="F268" s="29" t="e">
        <f>VLOOKUP(E268,'점포코드 '!A:B,2,0)</f>
        <v>#REF!</v>
      </c>
      <c r="G268" s="46" t="e">
        <f>'Raw data'!#REF!</f>
        <v>#REF!</v>
      </c>
      <c r="H268" s="4" t="e">
        <f>'Raw data'!#REF!</f>
        <v>#REF!</v>
      </c>
      <c r="I268" s="29" t="e">
        <f>VLOOKUP(G268,제품명!$C$1:$E$114,2,0)</f>
        <v>#REF!</v>
      </c>
      <c r="J268" s="29" t="e">
        <f>'Raw data'!#REF!</f>
        <v>#REF!</v>
      </c>
      <c r="K268" s="31" t="e">
        <f>'Raw data'!#REF!</f>
        <v>#REF!</v>
      </c>
      <c r="L268" s="26" t="e">
        <f t="shared" si="10"/>
        <v>#REF!</v>
      </c>
    </row>
    <row r="269" spans="2:12">
      <c r="B269" s="4" t="e">
        <f t="shared" si="9"/>
        <v>#N/A</v>
      </c>
      <c r="C269" s="4">
        <f>'Raw data'!E188</f>
        <v>0</v>
      </c>
      <c r="D269" s="29" t="e">
        <f>VLOOKUP(C269,'점포코드 '!A:B,2,0)</f>
        <v>#N/A</v>
      </c>
      <c r="E269" s="30">
        <f>'Raw data'!P188</f>
        <v>0</v>
      </c>
      <c r="F269" s="29" t="e">
        <f>VLOOKUP(E269,'점포코드 '!A:B,2,0)</f>
        <v>#N/A</v>
      </c>
      <c r="G269" s="46">
        <f>'Raw data'!F188</f>
        <v>0</v>
      </c>
      <c r="H269" s="4">
        <f>'Raw data'!G188</f>
        <v>0</v>
      </c>
      <c r="I269" s="29" t="e">
        <f>VLOOKUP(G269,제품명!$C$1:$E$114,2,0)</f>
        <v>#N/A</v>
      </c>
      <c r="J269" s="29">
        <f>'Raw data'!K188</f>
        <v>0</v>
      </c>
      <c r="K269" s="31">
        <f>'Raw data'!H188</f>
        <v>0</v>
      </c>
      <c r="L269" s="26">
        <f t="shared" si="10"/>
        <v>0</v>
      </c>
    </row>
    <row r="270" spans="2:12">
      <c r="B270" s="4" t="e">
        <f t="shared" si="9"/>
        <v>#N/A</v>
      </c>
      <c r="C270" s="4">
        <f>'Raw data'!E189</f>
        <v>0</v>
      </c>
      <c r="D270" s="29" t="e">
        <f>VLOOKUP(C270,'점포코드 '!A:B,2,0)</f>
        <v>#N/A</v>
      </c>
      <c r="E270" s="30">
        <f>'Raw data'!P189</f>
        <v>0</v>
      </c>
      <c r="F270" s="29" t="e">
        <f>VLOOKUP(E270,'점포코드 '!A:B,2,0)</f>
        <v>#N/A</v>
      </c>
      <c r="G270" s="46">
        <f>'Raw data'!F189</f>
        <v>0</v>
      </c>
      <c r="H270" s="4">
        <f>'Raw data'!G189</f>
        <v>0</v>
      </c>
      <c r="I270" s="29" t="e">
        <f>VLOOKUP(G270,제품명!$C$1:$E$114,2,0)</f>
        <v>#N/A</v>
      </c>
      <c r="J270" s="29">
        <f>'Raw data'!K189</f>
        <v>0</v>
      </c>
      <c r="K270" s="31">
        <f>'Raw data'!H189</f>
        <v>0</v>
      </c>
      <c r="L270" s="26">
        <f t="shared" si="10"/>
        <v>0</v>
      </c>
    </row>
    <row r="271" spans="2:12">
      <c r="B271" s="4" t="e">
        <f t="shared" si="9"/>
        <v>#N/A</v>
      </c>
      <c r="C271" s="4">
        <f>'Raw data'!E190</f>
        <v>0</v>
      </c>
      <c r="D271" s="29" t="e">
        <f>VLOOKUP(C271,'점포코드 '!A:B,2,0)</f>
        <v>#N/A</v>
      </c>
      <c r="E271" s="30">
        <f>'Raw data'!P190</f>
        <v>0</v>
      </c>
      <c r="F271" s="29" t="e">
        <f>VLOOKUP(E271,'점포코드 '!A:B,2,0)</f>
        <v>#N/A</v>
      </c>
      <c r="G271" s="46">
        <f>'Raw data'!F190</f>
        <v>0</v>
      </c>
      <c r="H271" s="4">
        <f>'Raw data'!G190</f>
        <v>0</v>
      </c>
      <c r="I271" s="29" t="e">
        <f>VLOOKUP(G271,제품명!$C$1:$E$114,2,0)</f>
        <v>#N/A</v>
      </c>
      <c r="J271" s="29">
        <f>'Raw data'!K190</f>
        <v>0</v>
      </c>
      <c r="K271" s="31">
        <f>'Raw data'!H190</f>
        <v>0</v>
      </c>
      <c r="L271" s="26">
        <f t="shared" si="10"/>
        <v>0</v>
      </c>
    </row>
    <row r="272" spans="2:12">
      <c r="B272" s="4" t="e">
        <f t="shared" si="9"/>
        <v>#N/A</v>
      </c>
      <c r="C272" s="4">
        <f>'Raw data'!E191</f>
        <v>0</v>
      </c>
      <c r="D272" s="29" t="e">
        <f>VLOOKUP(C272,'점포코드 '!A:B,2,0)</f>
        <v>#N/A</v>
      </c>
      <c r="E272" s="30">
        <f>'Raw data'!P191</f>
        <v>0</v>
      </c>
      <c r="F272" s="29" t="e">
        <f>VLOOKUP(E272,'점포코드 '!A:B,2,0)</f>
        <v>#N/A</v>
      </c>
      <c r="G272" s="46">
        <f>'Raw data'!F191</f>
        <v>0</v>
      </c>
      <c r="H272" s="4">
        <f>'Raw data'!G191</f>
        <v>0</v>
      </c>
      <c r="I272" s="29" t="e">
        <f>VLOOKUP(G272,제품명!$C$1:$E$114,2,0)</f>
        <v>#N/A</v>
      </c>
      <c r="J272" s="29">
        <f>'Raw data'!K191</f>
        <v>0</v>
      </c>
      <c r="K272" s="31">
        <f>'Raw data'!H191</f>
        <v>0</v>
      </c>
      <c r="L272" s="26">
        <f t="shared" si="10"/>
        <v>0</v>
      </c>
    </row>
    <row r="273" spans="2:12">
      <c r="B273" s="4" t="e">
        <f t="shared" si="9"/>
        <v>#N/A</v>
      </c>
      <c r="C273" s="4">
        <f>'Raw data'!E192</f>
        <v>0</v>
      </c>
      <c r="D273" s="29" t="e">
        <f>VLOOKUP(C273,'점포코드 '!A:B,2,0)</f>
        <v>#N/A</v>
      </c>
      <c r="E273" s="30">
        <f>'Raw data'!P192</f>
        <v>0</v>
      </c>
      <c r="F273" s="29" t="e">
        <f>VLOOKUP(E273,'점포코드 '!A:B,2,0)</f>
        <v>#N/A</v>
      </c>
      <c r="G273" s="46">
        <f>'Raw data'!F192</f>
        <v>0</v>
      </c>
      <c r="H273" s="4">
        <f>'Raw data'!G192</f>
        <v>0</v>
      </c>
      <c r="I273" s="29" t="e">
        <f>VLOOKUP(G273,제품명!$C$1:$E$114,2,0)</f>
        <v>#N/A</v>
      </c>
      <c r="J273" s="29">
        <f>'Raw data'!K192</f>
        <v>0</v>
      </c>
      <c r="K273" s="31">
        <f>'Raw data'!H192</f>
        <v>0</v>
      </c>
      <c r="L273" s="26">
        <f t="shared" si="10"/>
        <v>0</v>
      </c>
    </row>
    <row r="274" spans="2:12">
      <c r="B274" s="4" t="e">
        <f t="shared" si="9"/>
        <v>#N/A</v>
      </c>
      <c r="C274" s="4">
        <f>'Raw data'!E193</f>
        <v>0</v>
      </c>
      <c r="D274" s="29" t="e">
        <f>VLOOKUP(C274,'점포코드 '!A:B,2,0)</f>
        <v>#N/A</v>
      </c>
      <c r="E274" s="30">
        <f>'Raw data'!P193</f>
        <v>0</v>
      </c>
      <c r="F274" s="29" t="e">
        <f>VLOOKUP(E274,'점포코드 '!A:B,2,0)</f>
        <v>#N/A</v>
      </c>
      <c r="G274" s="46">
        <f>'Raw data'!F193</f>
        <v>0</v>
      </c>
      <c r="H274" s="4">
        <f>'Raw data'!G193</f>
        <v>0</v>
      </c>
      <c r="I274" s="29" t="e">
        <f>VLOOKUP(G274,제품명!$C$1:$E$114,2,0)</f>
        <v>#N/A</v>
      </c>
      <c r="J274" s="29">
        <f>'Raw data'!K193</f>
        <v>0</v>
      </c>
      <c r="K274" s="31">
        <f>'Raw data'!H193</f>
        <v>0</v>
      </c>
      <c r="L274" s="26">
        <f t="shared" si="10"/>
        <v>0</v>
      </c>
    </row>
    <row r="275" spans="2:12">
      <c r="B275" s="4" t="e">
        <f t="shared" si="9"/>
        <v>#N/A</v>
      </c>
      <c r="C275" s="4">
        <f>'Raw data'!E194</f>
        <v>0</v>
      </c>
      <c r="D275" s="29" t="e">
        <f>VLOOKUP(C275,'점포코드 '!A:B,2,0)</f>
        <v>#N/A</v>
      </c>
      <c r="E275" s="30">
        <f>'Raw data'!P194</f>
        <v>0</v>
      </c>
      <c r="F275" s="29" t="e">
        <f>VLOOKUP(E275,'점포코드 '!A:B,2,0)</f>
        <v>#N/A</v>
      </c>
      <c r="G275" s="46">
        <f>'Raw data'!F194</f>
        <v>0</v>
      </c>
      <c r="H275" s="4">
        <f>'Raw data'!G194</f>
        <v>0</v>
      </c>
      <c r="I275" s="29" t="e">
        <f>VLOOKUP(G275,제품명!$C$1:$E$114,2,0)</f>
        <v>#N/A</v>
      </c>
      <c r="J275" s="29">
        <f>'Raw data'!K194</f>
        <v>0</v>
      </c>
      <c r="K275" s="31">
        <f>'Raw data'!H194</f>
        <v>0</v>
      </c>
      <c r="L275" s="26">
        <f t="shared" si="10"/>
        <v>0</v>
      </c>
    </row>
    <row r="276" spans="2:12">
      <c r="B276" s="4" t="e">
        <f t="shared" si="9"/>
        <v>#N/A</v>
      </c>
      <c r="C276" s="4">
        <f>'Raw data'!E195</f>
        <v>0</v>
      </c>
      <c r="D276" s="29" t="e">
        <f>VLOOKUP(C276,'점포코드 '!A:B,2,0)</f>
        <v>#N/A</v>
      </c>
      <c r="E276" s="30">
        <f>'Raw data'!P195</f>
        <v>0</v>
      </c>
      <c r="F276" s="29" t="e">
        <f>VLOOKUP(E276,'점포코드 '!A:B,2,0)</f>
        <v>#N/A</v>
      </c>
      <c r="G276" s="46">
        <f>'Raw data'!F195</f>
        <v>0</v>
      </c>
      <c r="H276" s="4">
        <f>'Raw data'!G195</f>
        <v>0</v>
      </c>
      <c r="I276" s="29" t="e">
        <f>VLOOKUP(G276,제품명!$C$1:$E$114,2,0)</f>
        <v>#N/A</v>
      </c>
      <c r="J276" s="29">
        <f>'Raw data'!K195</f>
        <v>0</v>
      </c>
      <c r="K276" s="31">
        <f>'Raw data'!H195</f>
        <v>0</v>
      </c>
      <c r="L276" s="26">
        <f t="shared" si="10"/>
        <v>0</v>
      </c>
    </row>
    <row r="277" spans="2:12">
      <c r="B277" s="4" t="e">
        <f t="shared" si="9"/>
        <v>#N/A</v>
      </c>
      <c r="C277" s="4">
        <f>'Raw data'!E196</f>
        <v>0</v>
      </c>
      <c r="D277" s="29" t="e">
        <f>VLOOKUP(C277,'점포코드 '!A:B,2,0)</f>
        <v>#N/A</v>
      </c>
      <c r="E277" s="30">
        <f>'Raw data'!P196</f>
        <v>0</v>
      </c>
      <c r="F277" s="29" t="e">
        <f>VLOOKUP(E277,'점포코드 '!A:B,2,0)</f>
        <v>#N/A</v>
      </c>
      <c r="G277" s="46">
        <f>'Raw data'!F196</f>
        <v>0</v>
      </c>
      <c r="H277" s="4">
        <f>'Raw data'!G196</f>
        <v>0</v>
      </c>
      <c r="I277" s="29" t="e">
        <f>VLOOKUP(G277,제품명!$C$1:$E$114,2,0)</f>
        <v>#N/A</v>
      </c>
      <c r="J277" s="29">
        <f>'Raw data'!K196</f>
        <v>0</v>
      </c>
      <c r="K277" s="31">
        <f>'Raw data'!H196</f>
        <v>0</v>
      </c>
      <c r="L277" s="26">
        <f t="shared" si="10"/>
        <v>0</v>
      </c>
    </row>
    <row r="278" spans="2:12">
      <c r="B278" s="4" t="e">
        <f t="shared" si="9"/>
        <v>#N/A</v>
      </c>
      <c r="C278" s="4">
        <f>'Raw data'!E197</f>
        <v>0</v>
      </c>
      <c r="D278" s="29" t="e">
        <f>VLOOKUP(C278,'점포코드 '!A:B,2,0)</f>
        <v>#N/A</v>
      </c>
      <c r="E278" s="30">
        <f>'Raw data'!P197</f>
        <v>0</v>
      </c>
      <c r="F278" s="29" t="e">
        <f>VLOOKUP(E278,'점포코드 '!A:B,2,0)</f>
        <v>#N/A</v>
      </c>
      <c r="G278" s="46">
        <f>'Raw data'!F197</f>
        <v>0</v>
      </c>
      <c r="H278" s="4">
        <f>'Raw data'!G197</f>
        <v>0</v>
      </c>
      <c r="I278" s="29" t="e">
        <f>VLOOKUP(G278,제품명!$C$1:$E$114,2,0)</f>
        <v>#N/A</v>
      </c>
      <c r="J278" s="29">
        <f>'Raw data'!K197</f>
        <v>0</v>
      </c>
      <c r="K278" s="31">
        <f>'Raw data'!H197</f>
        <v>0</v>
      </c>
      <c r="L278" s="26">
        <f t="shared" si="10"/>
        <v>0</v>
      </c>
    </row>
    <row r="279" spans="2:12">
      <c r="B279" s="4" t="e">
        <f t="shared" si="9"/>
        <v>#N/A</v>
      </c>
      <c r="C279" s="4">
        <f>'Raw data'!E198</f>
        <v>0</v>
      </c>
      <c r="D279" s="29" t="e">
        <f>VLOOKUP(C279,'점포코드 '!A:B,2,0)</f>
        <v>#N/A</v>
      </c>
      <c r="E279" s="30">
        <f>'Raw data'!P198</f>
        <v>0</v>
      </c>
      <c r="F279" s="29" t="e">
        <f>VLOOKUP(E279,'점포코드 '!A:B,2,0)</f>
        <v>#N/A</v>
      </c>
      <c r="G279" s="46">
        <f>'Raw data'!F198</f>
        <v>0</v>
      </c>
      <c r="H279" s="4">
        <f>'Raw data'!G198</f>
        <v>0</v>
      </c>
      <c r="I279" s="29" t="e">
        <f>VLOOKUP(G279,제품명!$C$1:$E$114,2,0)</f>
        <v>#N/A</v>
      </c>
      <c r="J279" s="29">
        <f>'Raw data'!K198</f>
        <v>0</v>
      </c>
      <c r="K279" s="31">
        <f>'Raw data'!H198</f>
        <v>0</v>
      </c>
      <c r="L279" s="26">
        <f t="shared" si="10"/>
        <v>0</v>
      </c>
    </row>
    <row r="280" spans="2:12">
      <c r="B280" s="4" t="e">
        <f t="shared" si="9"/>
        <v>#N/A</v>
      </c>
      <c r="C280" s="4">
        <f>'Raw data'!E199</f>
        <v>0</v>
      </c>
      <c r="D280" s="29" t="e">
        <f>VLOOKUP(C280,'점포코드 '!A:B,2,0)</f>
        <v>#N/A</v>
      </c>
      <c r="E280" s="30">
        <f>'Raw data'!P199</f>
        <v>0</v>
      </c>
      <c r="F280" s="29" t="e">
        <f>VLOOKUP(E280,'점포코드 '!A:B,2,0)</f>
        <v>#N/A</v>
      </c>
      <c r="G280" s="46">
        <f>'Raw data'!F199</f>
        <v>0</v>
      </c>
      <c r="H280" s="4">
        <f>'Raw data'!G199</f>
        <v>0</v>
      </c>
      <c r="I280" s="29" t="e">
        <f>VLOOKUP(G280,제품명!$C$1:$E$114,2,0)</f>
        <v>#N/A</v>
      </c>
      <c r="J280" s="29">
        <f>'Raw data'!K199</f>
        <v>0</v>
      </c>
      <c r="K280" s="31">
        <f>'Raw data'!H199</f>
        <v>0</v>
      </c>
      <c r="L280" s="26">
        <f t="shared" si="10"/>
        <v>0</v>
      </c>
    </row>
    <row r="281" spans="2:12">
      <c r="B281" s="4" t="e">
        <f t="shared" si="9"/>
        <v>#N/A</v>
      </c>
      <c r="C281" s="4">
        <f>'Raw data'!E200</f>
        <v>0</v>
      </c>
      <c r="D281" s="29" t="e">
        <f>VLOOKUP(C281,'점포코드 '!A:B,2,0)</f>
        <v>#N/A</v>
      </c>
      <c r="E281" s="30">
        <f>'Raw data'!P200</f>
        <v>0</v>
      </c>
      <c r="F281" s="29" t="e">
        <f>VLOOKUP(E281,'점포코드 '!A:B,2,0)</f>
        <v>#N/A</v>
      </c>
      <c r="G281" s="46">
        <f>'Raw data'!F200</f>
        <v>0</v>
      </c>
      <c r="H281" s="4">
        <f>'Raw data'!G200</f>
        <v>0</v>
      </c>
      <c r="I281" s="29" t="e">
        <f>VLOOKUP(G281,제품명!$C$1:$E$114,2,0)</f>
        <v>#N/A</v>
      </c>
      <c r="J281" s="29">
        <f>'Raw data'!K200</f>
        <v>0</v>
      </c>
      <c r="K281" s="31">
        <f>'Raw data'!H200</f>
        <v>0</v>
      </c>
      <c r="L281" s="26">
        <f t="shared" si="10"/>
        <v>0</v>
      </c>
    </row>
    <row r="282" spans="2:12">
      <c r="B282" s="4" t="e">
        <f t="shared" si="9"/>
        <v>#N/A</v>
      </c>
      <c r="C282" s="4">
        <f>'Raw data'!E201</f>
        <v>0</v>
      </c>
      <c r="D282" s="29" t="e">
        <f>VLOOKUP(C282,'점포코드 '!A:B,2,0)</f>
        <v>#N/A</v>
      </c>
      <c r="E282" s="30">
        <f>'Raw data'!P201</f>
        <v>0</v>
      </c>
      <c r="F282" s="29" t="e">
        <f>VLOOKUP(E282,'점포코드 '!A:B,2,0)</f>
        <v>#N/A</v>
      </c>
      <c r="G282" s="46">
        <f>'Raw data'!F201</f>
        <v>0</v>
      </c>
      <c r="H282" s="4">
        <f>'Raw data'!G201</f>
        <v>0</v>
      </c>
      <c r="I282" s="29" t="e">
        <f>VLOOKUP(G282,제품명!$C$1:$E$114,2,0)</f>
        <v>#N/A</v>
      </c>
      <c r="J282" s="29">
        <f>'Raw data'!K201</f>
        <v>0</v>
      </c>
      <c r="K282" s="31">
        <f>'Raw data'!H201</f>
        <v>0</v>
      </c>
      <c r="L282" s="26">
        <f t="shared" si="10"/>
        <v>0</v>
      </c>
    </row>
    <row r="283" spans="2:12">
      <c r="B283" s="4" t="e">
        <f t="shared" si="9"/>
        <v>#N/A</v>
      </c>
      <c r="C283" s="4">
        <f>'Raw data'!E202</f>
        <v>0</v>
      </c>
      <c r="D283" s="29" t="e">
        <f>VLOOKUP(C283,'점포코드 '!A:B,2,0)</f>
        <v>#N/A</v>
      </c>
      <c r="E283" s="30">
        <f>'Raw data'!P202</f>
        <v>0</v>
      </c>
      <c r="F283" s="29" t="e">
        <f>VLOOKUP(E283,'점포코드 '!A:B,2,0)</f>
        <v>#N/A</v>
      </c>
      <c r="G283" s="46">
        <f>'Raw data'!F202</f>
        <v>0</v>
      </c>
      <c r="H283" s="4">
        <f>'Raw data'!G202</f>
        <v>0</v>
      </c>
      <c r="I283" s="29" t="e">
        <f>VLOOKUP(G283,제품명!$C$1:$E$114,2,0)</f>
        <v>#N/A</v>
      </c>
      <c r="J283" s="29">
        <f>'Raw data'!K202</f>
        <v>0</v>
      </c>
      <c r="K283" s="31">
        <f>'Raw data'!H202</f>
        <v>0</v>
      </c>
      <c r="L283" s="26">
        <f t="shared" si="10"/>
        <v>0</v>
      </c>
    </row>
    <row r="284" spans="2:12">
      <c r="B284" s="4" t="e">
        <f t="shared" si="9"/>
        <v>#N/A</v>
      </c>
      <c r="C284" s="4">
        <f>'Raw data'!E203</f>
        <v>0</v>
      </c>
      <c r="D284" s="29" t="e">
        <f>VLOOKUP(C284,'점포코드 '!A:B,2,0)</f>
        <v>#N/A</v>
      </c>
      <c r="E284" s="30">
        <f>'Raw data'!P203</f>
        <v>0</v>
      </c>
      <c r="F284" s="29" t="e">
        <f>VLOOKUP(E284,'점포코드 '!A:B,2,0)</f>
        <v>#N/A</v>
      </c>
      <c r="G284" s="46">
        <f>'Raw data'!F203</f>
        <v>0</v>
      </c>
      <c r="H284" s="4">
        <f>'Raw data'!G203</f>
        <v>0</v>
      </c>
      <c r="I284" s="29" t="e">
        <f>VLOOKUP(G284,제품명!$C$1:$E$114,2,0)</f>
        <v>#N/A</v>
      </c>
      <c r="J284" s="29">
        <f>'Raw data'!K203</f>
        <v>0</v>
      </c>
      <c r="K284" s="31">
        <f>'Raw data'!H203</f>
        <v>0</v>
      </c>
      <c r="L284" s="26">
        <f t="shared" si="10"/>
        <v>0</v>
      </c>
    </row>
    <row r="285" spans="2:12">
      <c r="B285" s="4" t="e">
        <f t="shared" si="9"/>
        <v>#N/A</v>
      </c>
      <c r="C285" s="4">
        <f>'Raw data'!E204</f>
        <v>0</v>
      </c>
      <c r="D285" s="29" t="e">
        <f>VLOOKUP(C285,'점포코드 '!A:B,2,0)</f>
        <v>#N/A</v>
      </c>
      <c r="E285" s="30">
        <f>'Raw data'!P204</f>
        <v>0</v>
      </c>
      <c r="F285" s="29" t="e">
        <f>VLOOKUP(E285,'점포코드 '!A:B,2,0)</f>
        <v>#N/A</v>
      </c>
      <c r="G285" s="46">
        <f>'Raw data'!F204</f>
        <v>0</v>
      </c>
      <c r="H285" s="4">
        <f>'Raw data'!G204</f>
        <v>0</v>
      </c>
      <c r="I285" s="29" t="e">
        <f>VLOOKUP(G285,제품명!$C$1:$E$114,2,0)</f>
        <v>#N/A</v>
      </c>
      <c r="J285" s="29">
        <f>'Raw data'!K204</f>
        <v>0</v>
      </c>
      <c r="K285" s="31">
        <f>'Raw data'!H204</f>
        <v>0</v>
      </c>
      <c r="L285" s="26">
        <f t="shared" si="10"/>
        <v>0</v>
      </c>
    </row>
    <row r="286" spans="2:12">
      <c r="B286" s="4" t="e">
        <f t="shared" si="9"/>
        <v>#N/A</v>
      </c>
      <c r="C286" s="4">
        <f>'Raw data'!E205</f>
        <v>0</v>
      </c>
      <c r="D286" s="29" t="e">
        <f>VLOOKUP(C286,'점포코드 '!A:B,2,0)</f>
        <v>#N/A</v>
      </c>
      <c r="E286" s="30">
        <f>'Raw data'!P205</f>
        <v>0</v>
      </c>
      <c r="F286" s="29" t="e">
        <f>VLOOKUP(E286,'점포코드 '!A:B,2,0)</f>
        <v>#N/A</v>
      </c>
      <c r="G286" s="46">
        <f>'Raw data'!F205</f>
        <v>0</v>
      </c>
      <c r="H286" s="4">
        <f>'Raw data'!G205</f>
        <v>0</v>
      </c>
      <c r="I286" s="29" t="e">
        <f>VLOOKUP(G286,제품명!$C$1:$E$114,2,0)</f>
        <v>#N/A</v>
      </c>
      <c r="J286" s="29">
        <f>'Raw data'!K205</f>
        <v>0</v>
      </c>
      <c r="K286" s="31">
        <f>'Raw data'!H205</f>
        <v>0</v>
      </c>
      <c r="L286" s="26">
        <f t="shared" si="10"/>
        <v>0</v>
      </c>
    </row>
    <row r="287" spans="2:12">
      <c r="B287" s="4" t="e">
        <f t="shared" si="9"/>
        <v>#N/A</v>
      </c>
      <c r="C287" s="4">
        <f>'Raw data'!E206</f>
        <v>0</v>
      </c>
      <c r="D287" s="29" t="e">
        <f>VLOOKUP(C287,'점포코드 '!A:B,2,0)</f>
        <v>#N/A</v>
      </c>
      <c r="E287" s="30">
        <f>'Raw data'!P206</f>
        <v>0</v>
      </c>
      <c r="F287" s="29" t="e">
        <f>VLOOKUP(E287,'점포코드 '!A:B,2,0)</f>
        <v>#N/A</v>
      </c>
      <c r="G287" s="46">
        <f>'Raw data'!F206</f>
        <v>0</v>
      </c>
      <c r="H287" s="4">
        <f>'Raw data'!G206</f>
        <v>0</v>
      </c>
      <c r="I287" s="29" t="e">
        <f>VLOOKUP(G287,제품명!$C$1:$E$114,2,0)</f>
        <v>#N/A</v>
      </c>
      <c r="J287" s="29">
        <f>'Raw data'!K206</f>
        <v>0</v>
      </c>
      <c r="K287" s="31">
        <f>'Raw data'!H206</f>
        <v>0</v>
      </c>
      <c r="L287" s="26">
        <f t="shared" si="10"/>
        <v>0</v>
      </c>
    </row>
    <row r="288" spans="2:12">
      <c r="B288" s="4" t="e">
        <f t="shared" si="9"/>
        <v>#N/A</v>
      </c>
      <c r="C288" s="4">
        <f>'Raw data'!E207</f>
        <v>0</v>
      </c>
      <c r="D288" s="29" t="e">
        <f>VLOOKUP(C288,'점포코드 '!A:B,2,0)</f>
        <v>#N/A</v>
      </c>
      <c r="E288" s="30">
        <f>'Raw data'!P207</f>
        <v>0</v>
      </c>
      <c r="F288" s="29" t="e">
        <f>VLOOKUP(E288,'점포코드 '!A:B,2,0)</f>
        <v>#N/A</v>
      </c>
      <c r="G288" s="46">
        <f>'Raw data'!F207</f>
        <v>0</v>
      </c>
      <c r="H288" s="4">
        <f>'Raw data'!G207</f>
        <v>0</v>
      </c>
      <c r="I288" s="29" t="e">
        <f>VLOOKUP(G288,제품명!$C$1:$E$114,2,0)</f>
        <v>#N/A</v>
      </c>
      <c r="J288" s="29">
        <f>'Raw data'!K207</f>
        <v>0</v>
      </c>
      <c r="K288" s="31">
        <f>'Raw data'!H207</f>
        <v>0</v>
      </c>
      <c r="L288" s="26">
        <f t="shared" si="10"/>
        <v>0</v>
      </c>
    </row>
    <row r="289" spans="2:12">
      <c r="B289" s="4" t="e">
        <f t="shared" si="9"/>
        <v>#N/A</v>
      </c>
      <c r="C289" s="4">
        <f>'Raw data'!E208</f>
        <v>0</v>
      </c>
      <c r="D289" s="29" t="e">
        <f>VLOOKUP(C289,'점포코드 '!A:B,2,0)</f>
        <v>#N/A</v>
      </c>
      <c r="E289" s="30">
        <f>'Raw data'!P208</f>
        <v>0</v>
      </c>
      <c r="F289" s="29" t="e">
        <f>VLOOKUP(E289,'점포코드 '!A:B,2,0)</f>
        <v>#N/A</v>
      </c>
      <c r="G289" s="46">
        <f>'Raw data'!F208</f>
        <v>0</v>
      </c>
      <c r="H289" s="4">
        <f>'Raw data'!G208</f>
        <v>0</v>
      </c>
      <c r="I289" s="29" t="e">
        <f>VLOOKUP(G289,제품명!$C$1:$E$114,2,0)</f>
        <v>#N/A</v>
      </c>
      <c r="J289" s="29">
        <f>'Raw data'!K208</f>
        <v>0</v>
      </c>
      <c r="K289" s="31">
        <f>'Raw data'!H208</f>
        <v>0</v>
      </c>
      <c r="L289" s="26">
        <f t="shared" si="10"/>
        <v>0</v>
      </c>
    </row>
    <row r="290" spans="2:12">
      <c r="B290" s="4" t="e">
        <f t="shared" si="9"/>
        <v>#N/A</v>
      </c>
      <c r="C290" s="4">
        <f>'Raw data'!E209</f>
        <v>0</v>
      </c>
      <c r="D290" s="29" t="e">
        <f>VLOOKUP(C290,'점포코드 '!A:B,2,0)</f>
        <v>#N/A</v>
      </c>
      <c r="E290" s="30">
        <f>'Raw data'!P209</f>
        <v>0</v>
      </c>
      <c r="F290" s="29" t="e">
        <f>VLOOKUP(E290,'점포코드 '!A:B,2,0)</f>
        <v>#N/A</v>
      </c>
      <c r="G290" s="46">
        <f>'Raw data'!F209</f>
        <v>0</v>
      </c>
      <c r="H290" s="4">
        <f>'Raw data'!G209</f>
        <v>0</v>
      </c>
      <c r="I290" s="29" t="e">
        <f>VLOOKUP(G290,제품명!$C$1:$E$114,2,0)</f>
        <v>#N/A</v>
      </c>
      <c r="J290" s="29">
        <f>'Raw data'!K209</f>
        <v>0</v>
      </c>
      <c r="K290" s="31">
        <f>'Raw data'!H209</f>
        <v>0</v>
      </c>
      <c r="L290" s="26">
        <f t="shared" si="10"/>
        <v>0</v>
      </c>
    </row>
    <row r="291" spans="2:12">
      <c r="B291" s="4" t="e">
        <f t="shared" si="9"/>
        <v>#N/A</v>
      </c>
      <c r="C291" s="4">
        <f>'Raw data'!E210</f>
        <v>0</v>
      </c>
      <c r="D291" s="29" t="e">
        <f>VLOOKUP(C291,'점포코드 '!A:B,2,0)</f>
        <v>#N/A</v>
      </c>
      <c r="E291" s="30">
        <f>'Raw data'!P210</f>
        <v>0</v>
      </c>
      <c r="F291" s="29" t="e">
        <f>VLOOKUP(E291,'점포코드 '!A:B,2,0)</f>
        <v>#N/A</v>
      </c>
      <c r="G291" s="46">
        <f>'Raw data'!F210</f>
        <v>0</v>
      </c>
      <c r="H291" s="4">
        <f>'Raw data'!G210</f>
        <v>0</v>
      </c>
      <c r="I291" s="29" t="e">
        <f>VLOOKUP(G291,제품명!$C$1:$E$114,2,0)</f>
        <v>#N/A</v>
      </c>
      <c r="J291" s="29">
        <f>'Raw data'!K210</f>
        <v>0</v>
      </c>
      <c r="K291" s="31">
        <f>'Raw data'!H210</f>
        <v>0</v>
      </c>
      <c r="L291" s="26">
        <f t="shared" si="10"/>
        <v>0</v>
      </c>
    </row>
    <row r="292" spans="2:12">
      <c r="B292" s="4" t="e">
        <f t="shared" si="9"/>
        <v>#N/A</v>
      </c>
      <c r="C292" s="4">
        <f>'Raw data'!E211</f>
        <v>0</v>
      </c>
      <c r="D292" s="29" t="e">
        <f>VLOOKUP(C292,'점포코드 '!A:B,2,0)</f>
        <v>#N/A</v>
      </c>
      <c r="E292" s="30">
        <f>'Raw data'!P211</f>
        <v>0</v>
      </c>
      <c r="F292" s="29" t="e">
        <f>VLOOKUP(E292,'점포코드 '!A:B,2,0)</f>
        <v>#N/A</v>
      </c>
      <c r="G292" s="46">
        <f>'Raw data'!F211</f>
        <v>0</v>
      </c>
      <c r="H292" s="4">
        <f>'Raw data'!G211</f>
        <v>0</v>
      </c>
      <c r="I292" s="29" t="e">
        <f>VLOOKUP(G292,제품명!$C$1:$E$114,2,0)</f>
        <v>#N/A</v>
      </c>
      <c r="J292" s="29">
        <f>'Raw data'!K211</f>
        <v>0</v>
      </c>
      <c r="K292" s="31">
        <f>'Raw data'!H211</f>
        <v>0</v>
      </c>
      <c r="L292" s="26">
        <f t="shared" si="10"/>
        <v>0</v>
      </c>
    </row>
    <row r="293" spans="2:12">
      <c r="B293" s="4" t="e">
        <f t="shared" si="9"/>
        <v>#N/A</v>
      </c>
      <c r="C293" s="4">
        <f>'Raw data'!E212</f>
        <v>0</v>
      </c>
      <c r="D293" s="29" t="e">
        <f>VLOOKUP(C293,'점포코드 '!A:B,2,0)</f>
        <v>#N/A</v>
      </c>
      <c r="E293" s="30">
        <f>'Raw data'!P212</f>
        <v>0</v>
      </c>
      <c r="F293" s="29" t="e">
        <f>VLOOKUP(E293,'점포코드 '!A:B,2,0)</f>
        <v>#N/A</v>
      </c>
      <c r="G293" s="46">
        <f>'Raw data'!F212</f>
        <v>0</v>
      </c>
      <c r="H293" s="4">
        <f>'Raw data'!G212</f>
        <v>0</v>
      </c>
      <c r="I293" s="29" t="e">
        <f>VLOOKUP(G293,제품명!$C$1:$E$114,2,0)</f>
        <v>#N/A</v>
      </c>
      <c r="J293" s="29">
        <f>'Raw data'!K212</f>
        <v>0</v>
      </c>
      <c r="K293" s="31">
        <f>'Raw data'!H212</f>
        <v>0</v>
      </c>
      <c r="L293" s="26">
        <f t="shared" si="10"/>
        <v>0</v>
      </c>
    </row>
    <row r="294" spans="2:12">
      <c r="B294" s="4" t="e">
        <f t="shared" si="9"/>
        <v>#N/A</v>
      </c>
      <c r="C294" s="4">
        <f>'Raw data'!E213</f>
        <v>0</v>
      </c>
      <c r="D294" s="29" t="e">
        <f>VLOOKUP(C294,'점포코드 '!A:B,2,0)</f>
        <v>#N/A</v>
      </c>
      <c r="E294" s="30">
        <f>'Raw data'!P213</f>
        <v>0</v>
      </c>
      <c r="F294" s="29" t="e">
        <f>VLOOKUP(E294,'점포코드 '!A:B,2,0)</f>
        <v>#N/A</v>
      </c>
      <c r="G294" s="46">
        <f>'Raw data'!F213</f>
        <v>0</v>
      </c>
      <c r="H294" s="4">
        <f>'Raw data'!G213</f>
        <v>0</v>
      </c>
      <c r="I294" s="29" t="e">
        <f>VLOOKUP(G294,제품명!$C$1:$E$114,2,0)</f>
        <v>#N/A</v>
      </c>
      <c r="J294" s="29">
        <f>'Raw data'!K213</f>
        <v>0</v>
      </c>
      <c r="K294" s="31">
        <f>'Raw data'!H213</f>
        <v>0</v>
      </c>
      <c r="L294" s="26">
        <f t="shared" si="10"/>
        <v>0</v>
      </c>
    </row>
    <row r="295" spans="2:12">
      <c r="B295" s="4" t="e">
        <f t="shared" si="9"/>
        <v>#N/A</v>
      </c>
      <c r="C295" s="4">
        <f>'Raw data'!E214</f>
        <v>0</v>
      </c>
      <c r="D295" s="29" t="e">
        <f>VLOOKUP(C295,'점포코드 '!A:B,2,0)</f>
        <v>#N/A</v>
      </c>
      <c r="E295" s="30">
        <f>'Raw data'!P214</f>
        <v>0</v>
      </c>
      <c r="F295" s="29" t="e">
        <f>VLOOKUP(E295,'점포코드 '!A:B,2,0)</f>
        <v>#N/A</v>
      </c>
      <c r="G295" s="46">
        <f>'Raw data'!F214</f>
        <v>0</v>
      </c>
      <c r="H295" s="4">
        <f>'Raw data'!G214</f>
        <v>0</v>
      </c>
      <c r="I295" s="29" t="e">
        <f>VLOOKUP(G295,제품명!$C$1:$E$114,2,0)</f>
        <v>#N/A</v>
      </c>
      <c r="J295" s="29">
        <f>'Raw data'!K214</f>
        <v>0</v>
      </c>
      <c r="K295" s="31">
        <f>'Raw data'!H214</f>
        <v>0</v>
      </c>
      <c r="L295" s="26">
        <f t="shared" si="10"/>
        <v>0</v>
      </c>
    </row>
    <row r="296" spans="2:12">
      <c r="B296" s="4" t="e">
        <f t="shared" si="9"/>
        <v>#N/A</v>
      </c>
      <c r="C296" s="4">
        <f>'Raw data'!E215</f>
        <v>0</v>
      </c>
      <c r="D296" s="29" t="e">
        <f>VLOOKUP(C296,'점포코드 '!A:B,2,0)</f>
        <v>#N/A</v>
      </c>
      <c r="E296" s="30">
        <f>'Raw data'!P215</f>
        <v>0</v>
      </c>
      <c r="F296" s="29" t="e">
        <f>VLOOKUP(E296,'점포코드 '!A:B,2,0)</f>
        <v>#N/A</v>
      </c>
      <c r="G296" s="46">
        <f>'Raw data'!F215</f>
        <v>0</v>
      </c>
      <c r="H296" s="4">
        <f>'Raw data'!G215</f>
        <v>0</v>
      </c>
      <c r="I296" s="29" t="e">
        <f>VLOOKUP(G296,제품명!$C$1:$E$114,2,0)</f>
        <v>#N/A</v>
      </c>
      <c r="J296" s="29">
        <f>'Raw data'!K215</f>
        <v>0</v>
      </c>
      <c r="K296" s="31">
        <f>'Raw data'!H215</f>
        <v>0</v>
      </c>
      <c r="L296" s="26">
        <f t="shared" si="10"/>
        <v>0</v>
      </c>
    </row>
    <row r="297" spans="2:12">
      <c r="B297" s="4" t="e">
        <f t="shared" si="9"/>
        <v>#N/A</v>
      </c>
      <c r="C297" s="4">
        <f>'Raw data'!E216</f>
        <v>0</v>
      </c>
      <c r="D297" s="29" t="e">
        <f>VLOOKUP(C297,'점포코드 '!A:B,2,0)</f>
        <v>#N/A</v>
      </c>
      <c r="E297" s="30">
        <f>'Raw data'!P216</f>
        <v>0</v>
      </c>
      <c r="F297" s="29" t="e">
        <f>VLOOKUP(E297,'점포코드 '!A:B,2,0)</f>
        <v>#N/A</v>
      </c>
      <c r="G297" s="46">
        <f>'Raw data'!F216</f>
        <v>0</v>
      </c>
      <c r="H297" s="4">
        <f>'Raw data'!G216</f>
        <v>0</v>
      </c>
      <c r="I297" s="29" t="e">
        <f>VLOOKUP(G297,제품명!$C$1:$E$114,2,0)</f>
        <v>#N/A</v>
      </c>
      <c r="J297" s="29">
        <f>'Raw data'!K216</f>
        <v>0</v>
      </c>
      <c r="K297" s="31">
        <f>'Raw data'!H216</f>
        <v>0</v>
      </c>
      <c r="L297" s="26">
        <f t="shared" si="10"/>
        <v>0</v>
      </c>
    </row>
    <row r="298" spans="2:12">
      <c r="B298" s="4" t="e">
        <f t="shared" si="9"/>
        <v>#N/A</v>
      </c>
      <c r="C298" s="4">
        <f>'Raw data'!E217</f>
        <v>0</v>
      </c>
      <c r="D298" s="29" t="e">
        <f>VLOOKUP(C298,'점포코드 '!A:B,2,0)</f>
        <v>#N/A</v>
      </c>
      <c r="E298" s="30">
        <f>'Raw data'!P217</f>
        <v>0</v>
      </c>
      <c r="F298" s="29" t="e">
        <f>VLOOKUP(E298,'점포코드 '!A:B,2,0)</f>
        <v>#N/A</v>
      </c>
      <c r="G298" s="46">
        <f>'Raw data'!F217</f>
        <v>0</v>
      </c>
      <c r="H298" s="4">
        <f>'Raw data'!G217</f>
        <v>0</v>
      </c>
      <c r="I298" s="29" t="e">
        <f>VLOOKUP(G298,제품명!$C$1:$E$114,2,0)</f>
        <v>#N/A</v>
      </c>
      <c r="J298" s="29">
        <f>'Raw data'!K217</f>
        <v>0</v>
      </c>
      <c r="K298" s="31">
        <f>'Raw data'!H217</f>
        <v>0</v>
      </c>
      <c r="L298" s="26">
        <f t="shared" si="10"/>
        <v>0</v>
      </c>
    </row>
    <row r="299" spans="2:12">
      <c r="B299" s="4" t="e">
        <f t="shared" si="9"/>
        <v>#N/A</v>
      </c>
      <c r="C299" s="4">
        <f>'Raw data'!E218</f>
        <v>0</v>
      </c>
      <c r="D299" s="29" t="e">
        <f>VLOOKUP(C299,'점포코드 '!A:B,2,0)</f>
        <v>#N/A</v>
      </c>
      <c r="E299" s="30">
        <f>'Raw data'!P218</f>
        <v>0</v>
      </c>
      <c r="F299" s="29" t="e">
        <f>VLOOKUP(E299,'점포코드 '!A:B,2,0)</f>
        <v>#N/A</v>
      </c>
      <c r="G299" s="46">
        <f>'Raw data'!F218</f>
        <v>0</v>
      </c>
      <c r="H299" s="4">
        <f>'Raw data'!G218</f>
        <v>0</v>
      </c>
      <c r="I299" s="29" t="e">
        <f>VLOOKUP(G299,제품명!$C$1:$E$114,2,0)</f>
        <v>#N/A</v>
      </c>
      <c r="J299" s="29">
        <f>'Raw data'!K218</f>
        <v>0</v>
      </c>
      <c r="K299" s="31">
        <f>'Raw data'!H218</f>
        <v>0</v>
      </c>
      <c r="L299" s="26">
        <f t="shared" si="10"/>
        <v>0</v>
      </c>
    </row>
    <row r="300" spans="2:12">
      <c r="B300" s="4" t="e">
        <f t="shared" si="9"/>
        <v>#N/A</v>
      </c>
      <c r="C300" s="4">
        <f>'Raw data'!E219</f>
        <v>0</v>
      </c>
      <c r="D300" s="29" t="e">
        <f>VLOOKUP(C300,'점포코드 '!A:B,2,0)</f>
        <v>#N/A</v>
      </c>
      <c r="E300" s="30">
        <f>'Raw data'!P219</f>
        <v>0</v>
      </c>
      <c r="F300" s="29" t="e">
        <f>VLOOKUP(E300,'점포코드 '!A:B,2,0)</f>
        <v>#N/A</v>
      </c>
      <c r="G300" s="46">
        <f>'Raw data'!F219</f>
        <v>0</v>
      </c>
      <c r="H300" s="4">
        <f>'Raw data'!G219</f>
        <v>0</v>
      </c>
      <c r="I300" s="29" t="e">
        <f>VLOOKUP(G300,제품명!$C$1:$E$114,2,0)</f>
        <v>#N/A</v>
      </c>
      <c r="J300" s="29">
        <f>'Raw data'!K219</f>
        <v>0</v>
      </c>
      <c r="K300" s="31">
        <f>'Raw data'!H219</f>
        <v>0</v>
      </c>
      <c r="L300" s="26">
        <f t="shared" si="10"/>
        <v>0</v>
      </c>
    </row>
    <row r="301" spans="2:12">
      <c r="B301" s="4" t="e">
        <f t="shared" si="9"/>
        <v>#N/A</v>
      </c>
      <c r="C301" s="4">
        <f>'Raw data'!E220</f>
        <v>0</v>
      </c>
      <c r="D301" s="29" t="e">
        <f>VLOOKUP(C301,'점포코드 '!A:B,2,0)</f>
        <v>#N/A</v>
      </c>
      <c r="E301" s="30">
        <f>'Raw data'!P220</f>
        <v>0</v>
      </c>
      <c r="F301" s="29" t="e">
        <f>VLOOKUP(E301,'점포코드 '!A:B,2,0)</f>
        <v>#N/A</v>
      </c>
      <c r="G301" s="46">
        <f>'Raw data'!F220</f>
        <v>0</v>
      </c>
      <c r="H301" s="4">
        <f>'Raw data'!G220</f>
        <v>0</v>
      </c>
      <c r="I301" s="29" t="e">
        <f>VLOOKUP(G301,제품명!$C$1:$E$114,2,0)</f>
        <v>#N/A</v>
      </c>
      <c r="J301" s="29">
        <f>'Raw data'!K220</f>
        <v>0</v>
      </c>
      <c r="K301" s="31">
        <f>'Raw data'!H220</f>
        <v>0</v>
      </c>
      <c r="L301" s="26">
        <f t="shared" si="10"/>
        <v>0</v>
      </c>
    </row>
    <row r="302" spans="2:12">
      <c r="B302" s="4" t="e">
        <f t="shared" si="9"/>
        <v>#N/A</v>
      </c>
      <c r="C302" s="4">
        <f>'Raw data'!E221</f>
        <v>0</v>
      </c>
      <c r="D302" s="29" t="e">
        <f>VLOOKUP(C302,'점포코드 '!A:B,2,0)</f>
        <v>#N/A</v>
      </c>
      <c r="E302" s="30">
        <f>'Raw data'!P221</f>
        <v>0</v>
      </c>
      <c r="F302" s="29" t="e">
        <f>VLOOKUP(E302,'점포코드 '!A:B,2,0)</f>
        <v>#N/A</v>
      </c>
      <c r="G302" s="46">
        <f>'Raw data'!F221</f>
        <v>0</v>
      </c>
      <c r="H302" s="4">
        <f>'Raw data'!G221</f>
        <v>0</v>
      </c>
      <c r="I302" s="29" t="e">
        <f>VLOOKUP(G302,제품명!$C$1:$E$114,2,0)</f>
        <v>#N/A</v>
      </c>
      <c r="J302" s="29">
        <f>'Raw data'!K221</f>
        <v>0</v>
      </c>
      <c r="K302" s="31">
        <f>'Raw data'!H221</f>
        <v>0</v>
      </c>
      <c r="L302" s="26">
        <f t="shared" si="10"/>
        <v>0</v>
      </c>
    </row>
    <row r="303" spans="2:12">
      <c r="B303" s="4" t="e">
        <f t="shared" si="9"/>
        <v>#N/A</v>
      </c>
      <c r="C303" s="4">
        <f>'Raw data'!E222</f>
        <v>0</v>
      </c>
      <c r="D303" s="29" t="e">
        <f>VLOOKUP(C303,'점포코드 '!A:B,2,0)</f>
        <v>#N/A</v>
      </c>
      <c r="E303" s="30">
        <f>'Raw data'!P222</f>
        <v>0</v>
      </c>
      <c r="F303" s="29" t="e">
        <f>VLOOKUP(E303,'점포코드 '!A:B,2,0)</f>
        <v>#N/A</v>
      </c>
      <c r="G303" s="46">
        <f>'Raw data'!F222</f>
        <v>0</v>
      </c>
      <c r="H303" s="4">
        <f>'Raw data'!G222</f>
        <v>0</v>
      </c>
      <c r="I303" s="29" t="e">
        <f>VLOOKUP(G303,제품명!$C$1:$E$114,2,0)</f>
        <v>#N/A</v>
      </c>
      <c r="J303" s="29">
        <f>'Raw data'!K222</f>
        <v>0</v>
      </c>
      <c r="K303" s="31">
        <f>'Raw data'!H222</f>
        <v>0</v>
      </c>
      <c r="L303" s="26">
        <f t="shared" si="10"/>
        <v>0</v>
      </c>
    </row>
    <row r="304" spans="2:12">
      <c r="B304" s="4" t="e">
        <f t="shared" si="9"/>
        <v>#N/A</v>
      </c>
      <c r="C304" s="4">
        <f>'Raw data'!E223</f>
        <v>0</v>
      </c>
      <c r="D304" s="29" t="e">
        <f>VLOOKUP(C304,'점포코드 '!A:B,2,0)</f>
        <v>#N/A</v>
      </c>
      <c r="E304" s="30">
        <f>'Raw data'!P223</f>
        <v>0</v>
      </c>
      <c r="F304" s="29" t="e">
        <f>VLOOKUP(E304,'점포코드 '!A:B,2,0)</f>
        <v>#N/A</v>
      </c>
      <c r="G304" s="46">
        <f>'Raw data'!F223</f>
        <v>0</v>
      </c>
      <c r="H304" s="4">
        <f>'Raw data'!G223</f>
        <v>0</v>
      </c>
      <c r="I304" s="29" t="e">
        <f>VLOOKUP(G304,제품명!$C$1:$E$114,2,0)</f>
        <v>#N/A</v>
      </c>
      <c r="J304" s="29">
        <f>'Raw data'!K223</f>
        <v>0</v>
      </c>
      <c r="K304" s="31">
        <f>'Raw data'!H223</f>
        <v>0</v>
      </c>
      <c r="L304" s="26">
        <f t="shared" si="10"/>
        <v>0</v>
      </c>
    </row>
    <row r="305" spans="2:12">
      <c r="B305" s="4" t="e">
        <f t="shared" si="9"/>
        <v>#N/A</v>
      </c>
      <c r="C305" s="4">
        <f>'Raw data'!E224</f>
        <v>0</v>
      </c>
      <c r="D305" s="29" t="e">
        <f>VLOOKUP(C305,'점포코드 '!A:B,2,0)</f>
        <v>#N/A</v>
      </c>
      <c r="E305" s="30">
        <f>'Raw data'!P224</f>
        <v>0</v>
      </c>
      <c r="F305" s="29" t="e">
        <f>VLOOKUP(E305,'점포코드 '!A:B,2,0)</f>
        <v>#N/A</v>
      </c>
      <c r="G305" s="46">
        <f>'Raw data'!F224</f>
        <v>0</v>
      </c>
      <c r="H305" s="4">
        <f>'Raw data'!G224</f>
        <v>0</v>
      </c>
      <c r="I305" s="29" t="e">
        <f>VLOOKUP(G305,제품명!$C$1:$E$114,2,0)</f>
        <v>#N/A</v>
      </c>
      <c r="J305" s="29">
        <f>'Raw data'!K224</f>
        <v>0</v>
      </c>
      <c r="K305" s="31">
        <f>'Raw data'!H224</f>
        <v>0</v>
      </c>
      <c r="L305" s="26">
        <f t="shared" si="10"/>
        <v>0</v>
      </c>
    </row>
    <row r="306" spans="2:12">
      <c r="B306" s="4" t="e">
        <f t="shared" si="9"/>
        <v>#N/A</v>
      </c>
      <c r="C306" s="4">
        <f>'Raw data'!E225</f>
        <v>0</v>
      </c>
      <c r="D306" s="29" t="e">
        <f>VLOOKUP(C306,'점포코드 '!A:B,2,0)</f>
        <v>#N/A</v>
      </c>
      <c r="E306" s="30">
        <f>'Raw data'!P225</f>
        <v>0</v>
      </c>
      <c r="F306" s="29" t="e">
        <f>VLOOKUP(E306,'점포코드 '!A:B,2,0)</f>
        <v>#N/A</v>
      </c>
      <c r="G306" s="46">
        <f>'Raw data'!F225</f>
        <v>0</v>
      </c>
      <c r="H306" s="4">
        <f>'Raw data'!G225</f>
        <v>0</v>
      </c>
      <c r="I306" s="29" t="e">
        <f>VLOOKUP(G306,제품명!$C$1:$E$114,2,0)</f>
        <v>#N/A</v>
      </c>
      <c r="J306" s="29">
        <f>'Raw data'!K225</f>
        <v>0</v>
      </c>
      <c r="K306" s="31">
        <f>'Raw data'!H225</f>
        <v>0</v>
      </c>
      <c r="L306" s="26">
        <f t="shared" si="10"/>
        <v>0</v>
      </c>
    </row>
    <row r="307" spans="2:12">
      <c r="B307" s="4" t="e">
        <f t="shared" si="9"/>
        <v>#N/A</v>
      </c>
      <c r="C307" s="4">
        <f>'Raw data'!E226</f>
        <v>0</v>
      </c>
      <c r="D307" s="29" t="e">
        <f>VLOOKUP(C307,'점포코드 '!A:B,2,0)</f>
        <v>#N/A</v>
      </c>
      <c r="E307" s="30">
        <f>'Raw data'!P226</f>
        <v>0</v>
      </c>
      <c r="F307" s="29" t="e">
        <f>VLOOKUP(E307,'점포코드 '!A:B,2,0)</f>
        <v>#N/A</v>
      </c>
      <c r="G307" s="46">
        <f>'Raw data'!F226</f>
        <v>0</v>
      </c>
      <c r="H307" s="4">
        <f>'Raw data'!G226</f>
        <v>0</v>
      </c>
      <c r="I307" s="29" t="e">
        <f>VLOOKUP(G307,제품명!$C$1:$E$114,2,0)</f>
        <v>#N/A</v>
      </c>
      <c r="J307" s="29">
        <f>'Raw data'!K226</f>
        <v>0</v>
      </c>
      <c r="K307" s="31">
        <f>'Raw data'!H226</f>
        <v>0</v>
      </c>
      <c r="L307" s="26">
        <f t="shared" si="10"/>
        <v>0</v>
      </c>
    </row>
    <row r="308" spans="2:12">
      <c r="B308" s="4" t="e">
        <f t="shared" si="9"/>
        <v>#N/A</v>
      </c>
      <c r="C308" s="4">
        <f>'Raw data'!E227</f>
        <v>0</v>
      </c>
      <c r="D308" s="29" t="e">
        <f>VLOOKUP(C308,'점포코드 '!A:B,2,0)</f>
        <v>#N/A</v>
      </c>
      <c r="E308" s="30">
        <f>'Raw data'!P227</f>
        <v>0</v>
      </c>
      <c r="F308" s="29" t="e">
        <f>VLOOKUP(E308,'점포코드 '!A:B,2,0)</f>
        <v>#N/A</v>
      </c>
      <c r="G308" s="46">
        <f>'Raw data'!F227</f>
        <v>0</v>
      </c>
      <c r="H308" s="4">
        <f>'Raw data'!G227</f>
        <v>0</v>
      </c>
      <c r="I308" s="29" t="e">
        <f>VLOOKUP(G308,제품명!$C$1:$E$114,2,0)</f>
        <v>#N/A</v>
      </c>
      <c r="J308" s="29">
        <f>'Raw data'!K227</f>
        <v>0</v>
      </c>
      <c r="K308" s="31">
        <f>'Raw data'!H227</f>
        <v>0</v>
      </c>
      <c r="L308" s="26">
        <f t="shared" si="10"/>
        <v>0</v>
      </c>
    </row>
    <row r="309" spans="2:12">
      <c r="B309" s="4" t="e">
        <f t="shared" si="9"/>
        <v>#N/A</v>
      </c>
      <c r="C309" s="4">
        <f>'Raw data'!E228</f>
        <v>0</v>
      </c>
      <c r="D309" s="29" t="e">
        <f>VLOOKUP(C309,'점포코드 '!A:B,2,0)</f>
        <v>#N/A</v>
      </c>
      <c r="E309" s="30">
        <f>'Raw data'!P228</f>
        <v>0</v>
      </c>
      <c r="F309" s="29" t="e">
        <f>VLOOKUP(E309,'점포코드 '!A:B,2,0)</f>
        <v>#N/A</v>
      </c>
      <c r="G309" s="46">
        <f>'Raw data'!F228</f>
        <v>0</v>
      </c>
      <c r="H309" s="4">
        <f>'Raw data'!G228</f>
        <v>0</v>
      </c>
      <c r="I309" s="29" t="e">
        <f>VLOOKUP(G309,제품명!$C$1:$E$114,2,0)</f>
        <v>#N/A</v>
      </c>
      <c r="J309" s="29">
        <f>'Raw data'!K228</f>
        <v>0</v>
      </c>
      <c r="K309" s="31">
        <f>'Raw data'!H228</f>
        <v>0</v>
      </c>
      <c r="L309" s="26">
        <f t="shared" si="10"/>
        <v>0</v>
      </c>
    </row>
    <row r="310" spans="2:12">
      <c r="B310" s="4" t="e">
        <f t="shared" si="9"/>
        <v>#N/A</v>
      </c>
      <c r="C310" s="4">
        <f>'Raw data'!E229</f>
        <v>0</v>
      </c>
      <c r="D310" s="29" t="e">
        <f>VLOOKUP(C310,'점포코드 '!A:B,2,0)</f>
        <v>#N/A</v>
      </c>
      <c r="E310" s="30">
        <f>'Raw data'!P229</f>
        <v>0</v>
      </c>
      <c r="F310" s="29" t="e">
        <f>VLOOKUP(E310,'점포코드 '!A:B,2,0)</f>
        <v>#N/A</v>
      </c>
      <c r="G310" s="46">
        <f>'Raw data'!F229</f>
        <v>0</v>
      </c>
      <c r="H310" s="4">
        <f>'Raw data'!G229</f>
        <v>0</v>
      </c>
      <c r="I310" s="29" t="e">
        <f>VLOOKUP(G310,제품명!$C$1:$E$114,2,0)</f>
        <v>#N/A</v>
      </c>
      <c r="J310" s="29">
        <f>'Raw data'!K229</f>
        <v>0</v>
      </c>
      <c r="K310" s="31">
        <f>'Raw data'!H229</f>
        <v>0</v>
      </c>
      <c r="L310" s="26">
        <f t="shared" si="10"/>
        <v>0</v>
      </c>
    </row>
    <row r="311" spans="2:12">
      <c r="B311" s="4" t="e">
        <f t="shared" si="9"/>
        <v>#N/A</v>
      </c>
      <c r="C311" s="4">
        <f>'Raw data'!E230</f>
        <v>0</v>
      </c>
      <c r="D311" s="29" t="e">
        <f>VLOOKUP(C311,'점포코드 '!A:B,2,0)</f>
        <v>#N/A</v>
      </c>
      <c r="E311" s="30">
        <f>'Raw data'!P230</f>
        <v>0</v>
      </c>
      <c r="F311" s="29" t="e">
        <f>VLOOKUP(E311,'점포코드 '!A:B,2,0)</f>
        <v>#N/A</v>
      </c>
      <c r="G311" s="46">
        <f>'Raw data'!F230</f>
        <v>0</v>
      </c>
      <c r="H311" s="4">
        <f>'Raw data'!G230</f>
        <v>0</v>
      </c>
      <c r="I311" s="29" t="e">
        <f>VLOOKUP(G311,제품명!$C$1:$E$114,2,0)</f>
        <v>#N/A</v>
      </c>
      <c r="J311" s="29">
        <f>'Raw data'!K230</f>
        <v>0</v>
      </c>
      <c r="K311" s="31">
        <f>'Raw data'!H230</f>
        <v>0</v>
      </c>
      <c r="L311" s="26">
        <f t="shared" si="10"/>
        <v>0</v>
      </c>
    </row>
    <row r="312" spans="2:12">
      <c r="B312" s="4" t="e">
        <f t="shared" si="9"/>
        <v>#N/A</v>
      </c>
      <c r="C312" s="4">
        <f>'Raw data'!E231</f>
        <v>0</v>
      </c>
      <c r="D312" s="29" t="e">
        <f>VLOOKUP(C312,'점포코드 '!A:B,2,0)</f>
        <v>#N/A</v>
      </c>
      <c r="E312" s="30">
        <f>'Raw data'!P231</f>
        <v>0</v>
      </c>
      <c r="F312" s="29" t="e">
        <f>VLOOKUP(E312,'점포코드 '!A:B,2,0)</f>
        <v>#N/A</v>
      </c>
      <c r="G312" s="46">
        <f>'Raw data'!F231</f>
        <v>0</v>
      </c>
      <c r="H312" s="4">
        <f>'Raw data'!G231</f>
        <v>0</v>
      </c>
      <c r="I312" s="29" t="e">
        <f>VLOOKUP(G312,제품명!$C$1:$E$114,2,0)</f>
        <v>#N/A</v>
      </c>
      <c r="J312" s="29">
        <f>'Raw data'!K231</f>
        <v>0</v>
      </c>
      <c r="K312" s="31">
        <f>'Raw data'!H231</f>
        <v>0</v>
      </c>
      <c r="L312" s="26">
        <f t="shared" si="10"/>
        <v>0</v>
      </c>
    </row>
    <row r="313" spans="2:12">
      <c r="B313" s="4" t="e">
        <f t="shared" si="9"/>
        <v>#N/A</v>
      </c>
      <c r="C313" s="4">
        <f>'Raw data'!E232</f>
        <v>0</v>
      </c>
      <c r="D313" s="29" t="e">
        <f>VLOOKUP(C313,'점포코드 '!A:B,2,0)</f>
        <v>#N/A</v>
      </c>
      <c r="E313" s="30">
        <f>'Raw data'!P232</f>
        <v>0</v>
      </c>
      <c r="F313" s="29" t="e">
        <f>VLOOKUP(E313,'점포코드 '!A:B,2,0)</f>
        <v>#N/A</v>
      </c>
      <c r="G313" s="46">
        <f>'Raw data'!F232</f>
        <v>0</v>
      </c>
      <c r="H313" s="4">
        <f>'Raw data'!G232</f>
        <v>0</v>
      </c>
      <c r="I313" s="29" t="e">
        <f>VLOOKUP(G313,제품명!$C$1:$E$114,2,0)</f>
        <v>#N/A</v>
      </c>
      <c r="J313" s="29">
        <f>'Raw data'!K232</f>
        <v>0</v>
      </c>
      <c r="K313" s="31">
        <f>'Raw data'!H232</f>
        <v>0</v>
      </c>
      <c r="L313" s="26">
        <f t="shared" si="10"/>
        <v>0</v>
      </c>
    </row>
    <row r="314" spans="2:12">
      <c r="B314" s="4" t="e">
        <f t="shared" si="9"/>
        <v>#N/A</v>
      </c>
      <c r="C314" s="4">
        <f>'Raw data'!E233</f>
        <v>0</v>
      </c>
      <c r="D314" s="29" t="e">
        <f>VLOOKUP(C314,'점포코드 '!A:B,2,0)</f>
        <v>#N/A</v>
      </c>
      <c r="E314" s="30">
        <f>'Raw data'!P233</f>
        <v>0</v>
      </c>
      <c r="F314" s="29" t="e">
        <f>VLOOKUP(E314,'점포코드 '!A:B,2,0)</f>
        <v>#N/A</v>
      </c>
      <c r="G314" s="46">
        <f>'Raw data'!F233</f>
        <v>0</v>
      </c>
      <c r="H314" s="4">
        <f>'Raw data'!G233</f>
        <v>0</v>
      </c>
      <c r="I314" s="29" t="e">
        <f>VLOOKUP(G314,제품명!$C$1:$E$114,2,0)</f>
        <v>#N/A</v>
      </c>
      <c r="J314" s="29">
        <f>'Raw data'!K233</f>
        <v>0</v>
      </c>
      <c r="K314" s="31">
        <f>'Raw data'!H233</f>
        <v>0</v>
      </c>
      <c r="L314" s="26">
        <f t="shared" si="10"/>
        <v>0</v>
      </c>
    </row>
    <row r="315" spans="2:12">
      <c r="B315" s="4" t="e">
        <f t="shared" si="9"/>
        <v>#N/A</v>
      </c>
      <c r="C315" s="4">
        <f>'Raw data'!E234</f>
        <v>0</v>
      </c>
      <c r="D315" s="29" t="e">
        <f>VLOOKUP(C315,'점포코드 '!A:B,2,0)</f>
        <v>#N/A</v>
      </c>
      <c r="E315" s="30">
        <f>'Raw data'!P234</f>
        <v>0</v>
      </c>
      <c r="F315" s="29" t="e">
        <f>VLOOKUP(E315,'점포코드 '!A:B,2,0)</f>
        <v>#N/A</v>
      </c>
      <c r="G315" s="46">
        <f>'Raw data'!F234</f>
        <v>0</v>
      </c>
      <c r="H315" s="4">
        <f>'Raw data'!G234</f>
        <v>0</v>
      </c>
      <c r="I315" s="29" t="e">
        <f>VLOOKUP(G315,제품명!$C$1:$E$114,2,0)</f>
        <v>#N/A</v>
      </c>
      <c r="J315" s="29">
        <f>'Raw data'!K234</f>
        <v>0</v>
      </c>
      <c r="K315" s="31">
        <f>'Raw data'!H234</f>
        <v>0</v>
      </c>
      <c r="L315" s="26">
        <f t="shared" si="10"/>
        <v>0</v>
      </c>
    </row>
    <row r="316" spans="2:12">
      <c r="B316" s="4" t="e">
        <f t="shared" si="9"/>
        <v>#N/A</v>
      </c>
      <c r="C316" s="4">
        <f>'Raw data'!E235</f>
        <v>0</v>
      </c>
      <c r="D316" s="29" t="e">
        <f>VLOOKUP(C316,'점포코드 '!A:B,2,0)</f>
        <v>#N/A</v>
      </c>
      <c r="E316" s="30">
        <f>'Raw data'!P235</f>
        <v>0</v>
      </c>
      <c r="F316" s="29" t="e">
        <f>VLOOKUP(E316,'점포코드 '!A:B,2,0)</f>
        <v>#N/A</v>
      </c>
      <c r="G316" s="46">
        <f>'Raw data'!F235</f>
        <v>0</v>
      </c>
      <c r="H316" s="4">
        <f>'Raw data'!G235</f>
        <v>0</v>
      </c>
      <c r="I316" s="29" t="e">
        <f>VLOOKUP(G316,제품명!$C$1:$E$114,2,0)</f>
        <v>#N/A</v>
      </c>
      <c r="J316" s="29">
        <f>'Raw data'!K235</f>
        <v>0</v>
      </c>
      <c r="K316" s="31">
        <f>'Raw data'!H235</f>
        <v>0</v>
      </c>
      <c r="L316" s="26">
        <f t="shared" si="10"/>
        <v>0</v>
      </c>
    </row>
    <row r="317" spans="2:12">
      <c r="B317" s="4" t="e">
        <f t="shared" si="9"/>
        <v>#N/A</v>
      </c>
      <c r="C317" s="4">
        <f>'Raw data'!E236</f>
        <v>0</v>
      </c>
      <c r="D317" s="29" t="e">
        <f>VLOOKUP(C317,'점포코드 '!A:B,2,0)</f>
        <v>#N/A</v>
      </c>
      <c r="E317" s="30">
        <f>'Raw data'!P236</f>
        <v>0</v>
      </c>
      <c r="F317" s="29" t="e">
        <f>VLOOKUP(E317,'점포코드 '!A:B,2,0)</f>
        <v>#N/A</v>
      </c>
      <c r="G317" s="46">
        <f>'Raw data'!F236</f>
        <v>0</v>
      </c>
      <c r="H317" s="4">
        <f>'Raw data'!G236</f>
        <v>0</v>
      </c>
      <c r="I317" s="29" t="e">
        <f>VLOOKUP(G317,제품명!$C$1:$E$114,2,0)</f>
        <v>#N/A</v>
      </c>
      <c r="J317" s="29">
        <f>'Raw data'!K236</f>
        <v>0</v>
      </c>
      <c r="K317" s="31">
        <f>'Raw data'!H236</f>
        <v>0</v>
      </c>
      <c r="L317" s="26">
        <f t="shared" si="10"/>
        <v>0</v>
      </c>
    </row>
    <row r="318" spans="2:12">
      <c r="B318" s="4" t="e">
        <f t="shared" si="9"/>
        <v>#N/A</v>
      </c>
      <c r="C318" s="4">
        <f>'Raw data'!E237</f>
        <v>0</v>
      </c>
      <c r="D318" s="29" t="e">
        <f>VLOOKUP(C318,'점포코드 '!A:B,2,0)</f>
        <v>#N/A</v>
      </c>
      <c r="E318" s="30">
        <f>'Raw data'!P237</f>
        <v>0</v>
      </c>
      <c r="F318" s="29" t="e">
        <f>VLOOKUP(E318,'점포코드 '!A:B,2,0)</f>
        <v>#N/A</v>
      </c>
      <c r="G318" s="46">
        <f>'Raw data'!F237</f>
        <v>0</v>
      </c>
      <c r="H318" s="4">
        <f>'Raw data'!G237</f>
        <v>0</v>
      </c>
      <c r="I318" s="29" t="e">
        <f>VLOOKUP(G318,제품명!$C$1:$E$114,2,0)</f>
        <v>#N/A</v>
      </c>
      <c r="J318" s="29">
        <f>'Raw data'!K237</f>
        <v>0</v>
      </c>
      <c r="K318" s="31">
        <f>'Raw data'!H237</f>
        <v>0</v>
      </c>
      <c r="L318" s="26">
        <f t="shared" si="10"/>
        <v>0</v>
      </c>
    </row>
    <row r="319" spans="2:12">
      <c r="B319" s="4" t="e">
        <f t="shared" si="9"/>
        <v>#N/A</v>
      </c>
      <c r="C319" s="4">
        <f>'Raw data'!E238</f>
        <v>0</v>
      </c>
      <c r="D319" s="29" t="e">
        <f>VLOOKUP(C319,'점포코드 '!A:B,2,0)</f>
        <v>#N/A</v>
      </c>
      <c r="E319" s="30">
        <f>'Raw data'!P238</f>
        <v>0</v>
      </c>
      <c r="F319" s="29" t="e">
        <f>VLOOKUP(E319,'점포코드 '!A:B,2,0)</f>
        <v>#N/A</v>
      </c>
      <c r="G319" s="46">
        <f>'Raw data'!F238</f>
        <v>0</v>
      </c>
      <c r="H319" s="4">
        <f>'Raw data'!G238</f>
        <v>0</v>
      </c>
      <c r="I319" s="29" t="e">
        <f>VLOOKUP(G319,제품명!$C$1:$E$114,2,0)</f>
        <v>#N/A</v>
      </c>
      <c r="J319" s="29">
        <f>'Raw data'!K238</f>
        <v>0</v>
      </c>
      <c r="K319" s="31">
        <f>'Raw data'!H238</f>
        <v>0</v>
      </c>
      <c r="L319" s="26">
        <f t="shared" si="10"/>
        <v>0</v>
      </c>
    </row>
    <row r="320" spans="2:12">
      <c r="B320" s="4" t="e">
        <f t="shared" si="9"/>
        <v>#N/A</v>
      </c>
      <c r="C320" s="4">
        <f>'Raw data'!E239</f>
        <v>0</v>
      </c>
      <c r="D320" s="29" t="e">
        <f>VLOOKUP(C320,'점포코드 '!A:B,2,0)</f>
        <v>#N/A</v>
      </c>
      <c r="E320" s="30">
        <f>'Raw data'!P239</f>
        <v>0</v>
      </c>
      <c r="F320" s="29" t="e">
        <f>VLOOKUP(E320,'점포코드 '!A:B,2,0)</f>
        <v>#N/A</v>
      </c>
      <c r="G320" s="46">
        <f>'Raw data'!F239</f>
        <v>0</v>
      </c>
      <c r="H320" s="4">
        <f>'Raw data'!G239</f>
        <v>0</v>
      </c>
      <c r="I320" s="29" t="e">
        <f>VLOOKUP(G320,제품명!$C$1:$E$114,2,0)</f>
        <v>#N/A</v>
      </c>
      <c r="J320" s="29">
        <f>'Raw data'!K239</f>
        <v>0</v>
      </c>
      <c r="K320" s="31">
        <f>'Raw data'!H239</f>
        <v>0</v>
      </c>
      <c r="L320" s="26">
        <f t="shared" si="10"/>
        <v>0</v>
      </c>
    </row>
    <row r="321" spans="2:12">
      <c r="B321" s="4" t="e">
        <f t="shared" si="9"/>
        <v>#N/A</v>
      </c>
      <c r="C321" s="4">
        <f>'Raw data'!E240</f>
        <v>0</v>
      </c>
      <c r="D321" s="29" t="e">
        <f>VLOOKUP(C321,'점포코드 '!A:B,2,0)</f>
        <v>#N/A</v>
      </c>
      <c r="E321" s="30">
        <f>'Raw data'!P240</f>
        <v>0</v>
      </c>
      <c r="F321" s="29" t="e">
        <f>VLOOKUP(E321,'점포코드 '!A:B,2,0)</f>
        <v>#N/A</v>
      </c>
      <c r="G321" s="46">
        <f>'Raw data'!F240</f>
        <v>0</v>
      </c>
      <c r="H321" s="4">
        <f>'Raw data'!G240</f>
        <v>0</v>
      </c>
      <c r="I321" s="29" t="e">
        <f>VLOOKUP(G321,제품명!$C$1:$E$114,2,0)</f>
        <v>#N/A</v>
      </c>
      <c r="J321" s="29">
        <f>'Raw data'!K240</f>
        <v>0</v>
      </c>
      <c r="K321" s="31">
        <f>'Raw data'!H240</f>
        <v>0</v>
      </c>
      <c r="L321" s="26">
        <f t="shared" si="10"/>
        <v>0</v>
      </c>
    </row>
    <row r="322" spans="2:12">
      <c r="B322" s="4" t="e">
        <f t="shared" ref="B322:B385" si="11">F322&amp;I322</f>
        <v>#N/A</v>
      </c>
      <c r="C322" s="4">
        <f>'Raw data'!E241</f>
        <v>0</v>
      </c>
      <c r="D322" s="29" t="e">
        <f>VLOOKUP(C322,'점포코드 '!A:B,2,0)</f>
        <v>#N/A</v>
      </c>
      <c r="E322" s="30">
        <f>'Raw data'!P241</f>
        <v>0</v>
      </c>
      <c r="F322" s="29" t="e">
        <f>VLOOKUP(E322,'점포코드 '!A:B,2,0)</f>
        <v>#N/A</v>
      </c>
      <c r="G322" s="46">
        <f>'Raw data'!F241</f>
        <v>0</v>
      </c>
      <c r="H322" s="4">
        <f>'Raw data'!G241</f>
        <v>0</v>
      </c>
      <c r="I322" s="29" t="e">
        <f>VLOOKUP(G322,제품명!$C$1:$E$114,2,0)</f>
        <v>#N/A</v>
      </c>
      <c r="J322" s="29">
        <f>'Raw data'!K241</f>
        <v>0</v>
      </c>
      <c r="K322" s="31">
        <f>'Raw data'!H241</f>
        <v>0</v>
      </c>
      <c r="L322" s="26">
        <f t="shared" si="10"/>
        <v>0</v>
      </c>
    </row>
    <row r="323" spans="2:12">
      <c r="B323" s="4" t="e">
        <f t="shared" si="11"/>
        <v>#N/A</v>
      </c>
      <c r="C323" s="4">
        <f>'Raw data'!E242</f>
        <v>0</v>
      </c>
      <c r="D323" s="29" t="e">
        <f>VLOOKUP(C323,'점포코드 '!A:B,2,0)</f>
        <v>#N/A</v>
      </c>
      <c r="E323" s="30">
        <f>'Raw data'!P242</f>
        <v>0</v>
      </c>
      <c r="F323" s="29" t="e">
        <f>VLOOKUP(E323,'점포코드 '!A:B,2,0)</f>
        <v>#N/A</v>
      </c>
      <c r="G323" s="46">
        <f>'Raw data'!F242</f>
        <v>0</v>
      </c>
      <c r="H323" s="4">
        <f>'Raw data'!G242</f>
        <v>0</v>
      </c>
      <c r="I323" s="29" t="e">
        <f>VLOOKUP(G323,제품명!$C$1:$E$114,2,0)</f>
        <v>#N/A</v>
      </c>
      <c r="J323" s="29">
        <f>'Raw data'!K242</f>
        <v>0</v>
      </c>
      <c r="K323" s="31">
        <f>'Raw data'!H242</f>
        <v>0</v>
      </c>
      <c r="L323" s="26">
        <f t="shared" ref="L323:L386" si="12">J323*K323</f>
        <v>0</v>
      </c>
    </row>
    <row r="324" spans="2:12">
      <c r="B324" s="4" t="e">
        <f t="shared" si="11"/>
        <v>#N/A</v>
      </c>
      <c r="C324" s="4">
        <f>'Raw data'!E243</f>
        <v>0</v>
      </c>
      <c r="D324" s="29" t="e">
        <f>VLOOKUP(C324,'점포코드 '!A:B,2,0)</f>
        <v>#N/A</v>
      </c>
      <c r="E324" s="30">
        <f>'Raw data'!P243</f>
        <v>0</v>
      </c>
      <c r="F324" s="29" t="e">
        <f>VLOOKUP(E324,'점포코드 '!A:B,2,0)</f>
        <v>#N/A</v>
      </c>
      <c r="G324" s="46">
        <f>'Raw data'!F243</f>
        <v>0</v>
      </c>
      <c r="H324" s="4">
        <f>'Raw data'!G243</f>
        <v>0</v>
      </c>
      <c r="I324" s="29" t="e">
        <f>VLOOKUP(G324,제품명!$C$1:$E$114,2,0)</f>
        <v>#N/A</v>
      </c>
      <c r="J324" s="29">
        <f>'Raw data'!K243</f>
        <v>0</v>
      </c>
      <c r="K324" s="31">
        <f>'Raw data'!H243</f>
        <v>0</v>
      </c>
      <c r="L324" s="26">
        <f t="shared" si="12"/>
        <v>0</v>
      </c>
    </row>
    <row r="325" spans="2:12">
      <c r="B325" s="4" t="e">
        <f t="shared" si="11"/>
        <v>#N/A</v>
      </c>
      <c r="C325" s="4">
        <f>'Raw data'!E244</f>
        <v>0</v>
      </c>
      <c r="D325" s="29" t="e">
        <f>VLOOKUP(C325,'점포코드 '!A:B,2,0)</f>
        <v>#N/A</v>
      </c>
      <c r="E325" s="30">
        <f>'Raw data'!P244</f>
        <v>0</v>
      </c>
      <c r="F325" s="29" t="e">
        <f>VLOOKUP(E325,'점포코드 '!A:B,2,0)</f>
        <v>#N/A</v>
      </c>
      <c r="G325" s="46">
        <f>'Raw data'!F244</f>
        <v>0</v>
      </c>
      <c r="H325" s="4">
        <f>'Raw data'!G244</f>
        <v>0</v>
      </c>
      <c r="I325" s="29" t="e">
        <f>VLOOKUP(G325,제품명!$C$1:$E$114,2,0)</f>
        <v>#N/A</v>
      </c>
      <c r="J325" s="29">
        <f>'Raw data'!K244</f>
        <v>0</v>
      </c>
      <c r="K325" s="31">
        <f>'Raw data'!H244</f>
        <v>0</v>
      </c>
      <c r="L325" s="26">
        <f t="shared" si="12"/>
        <v>0</v>
      </c>
    </row>
    <row r="326" spans="2:12">
      <c r="B326" s="4" t="e">
        <f t="shared" si="11"/>
        <v>#N/A</v>
      </c>
      <c r="C326" s="4">
        <f>'Raw data'!E245</f>
        <v>0</v>
      </c>
      <c r="D326" s="29" t="e">
        <f>VLOOKUP(C326,'점포코드 '!A:B,2,0)</f>
        <v>#N/A</v>
      </c>
      <c r="E326" s="30">
        <f>'Raw data'!P245</f>
        <v>0</v>
      </c>
      <c r="F326" s="29" t="e">
        <f>VLOOKUP(E326,'점포코드 '!A:B,2,0)</f>
        <v>#N/A</v>
      </c>
      <c r="G326" s="46">
        <f>'Raw data'!F245</f>
        <v>0</v>
      </c>
      <c r="H326" s="4">
        <f>'Raw data'!G245</f>
        <v>0</v>
      </c>
      <c r="I326" s="29" t="e">
        <f>VLOOKUP(G326,제품명!$C$1:$E$114,2,0)</f>
        <v>#N/A</v>
      </c>
      <c r="J326" s="29">
        <f>'Raw data'!K245</f>
        <v>0</v>
      </c>
      <c r="K326" s="31">
        <f>'Raw data'!H245</f>
        <v>0</v>
      </c>
      <c r="L326" s="26">
        <f t="shared" si="12"/>
        <v>0</v>
      </c>
    </row>
    <row r="327" spans="2:12">
      <c r="B327" s="4" t="e">
        <f t="shared" si="11"/>
        <v>#N/A</v>
      </c>
      <c r="C327" s="4">
        <f>'Raw data'!E246</f>
        <v>0</v>
      </c>
      <c r="D327" s="29" t="e">
        <f>VLOOKUP(C327,'점포코드 '!A:B,2,0)</f>
        <v>#N/A</v>
      </c>
      <c r="E327" s="30">
        <f>'Raw data'!P246</f>
        <v>0</v>
      </c>
      <c r="F327" s="29" t="e">
        <f>VLOOKUP(E327,'점포코드 '!A:B,2,0)</f>
        <v>#N/A</v>
      </c>
      <c r="G327" s="46">
        <f>'Raw data'!F246</f>
        <v>0</v>
      </c>
      <c r="H327" s="4">
        <f>'Raw data'!G246</f>
        <v>0</v>
      </c>
      <c r="I327" s="29" t="e">
        <f>VLOOKUP(G327,제품명!$C$1:$E$114,2,0)</f>
        <v>#N/A</v>
      </c>
      <c r="J327" s="29">
        <f>'Raw data'!K246</f>
        <v>0</v>
      </c>
      <c r="K327" s="31">
        <f>'Raw data'!H246</f>
        <v>0</v>
      </c>
      <c r="L327" s="26">
        <f t="shared" si="12"/>
        <v>0</v>
      </c>
    </row>
    <row r="328" spans="2:12">
      <c r="B328" s="4" t="e">
        <f t="shared" si="11"/>
        <v>#N/A</v>
      </c>
      <c r="C328" s="4">
        <f>'Raw data'!E247</f>
        <v>0</v>
      </c>
      <c r="D328" s="29" t="e">
        <f>VLOOKUP(C328,'점포코드 '!A:B,2,0)</f>
        <v>#N/A</v>
      </c>
      <c r="E328" s="30">
        <f>'Raw data'!P247</f>
        <v>0</v>
      </c>
      <c r="F328" s="29" t="e">
        <f>VLOOKUP(E328,'점포코드 '!A:B,2,0)</f>
        <v>#N/A</v>
      </c>
      <c r="G328" s="46">
        <f>'Raw data'!F247</f>
        <v>0</v>
      </c>
      <c r="H328" s="4">
        <f>'Raw data'!G247</f>
        <v>0</v>
      </c>
      <c r="I328" s="29" t="e">
        <f>VLOOKUP(G328,제품명!$C$1:$E$114,2,0)</f>
        <v>#N/A</v>
      </c>
      <c r="J328" s="29">
        <f>'Raw data'!K247</f>
        <v>0</v>
      </c>
      <c r="K328" s="31">
        <f>'Raw data'!H247</f>
        <v>0</v>
      </c>
      <c r="L328" s="26">
        <f t="shared" si="12"/>
        <v>0</v>
      </c>
    </row>
    <row r="329" spans="2:12">
      <c r="B329" s="4" t="e">
        <f t="shared" si="11"/>
        <v>#N/A</v>
      </c>
      <c r="C329" s="4">
        <f>'Raw data'!E248</f>
        <v>0</v>
      </c>
      <c r="D329" s="29" t="e">
        <f>VLOOKUP(C329,'점포코드 '!A:B,2,0)</f>
        <v>#N/A</v>
      </c>
      <c r="E329" s="30">
        <f>'Raw data'!P248</f>
        <v>0</v>
      </c>
      <c r="F329" s="29" t="e">
        <f>VLOOKUP(E329,'점포코드 '!A:B,2,0)</f>
        <v>#N/A</v>
      </c>
      <c r="G329" s="46">
        <f>'Raw data'!F248</f>
        <v>0</v>
      </c>
      <c r="H329" s="4">
        <f>'Raw data'!G248</f>
        <v>0</v>
      </c>
      <c r="I329" s="29" t="e">
        <f>VLOOKUP(G329,제품명!$C$1:$E$114,2,0)</f>
        <v>#N/A</v>
      </c>
      <c r="J329" s="29">
        <f>'Raw data'!K248</f>
        <v>0</v>
      </c>
      <c r="K329" s="31">
        <f>'Raw data'!H248</f>
        <v>0</v>
      </c>
      <c r="L329" s="26">
        <f t="shared" si="12"/>
        <v>0</v>
      </c>
    </row>
    <row r="330" spans="2:12">
      <c r="B330" s="4" t="e">
        <f t="shared" si="11"/>
        <v>#N/A</v>
      </c>
      <c r="C330" s="4">
        <f>'Raw data'!E249</f>
        <v>0</v>
      </c>
      <c r="D330" s="29" t="e">
        <f>VLOOKUP(C330,'점포코드 '!A:B,2,0)</f>
        <v>#N/A</v>
      </c>
      <c r="E330" s="30">
        <f>'Raw data'!P249</f>
        <v>0</v>
      </c>
      <c r="F330" s="29" t="e">
        <f>VLOOKUP(E330,'점포코드 '!A:B,2,0)</f>
        <v>#N/A</v>
      </c>
      <c r="G330" s="46">
        <f>'Raw data'!F249</f>
        <v>0</v>
      </c>
      <c r="H330" s="4">
        <f>'Raw data'!G249</f>
        <v>0</v>
      </c>
      <c r="I330" s="29" t="e">
        <f>VLOOKUP(G330,제품명!$C$1:$E$114,2,0)</f>
        <v>#N/A</v>
      </c>
      <c r="J330" s="29">
        <f>'Raw data'!K249</f>
        <v>0</v>
      </c>
      <c r="K330" s="31">
        <f>'Raw data'!H249</f>
        <v>0</v>
      </c>
      <c r="L330" s="26">
        <f t="shared" si="12"/>
        <v>0</v>
      </c>
    </row>
    <row r="331" spans="2:12">
      <c r="B331" s="4" t="e">
        <f t="shared" si="11"/>
        <v>#N/A</v>
      </c>
      <c r="C331" s="4">
        <f>'Raw data'!E250</f>
        <v>0</v>
      </c>
      <c r="D331" s="29" t="e">
        <f>VLOOKUP(C331,'점포코드 '!A:B,2,0)</f>
        <v>#N/A</v>
      </c>
      <c r="E331" s="30">
        <f>'Raw data'!P250</f>
        <v>0</v>
      </c>
      <c r="F331" s="29" t="e">
        <f>VLOOKUP(E331,'점포코드 '!A:B,2,0)</f>
        <v>#N/A</v>
      </c>
      <c r="G331" s="46">
        <f>'Raw data'!F250</f>
        <v>0</v>
      </c>
      <c r="H331" s="4">
        <f>'Raw data'!G250</f>
        <v>0</v>
      </c>
      <c r="I331" s="29" t="e">
        <f>VLOOKUP(G331,제품명!$C$1:$E$114,2,0)</f>
        <v>#N/A</v>
      </c>
      <c r="J331" s="29">
        <f>'Raw data'!K250</f>
        <v>0</v>
      </c>
      <c r="K331" s="31">
        <f>'Raw data'!H250</f>
        <v>0</v>
      </c>
      <c r="L331" s="26">
        <f t="shared" si="12"/>
        <v>0</v>
      </c>
    </row>
    <row r="332" spans="2:12">
      <c r="B332" s="4" t="e">
        <f t="shared" si="11"/>
        <v>#N/A</v>
      </c>
      <c r="C332" s="4">
        <f>'Raw data'!E251</f>
        <v>0</v>
      </c>
      <c r="D332" s="29" t="e">
        <f>VLOOKUP(C332,'점포코드 '!A:B,2,0)</f>
        <v>#N/A</v>
      </c>
      <c r="E332" s="30">
        <f>'Raw data'!P251</f>
        <v>0</v>
      </c>
      <c r="F332" s="29" t="e">
        <f>VLOOKUP(E332,'점포코드 '!A:B,2,0)</f>
        <v>#N/A</v>
      </c>
      <c r="G332" s="46">
        <f>'Raw data'!F251</f>
        <v>0</v>
      </c>
      <c r="H332" s="4">
        <f>'Raw data'!G251</f>
        <v>0</v>
      </c>
      <c r="I332" s="29" t="e">
        <f>VLOOKUP(G332,제품명!$C$1:$E$114,2,0)</f>
        <v>#N/A</v>
      </c>
      <c r="J332" s="29">
        <f>'Raw data'!K251</f>
        <v>0</v>
      </c>
      <c r="K332" s="31">
        <f>'Raw data'!H251</f>
        <v>0</v>
      </c>
      <c r="L332" s="26">
        <f t="shared" si="12"/>
        <v>0</v>
      </c>
    </row>
    <row r="333" spans="2:12">
      <c r="B333" s="4" t="e">
        <f t="shared" si="11"/>
        <v>#N/A</v>
      </c>
      <c r="C333" s="4">
        <f>'Raw data'!E252</f>
        <v>0</v>
      </c>
      <c r="D333" s="29" t="e">
        <f>VLOOKUP(C333,'점포코드 '!A:B,2,0)</f>
        <v>#N/A</v>
      </c>
      <c r="E333" s="30">
        <f>'Raw data'!P252</f>
        <v>0</v>
      </c>
      <c r="F333" s="29" t="e">
        <f>VLOOKUP(E333,'점포코드 '!A:B,2,0)</f>
        <v>#N/A</v>
      </c>
      <c r="G333" s="46">
        <f>'Raw data'!F252</f>
        <v>0</v>
      </c>
      <c r="H333" s="4">
        <f>'Raw data'!G252</f>
        <v>0</v>
      </c>
      <c r="I333" s="29" t="e">
        <f>VLOOKUP(G333,제품명!$C$1:$E$114,2,0)</f>
        <v>#N/A</v>
      </c>
      <c r="J333" s="29">
        <f>'Raw data'!K252</f>
        <v>0</v>
      </c>
      <c r="K333" s="31">
        <f>'Raw data'!H252</f>
        <v>0</v>
      </c>
      <c r="L333" s="26">
        <f t="shared" si="12"/>
        <v>0</v>
      </c>
    </row>
    <row r="334" spans="2:12">
      <c r="B334" s="4" t="e">
        <f t="shared" si="11"/>
        <v>#N/A</v>
      </c>
      <c r="C334" s="4">
        <f>'Raw data'!E253</f>
        <v>0</v>
      </c>
      <c r="D334" s="29" t="e">
        <f>VLOOKUP(C334,'점포코드 '!A:B,2,0)</f>
        <v>#N/A</v>
      </c>
      <c r="E334" s="30">
        <f>'Raw data'!P253</f>
        <v>0</v>
      </c>
      <c r="F334" s="29" t="e">
        <f>VLOOKUP(E334,'점포코드 '!A:B,2,0)</f>
        <v>#N/A</v>
      </c>
      <c r="G334" s="46">
        <f>'Raw data'!F253</f>
        <v>0</v>
      </c>
      <c r="H334" s="4">
        <f>'Raw data'!G253</f>
        <v>0</v>
      </c>
      <c r="I334" s="29" t="e">
        <f>VLOOKUP(G334,제품명!$C$1:$E$114,2,0)</f>
        <v>#N/A</v>
      </c>
      <c r="J334" s="29">
        <f>'Raw data'!K253</f>
        <v>0</v>
      </c>
      <c r="K334" s="31">
        <f>'Raw data'!H253</f>
        <v>0</v>
      </c>
      <c r="L334" s="26">
        <f t="shared" si="12"/>
        <v>0</v>
      </c>
    </row>
    <row r="335" spans="2:12">
      <c r="B335" s="4" t="e">
        <f t="shared" si="11"/>
        <v>#N/A</v>
      </c>
      <c r="C335" s="4">
        <f>'Raw data'!E254</f>
        <v>0</v>
      </c>
      <c r="D335" s="29" t="e">
        <f>VLOOKUP(C335,'점포코드 '!A:B,2,0)</f>
        <v>#N/A</v>
      </c>
      <c r="E335" s="30">
        <f>'Raw data'!P254</f>
        <v>0</v>
      </c>
      <c r="F335" s="29" t="e">
        <f>VLOOKUP(E335,'점포코드 '!A:B,2,0)</f>
        <v>#N/A</v>
      </c>
      <c r="G335" s="46">
        <f>'Raw data'!F254</f>
        <v>0</v>
      </c>
      <c r="H335" s="4">
        <f>'Raw data'!G254</f>
        <v>0</v>
      </c>
      <c r="I335" s="29" t="e">
        <f>VLOOKUP(G335,제품명!$C$1:$E$114,2,0)</f>
        <v>#N/A</v>
      </c>
      <c r="J335" s="29">
        <f>'Raw data'!K254</f>
        <v>0</v>
      </c>
      <c r="K335" s="31">
        <f>'Raw data'!H254</f>
        <v>0</v>
      </c>
      <c r="L335" s="26">
        <f t="shared" si="12"/>
        <v>0</v>
      </c>
    </row>
    <row r="336" spans="2:12">
      <c r="B336" s="4" t="e">
        <f t="shared" si="11"/>
        <v>#N/A</v>
      </c>
      <c r="C336" s="4">
        <f>'Raw data'!E255</f>
        <v>0</v>
      </c>
      <c r="D336" s="29" t="e">
        <f>VLOOKUP(C336,'점포코드 '!A:B,2,0)</f>
        <v>#N/A</v>
      </c>
      <c r="E336" s="30">
        <f>'Raw data'!P255</f>
        <v>0</v>
      </c>
      <c r="F336" s="29" t="e">
        <f>VLOOKUP(E336,'점포코드 '!A:B,2,0)</f>
        <v>#N/A</v>
      </c>
      <c r="G336" s="46">
        <f>'Raw data'!F255</f>
        <v>0</v>
      </c>
      <c r="H336" s="4">
        <f>'Raw data'!G255</f>
        <v>0</v>
      </c>
      <c r="I336" s="29" t="e">
        <f>VLOOKUP(G336,제품명!$C$1:$E$114,2,0)</f>
        <v>#N/A</v>
      </c>
      <c r="J336" s="29">
        <f>'Raw data'!K255</f>
        <v>0</v>
      </c>
      <c r="K336" s="31">
        <f>'Raw data'!H255</f>
        <v>0</v>
      </c>
      <c r="L336" s="26">
        <f t="shared" si="12"/>
        <v>0</v>
      </c>
    </row>
    <row r="337" spans="2:12">
      <c r="B337" s="4" t="e">
        <f t="shared" si="11"/>
        <v>#N/A</v>
      </c>
      <c r="C337" s="4">
        <f>'Raw data'!E256</f>
        <v>0</v>
      </c>
      <c r="D337" s="29" t="e">
        <f>VLOOKUP(C337,'점포코드 '!A:B,2,0)</f>
        <v>#N/A</v>
      </c>
      <c r="E337" s="30">
        <f>'Raw data'!P256</f>
        <v>0</v>
      </c>
      <c r="F337" s="29" t="e">
        <f>VLOOKUP(E337,'점포코드 '!A:B,2,0)</f>
        <v>#N/A</v>
      </c>
      <c r="G337" s="46">
        <f>'Raw data'!F256</f>
        <v>0</v>
      </c>
      <c r="H337" s="4">
        <f>'Raw data'!G256</f>
        <v>0</v>
      </c>
      <c r="I337" s="29" t="e">
        <f>VLOOKUP(G337,제품명!$C$1:$E$114,2,0)</f>
        <v>#N/A</v>
      </c>
      <c r="J337" s="29">
        <f>'Raw data'!K256</f>
        <v>0</v>
      </c>
      <c r="K337" s="31">
        <f>'Raw data'!H256</f>
        <v>0</v>
      </c>
      <c r="L337" s="26">
        <f t="shared" si="12"/>
        <v>0</v>
      </c>
    </row>
    <row r="338" spans="2:12">
      <c r="B338" s="4" t="e">
        <f t="shared" si="11"/>
        <v>#N/A</v>
      </c>
      <c r="C338" s="4">
        <f>'Raw data'!E257</f>
        <v>0</v>
      </c>
      <c r="D338" s="29" t="e">
        <f>VLOOKUP(C338,'점포코드 '!A:B,2,0)</f>
        <v>#N/A</v>
      </c>
      <c r="E338" s="30">
        <f>'Raw data'!P257</f>
        <v>0</v>
      </c>
      <c r="F338" s="29" t="e">
        <f>VLOOKUP(E338,'점포코드 '!A:B,2,0)</f>
        <v>#N/A</v>
      </c>
      <c r="G338" s="46">
        <f>'Raw data'!F257</f>
        <v>0</v>
      </c>
      <c r="H338" s="4">
        <f>'Raw data'!G257</f>
        <v>0</v>
      </c>
      <c r="I338" s="29" t="e">
        <f>VLOOKUP(G338,제품명!$C$1:$E$114,2,0)</f>
        <v>#N/A</v>
      </c>
      <c r="J338" s="29">
        <f>'Raw data'!K257</f>
        <v>0</v>
      </c>
      <c r="K338" s="31">
        <f>'Raw data'!H257</f>
        <v>0</v>
      </c>
      <c r="L338" s="26">
        <f t="shared" si="12"/>
        <v>0</v>
      </c>
    </row>
    <row r="339" spans="2:12">
      <c r="B339" s="4" t="e">
        <f t="shared" si="11"/>
        <v>#N/A</v>
      </c>
      <c r="C339" s="4">
        <f>'Raw data'!E258</f>
        <v>0</v>
      </c>
      <c r="D339" s="29" t="e">
        <f>VLOOKUP(C339,'점포코드 '!A:B,2,0)</f>
        <v>#N/A</v>
      </c>
      <c r="E339" s="30">
        <f>'Raw data'!P258</f>
        <v>0</v>
      </c>
      <c r="F339" s="29" t="e">
        <f>VLOOKUP(E339,'점포코드 '!A:B,2,0)</f>
        <v>#N/A</v>
      </c>
      <c r="G339" s="46">
        <f>'Raw data'!F258</f>
        <v>0</v>
      </c>
      <c r="H339" s="4">
        <f>'Raw data'!G258</f>
        <v>0</v>
      </c>
      <c r="I339" s="29" t="e">
        <f>VLOOKUP(G339,제품명!$C$1:$E$114,2,0)</f>
        <v>#N/A</v>
      </c>
      <c r="J339" s="29">
        <f>'Raw data'!K258</f>
        <v>0</v>
      </c>
      <c r="K339" s="31">
        <f>'Raw data'!H258</f>
        <v>0</v>
      </c>
      <c r="L339" s="26">
        <f t="shared" si="12"/>
        <v>0</v>
      </c>
    </row>
    <row r="340" spans="2:12">
      <c r="B340" s="4" t="e">
        <f t="shared" si="11"/>
        <v>#N/A</v>
      </c>
      <c r="C340" s="4">
        <f>'Raw data'!E259</f>
        <v>0</v>
      </c>
      <c r="D340" s="29" t="e">
        <f>VLOOKUP(C340,'점포코드 '!A:B,2,0)</f>
        <v>#N/A</v>
      </c>
      <c r="E340" s="30">
        <f>'Raw data'!P259</f>
        <v>0</v>
      </c>
      <c r="F340" s="29" t="e">
        <f>VLOOKUP(E340,'점포코드 '!A:B,2,0)</f>
        <v>#N/A</v>
      </c>
      <c r="G340" s="46">
        <f>'Raw data'!F259</f>
        <v>0</v>
      </c>
      <c r="H340" s="4">
        <f>'Raw data'!G259</f>
        <v>0</v>
      </c>
      <c r="I340" s="29" t="e">
        <f>VLOOKUP(G340,제품명!$C$1:$E$114,2,0)</f>
        <v>#N/A</v>
      </c>
      <c r="J340" s="29">
        <f>'Raw data'!K259</f>
        <v>0</v>
      </c>
      <c r="K340" s="31">
        <f>'Raw data'!H259</f>
        <v>0</v>
      </c>
      <c r="L340" s="26">
        <f t="shared" si="12"/>
        <v>0</v>
      </c>
    </row>
    <row r="341" spans="2:12">
      <c r="B341" s="4" t="e">
        <f t="shared" si="11"/>
        <v>#N/A</v>
      </c>
      <c r="C341" s="4">
        <f>'Raw data'!E260</f>
        <v>0</v>
      </c>
      <c r="D341" s="29" t="e">
        <f>VLOOKUP(C341,'점포코드 '!A:B,2,0)</f>
        <v>#N/A</v>
      </c>
      <c r="E341" s="30">
        <f>'Raw data'!P260</f>
        <v>0</v>
      </c>
      <c r="F341" s="29" t="e">
        <f>VLOOKUP(E341,'점포코드 '!A:B,2,0)</f>
        <v>#N/A</v>
      </c>
      <c r="G341" s="46">
        <f>'Raw data'!F260</f>
        <v>0</v>
      </c>
      <c r="H341" s="4">
        <f>'Raw data'!G260</f>
        <v>0</v>
      </c>
      <c r="I341" s="29" t="e">
        <f>VLOOKUP(G341,제품명!$C$1:$E$114,2,0)</f>
        <v>#N/A</v>
      </c>
      <c r="J341" s="29">
        <f>'Raw data'!K260</f>
        <v>0</v>
      </c>
      <c r="K341" s="31">
        <f>'Raw data'!H260</f>
        <v>0</v>
      </c>
      <c r="L341" s="26">
        <f t="shared" si="12"/>
        <v>0</v>
      </c>
    </row>
    <row r="342" spans="2:12">
      <c r="B342" s="4" t="e">
        <f t="shared" si="11"/>
        <v>#N/A</v>
      </c>
      <c r="C342" s="4">
        <f>'Raw data'!E261</f>
        <v>0</v>
      </c>
      <c r="D342" s="29" t="e">
        <f>VLOOKUP(C342,'점포코드 '!A:B,2,0)</f>
        <v>#N/A</v>
      </c>
      <c r="E342" s="30">
        <f>'Raw data'!P261</f>
        <v>0</v>
      </c>
      <c r="F342" s="29" t="e">
        <f>VLOOKUP(E342,'점포코드 '!A:B,2,0)</f>
        <v>#N/A</v>
      </c>
      <c r="G342" s="46">
        <f>'Raw data'!F261</f>
        <v>0</v>
      </c>
      <c r="H342" s="4">
        <f>'Raw data'!G261</f>
        <v>0</v>
      </c>
      <c r="I342" s="29" t="e">
        <f>VLOOKUP(G342,제품명!$C$1:$E$114,2,0)</f>
        <v>#N/A</v>
      </c>
      <c r="J342" s="29">
        <f>'Raw data'!K261</f>
        <v>0</v>
      </c>
      <c r="K342" s="31">
        <f>'Raw data'!H261</f>
        <v>0</v>
      </c>
      <c r="L342" s="26">
        <f t="shared" si="12"/>
        <v>0</v>
      </c>
    </row>
    <row r="343" spans="2:12">
      <c r="B343" s="4" t="e">
        <f t="shared" si="11"/>
        <v>#N/A</v>
      </c>
      <c r="C343" s="4">
        <f>'Raw data'!E262</f>
        <v>0</v>
      </c>
      <c r="D343" s="29" t="e">
        <f>VLOOKUP(C343,'점포코드 '!A:B,2,0)</f>
        <v>#N/A</v>
      </c>
      <c r="E343" s="30">
        <f>'Raw data'!P262</f>
        <v>0</v>
      </c>
      <c r="F343" s="29" t="e">
        <f>VLOOKUP(E343,'점포코드 '!A:B,2,0)</f>
        <v>#N/A</v>
      </c>
      <c r="G343" s="46">
        <f>'Raw data'!F262</f>
        <v>0</v>
      </c>
      <c r="H343" s="4">
        <f>'Raw data'!G262</f>
        <v>0</v>
      </c>
      <c r="I343" s="29" t="e">
        <f>VLOOKUP(G343,제품명!$C$1:$E$114,2,0)</f>
        <v>#N/A</v>
      </c>
      <c r="J343" s="29">
        <f>'Raw data'!K262</f>
        <v>0</v>
      </c>
      <c r="K343" s="31">
        <f>'Raw data'!H262</f>
        <v>0</v>
      </c>
      <c r="L343" s="26">
        <f t="shared" si="12"/>
        <v>0</v>
      </c>
    </row>
    <row r="344" spans="2:12">
      <c r="B344" s="4" t="e">
        <f t="shared" si="11"/>
        <v>#N/A</v>
      </c>
      <c r="C344" s="4">
        <f>'Raw data'!E263</f>
        <v>0</v>
      </c>
      <c r="D344" s="29" t="e">
        <f>VLOOKUP(C344,'점포코드 '!A:B,2,0)</f>
        <v>#N/A</v>
      </c>
      <c r="E344" s="30">
        <f>'Raw data'!P263</f>
        <v>0</v>
      </c>
      <c r="F344" s="29" t="e">
        <f>VLOOKUP(E344,'점포코드 '!A:B,2,0)</f>
        <v>#N/A</v>
      </c>
      <c r="G344" s="46">
        <f>'Raw data'!F263</f>
        <v>0</v>
      </c>
      <c r="H344" s="4">
        <f>'Raw data'!G263</f>
        <v>0</v>
      </c>
      <c r="I344" s="29" t="e">
        <f>VLOOKUP(G344,제품명!$C$1:$E$114,2,0)</f>
        <v>#N/A</v>
      </c>
      <c r="J344" s="29">
        <f>'Raw data'!K263</f>
        <v>0</v>
      </c>
      <c r="K344" s="31">
        <f>'Raw data'!H263</f>
        <v>0</v>
      </c>
      <c r="L344" s="26">
        <f t="shared" si="12"/>
        <v>0</v>
      </c>
    </row>
    <row r="345" spans="2:12">
      <c r="B345" s="4" t="e">
        <f t="shared" si="11"/>
        <v>#N/A</v>
      </c>
      <c r="C345" s="4">
        <f>'Raw data'!E264</f>
        <v>0</v>
      </c>
      <c r="D345" s="29" t="e">
        <f>VLOOKUP(C345,'점포코드 '!A:B,2,0)</f>
        <v>#N/A</v>
      </c>
      <c r="E345" s="30">
        <f>'Raw data'!P264</f>
        <v>0</v>
      </c>
      <c r="F345" s="29" t="e">
        <f>VLOOKUP(E345,'점포코드 '!A:B,2,0)</f>
        <v>#N/A</v>
      </c>
      <c r="G345" s="46">
        <f>'Raw data'!F264</f>
        <v>0</v>
      </c>
      <c r="H345" s="4">
        <f>'Raw data'!G264</f>
        <v>0</v>
      </c>
      <c r="I345" s="29" t="e">
        <f>VLOOKUP(G345,제품명!$C$1:$E$114,2,0)</f>
        <v>#N/A</v>
      </c>
      <c r="J345" s="29">
        <f>'Raw data'!K264</f>
        <v>0</v>
      </c>
      <c r="K345" s="31">
        <f>'Raw data'!H264</f>
        <v>0</v>
      </c>
      <c r="L345" s="26">
        <f t="shared" si="12"/>
        <v>0</v>
      </c>
    </row>
    <row r="346" spans="2:12">
      <c r="B346" s="4" t="e">
        <f t="shared" si="11"/>
        <v>#N/A</v>
      </c>
      <c r="C346" s="4">
        <f>'Raw data'!E265</f>
        <v>0</v>
      </c>
      <c r="D346" s="29" t="e">
        <f>VLOOKUP(C346,'점포코드 '!A:B,2,0)</f>
        <v>#N/A</v>
      </c>
      <c r="E346" s="30">
        <f>'Raw data'!P265</f>
        <v>0</v>
      </c>
      <c r="F346" s="29" t="e">
        <f>VLOOKUP(E346,'점포코드 '!A:B,2,0)</f>
        <v>#N/A</v>
      </c>
      <c r="G346" s="46">
        <f>'Raw data'!F265</f>
        <v>0</v>
      </c>
      <c r="H346" s="4">
        <f>'Raw data'!G265</f>
        <v>0</v>
      </c>
      <c r="I346" s="29" t="e">
        <f>VLOOKUP(G346,제품명!$C$1:$E$114,2,0)</f>
        <v>#N/A</v>
      </c>
      <c r="J346" s="29">
        <f>'Raw data'!K265</f>
        <v>0</v>
      </c>
      <c r="K346" s="31">
        <f>'Raw data'!H265</f>
        <v>0</v>
      </c>
      <c r="L346" s="26">
        <f t="shared" si="12"/>
        <v>0</v>
      </c>
    </row>
    <row r="347" spans="2:12">
      <c r="B347" s="4" t="e">
        <f t="shared" si="11"/>
        <v>#N/A</v>
      </c>
      <c r="C347" s="4">
        <f>'Raw data'!E266</f>
        <v>0</v>
      </c>
      <c r="D347" s="29" t="e">
        <f>VLOOKUP(C347,'점포코드 '!A:B,2,0)</f>
        <v>#N/A</v>
      </c>
      <c r="E347" s="30">
        <f>'Raw data'!P266</f>
        <v>0</v>
      </c>
      <c r="F347" s="29" t="e">
        <f>VLOOKUP(E347,'점포코드 '!A:B,2,0)</f>
        <v>#N/A</v>
      </c>
      <c r="G347" s="46">
        <f>'Raw data'!F266</f>
        <v>0</v>
      </c>
      <c r="H347" s="4">
        <f>'Raw data'!G266</f>
        <v>0</v>
      </c>
      <c r="I347" s="29" t="e">
        <f>VLOOKUP(G347,제품명!$C$1:$E$114,2,0)</f>
        <v>#N/A</v>
      </c>
      <c r="J347" s="29">
        <f>'Raw data'!K266</f>
        <v>0</v>
      </c>
      <c r="K347" s="31">
        <f>'Raw data'!H266</f>
        <v>0</v>
      </c>
      <c r="L347" s="26">
        <f t="shared" si="12"/>
        <v>0</v>
      </c>
    </row>
    <row r="348" spans="2:12">
      <c r="B348" s="4" t="e">
        <f t="shared" si="11"/>
        <v>#N/A</v>
      </c>
      <c r="C348" s="4">
        <f>'Raw data'!E267</f>
        <v>0</v>
      </c>
      <c r="D348" s="29" t="e">
        <f>VLOOKUP(C348,'점포코드 '!A:B,2,0)</f>
        <v>#N/A</v>
      </c>
      <c r="E348" s="30">
        <f>'Raw data'!P267</f>
        <v>0</v>
      </c>
      <c r="F348" s="29" t="e">
        <f>VLOOKUP(E348,'점포코드 '!A:B,2,0)</f>
        <v>#N/A</v>
      </c>
      <c r="G348" s="46">
        <f>'Raw data'!F267</f>
        <v>0</v>
      </c>
      <c r="H348" s="4">
        <f>'Raw data'!G267</f>
        <v>0</v>
      </c>
      <c r="I348" s="29" t="e">
        <f>VLOOKUP(G348,제품명!$C$1:$E$114,2,0)</f>
        <v>#N/A</v>
      </c>
      <c r="J348" s="29">
        <f>'Raw data'!K267</f>
        <v>0</v>
      </c>
      <c r="K348" s="31">
        <f>'Raw data'!H267</f>
        <v>0</v>
      </c>
      <c r="L348" s="26">
        <f t="shared" si="12"/>
        <v>0</v>
      </c>
    </row>
    <row r="349" spans="2:12">
      <c r="B349" s="4" t="e">
        <f t="shared" si="11"/>
        <v>#N/A</v>
      </c>
      <c r="C349" s="4">
        <f>'Raw data'!E268</f>
        <v>0</v>
      </c>
      <c r="D349" s="29" t="e">
        <f>VLOOKUP(C349,'점포코드 '!A:B,2,0)</f>
        <v>#N/A</v>
      </c>
      <c r="E349" s="30">
        <f>'Raw data'!P268</f>
        <v>0</v>
      </c>
      <c r="F349" s="29" t="e">
        <f>VLOOKUP(E349,'점포코드 '!A:B,2,0)</f>
        <v>#N/A</v>
      </c>
      <c r="G349" s="46">
        <f>'Raw data'!F268</f>
        <v>0</v>
      </c>
      <c r="H349" s="4">
        <f>'Raw data'!G268</f>
        <v>0</v>
      </c>
      <c r="I349" s="29" t="e">
        <f>VLOOKUP(G349,제품명!$C$1:$E$114,2,0)</f>
        <v>#N/A</v>
      </c>
      <c r="J349" s="29">
        <f>'Raw data'!K268</f>
        <v>0</v>
      </c>
      <c r="K349" s="31">
        <f>'Raw data'!H268</f>
        <v>0</v>
      </c>
      <c r="L349" s="26">
        <f t="shared" si="12"/>
        <v>0</v>
      </c>
    </row>
    <row r="350" spans="2:12">
      <c r="B350" s="4" t="e">
        <f t="shared" si="11"/>
        <v>#N/A</v>
      </c>
      <c r="C350" s="4">
        <f>'Raw data'!E269</f>
        <v>0</v>
      </c>
      <c r="D350" s="29" t="e">
        <f>VLOOKUP(C350,'점포코드 '!A:B,2,0)</f>
        <v>#N/A</v>
      </c>
      <c r="E350" s="30">
        <f>'Raw data'!P269</f>
        <v>0</v>
      </c>
      <c r="F350" s="29" t="e">
        <f>VLOOKUP(E350,'점포코드 '!A:B,2,0)</f>
        <v>#N/A</v>
      </c>
      <c r="G350" s="46">
        <f>'Raw data'!F269</f>
        <v>0</v>
      </c>
      <c r="H350" s="4">
        <f>'Raw data'!G269</f>
        <v>0</v>
      </c>
      <c r="I350" s="29" t="e">
        <f>VLOOKUP(G350,제품명!$C$1:$E$114,2,0)</f>
        <v>#N/A</v>
      </c>
      <c r="J350" s="29">
        <f>'Raw data'!K269</f>
        <v>0</v>
      </c>
      <c r="K350" s="31">
        <f>'Raw data'!H269</f>
        <v>0</v>
      </c>
      <c r="L350" s="26">
        <f t="shared" si="12"/>
        <v>0</v>
      </c>
    </row>
    <row r="351" spans="2:12">
      <c r="B351" s="4" t="e">
        <f t="shared" si="11"/>
        <v>#N/A</v>
      </c>
      <c r="C351" s="4">
        <f>'Raw data'!E270</f>
        <v>0</v>
      </c>
      <c r="D351" s="29" t="e">
        <f>VLOOKUP(C351,'점포코드 '!A:B,2,0)</f>
        <v>#N/A</v>
      </c>
      <c r="E351" s="30">
        <f>'Raw data'!P270</f>
        <v>0</v>
      </c>
      <c r="F351" s="29" t="e">
        <f>VLOOKUP(E351,'점포코드 '!A:B,2,0)</f>
        <v>#N/A</v>
      </c>
      <c r="G351" s="46">
        <f>'Raw data'!F270</f>
        <v>0</v>
      </c>
      <c r="H351" s="4">
        <f>'Raw data'!G270</f>
        <v>0</v>
      </c>
      <c r="I351" s="29" t="e">
        <f>VLOOKUP(G351,제품명!$C$1:$E$114,2,0)</f>
        <v>#N/A</v>
      </c>
      <c r="J351" s="29">
        <f>'Raw data'!K270</f>
        <v>0</v>
      </c>
      <c r="K351" s="31">
        <f>'Raw data'!H270</f>
        <v>0</v>
      </c>
      <c r="L351" s="26">
        <f t="shared" si="12"/>
        <v>0</v>
      </c>
    </row>
    <row r="352" spans="2:12">
      <c r="B352" s="4" t="e">
        <f t="shared" si="11"/>
        <v>#N/A</v>
      </c>
      <c r="C352" s="4">
        <f>'Raw data'!E271</f>
        <v>0</v>
      </c>
      <c r="D352" s="29" t="e">
        <f>VLOOKUP(C352,'점포코드 '!A:B,2,0)</f>
        <v>#N/A</v>
      </c>
      <c r="E352" s="30">
        <f>'Raw data'!P271</f>
        <v>0</v>
      </c>
      <c r="F352" s="29" t="e">
        <f>VLOOKUP(E352,'점포코드 '!A:B,2,0)</f>
        <v>#N/A</v>
      </c>
      <c r="G352" s="46">
        <f>'Raw data'!F271</f>
        <v>0</v>
      </c>
      <c r="H352" s="4">
        <f>'Raw data'!G271</f>
        <v>0</v>
      </c>
      <c r="I352" s="29" t="e">
        <f>VLOOKUP(G352,제품명!$C$1:$E$114,2,0)</f>
        <v>#N/A</v>
      </c>
      <c r="J352" s="29">
        <f>'Raw data'!K271</f>
        <v>0</v>
      </c>
      <c r="K352" s="31">
        <f>'Raw data'!H271</f>
        <v>0</v>
      </c>
      <c r="L352" s="26">
        <f t="shared" si="12"/>
        <v>0</v>
      </c>
    </row>
    <row r="353" spans="2:12">
      <c r="B353" s="4" t="e">
        <f t="shared" si="11"/>
        <v>#N/A</v>
      </c>
      <c r="C353" s="4">
        <f>'Raw data'!E272</f>
        <v>0</v>
      </c>
      <c r="D353" s="29" t="e">
        <f>VLOOKUP(C353,'점포코드 '!A:B,2,0)</f>
        <v>#N/A</v>
      </c>
      <c r="E353" s="30">
        <f>'Raw data'!P272</f>
        <v>0</v>
      </c>
      <c r="F353" s="29" t="e">
        <f>VLOOKUP(E353,'점포코드 '!A:B,2,0)</f>
        <v>#N/A</v>
      </c>
      <c r="G353" s="46">
        <f>'Raw data'!F272</f>
        <v>0</v>
      </c>
      <c r="H353" s="4">
        <f>'Raw data'!G272</f>
        <v>0</v>
      </c>
      <c r="I353" s="29" t="e">
        <f>VLOOKUP(G353,제품명!$C$1:$E$114,2,0)</f>
        <v>#N/A</v>
      </c>
      <c r="J353" s="29">
        <f>'Raw data'!K272</f>
        <v>0</v>
      </c>
      <c r="K353" s="31">
        <f>'Raw data'!H272</f>
        <v>0</v>
      </c>
      <c r="L353" s="26">
        <f t="shared" si="12"/>
        <v>0</v>
      </c>
    </row>
    <row r="354" spans="2:12">
      <c r="B354" s="4" t="e">
        <f t="shared" si="11"/>
        <v>#N/A</v>
      </c>
      <c r="C354" s="4">
        <f>'Raw data'!E273</f>
        <v>0</v>
      </c>
      <c r="D354" s="29" t="e">
        <f>VLOOKUP(C354,'점포코드 '!A:B,2,0)</f>
        <v>#N/A</v>
      </c>
      <c r="E354" s="30">
        <f>'Raw data'!P273</f>
        <v>0</v>
      </c>
      <c r="F354" s="29" t="e">
        <f>VLOOKUP(E354,'점포코드 '!A:B,2,0)</f>
        <v>#N/A</v>
      </c>
      <c r="G354" s="46">
        <f>'Raw data'!F273</f>
        <v>0</v>
      </c>
      <c r="H354" s="4">
        <f>'Raw data'!G273</f>
        <v>0</v>
      </c>
      <c r="I354" s="29" t="e">
        <f>VLOOKUP(G354,제품명!$C$1:$E$114,2,0)</f>
        <v>#N/A</v>
      </c>
      <c r="J354" s="29">
        <f>'Raw data'!K273</f>
        <v>0</v>
      </c>
      <c r="K354" s="31">
        <f>'Raw data'!H273</f>
        <v>0</v>
      </c>
      <c r="L354" s="26">
        <f t="shared" si="12"/>
        <v>0</v>
      </c>
    </row>
    <row r="355" spans="2:12">
      <c r="B355" s="4" t="e">
        <f t="shared" si="11"/>
        <v>#N/A</v>
      </c>
      <c r="C355" s="4">
        <f>'Raw data'!E274</f>
        <v>0</v>
      </c>
      <c r="D355" s="29" t="e">
        <f>VLOOKUP(C355,'점포코드 '!A:B,2,0)</f>
        <v>#N/A</v>
      </c>
      <c r="E355" s="30">
        <f>'Raw data'!P274</f>
        <v>0</v>
      </c>
      <c r="F355" s="29" t="e">
        <f>VLOOKUP(E355,'점포코드 '!A:B,2,0)</f>
        <v>#N/A</v>
      </c>
      <c r="G355" s="46">
        <f>'Raw data'!F274</f>
        <v>0</v>
      </c>
      <c r="H355" s="4">
        <f>'Raw data'!G274</f>
        <v>0</v>
      </c>
      <c r="I355" s="29" t="e">
        <f>VLOOKUP(G355,제품명!$C$1:$E$114,2,0)</f>
        <v>#N/A</v>
      </c>
      <c r="J355" s="29">
        <f>'Raw data'!K274</f>
        <v>0</v>
      </c>
      <c r="K355" s="31">
        <f>'Raw data'!H274</f>
        <v>0</v>
      </c>
      <c r="L355" s="26">
        <f t="shared" si="12"/>
        <v>0</v>
      </c>
    </row>
    <row r="356" spans="2:12">
      <c r="B356" s="4" t="e">
        <f t="shared" si="11"/>
        <v>#N/A</v>
      </c>
      <c r="C356" s="4">
        <f>'Raw data'!E275</f>
        <v>0</v>
      </c>
      <c r="D356" s="29" t="e">
        <f>VLOOKUP(C356,'점포코드 '!A:B,2,0)</f>
        <v>#N/A</v>
      </c>
      <c r="E356" s="30">
        <f>'Raw data'!P275</f>
        <v>0</v>
      </c>
      <c r="F356" s="29" t="e">
        <f>VLOOKUP(E356,'점포코드 '!A:B,2,0)</f>
        <v>#N/A</v>
      </c>
      <c r="G356" s="46">
        <f>'Raw data'!F275</f>
        <v>0</v>
      </c>
      <c r="H356" s="4">
        <f>'Raw data'!G275</f>
        <v>0</v>
      </c>
      <c r="I356" s="29" t="e">
        <f>VLOOKUP(G356,제품명!$C$1:$E$114,2,0)</f>
        <v>#N/A</v>
      </c>
      <c r="J356" s="29">
        <f>'Raw data'!K275</f>
        <v>0</v>
      </c>
      <c r="K356" s="31">
        <f>'Raw data'!H275</f>
        <v>0</v>
      </c>
      <c r="L356" s="26">
        <f t="shared" si="12"/>
        <v>0</v>
      </c>
    </row>
    <row r="357" spans="2:12">
      <c r="B357" s="4" t="e">
        <f t="shared" si="11"/>
        <v>#N/A</v>
      </c>
      <c r="C357" s="4">
        <f>'Raw data'!E276</f>
        <v>0</v>
      </c>
      <c r="D357" s="29" t="e">
        <f>VLOOKUP(C357,'점포코드 '!A:B,2,0)</f>
        <v>#N/A</v>
      </c>
      <c r="E357" s="30">
        <f>'Raw data'!P276</f>
        <v>0</v>
      </c>
      <c r="F357" s="29" t="e">
        <f>VLOOKUP(E357,'점포코드 '!A:B,2,0)</f>
        <v>#N/A</v>
      </c>
      <c r="G357" s="46">
        <f>'Raw data'!F276</f>
        <v>0</v>
      </c>
      <c r="H357" s="4">
        <f>'Raw data'!G276</f>
        <v>0</v>
      </c>
      <c r="I357" s="29" t="e">
        <f>VLOOKUP(G357,제품명!$C$1:$E$114,2,0)</f>
        <v>#N/A</v>
      </c>
      <c r="J357" s="29">
        <f>'Raw data'!K276</f>
        <v>0</v>
      </c>
      <c r="K357" s="31">
        <f>'Raw data'!H276</f>
        <v>0</v>
      </c>
      <c r="L357" s="26">
        <f t="shared" si="12"/>
        <v>0</v>
      </c>
    </row>
    <row r="358" spans="2:12">
      <c r="B358" s="4" t="e">
        <f t="shared" si="11"/>
        <v>#N/A</v>
      </c>
      <c r="C358" s="4">
        <f>'Raw data'!E277</f>
        <v>0</v>
      </c>
      <c r="D358" s="29" t="e">
        <f>VLOOKUP(C358,'점포코드 '!A:B,2,0)</f>
        <v>#N/A</v>
      </c>
      <c r="E358" s="30">
        <f>'Raw data'!P277</f>
        <v>0</v>
      </c>
      <c r="F358" s="29" t="e">
        <f>VLOOKUP(E358,'점포코드 '!A:B,2,0)</f>
        <v>#N/A</v>
      </c>
      <c r="G358" s="46">
        <f>'Raw data'!F277</f>
        <v>0</v>
      </c>
      <c r="H358" s="4">
        <f>'Raw data'!G277</f>
        <v>0</v>
      </c>
      <c r="I358" s="29" t="e">
        <f>VLOOKUP(G358,제품명!$C$1:$E$114,2,0)</f>
        <v>#N/A</v>
      </c>
      <c r="J358" s="29">
        <f>'Raw data'!K277</f>
        <v>0</v>
      </c>
      <c r="K358" s="31">
        <f>'Raw data'!H277</f>
        <v>0</v>
      </c>
      <c r="L358" s="26">
        <f t="shared" si="12"/>
        <v>0</v>
      </c>
    </row>
    <row r="359" spans="2:12">
      <c r="B359" s="4" t="e">
        <f t="shared" si="11"/>
        <v>#N/A</v>
      </c>
      <c r="C359" s="4">
        <f>'Raw data'!E278</f>
        <v>0</v>
      </c>
      <c r="D359" s="29" t="e">
        <f>VLOOKUP(C359,'점포코드 '!A:B,2,0)</f>
        <v>#N/A</v>
      </c>
      <c r="E359" s="30">
        <f>'Raw data'!P278</f>
        <v>0</v>
      </c>
      <c r="F359" s="29" t="e">
        <f>VLOOKUP(E359,'점포코드 '!A:B,2,0)</f>
        <v>#N/A</v>
      </c>
      <c r="G359" s="46">
        <f>'Raw data'!F278</f>
        <v>0</v>
      </c>
      <c r="H359" s="4">
        <f>'Raw data'!G278</f>
        <v>0</v>
      </c>
      <c r="I359" s="29" t="e">
        <f>VLOOKUP(G359,제품명!$C$1:$E$114,2,0)</f>
        <v>#N/A</v>
      </c>
      <c r="J359" s="29">
        <f>'Raw data'!K278</f>
        <v>0</v>
      </c>
      <c r="K359" s="31">
        <f>'Raw data'!H278</f>
        <v>0</v>
      </c>
      <c r="L359" s="26">
        <f t="shared" si="12"/>
        <v>0</v>
      </c>
    </row>
    <row r="360" spans="2:12">
      <c r="B360" s="4" t="e">
        <f t="shared" si="11"/>
        <v>#N/A</v>
      </c>
      <c r="C360" s="4">
        <f>'Raw data'!E279</f>
        <v>0</v>
      </c>
      <c r="D360" s="29" t="e">
        <f>VLOOKUP(C360,'점포코드 '!A:B,2,0)</f>
        <v>#N/A</v>
      </c>
      <c r="E360" s="30">
        <f>'Raw data'!P279</f>
        <v>0</v>
      </c>
      <c r="F360" s="29" t="e">
        <f>VLOOKUP(E360,'점포코드 '!A:B,2,0)</f>
        <v>#N/A</v>
      </c>
      <c r="G360" s="46">
        <f>'Raw data'!F279</f>
        <v>0</v>
      </c>
      <c r="H360" s="4">
        <f>'Raw data'!G279</f>
        <v>0</v>
      </c>
      <c r="I360" s="29" t="e">
        <f>VLOOKUP(G360,제품명!$C$1:$E$114,2,0)</f>
        <v>#N/A</v>
      </c>
      <c r="J360" s="29">
        <f>'Raw data'!K279</f>
        <v>0</v>
      </c>
      <c r="K360" s="31">
        <f>'Raw data'!H279</f>
        <v>0</v>
      </c>
      <c r="L360" s="26">
        <f t="shared" si="12"/>
        <v>0</v>
      </c>
    </row>
    <row r="361" spans="2:12">
      <c r="B361" s="4" t="e">
        <f t="shared" si="11"/>
        <v>#N/A</v>
      </c>
      <c r="C361" s="4">
        <f>'Raw data'!E280</f>
        <v>0</v>
      </c>
      <c r="D361" s="29" t="e">
        <f>VLOOKUP(C361,'점포코드 '!A:B,2,0)</f>
        <v>#N/A</v>
      </c>
      <c r="E361" s="30">
        <f>'Raw data'!P280</f>
        <v>0</v>
      </c>
      <c r="F361" s="29" t="e">
        <f>VLOOKUP(E361,'점포코드 '!A:B,2,0)</f>
        <v>#N/A</v>
      </c>
      <c r="G361" s="46">
        <f>'Raw data'!F280</f>
        <v>0</v>
      </c>
      <c r="H361" s="4">
        <f>'Raw data'!G280</f>
        <v>0</v>
      </c>
      <c r="I361" s="29" t="e">
        <f>VLOOKUP(G361,제품명!$C$1:$E$114,2,0)</f>
        <v>#N/A</v>
      </c>
      <c r="J361" s="29">
        <f>'Raw data'!K280</f>
        <v>0</v>
      </c>
      <c r="K361" s="31">
        <f>'Raw data'!H280</f>
        <v>0</v>
      </c>
      <c r="L361" s="26">
        <f t="shared" si="12"/>
        <v>0</v>
      </c>
    </row>
    <row r="362" spans="2:12">
      <c r="B362" s="4" t="e">
        <f t="shared" si="11"/>
        <v>#N/A</v>
      </c>
      <c r="C362" s="4">
        <f>'Raw data'!E281</f>
        <v>0</v>
      </c>
      <c r="D362" s="29" t="e">
        <f>VLOOKUP(C362,'점포코드 '!A:B,2,0)</f>
        <v>#N/A</v>
      </c>
      <c r="E362" s="30">
        <f>'Raw data'!P281</f>
        <v>0</v>
      </c>
      <c r="F362" s="29" t="e">
        <f>VLOOKUP(E362,'점포코드 '!A:B,2,0)</f>
        <v>#N/A</v>
      </c>
      <c r="G362" s="46">
        <f>'Raw data'!F281</f>
        <v>0</v>
      </c>
      <c r="H362" s="4">
        <f>'Raw data'!G281</f>
        <v>0</v>
      </c>
      <c r="I362" s="29" t="e">
        <f>VLOOKUP(G362,제품명!$C$1:$E$114,2,0)</f>
        <v>#N/A</v>
      </c>
      <c r="J362" s="29">
        <f>'Raw data'!K281</f>
        <v>0</v>
      </c>
      <c r="K362" s="31">
        <f>'Raw data'!H281</f>
        <v>0</v>
      </c>
      <c r="L362" s="26">
        <f t="shared" si="12"/>
        <v>0</v>
      </c>
    </row>
    <row r="363" spans="2:12">
      <c r="B363" s="4" t="e">
        <f t="shared" si="11"/>
        <v>#N/A</v>
      </c>
      <c r="C363" s="4">
        <f>'Raw data'!E282</f>
        <v>0</v>
      </c>
      <c r="D363" s="29" t="e">
        <f>VLOOKUP(C363,'점포코드 '!A:B,2,0)</f>
        <v>#N/A</v>
      </c>
      <c r="E363" s="30">
        <f>'Raw data'!P282</f>
        <v>0</v>
      </c>
      <c r="F363" s="29" t="e">
        <f>VLOOKUP(E363,'점포코드 '!A:B,2,0)</f>
        <v>#N/A</v>
      </c>
      <c r="G363" s="46">
        <f>'Raw data'!F282</f>
        <v>0</v>
      </c>
      <c r="H363" s="4">
        <f>'Raw data'!G282</f>
        <v>0</v>
      </c>
      <c r="I363" s="29" t="e">
        <f>VLOOKUP(G363,제품명!$C$1:$E$114,2,0)</f>
        <v>#N/A</v>
      </c>
      <c r="J363" s="29">
        <f>'Raw data'!K282</f>
        <v>0</v>
      </c>
      <c r="K363" s="31">
        <f>'Raw data'!H282</f>
        <v>0</v>
      </c>
      <c r="L363" s="26">
        <f t="shared" si="12"/>
        <v>0</v>
      </c>
    </row>
    <row r="364" spans="2:12">
      <c r="B364" s="4" t="e">
        <f t="shared" si="11"/>
        <v>#N/A</v>
      </c>
      <c r="C364" s="4">
        <f>'Raw data'!E283</f>
        <v>0</v>
      </c>
      <c r="D364" s="29" t="e">
        <f>VLOOKUP(C364,'점포코드 '!A:B,2,0)</f>
        <v>#N/A</v>
      </c>
      <c r="E364" s="30">
        <f>'Raw data'!P283</f>
        <v>0</v>
      </c>
      <c r="F364" s="29" t="e">
        <f>VLOOKUP(E364,'점포코드 '!A:B,2,0)</f>
        <v>#N/A</v>
      </c>
      <c r="G364" s="46">
        <f>'Raw data'!F283</f>
        <v>0</v>
      </c>
      <c r="H364" s="4">
        <f>'Raw data'!G283</f>
        <v>0</v>
      </c>
      <c r="I364" s="29" t="e">
        <f>VLOOKUP(G364,제품명!$C$1:$E$114,2,0)</f>
        <v>#N/A</v>
      </c>
      <c r="J364" s="29">
        <f>'Raw data'!K283</f>
        <v>0</v>
      </c>
      <c r="K364" s="31">
        <f>'Raw data'!H283</f>
        <v>0</v>
      </c>
      <c r="L364" s="26">
        <f t="shared" si="12"/>
        <v>0</v>
      </c>
    </row>
    <row r="365" spans="2:12">
      <c r="B365" s="4" t="e">
        <f t="shared" si="11"/>
        <v>#N/A</v>
      </c>
      <c r="C365" s="4">
        <f>'Raw data'!E284</f>
        <v>0</v>
      </c>
      <c r="D365" s="29" t="e">
        <f>VLOOKUP(C365,'점포코드 '!A:B,2,0)</f>
        <v>#N/A</v>
      </c>
      <c r="E365" s="30">
        <f>'Raw data'!P284</f>
        <v>0</v>
      </c>
      <c r="F365" s="29" t="e">
        <f>VLOOKUP(E365,'점포코드 '!A:B,2,0)</f>
        <v>#N/A</v>
      </c>
      <c r="G365" s="46">
        <f>'Raw data'!F284</f>
        <v>0</v>
      </c>
      <c r="H365" s="4">
        <f>'Raw data'!G284</f>
        <v>0</v>
      </c>
      <c r="I365" s="29" t="e">
        <f>VLOOKUP(G365,제품명!$C$1:$E$114,2,0)</f>
        <v>#N/A</v>
      </c>
      <c r="J365" s="29">
        <f>'Raw data'!K284</f>
        <v>0</v>
      </c>
      <c r="K365" s="31">
        <f>'Raw data'!H284</f>
        <v>0</v>
      </c>
      <c r="L365" s="26">
        <f t="shared" si="12"/>
        <v>0</v>
      </c>
    </row>
    <row r="366" spans="2:12">
      <c r="B366" s="4" t="e">
        <f t="shared" si="11"/>
        <v>#N/A</v>
      </c>
      <c r="C366" s="4">
        <f>'Raw data'!E285</f>
        <v>0</v>
      </c>
      <c r="D366" s="29" t="e">
        <f>VLOOKUP(C366,'점포코드 '!A:B,2,0)</f>
        <v>#N/A</v>
      </c>
      <c r="E366" s="30">
        <f>'Raw data'!P285</f>
        <v>0</v>
      </c>
      <c r="F366" s="29" t="e">
        <f>VLOOKUP(E366,'점포코드 '!A:B,2,0)</f>
        <v>#N/A</v>
      </c>
      <c r="G366" s="46">
        <f>'Raw data'!F285</f>
        <v>0</v>
      </c>
      <c r="H366" s="4">
        <f>'Raw data'!G285</f>
        <v>0</v>
      </c>
      <c r="I366" s="29" t="e">
        <f>VLOOKUP(G366,제품명!$C$1:$E$114,2,0)</f>
        <v>#N/A</v>
      </c>
      <c r="J366" s="29">
        <f>'Raw data'!K285</f>
        <v>0</v>
      </c>
      <c r="K366" s="31">
        <f>'Raw data'!H285</f>
        <v>0</v>
      </c>
      <c r="L366" s="26">
        <f t="shared" si="12"/>
        <v>0</v>
      </c>
    </row>
    <row r="367" spans="2:12">
      <c r="B367" s="4" t="e">
        <f t="shared" si="11"/>
        <v>#N/A</v>
      </c>
      <c r="C367" s="4">
        <f>'Raw data'!E286</f>
        <v>0</v>
      </c>
      <c r="D367" s="29" t="e">
        <f>VLOOKUP(C367,'점포코드 '!A:B,2,0)</f>
        <v>#N/A</v>
      </c>
      <c r="E367" s="30">
        <f>'Raw data'!P286</f>
        <v>0</v>
      </c>
      <c r="F367" s="29" t="e">
        <f>VLOOKUP(E367,'점포코드 '!A:B,2,0)</f>
        <v>#N/A</v>
      </c>
      <c r="G367" s="46">
        <f>'Raw data'!F286</f>
        <v>0</v>
      </c>
      <c r="H367" s="4">
        <f>'Raw data'!G286</f>
        <v>0</v>
      </c>
      <c r="I367" s="29" t="e">
        <f>VLOOKUP(G367,제품명!$C$1:$E$114,2,0)</f>
        <v>#N/A</v>
      </c>
      <c r="J367" s="29">
        <f>'Raw data'!K286</f>
        <v>0</v>
      </c>
      <c r="K367" s="31">
        <f>'Raw data'!H286</f>
        <v>0</v>
      </c>
      <c r="L367" s="26">
        <f t="shared" si="12"/>
        <v>0</v>
      </c>
    </row>
    <row r="368" spans="2:12">
      <c r="B368" s="4" t="e">
        <f t="shared" si="11"/>
        <v>#N/A</v>
      </c>
      <c r="C368" s="4">
        <f>'Raw data'!E287</f>
        <v>0</v>
      </c>
      <c r="D368" s="29" t="e">
        <f>VLOOKUP(C368,'점포코드 '!A:B,2,0)</f>
        <v>#N/A</v>
      </c>
      <c r="E368" s="30">
        <f>'Raw data'!P287</f>
        <v>0</v>
      </c>
      <c r="F368" s="29" t="e">
        <f>VLOOKUP(E368,'점포코드 '!A:B,2,0)</f>
        <v>#N/A</v>
      </c>
      <c r="G368" s="46">
        <f>'Raw data'!F287</f>
        <v>0</v>
      </c>
      <c r="H368" s="4">
        <f>'Raw data'!G287</f>
        <v>0</v>
      </c>
      <c r="I368" s="29" t="e">
        <f>VLOOKUP(G368,제품명!$C$1:$E$114,2,0)</f>
        <v>#N/A</v>
      </c>
      <c r="J368" s="29">
        <f>'Raw data'!K287</f>
        <v>0</v>
      </c>
      <c r="K368" s="31">
        <f>'Raw data'!H287</f>
        <v>0</v>
      </c>
      <c r="L368" s="26">
        <f t="shared" si="12"/>
        <v>0</v>
      </c>
    </row>
    <row r="369" spans="2:12">
      <c r="B369" s="4" t="e">
        <f t="shared" si="11"/>
        <v>#N/A</v>
      </c>
      <c r="C369" s="4">
        <f>'Raw data'!E288</f>
        <v>0</v>
      </c>
      <c r="D369" s="29" t="e">
        <f>VLOOKUP(C369,'점포코드 '!A:B,2,0)</f>
        <v>#N/A</v>
      </c>
      <c r="E369" s="30">
        <f>'Raw data'!P288</f>
        <v>0</v>
      </c>
      <c r="F369" s="29" t="e">
        <f>VLOOKUP(E369,'점포코드 '!A:B,2,0)</f>
        <v>#N/A</v>
      </c>
      <c r="G369" s="46">
        <f>'Raw data'!F288</f>
        <v>0</v>
      </c>
      <c r="H369" s="4">
        <f>'Raw data'!G288</f>
        <v>0</v>
      </c>
      <c r="I369" s="29" t="e">
        <f>VLOOKUP(G369,제품명!$C$1:$E$114,2,0)</f>
        <v>#N/A</v>
      </c>
      <c r="J369" s="29">
        <f>'Raw data'!K288</f>
        <v>0</v>
      </c>
      <c r="K369" s="31">
        <f>'Raw data'!H288</f>
        <v>0</v>
      </c>
      <c r="L369" s="26">
        <f t="shared" si="12"/>
        <v>0</v>
      </c>
    </row>
    <row r="370" spans="2:12">
      <c r="B370" s="4" t="e">
        <f t="shared" si="11"/>
        <v>#N/A</v>
      </c>
      <c r="C370" s="4">
        <f>'Raw data'!E289</f>
        <v>0</v>
      </c>
      <c r="D370" s="29" t="e">
        <f>VLOOKUP(C370,'점포코드 '!A:B,2,0)</f>
        <v>#N/A</v>
      </c>
      <c r="E370" s="30">
        <f>'Raw data'!P289</f>
        <v>0</v>
      </c>
      <c r="F370" s="29" t="e">
        <f>VLOOKUP(E370,'점포코드 '!A:B,2,0)</f>
        <v>#N/A</v>
      </c>
      <c r="G370" s="46">
        <f>'Raw data'!F289</f>
        <v>0</v>
      </c>
      <c r="H370" s="4">
        <f>'Raw data'!G289</f>
        <v>0</v>
      </c>
      <c r="I370" s="29" t="e">
        <f>VLOOKUP(G370,제품명!$C$1:$E$114,2,0)</f>
        <v>#N/A</v>
      </c>
      <c r="J370" s="29">
        <f>'Raw data'!K289</f>
        <v>0</v>
      </c>
      <c r="K370" s="31">
        <f>'Raw data'!H289</f>
        <v>0</v>
      </c>
      <c r="L370" s="26">
        <f t="shared" si="12"/>
        <v>0</v>
      </c>
    </row>
    <row r="371" spans="2:12">
      <c r="B371" s="4" t="e">
        <f t="shared" si="11"/>
        <v>#N/A</v>
      </c>
      <c r="C371" s="4">
        <f>'Raw data'!E290</f>
        <v>0</v>
      </c>
      <c r="D371" s="29" t="e">
        <f>VLOOKUP(C371,'점포코드 '!A:B,2,0)</f>
        <v>#N/A</v>
      </c>
      <c r="E371" s="30">
        <f>'Raw data'!P290</f>
        <v>0</v>
      </c>
      <c r="F371" s="29" t="e">
        <f>VLOOKUP(E371,'점포코드 '!A:B,2,0)</f>
        <v>#N/A</v>
      </c>
      <c r="G371" s="46">
        <f>'Raw data'!F290</f>
        <v>0</v>
      </c>
      <c r="H371" s="4">
        <f>'Raw data'!G290</f>
        <v>0</v>
      </c>
      <c r="I371" s="29" t="e">
        <f>VLOOKUP(G371,제품명!$C$1:$E$114,2,0)</f>
        <v>#N/A</v>
      </c>
      <c r="J371" s="29">
        <f>'Raw data'!K290</f>
        <v>0</v>
      </c>
      <c r="K371" s="31">
        <f>'Raw data'!H290</f>
        <v>0</v>
      </c>
      <c r="L371" s="26">
        <f t="shared" si="12"/>
        <v>0</v>
      </c>
    </row>
    <row r="372" spans="2:12">
      <c r="B372" s="4" t="e">
        <f t="shared" si="11"/>
        <v>#N/A</v>
      </c>
      <c r="C372" s="4">
        <f>'Raw data'!E291</f>
        <v>0</v>
      </c>
      <c r="D372" s="29" t="e">
        <f>VLOOKUP(C372,'점포코드 '!A:B,2,0)</f>
        <v>#N/A</v>
      </c>
      <c r="E372" s="30">
        <f>'Raw data'!P291</f>
        <v>0</v>
      </c>
      <c r="F372" s="29" t="e">
        <f>VLOOKUP(E372,'점포코드 '!A:B,2,0)</f>
        <v>#N/A</v>
      </c>
      <c r="G372" s="46">
        <f>'Raw data'!F291</f>
        <v>0</v>
      </c>
      <c r="H372" s="4">
        <f>'Raw data'!G291</f>
        <v>0</v>
      </c>
      <c r="I372" s="29" t="e">
        <f>VLOOKUP(G372,제품명!$C$1:$E$114,2,0)</f>
        <v>#N/A</v>
      </c>
      <c r="J372" s="29">
        <f>'Raw data'!K291</f>
        <v>0</v>
      </c>
      <c r="K372" s="31">
        <f>'Raw data'!H291</f>
        <v>0</v>
      </c>
      <c r="L372" s="26">
        <f t="shared" si="12"/>
        <v>0</v>
      </c>
    </row>
    <row r="373" spans="2:12">
      <c r="B373" s="4" t="e">
        <f t="shared" si="11"/>
        <v>#N/A</v>
      </c>
      <c r="C373" s="4">
        <f>'Raw data'!E292</f>
        <v>0</v>
      </c>
      <c r="D373" s="29" t="e">
        <f>VLOOKUP(C373,'점포코드 '!A:B,2,0)</f>
        <v>#N/A</v>
      </c>
      <c r="E373" s="30">
        <f>'Raw data'!P292</f>
        <v>0</v>
      </c>
      <c r="F373" s="29" t="e">
        <f>VLOOKUP(E373,'점포코드 '!A:B,2,0)</f>
        <v>#N/A</v>
      </c>
      <c r="G373" s="46">
        <f>'Raw data'!F292</f>
        <v>0</v>
      </c>
      <c r="H373" s="4">
        <f>'Raw data'!G292</f>
        <v>0</v>
      </c>
      <c r="I373" s="29" t="e">
        <f>VLOOKUP(G373,제품명!$C$1:$E$114,2,0)</f>
        <v>#N/A</v>
      </c>
      <c r="J373" s="29">
        <f>'Raw data'!K292</f>
        <v>0</v>
      </c>
      <c r="K373" s="31">
        <f>'Raw data'!H292</f>
        <v>0</v>
      </c>
      <c r="L373" s="26">
        <f t="shared" si="12"/>
        <v>0</v>
      </c>
    </row>
    <row r="374" spans="2:12">
      <c r="B374" s="4" t="e">
        <f t="shared" si="11"/>
        <v>#N/A</v>
      </c>
      <c r="C374" s="4">
        <f>'Raw data'!E293</f>
        <v>0</v>
      </c>
      <c r="D374" s="29" t="e">
        <f>VLOOKUP(C374,'점포코드 '!A:B,2,0)</f>
        <v>#N/A</v>
      </c>
      <c r="E374" s="30">
        <f>'Raw data'!P293</f>
        <v>0</v>
      </c>
      <c r="F374" s="29" t="e">
        <f>VLOOKUP(E374,'점포코드 '!A:B,2,0)</f>
        <v>#N/A</v>
      </c>
      <c r="G374" s="46">
        <f>'Raw data'!F293</f>
        <v>0</v>
      </c>
      <c r="H374" s="4">
        <f>'Raw data'!G293</f>
        <v>0</v>
      </c>
      <c r="I374" s="29" t="e">
        <f>VLOOKUP(G374,제품명!$C$1:$E$114,2,0)</f>
        <v>#N/A</v>
      </c>
      <c r="J374" s="29">
        <f>'Raw data'!K293</f>
        <v>0</v>
      </c>
      <c r="K374" s="31">
        <f>'Raw data'!H293</f>
        <v>0</v>
      </c>
      <c r="L374" s="26">
        <f t="shared" si="12"/>
        <v>0</v>
      </c>
    </row>
    <row r="375" spans="2:12">
      <c r="B375" s="4" t="e">
        <f t="shared" si="11"/>
        <v>#N/A</v>
      </c>
      <c r="C375" s="4">
        <f>'Raw data'!E294</f>
        <v>0</v>
      </c>
      <c r="D375" s="29" t="e">
        <f>VLOOKUP(C375,'점포코드 '!A:B,2,0)</f>
        <v>#N/A</v>
      </c>
      <c r="E375" s="30">
        <f>'Raw data'!P294</f>
        <v>0</v>
      </c>
      <c r="F375" s="29" t="e">
        <f>VLOOKUP(E375,'점포코드 '!A:B,2,0)</f>
        <v>#N/A</v>
      </c>
      <c r="G375" s="46">
        <f>'Raw data'!F294</f>
        <v>0</v>
      </c>
      <c r="H375" s="4">
        <f>'Raw data'!G294</f>
        <v>0</v>
      </c>
      <c r="I375" s="29" t="e">
        <f>VLOOKUP(G375,제품명!$C$1:$E$114,2,0)</f>
        <v>#N/A</v>
      </c>
      <c r="J375" s="29">
        <f>'Raw data'!K294</f>
        <v>0</v>
      </c>
      <c r="K375" s="31">
        <f>'Raw data'!H294</f>
        <v>0</v>
      </c>
      <c r="L375" s="26">
        <f t="shared" si="12"/>
        <v>0</v>
      </c>
    </row>
    <row r="376" spans="2:12">
      <c r="B376" s="4" t="e">
        <f t="shared" si="11"/>
        <v>#N/A</v>
      </c>
      <c r="C376" s="4">
        <f>'Raw data'!E295</f>
        <v>0</v>
      </c>
      <c r="D376" s="29" t="e">
        <f>VLOOKUP(C376,'점포코드 '!A:B,2,0)</f>
        <v>#N/A</v>
      </c>
      <c r="E376" s="30">
        <f>'Raw data'!P295</f>
        <v>0</v>
      </c>
      <c r="F376" s="29" t="e">
        <f>VLOOKUP(E376,'점포코드 '!A:B,2,0)</f>
        <v>#N/A</v>
      </c>
      <c r="G376" s="46">
        <f>'Raw data'!F295</f>
        <v>0</v>
      </c>
      <c r="H376" s="4">
        <f>'Raw data'!G295</f>
        <v>0</v>
      </c>
      <c r="I376" s="29" t="e">
        <f>VLOOKUP(G376,제품명!$C$1:$E$114,2,0)</f>
        <v>#N/A</v>
      </c>
      <c r="J376" s="29">
        <f>'Raw data'!K295</f>
        <v>0</v>
      </c>
      <c r="K376" s="31">
        <f>'Raw data'!H295</f>
        <v>0</v>
      </c>
      <c r="L376" s="26">
        <f t="shared" si="12"/>
        <v>0</v>
      </c>
    </row>
    <row r="377" spans="2:12">
      <c r="B377" s="4" t="e">
        <f t="shared" si="11"/>
        <v>#N/A</v>
      </c>
      <c r="C377" s="4">
        <f>'Raw data'!E296</f>
        <v>0</v>
      </c>
      <c r="D377" s="29" t="e">
        <f>VLOOKUP(C377,'점포코드 '!A:B,2,0)</f>
        <v>#N/A</v>
      </c>
      <c r="E377" s="30">
        <f>'Raw data'!P296</f>
        <v>0</v>
      </c>
      <c r="F377" s="29" t="e">
        <f>VLOOKUP(E377,'점포코드 '!A:B,2,0)</f>
        <v>#N/A</v>
      </c>
      <c r="G377" s="46">
        <f>'Raw data'!F296</f>
        <v>0</v>
      </c>
      <c r="H377" s="4">
        <f>'Raw data'!G296</f>
        <v>0</v>
      </c>
      <c r="I377" s="29" t="e">
        <f>VLOOKUP(G377,제품명!$C$1:$E$114,2,0)</f>
        <v>#N/A</v>
      </c>
      <c r="J377" s="29">
        <f>'Raw data'!K296</f>
        <v>0</v>
      </c>
      <c r="K377" s="31">
        <f>'Raw data'!H296</f>
        <v>0</v>
      </c>
      <c r="L377" s="26">
        <f t="shared" si="12"/>
        <v>0</v>
      </c>
    </row>
    <row r="378" spans="2:12">
      <c r="B378" s="4" t="e">
        <f t="shared" si="11"/>
        <v>#N/A</v>
      </c>
      <c r="C378" s="4">
        <f>'Raw data'!E297</f>
        <v>0</v>
      </c>
      <c r="D378" s="29" t="e">
        <f>VLOOKUP(C378,'점포코드 '!A:B,2,0)</f>
        <v>#N/A</v>
      </c>
      <c r="E378" s="30">
        <f>'Raw data'!P297</f>
        <v>0</v>
      </c>
      <c r="F378" s="29" t="e">
        <f>VLOOKUP(E378,'점포코드 '!A:B,2,0)</f>
        <v>#N/A</v>
      </c>
      <c r="G378" s="46">
        <f>'Raw data'!F297</f>
        <v>0</v>
      </c>
      <c r="H378" s="4">
        <f>'Raw data'!G297</f>
        <v>0</v>
      </c>
      <c r="I378" s="29" t="e">
        <f>VLOOKUP(G378,제품명!$C$1:$E$114,2,0)</f>
        <v>#N/A</v>
      </c>
      <c r="J378" s="29">
        <f>'Raw data'!K297</f>
        <v>0</v>
      </c>
      <c r="K378" s="31">
        <f>'Raw data'!H297</f>
        <v>0</v>
      </c>
      <c r="L378" s="26">
        <f t="shared" si="12"/>
        <v>0</v>
      </c>
    </row>
    <row r="379" spans="2:12">
      <c r="B379" s="4" t="e">
        <f t="shared" si="11"/>
        <v>#N/A</v>
      </c>
      <c r="C379" s="4">
        <f>'Raw data'!E298</f>
        <v>0</v>
      </c>
      <c r="D379" s="29" t="e">
        <f>VLOOKUP(C379,'점포코드 '!A:B,2,0)</f>
        <v>#N/A</v>
      </c>
      <c r="E379" s="30">
        <f>'Raw data'!P298</f>
        <v>0</v>
      </c>
      <c r="F379" s="29" t="e">
        <f>VLOOKUP(E379,'점포코드 '!A:B,2,0)</f>
        <v>#N/A</v>
      </c>
      <c r="G379" s="46">
        <f>'Raw data'!F298</f>
        <v>0</v>
      </c>
      <c r="H379" s="4">
        <f>'Raw data'!G298</f>
        <v>0</v>
      </c>
      <c r="I379" s="29" t="e">
        <f>VLOOKUP(G379,제품명!$C$1:$E$114,2,0)</f>
        <v>#N/A</v>
      </c>
      <c r="J379" s="29">
        <f>'Raw data'!K298</f>
        <v>0</v>
      </c>
      <c r="K379" s="31">
        <f>'Raw data'!H298</f>
        <v>0</v>
      </c>
      <c r="L379" s="26">
        <f t="shared" si="12"/>
        <v>0</v>
      </c>
    </row>
    <row r="380" spans="2:12">
      <c r="B380" s="4" t="e">
        <f t="shared" si="11"/>
        <v>#N/A</v>
      </c>
      <c r="C380" s="4">
        <f>'Raw data'!E299</f>
        <v>0</v>
      </c>
      <c r="D380" s="29" t="e">
        <f>VLOOKUP(C380,'점포코드 '!A:B,2,0)</f>
        <v>#N/A</v>
      </c>
      <c r="E380" s="30">
        <f>'Raw data'!P299</f>
        <v>0</v>
      </c>
      <c r="F380" s="29" t="e">
        <f>VLOOKUP(E380,'점포코드 '!A:B,2,0)</f>
        <v>#N/A</v>
      </c>
      <c r="G380" s="46">
        <f>'Raw data'!F299</f>
        <v>0</v>
      </c>
      <c r="H380" s="4">
        <f>'Raw data'!G299</f>
        <v>0</v>
      </c>
      <c r="I380" s="29" t="e">
        <f>VLOOKUP(G380,제품명!$C$1:$E$114,2,0)</f>
        <v>#N/A</v>
      </c>
      <c r="J380" s="29">
        <f>'Raw data'!K299</f>
        <v>0</v>
      </c>
      <c r="K380" s="31">
        <f>'Raw data'!H299</f>
        <v>0</v>
      </c>
      <c r="L380" s="26">
        <f t="shared" si="12"/>
        <v>0</v>
      </c>
    </row>
    <row r="381" spans="2:12">
      <c r="B381" s="4" t="e">
        <f t="shared" si="11"/>
        <v>#N/A</v>
      </c>
      <c r="C381" s="4">
        <f>'Raw data'!E300</f>
        <v>0</v>
      </c>
      <c r="D381" s="29" t="e">
        <f>VLOOKUP(C381,'점포코드 '!A:B,2,0)</f>
        <v>#N/A</v>
      </c>
      <c r="E381" s="30">
        <f>'Raw data'!P300</f>
        <v>0</v>
      </c>
      <c r="F381" s="29" t="e">
        <f>VLOOKUP(E381,'점포코드 '!A:B,2,0)</f>
        <v>#N/A</v>
      </c>
      <c r="G381" s="46">
        <f>'Raw data'!F300</f>
        <v>0</v>
      </c>
      <c r="H381" s="4">
        <f>'Raw data'!G300</f>
        <v>0</v>
      </c>
      <c r="I381" s="29" t="e">
        <f>VLOOKUP(G381,제품명!$C$1:$E$114,2,0)</f>
        <v>#N/A</v>
      </c>
      <c r="J381" s="29">
        <f>'Raw data'!K300</f>
        <v>0</v>
      </c>
      <c r="K381" s="31">
        <f>'Raw data'!H300</f>
        <v>0</v>
      </c>
      <c r="L381" s="26">
        <f t="shared" si="12"/>
        <v>0</v>
      </c>
    </row>
    <row r="382" spans="2:12">
      <c r="B382" s="4" t="e">
        <f t="shared" si="11"/>
        <v>#N/A</v>
      </c>
      <c r="C382" s="4">
        <f>'Raw data'!E301</f>
        <v>0</v>
      </c>
      <c r="D382" s="29" t="e">
        <f>VLOOKUP(C382,'점포코드 '!A:B,2,0)</f>
        <v>#N/A</v>
      </c>
      <c r="E382" s="30">
        <f>'Raw data'!P301</f>
        <v>0</v>
      </c>
      <c r="F382" s="29" t="e">
        <f>VLOOKUP(E382,'점포코드 '!A:B,2,0)</f>
        <v>#N/A</v>
      </c>
      <c r="G382" s="46">
        <f>'Raw data'!F301</f>
        <v>0</v>
      </c>
      <c r="H382" s="4">
        <f>'Raw data'!G301</f>
        <v>0</v>
      </c>
      <c r="I382" s="29" t="e">
        <f>VLOOKUP(G382,제품명!$C$1:$E$114,2,0)</f>
        <v>#N/A</v>
      </c>
      <c r="J382" s="29">
        <f>'Raw data'!K301</f>
        <v>0</v>
      </c>
      <c r="K382" s="31">
        <f>'Raw data'!H301</f>
        <v>0</v>
      </c>
      <c r="L382" s="26">
        <f t="shared" si="12"/>
        <v>0</v>
      </c>
    </row>
    <row r="383" spans="2:12">
      <c r="B383" s="4" t="e">
        <f t="shared" si="11"/>
        <v>#N/A</v>
      </c>
      <c r="C383" s="4">
        <f>'Raw data'!E302</f>
        <v>0</v>
      </c>
      <c r="D383" s="29" t="e">
        <f>VLOOKUP(C383,'점포코드 '!A:B,2,0)</f>
        <v>#N/A</v>
      </c>
      <c r="E383" s="30">
        <f>'Raw data'!P302</f>
        <v>0</v>
      </c>
      <c r="F383" s="29" t="e">
        <f>VLOOKUP(E383,'점포코드 '!A:B,2,0)</f>
        <v>#N/A</v>
      </c>
      <c r="G383" s="46">
        <f>'Raw data'!F302</f>
        <v>0</v>
      </c>
      <c r="H383" s="4">
        <f>'Raw data'!G302</f>
        <v>0</v>
      </c>
      <c r="I383" s="29" t="e">
        <f>VLOOKUP(G383,제품명!$C$1:$E$114,2,0)</f>
        <v>#N/A</v>
      </c>
      <c r="J383" s="29">
        <f>'Raw data'!K302</f>
        <v>0</v>
      </c>
      <c r="K383" s="31">
        <f>'Raw data'!H302</f>
        <v>0</v>
      </c>
      <c r="L383" s="26">
        <f t="shared" si="12"/>
        <v>0</v>
      </c>
    </row>
    <row r="384" spans="2:12">
      <c r="B384" s="4" t="e">
        <f t="shared" si="11"/>
        <v>#N/A</v>
      </c>
      <c r="C384" s="4">
        <f>'Raw data'!E303</f>
        <v>0</v>
      </c>
      <c r="D384" s="29" t="e">
        <f>VLOOKUP(C384,'점포코드 '!A:B,2,0)</f>
        <v>#N/A</v>
      </c>
      <c r="E384" s="30">
        <f>'Raw data'!P303</f>
        <v>0</v>
      </c>
      <c r="F384" s="29" t="e">
        <f>VLOOKUP(E384,'점포코드 '!A:B,2,0)</f>
        <v>#N/A</v>
      </c>
      <c r="G384" s="46">
        <f>'Raw data'!F303</f>
        <v>0</v>
      </c>
      <c r="H384" s="4">
        <f>'Raw data'!G303</f>
        <v>0</v>
      </c>
      <c r="I384" s="29" t="e">
        <f>VLOOKUP(G384,제품명!$C$1:$E$114,2,0)</f>
        <v>#N/A</v>
      </c>
      <c r="J384" s="29">
        <f>'Raw data'!K303</f>
        <v>0</v>
      </c>
      <c r="K384" s="31">
        <f>'Raw data'!H303</f>
        <v>0</v>
      </c>
      <c r="L384" s="26">
        <f t="shared" si="12"/>
        <v>0</v>
      </c>
    </row>
    <row r="385" spans="2:12">
      <c r="B385" s="4" t="e">
        <f t="shared" si="11"/>
        <v>#N/A</v>
      </c>
      <c r="C385" s="4">
        <f>'Raw data'!E304</f>
        <v>0</v>
      </c>
      <c r="D385" s="29" t="e">
        <f>VLOOKUP(C385,'점포코드 '!A:B,2,0)</f>
        <v>#N/A</v>
      </c>
      <c r="E385" s="30">
        <f>'Raw data'!P304</f>
        <v>0</v>
      </c>
      <c r="F385" s="29" t="e">
        <f>VLOOKUP(E385,'점포코드 '!A:B,2,0)</f>
        <v>#N/A</v>
      </c>
      <c r="G385" s="46">
        <f>'Raw data'!F304</f>
        <v>0</v>
      </c>
      <c r="H385" s="4">
        <f>'Raw data'!G304</f>
        <v>0</v>
      </c>
      <c r="I385" s="29" t="e">
        <f>VLOOKUP(G385,제품명!$C$1:$E$114,2,0)</f>
        <v>#N/A</v>
      </c>
      <c r="J385" s="29">
        <f>'Raw data'!K304</f>
        <v>0</v>
      </c>
      <c r="K385" s="31">
        <f>'Raw data'!H304</f>
        <v>0</v>
      </c>
      <c r="L385" s="26">
        <f t="shared" si="12"/>
        <v>0</v>
      </c>
    </row>
    <row r="386" spans="2:12">
      <c r="B386" s="4" t="e">
        <f t="shared" ref="B386:B449" si="13">F386&amp;I386</f>
        <v>#N/A</v>
      </c>
      <c r="C386" s="4">
        <f>'Raw data'!E305</f>
        <v>0</v>
      </c>
      <c r="D386" s="29" t="e">
        <f>VLOOKUP(C386,'점포코드 '!A:B,2,0)</f>
        <v>#N/A</v>
      </c>
      <c r="E386" s="30">
        <f>'Raw data'!P305</f>
        <v>0</v>
      </c>
      <c r="F386" s="29" t="e">
        <f>VLOOKUP(E386,'점포코드 '!A:B,2,0)</f>
        <v>#N/A</v>
      </c>
      <c r="G386" s="46">
        <f>'Raw data'!F305</f>
        <v>0</v>
      </c>
      <c r="H386" s="4">
        <f>'Raw data'!G305</f>
        <v>0</v>
      </c>
      <c r="I386" s="29" t="e">
        <f>VLOOKUP(G386,제품명!$C$1:$E$114,2,0)</f>
        <v>#N/A</v>
      </c>
      <c r="J386" s="29">
        <f>'Raw data'!K305</f>
        <v>0</v>
      </c>
      <c r="K386" s="31">
        <f>'Raw data'!H305</f>
        <v>0</v>
      </c>
      <c r="L386" s="26">
        <f t="shared" si="12"/>
        <v>0</v>
      </c>
    </row>
    <row r="387" spans="2:12">
      <c r="B387" s="4" t="e">
        <f t="shared" si="13"/>
        <v>#N/A</v>
      </c>
      <c r="C387" s="4">
        <f>'Raw data'!E306</f>
        <v>0</v>
      </c>
      <c r="D387" s="29" t="e">
        <f>VLOOKUP(C387,'점포코드 '!A:B,2,0)</f>
        <v>#N/A</v>
      </c>
      <c r="E387" s="30">
        <f>'Raw data'!P306</f>
        <v>0</v>
      </c>
      <c r="F387" s="29" t="e">
        <f>VLOOKUP(E387,'점포코드 '!A:B,2,0)</f>
        <v>#N/A</v>
      </c>
      <c r="G387" s="46">
        <f>'Raw data'!F306</f>
        <v>0</v>
      </c>
      <c r="H387" s="4">
        <f>'Raw data'!G306</f>
        <v>0</v>
      </c>
      <c r="I387" s="29" t="e">
        <f>VLOOKUP(G387,제품명!$C$1:$E$114,2,0)</f>
        <v>#N/A</v>
      </c>
      <c r="J387" s="29">
        <f>'Raw data'!K306</f>
        <v>0</v>
      </c>
      <c r="K387" s="31">
        <f>'Raw data'!H306</f>
        <v>0</v>
      </c>
      <c r="L387" s="26">
        <f t="shared" ref="L387:L450" si="14">J387*K387</f>
        <v>0</v>
      </c>
    </row>
    <row r="388" spans="2:12">
      <c r="B388" s="4" t="e">
        <f t="shared" si="13"/>
        <v>#N/A</v>
      </c>
      <c r="C388" s="4">
        <f>'Raw data'!E307</f>
        <v>0</v>
      </c>
      <c r="D388" s="29" t="e">
        <f>VLOOKUP(C388,'점포코드 '!A:B,2,0)</f>
        <v>#N/A</v>
      </c>
      <c r="E388" s="30">
        <f>'Raw data'!P307</f>
        <v>0</v>
      </c>
      <c r="F388" s="29" t="e">
        <f>VLOOKUP(E388,'점포코드 '!A:B,2,0)</f>
        <v>#N/A</v>
      </c>
      <c r="G388" s="46">
        <f>'Raw data'!F307</f>
        <v>0</v>
      </c>
      <c r="H388" s="4">
        <f>'Raw data'!G307</f>
        <v>0</v>
      </c>
      <c r="I388" s="29" t="e">
        <f>VLOOKUP(G388,제품명!$C$1:$E$114,2,0)</f>
        <v>#N/A</v>
      </c>
      <c r="J388" s="29">
        <f>'Raw data'!K307</f>
        <v>0</v>
      </c>
      <c r="K388" s="31">
        <f>'Raw data'!H307</f>
        <v>0</v>
      </c>
      <c r="L388" s="26">
        <f t="shared" si="14"/>
        <v>0</v>
      </c>
    </row>
    <row r="389" spans="2:12">
      <c r="B389" s="4" t="e">
        <f t="shared" si="13"/>
        <v>#N/A</v>
      </c>
      <c r="C389" s="4">
        <f>'Raw data'!E308</f>
        <v>0</v>
      </c>
      <c r="D389" s="29" t="e">
        <f>VLOOKUP(C389,'점포코드 '!A:B,2,0)</f>
        <v>#N/A</v>
      </c>
      <c r="E389" s="30">
        <f>'Raw data'!P308</f>
        <v>0</v>
      </c>
      <c r="F389" s="29" t="e">
        <f>VLOOKUP(E389,'점포코드 '!A:B,2,0)</f>
        <v>#N/A</v>
      </c>
      <c r="G389" s="46">
        <f>'Raw data'!F308</f>
        <v>0</v>
      </c>
      <c r="H389" s="4">
        <f>'Raw data'!G308</f>
        <v>0</v>
      </c>
      <c r="I389" s="29" t="e">
        <f>VLOOKUP(G389,제품명!$C$1:$E$114,2,0)</f>
        <v>#N/A</v>
      </c>
      <c r="J389" s="29">
        <f>'Raw data'!K308</f>
        <v>0</v>
      </c>
      <c r="K389" s="31">
        <f>'Raw data'!H308</f>
        <v>0</v>
      </c>
      <c r="L389" s="26">
        <f t="shared" si="14"/>
        <v>0</v>
      </c>
    </row>
    <row r="390" spans="2:12">
      <c r="B390" s="4" t="e">
        <f t="shared" si="13"/>
        <v>#N/A</v>
      </c>
      <c r="C390" s="4">
        <f>'Raw data'!E309</f>
        <v>0</v>
      </c>
      <c r="D390" s="29" t="e">
        <f>VLOOKUP(C390,'점포코드 '!A:B,2,0)</f>
        <v>#N/A</v>
      </c>
      <c r="E390" s="30">
        <f>'Raw data'!P309</f>
        <v>0</v>
      </c>
      <c r="F390" s="29" t="e">
        <f>VLOOKUP(E390,'점포코드 '!A:B,2,0)</f>
        <v>#N/A</v>
      </c>
      <c r="G390" s="46">
        <f>'Raw data'!F309</f>
        <v>0</v>
      </c>
      <c r="H390" s="4">
        <f>'Raw data'!G309</f>
        <v>0</v>
      </c>
      <c r="I390" s="29" t="e">
        <f>VLOOKUP(G390,제품명!$C$1:$E$114,2,0)</f>
        <v>#N/A</v>
      </c>
      <c r="J390" s="29">
        <f>'Raw data'!K309</f>
        <v>0</v>
      </c>
      <c r="K390" s="31">
        <f>'Raw data'!H309</f>
        <v>0</v>
      </c>
      <c r="L390" s="26">
        <f t="shared" si="14"/>
        <v>0</v>
      </c>
    </row>
    <row r="391" spans="2:12">
      <c r="B391" s="4" t="e">
        <f t="shared" si="13"/>
        <v>#N/A</v>
      </c>
      <c r="C391" s="4">
        <f>'Raw data'!E310</f>
        <v>0</v>
      </c>
      <c r="D391" s="29" t="e">
        <f>VLOOKUP(C391,'점포코드 '!A:B,2,0)</f>
        <v>#N/A</v>
      </c>
      <c r="E391" s="30">
        <f>'Raw data'!P310</f>
        <v>0</v>
      </c>
      <c r="F391" s="29" t="e">
        <f>VLOOKUP(E391,'점포코드 '!A:B,2,0)</f>
        <v>#N/A</v>
      </c>
      <c r="G391" s="46">
        <f>'Raw data'!F310</f>
        <v>0</v>
      </c>
      <c r="H391" s="4">
        <f>'Raw data'!G310</f>
        <v>0</v>
      </c>
      <c r="I391" s="29" t="e">
        <f>VLOOKUP(G391,제품명!$C$1:$E$114,2,0)</f>
        <v>#N/A</v>
      </c>
      <c r="J391" s="29">
        <f>'Raw data'!K310</f>
        <v>0</v>
      </c>
      <c r="K391" s="31">
        <f>'Raw data'!H310</f>
        <v>0</v>
      </c>
      <c r="L391" s="26">
        <f t="shared" si="14"/>
        <v>0</v>
      </c>
    </row>
    <row r="392" spans="2:12">
      <c r="B392" s="4" t="e">
        <f t="shared" si="13"/>
        <v>#N/A</v>
      </c>
      <c r="C392" s="4">
        <f>'Raw data'!E311</f>
        <v>0</v>
      </c>
      <c r="D392" s="29" t="e">
        <f>VLOOKUP(C392,'점포코드 '!A:B,2,0)</f>
        <v>#N/A</v>
      </c>
      <c r="E392" s="30">
        <f>'Raw data'!P311</f>
        <v>0</v>
      </c>
      <c r="F392" s="29" t="e">
        <f>VLOOKUP(E392,'점포코드 '!A:B,2,0)</f>
        <v>#N/A</v>
      </c>
      <c r="G392" s="46">
        <f>'Raw data'!F311</f>
        <v>0</v>
      </c>
      <c r="H392" s="4">
        <f>'Raw data'!G311</f>
        <v>0</v>
      </c>
      <c r="I392" s="29" t="e">
        <f>VLOOKUP(G392,제품명!$C$1:$E$114,2,0)</f>
        <v>#N/A</v>
      </c>
      <c r="J392" s="29">
        <f>'Raw data'!K311</f>
        <v>0</v>
      </c>
      <c r="K392" s="31">
        <f>'Raw data'!H311</f>
        <v>0</v>
      </c>
      <c r="L392" s="26">
        <f t="shared" si="14"/>
        <v>0</v>
      </c>
    </row>
    <row r="393" spans="2:12">
      <c r="B393" s="4" t="e">
        <f t="shared" si="13"/>
        <v>#N/A</v>
      </c>
      <c r="C393" s="4">
        <f>'Raw data'!E312</f>
        <v>0</v>
      </c>
      <c r="D393" s="29" t="e">
        <f>VLOOKUP(C393,'점포코드 '!A:B,2,0)</f>
        <v>#N/A</v>
      </c>
      <c r="E393" s="30">
        <f>'Raw data'!P312</f>
        <v>0</v>
      </c>
      <c r="F393" s="29" t="e">
        <f>VLOOKUP(E393,'점포코드 '!A:B,2,0)</f>
        <v>#N/A</v>
      </c>
      <c r="G393" s="46">
        <f>'Raw data'!F312</f>
        <v>0</v>
      </c>
      <c r="H393" s="4">
        <f>'Raw data'!G312</f>
        <v>0</v>
      </c>
      <c r="I393" s="29" t="e">
        <f>VLOOKUP(G393,제품명!$C$1:$E$114,2,0)</f>
        <v>#N/A</v>
      </c>
      <c r="J393" s="29">
        <f>'Raw data'!K312</f>
        <v>0</v>
      </c>
      <c r="K393" s="31">
        <f>'Raw data'!H312</f>
        <v>0</v>
      </c>
      <c r="L393" s="26">
        <f t="shared" si="14"/>
        <v>0</v>
      </c>
    </row>
    <row r="394" spans="2:12">
      <c r="B394" s="4" t="e">
        <f t="shared" si="13"/>
        <v>#N/A</v>
      </c>
      <c r="C394" s="4">
        <f>'Raw data'!E313</f>
        <v>0</v>
      </c>
      <c r="D394" s="29" t="e">
        <f>VLOOKUP(C394,'점포코드 '!A:B,2,0)</f>
        <v>#N/A</v>
      </c>
      <c r="E394" s="30">
        <f>'Raw data'!P313</f>
        <v>0</v>
      </c>
      <c r="F394" s="29" t="e">
        <f>VLOOKUP(E394,'점포코드 '!A:B,2,0)</f>
        <v>#N/A</v>
      </c>
      <c r="G394" s="46">
        <f>'Raw data'!F313</f>
        <v>0</v>
      </c>
      <c r="H394" s="4">
        <f>'Raw data'!G313</f>
        <v>0</v>
      </c>
      <c r="I394" s="29" t="e">
        <f>VLOOKUP(G394,제품명!$C$1:$E$114,2,0)</f>
        <v>#N/A</v>
      </c>
      <c r="J394" s="29">
        <f>'Raw data'!K313</f>
        <v>0</v>
      </c>
      <c r="K394" s="31">
        <f>'Raw data'!H313</f>
        <v>0</v>
      </c>
      <c r="L394" s="26">
        <f t="shared" si="14"/>
        <v>0</v>
      </c>
    </row>
    <row r="395" spans="2:12">
      <c r="B395" s="4" t="e">
        <f t="shared" si="13"/>
        <v>#N/A</v>
      </c>
      <c r="C395" s="4">
        <f>'Raw data'!E314</f>
        <v>0</v>
      </c>
      <c r="D395" s="29" t="e">
        <f>VLOOKUP(C395,'점포코드 '!A:B,2,0)</f>
        <v>#N/A</v>
      </c>
      <c r="E395" s="30">
        <f>'Raw data'!P314</f>
        <v>0</v>
      </c>
      <c r="F395" s="29" t="e">
        <f>VLOOKUP(E395,'점포코드 '!A:B,2,0)</f>
        <v>#N/A</v>
      </c>
      <c r="G395" s="46">
        <f>'Raw data'!F314</f>
        <v>0</v>
      </c>
      <c r="H395" s="4">
        <f>'Raw data'!G314</f>
        <v>0</v>
      </c>
      <c r="I395" s="29" t="e">
        <f>VLOOKUP(G395,제품명!$C$1:$E$114,2,0)</f>
        <v>#N/A</v>
      </c>
      <c r="J395" s="29">
        <f>'Raw data'!K314</f>
        <v>0</v>
      </c>
      <c r="K395" s="31">
        <f>'Raw data'!H314</f>
        <v>0</v>
      </c>
      <c r="L395" s="26">
        <f t="shared" si="14"/>
        <v>0</v>
      </c>
    </row>
    <row r="396" spans="2:12">
      <c r="B396" s="4" t="e">
        <f t="shared" si="13"/>
        <v>#N/A</v>
      </c>
      <c r="C396" s="4">
        <f>'Raw data'!E315</f>
        <v>0</v>
      </c>
      <c r="D396" s="29" t="e">
        <f>VLOOKUP(C396,'점포코드 '!A:B,2,0)</f>
        <v>#N/A</v>
      </c>
      <c r="E396" s="30">
        <f>'Raw data'!P315</f>
        <v>0</v>
      </c>
      <c r="F396" s="29" t="e">
        <f>VLOOKUP(E396,'점포코드 '!A:B,2,0)</f>
        <v>#N/A</v>
      </c>
      <c r="G396" s="46">
        <f>'Raw data'!F315</f>
        <v>0</v>
      </c>
      <c r="H396" s="4">
        <f>'Raw data'!G315</f>
        <v>0</v>
      </c>
      <c r="I396" s="29" t="e">
        <f>VLOOKUP(G396,제품명!$C$1:$E$114,2,0)</f>
        <v>#N/A</v>
      </c>
      <c r="J396" s="29">
        <f>'Raw data'!K315</f>
        <v>0</v>
      </c>
      <c r="K396" s="31">
        <f>'Raw data'!H315</f>
        <v>0</v>
      </c>
      <c r="L396" s="26">
        <f t="shared" si="14"/>
        <v>0</v>
      </c>
    </row>
    <row r="397" spans="2:12">
      <c r="B397" s="4" t="e">
        <f t="shared" si="13"/>
        <v>#N/A</v>
      </c>
      <c r="C397" s="4">
        <f>'Raw data'!E316</f>
        <v>0</v>
      </c>
      <c r="D397" s="29" t="e">
        <f>VLOOKUP(C397,'점포코드 '!A:B,2,0)</f>
        <v>#N/A</v>
      </c>
      <c r="E397" s="30">
        <f>'Raw data'!P316</f>
        <v>0</v>
      </c>
      <c r="F397" s="29" t="e">
        <f>VLOOKUP(E397,'점포코드 '!A:B,2,0)</f>
        <v>#N/A</v>
      </c>
      <c r="G397" s="46">
        <f>'Raw data'!F316</f>
        <v>0</v>
      </c>
      <c r="H397" s="4">
        <f>'Raw data'!G316</f>
        <v>0</v>
      </c>
      <c r="I397" s="29" t="e">
        <f>VLOOKUP(G397,제품명!$C$1:$E$114,2,0)</f>
        <v>#N/A</v>
      </c>
      <c r="J397" s="29">
        <f>'Raw data'!K316</f>
        <v>0</v>
      </c>
      <c r="K397" s="31">
        <f>'Raw data'!H316</f>
        <v>0</v>
      </c>
      <c r="L397" s="26">
        <f t="shared" si="14"/>
        <v>0</v>
      </c>
    </row>
    <row r="398" spans="2:12">
      <c r="B398" s="4" t="e">
        <f t="shared" si="13"/>
        <v>#N/A</v>
      </c>
      <c r="C398" s="4">
        <f>'Raw data'!E317</f>
        <v>0</v>
      </c>
      <c r="D398" s="29" t="e">
        <f>VLOOKUP(C398,'점포코드 '!A:B,2,0)</f>
        <v>#N/A</v>
      </c>
      <c r="E398" s="30">
        <f>'Raw data'!P317</f>
        <v>0</v>
      </c>
      <c r="F398" s="29" t="e">
        <f>VLOOKUP(E398,'점포코드 '!A:B,2,0)</f>
        <v>#N/A</v>
      </c>
      <c r="G398" s="46">
        <f>'Raw data'!F317</f>
        <v>0</v>
      </c>
      <c r="H398" s="4">
        <f>'Raw data'!G317</f>
        <v>0</v>
      </c>
      <c r="I398" s="29" t="e">
        <f>VLOOKUP(G398,제품명!$C$1:$E$114,2,0)</f>
        <v>#N/A</v>
      </c>
      <c r="J398" s="29">
        <f>'Raw data'!K317</f>
        <v>0</v>
      </c>
      <c r="K398" s="31">
        <f>'Raw data'!H317</f>
        <v>0</v>
      </c>
      <c r="L398" s="26">
        <f t="shared" si="14"/>
        <v>0</v>
      </c>
    </row>
    <row r="399" spans="2:12">
      <c r="B399" s="4" t="e">
        <f t="shared" si="13"/>
        <v>#N/A</v>
      </c>
      <c r="C399" s="4">
        <f>'Raw data'!E318</f>
        <v>0</v>
      </c>
      <c r="D399" s="29" t="e">
        <f>VLOOKUP(C399,'점포코드 '!A:B,2,0)</f>
        <v>#N/A</v>
      </c>
      <c r="E399" s="30">
        <f>'Raw data'!P318</f>
        <v>0</v>
      </c>
      <c r="F399" s="29" t="e">
        <f>VLOOKUP(E399,'점포코드 '!A:B,2,0)</f>
        <v>#N/A</v>
      </c>
      <c r="G399" s="46">
        <f>'Raw data'!F318</f>
        <v>0</v>
      </c>
      <c r="H399" s="4">
        <f>'Raw data'!G318</f>
        <v>0</v>
      </c>
      <c r="I399" s="29" t="e">
        <f>VLOOKUP(G399,제품명!$C$1:$E$114,2,0)</f>
        <v>#N/A</v>
      </c>
      <c r="J399" s="29">
        <f>'Raw data'!K318</f>
        <v>0</v>
      </c>
      <c r="K399" s="31">
        <f>'Raw data'!H318</f>
        <v>0</v>
      </c>
      <c r="L399" s="26">
        <f t="shared" si="14"/>
        <v>0</v>
      </c>
    </row>
    <row r="400" spans="2:12">
      <c r="B400" s="4" t="e">
        <f t="shared" si="13"/>
        <v>#N/A</v>
      </c>
      <c r="C400" s="4">
        <f>'Raw data'!E319</f>
        <v>0</v>
      </c>
      <c r="D400" s="29" t="e">
        <f>VLOOKUP(C400,'점포코드 '!A:B,2,0)</f>
        <v>#N/A</v>
      </c>
      <c r="E400" s="30">
        <f>'Raw data'!P319</f>
        <v>0</v>
      </c>
      <c r="F400" s="29" t="e">
        <f>VLOOKUP(E400,'점포코드 '!A:B,2,0)</f>
        <v>#N/A</v>
      </c>
      <c r="G400" s="46">
        <f>'Raw data'!F319</f>
        <v>0</v>
      </c>
      <c r="H400" s="4">
        <f>'Raw data'!G319</f>
        <v>0</v>
      </c>
      <c r="I400" s="29" t="e">
        <f>VLOOKUP(G400,제품명!$C$1:$E$114,2,0)</f>
        <v>#N/A</v>
      </c>
      <c r="J400" s="29">
        <f>'Raw data'!K319</f>
        <v>0</v>
      </c>
      <c r="K400" s="31">
        <f>'Raw data'!H319</f>
        <v>0</v>
      </c>
      <c r="L400" s="26">
        <f t="shared" si="14"/>
        <v>0</v>
      </c>
    </row>
    <row r="401" spans="2:12">
      <c r="B401" s="4" t="e">
        <f t="shared" si="13"/>
        <v>#N/A</v>
      </c>
      <c r="C401" s="4">
        <f>'Raw data'!E320</f>
        <v>0</v>
      </c>
      <c r="D401" s="29" t="e">
        <f>VLOOKUP(C401,'점포코드 '!A:B,2,0)</f>
        <v>#N/A</v>
      </c>
      <c r="E401" s="30">
        <f>'Raw data'!P320</f>
        <v>0</v>
      </c>
      <c r="F401" s="29" t="e">
        <f>VLOOKUP(E401,'점포코드 '!A:B,2,0)</f>
        <v>#N/A</v>
      </c>
      <c r="G401" s="46">
        <f>'Raw data'!F320</f>
        <v>0</v>
      </c>
      <c r="H401" s="4">
        <f>'Raw data'!G320</f>
        <v>0</v>
      </c>
      <c r="I401" s="29" t="e">
        <f>VLOOKUP(G401,제품명!$C$1:$E$114,2,0)</f>
        <v>#N/A</v>
      </c>
      <c r="J401" s="29">
        <f>'Raw data'!K320</f>
        <v>0</v>
      </c>
      <c r="K401" s="31">
        <f>'Raw data'!H320</f>
        <v>0</v>
      </c>
      <c r="L401" s="26">
        <f t="shared" si="14"/>
        <v>0</v>
      </c>
    </row>
    <row r="402" spans="2:12">
      <c r="B402" s="4" t="e">
        <f t="shared" si="13"/>
        <v>#N/A</v>
      </c>
      <c r="C402" s="4">
        <f>'Raw data'!E321</f>
        <v>0</v>
      </c>
      <c r="D402" s="29" t="e">
        <f>VLOOKUP(C402,'점포코드 '!A:B,2,0)</f>
        <v>#N/A</v>
      </c>
      <c r="E402" s="30">
        <f>'Raw data'!P321</f>
        <v>0</v>
      </c>
      <c r="F402" s="29" t="e">
        <f>VLOOKUP(E402,'점포코드 '!A:B,2,0)</f>
        <v>#N/A</v>
      </c>
      <c r="G402" s="46">
        <f>'Raw data'!F321</f>
        <v>0</v>
      </c>
      <c r="H402" s="4">
        <f>'Raw data'!G321</f>
        <v>0</v>
      </c>
      <c r="I402" s="29" t="e">
        <f>VLOOKUP(G402,제품명!$C$1:$E$114,2,0)</f>
        <v>#N/A</v>
      </c>
      <c r="J402" s="29">
        <f>'Raw data'!K321</f>
        <v>0</v>
      </c>
      <c r="K402" s="31">
        <f>'Raw data'!H321</f>
        <v>0</v>
      </c>
      <c r="L402" s="26">
        <f t="shared" si="14"/>
        <v>0</v>
      </c>
    </row>
    <row r="403" spans="2:12">
      <c r="B403" s="4" t="e">
        <f t="shared" si="13"/>
        <v>#N/A</v>
      </c>
      <c r="C403" s="4">
        <f>'Raw data'!E322</f>
        <v>0</v>
      </c>
      <c r="D403" s="29" t="e">
        <f>VLOOKUP(C403,'점포코드 '!A:B,2,0)</f>
        <v>#N/A</v>
      </c>
      <c r="E403" s="30">
        <f>'Raw data'!P322</f>
        <v>0</v>
      </c>
      <c r="F403" s="29" t="e">
        <f>VLOOKUP(E403,'점포코드 '!A:B,2,0)</f>
        <v>#N/A</v>
      </c>
      <c r="G403" s="46">
        <f>'Raw data'!F322</f>
        <v>0</v>
      </c>
      <c r="H403" s="4">
        <f>'Raw data'!G322</f>
        <v>0</v>
      </c>
      <c r="I403" s="29" t="e">
        <f>VLOOKUP(G403,제품명!$C$1:$E$114,2,0)</f>
        <v>#N/A</v>
      </c>
      <c r="J403" s="29">
        <f>'Raw data'!K322</f>
        <v>0</v>
      </c>
      <c r="K403" s="31">
        <f>'Raw data'!H322</f>
        <v>0</v>
      </c>
      <c r="L403" s="26">
        <f t="shared" si="14"/>
        <v>0</v>
      </c>
    </row>
    <row r="404" spans="2:12">
      <c r="B404" s="4" t="e">
        <f t="shared" si="13"/>
        <v>#N/A</v>
      </c>
      <c r="C404" s="4">
        <f>'Raw data'!E323</f>
        <v>0</v>
      </c>
      <c r="D404" s="29" t="e">
        <f>VLOOKUP(C404,'점포코드 '!A:B,2,0)</f>
        <v>#N/A</v>
      </c>
      <c r="E404" s="30">
        <f>'Raw data'!P323</f>
        <v>0</v>
      </c>
      <c r="F404" s="29" t="e">
        <f>VLOOKUP(E404,'점포코드 '!A:B,2,0)</f>
        <v>#N/A</v>
      </c>
      <c r="G404" s="46">
        <f>'Raw data'!F323</f>
        <v>0</v>
      </c>
      <c r="H404" s="4">
        <f>'Raw data'!G323</f>
        <v>0</v>
      </c>
      <c r="I404" s="29" t="e">
        <f>VLOOKUP(G404,제품명!$C$1:$E$114,2,0)</f>
        <v>#N/A</v>
      </c>
      <c r="J404" s="29">
        <f>'Raw data'!K323</f>
        <v>0</v>
      </c>
      <c r="K404" s="31">
        <f>'Raw data'!H323</f>
        <v>0</v>
      </c>
      <c r="L404" s="26">
        <f t="shared" si="14"/>
        <v>0</v>
      </c>
    </row>
    <row r="405" spans="2:12">
      <c r="B405" s="4" t="e">
        <f t="shared" si="13"/>
        <v>#N/A</v>
      </c>
      <c r="C405" s="4">
        <f>'Raw data'!E324</f>
        <v>0</v>
      </c>
      <c r="D405" s="29" t="e">
        <f>VLOOKUP(C405,'점포코드 '!A:B,2,0)</f>
        <v>#N/A</v>
      </c>
      <c r="E405" s="30">
        <f>'Raw data'!P324</f>
        <v>0</v>
      </c>
      <c r="F405" s="29" t="e">
        <f>VLOOKUP(E405,'점포코드 '!A:B,2,0)</f>
        <v>#N/A</v>
      </c>
      <c r="G405" s="46">
        <f>'Raw data'!F324</f>
        <v>0</v>
      </c>
      <c r="H405" s="4">
        <f>'Raw data'!G324</f>
        <v>0</v>
      </c>
      <c r="I405" s="29" t="e">
        <f>VLOOKUP(G405,제품명!$C$1:$E$114,2,0)</f>
        <v>#N/A</v>
      </c>
      <c r="J405" s="29">
        <f>'Raw data'!K324</f>
        <v>0</v>
      </c>
      <c r="K405" s="31">
        <f>'Raw data'!H324</f>
        <v>0</v>
      </c>
      <c r="L405" s="26">
        <f t="shared" si="14"/>
        <v>0</v>
      </c>
    </row>
    <row r="406" spans="2:12">
      <c r="B406" s="4" t="e">
        <f t="shared" si="13"/>
        <v>#N/A</v>
      </c>
      <c r="C406" s="4">
        <f>'Raw data'!E325</f>
        <v>0</v>
      </c>
      <c r="D406" s="29" t="e">
        <f>VLOOKUP(C406,'점포코드 '!A:B,2,0)</f>
        <v>#N/A</v>
      </c>
      <c r="E406" s="30">
        <f>'Raw data'!P325</f>
        <v>0</v>
      </c>
      <c r="F406" s="29" t="e">
        <f>VLOOKUP(E406,'점포코드 '!A:B,2,0)</f>
        <v>#N/A</v>
      </c>
      <c r="G406" s="46">
        <f>'Raw data'!F325</f>
        <v>0</v>
      </c>
      <c r="H406" s="4">
        <f>'Raw data'!G325</f>
        <v>0</v>
      </c>
      <c r="I406" s="29" t="e">
        <f>VLOOKUP(G406,제품명!$C$1:$E$114,2,0)</f>
        <v>#N/A</v>
      </c>
      <c r="J406" s="29">
        <f>'Raw data'!K325</f>
        <v>0</v>
      </c>
      <c r="K406" s="31">
        <f>'Raw data'!H325</f>
        <v>0</v>
      </c>
      <c r="L406" s="26">
        <f t="shared" si="14"/>
        <v>0</v>
      </c>
    </row>
    <row r="407" spans="2:12">
      <c r="B407" s="4" t="e">
        <f t="shared" si="13"/>
        <v>#N/A</v>
      </c>
      <c r="C407" s="4">
        <f>'Raw data'!E326</f>
        <v>0</v>
      </c>
      <c r="D407" s="29" t="e">
        <f>VLOOKUP(C407,'점포코드 '!A:B,2,0)</f>
        <v>#N/A</v>
      </c>
      <c r="E407" s="30">
        <f>'Raw data'!P326</f>
        <v>0</v>
      </c>
      <c r="F407" s="29" t="e">
        <f>VLOOKUP(E407,'점포코드 '!A:B,2,0)</f>
        <v>#N/A</v>
      </c>
      <c r="G407" s="46">
        <f>'Raw data'!F326</f>
        <v>0</v>
      </c>
      <c r="H407" s="4">
        <f>'Raw data'!G326</f>
        <v>0</v>
      </c>
      <c r="I407" s="29" t="e">
        <f>VLOOKUP(G407,제품명!$C$1:$E$114,2,0)</f>
        <v>#N/A</v>
      </c>
      <c r="J407" s="29">
        <f>'Raw data'!K326</f>
        <v>0</v>
      </c>
      <c r="K407" s="31">
        <f>'Raw data'!H326</f>
        <v>0</v>
      </c>
      <c r="L407" s="26">
        <f t="shared" si="14"/>
        <v>0</v>
      </c>
    </row>
    <row r="408" spans="2:12">
      <c r="B408" s="4" t="e">
        <f t="shared" si="13"/>
        <v>#N/A</v>
      </c>
      <c r="C408" s="4">
        <f>'Raw data'!E327</f>
        <v>0</v>
      </c>
      <c r="D408" s="29" t="e">
        <f>VLOOKUP(C408,'점포코드 '!A:B,2,0)</f>
        <v>#N/A</v>
      </c>
      <c r="E408" s="30">
        <f>'Raw data'!P327</f>
        <v>0</v>
      </c>
      <c r="F408" s="29" t="e">
        <f>VLOOKUP(E408,'점포코드 '!A:B,2,0)</f>
        <v>#N/A</v>
      </c>
      <c r="G408" s="46">
        <f>'Raw data'!F327</f>
        <v>0</v>
      </c>
      <c r="H408" s="4">
        <f>'Raw data'!G327</f>
        <v>0</v>
      </c>
      <c r="I408" s="29" t="e">
        <f>VLOOKUP(G408,제품명!$C$1:$E$114,2,0)</f>
        <v>#N/A</v>
      </c>
      <c r="J408" s="29">
        <f>'Raw data'!K327</f>
        <v>0</v>
      </c>
      <c r="K408" s="31">
        <f>'Raw data'!H327</f>
        <v>0</v>
      </c>
      <c r="L408" s="26">
        <f t="shared" si="14"/>
        <v>0</v>
      </c>
    </row>
    <row r="409" spans="2:12">
      <c r="B409" s="4" t="e">
        <f t="shared" si="13"/>
        <v>#N/A</v>
      </c>
      <c r="C409" s="4">
        <f>'Raw data'!E328</f>
        <v>0</v>
      </c>
      <c r="D409" s="29" t="e">
        <f>VLOOKUP(C409,'점포코드 '!A:B,2,0)</f>
        <v>#N/A</v>
      </c>
      <c r="E409" s="30">
        <f>'Raw data'!P328</f>
        <v>0</v>
      </c>
      <c r="F409" s="29" t="e">
        <f>VLOOKUP(E409,'점포코드 '!A:B,2,0)</f>
        <v>#N/A</v>
      </c>
      <c r="G409" s="46">
        <f>'Raw data'!F328</f>
        <v>0</v>
      </c>
      <c r="H409" s="4">
        <f>'Raw data'!G328</f>
        <v>0</v>
      </c>
      <c r="I409" s="29" t="e">
        <f>VLOOKUP(G409,제품명!$C$1:$E$114,2,0)</f>
        <v>#N/A</v>
      </c>
      <c r="J409" s="29">
        <f>'Raw data'!K328</f>
        <v>0</v>
      </c>
      <c r="K409" s="31">
        <f>'Raw data'!H328</f>
        <v>0</v>
      </c>
      <c r="L409" s="26">
        <f t="shared" si="14"/>
        <v>0</v>
      </c>
    </row>
    <row r="410" spans="2:12">
      <c r="B410" s="4" t="e">
        <f t="shared" si="13"/>
        <v>#N/A</v>
      </c>
      <c r="C410" s="4">
        <f>'Raw data'!E329</f>
        <v>0</v>
      </c>
      <c r="D410" s="29" t="e">
        <f>VLOOKUP(C410,'점포코드 '!A:B,2,0)</f>
        <v>#N/A</v>
      </c>
      <c r="E410" s="30">
        <f>'Raw data'!P329</f>
        <v>0</v>
      </c>
      <c r="F410" s="29" t="e">
        <f>VLOOKUP(E410,'점포코드 '!A:B,2,0)</f>
        <v>#N/A</v>
      </c>
      <c r="G410" s="46">
        <f>'Raw data'!F329</f>
        <v>0</v>
      </c>
      <c r="H410" s="4">
        <f>'Raw data'!G329</f>
        <v>0</v>
      </c>
      <c r="I410" s="29" t="e">
        <f>VLOOKUP(G410,제품명!$C$1:$E$114,2,0)</f>
        <v>#N/A</v>
      </c>
      <c r="J410" s="29">
        <f>'Raw data'!K329</f>
        <v>0</v>
      </c>
      <c r="K410" s="31">
        <f>'Raw data'!H329</f>
        <v>0</v>
      </c>
      <c r="L410" s="26">
        <f t="shared" si="14"/>
        <v>0</v>
      </c>
    </row>
    <row r="411" spans="2:12">
      <c r="B411" s="4" t="e">
        <f t="shared" si="13"/>
        <v>#N/A</v>
      </c>
      <c r="C411" s="4">
        <f>'Raw data'!E330</f>
        <v>0</v>
      </c>
      <c r="D411" s="29" t="e">
        <f>VLOOKUP(C411,'점포코드 '!A:B,2,0)</f>
        <v>#N/A</v>
      </c>
      <c r="E411" s="30">
        <f>'Raw data'!P330</f>
        <v>0</v>
      </c>
      <c r="F411" s="29" t="e">
        <f>VLOOKUP(E411,'점포코드 '!A:B,2,0)</f>
        <v>#N/A</v>
      </c>
      <c r="G411" s="46">
        <f>'Raw data'!F330</f>
        <v>0</v>
      </c>
      <c r="H411" s="4">
        <f>'Raw data'!G330</f>
        <v>0</v>
      </c>
      <c r="I411" s="29" t="e">
        <f>VLOOKUP(G411,제품명!$C$1:$E$114,2,0)</f>
        <v>#N/A</v>
      </c>
      <c r="J411" s="29">
        <f>'Raw data'!K330</f>
        <v>0</v>
      </c>
      <c r="K411" s="31">
        <f>'Raw data'!H330</f>
        <v>0</v>
      </c>
      <c r="L411" s="26">
        <f t="shared" si="14"/>
        <v>0</v>
      </c>
    </row>
    <row r="412" spans="2:12">
      <c r="B412" s="4" t="e">
        <f t="shared" si="13"/>
        <v>#N/A</v>
      </c>
      <c r="C412" s="4">
        <f>'Raw data'!E331</f>
        <v>0</v>
      </c>
      <c r="D412" s="29" t="e">
        <f>VLOOKUP(C412,'점포코드 '!A:B,2,0)</f>
        <v>#N/A</v>
      </c>
      <c r="E412" s="30">
        <f>'Raw data'!P331</f>
        <v>0</v>
      </c>
      <c r="F412" s="29" t="e">
        <f>VLOOKUP(E412,'점포코드 '!A:B,2,0)</f>
        <v>#N/A</v>
      </c>
      <c r="G412" s="46">
        <f>'Raw data'!F331</f>
        <v>0</v>
      </c>
      <c r="H412" s="4">
        <f>'Raw data'!G331</f>
        <v>0</v>
      </c>
      <c r="I412" s="29" t="e">
        <f>VLOOKUP(G412,제품명!$C$1:$E$114,2,0)</f>
        <v>#N/A</v>
      </c>
      <c r="J412" s="29">
        <f>'Raw data'!K331</f>
        <v>0</v>
      </c>
      <c r="K412" s="31">
        <f>'Raw data'!H331</f>
        <v>0</v>
      </c>
      <c r="L412" s="26">
        <f t="shared" si="14"/>
        <v>0</v>
      </c>
    </row>
    <row r="413" spans="2:12">
      <c r="B413" s="4" t="e">
        <f t="shared" si="13"/>
        <v>#N/A</v>
      </c>
      <c r="C413" s="4">
        <f>'Raw data'!E332</f>
        <v>0</v>
      </c>
      <c r="D413" s="29" t="e">
        <f>VLOOKUP(C413,'점포코드 '!A:B,2,0)</f>
        <v>#N/A</v>
      </c>
      <c r="E413" s="30">
        <f>'Raw data'!P332</f>
        <v>0</v>
      </c>
      <c r="F413" s="29" t="e">
        <f>VLOOKUP(E413,'점포코드 '!A:B,2,0)</f>
        <v>#N/A</v>
      </c>
      <c r="G413" s="46">
        <f>'Raw data'!F332</f>
        <v>0</v>
      </c>
      <c r="H413" s="4">
        <f>'Raw data'!G332</f>
        <v>0</v>
      </c>
      <c r="I413" s="29" t="e">
        <f>VLOOKUP(G413,제품명!$C$1:$E$114,2,0)</f>
        <v>#N/A</v>
      </c>
      <c r="J413" s="29">
        <f>'Raw data'!K332</f>
        <v>0</v>
      </c>
      <c r="K413" s="31">
        <f>'Raw data'!H332</f>
        <v>0</v>
      </c>
      <c r="L413" s="26">
        <f t="shared" si="14"/>
        <v>0</v>
      </c>
    </row>
    <row r="414" spans="2:12">
      <c r="B414" s="4" t="e">
        <f t="shared" si="13"/>
        <v>#N/A</v>
      </c>
      <c r="C414" s="4">
        <f>'Raw data'!E333</f>
        <v>0</v>
      </c>
      <c r="D414" s="29" t="e">
        <f>VLOOKUP(C414,'점포코드 '!A:B,2,0)</f>
        <v>#N/A</v>
      </c>
      <c r="E414" s="30">
        <f>'Raw data'!P333</f>
        <v>0</v>
      </c>
      <c r="F414" s="29" t="e">
        <f>VLOOKUP(E414,'점포코드 '!A:B,2,0)</f>
        <v>#N/A</v>
      </c>
      <c r="G414" s="46">
        <f>'Raw data'!F333</f>
        <v>0</v>
      </c>
      <c r="H414" s="4">
        <f>'Raw data'!G333</f>
        <v>0</v>
      </c>
      <c r="I414" s="29" t="e">
        <f>VLOOKUP(G414,제품명!$C$1:$E$114,2,0)</f>
        <v>#N/A</v>
      </c>
      <c r="J414" s="29">
        <f>'Raw data'!K333</f>
        <v>0</v>
      </c>
      <c r="K414" s="31">
        <f>'Raw data'!H333</f>
        <v>0</v>
      </c>
      <c r="L414" s="26">
        <f t="shared" si="14"/>
        <v>0</v>
      </c>
    </row>
    <row r="415" spans="2:12">
      <c r="B415" s="4" t="e">
        <f t="shared" si="13"/>
        <v>#N/A</v>
      </c>
      <c r="C415" s="4">
        <f>'Raw data'!E334</f>
        <v>0</v>
      </c>
      <c r="D415" s="29" t="e">
        <f>VLOOKUP(C415,'점포코드 '!A:B,2,0)</f>
        <v>#N/A</v>
      </c>
      <c r="E415" s="30">
        <f>'Raw data'!P334</f>
        <v>0</v>
      </c>
      <c r="F415" s="29" t="e">
        <f>VLOOKUP(E415,'점포코드 '!A:B,2,0)</f>
        <v>#N/A</v>
      </c>
      <c r="G415" s="46">
        <f>'Raw data'!F334</f>
        <v>0</v>
      </c>
      <c r="H415" s="4">
        <f>'Raw data'!G334</f>
        <v>0</v>
      </c>
      <c r="I415" s="29" t="e">
        <f>VLOOKUP(G415,제품명!$C$1:$E$114,2,0)</f>
        <v>#N/A</v>
      </c>
      <c r="J415" s="29">
        <f>'Raw data'!K334</f>
        <v>0</v>
      </c>
      <c r="K415" s="31">
        <f>'Raw data'!H334</f>
        <v>0</v>
      </c>
      <c r="L415" s="26">
        <f t="shared" si="14"/>
        <v>0</v>
      </c>
    </row>
    <row r="416" spans="2:12">
      <c r="B416" s="4" t="e">
        <f t="shared" si="13"/>
        <v>#N/A</v>
      </c>
      <c r="C416" s="4">
        <f>'Raw data'!E335</f>
        <v>0</v>
      </c>
      <c r="D416" s="29" t="e">
        <f>VLOOKUP(C416,'점포코드 '!A:B,2,0)</f>
        <v>#N/A</v>
      </c>
      <c r="E416" s="30">
        <f>'Raw data'!P335</f>
        <v>0</v>
      </c>
      <c r="F416" s="29" t="e">
        <f>VLOOKUP(E416,'점포코드 '!A:B,2,0)</f>
        <v>#N/A</v>
      </c>
      <c r="G416" s="46">
        <f>'Raw data'!F335</f>
        <v>0</v>
      </c>
      <c r="H416" s="4">
        <f>'Raw data'!G335</f>
        <v>0</v>
      </c>
      <c r="I416" s="29" t="e">
        <f>VLOOKUP(G416,제품명!$C$1:$E$114,2,0)</f>
        <v>#N/A</v>
      </c>
      <c r="J416" s="29">
        <f>'Raw data'!K335</f>
        <v>0</v>
      </c>
      <c r="K416" s="31">
        <f>'Raw data'!H335</f>
        <v>0</v>
      </c>
      <c r="L416" s="26">
        <f t="shared" si="14"/>
        <v>0</v>
      </c>
    </row>
    <row r="417" spans="2:12">
      <c r="B417" s="4" t="e">
        <f t="shared" si="13"/>
        <v>#N/A</v>
      </c>
      <c r="C417" s="4">
        <f>'Raw data'!E336</f>
        <v>0</v>
      </c>
      <c r="D417" s="29" t="e">
        <f>VLOOKUP(C417,'점포코드 '!A:B,2,0)</f>
        <v>#N/A</v>
      </c>
      <c r="E417" s="30">
        <f>'Raw data'!P336</f>
        <v>0</v>
      </c>
      <c r="F417" s="29" t="e">
        <f>VLOOKUP(E417,'점포코드 '!A:B,2,0)</f>
        <v>#N/A</v>
      </c>
      <c r="G417" s="46">
        <f>'Raw data'!F336</f>
        <v>0</v>
      </c>
      <c r="H417" s="4">
        <f>'Raw data'!G336</f>
        <v>0</v>
      </c>
      <c r="I417" s="29" t="e">
        <f>VLOOKUP(G417,제품명!$C$1:$E$114,2,0)</f>
        <v>#N/A</v>
      </c>
      <c r="J417" s="29">
        <f>'Raw data'!K336</f>
        <v>0</v>
      </c>
      <c r="K417" s="31">
        <f>'Raw data'!H336</f>
        <v>0</v>
      </c>
      <c r="L417" s="26">
        <f t="shared" si="14"/>
        <v>0</v>
      </c>
    </row>
    <row r="418" spans="2:12">
      <c r="B418" s="4" t="e">
        <f t="shared" si="13"/>
        <v>#N/A</v>
      </c>
      <c r="C418" s="4">
        <f>'Raw data'!E337</f>
        <v>0</v>
      </c>
      <c r="D418" s="29" t="e">
        <f>VLOOKUP(C418,'점포코드 '!A:B,2,0)</f>
        <v>#N/A</v>
      </c>
      <c r="E418" s="30">
        <f>'Raw data'!P337</f>
        <v>0</v>
      </c>
      <c r="F418" s="29" t="e">
        <f>VLOOKUP(E418,'점포코드 '!A:B,2,0)</f>
        <v>#N/A</v>
      </c>
      <c r="G418" s="46">
        <f>'Raw data'!F337</f>
        <v>0</v>
      </c>
      <c r="H418" s="4">
        <f>'Raw data'!G337</f>
        <v>0</v>
      </c>
      <c r="I418" s="29" t="e">
        <f>VLOOKUP(G418,제품명!$C$1:$E$114,2,0)</f>
        <v>#N/A</v>
      </c>
      <c r="J418" s="29">
        <f>'Raw data'!K337</f>
        <v>0</v>
      </c>
      <c r="K418" s="31">
        <f>'Raw data'!H337</f>
        <v>0</v>
      </c>
      <c r="L418" s="26">
        <f t="shared" si="14"/>
        <v>0</v>
      </c>
    </row>
    <row r="419" spans="2:12">
      <c r="B419" s="4" t="e">
        <f t="shared" si="13"/>
        <v>#N/A</v>
      </c>
      <c r="C419" s="4">
        <f>'Raw data'!E338</f>
        <v>0</v>
      </c>
      <c r="D419" s="29" t="e">
        <f>VLOOKUP(C419,'점포코드 '!A:B,2,0)</f>
        <v>#N/A</v>
      </c>
      <c r="E419" s="30">
        <f>'Raw data'!P338</f>
        <v>0</v>
      </c>
      <c r="F419" s="29" t="e">
        <f>VLOOKUP(E419,'점포코드 '!A:B,2,0)</f>
        <v>#N/A</v>
      </c>
      <c r="G419" s="46">
        <f>'Raw data'!F338</f>
        <v>0</v>
      </c>
      <c r="H419" s="4">
        <f>'Raw data'!G338</f>
        <v>0</v>
      </c>
      <c r="I419" s="29" t="e">
        <f>VLOOKUP(G419,제품명!$C$1:$E$114,2,0)</f>
        <v>#N/A</v>
      </c>
      <c r="J419" s="29">
        <f>'Raw data'!K338</f>
        <v>0</v>
      </c>
      <c r="K419" s="31">
        <f>'Raw data'!H338</f>
        <v>0</v>
      </c>
      <c r="L419" s="26">
        <f t="shared" si="14"/>
        <v>0</v>
      </c>
    </row>
    <row r="420" spans="2:12">
      <c r="B420" s="4" t="e">
        <f t="shared" si="13"/>
        <v>#N/A</v>
      </c>
      <c r="C420" s="4">
        <f>'Raw data'!E339</f>
        <v>0</v>
      </c>
      <c r="D420" s="29" t="e">
        <f>VLOOKUP(C420,'점포코드 '!A:B,2,0)</f>
        <v>#N/A</v>
      </c>
      <c r="E420" s="30">
        <f>'Raw data'!P339</f>
        <v>0</v>
      </c>
      <c r="F420" s="29" t="e">
        <f>VLOOKUP(E420,'점포코드 '!A:B,2,0)</f>
        <v>#N/A</v>
      </c>
      <c r="G420" s="46">
        <f>'Raw data'!F339</f>
        <v>0</v>
      </c>
      <c r="H420" s="4">
        <f>'Raw data'!G339</f>
        <v>0</v>
      </c>
      <c r="I420" s="29" t="e">
        <f>VLOOKUP(G420,제품명!$C$1:$E$114,2,0)</f>
        <v>#N/A</v>
      </c>
      <c r="J420" s="29">
        <f>'Raw data'!K339</f>
        <v>0</v>
      </c>
      <c r="K420" s="31">
        <f>'Raw data'!H339</f>
        <v>0</v>
      </c>
      <c r="L420" s="26">
        <f t="shared" si="14"/>
        <v>0</v>
      </c>
    </row>
    <row r="421" spans="2:12">
      <c r="B421" s="4" t="e">
        <f t="shared" si="13"/>
        <v>#N/A</v>
      </c>
      <c r="C421" s="4">
        <f>'Raw data'!E340</f>
        <v>0</v>
      </c>
      <c r="D421" s="29" t="e">
        <f>VLOOKUP(C421,'점포코드 '!A:B,2,0)</f>
        <v>#N/A</v>
      </c>
      <c r="E421" s="30">
        <f>'Raw data'!P340</f>
        <v>0</v>
      </c>
      <c r="F421" s="29" t="e">
        <f>VLOOKUP(E421,'점포코드 '!A:B,2,0)</f>
        <v>#N/A</v>
      </c>
      <c r="G421" s="46">
        <f>'Raw data'!F340</f>
        <v>0</v>
      </c>
      <c r="H421" s="4">
        <f>'Raw data'!G340</f>
        <v>0</v>
      </c>
      <c r="I421" s="29" t="e">
        <f>VLOOKUP(G421,제품명!$C$1:$E$114,2,0)</f>
        <v>#N/A</v>
      </c>
      <c r="J421" s="29">
        <f>'Raw data'!K340</f>
        <v>0</v>
      </c>
      <c r="K421" s="31">
        <f>'Raw data'!H340</f>
        <v>0</v>
      </c>
      <c r="L421" s="26">
        <f t="shared" si="14"/>
        <v>0</v>
      </c>
    </row>
    <row r="422" spans="2:12">
      <c r="B422" s="4" t="e">
        <f t="shared" si="13"/>
        <v>#N/A</v>
      </c>
      <c r="C422" s="4">
        <f>'Raw data'!E341</f>
        <v>0</v>
      </c>
      <c r="D422" s="29" t="e">
        <f>VLOOKUP(C422,'점포코드 '!A:B,2,0)</f>
        <v>#N/A</v>
      </c>
      <c r="E422" s="30">
        <f>'Raw data'!P341</f>
        <v>0</v>
      </c>
      <c r="F422" s="29" t="e">
        <f>VLOOKUP(E422,'점포코드 '!A:B,2,0)</f>
        <v>#N/A</v>
      </c>
      <c r="G422" s="46">
        <f>'Raw data'!F341</f>
        <v>0</v>
      </c>
      <c r="H422" s="4">
        <f>'Raw data'!G341</f>
        <v>0</v>
      </c>
      <c r="I422" s="29" t="e">
        <f>VLOOKUP(G422,제품명!$C$1:$E$114,2,0)</f>
        <v>#N/A</v>
      </c>
      <c r="J422" s="29">
        <f>'Raw data'!K341</f>
        <v>0</v>
      </c>
      <c r="K422" s="31">
        <f>'Raw data'!H341</f>
        <v>0</v>
      </c>
      <c r="L422" s="26">
        <f t="shared" si="14"/>
        <v>0</v>
      </c>
    </row>
    <row r="423" spans="2:12">
      <c r="B423" s="4" t="e">
        <f t="shared" si="13"/>
        <v>#N/A</v>
      </c>
      <c r="C423" s="4">
        <f>'Raw data'!E342</f>
        <v>0</v>
      </c>
      <c r="D423" s="29" t="e">
        <f>VLOOKUP(C423,'점포코드 '!A:B,2,0)</f>
        <v>#N/A</v>
      </c>
      <c r="E423" s="30">
        <f>'Raw data'!P342</f>
        <v>0</v>
      </c>
      <c r="F423" s="29" t="e">
        <f>VLOOKUP(E423,'점포코드 '!A:B,2,0)</f>
        <v>#N/A</v>
      </c>
      <c r="G423" s="46">
        <f>'Raw data'!F342</f>
        <v>0</v>
      </c>
      <c r="H423" s="4">
        <f>'Raw data'!G342</f>
        <v>0</v>
      </c>
      <c r="I423" s="29" t="e">
        <f>VLOOKUP(G423,제품명!$C$1:$E$114,2,0)</f>
        <v>#N/A</v>
      </c>
      <c r="J423" s="29">
        <f>'Raw data'!K342</f>
        <v>0</v>
      </c>
      <c r="K423" s="31">
        <f>'Raw data'!H342</f>
        <v>0</v>
      </c>
      <c r="L423" s="26">
        <f t="shared" si="14"/>
        <v>0</v>
      </c>
    </row>
    <row r="424" spans="2:12">
      <c r="B424" s="4" t="e">
        <f t="shared" si="13"/>
        <v>#N/A</v>
      </c>
      <c r="C424" s="4">
        <f>'Raw data'!E343</f>
        <v>0</v>
      </c>
      <c r="D424" s="29" t="e">
        <f>VLOOKUP(C424,'점포코드 '!A:B,2,0)</f>
        <v>#N/A</v>
      </c>
      <c r="E424" s="30">
        <f>'Raw data'!P343</f>
        <v>0</v>
      </c>
      <c r="F424" s="29" t="e">
        <f>VLOOKUP(E424,'점포코드 '!A:B,2,0)</f>
        <v>#N/A</v>
      </c>
      <c r="G424" s="46">
        <f>'Raw data'!F343</f>
        <v>0</v>
      </c>
      <c r="H424" s="4">
        <f>'Raw data'!G343</f>
        <v>0</v>
      </c>
      <c r="I424" s="29" t="e">
        <f>VLOOKUP(G424,제품명!$C$1:$E$114,2,0)</f>
        <v>#N/A</v>
      </c>
      <c r="J424" s="29">
        <f>'Raw data'!K343</f>
        <v>0</v>
      </c>
      <c r="K424" s="31">
        <f>'Raw data'!H343</f>
        <v>0</v>
      </c>
      <c r="L424" s="26">
        <f t="shared" si="14"/>
        <v>0</v>
      </c>
    </row>
    <row r="425" spans="2:12">
      <c r="B425" s="4" t="e">
        <f t="shared" si="13"/>
        <v>#N/A</v>
      </c>
      <c r="C425" s="4">
        <f>'Raw data'!E344</f>
        <v>0</v>
      </c>
      <c r="D425" s="29" t="e">
        <f>VLOOKUP(C425,'점포코드 '!A:B,2,0)</f>
        <v>#N/A</v>
      </c>
      <c r="E425" s="30">
        <f>'Raw data'!P344</f>
        <v>0</v>
      </c>
      <c r="F425" s="29" t="e">
        <f>VLOOKUP(E425,'점포코드 '!A:B,2,0)</f>
        <v>#N/A</v>
      </c>
      <c r="G425" s="46">
        <f>'Raw data'!F344</f>
        <v>0</v>
      </c>
      <c r="H425" s="4">
        <f>'Raw data'!G344</f>
        <v>0</v>
      </c>
      <c r="I425" s="29" t="e">
        <f>VLOOKUP(G425,제품명!$C$1:$E$114,2,0)</f>
        <v>#N/A</v>
      </c>
      <c r="J425" s="29">
        <f>'Raw data'!K344</f>
        <v>0</v>
      </c>
      <c r="K425" s="31">
        <f>'Raw data'!H344</f>
        <v>0</v>
      </c>
      <c r="L425" s="26">
        <f t="shared" si="14"/>
        <v>0</v>
      </c>
    </row>
    <row r="426" spans="2:12">
      <c r="B426" s="4" t="e">
        <f t="shared" si="13"/>
        <v>#N/A</v>
      </c>
      <c r="C426" s="4">
        <f>'Raw data'!E345</f>
        <v>0</v>
      </c>
      <c r="D426" s="29" t="e">
        <f>VLOOKUP(C426,'점포코드 '!A:B,2,0)</f>
        <v>#N/A</v>
      </c>
      <c r="E426" s="30">
        <f>'Raw data'!P345</f>
        <v>0</v>
      </c>
      <c r="F426" s="29" t="e">
        <f>VLOOKUP(E426,'점포코드 '!A:B,2,0)</f>
        <v>#N/A</v>
      </c>
      <c r="G426" s="46">
        <f>'Raw data'!F345</f>
        <v>0</v>
      </c>
      <c r="H426" s="4">
        <f>'Raw data'!G345</f>
        <v>0</v>
      </c>
      <c r="I426" s="29" t="e">
        <f>VLOOKUP(G426,제품명!$C$1:$E$114,2,0)</f>
        <v>#N/A</v>
      </c>
      <c r="J426" s="29">
        <f>'Raw data'!K345</f>
        <v>0</v>
      </c>
      <c r="K426" s="31">
        <f>'Raw data'!H345</f>
        <v>0</v>
      </c>
      <c r="L426" s="26">
        <f t="shared" si="14"/>
        <v>0</v>
      </c>
    </row>
    <row r="427" spans="2:12">
      <c r="B427" s="4" t="e">
        <f t="shared" si="13"/>
        <v>#N/A</v>
      </c>
      <c r="C427" s="4">
        <f>'Raw data'!E346</f>
        <v>0</v>
      </c>
      <c r="D427" s="29" t="e">
        <f>VLOOKUP(C427,'점포코드 '!A:B,2,0)</f>
        <v>#N/A</v>
      </c>
      <c r="E427" s="30">
        <f>'Raw data'!P346</f>
        <v>0</v>
      </c>
      <c r="F427" s="29" t="e">
        <f>VLOOKUP(E427,'점포코드 '!A:B,2,0)</f>
        <v>#N/A</v>
      </c>
      <c r="G427" s="46">
        <f>'Raw data'!F346</f>
        <v>0</v>
      </c>
      <c r="H427" s="4">
        <f>'Raw data'!G346</f>
        <v>0</v>
      </c>
      <c r="I427" s="29" t="e">
        <f>VLOOKUP(G427,제품명!$C$1:$E$114,2,0)</f>
        <v>#N/A</v>
      </c>
      <c r="J427" s="29">
        <f>'Raw data'!K346</f>
        <v>0</v>
      </c>
      <c r="K427" s="31">
        <f>'Raw data'!H346</f>
        <v>0</v>
      </c>
      <c r="L427" s="26">
        <f t="shared" si="14"/>
        <v>0</v>
      </c>
    </row>
    <row r="428" spans="2:12">
      <c r="B428" s="4" t="e">
        <f t="shared" si="13"/>
        <v>#N/A</v>
      </c>
      <c r="C428" s="4">
        <f>'Raw data'!E347</f>
        <v>0</v>
      </c>
      <c r="D428" s="29" t="e">
        <f>VLOOKUP(C428,'점포코드 '!A:B,2,0)</f>
        <v>#N/A</v>
      </c>
      <c r="E428" s="30">
        <f>'Raw data'!P347</f>
        <v>0</v>
      </c>
      <c r="F428" s="29" t="e">
        <f>VLOOKUP(E428,'점포코드 '!A:B,2,0)</f>
        <v>#N/A</v>
      </c>
      <c r="G428" s="46">
        <f>'Raw data'!F347</f>
        <v>0</v>
      </c>
      <c r="H428" s="4">
        <f>'Raw data'!G347</f>
        <v>0</v>
      </c>
      <c r="I428" s="29" t="e">
        <f>VLOOKUP(G428,제품명!$C$1:$E$114,2,0)</f>
        <v>#N/A</v>
      </c>
      <c r="J428" s="29">
        <f>'Raw data'!K347</f>
        <v>0</v>
      </c>
      <c r="K428" s="31">
        <f>'Raw data'!H347</f>
        <v>0</v>
      </c>
      <c r="L428" s="26">
        <f t="shared" si="14"/>
        <v>0</v>
      </c>
    </row>
    <row r="429" spans="2:12">
      <c r="B429" s="4" t="e">
        <f t="shared" si="13"/>
        <v>#N/A</v>
      </c>
      <c r="C429" s="4">
        <f>'Raw data'!E348</f>
        <v>0</v>
      </c>
      <c r="D429" s="29" t="e">
        <f>VLOOKUP(C429,'점포코드 '!A:B,2,0)</f>
        <v>#N/A</v>
      </c>
      <c r="E429" s="30">
        <f>'Raw data'!P348</f>
        <v>0</v>
      </c>
      <c r="F429" s="29" t="e">
        <f>VLOOKUP(E429,'점포코드 '!A:B,2,0)</f>
        <v>#N/A</v>
      </c>
      <c r="G429" s="46">
        <f>'Raw data'!F348</f>
        <v>0</v>
      </c>
      <c r="H429" s="4">
        <f>'Raw data'!G348</f>
        <v>0</v>
      </c>
      <c r="I429" s="29" t="e">
        <f>VLOOKUP(G429,제품명!$C$1:$E$114,2,0)</f>
        <v>#N/A</v>
      </c>
      <c r="J429" s="29">
        <f>'Raw data'!K348</f>
        <v>0</v>
      </c>
      <c r="K429" s="31">
        <f>'Raw data'!H348</f>
        <v>0</v>
      </c>
      <c r="L429" s="26">
        <f t="shared" si="14"/>
        <v>0</v>
      </c>
    </row>
    <row r="430" spans="2:12">
      <c r="B430" s="4" t="e">
        <f t="shared" si="13"/>
        <v>#N/A</v>
      </c>
      <c r="C430" s="4">
        <f>'Raw data'!E349</f>
        <v>0</v>
      </c>
      <c r="D430" s="29" t="e">
        <f>VLOOKUP(C430,'점포코드 '!A:B,2,0)</f>
        <v>#N/A</v>
      </c>
      <c r="E430" s="30">
        <f>'Raw data'!P349</f>
        <v>0</v>
      </c>
      <c r="F430" s="29" t="e">
        <f>VLOOKUP(E430,'점포코드 '!A:B,2,0)</f>
        <v>#N/A</v>
      </c>
      <c r="G430" s="46">
        <f>'Raw data'!F349</f>
        <v>0</v>
      </c>
      <c r="H430" s="4">
        <f>'Raw data'!G349</f>
        <v>0</v>
      </c>
      <c r="I430" s="29" t="e">
        <f>VLOOKUP(G430,제품명!$C$1:$E$114,2,0)</f>
        <v>#N/A</v>
      </c>
      <c r="J430" s="29">
        <f>'Raw data'!K349</f>
        <v>0</v>
      </c>
      <c r="K430" s="31">
        <f>'Raw data'!H349</f>
        <v>0</v>
      </c>
      <c r="L430" s="26">
        <f t="shared" si="14"/>
        <v>0</v>
      </c>
    </row>
    <row r="431" spans="2:12">
      <c r="B431" s="4" t="e">
        <f t="shared" si="13"/>
        <v>#N/A</v>
      </c>
      <c r="C431" s="4">
        <f>'Raw data'!E350</f>
        <v>0</v>
      </c>
      <c r="D431" s="29" t="e">
        <f>VLOOKUP(C431,'점포코드 '!A:B,2,0)</f>
        <v>#N/A</v>
      </c>
      <c r="E431" s="30">
        <f>'Raw data'!P350</f>
        <v>0</v>
      </c>
      <c r="F431" s="29" t="e">
        <f>VLOOKUP(E431,'점포코드 '!A:B,2,0)</f>
        <v>#N/A</v>
      </c>
      <c r="G431" s="46">
        <f>'Raw data'!F350</f>
        <v>0</v>
      </c>
      <c r="H431" s="4">
        <f>'Raw data'!G350</f>
        <v>0</v>
      </c>
      <c r="I431" s="29" t="e">
        <f>VLOOKUP(G431,제품명!$C$1:$E$114,2,0)</f>
        <v>#N/A</v>
      </c>
      <c r="J431" s="29">
        <f>'Raw data'!K350</f>
        <v>0</v>
      </c>
      <c r="K431" s="31">
        <f>'Raw data'!H350</f>
        <v>0</v>
      </c>
      <c r="L431" s="26">
        <f t="shared" si="14"/>
        <v>0</v>
      </c>
    </row>
    <row r="432" spans="2:12">
      <c r="B432" s="4" t="e">
        <f t="shared" si="13"/>
        <v>#N/A</v>
      </c>
      <c r="C432" s="4">
        <f>'Raw data'!E351</f>
        <v>0</v>
      </c>
      <c r="D432" s="29" t="e">
        <f>VLOOKUP(C432,'점포코드 '!A:B,2,0)</f>
        <v>#N/A</v>
      </c>
      <c r="E432" s="30">
        <f>'Raw data'!P351</f>
        <v>0</v>
      </c>
      <c r="F432" s="29" t="e">
        <f>VLOOKUP(E432,'점포코드 '!A:B,2,0)</f>
        <v>#N/A</v>
      </c>
      <c r="G432" s="46">
        <f>'Raw data'!F351</f>
        <v>0</v>
      </c>
      <c r="H432" s="4">
        <f>'Raw data'!G351</f>
        <v>0</v>
      </c>
      <c r="I432" s="29" t="e">
        <f>VLOOKUP(G432,제품명!$C$1:$E$114,2,0)</f>
        <v>#N/A</v>
      </c>
      <c r="J432" s="29">
        <f>'Raw data'!K351</f>
        <v>0</v>
      </c>
      <c r="K432" s="31">
        <f>'Raw data'!H351</f>
        <v>0</v>
      </c>
      <c r="L432" s="26">
        <f t="shared" si="14"/>
        <v>0</v>
      </c>
    </row>
    <row r="433" spans="2:12">
      <c r="B433" s="4" t="e">
        <f t="shared" si="13"/>
        <v>#N/A</v>
      </c>
      <c r="C433" s="4">
        <f>'Raw data'!E352</f>
        <v>0</v>
      </c>
      <c r="D433" s="29" t="e">
        <f>VLOOKUP(C433,'점포코드 '!A:B,2,0)</f>
        <v>#N/A</v>
      </c>
      <c r="E433" s="30">
        <f>'Raw data'!P352</f>
        <v>0</v>
      </c>
      <c r="F433" s="29" t="e">
        <f>VLOOKUP(E433,'점포코드 '!A:B,2,0)</f>
        <v>#N/A</v>
      </c>
      <c r="G433" s="46">
        <f>'Raw data'!F352</f>
        <v>0</v>
      </c>
      <c r="H433" s="4">
        <f>'Raw data'!G352</f>
        <v>0</v>
      </c>
      <c r="I433" s="29" t="e">
        <f>VLOOKUP(G433,제품명!$C$1:$E$114,2,0)</f>
        <v>#N/A</v>
      </c>
      <c r="J433" s="29">
        <f>'Raw data'!K352</f>
        <v>0</v>
      </c>
      <c r="K433" s="31">
        <f>'Raw data'!H352</f>
        <v>0</v>
      </c>
      <c r="L433" s="26">
        <f t="shared" si="14"/>
        <v>0</v>
      </c>
    </row>
    <row r="434" spans="2:12">
      <c r="B434" s="4" t="e">
        <f t="shared" si="13"/>
        <v>#N/A</v>
      </c>
      <c r="C434" s="4">
        <f>'Raw data'!E353</f>
        <v>0</v>
      </c>
      <c r="D434" s="29" t="e">
        <f>VLOOKUP(C434,'점포코드 '!A:B,2,0)</f>
        <v>#N/A</v>
      </c>
      <c r="E434" s="30">
        <f>'Raw data'!P353</f>
        <v>0</v>
      </c>
      <c r="F434" s="29" t="e">
        <f>VLOOKUP(E434,'점포코드 '!A:B,2,0)</f>
        <v>#N/A</v>
      </c>
      <c r="G434" s="46">
        <f>'Raw data'!F353</f>
        <v>0</v>
      </c>
      <c r="H434" s="4">
        <f>'Raw data'!G353</f>
        <v>0</v>
      </c>
      <c r="I434" s="29" t="e">
        <f>VLOOKUP(G434,제품명!$C$1:$E$114,2,0)</f>
        <v>#N/A</v>
      </c>
      <c r="J434" s="29">
        <f>'Raw data'!K353</f>
        <v>0</v>
      </c>
      <c r="K434" s="31">
        <f>'Raw data'!H353</f>
        <v>0</v>
      </c>
      <c r="L434" s="26">
        <f t="shared" si="14"/>
        <v>0</v>
      </c>
    </row>
    <row r="435" spans="2:12">
      <c r="B435" s="4" t="e">
        <f t="shared" si="13"/>
        <v>#N/A</v>
      </c>
      <c r="C435" s="4">
        <f>'Raw data'!E354</f>
        <v>0</v>
      </c>
      <c r="D435" s="29" t="e">
        <f>VLOOKUP(C435,'점포코드 '!A:B,2,0)</f>
        <v>#N/A</v>
      </c>
      <c r="E435" s="30">
        <f>'Raw data'!P354</f>
        <v>0</v>
      </c>
      <c r="F435" s="29" t="e">
        <f>VLOOKUP(E435,'점포코드 '!A:B,2,0)</f>
        <v>#N/A</v>
      </c>
      <c r="G435" s="46">
        <f>'Raw data'!F354</f>
        <v>0</v>
      </c>
      <c r="H435" s="4">
        <f>'Raw data'!G354</f>
        <v>0</v>
      </c>
      <c r="I435" s="29" t="e">
        <f>VLOOKUP(G435,제품명!$C$1:$E$114,2,0)</f>
        <v>#N/A</v>
      </c>
      <c r="J435" s="29">
        <f>'Raw data'!K354</f>
        <v>0</v>
      </c>
      <c r="K435" s="31">
        <f>'Raw data'!H354</f>
        <v>0</v>
      </c>
      <c r="L435" s="26">
        <f t="shared" si="14"/>
        <v>0</v>
      </c>
    </row>
    <row r="436" spans="2:12">
      <c r="B436" s="4" t="e">
        <f t="shared" si="13"/>
        <v>#N/A</v>
      </c>
      <c r="C436" s="4">
        <f>'Raw data'!E355</f>
        <v>0</v>
      </c>
      <c r="D436" s="29" t="e">
        <f>VLOOKUP(C436,'점포코드 '!A:B,2,0)</f>
        <v>#N/A</v>
      </c>
      <c r="E436" s="30">
        <f>'Raw data'!P355</f>
        <v>0</v>
      </c>
      <c r="F436" s="29" t="e">
        <f>VLOOKUP(E436,'점포코드 '!A:B,2,0)</f>
        <v>#N/A</v>
      </c>
      <c r="G436" s="46">
        <f>'Raw data'!F355</f>
        <v>0</v>
      </c>
      <c r="H436" s="4">
        <f>'Raw data'!G355</f>
        <v>0</v>
      </c>
      <c r="I436" s="29" t="e">
        <f>VLOOKUP(G436,제품명!$C$1:$E$114,2,0)</f>
        <v>#N/A</v>
      </c>
      <c r="J436" s="29">
        <f>'Raw data'!K355</f>
        <v>0</v>
      </c>
      <c r="K436" s="31">
        <f>'Raw data'!H355</f>
        <v>0</v>
      </c>
      <c r="L436" s="26">
        <f t="shared" si="14"/>
        <v>0</v>
      </c>
    </row>
    <row r="437" spans="2:12">
      <c r="B437" s="4" t="e">
        <f t="shared" si="13"/>
        <v>#N/A</v>
      </c>
      <c r="C437" s="4">
        <f>'Raw data'!E356</f>
        <v>0</v>
      </c>
      <c r="D437" s="29" t="e">
        <f>VLOOKUP(C437,'점포코드 '!A:B,2,0)</f>
        <v>#N/A</v>
      </c>
      <c r="E437" s="30">
        <f>'Raw data'!P356</f>
        <v>0</v>
      </c>
      <c r="F437" s="29" t="e">
        <f>VLOOKUP(E437,'점포코드 '!A:B,2,0)</f>
        <v>#N/A</v>
      </c>
      <c r="G437" s="46">
        <f>'Raw data'!F356</f>
        <v>0</v>
      </c>
      <c r="H437" s="4">
        <f>'Raw data'!G356</f>
        <v>0</v>
      </c>
      <c r="I437" s="29" t="e">
        <f>VLOOKUP(G437,제품명!$C$1:$E$114,2,0)</f>
        <v>#N/A</v>
      </c>
      <c r="J437" s="29">
        <f>'Raw data'!K356</f>
        <v>0</v>
      </c>
      <c r="K437" s="31">
        <f>'Raw data'!H356</f>
        <v>0</v>
      </c>
      <c r="L437" s="26">
        <f t="shared" si="14"/>
        <v>0</v>
      </c>
    </row>
    <row r="438" spans="2:12">
      <c r="B438" s="4" t="e">
        <f t="shared" si="13"/>
        <v>#N/A</v>
      </c>
      <c r="C438" s="4">
        <f>'Raw data'!E357</f>
        <v>0</v>
      </c>
      <c r="D438" s="29" t="e">
        <f>VLOOKUP(C438,'점포코드 '!A:B,2,0)</f>
        <v>#N/A</v>
      </c>
      <c r="E438" s="30">
        <f>'Raw data'!P357</f>
        <v>0</v>
      </c>
      <c r="F438" s="29" t="e">
        <f>VLOOKUP(E438,'점포코드 '!A:B,2,0)</f>
        <v>#N/A</v>
      </c>
      <c r="G438" s="46">
        <f>'Raw data'!F357</f>
        <v>0</v>
      </c>
      <c r="H438" s="4">
        <f>'Raw data'!G357</f>
        <v>0</v>
      </c>
      <c r="I438" s="29" t="e">
        <f>VLOOKUP(G438,제품명!$C$1:$E$114,2,0)</f>
        <v>#N/A</v>
      </c>
      <c r="J438" s="29">
        <f>'Raw data'!K357</f>
        <v>0</v>
      </c>
      <c r="K438" s="31">
        <f>'Raw data'!H357</f>
        <v>0</v>
      </c>
      <c r="L438" s="26">
        <f t="shared" si="14"/>
        <v>0</v>
      </c>
    </row>
    <row r="439" spans="2:12">
      <c r="B439" s="4" t="e">
        <f t="shared" si="13"/>
        <v>#N/A</v>
      </c>
      <c r="C439" s="4">
        <f>'Raw data'!E358</f>
        <v>0</v>
      </c>
      <c r="D439" s="29" t="e">
        <f>VLOOKUP(C439,'점포코드 '!A:B,2,0)</f>
        <v>#N/A</v>
      </c>
      <c r="E439" s="30">
        <f>'Raw data'!P358</f>
        <v>0</v>
      </c>
      <c r="F439" s="29" t="e">
        <f>VLOOKUP(E439,'점포코드 '!A:B,2,0)</f>
        <v>#N/A</v>
      </c>
      <c r="G439" s="46">
        <f>'Raw data'!F358</f>
        <v>0</v>
      </c>
      <c r="H439" s="4">
        <f>'Raw data'!G358</f>
        <v>0</v>
      </c>
      <c r="I439" s="29" t="e">
        <f>VLOOKUP(G439,제품명!$C$1:$E$114,2,0)</f>
        <v>#N/A</v>
      </c>
      <c r="J439" s="29">
        <f>'Raw data'!K358</f>
        <v>0</v>
      </c>
      <c r="K439" s="31">
        <f>'Raw data'!H358</f>
        <v>0</v>
      </c>
      <c r="L439" s="26">
        <f t="shared" si="14"/>
        <v>0</v>
      </c>
    </row>
    <row r="440" spans="2:12">
      <c r="B440" s="4" t="e">
        <f t="shared" si="13"/>
        <v>#N/A</v>
      </c>
      <c r="C440" s="4">
        <f>'Raw data'!E359</f>
        <v>0</v>
      </c>
      <c r="D440" s="29" t="e">
        <f>VLOOKUP(C440,'점포코드 '!A:B,2,0)</f>
        <v>#N/A</v>
      </c>
      <c r="E440" s="30">
        <f>'Raw data'!P359</f>
        <v>0</v>
      </c>
      <c r="F440" s="29" t="e">
        <f>VLOOKUP(E440,'점포코드 '!A:B,2,0)</f>
        <v>#N/A</v>
      </c>
      <c r="G440" s="46">
        <f>'Raw data'!F359</f>
        <v>0</v>
      </c>
      <c r="H440" s="4">
        <f>'Raw data'!G359</f>
        <v>0</v>
      </c>
      <c r="I440" s="29" t="e">
        <f>VLOOKUP(G440,제품명!$C$1:$E$114,2,0)</f>
        <v>#N/A</v>
      </c>
      <c r="J440" s="29">
        <f>'Raw data'!K359</f>
        <v>0</v>
      </c>
      <c r="K440" s="31">
        <f>'Raw data'!H359</f>
        <v>0</v>
      </c>
      <c r="L440" s="26">
        <f t="shared" si="14"/>
        <v>0</v>
      </c>
    </row>
    <row r="441" spans="2:12">
      <c r="B441" s="4" t="e">
        <f t="shared" si="13"/>
        <v>#N/A</v>
      </c>
      <c r="C441" s="4">
        <f>'Raw data'!E360</f>
        <v>0</v>
      </c>
      <c r="D441" s="29" t="e">
        <f>VLOOKUP(C441,'점포코드 '!A:B,2,0)</f>
        <v>#N/A</v>
      </c>
      <c r="E441" s="30">
        <f>'Raw data'!P360</f>
        <v>0</v>
      </c>
      <c r="F441" s="29" t="e">
        <f>VLOOKUP(E441,'점포코드 '!A:B,2,0)</f>
        <v>#N/A</v>
      </c>
      <c r="G441" s="46">
        <f>'Raw data'!F360</f>
        <v>0</v>
      </c>
      <c r="H441" s="4">
        <f>'Raw data'!G360</f>
        <v>0</v>
      </c>
      <c r="I441" s="29" t="e">
        <f>VLOOKUP(G441,제품명!$C$1:$E$114,2,0)</f>
        <v>#N/A</v>
      </c>
      <c r="J441" s="29">
        <f>'Raw data'!K360</f>
        <v>0</v>
      </c>
      <c r="K441" s="31">
        <f>'Raw data'!H360</f>
        <v>0</v>
      </c>
      <c r="L441" s="26">
        <f t="shared" si="14"/>
        <v>0</v>
      </c>
    </row>
    <row r="442" spans="2:12">
      <c r="B442" s="4" t="e">
        <f t="shared" si="13"/>
        <v>#N/A</v>
      </c>
      <c r="C442" s="4">
        <f>'Raw data'!E361</f>
        <v>0</v>
      </c>
      <c r="D442" s="29" t="e">
        <f>VLOOKUP(C442,'점포코드 '!A:B,2,0)</f>
        <v>#N/A</v>
      </c>
      <c r="E442" s="30">
        <f>'Raw data'!P361</f>
        <v>0</v>
      </c>
      <c r="F442" s="29" t="e">
        <f>VLOOKUP(E442,'점포코드 '!A:B,2,0)</f>
        <v>#N/A</v>
      </c>
      <c r="G442" s="46">
        <f>'Raw data'!F361</f>
        <v>0</v>
      </c>
      <c r="H442" s="4">
        <f>'Raw data'!G361</f>
        <v>0</v>
      </c>
      <c r="I442" s="29" t="e">
        <f>VLOOKUP(G442,제품명!$C$1:$E$114,2,0)</f>
        <v>#N/A</v>
      </c>
      <c r="J442" s="29">
        <f>'Raw data'!K361</f>
        <v>0</v>
      </c>
      <c r="K442" s="31">
        <f>'Raw data'!H361</f>
        <v>0</v>
      </c>
      <c r="L442" s="26">
        <f t="shared" si="14"/>
        <v>0</v>
      </c>
    </row>
    <row r="443" spans="2:12">
      <c r="B443" s="4" t="e">
        <f t="shared" si="13"/>
        <v>#N/A</v>
      </c>
      <c r="C443" s="4">
        <f>'Raw data'!E362</f>
        <v>0</v>
      </c>
      <c r="D443" s="29" t="e">
        <f>VLOOKUP(C443,'점포코드 '!A:B,2,0)</f>
        <v>#N/A</v>
      </c>
      <c r="E443" s="30">
        <f>'Raw data'!P362</f>
        <v>0</v>
      </c>
      <c r="F443" s="29" t="e">
        <f>VLOOKUP(E443,'점포코드 '!A:B,2,0)</f>
        <v>#N/A</v>
      </c>
      <c r="G443" s="46">
        <f>'Raw data'!F362</f>
        <v>0</v>
      </c>
      <c r="H443" s="4">
        <f>'Raw data'!G362</f>
        <v>0</v>
      </c>
      <c r="I443" s="29" t="e">
        <f>VLOOKUP(G443,제품명!$C$1:$E$114,2,0)</f>
        <v>#N/A</v>
      </c>
      <c r="J443" s="29">
        <f>'Raw data'!K362</f>
        <v>0</v>
      </c>
      <c r="K443" s="31">
        <f>'Raw data'!H362</f>
        <v>0</v>
      </c>
      <c r="L443" s="26">
        <f t="shared" si="14"/>
        <v>0</v>
      </c>
    </row>
    <row r="444" spans="2:12">
      <c r="B444" s="4" t="e">
        <f t="shared" si="13"/>
        <v>#N/A</v>
      </c>
      <c r="C444" s="4">
        <f>'Raw data'!E363</f>
        <v>0</v>
      </c>
      <c r="D444" s="29" t="e">
        <f>VLOOKUP(C444,'점포코드 '!A:B,2,0)</f>
        <v>#N/A</v>
      </c>
      <c r="E444" s="30">
        <f>'Raw data'!P363</f>
        <v>0</v>
      </c>
      <c r="F444" s="29" t="e">
        <f>VLOOKUP(E444,'점포코드 '!A:B,2,0)</f>
        <v>#N/A</v>
      </c>
      <c r="G444" s="46">
        <f>'Raw data'!F363</f>
        <v>0</v>
      </c>
      <c r="H444" s="4">
        <f>'Raw data'!G363</f>
        <v>0</v>
      </c>
      <c r="I444" s="29" t="e">
        <f>VLOOKUP(G444,제품명!$C$1:$E$114,2,0)</f>
        <v>#N/A</v>
      </c>
      <c r="J444" s="29">
        <f>'Raw data'!K363</f>
        <v>0</v>
      </c>
      <c r="K444" s="31">
        <f>'Raw data'!H363</f>
        <v>0</v>
      </c>
      <c r="L444" s="26">
        <f t="shared" si="14"/>
        <v>0</v>
      </c>
    </row>
    <row r="445" spans="2:12">
      <c r="B445" s="4" t="e">
        <f t="shared" si="13"/>
        <v>#N/A</v>
      </c>
      <c r="C445" s="4">
        <f>'Raw data'!E364</f>
        <v>0</v>
      </c>
      <c r="D445" s="29" t="e">
        <f>VLOOKUP(C445,'점포코드 '!A:B,2,0)</f>
        <v>#N/A</v>
      </c>
      <c r="E445" s="30">
        <f>'Raw data'!P364</f>
        <v>0</v>
      </c>
      <c r="F445" s="29" t="e">
        <f>VLOOKUP(E445,'점포코드 '!A:B,2,0)</f>
        <v>#N/A</v>
      </c>
      <c r="G445" s="46">
        <f>'Raw data'!F364</f>
        <v>0</v>
      </c>
      <c r="H445" s="4">
        <f>'Raw data'!G364</f>
        <v>0</v>
      </c>
      <c r="I445" s="29" t="e">
        <f>VLOOKUP(G445,제품명!$C$1:$E$114,2,0)</f>
        <v>#N/A</v>
      </c>
      <c r="J445" s="29">
        <f>'Raw data'!K364</f>
        <v>0</v>
      </c>
      <c r="K445" s="31">
        <f>'Raw data'!H364</f>
        <v>0</v>
      </c>
      <c r="L445" s="26">
        <f t="shared" si="14"/>
        <v>0</v>
      </c>
    </row>
    <row r="446" spans="2:12">
      <c r="B446" s="4" t="e">
        <f t="shared" si="13"/>
        <v>#N/A</v>
      </c>
      <c r="C446" s="4">
        <f>'Raw data'!E365</f>
        <v>0</v>
      </c>
      <c r="D446" s="29" t="e">
        <f>VLOOKUP(C446,'점포코드 '!A:B,2,0)</f>
        <v>#N/A</v>
      </c>
      <c r="E446" s="30">
        <f>'Raw data'!P365</f>
        <v>0</v>
      </c>
      <c r="F446" s="29" t="e">
        <f>VLOOKUP(E446,'점포코드 '!A:B,2,0)</f>
        <v>#N/A</v>
      </c>
      <c r="G446" s="46">
        <f>'Raw data'!F365</f>
        <v>0</v>
      </c>
      <c r="H446" s="4">
        <f>'Raw data'!G365</f>
        <v>0</v>
      </c>
      <c r="I446" s="29" t="e">
        <f>VLOOKUP(G446,제품명!$C$1:$E$114,2,0)</f>
        <v>#N/A</v>
      </c>
      <c r="J446" s="29">
        <f>'Raw data'!K365</f>
        <v>0</v>
      </c>
      <c r="K446" s="31">
        <f>'Raw data'!H365</f>
        <v>0</v>
      </c>
      <c r="L446" s="26">
        <f t="shared" si="14"/>
        <v>0</v>
      </c>
    </row>
    <row r="447" spans="2:12">
      <c r="B447" s="4" t="e">
        <f t="shared" si="13"/>
        <v>#N/A</v>
      </c>
      <c r="C447" s="4">
        <f>'Raw data'!E366</f>
        <v>0</v>
      </c>
      <c r="D447" s="29" t="e">
        <f>VLOOKUP(C447,'점포코드 '!A:B,2,0)</f>
        <v>#N/A</v>
      </c>
      <c r="E447" s="30">
        <f>'Raw data'!P366</f>
        <v>0</v>
      </c>
      <c r="F447" s="29" t="e">
        <f>VLOOKUP(E447,'점포코드 '!A:B,2,0)</f>
        <v>#N/A</v>
      </c>
      <c r="G447" s="46">
        <f>'Raw data'!F366</f>
        <v>0</v>
      </c>
      <c r="H447" s="4">
        <f>'Raw data'!G366</f>
        <v>0</v>
      </c>
      <c r="I447" s="29" t="e">
        <f>VLOOKUP(G447,제품명!$C$1:$E$114,2,0)</f>
        <v>#N/A</v>
      </c>
      <c r="J447" s="29">
        <f>'Raw data'!K366</f>
        <v>0</v>
      </c>
      <c r="K447" s="31">
        <f>'Raw data'!H366</f>
        <v>0</v>
      </c>
      <c r="L447" s="26">
        <f t="shared" si="14"/>
        <v>0</v>
      </c>
    </row>
    <row r="448" spans="2:12">
      <c r="B448" s="4" t="e">
        <f t="shared" si="13"/>
        <v>#N/A</v>
      </c>
      <c r="C448" s="4">
        <f>'Raw data'!E367</f>
        <v>0</v>
      </c>
      <c r="D448" s="29" t="e">
        <f>VLOOKUP(C448,'점포코드 '!A:B,2,0)</f>
        <v>#N/A</v>
      </c>
      <c r="E448" s="30">
        <f>'Raw data'!P367</f>
        <v>0</v>
      </c>
      <c r="F448" s="29" t="e">
        <f>VLOOKUP(E448,'점포코드 '!A:B,2,0)</f>
        <v>#N/A</v>
      </c>
      <c r="G448" s="46">
        <f>'Raw data'!F367</f>
        <v>0</v>
      </c>
      <c r="H448" s="4">
        <f>'Raw data'!G367</f>
        <v>0</v>
      </c>
      <c r="I448" s="29" t="e">
        <f>VLOOKUP(G448,제품명!$C$1:$E$114,2,0)</f>
        <v>#N/A</v>
      </c>
      <c r="J448" s="29">
        <f>'Raw data'!K367</f>
        <v>0</v>
      </c>
      <c r="K448" s="31">
        <f>'Raw data'!H367</f>
        <v>0</v>
      </c>
      <c r="L448" s="26">
        <f t="shared" si="14"/>
        <v>0</v>
      </c>
    </row>
    <row r="449" spans="2:12">
      <c r="B449" s="4" t="e">
        <f t="shared" si="13"/>
        <v>#N/A</v>
      </c>
      <c r="C449" s="4">
        <f>'Raw data'!E368</f>
        <v>0</v>
      </c>
      <c r="D449" s="29" t="e">
        <f>VLOOKUP(C449,'점포코드 '!A:B,2,0)</f>
        <v>#N/A</v>
      </c>
      <c r="E449" s="30">
        <f>'Raw data'!P368</f>
        <v>0</v>
      </c>
      <c r="F449" s="29" t="e">
        <f>VLOOKUP(E449,'점포코드 '!A:B,2,0)</f>
        <v>#N/A</v>
      </c>
      <c r="G449" s="46">
        <f>'Raw data'!F368</f>
        <v>0</v>
      </c>
      <c r="H449" s="4">
        <f>'Raw data'!G368</f>
        <v>0</v>
      </c>
      <c r="I449" s="29" t="e">
        <f>VLOOKUP(G449,제품명!$C$1:$E$114,2,0)</f>
        <v>#N/A</v>
      </c>
      <c r="J449" s="29">
        <f>'Raw data'!K368</f>
        <v>0</v>
      </c>
      <c r="K449" s="31">
        <f>'Raw data'!H368</f>
        <v>0</v>
      </c>
      <c r="L449" s="26">
        <f t="shared" si="14"/>
        <v>0</v>
      </c>
    </row>
    <row r="450" spans="2:12">
      <c r="B450" s="4" t="e">
        <f t="shared" ref="B450:B513" si="15">F450&amp;I450</f>
        <v>#N/A</v>
      </c>
      <c r="C450" s="4">
        <f>'Raw data'!E369</f>
        <v>0</v>
      </c>
      <c r="D450" s="29" t="e">
        <f>VLOOKUP(C450,'점포코드 '!A:B,2,0)</f>
        <v>#N/A</v>
      </c>
      <c r="E450" s="30">
        <f>'Raw data'!P369</f>
        <v>0</v>
      </c>
      <c r="F450" s="29" t="e">
        <f>VLOOKUP(E450,'점포코드 '!A:B,2,0)</f>
        <v>#N/A</v>
      </c>
      <c r="G450" s="46">
        <f>'Raw data'!F369</f>
        <v>0</v>
      </c>
      <c r="H450" s="4">
        <f>'Raw data'!G369</f>
        <v>0</v>
      </c>
      <c r="I450" s="29" t="e">
        <f>VLOOKUP(G450,제품명!$C$1:$E$114,2,0)</f>
        <v>#N/A</v>
      </c>
      <c r="J450" s="29">
        <f>'Raw data'!K369</f>
        <v>0</v>
      </c>
      <c r="K450" s="31">
        <f>'Raw data'!H369</f>
        <v>0</v>
      </c>
      <c r="L450" s="26">
        <f t="shared" si="14"/>
        <v>0</v>
      </c>
    </row>
    <row r="451" spans="2:12">
      <c r="B451" s="4" t="e">
        <f t="shared" si="15"/>
        <v>#N/A</v>
      </c>
      <c r="C451" s="4">
        <f>'Raw data'!E370</f>
        <v>0</v>
      </c>
      <c r="D451" s="29" t="e">
        <f>VLOOKUP(C451,'점포코드 '!A:B,2,0)</f>
        <v>#N/A</v>
      </c>
      <c r="E451" s="30">
        <f>'Raw data'!P370</f>
        <v>0</v>
      </c>
      <c r="F451" s="29" t="e">
        <f>VLOOKUP(E451,'점포코드 '!A:B,2,0)</f>
        <v>#N/A</v>
      </c>
      <c r="G451" s="46">
        <f>'Raw data'!F370</f>
        <v>0</v>
      </c>
      <c r="H451" s="4">
        <f>'Raw data'!G370</f>
        <v>0</v>
      </c>
      <c r="I451" s="29" t="e">
        <f>VLOOKUP(G451,제품명!$C$1:$E$114,2,0)</f>
        <v>#N/A</v>
      </c>
      <c r="J451" s="29">
        <f>'Raw data'!K370</f>
        <v>0</v>
      </c>
      <c r="K451" s="31">
        <f>'Raw data'!H370</f>
        <v>0</v>
      </c>
      <c r="L451" s="26">
        <f t="shared" ref="L451:L514" si="16">J451*K451</f>
        <v>0</v>
      </c>
    </row>
    <row r="452" spans="2:12">
      <c r="B452" s="4" t="e">
        <f t="shared" si="15"/>
        <v>#N/A</v>
      </c>
      <c r="C452" s="4">
        <f>'Raw data'!E371</f>
        <v>0</v>
      </c>
      <c r="D452" s="29" t="e">
        <f>VLOOKUP(C452,'점포코드 '!A:B,2,0)</f>
        <v>#N/A</v>
      </c>
      <c r="E452" s="30">
        <f>'Raw data'!P371</f>
        <v>0</v>
      </c>
      <c r="F452" s="29" t="e">
        <f>VLOOKUP(E452,'점포코드 '!A:B,2,0)</f>
        <v>#N/A</v>
      </c>
      <c r="G452" s="46">
        <f>'Raw data'!F371</f>
        <v>0</v>
      </c>
      <c r="H452" s="4">
        <f>'Raw data'!G371</f>
        <v>0</v>
      </c>
      <c r="I452" s="29" t="e">
        <f>VLOOKUP(G452,제품명!$C$1:$E$114,2,0)</f>
        <v>#N/A</v>
      </c>
      <c r="J452" s="29">
        <f>'Raw data'!K371</f>
        <v>0</v>
      </c>
      <c r="K452" s="31">
        <f>'Raw data'!H371</f>
        <v>0</v>
      </c>
      <c r="L452" s="26">
        <f t="shared" si="16"/>
        <v>0</v>
      </c>
    </row>
    <row r="453" spans="2:12">
      <c r="B453" s="4" t="e">
        <f t="shared" si="15"/>
        <v>#N/A</v>
      </c>
      <c r="C453" s="4">
        <f>'Raw data'!E372</f>
        <v>0</v>
      </c>
      <c r="D453" s="29" t="e">
        <f>VLOOKUP(C453,'점포코드 '!A:B,2,0)</f>
        <v>#N/A</v>
      </c>
      <c r="E453" s="30">
        <f>'Raw data'!P372</f>
        <v>0</v>
      </c>
      <c r="F453" s="29" t="e">
        <f>VLOOKUP(E453,'점포코드 '!A:B,2,0)</f>
        <v>#N/A</v>
      </c>
      <c r="G453" s="46">
        <f>'Raw data'!F372</f>
        <v>0</v>
      </c>
      <c r="H453" s="4">
        <f>'Raw data'!G372</f>
        <v>0</v>
      </c>
      <c r="I453" s="29" t="e">
        <f>VLOOKUP(G453,제품명!$C$1:$E$114,2,0)</f>
        <v>#N/A</v>
      </c>
      <c r="J453" s="29">
        <f>'Raw data'!K372</f>
        <v>0</v>
      </c>
      <c r="K453" s="31">
        <f>'Raw data'!H372</f>
        <v>0</v>
      </c>
      <c r="L453" s="26">
        <f t="shared" si="16"/>
        <v>0</v>
      </c>
    </row>
    <row r="454" spans="2:12">
      <c r="B454" s="4" t="e">
        <f t="shared" si="15"/>
        <v>#N/A</v>
      </c>
      <c r="C454" s="4">
        <f>'Raw data'!E373</f>
        <v>0</v>
      </c>
      <c r="D454" s="29" t="e">
        <f>VLOOKUP(C454,'점포코드 '!A:B,2,0)</f>
        <v>#N/A</v>
      </c>
      <c r="E454" s="30">
        <f>'Raw data'!P373</f>
        <v>0</v>
      </c>
      <c r="F454" s="29" t="e">
        <f>VLOOKUP(E454,'점포코드 '!A:B,2,0)</f>
        <v>#N/A</v>
      </c>
      <c r="G454" s="46">
        <f>'Raw data'!F373</f>
        <v>0</v>
      </c>
      <c r="H454" s="4">
        <f>'Raw data'!G373</f>
        <v>0</v>
      </c>
      <c r="I454" s="29" t="e">
        <f>VLOOKUP(G454,제품명!$C$1:$E$114,2,0)</f>
        <v>#N/A</v>
      </c>
      <c r="J454" s="29">
        <f>'Raw data'!K373</f>
        <v>0</v>
      </c>
      <c r="K454" s="31">
        <f>'Raw data'!H373</f>
        <v>0</v>
      </c>
      <c r="L454" s="26">
        <f t="shared" si="16"/>
        <v>0</v>
      </c>
    </row>
    <row r="455" spans="2:12">
      <c r="B455" s="4" t="e">
        <f t="shared" si="15"/>
        <v>#N/A</v>
      </c>
      <c r="C455" s="4">
        <f>'Raw data'!E374</f>
        <v>0</v>
      </c>
      <c r="D455" s="29" t="e">
        <f>VLOOKUP(C455,'점포코드 '!A:B,2,0)</f>
        <v>#N/A</v>
      </c>
      <c r="E455" s="30">
        <f>'Raw data'!P374</f>
        <v>0</v>
      </c>
      <c r="F455" s="29" t="e">
        <f>VLOOKUP(E455,'점포코드 '!A:B,2,0)</f>
        <v>#N/A</v>
      </c>
      <c r="G455" s="46">
        <f>'Raw data'!F374</f>
        <v>0</v>
      </c>
      <c r="H455" s="4">
        <f>'Raw data'!G374</f>
        <v>0</v>
      </c>
      <c r="I455" s="29" t="e">
        <f>VLOOKUP(G455,제품명!$C$1:$E$114,2,0)</f>
        <v>#N/A</v>
      </c>
      <c r="J455" s="29">
        <f>'Raw data'!K374</f>
        <v>0</v>
      </c>
      <c r="K455" s="31">
        <f>'Raw data'!H374</f>
        <v>0</v>
      </c>
      <c r="L455" s="26">
        <f t="shared" si="16"/>
        <v>0</v>
      </c>
    </row>
    <row r="456" spans="2:12">
      <c r="B456" s="4" t="e">
        <f t="shared" si="15"/>
        <v>#N/A</v>
      </c>
      <c r="C456" s="4">
        <f>'Raw data'!E375</f>
        <v>0</v>
      </c>
      <c r="D456" s="29" t="e">
        <f>VLOOKUP(C456,'점포코드 '!A:B,2,0)</f>
        <v>#N/A</v>
      </c>
      <c r="E456" s="30">
        <f>'Raw data'!P375</f>
        <v>0</v>
      </c>
      <c r="F456" s="29" t="e">
        <f>VLOOKUP(E456,'점포코드 '!A:B,2,0)</f>
        <v>#N/A</v>
      </c>
      <c r="G456" s="46">
        <f>'Raw data'!F375</f>
        <v>0</v>
      </c>
      <c r="H456" s="4">
        <f>'Raw data'!G375</f>
        <v>0</v>
      </c>
      <c r="I456" s="29" t="e">
        <f>VLOOKUP(G456,제품명!$C$1:$E$114,2,0)</f>
        <v>#N/A</v>
      </c>
      <c r="J456" s="29">
        <f>'Raw data'!K375</f>
        <v>0</v>
      </c>
      <c r="K456" s="31">
        <f>'Raw data'!H375</f>
        <v>0</v>
      </c>
      <c r="L456" s="26">
        <f t="shared" si="16"/>
        <v>0</v>
      </c>
    </row>
    <row r="457" spans="2:12">
      <c r="B457" s="4" t="e">
        <f t="shared" si="15"/>
        <v>#N/A</v>
      </c>
      <c r="C457" s="4">
        <f>'Raw data'!E376</f>
        <v>0</v>
      </c>
      <c r="D457" s="29" t="e">
        <f>VLOOKUP(C457,'점포코드 '!A:B,2,0)</f>
        <v>#N/A</v>
      </c>
      <c r="E457" s="30">
        <f>'Raw data'!P376</f>
        <v>0</v>
      </c>
      <c r="F457" s="29" t="e">
        <f>VLOOKUP(E457,'점포코드 '!A:B,2,0)</f>
        <v>#N/A</v>
      </c>
      <c r="G457" s="46">
        <f>'Raw data'!F376</f>
        <v>0</v>
      </c>
      <c r="H457" s="4">
        <f>'Raw data'!G376</f>
        <v>0</v>
      </c>
      <c r="I457" s="29" t="e">
        <f>VLOOKUP(G457,제품명!$C$1:$E$114,2,0)</f>
        <v>#N/A</v>
      </c>
      <c r="J457" s="29">
        <f>'Raw data'!K376</f>
        <v>0</v>
      </c>
      <c r="K457" s="31">
        <f>'Raw data'!H376</f>
        <v>0</v>
      </c>
      <c r="L457" s="26">
        <f t="shared" si="16"/>
        <v>0</v>
      </c>
    </row>
    <row r="458" spans="2:12">
      <c r="B458" s="4" t="e">
        <f t="shared" si="15"/>
        <v>#N/A</v>
      </c>
      <c r="C458" s="4">
        <f>'Raw data'!E377</f>
        <v>0</v>
      </c>
      <c r="D458" s="29" t="e">
        <f>VLOOKUP(C458,'점포코드 '!A:B,2,0)</f>
        <v>#N/A</v>
      </c>
      <c r="E458" s="30">
        <f>'Raw data'!P377</f>
        <v>0</v>
      </c>
      <c r="F458" s="29" t="e">
        <f>VLOOKUP(E458,'점포코드 '!A:B,2,0)</f>
        <v>#N/A</v>
      </c>
      <c r="G458" s="46">
        <f>'Raw data'!F377</f>
        <v>0</v>
      </c>
      <c r="H458" s="4">
        <f>'Raw data'!G377</f>
        <v>0</v>
      </c>
      <c r="I458" s="29" t="e">
        <f>VLOOKUP(G458,제품명!$C$1:$E$114,2,0)</f>
        <v>#N/A</v>
      </c>
      <c r="J458" s="29">
        <f>'Raw data'!K377</f>
        <v>0</v>
      </c>
      <c r="K458" s="31">
        <f>'Raw data'!H377</f>
        <v>0</v>
      </c>
      <c r="L458" s="26">
        <f t="shared" si="16"/>
        <v>0</v>
      </c>
    </row>
    <row r="459" spans="2:12">
      <c r="B459" s="4" t="e">
        <f t="shared" si="15"/>
        <v>#N/A</v>
      </c>
      <c r="C459" s="4">
        <f>'Raw data'!E378</f>
        <v>0</v>
      </c>
      <c r="D459" s="29" t="e">
        <f>VLOOKUP(C459,'점포코드 '!A:B,2,0)</f>
        <v>#N/A</v>
      </c>
      <c r="E459" s="30">
        <f>'Raw data'!P378</f>
        <v>0</v>
      </c>
      <c r="F459" s="29" t="e">
        <f>VLOOKUP(E459,'점포코드 '!A:B,2,0)</f>
        <v>#N/A</v>
      </c>
      <c r="G459" s="46">
        <f>'Raw data'!F378</f>
        <v>0</v>
      </c>
      <c r="H459" s="4">
        <f>'Raw data'!G378</f>
        <v>0</v>
      </c>
      <c r="I459" s="29" t="e">
        <f>VLOOKUP(G459,제품명!$C$1:$E$114,2,0)</f>
        <v>#N/A</v>
      </c>
      <c r="J459" s="29">
        <f>'Raw data'!K378</f>
        <v>0</v>
      </c>
      <c r="K459" s="31">
        <f>'Raw data'!H378</f>
        <v>0</v>
      </c>
      <c r="L459" s="26">
        <f t="shared" si="16"/>
        <v>0</v>
      </c>
    </row>
    <row r="460" spans="2:12">
      <c r="B460" s="4" t="e">
        <f t="shared" si="15"/>
        <v>#N/A</v>
      </c>
      <c r="C460" s="4">
        <f>'Raw data'!E379</f>
        <v>0</v>
      </c>
      <c r="D460" s="29" t="e">
        <f>VLOOKUP(C460,'점포코드 '!A:B,2,0)</f>
        <v>#N/A</v>
      </c>
      <c r="E460" s="30">
        <f>'Raw data'!P379</f>
        <v>0</v>
      </c>
      <c r="F460" s="29" t="e">
        <f>VLOOKUP(E460,'점포코드 '!A:B,2,0)</f>
        <v>#N/A</v>
      </c>
      <c r="G460" s="46">
        <f>'Raw data'!F379</f>
        <v>0</v>
      </c>
      <c r="H460" s="4">
        <f>'Raw data'!G379</f>
        <v>0</v>
      </c>
      <c r="I460" s="29" t="e">
        <f>VLOOKUP(G460,제품명!$C$1:$E$114,2,0)</f>
        <v>#N/A</v>
      </c>
      <c r="J460" s="29">
        <f>'Raw data'!K379</f>
        <v>0</v>
      </c>
      <c r="K460" s="31">
        <f>'Raw data'!H379</f>
        <v>0</v>
      </c>
      <c r="L460" s="26">
        <f t="shared" si="16"/>
        <v>0</v>
      </c>
    </row>
    <row r="461" spans="2:12">
      <c r="B461" s="4" t="e">
        <f t="shared" si="15"/>
        <v>#N/A</v>
      </c>
      <c r="C461" s="4">
        <f>'Raw data'!E380</f>
        <v>0</v>
      </c>
      <c r="D461" s="29" t="e">
        <f>VLOOKUP(C461,'점포코드 '!A:B,2,0)</f>
        <v>#N/A</v>
      </c>
      <c r="E461" s="30">
        <f>'Raw data'!P380</f>
        <v>0</v>
      </c>
      <c r="F461" s="29" t="e">
        <f>VLOOKUP(E461,'점포코드 '!A:B,2,0)</f>
        <v>#N/A</v>
      </c>
      <c r="G461" s="46">
        <f>'Raw data'!F380</f>
        <v>0</v>
      </c>
      <c r="H461" s="4">
        <f>'Raw data'!G380</f>
        <v>0</v>
      </c>
      <c r="I461" s="29" t="e">
        <f>VLOOKUP(G461,제품명!$C$1:$E$114,2,0)</f>
        <v>#N/A</v>
      </c>
      <c r="J461" s="29">
        <f>'Raw data'!K380</f>
        <v>0</v>
      </c>
      <c r="K461" s="31">
        <f>'Raw data'!H380</f>
        <v>0</v>
      </c>
      <c r="L461" s="26">
        <f t="shared" si="16"/>
        <v>0</v>
      </c>
    </row>
    <row r="462" spans="2:12">
      <c r="B462" s="4" t="e">
        <f t="shared" si="15"/>
        <v>#N/A</v>
      </c>
      <c r="C462" s="4">
        <f>'Raw data'!E381</f>
        <v>0</v>
      </c>
      <c r="D462" s="29" t="e">
        <f>VLOOKUP(C462,'점포코드 '!A:B,2,0)</f>
        <v>#N/A</v>
      </c>
      <c r="E462" s="30">
        <f>'Raw data'!P381</f>
        <v>0</v>
      </c>
      <c r="F462" s="29" t="e">
        <f>VLOOKUP(E462,'점포코드 '!A:B,2,0)</f>
        <v>#N/A</v>
      </c>
      <c r="G462" s="46">
        <f>'Raw data'!F381</f>
        <v>0</v>
      </c>
      <c r="H462" s="4">
        <f>'Raw data'!G381</f>
        <v>0</v>
      </c>
      <c r="I462" s="29" t="e">
        <f>VLOOKUP(G462,제품명!$C$1:$E$114,2,0)</f>
        <v>#N/A</v>
      </c>
      <c r="J462" s="29">
        <f>'Raw data'!K381</f>
        <v>0</v>
      </c>
      <c r="K462" s="31">
        <f>'Raw data'!H381</f>
        <v>0</v>
      </c>
      <c r="L462" s="26">
        <f t="shared" si="16"/>
        <v>0</v>
      </c>
    </row>
    <row r="463" spans="2:12">
      <c r="B463" s="4" t="e">
        <f t="shared" si="15"/>
        <v>#N/A</v>
      </c>
      <c r="C463" s="4">
        <f>'Raw data'!E382</f>
        <v>0</v>
      </c>
      <c r="D463" s="29" t="e">
        <f>VLOOKUP(C463,'점포코드 '!A:B,2,0)</f>
        <v>#N/A</v>
      </c>
      <c r="E463" s="30">
        <f>'Raw data'!P382</f>
        <v>0</v>
      </c>
      <c r="F463" s="29" t="e">
        <f>VLOOKUP(E463,'점포코드 '!A:B,2,0)</f>
        <v>#N/A</v>
      </c>
      <c r="G463" s="46">
        <f>'Raw data'!F382</f>
        <v>0</v>
      </c>
      <c r="H463" s="4">
        <f>'Raw data'!G382</f>
        <v>0</v>
      </c>
      <c r="I463" s="29" t="e">
        <f>VLOOKUP(G463,제품명!$C$1:$E$114,2,0)</f>
        <v>#N/A</v>
      </c>
      <c r="J463" s="29">
        <f>'Raw data'!K382</f>
        <v>0</v>
      </c>
      <c r="K463" s="31">
        <f>'Raw data'!H382</f>
        <v>0</v>
      </c>
      <c r="L463" s="26">
        <f t="shared" si="16"/>
        <v>0</v>
      </c>
    </row>
    <row r="464" spans="2:12">
      <c r="B464" s="4" t="e">
        <f t="shared" si="15"/>
        <v>#N/A</v>
      </c>
      <c r="C464" s="4">
        <f>'Raw data'!E383</f>
        <v>0</v>
      </c>
      <c r="D464" s="29" t="e">
        <f>VLOOKUP(C464,'점포코드 '!A:B,2,0)</f>
        <v>#N/A</v>
      </c>
      <c r="E464" s="30">
        <f>'Raw data'!P383</f>
        <v>0</v>
      </c>
      <c r="F464" s="29" t="e">
        <f>VLOOKUP(E464,'점포코드 '!A:B,2,0)</f>
        <v>#N/A</v>
      </c>
      <c r="G464" s="46">
        <f>'Raw data'!F383</f>
        <v>0</v>
      </c>
      <c r="H464" s="4">
        <f>'Raw data'!G383</f>
        <v>0</v>
      </c>
      <c r="I464" s="29" t="e">
        <f>VLOOKUP(G464,제품명!$C$1:$E$114,2,0)</f>
        <v>#N/A</v>
      </c>
      <c r="J464" s="29">
        <f>'Raw data'!K383</f>
        <v>0</v>
      </c>
      <c r="K464" s="31">
        <f>'Raw data'!H383</f>
        <v>0</v>
      </c>
      <c r="L464" s="26">
        <f t="shared" si="16"/>
        <v>0</v>
      </c>
    </row>
    <row r="465" spans="2:12">
      <c r="B465" s="4" t="e">
        <f t="shared" si="15"/>
        <v>#N/A</v>
      </c>
      <c r="C465" s="4">
        <f>'Raw data'!E384</f>
        <v>0</v>
      </c>
      <c r="D465" s="29" t="e">
        <f>VLOOKUP(C465,'점포코드 '!A:B,2,0)</f>
        <v>#N/A</v>
      </c>
      <c r="E465" s="30">
        <f>'Raw data'!P384</f>
        <v>0</v>
      </c>
      <c r="F465" s="29" t="e">
        <f>VLOOKUP(E465,'점포코드 '!A:B,2,0)</f>
        <v>#N/A</v>
      </c>
      <c r="G465" s="46">
        <f>'Raw data'!F384</f>
        <v>0</v>
      </c>
      <c r="H465" s="4">
        <f>'Raw data'!G384</f>
        <v>0</v>
      </c>
      <c r="I465" s="29" t="e">
        <f>VLOOKUP(G465,제품명!$C$1:$E$114,2,0)</f>
        <v>#N/A</v>
      </c>
      <c r="J465" s="29">
        <f>'Raw data'!K384</f>
        <v>0</v>
      </c>
      <c r="K465" s="31">
        <f>'Raw data'!H384</f>
        <v>0</v>
      </c>
      <c r="L465" s="26">
        <f t="shared" si="16"/>
        <v>0</v>
      </c>
    </row>
    <row r="466" spans="2:12">
      <c r="B466" s="4" t="e">
        <f t="shared" si="15"/>
        <v>#N/A</v>
      </c>
      <c r="C466" s="4">
        <f>'Raw data'!E385</f>
        <v>0</v>
      </c>
      <c r="D466" s="29" t="e">
        <f>VLOOKUP(C466,'점포코드 '!A:B,2,0)</f>
        <v>#N/A</v>
      </c>
      <c r="E466" s="30">
        <f>'Raw data'!P385</f>
        <v>0</v>
      </c>
      <c r="F466" s="29" t="e">
        <f>VLOOKUP(E466,'점포코드 '!A:B,2,0)</f>
        <v>#N/A</v>
      </c>
      <c r="G466" s="46">
        <f>'Raw data'!F385</f>
        <v>0</v>
      </c>
      <c r="H466" s="4">
        <f>'Raw data'!G385</f>
        <v>0</v>
      </c>
      <c r="I466" s="29" t="e">
        <f>VLOOKUP(G466,제품명!$C$1:$E$114,2,0)</f>
        <v>#N/A</v>
      </c>
      <c r="J466" s="29">
        <f>'Raw data'!K385</f>
        <v>0</v>
      </c>
      <c r="K466" s="31">
        <f>'Raw data'!H385</f>
        <v>0</v>
      </c>
      <c r="L466" s="26">
        <f t="shared" si="16"/>
        <v>0</v>
      </c>
    </row>
    <row r="467" spans="2:12">
      <c r="B467" s="4" t="e">
        <f t="shared" si="15"/>
        <v>#N/A</v>
      </c>
      <c r="C467" s="4">
        <f>'Raw data'!E386</f>
        <v>0</v>
      </c>
      <c r="D467" s="29" t="e">
        <f>VLOOKUP(C467,'점포코드 '!A:B,2,0)</f>
        <v>#N/A</v>
      </c>
      <c r="E467" s="30">
        <f>'Raw data'!P386</f>
        <v>0</v>
      </c>
      <c r="F467" s="29" t="e">
        <f>VLOOKUP(E467,'점포코드 '!A:B,2,0)</f>
        <v>#N/A</v>
      </c>
      <c r="G467" s="46">
        <f>'Raw data'!F386</f>
        <v>0</v>
      </c>
      <c r="H467" s="4">
        <f>'Raw data'!G386</f>
        <v>0</v>
      </c>
      <c r="I467" s="29" t="e">
        <f>VLOOKUP(G467,제품명!$C$1:$E$114,2,0)</f>
        <v>#N/A</v>
      </c>
      <c r="J467" s="29">
        <f>'Raw data'!K386</f>
        <v>0</v>
      </c>
      <c r="K467" s="31">
        <f>'Raw data'!H386</f>
        <v>0</v>
      </c>
      <c r="L467" s="26">
        <f t="shared" si="16"/>
        <v>0</v>
      </c>
    </row>
    <row r="468" spans="2:12">
      <c r="B468" s="4" t="e">
        <f t="shared" si="15"/>
        <v>#N/A</v>
      </c>
      <c r="C468" s="4">
        <f>'Raw data'!E387</f>
        <v>0</v>
      </c>
      <c r="D468" s="29" t="e">
        <f>VLOOKUP(C468,'점포코드 '!A:B,2,0)</f>
        <v>#N/A</v>
      </c>
      <c r="E468" s="30">
        <f>'Raw data'!P387</f>
        <v>0</v>
      </c>
      <c r="F468" s="29" t="e">
        <f>VLOOKUP(E468,'점포코드 '!A:B,2,0)</f>
        <v>#N/A</v>
      </c>
      <c r="G468" s="46">
        <f>'Raw data'!F387</f>
        <v>0</v>
      </c>
      <c r="H468" s="4">
        <f>'Raw data'!G387</f>
        <v>0</v>
      </c>
      <c r="I468" s="29" t="e">
        <f>VLOOKUP(G468,제품명!$C$1:$E$114,2,0)</f>
        <v>#N/A</v>
      </c>
      <c r="J468" s="29">
        <f>'Raw data'!K387</f>
        <v>0</v>
      </c>
      <c r="K468" s="31">
        <f>'Raw data'!H387</f>
        <v>0</v>
      </c>
      <c r="L468" s="26">
        <f t="shared" si="16"/>
        <v>0</v>
      </c>
    </row>
    <row r="469" spans="2:12">
      <c r="B469" s="4" t="e">
        <f t="shared" si="15"/>
        <v>#N/A</v>
      </c>
      <c r="C469" s="4">
        <f>'Raw data'!E388</f>
        <v>0</v>
      </c>
      <c r="D469" s="29" t="e">
        <f>VLOOKUP(C469,'점포코드 '!A:B,2,0)</f>
        <v>#N/A</v>
      </c>
      <c r="E469" s="30">
        <f>'Raw data'!P388</f>
        <v>0</v>
      </c>
      <c r="F469" s="29" t="e">
        <f>VLOOKUP(E469,'점포코드 '!A:B,2,0)</f>
        <v>#N/A</v>
      </c>
      <c r="G469" s="46">
        <f>'Raw data'!F388</f>
        <v>0</v>
      </c>
      <c r="H469" s="4">
        <f>'Raw data'!G388</f>
        <v>0</v>
      </c>
      <c r="I469" s="29" t="e">
        <f>VLOOKUP(G469,제품명!$C$1:$E$114,2,0)</f>
        <v>#N/A</v>
      </c>
      <c r="J469" s="29">
        <f>'Raw data'!K388</f>
        <v>0</v>
      </c>
      <c r="K469" s="31">
        <f>'Raw data'!H388</f>
        <v>0</v>
      </c>
      <c r="L469" s="26">
        <f t="shared" si="16"/>
        <v>0</v>
      </c>
    </row>
    <row r="470" spans="2:12">
      <c r="B470" s="4" t="e">
        <f t="shared" si="15"/>
        <v>#N/A</v>
      </c>
      <c r="C470" s="4">
        <f>'Raw data'!E389</f>
        <v>0</v>
      </c>
      <c r="D470" s="29" t="e">
        <f>VLOOKUP(C470,'점포코드 '!A:B,2,0)</f>
        <v>#N/A</v>
      </c>
      <c r="E470" s="30">
        <f>'Raw data'!P389</f>
        <v>0</v>
      </c>
      <c r="F470" s="29" t="e">
        <f>VLOOKUP(E470,'점포코드 '!A:B,2,0)</f>
        <v>#N/A</v>
      </c>
      <c r="G470" s="46">
        <f>'Raw data'!F389</f>
        <v>0</v>
      </c>
      <c r="H470" s="4">
        <f>'Raw data'!G389</f>
        <v>0</v>
      </c>
      <c r="I470" s="29" t="e">
        <f>VLOOKUP(G470,제품명!$C$1:$E$114,2,0)</f>
        <v>#N/A</v>
      </c>
      <c r="J470" s="29">
        <f>'Raw data'!K389</f>
        <v>0</v>
      </c>
      <c r="K470" s="31">
        <f>'Raw data'!H389</f>
        <v>0</v>
      </c>
      <c r="L470" s="26">
        <f t="shared" si="16"/>
        <v>0</v>
      </c>
    </row>
    <row r="471" spans="2:12">
      <c r="B471" s="4" t="e">
        <f t="shared" si="15"/>
        <v>#N/A</v>
      </c>
      <c r="C471" s="4">
        <f>'Raw data'!E390</f>
        <v>0</v>
      </c>
      <c r="D471" s="29" t="e">
        <f>VLOOKUP(C471,'점포코드 '!A:B,2,0)</f>
        <v>#N/A</v>
      </c>
      <c r="E471" s="30">
        <f>'Raw data'!P390</f>
        <v>0</v>
      </c>
      <c r="F471" s="29" t="e">
        <f>VLOOKUP(E471,'점포코드 '!A:B,2,0)</f>
        <v>#N/A</v>
      </c>
      <c r="G471" s="46">
        <f>'Raw data'!F390</f>
        <v>0</v>
      </c>
      <c r="H471" s="4">
        <f>'Raw data'!G390</f>
        <v>0</v>
      </c>
      <c r="I471" s="29" t="e">
        <f>VLOOKUP(G471,제품명!$C$1:$E$114,2,0)</f>
        <v>#N/A</v>
      </c>
      <c r="J471" s="29">
        <f>'Raw data'!K390</f>
        <v>0</v>
      </c>
      <c r="K471" s="31">
        <f>'Raw data'!H390</f>
        <v>0</v>
      </c>
      <c r="L471" s="26">
        <f t="shared" si="16"/>
        <v>0</v>
      </c>
    </row>
    <row r="472" spans="2:12">
      <c r="B472" s="4" t="e">
        <f t="shared" si="15"/>
        <v>#N/A</v>
      </c>
      <c r="C472" s="4">
        <f>'Raw data'!E391</f>
        <v>0</v>
      </c>
      <c r="D472" s="29" t="e">
        <f>VLOOKUP(C472,'점포코드 '!A:B,2,0)</f>
        <v>#N/A</v>
      </c>
      <c r="E472" s="30">
        <f>'Raw data'!P391</f>
        <v>0</v>
      </c>
      <c r="F472" s="29" t="e">
        <f>VLOOKUP(E472,'점포코드 '!A:B,2,0)</f>
        <v>#N/A</v>
      </c>
      <c r="G472" s="46">
        <f>'Raw data'!F391</f>
        <v>0</v>
      </c>
      <c r="H472" s="4">
        <f>'Raw data'!G391</f>
        <v>0</v>
      </c>
      <c r="I472" s="29" t="e">
        <f>VLOOKUP(G472,제품명!$C$1:$E$114,2,0)</f>
        <v>#N/A</v>
      </c>
      <c r="J472" s="29">
        <f>'Raw data'!K391</f>
        <v>0</v>
      </c>
      <c r="K472" s="31">
        <f>'Raw data'!H391</f>
        <v>0</v>
      </c>
      <c r="L472" s="26">
        <f t="shared" si="16"/>
        <v>0</v>
      </c>
    </row>
    <row r="473" spans="2:12">
      <c r="B473" s="4" t="e">
        <f t="shared" si="15"/>
        <v>#N/A</v>
      </c>
      <c r="C473" s="4">
        <f>'Raw data'!E392</f>
        <v>0</v>
      </c>
      <c r="D473" s="29" t="e">
        <f>VLOOKUP(C473,'점포코드 '!A:B,2,0)</f>
        <v>#N/A</v>
      </c>
      <c r="E473" s="30">
        <f>'Raw data'!P392</f>
        <v>0</v>
      </c>
      <c r="F473" s="29" t="e">
        <f>VLOOKUP(E473,'점포코드 '!A:B,2,0)</f>
        <v>#N/A</v>
      </c>
      <c r="G473" s="46">
        <f>'Raw data'!F392</f>
        <v>0</v>
      </c>
      <c r="H473" s="4">
        <f>'Raw data'!G392</f>
        <v>0</v>
      </c>
      <c r="I473" s="29" t="e">
        <f>VLOOKUP(G473,제품명!$C$1:$E$114,2,0)</f>
        <v>#N/A</v>
      </c>
      <c r="J473" s="29">
        <f>'Raw data'!K392</f>
        <v>0</v>
      </c>
      <c r="K473" s="31">
        <f>'Raw data'!H392</f>
        <v>0</v>
      </c>
      <c r="L473" s="26">
        <f t="shared" si="16"/>
        <v>0</v>
      </c>
    </row>
    <row r="474" spans="2:12">
      <c r="B474" s="4" t="e">
        <f t="shared" si="15"/>
        <v>#N/A</v>
      </c>
      <c r="C474" s="4">
        <f>'Raw data'!E393</f>
        <v>0</v>
      </c>
      <c r="D474" s="29" t="e">
        <f>VLOOKUP(C474,'점포코드 '!A:B,2,0)</f>
        <v>#N/A</v>
      </c>
      <c r="E474" s="30">
        <f>'Raw data'!P393</f>
        <v>0</v>
      </c>
      <c r="F474" s="29" t="e">
        <f>VLOOKUP(E474,'점포코드 '!A:B,2,0)</f>
        <v>#N/A</v>
      </c>
      <c r="G474" s="46">
        <f>'Raw data'!F393</f>
        <v>0</v>
      </c>
      <c r="H474" s="4">
        <f>'Raw data'!G393</f>
        <v>0</v>
      </c>
      <c r="I474" s="29" t="e">
        <f>VLOOKUP(G474,제품명!$C$1:$E$114,2,0)</f>
        <v>#N/A</v>
      </c>
      <c r="J474" s="29">
        <f>'Raw data'!K393</f>
        <v>0</v>
      </c>
      <c r="K474" s="31">
        <f>'Raw data'!H393</f>
        <v>0</v>
      </c>
      <c r="L474" s="26">
        <f t="shared" si="16"/>
        <v>0</v>
      </c>
    </row>
    <row r="475" spans="2:12">
      <c r="B475" s="4" t="e">
        <f t="shared" si="15"/>
        <v>#N/A</v>
      </c>
      <c r="C475" s="4">
        <f>'Raw data'!E394</f>
        <v>0</v>
      </c>
      <c r="D475" s="29" t="e">
        <f>VLOOKUP(C475,'점포코드 '!A:B,2,0)</f>
        <v>#N/A</v>
      </c>
      <c r="E475" s="30">
        <f>'Raw data'!P394</f>
        <v>0</v>
      </c>
      <c r="F475" s="29" t="e">
        <f>VLOOKUP(E475,'점포코드 '!A:B,2,0)</f>
        <v>#N/A</v>
      </c>
      <c r="G475" s="46">
        <f>'Raw data'!F394</f>
        <v>0</v>
      </c>
      <c r="H475" s="4">
        <f>'Raw data'!G394</f>
        <v>0</v>
      </c>
      <c r="I475" s="29" t="e">
        <f>VLOOKUP(G475,제품명!$C$1:$E$114,2,0)</f>
        <v>#N/A</v>
      </c>
      <c r="J475" s="29">
        <f>'Raw data'!K394</f>
        <v>0</v>
      </c>
      <c r="K475" s="31">
        <f>'Raw data'!H394</f>
        <v>0</v>
      </c>
      <c r="L475" s="26">
        <f t="shared" si="16"/>
        <v>0</v>
      </c>
    </row>
    <row r="476" spans="2:12">
      <c r="B476" s="4" t="e">
        <f t="shared" si="15"/>
        <v>#N/A</v>
      </c>
      <c r="C476" s="4">
        <f>'Raw data'!E395</f>
        <v>0</v>
      </c>
      <c r="D476" s="29" t="e">
        <f>VLOOKUP(C476,'점포코드 '!A:B,2,0)</f>
        <v>#N/A</v>
      </c>
      <c r="E476" s="30">
        <f>'Raw data'!P395</f>
        <v>0</v>
      </c>
      <c r="F476" s="29" t="e">
        <f>VLOOKUP(E476,'점포코드 '!A:B,2,0)</f>
        <v>#N/A</v>
      </c>
      <c r="G476" s="46">
        <f>'Raw data'!F395</f>
        <v>0</v>
      </c>
      <c r="H476" s="4">
        <f>'Raw data'!G395</f>
        <v>0</v>
      </c>
      <c r="I476" s="29" t="e">
        <f>VLOOKUP(G476,제품명!$C$1:$E$114,2,0)</f>
        <v>#N/A</v>
      </c>
      <c r="J476" s="29">
        <f>'Raw data'!K395</f>
        <v>0</v>
      </c>
      <c r="K476" s="31">
        <f>'Raw data'!H395</f>
        <v>0</v>
      </c>
      <c r="L476" s="26">
        <f t="shared" si="16"/>
        <v>0</v>
      </c>
    </row>
    <row r="477" spans="2:12">
      <c r="B477" s="4" t="e">
        <f t="shared" si="15"/>
        <v>#N/A</v>
      </c>
      <c r="C477" s="4">
        <f>'Raw data'!E396</f>
        <v>0</v>
      </c>
      <c r="D477" s="29" t="e">
        <f>VLOOKUP(C477,'점포코드 '!A:B,2,0)</f>
        <v>#N/A</v>
      </c>
      <c r="E477" s="30">
        <f>'Raw data'!P396</f>
        <v>0</v>
      </c>
      <c r="F477" s="29" t="e">
        <f>VLOOKUP(E477,'점포코드 '!A:B,2,0)</f>
        <v>#N/A</v>
      </c>
      <c r="G477" s="46">
        <f>'Raw data'!F396</f>
        <v>0</v>
      </c>
      <c r="H477" s="4">
        <f>'Raw data'!G396</f>
        <v>0</v>
      </c>
      <c r="I477" s="29" t="e">
        <f>VLOOKUP(G477,제품명!$C$1:$E$114,2,0)</f>
        <v>#N/A</v>
      </c>
      <c r="J477" s="29">
        <f>'Raw data'!K396</f>
        <v>0</v>
      </c>
      <c r="K477" s="31">
        <f>'Raw data'!H396</f>
        <v>0</v>
      </c>
      <c r="L477" s="26">
        <f t="shared" si="16"/>
        <v>0</v>
      </c>
    </row>
    <row r="478" spans="2:12">
      <c r="B478" s="4" t="e">
        <f t="shared" si="15"/>
        <v>#N/A</v>
      </c>
      <c r="C478" s="4">
        <f>'Raw data'!E397</f>
        <v>0</v>
      </c>
      <c r="D478" s="29" t="e">
        <f>VLOOKUP(C478,'점포코드 '!A:B,2,0)</f>
        <v>#N/A</v>
      </c>
      <c r="E478" s="30">
        <f>'Raw data'!P397</f>
        <v>0</v>
      </c>
      <c r="F478" s="29" t="e">
        <f>VLOOKUP(E478,'점포코드 '!A:B,2,0)</f>
        <v>#N/A</v>
      </c>
      <c r="G478" s="46">
        <f>'Raw data'!F397</f>
        <v>0</v>
      </c>
      <c r="H478" s="4">
        <f>'Raw data'!G397</f>
        <v>0</v>
      </c>
      <c r="I478" s="29" t="e">
        <f>VLOOKUP(G478,제품명!$C$1:$E$114,2,0)</f>
        <v>#N/A</v>
      </c>
      <c r="J478" s="29">
        <f>'Raw data'!K397</f>
        <v>0</v>
      </c>
      <c r="K478" s="31">
        <f>'Raw data'!H397</f>
        <v>0</v>
      </c>
      <c r="L478" s="26">
        <f t="shared" si="16"/>
        <v>0</v>
      </c>
    </row>
    <row r="479" spans="2:12">
      <c r="B479" s="4" t="e">
        <f t="shared" si="15"/>
        <v>#N/A</v>
      </c>
      <c r="C479" s="4">
        <f>'Raw data'!E398</f>
        <v>0</v>
      </c>
      <c r="D479" s="29" t="e">
        <f>VLOOKUP(C479,'점포코드 '!A:B,2,0)</f>
        <v>#N/A</v>
      </c>
      <c r="E479" s="30">
        <f>'Raw data'!P398</f>
        <v>0</v>
      </c>
      <c r="F479" s="29" t="e">
        <f>VLOOKUP(E479,'점포코드 '!A:B,2,0)</f>
        <v>#N/A</v>
      </c>
      <c r="G479" s="46">
        <f>'Raw data'!F398</f>
        <v>0</v>
      </c>
      <c r="H479" s="4">
        <f>'Raw data'!G398</f>
        <v>0</v>
      </c>
      <c r="I479" s="29" t="e">
        <f>VLOOKUP(G479,제품명!$C$1:$E$114,2,0)</f>
        <v>#N/A</v>
      </c>
      <c r="J479" s="29">
        <f>'Raw data'!K398</f>
        <v>0</v>
      </c>
      <c r="K479" s="31">
        <f>'Raw data'!H398</f>
        <v>0</v>
      </c>
      <c r="L479" s="26">
        <f t="shared" si="16"/>
        <v>0</v>
      </c>
    </row>
    <row r="480" spans="2:12">
      <c r="B480" s="4" t="e">
        <f t="shared" si="15"/>
        <v>#N/A</v>
      </c>
      <c r="C480" s="4">
        <f>'Raw data'!E399</f>
        <v>0</v>
      </c>
      <c r="D480" s="29" t="e">
        <f>VLOOKUP(C480,'점포코드 '!A:B,2,0)</f>
        <v>#N/A</v>
      </c>
      <c r="E480" s="30">
        <f>'Raw data'!P399</f>
        <v>0</v>
      </c>
      <c r="F480" s="29" t="e">
        <f>VLOOKUP(E480,'점포코드 '!A:B,2,0)</f>
        <v>#N/A</v>
      </c>
      <c r="G480" s="46">
        <f>'Raw data'!F399</f>
        <v>0</v>
      </c>
      <c r="H480" s="4">
        <f>'Raw data'!G399</f>
        <v>0</v>
      </c>
      <c r="I480" s="29" t="e">
        <f>VLOOKUP(G480,제품명!$C$1:$E$114,2,0)</f>
        <v>#N/A</v>
      </c>
      <c r="J480" s="29">
        <f>'Raw data'!K399</f>
        <v>0</v>
      </c>
      <c r="K480" s="31">
        <f>'Raw data'!H399</f>
        <v>0</v>
      </c>
      <c r="L480" s="26">
        <f t="shared" si="16"/>
        <v>0</v>
      </c>
    </row>
    <row r="481" spans="2:12">
      <c r="B481" s="4" t="e">
        <f t="shared" si="15"/>
        <v>#N/A</v>
      </c>
      <c r="C481" s="4">
        <f>'Raw data'!E400</f>
        <v>0</v>
      </c>
      <c r="D481" s="29" t="e">
        <f>VLOOKUP(C481,'점포코드 '!A:B,2,0)</f>
        <v>#N/A</v>
      </c>
      <c r="E481" s="30">
        <f>'Raw data'!P400</f>
        <v>0</v>
      </c>
      <c r="F481" s="29" t="e">
        <f>VLOOKUP(E481,'점포코드 '!A:B,2,0)</f>
        <v>#N/A</v>
      </c>
      <c r="G481" s="46">
        <f>'Raw data'!F400</f>
        <v>0</v>
      </c>
      <c r="H481" s="4">
        <f>'Raw data'!G400</f>
        <v>0</v>
      </c>
      <c r="I481" s="29" t="e">
        <f>VLOOKUP(G481,제품명!$C$1:$E$114,2,0)</f>
        <v>#N/A</v>
      </c>
      <c r="J481" s="29">
        <f>'Raw data'!K400</f>
        <v>0</v>
      </c>
      <c r="K481" s="31">
        <f>'Raw data'!H400</f>
        <v>0</v>
      </c>
      <c r="L481" s="26">
        <f t="shared" si="16"/>
        <v>0</v>
      </c>
    </row>
    <row r="482" spans="2:12">
      <c r="B482" s="4" t="e">
        <f t="shared" si="15"/>
        <v>#N/A</v>
      </c>
      <c r="C482" s="4">
        <f>'Raw data'!E401</f>
        <v>0</v>
      </c>
      <c r="D482" s="29" t="e">
        <f>VLOOKUP(C482,'점포코드 '!A:B,2,0)</f>
        <v>#N/A</v>
      </c>
      <c r="E482" s="30">
        <f>'Raw data'!P401</f>
        <v>0</v>
      </c>
      <c r="F482" s="29" t="e">
        <f>VLOOKUP(E482,'점포코드 '!A:B,2,0)</f>
        <v>#N/A</v>
      </c>
      <c r="G482" s="46">
        <f>'Raw data'!F401</f>
        <v>0</v>
      </c>
      <c r="H482" s="4">
        <f>'Raw data'!G401</f>
        <v>0</v>
      </c>
      <c r="I482" s="29" t="e">
        <f>VLOOKUP(G482,제품명!$C$1:$E$114,2,0)</f>
        <v>#N/A</v>
      </c>
      <c r="J482" s="29">
        <f>'Raw data'!K401</f>
        <v>0</v>
      </c>
      <c r="K482" s="31">
        <f>'Raw data'!H401</f>
        <v>0</v>
      </c>
      <c r="L482" s="26">
        <f t="shared" si="16"/>
        <v>0</v>
      </c>
    </row>
    <row r="483" spans="2:12">
      <c r="B483" s="4" t="e">
        <f t="shared" si="15"/>
        <v>#N/A</v>
      </c>
      <c r="C483" s="4">
        <f>'Raw data'!E402</f>
        <v>0</v>
      </c>
      <c r="D483" s="29" t="e">
        <f>VLOOKUP(C483,'점포코드 '!A:B,2,0)</f>
        <v>#N/A</v>
      </c>
      <c r="E483" s="30">
        <f>'Raw data'!P402</f>
        <v>0</v>
      </c>
      <c r="F483" s="29" t="e">
        <f>VLOOKUP(E483,'점포코드 '!A:B,2,0)</f>
        <v>#N/A</v>
      </c>
      <c r="G483" s="46">
        <f>'Raw data'!F402</f>
        <v>0</v>
      </c>
      <c r="H483" s="4">
        <f>'Raw data'!G402</f>
        <v>0</v>
      </c>
      <c r="I483" s="29" t="e">
        <f>VLOOKUP(G483,제품명!$C$1:$E$114,2,0)</f>
        <v>#N/A</v>
      </c>
      <c r="J483" s="29">
        <f>'Raw data'!K402</f>
        <v>0</v>
      </c>
      <c r="K483" s="31">
        <f>'Raw data'!H402</f>
        <v>0</v>
      </c>
      <c r="L483" s="26">
        <f t="shared" si="16"/>
        <v>0</v>
      </c>
    </row>
    <row r="484" spans="2:12">
      <c r="B484" s="4" t="e">
        <f t="shared" si="15"/>
        <v>#N/A</v>
      </c>
      <c r="C484" s="4">
        <f>'Raw data'!E403</f>
        <v>0</v>
      </c>
      <c r="D484" s="29" t="e">
        <f>VLOOKUP(C484,'점포코드 '!A:B,2,0)</f>
        <v>#N/A</v>
      </c>
      <c r="E484" s="30">
        <f>'Raw data'!P403</f>
        <v>0</v>
      </c>
      <c r="F484" s="29" t="e">
        <f>VLOOKUP(E484,'점포코드 '!A:B,2,0)</f>
        <v>#N/A</v>
      </c>
      <c r="G484" s="46">
        <f>'Raw data'!F403</f>
        <v>0</v>
      </c>
      <c r="H484" s="4">
        <f>'Raw data'!G403</f>
        <v>0</v>
      </c>
      <c r="I484" s="29" t="e">
        <f>VLOOKUP(G484,제품명!$C$1:$E$114,2,0)</f>
        <v>#N/A</v>
      </c>
      <c r="J484" s="29">
        <f>'Raw data'!K403</f>
        <v>0</v>
      </c>
      <c r="K484" s="31">
        <f>'Raw data'!H403</f>
        <v>0</v>
      </c>
      <c r="L484" s="26">
        <f t="shared" si="16"/>
        <v>0</v>
      </c>
    </row>
    <row r="485" spans="2:12">
      <c r="B485" s="4" t="e">
        <f t="shared" si="15"/>
        <v>#N/A</v>
      </c>
      <c r="C485" s="4">
        <f>'Raw data'!E404</f>
        <v>0</v>
      </c>
      <c r="D485" s="29" t="e">
        <f>VLOOKUP(C485,'점포코드 '!A:B,2,0)</f>
        <v>#N/A</v>
      </c>
      <c r="E485" s="30">
        <f>'Raw data'!P404</f>
        <v>0</v>
      </c>
      <c r="F485" s="29" t="e">
        <f>VLOOKUP(E485,'점포코드 '!A:B,2,0)</f>
        <v>#N/A</v>
      </c>
      <c r="G485" s="46">
        <f>'Raw data'!F404</f>
        <v>0</v>
      </c>
      <c r="H485" s="4">
        <f>'Raw data'!G404</f>
        <v>0</v>
      </c>
      <c r="I485" s="29" t="e">
        <f>VLOOKUP(G485,제품명!$C$1:$E$114,2,0)</f>
        <v>#N/A</v>
      </c>
      <c r="J485" s="29">
        <f>'Raw data'!K404</f>
        <v>0</v>
      </c>
      <c r="K485" s="31">
        <f>'Raw data'!H404</f>
        <v>0</v>
      </c>
      <c r="L485" s="26">
        <f t="shared" si="16"/>
        <v>0</v>
      </c>
    </row>
    <row r="486" spans="2:12">
      <c r="B486" s="4" t="e">
        <f t="shared" si="15"/>
        <v>#N/A</v>
      </c>
      <c r="C486" s="4">
        <f>'Raw data'!E405</f>
        <v>0</v>
      </c>
      <c r="D486" s="29" t="e">
        <f>VLOOKUP(C486,'점포코드 '!A:B,2,0)</f>
        <v>#N/A</v>
      </c>
      <c r="E486" s="30">
        <f>'Raw data'!P405</f>
        <v>0</v>
      </c>
      <c r="F486" s="29" t="e">
        <f>VLOOKUP(E486,'점포코드 '!A:B,2,0)</f>
        <v>#N/A</v>
      </c>
      <c r="G486" s="46">
        <f>'Raw data'!F405</f>
        <v>0</v>
      </c>
      <c r="H486" s="4">
        <f>'Raw data'!G405</f>
        <v>0</v>
      </c>
      <c r="I486" s="29" t="e">
        <f>VLOOKUP(G486,제품명!$C$1:$E$114,2,0)</f>
        <v>#N/A</v>
      </c>
      <c r="J486" s="29">
        <f>'Raw data'!K405</f>
        <v>0</v>
      </c>
      <c r="K486" s="31">
        <f>'Raw data'!H405</f>
        <v>0</v>
      </c>
      <c r="L486" s="26">
        <f t="shared" si="16"/>
        <v>0</v>
      </c>
    </row>
    <row r="487" spans="2:12">
      <c r="B487" s="4" t="e">
        <f t="shared" si="15"/>
        <v>#N/A</v>
      </c>
      <c r="C487" s="4">
        <f>'Raw data'!E406</f>
        <v>0</v>
      </c>
      <c r="D487" s="29" t="e">
        <f>VLOOKUP(C487,'점포코드 '!A:B,2,0)</f>
        <v>#N/A</v>
      </c>
      <c r="E487" s="30">
        <f>'Raw data'!P406</f>
        <v>0</v>
      </c>
      <c r="F487" s="29" t="e">
        <f>VLOOKUP(E487,'점포코드 '!A:B,2,0)</f>
        <v>#N/A</v>
      </c>
      <c r="G487" s="46">
        <f>'Raw data'!F406</f>
        <v>0</v>
      </c>
      <c r="H487" s="4">
        <f>'Raw data'!G406</f>
        <v>0</v>
      </c>
      <c r="I487" s="29" t="e">
        <f>VLOOKUP(G487,제품명!$C$1:$E$114,2,0)</f>
        <v>#N/A</v>
      </c>
      <c r="J487" s="29">
        <f>'Raw data'!K406</f>
        <v>0</v>
      </c>
      <c r="K487" s="31">
        <f>'Raw data'!H406</f>
        <v>0</v>
      </c>
      <c r="L487" s="26">
        <f t="shared" si="16"/>
        <v>0</v>
      </c>
    </row>
    <row r="488" spans="2:12">
      <c r="B488" s="4" t="e">
        <f t="shared" si="15"/>
        <v>#N/A</v>
      </c>
      <c r="C488" s="4">
        <f>'Raw data'!E407</f>
        <v>0</v>
      </c>
      <c r="D488" s="29" t="e">
        <f>VLOOKUP(C488,'점포코드 '!A:B,2,0)</f>
        <v>#N/A</v>
      </c>
      <c r="E488" s="30">
        <f>'Raw data'!P407</f>
        <v>0</v>
      </c>
      <c r="F488" s="29" t="e">
        <f>VLOOKUP(E488,'점포코드 '!A:B,2,0)</f>
        <v>#N/A</v>
      </c>
      <c r="G488" s="46">
        <f>'Raw data'!F407</f>
        <v>0</v>
      </c>
      <c r="H488" s="4">
        <f>'Raw data'!G407</f>
        <v>0</v>
      </c>
      <c r="I488" s="29" t="e">
        <f>VLOOKUP(G488,제품명!$C$1:$E$114,2,0)</f>
        <v>#N/A</v>
      </c>
      <c r="J488" s="29">
        <f>'Raw data'!K407</f>
        <v>0</v>
      </c>
      <c r="K488" s="31">
        <f>'Raw data'!H407</f>
        <v>0</v>
      </c>
      <c r="L488" s="26">
        <f t="shared" si="16"/>
        <v>0</v>
      </c>
    </row>
    <row r="489" spans="2:12">
      <c r="B489" s="4" t="e">
        <f t="shared" si="15"/>
        <v>#N/A</v>
      </c>
      <c r="C489" s="4">
        <f>'Raw data'!E408</f>
        <v>0</v>
      </c>
      <c r="D489" s="29" t="e">
        <f>VLOOKUP(C489,'점포코드 '!A:B,2,0)</f>
        <v>#N/A</v>
      </c>
      <c r="E489" s="30">
        <f>'Raw data'!P408</f>
        <v>0</v>
      </c>
      <c r="F489" s="29" t="e">
        <f>VLOOKUP(E489,'점포코드 '!A:B,2,0)</f>
        <v>#N/A</v>
      </c>
      <c r="G489" s="46">
        <f>'Raw data'!F408</f>
        <v>0</v>
      </c>
      <c r="H489" s="4">
        <f>'Raw data'!G408</f>
        <v>0</v>
      </c>
      <c r="I489" s="29" t="e">
        <f>VLOOKUP(G489,제품명!$C$1:$E$114,2,0)</f>
        <v>#N/A</v>
      </c>
      <c r="J489" s="29">
        <f>'Raw data'!K408</f>
        <v>0</v>
      </c>
      <c r="K489" s="31">
        <f>'Raw data'!H408</f>
        <v>0</v>
      </c>
      <c r="L489" s="26">
        <f t="shared" si="16"/>
        <v>0</v>
      </c>
    </row>
    <row r="490" spans="2:12">
      <c r="B490" s="4" t="e">
        <f t="shared" si="15"/>
        <v>#N/A</v>
      </c>
      <c r="C490" s="4">
        <f>'Raw data'!E409</f>
        <v>0</v>
      </c>
      <c r="D490" s="29" t="e">
        <f>VLOOKUP(C490,'점포코드 '!A:B,2,0)</f>
        <v>#N/A</v>
      </c>
      <c r="E490" s="30">
        <f>'Raw data'!P409</f>
        <v>0</v>
      </c>
      <c r="F490" s="29" t="e">
        <f>VLOOKUP(E490,'점포코드 '!A:B,2,0)</f>
        <v>#N/A</v>
      </c>
      <c r="G490" s="46">
        <f>'Raw data'!F409</f>
        <v>0</v>
      </c>
      <c r="H490" s="4">
        <f>'Raw data'!G409</f>
        <v>0</v>
      </c>
      <c r="I490" s="29" t="e">
        <f>VLOOKUP(G490,제품명!$C$1:$E$114,2,0)</f>
        <v>#N/A</v>
      </c>
      <c r="J490" s="29">
        <f>'Raw data'!K409</f>
        <v>0</v>
      </c>
      <c r="K490" s="31">
        <f>'Raw data'!H409</f>
        <v>0</v>
      </c>
      <c r="L490" s="26">
        <f t="shared" si="16"/>
        <v>0</v>
      </c>
    </row>
    <row r="491" spans="2:12">
      <c r="B491" s="4" t="e">
        <f t="shared" si="15"/>
        <v>#N/A</v>
      </c>
      <c r="C491" s="4">
        <f>'Raw data'!E410</f>
        <v>0</v>
      </c>
      <c r="D491" s="29" t="e">
        <f>VLOOKUP(C491,'점포코드 '!A:B,2,0)</f>
        <v>#N/A</v>
      </c>
      <c r="E491" s="30">
        <f>'Raw data'!P410</f>
        <v>0</v>
      </c>
      <c r="F491" s="29" t="e">
        <f>VLOOKUP(E491,'점포코드 '!A:B,2,0)</f>
        <v>#N/A</v>
      </c>
      <c r="G491" s="46">
        <f>'Raw data'!F410</f>
        <v>0</v>
      </c>
      <c r="H491" s="4">
        <f>'Raw data'!G410</f>
        <v>0</v>
      </c>
      <c r="I491" s="29" t="e">
        <f>VLOOKUP(G491,제품명!$C$1:$E$114,2,0)</f>
        <v>#N/A</v>
      </c>
      <c r="J491" s="29">
        <f>'Raw data'!K410</f>
        <v>0</v>
      </c>
      <c r="K491" s="31">
        <f>'Raw data'!H410</f>
        <v>0</v>
      </c>
      <c r="L491" s="26">
        <f t="shared" si="16"/>
        <v>0</v>
      </c>
    </row>
    <row r="492" spans="2:12">
      <c r="B492" s="4" t="e">
        <f t="shared" si="15"/>
        <v>#N/A</v>
      </c>
      <c r="C492" s="4">
        <f>'Raw data'!E411</f>
        <v>0</v>
      </c>
      <c r="D492" s="29" t="e">
        <f>VLOOKUP(C492,'점포코드 '!A:B,2,0)</f>
        <v>#N/A</v>
      </c>
      <c r="E492" s="30">
        <f>'Raw data'!P411</f>
        <v>0</v>
      </c>
      <c r="F492" s="29" t="e">
        <f>VLOOKUP(E492,'점포코드 '!A:B,2,0)</f>
        <v>#N/A</v>
      </c>
      <c r="G492" s="46">
        <f>'Raw data'!F411</f>
        <v>0</v>
      </c>
      <c r="H492" s="4">
        <f>'Raw data'!G411</f>
        <v>0</v>
      </c>
      <c r="I492" s="29" t="e">
        <f>VLOOKUP(G492,제품명!$C$1:$E$114,2,0)</f>
        <v>#N/A</v>
      </c>
      <c r="J492" s="29">
        <f>'Raw data'!K411</f>
        <v>0</v>
      </c>
      <c r="K492" s="31">
        <f>'Raw data'!H411</f>
        <v>0</v>
      </c>
      <c r="L492" s="26">
        <f t="shared" si="16"/>
        <v>0</v>
      </c>
    </row>
    <row r="493" spans="2:12">
      <c r="B493" s="4" t="e">
        <f t="shared" si="15"/>
        <v>#N/A</v>
      </c>
      <c r="C493" s="4">
        <f>'Raw data'!E412</f>
        <v>0</v>
      </c>
      <c r="D493" s="29" t="e">
        <f>VLOOKUP(C493,'점포코드 '!A:B,2,0)</f>
        <v>#N/A</v>
      </c>
      <c r="E493" s="30">
        <f>'Raw data'!P412</f>
        <v>0</v>
      </c>
      <c r="F493" s="29" t="e">
        <f>VLOOKUP(E493,'점포코드 '!A:B,2,0)</f>
        <v>#N/A</v>
      </c>
      <c r="G493" s="46">
        <f>'Raw data'!F412</f>
        <v>0</v>
      </c>
      <c r="H493" s="4">
        <f>'Raw data'!G412</f>
        <v>0</v>
      </c>
      <c r="I493" s="29" t="e">
        <f>VLOOKUP(G493,제품명!$C$1:$E$114,2,0)</f>
        <v>#N/A</v>
      </c>
      <c r="J493" s="29">
        <f>'Raw data'!K412</f>
        <v>0</v>
      </c>
      <c r="K493" s="31">
        <f>'Raw data'!H412</f>
        <v>0</v>
      </c>
      <c r="L493" s="26">
        <f t="shared" si="16"/>
        <v>0</v>
      </c>
    </row>
    <row r="494" spans="2:12">
      <c r="B494" s="4" t="e">
        <f t="shared" si="15"/>
        <v>#N/A</v>
      </c>
      <c r="C494" s="4">
        <f>'Raw data'!E413</f>
        <v>0</v>
      </c>
      <c r="D494" s="29" t="e">
        <f>VLOOKUP(C494,'점포코드 '!A:B,2,0)</f>
        <v>#N/A</v>
      </c>
      <c r="E494" s="30">
        <f>'Raw data'!P413</f>
        <v>0</v>
      </c>
      <c r="F494" s="29" t="e">
        <f>VLOOKUP(E494,'점포코드 '!A:B,2,0)</f>
        <v>#N/A</v>
      </c>
      <c r="G494" s="46">
        <f>'Raw data'!F413</f>
        <v>0</v>
      </c>
      <c r="H494" s="4">
        <f>'Raw data'!G413</f>
        <v>0</v>
      </c>
      <c r="I494" s="29" t="e">
        <f>VLOOKUP(G494,제품명!$C$1:$E$114,2,0)</f>
        <v>#N/A</v>
      </c>
      <c r="J494" s="29">
        <f>'Raw data'!K413</f>
        <v>0</v>
      </c>
      <c r="K494" s="31">
        <f>'Raw data'!H413</f>
        <v>0</v>
      </c>
      <c r="L494" s="26">
        <f t="shared" si="16"/>
        <v>0</v>
      </c>
    </row>
    <row r="495" spans="2:12">
      <c r="B495" s="4" t="e">
        <f t="shared" si="15"/>
        <v>#N/A</v>
      </c>
      <c r="C495" s="4">
        <f>'Raw data'!E414</f>
        <v>0</v>
      </c>
      <c r="D495" s="29" t="e">
        <f>VLOOKUP(C495,'점포코드 '!A:B,2,0)</f>
        <v>#N/A</v>
      </c>
      <c r="E495" s="30">
        <f>'Raw data'!P414</f>
        <v>0</v>
      </c>
      <c r="F495" s="29" t="e">
        <f>VLOOKUP(E495,'점포코드 '!A:B,2,0)</f>
        <v>#N/A</v>
      </c>
      <c r="G495" s="46">
        <f>'Raw data'!F414</f>
        <v>0</v>
      </c>
      <c r="H495" s="4">
        <f>'Raw data'!G414</f>
        <v>0</v>
      </c>
      <c r="I495" s="29" t="e">
        <f>VLOOKUP(G495,제품명!$C$1:$E$114,2,0)</f>
        <v>#N/A</v>
      </c>
      <c r="J495" s="29">
        <f>'Raw data'!K414</f>
        <v>0</v>
      </c>
      <c r="K495" s="31">
        <f>'Raw data'!H414</f>
        <v>0</v>
      </c>
      <c r="L495" s="26">
        <f t="shared" si="16"/>
        <v>0</v>
      </c>
    </row>
    <row r="496" spans="2:12">
      <c r="B496" s="4" t="e">
        <f t="shared" si="15"/>
        <v>#N/A</v>
      </c>
      <c r="C496" s="4">
        <f>'Raw data'!E415</f>
        <v>0</v>
      </c>
      <c r="D496" s="29" t="e">
        <f>VLOOKUP(C496,'점포코드 '!A:B,2,0)</f>
        <v>#N/A</v>
      </c>
      <c r="E496" s="30">
        <f>'Raw data'!P415</f>
        <v>0</v>
      </c>
      <c r="F496" s="29" t="e">
        <f>VLOOKUP(E496,'점포코드 '!A:B,2,0)</f>
        <v>#N/A</v>
      </c>
      <c r="G496" s="46">
        <f>'Raw data'!F415</f>
        <v>0</v>
      </c>
      <c r="H496" s="4">
        <f>'Raw data'!G415</f>
        <v>0</v>
      </c>
      <c r="I496" s="29" t="e">
        <f>VLOOKUP(G496,제품명!$C$1:$E$114,2,0)</f>
        <v>#N/A</v>
      </c>
      <c r="J496" s="29">
        <f>'Raw data'!K415</f>
        <v>0</v>
      </c>
      <c r="K496" s="31">
        <f>'Raw data'!H415</f>
        <v>0</v>
      </c>
      <c r="L496" s="26">
        <f t="shared" si="16"/>
        <v>0</v>
      </c>
    </row>
    <row r="497" spans="2:12">
      <c r="B497" s="4" t="e">
        <f t="shared" si="15"/>
        <v>#N/A</v>
      </c>
      <c r="C497" s="4">
        <f>'Raw data'!E416</f>
        <v>0</v>
      </c>
      <c r="D497" s="29" t="e">
        <f>VLOOKUP(C497,'점포코드 '!A:B,2,0)</f>
        <v>#N/A</v>
      </c>
      <c r="E497" s="30">
        <f>'Raw data'!P416</f>
        <v>0</v>
      </c>
      <c r="F497" s="29" t="e">
        <f>VLOOKUP(E497,'점포코드 '!A:B,2,0)</f>
        <v>#N/A</v>
      </c>
      <c r="G497" s="46">
        <f>'Raw data'!F416</f>
        <v>0</v>
      </c>
      <c r="H497" s="4">
        <f>'Raw data'!G416</f>
        <v>0</v>
      </c>
      <c r="I497" s="29" t="e">
        <f>VLOOKUP(G497,제품명!$C$1:$E$114,2,0)</f>
        <v>#N/A</v>
      </c>
      <c r="J497" s="29">
        <f>'Raw data'!K416</f>
        <v>0</v>
      </c>
      <c r="K497" s="31">
        <f>'Raw data'!H416</f>
        <v>0</v>
      </c>
      <c r="L497" s="26">
        <f t="shared" si="16"/>
        <v>0</v>
      </c>
    </row>
    <row r="498" spans="2:12">
      <c r="B498" s="4" t="e">
        <f t="shared" si="15"/>
        <v>#N/A</v>
      </c>
      <c r="C498" s="4">
        <f>'Raw data'!E417</f>
        <v>0</v>
      </c>
      <c r="D498" s="29" t="e">
        <f>VLOOKUP(C498,'점포코드 '!A:B,2,0)</f>
        <v>#N/A</v>
      </c>
      <c r="E498" s="30">
        <f>'Raw data'!P417</f>
        <v>0</v>
      </c>
      <c r="F498" s="29" t="e">
        <f>VLOOKUP(E498,'점포코드 '!A:B,2,0)</f>
        <v>#N/A</v>
      </c>
      <c r="G498" s="46">
        <f>'Raw data'!F417</f>
        <v>0</v>
      </c>
      <c r="H498" s="4">
        <f>'Raw data'!G417</f>
        <v>0</v>
      </c>
      <c r="I498" s="29" t="e">
        <f>VLOOKUP(G498,제품명!$C$1:$E$114,2,0)</f>
        <v>#N/A</v>
      </c>
      <c r="J498" s="29">
        <f>'Raw data'!K417</f>
        <v>0</v>
      </c>
      <c r="K498" s="31">
        <f>'Raw data'!H417</f>
        <v>0</v>
      </c>
      <c r="L498" s="26">
        <f t="shared" si="16"/>
        <v>0</v>
      </c>
    </row>
    <row r="499" spans="2:12">
      <c r="B499" s="4" t="e">
        <f t="shared" si="15"/>
        <v>#N/A</v>
      </c>
      <c r="C499" s="4">
        <f>'Raw data'!E418</f>
        <v>0</v>
      </c>
      <c r="D499" s="29" t="e">
        <f>VLOOKUP(C499,'점포코드 '!A:B,2,0)</f>
        <v>#N/A</v>
      </c>
      <c r="E499" s="30">
        <f>'Raw data'!P418</f>
        <v>0</v>
      </c>
      <c r="F499" s="29" t="e">
        <f>VLOOKUP(E499,'점포코드 '!A:B,2,0)</f>
        <v>#N/A</v>
      </c>
      <c r="G499" s="46">
        <f>'Raw data'!F418</f>
        <v>0</v>
      </c>
      <c r="H499" s="4">
        <f>'Raw data'!G418</f>
        <v>0</v>
      </c>
      <c r="I499" s="29" t="e">
        <f>VLOOKUP(G499,제품명!$C$1:$E$114,2,0)</f>
        <v>#N/A</v>
      </c>
      <c r="J499" s="29">
        <f>'Raw data'!K418</f>
        <v>0</v>
      </c>
      <c r="K499" s="31">
        <f>'Raw data'!H418</f>
        <v>0</v>
      </c>
      <c r="L499" s="26">
        <f t="shared" si="16"/>
        <v>0</v>
      </c>
    </row>
    <row r="500" spans="2:12">
      <c r="B500" s="4" t="e">
        <f t="shared" si="15"/>
        <v>#N/A</v>
      </c>
      <c r="C500" s="4">
        <f>'Raw data'!E419</f>
        <v>0</v>
      </c>
      <c r="D500" s="29" t="e">
        <f>VLOOKUP(C500,'점포코드 '!A:B,2,0)</f>
        <v>#N/A</v>
      </c>
      <c r="E500" s="30">
        <f>'Raw data'!P419</f>
        <v>0</v>
      </c>
      <c r="F500" s="29" t="e">
        <f>VLOOKUP(E500,'점포코드 '!A:B,2,0)</f>
        <v>#N/A</v>
      </c>
      <c r="G500" s="46">
        <f>'Raw data'!F419</f>
        <v>0</v>
      </c>
      <c r="H500" s="4">
        <f>'Raw data'!G419</f>
        <v>0</v>
      </c>
      <c r="I500" s="29" t="e">
        <f>VLOOKUP(G500,제품명!$C$1:$E$114,2,0)</f>
        <v>#N/A</v>
      </c>
      <c r="J500" s="29">
        <f>'Raw data'!K419</f>
        <v>0</v>
      </c>
      <c r="K500" s="31">
        <f>'Raw data'!H419</f>
        <v>0</v>
      </c>
      <c r="L500" s="26">
        <f t="shared" si="16"/>
        <v>0</v>
      </c>
    </row>
    <row r="501" spans="2:12">
      <c r="B501" s="4" t="e">
        <f t="shared" si="15"/>
        <v>#N/A</v>
      </c>
      <c r="C501" s="4">
        <f>'Raw data'!E420</f>
        <v>0</v>
      </c>
      <c r="D501" s="29" t="e">
        <f>VLOOKUP(C501,'점포코드 '!A:B,2,0)</f>
        <v>#N/A</v>
      </c>
      <c r="E501" s="30">
        <f>'Raw data'!P420</f>
        <v>0</v>
      </c>
      <c r="F501" s="29" t="e">
        <f>VLOOKUP(E501,'점포코드 '!A:B,2,0)</f>
        <v>#N/A</v>
      </c>
      <c r="G501" s="46">
        <f>'Raw data'!F420</f>
        <v>0</v>
      </c>
      <c r="H501" s="4">
        <f>'Raw data'!G420</f>
        <v>0</v>
      </c>
      <c r="I501" s="29" t="e">
        <f>VLOOKUP(G501,제품명!$C$1:$E$114,2,0)</f>
        <v>#N/A</v>
      </c>
      <c r="J501" s="29">
        <f>'Raw data'!K420</f>
        <v>0</v>
      </c>
      <c r="K501" s="31">
        <f>'Raw data'!H420</f>
        <v>0</v>
      </c>
      <c r="L501" s="26">
        <f t="shared" si="16"/>
        <v>0</v>
      </c>
    </row>
    <row r="502" spans="2:12">
      <c r="B502" s="4" t="e">
        <f t="shared" si="15"/>
        <v>#N/A</v>
      </c>
      <c r="C502" s="4">
        <f>'Raw data'!E421</f>
        <v>0</v>
      </c>
      <c r="D502" s="29" t="e">
        <f>VLOOKUP(C502,'점포코드 '!A:B,2,0)</f>
        <v>#N/A</v>
      </c>
      <c r="E502" s="30">
        <f>'Raw data'!P421</f>
        <v>0</v>
      </c>
      <c r="F502" s="29" t="e">
        <f>VLOOKUP(E502,'점포코드 '!A:B,2,0)</f>
        <v>#N/A</v>
      </c>
      <c r="G502" s="46">
        <f>'Raw data'!F421</f>
        <v>0</v>
      </c>
      <c r="H502" s="4">
        <f>'Raw data'!G421</f>
        <v>0</v>
      </c>
      <c r="I502" s="29" t="e">
        <f>VLOOKUP(G502,제품명!$C$1:$E$114,2,0)</f>
        <v>#N/A</v>
      </c>
      <c r="J502" s="29">
        <f>'Raw data'!K421</f>
        <v>0</v>
      </c>
      <c r="K502" s="31">
        <f>'Raw data'!H421</f>
        <v>0</v>
      </c>
      <c r="L502" s="26">
        <f t="shared" si="16"/>
        <v>0</v>
      </c>
    </row>
    <row r="503" spans="2:12">
      <c r="B503" s="4" t="e">
        <f t="shared" si="15"/>
        <v>#N/A</v>
      </c>
      <c r="C503" s="4">
        <f>'Raw data'!E422</f>
        <v>0</v>
      </c>
      <c r="D503" s="29" t="e">
        <f>VLOOKUP(C503,'점포코드 '!A:B,2,0)</f>
        <v>#N/A</v>
      </c>
      <c r="E503" s="30">
        <f>'Raw data'!P422</f>
        <v>0</v>
      </c>
      <c r="F503" s="29" t="e">
        <f>VLOOKUP(E503,'점포코드 '!A:B,2,0)</f>
        <v>#N/A</v>
      </c>
      <c r="G503" s="46">
        <f>'Raw data'!F422</f>
        <v>0</v>
      </c>
      <c r="H503" s="4">
        <f>'Raw data'!G422</f>
        <v>0</v>
      </c>
      <c r="I503" s="29" t="e">
        <f>VLOOKUP(G503,제품명!$C$1:$E$114,2,0)</f>
        <v>#N/A</v>
      </c>
      <c r="J503" s="29">
        <f>'Raw data'!K422</f>
        <v>0</v>
      </c>
      <c r="K503" s="31">
        <f>'Raw data'!H422</f>
        <v>0</v>
      </c>
      <c r="L503" s="26">
        <f t="shared" si="16"/>
        <v>0</v>
      </c>
    </row>
    <row r="504" spans="2:12">
      <c r="B504" s="4" t="e">
        <f t="shared" si="15"/>
        <v>#N/A</v>
      </c>
      <c r="C504" s="4">
        <f>'Raw data'!E423</f>
        <v>0</v>
      </c>
      <c r="D504" s="29" t="e">
        <f>VLOOKUP(C504,'점포코드 '!A:B,2,0)</f>
        <v>#N/A</v>
      </c>
      <c r="E504" s="30">
        <f>'Raw data'!P423</f>
        <v>0</v>
      </c>
      <c r="F504" s="29" t="e">
        <f>VLOOKUP(E504,'점포코드 '!A:B,2,0)</f>
        <v>#N/A</v>
      </c>
      <c r="G504" s="46">
        <f>'Raw data'!F423</f>
        <v>0</v>
      </c>
      <c r="H504" s="4">
        <f>'Raw data'!G423</f>
        <v>0</v>
      </c>
      <c r="I504" s="29" t="e">
        <f>VLOOKUP(G504,제품명!$C$1:$E$114,2,0)</f>
        <v>#N/A</v>
      </c>
      <c r="J504" s="29">
        <f>'Raw data'!K423</f>
        <v>0</v>
      </c>
      <c r="K504" s="31">
        <f>'Raw data'!H423</f>
        <v>0</v>
      </c>
      <c r="L504" s="26">
        <f t="shared" si="16"/>
        <v>0</v>
      </c>
    </row>
    <row r="505" spans="2:12">
      <c r="B505" s="4" t="e">
        <f t="shared" si="15"/>
        <v>#N/A</v>
      </c>
      <c r="C505" s="4">
        <f>'Raw data'!E424</f>
        <v>0</v>
      </c>
      <c r="D505" s="29" t="e">
        <f>VLOOKUP(C505,'점포코드 '!A:B,2,0)</f>
        <v>#N/A</v>
      </c>
      <c r="E505" s="30">
        <f>'Raw data'!P424</f>
        <v>0</v>
      </c>
      <c r="F505" s="29" t="e">
        <f>VLOOKUP(E505,'점포코드 '!A:B,2,0)</f>
        <v>#N/A</v>
      </c>
      <c r="G505" s="46">
        <f>'Raw data'!F424</f>
        <v>0</v>
      </c>
      <c r="H505" s="4">
        <f>'Raw data'!G424</f>
        <v>0</v>
      </c>
      <c r="I505" s="29" t="e">
        <f>VLOOKUP(G505,제품명!$C$1:$E$114,2,0)</f>
        <v>#N/A</v>
      </c>
      <c r="J505" s="29">
        <f>'Raw data'!K424</f>
        <v>0</v>
      </c>
      <c r="K505" s="31">
        <f>'Raw data'!H424</f>
        <v>0</v>
      </c>
      <c r="L505" s="26">
        <f t="shared" si="16"/>
        <v>0</v>
      </c>
    </row>
    <row r="506" spans="2:12">
      <c r="B506" s="4" t="e">
        <f t="shared" si="15"/>
        <v>#N/A</v>
      </c>
      <c r="C506" s="4">
        <f>'Raw data'!E425</f>
        <v>0</v>
      </c>
      <c r="D506" s="29" t="e">
        <f>VLOOKUP(C506,'점포코드 '!A:B,2,0)</f>
        <v>#N/A</v>
      </c>
      <c r="E506" s="30">
        <f>'Raw data'!P425</f>
        <v>0</v>
      </c>
      <c r="F506" s="29" t="e">
        <f>VLOOKUP(E506,'점포코드 '!A:B,2,0)</f>
        <v>#N/A</v>
      </c>
      <c r="G506" s="46">
        <f>'Raw data'!F425</f>
        <v>0</v>
      </c>
      <c r="H506" s="4">
        <f>'Raw data'!G425</f>
        <v>0</v>
      </c>
      <c r="I506" s="29" t="e">
        <f>VLOOKUP(G506,제품명!$C$1:$E$114,2,0)</f>
        <v>#N/A</v>
      </c>
      <c r="J506" s="29">
        <f>'Raw data'!K425</f>
        <v>0</v>
      </c>
      <c r="K506" s="31">
        <f>'Raw data'!H425</f>
        <v>0</v>
      </c>
      <c r="L506" s="26">
        <f t="shared" si="16"/>
        <v>0</v>
      </c>
    </row>
    <row r="507" spans="2:12">
      <c r="B507" s="4" t="e">
        <f t="shared" si="15"/>
        <v>#N/A</v>
      </c>
      <c r="C507" s="4">
        <f>'Raw data'!E426</f>
        <v>0</v>
      </c>
      <c r="D507" s="29" t="e">
        <f>VLOOKUP(C507,'점포코드 '!A:B,2,0)</f>
        <v>#N/A</v>
      </c>
      <c r="E507" s="30">
        <f>'Raw data'!P426</f>
        <v>0</v>
      </c>
      <c r="F507" s="29" t="e">
        <f>VLOOKUP(E507,'점포코드 '!A:B,2,0)</f>
        <v>#N/A</v>
      </c>
      <c r="G507" s="46">
        <f>'Raw data'!F426</f>
        <v>0</v>
      </c>
      <c r="H507" s="4">
        <f>'Raw data'!G426</f>
        <v>0</v>
      </c>
      <c r="I507" s="29" t="e">
        <f>VLOOKUP(G507,제품명!$C$1:$E$114,2,0)</f>
        <v>#N/A</v>
      </c>
      <c r="J507" s="29">
        <f>'Raw data'!K426</f>
        <v>0</v>
      </c>
      <c r="K507" s="31">
        <f>'Raw data'!H426</f>
        <v>0</v>
      </c>
      <c r="L507" s="26">
        <f t="shared" si="16"/>
        <v>0</v>
      </c>
    </row>
    <row r="508" spans="2:12">
      <c r="B508" s="4" t="e">
        <f t="shared" si="15"/>
        <v>#N/A</v>
      </c>
      <c r="C508" s="4">
        <f>'Raw data'!E427</f>
        <v>0</v>
      </c>
      <c r="D508" s="29" t="e">
        <f>VLOOKUP(C508,'점포코드 '!A:B,2,0)</f>
        <v>#N/A</v>
      </c>
      <c r="E508" s="30">
        <f>'Raw data'!P427</f>
        <v>0</v>
      </c>
      <c r="F508" s="29" t="e">
        <f>VLOOKUP(E508,'점포코드 '!A:B,2,0)</f>
        <v>#N/A</v>
      </c>
      <c r="G508" s="46">
        <f>'Raw data'!F427</f>
        <v>0</v>
      </c>
      <c r="H508" s="4">
        <f>'Raw data'!G427</f>
        <v>0</v>
      </c>
      <c r="I508" s="29" t="e">
        <f>VLOOKUP(G508,제품명!$C$1:$E$114,2,0)</f>
        <v>#N/A</v>
      </c>
      <c r="J508" s="29">
        <f>'Raw data'!K427</f>
        <v>0</v>
      </c>
      <c r="K508" s="31">
        <f>'Raw data'!H427</f>
        <v>0</v>
      </c>
      <c r="L508" s="26">
        <f t="shared" si="16"/>
        <v>0</v>
      </c>
    </row>
    <row r="509" spans="2:12">
      <c r="B509" s="4" t="e">
        <f t="shared" si="15"/>
        <v>#N/A</v>
      </c>
      <c r="C509" s="4">
        <f>'Raw data'!E428</f>
        <v>0</v>
      </c>
      <c r="D509" s="29" t="e">
        <f>VLOOKUP(C509,'점포코드 '!A:B,2,0)</f>
        <v>#N/A</v>
      </c>
      <c r="E509" s="30">
        <f>'Raw data'!P428</f>
        <v>0</v>
      </c>
      <c r="F509" s="29" t="e">
        <f>VLOOKUP(E509,'점포코드 '!A:B,2,0)</f>
        <v>#N/A</v>
      </c>
      <c r="G509" s="46">
        <f>'Raw data'!F428</f>
        <v>0</v>
      </c>
      <c r="H509" s="4">
        <f>'Raw data'!G428</f>
        <v>0</v>
      </c>
      <c r="I509" s="29" t="e">
        <f>VLOOKUP(G509,제품명!$C$1:$E$114,2,0)</f>
        <v>#N/A</v>
      </c>
      <c r="J509" s="29">
        <f>'Raw data'!K428</f>
        <v>0</v>
      </c>
      <c r="K509" s="31">
        <f>'Raw data'!H428</f>
        <v>0</v>
      </c>
      <c r="L509" s="26">
        <f t="shared" si="16"/>
        <v>0</v>
      </c>
    </row>
    <row r="510" spans="2:12">
      <c r="B510" s="4" t="e">
        <f t="shared" si="15"/>
        <v>#N/A</v>
      </c>
      <c r="C510" s="4">
        <f>'Raw data'!E429</f>
        <v>0</v>
      </c>
      <c r="D510" s="29" t="e">
        <f>VLOOKUP(C510,'점포코드 '!A:B,2,0)</f>
        <v>#N/A</v>
      </c>
      <c r="E510" s="30">
        <f>'Raw data'!P429</f>
        <v>0</v>
      </c>
      <c r="F510" s="29" t="e">
        <f>VLOOKUP(E510,'점포코드 '!A:B,2,0)</f>
        <v>#N/A</v>
      </c>
      <c r="G510" s="46">
        <f>'Raw data'!F429</f>
        <v>0</v>
      </c>
      <c r="H510" s="4">
        <f>'Raw data'!G429</f>
        <v>0</v>
      </c>
      <c r="I510" s="29" t="e">
        <f>VLOOKUP(G510,제품명!$C$1:$E$114,2,0)</f>
        <v>#N/A</v>
      </c>
      <c r="J510" s="29">
        <f>'Raw data'!K429</f>
        <v>0</v>
      </c>
      <c r="K510" s="31">
        <f>'Raw data'!H429</f>
        <v>0</v>
      </c>
      <c r="L510" s="26">
        <f t="shared" si="16"/>
        <v>0</v>
      </c>
    </row>
    <row r="511" spans="2:12">
      <c r="B511" s="4" t="e">
        <f t="shared" si="15"/>
        <v>#N/A</v>
      </c>
      <c r="C511" s="4">
        <f>'Raw data'!E430</f>
        <v>0</v>
      </c>
      <c r="D511" s="29" t="e">
        <f>VLOOKUP(C511,'점포코드 '!A:B,2,0)</f>
        <v>#N/A</v>
      </c>
      <c r="E511" s="30">
        <f>'Raw data'!P430</f>
        <v>0</v>
      </c>
      <c r="F511" s="29" t="e">
        <f>VLOOKUP(E511,'점포코드 '!A:B,2,0)</f>
        <v>#N/A</v>
      </c>
      <c r="G511" s="46">
        <f>'Raw data'!F430</f>
        <v>0</v>
      </c>
      <c r="H511" s="4">
        <f>'Raw data'!G430</f>
        <v>0</v>
      </c>
      <c r="I511" s="29" t="e">
        <f>VLOOKUP(G511,제품명!$C$1:$E$114,2,0)</f>
        <v>#N/A</v>
      </c>
      <c r="J511" s="29">
        <f>'Raw data'!K430</f>
        <v>0</v>
      </c>
      <c r="K511" s="31">
        <f>'Raw data'!H430</f>
        <v>0</v>
      </c>
      <c r="L511" s="26">
        <f t="shared" si="16"/>
        <v>0</v>
      </c>
    </row>
    <row r="512" spans="2:12">
      <c r="B512" s="4" t="e">
        <f t="shared" si="15"/>
        <v>#N/A</v>
      </c>
      <c r="C512" s="4">
        <f>'Raw data'!E431</f>
        <v>0</v>
      </c>
      <c r="D512" s="29" t="e">
        <f>VLOOKUP(C512,'점포코드 '!A:B,2,0)</f>
        <v>#N/A</v>
      </c>
      <c r="E512" s="30">
        <f>'Raw data'!P431</f>
        <v>0</v>
      </c>
      <c r="F512" s="29" t="e">
        <f>VLOOKUP(E512,'점포코드 '!A:B,2,0)</f>
        <v>#N/A</v>
      </c>
      <c r="G512" s="46">
        <f>'Raw data'!F431</f>
        <v>0</v>
      </c>
      <c r="H512" s="4">
        <f>'Raw data'!G431</f>
        <v>0</v>
      </c>
      <c r="I512" s="29" t="e">
        <f>VLOOKUP(G512,제품명!$C$1:$E$114,2,0)</f>
        <v>#N/A</v>
      </c>
      <c r="J512" s="29">
        <f>'Raw data'!K431</f>
        <v>0</v>
      </c>
      <c r="K512" s="31">
        <f>'Raw data'!H431</f>
        <v>0</v>
      </c>
      <c r="L512" s="26">
        <f t="shared" si="16"/>
        <v>0</v>
      </c>
    </row>
    <row r="513" spans="2:12">
      <c r="B513" s="4" t="e">
        <f t="shared" si="15"/>
        <v>#N/A</v>
      </c>
      <c r="C513" s="4">
        <f>'Raw data'!E432</f>
        <v>0</v>
      </c>
      <c r="D513" s="29" t="e">
        <f>VLOOKUP(C513,'점포코드 '!A:B,2,0)</f>
        <v>#N/A</v>
      </c>
      <c r="E513" s="30">
        <f>'Raw data'!P432</f>
        <v>0</v>
      </c>
      <c r="F513" s="29" t="e">
        <f>VLOOKUP(E513,'점포코드 '!A:B,2,0)</f>
        <v>#N/A</v>
      </c>
      <c r="G513" s="46">
        <f>'Raw data'!F432</f>
        <v>0</v>
      </c>
      <c r="H513" s="4">
        <f>'Raw data'!G432</f>
        <v>0</v>
      </c>
      <c r="I513" s="29" t="e">
        <f>VLOOKUP(G513,제품명!$C$1:$E$114,2,0)</f>
        <v>#N/A</v>
      </c>
      <c r="J513" s="29">
        <f>'Raw data'!K432</f>
        <v>0</v>
      </c>
      <c r="K513" s="31">
        <f>'Raw data'!H432</f>
        <v>0</v>
      </c>
      <c r="L513" s="26">
        <f t="shared" si="16"/>
        <v>0</v>
      </c>
    </row>
    <row r="514" spans="2:12">
      <c r="B514" s="4" t="e">
        <f t="shared" ref="B514:B577" si="17">F514&amp;I514</f>
        <v>#N/A</v>
      </c>
      <c r="C514" s="4">
        <f>'Raw data'!E433</f>
        <v>0</v>
      </c>
      <c r="D514" s="29" t="e">
        <f>VLOOKUP(C514,'점포코드 '!A:B,2,0)</f>
        <v>#N/A</v>
      </c>
      <c r="E514" s="30">
        <f>'Raw data'!P433</f>
        <v>0</v>
      </c>
      <c r="F514" s="29" t="e">
        <f>VLOOKUP(E514,'점포코드 '!A:B,2,0)</f>
        <v>#N/A</v>
      </c>
      <c r="G514" s="46">
        <f>'Raw data'!F433</f>
        <v>0</v>
      </c>
      <c r="H514" s="4">
        <f>'Raw data'!G433</f>
        <v>0</v>
      </c>
      <c r="I514" s="29" t="e">
        <f>VLOOKUP(G514,제품명!$C$1:$E$114,2,0)</f>
        <v>#N/A</v>
      </c>
      <c r="J514" s="29">
        <f>'Raw data'!K433</f>
        <v>0</v>
      </c>
      <c r="K514" s="31">
        <f>'Raw data'!H433</f>
        <v>0</v>
      </c>
      <c r="L514" s="26">
        <f t="shared" si="16"/>
        <v>0</v>
      </c>
    </row>
    <row r="515" spans="2:12">
      <c r="B515" s="4" t="e">
        <f t="shared" si="17"/>
        <v>#N/A</v>
      </c>
      <c r="C515" s="4">
        <f>'Raw data'!E434</f>
        <v>0</v>
      </c>
      <c r="D515" s="29" t="e">
        <f>VLOOKUP(C515,'점포코드 '!A:B,2,0)</f>
        <v>#N/A</v>
      </c>
      <c r="E515" s="30">
        <f>'Raw data'!P434</f>
        <v>0</v>
      </c>
      <c r="F515" s="29" t="e">
        <f>VLOOKUP(E515,'점포코드 '!A:B,2,0)</f>
        <v>#N/A</v>
      </c>
      <c r="G515" s="46">
        <f>'Raw data'!F434</f>
        <v>0</v>
      </c>
      <c r="H515" s="4">
        <f>'Raw data'!G434</f>
        <v>0</v>
      </c>
      <c r="I515" s="29" t="e">
        <f>VLOOKUP(G515,제품명!$C$1:$E$114,2,0)</f>
        <v>#N/A</v>
      </c>
      <c r="J515" s="29">
        <f>'Raw data'!K434</f>
        <v>0</v>
      </c>
      <c r="K515" s="31">
        <f>'Raw data'!H434</f>
        <v>0</v>
      </c>
      <c r="L515" s="26">
        <f t="shared" ref="L515:L578" si="18">J515*K515</f>
        <v>0</v>
      </c>
    </row>
    <row r="516" spans="2:12">
      <c r="B516" s="4" t="e">
        <f t="shared" si="17"/>
        <v>#N/A</v>
      </c>
      <c r="C516" s="4">
        <f>'Raw data'!E435</f>
        <v>0</v>
      </c>
      <c r="D516" s="29" t="e">
        <f>VLOOKUP(C516,'점포코드 '!A:B,2,0)</f>
        <v>#N/A</v>
      </c>
      <c r="E516" s="30">
        <f>'Raw data'!P435</f>
        <v>0</v>
      </c>
      <c r="F516" s="29" t="e">
        <f>VLOOKUP(E516,'점포코드 '!A:B,2,0)</f>
        <v>#N/A</v>
      </c>
      <c r="G516" s="46">
        <f>'Raw data'!F435</f>
        <v>0</v>
      </c>
      <c r="H516" s="4">
        <f>'Raw data'!G435</f>
        <v>0</v>
      </c>
      <c r="I516" s="29" t="e">
        <f>VLOOKUP(G516,제품명!$C$1:$E$114,2,0)</f>
        <v>#N/A</v>
      </c>
      <c r="J516" s="29">
        <f>'Raw data'!K435</f>
        <v>0</v>
      </c>
      <c r="K516" s="31">
        <f>'Raw data'!H435</f>
        <v>0</v>
      </c>
      <c r="L516" s="26">
        <f t="shared" si="18"/>
        <v>0</v>
      </c>
    </row>
    <row r="517" spans="2:12">
      <c r="B517" s="4" t="e">
        <f t="shared" si="17"/>
        <v>#N/A</v>
      </c>
      <c r="C517" s="4">
        <f>'Raw data'!E436</f>
        <v>0</v>
      </c>
      <c r="D517" s="29" t="e">
        <f>VLOOKUP(C517,'점포코드 '!A:B,2,0)</f>
        <v>#N/A</v>
      </c>
      <c r="E517" s="30">
        <f>'Raw data'!P436</f>
        <v>0</v>
      </c>
      <c r="F517" s="29" t="e">
        <f>VLOOKUP(E517,'점포코드 '!A:B,2,0)</f>
        <v>#N/A</v>
      </c>
      <c r="G517" s="46">
        <f>'Raw data'!F436</f>
        <v>0</v>
      </c>
      <c r="H517" s="4">
        <f>'Raw data'!G436</f>
        <v>0</v>
      </c>
      <c r="I517" s="29" t="e">
        <f>VLOOKUP(G517,제품명!$C$1:$E$114,2,0)</f>
        <v>#N/A</v>
      </c>
      <c r="J517" s="29">
        <f>'Raw data'!K436</f>
        <v>0</v>
      </c>
      <c r="K517" s="31">
        <f>'Raw data'!H436</f>
        <v>0</v>
      </c>
      <c r="L517" s="26">
        <f t="shared" si="18"/>
        <v>0</v>
      </c>
    </row>
    <row r="518" spans="2:12">
      <c r="B518" s="4" t="e">
        <f t="shared" si="17"/>
        <v>#N/A</v>
      </c>
      <c r="C518" s="4">
        <f>'Raw data'!E437</f>
        <v>0</v>
      </c>
      <c r="D518" s="29" t="e">
        <f>VLOOKUP(C518,'점포코드 '!A:B,2,0)</f>
        <v>#N/A</v>
      </c>
      <c r="E518" s="30">
        <f>'Raw data'!P437</f>
        <v>0</v>
      </c>
      <c r="F518" s="29" t="e">
        <f>VLOOKUP(E518,'점포코드 '!A:B,2,0)</f>
        <v>#N/A</v>
      </c>
      <c r="G518" s="46">
        <f>'Raw data'!F437</f>
        <v>0</v>
      </c>
      <c r="H518" s="4">
        <f>'Raw data'!G437</f>
        <v>0</v>
      </c>
      <c r="I518" s="29" t="e">
        <f>VLOOKUP(G518,제품명!$C$1:$E$114,2,0)</f>
        <v>#N/A</v>
      </c>
      <c r="J518" s="29">
        <f>'Raw data'!K437</f>
        <v>0</v>
      </c>
      <c r="K518" s="31">
        <f>'Raw data'!H437</f>
        <v>0</v>
      </c>
      <c r="L518" s="26">
        <f t="shared" si="18"/>
        <v>0</v>
      </c>
    </row>
    <row r="519" spans="2:12">
      <c r="B519" s="4" t="e">
        <f t="shared" si="17"/>
        <v>#N/A</v>
      </c>
      <c r="C519" s="4">
        <f>'Raw data'!E438</f>
        <v>0</v>
      </c>
      <c r="D519" s="29" t="e">
        <f>VLOOKUP(C519,'점포코드 '!A:B,2,0)</f>
        <v>#N/A</v>
      </c>
      <c r="E519" s="30">
        <f>'Raw data'!P438</f>
        <v>0</v>
      </c>
      <c r="F519" s="29" t="e">
        <f>VLOOKUP(E519,'점포코드 '!A:B,2,0)</f>
        <v>#N/A</v>
      </c>
      <c r="G519" s="46">
        <f>'Raw data'!F438</f>
        <v>0</v>
      </c>
      <c r="H519" s="4">
        <f>'Raw data'!G438</f>
        <v>0</v>
      </c>
      <c r="I519" s="29" t="e">
        <f>VLOOKUP(G519,제품명!$C$1:$E$114,2,0)</f>
        <v>#N/A</v>
      </c>
      <c r="J519" s="29">
        <f>'Raw data'!K438</f>
        <v>0</v>
      </c>
      <c r="K519" s="31">
        <f>'Raw data'!H438</f>
        <v>0</v>
      </c>
      <c r="L519" s="26">
        <f t="shared" si="18"/>
        <v>0</v>
      </c>
    </row>
    <row r="520" spans="2:12">
      <c r="B520" s="4" t="e">
        <f t="shared" si="17"/>
        <v>#N/A</v>
      </c>
      <c r="C520" s="4">
        <f>'Raw data'!E439</f>
        <v>0</v>
      </c>
      <c r="D520" s="29" t="e">
        <f>VLOOKUP(C520,'점포코드 '!A:B,2,0)</f>
        <v>#N/A</v>
      </c>
      <c r="E520" s="30">
        <f>'Raw data'!P439</f>
        <v>0</v>
      </c>
      <c r="F520" s="29" t="e">
        <f>VLOOKUP(E520,'점포코드 '!A:B,2,0)</f>
        <v>#N/A</v>
      </c>
      <c r="G520" s="46">
        <f>'Raw data'!F439</f>
        <v>0</v>
      </c>
      <c r="H520" s="4">
        <f>'Raw data'!G439</f>
        <v>0</v>
      </c>
      <c r="I520" s="29" t="e">
        <f>VLOOKUP(G520,제품명!$C$1:$E$114,2,0)</f>
        <v>#N/A</v>
      </c>
      <c r="J520" s="29">
        <f>'Raw data'!K439</f>
        <v>0</v>
      </c>
      <c r="K520" s="31">
        <f>'Raw data'!H439</f>
        <v>0</v>
      </c>
      <c r="L520" s="26">
        <f t="shared" si="18"/>
        <v>0</v>
      </c>
    </row>
    <row r="521" spans="2:12">
      <c r="B521" s="4" t="e">
        <f t="shared" si="17"/>
        <v>#N/A</v>
      </c>
      <c r="C521" s="4">
        <f>'Raw data'!E440</f>
        <v>0</v>
      </c>
      <c r="D521" s="29" t="e">
        <f>VLOOKUP(C521,'점포코드 '!A:B,2,0)</f>
        <v>#N/A</v>
      </c>
      <c r="E521" s="30">
        <f>'Raw data'!P440</f>
        <v>0</v>
      </c>
      <c r="F521" s="29" t="e">
        <f>VLOOKUP(E521,'점포코드 '!A:B,2,0)</f>
        <v>#N/A</v>
      </c>
      <c r="G521" s="46">
        <f>'Raw data'!F440</f>
        <v>0</v>
      </c>
      <c r="H521" s="4">
        <f>'Raw data'!G440</f>
        <v>0</v>
      </c>
      <c r="I521" s="29" t="e">
        <f>VLOOKUP(G521,제품명!$C$1:$E$114,2,0)</f>
        <v>#N/A</v>
      </c>
      <c r="J521" s="29">
        <f>'Raw data'!K440</f>
        <v>0</v>
      </c>
      <c r="K521" s="31">
        <f>'Raw data'!H440</f>
        <v>0</v>
      </c>
      <c r="L521" s="26">
        <f t="shared" si="18"/>
        <v>0</v>
      </c>
    </row>
    <row r="522" spans="2:12">
      <c r="B522" s="4" t="e">
        <f t="shared" si="17"/>
        <v>#N/A</v>
      </c>
      <c r="C522" s="4">
        <f>'Raw data'!E441</f>
        <v>0</v>
      </c>
      <c r="D522" s="29" t="e">
        <f>VLOOKUP(C522,'점포코드 '!A:B,2,0)</f>
        <v>#N/A</v>
      </c>
      <c r="E522" s="30">
        <f>'Raw data'!P441</f>
        <v>0</v>
      </c>
      <c r="F522" s="29" t="e">
        <f>VLOOKUP(E522,'점포코드 '!A:B,2,0)</f>
        <v>#N/A</v>
      </c>
      <c r="G522" s="46">
        <f>'Raw data'!F441</f>
        <v>0</v>
      </c>
      <c r="H522" s="4">
        <f>'Raw data'!G441</f>
        <v>0</v>
      </c>
      <c r="I522" s="29" t="e">
        <f>VLOOKUP(G522,제품명!$C$1:$E$114,2,0)</f>
        <v>#N/A</v>
      </c>
      <c r="J522" s="29">
        <f>'Raw data'!K441</f>
        <v>0</v>
      </c>
      <c r="K522" s="31">
        <f>'Raw data'!H441</f>
        <v>0</v>
      </c>
      <c r="L522" s="26">
        <f t="shared" si="18"/>
        <v>0</v>
      </c>
    </row>
    <row r="523" spans="2:12">
      <c r="B523" s="4" t="e">
        <f t="shared" si="17"/>
        <v>#N/A</v>
      </c>
      <c r="C523" s="4">
        <f>'Raw data'!E442</f>
        <v>0</v>
      </c>
      <c r="D523" s="29" t="e">
        <f>VLOOKUP(C523,'점포코드 '!A:B,2,0)</f>
        <v>#N/A</v>
      </c>
      <c r="E523" s="30">
        <f>'Raw data'!P442</f>
        <v>0</v>
      </c>
      <c r="F523" s="29" t="e">
        <f>VLOOKUP(E523,'점포코드 '!A:B,2,0)</f>
        <v>#N/A</v>
      </c>
      <c r="G523" s="46">
        <f>'Raw data'!F442</f>
        <v>0</v>
      </c>
      <c r="H523" s="4">
        <f>'Raw data'!G442</f>
        <v>0</v>
      </c>
      <c r="I523" s="29" t="e">
        <f>VLOOKUP(G523,제품명!$C$1:$E$114,2,0)</f>
        <v>#N/A</v>
      </c>
      <c r="J523" s="29">
        <f>'Raw data'!K442</f>
        <v>0</v>
      </c>
      <c r="K523" s="31">
        <f>'Raw data'!H442</f>
        <v>0</v>
      </c>
      <c r="L523" s="26">
        <f t="shared" si="18"/>
        <v>0</v>
      </c>
    </row>
    <row r="524" spans="2:12">
      <c r="B524" s="4" t="e">
        <f t="shared" si="17"/>
        <v>#N/A</v>
      </c>
      <c r="C524" s="4">
        <f>'Raw data'!E443</f>
        <v>0</v>
      </c>
      <c r="D524" s="29" t="e">
        <f>VLOOKUP(C524,'점포코드 '!A:B,2,0)</f>
        <v>#N/A</v>
      </c>
      <c r="E524" s="30">
        <f>'Raw data'!P443</f>
        <v>0</v>
      </c>
      <c r="F524" s="29" t="e">
        <f>VLOOKUP(E524,'점포코드 '!A:B,2,0)</f>
        <v>#N/A</v>
      </c>
      <c r="G524" s="46">
        <f>'Raw data'!F443</f>
        <v>0</v>
      </c>
      <c r="H524" s="4">
        <f>'Raw data'!G443</f>
        <v>0</v>
      </c>
      <c r="I524" s="29" t="e">
        <f>VLOOKUP(G524,제품명!$C$1:$E$114,2,0)</f>
        <v>#N/A</v>
      </c>
      <c r="J524" s="29">
        <f>'Raw data'!K443</f>
        <v>0</v>
      </c>
      <c r="K524" s="31">
        <f>'Raw data'!H443</f>
        <v>0</v>
      </c>
      <c r="L524" s="26">
        <f t="shared" si="18"/>
        <v>0</v>
      </c>
    </row>
    <row r="525" spans="2:12">
      <c r="B525" s="4" t="e">
        <f t="shared" si="17"/>
        <v>#N/A</v>
      </c>
      <c r="C525" s="4">
        <f>'Raw data'!E444</f>
        <v>0</v>
      </c>
      <c r="D525" s="29" t="e">
        <f>VLOOKUP(C525,'점포코드 '!A:B,2,0)</f>
        <v>#N/A</v>
      </c>
      <c r="E525" s="30">
        <f>'Raw data'!P444</f>
        <v>0</v>
      </c>
      <c r="F525" s="29" t="e">
        <f>VLOOKUP(E525,'점포코드 '!A:B,2,0)</f>
        <v>#N/A</v>
      </c>
      <c r="G525" s="46">
        <f>'Raw data'!F444</f>
        <v>0</v>
      </c>
      <c r="H525" s="4">
        <f>'Raw data'!G444</f>
        <v>0</v>
      </c>
      <c r="I525" s="29" t="e">
        <f>VLOOKUP(G525,제품명!$C$1:$E$114,2,0)</f>
        <v>#N/A</v>
      </c>
      <c r="J525" s="29">
        <f>'Raw data'!K444</f>
        <v>0</v>
      </c>
      <c r="K525" s="31">
        <f>'Raw data'!H444</f>
        <v>0</v>
      </c>
      <c r="L525" s="26">
        <f t="shared" si="18"/>
        <v>0</v>
      </c>
    </row>
    <row r="526" spans="2:12">
      <c r="B526" s="4" t="e">
        <f t="shared" si="17"/>
        <v>#N/A</v>
      </c>
      <c r="C526" s="4">
        <f>'Raw data'!E445</f>
        <v>0</v>
      </c>
      <c r="D526" s="29" t="e">
        <f>VLOOKUP(C526,'점포코드 '!A:B,2,0)</f>
        <v>#N/A</v>
      </c>
      <c r="E526" s="30">
        <f>'Raw data'!P445</f>
        <v>0</v>
      </c>
      <c r="F526" s="29" t="e">
        <f>VLOOKUP(E526,'점포코드 '!A:B,2,0)</f>
        <v>#N/A</v>
      </c>
      <c r="G526" s="46">
        <f>'Raw data'!F445</f>
        <v>0</v>
      </c>
      <c r="H526" s="4">
        <f>'Raw data'!G445</f>
        <v>0</v>
      </c>
      <c r="I526" s="29" t="e">
        <f>VLOOKUP(G526,제품명!$C$1:$E$114,2,0)</f>
        <v>#N/A</v>
      </c>
      <c r="J526" s="29">
        <f>'Raw data'!K445</f>
        <v>0</v>
      </c>
      <c r="K526" s="31">
        <f>'Raw data'!H445</f>
        <v>0</v>
      </c>
      <c r="L526" s="26">
        <f t="shared" si="18"/>
        <v>0</v>
      </c>
    </row>
    <row r="527" spans="2:12">
      <c r="B527" s="4" t="e">
        <f t="shared" si="17"/>
        <v>#N/A</v>
      </c>
      <c r="C527" s="4">
        <f>'Raw data'!E446</f>
        <v>0</v>
      </c>
      <c r="D527" s="29" t="e">
        <f>VLOOKUP(C527,'점포코드 '!A:B,2,0)</f>
        <v>#N/A</v>
      </c>
      <c r="E527" s="30">
        <f>'Raw data'!P446</f>
        <v>0</v>
      </c>
      <c r="F527" s="29" t="e">
        <f>VLOOKUP(E527,'점포코드 '!A:B,2,0)</f>
        <v>#N/A</v>
      </c>
      <c r="G527" s="46">
        <f>'Raw data'!F446</f>
        <v>0</v>
      </c>
      <c r="H527" s="4">
        <f>'Raw data'!G446</f>
        <v>0</v>
      </c>
      <c r="I527" s="29" t="e">
        <f>VLOOKUP(G527,제품명!$C$1:$E$114,2,0)</f>
        <v>#N/A</v>
      </c>
      <c r="J527" s="29">
        <f>'Raw data'!K446</f>
        <v>0</v>
      </c>
      <c r="K527" s="31">
        <f>'Raw data'!H446</f>
        <v>0</v>
      </c>
      <c r="L527" s="26">
        <f t="shared" si="18"/>
        <v>0</v>
      </c>
    </row>
    <row r="528" spans="2:12">
      <c r="B528" s="4" t="e">
        <f t="shared" si="17"/>
        <v>#N/A</v>
      </c>
      <c r="C528" s="4">
        <f>'Raw data'!E447</f>
        <v>0</v>
      </c>
      <c r="D528" s="29" t="e">
        <f>VLOOKUP(C528,'점포코드 '!A:B,2,0)</f>
        <v>#N/A</v>
      </c>
      <c r="E528" s="30">
        <f>'Raw data'!P447</f>
        <v>0</v>
      </c>
      <c r="F528" s="29" t="e">
        <f>VLOOKUP(E528,'점포코드 '!A:B,2,0)</f>
        <v>#N/A</v>
      </c>
      <c r="G528" s="46">
        <f>'Raw data'!F447</f>
        <v>0</v>
      </c>
      <c r="H528" s="4">
        <f>'Raw data'!G447</f>
        <v>0</v>
      </c>
      <c r="I528" s="29" t="e">
        <f>VLOOKUP(G528,제품명!$C$1:$E$114,2,0)</f>
        <v>#N/A</v>
      </c>
      <c r="J528" s="29">
        <f>'Raw data'!K447</f>
        <v>0</v>
      </c>
      <c r="K528" s="31">
        <f>'Raw data'!H447</f>
        <v>0</v>
      </c>
      <c r="L528" s="26">
        <f t="shared" si="18"/>
        <v>0</v>
      </c>
    </row>
    <row r="529" spans="2:12">
      <c r="B529" s="4" t="e">
        <f t="shared" si="17"/>
        <v>#N/A</v>
      </c>
      <c r="C529" s="4">
        <f>'Raw data'!E448</f>
        <v>0</v>
      </c>
      <c r="D529" s="29" t="e">
        <f>VLOOKUP(C529,'점포코드 '!A:B,2,0)</f>
        <v>#N/A</v>
      </c>
      <c r="E529" s="30">
        <f>'Raw data'!P448</f>
        <v>0</v>
      </c>
      <c r="F529" s="29" t="e">
        <f>VLOOKUP(E529,'점포코드 '!A:B,2,0)</f>
        <v>#N/A</v>
      </c>
      <c r="G529" s="46">
        <f>'Raw data'!F448</f>
        <v>0</v>
      </c>
      <c r="H529" s="4">
        <f>'Raw data'!G448</f>
        <v>0</v>
      </c>
      <c r="I529" s="29" t="e">
        <f>VLOOKUP(G529,제품명!$C$1:$E$114,2,0)</f>
        <v>#N/A</v>
      </c>
      <c r="J529" s="29">
        <f>'Raw data'!K448</f>
        <v>0</v>
      </c>
      <c r="K529" s="31">
        <f>'Raw data'!H448</f>
        <v>0</v>
      </c>
      <c r="L529" s="26">
        <f t="shared" si="18"/>
        <v>0</v>
      </c>
    </row>
    <row r="530" spans="2:12">
      <c r="B530" s="4" t="e">
        <f t="shared" si="17"/>
        <v>#N/A</v>
      </c>
      <c r="C530" s="4">
        <f>'Raw data'!E449</f>
        <v>0</v>
      </c>
      <c r="D530" s="29" t="e">
        <f>VLOOKUP(C530,'점포코드 '!A:B,2,0)</f>
        <v>#N/A</v>
      </c>
      <c r="E530" s="30">
        <f>'Raw data'!P449</f>
        <v>0</v>
      </c>
      <c r="F530" s="29" t="e">
        <f>VLOOKUP(E530,'점포코드 '!A:B,2,0)</f>
        <v>#N/A</v>
      </c>
      <c r="G530" s="46">
        <f>'Raw data'!F449</f>
        <v>0</v>
      </c>
      <c r="H530" s="4">
        <f>'Raw data'!G449</f>
        <v>0</v>
      </c>
      <c r="I530" s="29" t="e">
        <f>VLOOKUP(G530,제품명!$C$1:$E$114,2,0)</f>
        <v>#N/A</v>
      </c>
      <c r="J530" s="29">
        <f>'Raw data'!K449</f>
        <v>0</v>
      </c>
      <c r="K530" s="31">
        <f>'Raw data'!H449</f>
        <v>0</v>
      </c>
      <c r="L530" s="26">
        <f t="shared" si="18"/>
        <v>0</v>
      </c>
    </row>
    <row r="531" spans="2:12">
      <c r="B531" s="4" t="e">
        <f t="shared" si="17"/>
        <v>#N/A</v>
      </c>
      <c r="C531" s="4">
        <f>'Raw data'!E450</f>
        <v>0</v>
      </c>
      <c r="D531" s="29" t="e">
        <f>VLOOKUP(C531,'점포코드 '!A:B,2,0)</f>
        <v>#N/A</v>
      </c>
      <c r="E531" s="30">
        <f>'Raw data'!P450</f>
        <v>0</v>
      </c>
      <c r="F531" s="29" t="e">
        <f>VLOOKUP(E531,'점포코드 '!A:B,2,0)</f>
        <v>#N/A</v>
      </c>
      <c r="G531" s="46">
        <f>'Raw data'!F450</f>
        <v>0</v>
      </c>
      <c r="H531" s="4">
        <f>'Raw data'!G450</f>
        <v>0</v>
      </c>
      <c r="I531" s="29" t="e">
        <f>VLOOKUP(G531,제품명!$C$1:$E$114,2,0)</f>
        <v>#N/A</v>
      </c>
      <c r="J531" s="29">
        <f>'Raw data'!K450</f>
        <v>0</v>
      </c>
      <c r="K531" s="31">
        <f>'Raw data'!H450</f>
        <v>0</v>
      </c>
      <c r="L531" s="26">
        <f t="shared" si="18"/>
        <v>0</v>
      </c>
    </row>
    <row r="532" spans="2:12">
      <c r="B532" s="4" t="e">
        <f t="shared" si="17"/>
        <v>#N/A</v>
      </c>
      <c r="C532" s="4">
        <f>'Raw data'!E451</f>
        <v>0</v>
      </c>
      <c r="D532" s="29" t="e">
        <f>VLOOKUP(C532,'점포코드 '!A:B,2,0)</f>
        <v>#N/A</v>
      </c>
      <c r="E532" s="30">
        <f>'Raw data'!P451</f>
        <v>0</v>
      </c>
      <c r="F532" s="29" t="e">
        <f>VLOOKUP(E532,'점포코드 '!A:B,2,0)</f>
        <v>#N/A</v>
      </c>
      <c r="G532" s="46">
        <f>'Raw data'!F451</f>
        <v>0</v>
      </c>
      <c r="H532" s="4">
        <f>'Raw data'!G451</f>
        <v>0</v>
      </c>
      <c r="I532" s="29" t="e">
        <f>VLOOKUP(G532,제품명!$C$1:$E$114,2,0)</f>
        <v>#N/A</v>
      </c>
      <c r="J532" s="29">
        <f>'Raw data'!K451</f>
        <v>0</v>
      </c>
      <c r="K532" s="31">
        <f>'Raw data'!H451</f>
        <v>0</v>
      </c>
      <c r="L532" s="26">
        <f t="shared" si="18"/>
        <v>0</v>
      </c>
    </row>
    <row r="533" spans="2:12">
      <c r="B533" s="4" t="e">
        <f t="shared" si="17"/>
        <v>#N/A</v>
      </c>
      <c r="C533" s="4">
        <f>'Raw data'!E452</f>
        <v>0</v>
      </c>
      <c r="D533" s="29" t="e">
        <f>VLOOKUP(C533,'점포코드 '!A:B,2,0)</f>
        <v>#N/A</v>
      </c>
      <c r="E533" s="30">
        <f>'Raw data'!P452</f>
        <v>0</v>
      </c>
      <c r="F533" s="29" t="e">
        <f>VLOOKUP(E533,'점포코드 '!A:B,2,0)</f>
        <v>#N/A</v>
      </c>
      <c r="G533" s="46">
        <f>'Raw data'!F452</f>
        <v>0</v>
      </c>
      <c r="H533" s="4">
        <f>'Raw data'!G452</f>
        <v>0</v>
      </c>
      <c r="I533" s="29" t="e">
        <f>VLOOKUP(G533,제품명!$C$1:$E$114,2,0)</f>
        <v>#N/A</v>
      </c>
      <c r="J533" s="29">
        <f>'Raw data'!K452</f>
        <v>0</v>
      </c>
      <c r="K533" s="31">
        <f>'Raw data'!H452</f>
        <v>0</v>
      </c>
      <c r="L533" s="26">
        <f t="shared" si="18"/>
        <v>0</v>
      </c>
    </row>
    <row r="534" spans="2:12">
      <c r="B534" s="4" t="e">
        <f t="shared" si="17"/>
        <v>#N/A</v>
      </c>
      <c r="C534" s="4">
        <f>'Raw data'!E453</f>
        <v>0</v>
      </c>
      <c r="D534" s="29" t="e">
        <f>VLOOKUP(C534,'점포코드 '!A:B,2,0)</f>
        <v>#N/A</v>
      </c>
      <c r="E534" s="30">
        <f>'Raw data'!P453</f>
        <v>0</v>
      </c>
      <c r="F534" s="29" t="e">
        <f>VLOOKUP(E534,'점포코드 '!A:B,2,0)</f>
        <v>#N/A</v>
      </c>
      <c r="G534" s="46">
        <f>'Raw data'!F453</f>
        <v>0</v>
      </c>
      <c r="H534" s="4">
        <f>'Raw data'!G453</f>
        <v>0</v>
      </c>
      <c r="I534" s="29" t="e">
        <f>VLOOKUP(G534,제품명!$C$1:$E$114,2,0)</f>
        <v>#N/A</v>
      </c>
      <c r="J534" s="29">
        <f>'Raw data'!K453</f>
        <v>0</v>
      </c>
      <c r="K534" s="31">
        <f>'Raw data'!H453</f>
        <v>0</v>
      </c>
      <c r="L534" s="26">
        <f t="shared" si="18"/>
        <v>0</v>
      </c>
    </row>
    <row r="535" spans="2:12">
      <c r="B535" s="4" t="e">
        <f t="shared" si="17"/>
        <v>#N/A</v>
      </c>
      <c r="C535" s="4">
        <f>'Raw data'!E454</f>
        <v>0</v>
      </c>
      <c r="D535" s="29" t="e">
        <f>VLOOKUP(C535,'점포코드 '!A:B,2,0)</f>
        <v>#N/A</v>
      </c>
      <c r="E535" s="30">
        <f>'Raw data'!P454</f>
        <v>0</v>
      </c>
      <c r="F535" s="29" t="e">
        <f>VLOOKUP(E535,'점포코드 '!A:B,2,0)</f>
        <v>#N/A</v>
      </c>
      <c r="G535" s="46">
        <f>'Raw data'!F454</f>
        <v>0</v>
      </c>
      <c r="H535" s="4">
        <f>'Raw data'!G454</f>
        <v>0</v>
      </c>
      <c r="I535" s="29" t="e">
        <f>VLOOKUP(G535,제품명!$C$1:$E$114,2,0)</f>
        <v>#N/A</v>
      </c>
      <c r="J535" s="29">
        <f>'Raw data'!K454</f>
        <v>0</v>
      </c>
      <c r="K535" s="31">
        <f>'Raw data'!H454</f>
        <v>0</v>
      </c>
      <c r="L535" s="26">
        <f t="shared" si="18"/>
        <v>0</v>
      </c>
    </row>
    <row r="536" spans="2:12">
      <c r="B536" s="4" t="e">
        <f t="shared" si="17"/>
        <v>#N/A</v>
      </c>
      <c r="C536" s="4">
        <f>'Raw data'!E455</f>
        <v>0</v>
      </c>
      <c r="D536" s="29" t="e">
        <f>VLOOKUP(C536,'점포코드 '!A:B,2,0)</f>
        <v>#N/A</v>
      </c>
      <c r="E536" s="30">
        <f>'Raw data'!P455</f>
        <v>0</v>
      </c>
      <c r="F536" s="29" t="e">
        <f>VLOOKUP(E536,'점포코드 '!A:B,2,0)</f>
        <v>#N/A</v>
      </c>
      <c r="G536" s="46">
        <f>'Raw data'!F455</f>
        <v>0</v>
      </c>
      <c r="H536" s="4">
        <f>'Raw data'!G455</f>
        <v>0</v>
      </c>
      <c r="I536" s="29" t="e">
        <f>VLOOKUP(G536,제품명!$C$1:$E$114,2,0)</f>
        <v>#N/A</v>
      </c>
      <c r="J536" s="29">
        <f>'Raw data'!K455</f>
        <v>0</v>
      </c>
      <c r="K536" s="31">
        <f>'Raw data'!H455</f>
        <v>0</v>
      </c>
      <c r="L536" s="26">
        <f t="shared" si="18"/>
        <v>0</v>
      </c>
    </row>
    <row r="537" spans="2:12">
      <c r="B537" s="4" t="e">
        <f t="shared" si="17"/>
        <v>#N/A</v>
      </c>
      <c r="C537" s="4">
        <f>'Raw data'!E456</f>
        <v>0</v>
      </c>
      <c r="D537" s="29" t="e">
        <f>VLOOKUP(C537,'점포코드 '!A:B,2,0)</f>
        <v>#N/A</v>
      </c>
      <c r="E537" s="30">
        <f>'Raw data'!P456</f>
        <v>0</v>
      </c>
      <c r="F537" s="29" t="e">
        <f>VLOOKUP(E537,'점포코드 '!A:B,2,0)</f>
        <v>#N/A</v>
      </c>
      <c r="G537" s="46">
        <f>'Raw data'!F456</f>
        <v>0</v>
      </c>
      <c r="H537" s="4">
        <f>'Raw data'!G456</f>
        <v>0</v>
      </c>
      <c r="I537" s="29" t="e">
        <f>VLOOKUP(G537,제품명!$C$1:$E$114,2,0)</f>
        <v>#N/A</v>
      </c>
      <c r="J537" s="29">
        <f>'Raw data'!K456</f>
        <v>0</v>
      </c>
      <c r="K537" s="31">
        <f>'Raw data'!H456</f>
        <v>0</v>
      </c>
      <c r="L537" s="26">
        <f t="shared" si="18"/>
        <v>0</v>
      </c>
    </row>
    <row r="538" spans="2:12">
      <c r="B538" s="4" t="e">
        <f t="shared" si="17"/>
        <v>#N/A</v>
      </c>
      <c r="C538" s="4">
        <f>'Raw data'!E457</f>
        <v>0</v>
      </c>
      <c r="D538" s="29" t="e">
        <f>VLOOKUP(C538,'점포코드 '!A:B,2,0)</f>
        <v>#N/A</v>
      </c>
      <c r="E538" s="30">
        <f>'Raw data'!P457</f>
        <v>0</v>
      </c>
      <c r="F538" s="29" t="e">
        <f>VLOOKUP(E538,'점포코드 '!A:B,2,0)</f>
        <v>#N/A</v>
      </c>
      <c r="G538" s="46">
        <f>'Raw data'!F457</f>
        <v>0</v>
      </c>
      <c r="H538" s="4">
        <f>'Raw data'!G457</f>
        <v>0</v>
      </c>
      <c r="I538" s="29" t="e">
        <f>VLOOKUP(G538,제품명!$C$1:$E$114,2,0)</f>
        <v>#N/A</v>
      </c>
      <c r="J538" s="29">
        <f>'Raw data'!K457</f>
        <v>0</v>
      </c>
      <c r="K538" s="31">
        <f>'Raw data'!H457</f>
        <v>0</v>
      </c>
      <c r="L538" s="26">
        <f t="shared" si="18"/>
        <v>0</v>
      </c>
    </row>
    <row r="539" spans="2:12">
      <c r="B539" s="4" t="e">
        <f t="shared" si="17"/>
        <v>#N/A</v>
      </c>
      <c r="C539" s="4">
        <f>'Raw data'!E458</f>
        <v>0</v>
      </c>
      <c r="D539" s="29" t="e">
        <f>VLOOKUP(C539,'점포코드 '!A:B,2,0)</f>
        <v>#N/A</v>
      </c>
      <c r="E539" s="30">
        <f>'Raw data'!P458</f>
        <v>0</v>
      </c>
      <c r="F539" s="29" t="e">
        <f>VLOOKUP(E539,'점포코드 '!A:B,2,0)</f>
        <v>#N/A</v>
      </c>
      <c r="G539" s="46">
        <f>'Raw data'!F458</f>
        <v>0</v>
      </c>
      <c r="H539" s="4">
        <f>'Raw data'!G458</f>
        <v>0</v>
      </c>
      <c r="I539" s="29" t="e">
        <f>VLOOKUP(G539,제품명!$C$1:$E$114,2,0)</f>
        <v>#N/A</v>
      </c>
      <c r="J539" s="29">
        <f>'Raw data'!K458</f>
        <v>0</v>
      </c>
      <c r="K539" s="31">
        <f>'Raw data'!H458</f>
        <v>0</v>
      </c>
      <c r="L539" s="26">
        <f t="shared" si="18"/>
        <v>0</v>
      </c>
    </row>
    <row r="540" spans="2:12">
      <c r="B540" s="4" t="e">
        <f t="shared" si="17"/>
        <v>#N/A</v>
      </c>
      <c r="C540" s="4">
        <f>'Raw data'!E459</f>
        <v>0</v>
      </c>
      <c r="D540" s="29" t="e">
        <f>VLOOKUP(C540,'점포코드 '!A:B,2,0)</f>
        <v>#N/A</v>
      </c>
      <c r="E540" s="30">
        <f>'Raw data'!P459</f>
        <v>0</v>
      </c>
      <c r="F540" s="29" t="e">
        <f>VLOOKUP(E540,'점포코드 '!A:B,2,0)</f>
        <v>#N/A</v>
      </c>
      <c r="G540" s="46">
        <f>'Raw data'!F459</f>
        <v>0</v>
      </c>
      <c r="H540" s="4">
        <f>'Raw data'!G459</f>
        <v>0</v>
      </c>
      <c r="I540" s="29" t="e">
        <f>VLOOKUP(G540,제품명!$C$1:$E$114,2,0)</f>
        <v>#N/A</v>
      </c>
      <c r="J540" s="29">
        <f>'Raw data'!K459</f>
        <v>0</v>
      </c>
      <c r="K540" s="31">
        <f>'Raw data'!H459</f>
        <v>0</v>
      </c>
      <c r="L540" s="26">
        <f t="shared" si="18"/>
        <v>0</v>
      </c>
    </row>
    <row r="541" spans="2:12">
      <c r="B541" s="4" t="e">
        <f t="shared" si="17"/>
        <v>#N/A</v>
      </c>
      <c r="C541" s="4">
        <f>'Raw data'!E460</f>
        <v>0</v>
      </c>
      <c r="D541" s="29" t="e">
        <f>VLOOKUP(C541,'점포코드 '!A:B,2,0)</f>
        <v>#N/A</v>
      </c>
      <c r="E541" s="30">
        <f>'Raw data'!P460</f>
        <v>0</v>
      </c>
      <c r="F541" s="29" t="e">
        <f>VLOOKUP(E541,'점포코드 '!A:B,2,0)</f>
        <v>#N/A</v>
      </c>
      <c r="G541" s="46">
        <f>'Raw data'!F460</f>
        <v>0</v>
      </c>
      <c r="H541" s="4">
        <f>'Raw data'!G460</f>
        <v>0</v>
      </c>
      <c r="I541" s="29" t="e">
        <f>VLOOKUP(G541,제품명!$C$1:$E$114,2,0)</f>
        <v>#N/A</v>
      </c>
      <c r="J541" s="29">
        <f>'Raw data'!K460</f>
        <v>0</v>
      </c>
      <c r="K541" s="31">
        <f>'Raw data'!H460</f>
        <v>0</v>
      </c>
      <c r="L541" s="26">
        <f t="shared" si="18"/>
        <v>0</v>
      </c>
    </row>
    <row r="542" spans="2:12">
      <c r="B542" s="4" t="e">
        <f t="shared" si="17"/>
        <v>#N/A</v>
      </c>
      <c r="C542" s="4">
        <f>'Raw data'!E461</f>
        <v>0</v>
      </c>
      <c r="D542" s="29" t="e">
        <f>VLOOKUP(C542,'점포코드 '!A:B,2,0)</f>
        <v>#N/A</v>
      </c>
      <c r="E542" s="30">
        <f>'Raw data'!P461</f>
        <v>0</v>
      </c>
      <c r="F542" s="29" t="e">
        <f>VLOOKUP(E542,'점포코드 '!A:B,2,0)</f>
        <v>#N/A</v>
      </c>
      <c r="G542" s="46">
        <f>'Raw data'!F461</f>
        <v>0</v>
      </c>
      <c r="H542" s="4">
        <f>'Raw data'!G461</f>
        <v>0</v>
      </c>
      <c r="I542" s="29" t="e">
        <f>VLOOKUP(G542,제품명!$C$1:$E$114,2,0)</f>
        <v>#N/A</v>
      </c>
      <c r="J542" s="29">
        <f>'Raw data'!K461</f>
        <v>0</v>
      </c>
      <c r="K542" s="31">
        <f>'Raw data'!H461</f>
        <v>0</v>
      </c>
      <c r="L542" s="26">
        <f t="shared" si="18"/>
        <v>0</v>
      </c>
    </row>
    <row r="543" spans="2:12">
      <c r="B543" s="4" t="e">
        <f t="shared" si="17"/>
        <v>#N/A</v>
      </c>
      <c r="C543" s="4">
        <f>'Raw data'!E462</f>
        <v>0</v>
      </c>
      <c r="D543" s="29" t="e">
        <f>VLOOKUP(C543,'점포코드 '!A:B,2,0)</f>
        <v>#N/A</v>
      </c>
      <c r="E543" s="30">
        <f>'Raw data'!P462</f>
        <v>0</v>
      </c>
      <c r="F543" s="29" t="e">
        <f>VLOOKUP(E543,'점포코드 '!A:B,2,0)</f>
        <v>#N/A</v>
      </c>
      <c r="G543" s="46">
        <f>'Raw data'!F462</f>
        <v>0</v>
      </c>
      <c r="H543" s="4">
        <f>'Raw data'!G462</f>
        <v>0</v>
      </c>
      <c r="I543" s="29" t="e">
        <f>VLOOKUP(G543,제품명!$C$1:$E$114,2,0)</f>
        <v>#N/A</v>
      </c>
      <c r="J543" s="29">
        <f>'Raw data'!K462</f>
        <v>0</v>
      </c>
      <c r="K543" s="31">
        <f>'Raw data'!H462</f>
        <v>0</v>
      </c>
      <c r="L543" s="26">
        <f t="shared" si="18"/>
        <v>0</v>
      </c>
    </row>
    <row r="544" spans="2:12">
      <c r="B544" s="4" t="e">
        <f t="shared" si="17"/>
        <v>#N/A</v>
      </c>
      <c r="C544" s="4">
        <f>'Raw data'!E463</f>
        <v>0</v>
      </c>
      <c r="D544" s="29" t="e">
        <f>VLOOKUP(C544,'점포코드 '!A:B,2,0)</f>
        <v>#N/A</v>
      </c>
      <c r="E544" s="30">
        <f>'Raw data'!P463</f>
        <v>0</v>
      </c>
      <c r="F544" s="29" t="e">
        <f>VLOOKUP(E544,'점포코드 '!A:B,2,0)</f>
        <v>#N/A</v>
      </c>
      <c r="G544" s="46">
        <f>'Raw data'!F463</f>
        <v>0</v>
      </c>
      <c r="H544" s="4">
        <f>'Raw data'!G463</f>
        <v>0</v>
      </c>
      <c r="I544" s="29" t="e">
        <f>VLOOKUP(G544,제품명!$C$1:$E$114,2,0)</f>
        <v>#N/A</v>
      </c>
      <c r="J544" s="29">
        <f>'Raw data'!K463</f>
        <v>0</v>
      </c>
      <c r="K544" s="31">
        <f>'Raw data'!H463</f>
        <v>0</v>
      </c>
      <c r="L544" s="26">
        <f t="shared" si="18"/>
        <v>0</v>
      </c>
    </row>
    <row r="545" spans="2:12">
      <c r="B545" s="4" t="e">
        <f t="shared" si="17"/>
        <v>#N/A</v>
      </c>
      <c r="C545" s="4">
        <f>'Raw data'!E464</f>
        <v>0</v>
      </c>
      <c r="D545" s="29" t="e">
        <f>VLOOKUP(C545,'점포코드 '!A:B,2,0)</f>
        <v>#N/A</v>
      </c>
      <c r="E545" s="30">
        <f>'Raw data'!P464</f>
        <v>0</v>
      </c>
      <c r="F545" s="29" t="e">
        <f>VLOOKUP(E545,'점포코드 '!A:B,2,0)</f>
        <v>#N/A</v>
      </c>
      <c r="G545" s="46">
        <f>'Raw data'!F464</f>
        <v>0</v>
      </c>
      <c r="H545" s="4">
        <f>'Raw data'!G464</f>
        <v>0</v>
      </c>
      <c r="I545" s="29" t="e">
        <f>VLOOKUP(G545,제품명!$C$1:$E$114,2,0)</f>
        <v>#N/A</v>
      </c>
      <c r="J545" s="29">
        <f>'Raw data'!K464</f>
        <v>0</v>
      </c>
      <c r="K545" s="31">
        <f>'Raw data'!H464</f>
        <v>0</v>
      </c>
      <c r="L545" s="26">
        <f t="shared" si="18"/>
        <v>0</v>
      </c>
    </row>
    <row r="546" spans="2:12">
      <c r="B546" s="4" t="e">
        <f t="shared" si="17"/>
        <v>#N/A</v>
      </c>
      <c r="C546" s="4">
        <f>'Raw data'!E465</f>
        <v>0</v>
      </c>
      <c r="D546" s="29" t="e">
        <f>VLOOKUP(C546,'점포코드 '!A:B,2,0)</f>
        <v>#N/A</v>
      </c>
      <c r="E546" s="30">
        <f>'Raw data'!P465</f>
        <v>0</v>
      </c>
      <c r="F546" s="29" t="e">
        <f>VLOOKUP(E546,'점포코드 '!A:B,2,0)</f>
        <v>#N/A</v>
      </c>
      <c r="G546" s="46">
        <f>'Raw data'!F465</f>
        <v>0</v>
      </c>
      <c r="H546" s="4">
        <f>'Raw data'!G465</f>
        <v>0</v>
      </c>
      <c r="I546" s="29" t="e">
        <f>VLOOKUP(G546,제품명!$C$1:$E$114,2,0)</f>
        <v>#N/A</v>
      </c>
      <c r="J546" s="29">
        <f>'Raw data'!K465</f>
        <v>0</v>
      </c>
      <c r="K546" s="31">
        <f>'Raw data'!H465</f>
        <v>0</v>
      </c>
      <c r="L546" s="26">
        <f t="shared" si="18"/>
        <v>0</v>
      </c>
    </row>
    <row r="547" spans="2:12">
      <c r="B547" s="4" t="e">
        <f t="shared" si="17"/>
        <v>#N/A</v>
      </c>
      <c r="C547" s="4">
        <f>'Raw data'!E466</f>
        <v>0</v>
      </c>
      <c r="D547" s="29" t="e">
        <f>VLOOKUP(C547,'점포코드 '!A:B,2,0)</f>
        <v>#N/A</v>
      </c>
      <c r="E547" s="30">
        <f>'Raw data'!P466</f>
        <v>0</v>
      </c>
      <c r="F547" s="29" t="e">
        <f>VLOOKUP(E547,'점포코드 '!A:B,2,0)</f>
        <v>#N/A</v>
      </c>
      <c r="G547" s="46">
        <f>'Raw data'!F466</f>
        <v>0</v>
      </c>
      <c r="H547" s="4">
        <f>'Raw data'!G466</f>
        <v>0</v>
      </c>
      <c r="I547" s="29" t="e">
        <f>VLOOKUP(G547,제품명!$C$1:$E$114,2,0)</f>
        <v>#N/A</v>
      </c>
      <c r="J547" s="29">
        <f>'Raw data'!K466</f>
        <v>0</v>
      </c>
      <c r="K547" s="31">
        <f>'Raw data'!H466</f>
        <v>0</v>
      </c>
      <c r="L547" s="26">
        <f t="shared" si="18"/>
        <v>0</v>
      </c>
    </row>
    <row r="548" spans="2:12">
      <c r="B548" s="4" t="e">
        <f t="shared" si="17"/>
        <v>#N/A</v>
      </c>
      <c r="C548" s="4">
        <f>'Raw data'!E467</f>
        <v>0</v>
      </c>
      <c r="D548" s="29" t="e">
        <f>VLOOKUP(C548,'점포코드 '!A:B,2,0)</f>
        <v>#N/A</v>
      </c>
      <c r="E548" s="30">
        <f>'Raw data'!P467</f>
        <v>0</v>
      </c>
      <c r="F548" s="29" t="e">
        <f>VLOOKUP(E548,'점포코드 '!A:B,2,0)</f>
        <v>#N/A</v>
      </c>
      <c r="G548" s="46">
        <f>'Raw data'!F467</f>
        <v>0</v>
      </c>
      <c r="H548" s="4">
        <f>'Raw data'!G467</f>
        <v>0</v>
      </c>
      <c r="I548" s="29" t="e">
        <f>VLOOKUP(G548,제품명!$C$1:$E$114,2,0)</f>
        <v>#N/A</v>
      </c>
      <c r="J548" s="29">
        <f>'Raw data'!K467</f>
        <v>0</v>
      </c>
      <c r="K548" s="31">
        <f>'Raw data'!H467</f>
        <v>0</v>
      </c>
      <c r="L548" s="26">
        <f t="shared" si="18"/>
        <v>0</v>
      </c>
    </row>
    <row r="549" spans="2:12">
      <c r="B549" s="4" t="e">
        <f t="shared" si="17"/>
        <v>#N/A</v>
      </c>
      <c r="C549" s="4">
        <f>'Raw data'!E468</f>
        <v>0</v>
      </c>
      <c r="D549" s="29" t="e">
        <f>VLOOKUP(C549,'점포코드 '!A:B,2,0)</f>
        <v>#N/A</v>
      </c>
      <c r="E549" s="30">
        <f>'Raw data'!P468</f>
        <v>0</v>
      </c>
      <c r="F549" s="29" t="e">
        <f>VLOOKUP(E549,'점포코드 '!A:B,2,0)</f>
        <v>#N/A</v>
      </c>
      <c r="G549" s="46">
        <f>'Raw data'!F468</f>
        <v>0</v>
      </c>
      <c r="H549" s="4">
        <f>'Raw data'!G468</f>
        <v>0</v>
      </c>
      <c r="I549" s="29" t="e">
        <f>VLOOKUP(G549,제품명!$C$1:$E$114,2,0)</f>
        <v>#N/A</v>
      </c>
      <c r="J549" s="29">
        <f>'Raw data'!K468</f>
        <v>0</v>
      </c>
      <c r="K549" s="31">
        <f>'Raw data'!H468</f>
        <v>0</v>
      </c>
      <c r="L549" s="26">
        <f t="shared" si="18"/>
        <v>0</v>
      </c>
    </row>
    <row r="550" spans="2:12">
      <c r="B550" s="4" t="e">
        <f t="shared" si="17"/>
        <v>#N/A</v>
      </c>
      <c r="C550" s="4">
        <f>'Raw data'!E469</f>
        <v>0</v>
      </c>
      <c r="D550" s="29" t="e">
        <f>VLOOKUP(C550,'점포코드 '!A:B,2,0)</f>
        <v>#N/A</v>
      </c>
      <c r="E550" s="30">
        <f>'Raw data'!P469</f>
        <v>0</v>
      </c>
      <c r="F550" s="29" t="e">
        <f>VLOOKUP(E550,'점포코드 '!A:B,2,0)</f>
        <v>#N/A</v>
      </c>
      <c r="G550" s="46">
        <f>'Raw data'!F469</f>
        <v>0</v>
      </c>
      <c r="H550" s="4">
        <f>'Raw data'!G469</f>
        <v>0</v>
      </c>
      <c r="I550" s="29" t="e">
        <f>VLOOKUP(G550,제품명!$C$1:$E$114,2,0)</f>
        <v>#N/A</v>
      </c>
      <c r="J550" s="29">
        <f>'Raw data'!K469</f>
        <v>0</v>
      </c>
      <c r="K550" s="31">
        <f>'Raw data'!H469</f>
        <v>0</v>
      </c>
      <c r="L550" s="26">
        <f t="shared" si="18"/>
        <v>0</v>
      </c>
    </row>
    <row r="551" spans="2:12">
      <c r="B551" s="4" t="e">
        <f t="shared" si="17"/>
        <v>#N/A</v>
      </c>
      <c r="C551" s="4">
        <f>'Raw data'!E470</f>
        <v>0</v>
      </c>
      <c r="D551" s="29" t="e">
        <f>VLOOKUP(C551,'점포코드 '!A:B,2,0)</f>
        <v>#N/A</v>
      </c>
      <c r="E551" s="30">
        <f>'Raw data'!P470</f>
        <v>0</v>
      </c>
      <c r="F551" s="29" t="e">
        <f>VLOOKUP(E551,'점포코드 '!A:B,2,0)</f>
        <v>#N/A</v>
      </c>
      <c r="G551" s="46">
        <f>'Raw data'!F470</f>
        <v>0</v>
      </c>
      <c r="H551" s="4">
        <f>'Raw data'!G470</f>
        <v>0</v>
      </c>
      <c r="I551" s="29" t="e">
        <f>VLOOKUP(G551,제품명!$C$1:$E$114,2,0)</f>
        <v>#N/A</v>
      </c>
      <c r="J551" s="29">
        <f>'Raw data'!K470</f>
        <v>0</v>
      </c>
      <c r="K551" s="31">
        <f>'Raw data'!H470</f>
        <v>0</v>
      </c>
      <c r="L551" s="26">
        <f t="shared" si="18"/>
        <v>0</v>
      </c>
    </row>
    <row r="552" spans="2:12">
      <c r="B552" s="4" t="e">
        <f t="shared" si="17"/>
        <v>#N/A</v>
      </c>
      <c r="C552" s="4">
        <f>'Raw data'!E471</f>
        <v>0</v>
      </c>
      <c r="D552" s="29" t="e">
        <f>VLOOKUP(C552,'점포코드 '!A:B,2,0)</f>
        <v>#N/A</v>
      </c>
      <c r="E552" s="30">
        <f>'Raw data'!P471</f>
        <v>0</v>
      </c>
      <c r="F552" s="29" t="e">
        <f>VLOOKUP(E552,'점포코드 '!A:B,2,0)</f>
        <v>#N/A</v>
      </c>
      <c r="G552" s="46">
        <f>'Raw data'!F471</f>
        <v>0</v>
      </c>
      <c r="H552" s="4">
        <f>'Raw data'!G471</f>
        <v>0</v>
      </c>
      <c r="I552" s="29" t="e">
        <f>VLOOKUP(G552,제품명!$C$1:$E$114,2,0)</f>
        <v>#N/A</v>
      </c>
      <c r="J552" s="29">
        <f>'Raw data'!K471</f>
        <v>0</v>
      </c>
      <c r="K552" s="31">
        <f>'Raw data'!H471</f>
        <v>0</v>
      </c>
      <c r="L552" s="26">
        <f t="shared" si="18"/>
        <v>0</v>
      </c>
    </row>
    <row r="553" spans="2:12">
      <c r="B553" s="4" t="e">
        <f t="shared" si="17"/>
        <v>#N/A</v>
      </c>
      <c r="C553" s="4">
        <f>'Raw data'!E472</f>
        <v>0</v>
      </c>
      <c r="D553" s="29" t="e">
        <f>VLOOKUP(C553,'점포코드 '!A:B,2,0)</f>
        <v>#N/A</v>
      </c>
      <c r="E553" s="30">
        <f>'Raw data'!P472</f>
        <v>0</v>
      </c>
      <c r="F553" s="29" t="e">
        <f>VLOOKUP(E553,'점포코드 '!A:B,2,0)</f>
        <v>#N/A</v>
      </c>
      <c r="G553" s="46">
        <f>'Raw data'!F472</f>
        <v>0</v>
      </c>
      <c r="H553" s="4">
        <f>'Raw data'!G472</f>
        <v>0</v>
      </c>
      <c r="I553" s="29" t="e">
        <f>VLOOKUP(G553,제품명!$C$1:$E$114,2,0)</f>
        <v>#N/A</v>
      </c>
      <c r="J553" s="29">
        <f>'Raw data'!K472</f>
        <v>0</v>
      </c>
      <c r="K553" s="31">
        <f>'Raw data'!H472</f>
        <v>0</v>
      </c>
      <c r="L553" s="26">
        <f t="shared" si="18"/>
        <v>0</v>
      </c>
    </row>
    <row r="554" spans="2:12">
      <c r="B554" s="4" t="e">
        <f t="shared" si="17"/>
        <v>#N/A</v>
      </c>
      <c r="C554" s="4">
        <f>'Raw data'!E473</f>
        <v>0</v>
      </c>
      <c r="D554" s="29" t="e">
        <f>VLOOKUP(C554,'점포코드 '!A:B,2,0)</f>
        <v>#N/A</v>
      </c>
      <c r="E554" s="30">
        <f>'Raw data'!P473</f>
        <v>0</v>
      </c>
      <c r="F554" s="29" t="e">
        <f>VLOOKUP(E554,'점포코드 '!A:B,2,0)</f>
        <v>#N/A</v>
      </c>
      <c r="G554" s="46">
        <f>'Raw data'!F473</f>
        <v>0</v>
      </c>
      <c r="H554" s="4">
        <f>'Raw data'!G473</f>
        <v>0</v>
      </c>
      <c r="I554" s="29" t="e">
        <f>VLOOKUP(G554,제품명!$C$1:$E$114,2,0)</f>
        <v>#N/A</v>
      </c>
      <c r="J554" s="29">
        <f>'Raw data'!K473</f>
        <v>0</v>
      </c>
      <c r="K554" s="31">
        <f>'Raw data'!H473</f>
        <v>0</v>
      </c>
      <c r="L554" s="26">
        <f t="shared" si="18"/>
        <v>0</v>
      </c>
    </row>
    <row r="555" spans="2:12">
      <c r="B555" s="4" t="e">
        <f t="shared" si="17"/>
        <v>#N/A</v>
      </c>
      <c r="C555" s="4">
        <f>'Raw data'!E474</f>
        <v>0</v>
      </c>
      <c r="D555" s="29" t="e">
        <f>VLOOKUP(C555,'점포코드 '!A:B,2,0)</f>
        <v>#N/A</v>
      </c>
      <c r="E555" s="30">
        <f>'Raw data'!P474</f>
        <v>0</v>
      </c>
      <c r="F555" s="29" t="e">
        <f>VLOOKUP(E555,'점포코드 '!A:B,2,0)</f>
        <v>#N/A</v>
      </c>
      <c r="G555" s="46">
        <f>'Raw data'!F474</f>
        <v>0</v>
      </c>
      <c r="H555" s="4">
        <f>'Raw data'!G474</f>
        <v>0</v>
      </c>
      <c r="I555" s="29" t="e">
        <f>VLOOKUP(G555,제품명!$C$1:$E$114,2,0)</f>
        <v>#N/A</v>
      </c>
      <c r="J555" s="29">
        <f>'Raw data'!K474</f>
        <v>0</v>
      </c>
      <c r="K555" s="31">
        <f>'Raw data'!H474</f>
        <v>0</v>
      </c>
      <c r="L555" s="26">
        <f t="shared" si="18"/>
        <v>0</v>
      </c>
    </row>
    <row r="556" spans="2:12">
      <c r="B556" s="4" t="e">
        <f t="shared" si="17"/>
        <v>#N/A</v>
      </c>
      <c r="C556" s="4">
        <f>'Raw data'!E475</f>
        <v>0</v>
      </c>
      <c r="D556" s="29" t="e">
        <f>VLOOKUP(C556,'점포코드 '!A:B,2,0)</f>
        <v>#N/A</v>
      </c>
      <c r="E556" s="30">
        <f>'Raw data'!P475</f>
        <v>0</v>
      </c>
      <c r="F556" s="29" t="e">
        <f>VLOOKUP(E556,'점포코드 '!A:B,2,0)</f>
        <v>#N/A</v>
      </c>
      <c r="G556" s="46">
        <f>'Raw data'!F475</f>
        <v>0</v>
      </c>
      <c r="H556" s="4">
        <f>'Raw data'!G475</f>
        <v>0</v>
      </c>
      <c r="I556" s="29" t="e">
        <f>VLOOKUP(G556,제품명!$C$1:$E$114,2,0)</f>
        <v>#N/A</v>
      </c>
      <c r="J556" s="29">
        <f>'Raw data'!K475</f>
        <v>0</v>
      </c>
      <c r="K556" s="31">
        <f>'Raw data'!H475</f>
        <v>0</v>
      </c>
      <c r="L556" s="26">
        <f t="shared" si="18"/>
        <v>0</v>
      </c>
    </row>
    <row r="557" spans="2:12">
      <c r="B557" s="4" t="e">
        <f t="shared" si="17"/>
        <v>#N/A</v>
      </c>
      <c r="C557" s="4">
        <f>'Raw data'!E476</f>
        <v>0</v>
      </c>
      <c r="D557" s="29" t="e">
        <f>VLOOKUP(C557,'점포코드 '!A:B,2,0)</f>
        <v>#N/A</v>
      </c>
      <c r="E557" s="30">
        <f>'Raw data'!P476</f>
        <v>0</v>
      </c>
      <c r="F557" s="29" t="e">
        <f>VLOOKUP(E557,'점포코드 '!A:B,2,0)</f>
        <v>#N/A</v>
      </c>
      <c r="G557" s="46">
        <f>'Raw data'!F476</f>
        <v>0</v>
      </c>
      <c r="H557" s="4">
        <f>'Raw data'!G476</f>
        <v>0</v>
      </c>
      <c r="I557" s="29" t="e">
        <f>VLOOKUP(G557,제품명!$C$1:$E$114,2,0)</f>
        <v>#N/A</v>
      </c>
      <c r="J557" s="29">
        <f>'Raw data'!K476</f>
        <v>0</v>
      </c>
      <c r="K557" s="31">
        <f>'Raw data'!H476</f>
        <v>0</v>
      </c>
      <c r="L557" s="26">
        <f t="shared" si="18"/>
        <v>0</v>
      </c>
    </row>
    <row r="558" spans="2:12">
      <c r="B558" s="4" t="e">
        <f t="shared" si="17"/>
        <v>#N/A</v>
      </c>
      <c r="C558" s="4">
        <f>'Raw data'!E477</f>
        <v>0</v>
      </c>
      <c r="D558" s="29" t="e">
        <f>VLOOKUP(C558,'점포코드 '!A:B,2,0)</f>
        <v>#N/A</v>
      </c>
      <c r="E558" s="30">
        <f>'Raw data'!P477</f>
        <v>0</v>
      </c>
      <c r="F558" s="29" t="e">
        <f>VLOOKUP(E558,'점포코드 '!A:B,2,0)</f>
        <v>#N/A</v>
      </c>
      <c r="G558" s="46">
        <f>'Raw data'!F477</f>
        <v>0</v>
      </c>
      <c r="H558" s="4">
        <f>'Raw data'!G477</f>
        <v>0</v>
      </c>
      <c r="I558" s="29" t="e">
        <f>VLOOKUP(G558,제품명!$C$1:$E$114,2,0)</f>
        <v>#N/A</v>
      </c>
      <c r="J558" s="29">
        <f>'Raw data'!K477</f>
        <v>0</v>
      </c>
      <c r="K558" s="31">
        <f>'Raw data'!H477</f>
        <v>0</v>
      </c>
      <c r="L558" s="26">
        <f t="shared" si="18"/>
        <v>0</v>
      </c>
    </row>
    <row r="559" spans="2:12">
      <c r="B559" s="4" t="e">
        <f t="shared" si="17"/>
        <v>#N/A</v>
      </c>
      <c r="C559" s="4">
        <f>'Raw data'!E478</f>
        <v>0</v>
      </c>
      <c r="D559" s="29" t="e">
        <f>VLOOKUP(C559,'점포코드 '!A:B,2,0)</f>
        <v>#N/A</v>
      </c>
      <c r="E559" s="30">
        <f>'Raw data'!P478</f>
        <v>0</v>
      </c>
      <c r="F559" s="29" t="e">
        <f>VLOOKUP(E559,'점포코드 '!A:B,2,0)</f>
        <v>#N/A</v>
      </c>
      <c r="G559" s="46">
        <f>'Raw data'!F478</f>
        <v>0</v>
      </c>
      <c r="H559" s="4">
        <f>'Raw data'!G478</f>
        <v>0</v>
      </c>
      <c r="I559" s="29" t="e">
        <f>VLOOKUP(G559,제품명!$C$1:$E$114,2,0)</f>
        <v>#N/A</v>
      </c>
      <c r="J559" s="29">
        <f>'Raw data'!K478</f>
        <v>0</v>
      </c>
      <c r="K559" s="31">
        <f>'Raw data'!H478</f>
        <v>0</v>
      </c>
      <c r="L559" s="26">
        <f t="shared" si="18"/>
        <v>0</v>
      </c>
    </row>
    <row r="560" spans="2:12">
      <c r="B560" s="4" t="e">
        <f t="shared" si="17"/>
        <v>#N/A</v>
      </c>
      <c r="C560" s="4">
        <f>'Raw data'!E479</f>
        <v>0</v>
      </c>
      <c r="D560" s="29" t="e">
        <f>VLOOKUP(C560,'점포코드 '!A:B,2,0)</f>
        <v>#N/A</v>
      </c>
      <c r="E560" s="30">
        <f>'Raw data'!P479</f>
        <v>0</v>
      </c>
      <c r="F560" s="29" t="e">
        <f>VLOOKUP(E560,'점포코드 '!A:B,2,0)</f>
        <v>#N/A</v>
      </c>
      <c r="G560" s="46">
        <f>'Raw data'!F479</f>
        <v>0</v>
      </c>
      <c r="H560" s="4">
        <f>'Raw data'!G479</f>
        <v>0</v>
      </c>
      <c r="I560" s="29" t="e">
        <f>VLOOKUP(G560,제품명!$C$1:$E$114,2,0)</f>
        <v>#N/A</v>
      </c>
      <c r="J560" s="29">
        <f>'Raw data'!K479</f>
        <v>0</v>
      </c>
      <c r="K560" s="31">
        <f>'Raw data'!H479</f>
        <v>0</v>
      </c>
      <c r="L560" s="26">
        <f t="shared" si="18"/>
        <v>0</v>
      </c>
    </row>
    <row r="561" spans="2:12">
      <c r="B561" s="4" t="e">
        <f t="shared" si="17"/>
        <v>#N/A</v>
      </c>
      <c r="C561" s="4">
        <f>'Raw data'!E480</f>
        <v>0</v>
      </c>
      <c r="D561" s="29" t="e">
        <f>VLOOKUP(C561,'점포코드 '!A:B,2,0)</f>
        <v>#N/A</v>
      </c>
      <c r="E561" s="30">
        <f>'Raw data'!P480</f>
        <v>0</v>
      </c>
      <c r="F561" s="29" t="e">
        <f>VLOOKUP(E561,'점포코드 '!A:B,2,0)</f>
        <v>#N/A</v>
      </c>
      <c r="G561" s="46">
        <f>'Raw data'!F480</f>
        <v>0</v>
      </c>
      <c r="H561" s="4">
        <f>'Raw data'!G480</f>
        <v>0</v>
      </c>
      <c r="I561" s="29" t="e">
        <f>VLOOKUP(G561,제품명!$C$1:$E$114,2,0)</f>
        <v>#N/A</v>
      </c>
      <c r="J561" s="29">
        <f>'Raw data'!K480</f>
        <v>0</v>
      </c>
      <c r="K561" s="31">
        <f>'Raw data'!H480</f>
        <v>0</v>
      </c>
      <c r="L561" s="26">
        <f t="shared" si="18"/>
        <v>0</v>
      </c>
    </row>
    <row r="562" spans="2:12">
      <c r="B562" s="4" t="e">
        <f t="shared" si="17"/>
        <v>#N/A</v>
      </c>
      <c r="C562" s="4">
        <f>'Raw data'!E481</f>
        <v>0</v>
      </c>
      <c r="D562" s="29" t="e">
        <f>VLOOKUP(C562,'점포코드 '!A:B,2,0)</f>
        <v>#N/A</v>
      </c>
      <c r="E562" s="30">
        <f>'Raw data'!P481</f>
        <v>0</v>
      </c>
      <c r="F562" s="29" t="e">
        <f>VLOOKUP(E562,'점포코드 '!A:B,2,0)</f>
        <v>#N/A</v>
      </c>
      <c r="G562" s="46">
        <f>'Raw data'!F481</f>
        <v>0</v>
      </c>
      <c r="H562" s="4">
        <f>'Raw data'!G481</f>
        <v>0</v>
      </c>
      <c r="I562" s="29" t="e">
        <f>VLOOKUP(G562,제품명!$C$1:$E$114,2,0)</f>
        <v>#N/A</v>
      </c>
      <c r="J562" s="29">
        <f>'Raw data'!K481</f>
        <v>0</v>
      </c>
      <c r="K562" s="31">
        <f>'Raw data'!H481</f>
        <v>0</v>
      </c>
      <c r="L562" s="26">
        <f t="shared" si="18"/>
        <v>0</v>
      </c>
    </row>
    <row r="563" spans="2:12">
      <c r="B563" s="4" t="e">
        <f t="shared" si="17"/>
        <v>#N/A</v>
      </c>
      <c r="C563" s="4">
        <f>'Raw data'!E482</f>
        <v>0</v>
      </c>
      <c r="D563" s="29" t="e">
        <f>VLOOKUP(C563,'점포코드 '!A:B,2,0)</f>
        <v>#N/A</v>
      </c>
      <c r="E563" s="30">
        <f>'Raw data'!P482</f>
        <v>0</v>
      </c>
      <c r="F563" s="29" t="e">
        <f>VLOOKUP(E563,'점포코드 '!A:B,2,0)</f>
        <v>#N/A</v>
      </c>
      <c r="G563" s="46">
        <f>'Raw data'!F482</f>
        <v>0</v>
      </c>
      <c r="H563" s="4">
        <f>'Raw data'!G482</f>
        <v>0</v>
      </c>
      <c r="I563" s="29" t="e">
        <f>VLOOKUP(G563,제품명!$C$1:$E$114,2,0)</f>
        <v>#N/A</v>
      </c>
      <c r="J563" s="29">
        <f>'Raw data'!K482</f>
        <v>0</v>
      </c>
      <c r="K563" s="31">
        <f>'Raw data'!H482</f>
        <v>0</v>
      </c>
      <c r="L563" s="26">
        <f t="shared" si="18"/>
        <v>0</v>
      </c>
    </row>
    <row r="564" spans="2:12">
      <c r="B564" s="4" t="e">
        <f t="shared" si="17"/>
        <v>#N/A</v>
      </c>
      <c r="C564" s="4">
        <f>'Raw data'!E483</f>
        <v>0</v>
      </c>
      <c r="D564" s="29" t="e">
        <f>VLOOKUP(C564,'점포코드 '!A:B,2,0)</f>
        <v>#N/A</v>
      </c>
      <c r="E564" s="30">
        <f>'Raw data'!P483</f>
        <v>0</v>
      </c>
      <c r="F564" s="29" t="e">
        <f>VLOOKUP(E564,'점포코드 '!A:B,2,0)</f>
        <v>#N/A</v>
      </c>
      <c r="G564" s="46">
        <f>'Raw data'!F483</f>
        <v>0</v>
      </c>
      <c r="H564" s="4">
        <f>'Raw data'!G483</f>
        <v>0</v>
      </c>
      <c r="I564" s="29" t="e">
        <f>VLOOKUP(G564,제품명!$C$1:$E$114,2,0)</f>
        <v>#N/A</v>
      </c>
      <c r="J564" s="29">
        <f>'Raw data'!K483</f>
        <v>0</v>
      </c>
      <c r="K564" s="31">
        <f>'Raw data'!H483</f>
        <v>0</v>
      </c>
      <c r="L564" s="26">
        <f t="shared" si="18"/>
        <v>0</v>
      </c>
    </row>
    <row r="565" spans="2:12">
      <c r="B565" s="4" t="e">
        <f t="shared" si="17"/>
        <v>#N/A</v>
      </c>
      <c r="C565" s="4">
        <f>'Raw data'!E484</f>
        <v>0</v>
      </c>
      <c r="D565" s="29" t="e">
        <f>VLOOKUP(C565,'점포코드 '!A:B,2,0)</f>
        <v>#N/A</v>
      </c>
      <c r="E565" s="30">
        <f>'Raw data'!P484</f>
        <v>0</v>
      </c>
      <c r="F565" s="29" t="e">
        <f>VLOOKUP(E565,'점포코드 '!A:B,2,0)</f>
        <v>#N/A</v>
      </c>
      <c r="G565" s="46">
        <f>'Raw data'!F484</f>
        <v>0</v>
      </c>
      <c r="H565" s="4">
        <f>'Raw data'!G484</f>
        <v>0</v>
      </c>
      <c r="I565" s="29" t="e">
        <f>VLOOKUP(G565,제품명!$C$1:$E$114,2,0)</f>
        <v>#N/A</v>
      </c>
      <c r="J565" s="29">
        <f>'Raw data'!K484</f>
        <v>0</v>
      </c>
      <c r="K565" s="31">
        <f>'Raw data'!H484</f>
        <v>0</v>
      </c>
      <c r="L565" s="26">
        <f t="shared" si="18"/>
        <v>0</v>
      </c>
    </row>
    <row r="566" spans="2:12">
      <c r="B566" s="4" t="e">
        <f t="shared" si="17"/>
        <v>#N/A</v>
      </c>
      <c r="C566" s="4">
        <f>'Raw data'!E485</f>
        <v>0</v>
      </c>
      <c r="D566" s="29" t="e">
        <f>VLOOKUP(C566,'점포코드 '!A:B,2,0)</f>
        <v>#N/A</v>
      </c>
      <c r="E566" s="30">
        <f>'Raw data'!P485</f>
        <v>0</v>
      </c>
      <c r="F566" s="29" t="e">
        <f>VLOOKUP(E566,'점포코드 '!A:B,2,0)</f>
        <v>#N/A</v>
      </c>
      <c r="G566" s="46">
        <f>'Raw data'!F485</f>
        <v>0</v>
      </c>
      <c r="H566" s="4">
        <f>'Raw data'!G485</f>
        <v>0</v>
      </c>
      <c r="I566" s="29" t="e">
        <f>VLOOKUP(G566,제품명!$C$1:$E$114,2,0)</f>
        <v>#N/A</v>
      </c>
      <c r="J566" s="29">
        <f>'Raw data'!K485</f>
        <v>0</v>
      </c>
      <c r="K566" s="31">
        <f>'Raw data'!H485</f>
        <v>0</v>
      </c>
      <c r="L566" s="26">
        <f t="shared" si="18"/>
        <v>0</v>
      </c>
    </row>
    <row r="567" spans="2:12">
      <c r="B567" s="4" t="e">
        <f t="shared" si="17"/>
        <v>#N/A</v>
      </c>
      <c r="C567" s="4">
        <f>'Raw data'!E486</f>
        <v>0</v>
      </c>
      <c r="D567" s="29" t="e">
        <f>VLOOKUP(C567,'점포코드 '!A:B,2,0)</f>
        <v>#N/A</v>
      </c>
      <c r="E567" s="30">
        <f>'Raw data'!P486</f>
        <v>0</v>
      </c>
      <c r="F567" s="29" t="e">
        <f>VLOOKUP(E567,'점포코드 '!A:B,2,0)</f>
        <v>#N/A</v>
      </c>
      <c r="G567" s="46">
        <f>'Raw data'!F486</f>
        <v>0</v>
      </c>
      <c r="H567" s="4">
        <f>'Raw data'!G486</f>
        <v>0</v>
      </c>
      <c r="I567" s="29" t="e">
        <f>VLOOKUP(G567,제품명!$C$1:$E$114,2,0)</f>
        <v>#N/A</v>
      </c>
      <c r="J567" s="29">
        <f>'Raw data'!K486</f>
        <v>0</v>
      </c>
      <c r="K567" s="31">
        <f>'Raw data'!H486</f>
        <v>0</v>
      </c>
      <c r="L567" s="26">
        <f t="shared" si="18"/>
        <v>0</v>
      </c>
    </row>
    <row r="568" spans="2:12">
      <c r="B568" s="4" t="e">
        <f t="shared" si="17"/>
        <v>#N/A</v>
      </c>
      <c r="C568" s="4">
        <f>'Raw data'!E487</f>
        <v>0</v>
      </c>
      <c r="D568" s="29" t="e">
        <f>VLOOKUP(C568,'점포코드 '!A:B,2,0)</f>
        <v>#N/A</v>
      </c>
      <c r="E568" s="30">
        <f>'Raw data'!P487</f>
        <v>0</v>
      </c>
      <c r="F568" s="29" t="e">
        <f>VLOOKUP(E568,'점포코드 '!A:B,2,0)</f>
        <v>#N/A</v>
      </c>
      <c r="G568" s="46">
        <f>'Raw data'!F487</f>
        <v>0</v>
      </c>
      <c r="H568" s="4">
        <f>'Raw data'!G487</f>
        <v>0</v>
      </c>
      <c r="I568" s="29" t="e">
        <f>VLOOKUP(G568,제품명!$C$1:$E$114,2,0)</f>
        <v>#N/A</v>
      </c>
      <c r="J568" s="29">
        <f>'Raw data'!K487</f>
        <v>0</v>
      </c>
      <c r="K568" s="31">
        <f>'Raw data'!H487</f>
        <v>0</v>
      </c>
      <c r="L568" s="26">
        <f t="shared" si="18"/>
        <v>0</v>
      </c>
    </row>
    <row r="569" spans="2:12">
      <c r="B569" s="4" t="e">
        <f t="shared" si="17"/>
        <v>#N/A</v>
      </c>
      <c r="C569" s="4">
        <f>'Raw data'!E488</f>
        <v>0</v>
      </c>
      <c r="D569" s="29" t="e">
        <f>VLOOKUP(C569,'점포코드 '!A:B,2,0)</f>
        <v>#N/A</v>
      </c>
      <c r="E569" s="30">
        <f>'Raw data'!P488</f>
        <v>0</v>
      </c>
      <c r="F569" s="29" t="e">
        <f>VLOOKUP(E569,'점포코드 '!A:B,2,0)</f>
        <v>#N/A</v>
      </c>
      <c r="G569" s="46">
        <f>'Raw data'!F488</f>
        <v>0</v>
      </c>
      <c r="H569" s="4">
        <f>'Raw data'!G488</f>
        <v>0</v>
      </c>
      <c r="I569" s="29" t="e">
        <f>VLOOKUP(G569,제품명!$C$1:$E$114,2,0)</f>
        <v>#N/A</v>
      </c>
      <c r="J569" s="29">
        <f>'Raw data'!K488</f>
        <v>0</v>
      </c>
      <c r="K569" s="31">
        <f>'Raw data'!H488</f>
        <v>0</v>
      </c>
      <c r="L569" s="26">
        <f t="shared" si="18"/>
        <v>0</v>
      </c>
    </row>
    <row r="570" spans="2:12">
      <c r="B570" s="4" t="e">
        <f t="shared" si="17"/>
        <v>#N/A</v>
      </c>
      <c r="C570" s="4">
        <f>'Raw data'!E489</f>
        <v>0</v>
      </c>
      <c r="D570" s="29" t="e">
        <f>VLOOKUP(C570,'점포코드 '!A:B,2,0)</f>
        <v>#N/A</v>
      </c>
      <c r="E570" s="30">
        <f>'Raw data'!P489</f>
        <v>0</v>
      </c>
      <c r="F570" s="29" t="e">
        <f>VLOOKUP(E570,'점포코드 '!A:B,2,0)</f>
        <v>#N/A</v>
      </c>
      <c r="G570" s="46">
        <f>'Raw data'!F489</f>
        <v>0</v>
      </c>
      <c r="H570" s="4">
        <f>'Raw data'!G489</f>
        <v>0</v>
      </c>
      <c r="I570" s="29" t="e">
        <f>VLOOKUP(G570,제품명!$C$1:$E$114,2,0)</f>
        <v>#N/A</v>
      </c>
      <c r="J570" s="29">
        <f>'Raw data'!K489</f>
        <v>0</v>
      </c>
      <c r="K570" s="31">
        <f>'Raw data'!H489</f>
        <v>0</v>
      </c>
      <c r="L570" s="26">
        <f t="shared" si="18"/>
        <v>0</v>
      </c>
    </row>
    <row r="571" spans="2:12">
      <c r="B571" s="4" t="e">
        <f t="shared" si="17"/>
        <v>#N/A</v>
      </c>
      <c r="C571" s="4">
        <f>'Raw data'!E490</f>
        <v>0</v>
      </c>
      <c r="D571" s="29" t="e">
        <f>VLOOKUP(C571,'점포코드 '!A:B,2,0)</f>
        <v>#N/A</v>
      </c>
      <c r="E571" s="30">
        <f>'Raw data'!P490</f>
        <v>0</v>
      </c>
      <c r="F571" s="29" t="e">
        <f>VLOOKUP(E571,'점포코드 '!A:B,2,0)</f>
        <v>#N/A</v>
      </c>
      <c r="G571" s="46">
        <f>'Raw data'!F490</f>
        <v>0</v>
      </c>
      <c r="H571" s="4">
        <f>'Raw data'!G490</f>
        <v>0</v>
      </c>
      <c r="I571" s="29" t="e">
        <f>VLOOKUP(G571,제품명!$C$1:$E$114,2,0)</f>
        <v>#N/A</v>
      </c>
      <c r="J571" s="29">
        <f>'Raw data'!K490</f>
        <v>0</v>
      </c>
      <c r="K571" s="31">
        <f>'Raw data'!H490</f>
        <v>0</v>
      </c>
      <c r="L571" s="26">
        <f t="shared" si="18"/>
        <v>0</v>
      </c>
    </row>
    <row r="572" spans="2:12">
      <c r="B572" s="4" t="e">
        <f t="shared" si="17"/>
        <v>#N/A</v>
      </c>
      <c r="C572" s="4">
        <f>'Raw data'!E491</f>
        <v>0</v>
      </c>
      <c r="D572" s="29" t="e">
        <f>VLOOKUP(C572,'점포코드 '!A:B,2,0)</f>
        <v>#N/A</v>
      </c>
      <c r="E572" s="30">
        <f>'Raw data'!P491</f>
        <v>0</v>
      </c>
      <c r="F572" s="29" t="e">
        <f>VLOOKUP(E572,'점포코드 '!A:B,2,0)</f>
        <v>#N/A</v>
      </c>
      <c r="G572" s="46">
        <f>'Raw data'!F491</f>
        <v>0</v>
      </c>
      <c r="H572" s="4">
        <f>'Raw data'!G491</f>
        <v>0</v>
      </c>
      <c r="I572" s="29" t="e">
        <f>VLOOKUP(G572,제품명!$C$1:$E$114,2,0)</f>
        <v>#N/A</v>
      </c>
      <c r="J572" s="29">
        <f>'Raw data'!K491</f>
        <v>0</v>
      </c>
      <c r="K572" s="31">
        <f>'Raw data'!H491</f>
        <v>0</v>
      </c>
      <c r="L572" s="26">
        <f t="shared" si="18"/>
        <v>0</v>
      </c>
    </row>
    <row r="573" spans="2:12">
      <c r="B573" s="4" t="e">
        <f t="shared" si="17"/>
        <v>#N/A</v>
      </c>
      <c r="C573" s="4">
        <f>'Raw data'!E492</f>
        <v>0</v>
      </c>
      <c r="D573" s="29" t="e">
        <f>VLOOKUP(C573,'점포코드 '!A:B,2,0)</f>
        <v>#N/A</v>
      </c>
      <c r="E573" s="30">
        <f>'Raw data'!P492</f>
        <v>0</v>
      </c>
      <c r="F573" s="29" t="e">
        <f>VLOOKUP(E573,'점포코드 '!A:B,2,0)</f>
        <v>#N/A</v>
      </c>
      <c r="G573" s="46">
        <f>'Raw data'!F492</f>
        <v>0</v>
      </c>
      <c r="H573" s="4">
        <f>'Raw data'!G492</f>
        <v>0</v>
      </c>
      <c r="I573" s="29" t="e">
        <f>VLOOKUP(G573,제품명!$C$1:$E$114,2,0)</f>
        <v>#N/A</v>
      </c>
      <c r="J573" s="29">
        <f>'Raw data'!K492</f>
        <v>0</v>
      </c>
      <c r="K573" s="31">
        <f>'Raw data'!H492</f>
        <v>0</v>
      </c>
      <c r="L573" s="26">
        <f t="shared" si="18"/>
        <v>0</v>
      </c>
    </row>
    <row r="574" spans="2:12">
      <c r="B574" s="4" t="e">
        <f t="shared" si="17"/>
        <v>#N/A</v>
      </c>
      <c r="C574" s="4">
        <f>'Raw data'!E493</f>
        <v>0</v>
      </c>
      <c r="D574" s="29" t="e">
        <f>VLOOKUP(C574,'점포코드 '!A:B,2,0)</f>
        <v>#N/A</v>
      </c>
      <c r="E574" s="30">
        <f>'Raw data'!P493</f>
        <v>0</v>
      </c>
      <c r="F574" s="29" t="e">
        <f>VLOOKUP(E574,'점포코드 '!A:B,2,0)</f>
        <v>#N/A</v>
      </c>
      <c r="G574" s="46">
        <f>'Raw data'!F493</f>
        <v>0</v>
      </c>
      <c r="H574" s="4">
        <f>'Raw data'!G493</f>
        <v>0</v>
      </c>
      <c r="I574" s="29" t="e">
        <f>VLOOKUP(G574,제품명!$C$1:$E$114,2,0)</f>
        <v>#N/A</v>
      </c>
      <c r="J574" s="29">
        <f>'Raw data'!K493</f>
        <v>0</v>
      </c>
      <c r="K574" s="31">
        <f>'Raw data'!H493</f>
        <v>0</v>
      </c>
      <c r="L574" s="26">
        <f t="shared" si="18"/>
        <v>0</v>
      </c>
    </row>
    <row r="575" spans="2:12">
      <c r="B575" s="4" t="e">
        <f t="shared" si="17"/>
        <v>#N/A</v>
      </c>
      <c r="C575" s="4">
        <f>'Raw data'!E494</f>
        <v>0</v>
      </c>
      <c r="D575" s="29" t="e">
        <f>VLOOKUP(C575,'점포코드 '!A:B,2,0)</f>
        <v>#N/A</v>
      </c>
      <c r="E575" s="30">
        <f>'Raw data'!P494</f>
        <v>0</v>
      </c>
      <c r="F575" s="29" t="e">
        <f>VLOOKUP(E575,'점포코드 '!A:B,2,0)</f>
        <v>#N/A</v>
      </c>
      <c r="G575" s="46">
        <f>'Raw data'!F494</f>
        <v>0</v>
      </c>
      <c r="H575" s="4">
        <f>'Raw data'!G494</f>
        <v>0</v>
      </c>
      <c r="I575" s="29" t="e">
        <f>VLOOKUP(G575,제품명!$C$1:$E$114,2,0)</f>
        <v>#N/A</v>
      </c>
      <c r="J575" s="29">
        <f>'Raw data'!K494</f>
        <v>0</v>
      </c>
      <c r="K575" s="31">
        <f>'Raw data'!H494</f>
        <v>0</v>
      </c>
      <c r="L575" s="26">
        <f t="shared" si="18"/>
        <v>0</v>
      </c>
    </row>
    <row r="576" spans="2:12">
      <c r="B576" s="4" t="e">
        <f t="shared" si="17"/>
        <v>#N/A</v>
      </c>
      <c r="C576" s="4">
        <f>'Raw data'!E495</f>
        <v>0</v>
      </c>
      <c r="D576" s="29" t="e">
        <f>VLOOKUP(C576,'점포코드 '!A:B,2,0)</f>
        <v>#N/A</v>
      </c>
      <c r="E576" s="30">
        <f>'Raw data'!P495</f>
        <v>0</v>
      </c>
      <c r="F576" s="29" t="e">
        <f>VLOOKUP(E576,'점포코드 '!A:B,2,0)</f>
        <v>#N/A</v>
      </c>
      <c r="G576" s="46">
        <f>'Raw data'!F495</f>
        <v>0</v>
      </c>
      <c r="H576" s="4">
        <f>'Raw data'!G495</f>
        <v>0</v>
      </c>
      <c r="I576" s="29" t="e">
        <f>VLOOKUP(G576,제품명!$C$1:$E$114,2,0)</f>
        <v>#N/A</v>
      </c>
      <c r="J576" s="29">
        <f>'Raw data'!K495</f>
        <v>0</v>
      </c>
      <c r="K576" s="31">
        <f>'Raw data'!H495</f>
        <v>0</v>
      </c>
      <c r="L576" s="26">
        <f t="shared" si="18"/>
        <v>0</v>
      </c>
    </row>
    <row r="577" spans="2:12">
      <c r="B577" s="4" t="e">
        <f t="shared" si="17"/>
        <v>#N/A</v>
      </c>
      <c r="C577" s="4">
        <f>'Raw data'!E496</f>
        <v>0</v>
      </c>
      <c r="D577" s="29" t="e">
        <f>VLOOKUP(C577,'점포코드 '!A:B,2,0)</f>
        <v>#N/A</v>
      </c>
      <c r="E577" s="30">
        <f>'Raw data'!P496</f>
        <v>0</v>
      </c>
      <c r="F577" s="29" t="e">
        <f>VLOOKUP(E577,'점포코드 '!A:B,2,0)</f>
        <v>#N/A</v>
      </c>
      <c r="G577" s="46">
        <f>'Raw data'!F496</f>
        <v>0</v>
      </c>
      <c r="H577" s="4">
        <f>'Raw data'!G496</f>
        <v>0</v>
      </c>
      <c r="I577" s="29" t="e">
        <f>VLOOKUP(G577,제품명!$C$1:$E$114,2,0)</f>
        <v>#N/A</v>
      </c>
      <c r="J577" s="29">
        <f>'Raw data'!K496</f>
        <v>0</v>
      </c>
      <c r="K577" s="31">
        <f>'Raw data'!H496</f>
        <v>0</v>
      </c>
      <c r="L577" s="26">
        <f t="shared" si="18"/>
        <v>0</v>
      </c>
    </row>
    <row r="578" spans="2:12">
      <c r="B578" s="4" t="e">
        <f t="shared" ref="B578:B640" si="19">F578&amp;I578</f>
        <v>#N/A</v>
      </c>
      <c r="C578" s="4">
        <f>'Raw data'!E497</f>
        <v>0</v>
      </c>
      <c r="D578" s="29" t="e">
        <f>VLOOKUP(C578,'점포코드 '!A:B,2,0)</f>
        <v>#N/A</v>
      </c>
      <c r="E578" s="30">
        <f>'Raw data'!P497</f>
        <v>0</v>
      </c>
      <c r="F578" s="29" t="e">
        <f>VLOOKUP(E578,'점포코드 '!A:B,2,0)</f>
        <v>#N/A</v>
      </c>
      <c r="G578" s="46">
        <f>'Raw data'!F497</f>
        <v>0</v>
      </c>
      <c r="H578" s="4">
        <f>'Raw data'!G497</f>
        <v>0</v>
      </c>
      <c r="I578" s="29" t="e">
        <f>VLOOKUP(G578,제품명!$C$1:$E$114,2,0)</f>
        <v>#N/A</v>
      </c>
      <c r="J578" s="29">
        <f>'Raw data'!K497</f>
        <v>0</v>
      </c>
      <c r="K578" s="31">
        <f>'Raw data'!H497</f>
        <v>0</v>
      </c>
      <c r="L578" s="26">
        <f t="shared" si="18"/>
        <v>0</v>
      </c>
    </row>
    <row r="579" spans="2:12">
      <c r="B579" s="4" t="e">
        <f t="shared" si="19"/>
        <v>#N/A</v>
      </c>
      <c r="C579" s="4">
        <f>'Raw data'!E498</f>
        <v>0</v>
      </c>
      <c r="D579" s="29" t="e">
        <f>VLOOKUP(C579,'점포코드 '!A:B,2,0)</f>
        <v>#N/A</v>
      </c>
      <c r="E579" s="30">
        <f>'Raw data'!P498</f>
        <v>0</v>
      </c>
      <c r="F579" s="29" t="e">
        <f>VLOOKUP(E579,'점포코드 '!A:B,2,0)</f>
        <v>#N/A</v>
      </c>
      <c r="G579" s="46">
        <f>'Raw data'!F498</f>
        <v>0</v>
      </c>
      <c r="H579" s="4">
        <f>'Raw data'!G498</f>
        <v>0</v>
      </c>
      <c r="I579" s="29" t="e">
        <f>VLOOKUP(G579,제품명!$C$1:$E$114,2,0)</f>
        <v>#N/A</v>
      </c>
      <c r="J579" s="29">
        <f>'Raw data'!K498</f>
        <v>0</v>
      </c>
      <c r="K579" s="31">
        <f>'Raw data'!H498</f>
        <v>0</v>
      </c>
      <c r="L579" s="26">
        <f t="shared" ref="L579:L640" si="20">J579*K579</f>
        <v>0</v>
      </c>
    </row>
    <row r="580" spans="2:12">
      <c r="B580" s="4" t="e">
        <f t="shared" si="19"/>
        <v>#N/A</v>
      </c>
      <c r="C580" s="4">
        <f>'Raw data'!E499</f>
        <v>0</v>
      </c>
      <c r="D580" s="29" t="e">
        <f>VLOOKUP(C580,'점포코드 '!A:B,2,0)</f>
        <v>#N/A</v>
      </c>
      <c r="E580" s="30">
        <f>'Raw data'!P499</f>
        <v>0</v>
      </c>
      <c r="F580" s="29" t="e">
        <f>VLOOKUP(E580,'점포코드 '!A:B,2,0)</f>
        <v>#N/A</v>
      </c>
      <c r="G580" s="46">
        <f>'Raw data'!F499</f>
        <v>0</v>
      </c>
      <c r="H580" s="4">
        <f>'Raw data'!G499</f>
        <v>0</v>
      </c>
      <c r="I580" s="29" t="e">
        <f>VLOOKUP(G580,제품명!$C$1:$E$114,2,0)</f>
        <v>#N/A</v>
      </c>
      <c r="J580" s="29">
        <f>'Raw data'!K499</f>
        <v>0</v>
      </c>
      <c r="K580" s="31">
        <f>'Raw data'!H499</f>
        <v>0</v>
      </c>
      <c r="L580" s="26">
        <f t="shared" si="20"/>
        <v>0</v>
      </c>
    </row>
    <row r="581" spans="2:12">
      <c r="B581" s="4" t="e">
        <f t="shared" si="19"/>
        <v>#N/A</v>
      </c>
      <c r="C581" s="4">
        <f>'Raw data'!E500</f>
        <v>0</v>
      </c>
      <c r="D581" s="29" t="e">
        <f>VLOOKUP(C581,'점포코드 '!A:B,2,0)</f>
        <v>#N/A</v>
      </c>
      <c r="E581" s="30">
        <f>'Raw data'!P500</f>
        <v>0</v>
      </c>
      <c r="F581" s="29" t="e">
        <f>VLOOKUP(E581,'점포코드 '!A:B,2,0)</f>
        <v>#N/A</v>
      </c>
      <c r="G581" s="46">
        <f>'Raw data'!F500</f>
        <v>0</v>
      </c>
      <c r="H581" s="4">
        <f>'Raw data'!G500</f>
        <v>0</v>
      </c>
      <c r="I581" s="29" t="e">
        <f>VLOOKUP(G581,제품명!$C$1:$E$114,2,0)</f>
        <v>#N/A</v>
      </c>
      <c r="J581" s="29">
        <f>'Raw data'!K500</f>
        <v>0</v>
      </c>
      <c r="K581" s="31">
        <f>'Raw data'!H500</f>
        <v>0</v>
      </c>
      <c r="L581" s="26">
        <f t="shared" si="20"/>
        <v>0</v>
      </c>
    </row>
    <row r="582" spans="2:12">
      <c r="B582" s="4" t="e">
        <f t="shared" si="19"/>
        <v>#N/A</v>
      </c>
      <c r="C582" s="4">
        <f>'Raw data'!E501</f>
        <v>0</v>
      </c>
      <c r="D582" s="29" t="e">
        <f>VLOOKUP(C582,'점포코드 '!A:B,2,0)</f>
        <v>#N/A</v>
      </c>
      <c r="E582" s="30">
        <f>'Raw data'!P501</f>
        <v>0</v>
      </c>
      <c r="F582" s="29" t="e">
        <f>VLOOKUP(E582,'점포코드 '!A:B,2,0)</f>
        <v>#N/A</v>
      </c>
      <c r="G582" s="46">
        <f>'Raw data'!F501</f>
        <v>0</v>
      </c>
      <c r="H582" s="4">
        <f>'Raw data'!G501</f>
        <v>0</v>
      </c>
      <c r="I582" s="29" t="e">
        <f>VLOOKUP(G582,제품명!$C$1:$E$114,2,0)</f>
        <v>#N/A</v>
      </c>
      <c r="J582" s="29">
        <f>'Raw data'!K501</f>
        <v>0</v>
      </c>
      <c r="K582" s="31">
        <f>'Raw data'!H501</f>
        <v>0</v>
      </c>
      <c r="L582" s="26">
        <f t="shared" si="20"/>
        <v>0</v>
      </c>
    </row>
    <row r="583" spans="2:12">
      <c r="B583" s="4" t="e">
        <f t="shared" si="19"/>
        <v>#N/A</v>
      </c>
      <c r="C583" s="4">
        <f>'Raw data'!E502</f>
        <v>0</v>
      </c>
      <c r="D583" s="29" t="e">
        <f>VLOOKUP(C583,'점포코드 '!A:B,2,0)</f>
        <v>#N/A</v>
      </c>
      <c r="E583" s="30">
        <f>'Raw data'!P502</f>
        <v>0</v>
      </c>
      <c r="F583" s="29" t="e">
        <f>VLOOKUP(E583,'점포코드 '!A:B,2,0)</f>
        <v>#N/A</v>
      </c>
      <c r="G583" s="46">
        <f>'Raw data'!F502</f>
        <v>0</v>
      </c>
      <c r="H583" s="4">
        <f>'Raw data'!G502</f>
        <v>0</v>
      </c>
      <c r="I583" s="29" t="e">
        <f>VLOOKUP(G583,제품명!$C$1:$E$114,2,0)</f>
        <v>#N/A</v>
      </c>
      <c r="J583" s="29">
        <f>'Raw data'!K502</f>
        <v>0</v>
      </c>
      <c r="K583" s="31">
        <f>'Raw data'!H502</f>
        <v>0</v>
      </c>
      <c r="L583" s="26">
        <f t="shared" si="20"/>
        <v>0</v>
      </c>
    </row>
    <row r="584" spans="2:12">
      <c r="B584" s="4" t="e">
        <f t="shared" si="19"/>
        <v>#N/A</v>
      </c>
      <c r="C584" s="4">
        <f>'Raw data'!E503</f>
        <v>0</v>
      </c>
      <c r="D584" s="29" t="e">
        <f>VLOOKUP(C584,'점포코드 '!A:B,2,0)</f>
        <v>#N/A</v>
      </c>
      <c r="E584" s="30">
        <f>'Raw data'!P503</f>
        <v>0</v>
      </c>
      <c r="F584" s="29" t="e">
        <f>VLOOKUP(E584,'점포코드 '!A:B,2,0)</f>
        <v>#N/A</v>
      </c>
      <c r="G584" s="46">
        <f>'Raw data'!F503</f>
        <v>0</v>
      </c>
      <c r="H584" s="4">
        <f>'Raw data'!G503</f>
        <v>0</v>
      </c>
      <c r="I584" s="29" t="e">
        <f>VLOOKUP(G584,제품명!$C$1:$E$114,2,0)</f>
        <v>#N/A</v>
      </c>
      <c r="J584" s="29">
        <f>'Raw data'!K503</f>
        <v>0</v>
      </c>
      <c r="K584" s="31">
        <f>'Raw data'!H503</f>
        <v>0</v>
      </c>
      <c r="L584" s="26">
        <f t="shared" si="20"/>
        <v>0</v>
      </c>
    </row>
    <row r="585" spans="2:12">
      <c r="B585" s="4" t="e">
        <f t="shared" si="19"/>
        <v>#N/A</v>
      </c>
      <c r="C585" s="4">
        <f>'Raw data'!E504</f>
        <v>0</v>
      </c>
      <c r="D585" s="29" t="e">
        <f>VLOOKUP(C585,'점포코드 '!A:B,2,0)</f>
        <v>#N/A</v>
      </c>
      <c r="E585" s="30">
        <f>'Raw data'!P504</f>
        <v>0</v>
      </c>
      <c r="F585" s="29" t="e">
        <f>VLOOKUP(E585,'점포코드 '!A:B,2,0)</f>
        <v>#N/A</v>
      </c>
      <c r="G585" s="46">
        <f>'Raw data'!F504</f>
        <v>0</v>
      </c>
      <c r="H585" s="4">
        <f>'Raw data'!G504</f>
        <v>0</v>
      </c>
      <c r="I585" s="29" t="e">
        <f>VLOOKUP(G585,제품명!$C$1:$E$114,2,0)</f>
        <v>#N/A</v>
      </c>
      <c r="J585" s="29">
        <f>'Raw data'!K504</f>
        <v>0</v>
      </c>
      <c r="K585" s="31">
        <f>'Raw data'!H504</f>
        <v>0</v>
      </c>
      <c r="L585" s="26">
        <f t="shared" si="20"/>
        <v>0</v>
      </c>
    </row>
    <row r="586" spans="2:12">
      <c r="B586" s="4" t="e">
        <f t="shared" si="19"/>
        <v>#N/A</v>
      </c>
      <c r="C586" s="4">
        <f>'Raw data'!E505</f>
        <v>0</v>
      </c>
      <c r="D586" s="29" t="e">
        <f>VLOOKUP(C586,'점포코드 '!A:B,2,0)</f>
        <v>#N/A</v>
      </c>
      <c r="E586" s="30">
        <f>'Raw data'!P505</f>
        <v>0</v>
      </c>
      <c r="F586" s="29" t="e">
        <f>VLOOKUP(E586,'점포코드 '!A:B,2,0)</f>
        <v>#N/A</v>
      </c>
      <c r="G586" s="46">
        <f>'Raw data'!F505</f>
        <v>0</v>
      </c>
      <c r="H586" s="4">
        <f>'Raw data'!G505</f>
        <v>0</v>
      </c>
      <c r="I586" s="29" t="e">
        <f>VLOOKUP(G586,제품명!$C$1:$E$114,2,0)</f>
        <v>#N/A</v>
      </c>
      <c r="J586" s="29">
        <f>'Raw data'!K505</f>
        <v>0</v>
      </c>
      <c r="K586" s="31">
        <f>'Raw data'!H505</f>
        <v>0</v>
      </c>
      <c r="L586" s="26">
        <f t="shared" si="20"/>
        <v>0</v>
      </c>
    </row>
    <row r="587" spans="2:12">
      <c r="B587" s="4" t="e">
        <f t="shared" si="19"/>
        <v>#N/A</v>
      </c>
      <c r="C587" s="4">
        <f>'Raw data'!E506</f>
        <v>0</v>
      </c>
      <c r="D587" s="29" t="e">
        <f>VLOOKUP(C587,'점포코드 '!A:B,2,0)</f>
        <v>#N/A</v>
      </c>
      <c r="E587" s="30">
        <f>'Raw data'!P506</f>
        <v>0</v>
      </c>
      <c r="F587" s="29" t="e">
        <f>VLOOKUP(E587,'점포코드 '!A:B,2,0)</f>
        <v>#N/A</v>
      </c>
      <c r="G587" s="46">
        <f>'Raw data'!F506</f>
        <v>0</v>
      </c>
      <c r="H587" s="4">
        <f>'Raw data'!G506</f>
        <v>0</v>
      </c>
      <c r="I587" s="29" t="e">
        <f>VLOOKUP(G587,제품명!$C$1:$E$114,2,0)</f>
        <v>#N/A</v>
      </c>
      <c r="J587" s="29">
        <f>'Raw data'!K506</f>
        <v>0</v>
      </c>
      <c r="K587" s="31">
        <f>'Raw data'!H506</f>
        <v>0</v>
      </c>
      <c r="L587" s="26">
        <f t="shared" si="20"/>
        <v>0</v>
      </c>
    </row>
    <row r="588" spans="2:12">
      <c r="B588" s="4" t="e">
        <f t="shared" si="19"/>
        <v>#N/A</v>
      </c>
      <c r="C588" s="4">
        <f>'Raw data'!E507</f>
        <v>0</v>
      </c>
      <c r="D588" s="29" t="e">
        <f>VLOOKUP(C588,'점포코드 '!A:B,2,0)</f>
        <v>#N/A</v>
      </c>
      <c r="E588" s="30">
        <f>'Raw data'!P507</f>
        <v>0</v>
      </c>
      <c r="F588" s="29" t="e">
        <f>VLOOKUP(E588,'점포코드 '!A:B,2,0)</f>
        <v>#N/A</v>
      </c>
      <c r="G588" s="46">
        <f>'Raw data'!F507</f>
        <v>0</v>
      </c>
      <c r="H588" s="4">
        <f>'Raw data'!G507</f>
        <v>0</v>
      </c>
      <c r="I588" s="29" t="e">
        <f>VLOOKUP(G588,제품명!$C$1:$E$114,2,0)</f>
        <v>#N/A</v>
      </c>
      <c r="J588" s="29">
        <f>'Raw data'!K507</f>
        <v>0</v>
      </c>
      <c r="K588" s="31">
        <f>'Raw data'!H507</f>
        <v>0</v>
      </c>
      <c r="L588" s="26">
        <f t="shared" si="20"/>
        <v>0</v>
      </c>
    </row>
    <row r="589" spans="2:12">
      <c r="B589" s="4" t="e">
        <f t="shared" si="19"/>
        <v>#N/A</v>
      </c>
      <c r="C589" s="4">
        <f>'Raw data'!E508</f>
        <v>0</v>
      </c>
      <c r="D589" s="29" t="e">
        <f>VLOOKUP(C589,'점포코드 '!A:B,2,0)</f>
        <v>#N/A</v>
      </c>
      <c r="E589" s="30">
        <f>'Raw data'!P508</f>
        <v>0</v>
      </c>
      <c r="F589" s="29" t="e">
        <f>VLOOKUP(E589,'점포코드 '!A:B,2,0)</f>
        <v>#N/A</v>
      </c>
      <c r="G589" s="46">
        <f>'Raw data'!F508</f>
        <v>0</v>
      </c>
      <c r="H589" s="4">
        <f>'Raw data'!G508</f>
        <v>0</v>
      </c>
      <c r="I589" s="29" t="e">
        <f>VLOOKUP(G589,제품명!$C$1:$E$114,2,0)</f>
        <v>#N/A</v>
      </c>
      <c r="J589" s="29">
        <f>'Raw data'!K508</f>
        <v>0</v>
      </c>
      <c r="K589" s="31">
        <f>'Raw data'!H508</f>
        <v>0</v>
      </c>
      <c r="L589" s="26">
        <f t="shared" si="20"/>
        <v>0</v>
      </c>
    </row>
    <row r="590" spans="2:12">
      <c r="B590" s="4" t="e">
        <f t="shared" si="19"/>
        <v>#N/A</v>
      </c>
      <c r="C590" s="4">
        <f>'Raw data'!E509</f>
        <v>0</v>
      </c>
      <c r="D590" s="29" t="e">
        <f>VLOOKUP(C590,'점포코드 '!A:B,2,0)</f>
        <v>#N/A</v>
      </c>
      <c r="E590" s="30">
        <f>'Raw data'!P509</f>
        <v>0</v>
      </c>
      <c r="F590" s="29" t="e">
        <f>VLOOKUP(E590,'점포코드 '!A:B,2,0)</f>
        <v>#N/A</v>
      </c>
      <c r="G590" s="46">
        <f>'Raw data'!F509</f>
        <v>0</v>
      </c>
      <c r="H590" s="4">
        <f>'Raw data'!G509</f>
        <v>0</v>
      </c>
      <c r="I590" s="29" t="e">
        <f>VLOOKUP(G590,제품명!$C$1:$E$114,2,0)</f>
        <v>#N/A</v>
      </c>
      <c r="J590" s="29">
        <f>'Raw data'!K509</f>
        <v>0</v>
      </c>
      <c r="K590" s="31">
        <f>'Raw data'!H509</f>
        <v>0</v>
      </c>
      <c r="L590" s="26">
        <f t="shared" si="20"/>
        <v>0</v>
      </c>
    </row>
    <row r="591" spans="2:12">
      <c r="B591" s="4" t="e">
        <f t="shared" si="19"/>
        <v>#N/A</v>
      </c>
      <c r="C591" s="4">
        <f>'Raw data'!E510</f>
        <v>0</v>
      </c>
      <c r="D591" s="29" t="e">
        <f>VLOOKUP(C591,'점포코드 '!A:B,2,0)</f>
        <v>#N/A</v>
      </c>
      <c r="E591" s="30">
        <f>'Raw data'!P510</f>
        <v>0</v>
      </c>
      <c r="F591" s="29" t="e">
        <f>VLOOKUP(E591,'점포코드 '!A:B,2,0)</f>
        <v>#N/A</v>
      </c>
      <c r="G591" s="46">
        <f>'Raw data'!F510</f>
        <v>0</v>
      </c>
      <c r="H591" s="4">
        <f>'Raw data'!G510</f>
        <v>0</v>
      </c>
      <c r="I591" s="29" t="e">
        <f>VLOOKUP(G591,제품명!$C$1:$E$114,2,0)</f>
        <v>#N/A</v>
      </c>
      <c r="J591" s="29">
        <f>'Raw data'!K510</f>
        <v>0</v>
      </c>
      <c r="K591" s="31">
        <f>'Raw data'!H510</f>
        <v>0</v>
      </c>
      <c r="L591" s="26">
        <f t="shared" si="20"/>
        <v>0</v>
      </c>
    </row>
    <row r="592" spans="2:12">
      <c r="B592" s="4" t="e">
        <f t="shared" si="19"/>
        <v>#N/A</v>
      </c>
      <c r="C592" s="4">
        <f>'Raw data'!E511</f>
        <v>0</v>
      </c>
      <c r="D592" s="29" t="e">
        <f>VLOOKUP(C592,'점포코드 '!A:B,2,0)</f>
        <v>#N/A</v>
      </c>
      <c r="E592" s="30">
        <f>'Raw data'!P511</f>
        <v>0</v>
      </c>
      <c r="F592" s="29" t="e">
        <f>VLOOKUP(E592,'점포코드 '!A:B,2,0)</f>
        <v>#N/A</v>
      </c>
      <c r="G592" s="46">
        <f>'Raw data'!F511</f>
        <v>0</v>
      </c>
      <c r="H592" s="4">
        <f>'Raw data'!G511</f>
        <v>0</v>
      </c>
      <c r="I592" s="29" t="e">
        <f>VLOOKUP(G592,제품명!$C$1:$E$114,2,0)</f>
        <v>#N/A</v>
      </c>
      <c r="J592" s="29">
        <f>'Raw data'!K511</f>
        <v>0</v>
      </c>
      <c r="K592" s="31">
        <f>'Raw data'!H511</f>
        <v>0</v>
      </c>
      <c r="L592" s="26">
        <f t="shared" si="20"/>
        <v>0</v>
      </c>
    </row>
    <row r="593" spans="2:12">
      <c r="B593" s="4" t="e">
        <f t="shared" si="19"/>
        <v>#N/A</v>
      </c>
      <c r="C593" s="4">
        <f>'Raw data'!E512</f>
        <v>0</v>
      </c>
      <c r="D593" s="29" t="e">
        <f>VLOOKUP(C593,'점포코드 '!A:B,2,0)</f>
        <v>#N/A</v>
      </c>
      <c r="E593" s="30">
        <f>'Raw data'!P512</f>
        <v>0</v>
      </c>
      <c r="F593" s="29" t="e">
        <f>VLOOKUP(E593,'점포코드 '!A:B,2,0)</f>
        <v>#N/A</v>
      </c>
      <c r="G593" s="46">
        <f>'Raw data'!F512</f>
        <v>0</v>
      </c>
      <c r="H593" s="4">
        <f>'Raw data'!G512</f>
        <v>0</v>
      </c>
      <c r="I593" s="29" t="e">
        <f>VLOOKUP(G593,제품명!$C$1:$E$114,2,0)</f>
        <v>#N/A</v>
      </c>
      <c r="J593" s="29">
        <f>'Raw data'!K512</f>
        <v>0</v>
      </c>
      <c r="K593" s="31">
        <f>'Raw data'!H512</f>
        <v>0</v>
      </c>
      <c r="L593" s="26">
        <f t="shared" si="20"/>
        <v>0</v>
      </c>
    </row>
    <row r="594" spans="2:12">
      <c r="B594" s="4" t="e">
        <f t="shared" si="19"/>
        <v>#N/A</v>
      </c>
      <c r="C594" s="4">
        <f>'Raw data'!E513</f>
        <v>0</v>
      </c>
      <c r="D594" s="29" t="e">
        <f>VLOOKUP(C594,'점포코드 '!A:B,2,0)</f>
        <v>#N/A</v>
      </c>
      <c r="E594" s="30">
        <f>'Raw data'!P513</f>
        <v>0</v>
      </c>
      <c r="F594" s="29" t="e">
        <f>VLOOKUP(E594,'점포코드 '!A:B,2,0)</f>
        <v>#N/A</v>
      </c>
      <c r="G594" s="46">
        <f>'Raw data'!F513</f>
        <v>0</v>
      </c>
      <c r="H594" s="4">
        <f>'Raw data'!G513</f>
        <v>0</v>
      </c>
      <c r="I594" s="29" t="e">
        <f>VLOOKUP(G594,제품명!$C$1:$E$114,2,0)</f>
        <v>#N/A</v>
      </c>
      <c r="J594" s="29">
        <f>'Raw data'!K513</f>
        <v>0</v>
      </c>
      <c r="K594" s="31">
        <f>'Raw data'!H513</f>
        <v>0</v>
      </c>
      <c r="L594" s="26">
        <f t="shared" si="20"/>
        <v>0</v>
      </c>
    </row>
    <row r="595" spans="2:12">
      <c r="B595" s="4" t="e">
        <f t="shared" si="19"/>
        <v>#N/A</v>
      </c>
      <c r="C595" s="4">
        <f>'Raw data'!E514</f>
        <v>0</v>
      </c>
      <c r="D595" s="29" t="e">
        <f>VLOOKUP(C595,'점포코드 '!A:B,2,0)</f>
        <v>#N/A</v>
      </c>
      <c r="E595" s="30">
        <f>'Raw data'!P514</f>
        <v>0</v>
      </c>
      <c r="F595" s="29" t="e">
        <f>VLOOKUP(E595,'점포코드 '!A:B,2,0)</f>
        <v>#N/A</v>
      </c>
      <c r="G595" s="46">
        <f>'Raw data'!F514</f>
        <v>0</v>
      </c>
      <c r="H595" s="4">
        <f>'Raw data'!G514</f>
        <v>0</v>
      </c>
      <c r="I595" s="29" t="e">
        <f>VLOOKUP(G595,제품명!$C$1:$E$114,2,0)</f>
        <v>#N/A</v>
      </c>
      <c r="J595" s="29">
        <f>'Raw data'!K514</f>
        <v>0</v>
      </c>
      <c r="K595" s="31">
        <f>'Raw data'!H514</f>
        <v>0</v>
      </c>
      <c r="L595" s="26">
        <f t="shared" si="20"/>
        <v>0</v>
      </c>
    </row>
    <row r="596" spans="2:12">
      <c r="B596" s="4" t="e">
        <f t="shared" si="19"/>
        <v>#N/A</v>
      </c>
      <c r="C596" s="4">
        <f>'Raw data'!E515</f>
        <v>0</v>
      </c>
      <c r="D596" s="29" t="e">
        <f>VLOOKUP(C596,'점포코드 '!A:B,2,0)</f>
        <v>#N/A</v>
      </c>
      <c r="E596" s="30">
        <f>'Raw data'!P515</f>
        <v>0</v>
      </c>
      <c r="F596" s="29" t="e">
        <f>VLOOKUP(E596,'점포코드 '!A:B,2,0)</f>
        <v>#N/A</v>
      </c>
      <c r="G596" s="46">
        <f>'Raw data'!F515</f>
        <v>0</v>
      </c>
      <c r="H596" s="4">
        <f>'Raw data'!G515</f>
        <v>0</v>
      </c>
      <c r="I596" s="29" t="e">
        <f>VLOOKUP(G596,제품명!$C$1:$E$114,2,0)</f>
        <v>#N/A</v>
      </c>
      <c r="J596" s="29">
        <f>'Raw data'!K515</f>
        <v>0</v>
      </c>
      <c r="K596" s="31">
        <f>'Raw data'!H515</f>
        <v>0</v>
      </c>
      <c r="L596" s="26">
        <f t="shared" si="20"/>
        <v>0</v>
      </c>
    </row>
    <row r="597" spans="2:12">
      <c r="B597" s="4" t="e">
        <f t="shared" si="19"/>
        <v>#N/A</v>
      </c>
      <c r="C597" s="4">
        <f>'Raw data'!E516</f>
        <v>0</v>
      </c>
      <c r="D597" s="29" t="e">
        <f>VLOOKUP(C597,'점포코드 '!A:B,2,0)</f>
        <v>#N/A</v>
      </c>
      <c r="E597" s="30">
        <f>'Raw data'!P516</f>
        <v>0</v>
      </c>
      <c r="F597" s="29" t="e">
        <f>VLOOKUP(E597,'점포코드 '!A:B,2,0)</f>
        <v>#N/A</v>
      </c>
      <c r="G597" s="46">
        <f>'Raw data'!F516</f>
        <v>0</v>
      </c>
      <c r="H597" s="4">
        <f>'Raw data'!G516</f>
        <v>0</v>
      </c>
      <c r="I597" s="29" t="e">
        <f>VLOOKUP(G597,제품명!$C$1:$E$114,2,0)</f>
        <v>#N/A</v>
      </c>
      <c r="J597" s="29">
        <f>'Raw data'!K516</f>
        <v>0</v>
      </c>
      <c r="K597" s="31">
        <f>'Raw data'!H516</f>
        <v>0</v>
      </c>
      <c r="L597" s="26">
        <f t="shared" si="20"/>
        <v>0</v>
      </c>
    </row>
    <row r="598" spans="2:12">
      <c r="B598" s="4" t="e">
        <f t="shared" si="19"/>
        <v>#N/A</v>
      </c>
      <c r="C598" s="4">
        <f>'Raw data'!E517</f>
        <v>0</v>
      </c>
      <c r="D598" s="29" t="e">
        <f>VLOOKUP(C598,'점포코드 '!A:B,2,0)</f>
        <v>#N/A</v>
      </c>
      <c r="E598" s="30">
        <f>'Raw data'!P517</f>
        <v>0</v>
      </c>
      <c r="F598" s="29" t="e">
        <f>VLOOKUP(E598,'점포코드 '!A:B,2,0)</f>
        <v>#N/A</v>
      </c>
      <c r="G598" s="46">
        <f>'Raw data'!F517</f>
        <v>0</v>
      </c>
      <c r="H598" s="4">
        <f>'Raw data'!G517</f>
        <v>0</v>
      </c>
      <c r="I598" s="29" t="e">
        <f>VLOOKUP(G598,제품명!$C$1:$E$114,2,0)</f>
        <v>#N/A</v>
      </c>
      <c r="J598" s="29">
        <f>'Raw data'!K517</f>
        <v>0</v>
      </c>
      <c r="K598" s="31">
        <f>'Raw data'!H517</f>
        <v>0</v>
      </c>
      <c r="L598" s="26">
        <f t="shared" si="20"/>
        <v>0</v>
      </c>
    </row>
    <row r="599" spans="2:12">
      <c r="B599" s="4" t="e">
        <f t="shared" si="19"/>
        <v>#N/A</v>
      </c>
      <c r="C599" s="4">
        <f>'Raw data'!E518</f>
        <v>0</v>
      </c>
      <c r="D599" s="29" t="e">
        <f>VLOOKUP(C599,'점포코드 '!A:B,2,0)</f>
        <v>#N/A</v>
      </c>
      <c r="E599" s="30">
        <f>'Raw data'!P518</f>
        <v>0</v>
      </c>
      <c r="F599" s="29" t="e">
        <f>VLOOKUP(E599,'점포코드 '!A:B,2,0)</f>
        <v>#N/A</v>
      </c>
      <c r="G599" s="46">
        <f>'Raw data'!F518</f>
        <v>0</v>
      </c>
      <c r="H599" s="4">
        <f>'Raw data'!G518</f>
        <v>0</v>
      </c>
      <c r="I599" s="29" t="e">
        <f>VLOOKUP(G599,제품명!$C$1:$E$114,2,0)</f>
        <v>#N/A</v>
      </c>
      <c r="J599" s="29">
        <f>'Raw data'!K518</f>
        <v>0</v>
      </c>
      <c r="K599" s="31">
        <f>'Raw data'!H518</f>
        <v>0</v>
      </c>
      <c r="L599" s="26">
        <f t="shared" si="20"/>
        <v>0</v>
      </c>
    </row>
    <row r="600" spans="2:12">
      <c r="B600" s="4" t="e">
        <f t="shared" si="19"/>
        <v>#N/A</v>
      </c>
      <c r="C600" s="4">
        <f>'Raw data'!E519</f>
        <v>0</v>
      </c>
      <c r="D600" s="29" t="e">
        <f>VLOOKUP(C600,'점포코드 '!A:B,2,0)</f>
        <v>#N/A</v>
      </c>
      <c r="E600" s="30">
        <f>'Raw data'!P519</f>
        <v>0</v>
      </c>
      <c r="F600" s="29" t="e">
        <f>VLOOKUP(E600,'점포코드 '!A:B,2,0)</f>
        <v>#N/A</v>
      </c>
      <c r="G600" s="46">
        <f>'Raw data'!F519</f>
        <v>0</v>
      </c>
      <c r="H600" s="4">
        <f>'Raw data'!G519</f>
        <v>0</v>
      </c>
      <c r="I600" s="29" t="e">
        <f>VLOOKUP(G600,제품명!$C$1:$E$114,2,0)</f>
        <v>#N/A</v>
      </c>
      <c r="J600" s="29">
        <f>'Raw data'!K519</f>
        <v>0</v>
      </c>
      <c r="K600" s="31">
        <f>'Raw data'!H519</f>
        <v>0</v>
      </c>
      <c r="L600" s="26">
        <f t="shared" si="20"/>
        <v>0</v>
      </c>
    </row>
    <row r="601" spans="2:12">
      <c r="B601" s="4" t="e">
        <f t="shared" si="19"/>
        <v>#N/A</v>
      </c>
      <c r="C601" s="4">
        <f>'Raw data'!E520</f>
        <v>0</v>
      </c>
      <c r="D601" s="29" t="e">
        <f>VLOOKUP(C601,'점포코드 '!A:B,2,0)</f>
        <v>#N/A</v>
      </c>
      <c r="E601" s="30">
        <f>'Raw data'!P520</f>
        <v>0</v>
      </c>
      <c r="F601" s="29" t="e">
        <f>VLOOKUP(E601,'점포코드 '!A:B,2,0)</f>
        <v>#N/A</v>
      </c>
      <c r="G601" s="46">
        <f>'Raw data'!F520</f>
        <v>0</v>
      </c>
      <c r="H601" s="4">
        <f>'Raw data'!G520</f>
        <v>0</v>
      </c>
      <c r="I601" s="29" t="e">
        <f>VLOOKUP(G601,제품명!$C$1:$E$114,2,0)</f>
        <v>#N/A</v>
      </c>
      <c r="J601" s="29">
        <f>'Raw data'!K520</f>
        <v>0</v>
      </c>
      <c r="K601" s="31">
        <f>'Raw data'!H520</f>
        <v>0</v>
      </c>
      <c r="L601" s="26">
        <f t="shared" si="20"/>
        <v>0</v>
      </c>
    </row>
    <row r="602" spans="2:12">
      <c r="B602" s="4" t="e">
        <f t="shared" si="19"/>
        <v>#N/A</v>
      </c>
      <c r="C602" s="4">
        <f>'Raw data'!E521</f>
        <v>0</v>
      </c>
      <c r="D602" s="29" t="e">
        <f>VLOOKUP(C602,'점포코드 '!A:B,2,0)</f>
        <v>#N/A</v>
      </c>
      <c r="E602" s="30">
        <f>'Raw data'!P521</f>
        <v>0</v>
      </c>
      <c r="F602" s="29" t="e">
        <f>VLOOKUP(E602,'점포코드 '!A:B,2,0)</f>
        <v>#N/A</v>
      </c>
      <c r="G602" s="46">
        <f>'Raw data'!F521</f>
        <v>0</v>
      </c>
      <c r="H602" s="4">
        <f>'Raw data'!G521</f>
        <v>0</v>
      </c>
      <c r="I602" s="29" t="e">
        <f>VLOOKUP(G602,제품명!$C$1:$E$114,2,0)</f>
        <v>#N/A</v>
      </c>
      <c r="J602" s="29">
        <f>'Raw data'!K521</f>
        <v>0</v>
      </c>
      <c r="K602" s="31">
        <f>'Raw data'!H521</f>
        <v>0</v>
      </c>
      <c r="L602" s="26">
        <f t="shared" si="20"/>
        <v>0</v>
      </c>
    </row>
    <row r="603" spans="2:12">
      <c r="B603" s="4" t="e">
        <f t="shared" si="19"/>
        <v>#N/A</v>
      </c>
      <c r="C603" s="4">
        <f>'Raw data'!E522</f>
        <v>0</v>
      </c>
      <c r="D603" s="29" t="e">
        <f>VLOOKUP(C603,'점포코드 '!A:B,2,0)</f>
        <v>#N/A</v>
      </c>
      <c r="E603" s="30">
        <f>'Raw data'!P522</f>
        <v>0</v>
      </c>
      <c r="F603" s="29" t="e">
        <f>VLOOKUP(E603,'점포코드 '!A:B,2,0)</f>
        <v>#N/A</v>
      </c>
      <c r="G603" s="46">
        <f>'Raw data'!F522</f>
        <v>0</v>
      </c>
      <c r="H603" s="4">
        <f>'Raw data'!G522</f>
        <v>0</v>
      </c>
      <c r="I603" s="29" t="e">
        <f>VLOOKUP(G603,제품명!$C$1:$E$114,2,0)</f>
        <v>#N/A</v>
      </c>
      <c r="J603" s="29">
        <f>'Raw data'!K522</f>
        <v>0</v>
      </c>
      <c r="K603" s="31">
        <f>'Raw data'!H522</f>
        <v>0</v>
      </c>
      <c r="L603" s="26">
        <f t="shared" si="20"/>
        <v>0</v>
      </c>
    </row>
    <row r="604" spans="2:12">
      <c r="B604" s="4" t="e">
        <f t="shared" si="19"/>
        <v>#N/A</v>
      </c>
      <c r="C604" s="4">
        <f>'Raw data'!E523</f>
        <v>0</v>
      </c>
      <c r="D604" s="29" t="e">
        <f>VLOOKUP(C604,'점포코드 '!A:B,2,0)</f>
        <v>#N/A</v>
      </c>
      <c r="E604" s="30">
        <f>'Raw data'!P523</f>
        <v>0</v>
      </c>
      <c r="F604" s="29" t="e">
        <f>VLOOKUP(E604,'점포코드 '!A:B,2,0)</f>
        <v>#N/A</v>
      </c>
      <c r="G604" s="46">
        <f>'Raw data'!F523</f>
        <v>0</v>
      </c>
      <c r="H604" s="4">
        <f>'Raw data'!G523</f>
        <v>0</v>
      </c>
      <c r="I604" s="29" t="e">
        <f>VLOOKUP(G604,제품명!$C$1:$E$114,2,0)</f>
        <v>#N/A</v>
      </c>
      <c r="J604" s="29">
        <f>'Raw data'!K523</f>
        <v>0</v>
      </c>
      <c r="K604" s="31">
        <f>'Raw data'!H523</f>
        <v>0</v>
      </c>
      <c r="L604" s="26">
        <f t="shared" si="20"/>
        <v>0</v>
      </c>
    </row>
    <row r="605" spans="2:12">
      <c r="B605" s="4" t="e">
        <f t="shared" si="19"/>
        <v>#N/A</v>
      </c>
      <c r="C605" s="4">
        <f>'Raw data'!E524</f>
        <v>0</v>
      </c>
      <c r="D605" s="29" t="e">
        <f>VLOOKUP(C605,'점포코드 '!A:B,2,0)</f>
        <v>#N/A</v>
      </c>
      <c r="E605" s="30">
        <f>'Raw data'!P524</f>
        <v>0</v>
      </c>
      <c r="F605" s="29" t="e">
        <f>VLOOKUP(E605,'점포코드 '!A:B,2,0)</f>
        <v>#N/A</v>
      </c>
      <c r="G605" s="46">
        <f>'Raw data'!F524</f>
        <v>0</v>
      </c>
      <c r="H605" s="4">
        <f>'Raw data'!G524</f>
        <v>0</v>
      </c>
      <c r="I605" s="29" t="e">
        <f>VLOOKUP(G605,제품명!$C$1:$E$114,2,0)</f>
        <v>#N/A</v>
      </c>
      <c r="J605" s="29">
        <f>'Raw data'!K524</f>
        <v>0</v>
      </c>
      <c r="K605" s="31">
        <f>'Raw data'!H524</f>
        <v>0</v>
      </c>
      <c r="L605" s="26">
        <f t="shared" si="20"/>
        <v>0</v>
      </c>
    </row>
    <row r="606" spans="2:12">
      <c r="B606" s="4" t="e">
        <f t="shared" si="19"/>
        <v>#N/A</v>
      </c>
      <c r="C606" s="4">
        <f>'Raw data'!E525</f>
        <v>0</v>
      </c>
      <c r="D606" s="29" t="e">
        <f>VLOOKUP(C606,'점포코드 '!A:B,2,0)</f>
        <v>#N/A</v>
      </c>
      <c r="E606" s="30">
        <f>'Raw data'!P525</f>
        <v>0</v>
      </c>
      <c r="F606" s="29" t="e">
        <f>VLOOKUP(E606,'점포코드 '!A:B,2,0)</f>
        <v>#N/A</v>
      </c>
      <c r="G606" s="46">
        <f>'Raw data'!F525</f>
        <v>0</v>
      </c>
      <c r="H606" s="4">
        <f>'Raw data'!G525</f>
        <v>0</v>
      </c>
      <c r="I606" s="29" t="e">
        <f>VLOOKUP(G606,제품명!$C$1:$E$114,2,0)</f>
        <v>#N/A</v>
      </c>
      <c r="J606" s="29">
        <f>'Raw data'!K525</f>
        <v>0</v>
      </c>
      <c r="K606" s="31">
        <f>'Raw data'!H525</f>
        <v>0</v>
      </c>
      <c r="L606" s="26">
        <f t="shared" si="20"/>
        <v>0</v>
      </c>
    </row>
    <row r="607" spans="2:12">
      <c r="B607" s="4" t="e">
        <f t="shared" si="19"/>
        <v>#N/A</v>
      </c>
      <c r="C607" s="4">
        <f>'Raw data'!E526</f>
        <v>0</v>
      </c>
      <c r="D607" s="29" t="e">
        <f>VLOOKUP(C607,'점포코드 '!A:B,2,0)</f>
        <v>#N/A</v>
      </c>
      <c r="E607" s="30">
        <f>'Raw data'!P526</f>
        <v>0</v>
      </c>
      <c r="F607" s="29" t="e">
        <f>VLOOKUP(E607,'점포코드 '!A:B,2,0)</f>
        <v>#N/A</v>
      </c>
      <c r="G607" s="46">
        <f>'Raw data'!F526</f>
        <v>0</v>
      </c>
      <c r="H607" s="4">
        <f>'Raw data'!G526</f>
        <v>0</v>
      </c>
      <c r="I607" s="29" t="e">
        <f>VLOOKUP(G607,제품명!$C$1:$E$114,2,0)</f>
        <v>#N/A</v>
      </c>
      <c r="J607" s="29">
        <f>'Raw data'!K526</f>
        <v>0</v>
      </c>
      <c r="K607" s="31">
        <f>'Raw data'!H526</f>
        <v>0</v>
      </c>
      <c r="L607" s="26">
        <f t="shared" si="20"/>
        <v>0</v>
      </c>
    </row>
    <row r="608" spans="2:12">
      <c r="B608" s="4" t="e">
        <f t="shared" si="19"/>
        <v>#N/A</v>
      </c>
      <c r="C608" s="4">
        <f>'Raw data'!E527</f>
        <v>0</v>
      </c>
      <c r="D608" s="29" t="e">
        <f>VLOOKUP(C608,'점포코드 '!A:B,2,0)</f>
        <v>#N/A</v>
      </c>
      <c r="E608" s="30">
        <f>'Raw data'!P527</f>
        <v>0</v>
      </c>
      <c r="F608" s="29" t="e">
        <f>VLOOKUP(E608,'점포코드 '!A:B,2,0)</f>
        <v>#N/A</v>
      </c>
      <c r="G608" s="46">
        <f>'Raw data'!F527</f>
        <v>0</v>
      </c>
      <c r="H608" s="4">
        <f>'Raw data'!G527</f>
        <v>0</v>
      </c>
      <c r="I608" s="29" t="e">
        <f>VLOOKUP(G608,제품명!$C$1:$E$114,2,0)</f>
        <v>#N/A</v>
      </c>
      <c r="J608" s="29">
        <f>'Raw data'!K527</f>
        <v>0</v>
      </c>
      <c r="K608" s="31">
        <f>'Raw data'!H527</f>
        <v>0</v>
      </c>
      <c r="L608" s="26">
        <f t="shared" si="20"/>
        <v>0</v>
      </c>
    </row>
    <row r="609" spans="2:12">
      <c r="B609" s="4" t="e">
        <f t="shared" si="19"/>
        <v>#N/A</v>
      </c>
      <c r="C609" s="4">
        <f>'Raw data'!E528</f>
        <v>0</v>
      </c>
      <c r="D609" s="29" t="e">
        <f>VLOOKUP(C609,'점포코드 '!A:B,2,0)</f>
        <v>#N/A</v>
      </c>
      <c r="E609" s="30">
        <f>'Raw data'!P528</f>
        <v>0</v>
      </c>
      <c r="F609" s="29" t="e">
        <f>VLOOKUP(E609,'점포코드 '!A:B,2,0)</f>
        <v>#N/A</v>
      </c>
      <c r="G609" s="46">
        <f>'Raw data'!F528</f>
        <v>0</v>
      </c>
      <c r="H609" s="4">
        <f>'Raw data'!G528</f>
        <v>0</v>
      </c>
      <c r="I609" s="29" t="e">
        <f>VLOOKUP(G609,제품명!$C$1:$E$114,2,0)</f>
        <v>#N/A</v>
      </c>
      <c r="J609" s="29">
        <f>'Raw data'!K528</f>
        <v>0</v>
      </c>
      <c r="K609" s="31">
        <f>'Raw data'!H528</f>
        <v>0</v>
      </c>
      <c r="L609" s="26">
        <f t="shared" si="20"/>
        <v>0</v>
      </c>
    </row>
    <row r="610" spans="2:12">
      <c r="B610" s="4" t="e">
        <f t="shared" si="19"/>
        <v>#N/A</v>
      </c>
      <c r="C610" s="4">
        <f>'Raw data'!E529</f>
        <v>0</v>
      </c>
      <c r="D610" s="29" t="e">
        <f>VLOOKUP(C610,'점포코드 '!A:B,2,0)</f>
        <v>#N/A</v>
      </c>
      <c r="E610" s="30">
        <f>'Raw data'!P529</f>
        <v>0</v>
      </c>
      <c r="F610" s="29" t="e">
        <f>VLOOKUP(E610,'점포코드 '!A:B,2,0)</f>
        <v>#N/A</v>
      </c>
      <c r="G610" s="46">
        <f>'Raw data'!F529</f>
        <v>0</v>
      </c>
      <c r="H610" s="4">
        <f>'Raw data'!G529</f>
        <v>0</v>
      </c>
      <c r="I610" s="29" t="e">
        <f>VLOOKUP(G610,제품명!$C$1:$E$114,2,0)</f>
        <v>#N/A</v>
      </c>
      <c r="J610" s="29">
        <f>'Raw data'!K529</f>
        <v>0</v>
      </c>
      <c r="K610" s="31">
        <f>'Raw data'!H529</f>
        <v>0</v>
      </c>
      <c r="L610" s="26">
        <f t="shared" si="20"/>
        <v>0</v>
      </c>
    </row>
    <row r="611" spans="2:12">
      <c r="B611" s="4" t="e">
        <f t="shared" si="19"/>
        <v>#N/A</v>
      </c>
      <c r="C611" s="4">
        <f>'Raw data'!E530</f>
        <v>0</v>
      </c>
      <c r="D611" s="29" t="e">
        <f>VLOOKUP(C611,'점포코드 '!A:B,2,0)</f>
        <v>#N/A</v>
      </c>
      <c r="E611" s="30">
        <f>'Raw data'!P530</f>
        <v>0</v>
      </c>
      <c r="F611" s="29" t="e">
        <f>VLOOKUP(E611,'점포코드 '!A:B,2,0)</f>
        <v>#N/A</v>
      </c>
      <c r="G611" s="46">
        <f>'Raw data'!F530</f>
        <v>0</v>
      </c>
      <c r="H611" s="4">
        <f>'Raw data'!G530</f>
        <v>0</v>
      </c>
      <c r="I611" s="29" t="e">
        <f>VLOOKUP(G611,제품명!$C$1:$E$114,2,0)</f>
        <v>#N/A</v>
      </c>
      <c r="J611" s="29">
        <f>'Raw data'!K530</f>
        <v>0</v>
      </c>
      <c r="K611" s="31">
        <f>'Raw data'!H530</f>
        <v>0</v>
      </c>
      <c r="L611" s="26">
        <f t="shared" si="20"/>
        <v>0</v>
      </c>
    </row>
    <row r="612" spans="2:12">
      <c r="B612" s="4" t="e">
        <f t="shared" si="19"/>
        <v>#N/A</v>
      </c>
      <c r="C612" s="4">
        <f>'Raw data'!E531</f>
        <v>0</v>
      </c>
      <c r="D612" s="29" t="e">
        <f>VLOOKUP(C612,'점포코드 '!A:B,2,0)</f>
        <v>#N/A</v>
      </c>
      <c r="E612" s="30">
        <f>'Raw data'!P531</f>
        <v>0</v>
      </c>
      <c r="F612" s="29" t="e">
        <f>VLOOKUP(E612,'점포코드 '!A:B,2,0)</f>
        <v>#N/A</v>
      </c>
      <c r="G612" s="46">
        <f>'Raw data'!F531</f>
        <v>0</v>
      </c>
      <c r="H612" s="4">
        <f>'Raw data'!G531</f>
        <v>0</v>
      </c>
      <c r="I612" s="29" t="e">
        <f>VLOOKUP(G612,제품명!$C$1:$E$114,2,0)</f>
        <v>#N/A</v>
      </c>
      <c r="J612" s="29">
        <f>'Raw data'!K531</f>
        <v>0</v>
      </c>
      <c r="K612" s="31">
        <f>'Raw data'!H531</f>
        <v>0</v>
      </c>
      <c r="L612" s="26">
        <f t="shared" si="20"/>
        <v>0</v>
      </c>
    </row>
    <row r="613" spans="2:12">
      <c r="B613" s="4" t="e">
        <f t="shared" si="19"/>
        <v>#N/A</v>
      </c>
      <c r="C613" s="4">
        <f>'Raw data'!E532</f>
        <v>0</v>
      </c>
      <c r="D613" s="29" t="e">
        <f>VLOOKUP(C613,'점포코드 '!A:B,2,0)</f>
        <v>#N/A</v>
      </c>
      <c r="E613" s="30">
        <f>'Raw data'!P532</f>
        <v>0</v>
      </c>
      <c r="F613" s="29" t="e">
        <f>VLOOKUP(E613,'점포코드 '!A:B,2,0)</f>
        <v>#N/A</v>
      </c>
      <c r="G613" s="46">
        <f>'Raw data'!F532</f>
        <v>0</v>
      </c>
      <c r="H613" s="4">
        <f>'Raw data'!G532</f>
        <v>0</v>
      </c>
      <c r="I613" s="29" t="e">
        <f>VLOOKUP(G613,제품명!$C$1:$E$114,2,0)</f>
        <v>#N/A</v>
      </c>
      <c r="J613" s="29">
        <f>'Raw data'!K532</f>
        <v>0</v>
      </c>
      <c r="K613" s="31">
        <f>'Raw data'!H532</f>
        <v>0</v>
      </c>
      <c r="L613" s="26">
        <f t="shared" si="20"/>
        <v>0</v>
      </c>
    </row>
    <row r="614" spans="2:12">
      <c r="B614" s="4" t="e">
        <f t="shared" si="19"/>
        <v>#N/A</v>
      </c>
      <c r="C614" s="4">
        <f>'Raw data'!E533</f>
        <v>0</v>
      </c>
      <c r="D614" s="29" t="e">
        <f>VLOOKUP(C614,'점포코드 '!A:B,2,0)</f>
        <v>#N/A</v>
      </c>
      <c r="E614" s="30">
        <f>'Raw data'!P533</f>
        <v>0</v>
      </c>
      <c r="F614" s="29" t="e">
        <f>VLOOKUP(E614,'점포코드 '!A:B,2,0)</f>
        <v>#N/A</v>
      </c>
      <c r="G614" s="46">
        <f>'Raw data'!F533</f>
        <v>0</v>
      </c>
      <c r="H614" s="4">
        <f>'Raw data'!G533</f>
        <v>0</v>
      </c>
      <c r="I614" s="29" t="e">
        <f>VLOOKUP(G614,제품명!$C$1:$E$114,2,0)</f>
        <v>#N/A</v>
      </c>
      <c r="J614" s="29">
        <f>'Raw data'!K533</f>
        <v>0</v>
      </c>
      <c r="K614" s="31">
        <f>'Raw data'!H533</f>
        <v>0</v>
      </c>
      <c r="L614" s="26">
        <f t="shared" si="20"/>
        <v>0</v>
      </c>
    </row>
    <row r="615" spans="2:12">
      <c r="B615" s="4" t="e">
        <f t="shared" si="19"/>
        <v>#N/A</v>
      </c>
      <c r="C615" s="4">
        <f>'Raw data'!E534</f>
        <v>0</v>
      </c>
      <c r="D615" s="29" t="e">
        <f>VLOOKUP(C615,'점포코드 '!A:B,2,0)</f>
        <v>#N/A</v>
      </c>
      <c r="E615" s="30">
        <f>'Raw data'!P534</f>
        <v>0</v>
      </c>
      <c r="F615" s="29" t="e">
        <f>VLOOKUP(E615,'점포코드 '!A:B,2,0)</f>
        <v>#N/A</v>
      </c>
      <c r="G615" s="46">
        <f>'Raw data'!F534</f>
        <v>0</v>
      </c>
      <c r="H615" s="4">
        <f>'Raw data'!G534</f>
        <v>0</v>
      </c>
      <c r="I615" s="29" t="e">
        <f>VLOOKUP(G615,제품명!$C$1:$E$114,2,0)</f>
        <v>#N/A</v>
      </c>
      <c r="J615" s="29">
        <f>'Raw data'!K534</f>
        <v>0</v>
      </c>
      <c r="K615" s="31">
        <f>'Raw data'!H534</f>
        <v>0</v>
      </c>
      <c r="L615" s="26">
        <f t="shared" si="20"/>
        <v>0</v>
      </c>
    </row>
    <row r="616" spans="2:12">
      <c r="B616" s="4" t="e">
        <f t="shared" si="19"/>
        <v>#N/A</v>
      </c>
      <c r="C616" s="4">
        <f>'Raw data'!E535</f>
        <v>0</v>
      </c>
      <c r="D616" s="29" t="e">
        <f>VLOOKUP(C616,'점포코드 '!A:B,2,0)</f>
        <v>#N/A</v>
      </c>
      <c r="E616" s="30">
        <f>'Raw data'!P535</f>
        <v>0</v>
      </c>
      <c r="F616" s="29" t="e">
        <f>VLOOKUP(E616,'점포코드 '!A:B,2,0)</f>
        <v>#N/A</v>
      </c>
      <c r="G616" s="46">
        <f>'Raw data'!F535</f>
        <v>0</v>
      </c>
      <c r="H616" s="4">
        <f>'Raw data'!G535</f>
        <v>0</v>
      </c>
      <c r="I616" s="29" t="e">
        <f>VLOOKUP(G616,제품명!$C$1:$E$114,2,0)</f>
        <v>#N/A</v>
      </c>
      <c r="J616" s="29">
        <f>'Raw data'!K535</f>
        <v>0</v>
      </c>
      <c r="K616" s="31">
        <f>'Raw data'!H535</f>
        <v>0</v>
      </c>
      <c r="L616" s="26">
        <f t="shared" si="20"/>
        <v>0</v>
      </c>
    </row>
    <row r="617" spans="2:12">
      <c r="B617" s="4" t="e">
        <f t="shared" si="19"/>
        <v>#N/A</v>
      </c>
      <c r="C617" s="4">
        <f>'Raw data'!E536</f>
        <v>0</v>
      </c>
      <c r="D617" s="29" t="e">
        <f>VLOOKUP(C617,'점포코드 '!A:B,2,0)</f>
        <v>#N/A</v>
      </c>
      <c r="E617" s="30">
        <f>'Raw data'!P536</f>
        <v>0</v>
      </c>
      <c r="F617" s="29" t="e">
        <f>VLOOKUP(E617,'점포코드 '!A:B,2,0)</f>
        <v>#N/A</v>
      </c>
      <c r="G617" s="46">
        <f>'Raw data'!F536</f>
        <v>0</v>
      </c>
      <c r="H617" s="4">
        <f>'Raw data'!G536</f>
        <v>0</v>
      </c>
      <c r="I617" s="29" t="e">
        <f>VLOOKUP(G617,제품명!$C$1:$E$114,2,0)</f>
        <v>#N/A</v>
      </c>
      <c r="J617" s="29">
        <f>'Raw data'!K536</f>
        <v>0</v>
      </c>
      <c r="K617" s="31">
        <f>'Raw data'!H536</f>
        <v>0</v>
      </c>
      <c r="L617" s="26">
        <f t="shared" si="20"/>
        <v>0</v>
      </c>
    </row>
    <row r="618" spans="2:12">
      <c r="B618" s="4" t="e">
        <f t="shared" si="19"/>
        <v>#N/A</v>
      </c>
      <c r="C618" s="4">
        <f>'Raw data'!E537</f>
        <v>0</v>
      </c>
      <c r="D618" s="29" t="e">
        <f>VLOOKUP(C618,'점포코드 '!A:B,2,0)</f>
        <v>#N/A</v>
      </c>
      <c r="E618" s="30">
        <f>'Raw data'!P537</f>
        <v>0</v>
      </c>
      <c r="F618" s="29" t="e">
        <f>VLOOKUP(E618,'점포코드 '!A:B,2,0)</f>
        <v>#N/A</v>
      </c>
      <c r="G618" s="46">
        <f>'Raw data'!F537</f>
        <v>0</v>
      </c>
      <c r="H618" s="4">
        <f>'Raw data'!G537</f>
        <v>0</v>
      </c>
      <c r="I618" s="29" t="e">
        <f>VLOOKUP(G618,제품명!$C$1:$E$114,2,0)</f>
        <v>#N/A</v>
      </c>
      <c r="J618" s="29">
        <f>'Raw data'!K537</f>
        <v>0</v>
      </c>
      <c r="K618" s="31">
        <f>'Raw data'!H537</f>
        <v>0</v>
      </c>
      <c r="L618" s="26">
        <f t="shared" si="20"/>
        <v>0</v>
      </c>
    </row>
    <row r="619" spans="2:12">
      <c r="B619" s="4" t="e">
        <f t="shared" si="19"/>
        <v>#N/A</v>
      </c>
      <c r="C619" s="4">
        <f>'Raw data'!E538</f>
        <v>0</v>
      </c>
      <c r="D619" s="29" t="e">
        <f>VLOOKUP(C619,'점포코드 '!A:B,2,0)</f>
        <v>#N/A</v>
      </c>
      <c r="E619" s="30">
        <f>'Raw data'!P538</f>
        <v>0</v>
      </c>
      <c r="F619" s="29" t="e">
        <f>VLOOKUP(E619,'점포코드 '!A:B,2,0)</f>
        <v>#N/A</v>
      </c>
      <c r="G619" s="46">
        <f>'Raw data'!F538</f>
        <v>0</v>
      </c>
      <c r="H619" s="4">
        <f>'Raw data'!G538</f>
        <v>0</v>
      </c>
      <c r="I619" s="29" t="e">
        <f>VLOOKUP(G619,제품명!$C$1:$E$114,2,0)</f>
        <v>#N/A</v>
      </c>
      <c r="J619" s="29">
        <f>'Raw data'!K538</f>
        <v>0</v>
      </c>
      <c r="K619" s="31">
        <f>'Raw data'!H538</f>
        <v>0</v>
      </c>
      <c r="L619" s="26">
        <f t="shared" si="20"/>
        <v>0</v>
      </c>
    </row>
    <row r="620" spans="2:12">
      <c r="B620" s="4" t="e">
        <f t="shared" si="19"/>
        <v>#N/A</v>
      </c>
      <c r="C620" s="4">
        <f>'Raw data'!E539</f>
        <v>0</v>
      </c>
      <c r="D620" s="29" t="e">
        <f>VLOOKUP(C620,'점포코드 '!A:B,2,0)</f>
        <v>#N/A</v>
      </c>
      <c r="E620" s="30">
        <f>'Raw data'!P539</f>
        <v>0</v>
      </c>
      <c r="F620" s="29" t="e">
        <f>VLOOKUP(E620,'점포코드 '!A:B,2,0)</f>
        <v>#N/A</v>
      </c>
      <c r="G620" s="46">
        <f>'Raw data'!F539</f>
        <v>0</v>
      </c>
      <c r="H620" s="4">
        <f>'Raw data'!G539</f>
        <v>0</v>
      </c>
      <c r="I620" s="29" t="e">
        <f>VLOOKUP(G620,제품명!$C$1:$E$114,2,0)</f>
        <v>#N/A</v>
      </c>
      <c r="J620" s="29">
        <f>'Raw data'!K539</f>
        <v>0</v>
      </c>
      <c r="K620" s="31">
        <f>'Raw data'!H539</f>
        <v>0</v>
      </c>
      <c r="L620" s="26">
        <f t="shared" si="20"/>
        <v>0</v>
      </c>
    </row>
    <row r="621" spans="2:12">
      <c r="B621" s="4" t="e">
        <f t="shared" si="19"/>
        <v>#N/A</v>
      </c>
      <c r="C621" s="4">
        <f>'Raw data'!E540</f>
        <v>0</v>
      </c>
      <c r="D621" s="29" t="e">
        <f>VLOOKUP(C621,'점포코드 '!A:B,2,0)</f>
        <v>#N/A</v>
      </c>
      <c r="E621" s="30">
        <f>'Raw data'!P540</f>
        <v>0</v>
      </c>
      <c r="F621" s="29" t="e">
        <f>VLOOKUP(E621,'점포코드 '!A:B,2,0)</f>
        <v>#N/A</v>
      </c>
      <c r="G621" s="46">
        <f>'Raw data'!F540</f>
        <v>0</v>
      </c>
      <c r="H621" s="4">
        <f>'Raw data'!G540</f>
        <v>0</v>
      </c>
      <c r="I621" s="29" t="e">
        <f>VLOOKUP(G621,제품명!$C$1:$E$114,2,0)</f>
        <v>#N/A</v>
      </c>
      <c r="J621" s="29">
        <f>'Raw data'!K540</f>
        <v>0</v>
      </c>
      <c r="K621" s="31">
        <f>'Raw data'!H540</f>
        <v>0</v>
      </c>
      <c r="L621" s="26">
        <f t="shared" si="20"/>
        <v>0</v>
      </c>
    </row>
    <row r="622" spans="2:12">
      <c r="B622" s="4" t="e">
        <f t="shared" si="19"/>
        <v>#N/A</v>
      </c>
      <c r="C622" s="4">
        <f>'Raw data'!E541</f>
        <v>0</v>
      </c>
      <c r="D622" s="29" t="e">
        <f>VLOOKUP(C622,'점포코드 '!A:B,2,0)</f>
        <v>#N/A</v>
      </c>
      <c r="E622" s="30">
        <f>'Raw data'!P541</f>
        <v>0</v>
      </c>
      <c r="F622" s="29" t="e">
        <f>VLOOKUP(E622,'점포코드 '!A:B,2,0)</f>
        <v>#N/A</v>
      </c>
      <c r="G622" s="46">
        <f>'Raw data'!F541</f>
        <v>0</v>
      </c>
      <c r="H622" s="4">
        <f>'Raw data'!G541</f>
        <v>0</v>
      </c>
      <c r="I622" s="29" t="e">
        <f>VLOOKUP(G622,제품명!$C$1:$E$114,2,0)</f>
        <v>#N/A</v>
      </c>
      <c r="J622" s="29">
        <f>'Raw data'!K541</f>
        <v>0</v>
      </c>
      <c r="K622" s="31">
        <f>'Raw data'!H541</f>
        <v>0</v>
      </c>
      <c r="L622" s="26">
        <f t="shared" si="20"/>
        <v>0</v>
      </c>
    </row>
    <row r="623" spans="2:12">
      <c r="B623" s="4" t="e">
        <f t="shared" si="19"/>
        <v>#N/A</v>
      </c>
      <c r="C623" s="4">
        <f>'Raw data'!E542</f>
        <v>0</v>
      </c>
      <c r="D623" s="29" t="e">
        <f>VLOOKUP(C623,'점포코드 '!A:B,2,0)</f>
        <v>#N/A</v>
      </c>
      <c r="E623" s="30">
        <f>'Raw data'!P542</f>
        <v>0</v>
      </c>
      <c r="F623" s="29" t="e">
        <f>VLOOKUP(E623,'점포코드 '!A:B,2,0)</f>
        <v>#N/A</v>
      </c>
      <c r="G623" s="46">
        <f>'Raw data'!F542</f>
        <v>0</v>
      </c>
      <c r="H623" s="4">
        <f>'Raw data'!G542</f>
        <v>0</v>
      </c>
      <c r="I623" s="29" t="e">
        <f>VLOOKUP(G623,제품명!$C$1:$E$114,2,0)</f>
        <v>#N/A</v>
      </c>
      <c r="J623" s="29">
        <f>'Raw data'!K542</f>
        <v>0</v>
      </c>
      <c r="K623" s="31">
        <f>'Raw data'!H542</f>
        <v>0</v>
      </c>
      <c r="L623" s="26">
        <f t="shared" si="20"/>
        <v>0</v>
      </c>
    </row>
    <row r="624" spans="2:12">
      <c r="B624" s="4" t="e">
        <f t="shared" si="19"/>
        <v>#N/A</v>
      </c>
      <c r="C624" s="4">
        <f>'Raw data'!E543</f>
        <v>0</v>
      </c>
      <c r="D624" s="29" t="e">
        <f>VLOOKUP(C624,'점포코드 '!A:B,2,0)</f>
        <v>#N/A</v>
      </c>
      <c r="E624" s="30">
        <f>'Raw data'!P543</f>
        <v>0</v>
      </c>
      <c r="F624" s="29" t="e">
        <f>VLOOKUP(E624,'점포코드 '!A:B,2,0)</f>
        <v>#N/A</v>
      </c>
      <c r="G624" s="46">
        <f>'Raw data'!F543</f>
        <v>0</v>
      </c>
      <c r="H624" s="4">
        <f>'Raw data'!G543</f>
        <v>0</v>
      </c>
      <c r="I624" s="29" t="e">
        <f>VLOOKUP(G624,제품명!$C$1:$E$114,2,0)</f>
        <v>#N/A</v>
      </c>
      <c r="J624" s="29">
        <f>'Raw data'!K543</f>
        <v>0</v>
      </c>
      <c r="K624" s="31">
        <f>'Raw data'!H543</f>
        <v>0</v>
      </c>
      <c r="L624" s="26">
        <f t="shared" si="20"/>
        <v>0</v>
      </c>
    </row>
    <row r="625" spans="2:12">
      <c r="B625" s="4" t="e">
        <f t="shared" si="19"/>
        <v>#N/A</v>
      </c>
      <c r="C625" s="4">
        <f>'Raw data'!E544</f>
        <v>0</v>
      </c>
      <c r="D625" s="29" t="e">
        <f>VLOOKUP(C625,'점포코드 '!A:B,2,0)</f>
        <v>#N/A</v>
      </c>
      <c r="E625" s="30">
        <f>'Raw data'!P544</f>
        <v>0</v>
      </c>
      <c r="F625" s="29" t="e">
        <f>VLOOKUP(E625,'점포코드 '!A:B,2,0)</f>
        <v>#N/A</v>
      </c>
      <c r="G625" s="46">
        <f>'Raw data'!F544</f>
        <v>0</v>
      </c>
      <c r="H625" s="4">
        <f>'Raw data'!G544</f>
        <v>0</v>
      </c>
      <c r="I625" s="29" t="e">
        <f>VLOOKUP(G625,제품명!$C$1:$E$114,2,0)</f>
        <v>#N/A</v>
      </c>
      <c r="J625" s="29">
        <f>'Raw data'!K544</f>
        <v>0</v>
      </c>
      <c r="K625" s="31">
        <f>'Raw data'!H544</f>
        <v>0</v>
      </c>
      <c r="L625" s="26">
        <f t="shared" si="20"/>
        <v>0</v>
      </c>
    </row>
    <row r="626" spans="2:12">
      <c r="B626" s="4" t="e">
        <f t="shared" si="19"/>
        <v>#N/A</v>
      </c>
      <c r="C626" s="4">
        <f>'Raw data'!E545</f>
        <v>0</v>
      </c>
      <c r="D626" s="29" t="e">
        <f>VLOOKUP(C626,'점포코드 '!A:B,2,0)</f>
        <v>#N/A</v>
      </c>
      <c r="E626" s="30">
        <f>'Raw data'!P545</f>
        <v>0</v>
      </c>
      <c r="F626" s="29" t="e">
        <f>VLOOKUP(E626,'점포코드 '!A:B,2,0)</f>
        <v>#N/A</v>
      </c>
      <c r="G626" s="46">
        <f>'Raw data'!F545</f>
        <v>0</v>
      </c>
      <c r="H626" s="4">
        <f>'Raw data'!G545</f>
        <v>0</v>
      </c>
      <c r="I626" s="29" t="e">
        <f>VLOOKUP(G626,제품명!$C$1:$E$114,2,0)</f>
        <v>#N/A</v>
      </c>
      <c r="J626" s="29">
        <f>'Raw data'!K545</f>
        <v>0</v>
      </c>
      <c r="K626" s="31">
        <f>'Raw data'!H545</f>
        <v>0</v>
      </c>
      <c r="L626" s="26">
        <f t="shared" si="20"/>
        <v>0</v>
      </c>
    </row>
    <row r="627" spans="2:12">
      <c r="B627" s="4" t="e">
        <f t="shared" si="19"/>
        <v>#N/A</v>
      </c>
      <c r="C627" s="4">
        <f>'Raw data'!E546</f>
        <v>0</v>
      </c>
      <c r="D627" s="29" t="e">
        <f>VLOOKUP(C627,'점포코드 '!A:B,2,0)</f>
        <v>#N/A</v>
      </c>
      <c r="E627" s="30">
        <f>'Raw data'!P546</f>
        <v>0</v>
      </c>
      <c r="F627" s="29" t="e">
        <f>VLOOKUP(E627,'점포코드 '!A:B,2,0)</f>
        <v>#N/A</v>
      </c>
      <c r="G627" s="46">
        <f>'Raw data'!F546</f>
        <v>0</v>
      </c>
      <c r="H627" s="4">
        <f>'Raw data'!G546</f>
        <v>0</v>
      </c>
      <c r="I627" s="29" t="e">
        <f>VLOOKUP(G627,제품명!$C$1:$E$114,2,0)</f>
        <v>#N/A</v>
      </c>
      <c r="J627" s="29">
        <f>'Raw data'!K546</f>
        <v>0</v>
      </c>
      <c r="K627" s="31">
        <f>'Raw data'!H546</f>
        <v>0</v>
      </c>
      <c r="L627" s="26">
        <f t="shared" si="20"/>
        <v>0</v>
      </c>
    </row>
    <row r="628" spans="2:12">
      <c r="B628" s="4" t="e">
        <f t="shared" si="19"/>
        <v>#N/A</v>
      </c>
      <c r="C628" s="4">
        <f>'Raw data'!E547</f>
        <v>0</v>
      </c>
      <c r="D628" s="29" t="e">
        <f>VLOOKUP(C628,'점포코드 '!A:B,2,0)</f>
        <v>#N/A</v>
      </c>
      <c r="E628" s="30">
        <f>'Raw data'!P547</f>
        <v>0</v>
      </c>
      <c r="F628" s="29" t="e">
        <f>VLOOKUP(E628,'점포코드 '!A:B,2,0)</f>
        <v>#N/A</v>
      </c>
      <c r="G628" s="46">
        <f>'Raw data'!F547</f>
        <v>0</v>
      </c>
      <c r="H628" s="4">
        <f>'Raw data'!G547</f>
        <v>0</v>
      </c>
      <c r="I628" s="29" t="e">
        <f>VLOOKUP(G628,제품명!$C$1:$E$114,2,0)</f>
        <v>#N/A</v>
      </c>
      <c r="J628" s="29">
        <f>'Raw data'!K547</f>
        <v>0</v>
      </c>
      <c r="K628" s="31">
        <f>'Raw data'!H547</f>
        <v>0</v>
      </c>
      <c r="L628" s="26">
        <f t="shared" si="20"/>
        <v>0</v>
      </c>
    </row>
    <row r="629" spans="2:12">
      <c r="B629" s="4" t="e">
        <f t="shared" si="19"/>
        <v>#N/A</v>
      </c>
      <c r="C629" s="4">
        <f>'Raw data'!E548</f>
        <v>0</v>
      </c>
      <c r="D629" s="29" t="e">
        <f>VLOOKUP(C629,'점포코드 '!A:B,2,0)</f>
        <v>#N/A</v>
      </c>
      <c r="E629" s="30">
        <f>'Raw data'!P548</f>
        <v>0</v>
      </c>
      <c r="F629" s="29" t="e">
        <f>VLOOKUP(E629,'점포코드 '!A:B,2,0)</f>
        <v>#N/A</v>
      </c>
      <c r="G629" s="46">
        <f>'Raw data'!F548</f>
        <v>0</v>
      </c>
      <c r="H629" s="4">
        <f>'Raw data'!G548</f>
        <v>0</v>
      </c>
      <c r="I629" s="29" t="e">
        <f>VLOOKUP(G629,제품명!$C$1:$E$114,2,0)</f>
        <v>#N/A</v>
      </c>
      <c r="J629" s="29">
        <f>'Raw data'!K548</f>
        <v>0</v>
      </c>
      <c r="K629" s="31">
        <f>'Raw data'!H548</f>
        <v>0</v>
      </c>
      <c r="L629" s="26">
        <f t="shared" si="20"/>
        <v>0</v>
      </c>
    </row>
    <row r="630" spans="2:12">
      <c r="B630" s="4" t="e">
        <f t="shared" si="19"/>
        <v>#N/A</v>
      </c>
      <c r="C630" s="4">
        <f>'Raw data'!E549</f>
        <v>0</v>
      </c>
      <c r="D630" s="29" t="e">
        <f>VLOOKUP(C630,'점포코드 '!A:B,2,0)</f>
        <v>#N/A</v>
      </c>
      <c r="E630" s="30">
        <f>'Raw data'!P549</f>
        <v>0</v>
      </c>
      <c r="F630" s="29" t="e">
        <f>VLOOKUP(E630,'점포코드 '!A:B,2,0)</f>
        <v>#N/A</v>
      </c>
      <c r="G630" s="46">
        <f>'Raw data'!F549</f>
        <v>0</v>
      </c>
      <c r="H630" s="4">
        <f>'Raw data'!G549</f>
        <v>0</v>
      </c>
      <c r="I630" s="29" t="e">
        <f>VLOOKUP(G630,제품명!$C$1:$E$114,2,0)</f>
        <v>#N/A</v>
      </c>
      <c r="J630" s="29">
        <f>'Raw data'!K549</f>
        <v>0</v>
      </c>
      <c r="K630" s="31">
        <f>'Raw data'!H549</f>
        <v>0</v>
      </c>
      <c r="L630" s="26">
        <f t="shared" si="20"/>
        <v>0</v>
      </c>
    </row>
    <row r="631" spans="2:12">
      <c r="B631" s="4" t="e">
        <f t="shared" si="19"/>
        <v>#N/A</v>
      </c>
      <c r="C631" s="4">
        <f>'Raw data'!E550</f>
        <v>0</v>
      </c>
      <c r="D631" s="29" t="e">
        <f>VLOOKUP(C631,'점포코드 '!A:B,2,0)</f>
        <v>#N/A</v>
      </c>
      <c r="E631" s="30">
        <f>'Raw data'!P550</f>
        <v>0</v>
      </c>
      <c r="F631" s="29" t="e">
        <f>VLOOKUP(E631,'점포코드 '!A:B,2,0)</f>
        <v>#N/A</v>
      </c>
      <c r="G631" s="46">
        <f>'Raw data'!F550</f>
        <v>0</v>
      </c>
      <c r="H631" s="4">
        <f>'Raw data'!G550</f>
        <v>0</v>
      </c>
      <c r="I631" s="29" t="e">
        <f>VLOOKUP(G631,제품명!$C$1:$E$114,2,0)</f>
        <v>#N/A</v>
      </c>
      <c r="J631" s="29">
        <f>'Raw data'!K550</f>
        <v>0</v>
      </c>
      <c r="K631" s="31">
        <f>'Raw data'!H550</f>
        <v>0</v>
      </c>
      <c r="L631" s="26">
        <f t="shared" si="20"/>
        <v>0</v>
      </c>
    </row>
    <row r="632" spans="2:12">
      <c r="B632" s="4" t="e">
        <f t="shared" si="19"/>
        <v>#N/A</v>
      </c>
      <c r="C632" s="4">
        <f>'Raw data'!E551</f>
        <v>0</v>
      </c>
      <c r="D632" s="29" t="e">
        <f>VLOOKUP(C632,'점포코드 '!A:B,2,0)</f>
        <v>#N/A</v>
      </c>
      <c r="E632" s="30">
        <f>'Raw data'!P551</f>
        <v>0</v>
      </c>
      <c r="F632" s="29" t="e">
        <f>VLOOKUP(E632,'점포코드 '!A:B,2,0)</f>
        <v>#N/A</v>
      </c>
      <c r="G632" s="46">
        <f>'Raw data'!F551</f>
        <v>0</v>
      </c>
      <c r="H632" s="4">
        <f>'Raw data'!G551</f>
        <v>0</v>
      </c>
      <c r="I632" s="29" t="e">
        <f>VLOOKUP(G632,제품명!$C$1:$E$114,2,0)</f>
        <v>#N/A</v>
      </c>
      <c r="J632" s="29">
        <f>'Raw data'!K551</f>
        <v>0</v>
      </c>
      <c r="K632" s="31">
        <f>'Raw data'!H551</f>
        <v>0</v>
      </c>
      <c r="L632" s="26">
        <f t="shared" si="20"/>
        <v>0</v>
      </c>
    </row>
    <row r="633" spans="2:12">
      <c r="B633" s="4" t="e">
        <f t="shared" si="19"/>
        <v>#N/A</v>
      </c>
      <c r="C633" s="4">
        <f>'Raw data'!E552</f>
        <v>0</v>
      </c>
      <c r="D633" s="29" t="e">
        <f>VLOOKUP(C633,'점포코드 '!A:B,2,0)</f>
        <v>#N/A</v>
      </c>
      <c r="E633" s="30">
        <f>'Raw data'!P552</f>
        <v>0</v>
      </c>
      <c r="F633" s="29" t="e">
        <f>VLOOKUP(E633,'점포코드 '!A:B,2,0)</f>
        <v>#N/A</v>
      </c>
      <c r="G633" s="46">
        <f>'Raw data'!F552</f>
        <v>0</v>
      </c>
      <c r="H633" s="4">
        <f>'Raw data'!G552</f>
        <v>0</v>
      </c>
      <c r="I633" s="29" t="e">
        <f>VLOOKUP(G633,제품명!$C$1:$E$114,2,0)</f>
        <v>#N/A</v>
      </c>
      <c r="J633" s="29">
        <f>'Raw data'!K552</f>
        <v>0</v>
      </c>
      <c r="K633" s="31">
        <f>'Raw data'!H552</f>
        <v>0</v>
      </c>
      <c r="L633" s="26">
        <f t="shared" si="20"/>
        <v>0</v>
      </c>
    </row>
    <row r="634" spans="2:12">
      <c r="B634" s="4" t="e">
        <f t="shared" si="19"/>
        <v>#N/A</v>
      </c>
      <c r="C634" s="4">
        <f>'Raw data'!E553</f>
        <v>0</v>
      </c>
      <c r="D634" s="29" t="e">
        <f>VLOOKUP(C634,'점포코드 '!A:B,2,0)</f>
        <v>#N/A</v>
      </c>
      <c r="E634" s="30">
        <f>'Raw data'!P553</f>
        <v>0</v>
      </c>
      <c r="F634" s="29" t="e">
        <f>VLOOKUP(E634,'점포코드 '!A:B,2,0)</f>
        <v>#N/A</v>
      </c>
      <c r="G634" s="46">
        <f>'Raw data'!F553</f>
        <v>0</v>
      </c>
      <c r="H634" s="4">
        <f>'Raw data'!G553</f>
        <v>0</v>
      </c>
      <c r="I634" s="29" t="e">
        <f>VLOOKUP(G634,제품명!$C$1:$E$114,2,0)</f>
        <v>#N/A</v>
      </c>
      <c r="J634" s="29">
        <f>'Raw data'!K553</f>
        <v>0</v>
      </c>
      <c r="K634" s="31">
        <f>'Raw data'!H553</f>
        <v>0</v>
      </c>
      <c r="L634" s="26">
        <f t="shared" si="20"/>
        <v>0</v>
      </c>
    </row>
    <row r="635" spans="2:12">
      <c r="B635" s="4" t="e">
        <f t="shared" si="19"/>
        <v>#N/A</v>
      </c>
      <c r="C635" s="4">
        <f>'Raw data'!E554</f>
        <v>0</v>
      </c>
      <c r="D635" s="29" t="e">
        <f>VLOOKUP(C635,'점포코드 '!A:B,2,0)</f>
        <v>#N/A</v>
      </c>
      <c r="E635" s="30">
        <f>'Raw data'!P554</f>
        <v>0</v>
      </c>
      <c r="F635" s="29" t="e">
        <f>VLOOKUP(E635,'점포코드 '!A:B,2,0)</f>
        <v>#N/A</v>
      </c>
      <c r="G635" s="46">
        <f>'Raw data'!F554</f>
        <v>0</v>
      </c>
      <c r="H635" s="4">
        <f>'Raw data'!G554</f>
        <v>0</v>
      </c>
      <c r="I635" s="29" t="e">
        <f>VLOOKUP(G635,제품명!$C$1:$E$114,2,0)</f>
        <v>#N/A</v>
      </c>
      <c r="J635" s="29">
        <f>'Raw data'!K554</f>
        <v>0</v>
      </c>
      <c r="K635" s="31">
        <f>'Raw data'!H554</f>
        <v>0</v>
      </c>
      <c r="L635" s="26">
        <f t="shared" si="20"/>
        <v>0</v>
      </c>
    </row>
    <row r="636" spans="2:12">
      <c r="B636" s="4" t="e">
        <f t="shared" si="19"/>
        <v>#N/A</v>
      </c>
      <c r="C636" s="4">
        <f>'Raw data'!E555</f>
        <v>0</v>
      </c>
      <c r="D636" s="29" t="e">
        <f>VLOOKUP(C636,'점포코드 '!A:B,2,0)</f>
        <v>#N/A</v>
      </c>
      <c r="E636" s="30">
        <f>'Raw data'!P555</f>
        <v>0</v>
      </c>
      <c r="F636" s="29" t="e">
        <f>VLOOKUP(E636,'점포코드 '!A:B,2,0)</f>
        <v>#N/A</v>
      </c>
      <c r="G636" s="46">
        <f>'Raw data'!F555</f>
        <v>0</v>
      </c>
      <c r="H636" s="4">
        <f>'Raw data'!G555</f>
        <v>0</v>
      </c>
      <c r="I636" s="29" t="e">
        <f>VLOOKUP(G636,제품명!$C$1:$E$114,2,0)</f>
        <v>#N/A</v>
      </c>
      <c r="J636" s="29">
        <f>'Raw data'!K555</f>
        <v>0</v>
      </c>
      <c r="K636" s="31">
        <f>'Raw data'!H555</f>
        <v>0</v>
      </c>
      <c r="L636" s="26">
        <f t="shared" si="20"/>
        <v>0</v>
      </c>
    </row>
    <row r="637" spans="2:12">
      <c r="B637" s="4" t="e">
        <f t="shared" si="19"/>
        <v>#N/A</v>
      </c>
      <c r="C637" s="4">
        <f>'Raw data'!E556</f>
        <v>0</v>
      </c>
      <c r="D637" s="29" t="e">
        <f>VLOOKUP(C637,'점포코드 '!A:B,2,0)</f>
        <v>#N/A</v>
      </c>
      <c r="E637" s="30">
        <f>'Raw data'!P556</f>
        <v>0</v>
      </c>
      <c r="F637" s="29" t="e">
        <f>VLOOKUP(E637,'점포코드 '!A:B,2,0)</f>
        <v>#N/A</v>
      </c>
      <c r="G637" s="46">
        <f>'Raw data'!F556</f>
        <v>0</v>
      </c>
      <c r="H637" s="4">
        <f>'Raw data'!G556</f>
        <v>0</v>
      </c>
      <c r="I637" s="29" t="e">
        <f>VLOOKUP(G637,제품명!$C$1:$E$114,2,0)</f>
        <v>#N/A</v>
      </c>
      <c r="J637" s="29">
        <f>'Raw data'!K556</f>
        <v>0</v>
      </c>
      <c r="K637" s="31">
        <f>'Raw data'!H556</f>
        <v>0</v>
      </c>
      <c r="L637" s="26">
        <f t="shared" si="20"/>
        <v>0</v>
      </c>
    </row>
    <row r="638" spans="2:12">
      <c r="B638" s="4" t="e">
        <f t="shared" si="19"/>
        <v>#N/A</v>
      </c>
      <c r="C638" s="4">
        <f>'Raw data'!E557</f>
        <v>0</v>
      </c>
      <c r="D638" s="29" t="e">
        <f>VLOOKUP(C638,'점포코드 '!A:B,2,0)</f>
        <v>#N/A</v>
      </c>
      <c r="E638" s="30">
        <f>'Raw data'!P557</f>
        <v>0</v>
      </c>
      <c r="F638" s="29" t="e">
        <f>VLOOKUP(E638,'점포코드 '!A:B,2,0)</f>
        <v>#N/A</v>
      </c>
      <c r="G638" s="46">
        <f>'Raw data'!F557</f>
        <v>0</v>
      </c>
      <c r="H638" s="4">
        <f>'Raw data'!G557</f>
        <v>0</v>
      </c>
      <c r="I638" s="29" t="e">
        <f>VLOOKUP(G638,제품명!$C$1:$E$114,2,0)</f>
        <v>#N/A</v>
      </c>
      <c r="J638" s="29">
        <f>'Raw data'!K557</f>
        <v>0</v>
      </c>
      <c r="K638" s="31">
        <f>'Raw data'!H557</f>
        <v>0</v>
      </c>
      <c r="L638" s="26">
        <f t="shared" si="20"/>
        <v>0</v>
      </c>
    </row>
    <row r="639" spans="2:12">
      <c r="B639" s="4" t="e">
        <f t="shared" si="19"/>
        <v>#N/A</v>
      </c>
      <c r="C639" s="4">
        <f>'Raw data'!E558</f>
        <v>0</v>
      </c>
      <c r="D639" s="29" t="e">
        <f>VLOOKUP(C639,'점포코드 '!A:B,2,0)</f>
        <v>#N/A</v>
      </c>
      <c r="E639" s="30">
        <f>'Raw data'!P558</f>
        <v>0</v>
      </c>
      <c r="F639" s="29" t="e">
        <f>VLOOKUP(E639,'점포코드 '!A:B,2,0)</f>
        <v>#N/A</v>
      </c>
      <c r="G639" s="46">
        <f>'Raw data'!F558</f>
        <v>0</v>
      </c>
      <c r="H639" s="4">
        <f>'Raw data'!G558</f>
        <v>0</v>
      </c>
      <c r="I639" s="29" t="e">
        <f>VLOOKUP(G639,제품명!$C$1:$E$114,2,0)</f>
        <v>#N/A</v>
      </c>
      <c r="J639" s="29">
        <f>'Raw data'!K558</f>
        <v>0</v>
      </c>
      <c r="K639" s="31">
        <f>'Raw data'!H558</f>
        <v>0</v>
      </c>
      <c r="L639" s="26">
        <f t="shared" si="20"/>
        <v>0</v>
      </c>
    </row>
    <row r="640" spans="2:12">
      <c r="B640" s="4" t="e">
        <f t="shared" si="19"/>
        <v>#N/A</v>
      </c>
      <c r="C640" s="4">
        <f>'Raw data'!E559</f>
        <v>0</v>
      </c>
      <c r="D640" s="29" t="e">
        <f>VLOOKUP(C640,'점포코드 '!A:B,2,0)</f>
        <v>#N/A</v>
      </c>
      <c r="E640" s="30">
        <f>'Raw data'!P559</f>
        <v>0</v>
      </c>
      <c r="F640" s="29" t="e">
        <f>VLOOKUP(E640,'점포코드 '!A:B,2,0)</f>
        <v>#N/A</v>
      </c>
      <c r="G640" s="46">
        <f>'Raw data'!F559</f>
        <v>0</v>
      </c>
      <c r="H640" s="4">
        <f>'Raw data'!G559</f>
        <v>0</v>
      </c>
      <c r="I640" s="29" t="e">
        <f>VLOOKUP(G640,제품명!$C$1:$E$114,2,0)</f>
        <v>#N/A</v>
      </c>
      <c r="J640" s="29">
        <f>'Raw data'!K559</f>
        <v>0</v>
      </c>
      <c r="K640" s="31">
        <f>'Raw data'!H559</f>
        <v>0</v>
      </c>
      <c r="L640" s="26">
        <f t="shared" si="20"/>
        <v>0</v>
      </c>
    </row>
    <row r="641" spans="2:12">
      <c r="B641" s="4" t="e">
        <f t="shared" ref="B641:B645" si="21">F641&amp;I641</f>
        <v>#N/A</v>
      </c>
      <c r="C641" s="4">
        <f>'Raw data'!E560</f>
        <v>0</v>
      </c>
      <c r="D641" s="29" t="e">
        <f>VLOOKUP(C641,'점포코드 '!A:B,2,0)</f>
        <v>#N/A</v>
      </c>
      <c r="E641" s="30">
        <f>'Raw data'!P560</f>
        <v>0</v>
      </c>
      <c r="F641" s="29" t="e">
        <f>VLOOKUP(E641,'점포코드 '!A:B,2,0)</f>
        <v>#N/A</v>
      </c>
      <c r="G641" s="46">
        <f>'Raw data'!F560</f>
        <v>0</v>
      </c>
      <c r="H641" s="4">
        <f>'Raw data'!G560</f>
        <v>0</v>
      </c>
      <c r="I641" s="29" t="e">
        <f>VLOOKUP(G641,제품명!$C$1:$E$114,2,0)</f>
        <v>#N/A</v>
      </c>
      <c r="J641" s="29">
        <f>'Raw data'!K560</f>
        <v>0</v>
      </c>
      <c r="K641" s="31">
        <f>'Raw data'!H560</f>
        <v>0</v>
      </c>
      <c r="L641" s="26">
        <f t="shared" ref="L641:L645" si="22">J641*K641</f>
        <v>0</v>
      </c>
    </row>
    <row r="642" spans="2:12">
      <c r="B642" s="4" t="e">
        <f t="shared" si="21"/>
        <v>#N/A</v>
      </c>
      <c r="C642" s="4">
        <f>'Raw data'!E561</f>
        <v>0</v>
      </c>
      <c r="D642" s="29" t="e">
        <f>VLOOKUP(C642,'점포코드 '!A:B,2,0)</f>
        <v>#N/A</v>
      </c>
      <c r="E642" s="30">
        <f>'Raw data'!P561</f>
        <v>0</v>
      </c>
      <c r="F642" s="29" t="e">
        <f>VLOOKUP(E642,'점포코드 '!A:B,2,0)</f>
        <v>#N/A</v>
      </c>
      <c r="G642" s="46">
        <f>'Raw data'!F561</f>
        <v>0</v>
      </c>
      <c r="H642" s="4">
        <f>'Raw data'!G561</f>
        <v>0</v>
      </c>
      <c r="I642" s="29" t="e">
        <f>VLOOKUP(G642,제품명!$C$1:$E$114,2,0)</f>
        <v>#N/A</v>
      </c>
      <c r="J642" s="29">
        <f>'Raw data'!K561</f>
        <v>0</v>
      </c>
      <c r="K642" s="31">
        <f>'Raw data'!H561</f>
        <v>0</v>
      </c>
      <c r="L642" s="26">
        <f t="shared" si="22"/>
        <v>0</v>
      </c>
    </row>
    <row r="643" spans="2:12">
      <c r="B643" s="4" t="e">
        <f t="shared" si="21"/>
        <v>#N/A</v>
      </c>
      <c r="C643" s="4">
        <f>'Raw data'!E562</f>
        <v>0</v>
      </c>
      <c r="D643" s="29" t="e">
        <f>VLOOKUP(C643,'점포코드 '!A:B,2,0)</f>
        <v>#N/A</v>
      </c>
      <c r="E643" s="30">
        <f>'Raw data'!P562</f>
        <v>0</v>
      </c>
      <c r="F643" s="29" t="e">
        <f>VLOOKUP(E643,'점포코드 '!A:B,2,0)</f>
        <v>#N/A</v>
      </c>
      <c r="G643" s="46">
        <f>'Raw data'!F562</f>
        <v>0</v>
      </c>
      <c r="H643" s="4">
        <f>'Raw data'!G562</f>
        <v>0</v>
      </c>
      <c r="I643" s="29" t="e">
        <f>VLOOKUP(G643,제품명!$C$1:$E$114,2,0)</f>
        <v>#N/A</v>
      </c>
      <c r="J643" s="29">
        <f>'Raw data'!K562</f>
        <v>0</v>
      </c>
      <c r="K643" s="31">
        <f>'Raw data'!H562</f>
        <v>0</v>
      </c>
      <c r="L643" s="26">
        <f t="shared" si="22"/>
        <v>0</v>
      </c>
    </row>
    <row r="644" spans="2:12">
      <c r="B644" s="4" t="e">
        <f t="shared" si="21"/>
        <v>#N/A</v>
      </c>
      <c r="C644" s="4">
        <f>'Raw data'!E563</f>
        <v>0</v>
      </c>
      <c r="D644" s="29" t="e">
        <f>VLOOKUP(C644,'점포코드 '!A:B,2,0)</f>
        <v>#N/A</v>
      </c>
      <c r="E644" s="30">
        <f>'Raw data'!P563</f>
        <v>0</v>
      </c>
      <c r="F644" s="29" t="e">
        <f>VLOOKUP(E644,'점포코드 '!A:B,2,0)</f>
        <v>#N/A</v>
      </c>
      <c r="G644" s="46">
        <f>'Raw data'!F563</f>
        <v>0</v>
      </c>
      <c r="H644" s="4">
        <f>'Raw data'!G563</f>
        <v>0</v>
      </c>
      <c r="I644" s="29" t="e">
        <f>VLOOKUP(G644,제품명!$C$1:$E$114,2,0)</f>
        <v>#N/A</v>
      </c>
      <c r="J644" s="29">
        <f>'Raw data'!K563</f>
        <v>0</v>
      </c>
      <c r="K644" s="31">
        <f>'Raw data'!H563</f>
        <v>0</v>
      </c>
      <c r="L644" s="26">
        <f t="shared" si="22"/>
        <v>0</v>
      </c>
    </row>
    <row r="645" spans="2:12">
      <c r="B645" s="4" t="e">
        <f t="shared" si="21"/>
        <v>#N/A</v>
      </c>
      <c r="C645" s="4">
        <f>'Raw data'!E564</f>
        <v>0</v>
      </c>
      <c r="D645" s="29" t="e">
        <f>VLOOKUP(C645,'점포코드 '!A:B,2,0)</f>
        <v>#N/A</v>
      </c>
      <c r="E645" s="30">
        <f>'Raw data'!P564</f>
        <v>0</v>
      </c>
      <c r="F645" s="29" t="e">
        <f>VLOOKUP(E645,'점포코드 '!A:B,2,0)</f>
        <v>#N/A</v>
      </c>
      <c r="G645" s="46">
        <f>'Raw data'!F564</f>
        <v>0</v>
      </c>
      <c r="H645" s="4">
        <f>'Raw data'!G564</f>
        <v>0</v>
      </c>
      <c r="I645" s="29" t="e">
        <f>VLOOKUP(G645,제품명!$C$1:$E$114,2,0)</f>
        <v>#N/A</v>
      </c>
      <c r="J645" s="29">
        <f>'Raw data'!K564</f>
        <v>0</v>
      </c>
      <c r="K645" s="31">
        <f>'Raw data'!H564</f>
        <v>0</v>
      </c>
      <c r="L645" s="26">
        <f t="shared" si="22"/>
        <v>0</v>
      </c>
    </row>
    <row r="646" spans="2:12">
      <c r="B646" s="4" t="e">
        <f t="shared" ref="B646:B705" si="23">F646&amp;I646</f>
        <v>#N/A</v>
      </c>
      <c r="C646" s="4">
        <f>'Raw data'!E565</f>
        <v>0</v>
      </c>
      <c r="D646" s="29" t="e">
        <f>VLOOKUP(C646,'점포코드 '!A:B,2,0)</f>
        <v>#N/A</v>
      </c>
      <c r="E646" s="30">
        <f>'Raw data'!P565</f>
        <v>0</v>
      </c>
      <c r="F646" s="29" t="e">
        <f>VLOOKUP(E646,'점포코드 '!A:B,2,0)</f>
        <v>#N/A</v>
      </c>
      <c r="G646" s="46">
        <f>'Raw data'!F565</f>
        <v>0</v>
      </c>
      <c r="H646" s="4">
        <f>'Raw data'!G565</f>
        <v>0</v>
      </c>
      <c r="I646" s="29" t="e">
        <f>VLOOKUP(G646,제품명!$C$1:$E$114,2,0)</f>
        <v>#N/A</v>
      </c>
      <c r="J646" s="29">
        <f>'Raw data'!K565</f>
        <v>0</v>
      </c>
      <c r="K646" s="31">
        <f>'Raw data'!H565</f>
        <v>0</v>
      </c>
      <c r="L646" s="26">
        <f t="shared" ref="L646:L706" si="24">J646*K646</f>
        <v>0</v>
      </c>
    </row>
    <row r="647" spans="2:12">
      <c r="B647" s="4" t="e">
        <f t="shared" si="23"/>
        <v>#N/A</v>
      </c>
      <c r="C647" s="4">
        <f>'Raw data'!E566</f>
        <v>0</v>
      </c>
      <c r="D647" s="29" t="e">
        <f>VLOOKUP(C647,'점포코드 '!A:B,2,0)</f>
        <v>#N/A</v>
      </c>
      <c r="E647" s="30">
        <f>'Raw data'!P566</f>
        <v>0</v>
      </c>
      <c r="F647" s="29" t="e">
        <f>VLOOKUP(E647,'점포코드 '!A:B,2,0)</f>
        <v>#N/A</v>
      </c>
      <c r="G647" s="46">
        <f>'Raw data'!F566</f>
        <v>0</v>
      </c>
      <c r="H647" s="4">
        <f>'Raw data'!G566</f>
        <v>0</v>
      </c>
      <c r="I647" s="29" t="e">
        <f>VLOOKUP(G647,제품명!$C$1:$E$114,2,0)</f>
        <v>#N/A</v>
      </c>
      <c r="J647" s="29">
        <f>'Raw data'!K566</f>
        <v>0</v>
      </c>
      <c r="K647" s="31">
        <f>'Raw data'!H566</f>
        <v>0</v>
      </c>
      <c r="L647" s="26">
        <f t="shared" si="24"/>
        <v>0</v>
      </c>
    </row>
    <row r="648" spans="2:12">
      <c r="B648" s="4" t="e">
        <f t="shared" si="23"/>
        <v>#N/A</v>
      </c>
      <c r="C648" s="4">
        <f>'Raw data'!E567</f>
        <v>0</v>
      </c>
      <c r="D648" s="29" t="e">
        <f>VLOOKUP(C648,'점포코드 '!A:B,2,0)</f>
        <v>#N/A</v>
      </c>
      <c r="E648" s="30">
        <f>'Raw data'!P567</f>
        <v>0</v>
      </c>
      <c r="F648" s="29" t="e">
        <f>VLOOKUP(E648,'점포코드 '!A:B,2,0)</f>
        <v>#N/A</v>
      </c>
      <c r="G648" s="46">
        <f>'Raw data'!F567</f>
        <v>0</v>
      </c>
      <c r="H648" s="4">
        <f>'Raw data'!G567</f>
        <v>0</v>
      </c>
      <c r="I648" s="29" t="e">
        <f>VLOOKUP(G648,제품명!$C$1:$E$114,2,0)</f>
        <v>#N/A</v>
      </c>
      <c r="J648" s="29">
        <f>'Raw data'!K567</f>
        <v>0</v>
      </c>
      <c r="K648" s="31">
        <f>'Raw data'!H567</f>
        <v>0</v>
      </c>
      <c r="L648" s="26">
        <f t="shared" si="24"/>
        <v>0</v>
      </c>
    </row>
    <row r="649" spans="2:12">
      <c r="B649" s="4" t="e">
        <f t="shared" si="23"/>
        <v>#N/A</v>
      </c>
      <c r="C649" s="4">
        <f>'Raw data'!E568</f>
        <v>0</v>
      </c>
      <c r="D649" s="29" t="e">
        <f>VLOOKUP(C649,'점포코드 '!A:B,2,0)</f>
        <v>#N/A</v>
      </c>
      <c r="E649" s="30">
        <f>'Raw data'!P568</f>
        <v>0</v>
      </c>
      <c r="F649" s="29" t="e">
        <f>VLOOKUP(E649,'점포코드 '!A:B,2,0)</f>
        <v>#N/A</v>
      </c>
      <c r="G649" s="46">
        <f>'Raw data'!F568</f>
        <v>0</v>
      </c>
      <c r="H649" s="4">
        <f>'Raw data'!G568</f>
        <v>0</v>
      </c>
      <c r="I649" s="29" t="e">
        <f>VLOOKUP(G649,제품명!$C$1:$E$114,2,0)</f>
        <v>#N/A</v>
      </c>
      <c r="J649" s="29">
        <f>'Raw data'!K568</f>
        <v>0</v>
      </c>
      <c r="K649" s="31">
        <f>'Raw data'!H568</f>
        <v>0</v>
      </c>
      <c r="L649" s="26">
        <f t="shared" si="24"/>
        <v>0</v>
      </c>
    </row>
    <row r="650" spans="2:12">
      <c r="B650" s="4" t="e">
        <f t="shared" si="23"/>
        <v>#N/A</v>
      </c>
      <c r="C650" s="4">
        <f>'Raw data'!E569</f>
        <v>0</v>
      </c>
      <c r="D650" s="29" t="e">
        <f>VLOOKUP(C650,'점포코드 '!A:B,2,0)</f>
        <v>#N/A</v>
      </c>
      <c r="E650" s="30">
        <f>'Raw data'!P569</f>
        <v>0</v>
      </c>
      <c r="F650" s="29" t="e">
        <f>VLOOKUP(E650,'점포코드 '!A:B,2,0)</f>
        <v>#N/A</v>
      </c>
      <c r="G650" s="46">
        <f>'Raw data'!F569</f>
        <v>0</v>
      </c>
      <c r="H650" s="4">
        <f>'Raw data'!G569</f>
        <v>0</v>
      </c>
      <c r="I650" s="29" t="e">
        <f>VLOOKUP(G650,제품명!$C$1:$E$114,2,0)</f>
        <v>#N/A</v>
      </c>
      <c r="J650" s="29">
        <f>'Raw data'!K569</f>
        <v>0</v>
      </c>
      <c r="K650" s="31">
        <f>'Raw data'!H569</f>
        <v>0</v>
      </c>
      <c r="L650" s="26">
        <f t="shared" si="24"/>
        <v>0</v>
      </c>
    </row>
    <row r="651" spans="2:12">
      <c r="B651" s="4" t="e">
        <f t="shared" si="23"/>
        <v>#N/A</v>
      </c>
      <c r="C651" s="4">
        <f>'Raw data'!E570</f>
        <v>0</v>
      </c>
      <c r="D651" s="29" t="e">
        <f>VLOOKUP(C651,'점포코드 '!A:B,2,0)</f>
        <v>#N/A</v>
      </c>
      <c r="E651" s="30">
        <f>'Raw data'!P570</f>
        <v>0</v>
      </c>
      <c r="F651" s="29" t="e">
        <f>VLOOKUP(E651,'점포코드 '!A:B,2,0)</f>
        <v>#N/A</v>
      </c>
      <c r="G651" s="46">
        <f>'Raw data'!F570</f>
        <v>0</v>
      </c>
      <c r="H651" s="4">
        <f>'Raw data'!G570</f>
        <v>0</v>
      </c>
      <c r="I651" s="29" t="e">
        <f>VLOOKUP(G651,제품명!$C$1:$E$114,2,0)</f>
        <v>#N/A</v>
      </c>
      <c r="J651" s="29">
        <f>'Raw data'!K570</f>
        <v>0</v>
      </c>
      <c r="K651" s="31">
        <f>'Raw data'!H570</f>
        <v>0</v>
      </c>
      <c r="L651" s="26">
        <f t="shared" si="24"/>
        <v>0</v>
      </c>
    </row>
    <row r="652" spans="2:12">
      <c r="B652" s="4" t="e">
        <f t="shared" si="23"/>
        <v>#N/A</v>
      </c>
      <c r="C652" s="4">
        <f>'Raw data'!E571</f>
        <v>0</v>
      </c>
      <c r="D652" s="29" t="e">
        <f>VLOOKUP(C652,'점포코드 '!A:B,2,0)</f>
        <v>#N/A</v>
      </c>
      <c r="E652" s="30">
        <f>'Raw data'!P571</f>
        <v>0</v>
      </c>
      <c r="F652" s="29" t="e">
        <f>VLOOKUP(E652,'점포코드 '!A:B,2,0)</f>
        <v>#N/A</v>
      </c>
      <c r="G652" s="46">
        <f>'Raw data'!F571</f>
        <v>0</v>
      </c>
      <c r="H652" s="4">
        <f>'Raw data'!G571</f>
        <v>0</v>
      </c>
      <c r="I652" s="29" t="e">
        <f>VLOOKUP(G652,제품명!$C$1:$E$114,2,0)</f>
        <v>#N/A</v>
      </c>
      <c r="J652" s="29">
        <f>'Raw data'!K571</f>
        <v>0</v>
      </c>
      <c r="K652" s="31">
        <f>'Raw data'!H571</f>
        <v>0</v>
      </c>
      <c r="L652" s="26">
        <f t="shared" si="24"/>
        <v>0</v>
      </c>
    </row>
    <row r="653" spans="2:12">
      <c r="B653" s="4" t="e">
        <f t="shared" si="23"/>
        <v>#N/A</v>
      </c>
      <c r="C653" s="4">
        <f>'Raw data'!E572</f>
        <v>0</v>
      </c>
      <c r="D653" s="29" t="e">
        <f>VLOOKUP(C653,'점포코드 '!A:B,2,0)</f>
        <v>#N/A</v>
      </c>
      <c r="E653" s="30">
        <f>'Raw data'!P572</f>
        <v>0</v>
      </c>
      <c r="F653" s="29" t="e">
        <f>VLOOKUP(E653,'점포코드 '!A:B,2,0)</f>
        <v>#N/A</v>
      </c>
      <c r="G653" s="46">
        <f>'Raw data'!F572</f>
        <v>0</v>
      </c>
      <c r="H653" s="4">
        <f>'Raw data'!G572</f>
        <v>0</v>
      </c>
      <c r="I653" s="29" t="e">
        <f>VLOOKUP(G653,제품명!$C$1:$E$114,2,0)</f>
        <v>#N/A</v>
      </c>
      <c r="J653" s="29">
        <f>'Raw data'!K572</f>
        <v>0</v>
      </c>
      <c r="K653" s="31">
        <f>'Raw data'!H572</f>
        <v>0</v>
      </c>
      <c r="L653" s="26">
        <f t="shared" si="24"/>
        <v>0</v>
      </c>
    </row>
    <row r="654" spans="2:12">
      <c r="B654" s="4" t="e">
        <f t="shared" si="23"/>
        <v>#N/A</v>
      </c>
      <c r="C654" s="4">
        <f>'Raw data'!E573</f>
        <v>0</v>
      </c>
      <c r="D654" s="29" t="e">
        <f>VLOOKUP(C654,'점포코드 '!A:B,2,0)</f>
        <v>#N/A</v>
      </c>
      <c r="E654" s="30">
        <f>'Raw data'!P573</f>
        <v>0</v>
      </c>
      <c r="F654" s="29" t="e">
        <f>VLOOKUP(E654,'점포코드 '!A:B,2,0)</f>
        <v>#N/A</v>
      </c>
      <c r="G654" s="46">
        <f>'Raw data'!F573</f>
        <v>0</v>
      </c>
      <c r="H654" s="4">
        <f>'Raw data'!G573</f>
        <v>0</v>
      </c>
      <c r="I654" s="29" t="e">
        <f>VLOOKUP(G654,제품명!$C$1:$E$114,2,0)</f>
        <v>#N/A</v>
      </c>
      <c r="J654" s="29">
        <f>'Raw data'!K573</f>
        <v>0</v>
      </c>
      <c r="K654" s="31">
        <f>'Raw data'!H573</f>
        <v>0</v>
      </c>
      <c r="L654" s="26">
        <f t="shared" si="24"/>
        <v>0</v>
      </c>
    </row>
    <row r="655" spans="2:12">
      <c r="B655" s="4" t="e">
        <f t="shared" si="23"/>
        <v>#N/A</v>
      </c>
      <c r="C655" s="4">
        <f>'Raw data'!E574</f>
        <v>0</v>
      </c>
      <c r="D655" s="29" t="e">
        <f>VLOOKUP(C655,'점포코드 '!A:B,2,0)</f>
        <v>#N/A</v>
      </c>
      <c r="E655" s="30">
        <f>'Raw data'!P574</f>
        <v>0</v>
      </c>
      <c r="F655" s="29" t="e">
        <f>VLOOKUP(E655,'점포코드 '!A:B,2,0)</f>
        <v>#N/A</v>
      </c>
      <c r="G655" s="46">
        <f>'Raw data'!F574</f>
        <v>0</v>
      </c>
      <c r="H655" s="4">
        <f>'Raw data'!G574</f>
        <v>0</v>
      </c>
      <c r="I655" s="29" t="e">
        <f>VLOOKUP(G655,제품명!$C$1:$E$114,2,0)</f>
        <v>#N/A</v>
      </c>
      <c r="J655" s="29">
        <f>'Raw data'!K574</f>
        <v>0</v>
      </c>
      <c r="K655" s="31">
        <f>'Raw data'!H574</f>
        <v>0</v>
      </c>
      <c r="L655" s="26">
        <f t="shared" si="24"/>
        <v>0</v>
      </c>
    </row>
    <row r="656" spans="2:12">
      <c r="B656" s="4" t="e">
        <f t="shared" si="23"/>
        <v>#N/A</v>
      </c>
      <c r="C656" s="4">
        <f>'Raw data'!E575</f>
        <v>0</v>
      </c>
      <c r="D656" s="29" t="e">
        <f>VLOOKUP(C656,'점포코드 '!A:B,2,0)</f>
        <v>#N/A</v>
      </c>
      <c r="E656" s="30">
        <f>'Raw data'!P575</f>
        <v>0</v>
      </c>
      <c r="F656" s="29" t="e">
        <f>VLOOKUP(E656,'점포코드 '!A:B,2,0)</f>
        <v>#N/A</v>
      </c>
      <c r="G656" s="46">
        <f>'Raw data'!F575</f>
        <v>0</v>
      </c>
      <c r="H656" s="4">
        <f>'Raw data'!G575</f>
        <v>0</v>
      </c>
      <c r="I656" s="29" t="e">
        <f>VLOOKUP(G656,제품명!$C$1:$E$114,2,0)</f>
        <v>#N/A</v>
      </c>
      <c r="J656" s="29">
        <f>'Raw data'!K575</f>
        <v>0</v>
      </c>
      <c r="K656" s="31">
        <f>'Raw data'!H575</f>
        <v>0</v>
      </c>
      <c r="L656" s="26">
        <f t="shared" si="24"/>
        <v>0</v>
      </c>
    </row>
    <row r="657" spans="2:12">
      <c r="B657" s="4" t="e">
        <f t="shared" si="23"/>
        <v>#N/A</v>
      </c>
      <c r="C657" s="4">
        <f>'Raw data'!E576</f>
        <v>0</v>
      </c>
      <c r="D657" s="29" t="e">
        <f>VLOOKUP(C657,'점포코드 '!A:B,2,0)</f>
        <v>#N/A</v>
      </c>
      <c r="E657" s="30">
        <f>'Raw data'!P576</f>
        <v>0</v>
      </c>
      <c r="F657" s="29" t="e">
        <f>VLOOKUP(E657,'점포코드 '!A:B,2,0)</f>
        <v>#N/A</v>
      </c>
      <c r="G657" s="46">
        <f>'Raw data'!F576</f>
        <v>0</v>
      </c>
      <c r="H657" s="4">
        <f>'Raw data'!G576</f>
        <v>0</v>
      </c>
      <c r="I657" s="29" t="e">
        <f>VLOOKUP(G657,제품명!$C$1:$E$114,2,0)</f>
        <v>#N/A</v>
      </c>
      <c r="J657" s="29">
        <f>'Raw data'!K576</f>
        <v>0</v>
      </c>
      <c r="K657" s="31">
        <f>'Raw data'!H576</f>
        <v>0</v>
      </c>
      <c r="L657" s="26">
        <f t="shared" si="24"/>
        <v>0</v>
      </c>
    </row>
    <row r="658" spans="2:12">
      <c r="B658" s="4" t="e">
        <f t="shared" si="23"/>
        <v>#N/A</v>
      </c>
      <c r="C658" s="4">
        <f>'Raw data'!E577</f>
        <v>0</v>
      </c>
      <c r="D658" s="29" t="e">
        <f>VLOOKUP(C658,'점포코드 '!A:B,2,0)</f>
        <v>#N/A</v>
      </c>
      <c r="E658" s="30">
        <f>'Raw data'!P577</f>
        <v>0</v>
      </c>
      <c r="F658" s="29" t="e">
        <f>VLOOKUP(E658,'점포코드 '!A:B,2,0)</f>
        <v>#N/A</v>
      </c>
      <c r="G658" s="46">
        <f>'Raw data'!F577</f>
        <v>0</v>
      </c>
      <c r="H658" s="4">
        <f>'Raw data'!G577</f>
        <v>0</v>
      </c>
      <c r="I658" s="29" t="e">
        <f>VLOOKUP(G658,제품명!$C$1:$E$114,2,0)</f>
        <v>#N/A</v>
      </c>
      <c r="J658" s="29">
        <f>'Raw data'!K577</f>
        <v>0</v>
      </c>
      <c r="K658" s="31">
        <f>'Raw data'!H577</f>
        <v>0</v>
      </c>
      <c r="L658" s="26">
        <f t="shared" si="24"/>
        <v>0</v>
      </c>
    </row>
    <row r="659" spans="2:12">
      <c r="B659" s="4" t="e">
        <f t="shared" si="23"/>
        <v>#N/A</v>
      </c>
      <c r="C659" s="4">
        <f>'Raw data'!E578</f>
        <v>0</v>
      </c>
      <c r="D659" s="29" t="e">
        <f>VLOOKUP(C659,'점포코드 '!A:B,2,0)</f>
        <v>#N/A</v>
      </c>
      <c r="E659" s="30">
        <f>'Raw data'!P578</f>
        <v>0</v>
      </c>
      <c r="F659" s="29" t="e">
        <f>VLOOKUP(E659,'점포코드 '!A:B,2,0)</f>
        <v>#N/A</v>
      </c>
      <c r="G659" s="46">
        <f>'Raw data'!F578</f>
        <v>0</v>
      </c>
      <c r="H659" s="4">
        <f>'Raw data'!G578</f>
        <v>0</v>
      </c>
      <c r="I659" s="29" t="e">
        <f>VLOOKUP(G659,제품명!$C$1:$E$114,2,0)</f>
        <v>#N/A</v>
      </c>
      <c r="J659" s="29">
        <f>'Raw data'!K578</f>
        <v>0</v>
      </c>
      <c r="K659" s="31">
        <f>'Raw data'!H578</f>
        <v>0</v>
      </c>
      <c r="L659" s="26">
        <f t="shared" si="24"/>
        <v>0</v>
      </c>
    </row>
    <row r="660" spans="2:12">
      <c r="B660" s="4" t="e">
        <f t="shared" si="23"/>
        <v>#N/A</v>
      </c>
      <c r="C660" s="4">
        <f>'Raw data'!E579</f>
        <v>0</v>
      </c>
      <c r="D660" s="29" t="e">
        <f>VLOOKUP(C660,'점포코드 '!A:B,2,0)</f>
        <v>#N/A</v>
      </c>
      <c r="E660" s="30">
        <f>'Raw data'!P579</f>
        <v>0</v>
      </c>
      <c r="F660" s="29" t="e">
        <f>VLOOKUP(E660,'점포코드 '!A:B,2,0)</f>
        <v>#N/A</v>
      </c>
      <c r="G660" s="46">
        <f>'Raw data'!F579</f>
        <v>0</v>
      </c>
      <c r="H660" s="4">
        <f>'Raw data'!G579</f>
        <v>0</v>
      </c>
      <c r="I660" s="29" t="e">
        <f>VLOOKUP(G660,제품명!$C$1:$E$114,2,0)</f>
        <v>#N/A</v>
      </c>
      <c r="J660" s="29">
        <f>'Raw data'!K579</f>
        <v>0</v>
      </c>
      <c r="K660" s="31">
        <f>'Raw data'!H579</f>
        <v>0</v>
      </c>
      <c r="L660" s="26">
        <f t="shared" si="24"/>
        <v>0</v>
      </c>
    </row>
    <row r="661" spans="2:12">
      <c r="B661" s="4" t="e">
        <f t="shared" si="23"/>
        <v>#N/A</v>
      </c>
      <c r="C661" s="4">
        <f>'Raw data'!E580</f>
        <v>0</v>
      </c>
      <c r="D661" s="29" t="e">
        <f>VLOOKUP(C661,'점포코드 '!A:B,2,0)</f>
        <v>#N/A</v>
      </c>
      <c r="E661" s="30">
        <f>'Raw data'!P580</f>
        <v>0</v>
      </c>
      <c r="F661" s="29" t="e">
        <f>VLOOKUP(E661,'점포코드 '!A:B,2,0)</f>
        <v>#N/A</v>
      </c>
      <c r="G661" s="46">
        <f>'Raw data'!F580</f>
        <v>0</v>
      </c>
      <c r="H661" s="4">
        <f>'Raw data'!G580</f>
        <v>0</v>
      </c>
      <c r="I661" s="29" t="e">
        <f>VLOOKUP(G661,제품명!$C$1:$E$114,2,0)</f>
        <v>#N/A</v>
      </c>
      <c r="J661" s="29">
        <f>'Raw data'!K580</f>
        <v>0</v>
      </c>
      <c r="K661" s="31">
        <f>'Raw data'!H580</f>
        <v>0</v>
      </c>
      <c r="L661" s="26">
        <f t="shared" si="24"/>
        <v>0</v>
      </c>
    </row>
    <row r="662" spans="2:12">
      <c r="B662" s="4" t="e">
        <f t="shared" si="23"/>
        <v>#N/A</v>
      </c>
      <c r="C662" s="4">
        <f>'Raw data'!E581</f>
        <v>0</v>
      </c>
      <c r="D662" s="29" t="e">
        <f>VLOOKUP(C662,'점포코드 '!A:B,2,0)</f>
        <v>#N/A</v>
      </c>
      <c r="E662" s="30">
        <f>'Raw data'!P581</f>
        <v>0</v>
      </c>
      <c r="F662" s="29" t="e">
        <f>VLOOKUP(E662,'점포코드 '!A:B,2,0)</f>
        <v>#N/A</v>
      </c>
      <c r="G662" s="46">
        <f>'Raw data'!F581</f>
        <v>0</v>
      </c>
      <c r="H662" s="4">
        <f>'Raw data'!G581</f>
        <v>0</v>
      </c>
      <c r="I662" s="29" t="e">
        <f>VLOOKUP(G662,제품명!$C$1:$E$114,2,0)</f>
        <v>#N/A</v>
      </c>
      <c r="J662" s="29">
        <f>'Raw data'!K581</f>
        <v>0</v>
      </c>
      <c r="K662" s="31">
        <f>'Raw data'!H581</f>
        <v>0</v>
      </c>
      <c r="L662" s="26">
        <f t="shared" si="24"/>
        <v>0</v>
      </c>
    </row>
    <row r="663" spans="2:12">
      <c r="B663" s="4" t="e">
        <f t="shared" si="23"/>
        <v>#N/A</v>
      </c>
      <c r="C663" s="4">
        <f>'Raw data'!E582</f>
        <v>0</v>
      </c>
      <c r="D663" s="29" t="e">
        <f>VLOOKUP(C663,'점포코드 '!A:B,2,0)</f>
        <v>#N/A</v>
      </c>
      <c r="E663" s="30">
        <f>'Raw data'!P582</f>
        <v>0</v>
      </c>
      <c r="F663" s="29" t="e">
        <f>VLOOKUP(E663,'점포코드 '!A:B,2,0)</f>
        <v>#N/A</v>
      </c>
      <c r="G663" s="46">
        <f>'Raw data'!F582</f>
        <v>0</v>
      </c>
      <c r="H663" s="4">
        <f>'Raw data'!G582</f>
        <v>0</v>
      </c>
      <c r="I663" s="29" t="e">
        <f>VLOOKUP(G663,제품명!$C$1:$E$114,2,0)</f>
        <v>#N/A</v>
      </c>
      <c r="J663" s="29">
        <f>'Raw data'!K582</f>
        <v>0</v>
      </c>
      <c r="K663" s="31">
        <f>'Raw data'!H582</f>
        <v>0</v>
      </c>
      <c r="L663" s="26">
        <f t="shared" si="24"/>
        <v>0</v>
      </c>
    </row>
    <row r="664" spans="2:12">
      <c r="B664" s="4" t="e">
        <f t="shared" si="23"/>
        <v>#N/A</v>
      </c>
      <c r="C664" s="4">
        <f>'Raw data'!E583</f>
        <v>0</v>
      </c>
      <c r="D664" s="29" t="e">
        <f>VLOOKUP(C664,'점포코드 '!A:B,2,0)</f>
        <v>#N/A</v>
      </c>
      <c r="E664" s="30">
        <f>'Raw data'!P583</f>
        <v>0</v>
      </c>
      <c r="F664" s="29" t="e">
        <f>VLOOKUP(E664,'점포코드 '!A:B,2,0)</f>
        <v>#N/A</v>
      </c>
      <c r="G664" s="46">
        <f>'Raw data'!F583</f>
        <v>0</v>
      </c>
      <c r="H664" s="4">
        <f>'Raw data'!G583</f>
        <v>0</v>
      </c>
      <c r="I664" s="29" t="e">
        <f>VLOOKUP(G664,제품명!$C$1:$E$114,2,0)</f>
        <v>#N/A</v>
      </c>
      <c r="J664" s="29">
        <f>'Raw data'!K583</f>
        <v>0</v>
      </c>
      <c r="K664" s="31">
        <f>'Raw data'!H583</f>
        <v>0</v>
      </c>
      <c r="L664" s="26">
        <f t="shared" si="24"/>
        <v>0</v>
      </c>
    </row>
    <row r="665" spans="2:12">
      <c r="B665" s="4" t="e">
        <f t="shared" si="23"/>
        <v>#N/A</v>
      </c>
      <c r="C665" s="4">
        <f>'Raw data'!E584</f>
        <v>0</v>
      </c>
      <c r="D665" s="29" t="e">
        <f>VLOOKUP(C665,'점포코드 '!A:B,2,0)</f>
        <v>#N/A</v>
      </c>
      <c r="E665" s="30">
        <f>'Raw data'!P584</f>
        <v>0</v>
      </c>
      <c r="F665" s="29" t="e">
        <f>VLOOKUP(E665,'점포코드 '!A:B,2,0)</f>
        <v>#N/A</v>
      </c>
      <c r="G665" s="46">
        <f>'Raw data'!F584</f>
        <v>0</v>
      </c>
      <c r="H665" s="4">
        <f>'Raw data'!G584</f>
        <v>0</v>
      </c>
      <c r="I665" s="29" t="e">
        <f>VLOOKUP(G665,제품명!$C$1:$E$114,2,0)</f>
        <v>#N/A</v>
      </c>
      <c r="J665" s="29">
        <f>'Raw data'!K584</f>
        <v>0</v>
      </c>
      <c r="K665" s="31">
        <f>'Raw data'!H584</f>
        <v>0</v>
      </c>
      <c r="L665" s="26">
        <f t="shared" si="24"/>
        <v>0</v>
      </c>
    </row>
    <row r="666" spans="2:12">
      <c r="B666" s="4" t="e">
        <f t="shared" si="23"/>
        <v>#N/A</v>
      </c>
      <c r="C666" s="4">
        <f>'Raw data'!E585</f>
        <v>0</v>
      </c>
      <c r="D666" s="29" t="e">
        <f>VLOOKUP(C666,'점포코드 '!A:B,2,0)</f>
        <v>#N/A</v>
      </c>
      <c r="E666" s="30">
        <f>'Raw data'!P585</f>
        <v>0</v>
      </c>
      <c r="F666" s="29" t="e">
        <f>VLOOKUP(E666,'점포코드 '!A:B,2,0)</f>
        <v>#N/A</v>
      </c>
      <c r="G666" s="46">
        <f>'Raw data'!F585</f>
        <v>0</v>
      </c>
      <c r="H666" s="4">
        <f>'Raw data'!G585</f>
        <v>0</v>
      </c>
      <c r="I666" s="29" t="e">
        <f>VLOOKUP(G666,제품명!$C$1:$E$114,2,0)</f>
        <v>#N/A</v>
      </c>
      <c r="J666" s="29">
        <f>'Raw data'!K585</f>
        <v>0</v>
      </c>
      <c r="K666" s="31">
        <f>'Raw data'!H585</f>
        <v>0</v>
      </c>
      <c r="L666" s="26">
        <f t="shared" si="24"/>
        <v>0</v>
      </c>
    </row>
    <row r="667" spans="2:12">
      <c r="B667" s="4" t="e">
        <f t="shared" si="23"/>
        <v>#N/A</v>
      </c>
      <c r="C667" s="4">
        <f>'Raw data'!E586</f>
        <v>0</v>
      </c>
      <c r="D667" s="29" t="e">
        <f>VLOOKUP(C667,'점포코드 '!A:B,2,0)</f>
        <v>#N/A</v>
      </c>
      <c r="E667" s="30">
        <f>'Raw data'!P586</f>
        <v>0</v>
      </c>
      <c r="F667" s="29" t="e">
        <f>VLOOKUP(E667,'점포코드 '!A:B,2,0)</f>
        <v>#N/A</v>
      </c>
      <c r="G667" s="46">
        <f>'Raw data'!F586</f>
        <v>0</v>
      </c>
      <c r="H667" s="4">
        <f>'Raw data'!G586</f>
        <v>0</v>
      </c>
      <c r="I667" s="29" t="e">
        <f>VLOOKUP(G667,제품명!$C$1:$E$114,2,0)</f>
        <v>#N/A</v>
      </c>
      <c r="J667" s="29">
        <f>'Raw data'!K586</f>
        <v>0</v>
      </c>
      <c r="K667" s="31">
        <f>'Raw data'!H586</f>
        <v>0</v>
      </c>
      <c r="L667" s="26">
        <f t="shared" si="24"/>
        <v>0</v>
      </c>
    </row>
    <row r="668" spans="2:12">
      <c r="B668" s="4" t="e">
        <f t="shared" si="23"/>
        <v>#N/A</v>
      </c>
      <c r="C668" s="4">
        <f>'Raw data'!E587</f>
        <v>0</v>
      </c>
      <c r="D668" s="29" t="e">
        <f>VLOOKUP(C668,'점포코드 '!A:B,2,0)</f>
        <v>#N/A</v>
      </c>
      <c r="E668" s="30">
        <f>'Raw data'!P587</f>
        <v>0</v>
      </c>
      <c r="F668" s="29" t="e">
        <f>VLOOKUP(E668,'점포코드 '!A:B,2,0)</f>
        <v>#N/A</v>
      </c>
      <c r="G668" s="46">
        <f>'Raw data'!F587</f>
        <v>0</v>
      </c>
      <c r="H668" s="4">
        <f>'Raw data'!G587</f>
        <v>0</v>
      </c>
      <c r="I668" s="29" t="e">
        <f>VLOOKUP(G668,제품명!$C$1:$E$114,2,0)</f>
        <v>#N/A</v>
      </c>
      <c r="J668" s="29">
        <f>'Raw data'!K587</f>
        <v>0</v>
      </c>
      <c r="K668" s="31">
        <f>'Raw data'!H587</f>
        <v>0</v>
      </c>
      <c r="L668" s="26">
        <f t="shared" si="24"/>
        <v>0</v>
      </c>
    </row>
    <row r="669" spans="2:12">
      <c r="B669" s="4" t="e">
        <f t="shared" si="23"/>
        <v>#N/A</v>
      </c>
      <c r="C669" s="4">
        <f>'Raw data'!E588</f>
        <v>0</v>
      </c>
      <c r="D669" s="29" t="e">
        <f>VLOOKUP(C669,'점포코드 '!A:B,2,0)</f>
        <v>#N/A</v>
      </c>
      <c r="E669" s="30">
        <f>'Raw data'!P588</f>
        <v>0</v>
      </c>
      <c r="F669" s="29" t="e">
        <f>VLOOKUP(E669,'점포코드 '!A:B,2,0)</f>
        <v>#N/A</v>
      </c>
      <c r="G669" s="46">
        <f>'Raw data'!F588</f>
        <v>0</v>
      </c>
      <c r="H669" s="4">
        <f>'Raw data'!G588</f>
        <v>0</v>
      </c>
      <c r="I669" s="29" t="e">
        <f>VLOOKUP(G669,제품명!$C$1:$E$114,2,0)</f>
        <v>#N/A</v>
      </c>
      <c r="J669" s="29">
        <f>'Raw data'!K588</f>
        <v>0</v>
      </c>
      <c r="K669" s="31">
        <f>'Raw data'!H588</f>
        <v>0</v>
      </c>
      <c r="L669" s="26">
        <f t="shared" si="24"/>
        <v>0</v>
      </c>
    </row>
    <row r="670" spans="2:12">
      <c r="B670" s="4" t="e">
        <f t="shared" si="23"/>
        <v>#N/A</v>
      </c>
      <c r="C670" s="4">
        <f>'Raw data'!E589</f>
        <v>0</v>
      </c>
      <c r="D670" s="29" t="e">
        <f>VLOOKUP(C670,'점포코드 '!A:B,2,0)</f>
        <v>#N/A</v>
      </c>
      <c r="E670" s="30">
        <f>'Raw data'!P589</f>
        <v>0</v>
      </c>
      <c r="F670" s="29" t="e">
        <f>VLOOKUP(E670,'점포코드 '!A:B,2,0)</f>
        <v>#N/A</v>
      </c>
      <c r="G670" s="46">
        <f>'Raw data'!F589</f>
        <v>0</v>
      </c>
      <c r="H670" s="4">
        <f>'Raw data'!G589</f>
        <v>0</v>
      </c>
      <c r="I670" s="29" t="e">
        <f>VLOOKUP(G670,제품명!$C$1:$E$114,2,0)</f>
        <v>#N/A</v>
      </c>
      <c r="J670" s="29">
        <f>'Raw data'!K589</f>
        <v>0</v>
      </c>
      <c r="K670" s="31">
        <f>'Raw data'!H589</f>
        <v>0</v>
      </c>
      <c r="L670" s="26">
        <f t="shared" si="24"/>
        <v>0</v>
      </c>
    </row>
    <row r="671" spans="2:12">
      <c r="B671" s="4" t="e">
        <f t="shared" si="23"/>
        <v>#N/A</v>
      </c>
      <c r="C671" s="4">
        <f>'Raw data'!E590</f>
        <v>0</v>
      </c>
      <c r="D671" s="29" t="e">
        <f>VLOOKUP(C671,'점포코드 '!A:B,2,0)</f>
        <v>#N/A</v>
      </c>
      <c r="E671" s="30">
        <f>'Raw data'!P590</f>
        <v>0</v>
      </c>
      <c r="F671" s="29" t="e">
        <f>VLOOKUP(E671,'점포코드 '!A:B,2,0)</f>
        <v>#N/A</v>
      </c>
      <c r="G671" s="46">
        <f>'Raw data'!F590</f>
        <v>0</v>
      </c>
      <c r="H671" s="4">
        <f>'Raw data'!G590</f>
        <v>0</v>
      </c>
      <c r="I671" s="29" t="e">
        <f>VLOOKUP(G671,제품명!$C$1:$E$114,2,0)</f>
        <v>#N/A</v>
      </c>
      <c r="J671" s="29">
        <f>'Raw data'!K590</f>
        <v>0</v>
      </c>
      <c r="K671" s="31">
        <f>'Raw data'!H590</f>
        <v>0</v>
      </c>
      <c r="L671" s="26">
        <f t="shared" si="24"/>
        <v>0</v>
      </c>
    </row>
    <row r="672" spans="2:12">
      <c r="B672" s="4" t="e">
        <f t="shared" si="23"/>
        <v>#N/A</v>
      </c>
      <c r="C672" s="4">
        <f>'Raw data'!E591</f>
        <v>0</v>
      </c>
      <c r="D672" s="29" t="e">
        <f>VLOOKUP(C672,'점포코드 '!A:B,2,0)</f>
        <v>#N/A</v>
      </c>
      <c r="E672" s="30">
        <f>'Raw data'!P591</f>
        <v>0</v>
      </c>
      <c r="F672" s="29" t="e">
        <f>VLOOKUP(E672,'점포코드 '!A:B,2,0)</f>
        <v>#N/A</v>
      </c>
      <c r="G672" s="46">
        <f>'Raw data'!F591</f>
        <v>0</v>
      </c>
      <c r="H672" s="4">
        <f>'Raw data'!G591</f>
        <v>0</v>
      </c>
      <c r="I672" s="29" t="e">
        <f>VLOOKUP(G672,제품명!$C$1:$E$114,2,0)</f>
        <v>#N/A</v>
      </c>
      <c r="J672" s="29">
        <f>'Raw data'!K591</f>
        <v>0</v>
      </c>
      <c r="K672" s="31">
        <f>'Raw data'!H591</f>
        <v>0</v>
      </c>
      <c r="L672" s="26">
        <f t="shared" si="24"/>
        <v>0</v>
      </c>
    </row>
    <row r="673" spans="2:12">
      <c r="B673" s="4" t="e">
        <f t="shared" si="23"/>
        <v>#N/A</v>
      </c>
      <c r="C673" s="4">
        <f>'Raw data'!E592</f>
        <v>0</v>
      </c>
      <c r="D673" s="29" t="e">
        <f>VLOOKUP(C673,'점포코드 '!A:B,2,0)</f>
        <v>#N/A</v>
      </c>
      <c r="E673" s="30">
        <f>'Raw data'!P592</f>
        <v>0</v>
      </c>
      <c r="F673" s="29" t="e">
        <f>VLOOKUP(E673,'점포코드 '!A:B,2,0)</f>
        <v>#N/A</v>
      </c>
      <c r="G673" s="46">
        <f>'Raw data'!F592</f>
        <v>0</v>
      </c>
      <c r="H673" s="4">
        <f>'Raw data'!G592</f>
        <v>0</v>
      </c>
      <c r="I673" s="29" t="e">
        <f>VLOOKUP(G673,제품명!$C$1:$E$114,2,0)</f>
        <v>#N/A</v>
      </c>
      <c r="J673" s="29">
        <f>'Raw data'!K592</f>
        <v>0</v>
      </c>
      <c r="K673" s="31">
        <f>'Raw data'!H592</f>
        <v>0</v>
      </c>
      <c r="L673" s="26">
        <f t="shared" si="24"/>
        <v>0</v>
      </c>
    </row>
    <row r="674" spans="2:12">
      <c r="B674" s="4" t="e">
        <f t="shared" si="23"/>
        <v>#N/A</v>
      </c>
      <c r="C674" s="4">
        <f>'Raw data'!E593</f>
        <v>0</v>
      </c>
      <c r="D674" s="29" t="e">
        <f>VLOOKUP(C674,'점포코드 '!A:B,2,0)</f>
        <v>#N/A</v>
      </c>
      <c r="E674" s="30">
        <f>'Raw data'!P593</f>
        <v>0</v>
      </c>
      <c r="F674" s="29" t="e">
        <f>VLOOKUP(E674,'점포코드 '!A:B,2,0)</f>
        <v>#N/A</v>
      </c>
      <c r="G674" s="46">
        <f>'Raw data'!F593</f>
        <v>0</v>
      </c>
      <c r="H674" s="4">
        <f>'Raw data'!G593</f>
        <v>0</v>
      </c>
      <c r="I674" s="29" t="e">
        <f>VLOOKUP(G674,제품명!$C$1:$E$114,2,0)</f>
        <v>#N/A</v>
      </c>
      <c r="J674" s="29">
        <f>'Raw data'!K593</f>
        <v>0</v>
      </c>
      <c r="K674" s="31">
        <f>'Raw data'!H593</f>
        <v>0</v>
      </c>
      <c r="L674" s="26">
        <f t="shared" si="24"/>
        <v>0</v>
      </c>
    </row>
    <row r="675" spans="2:12">
      <c r="B675" s="4" t="e">
        <f t="shared" si="23"/>
        <v>#N/A</v>
      </c>
      <c r="C675" s="4">
        <f>'Raw data'!E594</f>
        <v>0</v>
      </c>
      <c r="D675" s="29" t="e">
        <f>VLOOKUP(C675,'점포코드 '!A:B,2,0)</f>
        <v>#N/A</v>
      </c>
      <c r="E675" s="30">
        <f>'Raw data'!P594</f>
        <v>0</v>
      </c>
      <c r="F675" s="29" t="e">
        <f>VLOOKUP(E675,'점포코드 '!A:B,2,0)</f>
        <v>#N/A</v>
      </c>
      <c r="G675" s="46">
        <f>'Raw data'!F594</f>
        <v>0</v>
      </c>
      <c r="H675" s="4">
        <f>'Raw data'!G594</f>
        <v>0</v>
      </c>
      <c r="I675" s="29" t="e">
        <f>VLOOKUP(G675,제품명!$C$1:$E$114,2,0)</f>
        <v>#N/A</v>
      </c>
      <c r="J675" s="29">
        <f>'Raw data'!K594</f>
        <v>0</v>
      </c>
      <c r="K675" s="31">
        <f>'Raw data'!H594</f>
        <v>0</v>
      </c>
      <c r="L675" s="26">
        <f t="shared" si="24"/>
        <v>0</v>
      </c>
    </row>
    <row r="676" spans="2:12">
      <c r="B676" s="4" t="e">
        <f t="shared" si="23"/>
        <v>#N/A</v>
      </c>
      <c r="C676" s="4">
        <f>'Raw data'!E595</f>
        <v>0</v>
      </c>
      <c r="D676" s="29" t="e">
        <f>VLOOKUP(C676,'점포코드 '!A:B,2,0)</f>
        <v>#N/A</v>
      </c>
      <c r="E676" s="30">
        <f>'Raw data'!P595</f>
        <v>0</v>
      </c>
      <c r="F676" s="29" t="e">
        <f>VLOOKUP(E676,'점포코드 '!A:B,2,0)</f>
        <v>#N/A</v>
      </c>
      <c r="G676" s="46">
        <f>'Raw data'!F595</f>
        <v>0</v>
      </c>
      <c r="H676" s="4">
        <f>'Raw data'!G595</f>
        <v>0</v>
      </c>
      <c r="I676" s="29" t="e">
        <f>VLOOKUP(G676,제품명!$C$1:$E$114,2,0)</f>
        <v>#N/A</v>
      </c>
      <c r="J676" s="29">
        <f>'Raw data'!K595</f>
        <v>0</v>
      </c>
      <c r="K676" s="31">
        <f>'Raw data'!H595</f>
        <v>0</v>
      </c>
      <c r="L676" s="26">
        <f t="shared" si="24"/>
        <v>0</v>
      </c>
    </row>
    <row r="677" spans="2:12">
      <c r="B677" s="4" t="e">
        <f t="shared" si="23"/>
        <v>#N/A</v>
      </c>
      <c r="C677" s="4">
        <f>'Raw data'!E596</f>
        <v>0</v>
      </c>
      <c r="D677" s="29" t="e">
        <f>VLOOKUP(C677,'점포코드 '!A:B,2,0)</f>
        <v>#N/A</v>
      </c>
      <c r="E677" s="30">
        <f>'Raw data'!P596</f>
        <v>0</v>
      </c>
      <c r="F677" s="29" t="e">
        <f>VLOOKUP(E677,'점포코드 '!A:B,2,0)</f>
        <v>#N/A</v>
      </c>
      <c r="G677" s="46">
        <f>'Raw data'!F596</f>
        <v>0</v>
      </c>
      <c r="H677" s="4">
        <f>'Raw data'!G596</f>
        <v>0</v>
      </c>
      <c r="I677" s="29" t="e">
        <f>VLOOKUP(G677,제품명!$C$1:$E$114,2,0)</f>
        <v>#N/A</v>
      </c>
      <c r="J677" s="29">
        <f>'Raw data'!K596</f>
        <v>0</v>
      </c>
      <c r="K677" s="31">
        <f>'Raw data'!H596</f>
        <v>0</v>
      </c>
      <c r="L677" s="26">
        <f t="shared" si="24"/>
        <v>0</v>
      </c>
    </row>
    <row r="678" spans="2:12">
      <c r="B678" s="4" t="e">
        <f t="shared" si="23"/>
        <v>#N/A</v>
      </c>
      <c r="C678" s="4">
        <f>'Raw data'!E597</f>
        <v>0</v>
      </c>
      <c r="D678" s="29" t="e">
        <f>VLOOKUP(C678,'점포코드 '!A:B,2,0)</f>
        <v>#N/A</v>
      </c>
      <c r="E678" s="30">
        <f>'Raw data'!P597</f>
        <v>0</v>
      </c>
      <c r="F678" s="29" t="e">
        <f>VLOOKUP(E678,'점포코드 '!A:B,2,0)</f>
        <v>#N/A</v>
      </c>
      <c r="G678" s="46">
        <f>'Raw data'!F597</f>
        <v>0</v>
      </c>
      <c r="H678" s="4">
        <f>'Raw data'!G597</f>
        <v>0</v>
      </c>
      <c r="I678" s="29" t="e">
        <f>VLOOKUP(G678,제품명!$C$1:$E$114,2,0)</f>
        <v>#N/A</v>
      </c>
      <c r="J678" s="29">
        <f>'Raw data'!K597</f>
        <v>0</v>
      </c>
      <c r="K678" s="31">
        <f>'Raw data'!H597</f>
        <v>0</v>
      </c>
      <c r="L678" s="26">
        <f t="shared" si="24"/>
        <v>0</v>
      </c>
    </row>
    <row r="679" spans="2:12">
      <c r="B679" s="4" t="e">
        <f t="shared" si="23"/>
        <v>#N/A</v>
      </c>
      <c r="C679" s="4">
        <f>'Raw data'!E598</f>
        <v>0</v>
      </c>
      <c r="D679" s="29" t="e">
        <f>VLOOKUP(C679,'점포코드 '!A:B,2,0)</f>
        <v>#N/A</v>
      </c>
      <c r="E679" s="30">
        <f>'Raw data'!P598</f>
        <v>0</v>
      </c>
      <c r="F679" s="29" t="e">
        <f>VLOOKUP(E679,'점포코드 '!A:B,2,0)</f>
        <v>#N/A</v>
      </c>
      <c r="G679" s="46">
        <f>'Raw data'!F598</f>
        <v>0</v>
      </c>
      <c r="H679" s="4">
        <f>'Raw data'!G598</f>
        <v>0</v>
      </c>
      <c r="I679" s="29" t="e">
        <f>VLOOKUP(G679,제품명!$C$1:$E$114,2,0)</f>
        <v>#N/A</v>
      </c>
      <c r="J679" s="29">
        <f>'Raw data'!K598</f>
        <v>0</v>
      </c>
      <c r="K679" s="31">
        <f>'Raw data'!H598</f>
        <v>0</v>
      </c>
      <c r="L679" s="26">
        <f t="shared" si="24"/>
        <v>0</v>
      </c>
    </row>
    <row r="680" spans="2:12">
      <c r="B680" s="4" t="e">
        <f t="shared" si="23"/>
        <v>#N/A</v>
      </c>
      <c r="C680" s="4">
        <f>'Raw data'!E599</f>
        <v>0</v>
      </c>
      <c r="D680" s="29" t="e">
        <f>VLOOKUP(C680,'점포코드 '!A:B,2,0)</f>
        <v>#N/A</v>
      </c>
      <c r="E680" s="30">
        <f>'Raw data'!P599</f>
        <v>0</v>
      </c>
      <c r="F680" s="29" t="e">
        <f>VLOOKUP(E680,'점포코드 '!A:B,2,0)</f>
        <v>#N/A</v>
      </c>
      <c r="G680" s="46">
        <f>'Raw data'!F599</f>
        <v>0</v>
      </c>
      <c r="H680" s="4">
        <f>'Raw data'!G599</f>
        <v>0</v>
      </c>
      <c r="I680" s="29" t="e">
        <f>VLOOKUP(G680,제품명!$C$1:$E$114,2,0)</f>
        <v>#N/A</v>
      </c>
      <c r="J680" s="29">
        <f>'Raw data'!K599</f>
        <v>0</v>
      </c>
      <c r="K680" s="31">
        <f>'Raw data'!H599</f>
        <v>0</v>
      </c>
      <c r="L680" s="26">
        <f t="shared" si="24"/>
        <v>0</v>
      </c>
    </row>
    <row r="681" spans="2:12">
      <c r="B681" s="4" t="e">
        <f t="shared" si="23"/>
        <v>#N/A</v>
      </c>
      <c r="C681" s="4">
        <f>'Raw data'!E600</f>
        <v>0</v>
      </c>
      <c r="D681" s="29" t="e">
        <f>VLOOKUP(C681,'점포코드 '!A:B,2,0)</f>
        <v>#N/A</v>
      </c>
      <c r="E681" s="30">
        <f>'Raw data'!P600</f>
        <v>0</v>
      </c>
      <c r="F681" s="29" t="e">
        <f>VLOOKUP(E681,'점포코드 '!A:B,2,0)</f>
        <v>#N/A</v>
      </c>
      <c r="G681" s="46">
        <f>'Raw data'!F600</f>
        <v>0</v>
      </c>
      <c r="H681" s="4">
        <f>'Raw data'!G600</f>
        <v>0</v>
      </c>
      <c r="I681" s="29" t="e">
        <f>VLOOKUP(G681,제품명!$C$1:$E$114,2,0)</f>
        <v>#N/A</v>
      </c>
      <c r="J681" s="29">
        <f>'Raw data'!K600</f>
        <v>0</v>
      </c>
      <c r="K681" s="31">
        <f>'Raw data'!H600</f>
        <v>0</v>
      </c>
      <c r="L681" s="26">
        <f t="shared" si="24"/>
        <v>0</v>
      </c>
    </row>
    <row r="682" spans="2:12">
      <c r="B682" s="4" t="e">
        <f t="shared" si="23"/>
        <v>#N/A</v>
      </c>
      <c r="C682" s="4">
        <f>'Raw data'!E601</f>
        <v>0</v>
      </c>
      <c r="D682" s="29" t="e">
        <f>VLOOKUP(C682,'점포코드 '!A:B,2,0)</f>
        <v>#N/A</v>
      </c>
      <c r="E682" s="30">
        <f>'Raw data'!P601</f>
        <v>0</v>
      </c>
      <c r="F682" s="29" t="e">
        <f>VLOOKUP(E682,'점포코드 '!A:B,2,0)</f>
        <v>#N/A</v>
      </c>
      <c r="G682" s="46">
        <f>'Raw data'!F601</f>
        <v>0</v>
      </c>
      <c r="H682" s="4">
        <f>'Raw data'!G601</f>
        <v>0</v>
      </c>
      <c r="I682" s="29" t="e">
        <f>VLOOKUP(G682,제품명!$C$1:$E$114,2,0)</f>
        <v>#N/A</v>
      </c>
      <c r="J682" s="29">
        <f>'Raw data'!K601</f>
        <v>0</v>
      </c>
      <c r="K682" s="31">
        <f>'Raw data'!H601</f>
        <v>0</v>
      </c>
      <c r="L682" s="26">
        <f t="shared" si="24"/>
        <v>0</v>
      </c>
    </row>
    <row r="683" spans="2:12">
      <c r="B683" s="4" t="e">
        <f t="shared" si="23"/>
        <v>#N/A</v>
      </c>
      <c r="C683" s="4">
        <f>'Raw data'!E602</f>
        <v>0</v>
      </c>
      <c r="D683" s="29" t="e">
        <f>VLOOKUP(C683,'점포코드 '!A:B,2,0)</f>
        <v>#N/A</v>
      </c>
      <c r="E683" s="30">
        <f>'Raw data'!P602</f>
        <v>0</v>
      </c>
      <c r="F683" s="29" t="e">
        <f>VLOOKUP(E683,'점포코드 '!A:B,2,0)</f>
        <v>#N/A</v>
      </c>
      <c r="G683" s="46">
        <f>'Raw data'!F602</f>
        <v>0</v>
      </c>
      <c r="H683" s="4">
        <f>'Raw data'!G602</f>
        <v>0</v>
      </c>
      <c r="I683" s="29" t="e">
        <f>VLOOKUP(G683,제품명!$C$1:$E$114,2,0)</f>
        <v>#N/A</v>
      </c>
      <c r="J683" s="29">
        <f>'Raw data'!K602</f>
        <v>0</v>
      </c>
      <c r="K683" s="31">
        <f>'Raw data'!H602</f>
        <v>0</v>
      </c>
      <c r="L683" s="26">
        <f t="shared" si="24"/>
        <v>0</v>
      </c>
    </row>
    <row r="684" spans="2:12">
      <c r="B684" s="4" t="e">
        <f t="shared" si="23"/>
        <v>#N/A</v>
      </c>
      <c r="C684" s="4">
        <f>'Raw data'!E603</f>
        <v>0</v>
      </c>
      <c r="D684" s="29" t="e">
        <f>VLOOKUP(C684,'점포코드 '!A:B,2,0)</f>
        <v>#N/A</v>
      </c>
      <c r="E684" s="30">
        <f>'Raw data'!P603</f>
        <v>0</v>
      </c>
      <c r="F684" s="29" t="e">
        <f>VLOOKUP(E684,'점포코드 '!A:B,2,0)</f>
        <v>#N/A</v>
      </c>
      <c r="G684" s="46">
        <f>'Raw data'!F603</f>
        <v>0</v>
      </c>
      <c r="H684" s="4">
        <f>'Raw data'!G603</f>
        <v>0</v>
      </c>
      <c r="I684" s="29" t="e">
        <f>VLOOKUP(G684,제품명!$C$1:$E$114,2,0)</f>
        <v>#N/A</v>
      </c>
      <c r="J684" s="29">
        <f>'Raw data'!K603</f>
        <v>0</v>
      </c>
      <c r="K684" s="31">
        <f>'Raw data'!H603</f>
        <v>0</v>
      </c>
      <c r="L684" s="26">
        <f t="shared" si="24"/>
        <v>0</v>
      </c>
    </row>
    <row r="685" spans="2:12">
      <c r="B685" s="4" t="e">
        <f t="shared" si="23"/>
        <v>#N/A</v>
      </c>
      <c r="C685" s="4">
        <f>'Raw data'!E604</f>
        <v>0</v>
      </c>
      <c r="D685" s="29" t="e">
        <f>VLOOKUP(C685,'점포코드 '!A:B,2,0)</f>
        <v>#N/A</v>
      </c>
      <c r="E685" s="30">
        <f>'Raw data'!P604</f>
        <v>0</v>
      </c>
      <c r="F685" s="29" t="e">
        <f>VLOOKUP(E685,'점포코드 '!A:B,2,0)</f>
        <v>#N/A</v>
      </c>
      <c r="G685" s="46">
        <f>'Raw data'!F604</f>
        <v>0</v>
      </c>
      <c r="H685" s="4">
        <f>'Raw data'!G604</f>
        <v>0</v>
      </c>
      <c r="I685" s="29" t="e">
        <f>VLOOKUP(G685,제품명!$C$1:$E$114,2,0)</f>
        <v>#N/A</v>
      </c>
      <c r="J685" s="29">
        <f>'Raw data'!K604</f>
        <v>0</v>
      </c>
      <c r="K685" s="31">
        <f>'Raw data'!H604</f>
        <v>0</v>
      </c>
      <c r="L685" s="26">
        <f t="shared" si="24"/>
        <v>0</v>
      </c>
    </row>
    <row r="686" spans="2:12">
      <c r="B686" s="4" t="e">
        <f t="shared" si="23"/>
        <v>#N/A</v>
      </c>
      <c r="C686" s="4">
        <f>'Raw data'!E605</f>
        <v>0</v>
      </c>
      <c r="D686" s="29" t="e">
        <f>VLOOKUP(C686,'점포코드 '!A:B,2,0)</f>
        <v>#N/A</v>
      </c>
      <c r="E686" s="30">
        <f>'Raw data'!P605</f>
        <v>0</v>
      </c>
      <c r="F686" s="29" t="e">
        <f>VLOOKUP(E686,'점포코드 '!A:B,2,0)</f>
        <v>#N/A</v>
      </c>
      <c r="G686" s="46">
        <f>'Raw data'!F605</f>
        <v>0</v>
      </c>
      <c r="H686" s="4">
        <f>'Raw data'!G605</f>
        <v>0</v>
      </c>
      <c r="I686" s="29" t="e">
        <f>VLOOKUP(G686,제품명!$C$1:$E$114,2,0)</f>
        <v>#N/A</v>
      </c>
      <c r="J686" s="29">
        <f>'Raw data'!K605</f>
        <v>0</v>
      </c>
      <c r="K686" s="31">
        <f>'Raw data'!H605</f>
        <v>0</v>
      </c>
      <c r="L686" s="26">
        <f t="shared" si="24"/>
        <v>0</v>
      </c>
    </row>
    <row r="687" spans="2:12">
      <c r="B687" s="4" t="e">
        <f t="shared" si="23"/>
        <v>#N/A</v>
      </c>
      <c r="C687" s="4">
        <f>'Raw data'!E606</f>
        <v>0</v>
      </c>
      <c r="D687" s="29" t="e">
        <f>VLOOKUP(C687,'점포코드 '!A:B,2,0)</f>
        <v>#N/A</v>
      </c>
      <c r="E687" s="30">
        <f>'Raw data'!P606</f>
        <v>0</v>
      </c>
      <c r="F687" s="29" t="e">
        <f>VLOOKUP(E687,'점포코드 '!A:B,2,0)</f>
        <v>#N/A</v>
      </c>
      <c r="G687" s="46">
        <f>'Raw data'!F606</f>
        <v>0</v>
      </c>
      <c r="H687" s="4">
        <f>'Raw data'!G606</f>
        <v>0</v>
      </c>
      <c r="I687" s="29" t="e">
        <f>VLOOKUP(G687,제품명!$C$1:$E$114,2,0)</f>
        <v>#N/A</v>
      </c>
      <c r="J687" s="29">
        <f>'Raw data'!K606</f>
        <v>0</v>
      </c>
      <c r="K687" s="31">
        <f>'Raw data'!H606</f>
        <v>0</v>
      </c>
      <c r="L687" s="26">
        <f t="shared" si="24"/>
        <v>0</v>
      </c>
    </row>
    <row r="688" spans="2:12">
      <c r="B688" s="4" t="e">
        <f t="shared" si="23"/>
        <v>#N/A</v>
      </c>
      <c r="C688" s="4">
        <f>'Raw data'!E607</f>
        <v>0</v>
      </c>
      <c r="D688" s="29" t="e">
        <f>VLOOKUP(C688,'점포코드 '!A:B,2,0)</f>
        <v>#N/A</v>
      </c>
      <c r="E688" s="30">
        <f>'Raw data'!P607</f>
        <v>0</v>
      </c>
      <c r="F688" s="29" t="e">
        <f>VLOOKUP(E688,'점포코드 '!A:B,2,0)</f>
        <v>#N/A</v>
      </c>
      <c r="G688" s="46">
        <f>'Raw data'!F607</f>
        <v>0</v>
      </c>
      <c r="H688" s="4">
        <f>'Raw data'!G607</f>
        <v>0</v>
      </c>
      <c r="I688" s="29" t="e">
        <f>VLOOKUP(G688,제품명!$C$1:$E$114,2,0)</f>
        <v>#N/A</v>
      </c>
      <c r="J688" s="29">
        <f>'Raw data'!K607</f>
        <v>0</v>
      </c>
      <c r="K688" s="31">
        <f>'Raw data'!H607</f>
        <v>0</v>
      </c>
      <c r="L688" s="26">
        <f t="shared" si="24"/>
        <v>0</v>
      </c>
    </row>
    <row r="689" spans="2:12">
      <c r="B689" s="4" t="e">
        <f t="shared" si="23"/>
        <v>#N/A</v>
      </c>
      <c r="C689" s="4">
        <f>'Raw data'!E608</f>
        <v>0</v>
      </c>
      <c r="D689" s="29" t="e">
        <f>VLOOKUP(C689,'점포코드 '!A:B,2,0)</f>
        <v>#N/A</v>
      </c>
      <c r="E689" s="30">
        <f>'Raw data'!P608</f>
        <v>0</v>
      </c>
      <c r="F689" s="29" t="e">
        <f>VLOOKUP(E689,'점포코드 '!A:B,2,0)</f>
        <v>#N/A</v>
      </c>
      <c r="G689" s="46">
        <f>'Raw data'!F608</f>
        <v>0</v>
      </c>
      <c r="H689" s="4">
        <f>'Raw data'!G608</f>
        <v>0</v>
      </c>
      <c r="I689" s="29" t="e">
        <f>VLOOKUP(G689,제품명!$C$1:$E$114,2,0)</f>
        <v>#N/A</v>
      </c>
      <c r="J689" s="29">
        <f>'Raw data'!K608</f>
        <v>0</v>
      </c>
      <c r="K689" s="31">
        <f>'Raw data'!H608</f>
        <v>0</v>
      </c>
      <c r="L689" s="26">
        <f t="shared" si="24"/>
        <v>0</v>
      </c>
    </row>
    <row r="690" spans="2:12">
      <c r="B690" s="4" t="e">
        <f t="shared" si="23"/>
        <v>#N/A</v>
      </c>
      <c r="C690" s="4">
        <f>'Raw data'!E609</f>
        <v>0</v>
      </c>
      <c r="D690" s="29" t="e">
        <f>VLOOKUP(C690,'점포코드 '!A:B,2,0)</f>
        <v>#N/A</v>
      </c>
      <c r="E690" s="30">
        <f>'Raw data'!P609</f>
        <v>0</v>
      </c>
      <c r="F690" s="29" t="e">
        <f>VLOOKUP(E690,'점포코드 '!A:B,2,0)</f>
        <v>#N/A</v>
      </c>
      <c r="G690" s="46">
        <f>'Raw data'!F609</f>
        <v>0</v>
      </c>
      <c r="H690" s="4">
        <f>'Raw data'!G609</f>
        <v>0</v>
      </c>
      <c r="I690" s="29" t="e">
        <f>VLOOKUP(G690,제품명!$C$1:$E$114,2,0)</f>
        <v>#N/A</v>
      </c>
      <c r="J690" s="29">
        <f>'Raw data'!K609</f>
        <v>0</v>
      </c>
      <c r="K690" s="31">
        <f>'Raw data'!H609</f>
        <v>0</v>
      </c>
      <c r="L690" s="26">
        <f t="shared" si="24"/>
        <v>0</v>
      </c>
    </row>
    <row r="691" spans="2:12">
      <c r="B691" s="4" t="e">
        <f t="shared" si="23"/>
        <v>#N/A</v>
      </c>
      <c r="C691" s="4">
        <f>'Raw data'!E610</f>
        <v>0</v>
      </c>
      <c r="D691" s="29" t="e">
        <f>VLOOKUP(C691,'점포코드 '!A:B,2,0)</f>
        <v>#N/A</v>
      </c>
      <c r="E691" s="30">
        <f>'Raw data'!P610</f>
        <v>0</v>
      </c>
      <c r="F691" s="29" t="e">
        <f>VLOOKUP(E691,'점포코드 '!A:B,2,0)</f>
        <v>#N/A</v>
      </c>
      <c r="G691" s="46">
        <f>'Raw data'!F610</f>
        <v>0</v>
      </c>
      <c r="H691" s="4">
        <f>'Raw data'!G610</f>
        <v>0</v>
      </c>
      <c r="I691" s="29" t="e">
        <f>VLOOKUP(G691,제품명!$C$1:$E$114,2,0)</f>
        <v>#N/A</v>
      </c>
      <c r="J691" s="29">
        <f>'Raw data'!K610</f>
        <v>0</v>
      </c>
      <c r="K691" s="31">
        <f>'Raw data'!H610</f>
        <v>0</v>
      </c>
      <c r="L691" s="26">
        <f t="shared" si="24"/>
        <v>0</v>
      </c>
    </row>
    <row r="692" spans="2:12">
      <c r="B692" s="4" t="e">
        <f t="shared" si="23"/>
        <v>#N/A</v>
      </c>
      <c r="C692" s="4">
        <f>'Raw data'!E611</f>
        <v>0</v>
      </c>
      <c r="D692" s="29" t="e">
        <f>VLOOKUP(C692,'점포코드 '!A:B,2,0)</f>
        <v>#N/A</v>
      </c>
      <c r="E692" s="30">
        <f>'Raw data'!P611</f>
        <v>0</v>
      </c>
      <c r="F692" s="29" t="e">
        <f>VLOOKUP(E692,'점포코드 '!A:B,2,0)</f>
        <v>#N/A</v>
      </c>
      <c r="G692" s="46">
        <f>'Raw data'!F611</f>
        <v>0</v>
      </c>
      <c r="H692" s="4">
        <f>'Raw data'!G611</f>
        <v>0</v>
      </c>
      <c r="I692" s="29" t="e">
        <f>VLOOKUP(G692,제품명!$C$1:$E$114,2,0)</f>
        <v>#N/A</v>
      </c>
      <c r="J692" s="29">
        <f>'Raw data'!K611</f>
        <v>0</v>
      </c>
      <c r="K692" s="31">
        <f>'Raw data'!H611</f>
        <v>0</v>
      </c>
      <c r="L692" s="26">
        <f t="shared" si="24"/>
        <v>0</v>
      </c>
    </row>
    <row r="693" spans="2:12">
      <c r="B693" s="4" t="e">
        <f t="shared" si="23"/>
        <v>#N/A</v>
      </c>
      <c r="C693" s="4">
        <f>'Raw data'!E612</f>
        <v>0</v>
      </c>
      <c r="D693" s="29" t="e">
        <f>VLOOKUP(C693,'점포코드 '!A:B,2,0)</f>
        <v>#N/A</v>
      </c>
      <c r="E693" s="30">
        <f>'Raw data'!P612</f>
        <v>0</v>
      </c>
      <c r="F693" s="29" t="e">
        <f>VLOOKUP(E693,'점포코드 '!A:B,2,0)</f>
        <v>#N/A</v>
      </c>
      <c r="G693" s="46">
        <f>'Raw data'!F612</f>
        <v>0</v>
      </c>
      <c r="H693" s="4">
        <f>'Raw data'!G612</f>
        <v>0</v>
      </c>
      <c r="I693" s="29" t="e">
        <f>VLOOKUP(G693,제품명!$C$1:$E$114,2,0)</f>
        <v>#N/A</v>
      </c>
      <c r="J693" s="29">
        <f>'Raw data'!K612</f>
        <v>0</v>
      </c>
      <c r="K693" s="31">
        <f>'Raw data'!H612</f>
        <v>0</v>
      </c>
      <c r="L693" s="26">
        <f t="shared" si="24"/>
        <v>0</v>
      </c>
    </row>
    <row r="694" spans="2:12">
      <c r="B694" s="4" t="e">
        <f t="shared" si="23"/>
        <v>#N/A</v>
      </c>
      <c r="C694" s="4">
        <f>'Raw data'!E613</f>
        <v>0</v>
      </c>
      <c r="D694" s="29" t="e">
        <f>VLOOKUP(C694,'점포코드 '!A:B,2,0)</f>
        <v>#N/A</v>
      </c>
      <c r="E694" s="30">
        <f>'Raw data'!P613</f>
        <v>0</v>
      </c>
      <c r="F694" s="29" t="e">
        <f>VLOOKUP(E694,'점포코드 '!A:B,2,0)</f>
        <v>#N/A</v>
      </c>
      <c r="G694" s="46">
        <f>'Raw data'!F613</f>
        <v>0</v>
      </c>
      <c r="H694" s="4">
        <f>'Raw data'!G613</f>
        <v>0</v>
      </c>
      <c r="I694" s="29" t="e">
        <f>VLOOKUP(G694,제품명!$C$1:$E$114,2,0)</f>
        <v>#N/A</v>
      </c>
      <c r="J694" s="29">
        <f>'Raw data'!K613</f>
        <v>0</v>
      </c>
      <c r="K694" s="31">
        <f>'Raw data'!H613</f>
        <v>0</v>
      </c>
      <c r="L694" s="26">
        <f t="shared" si="24"/>
        <v>0</v>
      </c>
    </row>
    <row r="695" spans="2:12">
      <c r="B695" s="4" t="e">
        <f t="shared" si="23"/>
        <v>#N/A</v>
      </c>
      <c r="C695" s="4">
        <f>'Raw data'!E614</f>
        <v>0</v>
      </c>
      <c r="D695" s="29" t="e">
        <f>VLOOKUP(C695,'점포코드 '!A:B,2,0)</f>
        <v>#N/A</v>
      </c>
      <c r="E695" s="30">
        <f>'Raw data'!P614</f>
        <v>0</v>
      </c>
      <c r="F695" s="29" t="e">
        <f>VLOOKUP(E695,'점포코드 '!A:B,2,0)</f>
        <v>#N/A</v>
      </c>
      <c r="G695" s="46">
        <f>'Raw data'!F614</f>
        <v>0</v>
      </c>
      <c r="H695" s="4">
        <f>'Raw data'!G614</f>
        <v>0</v>
      </c>
      <c r="I695" s="29" t="e">
        <f>VLOOKUP(G695,제품명!$C$1:$E$114,2,0)</f>
        <v>#N/A</v>
      </c>
      <c r="J695" s="29">
        <f>'Raw data'!K614</f>
        <v>0</v>
      </c>
      <c r="K695" s="31">
        <f>'Raw data'!H614</f>
        <v>0</v>
      </c>
      <c r="L695" s="26">
        <f t="shared" si="24"/>
        <v>0</v>
      </c>
    </row>
    <row r="696" spans="2:12">
      <c r="B696" s="4" t="e">
        <f t="shared" si="23"/>
        <v>#N/A</v>
      </c>
      <c r="C696" s="4">
        <f>'Raw data'!E615</f>
        <v>0</v>
      </c>
      <c r="D696" s="29" t="e">
        <f>VLOOKUP(C696,'점포코드 '!A:B,2,0)</f>
        <v>#N/A</v>
      </c>
      <c r="E696" s="30">
        <f>'Raw data'!P615</f>
        <v>0</v>
      </c>
      <c r="F696" s="29" t="e">
        <f>VLOOKUP(E696,'점포코드 '!A:B,2,0)</f>
        <v>#N/A</v>
      </c>
      <c r="G696" s="46">
        <f>'Raw data'!F615</f>
        <v>0</v>
      </c>
      <c r="H696" s="4">
        <f>'Raw data'!G615</f>
        <v>0</v>
      </c>
      <c r="I696" s="29" t="e">
        <f>VLOOKUP(G696,제품명!$C$1:$E$114,2,0)</f>
        <v>#N/A</v>
      </c>
      <c r="J696" s="29">
        <f>'Raw data'!K615</f>
        <v>0</v>
      </c>
      <c r="K696" s="31">
        <f>'Raw data'!H615</f>
        <v>0</v>
      </c>
      <c r="L696" s="26">
        <f t="shared" si="24"/>
        <v>0</v>
      </c>
    </row>
    <row r="697" spans="2:12">
      <c r="B697" s="4" t="e">
        <f t="shared" si="23"/>
        <v>#N/A</v>
      </c>
      <c r="C697" s="4">
        <f>'Raw data'!E616</f>
        <v>0</v>
      </c>
      <c r="D697" s="29" t="e">
        <f>VLOOKUP(C697,'점포코드 '!A:B,2,0)</f>
        <v>#N/A</v>
      </c>
      <c r="E697" s="30">
        <f>'Raw data'!P616</f>
        <v>0</v>
      </c>
      <c r="F697" s="29" t="e">
        <f>VLOOKUP(E697,'점포코드 '!A:B,2,0)</f>
        <v>#N/A</v>
      </c>
      <c r="G697" s="46">
        <f>'Raw data'!F616</f>
        <v>0</v>
      </c>
      <c r="H697" s="4">
        <f>'Raw data'!G616</f>
        <v>0</v>
      </c>
      <c r="I697" s="29" t="e">
        <f>VLOOKUP(G697,제품명!$C$1:$E$114,2,0)</f>
        <v>#N/A</v>
      </c>
      <c r="J697" s="29">
        <f>'Raw data'!K616</f>
        <v>0</v>
      </c>
      <c r="K697" s="31">
        <f>'Raw data'!H616</f>
        <v>0</v>
      </c>
      <c r="L697" s="26">
        <f t="shared" si="24"/>
        <v>0</v>
      </c>
    </row>
    <row r="698" spans="2:12">
      <c r="B698" s="4" t="e">
        <f t="shared" si="23"/>
        <v>#N/A</v>
      </c>
      <c r="C698" s="4">
        <f>'Raw data'!E617</f>
        <v>0</v>
      </c>
      <c r="D698" s="29" t="e">
        <f>VLOOKUP(C698,'점포코드 '!A:B,2,0)</f>
        <v>#N/A</v>
      </c>
      <c r="E698" s="30">
        <f>'Raw data'!P617</f>
        <v>0</v>
      </c>
      <c r="F698" s="29" t="e">
        <f>VLOOKUP(E698,'점포코드 '!A:B,2,0)</f>
        <v>#N/A</v>
      </c>
      <c r="G698" s="46">
        <f>'Raw data'!F617</f>
        <v>0</v>
      </c>
      <c r="H698" s="4">
        <f>'Raw data'!G617</f>
        <v>0</v>
      </c>
      <c r="I698" s="29" t="e">
        <f>VLOOKUP(G698,제품명!$C$1:$E$114,2,0)</f>
        <v>#N/A</v>
      </c>
      <c r="J698" s="29">
        <f>'Raw data'!K617</f>
        <v>0</v>
      </c>
      <c r="K698" s="31">
        <f>'Raw data'!H617</f>
        <v>0</v>
      </c>
      <c r="L698" s="26">
        <f t="shared" si="24"/>
        <v>0</v>
      </c>
    </row>
    <row r="699" spans="2:12">
      <c r="B699" s="4" t="e">
        <f t="shared" si="23"/>
        <v>#N/A</v>
      </c>
      <c r="C699" s="4">
        <f>'Raw data'!E618</f>
        <v>0</v>
      </c>
      <c r="D699" s="29" t="e">
        <f>VLOOKUP(C699,'점포코드 '!A:B,2,0)</f>
        <v>#N/A</v>
      </c>
      <c r="E699" s="30">
        <f>'Raw data'!P618</f>
        <v>0</v>
      </c>
      <c r="F699" s="29" t="e">
        <f>VLOOKUP(E699,'점포코드 '!A:B,2,0)</f>
        <v>#N/A</v>
      </c>
      <c r="G699" s="46">
        <f>'Raw data'!F618</f>
        <v>0</v>
      </c>
      <c r="H699" s="4">
        <f>'Raw data'!G618</f>
        <v>0</v>
      </c>
      <c r="I699" s="29" t="e">
        <f>VLOOKUP(G699,제품명!$C$1:$E$114,2,0)</f>
        <v>#N/A</v>
      </c>
      <c r="J699" s="29">
        <f>'Raw data'!K618</f>
        <v>0</v>
      </c>
      <c r="K699" s="31">
        <f>'Raw data'!H618</f>
        <v>0</v>
      </c>
      <c r="L699" s="26">
        <f t="shared" si="24"/>
        <v>0</v>
      </c>
    </row>
    <row r="700" spans="2:12">
      <c r="B700" s="4" t="e">
        <f t="shared" si="23"/>
        <v>#N/A</v>
      </c>
      <c r="C700" s="4">
        <f>'Raw data'!E619</f>
        <v>0</v>
      </c>
      <c r="D700" s="29" t="e">
        <f>VLOOKUP(C700,'점포코드 '!A:B,2,0)</f>
        <v>#N/A</v>
      </c>
      <c r="E700" s="30">
        <f>'Raw data'!P619</f>
        <v>0</v>
      </c>
      <c r="F700" s="29" t="e">
        <f>VLOOKUP(E700,'점포코드 '!A:B,2,0)</f>
        <v>#N/A</v>
      </c>
      <c r="G700" s="46">
        <f>'Raw data'!F619</f>
        <v>0</v>
      </c>
      <c r="H700" s="4">
        <f>'Raw data'!G619</f>
        <v>0</v>
      </c>
      <c r="I700" s="29" t="e">
        <f>VLOOKUP(G700,제품명!$C$1:$E$114,2,0)</f>
        <v>#N/A</v>
      </c>
      <c r="J700" s="29">
        <f>'Raw data'!K619</f>
        <v>0</v>
      </c>
      <c r="K700" s="31">
        <f>'Raw data'!H619</f>
        <v>0</v>
      </c>
      <c r="L700" s="26">
        <f t="shared" si="24"/>
        <v>0</v>
      </c>
    </row>
    <row r="701" spans="2:12">
      <c r="B701" s="4" t="e">
        <f t="shared" si="23"/>
        <v>#N/A</v>
      </c>
      <c r="C701" s="4">
        <f>'Raw data'!E620</f>
        <v>0</v>
      </c>
      <c r="D701" s="29" t="e">
        <f>VLOOKUP(C701,'점포코드 '!A:B,2,0)</f>
        <v>#N/A</v>
      </c>
      <c r="E701" s="30">
        <f>'Raw data'!P620</f>
        <v>0</v>
      </c>
      <c r="F701" s="29" t="e">
        <f>VLOOKUP(E701,'점포코드 '!A:B,2,0)</f>
        <v>#N/A</v>
      </c>
      <c r="G701" s="46">
        <f>'Raw data'!F620</f>
        <v>0</v>
      </c>
      <c r="H701" s="4">
        <f>'Raw data'!G620</f>
        <v>0</v>
      </c>
      <c r="I701" s="29" t="e">
        <f>VLOOKUP(G701,제품명!$C$1:$E$114,2,0)</f>
        <v>#N/A</v>
      </c>
      <c r="J701" s="29">
        <f>'Raw data'!K620</f>
        <v>0</v>
      </c>
      <c r="K701" s="31">
        <f>'Raw data'!H620</f>
        <v>0</v>
      </c>
      <c r="L701" s="26">
        <f t="shared" si="24"/>
        <v>0</v>
      </c>
    </row>
    <row r="702" spans="2:12">
      <c r="B702" s="4" t="e">
        <f t="shared" si="23"/>
        <v>#N/A</v>
      </c>
      <c r="C702" s="4">
        <f>'Raw data'!E621</f>
        <v>0</v>
      </c>
      <c r="D702" s="29" t="e">
        <f>VLOOKUP(C702,'점포코드 '!A:B,2,0)</f>
        <v>#N/A</v>
      </c>
      <c r="E702" s="30">
        <f>'Raw data'!P621</f>
        <v>0</v>
      </c>
      <c r="F702" s="29" t="e">
        <f>VLOOKUP(E702,'점포코드 '!A:B,2,0)</f>
        <v>#N/A</v>
      </c>
      <c r="G702" s="46">
        <f>'Raw data'!F621</f>
        <v>0</v>
      </c>
      <c r="H702" s="4">
        <f>'Raw data'!G621</f>
        <v>0</v>
      </c>
      <c r="I702" s="29" t="e">
        <f>VLOOKUP(G702,제품명!$C$1:$E$114,2,0)</f>
        <v>#N/A</v>
      </c>
      <c r="J702" s="29">
        <f>'Raw data'!K621</f>
        <v>0</v>
      </c>
      <c r="K702" s="31">
        <f>'Raw data'!H621</f>
        <v>0</v>
      </c>
      <c r="L702" s="26">
        <f t="shared" si="24"/>
        <v>0</v>
      </c>
    </row>
    <row r="703" spans="2:12">
      <c r="B703" s="4" t="e">
        <f t="shared" si="23"/>
        <v>#N/A</v>
      </c>
      <c r="C703" s="4">
        <f>'Raw data'!E622</f>
        <v>0</v>
      </c>
      <c r="D703" s="29" t="e">
        <f>VLOOKUP(C703,'점포코드 '!A:B,2,0)</f>
        <v>#N/A</v>
      </c>
      <c r="E703" s="30">
        <f>'Raw data'!P622</f>
        <v>0</v>
      </c>
      <c r="F703" s="29" t="e">
        <f>VLOOKUP(E703,'점포코드 '!A:B,2,0)</f>
        <v>#N/A</v>
      </c>
      <c r="G703" s="46">
        <f>'Raw data'!F622</f>
        <v>0</v>
      </c>
      <c r="H703" s="4">
        <f>'Raw data'!G622</f>
        <v>0</v>
      </c>
      <c r="I703" s="29" t="e">
        <f>VLOOKUP(G703,제품명!$C$1:$E$114,2,0)</f>
        <v>#N/A</v>
      </c>
      <c r="J703" s="29">
        <f>'Raw data'!K622</f>
        <v>0</v>
      </c>
      <c r="K703" s="31">
        <f>'Raw data'!H622</f>
        <v>0</v>
      </c>
      <c r="L703" s="26">
        <f t="shared" si="24"/>
        <v>0</v>
      </c>
    </row>
    <row r="704" spans="2:12">
      <c r="B704" s="4" t="e">
        <f t="shared" si="23"/>
        <v>#N/A</v>
      </c>
      <c r="C704" s="4">
        <f>'Raw data'!E623</f>
        <v>0</v>
      </c>
      <c r="D704" s="29" t="e">
        <f>VLOOKUP(C704,'점포코드 '!A:B,2,0)</f>
        <v>#N/A</v>
      </c>
      <c r="E704" s="30">
        <f>'Raw data'!P623</f>
        <v>0</v>
      </c>
      <c r="F704" s="29" t="e">
        <f>VLOOKUP(E704,'점포코드 '!A:B,2,0)</f>
        <v>#N/A</v>
      </c>
      <c r="G704" s="46">
        <f>'Raw data'!F623</f>
        <v>0</v>
      </c>
      <c r="H704" s="4">
        <f>'Raw data'!G623</f>
        <v>0</v>
      </c>
      <c r="I704" s="29" t="e">
        <f>VLOOKUP(G704,제품명!$C$1:$E$114,2,0)</f>
        <v>#N/A</v>
      </c>
      <c r="J704" s="29">
        <f>'Raw data'!K623</f>
        <v>0</v>
      </c>
      <c r="K704" s="31">
        <f>'Raw data'!H623</f>
        <v>0</v>
      </c>
      <c r="L704" s="26">
        <f t="shared" si="24"/>
        <v>0</v>
      </c>
    </row>
    <row r="705" spans="2:12">
      <c r="B705" s="4" t="e">
        <f t="shared" si="23"/>
        <v>#N/A</v>
      </c>
      <c r="C705" s="4">
        <f>'Raw data'!E624</f>
        <v>0</v>
      </c>
      <c r="D705" s="29" t="e">
        <f>VLOOKUP(C705,'점포코드 '!A:B,2,0)</f>
        <v>#N/A</v>
      </c>
      <c r="E705" s="30">
        <f>'Raw data'!P624</f>
        <v>0</v>
      </c>
      <c r="F705" s="29" t="e">
        <f>VLOOKUP(E705,'점포코드 '!A:B,2,0)</f>
        <v>#N/A</v>
      </c>
      <c r="G705" s="46">
        <f>'Raw data'!F624</f>
        <v>0</v>
      </c>
      <c r="H705" s="4">
        <f>'Raw data'!G624</f>
        <v>0</v>
      </c>
      <c r="I705" s="29" t="e">
        <f>VLOOKUP(G705,제품명!$C$1:$E$114,2,0)</f>
        <v>#N/A</v>
      </c>
      <c r="J705" s="29">
        <f>'Raw data'!K624</f>
        <v>0</v>
      </c>
      <c r="K705" s="31">
        <f>'Raw data'!H624</f>
        <v>0</v>
      </c>
      <c r="L705" s="26">
        <f t="shared" si="24"/>
        <v>0</v>
      </c>
    </row>
    <row r="706" spans="2:12">
      <c r="B706" s="4" t="e">
        <f t="shared" ref="B706:B769" si="25">F706&amp;I706</f>
        <v>#N/A</v>
      </c>
      <c r="C706" s="4">
        <f>'Raw data'!E625</f>
        <v>0</v>
      </c>
      <c r="D706" s="29" t="e">
        <f>VLOOKUP(C706,'점포코드 '!A:B,2,0)</f>
        <v>#N/A</v>
      </c>
      <c r="E706" s="30">
        <f>'Raw data'!P625</f>
        <v>0</v>
      </c>
      <c r="F706" s="29" t="e">
        <f>VLOOKUP(E706,'점포코드 '!A:B,2,0)</f>
        <v>#N/A</v>
      </c>
      <c r="G706" s="46">
        <f>'Raw data'!F625</f>
        <v>0</v>
      </c>
      <c r="H706" s="4">
        <f>'Raw data'!G625</f>
        <v>0</v>
      </c>
      <c r="I706" s="29" t="e">
        <f>VLOOKUP(G706,제품명!$C$1:$E$114,2,0)</f>
        <v>#N/A</v>
      </c>
      <c r="J706" s="29">
        <f>'Raw data'!K625</f>
        <v>0</v>
      </c>
      <c r="K706" s="31">
        <f>'Raw data'!H625</f>
        <v>0</v>
      </c>
      <c r="L706" s="26">
        <f t="shared" si="24"/>
        <v>0</v>
      </c>
    </row>
    <row r="707" spans="2:12">
      <c r="B707" s="4" t="e">
        <f t="shared" si="25"/>
        <v>#N/A</v>
      </c>
      <c r="C707" s="4">
        <f>'Raw data'!E626</f>
        <v>0</v>
      </c>
      <c r="D707" s="29" t="e">
        <f>VLOOKUP(C707,'점포코드 '!A:B,2,0)</f>
        <v>#N/A</v>
      </c>
      <c r="E707" s="30">
        <f>'Raw data'!P626</f>
        <v>0</v>
      </c>
      <c r="F707" s="29" t="e">
        <f>VLOOKUP(E707,'점포코드 '!A:B,2,0)</f>
        <v>#N/A</v>
      </c>
      <c r="G707" s="46">
        <f>'Raw data'!F626</f>
        <v>0</v>
      </c>
      <c r="H707" s="4">
        <f>'Raw data'!G626</f>
        <v>0</v>
      </c>
      <c r="I707" s="29" t="e">
        <f>VLOOKUP(G707,제품명!$C$1:$E$114,2,0)</f>
        <v>#N/A</v>
      </c>
      <c r="J707" s="29">
        <f>'Raw data'!K626</f>
        <v>0</v>
      </c>
      <c r="K707" s="31">
        <f>'Raw data'!H626</f>
        <v>0</v>
      </c>
      <c r="L707" s="26">
        <f t="shared" ref="L707:L770" si="26">J707*K707</f>
        <v>0</v>
      </c>
    </row>
    <row r="708" spans="2:12">
      <c r="B708" s="4" t="e">
        <f t="shared" si="25"/>
        <v>#N/A</v>
      </c>
      <c r="C708" s="4">
        <f>'Raw data'!E627</f>
        <v>0</v>
      </c>
      <c r="D708" s="29" t="e">
        <f>VLOOKUP(C708,'점포코드 '!A:B,2,0)</f>
        <v>#N/A</v>
      </c>
      <c r="E708" s="30">
        <f>'Raw data'!P627</f>
        <v>0</v>
      </c>
      <c r="F708" s="29" t="e">
        <f>VLOOKUP(E708,'점포코드 '!A:B,2,0)</f>
        <v>#N/A</v>
      </c>
      <c r="G708" s="46">
        <f>'Raw data'!F627</f>
        <v>0</v>
      </c>
      <c r="H708" s="4">
        <f>'Raw data'!G627</f>
        <v>0</v>
      </c>
      <c r="I708" s="29" t="e">
        <f>VLOOKUP(G708,제품명!$C$1:$E$114,2,0)</f>
        <v>#N/A</v>
      </c>
      <c r="J708" s="29">
        <f>'Raw data'!K627</f>
        <v>0</v>
      </c>
      <c r="K708" s="31">
        <f>'Raw data'!H627</f>
        <v>0</v>
      </c>
      <c r="L708" s="26">
        <f t="shared" si="26"/>
        <v>0</v>
      </c>
    </row>
    <row r="709" spans="2:12">
      <c r="B709" s="4" t="e">
        <f t="shared" si="25"/>
        <v>#N/A</v>
      </c>
      <c r="C709" s="4">
        <f>'Raw data'!E628</f>
        <v>0</v>
      </c>
      <c r="D709" s="29" t="e">
        <f>VLOOKUP(C709,'점포코드 '!A:B,2,0)</f>
        <v>#N/A</v>
      </c>
      <c r="E709" s="30">
        <f>'Raw data'!P628</f>
        <v>0</v>
      </c>
      <c r="F709" s="29" t="e">
        <f>VLOOKUP(E709,'점포코드 '!A:B,2,0)</f>
        <v>#N/A</v>
      </c>
      <c r="G709" s="46">
        <f>'Raw data'!F628</f>
        <v>0</v>
      </c>
      <c r="H709" s="4">
        <f>'Raw data'!G628</f>
        <v>0</v>
      </c>
      <c r="I709" s="29" t="e">
        <f>VLOOKUP(G709,제품명!$C$1:$E$114,2,0)</f>
        <v>#N/A</v>
      </c>
      <c r="J709" s="29">
        <f>'Raw data'!K628</f>
        <v>0</v>
      </c>
      <c r="K709" s="31">
        <f>'Raw data'!H628</f>
        <v>0</v>
      </c>
      <c r="L709" s="26">
        <f t="shared" si="26"/>
        <v>0</v>
      </c>
    </row>
    <row r="710" spans="2:12">
      <c r="B710" s="4" t="e">
        <f t="shared" si="25"/>
        <v>#N/A</v>
      </c>
      <c r="C710" s="4">
        <f>'Raw data'!E629</f>
        <v>0</v>
      </c>
      <c r="D710" s="29" t="e">
        <f>VLOOKUP(C710,'점포코드 '!A:B,2,0)</f>
        <v>#N/A</v>
      </c>
      <c r="E710" s="30">
        <f>'Raw data'!P629</f>
        <v>0</v>
      </c>
      <c r="F710" s="29" t="e">
        <f>VLOOKUP(E710,'점포코드 '!A:B,2,0)</f>
        <v>#N/A</v>
      </c>
      <c r="G710" s="46">
        <f>'Raw data'!F629</f>
        <v>0</v>
      </c>
      <c r="H710" s="4">
        <f>'Raw data'!G629</f>
        <v>0</v>
      </c>
      <c r="I710" s="29" t="e">
        <f>VLOOKUP(G710,제품명!$C$1:$E$114,2,0)</f>
        <v>#N/A</v>
      </c>
      <c r="J710" s="29">
        <f>'Raw data'!K629</f>
        <v>0</v>
      </c>
      <c r="K710" s="31">
        <f>'Raw data'!H629</f>
        <v>0</v>
      </c>
      <c r="L710" s="26">
        <f t="shared" si="26"/>
        <v>0</v>
      </c>
    </row>
    <row r="711" spans="2:12">
      <c r="B711" s="4" t="e">
        <f t="shared" si="25"/>
        <v>#N/A</v>
      </c>
      <c r="C711" s="4">
        <f>'Raw data'!E630</f>
        <v>0</v>
      </c>
      <c r="D711" s="29" t="e">
        <f>VLOOKUP(C711,'점포코드 '!A:B,2,0)</f>
        <v>#N/A</v>
      </c>
      <c r="E711" s="30">
        <f>'Raw data'!P630</f>
        <v>0</v>
      </c>
      <c r="F711" s="29" t="e">
        <f>VLOOKUP(E711,'점포코드 '!A:B,2,0)</f>
        <v>#N/A</v>
      </c>
      <c r="G711" s="46">
        <f>'Raw data'!F630</f>
        <v>0</v>
      </c>
      <c r="H711" s="4">
        <f>'Raw data'!G630</f>
        <v>0</v>
      </c>
      <c r="I711" s="29" t="e">
        <f>VLOOKUP(G711,제품명!$C$1:$E$114,2,0)</f>
        <v>#N/A</v>
      </c>
      <c r="J711" s="29">
        <f>'Raw data'!K630</f>
        <v>0</v>
      </c>
      <c r="K711" s="31">
        <f>'Raw data'!H630</f>
        <v>0</v>
      </c>
      <c r="L711" s="26">
        <f t="shared" si="26"/>
        <v>0</v>
      </c>
    </row>
    <row r="712" spans="2:12">
      <c r="B712" s="4" t="e">
        <f t="shared" si="25"/>
        <v>#N/A</v>
      </c>
      <c r="C712" s="4">
        <f>'Raw data'!E631</f>
        <v>0</v>
      </c>
      <c r="D712" s="29" t="e">
        <f>VLOOKUP(C712,'점포코드 '!A:B,2,0)</f>
        <v>#N/A</v>
      </c>
      <c r="E712" s="30">
        <f>'Raw data'!P631</f>
        <v>0</v>
      </c>
      <c r="F712" s="29" t="e">
        <f>VLOOKUP(E712,'점포코드 '!A:B,2,0)</f>
        <v>#N/A</v>
      </c>
      <c r="G712" s="46">
        <f>'Raw data'!F631</f>
        <v>0</v>
      </c>
      <c r="H712" s="4">
        <f>'Raw data'!G631</f>
        <v>0</v>
      </c>
      <c r="I712" s="29" t="e">
        <f>VLOOKUP(G712,제품명!$C$1:$E$114,2,0)</f>
        <v>#N/A</v>
      </c>
      <c r="J712" s="29">
        <f>'Raw data'!K631</f>
        <v>0</v>
      </c>
      <c r="K712" s="31">
        <f>'Raw data'!H631</f>
        <v>0</v>
      </c>
      <c r="L712" s="26">
        <f t="shared" si="26"/>
        <v>0</v>
      </c>
    </row>
    <row r="713" spans="2:12">
      <c r="B713" s="4" t="e">
        <f t="shared" si="25"/>
        <v>#N/A</v>
      </c>
      <c r="C713" s="4">
        <f>'Raw data'!E632</f>
        <v>0</v>
      </c>
      <c r="D713" s="29" t="e">
        <f>VLOOKUP(C713,'점포코드 '!A:B,2,0)</f>
        <v>#N/A</v>
      </c>
      <c r="E713" s="30">
        <f>'Raw data'!P632</f>
        <v>0</v>
      </c>
      <c r="F713" s="29" t="e">
        <f>VLOOKUP(E713,'점포코드 '!A:B,2,0)</f>
        <v>#N/A</v>
      </c>
      <c r="G713" s="46">
        <f>'Raw data'!F632</f>
        <v>0</v>
      </c>
      <c r="H713" s="4">
        <f>'Raw data'!G632</f>
        <v>0</v>
      </c>
      <c r="I713" s="29" t="e">
        <f>VLOOKUP(G713,제품명!$C$1:$E$114,2,0)</f>
        <v>#N/A</v>
      </c>
      <c r="J713" s="29">
        <f>'Raw data'!K632</f>
        <v>0</v>
      </c>
      <c r="K713" s="31">
        <f>'Raw data'!H632</f>
        <v>0</v>
      </c>
      <c r="L713" s="26">
        <f t="shared" si="26"/>
        <v>0</v>
      </c>
    </row>
    <row r="714" spans="2:12">
      <c r="B714" s="4" t="e">
        <f t="shared" si="25"/>
        <v>#N/A</v>
      </c>
      <c r="C714" s="4">
        <f>'Raw data'!E633</f>
        <v>0</v>
      </c>
      <c r="D714" s="29" t="e">
        <f>VLOOKUP(C714,'점포코드 '!A:B,2,0)</f>
        <v>#N/A</v>
      </c>
      <c r="E714" s="30">
        <f>'Raw data'!P633</f>
        <v>0</v>
      </c>
      <c r="F714" s="29" t="e">
        <f>VLOOKUP(E714,'점포코드 '!A:B,2,0)</f>
        <v>#N/A</v>
      </c>
      <c r="G714" s="46">
        <f>'Raw data'!F633</f>
        <v>0</v>
      </c>
      <c r="H714" s="4">
        <f>'Raw data'!G633</f>
        <v>0</v>
      </c>
      <c r="I714" s="29" t="e">
        <f>VLOOKUP(G714,제품명!$C$1:$E$114,2,0)</f>
        <v>#N/A</v>
      </c>
      <c r="J714" s="29">
        <f>'Raw data'!K633</f>
        <v>0</v>
      </c>
      <c r="K714" s="31">
        <f>'Raw data'!H633</f>
        <v>0</v>
      </c>
      <c r="L714" s="26">
        <f t="shared" si="26"/>
        <v>0</v>
      </c>
    </row>
    <row r="715" spans="2:12">
      <c r="B715" s="4" t="e">
        <f t="shared" si="25"/>
        <v>#N/A</v>
      </c>
      <c r="C715" s="4">
        <f>'Raw data'!E634</f>
        <v>0</v>
      </c>
      <c r="D715" s="29" t="e">
        <f>VLOOKUP(C715,'점포코드 '!A:B,2,0)</f>
        <v>#N/A</v>
      </c>
      <c r="E715" s="30">
        <f>'Raw data'!P634</f>
        <v>0</v>
      </c>
      <c r="F715" s="29" t="e">
        <f>VLOOKUP(E715,'점포코드 '!A:B,2,0)</f>
        <v>#N/A</v>
      </c>
      <c r="G715" s="46">
        <f>'Raw data'!F634</f>
        <v>0</v>
      </c>
      <c r="H715" s="4">
        <f>'Raw data'!G634</f>
        <v>0</v>
      </c>
      <c r="I715" s="29" t="e">
        <f>VLOOKUP(G715,제품명!$C$1:$E$114,2,0)</f>
        <v>#N/A</v>
      </c>
      <c r="J715" s="29">
        <f>'Raw data'!K634</f>
        <v>0</v>
      </c>
      <c r="K715" s="31">
        <f>'Raw data'!H634</f>
        <v>0</v>
      </c>
      <c r="L715" s="26">
        <f t="shared" si="26"/>
        <v>0</v>
      </c>
    </row>
    <row r="716" spans="2:12">
      <c r="B716" s="4" t="e">
        <f t="shared" si="25"/>
        <v>#N/A</v>
      </c>
      <c r="C716" s="4">
        <f>'Raw data'!E635</f>
        <v>0</v>
      </c>
      <c r="D716" s="29" t="e">
        <f>VLOOKUP(C716,'점포코드 '!A:B,2,0)</f>
        <v>#N/A</v>
      </c>
      <c r="E716" s="30">
        <f>'Raw data'!P635</f>
        <v>0</v>
      </c>
      <c r="F716" s="29" t="e">
        <f>VLOOKUP(E716,'점포코드 '!A:B,2,0)</f>
        <v>#N/A</v>
      </c>
      <c r="G716" s="46">
        <f>'Raw data'!F635</f>
        <v>0</v>
      </c>
      <c r="H716" s="4">
        <f>'Raw data'!G635</f>
        <v>0</v>
      </c>
      <c r="I716" s="29" t="e">
        <f>VLOOKUP(G716,제품명!$C$1:$E$114,2,0)</f>
        <v>#N/A</v>
      </c>
      <c r="J716" s="29">
        <f>'Raw data'!K635</f>
        <v>0</v>
      </c>
      <c r="K716" s="31">
        <f>'Raw data'!H635</f>
        <v>0</v>
      </c>
      <c r="L716" s="26">
        <f t="shared" si="26"/>
        <v>0</v>
      </c>
    </row>
    <row r="717" spans="2:12">
      <c r="B717" s="4" t="e">
        <f t="shared" si="25"/>
        <v>#N/A</v>
      </c>
      <c r="C717" s="4">
        <f>'Raw data'!E636</f>
        <v>0</v>
      </c>
      <c r="D717" s="29" t="e">
        <f>VLOOKUP(C717,'점포코드 '!A:B,2,0)</f>
        <v>#N/A</v>
      </c>
      <c r="E717" s="30">
        <f>'Raw data'!P636</f>
        <v>0</v>
      </c>
      <c r="F717" s="29" t="e">
        <f>VLOOKUP(E717,'점포코드 '!A:B,2,0)</f>
        <v>#N/A</v>
      </c>
      <c r="G717" s="46">
        <f>'Raw data'!F636</f>
        <v>0</v>
      </c>
      <c r="H717" s="4">
        <f>'Raw data'!G636</f>
        <v>0</v>
      </c>
      <c r="I717" s="29" t="e">
        <f>VLOOKUP(G717,제품명!$C$1:$E$114,2,0)</f>
        <v>#N/A</v>
      </c>
      <c r="J717" s="29">
        <f>'Raw data'!K636</f>
        <v>0</v>
      </c>
      <c r="K717" s="31">
        <f>'Raw data'!H636</f>
        <v>0</v>
      </c>
      <c r="L717" s="26">
        <f t="shared" si="26"/>
        <v>0</v>
      </c>
    </row>
    <row r="718" spans="2:12">
      <c r="B718" s="4" t="e">
        <f t="shared" si="25"/>
        <v>#N/A</v>
      </c>
      <c r="C718" s="4">
        <f>'Raw data'!E637</f>
        <v>0</v>
      </c>
      <c r="D718" s="29" t="e">
        <f>VLOOKUP(C718,'점포코드 '!A:B,2,0)</f>
        <v>#N/A</v>
      </c>
      <c r="E718" s="30">
        <f>'Raw data'!P637</f>
        <v>0</v>
      </c>
      <c r="F718" s="29" t="e">
        <f>VLOOKUP(E718,'점포코드 '!A:B,2,0)</f>
        <v>#N/A</v>
      </c>
      <c r="G718" s="46">
        <f>'Raw data'!F637</f>
        <v>0</v>
      </c>
      <c r="H718" s="4">
        <f>'Raw data'!G637</f>
        <v>0</v>
      </c>
      <c r="I718" s="29" t="e">
        <f>VLOOKUP(G718,제품명!$C$1:$E$114,2,0)</f>
        <v>#N/A</v>
      </c>
      <c r="J718" s="29">
        <f>'Raw data'!K637</f>
        <v>0</v>
      </c>
      <c r="K718" s="31">
        <f>'Raw data'!H637</f>
        <v>0</v>
      </c>
      <c r="L718" s="26">
        <f t="shared" si="26"/>
        <v>0</v>
      </c>
    </row>
    <row r="719" spans="2:12">
      <c r="B719" s="4" t="e">
        <f t="shared" si="25"/>
        <v>#N/A</v>
      </c>
      <c r="C719" s="4">
        <f>'Raw data'!E638</f>
        <v>0</v>
      </c>
      <c r="D719" s="29" t="e">
        <f>VLOOKUP(C719,'점포코드 '!A:B,2,0)</f>
        <v>#N/A</v>
      </c>
      <c r="E719" s="30">
        <f>'Raw data'!P638</f>
        <v>0</v>
      </c>
      <c r="F719" s="29" t="e">
        <f>VLOOKUP(E719,'점포코드 '!A:B,2,0)</f>
        <v>#N/A</v>
      </c>
      <c r="G719" s="46">
        <f>'Raw data'!F638</f>
        <v>0</v>
      </c>
      <c r="H719" s="4">
        <f>'Raw data'!G638</f>
        <v>0</v>
      </c>
      <c r="I719" s="29" t="e">
        <f>VLOOKUP(G719,제품명!$C$1:$E$114,2,0)</f>
        <v>#N/A</v>
      </c>
      <c r="J719" s="29">
        <f>'Raw data'!K638</f>
        <v>0</v>
      </c>
      <c r="K719" s="31">
        <f>'Raw data'!H638</f>
        <v>0</v>
      </c>
      <c r="L719" s="26">
        <f t="shared" si="26"/>
        <v>0</v>
      </c>
    </row>
    <row r="720" spans="2:12">
      <c r="B720" s="4" t="e">
        <f t="shared" si="25"/>
        <v>#N/A</v>
      </c>
      <c r="C720" s="4">
        <f>'Raw data'!E639</f>
        <v>0</v>
      </c>
      <c r="D720" s="29" t="e">
        <f>VLOOKUP(C720,'점포코드 '!A:B,2,0)</f>
        <v>#N/A</v>
      </c>
      <c r="E720" s="30">
        <f>'Raw data'!P639</f>
        <v>0</v>
      </c>
      <c r="F720" s="29" t="e">
        <f>VLOOKUP(E720,'점포코드 '!A:B,2,0)</f>
        <v>#N/A</v>
      </c>
      <c r="G720" s="46">
        <f>'Raw data'!F639</f>
        <v>0</v>
      </c>
      <c r="H720" s="4">
        <f>'Raw data'!G639</f>
        <v>0</v>
      </c>
      <c r="I720" s="29" t="e">
        <f>VLOOKUP(G720,제품명!$C$1:$E$114,2,0)</f>
        <v>#N/A</v>
      </c>
      <c r="J720" s="29">
        <f>'Raw data'!K639</f>
        <v>0</v>
      </c>
      <c r="K720" s="31">
        <f>'Raw data'!H639</f>
        <v>0</v>
      </c>
      <c r="L720" s="26">
        <f t="shared" si="26"/>
        <v>0</v>
      </c>
    </row>
    <row r="721" spans="2:12">
      <c r="B721" s="4" t="e">
        <f t="shared" si="25"/>
        <v>#N/A</v>
      </c>
      <c r="C721" s="4">
        <f>'Raw data'!E640</f>
        <v>0</v>
      </c>
      <c r="D721" s="29" t="e">
        <f>VLOOKUP(C721,'점포코드 '!A:B,2,0)</f>
        <v>#N/A</v>
      </c>
      <c r="E721" s="30">
        <f>'Raw data'!P640</f>
        <v>0</v>
      </c>
      <c r="F721" s="29" t="e">
        <f>VLOOKUP(E721,'점포코드 '!A:B,2,0)</f>
        <v>#N/A</v>
      </c>
      <c r="G721" s="46">
        <f>'Raw data'!F640</f>
        <v>0</v>
      </c>
      <c r="H721" s="4">
        <f>'Raw data'!G640</f>
        <v>0</v>
      </c>
      <c r="I721" s="29" t="e">
        <f>VLOOKUP(G721,제품명!$C$1:$E$114,2,0)</f>
        <v>#N/A</v>
      </c>
      <c r="J721" s="29">
        <f>'Raw data'!K640</f>
        <v>0</v>
      </c>
      <c r="K721" s="31">
        <f>'Raw data'!H640</f>
        <v>0</v>
      </c>
      <c r="L721" s="26">
        <f t="shared" si="26"/>
        <v>0</v>
      </c>
    </row>
    <row r="722" spans="2:12">
      <c r="B722" s="4" t="e">
        <f t="shared" si="25"/>
        <v>#N/A</v>
      </c>
      <c r="C722" s="4">
        <f>'Raw data'!E641</f>
        <v>0</v>
      </c>
      <c r="D722" s="29" t="e">
        <f>VLOOKUP(C722,'점포코드 '!A:B,2,0)</f>
        <v>#N/A</v>
      </c>
      <c r="E722" s="30">
        <f>'Raw data'!P641</f>
        <v>0</v>
      </c>
      <c r="F722" s="29" t="e">
        <f>VLOOKUP(E722,'점포코드 '!A:B,2,0)</f>
        <v>#N/A</v>
      </c>
      <c r="G722" s="46">
        <f>'Raw data'!F641</f>
        <v>0</v>
      </c>
      <c r="H722" s="4">
        <f>'Raw data'!G641</f>
        <v>0</v>
      </c>
      <c r="I722" s="29" t="e">
        <f>VLOOKUP(G722,제품명!$C$1:$E$114,2,0)</f>
        <v>#N/A</v>
      </c>
      <c r="J722" s="29">
        <f>'Raw data'!K641</f>
        <v>0</v>
      </c>
      <c r="K722" s="31">
        <f>'Raw data'!H641</f>
        <v>0</v>
      </c>
      <c r="L722" s="26">
        <f t="shared" si="26"/>
        <v>0</v>
      </c>
    </row>
    <row r="723" spans="2:12">
      <c r="B723" s="4" t="e">
        <f t="shared" si="25"/>
        <v>#N/A</v>
      </c>
      <c r="C723" s="4">
        <f>'Raw data'!E642</f>
        <v>0</v>
      </c>
      <c r="D723" s="29" t="e">
        <f>VLOOKUP(C723,'점포코드 '!A:B,2,0)</f>
        <v>#N/A</v>
      </c>
      <c r="E723" s="30">
        <f>'Raw data'!P642</f>
        <v>0</v>
      </c>
      <c r="F723" s="29" t="e">
        <f>VLOOKUP(E723,'점포코드 '!A:B,2,0)</f>
        <v>#N/A</v>
      </c>
      <c r="G723" s="46">
        <f>'Raw data'!F642</f>
        <v>0</v>
      </c>
      <c r="H723" s="4">
        <f>'Raw data'!G642</f>
        <v>0</v>
      </c>
      <c r="I723" s="29" t="e">
        <f>VLOOKUP(G723,제품명!$C$1:$E$114,2,0)</f>
        <v>#N/A</v>
      </c>
      <c r="J723" s="29">
        <f>'Raw data'!K642</f>
        <v>0</v>
      </c>
      <c r="K723" s="31">
        <f>'Raw data'!H642</f>
        <v>0</v>
      </c>
      <c r="L723" s="26">
        <f t="shared" si="26"/>
        <v>0</v>
      </c>
    </row>
    <row r="724" spans="2:12">
      <c r="B724" s="4" t="e">
        <f t="shared" si="25"/>
        <v>#N/A</v>
      </c>
      <c r="C724" s="4">
        <f>'Raw data'!E643</f>
        <v>0</v>
      </c>
      <c r="D724" s="29" t="e">
        <f>VLOOKUP(C724,'점포코드 '!A:B,2,0)</f>
        <v>#N/A</v>
      </c>
      <c r="E724" s="30">
        <f>'Raw data'!P643</f>
        <v>0</v>
      </c>
      <c r="F724" s="29" t="e">
        <f>VLOOKUP(E724,'점포코드 '!A:B,2,0)</f>
        <v>#N/A</v>
      </c>
      <c r="G724" s="46">
        <f>'Raw data'!F643</f>
        <v>0</v>
      </c>
      <c r="H724" s="4">
        <f>'Raw data'!G643</f>
        <v>0</v>
      </c>
      <c r="I724" s="29" t="e">
        <f>VLOOKUP(G724,제품명!$C$1:$E$114,2,0)</f>
        <v>#N/A</v>
      </c>
      <c r="J724" s="29">
        <f>'Raw data'!K643</f>
        <v>0</v>
      </c>
      <c r="K724" s="31">
        <f>'Raw data'!H643</f>
        <v>0</v>
      </c>
      <c r="L724" s="26">
        <f t="shared" si="26"/>
        <v>0</v>
      </c>
    </row>
    <row r="725" spans="2:12">
      <c r="B725" s="4" t="e">
        <f t="shared" si="25"/>
        <v>#N/A</v>
      </c>
      <c r="C725" s="4">
        <f>'Raw data'!E644</f>
        <v>0</v>
      </c>
      <c r="D725" s="29" t="e">
        <f>VLOOKUP(C725,'점포코드 '!A:B,2,0)</f>
        <v>#N/A</v>
      </c>
      <c r="E725" s="30">
        <f>'Raw data'!P644</f>
        <v>0</v>
      </c>
      <c r="F725" s="29" t="e">
        <f>VLOOKUP(E725,'점포코드 '!A:B,2,0)</f>
        <v>#N/A</v>
      </c>
      <c r="G725" s="46">
        <f>'Raw data'!F644</f>
        <v>0</v>
      </c>
      <c r="H725" s="4">
        <f>'Raw data'!G644</f>
        <v>0</v>
      </c>
      <c r="I725" s="29" t="e">
        <f>VLOOKUP(G725,제품명!$C$1:$E$114,2,0)</f>
        <v>#N/A</v>
      </c>
      <c r="J725" s="29">
        <f>'Raw data'!K644</f>
        <v>0</v>
      </c>
      <c r="K725" s="31">
        <f>'Raw data'!H644</f>
        <v>0</v>
      </c>
      <c r="L725" s="26">
        <f t="shared" si="26"/>
        <v>0</v>
      </c>
    </row>
    <row r="726" spans="2:12">
      <c r="B726" s="4" t="e">
        <f t="shared" si="25"/>
        <v>#N/A</v>
      </c>
      <c r="C726" s="4">
        <f>'Raw data'!E645</f>
        <v>0</v>
      </c>
      <c r="D726" s="29" t="e">
        <f>VLOOKUP(C726,'점포코드 '!A:B,2,0)</f>
        <v>#N/A</v>
      </c>
      <c r="E726" s="30">
        <f>'Raw data'!P645</f>
        <v>0</v>
      </c>
      <c r="F726" s="29" t="e">
        <f>VLOOKUP(E726,'점포코드 '!A:B,2,0)</f>
        <v>#N/A</v>
      </c>
      <c r="G726" s="46">
        <f>'Raw data'!F645</f>
        <v>0</v>
      </c>
      <c r="H726" s="4">
        <f>'Raw data'!G645</f>
        <v>0</v>
      </c>
      <c r="I726" s="29" t="e">
        <f>VLOOKUP(G726,제품명!$C$1:$E$114,2,0)</f>
        <v>#N/A</v>
      </c>
      <c r="J726" s="29">
        <f>'Raw data'!K645</f>
        <v>0</v>
      </c>
      <c r="K726" s="31">
        <f>'Raw data'!H645</f>
        <v>0</v>
      </c>
      <c r="L726" s="26">
        <f t="shared" si="26"/>
        <v>0</v>
      </c>
    </row>
    <row r="727" spans="2:12">
      <c r="B727" s="4" t="e">
        <f t="shared" si="25"/>
        <v>#N/A</v>
      </c>
      <c r="C727" s="4">
        <f>'Raw data'!E646</f>
        <v>0</v>
      </c>
      <c r="D727" s="29" t="e">
        <f>VLOOKUP(C727,'점포코드 '!A:B,2,0)</f>
        <v>#N/A</v>
      </c>
      <c r="E727" s="30">
        <f>'Raw data'!P646</f>
        <v>0</v>
      </c>
      <c r="F727" s="29" t="e">
        <f>VLOOKUP(E727,'점포코드 '!A:B,2,0)</f>
        <v>#N/A</v>
      </c>
      <c r="G727" s="46">
        <f>'Raw data'!F646</f>
        <v>0</v>
      </c>
      <c r="H727" s="4">
        <f>'Raw data'!G646</f>
        <v>0</v>
      </c>
      <c r="I727" s="29" t="e">
        <f>VLOOKUP(G727,제품명!$C$1:$E$114,2,0)</f>
        <v>#N/A</v>
      </c>
      <c r="J727" s="29">
        <f>'Raw data'!K646</f>
        <v>0</v>
      </c>
      <c r="K727" s="31">
        <f>'Raw data'!H646</f>
        <v>0</v>
      </c>
      <c r="L727" s="26">
        <f t="shared" si="26"/>
        <v>0</v>
      </c>
    </row>
    <row r="728" spans="2:12">
      <c r="B728" s="4" t="e">
        <f t="shared" si="25"/>
        <v>#N/A</v>
      </c>
      <c r="C728" s="4">
        <f>'Raw data'!E647</f>
        <v>0</v>
      </c>
      <c r="D728" s="29" t="e">
        <f>VLOOKUP(C728,'점포코드 '!A:B,2,0)</f>
        <v>#N/A</v>
      </c>
      <c r="E728" s="30">
        <f>'Raw data'!P647</f>
        <v>0</v>
      </c>
      <c r="F728" s="29" t="e">
        <f>VLOOKUP(E728,'점포코드 '!A:B,2,0)</f>
        <v>#N/A</v>
      </c>
      <c r="G728" s="46">
        <f>'Raw data'!F647</f>
        <v>0</v>
      </c>
      <c r="H728" s="4">
        <f>'Raw data'!G647</f>
        <v>0</v>
      </c>
      <c r="I728" s="29" t="e">
        <f>VLOOKUP(G728,제품명!$C$1:$E$114,2,0)</f>
        <v>#N/A</v>
      </c>
      <c r="J728" s="29">
        <f>'Raw data'!K647</f>
        <v>0</v>
      </c>
      <c r="K728" s="31">
        <f>'Raw data'!H647</f>
        <v>0</v>
      </c>
      <c r="L728" s="26">
        <f t="shared" si="26"/>
        <v>0</v>
      </c>
    </row>
    <row r="729" spans="2:12">
      <c r="B729" s="4" t="e">
        <f t="shared" si="25"/>
        <v>#N/A</v>
      </c>
      <c r="C729" s="4">
        <f>'Raw data'!E648</f>
        <v>0</v>
      </c>
      <c r="D729" s="29" t="e">
        <f>VLOOKUP(C729,'점포코드 '!A:B,2,0)</f>
        <v>#N/A</v>
      </c>
      <c r="E729" s="30">
        <f>'Raw data'!P648</f>
        <v>0</v>
      </c>
      <c r="F729" s="29" t="e">
        <f>VLOOKUP(E729,'점포코드 '!A:B,2,0)</f>
        <v>#N/A</v>
      </c>
      <c r="G729" s="46">
        <f>'Raw data'!F648</f>
        <v>0</v>
      </c>
      <c r="H729" s="4">
        <f>'Raw data'!G648</f>
        <v>0</v>
      </c>
      <c r="I729" s="29" t="e">
        <f>VLOOKUP(G729,제품명!$C$1:$E$114,2,0)</f>
        <v>#N/A</v>
      </c>
      <c r="J729" s="29">
        <f>'Raw data'!K648</f>
        <v>0</v>
      </c>
      <c r="K729" s="31">
        <f>'Raw data'!H648</f>
        <v>0</v>
      </c>
      <c r="L729" s="26">
        <f t="shared" si="26"/>
        <v>0</v>
      </c>
    </row>
    <row r="730" spans="2:12">
      <c r="B730" s="4" t="e">
        <f t="shared" si="25"/>
        <v>#N/A</v>
      </c>
      <c r="C730" s="4">
        <f>'Raw data'!E649</f>
        <v>0</v>
      </c>
      <c r="D730" s="29" t="e">
        <f>VLOOKUP(C730,'점포코드 '!A:B,2,0)</f>
        <v>#N/A</v>
      </c>
      <c r="E730" s="30">
        <f>'Raw data'!P649</f>
        <v>0</v>
      </c>
      <c r="F730" s="29" t="e">
        <f>VLOOKUP(E730,'점포코드 '!A:B,2,0)</f>
        <v>#N/A</v>
      </c>
      <c r="G730" s="46">
        <f>'Raw data'!F649</f>
        <v>0</v>
      </c>
      <c r="H730" s="4">
        <f>'Raw data'!G649</f>
        <v>0</v>
      </c>
      <c r="I730" s="29" t="e">
        <f>VLOOKUP(G730,제품명!$C$1:$E$114,2,0)</f>
        <v>#N/A</v>
      </c>
      <c r="J730" s="29">
        <f>'Raw data'!K649</f>
        <v>0</v>
      </c>
      <c r="K730" s="31">
        <f>'Raw data'!H649</f>
        <v>0</v>
      </c>
      <c r="L730" s="26">
        <f t="shared" si="26"/>
        <v>0</v>
      </c>
    </row>
    <row r="731" spans="2:12">
      <c r="B731" s="4" t="e">
        <f t="shared" si="25"/>
        <v>#N/A</v>
      </c>
      <c r="C731" s="4">
        <f>'Raw data'!E650</f>
        <v>0</v>
      </c>
      <c r="D731" s="29" t="e">
        <f>VLOOKUP(C731,'점포코드 '!A:B,2,0)</f>
        <v>#N/A</v>
      </c>
      <c r="E731" s="30">
        <f>'Raw data'!P650</f>
        <v>0</v>
      </c>
      <c r="F731" s="29" t="e">
        <f>VLOOKUP(E731,'점포코드 '!A:B,2,0)</f>
        <v>#N/A</v>
      </c>
      <c r="G731" s="46">
        <f>'Raw data'!F650</f>
        <v>0</v>
      </c>
      <c r="H731" s="4">
        <f>'Raw data'!G650</f>
        <v>0</v>
      </c>
      <c r="I731" s="29" t="e">
        <f>VLOOKUP(G731,제품명!$C$1:$E$114,2,0)</f>
        <v>#N/A</v>
      </c>
      <c r="J731" s="29">
        <f>'Raw data'!K650</f>
        <v>0</v>
      </c>
      <c r="K731" s="31">
        <f>'Raw data'!H650</f>
        <v>0</v>
      </c>
      <c r="L731" s="26">
        <f t="shared" si="26"/>
        <v>0</v>
      </c>
    </row>
    <row r="732" spans="2:12">
      <c r="B732" s="4" t="e">
        <f t="shared" si="25"/>
        <v>#N/A</v>
      </c>
      <c r="C732" s="4">
        <f>'Raw data'!E651</f>
        <v>0</v>
      </c>
      <c r="D732" s="29" t="e">
        <f>VLOOKUP(C732,'점포코드 '!A:B,2,0)</f>
        <v>#N/A</v>
      </c>
      <c r="E732" s="30">
        <f>'Raw data'!P651</f>
        <v>0</v>
      </c>
      <c r="F732" s="29" t="e">
        <f>VLOOKUP(E732,'점포코드 '!A:B,2,0)</f>
        <v>#N/A</v>
      </c>
      <c r="G732" s="46">
        <f>'Raw data'!F651</f>
        <v>0</v>
      </c>
      <c r="H732" s="4">
        <f>'Raw data'!G651</f>
        <v>0</v>
      </c>
      <c r="I732" s="29" t="e">
        <f>VLOOKUP(G732,제품명!$C$1:$E$114,2,0)</f>
        <v>#N/A</v>
      </c>
      <c r="J732" s="29">
        <f>'Raw data'!K651</f>
        <v>0</v>
      </c>
      <c r="K732" s="31">
        <f>'Raw data'!H651</f>
        <v>0</v>
      </c>
      <c r="L732" s="26">
        <f t="shared" si="26"/>
        <v>0</v>
      </c>
    </row>
    <row r="733" spans="2:12">
      <c r="B733" s="4" t="e">
        <f t="shared" si="25"/>
        <v>#N/A</v>
      </c>
      <c r="C733" s="4">
        <f>'Raw data'!E652</f>
        <v>0</v>
      </c>
      <c r="D733" s="29" t="e">
        <f>VLOOKUP(C733,'점포코드 '!A:B,2,0)</f>
        <v>#N/A</v>
      </c>
      <c r="E733" s="30">
        <f>'Raw data'!P652</f>
        <v>0</v>
      </c>
      <c r="F733" s="29" t="e">
        <f>VLOOKUP(E733,'점포코드 '!A:B,2,0)</f>
        <v>#N/A</v>
      </c>
      <c r="G733" s="46">
        <f>'Raw data'!F652</f>
        <v>0</v>
      </c>
      <c r="H733" s="4">
        <f>'Raw data'!G652</f>
        <v>0</v>
      </c>
      <c r="I733" s="29" t="e">
        <f>VLOOKUP(G733,제품명!$C$1:$E$114,2,0)</f>
        <v>#N/A</v>
      </c>
      <c r="J733" s="29">
        <f>'Raw data'!K652</f>
        <v>0</v>
      </c>
      <c r="K733" s="31">
        <f>'Raw data'!H652</f>
        <v>0</v>
      </c>
      <c r="L733" s="26">
        <f t="shared" si="26"/>
        <v>0</v>
      </c>
    </row>
    <row r="734" spans="2:12">
      <c r="B734" s="4" t="e">
        <f t="shared" si="25"/>
        <v>#N/A</v>
      </c>
      <c r="C734" s="4">
        <f>'Raw data'!E653</f>
        <v>0</v>
      </c>
      <c r="D734" s="29" t="e">
        <f>VLOOKUP(C734,'점포코드 '!A:B,2,0)</f>
        <v>#N/A</v>
      </c>
      <c r="E734" s="30">
        <f>'Raw data'!P653</f>
        <v>0</v>
      </c>
      <c r="F734" s="29" t="e">
        <f>VLOOKUP(E734,'점포코드 '!A:B,2,0)</f>
        <v>#N/A</v>
      </c>
      <c r="G734" s="46">
        <f>'Raw data'!F653</f>
        <v>0</v>
      </c>
      <c r="H734" s="4">
        <f>'Raw data'!G653</f>
        <v>0</v>
      </c>
      <c r="I734" s="29" t="e">
        <f>VLOOKUP(G734,제품명!$C$1:$E$114,2,0)</f>
        <v>#N/A</v>
      </c>
      <c r="J734" s="29">
        <f>'Raw data'!K653</f>
        <v>0</v>
      </c>
      <c r="K734" s="31">
        <f>'Raw data'!H653</f>
        <v>0</v>
      </c>
      <c r="L734" s="26">
        <f t="shared" si="26"/>
        <v>0</v>
      </c>
    </row>
    <row r="735" spans="2:12">
      <c r="B735" s="4" t="e">
        <f t="shared" si="25"/>
        <v>#N/A</v>
      </c>
      <c r="C735" s="4">
        <f>'Raw data'!E654</f>
        <v>0</v>
      </c>
      <c r="D735" s="29" t="e">
        <f>VLOOKUP(C735,'점포코드 '!A:B,2,0)</f>
        <v>#N/A</v>
      </c>
      <c r="E735" s="30">
        <f>'Raw data'!P654</f>
        <v>0</v>
      </c>
      <c r="F735" s="29" t="e">
        <f>VLOOKUP(E735,'점포코드 '!A:B,2,0)</f>
        <v>#N/A</v>
      </c>
      <c r="G735" s="46">
        <f>'Raw data'!F654</f>
        <v>0</v>
      </c>
      <c r="H735" s="4">
        <f>'Raw data'!G654</f>
        <v>0</v>
      </c>
      <c r="I735" s="29" t="e">
        <f>VLOOKUP(G735,제품명!$C$1:$E$114,2,0)</f>
        <v>#N/A</v>
      </c>
      <c r="J735" s="29">
        <f>'Raw data'!K654</f>
        <v>0</v>
      </c>
      <c r="K735" s="31">
        <f>'Raw data'!H654</f>
        <v>0</v>
      </c>
      <c r="L735" s="26">
        <f t="shared" si="26"/>
        <v>0</v>
      </c>
    </row>
    <row r="736" spans="2:12">
      <c r="B736" s="4" t="e">
        <f t="shared" si="25"/>
        <v>#N/A</v>
      </c>
      <c r="C736" s="4">
        <f>'Raw data'!E655</f>
        <v>0</v>
      </c>
      <c r="D736" s="29" t="e">
        <f>VLOOKUP(C736,'점포코드 '!A:B,2,0)</f>
        <v>#N/A</v>
      </c>
      <c r="E736" s="30">
        <f>'Raw data'!P655</f>
        <v>0</v>
      </c>
      <c r="F736" s="29" t="e">
        <f>VLOOKUP(E736,'점포코드 '!A:B,2,0)</f>
        <v>#N/A</v>
      </c>
      <c r="G736" s="46">
        <f>'Raw data'!F655</f>
        <v>0</v>
      </c>
      <c r="H736" s="4">
        <f>'Raw data'!G655</f>
        <v>0</v>
      </c>
      <c r="I736" s="29" t="e">
        <f>VLOOKUP(G736,제품명!$C$1:$E$114,2,0)</f>
        <v>#N/A</v>
      </c>
      <c r="J736" s="29">
        <f>'Raw data'!K655</f>
        <v>0</v>
      </c>
      <c r="K736" s="31">
        <f>'Raw data'!H655</f>
        <v>0</v>
      </c>
      <c r="L736" s="26">
        <f t="shared" si="26"/>
        <v>0</v>
      </c>
    </row>
    <row r="737" spans="2:12">
      <c r="B737" s="4" t="e">
        <f t="shared" si="25"/>
        <v>#N/A</v>
      </c>
      <c r="C737" s="4">
        <f>'Raw data'!E656</f>
        <v>0</v>
      </c>
      <c r="D737" s="29" t="e">
        <f>VLOOKUP(C737,'점포코드 '!A:B,2,0)</f>
        <v>#N/A</v>
      </c>
      <c r="E737" s="30">
        <f>'Raw data'!P656</f>
        <v>0</v>
      </c>
      <c r="F737" s="29" t="e">
        <f>VLOOKUP(E737,'점포코드 '!A:B,2,0)</f>
        <v>#N/A</v>
      </c>
      <c r="G737" s="46">
        <f>'Raw data'!F656</f>
        <v>0</v>
      </c>
      <c r="H737" s="4">
        <f>'Raw data'!G656</f>
        <v>0</v>
      </c>
      <c r="I737" s="29" t="e">
        <f>VLOOKUP(G737,제품명!$C$1:$E$114,2,0)</f>
        <v>#N/A</v>
      </c>
      <c r="J737" s="29">
        <f>'Raw data'!K656</f>
        <v>0</v>
      </c>
      <c r="K737" s="31">
        <f>'Raw data'!H656</f>
        <v>0</v>
      </c>
      <c r="L737" s="26">
        <f t="shared" si="26"/>
        <v>0</v>
      </c>
    </row>
    <row r="738" spans="2:12">
      <c r="B738" s="4" t="e">
        <f t="shared" si="25"/>
        <v>#N/A</v>
      </c>
      <c r="C738" s="4">
        <f>'Raw data'!E657</f>
        <v>0</v>
      </c>
      <c r="D738" s="29" t="e">
        <f>VLOOKUP(C738,'점포코드 '!A:B,2,0)</f>
        <v>#N/A</v>
      </c>
      <c r="E738" s="30">
        <f>'Raw data'!P657</f>
        <v>0</v>
      </c>
      <c r="F738" s="29" t="e">
        <f>VLOOKUP(E738,'점포코드 '!A:B,2,0)</f>
        <v>#N/A</v>
      </c>
      <c r="G738" s="46">
        <f>'Raw data'!F657</f>
        <v>0</v>
      </c>
      <c r="H738" s="4">
        <f>'Raw data'!G657</f>
        <v>0</v>
      </c>
      <c r="I738" s="29" t="e">
        <f>VLOOKUP(G738,제품명!$C$1:$E$114,2,0)</f>
        <v>#N/A</v>
      </c>
      <c r="J738" s="29">
        <f>'Raw data'!K657</f>
        <v>0</v>
      </c>
      <c r="K738" s="31">
        <f>'Raw data'!H657</f>
        <v>0</v>
      </c>
      <c r="L738" s="26">
        <f t="shared" si="26"/>
        <v>0</v>
      </c>
    </row>
    <row r="739" spans="2:12">
      <c r="B739" s="4" t="e">
        <f t="shared" si="25"/>
        <v>#N/A</v>
      </c>
      <c r="C739" s="4">
        <f>'Raw data'!E658</f>
        <v>0</v>
      </c>
      <c r="D739" s="29" t="e">
        <f>VLOOKUP(C739,'점포코드 '!A:B,2,0)</f>
        <v>#N/A</v>
      </c>
      <c r="E739" s="30">
        <f>'Raw data'!P658</f>
        <v>0</v>
      </c>
      <c r="F739" s="29" t="e">
        <f>VLOOKUP(E739,'점포코드 '!A:B,2,0)</f>
        <v>#N/A</v>
      </c>
      <c r="G739" s="46">
        <f>'Raw data'!F658</f>
        <v>0</v>
      </c>
      <c r="H739" s="4">
        <f>'Raw data'!G658</f>
        <v>0</v>
      </c>
      <c r="I739" s="29" t="e">
        <f>VLOOKUP(G739,제품명!$C$1:$E$114,2,0)</f>
        <v>#N/A</v>
      </c>
      <c r="J739" s="29">
        <f>'Raw data'!K658</f>
        <v>0</v>
      </c>
      <c r="K739" s="31">
        <f>'Raw data'!H658</f>
        <v>0</v>
      </c>
      <c r="L739" s="26">
        <f t="shared" si="26"/>
        <v>0</v>
      </c>
    </row>
    <row r="740" spans="2:12">
      <c r="B740" s="4" t="e">
        <f t="shared" si="25"/>
        <v>#N/A</v>
      </c>
      <c r="C740" s="4">
        <f>'Raw data'!E659</f>
        <v>0</v>
      </c>
      <c r="D740" s="29" t="e">
        <f>VLOOKUP(C740,'점포코드 '!A:B,2,0)</f>
        <v>#N/A</v>
      </c>
      <c r="E740" s="30">
        <f>'Raw data'!P659</f>
        <v>0</v>
      </c>
      <c r="F740" s="29" t="e">
        <f>VLOOKUP(E740,'점포코드 '!A:B,2,0)</f>
        <v>#N/A</v>
      </c>
      <c r="G740" s="46">
        <f>'Raw data'!F659</f>
        <v>0</v>
      </c>
      <c r="H740" s="4">
        <f>'Raw data'!G659</f>
        <v>0</v>
      </c>
      <c r="I740" s="29" t="e">
        <f>VLOOKUP(G740,제품명!$C$1:$E$114,2,0)</f>
        <v>#N/A</v>
      </c>
      <c r="J740" s="29">
        <f>'Raw data'!K659</f>
        <v>0</v>
      </c>
      <c r="K740" s="31">
        <f>'Raw data'!H659</f>
        <v>0</v>
      </c>
      <c r="L740" s="26">
        <f t="shared" si="26"/>
        <v>0</v>
      </c>
    </row>
    <row r="741" spans="2:12">
      <c r="B741" s="4" t="e">
        <f t="shared" si="25"/>
        <v>#N/A</v>
      </c>
      <c r="C741" s="4">
        <f>'Raw data'!E660</f>
        <v>0</v>
      </c>
      <c r="D741" s="29" t="e">
        <f>VLOOKUP(C741,'점포코드 '!A:B,2,0)</f>
        <v>#N/A</v>
      </c>
      <c r="E741" s="30">
        <f>'Raw data'!P660</f>
        <v>0</v>
      </c>
      <c r="F741" s="29" t="e">
        <f>VLOOKUP(E741,'점포코드 '!A:B,2,0)</f>
        <v>#N/A</v>
      </c>
      <c r="G741" s="46">
        <f>'Raw data'!F660</f>
        <v>0</v>
      </c>
      <c r="H741" s="4">
        <f>'Raw data'!G660</f>
        <v>0</v>
      </c>
      <c r="I741" s="29" t="e">
        <f>VLOOKUP(G741,제품명!$C$1:$E$114,2,0)</f>
        <v>#N/A</v>
      </c>
      <c r="J741" s="29">
        <f>'Raw data'!K660</f>
        <v>0</v>
      </c>
      <c r="K741" s="31">
        <f>'Raw data'!H660</f>
        <v>0</v>
      </c>
      <c r="L741" s="26">
        <f t="shared" si="26"/>
        <v>0</v>
      </c>
    </row>
    <row r="742" spans="2:12">
      <c r="B742" s="4" t="e">
        <f t="shared" si="25"/>
        <v>#N/A</v>
      </c>
      <c r="C742" s="4">
        <f>'Raw data'!E661</f>
        <v>0</v>
      </c>
      <c r="D742" s="29" t="e">
        <f>VLOOKUP(C742,'점포코드 '!A:B,2,0)</f>
        <v>#N/A</v>
      </c>
      <c r="E742" s="30">
        <f>'Raw data'!P661</f>
        <v>0</v>
      </c>
      <c r="F742" s="29" t="e">
        <f>VLOOKUP(E742,'점포코드 '!A:B,2,0)</f>
        <v>#N/A</v>
      </c>
      <c r="G742" s="46">
        <f>'Raw data'!F661</f>
        <v>0</v>
      </c>
      <c r="H742" s="4">
        <f>'Raw data'!G661</f>
        <v>0</v>
      </c>
      <c r="I742" s="29" t="e">
        <f>VLOOKUP(G742,제품명!$C$1:$E$114,2,0)</f>
        <v>#N/A</v>
      </c>
      <c r="J742" s="29">
        <f>'Raw data'!K661</f>
        <v>0</v>
      </c>
      <c r="K742" s="31">
        <f>'Raw data'!H661</f>
        <v>0</v>
      </c>
      <c r="L742" s="26">
        <f t="shared" si="26"/>
        <v>0</v>
      </c>
    </row>
    <row r="743" spans="2:12">
      <c r="B743" s="4" t="e">
        <f t="shared" si="25"/>
        <v>#N/A</v>
      </c>
      <c r="C743" s="4">
        <f>'Raw data'!E662</f>
        <v>0</v>
      </c>
      <c r="D743" s="29" t="e">
        <f>VLOOKUP(C743,'점포코드 '!A:B,2,0)</f>
        <v>#N/A</v>
      </c>
      <c r="E743" s="30">
        <f>'Raw data'!P662</f>
        <v>0</v>
      </c>
      <c r="F743" s="29" t="e">
        <f>VLOOKUP(E743,'점포코드 '!A:B,2,0)</f>
        <v>#N/A</v>
      </c>
      <c r="G743" s="46">
        <f>'Raw data'!F662</f>
        <v>0</v>
      </c>
      <c r="H743" s="4">
        <f>'Raw data'!G662</f>
        <v>0</v>
      </c>
      <c r="I743" s="29" t="e">
        <f>VLOOKUP(G743,제품명!$C$1:$E$114,2,0)</f>
        <v>#N/A</v>
      </c>
      <c r="J743" s="29">
        <f>'Raw data'!K662</f>
        <v>0</v>
      </c>
      <c r="K743" s="31">
        <f>'Raw data'!H662</f>
        <v>0</v>
      </c>
      <c r="L743" s="26">
        <f t="shared" si="26"/>
        <v>0</v>
      </c>
    </row>
    <row r="744" spans="2:12">
      <c r="B744" s="4" t="e">
        <f t="shared" si="25"/>
        <v>#N/A</v>
      </c>
      <c r="C744" s="4">
        <f>'Raw data'!E663</f>
        <v>0</v>
      </c>
      <c r="D744" s="29" t="e">
        <f>VLOOKUP(C744,'점포코드 '!A:B,2,0)</f>
        <v>#N/A</v>
      </c>
      <c r="E744" s="30">
        <f>'Raw data'!P663</f>
        <v>0</v>
      </c>
      <c r="F744" s="29" t="e">
        <f>VLOOKUP(E744,'점포코드 '!A:B,2,0)</f>
        <v>#N/A</v>
      </c>
      <c r="G744" s="46">
        <f>'Raw data'!F663</f>
        <v>0</v>
      </c>
      <c r="H744" s="4">
        <f>'Raw data'!G663</f>
        <v>0</v>
      </c>
      <c r="I744" s="29" t="e">
        <f>VLOOKUP(G744,제품명!$C$1:$E$114,2,0)</f>
        <v>#N/A</v>
      </c>
      <c r="J744" s="29">
        <f>'Raw data'!K663</f>
        <v>0</v>
      </c>
      <c r="K744" s="31">
        <f>'Raw data'!H663</f>
        <v>0</v>
      </c>
      <c r="L744" s="26">
        <f t="shared" si="26"/>
        <v>0</v>
      </c>
    </row>
    <row r="745" spans="2:12">
      <c r="B745" s="4" t="e">
        <f t="shared" si="25"/>
        <v>#N/A</v>
      </c>
      <c r="C745" s="4">
        <f>'Raw data'!E664</f>
        <v>0</v>
      </c>
      <c r="D745" s="29" t="e">
        <f>VLOOKUP(C745,'점포코드 '!A:B,2,0)</f>
        <v>#N/A</v>
      </c>
      <c r="E745" s="30">
        <f>'Raw data'!P664</f>
        <v>0</v>
      </c>
      <c r="F745" s="29" t="e">
        <f>VLOOKUP(E745,'점포코드 '!A:B,2,0)</f>
        <v>#N/A</v>
      </c>
      <c r="G745" s="46">
        <f>'Raw data'!F664</f>
        <v>0</v>
      </c>
      <c r="H745" s="4">
        <f>'Raw data'!G664</f>
        <v>0</v>
      </c>
      <c r="I745" s="29" t="e">
        <f>VLOOKUP(G745,제품명!$C$1:$E$114,2,0)</f>
        <v>#N/A</v>
      </c>
      <c r="J745" s="29">
        <f>'Raw data'!K664</f>
        <v>0</v>
      </c>
      <c r="K745" s="31">
        <f>'Raw data'!H664</f>
        <v>0</v>
      </c>
      <c r="L745" s="26">
        <f t="shared" si="26"/>
        <v>0</v>
      </c>
    </row>
    <row r="746" spans="2:12">
      <c r="B746" s="4" t="e">
        <f t="shared" si="25"/>
        <v>#N/A</v>
      </c>
      <c r="C746" s="4">
        <f>'Raw data'!E665</f>
        <v>0</v>
      </c>
      <c r="D746" s="29" t="e">
        <f>VLOOKUP(C746,'점포코드 '!A:B,2,0)</f>
        <v>#N/A</v>
      </c>
      <c r="E746" s="30">
        <f>'Raw data'!P665</f>
        <v>0</v>
      </c>
      <c r="F746" s="29" t="e">
        <f>VLOOKUP(E746,'점포코드 '!A:B,2,0)</f>
        <v>#N/A</v>
      </c>
      <c r="G746" s="46">
        <f>'Raw data'!F665</f>
        <v>0</v>
      </c>
      <c r="H746" s="4">
        <f>'Raw data'!G665</f>
        <v>0</v>
      </c>
      <c r="I746" s="29" t="e">
        <f>VLOOKUP(G746,제품명!$C$1:$E$114,2,0)</f>
        <v>#N/A</v>
      </c>
      <c r="J746" s="29">
        <f>'Raw data'!K665</f>
        <v>0</v>
      </c>
      <c r="K746" s="31">
        <f>'Raw data'!H665</f>
        <v>0</v>
      </c>
      <c r="L746" s="26">
        <f t="shared" si="26"/>
        <v>0</v>
      </c>
    </row>
    <row r="747" spans="2:12">
      <c r="B747" s="4" t="e">
        <f t="shared" si="25"/>
        <v>#N/A</v>
      </c>
      <c r="C747" s="4">
        <f>'Raw data'!E666</f>
        <v>0</v>
      </c>
      <c r="D747" s="29" t="e">
        <f>VLOOKUP(C747,'점포코드 '!A:B,2,0)</f>
        <v>#N/A</v>
      </c>
      <c r="E747" s="30">
        <f>'Raw data'!P666</f>
        <v>0</v>
      </c>
      <c r="F747" s="29" t="e">
        <f>VLOOKUP(E747,'점포코드 '!A:B,2,0)</f>
        <v>#N/A</v>
      </c>
      <c r="G747" s="46">
        <f>'Raw data'!F666</f>
        <v>0</v>
      </c>
      <c r="H747" s="4">
        <f>'Raw data'!G666</f>
        <v>0</v>
      </c>
      <c r="I747" s="29" t="e">
        <f>VLOOKUP(G747,제품명!$C$1:$E$114,2,0)</f>
        <v>#N/A</v>
      </c>
      <c r="J747" s="29">
        <f>'Raw data'!K666</f>
        <v>0</v>
      </c>
      <c r="K747" s="31">
        <f>'Raw data'!H666</f>
        <v>0</v>
      </c>
      <c r="L747" s="26">
        <f t="shared" si="26"/>
        <v>0</v>
      </c>
    </row>
    <row r="748" spans="2:12">
      <c r="B748" s="4" t="e">
        <f t="shared" si="25"/>
        <v>#N/A</v>
      </c>
      <c r="C748" s="4">
        <f>'Raw data'!E667</f>
        <v>0</v>
      </c>
      <c r="D748" s="29" t="e">
        <f>VLOOKUP(C748,'점포코드 '!A:B,2,0)</f>
        <v>#N/A</v>
      </c>
      <c r="E748" s="30">
        <f>'Raw data'!P667</f>
        <v>0</v>
      </c>
      <c r="F748" s="29" t="e">
        <f>VLOOKUP(E748,'점포코드 '!A:B,2,0)</f>
        <v>#N/A</v>
      </c>
      <c r="G748" s="46">
        <f>'Raw data'!F667</f>
        <v>0</v>
      </c>
      <c r="H748" s="4">
        <f>'Raw data'!G667</f>
        <v>0</v>
      </c>
      <c r="I748" s="29" t="e">
        <f>VLOOKUP(G748,제품명!$C$1:$E$114,2,0)</f>
        <v>#N/A</v>
      </c>
      <c r="J748" s="29">
        <f>'Raw data'!K667</f>
        <v>0</v>
      </c>
      <c r="K748" s="31">
        <f>'Raw data'!H667</f>
        <v>0</v>
      </c>
      <c r="L748" s="26">
        <f t="shared" si="26"/>
        <v>0</v>
      </c>
    </row>
    <row r="749" spans="2:12">
      <c r="B749" s="4" t="e">
        <f t="shared" si="25"/>
        <v>#N/A</v>
      </c>
      <c r="C749" s="4">
        <f>'Raw data'!E668</f>
        <v>0</v>
      </c>
      <c r="D749" s="29" t="e">
        <f>VLOOKUP(C749,'점포코드 '!A:B,2,0)</f>
        <v>#N/A</v>
      </c>
      <c r="E749" s="30">
        <f>'Raw data'!P668</f>
        <v>0</v>
      </c>
      <c r="F749" s="29" t="e">
        <f>VLOOKUP(E749,'점포코드 '!A:B,2,0)</f>
        <v>#N/A</v>
      </c>
      <c r="G749" s="46">
        <f>'Raw data'!F668</f>
        <v>0</v>
      </c>
      <c r="H749" s="4">
        <f>'Raw data'!G668</f>
        <v>0</v>
      </c>
      <c r="I749" s="29" t="e">
        <f>VLOOKUP(G749,제품명!$C$1:$E$114,2,0)</f>
        <v>#N/A</v>
      </c>
      <c r="J749" s="29">
        <f>'Raw data'!K668</f>
        <v>0</v>
      </c>
      <c r="K749" s="31">
        <f>'Raw data'!H668</f>
        <v>0</v>
      </c>
      <c r="L749" s="26">
        <f t="shared" si="26"/>
        <v>0</v>
      </c>
    </row>
    <row r="750" spans="2:12">
      <c r="B750" s="4" t="e">
        <f t="shared" si="25"/>
        <v>#N/A</v>
      </c>
      <c r="C750" s="4">
        <f>'Raw data'!E669</f>
        <v>0</v>
      </c>
      <c r="D750" s="29" t="e">
        <f>VLOOKUP(C750,'점포코드 '!A:B,2,0)</f>
        <v>#N/A</v>
      </c>
      <c r="E750" s="30">
        <f>'Raw data'!P669</f>
        <v>0</v>
      </c>
      <c r="F750" s="29" t="e">
        <f>VLOOKUP(E750,'점포코드 '!A:B,2,0)</f>
        <v>#N/A</v>
      </c>
      <c r="G750" s="46">
        <f>'Raw data'!F669</f>
        <v>0</v>
      </c>
      <c r="H750" s="4">
        <f>'Raw data'!G669</f>
        <v>0</v>
      </c>
      <c r="I750" s="29" t="e">
        <f>VLOOKUP(G750,제품명!$C$1:$E$114,2,0)</f>
        <v>#N/A</v>
      </c>
      <c r="J750" s="29">
        <f>'Raw data'!K669</f>
        <v>0</v>
      </c>
      <c r="K750" s="31">
        <f>'Raw data'!H669</f>
        <v>0</v>
      </c>
      <c r="L750" s="26">
        <f t="shared" si="26"/>
        <v>0</v>
      </c>
    </row>
    <row r="751" spans="2:12">
      <c r="B751" s="4" t="e">
        <f t="shared" si="25"/>
        <v>#N/A</v>
      </c>
      <c r="C751" s="4">
        <f>'Raw data'!E670</f>
        <v>0</v>
      </c>
      <c r="D751" s="29" t="e">
        <f>VLOOKUP(C751,'점포코드 '!A:B,2,0)</f>
        <v>#N/A</v>
      </c>
      <c r="E751" s="30">
        <f>'Raw data'!P670</f>
        <v>0</v>
      </c>
      <c r="F751" s="29" t="e">
        <f>VLOOKUP(E751,'점포코드 '!A:B,2,0)</f>
        <v>#N/A</v>
      </c>
      <c r="G751" s="46">
        <f>'Raw data'!F670</f>
        <v>0</v>
      </c>
      <c r="H751" s="4">
        <f>'Raw data'!G670</f>
        <v>0</v>
      </c>
      <c r="I751" s="29" t="e">
        <f>VLOOKUP(G751,제품명!$C$1:$E$114,2,0)</f>
        <v>#N/A</v>
      </c>
      <c r="J751" s="29">
        <f>'Raw data'!K670</f>
        <v>0</v>
      </c>
      <c r="K751" s="31">
        <f>'Raw data'!H670</f>
        <v>0</v>
      </c>
      <c r="L751" s="26">
        <f t="shared" si="26"/>
        <v>0</v>
      </c>
    </row>
    <row r="752" spans="2:12">
      <c r="B752" s="4" t="e">
        <f t="shared" si="25"/>
        <v>#N/A</v>
      </c>
      <c r="C752" s="4">
        <f>'Raw data'!E671</f>
        <v>0</v>
      </c>
      <c r="D752" s="29" t="e">
        <f>VLOOKUP(C752,'점포코드 '!A:B,2,0)</f>
        <v>#N/A</v>
      </c>
      <c r="E752" s="30">
        <f>'Raw data'!P671</f>
        <v>0</v>
      </c>
      <c r="F752" s="29" t="e">
        <f>VLOOKUP(E752,'점포코드 '!A:B,2,0)</f>
        <v>#N/A</v>
      </c>
      <c r="G752" s="46">
        <f>'Raw data'!F671</f>
        <v>0</v>
      </c>
      <c r="H752" s="4">
        <f>'Raw data'!G671</f>
        <v>0</v>
      </c>
      <c r="I752" s="29" t="e">
        <f>VLOOKUP(G752,제품명!$C$1:$E$114,2,0)</f>
        <v>#N/A</v>
      </c>
      <c r="J752" s="29">
        <f>'Raw data'!K671</f>
        <v>0</v>
      </c>
      <c r="K752" s="31">
        <f>'Raw data'!H671</f>
        <v>0</v>
      </c>
      <c r="L752" s="26">
        <f t="shared" si="26"/>
        <v>0</v>
      </c>
    </row>
    <row r="753" spans="2:12">
      <c r="B753" s="4" t="e">
        <f t="shared" si="25"/>
        <v>#N/A</v>
      </c>
      <c r="C753" s="4">
        <f>'Raw data'!E672</f>
        <v>0</v>
      </c>
      <c r="D753" s="29" t="e">
        <f>VLOOKUP(C753,'점포코드 '!A:B,2,0)</f>
        <v>#N/A</v>
      </c>
      <c r="E753" s="30">
        <f>'Raw data'!P672</f>
        <v>0</v>
      </c>
      <c r="F753" s="29" t="e">
        <f>VLOOKUP(E753,'점포코드 '!A:B,2,0)</f>
        <v>#N/A</v>
      </c>
      <c r="G753" s="46">
        <f>'Raw data'!F672</f>
        <v>0</v>
      </c>
      <c r="H753" s="4">
        <f>'Raw data'!G672</f>
        <v>0</v>
      </c>
      <c r="I753" s="29" t="e">
        <f>VLOOKUP(G753,제품명!$C$1:$E$114,2,0)</f>
        <v>#N/A</v>
      </c>
      <c r="J753" s="29">
        <f>'Raw data'!K672</f>
        <v>0</v>
      </c>
      <c r="K753" s="31">
        <f>'Raw data'!H672</f>
        <v>0</v>
      </c>
      <c r="L753" s="26">
        <f t="shared" si="26"/>
        <v>0</v>
      </c>
    </row>
    <row r="754" spans="2:12">
      <c r="B754" s="4" t="e">
        <f t="shared" si="25"/>
        <v>#N/A</v>
      </c>
      <c r="C754" s="4">
        <f>'Raw data'!E673</f>
        <v>0</v>
      </c>
      <c r="D754" s="29" t="e">
        <f>VLOOKUP(C754,'점포코드 '!A:B,2,0)</f>
        <v>#N/A</v>
      </c>
      <c r="E754" s="30">
        <f>'Raw data'!P673</f>
        <v>0</v>
      </c>
      <c r="F754" s="29" t="e">
        <f>VLOOKUP(E754,'점포코드 '!A:B,2,0)</f>
        <v>#N/A</v>
      </c>
      <c r="G754" s="46">
        <f>'Raw data'!F673</f>
        <v>0</v>
      </c>
      <c r="H754" s="4">
        <f>'Raw data'!G673</f>
        <v>0</v>
      </c>
      <c r="I754" s="29" t="e">
        <f>VLOOKUP(G754,제품명!$C$1:$E$114,2,0)</f>
        <v>#N/A</v>
      </c>
      <c r="J754" s="29">
        <f>'Raw data'!K673</f>
        <v>0</v>
      </c>
      <c r="K754" s="31">
        <f>'Raw data'!H673</f>
        <v>0</v>
      </c>
      <c r="L754" s="26">
        <f t="shared" si="26"/>
        <v>0</v>
      </c>
    </row>
    <row r="755" spans="2:12">
      <c r="B755" s="4" t="e">
        <f t="shared" si="25"/>
        <v>#N/A</v>
      </c>
      <c r="C755" s="4">
        <f>'Raw data'!E674</f>
        <v>0</v>
      </c>
      <c r="D755" s="29" t="e">
        <f>VLOOKUP(C755,'점포코드 '!A:B,2,0)</f>
        <v>#N/A</v>
      </c>
      <c r="E755" s="30">
        <f>'Raw data'!P674</f>
        <v>0</v>
      </c>
      <c r="F755" s="29" t="e">
        <f>VLOOKUP(E755,'점포코드 '!A:B,2,0)</f>
        <v>#N/A</v>
      </c>
      <c r="G755" s="46">
        <f>'Raw data'!F674</f>
        <v>0</v>
      </c>
      <c r="H755" s="4">
        <f>'Raw data'!G674</f>
        <v>0</v>
      </c>
      <c r="I755" s="29" t="e">
        <f>VLOOKUP(G755,제품명!$C$1:$E$114,2,0)</f>
        <v>#N/A</v>
      </c>
      <c r="J755" s="29">
        <f>'Raw data'!K674</f>
        <v>0</v>
      </c>
      <c r="K755" s="31">
        <f>'Raw data'!H674</f>
        <v>0</v>
      </c>
      <c r="L755" s="26">
        <f t="shared" si="26"/>
        <v>0</v>
      </c>
    </row>
    <row r="756" spans="2:12">
      <c r="B756" s="4" t="e">
        <f t="shared" si="25"/>
        <v>#N/A</v>
      </c>
      <c r="C756" s="4">
        <f>'Raw data'!E675</f>
        <v>0</v>
      </c>
      <c r="D756" s="29" t="e">
        <f>VLOOKUP(C756,'점포코드 '!A:B,2,0)</f>
        <v>#N/A</v>
      </c>
      <c r="E756" s="30">
        <f>'Raw data'!P675</f>
        <v>0</v>
      </c>
      <c r="F756" s="29" t="e">
        <f>VLOOKUP(E756,'점포코드 '!A:B,2,0)</f>
        <v>#N/A</v>
      </c>
      <c r="G756" s="46">
        <f>'Raw data'!F675</f>
        <v>0</v>
      </c>
      <c r="H756" s="4">
        <f>'Raw data'!G675</f>
        <v>0</v>
      </c>
      <c r="I756" s="29" t="e">
        <f>VLOOKUP(G756,제품명!$C$1:$E$114,2,0)</f>
        <v>#N/A</v>
      </c>
      <c r="J756" s="29">
        <f>'Raw data'!K675</f>
        <v>0</v>
      </c>
      <c r="K756" s="31">
        <f>'Raw data'!H675</f>
        <v>0</v>
      </c>
      <c r="L756" s="26">
        <f t="shared" si="26"/>
        <v>0</v>
      </c>
    </row>
    <row r="757" spans="2:12">
      <c r="B757" s="4" t="e">
        <f t="shared" si="25"/>
        <v>#N/A</v>
      </c>
      <c r="C757" s="4">
        <f>'Raw data'!E676</f>
        <v>0</v>
      </c>
      <c r="D757" s="29" t="e">
        <f>VLOOKUP(C757,'점포코드 '!A:B,2,0)</f>
        <v>#N/A</v>
      </c>
      <c r="E757" s="30">
        <f>'Raw data'!P676</f>
        <v>0</v>
      </c>
      <c r="F757" s="29" t="e">
        <f>VLOOKUP(E757,'점포코드 '!A:B,2,0)</f>
        <v>#N/A</v>
      </c>
      <c r="G757" s="46">
        <f>'Raw data'!F676</f>
        <v>0</v>
      </c>
      <c r="H757" s="4">
        <f>'Raw data'!G676</f>
        <v>0</v>
      </c>
      <c r="I757" s="29" t="e">
        <f>VLOOKUP(G757,제품명!$C$1:$E$114,2,0)</f>
        <v>#N/A</v>
      </c>
      <c r="J757" s="29">
        <f>'Raw data'!K676</f>
        <v>0</v>
      </c>
      <c r="K757" s="31">
        <f>'Raw data'!H676</f>
        <v>0</v>
      </c>
      <c r="L757" s="26">
        <f t="shared" si="26"/>
        <v>0</v>
      </c>
    </row>
    <row r="758" spans="2:12">
      <c r="B758" s="4" t="e">
        <f t="shared" si="25"/>
        <v>#N/A</v>
      </c>
      <c r="C758" s="4">
        <f>'Raw data'!E677</f>
        <v>0</v>
      </c>
      <c r="D758" s="29" t="e">
        <f>VLOOKUP(C758,'점포코드 '!A:B,2,0)</f>
        <v>#N/A</v>
      </c>
      <c r="E758" s="30">
        <f>'Raw data'!P677</f>
        <v>0</v>
      </c>
      <c r="F758" s="29" t="e">
        <f>VLOOKUP(E758,'점포코드 '!A:B,2,0)</f>
        <v>#N/A</v>
      </c>
      <c r="G758" s="46">
        <f>'Raw data'!F677</f>
        <v>0</v>
      </c>
      <c r="H758" s="4">
        <f>'Raw data'!G677</f>
        <v>0</v>
      </c>
      <c r="I758" s="29" t="e">
        <f>VLOOKUP(G758,제품명!$C$1:$E$114,2,0)</f>
        <v>#N/A</v>
      </c>
      <c r="J758" s="29">
        <f>'Raw data'!K677</f>
        <v>0</v>
      </c>
      <c r="K758" s="31">
        <f>'Raw data'!H677</f>
        <v>0</v>
      </c>
      <c r="L758" s="26">
        <f t="shared" si="26"/>
        <v>0</v>
      </c>
    </row>
    <row r="759" spans="2:12">
      <c r="B759" s="4" t="e">
        <f t="shared" si="25"/>
        <v>#N/A</v>
      </c>
      <c r="C759" s="4">
        <f>'Raw data'!E678</f>
        <v>0</v>
      </c>
      <c r="D759" s="29" t="e">
        <f>VLOOKUP(C759,'점포코드 '!A:B,2,0)</f>
        <v>#N/A</v>
      </c>
      <c r="E759" s="30">
        <f>'Raw data'!P678</f>
        <v>0</v>
      </c>
      <c r="F759" s="29" t="e">
        <f>VLOOKUP(E759,'점포코드 '!A:B,2,0)</f>
        <v>#N/A</v>
      </c>
      <c r="G759" s="46">
        <f>'Raw data'!F678</f>
        <v>0</v>
      </c>
      <c r="H759" s="4">
        <f>'Raw data'!G678</f>
        <v>0</v>
      </c>
      <c r="I759" s="29" t="e">
        <f>VLOOKUP(G759,제품명!$C$1:$E$114,2,0)</f>
        <v>#N/A</v>
      </c>
      <c r="J759" s="29">
        <f>'Raw data'!K678</f>
        <v>0</v>
      </c>
      <c r="K759" s="31">
        <f>'Raw data'!H678</f>
        <v>0</v>
      </c>
      <c r="L759" s="26">
        <f t="shared" si="26"/>
        <v>0</v>
      </c>
    </row>
    <row r="760" spans="2:12">
      <c r="B760" s="4" t="e">
        <f t="shared" si="25"/>
        <v>#N/A</v>
      </c>
      <c r="C760" s="4">
        <f>'Raw data'!E679</f>
        <v>0</v>
      </c>
      <c r="D760" s="29" t="e">
        <f>VLOOKUP(C760,'점포코드 '!A:B,2,0)</f>
        <v>#N/A</v>
      </c>
      <c r="E760" s="30">
        <f>'Raw data'!P679</f>
        <v>0</v>
      </c>
      <c r="F760" s="29" t="e">
        <f>VLOOKUP(E760,'점포코드 '!A:B,2,0)</f>
        <v>#N/A</v>
      </c>
      <c r="G760" s="46">
        <f>'Raw data'!F679</f>
        <v>0</v>
      </c>
      <c r="H760" s="4">
        <f>'Raw data'!G679</f>
        <v>0</v>
      </c>
      <c r="I760" s="29" t="e">
        <f>VLOOKUP(G760,제품명!$C$1:$E$114,2,0)</f>
        <v>#N/A</v>
      </c>
      <c r="J760" s="29">
        <f>'Raw data'!K679</f>
        <v>0</v>
      </c>
      <c r="K760" s="31">
        <f>'Raw data'!H679</f>
        <v>0</v>
      </c>
      <c r="L760" s="26">
        <f t="shared" si="26"/>
        <v>0</v>
      </c>
    </row>
    <row r="761" spans="2:12">
      <c r="B761" s="4" t="e">
        <f t="shared" si="25"/>
        <v>#N/A</v>
      </c>
      <c r="C761" s="4">
        <f>'Raw data'!E680</f>
        <v>0</v>
      </c>
      <c r="D761" s="29" t="e">
        <f>VLOOKUP(C761,'점포코드 '!A:B,2,0)</f>
        <v>#N/A</v>
      </c>
      <c r="E761" s="30">
        <f>'Raw data'!P680</f>
        <v>0</v>
      </c>
      <c r="F761" s="29" t="e">
        <f>VLOOKUP(E761,'점포코드 '!A:B,2,0)</f>
        <v>#N/A</v>
      </c>
      <c r="G761" s="46">
        <f>'Raw data'!F680</f>
        <v>0</v>
      </c>
      <c r="H761" s="4">
        <f>'Raw data'!G680</f>
        <v>0</v>
      </c>
      <c r="I761" s="29" t="e">
        <f>VLOOKUP(G761,제품명!$C$1:$E$114,2,0)</f>
        <v>#N/A</v>
      </c>
      <c r="J761" s="29">
        <f>'Raw data'!K680</f>
        <v>0</v>
      </c>
      <c r="K761" s="31">
        <f>'Raw data'!H680</f>
        <v>0</v>
      </c>
      <c r="L761" s="26">
        <f t="shared" si="26"/>
        <v>0</v>
      </c>
    </row>
    <row r="762" spans="2:12">
      <c r="B762" s="4" t="e">
        <f t="shared" si="25"/>
        <v>#N/A</v>
      </c>
      <c r="C762" s="4">
        <f>'Raw data'!E681</f>
        <v>0</v>
      </c>
      <c r="D762" s="29" t="e">
        <f>VLOOKUP(C762,'점포코드 '!A:B,2,0)</f>
        <v>#N/A</v>
      </c>
      <c r="E762" s="30">
        <f>'Raw data'!P681</f>
        <v>0</v>
      </c>
      <c r="F762" s="29" t="e">
        <f>VLOOKUP(E762,'점포코드 '!A:B,2,0)</f>
        <v>#N/A</v>
      </c>
      <c r="G762" s="46">
        <f>'Raw data'!F681</f>
        <v>0</v>
      </c>
      <c r="H762" s="4">
        <f>'Raw data'!G681</f>
        <v>0</v>
      </c>
      <c r="I762" s="29" t="e">
        <f>VLOOKUP(G762,제품명!$C$1:$E$114,2,0)</f>
        <v>#N/A</v>
      </c>
      <c r="J762" s="29">
        <f>'Raw data'!K681</f>
        <v>0</v>
      </c>
      <c r="K762" s="31">
        <f>'Raw data'!H681</f>
        <v>0</v>
      </c>
      <c r="L762" s="26">
        <f t="shared" si="26"/>
        <v>0</v>
      </c>
    </row>
    <row r="763" spans="2:12">
      <c r="B763" s="4" t="e">
        <f t="shared" si="25"/>
        <v>#N/A</v>
      </c>
      <c r="C763" s="4">
        <f>'Raw data'!E682</f>
        <v>0</v>
      </c>
      <c r="D763" s="29" t="e">
        <f>VLOOKUP(C763,'점포코드 '!A:B,2,0)</f>
        <v>#N/A</v>
      </c>
      <c r="E763" s="30">
        <f>'Raw data'!P682</f>
        <v>0</v>
      </c>
      <c r="F763" s="29" t="e">
        <f>VLOOKUP(E763,'점포코드 '!A:B,2,0)</f>
        <v>#N/A</v>
      </c>
      <c r="G763" s="46">
        <f>'Raw data'!F682</f>
        <v>0</v>
      </c>
      <c r="H763" s="4">
        <f>'Raw data'!G682</f>
        <v>0</v>
      </c>
      <c r="I763" s="29" t="e">
        <f>VLOOKUP(G763,제품명!$C$1:$E$114,2,0)</f>
        <v>#N/A</v>
      </c>
      <c r="J763" s="29">
        <f>'Raw data'!K682</f>
        <v>0</v>
      </c>
      <c r="K763" s="31">
        <f>'Raw data'!H682</f>
        <v>0</v>
      </c>
      <c r="L763" s="26">
        <f t="shared" si="26"/>
        <v>0</v>
      </c>
    </row>
    <row r="764" spans="2:12">
      <c r="B764" s="4" t="e">
        <f t="shared" si="25"/>
        <v>#N/A</v>
      </c>
      <c r="C764" s="4">
        <f>'Raw data'!E683</f>
        <v>0</v>
      </c>
      <c r="D764" s="29" t="e">
        <f>VLOOKUP(C764,'점포코드 '!A:B,2,0)</f>
        <v>#N/A</v>
      </c>
      <c r="E764" s="30">
        <f>'Raw data'!P683</f>
        <v>0</v>
      </c>
      <c r="F764" s="29" t="e">
        <f>VLOOKUP(E764,'점포코드 '!A:B,2,0)</f>
        <v>#N/A</v>
      </c>
      <c r="G764" s="46">
        <f>'Raw data'!F683</f>
        <v>0</v>
      </c>
      <c r="H764" s="4">
        <f>'Raw data'!G683</f>
        <v>0</v>
      </c>
      <c r="I764" s="29" t="e">
        <f>VLOOKUP(G764,제품명!$C$1:$E$114,2,0)</f>
        <v>#N/A</v>
      </c>
      <c r="J764" s="29">
        <f>'Raw data'!K683</f>
        <v>0</v>
      </c>
      <c r="K764" s="31">
        <f>'Raw data'!H683</f>
        <v>0</v>
      </c>
      <c r="L764" s="26">
        <f t="shared" si="26"/>
        <v>0</v>
      </c>
    </row>
    <row r="765" spans="2:12">
      <c r="B765" s="4" t="e">
        <f t="shared" si="25"/>
        <v>#N/A</v>
      </c>
      <c r="C765" s="4">
        <f>'Raw data'!E684</f>
        <v>0</v>
      </c>
      <c r="D765" s="29" t="e">
        <f>VLOOKUP(C765,'점포코드 '!A:B,2,0)</f>
        <v>#N/A</v>
      </c>
      <c r="E765" s="30">
        <f>'Raw data'!P684</f>
        <v>0</v>
      </c>
      <c r="F765" s="29" t="e">
        <f>VLOOKUP(E765,'점포코드 '!A:B,2,0)</f>
        <v>#N/A</v>
      </c>
      <c r="G765" s="46">
        <f>'Raw data'!F684</f>
        <v>0</v>
      </c>
      <c r="H765" s="4">
        <f>'Raw data'!G684</f>
        <v>0</v>
      </c>
      <c r="I765" s="29" t="e">
        <f>VLOOKUP(G765,제품명!$C$1:$E$114,2,0)</f>
        <v>#N/A</v>
      </c>
      <c r="J765" s="29">
        <f>'Raw data'!K684</f>
        <v>0</v>
      </c>
      <c r="K765" s="31">
        <f>'Raw data'!H684</f>
        <v>0</v>
      </c>
      <c r="L765" s="26">
        <f t="shared" si="26"/>
        <v>0</v>
      </c>
    </row>
    <row r="766" spans="2:12">
      <c r="B766" s="4" t="e">
        <f t="shared" si="25"/>
        <v>#N/A</v>
      </c>
      <c r="C766" s="4">
        <f>'Raw data'!E685</f>
        <v>0</v>
      </c>
      <c r="D766" s="29" t="e">
        <f>VLOOKUP(C766,'점포코드 '!A:B,2,0)</f>
        <v>#N/A</v>
      </c>
      <c r="E766" s="30">
        <f>'Raw data'!P685</f>
        <v>0</v>
      </c>
      <c r="F766" s="29" t="e">
        <f>VLOOKUP(E766,'점포코드 '!A:B,2,0)</f>
        <v>#N/A</v>
      </c>
      <c r="G766" s="46">
        <f>'Raw data'!F685</f>
        <v>0</v>
      </c>
      <c r="H766" s="4">
        <f>'Raw data'!G685</f>
        <v>0</v>
      </c>
      <c r="I766" s="29" t="e">
        <f>VLOOKUP(G766,제품명!$C$1:$E$114,2,0)</f>
        <v>#N/A</v>
      </c>
      <c r="J766" s="29">
        <f>'Raw data'!K685</f>
        <v>0</v>
      </c>
      <c r="K766" s="31">
        <f>'Raw data'!H685</f>
        <v>0</v>
      </c>
      <c r="L766" s="26">
        <f t="shared" si="26"/>
        <v>0</v>
      </c>
    </row>
    <row r="767" spans="2:12">
      <c r="B767" s="4" t="e">
        <f t="shared" si="25"/>
        <v>#N/A</v>
      </c>
      <c r="C767" s="4">
        <f>'Raw data'!E686</f>
        <v>0</v>
      </c>
      <c r="D767" s="29" t="e">
        <f>VLOOKUP(C767,'점포코드 '!A:B,2,0)</f>
        <v>#N/A</v>
      </c>
      <c r="E767" s="30">
        <f>'Raw data'!P686</f>
        <v>0</v>
      </c>
      <c r="F767" s="29" t="e">
        <f>VLOOKUP(E767,'점포코드 '!A:B,2,0)</f>
        <v>#N/A</v>
      </c>
      <c r="G767" s="46">
        <f>'Raw data'!F686</f>
        <v>0</v>
      </c>
      <c r="H767" s="4">
        <f>'Raw data'!G686</f>
        <v>0</v>
      </c>
      <c r="I767" s="29" t="e">
        <f>VLOOKUP(G767,제품명!$C$1:$E$114,2,0)</f>
        <v>#N/A</v>
      </c>
      <c r="J767" s="29">
        <f>'Raw data'!K686</f>
        <v>0</v>
      </c>
      <c r="K767" s="31">
        <f>'Raw data'!H686</f>
        <v>0</v>
      </c>
      <c r="L767" s="26">
        <f t="shared" si="26"/>
        <v>0</v>
      </c>
    </row>
    <row r="768" spans="2:12">
      <c r="B768" s="4" t="e">
        <f t="shared" si="25"/>
        <v>#N/A</v>
      </c>
      <c r="C768" s="4">
        <f>'Raw data'!E687</f>
        <v>0</v>
      </c>
      <c r="D768" s="29" t="e">
        <f>VLOOKUP(C768,'점포코드 '!A:B,2,0)</f>
        <v>#N/A</v>
      </c>
      <c r="E768" s="30">
        <f>'Raw data'!P687</f>
        <v>0</v>
      </c>
      <c r="F768" s="29" t="e">
        <f>VLOOKUP(E768,'점포코드 '!A:B,2,0)</f>
        <v>#N/A</v>
      </c>
      <c r="G768" s="46">
        <f>'Raw data'!F687</f>
        <v>0</v>
      </c>
      <c r="H768" s="4">
        <f>'Raw data'!G687</f>
        <v>0</v>
      </c>
      <c r="I768" s="29" t="e">
        <f>VLOOKUP(G768,제품명!$C$1:$E$114,2,0)</f>
        <v>#N/A</v>
      </c>
      <c r="J768" s="29">
        <f>'Raw data'!K687</f>
        <v>0</v>
      </c>
      <c r="K768" s="31">
        <f>'Raw data'!H687</f>
        <v>0</v>
      </c>
      <c r="L768" s="26">
        <f t="shared" si="26"/>
        <v>0</v>
      </c>
    </row>
    <row r="769" spans="2:12">
      <c r="B769" s="4" t="e">
        <f t="shared" si="25"/>
        <v>#N/A</v>
      </c>
      <c r="C769" s="4">
        <f>'Raw data'!E688</f>
        <v>0</v>
      </c>
      <c r="D769" s="29" t="e">
        <f>VLOOKUP(C769,'점포코드 '!A:B,2,0)</f>
        <v>#N/A</v>
      </c>
      <c r="E769" s="30">
        <f>'Raw data'!P688</f>
        <v>0</v>
      </c>
      <c r="F769" s="29" t="e">
        <f>VLOOKUP(E769,'점포코드 '!A:B,2,0)</f>
        <v>#N/A</v>
      </c>
      <c r="G769" s="46">
        <f>'Raw data'!F688</f>
        <v>0</v>
      </c>
      <c r="H769" s="4">
        <f>'Raw data'!G688</f>
        <v>0</v>
      </c>
      <c r="I769" s="29" t="e">
        <f>VLOOKUP(G769,제품명!$C$1:$E$114,2,0)</f>
        <v>#N/A</v>
      </c>
      <c r="J769" s="29">
        <f>'Raw data'!K688</f>
        <v>0</v>
      </c>
      <c r="K769" s="31">
        <f>'Raw data'!H688</f>
        <v>0</v>
      </c>
      <c r="L769" s="26">
        <f t="shared" si="26"/>
        <v>0</v>
      </c>
    </row>
    <row r="770" spans="2:12">
      <c r="B770" s="4" t="e">
        <f t="shared" ref="B770:B833" si="27">F770&amp;I770</f>
        <v>#N/A</v>
      </c>
      <c r="C770" s="4">
        <f>'Raw data'!E689</f>
        <v>0</v>
      </c>
      <c r="D770" s="29" t="e">
        <f>VLOOKUP(C770,'점포코드 '!A:B,2,0)</f>
        <v>#N/A</v>
      </c>
      <c r="E770" s="30">
        <f>'Raw data'!P689</f>
        <v>0</v>
      </c>
      <c r="F770" s="29" t="e">
        <f>VLOOKUP(E770,'점포코드 '!A:B,2,0)</f>
        <v>#N/A</v>
      </c>
      <c r="G770" s="46">
        <f>'Raw data'!F689</f>
        <v>0</v>
      </c>
      <c r="H770" s="4">
        <f>'Raw data'!G689</f>
        <v>0</v>
      </c>
      <c r="I770" s="29" t="e">
        <f>VLOOKUP(G770,제품명!$C$1:$E$114,2,0)</f>
        <v>#N/A</v>
      </c>
      <c r="J770" s="29">
        <f>'Raw data'!K689</f>
        <v>0</v>
      </c>
      <c r="K770" s="31">
        <f>'Raw data'!H689</f>
        <v>0</v>
      </c>
      <c r="L770" s="26">
        <f t="shared" si="26"/>
        <v>0</v>
      </c>
    </row>
    <row r="771" spans="2:12">
      <c r="B771" s="4" t="e">
        <f t="shared" si="27"/>
        <v>#N/A</v>
      </c>
      <c r="C771" s="4">
        <f>'Raw data'!E690</f>
        <v>0</v>
      </c>
      <c r="D771" s="29" t="e">
        <f>VLOOKUP(C771,'점포코드 '!A:B,2,0)</f>
        <v>#N/A</v>
      </c>
      <c r="E771" s="30">
        <f>'Raw data'!P690</f>
        <v>0</v>
      </c>
      <c r="F771" s="29" t="e">
        <f>VLOOKUP(E771,'점포코드 '!A:B,2,0)</f>
        <v>#N/A</v>
      </c>
      <c r="G771" s="46">
        <f>'Raw data'!F690</f>
        <v>0</v>
      </c>
      <c r="H771" s="4">
        <f>'Raw data'!G690</f>
        <v>0</v>
      </c>
      <c r="I771" s="29" t="e">
        <f>VLOOKUP(G771,제품명!$C$1:$E$114,2,0)</f>
        <v>#N/A</v>
      </c>
      <c r="J771" s="29">
        <f>'Raw data'!K690</f>
        <v>0</v>
      </c>
      <c r="K771" s="31">
        <f>'Raw data'!H690</f>
        <v>0</v>
      </c>
      <c r="L771" s="26">
        <f t="shared" ref="L771:L834" si="28">J771*K771</f>
        <v>0</v>
      </c>
    </row>
    <row r="772" spans="2:12">
      <c r="B772" s="4" t="e">
        <f t="shared" si="27"/>
        <v>#N/A</v>
      </c>
      <c r="C772" s="4">
        <f>'Raw data'!E691</f>
        <v>0</v>
      </c>
      <c r="D772" s="29" t="e">
        <f>VLOOKUP(C772,'점포코드 '!A:B,2,0)</f>
        <v>#N/A</v>
      </c>
      <c r="E772" s="30">
        <f>'Raw data'!P691</f>
        <v>0</v>
      </c>
      <c r="F772" s="29" t="e">
        <f>VLOOKUP(E772,'점포코드 '!A:B,2,0)</f>
        <v>#N/A</v>
      </c>
      <c r="G772" s="46">
        <f>'Raw data'!F691</f>
        <v>0</v>
      </c>
      <c r="H772" s="4">
        <f>'Raw data'!G691</f>
        <v>0</v>
      </c>
      <c r="I772" s="29" t="e">
        <f>VLOOKUP(G772,제품명!$C$1:$E$114,2,0)</f>
        <v>#N/A</v>
      </c>
      <c r="J772" s="29">
        <f>'Raw data'!K691</f>
        <v>0</v>
      </c>
      <c r="K772" s="31">
        <f>'Raw data'!H691</f>
        <v>0</v>
      </c>
      <c r="L772" s="26">
        <f t="shared" si="28"/>
        <v>0</v>
      </c>
    </row>
    <row r="773" spans="2:12">
      <c r="B773" s="4" t="e">
        <f t="shared" si="27"/>
        <v>#N/A</v>
      </c>
      <c r="C773" s="4">
        <f>'Raw data'!E692</f>
        <v>0</v>
      </c>
      <c r="D773" s="29" t="e">
        <f>VLOOKUP(C773,'점포코드 '!A:B,2,0)</f>
        <v>#N/A</v>
      </c>
      <c r="E773" s="30">
        <f>'Raw data'!P692</f>
        <v>0</v>
      </c>
      <c r="F773" s="29" t="e">
        <f>VLOOKUP(E773,'점포코드 '!A:B,2,0)</f>
        <v>#N/A</v>
      </c>
      <c r="G773" s="46">
        <f>'Raw data'!F692</f>
        <v>0</v>
      </c>
      <c r="H773" s="4">
        <f>'Raw data'!G692</f>
        <v>0</v>
      </c>
      <c r="I773" s="29" t="e">
        <f>VLOOKUP(G773,제품명!$C$1:$E$114,2,0)</f>
        <v>#N/A</v>
      </c>
      <c r="J773" s="29">
        <f>'Raw data'!K692</f>
        <v>0</v>
      </c>
      <c r="K773" s="31">
        <f>'Raw data'!H692</f>
        <v>0</v>
      </c>
      <c r="L773" s="26">
        <f t="shared" si="28"/>
        <v>0</v>
      </c>
    </row>
    <row r="774" spans="2:12">
      <c r="B774" s="4" t="e">
        <f t="shared" si="27"/>
        <v>#N/A</v>
      </c>
      <c r="C774" s="4">
        <f>'Raw data'!E693</f>
        <v>0</v>
      </c>
      <c r="D774" s="29" t="e">
        <f>VLOOKUP(C774,'점포코드 '!A:B,2,0)</f>
        <v>#N/A</v>
      </c>
      <c r="E774" s="30">
        <f>'Raw data'!P693</f>
        <v>0</v>
      </c>
      <c r="F774" s="29" t="e">
        <f>VLOOKUP(E774,'점포코드 '!A:B,2,0)</f>
        <v>#N/A</v>
      </c>
      <c r="G774" s="46">
        <f>'Raw data'!F693</f>
        <v>0</v>
      </c>
      <c r="H774" s="4">
        <f>'Raw data'!G693</f>
        <v>0</v>
      </c>
      <c r="I774" s="29" t="e">
        <f>VLOOKUP(G774,제품명!$C$1:$E$114,2,0)</f>
        <v>#N/A</v>
      </c>
      <c r="J774" s="29">
        <f>'Raw data'!K693</f>
        <v>0</v>
      </c>
      <c r="K774" s="31">
        <f>'Raw data'!H693</f>
        <v>0</v>
      </c>
      <c r="L774" s="26">
        <f t="shared" si="28"/>
        <v>0</v>
      </c>
    </row>
    <row r="775" spans="2:12">
      <c r="B775" s="4" t="e">
        <f t="shared" si="27"/>
        <v>#N/A</v>
      </c>
      <c r="C775" s="4">
        <f>'Raw data'!E694</f>
        <v>0</v>
      </c>
      <c r="D775" s="29" t="e">
        <f>VLOOKUP(C775,'점포코드 '!A:B,2,0)</f>
        <v>#N/A</v>
      </c>
      <c r="E775" s="30">
        <f>'Raw data'!P694</f>
        <v>0</v>
      </c>
      <c r="F775" s="29" t="e">
        <f>VLOOKUP(E775,'점포코드 '!A:B,2,0)</f>
        <v>#N/A</v>
      </c>
      <c r="G775" s="46">
        <f>'Raw data'!F694</f>
        <v>0</v>
      </c>
      <c r="H775" s="4">
        <f>'Raw data'!G694</f>
        <v>0</v>
      </c>
      <c r="I775" s="29" t="e">
        <f>VLOOKUP(G775,제품명!$C$1:$E$114,2,0)</f>
        <v>#N/A</v>
      </c>
      <c r="J775" s="29">
        <f>'Raw data'!K694</f>
        <v>0</v>
      </c>
      <c r="K775" s="31">
        <f>'Raw data'!H694</f>
        <v>0</v>
      </c>
      <c r="L775" s="26">
        <f t="shared" si="28"/>
        <v>0</v>
      </c>
    </row>
    <row r="776" spans="2:12">
      <c r="B776" s="4" t="e">
        <f t="shared" si="27"/>
        <v>#N/A</v>
      </c>
      <c r="C776" s="4">
        <f>'Raw data'!E695</f>
        <v>0</v>
      </c>
      <c r="D776" s="29" t="e">
        <f>VLOOKUP(C776,'점포코드 '!A:B,2,0)</f>
        <v>#N/A</v>
      </c>
      <c r="E776" s="30">
        <f>'Raw data'!P695</f>
        <v>0</v>
      </c>
      <c r="F776" s="29" t="e">
        <f>VLOOKUP(E776,'점포코드 '!A:B,2,0)</f>
        <v>#N/A</v>
      </c>
      <c r="G776" s="46">
        <f>'Raw data'!F695</f>
        <v>0</v>
      </c>
      <c r="H776" s="4">
        <f>'Raw data'!G695</f>
        <v>0</v>
      </c>
      <c r="I776" s="29" t="e">
        <f>VLOOKUP(G776,제품명!$C$1:$E$114,2,0)</f>
        <v>#N/A</v>
      </c>
      <c r="J776" s="29">
        <f>'Raw data'!K695</f>
        <v>0</v>
      </c>
      <c r="K776" s="31">
        <f>'Raw data'!H695</f>
        <v>0</v>
      </c>
      <c r="L776" s="26">
        <f t="shared" si="28"/>
        <v>0</v>
      </c>
    </row>
    <row r="777" spans="2:12">
      <c r="B777" s="4" t="e">
        <f t="shared" si="27"/>
        <v>#N/A</v>
      </c>
      <c r="C777" s="4">
        <f>'Raw data'!E696</f>
        <v>0</v>
      </c>
      <c r="D777" s="29" t="e">
        <f>VLOOKUP(C777,'점포코드 '!A:B,2,0)</f>
        <v>#N/A</v>
      </c>
      <c r="E777" s="30">
        <f>'Raw data'!P696</f>
        <v>0</v>
      </c>
      <c r="F777" s="29" t="e">
        <f>VLOOKUP(E777,'점포코드 '!A:B,2,0)</f>
        <v>#N/A</v>
      </c>
      <c r="G777" s="46">
        <f>'Raw data'!F696</f>
        <v>0</v>
      </c>
      <c r="H777" s="4">
        <f>'Raw data'!G696</f>
        <v>0</v>
      </c>
      <c r="I777" s="29" t="e">
        <f>VLOOKUP(G777,제품명!$C$1:$E$114,2,0)</f>
        <v>#N/A</v>
      </c>
      <c r="J777" s="29">
        <f>'Raw data'!K696</f>
        <v>0</v>
      </c>
      <c r="K777" s="31">
        <f>'Raw data'!H696</f>
        <v>0</v>
      </c>
      <c r="L777" s="26">
        <f t="shared" si="28"/>
        <v>0</v>
      </c>
    </row>
    <row r="778" spans="2:12">
      <c r="B778" s="4" t="e">
        <f t="shared" si="27"/>
        <v>#N/A</v>
      </c>
      <c r="C778" s="4">
        <f>'Raw data'!E697</f>
        <v>0</v>
      </c>
      <c r="D778" s="29" t="e">
        <f>VLOOKUP(C778,'점포코드 '!A:B,2,0)</f>
        <v>#N/A</v>
      </c>
      <c r="E778" s="30">
        <f>'Raw data'!P697</f>
        <v>0</v>
      </c>
      <c r="F778" s="29" t="e">
        <f>VLOOKUP(E778,'점포코드 '!A:B,2,0)</f>
        <v>#N/A</v>
      </c>
      <c r="G778" s="46">
        <f>'Raw data'!F697</f>
        <v>0</v>
      </c>
      <c r="H778" s="4">
        <f>'Raw data'!G697</f>
        <v>0</v>
      </c>
      <c r="I778" s="29" t="e">
        <f>VLOOKUP(G778,제품명!$C$1:$E$114,2,0)</f>
        <v>#N/A</v>
      </c>
      <c r="J778" s="29">
        <f>'Raw data'!K697</f>
        <v>0</v>
      </c>
      <c r="K778" s="31">
        <f>'Raw data'!H697</f>
        <v>0</v>
      </c>
      <c r="L778" s="26">
        <f t="shared" si="28"/>
        <v>0</v>
      </c>
    </row>
    <row r="779" spans="2:12">
      <c r="B779" s="4" t="e">
        <f t="shared" si="27"/>
        <v>#N/A</v>
      </c>
      <c r="C779" s="4">
        <f>'Raw data'!E698</f>
        <v>0</v>
      </c>
      <c r="D779" s="29" t="e">
        <f>VLOOKUP(C779,'점포코드 '!A:B,2,0)</f>
        <v>#N/A</v>
      </c>
      <c r="E779" s="30">
        <f>'Raw data'!P698</f>
        <v>0</v>
      </c>
      <c r="F779" s="29" t="e">
        <f>VLOOKUP(E779,'점포코드 '!A:B,2,0)</f>
        <v>#N/A</v>
      </c>
      <c r="G779" s="46">
        <f>'Raw data'!F698</f>
        <v>0</v>
      </c>
      <c r="H779" s="4">
        <f>'Raw data'!G698</f>
        <v>0</v>
      </c>
      <c r="I779" s="29" t="e">
        <f>VLOOKUP(G779,제품명!$C$1:$E$114,2,0)</f>
        <v>#N/A</v>
      </c>
      <c r="J779" s="29">
        <f>'Raw data'!K698</f>
        <v>0</v>
      </c>
      <c r="K779" s="31">
        <f>'Raw data'!H698</f>
        <v>0</v>
      </c>
      <c r="L779" s="26">
        <f t="shared" si="28"/>
        <v>0</v>
      </c>
    </row>
    <row r="780" spans="2:12">
      <c r="B780" s="4" t="e">
        <f t="shared" si="27"/>
        <v>#N/A</v>
      </c>
      <c r="C780" s="4">
        <f>'Raw data'!E699</f>
        <v>0</v>
      </c>
      <c r="D780" s="29" t="e">
        <f>VLOOKUP(C780,'점포코드 '!A:B,2,0)</f>
        <v>#N/A</v>
      </c>
      <c r="E780" s="30">
        <f>'Raw data'!P699</f>
        <v>0</v>
      </c>
      <c r="F780" s="29" t="e">
        <f>VLOOKUP(E780,'점포코드 '!A:B,2,0)</f>
        <v>#N/A</v>
      </c>
      <c r="G780" s="46">
        <f>'Raw data'!F699</f>
        <v>0</v>
      </c>
      <c r="H780" s="4">
        <f>'Raw data'!G699</f>
        <v>0</v>
      </c>
      <c r="I780" s="29" t="e">
        <f>VLOOKUP(G780,제품명!$C$1:$E$114,2,0)</f>
        <v>#N/A</v>
      </c>
      <c r="J780" s="29">
        <f>'Raw data'!K699</f>
        <v>0</v>
      </c>
      <c r="K780" s="31">
        <f>'Raw data'!H699</f>
        <v>0</v>
      </c>
      <c r="L780" s="26">
        <f t="shared" si="28"/>
        <v>0</v>
      </c>
    </row>
    <row r="781" spans="2:12">
      <c r="B781" s="4" t="e">
        <f t="shared" si="27"/>
        <v>#N/A</v>
      </c>
      <c r="C781" s="4">
        <f>'Raw data'!E700</f>
        <v>0</v>
      </c>
      <c r="D781" s="29" t="e">
        <f>VLOOKUP(C781,'점포코드 '!A:B,2,0)</f>
        <v>#N/A</v>
      </c>
      <c r="E781" s="30">
        <f>'Raw data'!P700</f>
        <v>0</v>
      </c>
      <c r="F781" s="29" t="e">
        <f>VLOOKUP(E781,'점포코드 '!A:B,2,0)</f>
        <v>#N/A</v>
      </c>
      <c r="G781" s="46">
        <f>'Raw data'!F700</f>
        <v>0</v>
      </c>
      <c r="H781" s="4">
        <f>'Raw data'!G700</f>
        <v>0</v>
      </c>
      <c r="I781" s="29" t="e">
        <f>VLOOKUP(G781,제품명!$C$1:$E$114,2,0)</f>
        <v>#N/A</v>
      </c>
      <c r="J781" s="29">
        <f>'Raw data'!K700</f>
        <v>0</v>
      </c>
      <c r="K781" s="31">
        <f>'Raw data'!H700</f>
        <v>0</v>
      </c>
      <c r="L781" s="26">
        <f t="shared" si="28"/>
        <v>0</v>
      </c>
    </row>
    <row r="782" spans="2:12">
      <c r="B782" s="4" t="e">
        <f t="shared" si="27"/>
        <v>#N/A</v>
      </c>
      <c r="C782" s="4">
        <f>'Raw data'!E701</f>
        <v>0</v>
      </c>
      <c r="D782" s="29" t="e">
        <f>VLOOKUP(C782,'점포코드 '!A:B,2,0)</f>
        <v>#N/A</v>
      </c>
      <c r="E782" s="30">
        <f>'Raw data'!P701</f>
        <v>0</v>
      </c>
      <c r="F782" s="29" t="e">
        <f>VLOOKUP(E782,'점포코드 '!A:B,2,0)</f>
        <v>#N/A</v>
      </c>
      <c r="G782" s="46">
        <f>'Raw data'!F701</f>
        <v>0</v>
      </c>
      <c r="H782" s="4">
        <f>'Raw data'!G701</f>
        <v>0</v>
      </c>
      <c r="I782" s="29" t="e">
        <f>VLOOKUP(G782,제품명!$C$1:$E$114,2,0)</f>
        <v>#N/A</v>
      </c>
      <c r="J782" s="29">
        <f>'Raw data'!K701</f>
        <v>0</v>
      </c>
      <c r="K782" s="31">
        <f>'Raw data'!H701</f>
        <v>0</v>
      </c>
      <c r="L782" s="26">
        <f t="shared" si="28"/>
        <v>0</v>
      </c>
    </row>
    <row r="783" spans="2:12">
      <c r="B783" s="4" t="e">
        <f t="shared" si="27"/>
        <v>#N/A</v>
      </c>
      <c r="C783" s="4">
        <f>'Raw data'!E702</f>
        <v>0</v>
      </c>
      <c r="D783" s="29" t="e">
        <f>VLOOKUP(C783,'점포코드 '!A:B,2,0)</f>
        <v>#N/A</v>
      </c>
      <c r="E783" s="30">
        <f>'Raw data'!P702</f>
        <v>0</v>
      </c>
      <c r="F783" s="29" t="e">
        <f>VLOOKUP(E783,'점포코드 '!A:B,2,0)</f>
        <v>#N/A</v>
      </c>
      <c r="G783" s="46">
        <f>'Raw data'!F702</f>
        <v>0</v>
      </c>
      <c r="H783" s="4">
        <f>'Raw data'!G702</f>
        <v>0</v>
      </c>
      <c r="I783" s="29" t="e">
        <f>VLOOKUP(G783,제품명!$C$1:$E$114,2,0)</f>
        <v>#N/A</v>
      </c>
      <c r="J783" s="29">
        <f>'Raw data'!K702</f>
        <v>0</v>
      </c>
      <c r="K783" s="31">
        <f>'Raw data'!H702</f>
        <v>0</v>
      </c>
      <c r="L783" s="26">
        <f t="shared" si="28"/>
        <v>0</v>
      </c>
    </row>
    <row r="784" spans="2:12">
      <c r="B784" s="4" t="e">
        <f t="shared" si="27"/>
        <v>#N/A</v>
      </c>
      <c r="C784" s="4">
        <f>'Raw data'!E703</f>
        <v>0</v>
      </c>
      <c r="D784" s="29" t="e">
        <f>VLOOKUP(C784,'점포코드 '!A:B,2,0)</f>
        <v>#N/A</v>
      </c>
      <c r="E784" s="30">
        <f>'Raw data'!P703</f>
        <v>0</v>
      </c>
      <c r="F784" s="29" t="e">
        <f>VLOOKUP(E784,'점포코드 '!A:B,2,0)</f>
        <v>#N/A</v>
      </c>
      <c r="G784" s="46">
        <f>'Raw data'!F703</f>
        <v>0</v>
      </c>
      <c r="H784" s="4">
        <f>'Raw data'!G703</f>
        <v>0</v>
      </c>
      <c r="I784" s="29" t="e">
        <f>VLOOKUP(G784,제품명!$C$1:$E$114,2,0)</f>
        <v>#N/A</v>
      </c>
      <c r="J784" s="29">
        <f>'Raw data'!K703</f>
        <v>0</v>
      </c>
      <c r="K784" s="31">
        <f>'Raw data'!H703</f>
        <v>0</v>
      </c>
      <c r="L784" s="26">
        <f t="shared" si="28"/>
        <v>0</v>
      </c>
    </row>
    <row r="785" spans="2:12">
      <c r="B785" s="4" t="e">
        <f t="shared" si="27"/>
        <v>#N/A</v>
      </c>
      <c r="C785" s="4">
        <f>'Raw data'!E704</f>
        <v>0</v>
      </c>
      <c r="D785" s="29" t="e">
        <f>VLOOKUP(C785,'점포코드 '!A:B,2,0)</f>
        <v>#N/A</v>
      </c>
      <c r="E785" s="30">
        <f>'Raw data'!P704</f>
        <v>0</v>
      </c>
      <c r="F785" s="29" t="e">
        <f>VLOOKUP(E785,'점포코드 '!A:B,2,0)</f>
        <v>#N/A</v>
      </c>
      <c r="G785" s="46">
        <f>'Raw data'!F704</f>
        <v>0</v>
      </c>
      <c r="H785" s="4">
        <f>'Raw data'!G704</f>
        <v>0</v>
      </c>
      <c r="I785" s="29" t="e">
        <f>VLOOKUP(G785,제품명!$C$1:$E$114,2,0)</f>
        <v>#N/A</v>
      </c>
      <c r="J785" s="29">
        <f>'Raw data'!K704</f>
        <v>0</v>
      </c>
      <c r="K785" s="31">
        <f>'Raw data'!H704</f>
        <v>0</v>
      </c>
      <c r="L785" s="26">
        <f t="shared" si="28"/>
        <v>0</v>
      </c>
    </row>
    <row r="786" spans="2:12">
      <c r="B786" s="4" t="e">
        <f t="shared" si="27"/>
        <v>#N/A</v>
      </c>
      <c r="C786" s="4">
        <f>'Raw data'!E705</f>
        <v>0</v>
      </c>
      <c r="D786" s="29" t="e">
        <f>VLOOKUP(C786,'점포코드 '!A:B,2,0)</f>
        <v>#N/A</v>
      </c>
      <c r="E786" s="30">
        <f>'Raw data'!P705</f>
        <v>0</v>
      </c>
      <c r="F786" s="29" t="e">
        <f>VLOOKUP(E786,'점포코드 '!A:B,2,0)</f>
        <v>#N/A</v>
      </c>
      <c r="G786" s="46">
        <f>'Raw data'!F705</f>
        <v>0</v>
      </c>
      <c r="H786" s="4">
        <f>'Raw data'!G705</f>
        <v>0</v>
      </c>
      <c r="I786" s="29" t="e">
        <f>VLOOKUP(G786,제품명!$C$1:$E$114,2,0)</f>
        <v>#N/A</v>
      </c>
      <c r="J786" s="29">
        <f>'Raw data'!K705</f>
        <v>0</v>
      </c>
      <c r="K786" s="31">
        <f>'Raw data'!H705</f>
        <v>0</v>
      </c>
      <c r="L786" s="26">
        <f t="shared" si="28"/>
        <v>0</v>
      </c>
    </row>
    <row r="787" spans="2:12">
      <c r="B787" s="4" t="e">
        <f t="shared" si="27"/>
        <v>#N/A</v>
      </c>
      <c r="C787" s="4">
        <f>'Raw data'!E706</f>
        <v>0</v>
      </c>
      <c r="D787" s="29" t="e">
        <f>VLOOKUP(C787,'점포코드 '!A:B,2,0)</f>
        <v>#N/A</v>
      </c>
      <c r="E787" s="30">
        <f>'Raw data'!P706</f>
        <v>0</v>
      </c>
      <c r="F787" s="29" t="e">
        <f>VLOOKUP(E787,'점포코드 '!A:B,2,0)</f>
        <v>#N/A</v>
      </c>
      <c r="G787" s="46">
        <f>'Raw data'!F706</f>
        <v>0</v>
      </c>
      <c r="H787" s="4">
        <f>'Raw data'!G706</f>
        <v>0</v>
      </c>
      <c r="I787" s="29" t="e">
        <f>VLOOKUP(G787,제품명!$C$1:$E$114,2,0)</f>
        <v>#N/A</v>
      </c>
      <c r="J787" s="29">
        <f>'Raw data'!K706</f>
        <v>0</v>
      </c>
      <c r="K787" s="31">
        <f>'Raw data'!H706</f>
        <v>0</v>
      </c>
      <c r="L787" s="26">
        <f t="shared" si="28"/>
        <v>0</v>
      </c>
    </row>
    <row r="788" spans="2:12">
      <c r="B788" s="4" t="e">
        <f t="shared" si="27"/>
        <v>#N/A</v>
      </c>
      <c r="C788" s="4">
        <f>'Raw data'!E707</f>
        <v>0</v>
      </c>
      <c r="D788" s="29" t="e">
        <f>VLOOKUP(C788,'점포코드 '!A:B,2,0)</f>
        <v>#N/A</v>
      </c>
      <c r="E788" s="30">
        <f>'Raw data'!P707</f>
        <v>0</v>
      </c>
      <c r="F788" s="29" t="e">
        <f>VLOOKUP(E788,'점포코드 '!A:B,2,0)</f>
        <v>#N/A</v>
      </c>
      <c r="G788" s="46">
        <f>'Raw data'!F707</f>
        <v>0</v>
      </c>
      <c r="H788" s="4">
        <f>'Raw data'!G707</f>
        <v>0</v>
      </c>
      <c r="I788" s="29" t="e">
        <f>VLOOKUP(G788,제품명!$C$1:$E$114,2,0)</f>
        <v>#N/A</v>
      </c>
      <c r="J788" s="29">
        <f>'Raw data'!K707</f>
        <v>0</v>
      </c>
      <c r="K788" s="31">
        <f>'Raw data'!H707</f>
        <v>0</v>
      </c>
      <c r="L788" s="26">
        <f t="shared" si="28"/>
        <v>0</v>
      </c>
    </row>
    <row r="789" spans="2:12">
      <c r="B789" s="4" t="e">
        <f t="shared" si="27"/>
        <v>#N/A</v>
      </c>
      <c r="C789" s="4">
        <f>'Raw data'!E708</f>
        <v>0</v>
      </c>
      <c r="D789" s="29" t="e">
        <f>VLOOKUP(C789,'점포코드 '!A:B,2,0)</f>
        <v>#N/A</v>
      </c>
      <c r="E789" s="30">
        <f>'Raw data'!P708</f>
        <v>0</v>
      </c>
      <c r="F789" s="29" t="e">
        <f>VLOOKUP(E789,'점포코드 '!A:B,2,0)</f>
        <v>#N/A</v>
      </c>
      <c r="G789" s="46">
        <f>'Raw data'!F708</f>
        <v>0</v>
      </c>
      <c r="H789" s="4">
        <f>'Raw data'!G708</f>
        <v>0</v>
      </c>
      <c r="I789" s="29" t="e">
        <f>VLOOKUP(G789,제품명!$C$1:$E$114,2,0)</f>
        <v>#N/A</v>
      </c>
      <c r="J789" s="29">
        <f>'Raw data'!K708</f>
        <v>0</v>
      </c>
      <c r="K789" s="31">
        <f>'Raw data'!H708</f>
        <v>0</v>
      </c>
      <c r="L789" s="26">
        <f t="shared" si="28"/>
        <v>0</v>
      </c>
    </row>
    <row r="790" spans="2:12">
      <c r="B790" s="4" t="e">
        <f t="shared" si="27"/>
        <v>#N/A</v>
      </c>
      <c r="C790" s="4">
        <f>'Raw data'!E709</f>
        <v>0</v>
      </c>
      <c r="D790" s="29" t="e">
        <f>VLOOKUP(C790,'점포코드 '!A:B,2,0)</f>
        <v>#N/A</v>
      </c>
      <c r="E790" s="30">
        <f>'Raw data'!P709</f>
        <v>0</v>
      </c>
      <c r="F790" s="29" t="e">
        <f>VLOOKUP(E790,'점포코드 '!A:B,2,0)</f>
        <v>#N/A</v>
      </c>
      <c r="G790" s="46">
        <f>'Raw data'!F709</f>
        <v>0</v>
      </c>
      <c r="H790" s="4">
        <f>'Raw data'!G709</f>
        <v>0</v>
      </c>
      <c r="I790" s="29" t="e">
        <f>VLOOKUP(G790,제품명!$C$1:$E$114,2,0)</f>
        <v>#N/A</v>
      </c>
      <c r="J790" s="29">
        <f>'Raw data'!K709</f>
        <v>0</v>
      </c>
      <c r="K790" s="31">
        <f>'Raw data'!H709</f>
        <v>0</v>
      </c>
      <c r="L790" s="26">
        <f t="shared" si="28"/>
        <v>0</v>
      </c>
    </row>
    <row r="791" spans="2:12">
      <c r="B791" s="4" t="e">
        <f t="shared" si="27"/>
        <v>#N/A</v>
      </c>
      <c r="C791" s="4">
        <f>'Raw data'!E710</f>
        <v>0</v>
      </c>
      <c r="D791" s="29" t="e">
        <f>VLOOKUP(C791,'점포코드 '!A:B,2,0)</f>
        <v>#N/A</v>
      </c>
      <c r="E791" s="30">
        <f>'Raw data'!P710</f>
        <v>0</v>
      </c>
      <c r="F791" s="29" t="e">
        <f>VLOOKUP(E791,'점포코드 '!A:B,2,0)</f>
        <v>#N/A</v>
      </c>
      <c r="G791" s="46">
        <f>'Raw data'!F710</f>
        <v>0</v>
      </c>
      <c r="H791" s="4">
        <f>'Raw data'!G710</f>
        <v>0</v>
      </c>
      <c r="I791" s="29" t="e">
        <f>VLOOKUP(G791,제품명!$C$1:$E$114,2,0)</f>
        <v>#N/A</v>
      </c>
      <c r="J791" s="29">
        <f>'Raw data'!K710</f>
        <v>0</v>
      </c>
      <c r="K791" s="31">
        <f>'Raw data'!H710</f>
        <v>0</v>
      </c>
      <c r="L791" s="26">
        <f t="shared" si="28"/>
        <v>0</v>
      </c>
    </row>
    <row r="792" spans="2:12">
      <c r="B792" s="4" t="e">
        <f t="shared" si="27"/>
        <v>#N/A</v>
      </c>
      <c r="C792" s="4">
        <f>'Raw data'!E711</f>
        <v>0</v>
      </c>
      <c r="D792" s="29" t="e">
        <f>VLOOKUP(C792,'점포코드 '!A:B,2,0)</f>
        <v>#N/A</v>
      </c>
      <c r="E792" s="30">
        <f>'Raw data'!P711</f>
        <v>0</v>
      </c>
      <c r="F792" s="29" t="e">
        <f>VLOOKUP(E792,'점포코드 '!A:B,2,0)</f>
        <v>#N/A</v>
      </c>
      <c r="G792" s="46">
        <f>'Raw data'!F711</f>
        <v>0</v>
      </c>
      <c r="H792" s="4">
        <f>'Raw data'!G711</f>
        <v>0</v>
      </c>
      <c r="I792" s="29" t="e">
        <f>VLOOKUP(G792,제품명!$C$1:$E$114,2,0)</f>
        <v>#N/A</v>
      </c>
      <c r="J792" s="29">
        <f>'Raw data'!K711</f>
        <v>0</v>
      </c>
      <c r="K792" s="31">
        <f>'Raw data'!H711</f>
        <v>0</v>
      </c>
      <c r="L792" s="26">
        <f t="shared" si="28"/>
        <v>0</v>
      </c>
    </row>
    <row r="793" spans="2:12">
      <c r="B793" s="4" t="e">
        <f t="shared" si="27"/>
        <v>#N/A</v>
      </c>
      <c r="C793" s="4">
        <f>'Raw data'!E712</f>
        <v>0</v>
      </c>
      <c r="D793" s="29" t="e">
        <f>VLOOKUP(C793,'점포코드 '!A:B,2,0)</f>
        <v>#N/A</v>
      </c>
      <c r="E793" s="30">
        <f>'Raw data'!P712</f>
        <v>0</v>
      </c>
      <c r="F793" s="29" t="e">
        <f>VLOOKUP(E793,'점포코드 '!A:B,2,0)</f>
        <v>#N/A</v>
      </c>
      <c r="G793" s="46">
        <f>'Raw data'!F712</f>
        <v>0</v>
      </c>
      <c r="H793" s="4">
        <f>'Raw data'!G712</f>
        <v>0</v>
      </c>
      <c r="I793" s="29" t="e">
        <f>VLOOKUP(G793,제품명!$C$1:$E$114,2,0)</f>
        <v>#N/A</v>
      </c>
      <c r="J793" s="29">
        <f>'Raw data'!K712</f>
        <v>0</v>
      </c>
      <c r="K793" s="31">
        <f>'Raw data'!H712</f>
        <v>0</v>
      </c>
      <c r="L793" s="26">
        <f t="shared" si="28"/>
        <v>0</v>
      </c>
    </row>
    <row r="794" spans="2:12">
      <c r="B794" s="4" t="e">
        <f t="shared" si="27"/>
        <v>#N/A</v>
      </c>
      <c r="C794" s="4">
        <f>'Raw data'!E713</f>
        <v>0</v>
      </c>
      <c r="D794" s="29" t="e">
        <f>VLOOKUP(C794,'점포코드 '!A:B,2,0)</f>
        <v>#N/A</v>
      </c>
      <c r="E794" s="30">
        <f>'Raw data'!P713</f>
        <v>0</v>
      </c>
      <c r="F794" s="29" t="e">
        <f>VLOOKUP(E794,'점포코드 '!A:B,2,0)</f>
        <v>#N/A</v>
      </c>
      <c r="G794" s="46">
        <f>'Raw data'!F713</f>
        <v>0</v>
      </c>
      <c r="H794" s="4">
        <f>'Raw data'!G713</f>
        <v>0</v>
      </c>
      <c r="I794" s="29" t="e">
        <f>VLOOKUP(G794,제품명!$C$1:$E$114,2,0)</f>
        <v>#N/A</v>
      </c>
      <c r="J794" s="29">
        <f>'Raw data'!K713</f>
        <v>0</v>
      </c>
      <c r="K794" s="31">
        <f>'Raw data'!H713</f>
        <v>0</v>
      </c>
      <c r="L794" s="26">
        <f t="shared" si="28"/>
        <v>0</v>
      </c>
    </row>
    <row r="795" spans="2:12">
      <c r="B795" s="4" t="e">
        <f t="shared" si="27"/>
        <v>#N/A</v>
      </c>
      <c r="C795" s="4">
        <f>'Raw data'!E714</f>
        <v>0</v>
      </c>
      <c r="D795" s="29" t="e">
        <f>VLOOKUP(C795,'점포코드 '!A:B,2,0)</f>
        <v>#N/A</v>
      </c>
      <c r="E795" s="30">
        <f>'Raw data'!P714</f>
        <v>0</v>
      </c>
      <c r="F795" s="29" t="e">
        <f>VLOOKUP(E795,'점포코드 '!A:B,2,0)</f>
        <v>#N/A</v>
      </c>
      <c r="G795" s="46">
        <f>'Raw data'!F714</f>
        <v>0</v>
      </c>
      <c r="H795" s="4">
        <f>'Raw data'!G714</f>
        <v>0</v>
      </c>
      <c r="I795" s="29" t="e">
        <f>VLOOKUP(G795,제품명!$C$1:$E$114,2,0)</f>
        <v>#N/A</v>
      </c>
      <c r="J795" s="29">
        <f>'Raw data'!K714</f>
        <v>0</v>
      </c>
      <c r="K795" s="31">
        <f>'Raw data'!H714</f>
        <v>0</v>
      </c>
      <c r="L795" s="26">
        <f t="shared" si="28"/>
        <v>0</v>
      </c>
    </row>
    <row r="796" spans="2:12">
      <c r="B796" s="4" t="e">
        <f t="shared" si="27"/>
        <v>#N/A</v>
      </c>
      <c r="C796" s="4">
        <f>'Raw data'!E715</f>
        <v>0</v>
      </c>
      <c r="D796" s="29" t="e">
        <f>VLOOKUP(C796,'점포코드 '!A:B,2,0)</f>
        <v>#N/A</v>
      </c>
      <c r="E796" s="30">
        <f>'Raw data'!P715</f>
        <v>0</v>
      </c>
      <c r="F796" s="29" t="e">
        <f>VLOOKUP(E796,'점포코드 '!A:B,2,0)</f>
        <v>#N/A</v>
      </c>
      <c r="G796" s="46">
        <f>'Raw data'!F715</f>
        <v>0</v>
      </c>
      <c r="H796" s="4">
        <f>'Raw data'!G715</f>
        <v>0</v>
      </c>
      <c r="I796" s="29" t="e">
        <f>VLOOKUP(G796,제품명!$C$1:$E$114,2,0)</f>
        <v>#N/A</v>
      </c>
      <c r="J796" s="29">
        <f>'Raw data'!K715</f>
        <v>0</v>
      </c>
      <c r="K796" s="31">
        <f>'Raw data'!H715</f>
        <v>0</v>
      </c>
      <c r="L796" s="26">
        <f t="shared" si="28"/>
        <v>0</v>
      </c>
    </row>
    <row r="797" spans="2:12">
      <c r="B797" s="4" t="e">
        <f t="shared" si="27"/>
        <v>#N/A</v>
      </c>
      <c r="C797" s="4">
        <f>'Raw data'!E716</f>
        <v>0</v>
      </c>
      <c r="D797" s="29" t="e">
        <f>VLOOKUP(C797,'점포코드 '!A:B,2,0)</f>
        <v>#N/A</v>
      </c>
      <c r="E797" s="30">
        <f>'Raw data'!P716</f>
        <v>0</v>
      </c>
      <c r="F797" s="29" t="e">
        <f>VLOOKUP(E797,'점포코드 '!A:B,2,0)</f>
        <v>#N/A</v>
      </c>
      <c r="G797" s="46">
        <f>'Raw data'!F716</f>
        <v>0</v>
      </c>
      <c r="H797" s="4">
        <f>'Raw data'!G716</f>
        <v>0</v>
      </c>
      <c r="I797" s="29" t="e">
        <f>VLOOKUP(G797,제품명!$C$1:$E$114,2,0)</f>
        <v>#N/A</v>
      </c>
      <c r="J797" s="29">
        <f>'Raw data'!K716</f>
        <v>0</v>
      </c>
      <c r="K797" s="31">
        <f>'Raw data'!H716</f>
        <v>0</v>
      </c>
      <c r="L797" s="26">
        <f t="shared" si="28"/>
        <v>0</v>
      </c>
    </row>
    <row r="798" spans="2:12">
      <c r="B798" s="4" t="e">
        <f t="shared" si="27"/>
        <v>#N/A</v>
      </c>
      <c r="C798" s="4">
        <f>'Raw data'!E717</f>
        <v>0</v>
      </c>
      <c r="D798" s="29" t="e">
        <f>VLOOKUP(C798,'점포코드 '!A:B,2,0)</f>
        <v>#N/A</v>
      </c>
      <c r="E798" s="30">
        <f>'Raw data'!P717</f>
        <v>0</v>
      </c>
      <c r="F798" s="29" t="e">
        <f>VLOOKUP(E798,'점포코드 '!A:B,2,0)</f>
        <v>#N/A</v>
      </c>
      <c r="G798" s="46">
        <f>'Raw data'!F717</f>
        <v>0</v>
      </c>
      <c r="H798" s="4">
        <f>'Raw data'!G717</f>
        <v>0</v>
      </c>
      <c r="I798" s="29" t="e">
        <f>VLOOKUP(G798,제품명!$C$1:$E$114,2,0)</f>
        <v>#N/A</v>
      </c>
      <c r="J798" s="29">
        <f>'Raw data'!K717</f>
        <v>0</v>
      </c>
      <c r="K798" s="31">
        <f>'Raw data'!H717</f>
        <v>0</v>
      </c>
      <c r="L798" s="26">
        <f t="shared" si="28"/>
        <v>0</v>
      </c>
    </row>
    <row r="799" spans="2:12">
      <c r="B799" s="4" t="e">
        <f t="shared" si="27"/>
        <v>#N/A</v>
      </c>
      <c r="C799" s="4">
        <f>'Raw data'!E718</f>
        <v>0</v>
      </c>
      <c r="D799" s="29" t="e">
        <f>VLOOKUP(C799,'점포코드 '!A:B,2,0)</f>
        <v>#N/A</v>
      </c>
      <c r="E799" s="30">
        <f>'Raw data'!P718</f>
        <v>0</v>
      </c>
      <c r="F799" s="29" t="e">
        <f>VLOOKUP(E799,'점포코드 '!A:B,2,0)</f>
        <v>#N/A</v>
      </c>
      <c r="G799" s="46">
        <f>'Raw data'!F718</f>
        <v>0</v>
      </c>
      <c r="H799" s="4">
        <f>'Raw data'!G718</f>
        <v>0</v>
      </c>
      <c r="I799" s="29" t="e">
        <f>VLOOKUP(G799,제품명!$C$1:$E$114,2,0)</f>
        <v>#N/A</v>
      </c>
      <c r="J799" s="29">
        <f>'Raw data'!K718</f>
        <v>0</v>
      </c>
      <c r="K799" s="31">
        <f>'Raw data'!H718</f>
        <v>0</v>
      </c>
      <c r="L799" s="26">
        <f t="shared" si="28"/>
        <v>0</v>
      </c>
    </row>
    <row r="800" spans="2:12">
      <c r="B800" s="4" t="e">
        <f t="shared" si="27"/>
        <v>#N/A</v>
      </c>
      <c r="C800" s="4">
        <f>'Raw data'!E719</f>
        <v>0</v>
      </c>
      <c r="D800" s="29" t="e">
        <f>VLOOKUP(C800,'점포코드 '!A:B,2,0)</f>
        <v>#N/A</v>
      </c>
      <c r="E800" s="30">
        <f>'Raw data'!P719</f>
        <v>0</v>
      </c>
      <c r="F800" s="29" t="e">
        <f>VLOOKUP(E800,'점포코드 '!A:B,2,0)</f>
        <v>#N/A</v>
      </c>
      <c r="G800" s="46">
        <f>'Raw data'!F719</f>
        <v>0</v>
      </c>
      <c r="H800" s="4">
        <f>'Raw data'!G719</f>
        <v>0</v>
      </c>
      <c r="I800" s="29" t="e">
        <f>VLOOKUP(G800,제품명!$C$1:$E$114,2,0)</f>
        <v>#N/A</v>
      </c>
      <c r="J800" s="29">
        <f>'Raw data'!K719</f>
        <v>0</v>
      </c>
      <c r="K800" s="31">
        <f>'Raw data'!H719</f>
        <v>0</v>
      </c>
      <c r="L800" s="26">
        <f t="shared" si="28"/>
        <v>0</v>
      </c>
    </row>
    <row r="801" spans="2:12">
      <c r="B801" s="4" t="e">
        <f t="shared" si="27"/>
        <v>#N/A</v>
      </c>
      <c r="C801" s="4">
        <f>'Raw data'!E720</f>
        <v>0</v>
      </c>
      <c r="D801" s="29" t="e">
        <f>VLOOKUP(C801,'점포코드 '!A:B,2,0)</f>
        <v>#N/A</v>
      </c>
      <c r="E801" s="30">
        <f>'Raw data'!P720</f>
        <v>0</v>
      </c>
      <c r="F801" s="29" t="e">
        <f>VLOOKUP(E801,'점포코드 '!A:B,2,0)</f>
        <v>#N/A</v>
      </c>
      <c r="G801" s="46">
        <f>'Raw data'!F720</f>
        <v>0</v>
      </c>
      <c r="H801" s="4">
        <f>'Raw data'!G720</f>
        <v>0</v>
      </c>
      <c r="I801" s="29" t="e">
        <f>VLOOKUP(G801,제품명!$C$1:$E$114,2,0)</f>
        <v>#N/A</v>
      </c>
      <c r="J801" s="29">
        <f>'Raw data'!K720</f>
        <v>0</v>
      </c>
      <c r="K801" s="31">
        <f>'Raw data'!H720</f>
        <v>0</v>
      </c>
      <c r="L801" s="26">
        <f t="shared" si="28"/>
        <v>0</v>
      </c>
    </row>
    <row r="802" spans="2:12">
      <c r="B802" s="4" t="e">
        <f t="shared" si="27"/>
        <v>#N/A</v>
      </c>
      <c r="C802" s="4">
        <f>'Raw data'!E721</f>
        <v>0</v>
      </c>
      <c r="D802" s="29" t="e">
        <f>VLOOKUP(C802,'점포코드 '!A:B,2,0)</f>
        <v>#N/A</v>
      </c>
      <c r="E802" s="30">
        <f>'Raw data'!P721</f>
        <v>0</v>
      </c>
      <c r="F802" s="29" t="e">
        <f>VLOOKUP(E802,'점포코드 '!A:B,2,0)</f>
        <v>#N/A</v>
      </c>
      <c r="G802" s="46">
        <f>'Raw data'!F721</f>
        <v>0</v>
      </c>
      <c r="H802" s="4">
        <f>'Raw data'!G721</f>
        <v>0</v>
      </c>
      <c r="I802" s="29" t="e">
        <f>VLOOKUP(G802,제품명!$C$1:$E$114,2,0)</f>
        <v>#N/A</v>
      </c>
      <c r="J802" s="29">
        <f>'Raw data'!K721</f>
        <v>0</v>
      </c>
      <c r="K802" s="31">
        <f>'Raw data'!H721</f>
        <v>0</v>
      </c>
      <c r="L802" s="26">
        <f t="shared" si="28"/>
        <v>0</v>
      </c>
    </row>
    <row r="803" spans="2:12">
      <c r="B803" s="4" t="e">
        <f t="shared" si="27"/>
        <v>#N/A</v>
      </c>
      <c r="C803" s="4">
        <f>'Raw data'!E722</f>
        <v>0</v>
      </c>
      <c r="D803" s="29" t="e">
        <f>VLOOKUP(C803,'점포코드 '!A:B,2,0)</f>
        <v>#N/A</v>
      </c>
      <c r="E803" s="30">
        <f>'Raw data'!P722</f>
        <v>0</v>
      </c>
      <c r="F803" s="29" t="e">
        <f>VLOOKUP(E803,'점포코드 '!A:B,2,0)</f>
        <v>#N/A</v>
      </c>
      <c r="G803" s="46">
        <f>'Raw data'!F722</f>
        <v>0</v>
      </c>
      <c r="H803" s="4">
        <f>'Raw data'!G722</f>
        <v>0</v>
      </c>
      <c r="I803" s="29" t="e">
        <f>VLOOKUP(G803,제품명!$C$1:$E$114,2,0)</f>
        <v>#N/A</v>
      </c>
      <c r="J803" s="29">
        <f>'Raw data'!K722</f>
        <v>0</v>
      </c>
      <c r="K803" s="31">
        <f>'Raw data'!H722</f>
        <v>0</v>
      </c>
      <c r="L803" s="26">
        <f t="shared" si="28"/>
        <v>0</v>
      </c>
    </row>
    <row r="804" spans="2:12">
      <c r="B804" s="4" t="e">
        <f t="shared" si="27"/>
        <v>#N/A</v>
      </c>
      <c r="C804" s="4">
        <f>'Raw data'!E723</f>
        <v>0</v>
      </c>
      <c r="D804" s="29" t="e">
        <f>VLOOKUP(C804,'점포코드 '!A:B,2,0)</f>
        <v>#N/A</v>
      </c>
      <c r="E804" s="30">
        <f>'Raw data'!P723</f>
        <v>0</v>
      </c>
      <c r="F804" s="29" t="e">
        <f>VLOOKUP(E804,'점포코드 '!A:B,2,0)</f>
        <v>#N/A</v>
      </c>
      <c r="G804" s="46">
        <f>'Raw data'!F723</f>
        <v>0</v>
      </c>
      <c r="H804" s="4">
        <f>'Raw data'!G723</f>
        <v>0</v>
      </c>
      <c r="I804" s="29" t="e">
        <f>VLOOKUP(G804,제품명!$C$1:$E$114,2,0)</f>
        <v>#N/A</v>
      </c>
      <c r="J804" s="29">
        <f>'Raw data'!K723</f>
        <v>0</v>
      </c>
      <c r="K804" s="31">
        <f>'Raw data'!H723</f>
        <v>0</v>
      </c>
      <c r="L804" s="26">
        <f t="shared" si="28"/>
        <v>0</v>
      </c>
    </row>
    <row r="805" spans="2:12">
      <c r="B805" s="4" t="e">
        <f t="shared" si="27"/>
        <v>#N/A</v>
      </c>
      <c r="C805" s="4">
        <f>'Raw data'!E724</f>
        <v>0</v>
      </c>
      <c r="D805" s="29" t="e">
        <f>VLOOKUP(C805,'점포코드 '!A:B,2,0)</f>
        <v>#N/A</v>
      </c>
      <c r="E805" s="30">
        <f>'Raw data'!P724</f>
        <v>0</v>
      </c>
      <c r="F805" s="29" t="e">
        <f>VLOOKUP(E805,'점포코드 '!A:B,2,0)</f>
        <v>#N/A</v>
      </c>
      <c r="G805" s="46">
        <f>'Raw data'!F724</f>
        <v>0</v>
      </c>
      <c r="H805" s="4">
        <f>'Raw data'!G724</f>
        <v>0</v>
      </c>
      <c r="I805" s="29" t="e">
        <f>VLOOKUP(G805,제품명!$C$1:$E$114,2,0)</f>
        <v>#N/A</v>
      </c>
      <c r="J805" s="29">
        <f>'Raw data'!K724</f>
        <v>0</v>
      </c>
      <c r="K805" s="31">
        <f>'Raw data'!H724</f>
        <v>0</v>
      </c>
      <c r="L805" s="26">
        <f t="shared" si="28"/>
        <v>0</v>
      </c>
    </row>
    <row r="806" spans="2:12">
      <c r="B806" s="4" t="e">
        <f t="shared" si="27"/>
        <v>#N/A</v>
      </c>
      <c r="C806" s="4">
        <f>'Raw data'!E725</f>
        <v>0</v>
      </c>
      <c r="D806" s="29" t="e">
        <f>VLOOKUP(C806,'점포코드 '!A:B,2,0)</f>
        <v>#N/A</v>
      </c>
      <c r="E806" s="30">
        <f>'Raw data'!P725</f>
        <v>0</v>
      </c>
      <c r="F806" s="29" t="e">
        <f>VLOOKUP(E806,'점포코드 '!A:B,2,0)</f>
        <v>#N/A</v>
      </c>
      <c r="G806" s="46">
        <f>'Raw data'!F725</f>
        <v>0</v>
      </c>
      <c r="H806" s="4">
        <f>'Raw data'!G725</f>
        <v>0</v>
      </c>
      <c r="I806" s="29" t="e">
        <f>VLOOKUP(G806,제품명!$C$1:$E$114,2,0)</f>
        <v>#N/A</v>
      </c>
      <c r="J806" s="29">
        <f>'Raw data'!K725</f>
        <v>0</v>
      </c>
      <c r="K806" s="31">
        <f>'Raw data'!H725</f>
        <v>0</v>
      </c>
      <c r="L806" s="26">
        <f t="shared" si="28"/>
        <v>0</v>
      </c>
    </row>
    <row r="807" spans="2:12">
      <c r="B807" s="4" t="e">
        <f t="shared" si="27"/>
        <v>#N/A</v>
      </c>
      <c r="C807" s="4">
        <f>'Raw data'!E726</f>
        <v>0</v>
      </c>
      <c r="D807" s="29" t="e">
        <f>VLOOKUP(C807,'점포코드 '!A:B,2,0)</f>
        <v>#N/A</v>
      </c>
      <c r="E807" s="30">
        <f>'Raw data'!P726</f>
        <v>0</v>
      </c>
      <c r="F807" s="29" t="e">
        <f>VLOOKUP(E807,'점포코드 '!A:B,2,0)</f>
        <v>#N/A</v>
      </c>
      <c r="G807" s="46">
        <f>'Raw data'!F726</f>
        <v>0</v>
      </c>
      <c r="H807" s="4">
        <f>'Raw data'!G726</f>
        <v>0</v>
      </c>
      <c r="I807" s="29" t="e">
        <f>VLOOKUP(G807,제품명!$C$1:$E$114,2,0)</f>
        <v>#N/A</v>
      </c>
      <c r="J807" s="29">
        <f>'Raw data'!K726</f>
        <v>0</v>
      </c>
      <c r="K807" s="31">
        <f>'Raw data'!H726</f>
        <v>0</v>
      </c>
      <c r="L807" s="26">
        <f t="shared" si="28"/>
        <v>0</v>
      </c>
    </row>
    <row r="808" spans="2:12">
      <c r="B808" s="4" t="e">
        <f t="shared" si="27"/>
        <v>#N/A</v>
      </c>
      <c r="C808" s="4">
        <f>'Raw data'!E727</f>
        <v>0</v>
      </c>
      <c r="D808" s="29" t="e">
        <f>VLOOKUP(C808,'점포코드 '!A:B,2,0)</f>
        <v>#N/A</v>
      </c>
      <c r="E808" s="30">
        <f>'Raw data'!P727</f>
        <v>0</v>
      </c>
      <c r="F808" s="29" t="e">
        <f>VLOOKUP(E808,'점포코드 '!A:B,2,0)</f>
        <v>#N/A</v>
      </c>
      <c r="G808" s="46">
        <f>'Raw data'!F727</f>
        <v>0</v>
      </c>
      <c r="H808" s="4">
        <f>'Raw data'!G727</f>
        <v>0</v>
      </c>
      <c r="I808" s="29" t="e">
        <f>VLOOKUP(G808,제품명!$C$1:$E$114,2,0)</f>
        <v>#N/A</v>
      </c>
      <c r="J808" s="29">
        <f>'Raw data'!K727</f>
        <v>0</v>
      </c>
      <c r="K808" s="31">
        <f>'Raw data'!H727</f>
        <v>0</v>
      </c>
      <c r="L808" s="26">
        <f t="shared" si="28"/>
        <v>0</v>
      </c>
    </row>
    <row r="809" spans="2:12">
      <c r="B809" s="4" t="e">
        <f t="shared" si="27"/>
        <v>#N/A</v>
      </c>
      <c r="C809" s="4">
        <f>'Raw data'!E728</f>
        <v>0</v>
      </c>
      <c r="D809" s="29" t="e">
        <f>VLOOKUP(C809,'점포코드 '!A:B,2,0)</f>
        <v>#N/A</v>
      </c>
      <c r="E809" s="30">
        <f>'Raw data'!P728</f>
        <v>0</v>
      </c>
      <c r="F809" s="29" t="e">
        <f>VLOOKUP(E809,'점포코드 '!A:B,2,0)</f>
        <v>#N/A</v>
      </c>
      <c r="G809" s="46">
        <f>'Raw data'!F728</f>
        <v>0</v>
      </c>
      <c r="H809" s="4">
        <f>'Raw data'!G728</f>
        <v>0</v>
      </c>
      <c r="I809" s="29" t="e">
        <f>VLOOKUP(G809,제품명!$C$1:$E$114,2,0)</f>
        <v>#N/A</v>
      </c>
      <c r="J809" s="29">
        <f>'Raw data'!K728</f>
        <v>0</v>
      </c>
      <c r="K809" s="31">
        <f>'Raw data'!H728</f>
        <v>0</v>
      </c>
      <c r="L809" s="26">
        <f t="shared" si="28"/>
        <v>0</v>
      </c>
    </row>
    <row r="810" spans="2:12">
      <c r="B810" s="4" t="e">
        <f t="shared" si="27"/>
        <v>#N/A</v>
      </c>
      <c r="C810" s="4">
        <f>'Raw data'!E729</f>
        <v>0</v>
      </c>
      <c r="D810" s="29" t="e">
        <f>VLOOKUP(C810,'점포코드 '!A:B,2,0)</f>
        <v>#N/A</v>
      </c>
      <c r="E810" s="30">
        <f>'Raw data'!P729</f>
        <v>0</v>
      </c>
      <c r="F810" s="29" t="e">
        <f>VLOOKUP(E810,'점포코드 '!A:B,2,0)</f>
        <v>#N/A</v>
      </c>
      <c r="G810" s="46">
        <f>'Raw data'!F729</f>
        <v>0</v>
      </c>
      <c r="H810" s="4">
        <f>'Raw data'!G729</f>
        <v>0</v>
      </c>
      <c r="I810" s="29" t="e">
        <f>VLOOKUP(G810,제품명!$C$1:$E$114,2,0)</f>
        <v>#N/A</v>
      </c>
      <c r="J810" s="29">
        <f>'Raw data'!K729</f>
        <v>0</v>
      </c>
      <c r="K810" s="31">
        <f>'Raw data'!H729</f>
        <v>0</v>
      </c>
      <c r="L810" s="26">
        <f t="shared" si="28"/>
        <v>0</v>
      </c>
    </row>
    <row r="811" spans="2:12">
      <c r="B811" s="4" t="e">
        <f t="shared" si="27"/>
        <v>#N/A</v>
      </c>
      <c r="C811" s="4">
        <f>'Raw data'!E730</f>
        <v>0</v>
      </c>
      <c r="D811" s="29" t="e">
        <f>VLOOKUP(C811,'점포코드 '!A:B,2,0)</f>
        <v>#N/A</v>
      </c>
      <c r="E811" s="30">
        <f>'Raw data'!P730</f>
        <v>0</v>
      </c>
      <c r="F811" s="29" t="e">
        <f>VLOOKUP(E811,'점포코드 '!A:B,2,0)</f>
        <v>#N/A</v>
      </c>
      <c r="G811" s="46">
        <f>'Raw data'!F730</f>
        <v>0</v>
      </c>
      <c r="H811" s="4">
        <f>'Raw data'!G730</f>
        <v>0</v>
      </c>
      <c r="I811" s="29" t="e">
        <f>VLOOKUP(G811,제품명!$C$1:$E$114,2,0)</f>
        <v>#N/A</v>
      </c>
      <c r="J811" s="29">
        <f>'Raw data'!K730</f>
        <v>0</v>
      </c>
      <c r="K811" s="31">
        <f>'Raw data'!H730</f>
        <v>0</v>
      </c>
      <c r="L811" s="26">
        <f t="shared" si="28"/>
        <v>0</v>
      </c>
    </row>
    <row r="812" spans="2:12">
      <c r="B812" s="4" t="e">
        <f t="shared" si="27"/>
        <v>#N/A</v>
      </c>
      <c r="C812" s="4">
        <f>'Raw data'!E731</f>
        <v>0</v>
      </c>
      <c r="D812" s="29" t="e">
        <f>VLOOKUP(C812,'점포코드 '!A:B,2,0)</f>
        <v>#N/A</v>
      </c>
      <c r="E812" s="30">
        <f>'Raw data'!P731</f>
        <v>0</v>
      </c>
      <c r="F812" s="29" t="e">
        <f>VLOOKUP(E812,'점포코드 '!A:B,2,0)</f>
        <v>#N/A</v>
      </c>
      <c r="G812" s="46">
        <f>'Raw data'!F731</f>
        <v>0</v>
      </c>
      <c r="H812" s="4">
        <f>'Raw data'!G731</f>
        <v>0</v>
      </c>
      <c r="I812" s="29" t="e">
        <f>VLOOKUP(G812,제품명!$C$1:$E$114,2,0)</f>
        <v>#N/A</v>
      </c>
      <c r="J812" s="29">
        <f>'Raw data'!K731</f>
        <v>0</v>
      </c>
      <c r="K812" s="31">
        <f>'Raw data'!H731</f>
        <v>0</v>
      </c>
      <c r="L812" s="26">
        <f t="shared" si="28"/>
        <v>0</v>
      </c>
    </row>
    <row r="813" spans="2:12">
      <c r="B813" s="4" t="e">
        <f t="shared" si="27"/>
        <v>#N/A</v>
      </c>
      <c r="C813" s="4">
        <f>'Raw data'!E732</f>
        <v>0</v>
      </c>
      <c r="D813" s="29" t="e">
        <f>VLOOKUP(C813,'점포코드 '!A:B,2,0)</f>
        <v>#N/A</v>
      </c>
      <c r="E813" s="30">
        <f>'Raw data'!P732</f>
        <v>0</v>
      </c>
      <c r="F813" s="29" t="e">
        <f>VLOOKUP(E813,'점포코드 '!A:B,2,0)</f>
        <v>#N/A</v>
      </c>
      <c r="G813" s="46">
        <f>'Raw data'!F732</f>
        <v>0</v>
      </c>
      <c r="H813" s="4">
        <f>'Raw data'!G732</f>
        <v>0</v>
      </c>
      <c r="I813" s="29" t="e">
        <f>VLOOKUP(G813,제품명!$C$1:$E$114,2,0)</f>
        <v>#N/A</v>
      </c>
      <c r="J813" s="29">
        <f>'Raw data'!K732</f>
        <v>0</v>
      </c>
      <c r="K813" s="31">
        <f>'Raw data'!H732</f>
        <v>0</v>
      </c>
      <c r="L813" s="26">
        <f t="shared" si="28"/>
        <v>0</v>
      </c>
    </row>
    <row r="814" spans="2:12">
      <c r="B814" s="4" t="e">
        <f t="shared" si="27"/>
        <v>#N/A</v>
      </c>
      <c r="C814" s="4">
        <f>'Raw data'!E733</f>
        <v>0</v>
      </c>
      <c r="D814" s="29" t="e">
        <f>VLOOKUP(C814,'점포코드 '!A:B,2,0)</f>
        <v>#N/A</v>
      </c>
      <c r="E814" s="30">
        <f>'Raw data'!P733</f>
        <v>0</v>
      </c>
      <c r="F814" s="29" t="e">
        <f>VLOOKUP(E814,'점포코드 '!A:B,2,0)</f>
        <v>#N/A</v>
      </c>
      <c r="G814" s="46">
        <f>'Raw data'!F733</f>
        <v>0</v>
      </c>
      <c r="H814" s="4">
        <f>'Raw data'!G733</f>
        <v>0</v>
      </c>
      <c r="I814" s="29" t="e">
        <f>VLOOKUP(G814,제품명!$C$1:$E$114,2,0)</f>
        <v>#N/A</v>
      </c>
      <c r="J814" s="29">
        <f>'Raw data'!K733</f>
        <v>0</v>
      </c>
      <c r="K814" s="31">
        <f>'Raw data'!H733</f>
        <v>0</v>
      </c>
      <c r="L814" s="26">
        <f t="shared" si="28"/>
        <v>0</v>
      </c>
    </row>
    <row r="815" spans="2:12">
      <c r="B815" s="4" t="e">
        <f t="shared" si="27"/>
        <v>#N/A</v>
      </c>
      <c r="C815" s="4">
        <f>'Raw data'!E734</f>
        <v>0</v>
      </c>
      <c r="D815" s="29" t="e">
        <f>VLOOKUP(C815,'점포코드 '!A:B,2,0)</f>
        <v>#N/A</v>
      </c>
      <c r="E815" s="30">
        <f>'Raw data'!P734</f>
        <v>0</v>
      </c>
      <c r="F815" s="29" t="e">
        <f>VLOOKUP(E815,'점포코드 '!A:B,2,0)</f>
        <v>#N/A</v>
      </c>
      <c r="G815" s="46">
        <f>'Raw data'!F734</f>
        <v>0</v>
      </c>
      <c r="H815" s="4">
        <f>'Raw data'!G734</f>
        <v>0</v>
      </c>
      <c r="I815" s="29" t="e">
        <f>VLOOKUP(G815,제품명!$C$1:$E$114,2,0)</f>
        <v>#N/A</v>
      </c>
      <c r="J815" s="29">
        <f>'Raw data'!K734</f>
        <v>0</v>
      </c>
      <c r="K815" s="31">
        <f>'Raw data'!H734</f>
        <v>0</v>
      </c>
      <c r="L815" s="26">
        <f t="shared" si="28"/>
        <v>0</v>
      </c>
    </row>
    <row r="816" spans="2:12">
      <c r="B816" s="4" t="e">
        <f t="shared" si="27"/>
        <v>#N/A</v>
      </c>
      <c r="C816" s="4">
        <f>'Raw data'!E735</f>
        <v>0</v>
      </c>
      <c r="D816" s="29" t="e">
        <f>VLOOKUP(C816,'점포코드 '!A:B,2,0)</f>
        <v>#N/A</v>
      </c>
      <c r="E816" s="30">
        <f>'Raw data'!P735</f>
        <v>0</v>
      </c>
      <c r="F816" s="29" t="e">
        <f>VLOOKUP(E816,'점포코드 '!A:B,2,0)</f>
        <v>#N/A</v>
      </c>
      <c r="G816" s="46">
        <f>'Raw data'!F735</f>
        <v>0</v>
      </c>
      <c r="H816" s="4">
        <f>'Raw data'!G735</f>
        <v>0</v>
      </c>
      <c r="I816" s="29" t="e">
        <f>VLOOKUP(G816,제품명!$C$1:$E$114,2,0)</f>
        <v>#N/A</v>
      </c>
      <c r="J816" s="29">
        <f>'Raw data'!K735</f>
        <v>0</v>
      </c>
      <c r="K816" s="31">
        <f>'Raw data'!H735</f>
        <v>0</v>
      </c>
      <c r="L816" s="26">
        <f t="shared" si="28"/>
        <v>0</v>
      </c>
    </row>
    <row r="817" spans="2:12">
      <c r="B817" s="4" t="e">
        <f t="shared" si="27"/>
        <v>#N/A</v>
      </c>
      <c r="C817" s="4">
        <f>'Raw data'!E736</f>
        <v>0</v>
      </c>
      <c r="D817" s="29" t="e">
        <f>VLOOKUP(C817,'점포코드 '!A:B,2,0)</f>
        <v>#N/A</v>
      </c>
      <c r="E817" s="30">
        <f>'Raw data'!P736</f>
        <v>0</v>
      </c>
      <c r="F817" s="29" t="e">
        <f>VLOOKUP(E817,'점포코드 '!A:B,2,0)</f>
        <v>#N/A</v>
      </c>
      <c r="G817" s="46">
        <f>'Raw data'!F736</f>
        <v>0</v>
      </c>
      <c r="H817" s="4">
        <f>'Raw data'!G736</f>
        <v>0</v>
      </c>
      <c r="I817" s="29" t="e">
        <f>VLOOKUP(G817,제품명!$C$1:$E$114,2,0)</f>
        <v>#N/A</v>
      </c>
      <c r="J817" s="29">
        <f>'Raw data'!K736</f>
        <v>0</v>
      </c>
      <c r="K817" s="31">
        <f>'Raw data'!H736</f>
        <v>0</v>
      </c>
      <c r="L817" s="26">
        <f t="shared" si="28"/>
        <v>0</v>
      </c>
    </row>
    <row r="818" spans="2:12">
      <c r="B818" s="4" t="e">
        <f t="shared" si="27"/>
        <v>#N/A</v>
      </c>
      <c r="C818" s="4">
        <f>'Raw data'!E737</f>
        <v>0</v>
      </c>
      <c r="D818" s="29" t="e">
        <f>VLOOKUP(C818,'점포코드 '!A:B,2,0)</f>
        <v>#N/A</v>
      </c>
      <c r="E818" s="30">
        <f>'Raw data'!P737</f>
        <v>0</v>
      </c>
      <c r="F818" s="29" t="e">
        <f>VLOOKUP(E818,'점포코드 '!A:B,2,0)</f>
        <v>#N/A</v>
      </c>
      <c r="G818" s="46">
        <f>'Raw data'!F737</f>
        <v>0</v>
      </c>
      <c r="H818" s="4">
        <f>'Raw data'!G737</f>
        <v>0</v>
      </c>
      <c r="I818" s="29" t="e">
        <f>VLOOKUP(G818,제품명!$C$1:$E$114,2,0)</f>
        <v>#N/A</v>
      </c>
      <c r="J818" s="29">
        <f>'Raw data'!K737</f>
        <v>0</v>
      </c>
      <c r="K818" s="31">
        <f>'Raw data'!H737</f>
        <v>0</v>
      </c>
      <c r="L818" s="26">
        <f t="shared" si="28"/>
        <v>0</v>
      </c>
    </row>
    <row r="819" spans="2:12">
      <c r="B819" s="4" t="e">
        <f t="shared" si="27"/>
        <v>#N/A</v>
      </c>
      <c r="C819" s="4">
        <f>'Raw data'!E738</f>
        <v>0</v>
      </c>
      <c r="D819" s="29" t="e">
        <f>VLOOKUP(C819,'점포코드 '!A:B,2,0)</f>
        <v>#N/A</v>
      </c>
      <c r="E819" s="30">
        <f>'Raw data'!P738</f>
        <v>0</v>
      </c>
      <c r="F819" s="29" t="e">
        <f>VLOOKUP(E819,'점포코드 '!A:B,2,0)</f>
        <v>#N/A</v>
      </c>
      <c r="G819" s="46">
        <f>'Raw data'!F738</f>
        <v>0</v>
      </c>
      <c r="H819" s="4">
        <f>'Raw data'!G738</f>
        <v>0</v>
      </c>
      <c r="I819" s="29" t="e">
        <f>VLOOKUP(G819,제품명!$C$1:$E$114,2,0)</f>
        <v>#N/A</v>
      </c>
      <c r="J819" s="29">
        <f>'Raw data'!K738</f>
        <v>0</v>
      </c>
      <c r="K819" s="31">
        <f>'Raw data'!H738</f>
        <v>0</v>
      </c>
      <c r="L819" s="26">
        <f t="shared" si="28"/>
        <v>0</v>
      </c>
    </row>
    <row r="820" spans="2:12">
      <c r="B820" s="4" t="e">
        <f t="shared" si="27"/>
        <v>#N/A</v>
      </c>
      <c r="C820" s="4">
        <f>'Raw data'!E739</f>
        <v>0</v>
      </c>
      <c r="D820" s="29" t="e">
        <f>VLOOKUP(C820,'점포코드 '!A:B,2,0)</f>
        <v>#N/A</v>
      </c>
      <c r="E820" s="30">
        <f>'Raw data'!P739</f>
        <v>0</v>
      </c>
      <c r="F820" s="29" t="e">
        <f>VLOOKUP(E820,'점포코드 '!A:B,2,0)</f>
        <v>#N/A</v>
      </c>
      <c r="G820" s="46">
        <f>'Raw data'!F739</f>
        <v>0</v>
      </c>
      <c r="H820" s="4">
        <f>'Raw data'!G739</f>
        <v>0</v>
      </c>
      <c r="I820" s="29" t="e">
        <f>VLOOKUP(G820,제품명!$C$1:$E$114,2,0)</f>
        <v>#N/A</v>
      </c>
      <c r="J820" s="29">
        <f>'Raw data'!K739</f>
        <v>0</v>
      </c>
      <c r="K820" s="31">
        <f>'Raw data'!H739</f>
        <v>0</v>
      </c>
      <c r="L820" s="26">
        <f t="shared" si="28"/>
        <v>0</v>
      </c>
    </row>
    <row r="821" spans="2:12">
      <c r="B821" s="4" t="e">
        <f t="shared" si="27"/>
        <v>#N/A</v>
      </c>
      <c r="C821" s="4">
        <f>'Raw data'!E740</f>
        <v>0</v>
      </c>
      <c r="D821" s="29" t="e">
        <f>VLOOKUP(C821,'점포코드 '!A:B,2,0)</f>
        <v>#N/A</v>
      </c>
      <c r="E821" s="30">
        <f>'Raw data'!P740</f>
        <v>0</v>
      </c>
      <c r="F821" s="29" t="e">
        <f>VLOOKUP(E821,'점포코드 '!A:B,2,0)</f>
        <v>#N/A</v>
      </c>
      <c r="G821" s="46">
        <f>'Raw data'!F740</f>
        <v>0</v>
      </c>
      <c r="H821" s="4">
        <f>'Raw data'!G740</f>
        <v>0</v>
      </c>
      <c r="I821" s="29" t="e">
        <f>VLOOKUP(G821,제품명!$C$1:$E$114,2,0)</f>
        <v>#N/A</v>
      </c>
      <c r="J821" s="29">
        <f>'Raw data'!K740</f>
        <v>0</v>
      </c>
      <c r="K821" s="31">
        <f>'Raw data'!H740</f>
        <v>0</v>
      </c>
      <c r="L821" s="26">
        <f t="shared" si="28"/>
        <v>0</v>
      </c>
    </row>
    <row r="822" spans="2:12">
      <c r="B822" s="4" t="e">
        <f t="shared" si="27"/>
        <v>#N/A</v>
      </c>
      <c r="C822" s="4">
        <f>'Raw data'!E741</f>
        <v>0</v>
      </c>
      <c r="D822" s="29" t="e">
        <f>VLOOKUP(C822,'점포코드 '!A:B,2,0)</f>
        <v>#N/A</v>
      </c>
      <c r="E822" s="30">
        <f>'Raw data'!P741</f>
        <v>0</v>
      </c>
      <c r="F822" s="29" t="e">
        <f>VLOOKUP(E822,'점포코드 '!A:B,2,0)</f>
        <v>#N/A</v>
      </c>
      <c r="G822" s="46">
        <f>'Raw data'!F741</f>
        <v>0</v>
      </c>
      <c r="H822" s="4">
        <f>'Raw data'!G741</f>
        <v>0</v>
      </c>
      <c r="I822" s="29" t="e">
        <f>VLOOKUP(G822,제품명!$C$1:$E$114,2,0)</f>
        <v>#N/A</v>
      </c>
      <c r="J822" s="29">
        <f>'Raw data'!K741</f>
        <v>0</v>
      </c>
      <c r="K822" s="31">
        <f>'Raw data'!H741</f>
        <v>0</v>
      </c>
      <c r="L822" s="26">
        <f t="shared" si="28"/>
        <v>0</v>
      </c>
    </row>
    <row r="823" spans="2:12">
      <c r="B823" s="4" t="e">
        <f t="shared" si="27"/>
        <v>#N/A</v>
      </c>
      <c r="C823" s="4">
        <f>'Raw data'!E742</f>
        <v>0</v>
      </c>
      <c r="D823" s="29" t="e">
        <f>VLOOKUP(C823,'점포코드 '!A:B,2,0)</f>
        <v>#N/A</v>
      </c>
      <c r="E823" s="30">
        <f>'Raw data'!P742</f>
        <v>0</v>
      </c>
      <c r="F823" s="29" t="e">
        <f>VLOOKUP(E823,'점포코드 '!A:B,2,0)</f>
        <v>#N/A</v>
      </c>
      <c r="G823" s="46">
        <f>'Raw data'!F742</f>
        <v>0</v>
      </c>
      <c r="H823" s="4">
        <f>'Raw data'!G742</f>
        <v>0</v>
      </c>
      <c r="I823" s="29" t="e">
        <f>VLOOKUP(G823,제품명!$C$1:$E$114,2,0)</f>
        <v>#N/A</v>
      </c>
      <c r="J823" s="29">
        <f>'Raw data'!K742</f>
        <v>0</v>
      </c>
      <c r="K823" s="31">
        <f>'Raw data'!H742</f>
        <v>0</v>
      </c>
      <c r="L823" s="26">
        <f t="shared" si="28"/>
        <v>0</v>
      </c>
    </row>
    <row r="824" spans="2:12">
      <c r="B824" s="4" t="e">
        <f t="shared" si="27"/>
        <v>#N/A</v>
      </c>
      <c r="C824" s="4">
        <f>'Raw data'!E743</f>
        <v>0</v>
      </c>
      <c r="D824" s="29" t="e">
        <f>VLOOKUP(C824,'점포코드 '!A:B,2,0)</f>
        <v>#N/A</v>
      </c>
      <c r="E824" s="30">
        <f>'Raw data'!P743</f>
        <v>0</v>
      </c>
      <c r="F824" s="29" t="e">
        <f>VLOOKUP(E824,'점포코드 '!A:B,2,0)</f>
        <v>#N/A</v>
      </c>
      <c r="G824" s="46">
        <f>'Raw data'!F743</f>
        <v>0</v>
      </c>
      <c r="H824" s="4">
        <f>'Raw data'!G743</f>
        <v>0</v>
      </c>
      <c r="I824" s="29" t="e">
        <f>VLOOKUP(G824,제품명!$C$1:$E$114,2,0)</f>
        <v>#N/A</v>
      </c>
      <c r="J824" s="29">
        <f>'Raw data'!K743</f>
        <v>0</v>
      </c>
      <c r="K824" s="31">
        <f>'Raw data'!H743</f>
        <v>0</v>
      </c>
      <c r="L824" s="26">
        <f t="shared" si="28"/>
        <v>0</v>
      </c>
    </row>
    <row r="825" spans="2:12">
      <c r="B825" s="4" t="e">
        <f t="shared" si="27"/>
        <v>#N/A</v>
      </c>
      <c r="C825" s="4">
        <f>'Raw data'!E744</f>
        <v>0</v>
      </c>
      <c r="D825" s="29" t="e">
        <f>VLOOKUP(C825,'점포코드 '!A:B,2,0)</f>
        <v>#N/A</v>
      </c>
      <c r="E825" s="30">
        <f>'Raw data'!P744</f>
        <v>0</v>
      </c>
      <c r="F825" s="29" t="e">
        <f>VLOOKUP(E825,'점포코드 '!A:B,2,0)</f>
        <v>#N/A</v>
      </c>
      <c r="G825" s="46">
        <f>'Raw data'!F744</f>
        <v>0</v>
      </c>
      <c r="H825" s="4">
        <f>'Raw data'!G744</f>
        <v>0</v>
      </c>
      <c r="I825" s="29" t="e">
        <f>VLOOKUP(G825,제품명!$C$1:$E$114,2,0)</f>
        <v>#N/A</v>
      </c>
      <c r="J825" s="29">
        <f>'Raw data'!K744</f>
        <v>0</v>
      </c>
      <c r="K825" s="31">
        <f>'Raw data'!H744</f>
        <v>0</v>
      </c>
      <c r="L825" s="26">
        <f t="shared" si="28"/>
        <v>0</v>
      </c>
    </row>
    <row r="826" spans="2:12">
      <c r="B826" s="4" t="e">
        <f t="shared" si="27"/>
        <v>#N/A</v>
      </c>
      <c r="C826" s="4">
        <f>'Raw data'!E745</f>
        <v>0</v>
      </c>
      <c r="D826" s="29" t="e">
        <f>VLOOKUP(C826,'점포코드 '!A:B,2,0)</f>
        <v>#N/A</v>
      </c>
      <c r="E826" s="30">
        <f>'Raw data'!P745</f>
        <v>0</v>
      </c>
      <c r="F826" s="29" t="e">
        <f>VLOOKUP(E826,'점포코드 '!A:B,2,0)</f>
        <v>#N/A</v>
      </c>
      <c r="G826" s="46">
        <f>'Raw data'!F745</f>
        <v>0</v>
      </c>
      <c r="H826" s="4">
        <f>'Raw data'!G745</f>
        <v>0</v>
      </c>
      <c r="I826" s="29" t="e">
        <f>VLOOKUP(G826,제품명!$C$1:$E$114,2,0)</f>
        <v>#N/A</v>
      </c>
      <c r="J826" s="29">
        <f>'Raw data'!K745</f>
        <v>0</v>
      </c>
      <c r="K826" s="31">
        <f>'Raw data'!H745</f>
        <v>0</v>
      </c>
      <c r="L826" s="26">
        <f t="shared" si="28"/>
        <v>0</v>
      </c>
    </row>
    <row r="827" spans="2:12">
      <c r="B827" s="4" t="e">
        <f t="shared" si="27"/>
        <v>#N/A</v>
      </c>
      <c r="C827" s="4">
        <f>'Raw data'!E746</f>
        <v>0</v>
      </c>
      <c r="D827" s="29" t="e">
        <f>VLOOKUP(C827,'점포코드 '!A:B,2,0)</f>
        <v>#N/A</v>
      </c>
      <c r="E827" s="30">
        <f>'Raw data'!P746</f>
        <v>0</v>
      </c>
      <c r="F827" s="29" t="e">
        <f>VLOOKUP(E827,'점포코드 '!A:B,2,0)</f>
        <v>#N/A</v>
      </c>
      <c r="G827" s="46">
        <f>'Raw data'!F746</f>
        <v>0</v>
      </c>
      <c r="H827" s="4">
        <f>'Raw data'!G746</f>
        <v>0</v>
      </c>
      <c r="I827" s="29" t="e">
        <f>VLOOKUP(G827,제품명!$C$1:$E$114,2,0)</f>
        <v>#N/A</v>
      </c>
      <c r="J827" s="29">
        <f>'Raw data'!K746</f>
        <v>0</v>
      </c>
      <c r="K827" s="31">
        <f>'Raw data'!H746</f>
        <v>0</v>
      </c>
      <c r="L827" s="26">
        <f t="shared" si="28"/>
        <v>0</v>
      </c>
    </row>
    <row r="828" spans="2:12">
      <c r="B828" s="4" t="e">
        <f t="shared" si="27"/>
        <v>#N/A</v>
      </c>
      <c r="C828" s="4">
        <f>'Raw data'!E747</f>
        <v>0</v>
      </c>
      <c r="D828" s="29" t="e">
        <f>VLOOKUP(C828,'점포코드 '!A:B,2,0)</f>
        <v>#N/A</v>
      </c>
      <c r="E828" s="30">
        <f>'Raw data'!P747</f>
        <v>0</v>
      </c>
      <c r="F828" s="29" t="e">
        <f>VLOOKUP(E828,'점포코드 '!A:B,2,0)</f>
        <v>#N/A</v>
      </c>
      <c r="G828" s="46">
        <f>'Raw data'!F747</f>
        <v>0</v>
      </c>
      <c r="H828" s="4">
        <f>'Raw data'!G747</f>
        <v>0</v>
      </c>
      <c r="I828" s="29" t="e">
        <f>VLOOKUP(G828,제품명!$C$1:$E$114,2,0)</f>
        <v>#N/A</v>
      </c>
      <c r="J828" s="29">
        <f>'Raw data'!K747</f>
        <v>0</v>
      </c>
      <c r="K828" s="31">
        <f>'Raw data'!H747</f>
        <v>0</v>
      </c>
      <c r="L828" s="26">
        <f t="shared" si="28"/>
        <v>0</v>
      </c>
    </row>
    <row r="829" spans="2:12">
      <c r="B829" s="4" t="e">
        <f t="shared" si="27"/>
        <v>#N/A</v>
      </c>
      <c r="C829" s="4">
        <f>'Raw data'!E748</f>
        <v>0</v>
      </c>
      <c r="D829" s="29" t="e">
        <f>VLOOKUP(C829,'점포코드 '!A:B,2,0)</f>
        <v>#N/A</v>
      </c>
      <c r="E829" s="30">
        <f>'Raw data'!P748</f>
        <v>0</v>
      </c>
      <c r="F829" s="29" t="e">
        <f>VLOOKUP(E829,'점포코드 '!A:B,2,0)</f>
        <v>#N/A</v>
      </c>
      <c r="G829" s="46">
        <f>'Raw data'!F748</f>
        <v>0</v>
      </c>
      <c r="H829" s="4">
        <f>'Raw data'!G748</f>
        <v>0</v>
      </c>
      <c r="I829" s="29" t="e">
        <f>VLOOKUP(G829,제품명!$C$1:$E$114,2,0)</f>
        <v>#N/A</v>
      </c>
      <c r="J829" s="29">
        <f>'Raw data'!K748</f>
        <v>0</v>
      </c>
      <c r="K829" s="31">
        <f>'Raw data'!H748</f>
        <v>0</v>
      </c>
      <c r="L829" s="26">
        <f t="shared" si="28"/>
        <v>0</v>
      </c>
    </row>
    <row r="830" spans="2:12">
      <c r="B830" s="4" t="e">
        <f t="shared" si="27"/>
        <v>#N/A</v>
      </c>
      <c r="C830" s="4">
        <f>'Raw data'!E749</f>
        <v>0</v>
      </c>
      <c r="D830" s="29" t="e">
        <f>VLOOKUP(C830,'점포코드 '!A:B,2,0)</f>
        <v>#N/A</v>
      </c>
      <c r="E830" s="30">
        <f>'Raw data'!P749</f>
        <v>0</v>
      </c>
      <c r="F830" s="29" t="e">
        <f>VLOOKUP(E830,'점포코드 '!A:B,2,0)</f>
        <v>#N/A</v>
      </c>
      <c r="G830" s="46">
        <f>'Raw data'!F749</f>
        <v>0</v>
      </c>
      <c r="H830" s="4">
        <f>'Raw data'!G749</f>
        <v>0</v>
      </c>
      <c r="I830" s="29" t="e">
        <f>VLOOKUP(G830,제품명!$C$1:$E$114,2,0)</f>
        <v>#N/A</v>
      </c>
      <c r="J830" s="29">
        <f>'Raw data'!K749</f>
        <v>0</v>
      </c>
      <c r="K830" s="31">
        <f>'Raw data'!H749</f>
        <v>0</v>
      </c>
      <c r="L830" s="26">
        <f t="shared" si="28"/>
        <v>0</v>
      </c>
    </row>
    <row r="831" spans="2:12">
      <c r="B831" s="4" t="e">
        <f t="shared" si="27"/>
        <v>#N/A</v>
      </c>
      <c r="C831" s="4">
        <f>'Raw data'!E750</f>
        <v>0</v>
      </c>
      <c r="D831" s="29" t="e">
        <f>VLOOKUP(C831,'점포코드 '!A:B,2,0)</f>
        <v>#N/A</v>
      </c>
      <c r="E831" s="30">
        <f>'Raw data'!P750</f>
        <v>0</v>
      </c>
      <c r="F831" s="29" t="e">
        <f>VLOOKUP(E831,'점포코드 '!A:B,2,0)</f>
        <v>#N/A</v>
      </c>
      <c r="G831" s="46">
        <f>'Raw data'!F750</f>
        <v>0</v>
      </c>
      <c r="H831" s="4">
        <f>'Raw data'!G750</f>
        <v>0</v>
      </c>
      <c r="I831" s="29" t="e">
        <f>VLOOKUP(G831,제품명!$C$1:$E$114,2,0)</f>
        <v>#N/A</v>
      </c>
      <c r="J831" s="29">
        <f>'Raw data'!K750</f>
        <v>0</v>
      </c>
      <c r="K831" s="31">
        <f>'Raw data'!H750</f>
        <v>0</v>
      </c>
      <c r="L831" s="26">
        <f t="shared" si="28"/>
        <v>0</v>
      </c>
    </row>
    <row r="832" spans="2:12">
      <c r="B832" s="4" t="e">
        <f t="shared" si="27"/>
        <v>#N/A</v>
      </c>
      <c r="C832" s="4">
        <f>'Raw data'!E751</f>
        <v>0</v>
      </c>
      <c r="D832" s="29" t="e">
        <f>VLOOKUP(C832,'점포코드 '!A:B,2,0)</f>
        <v>#N/A</v>
      </c>
      <c r="E832" s="30">
        <f>'Raw data'!P751</f>
        <v>0</v>
      </c>
      <c r="F832" s="29" t="e">
        <f>VLOOKUP(E832,'점포코드 '!A:B,2,0)</f>
        <v>#N/A</v>
      </c>
      <c r="G832" s="46">
        <f>'Raw data'!F751</f>
        <v>0</v>
      </c>
      <c r="H832" s="4">
        <f>'Raw data'!G751</f>
        <v>0</v>
      </c>
      <c r="I832" s="29" t="e">
        <f>VLOOKUP(G832,제품명!$C$1:$E$114,2,0)</f>
        <v>#N/A</v>
      </c>
      <c r="J832" s="29">
        <f>'Raw data'!K751</f>
        <v>0</v>
      </c>
      <c r="K832" s="31">
        <f>'Raw data'!H751</f>
        <v>0</v>
      </c>
      <c r="L832" s="26">
        <f t="shared" si="28"/>
        <v>0</v>
      </c>
    </row>
    <row r="833" spans="2:12">
      <c r="B833" s="4" t="e">
        <f t="shared" si="27"/>
        <v>#N/A</v>
      </c>
      <c r="C833" s="4">
        <f>'Raw data'!E752</f>
        <v>0</v>
      </c>
      <c r="D833" s="29" t="e">
        <f>VLOOKUP(C833,'점포코드 '!A:B,2,0)</f>
        <v>#N/A</v>
      </c>
      <c r="E833" s="30">
        <f>'Raw data'!P752</f>
        <v>0</v>
      </c>
      <c r="F833" s="29" t="e">
        <f>VLOOKUP(E833,'점포코드 '!A:B,2,0)</f>
        <v>#N/A</v>
      </c>
      <c r="G833" s="46">
        <f>'Raw data'!F752</f>
        <v>0</v>
      </c>
      <c r="H833" s="4">
        <f>'Raw data'!G752</f>
        <v>0</v>
      </c>
      <c r="I833" s="29" t="e">
        <f>VLOOKUP(G833,제품명!$C$1:$E$114,2,0)</f>
        <v>#N/A</v>
      </c>
      <c r="J833" s="29">
        <f>'Raw data'!K752</f>
        <v>0</v>
      </c>
      <c r="K833" s="31">
        <f>'Raw data'!H752</f>
        <v>0</v>
      </c>
      <c r="L833" s="26">
        <f t="shared" si="28"/>
        <v>0</v>
      </c>
    </row>
    <row r="834" spans="2:12">
      <c r="B834" s="4" t="e">
        <f t="shared" ref="B834:B897" si="29">F834&amp;I834</f>
        <v>#N/A</v>
      </c>
      <c r="C834" s="4">
        <f>'Raw data'!E753</f>
        <v>0</v>
      </c>
      <c r="D834" s="29" t="e">
        <f>VLOOKUP(C834,'점포코드 '!A:B,2,0)</f>
        <v>#N/A</v>
      </c>
      <c r="E834" s="30">
        <f>'Raw data'!P753</f>
        <v>0</v>
      </c>
      <c r="F834" s="29" t="e">
        <f>VLOOKUP(E834,'점포코드 '!A:B,2,0)</f>
        <v>#N/A</v>
      </c>
      <c r="G834" s="46">
        <f>'Raw data'!F753</f>
        <v>0</v>
      </c>
      <c r="H834" s="4">
        <f>'Raw data'!G753</f>
        <v>0</v>
      </c>
      <c r="I834" s="29" t="e">
        <f>VLOOKUP(G834,제품명!$C$1:$E$114,2,0)</f>
        <v>#N/A</v>
      </c>
      <c r="J834" s="29">
        <f>'Raw data'!K753</f>
        <v>0</v>
      </c>
      <c r="K834" s="31">
        <f>'Raw data'!H753</f>
        <v>0</v>
      </c>
      <c r="L834" s="26">
        <f t="shared" si="28"/>
        <v>0</v>
      </c>
    </row>
    <row r="835" spans="2:12">
      <c r="B835" s="4" t="e">
        <f t="shared" si="29"/>
        <v>#N/A</v>
      </c>
      <c r="C835" s="4">
        <f>'Raw data'!E754</f>
        <v>0</v>
      </c>
      <c r="D835" s="29" t="e">
        <f>VLOOKUP(C835,'점포코드 '!A:B,2,0)</f>
        <v>#N/A</v>
      </c>
      <c r="E835" s="30">
        <f>'Raw data'!P754</f>
        <v>0</v>
      </c>
      <c r="F835" s="29" t="e">
        <f>VLOOKUP(E835,'점포코드 '!A:B,2,0)</f>
        <v>#N/A</v>
      </c>
      <c r="G835" s="46">
        <f>'Raw data'!F754</f>
        <v>0</v>
      </c>
      <c r="H835" s="4">
        <f>'Raw data'!G754</f>
        <v>0</v>
      </c>
      <c r="I835" s="29" t="e">
        <f>VLOOKUP(G835,제품명!$C$1:$E$114,2,0)</f>
        <v>#N/A</v>
      </c>
      <c r="J835" s="29">
        <f>'Raw data'!K754</f>
        <v>0</v>
      </c>
      <c r="K835" s="31">
        <f>'Raw data'!H754</f>
        <v>0</v>
      </c>
      <c r="L835" s="26">
        <f t="shared" ref="L835:L898" si="30">J835*K835</f>
        <v>0</v>
      </c>
    </row>
    <row r="836" spans="2:12">
      <c r="B836" s="4" t="e">
        <f t="shared" si="29"/>
        <v>#N/A</v>
      </c>
      <c r="C836" s="4">
        <f>'Raw data'!E755</f>
        <v>0</v>
      </c>
      <c r="D836" s="29" t="e">
        <f>VLOOKUP(C836,'점포코드 '!A:B,2,0)</f>
        <v>#N/A</v>
      </c>
      <c r="E836" s="30">
        <f>'Raw data'!P755</f>
        <v>0</v>
      </c>
      <c r="F836" s="29" t="e">
        <f>VLOOKUP(E836,'점포코드 '!A:B,2,0)</f>
        <v>#N/A</v>
      </c>
      <c r="G836" s="46">
        <f>'Raw data'!F755</f>
        <v>0</v>
      </c>
      <c r="H836" s="4">
        <f>'Raw data'!G755</f>
        <v>0</v>
      </c>
      <c r="I836" s="29" t="e">
        <f>VLOOKUP(G836,제품명!$C$1:$E$114,2,0)</f>
        <v>#N/A</v>
      </c>
      <c r="J836" s="29">
        <f>'Raw data'!K755</f>
        <v>0</v>
      </c>
      <c r="K836" s="31">
        <f>'Raw data'!H755</f>
        <v>0</v>
      </c>
      <c r="L836" s="26">
        <f t="shared" si="30"/>
        <v>0</v>
      </c>
    </row>
    <row r="837" spans="2:12">
      <c r="B837" s="4" t="e">
        <f t="shared" si="29"/>
        <v>#N/A</v>
      </c>
      <c r="C837" s="4">
        <f>'Raw data'!E756</f>
        <v>0</v>
      </c>
      <c r="D837" s="29" t="e">
        <f>VLOOKUP(C837,'점포코드 '!A:B,2,0)</f>
        <v>#N/A</v>
      </c>
      <c r="E837" s="30">
        <f>'Raw data'!P756</f>
        <v>0</v>
      </c>
      <c r="F837" s="29" t="e">
        <f>VLOOKUP(E837,'점포코드 '!A:B,2,0)</f>
        <v>#N/A</v>
      </c>
      <c r="G837" s="46">
        <f>'Raw data'!F756</f>
        <v>0</v>
      </c>
      <c r="H837" s="4">
        <f>'Raw data'!G756</f>
        <v>0</v>
      </c>
      <c r="I837" s="29" t="e">
        <f>VLOOKUP(G837,제품명!$C$1:$E$114,2,0)</f>
        <v>#N/A</v>
      </c>
      <c r="J837" s="29">
        <f>'Raw data'!K756</f>
        <v>0</v>
      </c>
      <c r="K837" s="31">
        <f>'Raw data'!H756</f>
        <v>0</v>
      </c>
      <c r="L837" s="26">
        <f t="shared" si="30"/>
        <v>0</v>
      </c>
    </row>
    <row r="838" spans="2:12">
      <c r="B838" s="4" t="e">
        <f t="shared" si="29"/>
        <v>#N/A</v>
      </c>
      <c r="C838" s="4">
        <f>'Raw data'!E757</f>
        <v>0</v>
      </c>
      <c r="D838" s="29" t="e">
        <f>VLOOKUP(C838,'점포코드 '!A:B,2,0)</f>
        <v>#N/A</v>
      </c>
      <c r="E838" s="30">
        <f>'Raw data'!P757</f>
        <v>0</v>
      </c>
      <c r="F838" s="29" t="e">
        <f>VLOOKUP(E838,'점포코드 '!A:B,2,0)</f>
        <v>#N/A</v>
      </c>
      <c r="G838" s="46">
        <f>'Raw data'!F757</f>
        <v>0</v>
      </c>
      <c r="H838" s="4">
        <f>'Raw data'!G757</f>
        <v>0</v>
      </c>
      <c r="I838" s="29" t="e">
        <f>VLOOKUP(G838,제품명!$C$1:$E$114,2,0)</f>
        <v>#N/A</v>
      </c>
      <c r="J838" s="29">
        <f>'Raw data'!K757</f>
        <v>0</v>
      </c>
      <c r="K838" s="31">
        <f>'Raw data'!H757</f>
        <v>0</v>
      </c>
      <c r="L838" s="26">
        <f t="shared" si="30"/>
        <v>0</v>
      </c>
    </row>
    <row r="839" spans="2:12">
      <c r="B839" s="4" t="e">
        <f t="shared" si="29"/>
        <v>#N/A</v>
      </c>
      <c r="C839" s="4">
        <f>'Raw data'!E758</f>
        <v>0</v>
      </c>
      <c r="D839" s="29" t="e">
        <f>VLOOKUP(C839,'점포코드 '!A:B,2,0)</f>
        <v>#N/A</v>
      </c>
      <c r="E839" s="30">
        <f>'Raw data'!P758</f>
        <v>0</v>
      </c>
      <c r="F839" s="29" t="e">
        <f>VLOOKUP(E839,'점포코드 '!A:B,2,0)</f>
        <v>#N/A</v>
      </c>
      <c r="G839" s="46">
        <f>'Raw data'!F758</f>
        <v>0</v>
      </c>
      <c r="H839" s="4">
        <f>'Raw data'!G758</f>
        <v>0</v>
      </c>
      <c r="I839" s="29" t="e">
        <f>VLOOKUP(G839,제품명!$C$1:$E$114,2,0)</f>
        <v>#N/A</v>
      </c>
      <c r="J839" s="29">
        <f>'Raw data'!K758</f>
        <v>0</v>
      </c>
      <c r="K839" s="31">
        <f>'Raw data'!H758</f>
        <v>0</v>
      </c>
      <c r="L839" s="26">
        <f t="shared" si="30"/>
        <v>0</v>
      </c>
    </row>
    <row r="840" spans="2:12">
      <c r="B840" s="4" t="e">
        <f t="shared" si="29"/>
        <v>#N/A</v>
      </c>
      <c r="C840" s="4">
        <f>'Raw data'!E759</f>
        <v>0</v>
      </c>
      <c r="D840" s="29" t="e">
        <f>VLOOKUP(C840,'점포코드 '!A:B,2,0)</f>
        <v>#N/A</v>
      </c>
      <c r="E840" s="30">
        <f>'Raw data'!P759</f>
        <v>0</v>
      </c>
      <c r="F840" s="29" t="e">
        <f>VLOOKUP(E840,'점포코드 '!A:B,2,0)</f>
        <v>#N/A</v>
      </c>
      <c r="G840" s="46">
        <f>'Raw data'!F759</f>
        <v>0</v>
      </c>
      <c r="H840" s="4">
        <f>'Raw data'!G759</f>
        <v>0</v>
      </c>
      <c r="I840" s="29" t="e">
        <f>VLOOKUP(G840,제품명!$C$1:$E$114,2,0)</f>
        <v>#N/A</v>
      </c>
      <c r="J840" s="29">
        <f>'Raw data'!K759</f>
        <v>0</v>
      </c>
      <c r="K840" s="31">
        <f>'Raw data'!H759</f>
        <v>0</v>
      </c>
      <c r="L840" s="26">
        <f t="shared" si="30"/>
        <v>0</v>
      </c>
    </row>
    <row r="841" spans="2:12">
      <c r="B841" s="4" t="e">
        <f t="shared" si="29"/>
        <v>#N/A</v>
      </c>
      <c r="C841" s="4">
        <f>'Raw data'!E760</f>
        <v>0</v>
      </c>
      <c r="D841" s="29" t="e">
        <f>VLOOKUP(C841,'점포코드 '!A:B,2,0)</f>
        <v>#N/A</v>
      </c>
      <c r="E841" s="30">
        <f>'Raw data'!P760</f>
        <v>0</v>
      </c>
      <c r="F841" s="29" t="e">
        <f>VLOOKUP(E841,'점포코드 '!A:B,2,0)</f>
        <v>#N/A</v>
      </c>
      <c r="G841" s="46">
        <f>'Raw data'!F760</f>
        <v>0</v>
      </c>
      <c r="H841" s="4">
        <f>'Raw data'!G760</f>
        <v>0</v>
      </c>
      <c r="I841" s="29" t="e">
        <f>VLOOKUP(G841,제품명!$C$1:$E$114,2,0)</f>
        <v>#N/A</v>
      </c>
      <c r="J841" s="29">
        <f>'Raw data'!K760</f>
        <v>0</v>
      </c>
      <c r="K841" s="31">
        <f>'Raw data'!H760</f>
        <v>0</v>
      </c>
      <c r="L841" s="26">
        <f t="shared" si="30"/>
        <v>0</v>
      </c>
    </row>
    <row r="842" spans="2:12">
      <c r="B842" s="4" t="e">
        <f t="shared" si="29"/>
        <v>#N/A</v>
      </c>
      <c r="C842" s="4">
        <f>'Raw data'!E761</f>
        <v>0</v>
      </c>
      <c r="D842" s="29" t="e">
        <f>VLOOKUP(C842,'점포코드 '!A:B,2,0)</f>
        <v>#N/A</v>
      </c>
      <c r="E842" s="30">
        <f>'Raw data'!P761</f>
        <v>0</v>
      </c>
      <c r="F842" s="29" t="e">
        <f>VLOOKUP(E842,'점포코드 '!A:B,2,0)</f>
        <v>#N/A</v>
      </c>
      <c r="G842" s="46">
        <f>'Raw data'!F761</f>
        <v>0</v>
      </c>
      <c r="H842" s="4">
        <f>'Raw data'!G761</f>
        <v>0</v>
      </c>
      <c r="I842" s="29" t="e">
        <f>VLOOKUP(G842,제품명!$C$1:$E$114,2,0)</f>
        <v>#N/A</v>
      </c>
      <c r="J842" s="29">
        <f>'Raw data'!K761</f>
        <v>0</v>
      </c>
      <c r="K842" s="31">
        <f>'Raw data'!H761</f>
        <v>0</v>
      </c>
      <c r="L842" s="26">
        <f t="shared" si="30"/>
        <v>0</v>
      </c>
    </row>
    <row r="843" spans="2:12">
      <c r="B843" s="4" t="e">
        <f t="shared" si="29"/>
        <v>#N/A</v>
      </c>
      <c r="C843" s="4">
        <f>'Raw data'!E762</f>
        <v>0</v>
      </c>
      <c r="D843" s="29" t="e">
        <f>VLOOKUP(C843,'점포코드 '!A:B,2,0)</f>
        <v>#N/A</v>
      </c>
      <c r="E843" s="30">
        <f>'Raw data'!P762</f>
        <v>0</v>
      </c>
      <c r="F843" s="29" t="e">
        <f>VLOOKUP(E843,'점포코드 '!A:B,2,0)</f>
        <v>#N/A</v>
      </c>
      <c r="G843" s="46">
        <f>'Raw data'!F762</f>
        <v>0</v>
      </c>
      <c r="H843" s="4">
        <f>'Raw data'!G762</f>
        <v>0</v>
      </c>
      <c r="I843" s="29" t="e">
        <f>VLOOKUP(G843,제품명!$C$1:$E$114,2,0)</f>
        <v>#N/A</v>
      </c>
      <c r="J843" s="29">
        <f>'Raw data'!K762</f>
        <v>0</v>
      </c>
      <c r="K843" s="31">
        <f>'Raw data'!H762</f>
        <v>0</v>
      </c>
      <c r="L843" s="26">
        <f t="shared" si="30"/>
        <v>0</v>
      </c>
    </row>
    <row r="844" spans="2:12">
      <c r="B844" s="4" t="e">
        <f t="shared" si="29"/>
        <v>#N/A</v>
      </c>
      <c r="C844" s="4">
        <f>'Raw data'!E763</f>
        <v>0</v>
      </c>
      <c r="D844" s="29" t="e">
        <f>VLOOKUP(C844,'점포코드 '!A:B,2,0)</f>
        <v>#N/A</v>
      </c>
      <c r="E844" s="30">
        <f>'Raw data'!P763</f>
        <v>0</v>
      </c>
      <c r="F844" s="29" t="e">
        <f>VLOOKUP(E844,'점포코드 '!A:B,2,0)</f>
        <v>#N/A</v>
      </c>
      <c r="G844" s="46">
        <f>'Raw data'!F763</f>
        <v>0</v>
      </c>
      <c r="H844" s="4">
        <f>'Raw data'!G763</f>
        <v>0</v>
      </c>
      <c r="I844" s="29" t="e">
        <f>VLOOKUP(G844,제품명!$C$1:$E$114,2,0)</f>
        <v>#N/A</v>
      </c>
      <c r="J844" s="29">
        <f>'Raw data'!K763</f>
        <v>0</v>
      </c>
      <c r="K844" s="31">
        <f>'Raw data'!H763</f>
        <v>0</v>
      </c>
      <c r="L844" s="26">
        <f t="shared" si="30"/>
        <v>0</v>
      </c>
    </row>
    <row r="845" spans="2:12">
      <c r="B845" s="4" t="e">
        <f t="shared" si="29"/>
        <v>#N/A</v>
      </c>
      <c r="C845" s="4">
        <f>'Raw data'!E764</f>
        <v>0</v>
      </c>
      <c r="D845" s="29" t="e">
        <f>VLOOKUP(C845,'점포코드 '!A:B,2,0)</f>
        <v>#N/A</v>
      </c>
      <c r="E845" s="30">
        <f>'Raw data'!P764</f>
        <v>0</v>
      </c>
      <c r="F845" s="29" t="e">
        <f>VLOOKUP(E845,'점포코드 '!A:B,2,0)</f>
        <v>#N/A</v>
      </c>
      <c r="G845" s="46">
        <f>'Raw data'!F764</f>
        <v>0</v>
      </c>
      <c r="H845" s="4">
        <f>'Raw data'!G764</f>
        <v>0</v>
      </c>
      <c r="I845" s="29" t="e">
        <f>VLOOKUP(G845,제품명!$C$1:$E$114,2,0)</f>
        <v>#N/A</v>
      </c>
      <c r="J845" s="29">
        <f>'Raw data'!K764</f>
        <v>0</v>
      </c>
      <c r="K845" s="31">
        <f>'Raw data'!H764</f>
        <v>0</v>
      </c>
      <c r="L845" s="26">
        <f t="shared" si="30"/>
        <v>0</v>
      </c>
    </row>
    <row r="846" spans="2:12">
      <c r="B846" s="4" t="e">
        <f t="shared" si="29"/>
        <v>#N/A</v>
      </c>
      <c r="C846" s="4">
        <f>'Raw data'!E765</f>
        <v>0</v>
      </c>
      <c r="D846" s="29" t="e">
        <f>VLOOKUP(C846,'점포코드 '!A:B,2,0)</f>
        <v>#N/A</v>
      </c>
      <c r="E846" s="30">
        <f>'Raw data'!P765</f>
        <v>0</v>
      </c>
      <c r="F846" s="29" t="e">
        <f>VLOOKUP(E846,'점포코드 '!A:B,2,0)</f>
        <v>#N/A</v>
      </c>
      <c r="G846" s="46">
        <f>'Raw data'!F765</f>
        <v>0</v>
      </c>
      <c r="H846" s="4">
        <f>'Raw data'!G765</f>
        <v>0</v>
      </c>
      <c r="I846" s="29" t="e">
        <f>VLOOKUP(G846,제품명!$C$1:$E$114,2,0)</f>
        <v>#N/A</v>
      </c>
      <c r="J846" s="29">
        <f>'Raw data'!K765</f>
        <v>0</v>
      </c>
      <c r="K846" s="31">
        <f>'Raw data'!H765</f>
        <v>0</v>
      </c>
      <c r="L846" s="26">
        <f t="shared" si="30"/>
        <v>0</v>
      </c>
    </row>
    <row r="847" spans="2:12">
      <c r="B847" s="4" t="e">
        <f t="shared" si="29"/>
        <v>#N/A</v>
      </c>
      <c r="C847" s="4">
        <f>'Raw data'!E766</f>
        <v>0</v>
      </c>
      <c r="D847" s="29" t="e">
        <f>VLOOKUP(C847,'점포코드 '!A:B,2,0)</f>
        <v>#N/A</v>
      </c>
      <c r="E847" s="30">
        <f>'Raw data'!P766</f>
        <v>0</v>
      </c>
      <c r="F847" s="29" t="e">
        <f>VLOOKUP(E847,'점포코드 '!A:B,2,0)</f>
        <v>#N/A</v>
      </c>
      <c r="G847" s="46">
        <f>'Raw data'!F766</f>
        <v>0</v>
      </c>
      <c r="H847" s="4">
        <f>'Raw data'!G766</f>
        <v>0</v>
      </c>
      <c r="I847" s="29" t="e">
        <f>VLOOKUP(G847,제품명!$C$1:$E$114,2,0)</f>
        <v>#N/A</v>
      </c>
      <c r="J847" s="29">
        <f>'Raw data'!K766</f>
        <v>0</v>
      </c>
      <c r="K847" s="31">
        <f>'Raw data'!H766</f>
        <v>0</v>
      </c>
      <c r="L847" s="26">
        <f t="shared" si="30"/>
        <v>0</v>
      </c>
    </row>
    <row r="848" spans="2:12">
      <c r="B848" s="4" t="e">
        <f t="shared" si="29"/>
        <v>#N/A</v>
      </c>
      <c r="C848" s="4">
        <f>'Raw data'!E767</f>
        <v>0</v>
      </c>
      <c r="D848" s="29" t="e">
        <f>VLOOKUP(C848,'점포코드 '!A:B,2,0)</f>
        <v>#N/A</v>
      </c>
      <c r="E848" s="30">
        <f>'Raw data'!P767</f>
        <v>0</v>
      </c>
      <c r="F848" s="29" t="e">
        <f>VLOOKUP(E848,'점포코드 '!A:B,2,0)</f>
        <v>#N/A</v>
      </c>
      <c r="G848" s="46">
        <f>'Raw data'!F767</f>
        <v>0</v>
      </c>
      <c r="H848" s="4">
        <f>'Raw data'!G767</f>
        <v>0</v>
      </c>
      <c r="I848" s="29" t="e">
        <f>VLOOKUP(G848,제품명!$C$1:$E$114,2,0)</f>
        <v>#N/A</v>
      </c>
      <c r="J848" s="29">
        <f>'Raw data'!K767</f>
        <v>0</v>
      </c>
      <c r="K848" s="31">
        <f>'Raw data'!H767</f>
        <v>0</v>
      </c>
      <c r="L848" s="26">
        <f t="shared" si="30"/>
        <v>0</v>
      </c>
    </row>
    <row r="849" spans="2:12">
      <c r="B849" s="4" t="e">
        <f t="shared" si="29"/>
        <v>#N/A</v>
      </c>
      <c r="C849" s="4">
        <f>'Raw data'!E768</f>
        <v>0</v>
      </c>
      <c r="D849" s="29" t="e">
        <f>VLOOKUP(C849,'점포코드 '!A:B,2,0)</f>
        <v>#N/A</v>
      </c>
      <c r="E849" s="30">
        <f>'Raw data'!P768</f>
        <v>0</v>
      </c>
      <c r="F849" s="29" t="e">
        <f>VLOOKUP(E849,'점포코드 '!A:B,2,0)</f>
        <v>#N/A</v>
      </c>
      <c r="G849" s="46">
        <f>'Raw data'!F768</f>
        <v>0</v>
      </c>
      <c r="H849" s="4">
        <f>'Raw data'!G768</f>
        <v>0</v>
      </c>
      <c r="I849" s="29" t="e">
        <f>VLOOKUP(G849,제품명!$C$1:$E$114,2,0)</f>
        <v>#N/A</v>
      </c>
      <c r="J849" s="29">
        <f>'Raw data'!K768</f>
        <v>0</v>
      </c>
      <c r="K849" s="31">
        <f>'Raw data'!H768</f>
        <v>0</v>
      </c>
      <c r="L849" s="26">
        <f t="shared" si="30"/>
        <v>0</v>
      </c>
    </row>
    <row r="850" spans="2:12">
      <c r="B850" s="4" t="e">
        <f t="shared" si="29"/>
        <v>#N/A</v>
      </c>
      <c r="C850" s="4">
        <f>'Raw data'!E769</f>
        <v>0</v>
      </c>
      <c r="D850" s="29" t="e">
        <f>VLOOKUP(C850,'점포코드 '!A:B,2,0)</f>
        <v>#N/A</v>
      </c>
      <c r="E850" s="30">
        <f>'Raw data'!P769</f>
        <v>0</v>
      </c>
      <c r="F850" s="29" t="e">
        <f>VLOOKUP(E850,'점포코드 '!A:B,2,0)</f>
        <v>#N/A</v>
      </c>
      <c r="G850" s="46">
        <f>'Raw data'!F769</f>
        <v>0</v>
      </c>
      <c r="H850" s="4">
        <f>'Raw data'!G769</f>
        <v>0</v>
      </c>
      <c r="I850" s="29" t="e">
        <f>VLOOKUP(G850,제품명!$C$1:$E$114,2,0)</f>
        <v>#N/A</v>
      </c>
      <c r="J850" s="29">
        <f>'Raw data'!K769</f>
        <v>0</v>
      </c>
      <c r="K850" s="31">
        <f>'Raw data'!H769</f>
        <v>0</v>
      </c>
      <c r="L850" s="26">
        <f t="shared" si="30"/>
        <v>0</v>
      </c>
    </row>
    <row r="851" spans="2:12">
      <c r="B851" s="4" t="e">
        <f t="shared" si="29"/>
        <v>#N/A</v>
      </c>
      <c r="C851" s="4">
        <f>'Raw data'!E770</f>
        <v>0</v>
      </c>
      <c r="D851" s="29" t="e">
        <f>VLOOKUP(C851,'점포코드 '!A:B,2,0)</f>
        <v>#N/A</v>
      </c>
      <c r="E851" s="30">
        <f>'Raw data'!P770</f>
        <v>0</v>
      </c>
      <c r="F851" s="29" t="e">
        <f>VLOOKUP(E851,'점포코드 '!A:B,2,0)</f>
        <v>#N/A</v>
      </c>
      <c r="G851" s="46">
        <f>'Raw data'!F770</f>
        <v>0</v>
      </c>
      <c r="H851" s="4">
        <f>'Raw data'!G770</f>
        <v>0</v>
      </c>
      <c r="I851" s="29" t="e">
        <f>VLOOKUP(G851,제품명!$C$1:$E$114,2,0)</f>
        <v>#N/A</v>
      </c>
      <c r="J851" s="29">
        <f>'Raw data'!K770</f>
        <v>0</v>
      </c>
      <c r="K851" s="31">
        <f>'Raw data'!H770</f>
        <v>0</v>
      </c>
      <c r="L851" s="26">
        <f t="shared" si="30"/>
        <v>0</v>
      </c>
    </row>
    <row r="852" spans="2:12">
      <c r="B852" s="4" t="e">
        <f t="shared" si="29"/>
        <v>#N/A</v>
      </c>
      <c r="C852" s="4">
        <f>'Raw data'!E771</f>
        <v>0</v>
      </c>
      <c r="D852" s="29" t="e">
        <f>VLOOKUP(C852,'점포코드 '!A:B,2,0)</f>
        <v>#N/A</v>
      </c>
      <c r="E852" s="30">
        <f>'Raw data'!P771</f>
        <v>0</v>
      </c>
      <c r="F852" s="29" t="e">
        <f>VLOOKUP(E852,'점포코드 '!A:B,2,0)</f>
        <v>#N/A</v>
      </c>
      <c r="G852" s="46">
        <f>'Raw data'!F771</f>
        <v>0</v>
      </c>
      <c r="H852" s="4">
        <f>'Raw data'!G771</f>
        <v>0</v>
      </c>
      <c r="I852" s="29" t="e">
        <f>VLOOKUP(G852,제품명!$C$1:$E$114,2,0)</f>
        <v>#N/A</v>
      </c>
      <c r="J852" s="29">
        <f>'Raw data'!K771</f>
        <v>0</v>
      </c>
      <c r="K852" s="31">
        <f>'Raw data'!H771</f>
        <v>0</v>
      </c>
      <c r="L852" s="26">
        <f t="shared" si="30"/>
        <v>0</v>
      </c>
    </row>
    <row r="853" spans="2:12">
      <c r="B853" s="4" t="e">
        <f t="shared" si="29"/>
        <v>#N/A</v>
      </c>
      <c r="C853" s="4">
        <f>'Raw data'!E772</f>
        <v>0</v>
      </c>
      <c r="D853" s="29" t="e">
        <f>VLOOKUP(C853,'점포코드 '!A:B,2,0)</f>
        <v>#N/A</v>
      </c>
      <c r="E853" s="30">
        <f>'Raw data'!P772</f>
        <v>0</v>
      </c>
      <c r="F853" s="29" t="e">
        <f>VLOOKUP(E853,'점포코드 '!A:B,2,0)</f>
        <v>#N/A</v>
      </c>
      <c r="G853" s="46">
        <f>'Raw data'!F772</f>
        <v>0</v>
      </c>
      <c r="H853" s="4">
        <f>'Raw data'!G772</f>
        <v>0</v>
      </c>
      <c r="I853" s="29" t="e">
        <f>VLOOKUP(G853,제품명!$C$1:$E$114,2,0)</f>
        <v>#N/A</v>
      </c>
      <c r="J853" s="29">
        <f>'Raw data'!K772</f>
        <v>0</v>
      </c>
      <c r="K853" s="31">
        <f>'Raw data'!H772</f>
        <v>0</v>
      </c>
      <c r="L853" s="26">
        <f t="shared" si="30"/>
        <v>0</v>
      </c>
    </row>
    <row r="854" spans="2:12">
      <c r="B854" s="4" t="e">
        <f t="shared" si="29"/>
        <v>#N/A</v>
      </c>
      <c r="C854" s="4">
        <f>'Raw data'!E773</f>
        <v>0</v>
      </c>
      <c r="D854" s="29" t="e">
        <f>VLOOKUP(C854,'점포코드 '!A:B,2,0)</f>
        <v>#N/A</v>
      </c>
      <c r="E854" s="30">
        <f>'Raw data'!P773</f>
        <v>0</v>
      </c>
      <c r="F854" s="29" t="e">
        <f>VLOOKUP(E854,'점포코드 '!A:B,2,0)</f>
        <v>#N/A</v>
      </c>
      <c r="G854" s="46">
        <f>'Raw data'!F773</f>
        <v>0</v>
      </c>
      <c r="H854" s="4">
        <f>'Raw data'!G773</f>
        <v>0</v>
      </c>
      <c r="I854" s="29" t="e">
        <f>VLOOKUP(G854,제품명!$C$1:$E$114,2,0)</f>
        <v>#N/A</v>
      </c>
      <c r="J854" s="29">
        <f>'Raw data'!K773</f>
        <v>0</v>
      </c>
      <c r="K854" s="31">
        <f>'Raw data'!H773</f>
        <v>0</v>
      </c>
      <c r="L854" s="26">
        <f t="shared" si="30"/>
        <v>0</v>
      </c>
    </row>
    <row r="855" spans="2:12">
      <c r="B855" s="4" t="e">
        <f t="shared" si="29"/>
        <v>#N/A</v>
      </c>
      <c r="C855" s="4">
        <f>'Raw data'!E774</f>
        <v>0</v>
      </c>
      <c r="D855" s="29" t="e">
        <f>VLOOKUP(C855,'점포코드 '!A:B,2,0)</f>
        <v>#N/A</v>
      </c>
      <c r="E855" s="30">
        <f>'Raw data'!P774</f>
        <v>0</v>
      </c>
      <c r="F855" s="29" t="e">
        <f>VLOOKUP(E855,'점포코드 '!A:B,2,0)</f>
        <v>#N/A</v>
      </c>
      <c r="G855" s="46">
        <f>'Raw data'!F774</f>
        <v>0</v>
      </c>
      <c r="H855" s="4">
        <f>'Raw data'!G774</f>
        <v>0</v>
      </c>
      <c r="I855" s="29" t="e">
        <f>VLOOKUP(G855,제품명!$C$1:$E$114,2,0)</f>
        <v>#N/A</v>
      </c>
      <c r="J855" s="29">
        <f>'Raw data'!K774</f>
        <v>0</v>
      </c>
      <c r="K855" s="31">
        <f>'Raw data'!H774</f>
        <v>0</v>
      </c>
      <c r="L855" s="26">
        <f t="shared" si="30"/>
        <v>0</v>
      </c>
    </row>
    <row r="856" spans="2:12">
      <c r="B856" s="4" t="e">
        <f t="shared" si="29"/>
        <v>#N/A</v>
      </c>
      <c r="C856" s="4">
        <f>'Raw data'!E775</f>
        <v>0</v>
      </c>
      <c r="D856" s="29" t="e">
        <f>VLOOKUP(C856,'점포코드 '!A:B,2,0)</f>
        <v>#N/A</v>
      </c>
      <c r="E856" s="30">
        <f>'Raw data'!P775</f>
        <v>0</v>
      </c>
      <c r="F856" s="29" t="e">
        <f>VLOOKUP(E856,'점포코드 '!A:B,2,0)</f>
        <v>#N/A</v>
      </c>
      <c r="G856" s="46">
        <f>'Raw data'!F775</f>
        <v>0</v>
      </c>
      <c r="H856" s="4">
        <f>'Raw data'!G775</f>
        <v>0</v>
      </c>
      <c r="I856" s="29" t="e">
        <f>VLOOKUP(G856,제품명!$C$1:$E$114,2,0)</f>
        <v>#N/A</v>
      </c>
      <c r="J856" s="29">
        <f>'Raw data'!K775</f>
        <v>0</v>
      </c>
      <c r="K856" s="31">
        <f>'Raw data'!H775</f>
        <v>0</v>
      </c>
      <c r="L856" s="26">
        <f t="shared" si="30"/>
        <v>0</v>
      </c>
    </row>
    <row r="857" spans="2:12">
      <c r="B857" s="4" t="e">
        <f t="shared" si="29"/>
        <v>#N/A</v>
      </c>
      <c r="C857" s="4">
        <f>'Raw data'!E776</f>
        <v>0</v>
      </c>
      <c r="D857" s="29" t="e">
        <f>VLOOKUP(C857,'점포코드 '!A:B,2,0)</f>
        <v>#N/A</v>
      </c>
      <c r="E857" s="30">
        <f>'Raw data'!P776</f>
        <v>0</v>
      </c>
      <c r="F857" s="29" t="e">
        <f>VLOOKUP(E857,'점포코드 '!A:B,2,0)</f>
        <v>#N/A</v>
      </c>
      <c r="G857" s="46">
        <f>'Raw data'!F776</f>
        <v>0</v>
      </c>
      <c r="H857" s="4">
        <f>'Raw data'!G776</f>
        <v>0</v>
      </c>
      <c r="I857" s="29" t="e">
        <f>VLOOKUP(G857,제품명!$C$1:$E$114,2,0)</f>
        <v>#N/A</v>
      </c>
      <c r="J857" s="29">
        <f>'Raw data'!K776</f>
        <v>0</v>
      </c>
      <c r="K857" s="31">
        <f>'Raw data'!H776</f>
        <v>0</v>
      </c>
      <c r="L857" s="26">
        <f t="shared" si="30"/>
        <v>0</v>
      </c>
    </row>
    <row r="858" spans="2:12">
      <c r="B858" s="4" t="e">
        <f t="shared" si="29"/>
        <v>#N/A</v>
      </c>
      <c r="C858" s="4">
        <f>'Raw data'!E777</f>
        <v>0</v>
      </c>
      <c r="D858" s="29" t="e">
        <f>VLOOKUP(C858,'점포코드 '!A:B,2,0)</f>
        <v>#N/A</v>
      </c>
      <c r="E858" s="30">
        <f>'Raw data'!P777</f>
        <v>0</v>
      </c>
      <c r="F858" s="29" t="e">
        <f>VLOOKUP(E858,'점포코드 '!A:B,2,0)</f>
        <v>#N/A</v>
      </c>
      <c r="G858" s="46">
        <f>'Raw data'!F777</f>
        <v>0</v>
      </c>
      <c r="H858" s="4">
        <f>'Raw data'!G777</f>
        <v>0</v>
      </c>
      <c r="I858" s="29" t="e">
        <f>VLOOKUP(G858,제품명!$C$1:$E$114,2,0)</f>
        <v>#N/A</v>
      </c>
      <c r="J858" s="29">
        <f>'Raw data'!K777</f>
        <v>0</v>
      </c>
      <c r="K858" s="31">
        <f>'Raw data'!H777</f>
        <v>0</v>
      </c>
      <c r="L858" s="26">
        <f t="shared" si="30"/>
        <v>0</v>
      </c>
    </row>
    <row r="859" spans="2:12">
      <c r="B859" s="4" t="e">
        <f t="shared" si="29"/>
        <v>#N/A</v>
      </c>
      <c r="C859" s="4">
        <f>'Raw data'!E778</f>
        <v>0</v>
      </c>
      <c r="D859" s="29" t="e">
        <f>VLOOKUP(C859,'점포코드 '!A:B,2,0)</f>
        <v>#N/A</v>
      </c>
      <c r="E859" s="30">
        <f>'Raw data'!P778</f>
        <v>0</v>
      </c>
      <c r="F859" s="29" t="e">
        <f>VLOOKUP(E859,'점포코드 '!A:B,2,0)</f>
        <v>#N/A</v>
      </c>
      <c r="G859" s="46">
        <f>'Raw data'!F778</f>
        <v>0</v>
      </c>
      <c r="H859" s="4">
        <f>'Raw data'!G778</f>
        <v>0</v>
      </c>
      <c r="I859" s="29" t="e">
        <f>VLOOKUP(G859,제품명!$C$1:$E$114,2,0)</f>
        <v>#N/A</v>
      </c>
      <c r="J859" s="29">
        <f>'Raw data'!K778</f>
        <v>0</v>
      </c>
      <c r="K859" s="31">
        <f>'Raw data'!H778</f>
        <v>0</v>
      </c>
      <c r="L859" s="26">
        <f t="shared" si="30"/>
        <v>0</v>
      </c>
    </row>
    <row r="860" spans="2:12">
      <c r="B860" s="4" t="e">
        <f t="shared" si="29"/>
        <v>#N/A</v>
      </c>
      <c r="C860" s="4">
        <f>'Raw data'!E779</f>
        <v>0</v>
      </c>
      <c r="D860" s="29" t="e">
        <f>VLOOKUP(C860,'점포코드 '!A:B,2,0)</f>
        <v>#N/A</v>
      </c>
      <c r="E860" s="30">
        <f>'Raw data'!P779</f>
        <v>0</v>
      </c>
      <c r="F860" s="29" t="e">
        <f>VLOOKUP(E860,'점포코드 '!A:B,2,0)</f>
        <v>#N/A</v>
      </c>
      <c r="G860" s="46">
        <f>'Raw data'!F779</f>
        <v>0</v>
      </c>
      <c r="H860" s="4">
        <f>'Raw data'!G779</f>
        <v>0</v>
      </c>
      <c r="I860" s="29" t="e">
        <f>VLOOKUP(G860,제품명!$C$1:$E$114,2,0)</f>
        <v>#N/A</v>
      </c>
      <c r="J860" s="29">
        <f>'Raw data'!K779</f>
        <v>0</v>
      </c>
      <c r="K860" s="31">
        <f>'Raw data'!H779</f>
        <v>0</v>
      </c>
      <c r="L860" s="26">
        <f t="shared" si="30"/>
        <v>0</v>
      </c>
    </row>
    <row r="861" spans="2:12">
      <c r="B861" s="4" t="e">
        <f t="shared" si="29"/>
        <v>#N/A</v>
      </c>
      <c r="C861" s="4">
        <f>'Raw data'!E780</f>
        <v>0</v>
      </c>
      <c r="D861" s="29" t="e">
        <f>VLOOKUP(C861,'점포코드 '!A:B,2,0)</f>
        <v>#N/A</v>
      </c>
      <c r="E861" s="30">
        <f>'Raw data'!P780</f>
        <v>0</v>
      </c>
      <c r="F861" s="29" t="e">
        <f>VLOOKUP(E861,'점포코드 '!A:B,2,0)</f>
        <v>#N/A</v>
      </c>
      <c r="G861" s="46">
        <f>'Raw data'!F780</f>
        <v>0</v>
      </c>
      <c r="H861" s="4">
        <f>'Raw data'!G780</f>
        <v>0</v>
      </c>
      <c r="I861" s="29" t="e">
        <f>VLOOKUP(G861,제품명!$C$1:$E$114,2,0)</f>
        <v>#N/A</v>
      </c>
      <c r="J861" s="29">
        <f>'Raw data'!K780</f>
        <v>0</v>
      </c>
      <c r="K861" s="31">
        <f>'Raw data'!H780</f>
        <v>0</v>
      </c>
      <c r="L861" s="26">
        <f t="shared" si="30"/>
        <v>0</v>
      </c>
    </row>
    <row r="862" spans="2:12">
      <c r="B862" s="4" t="e">
        <f t="shared" si="29"/>
        <v>#N/A</v>
      </c>
      <c r="C862" s="4">
        <f>'Raw data'!E781</f>
        <v>0</v>
      </c>
      <c r="D862" s="29" t="e">
        <f>VLOOKUP(C862,'점포코드 '!A:B,2,0)</f>
        <v>#N/A</v>
      </c>
      <c r="E862" s="30">
        <f>'Raw data'!P781</f>
        <v>0</v>
      </c>
      <c r="F862" s="29" t="e">
        <f>VLOOKUP(E862,'점포코드 '!A:B,2,0)</f>
        <v>#N/A</v>
      </c>
      <c r="G862" s="46">
        <f>'Raw data'!F781</f>
        <v>0</v>
      </c>
      <c r="H862" s="4">
        <f>'Raw data'!G781</f>
        <v>0</v>
      </c>
      <c r="I862" s="29" t="e">
        <f>VLOOKUP(G862,제품명!$C$1:$E$114,2,0)</f>
        <v>#N/A</v>
      </c>
      <c r="J862" s="29">
        <f>'Raw data'!K781</f>
        <v>0</v>
      </c>
      <c r="K862" s="31">
        <f>'Raw data'!H781</f>
        <v>0</v>
      </c>
      <c r="L862" s="26">
        <f t="shared" si="30"/>
        <v>0</v>
      </c>
    </row>
    <row r="863" spans="2:12">
      <c r="B863" s="4" t="e">
        <f t="shared" si="29"/>
        <v>#N/A</v>
      </c>
      <c r="C863" s="4">
        <f>'Raw data'!E782</f>
        <v>0</v>
      </c>
      <c r="D863" s="29" t="e">
        <f>VLOOKUP(C863,'점포코드 '!A:B,2,0)</f>
        <v>#N/A</v>
      </c>
      <c r="E863" s="30">
        <f>'Raw data'!P782</f>
        <v>0</v>
      </c>
      <c r="F863" s="29" t="e">
        <f>VLOOKUP(E863,'점포코드 '!A:B,2,0)</f>
        <v>#N/A</v>
      </c>
      <c r="G863" s="46">
        <f>'Raw data'!F782</f>
        <v>0</v>
      </c>
      <c r="H863" s="4">
        <f>'Raw data'!G782</f>
        <v>0</v>
      </c>
      <c r="I863" s="29" t="e">
        <f>VLOOKUP(G863,제품명!$C$1:$E$114,2,0)</f>
        <v>#N/A</v>
      </c>
      <c r="J863" s="29">
        <f>'Raw data'!K782</f>
        <v>0</v>
      </c>
      <c r="K863" s="31">
        <f>'Raw data'!H782</f>
        <v>0</v>
      </c>
      <c r="L863" s="26">
        <f t="shared" si="30"/>
        <v>0</v>
      </c>
    </row>
    <row r="864" spans="2:12">
      <c r="B864" s="4" t="e">
        <f t="shared" si="29"/>
        <v>#N/A</v>
      </c>
      <c r="C864" s="4">
        <f>'Raw data'!E783</f>
        <v>0</v>
      </c>
      <c r="D864" s="29" t="e">
        <f>VLOOKUP(C864,'점포코드 '!A:B,2,0)</f>
        <v>#N/A</v>
      </c>
      <c r="E864" s="30">
        <f>'Raw data'!P783</f>
        <v>0</v>
      </c>
      <c r="F864" s="29" t="e">
        <f>VLOOKUP(E864,'점포코드 '!A:B,2,0)</f>
        <v>#N/A</v>
      </c>
      <c r="G864" s="46">
        <f>'Raw data'!F783</f>
        <v>0</v>
      </c>
      <c r="H864" s="4">
        <f>'Raw data'!G783</f>
        <v>0</v>
      </c>
      <c r="I864" s="29" t="e">
        <f>VLOOKUP(G864,제품명!$C$1:$E$114,2,0)</f>
        <v>#N/A</v>
      </c>
      <c r="J864" s="29">
        <f>'Raw data'!K783</f>
        <v>0</v>
      </c>
      <c r="K864" s="31">
        <f>'Raw data'!H783</f>
        <v>0</v>
      </c>
      <c r="L864" s="26">
        <f t="shared" si="30"/>
        <v>0</v>
      </c>
    </row>
    <row r="865" spans="2:12">
      <c r="B865" s="4" t="e">
        <f t="shared" si="29"/>
        <v>#N/A</v>
      </c>
      <c r="C865" s="4">
        <f>'Raw data'!E784</f>
        <v>0</v>
      </c>
      <c r="D865" s="29" t="e">
        <f>VLOOKUP(C865,'점포코드 '!A:B,2,0)</f>
        <v>#N/A</v>
      </c>
      <c r="E865" s="30">
        <f>'Raw data'!P784</f>
        <v>0</v>
      </c>
      <c r="F865" s="29" t="e">
        <f>VLOOKUP(E865,'점포코드 '!A:B,2,0)</f>
        <v>#N/A</v>
      </c>
      <c r="G865" s="46">
        <f>'Raw data'!F784</f>
        <v>0</v>
      </c>
      <c r="H865" s="4">
        <f>'Raw data'!G784</f>
        <v>0</v>
      </c>
      <c r="I865" s="29" t="e">
        <f>VLOOKUP(G865,제품명!$C$1:$E$114,2,0)</f>
        <v>#N/A</v>
      </c>
      <c r="J865" s="29">
        <f>'Raw data'!K784</f>
        <v>0</v>
      </c>
      <c r="K865" s="31">
        <f>'Raw data'!H784</f>
        <v>0</v>
      </c>
      <c r="L865" s="26">
        <f t="shared" si="30"/>
        <v>0</v>
      </c>
    </row>
    <row r="866" spans="2:12">
      <c r="B866" s="4" t="e">
        <f t="shared" si="29"/>
        <v>#N/A</v>
      </c>
      <c r="C866" s="4">
        <f>'Raw data'!E785</f>
        <v>0</v>
      </c>
      <c r="D866" s="29" t="e">
        <f>VLOOKUP(C866,'점포코드 '!A:B,2,0)</f>
        <v>#N/A</v>
      </c>
      <c r="E866" s="30">
        <f>'Raw data'!P785</f>
        <v>0</v>
      </c>
      <c r="F866" s="29" t="e">
        <f>VLOOKUP(E866,'점포코드 '!A:B,2,0)</f>
        <v>#N/A</v>
      </c>
      <c r="G866" s="46">
        <f>'Raw data'!F785</f>
        <v>0</v>
      </c>
      <c r="H866" s="4">
        <f>'Raw data'!G785</f>
        <v>0</v>
      </c>
      <c r="I866" s="29" t="e">
        <f>VLOOKUP(G866,제품명!$C$1:$E$114,2,0)</f>
        <v>#N/A</v>
      </c>
      <c r="J866" s="29">
        <f>'Raw data'!K785</f>
        <v>0</v>
      </c>
      <c r="K866" s="31">
        <f>'Raw data'!H785</f>
        <v>0</v>
      </c>
      <c r="L866" s="26">
        <f t="shared" si="30"/>
        <v>0</v>
      </c>
    </row>
    <row r="867" spans="2:12">
      <c r="B867" s="4" t="e">
        <f t="shared" si="29"/>
        <v>#N/A</v>
      </c>
      <c r="C867" s="4">
        <f>'Raw data'!E786</f>
        <v>0</v>
      </c>
      <c r="D867" s="29" t="e">
        <f>VLOOKUP(C867,'점포코드 '!A:B,2,0)</f>
        <v>#N/A</v>
      </c>
      <c r="E867" s="30">
        <f>'Raw data'!P786</f>
        <v>0</v>
      </c>
      <c r="F867" s="29" t="e">
        <f>VLOOKUP(E867,'점포코드 '!A:B,2,0)</f>
        <v>#N/A</v>
      </c>
      <c r="G867" s="46">
        <f>'Raw data'!F786</f>
        <v>0</v>
      </c>
      <c r="H867" s="4">
        <f>'Raw data'!G786</f>
        <v>0</v>
      </c>
      <c r="I867" s="29" t="e">
        <f>VLOOKUP(G867,제품명!$C$1:$E$114,2,0)</f>
        <v>#N/A</v>
      </c>
      <c r="J867" s="29">
        <f>'Raw data'!K786</f>
        <v>0</v>
      </c>
      <c r="K867" s="31">
        <f>'Raw data'!H786</f>
        <v>0</v>
      </c>
      <c r="L867" s="26">
        <f t="shared" si="30"/>
        <v>0</v>
      </c>
    </row>
    <row r="868" spans="2:12">
      <c r="B868" s="4" t="e">
        <f t="shared" si="29"/>
        <v>#N/A</v>
      </c>
      <c r="C868" s="4">
        <f>'Raw data'!E787</f>
        <v>0</v>
      </c>
      <c r="D868" s="29" t="e">
        <f>VLOOKUP(C868,'점포코드 '!A:B,2,0)</f>
        <v>#N/A</v>
      </c>
      <c r="E868" s="30">
        <f>'Raw data'!P787</f>
        <v>0</v>
      </c>
      <c r="F868" s="29" t="e">
        <f>VLOOKUP(E868,'점포코드 '!A:B,2,0)</f>
        <v>#N/A</v>
      </c>
      <c r="G868" s="46">
        <f>'Raw data'!F787</f>
        <v>0</v>
      </c>
      <c r="H868" s="4">
        <f>'Raw data'!G787</f>
        <v>0</v>
      </c>
      <c r="I868" s="29" t="e">
        <f>VLOOKUP(G868,제품명!$C$1:$E$114,2,0)</f>
        <v>#N/A</v>
      </c>
      <c r="J868" s="29">
        <f>'Raw data'!K787</f>
        <v>0</v>
      </c>
      <c r="K868" s="31">
        <f>'Raw data'!H787</f>
        <v>0</v>
      </c>
      <c r="L868" s="26">
        <f t="shared" si="30"/>
        <v>0</v>
      </c>
    </row>
    <row r="869" spans="2:12">
      <c r="B869" s="4" t="e">
        <f t="shared" si="29"/>
        <v>#N/A</v>
      </c>
      <c r="C869" s="4">
        <f>'Raw data'!E788</f>
        <v>0</v>
      </c>
      <c r="D869" s="29" t="e">
        <f>VLOOKUP(C869,'점포코드 '!A:B,2,0)</f>
        <v>#N/A</v>
      </c>
      <c r="E869" s="30">
        <f>'Raw data'!P788</f>
        <v>0</v>
      </c>
      <c r="F869" s="29" t="e">
        <f>VLOOKUP(E869,'점포코드 '!A:B,2,0)</f>
        <v>#N/A</v>
      </c>
      <c r="G869" s="46">
        <f>'Raw data'!F788</f>
        <v>0</v>
      </c>
      <c r="H869" s="4">
        <f>'Raw data'!G788</f>
        <v>0</v>
      </c>
      <c r="I869" s="29" t="e">
        <f>VLOOKUP(G869,제품명!$C$1:$E$114,2,0)</f>
        <v>#N/A</v>
      </c>
      <c r="J869" s="29">
        <f>'Raw data'!K788</f>
        <v>0</v>
      </c>
      <c r="K869" s="31">
        <f>'Raw data'!H788</f>
        <v>0</v>
      </c>
      <c r="L869" s="26">
        <f t="shared" si="30"/>
        <v>0</v>
      </c>
    </row>
    <row r="870" spans="2:12">
      <c r="B870" s="4" t="e">
        <f t="shared" si="29"/>
        <v>#N/A</v>
      </c>
      <c r="C870" s="4">
        <f>'Raw data'!E789</f>
        <v>0</v>
      </c>
      <c r="D870" s="29" t="e">
        <f>VLOOKUP(C870,'점포코드 '!A:B,2,0)</f>
        <v>#N/A</v>
      </c>
      <c r="E870" s="30">
        <f>'Raw data'!P789</f>
        <v>0</v>
      </c>
      <c r="F870" s="29" t="e">
        <f>VLOOKUP(E870,'점포코드 '!A:B,2,0)</f>
        <v>#N/A</v>
      </c>
      <c r="G870" s="46">
        <f>'Raw data'!F789</f>
        <v>0</v>
      </c>
      <c r="H870" s="4">
        <f>'Raw data'!G789</f>
        <v>0</v>
      </c>
      <c r="I870" s="29" t="e">
        <f>VLOOKUP(G870,제품명!$C$1:$E$114,2,0)</f>
        <v>#N/A</v>
      </c>
      <c r="J870" s="29">
        <f>'Raw data'!K789</f>
        <v>0</v>
      </c>
      <c r="K870" s="31">
        <f>'Raw data'!H789</f>
        <v>0</v>
      </c>
      <c r="L870" s="26">
        <f t="shared" si="30"/>
        <v>0</v>
      </c>
    </row>
    <row r="871" spans="2:12">
      <c r="B871" s="4" t="e">
        <f t="shared" si="29"/>
        <v>#N/A</v>
      </c>
      <c r="C871" s="4">
        <f>'Raw data'!E790</f>
        <v>0</v>
      </c>
      <c r="D871" s="29" t="e">
        <f>VLOOKUP(C871,'점포코드 '!A:B,2,0)</f>
        <v>#N/A</v>
      </c>
      <c r="E871" s="30">
        <f>'Raw data'!P790</f>
        <v>0</v>
      </c>
      <c r="F871" s="29" t="e">
        <f>VLOOKUP(E871,'점포코드 '!A:B,2,0)</f>
        <v>#N/A</v>
      </c>
      <c r="G871" s="46">
        <f>'Raw data'!F790</f>
        <v>0</v>
      </c>
      <c r="H871" s="4">
        <f>'Raw data'!G790</f>
        <v>0</v>
      </c>
      <c r="I871" s="29" t="e">
        <f>VLOOKUP(G871,제품명!$C$1:$E$114,2,0)</f>
        <v>#N/A</v>
      </c>
      <c r="J871" s="29">
        <f>'Raw data'!K790</f>
        <v>0</v>
      </c>
      <c r="K871" s="31">
        <f>'Raw data'!H790</f>
        <v>0</v>
      </c>
      <c r="L871" s="26">
        <f t="shared" si="30"/>
        <v>0</v>
      </c>
    </row>
    <row r="872" spans="2:12">
      <c r="B872" s="4" t="e">
        <f t="shared" si="29"/>
        <v>#N/A</v>
      </c>
      <c r="C872" s="4">
        <f>'Raw data'!E791</f>
        <v>0</v>
      </c>
      <c r="D872" s="29" t="e">
        <f>VLOOKUP(C872,'점포코드 '!A:B,2,0)</f>
        <v>#N/A</v>
      </c>
      <c r="E872" s="30">
        <f>'Raw data'!P791</f>
        <v>0</v>
      </c>
      <c r="F872" s="29" t="e">
        <f>VLOOKUP(E872,'점포코드 '!A:B,2,0)</f>
        <v>#N/A</v>
      </c>
      <c r="G872" s="46">
        <f>'Raw data'!F791</f>
        <v>0</v>
      </c>
      <c r="H872" s="4">
        <f>'Raw data'!G791</f>
        <v>0</v>
      </c>
      <c r="I872" s="29" t="e">
        <f>VLOOKUP(G872,제품명!$C$1:$E$114,2,0)</f>
        <v>#N/A</v>
      </c>
      <c r="J872" s="29">
        <f>'Raw data'!K791</f>
        <v>0</v>
      </c>
      <c r="K872" s="31">
        <f>'Raw data'!H791</f>
        <v>0</v>
      </c>
      <c r="L872" s="26">
        <f t="shared" si="30"/>
        <v>0</v>
      </c>
    </row>
    <row r="873" spans="2:12">
      <c r="B873" s="4" t="e">
        <f t="shared" si="29"/>
        <v>#N/A</v>
      </c>
      <c r="C873" s="4">
        <f>'Raw data'!E792</f>
        <v>0</v>
      </c>
      <c r="D873" s="29" t="e">
        <f>VLOOKUP(C873,'점포코드 '!A:B,2,0)</f>
        <v>#N/A</v>
      </c>
      <c r="E873" s="30">
        <f>'Raw data'!P792</f>
        <v>0</v>
      </c>
      <c r="F873" s="29" t="e">
        <f>VLOOKUP(E873,'점포코드 '!A:B,2,0)</f>
        <v>#N/A</v>
      </c>
      <c r="G873" s="46">
        <f>'Raw data'!F792</f>
        <v>0</v>
      </c>
      <c r="H873" s="4">
        <f>'Raw data'!G792</f>
        <v>0</v>
      </c>
      <c r="I873" s="29" t="e">
        <f>VLOOKUP(G873,제품명!$C$1:$E$114,2,0)</f>
        <v>#N/A</v>
      </c>
      <c r="J873" s="29">
        <f>'Raw data'!K792</f>
        <v>0</v>
      </c>
      <c r="K873" s="31">
        <f>'Raw data'!H792</f>
        <v>0</v>
      </c>
      <c r="L873" s="26">
        <f t="shared" si="30"/>
        <v>0</v>
      </c>
    </row>
    <row r="874" spans="2:12">
      <c r="B874" s="4" t="e">
        <f t="shared" si="29"/>
        <v>#N/A</v>
      </c>
      <c r="C874" s="4">
        <f>'Raw data'!E793</f>
        <v>0</v>
      </c>
      <c r="D874" s="29" t="e">
        <f>VLOOKUP(C874,'점포코드 '!A:B,2,0)</f>
        <v>#N/A</v>
      </c>
      <c r="E874" s="30">
        <f>'Raw data'!P793</f>
        <v>0</v>
      </c>
      <c r="F874" s="29" t="e">
        <f>VLOOKUP(E874,'점포코드 '!A:B,2,0)</f>
        <v>#N/A</v>
      </c>
      <c r="G874" s="46">
        <f>'Raw data'!F793</f>
        <v>0</v>
      </c>
      <c r="H874" s="4">
        <f>'Raw data'!G793</f>
        <v>0</v>
      </c>
      <c r="I874" s="29" t="e">
        <f>VLOOKUP(G874,제품명!$C$1:$E$114,2,0)</f>
        <v>#N/A</v>
      </c>
      <c r="J874" s="29">
        <f>'Raw data'!K793</f>
        <v>0</v>
      </c>
      <c r="K874" s="31">
        <f>'Raw data'!H793</f>
        <v>0</v>
      </c>
      <c r="L874" s="26">
        <f t="shared" si="30"/>
        <v>0</v>
      </c>
    </row>
    <row r="875" spans="2:12">
      <c r="B875" s="4" t="e">
        <f t="shared" si="29"/>
        <v>#N/A</v>
      </c>
      <c r="C875" s="4">
        <f>'Raw data'!E794</f>
        <v>0</v>
      </c>
      <c r="D875" s="29" t="e">
        <f>VLOOKUP(C875,'점포코드 '!A:B,2,0)</f>
        <v>#N/A</v>
      </c>
      <c r="E875" s="30">
        <f>'Raw data'!P794</f>
        <v>0</v>
      </c>
      <c r="F875" s="29" t="e">
        <f>VLOOKUP(E875,'점포코드 '!A:B,2,0)</f>
        <v>#N/A</v>
      </c>
      <c r="G875" s="46">
        <f>'Raw data'!F794</f>
        <v>0</v>
      </c>
      <c r="H875" s="4">
        <f>'Raw data'!G794</f>
        <v>0</v>
      </c>
      <c r="I875" s="29" t="e">
        <f>VLOOKUP(G875,제품명!$C$1:$E$114,2,0)</f>
        <v>#N/A</v>
      </c>
      <c r="J875" s="29">
        <f>'Raw data'!K794</f>
        <v>0</v>
      </c>
      <c r="K875" s="31">
        <f>'Raw data'!H794</f>
        <v>0</v>
      </c>
      <c r="L875" s="26">
        <f t="shared" si="30"/>
        <v>0</v>
      </c>
    </row>
    <row r="876" spans="2:12">
      <c r="B876" s="4" t="e">
        <f t="shared" si="29"/>
        <v>#N/A</v>
      </c>
      <c r="C876" s="4">
        <f>'Raw data'!E795</f>
        <v>0</v>
      </c>
      <c r="D876" s="29" t="e">
        <f>VLOOKUP(C876,'점포코드 '!A:B,2,0)</f>
        <v>#N/A</v>
      </c>
      <c r="E876" s="30">
        <f>'Raw data'!P795</f>
        <v>0</v>
      </c>
      <c r="F876" s="29" t="e">
        <f>VLOOKUP(E876,'점포코드 '!A:B,2,0)</f>
        <v>#N/A</v>
      </c>
      <c r="G876" s="46">
        <f>'Raw data'!F795</f>
        <v>0</v>
      </c>
      <c r="H876" s="4">
        <f>'Raw data'!G795</f>
        <v>0</v>
      </c>
      <c r="I876" s="29" t="e">
        <f>VLOOKUP(G876,제품명!$C$1:$E$114,2,0)</f>
        <v>#N/A</v>
      </c>
      <c r="J876" s="29">
        <f>'Raw data'!K795</f>
        <v>0</v>
      </c>
      <c r="K876" s="31">
        <f>'Raw data'!H795</f>
        <v>0</v>
      </c>
      <c r="L876" s="26">
        <f t="shared" si="30"/>
        <v>0</v>
      </c>
    </row>
    <row r="877" spans="2:12">
      <c r="B877" s="4" t="e">
        <f t="shared" si="29"/>
        <v>#N/A</v>
      </c>
      <c r="C877" s="4">
        <f>'Raw data'!E796</f>
        <v>0</v>
      </c>
      <c r="D877" s="29" t="e">
        <f>VLOOKUP(C877,'점포코드 '!A:B,2,0)</f>
        <v>#N/A</v>
      </c>
      <c r="E877" s="30">
        <f>'Raw data'!P796</f>
        <v>0</v>
      </c>
      <c r="F877" s="29" t="e">
        <f>VLOOKUP(E877,'점포코드 '!A:B,2,0)</f>
        <v>#N/A</v>
      </c>
      <c r="G877" s="46">
        <f>'Raw data'!F796</f>
        <v>0</v>
      </c>
      <c r="H877" s="4">
        <f>'Raw data'!G796</f>
        <v>0</v>
      </c>
      <c r="I877" s="29" t="e">
        <f>VLOOKUP(G877,제품명!$C$1:$E$114,2,0)</f>
        <v>#N/A</v>
      </c>
      <c r="J877" s="29">
        <f>'Raw data'!K796</f>
        <v>0</v>
      </c>
      <c r="K877" s="31">
        <f>'Raw data'!H796</f>
        <v>0</v>
      </c>
      <c r="L877" s="26">
        <f t="shared" si="30"/>
        <v>0</v>
      </c>
    </row>
    <row r="878" spans="2:12">
      <c r="B878" s="4" t="e">
        <f t="shared" si="29"/>
        <v>#N/A</v>
      </c>
      <c r="C878" s="4">
        <f>'Raw data'!E797</f>
        <v>0</v>
      </c>
      <c r="D878" s="29" t="e">
        <f>VLOOKUP(C878,'점포코드 '!A:B,2,0)</f>
        <v>#N/A</v>
      </c>
      <c r="E878" s="30">
        <f>'Raw data'!P797</f>
        <v>0</v>
      </c>
      <c r="F878" s="29" t="e">
        <f>VLOOKUP(E878,'점포코드 '!A:B,2,0)</f>
        <v>#N/A</v>
      </c>
      <c r="G878" s="46">
        <f>'Raw data'!F797</f>
        <v>0</v>
      </c>
      <c r="H878" s="4">
        <f>'Raw data'!G797</f>
        <v>0</v>
      </c>
      <c r="I878" s="29" t="e">
        <f>VLOOKUP(G878,제품명!$C$1:$E$114,2,0)</f>
        <v>#N/A</v>
      </c>
      <c r="J878" s="29">
        <f>'Raw data'!K797</f>
        <v>0</v>
      </c>
      <c r="K878" s="31">
        <f>'Raw data'!H797</f>
        <v>0</v>
      </c>
      <c r="L878" s="26">
        <f t="shared" si="30"/>
        <v>0</v>
      </c>
    </row>
    <row r="879" spans="2:12">
      <c r="B879" s="4" t="e">
        <f t="shared" si="29"/>
        <v>#N/A</v>
      </c>
      <c r="C879" s="4">
        <f>'Raw data'!E798</f>
        <v>0</v>
      </c>
      <c r="D879" s="29" t="e">
        <f>VLOOKUP(C879,'점포코드 '!A:B,2,0)</f>
        <v>#N/A</v>
      </c>
      <c r="E879" s="30">
        <f>'Raw data'!P798</f>
        <v>0</v>
      </c>
      <c r="F879" s="29" t="e">
        <f>VLOOKUP(E879,'점포코드 '!A:B,2,0)</f>
        <v>#N/A</v>
      </c>
      <c r="G879" s="46">
        <f>'Raw data'!F798</f>
        <v>0</v>
      </c>
      <c r="H879" s="4">
        <f>'Raw data'!G798</f>
        <v>0</v>
      </c>
      <c r="I879" s="29" t="e">
        <f>VLOOKUP(G879,제품명!$C$1:$E$114,2,0)</f>
        <v>#N/A</v>
      </c>
      <c r="J879" s="29">
        <f>'Raw data'!K798</f>
        <v>0</v>
      </c>
      <c r="K879" s="31">
        <f>'Raw data'!H798</f>
        <v>0</v>
      </c>
      <c r="L879" s="26">
        <f t="shared" si="30"/>
        <v>0</v>
      </c>
    </row>
    <row r="880" spans="2:12">
      <c r="B880" s="4" t="e">
        <f t="shared" si="29"/>
        <v>#N/A</v>
      </c>
      <c r="C880" s="4">
        <f>'Raw data'!E799</f>
        <v>0</v>
      </c>
      <c r="D880" s="29" t="e">
        <f>VLOOKUP(C880,'점포코드 '!A:B,2,0)</f>
        <v>#N/A</v>
      </c>
      <c r="E880" s="30">
        <f>'Raw data'!P799</f>
        <v>0</v>
      </c>
      <c r="F880" s="29" t="e">
        <f>VLOOKUP(E880,'점포코드 '!A:B,2,0)</f>
        <v>#N/A</v>
      </c>
      <c r="G880" s="46">
        <f>'Raw data'!F799</f>
        <v>0</v>
      </c>
      <c r="H880" s="4">
        <f>'Raw data'!G799</f>
        <v>0</v>
      </c>
      <c r="I880" s="29" t="e">
        <f>VLOOKUP(G880,제품명!$C$1:$E$114,2,0)</f>
        <v>#N/A</v>
      </c>
      <c r="J880" s="29">
        <f>'Raw data'!K799</f>
        <v>0</v>
      </c>
      <c r="K880" s="31">
        <f>'Raw data'!H799</f>
        <v>0</v>
      </c>
      <c r="L880" s="26">
        <f t="shared" si="30"/>
        <v>0</v>
      </c>
    </row>
    <row r="881" spans="2:12">
      <c r="B881" s="4" t="e">
        <f t="shared" si="29"/>
        <v>#N/A</v>
      </c>
      <c r="C881" s="4">
        <f>'Raw data'!E800</f>
        <v>0</v>
      </c>
      <c r="D881" s="29" t="e">
        <f>VLOOKUP(C881,'점포코드 '!A:B,2,0)</f>
        <v>#N/A</v>
      </c>
      <c r="E881" s="30">
        <f>'Raw data'!P800</f>
        <v>0</v>
      </c>
      <c r="F881" s="29" t="e">
        <f>VLOOKUP(E881,'점포코드 '!A:B,2,0)</f>
        <v>#N/A</v>
      </c>
      <c r="G881" s="46">
        <f>'Raw data'!F800</f>
        <v>0</v>
      </c>
      <c r="H881" s="4">
        <f>'Raw data'!G800</f>
        <v>0</v>
      </c>
      <c r="I881" s="29" t="e">
        <f>VLOOKUP(G881,제품명!$C$1:$E$114,2,0)</f>
        <v>#N/A</v>
      </c>
      <c r="J881" s="29">
        <f>'Raw data'!K800</f>
        <v>0</v>
      </c>
      <c r="K881" s="31">
        <f>'Raw data'!H800</f>
        <v>0</v>
      </c>
      <c r="L881" s="26">
        <f t="shared" si="30"/>
        <v>0</v>
      </c>
    </row>
    <row r="882" spans="2:12">
      <c r="B882" s="4" t="e">
        <f t="shared" si="29"/>
        <v>#N/A</v>
      </c>
      <c r="C882" s="4">
        <f>'Raw data'!E801</f>
        <v>0</v>
      </c>
      <c r="D882" s="29" t="e">
        <f>VLOOKUP(C882,'점포코드 '!A:B,2,0)</f>
        <v>#N/A</v>
      </c>
      <c r="E882" s="30">
        <f>'Raw data'!P801</f>
        <v>0</v>
      </c>
      <c r="F882" s="29" t="e">
        <f>VLOOKUP(E882,'점포코드 '!A:B,2,0)</f>
        <v>#N/A</v>
      </c>
      <c r="G882" s="46">
        <f>'Raw data'!F801</f>
        <v>0</v>
      </c>
      <c r="H882" s="4">
        <f>'Raw data'!G801</f>
        <v>0</v>
      </c>
      <c r="I882" s="29" t="e">
        <f>VLOOKUP(G882,제품명!$C$1:$E$114,2,0)</f>
        <v>#N/A</v>
      </c>
      <c r="J882" s="29">
        <f>'Raw data'!K801</f>
        <v>0</v>
      </c>
      <c r="K882" s="31">
        <f>'Raw data'!H801</f>
        <v>0</v>
      </c>
      <c r="L882" s="26">
        <f t="shared" si="30"/>
        <v>0</v>
      </c>
    </row>
    <row r="883" spans="2:12">
      <c r="B883" s="4" t="e">
        <f t="shared" si="29"/>
        <v>#N/A</v>
      </c>
      <c r="C883" s="4">
        <f>'Raw data'!E802</f>
        <v>0</v>
      </c>
      <c r="D883" s="29" t="e">
        <f>VLOOKUP(C883,'점포코드 '!A:B,2,0)</f>
        <v>#N/A</v>
      </c>
      <c r="E883" s="30">
        <f>'Raw data'!P802</f>
        <v>0</v>
      </c>
      <c r="F883" s="29" t="e">
        <f>VLOOKUP(E883,'점포코드 '!A:B,2,0)</f>
        <v>#N/A</v>
      </c>
      <c r="G883" s="46">
        <f>'Raw data'!F802</f>
        <v>0</v>
      </c>
      <c r="H883" s="4">
        <f>'Raw data'!G802</f>
        <v>0</v>
      </c>
      <c r="I883" s="29" t="e">
        <f>VLOOKUP(G883,제품명!$C$1:$E$114,2,0)</f>
        <v>#N/A</v>
      </c>
      <c r="J883" s="29">
        <f>'Raw data'!K802</f>
        <v>0</v>
      </c>
      <c r="K883" s="31">
        <f>'Raw data'!H802</f>
        <v>0</v>
      </c>
      <c r="L883" s="26">
        <f t="shared" si="30"/>
        <v>0</v>
      </c>
    </row>
    <row r="884" spans="2:12">
      <c r="B884" s="4" t="e">
        <f t="shared" si="29"/>
        <v>#N/A</v>
      </c>
      <c r="C884" s="4">
        <f>'Raw data'!E803</f>
        <v>0</v>
      </c>
      <c r="D884" s="29" t="e">
        <f>VLOOKUP(C884,'점포코드 '!A:B,2,0)</f>
        <v>#N/A</v>
      </c>
      <c r="E884" s="30">
        <f>'Raw data'!P803</f>
        <v>0</v>
      </c>
      <c r="F884" s="29" t="e">
        <f>VLOOKUP(E884,'점포코드 '!A:B,2,0)</f>
        <v>#N/A</v>
      </c>
      <c r="G884" s="46">
        <f>'Raw data'!F803</f>
        <v>0</v>
      </c>
      <c r="H884" s="4">
        <f>'Raw data'!G803</f>
        <v>0</v>
      </c>
      <c r="I884" s="29" t="e">
        <f>VLOOKUP(G884,제품명!$C$1:$E$114,2,0)</f>
        <v>#N/A</v>
      </c>
      <c r="J884" s="29">
        <f>'Raw data'!K803</f>
        <v>0</v>
      </c>
      <c r="K884" s="31">
        <f>'Raw data'!H803</f>
        <v>0</v>
      </c>
      <c r="L884" s="26">
        <f t="shared" si="30"/>
        <v>0</v>
      </c>
    </row>
    <row r="885" spans="2:12">
      <c r="B885" s="4" t="e">
        <f t="shared" si="29"/>
        <v>#N/A</v>
      </c>
      <c r="C885" s="4">
        <f>'Raw data'!E804</f>
        <v>0</v>
      </c>
      <c r="D885" s="29" t="e">
        <f>VLOOKUP(C885,'점포코드 '!A:B,2,0)</f>
        <v>#N/A</v>
      </c>
      <c r="E885" s="30">
        <f>'Raw data'!P804</f>
        <v>0</v>
      </c>
      <c r="F885" s="29" t="e">
        <f>VLOOKUP(E885,'점포코드 '!A:B,2,0)</f>
        <v>#N/A</v>
      </c>
      <c r="G885" s="46">
        <f>'Raw data'!F804</f>
        <v>0</v>
      </c>
      <c r="H885" s="4">
        <f>'Raw data'!G804</f>
        <v>0</v>
      </c>
      <c r="I885" s="29" t="e">
        <f>VLOOKUP(G885,제품명!$C$1:$E$114,2,0)</f>
        <v>#N/A</v>
      </c>
      <c r="J885" s="29">
        <f>'Raw data'!K804</f>
        <v>0</v>
      </c>
      <c r="K885" s="31">
        <f>'Raw data'!H804</f>
        <v>0</v>
      </c>
      <c r="L885" s="26">
        <f t="shared" si="30"/>
        <v>0</v>
      </c>
    </row>
    <row r="886" spans="2:12">
      <c r="B886" s="4" t="e">
        <f t="shared" si="29"/>
        <v>#N/A</v>
      </c>
      <c r="C886" s="4">
        <f>'Raw data'!E805</f>
        <v>0</v>
      </c>
      <c r="D886" s="29" t="e">
        <f>VLOOKUP(C886,'점포코드 '!A:B,2,0)</f>
        <v>#N/A</v>
      </c>
      <c r="E886" s="30">
        <f>'Raw data'!P805</f>
        <v>0</v>
      </c>
      <c r="F886" s="29" t="e">
        <f>VLOOKUP(E886,'점포코드 '!A:B,2,0)</f>
        <v>#N/A</v>
      </c>
      <c r="G886" s="46">
        <f>'Raw data'!F805</f>
        <v>0</v>
      </c>
      <c r="H886" s="4">
        <f>'Raw data'!G805</f>
        <v>0</v>
      </c>
      <c r="I886" s="29" t="e">
        <f>VLOOKUP(G886,제품명!$C$1:$E$114,2,0)</f>
        <v>#N/A</v>
      </c>
      <c r="J886" s="29">
        <f>'Raw data'!K805</f>
        <v>0</v>
      </c>
      <c r="K886" s="31">
        <f>'Raw data'!H805</f>
        <v>0</v>
      </c>
      <c r="L886" s="26">
        <f t="shared" si="30"/>
        <v>0</v>
      </c>
    </row>
    <row r="887" spans="2:12">
      <c r="B887" s="4" t="e">
        <f t="shared" si="29"/>
        <v>#N/A</v>
      </c>
      <c r="C887" s="4">
        <f>'Raw data'!E806</f>
        <v>0</v>
      </c>
      <c r="D887" s="29" t="e">
        <f>VLOOKUP(C887,'점포코드 '!A:B,2,0)</f>
        <v>#N/A</v>
      </c>
      <c r="E887" s="30">
        <f>'Raw data'!P806</f>
        <v>0</v>
      </c>
      <c r="F887" s="29" t="e">
        <f>VLOOKUP(E887,'점포코드 '!A:B,2,0)</f>
        <v>#N/A</v>
      </c>
      <c r="G887" s="46">
        <f>'Raw data'!F806</f>
        <v>0</v>
      </c>
      <c r="H887" s="4">
        <f>'Raw data'!G806</f>
        <v>0</v>
      </c>
      <c r="I887" s="29" t="e">
        <f>VLOOKUP(G887,제품명!$C$1:$E$114,2,0)</f>
        <v>#N/A</v>
      </c>
      <c r="J887" s="29">
        <f>'Raw data'!K806</f>
        <v>0</v>
      </c>
      <c r="K887" s="31">
        <f>'Raw data'!H806</f>
        <v>0</v>
      </c>
      <c r="L887" s="26">
        <f t="shared" si="30"/>
        <v>0</v>
      </c>
    </row>
    <row r="888" spans="2:12">
      <c r="B888" s="4" t="e">
        <f t="shared" si="29"/>
        <v>#N/A</v>
      </c>
      <c r="C888" s="4">
        <f>'Raw data'!E807</f>
        <v>0</v>
      </c>
      <c r="D888" s="29" t="e">
        <f>VLOOKUP(C888,'점포코드 '!A:B,2,0)</f>
        <v>#N/A</v>
      </c>
      <c r="E888" s="30">
        <f>'Raw data'!P807</f>
        <v>0</v>
      </c>
      <c r="F888" s="29" t="e">
        <f>VLOOKUP(E888,'점포코드 '!A:B,2,0)</f>
        <v>#N/A</v>
      </c>
      <c r="G888" s="46">
        <f>'Raw data'!F807</f>
        <v>0</v>
      </c>
      <c r="H888" s="4">
        <f>'Raw data'!G807</f>
        <v>0</v>
      </c>
      <c r="I888" s="29" t="e">
        <f>VLOOKUP(G888,제품명!$C$1:$E$114,2,0)</f>
        <v>#N/A</v>
      </c>
      <c r="J888" s="29">
        <f>'Raw data'!K807</f>
        <v>0</v>
      </c>
      <c r="K888" s="31">
        <f>'Raw data'!H807</f>
        <v>0</v>
      </c>
      <c r="L888" s="26">
        <f t="shared" si="30"/>
        <v>0</v>
      </c>
    </row>
    <row r="889" spans="2:12">
      <c r="B889" s="4" t="e">
        <f t="shared" si="29"/>
        <v>#N/A</v>
      </c>
      <c r="C889" s="4">
        <f>'Raw data'!E808</f>
        <v>0</v>
      </c>
      <c r="D889" s="29" t="e">
        <f>VLOOKUP(C889,'점포코드 '!A:B,2,0)</f>
        <v>#N/A</v>
      </c>
      <c r="E889" s="30">
        <f>'Raw data'!P808</f>
        <v>0</v>
      </c>
      <c r="F889" s="29" t="e">
        <f>VLOOKUP(E889,'점포코드 '!A:B,2,0)</f>
        <v>#N/A</v>
      </c>
      <c r="G889" s="46">
        <f>'Raw data'!F808</f>
        <v>0</v>
      </c>
      <c r="H889" s="4">
        <f>'Raw data'!G808</f>
        <v>0</v>
      </c>
      <c r="I889" s="29" t="e">
        <f>VLOOKUP(G889,제품명!$C$1:$E$114,2,0)</f>
        <v>#N/A</v>
      </c>
      <c r="J889" s="29">
        <f>'Raw data'!K808</f>
        <v>0</v>
      </c>
      <c r="K889" s="31">
        <f>'Raw data'!H808</f>
        <v>0</v>
      </c>
      <c r="L889" s="26">
        <f t="shared" si="30"/>
        <v>0</v>
      </c>
    </row>
    <row r="890" spans="2:12">
      <c r="B890" s="4" t="e">
        <f t="shared" si="29"/>
        <v>#N/A</v>
      </c>
      <c r="C890" s="4">
        <f>'Raw data'!E809</f>
        <v>0</v>
      </c>
      <c r="D890" s="29" t="e">
        <f>VLOOKUP(C890,'점포코드 '!A:B,2,0)</f>
        <v>#N/A</v>
      </c>
      <c r="E890" s="30">
        <f>'Raw data'!P809</f>
        <v>0</v>
      </c>
      <c r="F890" s="29" t="e">
        <f>VLOOKUP(E890,'점포코드 '!A:B,2,0)</f>
        <v>#N/A</v>
      </c>
      <c r="G890" s="46">
        <f>'Raw data'!F809</f>
        <v>0</v>
      </c>
      <c r="H890" s="4">
        <f>'Raw data'!G809</f>
        <v>0</v>
      </c>
      <c r="I890" s="29" t="e">
        <f>VLOOKUP(G890,제품명!$C$1:$E$114,2,0)</f>
        <v>#N/A</v>
      </c>
      <c r="J890" s="29">
        <f>'Raw data'!K809</f>
        <v>0</v>
      </c>
      <c r="K890" s="31">
        <f>'Raw data'!H809</f>
        <v>0</v>
      </c>
      <c r="L890" s="26">
        <f t="shared" si="30"/>
        <v>0</v>
      </c>
    </row>
    <row r="891" spans="2:12">
      <c r="B891" s="4" t="e">
        <f t="shared" si="29"/>
        <v>#N/A</v>
      </c>
      <c r="C891" s="4">
        <f>'Raw data'!E810</f>
        <v>0</v>
      </c>
      <c r="D891" s="29" t="e">
        <f>VLOOKUP(C891,'점포코드 '!A:B,2,0)</f>
        <v>#N/A</v>
      </c>
      <c r="E891" s="30">
        <f>'Raw data'!P810</f>
        <v>0</v>
      </c>
      <c r="F891" s="29" t="e">
        <f>VLOOKUP(E891,'점포코드 '!A:B,2,0)</f>
        <v>#N/A</v>
      </c>
      <c r="G891" s="46">
        <f>'Raw data'!F810</f>
        <v>0</v>
      </c>
      <c r="H891" s="4">
        <f>'Raw data'!G810</f>
        <v>0</v>
      </c>
      <c r="I891" s="29" t="e">
        <f>VLOOKUP(G891,제품명!$C$1:$E$114,2,0)</f>
        <v>#N/A</v>
      </c>
      <c r="J891" s="29">
        <f>'Raw data'!K810</f>
        <v>0</v>
      </c>
      <c r="K891" s="31">
        <f>'Raw data'!H810</f>
        <v>0</v>
      </c>
      <c r="L891" s="26">
        <f t="shared" si="30"/>
        <v>0</v>
      </c>
    </row>
    <row r="892" spans="2:12">
      <c r="B892" s="4" t="e">
        <f t="shared" si="29"/>
        <v>#N/A</v>
      </c>
      <c r="C892" s="4">
        <f>'Raw data'!E811</f>
        <v>0</v>
      </c>
      <c r="D892" s="29" t="e">
        <f>VLOOKUP(C892,'점포코드 '!A:B,2,0)</f>
        <v>#N/A</v>
      </c>
      <c r="E892" s="30">
        <f>'Raw data'!P811</f>
        <v>0</v>
      </c>
      <c r="F892" s="29" t="e">
        <f>VLOOKUP(E892,'점포코드 '!A:B,2,0)</f>
        <v>#N/A</v>
      </c>
      <c r="G892" s="46">
        <f>'Raw data'!F811</f>
        <v>0</v>
      </c>
      <c r="H892" s="4">
        <f>'Raw data'!G811</f>
        <v>0</v>
      </c>
      <c r="I892" s="29" t="e">
        <f>VLOOKUP(G892,제품명!$C$1:$E$114,2,0)</f>
        <v>#N/A</v>
      </c>
      <c r="J892" s="29">
        <f>'Raw data'!K811</f>
        <v>0</v>
      </c>
      <c r="K892" s="31">
        <f>'Raw data'!H811</f>
        <v>0</v>
      </c>
      <c r="L892" s="26">
        <f t="shared" si="30"/>
        <v>0</v>
      </c>
    </row>
    <row r="893" spans="2:12">
      <c r="B893" s="4" t="e">
        <f t="shared" si="29"/>
        <v>#N/A</v>
      </c>
      <c r="C893" s="4">
        <f>'Raw data'!E812</f>
        <v>0</v>
      </c>
      <c r="D893" s="29" t="e">
        <f>VLOOKUP(C893,'점포코드 '!A:B,2,0)</f>
        <v>#N/A</v>
      </c>
      <c r="E893" s="30">
        <f>'Raw data'!P812</f>
        <v>0</v>
      </c>
      <c r="F893" s="29" t="e">
        <f>VLOOKUP(E893,'점포코드 '!A:B,2,0)</f>
        <v>#N/A</v>
      </c>
      <c r="G893" s="46">
        <f>'Raw data'!F812</f>
        <v>0</v>
      </c>
      <c r="H893" s="4">
        <f>'Raw data'!G812</f>
        <v>0</v>
      </c>
      <c r="I893" s="29" t="e">
        <f>VLOOKUP(G893,제품명!$C$1:$E$114,2,0)</f>
        <v>#N/A</v>
      </c>
      <c r="J893" s="29">
        <f>'Raw data'!K812</f>
        <v>0</v>
      </c>
      <c r="K893" s="31">
        <f>'Raw data'!H812</f>
        <v>0</v>
      </c>
      <c r="L893" s="26">
        <f t="shared" si="30"/>
        <v>0</v>
      </c>
    </row>
    <row r="894" spans="2:12">
      <c r="B894" s="4" t="e">
        <f t="shared" si="29"/>
        <v>#N/A</v>
      </c>
      <c r="C894" s="4">
        <f>'Raw data'!E813</f>
        <v>0</v>
      </c>
      <c r="D894" s="29" t="e">
        <f>VLOOKUP(C894,'점포코드 '!A:B,2,0)</f>
        <v>#N/A</v>
      </c>
      <c r="E894" s="30">
        <f>'Raw data'!P813</f>
        <v>0</v>
      </c>
      <c r="F894" s="29" t="e">
        <f>VLOOKUP(E894,'점포코드 '!A:B,2,0)</f>
        <v>#N/A</v>
      </c>
      <c r="G894" s="46">
        <f>'Raw data'!F813</f>
        <v>0</v>
      </c>
      <c r="H894" s="4">
        <f>'Raw data'!G813</f>
        <v>0</v>
      </c>
      <c r="I894" s="29" t="e">
        <f>VLOOKUP(G894,제품명!$C$1:$E$114,2,0)</f>
        <v>#N/A</v>
      </c>
      <c r="J894" s="29">
        <f>'Raw data'!K813</f>
        <v>0</v>
      </c>
      <c r="K894" s="31">
        <f>'Raw data'!H813</f>
        <v>0</v>
      </c>
      <c r="L894" s="26">
        <f t="shared" si="30"/>
        <v>0</v>
      </c>
    </row>
    <row r="895" spans="2:12">
      <c r="B895" s="4" t="e">
        <f t="shared" si="29"/>
        <v>#N/A</v>
      </c>
      <c r="C895" s="4">
        <f>'Raw data'!E814</f>
        <v>0</v>
      </c>
      <c r="D895" s="29" t="e">
        <f>VLOOKUP(C895,'점포코드 '!A:B,2,0)</f>
        <v>#N/A</v>
      </c>
      <c r="E895" s="30">
        <f>'Raw data'!P814</f>
        <v>0</v>
      </c>
      <c r="F895" s="29" t="e">
        <f>VLOOKUP(E895,'점포코드 '!A:B,2,0)</f>
        <v>#N/A</v>
      </c>
      <c r="G895" s="46">
        <f>'Raw data'!F814</f>
        <v>0</v>
      </c>
      <c r="H895" s="4">
        <f>'Raw data'!G814</f>
        <v>0</v>
      </c>
      <c r="I895" s="29" t="e">
        <f>VLOOKUP(G895,제품명!$C$1:$E$114,2,0)</f>
        <v>#N/A</v>
      </c>
      <c r="J895" s="29">
        <f>'Raw data'!K814</f>
        <v>0</v>
      </c>
      <c r="K895" s="31">
        <f>'Raw data'!H814</f>
        <v>0</v>
      </c>
      <c r="L895" s="26">
        <f t="shared" si="30"/>
        <v>0</v>
      </c>
    </row>
    <row r="896" spans="2:12">
      <c r="B896" s="4" t="e">
        <f t="shared" si="29"/>
        <v>#N/A</v>
      </c>
      <c r="C896" s="4">
        <f>'Raw data'!E815</f>
        <v>0</v>
      </c>
      <c r="D896" s="29" t="e">
        <f>VLOOKUP(C896,'점포코드 '!A:B,2,0)</f>
        <v>#N/A</v>
      </c>
      <c r="E896" s="30">
        <f>'Raw data'!P815</f>
        <v>0</v>
      </c>
      <c r="F896" s="29" t="e">
        <f>VLOOKUP(E896,'점포코드 '!A:B,2,0)</f>
        <v>#N/A</v>
      </c>
      <c r="G896" s="46">
        <f>'Raw data'!F815</f>
        <v>0</v>
      </c>
      <c r="H896" s="4">
        <f>'Raw data'!G815</f>
        <v>0</v>
      </c>
      <c r="I896" s="29" t="e">
        <f>VLOOKUP(G896,제품명!$C$1:$E$114,2,0)</f>
        <v>#N/A</v>
      </c>
      <c r="J896" s="29">
        <f>'Raw data'!K815</f>
        <v>0</v>
      </c>
      <c r="K896" s="31">
        <f>'Raw data'!H815</f>
        <v>0</v>
      </c>
      <c r="L896" s="26">
        <f t="shared" si="30"/>
        <v>0</v>
      </c>
    </row>
    <row r="897" spans="2:12">
      <c r="B897" s="4" t="e">
        <f t="shared" si="29"/>
        <v>#N/A</v>
      </c>
      <c r="C897" s="4">
        <f>'Raw data'!E816</f>
        <v>0</v>
      </c>
      <c r="D897" s="29" t="e">
        <f>VLOOKUP(C897,'점포코드 '!A:B,2,0)</f>
        <v>#N/A</v>
      </c>
      <c r="E897" s="30">
        <f>'Raw data'!P816</f>
        <v>0</v>
      </c>
      <c r="F897" s="29" t="e">
        <f>VLOOKUP(E897,'점포코드 '!A:B,2,0)</f>
        <v>#N/A</v>
      </c>
      <c r="G897" s="46">
        <f>'Raw data'!F816</f>
        <v>0</v>
      </c>
      <c r="H897" s="4">
        <f>'Raw data'!G816</f>
        <v>0</v>
      </c>
      <c r="I897" s="29" t="e">
        <f>VLOOKUP(G897,제품명!$C$1:$E$114,2,0)</f>
        <v>#N/A</v>
      </c>
      <c r="J897" s="29">
        <f>'Raw data'!K816</f>
        <v>0</v>
      </c>
      <c r="K897" s="31">
        <f>'Raw data'!H816</f>
        <v>0</v>
      </c>
      <c r="L897" s="26">
        <f t="shared" si="30"/>
        <v>0</v>
      </c>
    </row>
    <row r="898" spans="2:12">
      <c r="B898" s="4" t="e">
        <f t="shared" ref="B898:B961" si="31">F898&amp;I898</f>
        <v>#N/A</v>
      </c>
      <c r="C898" s="4">
        <f>'Raw data'!E817</f>
        <v>0</v>
      </c>
      <c r="D898" s="29" t="e">
        <f>VLOOKUP(C898,'점포코드 '!A:B,2,0)</f>
        <v>#N/A</v>
      </c>
      <c r="E898" s="30">
        <f>'Raw data'!P817</f>
        <v>0</v>
      </c>
      <c r="F898" s="29" t="e">
        <f>VLOOKUP(E898,'점포코드 '!A:B,2,0)</f>
        <v>#N/A</v>
      </c>
      <c r="G898" s="46">
        <f>'Raw data'!F817</f>
        <v>0</v>
      </c>
      <c r="H898" s="4">
        <f>'Raw data'!G817</f>
        <v>0</v>
      </c>
      <c r="I898" s="29" t="e">
        <f>VLOOKUP(G898,제품명!$C$1:$E$114,2,0)</f>
        <v>#N/A</v>
      </c>
      <c r="J898" s="29">
        <f>'Raw data'!K817</f>
        <v>0</v>
      </c>
      <c r="K898" s="31">
        <f>'Raw data'!H817</f>
        <v>0</v>
      </c>
      <c r="L898" s="26">
        <f t="shared" si="30"/>
        <v>0</v>
      </c>
    </row>
    <row r="899" spans="2:12">
      <c r="B899" s="4" t="e">
        <f t="shared" si="31"/>
        <v>#N/A</v>
      </c>
      <c r="C899" s="4">
        <f>'Raw data'!E818</f>
        <v>0</v>
      </c>
      <c r="D899" s="29" t="e">
        <f>VLOOKUP(C899,'점포코드 '!A:B,2,0)</f>
        <v>#N/A</v>
      </c>
      <c r="E899" s="30">
        <f>'Raw data'!P818</f>
        <v>0</v>
      </c>
      <c r="F899" s="29" t="e">
        <f>VLOOKUP(E899,'점포코드 '!A:B,2,0)</f>
        <v>#N/A</v>
      </c>
      <c r="G899" s="46">
        <f>'Raw data'!F818</f>
        <v>0</v>
      </c>
      <c r="H899" s="4">
        <f>'Raw data'!G818</f>
        <v>0</v>
      </c>
      <c r="I899" s="29" t="e">
        <f>VLOOKUP(G899,제품명!$C$1:$E$114,2,0)</f>
        <v>#N/A</v>
      </c>
      <c r="J899" s="29">
        <f>'Raw data'!K818</f>
        <v>0</v>
      </c>
      <c r="K899" s="31">
        <f>'Raw data'!H818</f>
        <v>0</v>
      </c>
      <c r="L899" s="26">
        <f t="shared" ref="L899:L962" si="32">J899*K899</f>
        <v>0</v>
      </c>
    </row>
    <row r="900" spans="2:12">
      <c r="B900" s="4" t="e">
        <f t="shared" si="31"/>
        <v>#N/A</v>
      </c>
      <c r="C900" s="4">
        <f>'Raw data'!E819</f>
        <v>0</v>
      </c>
      <c r="D900" s="29" t="e">
        <f>VLOOKUP(C900,'점포코드 '!A:B,2,0)</f>
        <v>#N/A</v>
      </c>
      <c r="E900" s="30">
        <f>'Raw data'!P819</f>
        <v>0</v>
      </c>
      <c r="F900" s="29" t="e">
        <f>VLOOKUP(E900,'점포코드 '!A:B,2,0)</f>
        <v>#N/A</v>
      </c>
      <c r="G900" s="46">
        <f>'Raw data'!F819</f>
        <v>0</v>
      </c>
      <c r="H900" s="4">
        <f>'Raw data'!G819</f>
        <v>0</v>
      </c>
      <c r="I900" s="29" t="e">
        <f>VLOOKUP(G900,제품명!$C$1:$E$114,2,0)</f>
        <v>#N/A</v>
      </c>
      <c r="J900" s="29">
        <f>'Raw data'!K819</f>
        <v>0</v>
      </c>
      <c r="K900" s="31">
        <f>'Raw data'!H819</f>
        <v>0</v>
      </c>
      <c r="L900" s="26">
        <f t="shared" si="32"/>
        <v>0</v>
      </c>
    </row>
    <row r="901" spans="2:12">
      <c r="B901" s="4" t="e">
        <f t="shared" si="31"/>
        <v>#N/A</v>
      </c>
      <c r="C901" s="4">
        <f>'Raw data'!E820</f>
        <v>0</v>
      </c>
      <c r="D901" s="29" t="e">
        <f>VLOOKUP(C901,'점포코드 '!A:B,2,0)</f>
        <v>#N/A</v>
      </c>
      <c r="E901" s="30">
        <f>'Raw data'!P820</f>
        <v>0</v>
      </c>
      <c r="F901" s="29" t="e">
        <f>VLOOKUP(E901,'점포코드 '!A:B,2,0)</f>
        <v>#N/A</v>
      </c>
      <c r="G901" s="46">
        <f>'Raw data'!F820</f>
        <v>0</v>
      </c>
      <c r="H901" s="4">
        <f>'Raw data'!G820</f>
        <v>0</v>
      </c>
      <c r="I901" s="29" t="e">
        <f>VLOOKUP(G901,제품명!$C$1:$E$114,2,0)</f>
        <v>#N/A</v>
      </c>
      <c r="J901" s="29">
        <f>'Raw data'!K820</f>
        <v>0</v>
      </c>
      <c r="K901" s="31">
        <f>'Raw data'!H820</f>
        <v>0</v>
      </c>
      <c r="L901" s="26">
        <f t="shared" si="32"/>
        <v>0</v>
      </c>
    </row>
    <row r="902" spans="2:12">
      <c r="B902" s="4" t="e">
        <f t="shared" si="31"/>
        <v>#N/A</v>
      </c>
      <c r="C902" s="4">
        <f>'Raw data'!E821</f>
        <v>0</v>
      </c>
      <c r="D902" s="29" t="e">
        <f>VLOOKUP(C902,'점포코드 '!A:B,2,0)</f>
        <v>#N/A</v>
      </c>
      <c r="E902" s="30">
        <f>'Raw data'!P821</f>
        <v>0</v>
      </c>
      <c r="F902" s="29" t="e">
        <f>VLOOKUP(E902,'점포코드 '!A:B,2,0)</f>
        <v>#N/A</v>
      </c>
      <c r="G902" s="46">
        <f>'Raw data'!F821</f>
        <v>0</v>
      </c>
      <c r="H902" s="4">
        <f>'Raw data'!G821</f>
        <v>0</v>
      </c>
      <c r="I902" s="29" t="e">
        <f>VLOOKUP(G902,제품명!$C$1:$E$114,2,0)</f>
        <v>#N/A</v>
      </c>
      <c r="J902" s="29">
        <f>'Raw data'!K821</f>
        <v>0</v>
      </c>
      <c r="K902" s="31">
        <f>'Raw data'!H821</f>
        <v>0</v>
      </c>
      <c r="L902" s="26">
        <f t="shared" si="32"/>
        <v>0</v>
      </c>
    </row>
    <row r="903" spans="2:12">
      <c r="B903" s="4" t="e">
        <f t="shared" si="31"/>
        <v>#N/A</v>
      </c>
      <c r="C903" s="4">
        <f>'Raw data'!E822</f>
        <v>0</v>
      </c>
      <c r="D903" s="29" t="e">
        <f>VLOOKUP(C903,'점포코드 '!A:B,2,0)</f>
        <v>#N/A</v>
      </c>
      <c r="E903" s="30">
        <f>'Raw data'!P822</f>
        <v>0</v>
      </c>
      <c r="F903" s="29" t="e">
        <f>VLOOKUP(E903,'점포코드 '!A:B,2,0)</f>
        <v>#N/A</v>
      </c>
      <c r="G903" s="46">
        <f>'Raw data'!F822</f>
        <v>0</v>
      </c>
      <c r="H903" s="4">
        <f>'Raw data'!G822</f>
        <v>0</v>
      </c>
      <c r="I903" s="29" t="e">
        <f>VLOOKUP(G903,제품명!$C$1:$E$114,2,0)</f>
        <v>#N/A</v>
      </c>
      <c r="J903" s="29">
        <f>'Raw data'!K822</f>
        <v>0</v>
      </c>
      <c r="K903" s="31">
        <f>'Raw data'!H822</f>
        <v>0</v>
      </c>
      <c r="L903" s="26">
        <f t="shared" si="32"/>
        <v>0</v>
      </c>
    </row>
    <row r="904" spans="2:12">
      <c r="B904" s="4" t="e">
        <f t="shared" si="31"/>
        <v>#N/A</v>
      </c>
      <c r="C904" s="4">
        <f>'Raw data'!E823</f>
        <v>0</v>
      </c>
      <c r="D904" s="29" t="e">
        <f>VLOOKUP(C904,'점포코드 '!A:B,2,0)</f>
        <v>#N/A</v>
      </c>
      <c r="E904" s="30">
        <f>'Raw data'!P823</f>
        <v>0</v>
      </c>
      <c r="F904" s="29" t="e">
        <f>VLOOKUP(E904,'점포코드 '!A:B,2,0)</f>
        <v>#N/A</v>
      </c>
      <c r="G904" s="46">
        <f>'Raw data'!F823</f>
        <v>0</v>
      </c>
      <c r="H904" s="4">
        <f>'Raw data'!G823</f>
        <v>0</v>
      </c>
      <c r="I904" s="29" t="e">
        <f>VLOOKUP(G904,제품명!$C$1:$E$114,2,0)</f>
        <v>#N/A</v>
      </c>
      <c r="J904" s="29">
        <f>'Raw data'!K823</f>
        <v>0</v>
      </c>
      <c r="K904" s="31">
        <f>'Raw data'!H823</f>
        <v>0</v>
      </c>
      <c r="L904" s="26">
        <f t="shared" si="32"/>
        <v>0</v>
      </c>
    </row>
    <row r="905" spans="2:12">
      <c r="B905" s="4" t="e">
        <f t="shared" si="31"/>
        <v>#N/A</v>
      </c>
      <c r="C905" s="4">
        <f>'Raw data'!E824</f>
        <v>0</v>
      </c>
      <c r="D905" s="29" t="e">
        <f>VLOOKUP(C905,'점포코드 '!A:B,2,0)</f>
        <v>#N/A</v>
      </c>
      <c r="E905" s="30">
        <f>'Raw data'!P824</f>
        <v>0</v>
      </c>
      <c r="F905" s="29" t="e">
        <f>VLOOKUP(E905,'점포코드 '!A:B,2,0)</f>
        <v>#N/A</v>
      </c>
      <c r="G905" s="46">
        <f>'Raw data'!F824</f>
        <v>0</v>
      </c>
      <c r="H905" s="4">
        <f>'Raw data'!G824</f>
        <v>0</v>
      </c>
      <c r="I905" s="29" t="e">
        <f>VLOOKUP(G905,제품명!$C$1:$E$114,2,0)</f>
        <v>#N/A</v>
      </c>
      <c r="J905" s="29">
        <f>'Raw data'!K824</f>
        <v>0</v>
      </c>
      <c r="K905" s="31">
        <f>'Raw data'!H824</f>
        <v>0</v>
      </c>
      <c r="L905" s="26">
        <f t="shared" si="32"/>
        <v>0</v>
      </c>
    </row>
    <row r="906" spans="2:12">
      <c r="B906" s="4" t="e">
        <f t="shared" si="31"/>
        <v>#N/A</v>
      </c>
      <c r="C906" s="4">
        <f>'Raw data'!E825</f>
        <v>0</v>
      </c>
      <c r="D906" s="29" t="e">
        <f>VLOOKUP(C906,'점포코드 '!A:B,2,0)</f>
        <v>#N/A</v>
      </c>
      <c r="E906" s="30">
        <f>'Raw data'!P825</f>
        <v>0</v>
      </c>
      <c r="F906" s="29" t="e">
        <f>VLOOKUP(E906,'점포코드 '!A:B,2,0)</f>
        <v>#N/A</v>
      </c>
      <c r="G906" s="46">
        <f>'Raw data'!F825</f>
        <v>0</v>
      </c>
      <c r="H906" s="4">
        <f>'Raw data'!G825</f>
        <v>0</v>
      </c>
      <c r="I906" s="29" t="e">
        <f>VLOOKUP(G906,제품명!$C$1:$E$114,2,0)</f>
        <v>#N/A</v>
      </c>
      <c r="J906" s="29">
        <f>'Raw data'!K825</f>
        <v>0</v>
      </c>
      <c r="K906" s="31">
        <f>'Raw data'!H825</f>
        <v>0</v>
      </c>
      <c r="L906" s="26">
        <f t="shared" si="32"/>
        <v>0</v>
      </c>
    </row>
    <row r="907" spans="2:12">
      <c r="B907" s="4" t="e">
        <f t="shared" si="31"/>
        <v>#N/A</v>
      </c>
      <c r="C907" s="4">
        <f>'Raw data'!E826</f>
        <v>0</v>
      </c>
      <c r="D907" s="29" t="e">
        <f>VLOOKUP(C907,'점포코드 '!A:B,2,0)</f>
        <v>#N/A</v>
      </c>
      <c r="E907" s="30">
        <f>'Raw data'!P826</f>
        <v>0</v>
      </c>
      <c r="F907" s="29" t="e">
        <f>VLOOKUP(E907,'점포코드 '!A:B,2,0)</f>
        <v>#N/A</v>
      </c>
      <c r="G907" s="46">
        <f>'Raw data'!F826</f>
        <v>0</v>
      </c>
      <c r="H907" s="4">
        <f>'Raw data'!G826</f>
        <v>0</v>
      </c>
      <c r="I907" s="29" t="e">
        <f>VLOOKUP(G907,제품명!$C$1:$E$114,2,0)</f>
        <v>#N/A</v>
      </c>
      <c r="J907" s="29">
        <f>'Raw data'!K826</f>
        <v>0</v>
      </c>
      <c r="K907" s="31">
        <f>'Raw data'!H826</f>
        <v>0</v>
      </c>
      <c r="L907" s="26">
        <f t="shared" si="32"/>
        <v>0</v>
      </c>
    </row>
    <row r="908" spans="2:12">
      <c r="B908" s="4" t="e">
        <f t="shared" si="31"/>
        <v>#N/A</v>
      </c>
      <c r="C908" s="4">
        <f>'Raw data'!E827</f>
        <v>0</v>
      </c>
      <c r="D908" s="29" t="e">
        <f>VLOOKUP(C908,'점포코드 '!A:B,2,0)</f>
        <v>#N/A</v>
      </c>
      <c r="E908" s="30">
        <f>'Raw data'!P827</f>
        <v>0</v>
      </c>
      <c r="F908" s="29" t="e">
        <f>VLOOKUP(E908,'점포코드 '!A:B,2,0)</f>
        <v>#N/A</v>
      </c>
      <c r="G908" s="46">
        <f>'Raw data'!F827</f>
        <v>0</v>
      </c>
      <c r="H908" s="4">
        <f>'Raw data'!G827</f>
        <v>0</v>
      </c>
      <c r="I908" s="29" t="e">
        <f>VLOOKUP(G908,제품명!$C$1:$E$114,2,0)</f>
        <v>#N/A</v>
      </c>
      <c r="J908" s="29">
        <f>'Raw data'!K827</f>
        <v>0</v>
      </c>
      <c r="K908" s="31">
        <f>'Raw data'!H827</f>
        <v>0</v>
      </c>
      <c r="L908" s="26">
        <f t="shared" si="32"/>
        <v>0</v>
      </c>
    </row>
    <row r="909" spans="2:12">
      <c r="B909" s="4" t="e">
        <f t="shared" si="31"/>
        <v>#N/A</v>
      </c>
      <c r="C909" s="4">
        <f>'Raw data'!E828</f>
        <v>0</v>
      </c>
      <c r="D909" s="29" t="e">
        <f>VLOOKUP(C909,'점포코드 '!A:B,2,0)</f>
        <v>#N/A</v>
      </c>
      <c r="E909" s="30">
        <f>'Raw data'!P828</f>
        <v>0</v>
      </c>
      <c r="F909" s="29" t="e">
        <f>VLOOKUP(E909,'점포코드 '!A:B,2,0)</f>
        <v>#N/A</v>
      </c>
      <c r="G909" s="46">
        <f>'Raw data'!F828</f>
        <v>0</v>
      </c>
      <c r="H909" s="4">
        <f>'Raw data'!G828</f>
        <v>0</v>
      </c>
      <c r="I909" s="29" t="e">
        <f>VLOOKUP(G909,제품명!$C$1:$E$114,2,0)</f>
        <v>#N/A</v>
      </c>
      <c r="J909" s="29">
        <f>'Raw data'!K828</f>
        <v>0</v>
      </c>
      <c r="K909" s="31">
        <f>'Raw data'!H828</f>
        <v>0</v>
      </c>
      <c r="L909" s="26">
        <f t="shared" si="32"/>
        <v>0</v>
      </c>
    </row>
    <row r="910" spans="2:12">
      <c r="B910" s="4" t="e">
        <f t="shared" si="31"/>
        <v>#N/A</v>
      </c>
      <c r="C910" s="4">
        <f>'Raw data'!E829</f>
        <v>0</v>
      </c>
      <c r="D910" s="29" t="e">
        <f>VLOOKUP(C910,'점포코드 '!A:B,2,0)</f>
        <v>#N/A</v>
      </c>
      <c r="E910" s="30">
        <f>'Raw data'!P829</f>
        <v>0</v>
      </c>
      <c r="F910" s="29" t="e">
        <f>VLOOKUP(E910,'점포코드 '!A:B,2,0)</f>
        <v>#N/A</v>
      </c>
      <c r="G910" s="46">
        <f>'Raw data'!F829</f>
        <v>0</v>
      </c>
      <c r="H910" s="4">
        <f>'Raw data'!G829</f>
        <v>0</v>
      </c>
      <c r="I910" s="29" t="e">
        <f>VLOOKUP(G910,제품명!$C$1:$E$114,2,0)</f>
        <v>#N/A</v>
      </c>
      <c r="J910" s="29">
        <f>'Raw data'!K829</f>
        <v>0</v>
      </c>
      <c r="K910" s="31">
        <f>'Raw data'!H829</f>
        <v>0</v>
      </c>
      <c r="L910" s="26">
        <f t="shared" si="32"/>
        <v>0</v>
      </c>
    </row>
    <row r="911" spans="2:12">
      <c r="B911" s="4" t="e">
        <f t="shared" si="31"/>
        <v>#N/A</v>
      </c>
      <c r="C911" s="4">
        <f>'Raw data'!E830</f>
        <v>0</v>
      </c>
      <c r="D911" s="29" t="e">
        <f>VLOOKUP(C911,'점포코드 '!A:B,2,0)</f>
        <v>#N/A</v>
      </c>
      <c r="E911" s="30">
        <f>'Raw data'!P830</f>
        <v>0</v>
      </c>
      <c r="F911" s="29" t="e">
        <f>VLOOKUP(E911,'점포코드 '!A:B,2,0)</f>
        <v>#N/A</v>
      </c>
      <c r="G911" s="46">
        <f>'Raw data'!F830</f>
        <v>0</v>
      </c>
      <c r="H911" s="4">
        <f>'Raw data'!G830</f>
        <v>0</v>
      </c>
      <c r="I911" s="29" t="e">
        <f>VLOOKUP(G911,제품명!$C$1:$E$114,2,0)</f>
        <v>#N/A</v>
      </c>
      <c r="J911" s="29">
        <f>'Raw data'!K830</f>
        <v>0</v>
      </c>
      <c r="K911" s="31">
        <f>'Raw data'!H830</f>
        <v>0</v>
      </c>
      <c r="L911" s="26">
        <f t="shared" si="32"/>
        <v>0</v>
      </c>
    </row>
    <row r="912" spans="2:12">
      <c r="B912" s="4" t="e">
        <f t="shared" si="31"/>
        <v>#N/A</v>
      </c>
      <c r="C912" s="4">
        <f>'Raw data'!E831</f>
        <v>0</v>
      </c>
      <c r="D912" s="29" t="e">
        <f>VLOOKUP(C912,'점포코드 '!A:B,2,0)</f>
        <v>#N/A</v>
      </c>
      <c r="E912" s="30">
        <f>'Raw data'!P831</f>
        <v>0</v>
      </c>
      <c r="F912" s="29" t="e">
        <f>VLOOKUP(E912,'점포코드 '!A:B,2,0)</f>
        <v>#N/A</v>
      </c>
      <c r="G912" s="46">
        <f>'Raw data'!F831</f>
        <v>0</v>
      </c>
      <c r="H912" s="4">
        <f>'Raw data'!G831</f>
        <v>0</v>
      </c>
      <c r="I912" s="29" t="e">
        <f>VLOOKUP(G912,제품명!$C$1:$E$114,2,0)</f>
        <v>#N/A</v>
      </c>
      <c r="J912" s="29">
        <f>'Raw data'!K831</f>
        <v>0</v>
      </c>
      <c r="K912" s="31">
        <f>'Raw data'!H831</f>
        <v>0</v>
      </c>
      <c r="L912" s="26">
        <f t="shared" si="32"/>
        <v>0</v>
      </c>
    </row>
    <row r="913" spans="2:12">
      <c r="B913" s="4" t="e">
        <f t="shared" si="31"/>
        <v>#N/A</v>
      </c>
      <c r="C913" s="4">
        <f>'Raw data'!E832</f>
        <v>0</v>
      </c>
      <c r="D913" s="29" t="e">
        <f>VLOOKUP(C913,'점포코드 '!A:B,2,0)</f>
        <v>#N/A</v>
      </c>
      <c r="E913" s="30">
        <f>'Raw data'!P832</f>
        <v>0</v>
      </c>
      <c r="F913" s="29" t="e">
        <f>VLOOKUP(E913,'점포코드 '!A:B,2,0)</f>
        <v>#N/A</v>
      </c>
      <c r="G913" s="46">
        <f>'Raw data'!F832</f>
        <v>0</v>
      </c>
      <c r="H913" s="4">
        <f>'Raw data'!G832</f>
        <v>0</v>
      </c>
      <c r="I913" s="29" t="e">
        <f>VLOOKUP(G913,제품명!$C$1:$E$114,2,0)</f>
        <v>#N/A</v>
      </c>
      <c r="J913" s="29">
        <f>'Raw data'!K832</f>
        <v>0</v>
      </c>
      <c r="K913" s="31">
        <f>'Raw data'!H832</f>
        <v>0</v>
      </c>
      <c r="L913" s="26">
        <f t="shared" si="32"/>
        <v>0</v>
      </c>
    </row>
    <row r="914" spans="2:12">
      <c r="B914" s="4" t="e">
        <f t="shared" si="31"/>
        <v>#N/A</v>
      </c>
      <c r="C914" s="4">
        <f>'Raw data'!E833</f>
        <v>0</v>
      </c>
      <c r="D914" s="29" t="e">
        <f>VLOOKUP(C914,'점포코드 '!A:B,2,0)</f>
        <v>#N/A</v>
      </c>
      <c r="E914" s="30">
        <f>'Raw data'!P833</f>
        <v>0</v>
      </c>
      <c r="F914" s="29" t="e">
        <f>VLOOKUP(E914,'점포코드 '!A:B,2,0)</f>
        <v>#N/A</v>
      </c>
      <c r="G914" s="46">
        <f>'Raw data'!F833</f>
        <v>0</v>
      </c>
      <c r="H914" s="4">
        <f>'Raw data'!G833</f>
        <v>0</v>
      </c>
      <c r="I914" s="29" t="e">
        <f>VLOOKUP(G914,제품명!$C$1:$E$114,2,0)</f>
        <v>#N/A</v>
      </c>
      <c r="J914" s="29">
        <f>'Raw data'!K833</f>
        <v>0</v>
      </c>
      <c r="K914" s="31">
        <f>'Raw data'!H833</f>
        <v>0</v>
      </c>
      <c r="L914" s="26">
        <f t="shared" si="32"/>
        <v>0</v>
      </c>
    </row>
    <row r="915" spans="2:12">
      <c r="B915" s="4" t="e">
        <f t="shared" si="31"/>
        <v>#N/A</v>
      </c>
      <c r="C915" s="4">
        <f>'Raw data'!E834</f>
        <v>0</v>
      </c>
      <c r="D915" s="29" t="e">
        <f>VLOOKUP(C915,'점포코드 '!A:B,2,0)</f>
        <v>#N/A</v>
      </c>
      <c r="E915" s="30">
        <f>'Raw data'!P834</f>
        <v>0</v>
      </c>
      <c r="F915" s="29" t="e">
        <f>VLOOKUP(E915,'점포코드 '!A:B,2,0)</f>
        <v>#N/A</v>
      </c>
      <c r="G915" s="46">
        <f>'Raw data'!F834</f>
        <v>0</v>
      </c>
      <c r="H915" s="4">
        <f>'Raw data'!G834</f>
        <v>0</v>
      </c>
      <c r="I915" s="29" t="e">
        <f>VLOOKUP(G915,제품명!$C$1:$E$114,2,0)</f>
        <v>#N/A</v>
      </c>
      <c r="J915" s="29">
        <f>'Raw data'!K834</f>
        <v>0</v>
      </c>
      <c r="K915" s="31">
        <f>'Raw data'!H834</f>
        <v>0</v>
      </c>
      <c r="L915" s="26">
        <f t="shared" si="32"/>
        <v>0</v>
      </c>
    </row>
    <row r="916" spans="2:12">
      <c r="B916" s="4" t="e">
        <f t="shared" si="31"/>
        <v>#N/A</v>
      </c>
      <c r="C916" s="4">
        <f>'Raw data'!E835</f>
        <v>0</v>
      </c>
      <c r="D916" s="29" t="e">
        <f>VLOOKUP(C916,'점포코드 '!A:B,2,0)</f>
        <v>#N/A</v>
      </c>
      <c r="E916" s="30">
        <f>'Raw data'!P835</f>
        <v>0</v>
      </c>
      <c r="F916" s="29" t="e">
        <f>VLOOKUP(E916,'점포코드 '!A:B,2,0)</f>
        <v>#N/A</v>
      </c>
      <c r="G916" s="46">
        <f>'Raw data'!F835</f>
        <v>0</v>
      </c>
      <c r="H916" s="4">
        <f>'Raw data'!G835</f>
        <v>0</v>
      </c>
      <c r="I916" s="29" t="e">
        <f>VLOOKUP(G916,제품명!$C$1:$E$114,2,0)</f>
        <v>#N/A</v>
      </c>
      <c r="J916" s="29">
        <f>'Raw data'!K835</f>
        <v>0</v>
      </c>
      <c r="K916" s="31">
        <f>'Raw data'!H835</f>
        <v>0</v>
      </c>
      <c r="L916" s="26">
        <f t="shared" si="32"/>
        <v>0</v>
      </c>
    </row>
    <row r="917" spans="2:12">
      <c r="B917" s="4" t="e">
        <f t="shared" si="31"/>
        <v>#N/A</v>
      </c>
      <c r="C917" s="4">
        <f>'Raw data'!E836</f>
        <v>0</v>
      </c>
      <c r="D917" s="29" t="e">
        <f>VLOOKUP(C917,'점포코드 '!A:B,2,0)</f>
        <v>#N/A</v>
      </c>
      <c r="E917" s="30">
        <f>'Raw data'!P836</f>
        <v>0</v>
      </c>
      <c r="F917" s="29" t="e">
        <f>VLOOKUP(E917,'점포코드 '!A:B,2,0)</f>
        <v>#N/A</v>
      </c>
      <c r="G917" s="46">
        <f>'Raw data'!F836</f>
        <v>0</v>
      </c>
      <c r="H917" s="4">
        <f>'Raw data'!G836</f>
        <v>0</v>
      </c>
      <c r="I917" s="29" t="e">
        <f>VLOOKUP(G917,제품명!$C$1:$E$114,2,0)</f>
        <v>#N/A</v>
      </c>
      <c r="J917" s="29">
        <f>'Raw data'!K836</f>
        <v>0</v>
      </c>
      <c r="K917" s="31">
        <f>'Raw data'!H836</f>
        <v>0</v>
      </c>
      <c r="L917" s="26">
        <f t="shared" si="32"/>
        <v>0</v>
      </c>
    </row>
    <row r="918" spans="2:12">
      <c r="B918" s="4" t="e">
        <f t="shared" si="31"/>
        <v>#N/A</v>
      </c>
      <c r="C918" s="4">
        <f>'Raw data'!E837</f>
        <v>0</v>
      </c>
      <c r="D918" s="29" t="e">
        <f>VLOOKUP(C918,'점포코드 '!A:B,2,0)</f>
        <v>#N/A</v>
      </c>
      <c r="E918" s="30">
        <f>'Raw data'!P837</f>
        <v>0</v>
      </c>
      <c r="F918" s="29" t="e">
        <f>VLOOKUP(E918,'점포코드 '!A:B,2,0)</f>
        <v>#N/A</v>
      </c>
      <c r="G918" s="46">
        <f>'Raw data'!F837</f>
        <v>0</v>
      </c>
      <c r="H918" s="4">
        <f>'Raw data'!G837</f>
        <v>0</v>
      </c>
      <c r="I918" s="29" t="e">
        <f>VLOOKUP(G918,제품명!$C$1:$E$114,2,0)</f>
        <v>#N/A</v>
      </c>
      <c r="J918" s="29">
        <f>'Raw data'!K837</f>
        <v>0</v>
      </c>
      <c r="K918" s="31">
        <f>'Raw data'!H837</f>
        <v>0</v>
      </c>
      <c r="L918" s="26">
        <f t="shared" si="32"/>
        <v>0</v>
      </c>
    </row>
    <row r="919" spans="2:12">
      <c r="B919" s="4" t="e">
        <f t="shared" si="31"/>
        <v>#N/A</v>
      </c>
      <c r="C919" s="4">
        <f>'Raw data'!E838</f>
        <v>0</v>
      </c>
      <c r="D919" s="29" t="e">
        <f>VLOOKUP(C919,'점포코드 '!A:B,2,0)</f>
        <v>#N/A</v>
      </c>
      <c r="E919" s="30">
        <f>'Raw data'!P838</f>
        <v>0</v>
      </c>
      <c r="F919" s="29" t="e">
        <f>VLOOKUP(E919,'점포코드 '!A:B,2,0)</f>
        <v>#N/A</v>
      </c>
      <c r="G919" s="46">
        <f>'Raw data'!F838</f>
        <v>0</v>
      </c>
      <c r="H919" s="4">
        <f>'Raw data'!G838</f>
        <v>0</v>
      </c>
      <c r="I919" s="29" t="e">
        <f>VLOOKUP(G919,제품명!$C$1:$E$114,2,0)</f>
        <v>#N/A</v>
      </c>
      <c r="J919" s="29">
        <f>'Raw data'!K838</f>
        <v>0</v>
      </c>
      <c r="K919" s="31">
        <f>'Raw data'!H838</f>
        <v>0</v>
      </c>
      <c r="L919" s="26">
        <f t="shared" si="32"/>
        <v>0</v>
      </c>
    </row>
    <row r="920" spans="2:12">
      <c r="B920" s="4" t="e">
        <f t="shared" si="31"/>
        <v>#N/A</v>
      </c>
      <c r="C920" s="4">
        <f>'Raw data'!E839</f>
        <v>0</v>
      </c>
      <c r="D920" s="29" t="e">
        <f>VLOOKUP(C920,'점포코드 '!A:B,2,0)</f>
        <v>#N/A</v>
      </c>
      <c r="E920" s="30">
        <f>'Raw data'!P839</f>
        <v>0</v>
      </c>
      <c r="F920" s="29" t="e">
        <f>VLOOKUP(E920,'점포코드 '!A:B,2,0)</f>
        <v>#N/A</v>
      </c>
      <c r="G920" s="46">
        <f>'Raw data'!F839</f>
        <v>0</v>
      </c>
      <c r="H920" s="4">
        <f>'Raw data'!G839</f>
        <v>0</v>
      </c>
      <c r="I920" s="29" t="e">
        <f>VLOOKUP(G920,제품명!$C$1:$E$114,2,0)</f>
        <v>#N/A</v>
      </c>
      <c r="J920" s="29">
        <f>'Raw data'!K839</f>
        <v>0</v>
      </c>
      <c r="K920" s="31">
        <f>'Raw data'!H839</f>
        <v>0</v>
      </c>
      <c r="L920" s="26">
        <f t="shared" si="32"/>
        <v>0</v>
      </c>
    </row>
    <row r="921" spans="2:12">
      <c r="B921" s="4" t="e">
        <f t="shared" si="31"/>
        <v>#N/A</v>
      </c>
      <c r="C921" s="4">
        <f>'Raw data'!E840</f>
        <v>0</v>
      </c>
      <c r="D921" s="29" t="e">
        <f>VLOOKUP(C921,'점포코드 '!A:B,2,0)</f>
        <v>#N/A</v>
      </c>
      <c r="E921" s="30">
        <f>'Raw data'!P840</f>
        <v>0</v>
      </c>
      <c r="F921" s="29" t="e">
        <f>VLOOKUP(E921,'점포코드 '!A:B,2,0)</f>
        <v>#N/A</v>
      </c>
      <c r="G921" s="46">
        <f>'Raw data'!F840</f>
        <v>0</v>
      </c>
      <c r="H921" s="4">
        <f>'Raw data'!G840</f>
        <v>0</v>
      </c>
      <c r="I921" s="29" t="e">
        <f>VLOOKUP(G921,제품명!$C$1:$E$114,2,0)</f>
        <v>#N/A</v>
      </c>
      <c r="J921" s="29">
        <f>'Raw data'!K840</f>
        <v>0</v>
      </c>
      <c r="K921" s="31">
        <f>'Raw data'!H840</f>
        <v>0</v>
      </c>
      <c r="L921" s="26">
        <f t="shared" si="32"/>
        <v>0</v>
      </c>
    </row>
    <row r="922" spans="2:12">
      <c r="B922" s="4" t="e">
        <f t="shared" si="31"/>
        <v>#N/A</v>
      </c>
      <c r="C922" s="4">
        <f>'Raw data'!E841</f>
        <v>0</v>
      </c>
      <c r="D922" s="29" t="e">
        <f>VLOOKUP(C922,'점포코드 '!A:B,2,0)</f>
        <v>#N/A</v>
      </c>
      <c r="E922" s="30">
        <f>'Raw data'!P841</f>
        <v>0</v>
      </c>
      <c r="F922" s="29" t="e">
        <f>VLOOKUP(E922,'점포코드 '!A:B,2,0)</f>
        <v>#N/A</v>
      </c>
      <c r="G922" s="46">
        <f>'Raw data'!F841</f>
        <v>0</v>
      </c>
      <c r="H922" s="4">
        <f>'Raw data'!G841</f>
        <v>0</v>
      </c>
      <c r="I922" s="29" t="e">
        <f>VLOOKUP(G922,제품명!$C$1:$E$114,2,0)</f>
        <v>#N/A</v>
      </c>
      <c r="J922" s="29">
        <f>'Raw data'!K841</f>
        <v>0</v>
      </c>
      <c r="K922" s="31">
        <f>'Raw data'!H841</f>
        <v>0</v>
      </c>
      <c r="L922" s="26">
        <f t="shared" si="32"/>
        <v>0</v>
      </c>
    </row>
    <row r="923" spans="2:12">
      <c r="B923" s="4" t="e">
        <f t="shared" si="31"/>
        <v>#N/A</v>
      </c>
      <c r="C923" s="4">
        <f>'Raw data'!E842</f>
        <v>0</v>
      </c>
      <c r="D923" s="29" t="e">
        <f>VLOOKUP(C923,'점포코드 '!A:B,2,0)</f>
        <v>#N/A</v>
      </c>
      <c r="E923" s="30">
        <f>'Raw data'!P842</f>
        <v>0</v>
      </c>
      <c r="F923" s="29" t="e">
        <f>VLOOKUP(E923,'점포코드 '!A:B,2,0)</f>
        <v>#N/A</v>
      </c>
      <c r="G923" s="46">
        <f>'Raw data'!F842</f>
        <v>0</v>
      </c>
      <c r="H923" s="4">
        <f>'Raw data'!G842</f>
        <v>0</v>
      </c>
      <c r="I923" s="29" t="e">
        <f>VLOOKUP(G923,제품명!$C$1:$E$114,2,0)</f>
        <v>#N/A</v>
      </c>
      <c r="J923" s="29">
        <f>'Raw data'!K842</f>
        <v>0</v>
      </c>
      <c r="K923" s="31">
        <f>'Raw data'!H842</f>
        <v>0</v>
      </c>
      <c r="L923" s="26">
        <f t="shared" si="32"/>
        <v>0</v>
      </c>
    </row>
    <row r="924" spans="2:12">
      <c r="B924" s="4" t="e">
        <f t="shared" si="31"/>
        <v>#N/A</v>
      </c>
      <c r="C924" s="4">
        <f>'Raw data'!E843</f>
        <v>0</v>
      </c>
      <c r="D924" s="29" t="e">
        <f>VLOOKUP(C924,'점포코드 '!A:B,2,0)</f>
        <v>#N/A</v>
      </c>
      <c r="E924" s="30">
        <f>'Raw data'!P843</f>
        <v>0</v>
      </c>
      <c r="F924" s="29" t="e">
        <f>VLOOKUP(E924,'점포코드 '!A:B,2,0)</f>
        <v>#N/A</v>
      </c>
      <c r="G924" s="46">
        <f>'Raw data'!F843</f>
        <v>0</v>
      </c>
      <c r="H924" s="4">
        <f>'Raw data'!G843</f>
        <v>0</v>
      </c>
      <c r="I924" s="29" t="e">
        <f>VLOOKUP(G924,제품명!$C$1:$E$114,2,0)</f>
        <v>#N/A</v>
      </c>
      <c r="J924" s="29">
        <f>'Raw data'!K843</f>
        <v>0</v>
      </c>
      <c r="K924" s="31">
        <f>'Raw data'!H843</f>
        <v>0</v>
      </c>
      <c r="L924" s="26">
        <f t="shared" si="32"/>
        <v>0</v>
      </c>
    </row>
    <row r="925" spans="2:12">
      <c r="B925" s="4" t="e">
        <f t="shared" si="31"/>
        <v>#N/A</v>
      </c>
      <c r="C925" s="4">
        <f>'Raw data'!E844</f>
        <v>0</v>
      </c>
      <c r="D925" s="29" t="e">
        <f>VLOOKUP(C925,'점포코드 '!A:B,2,0)</f>
        <v>#N/A</v>
      </c>
      <c r="E925" s="30">
        <f>'Raw data'!P844</f>
        <v>0</v>
      </c>
      <c r="F925" s="29" t="e">
        <f>VLOOKUP(E925,'점포코드 '!A:B,2,0)</f>
        <v>#N/A</v>
      </c>
      <c r="G925" s="46">
        <f>'Raw data'!F844</f>
        <v>0</v>
      </c>
      <c r="H925" s="4">
        <f>'Raw data'!G844</f>
        <v>0</v>
      </c>
      <c r="I925" s="29" t="e">
        <f>VLOOKUP(G925,제품명!$C$1:$E$114,2,0)</f>
        <v>#N/A</v>
      </c>
      <c r="J925" s="29">
        <f>'Raw data'!K844</f>
        <v>0</v>
      </c>
      <c r="K925" s="31">
        <f>'Raw data'!H844</f>
        <v>0</v>
      </c>
      <c r="L925" s="26">
        <f t="shared" si="32"/>
        <v>0</v>
      </c>
    </row>
    <row r="926" spans="2:12">
      <c r="B926" s="4" t="e">
        <f t="shared" si="31"/>
        <v>#N/A</v>
      </c>
      <c r="C926" s="4">
        <f>'Raw data'!E845</f>
        <v>0</v>
      </c>
      <c r="D926" s="29" t="e">
        <f>VLOOKUP(C926,'점포코드 '!A:B,2,0)</f>
        <v>#N/A</v>
      </c>
      <c r="E926" s="30">
        <f>'Raw data'!P845</f>
        <v>0</v>
      </c>
      <c r="F926" s="29" t="e">
        <f>VLOOKUP(E926,'점포코드 '!A:B,2,0)</f>
        <v>#N/A</v>
      </c>
      <c r="G926" s="46">
        <f>'Raw data'!F845</f>
        <v>0</v>
      </c>
      <c r="H926" s="4">
        <f>'Raw data'!G845</f>
        <v>0</v>
      </c>
      <c r="I926" s="29" t="e">
        <f>VLOOKUP(G926,제품명!$C$1:$E$114,2,0)</f>
        <v>#N/A</v>
      </c>
      <c r="J926" s="29">
        <f>'Raw data'!K845</f>
        <v>0</v>
      </c>
      <c r="K926" s="31">
        <f>'Raw data'!H845</f>
        <v>0</v>
      </c>
      <c r="L926" s="26">
        <f t="shared" si="32"/>
        <v>0</v>
      </c>
    </row>
    <row r="927" spans="2:12">
      <c r="B927" s="4" t="e">
        <f t="shared" si="31"/>
        <v>#N/A</v>
      </c>
      <c r="C927" s="4">
        <f>'Raw data'!E846</f>
        <v>0</v>
      </c>
      <c r="D927" s="29" t="e">
        <f>VLOOKUP(C927,'점포코드 '!A:B,2,0)</f>
        <v>#N/A</v>
      </c>
      <c r="E927" s="30">
        <f>'Raw data'!P846</f>
        <v>0</v>
      </c>
      <c r="F927" s="29" t="e">
        <f>VLOOKUP(E927,'점포코드 '!A:B,2,0)</f>
        <v>#N/A</v>
      </c>
      <c r="G927" s="46">
        <f>'Raw data'!F846</f>
        <v>0</v>
      </c>
      <c r="H927" s="4">
        <f>'Raw data'!G846</f>
        <v>0</v>
      </c>
      <c r="I927" s="29" t="e">
        <f>VLOOKUP(G927,제품명!$C$1:$E$114,2,0)</f>
        <v>#N/A</v>
      </c>
      <c r="J927" s="29">
        <f>'Raw data'!K846</f>
        <v>0</v>
      </c>
      <c r="K927" s="31">
        <f>'Raw data'!H846</f>
        <v>0</v>
      </c>
      <c r="L927" s="26">
        <f t="shared" si="32"/>
        <v>0</v>
      </c>
    </row>
    <row r="928" spans="2:12">
      <c r="B928" s="4" t="e">
        <f t="shared" si="31"/>
        <v>#N/A</v>
      </c>
      <c r="C928" s="4">
        <f>'Raw data'!E847</f>
        <v>0</v>
      </c>
      <c r="D928" s="29" t="e">
        <f>VLOOKUP(C928,'점포코드 '!A:B,2,0)</f>
        <v>#N/A</v>
      </c>
      <c r="E928" s="30">
        <f>'Raw data'!P847</f>
        <v>0</v>
      </c>
      <c r="F928" s="29" t="e">
        <f>VLOOKUP(E928,'점포코드 '!A:B,2,0)</f>
        <v>#N/A</v>
      </c>
      <c r="G928" s="46">
        <f>'Raw data'!F847</f>
        <v>0</v>
      </c>
      <c r="H928" s="4">
        <f>'Raw data'!G847</f>
        <v>0</v>
      </c>
      <c r="I928" s="29" t="e">
        <f>VLOOKUP(G928,제품명!$C$1:$E$114,2,0)</f>
        <v>#N/A</v>
      </c>
      <c r="J928" s="29">
        <f>'Raw data'!K847</f>
        <v>0</v>
      </c>
      <c r="K928" s="31">
        <f>'Raw data'!H847</f>
        <v>0</v>
      </c>
      <c r="L928" s="26">
        <f t="shared" si="32"/>
        <v>0</v>
      </c>
    </row>
    <row r="929" spans="2:12">
      <c r="B929" s="4" t="e">
        <f t="shared" si="31"/>
        <v>#N/A</v>
      </c>
      <c r="C929" s="4">
        <f>'Raw data'!E848</f>
        <v>0</v>
      </c>
      <c r="D929" s="29" t="e">
        <f>VLOOKUP(C929,'점포코드 '!A:B,2,0)</f>
        <v>#N/A</v>
      </c>
      <c r="E929" s="30">
        <f>'Raw data'!P848</f>
        <v>0</v>
      </c>
      <c r="F929" s="29" t="e">
        <f>VLOOKUP(E929,'점포코드 '!A:B,2,0)</f>
        <v>#N/A</v>
      </c>
      <c r="G929" s="46">
        <f>'Raw data'!F848</f>
        <v>0</v>
      </c>
      <c r="H929" s="4">
        <f>'Raw data'!G848</f>
        <v>0</v>
      </c>
      <c r="I929" s="29" t="e">
        <f>VLOOKUP(G929,제품명!$C$1:$E$114,2,0)</f>
        <v>#N/A</v>
      </c>
      <c r="J929" s="29">
        <f>'Raw data'!K848</f>
        <v>0</v>
      </c>
      <c r="K929" s="31">
        <f>'Raw data'!H848</f>
        <v>0</v>
      </c>
      <c r="L929" s="26">
        <f t="shared" si="32"/>
        <v>0</v>
      </c>
    </row>
    <row r="930" spans="2:12">
      <c r="B930" s="4" t="e">
        <f t="shared" si="31"/>
        <v>#N/A</v>
      </c>
      <c r="C930" s="4">
        <f>'Raw data'!E849</f>
        <v>0</v>
      </c>
      <c r="D930" s="29" t="e">
        <f>VLOOKUP(C930,'점포코드 '!A:B,2,0)</f>
        <v>#N/A</v>
      </c>
      <c r="E930" s="30">
        <f>'Raw data'!P849</f>
        <v>0</v>
      </c>
      <c r="F930" s="29" t="e">
        <f>VLOOKUP(E930,'점포코드 '!A:B,2,0)</f>
        <v>#N/A</v>
      </c>
      <c r="G930" s="46">
        <f>'Raw data'!F849</f>
        <v>0</v>
      </c>
      <c r="H930" s="4">
        <f>'Raw data'!G849</f>
        <v>0</v>
      </c>
      <c r="I930" s="29" t="e">
        <f>VLOOKUP(G930,제품명!$C$1:$E$114,2,0)</f>
        <v>#N/A</v>
      </c>
      <c r="J930" s="29">
        <f>'Raw data'!K849</f>
        <v>0</v>
      </c>
      <c r="K930" s="31">
        <f>'Raw data'!H849</f>
        <v>0</v>
      </c>
      <c r="L930" s="26">
        <f t="shared" si="32"/>
        <v>0</v>
      </c>
    </row>
    <row r="931" spans="2:12">
      <c r="B931" s="4" t="e">
        <f t="shared" si="31"/>
        <v>#N/A</v>
      </c>
      <c r="C931" s="4">
        <f>'Raw data'!E850</f>
        <v>0</v>
      </c>
      <c r="D931" s="29" t="e">
        <f>VLOOKUP(C931,'점포코드 '!A:B,2,0)</f>
        <v>#N/A</v>
      </c>
      <c r="E931" s="30">
        <f>'Raw data'!P850</f>
        <v>0</v>
      </c>
      <c r="F931" s="29" t="e">
        <f>VLOOKUP(E931,'점포코드 '!A:B,2,0)</f>
        <v>#N/A</v>
      </c>
      <c r="G931" s="46">
        <f>'Raw data'!F850</f>
        <v>0</v>
      </c>
      <c r="H931" s="4">
        <f>'Raw data'!G850</f>
        <v>0</v>
      </c>
      <c r="I931" s="29" t="e">
        <f>VLOOKUP(G931,제품명!$C$1:$E$114,2,0)</f>
        <v>#N/A</v>
      </c>
      <c r="J931" s="29">
        <f>'Raw data'!K850</f>
        <v>0</v>
      </c>
      <c r="K931" s="31">
        <f>'Raw data'!H850</f>
        <v>0</v>
      </c>
      <c r="L931" s="26">
        <f t="shared" si="32"/>
        <v>0</v>
      </c>
    </row>
    <row r="932" spans="2:12">
      <c r="B932" s="4" t="e">
        <f t="shared" si="31"/>
        <v>#N/A</v>
      </c>
      <c r="C932" s="4">
        <f>'Raw data'!E851</f>
        <v>0</v>
      </c>
      <c r="D932" s="29" t="e">
        <f>VLOOKUP(C932,'점포코드 '!A:B,2,0)</f>
        <v>#N/A</v>
      </c>
      <c r="E932" s="30">
        <f>'Raw data'!P851</f>
        <v>0</v>
      </c>
      <c r="F932" s="29" t="e">
        <f>VLOOKUP(E932,'점포코드 '!A:B,2,0)</f>
        <v>#N/A</v>
      </c>
      <c r="G932" s="46">
        <f>'Raw data'!F851</f>
        <v>0</v>
      </c>
      <c r="H932" s="4">
        <f>'Raw data'!G851</f>
        <v>0</v>
      </c>
      <c r="I932" s="29" t="e">
        <f>VLOOKUP(G932,제품명!$C$1:$E$114,2,0)</f>
        <v>#N/A</v>
      </c>
      <c r="J932" s="29">
        <f>'Raw data'!K851</f>
        <v>0</v>
      </c>
      <c r="K932" s="31">
        <f>'Raw data'!H851</f>
        <v>0</v>
      </c>
      <c r="L932" s="26">
        <f t="shared" si="32"/>
        <v>0</v>
      </c>
    </row>
    <row r="933" spans="2:12">
      <c r="B933" s="4" t="e">
        <f t="shared" si="31"/>
        <v>#N/A</v>
      </c>
      <c r="C933" s="4">
        <f>'Raw data'!E852</f>
        <v>0</v>
      </c>
      <c r="D933" s="29" t="e">
        <f>VLOOKUP(C933,'점포코드 '!A:B,2,0)</f>
        <v>#N/A</v>
      </c>
      <c r="E933" s="30">
        <f>'Raw data'!P852</f>
        <v>0</v>
      </c>
      <c r="F933" s="29" t="e">
        <f>VLOOKUP(E933,'점포코드 '!A:B,2,0)</f>
        <v>#N/A</v>
      </c>
      <c r="G933" s="46">
        <f>'Raw data'!F852</f>
        <v>0</v>
      </c>
      <c r="H933" s="4">
        <f>'Raw data'!G852</f>
        <v>0</v>
      </c>
      <c r="I933" s="29" t="e">
        <f>VLOOKUP(G933,제품명!$C$1:$E$114,2,0)</f>
        <v>#N/A</v>
      </c>
      <c r="J933" s="29">
        <f>'Raw data'!K852</f>
        <v>0</v>
      </c>
      <c r="K933" s="31">
        <f>'Raw data'!H852</f>
        <v>0</v>
      </c>
      <c r="L933" s="26">
        <f t="shared" si="32"/>
        <v>0</v>
      </c>
    </row>
    <row r="934" spans="2:12">
      <c r="B934" s="4" t="e">
        <f t="shared" si="31"/>
        <v>#N/A</v>
      </c>
      <c r="C934" s="4">
        <f>'Raw data'!E853</f>
        <v>0</v>
      </c>
      <c r="D934" s="29" t="e">
        <f>VLOOKUP(C934,'점포코드 '!A:B,2,0)</f>
        <v>#N/A</v>
      </c>
      <c r="E934" s="30">
        <f>'Raw data'!P853</f>
        <v>0</v>
      </c>
      <c r="F934" s="29" t="e">
        <f>VLOOKUP(E934,'점포코드 '!A:B,2,0)</f>
        <v>#N/A</v>
      </c>
      <c r="G934" s="46">
        <f>'Raw data'!F853</f>
        <v>0</v>
      </c>
      <c r="H934" s="4">
        <f>'Raw data'!G853</f>
        <v>0</v>
      </c>
      <c r="I934" s="29" t="e">
        <f>VLOOKUP(G934,제품명!$C$1:$E$114,2,0)</f>
        <v>#N/A</v>
      </c>
      <c r="J934" s="29">
        <f>'Raw data'!K853</f>
        <v>0</v>
      </c>
      <c r="K934" s="31">
        <f>'Raw data'!H853</f>
        <v>0</v>
      </c>
      <c r="L934" s="26">
        <f t="shared" si="32"/>
        <v>0</v>
      </c>
    </row>
    <row r="935" spans="2:12">
      <c r="B935" s="4" t="e">
        <f t="shared" si="31"/>
        <v>#N/A</v>
      </c>
      <c r="C935" s="4">
        <f>'Raw data'!E854</f>
        <v>0</v>
      </c>
      <c r="D935" s="29" t="e">
        <f>VLOOKUP(C935,'점포코드 '!A:B,2,0)</f>
        <v>#N/A</v>
      </c>
      <c r="E935" s="30">
        <f>'Raw data'!P854</f>
        <v>0</v>
      </c>
      <c r="F935" s="29" t="e">
        <f>VLOOKUP(E935,'점포코드 '!A:B,2,0)</f>
        <v>#N/A</v>
      </c>
      <c r="G935" s="46">
        <f>'Raw data'!F854</f>
        <v>0</v>
      </c>
      <c r="H935" s="4">
        <f>'Raw data'!G854</f>
        <v>0</v>
      </c>
      <c r="I935" s="29" t="e">
        <f>VLOOKUP(G935,제품명!$C$1:$E$114,2,0)</f>
        <v>#N/A</v>
      </c>
      <c r="J935" s="29">
        <f>'Raw data'!K854</f>
        <v>0</v>
      </c>
      <c r="K935" s="31">
        <f>'Raw data'!H854</f>
        <v>0</v>
      </c>
      <c r="L935" s="26">
        <f t="shared" si="32"/>
        <v>0</v>
      </c>
    </row>
    <row r="936" spans="2:12">
      <c r="B936" s="4" t="e">
        <f t="shared" si="31"/>
        <v>#N/A</v>
      </c>
      <c r="C936" s="4">
        <f>'Raw data'!E855</f>
        <v>0</v>
      </c>
      <c r="D936" s="29" t="e">
        <f>VLOOKUP(C936,'점포코드 '!A:B,2,0)</f>
        <v>#N/A</v>
      </c>
      <c r="E936" s="30">
        <f>'Raw data'!P855</f>
        <v>0</v>
      </c>
      <c r="F936" s="29" t="e">
        <f>VLOOKUP(E936,'점포코드 '!A:B,2,0)</f>
        <v>#N/A</v>
      </c>
      <c r="G936" s="46">
        <f>'Raw data'!F855</f>
        <v>0</v>
      </c>
      <c r="H936" s="4">
        <f>'Raw data'!G855</f>
        <v>0</v>
      </c>
      <c r="I936" s="29" t="e">
        <f>VLOOKUP(G936,제품명!$C$1:$E$114,2,0)</f>
        <v>#N/A</v>
      </c>
      <c r="J936" s="29">
        <f>'Raw data'!K855</f>
        <v>0</v>
      </c>
      <c r="K936" s="31">
        <f>'Raw data'!H855</f>
        <v>0</v>
      </c>
      <c r="L936" s="26">
        <f t="shared" si="32"/>
        <v>0</v>
      </c>
    </row>
    <row r="937" spans="2:12">
      <c r="B937" s="4" t="e">
        <f t="shared" si="31"/>
        <v>#N/A</v>
      </c>
      <c r="C937" s="4">
        <f>'Raw data'!E856</f>
        <v>0</v>
      </c>
      <c r="D937" s="29" t="e">
        <f>VLOOKUP(C937,'점포코드 '!A:B,2,0)</f>
        <v>#N/A</v>
      </c>
      <c r="E937" s="30">
        <f>'Raw data'!P856</f>
        <v>0</v>
      </c>
      <c r="F937" s="29" t="e">
        <f>VLOOKUP(E937,'점포코드 '!A:B,2,0)</f>
        <v>#N/A</v>
      </c>
      <c r="G937" s="46">
        <f>'Raw data'!F856</f>
        <v>0</v>
      </c>
      <c r="H937" s="4">
        <f>'Raw data'!G856</f>
        <v>0</v>
      </c>
      <c r="I937" s="29" t="e">
        <f>VLOOKUP(G937,제품명!$C$1:$E$114,2,0)</f>
        <v>#N/A</v>
      </c>
      <c r="J937" s="29">
        <f>'Raw data'!K856</f>
        <v>0</v>
      </c>
      <c r="K937" s="31">
        <f>'Raw data'!H856</f>
        <v>0</v>
      </c>
      <c r="L937" s="26">
        <f t="shared" si="32"/>
        <v>0</v>
      </c>
    </row>
    <row r="938" spans="2:12">
      <c r="B938" s="4" t="e">
        <f t="shared" si="31"/>
        <v>#N/A</v>
      </c>
      <c r="C938" s="4">
        <f>'Raw data'!E857</f>
        <v>0</v>
      </c>
      <c r="D938" s="29" t="e">
        <f>VLOOKUP(C938,'점포코드 '!A:B,2,0)</f>
        <v>#N/A</v>
      </c>
      <c r="E938" s="30">
        <f>'Raw data'!P857</f>
        <v>0</v>
      </c>
      <c r="F938" s="29" t="e">
        <f>VLOOKUP(E938,'점포코드 '!A:B,2,0)</f>
        <v>#N/A</v>
      </c>
      <c r="G938" s="46">
        <f>'Raw data'!F857</f>
        <v>0</v>
      </c>
      <c r="H938" s="4">
        <f>'Raw data'!G857</f>
        <v>0</v>
      </c>
      <c r="I938" s="29" t="e">
        <f>VLOOKUP(G938,제품명!$C$1:$E$114,2,0)</f>
        <v>#N/A</v>
      </c>
      <c r="J938" s="29">
        <f>'Raw data'!K857</f>
        <v>0</v>
      </c>
      <c r="K938" s="31">
        <f>'Raw data'!H857</f>
        <v>0</v>
      </c>
      <c r="L938" s="26">
        <f t="shared" si="32"/>
        <v>0</v>
      </c>
    </row>
    <row r="939" spans="2:12">
      <c r="B939" s="4" t="e">
        <f t="shared" si="31"/>
        <v>#N/A</v>
      </c>
      <c r="C939" s="4">
        <f>'Raw data'!E858</f>
        <v>0</v>
      </c>
      <c r="D939" s="29" t="e">
        <f>VLOOKUP(C939,'점포코드 '!A:B,2,0)</f>
        <v>#N/A</v>
      </c>
      <c r="E939" s="30">
        <f>'Raw data'!P858</f>
        <v>0</v>
      </c>
      <c r="F939" s="29" t="e">
        <f>VLOOKUP(E939,'점포코드 '!A:B,2,0)</f>
        <v>#N/A</v>
      </c>
      <c r="G939" s="46">
        <f>'Raw data'!F858</f>
        <v>0</v>
      </c>
      <c r="H939" s="4">
        <f>'Raw data'!G858</f>
        <v>0</v>
      </c>
      <c r="I939" s="29" t="e">
        <f>VLOOKUP(G939,제품명!$C$1:$E$114,2,0)</f>
        <v>#N/A</v>
      </c>
      <c r="J939" s="29">
        <f>'Raw data'!K858</f>
        <v>0</v>
      </c>
      <c r="K939" s="31">
        <f>'Raw data'!H858</f>
        <v>0</v>
      </c>
      <c r="L939" s="26">
        <f t="shared" si="32"/>
        <v>0</v>
      </c>
    </row>
    <row r="940" spans="2:12">
      <c r="B940" s="4" t="e">
        <f t="shared" si="31"/>
        <v>#N/A</v>
      </c>
      <c r="C940" s="4">
        <f>'Raw data'!E859</f>
        <v>0</v>
      </c>
      <c r="D940" s="29" t="e">
        <f>VLOOKUP(C940,'점포코드 '!A:B,2,0)</f>
        <v>#N/A</v>
      </c>
      <c r="E940" s="30">
        <f>'Raw data'!P859</f>
        <v>0</v>
      </c>
      <c r="F940" s="29" t="e">
        <f>VLOOKUP(E940,'점포코드 '!A:B,2,0)</f>
        <v>#N/A</v>
      </c>
      <c r="G940" s="46">
        <f>'Raw data'!F859</f>
        <v>0</v>
      </c>
      <c r="H940" s="4">
        <f>'Raw data'!G859</f>
        <v>0</v>
      </c>
      <c r="I940" s="29" t="e">
        <f>VLOOKUP(G940,제품명!$C$1:$E$114,2,0)</f>
        <v>#N/A</v>
      </c>
      <c r="J940" s="29">
        <f>'Raw data'!K859</f>
        <v>0</v>
      </c>
      <c r="K940" s="31">
        <f>'Raw data'!H859</f>
        <v>0</v>
      </c>
      <c r="L940" s="26">
        <f t="shared" si="32"/>
        <v>0</v>
      </c>
    </row>
    <row r="941" spans="2:12">
      <c r="B941" s="4" t="e">
        <f t="shared" si="31"/>
        <v>#N/A</v>
      </c>
      <c r="C941" s="4">
        <f>'Raw data'!E860</f>
        <v>0</v>
      </c>
      <c r="D941" s="29" t="e">
        <f>VLOOKUP(C941,'점포코드 '!A:B,2,0)</f>
        <v>#N/A</v>
      </c>
      <c r="E941" s="30">
        <f>'Raw data'!P860</f>
        <v>0</v>
      </c>
      <c r="F941" s="29" t="e">
        <f>VLOOKUP(E941,'점포코드 '!A:B,2,0)</f>
        <v>#N/A</v>
      </c>
      <c r="G941" s="46">
        <f>'Raw data'!F860</f>
        <v>0</v>
      </c>
      <c r="H941" s="4">
        <f>'Raw data'!G860</f>
        <v>0</v>
      </c>
      <c r="I941" s="29" t="e">
        <f>VLOOKUP(G941,제품명!$C$1:$E$114,2,0)</f>
        <v>#N/A</v>
      </c>
      <c r="J941" s="29">
        <f>'Raw data'!K860</f>
        <v>0</v>
      </c>
      <c r="K941" s="31">
        <f>'Raw data'!H860</f>
        <v>0</v>
      </c>
      <c r="L941" s="26">
        <f t="shared" si="32"/>
        <v>0</v>
      </c>
    </row>
    <row r="942" spans="2:12">
      <c r="B942" s="4" t="e">
        <f t="shared" si="31"/>
        <v>#N/A</v>
      </c>
      <c r="C942" s="4">
        <f>'Raw data'!E861</f>
        <v>0</v>
      </c>
      <c r="D942" s="29" t="e">
        <f>VLOOKUP(C942,'점포코드 '!A:B,2,0)</f>
        <v>#N/A</v>
      </c>
      <c r="E942" s="30">
        <f>'Raw data'!P861</f>
        <v>0</v>
      </c>
      <c r="F942" s="29" t="e">
        <f>VLOOKUP(E942,'점포코드 '!A:B,2,0)</f>
        <v>#N/A</v>
      </c>
      <c r="G942" s="46">
        <f>'Raw data'!F861</f>
        <v>0</v>
      </c>
      <c r="H942" s="4">
        <f>'Raw data'!G861</f>
        <v>0</v>
      </c>
      <c r="I942" s="29" t="e">
        <f>VLOOKUP(G942,제품명!$C$1:$E$114,2,0)</f>
        <v>#N/A</v>
      </c>
      <c r="J942" s="29">
        <f>'Raw data'!K861</f>
        <v>0</v>
      </c>
      <c r="K942" s="31">
        <f>'Raw data'!H861</f>
        <v>0</v>
      </c>
      <c r="L942" s="26">
        <f t="shared" si="32"/>
        <v>0</v>
      </c>
    </row>
    <row r="943" spans="2:12">
      <c r="B943" s="4" t="e">
        <f t="shared" si="31"/>
        <v>#N/A</v>
      </c>
      <c r="C943" s="4">
        <f>'Raw data'!E862</f>
        <v>0</v>
      </c>
      <c r="D943" s="29" t="e">
        <f>VLOOKUP(C943,'점포코드 '!A:B,2,0)</f>
        <v>#N/A</v>
      </c>
      <c r="E943" s="30">
        <f>'Raw data'!P862</f>
        <v>0</v>
      </c>
      <c r="F943" s="29" t="e">
        <f>VLOOKUP(E943,'점포코드 '!A:B,2,0)</f>
        <v>#N/A</v>
      </c>
      <c r="G943" s="46">
        <f>'Raw data'!F862</f>
        <v>0</v>
      </c>
      <c r="H943" s="4">
        <f>'Raw data'!G862</f>
        <v>0</v>
      </c>
      <c r="I943" s="29" t="e">
        <f>VLOOKUP(G943,제품명!$C$1:$E$114,2,0)</f>
        <v>#N/A</v>
      </c>
      <c r="J943" s="29">
        <f>'Raw data'!K862</f>
        <v>0</v>
      </c>
      <c r="K943" s="31">
        <f>'Raw data'!H862</f>
        <v>0</v>
      </c>
      <c r="L943" s="26">
        <f t="shared" si="32"/>
        <v>0</v>
      </c>
    </row>
    <row r="944" spans="2:12">
      <c r="B944" s="4" t="e">
        <f t="shared" si="31"/>
        <v>#N/A</v>
      </c>
      <c r="C944" s="4">
        <f>'Raw data'!E863</f>
        <v>0</v>
      </c>
      <c r="D944" s="29" t="e">
        <f>VLOOKUP(C944,'점포코드 '!A:B,2,0)</f>
        <v>#N/A</v>
      </c>
      <c r="E944" s="30">
        <f>'Raw data'!P863</f>
        <v>0</v>
      </c>
      <c r="F944" s="29" t="e">
        <f>VLOOKUP(E944,'점포코드 '!A:B,2,0)</f>
        <v>#N/A</v>
      </c>
      <c r="G944" s="46">
        <f>'Raw data'!F863</f>
        <v>0</v>
      </c>
      <c r="H944" s="4">
        <f>'Raw data'!G863</f>
        <v>0</v>
      </c>
      <c r="I944" s="29" t="e">
        <f>VLOOKUP(G944,제품명!$C$1:$E$114,2,0)</f>
        <v>#N/A</v>
      </c>
      <c r="J944" s="29">
        <f>'Raw data'!K863</f>
        <v>0</v>
      </c>
      <c r="K944" s="31">
        <f>'Raw data'!H863</f>
        <v>0</v>
      </c>
      <c r="L944" s="26">
        <f t="shared" si="32"/>
        <v>0</v>
      </c>
    </row>
    <row r="945" spans="2:12">
      <c r="B945" s="4" t="e">
        <f t="shared" si="31"/>
        <v>#N/A</v>
      </c>
      <c r="C945" s="4">
        <f>'Raw data'!E864</f>
        <v>0</v>
      </c>
      <c r="D945" s="29" t="e">
        <f>VLOOKUP(C945,'점포코드 '!A:B,2,0)</f>
        <v>#N/A</v>
      </c>
      <c r="E945" s="30">
        <f>'Raw data'!P864</f>
        <v>0</v>
      </c>
      <c r="F945" s="29" t="e">
        <f>VLOOKUP(E945,'점포코드 '!A:B,2,0)</f>
        <v>#N/A</v>
      </c>
      <c r="G945" s="46">
        <f>'Raw data'!F864</f>
        <v>0</v>
      </c>
      <c r="H945" s="4">
        <f>'Raw data'!G864</f>
        <v>0</v>
      </c>
      <c r="I945" s="29" t="e">
        <f>VLOOKUP(G945,제품명!$C$1:$E$114,2,0)</f>
        <v>#N/A</v>
      </c>
      <c r="J945" s="29">
        <f>'Raw data'!K864</f>
        <v>0</v>
      </c>
      <c r="K945" s="31">
        <f>'Raw data'!H864</f>
        <v>0</v>
      </c>
      <c r="L945" s="26">
        <f t="shared" si="32"/>
        <v>0</v>
      </c>
    </row>
    <row r="946" spans="2:12">
      <c r="B946" s="4" t="e">
        <f t="shared" si="31"/>
        <v>#N/A</v>
      </c>
      <c r="C946" s="4">
        <f>'Raw data'!E865</f>
        <v>0</v>
      </c>
      <c r="D946" s="29" t="e">
        <f>VLOOKUP(C946,'점포코드 '!A:B,2,0)</f>
        <v>#N/A</v>
      </c>
      <c r="E946" s="30">
        <f>'Raw data'!P865</f>
        <v>0</v>
      </c>
      <c r="F946" s="29" t="e">
        <f>VLOOKUP(E946,'점포코드 '!A:B,2,0)</f>
        <v>#N/A</v>
      </c>
      <c r="G946" s="46">
        <f>'Raw data'!F865</f>
        <v>0</v>
      </c>
      <c r="H946" s="4">
        <f>'Raw data'!G865</f>
        <v>0</v>
      </c>
      <c r="I946" s="29" t="e">
        <f>VLOOKUP(G946,제품명!$C$1:$E$114,2,0)</f>
        <v>#N/A</v>
      </c>
      <c r="J946" s="29">
        <f>'Raw data'!K865</f>
        <v>0</v>
      </c>
      <c r="K946" s="31">
        <f>'Raw data'!H865</f>
        <v>0</v>
      </c>
      <c r="L946" s="26">
        <f t="shared" si="32"/>
        <v>0</v>
      </c>
    </row>
    <row r="947" spans="2:12">
      <c r="B947" s="4" t="e">
        <f t="shared" si="31"/>
        <v>#N/A</v>
      </c>
      <c r="C947" s="4">
        <f>'Raw data'!E866</f>
        <v>0</v>
      </c>
      <c r="D947" s="29" t="e">
        <f>VLOOKUP(C947,'점포코드 '!A:B,2,0)</f>
        <v>#N/A</v>
      </c>
      <c r="E947" s="30">
        <f>'Raw data'!P866</f>
        <v>0</v>
      </c>
      <c r="F947" s="29" t="e">
        <f>VLOOKUP(E947,'점포코드 '!A:B,2,0)</f>
        <v>#N/A</v>
      </c>
      <c r="G947" s="46">
        <f>'Raw data'!F866</f>
        <v>0</v>
      </c>
      <c r="H947" s="4">
        <f>'Raw data'!G866</f>
        <v>0</v>
      </c>
      <c r="I947" s="29" t="e">
        <f>VLOOKUP(G947,제품명!$C$1:$E$114,2,0)</f>
        <v>#N/A</v>
      </c>
      <c r="J947" s="29">
        <f>'Raw data'!K866</f>
        <v>0</v>
      </c>
      <c r="K947" s="31">
        <f>'Raw data'!H866</f>
        <v>0</v>
      </c>
      <c r="L947" s="26">
        <f t="shared" si="32"/>
        <v>0</v>
      </c>
    </row>
    <row r="948" spans="2:12">
      <c r="B948" s="4" t="e">
        <f t="shared" si="31"/>
        <v>#N/A</v>
      </c>
      <c r="C948" s="4">
        <f>'Raw data'!E867</f>
        <v>0</v>
      </c>
      <c r="D948" s="29" t="e">
        <f>VLOOKUP(C948,'점포코드 '!A:B,2,0)</f>
        <v>#N/A</v>
      </c>
      <c r="E948" s="30">
        <f>'Raw data'!P867</f>
        <v>0</v>
      </c>
      <c r="F948" s="29" t="e">
        <f>VLOOKUP(E948,'점포코드 '!A:B,2,0)</f>
        <v>#N/A</v>
      </c>
      <c r="G948" s="46">
        <f>'Raw data'!F867</f>
        <v>0</v>
      </c>
      <c r="H948" s="4">
        <f>'Raw data'!G867</f>
        <v>0</v>
      </c>
      <c r="I948" s="29" t="e">
        <f>VLOOKUP(G948,제품명!$C$1:$E$114,2,0)</f>
        <v>#N/A</v>
      </c>
      <c r="J948" s="29">
        <f>'Raw data'!K867</f>
        <v>0</v>
      </c>
      <c r="K948" s="31">
        <f>'Raw data'!H867</f>
        <v>0</v>
      </c>
      <c r="L948" s="26">
        <f t="shared" si="32"/>
        <v>0</v>
      </c>
    </row>
    <row r="949" spans="2:12">
      <c r="B949" s="4" t="e">
        <f t="shared" si="31"/>
        <v>#N/A</v>
      </c>
      <c r="C949" s="4">
        <f>'Raw data'!E868</f>
        <v>0</v>
      </c>
      <c r="D949" s="29" t="e">
        <f>VLOOKUP(C949,'점포코드 '!A:B,2,0)</f>
        <v>#N/A</v>
      </c>
      <c r="E949" s="30">
        <f>'Raw data'!P868</f>
        <v>0</v>
      </c>
      <c r="F949" s="29" t="e">
        <f>VLOOKUP(E949,'점포코드 '!A:B,2,0)</f>
        <v>#N/A</v>
      </c>
      <c r="G949" s="46">
        <f>'Raw data'!F868</f>
        <v>0</v>
      </c>
      <c r="H949" s="4">
        <f>'Raw data'!G868</f>
        <v>0</v>
      </c>
      <c r="I949" s="29" t="e">
        <f>VLOOKUP(G949,제품명!$C$1:$E$114,2,0)</f>
        <v>#N/A</v>
      </c>
      <c r="J949" s="29">
        <f>'Raw data'!K868</f>
        <v>0</v>
      </c>
      <c r="K949" s="31">
        <f>'Raw data'!H868</f>
        <v>0</v>
      </c>
      <c r="L949" s="26">
        <f t="shared" si="32"/>
        <v>0</v>
      </c>
    </row>
    <row r="950" spans="2:12">
      <c r="B950" s="4" t="e">
        <f t="shared" si="31"/>
        <v>#N/A</v>
      </c>
      <c r="C950" s="4">
        <f>'Raw data'!E869</f>
        <v>0</v>
      </c>
      <c r="D950" s="29" t="e">
        <f>VLOOKUP(C950,'점포코드 '!A:B,2,0)</f>
        <v>#N/A</v>
      </c>
      <c r="E950" s="30">
        <f>'Raw data'!P869</f>
        <v>0</v>
      </c>
      <c r="F950" s="29" t="e">
        <f>VLOOKUP(E950,'점포코드 '!A:B,2,0)</f>
        <v>#N/A</v>
      </c>
      <c r="G950" s="46">
        <f>'Raw data'!F869</f>
        <v>0</v>
      </c>
      <c r="H950" s="4">
        <f>'Raw data'!G869</f>
        <v>0</v>
      </c>
      <c r="I950" s="29" t="e">
        <f>VLOOKUP(G950,제품명!$C$1:$E$114,2,0)</f>
        <v>#N/A</v>
      </c>
      <c r="J950" s="29">
        <f>'Raw data'!K869</f>
        <v>0</v>
      </c>
      <c r="K950" s="31">
        <f>'Raw data'!H869</f>
        <v>0</v>
      </c>
      <c r="L950" s="26">
        <f t="shared" si="32"/>
        <v>0</v>
      </c>
    </row>
    <row r="951" spans="2:12">
      <c r="B951" s="4" t="e">
        <f t="shared" si="31"/>
        <v>#N/A</v>
      </c>
      <c r="C951" s="4">
        <f>'Raw data'!E870</f>
        <v>0</v>
      </c>
      <c r="D951" s="29" t="e">
        <f>VLOOKUP(C951,'점포코드 '!A:B,2,0)</f>
        <v>#N/A</v>
      </c>
      <c r="E951" s="30">
        <f>'Raw data'!P870</f>
        <v>0</v>
      </c>
      <c r="F951" s="29" t="e">
        <f>VLOOKUP(E951,'점포코드 '!A:B,2,0)</f>
        <v>#N/A</v>
      </c>
      <c r="G951" s="46">
        <f>'Raw data'!F870</f>
        <v>0</v>
      </c>
      <c r="H951" s="4">
        <f>'Raw data'!G870</f>
        <v>0</v>
      </c>
      <c r="I951" s="29" t="e">
        <f>VLOOKUP(G951,제품명!$C$1:$E$114,2,0)</f>
        <v>#N/A</v>
      </c>
      <c r="J951" s="29">
        <f>'Raw data'!K870</f>
        <v>0</v>
      </c>
      <c r="K951" s="31">
        <f>'Raw data'!H870</f>
        <v>0</v>
      </c>
      <c r="L951" s="26">
        <f t="shared" si="32"/>
        <v>0</v>
      </c>
    </row>
    <row r="952" spans="2:12">
      <c r="B952" s="4" t="e">
        <f t="shared" si="31"/>
        <v>#N/A</v>
      </c>
      <c r="C952" s="4">
        <f>'Raw data'!E871</f>
        <v>0</v>
      </c>
      <c r="D952" s="29" t="e">
        <f>VLOOKUP(C952,'점포코드 '!A:B,2,0)</f>
        <v>#N/A</v>
      </c>
      <c r="E952" s="30">
        <f>'Raw data'!P871</f>
        <v>0</v>
      </c>
      <c r="F952" s="29" t="e">
        <f>VLOOKUP(E952,'점포코드 '!A:B,2,0)</f>
        <v>#N/A</v>
      </c>
      <c r="G952" s="46">
        <f>'Raw data'!F871</f>
        <v>0</v>
      </c>
      <c r="H952" s="4">
        <f>'Raw data'!G871</f>
        <v>0</v>
      </c>
      <c r="I952" s="29" t="e">
        <f>VLOOKUP(G952,제품명!$C$1:$E$114,2,0)</f>
        <v>#N/A</v>
      </c>
      <c r="J952" s="29">
        <f>'Raw data'!K871</f>
        <v>0</v>
      </c>
      <c r="K952" s="31">
        <f>'Raw data'!H871</f>
        <v>0</v>
      </c>
      <c r="L952" s="26">
        <f t="shared" si="32"/>
        <v>0</v>
      </c>
    </row>
    <row r="953" spans="2:12">
      <c r="B953" s="4" t="e">
        <f t="shared" si="31"/>
        <v>#N/A</v>
      </c>
      <c r="C953" s="4">
        <f>'Raw data'!E872</f>
        <v>0</v>
      </c>
      <c r="D953" s="29" t="e">
        <f>VLOOKUP(C953,'점포코드 '!A:B,2,0)</f>
        <v>#N/A</v>
      </c>
      <c r="E953" s="30">
        <f>'Raw data'!P872</f>
        <v>0</v>
      </c>
      <c r="F953" s="29" t="e">
        <f>VLOOKUP(E953,'점포코드 '!A:B,2,0)</f>
        <v>#N/A</v>
      </c>
      <c r="G953" s="46">
        <f>'Raw data'!F872</f>
        <v>0</v>
      </c>
      <c r="H953" s="4">
        <f>'Raw data'!G872</f>
        <v>0</v>
      </c>
      <c r="I953" s="29" t="e">
        <f>VLOOKUP(G953,제품명!$C$1:$E$114,2,0)</f>
        <v>#N/A</v>
      </c>
      <c r="J953" s="29">
        <f>'Raw data'!K872</f>
        <v>0</v>
      </c>
      <c r="K953" s="31">
        <f>'Raw data'!H872</f>
        <v>0</v>
      </c>
      <c r="L953" s="26">
        <f t="shared" si="32"/>
        <v>0</v>
      </c>
    </row>
    <row r="954" spans="2:12">
      <c r="B954" s="4" t="e">
        <f t="shared" si="31"/>
        <v>#N/A</v>
      </c>
      <c r="C954" s="4">
        <f>'Raw data'!E873</f>
        <v>0</v>
      </c>
      <c r="D954" s="29" t="e">
        <f>VLOOKUP(C954,'점포코드 '!A:B,2,0)</f>
        <v>#N/A</v>
      </c>
      <c r="E954" s="30">
        <f>'Raw data'!P873</f>
        <v>0</v>
      </c>
      <c r="F954" s="29" t="e">
        <f>VLOOKUP(E954,'점포코드 '!A:B,2,0)</f>
        <v>#N/A</v>
      </c>
      <c r="G954" s="46">
        <f>'Raw data'!F873</f>
        <v>0</v>
      </c>
      <c r="H954" s="4">
        <f>'Raw data'!G873</f>
        <v>0</v>
      </c>
      <c r="I954" s="29" t="e">
        <f>VLOOKUP(G954,제품명!$C$1:$E$114,2,0)</f>
        <v>#N/A</v>
      </c>
      <c r="J954" s="29">
        <f>'Raw data'!K873</f>
        <v>0</v>
      </c>
      <c r="K954" s="31">
        <f>'Raw data'!H873</f>
        <v>0</v>
      </c>
      <c r="L954" s="26">
        <f t="shared" si="32"/>
        <v>0</v>
      </c>
    </row>
    <row r="955" spans="2:12">
      <c r="B955" s="4" t="e">
        <f t="shared" si="31"/>
        <v>#N/A</v>
      </c>
      <c r="C955" s="4">
        <f>'Raw data'!E874</f>
        <v>0</v>
      </c>
      <c r="D955" s="29" t="e">
        <f>VLOOKUP(C955,'점포코드 '!A:B,2,0)</f>
        <v>#N/A</v>
      </c>
      <c r="E955" s="30">
        <f>'Raw data'!P874</f>
        <v>0</v>
      </c>
      <c r="F955" s="29" t="e">
        <f>VLOOKUP(E955,'점포코드 '!A:B,2,0)</f>
        <v>#N/A</v>
      </c>
      <c r="G955" s="46">
        <f>'Raw data'!F874</f>
        <v>0</v>
      </c>
      <c r="H955" s="4">
        <f>'Raw data'!G874</f>
        <v>0</v>
      </c>
      <c r="I955" s="29" t="e">
        <f>VLOOKUP(G955,제품명!$C$1:$E$114,2,0)</f>
        <v>#N/A</v>
      </c>
      <c r="J955" s="29">
        <f>'Raw data'!K874</f>
        <v>0</v>
      </c>
      <c r="K955" s="31">
        <f>'Raw data'!H874</f>
        <v>0</v>
      </c>
      <c r="L955" s="26">
        <f t="shared" si="32"/>
        <v>0</v>
      </c>
    </row>
    <row r="956" spans="2:12">
      <c r="B956" s="4" t="e">
        <f t="shared" si="31"/>
        <v>#N/A</v>
      </c>
      <c r="C956" s="4">
        <f>'Raw data'!E875</f>
        <v>0</v>
      </c>
      <c r="D956" s="29" t="e">
        <f>VLOOKUP(C956,'점포코드 '!A:B,2,0)</f>
        <v>#N/A</v>
      </c>
      <c r="E956" s="30">
        <f>'Raw data'!P875</f>
        <v>0</v>
      </c>
      <c r="F956" s="29" t="e">
        <f>VLOOKUP(E956,'점포코드 '!A:B,2,0)</f>
        <v>#N/A</v>
      </c>
      <c r="G956" s="46">
        <f>'Raw data'!F875</f>
        <v>0</v>
      </c>
      <c r="H956" s="4">
        <f>'Raw data'!G875</f>
        <v>0</v>
      </c>
      <c r="I956" s="29" t="e">
        <f>VLOOKUP(G956,제품명!$C$1:$E$114,2,0)</f>
        <v>#N/A</v>
      </c>
      <c r="J956" s="29">
        <f>'Raw data'!K875</f>
        <v>0</v>
      </c>
      <c r="K956" s="31">
        <f>'Raw data'!H875</f>
        <v>0</v>
      </c>
      <c r="L956" s="26">
        <f t="shared" si="32"/>
        <v>0</v>
      </c>
    </row>
    <row r="957" spans="2:12">
      <c r="B957" s="4" t="e">
        <f t="shared" si="31"/>
        <v>#N/A</v>
      </c>
      <c r="C957" s="4">
        <f>'Raw data'!E876</f>
        <v>0</v>
      </c>
      <c r="D957" s="29" t="e">
        <f>VLOOKUP(C957,'점포코드 '!A:B,2,0)</f>
        <v>#N/A</v>
      </c>
      <c r="E957" s="30">
        <f>'Raw data'!P876</f>
        <v>0</v>
      </c>
      <c r="F957" s="29" t="e">
        <f>VLOOKUP(E957,'점포코드 '!A:B,2,0)</f>
        <v>#N/A</v>
      </c>
      <c r="G957" s="46">
        <f>'Raw data'!F876</f>
        <v>0</v>
      </c>
      <c r="H957" s="4">
        <f>'Raw data'!G876</f>
        <v>0</v>
      </c>
      <c r="I957" s="29" t="e">
        <f>VLOOKUP(G957,제품명!$C$1:$E$114,2,0)</f>
        <v>#N/A</v>
      </c>
      <c r="J957" s="29">
        <f>'Raw data'!K876</f>
        <v>0</v>
      </c>
      <c r="K957" s="31">
        <f>'Raw data'!H876</f>
        <v>0</v>
      </c>
      <c r="L957" s="26">
        <f t="shared" si="32"/>
        <v>0</v>
      </c>
    </row>
    <row r="958" spans="2:12">
      <c r="B958" s="4" t="e">
        <f t="shared" si="31"/>
        <v>#N/A</v>
      </c>
      <c r="C958" s="4">
        <f>'Raw data'!E877</f>
        <v>0</v>
      </c>
      <c r="D958" s="29" t="e">
        <f>VLOOKUP(C958,'점포코드 '!A:B,2,0)</f>
        <v>#N/A</v>
      </c>
      <c r="E958" s="30">
        <f>'Raw data'!P877</f>
        <v>0</v>
      </c>
      <c r="F958" s="29" t="e">
        <f>VLOOKUP(E958,'점포코드 '!A:B,2,0)</f>
        <v>#N/A</v>
      </c>
      <c r="G958" s="46">
        <f>'Raw data'!F877</f>
        <v>0</v>
      </c>
      <c r="H958" s="4">
        <f>'Raw data'!G877</f>
        <v>0</v>
      </c>
      <c r="I958" s="29" t="e">
        <f>VLOOKUP(G958,제품명!$C$1:$E$114,2,0)</f>
        <v>#N/A</v>
      </c>
      <c r="J958" s="29">
        <f>'Raw data'!K877</f>
        <v>0</v>
      </c>
      <c r="K958" s="31">
        <f>'Raw data'!H877</f>
        <v>0</v>
      </c>
      <c r="L958" s="26">
        <f t="shared" si="32"/>
        <v>0</v>
      </c>
    </row>
    <row r="959" spans="2:12">
      <c r="B959" s="4" t="e">
        <f t="shared" si="31"/>
        <v>#N/A</v>
      </c>
      <c r="C959" s="4">
        <f>'Raw data'!E878</f>
        <v>0</v>
      </c>
      <c r="D959" s="29" t="e">
        <f>VLOOKUP(C959,'점포코드 '!A:B,2,0)</f>
        <v>#N/A</v>
      </c>
      <c r="E959" s="30">
        <f>'Raw data'!P878</f>
        <v>0</v>
      </c>
      <c r="F959" s="29" t="e">
        <f>VLOOKUP(E959,'점포코드 '!A:B,2,0)</f>
        <v>#N/A</v>
      </c>
      <c r="G959" s="46">
        <f>'Raw data'!F878</f>
        <v>0</v>
      </c>
      <c r="H959" s="4">
        <f>'Raw data'!G878</f>
        <v>0</v>
      </c>
      <c r="I959" s="29" t="e">
        <f>VLOOKUP(G959,제품명!$C$1:$E$114,2,0)</f>
        <v>#N/A</v>
      </c>
      <c r="J959" s="29">
        <f>'Raw data'!K878</f>
        <v>0</v>
      </c>
      <c r="K959" s="31">
        <f>'Raw data'!H878</f>
        <v>0</v>
      </c>
      <c r="L959" s="26">
        <f t="shared" si="32"/>
        <v>0</v>
      </c>
    </row>
    <row r="960" spans="2:12">
      <c r="B960" s="4" t="e">
        <f t="shared" si="31"/>
        <v>#N/A</v>
      </c>
      <c r="C960" s="4">
        <f>'Raw data'!E879</f>
        <v>0</v>
      </c>
      <c r="D960" s="29" t="e">
        <f>VLOOKUP(C960,'점포코드 '!A:B,2,0)</f>
        <v>#N/A</v>
      </c>
      <c r="E960" s="30">
        <f>'Raw data'!P879</f>
        <v>0</v>
      </c>
      <c r="F960" s="29" t="e">
        <f>VLOOKUP(E960,'점포코드 '!A:B,2,0)</f>
        <v>#N/A</v>
      </c>
      <c r="G960" s="46">
        <f>'Raw data'!F879</f>
        <v>0</v>
      </c>
      <c r="H960" s="4">
        <f>'Raw data'!G879</f>
        <v>0</v>
      </c>
      <c r="I960" s="29" t="e">
        <f>VLOOKUP(G960,제품명!$C$1:$E$114,2,0)</f>
        <v>#N/A</v>
      </c>
      <c r="J960" s="29">
        <f>'Raw data'!K879</f>
        <v>0</v>
      </c>
      <c r="K960" s="31">
        <f>'Raw data'!H879</f>
        <v>0</v>
      </c>
      <c r="L960" s="26">
        <f t="shared" si="32"/>
        <v>0</v>
      </c>
    </row>
    <row r="961" spans="2:12">
      <c r="B961" s="4" t="e">
        <f t="shared" si="31"/>
        <v>#N/A</v>
      </c>
      <c r="C961" s="4">
        <f>'Raw data'!E880</f>
        <v>0</v>
      </c>
      <c r="D961" s="29" t="e">
        <f>VLOOKUP(C961,'점포코드 '!A:B,2,0)</f>
        <v>#N/A</v>
      </c>
      <c r="E961" s="30">
        <f>'Raw data'!P880</f>
        <v>0</v>
      </c>
      <c r="F961" s="29" t="e">
        <f>VLOOKUP(E961,'점포코드 '!A:B,2,0)</f>
        <v>#N/A</v>
      </c>
      <c r="G961" s="46">
        <f>'Raw data'!F880</f>
        <v>0</v>
      </c>
      <c r="H961" s="4">
        <f>'Raw data'!G880</f>
        <v>0</v>
      </c>
      <c r="I961" s="29" t="e">
        <f>VLOOKUP(G961,제품명!$C$1:$E$114,2,0)</f>
        <v>#N/A</v>
      </c>
      <c r="J961" s="29">
        <f>'Raw data'!K880</f>
        <v>0</v>
      </c>
      <c r="K961" s="31">
        <f>'Raw data'!H880</f>
        <v>0</v>
      </c>
      <c r="L961" s="26">
        <f t="shared" si="32"/>
        <v>0</v>
      </c>
    </row>
    <row r="962" spans="2:12">
      <c r="B962" s="4" t="e">
        <f t="shared" ref="B962:B1025" si="33">F962&amp;I962</f>
        <v>#N/A</v>
      </c>
      <c r="C962" s="4">
        <f>'Raw data'!E881</f>
        <v>0</v>
      </c>
      <c r="D962" s="29" t="e">
        <f>VLOOKUP(C962,'점포코드 '!A:B,2,0)</f>
        <v>#N/A</v>
      </c>
      <c r="E962" s="30">
        <f>'Raw data'!P881</f>
        <v>0</v>
      </c>
      <c r="F962" s="29" t="e">
        <f>VLOOKUP(E962,'점포코드 '!A:B,2,0)</f>
        <v>#N/A</v>
      </c>
      <c r="G962" s="46">
        <f>'Raw data'!F881</f>
        <v>0</v>
      </c>
      <c r="H962" s="4">
        <f>'Raw data'!G881</f>
        <v>0</v>
      </c>
      <c r="I962" s="29" t="e">
        <f>VLOOKUP(G962,제품명!$C$1:$E$114,2,0)</f>
        <v>#N/A</v>
      </c>
      <c r="J962" s="29">
        <f>'Raw data'!K881</f>
        <v>0</v>
      </c>
      <c r="K962" s="31">
        <f>'Raw data'!H881</f>
        <v>0</v>
      </c>
      <c r="L962" s="26">
        <f t="shared" si="32"/>
        <v>0</v>
      </c>
    </row>
    <row r="963" spans="2:12">
      <c r="B963" s="4" t="e">
        <f t="shared" si="33"/>
        <v>#N/A</v>
      </c>
      <c r="C963" s="4">
        <f>'Raw data'!E882</f>
        <v>0</v>
      </c>
      <c r="D963" s="29" t="e">
        <f>VLOOKUP(C963,'점포코드 '!A:B,2,0)</f>
        <v>#N/A</v>
      </c>
      <c r="E963" s="30">
        <f>'Raw data'!P882</f>
        <v>0</v>
      </c>
      <c r="F963" s="29" t="e">
        <f>VLOOKUP(E963,'점포코드 '!A:B,2,0)</f>
        <v>#N/A</v>
      </c>
      <c r="G963" s="46">
        <f>'Raw data'!F882</f>
        <v>0</v>
      </c>
      <c r="H963" s="4">
        <f>'Raw data'!G882</f>
        <v>0</v>
      </c>
      <c r="I963" s="29" t="e">
        <f>VLOOKUP(G963,제품명!$C$1:$E$114,2,0)</f>
        <v>#N/A</v>
      </c>
      <c r="J963" s="29">
        <f>'Raw data'!K882</f>
        <v>0</v>
      </c>
      <c r="K963" s="31">
        <f>'Raw data'!H882</f>
        <v>0</v>
      </c>
      <c r="L963" s="26">
        <f t="shared" ref="L963:L1026" si="34">J963*K963</f>
        <v>0</v>
      </c>
    </row>
    <row r="964" spans="2:12">
      <c r="B964" s="4" t="e">
        <f t="shared" si="33"/>
        <v>#N/A</v>
      </c>
      <c r="C964" s="4">
        <f>'Raw data'!E883</f>
        <v>0</v>
      </c>
      <c r="D964" s="29" t="e">
        <f>VLOOKUP(C964,'점포코드 '!A:B,2,0)</f>
        <v>#N/A</v>
      </c>
      <c r="E964" s="30">
        <f>'Raw data'!P883</f>
        <v>0</v>
      </c>
      <c r="F964" s="29" t="e">
        <f>VLOOKUP(E964,'점포코드 '!A:B,2,0)</f>
        <v>#N/A</v>
      </c>
      <c r="G964" s="46">
        <f>'Raw data'!F883</f>
        <v>0</v>
      </c>
      <c r="H964" s="4">
        <f>'Raw data'!G883</f>
        <v>0</v>
      </c>
      <c r="I964" s="29" t="e">
        <f>VLOOKUP(G964,제품명!$C$1:$E$114,2,0)</f>
        <v>#N/A</v>
      </c>
      <c r="J964" s="29">
        <f>'Raw data'!K883</f>
        <v>0</v>
      </c>
      <c r="K964" s="31">
        <f>'Raw data'!H883</f>
        <v>0</v>
      </c>
      <c r="L964" s="26">
        <f t="shared" si="34"/>
        <v>0</v>
      </c>
    </row>
    <row r="965" spans="2:12">
      <c r="B965" s="4" t="e">
        <f t="shared" si="33"/>
        <v>#N/A</v>
      </c>
      <c r="C965" s="4">
        <f>'Raw data'!E884</f>
        <v>0</v>
      </c>
      <c r="D965" s="29" t="e">
        <f>VLOOKUP(C965,'점포코드 '!A:B,2,0)</f>
        <v>#N/A</v>
      </c>
      <c r="E965" s="30">
        <f>'Raw data'!P884</f>
        <v>0</v>
      </c>
      <c r="F965" s="29" t="e">
        <f>VLOOKUP(E965,'점포코드 '!A:B,2,0)</f>
        <v>#N/A</v>
      </c>
      <c r="G965" s="46">
        <f>'Raw data'!F884</f>
        <v>0</v>
      </c>
      <c r="H965" s="4">
        <f>'Raw data'!G884</f>
        <v>0</v>
      </c>
      <c r="I965" s="29" t="e">
        <f>VLOOKUP(G965,제품명!$C$1:$E$114,2,0)</f>
        <v>#N/A</v>
      </c>
      <c r="J965" s="29">
        <f>'Raw data'!K884</f>
        <v>0</v>
      </c>
      <c r="K965" s="31">
        <f>'Raw data'!H884</f>
        <v>0</v>
      </c>
      <c r="L965" s="26">
        <f t="shared" si="34"/>
        <v>0</v>
      </c>
    </row>
    <row r="966" spans="2:12">
      <c r="B966" s="4" t="e">
        <f t="shared" si="33"/>
        <v>#N/A</v>
      </c>
      <c r="C966" s="4">
        <f>'Raw data'!E885</f>
        <v>0</v>
      </c>
      <c r="D966" s="29" t="e">
        <f>VLOOKUP(C966,'점포코드 '!A:B,2,0)</f>
        <v>#N/A</v>
      </c>
      <c r="E966" s="30">
        <f>'Raw data'!P885</f>
        <v>0</v>
      </c>
      <c r="F966" s="29" t="e">
        <f>VLOOKUP(E966,'점포코드 '!A:B,2,0)</f>
        <v>#N/A</v>
      </c>
      <c r="G966" s="46">
        <f>'Raw data'!F885</f>
        <v>0</v>
      </c>
      <c r="H966" s="4">
        <f>'Raw data'!G885</f>
        <v>0</v>
      </c>
      <c r="I966" s="29" t="e">
        <f>VLOOKUP(G966,제품명!$C$1:$E$114,2,0)</f>
        <v>#N/A</v>
      </c>
      <c r="J966" s="29">
        <f>'Raw data'!K885</f>
        <v>0</v>
      </c>
      <c r="K966" s="31">
        <f>'Raw data'!H885</f>
        <v>0</v>
      </c>
      <c r="L966" s="26">
        <f t="shared" si="34"/>
        <v>0</v>
      </c>
    </row>
    <row r="967" spans="2:12">
      <c r="B967" s="4" t="e">
        <f t="shared" si="33"/>
        <v>#N/A</v>
      </c>
      <c r="C967" s="4">
        <f>'Raw data'!E886</f>
        <v>0</v>
      </c>
      <c r="D967" s="29" t="e">
        <f>VLOOKUP(C967,'점포코드 '!A:B,2,0)</f>
        <v>#N/A</v>
      </c>
      <c r="E967" s="30">
        <f>'Raw data'!P886</f>
        <v>0</v>
      </c>
      <c r="F967" s="29" t="e">
        <f>VLOOKUP(E967,'점포코드 '!A:B,2,0)</f>
        <v>#N/A</v>
      </c>
      <c r="G967" s="46">
        <f>'Raw data'!F886</f>
        <v>0</v>
      </c>
      <c r="H967" s="4">
        <f>'Raw data'!G886</f>
        <v>0</v>
      </c>
      <c r="I967" s="29" t="e">
        <f>VLOOKUP(G967,제품명!$C$1:$E$114,2,0)</f>
        <v>#N/A</v>
      </c>
      <c r="J967" s="29">
        <f>'Raw data'!K886</f>
        <v>0</v>
      </c>
      <c r="K967" s="31">
        <f>'Raw data'!H886</f>
        <v>0</v>
      </c>
      <c r="L967" s="26">
        <f t="shared" si="34"/>
        <v>0</v>
      </c>
    </row>
    <row r="968" spans="2:12">
      <c r="B968" s="4" t="e">
        <f t="shared" si="33"/>
        <v>#N/A</v>
      </c>
      <c r="C968" s="4">
        <f>'Raw data'!E887</f>
        <v>0</v>
      </c>
      <c r="D968" s="29" t="e">
        <f>VLOOKUP(C968,'점포코드 '!A:B,2,0)</f>
        <v>#N/A</v>
      </c>
      <c r="E968" s="30">
        <f>'Raw data'!P887</f>
        <v>0</v>
      </c>
      <c r="F968" s="29" t="e">
        <f>VLOOKUP(E968,'점포코드 '!A:B,2,0)</f>
        <v>#N/A</v>
      </c>
      <c r="G968" s="46">
        <f>'Raw data'!F887</f>
        <v>0</v>
      </c>
      <c r="H968" s="4">
        <f>'Raw data'!G887</f>
        <v>0</v>
      </c>
      <c r="I968" s="29" t="e">
        <f>VLOOKUP(G968,제품명!$C$1:$E$114,2,0)</f>
        <v>#N/A</v>
      </c>
      <c r="J968" s="29">
        <f>'Raw data'!K887</f>
        <v>0</v>
      </c>
      <c r="K968" s="31">
        <f>'Raw data'!H887</f>
        <v>0</v>
      </c>
      <c r="L968" s="26">
        <f t="shared" si="34"/>
        <v>0</v>
      </c>
    </row>
    <row r="969" spans="2:12">
      <c r="B969" s="4" t="e">
        <f t="shared" si="33"/>
        <v>#N/A</v>
      </c>
      <c r="C969" s="4">
        <f>'Raw data'!E888</f>
        <v>0</v>
      </c>
      <c r="D969" s="29" t="e">
        <f>VLOOKUP(C969,'점포코드 '!A:B,2,0)</f>
        <v>#N/A</v>
      </c>
      <c r="E969" s="30">
        <f>'Raw data'!P888</f>
        <v>0</v>
      </c>
      <c r="F969" s="29" t="e">
        <f>VLOOKUP(E969,'점포코드 '!A:B,2,0)</f>
        <v>#N/A</v>
      </c>
      <c r="G969" s="46">
        <f>'Raw data'!F888</f>
        <v>0</v>
      </c>
      <c r="H969" s="4">
        <f>'Raw data'!G888</f>
        <v>0</v>
      </c>
      <c r="I969" s="29" t="e">
        <f>VLOOKUP(G969,제품명!$C$1:$E$114,2,0)</f>
        <v>#N/A</v>
      </c>
      <c r="J969" s="29">
        <f>'Raw data'!K888</f>
        <v>0</v>
      </c>
      <c r="K969" s="31">
        <f>'Raw data'!H888</f>
        <v>0</v>
      </c>
      <c r="L969" s="26">
        <f t="shared" si="34"/>
        <v>0</v>
      </c>
    </row>
    <row r="970" spans="2:12">
      <c r="B970" s="4" t="e">
        <f t="shared" si="33"/>
        <v>#N/A</v>
      </c>
      <c r="C970" s="4">
        <f>'Raw data'!E889</f>
        <v>0</v>
      </c>
      <c r="D970" s="29" t="e">
        <f>VLOOKUP(C970,'점포코드 '!A:B,2,0)</f>
        <v>#N/A</v>
      </c>
      <c r="E970" s="30">
        <f>'Raw data'!P889</f>
        <v>0</v>
      </c>
      <c r="F970" s="29" t="e">
        <f>VLOOKUP(E970,'점포코드 '!A:B,2,0)</f>
        <v>#N/A</v>
      </c>
      <c r="G970" s="46">
        <f>'Raw data'!F889</f>
        <v>0</v>
      </c>
      <c r="H970" s="4">
        <f>'Raw data'!G889</f>
        <v>0</v>
      </c>
      <c r="I970" s="29" t="e">
        <f>VLOOKUP(G970,제품명!$C$1:$E$114,2,0)</f>
        <v>#N/A</v>
      </c>
      <c r="J970" s="29">
        <f>'Raw data'!K889</f>
        <v>0</v>
      </c>
      <c r="K970" s="31">
        <f>'Raw data'!H889</f>
        <v>0</v>
      </c>
      <c r="L970" s="26">
        <f t="shared" si="34"/>
        <v>0</v>
      </c>
    </row>
    <row r="971" spans="2:12">
      <c r="B971" s="4" t="e">
        <f t="shared" si="33"/>
        <v>#N/A</v>
      </c>
      <c r="C971" s="4">
        <f>'Raw data'!E890</f>
        <v>0</v>
      </c>
      <c r="D971" s="29" t="e">
        <f>VLOOKUP(C971,'점포코드 '!A:B,2,0)</f>
        <v>#N/A</v>
      </c>
      <c r="E971" s="30">
        <f>'Raw data'!P890</f>
        <v>0</v>
      </c>
      <c r="F971" s="29" t="e">
        <f>VLOOKUP(E971,'점포코드 '!A:B,2,0)</f>
        <v>#N/A</v>
      </c>
      <c r="G971" s="46">
        <f>'Raw data'!F890</f>
        <v>0</v>
      </c>
      <c r="H971" s="4">
        <f>'Raw data'!G890</f>
        <v>0</v>
      </c>
      <c r="I971" s="29" t="e">
        <f>VLOOKUP(G971,제품명!$C$1:$E$114,2,0)</f>
        <v>#N/A</v>
      </c>
      <c r="J971" s="29">
        <f>'Raw data'!K890</f>
        <v>0</v>
      </c>
      <c r="K971" s="31">
        <f>'Raw data'!H890</f>
        <v>0</v>
      </c>
      <c r="L971" s="26">
        <f t="shared" si="34"/>
        <v>0</v>
      </c>
    </row>
    <row r="972" spans="2:12">
      <c r="B972" s="4" t="e">
        <f t="shared" si="33"/>
        <v>#N/A</v>
      </c>
      <c r="C972" s="4">
        <f>'Raw data'!E891</f>
        <v>0</v>
      </c>
      <c r="D972" s="29" t="e">
        <f>VLOOKUP(C972,'점포코드 '!A:B,2,0)</f>
        <v>#N/A</v>
      </c>
      <c r="E972" s="30">
        <f>'Raw data'!P891</f>
        <v>0</v>
      </c>
      <c r="F972" s="29" t="e">
        <f>VLOOKUP(E972,'점포코드 '!A:B,2,0)</f>
        <v>#N/A</v>
      </c>
      <c r="G972" s="46">
        <f>'Raw data'!F891</f>
        <v>0</v>
      </c>
      <c r="H972" s="4">
        <f>'Raw data'!G891</f>
        <v>0</v>
      </c>
      <c r="I972" s="29" t="e">
        <f>VLOOKUP(G972,제품명!$C$1:$E$114,2,0)</f>
        <v>#N/A</v>
      </c>
      <c r="J972" s="29">
        <f>'Raw data'!K891</f>
        <v>0</v>
      </c>
      <c r="K972" s="31">
        <f>'Raw data'!H891</f>
        <v>0</v>
      </c>
      <c r="L972" s="26">
        <f t="shared" si="34"/>
        <v>0</v>
      </c>
    </row>
    <row r="973" spans="2:12">
      <c r="B973" s="4" t="e">
        <f t="shared" si="33"/>
        <v>#N/A</v>
      </c>
      <c r="C973" s="4">
        <f>'Raw data'!E892</f>
        <v>0</v>
      </c>
      <c r="D973" s="29" t="e">
        <f>VLOOKUP(C973,'점포코드 '!A:B,2,0)</f>
        <v>#N/A</v>
      </c>
      <c r="E973" s="30">
        <f>'Raw data'!P892</f>
        <v>0</v>
      </c>
      <c r="F973" s="29" t="e">
        <f>VLOOKUP(E973,'점포코드 '!A:B,2,0)</f>
        <v>#N/A</v>
      </c>
      <c r="G973" s="46">
        <f>'Raw data'!F892</f>
        <v>0</v>
      </c>
      <c r="H973" s="4">
        <f>'Raw data'!G892</f>
        <v>0</v>
      </c>
      <c r="I973" s="29" t="e">
        <f>VLOOKUP(G973,제품명!$C$1:$E$114,2,0)</f>
        <v>#N/A</v>
      </c>
      <c r="J973" s="29">
        <f>'Raw data'!K892</f>
        <v>0</v>
      </c>
      <c r="K973" s="31">
        <f>'Raw data'!H892</f>
        <v>0</v>
      </c>
      <c r="L973" s="26">
        <f t="shared" si="34"/>
        <v>0</v>
      </c>
    </row>
    <row r="974" spans="2:12">
      <c r="B974" s="4" t="e">
        <f t="shared" si="33"/>
        <v>#N/A</v>
      </c>
      <c r="C974" s="4">
        <f>'Raw data'!E893</f>
        <v>0</v>
      </c>
      <c r="D974" s="29" t="e">
        <f>VLOOKUP(C974,'점포코드 '!A:B,2,0)</f>
        <v>#N/A</v>
      </c>
      <c r="E974" s="30">
        <f>'Raw data'!P893</f>
        <v>0</v>
      </c>
      <c r="F974" s="29" t="e">
        <f>VLOOKUP(E974,'점포코드 '!A:B,2,0)</f>
        <v>#N/A</v>
      </c>
      <c r="G974" s="46">
        <f>'Raw data'!F893</f>
        <v>0</v>
      </c>
      <c r="H974" s="4">
        <f>'Raw data'!G893</f>
        <v>0</v>
      </c>
      <c r="I974" s="29" t="e">
        <f>VLOOKUP(G974,제품명!$C$1:$E$114,2,0)</f>
        <v>#N/A</v>
      </c>
      <c r="J974" s="29">
        <f>'Raw data'!K893</f>
        <v>0</v>
      </c>
      <c r="K974" s="31">
        <f>'Raw data'!H893</f>
        <v>0</v>
      </c>
      <c r="L974" s="26">
        <f t="shared" si="34"/>
        <v>0</v>
      </c>
    </row>
    <row r="975" spans="2:12">
      <c r="B975" s="4" t="e">
        <f t="shared" si="33"/>
        <v>#N/A</v>
      </c>
      <c r="C975" s="4">
        <f>'Raw data'!E894</f>
        <v>0</v>
      </c>
      <c r="D975" s="29" t="e">
        <f>VLOOKUP(C975,'점포코드 '!A:B,2,0)</f>
        <v>#N/A</v>
      </c>
      <c r="E975" s="30">
        <f>'Raw data'!P894</f>
        <v>0</v>
      </c>
      <c r="F975" s="29" t="e">
        <f>VLOOKUP(E975,'점포코드 '!A:B,2,0)</f>
        <v>#N/A</v>
      </c>
      <c r="G975" s="46">
        <f>'Raw data'!F894</f>
        <v>0</v>
      </c>
      <c r="H975" s="4">
        <f>'Raw data'!G894</f>
        <v>0</v>
      </c>
      <c r="I975" s="29" t="e">
        <f>VLOOKUP(G975,제품명!$C$1:$E$114,2,0)</f>
        <v>#N/A</v>
      </c>
      <c r="J975" s="29">
        <f>'Raw data'!K894</f>
        <v>0</v>
      </c>
      <c r="K975" s="31">
        <f>'Raw data'!H894</f>
        <v>0</v>
      </c>
      <c r="L975" s="26">
        <f t="shared" si="34"/>
        <v>0</v>
      </c>
    </row>
    <row r="976" spans="2:12">
      <c r="B976" s="4" t="e">
        <f t="shared" si="33"/>
        <v>#N/A</v>
      </c>
      <c r="C976" s="4">
        <f>'Raw data'!E895</f>
        <v>0</v>
      </c>
      <c r="D976" s="29" t="e">
        <f>VLOOKUP(C976,'점포코드 '!A:B,2,0)</f>
        <v>#N/A</v>
      </c>
      <c r="E976" s="30">
        <f>'Raw data'!P895</f>
        <v>0</v>
      </c>
      <c r="F976" s="29" t="e">
        <f>VLOOKUP(E976,'점포코드 '!A:B,2,0)</f>
        <v>#N/A</v>
      </c>
      <c r="G976" s="46">
        <f>'Raw data'!F895</f>
        <v>0</v>
      </c>
      <c r="H976" s="4">
        <f>'Raw data'!G895</f>
        <v>0</v>
      </c>
      <c r="I976" s="29" t="e">
        <f>VLOOKUP(G976,제품명!$C$1:$E$114,2,0)</f>
        <v>#N/A</v>
      </c>
      <c r="J976" s="29">
        <f>'Raw data'!K895</f>
        <v>0</v>
      </c>
      <c r="K976" s="31">
        <f>'Raw data'!H895</f>
        <v>0</v>
      </c>
      <c r="L976" s="26">
        <f t="shared" si="34"/>
        <v>0</v>
      </c>
    </row>
    <row r="977" spans="2:12">
      <c r="B977" s="4" t="e">
        <f t="shared" si="33"/>
        <v>#N/A</v>
      </c>
      <c r="C977" s="4">
        <f>'Raw data'!E896</f>
        <v>0</v>
      </c>
      <c r="D977" s="29" t="e">
        <f>VLOOKUP(C977,'점포코드 '!A:B,2,0)</f>
        <v>#N/A</v>
      </c>
      <c r="E977" s="30">
        <f>'Raw data'!P896</f>
        <v>0</v>
      </c>
      <c r="F977" s="29" t="e">
        <f>VLOOKUP(E977,'점포코드 '!A:B,2,0)</f>
        <v>#N/A</v>
      </c>
      <c r="G977" s="46">
        <f>'Raw data'!F896</f>
        <v>0</v>
      </c>
      <c r="H977" s="4">
        <f>'Raw data'!G896</f>
        <v>0</v>
      </c>
      <c r="I977" s="29" t="e">
        <f>VLOOKUP(G977,제품명!$C$1:$E$114,2,0)</f>
        <v>#N/A</v>
      </c>
      <c r="J977" s="29">
        <f>'Raw data'!K896</f>
        <v>0</v>
      </c>
      <c r="K977" s="31">
        <f>'Raw data'!H896</f>
        <v>0</v>
      </c>
      <c r="L977" s="26">
        <f t="shared" si="34"/>
        <v>0</v>
      </c>
    </row>
    <row r="978" spans="2:12">
      <c r="B978" s="4" t="e">
        <f t="shared" si="33"/>
        <v>#N/A</v>
      </c>
      <c r="C978" s="4">
        <f>'Raw data'!E897</f>
        <v>0</v>
      </c>
      <c r="D978" s="29" t="e">
        <f>VLOOKUP(C978,'점포코드 '!A:B,2,0)</f>
        <v>#N/A</v>
      </c>
      <c r="E978" s="30">
        <f>'Raw data'!P897</f>
        <v>0</v>
      </c>
      <c r="F978" s="29" t="e">
        <f>VLOOKUP(E978,'점포코드 '!A:B,2,0)</f>
        <v>#N/A</v>
      </c>
      <c r="G978" s="46">
        <f>'Raw data'!F897</f>
        <v>0</v>
      </c>
      <c r="H978" s="4">
        <f>'Raw data'!G897</f>
        <v>0</v>
      </c>
      <c r="I978" s="29" t="e">
        <f>VLOOKUP(G978,제품명!$C$1:$E$114,2,0)</f>
        <v>#N/A</v>
      </c>
      <c r="J978" s="29">
        <f>'Raw data'!K897</f>
        <v>0</v>
      </c>
      <c r="K978" s="31">
        <f>'Raw data'!H897</f>
        <v>0</v>
      </c>
      <c r="L978" s="26">
        <f t="shared" si="34"/>
        <v>0</v>
      </c>
    </row>
    <row r="979" spans="2:12">
      <c r="B979" s="4" t="e">
        <f t="shared" si="33"/>
        <v>#N/A</v>
      </c>
      <c r="C979" s="4">
        <f>'Raw data'!E898</f>
        <v>0</v>
      </c>
      <c r="D979" s="29" t="e">
        <f>VLOOKUP(C979,'점포코드 '!A:B,2,0)</f>
        <v>#N/A</v>
      </c>
      <c r="E979" s="30">
        <f>'Raw data'!P898</f>
        <v>0</v>
      </c>
      <c r="F979" s="29" t="e">
        <f>VLOOKUP(E979,'점포코드 '!A:B,2,0)</f>
        <v>#N/A</v>
      </c>
      <c r="G979" s="46">
        <f>'Raw data'!F898</f>
        <v>0</v>
      </c>
      <c r="H979" s="4">
        <f>'Raw data'!G898</f>
        <v>0</v>
      </c>
      <c r="I979" s="29" t="e">
        <f>VLOOKUP(G979,제품명!$C$1:$E$114,2,0)</f>
        <v>#N/A</v>
      </c>
      <c r="J979" s="29">
        <f>'Raw data'!K898</f>
        <v>0</v>
      </c>
      <c r="K979" s="31">
        <f>'Raw data'!H898</f>
        <v>0</v>
      </c>
      <c r="L979" s="26">
        <f t="shared" si="34"/>
        <v>0</v>
      </c>
    </row>
    <row r="980" spans="2:12">
      <c r="B980" s="4" t="e">
        <f t="shared" si="33"/>
        <v>#N/A</v>
      </c>
      <c r="C980" s="4">
        <f>'Raw data'!E899</f>
        <v>0</v>
      </c>
      <c r="D980" s="29" t="e">
        <f>VLOOKUP(C980,'점포코드 '!A:B,2,0)</f>
        <v>#N/A</v>
      </c>
      <c r="E980" s="30">
        <f>'Raw data'!P899</f>
        <v>0</v>
      </c>
      <c r="F980" s="29" t="e">
        <f>VLOOKUP(E980,'점포코드 '!A:B,2,0)</f>
        <v>#N/A</v>
      </c>
      <c r="G980" s="46">
        <f>'Raw data'!F899</f>
        <v>0</v>
      </c>
      <c r="H980" s="4">
        <f>'Raw data'!G899</f>
        <v>0</v>
      </c>
      <c r="I980" s="29" t="e">
        <f>VLOOKUP(G980,제품명!$C$1:$E$114,2,0)</f>
        <v>#N/A</v>
      </c>
      <c r="J980" s="29">
        <f>'Raw data'!K899</f>
        <v>0</v>
      </c>
      <c r="K980" s="31">
        <f>'Raw data'!H899</f>
        <v>0</v>
      </c>
      <c r="L980" s="26">
        <f t="shared" si="34"/>
        <v>0</v>
      </c>
    </row>
    <row r="981" spans="2:12">
      <c r="B981" s="4" t="e">
        <f t="shared" si="33"/>
        <v>#N/A</v>
      </c>
      <c r="C981" s="4">
        <f>'Raw data'!E900</f>
        <v>0</v>
      </c>
      <c r="D981" s="29" t="e">
        <f>VLOOKUP(C981,'점포코드 '!A:B,2,0)</f>
        <v>#N/A</v>
      </c>
      <c r="E981" s="30">
        <f>'Raw data'!P900</f>
        <v>0</v>
      </c>
      <c r="F981" s="29" t="e">
        <f>VLOOKUP(E981,'점포코드 '!A:B,2,0)</f>
        <v>#N/A</v>
      </c>
      <c r="G981" s="46">
        <f>'Raw data'!F900</f>
        <v>0</v>
      </c>
      <c r="H981" s="4">
        <f>'Raw data'!G900</f>
        <v>0</v>
      </c>
      <c r="I981" s="29" t="e">
        <f>VLOOKUP(G981,제품명!$C$1:$E$114,2,0)</f>
        <v>#N/A</v>
      </c>
      <c r="J981" s="29">
        <f>'Raw data'!K900</f>
        <v>0</v>
      </c>
      <c r="K981" s="31">
        <f>'Raw data'!H900</f>
        <v>0</v>
      </c>
      <c r="L981" s="26">
        <f t="shared" si="34"/>
        <v>0</v>
      </c>
    </row>
    <row r="982" spans="2:12">
      <c r="B982" s="4" t="e">
        <f t="shared" si="33"/>
        <v>#N/A</v>
      </c>
      <c r="C982" s="4">
        <f>'Raw data'!E901</f>
        <v>0</v>
      </c>
      <c r="D982" s="29" t="e">
        <f>VLOOKUP(C982,'점포코드 '!A:B,2,0)</f>
        <v>#N/A</v>
      </c>
      <c r="E982" s="30">
        <f>'Raw data'!P901</f>
        <v>0</v>
      </c>
      <c r="F982" s="29" t="e">
        <f>VLOOKUP(E982,'점포코드 '!A:B,2,0)</f>
        <v>#N/A</v>
      </c>
      <c r="G982" s="46">
        <f>'Raw data'!F901</f>
        <v>0</v>
      </c>
      <c r="H982" s="4">
        <f>'Raw data'!G901</f>
        <v>0</v>
      </c>
      <c r="I982" s="29" t="e">
        <f>VLOOKUP(G982,제품명!$C$1:$E$114,2,0)</f>
        <v>#N/A</v>
      </c>
      <c r="J982" s="29">
        <f>'Raw data'!K901</f>
        <v>0</v>
      </c>
      <c r="K982" s="31">
        <f>'Raw data'!H901</f>
        <v>0</v>
      </c>
      <c r="L982" s="26">
        <f t="shared" si="34"/>
        <v>0</v>
      </c>
    </row>
    <row r="983" spans="2:12">
      <c r="B983" s="4" t="e">
        <f t="shared" si="33"/>
        <v>#N/A</v>
      </c>
      <c r="C983" s="4">
        <f>'Raw data'!E902</f>
        <v>0</v>
      </c>
      <c r="D983" s="29" t="e">
        <f>VLOOKUP(C983,'점포코드 '!A:B,2,0)</f>
        <v>#N/A</v>
      </c>
      <c r="E983" s="30">
        <f>'Raw data'!P902</f>
        <v>0</v>
      </c>
      <c r="F983" s="29" t="e">
        <f>VLOOKUP(E983,'점포코드 '!A:B,2,0)</f>
        <v>#N/A</v>
      </c>
      <c r="G983" s="46">
        <f>'Raw data'!F902</f>
        <v>0</v>
      </c>
      <c r="H983" s="4">
        <f>'Raw data'!G902</f>
        <v>0</v>
      </c>
      <c r="I983" s="29" t="e">
        <f>VLOOKUP(G983,제품명!$C$1:$E$114,2,0)</f>
        <v>#N/A</v>
      </c>
      <c r="J983" s="29">
        <f>'Raw data'!K902</f>
        <v>0</v>
      </c>
      <c r="K983" s="31">
        <f>'Raw data'!H902</f>
        <v>0</v>
      </c>
      <c r="L983" s="26">
        <f t="shared" si="34"/>
        <v>0</v>
      </c>
    </row>
    <row r="984" spans="2:12">
      <c r="B984" s="4" t="e">
        <f t="shared" si="33"/>
        <v>#N/A</v>
      </c>
      <c r="C984" s="4">
        <f>'Raw data'!E903</f>
        <v>0</v>
      </c>
      <c r="D984" s="29" t="e">
        <f>VLOOKUP(C984,'점포코드 '!A:B,2,0)</f>
        <v>#N/A</v>
      </c>
      <c r="E984" s="30">
        <f>'Raw data'!P903</f>
        <v>0</v>
      </c>
      <c r="F984" s="29" t="e">
        <f>VLOOKUP(E984,'점포코드 '!A:B,2,0)</f>
        <v>#N/A</v>
      </c>
      <c r="G984" s="46">
        <f>'Raw data'!F903</f>
        <v>0</v>
      </c>
      <c r="H984" s="4">
        <f>'Raw data'!G903</f>
        <v>0</v>
      </c>
      <c r="I984" s="29" t="e">
        <f>VLOOKUP(G984,제품명!$C$1:$E$114,2,0)</f>
        <v>#N/A</v>
      </c>
      <c r="J984" s="29">
        <f>'Raw data'!K903</f>
        <v>0</v>
      </c>
      <c r="K984" s="31">
        <f>'Raw data'!H903</f>
        <v>0</v>
      </c>
      <c r="L984" s="26">
        <f t="shared" si="34"/>
        <v>0</v>
      </c>
    </row>
    <row r="985" spans="2:12">
      <c r="B985" s="4" t="e">
        <f t="shared" si="33"/>
        <v>#N/A</v>
      </c>
      <c r="C985" s="4">
        <f>'Raw data'!E904</f>
        <v>0</v>
      </c>
      <c r="D985" s="29" t="e">
        <f>VLOOKUP(C985,'점포코드 '!A:B,2,0)</f>
        <v>#N/A</v>
      </c>
      <c r="E985" s="30">
        <f>'Raw data'!P904</f>
        <v>0</v>
      </c>
      <c r="F985" s="29" t="e">
        <f>VLOOKUP(E985,'점포코드 '!A:B,2,0)</f>
        <v>#N/A</v>
      </c>
      <c r="G985" s="46">
        <f>'Raw data'!F904</f>
        <v>0</v>
      </c>
      <c r="H985" s="4">
        <f>'Raw data'!G904</f>
        <v>0</v>
      </c>
      <c r="I985" s="29" t="e">
        <f>VLOOKUP(G985,제품명!$C$1:$E$114,2,0)</f>
        <v>#N/A</v>
      </c>
      <c r="J985" s="29">
        <f>'Raw data'!K904</f>
        <v>0</v>
      </c>
      <c r="K985" s="31">
        <f>'Raw data'!H904</f>
        <v>0</v>
      </c>
      <c r="L985" s="26">
        <f t="shared" si="34"/>
        <v>0</v>
      </c>
    </row>
    <row r="986" spans="2:12">
      <c r="B986" s="4" t="e">
        <f t="shared" si="33"/>
        <v>#N/A</v>
      </c>
      <c r="C986" s="4">
        <f>'Raw data'!E905</f>
        <v>0</v>
      </c>
      <c r="D986" s="29" t="e">
        <f>VLOOKUP(C986,'점포코드 '!A:B,2,0)</f>
        <v>#N/A</v>
      </c>
      <c r="E986" s="30">
        <f>'Raw data'!P905</f>
        <v>0</v>
      </c>
      <c r="F986" s="29" t="e">
        <f>VLOOKUP(E986,'점포코드 '!A:B,2,0)</f>
        <v>#N/A</v>
      </c>
      <c r="G986" s="46">
        <f>'Raw data'!F905</f>
        <v>0</v>
      </c>
      <c r="H986" s="4">
        <f>'Raw data'!G905</f>
        <v>0</v>
      </c>
      <c r="I986" s="29" t="e">
        <f>VLOOKUP(G986,제품명!$C$1:$E$114,2,0)</f>
        <v>#N/A</v>
      </c>
      <c r="J986" s="29">
        <f>'Raw data'!K905</f>
        <v>0</v>
      </c>
      <c r="K986" s="31">
        <f>'Raw data'!H905</f>
        <v>0</v>
      </c>
      <c r="L986" s="26">
        <f t="shared" si="34"/>
        <v>0</v>
      </c>
    </row>
    <row r="987" spans="2:12">
      <c r="B987" s="4" t="e">
        <f t="shared" si="33"/>
        <v>#N/A</v>
      </c>
      <c r="C987" s="4">
        <f>'Raw data'!E906</f>
        <v>0</v>
      </c>
      <c r="D987" s="29" t="e">
        <f>VLOOKUP(C987,'점포코드 '!A:B,2,0)</f>
        <v>#N/A</v>
      </c>
      <c r="E987" s="30">
        <f>'Raw data'!P906</f>
        <v>0</v>
      </c>
      <c r="F987" s="29" t="e">
        <f>VLOOKUP(E987,'점포코드 '!A:B,2,0)</f>
        <v>#N/A</v>
      </c>
      <c r="G987" s="46">
        <f>'Raw data'!F906</f>
        <v>0</v>
      </c>
      <c r="H987" s="4">
        <f>'Raw data'!G906</f>
        <v>0</v>
      </c>
      <c r="I987" s="29" t="e">
        <f>VLOOKUP(G987,제품명!$C$1:$E$114,2,0)</f>
        <v>#N/A</v>
      </c>
      <c r="J987" s="29">
        <f>'Raw data'!K906</f>
        <v>0</v>
      </c>
      <c r="K987" s="31">
        <f>'Raw data'!H906</f>
        <v>0</v>
      </c>
      <c r="L987" s="26">
        <f t="shared" si="34"/>
        <v>0</v>
      </c>
    </row>
    <row r="988" spans="2:12">
      <c r="B988" s="4" t="e">
        <f t="shared" si="33"/>
        <v>#N/A</v>
      </c>
      <c r="C988" s="4">
        <f>'Raw data'!E907</f>
        <v>0</v>
      </c>
      <c r="D988" s="29" t="e">
        <f>VLOOKUP(C988,'점포코드 '!A:B,2,0)</f>
        <v>#N/A</v>
      </c>
      <c r="E988" s="30">
        <f>'Raw data'!P907</f>
        <v>0</v>
      </c>
      <c r="F988" s="29" t="e">
        <f>VLOOKUP(E988,'점포코드 '!A:B,2,0)</f>
        <v>#N/A</v>
      </c>
      <c r="G988" s="46">
        <f>'Raw data'!F907</f>
        <v>0</v>
      </c>
      <c r="H988" s="4">
        <f>'Raw data'!G907</f>
        <v>0</v>
      </c>
      <c r="I988" s="29" t="e">
        <f>VLOOKUP(G988,제품명!$C$1:$E$114,2,0)</f>
        <v>#N/A</v>
      </c>
      <c r="J988" s="29">
        <f>'Raw data'!K907</f>
        <v>0</v>
      </c>
      <c r="K988" s="31">
        <f>'Raw data'!H907</f>
        <v>0</v>
      </c>
      <c r="L988" s="26">
        <f t="shared" si="34"/>
        <v>0</v>
      </c>
    </row>
    <row r="989" spans="2:12">
      <c r="B989" s="4" t="e">
        <f t="shared" si="33"/>
        <v>#N/A</v>
      </c>
      <c r="C989" s="4">
        <f>'Raw data'!E908</f>
        <v>0</v>
      </c>
      <c r="D989" s="29" t="e">
        <f>VLOOKUP(C989,'점포코드 '!A:B,2,0)</f>
        <v>#N/A</v>
      </c>
      <c r="E989" s="30">
        <f>'Raw data'!P908</f>
        <v>0</v>
      </c>
      <c r="F989" s="29" t="e">
        <f>VLOOKUP(E989,'점포코드 '!A:B,2,0)</f>
        <v>#N/A</v>
      </c>
      <c r="G989" s="46">
        <f>'Raw data'!F908</f>
        <v>0</v>
      </c>
      <c r="H989" s="4">
        <f>'Raw data'!G908</f>
        <v>0</v>
      </c>
      <c r="I989" s="29" t="e">
        <f>VLOOKUP(G989,제품명!$C$1:$E$114,2,0)</f>
        <v>#N/A</v>
      </c>
      <c r="J989" s="29">
        <f>'Raw data'!K908</f>
        <v>0</v>
      </c>
      <c r="K989" s="31">
        <f>'Raw data'!H908</f>
        <v>0</v>
      </c>
      <c r="L989" s="26">
        <f t="shared" si="34"/>
        <v>0</v>
      </c>
    </row>
    <row r="990" spans="2:12">
      <c r="B990" s="4" t="e">
        <f t="shared" si="33"/>
        <v>#N/A</v>
      </c>
      <c r="C990" s="4">
        <f>'Raw data'!E909</f>
        <v>0</v>
      </c>
      <c r="D990" s="29" t="e">
        <f>VLOOKUP(C990,'점포코드 '!A:B,2,0)</f>
        <v>#N/A</v>
      </c>
      <c r="E990" s="30">
        <f>'Raw data'!P909</f>
        <v>0</v>
      </c>
      <c r="F990" s="29" t="e">
        <f>VLOOKUP(E990,'점포코드 '!A:B,2,0)</f>
        <v>#N/A</v>
      </c>
      <c r="G990" s="46">
        <f>'Raw data'!F909</f>
        <v>0</v>
      </c>
      <c r="H990" s="4">
        <f>'Raw data'!G909</f>
        <v>0</v>
      </c>
      <c r="I990" s="29" t="e">
        <f>VLOOKUP(G990,제품명!$C$1:$E$114,2,0)</f>
        <v>#N/A</v>
      </c>
      <c r="J990" s="29">
        <f>'Raw data'!K909</f>
        <v>0</v>
      </c>
      <c r="K990" s="31">
        <f>'Raw data'!H909</f>
        <v>0</v>
      </c>
      <c r="L990" s="26">
        <f t="shared" si="34"/>
        <v>0</v>
      </c>
    </row>
    <row r="991" spans="2:12">
      <c r="B991" s="4" t="e">
        <f t="shared" si="33"/>
        <v>#N/A</v>
      </c>
      <c r="C991" s="4">
        <f>'Raw data'!E910</f>
        <v>0</v>
      </c>
      <c r="D991" s="29" t="e">
        <f>VLOOKUP(C991,'점포코드 '!A:B,2,0)</f>
        <v>#N/A</v>
      </c>
      <c r="E991" s="30">
        <f>'Raw data'!P910</f>
        <v>0</v>
      </c>
      <c r="F991" s="29" t="e">
        <f>VLOOKUP(E991,'점포코드 '!A:B,2,0)</f>
        <v>#N/A</v>
      </c>
      <c r="G991" s="46">
        <f>'Raw data'!F910</f>
        <v>0</v>
      </c>
      <c r="H991" s="4">
        <f>'Raw data'!G910</f>
        <v>0</v>
      </c>
      <c r="I991" s="29" t="e">
        <f>VLOOKUP(G991,제품명!$C$1:$E$114,2,0)</f>
        <v>#N/A</v>
      </c>
      <c r="J991" s="29">
        <f>'Raw data'!K910</f>
        <v>0</v>
      </c>
      <c r="K991" s="31">
        <f>'Raw data'!H910</f>
        <v>0</v>
      </c>
      <c r="L991" s="26">
        <f t="shared" si="34"/>
        <v>0</v>
      </c>
    </row>
    <row r="992" spans="2:12">
      <c r="B992" s="4" t="e">
        <f t="shared" si="33"/>
        <v>#N/A</v>
      </c>
      <c r="C992" s="4">
        <f>'Raw data'!E911</f>
        <v>0</v>
      </c>
      <c r="D992" s="29" t="e">
        <f>VLOOKUP(C992,'점포코드 '!A:B,2,0)</f>
        <v>#N/A</v>
      </c>
      <c r="E992" s="30">
        <f>'Raw data'!P911</f>
        <v>0</v>
      </c>
      <c r="F992" s="29" t="e">
        <f>VLOOKUP(E992,'점포코드 '!A:B,2,0)</f>
        <v>#N/A</v>
      </c>
      <c r="G992" s="46">
        <f>'Raw data'!F911</f>
        <v>0</v>
      </c>
      <c r="H992" s="4">
        <f>'Raw data'!G911</f>
        <v>0</v>
      </c>
      <c r="I992" s="29" t="e">
        <f>VLOOKUP(G992,제품명!$C$1:$E$114,2,0)</f>
        <v>#N/A</v>
      </c>
      <c r="J992" s="29">
        <f>'Raw data'!K911</f>
        <v>0</v>
      </c>
      <c r="K992" s="31">
        <f>'Raw data'!H911</f>
        <v>0</v>
      </c>
      <c r="L992" s="26">
        <f t="shared" si="34"/>
        <v>0</v>
      </c>
    </row>
    <row r="993" spans="2:12">
      <c r="B993" s="4" t="e">
        <f t="shared" si="33"/>
        <v>#N/A</v>
      </c>
      <c r="C993" s="4">
        <f>'Raw data'!E912</f>
        <v>0</v>
      </c>
      <c r="D993" s="29" t="e">
        <f>VLOOKUP(C993,'점포코드 '!A:B,2,0)</f>
        <v>#N/A</v>
      </c>
      <c r="E993" s="30">
        <f>'Raw data'!P912</f>
        <v>0</v>
      </c>
      <c r="F993" s="29" t="e">
        <f>VLOOKUP(E993,'점포코드 '!A:B,2,0)</f>
        <v>#N/A</v>
      </c>
      <c r="G993" s="46">
        <f>'Raw data'!F912</f>
        <v>0</v>
      </c>
      <c r="H993" s="4">
        <f>'Raw data'!G912</f>
        <v>0</v>
      </c>
      <c r="I993" s="29" t="e">
        <f>VLOOKUP(G993,제품명!$C$1:$E$114,2,0)</f>
        <v>#N/A</v>
      </c>
      <c r="J993" s="29">
        <f>'Raw data'!K912</f>
        <v>0</v>
      </c>
      <c r="K993" s="31">
        <f>'Raw data'!H912</f>
        <v>0</v>
      </c>
      <c r="L993" s="26">
        <f t="shared" si="34"/>
        <v>0</v>
      </c>
    </row>
    <row r="994" spans="2:12">
      <c r="B994" s="4" t="e">
        <f t="shared" si="33"/>
        <v>#N/A</v>
      </c>
      <c r="C994" s="4">
        <f>'Raw data'!E913</f>
        <v>0</v>
      </c>
      <c r="D994" s="29" t="e">
        <f>VLOOKUP(C994,'점포코드 '!A:B,2,0)</f>
        <v>#N/A</v>
      </c>
      <c r="E994" s="30">
        <f>'Raw data'!P913</f>
        <v>0</v>
      </c>
      <c r="F994" s="29" t="e">
        <f>VLOOKUP(E994,'점포코드 '!A:B,2,0)</f>
        <v>#N/A</v>
      </c>
      <c r="G994" s="46">
        <f>'Raw data'!F913</f>
        <v>0</v>
      </c>
      <c r="H994" s="4">
        <f>'Raw data'!G913</f>
        <v>0</v>
      </c>
      <c r="I994" s="29" t="e">
        <f>VLOOKUP(G994,제품명!$C$1:$E$114,2,0)</f>
        <v>#N/A</v>
      </c>
      <c r="J994" s="29">
        <f>'Raw data'!K913</f>
        <v>0</v>
      </c>
      <c r="K994" s="31">
        <f>'Raw data'!H913</f>
        <v>0</v>
      </c>
      <c r="L994" s="26">
        <f t="shared" si="34"/>
        <v>0</v>
      </c>
    </row>
    <row r="995" spans="2:12">
      <c r="B995" s="4" t="e">
        <f t="shared" si="33"/>
        <v>#N/A</v>
      </c>
      <c r="C995" s="4">
        <f>'Raw data'!E914</f>
        <v>0</v>
      </c>
      <c r="D995" s="29" t="e">
        <f>VLOOKUP(C995,'점포코드 '!A:B,2,0)</f>
        <v>#N/A</v>
      </c>
      <c r="E995" s="30">
        <f>'Raw data'!P914</f>
        <v>0</v>
      </c>
      <c r="F995" s="29" t="e">
        <f>VLOOKUP(E995,'점포코드 '!A:B,2,0)</f>
        <v>#N/A</v>
      </c>
      <c r="G995" s="46">
        <f>'Raw data'!F914</f>
        <v>0</v>
      </c>
      <c r="H995" s="4">
        <f>'Raw data'!G914</f>
        <v>0</v>
      </c>
      <c r="I995" s="29" t="e">
        <f>VLOOKUP(G995,제품명!$C$1:$E$114,2,0)</f>
        <v>#N/A</v>
      </c>
      <c r="J995" s="29">
        <f>'Raw data'!K914</f>
        <v>0</v>
      </c>
      <c r="K995" s="31">
        <f>'Raw data'!H914</f>
        <v>0</v>
      </c>
      <c r="L995" s="26">
        <f t="shared" si="34"/>
        <v>0</v>
      </c>
    </row>
    <row r="996" spans="2:12">
      <c r="B996" s="4" t="e">
        <f t="shared" si="33"/>
        <v>#N/A</v>
      </c>
      <c r="C996" s="4">
        <f>'Raw data'!E915</f>
        <v>0</v>
      </c>
      <c r="D996" s="29" t="e">
        <f>VLOOKUP(C996,'점포코드 '!A:B,2,0)</f>
        <v>#N/A</v>
      </c>
      <c r="E996" s="30">
        <f>'Raw data'!P915</f>
        <v>0</v>
      </c>
      <c r="F996" s="29" t="e">
        <f>VLOOKUP(E996,'점포코드 '!A:B,2,0)</f>
        <v>#N/A</v>
      </c>
      <c r="G996" s="46">
        <f>'Raw data'!F915</f>
        <v>0</v>
      </c>
      <c r="H996" s="4">
        <f>'Raw data'!G915</f>
        <v>0</v>
      </c>
      <c r="I996" s="29" t="e">
        <f>VLOOKUP(G996,제품명!$C$1:$E$114,2,0)</f>
        <v>#N/A</v>
      </c>
      <c r="J996" s="29">
        <f>'Raw data'!K915</f>
        <v>0</v>
      </c>
      <c r="K996" s="31">
        <f>'Raw data'!H915</f>
        <v>0</v>
      </c>
      <c r="L996" s="26">
        <f t="shared" si="34"/>
        <v>0</v>
      </c>
    </row>
    <row r="997" spans="2:12">
      <c r="B997" s="4" t="e">
        <f t="shared" si="33"/>
        <v>#N/A</v>
      </c>
      <c r="C997" s="4">
        <f>'Raw data'!E916</f>
        <v>0</v>
      </c>
      <c r="D997" s="29" t="e">
        <f>VLOOKUP(C997,'점포코드 '!A:B,2,0)</f>
        <v>#N/A</v>
      </c>
      <c r="E997" s="30">
        <f>'Raw data'!P916</f>
        <v>0</v>
      </c>
      <c r="F997" s="29" t="e">
        <f>VLOOKUP(E997,'점포코드 '!A:B,2,0)</f>
        <v>#N/A</v>
      </c>
      <c r="G997" s="46">
        <f>'Raw data'!F916</f>
        <v>0</v>
      </c>
      <c r="H997" s="4">
        <f>'Raw data'!G916</f>
        <v>0</v>
      </c>
      <c r="I997" s="29" t="e">
        <f>VLOOKUP(G997,제품명!$C$1:$E$114,2,0)</f>
        <v>#N/A</v>
      </c>
      <c r="J997" s="29">
        <f>'Raw data'!K916</f>
        <v>0</v>
      </c>
      <c r="K997" s="31">
        <f>'Raw data'!H916</f>
        <v>0</v>
      </c>
      <c r="L997" s="26">
        <f t="shared" si="34"/>
        <v>0</v>
      </c>
    </row>
    <row r="998" spans="2:12">
      <c r="B998" s="4" t="e">
        <f t="shared" si="33"/>
        <v>#N/A</v>
      </c>
      <c r="C998" s="4">
        <f>'Raw data'!E917</f>
        <v>0</v>
      </c>
      <c r="D998" s="29" t="e">
        <f>VLOOKUP(C998,'점포코드 '!A:B,2,0)</f>
        <v>#N/A</v>
      </c>
      <c r="E998" s="30">
        <f>'Raw data'!P917</f>
        <v>0</v>
      </c>
      <c r="F998" s="29" t="e">
        <f>VLOOKUP(E998,'점포코드 '!A:B,2,0)</f>
        <v>#N/A</v>
      </c>
      <c r="G998" s="46">
        <f>'Raw data'!F917</f>
        <v>0</v>
      </c>
      <c r="H998" s="4">
        <f>'Raw data'!G917</f>
        <v>0</v>
      </c>
      <c r="I998" s="29" t="e">
        <f>VLOOKUP(G998,제품명!$C$1:$E$114,2,0)</f>
        <v>#N/A</v>
      </c>
      <c r="J998" s="29">
        <f>'Raw data'!K917</f>
        <v>0</v>
      </c>
      <c r="K998" s="31">
        <f>'Raw data'!H917</f>
        <v>0</v>
      </c>
      <c r="L998" s="26">
        <f t="shared" si="34"/>
        <v>0</v>
      </c>
    </row>
    <row r="999" spans="2:12">
      <c r="B999" s="4" t="e">
        <f t="shared" si="33"/>
        <v>#N/A</v>
      </c>
      <c r="C999" s="4">
        <f>'Raw data'!E918</f>
        <v>0</v>
      </c>
      <c r="D999" s="29" t="e">
        <f>VLOOKUP(C999,'점포코드 '!A:B,2,0)</f>
        <v>#N/A</v>
      </c>
      <c r="E999" s="30">
        <f>'Raw data'!P918</f>
        <v>0</v>
      </c>
      <c r="F999" s="29" t="e">
        <f>VLOOKUP(E999,'점포코드 '!A:B,2,0)</f>
        <v>#N/A</v>
      </c>
      <c r="G999" s="46">
        <f>'Raw data'!F918</f>
        <v>0</v>
      </c>
      <c r="H999" s="4">
        <f>'Raw data'!G918</f>
        <v>0</v>
      </c>
      <c r="I999" s="29" t="e">
        <f>VLOOKUP(G999,제품명!$C$1:$E$114,2,0)</f>
        <v>#N/A</v>
      </c>
      <c r="J999" s="29">
        <f>'Raw data'!K918</f>
        <v>0</v>
      </c>
      <c r="K999" s="31">
        <f>'Raw data'!H918</f>
        <v>0</v>
      </c>
      <c r="L999" s="26">
        <f t="shared" si="34"/>
        <v>0</v>
      </c>
    </row>
    <row r="1000" spans="2:12">
      <c r="B1000" s="4" t="e">
        <f t="shared" si="33"/>
        <v>#N/A</v>
      </c>
      <c r="C1000" s="4">
        <f>'Raw data'!E919</f>
        <v>0</v>
      </c>
      <c r="D1000" s="29" t="e">
        <f>VLOOKUP(C1000,'점포코드 '!A:B,2,0)</f>
        <v>#N/A</v>
      </c>
      <c r="E1000" s="30">
        <f>'Raw data'!P919</f>
        <v>0</v>
      </c>
      <c r="F1000" s="29" t="e">
        <f>VLOOKUP(E1000,'점포코드 '!A:B,2,0)</f>
        <v>#N/A</v>
      </c>
      <c r="G1000" s="46">
        <f>'Raw data'!F919</f>
        <v>0</v>
      </c>
      <c r="H1000" s="4">
        <f>'Raw data'!G919</f>
        <v>0</v>
      </c>
      <c r="I1000" s="29" t="e">
        <f>VLOOKUP(G1000,제품명!$C$1:$E$114,2,0)</f>
        <v>#N/A</v>
      </c>
      <c r="J1000" s="29">
        <f>'Raw data'!K919</f>
        <v>0</v>
      </c>
      <c r="K1000" s="31">
        <f>'Raw data'!H919</f>
        <v>0</v>
      </c>
      <c r="L1000" s="26">
        <f t="shared" si="34"/>
        <v>0</v>
      </c>
    </row>
    <row r="1001" spans="2:12">
      <c r="B1001" s="4" t="e">
        <f t="shared" si="33"/>
        <v>#N/A</v>
      </c>
      <c r="C1001" s="4">
        <f>'Raw data'!E920</f>
        <v>0</v>
      </c>
      <c r="D1001" s="29" t="e">
        <f>VLOOKUP(C1001,'점포코드 '!A:B,2,0)</f>
        <v>#N/A</v>
      </c>
      <c r="E1001" s="30">
        <f>'Raw data'!P920</f>
        <v>0</v>
      </c>
      <c r="F1001" s="29" t="e">
        <f>VLOOKUP(E1001,'점포코드 '!A:B,2,0)</f>
        <v>#N/A</v>
      </c>
      <c r="G1001" s="46">
        <f>'Raw data'!F920</f>
        <v>0</v>
      </c>
      <c r="H1001" s="4">
        <f>'Raw data'!G920</f>
        <v>0</v>
      </c>
      <c r="I1001" s="29" t="e">
        <f>VLOOKUP(G1001,제품명!$C$1:$E$114,2,0)</f>
        <v>#N/A</v>
      </c>
      <c r="J1001" s="29">
        <f>'Raw data'!K920</f>
        <v>0</v>
      </c>
      <c r="K1001" s="31">
        <f>'Raw data'!H920</f>
        <v>0</v>
      </c>
      <c r="L1001" s="26">
        <f t="shared" si="34"/>
        <v>0</v>
      </c>
    </row>
    <row r="1002" spans="2:12">
      <c r="B1002" s="4" t="e">
        <f t="shared" si="33"/>
        <v>#N/A</v>
      </c>
      <c r="C1002" s="4">
        <f>'Raw data'!E921</f>
        <v>0</v>
      </c>
      <c r="D1002" s="29" t="e">
        <f>VLOOKUP(C1002,'점포코드 '!A:B,2,0)</f>
        <v>#N/A</v>
      </c>
      <c r="E1002" s="30">
        <f>'Raw data'!P921</f>
        <v>0</v>
      </c>
      <c r="F1002" s="29" t="e">
        <f>VLOOKUP(E1002,'점포코드 '!A:B,2,0)</f>
        <v>#N/A</v>
      </c>
      <c r="G1002" s="46">
        <f>'Raw data'!F921</f>
        <v>0</v>
      </c>
      <c r="H1002" s="4">
        <f>'Raw data'!G921</f>
        <v>0</v>
      </c>
      <c r="I1002" s="29" t="e">
        <f>VLOOKUP(G1002,제품명!$C$1:$E$114,2,0)</f>
        <v>#N/A</v>
      </c>
      <c r="J1002" s="29">
        <f>'Raw data'!K921</f>
        <v>0</v>
      </c>
      <c r="K1002" s="31">
        <f>'Raw data'!H921</f>
        <v>0</v>
      </c>
      <c r="L1002" s="26">
        <f t="shared" si="34"/>
        <v>0</v>
      </c>
    </row>
    <row r="1003" spans="2:12">
      <c r="B1003" s="4" t="e">
        <f t="shared" si="33"/>
        <v>#N/A</v>
      </c>
      <c r="C1003" s="4">
        <f>'Raw data'!E922</f>
        <v>0</v>
      </c>
      <c r="D1003" s="29" t="e">
        <f>VLOOKUP(C1003,'점포코드 '!A:B,2,0)</f>
        <v>#N/A</v>
      </c>
      <c r="E1003" s="30">
        <f>'Raw data'!P922</f>
        <v>0</v>
      </c>
      <c r="F1003" s="29" t="e">
        <f>VLOOKUP(E1003,'점포코드 '!A:B,2,0)</f>
        <v>#N/A</v>
      </c>
      <c r="G1003" s="46">
        <f>'Raw data'!F922</f>
        <v>0</v>
      </c>
      <c r="H1003" s="4">
        <f>'Raw data'!G922</f>
        <v>0</v>
      </c>
      <c r="I1003" s="29" t="e">
        <f>VLOOKUP(G1003,제품명!$C$1:$E$114,2,0)</f>
        <v>#N/A</v>
      </c>
      <c r="J1003" s="29">
        <f>'Raw data'!K922</f>
        <v>0</v>
      </c>
      <c r="K1003" s="31">
        <f>'Raw data'!H922</f>
        <v>0</v>
      </c>
      <c r="L1003" s="26">
        <f t="shared" si="34"/>
        <v>0</v>
      </c>
    </row>
    <row r="1004" spans="2:12">
      <c r="B1004" s="4" t="e">
        <f t="shared" si="33"/>
        <v>#N/A</v>
      </c>
      <c r="C1004" s="4">
        <f>'Raw data'!E923</f>
        <v>0</v>
      </c>
      <c r="D1004" s="29" t="e">
        <f>VLOOKUP(C1004,'점포코드 '!A:B,2,0)</f>
        <v>#N/A</v>
      </c>
      <c r="E1004" s="30">
        <f>'Raw data'!P923</f>
        <v>0</v>
      </c>
      <c r="F1004" s="29" t="e">
        <f>VLOOKUP(E1004,'점포코드 '!A:B,2,0)</f>
        <v>#N/A</v>
      </c>
      <c r="G1004" s="46">
        <f>'Raw data'!F923</f>
        <v>0</v>
      </c>
      <c r="H1004" s="4">
        <f>'Raw data'!G923</f>
        <v>0</v>
      </c>
      <c r="I1004" s="29" t="e">
        <f>VLOOKUP(G1004,제품명!$C$1:$E$114,2,0)</f>
        <v>#N/A</v>
      </c>
      <c r="J1004" s="29">
        <f>'Raw data'!K923</f>
        <v>0</v>
      </c>
      <c r="K1004" s="31">
        <f>'Raw data'!H923</f>
        <v>0</v>
      </c>
      <c r="L1004" s="26">
        <f t="shared" si="34"/>
        <v>0</v>
      </c>
    </row>
    <row r="1005" spans="2:12">
      <c r="B1005" s="4" t="e">
        <f t="shared" si="33"/>
        <v>#N/A</v>
      </c>
      <c r="C1005" s="4">
        <f>'Raw data'!E924</f>
        <v>0</v>
      </c>
      <c r="D1005" s="29" t="e">
        <f>VLOOKUP(C1005,'점포코드 '!A:B,2,0)</f>
        <v>#N/A</v>
      </c>
      <c r="E1005" s="30">
        <f>'Raw data'!P924</f>
        <v>0</v>
      </c>
      <c r="F1005" s="29" t="e">
        <f>VLOOKUP(E1005,'점포코드 '!A:B,2,0)</f>
        <v>#N/A</v>
      </c>
      <c r="G1005" s="46">
        <f>'Raw data'!F924</f>
        <v>0</v>
      </c>
      <c r="H1005" s="4">
        <f>'Raw data'!G924</f>
        <v>0</v>
      </c>
      <c r="I1005" s="29" t="e">
        <f>VLOOKUP(G1005,제품명!$C$1:$E$114,2,0)</f>
        <v>#N/A</v>
      </c>
      <c r="J1005" s="29">
        <f>'Raw data'!K924</f>
        <v>0</v>
      </c>
      <c r="K1005" s="31">
        <f>'Raw data'!H924</f>
        <v>0</v>
      </c>
      <c r="L1005" s="26">
        <f t="shared" si="34"/>
        <v>0</v>
      </c>
    </row>
    <row r="1006" spans="2:12">
      <c r="B1006" s="4" t="e">
        <f t="shared" si="33"/>
        <v>#N/A</v>
      </c>
      <c r="C1006" s="4">
        <f>'Raw data'!E925</f>
        <v>0</v>
      </c>
      <c r="D1006" s="29" t="e">
        <f>VLOOKUP(C1006,'점포코드 '!A:B,2,0)</f>
        <v>#N/A</v>
      </c>
      <c r="E1006" s="30">
        <f>'Raw data'!P925</f>
        <v>0</v>
      </c>
      <c r="F1006" s="29" t="e">
        <f>VLOOKUP(E1006,'점포코드 '!A:B,2,0)</f>
        <v>#N/A</v>
      </c>
      <c r="G1006" s="46">
        <f>'Raw data'!F925</f>
        <v>0</v>
      </c>
      <c r="H1006" s="4">
        <f>'Raw data'!G925</f>
        <v>0</v>
      </c>
      <c r="I1006" s="29" t="e">
        <f>VLOOKUP(G1006,제품명!$C$1:$E$114,2,0)</f>
        <v>#N/A</v>
      </c>
      <c r="J1006" s="29">
        <f>'Raw data'!K925</f>
        <v>0</v>
      </c>
      <c r="K1006" s="31">
        <f>'Raw data'!H925</f>
        <v>0</v>
      </c>
      <c r="L1006" s="26">
        <f t="shared" si="34"/>
        <v>0</v>
      </c>
    </row>
    <row r="1007" spans="2:12">
      <c r="B1007" s="4" t="e">
        <f t="shared" si="33"/>
        <v>#N/A</v>
      </c>
      <c r="C1007" s="4">
        <f>'Raw data'!E926</f>
        <v>0</v>
      </c>
      <c r="D1007" s="29" t="e">
        <f>VLOOKUP(C1007,'점포코드 '!A:B,2,0)</f>
        <v>#N/A</v>
      </c>
      <c r="E1007" s="30">
        <f>'Raw data'!P926</f>
        <v>0</v>
      </c>
      <c r="F1007" s="29" t="e">
        <f>VLOOKUP(E1007,'점포코드 '!A:B,2,0)</f>
        <v>#N/A</v>
      </c>
      <c r="G1007" s="46">
        <f>'Raw data'!F926</f>
        <v>0</v>
      </c>
      <c r="H1007" s="4">
        <f>'Raw data'!G926</f>
        <v>0</v>
      </c>
      <c r="I1007" s="29" t="e">
        <f>VLOOKUP(G1007,제품명!$C$1:$E$114,2,0)</f>
        <v>#N/A</v>
      </c>
      <c r="J1007" s="29">
        <f>'Raw data'!K926</f>
        <v>0</v>
      </c>
      <c r="K1007" s="31">
        <f>'Raw data'!H926</f>
        <v>0</v>
      </c>
      <c r="L1007" s="26">
        <f t="shared" si="34"/>
        <v>0</v>
      </c>
    </row>
    <row r="1008" spans="2:12">
      <c r="B1008" s="4" t="e">
        <f t="shared" si="33"/>
        <v>#N/A</v>
      </c>
      <c r="C1008" s="4">
        <f>'Raw data'!E927</f>
        <v>0</v>
      </c>
      <c r="D1008" s="29" t="e">
        <f>VLOOKUP(C1008,'점포코드 '!A:B,2,0)</f>
        <v>#N/A</v>
      </c>
      <c r="E1008" s="30">
        <f>'Raw data'!P927</f>
        <v>0</v>
      </c>
      <c r="F1008" s="29" t="e">
        <f>VLOOKUP(E1008,'점포코드 '!A:B,2,0)</f>
        <v>#N/A</v>
      </c>
      <c r="G1008" s="46">
        <f>'Raw data'!F927</f>
        <v>0</v>
      </c>
      <c r="H1008" s="4">
        <f>'Raw data'!G927</f>
        <v>0</v>
      </c>
      <c r="I1008" s="29" t="e">
        <f>VLOOKUP(G1008,제품명!$C$1:$E$114,2,0)</f>
        <v>#N/A</v>
      </c>
      <c r="J1008" s="29">
        <f>'Raw data'!K927</f>
        <v>0</v>
      </c>
      <c r="K1008" s="31">
        <f>'Raw data'!H927</f>
        <v>0</v>
      </c>
      <c r="L1008" s="26">
        <f t="shared" si="34"/>
        <v>0</v>
      </c>
    </row>
    <row r="1009" spans="2:12">
      <c r="B1009" s="4" t="e">
        <f t="shared" si="33"/>
        <v>#N/A</v>
      </c>
      <c r="C1009" s="4">
        <f>'Raw data'!E928</f>
        <v>0</v>
      </c>
      <c r="D1009" s="29" t="e">
        <f>VLOOKUP(C1009,'점포코드 '!A:B,2,0)</f>
        <v>#N/A</v>
      </c>
      <c r="E1009" s="30">
        <f>'Raw data'!P928</f>
        <v>0</v>
      </c>
      <c r="F1009" s="29" t="e">
        <f>VLOOKUP(E1009,'점포코드 '!A:B,2,0)</f>
        <v>#N/A</v>
      </c>
      <c r="G1009" s="46">
        <f>'Raw data'!F928</f>
        <v>0</v>
      </c>
      <c r="H1009" s="4">
        <f>'Raw data'!G928</f>
        <v>0</v>
      </c>
      <c r="I1009" s="29" t="e">
        <f>VLOOKUP(G1009,제품명!$C$1:$E$114,2,0)</f>
        <v>#N/A</v>
      </c>
      <c r="J1009" s="29">
        <f>'Raw data'!K928</f>
        <v>0</v>
      </c>
      <c r="K1009" s="31">
        <f>'Raw data'!H928</f>
        <v>0</v>
      </c>
      <c r="L1009" s="26">
        <f t="shared" si="34"/>
        <v>0</v>
      </c>
    </row>
    <row r="1010" spans="2:12">
      <c r="B1010" s="4" t="e">
        <f t="shared" si="33"/>
        <v>#N/A</v>
      </c>
      <c r="C1010" s="4">
        <f>'Raw data'!E929</f>
        <v>0</v>
      </c>
      <c r="D1010" s="29" t="e">
        <f>VLOOKUP(C1010,'점포코드 '!A:B,2,0)</f>
        <v>#N/A</v>
      </c>
      <c r="E1010" s="30">
        <f>'Raw data'!P929</f>
        <v>0</v>
      </c>
      <c r="F1010" s="29" t="e">
        <f>VLOOKUP(E1010,'점포코드 '!A:B,2,0)</f>
        <v>#N/A</v>
      </c>
      <c r="G1010" s="46">
        <f>'Raw data'!F929</f>
        <v>0</v>
      </c>
      <c r="H1010" s="4">
        <f>'Raw data'!G929</f>
        <v>0</v>
      </c>
      <c r="I1010" s="29" t="e">
        <f>VLOOKUP(G1010,제품명!$C$1:$E$114,2,0)</f>
        <v>#N/A</v>
      </c>
      <c r="J1010" s="29">
        <f>'Raw data'!K929</f>
        <v>0</v>
      </c>
      <c r="K1010" s="31">
        <f>'Raw data'!H929</f>
        <v>0</v>
      </c>
      <c r="L1010" s="26">
        <f t="shared" si="34"/>
        <v>0</v>
      </c>
    </row>
    <row r="1011" spans="2:12">
      <c r="B1011" s="4" t="e">
        <f t="shared" si="33"/>
        <v>#N/A</v>
      </c>
      <c r="C1011" s="4">
        <f>'Raw data'!E930</f>
        <v>0</v>
      </c>
      <c r="D1011" s="29" t="e">
        <f>VLOOKUP(C1011,'점포코드 '!A:B,2,0)</f>
        <v>#N/A</v>
      </c>
      <c r="E1011" s="30">
        <f>'Raw data'!P930</f>
        <v>0</v>
      </c>
      <c r="F1011" s="29" t="e">
        <f>VLOOKUP(E1011,'점포코드 '!A:B,2,0)</f>
        <v>#N/A</v>
      </c>
      <c r="G1011" s="46">
        <f>'Raw data'!F930</f>
        <v>0</v>
      </c>
      <c r="H1011" s="4">
        <f>'Raw data'!G930</f>
        <v>0</v>
      </c>
      <c r="I1011" s="29" t="e">
        <f>VLOOKUP(G1011,제품명!$C$1:$E$114,2,0)</f>
        <v>#N/A</v>
      </c>
      <c r="J1011" s="29">
        <f>'Raw data'!K930</f>
        <v>0</v>
      </c>
      <c r="K1011" s="31">
        <f>'Raw data'!H930</f>
        <v>0</v>
      </c>
      <c r="L1011" s="26">
        <f t="shared" si="34"/>
        <v>0</v>
      </c>
    </row>
    <row r="1012" spans="2:12">
      <c r="B1012" s="4" t="e">
        <f t="shared" si="33"/>
        <v>#N/A</v>
      </c>
      <c r="C1012" s="4">
        <f>'Raw data'!E931</f>
        <v>0</v>
      </c>
      <c r="D1012" s="29" t="e">
        <f>VLOOKUP(C1012,'점포코드 '!A:B,2,0)</f>
        <v>#N/A</v>
      </c>
      <c r="E1012" s="30">
        <f>'Raw data'!P931</f>
        <v>0</v>
      </c>
      <c r="F1012" s="29" t="e">
        <f>VLOOKUP(E1012,'점포코드 '!A:B,2,0)</f>
        <v>#N/A</v>
      </c>
      <c r="G1012" s="46">
        <f>'Raw data'!F931</f>
        <v>0</v>
      </c>
      <c r="H1012" s="4">
        <f>'Raw data'!G931</f>
        <v>0</v>
      </c>
      <c r="I1012" s="29" t="e">
        <f>VLOOKUP(G1012,제품명!$C$1:$E$114,2,0)</f>
        <v>#N/A</v>
      </c>
      <c r="J1012" s="29">
        <f>'Raw data'!K931</f>
        <v>0</v>
      </c>
      <c r="K1012" s="31">
        <f>'Raw data'!H931</f>
        <v>0</v>
      </c>
      <c r="L1012" s="26">
        <f t="shared" si="34"/>
        <v>0</v>
      </c>
    </row>
    <row r="1013" spans="2:12">
      <c r="B1013" s="4" t="e">
        <f t="shared" si="33"/>
        <v>#N/A</v>
      </c>
      <c r="C1013" s="4">
        <f>'Raw data'!E932</f>
        <v>0</v>
      </c>
      <c r="D1013" s="29" t="e">
        <f>VLOOKUP(C1013,'점포코드 '!A:B,2,0)</f>
        <v>#N/A</v>
      </c>
      <c r="E1013" s="30">
        <f>'Raw data'!P932</f>
        <v>0</v>
      </c>
      <c r="F1013" s="29" t="e">
        <f>VLOOKUP(E1013,'점포코드 '!A:B,2,0)</f>
        <v>#N/A</v>
      </c>
      <c r="G1013" s="46">
        <f>'Raw data'!F932</f>
        <v>0</v>
      </c>
      <c r="H1013" s="4">
        <f>'Raw data'!G932</f>
        <v>0</v>
      </c>
      <c r="I1013" s="29" t="e">
        <f>VLOOKUP(G1013,제품명!$C$1:$E$114,2,0)</f>
        <v>#N/A</v>
      </c>
      <c r="J1013" s="29">
        <f>'Raw data'!K932</f>
        <v>0</v>
      </c>
      <c r="K1013" s="31">
        <f>'Raw data'!H932</f>
        <v>0</v>
      </c>
      <c r="L1013" s="26">
        <f t="shared" si="34"/>
        <v>0</v>
      </c>
    </row>
    <row r="1014" spans="2:12">
      <c r="B1014" s="4" t="e">
        <f t="shared" si="33"/>
        <v>#N/A</v>
      </c>
      <c r="C1014" s="4">
        <f>'Raw data'!E933</f>
        <v>0</v>
      </c>
      <c r="D1014" s="29" t="e">
        <f>VLOOKUP(C1014,'점포코드 '!A:B,2,0)</f>
        <v>#N/A</v>
      </c>
      <c r="E1014" s="30">
        <f>'Raw data'!P933</f>
        <v>0</v>
      </c>
      <c r="F1014" s="29" t="e">
        <f>VLOOKUP(E1014,'점포코드 '!A:B,2,0)</f>
        <v>#N/A</v>
      </c>
      <c r="G1014" s="46">
        <f>'Raw data'!F933</f>
        <v>0</v>
      </c>
      <c r="H1014" s="4">
        <f>'Raw data'!G933</f>
        <v>0</v>
      </c>
      <c r="I1014" s="29" t="e">
        <f>VLOOKUP(G1014,제품명!$C$1:$E$114,2,0)</f>
        <v>#N/A</v>
      </c>
      <c r="J1014" s="29">
        <f>'Raw data'!K933</f>
        <v>0</v>
      </c>
      <c r="K1014" s="31">
        <f>'Raw data'!H933</f>
        <v>0</v>
      </c>
      <c r="L1014" s="26">
        <f t="shared" si="34"/>
        <v>0</v>
      </c>
    </row>
    <row r="1015" spans="2:12">
      <c r="B1015" s="4" t="e">
        <f t="shared" si="33"/>
        <v>#N/A</v>
      </c>
      <c r="C1015" s="4">
        <f>'Raw data'!E934</f>
        <v>0</v>
      </c>
      <c r="D1015" s="29" t="e">
        <f>VLOOKUP(C1015,'점포코드 '!A:B,2,0)</f>
        <v>#N/A</v>
      </c>
      <c r="E1015" s="30">
        <f>'Raw data'!P934</f>
        <v>0</v>
      </c>
      <c r="F1015" s="29" t="e">
        <f>VLOOKUP(E1015,'점포코드 '!A:B,2,0)</f>
        <v>#N/A</v>
      </c>
      <c r="G1015" s="46">
        <f>'Raw data'!F934</f>
        <v>0</v>
      </c>
      <c r="H1015" s="4">
        <f>'Raw data'!G934</f>
        <v>0</v>
      </c>
      <c r="I1015" s="29" t="e">
        <f>VLOOKUP(G1015,제품명!$C$1:$E$114,2,0)</f>
        <v>#N/A</v>
      </c>
      <c r="J1015" s="29">
        <f>'Raw data'!K934</f>
        <v>0</v>
      </c>
      <c r="K1015" s="31">
        <f>'Raw data'!H934</f>
        <v>0</v>
      </c>
      <c r="L1015" s="26">
        <f t="shared" si="34"/>
        <v>0</v>
      </c>
    </row>
    <row r="1016" spans="2:12">
      <c r="B1016" s="4" t="e">
        <f t="shared" si="33"/>
        <v>#N/A</v>
      </c>
      <c r="C1016" s="4">
        <f>'Raw data'!E935</f>
        <v>0</v>
      </c>
      <c r="D1016" s="29" t="e">
        <f>VLOOKUP(C1016,'점포코드 '!A:B,2,0)</f>
        <v>#N/A</v>
      </c>
      <c r="E1016" s="30">
        <f>'Raw data'!P935</f>
        <v>0</v>
      </c>
      <c r="F1016" s="29" t="e">
        <f>VLOOKUP(E1016,'점포코드 '!A:B,2,0)</f>
        <v>#N/A</v>
      </c>
      <c r="G1016" s="46">
        <f>'Raw data'!F935</f>
        <v>0</v>
      </c>
      <c r="H1016" s="4">
        <f>'Raw data'!G935</f>
        <v>0</v>
      </c>
      <c r="I1016" s="29" t="e">
        <f>VLOOKUP(G1016,제품명!$C$1:$E$114,2,0)</f>
        <v>#N/A</v>
      </c>
      <c r="J1016" s="29">
        <f>'Raw data'!K935</f>
        <v>0</v>
      </c>
      <c r="K1016" s="31">
        <f>'Raw data'!H935</f>
        <v>0</v>
      </c>
      <c r="L1016" s="26">
        <f t="shared" si="34"/>
        <v>0</v>
      </c>
    </row>
    <row r="1017" spans="2:12">
      <c r="B1017" s="4" t="e">
        <f t="shared" si="33"/>
        <v>#N/A</v>
      </c>
      <c r="C1017" s="4">
        <f>'Raw data'!E936</f>
        <v>0</v>
      </c>
      <c r="D1017" s="29" t="e">
        <f>VLOOKUP(C1017,'점포코드 '!A:B,2,0)</f>
        <v>#N/A</v>
      </c>
      <c r="E1017" s="30">
        <f>'Raw data'!P936</f>
        <v>0</v>
      </c>
      <c r="F1017" s="29" t="e">
        <f>VLOOKUP(E1017,'점포코드 '!A:B,2,0)</f>
        <v>#N/A</v>
      </c>
      <c r="G1017" s="46">
        <f>'Raw data'!F936</f>
        <v>0</v>
      </c>
      <c r="H1017" s="4">
        <f>'Raw data'!G936</f>
        <v>0</v>
      </c>
      <c r="I1017" s="29" t="e">
        <f>VLOOKUP(G1017,제품명!$C$1:$E$114,2,0)</f>
        <v>#N/A</v>
      </c>
      <c r="J1017" s="29">
        <f>'Raw data'!K936</f>
        <v>0</v>
      </c>
      <c r="K1017" s="31">
        <f>'Raw data'!H936</f>
        <v>0</v>
      </c>
      <c r="L1017" s="26">
        <f t="shared" si="34"/>
        <v>0</v>
      </c>
    </row>
    <row r="1018" spans="2:12">
      <c r="B1018" s="4" t="e">
        <f t="shared" si="33"/>
        <v>#N/A</v>
      </c>
      <c r="C1018" s="4">
        <f>'Raw data'!E937</f>
        <v>0</v>
      </c>
      <c r="D1018" s="29" t="e">
        <f>VLOOKUP(C1018,'점포코드 '!A:B,2,0)</f>
        <v>#N/A</v>
      </c>
      <c r="E1018" s="30">
        <f>'Raw data'!P937</f>
        <v>0</v>
      </c>
      <c r="F1018" s="29" t="e">
        <f>VLOOKUP(E1018,'점포코드 '!A:B,2,0)</f>
        <v>#N/A</v>
      </c>
      <c r="G1018" s="46">
        <f>'Raw data'!F937</f>
        <v>0</v>
      </c>
      <c r="H1018" s="4">
        <f>'Raw data'!G937</f>
        <v>0</v>
      </c>
      <c r="I1018" s="29" t="e">
        <f>VLOOKUP(G1018,제품명!$C$1:$E$114,2,0)</f>
        <v>#N/A</v>
      </c>
      <c r="J1018" s="29">
        <f>'Raw data'!K937</f>
        <v>0</v>
      </c>
      <c r="K1018" s="31">
        <f>'Raw data'!H937</f>
        <v>0</v>
      </c>
      <c r="L1018" s="26">
        <f t="shared" si="34"/>
        <v>0</v>
      </c>
    </row>
    <row r="1019" spans="2:12">
      <c r="B1019" s="4" t="e">
        <f t="shared" si="33"/>
        <v>#N/A</v>
      </c>
      <c r="C1019" s="4">
        <f>'Raw data'!E938</f>
        <v>0</v>
      </c>
      <c r="D1019" s="29" t="e">
        <f>VLOOKUP(C1019,'점포코드 '!A:B,2,0)</f>
        <v>#N/A</v>
      </c>
      <c r="E1019" s="30">
        <f>'Raw data'!P938</f>
        <v>0</v>
      </c>
      <c r="F1019" s="29" t="e">
        <f>VLOOKUP(E1019,'점포코드 '!A:B,2,0)</f>
        <v>#N/A</v>
      </c>
      <c r="G1019" s="46">
        <f>'Raw data'!F938</f>
        <v>0</v>
      </c>
      <c r="H1019" s="4">
        <f>'Raw data'!G938</f>
        <v>0</v>
      </c>
      <c r="I1019" s="29" t="e">
        <f>VLOOKUP(G1019,제품명!$C$1:$E$114,2,0)</f>
        <v>#N/A</v>
      </c>
      <c r="J1019" s="29">
        <f>'Raw data'!K938</f>
        <v>0</v>
      </c>
      <c r="K1019" s="31">
        <f>'Raw data'!H938</f>
        <v>0</v>
      </c>
      <c r="L1019" s="26">
        <f t="shared" si="34"/>
        <v>0</v>
      </c>
    </row>
    <row r="1020" spans="2:12">
      <c r="B1020" s="4" t="e">
        <f t="shared" si="33"/>
        <v>#N/A</v>
      </c>
      <c r="C1020" s="4">
        <f>'Raw data'!E939</f>
        <v>0</v>
      </c>
      <c r="D1020" s="29" t="e">
        <f>VLOOKUP(C1020,'점포코드 '!A:B,2,0)</f>
        <v>#N/A</v>
      </c>
      <c r="E1020" s="30">
        <f>'Raw data'!P939</f>
        <v>0</v>
      </c>
      <c r="F1020" s="29" t="e">
        <f>VLOOKUP(E1020,'점포코드 '!A:B,2,0)</f>
        <v>#N/A</v>
      </c>
      <c r="G1020" s="46">
        <f>'Raw data'!F939</f>
        <v>0</v>
      </c>
      <c r="H1020" s="4">
        <f>'Raw data'!G939</f>
        <v>0</v>
      </c>
      <c r="I1020" s="29" t="e">
        <f>VLOOKUP(G1020,제품명!$C$1:$E$114,2,0)</f>
        <v>#N/A</v>
      </c>
      <c r="J1020" s="29">
        <f>'Raw data'!K939</f>
        <v>0</v>
      </c>
      <c r="K1020" s="31">
        <f>'Raw data'!H939</f>
        <v>0</v>
      </c>
      <c r="L1020" s="26">
        <f t="shared" si="34"/>
        <v>0</v>
      </c>
    </row>
    <row r="1021" spans="2:12">
      <c r="B1021" s="4" t="e">
        <f t="shared" si="33"/>
        <v>#N/A</v>
      </c>
      <c r="C1021" s="4">
        <f>'Raw data'!E940</f>
        <v>0</v>
      </c>
      <c r="D1021" s="29" t="e">
        <f>VLOOKUP(C1021,'점포코드 '!A:B,2,0)</f>
        <v>#N/A</v>
      </c>
      <c r="E1021" s="30">
        <f>'Raw data'!P940</f>
        <v>0</v>
      </c>
      <c r="F1021" s="29" t="e">
        <f>VLOOKUP(E1021,'점포코드 '!A:B,2,0)</f>
        <v>#N/A</v>
      </c>
      <c r="G1021" s="46">
        <f>'Raw data'!F940</f>
        <v>0</v>
      </c>
      <c r="H1021" s="4">
        <f>'Raw data'!G940</f>
        <v>0</v>
      </c>
      <c r="I1021" s="29" t="e">
        <f>VLOOKUP(G1021,제품명!$C$1:$E$114,2,0)</f>
        <v>#N/A</v>
      </c>
      <c r="J1021" s="29">
        <f>'Raw data'!K940</f>
        <v>0</v>
      </c>
      <c r="K1021" s="31">
        <f>'Raw data'!H940</f>
        <v>0</v>
      </c>
      <c r="L1021" s="26">
        <f t="shared" si="34"/>
        <v>0</v>
      </c>
    </row>
    <row r="1022" spans="2:12">
      <c r="B1022" s="4" t="e">
        <f t="shared" si="33"/>
        <v>#N/A</v>
      </c>
      <c r="C1022" s="4">
        <f>'Raw data'!E941</f>
        <v>0</v>
      </c>
      <c r="D1022" s="29" t="e">
        <f>VLOOKUP(C1022,'점포코드 '!A:B,2,0)</f>
        <v>#N/A</v>
      </c>
      <c r="E1022" s="30">
        <f>'Raw data'!P941</f>
        <v>0</v>
      </c>
      <c r="F1022" s="29" t="e">
        <f>VLOOKUP(E1022,'점포코드 '!A:B,2,0)</f>
        <v>#N/A</v>
      </c>
      <c r="G1022" s="46">
        <f>'Raw data'!F941</f>
        <v>0</v>
      </c>
      <c r="H1022" s="4">
        <f>'Raw data'!G941</f>
        <v>0</v>
      </c>
      <c r="I1022" s="29" t="e">
        <f>VLOOKUP(G1022,제품명!$C$1:$E$114,2,0)</f>
        <v>#N/A</v>
      </c>
      <c r="J1022" s="29">
        <f>'Raw data'!K941</f>
        <v>0</v>
      </c>
      <c r="K1022" s="31">
        <f>'Raw data'!H941</f>
        <v>0</v>
      </c>
      <c r="L1022" s="26">
        <f t="shared" si="34"/>
        <v>0</v>
      </c>
    </row>
    <row r="1023" spans="2:12">
      <c r="B1023" s="4" t="e">
        <f t="shared" si="33"/>
        <v>#N/A</v>
      </c>
      <c r="C1023" s="4">
        <f>'Raw data'!E942</f>
        <v>0</v>
      </c>
      <c r="D1023" s="29" t="e">
        <f>VLOOKUP(C1023,'점포코드 '!A:B,2,0)</f>
        <v>#N/A</v>
      </c>
      <c r="E1023" s="30">
        <f>'Raw data'!P942</f>
        <v>0</v>
      </c>
      <c r="F1023" s="29" t="e">
        <f>VLOOKUP(E1023,'점포코드 '!A:B,2,0)</f>
        <v>#N/A</v>
      </c>
      <c r="G1023" s="46">
        <f>'Raw data'!F942</f>
        <v>0</v>
      </c>
      <c r="H1023" s="4">
        <f>'Raw data'!G942</f>
        <v>0</v>
      </c>
      <c r="I1023" s="29" t="e">
        <f>VLOOKUP(G1023,제품명!$C$1:$E$114,2,0)</f>
        <v>#N/A</v>
      </c>
      <c r="J1023" s="29">
        <f>'Raw data'!K942</f>
        <v>0</v>
      </c>
      <c r="K1023" s="31">
        <f>'Raw data'!H942</f>
        <v>0</v>
      </c>
      <c r="L1023" s="26">
        <f t="shared" si="34"/>
        <v>0</v>
      </c>
    </row>
    <row r="1024" spans="2:12">
      <c r="B1024" s="4" t="e">
        <f t="shared" si="33"/>
        <v>#N/A</v>
      </c>
      <c r="C1024" s="4">
        <f>'Raw data'!E943</f>
        <v>0</v>
      </c>
      <c r="D1024" s="29" t="e">
        <f>VLOOKUP(C1024,'점포코드 '!A:B,2,0)</f>
        <v>#N/A</v>
      </c>
      <c r="E1024" s="30">
        <f>'Raw data'!P943</f>
        <v>0</v>
      </c>
      <c r="F1024" s="29" t="e">
        <f>VLOOKUP(E1024,'점포코드 '!A:B,2,0)</f>
        <v>#N/A</v>
      </c>
      <c r="G1024" s="46">
        <f>'Raw data'!F943</f>
        <v>0</v>
      </c>
      <c r="H1024" s="4">
        <f>'Raw data'!G943</f>
        <v>0</v>
      </c>
      <c r="I1024" s="29" t="e">
        <f>VLOOKUP(G1024,제품명!$C$1:$E$114,2,0)</f>
        <v>#N/A</v>
      </c>
      <c r="J1024" s="29">
        <f>'Raw data'!K943</f>
        <v>0</v>
      </c>
      <c r="K1024" s="31">
        <f>'Raw data'!H943</f>
        <v>0</v>
      </c>
      <c r="L1024" s="26">
        <f t="shared" si="34"/>
        <v>0</v>
      </c>
    </row>
    <row r="1025" spans="2:12">
      <c r="B1025" s="4" t="e">
        <f t="shared" si="33"/>
        <v>#N/A</v>
      </c>
      <c r="C1025" s="4">
        <f>'Raw data'!E944</f>
        <v>0</v>
      </c>
      <c r="D1025" s="29" t="e">
        <f>VLOOKUP(C1025,'점포코드 '!A:B,2,0)</f>
        <v>#N/A</v>
      </c>
      <c r="E1025" s="30">
        <f>'Raw data'!P944</f>
        <v>0</v>
      </c>
      <c r="F1025" s="29" t="e">
        <f>VLOOKUP(E1025,'점포코드 '!A:B,2,0)</f>
        <v>#N/A</v>
      </c>
      <c r="G1025" s="46">
        <f>'Raw data'!F944</f>
        <v>0</v>
      </c>
      <c r="H1025" s="4">
        <f>'Raw data'!G944</f>
        <v>0</v>
      </c>
      <c r="I1025" s="29" t="e">
        <f>VLOOKUP(G1025,제품명!$C$1:$E$114,2,0)</f>
        <v>#N/A</v>
      </c>
      <c r="J1025" s="29">
        <f>'Raw data'!K944</f>
        <v>0</v>
      </c>
      <c r="K1025" s="31">
        <f>'Raw data'!H944</f>
        <v>0</v>
      </c>
      <c r="L1025" s="26">
        <f t="shared" si="34"/>
        <v>0</v>
      </c>
    </row>
    <row r="1026" spans="2:12">
      <c r="B1026" s="4" t="e">
        <f t="shared" ref="B1026:B1089" si="35">F1026&amp;I1026</f>
        <v>#REF!</v>
      </c>
      <c r="C1026" s="4" t="e">
        <f>'Raw data'!#REF!</f>
        <v>#REF!</v>
      </c>
      <c r="D1026" s="29" t="e">
        <f>VLOOKUP(C1026,'점포코드 '!A:B,2,0)</f>
        <v>#REF!</v>
      </c>
      <c r="E1026" s="30" t="e">
        <f>'Raw data'!#REF!</f>
        <v>#REF!</v>
      </c>
      <c r="F1026" s="29" t="e">
        <f>VLOOKUP(E1026,'점포코드 '!A:B,2,0)</f>
        <v>#REF!</v>
      </c>
      <c r="G1026" s="46" t="e">
        <f>'Raw data'!#REF!</f>
        <v>#REF!</v>
      </c>
      <c r="H1026" s="4" t="e">
        <f>'Raw data'!#REF!</f>
        <v>#REF!</v>
      </c>
      <c r="I1026" s="29" t="e">
        <f>VLOOKUP(G1026,제품명!$C$1:$E$114,2,0)</f>
        <v>#REF!</v>
      </c>
      <c r="J1026" s="29" t="e">
        <f>'Raw data'!#REF!</f>
        <v>#REF!</v>
      </c>
      <c r="K1026" s="31" t="e">
        <f>'Raw data'!#REF!</f>
        <v>#REF!</v>
      </c>
      <c r="L1026" s="26" t="e">
        <f t="shared" si="34"/>
        <v>#REF!</v>
      </c>
    </row>
    <row r="1027" spans="2:12">
      <c r="B1027" s="4" t="e">
        <f t="shared" si="35"/>
        <v>#REF!</v>
      </c>
      <c r="C1027" s="4" t="e">
        <f>'Raw data'!#REF!</f>
        <v>#REF!</v>
      </c>
      <c r="D1027" s="29" t="e">
        <f>VLOOKUP(C1027,'점포코드 '!A:B,2,0)</f>
        <v>#REF!</v>
      </c>
      <c r="E1027" s="30" t="e">
        <f>'Raw data'!#REF!</f>
        <v>#REF!</v>
      </c>
      <c r="F1027" s="29" t="e">
        <f>VLOOKUP(E1027,'점포코드 '!A:B,2,0)</f>
        <v>#REF!</v>
      </c>
      <c r="G1027" s="46" t="e">
        <f>'Raw data'!#REF!</f>
        <v>#REF!</v>
      </c>
      <c r="H1027" s="4" t="e">
        <f>'Raw data'!#REF!</f>
        <v>#REF!</v>
      </c>
      <c r="I1027" s="29" t="e">
        <f>VLOOKUP(G1027,제품명!$C$1:$E$114,2,0)</f>
        <v>#REF!</v>
      </c>
      <c r="J1027" s="29" t="e">
        <f>'Raw data'!#REF!</f>
        <v>#REF!</v>
      </c>
      <c r="K1027" s="31" t="e">
        <f>'Raw data'!#REF!</f>
        <v>#REF!</v>
      </c>
      <c r="L1027" s="26" t="e">
        <f t="shared" ref="L1027:L1090" si="36">J1027*K1027</f>
        <v>#REF!</v>
      </c>
    </row>
    <row r="1028" spans="2:12">
      <c r="B1028" s="4" t="e">
        <f t="shared" si="35"/>
        <v>#REF!</v>
      </c>
      <c r="C1028" s="4" t="e">
        <f>'Raw data'!#REF!</f>
        <v>#REF!</v>
      </c>
      <c r="D1028" s="29" t="e">
        <f>VLOOKUP(C1028,'점포코드 '!A:B,2,0)</f>
        <v>#REF!</v>
      </c>
      <c r="E1028" s="30" t="e">
        <f>'Raw data'!#REF!</f>
        <v>#REF!</v>
      </c>
      <c r="F1028" s="29" t="e">
        <f>VLOOKUP(E1028,'점포코드 '!A:B,2,0)</f>
        <v>#REF!</v>
      </c>
      <c r="G1028" s="46" t="e">
        <f>'Raw data'!#REF!</f>
        <v>#REF!</v>
      </c>
      <c r="H1028" s="4" t="e">
        <f>'Raw data'!#REF!</f>
        <v>#REF!</v>
      </c>
      <c r="I1028" s="29" t="e">
        <f>VLOOKUP(G1028,제품명!$C$1:$E$114,2,0)</f>
        <v>#REF!</v>
      </c>
      <c r="J1028" s="29" t="e">
        <f>'Raw data'!#REF!</f>
        <v>#REF!</v>
      </c>
      <c r="K1028" s="31" t="e">
        <f>'Raw data'!#REF!</f>
        <v>#REF!</v>
      </c>
      <c r="L1028" s="26" t="e">
        <f t="shared" si="36"/>
        <v>#REF!</v>
      </c>
    </row>
    <row r="1029" spans="2:12">
      <c r="B1029" s="4" t="e">
        <f t="shared" si="35"/>
        <v>#REF!</v>
      </c>
      <c r="C1029" s="4" t="e">
        <f>'Raw data'!#REF!</f>
        <v>#REF!</v>
      </c>
      <c r="D1029" s="29" t="e">
        <f>VLOOKUP(C1029,'점포코드 '!A:B,2,0)</f>
        <v>#REF!</v>
      </c>
      <c r="E1029" s="30" t="e">
        <f>'Raw data'!#REF!</f>
        <v>#REF!</v>
      </c>
      <c r="F1029" s="29" t="e">
        <f>VLOOKUP(E1029,'점포코드 '!A:B,2,0)</f>
        <v>#REF!</v>
      </c>
      <c r="G1029" s="46" t="e">
        <f>'Raw data'!#REF!</f>
        <v>#REF!</v>
      </c>
      <c r="H1029" s="4" t="e">
        <f>'Raw data'!#REF!</f>
        <v>#REF!</v>
      </c>
      <c r="I1029" s="29" t="e">
        <f>VLOOKUP(G1029,제품명!$C$1:$E$114,2,0)</f>
        <v>#REF!</v>
      </c>
      <c r="J1029" s="29" t="e">
        <f>'Raw data'!#REF!</f>
        <v>#REF!</v>
      </c>
      <c r="K1029" s="31" t="e">
        <f>'Raw data'!#REF!</f>
        <v>#REF!</v>
      </c>
      <c r="L1029" s="26" t="e">
        <f t="shared" si="36"/>
        <v>#REF!</v>
      </c>
    </row>
    <row r="1030" spans="2:12">
      <c r="B1030" s="4" t="e">
        <f t="shared" si="35"/>
        <v>#REF!</v>
      </c>
      <c r="C1030" s="4" t="e">
        <f>'Raw data'!#REF!</f>
        <v>#REF!</v>
      </c>
      <c r="D1030" s="29" t="e">
        <f>VLOOKUP(C1030,'점포코드 '!A:B,2,0)</f>
        <v>#REF!</v>
      </c>
      <c r="E1030" s="30" t="e">
        <f>'Raw data'!#REF!</f>
        <v>#REF!</v>
      </c>
      <c r="F1030" s="29" t="e">
        <f>VLOOKUP(E1030,'점포코드 '!A:B,2,0)</f>
        <v>#REF!</v>
      </c>
      <c r="G1030" s="46" t="e">
        <f>'Raw data'!#REF!</f>
        <v>#REF!</v>
      </c>
      <c r="H1030" s="4" t="e">
        <f>'Raw data'!#REF!</f>
        <v>#REF!</v>
      </c>
      <c r="I1030" s="29" t="e">
        <f>VLOOKUP(G1030,제품명!$C$1:$E$114,2,0)</f>
        <v>#REF!</v>
      </c>
      <c r="J1030" s="29" t="e">
        <f>'Raw data'!#REF!</f>
        <v>#REF!</v>
      </c>
      <c r="K1030" s="31" t="e">
        <f>'Raw data'!#REF!</f>
        <v>#REF!</v>
      </c>
      <c r="L1030" s="26" t="e">
        <f t="shared" si="36"/>
        <v>#REF!</v>
      </c>
    </row>
    <row r="1031" spans="2:12">
      <c r="B1031" s="4" t="e">
        <f t="shared" si="35"/>
        <v>#REF!</v>
      </c>
      <c r="C1031" s="4" t="e">
        <f>'Raw data'!#REF!</f>
        <v>#REF!</v>
      </c>
      <c r="D1031" s="29" t="e">
        <f>VLOOKUP(C1031,'점포코드 '!A:B,2,0)</f>
        <v>#REF!</v>
      </c>
      <c r="E1031" s="30" t="e">
        <f>'Raw data'!#REF!</f>
        <v>#REF!</v>
      </c>
      <c r="F1031" s="29" t="e">
        <f>VLOOKUP(E1031,'점포코드 '!A:B,2,0)</f>
        <v>#REF!</v>
      </c>
      <c r="G1031" s="46" t="e">
        <f>'Raw data'!#REF!</f>
        <v>#REF!</v>
      </c>
      <c r="H1031" s="4" t="e">
        <f>'Raw data'!#REF!</f>
        <v>#REF!</v>
      </c>
      <c r="I1031" s="29" t="e">
        <f>VLOOKUP(G1031,제품명!$C$1:$E$114,2,0)</f>
        <v>#REF!</v>
      </c>
      <c r="J1031" s="29" t="e">
        <f>'Raw data'!#REF!</f>
        <v>#REF!</v>
      </c>
      <c r="K1031" s="31" t="e">
        <f>'Raw data'!#REF!</f>
        <v>#REF!</v>
      </c>
      <c r="L1031" s="26" t="e">
        <f t="shared" si="36"/>
        <v>#REF!</v>
      </c>
    </row>
    <row r="1032" spans="2:12">
      <c r="B1032" s="4" t="e">
        <f t="shared" si="35"/>
        <v>#REF!</v>
      </c>
      <c r="C1032" s="4" t="e">
        <f>'Raw data'!#REF!</f>
        <v>#REF!</v>
      </c>
      <c r="D1032" s="29" t="e">
        <f>VLOOKUP(C1032,'점포코드 '!A:B,2,0)</f>
        <v>#REF!</v>
      </c>
      <c r="E1032" s="30" t="e">
        <f>'Raw data'!#REF!</f>
        <v>#REF!</v>
      </c>
      <c r="F1032" s="29" t="e">
        <f>VLOOKUP(E1032,'점포코드 '!A:B,2,0)</f>
        <v>#REF!</v>
      </c>
      <c r="G1032" s="46" t="e">
        <f>'Raw data'!#REF!</f>
        <v>#REF!</v>
      </c>
      <c r="H1032" s="4" t="e">
        <f>'Raw data'!#REF!</f>
        <v>#REF!</v>
      </c>
      <c r="I1032" s="29" t="e">
        <f>VLOOKUP(G1032,제품명!$C$1:$E$114,2,0)</f>
        <v>#REF!</v>
      </c>
      <c r="J1032" s="29" t="e">
        <f>'Raw data'!#REF!</f>
        <v>#REF!</v>
      </c>
      <c r="K1032" s="31" t="e">
        <f>'Raw data'!#REF!</f>
        <v>#REF!</v>
      </c>
      <c r="L1032" s="26" t="e">
        <f t="shared" si="36"/>
        <v>#REF!</v>
      </c>
    </row>
    <row r="1033" spans="2:12">
      <c r="B1033" s="4" t="e">
        <f t="shared" si="35"/>
        <v>#REF!</v>
      </c>
      <c r="C1033" s="4" t="e">
        <f>'Raw data'!#REF!</f>
        <v>#REF!</v>
      </c>
      <c r="D1033" s="29" t="e">
        <f>VLOOKUP(C1033,'점포코드 '!A:B,2,0)</f>
        <v>#REF!</v>
      </c>
      <c r="E1033" s="30" t="e">
        <f>'Raw data'!#REF!</f>
        <v>#REF!</v>
      </c>
      <c r="F1033" s="29" t="e">
        <f>VLOOKUP(E1033,'점포코드 '!A:B,2,0)</f>
        <v>#REF!</v>
      </c>
      <c r="G1033" s="46" t="e">
        <f>'Raw data'!#REF!</f>
        <v>#REF!</v>
      </c>
      <c r="H1033" s="4" t="e">
        <f>'Raw data'!#REF!</f>
        <v>#REF!</v>
      </c>
      <c r="I1033" s="29" t="e">
        <f>VLOOKUP(G1033,제품명!$C$1:$E$114,2,0)</f>
        <v>#REF!</v>
      </c>
      <c r="J1033" s="29" t="e">
        <f>'Raw data'!#REF!</f>
        <v>#REF!</v>
      </c>
      <c r="K1033" s="31" t="e">
        <f>'Raw data'!#REF!</f>
        <v>#REF!</v>
      </c>
      <c r="L1033" s="26" t="e">
        <f t="shared" si="36"/>
        <v>#REF!</v>
      </c>
    </row>
    <row r="1034" spans="2:12">
      <c r="B1034" s="4" t="e">
        <f t="shared" si="35"/>
        <v>#REF!</v>
      </c>
      <c r="C1034" s="4" t="e">
        <f>'Raw data'!#REF!</f>
        <v>#REF!</v>
      </c>
      <c r="D1034" s="29" t="e">
        <f>VLOOKUP(C1034,'점포코드 '!A:B,2,0)</f>
        <v>#REF!</v>
      </c>
      <c r="E1034" s="30" t="e">
        <f>'Raw data'!#REF!</f>
        <v>#REF!</v>
      </c>
      <c r="F1034" s="29" t="e">
        <f>VLOOKUP(E1034,'점포코드 '!A:B,2,0)</f>
        <v>#REF!</v>
      </c>
      <c r="G1034" s="46" t="e">
        <f>'Raw data'!#REF!</f>
        <v>#REF!</v>
      </c>
      <c r="H1034" s="4" t="e">
        <f>'Raw data'!#REF!</f>
        <v>#REF!</v>
      </c>
      <c r="I1034" s="29" t="e">
        <f>VLOOKUP(G1034,제품명!$C$1:$E$114,2,0)</f>
        <v>#REF!</v>
      </c>
      <c r="J1034" s="29" t="e">
        <f>'Raw data'!#REF!</f>
        <v>#REF!</v>
      </c>
      <c r="K1034" s="31" t="e">
        <f>'Raw data'!#REF!</f>
        <v>#REF!</v>
      </c>
      <c r="L1034" s="26" t="e">
        <f t="shared" si="36"/>
        <v>#REF!</v>
      </c>
    </row>
    <row r="1035" spans="2:12">
      <c r="B1035" s="4" t="e">
        <f t="shared" si="35"/>
        <v>#REF!</v>
      </c>
      <c r="C1035" s="4" t="e">
        <f>'Raw data'!#REF!</f>
        <v>#REF!</v>
      </c>
      <c r="D1035" s="29" t="e">
        <f>VLOOKUP(C1035,'점포코드 '!A:B,2,0)</f>
        <v>#REF!</v>
      </c>
      <c r="E1035" s="30" t="e">
        <f>'Raw data'!#REF!</f>
        <v>#REF!</v>
      </c>
      <c r="F1035" s="29" t="e">
        <f>VLOOKUP(E1035,'점포코드 '!A:B,2,0)</f>
        <v>#REF!</v>
      </c>
      <c r="G1035" s="46" t="e">
        <f>'Raw data'!#REF!</f>
        <v>#REF!</v>
      </c>
      <c r="H1035" s="4" t="e">
        <f>'Raw data'!#REF!</f>
        <v>#REF!</v>
      </c>
      <c r="I1035" s="29" t="e">
        <f>VLOOKUP(G1035,제품명!$C$1:$E$114,2,0)</f>
        <v>#REF!</v>
      </c>
      <c r="J1035" s="29" t="e">
        <f>'Raw data'!#REF!</f>
        <v>#REF!</v>
      </c>
      <c r="K1035" s="31" t="e">
        <f>'Raw data'!#REF!</f>
        <v>#REF!</v>
      </c>
      <c r="L1035" s="26" t="e">
        <f t="shared" si="36"/>
        <v>#REF!</v>
      </c>
    </row>
    <row r="1036" spans="2:12">
      <c r="B1036" s="4" t="e">
        <f t="shared" si="35"/>
        <v>#N/A</v>
      </c>
      <c r="C1036" s="4">
        <f>'Raw data'!E945</f>
        <v>0</v>
      </c>
      <c r="D1036" s="29" t="e">
        <f>VLOOKUP(C1036,'점포코드 '!A:B,2,0)</f>
        <v>#N/A</v>
      </c>
      <c r="E1036" s="30">
        <f>'Raw data'!P945</f>
        <v>0</v>
      </c>
      <c r="F1036" s="29" t="e">
        <f>VLOOKUP(E1036,'점포코드 '!A:B,2,0)</f>
        <v>#N/A</v>
      </c>
      <c r="G1036" s="46">
        <f>'Raw data'!F945</f>
        <v>0</v>
      </c>
      <c r="H1036" s="4">
        <f>'Raw data'!G945</f>
        <v>0</v>
      </c>
      <c r="I1036" s="29" t="e">
        <f>VLOOKUP(G1036,제품명!$C$1:$E$114,2,0)</f>
        <v>#N/A</v>
      </c>
      <c r="J1036" s="29">
        <f>'Raw data'!K945</f>
        <v>0</v>
      </c>
      <c r="K1036" s="31">
        <f>'Raw data'!H945</f>
        <v>0</v>
      </c>
      <c r="L1036" s="26">
        <f t="shared" si="36"/>
        <v>0</v>
      </c>
    </row>
    <row r="1037" spans="2:12">
      <c r="B1037" s="4" t="e">
        <f t="shared" si="35"/>
        <v>#N/A</v>
      </c>
      <c r="C1037" s="4">
        <f>'Raw data'!E946</f>
        <v>0</v>
      </c>
      <c r="D1037" s="29" t="e">
        <f>VLOOKUP(C1037,'점포코드 '!A:B,2,0)</f>
        <v>#N/A</v>
      </c>
      <c r="E1037" s="30">
        <f>'Raw data'!P946</f>
        <v>0</v>
      </c>
      <c r="F1037" s="29" t="e">
        <f>VLOOKUP(E1037,'점포코드 '!A:B,2,0)</f>
        <v>#N/A</v>
      </c>
      <c r="G1037" s="46">
        <f>'Raw data'!F946</f>
        <v>0</v>
      </c>
      <c r="H1037" s="4">
        <f>'Raw data'!G946</f>
        <v>0</v>
      </c>
      <c r="I1037" s="29" t="e">
        <f>VLOOKUP(G1037,제품명!$C$1:$E$114,2,0)</f>
        <v>#N/A</v>
      </c>
      <c r="J1037" s="29">
        <f>'Raw data'!K946</f>
        <v>0</v>
      </c>
      <c r="K1037" s="31">
        <f>'Raw data'!H946</f>
        <v>0</v>
      </c>
      <c r="L1037" s="26">
        <f t="shared" si="36"/>
        <v>0</v>
      </c>
    </row>
    <row r="1038" spans="2:12">
      <c r="B1038" s="4" t="e">
        <f t="shared" si="35"/>
        <v>#N/A</v>
      </c>
      <c r="C1038" s="4">
        <f>'Raw data'!E947</f>
        <v>0</v>
      </c>
      <c r="D1038" s="29" t="e">
        <f>VLOOKUP(C1038,'점포코드 '!A:B,2,0)</f>
        <v>#N/A</v>
      </c>
      <c r="E1038" s="30">
        <f>'Raw data'!P947</f>
        <v>0</v>
      </c>
      <c r="F1038" s="29" t="e">
        <f>VLOOKUP(E1038,'점포코드 '!A:B,2,0)</f>
        <v>#N/A</v>
      </c>
      <c r="G1038" s="46">
        <f>'Raw data'!F947</f>
        <v>0</v>
      </c>
      <c r="H1038" s="4">
        <f>'Raw data'!G947</f>
        <v>0</v>
      </c>
      <c r="I1038" s="29" t="e">
        <f>VLOOKUP(G1038,제품명!$C$1:$E$114,2,0)</f>
        <v>#N/A</v>
      </c>
      <c r="J1038" s="29">
        <f>'Raw data'!K947</f>
        <v>0</v>
      </c>
      <c r="K1038" s="31">
        <f>'Raw data'!H947</f>
        <v>0</v>
      </c>
      <c r="L1038" s="26">
        <f t="shared" si="36"/>
        <v>0</v>
      </c>
    </row>
    <row r="1039" spans="2:12">
      <c r="B1039" s="4" t="e">
        <f t="shared" si="35"/>
        <v>#N/A</v>
      </c>
      <c r="C1039" s="4">
        <f>'Raw data'!E948</f>
        <v>0</v>
      </c>
      <c r="D1039" s="29" t="e">
        <f>VLOOKUP(C1039,'점포코드 '!A:B,2,0)</f>
        <v>#N/A</v>
      </c>
      <c r="E1039" s="30">
        <f>'Raw data'!P948</f>
        <v>0</v>
      </c>
      <c r="F1039" s="29" t="e">
        <f>VLOOKUP(E1039,'점포코드 '!A:B,2,0)</f>
        <v>#N/A</v>
      </c>
      <c r="G1039" s="46">
        <f>'Raw data'!F948</f>
        <v>0</v>
      </c>
      <c r="H1039" s="4">
        <f>'Raw data'!G948</f>
        <v>0</v>
      </c>
      <c r="I1039" s="29" t="e">
        <f>VLOOKUP(G1039,제품명!$C$1:$E$114,2,0)</f>
        <v>#N/A</v>
      </c>
      <c r="J1039" s="29">
        <f>'Raw data'!K948</f>
        <v>0</v>
      </c>
      <c r="K1039" s="31">
        <f>'Raw data'!H948</f>
        <v>0</v>
      </c>
      <c r="L1039" s="26">
        <f t="shared" si="36"/>
        <v>0</v>
      </c>
    </row>
    <row r="1040" spans="2:12">
      <c r="B1040" s="4" t="e">
        <f t="shared" si="35"/>
        <v>#N/A</v>
      </c>
      <c r="C1040" s="4">
        <f>'Raw data'!E949</f>
        <v>0</v>
      </c>
      <c r="D1040" s="29" t="e">
        <f>VLOOKUP(C1040,'점포코드 '!A:B,2,0)</f>
        <v>#N/A</v>
      </c>
      <c r="E1040" s="30">
        <f>'Raw data'!P949</f>
        <v>0</v>
      </c>
      <c r="F1040" s="29" t="e">
        <f>VLOOKUP(E1040,'점포코드 '!A:B,2,0)</f>
        <v>#N/A</v>
      </c>
      <c r="G1040" s="46">
        <f>'Raw data'!F949</f>
        <v>0</v>
      </c>
      <c r="H1040" s="4">
        <f>'Raw data'!G949</f>
        <v>0</v>
      </c>
      <c r="I1040" s="29" t="e">
        <f>VLOOKUP(G1040,제품명!$C$1:$E$114,2,0)</f>
        <v>#N/A</v>
      </c>
      <c r="J1040" s="29">
        <f>'Raw data'!K949</f>
        <v>0</v>
      </c>
      <c r="K1040" s="31">
        <f>'Raw data'!H949</f>
        <v>0</v>
      </c>
      <c r="L1040" s="26">
        <f t="shared" si="36"/>
        <v>0</v>
      </c>
    </row>
    <row r="1041" spans="2:12">
      <c r="B1041" s="4" t="e">
        <f t="shared" si="35"/>
        <v>#N/A</v>
      </c>
      <c r="C1041" s="4">
        <f>'Raw data'!E950</f>
        <v>0</v>
      </c>
      <c r="D1041" s="29" t="e">
        <f>VLOOKUP(C1041,'점포코드 '!A:B,2,0)</f>
        <v>#N/A</v>
      </c>
      <c r="E1041" s="30">
        <f>'Raw data'!P950</f>
        <v>0</v>
      </c>
      <c r="F1041" s="29" t="e">
        <f>VLOOKUP(E1041,'점포코드 '!A:B,2,0)</f>
        <v>#N/A</v>
      </c>
      <c r="G1041" s="46">
        <f>'Raw data'!F950</f>
        <v>0</v>
      </c>
      <c r="H1041" s="4">
        <f>'Raw data'!G950</f>
        <v>0</v>
      </c>
      <c r="I1041" s="29" t="e">
        <f>VLOOKUP(G1041,제품명!$C$1:$E$114,2,0)</f>
        <v>#N/A</v>
      </c>
      <c r="J1041" s="29">
        <f>'Raw data'!K950</f>
        <v>0</v>
      </c>
      <c r="K1041" s="31">
        <f>'Raw data'!H950</f>
        <v>0</v>
      </c>
      <c r="L1041" s="26">
        <f t="shared" si="36"/>
        <v>0</v>
      </c>
    </row>
    <row r="1042" spans="2:12">
      <c r="B1042" s="4" t="e">
        <f t="shared" si="35"/>
        <v>#N/A</v>
      </c>
      <c r="C1042" s="4">
        <f>'Raw data'!E951</f>
        <v>0</v>
      </c>
      <c r="D1042" s="29" t="e">
        <f>VLOOKUP(C1042,'점포코드 '!A:B,2,0)</f>
        <v>#N/A</v>
      </c>
      <c r="E1042" s="30">
        <f>'Raw data'!P951</f>
        <v>0</v>
      </c>
      <c r="F1042" s="29" t="e">
        <f>VLOOKUP(E1042,'점포코드 '!A:B,2,0)</f>
        <v>#N/A</v>
      </c>
      <c r="G1042" s="46">
        <f>'Raw data'!F951</f>
        <v>0</v>
      </c>
      <c r="H1042" s="4">
        <f>'Raw data'!G951</f>
        <v>0</v>
      </c>
      <c r="I1042" s="29" t="e">
        <f>VLOOKUP(G1042,제품명!$C$1:$E$114,2,0)</f>
        <v>#N/A</v>
      </c>
      <c r="J1042" s="29">
        <f>'Raw data'!K951</f>
        <v>0</v>
      </c>
      <c r="K1042" s="31">
        <f>'Raw data'!H951</f>
        <v>0</v>
      </c>
      <c r="L1042" s="26">
        <f t="shared" si="36"/>
        <v>0</v>
      </c>
    </row>
    <row r="1043" spans="2:12">
      <c r="B1043" s="4" t="e">
        <f t="shared" si="35"/>
        <v>#N/A</v>
      </c>
      <c r="C1043" s="4">
        <f>'Raw data'!E952</f>
        <v>0</v>
      </c>
      <c r="D1043" s="29" t="e">
        <f>VLOOKUP(C1043,'점포코드 '!A:B,2,0)</f>
        <v>#N/A</v>
      </c>
      <c r="E1043" s="30">
        <f>'Raw data'!P952</f>
        <v>0</v>
      </c>
      <c r="F1043" s="29" t="e">
        <f>VLOOKUP(E1043,'점포코드 '!A:B,2,0)</f>
        <v>#N/A</v>
      </c>
      <c r="G1043" s="46">
        <f>'Raw data'!F952</f>
        <v>0</v>
      </c>
      <c r="H1043" s="4">
        <f>'Raw data'!G952</f>
        <v>0</v>
      </c>
      <c r="I1043" s="29" t="e">
        <f>VLOOKUP(G1043,제품명!$C$1:$E$114,2,0)</f>
        <v>#N/A</v>
      </c>
      <c r="J1043" s="29">
        <f>'Raw data'!K952</f>
        <v>0</v>
      </c>
      <c r="K1043" s="31">
        <f>'Raw data'!H952</f>
        <v>0</v>
      </c>
      <c r="L1043" s="26">
        <f t="shared" si="36"/>
        <v>0</v>
      </c>
    </row>
    <row r="1044" spans="2:12">
      <c r="B1044" s="4" t="e">
        <f t="shared" si="35"/>
        <v>#N/A</v>
      </c>
      <c r="C1044" s="4">
        <f>'Raw data'!E953</f>
        <v>0</v>
      </c>
      <c r="D1044" s="29" t="e">
        <f>VLOOKUP(C1044,'점포코드 '!A:B,2,0)</f>
        <v>#N/A</v>
      </c>
      <c r="E1044" s="30">
        <f>'Raw data'!P953</f>
        <v>0</v>
      </c>
      <c r="F1044" s="29" t="e">
        <f>VLOOKUP(E1044,'점포코드 '!A:B,2,0)</f>
        <v>#N/A</v>
      </c>
      <c r="G1044" s="46">
        <f>'Raw data'!F953</f>
        <v>0</v>
      </c>
      <c r="H1044" s="4">
        <f>'Raw data'!G953</f>
        <v>0</v>
      </c>
      <c r="I1044" s="29" t="e">
        <f>VLOOKUP(G1044,제품명!$C$1:$E$114,2,0)</f>
        <v>#N/A</v>
      </c>
      <c r="J1044" s="29">
        <f>'Raw data'!K953</f>
        <v>0</v>
      </c>
      <c r="K1044" s="31">
        <f>'Raw data'!H953</f>
        <v>0</v>
      </c>
      <c r="L1044" s="26">
        <f t="shared" si="36"/>
        <v>0</v>
      </c>
    </row>
    <row r="1045" spans="2:12">
      <c r="B1045" s="4" t="e">
        <f t="shared" si="35"/>
        <v>#N/A</v>
      </c>
      <c r="C1045" s="4">
        <f>'Raw data'!E954</f>
        <v>0</v>
      </c>
      <c r="D1045" s="29" t="e">
        <f>VLOOKUP(C1045,'점포코드 '!A:B,2,0)</f>
        <v>#N/A</v>
      </c>
      <c r="E1045" s="30">
        <f>'Raw data'!P954</f>
        <v>0</v>
      </c>
      <c r="F1045" s="29" t="e">
        <f>VLOOKUP(E1045,'점포코드 '!A:B,2,0)</f>
        <v>#N/A</v>
      </c>
      <c r="G1045" s="46">
        <f>'Raw data'!F954</f>
        <v>0</v>
      </c>
      <c r="H1045" s="4">
        <f>'Raw data'!G954</f>
        <v>0</v>
      </c>
      <c r="I1045" s="29" t="e">
        <f>VLOOKUP(G1045,제품명!$C$1:$E$114,2,0)</f>
        <v>#N/A</v>
      </c>
      <c r="J1045" s="29">
        <f>'Raw data'!K954</f>
        <v>0</v>
      </c>
      <c r="K1045" s="31">
        <f>'Raw data'!H954</f>
        <v>0</v>
      </c>
      <c r="L1045" s="26">
        <f t="shared" si="36"/>
        <v>0</v>
      </c>
    </row>
    <row r="1046" spans="2:12">
      <c r="B1046" s="4" t="e">
        <f t="shared" si="35"/>
        <v>#N/A</v>
      </c>
      <c r="C1046" s="4">
        <f>'Raw data'!E955</f>
        <v>0</v>
      </c>
      <c r="D1046" s="29" t="e">
        <f>VLOOKUP(C1046,'점포코드 '!A:B,2,0)</f>
        <v>#N/A</v>
      </c>
      <c r="E1046" s="30">
        <f>'Raw data'!P955</f>
        <v>0</v>
      </c>
      <c r="F1046" s="29" t="e">
        <f>VLOOKUP(E1046,'점포코드 '!A:B,2,0)</f>
        <v>#N/A</v>
      </c>
      <c r="G1046" s="46">
        <f>'Raw data'!F955</f>
        <v>0</v>
      </c>
      <c r="H1046" s="4">
        <f>'Raw data'!G955</f>
        <v>0</v>
      </c>
      <c r="I1046" s="29" t="e">
        <f>VLOOKUP(G1046,제품명!$C$1:$E$114,2,0)</f>
        <v>#N/A</v>
      </c>
      <c r="J1046" s="29">
        <f>'Raw data'!K955</f>
        <v>0</v>
      </c>
      <c r="K1046" s="31">
        <f>'Raw data'!H955</f>
        <v>0</v>
      </c>
      <c r="L1046" s="26">
        <f t="shared" si="36"/>
        <v>0</v>
      </c>
    </row>
    <row r="1047" spans="2:12">
      <c r="B1047" s="4" t="e">
        <f t="shared" si="35"/>
        <v>#N/A</v>
      </c>
      <c r="C1047" s="4">
        <f>'Raw data'!E956</f>
        <v>0</v>
      </c>
      <c r="D1047" s="29" t="e">
        <f>VLOOKUP(C1047,'점포코드 '!A:B,2,0)</f>
        <v>#N/A</v>
      </c>
      <c r="E1047" s="30">
        <f>'Raw data'!P956</f>
        <v>0</v>
      </c>
      <c r="F1047" s="29" t="e">
        <f>VLOOKUP(E1047,'점포코드 '!A:B,2,0)</f>
        <v>#N/A</v>
      </c>
      <c r="G1047" s="46">
        <f>'Raw data'!F956</f>
        <v>0</v>
      </c>
      <c r="H1047" s="4">
        <f>'Raw data'!G956</f>
        <v>0</v>
      </c>
      <c r="I1047" s="29" t="e">
        <f>VLOOKUP(G1047,제품명!$C$1:$E$114,2,0)</f>
        <v>#N/A</v>
      </c>
      <c r="J1047" s="29">
        <f>'Raw data'!K956</f>
        <v>0</v>
      </c>
      <c r="K1047" s="31">
        <f>'Raw data'!H956</f>
        <v>0</v>
      </c>
      <c r="L1047" s="26">
        <f t="shared" si="36"/>
        <v>0</v>
      </c>
    </row>
    <row r="1048" spans="2:12">
      <c r="B1048" s="4" t="e">
        <f t="shared" si="35"/>
        <v>#N/A</v>
      </c>
      <c r="C1048" s="4">
        <f>'Raw data'!E957</f>
        <v>0</v>
      </c>
      <c r="D1048" s="29" t="e">
        <f>VLOOKUP(C1048,'점포코드 '!A:B,2,0)</f>
        <v>#N/A</v>
      </c>
      <c r="E1048" s="30">
        <f>'Raw data'!P957</f>
        <v>0</v>
      </c>
      <c r="F1048" s="29" t="e">
        <f>VLOOKUP(E1048,'점포코드 '!A:B,2,0)</f>
        <v>#N/A</v>
      </c>
      <c r="G1048" s="46">
        <f>'Raw data'!F957</f>
        <v>0</v>
      </c>
      <c r="H1048" s="4">
        <f>'Raw data'!G957</f>
        <v>0</v>
      </c>
      <c r="I1048" s="29" t="e">
        <f>VLOOKUP(G1048,제품명!$C$1:$E$114,2,0)</f>
        <v>#N/A</v>
      </c>
      <c r="J1048" s="29">
        <f>'Raw data'!K957</f>
        <v>0</v>
      </c>
      <c r="K1048" s="31">
        <f>'Raw data'!H957</f>
        <v>0</v>
      </c>
      <c r="L1048" s="26">
        <f t="shared" si="36"/>
        <v>0</v>
      </c>
    </row>
    <row r="1049" spans="2:12">
      <c r="B1049" s="4" t="e">
        <f t="shared" si="35"/>
        <v>#N/A</v>
      </c>
      <c r="C1049" s="4">
        <f>'Raw data'!E958</f>
        <v>0</v>
      </c>
      <c r="D1049" s="29" t="e">
        <f>VLOOKUP(C1049,'점포코드 '!A:B,2,0)</f>
        <v>#N/A</v>
      </c>
      <c r="E1049" s="30">
        <f>'Raw data'!P958</f>
        <v>0</v>
      </c>
      <c r="F1049" s="29" t="e">
        <f>VLOOKUP(E1049,'점포코드 '!A:B,2,0)</f>
        <v>#N/A</v>
      </c>
      <c r="G1049" s="46">
        <f>'Raw data'!F958</f>
        <v>0</v>
      </c>
      <c r="H1049" s="4">
        <f>'Raw data'!G958</f>
        <v>0</v>
      </c>
      <c r="I1049" s="29" t="e">
        <f>VLOOKUP(G1049,제품명!$C$1:$E$114,2,0)</f>
        <v>#N/A</v>
      </c>
      <c r="J1049" s="29">
        <f>'Raw data'!K958</f>
        <v>0</v>
      </c>
      <c r="K1049" s="31">
        <f>'Raw data'!H958</f>
        <v>0</v>
      </c>
      <c r="L1049" s="26">
        <f t="shared" si="36"/>
        <v>0</v>
      </c>
    </row>
    <row r="1050" spans="2:12">
      <c r="B1050" s="4" t="e">
        <f t="shared" si="35"/>
        <v>#N/A</v>
      </c>
      <c r="C1050" s="4">
        <f>'Raw data'!E959</f>
        <v>0</v>
      </c>
      <c r="D1050" s="29" t="e">
        <f>VLOOKUP(C1050,'점포코드 '!A:B,2,0)</f>
        <v>#N/A</v>
      </c>
      <c r="E1050" s="30">
        <f>'Raw data'!P959</f>
        <v>0</v>
      </c>
      <c r="F1050" s="29" t="e">
        <f>VLOOKUP(E1050,'점포코드 '!A:B,2,0)</f>
        <v>#N/A</v>
      </c>
      <c r="G1050" s="46">
        <f>'Raw data'!F959</f>
        <v>0</v>
      </c>
      <c r="H1050" s="4">
        <f>'Raw data'!G959</f>
        <v>0</v>
      </c>
      <c r="I1050" s="29" t="e">
        <f>VLOOKUP(G1050,제품명!$C$1:$E$114,2,0)</f>
        <v>#N/A</v>
      </c>
      <c r="J1050" s="29">
        <f>'Raw data'!K959</f>
        <v>0</v>
      </c>
      <c r="K1050" s="31">
        <f>'Raw data'!H959</f>
        <v>0</v>
      </c>
      <c r="L1050" s="26">
        <f t="shared" si="36"/>
        <v>0</v>
      </c>
    </row>
    <row r="1051" spans="2:12">
      <c r="B1051" s="4" t="e">
        <f t="shared" si="35"/>
        <v>#N/A</v>
      </c>
      <c r="C1051" s="4">
        <f>'Raw data'!E960</f>
        <v>0</v>
      </c>
      <c r="D1051" s="29" t="e">
        <f>VLOOKUP(C1051,'점포코드 '!A:B,2,0)</f>
        <v>#N/A</v>
      </c>
      <c r="E1051" s="30">
        <f>'Raw data'!P960</f>
        <v>0</v>
      </c>
      <c r="F1051" s="29" t="e">
        <f>VLOOKUP(E1051,'점포코드 '!A:B,2,0)</f>
        <v>#N/A</v>
      </c>
      <c r="G1051" s="46">
        <f>'Raw data'!F960</f>
        <v>0</v>
      </c>
      <c r="H1051" s="4">
        <f>'Raw data'!G960</f>
        <v>0</v>
      </c>
      <c r="I1051" s="29" t="e">
        <f>VLOOKUP(G1051,제품명!$C$1:$E$114,2,0)</f>
        <v>#N/A</v>
      </c>
      <c r="J1051" s="29">
        <f>'Raw data'!K960</f>
        <v>0</v>
      </c>
      <c r="K1051" s="31">
        <f>'Raw data'!H960</f>
        <v>0</v>
      </c>
      <c r="L1051" s="26">
        <f t="shared" si="36"/>
        <v>0</v>
      </c>
    </row>
    <row r="1052" spans="2:12">
      <c r="B1052" s="4" t="e">
        <f t="shared" si="35"/>
        <v>#N/A</v>
      </c>
      <c r="C1052" s="4">
        <f>'Raw data'!E961</f>
        <v>0</v>
      </c>
      <c r="D1052" s="29" t="e">
        <f>VLOOKUP(C1052,'점포코드 '!A:B,2,0)</f>
        <v>#N/A</v>
      </c>
      <c r="E1052" s="30">
        <f>'Raw data'!P961</f>
        <v>0</v>
      </c>
      <c r="F1052" s="29" t="e">
        <f>VLOOKUP(E1052,'점포코드 '!A:B,2,0)</f>
        <v>#N/A</v>
      </c>
      <c r="G1052" s="46">
        <f>'Raw data'!F961</f>
        <v>0</v>
      </c>
      <c r="H1052" s="4">
        <f>'Raw data'!G961</f>
        <v>0</v>
      </c>
      <c r="I1052" s="29" t="e">
        <f>VLOOKUP(G1052,제품명!$C$1:$E$114,2,0)</f>
        <v>#N/A</v>
      </c>
      <c r="J1052" s="29">
        <f>'Raw data'!K961</f>
        <v>0</v>
      </c>
      <c r="K1052" s="31">
        <f>'Raw data'!H961</f>
        <v>0</v>
      </c>
      <c r="L1052" s="26">
        <f t="shared" si="36"/>
        <v>0</v>
      </c>
    </row>
    <row r="1053" spans="2:12">
      <c r="B1053" s="4" t="e">
        <f t="shared" si="35"/>
        <v>#N/A</v>
      </c>
      <c r="C1053" s="4">
        <f>'Raw data'!E962</f>
        <v>0</v>
      </c>
      <c r="D1053" s="29" t="e">
        <f>VLOOKUP(C1053,'점포코드 '!A:B,2,0)</f>
        <v>#N/A</v>
      </c>
      <c r="E1053" s="30">
        <f>'Raw data'!P962</f>
        <v>0</v>
      </c>
      <c r="F1053" s="29" t="e">
        <f>VLOOKUP(E1053,'점포코드 '!A:B,2,0)</f>
        <v>#N/A</v>
      </c>
      <c r="G1053" s="46">
        <f>'Raw data'!F962</f>
        <v>0</v>
      </c>
      <c r="H1053" s="4">
        <f>'Raw data'!G962</f>
        <v>0</v>
      </c>
      <c r="I1053" s="29" t="e">
        <f>VLOOKUP(G1053,제품명!$C$1:$E$114,2,0)</f>
        <v>#N/A</v>
      </c>
      <c r="J1053" s="29">
        <f>'Raw data'!K962</f>
        <v>0</v>
      </c>
      <c r="K1053" s="31">
        <f>'Raw data'!H962</f>
        <v>0</v>
      </c>
      <c r="L1053" s="26">
        <f t="shared" si="36"/>
        <v>0</v>
      </c>
    </row>
    <row r="1054" spans="2:12">
      <c r="B1054" s="4" t="e">
        <f t="shared" si="35"/>
        <v>#N/A</v>
      </c>
      <c r="C1054" s="4">
        <f>'Raw data'!E963</f>
        <v>0</v>
      </c>
      <c r="D1054" s="29" t="e">
        <f>VLOOKUP(C1054,'점포코드 '!A:B,2,0)</f>
        <v>#N/A</v>
      </c>
      <c r="E1054" s="30">
        <f>'Raw data'!P963</f>
        <v>0</v>
      </c>
      <c r="F1054" s="29" t="e">
        <f>VLOOKUP(E1054,'점포코드 '!A:B,2,0)</f>
        <v>#N/A</v>
      </c>
      <c r="G1054" s="46">
        <f>'Raw data'!F963</f>
        <v>0</v>
      </c>
      <c r="H1054" s="4">
        <f>'Raw data'!G963</f>
        <v>0</v>
      </c>
      <c r="I1054" s="29" t="e">
        <f>VLOOKUP(G1054,제품명!$C$1:$E$114,2,0)</f>
        <v>#N/A</v>
      </c>
      <c r="J1054" s="29">
        <f>'Raw data'!K963</f>
        <v>0</v>
      </c>
      <c r="K1054" s="31">
        <f>'Raw data'!H963</f>
        <v>0</v>
      </c>
      <c r="L1054" s="26">
        <f t="shared" si="36"/>
        <v>0</v>
      </c>
    </row>
    <row r="1055" spans="2:12">
      <c r="B1055" s="4" t="e">
        <f t="shared" si="35"/>
        <v>#N/A</v>
      </c>
      <c r="C1055" s="4">
        <f>'Raw data'!E964</f>
        <v>0</v>
      </c>
      <c r="D1055" s="29" t="e">
        <f>VLOOKUP(C1055,'점포코드 '!A:B,2,0)</f>
        <v>#N/A</v>
      </c>
      <c r="E1055" s="30">
        <f>'Raw data'!P964</f>
        <v>0</v>
      </c>
      <c r="F1055" s="29" t="e">
        <f>VLOOKUP(E1055,'점포코드 '!A:B,2,0)</f>
        <v>#N/A</v>
      </c>
      <c r="G1055" s="46">
        <f>'Raw data'!F964</f>
        <v>0</v>
      </c>
      <c r="H1055" s="4">
        <f>'Raw data'!G964</f>
        <v>0</v>
      </c>
      <c r="I1055" s="29" t="e">
        <f>VLOOKUP(G1055,제품명!$C$1:$E$114,2,0)</f>
        <v>#N/A</v>
      </c>
      <c r="J1055" s="29">
        <f>'Raw data'!K964</f>
        <v>0</v>
      </c>
      <c r="K1055" s="31">
        <f>'Raw data'!H964</f>
        <v>0</v>
      </c>
      <c r="L1055" s="26">
        <f t="shared" si="36"/>
        <v>0</v>
      </c>
    </row>
    <row r="1056" spans="2:12">
      <c r="B1056" s="4" t="e">
        <f t="shared" si="35"/>
        <v>#N/A</v>
      </c>
      <c r="C1056" s="4">
        <f>'Raw data'!E965</f>
        <v>0</v>
      </c>
      <c r="D1056" s="29" t="e">
        <f>VLOOKUP(C1056,'점포코드 '!A:B,2,0)</f>
        <v>#N/A</v>
      </c>
      <c r="E1056" s="30">
        <f>'Raw data'!P965</f>
        <v>0</v>
      </c>
      <c r="F1056" s="29" t="e">
        <f>VLOOKUP(E1056,'점포코드 '!A:B,2,0)</f>
        <v>#N/A</v>
      </c>
      <c r="G1056" s="46">
        <f>'Raw data'!F965</f>
        <v>0</v>
      </c>
      <c r="H1056" s="4">
        <f>'Raw data'!G965</f>
        <v>0</v>
      </c>
      <c r="I1056" s="29" t="e">
        <f>VLOOKUP(G1056,제품명!$C$1:$E$114,2,0)</f>
        <v>#N/A</v>
      </c>
      <c r="J1056" s="29">
        <f>'Raw data'!K965</f>
        <v>0</v>
      </c>
      <c r="K1056" s="31">
        <f>'Raw data'!H965</f>
        <v>0</v>
      </c>
      <c r="L1056" s="26">
        <f t="shared" si="36"/>
        <v>0</v>
      </c>
    </row>
    <row r="1057" spans="2:12">
      <c r="B1057" s="4" t="e">
        <f t="shared" si="35"/>
        <v>#N/A</v>
      </c>
      <c r="C1057" s="4">
        <f>'Raw data'!E966</f>
        <v>0</v>
      </c>
      <c r="D1057" s="29" t="e">
        <f>VLOOKUP(C1057,'점포코드 '!A:B,2,0)</f>
        <v>#N/A</v>
      </c>
      <c r="E1057" s="30">
        <f>'Raw data'!P966</f>
        <v>0</v>
      </c>
      <c r="F1057" s="29" t="e">
        <f>VLOOKUP(E1057,'점포코드 '!A:B,2,0)</f>
        <v>#N/A</v>
      </c>
      <c r="G1057" s="46">
        <f>'Raw data'!F966</f>
        <v>0</v>
      </c>
      <c r="H1057" s="4">
        <f>'Raw data'!G966</f>
        <v>0</v>
      </c>
      <c r="I1057" s="29" t="e">
        <f>VLOOKUP(G1057,제품명!$C$1:$E$114,2,0)</f>
        <v>#N/A</v>
      </c>
      <c r="J1057" s="29">
        <f>'Raw data'!K966</f>
        <v>0</v>
      </c>
      <c r="K1057" s="31">
        <f>'Raw data'!H966</f>
        <v>0</v>
      </c>
      <c r="L1057" s="26">
        <f t="shared" si="36"/>
        <v>0</v>
      </c>
    </row>
    <row r="1058" spans="2:12">
      <c r="B1058" s="4" t="e">
        <f t="shared" si="35"/>
        <v>#N/A</v>
      </c>
      <c r="C1058" s="4">
        <f>'Raw data'!E967</f>
        <v>0</v>
      </c>
      <c r="D1058" s="29" t="e">
        <f>VLOOKUP(C1058,'점포코드 '!A:B,2,0)</f>
        <v>#N/A</v>
      </c>
      <c r="E1058" s="30">
        <f>'Raw data'!P967</f>
        <v>0</v>
      </c>
      <c r="F1058" s="29" t="e">
        <f>VLOOKUP(E1058,'점포코드 '!A:B,2,0)</f>
        <v>#N/A</v>
      </c>
      <c r="G1058" s="46">
        <f>'Raw data'!F967</f>
        <v>0</v>
      </c>
      <c r="H1058" s="4">
        <f>'Raw data'!G967</f>
        <v>0</v>
      </c>
      <c r="I1058" s="29" t="e">
        <f>VLOOKUP(G1058,제품명!$C$1:$E$114,2,0)</f>
        <v>#N/A</v>
      </c>
      <c r="J1058" s="29">
        <f>'Raw data'!K967</f>
        <v>0</v>
      </c>
      <c r="K1058" s="31">
        <f>'Raw data'!H967</f>
        <v>0</v>
      </c>
      <c r="L1058" s="26">
        <f t="shared" si="36"/>
        <v>0</v>
      </c>
    </row>
    <row r="1059" spans="2:12">
      <c r="B1059" s="4" t="e">
        <f t="shared" si="35"/>
        <v>#N/A</v>
      </c>
      <c r="C1059" s="4">
        <f>'Raw data'!E968</f>
        <v>0</v>
      </c>
      <c r="D1059" s="29" t="e">
        <f>VLOOKUP(C1059,'점포코드 '!A:B,2,0)</f>
        <v>#N/A</v>
      </c>
      <c r="E1059" s="30">
        <f>'Raw data'!P968</f>
        <v>0</v>
      </c>
      <c r="F1059" s="29" t="e">
        <f>VLOOKUP(E1059,'점포코드 '!A:B,2,0)</f>
        <v>#N/A</v>
      </c>
      <c r="G1059" s="46">
        <f>'Raw data'!F968</f>
        <v>0</v>
      </c>
      <c r="H1059" s="4">
        <f>'Raw data'!G968</f>
        <v>0</v>
      </c>
      <c r="I1059" s="29" t="e">
        <f>VLOOKUP(G1059,제품명!$C$1:$E$114,2,0)</f>
        <v>#N/A</v>
      </c>
      <c r="J1059" s="29">
        <f>'Raw data'!K968</f>
        <v>0</v>
      </c>
      <c r="K1059" s="31">
        <f>'Raw data'!H968</f>
        <v>0</v>
      </c>
      <c r="L1059" s="26">
        <f t="shared" si="36"/>
        <v>0</v>
      </c>
    </row>
    <row r="1060" spans="2:12">
      <c r="B1060" s="4" t="e">
        <f t="shared" si="35"/>
        <v>#N/A</v>
      </c>
      <c r="C1060" s="4">
        <f>'Raw data'!E969</f>
        <v>0</v>
      </c>
      <c r="D1060" s="29" t="e">
        <f>VLOOKUP(C1060,'점포코드 '!A:B,2,0)</f>
        <v>#N/A</v>
      </c>
      <c r="E1060" s="30">
        <f>'Raw data'!P969</f>
        <v>0</v>
      </c>
      <c r="F1060" s="29" t="e">
        <f>VLOOKUP(E1060,'점포코드 '!A:B,2,0)</f>
        <v>#N/A</v>
      </c>
      <c r="G1060" s="46">
        <f>'Raw data'!F969</f>
        <v>0</v>
      </c>
      <c r="H1060" s="4">
        <f>'Raw data'!G969</f>
        <v>0</v>
      </c>
      <c r="I1060" s="29" t="e">
        <f>VLOOKUP(G1060,제품명!$C$1:$E$114,2,0)</f>
        <v>#N/A</v>
      </c>
      <c r="J1060" s="29">
        <f>'Raw data'!K969</f>
        <v>0</v>
      </c>
      <c r="K1060" s="31">
        <f>'Raw data'!H969</f>
        <v>0</v>
      </c>
      <c r="L1060" s="26">
        <f t="shared" si="36"/>
        <v>0</v>
      </c>
    </row>
    <row r="1061" spans="2:12">
      <c r="B1061" s="4" t="e">
        <f t="shared" si="35"/>
        <v>#N/A</v>
      </c>
      <c r="C1061" s="4">
        <f>'Raw data'!E970</f>
        <v>0</v>
      </c>
      <c r="D1061" s="29" t="e">
        <f>VLOOKUP(C1061,'점포코드 '!A:B,2,0)</f>
        <v>#N/A</v>
      </c>
      <c r="E1061" s="30">
        <f>'Raw data'!P970</f>
        <v>0</v>
      </c>
      <c r="F1061" s="29" t="e">
        <f>VLOOKUP(E1061,'점포코드 '!A:B,2,0)</f>
        <v>#N/A</v>
      </c>
      <c r="G1061" s="46">
        <f>'Raw data'!F970</f>
        <v>0</v>
      </c>
      <c r="H1061" s="4">
        <f>'Raw data'!G970</f>
        <v>0</v>
      </c>
      <c r="I1061" s="29" t="e">
        <f>VLOOKUP(G1061,제품명!$C$1:$E$114,2,0)</f>
        <v>#N/A</v>
      </c>
      <c r="J1061" s="29">
        <f>'Raw data'!K970</f>
        <v>0</v>
      </c>
      <c r="K1061" s="31">
        <f>'Raw data'!H970</f>
        <v>0</v>
      </c>
      <c r="L1061" s="26">
        <f t="shared" si="36"/>
        <v>0</v>
      </c>
    </row>
    <row r="1062" spans="2:12">
      <c r="B1062" s="4" t="e">
        <f t="shared" si="35"/>
        <v>#N/A</v>
      </c>
      <c r="C1062" s="4">
        <f>'Raw data'!E971</f>
        <v>0</v>
      </c>
      <c r="D1062" s="29" t="e">
        <f>VLOOKUP(C1062,'점포코드 '!A:B,2,0)</f>
        <v>#N/A</v>
      </c>
      <c r="E1062" s="30">
        <f>'Raw data'!P971</f>
        <v>0</v>
      </c>
      <c r="F1062" s="29" t="e">
        <f>VLOOKUP(E1062,'점포코드 '!A:B,2,0)</f>
        <v>#N/A</v>
      </c>
      <c r="G1062" s="46">
        <f>'Raw data'!F971</f>
        <v>0</v>
      </c>
      <c r="H1062" s="4">
        <f>'Raw data'!G971</f>
        <v>0</v>
      </c>
      <c r="I1062" s="29" t="e">
        <f>VLOOKUP(G1062,제품명!$C$1:$E$114,2,0)</f>
        <v>#N/A</v>
      </c>
      <c r="J1062" s="29">
        <f>'Raw data'!K971</f>
        <v>0</v>
      </c>
      <c r="K1062" s="31">
        <f>'Raw data'!H971</f>
        <v>0</v>
      </c>
      <c r="L1062" s="26">
        <f t="shared" si="36"/>
        <v>0</v>
      </c>
    </row>
    <row r="1063" spans="2:12">
      <c r="B1063" s="4" t="e">
        <f t="shared" si="35"/>
        <v>#N/A</v>
      </c>
      <c r="C1063" s="4">
        <f>'Raw data'!E972</f>
        <v>0</v>
      </c>
      <c r="D1063" s="29" t="e">
        <f>VLOOKUP(C1063,'점포코드 '!A:B,2,0)</f>
        <v>#N/A</v>
      </c>
      <c r="E1063" s="30">
        <f>'Raw data'!P972</f>
        <v>0</v>
      </c>
      <c r="F1063" s="29" t="e">
        <f>VLOOKUP(E1063,'점포코드 '!A:B,2,0)</f>
        <v>#N/A</v>
      </c>
      <c r="G1063" s="46">
        <f>'Raw data'!F972</f>
        <v>0</v>
      </c>
      <c r="H1063" s="4">
        <f>'Raw data'!G972</f>
        <v>0</v>
      </c>
      <c r="I1063" s="29" t="e">
        <f>VLOOKUP(G1063,제품명!$C$1:$E$114,2,0)</f>
        <v>#N/A</v>
      </c>
      <c r="J1063" s="29">
        <f>'Raw data'!K972</f>
        <v>0</v>
      </c>
      <c r="K1063" s="31">
        <f>'Raw data'!H972</f>
        <v>0</v>
      </c>
      <c r="L1063" s="26">
        <f t="shared" si="36"/>
        <v>0</v>
      </c>
    </row>
    <row r="1064" spans="2:12">
      <c r="B1064" s="4" t="e">
        <f t="shared" si="35"/>
        <v>#N/A</v>
      </c>
      <c r="C1064" s="4">
        <f>'Raw data'!E973</f>
        <v>0</v>
      </c>
      <c r="D1064" s="29" t="e">
        <f>VLOOKUP(C1064,'점포코드 '!A:B,2,0)</f>
        <v>#N/A</v>
      </c>
      <c r="E1064" s="30">
        <f>'Raw data'!P973</f>
        <v>0</v>
      </c>
      <c r="F1064" s="29" t="e">
        <f>VLOOKUP(E1064,'점포코드 '!A:B,2,0)</f>
        <v>#N/A</v>
      </c>
      <c r="G1064" s="46">
        <f>'Raw data'!F973</f>
        <v>0</v>
      </c>
      <c r="H1064" s="4">
        <f>'Raw data'!G973</f>
        <v>0</v>
      </c>
      <c r="I1064" s="29" t="e">
        <f>VLOOKUP(G1064,제품명!$C$1:$E$114,2,0)</f>
        <v>#N/A</v>
      </c>
      <c r="J1064" s="29">
        <f>'Raw data'!K973</f>
        <v>0</v>
      </c>
      <c r="K1064" s="31">
        <f>'Raw data'!H973</f>
        <v>0</v>
      </c>
      <c r="L1064" s="26">
        <f t="shared" si="36"/>
        <v>0</v>
      </c>
    </row>
    <row r="1065" spans="2:12">
      <c r="B1065" s="4" t="e">
        <f t="shared" si="35"/>
        <v>#N/A</v>
      </c>
      <c r="C1065" s="4">
        <f>'Raw data'!E974</f>
        <v>0</v>
      </c>
      <c r="D1065" s="29" t="e">
        <f>VLOOKUP(C1065,'점포코드 '!A:B,2,0)</f>
        <v>#N/A</v>
      </c>
      <c r="E1065" s="30">
        <f>'Raw data'!P974</f>
        <v>0</v>
      </c>
      <c r="F1065" s="29" t="e">
        <f>VLOOKUP(E1065,'점포코드 '!A:B,2,0)</f>
        <v>#N/A</v>
      </c>
      <c r="G1065" s="46">
        <f>'Raw data'!F974</f>
        <v>0</v>
      </c>
      <c r="H1065" s="4">
        <f>'Raw data'!G974</f>
        <v>0</v>
      </c>
      <c r="I1065" s="29" t="e">
        <f>VLOOKUP(G1065,제품명!$C$1:$E$114,2,0)</f>
        <v>#N/A</v>
      </c>
      <c r="J1065" s="29">
        <f>'Raw data'!K974</f>
        <v>0</v>
      </c>
      <c r="K1065" s="31">
        <f>'Raw data'!H974</f>
        <v>0</v>
      </c>
      <c r="L1065" s="26">
        <f t="shared" si="36"/>
        <v>0</v>
      </c>
    </row>
    <row r="1066" spans="2:12">
      <c r="B1066" s="4" t="e">
        <f t="shared" si="35"/>
        <v>#N/A</v>
      </c>
      <c r="C1066" s="4">
        <f>'Raw data'!E975</f>
        <v>0</v>
      </c>
      <c r="D1066" s="29" t="e">
        <f>VLOOKUP(C1066,'점포코드 '!A:B,2,0)</f>
        <v>#N/A</v>
      </c>
      <c r="E1066" s="30">
        <f>'Raw data'!P975</f>
        <v>0</v>
      </c>
      <c r="F1066" s="29" t="e">
        <f>VLOOKUP(E1066,'점포코드 '!A:B,2,0)</f>
        <v>#N/A</v>
      </c>
      <c r="G1066" s="46">
        <f>'Raw data'!F975</f>
        <v>0</v>
      </c>
      <c r="H1066" s="4">
        <f>'Raw data'!G975</f>
        <v>0</v>
      </c>
      <c r="I1066" s="29" t="e">
        <f>VLOOKUP(G1066,제품명!$C$1:$E$114,2,0)</f>
        <v>#N/A</v>
      </c>
      <c r="J1066" s="29">
        <f>'Raw data'!K975</f>
        <v>0</v>
      </c>
      <c r="K1066" s="31">
        <f>'Raw data'!H975</f>
        <v>0</v>
      </c>
      <c r="L1066" s="26">
        <f t="shared" si="36"/>
        <v>0</v>
      </c>
    </row>
    <row r="1067" spans="2:12">
      <c r="B1067" s="4" t="e">
        <f t="shared" si="35"/>
        <v>#N/A</v>
      </c>
      <c r="C1067" s="4">
        <f>'Raw data'!E976</f>
        <v>0</v>
      </c>
      <c r="D1067" s="29" t="e">
        <f>VLOOKUP(C1067,'점포코드 '!A:B,2,0)</f>
        <v>#N/A</v>
      </c>
      <c r="E1067" s="30">
        <f>'Raw data'!P976</f>
        <v>0</v>
      </c>
      <c r="F1067" s="29" t="e">
        <f>VLOOKUP(E1067,'점포코드 '!A:B,2,0)</f>
        <v>#N/A</v>
      </c>
      <c r="G1067" s="46">
        <f>'Raw data'!F976</f>
        <v>0</v>
      </c>
      <c r="H1067" s="4">
        <f>'Raw data'!G976</f>
        <v>0</v>
      </c>
      <c r="I1067" s="29" t="e">
        <f>VLOOKUP(G1067,제품명!$C$1:$E$114,2,0)</f>
        <v>#N/A</v>
      </c>
      <c r="J1067" s="29">
        <f>'Raw data'!K976</f>
        <v>0</v>
      </c>
      <c r="K1067" s="31">
        <f>'Raw data'!H976</f>
        <v>0</v>
      </c>
      <c r="L1067" s="26">
        <f t="shared" si="36"/>
        <v>0</v>
      </c>
    </row>
    <row r="1068" spans="2:12">
      <c r="B1068" s="4" t="e">
        <f t="shared" si="35"/>
        <v>#N/A</v>
      </c>
      <c r="C1068" s="4">
        <f>'Raw data'!E977</f>
        <v>0</v>
      </c>
      <c r="D1068" s="29" t="e">
        <f>VLOOKUP(C1068,'점포코드 '!A:B,2,0)</f>
        <v>#N/A</v>
      </c>
      <c r="E1068" s="30">
        <f>'Raw data'!P977</f>
        <v>0</v>
      </c>
      <c r="F1068" s="29" t="e">
        <f>VLOOKUP(E1068,'점포코드 '!A:B,2,0)</f>
        <v>#N/A</v>
      </c>
      <c r="G1068" s="46">
        <f>'Raw data'!F977</f>
        <v>0</v>
      </c>
      <c r="H1068" s="4">
        <f>'Raw data'!G977</f>
        <v>0</v>
      </c>
      <c r="I1068" s="29" t="e">
        <f>VLOOKUP(G1068,제품명!$C$1:$E$114,2,0)</f>
        <v>#N/A</v>
      </c>
      <c r="J1068" s="29">
        <f>'Raw data'!K977</f>
        <v>0</v>
      </c>
      <c r="K1068" s="31">
        <f>'Raw data'!H977</f>
        <v>0</v>
      </c>
      <c r="L1068" s="26">
        <f t="shared" si="36"/>
        <v>0</v>
      </c>
    </row>
    <row r="1069" spans="2:12">
      <c r="B1069" s="4" t="e">
        <f t="shared" si="35"/>
        <v>#N/A</v>
      </c>
      <c r="C1069" s="4">
        <f>'Raw data'!E978</f>
        <v>0</v>
      </c>
      <c r="D1069" s="29" t="e">
        <f>VLOOKUP(C1069,'점포코드 '!A:B,2,0)</f>
        <v>#N/A</v>
      </c>
      <c r="E1069" s="30">
        <f>'Raw data'!P978</f>
        <v>0</v>
      </c>
      <c r="F1069" s="29" t="e">
        <f>VLOOKUP(E1069,'점포코드 '!A:B,2,0)</f>
        <v>#N/A</v>
      </c>
      <c r="G1069" s="46">
        <f>'Raw data'!F978</f>
        <v>0</v>
      </c>
      <c r="H1069" s="4">
        <f>'Raw data'!G978</f>
        <v>0</v>
      </c>
      <c r="I1069" s="29" t="e">
        <f>VLOOKUP(G1069,제품명!$C$1:$E$114,2,0)</f>
        <v>#N/A</v>
      </c>
      <c r="J1069" s="29">
        <f>'Raw data'!K978</f>
        <v>0</v>
      </c>
      <c r="K1069" s="31">
        <f>'Raw data'!H978</f>
        <v>0</v>
      </c>
      <c r="L1069" s="26">
        <f t="shared" si="36"/>
        <v>0</v>
      </c>
    </row>
    <row r="1070" spans="2:12">
      <c r="B1070" s="4" t="e">
        <f t="shared" si="35"/>
        <v>#N/A</v>
      </c>
      <c r="C1070" s="4">
        <f>'Raw data'!E979</f>
        <v>0</v>
      </c>
      <c r="D1070" s="29" t="e">
        <f>VLOOKUP(C1070,'점포코드 '!A:B,2,0)</f>
        <v>#N/A</v>
      </c>
      <c r="E1070" s="30">
        <f>'Raw data'!P979</f>
        <v>0</v>
      </c>
      <c r="F1070" s="29" t="e">
        <f>VLOOKUP(E1070,'점포코드 '!A:B,2,0)</f>
        <v>#N/A</v>
      </c>
      <c r="G1070" s="46">
        <f>'Raw data'!F979</f>
        <v>0</v>
      </c>
      <c r="H1070" s="4">
        <f>'Raw data'!G979</f>
        <v>0</v>
      </c>
      <c r="I1070" s="29" t="e">
        <f>VLOOKUP(G1070,제품명!$C$1:$E$114,2,0)</f>
        <v>#N/A</v>
      </c>
      <c r="J1070" s="29">
        <f>'Raw data'!K979</f>
        <v>0</v>
      </c>
      <c r="K1070" s="31">
        <f>'Raw data'!H979</f>
        <v>0</v>
      </c>
      <c r="L1070" s="26">
        <f t="shared" si="36"/>
        <v>0</v>
      </c>
    </row>
    <row r="1071" spans="2:12">
      <c r="B1071" s="4" t="e">
        <f t="shared" si="35"/>
        <v>#N/A</v>
      </c>
      <c r="C1071" s="4">
        <f>'Raw data'!E980</f>
        <v>0</v>
      </c>
      <c r="D1071" s="29" t="e">
        <f>VLOOKUP(C1071,'점포코드 '!A:B,2,0)</f>
        <v>#N/A</v>
      </c>
      <c r="E1071" s="30">
        <f>'Raw data'!P980</f>
        <v>0</v>
      </c>
      <c r="F1071" s="29" t="e">
        <f>VLOOKUP(E1071,'점포코드 '!A:B,2,0)</f>
        <v>#N/A</v>
      </c>
      <c r="G1071" s="46">
        <f>'Raw data'!F980</f>
        <v>0</v>
      </c>
      <c r="H1071" s="4">
        <f>'Raw data'!G980</f>
        <v>0</v>
      </c>
      <c r="I1071" s="29" t="e">
        <f>VLOOKUP(G1071,제품명!$C$1:$E$114,2,0)</f>
        <v>#N/A</v>
      </c>
      <c r="J1071" s="29">
        <f>'Raw data'!K980</f>
        <v>0</v>
      </c>
      <c r="K1071" s="31">
        <f>'Raw data'!H980</f>
        <v>0</v>
      </c>
      <c r="L1071" s="26">
        <f t="shared" si="36"/>
        <v>0</v>
      </c>
    </row>
    <row r="1072" spans="2:12">
      <c r="B1072" s="4" t="e">
        <f t="shared" si="35"/>
        <v>#N/A</v>
      </c>
      <c r="C1072" s="4">
        <f>'Raw data'!E981</f>
        <v>0</v>
      </c>
      <c r="D1072" s="29" t="e">
        <f>VLOOKUP(C1072,'점포코드 '!A:B,2,0)</f>
        <v>#N/A</v>
      </c>
      <c r="E1072" s="30">
        <f>'Raw data'!P981</f>
        <v>0</v>
      </c>
      <c r="F1072" s="29" t="e">
        <f>VLOOKUP(E1072,'점포코드 '!A:B,2,0)</f>
        <v>#N/A</v>
      </c>
      <c r="G1072" s="46">
        <f>'Raw data'!F981</f>
        <v>0</v>
      </c>
      <c r="H1072" s="4">
        <f>'Raw data'!G981</f>
        <v>0</v>
      </c>
      <c r="I1072" s="29" t="e">
        <f>VLOOKUP(G1072,제품명!$C$1:$E$114,2,0)</f>
        <v>#N/A</v>
      </c>
      <c r="J1072" s="29">
        <f>'Raw data'!K981</f>
        <v>0</v>
      </c>
      <c r="K1072" s="31">
        <f>'Raw data'!H981</f>
        <v>0</v>
      </c>
      <c r="L1072" s="26">
        <f t="shared" si="36"/>
        <v>0</v>
      </c>
    </row>
    <row r="1073" spans="2:12">
      <c r="B1073" s="4" t="e">
        <f t="shared" si="35"/>
        <v>#N/A</v>
      </c>
      <c r="C1073" s="4">
        <f>'Raw data'!E982</f>
        <v>0</v>
      </c>
      <c r="D1073" s="29" t="e">
        <f>VLOOKUP(C1073,'점포코드 '!A:B,2,0)</f>
        <v>#N/A</v>
      </c>
      <c r="E1073" s="30">
        <f>'Raw data'!P982</f>
        <v>0</v>
      </c>
      <c r="F1073" s="29" t="e">
        <f>VLOOKUP(E1073,'점포코드 '!A:B,2,0)</f>
        <v>#N/A</v>
      </c>
      <c r="G1073" s="46">
        <f>'Raw data'!F982</f>
        <v>0</v>
      </c>
      <c r="H1073" s="4">
        <f>'Raw data'!G982</f>
        <v>0</v>
      </c>
      <c r="I1073" s="29" t="e">
        <f>VLOOKUP(G1073,제품명!$C$1:$E$114,2,0)</f>
        <v>#N/A</v>
      </c>
      <c r="J1073" s="29">
        <f>'Raw data'!K982</f>
        <v>0</v>
      </c>
      <c r="K1073" s="31">
        <f>'Raw data'!H982</f>
        <v>0</v>
      </c>
      <c r="L1073" s="26">
        <f t="shared" si="36"/>
        <v>0</v>
      </c>
    </row>
    <row r="1074" spans="2:12">
      <c r="B1074" s="4" t="e">
        <f t="shared" si="35"/>
        <v>#N/A</v>
      </c>
      <c r="C1074" s="4">
        <f>'Raw data'!E983</f>
        <v>0</v>
      </c>
      <c r="D1074" s="29" t="e">
        <f>VLOOKUP(C1074,'점포코드 '!A:B,2,0)</f>
        <v>#N/A</v>
      </c>
      <c r="E1074" s="30">
        <f>'Raw data'!P983</f>
        <v>0</v>
      </c>
      <c r="F1074" s="29" t="e">
        <f>VLOOKUP(E1074,'점포코드 '!A:B,2,0)</f>
        <v>#N/A</v>
      </c>
      <c r="G1074" s="46">
        <f>'Raw data'!F983</f>
        <v>0</v>
      </c>
      <c r="H1074" s="4">
        <f>'Raw data'!G983</f>
        <v>0</v>
      </c>
      <c r="I1074" s="29" t="e">
        <f>VLOOKUP(G1074,제품명!$C$1:$E$114,2,0)</f>
        <v>#N/A</v>
      </c>
      <c r="J1074" s="29">
        <f>'Raw data'!K983</f>
        <v>0</v>
      </c>
      <c r="K1074" s="31">
        <f>'Raw data'!H983</f>
        <v>0</v>
      </c>
      <c r="L1074" s="26">
        <f t="shared" si="36"/>
        <v>0</v>
      </c>
    </row>
    <row r="1075" spans="2:12">
      <c r="B1075" s="4" t="e">
        <f t="shared" si="35"/>
        <v>#N/A</v>
      </c>
      <c r="C1075" s="4">
        <f>'Raw data'!E984</f>
        <v>0</v>
      </c>
      <c r="D1075" s="29" t="e">
        <f>VLOOKUP(C1075,'점포코드 '!A:B,2,0)</f>
        <v>#N/A</v>
      </c>
      <c r="E1075" s="30">
        <f>'Raw data'!P984</f>
        <v>0</v>
      </c>
      <c r="F1075" s="29" t="e">
        <f>VLOOKUP(E1075,'점포코드 '!A:B,2,0)</f>
        <v>#N/A</v>
      </c>
      <c r="G1075" s="46">
        <f>'Raw data'!F984</f>
        <v>0</v>
      </c>
      <c r="H1075" s="4">
        <f>'Raw data'!G984</f>
        <v>0</v>
      </c>
      <c r="I1075" s="29" t="e">
        <f>VLOOKUP(G1075,제품명!$C$1:$E$114,2,0)</f>
        <v>#N/A</v>
      </c>
      <c r="J1075" s="29">
        <f>'Raw data'!K984</f>
        <v>0</v>
      </c>
      <c r="K1075" s="31">
        <f>'Raw data'!H984</f>
        <v>0</v>
      </c>
      <c r="L1075" s="26">
        <f t="shared" si="36"/>
        <v>0</v>
      </c>
    </row>
    <row r="1076" spans="2:12">
      <c r="B1076" s="4" t="e">
        <f t="shared" si="35"/>
        <v>#N/A</v>
      </c>
      <c r="C1076" s="4">
        <f>'Raw data'!E985</f>
        <v>0</v>
      </c>
      <c r="D1076" s="29" t="e">
        <f>VLOOKUP(C1076,'점포코드 '!A:B,2,0)</f>
        <v>#N/A</v>
      </c>
      <c r="E1076" s="30">
        <f>'Raw data'!P985</f>
        <v>0</v>
      </c>
      <c r="F1076" s="29" t="e">
        <f>VLOOKUP(E1076,'점포코드 '!A:B,2,0)</f>
        <v>#N/A</v>
      </c>
      <c r="G1076" s="46">
        <f>'Raw data'!F985</f>
        <v>0</v>
      </c>
      <c r="H1076" s="4">
        <f>'Raw data'!G985</f>
        <v>0</v>
      </c>
      <c r="I1076" s="29" t="e">
        <f>VLOOKUP(G1076,제품명!$C$1:$E$114,2,0)</f>
        <v>#N/A</v>
      </c>
      <c r="J1076" s="29">
        <f>'Raw data'!K985</f>
        <v>0</v>
      </c>
      <c r="K1076" s="31">
        <f>'Raw data'!H985</f>
        <v>0</v>
      </c>
      <c r="L1076" s="26">
        <f t="shared" si="36"/>
        <v>0</v>
      </c>
    </row>
    <row r="1077" spans="2:12">
      <c r="B1077" s="4" t="e">
        <f t="shared" si="35"/>
        <v>#N/A</v>
      </c>
      <c r="C1077" s="4">
        <f>'Raw data'!E986</f>
        <v>0</v>
      </c>
      <c r="D1077" s="29" t="e">
        <f>VLOOKUP(C1077,'점포코드 '!A:B,2,0)</f>
        <v>#N/A</v>
      </c>
      <c r="E1077" s="30">
        <f>'Raw data'!P986</f>
        <v>0</v>
      </c>
      <c r="F1077" s="29" t="e">
        <f>VLOOKUP(E1077,'점포코드 '!A:B,2,0)</f>
        <v>#N/A</v>
      </c>
      <c r="G1077" s="46">
        <f>'Raw data'!F986</f>
        <v>0</v>
      </c>
      <c r="H1077" s="4">
        <f>'Raw data'!G986</f>
        <v>0</v>
      </c>
      <c r="I1077" s="29" t="e">
        <f>VLOOKUP(G1077,제품명!$C$1:$E$114,2,0)</f>
        <v>#N/A</v>
      </c>
      <c r="J1077" s="29">
        <f>'Raw data'!K986</f>
        <v>0</v>
      </c>
      <c r="K1077" s="31">
        <f>'Raw data'!H986</f>
        <v>0</v>
      </c>
      <c r="L1077" s="26">
        <f t="shared" si="36"/>
        <v>0</v>
      </c>
    </row>
    <row r="1078" spans="2:12">
      <c r="B1078" s="4" t="e">
        <f t="shared" si="35"/>
        <v>#N/A</v>
      </c>
      <c r="C1078" s="4">
        <f>'Raw data'!E987</f>
        <v>0</v>
      </c>
      <c r="D1078" s="29" t="e">
        <f>VLOOKUP(C1078,'점포코드 '!A:B,2,0)</f>
        <v>#N/A</v>
      </c>
      <c r="E1078" s="30">
        <f>'Raw data'!P987</f>
        <v>0</v>
      </c>
      <c r="F1078" s="29" t="e">
        <f>VLOOKUP(E1078,'점포코드 '!A:B,2,0)</f>
        <v>#N/A</v>
      </c>
      <c r="G1078" s="46">
        <f>'Raw data'!F987</f>
        <v>0</v>
      </c>
      <c r="H1078" s="4">
        <f>'Raw data'!G987</f>
        <v>0</v>
      </c>
      <c r="I1078" s="29" t="e">
        <f>VLOOKUP(G1078,제품명!$C$1:$E$114,2,0)</f>
        <v>#N/A</v>
      </c>
      <c r="J1078" s="29">
        <f>'Raw data'!K987</f>
        <v>0</v>
      </c>
      <c r="K1078" s="31">
        <f>'Raw data'!H987</f>
        <v>0</v>
      </c>
      <c r="L1078" s="26">
        <f t="shared" si="36"/>
        <v>0</v>
      </c>
    </row>
    <row r="1079" spans="2:12">
      <c r="B1079" s="4" t="e">
        <f t="shared" si="35"/>
        <v>#N/A</v>
      </c>
      <c r="C1079" s="4">
        <f>'Raw data'!E988</f>
        <v>0</v>
      </c>
      <c r="D1079" s="29" t="e">
        <f>VLOOKUP(C1079,'점포코드 '!A:B,2,0)</f>
        <v>#N/A</v>
      </c>
      <c r="E1079" s="30">
        <f>'Raw data'!P988</f>
        <v>0</v>
      </c>
      <c r="F1079" s="29" t="e">
        <f>VLOOKUP(E1079,'점포코드 '!A:B,2,0)</f>
        <v>#N/A</v>
      </c>
      <c r="G1079" s="46">
        <f>'Raw data'!F988</f>
        <v>0</v>
      </c>
      <c r="H1079" s="4">
        <f>'Raw data'!G988</f>
        <v>0</v>
      </c>
      <c r="I1079" s="29" t="e">
        <f>VLOOKUP(G1079,제품명!$C$1:$E$114,2,0)</f>
        <v>#N/A</v>
      </c>
      <c r="J1079" s="29">
        <f>'Raw data'!K988</f>
        <v>0</v>
      </c>
      <c r="K1079" s="31">
        <f>'Raw data'!H988</f>
        <v>0</v>
      </c>
      <c r="L1079" s="26">
        <f t="shared" si="36"/>
        <v>0</v>
      </c>
    </row>
    <row r="1080" spans="2:12">
      <c r="B1080" s="4" t="e">
        <f t="shared" si="35"/>
        <v>#N/A</v>
      </c>
      <c r="C1080" s="4">
        <f>'Raw data'!E989</f>
        <v>0</v>
      </c>
      <c r="D1080" s="29" t="e">
        <f>VLOOKUP(C1080,'점포코드 '!A:B,2,0)</f>
        <v>#N/A</v>
      </c>
      <c r="E1080" s="30">
        <f>'Raw data'!P989</f>
        <v>0</v>
      </c>
      <c r="F1080" s="29" t="e">
        <f>VLOOKUP(E1080,'점포코드 '!A:B,2,0)</f>
        <v>#N/A</v>
      </c>
      <c r="G1080" s="46">
        <f>'Raw data'!F989</f>
        <v>0</v>
      </c>
      <c r="H1080" s="4">
        <f>'Raw data'!G989</f>
        <v>0</v>
      </c>
      <c r="I1080" s="29" t="e">
        <f>VLOOKUP(G1080,제품명!$C$1:$E$114,2,0)</f>
        <v>#N/A</v>
      </c>
      <c r="J1080" s="29">
        <f>'Raw data'!K989</f>
        <v>0</v>
      </c>
      <c r="K1080" s="31">
        <f>'Raw data'!H989</f>
        <v>0</v>
      </c>
      <c r="L1080" s="26">
        <f t="shared" si="36"/>
        <v>0</v>
      </c>
    </row>
    <row r="1081" spans="2:12">
      <c r="B1081" s="4" t="e">
        <f t="shared" si="35"/>
        <v>#N/A</v>
      </c>
      <c r="C1081" s="4">
        <f>'Raw data'!E990</f>
        <v>0</v>
      </c>
      <c r="D1081" s="29" t="e">
        <f>VLOOKUP(C1081,'점포코드 '!A:B,2,0)</f>
        <v>#N/A</v>
      </c>
      <c r="E1081" s="30">
        <f>'Raw data'!P990</f>
        <v>0</v>
      </c>
      <c r="F1081" s="29" t="e">
        <f>VLOOKUP(E1081,'점포코드 '!A:B,2,0)</f>
        <v>#N/A</v>
      </c>
      <c r="G1081" s="46">
        <f>'Raw data'!F990</f>
        <v>0</v>
      </c>
      <c r="H1081" s="4">
        <f>'Raw data'!G990</f>
        <v>0</v>
      </c>
      <c r="I1081" s="29" t="e">
        <f>VLOOKUP(G1081,제품명!$C$1:$E$114,2,0)</f>
        <v>#N/A</v>
      </c>
      <c r="J1081" s="29">
        <f>'Raw data'!K990</f>
        <v>0</v>
      </c>
      <c r="K1081" s="31">
        <f>'Raw data'!H990</f>
        <v>0</v>
      </c>
      <c r="L1081" s="26">
        <f t="shared" si="36"/>
        <v>0</v>
      </c>
    </row>
    <row r="1082" spans="2:12">
      <c r="B1082" s="4" t="e">
        <f t="shared" si="35"/>
        <v>#N/A</v>
      </c>
      <c r="C1082" s="4">
        <f>'Raw data'!E991</f>
        <v>0</v>
      </c>
      <c r="D1082" s="29" t="e">
        <f>VLOOKUP(C1082,'점포코드 '!A:B,2,0)</f>
        <v>#N/A</v>
      </c>
      <c r="E1082" s="30">
        <f>'Raw data'!P991</f>
        <v>0</v>
      </c>
      <c r="F1082" s="29" t="e">
        <f>VLOOKUP(E1082,'점포코드 '!A:B,2,0)</f>
        <v>#N/A</v>
      </c>
      <c r="G1082" s="46">
        <f>'Raw data'!F991</f>
        <v>0</v>
      </c>
      <c r="H1082" s="4">
        <f>'Raw data'!G991</f>
        <v>0</v>
      </c>
      <c r="I1082" s="29" t="e">
        <f>VLOOKUP(G1082,제품명!$C$1:$E$114,2,0)</f>
        <v>#N/A</v>
      </c>
      <c r="J1082" s="29">
        <f>'Raw data'!K991</f>
        <v>0</v>
      </c>
      <c r="K1082" s="31">
        <f>'Raw data'!H991</f>
        <v>0</v>
      </c>
      <c r="L1082" s="26">
        <f t="shared" si="36"/>
        <v>0</v>
      </c>
    </row>
    <row r="1083" spans="2:12">
      <c r="B1083" s="4" t="e">
        <f t="shared" si="35"/>
        <v>#N/A</v>
      </c>
      <c r="C1083" s="4">
        <f>'Raw data'!E992</f>
        <v>0</v>
      </c>
      <c r="D1083" s="29" t="e">
        <f>VLOOKUP(C1083,'점포코드 '!A:B,2,0)</f>
        <v>#N/A</v>
      </c>
      <c r="E1083" s="30">
        <f>'Raw data'!P992</f>
        <v>0</v>
      </c>
      <c r="F1083" s="29" t="e">
        <f>VLOOKUP(E1083,'점포코드 '!A:B,2,0)</f>
        <v>#N/A</v>
      </c>
      <c r="G1083" s="46">
        <f>'Raw data'!F992</f>
        <v>0</v>
      </c>
      <c r="H1083" s="4">
        <f>'Raw data'!G992</f>
        <v>0</v>
      </c>
      <c r="I1083" s="29" t="e">
        <f>VLOOKUP(G1083,제품명!$C$1:$E$114,2,0)</f>
        <v>#N/A</v>
      </c>
      <c r="J1083" s="29">
        <f>'Raw data'!K992</f>
        <v>0</v>
      </c>
      <c r="K1083" s="31">
        <f>'Raw data'!H992</f>
        <v>0</v>
      </c>
      <c r="L1083" s="26">
        <f t="shared" si="36"/>
        <v>0</v>
      </c>
    </row>
    <row r="1084" spans="2:12">
      <c r="B1084" s="4" t="e">
        <f t="shared" si="35"/>
        <v>#N/A</v>
      </c>
      <c r="C1084" s="4">
        <f>'Raw data'!E993</f>
        <v>0</v>
      </c>
      <c r="D1084" s="29" t="e">
        <f>VLOOKUP(C1084,'점포코드 '!A:B,2,0)</f>
        <v>#N/A</v>
      </c>
      <c r="E1084" s="30">
        <f>'Raw data'!P993</f>
        <v>0</v>
      </c>
      <c r="F1084" s="29" t="e">
        <f>VLOOKUP(E1084,'점포코드 '!A:B,2,0)</f>
        <v>#N/A</v>
      </c>
      <c r="G1084" s="46">
        <f>'Raw data'!F993</f>
        <v>0</v>
      </c>
      <c r="H1084" s="4">
        <f>'Raw data'!G993</f>
        <v>0</v>
      </c>
      <c r="I1084" s="29" t="e">
        <f>VLOOKUP(G1084,제품명!$C$1:$E$114,2,0)</f>
        <v>#N/A</v>
      </c>
      <c r="J1084" s="29">
        <f>'Raw data'!K993</f>
        <v>0</v>
      </c>
      <c r="K1084" s="31">
        <f>'Raw data'!H993</f>
        <v>0</v>
      </c>
      <c r="L1084" s="26">
        <f t="shared" si="36"/>
        <v>0</v>
      </c>
    </row>
    <row r="1085" spans="2:12">
      <c r="B1085" s="4" t="e">
        <f t="shared" si="35"/>
        <v>#N/A</v>
      </c>
      <c r="C1085" s="4">
        <f>'Raw data'!E994</f>
        <v>0</v>
      </c>
      <c r="D1085" s="29" t="e">
        <f>VLOOKUP(C1085,'점포코드 '!A:B,2,0)</f>
        <v>#N/A</v>
      </c>
      <c r="E1085" s="30">
        <f>'Raw data'!P994</f>
        <v>0</v>
      </c>
      <c r="F1085" s="29" t="e">
        <f>VLOOKUP(E1085,'점포코드 '!A:B,2,0)</f>
        <v>#N/A</v>
      </c>
      <c r="G1085" s="46">
        <f>'Raw data'!F994</f>
        <v>0</v>
      </c>
      <c r="H1085" s="4">
        <f>'Raw data'!G994</f>
        <v>0</v>
      </c>
      <c r="I1085" s="29" t="e">
        <f>VLOOKUP(G1085,제품명!$C$1:$E$114,2,0)</f>
        <v>#N/A</v>
      </c>
      <c r="J1085" s="29">
        <f>'Raw data'!K994</f>
        <v>0</v>
      </c>
      <c r="K1085" s="31">
        <f>'Raw data'!H994</f>
        <v>0</v>
      </c>
      <c r="L1085" s="26">
        <f t="shared" si="36"/>
        <v>0</v>
      </c>
    </row>
    <row r="1086" spans="2:12">
      <c r="B1086" s="4" t="e">
        <f t="shared" si="35"/>
        <v>#N/A</v>
      </c>
      <c r="C1086" s="4">
        <f>'Raw data'!E995</f>
        <v>0</v>
      </c>
      <c r="D1086" s="29" t="e">
        <f>VLOOKUP(C1086,'점포코드 '!A:B,2,0)</f>
        <v>#N/A</v>
      </c>
      <c r="E1086" s="30">
        <f>'Raw data'!P995</f>
        <v>0</v>
      </c>
      <c r="F1086" s="29" t="e">
        <f>VLOOKUP(E1086,'점포코드 '!A:B,2,0)</f>
        <v>#N/A</v>
      </c>
      <c r="G1086" s="46">
        <f>'Raw data'!F995</f>
        <v>0</v>
      </c>
      <c r="H1086" s="4">
        <f>'Raw data'!G995</f>
        <v>0</v>
      </c>
      <c r="I1086" s="29" t="e">
        <f>VLOOKUP(G1086,제품명!$C$1:$E$114,2,0)</f>
        <v>#N/A</v>
      </c>
      <c r="J1086" s="29">
        <f>'Raw data'!K995</f>
        <v>0</v>
      </c>
      <c r="K1086" s="31">
        <f>'Raw data'!H995</f>
        <v>0</v>
      </c>
      <c r="L1086" s="26">
        <f t="shared" si="36"/>
        <v>0</v>
      </c>
    </row>
    <row r="1087" spans="2:12">
      <c r="B1087" s="4" t="e">
        <f t="shared" si="35"/>
        <v>#N/A</v>
      </c>
      <c r="C1087" s="4">
        <f>'Raw data'!E996</f>
        <v>0</v>
      </c>
      <c r="D1087" s="29" t="e">
        <f>VLOOKUP(C1087,'점포코드 '!A:B,2,0)</f>
        <v>#N/A</v>
      </c>
      <c r="E1087" s="30">
        <f>'Raw data'!P996</f>
        <v>0</v>
      </c>
      <c r="F1087" s="29" t="e">
        <f>VLOOKUP(E1087,'점포코드 '!A:B,2,0)</f>
        <v>#N/A</v>
      </c>
      <c r="G1087" s="46">
        <f>'Raw data'!F996</f>
        <v>0</v>
      </c>
      <c r="H1087" s="4">
        <f>'Raw data'!G996</f>
        <v>0</v>
      </c>
      <c r="I1087" s="29" t="e">
        <f>VLOOKUP(G1087,제품명!$C$1:$E$114,2,0)</f>
        <v>#N/A</v>
      </c>
      <c r="J1087" s="29">
        <f>'Raw data'!K996</f>
        <v>0</v>
      </c>
      <c r="K1087" s="31">
        <f>'Raw data'!H996</f>
        <v>0</v>
      </c>
      <c r="L1087" s="26">
        <f t="shared" si="36"/>
        <v>0</v>
      </c>
    </row>
    <row r="1088" spans="2:12">
      <c r="B1088" s="4" t="e">
        <f t="shared" si="35"/>
        <v>#N/A</v>
      </c>
      <c r="C1088" s="4">
        <f>'Raw data'!E997</f>
        <v>0</v>
      </c>
      <c r="D1088" s="29" t="e">
        <f>VLOOKUP(C1088,'점포코드 '!A:B,2,0)</f>
        <v>#N/A</v>
      </c>
      <c r="E1088" s="30">
        <f>'Raw data'!P997</f>
        <v>0</v>
      </c>
      <c r="F1088" s="29" t="e">
        <f>VLOOKUP(E1088,'점포코드 '!A:B,2,0)</f>
        <v>#N/A</v>
      </c>
      <c r="G1088" s="46">
        <f>'Raw data'!F997</f>
        <v>0</v>
      </c>
      <c r="H1088" s="4">
        <f>'Raw data'!G997</f>
        <v>0</v>
      </c>
      <c r="I1088" s="29" t="e">
        <f>VLOOKUP(G1088,제품명!$C$1:$E$114,2,0)</f>
        <v>#N/A</v>
      </c>
      <c r="J1088" s="29">
        <f>'Raw data'!K997</f>
        <v>0</v>
      </c>
      <c r="K1088" s="31">
        <f>'Raw data'!H997</f>
        <v>0</v>
      </c>
      <c r="L1088" s="26">
        <f t="shared" si="36"/>
        <v>0</v>
      </c>
    </row>
    <row r="1089" spans="2:12">
      <c r="B1089" s="4" t="e">
        <f t="shared" si="35"/>
        <v>#N/A</v>
      </c>
      <c r="C1089" s="4">
        <f>'Raw data'!E998</f>
        <v>0</v>
      </c>
      <c r="D1089" s="29" t="e">
        <f>VLOOKUP(C1089,'점포코드 '!A:B,2,0)</f>
        <v>#N/A</v>
      </c>
      <c r="E1089" s="30">
        <f>'Raw data'!P998</f>
        <v>0</v>
      </c>
      <c r="F1089" s="29" t="e">
        <f>VLOOKUP(E1089,'점포코드 '!A:B,2,0)</f>
        <v>#N/A</v>
      </c>
      <c r="G1089" s="46">
        <f>'Raw data'!F998</f>
        <v>0</v>
      </c>
      <c r="H1089" s="4">
        <f>'Raw data'!G998</f>
        <v>0</v>
      </c>
      <c r="I1089" s="29" t="e">
        <f>VLOOKUP(G1089,제품명!$C$1:$E$114,2,0)</f>
        <v>#N/A</v>
      </c>
      <c r="J1089" s="29">
        <f>'Raw data'!K998</f>
        <v>0</v>
      </c>
      <c r="K1089" s="31">
        <f>'Raw data'!H998</f>
        <v>0</v>
      </c>
      <c r="L1089" s="26">
        <f t="shared" si="36"/>
        <v>0</v>
      </c>
    </row>
    <row r="1090" spans="2:12">
      <c r="B1090" s="4" t="e">
        <f t="shared" ref="B1090:B1153" si="37">F1090&amp;I1090</f>
        <v>#N/A</v>
      </c>
      <c r="C1090" s="4">
        <f>'Raw data'!E999</f>
        <v>0</v>
      </c>
      <c r="D1090" s="29" t="e">
        <f>VLOOKUP(C1090,'점포코드 '!A:B,2,0)</f>
        <v>#N/A</v>
      </c>
      <c r="E1090" s="30">
        <f>'Raw data'!P999</f>
        <v>0</v>
      </c>
      <c r="F1090" s="29" t="e">
        <f>VLOOKUP(E1090,'점포코드 '!A:B,2,0)</f>
        <v>#N/A</v>
      </c>
      <c r="G1090" s="46">
        <f>'Raw data'!F999</f>
        <v>0</v>
      </c>
      <c r="H1090" s="4">
        <f>'Raw data'!G999</f>
        <v>0</v>
      </c>
      <c r="I1090" s="29" t="e">
        <f>VLOOKUP(G1090,제품명!$C$1:$E$114,2,0)</f>
        <v>#N/A</v>
      </c>
      <c r="J1090" s="29">
        <f>'Raw data'!K999</f>
        <v>0</v>
      </c>
      <c r="K1090" s="31">
        <f>'Raw data'!H999</f>
        <v>0</v>
      </c>
      <c r="L1090" s="26">
        <f t="shared" si="36"/>
        <v>0</v>
      </c>
    </row>
    <row r="1091" spans="2:12">
      <c r="B1091" s="4" t="e">
        <f t="shared" si="37"/>
        <v>#N/A</v>
      </c>
      <c r="C1091" s="4">
        <f>'Raw data'!E1000</f>
        <v>0</v>
      </c>
      <c r="D1091" s="29" t="e">
        <f>VLOOKUP(C1091,'점포코드 '!A:B,2,0)</f>
        <v>#N/A</v>
      </c>
      <c r="E1091" s="30">
        <f>'Raw data'!P1000</f>
        <v>0</v>
      </c>
      <c r="F1091" s="29" t="e">
        <f>VLOOKUP(E1091,'점포코드 '!A:B,2,0)</f>
        <v>#N/A</v>
      </c>
      <c r="G1091" s="46">
        <f>'Raw data'!F1000</f>
        <v>0</v>
      </c>
      <c r="H1091" s="4">
        <f>'Raw data'!G1000</f>
        <v>0</v>
      </c>
      <c r="I1091" s="29" t="e">
        <f>VLOOKUP(G1091,제품명!$C$1:$E$114,2,0)</f>
        <v>#N/A</v>
      </c>
      <c r="J1091" s="29">
        <f>'Raw data'!K1000</f>
        <v>0</v>
      </c>
      <c r="K1091" s="31">
        <f>'Raw data'!H1000</f>
        <v>0</v>
      </c>
      <c r="L1091" s="26">
        <f t="shared" ref="L1091:L1154" si="38">J1091*K1091</f>
        <v>0</v>
      </c>
    </row>
    <row r="1092" spans="2:12">
      <c r="B1092" s="4" t="e">
        <f t="shared" si="37"/>
        <v>#N/A</v>
      </c>
      <c r="C1092" s="4">
        <f>'Raw data'!E1001</f>
        <v>0</v>
      </c>
      <c r="D1092" s="29" t="e">
        <f>VLOOKUP(C1092,'점포코드 '!A:B,2,0)</f>
        <v>#N/A</v>
      </c>
      <c r="E1092" s="30">
        <f>'Raw data'!P1001</f>
        <v>0</v>
      </c>
      <c r="F1092" s="29" t="e">
        <f>VLOOKUP(E1092,'점포코드 '!A:B,2,0)</f>
        <v>#N/A</v>
      </c>
      <c r="G1092" s="46">
        <f>'Raw data'!F1001</f>
        <v>0</v>
      </c>
      <c r="H1092" s="4">
        <f>'Raw data'!G1001</f>
        <v>0</v>
      </c>
      <c r="I1092" s="29" t="e">
        <f>VLOOKUP(G1092,제품명!$C$1:$E$114,2,0)</f>
        <v>#N/A</v>
      </c>
      <c r="J1092" s="29">
        <f>'Raw data'!K1001</f>
        <v>0</v>
      </c>
      <c r="K1092" s="31">
        <f>'Raw data'!H1001</f>
        <v>0</v>
      </c>
      <c r="L1092" s="26">
        <f t="shared" si="38"/>
        <v>0</v>
      </c>
    </row>
    <row r="1093" spans="2:12">
      <c r="B1093" s="4" t="e">
        <f t="shared" si="37"/>
        <v>#N/A</v>
      </c>
      <c r="C1093" s="4">
        <f>'Raw data'!E1002</f>
        <v>0</v>
      </c>
      <c r="D1093" s="29" t="e">
        <f>VLOOKUP(C1093,'점포코드 '!A:B,2,0)</f>
        <v>#N/A</v>
      </c>
      <c r="E1093" s="30">
        <f>'Raw data'!P1002</f>
        <v>0</v>
      </c>
      <c r="F1093" s="29" t="e">
        <f>VLOOKUP(E1093,'점포코드 '!A:B,2,0)</f>
        <v>#N/A</v>
      </c>
      <c r="G1093" s="46">
        <f>'Raw data'!F1002</f>
        <v>0</v>
      </c>
      <c r="H1093" s="4">
        <f>'Raw data'!G1002</f>
        <v>0</v>
      </c>
      <c r="I1093" s="29" t="e">
        <f>VLOOKUP(G1093,제품명!$C$1:$E$114,2,0)</f>
        <v>#N/A</v>
      </c>
      <c r="J1093" s="29">
        <f>'Raw data'!K1002</f>
        <v>0</v>
      </c>
      <c r="K1093" s="31">
        <f>'Raw data'!H1002</f>
        <v>0</v>
      </c>
      <c r="L1093" s="26">
        <f t="shared" si="38"/>
        <v>0</v>
      </c>
    </row>
    <row r="1094" spans="2:12">
      <c r="B1094" s="4" t="e">
        <f t="shared" si="37"/>
        <v>#N/A</v>
      </c>
      <c r="C1094" s="4">
        <f>'Raw data'!E1003</f>
        <v>0</v>
      </c>
      <c r="D1094" s="29" t="e">
        <f>VLOOKUP(C1094,'점포코드 '!A:B,2,0)</f>
        <v>#N/A</v>
      </c>
      <c r="E1094" s="30">
        <f>'Raw data'!P1003</f>
        <v>0</v>
      </c>
      <c r="F1094" s="29" t="e">
        <f>VLOOKUP(E1094,'점포코드 '!A:B,2,0)</f>
        <v>#N/A</v>
      </c>
      <c r="G1094" s="46">
        <f>'Raw data'!F1003</f>
        <v>0</v>
      </c>
      <c r="H1094" s="4">
        <f>'Raw data'!G1003</f>
        <v>0</v>
      </c>
      <c r="I1094" s="29" t="e">
        <f>VLOOKUP(G1094,제품명!$C$1:$E$114,2,0)</f>
        <v>#N/A</v>
      </c>
      <c r="J1094" s="29">
        <f>'Raw data'!K1003</f>
        <v>0</v>
      </c>
      <c r="K1094" s="31">
        <f>'Raw data'!H1003</f>
        <v>0</v>
      </c>
      <c r="L1094" s="26">
        <f t="shared" si="38"/>
        <v>0</v>
      </c>
    </row>
    <row r="1095" spans="2:12">
      <c r="B1095" s="4" t="e">
        <f t="shared" si="37"/>
        <v>#N/A</v>
      </c>
      <c r="C1095" s="4">
        <f>'Raw data'!E1004</f>
        <v>0</v>
      </c>
      <c r="D1095" s="29" t="e">
        <f>VLOOKUP(C1095,'점포코드 '!A:B,2,0)</f>
        <v>#N/A</v>
      </c>
      <c r="E1095" s="30">
        <f>'Raw data'!P1004</f>
        <v>0</v>
      </c>
      <c r="F1095" s="29" t="e">
        <f>VLOOKUP(E1095,'점포코드 '!A:B,2,0)</f>
        <v>#N/A</v>
      </c>
      <c r="G1095" s="46">
        <f>'Raw data'!F1004</f>
        <v>0</v>
      </c>
      <c r="H1095" s="4">
        <f>'Raw data'!G1004</f>
        <v>0</v>
      </c>
      <c r="I1095" s="29" t="e">
        <f>VLOOKUP(G1095,제품명!$C$1:$E$114,2,0)</f>
        <v>#N/A</v>
      </c>
      <c r="J1095" s="29">
        <f>'Raw data'!K1004</f>
        <v>0</v>
      </c>
      <c r="K1095" s="31">
        <f>'Raw data'!H1004</f>
        <v>0</v>
      </c>
      <c r="L1095" s="26">
        <f t="shared" si="38"/>
        <v>0</v>
      </c>
    </row>
    <row r="1096" spans="2:12">
      <c r="B1096" s="4" t="e">
        <f t="shared" si="37"/>
        <v>#N/A</v>
      </c>
      <c r="C1096" s="4">
        <f>'Raw data'!E1005</f>
        <v>0</v>
      </c>
      <c r="D1096" s="29" t="e">
        <f>VLOOKUP(C1096,'점포코드 '!A:B,2,0)</f>
        <v>#N/A</v>
      </c>
      <c r="E1096" s="30">
        <f>'Raw data'!P1005</f>
        <v>0</v>
      </c>
      <c r="F1096" s="29" t="e">
        <f>VLOOKUP(E1096,'점포코드 '!A:B,2,0)</f>
        <v>#N/A</v>
      </c>
      <c r="G1096" s="46">
        <f>'Raw data'!F1005</f>
        <v>0</v>
      </c>
      <c r="H1096" s="4">
        <f>'Raw data'!G1005</f>
        <v>0</v>
      </c>
      <c r="I1096" s="29" t="e">
        <f>VLOOKUP(G1096,제품명!$C$1:$E$114,2,0)</f>
        <v>#N/A</v>
      </c>
      <c r="J1096" s="29">
        <f>'Raw data'!K1005</f>
        <v>0</v>
      </c>
      <c r="K1096" s="31">
        <f>'Raw data'!H1005</f>
        <v>0</v>
      </c>
      <c r="L1096" s="26">
        <f t="shared" si="38"/>
        <v>0</v>
      </c>
    </row>
    <row r="1097" spans="2:12">
      <c r="B1097" s="4" t="e">
        <f t="shared" si="37"/>
        <v>#N/A</v>
      </c>
      <c r="C1097" s="4">
        <f>'Raw data'!E1006</f>
        <v>0</v>
      </c>
      <c r="D1097" s="29" t="e">
        <f>VLOOKUP(C1097,'점포코드 '!A:B,2,0)</f>
        <v>#N/A</v>
      </c>
      <c r="E1097" s="30">
        <f>'Raw data'!P1006</f>
        <v>0</v>
      </c>
      <c r="F1097" s="29" t="e">
        <f>VLOOKUP(E1097,'점포코드 '!A:B,2,0)</f>
        <v>#N/A</v>
      </c>
      <c r="G1097" s="46">
        <f>'Raw data'!F1006</f>
        <v>0</v>
      </c>
      <c r="H1097" s="4">
        <f>'Raw data'!G1006</f>
        <v>0</v>
      </c>
      <c r="I1097" s="29" t="e">
        <f>VLOOKUP(G1097,제품명!$C$1:$E$114,2,0)</f>
        <v>#N/A</v>
      </c>
      <c r="J1097" s="29">
        <f>'Raw data'!K1006</f>
        <v>0</v>
      </c>
      <c r="K1097" s="31">
        <f>'Raw data'!H1006</f>
        <v>0</v>
      </c>
      <c r="L1097" s="26">
        <f t="shared" si="38"/>
        <v>0</v>
      </c>
    </row>
    <row r="1098" spans="2:12">
      <c r="B1098" s="4" t="e">
        <f t="shared" si="37"/>
        <v>#N/A</v>
      </c>
      <c r="C1098" s="4">
        <f>'Raw data'!E1007</f>
        <v>0</v>
      </c>
      <c r="D1098" s="29" t="e">
        <f>VLOOKUP(C1098,'점포코드 '!A:B,2,0)</f>
        <v>#N/A</v>
      </c>
      <c r="E1098" s="30">
        <f>'Raw data'!P1007</f>
        <v>0</v>
      </c>
      <c r="F1098" s="29" t="e">
        <f>VLOOKUP(E1098,'점포코드 '!A:B,2,0)</f>
        <v>#N/A</v>
      </c>
      <c r="G1098" s="46">
        <f>'Raw data'!F1007</f>
        <v>0</v>
      </c>
      <c r="H1098" s="4">
        <f>'Raw data'!G1007</f>
        <v>0</v>
      </c>
      <c r="I1098" s="29" t="e">
        <f>VLOOKUP(G1098,제품명!$C$1:$E$114,2,0)</f>
        <v>#N/A</v>
      </c>
      <c r="J1098" s="29">
        <f>'Raw data'!K1007</f>
        <v>0</v>
      </c>
      <c r="K1098" s="31">
        <f>'Raw data'!H1007</f>
        <v>0</v>
      </c>
      <c r="L1098" s="26">
        <f t="shared" si="38"/>
        <v>0</v>
      </c>
    </row>
    <row r="1099" spans="2:12">
      <c r="B1099" s="4" t="e">
        <f t="shared" si="37"/>
        <v>#N/A</v>
      </c>
      <c r="C1099" s="4">
        <f>'Raw data'!E1008</f>
        <v>0</v>
      </c>
      <c r="D1099" s="29" t="e">
        <f>VLOOKUP(C1099,'점포코드 '!A:B,2,0)</f>
        <v>#N/A</v>
      </c>
      <c r="E1099" s="30">
        <f>'Raw data'!P1008</f>
        <v>0</v>
      </c>
      <c r="F1099" s="29" t="e">
        <f>VLOOKUP(E1099,'점포코드 '!A:B,2,0)</f>
        <v>#N/A</v>
      </c>
      <c r="G1099" s="46">
        <f>'Raw data'!F1008</f>
        <v>0</v>
      </c>
      <c r="H1099" s="4">
        <f>'Raw data'!G1008</f>
        <v>0</v>
      </c>
      <c r="I1099" s="29" t="e">
        <f>VLOOKUP(G1099,제품명!$C$1:$E$114,2,0)</f>
        <v>#N/A</v>
      </c>
      <c r="J1099" s="29">
        <f>'Raw data'!K1008</f>
        <v>0</v>
      </c>
      <c r="K1099" s="31">
        <f>'Raw data'!H1008</f>
        <v>0</v>
      </c>
      <c r="L1099" s="26">
        <f t="shared" si="38"/>
        <v>0</v>
      </c>
    </row>
    <row r="1100" spans="2:12">
      <c r="B1100" s="4" t="e">
        <f t="shared" si="37"/>
        <v>#N/A</v>
      </c>
      <c r="C1100" s="4">
        <f>'Raw data'!E1009</f>
        <v>0</v>
      </c>
      <c r="D1100" s="29" t="e">
        <f>VLOOKUP(C1100,'점포코드 '!A:B,2,0)</f>
        <v>#N/A</v>
      </c>
      <c r="E1100" s="30">
        <f>'Raw data'!P1009</f>
        <v>0</v>
      </c>
      <c r="F1100" s="29" t="e">
        <f>VLOOKUP(E1100,'점포코드 '!A:B,2,0)</f>
        <v>#N/A</v>
      </c>
      <c r="G1100" s="46">
        <f>'Raw data'!F1009</f>
        <v>0</v>
      </c>
      <c r="H1100" s="4">
        <f>'Raw data'!G1009</f>
        <v>0</v>
      </c>
      <c r="I1100" s="29" t="e">
        <f>VLOOKUP(G1100,제품명!$C$1:$E$114,2,0)</f>
        <v>#N/A</v>
      </c>
      <c r="J1100" s="29">
        <f>'Raw data'!K1009</f>
        <v>0</v>
      </c>
      <c r="K1100" s="31">
        <f>'Raw data'!H1009</f>
        <v>0</v>
      </c>
      <c r="L1100" s="26">
        <f t="shared" si="38"/>
        <v>0</v>
      </c>
    </row>
    <row r="1101" spans="2:12">
      <c r="B1101" s="4" t="e">
        <f t="shared" si="37"/>
        <v>#N/A</v>
      </c>
      <c r="C1101" s="4">
        <f>'Raw data'!E1010</f>
        <v>0</v>
      </c>
      <c r="D1101" s="29" t="e">
        <f>VLOOKUP(C1101,'점포코드 '!A:B,2,0)</f>
        <v>#N/A</v>
      </c>
      <c r="E1101" s="30">
        <f>'Raw data'!P1010</f>
        <v>0</v>
      </c>
      <c r="F1101" s="29" t="e">
        <f>VLOOKUP(E1101,'점포코드 '!A:B,2,0)</f>
        <v>#N/A</v>
      </c>
      <c r="G1101" s="46">
        <f>'Raw data'!F1010</f>
        <v>0</v>
      </c>
      <c r="H1101" s="4">
        <f>'Raw data'!G1010</f>
        <v>0</v>
      </c>
      <c r="I1101" s="29" t="e">
        <f>VLOOKUP(G1101,제품명!$C$1:$E$114,2,0)</f>
        <v>#N/A</v>
      </c>
      <c r="J1101" s="29">
        <f>'Raw data'!K1010</f>
        <v>0</v>
      </c>
      <c r="K1101" s="31">
        <f>'Raw data'!H1010</f>
        <v>0</v>
      </c>
      <c r="L1101" s="26">
        <f t="shared" si="38"/>
        <v>0</v>
      </c>
    </row>
    <row r="1102" spans="2:12">
      <c r="B1102" s="4" t="e">
        <f t="shared" si="37"/>
        <v>#N/A</v>
      </c>
      <c r="C1102" s="4">
        <f>'Raw data'!E1011</f>
        <v>0</v>
      </c>
      <c r="D1102" s="29" t="e">
        <f>VLOOKUP(C1102,'점포코드 '!A:B,2,0)</f>
        <v>#N/A</v>
      </c>
      <c r="E1102" s="30">
        <f>'Raw data'!P1011</f>
        <v>0</v>
      </c>
      <c r="F1102" s="29" t="e">
        <f>VLOOKUP(E1102,'점포코드 '!A:B,2,0)</f>
        <v>#N/A</v>
      </c>
      <c r="G1102" s="46">
        <f>'Raw data'!F1011</f>
        <v>0</v>
      </c>
      <c r="H1102" s="4">
        <f>'Raw data'!G1011</f>
        <v>0</v>
      </c>
      <c r="I1102" s="29" t="e">
        <f>VLOOKUP(G1102,제품명!$C$1:$E$114,2,0)</f>
        <v>#N/A</v>
      </c>
      <c r="J1102" s="29">
        <f>'Raw data'!K1011</f>
        <v>0</v>
      </c>
      <c r="K1102" s="31">
        <f>'Raw data'!H1011</f>
        <v>0</v>
      </c>
      <c r="L1102" s="26">
        <f t="shared" si="38"/>
        <v>0</v>
      </c>
    </row>
    <row r="1103" spans="2:12">
      <c r="B1103" s="4" t="e">
        <f t="shared" si="37"/>
        <v>#N/A</v>
      </c>
      <c r="C1103" s="4">
        <f>'Raw data'!E1012</f>
        <v>0</v>
      </c>
      <c r="D1103" s="29" t="e">
        <f>VLOOKUP(C1103,'점포코드 '!A:B,2,0)</f>
        <v>#N/A</v>
      </c>
      <c r="E1103" s="30">
        <f>'Raw data'!P1012</f>
        <v>0</v>
      </c>
      <c r="F1103" s="29" t="e">
        <f>VLOOKUP(E1103,'점포코드 '!A:B,2,0)</f>
        <v>#N/A</v>
      </c>
      <c r="G1103" s="46">
        <f>'Raw data'!F1012</f>
        <v>0</v>
      </c>
      <c r="H1103" s="4">
        <f>'Raw data'!G1012</f>
        <v>0</v>
      </c>
      <c r="I1103" s="29" t="e">
        <f>VLOOKUP(G1103,제품명!$C$1:$E$114,2,0)</f>
        <v>#N/A</v>
      </c>
      <c r="J1103" s="29">
        <f>'Raw data'!K1012</f>
        <v>0</v>
      </c>
      <c r="K1103" s="31">
        <f>'Raw data'!H1012</f>
        <v>0</v>
      </c>
      <c r="L1103" s="26">
        <f t="shared" si="38"/>
        <v>0</v>
      </c>
    </row>
    <row r="1104" spans="2:12">
      <c r="B1104" s="4" t="e">
        <f t="shared" si="37"/>
        <v>#N/A</v>
      </c>
      <c r="C1104" s="4">
        <f>'Raw data'!E1013</f>
        <v>0</v>
      </c>
      <c r="D1104" s="29" t="e">
        <f>VLOOKUP(C1104,'점포코드 '!A:B,2,0)</f>
        <v>#N/A</v>
      </c>
      <c r="E1104" s="30">
        <f>'Raw data'!P1013</f>
        <v>0</v>
      </c>
      <c r="F1104" s="29" t="e">
        <f>VLOOKUP(E1104,'점포코드 '!A:B,2,0)</f>
        <v>#N/A</v>
      </c>
      <c r="G1104" s="46">
        <f>'Raw data'!F1013</f>
        <v>0</v>
      </c>
      <c r="H1104" s="4">
        <f>'Raw data'!G1013</f>
        <v>0</v>
      </c>
      <c r="I1104" s="29" t="e">
        <f>VLOOKUP(G1104,제품명!$C$1:$E$114,2,0)</f>
        <v>#N/A</v>
      </c>
      <c r="J1104" s="29">
        <f>'Raw data'!K1013</f>
        <v>0</v>
      </c>
      <c r="K1104" s="31">
        <f>'Raw data'!H1013</f>
        <v>0</v>
      </c>
      <c r="L1104" s="26">
        <f t="shared" si="38"/>
        <v>0</v>
      </c>
    </row>
    <row r="1105" spans="2:12">
      <c r="B1105" s="4" t="e">
        <f t="shared" si="37"/>
        <v>#N/A</v>
      </c>
      <c r="C1105" s="4">
        <f>'Raw data'!E1014</f>
        <v>0</v>
      </c>
      <c r="D1105" s="29" t="e">
        <f>VLOOKUP(C1105,'점포코드 '!A:B,2,0)</f>
        <v>#N/A</v>
      </c>
      <c r="E1105" s="30">
        <f>'Raw data'!P1014</f>
        <v>0</v>
      </c>
      <c r="F1105" s="29" t="e">
        <f>VLOOKUP(E1105,'점포코드 '!A:B,2,0)</f>
        <v>#N/A</v>
      </c>
      <c r="G1105" s="46">
        <f>'Raw data'!F1014</f>
        <v>0</v>
      </c>
      <c r="H1105" s="4">
        <f>'Raw data'!G1014</f>
        <v>0</v>
      </c>
      <c r="I1105" s="29" t="e">
        <f>VLOOKUP(G1105,제품명!$C$1:$E$114,2,0)</f>
        <v>#N/A</v>
      </c>
      <c r="J1105" s="29">
        <f>'Raw data'!K1014</f>
        <v>0</v>
      </c>
      <c r="K1105" s="31">
        <f>'Raw data'!H1014</f>
        <v>0</v>
      </c>
      <c r="L1105" s="26">
        <f t="shared" si="38"/>
        <v>0</v>
      </c>
    </row>
    <row r="1106" spans="2:12">
      <c r="B1106" s="4" t="e">
        <f t="shared" si="37"/>
        <v>#N/A</v>
      </c>
      <c r="C1106" s="4">
        <f>'Raw data'!E1015</f>
        <v>0</v>
      </c>
      <c r="D1106" s="29" t="e">
        <f>VLOOKUP(C1106,'점포코드 '!A:B,2,0)</f>
        <v>#N/A</v>
      </c>
      <c r="E1106" s="30">
        <f>'Raw data'!P1015</f>
        <v>0</v>
      </c>
      <c r="F1106" s="29" t="e">
        <f>VLOOKUP(E1106,'점포코드 '!A:B,2,0)</f>
        <v>#N/A</v>
      </c>
      <c r="G1106" s="46">
        <f>'Raw data'!F1015</f>
        <v>0</v>
      </c>
      <c r="H1106" s="4">
        <f>'Raw data'!G1015</f>
        <v>0</v>
      </c>
      <c r="I1106" s="29" t="e">
        <f>VLOOKUP(G1106,제품명!$C$1:$E$114,2,0)</f>
        <v>#N/A</v>
      </c>
      <c r="J1106" s="29">
        <f>'Raw data'!K1015</f>
        <v>0</v>
      </c>
      <c r="K1106" s="31">
        <f>'Raw data'!H1015</f>
        <v>0</v>
      </c>
      <c r="L1106" s="26">
        <f t="shared" si="38"/>
        <v>0</v>
      </c>
    </row>
    <row r="1107" spans="2:12">
      <c r="B1107" s="4" t="e">
        <f t="shared" si="37"/>
        <v>#N/A</v>
      </c>
      <c r="C1107" s="4">
        <f>'Raw data'!E1016</f>
        <v>0</v>
      </c>
      <c r="D1107" s="29" t="e">
        <f>VLOOKUP(C1107,'점포코드 '!A:B,2,0)</f>
        <v>#N/A</v>
      </c>
      <c r="E1107" s="30">
        <f>'Raw data'!P1016</f>
        <v>0</v>
      </c>
      <c r="F1107" s="29" t="e">
        <f>VLOOKUP(E1107,'점포코드 '!A:B,2,0)</f>
        <v>#N/A</v>
      </c>
      <c r="G1107" s="46">
        <f>'Raw data'!F1016</f>
        <v>0</v>
      </c>
      <c r="H1107" s="4">
        <f>'Raw data'!G1016</f>
        <v>0</v>
      </c>
      <c r="I1107" s="29" t="e">
        <f>VLOOKUP(G1107,제품명!$C$1:$E$114,2,0)</f>
        <v>#N/A</v>
      </c>
      <c r="J1107" s="29">
        <f>'Raw data'!K1016</f>
        <v>0</v>
      </c>
      <c r="K1107" s="31">
        <f>'Raw data'!H1016</f>
        <v>0</v>
      </c>
      <c r="L1107" s="26">
        <f t="shared" si="38"/>
        <v>0</v>
      </c>
    </row>
    <row r="1108" spans="2:12">
      <c r="B1108" s="4" t="e">
        <f t="shared" si="37"/>
        <v>#N/A</v>
      </c>
      <c r="C1108" s="4">
        <f>'Raw data'!E1017</f>
        <v>0</v>
      </c>
      <c r="D1108" s="29" t="e">
        <f>VLOOKUP(C1108,'점포코드 '!A:B,2,0)</f>
        <v>#N/A</v>
      </c>
      <c r="E1108" s="30">
        <f>'Raw data'!P1017</f>
        <v>0</v>
      </c>
      <c r="F1108" s="29" t="e">
        <f>VLOOKUP(E1108,'점포코드 '!A:B,2,0)</f>
        <v>#N/A</v>
      </c>
      <c r="G1108" s="46">
        <f>'Raw data'!F1017</f>
        <v>0</v>
      </c>
      <c r="H1108" s="4">
        <f>'Raw data'!G1017</f>
        <v>0</v>
      </c>
      <c r="I1108" s="29" t="e">
        <f>VLOOKUP(G1108,제품명!$C$1:$E$114,2,0)</f>
        <v>#N/A</v>
      </c>
      <c r="J1108" s="29">
        <f>'Raw data'!K1017</f>
        <v>0</v>
      </c>
      <c r="K1108" s="31">
        <f>'Raw data'!H1017</f>
        <v>0</v>
      </c>
      <c r="L1108" s="26">
        <f t="shared" si="38"/>
        <v>0</v>
      </c>
    </row>
    <row r="1109" spans="2:12">
      <c r="B1109" s="4" t="e">
        <f t="shared" si="37"/>
        <v>#N/A</v>
      </c>
      <c r="C1109" s="4">
        <f>'Raw data'!E1018</f>
        <v>0</v>
      </c>
      <c r="D1109" s="29" t="e">
        <f>VLOOKUP(C1109,'점포코드 '!A:B,2,0)</f>
        <v>#N/A</v>
      </c>
      <c r="E1109" s="30">
        <f>'Raw data'!P1018</f>
        <v>0</v>
      </c>
      <c r="F1109" s="29" t="e">
        <f>VLOOKUP(E1109,'점포코드 '!A:B,2,0)</f>
        <v>#N/A</v>
      </c>
      <c r="G1109" s="46">
        <f>'Raw data'!F1018</f>
        <v>0</v>
      </c>
      <c r="H1109" s="4">
        <f>'Raw data'!G1018</f>
        <v>0</v>
      </c>
      <c r="I1109" s="29" t="e">
        <f>VLOOKUP(G1109,제품명!$C$1:$E$114,2,0)</f>
        <v>#N/A</v>
      </c>
      <c r="J1109" s="29">
        <f>'Raw data'!K1018</f>
        <v>0</v>
      </c>
      <c r="K1109" s="31">
        <f>'Raw data'!H1018</f>
        <v>0</v>
      </c>
      <c r="L1109" s="26">
        <f t="shared" si="38"/>
        <v>0</v>
      </c>
    </row>
    <row r="1110" spans="2:12">
      <c r="B1110" s="4" t="e">
        <f t="shared" si="37"/>
        <v>#N/A</v>
      </c>
      <c r="C1110" s="4">
        <f>'Raw data'!E1019</f>
        <v>0</v>
      </c>
      <c r="D1110" s="29" t="e">
        <f>VLOOKUP(C1110,'점포코드 '!A:B,2,0)</f>
        <v>#N/A</v>
      </c>
      <c r="E1110" s="30">
        <f>'Raw data'!P1019</f>
        <v>0</v>
      </c>
      <c r="F1110" s="29" t="e">
        <f>VLOOKUP(E1110,'점포코드 '!A:B,2,0)</f>
        <v>#N/A</v>
      </c>
      <c r="G1110" s="46">
        <f>'Raw data'!F1019</f>
        <v>0</v>
      </c>
      <c r="H1110" s="4">
        <f>'Raw data'!G1019</f>
        <v>0</v>
      </c>
      <c r="I1110" s="29" t="e">
        <f>VLOOKUP(G1110,제품명!$C$1:$E$114,2,0)</f>
        <v>#N/A</v>
      </c>
      <c r="J1110" s="29">
        <f>'Raw data'!K1019</f>
        <v>0</v>
      </c>
      <c r="K1110" s="31">
        <f>'Raw data'!H1019</f>
        <v>0</v>
      </c>
      <c r="L1110" s="26">
        <f t="shared" si="38"/>
        <v>0</v>
      </c>
    </row>
    <row r="1111" spans="2:12">
      <c r="B1111" s="4" t="e">
        <f t="shared" si="37"/>
        <v>#N/A</v>
      </c>
      <c r="C1111" s="4">
        <f>'Raw data'!E1020</f>
        <v>0</v>
      </c>
      <c r="D1111" s="29" t="e">
        <f>VLOOKUP(C1111,'점포코드 '!A:B,2,0)</f>
        <v>#N/A</v>
      </c>
      <c r="E1111" s="30">
        <f>'Raw data'!P1020</f>
        <v>0</v>
      </c>
      <c r="F1111" s="29" t="e">
        <f>VLOOKUP(E1111,'점포코드 '!A:B,2,0)</f>
        <v>#N/A</v>
      </c>
      <c r="G1111" s="46">
        <f>'Raw data'!F1020</f>
        <v>0</v>
      </c>
      <c r="H1111" s="4">
        <f>'Raw data'!G1020</f>
        <v>0</v>
      </c>
      <c r="I1111" s="29" t="e">
        <f>VLOOKUP(G1111,제품명!$C$1:$E$114,2,0)</f>
        <v>#N/A</v>
      </c>
      <c r="J1111" s="29">
        <f>'Raw data'!K1020</f>
        <v>0</v>
      </c>
      <c r="K1111" s="31">
        <f>'Raw data'!H1020</f>
        <v>0</v>
      </c>
      <c r="L1111" s="26">
        <f t="shared" si="38"/>
        <v>0</v>
      </c>
    </row>
    <row r="1112" spans="2:12">
      <c r="B1112" s="4" t="e">
        <f t="shared" si="37"/>
        <v>#N/A</v>
      </c>
      <c r="C1112" s="4">
        <f>'Raw data'!E1021</f>
        <v>0</v>
      </c>
      <c r="D1112" s="29" t="e">
        <f>VLOOKUP(C1112,'점포코드 '!A:B,2,0)</f>
        <v>#N/A</v>
      </c>
      <c r="E1112" s="30">
        <f>'Raw data'!P1021</f>
        <v>0</v>
      </c>
      <c r="F1112" s="29" t="e">
        <f>VLOOKUP(E1112,'점포코드 '!A:B,2,0)</f>
        <v>#N/A</v>
      </c>
      <c r="G1112" s="46">
        <f>'Raw data'!F1021</f>
        <v>0</v>
      </c>
      <c r="H1112" s="4">
        <f>'Raw data'!G1021</f>
        <v>0</v>
      </c>
      <c r="I1112" s="29" t="e">
        <f>VLOOKUP(G1112,제품명!$C$1:$E$114,2,0)</f>
        <v>#N/A</v>
      </c>
      <c r="J1112" s="29">
        <f>'Raw data'!K1021</f>
        <v>0</v>
      </c>
      <c r="K1112" s="31">
        <f>'Raw data'!H1021</f>
        <v>0</v>
      </c>
      <c r="L1112" s="26">
        <f t="shared" si="38"/>
        <v>0</v>
      </c>
    </row>
    <row r="1113" spans="2:12">
      <c r="B1113" s="4" t="e">
        <f t="shared" si="37"/>
        <v>#N/A</v>
      </c>
      <c r="C1113" s="4">
        <f>'Raw data'!E1022</f>
        <v>0</v>
      </c>
      <c r="D1113" s="29" t="e">
        <f>VLOOKUP(C1113,'점포코드 '!A:B,2,0)</f>
        <v>#N/A</v>
      </c>
      <c r="E1113" s="30">
        <f>'Raw data'!P1022</f>
        <v>0</v>
      </c>
      <c r="F1113" s="29" t="e">
        <f>VLOOKUP(E1113,'점포코드 '!A:B,2,0)</f>
        <v>#N/A</v>
      </c>
      <c r="G1113" s="46">
        <f>'Raw data'!F1022</f>
        <v>0</v>
      </c>
      <c r="H1113" s="4">
        <f>'Raw data'!G1022</f>
        <v>0</v>
      </c>
      <c r="I1113" s="29" t="e">
        <f>VLOOKUP(G1113,제품명!$C$1:$E$114,2,0)</f>
        <v>#N/A</v>
      </c>
      <c r="J1113" s="29">
        <f>'Raw data'!K1022</f>
        <v>0</v>
      </c>
      <c r="K1113" s="31">
        <f>'Raw data'!H1022</f>
        <v>0</v>
      </c>
      <c r="L1113" s="26">
        <f t="shared" si="38"/>
        <v>0</v>
      </c>
    </row>
    <row r="1114" spans="2:12">
      <c r="B1114" s="4" t="e">
        <f t="shared" si="37"/>
        <v>#N/A</v>
      </c>
      <c r="C1114" s="4">
        <f>'Raw data'!E1023</f>
        <v>0</v>
      </c>
      <c r="D1114" s="29" t="e">
        <f>VLOOKUP(C1114,'점포코드 '!A:B,2,0)</f>
        <v>#N/A</v>
      </c>
      <c r="E1114" s="30">
        <f>'Raw data'!P1023</f>
        <v>0</v>
      </c>
      <c r="F1114" s="29" t="e">
        <f>VLOOKUP(E1114,'점포코드 '!A:B,2,0)</f>
        <v>#N/A</v>
      </c>
      <c r="G1114" s="46">
        <f>'Raw data'!F1023</f>
        <v>0</v>
      </c>
      <c r="H1114" s="4">
        <f>'Raw data'!G1023</f>
        <v>0</v>
      </c>
      <c r="I1114" s="29" t="e">
        <f>VLOOKUP(G1114,제품명!$C$1:$E$114,2,0)</f>
        <v>#N/A</v>
      </c>
      <c r="J1114" s="29">
        <f>'Raw data'!K1023</f>
        <v>0</v>
      </c>
      <c r="K1114" s="31">
        <f>'Raw data'!H1023</f>
        <v>0</v>
      </c>
      <c r="L1114" s="26">
        <f t="shared" si="38"/>
        <v>0</v>
      </c>
    </row>
    <row r="1115" spans="2:12">
      <c r="B1115" s="4" t="e">
        <f t="shared" si="37"/>
        <v>#N/A</v>
      </c>
      <c r="C1115" s="4">
        <f>'Raw data'!E1024</f>
        <v>0</v>
      </c>
      <c r="D1115" s="29" t="e">
        <f>VLOOKUP(C1115,'점포코드 '!A:B,2,0)</f>
        <v>#N/A</v>
      </c>
      <c r="E1115" s="30">
        <f>'Raw data'!P1024</f>
        <v>0</v>
      </c>
      <c r="F1115" s="29" t="e">
        <f>VLOOKUP(E1115,'점포코드 '!A:B,2,0)</f>
        <v>#N/A</v>
      </c>
      <c r="G1115" s="46">
        <f>'Raw data'!F1024</f>
        <v>0</v>
      </c>
      <c r="H1115" s="4">
        <f>'Raw data'!G1024</f>
        <v>0</v>
      </c>
      <c r="I1115" s="29" t="e">
        <f>VLOOKUP(G1115,제품명!$C$1:$E$114,2,0)</f>
        <v>#N/A</v>
      </c>
      <c r="J1115" s="29">
        <f>'Raw data'!K1024</f>
        <v>0</v>
      </c>
      <c r="K1115" s="31">
        <f>'Raw data'!H1024</f>
        <v>0</v>
      </c>
      <c r="L1115" s="26">
        <f t="shared" si="38"/>
        <v>0</v>
      </c>
    </row>
    <row r="1116" spans="2:12">
      <c r="B1116" s="4" t="e">
        <f t="shared" si="37"/>
        <v>#N/A</v>
      </c>
      <c r="C1116" s="4">
        <f>'Raw data'!E1025</f>
        <v>0</v>
      </c>
      <c r="D1116" s="29" t="e">
        <f>VLOOKUP(C1116,'점포코드 '!A:B,2,0)</f>
        <v>#N/A</v>
      </c>
      <c r="E1116" s="30">
        <f>'Raw data'!P1025</f>
        <v>0</v>
      </c>
      <c r="F1116" s="29" t="e">
        <f>VLOOKUP(E1116,'점포코드 '!A:B,2,0)</f>
        <v>#N/A</v>
      </c>
      <c r="G1116" s="46">
        <f>'Raw data'!F1025</f>
        <v>0</v>
      </c>
      <c r="H1116" s="4">
        <f>'Raw data'!G1025</f>
        <v>0</v>
      </c>
      <c r="I1116" s="29" t="e">
        <f>VLOOKUP(G1116,제품명!$C$1:$E$114,2,0)</f>
        <v>#N/A</v>
      </c>
      <c r="J1116" s="29">
        <f>'Raw data'!K1025</f>
        <v>0</v>
      </c>
      <c r="K1116" s="31">
        <f>'Raw data'!H1025</f>
        <v>0</v>
      </c>
      <c r="L1116" s="26">
        <f t="shared" si="38"/>
        <v>0</v>
      </c>
    </row>
    <row r="1117" spans="2:12">
      <c r="B1117" s="4" t="e">
        <f t="shared" si="37"/>
        <v>#N/A</v>
      </c>
      <c r="C1117" s="4">
        <f>'Raw data'!E1026</f>
        <v>0</v>
      </c>
      <c r="D1117" s="29" t="e">
        <f>VLOOKUP(C1117,'점포코드 '!A:B,2,0)</f>
        <v>#N/A</v>
      </c>
      <c r="E1117" s="30">
        <f>'Raw data'!P1026</f>
        <v>0</v>
      </c>
      <c r="F1117" s="29" t="e">
        <f>VLOOKUP(E1117,'점포코드 '!A:B,2,0)</f>
        <v>#N/A</v>
      </c>
      <c r="G1117" s="46">
        <f>'Raw data'!F1026</f>
        <v>0</v>
      </c>
      <c r="H1117" s="4">
        <f>'Raw data'!G1026</f>
        <v>0</v>
      </c>
      <c r="I1117" s="29" t="e">
        <f>VLOOKUP(G1117,제품명!$C$1:$E$114,2,0)</f>
        <v>#N/A</v>
      </c>
      <c r="J1117" s="29">
        <f>'Raw data'!K1026</f>
        <v>0</v>
      </c>
      <c r="K1117" s="31">
        <f>'Raw data'!H1026</f>
        <v>0</v>
      </c>
      <c r="L1117" s="26">
        <f t="shared" si="38"/>
        <v>0</v>
      </c>
    </row>
    <row r="1118" spans="2:12">
      <c r="B1118" s="4" t="e">
        <f t="shared" si="37"/>
        <v>#N/A</v>
      </c>
      <c r="C1118" s="4">
        <f>'Raw data'!E1027</f>
        <v>0</v>
      </c>
      <c r="D1118" s="29" t="e">
        <f>VLOOKUP(C1118,'점포코드 '!A:B,2,0)</f>
        <v>#N/A</v>
      </c>
      <c r="E1118" s="30">
        <f>'Raw data'!P1027</f>
        <v>0</v>
      </c>
      <c r="F1118" s="29" t="e">
        <f>VLOOKUP(E1118,'점포코드 '!A:B,2,0)</f>
        <v>#N/A</v>
      </c>
      <c r="G1118" s="46">
        <f>'Raw data'!F1027</f>
        <v>0</v>
      </c>
      <c r="H1118" s="4">
        <f>'Raw data'!G1027</f>
        <v>0</v>
      </c>
      <c r="I1118" s="29" t="e">
        <f>VLOOKUP(G1118,제품명!$C$1:$E$114,2,0)</f>
        <v>#N/A</v>
      </c>
      <c r="J1118" s="29">
        <f>'Raw data'!K1027</f>
        <v>0</v>
      </c>
      <c r="K1118" s="31">
        <f>'Raw data'!H1027</f>
        <v>0</v>
      </c>
      <c r="L1118" s="26">
        <f t="shared" si="38"/>
        <v>0</v>
      </c>
    </row>
    <row r="1119" spans="2:12">
      <c r="B1119" s="4" t="e">
        <f t="shared" si="37"/>
        <v>#N/A</v>
      </c>
      <c r="C1119" s="4">
        <f>'Raw data'!E1028</f>
        <v>0</v>
      </c>
      <c r="D1119" s="29" t="e">
        <f>VLOOKUP(C1119,'점포코드 '!A:B,2,0)</f>
        <v>#N/A</v>
      </c>
      <c r="E1119" s="30">
        <f>'Raw data'!P1028</f>
        <v>0</v>
      </c>
      <c r="F1119" s="29" t="e">
        <f>VLOOKUP(E1119,'점포코드 '!A:B,2,0)</f>
        <v>#N/A</v>
      </c>
      <c r="G1119" s="46">
        <f>'Raw data'!F1028</f>
        <v>0</v>
      </c>
      <c r="H1119" s="4">
        <f>'Raw data'!G1028</f>
        <v>0</v>
      </c>
      <c r="I1119" s="29" t="e">
        <f>VLOOKUP(G1119,제품명!$C$1:$E$114,2,0)</f>
        <v>#N/A</v>
      </c>
      <c r="J1119" s="29">
        <f>'Raw data'!K1028</f>
        <v>0</v>
      </c>
      <c r="K1119" s="31">
        <f>'Raw data'!H1028</f>
        <v>0</v>
      </c>
      <c r="L1119" s="26">
        <f t="shared" si="38"/>
        <v>0</v>
      </c>
    </row>
    <row r="1120" spans="2:12">
      <c r="B1120" s="4" t="e">
        <f t="shared" si="37"/>
        <v>#N/A</v>
      </c>
      <c r="C1120" s="4">
        <f>'Raw data'!E1029</f>
        <v>0</v>
      </c>
      <c r="D1120" s="29" t="e">
        <f>VLOOKUP(C1120,'점포코드 '!A:B,2,0)</f>
        <v>#N/A</v>
      </c>
      <c r="E1120" s="30">
        <f>'Raw data'!P1029</f>
        <v>0</v>
      </c>
      <c r="F1120" s="29" t="e">
        <f>VLOOKUP(E1120,'점포코드 '!A:B,2,0)</f>
        <v>#N/A</v>
      </c>
      <c r="G1120" s="46">
        <f>'Raw data'!F1029</f>
        <v>0</v>
      </c>
      <c r="H1120" s="4">
        <f>'Raw data'!G1029</f>
        <v>0</v>
      </c>
      <c r="I1120" s="29" t="e">
        <f>VLOOKUP(G1120,제품명!$C$1:$E$114,2,0)</f>
        <v>#N/A</v>
      </c>
      <c r="J1120" s="29">
        <f>'Raw data'!K1029</f>
        <v>0</v>
      </c>
      <c r="K1120" s="31">
        <f>'Raw data'!H1029</f>
        <v>0</v>
      </c>
      <c r="L1120" s="26">
        <f t="shared" si="38"/>
        <v>0</v>
      </c>
    </row>
    <row r="1121" spans="2:12">
      <c r="B1121" s="4" t="e">
        <f t="shared" si="37"/>
        <v>#N/A</v>
      </c>
      <c r="C1121" s="4">
        <f>'Raw data'!E1030</f>
        <v>0</v>
      </c>
      <c r="D1121" s="29" t="e">
        <f>VLOOKUP(C1121,'점포코드 '!A:B,2,0)</f>
        <v>#N/A</v>
      </c>
      <c r="E1121" s="30">
        <f>'Raw data'!P1030</f>
        <v>0</v>
      </c>
      <c r="F1121" s="29" t="e">
        <f>VLOOKUP(E1121,'점포코드 '!A:B,2,0)</f>
        <v>#N/A</v>
      </c>
      <c r="G1121" s="46">
        <f>'Raw data'!F1030</f>
        <v>0</v>
      </c>
      <c r="H1121" s="4">
        <f>'Raw data'!G1030</f>
        <v>0</v>
      </c>
      <c r="I1121" s="29" t="e">
        <f>VLOOKUP(G1121,제품명!$C$1:$E$114,2,0)</f>
        <v>#N/A</v>
      </c>
      <c r="J1121" s="29">
        <f>'Raw data'!K1030</f>
        <v>0</v>
      </c>
      <c r="K1121" s="31">
        <f>'Raw data'!H1030</f>
        <v>0</v>
      </c>
      <c r="L1121" s="26">
        <f t="shared" si="38"/>
        <v>0</v>
      </c>
    </row>
    <row r="1122" spans="2:12">
      <c r="B1122" s="4" t="e">
        <f t="shared" si="37"/>
        <v>#N/A</v>
      </c>
      <c r="C1122" s="4">
        <f>'Raw data'!E1031</f>
        <v>0</v>
      </c>
      <c r="D1122" s="29" t="e">
        <f>VLOOKUP(C1122,'점포코드 '!A:B,2,0)</f>
        <v>#N/A</v>
      </c>
      <c r="E1122" s="30">
        <f>'Raw data'!P1031</f>
        <v>0</v>
      </c>
      <c r="F1122" s="29" t="e">
        <f>VLOOKUP(E1122,'점포코드 '!A:B,2,0)</f>
        <v>#N/A</v>
      </c>
      <c r="G1122" s="46">
        <f>'Raw data'!F1031</f>
        <v>0</v>
      </c>
      <c r="H1122" s="4">
        <f>'Raw data'!G1031</f>
        <v>0</v>
      </c>
      <c r="I1122" s="29" t="e">
        <f>VLOOKUP(G1122,제품명!$C$1:$E$114,2,0)</f>
        <v>#N/A</v>
      </c>
      <c r="J1122" s="29">
        <f>'Raw data'!K1031</f>
        <v>0</v>
      </c>
      <c r="K1122" s="31">
        <f>'Raw data'!H1031</f>
        <v>0</v>
      </c>
      <c r="L1122" s="26">
        <f t="shared" si="38"/>
        <v>0</v>
      </c>
    </row>
    <row r="1123" spans="2:12">
      <c r="B1123" s="4" t="e">
        <f t="shared" si="37"/>
        <v>#N/A</v>
      </c>
      <c r="C1123" s="4">
        <f>'Raw data'!E1032</f>
        <v>0</v>
      </c>
      <c r="D1123" s="29" t="e">
        <f>VLOOKUP(C1123,'점포코드 '!A:B,2,0)</f>
        <v>#N/A</v>
      </c>
      <c r="E1123" s="30">
        <f>'Raw data'!P1032</f>
        <v>0</v>
      </c>
      <c r="F1123" s="29" t="e">
        <f>VLOOKUP(E1123,'점포코드 '!A:B,2,0)</f>
        <v>#N/A</v>
      </c>
      <c r="G1123" s="46">
        <f>'Raw data'!F1032</f>
        <v>0</v>
      </c>
      <c r="H1123" s="4">
        <f>'Raw data'!G1032</f>
        <v>0</v>
      </c>
      <c r="I1123" s="29" t="e">
        <f>VLOOKUP(G1123,제품명!$C$1:$E$114,2,0)</f>
        <v>#N/A</v>
      </c>
      <c r="J1123" s="29">
        <f>'Raw data'!K1032</f>
        <v>0</v>
      </c>
      <c r="K1123" s="31">
        <f>'Raw data'!H1032</f>
        <v>0</v>
      </c>
      <c r="L1123" s="26">
        <f t="shared" si="38"/>
        <v>0</v>
      </c>
    </row>
    <row r="1124" spans="2:12">
      <c r="B1124" s="4" t="e">
        <f t="shared" si="37"/>
        <v>#N/A</v>
      </c>
      <c r="C1124" s="4">
        <f>'Raw data'!E1033</f>
        <v>0</v>
      </c>
      <c r="D1124" s="29" t="e">
        <f>VLOOKUP(C1124,'점포코드 '!A:B,2,0)</f>
        <v>#N/A</v>
      </c>
      <c r="E1124" s="30">
        <f>'Raw data'!P1033</f>
        <v>0</v>
      </c>
      <c r="F1124" s="29" t="e">
        <f>VLOOKUP(E1124,'점포코드 '!A:B,2,0)</f>
        <v>#N/A</v>
      </c>
      <c r="G1124" s="46">
        <f>'Raw data'!F1033</f>
        <v>0</v>
      </c>
      <c r="H1124" s="4">
        <f>'Raw data'!G1033</f>
        <v>0</v>
      </c>
      <c r="I1124" s="29" t="e">
        <f>VLOOKUP(G1124,제품명!$C$1:$E$114,2,0)</f>
        <v>#N/A</v>
      </c>
      <c r="J1124" s="29">
        <f>'Raw data'!K1033</f>
        <v>0</v>
      </c>
      <c r="K1124" s="31">
        <f>'Raw data'!H1033</f>
        <v>0</v>
      </c>
      <c r="L1124" s="26">
        <f t="shared" si="38"/>
        <v>0</v>
      </c>
    </row>
    <row r="1125" spans="2:12">
      <c r="B1125" s="4" t="e">
        <f t="shared" si="37"/>
        <v>#N/A</v>
      </c>
      <c r="C1125" s="4">
        <f>'Raw data'!E1034</f>
        <v>0</v>
      </c>
      <c r="D1125" s="29" t="e">
        <f>VLOOKUP(C1125,'점포코드 '!A:B,2,0)</f>
        <v>#N/A</v>
      </c>
      <c r="E1125" s="30">
        <f>'Raw data'!P1034</f>
        <v>0</v>
      </c>
      <c r="F1125" s="29" t="e">
        <f>VLOOKUP(E1125,'점포코드 '!A:B,2,0)</f>
        <v>#N/A</v>
      </c>
      <c r="G1125" s="46">
        <f>'Raw data'!F1034</f>
        <v>0</v>
      </c>
      <c r="H1125" s="4">
        <f>'Raw data'!G1034</f>
        <v>0</v>
      </c>
      <c r="I1125" s="29" t="e">
        <f>VLOOKUP(G1125,제품명!$C$1:$E$114,2,0)</f>
        <v>#N/A</v>
      </c>
      <c r="J1125" s="29">
        <f>'Raw data'!K1034</f>
        <v>0</v>
      </c>
      <c r="K1125" s="31">
        <f>'Raw data'!H1034</f>
        <v>0</v>
      </c>
      <c r="L1125" s="26">
        <f t="shared" si="38"/>
        <v>0</v>
      </c>
    </row>
    <row r="1126" spans="2:12">
      <c r="B1126" s="4" t="e">
        <f t="shared" si="37"/>
        <v>#N/A</v>
      </c>
      <c r="C1126" s="4">
        <f>'Raw data'!E1035</f>
        <v>0</v>
      </c>
      <c r="D1126" s="29" t="e">
        <f>VLOOKUP(C1126,'점포코드 '!A:B,2,0)</f>
        <v>#N/A</v>
      </c>
      <c r="E1126" s="30">
        <f>'Raw data'!P1035</f>
        <v>0</v>
      </c>
      <c r="F1126" s="29" t="e">
        <f>VLOOKUP(E1126,'점포코드 '!A:B,2,0)</f>
        <v>#N/A</v>
      </c>
      <c r="G1126" s="46">
        <f>'Raw data'!F1035</f>
        <v>0</v>
      </c>
      <c r="H1126" s="4">
        <f>'Raw data'!G1035</f>
        <v>0</v>
      </c>
      <c r="I1126" s="29" t="e">
        <f>VLOOKUP(G1126,제품명!$C$1:$E$114,2,0)</f>
        <v>#N/A</v>
      </c>
      <c r="J1126" s="29">
        <f>'Raw data'!K1035</f>
        <v>0</v>
      </c>
      <c r="K1126" s="31">
        <f>'Raw data'!H1035</f>
        <v>0</v>
      </c>
      <c r="L1126" s="26">
        <f t="shared" si="38"/>
        <v>0</v>
      </c>
    </row>
    <row r="1127" spans="2:12">
      <c r="B1127" s="4" t="e">
        <f t="shared" si="37"/>
        <v>#N/A</v>
      </c>
      <c r="C1127" s="4">
        <f>'Raw data'!E1036</f>
        <v>0</v>
      </c>
      <c r="D1127" s="29" t="e">
        <f>VLOOKUP(C1127,'점포코드 '!A:B,2,0)</f>
        <v>#N/A</v>
      </c>
      <c r="E1127" s="30">
        <f>'Raw data'!P1036</f>
        <v>0</v>
      </c>
      <c r="F1127" s="29" t="e">
        <f>VLOOKUP(E1127,'점포코드 '!A:B,2,0)</f>
        <v>#N/A</v>
      </c>
      <c r="G1127" s="46">
        <f>'Raw data'!F1036</f>
        <v>0</v>
      </c>
      <c r="H1127" s="4">
        <f>'Raw data'!G1036</f>
        <v>0</v>
      </c>
      <c r="I1127" s="29" t="e">
        <f>VLOOKUP(G1127,제품명!$C$1:$E$114,2,0)</f>
        <v>#N/A</v>
      </c>
      <c r="J1127" s="29">
        <f>'Raw data'!K1036</f>
        <v>0</v>
      </c>
      <c r="K1127" s="31">
        <f>'Raw data'!H1036</f>
        <v>0</v>
      </c>
      <c r="L1127" s="26">
        <f t="shared" si="38"/>
        <v>0</v>
      </c>
    </row>
    <row r="1128" spans="2:12">
      <c r="B1128" s="4" t="e">
        <f t="shared" si="37"/>
        <v>#N/A</v>
      </c>
      <c r="C1128" s="4">
        <f>'Raw data'!E1037</f>
        <v>0</v>
      </c>
      <c r="D1128" s="29" t="e">
        <f>VLOOKUP(C1128,'점포코드 '!A:B,2,0)</f>
        <v>#N/A</v>
      </c>
      <c r="E1128" s="30">
        <f>'Raw data'!P1037</f>
        <v>0</v>
      </c>
      <c r="F1128" s="29" t="e">
        <f>VLOOKUP(E1128,'점포코드 '!A:B,2,0)</f>
        <v>#N/A</v>
      </c>
      <c r="G1128" s="46">
        <f>'Raw data'!F1037</f>
        <v>0</v>
      </c>
      <c r="H1128" s="4">
        <f>'Raw data'!G1037</f>
        <v>0</v>
      </c>
      <c r="I1128" s="29" t="e">
        <f>VLOOKUP(G1128,제품명!$C$1:$E$114,2,0)</f>
        <v>#N/A</v>
      </c>
      <c r="J1128" s="29">
        <f>'Raw data'!K1037</f>
        <v>0</v>
      </c>
      <c r="K1128" s="31">
        <f>'Raw data'!H1037</f>
        <v>0</v>
      </c>
      <c r="L1128" s="26">
        <f t="shared" si="38"/>
        <v>0</v>
      </c>
    </row>
    <row r="1129" spans="2:12">
      <c r="B1129" s="4" t="e">
        <f t="shared" si="37"/>
        <v>#N/A</v>
      </c>
      <c r="C1129" s="4">
        <f>'Raw data'!E1038</f>
        <v>0</v>
      </c>
      <c r="D1129" s="29" t="e">
        <f>VLOOKUP(C1129,'점포코드 '!A:B,2,0)</f>
        <v>#N/A</v>
      </c>
      <c r="E1129" s="30">
        <f>'Raw data'!P1038</f>
        <v>0</v>
      </c>
      <c r="F1129" s="29" t="e">
        <f>VLOOKUP(E1129,'점포코드 '!A:B,2,0)</f>
        <v>#N/A</v>
      </c>
      <c r="G1129" s="46">
        <f>'Raw data'!F1038</f>
        <v>0</v>
      </c>
      <c r="H1129" s="4">
        <f>'Raw data'!G1038</f>
        <v>0</v>
      </c>
      <c r="I1129" s="29" t="e">
        <f>VLOOKUP(G1129,제품명!$C$1:$E$114,2,0)</f>
        <v>#N/A</v>
      </c>
      <c r="J1129" s="29">
        <f>'Raw data'!K1038</f>
        <v>0</v>
      </c>
      <c r="K1129" s="31">
        <f>'Raw data'!H1038</f>
        <v>0</v>
      </c>
      <c r="L1129" s="26">
        <f t="shared" si="38"/>
        <v>0</v>
      </c>
    </row>
    <row r="1130" spans="2:12">
      <c r="B1130" s="4" t="e">
        <f t="shared" si="37"/>
        <v>#N/A</v>
      </c>
      <c r="C1130" s="4">
        <f>'Raw data'!E1039</f>
        <v>0</v>
      </c>
      <c r="D1130" s="29" t="e">
        <f>VLOOKUP(C1130,'점포코드 '!A:B,2,0)</f>
        <v>#N/A</v>
      </c>
      <c r="E1130" s="30">
        <f>'Raw data'!P1039</f>
        <v>0</v>
      </c>
      <c r="F1130" s="29" t="e">
        <f>VLOOKUP(E1130,'점포코드 '!A:B,2,0)</f>
        <v>#N/A</v>
      </c>
      <c r="G1130" s="46">
        <f>'Raw data'!F1039</f>
        <v>0</v>
      </c>
      <c r="H1130" s="4">
        <f>'Raw data'!G1039</f>
        <v>0</v>
      </c>
      <c r="I1130" s="29" t="e">
        <f>VLOOKUP(G1130,제품명!$C$1:$E$114,2,0)</f>
        <v>#N/A</v>
      </c>
      <c r="J1130" s="29">
        <f>'Raw data'!K1039</f>
        <v>0</v>
      </c>
      <c r="K1130" s="31">
        <f>'Raw data'!H1039</f>
        <v>0</v>
      </c>
      <c r="L1130" s="26">
        <f t="shared" si="38"/>
        <v>0</v>
      </c>
    </row>
    <row r="1131" spans="2:12">
      <c r="B1131" s="4" t="e">
        <f t="shared" si="37"/>
        <v>#N/A</v>
      </c>
      <c r="C1131" s="4">
        <f>'Raw data'!E1040</f>
        <v>0</v>
      </c>
      <c r="D1131" s="29" t="e">
        <f>VLOOKUP(C1131,'점포코드 '!A:B,2,0)</f>
        <v>#N/A</v>
      </c>
      <c r="E1131" s="30">
        <f>'Raw data'!P1040</f>
        <v>0</v>
      </c>
      <c r="F1131" s="29" t="e">
        <f>VLOOKUP(E1131,'점포코드 '!A:B,2,0)</f>
        <v>#N/A</v>
      </c>
      <c r="G1131" s="46">
        <f>'Raw data'!F1040</f>
        <v>0</v>
      </c>
      <c r="H1131" s="4">
        <f>'Raw data'!G1040</f>
        <v>0</v>
      </c>
      <c r="I1131" s="29" t="e">
        <f>VLOOKUP(G1131,제품명!$C$1:$E$114,2,0)</f>
        <v>#N/A</v>
      </c>
      <c r="J1131" s="29">
        <f>'Raw data'!K1040</f>
        <v>0</v>
      </c>
      <c r="K1131" s="31">
        <f>'Raw data'!H1040</f>
        <v>0</v>
      </c>
      <c r="L1131" s="26">
        <f t="shared" si="38"/>
        <v>0</v>
      </c>
    </row>
    <row r="1132" spans="2:12">
      <c r="B1132" s="4" t="e">
        <f t="shared" si="37"/>
        <v>#N/A</v>
      </c>
      <c r="C1132" s="4">
        <f>'Raw data'!E1041</f>
        <v>0</v>
      </c>
      <c r="D1132" s="29" t="e">
        <f>VLOOKUP(C1132,'점포코드 '!A:B,2,0)</f>
        <v>#N/A</v>
      </c>
      <c r="E1132" s="30">
        <f>'Raw data'!P1041</f>
        <v>0</v>
      </c>
      <c r="F1132" s="29" t="e">
        <f>VLOOKUP(E1132,'점포코드 '!A:B,2,0)</f>
        <v>#N/A</v>
      </c>
      <c r="G1132" s="46">
        <f>'Raw data'!F1041</f>
        <v>0</v>
      </c>
      <c r="H1132" s="4">
        <f>'Raw data'!G1041</f>
        <v>0</v>
      </c>
      <c r="I1132" s="29" t="e">
        <f>VLOOKUP(G1132,제품명!$C$1:$E$114,2,0)</f>
        <v>#N/A</v>
      </c>
      <c r="J1132" s="29">
        <f>'Raw data'!K1041</f>
        <v>0</v>
      </c>
      <c r="K1132" s="31">
        <f>'Raw data'!H1041</f>
        <v>0</v>
      </c>
      <c r="L1132" s="26">
        <f t="shared" si="38"/>
        <v>0</v>
      </c>
    </row>
    <row r="1133" spans="2:12">
      <c r="B1133" s="4" t="e">
        <f t="shared" si="37"/>
        <v>#N/A</v>
      </c>
      <c r="C1133" s="4">
        <f>'Raw data'!E1042</f>
        <v>0</v>
      </c>
      <c r="D1133" s="29" t="e">
        <f>VLOOKUP(C1133,'점포코드 '!A:B,2,0)</f>
        <v>#N/A</v>
      </c>
      <c r="E1133" s="30">
        <f>'Raw data'!P1042</f>
        <v>0</v>
      </c>
      <c r="F1133" s="29" t="e">
        <f>VLOOKUP(E1133,'점포코드 '!A:B,2,0)</f>
        <v>#N/A</v>
      </c>
      <c r="G1133" s="46">
        <f>'Raw data'!F1042</f>
        <v>0</v>
      </c>
      <c r="H1133" s="4">
        <f>'Raw data'!G1042</f>
        <v>0</v>
      </c>
      <c r="I1133" s="29" t="e">
        <f>VLOOKUP(G1133,제품명!$C$1:$E$114,2,0)</f>
        <v>#N/A</v>
      </c>
      <c r="J1133" s="29">
        <f>'Raw data'!K1042</f>
        <v>0</v>
      </c>
      <c r="K1133" s="31">
        <f>'Raw data'!H1042</f>
        <v>0</v>
      </c>
      <c r="L1133" s="26">
        <f t="shared" si="38"/>
        <v>0</v>
      </c>
    </row>
    <row r="1134" spans="2:12">
      <c r="B1134" s="4" t="e">
        <f t="shared" si="37"/>
        <v>#N/A</v>
      </c>
      <c r="C1134" s="4">
        <f>'Raw data'!E1043</f>
        <v>0</v>
      </c>
      <c r="D1134" s="29" t="e">
        <f>VLOOKUP(C1134,'점포코드 '!A:B,2,0)</f>
        <v>#N/A</v>
      </c>
      <c r="E1134" s="30">
        <f>'Raw data'!P1043</f>
        <v>0</v>
      </c>
      <c r="F1134" s="29" t="e">
        <f>VLOOKUP(E1134,'점포코드 '!A:B,2,0)</f>
        <v>#N/A</v>
      </c>
      <c r="G1134" s="46">
        <f>'Raw data'!F1043</f>
        <v>0</v>
      </c>
      <c r="H1134" s="4">
        <f>'Raw data'!G1043</f>
        <v>0</v>
      </c>
      <c r="I1134" s="29" t="e">
        <f>VLOOKUP(G1134,제품명!$C$1:$E$114,2,0)</f>
        <v>#N/A</v>
      </c>
      <c r="J1134" s="29">
        <f>'Raw data'!K1043</f>
        <v>0</v>
      </c>
      <c r="K1134" s="31">
        <f>'Raw data'!H1043</f>
        <v>0</v>
      </c>
      <c r="L1134" s="26">
        <f t="shared" si="38"/>
        <v>0</v>
      </c>
    </row>
    <row r="1135" spans="2:12">
      <c r="B1135" s="4" t="e">
        <f t="shared" si="37"/>
        <v>#N/A</v>
      </c>
      <c r="C1135" s="4">
        <f>'Raw data'!E1044</f>
        <v>0</v>
      </c>
      <c r="D1135" s="29" t="e">
        <f>VLOOKUP(C1135,'점포코드 '!A:B,2,0)</f>
        <v>#N/A</v>
      </c>
      <c r="E1135" s="30">
        <f>'Raw data'!P1044</f>
        <v>0</v>
      </c>
      <c r="F1135" s="29" t="e">
        <f>VLOOKUP(E1135,'점포코드 '!A:B,2,0)</f>
        <v>#N/A</v>
      </c>
      <c r="G1135" s="46">
        <f>'Raw data'!F1044</f>
        <v>0</v>
      </c>
      <c r="H1135" s="4">
        <f>'Raw data'!G1044</f>
        <v>0</v>
      </c>
      <c r="I1135" s="29" t="e">
        <f>VLOOKUP(G1135,제품명!$C$1:$E$114,2,0)</f>
        <v>#N/A</v>
      </c>
      <c r="J1135" s="29">
        <f>'Raw data'!K1044</f>
        <v>0</v>
      </c>
      <c r="K1135" s="31">
        <f>'Raw data'!H1044</f>
        <v>0</v>
      </c>
      <c r="L1135" s="26">
        <f t="shared" si="38"/>
        <v>0</v>
      </c>
    </row>
    <row r="1136" spans="2:12">
      <c r="B1136" s="4" t="e">
        <f t="shared" si="37"/>
        <v>#N/A</v>
      </c>
      <c r="C1136" s="4">
        <f>'Raw data'!E1045</f>
        <v>0</v>
      </c>
      <c r="D1136" s="29" t="e">
        <f>VLOOKUP(C1136,'점포코드 '!A:B,2,0)</f>
        <v>#N/A</v>
      </c>
      <c r="E1136" s="30">
        <f>'Raw data'!P1045</f>
        <v>0</v>
      </c>
      <c r="F1136" s="29" t="e">
        <f>VLOOKUP(E1136,'점포코드 '!A:B,2,0)</f>
        <v>#N/A</v>
      </c>
      <c r="G1136" s="46">
        <f>'Raw data'!F1045</f>
        <v>0</v>
      </c>
      <c r="H1136" s="4">
        <f>'Raw data'!G1045</f>
        <v>0</v>
      </c>
      <c r="I1136" s="29" t="e">
        <f>VLOOKUP(G1136,제품명!$C$1:$E$114,2,0)</f>
        <v>#N/A</v>
      </c>
      <c r="J1136" s="29">
        <f>'Raw data'!K1045</f>
        <v>0</v>
      </c>
      <c r="K1136" s="31">
        <f>'Raw data'!H1045</f>
        <v>0</v>
      </c>
      <c r="L1136" s="26">
        <f t="shared" si="38"/>
        <v>0</v>
      </c>
    </row>
    <row r="1137" spans="2:12">
      <c r="B1137" s="4" t="e">
        <f t="shared" si="37"/>
        <v>#N/A</v>
      </c>
      <c r="C1137" s="4">
        <f>'Raw data'!E1046</f>
        <v>0</v>
      </c>
      <c r="D1137" s="29" t="e">
        <f>VLOOKUP(C1137,'점포코드 '!A:B,2,0)</f>
        <v>#N/A</v>
      </c>
      <c r="E1137" s="30">
        <f>'Raw data'!P1046</f>
        <v>0</v>
      </c>
      <c r="F1137" s="29" t="e">
        <f>VLOOKUP(E1137,'점포코드 '!A:B,2,0)</f>
        <v>#N/A</v>
      </c>
      <c r="G1137" s="46">
        <f>'Raw data'!F1046</f>
        <v>0</v>
      </c>
      <c r="H1137" s="4">
        <f>'Raw data'!G1046</f>
        <v>0</v>
      </c>
      <c r="I1137" s="29" t="e">
        <f>VLOOKUP(G1137,제품명!$C$1:$E$114,2,0)</f>
        <v>#N/A</v>
      </c>
      <c r="J1137" s="29">
        <f>'Raw data'!K1046</f>
        <v>0</v>
      </c>
      <c r="K1137" s="31">
        <f>'Raw data'!H1046</f>
        <v>0</v>
      </c>
      <c r="L1137" s="26">
        <f t="shared" si="38"/>
        <v>0</v>
      </c>
    </row>
    <row r="1138" spans="2:12">
      <c r="B1138" s="4" t="e">
        <f t="shared" si="37"/>
        <v>#N/A</v>
      </c>
      <c r="C1138" s="4">
        <f>'Raw data'!E1047</f>
        <v>0</v>
      </c>
      <c r="D1138" s="29" t="e">
        <f>VLOOKUP(C1138,'점포코드 '!A:B,2,0)</f>
        <v>#N/A</v>
      </c>
      <c r="E1138" s="30">
        <f>'Raw data'!P1047</f>
        <v>0</v>
      </c>
      <c r="F1138" s="29" t="e">
        <f>VLOOKUP(E1138,'점포코드 '!A:B,2,0)</f>
        <v>#N/A</v>
      </c>
      <c r="G1138" s="46">
        <f>'Raw data'!F1047</f>
        <v>0</v>
      </c>
      <c r="H1138" s="4">
        <f>'Raw data'!G1047</f>
        <v>0</v>
      </c>
      <c r="I1138" s="29" t="e">
        <f>VLOOKUP(G1138,제품명!$C$1:$E$114,2,0)</f>
        <v>#N/A</v>
      </c>
      <c r="J1138" s="29">
        <f>'Raw data'!K1047</f>
        <v>0</v>
      </c>
      <c r="K1138" s="31">
        <f>'Raw data'!H1047</f>
        <v>0</v>
      </c>
      <c r="L1138" s="26">
        <f t="shared" si="38"/>
        <v>0</v>
      </c>
    </row>
    <row r="1139" spans="2:12">
      <c r="B1139" s="4" t="e">
        <f t="shared" si="37"/>
        <v>#N/A</v>
      </c>
      <c r="C1139" s="4">
        <f>'Raw data'!E1048</f>
        <v>0</v>
      </c>
      <c r="D1139" s="29" t="e">
        <f>VLOOKUP(C1139,'점포코드 '!A:B,2,0)</f>
        <v>#N/A</v>
      </c>
      <c r="E1139" s="30">
        <f>'Raw data'!P1048</f>
        <v>0</v>
      </c>
      <c r="F1139" s="29" t="e">
        <f>VLOOKUP(E1139,'점포코드 '!A:B,2,0)</f>
        <v>#N/A</v>
      </c>
      <c r="G1139" s="46">
        <f>'Raw data'!F1048</f>
        <v>0</v>
      </c>
      <c r="H1139" s="4">
        <f>'Raw data'!G1048</f>
        <v>0</v>
      </c>
      <c r="I1139" s="29" t="e">
        <f>VLOOKUP(G1139,제품명!$C$1:$E$114,2,0)</f>
        <v>#N/A</v>
      </c>
      <c r="J1139" s="29">
        <f>'Raw data'!K1048</f>
        <v>0</v>
      </c>
      <c r="K1139" s="31">
        <f>'Raw data'!H1048</f>
        <v>0</v>
      </c>
      <c r="L1139" s="26">
        <f t="shared" si="38"/>
        <v>0</v>
      </c>
    </row>
    <row r="1140" spans="2:12">
      <c r="B1140" s="4" t="e">
        <f t="shared" si="37"/>
        <v>#N/A</v>
      </c>
      <c r="C1140" s="4">
        <f>'Raw data'!E1049</f>
        <v>0</v>
      </c>
      <c r="D1140" s="29" t="e">
        <f>VLOOKUP(C1140,'점포코드 '!A:B,2,0)</f>
        <v>#N/A</v>
      </c>
      <c r="E1140" s="30">
        <f>'Raw data'!P1049</f>
        <v>0</v>
      </c>
      <c r="F1140" s="29" t="e">
        <f>VLOOKUP(E1140,'점포코드 '!A:B,2,0)</f>
        <v>#N/A</v>
      </c>
      <c r="G1140" s="46">
        <f>'Raw data'!F1049</f>
        <v>0</v>
      </c>
      <c r="H1140" s="4">
        <f>'Raw data'!G1049</f>
        <v>0</v>
      </c>
      <c r="I1140" s="29" t="e">
        <f>VLOOKUP(G1140,제품명!$C$1:$E$114,2,0)</f>
        <v>#N/A</v>
      </c>
      <c r="J1140" s="29">
        <f>'Raw data'!K1049</f>
        <v>0</v>
      </c>
      <c r="K1140" s="31">
        <f>'Raw data'!H1049</f>
        <v>0</v>
      </c>
      <c r="L1140" s="26">
        <f t="shared" si="38"/>
        <v>0</v>
      </c>
    </row>
    <row r="1141" spans="2:12">
      <c r="B1141" s="4" t="e">
        <f t="shared" si="37"/>
        <v>#N/A</v>
      </c>
      <c r="C1141" s="4">
        <f>'Raw data'!E1050</f>
        <v>0</v>
      </c>
      <c r="D1141" s="29" t="e">
        <f>VLOOKUP(C1141,'점포코드 '!A:B,2,0)</f>
        <v>#N/A</v>
      </c>
      <c r="E1141" s="30">
        <f>'Raw data'!P1050</f>
        <v>0</v>
      </c>
      <c r="F1141" s="29" t="e">
        <f>VLOOKUP(E1141,'점포코드 '!A:B,2,0)</f>
        <v>#N/A</v>
      </c>
      <c r="G1141" s="46">
        <f>'Raw data'!F1050</f>
        <v>0</v>
      </c>
      <c r="H1141" s="4">
        <f>'Raw data'!G1050</f>
        <v>0</v>
      </c>
      <c r="I1141" s="29" t="e">
        <f>VLOOKUP(G1141,제품명!$C$1:$E$114,2,0)</f>
        <v>#N/A</v>
      </c>
      <c r="J1141" s="29">
        <f>'Raw data'!K1050</f>
        <v>0</v>
      </c>
      <c r="K1141" s="31">
        <f>'Raw data'!H1050</f>
        <v>0</v>
      </c>
      <c r="L1141" s="26">
        <f t="shared" si="38"/>
        <v>0</v>
      </c>
    </row>
    <row r="1142" spans="2:12">
      <c r="B1142" s="4" t="e">
        <f t="shared" si="37"/>
        <v>#N/A</v>
      </c>
      <c r="C1142" s="4">
        <f>'Raw data'!E1051</f>
        <v>0</v>
      </c>
      <c r="D1142" s="29" t="e">
        <f>VLOOKUP(C1142,'점포코드 '!A:B,2,0)</f>
        <v>#N/A</v>
      </c>
      <c r="E1142" s="30">
        <f>'Raw data'!P1051</f>
        <v>0</v>
      </c>
      <c r="F1142" s="29" t="e">
        <f>VLOOKUP(E1142,'점포코드 '!A:B,2,0)</f>
        <v>#N/A</v>
      </c>
      <c r="G1142" s="46">
        <f>'Raw data'!F1051</f>
        <v>0</v>
      </c>
      <c r="H1142" s="4">
        <f>'Raw data'!G1051</f>
        <v>0</v>
      </c>
      <c r="I1142" s="29" t="e">
        <f>VLOOKUP(G1142,제품명!$C$1:$E$114,2,0)</f>
        <v>#N/A</v>
      </c>
      <c r="J1142" s="29">
        <f>'Raw data'!K1051</f>
        <v>0</v>
      </c>
      <c r="K1142" s="31">
        <f>'Raw data'!H1051</f>
        <v>0</v>
      </c>
      <c r="L1142" s="26">
        <f t="shared" si="38"/>
        <v>0</v>
      </c>
    </row>
    <row r="1143" spans="2:12">
      <c r="B1143" s="4" t="e">
        <f t="shared" si="37"/>
        <v>#N/A</v>
      </c>
      <c r="C1143" s="4">
        <f>'Raw data'!E1052</f>
        <v>0</v>
      </c>
      <c r="D1143" s="29" t="e">
        <f>VLOOKUP(C1143,'점포코드 '!A:B,2,0)</f>
        <v>#N/A</v>
      </c>
      <c r="E1143" s="30">
        <f>'Raw data'!P1052</f>
        <v>0</v>
      </c>
      <c r="F1143" s="29" t="e">
        <f>VLOOKUP(E1143,'점포코드 '!A:B,2,0)</f>
        <v>#N/A</v>
      </c>
      <c r="G1143" s="46">
        <f>'Raw data'!F1052</f>
        <v>0</v>
      </c>
      <c r="H1143" s="4">
        <f>'Raw data'!G1052</f>
        <v>0</v>
      </c>
      <c r="I1143" s="29" t="e">
        <f>VLOOKUP(G1143,제품명!$C$1:$E$114,2,0)</f>
        <v>#N/A</v>
      </c>
      <c r="J1143" s="29">
        <f>'Raw data'!K1052</f>
        <v>0</v>
      </c>
      <c r="K1143" s="31">
        <f>'Raw data'!H1052</f>
        <v>0</v>
      </c>
      <c r="L1143" s="26">
        <f t="shared" si="38"/>
        <v>0</v>
      </c>
    </row>
    <row r="1144" spans="2:12">
      <c r="B1144" s="4" t="e">
        <f t="shared" si="37"/>
        <v>#N/A</v>
      </c>
      <c r="C1144" s="4">
        <f>'Raw data'!E1053</f>
        <v>0</v>
      </c>
      <c r="D1144" s="29" t="e">
        <f>VLOOKUP(C1144,'점포코드 '!A:B,2,0)</f>
        <v>#N/A</v>
      </c>
      <c r="E1144" s="30">
        <f>'Raw data'!P1053</f>
        <v>0</v>
      </c>
      <c r="F1144" s="29" t="e">
        <f>VLOOKUP(E1144,'점포코드 '!A:B,2,0)</f>
        <v>#N/A</v>
      </c>
      <c r="G1144" s="46">
        <f>'Raw data'!F1053</f>
        <v>0</v>
      </c>
      <c r="H1144" s="4">
        <f>'Raw data'!G1053</f>
        <v>0</v>
      </c>
      <c r="I1144" s="29" t="e">
        <f>VLOOKUP(G1144,제품명!$C$1:$E$114,2,0)</f>
        <v>#N/A</v>
      </c>
      <c r="J1144" s="29">
        <f>'Raw data'!K1053</f>
        <v>0</v>
      </c>
      <c r="K1144" s="31">
        <f>'Raw data'!H1053</f>
        <v>0</v>
      </c>
      <c r="L1144" s="26">
        <f t="shared" si="38"/>
        <v>0</v>
      </c>
    </row>
    <row r="1145" spans="2:12">
      <c r="B1145" s="4" t="e">
        <f t="shared" si="37"/>
        <v>#N/A</v>
      </c>
      <c r="C1145" s="4">
        <f>'Raw data'!E1054</f>
        <v>0</v>
      </c>
      <c r="D1145" s="29" t="e">
        <f>VLOOKUP(C1145,'점포코드 '!A:B,2,0)</f>
        <v>#N/A</v>
      </c>
      <c r="E1145" s="30">
        <f>'Raw data'!P1054</f>
        <v>0</v>
      </c>
      <c r="F1145" s="29" t="e">
        <f>VLOOKUP(E1145,'점포코드 '!A:B,2,0)</f>
        <v>#N/A</v>
      </c>
      <c r="G1145" s="46">
        <f>'Raw data'!F1054</f>
        <v>0</v>
      </c>
      <c r="H1145" s="4">
        <f>'Raw data'!G1054</f>
        <v>0</v>
      </c>
      <c r="I1145" s="29" t="e">
        <f>VLOOKUP(G1145,제품명!$C$1:$E$114,2,0)</f>
        <v>#N/A</v>
      </c>
      <c r="J1145" s="29">
        <f>'Raw data'!K1054</f>
        <v>0</v>
      </c>
      <c r="K1145" s="31">
        <f>'Raw data'!H1054</f>
        <v>0</v>
      </c>
      <c r="L1145" s="26">
        <f t="shared" si="38"/>
        <v>0</v>
      </c>
    </row>
    <row r="1146" spans="2:12">
      <c r="B1146" s="4" t="e">
        <f t="shared" si="37"/>
        <v>#N/A</v>
      </c>
      <c r="C1146" s="4">
        <f>'Raw data'!E1055</f>
        <v>0</v>
      </c>
      <c r="D1146" s="29" t="e">
        <f>VLOOKUP(C1146,'점포코드 '!A:B,2,0)</f>
        <v>#N/A</v>
      </c>
      <c r="E1146" s="30">
        <f>'Raw data'!P1055</f>
        <v>0</v>
      </c>
      <c r="F1146" s="29" t="e">
        <f>VLOOKUP(E1146,'점포코드 '!A:B,2,0)</f>
        <v>#N/A</v>
      </c>
      <c r="G1146" s="46">
        <f>'Raw data'!F1055</f>
        <v>0</v>
      </c>
      <c r="H1146" s="4">
        <f>'Raw data'!G1055</f>
        <v>0</v>
      </c>
      <c r="I1146" s="29" t="e">
        <f>VLOOKUP(G1146,제품명!$C$1:$E$114,2,0)</f>
        <v>#N/A</v>
      </c>
      <c r="J1146" s="29">
        <f>'Raw data'!K1055</f>
        <v>0</v>
      </c>
      <c r="K1146" s="31">
        <f>'Raw data'!H1055</f>
        <v>0</v>
      </c>
      <c r="L1146" s="26">
        <f t="shared" si="38"/>
        <v>0</v>
      </c>
    </row>
    <row r="1147" spans="2:12">
      <c r="B1147" s="4" t="e">
        <f t="shared" si="37"/>
        <v>#N/A</v>
      </c>
      <c r="C1147" s="4">
        <f>'Raw data'!E1056</f>
        <v>0</v>
      </c>
      <c r="D1147" s="29" t="e">
        <f>VLOOKUP(C1147,'점포코드 '!A:B,2,0)</f>
        <v>#N/A</v>
      </c>
      <c r="E1147" s="30">
        <f>'Raw data'!P1056</f>
        <v>0</v>
      </c>
      <c r="F1147" s="29" t="e">
        <f>VLOOKUP(E1147,'점포코드 '!A:B,2,0)</f>
        <v>#N/A</v>
      </c>
      <c r="G1147" s="46">
        <f>'Raw data'!F1056</f>
        <v>0</v>
      </c>
      <c r="H1147" s="4">
        <f>'Raw data'!G1056</f>
        <v>0</v>
      </c>
      <c r="I1147" s="29" t="e">
        <f>VLOOKUP(G1147,제품명!$C$1:$E$114,2,0)</f>
        <v>#N/A</v>
      </c>
      <c r="J1147" s="29">
        <f>'Raw data'!K1056</f>
        <v>0</v>
      </c>
      <c r="K1147" s="31">
        <f>'Raw data'!H1056</f>
        <v>0</v>
      </c>
      <c r="L1147" s="26">
        <f t="shared" si="38"/>
        <v>0</v>
      </c>
    </row>
    <row r="1148" spans="2:12">
      <c r="B1148" s="4" t="e">
        <f t="shared" si="37"/>
        <v>#N/A</v>
      </c>
      <c r="C1148" s="4">
        <f>'Raw data'!E1057</f>
        <v>0</v>
      </c>
      <c r="D1148" s="29" t="e">
        <f>VLOOKUP(C1148,'점포코드 '!A:B,2,0)</f>
        <v>#N/A</v>
      </c>
      <c r="E1148" s="30">
        <f>'Raw data'!P1057</f>
        <v>0</v>
      </c>
      <c r="F1148" s="29" t="e">
        <f>VLOOKUP(E1148,'점포코드 '!A:B,2,0)</f>
        <v>#N/A</v>
      </c>
      <c r="G1148" s="46">
        <f>'Raw data'!F1057</f>
        <v>0</v>
      </c>
      <c r="H1148" s="4">
        <f>'Raw data'!G1057</f>
        <v>0</v>
      </c>
      <c r="I1148" s="29" t="e">
        <f>VLOOKUP(G1148,제품명!$C$1:$E$114,2,0)</f>
        <v>#N/A</v>
      </c>
      <c r="J1148" s="29">
        <f>'Raw data'!K1057</f>
        <v>0</v>
      </c>
      <c r="K1148" s="31">
        <f>'Raw data'!H1057</f>
        <v>0</v>
      </c>
      <c r="L1148" s="26">
        <f t="shared" si="38"/>
        <v>0</v>
      </c>
    </row>
    <row r="1149" spans="2:12">
      <c r="B1149" s="4" t="e">
        <f t="shared" si="37"/>
        <v>#N/A</v>
      </c>
      <c r="C1149" s="4">
        <f>'Raw data'!E1058</f>
        <v>0</v>
      </c>
      <c r="D1149" s="29" t="e">
        <f>VLOOKUP(C1149,'점포코드 '!A:B,2,0)</f>
        <v>#N/A</v>
      </c>
      <c r="E1149" s="30">
        <f>'Raw data'!P1058</f>
        <v>0</v>
      </c>
      <c r="F1149" s="29" t="e">
        <f>VLOOKUP(E1149,'점포코드 '!A:B,2,0)</f>
        <v>#N/A</v>
      </c>
      <c r="G1149" s="46">
        <f>'Raw data'!F1058</f>
        <v>0</v>
      </c>
      <c r="H1149" s="4">
        <f>'Raw data'!G1058</f>
        <v>0</v>
      </c>
      <c r="I1149" s="29" t="e">
        <f>VLOOKUP(G1149,제품명!$C$1:$E$114,2,0)</f>
        <v>#N/A</v>
      </c>
      <c r="J1149" s="29">
        <f>'Raw data'!K1058</f>
        <v>0</v>
      </c>
      <c r="K1149" s="31">
        <f>'Raw data'!H1058</f>
        <v>0</v>
      </c>
      <c r="L1149" s="26">
        <f t="shared" si="38"/>
        <v>0</v>
      </c>
    </row>
    <row r="1150" spans="2:12">
      <c r="B1150" s="4" t="e">
        <f t="shared" si="37"/>
        <v>#N/A</v>
      </c>
      <c r="C1150" s="4">
        <f>'Raw data'!E1059</f>
        <v>0</v>
      </c>
      <c r="D1150" s="29" t="e">
        <f>VLOOKUP(C1150,'점포코드 '!A:B,2,0)</f>
        <v>#N/A</v>
      </c>
      <c r="E1150" s="30">
        <f>'Raw data'!P1059</f>
        <v>0</v>
      </c>
      <c r="F1150" s="29" t="e">
        <f>VLOOKUP(E1150,'점포코드 '!A:B,2,0)</f>
        <v>#N/A</v>
      </c>
      <c r="G1150" s="46">
        <f>'Raw data'!F1059</f>
        <v>0</v>
      </c>
      <c r="H1150" s="4">
        <f>'Raw data'!G1059</f>
        <v>0</v>
      </c>
      <c r="I1150" s="29" t="e">
        <f>VLOOKUP(G1150,제품명!$C$1:$E$114,2,0)</f>
        <v>#N/A</v>
      </c>
      <c r="J1150" s="29">
        <f>'Raw data'!K1059</f>
        <v>0</v>
      </c>
      <c r="K1150" s="31">
        <f>'Raw data'!H1059</f>
        <v>0</v>
      </c>
      <c r="L1150" s="26">
        <f t="shared" si="38"/>
        <v>0</v>
      </c>
    </row>
    <row r="1151" spans="2:12">
      <c r="B1151" s="4" t="e">
        <f t="shared" si="37"/>
        <v>#N/A</v>
      </c>
      <c r="C1151" s="4">
        <f>'Raw data'!E1060</f>
        <v>0</v>
      </c>
      <c r="D1151" s="29" t="e">
        <f>VLOOKUP(C1151,'점포코드 '!A:B,2,0)</f>
        <v>#N/A</v>
      </c>
      <c r="E1151" s="30">
        <f>'Raw data'!P1060</f>
        <v>0</v>
      </c>
      <c r="F1151" s="29" t="e">
        <f>VLOOKUP(E1151,'점포코드 '!A:B,2,0)</f>
        <v>#N/A</v>
      </c>
      <c r="G1151" s="46">
        <f>'Raw data'!F1060</f>
        <v>0</v>
      </c>
      <c r="H1151" s="4">
        <f>'Raw data'!G1060</f>
        <v>0</v>
      </c>
      <c r="I1151" s="29" t="e">
        <f>VLOOKUP(G1151,제품명!$C$1:$E$114,2,0)</f>
        <v>#N/A</v>
      </c>
      <c r="J1151" s="29">
        <f>'Raw data'!K1060</f>
        <v>0</v>
      </c>
      <c r="K1151" s="31">
        <f>'Raw data'!H1060</f>
        <v>0</v>
      </c>
      <c r="L1151" s="26">
        <f t="shared" si="38"/>
        <v>0</v>
      </c>
    </row>
    <row r="1152" spans="2:12">
      <c r="B1152" s="4" t="e">
        <f t="shared" si="37"/>
        <v>#N/A</v>
      </c>
      <c r="C1152" s="4">
        <f>'Raw data'!E1061</f>
        <v>0</v>
      </c>
      <c r="D1152" s="29" t="e">
        <f>VLOOKUP(C1152,'점포코드 '!A:B,2,0)</f>
        <v>#N/A</v>
      </c>
      <c r="E1152" s="30">
        <f>'Raw data'!P1061</f>
        <v>0</v>
      </c>
      <c r="F1152" s="29" t="e">
        <f>VLOOKUP(E1152,'점포코드 '!A:B,2,0)</f>
        <v>#N/A</v>
      </c>
      <c r="G1152" s="46">
        <f>'Raw data'!F1061</f>
        <v>0</v>
      </c>
      <c r="H1152" s="4">
        <f>'Raw data'!G1061</f>
        <v>0</v>
      </c>
      <c r="I1152" s="29" t="e">
        <f>VLOOKUP(G1152,제품명!$C$1:$E$114,2,0)</f>
        <v>#N/A</v>
      </c>
      <c r="J1152" s="29">
        <f>'Raw data'!K1061</f>
        <v>0</v>
      </c>
      <c r="K1152" s="31">
        <f>'Raw data'!H1061</f>
        <v>0</v>
      </c>
      <c r="L1152" s="26">
        <f t="shared" si="38"/>
        <v>0</v>
      </c>
    </row>
    <row r="1153" spans="2:12">
      <c r="B1153" s="4" t="e">
        <f t="shared" si="37"/>
        <v>#N/A</v>
      </c>
      <c r="C1153" s="4">
        <f>'Raw data'!E1062</f>
        <v>0</v>
      </c>
      <c r="D1153" s="29" t="e">
        <f>VLOOKUP(C1153,'점포코드 '!A:B,2,0)</f>
        <v>#N/A</v>
      </c>
      <c r="E1153" s="30">
        <f>'Raw data'!P1062</f>
        <v>0</v>
      </c>
      <c r="F1153" s="29" t="e">
        <f>VLOOKUP(E1153,'점포코드 '!A:B,2,0)</f>
        <v>#N/A</v>
      </c>
      <c r="G1153" s="46">
        <f>'Raw data'!F1062</f>
        <v>0</v>
      </c>
      <c r="H1153" s="4">
        <f>'Raw data'!G1062</f>
        <v>0</v>
      </c>
      <c r="I1153" s="29" t="e">
        <f>VLOOKUP(G1153,제품명!$C$1:$E$114,2,0)</f>
        <v>#N/A</v>
      </c>
      <c r="J1153" s="29">
        <f>'Raw data'!K1062</f>
        <v>0</v>
      </c>
      <c r="K1153" s="31">
        <f>'Raw data'!H1062</f>
        <v>0</v>
      </c>
      <c r="L1153" s="26">
        <f t="shared" si="38"/>
        <v>0</v>
      </c>
    </row>
    <row r="1154" spans="2:12">
      <c r="B1154" s="4" t="e">
        <f t="shared" ref="B1154:B1217" si="39">F1154&amp;I1154</f>
        <v>#N/A</v>
      </c>
      <c r="C1154" s="4">
        <f>'Raw data'!E1063</f>
        <v>0</v>
      </c>
      <c r="D1154" s="29" t="e">
        <f>VLOOKUP(C1154,'점포코드 '!A:B,2,0)</f>
        <v>#N/A</v>
      </c>
      <c r="E1154" s="30">
        <f>'Raw data'!P1063</f>
        <v>0</v>
      </c>
      <c r="F1154" s="29" t="e">
        <f>VLOOKUP(E1154,'점포코드 '!A:B,2,0)</f>
        <v>#N/A</v>
      </c>
      <c r="G1154" s="46">
        <f>'Raw data'!F1063</f>
        <v>0</v>
      </c>
      <c r="H1154" s="4">
        <f>'Raw data'!G1063</f>
        <v>0</v>
      </c>
      <c r="I1154" s="29" t="e">
        <f>VLOOKUP(G1154,제품명!$C$1:$E$114,2,0)</f>
        <v>#N/A</v>
      </c>
      <c r="J1154" s="29">
        <f>'Raw data'!K1063</f>
        <v>0</v>
      </c>
      <c r="K1154" s="31">
        <f>'Raw data'!H1063</f>
        <v>0</v>
      </c>
      <c r="L1154" s="26">
        <f t="shared" si="38"/>
        <v>0</v>
      </c>
    </row>
    <row r="1155" spans="2:12">
      <c r="B1155" s="4" t="e">
        <f t="shared" si="39"/>
        <v>#N/A</v>
      </c>
      <c r="C1155" s="4">
        <f>'Raw data'!E1064</f>
        <v>0</v>
      </c>
      <c r="D1155" s="29" t="e">
        <f>VLOOKUP(C1155,'점포코드 '!A:B,2,0)</f>
        <v>#N/A</v>
      </c>
      <c r="E1155" s="30">
        <f>'Raw data'!P1064</f>
        <v>0</v>
      </c>
      <c r="F1155" s="29" t="e">
        <f>VLOOKUP(E1155,'점포코드 '!A:B,2,0)</f>
        <v>#N/A</v>
      </c>
      <c r="G1155" s="46">
        <f>'Raw data'!F1064</f>
        <v>0</v>
      </c>
      <c r="H1155" s="4">
        <f>'Raw data'!G1064</f>
        <v>0</v>
      </c>
      <c r="I1155" s="29" t="e">
        <f>VLOOKUP(G1155,제품명!$C$1:$E$114,2,0)</f>
        <v>#N/A</v>
      </c>
      <c r="J1155" s="29">
        <f>'Raw data'!K1064</f>
        <v>0</v>
      </c>
      <c r="K1155" s="31">
        <f>'Raw data'!H1064</f>
        <v>0</v>
      </c>
      <c r="L1155" s="26">
        <f t="shared" ref="L1155:L1218" si="40">J1155*K1155</f>
        <v>0</v>
      </c>
    </row>
    <row r="1156" spans="2:12">
      <c r="B1156" s="4" t="e">
        <f t="shared" si="39"/>
        <v>#N/A</v>
      </c>
      <c r="C1156" s="4">
        <f>'Raw data'!E1065</f>
        <v>0</v>
      </c>
      <c r="D1156" s="29" t="e">
        <f>VLOOKUP(C1156,'점포코드 '!A:B,2,0)</f>
        <v>#N/A</v>
      </c>
      <c r="E1156" s="30">
        <f>'Raw data'!P1065</f>
        <v>0</v>
      </c>
      <c r="F1156" s="29" t="e">
        <f>VLOOKUP(E1156,'점포코드 '!A:B,2,0)</f>
        <v>#N/A</v>
      </c>
      <c r="G1156" s="46">
        <f>'Raw data'!F1065</f>
        <v>0</v>
      </c>
      <c r="H1156" s="4">
        <f>'Raw data'!G1065</f>
        <v>0</v>
      </c>
      <c r="I1156" s="29" t="e">
        <f>VLOOKUP(G1156,제품명!$C$1:$E$114,2,0)</f>
        <v>#N/A</v>
      </c>
      <c r="J1156" s="29">
        <f>'Raw data'!K1065</f>
        <v>0</v>
      </c>
      <c r="K1156" s="31">
        <f>'Raw data'!H1065</f>
        <v>0</v>
      </c>
      <c r="L1156" s="26">
        <f t="shared" si="40"/>
        <v>0</v>
      </c>
    </row>
    <row r="1157" spans="2:12">
      <c r="B1157" s="4" t="e">
        <f t="shared" si="39"/>
        <v>#N/A</v>
      </c>
      <c r="C1157" s="4">
        <f>'Raw data'!E1066</f>
        <v>0</v>
      </c>
      <c r="D1157" s="29" t="e">
        <f>VLOOKUP(C1157,'점포코드 '!A:B,2,0)</f>
        <v>#N/A</v>
      </c>
      <c r="E1157" s="30">
        <f>'Raw data'!P1066</f>
        <v>0</v>
      </c>
      <c r="F1157" s="29" t="e">
        <f>VLOOKUP(E1157,'점포코드 '!A:B,2,0)</f>
        <v>#N/A</v>
      </c>
      <c r="G1157" s="46">
        <f>'Raw data'!F1066</f>
        <v>0</v>
      </c>
      <c r="H1157" s="4">
        <f>'Raw data'!G1066</f>
        <v>0</v>
      </c>
      <c r="I1157" s="29" t="e">
        <f>VLOOKUP(G1157,제품명!$C$1:$E$114,2,0)</f>
        <v>#N/A</v>
      </c>
      <c r="J1157" s="29">
        <f>'Raw data'!K1066</f>
        <v>0</v>
      </c>
      <c r="K1157" s="31">
        <f>'Raw data'!H1066</f>
        <v>0</v>
      </c>
      <c r="L1157" s="26">
        <f t="shared" si="40"/>
        <v>0</v>
      </c>
    </row>
    <row r="1158" spans="2:12">
      <c r="B1158" s="4" t="e">
        <f t="shared" si="39"/>
        <v>#N/A</v>
      </c>
      <c r="C1158" s="4">
        <f>'Raw data'!E1067</f>
        <v>0</v>
      </c>
      <c r="D1158" s="29" t="e">
        <f>VLOOKUP(C1158,'점포코드 '!A:B,2,0)</f>
        <v>#N/A</v>
      </c>
      <c r="E1158" s="30">
        <f>'Raw data'!P1067</f>
        <v>0</v>
      </c>
      <c r="F1158" s="29" t="e">
        <f>VLOOKUP(E1158,'점포코드 '!A:B,2,0)</f>
        <v>#N/A</v>
      </c>
      <c r="G1158" s="46">
        <f>'Raw data'!F1067</f>
        <v>0</v>
      </c>
      <c r="H1158" s="4">
        <f>'Raw data'!G1067</f>
        <v>0</v>
      </c>
      <c r="I1158" s="29" t="e">
        <f>VLOOKUP(G1158,제품명!$C$1:$E$114,2,0)</f>
        <v>#N/A</v>
      </c>
      <c r="J1158" s="29">
        <f>'Raw data'!K1067</f>
        <v>0</v>
      </c>
      <c r="K1158" s="31">
        <f>'Raw data'!H1067</f>
        <v>0</v>
      </c>
      <c r="L1158" s="26">
        <f t="shared" si="40"/>
        <v>0</v>
      </c>
    </row>
    <row r="1159" spans="2:12">
      <c r="B1159" s="4" t="e">
        <f t="shared" si="39"/>
        <v>#N/A</v>
      </c>
      <c r="C1159" s="4">
        <f>'Raw data'!E1068</f>
        <v>0</v>
      </c>
      <c r="D1159" s="29" t="e">
        <f>VLOOKUP(C1159,'점포코드 '!A:B,2,0)</f>
        <v>#N/A</v>
      </c>
      <c r="E1159" s="30">
        <f>'Raw data'!P1068</f>
        <v>0</v>
      </c>
      <c r="F1159" s="29" t="e">
        <f>VLOOKUP(E1159,'점포코드 '!A:B,2,0)</f>
        <v>#N/A</v>
      </c>
      <c r="G1159" s="46">
        <f>'Raw data'!F1068</f>
        <v>0</v>
      </c>
      <c r="H1159" s="4">
        <f>'Raw data'!G1068</f>
        <v>0</v>
      </c>
      <c r="I1159" s="29" t="e">
        <f>VLOOKUP(G1159,제품명!$C$1:$E$114,2,0)</f>
        <v>#N/A</v>
      </c>
      <c r="J1159" s="29">
        <f>'Raw data'!K1068</f>
        <v>0</v>
      </c>
      <c r="K1159" s="31">
        <f>'Raw data'!H1068</f>
        <v>0</v>
      </c>
      <c r="L1159" s="26">
        <f t="shared" si="40"/>
        <v>0</v>
      </c>
    </row>
    <row r="1160" spans="2:12">
      <c r="B1160" s="4" t="e">
        <f t="shared" si="39"/>
        <v>#N/A</v>
      </c>
      <c r="C1160" s="4">
        <f>'Raw data'!E1069</f>
        <v>0</v>
      </c>
      <c r="D1160" s="29" t="e">
        <f>VLOOKUP(C1160,'점포코드 '!A:B,2,0)</f>
        <v>#N/A</v>
      </c>
      <c r="E1160" s="30">
        <f>'Raw data'!P1069</f>
        <v>0</v>
      </c>
      <c r="F1160" s="29" t="e">
        <f>VLOOKUP(E1160,'점포코드 '!A:B,2,0)</f>
        <v>#N/A</v>
      </c>
      <c r="G1160" s="46">
        <f>'Raw data'!F1069</f>
        <v>0</v>
      </c>
      <c r="H1160" s="4">
        <f>'Raw data'!G1069</f>
        <v>0</v>
      </c>
      <c r="I1160" s="29" t="e">
        <f>VLOOKUP(G1160,제품명!$C$1:$E$114,2,0)</f>
        <v>#N/A</v>
      </c>
      <c r="J1160" s="29">
        <f>'Raw data'!K1069</f>
        <v>0</v>
      </c>
      <c r="K1160" s="31">
        <f>'Raw data'!H1069</f>
        <v>0</v>
      </c>
      <c r="L1160" s="26">
        <f t="shared" si="40"/>
        <v>0</v>
      </c>
    </row>
    <row r="1161" spans="2:12">
      <c r="B1161" s="4" t="e">
        <f t="shared" si="39"/>
        <v>#N/A</v>
      </c>
      <c r="C1161" s="4">
        <f>'Raw data'!E1070</f>
        <v>0</v>
      </c>
      <c r="D1161" s="29" t="e">
        <f>VLOOKUP(C1161,'점포코드 '!A:B,2,0)</f>
        <v>#N/A</v>
      </c>
      <c r="E1161" s="30">
        <f>'Raw data'!P1070</f>
        <v>0</v>
      </c>
      <c r="F1161" s="29" t="e">
        <f>VLOOKUP(E1161,'점포코드 '!A:B,2,0)</f>
        <v>#N/A</v>
      </c>
      <c r="G1161" s="46">
        <f>'Raw data'!F1070</f>
        <v>0</v>
      </c>
      <c r="H1161" s="4">
        <f>'Raw data'!G1070</f>
        <v>0</v>
      </c>
      <c r="I1161" s="29" t="e">
        <f>VLOOKUP(G1161,제품명!$C$1:$E$114,2,0)</f>
        <v>#N/A</v>
      </c>
      <c r="J1161" s="29">
        <f>'Raw data'!K1070</f>
        <v>0</v>
      </c>
      <c r="K1161" s="31">
        <f>'Raw data'!H1070</f>
        <v>0</v>
      </c>
      <c r="L1161" s="26">
        <f t="shared" si="40"/>
        <v>0</v>
      </c>
    </row>
    <row r="1162" spans="2:12">
      <c r="B1162" s="4" t="e">
        <f t="shared" si="39"/>
        <v>#N/A</v>
      </c>
      <c r="C1162" s="4">
        <f>'Raw data'!E1071</f>
        <v>0</v>
      </c>
      <c r="D1162" s="29" t="e">
        <f>VLOOKUP(C1162,'점포코드 '!A:B,2,0)</f>
        <v>#N/A</v>
      </c>
      <c r="E1162" s="30">
        <f>'Raw data'!P1071</f>
        <v>0</v>
      </c>
      <c r="F1162" s="29" t="e">
        <f>VLOOKUP(E1162,'점포코드 '!A:B,2,0)</f>
        <v>#N/A</v>
      </c>
      <c r="G1162" s="46">
        <f>'Raw data'!F1071</f>
        <v>0</v>
      </c>
      <c r="H1162" s="4">
        <f>'Raw data'!G1071</f>
        <v>0</v>
      </c>
      <c r="I1162" s="29" t="e">
        <f>VLOOKUP(G1162,제품명!$C$1:$E$114,2,0)</f>
        <v>#N/A</v>
      </c>
      <c r="J1162" s="29">
        <f>'Raw data'!K1071</f>
        <v>0</v>
      </c>
      <c r="K1162" s="31">
        <f>'Raw data'!H1071</f>
        <v>0</v>
      </c>
      <c r="L1162" s="26">
        <f t="shared" si="40"/>
        <v>0</v>
      </c>
    </row>
    <row r="1163" spans="2:12">
      <c r="B1163" s="4" t="e">
        <f t="shared" si="39"/>
        <v>#N/A</v>
      </c>
      <c r="C1163" s="4">
        <f>'Raw data'!E1072</f>
        <v>0</v>
      </c>
      <c r="D1163" s="29" t="e">
        <f>VLOOKUP(C1163,'점포코드 '!A:B,2,0)</f>
        <v>#N/A</v>
      </c>
      <c r="E1163" s="30">
        <f>'Raw data'!P1072</f>
        <v>0</v>
      </c>
      <c r="F1163" s="29" t="e">
        <f>VLOOKUP(E1163,'점포코드 '!A:B,2,0)</f>
        <v>#N/A</v>
      </c>
      <c r="G1163" s="46">
        <f>'Raw data'!F1072</f>
        <v>0</v>
      </c>
      <c r="H1163" s="4">
        <f>'Raw data'!G1072</f>
        <v>0</v>
      </c>
      <c r="I1163" s="29" t="e">
        <f>VLOOKUP(G1163,제품명!$C$1:$E$114,2,0)</f>
        <v>#N/A</v>
      </c>
      <c r="J1163" s="29">
        <f>'Raw data'!K1072</f>
        <v>0</v>
      </c>
      <c r="K1163" s="31">
        <f>'Raw data'!H1072</f>
        <v>0</v>
      </c>
      <c r="L1163" s="26">
        <f t="shared" si="40"/>
        <v>0</v>
      </c>
    </row>
    <row r="1164" spans="2:12">
      <c r="B1164" s="4" t="e">
        <f t="shared" si="39"/>
        <v>#N/A</v>
      </c>
      <c r="C1164" s="4">
        <f>'Raw data'!E1073</f>
        <v>0</v>
      </c>
      <c r="D1164" s="29" t="e">
        <f>VLOOKUP(C1164,'점포코드 '!A:B,2,0)</f>
        <v>#N/A</v>
      </c>
      <c r="E1164" s="30">
        <f>'Raw data'!P1073</f>
        <v>0</v>
      </c>
      <c r="F1164" s="29" t="e">
        <f>VLOOKUP(E1164,'점포코드 '!A:B,2,0)</f>
        <v>#N/A</v>
      </c>
      <c r="G1164" s="46">
        <f>'Raw data'!F1073</f>
        <v>0</v>
      </c>
      <c r="H1164" s="4">
        <f>'Raw data'!G1073</f>
        <v>0</v>
      </c>
      <c r="I1164" s="29" t="e">
        <f>VLOOKUP(G1164,제품명!$C$1:$E$114,2,0)</f>
        <v>#N/A</v>
      </c>
      <c r="J1164" s="29">
        <f>'Raw data'!K1073</f>
        <v>0</v>
      </c>
      <c r="K1164" s="31">
        <f>'Raw data'!H1073</f>
        <v>0</v>
      </c>
      <c r="L1164" s="26">
        <f t="shared" si="40"/>
        <v>0</v>
      </c>
    </row>
    <row r="1165" spans="2:12">
      <c r="B1165" s="4" t="e">
        <f t="shared" si="39"/>
        <v>#N/A</v>
      </c>
      <c r="C1165" s="4">
        <f>'Raw data'!E1074</f>
        <v>0</v>
      </c>
      <c r="D1165" s="29" t="e">
        <f>VLOOKUP(C1165,'점포코드 '!A:B,2,0)</f>
        <v>#N/A</v>
      </c>
      <c r="E1165" s="30">
        <f>'Raw data'!P1074</f>
        <v>0</v>
      </c>
      <c r="F1165" s="29" t="e">
        <f>VLOOKUP(E1165,'점포코드 '!A:B,2,0)</f>
        <v>#N/A</v>
      </c>
      <c r="G1165" s="46">
        <f>'Raw data'!F1074</f>
        <v>0</v>
      </c>
      <c r="H1165" s="4">
        <f>'Raw data'!G1074</f>
        <v>0</v>
      </c>
      <c r="I1165" s="29" t="e">
        <f>VLOOKUP(G1165,제품명!$C$1:$E$114,2,0)</f>
        <v>#N/A</v>
      </c>
      <c r="J1165" s="29">
        <f>'Raw data'!K1074</f>
        <v>0</v>
      </c>
      <c r="K1165" s="31">
        <f>'Raw data'!H1074</f>
        <v>0</v>
      </c>
      <c r="L1165" s="26">
        <f t="shared" si="40"/>
        <v>0</v>
      </c>
    </row>
    <row r="1166" spans="2:12">
      <c r="B1166" s="4" t="e">
        <f t="shared" si="39"/>
        <v>#N/A</v>
      </c>
      <c r="C1166" s="4">
        <f>'Raw data'!E1075</f>
        <v>0</v>
      </c>
      <c r="D1166" s="29" t="e">
        <f>VLOOKUP(C1166,'점포코드 '!A:B,2,0)</f>
        <v>#N/A</v>
      </c>
      <c r="E1166" s="30">
        <f>'Raw data'!P1075</f>
        <v>0</v>
      </c>
      <c r="F1166" s="29" t="e">
        <f>VLOOKUP(E1166,'점포코드 '!A:B,2,0)</f>
        <v>#N/A</v>
      </c>
      <c r="G1166" s="46">
        <f>'Raw data'!F1075</f>
        <v>0</v>
      </c>
      <c r="H1166" s="4">
        <f>'Raw data'!G1075</f>
        <v>0</v>
      </c>
      <c r="I1166" s="29" t="e">
        <f>VLOOKUP(G1166,제품명!$C$1:$E$114,2,0)</f>
        <v>#N/A</v>
      </c>
      <c r="J1166" s="29">
        <f>'Raw data'!K1075</f>
        <v>0</v>
      </c>
      <c r="K1166" s="31">
        <f>'Raw data'!H1075</f>
        <v>0</v>
      </c>
      <c r="L1166" s="26">
        <f t="shared" si="40"/>
        <v>0</v>
      </c>
    </row>
    <row r="1167" spans="2:12">
      <c r="B1167" s="4" t="e">
        <f t="shared" si="39"/>
        <v>#N/A</v>
      </c>
      <c r="C1167" s="4">
        <f>'Raw data'!E1076</f>
        <v>0</v>
      </c>
      <c r="D1167" s="29" t="e">
        <f>VLOOKUP(C1167,'점포코드 '!A:B,2,0)</f>
        <v>#N/A</v>
      </c>
      <c r="E1167" s="30">
        <f>'Raw data'!P1076</f>
        <v>0</v>
      </c>
      <c r="F1167" s="29" t="e">
        <f>VLOOKUP(E1167,'점포코드 '!A:B,2,0)</f>
        <v>#N/A</v>
      </c>
      <c r="G1167" s="46">
        <f>'Raw data'!F1076</f>
        <v>0</v>
      </c>
      <c r="H1167" s="4">
        <f>'Raw data'!G1076</f>
        <v>0</v>
      </c>
      <c r="I1167" s="29" t="e">
        <f>VLOOKUP(G1167,제품명!$C$1:$E$114,2,0)</f>
        <v>#N/A</v>
      </c>
      <c r="J1167" s="29">
        <f>'Raw data'!K1076</f>
        <v>0</v>
      </c>
      <c r="K1167" s="31">
        <f>'Raw data'!H1076</f>
        <v>0</v>
      </c>
      <c r="L1167" s="26">
        <f t="shared" si="40"/>
        <v>0</v>
      </c>
    </row>
    <row r="1168" spans="2:12">
      <c r="B1168" s="4" t="e">
        <f t="shared" si="39"/>
        <v>#N/A</v>
      </c>
      <c r="C1168" s="4">
        <f>'Raw data'!E1077</f>
        <v>0</v>
      </c>
      <c r="D1168" s="29" t="e">
        <f>VLOOKUP(C1168,'점포코드 '!A:B,2,0)</f>
        <v>#N/A</v>
      </c>
      <c r="E1168" s="30">
        <f>'Raw data'!P1077</f>
        <v>0</v>
      </c>
      <c r="F1168" s="29" t="e">
        <f>VLOOKUP(E1168,'점포코드 '!A:B,2,0)</f>
        <v>#N/A</v>
      </c>
      <c r="G1168" s="46">
        <f>'Raw data'!F1077</f>
        <v>0</v>
      </c>
      <c r="H1168" s="4">
        <f>'Raw data'!G1077</f>
        <v>0</v>
      </c>
      <c r="I1168" s="29" t="e">
        <f>VLOOKUP(G1168,제품명!$C$1:$E$114,2,0)</f>
        <v>#N/A</v>
      </c>
      <c r="J1168" s="29">
        <f>'Raw data'!K1077</f>
        <v>0</v>
      </c>
      <c r="K1168" s="31">
        <f>'Raw data'!H1077</f>
        <v>0</v>
      </c>
      <c r="L1168" s="26">
        <f t="shared" si="40"/>
        <v>0</v>
      </c>
    </row>
    <row r="1169" spans="2:12">
      <c r="B1169" s="4" t="e">
        <f t="shared" si="39"/>
        <v>#N/A</v>
      </c>
      <c r="C1169" s="4">
        <f>'Raw data'!E1078</f>
        <v>0</v>
      </c>
      <c r="D1169" s="29" t="e">
        <f>VLOOKUP(C1169,'점포코드 '!A:B,2,0)</f>
        <v>#N/A</v>
      </c>
      <c r="E1169" s="30">
        <f>'Raw data'!P1078</f>
        <v>0</v>
      </c>
      <c r="F1169" s="29" t="e">
        <f>VLOOKUP(E1169,'점포코드 '!A:B,2,0)</f>
        <v>#N/A</v>
      </c>
      <c r="G1169" s="46">
        <f>'Raw data'!F1078</f>
        <v>0</v>
      </c>
      <c r="H1169" s="4">
        <f>'Raw data'!G1078</f>
        <v>0</v>
      </c>
      <c r="I1169" s="29" t="e">
        <f>VLOOKUP(G1169,제품명!$C$1:$E$114,2,0)</f>
        <v>#N/A</v>
      </c>
      <c r="J1169" s="29">
        <f>'Raw data'!K1078</f>
        <v>0</v>
      </c>
      <c r="K1169" s="31">
        <f>'Raw data'!H1078</f>
        <v>0</v>
      </c>
      <c r="L1169" s="26">
        <f t="shared" si="40"/>
        <v>0</v>
      </c>
    </row>
    <row r="1170" spans="2:12">
      <c r="B1170" s="4" t="e">
        <f t="shared" si="39"/>
        <v>#N/A</v>
      </c>
      <c r="C1170" s="4">
        <f>'Raw data'!E1079</f>
        <v>0</v>
      </c>
      <c r="D1170" s="29" t="e">
        <f>VLOOKUP(C1170,'점포코드 '!A:B,2,0)</f>
        <v>#N/A</v>
      </c>
      <c r="E1170" s="30">
        <f>'Raw data'!P1079</f>
        <v>0</v>
      </c>
      <c r="F1170" s="29" t="e">
        <f>VLOOKUP(E1170,'점포코드 '!A:B,2,0)</f>
        <v>#N/A</v>
      </c>
      <c r="G1170" s="46">
        <f>'Raw data'!F1079</f>
        <v>0</v>
      </c>
      <c r="H1170" s="4">
        <f>'Raw data'!G1079</f>
        <v>0</v>
      </c>
      <c r="I1170" s="29" t="e">
        <f>VLOOKUP(G1170,제품명!$C$1:$E$114,2,0)</f>
        <v>#N/A</v>
      </c>
      <c r="J1170" s="29">
        <f>'Raw data'!K1079</f>
        <v>0</v>
      </c>
      <c r="K1170" s="31">
        <f>'Raw data'!H1079</f>
        <v>0</v>
      </c>
      <c r="L1170" s="26">
        <f t="shared" si="40"/>
        <v>0</v>
      </c>
    </row>
    <row r="1171" spans="2:12">
      <c r="B1171" s="4" t="e">
        <f t="shared" si="39"/>
        <v>#N/A</v>
      </c>
      <c r="C1171" s="4">
        <f>'Raw data'!E1080</f>
        <v>0</v>
      </c>
      <c r="D1171" s="29" t="e">
        <f>VLOOKUP(C1171,'점포코드 '!A:B,2,0)</f>
        <v>#N/A</v>
      </c>
      <c r="E1171" s="30">
        <f>'Raw data'!P1080</f>
        <v>0</v>
      </c>
      <c r="F1171" s="29" t="e">
        <f>VLOOKUP(E1171,'점포코드 '!A:B,2,0)</f>
        <v>#N/A</v>
      </c>
      <c r="G1171" s="46">
        <f>'Raw data'!F1080</f>
        <v>0</v>
      </c>
      <c r="H1171" s="4">
        <f>'Raw data'!G1080</f>
        <v>0</v>
      </c>
      <c r="I1171" s="29" t="e">
        <f>VLOOKUP(G1171,제품명!$C$1:$E$114,2,0)</f>
        <v>#N/A</v>
      </c>
      <c r="J1171" s="29">
        <f>'Raw data'!K1080</f>
        <v>0</v>
      </c>
      <c r="K1171" s="31">
        <f>'Raw data'!H1080</f>
        <v>0</v>
      </c>
      <c r="L1171" s="26">
        <f t="shared" si="40"/>
        <v>0</v>
      </c>
    </row>
    <row r="1172" spans="2:12">
      <c r="B1172" s="4" t="e">
        <f t="shared" si="39"/>
        <v>#N/A</v>
      </c>
      <c r="C1172" s="4">
        <f>'Raw data'!E1081</f>
        <v>0</v>
      </c>
      <c r="D1172" s="29" t="e">
        <f>VLOOKUP(C1172,'점포코드 '!A:B,2,0)</f>
        <v>#N/A</v>
      </c>
      <c r="E1172" s="30">
        <f>'Raw data'!P1081</f>
        <v>0</v>
      </c>
      <c r="F1172" s="29" t="e">
        <f>VLOOKUP(E1172,'점포코드 '!A:B,2,0)</f>
        <v>#N/A</v>
      </c>
      <c r="G1172" s="46">
        <f>'Raw data'!F1081</f>
        <v>0</v>
      </c>
      <c r="H1172" s="4">
        <f>'Raw data'!G1081</f>
        <v>0</v>
      </c>
      <c r="I1172" s="29" t="e">
        <f>VLOOKUP(G1172,제품명!$C$1:$E$114,2,0)</f>
        <v>#N/A</v>
      </c>
      <c r="J1172" s="29">
        <f>'Raw data'!K1081</f>
        <v>0</v>
      </c>
      <c r="K1172" s="31">
        <f>'Raw data'!H1081</f>
        <v>0</v>
      </c>
      <c r="L1172" s="26">
        <f t="shared" si="40"/>
        <v>0</v>
      </c>
    </row>
    <row r="1173" spans="2:12">
      <c r="B1173" s="4" t="e">
        <f t="shared" si="39"/>
        <v>#N/A</v>
      </c>
      <c r="C1173" s="4">
        <f>'Raw data'!E1082</f>
        <v>0</v>
      </c>
      <c r="D1173" s="29" t="e">
        <f>VLOOKUP(C1173,'점포코드 '!A:B,2,0)</f>
        <v>#N/A</v>
      </c>
      <c r="E1173" s="30">
        <f>'Raw data'!P1082</f>
        <v>0</v>
      </c>
      <c r="F1173" s="29" t="e">
        <f>VLOOKUP(E1173,'점포코드 '!A:B,2,0)</f>
        <v>#N/A</v>
      </c>
      <c r="G1173" s="46">
        <f>'Raw data'!F1082</f>
        <v>0</v>
      </c>
      <c r="H1173" s="4">
        <f>'Raw data'!G1082</f>
        <v>0</v>
      </c>
      <c r="I1173" s="29" t="e">
        <f>VLOOKUP(G1173,제품명!$C$1:$E$114,2,0)</f>
        <v>#N/A</v>
      </c>
      <c r="J1173" s="29">
        <f>'Raw data'!K1082</f>
        <v>0</v>
      </c>
      <c r="K1173" s="31">
        <f>'Raw data'!H1082</f>
        <v>0</v>
      </c>
      <c r="L1173" s="26">
        <f t="shared" si="40"/>
        <v>0</v>
      </c>
    </row>
    <row r="1174" spans="2:12">
      <c r="B1174" s="4" t="e">
        <f t="shared" si="39"/>
        <v>#N/A</v>
      </c>
      <c r="C1174" s="4">
        <f>'Raw data'!E1083</f>
        <v>0</v>
      </c>
      <c r="D1174" s="29" t="e">
        <f>VLOOKUP(C1174,'점포코드 '!A:B,2,0)</f>
        <v>#N/A</v>
      </c>
      <c r="E1174" s="30">
        <f>'Raw data'!P1083</f>
        <v>0</v>
      </c>
      <c r="F1174" s="29" t="e">
        <f>VLOOKUP(E1174,'점포코드 '!A:B,2,0)</f>
        <v>#N/A</v>
      </c>
      <c r="G1174" s="46">
        <f>'Raw data'!F1083</f>
        <v>0</v>
      </c>
      <c r="H1174" s="4">
        <f>'Raw data'!G1083</f>
        <v>0</v>
      </c>
      <c r="I1174" s="29" t="e">
        <f>VLOOKUP(G1174,제품명!$C$1:$E$114,2,0)</f>
        <v>#N/A</v>
      </c>
      <c r="J1174" s="29">
        <f>'Raw data'!K1083</f>
        <v>0</v>
      </c>
      <c r="K1174" s="31">
        <f>'Raw data'!H1083</f>
        <v>0</v>
      </c>
      <c r="L1174" s="26">
        <f t="shared" si="40"/>
        <v>0</v>
      </c>
    </row>
    <row r="1175" spans="2:12">
      <c r="B1175" s="4" t="e">
        <f t="shared" si="39"/>
        <v>#N/A</v>
      </c>
      <c r="C1175" s="4">
        <f>'Raw data'!E1084</f>
        <v>0</v>
      </c>
      <c r="D1175" s="29" t="e">
        <f>VLOOKUP(C1175,'점포코드 '!A:B,2,0)</f>
        <v>#N/A</v>
      </c>
      <c r="E1175" s="30">
        <f>'Raw data'!P1084</f>
        <v>0</v>
      </c>
      <c r="F1175" s="29" t="e">
        <f>VLOOKUP(E1175,'점포코드 '!A:B,2,0)</f>
        <v>#N/A</v>
      </c>
      <c r="G1175" s="46">
        <f>'Raw data'!F1084</f>
        <v>0</v>
      </c>
      <c r="H1175" s="4">
        <f>'Raw data'!G1084</f>
        <v>0</v>
      </c>
      <c r="I1175" s="29" t="e">
        <f>VLOOKUP(G1175,제품명!$C$1:$E$114,2,0)</f>
        <v>#N/A</v>
      </c>
      <c r="J1175" s="29">
        <f>'Raw data'!K1084</f>
        <v>0</v>
      </c>
      <c r="K1175" s="31">
        <f>'Raw data'!H1084</f>
        <v>0</v>
      </c>
      <c r="L1175" s="26">
        <f t="shared" si="40"/>
        <v>0</v>
      </c>
    </row>
    <row r="1176" spans="2:12">
      <c r="B1176" s="4" t="e">
        <f t="shared" si="39"/>
        <v>#N/A</v>
      </c>
      <c r="C1176" s="4">
        <f>'Raw data'!E1085</f>
        <v>0</v>
      </c>
      <c r="D1176" s="29" t="e">
        <f>VLOOKUP(C1176,'점포코드 '!A:B,2,0)</f>
        <v>#N/A</v>
      </c>
      <c r="E1176" s="30">
        <f>'Raw data'!P1085</f>
        <v>0</v>
      </c>
      <c r="F1176" s="29" t="e">
        <f>VLOOKUP(E1176,'점포코드 '!A:B,2,0)</f>
        <v>#N/A</v>
      </c>
      <c r="G1176" s="46">
        <f>'Raw data'!F1085</f>
        <v>0</v>
      </c>
      <c r="H1176" s="4">
        <f>'Raw data'!G1085</f>
        <v>0</v>
      </c>
      <c r="I1176" s="29" t="e">
        <f>VLOOKUP(G1176,제품명!$C$1:$E$114,2,0)</f>
        <v>#N/A</v>
      </c>
      <c r="J1176" s="29">
        <f>'Raw data'!K1085</f>
        <v>0</v>
      </c>
      <c r="K1176" s="31">
        <f>'Raw data'!H1085</f>
        <v>0</v>
      </c>
      <c r="L1176" s="26">
        <f t="shared" si="40"/>
        <v>0</v>
      </c>
    </row>
    <row r="1177" spans="2:12">
      <c r="B1177" s="4" t="e">
        <f t="shared" si="39"/>
        <v>#N/A</v>
      </c>
      <c r="C1177" s="4">
        <f>'Raw data'!E1086</f>
        <v>0</v>
      </c>
      <c r="D1177" s="29" t="e">
        <f>VLOOKUP(C1177,'점포코드 '!A:B,2,0)</f>
        <v>#N/A</v>
      </c>
      <c r="E1177" s="30">
        <f>'Raw data'!P1086</f>
        <v>0</v>
      </c>
      <c r="F1177" s="29" t="e">
        <f>VLOOKUP(E1177,'점포코드 '!A:B,2,0)</f>
        <v>#N/A</v>
      </c>
      <c r="G1177" s="46">
        <f>'Raw data'!F1086</f>
        <v>0</v>
      </c>
      <c r="H1177" s="4">
        <f>'Raw data'!G1086</f>
        <v>0</v>
      </c>
      <c r="I1177" s="29" t="e">
        <f>VLOOKUP(G1177,제품명!$C$1:$E$114,2,0)</f>
        <v>#N/A</v>
      </c>
      <c r="J1177" s="29">
        <f>'Raw data'!K1086</f>
        <v>0</v>
      </c>
      <c r="K1177" s="31">
        <f>'Raw data'!H1086</f>
        <v>0</v>
      </c>
      <c r="L1177" s="26">
        <f t="shared" si="40"/>
        <v>0</v>
      </c>
    </row>
    <row r="1178" spans="2:12">
      <c r="B1178" s="4" t="e">
        <f t="shared" si="39"/>
        <v>#N/A</v>
      </c>
      <c r="C1178" s="4">
        <f>'Raw data'!E1087</f>
        <v>0</v>
      </c>
      <c r="D1178" s="29" t="e">
        <f>VLOOKUP(C1178,'점포코드 '!A:B,2,0)</f>
        <v>#N/A</v>
      </c>
      <c r="E1178" s="30">
        <f>'Raw data'!P1087</f>
        <v>0</v>
      </c>
      <c r="F1178" s="29" t="e">
        <f>VLOOKUP(E1178,'점포코드 '!A:B,2,0)</f>
        <v>#N/A</v>
      </c>
      <c r="G1178" s="46">
        <f>'Raw data'!F1087</f>
        <v>0</v>
      </c>
      <c r="H1178" s="4">
        <f>'Raw data'!G1087</f>
        <v>0</v>
      </c>
      <c r="I1178" s="29" t="e">
        <f>VLOOKUP(G1178,제품명!$C$1:$E$114,2,0)</f>
        <v>#N/A</v>
      </c>
      <c r="J1178" s="29">
        <f>'Raw data'!K1087</f>
        <v>0</v>
      </c>
      <c r="K1178" s="31">
        <f>'Raw data'!H1087</f>
        <v>0</v>
      </c>
      <c r="L1178" s="26">
        <f t="shared" si="40"/>
        <v>0</v>
      </c>
    </row>
    <row r="1179" spans="2:12">
      <c r="B1179" s="4" t="e">
        <f t="shared" si="39"/>
        <v>#N/A</v>
      </c>
      <c r="C1179" s="4">
        <f>'Raw data'!E1088</f>
        <v>0</v>
      </c>
      <c r="D1179" s="29" t="e">
        <f>VLOOKUP(C1179,'점포코드 '!A:B,2,0)</f>
        <v>#N/A</v>
      </c>
      <c r="E1179" s="30">
        <f>'Raw data'!P1088</f>
        <v>0</v>
      </c>
      <c r="F1179" s="29" t="e">
        <f>VLOOKUP(E1179,'점포코드 '!A:B,2,0)</f>
        <v>#N/A</v>
      </c>
      <c r="G1179" s="46">
        <f>'Raw data'!F1088</f>
        <v>0</v>
      </c>
      <c r="H1179" s="4">
        <f>'Raw data'!G1088</f>
        <v>0</v>
      </c>
      <c r="I1179" s="29" t="e">
        <f>VLOOKUP(G1179,제품명!$C$1:$E$114,2,0)</f>
        <v>#N/A</v>
      </c>
      <c r="J1179" s="29">
        <f>'Raw data'!K1088</f>
        <v>0</v>
      </c>
      <c r="K1179" s="31">
        <f>'Raw data'!H1088</f>
        <v>0</v>
      </c>
      <c r="L1179" s="26">
        <f t="shared" si="40"/>
        <v>0</v>
      </c>
    </row>
    <row r="1180" spans="2:12">
      <c r="B1180" s="4" t="e">
        <f t="shared" si="39"/>
        <v>#N/A</v>
      </c>
      <c r="C1180" s="4">
        <f>'Raw data'!E1089</f>
        <v>0</v>
      </c>
      <c r="D1180" s="29" t="e">
        <f>VLOOKUP(C1180,'점포코드 '!A:B,2,0)</f>
        <v>#N/A</v>
      </c>
      <c r="E1180" s="30">
        <f>'Raw data'!P1089</f>
        <v>0</v>
      </c>
      <c r="F1180" s="29" t="e">
        <f>VLOOKUP(E1180,'점포코드 '!A:B,2,0)</f>
        <v>#N/A</v>
      </c>
      <c r="G1180" s="46">
        <f>'Raw data'!F1089</f>
        <v>0</v>
      </c>
      <c r="H1180" s="4">
        <f>'Raw data'!G1089</f>
        <v>0</v>
      </c>
      <c r="I1180" s="29" t="e">
        <f>VLOOKUP(G1180,제품명!$C$1:$E$114,2,0)</f>
        <v>#N/A</v>
      </c>
      <c r="J1180" s="29">
        <f>'Raw data'!K1089</f>
        <v>0</v>
      </c>
      <c r="K1180" s="31">
        <f>'Raw data'!H1089</f>
        <v>0</v>
      </c>
      <c r="L1180" s="26">
        <f t="shared" si="40"/>
        <v>0</v>
      </c>
    </row>
    <row r="1181" spans="2:12">
      <c r="B1181" s="4" t="e">
        <f t="shared" si="39"/>
        <v>#N/A</v>
      </c>
      <c r="C1181" s="4">
        <f>'Raw data'!E1090</f>
        <v>0</v>
      </c>
      <c r="D1181" s="29" t="e">
        <f>VLOOKUP(C1181,'점포코드 '!A:B,2,0)</f>
        <v>#N/A</v>
      </c>
      <c r="E1181" s="30">
        <f>'Raw data'!P1090</f>
        <v>0</v>
      </c>
      <c r="F1181" s="29" t="e">
        <f>VLOOKUP(E1181,'점포코드 '!A:B,2,0)</f>
        <v>#N/A</v>
      </c>
      <c r="G1181" s="46">
        <f>'Raw data'!F1090</f>
        <v>0</v>
      </c>
      <c r="H1181" s="4">
        <f>'Raw data'!G1090</f>
        <v>0</v>
      </c>
      <c r="I1181" s="29" t="e">
        <f>VLOOKUP(G1181,제품명!$C$1:$E$114,2,0)</f>
        <v>#N/A</v>
      </c>
      <c r="J1181" s="29">
        <f>'Raw data'!K1090</f>
        <v>0</v>
      </c>
      <c r="K1181" s="31">
        <f>'Raw data'!H1090</f>
        <v>0</v>
      </c>
      <c r="L1181" s="26">
        <f t="shared" si="40"/>
        <v>0</v>
      </c>
    </row>
    <row r="1182" spans="2:12">
      <c r="B1182" s="4" t="e">
        <f t="shared" si="39"/>
        <v>#N/A</v>
      </c>
      <c r="C1182" s="4">
        <f>'Raw data'!E1091</f>
        <v>0</v>
      </c>
      <c r="D1182" s="29" t="e">
        <f>VLOOKUP(C1182,'점포코드 '!A:B,2,0)</f>
        <v>#N/A</v>
      </c>
      <c r="E1182" s="30">
        <f>'Raw data'!P1091</f>
        <v>0</v>
      </c>
      <c r="F1182" s="29" t="e">
        <f>VLOOKUP(E1182,'점포코드 '!A:B,2,0)</f>
        <v>#N/A</v>
      </c>
      <c r="G1182" s="46">
        <f>'Raw data'!F1091</f>
        <v>0</v>
      </c>
      <c r="H1182" s="4">
        <f>'Raw data'!G1091</f>
        <v>0</v>
      </c>
      <c r="I1182" s="29" t="e">
        <f>VLOOKUP(G1182,제품명!$C$1:$E$114,2,0)</f>
        <v>#N/A</v>
      </c>
      <c r="J1182" s="29">
        <f>'Raw data'!K1091</f>
        <v>0</v>
      </c>
      <c r="K1182" s="31">
        <f>'Raw data'!H1091</f>
        <v>0</v>
      </c>
      <c r="L1182" s="26">
        <f t="shared" si="40"/>
        <v>0</v>
      </c>
    </row>
    <row r="1183" spans="2:12">
      <c r="B1183" s="4" t="e">
        <f t="shared" si="39"/>
        <v>#N/A</v>
      </c>
      <c r="C1183" s="4">
        <f>'Raw data'!E1092</f>
        <v>0</v>
      </c>
      <c r="D1183" s="29" t="e">
        <f>VLOOKUP(C1183,'점포코드 '!A:B,2,0)</f>
        <v>#N/A</v>
      </c>
      <c r="E1183" s="30">
        <f>'Raw data'!P1092</f>
        <v>0</v>
      </c>
      <c r="F1183" s="29" t="e">
        <f>VLOOKUP(E1183,'점포코드 '!A:B,2,0)</f>
        <v>#N/A</v>
      </c>
      <c r="G1183" s="46">
        <f>'Raw data'!F1092</f>
        <v>0</v>
      </c>
      <c r="H1183" s="4">
        <f>'Raw data'!G1092</f>
        <v>0</v>
      </c>
      <c r="I1183" s="29" t="e">
        <f>VLOOKUP(G1183,제품명!$C$1:$E$114,2,0)</f>
        <v>#N/A</v>
      </c>
      <c r="J1183" s="29">
        <f>'Raw data'!K1092</f>
        <v>0</v>
      </c>
      <c r="K1183" s="31">
        <f>'Raw data'!H1092</f>
        <v>0</v>
      </c>
      <c r="L1183" s="26">
        <f t="shared" si="40"/>
        <v>0</v>
      </c>
    </row>
    <row r="1184" spans="2:12">
      <c r="B1184" s="4" t="e">
        <f t="shared" si="39"/>
        <v>#N/A</v>
      </c>
      <c r="C1184" s="4">
        <f>'Raw data'!E1093</f>
        <v>0</v>
      </c>
      <c r="D1184" s="29" t="e">
        <f>VLOOKUP(C1184,'점포코드 '!A:B,2,0)</f>
        <v>#N/A</v>
      </c>
      <c r="E1184" s="30">
        <f>'Raw data'!P1093</f>
        <v>0</v>
      </c>
      <c r="F1184" s="29" t="e">
        <f>VLOOKUP(E1184,'점포코드 '!A:B,2,0)</f>
        <v>#N/A</v>
      </c>
      <c r="G1184" s="46">
        <f>'Raw data'!F1093</f>
        <v>0</v>
      </c>
      <c r="H1184" s="4">
        <f>'Raw data'!G1093</f>
        <v>0</v>
      </c>
      <c r="I1184" s="29" t="e">
        <f>VLOOKUP(G1184,제품명!$C$1:$E$114,2,0)</f>
        <v>#N/A</v>
      </c>
      <c r="J1184" s="29">
        <f>'Raw data'!K1093</f>
        <v>0</v>
      </c>
      <c r="K1184" s="31">
        <f>'Raw data'!H1093</f>
        <v>0</v>
      </c>
      <c r="L1184" s="26">
        <f t="shared" si="40"/>
        <v>0</v>
      </c>
    </row>
    <row r="1185" spans="2:12">
      <c r="B1185" s="4" t="e">
        <f t="shared" si="39"/>
        <v>#N/A</v>
      </c>
      <c r="C1185" s="4">
        <f>'Raw data'!E1094</f>
        <v>0</v>
      </c>
      <c r="D1185" s="29" t="e">
        <f>VLOOKUP(C1185,'점포코드 '!A:B,2,0)</f>
        <v>#N/A</v>
      </c>
      <c r="E1185" s="30">
        <f>'Raw data'!P1094</f>
        <v>0</v>
      </c>
      <c r="F1185" s="29" t="e">
        <f>VLOOKUP(E1185,'점포코드 '!A:B,2,0)</f>
        <v>#N/A</v>
      </c>
      <c r="G1185" s="46">
        <f>'Raw data'!F1094</f>
        <v>0</v>
      </c>
      <c r="H1185" s="4">
        <f>'Raw data'!G1094</f>
        <v>0</v>
      </c>
      <c r="I1185" s="29" t="e">
        <f>VLOOKUP(G1185,제품명!$C$1:$E$114,2,0)</f>
        <v>#N/A</v>
      </c>
      <c r="J1185" s="29">
        <f>'Raw data'!K1094</f>
        <v>0</v>
      </c>
      <c r="K1185" s="31">
        <f>'Raw data'!H1094</f>
        <v>0</v>
      </c>
      <c r="L1185" s="26">
        <f t="shared" si="40"/>
        <v>0</v>
      </c>
    </row>
    <row r="1186" spans="2:12">
      <c r="B1186" s="4" t="e">
        <f t="shared" si="39"/>
        <v>#N/A</v>
      </c>
      <c r="C1186" s="4">
        <f>'Raw data'!E1095</f>
        <v>0</v>
      </c>
      <c r="D1186" s="29" t="e">
        <f>VLOOKUP(C1186,'점포코드 '!A:B,2,0)</f>
        <v>#N/A</v>
      </c>
      <c r="E1186" s="30">
        <f>'Raw data'!P1095</f>
        <v>0</v>
      </c>
      <c r="F1186" s="29" t="e">
        <f>VLOOKUP(E1186,'점포코드 '!A:B,2,0)</f>
        <v>#N/A</v>
      </c>
      <c r="G1186" s="46">
        <f>'Raw data'!F1095</f>
        <v>0</v>
      </c>
      <c r="H1186" s="4">
        <f>'Raw data'!G1095</f>
        <v>0</v>
      </c>
      <c r="I1186" s="29" t="e">
        <f>VLOOKUP(G1186,제품명!$C$1:$E$114,2,0)</f>
        <v>#N/A</v>
      </c>
      <c r="J1186" s="29">
        <f>'Raw data'!K1095</f>
        <v>0</v>
      </c>
      <c r="K1186" s="31">
        <f>'Raw data'!H1095</f>
        <v>0</v>
      </c>
      <c r="L1186" s="26">
        <f t="shared" si="40"/>
        <v>0</v>
      </c>
    </row>
    <row r="1187" spans="2:12">
      <c r="B1187" s="4" t="e">
        <f t="shared" si="39"/>
        <v>#N/A</v>
      </c>
      <c r="C1187" s="4">
        <f>'Raw data'!E1096</f>
        <v>0</v>
      </c>
      <c r="D1187" s="29" t="e">
        <f>VLOOKUP(C1187,'점포코드 '!A:B,2,0)</f>
        <v>#N/A</v>
      </c>
      <c r="E1187" s="30">
        <f>'Raw data'!P1096</f>
        <v>0</v>
      </c>
      <c r="F1187" s="29" t="e">
        <f>VLOOKUP(E1187,'점포코드 '!A:B,2,0)</f>
        <v>#N/A</v>
      </c>
      <c r="G1187" s="46">
        <f>'Raw data'!F1096</f>
        <v>0</v>
      </c>
      <c r="H1187" s="4">
        <f>'Raw data'!G1096</f>
        <v>0</v>
      </c>
      <c r="I1187" s="29" t="e">
        <f>VLOOKUP(G1187,제품명!$C$1:$E$114,2,0)</f>
        <v>#N/A</v>
      </c>
      <c r="J1187" s="29">
        <f>'Raw data'!K1096</f>
        <v>0</v>
      </c>
      <c r="K1187" s="31">
        <f>'Raw data'!H1096</f>
        <v>0</v>
      </c>
      <c r="L1187" s="26">
        <f t="shared" si="40"/>
        <v>0</v>
      </c>
    </row>
    <row r="1188" spans="2:12">
      <c r="B1188" s="4" t="e">
        <f t="shared" si="39"/>
        <v>#N/A</v>
      </c>
      <c r="C1188" s="4">
        <f>'Raw data'!E1097</f>
        <v>0</v>
      </c>
      <c r="D1188" s="29" t="e">
        <f>VLOOKUP(C1188,'점포코드 '!A:B,2,0)</f>
        <v>#N/A</v>
      </c>
      <c r="E1188" s="30">
        <f>'Raw data'!P1097</f>
        <v>0</v>
      </c>
      <c r="F1188" s="29" t="e">
        <f>VLOOKUP(E1188,'점포코드 '!A:B,2,0)</f>
        <v>#N/A</v>
      </c>
      <c r="G1188" s="46">
        <f>'Raw data'!F1097</f>
        <v>0</v>
      </c>
      <c r="H1188" s="4">
        <f>'Raw data'!G1097</f>
        <v>0</v>
      </c>
      <c r="I1188" s="29" t="e">
        <f>VLOOKUP(G1188,제품명!$C$1:$E$114,2,0)</f>
        <v>#N/A</v>
      </c>
      <c r="J1188" s="29">
        <f>'Raw data'!K1097</f>
        <v>0</v>
      </c>
      <c r="K1188" s="31">
        <f>'Raw data'!H1097</f>
        <v>0</v>
      </c>
      <c r="L1188" s="26">
        <f t="shared" si="40"/>
        <v>0</v>
      </c>
    </row>
    <row r="1189" spans="2:12">
      <c r="B1189" s="4" t="e">
        <f t="shared" si="39"/>
        <v>#N/A</v>
      </c>
      <c r="C1189" s="4">
        <f>'Raw data'!E1098</f>
        <v>0</v>
      </c>
      <c r="D1189" s="29" t="e">
        <f>VLOOKUP(C1189,'점포코드 '!A:B,2,0)</f>
        <v>#N/A</v>
      </c>
      <c r="E1189" s="30">
        <f>'Raw data'!P1098</f>
        <v>0</v>
      </c>
      <c r="F1189" s="29" t="e">
        <f>VLOOKUP(E1189,'점포코드 '!A:B,2,0)</f>
        <v>#N/A</v>
      </c>
      <c r="G1189" s="46">
        <f>'Raw data'!F1098</f>
        <v>0</v>
      </c>
      <c r="H1189" s="4">
        <f>'Raw data'!G1098</f>
        <v>0</v>
      </c>
      <c r="I1189" s="29" t="e">
        <f>VLOOKUP(G1189,제품명!$C$1:$E$114,2,0)</f>
        <v>#N/A</v>
      </c>
      <c r="J1189" s="29">
        <f>'Raw data'!K1098</f>
        <v>0</v>
      </c>
      <c r="K1189" s="31">
        <f>'Raw data'!H1098</f>
        <v>0</v>
      </c>
      <c r="L1189" s="26">
        <f t="shared" si="40"/>
        <v>0</v>
      </c>
    </row>
    <row r="1190" spans="2:12">
      <c r="B1190" s="4" t="e">
        <f t="shared" si="39"/>
        <v>#N/A</v>
      </c>
      <c r="C1190" s="4">
        <f>'Raw data'!E1099</f>
        <v>0</v>
      </c>
      <c r="D1190" s="29" t="e">
        <f>VLOOKUP(C1190,'점포코드 '!A:B,2,0)</f>
        <v>#N/A</v>
      </c>
      <c r="E1190" s="30">
        <f>'Raw data'!P1099</f>
        <v>0</v>
      </c>
      <c r="F1190" s="29" t="e">
        <f>VLOOKUP(E1190,'점포코드 '!A:B,2,0)</f>
        <v>#N/A</v>
      </c>
      <c r="G1190" s="46">
        <f>'Raw data'!F1099</f>
        <v>0</v>
      </c>
      <c r="H1190" s="4">
        <f>'Raw data'!G1099</f>
        <v>0</v>
      </c>
      <c r="I1190" s="29" t="e">
        <f>VLOOKUP(G1190,제품명!$C$1:$E$114,2,0)</f>
        <v>#N/A</v>
      </c>
      <c r="J1190" s="29">
        <f>'Raw data'!K1099</f>
        <v>0</v>
      </c>
      <c r="K1190" s="31">
        <f>'Raw data'!H1099</f>
        <v>0</v>
      </c>
      <c r="L1190" s="26">
        <f t="shared" si="40"/>
        <v>0</v>
      </c>
    </row>
    <row r="1191" spans="2:12">
      <c r="B1191" s="4" t="e">
        <f t="shared" si="39"/>
        <v>#N/A</v>
      </c>
      <c r="C1191" s="4">
        <f>'Raw data'!E1100</f>
        <v>0</v>
      </c>
      <c r="D1191" s="29" t="e">
        <f>VLOOKUP(C1191,'점포코드 '!A:B,2,0)</f>
        <v>#N/A</v>
      </c>
      <c r="E1191" s="30">
        <f>'Raw data'!P1100</f>
        <v>0</v>
      </c>
      <c r="F1191" s="29" t="e">
        <f>VLOOKUP(E1191,'점포코드 '!A:B,2,0)</f>
        <v>#N/A</v>
      </c>
      <c r="G1191" s="46">
        <f>'Raw data'!F1100</f>
        <v>0</v>
      </c>
      <c r="H1191" s="4">
        <f>'Raw data'!G1100</f>
        <v>0</v>
      </c>
      <c r="I1191" s="29" t="e">
        <f>VLOOKUP(G1191,제품명!$C$1:$E$114,2,0)</f>
        <v>#N/A</v>
      </c>
      <c r="J1191" s="29">
        <f>'Raw data'!K1100</f>
        <v>0</v>
      </c>
      <c r="K1191" s="31">
        <f>'Raw data'!H1100</f>
        <v>0</v>
      </c>
      <c r="L1191" s="26">
        <f t="shared" si="40"/>
        <v>0</v>
      </c>
    </row>
    <row r="1192" spans="2:12">
      <c r="B1192" s="4" t="e">
        <f t="shared" si="39"/>
        <v>#N/A</v>
      </c>
      <c r="C1192" s="4">
        <f>'Raw data'!E1101</f>
        <v>0</v>
      </c>
      <c r="D1192" s="29" t="e">
        <f>VLOOKUP(C1192,'점포코드 '!A:B,2,0)</f>
        <v>#N/A</v>
      </c>
      <c r="E1192" s="30">
        <f>'Raw data'!P1101</f>
        <v>0</v>
      </c>
      <c r="F1192" s="29" t="e">
        <f>VLOOKUP(E1192,'점포코드 '!A:B,2,0)</f>
        <v>#N/A</v>
      </c>
      <c r="G1192" s="46">
        <f>'Raw data'!F1101</f>
        <v>0</v>
      </c>
      <c r="H1192" s="4">
        <f>'Raw data'!G1101</f>
        <v>0</v>
      </c>
      <c r="I1192" s="29" t="e">
        <f>VLOOKUP(G1192,제품명!$C$1:$E$114,2,0)</f>
        <v>#N/A</v>
      </c>
      <c r="J1192" s="29">
        <f>'Raw data'!K1101</f>
        <v>0</v>
      </c>
      <c r="K1192" s="31">
        <f>'Raw data'!H1101</f>
        <v>0</v>
      </c>
      <c r="L1192" s="26">
        <f t="shared" si="40"/>
        <v>0</v>
      </c>
    </row>
    <row r="1193" spans="2:12">
      <c r="B1193" s="4" t="e">
        <f t="shared" si="39"/>
        <v>#N/A</v>
      </c>
      <c r="C1193" s="4">
        <f>'Raw data'!E1102</f>
        <v>0</v>
      </c>
      <c r="D1193" s="29" t="e">
        <f>VLOOKUP(C1193,'점포코드 '!A:B,2,0)</f>
        <v>#N/A</v>
      </c>
      <c r="E1193" s="30">
        <f>'Raw data'!P1102</f>
        <v>0</v>
      </c>
      <c r="F1193" s="29" t="e">
        <f>VLOOKUP(E1193,'점포코드 '!A:B,2,0)</f>
        <v>#N/A</v>
      </c>
      <c r="G1193" s="46">
        <f>'Raw data'!F1102</f>
        <v>0</v>
      </c>
      <c r="H1193" s="4">
        <f>'Raw data'!G1102</f>
        <v>0</v>
      </c>
      <c r="I1193" s="29" t="e">
        <f>VLOOKUP(G1193,제품명!$C$1:$E$114,2,0)</f>
        <v>#N/A</v>
      </c>
      <c r="J1193" s="29">
        <f>'Raw data'!K1102</f>
        <v>0</v>
      </c>
      <c r="K1193" s="31">
        <f>'Raw data'!H1102</f>
        <v>0</v>
      </c>
      <c r="L1193" s="26">
        <f t="shared" si="40"/>
        <v>0</v>
      </c>
    </row>
    <row r="1194" spans="2:12">
      <c r="B1194" s="4" t="e">
        <f t="shared" si="39"/>
        <v>#N/A</v>
      </c>
      <c r="C1194" s="4">
        <f>'Raw data'!E1103</f>
        <v>0</v>
      </c>
      <c r="D1194" s="29" t="e">
        <f>VLOOKUP(C1194,'점포코드 '!A:B,2,0)</f>
        <v>#N/A</v>
      </c>
      <c r="E1194" s="30">
        <f>'Raw data'!P1103</f>
        <v>0</v>
      </c>
      <c r="F1194" s="29" t="e">
        <f>VLOOKUP(E1194,'점포코드 '!A:B,2,0)</f>
        <v>#N/A</v>
      </c>
      <c r="G1194" s="46">
        <f>'Raw data'!F1103</f>
        <v>0</v>
      </c>
      <c r="H1194" s="4">
        <f>'Raw data'!G1103</f>
        <v>0</v>
      </c>
      <c r="I1194" s="29" t="e">
        <f>VLOOKUP(G1194,제품명!$C$1:$E$114,2,0)</f>
        <v>#N/A</v>
      </c>
      <c r="J1194" s="29">
        <f>'Raw data'!K1103</f>
        <v>0</v>
      </c>
      <c r="K1194" s="31">
        <f>'Raw data'!H1103</f>
        <v>0</v>
      </c>
      <c r="L1194" s="26">
        <f t="shared" si="40"/>
        <v>0</v>
      </c>
    </row>
    <row r="1195" spans="2:12">
      <c r="B1195" s="4" t="e">
        <f t="shared" si="39"/>
        <v>#N/A</v>
      </c>
      <c r="C1195" s="4">
        <f>'Raw data'!E1104</f>
        <v>0</v>
      </c>
      <c r="D1195" s="29" t="e">
        <f>VLOOKUP(C1195,'점포코드 '!A:B,2,0)</f>
        <v>#N/A</v>
      </c>
      <c r="E1195" s="30">
        <f>'Raw data'!P1104</f>
        <v>0</v>
      </c>
      <c r="F1195" s="29" t="e">
        <f>VLOOKUP(E1195,'점포코드 '!A:B,2,0)</f>
        <v>#N/A</v>
      </c>
      <c r="G1195" s="46">
        <f>'Raw data'!F1104</f>
        <v>0</v>
      </c>
      <c r="H1195" s="4">
        <f>'Raw data'!G1104</f>
        <v>0</v>
      </c>
      <c r="I1195" s="29" t="e">
        <f>VLOOKUP(G1195,제품명!$C$1:$E$114,2,0)</f>
        <v>#N/A</v>
      </c>
      <c r="J1195" s="29">
        <f>'Raw data'!K1104</f>
        <v>0</v>
      </c>
      <c r="K1195" s="31">
        <f>'Raw data'!H1104</f>
        <v>0</v>
      </c>
      <c r="L1195" s="26">
        <f t="shared" si="40"/>
        <v>0</v>
      </c>
    </row>
    <row r="1196" spans="2:12">
      <c r="B1196" s="4" t="e">
        <f t="shared" si="39"/>
        <v>#N/A</v>
      </c>
      <c r="C1196" s="4">
        <f>'Raw data'!E1105</f>
        <v>0</v>
      </c>
      <c r="D1196" s="29" t="e">
        <f>VLOOKUP(C1196,'점포코드 '!A:B,2,0)</f>
        <v>#N/A</v>
      </c>
      <c r="E1196" s="30">
        <f>'Raw data'!P1105</f>
        <v>0</v>
      </c>
      <c r="F1196" s="29" t="e">
        <f>VLOOKUP(E1196,'점포코드 '!A:B,2,0)</f>
        <v>#N/A</v>
      </c>
      <c r="G1196" s="46">
        <f>'Raw data'!F1105</f>
        <v>0</v>
      </c>
      <c r="H1196" s="4">
        <f>'Raw data'!G1105</f>
        <v>0</v>
      </c>
      <c r="I1196" s="29" t="e">
        <f>VLOOKUP(G1196,제품명!$C$1:$E$114,2,0)</f>
        <v>#N/A</v>
      </c>
      <c r="J1196" s="29">
        <f>'Raw data'!K1105</f>
        <v>0</v>
      </c>
      <c r="K1196" s="31">
        <f>'Raw data'!H1105</f>
        <v>0</v>
      </c>
      <c r="L1196" s="26">
        <f t="shared" si="40"/>
        <v>0</v>
      </c>
    </row>
    <row r="1197" spans="2:12">
      <c r="B1197" s="4" t="e">
        <f t="shared" si="39"/>
        <v>#N/A</v>
      </c>
      <c r="C1197" s="4">
        <f>'Raw data'!E1106</f>
        <v>0</v>
      </c>
      <c r="D1197" s="29" t="e">
        <f>VLOOKUP(C1197,'점포코드 '!A:B,2,0)</f>
        <v>#N/A</v>
      </c>
      <c r="E1197" s="30">
        <f>'Raw data'!P1106</f>
        <v>0</v>
      </c>
      <c r="F1197" s="29" t="e">
        <f>VLOOKUP(E1197,'점포코드 '!A:B,2,0)</f>
        <v>#N/A</v>
      </c>
      <c r="G1197" s="46">
        <f>'Raw data'!F1106</f>
        <v>0</v>
      </c>
      <c r="H1197" s="4">
        <f>'Raw data'!G1106</f>
        <v>0</v>
      </c>
      <c r="I1197" s="29" t="e">
        <f>VLOOKUP(G1197,제품명!$C$1:$E$114,2,0)</f>
        <v>#N/A</v>
      </c>
      <c r="J1197" s="29">
        <f>'Raw data'!K1106</f>
        <v>0</v>
      </c>
      <c r="K1197" s="31">
        <f>'Raw data'!H1106</f>
        <v>0</v>
      </c>
      <c r="L1197" s="26">
        <f t="shared" si="40"/>
        <v>0</v>
      </c>
    </row>
    <row r="1198" spans="2:12">
      <c r="B1198" s="4" t="e">
        <f t="shared" si="39"/>
        <v>#N/A</v>
      </c>
      <c r="C1198" s="4">
        <f>'Raw data'!E1107</f>
        <v>0</v>
      </c>
      <c r="D1198" s="29" t="e">
        <f>VLOOKUP(C1198,'점포코드 '!A:B,2,0)</f>
        <v>#N/A</v>
      </c>
      <c r="E1198" s="30">
        <f>'Raw data'!P1107</f>
        <v>0</v>
      </c>
      <c r="F1198" s="29" t="e">
        <f>VLOOKUP(E1198,'점포코드 '!A:B,2,0)</f>
        <v>#N/A</v>
      </c>
      <c r="G1198" s="46">
        <f>'Raw data'!F1107</f>
        <v>0</v>
      </c>
      <c r="H1198" s="4">
        <f>'Raw data'!G1107</f>
        <v>0</v>
      </c>
      <c r="I1198" s="29" t="e">
        <f>VLOOKUP(G1198,제품명!$C$1:$E$114,2,0)</f>
        <v>#N/A</v>
      </c>
      <c r="J1198" s="29">
        <f>'Raw data'!K1107</f>
        <v>0</v>
      </c>
      <c r="K1198" s="31">
        <f>'Raw data'!H1107</f>
        <v>0</v>
      </c>
      <c r="L1198" s="26">
        <f t="shared" si="40"/>
        <v>0</v>
      </c>
    </row>
    <row r="1199" spans="2:12">
      <c r="B1199" s="4" t="e">
        <f t="shared" si="39"/>
        <v>#N/A</v>
      </c>
      <c r="C1199" s="4">
        <f>'Raw data'!E1108</f>
        <v>0</v>
      </c>
      <c r="D1199" s="29" t="e">
        <f>VLOOKUP(C1199,'점포코드 '!A:B,2,0)</f>
        <v>#N/A</v>
      </c>
      <c r="E1199" s="30">
        <f>'Raw data'!P1108</f>
        <v>0</v>
      </c>
      <c r="F1199" s="29" t="e">
        <f>VLOOKUP(E1199,'점포코드 '!A:B,2,0)</f>
        <v>#N/A</v>
      </c>
      <c r="G1199" s="46">
        <f>'Raw data'!F1108</f>
        <v>0</v>
      </c>
      <c r="H1199" s="4">
        <f>'Raw data'!G1108</f>
        <v>0</v>
      </c>
      <c r="I1199" s="29" t="e">
        <f>VLOOKUP(G1199,제품명!$C$1:$E$114,2,0)</f>
        <v>#N/A</v>
      </c>
      <c r="J1199" s="29">
        <f>'Raw data'!K1108</f>
        <v>0</v>
      </c>
      <c r="K1199" s="31">
        <f>'Raw data'!H1108</f>
        <v>0</v>
      </c>
      <c r="L1199" s="26">
        <f t="shared" si="40"/>
        <v>0</v>
      </c>
    </row>
    <row r="1200" spans="2:12">
      <c r="B1200" s="4" t="e">
        <f t="shared" si="39"/>
        <v>#N/A</v>
      </c>
      <c r="C1200" s="4">
        <f>'Raw data'!E1109</f>
        <v>0</v>
      </c>
      <c r="D1200" s="29" t="e">
        <f>VLOOKUP(C1200,'점포코드 '!A:B,2,0)</f>
        <v>#N/A</v>
      </c>
      <c r="E1200" s="30">
        <f>'Raw data'!P1109</f>
        <v>0</v>
      </c>
      <c r="F1200" s="29" t="e">
        <f>VLOOKUP(E1200,'점포코드 '!A:B,2,0)</f>
        <v>#N/A</v>
      </c>
      <c r="G1200" s="46">
        <f>'Raw data'!F1109</f>
        <v>0</v>
      </c>
      <c r="H1200" s="4">
        <f>'Raw data'!G1109</f>
        <v>0</v>
      </c>
      <c r="I1200" s="29" t="e">
        <f>VLOOKUP(G1200,제품명!$C$1:$E$114,2,0)</f>
        <v>#N/A</v>
      </c>
      <c r="J1200" s="29">
        <f>'Raw data'!K1109</f>
        <v>0</v>
      </c>
      <c r="K1200" s="31">
        <f>'Raw data'!H1109</f>
        <v>0</v>
      </c>
      <c r="L1200" s="26">
        <f t="shared" si="40"/>
        <v>0</v>
      </c>
    </row>
    <row r="1201" spans="2:12">
      <c r="B1201" s="4" t="e">
        <f t="shared" si="39"/>
        <v>#N/A</v>
      </c>
      <c r="C1201" s="4">
        <f>'Raw data'!E1110</f>
        <v>0</v>
      </c>
      <c r="D1201" s="29" t="e">
        <f>VLOOKUP(C1201,'점포코드 '!A:B,2,0)</f>
        <v>#N/A</v>
      </c>
      <c r="E1201" s="30">
        <f>'Raw data'!P1110</f>
        <v>0</v>
      </c>
      <c r="F1201" s="29" t="e">
        <f>VLOOKUP(E1201,'점포코드 '!A:B,2,0)</f>
        <v>#N/A</v>
      </c>
      <c r="G1201" s="46">
        <f>'Raw data'!F1110</f>
        <v>0</v>
      </c>
      <c r="H1201" s="4">
        <f>'Raw data'!G1110</f>
        <v>0</v>
      </c>
      <c r="I1201" s="29" t="e">
        <f>VLOOKUP(G1201,제품명!$C$1:$E$114,2,0)</f>
        <v>#N/A</v>
      </c>
      <c r="J1201" s="29">
        <f>'Raw data'!K1110</f>
        <v>0</v>
      </c>
      <c r="K1201" s="31">
        <f>'Raw data'!H1110</f>
        <v>0</v>
      </c>
      <c r="L1201" s="26">
        <f t="shared" si="40"/>
        <v>0</v>
      </c>
    </row>
    <row r="1202" spans="2:12">
      <c r="B1202" s="4" t="e">
        <f t="shared" si="39"/>
        <v>#N/A</v>
      </c>
      <c r="C1202" s="4">
        <f>'Raw data'!E1111</f>
        <v>0</v>
      </c>
      <c r="D1202" s="29" t="e">
        <f>VLOOKUP(C1202,'점포코드 '!A:B,2,0)</f>
        <v>#N/A</v>
      </c>
      <c r="E1202" s="30">
        <f>'Raw data'!P1111</f>
        <v>0</v>
      </c>
      <c r="F1202" s="29" t="e">
        <f>VLOOKUP(E1202,'점포코드 '!A:B,2,0)</f>
        <v>#N/A</v>
      </c>
      <c r="G1202" s="46">
        <f>'Raw data'!F1111</f>
        <v>0</v>
      </c>
      <c r="H1202" s="4">
        <f>'Raw data'!G1111</f>
        <v>0</v>
      </c>
      <c r="I1202" s="29" t="e">
        <f>VLOOKUP(G1202,제품명!$C$1:$E$114,2,0)</f>
        <v>#N/A</v>
      </c>
      <c r="J1202" s="29">
        <f>'Raw data'!K1111</f>
        <v>0</v>
      </c>
      <c r="K1202" s="31">
        <f>'Raw data'!H1111</f>
        <v>0</v>
      </c>
      <c r="L1202" s="26">
        <f t="shared" si="40"/>
        <v>0</v>
      </c>
    </row>
    <row r="1203" spans="2:12">
      <c r="B1203" s="4" t="e">
        <f t="shared" si="39"/>
        <v>#N/A</v>
      </c>
      <c r="C1203" s="4">
        <f>'Raw data'!E1112</f>
        <v>0</v>
      </c>
      <c r="D1203" s="29" t="e">
        <f>VLOOKUP(C1203,'점포코드 '!A:B,2,0)</f>
        <v>#N/A</v>
      </c>
      <c r="E1203" s="30">
        <f>'Raw data'!P1112</f>
        <v>0</v>
      </c>
      <c r="F1203" s="29" t="e">
        <f>VLOOKUP(E1203,'점포코드 '!A:B,2,0)</f>
        <v>#N/A</v>
      </c>
      <c r="G1203" s="46">
        <f>'Raw data'!F1112</f>
        <v>0</v>
      </c>
      <c r="H1203" s="4">
        <f>'Raw data'!G1112</f>
        <v>0</v>
      </c>
      <c r="I1203" s="29" t="e">
        <f>VLOOKUP(G1203,제품명!$C$1:$E$114,2,0)</f>
        <v>#N/A</v>
      </c>
      <c r="J1203" s="29">
        <f>'Raw data'!K1112</f>
        <v>0</v>
      </c>
      <c r="K1203" s="31">
        <f>'Raw data'!H1112</f>
        <v>0</v>
      </c>
      <c r="L1203" s="26">
        <f t="shared" si="40"/>
        <v>0</v>
      </c>
    </row>
    <row r="1204" spans="2:12">
      <c r="B1204" s="4" t="e">
        <f t="shared" si="39"/>
        <v>#N/A</v>
      </c>
      <c r="C1204" s="4">
        <f>'Raw data'!E1113</f>
        <v>0</v>
      </c>
      <c r="D1204" s="29" t="e">
        <f>VLOOKUP(C1204,'점포코드 '!A:B,2,0)</f>
        <v>#N/A</v>
      </c>
      <c r="E1204" s="30">
        <f>'Raw data'!P1113</f>
        <v>0</v>
      </c>
      <c r="F1204" s="29" t="e">
        <f>VLOOKUP(E1204,'점포코드 '!A:B,2,0)</f>
        <v>#N/A</v>
      </c>
      <c r="G1204" s="46">
        <f>'Raw data'!F1113</f>
        <v>0</v>
      </c>
      <c r="H1204" s="4">
        <f>'Raw data'!G1113</f>
        <v>0</v>
      </c>
      <c r="I1204" s="29" t="e">
        <f>VLOOKUP(G1204,제품명!$C$1:$E$114,2,0)</f>
        <v>#N/A</v>
      </c>
      <c r="J1204" s="29">
        <f>'Raw data'!K1113</f>
        <v>0</v>
      </c>
      <c r="K1204" s="31">
        <f>'Raw data'!H1113</f>
        <v>0</v>
      </c>
      <c r="L1204" s="26">
        <f t="shared" si="40"/>
        <v>0</v>
      </c>
    </row>
    <row r="1205" spans="2:12">
      <c r="B1205" s="4" t="e">
        <f t="shared" si="39"/>
        <v>#N/A</v>
      </c>
      <c r="C1205" s="4">
        <f>'Raw data'!E1114</f>
        <v>0</v>
      </c>
      <c r="D1205" s="29" t="e">
        <f>VLOOKUP(C1205,'점포코드 '!A:B,2,0)</f>
        <v>#N/A</v>
      </c>
      <c r="E1205" s="30">
        <f>'Raw data'!P1114</f>
        <v>0</v>
      </c>
      <c r="F1205" s="29" t="e">
        <f>VLOOKUP(E1205,'점포코드 '!A:B,2,0)</f>
        <v>#N/A</v>
      </c>
      <c r="G1205" s="46">
        <f>'Raw data'!F1114</f>
        <v>0</v>
      </c>
      <c r="H1205" s="4">
        <f>'Raw data'!G1114</f>
        <v>0</v>
      </c>
      <c r="I1205" s="29" t="e">
        <f>VLOOKUP(G1205,제품명!$C$1:$E$114,2,0)</f>
        <v>#N/A</v>
      </c>
      <c r="J1205" s="29">
        <f>'Raw data'!K1114</f>
        <v>0</v>
      </c>
      <c r="K1205" s="31">
        <f>'Raw data'!H1114</f>
        <v>0</v>
      </c>
      <c r="L1205" s="26">
        <f t="shared" si="40"/>
        <v>0</v>
      </c>
    </row>
    <row r="1206" spans="2:12">
      <c r="B1206" s="4" t="e">
        <f t="shared" si="39"/>
        <v>#N/A</v>
      </c>
      <c r="C1206" s="4">
        <f>'Raw data'!E1115</f>
        <v>0</v>
      </c>
      <c r="D1206" s="29" t="e">
        <f>VLOOKUP(C1206,'점포코드 '!A:B,2,0)</f>
        <v>#N/A</v>
      </c>
      <c r="E1206" s="30">
        <f>'Raw data'!P1115</f>
        <v>0</v>
      </c>
      <c r="F1206" s="29" t="e">
        <f>VLOOKUP(E1206,'점포코드 '!A:B,2,0)</f>
        <v>#N/A</v>
      </c>
      <c r="G1206" s="46">
        <f>'Raw data'!F1115</f>
        <v>0</v>
      </c>
      <c r="H1206" s="4">
        <f>'Raw data'!G1115</f>
        <v>0</v>
      </c>
      <c r="I1206" s="29" t="e">
        <f>VLOOKUP(G1206,제품명!$C$1:$E$114,2,0)</f>
        <v>#N/A</v>
      </c>
      <c r="J1206" s="29">
        <f>'Raw data'!K1115</f>
        <v>0</v>
      </c>
      <c r="K1206" s="31">
        <f>'Raw data'!H1115</f>
        <v>0</v>
      </c>
      <c r="L1206" s="26">
        <f t="shared" si="40"/>
        <v>0</v>
      </c>
    </row>
    <row r="1207" spans="2:12">
      <c r="B1207" s="4" t="e">
        <f t="shared" si="39"/>
        <v>#N/A</v>
      </c>
      <c r="C1207" s="4">
        <f>'Raw data'!E1116</f>
        <v>0</v>
      </c>
      <c r="D1207" s="29" t="e">
        <f>VLOOKUP(C1207,'점포코드 '!A:B,2,0)</f>
        <v>#N/A</v>
      </c>
      <c r="E1207" s="30">
        <f>'Raw data'!P1116</f>
        <v>0</v>
      </c>
      <c r="F1207" s="29" t="e">
        <f>VLOOKUP(E1207,'점포코드 '!A:B,2,0)</f>
        <v>#N/A</v>
      </c>
      <c r="G1207" s="46">
        <f>'Raw data'!F1116</f>
        <v>0</v>
      </c>
      <c r="H1207" s="4">
        <f>'Raw data'!G1116</f>
        <v>0</v>
      </c>
      <c r="I1207" s="29" t="e">
        <f>VLOOKUP(G1207,제품명!$C$1:$E$114,2,0)</f>
        <v>#N/A</v>
      </c>
      <c r="J1207" s="29">
        <f>'Raw data'!K1116</f>
        <v>0</v>
      </c>
      <c r="K1207" s="31">
        <f>'Raw data'!H1116</f>
        <v>0</v>
      </c>
      <c r="L1207" s="26">
        <f t="shared" si="40"/>
        <v>0</v>
      </c>
    </row>
    <row r="1208" spans="2:12">
      <c r="B1208" s="4" t="e">
        <f t="shared" si="39"/>
        <v>#N/A</v>
      </c>
      <c r="C1208" s="4">
        <f>'Raw data'!E1117</f>
        <v>0</v>
      </c>
      <c r="D1208" s="29" t="e">
        <f>VLOOKUP(C1208,'점포코드 '!A:B,2,0)</f>
        <v>#N/A</v>
      </c>
      <c r="E1208" s="30">
        <f>'Raw data'!P1117</f>
        <v>0</v>
      </c>
      <c r="F1208" s="29" t="e">
        <f>VLOOKUP(E1208,'점포코드 '!A:B,2,0)</f>
        <v>#N/A</v>
      </c>
      <c r="G1208" s="46">
        <f>'Raw data'!F1117</f>
        <v>0</v>
      </c>
      <c r="H1208" s="4">
        <f>'Raw data'!G1117</f>
        <v>0</v>
      </c>
      <c r="I1208" s="29" t="e">
        <f>VLOOKUP(G1208,제품명!$C$1:$E$114,2,0)</f>
        <v>#N/A</v>
      </c>
      <c r="J1208" s="29">
        <f>'Raw data'!K1117</f>
        <v>0</v>
      </c>
      <c r="K1208" s="31">
        <f>'Raw data'!H1117</f>
        <v>0</v>
      </c>
      <c r="L1208" s="26">
        <f t="shared" si="40"/>
        <v>0</v>
      </c>
    </row>
    <row r="1209" spans="2:12">
      <c r="B1209" s="4" t="e">
        <f t="shared" si="39"/>
        <v>#N/A</v>
      </c>
      <c r="C1209" s="4">
        <f>'Raw data'!E1118</f>
        <v>0</v>
      </c>
      <c r="D1209" s="29" t="e">
        <f>VLOOKUP(C1209,'점포코드 '!A:B,2,0)</f>
        <v>#N/A</v>
      </c>
      <c r="E1209" s="30">
        <f>'Raw data'!P1118</f>
        <v>0</v>
      </c>
      <c r="F1209" s="29" t="e">
        <f>VLOOKUP(E1209,'점포코드 '!A:B,2,0)</f>
        <v>#N/A</v>
      </c>
      <c r="G1209" s="46">
        <f>'Raw data'!F1118</f>
        <v>0</v>
      </c>
      <c r="H1209" s="4">
        <f>'Raw data'!G1118</f>
        <v>0</v>
      </c>
      <c r="I1209" s="29" t="e">
        <f>VLOOKUP(G1209,제품명!$C$1:$E$114,2,0)</f>
        <v>#N/A</v>
      </c>
      <c r="J1209" s="29">
        <f>'Raw data'!K1118</f>
        <v>0</v>
      </c>
      <c r="K1209" s="31">
        <f>'Raw data'!H1118</f>
        <v>0</v>
      </c>
      <c r="L1209" s="26">
        <f t="shared" si="40"/>
        <v>0</v>
      </c>
    </row>
    <row r="1210" spans="2:12">
      <c r="B1210" s="4" t="e">
        <f t="shared" si="39"/>
        <v>#N/A</v>
      </c>
      <c r="C1210" s="4">
        <f>'Raw data'!E1119</f>
        <v>0</v>
      </c>
      <c r="D1210" s="29" t="e">
        <f>VLOOKUP(C1210,'점포코드 '!A:B,2,0)</f>
        <v>#N/A</v>
      </c>
      <c r="E1210" s="30">
        <f>'Raw data'!P1119</f>
        <v>0</v>
      </c>
      <c r="F1210" s="29" t="e">
        <f>VLOOKUP(E1210,'점포코드 '!A:B,2,0)</f>
        <v>#N/A</v>
      </c>
      <c r="G1210" s="46">
        <f>'Raw data'!F1119</f>
        <v>0</v>
      </c>
      <c r="H1210" s="4">
        <f>'Raw data'!G1119</f>
        <v>0</v>
      </c>
      <c r="I1210" s="29" t="e">
        <f>VLOOKUP(G1210,제품명!$C$1:$E$114,2,0)</f>
        <v>#N/A</v>
      </c>
      <c r="J1210" s="29">
        <f>'Raw data'!K1119</f>
        <v>0</v>
      </c>
      <c r="K1210" s="31">
        <f>'Raw data'!H1119</f>
        <v>0</v>
      </c>
      <c r="L1210" s="26">
        <f t="shared" si="40"/>
        <v>0</v>
      </c>
    </row>
    <row r="1211" spans="2:12">
      <c r="B1211" s="4" t="e">
        <f t="shared" si="39"/>
        <v>#N/A</v>
      </c>
      <c r="C1211" s="4">
        <f>'Raw data'!E1120</f>
        <v>0</v>
      </c>
      <c r="D1211" s="29" t="e">
        <f>VLOOKUP(C1211,'점포코드 '!A:B,2,0)</f>
        <v>#N/A</v>
      </c>
      <c r="E1211" s="30">
        <f>'Raw data'!P1120</f>
        <v>0</v>
      </c>
      <c r="F1211" s="29" t="e">
        <f>VLOOKUP(E1211,'점포코드 '!A:B,2,0)</f>
        <v>#N/A</v>
      </c>
      <c r="G1211" s="46">
        <f>'Raw data'!F1120</f>
        <v>0</v>
      </c>
      <c r="H1211" s="4">
        <f>'Raw data'!G1120</f>
        <v>0</v>
      </c>
      <c r="I1211" s="29" t="e">
        <f>VLOOKUP(G1211,제품명!$C$1:$E$114,2,0)</f>
        <v>#N/A</v>
      </c>
      <c r="J1211" s="29">
        <f>'Raw data'!K1120</f>
        <v>0</v>
      </c>
      <c r="K1211" s="31">
        <f>'Raw data'!H1120</f>
        <v>0</v>
      </c>
      <c r="L1211" s="26">
        <f t="shared" si="40"/>
        <v>0</v>
      </c>
    </row>
    <row r="1212" spans="2:12">
      <c r="B1212" s="4" t="e">
        <f t="shared" si="39"/>
        <v>#N/A</v>
      </c>
      <c r="C1212" s="4">
        <f>'Raw data'!E1121</f>
        <v>0</v>
      </c>
      <c r="D1212" s="29" t="e">
        <f>VLOOKUP(C1212,'점포코드 '!A:B,2,0)</f>
        <v>#N/A</v>
      </c>
      <c r="E1212" s="30">
        <f>'Raw data'!P1121</f>
        <v>0</v>
      </c>
      <c r="F1212" s="29" t="e">
        <f>VLOOKUP(E1212,'점포코드 '!A:B,2,0)</f>
        <v>#N/A</v>
      </c>
      <c r="G1212" s="46">
        <f>'Raw data'!F1121</f>
        <v>0</v>
      </c>
      <c r="H1212" s="4">
        <f>'Raw data'!G1121</f>
        <v>0</v>
      </c>
      <c r="I1212" s="29" t="e">
        <f>VLOOKUP(G1212,제품명!$C$1:$E$114,2,0)</f>
        <v>#N/A</v>
      </c>
      <c r="J1212" s="29">
        <f>'Raw data'!K1121</f>
        <v>0</v>
      </c>
      <c r="K1212" s="31">
        <f>'Raw data'!H1121</f>
        <v>0</v>
      </c>
      <c r="L1212" s="26">
        <f t="shared" si="40"/>
        <v>0</v>
      </c>
    </row>
    <row r="1213" spans="2:12">
      <c r="B1213" s="4" t="e">
        <f t="shared" si="39"/>
        <v>#N/A</v>
      </c>
      <c r="C1213" s="4">
        <f>'Raw data'!E1122</f>
        <v>0</v>
      </c>
      <c r="D1213" s="29" t="e">
        <f>VLOOKUP(C1213,'점포코드 '!A:B,2,0)</f>
        <v>#N/A</v>
      </c>
      <c r="E1213" s="30">
        <f>'Raw data'!P1122</f>
        <v>0</v>
      </c>
      <c r="F1213" s="29" t="e">
        <f>VLOOKUP(E1213,'점포코드 '!A:B,2,0)</f>
        <v>#N/A</v>
      </c>
      <c r="G1213" s="46">
        <f>'Raw data'!F1122</f>
        <v>0</v>
      </c>
      <c r="H1213" s="4">
        <f>'Raw data'!G1122</f>
        <v>0</v>
      </c>
      <c r="I1213" s="29" t="e">
        <f>VLOOKUP(G1213,제품명!$C$1:$E$114,2,0)</f>
        <v>#N/A</v>
      </c>
      <c r="J1213" s="29">
        <f>'Raw data'!K1122</f>
        <v>0</v>
      </c>
      <c r="K1213" s="31">
        <f>'Raw data'!H1122</f>
        <v>0</v>
      </c>
      <c r="L1213" s="26">
        <f t="shared" si="40"/>
        <v>0</v>
      </c>
    </row>
    <row r="1214" spans="2:12">
      <c r="B1214" s="4" t="e">
        <f t="shared" si="39"/>
        <v>#N/A</v>
      </c>
      <c r="C1214" s="4">
        <f>'Raw data'!E1123</f>
        <v>0</v>
      </c>
      <c r="D1214" s="29" t="e">
        <f>VLOOKUP(C1214,'점포코드 '!A:B,2,0)</f>
        <v>#N/A</v>
      </c>
      <c r="E1214" s="30">
        <f>'Raw data'!P1123</f>
        <v>0</v>
      </c>
      <c r="F1214" s="29" t="e">
        <f>VLOOKUP(E1214,'점포코드 '!A:B,2,0)</f>
        <v>#N/A</v>
      </c>
      <c r="G1214" s="46">
        <f>'Raw data'!F1123</f>
        <v>0</v>
      </c>
      <c r="H1214" s="4">
        <f>'Raw data'!G1123</f>
        <v>0</v>
      </c>
      <c r="I1214" s="29" t="e">
        <f>VLOOKUP(G1214,제품명!$C$1:$E$114,2,0)</f>
        <v>#N/A</v>
      </c>
      <c r="J1214" s="29">
        <f>'Raw data'!K1123</f>
        <v>0</v>
      </c>
      <c r="K1214" s="31">
        <f>'Raw data'!H1123</f>
        <v>0</v>
      </c>
      <c r="L1214" s="26">
        <f t="shared" si="40"/>
        <v>0</v>
      </c>
    </row>
    <row r="1215" spans="2:12">
      <c r="B1215" s="4" t="e">
        <f t="shared" si="39"/>
        <v>#N/A</v>
      </c>
      <c r="C1215" s="4">
        <f>'Raw data'!E1124</f>
        <v>0</v>
      </c>
      <c r="D1215" s="29" t="e">
        <f>VLOOKUP(C1215,'점포코드 '!A:B,2,0)</f>
        <v>#N/A</v>
      </c>
      <c r="E1215" s="30">
        <f>'Raw data'!P1124</f>
        <v>0</v>
      </c>
      <c r="F1215" s="29" t="e">
        <f>VLOOKUP(E1215,'점포코드 '!A:B,2,0)</f>
        <v>#N/A</v>
      </c>
      <c r="G1215" s="46">
        <f>'Raw data'!F1124</f>
        <v>0</v>
      </c>
      <c r="H1215" s="4">
        <f>'Raw data'!G1124</f>
        <v>0</v>
      </c>
      <c r="I1215" s="29" t="e">
        <f>VLOOKUP(G1215,제품명!$C$1:$E$114,2,0)</f>
        <v>#N/A</v>
      </c>
      <c r="J1215" s="29">
        <f>'Raw data'!K1124</f>
        <v>0</v>
      </c>
      <c r="K1215" s="31">
        <f>'Raw data'!H1124</f>
        <v>0</v>
      </c>
      <c r="L1215" s="26">
        <f t="shared" si="40"/>
        <v>0</v>
      </c>
    </row>
    <row r="1216" spans="2:12">
      <c r="B1216" s="4" t="e">
        <f t="shared" si="39"/>
        <v>#N/A</v>
      </c>
      <c r="C1216" s="4">
        <f>'Raw data'!E1125</f>
        <v>0</v>
      </c>
      <c r="D1216" s="29" t="e">
        <f>VLOOKUP(C1216,'점포코드 '!A:B,2,0)</f>
        <v>#N/A</v>
      </c>
      <c r="E1216" s="30">
        <f>'Raw data'!P1125</f>
        <v>0</v>
      </c>
      <c r="F1216" s="29" t="e">
        <f>VLOOKUP(E1216,'점포코드 '!A:B,2,0)</f>
        <v>#N/A</v>
      </c>
      <c r="G1216" s="46">
        <f>'Raw data'!F1125</f>
        <v>0</v>
      </c>
      <c r="H1216" s="4">
        <f>'Raw data'!G1125</f>
        <v>0</v>
      </c>
      <c r="I1216" s="29" t="e">
        <f>VLOOKUP(G1216,제품명!$C$1:$E$114,2,0)</f>
        <v>#N/A</v>
      </c>
      <c r="J1216" s="29">
        <f>'Raw data'!K1125</f>
        <v>0</v>
      </c>
      <c r="K1216" s="31">
        <f>'Raw data'!H1125</f>
        <v>0</v>
      </c>
      <c r="L1216" s="26">
        <f t="shared" si="40"/>
        <v>0</v>
      </c>
    </row>
    <row r="1217" spans="2:12">
      <c r="B1217" s="4" t="e">
        <f t="shared" si="39"/>
        <v>#N/A</v>
      </c>
      <c r="C1217" s="4">
        <f>'Raw data'!E1126</f>
        <v>0</v>
      </c>
      <c r="D1217" s="29" t="e">
        <f>VLOOKUP(C1217,'점포코드 '!A:B,2,0)</f>
        <v>#N/A</v>
      </c>
      <c r="E1217" s="30">
        <f>'Raw data'!P1126</f>
        <v>0</v>
      </c>
      <c r="F1217" s="29" t="e">
        <f>VLOOKUP(E1217,'점포코드 '!A:B,2,0)</f>
        <v>#N/A</v>
      </c>
      <c r="G1217" s="46">
        <f>'Raw data'!F1126</f>
        <v>0</v>
      </c>
      <c r="H1217" s="4">
        <f>'Raw data'!G1126</f>
        <v>0</v>
      </c>
      <c r="I1217" s="29" t="e">
        <f>VLOOKUP(G1217,제품명!$C$1:$E$114,2,0)</f>
        <v>#N/A</v>
      </c>
      <c r="J1217" s="29">
        <f>'Raw data'!K1126</f>
        <v>0</v>
      </c>
      <c r="K1217" s="31">
        <f>'Raw data'!H1126</f>
        <v>0</v>
      </c>
      <c r="L1217" s="26">
        <f t="shared" si="40"/>
        <v>0</v>
      </c>
    </row>
    <row r="1218" spans="2:12">
      <c r="B1218" s="4" t="e">
        <f t="shared" ref="B1218:B1281" si="41">F1218&amp;I1218</f>
        <v>#N/A</v>
      </c>
      <c r="C1218" s="4">
        <f>'Raw data'!E1127</f>
        <v>0</v>
      </c>
      <c r="D1218" s="29" t="e">
        <f>VLOOKUP(C1218,'점포코드 '!A:B,2,0)</f>
        <v>#N/A</v>
      </c>
      <c r="E1218" s="30">
        <f>'Raw data'!P1127</f>
        <v>0</v>
      </c>
      <c r="F1218" s="29" t="e">
        <f>VLOOKUP(E1218,'점포코드 '!A:B,2,0)</f>
        <v>#N/A</v>
      </c>
      <c r="G1218" s="46">
        <f>'Raw data'!F1127</f>
        <v>0</v>
      </c>
      <c r="H1218" s="4">
        <f>'Raw data'!G1127</f>
        <v>0</v>
      </c>
      <c r="I1218" s="29" t="e">
        <f>VLOOKUP(G1218,제품명!$C$1:$E$114,2,0)</f>
        <v>#N/A</v>
      </c>
      <c r="J1218" s="29">
        <f>'Raw data'!K1127</f>
        <v>0</v>
      </c>
      <c r="K1218" s="31">
        <f>'Raw data'!H1127</f>
        <v>0</v>
      </c>
      <c r="L1218" s="26">
        <f t="shared" si="40"/>
        <v>0</v>
      </c>
    </row>
    <row r="1219" spans="2:12">
      <c r="B1219" s="4" t="e">
        <f t="shared" si="41"/>
        <v>#N/A</v>
      </c>
      <c r="C1219" s="4">
        <f>'Raw data'!E1128</f>
        <v>0</v>
      </c>
      <c r="D1219" s="29" t="e">
        <f>VLOOKUP(C1219,'점포코드 '!A:B,2,0)</f>
        <v>#N/A</v>
      </c>
      <c r="E1219" s="30">
        <f>'Raw data'!P1128</f>
        <v>0</v>
      </c>
      <c r="F1219" s="29" t="e">
        <f>VLOOKUP(E1219,'점포코드 '!A:B,2,0)</f>
        <v>#N/A</v>
      </c>
      <c r="G1219" s="46">
        <f>'Raw data'!F1128</f>
        <v>0</v>
      </c>
      <c r="H1219" s="4">
        <f>'Raw data'!G1128</f>
        <v>0</v>
      </c>
      <c r="I1219" s="29" t="e">
        <f>VLOOKUP(G1219,제품명!$C$1:$E$114,2,0)</f>
        <v>#N/A</v>
      </c>
      <c r="J1219" s="29">
        <f>'Raw data'!K1128</f>
        <v>0</v>
      </c>
      <c r="K1219" s="31">
        <f>'Raw data'!H1128</f>
        <v>0</v>
      </c>
      <c r="L1219" s="26">
        <f t="shared" ref="L1219:L1282" si="42">J1219*K1219</f>
        <v>0</v>
      </c>
    </row>
    <row r="1220" spans="2:12">
      <c r="B1220" s="4" t="e">
        <f t="shared" si="41"/>
        <v>#N/A</v>
      </c>
      <c r="C1220" s="4">
        <f>'Raw data'!E1129</f>
        <v>0</v>
      </c>
      <c r="D1220" s="29" t="e">
        <f>VLOOKUP(C1220,'점포코드 '!A:B,2,0)</f>
        <v>#N/A</v>
      </c>
      <c r="E1220" s="30">
        <f>'Raw data'!P1129</f>
        <v>0</v>
      </c>
      <c r="F1220" s="29" t="e">
        <f>VLOOKUP(E1220,'점포코드 '!A:B,2,0)</f>
        <v>#N/A</v>
      </c>
      <c r="G1220" s="46">
        <f>'Raw data'!F1129</f>
        <v>0</v>
      </c>
      <c r="H1220" s="4">
        <f>'Raw data'!G1129</f>
        <v>0</v>
      </c>
      <c r="I1220" s="29" t="e">
        <f>VLOOKUP(G1220,제품명!$C$1:$E$114,2,0)</f>
        <v>#N/A</v>
      </c>
      <c r="J1220" s="29">
        <f>'Raw data'!K1129</f>
        <v>0</v>
      </c>
      <c r="K1220" s="31">
        <f>'Raw data'!H1129</f>
        <v>0</v>
      </c>
      <c r="L1220" s="26">
        <f t="shared" si="42"/>
        <v>0</v>
      </c>
    </row>
    <row r="1221" spans="2:12">
      <c r="B1221" s="4" t="e">
        <f t="shared" si="41"/>
        <v>#N/A</v>
      </c>
      <c r="C1221" s="4">
        <f>'Raw data'!E1130</f>
        <v>0</v>
      </c>
      <c r="D1221" s="29" t="e">
        <f>VLOOKUP(C1221,'점포코드 '!A:B,2,0)</f>
        <v>#N/A</v>
      </c>
      <c r="E1221" s="30">
        <f>'Raw data'!P1130</f>
        <v>0</v>
      </c>
      <c r="F1221" s="29" t="e">
        <f>VLOOKUP(E1221,'점포코드 '!A:B,2,0)</f>
        <v>#N/A</v>
      </c>
      <c r="G1221" s="46">
        <f>'Raw data'!F1130</f>
        <v>0</v>
      </c>
      <c r="H1221" s="4">
        <f>'Raw data'!G1130</f>
        <v>0</v>
      </c>
      <c r="I1221" s="29" t="e">
        <f>VLOOKUP(G1221,제품명!$C$1:$E$114,2,0)</f>
        <v>#N/A</v>
      </c>
      <c r="J1221" s="29">
        <f>'Raw data'!K1130</f>
        <v>0</v>
      </c>
      <c r="K1221" s="31">
        <f>'Raw data'!H1130</f>
        <v>0</v>
      </c>
      <c r="L1221" s="26">
        <f t="shared" si="42"/>
        <v>0</v>
      </c>
    </row>
    <row r="1222" spans="2:12">
      <c r="B1222" s="4" t="e">
        <f t="shared" si="41"/>
        <v>#N/A</v>
      </c>
      <c r="C1222" s="4">
        <f>'Raw data'!E1131</f>
        <v>0</v>
      </c>
      <c r="D1222" s="29" t="e">
        <f>VLOOKUP(C1222,'점포코드 '!A:B,2,0)</f>
        <v>#N/A</v>
      </c>
      <c r="E1222" s="30">
        <f>'Raw data'!P1131</f>
        <v>0</v>
      </c>
      <c r="F1222" s="29" t="e">
        <f>VLOOKUP(E1222,'점포코드 '!A:B,2,0)</f>
        <v>#N/A</v>
      </c>
      <c r="G1222" s="46">
        <f>'Raw data'!F1131</f>
        <v>0</v>
      </c>
      <c r="H1222" s="4">
        <f>'Raw data'!G1131</f>
        <v>0</v>
      </c>
      <c r="I1222" s="29" t="e">
        <f>VLOOKUP(G1222,제품명!$C$1:$E$114,2,0)</f>
        <v>#N/A</v>
      </c>
      <c r="J1222" s="29">
        <f>'Raw data'!K1131</f>
        <v>0</v>
      </c>
      <c r="K1222" s="31">
        <f>'Raw data'!H1131</f>
        <v>0</v>
      </c>
      <c r="L1222" s="26">
        <f t="shared" si="42"/>
        <v>0</v>
      </c>
    </row>
    <row r="1223" spans="2:12">
      <c r="B1223" s="4" t="e">
        <f t="shared" si="41"/>
        <v>#N/A</v>
      </c>
      <c r="C1223" s="4">
        <f>'Raw data'!E1132</f>
        <v>0</v>
      </c>
      <c r="D1223" s="29" t="e">
        <f>VLOOKUP(C1223,'점포코드 '!A:B,2,0)</f>
        <v>#N/A</v>
      </c>
      <c r="E1223" s="30">
        <f>'Raw data'!P1132</f>
        <v>0</v>
      </c>
      <c r="F1223" s="29" t="e">
        <f>VLOOKUP(E1223,'점포코드 '!A:B,2,0)</f>
        <v>#N/A</v>
      </c>
      <c r="G1223" s="46">
        <f>'Raw data'!F1132</f>
        <v>0</v>
      </c>
      <c r="H1223" s="4">
        <f>'Raw data'!G1132</f>
        <v>0</v>
      </c>
      <c r="I1223" s="29" t="e">
        <f>VLOOKUP(G1223,제품명!$C$1:$E$114,2,0)</f>
        <v>#N/A</v>
      </c>
      <c r="J1223" s="29">
        <f>'Raw data'!K1132</f>
        <v>0</v>
      </c>
      <c r="K1223" s="31">
        <f>'Raw data'!H1132</f>
        <v>0</v>
      </c>
      <c r="L1223" s="26">
        <f t="shared" si="42"/>
        <v>0</v>
      </c>
    </row>
    <row r="1224" spans="2:12">
      <c r="B1224" s="4" t="e">
        <f t="shared" si="41"/>
        <v>#N/A</v>
      </c>
      <c r="C1224" s="4">
        <f>'Raw data'!E1133</f>
        <v>0</v>
      </c>
      <c r="D1224" s="29" t="e">
        <f>VLOOKUP(C1224,'점포코드 '!A:B,2,0)</f>
        <v>#N/A</v>
      </c>
      <c r="E1224" s="30">
        <f>'Raw data'!P1133</f>
        <v>0</v>
      </c>
      <c r="F1224" s="29" t="e">
        <f>VLOOKUP(E1224,'점포코드 '!A:B,2,0)</f>
        <v>#N/A</v>
      </c>
      <c r="G1224" s="46">
        <f>'Raw data'!F1133</f>
        <v>0</v>
      </c>
      <c r="H1224" s="4">
        <f>'Raw data'!G1133</f>
        <v>0</v>
      </c>
      <c r="I1224" s="29" t="e">
        <f>VLOOKUP(G1224,제품명!$C$1:$E$114,2,0)</f>
        <v>#N/A</v>
      </c>
      <c r="J1224" s="29">
        <f>'Raw data'!K1133</f>
        <v>0</v>
      </c>
      <c r="K1224" s="31">
        <f>'Raw data'!H1133</f>
        <v>0</v>
      </c>
      <c r="L1224" s="26">
        <f t="shared" si="42"/>
        <v>0</v>
      </c>
    </row>
    <row r="1225" spans="2:12">
      <c r="B1225" s="4" t="e">
        <f t="shared" si="41"/>
        <v>#N/A</v>
      </c>
      <c r="C1225" s="4">
        <f>'Raw data'!E1134</f>
        <v>0</v>
      </c>
      <c r="D1225" s="29" t="e">
        <f>VLOOKUP(C1225,'점포코드 '!A:B,2,0)</f>
        <v>#N/A</v>
      </c>
      <c r="E1225" s="30">
        <f>'Raw data'!P1134</f>
        <v>0</v>
      </c>
      <c r="F1225" s="29" t="e">
        <f>VLOOKUP(E1225,'점포코드 '!A:B,2,0)</f>
        <v>#N/A</v>
      </c>
      <c r="G1225" s="46">
        <f>'Raw data'!F1134</f>
        <v>0</v>
      </c>
      <c r="H1225" s="4">
        <f>'Raw data'!G1134</f>
        <v>0</v>
      </c>
      <c r="I1225" s="29" t="e">
        <f>VLOOKUP(G1225,제품명!$C$1:$E$114,2,0)</f>
        <v>#N/A</v>
      </c>
      <c r="J1225" s="29">
        <f>'Raw data'!K1134</f>
        <v>0</v>
      </c>
      <c r="K1225" s="31">
        <f>'Raw data'!H1134</f>
        <v>0</v>
      </c>
      <c r="L1225" s="26">
        <f t="shared" si="42"/>
        <v>0</v>
      </c>
    </row>
    <row r="1226" spans="2:12">
      <c r="B1226" s="4" t="e">
        <f t="shared" si="41"/>
        <v>#N/A</v>
      </c>
      <c r="C1226" s="4">
        <f>'Raw data'!E1135</f>
        <v>0</v>
      </c>
      <c r="D1226" s="29" t="e">
        <f>VLOOKUP(C1226,'점포코드 '!A:B,2,0)</f>
        <v>#N/A</v>
      </c>
      <c r="E1226" s="30">
        <f>'Raw data'!P1135</f>
        <v>0</v>
      </c>
      <c r="F1226" s="29" t="e">
        <f>VLOOKUP(E1226,'점포코드 '!A:B,2,0)</f>
        <v>#N/A</v>
      </c>
      <c r="G1226" s="46">
        <f>'Raw data'!F1135</f>
        <v>0</v>
      </c>
      <c r="H1226" s="4">
        <f>'Raw data'!G1135</f>
        <v>0</v>
      </c>
      <c r="I1226" s="29" t="e">
        <f>VLOOKUP(G1226,제품명!$C$1:$E$114,2,0)</f>
        <v>#N/A</v>
      </c>
      <c r="J1226" s="29">
        <f>'Raw data'!K1135</f>
        <v>0</v>
      </c>
      <c r="K1226" s="31">
        <f>'Raw data'!H1135</f>
        <v>0</v>
      </c>
      <c r="L1226" s="26">
        <f t="shared" si="42"/>
        <v>0</v>
      </c>
    </row>
    <row r="1227" spans="2:12">
      <c r="B1227" s="4" t="e">
        <f t="shared" si="41"/>
        <v>#N/A</v>
      </c>
      <c r="C1227" s="4">
        <f>'Raw data'!E1136</f>
        <v>0</v>
      </c>
      <c r="D1227" s="29" t="e">
        <f>VLOOKUP(C1227,'점포코드 '!A:B,2,0)</f>
        <v>#N/A</v>
      </c>
      <c r="E1227" s="30">
        <f>'Raw data'!P1136</f>
        <v>0</v>
      </c>
      <c r="F1227" s="29" t="e">
        <f>VLOOKUP(E1227,'점포코드 '!A:B,2,0)</f>
        <v>#N/A</v>
      </c>
      <c r="G1227" s="46">
        <f>'Raw data'!F1136</f>
        <v>0</v>
      </c>
      <c r="H1227" s="4">
        <f>'Raw data'!G1136</f>
        <v>0</v>
      </c>
      <c r="I1227" s="29" t="e">
        <f>VLOOKUP(G1227,제품명!$C$1:$E$114,2,0)</f>
        <v>#N/A</v>
      </c>
      <c r="J1227" s="29">
        <f>'Raw data'!K1136</f>
        <v>0</v>
      </c>
      <c r="K1227" s="31">
        <f>'Raw data'!H1136</f>
        <v>0</v>
      </c>
      <c r="L1227" s="26">
        <f t="shared" si="42"/>
        <v>0</v>
      </c>
    </row>
    <row r="1228" spans="2:12">
      <c r="B1228" s="4" t="e">
        <f t="shared" si="41"/>
        <v>#N/A</v>
      </c>
      <c r="C1228" s="4">
        <f>'Raw data'!E1137</f>
        <v>0</v>
      </c>
      <c r="D1228" s="29" t="e">
        <f>VLOOKUP(C1228,'점포코드 '!A:B,2,0)</f>
        <v>#N/A</v>
      </c>
      <c r="E1228" s="30">
        <f>'Raw data'!P1137</f>
        <v>0</v>
      </c>
      <c r="F1228" s="29" t="e">
        <f>VLOOKUP(E1228,'점포코드 '!A:B,2,0)</f>
        <v>#N/A</v>
      </c>
      <c r="G1228" s="46">
        <f>'Raw data'!F1137</f>
        <v>0</v>
      </c>
      <c r="H1228" s="4">
        <f>'Raw data'!G1137</f>
        <v>0</v>
      </c>
      <c r="I1228" s="29" t="e">
        <f>VLOOKUP(G1228,제품명!$C$1:$E$114,2,0)</f>
        <v>#N/A</v>
      </c>
      <c r="J1228" s="29">
        <f>'Raw data'!K1137</f>
        <v>0</v>
      </c>
      <c r="K1228" s="31">
        <f>'Raw data'!H1137</f>
        <v>0</v>
      </c>
      <c r="L1228" s="26">
        <f t="shared" si="42"/>
        <v>0</v>
      </c>
    </row>
    <row r="1229" spans="2:12">
      <c r="B1229" s="4" t="e">
        <f t="shared" si="41"/>
        <v>#N/A</v>
      </c>
      <c r="C1229" s="4">
        <f>'Raw data'!E1138</f>
        <v>0</v>
      </c>
      <c r="D1229" s="29" t="e">
        <f>VLOOKUP(C1229,'점포코드 '!A:B,2,0)</f>
        <v>#N/A</v>
      </c>
      <c r="E1229" s="30">
        <f>'Raw data'!P1138</f>
        <v>0</v>
      </c>
      <c r="F1229" s="29" t="e">
        <f>VLOOKUP(E1229,'점포코드 '!A:B,2,0)</f>
        <v>#N/A</v>
      </c>
      <c r="G1229" s="46">
        <f>'Raw data'!F1138</f>
        <v>0</v>
      </c>
      <c r="H1229" s="4">
        <f>'Raw data'!G1138</f>
        <v>0</v>
      </c>
      <c r="I1229" s="29" t="e">
        <f>VLOOKUP(G1229,제품명!$C$1:$E$114,2,0)</f>
        <v>#N/A</v>
      </c>
      <c r="J1229" s="29">
        <f>'Raw data'!K1138</f>
        <v>0</v>
      </c>
      <c r="K1229" s="31">
        <f>'Raw data'!H1138</f>
        <v>0</v>
      </c>
      <c r="L1229" s="26">
        <f t="shared" si="42"/>
        <v>0</v>
      </c>
    </row>
    <row r="1230" spans="2:12">
      <c r="B1230" s="4" t="e">
        <f t="shared" si="41"/>
        <v>#N/A</v>
      </c>
      <c r="C1230" s="4">
        <f>'Raw data'!E1139</f>
        <v>0</v>
      </c>
      <c r="D1230" s="29" t="e">
        <f>VLOOKUP(C1230,'점포코드 '!A:B,2,0)</f>
        <v>#N/A</v>
      </c>
      <c r="E1230" s="30">
        <f>'Raw data'!P1139</f>
        <v>0</v>
      </c>
      <c r="F1230" s="29" t="e">
        <f>VLOOKUP(E1230,'점포코드 '!A:B,2,0)</f>
        <v>#N/A</v>
      </c>
      <c r="G1230" s="46">
        <f>'Raw data'!F1139</f>
        <v>0</v>
      </c>
      <c r="H1230" s="4">
        <f>'Raw data'!G1139</f>
        <v>0</v>
      </c>
      <c r="I1230" s="29" t="e">
        <f>VLOOKUP(G1230,제품명!$C$1:$E$114,2,0)</f>
        <v>#N/A</v>
      </c>
      <c r="J1230" s="29">
        <f>'Raw data'!K1139</f>
        <v>0</v>
      </c>
      <c r="K1230" s="31">
        <f>'Raw data'!H1139</f>
        <v>0</v>
      </c>
      <c r="L1230" s="26">
        <f t="shared" si="42"/>
        <v>0</v>
      </c>
    </row>
    <row r="1231" spans="2:12">
      <c r="B1231" s="4" t="e">
        <f t="shared" si="41"/>
        <v>#N/A</v>
      </c>
      <c r="C1231" s="4">
        <f>'Raw data'!E1140</f>
        <v>0</v>
      </c>
      <c r="D1231" s="29" t="e">
        <f>VLOOKUP(C1231,'점포코드 '!A:B,2,0)</f>
        <v>#N/A</v>
      </c>
      <c r="E1231" s="30">
        <f>'Raw data'!P1140</f>
        <v>0</v>
      </c>
      <c r="F1231" s="29" t="e">
        <f>VLOOKUP(E1231,'점포코드 '!A:B,2,0)</f>
        <v>#N/A</v>
      </c>
      <c r="G1231" s="46">
        <f>'Raw data'!F1140</f>
        <v>0</v>
      </c>
      <c r="H1231" s="4">
        <f>'Raw data'!G1140</f>
        <v>0</v>
      </c>
      <c r="I1231" s="29" t="e">
        <f>VLOOKUP(G1231,제품명!$C$1:$E$114,2,0)</f>
        <v>#N/A</v>
      </c>
      <c r="J1231" s="29">
        <f>'Raw data'!K1140</f>
        <v>0</v>
      </c>
      <c r="K1231" s="31">
        <f>'Raw data'!H1140</f>
        <v>0</v>
      </c>
      <c r="L1231" s="26">
        <f t="shared" si="42"/>
        <v>0</v>
      </c>
    </row>
    <row r="1232" spans="2:12">
      <c r="B1232" s="4" t="e">
        <f t="shared" si="41"/>
        <v>#N/A</v>
      </c>
      <c r="C1232" s="4">
        <f>'Raw data'!E1141</f>
        <v>0</v>
      </c>
      <c r="D1232" s="29" t="e">
        <f>VLOOKUP(C1232,'점포코드 '!A:B,2,0)</f>
        <v>#N/A</v>
      </c>
      <c r="E1232" s="30">
        <f>'Raw data'!P1141</f>
        <v>0</v>
      </c>
      <c r="F1232" s="29" t="e">
        <f>VLOOKUP(E1232,'점포코드 '!A:B,2,0)</f>
        <v>#N/A</v>
      </c>
      <c r="G1232" s="46">
        <f>'Raw data'!F1141</f>
        <v>0</v>
      </c>
      <c r="H1232" s="4">
        <f>'Raw data'!G1141</f>
        <v>0</v>
      </c>
      <c r="I1232" s="29" t="e">
        <f>VLOOKUP(G1232,제품명!$C$1:$E$114,2,0)</f>
        <v>#N/A</v>
      </c>
      <c r="J1232" s="29">
        <f>'Raw data'!K1141</f>
        <v>0</v>
      </c>
      <c r="K1232" s="31">
        <f>'Raw data'!H1141</f>
        <v>0</v>
      </c>
      <c r="L1232" s="26">
        <f t="shared" si="42"/>
        <v>0</v>
      </c>
    </row>
    <row r="1233" spans="2:12">
      <c r="B1233" s="4" t="e">
        <f t="shared" si="41"/>
        <v>#N/A</v>
      </c>
      <c r="C1233" s="4">
        <f>'Raw data'!E1142</f>
        <v>0</v>
      </c>
      <c r="D1233" s="29" t="e">
        <f>VLOOKUP(C1233,'점포코드 '!A:B,2,0)</f>
        <v>#N/A</v>
      </c>
      <c r="E1233" s="30">
        <f>'Raw data'!P1142</f>
        <v>0</v>
      </c>
      <c r="F1233" s="29" t="e">
        <f>VLOOKUP(E1233,'점포코드 '!A:B,2,0)</f>
        <v>#N/A</v>
      </c>
      <c r="G1233" s="46">
        <f>'Raw data'!F1142</f>
        <v>0</v>
      </c>
      <c r="H1233" s="4">
        <f>'Raw data'!G1142</f>
        <v>0</v>
      </c>
      <c r="I1233" s="29" t="e">
        <f>VLOOKUP(G1233,제품명!$C$1:$E$114,2,0)</f>
        <v>#N/A</v>
      </c>
      <c r="J1233" s="29">
        <f>'Raw data'!K1142</f>
        <v>0</v>
      </c>
      <c r="K1233" s="31">
        <f>'Raw data'!H1142</f>
        <v>0</v>
      </c>
      <c r="L1233" s="26">
        <f t="shared" si="42"/>
        <v>0</v>
      </c>
    </row>
    <row r="1234" spans="2:12">
      <c r="B1234" s="4" t="e">
        <f t="shared" si="41"/>
        <v>#N/A</v>
      </c>
      <c r="C1234" s="4">
        <f>'Raw data'!E1143</f>
        <v>0</v>
      </c>
      <c r="D1234" s="29" t="e">
        <f>VLOOKUP(C1234,'점포코드 '!A:B,2,0)</f>
        <v>#N/A</v>
      </c>
      <c r="E1234" s="30">
        <f>'Raw data'!P1143</f>
        <v>0</v>
      </c>
      <c r="F1234" s="29" t="e">
        <f>VLOOKUP(E1234,'점포코드 '!A:B,2,0)</f>
        <v>#N/A</v>
      </c>
      <c r="G1234" s="46">
        <f>'Raw data'!F1143</f>
        <v>0</v>
      </c>
      <c r="H1234" s="4">
        <f>'Raw data'!G1143</f>
        <v>0</v>
      </c>
      <c r="I1234" s="29" t="e">
        <f>VLOOKUP(G1234,제품명!$C$1:$E$114,2,0)</f>
        <v>#N/A</v>
      </c>
      <c r="J1234" s="29">
        <f>'Raw data'!K1143</f>
        <v>0</v>
      </c>
      <c r="K1234" s="31">
        <f>'Raw data'!H1143</f>
        <v>0</v>
      </c>
      <c r="L1234" s="26">
        <f t="shared" si="42"/>
        <v>0</v>
      </c>
    </row>
    <row r="1235" spans="2:12">
      <c r="B1235" s="4" t="e">
        <f t="shared" si="41"/>
        <v>#N/A</v>
      </c>
      <c r="C1235" s="4">
        <f>'Raw data'!E1144</f>
        <v>0</v>
      </c>
      <c r="D1235" s="29" t="e">
        <f>VLOOKUP(C1235,'점포코드 '!A:B,2,0)</f>
        <v>#N/A</v>
      </c>
      <c r="E1235" s="30">
        <f>'Raw data'!P1144</f>
        <v>0</v>
      </c>
      <c r="F1235" s="29" t="e">
        <f>VLOOKUP(E1235,'점포코드 '!A:B,2,0)</f>
        <v>#N/A</v>
      </c>
      <c r="G1235" s="46">
        <f>'Raw data'!F1144</f>
        <v>0</v>
      </c>
      <c r="H1235" s="4">
        <f>'Raw data'!G1144</f>
        <v>0</v>
      </c>
      <c r="I1235" s="29" t="e">
        <f>VLOOKUP(G1235,제품명!$C$1:$E$114,2,0)</f>
        <v>#N/A</v>
      </c>
      <c r="J1235" s="29">
        <f>'Raw data'!K1144</f>
        <v>0</v>
      </c>
      <c r="K1235" s="31">
        <f>'Raw data'!H1144</f>
        <v>0</v>
      </c>
      <c r="L1235" s="26">
        <f t="shared" si="42"/>
        <v>0</v>
      </c>
    </row>
    <row r="1236" spans="2:12">
      <c r="B1236" s="4" t="e">
        <f t="shared" si="41"/>
        <v>#N/A</v>
      </c>
      <c r="C1236" s="4">
        <f>'Raw data'!E1145</f>
        <v>0</v>
      </c>
      <c r="D1236" s="29" t="e">
        <f>VLOOKUP(C1236,'점포코드 '!A:B,2,0)</f>
        <v>#N/A</v>
      </c>
      <c r="E1236" s="30">
        <f>'Raw data'!P1145</f>
        <v>0</v>
      </c>
      <c r="F1236" s="29" t="e">
        <f>VLOOKUP(E1236,'점포코드 '!A:B,2,0)</f>
        <v>#N/A</v>
      </c>
      <c r="G1236" s="46">
        <f>'Raw data'!F1145</f>
        <v>0</v>
      </c>
      <c r="H1236" s="4">
        <f>'Raw data'!G1145</f>
        <v>0</v>
      </c>
      <c r="I1236" s="29" t="e">
        <f>VLOOKUP(G1236,제품명!$C$1:$E$114,2,0)</f>
        <v>#N/A</v>
      </c>
      <c r="J1236" s="29">
        <f>'Raw data'!K1145</f>
        <v>0</v>
      </c>
      <c r="K1236" s="31">
        <f>'Raw data'!H1145</f>
        <v>0</v>
      </c>
      <c r="L1236" s="26">
        <f t="shared" si="42"/>
        <v>0</v>
      </c>
    </row>
    <row r="1237" spans="2:12">
      <c r="B1237" s="4" t="e">
        <f t="shared" si="41"/>
        <v>#N/A</v>
      </c>
      <c r="C1237" s="4">
        <f>'Raw data'!E1146</f>
        <v>0</v>
      </c>
      <c r="D1237" s="29" t="e">
        <f>VLOOKUP(C1237,'점포코드 '!A:B,2,0)</f>
        <v>#N/A</v>
      </c>
      <c r="E1237" s="30">
        <f>'Raw data'!P1146</f>
        <v>0</v>
      </c>
      <c r="F1237" s="29" t="e">
        <f>VLOOKUP(E1237,'점포코드 '!A:B,2,0)</f>
        <v>#N/A</v>
      </c>
      <c r="G1237" s="46">
        <f>'Raw data'!F1146</f>
        <v>0</v>
      </c>
      <c r="H1237" s="4">
        <f>'Raw data'!G1146</f>
        <v>0</v>
      </c>
      <c r="I1237" s="29" t="e">
        <f>VLOOKUP(G1237,제품명!$C$1:$E$114,2,0)</f>
        <v>#N/A</v>
      </c>
      <c r="J1237" s="29">
        <f>'Raw data'!K1146</f>
        <v>0</v>
      </c>
      <c r="K1237" s="31">
        <f>'Raw data'!H1146</f>
        <v>0</v>
      </c>
      <c r="L1237" s="26">
        <f t="shared" si="42"/>
        <v>0</v>
      </c>
    </row>
    <row r="1238" spans="2:12">
      <c r="B1238" s="4" t="e">
        <f t="shared" si="41"/>
        <v>#N/A</v>
      </c>
      <c r="C1238" s="4">
        <f>'Raw data'!E1147</f>
        <v>0</v>
      </c>
      <c r="D1238" s="29" t="e">
        <f>VLOOKUP(C1238,'점포코드 '!A:B,2,0)</f>
        <v>#N/A</v>
      </c>
      <c r="E1238" s="30">
        <f>'Raw data'!P1147</f>
        <v>0</v>
      </c>
      <c r="F1238" s="29" t="e">
        <f>VLOOKUP(E1238,'점포코드 '!A:B,2,0)</f>
        <v>#N/A</v>
      </c>
      <c r="G1238" s="46">
        <f>'Raw data'!F1147</f>
        <v>0</v>
      </c>
      <c r="H1238" s="4">
        <f>'Raw data'!G1147</f>
        <v>0</v>
      </c>
      <c r="I1238" s="29" t="e">
        <f>VLOOKUP(G1238,제품명!$C$1:$E$114,2,0)</f>
        <v>#N/A</v>
      </c>
      <c r="J1238" s="29">
        <f>'Raw data'!K1147</f>
        <v>0</v>
      </c>
      <c r="K1238" s="31">
        <f>'Raw data'!H1147</f>
        <v>0</v>
      </c>
      <c r="L1238" s="26">
        <f t="shared" si="42"/>
        <v>0</v>
      </c>
    </row>
    <row r="1239" spans="2:12">
      <c r="B1239" s="4" t="e">
        <f t="shared" si="41"/>
        <v>#N/A</v>
      </c>
      <c r="C1239" s="4">
        <f>'Raw data'!E1148</f>
        <v>0</v>
      </c>
      <c r="D1239" s="29" t="e">
        <f>VLOOKUP(C1239,'점포코드 '!A:B,2,0)</f>
        <v>#N/A</v>
      </c>
      <c r="E1239" s="30">
        <f>'Raw data'!P1148</f>
        <v>0</v>
      </c>
      <c r="F1239" s="29" t="e">
        <f>VLOOKUP(E1239,'점포코드 '!A:B,2,0)</f>
        <v>#N/A</v>
      </c>
      <c r="G1239" s="46">
        <f>'Raw data'!F1148</f>
        <v>0</v>
      </c>
      <c r="H1239" s="4">
        <f>'Raw data'!G1148</f>
        <v>0</v>
      </c>
      <c r="I1239" s="29" t="e">
        <f>VLOOKUP(G1239,제품명!$C$1:$E$114,2,0)</f>
        <v>#N/A</v>
      </c>
      <c r="J1239" s="29">
        <f>'Raw data'!K1148</f>
        <v>0</v>
      </c>
      <c r="K1239" s="31">
        <f>'Raw data'!H1148</f>
        <v>0</v>
      </c>
      <c r="L1239" s="26">
        <f t="shared" si="42"/>
        <v>0</v>
      </c>
    </row>
    <row r="1240" spans="2:12">
      <c r="B1240" s="4" t="e">
        <f t="shared" si="41"/>
        <v>#N/A</v>
      </c>
      <c r="C1240" s="4">
        <f>'Raw data'!E1149</f>
        <v>0</v>
      </c>
      <c r="D1240" s="29" t="e">
        <f>VLOOKUP(C1240,'점포코드 '!A:B,2,0)</f>
        <v>#N/A</v>
      </c>
      <c r="E1240" s="30">
        <f>'Raw data'!P1149</f>
        <v>0</v>
      </c>
      <c r="F1240" s="29" t="e">
        <f>VLOOKUP(E1240,'점포코드 '!A:B,2,0)</f>
        <v>#N/A</v>
      </c>
      <c r="G1240" s="46">
        <f>'Raw data'!F1149</f>
        <v>0</v>
      </c>
      <c r="H1240" s="4">
        <f>'Raw data'!G1149</f>
        <v>0</v>
      </c>
      <c r="I1240" s="29" t="e">
        <f>VLOOKUP(G1240,제품명!$C$1:$E$114,2,0)</f>
        <v>#N/A</v>
      </c>
      <c r="J1240" s="29">
        <f>'Raw data'!K1149</f>
        <v>0</v>
      </c>
      <c r="K1240" s="31">
        <f>'Raw data'!H1149</f>
        <v>0</v>
      </c>
      <c r="L1240" s="26">
        <f t="shared" si="42"/>
        <v>0</v>
      </c>
    </row>
    <row r="1241" spans="2:12">
      <c r="B1241" s="4" t="e">
        <f t="shared" si="41"/>
        <v>#N/A</v>
      </c>
      <c r="C1241" s="4">
        <f>'Raw data'!E1150</f>
        <v>0</v>
      </c>
      <c r="D1241" s="29" t="e">
        <f>VLOOKUP(C1241,'점포코드 '!A:B,2,0)</f>
        <v>#N/A</v>
      </c>
      <c r="E1241" s="30">
        <f>'Raw data'!P1150</f>
        <v>0</v>
      </c>
      <c r="F1241" s="29" t="e">
        <f>VLOOKUP(E1241,'점포코드 '!A:B,2,0)</f>
        <v>#N/A</v>
      </c>
      <c r="G1241" s="46">
        <f>'Raw data'!F1150</f>
        <v>0</v>
      </c>
      <c r="H1241" s="4">
        <f>'Raw data'!G1150</f>
        <v>0</v>
      </c>
      <c r="I1241" s="29" t="e">
        <f>VLOOKUP(G1241,제품명!$C$1:$E$114,2,0)</f>
        <v>#N/A</v>
      </c>
      <c r="J1241" s="29">
        <f>'Raw data'!K1150</f>
        <v>0</v>
      </c>
      <c r="K1241" s="31">
        <f>'Raw data'!H1150</f>
        <v>0</v>
      </c>
      <c r="L1241" s="26">
        <f t="shared" si="42"/>
        <v>0</v>
      </c>
    </row>
    <row r="1242" spans="2:12">
      <c r="B1242" s="4" t="e">
        <f t="shared" si="41"/>
        <v>#N/A</v>
      </c>
      <c r="C1242" s="4">
        <f>'Raw data'!E1151</f>
        <v>0</v>
      </c>
      <c r="D1242" s="29" t="e">
        <f>VLOOKUP(C1242,'점포코드 '!A:B,2,0)</f>
        <v>#N/A</v>
      </c>
      <c r="E1242" s="30">
        <f>'Raw data'!P1151</f>
        <v>0</v>
      </c>
      <c r="F1242" s="29" t="e">
        <f>VLOOKUP(E1242,'점포코드 '!A:B,2,0)</f>
        <v>#N/A</v>
      </c>
      <c r="G1242" s="46">
        <f>'Raw data'!F1151</f>
        <v>0</v>
      </c>
      <c r="H1242" s="4">
        <f>'Raw data'!G1151</f>
        <v>0</v>
      </c>
      <c r="I1242" s="29" t="e">
        <f>VLOOKUP(G1242,제품명!$C$1:$E$114,2,0)</f>
        <v>#N/A</v>
      </c>
      <c r="J1242" s="29">
        <f>'Raw data'!K1151</f>
        <v>0</v>
      </c>
      <c r="K1242" s="31">
        <f>'Raw data'!H1151</f>
        <v>0</v>
      </c>
      <c r="L1242" s="26">
        <f t="shared" si="42"/>
        <v>0</v>
      </c>
    </row>
    <row r="1243" spans="2:12">
      <c r="B1243" s="4" t="e">
        <f t="shared" si="41"/>
        <v>#N/A</v>
      </c>
      <c r="C1243" s="4">
        <f>'Raw data'!E1152</f>
        <v>0</v>
      </c>
      <c r="D1243" s="29" t="e">
        <f>VLOOKUP(C1243,'점포코드 '!A:B,2,0)</f>
        <v>#N/A</v>
      </c>
      <c r="E1243" s="30">
        <f>'Raw data'!P1152</f>
        <v>0</v>
      </c>
      <c r="F1243" s="29" t="e">
        <f>VLOOKUP(E1243,'점포코드 '!A:B,2,0)</f>
        <v>#N/A</v>
      </c>
      <c r="G1243" s="46">
        <f>'Raw data'!F1152</f>
        <v>0</v>
      </c>
      <c r="H1243" s="4">
        <f>'Raw data'!G1152</f>
        <v>0</v>
      </c>
      <c r="I1243" s="29" t="e">
        <f>VLOOKUP(G1243,제품명!$C$1:$E$114,2,0)</f>
        <v>#N/A</v>
      </c>
      <c r="J1243" s="29">
        <f>'Raw data'!K1152</f>
        <v>0</v>
      </c>
      <c r="K1243" s="31">
        <f>'Raw data'!H1152</f>
        <v>0</v>
      </c>
      <c r="L1243" s="26">
        <f t="shared" si="42"/>
        <v>0</v>
      </c>
    </row>
    <row r="1244" spans="2:12">
      <c r="B1244" s="4" t="e">
        <f t="shared" si="41"/>
        <v>#N/A</v>
      </c>
      <c r="C1244" s="4">
        <f>'Raw data'!E1153</f>
        <v>0</v>
      </c>
      <c r="D1244" s="29" t="e">
        <f>VLOOKUP(C1244,'점포코드 '!A:B,2,0)</f>
        <v>#N/A</v>
      </c>
      <c r="E1244" s="30">
        <f>'Raw data'!P1153</f>
        <v>0</v>
      </c>
      <c r="F1244" s="29" t="e">
        <f>VLOOKUP(E1244,'점포코드 '!A:B,2,0)</f>
        <v>#N/A</v>
      </c>
      <c r="G1244" s="46">
        <f>'Raw data'!F1153</f>
        <v>0</v>
      </c>
      <c r="H1244" s="4">
        <f>'Raw data'!G1153</f>
        <v>0</v>
      </c>
      <c r="I1244" s="29" t="e">
        <f>VLOOKUP(G1244,제품명!$C$1:$E$114,2,0)</f>
        <v>#N/A</v>
      </c>
      <c r="J1244" s="29">
        <f>'Raw data'!K1153</f>
        <v>0</v>
      </c>
      <c r="K1244" s="31">
        <f>'Raw data'!H1153</f>
        <v>0</v>
      </c>
      <c r="L1244" s="26">
        <f t="shared" si="42"/>
        <v>0</v>
      </c>
    </row>
    <row r="1245" spans="2:12">
      <c r="B1245" s="4" t="e">
        <f t="shared" si="41"/>
        <v>#N/A</v>
      </c>
      <c r="C1245" s="4">
        <f>'Raw data'!E1154</f>
        <v>0</v>
      </c>
      <c r="D1245" s="29" t="e">
        <f>VLOOKUP(C1245,'점포코드 '!A:B,2,0)</f>
        <v>#N/A</v>
      </c>
      <c r="E1245" s="30">
        <f>'Raw data'!P1154</f>
        <v>0</v>
      </c>
      <c r="F1245" s="29" t="e">
        <f>VLOOKUP(E1245,'점포코드 '!A:B,2,0)</f>
        <v>#N/A</v>
      </c>
      <c r="G1245" s="46">
        <f>'Raw data'!F1154</f>
        <v>0</v>
      </c>
      <c r="H1245" s="4">
        <f>'Raw data'!G1154</f>
        <v>0</v>
      </c>
      <c r="I1245" s="29" t="e">
        <f>VLOOKUP(G1245,제품명!$C$1:$E$114,2,0)</f>
        <v>#N/A</v>
      </c>
      <c r="J1245" s="29">
        <f>'Raw data'!K1154</f>
        <v>0</v>
      </c>
      <c r="K1245" s="31">
        <f>'Raw data'!H1154</f>
        <v>0</v>
      </c>
      <c r="L1245" s="26">
        <f t="shared" si="42"/>
        <v>0</v>
      </c>
    </row>
    <row r="1246" spans="2:12">
      <c r="B1246" s="4" t="e">
        <f t="shared" si="41"/>
        <v>#N/A</v>
      </c>
      <c r="C1246" s="4">
        <f>'Raw data'!E1155</f>
        <v>0</v>
      </c>
      <c r="D1246" s="29" t="e">
        <f>VLOOKUP(C1246,'점포코드 '!A:B,2,0)</f>
        <v>#N/A</v>
      </c>
      <c r="E1246" s="30">
        <f>'Raw data'!P1155</f>
        <v>0</v>
      </c>
      <c r="F1246" s="29" t="e">
        <f>VLOOKUP(E1246,'점포코드 '!A:B,2,0)</f>
        <v>#N/A</v>
      </c>
      <c r="G1246" s="46">
        <f>'Raw data'!F1155</f>
        <v>0</v>
      </c>
      <c r="H1246" s="4">
        <f>'Raw data'!G1155</f>
        <v>0</v>
      </c>
      <c r="I1246" s="29" t="e">
        <f>VLOOKUP(G1246,제품명!$C$1:$E$114,2,0)</f>
        <v>#N/A</v>
      </c>
      <c r="J1246" s="29">
        <f>'Raw data'!K1155</f>
        <v>0</v>
      </c>
      <c r="K1246" s="31">
        <f>'Raw data'!H1155</f>
        <v>0</v>
      </c>
      <c r="L1246" s="26">
        <f t="shared" si="42"/>
        <v>0</v>
      </c>
    </row>
    <row r="1247" spans="2:12">
      <c r="B1247" s="4" t="e">
        <f t="shared" si="41"/>
        <v>#N/A</v>
      </c>
      <c r="C1247" s="4">
        <f>'Raw data'!E1156</f>
        <v>0</v>
      </c>
      <c r="D1247" s="29" t="e">
        <f>VLOOKUP(C1247,'점포코드 '!A:B,2,0)</f>
        <v>#N/A</v>
      </c>
      <c r="E1247" s="30">
        <f>'Raw data'!P1156</f>
        <v>0</v>
      </c>
      <c r="F1247" s="29" t="e">
        <f>VLOOKUP(E1247,'점포코드 '!A:B,2,0)</f>
        <v>#N/A</v>
      </c>
      <c r="G1247" s="46">
        <f>'Raw data'!F1156</f>
        <v>0</v>
      </c>
      <c r="H1247" s="4">
        <f>'Raw data'!G1156</f>
        <v>0</v>
      </c>
      <c r="I1247" s="29" t="e">
        <f>VLOOKUP(G1247,제품명!$C$1:$E$114,2,0)</f>
        <v>#N/A</v>
      </c>
      <c r="J1247" s="29">
        <f>'Raw data'!K1156</f>
        <v>0</v>
      </c>
      <c r="K1247" s="31">
        <f>'Raw data'!H1156</f>
        <v>0</v>
      </c>
      <c r="L1247" s="26">
        <f t="shared" si="42"/>
        <v>0</v>
      </c>
    </row>
    <row r="1248" spans="2:12">
      <c r="B1248" s="4" t="e">
        <f t="shared" si="41"/>
        <v>#N/A</v>
      </c>
      <c r="C1248" s="4">
        <f>'Raw data'!E1157</f>
        <v>0</v>
      </c>
      <c r="D1248" s="29" t="e">
        <f>VLOOKUP(C1248,'점포코드 '!A:B,2,0)</f>
        <v>#N/A</v>
      </c>
      <c r="E1248" s="30">
        <f>'Raw data'!P1157</f>
        <v>0</v>
      </c>
      <c r="F1248" s="29" t="e">
        <f>VLOOKUP(E1248,'점포코드 '!A:B,2,0)</f>
        <v>#N/A</v>
      </c>
      <c r="G1248" s="46">
        <f>'Raw data'!F1157</f>
        <v>0</v>
      </c>
      <c r="H1248" s="4">
        <f>'Raw data'!G1157</f>
        <v>0</v>
      </c>
      <c r="I1248" s="29" t="e">
        <f>VLOOKUP(G1248,제품명!$C$1:$E$114,2,0)</f>
        <v>#N/A</v>
      </c>
      <c r="J1248" s="29">
        <f>'Raw data'!K1157</f>
        <v>0</v>
      </c>
      <c r="K1248" s="31">
        <f>'Raw data'!H1157</f>
        <v>0</v>
      </c>
      <c r="L1248" s="26">
        <f t="shared" si="42"/>
        <v>0</v>
      </c>
    </row>
    <row r="1249" spans="2:12">
      <c r="B1249" s="4" t="e">
        <f t="shared" si="41"/>
        <v>#N/A</v>
      </c>
      <c r="C1249" s="4">
        <f>'Raw data'!E1158</f>
        <v>0</v>
      </c>
      <c r="D1249" s="29" t="e">
        <f>VLOOKUP(C1249,'점포코드 '!A:B,2,0)</f>
        <v>#N/A</v>
      </c>
      <c r="E1249" s="30">
        <f>'Raw data'!P1158</f>
        <v>0</v>
      </c>
      <c r="F1249" s="29" t="e">
        <f>VLOOKUP(E1249,'점포코드 '!A:B,2,0)</f>
        <v>#N/A</v>
      </c>
      <c r="G1249" s="46">
        <f>'Raw data'!F1158</f>
        <v>0</v>
      </c>
      <c r="H1249" s="4">
        <f>'Raw data'!G1158</f>
        <v>0</v>
      </c>
      <c r="I1249" s="29" t="e">
        <f>VLOOKUP(G1249,제품명!$C$1:$E$114,2,0)</f>
        <v>#N/A</v>
      </c>
      <c r="J1249" s="29">
        <f>'Raw data'!K1158</f>
        <v>0</v>
      </c>
      <c r="K1249" s="31">
        <f>'Raw data'!H1158</f>
        <v>0</v>
      </c>
      <c r="L1249" s="26">
        <f t="shared" si="42"/>
        <v>0</v>
      </c>
    </row>
    <row r="1250" spans="2:12">
      <c r="B1250" s="4" t="e">
        <f t="shared" si="41"/>
        <v>#N/A</v>
      </c>
      <c r="C1250" s="4">
        <f>'Raw data'!E1159</f>
        <v>0</v>
      </c>
      <c r="D1250" s="29" t="e">
        <f>VLOOKUP(C1250,'점포코드 '!A:B,2,0)</f>
        <v>#N/A</v>
      </c>
      <c r="E1250" s="30">
        <f>'Raw data'!P1159</f>
        <v>0</v>
      </c>
      <c r="F1250" s="29" t="e">
        <f>VLOOKUP(E1250,'점포코드 '!A:B,2,0)</f>
        <v>#N/A</v>
      </c>
      <c r="G1250" s="46">
        <f>'Raw data'!F1159</f>
        <v>0</v>
      </c>
      <c r="H1250" s="4">
        <f>'Raw data'!G1159</f>
        <v>0</v>
      </c>
      <c r="I1250" s="29" t="e">
        <f>VLOOKUP(G1250,제품명!$C$1:$E$114,2,0)</f>
        <v>#N/A</v>
      </c>
      <c r="J1250" s="29">
        <f>'Raw data'!K1159</f>
        <v>0</v>
      </c>
      <c r="K1250" s="31">
        <f>'Raw data'!H1159</f>
        <v>0</v>
      </c>
      <c r="L1250" s="26">
        <f t="shared" si="42"/>
        <v>0</v>
      </c>
    </row>
    <row r="1251" spans="2:12">
      <c r="B1251" s="4" t="e">
        <f t="shared" si="41"/>
        <v>#N/A</v>
      </c>
      <c r="C1251" s="4">
        <f>'Raw data'!E1160</f>
        <v>0</v>
      </c>
      <c r="D1251" s="29" t="e">
        <f>VLOOKUP(C1251,'점포코드 '!A:B,2,0)</f>
        <v>#N/A</v>
      </c>
      <c r="E1251" s="30">
        <f>'Raw data'!P1160</f>
        <v>0</v>
      </c>
      <c r="F1251" s="29" t="e">
        <f>VLOOKUP(E1251,'점포코드 '!A:B,2,0)</f>
        <v>#N/A</v>
      </c>
      <c r="G1251" s="46">
        <f>'Raw data'!F1160</f>
        <v>0</v>
      </c>
      <c r="H1251" s="4">
        <f>'Raw data'!G1160</f>
        <v>0</v>
      </c>
      <c r="I1251" s="29" t="e">
        <f>VLOOKUP(G1251,제품명!$C$1:$E$114,2,0)</f>
        <v>#N/A</v>
      </c>
      <c r="J1251" s="29">
        <f>'Raw data'!K1160</f>
        <v>0</v>
      </c>
      <c r="K1251" s="31">
        <f>'Raw data'!H1160</f>
        <v>0</v>
      </c>
      <c r="L1251" s="26">
        <f t="shared" si="42"/>
        <v>0</v>
      </c>
    </row>
    <row r="1252" spans="2:12">
      <c r="B1252" s="4" t="e">
        <f t="shared" si="41"/>
        <v>#N/A</v>
      </c>
      <c r="C1252" s="4">
        <f>'Raw data'!E1161</f>
        <v>0</v>
      </c>
      <c r="D1252" s="29" t="e">
        <f>VLOOKUP(C1252,'점포코드 '!A:B,2,0)</f>
        <v>#N/A</v>
      </c>
      <c r="E1252" s="30">
        <f>'Raw data'!P1161</f>
        <v>0</v>
      </c>
      <c r="F1252" s="29" t="e">
        <f>VLOOKUP(E1252,'점포코드 '!A:B,2,0)</f>
        <v>#N/A</v>
      </c>
      <c r="G1252" s="46">
        <f>'Raw data'!F1161</f>
        <v>0</v>
      </c>
      <c r="H1252" s="4">
        <f>'Raw data'!G1161</f>
        <v>0</v>
      </c>
      <c r="I1252" s="29" t="e">
        <f>VLOOKUP(G1252,제품명!$C$1:$E$114,2,0)</f>
        <v>#N/A</v>
      </c>
      <c r="J1252" s="29">
        <f>'Raw data'!K1161</f>
        <v>0</v>
      </c>
      <c r="K1252" s="31">
        <f>'Raw data'!H1161</f>
        <v>0</v>
      </c>
      <c r="L1252" s="26">
        <f t="shared" si="42"/>
        <v>0</v>
      </c>
    </row>
    <row r="1253" spans="2:12">
      <c r="B1253" s="4" t="e">
        <f t="shared" si="41"/>
        <v>#N/A</v>
      </c>
      <c r="C1253" s="4">
        <f>'Raw data'!E1162</f>
        <v>0</v>
      </c>
      <c r="D1253" s="29" t="e">
        <f>VLOOKUP(C1253,'점포코드 '!A:B,2,0)</f>
        <v>#N/A</v>
      </c>
      <c r="E1253" s="30">
        <f>'Raw data'!P1162</f>
        <v>0</v>
      </c>
      <c r="F1253" s="29" t="e">
        <f>VLOOKUP(E1253,'점포코드 '!A:B,2,0)</f>
        <v>#N/A</v>
      </c>
      <c r="G1253" s="46">
        <f>'Raw data'!F1162</f>
        <v>0</v>
      </c>
      <c r="H1253" s="4">
        <f>'Raw data'!G1162</f>
        <v>0</v>
      </c>
      <c r="I1253" s="29" t="e">
        <f>VLOOKUP(G1253,제품명!$C$1:$E$114,2,0)</f>
        <v>#N/A</v>
      </c>
      <c r="J1253" s="29">
        <f>'Raw data'!K1162</f>
        <v>0</v>
      </c>
      <c r="K1253" s="31">
        <f>'Raw data'!H1162</f>
        <v>0</v>
      </c>
      <c r="L1253" s="26">
        <f t="shared" si="42"/>
        <v>0</v>
      </c>
    </row>
    <row r="1254" spans="2:12">
      <c r="B1254" s="4" t="e">
        <f t="shared" si="41"/>
        <v>#N/A</v>
      </c>
      <c r="C1254" s="4">
        <f>'Raw data'!E1163</f>
        <v>0</v>
      </c>
      <c r="D1254" s="29" t="e">
        <f>VLOOKUP(C1254,'점포코드 '!A:B,2,0)</f>
        <v>#N/A</v>
      </c>
      <c r="E1254" s="30">
        <f>'Raw data'!P1163</f>
        <v>0</v>
      </c>
      <c r="F1254" s="29" t="e">
        <f>VLOOKUP(E1254,'점포코드 '!A:B,2,0)</f>
        <v>#N/A</v>
      </c>
      <c r="G1254" s="46">
        <f>'Raw data'!F1163</f>
        <v>0</v>
      </c>
      <c r="H1254" s="4">
        <f>'Raw data'!G1163</f>
        <v>0</v>
      </c>
      <c r="I1254" s="29" t="e">
        <f>VLOOKUP(G1254,제품명!$C$1:$E$114,2,0)</f>
        <v>#N/A</v>
      </c>
      <c r="J1254" s="29">
        <f>'Raw data'!K1163</f>
        <v>0</v>
      </c>
      <c r="K1254" s="31">
        <f>'Raw data'!H1163</f>
        <v>0</v>
      </c>
      <c r="L1254" s="26">
        <f t="shared" si="42"/>
        <v>0</v>
      </c>
    </row>
    <row r="1255" spans="2:12">
      <c r="B1255" s="4" t="e">
        <f t="shared" si="41"/>
        <v>#N/A</v>
      </c>
      <c r="C1255" s="4">
        <f>'Raw data'!E1164</f>
        <v>0</v>
      </c>
      <c r="D1255" s="29" t="e">
        <f>VLOOKUP(C1255,'점포코드 '!A:B,2,0)</f>
        <v>#N/A</v>
      </c>
      <c r="E1255" s="30">
        <f>'Raw data'!P1164</f>
        <v>0</v>
      </c>
      <c r="F1255" s="29" t="e">
        <f>VLOOKUP(E1255,'점포코드 '!A:B,2,0)</f>
        <v>#N/A</v>
      </c>
      <c r="G1255" s="46">
        <f>'Raw data'!F1164</f>
        <v>0</v>
      </c>
      <c r="H1255" s="4">
        <f>'Raw data'!G1164</f>
        <v>0</v>
      </c>
      <c r="I1255" s="29" t="e">
        <f>VLOOKUP(G1255,제품명!$C$1:$E$114,2,0)</f>
        <v>#N/A</v>
      </c>
      <c r="J1255" s="29">
        <f>'Raw data'!K1164</f>
        <v>0</v>
      </c>
      <c r="K1255" s="31">
        <f>'Raw data'!H1164</f>
        <v>0</v>
      </c>
      <c r="L1255" s="26">
        <f t="shared" si="42"/>
        <v>0</v>
      </c>
    </row>
    <row r="1256" spans="2:12">
      <c r="B1256" s="4" t="e">
        <f t="shared" si="41"/>
        <v>#N/A</v>
      </c>
      <c r="C1256" s="4">
        <f>'Raw data'!E1165</f>
        <v>0</v>
      </c>
      <c r="D1256" s="29" t="e">
        <f>VLOOKUP(C1256,'점포코드 '!A:B,2,0)</f>
        <v>#N/A</v>
      </c>
      <c r="E1256" s="30">
        <f>'Raw data'!P1165</f>
        <v>0</v>
      </c>
      <c r="F1256" s="29" t="e">
        <f>VLOOKUP(E1256,'점포코드 '!A:B,2,0)</f>
        <v>#N/A</v>
      </c>
      <c r="G1256" s="46">
        <f>'Raw data'!F1165</f>
        <v>0</v>
      </c>
      <c r="H1256" s="4">
        <f>'Raw data'!G1165</f>
        <v>0</v>
      </c>
      <c r="I1256" s="29" t="e">
        <f>VLOOKUP(G1256,제품명!$C$1:$E$114,2,0)</f>
        <v>#N/A</v>
      </c>
      <c r="J1256" s="29">
        <f>'Raw data'!K1165</f>
        <v>0</v>
      </c>
      <c r="K1256" s="31">
        <f>'Raw data'!H1165</f>
        <v>0</v>
      </c>
      <c r="L1256" s="26">
        <f t="shared" si="42"/>
        <v>0</v>
      </c>
    </row>
    <row r="1257" spans="2:12">
      <c r="B1257" s="4" t="e">
        <f t="shared" si="41"/>
        <v>#N/A</v>
      </c>
      <c r="C1257" s="4">
        <f>'Raw data'!E1166</f>
        <v>0</v>
      </c>
      <c r="D1257" s="29" t="e">
        <f>VLOOKUP(C1257,'점포코드 '!A:B,2,0)</f>
        <v>#N/A</v>
      </c>
      <c r="E1257" s="30">
        <f>'Raw data'!P1166</f>
        <v>0</v>
      </c>
      <c r="F1257" s="29" t="e">
        <f>VLOOKUP(E1257,'점포코드 '!A:B,2,0)</f>
        <v>#N/A</v>
      </c>
      <c r="G1257" s="46">
        <f>'Raw data'!F1166</f>
        <v>0</v>
      </c>
      <c r="H1257" s="4">
        <f>'Raw data'!G1166</f>
        <v>0</v>
      </c>
      <c r="I1257" s="29" t="e">
        <f>VLOOKUP(G1257,제품명!$C$1:$E$114,2,0)</f>
        <v>#N/A</v>
      </c>
      <c r="J1257" s="29">
        <f>'Raw data'!K1166</f>
        <v>0</v>
      </c>
      <c r="K1257" s="31">
        <f>'Raw data'!H1166</f>
        <v>0</v>
      </c>
      <c r="L1257" s="26">
        <f t="shared" si="42"/>
        <v>0</v>
      </c>
    </row>
    <row r="1258" spans="2:12">
      <c r="B1258" s="4" t="e">
        <f t="shared" si="41"/>
        <v>#N/A</v>
      </c>
      <c r="C1258" s="4">
        <f>'Raw data'!E1167</f>
        <v>0</v>
      </c>
      <c r="D1258" s="29" t="e">
        <f>VLOOKUP(C1258,'점포코드 '!A:B,2,0)</f>
        <v>#N/A</v>
      </c>
      <c r="E1258" s="30">
        <f>'Raw data'!P1167</f>
        <v>0</v>
      </c>
      <c r="F1258" s="29" t="e">
        <f>VLOOKUP(E1258,'점포코드 '!A:B,2,0)</f>
        <v>#N/A</v>
      </c>
      <c r="G1258" s="46">
        <f>'Raw data'!F1167</f>
        <v>0</v>
      </c>
      <c r="H1258" s="4">
        <f>'Raw data'!G1167</f>
        <v>0</v>
      </c>
      <c r="I1258" s="29" t="e">
        <f>VLOOKUP(G1258,제품명!$C$1:$E$114,2,0)</f>
        <v>#N/A</v>
      </c>
      <c r="J1258" s="29">
        <f>'Raw data'!K1167</f>
        <v>0</v>
      </c>
      <c r="K1258" s="31">
        <f>'Raw data'!H1167</f>
        <v>0</v>
      </c>
      <c r="L1258" s="26">
        <f t="shared" si="42"/>
        <v>0</v>
      </c>
    </row>
    <row r="1259" spans="2:12">
      <c r="B1259" s="4" t="e">
        <f t="shared" si="41"/>
        <v>#N/A</v>
      </c>
      <c r="C1259" s="4">
        <f>'Raw data'!E1168</f>
        <v>0</v>
      </c>
      <c r="D1259" s="29" t="e">
        <f>VLOOKUP(C1259,'점포코드 '!A:B,2,0)</f>
        <v>#N/A</v>
      </c>
      <c r="E1259" s="30">
        <f>'Raw data'!P1168</f>
        <v>0</v>
      </c>
      <c r="F1259" s="29" t="e">
        <f>VLOOKUP(E1259,'점포코드 '!A:B,2,0)</f>
        <v>#N/A</v>
      </c>
      <c r="G1259" s="46">
        <f>'Raw data'!F1168</f>
        <v>0</v>
      </c>
      <c r="H1259" s="4">
        <f>'Raw data'!G1168</f>
        <v>0</v>
      </c>
      <c r="I1259" s="29" t="e">
        <f>VLOOKUP(G1259,제품명!$C$1:$E$114,2,0)</f>
        <v>#N/A</v>
      </c>
      <c r="J1259" s="29">
        <f>'Raw data'!K1168</f>
        <v>0</v>
      </c>
      <c r="K1259" s="31">
        <f>'Raw data'!H1168</f>
        <v>0</v>
      </c>
      <c r="L1259" s="26">
        <f t="shared" si="42"/>
        <v>0</v>
      </c>
    </row>
    <row r="1260" spans="2:12">
      <c r="B1260" s="4" t="e">
        <f t="shared" si="41"/>
        <v>#N/A</v>
      </c>
      <c r="C1260" s="4">
        <f>'Raw data'!E1169</f>
        <v>0</v>
      </c>
      <c r="D1260" s="29" t="e">
        <f>VLOOKUP(C1260,'점포코드 '!A:B,2,0)</f>
        <v>#N/A</v>
      </c>
      <c r="E1260" s="30">
        <f>'Raw data'!P1169</f>
        <v>0</v>
      </c>
      <c r="F1260" s="29" t="e">
        <f>VLOOKUP(E1260,'점포코드 '!A:B,2,0)</f>
        <v>#N/A</v>
      </c>
      <c r="G1260" s="46">
        <f>'Raw data'!F1169</f>
        <v>0</v>
      </c>
      <c r="H1260" s="4">
        <f>'Raw data'!G1169</f>
        <v>0</v>
      </c>
      <c r="I1260" s="29" t="e">
        <f>VLOOKUP(G1260,제품명!$C$1:$E$114,2,0)</f>
        <v>#N/A</v>
      </c>
      <c r="J1260" s="29">
        <f>'Raw data'!K1169</f>
        <v>0</v>
      </c>
      <c r="K1260" s="31">
        <f>'Raw data'!H1169</f>
        <v>0</v>
      </c>
      <c r="L1260" s="26">
        <f t="shared" si="42"/>
        <v>0</v>
      </c>
    </row>
    <row r="1261" spans="2:12">
      <c r="B1261" s="4" t="e">
        <f t="shared" si="41"/>
        <v>#N/A</v>
      </c>
      <c r="C1261" s="4">
        <f>'Raw data'!E1170</f>
        <v>0</v>
      </c>
      <c r="D1261" s="29" t="e">
        <f>VLOOKUP(C1261,'점포코드 '!A:B,2,0)</f>
        <v>#N/A</v>
      </c>
      <c r="E1261" s="30">
        <f>'Raw data'!P1170</f>
        <v>0</v>
      </c>
      <c r="F1261" s="29" t="e">
        <f>VLOOKUP(E1261,'점포코드 '!A:B,2,0)</f>
        <v>#N/A</v>
      </c>
      <c r="G1261" s="46">
        <f>'Raw data'!F1170</f>
        <v>0</v>
      </c>
      <c r="H1261" s="4">
        <f>'Raw data'!G1170</f>
        <v>0</v>
      </c>
      <c r="I1261" s="29" t="e">
        <f>VLOOKUP(G1261,제품명!$C$1:$E$114,2,0)</f>
        <v>#N/A</v>
      </c>
      <c r="J1261" s="29">
        <f>'Raw data'!K1170</f>
        <v>0</v>
      </c>
      <c r="K1261" s="31">
        <f>'Raw data'!H1170</f>
        <v>0</v>
      </c>
      <c r="L1261" s="26">
        <f t="shared" si="42"/>
        <v>0</v>
      </c>
    </row>
    <row r="1262" spans="2:12">
      <c r="B1262" s="4" t="e">
        <f t="shared" si="41"/>
        <v>#N/A</v>
      </c>
      <c r="C1262" s="4">
        <f>'Raw data'!E1171</f>
        <v>0</v>
      </c>
      <c r="D1262" s="29" t="e">
        <f>VLOOKUP(C1262,'점포코드 '!A:B,2,0)</f>
        <v>#N/A</v>
      </c>
      <c r="E1262" s="30">
        <f>'Raw data'!P1171</f>
        <v>0</v>
      </c>
      <c r="F1262" s="29" t="e">
        <f>VLOOKUP(E1262,'점포코드 '!A:B,2,0)</f>
        <v>#N/A</v>
      </c>
      <c r="G1262" s="46">
        <f>'Raw data'!F1171</f>
        <v>0</v>
      </c>
      <c r="H1262" s="4">
        <f>'Raw data'!G1171</f>
        <v>0</v>
      </c>
      <c r="I1262" s="29" t="e">
        <f>VLOOKUP(G1262,제품명!$C$1:$E$114,2,0)</f>
        <v>#N/A</v>
      </c>
      <c r="J1262" s="29">
        <f>'Raw data'!K1171</f>
        <v>0</v>
      </c>
      <c r="K1262" s="31">
        <f>'Raw data'!H1171</f>
        <v>0</v>
      </c>
      <c r="L1262" s="26">
        <f t="shared" si="42"/>
        <v>0</v>
      </c>
    </row>
    <row r="1263" spans="2:12">
      <c r="B1263" s="4" t="e">
        <f t="shared" si="41"/>
        <v>#N/A</v>
      </c>
      <c r="C1263" s="4">
        <f>'Raw data'!E1172</f>
        <v>0</v>
      </c>
      <c r="D1263" s="29" t="e">
        <f>VLOOKUP(C1263,'점포코드 '!A:B,2,0)</f>
        <v>#N/A</v>
      </c>
      <c r="E1263" s="30">
        <f>'Raw data'!P1172</f>
        <v>0</v>
      </c>
      <c r="F1263" s="29" t="e">
        <f>VLOOKUP(E1263,'점포코드 '!A:B,2,0)</f>
        <v>#N/A</v>
      </c>
      <c r="G1263" s="46">
        <f>'Raw data'!F1172</f>
        <v>0</v>
      </c>
      <c r="H1263" s="4">
        <f>'Raw data'!G1172</f>
        <v>0</v>
      </c>
      <c r="I1263" s="29" t="e">
        <f>VLOOKUP(G1263,제품명!$C$1:$E$114,2,0)</f>
        <v>#N/A</v>
      </c>
      <c r="J1263" s="29">
        <f>'Raw data'!K1172</f>
        <v>0</v>
      </c>
      <c r="K1263" s="31">
        <f>'Raw data'!H1172</f>
        <v>0</v>
      </c>
      <c r="L1263" s="26">
        <f t="shared" si="42"/>
        <v>0</v>
      </c>
    </row>
    <row r="1264" spans="2:12">
      <c r="B1264" s="4" t="e">
        <f t="shared" si="41"/>
        <v>#N/A</v>
      </c>
      <c r="C1264" s="4">
        <f>'Raw data'!E1173</f>
        <v>0</v>
      </c>
      <c r="D1264" s="29" t="e">
        <f>VLOOKUP(C1264,'점포코드 '!A:B,2,0)</f>
        <v>#N/A</v>
      </c>
      <c r="E1264" s="30">
        <f>'Raw data'!P1173</f>
        <v>0</v>
      </c>
      <c r="F1264" s="29" t="e">
        <f>VLOOKUP(E1264,'점포코드 '!A:B,2,0)</f>
        <v>#N/A</v>
      </c>
      <c r="G1264" s="46">
        <f>'Raw data'!F1173</f>
        <v>0</v>
      </c>
      <c r="H1264" s="4">
        <f>'Raw data'!G1173</f>
        <v>0</v>
      </c>
      <c r="I1264" s="29" t="e">
        <f>VLOOKUP(G1264,제품명!$C$1:$E$114,2,0)</f>
        <v>#N/A</v>
      </c>
      <c r="J1264" s="29">
        <f>'Raw data'!K1173</f>
        <v>0</v>
      </c>
      <c r="K1264" s="31">
        <f>'Raw data'!H1173</f>
        <v>0</v>
      </c>
      <c r="L1264" s="26">
        <f t="shared" si="42"/>
        <v>0</v>
      </c>
    </row>
    <row r="1265" spans="2:12">
      <c r="B1265" s="4" t="e">
        <f t="shared" si="41"/>
        <v>#N/A</v>
      </c>
      <c r="C1265" s="4">
        <f>'Raw data'!E1174</f>
        <v>0</v>
      </c>
      <c r="D1265" s="29" t="e">
        <f>VLOOKUP(C1265,'점포코드 '!A:B,2,0)</f>
        <v>#N/A</v>
      </c>
      <c r="E1265" s="30">
        <f>'Raw data'!P1174</f>
        <v>0</v>
      </c>
      <c r="F1265" s="29" t="e">
        <f>VLOOKUP(E1265,'점포코드 '!A:B,2,0)</f>
        <v>#N/A</v>
      </c>
      <c r="G1265" s="46">
        <f>'Raw data'!F1174</f>
        <v>0</v>
      </c>
      <c r="H1265" s="4">
        <f>'Raw data'!G1174</f>
        <v>0</v>
      </c>
      <c r="I1265" s="29" t="e">
        <f>VLOOKUP(G1265,제품명!$C$1:$E$114,2,0)</f>
        <v>#N/A</v>
      </c>
      <c r="J1265" s="29">
        <f>'Raw data'!K1174</f>
        <v>0</v>
      </c>
      <c r="K1265" s="31">
        <f>'Raw data'!H1174</f>
        <v>0</v>
      </c>
      <c r="L1265" s="26">
        <f t="shared" si="42"/>
        <v>0</v>
      </c>
    </row>
    <row r="1266" spans="2:12">
      <c r="B1266" s="4" t="e">
        <f t="shared" si="41"/>
        <v>#N/A</v>
      </c>
      <c r="C1266" s="4">
        <f>'Raw data'!E1175</f>
        <v>0</v>
      </c>
      <c r="D1266" s="29" t="e">
        <f>VLOOKUP(C1266,'점포코드 '!A:B,2,0)</f>
        <v>#N/A</v>
      </c>
      <c r="E1266" s="30">
        <f>'Raw data'!P1175</f>
        <v>0</v>
      </c>
      <c r="F1266" s="29" t="e">
        <f>VLOOKUP(E1266,'점포코드 '!A:B,2,0)</f>
        <v>#N/A</v>
      </c>
      <c r="G1266" s="46">
        <f>'Raw data'!F1175</f>
        <v>0</v>
      </c>
      <c r="H1266" s="4">
        <f>'Raw data'!G1175</f>
        <v>0</v>
      </c>
      <c r="I1266" s="29" t="e">
        <f>VLOOKUP(G1266,제품명!$C$1:$E$114,2,0)</f>
        <v>#N/A</v>
      </c>
      <c r="J1266" s="29">
        <f>'Raw data'!K1175</f>
        <v>0</v>
      </c>
      <c r="K1266" s="31">
        <f>'Raw data'!H1175</f>
        <v>0</v>
      </c>
      <c r="L1266" s="26">
        <f t="shared" si="42"/>
        <v>0</v>
      </c>
    </row>
    <row r="1267" spans="2:12">
      <c r="B1267" s="4" t="e">
        <f t="shared" si="41"/>
        <v>#N/A</v>
      </c>
      <c r="C1267" s="4">
        <f>'Raw data'!E1176</f>
        <v>0</v>
      </c>
      <c r="D1267" s="29" t="e">
        <f>VLOOKUP(C1267,'점포코드 '!A:B,2,0)</f>
        <v>#N/A</v>
      </c>
      <c r="E1267" s="30">
        <f>'Raw data'!P1176</f>
        <v>0</v>
      </c>
      <c r="F1267" s="29" t="e">
        <f>VLOOKUP(E1267,'점포코드 '!A:B,2,0)</f>
        <v>#N/A</v>
      </c>
      <c r="G1267" s="46">
        <f>'Raw data'!F1176</f>
        <v>0</v>
      </c>
      <c r="H1267" s="4">
        <f>'Raw data'!G1176</f>
        <v>0</v>
      </c>
      <c r="I1267" s="29" t="e">
        <f>VLOOKUP(G1267,제품명!$C$1:$E$114,2,0)</f>
        <v>#N/A</v>
      </c>
      <c r="J1267" s="29">
        <f>'Raw data'!K1176</f>
        <v>0</v>
      </c>
      <c r="K1267" s="31">
        <f>'Raw data'!H1176</f>
        <v>0</v>
      </c>
      <c r="L1267" s="26">
        <f t="shared" si="42"/>
        <v>0</v>
      </c>
    </row>
    <row r="1268" spans="2:12">
      <c r="B1268" s="4" t="e">
        <f t="shared" si="41"/>
        <v>#N/A</v>
      </c>
      <c r="C1268" s="4">
        <f>'Raw data'!E1177</f>
        <v>0</v>
      </c>
      <c r="D1268" s="29" t="e">
        <f>VLOOKUP(C1268,'점포코드 '!A:B,2,0)</f>
        <v>#N/A</v>
      </c>
      <c r="E1268" s="30">
        <f>'Raw data'!P1177</f>
        <v>0</v>
      </c>
      <c r="F1268" s="29" t="e">
        <f>VLOOKUP(E1268,'점포코드 '!A:B,2,0)</f>
        <v>#N/A</v>
      </c>
      <c r="G1268" s="46">
        <f>'Raw data'!F1177</f>
        <v>0</v>
      </c>
      <c r="H1268" s="4">
        <f>'Raw data'!G1177</f>
        <v>0</v>
      </c>
      <c r="I1268" s="29" t="e">
        <f>VLOOKUP(G1268,제품명!$C$1:$E$114,2,0)</f>
        <v>#N/A</v>
      </c>
      <c r="J1268" s="29">
        <f>'Raw data'!K1177</f>
        <v>0</v>
      </c>
      <c r="K1268" s="31">
        <f>'Raw data'!H1177</f>
        <v>0</v>
      </c>
      <c r="L1268" s="26">
        <f t="shared" si="42"/>
        <v>0</v>
      </c>
    </row>
    <row r="1269" spans="2:12">
      <c r="B1269" s="4" t="e">
        <f t="shared" si="41"/>
        <v>#N/A</v>
      </c>
      <c r="C1269" s="4">
        <f>'Raw data'!E1178</f>
        <v>0</v>
      </c>
      <c r="D1269" s="29" t="e">
        <f>VLOOKUP(C1269,'점포코드 '!A:B,2,0)</f>
        <v>#N/A</v>
      </c>
      <c r="E1269" s="30">
        <f>'Raw data'!P1178</f>
        <v>0</v>
      </c>
      <c r="F1269" s="29" t="e">
        <f>VLOOKUP(E1269,'점포코드 '!A:B,2,0)</f>
        <v>#N/A</v>
      </c>
      <c r="G1269" s="46">
        <f>'Raw data'!F1178</f>
        <v>0</v>
      </c>
      <c r="H1269" s="4">
        <f>'Raw data'!G1178</f>
        <v>0</v>
      </c>
      <c r="I1269" s="29" t="e">
        <f>VLOOKUP(G1269,제품명!$C$1:$E$114,2,0)</f>
        <v>#N/A</v>
      </c>
      <c r="J1269" s="29">
        <f>'Raw data'!K1178</f>
        <v>0</v>
      </c>
      <c r="K1269" s="31">
        <f>'Raw data'!H1178</f>
        <v>0</v>
      </c>
      <c r="L1269" s="26">
        <f t="shared" si="42"/>
        <v>0</v>
      </c>
    </row>
    <row r="1270" spans="2:12">
      <c r="B1270" s="4" t="e">
        <f t="shared" si="41"/>
        <v>#N/A</v>
      </c>
      <c r="C1270" s="4">
        <f>'Raw data'!E1179</f>
        <v>0</v>
      </c>
      <c r="D1270" s="29" t="e">
        <f>VLOOKUP(C1270,'점포코드 '!A:B,2,0)</f>
        <v>#N/A</v>
      </c>
      <c r="E1270" s="30">
        <f>'Raw data'!P1179</f>
        <v>0</v>
      </c>
      <c r="F1270" s="29" t="e">
        <f>VLOOKUP(E1270,'점포코드 '!A:B,2,0)</f>
        <v>#N/A</v>
      </c>
      <c r="G1270" s="46">
        <f>'Raw data'!F1179</f>
        <v>0</v>
      </c>
      <c r="H1270" s="4">
        <f>'Raw data'!G1179</f>
        <v>0</v>
      </c>
      <c r="I1270" s="29" t="e">
        <f>VLOOKUP(G1270,제품명!$C$1:$E$114,2,0)</f>
        <v>#N/A</v>
      </c>
      <c r="J1270" s="29">
        <f>'Raw data'!K1179</f>
        <v>0</v>
      </c>
      <c r="K1270" s="31">
        <f>'Raw data'!H1179</f>
        <v>0</v>
      </c>
      <c r="L1270" s="26">
        <f t="shared" si="42"/>
        <v>0</v>
      </c>
    </row>
    <row r="1271" spans="2:12">
      <c r="B1271" s="4" t="e">
        <f t="shared" si="41"/>
        <v>#N/A</v>
      </c>
      <c r="C1271" s="4">
        <f>'Raw data'!E1180</f>
        <v>0</v>
      </c>
      <c r="D1271" s="29" t="e">
        <f>VLOOKUP(C1271,'점포코드 '!A:B,2,0)</f>
        <v>#N/A</v>
      </c>
      <c r="E1271" s="30">
        <f>'Raw data'!P1180</f>
        <v>0</v>
      </c>
      <c r="F1271" s="29" t="e">
        <f>VLOOKUP(E1271,'점포코드 '!A:B,2,0)</f>
        <v>#N/A</v>
      </c>
      <c r="G1271" s="46">
        <f>'Raw data'!F1180</f>
        <v>0</v>
      </c>
      <c r="H1271" s="4">
        <f>'Raw data'!G1180</f>
        <v>0</v>
      </c>
      <c r="I1271" s="29" t="e">
        <f>VLOOKUP(G1271,제품명!$C$1:$E$114,2,0)</f>
        <v>#N/A</v>
      </c>
      <c r="J1271" s="29">
        <f>'Raw data'!K1180</f>
        <v>0</v>
      </c>
      <c r="K1271" s="31">
        <f>'Raw data'!H1180</f>
        <v>0</v>
      </c>
      <c r="L1271" s="26">
        <f t="shared" si="42"/>
        <v>0</v>
      </c>
    </row>
    <row r="1272" spans="2:12">
      <c r="B1272" s="4" t="e">
        <f t="shared" si="41"/>
        <v>#N/A</v>
      </c>
      <c r="C1272" s="4">
        <f>'Raw data'!E1181</f>
        <v>0</v>
      </c>
      <c r="D1272" s="29" t="e">
        <f>VLOOKUP(C1272,'점포코드 '!A:B,2,0)</f>
        <v>#N/A</v>
      </c>
      <c r="E1272" s="30">
        <f>'Raw data'!P1181</f>
        <v>0</v>
      </c>
      <c r="F1272" s="29" t="e">
        <f>VLOOKUP(E1272,'점포코드 '!A:B,2,0)</f>
        <v>#N/A</v>
      </c>
      <c r="G1272" s="46">
        <f>'Raw data'!F1181</f>
        <v>0</v>
      </c>
      <c r="H1272" s="4">
        <f>'Raw data'!G1181</f>
        <v>0</v>
      </c>
      <c r="I1272" s="29" t="e">
        <f>VLOOKUP(G1272,제품명!$C$1:$E$114,2,0)</f>
        <v>#N/A</v>
      </c>
      <c r="J1272" s="29">
        <f>'Raw data'!K1181</f>
        <v>0</v>
      </c>
      <c r="K1272" s="31">
        <f>'Raw data'!H1181</f>
        <v>0</v>
      </c>
      <c r="L1272" s="26">
        <f t="shared" si="42"/>
        <v>0</v>
      </c>
    </row>
    <row r="1273" spans="2:12">
      <c r="B1273" s="4" t="e">
        <f t="shared" si="41"/>
        <v>#N/A</v>
      </c>
      <c r="C1273" s="4">
        <f>'Raw data'!E1182</f>
        <v>0</v>
      </c>
      <c r="D1273" s="29" t="e">
        <f>VLOOKUP(C1273,'점포코드 '!A:B,2,0)</f>
        <v>#N/A</v>
      </c>
      <c r="E1273" s="30">
        <f>'Raw data'!P1182</f>
        <v>0</v>
      </c>
      <c r="F1273" s="29" t="e">
        <f>VLOOKUP(E1273,'점포코드 '!A:B,2,0)</f>
        <v>#N/A</v>
      </c>
      <c r="G1273" s="46">
        <f>'Raw data'!F1182</f>
        <v>0</v>
      </c>
      <c r="H1273" s="4">
        <f>'Raw data'!G1182</f>
        <v>0</v>
      </c>
      <c r="I1273" s="29" t="e">
        <f>VLOOKUP(G1273,제품명!$C$1:$E$114,2,0)</f>
        <v>#N/A</v>
      </c>
      <c r="J1273" s="29">
        <f>'Raw data'!K1182</f>
        <v>0</v>
      </c>
      <c r="K1273" s="31">
        <f>'Raw data'!H1182</f>
        <v>0</v>
      </c>
      <c r="L1273" s="26">
        <f t="shared" si="42"/>
        <v>0</v>
      </c>
    </row>
    <row r="1274" spans="2:12">
      <c r="B1274" s="4" t="e">
        <f t="shared" si="41"/>
        <v>#N/A</v>
      </c>
      <c r="C1274" s="4">
        <f>'Raw data'!E1183</f>
        <v>0</v>
      </c>
      <c r="D1274" s="29" t="e">
        <f>VLOOKUP(C1274,'점포코드 '!A:B,2,0)</f>
        <v>#N/A</v>
      </c>
      <c r="E1274" s="30">
        <f>'Raw data'!P1183</f>
        <v>0</v>
      </c>
      <c r="F1274" s="29" t="e">
        <f>VLOOKUP(E1274,'점포코드 '!A:B,2,0)</f>
        <v>#N/A</v>
      </c>
      <c r="G1274" s="46">
        <f>'Raw data'!F1183</f>
        <v>0</v>
      </c>
      <c r="H1274" s="4">
        <f>'Raw data'!G1183</f>
        <v>0</v>
      </c>
      <c r="I1274" s="29" t="e">
        <f>VLOOKUP(G1274,제품명!$C$1:$E$114,2,0)</f>
        <v>#N/A</v>
      </c>
      <c r="J1274" s="29">
        <f>'Raw data'!K1183</f>
        <v>0</v>
      </c>
      <c r="K1274" s="31">
        <f>'Raw data'!H1183</f>
        <v>0</v>
      </c>
      <c r="L1274" s="26">
        <f t="shared" si="42"/>
        <v>0</v>
      </c>
    </row>
    <row r="1275" spans="2:12">
      <c r="B1275" s="4" t="e">
        <f t="shared" si="41"/>
        <v>#N/A</v>
      </c>
      <c r="C1275" s="4">
        <f>'Raw data'!E1184</f>
        <v>0</v>
      </c>
      <c r="D1275" s="29" t="e">
        <f>VLOOKUP(C1275,'점포코드 '!A:B,2,0)</f>
        <v>#N/A</v>
      </c>
      <c r="E1275" s="30">
        <f>'Raw data'!P1184</f>
        <v>0</v>
      </c>
      <c r="F1275" s="29" t="e">
        <f>VLOOKUP(E1275,'점포코드 '!A:B,2,0)</f>
        <v>#N/A</v>
      </c>
      <c r="G1275" s="46">
        <f>'Raw data'!F1184</f>
        <v>0</v>
      </c>
      <c r="H1275" s="4">
        <f>'Raw data'!G1184</f>
        <v>0</v>
      </c>
      <c r="I1275" s="29" t="e">
        <f>VLOOKUP(G1275,제품명!$C$1:$E$114,2,0)</f>
        <v>#N/A</v>
      </c>
      <c r="J1275" s="29">
        <f>'Raw data'!K1184</f>
        <v>0</v>
      </c>
      <c r="K1275" s="31">
        <f>'Raw data'!H1184</f>
        <v>0</v>
      </c>
      <c r="L1275" s="26">
        <f t="shared" si="42"/>
        <v>0</v>
      </c>
    </row>
    <row r="1276" spans="2:12">
      <c r="B1276" s="4" t="e">
        <f t="shared" si="41"/>
        <v>#N/A</v>
      </c>
      <c r="C1276" s="4">
        <f>'Raw data'!E1185</f>
        <v>0</v>
      </c>
      <c r="D1276" s="29" t="e">
        <f>VLOOKUP(C1276,'점포코드 '!A:B,2,0)</f>
        <v>#N/A</v>
      </c>
      <c r="E1276" s="30">
        <f>'Raw data'!P1185</f>
        <v>0</v>
      </c>
      <c r="F1276" s="29" t="e">
        <f>VLOOKUP(E1276,'점포코드 '!A:B,2,0)</f>
        <v>#N/A</v>
      </c>
      <c r="G1276" s="46">
        <f>'Raw data'!F1185</f>
        <v>0</v>
      </c>
      <c r="H1276" s="4">
        <f>'Raw data'!G1185</f>
        <v>0</v>
      </c>
      <c r="I1276" s="29" t="e">
        <f>VLOOKUP(G1276,제품명!$C$1:$E$114,2,0)</f>
        <v>#N/A</v>
      </c>
      <c r="J1276" s="29">
        <f>'Raw data'!K1185</f>
        <v>0</v>
      </c>
      <c r="K1276" s="31">
        <f>'Raw data'!H1185</f>
        <v>0</v>
      </c>
      <c r="L1276" s="26">
        <f t="shared" si="42"/>
        <v>0</v>
      </c>
    </row>
    <row r="1277" spans="2:12">
      <c r="B1277" s="4" t="e">
        <f t="shared" si="41"/>
        <v>#N/A</v>
      </c>
      <c r="C1277" s="4">
        <f>'Raw data'!E1186</f>
        <v>0</v>
      </c>
      <c r="D1277" s="29" t="e">
        <f>VLOOKUP(C1277,'점포코드 '!A:B,2,0)</f>
        <v>#N/A</v>
      </c>
      <c r="E1277" s="30">
        <f>'Raw data'!P1186</f>
        <v>0</v>
      </c>
      <c r="F1277" s="29" t="e">
        <f>VLOOKUP(E1277,'점포코드 '!A:B,2,0)</f>
        <v>#N/A</v>
      </c>
      <c r="G1277" s="46">
        <f>'Raw data'!F1186</f>
        <v>0</v>
      </c>
      <c r="H1277" s="4">
        <f>'Raw data'!G1186</f>
        <v>0</v>
      </c>
      <c r="I1277" s="29" t="e">
        <f>VLOOKUP(G1277,제품명!$C$1:$E$114,2,0)</f>
        <v>#N/A</v>
      </c>
      <c r="J1277" s="29">
        <f>'Raw data'!K1186</f>
        <v>0</v>
      </c>
      <c r="K1277" s="31">
        <f>'Raw data'!H1186</f>
        <v>0</v>
      </c>
      <c r="L1277" s="26">
        <f t="shared" si="42"/>
        <v>0</v>
      </c>
    </row>
    <row r="1278" spans="2:12">
      <c r="B1278" s="4" t="e">
        <f t="shared" si="41"/>
        <v>#N/A</v>
      </c>
      <c r="C1278" s="4">
        <f>'Raw data'!E1187</f>
        <v>0</v>
      </c>
      <c r="D1278" s="29" t="e">
        <f>VLOOKUP(C1278,'점포코드 '!A:B,2,0)</f>
        <v>#N/A</v>
      </c>
      <c r="E1278" s="30">
        <f>'Raw data'!P1187</f>
        <v>0</v>
      </c>
      <c r="F1278" s="29" t="e">
        <f>VLOOKUP(E1278,'점포코드 '!A:B,2,0)</f>
        <v>#N/A</v>
      </c>
      <c r="G1278" s="46">
        <f>'Raw data'!F1187</f>
        <v>0</v>
      </c>
      <c r="H1278" s="4">
        <f>'Raw data'!G1187</f>
        <v>0</v>
      </c>
      <c r="I1278" s="29" t="e">
        <f>VLOOKUP(G1278,제품명!$C$1:$E$114,2,0)</f>
        <v>#N/A</v>
      </c>
      <c r="J1278" s="29">
        <f>'Raw data'!K1187</f>
        <v>0</v>
      </c>
      <c r="K1278" s="31">
        <f>'Raw data'!H1187</f>
        <v>0</v>
      </c>
      <c r="L1278" s="26">
        <f t="shared" si="42"/>
        <v>0</v>
      </c>
    </row>
    <row r="1279" spans="2:12">
      <c r="B1279" s="4" t="e">
        <f t="shared" si="41"/>
        <v>#N/A</v>
      </c>
      <c r="C1279" s="4">
        <f>'Raw data'!E1188</f>
        <v>0</v>
      </c>
      <c r="D1279" s="29" t="e">
        <f>VLOOKUP(C1279,'점포코드 '!A:B,2,0)</f>
        <v>#N/A</v>
      </c>
      <c r="E1279" s="30">
        <f>'Raw data'!P1188</f>
        <v>0</v>
      </c>
      <c r="F1279" s="29" t="e">
        <f>VLOOKUP(E1279,'점포코드 '!A:B,2,0)</f>
        <v>#N/A</v>
      </c>
      <c r="G1279" s="46">
        <f>'Raw data'!F1188</f>
        <v>0</v>
      </c>
      <c r="H1279" s="4">
        <f>'Raw data'!G1188</f>
        <v>0</v>
      </c>
      <c r="I1279" s="29" t="e">
        <f>VLOOKUP(G1279,제품명!$C$1:$E$114,2,0)</f>
        <v>#N/A</v>
      </c>
      <c r="J1279" s="29">
        <f>'Raw data'!K1188</f>
        <v>0</v>
      </c>
      <c r="K1279" s="31">
        <f>'Raw data'!H1188</f>
        <v>0</v>
      </c>
      <c r="L1279" s="26">
        <f t="shared" si="42"/>
        <v>0</v>
      </c>
    </row>
    <row r="1280" spans="2:12">
      <c r="B1280" s="4" t="e">
        <f t="shared" si="41"/>
        <v>#N/A</v>
      </c>
      <c r="C1280" s="4">
        <f>'Raw data'!E1189</f>
        <v>0</v>
      </c>
      <c r="D1280" s="29" t="e">
        <f>VLOOKUP(C1280,'점포코드 '!A:B,2,0)</f>
        <v>#N/A</v>
      </c>
      <c r="E1280" s="30">
        <f>'Raw data'!P1189</f>
        <v>0</v>
      </c>
      <c r="F1280" s="29" t="e">
        <f>VLOOKUP(E1280,'점포코드 '!A:B,2,0)</f>
        <v>#N/A</v>
      </c>
      <c r="G1280" s="46">
        <f>'Raw data'!F1189</f>
        <v>0</v>
      </c>
      <c r="H1280" s="4">
        <f>'Raw data'!G1189</f>
        <v>0</v>
      </c>
      <c r="I1280" s="29" t="e">
        <f>VLOOKUP(G1280,제품명!$C$1:$E$114,2,0)</f>
        <v>#N/A</v>
      </c>
      <c r="J1280" s="29">
        <f>'Raw data'!K1189</f>
        <v>0</v>
      </c>
      <c r="K1280" s="31">
        <f>'Raw data'!H1189</f>
        <v>0</v>
      </c>
      <c r="L1280" s="26">
        <f t="shared" si="42"/>
        <v>0</v>
      </c>
    </row>
    <row r="1281" spans="2:12">
      <c r="B1281" s="4" t="e">
        <f t="shared" si="41"/>
        <v>#N/A</v>
      </c>
      <c r="C1281" s="4">
        <f>'Raw data'!E1190</f>
        <v>0</v>
      </c>
      <c r="D1281" s="29" t="e">
        <f>VLOOKUP(C1281,'점포코드 '!A:B,2,0)</f>
        <v>#N/A</v>
      </c>
      <c r="E1281" s="30">
        <f>'Raw data'!P1190</f>
        <v>0</v>
      </c>
      <c r="F1281" s="29" t="e">
        <f>VLOOKUP(E1281,'점포코드 '!A:B,2,0)</f>
        <v>#N/A</v>
      </c>
      <c r="G1281" s="46">
        <f>'Raw data'!F1190</f>
        <v>0</v>
      </c>
      <c r="H1281" s="4">
        <f>'Raw data'!G1190</f>
        <v>0</v>
      </c>
      <c r="I1281" s="29" t="e">
        <f>VLOOKUP(G1281,제품명!$C$1:$E$114,2,0)</f>
        <v>#N/A</v>
      </c>
      <c r="J1281" s="29">
        <f>'Raw data'!K1190</f>
        <v>0</v>
      </c>
      <c r="K1281" s="31">
        <f>'Raw data'!H1190</f>
        <v>0</v>
      </c>
      <c r="L1281" s="26">
        <f t="shared" si="42"/>
        <v>0</v>
      </c>
    </row>
    <row r="1282" spans="2:12">
      <c r="B1282" s="4" t="e">
        <f t="shared" ref="B1282:B1345" si="43">F1282&amp;I1282</f>
        <v>#N/A</v>
      </c>
      <c r="C1282" s="4">
        <f>'Raw data'!E1191</f>
        <v>0</v>
      </c>
      <c r="D1282" s="29" t="e">
        <f>VLOOKUP(C1282,'점포코드 '!A:B,2,0)</f>
        <v>#N/A</v>
      </c>
      <c r="E1282" s="30">
        <f>'Raw data'!P1191</f>
        <v>0</v>
      </c>
      <c r="F1282" s="29" t="e">
        <f>VLOOKUP(E1282,'점포코드 '!A:B,2,0)</f>
        <v>#N/A</v>
      </c>
      <c r="G1282" s="46">
        <f>'Raw data'!F1191</f>
        <v>0</v>
      </c>
      <c r="H1282" s="4">
        <f>'Raw data'!G1191</f>
        <v>0</v>
      </c>
      <c r="I1282" s="29" t="e">
        <f>VLOOKUP(G1282,제품명!$C$1:$E$114,2,0)</f>
        <v>#N/A</v>
      </c>
      <c r="J1282" s="29">
        <f>'Raw data'!K1191</f>
        <v>0</v>
      </c>
      <c r="K1282" s="31">
        <f>'Raw data'!H1191</f>
        <v>0</v>
      </c>
      <c r="L1282" s="26">
        <f t="shared" si="42"/>
        <v>0</v>
      </c>
    </row>
    <row r="1283" spans="2:12">
      <c r="B1283" s="4" t="e">
        <f t="shared" si="43"/>
        <v>#N/A</v>
      </c>
      <c r="C1283" s="4">
        <f>'Raw data'!E1192</f>
        <v>0</v>
      </c>
      <c r="D1283" s="29" t="e">
        <f>VLOOKUP(C1283,'점포코드 '!A:B,2,0)</f>
        <v>#N/A</v>
      </c>
      <c r="E1283" s="30">
        <f>'Raw data'!P1192</f>
        <v>0</v>
      </c>
      <c r="F1283" s="29" t="e">
        <f>VLOOKUP(E1283,'점포코드 '!A:B,2,0)</f>
        <v>#N/A</v>
      </c>
      <c r="G1283" s="46">
        <f>'Raw data'!F1192</f>
        <v>0</v>
      </c>
      <c r="H1283" s="4">
        <f>'Raw data'!G1192</f>
        <v>0</v>
      </c>
      <c r="I1283" s="29" t="e">
        <f>VLOOKUP(G1283,제품명!$C$1:$E$114,2,0)</f>
        <v>#N/A</v>
      </c>
      <c r="J1283" s="29">
        <f>'Raw data'!K1192</f>
        <v>0</v>
      </c>
      <c r="K1283" s="31">
        <f>'Raw data'!H1192</f>
        <v>0</v>
      </c>
      <c r="L1283" s="26">
        <f t="shared" ref="L1283:L1346" si="44">J1283*K1283</f>
        <v>0</v>
      </c>
    </row>
    <row r="1284" spans="2:12">
      <c r="B1284" s="4" t="e">
        <f t="shared" si="43"/>
        <v>#N/A</v>
      </c>
      <c r="C1284" s="4">
        <f>'Raw data'!E1193</f>
        <v>0</v>
      </c>
      <c r="D1284" s="29" t="e">
        <f>VLOOKUP(C1284,'점포코드 '!A:B,2,0)</f>
        <v>#N/A</v>
      </c>
      <c r="E1284" s="30">
        <f>'Raw data'!P1193</f>
        <v>0</v>
      </c>
      <c r="F1284" s="29" t="e">
        <f>VLOOKUP(E1284,'점포코드 '!A:B,2,0)</f>
        <v>#N/A</v>
      </c>
      <c r="G1284" s="46">
        <f>'Raw data'!F1193</f>
        <v>0</v>
      </c>
      <c r="H1284" s="4">
        <f>'Raw data'!G1193</f>
        <v>0</v>
      </c>
      <c r="I1284" s="29" t="e">
        <f>VLOOKUP(G1284,제품명!$C$1:$E$114,2,0)</f>
        <v>#N/A</v>
      </c>
      <c r="J1284" s="29">
        <f>'Raw data'!K1193</f>
        <v>0</v>
      </c>
      <c r="K1284" s="31">
        <f>'Raw data'!H1193</f>
        <v>0</v>
      </c>
      <c r="L1284" s="26">
        <f t="shared" si="44"/>
        <v>0</v>
      </c>
    </row>
    <row r="1285" spans="2:12">
      <c r="B1285" s="4" t="e">
        <f t="shared" si="43"/>
        <v>#N/A</v>
      </c>
      <c r="C1285" s="4">
        <f>'Raw data'!E1194</f>
        <v>0</v>
      </c>
      <c r="D1285" s="29" t="e">
        <f>VLOOKUP(C1285,'점포코드 '!A:B,2,0)</f>
        <v>#N/A</v>
      </c>
      <c r="E1285" s="30">
        <f>'Raw data'!P1194</f>
        <v>0</v>
      </c>
      <c r="F1285" s="29" t="e">
        <f>VLOOKUP(E1285,'점포코드 '!A:B,2,0)</f>
        <v>#N/A</v>
      </c>
      <c r="G1285" s="46">
        <f>'Raw data'!F1194</f>
        <v>0</v>
      </c>
      <c r="H1285" s="4">
        <f>'Raw data'!G1194</f>
        <v>0</v>
      </c>
      <c r="I1285" s="29" t="e">
        <f>VLOOKUP(G1285,제품명!$C$1:$E$114,2,0)</f>
        <v>#N/A</v>
      </c>
      <c r="J1285" s="29">
        <f>'Raw data'!K1194</f>
        <v>0</v>
      </c>
      <c r="K1285" s="31">
        <f>'Raw data'!H1194</f>
        <v>0</v>
      </c>
      <c r="L1285" s="26">
        <f t="shared" si="44"/>
        <v>0</v>
      </c>
    </row>
    <row r="1286" spans="2:12">
      <c r="B1286" s="4" t="e">
        <f t="shared" si="43"/>
        <v>#N/A</v>
      </c>
      <c r="C1286" s="4">
        <f>'Raw data'!E1195</f>
        <v>0</v>
      </c>
      <c r="D1286" s="29" t="e">
        <f>VLOOKUP(C1286,'점포코드 '!A:B,2,0)</f>
        <v>#N/A</v>
      </c>
      <c r="E1286" s="30">
        <f>'Raw data'!P1195</f>
        <v>0</v>
      </c>
      <c r="F1286" s="29" t="e">
        <f>VLOOKUP(E1286,'점포코드 '!A:B,2,0)</f>
        <v>#N/A</v>
      </c>
      <c r="G1286" s="46">
        <f>'Raw data'!F1195</f>
        <v>0</v>
      </c>
      <c r="H1286" s="4">
        <f>'Raw data'!G1195</f>
        <v>0</v>
      </c>
      <c r="I1286" s="29" t="e">
        <f>VLOOKUP(G1286,제품명!$C$1:$E$114,2,0)</f>
        <v>#N/A</v>
      </c>
      <c r="J1286" s="29">
        <f>'Raw data'!K1195</f>
        <v>0</v>
      </c>
      <c r="K1286" s="31">
        <f>'Raw data'!H1195</f>
        <v>0</v>
      </c>
      <c r="L1286" s="26">
        <f t="shared" si="44"/>
        <v>0</v>
      </c>
    </row>
    <row r="1287" spans="2:12">
      <c r="B1287" s="4" t="e">
        <f t="shared" si="43"/>
        <v>#N/A</v>
      </c>
      <c r="C1287" s="4">
        <f>'Raw data'!E1196</f>
        <v>0</v>
      </c>
      <c r="D1287" s="29" t="e">
        <f>VLOOKUP(C1287,'점포코드 '!A:B,2,0)</f>
        <v>#N/A</v>
      </c>
      <c r="E1287" s="30">
        <f>'Raw data'!P1196</f>
        <v>0</v>
      </c>
      <c r="F1287" s="29" t="e">
        <f>VLOOKUP(E1287,'점포코드 '!A:B,2,0)</f>
        <v>#N/A</v>
      </c>
      <c r="G1287" s="46">
        <f>'Raw data'!F1196</f>
        <v>0</v>
      </c>
      <c r="H1287" s="4">
        <f>'Raw data'!G1196</f>
        <v>0</v>
      </c>
      <c r="I1287" s="29" t="e">
        <f>VLOOKUP(G1287,제품명!$C$1:$E$114,2,0)</f>
        <v>#N/A</v>
      </c>
      <c r="J1287" s="29">
        <f>'Raw data'!K1196</f>
        <v>0</v>
      </c>
      <c r="K1287" s="31">
        <f>'Raw data'!H1196</f>
        <v>0</v>
      </c>
      <c r="L1287" s="26">
        <f t="shared" si="44"/>
        <v>0</v>
      </c>
    </row>
    <row r="1288" spans="2:12">
      <c r="B1288" s="4" t="e">
        <f t="shared" si="43"/>
        <v>#N/A</v>
      </c>
      <c r="C1288" s="4">
        <f>'Raw data'!E1197</f>
        <v>0</v>
      </c>
      <c r="D1288" s="29" t="e">
        <f>VLOOKUP(C1288,'점포코드 '!A:B,2,0)</f>
        <v>#N/A</v>
      </c>
      <c r="E1288" s="30">
        <f>'Raw data'!P1197</f>
        <v>0</v>
      </c>
      <c r="F1288" s="29" t="e">
        <f>VLOOKUP(E1288,'점포코드 '!A:B,2,0)</f>
        <v>#N/A</v>
      </c>
      <c r="G1288" s="46">
        <f>'Raw data'!F1197</f>
        <v>0</v>
      </c>
      <c r="H1288" s="4">
        <f>'Raw data'!G1197</f>
        <v>0</v>
      </c>
      <c r="I1288" s="29" t="e">
        <f>VLOOKUP(G1288,제품명!$C$1:$E$114,2,0)</f>
        <v>#N/A</v>
      </c>
      <c r="J1288" s="29">
        <f>'Raw data'!K1197</f>
        <v>0</v>
      </c>
      <c r="K1288" s="31">
        <f>'Raw data'!H1197</f>
        <v>0</v>
      </c>
      <c r="L1288" s="26">
        <f t="shared" si="44"/>
        <v>0</v>
      </c>
    </row>
    <row r="1289" spans="2:12">
      <c r="B1289" s="4" t="e">
        <f t="shared" si="43"/>
        <v>#N/A</v>
      </c>
      <c r="C1289" s="4">
        <f>'Raw data'!E1198</f>
        <v>0</v>
      </c>
      <c r="D1289" s="29" t="e">
        <f>VLOOKUP(C1289,'점포코드 '!A:B,2,0)</f>
        <v>#N/A</v>
      </c>
      <c r="E1289" s="30">
        <f>'Raw data'!P1198</f>
        <v>0</v>
      </c>
      <c r="F1289" s="29" t="e">
        <f>VLOOKUP(E1289,'점포코드 '!A:B,2,0)</f>
        <v>#N/A</v>
      </c>
      <c r="G1289" s="46">
        <f>'Raw data'!F1198</f>
        <v>0</v>
      </c>
      <c r="H1289" s="4">
        <f>'Raw data'!G1198</f>
        <v>0</v>
      </c>
      <c r="I1289" s="29" t="e">
        <f>VLOOKUP(G1289,제품명!$C$1:$E$114,2,0)</f>
        <v>#N/A</v>
      </c>
      <c r="J1289" s="29">
        <f>'Raw data'!K1198</f>
        <v>0</v>
      </c>
      <c r="K1289" s="31">
        <f>'Raw data'!H1198</f>
        <v>0</v>
      </c>
      <c r="L1289" s="26">
        <f t="shared" si="44"/>
        <v>0</v>
      </c>
    </row>
    <row r="1290" spans="2:12">
      <c r="B1290" s="4" t="e">
        <f t="shared" si="43"/>
        <v>#N/A</v>
      </c>
      <c r="C1290" s="4">
        <f>'Raw data'!E1199</f>
        <v>0</v>
      </c>
      <c r="D1290" s="29" t="e">
        <f>VLOOKUP(C1290,'점포코드 '!A:B,2,0)</f>
        <v>#N/A</v>
      </c>
      <c r="E1290" s="30">
        <f>'Raw data'!P1199</f>
        <v>0</v>
      </c>
      <c r="F1290" s="29" t="e">
        <f>VLOOKUP(E1290,'점포코드 '!A:B,2,0)</f>
        <v>#N/A</v>
      </c>
      <c r="G1290" s="46">
        <f>'Raw data'!F1199</f>
        <v>0</v>
      </c>
      <c r="H1290" s="4">
        <f>'Raw data'!G1199</f>
        <v>0</v>
      </c>
      <c r="I1290" s="29" t="e">
        <f>VLOOKUP(G1290,제품명!$C$1:$E$114,2,0)</f>
        <v>#N/A</v>
      </c>
      <c r="J1290" s="29">
        <f>'Raw data'!K1199</f>
        <v>0</v>
      </c>
      <c r="K1290" s="31">
        <f>'Raw data'!H1199</f>
        <v>0</v>
      </c>
      <c r="L1290" s="26">
        <f t="shared" si="44"/>
        <v>0</v>
      </c>
    </row>
    <row r="1291" spans="2:12">
      <c r="B1291" s="4" t="e">
        <f t="shared" si="43"/>
        <v>#N/A</v>
      </c>
      <c r="C1291" s="4">
        <f>'Raw data'!E1200</f>
        <v>0</v>
      </c>
      <c r="D1291" s="29" t="e">
        <f>VLOOKUP(C1291,'점포코드 '!A:B,2,0)</f>
        <v>#N/A</v>
      </c>
      <c r="E1291" s="30">
        <f>'Raw data'!P1200</f>
        <v>0</v>
      </c>
      <c r="F1291" s="29" t="e">
        <f>VLOOKUP(E1291,'점포코드 '!A:B,2,0)</f>
        <v>#N/A</v>
      </c>
      <c r="G1291" s="46">
        <f>'Raw data'!F1200</f>
        <v>0</v>
      </c>
      <c r="H1291" s="4">
        <f>'Raw data'!G1200</f>
        <v>0</v>
      </c>
      <c r="I1291" s="29" t="e">
        <f>VLOOKUP(G1291,제품명!$C$1:$E$114,2,0)</f>
        <v>#N/A</v>
      </c>
      <c r="J1291" s="29">
        <f>'Raw data'!K1200</f>
        <v>0</v>
      </c>
      <c r="K1291" s="31">
        <f>'Raw data'!H1200</f>
        <v>0</v>
      </c>
      <c r="L1291" s="26">
        <f t="shared" si="44"/>
        <v>0</v>
      </c>
    </row>
    <row r="1292" spans="2:12">
      <c r="B1292" s="4" t="e">
        <f t="shared" si="43"/>
        <v>#N/A</v>
      </c>
      <c r="C1292" s="4">
        <f>'Raw data'!E1201</f>
        <v>0</v>
      </c>
      <c r="D1292" s="29" t="e">
        <f>VLOOKUP(C1292,'점포코드 '!A:B,2,0)</f>
        <v>#N/A</v>
      </c>
      <c r="E1292" s="30">
        <f>'Raw data'!P1201</f>
        <v>0</v>
      </c>
      <c r="F1292" s="29" t="e">
        <f>VLOOKUP(E1292,'점포코드 '!A:B,2,0)</f>
        <v>#N/A</v>
      </c>
      <c r="G1292" s="46">
        <f>'Raw data'!F1201</f>
        <v>0</v>
      </c>
      <c r="H1292" s="4">
        <f>'Raw data'!G1201</f>
        <v>0</v>
      </c>
      <c r="I1292" s="29" t="e">
        <f>VLOOKUP(G1292,제품명!$C$1:$E$114,2,0)</f>
        <v>#N/A</v>
      </c>
      <c r="J1292" s="29">
        <f>'Raw data'!K1201</f>
        <v>0</v>
      </c>
      <c r="K1292" s="31">
        <f>'Raw data'!H1201</f>
        <v>0</v>
      </c>
      <c r="L1292" s="26">
        <f t="shared" si="44"/>
        <v>0</v>
      </c>
    </row>
    <row r="1293" spans="2:12">
      <c r="B1293" s="4" t="e">
        <f t="shared" si="43"/>
        <v>#N/A</v>
      </c>
      <c r="C1293" s="4">
        <f>'Raw data'!E1202</f>
        <v>0</v>
      </c>
      <c r="D1293" s="29" t="e">
        <f>VLOOKUP(C1293,'점포코드 '!A:B,2,0)</f>
        <v>#N/A</v>
      </c>
      <c r="E1293" s="30">
        <f>'Raw data'!P1202</f>
        <v>0</v>
      </c>
      <c r="F1293" s="29" t="e">
        <f>VLOOKUP(E1293,'점포코드 '!A:B,2,0)</f>
        <v>#N/A</v>
      </c>
      <c r="G1293" s="46">
        <f>'Raw data'!F1202</f>
        <v>0</v>
      </c>
      <c r="H1293" s="4">
        <f>'Raw data'!G1202</f>
        <v>0</v>
      </c>
      <c r="I1293" s="29" t="e">
        <f>VLOOKUP(G1293,제품명!$C$1:$E$114,2,0)</f>
        <v>#N/A</v>
      </c>
      <c r="J1293" s="29">
        <f>'Raw data'!K1202</f>
        <v>0</v>
      </c>
      <c r="K1293" s="31">
        <f>'Raw data'!H1202</f>
        <v>0</v>
      </c>
      <c r="L1293" s="26">
        <f t="shared" si="44"/>
        <v>0</v>
      </c>
    </row>
    <row r="1294" spans="2:12">
      <c r="B1294" s="4" t="e">
        <f t="shared" si="43"/>
        <v>#N/A</v>
      </c>
      <c r="C1294" s="4">
        <f>'Raw data'!E1203</f>
        <v>0</v>
      </c>
      <c r="D1294" s="29" t="e">
        <f>VLOOKUP(C1294,'점포코드 '!A:B,2,0)</f>
        <v>#N/A</v>
      </c>
      <c r="E1294" s="30">
        <f>'Raw data'!P1203</f>
        <v>0</v>
      </c>
      <c r="F1294" s="29" t="e">
        <f>VLOOKUP(E1294,'점포코드 '!A:B,2,0)</f>
        <v>#N/A</v>
      </c>
      <c r="G1294" s="46">
        <f>'Raw data'!F1203</f>
        <v>0</v>
      </c>
      <c r="H1294" s="4">
        <f>'Raw data'!G1203</f>
        <v>0</v>
      </c>
      <c r="I1294" s="29" t="e">
        <f>VLOOKUP(G1294,제품명!$C$1:$E$114,2,0)</f>
        <v>#N/A</v>
      </c>
      <c r="J1294" s="29">
        <f>'Raw data'!K1203</f>
        <v>0</v>
      </c>
      <c r="K1294" s="31">
        <f>'Raw data'!H1203</f>
        <v>0</v>
      </c>
      <c r="L1294" s="26">
        <f t="shared" si="44"/>
        <v>0</v>
      </c>
    </row>
    <row r="1295" spans="2:12">
      <c r="B1295" s="4" t="e">
        <f t="shared" si="43"/>
        <v>#N/A</v>
      </c>
      <c r="C1295" s="4">
        <f>'Raw data'!E1204</f>
        <v>0</v>
      </c>
      <c r="D1295" s="29" t="e">
        <f>VLOOKUP(C1295,'점포코드 '!A:B,2,0)</f>
        <v>#N/A</v>
      </c>
      <c r="E1295" s="30">
        <f>'Raw data'!P1204</f>
        <v>0</v>
      </c>
      <c r="F1295" s="29" t="e">
        <f>VLOOKUP(E1295,'점포코드 '!A:B,2,0)</f>
        <v>#N/A</v>
      </c>
      <c r="G1295" s="46">
        <f>'Raw data'!F1204</f>
        <v>0</v>
      </c>
      <c r="H1295" s="4">
        <f>'Raw data'!G1204</f>
        <v>0</v>
      </c>
      <c r="I1295" s="29" t="e">
        <f>VLOOKUP(G1295,제품명!$C$1:$E$114,2,0)</f>
        <v>#N/A</v>
      </c>
      <c r="J1295" s="29">
        <f>'Raw data'!K1204</f>
        <v>0</v>
      </c>
      <c r="K1295" s="31">
        <f>'Raw data'!H1204</f>
        <v>0</v>
      </c>
      <c r="L1295" s="26">
        <f t="shared" si="44"/>
        <v>0</v>
      </c>
    </row>
    <row r="1296" spans="2:12">
      <c r="B1296" s="4" t="e">
        <f t="shared" si="43"/>
        <v>#N/A</v>
      </c>
      <c r="C1296" s="4">
        <f>'Raw data'!E1205</f>
        <v>0</v>
      </c>
      <c r="D1296" s="29" t="e">
        <f>VLOOKUP(C1296,'점포코드 '!A:B,2,0)</f>
        <v>#N/A</v>
      </c>
      <c r="E1296" s="30">
        <f>'Raw data'!P1205</f>
        <v>0</v>
      </c>
      <c r="F1296" s="29" t="e">
        <f>VLOOKUP(E1296,'점포코드 '!A:B,2,0)</f>
        <v>#N/A</v>
      </c>
      <c r="G1296" s="46">
        <f>'Raw data'!F1205</f>
        <v>0</v>
      </c>
      <c r="H1296" s="4">
        <f>'Raw data'!G1205</f>
        <v>0</v>
      </c>
      <c r="I1296" s="29" t="e">
        <f>VLOOKUP(G1296,제품명!$C$1:$E$114,2,0)</f>
        <v>#N/A</v>
      </c>
      <c r="J1296" s="29">
        <f>'Raw data'!K1205</f>
        <v>0</v>
      </c>
      <c r="K1296" s="31">
        <f>'Raw data'!H1205</f>
        <v>0</v>
      </c>
      <c r="L1296" s="26">
        <f t="shared" si="44"/>
        <v>0</v>
      </c>
    </row>
    <row r="1297" spans="2:12">
      <c r="B1297" s="4" t="e">
        <f t="shared" si="43"/>
        <v>#N/A</v>
      </c>
      <c r="C1297" s="4">
        <f>'Raw data'!E1206</f>
        <v>0</v>
      </c>
      <c r="D1297" s="29" t="e">
        <f>VLOOKUP(C1297,'점포코드 '!A:B,2,0)</f>
        <v>#N/A</v>
      </c>
      <c r="E1297" s="30">
        <f>'Raw data'!P1206</f>
        <v>0</v>
      </c>
      <c r="F1297" s="29" t="e">
        <f>VLOOKUP(E1297,'점포코드 '!A:B,2,0)</f>
        <v>#N/A</v>
      </c>
      <c r="G1297" s="46">
        <f>'Raw data'!F1206</f>
        <v>0</v>
      </c>
      <c r="H1297" s="4">
        <f>'Raw data'!G1206</f>
        <v>0</v>
      </c>
      <c r="I1297" s="29" t="e">
        <f>VLOOKUP(G1297,제품명!$C$1:$E$114,2,0)</f>
        <v>#N/A</v>
      </c>
      <c r="J1297" s="29">
        <f>'Raw data'!K1206</f>
        <v>0</v>
      </c>
      <c r="K1297" s="31">
        <f>'Raw data'!H1206</f>
        <v>0</v>
      </c>
      <c r="L1297" s="26">
        <f t="shared" si="44"/>
        <v>0</v>
      </c>
    </row>
    <row r="1298" spans="2:12">
      <c r="B1298" s="4" t="e">
        <f t="shared" si="43"/>
        <v>#N/A</v>
      </c>
      <c r="C1298" s="4">
        <f>'Raw data'!E1207</f>
        <v>0</v>
      </c>
      <c r="D1298" s="29" t="e">
        <f>VLOOKUP(C1298,'점포코드 '!A:B,2,0)</f>
        <v>#N/A</v>
      </c>
      <c r="E1298" s="30">
        <f>'Raw data'!P1207</f>
        <v>0</v>
      </c>
      <c r="F1298" s="29" t="e">
        <f>VLOOKUP(E1298,'점포코드 '!A:B,2,0)</f>
        <v>#N/A</v>
      </c>
      <c r="G1298" s="46">
        <f>'Raw data'!F1207</f>
        <v>0</v>
      </c>
      <c r="H1298" s="4">
        <f>'Raw data'!G1207</f>
        <v>0</v>
      </c>
      <c r="I1298" s="29" t="e">
        <f>VLOOKUP(G1298,제품명!$C$1:$E$114,2,0)</f>
        <v>#N/A</v>
      </c>
      <c r="J1298" s="29">
        <f>'Raw data'!K1207</f>
        <v>0</v>
      </c>
      <c r="K1298" s="31">
        <f>'Raw data'!H1207</f>
        <v>0</v>
      </c>
      <c r="L1298" s="26">
        <f t="shared" si="44"/>
        <v>0</v>
      </c>
    </row>
    <row r="1299" spans="2:12">
      <c r="B1299" s="4" t="e">
        <f t="shared" si="43"/>
        <v>#N/A</v>
      </c>
      <c r="C1299" s="4">
        <f>'Raw data'!E1208</f>
        <v>0</v>
      </c>
      <c r="D1299" s="29" t="e">
        <f>VLOOKUP(C1299,'점포코드 '!A:B,2,0)</f>
        <v>#N/A</v>
      </c>
      <c r="E1299" s="30">
        <f>'Raw data'!P1208</f>
        <v>0</v>
      </c>
      <c r="F1299" s="29" t="e">
        <f>VLOOKUP(E1299,'점포코드 '!A:B,2,0)</f>
        <v>#N/A</v>
      </c>
      <c r="G1299" s="46">
        <f>'Raw data'!F1208</f>
        <v>0</v>
      </c>
      <c r="H1299" s="4">
        <f>'Raw data'!G1208</f>
        <v>0</v>
      </c>
      <c r="I1299" s="29" t="e">
        <f>VLOOKUP(G1299,제품명!$C$1:$E$114,2,0)</f>
        <v>#N/A</v>
      </c>
      <c r="J1299" s="29">
        <f>'Raw data'!K1208</f>
        <v>0</v>
      </c>
      <c r="K1299" s="31">
        <f>'Raw data'!H1208</f>
        <v>0</v>
      </c>
      <c r="L1299" s="26">
        <f t="shared" si="44"/>
        <v>0</v>
      </c>
    </row>
    <row r="1300" spans="2:12">
      <c r="B1300" s="4" t="e">
        <f t="shared" si="43"/>
        <v>#N/A</v>
      </c>
      <c r="C1300" s="4">
        <f>'Raw data'!E1209</f>
        <v>0</v>
      </c>
      <c r="D1300" s="29" t="e">
        <f>VLOOKUP(C1300,'점포코드 '!A:B,2,0)</f>
        <v>#N/A</v>
      </c>
      <c r="E1300" s="30">
        <f>'Raw data'!P1209</f>
        <v>0</v>
      </c>
      <c r="F1300" s="29" t="e">
        <f>VLOOKUP(E1300,'점포코드 '!A:B,2,0)</f>
        <v>#N/A</v>
      </c>
      <c r="G1300" s="46">
        <f>'Raw data'!F1209</f>
        <v>0</v>
      </c>
      <c r="H1300" s="4">
        <f>'Raw data'!G1209</f>
        <v>0</v>
      </c>
      <c r="I1300" s="29" t="e">
        <f>VLOOKUP(G1300,제품명!$C$1:$E$114,2,0)</f>
        <v>#N/A</v>
      </c>
      <c r="J1300" s="29">
        <f>'Raw data'!K1209</f>
        <v>0</v>
      </c>
      <c r="K1300" s="31">
        <f>'Raw data'!H1209</f>
        <v>0</v>
      </c>
      <c r="L1300" s="26">
        <f t="shared" si="44"/>
        <v>0</v>
      </c>
    </row>
    <row r="1301" spans="2:12">
      <c r="B1301" s="4" t="e">
        <f t="shared" si="43"/>
        <v>#N/A</v>
      </c>
      <c r="C1301" s="4">
        <f>'Raw data'!E1210</f>
        <v>0</v>
      </c>
      <c r="D1301" s="29" t="e">
        <f>VLOOKUP(C1301,'점포코드 '!A:B,2,0)</f>
        <v>#N/A</v>
      </c>
      <c r="E1301" s="30">
        <f>'Raw data'!P1210</f>
        <v>0</v>
      </c>
      <c r="F1301" s="29" t="e">
        <f>VLOOKUP(E1301,'점포코드 '!A:B,2,0)</f>
        <v>#N/A</v>
      </c>
      <c r="G1301" s="46">
        <f>'Raw data'!F1210</f>
        <v>0</v>
      </c>
      <c r="H1301" s="4">
        <f>'Raw data'!G1210</f>
        <v>0</v>
      </c>
      <c r="I1301" s="29" t="e">
        <f>VLOOKUP(G1301,제품명!$C$1:$E$114,2,0)</f>
        <v>#N/A</v>
      </c>
      <c r="J1301" s="29">
        <f>'Raw data'!K1210</f>
        <v>0</v>
      </c>
      <c r="K1301" s="31">
        <f>'Raw data'!H1210</f>
        <v>0</v>
      </c>
      <c r="L1301" s="26">
        <f t="shared" si="44"/>
        <v>0</v>
      </c>
    </row>
    <row r="1302" spans="2:12">
      <c r="B1302" s="4" t="e">
        <f t="shared" si="43"/>
        <v>#N/A</v>
      </c>
      <c r="C1302" s="4">
        <f>'Raw data'!E1211</f>
        <v>0</v>
      </c>
      <c r="D1302" s="29" t="e">
        <f>VLOOKUP(C1302,'점포코드 '!A:B,2,0)</f>
        <v>#N/A</v>
      </c>
      <c r="E1302" s="30">
        <f>'Raw data'!P1211</f>
        <v>0</v>
      </c>
      <c r="F1302" s="29" t="e">
        <f>VLOOKUP(E1302,'점포코드 '!A:B,2,0)</f>
        <v>#N/A</v>
      </c>
      <c r="G1302" s="46">
        <f>'Raw data'!F1211</f>
        <v>0</v>
      </c>
      <c r="H1302" s="4">
        <f>'Raw data'!G1211</f>
        <v>0</v>
      </c>
      <c r="I1302" s="29" t="e">
        <f>VLOOKUP(G1302,제품명!$C$1:$E$114,2,0)</f>
        <v>#N/A</v>
      </c>
      <c r="J1302" s="29">
        <f>'Raw data'!K1211</f>
        <v>0</v>
      </c>
      <c r="K1302" s="31">
        <f>'Raw data'!H1211</f>
        <v>0</v>
      </c>
      <c r="L1302" s="26">
        <f t="shared" si="44"/>
        <v>0</v>
      </c>
    </row>
    <row r="1303" spans="2:12">
      <c r="B1303" s="4" t="e">
        <f t="shared" si="43"/>
        <v>#N/A</v>
      </c>
      <c r="C1303" s="4">
        <f>'Raw data'!E1212</f>
        <v>0</v>
      </c>
      <c r="D1303" s="29" t="e">
        <f>VLOOKUP(C1303,'점포코드 '!A:B,2,0)</f>
        <v>#N/A</v>
      </c>
      <c r="E1303" s="30">
        <f>'Raw data'!P1212</f>
        <v>0</v>
      </c>
      <c r="F1303" s="29" t="e">
        <f>VLOOKUP(E1303,'점포코드 '!A:B,2,0)</f>
        <v>#N/A</v>
      </c>
      <c r="G1303" s="46">
        <f>'Raw data'!F1212</f>
        <v>0</v>
      </c>
      <c r="H1303" s="4">
        <f>'Raw data'!G1212</f>
        <v>0</v>
      </c>
      <c r="I1303" s="29" t="e">
        <f>VLOOKUP(G1303,제품명!$C$1:$E$114,2,0)</f>
        <v>#N/A</v>
      </c>
      <c r="J1303" s="29">
        <f>'Raw data'!K1212</f>
        <v>0</v>
      </c>
      <c r="K1303" s="31">
        <f>'Raw data'!H1212</f>
        <v>0</v>
      </c>
      <c r="L1303" s="26">
        <f t="shared" si="44"/>
        <v>0</v>
      </c>
    </row>
    <row r="1304" spans="2:12">
      <c r="B1304" s="4" t="e">
        <f t="shared" si="43"/>
        <v>#N/A</v>
      </c>
      <c r="C1304" s="4">
        <f>'Raw data'!E1213</f>
        <v>0</v>
      </c>
      <c r="D1304" s="29" t="e">
        <f>VLOOKUP(C1304,'점포코드 '!A:B,2,0)</f>
        <v>#N/A</v>
      </c>
      <c r="E1304" s="30">
        <f>'Raw data'!P1213</f>
        <v>0</v>
      </c>
      <c r="F1304" s="29" t="e">
        <f>VLOOKUP(E1304,'점포코드 '!A:B,2,0)</f>
        <v>#N/A</v>
      </c>
      <c r="G1304" s="46">
        <f>'Raw data'!F1213</f>
        <v>0</v>
      </c>
      <c r="H1304" s="4">
        <f>'Raw data'!G1213</f>
        <v>0</v>
      </c>
      <c r="I1304" s="29" t="e">
        <f>VLOOKUP(G1304,제품명!$C$1:$E$114,2,0)</f>
        <v>#N/A</v>
      </c>
      <c r="J1304" s="29">
        <f>'Raw data'!K1213</f>
        <v>0</v>
      </c>
      <c r="K1304" s="31">
        <f>'Raw data'!H1213</f>
        <v>0</v>
      </c>
      <c r="L1304" s="26">
        <f t="shared" si="44"/>
        <v>0</v>
      </c>
    </row>
    <row r="1305" spans="2:12">
      <c r="B1305" s="4" t="e">
        <f t="shared" si="43"/>
        <v>#N/A</v>
      </c>
      <c r="C1305" s="4">
        <f>'Raw data'!E1214</f>
        <v>0</v>
      </c>
      <c r="D1305" s="29" t="e">
        <f>VLOOKUP(C1305,'점포코드 '!A:B,2,0)</f>
        <v>#N/A</v>
      </c>
      <c r="E1305" s="30">
        <f>'Raw data'!P1214</f>
        <v>0</v>
      </c>
      <c r="F1305" s="29" t="e">
        <f>VLOOKUP(E1305,'점포코드 '!A:B,2,0)</f>
        <v>#N/A</v>
      </c>
      <c r="G1305" s="46">
        <f>'Raw data'!F1214</f>
        <v>0</v>
      </c>
      <c r="H1305" s="4">
        <f>'Raw data'!G1214</f>
        <v>0</v>
      </c>
      <c r="I1305" s="29" t="e">
        <f>VLOOKUP(G1305,제품명!$C$1:$E$114,2,0)</f>
        <v>#N/A</v>
      </c>
      <c r="J1305" s="29">
        <f>'Raw data'!K1214</f>
        <v>0</v>
      </c>
      <c r="K1305" s="31">
        <f>'Raw data'!H1214</f>
        <v>0</v>
      </c>
      <c r="L1305" s="26">
        <f t="shared" si="44"/>
        <v>0</v>
      </c>
    </row>
    <row r="1306" spans="2:12">
      <c r="B1306" s="4" t="e">
        <f t="shared" si="43"/>
        <v>#N/A</v>
      </c>
      <c r="C1306" s="4">
        <f>'Raw data'!E1215</f>
        <v>0</v>
      </c>
      <c r="D1306" s="29" t="e">
        <f>VLOOKUP(C1306,'점포코드 '!A:B,2,0)</f>
        <v>#N/A</v>
      </c>
      <c r="E1306" s="30">
        <f>'Raw data'!P1215</f>
        <v>0</v>
      </c>
      <c r="F1306" s="29" t="e">
        <f>VLOOKUP(E1306,'점포코드 '!A:B,2,0)</f>
        <v>#N/A</v>
      </c>
      <c r="G1306" s="46">
        <f>'Raw data'!F1215</f>
        <v>0</v>
      </c>
      <c r="H1306" s="4">
        <f>'Raw data'!G1215</f>
        <v>0</v>
      </c>
      <c r="I1306" s="29" t="e">
        <f>VLOOKUP(G1306,제품명!$C$1:$E$114,2,0)</f>
        <v>#N/A</v>
      </c>
      <c r="J1306" s="29">
        <f>'Raw data'!K1215</f>
        <v>0</v>
      </c>
      <c r="K1306" s="31">
        <f>'Raw data'!H1215</f>
        <v>0</v>
      </c>
      <c r="L1306" s="26">
        <f t="shared" si="44"/>
        <v>0</v>
      </c>
    </row>
    <row r="1307" spans="2:12">
      <c r="B1307" s="4" t="e">
        <f t="shared" si="43"/>
        <v>#N/A</v>
      </c>
      <c r="C1307" s="4">
        <f>'Raw data'!E1216</f>
        <v>0</v>
      </c>
      <c r="D1307" s="29" t="e">
        <f>VLOOKUP(C1307,'점포코드 '!A:B,2,0)</f>
        <v>#N/A</v>
      </c>
      <c r="E1307" s="30">
        <f>'Raw data'!P1216</f>
        <v>0</v>
      </c>
      <c r="F1307" s="29" t="e">
        <f>VLOOKUP(E1307,'점포코드 '!A:B,2,0)</f>
        <v>#N/A</v>
      </c>
      <c r="G1307" s="46">
        <f>'Raw data'!F1216</f>
        <v>0</v>
      </c>
      <c r="H1307" s="4">
        <f>'Raw data'!G1216</f>
        <v>0</v>
      </c>
      <c r="I1307" s="29" t="e">
        <f>VLOOKUP(G1307,제품명!$C$1:$E$114,2,0)</f>
        <v>#N/A</v>
      </c>
      <c r="J1307" s="29">
        <f>'Raw data'!K1216</f>
        <v>0</v>
      </c>
      <c r="K1307" s="31">
        <f>'Raw data'!H1216</f>
        <v>0</v>
      </c>
      <c r="L1307" s="26">
        <f t="shared" si="44"/>
        <v>0</v>
      </c>
    </row>
    <row r="1308" spans="2:12">
      <c r="B1308" s="4" t="e">
        <f t="shared" si="43"/>
        <v>#N/A</v>
      </c>
      <c r="C1308" s="4">
        <f>'Raw data'!E1217</f>
        <v>0</v>
      </c>
      <c r="D1308" s="29" t="e">
        <f>VLOOKUP(C1308,'점포코드 '!A:B,2,0)</f>
        <v>#N/A</v>
      </c>
      <c r="E1308" s="30">
        <f>'Raw data'!P1217</f>
        <v>0</v>
      </c>
      <c r="F1308" s="29" t="e">
        <f>VLOOKUP(E1308,'점포코드 '!A:B,2,0)</f>
        <v>#N/A</v>
      </c>
      <c r="G1308" s="46">
        <f>'Raw data'!F1217</f>
        <v>0</v>
      </c>
      <c r="H1308" s="4">
        <f>'Raw data'!G1217</f>
        <v>0</v>
      </c>
      <c r="I1308" s="29" t="e">
        <f>VLOOKUP(G1308,제품명!$C$1:$E$114,2,0)</f>
        <v>#N/A</v>
      </c>
      <c r="J1308" s="29">
        <f>'Raw data'!K1217</f>
        <v>0</v>
      </c>
      <c r="K1308" s="31">
        <f>'Raw data'!H1217</f>
        <v>0</v>
      </c>
      <c r="L1308" s="26">
        <f t="shared" si="44"/>
        <v>0</v>
      </c>
    </row>
    <row r="1309" spans="2:12">
      <c r="B1309" s="4" t="e">
        <f t="shared" si="43"/>
        <v>#N/A</v>
      </c>
      <c r="C1309" s="4">
        <f>'Raw data'!E1218</f>
        <v>0</v>
      </c>
      <c r="D1309" s="29" t="e">
        <f>VLOOKUP(C1309,'점포코드 '!A:B,2,0)</f>
        <v>#N/A</v>
      </c>
      <c r="E1309" s="30">
        <f>'Raw data'!P1218</f>
        <v>0</v>
      </c>
      <c r="F1309" s="29" t="e">
        <f>VLOOKUP(E1309,'점포코드 '!A:B,2,0)</f>
        <v>#N/A</v>
      </c>
      <c r="G1309" s="46">
        <f>'Raw data'!F1218</f>
        <v>0</v>
      </c>
      <c r="H1309" s="4">
        <f>'Raw data'!G1218</f>
        <v>0</v>
      </c>
      <c r="I1309" s="29" t="e">
        <f>VLOOKUP(G1309,제품명!$C$1:$E$114,2,0)</f>
        <v>#N/A</v>
      </c>
      <c r="J1309" s="29">
        <f>'Raw data'!K1218</f>
        <v>0</v>
      </c>
      <c r="K1309" s="31">
        <f>'Raw data'!H1218</f>
        <v>0</v>
      </c>
      <c r="L1309" s="26">
        <f t="shared" si="44"/>
        <v>0</v>
      </c>
    </row>
    <row r="1310" spans="2:12">
      <c r="B1310" s="4" t="e">
        <f t="shared" si="43"/>
        <v>#N/A</v>
      </c>
      <c r="C1310" s="4">
        <f>'Raw data'!E1219</f>
        <v>0</v>
      </c>
      <c r="D1310" s="29" t="e">
        <f>VLOOKUP(C1310,'점포코드 '!A:B,2,0)</f>
        <v>#N/A</v>
      </c>
      <c r="E1310" s="30">
        <f>'Raw data'!P1219</f>
        <v>0</v>
      </c>
      <c r="F1310" s="29" t="e">
        <f>VLOOKUP(E1310,'점포코드 '!A:B,2,0)</f>
        <v>#N/A</v>
      </c>
      <c r="G1310" s="46">
        <f>'Raw data'!F1219</f>
        <v>0</v>
      </c>
      <c r="H1310" s="4">
        <f>'Raw data'!G1219</f>
        <v>0</v>
      </c>
      <c r="I1310" s="29" t="e">
        <f>VLOOKUP(G1310,제품명!$C$1:$E$114,2,0)</f>
        <v>#N/A</v>
      </c>
      <c r="J1310" s="29">
        <f>'Raw data'!K1219</f>
        <v>0</v>
      </c>
      <c r="K1310" s="31">
        <f>'Raw data'!H1219</f>
        <v>0</v>
      </c>
      <c r="L1310" s="26">
        <f t="shared" si="44"/>
        <v>0</v>
      </c>
    </row>
    <row r="1311" spans="2:12">
      <c r="B1311" s="4" t="e">
        <f t="shared" si="43"/>
        <v>#N/A</v>
      </c>
      <c r="C1311" s="4">
        <f>'Raw data'!E1220</f>
        <v>0</v>
      </c>
      <c r="D1311" s="29" t="e">
        <f>VLOOKUP(C1311,'점포코드 '!A:B,2,0)</f>
        <v>#N/A</v>
      </c>
      <c r="E1311" s="30">
        <f>'Raw data'!P1220</f>
        <v>0</v>
      </c>
      <c r="F1311" s="29" t="e">
        <f>VLOOKUP(E1311,'점포코드 '!A:B,2,0)</f>
        <v>#N/A</v>
      </c>
      <c r="G1311" s="46">
        <f>'Raw data'!F1220</f>
        <v>0</v>
      </c>
      <c r="H1311" s="4">
        <f>'Raw data'!G1220</f>
        <v>0</v>
      </c>
      <c r="I1311" s="29" t="e">
        <f>VLOOKUP(G1311,제품명!$C$1:$E$114,2,0)</f>
        <v>#N/A</v>
      </c>
      <c r="J1311" s="29">
        <f>'Raw data'!K1220</f>
        <v>0</v>
      </c>
      <c r="K1311" s="31">
        <f>'Raw data'!H1220</f>
        <v>0</v>
      </c>
      <c r="L1311" s="26">
        <f t="shared" si="44"/>
        <v>0</v>
      </c>
    </row>
    <row r="1312" spans="2:12">
      <c r="B1312" s="4" t="e">
        <f t="shared" si="43"/>
        <v>#N/A</v>
      </c>
      <c r="C1312" s="4">
        <f>'Raw data'!E1221</f>
        <v>0</v>
      </c>
      <c r="D1312" s="29" t="e">
        <f>VLOOKUP(C1312,'점포코드 '!A:B,2,0)</f>
        <v>#N/A</v>
      </c>
      <c r="E1312" s="30">
        <f>'Raw data'!P1221</f>
        <v>0</v>
      </c>
      <c r="F1312" s="29" t="e">
        <f>VLOOKUP(E1312,'점포코드 '!A:B,2,0)</f>
        <v>#N/A</v>
      </c>
      <c r="G1312" s="46">
        <f>'Raw data'!F1221</f>
        <v>0</v>
      </c>
      <c r="H1312" s="4">
        <f>'Raw data'!G1221</f>
        <v>0</v>
      </c>
      <c r="I1312" s="29" t="e">
        <f>VLOOKUP(G1312,제품명!$C$1:$E$114,2,0)</f>
        <v>#N/A</v>
      </c>
      <c r="J1312" s="29">
        <f>'Raw data'!K1221</f>
        <v>0</v>
      </c>
      <c r="K1312" s="31">
        <f>'Raw data'!H1221</f>
        <v>0</v>
      </c>
      <c r="L1312" s="26">
        <f t="shared" si="44"/>
        <v>0</v>
      </c>
    </row>
    <row r="1313" spans="2:12">
      <c r="B1313" s="4" t="e">
        <f t="shared" si="43"/>
        <v>#N/A</v>
      </c>
      <c r="C1313" s="4">
        <f>'Raw data'!E1222</f>
        <v>0</v>
      </c>
      <c r="D1313" s="29" t="e">
        <f>VLOOKUP(C1313,'점포코드 '!A:B,2,0)</f>
        <v>#N/A</v>
      </c>
      <c r="E1313" s="30">
        <f>'Raw data'!P1222</f>
        <v>0</v>
      </c>
      <c r="F1313" s="29" t="e">
        <f>VLOOKUP(E1313,'점포코드 '!A:B,2,0)</f>
        <v>#N/A</v>
      </c>
      <c r="G1313" s="46">
        <f>'Raw data'!F1222</f>
        <v>0</v>
      </c>
      <c r="H1313" s="4">
        <f>'Raw data'!G1222</f>
        <v>0</v>
      </c>
      <c r="I1313" s="29" t="e">
        <f>VLOOKUP(G1313,제품명!$C$1:$E$114,2,0)</f>
        <v>#N/A</v>
      </c>
      <c r="J1313" s="29">
        <f>'Raw data'!K1222</f>
        <v>0</v>
      </c>
      <c r="K1313" s="31">
        <f>'Raw data'!H1222</f>
        <v>0</v>
      </c>
      <c r="L1313" s="26">
        <f t="shared" si="44"/>
        <v>0</v>
      </c>
    </row>
    <row r="1314" spans="2:12">
      <c r="B1314" s="4" t="e">
        <f t="shared" si="43"/>
        <v>#N/A</v>
      </c>
      <c r="C1314" s="4">
        <f>'Raw data'!E1223</f>
        <v>0</v>
      </c>
      <c r="D1314" s="29" t="e">
        <f>VLOOKUP(C1314,'점포코드 '!A:B,2,0)</f>
        <v>#N/A</v>
      </c>
      <c r="E1314" s="30">
        <f>'Raw data'!P1223</f>
        <v>0</v>
      </c>
      <c r="F1314" s="29" t="e">
        <f>VLOOKUP(E1314,'점포코드 '!A:B,2,0)</f>
        <v>#N/A</v>
      </c>
      <c r="G1314" s="46">
        <f>'Raw data'!F1223</f>
        <v>0</v>
      </c>
      <c r="H1314" s="4">
        <f>'Raw data'!G1223</f>
        <v>0</v>
      </c>
      <c r="I1314" s="29" t="e">
        <f>VLOOKUP(G1314,제품명!$C$1:$E$114,2,0)</f>
        <v>#N/A</v>
      </c>
      <c r="J1314" s="29">
        <f>'Raw data'!K1223</f>
        <v>0</v>
      </c>
      <c r="K1314" s="31">
        <f>'Raw data'!H1223</f>
        <v>0</v>
      </c>
      <c r="L1314" s="26">
        <f t="shared" si="44"/>
        <v>0</v>
      </c>
    </row>
    <row r="1315" spans="2:12">
      <c r="B1315" s="4" t="e">
        <f t="shared" si="43"/>
        <v>#N/A</v>
      </c>
      <c r="C1315" s="4">
        <f>'Raw data'!E1224</f>
        <v>0</v>
      </c>
      <c r="D1315" s="29" t="e">
        <f>VLOOKUP(C1315,'점포코드 '!A:B,2,0)</f>
        <v>#N/A</v>
      </c>
      <c r="E1315" s="30">
        <f>'Raw data'!P1224</f>
        <v>0</v>
      </c>
      <c r="F1315" s="29" t="e">
        <f>VLOOKUP(E1315,'점포코드 '!A:B,2,0)</f>
        <v>#N/A</v>
      </c>
      <c r="G1315" s="46">
        <f>'Raw data'!F1224</f>
        <v>0</v>
      </c>
      <c r="H1315" s="4">
        <f>'Raw data'!G1224</f>
        <v>0</v>
      </c>
      <c r="I1315" s="29" t="e">
        <f>VLOOKUP(G1315,제품명!$C$1:$E$114,2,0)</f>
        <v>#N/A</v>
      </c>
      <c r="J1315" s="29">
        <f>'Raw data'!K1224</f>
        <v>0</v>
      </c>
      <c r="K1315" s="31">
        <f>'Raw data'!H1224</f>
        <v>0</v>
      </c>
      <c r="L1315" s="26">
        <f t="shared" si="44"/>
        <v>0</v>
      </c>
    </row>
    <row r="1316" spans="2:12">
      <c r="B1316" s="4" t="e">
        <f t="shared" si="43"/>
        <v>#N/A</v>
      </c>
      <c r="C1316" s="4">
        <f>'Raw data'!E1225</f>
        <v>0</v>
      </c>
      <c r="D1316" s="29" t="e">
        <f>VLOOKUP(C1316,'점포코드 '!A:B,2,0)</f>
        <v>#N/A</v>
      </c>
      <c r="E1316" s="30">
        <f>'Raw data'!P1225</f>
        <v>0</v>
      </c>
      <c r="F1316" s="29" t="e">
        <f>VLOOKUP(E1316,'점포코드 '!A:B,2,0)</f>
        <v>#N/A</v>
      </c>
      <c r="G1316" s="46">
        <f>'Raw data'!F1225</f>
        <v>0</v>
      </c>
      <c r="H1316" s="4">
        <f>'Raw data'!G1225</f>
        <v>0</v>
      </c>
      <c r="I1316" s="29" t="e">
        <f>VLOOKUP(G1316,제품명!$C$1:$E$114,2,0)</f>
        <v>#N/A</v>
      </c>
      <c r="J1316" s="29">
        <f>'Raw data'!K1225</f>
        <v>0</v>
      </c>
      <c r="K1316" s="31">
        <f>'Raw data'!H1225</f>
        <v>0</v>
      </c>
      <c r="L1316" s="26">
        <f t="shared" si="44"/>
        <v>0</v>
      </c>
    </row>
    <row r="1317" spans="2:12">
      <c r="B1317" s="4" t="e">
        <f t="shared" si="43"/>
        <v>#N/A</v>
      </c>
      <c r="C1317" s="4">
        <f>'Raw data'!E1226</f>
        <v>0</v>
      </c>
      <c r="D1317" s="29" t="e">
        <f>VLOOKUP(C1317,'점포코드 '!A:B,2,0)</f>
        <v>#N/A</v>
      </c>
      <c r="E1317" s="30">
        <f>'Raw data'!P1226</f>
        <v>0</v>
      </c>
      <c r="F1317" s="29" t="e">
        <f>VLOOKUP(E1317,'점포코드 '!A:B,2,0)</f>
        <v>#N/A</v>
      </c>
      <c r="G1317" s="46">
        <f>'Raw data'!F1226</f>
        <v>0</v>
      </c>
      <c r="H1317" s="4">
        <f>'Raw data'!G1226</f>
        <v>0</v>
      </c>
      <c r="I1317" s="29" t="e">
        <f>VLOOKUP(G1317,제품명!$C$1:$E$114,2,0)</f>
        <v>#N/A</v>
      </c>
      <c r="J1317" s="29">
        <f>'Raw data'!K1226</f>
        <v>0</v>
      </c>
      <c r="K1317" s="31">
        <f>'Raw data'!H1226</f>
        <v>0</v>
      </c>
      <c r="L1317" s="26">
        <f t="shared" si="44"/>
        <v>0</v>
      </c>
    </row>
    <row r="1318" spans="2:12">
      <c r="B1318" s="4" t="e">
        <f t="shared" si="43"/>
        <v>#N/A</v>
      </c>
      <c r="C1318" s="4">
        <f>'Raw data'!E1227</f>
        <v>0</v>
      </c>
      <c r="D1318" s="29" t="e">
        <f>VLOOKUP(C1318,'점포코드 '!A:B,2,0)</f>
        <v>#N/A</v>
      </c>
      <c r="E1318" s="30">
        <f>'Raw data'!P1227</f>
        <v>0</v>
      </c>
      <c r="F1318" s="29" t="e">
        <f>VLOOKUP(E1318,'점포코드 '!A:B,2,0)</f>
        <v>#N/A</v>
      </c>
      <c r="G1318" s="46">
        <f>'Raw data'!F1227</f>
        <v>0</v>
      </c>
      <c r="H1318" s="4">
        <f>'Raw data'!G1227</f>
        <v>0</v>
      </c>
      <c r="I1318" s="29" t="e">
        <f>VLOOKUP(G1318,제품명!$C$1:$E$114,2,0)</f>
        <v>#N/A</v>
      </c>
      <c r="J1318" s="29">
        <f>'Raw data'!K1227</f>
        <v>0</v>
      </c>
      <c r="K1318" s="31">
        <f>'Raw data'!H1227</f>
        <v>0</v>
      </c>
      <c r="L1318" s="26">
        <f t="shared" si="44"/>
        <v>0</v>
      </c>
    </row>
    <row r="1319" spans="2:12">
      <c r="B1319" s="4" t="e">
        <f t="shared" si="43"/>
        <v>#N/A</v>
      </c>
      <c r="C1319" s="4">
        <f>'Raw data'!E1228</f>
        <v>0</v>
      </c>
      <c r="D1319" s="29" t="e">
        <f>VLOOKUP(C1319,'점포코드 '!A:B,2,0)</f>
        <v>#N/A</v>
      </c>
      <c r="E1319" s="30">
        <f>'Raw data'!P1228</f>
        <v>0</v>
      </c>
      <c r="F1319" s="29" t="e">
        <f>VLOOKUP(E1319,'점포코드 '!A:B,2,0)</f>
        <v>#N/A</v>
      </c>
      <c r="G1319" s="46">
        <f>'Raw data'!F1228</f>
        <v>0</v>
      </c>
      <c r="H1319" s="4">
        <f>'Raw data'!G1228</f>
        <v>0</v>
      </c>
      <c r="I1319" s="29" t="e">
        <f>VLOOKUP(G1319,제품명!$C$1:$E$114,2,0)</f>
        <v>#N/A</v>
      </c>
      <c r="J1319" s="29">
        <f>'Raw data'!K1228</f>
        <v>0</v>
      </c>
      <c r="K1319" s="31">
        <f>'Raw data'!H1228</f>
        <v>0</v>
      </c>
      <c r="L1319" s="26">
        <f t="shared" si="44"/>
        <v>0</v>
      </c>
    </row>
    <row r="1320" spans="2:12">
      <c r="B1320" s="4" t="e">
        <f t="shared" si="43"/>
        <v>#N/A</v>
      </c>
      <c r="C1320" s="4">
        <f>'Raw data'!E1229</f>
        <v>0</v>
      </c>
      <c r="D1320" s="29" t="e">
        <f>VLOOKUP(C1320,'점포코드 '!A:B,2,0)</f>
        <v>#N/A</v>
      </c>
      <c r="E1320" s="30">
        <f>'Raw data'!P1229</f>
        <v>0</v>
      </c>
      <c r="F1320" s="29" t="e">
        <f>VLOOKUP(E1320,'점포코드 '!A:B,2,0)</f>
        <v>#N/A</v>
      </c>
      <c r="G1320" s="46">
        <f>'Raw data'!F1229</f>
        <v>0</v>
      </c>
      <c r="H1320" s="4">
        <f>'Raw data'!G1229</f>
        <v>0</v>
      </c>
      <c r="I1320" s="29" t="e">
        <f>VLOOKUP(G1320,제품명!$C$1:$E$114,2,0)</f>
        <v>#N/A</v>
      </c>
      <c r="J1320" s="29">
        <f>'Raw data'!K1229</f>
        <v>0</v>
      </c>
      <c r="K1320" s="31">
        <f>'Raw data'!H1229</f>
        <v>0</v>
      </c>
      <c r="L1320" s="26">
        <f t="shared" si="44"/>
        <v>0</v>
      </c>
    </row>
    <row r="1321" spans="2:12">
      <c r="B1321" s="4" t="e">
        <f t="shared" si="43"/>
        <v>#N/A</v>
      </c>
      <c r="C1321" s="4">
        <f>'Raw data'!E1230</f>
        <v>0</v>
      </c>
      <c r="D1321" s="29" t="e">
        <f>VLOOKUP(C1321,'점포코드 '!A:B,2,0)</f>
        <v>#N/A</v>
      </c>
      <c r="E1321" s="30">
        <f>'Raw data'!P1230</f>
        <v>0</v>
      </c>
      <c r="F1321" s="29" t="e">
        <f>VLOOKUP(E1321,'점포코드 '!A:B,2,0)</f>
        <v>#N/A</v>
      </c>
      <c r="G1321" s="46">
        <f>'Raw data'!F1230</f>
        <v>0</v>
      </c>
      <c r="H1321" s="4">
        <f>'Raw data'!G1230</f>
        <v>0</v>
      </c>
      <c r="I1321" s="29" t="e">
        <f>VLOOKUP(G1321,제품명!$C$1:$E$114,2,0)</f>
        <v>#N/A</v>
      </c>
      <c r="J1321" s="29">
        <f>'Raw data'!K1230</f>
        <v>0</v>
      </c>
      <c r="K1321" s="31">
        <f>'Raw data'!H1230</f>
        <v>0</v>
      </c>
      <c r="L1321" s="26">
        <f t="shared" si="44"/>
        <v>0</v>
      </c>
    </row>
    <row r="1322" spans="2:12">
      <c r="B1322" s="4" t="e">
        <f t="shared" si="43"/>
        <v>#N/A</v>
      </c>
      <c r="C1322" s="4">
        <f>'Raw data'!E1231</f>
        <v>0</v>
      </c>
      <c r="D1322" s="29" t="e">
        <f>VLOOKUP(C1322,'점포코드 '!A:B,2,0)</f>
        <v>#N/A</v>
      </c>
      <c r="E1322" s="30">
        <f>'Raw data'!P1231</f>
        <v>0</v>
      </c>
      <c r="F1322" s="29" t="e">
        <f>VLOOKUP(E1322,'점포코드 '!A:B,2,0)</f>
        <v>#N/A</v>
      </c>
      <c r="G1322" s="46">
        <f>'Raw data'!F1231</f>
        <v>0</v>
      </c>
      <c r="H1322" s="4">
        <f>'Raw data'!G1231</f>
        <v>0</v>
      </c>
      <c r="I1322" s="29" t="e">
        <f>VLOOKUP(G1322,제품명!$C$1:$E$114,2,0)</f>
        <v>#N/A</v>
      </c>
      <c r="J1322" s="29">
        <f>'Raw data'!K1231</f>
        <v>0</v>
      </c>
      <c r="K1322" s="31">
        <f>'Raw data'!H1231</f>
        <v>0</v>
      </c>
      <c r="L1322" s="26">
        <f t="shared" si="44"/>
        <v>0</v>
      </c>
    </row>
    <row r="1323" spans="2:12">
      <c r="B1323" s="4" t="e">
        <f t="shared" si="43"/>
        <v>#N/A</v>
      </c>
      <c r="C1323" s="4">
        <f>'Raw data'!E1232</f>
        <v>0</v>
      </c>
      <c r="D1323" s="29" t="e">
        <f>VLOOKUP(C1323,'점포코드 '!A:B,2,0)</f>
        <v>#N/A</v>
      </c>
      <c r="E1323" s="30">
        <f>'Raw data'!P1232</f>
        <v>0</v>
      </c>
      <c r="F1323" s="29" t="e">
        <f>VLOOKUP(E1323,'점포코드 '!A:B,2,0)</f>
        <v>#N/A</v>
      </c>
      <c r="G1323" s="46">
        <f>'Raw data'!F1232</f>
        <v>0</v>
      </c>
      <c r="H1323" s="4">
        <f>'Raw data'!G1232</f>
        <v>0</v>
      </c>
      <c r="I1323" s="29" t="e">
        <f>VLOOKUP(G1323,제품명!$C$1:$E$114,2,0)</f>
        <v>#N/A</v>
      </c>
      <c r="J1323" s="29">
        <f>'Raw data'!K1232</f>
        <v>0</v>
      </c>
      <c r="K1323" s="31">
        <f>'Raw data'!H1232</f>
        <v>0</v>
      </c>
      <c r="L1323" s="26">
        <f t="shared" si="44"/>
        <v>0</v>
      </c>
    </row>
    <row r="1324" spans="2:12">
      <c r="B1324" s="4" t="e">
        <f t="shared" si="43"/>
        <v>#N/A</v>
      </c>
      <c r="C1324" s="4">
        <f>'Raw data'!E1233</f>
        <v>0</v>
      </c>
      <c r="D1324" s="29" t="e">
        <f>VLOOKUP(C1324,'점포코드 '!A:B,2,0)</f>
        <v>#N/A</v>
      </c>
      <c r="E1324" s="30">
        <f>'Raw data'!P1233</f>
        <v>0</v>
      </c>
      <c r="F1324" s="29" t="e">
        <f>VLOOKUP(E1324,'점포코드 '!A:B,2,0)</f>
        <v>#N/A</v>
      </c>
      <c r="G1324" s="46">
        <f>'Raw data'!F1233</f>
        <v>0</v>
      </c>
      <c r="H1324" s="4">
        <f>'Raw data'!G1233</f>
        <v>0</v>
      </c>
      <c r="I1324" s="29" t="e">
        <f>VLOOKUP(G1324,제품명!$C$1:$E$114,2,0)</f>
        <v>#N/A</v>
      </c>
      <c r="J1324" s="29">
        <f>'Raw data'!K1233</f>
        <v>0</v>
      </c>
      <c r="K1324" s="31">
        <f>'Raw data'!H1233</f>
        <v>0</v>
      </c>
      <c r="L1324" s="26">
        <f t="shared" si="44"/>
        <v>0</v>
      </c>
    </row>
    <row r="1325" spans="2:12">
      <c r="B1325" s="4" t="e">
        <f t="shared" si="43"/>
        <v>#N/A</v>
      </c>
      <c r="C1325" s="4">
        <f>'Raw data'!E1234</f>
        <v>0</v>
      </c>
      <c r="D1325" s="29" t="e">
        <f>VLOOKUP(C1325,'점포코드 '!A:B,2,0)</f>
        <v>#N/A</v>
      </c>
      <c r="E1325" s="30">
        <f>'Raw data'!P1234</f>
        <v>0</v>
      </c>
      <c r="F1325" s="29" t="e">
        <f>VLOOKUP(E1325,'점포코드 '!A:B,2,0)</f>
        <v>#N/A</v>
      </c>
      <c r="G1325" s="46">
        <f>'Raw data'!F1234</f>
        <v>0</v>
      </c>
      <c r="H1325" s="4">
        <f>'Raw data'!G1234</f>
        <v>0</v>
      </c>
      <c r="I1325" s="29" t="e">
        <f>VLOOKUP(G1325,제품명!$C$1:$E$114,2,0)</f>
        <v>#N/A</v>
      </c>
      <c r="J1325" s="29">
        <f>'Raw data'!K1234</f>
        <v>0</v>
      </c>
      <c r="K1325" s="31">
        <f>'Raw data'!H1234</f>
        <v>0</v>
      </c>
      <c r="L1325" s="26">
        <f t="shared" si="44"/>
        <v>0</v>
      </c>
    </row>
    <row r="1326" spans="2:12">
      <c r="B1326" s="4" t="e">
        <f t="shared" si="43"/>
        <v>#N/A</v>
      </c>
      <c r="C1326" s="4">
        <f>'Raw data'!E1235</f>
        <v>0</v>
      </c>
      <c r="D1326" s="29" t="e">
        <f>VLOOKUP(C1326,'점포코드 '!A:B,2,0)</f>
        <v>#N/A</v>
      </c>
      <c r="E1326" s="30">
        <f>'Raw data'!P1235</f>
        <v>0</v>
      </c>
      <c r="F1326" s="29" t="e">
        <f>VLOOKUP(E1326,'점포코드 '!A:B,2,0)</f>
        <v>#N/A</v>
      </c>
      <c r="G1326" s="46">
        <f>'Raw data'!F1235</f>
        <v>0</v>
      </c>
      <c r="H1326" s="4">
        <f>'Raw data'!G1235</f>
        <v>0</v>
      </c>
      <c r="I1326" s="29" t="e">
        <f>VLOOKUP(G1326,제품명!$C$1:$E$114,2,0)</f>
        <v>#N/A</v>
      </c>
      <c r="J1326" s="29">
        <f>'Raw data'!K1235</f>
        <v>0</v>
      </c>
      <c r="K1326" s="31">
        <f>'Raw data'!H1235</f>
        <v>0</v>
      </c>
      <c r="L1326" s="26">
        <f t="shared" si="44"/>
        <v>0</v>
      </c>
    </row>
    <row r="1327" spans="2:12">
      <c r="B1327" s="4" t="e">
        <f t="shared" si="43"/>
        <v>#N/A</v>
      </c>
      <c r="C1327" s="4">
        <f>'Raw data'!E1236</f>
        <v>0</v>
      </c>
      <c r="D1327" s="29" t="e">
        <f>VLOOKUP(C1327,'점포코드 '!A:B,2,0)</f>
        <v>#N/A</v>
      </c>
      <c r="E1327" s="30">
        <f>'Raw data'!P1236</f>
        <v>0</v>
      </c>
      <c r="F1327" s="29" t="e">
        <f>VLOOKUP(E1327,'점포코드 '!A:B,2,0)</f>
        <v>#N/A</v>
      </c>
      <c r="G1327" s="46">
        <f>'Raw data'!F1236</f>
        <v>0</v>
      </c>
      <c r="H1327" s="4">
        <f>'Raw data'!G1236</f>
        <v>0</v>
      </c>
      <c r="I1327" s="29" t="e">
        <f>VLOOKUP(G1327,제품명!$C$1:$E$114,2,0)</f>
        <v>#N/A</v>
      </c>
      <c r="J1327" s="29">
        <f>'Raw data'!K1236</f>
        <v>0</v>
      </c>
      <c r="K1327" s="31">
        <f>'Raw data'!H1236</f>
        <v>0</v>
      </c>
      <c r="L1327" s="26">
        <f t="shared" si="44"/>
        <v>0</v>
      </c>
    </row>
    <row r="1328" spans="2:12">
      <c r="B1328" s="4" t="e">
        <f t="shared" si="43"/>
        <v>#N/A</v>
      </c>
      <c r="C1328" s="4">
        <f>'Raw data'!E1237</f>
        <v>0</v>
      </c>
      <c r="D1328" s="29" t="e">
        <f>VLOOKUP(C1328,'점포코드 '!A:B,2,0)</f>
        <v>#N/A</v>
      </c>
      <c r="E1328" s="30">
        <f>'Raw data'!P1237</f>
        <v>0</v>
      </c>
      <c r="F1328" s="29" t="e">
        <f>VLOOKUP(E1328,'점포코드 '!A:B,2,0)</f>
        <v>#N/A</v>
      </c>
      <c r="G1328" s="46">
        <f>'Raw data'!F1237</f>
        <v>0</v>
      </c>
      <c r="H1328" s="4">
        <f>'Raw data'!G1237</f>
        <v>0</v>
      </c>
      <c r="I1328" s="29" t="e">
        <f>VLOOKUP(G1328,제품명!$C$1:$E$114,2,0)</f>
        <v>#N/A</v>
      </c>
      <c r="J1328" s="29">
        <f>'Raw data'!K1237</f>
        <v>0</v>
      </c>
      <c r="K1328" s="31">
        <f>'Raw data'!H1237</f>
        <v>0</v>
      </c>
      <c r="L1328" s="26">
        <f t="shared" si="44"/>
        <v>0</v>
      </c>
    </row>
    <row r="1329" spans="2:12">
      <c r="B1329" s="4" t="e">
        <f t="shared" si="43"/>
        <v>#N/A</v>
      </c>
      <c r="C1329" s="4">
        <f>'Raw data'!E1238</f>
        <v>0</v>
      </c>
      <c r="D1329" s="29" t="e">
        <f>VLOOKUP(C1329,'점포코드 '!A:B,2,0)</f>
        <v>#N/A</v>
      </c>
      <c r="E1329" s="30">
        <f>'Raw data'!P1238</f>
        <v>0</v>
      </c>
      <c r="F1329" s="29" t="e">
        <f>VLOOKUP(E1329,'점포코드 '!A:B,2,0)</f>
        <v>#N/A</v>
      </c>
      <c r="G1329" s="46">
        <f>'Raw data'!F1238</f>
        <v>0</v>
      </c>
      <c r="H1329" s="4">
        <f>'Raw data'!G1238</f>
        <v>0</v>
      </c>
      <c r="I1329" s="29" t="e">
        <f>VLOOKUP(G1329,제품명!$C$1:$E$114,2,0)</f>
        <v>#N/A</v>
      </c>
      <c r="J1329" s="29">
        <f>'Raw data'!K1238</f>
        <v>0</v>
      </c>
      <c r="K1329" s="31">
        <f>'Raw data'!H1238</f>
        <v>0</v>
      </c>
      <c r="L1329" s="26">
        <f t="shared" si="44"/>
        <v>0</v>
      </c>
    </row>
    <row r="1330" spans="2:12">
      <c r="B1330" s="4" t="e">
        <f t="shared" si="43"/>
        <v>#N/A</v>
      </c>
      <c r="C1330" s="4">
        <f>'Raw data'!E1239</f>
        <v>0</v>
      </c>
      <c r="D1330" s="29" t="e">
        <f>VLOOKUP(C1330,'점포코드 '!A:B,2,0)</f>
        <v>#N/A</v>
      </c>
      <c r="E1330" s="30">
        <f>'Raw data'!P1239</f>
        <v>0</v>
      </c>
      <c r="F1330" s="29" t="e">
        <f>VLOOKUP(E1330,'점포코드 '!A:B,2,0)</f>
        <v>#N/A</v>
      </c>
      <c r="G1330" s="46">
        <f>'Raw data'!F1239</f>
        <v>0</v>
      </c>
      <c r="H1330" s="4">
        <f>'Raw data'!G1239</f>
        <v>0</v>
      </c>
      <c r="I1330" s="29" t="e">
        <f>VLOOKUP(G1330,제품명!$C$1:$E$114,2,0)</f>
        <v>#N/A</v>
      </c>
      <c r="J1330" s="29">
        <f>'Raw data'!K1239</f>
        <v>0</v>
      </c>
      <c r="K1330" s="31">
        <f>'Raw data'!H1239</f>
        <v>0</v>
      </c>
      <c r="L1330" s="26">
        <f t="shared" si="44"/>
        <v>0</v>
      </c>
    </row>
    <row r="1331" spans="2:12">
      <c r="B1331" s="4" t="e">
        <f t="shared" si="43"/>
        <v>#N/A</v>
      </c>
      <c r="C1331" s="4">
        <f>'Raw data'!E1240</f>
        <v>0</v>
      </c>
      <c r="D1331" s="29" t="e">
        <f>VLOOKUP(C1331,'점포코드 '!A:B,2,0)</f>
        <v>#N/A</v>
      </c>
      <c r="E1331" s="30">
        <f>'Raw data'!P1240</f>
        <v>0</v>
      </c>
      <c r="F1331" s="29" t="e">
        <f>VLOOKUP(E1331,'점포코드 '!A:B,2,0)</f>
        <v>#N/A</v>
      </c>
      <c r="G1331" s="46">
        <f>'Raw data'!F1240</f>
        <v>0</v>
      </c>
      <c r="H1331" s="4">
        <f>'Raw data'!G1240</f>
        <v>0</v>
      </c>
      <c r="I1331" s="29" t="e">
        <f>VLOOKUP(G1331,제품명!$C$1:$E$114,2,0)</f>
        <v>#N/A</v>
      </c>
      <c r="J1331" s="29">
        <f>'Raw data'!K1240</f>
        <v>0</v>
      </c>
      <c r="K1331" s="31">
        <f>'Raw data'!H1240</f>
        <v>0</v>
      </c>
      <c r="L1331" s="26">
        <f t="shared" si="44"/>
        <v>0</v>
      </c>
    </row>
    <row r="1332" spans="2:12">
      <c r="B1332" s="4" t="e">
        <f t="shared" si="43"/>
        <v>#N/A</v>
      </c>
      <c r="C1332" s="4">
        <f>'Raw data'!E1241</f>
        <v>0</v>
      </c>
      <c r="D1332" s="29" t="e">
        <f>VLOOKUP(C1332,'점포코드 '!A:B,2,0)</f>
        <v>#N/A</v>
      </c>
      <c r="E1332" s="30">
        <f>'Raw data'!P1241</f>
        <v>0</v>
      </c>
      <c r="F1332" s="29" t="e">
        <f>VLOOKUP(E1332,'점포코드 '!A:B,2,0)</f>
        <v>#N/A</v>
      </c>
      <c r="G1332" s="46">
        <f>'Raw data'!F1241</f>
        <v>0</v>
      </c>
      <c r="H1332" s="4">
        <f>'Raw data'!G1241</f>
        <v>0</v>
      </c>
      <c r="I1332" s="29" t="e">
        <f>VLOOKUP(G1332,제품명!$C$1:$E$114,2,0)</f>
        <v>#N/A</v>
      </c>
      <c r="J1332" s="29">
        <f>'Raw data'!K1241</f>
        <v>0</v>
      </c>
      <c r="K1332" s="31">
        <f>'Raw data'!H1241</f>
        <v>0</v>
      </c>
      <c r="L1332" s="26">
        <f t="shared" si="44"/>
        <v>0</v>
      </c>
    </row>
    <row r="1333" spans="2:12">
      <c r="B1333" s="4" t="e">
        <f t="shared" si="43"/>
        <v>#N/A</v>
      </c>
      <c r="C1333" s="4">
        <f>'Raw data'!E1242</f>
        <v>0</v>
      </c>
      <c r="D1333" s="29" t="e">
        <f>VLOOKUP(C1333,'점포코드 '!A:B,2,0)</f>
        <v>#N/A</v>
      </c>
      <c r="E1333" s="30">
        <f>'Raw data'!P1242</f>
        <v>0</v>
      </c>
      <c r="F1333" s="29" t="e">
        <f>VLOOKUP(E1333,'점포코드 '!A:B,2,0)</f>
        <v>#N/A</v>
      </c>
      <c r="G1333" s="46">
        <f>'Raw data'!F1242</f>
        <v>0</v>
      </c>
      <c r="H1333" s="4">
        <f>'Raw data'!G1242</f>
        <v>0</v>
      </c>
      <c r="I1333" s="29" t="e">
        <f>VLOOKUP(G1333,제품명!$C$1:$E$114,2,0)</f>
        <v>#N/A</v>
      </c>
      <c r="J1333" s="29">
        <f>'Raw data'!K1242</f>
        <v>0</v>
      </c>
      <c r="K1333" s="31">
        <f>'Raw data'!H1242</f>
        <v>0</v>
      </c>
      <c r="L1333" s="26">
        <f t="shared" si="44"/>
        <v>0</v>
      </c>
    </row>
    <row r="1334" spans="2:12">
      <c r="B1334" s="4" t="e">
        <f t="shared" si="43"/>
        <v>#N/A</v>
      </c>
      <c r="C1334" s="4">
        <f>'Raw data'!E1243</f>
        <v>0</v>
      </c>
      <c r="D1334" s="29" t="e">
        <f>VLOOKUP(C1334,'점포코드 '!A:B,2,0)</f>
        <v>#N/A</v>
      </c>
      <c r="E1334" s="30">
        <f>'Raw data'!P1243</f>
        <v>0</v>
      </c>
      <c r="F1334" s="29" t="e">
        <f>VLOOKUP(E1334,'점포코드 '!A:B,2,0)</f>
        <v>#N/A</v>
      </c>
      <c r="G1334" s="46">
        <f>'Raw data'!F1243</f>
        <v>0</v>
      </c>
      <c r="H1334" s="4">
        <f>'Raw data'!G1243</f>
        <v>0</v>
      </c>
      <c r="I1334" s="29" t="e">
        <f>VLOOKUP(G1334,제품명!$C$1:$E$114,2,0)</f>
        <v>#N/A</v>
      </c>
      <c r="J1334" s="29">
        <f>'Raw data'!K1243</f>
        <v>0</v>
      </c>
      <c r="K1334" s="31">
        <f>'Raw data'!H1243</f>
        <v>0</v>
      </c>
      <c r="L1334" s="26">
        <f t="shared" si="44"/>
        <v>0</v>
      </c>
    </row>
    <row r="1335" spans="2:12">
      <c r="B1335" s="4" t="e">
        <f t="shared" si="43"/>
        <v>#N/A</v>
      </c>
      <c r="C1335" s="4">
        <f>'Raw data'!E1244</f>
        <v>0</v>
      </c>
      <c r="D1335" s="29" t="e">
        <f>VLOOKUP(C1335,'점포코드 '!A:B,2,0)</f>
        <v>#N/A</v>
      </c>
      <c r="E1335" s="30">
        <f>'Raw data'!P1244</f>
        <v>0</v>
      </c>
      <c r="F1335" s="29" t="e">
        <f>VLOOKUP(E1335,'점포코드 '!A:B,2,0)</f>
        <v>#N/A</v>
      </c>
      <c r="G1335" s="46">
        <f>'Raw data'!F1244</f>
        <v>0</v>
      </c>
      <c r="H1335" s="4">
        <f>'Raw data'!G1244</f>
        <v>0</v>
      </c>
      <c r="I1335" s="29" t="e">
        <f>VLOOKUP(G1335,제품명!$C$1:$E$114,2,0)</f>
        <v>#N/A</v>
      </c>
      <c r="J1335" s="29">
        <f>'Raw data'!K1244</f>
        <v>0</v>
      </c>
      <c r="K1335" s="31">
        <f>'Raw data'!H1244</f>
        <v>0</v>
      </c>
      <c r="L1335" s="26">
        <f t="shared" si="44"/>
        <v>0</v>
      </c>
    </row>
    <row r="1336" spans="2:12">
      <c r="B1336" s="4" t="e">
        <f t="shared" si="43"/>
        <v>#N/A</v>
      </c>
      <c r="C1336" s="4">
        <f>'Raw data'!E1245</f>
        <v>0</v>
      </c>
      <c r="D1336" s="29" t="e">
        <f>VLOOKUP(C1336,'점포코드 '!A:B,2,0)</f>
        <v>#N/A</v>
      </c>
      <c r="E1336" s="30">
        <f>'Raw data'!P1245</f>
        <v>0</v>
      </c>
      <c r="F1336" s="29" t="e">
        <f>VLOOKUP(E1336,'점포코드 '!A:B,2,0)</f>
        <v>#N/A</v>
      </c>
      <c r="G1336" s="46">
        <f>'Raw data'!F1245</f>
        <v>0</v>
      </c>
      <c r="H1336" s="4">
        <f>'Raw data'!G1245</f>
        <v>0</v>
      </c>
      <c r="I1336" s="29" t="e">
        <f>VLOOKUP(G1336,제품명!$C$1:$E$114,2,0)</f>
        <v>#N/A</v>
      </c>
      <c r="J1336" s="29">
        <f>'Raw data'!K1245</f>
        <v>0</v>
      </c>
      <c r="K1336" s="31">
        <f>'Raw data'!H1245</f>
        <v>0</v>
      </c>
      <c r="L1336" s="26">
        <f t="shared" si="44"/>
        <v>0</v>
      </c>
    </row>
    <row r="1337" spans="2:12">
      <c r="B1337" s="4" t="e">
        <f t="shared" si="43"/>
        <v>#N/A</v>
      </c>
      <c r="C1337" s="4">
        <f>'Raw data'!E1246</f>
        <v>0</v>
      </c>
      <c r="D1337" s="29" t="e">
        <f>VLOOKUP(C1337,'점포코드 '!A:B,2,0)</f>
        <v>#N/A</v>
      </c>
      <c r="E1337" s="30">
        <f>'Raw data'!P1246</f>
        <v>0</v>
      </c>
      <c r="F1337" s="29" t="e">
        <f>VLOOKUP(E1337,'점포코드 '!A:B,2,0)</f>
        <v>#N/A</v>
      </c>
      <c r="G1337" s="46">
        <f>'Raw data'!F1246</f>
        <v>0</v>
      </c>
      <c r="H1337" s="4">
        <f>'Raw data'!G1246</f>
        <v>0</v>
      </c>
      <c r="I1337" s="29" t="e">
        <f>VLOOKUP(G1337,제품명!$C$1:$E$114,2,0)</f>
        <v>#N/A</v>
      </c>
      <c r="J1337" s="29">
        <f>'Raw data'!K1246</f>
        <v>0</v>
      </c>
      <c r="K1337" s="31">
        <f>'Raw data'!H1246</f>
        <v>0</v>
      </c>
      <c r="L1337" s="26">
        <f t="shared" si="44"/>
        <v>0</v>
      </c>
    </row>
    <row r="1338" spans="2:12">
      <c r="B1338" s="4" t="e">
        <f t="shared" si="43"/>
        <v>#N/A</v>
      </c>
      <c r="C1338" s="4">
        <f>'Raw data'!E1247</f>
        <v>0</v>
      </c>
      <c r="D1338" s="29" t="e">
        <f>VLOOKUP(C1338,'점포코드 '!A:B,2,0)</f>
        <v>#N/A</v>
      </c>
      <c r="E1338" s="30">
        <f>'Raw data'!P1247</f>
        <v>0</v>
      </c>
      <c r="F1338" s="29" t="e">
        <f>VLOOKUP(E1338,'점포코드 '!A:B,2,0)</f>
        <v>#N/A</v>
      </c>
      <c r="G1338" s="46">
        <f>'Raw data'!F1247</f>
        <v>0</v>
      </c>
      <c r="H1338" s="4">
        <f>'Raw data'!G1247</f>
        <v>0</v>
      </c>
      <c r="I1338" s="29" t="e">
        <f>VLOOKUP(G1338,제품명!$C$1:$E$114,2,0)</f>
        <v>#N/A</v>
      </c>
      <c r="J1338" s="29">
        <f>'Raw data'!K1247</f>
        <v>0</v>
      </c>
      <c r="K1338" s="31">
        <f>'Raw data'!H1247</f>
        <v>0</v>
      </c>
      <c r="L1338" s="26">
        <f t="shared" si="44"/>
        <v>0</v>
      </c>
    </row>
    <row r="1339" spans="2:12">
      <c r="B1339" s="4" t="e">
        <f t="shared" si="43"/>
        <v>#N/A</v>
      </c>
      <c r="C1339" s="4">
        <f>'Raw data'!E1248</f>
        <v>0</v>
      </c>
      <c r="D1339" s="29" t="e">
        <f>VLOOKUP(C1339,'점포코드 '!A:B,2,0)</f>
        <v>#N/A</v>
      </c>
      <c r="E1339" s="30">
        <f>'Raw data'!P1248</f>
        <v>0</v>
      </c>
      <c r="F1339" s="29" t="e">
        <f>VLOOKUP(E1339,'점포코드 '!A:B,2,0)</f>
        <v>#N/A</v>
      </c>
      <c r="G1339" s="46">
        <f>'Raw data'!F1248</f>
        <v>0</v>
      </c>
      <c r="H1339" s="4">
        <f>'Raw data'!G1248</f>
        <v>0</v>
      </c>
      <c r="I1339" s="29" t="e">
        <f>VLOOKUP(G1339,제품명!$C$1:$E$114,2,0)</f>
        <v>#N/A</v>
      </c>
      <c r="J1339" s="29">
        <f>'Raw data'!K1248</f>
        <v>0</v>
      </c>
      <c r="K1339" s="31">
        <f>'Raw data'!H1248</f>
        <v>0</v>
      </c>
      <c r="L1339" s="26">
        <f t="shared" si="44"/>
        <v>0</v>
      </c>
    </row>
    <row r="1340" spans="2:12">
      <c r="B1340" s="4" t="e">
        <f t="shared" si="43"/>
        <v>#N/A</v>
      </c>
      <c r="C1340" s="4">
        <f>'Raw data'!E1249</f>
        <v>0</v>
      </c>
      <c r="D1340" s="29" t="e">
        <f>VLOOKUP(C1340,'점포코드 '!A:B,2,0)</f>
        <v>#N/A</v>
      </c>
      <c r="E1340" s="30">
        <f>'Raw data'!P1249</f>
        <v>0</v>
      </c>
      <c r="F1340" s="29" t="e">
        <f>VLOOKUP(E1340,'점포코드 '!A:B,2,0)</f>
        <v>#N/A</v>
      </c>
      <c r="G1340" s="46">
        <f>'Raw data'!F1249</f>
        <v>0</v>
      </c>
      <c r="H1340" s="4">
        <f>'Raw data'!G1249</f>
        <v>0</v>
      </c>
      <c r="I1340" s="29" t="e">
        <f>VLOOKUP(G1340,제품명!$C$1:$E$114,2,0)</f>
        <v>#N/A</v>
      </c>
      <c r="J1340" s="29">
        <f>'Raw data'!K1249</f>
        <v>0</v>
      </c>
      <c r="K1340" s="31">
        <f>'Raw data'!H1249</f>
        <v>0</v>
      </c>
      <c r="L1340" s="26">
        <f t="shared" si="44"/>
        <v>0</v>
      </c>
    </row>
    <row r="1341" spans="2:12">
      <c r="B1341" s="4" t="e">
        <f t="shared" si="43"/>
        <v>#N/A</v>
      </c>
      <c r="C1341" s="4">
        <f>'Raw data'!E1250</f>
        <v>0</v>
      </c>
      <c r="D1341" s="29" t="e">
        <f>VLOOKUP(C1341,'점포코드 '!A:B,2,0)</f>
        <v>#N/A</v>
      </c>
      <c r="E1341" s="30">
        <f>'Raw data'!P1250</f>
        <v>0</v>
      </c>
      <c r="F1341" s="29" t="e">
        <f>VLOOKUP(E1341,'점포코드 '!A:B,2,0)</f>
        <v>#N/A</v>
      </c>
      <c r="G1341" s="46">
        <f>'Raw data'!F1250</f>
        <v>0</v>
      </c>
      <c r="H1341" s="4">
        <f>'Raw data'!G1250</f>
        <v>0</v>
      </c>
      <c r="I1341" s="29" t="e">
        <f>VLOOKUP(G1341,제품명!$C$1:$E$114,2,0)</f>
        <v>#N/A</v>
      </c>
      <c r="J1341" s="29">
        <f>'Raw data'!K1250</f>
        <v>0</v>
      </c>
      <c r="K1341" s="31">
        <f>'Raw data'!H1250</f>
        <v>0</v>
      </c>
      <c r="L1341" s="26">
        <f t="shared" si="44"/>
        <v>0</v>
      </c>
    </row>
    <row r="1342" spans="2:12">
      <c r="B1342" s="4" t="e">
        <f t="shared" si="43"/>
        <v>#N/A</v>
      </c>
      <c r="C1342" s="4">
        <f>'Raw data'!E1251</f>
        <v>0</v>
      </c>
      <c r="D1342" s="29" t="e">
        <f>VLOOKUP(C1342,'점포코드 '!A:B,2,0)</f>
        <v>#N/A</v>
      </c>
      <c r="E1342" s="30">
        <f>'Raw data'!P1251</f>
        <v>0</v>
      </c>
      <c r="F1342" s="29" t="e">
        <f>VLOOKUP(E1342,'점포코드 '!A:B,2,0)</f>
        <v>#N/A</v>
      </c>
      <c r="G1342" s="46">
        <f>'Raw data'!F1251</f>
        <v>0</v>
      </c>
      <c r="H1342" s="4">
        <f>'Raw data'!G1251</f>
        <v>0</v>
      </c>
      <c r="I1342" s="29" t="e">
        <f>VLOOKUP(G1342,제품명!$C$1:$E$114,2,0)</f>
        <v>#N/A</v>
      </c>
      <c r="J1342" s="29">
        <f>'Raw data'!K1251</f>
        <v>0</v>
      </c>
      <c r="K1342" s="31">
        <f>'Raw data'!H1251</f>
        <v>0</v>
      </c>
      <c r="L1342" s="26">
        <f t="shared" si="44"/>
        <v>0</v>
      </c>
    </row>
    <row r="1343" spans="2:12">
      <c r="B1343" s="4" t="e">
        <f t="shared" si="43"/>
        <v>#N/A</v>
      </c>
      <c r="C1343" s="4">
        <f>'Raw data'!E1252</f>
        <v>0</v>
      </c>
      <c r="D1343" s="29" t="e">
        <f>VLOOKUP(C1343,'점포코드 '!A:B,2,0)</f>
        <v>#N/A</v>
      </c>
      <c r="E1343" s="30">
        <f>'Raw data'!P1252</f>
        <v>0</v>
      </c>
      <c r="F1343" s="29" t="e">
        <f>VLOOKUP(E1343,'점포코드 '!A:B,2,0)</f>
        <v>#N/A</v>
      </c>
      <c r="G1343" s="46">
        <f>'Raw data'!F1252</f>
        <v>0</v>
      </c>
      <c r="H1343" s="4">
        <f>'Raw data'!G1252</f>
        <v>0</v>
      </c>
      <c r="I1343" s="29" t="e">
        <f>VLOOKUP(G1343,제품명!$C$1:$E$114,2,0)</f>
        <v>#N/A</v>
      </c>
      <c r="J1343" s="29">
        <f>'Raw data'!K1252</f>
        <v>0</v>
      </c>
      <c r="K1343" s="31">
        <f>'Raw data'!H1252</f>
        <v>0</v>
      </c>
      <c r="L1343" s="26">
        <f t="shared" si="44"/>
        <v>0</v>
      </c>
    </row>
    <row r="1344" spans="2:12">
      <c r="B1344" s="4" t="e">
        <f t="shared" si="43"/>
        <v>#N/A</v>
      </c>
      <c r="C1344" s="4">
        <f>'Raw data'!E1253</f>
        <v>0</v>
      </c>
      <c r="D1344" s="29" t="e">
        <f>VLOOKUP(C1344,'점포코드 '!A:B,2,0)</f>
        <v>#N/A</v>
      </c>
      <c r="E1344" s="30">
        <f>'Raw data'!P1253</f>
        <v>0</v>
      </c>
      <c r="F1344" s="29" t="e">
        <f>VLOOKUP(E1344,'점포코드 '!A:B,2,0)</f>
        <v>#N/A</v>
      </c>
      <c r="G1344" s="46">
        <f>'Raw data'!F1253</f>
        <v>0</v>
      </c>
      <c r="H1344" s="4">
        <f>'Raw data'!G1253</f>
        <v>0</v>
      </c>
      <c r="I1344" s="29" t="e">
        <f>VLOOKUP(G1344,제품명!$C$1:$E$114,2,0)</f>
        <v>#N/A</v>
      </c>
      <c r="J1344" s="29">
        <f>'Raw data'!K1253</f>
        <v>0</v>
      </c>
      <c r="K1344" s="31">
        <f>'Raw data'!H1253</f>
        <v>0</v>
      </c>
      <c r="L1344" s="26">
        <f t="shared" si="44"/>
        <v>0</v>
      </c>
    </row>
    <row r="1345" spans="2:12">
      <c r="B1345" s="4" t="e">
        <f t="shared" si="43"/>
        <v>#N/A</v>
      </c>
      <c r="C1345" s="4">
        <f>'Raw data'!E1254</f>
        <v>0</v>
      </c>
      <c r="D1345" s="29" t="e">
        <f>VLOOKUP(C1345,'점포코드 '!A:B,2,0)</f>
        <v>#N/A</v>
      </c>
      <c r="E1345" s="30">
        <f>'Raw data'!P1254</f>
        <v>0</v>
      </c>
      <c r="F1345" s="29" t="e">
        <f>VLOOKUP(E1345,'점포코드 '!A:B,2,0)</f>
        <v>#N/A</v>
      </c>
      <c r="G1345" s="46">
        <f>'Raw data'!F1254</f>
        <v>0</v>
      </c>
      <c r="H1345" s="4">
        <f>'Raw data'!G1254</f>
        <v>0</v>
      </c>
      <c r="I1345" s="29" t="e">
        <f>VLOOKUP(G1345,제품명!$C$1:$E$114,2,0)</f>
        <v>#N/A</v>
      </c>
      <c r="J1345" s="29">
        <f>'Raw data'!K1254</f>
        <v>0</v>
      </c>
      <c r="K1345" s="31">
        <f>'Raw data'!H1254</f>
        <v>0</v>
      </c>
      <c r="L1345" s="26">
        <f t="shared" si="44"/>
        <v>0</v>
      </c>
    </row>
    <row r="1346" spans="2:12">
      <c r="B1346" s="4" t="e">
        <f t="shared" ref="B1346:B1409" si="45">F1346&amp;I1346</f>
        <v>#N/A</v>
      </c>
      <c r="C1346" s="4">
        <f>'Raw data'!E1255</f>
        <v>0</v>
      </c>
      <c r="D1346" s="29" t="e">
        <f>VLOOKUP(C1346,'점포코드 '!A:B,2,0)</f>
        <v>#N/A</v>
      </c>
      <c r="E1346" s="30">
        <f>'Raw data'!P1255</f>
        <v>0</v>
      </c>
      <c r="F1346" s="29" t="e">
        <f>VLOOKUP(E1346,'점포코드 '!A:B,2,0)</f>
        <v>#N/A</v>
      </c>
      <c r="G1346" s="46">
        <f>'Raw data'!F1255</f>
        <v>0</v>
      </c>
      <c r="H1346" s="4">
        <f>'Raw data'!G1255</f>
        <v>0</v>
      </c>
      <c r="I1346" s="29" t="e">
        <f>VLOOKUP(G1346,제품명!$C$1:$E$114,2,0)</f>
        <v>#N/A</v>
      </c>
      <c r="J1346" s="29">
        <f>'Raw data'!K1255</f>
        <v>0</v>
      </c>
      <c r="K1346" s="31">
        <f>'Raw data'!H1255</f>
        <v>0</v>
      </c>
      <c r="L1346" s="26">
        <f t="shared" si="44"/>
        <v>0</v>
      </c>
    </row>
    <row r="1347" spans="2:12">
      <c r="B1347" s="4" t="e">
        <f t="shared" si="45"/>
        <v>#N/A</v>
      </c>
      <c r="C1347" s="4">
        <f>'Raw data'!E1256</f>
        <v>0</v>
      </c>
      <c r="D1347" s="29" t="e">
        <f>VLOOKUP(C1347,'점포코드 '!A:B,2,0)</f>
        <v>#N/A</v>
      </c>
      <c r="E1347" s="30">
        <f>'Raw data'!P1256</f>
        <v>0</v>
      </c>
      <c r="F1347" s="29" t="e">
        <f>VLOOKUP(E1347,'점포코드 '!A:B,2,0)</f>
        <v>#N/A</v>
      </c>
      <c r="G1347" s="46">
        <f>'Raw data'!F1256</f>
        <v>0</v>
      </c>
      <c r="H1347" s="4">
        <f>'Raw data'!G1256</f>
        <v>0</v>
      </c>
      <c r="I1347" s="29" t="e">
        <f>VLOOKUP(G1347,제품명!$C$1:$E$114,2,0)</f>
        <v>#N/A</v>
      </c>
      <c r="J1347" s="29">
        <f>'Raw data'!K1256</f>
        <v>0</v>
      </c>
      <c r="K1347" s="31">
        <f>'Raw data'!H1256</f>
        <v>0</v>
      </c>
      <c r="L1347" s="26">
        <f t="shared" ref="L1347:L1410" si="46">J1347*K1347</f>
        <v>0</v>
      </c>
    </row>
    <row r="1348" spans="2:12">
      <c r="B1348" s="4" t="e">
        <f t="shared" si="45"/>
        <v>#N/A</v>
      </c>
      <c r="C1348" s="4">
        <f>'Raw data'!E1257</f>
        <v>0</v>
      </c>
      <c r="D1348" s="29" t="e">
        <f>VLOOKUP(C1348,'점포코드 '!A:B,2,0)</f>
        <v>#N/A</v>
      </c>
      <c r="E1348" s="30">
        <f>'Raw data'!P1257</f>
        <v>0</v>
      </c>
      <c r="F1348" s="29" t="e">
        <f>VLOOKUP(E1348,'점포코드 '!A:B,2,0)</f>
        <v>#N/A</v>
      </c>
      <c r="G1348" s="46">
        <f>'Raw data'!F1257</f>
        <v>0</v>
      </c>
      <c r="H1348" s="4">
        <f>'Raw data'!G1257</f>
        <v>0</v>
      </c>
      <c r="I1348" s="29" t="e">
        <f>VLOOKUP(G1348,제품명!$C$1:$E$114,2,0)</f>
        <v>#N/A</v>
      </c>
      <c r="J1348" s="29">
        <f>'Raw data'!K1257</f>
        <v>0</v>
      </c>
      <c r="K1348" s="31">
        <f>'Raw data'!H1257</f>
        <v>0</v>
      </c>
      <c r="L1348" s="26">
        <f t="shared" si="46"/>
        <v>0</v>
      </c>
    </row>
    <row r="1349" spans="2:12">
      <c r="B1349" s="4" t="e">
        <f t="shared" si="45"/>
        <v>#N/A</v>
      </c>
      <c r="C1349" s="4">
        <f>'Raw data'!E1258</f>
        <v>0</v>
      </c>
      <c r="D1349" s="29" t="e">
        <f>VLOOKUP(C1349,'점포코드 '!A:B,2,0)</f>
        <v>#N/A</v>
      </c>
      <c r="E1349" s="30">
        <f>'Raw data'!P1258</f>
        <v>0</v>
      </c>
      <c r="F1349" s="29" t="e">
        <f>VLOOKUP(E1349,'점포코드 '!A:B,2,0)</f>
        <v>#N/A</v>
      </c>
      <c r="G1349" s="46">
        <f>'Raw data'!F1258</f>
        <v>0</v>
      </c>
      <c r="H1349" s="4">
        <f>'Raw data'!G1258</f>
        <v>0</v>
      </c>
      <c r="I1349" s="29" t="e">
        <f>VLOOKUP(G1349,제품명!$C$1:$E$114,2,0)</f>
        <v>#N/A</v>
      </c>
      <c r="J1349" s="29">
        <f>'Raw data'!K1258</f>
        <v>0</v>
      </c>
      <c r="K1349" s="31">
        <f>'Raw data'!H1258</f>
        <v>0</v>
      </c>
      <c r="L1349" s="26">
        <f t="shared" si="46"/>
        <v>0</v>
      </c>
    </row>
    <row r="1350" spans="2:12">
      <c r="B1350" s="4" t="e">
        <f t="shared" si="45"/>
        <v>#N/A</v>
      </c>
      <c r="C1350" s="4">
        <f>'Raw data'!E1259</f>
        <v>0</v>
      </c>
      <c r="D1350" s="29" t="e">
        <f>VLOOKUP(C1350,'점포코드 '!A:B,2,0)</f>
        <v>#N/A</v>
      </c>
      <c r="E1350" s="30">
        <f>'Raw data'!P1259</f>
        <v>0</v>
      </c>
      <c r="F1350" s="29" t="e">
        <f>VLOOKUP(E1350,'점포코드 '!A:B,2,0)</f>
        <v>#N/A</v>
      </c>
      <c r="G1350" s="46">
        <f>'Raw data'!F1259</f>
        <v>0</v>
      </c>
      <c r="H1350" s="4">
        <f>'Raw data'!G1259</f>
        <v>0</v>
      </c>
      <c r="I1350" s="29" t="e">
        <f>VLOOKUP(G1350,제품명!$C$1:$E$114,2,0)</f>
        <v>#N/A</v>
      </c>
      <c r="J1350" s="29">
        <f>'Raw data'!K1259</f>
        <v>0</v>
      </c>
      <c r="K1350" s="31">
        <f>'Raw data'!H1259</f>
        <v>0</v>
      </c>
      <c r="L1350" s="26">
        <f t="shared" si="46"/>
        <v>0</v>
      </c>
    </row>
    <row r="1351" spans="2:12">
      <c r="B1351" s="4" t="e">
        <f t="shared" si="45"/>
        <v>#N/A</v>
      </c>
      <c r="C1351" s="4">
        <f>'Raw data'!E1260</f>
        <v>0</v>
      </c>
      <c r="D1351" s="29" t="e">
        <f>VLOOKUP(C1351,'점포코드 '!A:B,2,0)</f>
        <v>#N/A</v>
      </c>
      <c r="E1351" s="30">
        <f>'Raw data'!P1260</f>
        <v>0</v>
      </c>
      <c r="F1351" s="29" t="e">
        <f>VLOOKUP(E1351,'점포코드 '!A:B,2,0)</f>
        <v>#N/A</v>
      </c>
      <c r="G1351" s="46">
        <f>'Raw data'!F1260</f>
        <v>0</v>
      </c>
      <c r="H1351" s="4">
        <f>'Raw data'!G1260</f>
        <v>0</v>
      </c>
      <c r="I1351" s="29" t="e">
        <f>VLOOKUP(G1351,제품명!$C$1:$E$114,2,0)</f>
        <v>#N/A</v>
      </c>
      <c r="J1351" s="29">
        <f>'Raw data'!K1260</f>
        <v>0</v>
      </c>
      <c r="K1351" s="31">
        <f>'Raw data'!H1260</f>
        <v>0</v>
      </c>
      <c r="L1351" s="26">
        <f t="shared" si="46"/>
        <v>0</v>
      </c>
    </row>
    <row r="1352" spans="2:12">
      <c r="B1352" s="4" t="e">
        <f t="shared" si="45"/>
        <v>#N/A</v>
      </c>
      <c r="C1352" s="4">
        <f>'Raw data'!E1261</f>
        <v>0</v>
      </c>
      <c r="D1352" s="29" t="e">
        <f>VLOOKUP(C1352,'점포코드 '!A:B,2,0)</f>
        <v>#N/A</v>
      </c>
      <c r="E1352" s="30">
        <f>'Raw data'!P1261</f>
        <v>0</v>
      </c>
      <c r="F1352" s="29" t="e">
        <f>VLOOKUP(E1352,'점포코드 '!A:B,2,0)</f>
        <v>#N/A</v>
      </c>
      <c r="G1352" s="46">
        <f>'Raw data'!F1261</f>
        <v>0</v>
      </c>
      <c r="H1352" s="4">
        <f>'Raw data'!G1261</f>
        <v>0</v>
      </c>
      <c r="I1352" s="29" t="e">
        <f>VLOOKUP(G1352,제품명!$C$1:$E$114,2,0)</f>
        <v>#N/A</v>
      </c>
      <c r="J1352" s="29">
        <f>'Raw data'!K1261</f>
        <v>0</v>
      </c>
      <c r="K1352" s="31">
        <f>'Raw data'!H1261</f>
        <v>0</v>
      </c>
      <c r="L1352" s="26">
        <f t="shared" si="46"/>
        <v>0</v>
      </c>
    </row>
    <row r="1353" spans="2:12">
      <c r="B1353" s="4" t="e">
        <f t="shared" si="45"/>
        <v>#N/A</v>
      </c>
      <c r="C1353" s="4">
        <f>'Raw data'!E1262</f>
        <v>0</v>
      </c>
      <c r="D1353" s="29" t="e">
        <f>VLOOKUP(C1353,'점포코드 '!A:B,2,0)</f>
        <v>#N/A</v>
      </c>
      <c r="E1353" s="30">
        <f>'Raw data'!P1262</f>
        <v>0</v>
      </c>
      <c r="F1353" s="29" t="e">
        <f>VLOOKUP(E1353,'점포코드 '!A:B,2,0)</f>
        <v>#N/A</v>
      </c>
      <c r="G1353" s="46">
        <f>'Raw data'!F1262</f>
        <v>0</v>
      </c>
      <c r="H1353" s="4">
        <f>'Raw data'!G1262</f>
        <v>0</v>
      </c>
      <c r="I1353" s="29" t="e">
        <f>VLOOKUP(G1353,제품명!$C$1:$E$114,2,0)</f>
        <v>#N/A</v>
      </c>
      <c r="J1353" s="29">
        <f>'Raw data'!K1262</f>
        <v>0</v>
      </c>
      <c r="K1353" s="31">
        <f>'Raw data'!H1262</f>
        <v>0</v>
      </c>
      <c r="L1353" s="26">
        <f t="shared" si="46"/>
        <v>0</v>
      </c>
    </row>
    <row r="1354" spans="2:12">
      <c r="B1354" s="4" t="e">
        <f t="shared" si="45"/>
        <v>#N/A</v>
      </c>
      <c r="C1354" s="4">
        <f>'Raw data'!E1263</f>
        <v>0</v>
      </c>
      <c r="D1354" s="29" t="e">
        <f>VLOOKUP(C1354,'점포코드 '!A:B,2,0)</f>
        <v>#N/A</v>
      </c>
      <c r="E1354" s="30">
        <f>'Raw data'!P1263</f>
        <v>0</v>
      </c>
      <c r="F1354" s="29" t="e">
        <f>VLOOKUP(E1354,'점포코드 '!A:B,2,0)</f>
        <v>#N/A</v>
      </c>
      <c r="G1354" s="46">
        <f>'Raw data'!F1263</f>
        <v>0</v>
      </c>
      <c r="H1354" s="4">
        <f>'Raw data'!G1263</f>
        <v>0</v>
      </c>
      <c r="I1354" s="29" t="e">
        <f>VLOOKUP(G1354,제품명!$C$1:$E$114,2,0)</f>
        <v>#N/A</v>
      </c>
      <c r="J1354" s="29">
        <f>'Raw data'!K1263</f>
        <v>0</v>
      </c>
      <c r="K1354" s="31">
        <f>'Raw data'!H1263</f>
        <v>0</v>
      </c>
      <c r="L1354" s="26">
        <f t="shared" si="46"/>
        <v>0</v>
      </c>
    </row>
    <row r="1355" spans="2:12">
      <c r="B1355" s="4" t="e">
        <f t="shared" si="45"/>
        <v>#N/A</v>
      </c>
      <c r="C1355" s="4">
        <f>'Raw data'!E1264</f>
        <v>0</v>
      </c>
      <c r="D1355" s="29" t="e">
        <f>VLOOKUP(C1355,'점포코드 '!A:B,2,0)</f>
        <v>#N/A</v>
      </c>
      <c r="E1355" s="30">
        <f>'Raw data'!P1264</f>
        <v>0</v>
      </c>
      <c r="F1355" s="29" t="e">
        <f>VLOOKUP(E1355,'점포코드 '!A:B,2,0)</f>
        <v>#N/A</v>
      </c>
      <c r="G1355" s="46">
        <f>'Raw data'!F1264</f>
        <v>0</v>
      </c>
      <c r="H1355" s="4">
        <f>'Raw data'!G1264</f>
        <v>0</v>
      </c>
      <c r="I1355" s="29" t="e">
        <f>VLOOKUP(G1355,제품명!$C$1:$E$114,2,0)</f>
        <v>#N/A</v>
      </c>
      <c r="J1355" s="29">
        <f>'Raw data'!K1264</f>
        <v>0</v>
      </c>
      <c r="K1355" s="31">
        <f>'Raw data'!H1264</f>
        <v>0</v>
      </c>
      <c r="L1355" s="26">
        <f t="shared" si="46"/>
        <v>0</v>
      </c>
    </row>
    <row r="1356" spans="2:12">
      <c r="B1356" s="4" t="e">
        <f t="shared" si="45"/>
        <v>#N/A</v>
      </c>
      <c r="C1356" s="4">
        <f>'Raw data'!E1265</f>
        <v>0</v>
      </c>
      <c r="D1356" s="29" t="e">
        <f>VLOOKUP(C1356,'점포코드 '!A:B,2,0)</f>
        <v>#N/A</v>
      </c>
      <c r="E1356" s="30">
        <f>'Raw data'!P1265</f>
        <v>0</v>
      </c>
      <c r="F1356" s="29" t="e">
        <f>VLOOKUP(E1356,'점포코드 '!A:B,2,0)</f>
        <v>#N/A</v>
      </c>
      <c r="G1356" s="46">
        <f>'Raw data'!F1265</f>
        <v>0</v>
      </c>
      <c r="H1356" s="4">
        <f>'Raw data'!G1265</f>
        <v>0</v>
      </c>
      <c r="I1356" s="29" t="e">
        <f>VLOOKUP(G1356,제품명!$C$1:$E$114,2,0)</f>
        <v>#N/A</v>
      </c>
      <c r="J1356" s="29">
        <f>'Raw data'!K1265</f>
        <v>0</v>
      </c>
      <c r="K1356" s="31">
        <f>'Raw data'!H1265</f>
        <v>0</v>
      </c>
      <c r="L1356" s="26">
        <f t="shared" si="46"/>
        <v>0</v>
      </c>
    </row>
    <row r="1357" spans="2:12">
      <c r="B1357" s="4" t="e">
        <f t="shared" si="45"/>
        <v>#N/A</v>
      </c>
      <c r="C1357" s="4">
        <f>'Raw data'!E1266</f>
        <v>0</v>
      </c>
      <c r="D1357" s="29" t="e">
        <f>VLOOKUP(C1357,'점포코드 '!A:B,2,0)</f>
        <v>#N/A</v>
      </c>
      <c r="E1357" s="30">
        <f>'Raw data'!P1266</f>
        <v>0</v>
      </c>
      <c r="F1357" s="29" t="e">
        <f>VLOOKUP(E1357,'점포코드 '!A:B,2,0)</f>
        <v>#N/A</v>
      </c>
      <c r="G1357" s="46">
        <f>'Raw data'!F1266</f>
        <v>0</v>
      </c>
      <c r="H1357" s="4">
        <f>'Raw data'!G1266</f>
        <v>0</v>
      </c>
      <c r="I1357" s="29" t="e">
        <f>VLOOKUP(G1357,제품명!$C$1:$E$114,2,0)</f>
        <v>#N/A</v>
      </c>
      <c r="J1357" s="29">
        <f>'Raw data'!K1266</f>
        <v>0</v>
      </c>
      <c r="K1357" s="31">
        <f>'Raw data'!H1266</f>
        <v>0</v>
      </c>
      <c r="L1357" s="26">
        <f t="shared" si="46"/>
        <v>0</v>
      </c>
    </row>
    <row r="1358" spans="2:12">
      <c r="B1358" s="4" t="e">
        <f t="shared" si="45"/>
        <v>#N/A</v>
      </c>
      <c r="C1358" s="4">
        <f>'Raw data'!E1267</f>
        <v>0</v>
      </c>
      <c r="D1358" s="29" t="e">
        <f>VLOOKUP(C1358,'점포코드 '!A:B,2,0)</f>
        <v>#N/A</v>
      </c>
      <c r="E1358" s="30">
        <f>'Raw data'!P1267</f>
        <v>0</v>
      </c>
      <c r="F1358" s="29" t="e">
        <f>VLOOKUP(E1358,'점포코드 '!A:B,2,0)</f>
        <v>#N/A</v>
      </c>
      <c r="G1358" s="46">
        <f>'Raw data'!F1267</f>
        <v>0</v>
      </c>
      <c r="H1358" s="4">
        <f>'Raw data'!G1267</f>
        <v>0</v>
      </c>
      <c r="I1358" s="29" t="e">
        <f>VLOOKUP(G1358,제품명!$C$1:$E$114,2,0)</f>
        <v>#N/A</v>
      </c>
      <c r="J1358" s="29">
        <f>'Raw data'!K1267</f>
        <v>0</v>
      </c>
      <c r="K1358" s="31">
        <f>'Raw data'!H1267</f>
        <v>0</v>
      </c>
      <c r="L1358" s="26">
        <f t="shared" si="46"/>
        <v>0</v>
      </c>
    </row>
    <row r="1359" spans="2:12">
      <c r="B1359" s="4" t="e">
        <f t="shared" si="45"/>
        <v>#N/A</v>
      </c>
      <c r="C1359" s="4">
        <f>'Raw data'!E1268</f>
        <v>0</v>
      </c>
      <c r="D1359" s="29" t="e">
        <f>VLOOKUP(C1359,'점포코드 '!A:B,2,0)</f>
        <v>#N/A</v>
      </c>
      <c r="E1359" s="30">
        <f>'Raw data'!P1268</f>
        <v>0</v>
      </c>
      <c r="F1359" s="29" t="e">
        <f>VLOOKUP(E1359,'점포코드 '!A:B,2,0)</f>
        <v>#N/A</v>
      </c>
      <c r="G1359" s="46">
        <f>'Raw data'!F1268</f>
        <v>0</v>
      </c>
      <c r="H1359" s="4">
        <f>'Raw data'!G1268</f>
        <v>0</v>
      </c>
      <c r="I1359" s="29" t="e">
        <f>VLOOKUP(G1359,제품명!$C$1:$E$114,2,0)</f>
        <v>#N/A</v>
      </c>
      <c r="J1359" s="29">
        <f>'Raw data'!K1268</f>
        <v>0</v>
      </c>
      <c r="K1359" s="31">
        <f>'Raw data'!H1268</f>
        <v>0</v>
      </c>
      <c r="L1359" s="26">
        <f t="shared" si="46"/>
        <v>0</v>
      </c>
    </row>
    <row r="1360" spans="2:12">
      <c r="B1360" s="4" t="e">
        <f t="shared" si="45"/>
        <v>#N/A</v>
      </c>
      <c r="C1360" s="4">
        <f>'Raw data'!E1269</f>
        <v>0</v>
      </c>
      <c r="D1360" s="29" t="e">
        <f>VLOOKUP(C1360,'점포코드 '!A:B,2,0)</f>
        <v>#N/A</v>
      </c>
      <c r="E1360" s="30">
        <f>'Raw data'!P1269</f>
        <v>0</v>
      </c>
      <c r="F1360" s="29" t="e">
        <f>VLOOKUP(E1360,'점포코드 '!A:B,2,0)</f>
        <v>#N/A</v>
      </c>
      <c r="G1360" s="46">
        <f>'Raw data'!F1269</f>
        <v>0</v>
      </c>
      <c r="H1360" s="4">
        <f>'Raw data'!G1269</f>
        <v>0</v>
      </c>
      <c r="I1360" s="29" t="e">
        <f>VLOOKUP(G1360,제품명!$C$1:$E$114,2,0)</f>
        <v>#N/A</v>
      </c>
      <c r="J1360" s="29">
        <f>'Raw data'!K1269</f>
        <v>0</v>
      </c>
      <c r="K1360" s="31">
        <f>'Raw data'!H1269</f>
        <v>0</v>
      </c>
      <c r="L1360" s="26">
        <f t="shared" si="46"/>
        <v>0</v>
      </c>
    </row>
    <row r="1361" spans="2:12">
      <c r="B1361" s="4" t="e">
        <f t="shared" si="45"/>
        <v>#N/A</v>
      </c>
      <c r="C1361" s="4">
        <f>'Raw data'!E1270</f>
        <v>0</v>
      </c>
      <c r="D1361" s="29" t="e">
        <f>VLOOKUP(C1361,'점포코드 '!A:B,2,0)</f>
        <v>#N/A</v>
      </c>
      <c r="E1361" s="30">
        <f>'Raw data'!P1270</f>
        <v>0</v>
      </c>
      <c r="F1361" s="29" t="e">
        <f>VLOOKUP(E1361,'점포코드 '!A:B,2,0)</f>
        <v>#N/A</v>
      </c>
      <c r="G1361" s="46">
        <f>'Raw data'!F1270</f>
        <v>0</v>
      </c>
      <c r="H1361" s="4">
        <f>'Raw data'!G1270</f>
        <v>0</v>
      </c>
      <c r="I1361" s="29" t="e">
        <f>VLOOKUP(G1361,제품명!$C$1:$E$114,2,0)</f>
        <v>#N/A</v>
      </c>
      <c r="J1361" s="29">
        <f>'Raw data'!K1270</f>
        <v>0</v>
      </c>
      <c r="K1361" s="31">
        <f>'Raw data'!H1270</f>
        <v>0</v>
      </c>
      <c r="L1361" s="26">
        <f t="shared" si="46"/>
        <v>0</v>
      </c>
    </row>
    <row r="1362" spans="2:12">
      <c r="B1362" s="4" t="e">
        <f t="shared" si="45"/>
        <v>#N/A</v>
      </c>
      <c r="C1362" s="4">
        <f>'Raw data'!E1271</f>
        <v>0</v>
      </c>
      <c r="D1362" s="29" t="e">
        <f>VLOOKUP(C1362,'점포코드 '!A:B,2,0)</f>
        <v>#N/A</v>
      </c>
      <c r="E1362" s="30">
        <f>'Raw data'!P1271</f>
        <v>0</v>
      </c>
      <c r="F1362" s="29" t="e">
        <f>VLOOKUP(E1362,'점포코드 '!A:B,2,0)</f>
        <v>#N/A</v>
      </c>
      <c r="G1362" s="46">
        <f>'Raw data'!F1271</f>
        <v>0</v>
      </c>
      <c r="H1362" s="4">
        <f>'Raw data'!G1271</f>
        <v>0</v>
      </c>
      <c r="I1362" s="29" t="e">
        <f>VLOOKUP(G1362,제품명!$C$1:$E$114,2,0)</f>
        <v>#N/A</v>
      </c>
      <c r="J1362" s="29">
        <f>'Raw data'!K1271</f>
        <v>0</v>
      </c>
      <c r="K1362" s="31">
        <f>'Raw data'!H1271</f>
        <v>0</v>
      </c>
      <c r="L1362" s="26">
        <f t="shared" si="46"/>
        <v>0</v>
      </c>
    </row>
    <row r="1363" spans="2:12">
      <c r="B1363" s="4" t="e">
        <f t="shared" si="45"/>
        <v>#N/A</v>
      </c>
      <c r="C1363" s="4">
        <f>'Raw data'!E1272</f>
        <v>0</v>
      </c>
      <c r="D1363" s="29" t="e">
        <f>VLOOKUP(C1363,'점포코드 '!A:B,2,0)</f>
        <v>#N/A</v>
      </c>
      <c r="E1363" s="30">
        <f>'Raw data'!P1272</f>
        <v>0</v>
      </c>
      <c r="F1363" s="29" t="e">
        <f>VLOOKUP(E1363,'점포코드 '!A:B,2,0)</f>
        <v>#N/A</v>
      </c>
      <c r="G1363" s="46">
        <f>'Raw data'!F1272</f>
        <v>0</v>
      </c>
      <c r="H1363" s="4">
        <f>'Raw data'!G1272</f>
        <v>0</v>
      </c>
      <c r="I1363" s="29" t="e">
        <f>VLOOKUP(G1363,제품명!$C$1:$E$114,2,0)</f>
        <v>#N/A</v>
      </c>
      <c r="J1363" s="29">
        <f>'Raw data'!K1272</f>
        <v>0</v>
      </c>
      <c r="K1363" s="31">
        <f>'Raw data'!H1272</f>
        <v>0</v>
      </c>
      <c r="L1363" s="26">
        <f t="shared" si="46"/>
        <v>0</v>
      </c>
    </row>
    <row r="1364" spans="2:12">
      <c r="B1364" s="4" t="e">
        <f t="shared" si="45"/>
        <v>#N/A</v>
      </c>
      <c r="C1364" s="4">
        <f>'Raw data'!E1273</f>
        <v>0</v>
      </c>
      <c r="D1364" s="29" t="e">
        <f>VLOOKUP(C1364,'점포코드 '!A:B,2,0)</f>
        <v>#N/A</v>
      </c>
      <c r="E1364" s="30">
        <f>'Raw data'!P1273</f>
        <v>0</v>
      </c>
      <c r="F1364" s="29" t="e">
        <f>VLOOKUP(E1364,'점포코드 '!A:B,2,0)</f>
        <v>#N/A</v>
      </c>
      <c r="G1364" s="46">
        <f>'Raw data'!F1273</f>
        <v>0</v>
      </c>
      <c r="H1364" s="4">
        <f>'Raw data'!G1273</f>
        <v>0</v>
      </c>
      <c r="I1364" s="29" t="e">
        <f>VLOOKUP(G1364,제품명!$C$1:$E$114,2,0)</f>
        <v>#N/A</v>
      </c>
      <c r="J1364" s="29">
        <f>'Raw data'!K1273</f>
        <v>0</v>
      </c>
      <c r="K1364" s="31">
        <f>'Raw data'!H1273</f>
        <v>0</v>
      </c>
      <c r="L1364" s="26">
        <f t="shared" si="46"/>
        <v>0</v>
      </c>
    </row>
    <row r="1365" spans="2:12">
      <c r="B1365" s="4" t="e">
        <f t="shared" si="45"/>
        <v>#N/A</v>
      </c>
      <c r="C1365" s="4">
        <f>'Raw data'!E1274</f>
        <v>0</v>
      </c>
      <c r="D1365" s="29" t="e">
        <f>VLOOKUP(C1365,'점포코드 '!A:B,2,0)</f>
        <v>#N/A</v>
      </c>
      <c r="E1365" s="30">
        <f>'Raw data'!P1274</f>
        <v>0</v>
      </c>
      <c r="F1365" s="29" t="e">
        <f>VLOOKUP(E1365,'점포코드 '!A:B,2,0)</f>
        <v>#N/A</v>
      </c>
      <c r="G1365" s="46">
        <f>'Raw data'!F1274</f>
        <v>0</v>
      </c>
      <c r="H1365" s="4">
        <f>'Raw data'!G1274</f>
        <v>0</v>
      </c>
      <c r="I1365" s="29" t="e">
        <f>VLOOKUP(G1365,제품명!$C$1:$E$114,2,0)</f>
        <v>#N/A</v>
      </c>
      <c r="J1365" s="29">
        <f>'Raw data'!K1274</f>
        <v>0</v>
      </c>
      <c r="K1365" s="31">
        <f>'Raw data'!H1274</f>
        <v>0</v>
      </c>
      <c r="L1365" s="26">
        <f t="shared" si="46"/>
        <v>0</v>
      </c>
    </row>
    <row r="1366" spans="2:12">
      <c r="B1366" s="4" t="e">
        <f t="shared" si="45"/>
        <v>#N/A</v>
      </c>
      <c r="C1366" s="4">
        <f>'Raw data'!E1275</f>
        <v>0</v>
      </c>
      <c r="D1366" s="29" t="e">
        <f>VLOOKUP(C1366,'점포코드 '!A:B,2,0)</f>
        <v>#N/A</v>
      </c>
      <c r="E1366" s="30">
        <f>'Raw data'!P1275</f>
        <v>0</v>
      </c>
      <c r="F1366" s="29" t="e">
        <f>VLOOKUP(E1366,'점포코드 '!A:B,2,0)</f>
        <v>#N/A</v>
      </c>
      <c r="G1366" s="46">
        <f>'Raw data'!F1275</f>
        <v>0</v>
      </c>
      <c r="H1366" s="4">
        <f>'Raw data'!G1275</f>
        <v>0</v>
      </c>
      <c r="I1366" s="29" t="e">
        <f>VLOOKUP(G1366,제품명!$C$1:$E$114,2,0)</f>
        <v>#N/A</v>
      </c>
      <c r="J1366" s="29">
        <f>'Raw data'!K1275</f>
        <v>0</v>
      </c>
      <c r="K1366" s="31">
        <f>'Raw data'!H1275</f>
        <v>0</v>
      </c>
      <c r="L1366" s="26">
        <f t="shared" si="46"/>
        <v>0</v>
      </c>
    </row>
    <row r="1367" spans="2:12">
      <c r="B1367" s="4" t="e">
        <f t="shared" si="45"/>
        <v>#N/A</v>
      </c>
      <c r="C1367" s="4">
        <f>'Raw data'!E1276</f>
        <v>0</v>
      </c>
      <c r="D1367" s="29" t="e">
        <f>VLOOKUP(C1367,'점포코드 '!A:B,2,0)</f>
        <v>#N/A</v>
      </c>
      <c r="E1367" s="30">
        <f>'Raw data'!P1276</f>
        <v>0</v>
      </c>
      <c r="F1367" s="29" t="e">
        <f>VLOOKUP(E1367,'점포코드 '!A:B,2,0)</f>
        <v>#N/A</v>
      </c>
      <c r="G1367" s="46">
        <f>'Raw data'!F1276</f>
        <v>0</v>
      </c>
      <c r="H1367" s="4">
        <f>'Raw data'!G1276</f>
        <v>0</v>
      </c>
      <c r="I1367" s="29" t="e">
        <f>VLOOKUP(G1367,제품명!$C$1:$E$114,2,0)</f>
        <v>#N/A</v>
      </c>
      <c r="J1367" s="29">
        <f>'Raw data'!K1276</f>
        <v>0</v>
      </c>
      <c r="K1367" s="31">
        <f>'Raw data'!H1276</f>
        <v>0</v>
      </c>
      <c r="L1367" s="26">
        <f t="shared" si="46"/>
        <v>0</v>
      </c>
    </row>
    <row r="1368" spans="2:12">
      <c r="B1368" s="4" t="e">
        <f t="shared" si="45"/>
        <v>#N/A</v>
      </c>
      <c r="C1368" s="4">
        <f>'Raw data'!E1277</f>
        <v>0</v>
      </c>
      <c r="D1368" s="29" t="e">
        <f>VLOOKUP(C1368,'점포코드 '!A:B,2,0)</f>
        <v>#N/A</v>
      </c>
      <c r="E1368" s="30">
        <f>'Raw data'!P1277</f>
        <v>0</v>
      </c>
      <c r="F1368" s="29" t="e">
        <f>VLOOKUP(E1368,'점포코드 '!A:B,2,0)</f>
        <v>#N/A</v>
      </c>
      <c r="G1368" s="46">
        <f>'Raw data'!F1277</f>
        <v>0</v>
      </c>
      <c r="H1368" s="4">
        <f>'Raw data'!G1277</f>
        <v>0</v>
      </c>
      <c r="I1368" s="29" t="e">
        <f>VLOOKUP(G1368,제품명!$C$1:$E$114,2,0)</f>
        <v>#N/A</v>
      </c>
      <c r="J1368" s="29">
        <f>'Raw data'!K1277</f>
        <v>0</v>
      </c>
      <c r="K1368" s="31">
        <f>'Raw data'!H1277</f>
        <v>0</v>
      </c>
      <c r="L1368" s="26">
        <f t="shared" si="46"/>
        <v>0</v>
      </c>
    </row>
    <row r="1369" spans="2:12">
      <c r="B1369" s="4" t="e">
        <f t="shared" si="45"/>
        <v>#N/A</v>
      </c>
      <c r="C1369" s="4">
        <f>'Raw data'!E1278</f>
        <v>0</v>
      </c>
      <c r="D1369" s="29" t="e">
        <f>VLOOKUP(C1369,'점포코드 '!A:B,2,0)</f>
        <v>#N/A</v>
      </c>
      <c r="E1369" s="30">
        <f>'Raw data'!P1278</f>
        <v>0</v>
      </c>
      <c r="F1369" s="29" t="e">
        <f>VLOOKUP(E1369,'점포코드 '!A:B,2,0)</f>
        <v>#N/A</v>
      </c>
      <c r="G1369" s="46">
        <f>'Raw data'!F1278</f>
        <v>0</v>
      </c>
      <c r="H1369" s="4">
        <f>'Raw data'!G1278</f>
        <v>0</v>
      </c>
      <c r="I1369" s="29" t="e">
        <f>VLOOKUP(G1369,제품명!$C$1:$E$114,2,0)</f>
        <v>#N/A</v>
      </c>
      <c r="J1369" s="29">
        <f>'Raw data'!K1278</f>
        <v>0</v>
      </c>
      <c r="K1369" s="31">
        <f>'Raw data'!H1278</f>
        <v>0</v>
      </c>
      <c r="L1369" s="26">
        <f t="shared" si="46"/>
        <v>0</v>
      </c>
    </row>
    <row r="1370" spans="2:12">
      <c r="B1370" s="4" t="e">
        <f t="shared" si="45"/>
        <v>#N/A</v>
      </c>
      <c r="C1370" s="4">
        <f>'Raw data'!E1279</f>
        <v>0</v>
      </c>
      <c r="D1370" s="29" t="e">
        <f>VLOOKUP(C1370,'점포코드 '!A:B,2,0)</f>
        <v>#N/A</v>
      </c>
      <c r="E1370" s="30">
        <f>'Raw data'!P1279</f>
        <v>0</v>
      </c>
      <c r="F1370" s="29" t="e">
        <f>VLOOKUP(E1370,'점포코드 '!A:B,2,0)</f>
        <v>#N/A</v>
      </c>
      <c r="G1370" s="46">
        <f>'Raw data'!F1279</f>
        <v>0</v>
      </c>
      <c r="H1370" s="4">
        <f>'Raw data'!G1279</f>
        <v>0</v>
      </c>
      <c r="I1370" s="29" t="e">
        <f>VLOOKUP(G1370,제품명!$C$1:$E$114,2,0)</f>
        <v>#N/A</v>
      </c>
      <c r="J1370" s="29">
        <f>'Raw data'!K1279</f>
        <v>0</v>
      </c>
      <c r="K1370" s="31">
        <f>'Raw data'!H1279</f>
        <v>0</v>
      </c>
      <c r="L1370" s="26">
        <f t="shared" si="46"/>
        <v>0</v>
      </c>
    </row>
    <row r="1371" spans="2:12">
      <c r="B1371" s="4" t="e">
        <f t="shared" si="45"/>
        <v>#N/A</v>
      </c>
      <c r="C1371" s="4">
        <f>'Raw data'!E1280</f>
        <v>0</v>
      </c>
      <c r="D1371" s="29" t="e">
        <f>VLOOKUP(C1371,'점포코드 '!A:B,2,0)</f>
        <v>#N/A</v>
      </c>
      <c r="E1371" s="30">
        <f>'Raw data'!P1280</f>
        <v>0</v>
      </c>
      <c r="F1371" s="29" t="e">
        <f>VLOOKUP(E1371,'점포코드 '!A:B,2,0)</f>
        <v>#N/A</v>
      </c>
      <c r="G1371" s="46">
        <f>'Raw data'!F1280</f>
        <v>0</v>
      </c>
      <c r="H1371" s="4">
        <f>'Raw data'!G1280</f>
        <v>0</v>
      </c>
      <c r="I1371" s="29" t="e">
        <f>VLOOKUP(G1371,제품명!$C$1:$E$114,2,0)</f>
        <v>#N/A</v>
      </c>
      <c r="J1371" s="29">
        <f>'Raw data'!K1280</f>
        <v>0</v>
      </c>
      <c r="K1371" s="31">
        <f>'Raw data'!H1280</f>
        <v>0</v>
      </c>
      <c r="L1371" s="26">
        <f t="shared" si="46"/>
        <v>0</v>
      </c>
    </row>
    <row r="1372" spans="2:12">
      <c r="B1372" s="4" t="e">
        <f t="shared" si="45"/>
        <v>#N/A</v>
      </c>
      <c r="C1372" s="4">
        <f>'Raw data'!E1281</f>
        <v>0</v>
      </c>
      <c r="D1372" s="29" t="e">
        <f>VLOOKUP(C1372,'점포코드 '!A:B,2,0)</f>
        <v>#N/A</v>
      </c>
      <c r="E1372" s="30">
        <f>'Raw data'!P1281</f>
        <v>0</v>
      </c>
      <c r="F1372" s="29" t="e">
        <f>VLOOKUP(E1372,'점포코드 '!A:B,2,0)</f>
        <v>#N/A</v>
      </c>
      <c r="G1372" s="46">
        <f>'Raw data'!F1281</f>
        <v>0</v>
      </c>
      <c r="H1372" s="4">
        <f>'Raw data'!G1281</f>
        <v>0</v>
      </c>
      <c r="I1372" s="29" t="e">
        <f>VLOOKUP(G1372,제품명!$C$1:$E$114,2,0)</f>
        <v>#N/A</v>
      </c>
      <c r="J1372" s="29">
        <f>'Raw data'!K1281</f>
        <v>0</v>
      </c>
      <c r="K1372" s="31">
        <f>'Raw data'!H1281</f>
        <v>0</v>
      </c>
      <c r="L1372" s="26">
        <f t="shared" si="46"/>
        <v>0</v>
      </c>
    </row>
    <row r="1373" spans="2:12">
      <c r="B1373" s="4" t="e">
        <f t="shared" si="45"/>
        <v>#N/A</v>
      </c>
      <c r="C1373" s="4">
        <f>'Raw data'!E1282</f>
        <v>0</v>
      </c>
      <c r="D1373" s="29" t="e">
        <f>VLOOKUP(C1373,'점포코드 '!A:B,2,0)</f>
        <v>#N/A</v>
      </c>
      <c r="E1373" s="30">
        <f>'Raw data'!P1282</f>
        <v>0</v>
      </c>
      <c r="F1373" s="29" t="e">
        <f>VLOOKUP(E1373,'점포코드 '!A:B,2,0)</f>
        <v>#N/A</v>
      </c>
      <c r="G1373" s="46">
        <f>'Raw data'!F1282</f>
        <v>0</v>
      </c>
      <c r="H1373" s="4">
        <f>'Raw data'!G1282</f>
        <v>0</v>
      </c>
      <c r="I1373" s="29" t="e">
        <f>VLOOKUP(G1373,제품명!$C$1:$E$114,2,0)</f>
        <v>#N/A</v>
      </c>
      <c r="J1373" s="29">
        <f>'Raw data'!K1282</f>
        <v>0</v>
      </c>
      <c r="K1373" s="31">
        <f>'Raw data'!H1282</f>
        <v>0</v>
      </c>
      <c r="L1373" s="26">
        <f t="shared" si="46"/>
        <v>0</v>
      </c>
    </row>
    <row r="1374" spans="2:12">
      <c r="B1374" s="4" t="e">
        <f t="shared" si="45"/>
        <v>#N/A</v>
      </c>
      <c r="C1374" s="4">
        <f>'Raw data'!E1283</f>
        <v>0</v>
      </c>
      <c r="D1374" s="29" t="e">
        <f>VLOOKUP(C1374,'점포코드 '!A:B,2,0)</f>
        <v>#N/A</v>
      </c>
      <c r="E1374" s="30">
        <f>'Raw data'!P1283</f>
        <v>0</v>
      </c>
      <c r="F1374" s="29" t="e">
        <f>VLOOKUP(E1374,'점포코드 '!A:B,2,0)</f>
        <v>#N/A</v>
      </c>
      <c r="G1374" s="46">
        <f>'Raw data'!F1283</f>
        <v>0</v>
      </c>
      <c r="H1374" s="4">
        <f>'Raw data'!G1283</f>
        <v>0</v>
      </c>
      <c r="I1374" s="29" t="e">
        <f>VLOOKUP(G1374,제품명!$C$1:$E$114,2,0)</f>
        <v>#N/A</v>
      </c>
      <c r="J1374" s="29">
        <f>'Raw data'!K1283</f>
        <v>0</v>
      </c>
      <c r="K1374" s="31">
        <f>'Raw data'!H1283</f>
        <v>0</v>
      </c>
      <c r="L1374" s="26">
        <f t="shared" si="46"/>
        <v>0</v>
      </c>
    </row>
    <row r="1375" spans="2:12">
      <c r="B1375" s="4" t="e">
        <f t="shared" si="45"/>
        <v>#N/A</v>
      </c>
      <c r="C1375" s="4">
        <f>'Raw data'!E1284</f>
        <v>0</v>
      </c>
      <c r="D1375" s="29" t="e">
        <f>VLOOKUP(C1375,'점포코드 '!A:B,2,0)</f>
        <v>#N/A</v>
      </c>
      <c r="E1375" s="30">
        <f>'Raw data'!P1284</f>
        <v>0</v>
      </c>
      <c r="F1375" s="29" t="e">
        <f>VLOOKUP(E1375,'점포코드 '!A:B,2,0)</f>
        <v>#N/A</v>
      </c>
      <c r="G1375" s="46">
        <f>'Raw data'!F1284</f>
        <v>0</v>
      </c>
      <c r="H1375" s="4">
        <f>'Raw data'!G1284</f>
        <v>0</v>
      </c>
      <c r="I1375" s="29" t="e">
        <f>VLOOKUP(G1375,제품명!$C$1:$E$114,2,0)</f>
        <v>#N/A</v>
      </c>
      <c r="J1375" s="29">
        <f>'Raw data'!K1284</f>
        <v>0</v>
      </c>
      <c r="K1375" s="31">
        <f>'Raw data'!H1284</f>
        <v>0</v>
      </c>
      <c r="L1375" s="26">
        <f t="shared" si="46"/>
        <v>0</v>
      </c>
    </row>
    <row r="1376" spans="2:12">
      <c r="B1376" s="4" t="e">
        <f t="shared" si="45"/>
        <v>#N/A</v>
      </c>
      <c r="C1376" s="4">
        <f>'Raw data'!E1285</f>
        <v>0</v>
      </c>
      <c r="D1376" s="29" t="e">
        <f>VLOOKUP(C1376,'점포코드 '!A:B,2,0)</f>
        <v>#N/A</v>
      </c>
      <c r="E1376" s="30">
        <f>'Raw data'!P1285</f>
        <v>0</v>
      </c>
      <c r="F1376" s="29" t="e">
        <f>VLOOKUP(E1376,'점포코드 '!A:B,2,0)</f>
        <v>#N/A</v>
      </c>
      <c r="G1376" s="46">
        <f>'Raw data'!F1285</f>
        <v>0</v>
      </c>
      <c r="H1376" s="4">
        <f>'Raw data'!G1285</f>
        <v>0</v>
      </c>
      <c r="I1376" s="29" t="e">
        <f>VLOOKUP(G1376,제품명!$C$1:$E$114,2,0)</f>
        <v>#N/A</v>
      </c>
      <c r="J1376" s="29">
        <f>'Raw data'!K1285</f>
        <v>0</v>
      </c>
      <c r="K1376" s="31">
        <f>'Raw data'!H1285</f>
        <v>0</v>
      </c>
      <c r="L1376" s="26">
        <f t="shared" si="46"/>
        <v>0</v>
      </c>
    </row>
    <row r="1377" spans="2:12">
      <c r="B1377" s="4" t="e">
        <f t="shared" si="45"/>
        <v>#N/A</v>
      </c>
      <c r="C1377" s="4">
        <f>'Raw data'!E1286</f>
        <v>0</v>
      </c>
      <c r="D1377" s="29" t="e">
        <f>VLOOKUP(C1377,'점포코드 '!A:B,2,0)</f>
        <v>#N/A</v>
      </c>
      <c r="E1377" s="30">
        <f>'Raw data'!P1286</f>
        <v>0</v>
      </c>
      <c r="F1377" s="29" t="e">
        <f>VLOOKUP(E1377,'점포코드 '!A:B,2,0)</f>
        <v>#N/A</v>
      </c>
      <c r="G1377" s="46">
        <f>'Raw data'!F1286</f>
        <v>0</v>
      </c>
      <c r="H1377" s="4">
        <f>'Raw data'!G1286</f>
        <v>0</v>
      </c>
      <c r="I1377" s="29" t="e">
        <f>VLOOKUP(G1377,제품명!$C$1:$E$114,2,0)</f>
        <v>#N/A</v>
      </c>
      <c r="J1377" s="29">
        <f>'Raw data'!K1286</f>
        <v>0</v>
      </c>
      <c r="K1377" s="31">
        <f>'Raw data'!H1286</f>
        <v>0</v>
      </c>
      <c r="L1377" s="26">
        <f t="shared" si="46"/>
        <v>0</v>
      </c>
    </row>
    <row r="1378" spans="2:12">
      <c r="B1378" s="4" t="e">
        <f t="shared" si="45"/>
        <v>#N/A</v>
      </c>
      <c r="C1378" s="4">
        <f>'Raw data'!E1287</f>
        <v>0</v>
      </c>
      <c r="D1378" s="29" t="e">
        <f>VLOOKUP(C1378,'점포코드 '!A:B,2,0)</f>
        <v>#N/A</v>
      </c>
      <c r="E1378" s="30">
        <f>'Raw data'!P1287</f>
        <v>0</v>
      </c>
      <c r="F1378" s="29" t="e">
        <f>VLOOKUP(E1378,'점포코드 '!A:B,2,0)</f>
        <v>#N/A</v>
      </c>
      <c r="G1378" s="46">
        <f>'Raw data'!F1287</f>
        <v>0</v>
      </c>
      <c r="H1378" s="4">
        <f>'Raw data'!G1287</f>
        <v>0</v>
      </c>
      <c r="I1378" s="29" t="e">
        <f>VLOOKUP(G1378,제품명!$C$1:$E$114,2,0)</f>
        <v>#N/A</v>
      </c>
      <c r="J1378" s="29">
        <f>'Raw data'!K1287</f>
        <v>0</v>
      </c>
      <c r="K1378" s="31">
        <f>'Raw data'!H1287</f>
        <v>0</v>
      </c>
      <c r="L1378" s="26">
        <f t="shared" si="46"/>
        <v>0</v>
      </c>
    </row>
    <row r="1379" spans="2:12">
      <c r="B1379" s="4" t="e">
        <f t="shared" si="45"/>
        <v>#N/A</v>
      </c>
      <c r="C1379" s="4">
        <f>'Raw data'!E1288</f>
        <v>0</v>
      </c>
      <c r="D1379" s="29" t="e">
        <f>VLOOKUP(C1379,'점포코드 '!A:B,2,0)</f>
        <v>#N/A</v>
      </c>
      <c r="E1379" s="30">
        <f>'Raw data'!P1288</f>
        <v>0</v>
      </c>
      <c r="F1379" s="29" t="e">
        <f>VLOOKUP(E1379,'점포코드 '!A:B,2,0)</f>
        <v>#N/A</v>
      </c>
      <c r="G1379" s="46">
        <f>'Raw data'!F1288</f>
        <v>0</v>
      </c>
      <c r="H1379" s="4">
        <f>'Raw data'!G1288</f>
        <v>0</v>
      </c>
      <c r="I1379" s="29" t="e">
        <f>VLOOKUP(G1379,제품명!$C$1:$E$114,2,0)</f>
        <v>#N/A</v>
      </c>
      <c r="J1379" s="29">
        <f>'Raw data'!K1288</f>
        <v>0</v>
      </c>
      <c r="K1379" s="31">
        <f>'Raw data'!H1288</f>
        <v>0</v>
      </c>
      <c r="L1379" s="26">
        <f t="shared" si="46"/>
        <v>0</v>
      </c>
    </row>
    <row r="1380" spans="2:12">
      <c r="B1380" s="4" t="e">
        <f t="shared" si="45"/>
        <v>#N/A</v>
      </c>
      <c r="C1380" s="4">
        <f>'Raw data'!E1289</f>
        <v>0</v>
      </c>
      <c r="D1380" s="29" t="e">
        <f>VLOOKUP(C1380,'점포코드 '!A:B,2,0)</f>
        <v>#N/A</v>
      </c>
      <c r="E1380" s="30">
        <f>'Raw data'!P1289</f>
        <v>0</v>
      </c>
      <c r="F1380" s="29" t="e">
        <f>VLOOKUP(E1380,'점포코드 '!A:B,2,0)</f>
        <v>#N/A</v>
      </c>
      <c r="G1380" s="46">
        <f>'Raw data'!F1289</f>
        <v>0</v>
      </c>
      <c r="H1380" s="4">
        <f>'Raw data'!G1289</f>
        <v>0</v>
      </c>
      <c r="I1380" s="29" t="e">
        <f>VLOOKUP(G1380,제품명!$C$1:$E$114,2,0)</f>
        <v>#N/A</v>
      </c>
      <c r="J1380" s="29">
        <f>'Raw data'!K1289</f>
        <v>0</v>
      </c>
      <c r="K1380" s="31">
        <f>'Raw data'!H1289</f>
        <v>0</v>
      </c>
      <c r="L1380" s="26">
        <f t="shared" si="46"/>
        <v>0</v>
      </c>
    </row>
    <row r="1381" spans="2:12">
      <c r="B1381" s="4" t="e">
        <f t="shared" si="45"/>
        <v>#N/A</v>
      </c>
      <c r="C1381" s="4">
        <f>'Raw data'!E1290</f>
        <v>0</v>
      </c>
      <c r="D1381" s="29" t="e">
        <f>VLOOKUP(C1381,'점포코드 '!A:B,2,0)</f>
        <v>#N/A</v>
      </c>
      <c r="E1381" s="30">
        <f>'Raw data'!P1290</f>
        <v>0</v>
      </c>
      <c r="F1381" s="29" t="e">
        <f>VLOOKUP(E1381,'점포코드 '!A:B,2,0)</f>
        <v>#N/A</v>
      </c>
      <c r="G1381" s="46">
        <f>'Raw data'!F1290</f>
        <v>0</v>
      </c>
      <c r="H1381" s="4">
        <f>'Raw data'!G1290</f>
        <v>0</v>
      </c>
      <c r="I1381" s="29" t="e">
        <f>VLOOKUP(G1381,제품명!$C$1:$E$114,2,0)</f>
        <v>#N/A</v>
      </c>
      <c r="J1381" s="29">
        <f>'Raw data'!K1290</f>
        <v>0</v>
      </c>
      <c r="K1381" s="31">
        <f>'Raw data'!H1290</f>
        <v>0</v>
      </c>
      <c r="L1381" s="26">
        <f t="shared" si="46"/>
        <v>0</v>
      </c>
    </row>
    <row r="1382" spans="2:12">
      <c r="B1382" s="4" t="e">
        <f t="shared" si="45"/>
        <v>#N/A</v>
      </c>
      <c r="C1382" s="4">
        <f>'Raw data'!E1291</f>
        <v>0</v>
      </c>
      <c r="D1382" s="29" t="e">
        <f>VLOOKUP(C1382,'점포코드 '!A:B,2,0)</f>
        <v>#N/A</v>
      </c>
      <c r="E1382" s="30">
        <f>'Raw data'!P1291</f>
        <v>0</v>
      </c>
      <c r="F1382" s="29" t="e">
        <f>VLOOKUP(E1382,'점포코드 '!A:B,2,0)</f>
        <v>#N/A</v>
      </c>
      <c r="G1382" s="46">
        <f>'Raw data'!F1291</f>
        <v>0</v>
      </c>
      <c r="H1382" s="4">
        <f>'Raw data'!G1291</f>
        <v>0</v>
      </c>
      <c r="I1382" s="29" t="e">
        <f>VLOOKUP(G1382,제품명!$C$1:$E$114,2,0)</f>
        <v>#N/A</v>
      </c>
      <c r="J1382" s="29">
        <f>'Raw data'!K1291</f>
        <v>0</v>
      </c>
      <c r="K1382" s="31">
        <f>'Raw data'!H1291</f>
        <v>0</v>
      </c>
      <c r="L1382" s="26">
        <f t="shared" si="46"/>
        <v>0</v>
      </c>
    </row>
    <row r="1383" spans="2:12">
      <c r="B1383" s="4" t="e">
        <f t="shared" si="45"/>
        <v>#N/A</v>
      </c>
      <c r="C1383" s="4">
        <f>'Raw data'!E1292</f>
        <v>0</v>
      </c>
      <c r="D1383" s="29" t="e">
        <f>VLOOKUP(C1383,'점포코드 '!A:B,2,0)</f>
        <v>#N/A</v>
      </c>
      <c r="E1383" s="30">
        <f>'Raw data'!P1292</f>
        <v>0</v>
      </c>
      <c r="F1383" s="29" t="e">
        <f>VLOOKUP(E1383,'점포코드 '!A:B,2,0)</f>
        <v>#N/A</v>
      </c>
      <c r="G1383" s="46">
        <f>'Raw data'!F1292</f>
        <v>0</v>
      </c>
      <c r="H1383" s="4">
        <f>'Raw data'!G1292</f>
        <v>0</v>
      </c>
      <c r="I1383" s="29" t="e">
        <f>VLOOKUP(G1383,제품명!$C$1:$E$114,2,0)</f>
        <v>#N/A</v>
      </c>
      <c r="J1383" s="29">
        <f>'Raw data'!K1292</f>
        <v>0</v>
      </c>
      <c r="K1383" s="31">
        <f>'Raw data'!H1292</f>
        <v>0</v>
      </c>
      <c r="L1383" s="26">
        <f t="shared" si="46"/>
        <v>0</v>
      </c>
    </row>
    <row r="1384" spans="2:12">
      <c r="B1384" s="4" t="e">
        <f t="shared" si="45"/>
        <v>#N/A</v>
      </c>
      <c r="C1384" s="4">
        <f>'Raw data'!E1293</f>
        <v>0</v>
      </c>
      <c r="D1384" s="29" t="e">
        <f>VLOOKUP(C1384,'점포코드 '!A:B,2,0)</f>
        <v>#N/A</v>
      </c>
      <c r="E1384" s="30">
        <f>'Raw data'!P1293</f>
        <v>0</v>
      </c>
      <c r="F1384" s="29" t="e">
        <f>VLOOKUP(E1384,'점포코드 '!A:B,2,0)</f>
        <v>#N/A</v>
      </c>
      <c r="G1384" s="46">
        <f>'Raw data'!F1293</f>
        <v>0</v>
      </c>
      <c r="H1384" s="4">
        <f>'Raw data'!G1293</f>
        <v>0</v>
      </c>
      <c r="I1384" s="29" t="e">
        <f>VLOOKUP(G1384,제품명!$C$1:$E$114,2,0)</f>
        <v>#N/A</v>
      </c>
      <c r="J1384" s="29">
        <f>'Raw data'!K1293</f>
        <v>0</v>
      </c>
      <c r="K1384" s="31">
        <f>'Raw data'!H1293</f>
        <v>0</v>
      </c>
      <c r="L1384" s="26">
        <f t="shared" si="46"/>
        <v>0</v>
      </c>
    </row>
    <row r="1385" spans="2:12">
      <c r="B1385" s="4" t="e">
        <f t="shared" si="45"/>
        <v>#N/A</v>
      </c>
      <c r="C1385" s="4">
        <f>'Raw data'!E1294</f>
        <v>0</v>
      </c>
      <c r="D1385" s="29" t="e">
        <f>VLOOKUP(C1385,'점포코드 '!A:B,2,0)</f>
        <v>#N/A</v>
      </c>
      <c r="E1385" s="30">
        <f>'Raw data'!P1294</f>
        <v>0</v>
      </c>
      <c r="F1385" s="29" t="e">
        <f>VLOOKUP(E1385,'점포코드 '!A:B,2,0)</f>
        <v>#N/A</v>
      </c>
      <c r="G1385" s="46">
        <f>'Raw data'!F1294</f>
        <v>0</v>
      </c>
      <c r="H1385" s="4">
        <f>'Raw data'!G1294</f>
        <v>0</v>
      </c>
      <c r="I1385" s="29" t="e">
        <f>VLOOKUP(G1385,제품명!$C$1:$E$114,2,0)</f>
        <v>#N/A</v>
      </c>
      <c r="J1385" s="29">
        <f>'Raw data'!K1294</f>
        <v>0</v>
      </c>
      <c r="K1385" s="31">
        <f>'Raw data'!H1294</f>
        <v>0</v>
      </c>
      <c r="L1385" s="26">
        <f t="shared" si="46"/>
        <v>0</v>
      </c>
    </row>
    <row r="1386" spans="2:12">
      <c r="B1386" s="4" t="e">
        <f t="shared" si="45"/>
        <v>#N/A</v>
      </c>
      <c r="C1386" s="4">
        <f>'Raw data'!E1295</f>
        <v>0</v>
      </c>
      <c r="D1386" s="29" t="e">
        <f>VLOOKUP(C1386,'점포코드 '!A:B,2,0)</f>
        <v>#N/A</v>
      </c>
      <c r="E1386" s="30">
        <f>'Raw data'!P1295</f>
        <v>0</v>
      </c>
      <c r="F1386" s="29" t="e">
        <f>VLOOKUP(E1386,'점포코드 '!A:B,2,0)</f>
        <v>#N/A</v>
      </c>
      <c r="G1386" s="46">
        <f>'Raw data'!F1295</f>
        <v>0</v>
      </c>
      <c r="H1386" s="4">
        <f>'Raw data'!G1295</f>
        <v>0</v>
      </c>
      <c r="I1386" s="29" t="e">
        <f>VLOOKUP(G1386,제품명!$C$1:$E$114,2,0)</f>
        <v>#N/A</v>
      </c>
      <c r="J1386" s="29">
        <f>'Raw data'!K1295</f>
        <v>0</v>
      </c>
      <c r="K1386" s="31">
        <f>'Raw data'!H1295</f>
        <v>0</v>
      </c>
      <c r="L1386" s="26">
        <f t="shared" si="46"/>
        <v>0</v>
      </c>
    </row>
    <row r="1387" spans="2:12">
      <c r="B1387" s="4" t="e">
        <f t="shared" si="45"/>
        <v>#N/A</v>
      </c>
      <c r="C1387" s="4">
        <f>'Raw data'!E1296</f>
        <v>0</v>
      </c>
      <c r="D1387" s="29" t="e">
        <f>VLOOKUP(C1387,'점포코드 '!A:B,2,0)</f>
        <v>#N/A</v>
      </c>
      <c r="E1387" s="30">
        <f>'Raw data'!P1296</f>
        <v>0</v>
      </c>
      <c r="F1387" s="29" t="e">
        <f>VLOOKUP(E1387,'점포코드 '!A:B,2,0)</f>
        <v>#N/A</v>
      </c>
      <c r="G1387" s="46">
        <f>'Raw data'!F1296</f>
        <v>0</v>
      </c>
      <c r="H1387" s="4">
        <f>'Raw data'!G1296</f>
        <v>0</v>
      </c>
      <c r="I1387" s="29" t="e">
        <f>VLOOKUP(G1387,제품명!$C$1:$E$114,2,0)</f>
        <v>#N/A</v>
      </c>
      <c r="J1387" s="29">
        <f>'Raw data'!K1296</f>
        <v>0</v>
      </c>
      <c r="K1387" s="31">
        <f>'Raw data'!H1296</f>
        <v>0</v>
      </c>
      <c r="L1387" s="26">
        <f t="shared" si="46"/>
        <v>0</v>
      </c>
    </row>
    <row r="1388" spans="2:12">
      <c r="B1388" s="4" t="e">
        <f t="shared" si="45"/>
        <v>#N/A</v>
      </c>
      <c r="C1388" s="4">
        <f>'Raw data'!E1297</f>
        <v>0</v>
      </c>
      <c r="D1388" s="29" t="e">
        <f>VLOOKUP(C1388,'점포코드 '!A:B,2,0)</f>
        <v>#N/A</v>
      </c>
      <c r="E1388" s="30">
        <f>'Raw data'!P1297</f>
        <v>0</v>
      </c>
      <c r="F1388" s="29" t="e">
        <f>VLOOKUP(E1388,'점포코드 '!A:B,2,0)</f>
        <v>#N/A</v>
      </c>
      <c r="G1388" s="46">
        <f>'Raw data'!F1297</f>
        <v>0</v>
      </c>
      <c r="H1388" s="4">
        <f>'Raw data'!G1297</f>
        <v>0</v>
      </c>
      <c r="I1388" s="29" t="e">
        <f>VLOOKUP(G1388,제품명!$C$1:$E$114,2,0)</f>
        <v>#N/A</v>
      </c>
      <c r="J1388" s="29">
        <f>'Raw data'!K1297</f>
        <v>0</v>
      </c>
      <c r="K1388" s="31">
        <f>'Raw data'!H1297</f>
        <v>0</v>
      </c>
      <c r="L1388" s="26">
        <f t="shared" si="46"/>
        <v>0</v>
      </c>
    </row>
    <row r="1389" spans="2:12">
      <c r="B1389" s="4" t="e">
        <f t="shared" si="45"/>
        <v>#N/A</v>
      </c>
      <c r="C1389" s="4">
        <f>'Raw data'!E1298</f>
        <v>0</v>
      </c>
      <c r="D1389" s="29" t="e">
        <f>VLOOKUP(C1389,'점포코드 '!A:B,2,0)</f>
        <v>#N/A</v>
      </c>
      <c r="E1389" s="30">
        <f>'Raw data'!P1298</f>
        <v>0</v>
      </c>
      <c r="F1389" s="29" t="e">
        <f>VLOOKUP(E1389,'점포코드 '!A:B,2,0)</f>
        <v>#N/A</v>
      </c>
      <c r="G1389" s="46">
        <f>'Raw data'!F1298</f>
        <v>0</v>
      </c>
      <c r="H1389" s="4">
        <f>'Raw data'!G1298</f>
        <v>0</v>
      </c>
      <c r="I1389" s="29" t="e">
        <f>VLOOKUP(G1389,제품명!$C$1:$E$114,2,0)</f>
        <v>#N/A</v>
      </c>
      <c r="J1389" s="29">
        <f>'Raw data'!K1298</f>
        <v>0</v>
      </c>
      <c r="K1389" s="31">
        <f>'Raw data'!H1298</f>
        <v>0</v>
      </c>
      <c r="L1389" s="26">
        <f t="shared" si="46"/>
        <v>0</v>
      </c>
    </row>
    <row r="1390" spans="2:12">
      <c r="B1390" s="4" t="e">
        <f t="shared" si="45"/>
        <v>#N/A</v>
      </c>
      <c r="C1390" s="4">
        <f>'Raw data'!E1299</f>
        <v>0</v>
      </c>
      <c r="D1390" s="29" t="e">
        <f>VLOOKUP(C1390,'점포코드 '!A:B,2,0)</f>
        <v>#N/A</v>
      </c>
      <c r="E1390" s="30">
        <f>'Raw data'!P1299</f>
        <v>0</v>
      </c>
      <c r="F1390" s="29" t="e">
        <f>VLOOKUP(E1390,'점포코드 '!A:B,2,0)</f>
        <v>#N/A</v>
      </c>
      <c r="G1390" s="46">
        <f>'Raw data'!F1299</f>
        <v>0</v>
      </c>
      <c r="H1390" s="4">
        <f>'Raw data'!G1299</f>
        <v>0</v>
      </c>
      <c r="I1390" s="29" t="e">
        <f>VLOOKUP(G1390,제품명!$C$1:$E$114,2,0)</f>
        <v>#N/A</v>
      </c>
      <c r="J1390" s="29">
        <f>'Raw data'!K1299</f>
        <v>0</v>
      </c>
      <c r="K1390" s="31">
        <f>'Raw data'!H1299</f>
        <v>0</v>
      </c>
      <c r="L1390" s="26">
        <f t="shared" si="46"/>
        <v>0</v>
      </c>
    </row>
    <row r="1391" spans="2:12">
      <c r="B1391" s="4" t="e">
        <f t="shared" si="45"/>
        <v>#N/A</v>
      </c>
      <c r="C1391" s="4">
        <f>'Raw data'!E1300</f>
        <v>0</v>
      </c>
      <c r="D1391" s="29" t="e">
        <f>VLOOKUP(C1391,'점포코드 '!A:B,2,0)</f>
        <v>#N/A</v>
      </c>
      <c r="E1391" s="30">
        <f>'Raw data'!P1300</f>
        <v>0</v>
      </c>
      <c r="F1391" s="29" t="e">
        <f>VLOOKUP(E1391,'점포코드 '!A:B,2,0)</f>
        <v>#N/A</v>
      </c>
      <c r="G1391" s="46">
        <f>'Raw data'!F1300</f>
        <v>0</v>
      </c>
      <c r="H1391" s="4">
        <f>'Raw data'!G1300</f>
        <v>0</v>
      </c>
      <c r="I1391" s="29" t="e">
        <f>VLOOKUP(G1391,제품명!$C$1:$E$114,2,0)</f>
        <v>#N/A</v>
      </c>
      <c r="J1391" s="29">
        <f>'Raw data'!K1300</f>
        <v>0</v>
      </c>
      <c r="K1391" s="31">
        <f>'Raw data'!H1300</f>
        <v>0</v>
      </c>
      <c r="L1391" s="26">
        <f t="shared" si="46"/>
        <v>0</v>
      </c>
    </row>
    <row r="1392" spans="2:12">
      <c r="B1392" s="4" t="e">
        <f t="shared" si="45"/>
        <v>#N/A</v>
      </c>
      <c r="C1392" s="4">
        <f>'Raw data'!E1301</f>
        <v>0</v>
      </c>
      <c r="D1392" s="29" t="e">
        <f>VLOOKUP(C1392,'점포코드 '!A:B,2,0)</f>
        <v>#N/A</v>
      </c>
      <c r="E1392" s="30">
        <f>'Raw data'!P1301</f>
        <v>0</v>
      </c>
      <c r="F1392" s="29" t="e">
        <f>VLOOKUP(E1392,'점포코드 '!A:B,2,0)</f>
        <v>#N/A</v>
      </c>
      <c r="G1392" s="46">
        <f>'Raw data'!F1301</f>
        <v>0</v>
      </c>
      <c r="H1392" s="4">
        <f>'Raw data'!G1301</f>
        <v>0</v>
      </c>
      <c r="I1392" s="29" t="e">
        <f>VLOOKUP(G1392,제품명!$C$1:$E$114,2,0)</f>
        <v>#N/A</v>
      </c>
      <c r="J1392" s="29">
        <f>'Raw data'!K1301</f>
        <v>0</v>
      </c>
      <c r="K1392" s="31">
        <f>'Raw data'!H1301</f>
        <v>0</v>
      </c>
      <c r="L1392" s="26">
        <f t="shared" si="46"/>
        <v>0</v>
      </c>
    </row>
    <row r="1393" spans="2:12">
      <c r="B1393" s="4" t="e">
        <f t="shared" si="45"/>
        <v>#N/A</v>
      </c>
      <c r="C1393" s="4">
        <f>'Raw data'!E1302</f>
        <v>0</v>
      </c>
      <c r="D1393" s="29" t="e">
        <f>VLOOKUP(C1393,'점포코드 '!A:B,2,0)</f>
        <v>#N/A</v>
      </c>
      <c r="E1393" s="30">
        <f>'Raw data'!P1302</f>
        <v>0</v>
      </c>
      <c r="F1393" s="29" t="e">
        <f>VLOOKUP(E1393,'점포코드 '!A:B,2,0)</f>
        <v>#N/A</v>
      </c>
      <c r="G1393" s="46">
        <f>'Raw data'!F1302</f>
        <v>0</v>
      </c>
      <c r="H1393" s="4">
        <f>'Raw data'!G1302</f>
        <v>0</v>
      </c>
      <c r="I1393" s="29" t="e">
        <f>VLOOKUP(G1393,제품명!$C$1:$E$114,2,0)</f>
        <v>#N/A</v>
      </c>
      <c r="J1393" s="29">
        <f>'Raw data'!K1302</f>
        <v>0</v>
      </c>
      <c r="K1393" s="31">
        <f>'Raw data'!H1302</f>
        <v>0</v>
      </c>
      <c r="L1393" s="26">
        <f t="shared" si="46"/>
        <v>0</v>
      </c>
    </row>
    <row r="1394" spans="2:12">
      <c r="B1394" s="4" t="e">
        <f t="shared" si="45"/>
        <v>#N/A</v>
      </c>
      <c r="C1394" s="4">
        <f>'Raw data'!E1303</f>
        <v>0</v>
      </c>
      <c r="D1394" s="29" t="e">
        <f>VLOOKUP(C1394,'점포코드 '!A:B,2,0)</f>
        <v>#N/A</v>
      </c>
      <c r="E1394" s="30">
        <f>'Raw data'!P1303</f>
        <v>0</v>
      </c>
      <c r="F1394" s="29" t="e">
        <f>VLOOKUP(E1394,'점포코드 '!A:B,2,0)</f>
        <v>#N/A</v>
      </c>
      <c r="G1394" s="46">
        <f>'Raw data'!F1303</f>
        <v>0</v>
      </c>
      <c r="H1394" s="4">
        <f>'Raw data'!G1303</f>
        <v>0</v>
      </c>
      <c r="I1394" s="29" t="e">
        <f>VLOOKUP(G1394,제품명!$C$1:$E$114,2,0)</f>
        <v>#N/A</v>
      </c>
      <c r="J1394" s="29">
        <f>'Raw data'!K1303</f>
        <v>0</v>
      </c>
      <c r="K1394" s="31">
        <f>'Raw data'!H1303</f>
        <v>0</v>
      </c>
      <c r="L1394" s="26">
        <f t="shared" si="46"/>
        <v>0</v>
      </c>
    </row>
    <row r="1395" spans="2:12">
      <c r="B1395" s="4" t="e">
        <f t="shared" si="45"/>
        <v>#N/A</v>
      </c>
      <c r="C1395" s="4">
        <f>'Raw data'!E1304</f>
        <v>0</v>
      </c>
      <c r="D1395" s="29" t="e">
        <f>VLOOKUP(C1395,'점포코드 '!A:B,2,0)</f>
        <v>#N/A</v>
      </c>
      <c r="E1395" s="30">
        <f>'Raw data'!P1304</f>
        <v>0</v>
      </c>
      <c r="F1395" s="29" t="e">
        <f>VLOOKUP(E1395,'점포코드 '!A:B,2,0)</f>
        <v>#N/A</v>
      </c>
      <c r="G1395" s="46">
        <f>'Raw data'!F1304</f>
        <v>0</v>
      </c>
      <c r="H1395" s="4">
        <f>'Raw data'!G1304</f>
        <v>0</v>
      </c>
      <c r="I1395" s="29" t="e">
        <f>VLOOKUP(G1395,제품명!$C$1:$E$114,2,0)</f>
        <v>#N/A</v>
      </c>
      <c r="J1395" s="29">
        <f>'Raw data'!K1304</f>
        <v>0</v>
      </c>
      <c r="K1395" s="31">
        <f>'Raw data'!H1304</f>
        <v>0</v>
      </c>
      <c r="L1395" s="26">
        <f t="shared" si="46"/>
        <v>0</v>
      </c>
    </row>
    <row r="1396" spans="2:12">
      <c r="B1396" s="4" t="e">
        <f t="shared" si="45"/>
        <v>#N/A</v>
      </c>
      <c r="C1396" s="4">
        <f>'Raw data'!E1305</f>
        <v>0</v>
      </c>
      <c r="D1396" s="29" t="e">
        <f>VLOOKUP(C1396,'점포코드 '!A:B,2,0)</f>
        <v>#N/A</v>
      </c>
      <c r="E1396" s="30">
        <f>'Raw data'!P1305</f>
        <v>0</v>
      </c>
      <c r="F1396" s="29" t="e">
        <f>VLOOKUP(E1396,'점포코드 '!A:B,2,0)</f>
        <v>#N/A</v>
      </c>
      <c r="G1396" s="46">
        <f>'Raw data'!F1305</f>
        <v>0</v>
      </c>
      <c r="H1396" s="4">
        <f>'Raw data'!G1305</f>
        <v>0</v>
      </c>
      <c r="I1396" s="29" t="e">
        <f>VLOOKUP(G1396,제품명!$C$1:$E$114,2,0)</f>
        <v>#N/A</v>
      </c>
      <c r="J1396" s="29">
        <f>'Raw data'!K1305</f>
        <v>0</v>
      </c>
      <c r="K1396" s="31">
        <f>'Raw data'!H1305</f>
        <v>0</v>
      </c>
      <c r="L1396" s="26">
        <f t="shared" si="46"/>
        <v>0</v>
      </c>
    </row>
    <row r="1397" spans="2:12">
      <c r="B1397" s="4" t="e">
        <f t="shared" si="45"/>
        <v>#N/A</v>
      </c>
      <c r="C1397" s="4">
        <f>'Raw data'!E1306</f>
        <v>0</v>
      </c>
      <c r="D1397" s="29" t="e">
        <f>VLOOKUP(C1397,'점포코드 '!A:B,2,0)</f>
        <v>#N/A</v>
      </c>
      <c r="E1397" s="30">
        <f>'Raw data'!P1306</f>
        <v>0</v>
      </c>
      <c r="F1397" s="29" t="e">
        <f>VLOOKUP(E1397,'점포코드 '!A:B,2,0)</f>
        <v>#N/A</v>
      </c>
      <c r="G1397" s="46">
        <f>'Raw data'!F1306</f>
        <v>0</v>
      </c>
      <c r="H1397" s="4">
        <f>'Raw data'!G1306</f>
        <v>0</v>
      </c>
      <c r="I1397" s="29" t="e">
        <f>VLOOKUP(G1397,제품명!$C$1:$E$114,2,0)</f>
        <v>#N/A</v>
      </c>
      <c r="J1397" s="29">
        <f>'Raw data'!K1306</f>
        <v>0</v>
      </c>
      <c r="K1397" s="31">
        <f>'Raw data'!H1306</f>
        <v>0</v>
      </c>
      <c r="L1397" s="26">
        <f t="shared" si="46"/>
        <v>0</v>
      </c>
    </row>
    <row r="1398" spans="2:12">
      <c r="B1398" s="4" t="e">
        <f t="shared" si="45"/>
        <v>#N/A</v>
      </c>
      <c r="C1398" s="4">
        <f>'Raw data'!E1307</f>
        <v>0</v>
      </c>
      <c r="D1398" s="29" t="e">
        <f>VLOOKUP(C1398,'점포코드 '!A:B,2,0)</f>
        <v>#N/A</v>
      </c>
      <c r="E1398" s="30">
        <f>'Raw data'!P1307</f>
        <v>0</v>
      </c>
      <c r="F1398" s="29" t="e">
        <f>VLOOKUP(E1398,'점포코드 '!A:B,2,0)</f>
        <v>#N/A</v>
      </c>
      <c r="G1398" s="46">
        <f>'Raw data'!F1307</f>
        <v>0</v>
      </c>
      <c r="H1398" s="4">
        <f>'Raw data'!G1307</f>
        <v>0</v>
      </c>
      <c r="I1398" s="29" t="e">
        <f>VLOOKUP(G1398,제품명!$C$1:$E$114,2,0)</f>
        <v>#N/A</v>
      </c>
      <c r="J1398" s="29">
        <f>'Raw data'!K1307</f>
        <v>0</v>
      </c>
      <c r="K1398" s="31">
        <f>'Raw data'!H1307</f>
        <v>0</v>
      </c>
      <c r="L1398" s="26">
        <f t="shared" si="46"/>
        <v>0</v>
      </c>
    </row>
    <row r="1399" spans="2:12">
      <c r="B1399" s="4" t="e">
        <f t="shared" si="45"/>
        <v>#N/A</v>
      </c>
      <c r="C1399" s="4">
        <f>'Raw data'!E1308</f>
        <v>0</v>
      </c>
      <c r="D1399" s="29" t="e">
        <f>VLOOKUP(C1399,'점포코드 '!A:B,2,0)</f>
        <v>#N/A</v>
      </c>
      <c r="E1399" s="30">
        <f>'Raw data'!P1308</f>
        <v>0</v>
      </c>
      <c r="F1399" s="29" t="e">
        <f>VLOOKUP(E1399,'점포코드 '!A:B,2,0)</f>
        <v>#N/A</v>
      </c>
      <c r="G1399" s="46">
        <f>'Raw data'!F1308</f>
        <v>0</v>
      </c>
      <c r="H1399" s="4">
        <f>'Raw data'!G1308</f>
        <v>0</v>
      </c>
      <c r="I1399" s="29" t="e">
        <f>VLOOKUP(G1399,제품명!$C$1:$E$114,2,0)</f>
        <v>#N/A</v>
      </c>
      <c r="J1399" s="29">
        <f>'Raw data'!K1308</f>
        <v>0</v>
      </c>
      <c r="K1399" s="31">
        <f>'Raw data'!H1308</f>
        <v>0</v>
      </c>
      <c r="L1399" s="26">
        <f t="shared" si="46"/>
        <v>0</v>
      </c>
    </row>
    <row r="1400" spans="2:12">
      <c r="B1400" s="4" t="e">
        <f t="shared" si="45"/>
        <v>#N/A</v>
      </c>
      <c r="C1400" s="4">
        <f>'Raw data'!E1309</f>
        <v>0</v>
      </c>
      <c r="D1400" s="29" t="e">
        <f>VLOOKUP(C1400,'점포코드 '!A:B,2,0)</f>
        <v>#N/A</v>
      </c>
      <c r="E1400" s="30">
        <f>'Raw data'!P1309</f>
        <v>0</v>
      </c>
      <c r="F1400" s="29" t="e">
        <f>VLOOKUP(E1400,'점포코드 '!A:B,2,0)</f>
        <v>#N/A</v>
      </c>
      <c r="G1400" s="46">
        <f>'Raw data'!F1309</f>
        <v>0</v>
      </c>
      <c r="H1400" s="4">
        <f>'Raw data'!G1309</f>
        <v>0</v>
      </c>
      <c r="I1400" s="29" t="e">
        <f>VLOOKUP(G1400,제품명!$C$1:$E$114,2,0)</f>
        <v>#N/A</v>
      </c>
      <c r="J1400" s="29">
        <f>'Raw data'!K1309</f>
        <v>0</v>
      </c>
      <c r="K1400" s="31">
        <f>'Raw data'!H1309</f>
        <v>0</v>
      </c>
      <c r="L1400" s="26">
        <f t="shared" si="46"/>
        <v>0</v>
      </c>
    </row>
    <row r="1401" spans="2:12">
      <c r="B1401" s="4" t="e">
        <f t="shared" si="45"/>
        <v>#N/A</v>
      </c>
      <c r="C1401" s="4">
        <f>'Raw data'!E1310</f>
        <v>0</v>
      </c>
      <c r="D1401" s="29" t="e">
        <f>VLOOKUP(C1401,'점포코드 '!A:B,2,0)</f>
        <v>#N/A</v>
      </c>
      <c r="E1401" s="30">
        <f>'Raw data'!P1310</f>
        <v>0</v>
      </c>
      <c r="F1401" s="29" t="e">
        <f>VLOOKUP(E1401,'점포코드 '!A:B,2,0)</f>
        <v>#N/A</v>
      </c>
      <c r="G1401" s="46">
        <f>'Raw data'!F1310</f>
        <v>0</v>
      </c>
      <c r="H1401" s="4">
        <f>'Raw data'!G1310</f>
        <v>0</v>
      </c>
      <c r="I1401" s="29" t="e">
        <f>VLOOKUP(G1401,제품명!$C$1:$E$114,2,0)</f>
        <v>#N/A</v>
      </c>
      <c r="J1401" s="29">
        <f>'Raw data'!K1310</f>
        <v>0</v>
      </c>
      <c r="K1401" s="31">
        <f>'Raw data'!H1310</f>
        <v>0</v>
      </c>
      <c r="L1401" s="26">
        <f t="shared" si="46"/>
        <v>0</v>
      </c>
    </row>
    <row r="1402" spans="2:12">
      <c r="B1402" s="4" t="e">
        <f t="shared" si="45"/>
        <v>#N/A</v>
      </c>
      <c r="C1402" s="4">
        <f>'Raw data'!E1311</f>
        <v>0</v>
      </c>
      <c r="D1402" s="29" t="e">
        <f>VLOOKUP(C1402,'점포코드 '!A:B,2,0)</f>
        <v>#N/A</v>
      </c>
      <c r="E1402" s="30">
        <f>'Raw data'!P1311</f>
        <v>0</v>
      </c>
      <c r="F1402" s="29" t="e">
        <f>VLOOKUP(E1402,'점포코드 '!A:B,2,0)</f>
        <v>#N/A</v>
      </c>
      <c r="G1402" s="46">
        <f>'Raw data'!F1311</f>
        <v>0</v>
      </c>
      <c r="H1402" s="4">
        <f>'Raw data'!G1311</f>
        <v>0</v>
      </c>
      <c r="I1402" s="29" t="e">
        <f>VLOOKUP(G1402,제품명!$C$1:$E$114,2,0)</f>
        <v>#N/A</v>
      </c>
      <c r="J1402" s="29">
        <f>'Raw data'!K1311</f>
        <v>0</v>
      </c>
      <c r="K1402" s="31">
        <f>'Raw data'!H1311</f>
        <v>0</v>
      </c>
      <c r="L1402" s="26">
        <f t="shared" si="46"/>
        <v>0</v>
      </c>
    </row>
    <row r="1403" spans="2:12">
      <c r="B1403" s="4" t="e">
        <f t="shared" si="45"/>
        <v>#N/A</v>
      </c>
      <c r="C1403" s="4">
        <f>'Raw data'!E1312</f>
        <v>0</v>
      </c>
      <c r="D1403" s="29" t="e">
        <f>VLOOKUP(C1403,'점포코드 '!A:B,2,0)</f>
        <v>#N/A</v>
      </c>
      <c r="E1403" s="30">
        <f>'Raw data'!P1312</f>
        <v>0</v>
      </c>
      <c r="F1403" s="29" t="e">
        <f>VLOOKUP(E1403,'점포코드 '!A:B,2,0)</f>
        <v>#N/A</v>
      </c>
      <c r="G1403" s="46">
        <f>'Raw data'!F1312</f>
        <v>0</v>
      </c>
      <c r="H1403" s="4">
        <f>'Raw data'!G1312</f>
        <v>0</v>
      </c>
      <c r="I1403" s="29" t="e">
        <f>VLOOKUP(G1403,제품명!$C$1:$E$114,2,0)</f>
        <v>#N/A</v>
      </c>
      <c r="J1403" s="29">
        <f>'Raw data'!K1312</f>
        <v>0</v>
      </c>
      <c r="K1403" s="31">
        <f>'Raw data'!H1312</f>
        <v>0</v>
      </c>
      <c r="L1403" s="26">
        <f t="shared" si="46"/>
        <v>0</v>
      </c>
    </row>
    <row r="1404" spans="2:12">
      <c r="B1404" s="4" t="e">
        <f t="shared" si="45"/>
        <v>#N/A</v>
      </c>
      <c r="C1404" s="4">
        <f>'Raw data'!E1313</f>
        <v>0</v>
      </c>
      <c r="D1404" s="29" t="e">
        <f>VLOOKUP(C1404,'점포코드 '!A:B,2,0)</f>
        <v>#N/A</v>
      </c>
      <c r="E1404" s="30">
        <f>'Raw data'!P1313</f>
        <v>0</v>
      </c>
      <c r="F1404" s="29" t="e">
        <f>VLOOKUP(E1404,'점포코드 '!A:B,2,0)</f>
        <v>#N/A</v>
      </c>
      <c r="G1404" s="46">
        <f>'Raw data'!F1313</f>
        <v>0</v>
      </c>
      <c r="H1404" s="4">
        <f>'Raw data'!G1313</f>
        <v>0</v>
      </c>
      <c r="I1404" s="29" t="e">
        <f>VLOOKUP(G1404,제품명!$C$1:$E$114,2,0)</f>
        <v>#N/A</v>
      </c>
      <c r="J1404" s="29">
        <f>'Raw data'!K1313</f>
        <v>0</v>
      </c>
      <c r="K1404" s="31">
        <f>'Raw data'!H1313</f>
        <v>0</v>
      </c>
      <c r="L1404" s="26">
        <f t="shared" si="46"/>
        <v>0</v>
      </c>
    </row>
    <row r="1405" spans="2:12">
      <c r="B1405" s="4" t="e">
        <f t="shared" si="45"/>
        <v>#N/A</v>
      </c>
      <c r="C1405" s="4">
        <f>'Raw data'!E1314</f>
        <v>0</v>
      </c>
      <c r="D1405" s="29" t="e">
        <f>VLOOKUP(C1405,'점포코드 '!A:B,2,0)</f>
        <v>#N/A</v>
      </c>
      <c r="E1405" s="30">
        <f>'Raw data'!P1314</f>
        <v>0</v>
      </c>
      <c r="F1405" s="29" t="e">
        <f>VLOOKUP(E1405,'점포코드 '!A:B,2,0)</f>
        <v>#N/A</v>
      </c>
      <c r="G1405" s="46">
        <f>'Raw data'!F1314</f>
        <v>0</v>
      </c>
      <c r="H1405" s="4">
        <f>'Raw data'!G1314</f>
        <v>0</v>
      </c>
      <c r="I1405" s="29" t="e">
        <f>VLOOKUP(G1405,제품명!$C$1:$E$114,2,0)</f>
        <v>#N/A</v>
      </c>
      <c r="J1405" s="29">
        <f>'Raw data'!K1314</f>
        <v>0</v>
      </c>
      <c r="K1405" s="31">
        <f>'Raw data'!H1314</f>
        <v>0</v>
      </c>
      <c r="L1405" s="26">
        <f t="shared" si="46"/>
        <v>0</v>
      </c>
    </row>
    <row r="1406" spans="2:12">
      <c r="B1406" s="4" t="e">
        <f t="shared" si="45"/>
        <v>#N/A</v>
      </c>
      <c r="C1406" s="4">
        <f>'Raw data'!E1315</f>
        <v>0</v>
      </c>
      <c r="D1406" s="29" t="e">
        <f>VLOOKUP(C1406,'점포코드 '!A:B,2,0)</f>
        <v>#N/A</v>
      </c>
      <c r="E1406" s="30">
        <f>'Raw data'!P1315</f>
        <v>0</v>
      </c>
      <c r="F1406" s="29" t="e">
        <f>VLOOKUP(E1406,'점포코드 '!A:B,2,0)</f>
        <v>#N/A</v>
      </c>
      <c r="G1406" s="46">
        <f>'Raw data'!F1315</f>
        <v>0</v>
      </c>
      <c r="H1406" s="4">
        <f>'Raw data'!G1315</f>
        <v>0</v>
      </c>
      <c r="I1406" s="29" t="e">
        <f>VLOOKUP(G1406,제품명!$C$1:$E$114,2,0)</f>
        <v>#N/A</v>
      </c>
      <c r="J1406" s="29">
        <f>'Raw data'!K1315</f>
        <v>0</v>
      </c>
      <c r="K1406" s="31">
        <f>'Raw data'!H1315</f>
        <v>0</v>
      </c>
      <c r="L1406" s="26">
        <f t="shared" si="46"/>
        <v>0</v>
      </c>
    </row>
    <row r="1407" spans="2:12">
      <c r="B1407" s="4" t="e">
        <f t="shared" si="45"/>
        <v>#N/A</v>
      </c>
      <c r="C1407" s="4">
        <f>'Raw data'!E1316</f>
        <v>0</v>
      </c>
      <c r="D1407" s="29" t="e">
        <f>VLOOKUP(C1407,'점포코드 '!A:B,2,0)</f>
        <v>#N/A</v>
      </c>
      <c r="E1407" s="30">
        <f>'Raw data'!P1316</f>
        <v>0</v>
      </c>
      <c r="F1407" s="29" t="e">
        <f>VLOOKUP(E1407,'점포코드 '!A:B,2,0)</f>
        <v>#N/A</v>
      </c>
      <c r="G1407" s="46">
        <f>'Raw data'!F1316</f>
        <v>0</v>
      </c>
      <c r="H1407" s="4">
        <f>'Raw data'!G1316</f>
        <v>0</v>
      </c>
      <c r="I1407" s="29" t="e">
        <f>VLOOKUP(G1407,제품명!$C$1:$E$114,2,0)</f>
        <v>#N/A</v>
      </c>
      <c r="J1407" s="29">
        <f>'Raw data'!K1316</f>
        <v>0</v>
      </c>
      <c r="K1407" s="31">
        <f>'Raw data'!H1316</f>
        <v>0</v>
      </c>
      <c r="L1407" s="26">
        <f t="shared" si="46"/>
        <v>0</v>
      </c>
    </row>
    <row r="1408" spans="2:12">
      <c r="B1408" s="4" t="e">
        <f t="shared" si="45"/>
        <v>#N/A</v>
      </c>
      <c r="C1408" s="4">
        <f>'Raw data'!E1317</f>
        <v>0</v>
      </c>
      <c r="D1408" s="29" t="e">
        <f>VLOOKUP(C1408,'점포코드 '!A:B,2,0)</f>
        <v>#N/A</v>
      </c>
      <c r="E1408" s="30">
        <f>'Raw data'!P1317</f>
        <v>0</v>
      </c>
      <c r="F1408" s="29" t="e">
        <f>VLOOKUP(E1408,'점포코드 '!A:B,2,0)</f>
        <v>#N/A</v>
      </c>
      <c r="G1408" s="46">
        <f>'Raw data'!F1317</f>
        <v>0</v>
      </c>
      <c r="H1408" s="4">
        <f>'Raw data'!G1317</f>
        <v>0</v>
      </c>
      <c r="I1408" s="29" t="e">
        <f>VLOOKUP(G1408,제품명!$C$1:$E$114,2,0)</f>
        <v>#N/A</v>
      </c>
      <c r="J1408" s="29">
        <f>'Raw data'!K1317</f>
        <v>0</v>
      </c>
      <c r="K1408" s="31">
        <f>'Raw data'!H1317</f>
        <v>0</v>
      </c>
      <c r="L1408" s="26">
        <f t="shared" si="46"/>
        <v>0</v>
      </c>
    </row>
    <row r="1409" spans="2:12">
      <c r="B1409" s="4" t="e">
        <f t="shared" si="45"/>
        <v>#N/A</v>
      </c>
      <c r="C1409" s="4">
        <f>'Raw data'!E1318</f>
        <v>0</v>
      </c>
      <c r="D1409" s="29" t="e">
        <f>VLOOKUP(C1409,'점포코드 '!A:B,2,0)</f>
        <v>#N/A</v>
      </c>
      <c r="E1409" s="30">
        <f>'Raw data'!P1318</f>
        <v>0</v>
      </c>
      <c r="F1409" s="29" t="e">
        <f>VLOOKUP(E1409,'점포코드 '!A:B,2,0)</f>
        <v>#N/A</v>
      </c>
      <c r="G1409" s="46">
        <f>'Raw data'!F1318</f>
        <v>0</v>
      </c>
      <c r="H1409" s="4">
        <f>'Raw data'!G1318</f>
        <v>0</v>
      </c>
      <c r="I1409" s="29" t="e">
        <f>VLOOKUP(G1409,제품명!$C$1:$E$114,2,0)</f>
        <v>#N/A</v>
      </c>
      <c r="J1409" s="29">
        <f>'Raw data'!K1318</f>
        <v>0</v>
      </c>
      <c r="K1409" s="31">
        <f>'Raw data'!H1318</f>
        <v>0</v>
      </c>
      <c r="L1409" s="26">
        <f t="shared" si="46"/>
        <v>0</v>
      </c>
    </row>
    <row r="1410" spans="2:12">
      <c r="B1410" s="4" t="e">
        <f t="shared" ref="B1410:B1473" si="47">F1410&amp;I1410</f>
        <v>#N/A</v>
      </c>
      <c r="C1410" s="4">
        <f>'Raw data'!E1319</f>
        <v>0</v>
      </c>
      <c r="D1410" s="29" t="e">
        <f>VLOOKUP(C1410,'점포코드 '!A:B,2,0)</f>
        <v>#N/A</v>
      </c>
      <c r="E1410" s="30">
        <f>'Raw data'!P1319</f>
        <v>0</v>
      </c>
      <c r="F1410" s="29" t="e">
        <f>VLOOKUP(E1410,'점포코드 '!A:B,2,0)</f>
        <v>#N/A</v>
      </c>
      <c r="G1410" s="46">
        <f>'Raw data'!F1319</f>
        <v>0</v>
      </c>
      <c r="H1410" s="4">
        <f>'Raw data'!G1319</f>
        <v>0</v>
      </c>
      <c r="I1410" s="29" t="e">
        <f>VLOOKUP(G1410,제품명!$C$1:$E$114,2,0)</f>
        <v>#N/A</v>
      </c>
      <c r="J1410" s="29">
        <f>'Raw data'!K1319</f>
        <v>0</v>
      </c>
      <c r="K1410" s="31">
        <f>'Raw data'!H1319</f>
        <v>0</v>
      </c>
      <c r="L1410" s="26">
        <f t="shared" si="46"/>
        <v>0</v>
      </c>
    </row>
    <row r="1411" spans="2:12">
      <c r="B1411" s="4" t="e">
        <f t="shared" si="47"/>
        <v>#N/A</v>
      </c>
      <c r="C1411" s="4">
        <f>'Raw data'!E1320</f>
        <v>0</v>
      </c>
      <c r="D1411" s="29" t="e">
        <f>VLOOKUP(C1411,'점포코드 '!A:B,2,0)</f>
        <v>#N/A</v>
      </c>
      <c r="E1411" s="30">
        <f>'Raw data'!P1320</f>
        <v>0</v>
      </c>
      <c r="F1411" s="29" t="e">
        <f>VLOOKUP(E1411,'점포코드 '!A:B,2,0)</f>
        <v>#N/A</v>
      </c>
      <c r="G1411" s="46">
        <f>'Raw data'!F1320</f>
        <v>0</v>
      </c>
      <c r="H1411" s="4">
        <f>'Raw data'!G1320</f>
        <v>0</v>
      </c>
      <c r="I1411" s="29" t="e">
        <f>VLOOKUP(G1411,제품명!$C$1:$E$114,2,0)</f>
        <v>#N/A</v>
      </c>
      <c r="J1411" s="29">
        <f>'Raw data'!K1320</f>
        <v>0</v>
      </c>
      <c r="K1411" s="31">
        <f>'Raw data'!H1320</f>
        <v>0</v>
      </c>
      <c r="L1411" s="26">
        <f t="shared" ref="L1411:L1474" si="48">J1411*K1411</f>
        <v>0</v>
      </c>
    </row>
    <row r="1412" spans="2:12">
      <c r="B1412" s="4" t="e">
        <f t="shared" si="47"/>
        <v>#N/A</v>
      </c>
      <c r="C1412" s="4">
        <f>'Raw data'!E1321</f>
        <v>0</v>
      </c>
      <c r="D1412" s="29" t="e">
        <f>VLOOKUP(C1412,'점포코드 '!A:B,2,0)</f>
        <v>#N/A</v>
      </c>
      <c r="E1412" s="30">
        <f>'Raw data'!P1321</f>
        <v>0</v>
      </c>
      <c r="F1412" s="29" t="e">
        <f>VLOOKUP(E1412,'점포코드 '!A:B,2,0)</f>
        <v>#N/A</v>
      </c>
      <c r="G1412" s="46">
        <f>'Raw data'!F1321</f>
        <v>0</v>
      </c>
      <c r="H1412" s="4">
        <f>'Raw data'!G1321</f>
        <v>0</v>
      </c>
      <c r="I1412" s="29" t="e">
        <f>VLOOKUP(G1412,제품명!$C$1:$E$114,2,0)</f>
        <v>#N/A</v>
      </c>
      <c r="J1412" s="29">
        <f>'Raw data'!K1321</f>
        <v>0</v>
      </c>
      <c r="K1412" s="31">
        <f>'Raw data'!H1321</f>
        <v>0</v>
      </c>
      <c r="L1412" s="26">
        <f t="shared" si="48"/>
        <v>0</v>
      </c>
    </row>
    <row r="1413" spans="2:12">
      <c r="B1413" s="4" t="e">
        <f t="shared" si="47"/>
        <v>#N/A</v>
      </c>
      <c r="C1413" s="4">
        <f>'Raw data'!E1322</f>
        <v>0</v>
      </c>
      <c r="D1413" s="29" t="e">
        <f>VLOOKUP(C1413,'점포코드 '!A:B,2,0)</f>
        <v>#N/A</v>
      </c>
      <c r="E1413" s="30">
        <f>'Raw data'!P1322</f>
        <v>0</v>
      </c>
      <c r="F1413" s="29" t="e">
        <f>VLOOKUP(E1413,'점포코드 '!A:B,2,0)</f>
        <v>#N/A</v>
      </c>
      <c r="G1413" s="46">
        <f>'Raw data'!F1322</f>
        <v>0</v>
      </c>
      <c r="H1413" s="4">
        <f>'Raw data'!G1322</f>
        <v>0</v>
      </c>
      <c r="I1413" s="29" t="e">
        <f>VLOOKUP(G1413,제품명!$C$1:$E$114,2,0)</f>
        <v>#N/A</v>
      </c>
      <c r="J1413" s="29">
        <f>'Raw data'!K1322</f>
        <v>0</v>
      </c>
      <c r="K1413" s="31">
        <f>'Raw data'!H1322</f>
        <v>0</v>
      </c>
      <c r="L1413" s="26">
        <f t="shared" si="48"/>
        <v>0</v>
      </c>
    </row>
    <row r="1414" spans="2:12">
      <c r="B1414" s="4" t="e">
        <f t="shared" si="47"/>
        <v>#N/A</v>
      </c>
      <c r="C1414" s="4">
        <f>'Raw data'!E1323</f>
        <v>0</v>
      </c>
      <c r="D1414" s="29" t="e">
        <f>VLOOKUP(C1414,'점포코드 '!A:B,2,0)</f>
        <v>#N/A</v>
      </c>
      <c r="E1414" s="30">
        <f>'Raw data'!P1323</f>
        <v>0</v>
      </c>
      <c r="F1414" s="29" t="e">
        <f>VLOOKUP(E1414,'점포코드 '!A:B,2,0)</f>
        <v>#N/A</v>
      </c>
      <c r="G1414" s="46">
        <f>'Raw data'!F1323</f>
        <v>0</v>
      </c>
      <c r="H1414" s="4">
        <f>'Raw data'!G1323</f>
        <v>0</v>
      </c>
      <c r="I1414" s="29" t="e">
        <f>VLOOKUP(G1414,제품명!$C$1:$E$114,2,0)</f>
        <v>#N/A</v>
      </c>
      <c r="J1414" s="29">
        <f>'Raw data'!K1323</f>
        <v>0</v>
      </c>
      <c r="K1414" s="31">
        <f>'Raw data'!H1323</f>
        <v>0</v>
      </c>
      <c r="L1414" s="26">
        <f t="shared" si="48"/>
        <v>0</v>
      </c>
    </row>
    <row r="1415" spans="2:12">
      <c r="B1415" s="4" t="e">
        <f t="shared" si="47"/>
        <v>#N/A</v>
      </c>
      <c r="C1415" s="4">
        <f>'Raw data'!E1324</f>
        <v>0</v>
      </c>
      <c r="D1415" s="29" t="e">
        <f>VLOOKUP(C1415,'점포코드 '!A:B,2,0)</f>
        <v>#N/A</v>
      </c>
      <c r="E1415" s="30">
        <f>'Raw data'!P1324</f>
        <v>0</v>
      </c>
      <c r="F1415" s="29" t="e">
        <f>VLOOKUP(E1415,'점포코드 '!A:B,2,0)</f>
        <v>#N/A</v>
      </c>
      <c r="G1415" s="46">
        <f>'Raw data'!F1324</f>
        <v>0</v>
      </c>
      <c r="H1415" s="4">
        <f>'Raw data'!G1324</f>
        <v>0</v>
      </c>
      <c r="I1415" s="29" t="e">
        <f>VLOOKUP(G1415,제품명!$C$1:$E$114,2,0)</f>
        <v>#N/A</v>
      </c>
      <c r="J1415" s="29">
        <f>'Raw data'!K1324</f>
        <v>0</v>
      </c>
      <c r="K1415" s="31">
        <f>'Raw data'!H1324</f>
        <v>0</v>
      </c>
      <c r="L1415" s="26">
        <f t="shared" si="48"/>
        <v>0</v>
      </c>
    </row>
    <row r="1416" spans="2:12">
      <c r="B1416" s="4" t="e">
        <f t="shared" si="47"/>
        <v>#N/A</v>
      </c>
      <c r="C1416" s="4">
        <f>'Raw data'!E1325</f>
        <v>0</v>
      </c>
      <c r="D1416" s="29" t="e">
        <f>VLOOKUP(C1416,'점포코드 '!A:B,2,0)</f>
        <v>#N/A</v>
      </c>
      <c r="E1416" s="30">
        <f>'Raw data'!P1325</f>
        <v>0</v>
      </c>
      <c r="F1416" s="29" t="e">
        <f>VLOOKUP(E1416,'점포코드 '!A:B,2,0)</f>
        <v>#N/A</v>
      </c>
      <c r="G1416" s="46">
        <f>'Raw data'!F1325</f>
        <v>0</v>
      </c>
      <c r="H1416" s="4">
        <f>'Raw data'!G1325</f>
        <v>0</v>
      </c>
      <c r="I1416" s="29" t="e">
        <f>VLOOKUP(G1416,제품명!$C$1:$E$114,2,0)</f>
        <v>#N/A</v>
      </c>
      <c r="J1416" s="29">
        <f>'Raw data'!K1325</f>
        <v>0</v>
      </c>
      <c r="K1416" s="31">
        <f>'Raw data'!H1325</f>
        <v>0</v>
      </c>
      <c r="L1416" s="26">
        <f t="shared" si="48"/>
        <v>0</v>
      </c>
    </row>
    <row r="1417" spans="2:12">
      <c r="B1417" s="4" t="e">
        <f t="shared" si="47"/>
        <v>#N/A</v>
      </c>
      <c r="C1417" s="4">
        <f>'Raw data'!E1326</f>
        <v>0</v>
      </c>
      <c r="D1417" s="29" t="e">
        <f>VLOOKUP(C1417,'점포코드 '!A:B,2,0)</f>
        <v>#N/A</v>
      </c>
      <c r="E1417" s="30">
        <f>'Raw data'!P1326</f>
        <v>0</v>
      </c>
      <c r="F1417" s="29" t="e">
        <f>VLOOKUP(E1417,'점포코드 '!A:B,2,0)</f>
        <v>#N/A</v>
      </c>
      <c r="G1417" s="46">
        <f>'Raw data'!F1326</f>
        <v>0</v>
      </c>
      <c r="H1417" s="4">
        <f>'Raw data'!G1326</f>
        <v>0</v>
      </c>
      <c r="I1417" s="29" t="e">
        <f>VLOOKUP(G1417,제품명!$C$1:$E$114,2,0)</f>
        <v>#N/A</v>
      </c>
      <c r="J1417" s="29">
        <f>'Raw data'!K1326</f>
        <v>0</v>
      </c>
      <c r="K1417" s="31">
        <f>'Raw data'!H1326</f>
        <v>0</v>
      </c>
      <c r="L1417" s="26">
        <f t="shared" si="48"/>
        <v>0</v>
      </c>
    </row>
    <row r="1418" spans="2:12">
      <c r="B1418" s="4" t="e">
        <f t="shared" si="47"/>
        <v>#N/A</v>
      </c>
      <c r="C1418" s="4">
        <f>'Raw data'!E1327</f>
        <v>0</v>
      </c>
      <c r="D1418" s="29" t="e">
        <f>VLOOKUP(C1418,'점포코드 '!A:B,2,0)</f>
        <v>#N/A</v>
      </c>
      <c r="E1418" s="30">
        <f>'Raw data'!P1327</f>
        <v>0</v>
      </c>
      <c r="F1418" s="29" t="e">
        <f>VLOOKUP(E1418,'점포코드 '!A:B,2,0)</f>
        <v>#N/A</v>
      </c>
      <c r="G1418" s="46">
        <f>'Raw data'!F1327</f>
        <v>0</v>
      </c>
      <c r="H1418" s="4">
        <f>'Raw data'!G1327</f>
        <v>0</v>
      </c>
      <c r="I1418" s="29" t="e">
        <f>VLOOKUP(G1418,제품명!$C$1:$E$114,2,0)</f>
        <v>#N/A</v>
      </c>
      <c r="J1418" s="29">
        <f>'Raw data'!K1327</f>
        <v>0</v>
      </c>
      <c r="K1418" s="31">
        <f>'Raw data'!H1327</f>
        <v>0</v>
      </c>
      <c r="L1418" s="26">
        <f t="shared" si="48"/>
        <v>0</v>
      </c>
    </row>
    <row r="1419" spans="2:12">
      <c r="B1419" s="4" t="e">
        <f t="shared" si="47"/>
        <v>#N/A</v>
      </c>
      <c r="C1419" s="4">
        <f>'Raw data'!E1328</f>
        <v>0</v>
      </c>
      <c r="D1419" s="29" t="e">
        <f>VLOOKUP(C1419,'점포코드 '!A:B,2,0)</f>
        <v>#N/A</v>
      </c>
      <c r="E1419" s="30">
        <f>'Raw data'!P1328</f>
        <v>0</v>
      </c>
      <c r="F1419" s="29" t="e">
        <f>VLOOKUP(E1419,'점포코드 '!A:B,2,0)</f>
        <v>#N/A</v>
      </c>
      <c r="G1419" s="46">
        <f>'Raw data'!F1328</f>
        <v>0</v>
      </c>
      <c r="H1419" s="4">
        <f>'Raw data'!G1328</f>
        <v>0</v>
      </c>
      <c r="I1419" s="29" t="e">
        <f>VLOOKUP(G1419,제품명!$C$1:$E$114,2,0)</f>
        <v>#N/A</v>
      </c>
      <c r="J1419" s="29">
        <f>'Raw data'!K1328</f>
        <v>0</v>
      </c>
      <c r="K1419" s="31">
        <f>'Raw data'!H1328</f>
        <v>0</v>
      </c>
      <c r="L1419" s="26">
        <f t="shared" si="48"/>
        <v>0</v>
      </c>
    </row>
    <row r="1420" spans="2:12">
      <c r="B1420" s="4" t="e">
        <f t="shared" si="47"/>
        <v>#N/A</v>
      </c>
      <c r="C1420" s="4">
        <f>'Raw data'!E1329</f>
        <v>0</v>
      </c>
      <c r="D1420" s="29" t="e">
        <f>VLOOKUP(C1420,'점포코드 '!A:B,2,0)</f>
        <v>#N/A</v>
      </c>
      <c r="E1420" s="30">
        <f>'Raw data'!P1329</f>
        <v>0</v>
      </c>
      <c r="F1420" s="29" t="e">
        <f>VLOOKUP(E1420,'점포코드 '!A:B,2,0)</f>
        <v>#N/A</v>
      </c>
      <c r="G1420" s="46">
        <f>'Raw data'!F1329</f>
        <v>0</v>
      </c>
      <c r="H1420" s="4">
        <f>'Raw data'!G1329</f>
        <v>0</v>
      </c>
      <c r="I1420" s="29" t="e">
        <f>VLOOKUP(G1420,제품명!$C$1:$E$114,2,0)</f>
        <v>#N/A</v>
      </c>
      <c r="J1420" s="29">
        <f>'Raw data'!K1329</f>
        <v>0</v>
      </c>
      <c r="K1420" s="31">
        <f>'Raw data'!H1329</f>
        <v>0</v>
      </c>
      <c r="L1420" s="26">
        <f t="shared" si="48"/>
        <v>0</v>
      </c>
    </row>
    <row r="1421" spans="2:12">
      <c r="B1421" s="4" t="e">
        <f t="shared" si="47"/>
        <v>#N/A</v>
      </c>
      <c r="C1421" s="4">
        <f>'Raw data'!E1330</f>
        <v>0</v>
      </c>
      <c r="D1421" s="29" t="e">
        <f>VLOOKUP(C1421,'점포코드 '!A:B,2,0)</f>
        <v>#N/A</v>
      </c>
      <c r="E1421" s="30">
        <f>'Raw data'!P1330</f>
        <v>0</v>
      </c>
      <c r="F1421" s="29" t="e">
        <f>VLOOKUP(E1421,'점포코드 '!A:B,2,0)</f>
        <v>#N/A</v>
      </c>
      <c r="G1421" s="46">
        <f>'Raw data'!F1330</f>
        <v>0</v>
      </c>
      <c r="H1421" s="4">
        <f>'Raw data'!G1330</f>
        <v>0</v>
      </c>
      <c r="I1421" s="29" t="e">
        <f>VLOOKUP(G1421,제품명!$C$1:$E$114,2,0)</f>
        <v>#N/A</v>
      </c>
      <c r="J1421" s="29">
        <f>'Raw data'!K1330</f>
        <v>0</v>
      </c>
      <c r="K1421" s="31">
        <f>'Raw data'!H1330</f>
        <v>0</v>
      </c>
      <c r="L1421" s="26">
        <f t="shared" si="48"/>
        <v>0</v>
      </c>
    </row>
    <row r="1422" spans="2:12">
      <c r="B1422" s="4" t="e">
        <f t="shared" si="47"/>
        <v>#N/A</v>
      </c>
      <c r="C1422" s="4">
        <f>'Raw data'!E1331</f>
        <v>0</v>
      </c>
      <c r="D1422" s="29" t="e">
        <f>VLOOKUP(C1422,'점포코드 '!A:B,2,0)</f>
        <v>#N/A</v>
      </c>
      <c r="E1422" s="30">
        <f>'Raw data'!P1331</f>
        <v>0</v>
      </c>
      <c r="F1422" s="29" t="e">
        <f>VLOOKUP(E1422,'점포코드 '!A:B,2,0)</f>
        <v>#N/A</v>
      </c>
      <c r="G1422" s="46">
        <f>'Raw data'!F1331</f>
        <v>0</v>
      </c>
      <c r="H1422" s="4">
        <f>'Raw data'!G1331</f>
        <v>0</v>
      </c>
      <c r="I1422" s="29" t="e">
        <f>VLOOKUP(G1422,제품명!$C$1:$E$114,2,0)</f>
        <v>#N/A</v>
      </c>
      <c r="J1422" s="29">
        <f>'Raw data'!K1331</f>
        <v>0</v>
      </c>
      <c r="K1422" s="31">
        <f>'Raw data'!H1331</f>
        <v>0</v>
      </c>
      <c r="L1422" s="26">
        <f t="shared" si="48"/>
        <v>0</v>
      </c>
    </row>
    <row r="1423" spans="2:12">
      <c r="B1423" s="4" t="e">
        <f t="shared" si="47"/>
        <v>#N/A</v>
      </c>
      <c r="C1423" s="4">
        <f>'Raw data'!E1332</f>
        <v>0</v>
      </c>
      <c r="D1423" s="29" t="e">
        <f>VLOOKUP(C1423,'점포코드 '!A:B,2,0)</f>
        <v>#N/A</v>
      </c>
      <c r="E1423" s="30">
        <f>'Raw data'!P1332</f>
        <v>0</v>
      </c>
      <c r="F1423" s="29" t="e">
        <f>VLOOKUP(E1423,'점포코드 '!A:B,2,0)</f>
        <v>#N/A</v>
      </c>
      <c r="G1423" s="46">
        <f>'Raw data'!F1332</f>
        <v>0</v>
      </c>
      <c r="H1423" s="4">
        <f>'Raw data'!G1332</f>
        <v>0</v>
      </c>
      <c r="I1423" s="29" t="e">
        <f>VLOOKUP(G1423,제품명!$C$1:$E$114,2,0)</f>
        <v>#N/A</v>
      </c>
      <c r="J1423" s="29">
        <f>'Raw data'!K1332</f>
        <v>0</v>
      </c>
      <c r="K1423" s="31">
        <f>'Raw data'!H1332</f>
        <v>0</v>
      </c>
      <c r="L1423" s="26">
        <f t="shared" si="48"/>
        <v>0</v>
      </c>
    </row>
    <row r="1424" spans="2:12">
      <c r="B1424" s="4" t="e">
        <f t="shared" si="47"/>
        <v>#N/A</v>
      </c>
      <c r="C1424" s="4">
        <f>'Raw data'!E1333</f>
        <v>0</v>
      </c>
      <c r="D1424" s="29" t="e">
        <f>VLOOKUP(C1424,'점포코드 '!A:B,2,0)</f>
        <v>#N/A</v>
      </c>
      <c r="E1424" s="30">
        <f>'Raw data'!P1333</f>
        <v>0</v>
      </c>
      <c r="F1424" s="29" t="e">
        <f>VLOOKUP(E1424,'점포코드 '!A:B,2,0)</f>
        <v>#N/A</v>
      </c>
      <c r="G1424" s="46">
        <f>'Raw data'!F1333</f>
        <v>0</v>
      </c>
      <c r="H1424" s="4">
        <f>'Raw data'!G1333</f>
        <v>0</v>
      </c>
      <c r="I1424" s="29" t="e">
        <f>VLOOKUP(G1424,제품명!$C$1:$E$114,2,0)</f>
        <v>#N/A</v>
      </c>
      <c r="J1424" s="29">
        <f>'Raw data'!K1333</f>
        <v>0</v>
      </c>
      <c r="K1424" s="31">
        <f>'Raw data'!H1333</f>
        <v>0</v>
      </c>
      <c r="L1424" s="26">
        <f t="shared" si="48"/>
        <v>0</v>
      </c>
    </row>
    <row r="1425" spans="2:12">
      <c r="B1425" s="4" t="e">
        <f t="shared" si="47"/>
        <v>#N/A</v>
      </c>
      <c r="C1425" s="4">
        <f>'Raw data'!E1334</f>
        <v>0</v>
      </c>
      <c r="D1425" s="29" t="e">
        <f>VLOOKUP(C1425,'점포코드 '!A:B,2,0)</f>
        <v>#N/A</v>
      </c>
      <c r="E1425" s="30">
        <f>'Raw data'!P1334</f>
        <v>0</v>
      </c>
      <c r="F1425" s="29" t="e">
        <f>VLOOKUP(E1425,'점포코드 '!A:B,2,0)</f>
        <v>#N/A</v>
      </c>
      <c r="G1425" s="46">
        <f>'Raw data'!F1334</f>
        <v>0</v>
      </c>
      <c r="H1425" s="4">
        <f>'Raw data'!G1334</f>
        <v>0</v>
      </c>
      <c r="I1425" s="29" t="e">
        <f>VLOOKUP(G1425,제품명!$C$1:$E$114,2,0)</f>
        <v>#N/A</v>
      </c>
      <c r="J1425" s="29">
        <f>'Raw data'!K1334</f>
        <v>0</v>
      </c>
      <c r="K1425" s="31">
        <f>'Raw data'!H1334</f>
        <v>0</v>
      </c>
      <c r="L1425" s="26">
        <f t="shared" si="48"/>
        <v>0</v>
      </c>
    </row>
    <row r="1426" spans="2:12">
      <c r="B1426" s="4" t="e">
        <f t="shared" si="47"/>
        <v>#N/A</v>
      </c>
      <c r="C1426" s="4">
        <f>'Raw data'!E1335</f>
        <v>0</v>
      </c>
      <c r="D1426" s="29" t="e">
        <f>VLOOKUP(C1426,'점포코드 '!A:B,2,0)</f>
        <v>#N/A</v>
      </c>
      <c r="E1426" s="30">
        <f>'Raw data'!P1335</f>
        <v>0</v>
      </c>
      <c r="F1426" s="29" t="e">
        <f>VLOOKUP(E1426,'점포코드 '!A:B,2,0)</f>
        <v>#N/A</v>
      </c>
      <c r="G1426" s="46">
        <f>'Raw data'!F1335</f>
        <v>0</v>
      </c>
      <c r="H1426" s="4">
        <f>'Raw data'!G1335</f>
        <v>0</v>
      </c>
      <c r="I1426" s="29" t="e">
        <f>VLOOKUP(G1426,제품명!$C$1:$E$114,2,0)</f>
        <v>#N/A</v>
      </c>
      <c r="J1426" s="29">
        <f>'Raw data'!K1335</f>
        <v>0</v>
      </c>
      <c r="K1426" s="31">
        <f>'Raw data'!H1335</f>
        <v>0</v>
      </c>
      <c r="L1426" s="26">
        <f t="shared" si="48"/>
        <v>0</v>
      </c>
    </row>
    <row r="1427" spans="2:12">
      <c r="B1427" s="4" t="e">
        <f t="shared" si="47"/>
        <v>#N/A</v>
      </c>
      <c r="C1427" s="4">
        <f>'Raw data'!E1336</f>
        <v>0</v>
      </c>
      <c r="D1427" s="29" t="e">
        <f>VLOOKUP(C1427,'점포코드 '!A:B,2,0)</f>
        <v>#N/A</v>
      </c>
      <c r="E1427" s="30">
        <f>'Raw data'!P1336</f>
        <v>0</v>
      </c>
      <c r="F1427" s="29" t="e">
        <f>VLOOKUP(E1427,'점포코드 '!A:B,2,0)</f>
        <v>#N/A</v>
      </c>
      <c r="G1427" s="46">
        <f>'Raw data'!F1336</f>
        <v>0</v>
      </c>
      <c r="H1427" s="4">
        <f>'Raw data'!G1336</f>
        <v>0</v>
      </c>
      <c r="I1427" s="29" t="e">
        <f>VLOOKUP(G1427,제품명!$C$1:$E$114,2,0)</f>
        <v>#N/A</v>
      </c>
      <c r="J1427" s="29">
        <f>'Raw data'!K1336</f>
        <v>0</v>
      </c>
      <c r="K1427" s="31">
        <f>'Raw data'!H1336</f>
        <v>0</v>
      </c>
      <c r="L1427" s="26">
        <f t="shared" si="48"/>
        <v>0</v>
      </c>
    </row>
    <row r="1428" spans="2:12">
      <c r="B1428" s="4" t="e">
        <f t="shared" si="47"/>
        <v>#N/A</v>
      </c>
      <c r="C1428" s="4">
        <f>'Raw data'!E1337</f>
        <v>0</v>
      </c>
      <c r="D1428" s="29" t="e">
        <f>VLOOKUP(C1428,'점포코드 '!A:B,2,0)</f>
        <v>#N/A</v>
      </c>
      <c r="E1428" s="30">
        <f>'Raw data'!P1337</f>
        <v>0</v>
      </c>
      <c r="F1428" s="29" t="e">
        <f>VLOOKUP(E1428,'점포코드 '!A:B,2,0)</f>
        <v>#N/A</v>
      </c>
      <c r="G1428" s="46">
        <f>'Raw data'!F1337</f>
        <v>0</v>
      </c>
      <c r="H1428" s="4">
        <f>'Raw data'!G1337</f>
        <v>0</v>
      </c>
      <c r="I1428" s="29" t="e">
        <f>VLOOKUP(G1428,제품명!$C$1:$E$114,2,0)</f>
        <v>#N/A</v>
      </c>
      <c r="J1428" s="29">
        <f>'Raw data'!K1337</f>
        <v>0</v>
      </c>
      <c r="K1428" s="31">
        <f>'Raw data'!H1337</f>
        <v>0</v>
      </c>
      <c r="L1428" s="26">
        <f t="shared" si="48"/>
        <v>0</v>
      </c>
    </row>
    <row r="1429" spans="2:12">
      <c r="B1429" s="4" t="e">
        <f t="shared" si="47"/>
        <v>#N/A</v>
      </c>
      <c r="C1429" s="4">
        <f>'Raw data'!E1338</f>
        <v>0</v>
      </c>
      <c r="D1429" s="29" t="e">
        <f>VLOOKUP(C1429,'점포코드 '!A:B,2,0)</f>
        <v>#N/A</v>
      </c>
      <c r="E1429" s="30">
        <f>'Raw data'!P1338</f>
        <v>0</v>
      </c>
      <c r="F1429" s="29" t="e">
        <f>VLOOKUP(E1429,'점포코드 '!A:B,2,0)</f>
        <v>#N/A</v>
      </c>
      <c r="G1429" s="46">
        <f>'Raw data'!F1338</f>
        <v>0</v>
      </c>
      <c r="H1429" s="4">
        <f>'Raw data'!G1338</f>
        <v>0</v>
      </c>
      <c r="I1429" s="29" t="e">
        <f>VLOOKUP(G1429,제품명!$C$1:$E$114,2,0)</f>
        <v>#N/A</v>
      </c>
      <c r="J1429" s="29">
        <f>'Raw data'!K1338</f>
        <v>0</v>
      </c>
      <c r="K1429" s="31">
        <f>'Raw data'!H1338</f>
        <v>0</v>
      </c>
      <c r="L1429" s="26">
        <f t="shared" si="48"/>
        <v>0</v>
      </c>
    </row>
    <row r="1430" spans="2:12">
      <c r="B1430" s="4" t="e">
        <f t="shared" si="47"/>
        <v>#N/A</v>
      </c>
      <c r="C1430" s="4">
        <f>'Raw data'!E1339</f>
        <v>0</v>
      </c>
      <c r="D1430" s="29" t="e">
        <f>VLOOKUP(C1430,'점포코드 '!A:B,2,0)</f>
        <v>#N/A</v>
      </c>
      <c r="E1430" s="30">
        <f>'Raw data'!P1339</f>
        <v>0</v>
      </c>
      <c r="F1430" s="29" t="e">
        <f>VLOOKUP(E1430,'점포코드 '!A:B,2,0)</f>
        <v>#N/A</v>
      </c>
      <c r="G1430" s="46">
        <f>'Raw data'!F1339</f>
        <v>0</v>
      </c>
      <c r="H1430" s="4">
        <f>'Raw data'!G1339</f>
        <v>0</v>
      </c>
      <c r="I1430" s="29" t="e">
        <f>VLOOKUP(G1430,제품명!$C$1:$E$114,2,0)</f>
        <v>#N/A</v>
      </c>
      <c r="J1430" s="29">
        <f>'Raw data'!K1339</f>
        <v>0</v>
      </c>
      <c r="K1430" s="31">
        <f>'Raw data'!H1339</f>
        <v>0</v>
      </c>
      <c r="L1430" s="26">
        <f t="shared" si="48"/>
        <v>0</v>
      </c>
    </row>
    <row r="1431" spans="2:12">
      <c r="B1431" s="4" t="e">
        <f t="shared" si="47"/>
        <v>#N/A</v>
      </c>
      <c r="C1431" s="4">
        <f>'Raw data'!E1340</f>
        <v>0</v>
      </c>
      <c r="D1431" s="29" t="e">
        <f>VLOOKUP(C1431,'점포코드 '!A:B,2,0)</f>
        <v>#N/A</v>
      </c>
      <c r="E1431" s="30">
        <f>'Raw data'!P1340</f>
        <v>0</v>
      </c>
      <c r="F1431" s="29" t="e">
        <f>VLOOKUP(E1431,'점포코드 '!A:B,2,0)</f>
        <v>#N/A</v>
      </c>
      <c r="G1431" s="46">
        <f>'Raw data'!F1340</f>
        <v>0</v>
      </c>
      <c r="H1431" s="4">
        <f>'Raw data'!G1340</f>
        <v>0</v>
      </c>
      <c r="I1431" s="29" t="e">
        <f>VLOOKUP(G1431,제품명!$C$1:$E$114,2,0)</f>
        <v>#N/A</v>
      </c>
      <c r="J1431" s="29">
        <f>'Raw data'!K1340</f>
        <v>0</v>
      </c>
      <c r="K1431" s="31">
        <f>'Raw data'!H1340</f>
        <v>0</v>
      </c>
      <c r="L1431" s="26">
        <f t="shared" si="48"/>
        <v>0</v>
      </c>
    </row>
    <row r="1432" spans="2:12">
      <c r="B1432" s="4" t="e">
        <f t="shared" si="47"/>
        <v>#N/A</v>
      </c>
      <c r="C1432" s="4">
        <f>'Raw data'!E1341</f>
        <v>0</v>
      </c>
      <c r="D1432" s="29" t="e">
        <f>VLOOKUP(C1432,'점포코드 '!A:B,2,0)</f>
        <v>#N/A</v>
      </c>
      <c r="E1432" s="30">
        <f>'Raw data'!P1341</f>
        <v>0</v>
      </c>
      <c r="F1432" s="29" t="e">
        <f>VLOOKUP(E1432,'점포코드 '!A:B,2,0)</f>
        <v>#N/A</v>
      </c>
      <c r="G1432" s="46">
        <f>'Raw data'!F1341</f>
        <v>0</v>
      </c>
      <c r="H1432" s="4">
        <f>'Raw data'!G1341</f>
        <v>0</v>
      </c>
      <c r="I1432" s="29" t="e">
        <f>VLOOKUP(G1432,제품명!$C$1:$E$114,2,0)</f>
        <v>#N/A</v>
      </c>
      <c r="J1432" s="29">
        <f>'Raw data'!K1341</f>
        <v>0</v>
      </c>
      <c r="K1432" s="31">
        <f>'Raw data'!H1341</f>
        <v>0</v>
      </c>
      <c r="L1432" s="26">
        <f t="shared" si="48"/>
        <v>0</v>
      </c>
    </row>
    <row r="1433" spans="2:12">
      <c r="B1433" s="4" t="e">
        <f t="shared" si="47"/>
        <v>#N/A</v>
      </c>
      <c r="C1433" s="4">
        <f>'Raw data'!E1342</f>
        <v>0</v>
      </c>
      <c r="D1433" s="29" t="e">
        <f>VLOOKUP(C1433,'점포코드 '!A:B,2,0)</f>
        <v>#N/A</v>
      </c>
      <c r="E1433" s="30">
        <f>'Raw data'!P1342</f>
        <v>0</v>
      </c>
      <c r="F1433" s="29" t="e">
        <f>VLOOKUP(E1433,'점포코드 '!A:B,2,0)</f>
        <v>#N/A</v>
      </c>
      <c r="G1433" s="46">
        <f>'Raw data'!F1342</f>
        <v>0</v>
      </c>
      <c r="H1433" s="4">
        <f>'Raw data'!G1342</f>
        <v>0</v>
      </c>
      <c r="I1433" s="29" t="e">
        <f>VLOOKUP(G1433,제품명!$C$1:$E$114,2,0)</f>
        <v>#N/A</v>
      </c>
      <c r="J1433" s="29">
        <f>'Raw data'!K1342</f>
        <v>0</v>
      </c>
      <c r="K1433" s="31">
        <f>'Raw data'!H1342</f>
        <v>0</v>
      </c>
      <c r="L1433" s="26">
        <f t="shared" si="48"/>
        <v>0</v>
      </c>
    </row>
    <row r="1434" spans="2:12">
      <c r="B1434" s="4" t="e">
        <f t="shared" si="47"/>
        <v>#N/A</v>
      </c>
      <c r="C1434" s="4">
        <f>'Raw data'!E1343</f>
        <v>0</v>
      </c>
      <c r="D1434" s="29" t="e">
        <f>VLOOKUP(C1434,'점포코드 '!A:B,2,0)</f>
        <v>#N/A</v>
      </c>
      <c r="E1434" s="30">
        <f>'Raw data'!P1343</f>
        <v>0</v>
      </c>
      <c r="F1434" s="29" t="e">
        <f>VLOOKUP(E1434,'점포코드 '!A:B,2,0)</f>
        <v>#N/A</v>
      </c>
      <c r="G1434" s="46">
        <f>'Raw data'!F1343</f>
        <v>0</v>
      </c>
      <c r="H1434" s="4">
        <f>'Raw data'!G1343</f>
        <v>0</v>
      </c>
      <c r="I1434" s="29" t="e">
        <f>VLOOKUP(G1434,제품명!$C$1:$E$114,2,0)</f>
        <v>#N/A</v>
      </c>
      <c r="J1434" s="29">
        <f>'Raw data'!K1343</f>
        <v>0</v>
      </c>
      <c r="K1434" s="31">
        <f>'Raw data'!H1343</f>
        <v>0</v>
      </c>
      <c r="L1434" s="26">
        <f t="shared" si="48"/>
        <v>0</v>
      </c>
    </row>
    <row r="1435" spans="2:12">
      <c r="B1435" s="4" t="e">
        <f t="shared" si="47"/>
        <v>#N/A</v>
      </c>
      <c r="C1435" s="4">
        <f>'Raw data'!E1344</f>
        <v>0</v>
      </c>
      <c r="D1435" s="29" t="e">
        <f>VLOOKUP(C1435,'점포코드 '!A:B,2,0)</f>
        <v>#N/A</v>
      </c>
      <c r="E1435" s="30">
        <f>'Raw data'!P1344</f>
        <v>0</v>
      </c>
      <c r="F1435" s="29" t="e">
        <f>VLOOKUP(E1435,'점포코드 '!A:B,2,0)</f>
        <v>#N/A</v>
      </c>
      <c r="G1435" s="46">
        <f>'Raw data'!F1344</f>
        <v>0</v>
      </c>
      <c r="H1435" s="4">
        <f>'Raw data'!G1344</f>
        <v>0</v>
      </c>
      <c r="I1435" s="29" t="e">
        <f>VLOOKUP(G1435,제품명!$C$1:$E$114,2,0)</f>
        <v>#N/A</v>
      </c>
      <c r="J1435" s="29">
        <f>'Raw data'!K1344</f>
        <v>0</v>
      </c>
      <c r="K1435" s="31">
        <f>'Raw data'!H1344</f>
        <v>0</v>
      </c>
      <c r="L1435" s="26">
        <f t="shared" si="48"/>
        <v>0</v>
      </c>
    </row>
    <row r="1436" spans="2:12">
      <c r="B1436" s="4" t="e">
        <f t="shared" si="47"/>
        <v>#N/A</v>
      </c>
      <c r="C1436" s="4">
        <f>'Raw data'!E1345</f>
        <v>0</v>
      </c>
      <c r="D1436" s="29" t="e">
        <f>VLOOKUP(C1436,'점포코드 '!A:B,2,0)</f>
        <v>#N/A</v>
      </c>
      <c r="E1436" s="30">
        <f>'Raw data'!P1345</f>
        <v>0</v>
      </c>
      <c r="F1436" s="29" t="e">
        <f>VLOOKUP(E1436,'점포코드 '!A:B,2,0)</f>
        <v>#N/A</v>
      </c>
      <c r="G1436" s="46">
        <f>'Raw data'!F1345</f>
        <v>0</v>
      </c>
      <c r="H1436" s="4">
        <f>'Raw data'!G1345</f>
        <v>0</v>
      </c>
      <c r="I1436" s="29" t="e">
        <f>VLOOKUP(G1436,제품명!$C$1:$E$114,2,0)</f>
        <v>#N/A</v>
      </c>
      <c r="J1436" s="29">
        <f>'Raw data'!K1345</f>
        <v>0</v>
      </c>
      <c r="K1436" s="31">
        <f>'Raw data'!H1345</f>
        <v>0</v>
      </c>
      <c r="L1436" s="26">
        <f t="shared" si="48"/>
        <v>0</v>
      </c>
    </row>
    <row r="1437" spans="2:12">
      <c r="B1437" s="4" t="e">
        <f t="shared" si="47"/>
        <v>#N/A</v>
      </c>
      <c r="C1437" s="4">
        <f>'Raw data'!E1346</f>
        <v>0</v>
      </c>
      <c r="D1437" s="29" t="e">
        <f>VLOOKUP(C1437,'점포코드 '!A:B,2,0)</f>
        <v>#N/A</v>
      </c>
      <c r="E1437" s="30">
        <f>'Raw data'!P1346</f>
        <v>0</v>
      </c>
      <c r="F1437" s="29" t="e">
        <f>VLOOKUP(E1437,'점포코드 '!A:B,2,0)</f>
        <v>#N/A</v>
      </c>
      <c r="G1437" s="46">
        <f>'Raw data'!F1346</f>
        <v>0</v>
      </c>
      <c r="H1437" s="4">
        <f>'Raw data'!G1346</f>
        <v>0</v>
      </c>
      <c r="I1437" s="29" t="e">
        <f>VLOOKUP(G1437,제품명!$C$1:$E$114,2,0)</f>
        <v>#N/A</v>
      </c>
      <c r="J1437" s="29">
        <f>'Raw data'!K1346</f>
        <v>0</v>
      </c>
      <c r="K1437" s="31">
        <f>'Raw data'!H1346</f>
        <v>0</v>
      </c>
      <c r="L1437" s="26">
        <f t="shared" si="48"/>
        <v>0</v>
      </c>
    </row>
    <row r="1438" spans="2:12">
      <c r="B1438" s="4" t="e">
        <f t="shared" si="47"/>
        <v>#N/A</v>
      </c>
      <c r="C1438" s="4">
        <f>'Raw data'!E1347</f>
        <v>0</v>
      </c>
      <c r="D1438" s="29" t="e">
        <f>VLOOKUP(C1438,'점포코드 '!A:B,2,0)</f>
        <v>#N/A</v>
      </c>
      <c r="E1438" s="30">
        <f>'Raw data'!P1347</f>
        <v>0</v>
      </c>
      <c r="F1438" s="29" t="e">
        <f>VLOOKUP(E1438,'점포코드 '!A:B,2,0)</f>
        <v>#N/A</v>
      </c>
      <c r="G1438" s="46">
        <f>'Raw data'!F1347</f>
        <v>0</v>
      </c>
      <c r="H1438" s="4">
        <f>'Raw data'!G1347</f>
        <v>0</v>
      </c>
      <c r="I1438" s="29" t="e">
        <f>VLOOKUP(G1438,제품명!$C$1:$E$114,2,0)</f>
        <v>#N/A</v>
      </c>
      <c r="J1438" s="29">
        <f>'Raw data'!K1347</f>
        <v>0</v>
      </c>
      <c r="K1438" s="31">
        <f>'Raw data'!H1347</f>
        <v>0</v>
      </c>
      <c r="L1438" s="26">
        <f t="shared" si="48"/>
        <v>0</v>
      </c>
    </row>
    <row r="1439" spans="2:12">
      <c r="B1439" s="4" t="e">
        <f t="shared" si="47"/>
        <v>#N/A</v>
      </c>
      <c r="C1439" s="4">
        <f>'Raw data'!E1348</f>
        <v>0</v>
      </c>
      <c r="D1439" s="29" t="e">
        <f>VLOOKUP(C1439,'점포코드 '!A:B,2,0)</f>
        <v>#N/A</v>
      </c>
      <c r="E1439" s="30">
        <f>'Raw data'!P1348</f>
        <v>0</v>
      </c>
      <c r="F1439" s="29" t="e">
        <f>VLOOKUP(E1439,'점포코드 '!A:B,2,0)</f>
        <v>#N/A</v>
      </c>
      <c r="G1439" s="46">
        <f>'Raw data'!F1348</f>
        <v>0</v>
      </c>
      <c r="H1439" s="4">
        <f>'Raw data'!G1348</f>
        <v>0</v>
      </c>
      <c r="I1439" s="29" t="e">
        <f>VLOOKUP(G1439,제품명!$C$1:$E$114,2,0)</f>
        <v>#N/A</v>
      </c>
      <c r="J1439" s="29">
        <f>'Raw data'!K1348</f>
        <v>0</v>
      </c>
      <c r="K1439" s="31">
        <f>'Raw data'!H1348</f>
        <v>0</v>
      </c>
      <c r="L1439" s="26">
        <f t="shared" si="48"/>
        <v>0</v>
      </c>
    </row>
    <row r="1440" spans="2:12">
      <c r="B1440" s="4" t="e">
        <f t="shared" si="47"/>
        <v>#N/A</v>
      </c>
      <c r="C1440" s="4">
        <f>'Raw data'!E1349</f>
        <v>0</v>
      </c>
      <c r="D1440" s="29" t="e">
        <f>VLOOKUP(C1440,'점포코드 '!A:B,2,0)</f>
        <v>#N/A</v>
      </c>
      <c r="E1440" s="30">
        <f>'Raw data'!P1349</f>
        <v>0</v>
      </c>
      <c r="F1440" s="29" t="e">
        <f>VLOOKUP(E1440,'점포코드 '!A:B,2,0)</f>
        <v>#N/A</v>
      </c>
      <c r="G1440" s="46">
        <f>'Raw data'!F1349</f>
        <v>0</v>
      </c>
      <c r="H1440" s="4">
        <f>'Raw data'!G1349</f>
        <v>0</v>
      </c>
      <c r="I1440" s="29" t="e">
        <f>VLOOKUP(G1440,제품명!$C$1:$E$114,2,0)</f>
        <v>#N/A</v>
      </c>
      <c r="J1440" s="29">
        <f>'Raw data'!K1349</f>
        <v>0</v>
      </c>
      <c r="K1440" s="31">
        <f>'Raw data'!H1349</f>
        <v>0</v>
      </c>
      <c r="L1440" s="26">
        <f t="shared" si="48"/>
        <v>0</v>
      </c>
    </row>
    <row r="1441" spans="2:12">
      <c r="B1441" s="4" t="e">
        <f t="shared" si="47"/>
        <v>#N/A</v>
      </c>
      <c r="C1441" s="4">
        <f>'Raw data'!E1350</f>
        <v>0</v>
      </c>
      <c r="D1441" s="29" t="e">
        <f>VLOOKUP(C1441,'점포코드 '!A:B,2,0)</f>
        <v>#N/A</v>
      </c>
      <c r="E1441" s="30">
        <f>'Raw data'!P1350</f>
        <v>0</v>
      </c>
      <c r="F1441" s="29" t="e">
        <f>VLOOKUP(E1441,'점포코드 '!A:B,2,0)</f>
        <v>#N/A</v>
      </c>
      <c r="G1441" s="46">
        <f>'Raw data'!F1350</f>
        <v>0</v>
      </c>
      <c r="H1441" s="4">
        <f>'Raw data'!G1350</f>
        <v>0</v>
      </c>
      <c r="I1441" s="29" t="e">
        <f>VLOOKUP(G1441,제품명!$C$1:$E$114,2,0)</f>
        <v>#N/A</v>
      </c>
      <c r="J1441" s="29">
        <f>'Raw data'!K1350</f>
        <v>0</v>
      </c>
      <c r="K1441" s="31">
        <f>'Raw data'!H1350</f>
        <v>0</v>
      </c>
      <c r="L1441" s="26">
        <f t="shared" si="48"/>
        <v>0</v>
      </c>
    </row>
    <row r="1442" spans="2:12">
      <c r="B1442" s="4" t="e">
        <f t="shared" si="47"/>
        <v>#N/A</v>
      </c>
      <c r="C1442" s="4">
        <f>'Raw data'!E1351</f>
        <v>0</v>
      </c>
      <c r="D1442" s="29" t="e">
        <f>VLOOKUP(C1442,'점포코드 '!A:B,2,0)</f>
        <v>#N/A</v>
      </c>
      <c r="E1442" s="30">
        <f>'Raw data'!P1351</f>
        <v>0</v>
      </c>
      <c r="F1442" s="29" t="e">
        <f>VLOOKUP(E1442,'점포코드 '!A:B,2,0)</f>
        <v>#N/A</v>
      </c>
      <c r="G1442" s="46">
        <f>'Raw data'!F1351</f>
        <v>0</v>
      </c>
      <c r="H1442" s="4">
        <f>'Raw data'!G1351</f>
        <v>0</v>
      </c>
      <c r="I1442" s="29" t="e">
        <f>VLOOKUP(G1442,제품명!$C$1:$E$114,2,0)</f>
        <v>#N/A</v>
      </c>
      <c r="J1442" s="29">
        <f>'Raw data'!K1351</f>
        <v>0</v>
      </c>
      <c r="K1442" s="31">
        <f>'Raw data'!H1351</f>
        <v>0</v>
      </c>
      <c r="L1442" s="26">
        <f t="shared" si="48"/>
        <v>0</v>
      </c>
    </row>
    <row r="1443" spans="2:12">
      <c r="B1443" s="4" t="e">
        <f t="shared" si="47"/>
        <v>#N/A</v>
      </c>
      <c r="C1443" s="4">
        <f>'Raw data'!E1352</f>
        <v>0</v>
      </c>
      <c r="D1443" s="29" t="e">
        <f>VLOOKUP(C1443,'점포코드 '!A:B,2,0)</f>
        <v>#N/A</v>
      </c>
      <c r="E1443" s="30">
        <f>'Raw data'!P1352</f>
        <v>0</v>
      </c>
      <c r="F1443" s="29" t="e">
        <f>VLOOKUP(E1443,'점포코드 '!A:B,2,0)</f>
        <v>#N/A</v>
      </c>
      <c r="G1443" s="46">
        <f>'Raw data'!F1352</f>
        <v>0</v>
      </c>
      <c r="H1443" s="4">
        <f>'Raw data'!G1352</f>
        <v>0</v>
      </c>
      <c r="I1443" s="29" t="e">
        <f>VLOOKUP(G1443,제품명!$C$1:$E$114,2,0)</f>
        <v>#N/A</v>
      </c>
      <c r="J1443" s="29">
        <f>'Raw data'!K1352</f>
        <v>0</v>
      </c>
      <c r="K1443" s="31">
        <f>'Raw data'!H1352</f>
        <v>0</v>
      </c>
      <c r="L1443" s="26">
        <f t="shared" si="48"/>
        <v>0</v>
      </c>
    </row>
    <row r="1444" spans="2:12">
      <c r="B1444" s="4" t="e">
        <f t="shared" si="47"/>
        <v>#N/A</v>
      </c>
      <c r="C1444" s="4">
        <f>'Raw data'!E1353</f>
        <v>0</v>
      </c>
      <c r="D1444" s="29" t="e">
        <f>VLOOKUP(C1444,'점포코드 '!A:B,2,0)</f>
        <v>#N/A</v>
      </c>
      <c r="E1444" s="30">
        <f>'Raw data'!P1353</f>
        <v>0</v>
      </c>
      <c r="F1444" s="29" t="e">
        <f>VLOOKUP(E1444,'점포코드 '!A:B,2,0)</f>
        <v>#N/A</v>
      </c>
      <c r="G1444" s="46">
        <f>'Raw data'!F1353</f>
        <v>0</v>
      </c>
      <c r="H1444" s="4">
        <f>'Raw data'!G1353</f>
        <v>0</v>
      </c>
      <c r="I1444" s="29" t="e">
        <f>VLOOKUP(G1444,제품명!$C$1:$E$114,2,0)</f>
        <v>#N/A</v>
      </c>
      <c r="J1444" s="29">
        <f>'Raw data'!K1353</f>
        <v>0</v>
      </c>
      <c r="K1444" s="31">
        <f>'Raw data'!H1353</f>
        <v>0</v>
      </c>
      <c r="L1444" s="26">
        <f t="shared" si="48"/>
        <v>0</v>
      </c>
    </row>
    <row r="1445" spans="2:12">
      <c r="B1445" s="4" t="e">
        <f t="shared" si="47"/>
        <v>#N/A</v>
      </c>
      <c r="C1445" s="4">
        <f>'Raw data'!E1354</f>
        <v>0</v>
      </c>
      <c r="D1445" s="29" t="e">
        <f>VLOOKUP(C1445,'점포코드 '!A:B,2,0)</f>
        <v>#N/A</v>
      </c>
      <c r="E1445" s="30">
        <f>'Raw data'!P1354</f>
        <v>0</v>
      </c>
      <c r="F1445" s="29" t="e">
        <f>VLOOKUP(E1445,'점포코드 '!A:B,2,0)</f>
        <v>#N/A</v>
      </c>
      <c r="G1445" s="46">
        <f>'Raw data'!F1354</f>
        <v>0</v>
      </c>
      <c r="H1445" s="4">
        <f>'Raw data'!G1354</f>
        <v>0</v>
      </c>
      <c r="I1445" s="29" t="e">
        <f>VLOOKUP(G1445,제품명!$C$1:$E$114,2,0)</f>
        <v>#N/A</v>
      </c>
      <c r="J1445" s="29">
        <f>'Raw data'!K1354</f>
        <v>0</v>
      </c>
      <c r="K1445" s="31">
        <f>'Raw data'!H1354</f>
        <v>0</v>
      </c>
      <c r="L1445" s="26">
        <f t="shared" si="48"/>
        <v>0</v>
      </c>
    </row>
    <row r="1446" spans="2:12">
      <c r="B1446" s="4" t="e">
        <f t="shared" si="47"/>
        <v>#N/A</v>
      </c>
      <c r="C1446" s="4">
        <f>'Raw data'!E1355</f>
        <v>0</v>
      </c>
      <c r="D1446" s="29" t="e">
        <f>VLOOKUP(C1446,'점포코드 '!A:B,2,0)</f>
        <v>#N/A</v>
      </c>
      <c r="E1446" s="30">
        <f>'Raw data'!P1355</f>
        <v>0</v>
      </c>
      <c r="F1446" s="29" t="e">
        <f>VLOOKUP(E1446,'점포코드 '!A:B,2,0)</f>
        <v>#N/A</v>
      </c>
      <c r="G1446" s="46">
        <f>'Raw data'!F1355</f>
        <v>0</v>
      </c>
      <c r="H1446" s="4">
        <f>'Raw data'!G1355</f>
        <v>0</v>
      </c>
      <c r="I1446" s="29" t="e">
        <f>VLOOKUP(G1446,제품명!$C$1:$E$114,2,0)</f>
        <v>#N/A</v>
      </c>
      <c r="J1446" s="29">
        <f>'Raw data'!K1355</f>
        <v>0</v>
      </c>
      <c r="K1446" s="31">
        <f>'Raw data'!H1355</f>
        <v>0</v>
      </c>
      <c r="L1446" s="26">
        <f t="shared" si="48"/>
        <v>0</v>
      </c>
    </row>
    <row r="1447" spans="2:12">
      <c r="B1447" s="4" t="e">
        <f t="shared" si="47"/>
        <v>#N/A</v>
      </c>
      <c r="C1447" s="4">
        <f>'Raw data'!E1356</f>
        <v>0</v>
      </c>
      <c r="D1447" s="29" t="e">
        <f>VLOOKUP(C1447,'점포코드 '!A:B,2,0)</f>
        <v>#N/A</v>
      </c>
      <c r="E1447" s="30">
        <f>'Raw data'!P1356</f>
        <v>0</v>
      </c>
      <c r="F1447" s="29" t="e">
        <f>VLOOKUP(E1447,'점포코드 '!A:B,2,0)</f>
        <v>#N/A</v>
      </c>
      <c r="G1447" s="46">
        <f>'Raw data'!F1356</f>
        <v>0</v>
      </c>
      <c r="H1447" s="4">
        <f>'Raw data'!G1356</f>
        <v>0</v>
      </c>
      <c r="I1447" s="29" t="e">
        <f>VLOOKUP(G1447,제품명!$C$1:$E$114,2,0)</f>
        <v>#N/A</v>
      </c>
      <c r="J1447" s="29">
        <f>'Raw data'!K1356</f>
        <v>0</v>
      </c>
      <c r="K1447" s="31">
        <f>'Raw data'!H1356</f>
        <v>0</v>
      </c>
      <c r="L1447" s="26">
        <f t="shared" si="48"/>
        <v>0</v>
      </c>
    </row>
    <row r="1448" spans="2:12">
      <c r="B1448" s="4" t="e">
        <f t="shared" si="47"/>
        <v>#N/A</v>
      </c>
      <c r="C1448" s="4">
        <f>'Raw data'!E1357</f>
        <v>0</v>
      </c>
      <c r="D1448" s="29" t="e">
        <f>VLOOKUP(C1448,'점포코드 '!A:B,2,0)</f>
        <v>#N/A</v>
      </c>
      <c r="E1448" s="30">
        <f>'Raw data'!P1357</f>
        <v>0</v>
      </c>
      <c r="F1448" s="29" t="e">
        <f>VLOOKUP(E1448,'점포코드 '!A:B,2,0)</f>
        <v>#N/A</v>
      </c>
      <c r="G1448" s="46">
        <f>'Raw data'!F1357</f>
        <v>0</v>
      </c>
      <c r="H1448" s="4">
        <f>'Raw data'!G1357</f>
        <v>0</v>
      </c>
      <c r="I1448" s="29" t="e">
        <f>VLOOKUP(G1448,제품명!$C$1:$E$114,2,0)</f>
        <v>#N/A</v>
      </c>
      <c r="J1448" s="29">
        <f>'Raw data'!K1357</f>
        <v>0</v>
      </c>
      <c r="K1448" s="31">
        <f>'Raw data'!H1357</f>
        <v>0</v>
      </c>
      <c r="L1448" s="26">
        <f t="shared" si="48"/>
        <v>0</v>
      </c>
    </row>
    <row r="1449" spans="2:12">
      <c r="B1449" s="4" t="e">
        <f t="shared" si="47"/>
        <v>#N/A</v>
      </c>
      <c r="C1449" s="4">
        <f>'Raw data'!E1358</f>
        <v>0</v>
      </c>
      <c r="D1449" s="29" t="e">
        <f>VLOOKUP(C1449,'점포코드 '!A:B,2,0)</f>
        <v>#N/A</v>
      </c>
      <c r="E1449" s="30">
        <f>'Raw data'!P1358</f>
        <v>0</v>
      </c>
      <c r="F1449" s="29" t="e">
        <f>VLOOKUP(E1449,'점포코드 '!A:B,2,0)</f>
        <v>#N/A</v>
      </c>
      <c r="G1449" s="46">
        <f>'Raw data'!F1358</f>
        <v>0</v>
      </c>
      <c r="H1449" s="4">
        <f>'Raw data'!G1358</f>
        <v>0</v>
      </c>
      <c r="I1449" s="29" t="e">
        <f>VLOOKUP(G1449,제품명!$C$1:$E$114,2,0)</f>
        <v>#N/A</v>
      </c>
      <c r="J1449" s="29">
        <f>'Raw data'!K1358</f>
        <v>0</v>
      </c>
      <c r="K1449" s="31">
        <f>'Raw data'!H1358</f>
        <v>0</v>
      </c>
      <c r="L1449" s="26">
        <f t="shared" si="48"/>
        <v>0</v>
      </c>
    </row>
    <row r="1450" spans="2:12">
      <c r="B1450" s="4" t="e">
        <f t="shared" si="47"/>
        <v>#N/A</v>
      </c>
      <c r="C1450" s="4">
        <f>'Raw data'!E1359</f>
        <v>0</v>
      </c>
      <c r="D1450" s="29" t="e">
        <f>VLOOKUP(C1450,'점포코드 '!A:B,2,0)</f>
        <v>#N/A</v>
      </c>
      <c r="E1450" s="30">
        <f>'Raw data'!P1359</f>
        <v>0</v>
      </c>
      <c r="F1450" s="29" t="e">
        <f>VLOOKUP(E1450,'점포코드 '!A:B,2,0)</f>
        <v>#N/A</v>
      </c>
      <c r="G1450" s="46">
        <f>'Raw data'!F1359</f>
        <v>0</v>
      </c>
      <c r="H1450" s="4">
        <f>'Raw data'!G1359</f>
        <v>0</v>
      </c>
      <c r="I1450" s="29" t="e">
        <f>VLOOKUP(G1450,제품명!$C$1:$E$114,2,0)</f>
        <v>#N/A</v>
      </c>
      <c r="J1450" s="29">
        <f>'Raw data'!K1359</f>
        <v>0</v>
      </c>
      <c r="K1450" s="31">
        <f>'Raw data'!H1359</f>
        <v>0</v>
      </c>
      <c r="L1450" s="26">
        <f t="shared" si="48"/>
        <v>0</v>
      </c>
    </row>
    <row r="1451" spans="2:12">
      <c r="B1451" s="4" t="e">
        <f t="shared" si="47"/>
        <v>#N/A</v>
      </c>
      <c r="C1451" s="4">
        <f>'Raw data'!E1360</f>
        <v>0</v>
      </c>
      <c r="D1451" s="29" t="e">
        <f>VLOOKUP(C1451,'점포코드 '!A:B,2,0)</f>
        <v>#N/A</v>
      </c>
      <c r="E1451" s="30">
        <f>'Raw data'!P1360</f>
        <v>0</v>
      </c>
      <c r="F1451" s="29" t="e">
        <f>VLOOKUP(E1451,'점포코드 '!A:B,2,0)</f>
        <v>#N/A</v>
      </c>
      <c r="G1451" s="46">
        <f>'Raw data'!F1360</f>
        <v>0</v>
      </c>
      <c r="H1451" s="4">
        <f>'Raw data'!G1360</f>
        <v>0</v>
      </c>
      <c r="I1451" s="29" t="e">
        <f>VLOOKUP(G1451,제품명!$C$1:$E$114,2,0)</f>
        <v>#N/A</v>
      </c>
      <c r="J1451" s="29">
        <f>'Raw data'!K1360</f>
        <v>0</v>
      </c>
      <c r="K1451" s="31">
        <f>'Raw data'!H1360</f>
        <v>0</v>
      </c>
      <c r="L1451" s="26">
        <f t="shared" si="48"/>
        <v>0</v>
      </c>
    </row>
    <row r="1452" spans="2:12">
      <c r="B1452" s="4" t="e">
        <f t="shared" si="47"/>
        <v>#N/A</v>
      </c>
      <c r="C1452" s="4">
        <f>'Raw data'!E1361</f>
        <v>0</v>
      </c>
      <c r="D1452" s="29" t="e">
        <f>VLOOKUP(C1452,'점포코드 '!A:B,2,0)</f>
        <v>#N/A</v>
      </c>
      <c r="E1452" s="30">
        <f>'Raw data'!P1361</f>
        <v>0</v>
      </c>
      <c r="F1452" s="29" t="e">
        <f>VLOOKUP(E1452,'점포코드 '!A:B,2,0)</f>
        <v>#N/A</v>
      </c>
      <c r="G1452" s="46">
        <f>'Raw data'!F1361</f>
        <v>0</v>
      </c>
      <c r="H1452" s="4">
        <f>'Raw data'!G1361</f>
        <v>0</v>
      </c>
      <c r="I1452" s="29" t="e">
        <f>VLOOKUP(G1452,제품명!$C$1:$E$114,2,0)</f>
        <v>#N/A</v>
      </c>
      <c r="J1452" s="29">
        <f>'Raw data'!K1361</f>
        <v>0</v>
      </c>
      <c r="K1452" s="31">
        <f>'Raw data'!H1361</f>
        <v>0</v>
      </c>
      <c r="L1452" s="26">
        <f t="shared" si="48"/>
        <v>0</v>
      </c>
    </row>
    <row r="1453" spans="2:12">
      <c r="B1453" s="4" t="e">
        <f t="shared" si="47"/>
        <v>#N/A</v>
      </c>
      <c r="C1453" s="4">
        <f>'Raw data'!E1362</f>
        <v>0</v>
      </c>
      <c r="D1453" s="29" t="e">
        <f>VLOOKUP(C1453,'점포코드 '!A:B,2,0)</f>
        <v>#N/A</v>
      </c>
      <c r="E1453" s="30">
        <f>'Raw data'!P1362</f>
        <v>0</v>
      </c>
      <c r="F1453" s="29" t="e">
        <f>VLOOKUP(E1453,'점포코드 '!A:B,2,0)</f>
        <v>#N/A</v>
      </c>
      <c r="G1453" s="46">
        <f>'Raw data'!F1362</f>
        <v>0</v>
      </c>
      <c r="H1453" s="4">
        <f>'Raw data'!G1362</f>
        <v>0</v>
      </c>
      <c r="I1453" s="29" t="e">
        <f>VLOOKUP(G1453,제품명!$C$1:$E$114,2,0)</f>
        <v>#N/A</v>
      </c>
      <c r="J1453" s="29">
        <f>'Raw data'!K1362</f>
        <v>0</v>
      </c>
      <c r="K1453" s="31">
        <f>'Raw data'!H1362</f>
        <v>0</v>
      </c>
      <c r="L1453" s="26">
        <f t="shared" si="48"/>
        <v>0</v>
      </c>
    </row>
    <row r="1454" spans="2:12">
      <c r="B1454" s="4" t="e">
        <f t="shared" si="47"/>
        <v>#N/A</v>
      </c>
      <c r="C1454" s="4">
        <f>'Raw data'!E1363</f>
        <v>0</v>
      </c>
      <c r="D1454" s="29" t="e">
        <f>VLOOKUP(C1454,'점포코드 '!A:B,2,0)</f>
        <v>#N/A</v>
      </c>
      <c r="E1454" s="30">
        <f>'Raw data'!P1363</f>
        <v>0</v>
      </c>
      <c r="F1454" s="29" t="e">
        <f>VLOOKUP(E1454,'점포코드 '!A:B,2,0)</f>
        <v>#N/A</v>
      </c>
      <c r="G1454" s="46">
        <f>'Raw data'!F1363</f>
        <v>0</v>
      </c>
      <c r="H1454" s="4">
        <f>'Raw data'!G1363</f>
        <v>0</v>
      </c>
      <c r="I1454" s="29" t="e">
        <f>VLOOKUP(G1454,제품명!$C$1:$E$114,2,0)</f>
        <v>#N/A</v>
      </c>
      <c r="J1454" s="29">
        <f>'Raw data'!K1363</f>
        <v>0</v>
      </c>
      <c r="K1454" s="31">
        <f>'Raw data'!H1363</f>
        <v>0</v>
      </c>
      <c r="L1454" s="26">
        <f t="shared" si="48"/>
        <v>0</v>
      </c>
    </row>
    <row r="1455" spans="2:12">
      <c r="B1455" s="4" t="e">
        <f t="shared" si="47"/>
        <v>#N/A</v>
      </c>
      <c r="C1455" s="4">
        <f>'Raw data'!E1364</f>
        <v>0</v>
      </c>
      <c r="D1455" s="29" t="e">
        <f>VLOOKUP(C1455,'점포코드 '!A:B,2,0)</f>
        <v>#N/A</v>
      </c>
      <c r="E1455" s="30">
        <f>'Raw data'!P1364</f>
        <v>0</v>
      </c>
      <c r="F1455" s="29" t="e">
        <f>VLOOKUP(E1455,'점포코드 '!A:B,2,0)</f>
        <v>#N/A</v>
      </c>
      <c r="G1455" s="46">
        <f>'Raw data'!F1364</f>
        <v>0</v>
      </c>
      <c r="H1455" s="4">
        <f>'Raw data'!G1364</f>
        <v>0</v>
      </c>
      <c r="I1455" s="29" t="e">
        <f>VLOOKUP(G1455,제품명!$C$1:$E$114,2,0)</f>
        <v>#N/A</v>
      </c>
      <c r="J1455" s="29">
        <f>'Raw data'!K1364</f>
        <v>0</v>
      </c>
      <c r="K1455" s="31">
        <f>'Raw data'!H1364</f>
        <v>0</v>
      </c>
      <c r="L1455" s="26">
        <f t="shared" si="48"/>
        <v>0</v>
      </c>
    </row>
    <row r="1456" spans="2:12">
      <c r="B1456" s="4" t="e">
        <f t="shared" si="47"/>
        <v>#N/A</v>
      </c>
      <c r="C1456" s="4">
        <f>'Raw data'!E1365</f>
        <v>0</v>
      </c>
      <c r="D1456" s="29" t="e">
        <f>VLOOKUP(C1456,'점포코드 '!A:B,2,0)</f>
        <v>#N/A</v>
      </c>
      <c r="E1456" s="30">
        <f>'Raw data'!P1365</f>
        <v>0</v>
      </c>
      <c r="F1456" s="29" t="e">
        <f>VLOOKUP(E1456,'점포코드 '!A:B,2,0)</f>
        <v>#N/A</v>
      </c>
      <c r="G1456" s="46">
        <f>'Raw data'!F1365</f>
        <v>0</v>
      </c>
      <c r="H1456" s="4">
        <f>'Raw data'!G1365</f>
        <v>0</v>
      </c>
      <c r="I1456" s="29" t="e">
        <f>VLOOKUP(G1456,제품명!$C$1:$E$114,2,0)</f>
        <v>#N/A</v>
      </c>
      <c r="J1456" s="29">
        <f>'Raw data'!K1365</f>
        <v>0</v>
      </c>
      <c r="K1456" s="31">
        <f>'Raw data'!H1365</f>
        <v>0</v>
      </c>
      <c r="L1456" s="26">
        <f t="shared" si="48"/>
        <v>0</v>
      </c>
    </row>
    <row r="1457" spans="2:12">
      <c r="B1457" s="4" t="e">
        <f t="shared" si="47"/>
        <v>#N/A</v>
      </c>
      <c r="C1457" s="4">
        <f>'Raw data'!E1366</f>
        <v>0</v>
      </c>
      <c r="D1457" s="29" t="e">
        <f>VLOOKUP(C1457,'점포코드 '!A:B,2,0)</f>
        <v>#N/A</v>
      </c>
      <c r="E1457" s="30">
        <f>'Raw data'!P1366</f>
        <v>0</v>
      </c>
      <c r="F1457" s="29" t="e">
        <f>VLOOKUP(E1457,'점포코드 '!A:B,2,0)</f>
        <v>#N/A</v>
      </c>
      <c r="G1457" s="46">
        <f>'Raw data'!F1366</f>
        <v>0</v>
      </c>
      <c r="H1457" s="4">
        <f>'Raw data'!G1366</f>
        <v>0</v>
      </c>
      <c r="I1457" s="29" t="e">
        <f>VLOOKUP(G1457,제품명!$C$1:$E$114,2,0)</f>
        <v>#N/A</v>
      </c>
      <c r="J1457" s="29">
        <f>'Raw data'!K1366</f>
        <v>0</v>
      </c>
      <c r="K1457" s="31">
        <f>'Raw data'!H1366</f>
        <v>0</v>
      </c>
      <c r="L1457" s="26">
        <f t="shared" si="48"/>
        <v>0</v>
      </c>
    </row>
    <row r="1458" spans="2:12">
      <c r="B1458" s="4" t="e">
        <f t="shared" si="47"/>
        <v>#N/A</v>
      </c>
      <c r="C1458" s="4">
        <f>'Raw data'!E1367</f>
        <v>0</v>
      </c>
      <c r="D1458" s="29" t="e">
        <f>VLOOKUP(C1458,'점포코드 '!A:B,2,0)</f>
        <v>#N/A</v>
      </c>
      <c r="E1458" s="30">
        <f>'Raw data'!P1367</f>
        <v>0</v>
      </c>
      <c r="F1458" s="29" t="e">
        <f>VLOOKUP(E1458,'점포코드 '!A:B,2,0)</f>
        <v>#N/A</v>
      </c>
      <c r="G1458" s="46">
        <f>'Raw data'!F1367</f>
        <v>0</v>
      </c>
      <c r="H1458" s="4">
        <f>'Raw data'!G1367</f>
        <v>0</v>
      </c>
      <c r="I1458" s="29" t="e">
        <f>VLOOKUP(G1458,제품명!$C$1:$E$114,2,0)</f>
        <v>#N/A</v>
      </c>
      <c r="J1458" s="29">
        <f>'Raw data'!K1367</f>
        <v>0</v>
      </c>
      <c r="K1458" s="31">
        <f>'Raw data'!H1367</f>
        <v>0</v>
      </c>
      <c r="L1458" s="26">
        <f t="shared" si="48"/>
        <v>0</v>
      </c>
    </row>
    <row r="1459" spans="2:12">
      <c r="B1459" s="4" t="e">
        <f t="shared" si="47"/>
        <v>#N/A</v>
      </c>
      <c r="C1459" s="4">
        <f>'Raw data'!E1368</f>
        <v>0</v>
      </c>
      <c r="D1459" s="29" t="e">
        <f>VLOOKUP(C1459,'점포코드 '!A:B,2,0)</f>
        <v>#N/A</v>
      </c>
      <c r="E1459" s="30">
        <f>'Raw data'!P1368</f>
        <v>0</v>
      </c>
      <c r="F1459" s="29" t="e">
        <f>VLOOKUP(E1459,'점포코드 '!A:B,2,0)</f>
        <v>#N/A</v>
      </c>
      <c r="G1459" s="46">
        <f>'Raw data'!F1368</f>
        <v>0</v>
      </c>
      <c r="H1459" s="4">
        <f>'Raw data'!G1368</f>
        <v>0</v>
      </c>
      <c r="I1459" s="29" t="e">
        <f>VLOOKUP(G1459,제품명!$C$1:$E$114,2,0)</f>
        <v>#N/A</v>
      </c>
      <c r="J1459" s="29">
        <f>'Raw data'!K1368</f>
        <v>0</v>
      </c>
      <c r="K1459" s="31">
        <f>'Raw data'!H1368</f>
        <v>0</v>
      </c>
      <c r="L1459" s="26">
        <f t="shared" si="48"/>
        <v>0</v>
      </c>
    </row>
    <row r="1460" spans="2:12">
      <c r="B1460" s="4" t="e">
        <f t="shared" si="47"/>
        <v>#N/A</v>
      </c>
      <c r="C1460" s="4">
        <f>'Raw data'!E1369</f>
        <v>0</v>
      </c>
      <c r="D1460" s="29" t="e">
        <f>VLOOKUP(C1460,'점포코드 '!A:B,2,0)</f>
        <v>#N/A</v>
      </c>
      <c r="E1460" s="30">
        <f>'Raw data'!P1369</f>
        <v>0</v>
      </c>
      <c r="F1460" s="29" t="e">
        <f>VLOOKUP(E1460,'점포코드 '!A:B,2,0)</f>
        <v>#N/A</v>
      </c>
      <c r="G1460" s="46">
        <f>'Raw data'!F1369</f>
        <v>0</v>
      </c>
      <c r="H1460" s="4">
        <f>'Raw data'!G1369</f>
        <v>0</v>
      </c>
      <c r="I1460" s="29" t="e">
        <f>VLOOKUP(G1460,제품명!$C$1:$E$114,2,0)</f>
        <v>#N/A</v>
      </c>
      <c r="J1460" s="29">
        <f>'Raw data'!K1369</f>
        <v>0</v>
      </c>
      <c r="K1460" s="31">
        <f>'Raw data'!H1369</f>
        <v>0</v>
      </c>
      <c r="L1460" s="26">
        <f t="shared" si="48"/>
        <v>0</v>
      </c>
    </row>
    <row r="1461" spans="2:12">
      <c r="B1461" s="4" t="e">
        <f t="shared" si="47"/>
        <v>#N/A</v>
      </c>
      <c r="C1461" s="4">
        <f>'Raw data'!E1370</f>
        <v>0</v>
      </c>
      <c r="D1461" s="29" t="e">
        <f>VLOOKUP(C1461,'점포코드 '!A:B,2,0)</f>
        <v>#N/A</v>
      </c>
      <c r="E1461" s="30">
        <f>'Raw data'!P1370</f>
        <v>0</v>
      </c>
      <c r="F1461" s="29" t="e">
        <f>VLOOKUP(E1461,'점포코드 '!A:B,2,0)</f>
        <v>#N/A</v>
      </c>
      <c r="G1461" s="46">
        <f>'Raw data'!F1370</f>
        <v>0</v>
      </c>
      <c r="H1461" s="4">
        <f>'Raw data'!G1370</f>
        <v>0</v>
      </c>
      <c r="I1461" s="29" t="e">
        <f>VLOOKUP(G1461,제품명!$C$1:$E$114,2,0)</f>
        <v>#N/A</v>
      </c>
      <c r="J1461" s="29">
        <f>'Raw data'!K1370</f>
        <v>0</v>
      </c>
      <c r="K1461" s="31">
        <f>'Raw data'!H1370</f>
        <v>0</v>
      </c>
      <c r="L1461" s="26">
        <f t="shared" si="48"/>
        <v>0</v>
      </c>
    </row>
    <row r="1462" spans="2:12">
      <c r="B1462" s="4" t="e">
        <f t="shared" si="47"/>
        <v>#N/A</v>
      </c>
      <c r="C1462" s="4">
        <f>'Raw data'!E1371</f>
        <v>0</v>
      </c>
      <c r="D1462" s="29" t="e">
        <f>VLOOKUP(C1462,'점포코드 '!A:B,2,0)</f>
        <v>#N/A</v>
      </c>
      <c r="E1462" s="30">
        <f>'Raw data'!P1371</f>
        <v>0</v>
      </c>
      <c r="F1462" s="29" t="e">
        <f>VLOOKUP(E1462,'점포코드 '!A:B,2,0)</f>
        <v>#N/A</v>
      </c>
      <c r="G1462" s="46">
        <f>'Raw data'!F1371</f>
        <v>0</v>
      </c>
      <c r="H1462" s="4">
        <f>'Raw data'!G1371</f>
        <v>0</v>
      </c>
      <c r="I1462" s="29" t="e">
        <f>VLOOKUP(G1462,제품명!$C$1:$E$114,2,0)</f>
        <v>#N/A</v>
      </c>
      <c r="J1462" s="29">
        <f>'Raw data'!K1371</f>
        <v>0</v>
      </c>
      <c r="K1462" s="31">
        <f>'Raw data'!H1371</f>
        <v>0</v>
      </c>
      <c r="L1462" s="26">
        <f t="shared" si="48"/>
        <v>0</v>
      </c>
    </row>
    <row r="1463" spans="2:12">
      <c r="B1463" s="4" t="e">
        <f t="shared" si="47"/>
        <v>#N/A</v>
      </c>
      <c r="C1463" s="4">
        <f>'Raw data'!E1372</f>
        <v>0</v>
      </c>
      <c r="D1463" s="29" t="e">
        <f>VLOOKUP(C1463,'점포코드 '!A:B,2,0)</f>
        <v>#N/A</v>
      </c>
      <c r="E1463" s="30">
        <f>'Raw data'!P1372</f>
        <v>0</v>
      </c>
      <c r="F1463" s="29" t="e">
        <f>VLOOKUP(E1463,'점포코드 '!A:B,2,0)</f>
        <v>#N/A</v>
      </c>
      <c r="G1463" s="46">
        <f>'Raw data'!F1372</f>
        <v>0</v>
      </c>
      <c r="H1463" s="4">
        <f>'Raw data'!G1372</f>
        <v>0</v>
      </c>
      <c r="I1463" s="29" t="e">
        <f>VLOOKUP(G1463,제품명!$C$1:$E$114,2,0)</f>
        <v>#N/A</v>
      </c>
      <c r="J1463" s="29">
        <f>'Raw data'!K1372</f>
        <v>0</v>
      </c>
      <c r="K1463" s="31">
        <f>'Raw data'!H1372</f>
        <v>0</v>
      </c>
      <c r="L1463" s="26">
        <f t="shared" si="48"/>
        <v>0</v>
      </c>
    </row>
    <row r="1464" spans="2:12">
      <c r="B1464" s="4" t="e">
        <f t="shared" si="47"/>
        <v>#N/A</v>
      </c>
      <c r="C1464" s="4">
        <f>'Raw data'!E1373</f>
        <v>0</v>
      </c>
      <c r="D1464" s="29" t="e">
        <f>VLOOKUP(C1464,'점포코드 '!A:B,2,0)</f>
        <v>#N/A</v>
      </c>
      <c r="E1464" s="30">
        <f>'Raw data'!P1373</f>
        <v>0</v>
      </c>
      <c r="F1464" s="29" t="e">
        <f>VLOOKUP(E1464,'점포코드 '!A:B,2,0)</f>
        <v>#N/A</v>
      </c>
      <c r="G1464" s="46">
        <f>'Raw data'!F1373</f>
        <v>0</v>
      </c>
      <c r="H1464" s="4">
        <f>'Raw data'!G1373</f>
        <v>0</v>
      </c>
      <c r="I1464" s="29" t="e">
        <f>VLOOKUP(G1464,제품명!$C$1:$E$114,2,0)</f>
        <v>#N/A</v>
      </c>
      <c r="J1464" s="29">
        <f>'Raw data'!K1373</f>
        <v>0</v>
      </c>
      <c r="K1464" s="31">
        <f>'Raw data'!H1373</f>
        <v>0</v>
      </c>
      <c r="L1464" s="26">
        <f t="shared" si="48"/>
        <v>0</v>
      </c>
    </row>
    <row r="1465" spans="2:12">
      <c r="B1465" s="4" t="e">
        <f t="shared" si="47"/>
        <v>#N/A</v>
      </c>
      <c r="C1465" s="4">
        <f>'Raw data'!E1374</f>
        <v>0</v>
      </c>
      <c r="D1465" s="29" t="e">
        <f>VLOOKUP(C1465,'점포코드 '!A:B,2,0)</f>
        <v>#N/A</v>
      </c>
      <c r="E1465" s="30">
        <f>'Raw data'!P1374</f>
        <v>0</v>
      </c>
      <c r="F1465" s="29" t="e">
        <f>VLOOKUP(E1465,'점포코드 '!A:B,2,0)</f>
        <v>#N/A</v>
      </c>
      <c r="G1465" s="46">
        <f>'Raw data'!F1374</f>
        <v>0</v>
      </c>
      <c r="H1465" s="4">
        <f>'Raw data'!G1374</f>
        <v>0</v>
      </c>
      <c r="I1465" s="29" t="e">
        <f>VLOOKUP(G1465,제품명!$C$1:$E$114,2,0)</f>
        <v>#N/A</v>
      </c>
      <c r="J1465" s="29">
        <f>'Raw data'!K1374</f>
        <v>0</v>
      </c>
      <c r="K1465" s="31">
        <f>'Raw data'!H1374</f>
        <v>0</v>
      </c>
      <c r="L1465" s="26">
        <f t="shared" si="48"/>
        <v>0</v>
      </c>
    </row>
    <row r="1466" spans="2:12">
      <c r="B1466" s="4" t="e">
        <f t="shared" si="47"/>
        <v>#N/A</v>
      </c>
      <c r="C1466" s="4">
        <f>'Raw data'!E1375</f>
        <v>0</v>
      </c>
      <c r="D1466" s="29" t="e">
        <f>VLOOKUP(C1466,'점포코드 '!A:B,2,0)</f>
        <v>#N/A</v>
      </c>
      <c r="E1466" s="30">
        <f>'Raw data'!P1375</f>
        <v>0</v>
      </c>
      <c r="F1466" s="29" t="e">
        <f>VLOOKUP(E1466,'점포코드 '!A:B,2,0)</f>
        <v>#N/A</v>
      </c>
      <c r="G1466" s="46">
        <f>'Raw data'!F1375</f>
        <v>0</v>
      </c>
      <c r="H1466" s="4">
        <f>'Raw data'!G1375</f>
        <v>0</v>
      </c>
      <c r="I1466" s="29" t="e">
        <f>VLOOKUP(G1466,제품명!$C$1:$E$114,2,0)</f>
        <v>#N/A</v>
      </c>
      <c r="J1466" s="29">
        <f>'Raw data'!K1375</f>
        <v>0</v>
      </c>
      <c r="K1466" s="31">
        <f>'Raw data'!H1375</f>
        <v>0</v>
      </c>
      <c r="L1466" s="26">
        <f t="shared" si="48"/>
        <v>0</v>
      </c>
    </row>
    <row r="1467" spans="2:12">
      <c r="B1467" s="4" t="e">
        <f t="shared" si="47"/>
        <v>#N/A</v>
      </c>
      <c r="C1467" s="4">
        <f>'Raw data'!E1376</f>
        <v>0</v>
      </c>
      <c r="D1467" s="29" t="e">
        <f>VLOOKUP(C1467,'점포코드 '!A:B,2,0)</f>
        <v>#N/A</v>
      </c>
      <c r="E1467" s="30">
        <f>'Raw data'!P1376</f>
        <v>0</v>
      </c>
      <c r="F1467" s="29" t="e">
        <f>VLOOKUP(E1467,'점포코드 '!A:B,2,0)</f>
        <v>#N/A</v>
      </c>
      <c r="G1467" s="46">
        <f>'Raw data'!F1376</f>
        <v>0</v>
      </c>
      <c r="H1467" s="4">
        <f>'Raw data'!G1376</f>
        <v>0</v>
      </c>
      <c r="I1467" s="29" t="e">
        <f>VLOOKUP(G1467,제품명!$C$1:$E$114,2,0)</f>
        <v>#N/A</v>
      </c>
      <c r="J1467" s="29">
        <f>'Raw data'!K1376</f>
        <v>0</v>
      </c>
      <c r="K1467" s="31">
        <f>'Raw data'!H1376</f>
        <v>0</v>
      </c>
      <c r="L1467" s="26">
        <f t="shared" si="48"/>
        <v>0</v>
      </c>
    </row>
    <row r="1468" spans="2:12">
      <c r="B1468" s="4" t="e">
        <f t="shared" si="47"/>
        <v>#N/A</v>
      </c>
      <c r="C1468" s="4">
        <f>'Raw data'!E1377</f>
        <v>0</v>
      </c>
      <c r="D1468" s="29" t="e">
        <f>VLOOKUP(C1468,'점포코드 '!A:B,2,0)</f>
        <v>#N/A</v>
      </c>
      <c r="E1468" s="30">
        <f>'Raw data'!P1377</f>
        <v>0</v>
      </c>
      <c r="F1468" s="29" t="e">
        <f>VLOOKUP(E1468,'점포코드 '!A:B,2,0)</f>
        <v>#N/A</v>
      </c>
      <c r="G1468" s="46">
        <f>'Raw data'!F1377</f>
        <v>0</v>
      </c>
      <c r="H1468" s="4">
        <f>'Raw data'!G1377</f>
        <v>0</v>
      </c>
      <c r="I1468" s="29" t="e">
        <f>VLOOKUP(G1468,제품명!$C$1:$E$114,2,0)</f>
        <v>#N/A</v>
      </c>
      <c r="J1468" s="29">
        <f>'Raw data'!K1377</f>
        <v>0</v>
      </c>
      <c r="K1468" s="31">
        <f>'Raw data'!H1377</f>
        <v>0</v>
      </c>
      <c r="L1468" s="26">
        <f t="shared" si="48"/>
        <v>0</v>
      </c>
    </row>
    <row r="1469" spans="2:12">
      <c r="B1469" s="4" t="e">
        <f t="shared" si="47"/>
        <v>#N/A</v>
      </c>
      <c r="C1469" s="4">
        <f>'Raw data'!E1378</f>
        <v>0</v>
      </c>
      <c r="D1469" s="29" t="e">
        <f>VLOOKUP(C1469,'점포코드 '!A:B,2,0)</f>
        <v>#N/A</v>
      </c>
      <c r="E1469" s="30">
        <f>'Raw data'!P1378</f>
        <v>0</v>
      </c>
      <c r="F1469" s="29" t="e">
        <f>VLOOKUP(E1469,'점포코드 '!A:B,2,0)</f>
        <v>#N/A</v>
      </c>
      <c r="G1469" s="46">
        <f>'Raw data'!F1378</f>
        <v>0</v>
      </c>
      <c r="H1469" s="4">
        <f>'Raw data'!G1378</f>
        <v>0</v>
      </c>
      <c r="I1469" s="29" t="e">
        <f>VLOOKUP(G1469,제품명!$C$1:$E$114,2,0)</f>
        <v>#N/A</v>
      </c>
      <c r="J1469" s="29">
        <f>'Raw data'!K1378</f>
        <v>0</v>
      </c>
      <c r="K1469" s="31">
        <f>'Raw data'!H1378</f>
        <v>0</v>
      </c>
      <c r="L1469" s="26">
        <f t="shared" si="48"/>
        <v>0</v>
      </c>
    </row>
    <row r="1470" spans="2:12">
      <c r="B1470" s="4" t="e">
        <f t="shared" si="47"/>
        <v>#N/A</v>
      </c>
      <c r="C1470" s="4">
        <f>'Raw data'!E1379</f>
        <v>0</v>
      </c>
      <c r="D1470" s="29" t="e">
        <f>VLOOKUP(C1470,'점포코드 '!A:B,2,0)</f>
        <v>#N/A</v>
      </c>
      <c r="E1470" s="30">
        <f>'Raw data'!P1379</f>
        <v>0</v>
      </c>
      <c r="F1470" s="29" t="e">
        <f>VLOOKUP(E1470,'점포코드 '!A:B,2,0)</f>
        <v>#N/A</v>
      </c>
      <c r="G1470" s="46">
        <f>'Raw data'!F1379</f>
        <v>0</v>
      </c>
      <c r="H1470" s="4">
        <f>'Raw data'!G1379</f>
        <v>0</v>
      </c>
      <c r="I1470" s="29" t="e">
        <f>VLOOKUP(G1470,제품명!$C$1:$E$114,2,0)</f>
        <v>#N/A</v>
      </c>
      <c r="J1470" s="29">
        <f>'Raw data'!K1379</f>
        <v>0</v>
      </c>
      <c r="K1470" s="31">
        <f>'Raw data'!H1379</f>
        <v>0</v>
      </c>
      <c r="L1470" s="26">
        <f t="shared" si="48"/>
        <v>0</v>
      </c>
    </row>
    <row r="1471" spans="2:12">
      <c r="B1471" s="4" t="e">
        <f t="shared" si="47"/>
        <v>#N/A</v>
      </c>
      <c r="C1471" s="4">
        <f>'Raw data'!E1380</f>
        <v>0</v>
      </c>
      <c r="D1471" s="29" t="e">
        <f>VLOOKUP(C1471,'점포코드 '!A:B,2,0)</f>
        <v>#N/A</v>
      </c>
      <c r="E1471" s="30">
        <f>'Raw data'!P1380</f>
        <v>0</v>
      </c>
      <c r="F1471" s="29" t="e">
        <f>VLOOKUP(E1471,'점포코드 '!A:B,2,0)</f>
        <v>#N/A</v>
      </c>
      <c r="G1471" s="46">
        <f>'Raw data'!F1380</f>
        <v>0</v>
      </c>
      <c r="H1471" s="4">
        <f>'Raw data'!G1380</f>
        <v>0</v>
      </c>
      <c r="I1471" s="29" t="e">
        <f>VLOOKUP(G1471,제품명!$C$1:$E$114,2,0)</f>
        <v>#N/A</v>
      </c>
      <c r="J1471" s="29">
        <f>'Raw data'!K1380</f>
        <v>0</v>
      </c>
      <c r="K1471" s="31">
        <f>'Raw data'!H1380</f>
        <v>0</v>
      </c>
      <c r="L1471" s="26">
        <f t="shared" si="48"/>
        <v>0</v>
      </c>
    </row>
    <row r="1472" spans="2:12">
      <c r="B1472" s="4" t="e">
        <f t="shared" si="47"/>
        <v>#N/A</v>
      </c>
      <c r="C1472" s="4">
        <f>'Raw data'!E1381</f>
        <v>0</v>
      </c>
      <c r="D1472" s="29" t="e">
        <f>VLOOKUP(C1472,'점포코드 '!A:B,2,0)</f>
        <v>#N/A</v>
      </c>
      <c r="E1472" s="30">
        <f>'Raw data'!P1381</f>
        <v>0</v>
      </c>
      <c r="F1472" s="29" t="e">
        <f>VLOOKUP(E1472,'점포코드 '!A:B,2,0)</f>
        <v>#N/A</v>
      </c>
      <c r="G1472" s="46">
        <f>'Raw data'!F1381</f>
        <v>0</v>
      </c>
      <c r="H1472" s="4">
        <f>'Raw data'!G1381</f>
        <v>0</v>
      </c>
      <c r="I1472" s="29" t="e">
        <f>VLOOKUP(G1472,제품명!$C$1:$E$114,2,0)</f>
        <v>#N/A</v>
      </c>
      <c r="J1472" s="29">
        <f>'Raw data'!K1381</f>
        <v>0</v>
      </c>
      <c r="K1472" s="31">
        <f>'Raw data'!H1381</f>
        <v>0</v>
      </c>
      <c r="L1472" s="26">
        <f t="shared" si="48"/>
        <v>0</v>
      </c>
    </row>
    <row r="1473" spans="2:12">
      <c r="B1473" s="4" t="e">
        <f t="shared" si="47"/>
        <v>#N/A</v>
      </c>
      <c r="C1473" s="4">
        <f>'Raw data'!E1382</f>
        <v>0</v>
      </c>
      <c r="D1473" s="29" t="e">
        <f>VLOOKUP(C1473,'점포코드 '!A:B,2,0)</f>
        <v>#N/A</v>
      </c>
      <c r="E1473" s="30">
        <f>'Raw data'!P1382</f>
        <v>0</v>
      </c>
      <c r="F1473" s="29" t="e">
        <f>VLOOKUP(E1473,'점포코드 '!A:B,2,0)</f>
        <v>#N/A</v>
      </c>
      <c r="G1473" s="46">
        <f>'Raw data'!F1382</f>
        <v>0</v>
      </c>
      <c r="H1473" s="4">
        <f>'Raw data'!G1382</f>
        <v>0</v>
      </c>
      <c r="I1473" s="29" t="e">
        <f>VLOOKUP(G1473,제품명!$C$1:$E$114,2,0)</f>
        <v>#N/A</v>
      </c>
      <c r="J1473" s="29">
        <f>'Raw data'!K1382</f>
        <v>0</v>
      </c>
      <c r="K1473" s="31">
        <f>'Raw data'!H1382</f>
        <v>0</v>
      </c>
      <c r="L1473" s="26">
        <f t="shared" si="48"/>
        <v>0</v>
      </c>
    </row>
    <row r="1474" spans="2:12">
      <c r="B1474" s="4" t="e">
        <f t="shared" ref="B1474:B1537" si="49">F1474&amp;I1474</f>
        <v>#N/A</v>
      </c>
      <c r="C1474" s="4">
        <f>'Raw data'!E1383</f>
        <v>0</v>
      </c>
      <c r="D1474" s="29" t="e">
        <f>VLOOKUP(C1474,'점포코드 '!A:B,2,0)</f>
        <v>#N/A</v>
      </c>
      <c r="E1474" s="30">
        <f>'Raw data'!P1383</f>
        <v>0</v>
      </c>
      <c r="F1474" s="29" t="e">
        <f>VLOOKUP(E1474,'점포코드 '!A:B,2,0)</f>
        <v>#N/A</v>
      </c>
      <c r="G1474" s="46">
        <f>'Raw data'!F1383</f>
        <v>0</v>
      </c>
      <c r="H1474" s="4">
        <f>'Raw data'!G1383</f>
        <v>0</v>
      </c>
      <c r="I1474" s="29" t="e">
        <f>VLOOKUP(G1474,제품명!$C$1:$E$114,2,0)</f>
        <v>#N/A</v>
      </c>
      <c r="J1474" s="29">
        <f>'Raw data'!K1383</f>
        <v>0</v>
      </c>
      <c r="K1474" s="31">
        <f>'Raw data'!H1383</f>
        <v>0</v>
      </c>
      <c r="L1474" s="26">
        <f t="shared" si="48"/>
        <v>0</v>
      </c>
    </row>
    <row r="1475" spans="2:12">
      <c r="B1475" s="4" t="e">
        <f t="shared" si="49"/>
        <v>#N/A</v>
      </c>
      <c r="C1475" s="4">
        <f>'Raw data'!E1384</f>
        <v>0</v>
      </c>
      <c r="D1475" s="29" t="e">
        <f>VLOOKUP(C1475,'점포코드 '!A:B,2,0)</f>
        <v>#N/A</v>
      </c>
      <c r="E1475" s="30">
        <f>'Raw data'!P1384</f>
        <v>0</v>
      </c>
      <c r="F1475" s="29" t="e">
        <f>VLOOKUP(E1475,'점포코드 '!A:B,2,0)</f>
        <v>#N/A</v>
      </c>
      <c r="G1475" s="46">
        <f>'Raw data'!F1384</f>
        <v>0</v>
      </c>
      <c r="H1475" s="4">
        <f>'Raw data'!G1384</f>
        <v>0</v>
      </c>
      <c r="I1475" s="29" t="e">
        <f>VLOOKUP(G1475,제품명!$C$1:$E$114,2,0)</f>
        <v>#N/A</v>
      </c>
      <c r="J1475" s="29">
        <f>'Raw data'!K1384</f>
        <v>0</v>
      </c>
      <c r="K1475" s="31">
        <f>'Raw data'!H1384</f>
        <v>0</v>
      </c>
      <c r="L1475" s="26">
        <f t="shared" ref="L1475:L1538" si="50">J1475*K1475</f>
        <v>0</v>
      </c>
    </row>
    <row r="1476" spans="2:12">
      <c r="B1476" s="4" t="e">
        <f t="shared" si="49"/>
        <v>#N/A</v>
      </c>
      <c r="C1476" s="4">
        <f>'Raw data'!E1385</f>
        <v>0</v>
      </c>
      <c r="D1476" s="29" t="e">
        <f>VLOOKUP(C1476,'점포코드 '!A:B,2,0)</f>
        <v>#N/A</v>
      </c>
      <c r="E1476" s="30">
        <f>'Raw data'!P1385</f>
        <v>0</v>
      </c>
      <c r="F1476" s="29" t="e">
        <f>VLOOKUP(E1476,'점포코드 '!A:B,2,0)</f>
        <v>#N/A</v>
      </c>
      <c r="G1476" s="46">
        <f>'Raw data'!F1385</f>
        <v>0</v>
      </c>
      <c r="H1476" s="4">
        <f>'Raw data'!G1385</f>
        <v>0</v>
      </c>
      <c r="I1476" s="29" t="e">
        <f>VLOOKUP(G1476,제품명!$C$1:$E$114,2,0)</f>
        <v>#N/A</v>
      </c>
      <c r="J1476" s="29">
        <f>'Raw data'!K1385</f>
        <v>0</v>
      </c>
      <c r="K1476" s="31">
        <f>'Raw data'!H1385</f>
        <v>0</v>
      </c>
      <c r="L1476" s="26">
        <f t="shared" si="50"/>
        <v>0</v>
      </c>
    </row>
    <row r="1477" spans="2:12">
      <c r="B1477" s="4" t="e">
        <f t="shared" si="49"/>
        <v>#N/A</v>
      </c>
      <c r="C1477" s="4">
        <f>'Raw data'!E1386</f>
        <v>0</v>
      </c>
      <c r="D1477" s="29" t="e">
        <f>VLOOKUP(C1477,'점포코드 '!A:B,2,0)</f>
        <v>#N/A</v>
      </c>
      <c r="E1477" s="30">
        <f>'Raw data'!P1386</f>
        <v>0</v>
      </c>
      <c r="F1477" s="29" t="e">
        <f>VLOOKUP(E1477,'점포코드 '!A:B,2,0)</f>
        <v>#N/A</v>
      </c>
      <c r="G1477" s="46">
        <f>'Raw data'!F1386</f>
        <v>0</v>
      </c>
      <c r="H1477" s="4">
        <f>'Raw data'!G1386</f>
        <v>0</v>
      </c>
      <c r="I1477" s="29" t="e">
        <f>VLOOKUP(G1477,제품명!$C$1:$E$114,2,0)</f>
        <v>#N/A</v>
      </c>
      <c r="J1477" s="29">
        <f>'Raw data'!K1386</f>
        <v>0</v>
      </c>
      <c r="K1477" s="31">
        <f>'Raw data'!H1386</f>
        <v>0</v>
      </c>
      <c r="L1477" s="26">
        <f t="shared" si="50"/>
        <v>0</v>
      </c>
    </row>
    <row r="1478" spans="2:12">
      <c r="B1478" s="4" t="e">
        <f t="shared" si="49"/>
        <v>#N/A</v>
      </c>
      <c r="C1478" s="4">
        <f>'Raw data'!E1387</f>
        <v>0</v>
      </c>
      <c r="D1478" s="29" t="e">
        <f>VLOOKUP(C1478,'점포코드 '!A:B,2,0)</f>
        <v>#N/A</v>
      </c>
      <c r="E1478" s="30">
        <f>'Raw data'!P1387</f>
        <v>0</v>
      </c>
      <c r="F1478" s="29" t="e">
        <f>VLOOKUP(E1478,'점포코드 '!A:B,2,0)</f>
        <v>#N/A</v>
      </c>
      <c r="G1478" s="46">
        <f>'Raw data'!F1387</f>
        <v>0</v>
      </c>
      <c r="H1478" s="4">
        <f>'Raw data'!G1387</f>
        <v>0</v>
      </c>
      <c r="I1478" s="29" t="e">
        <f>VLOOKUP(G1478,제품명!$C$1:$E$114,2,0)</f>
        <v>#N/A</v>
      </c>
      <c r="J1478" s="29">
        <f>'Raw data'!K1387</f>
        <v>0</v>
      </c>
      <c r="K1478" s="31">
        <f>'Raw data'!H1387</f>
        <v>0</v>
      </c>
      <c r="L1478" s="26">
        <f t="shared" si="50"/>
        <v>0</v>
      </c>
    </row>
    <row r="1479" spans="2:12">
      <c r="B1479" s="4" t="e">
        <f t="shared" si="49"/>
        <v>#N/A</v>
      </c>
      <c r="C1479" s="4">
        <f>'Raw data'!E1388</f>
        <v>0</v>
      </c>
      <c r="D1479" s="29" t="e">
        <f>VLOOKUP(C1479,'점포코드 '!A:B,2,0)</f>
        <v>#N/A</v>
      </c>
      <c r="E1479" s="30">
        <f>'Raw data'!P1388</f>
        <v>0</v>
      </c>
      <c r="F1479" s="29" t="e">
        <f>VLOOKUP(E1479,'점포코드 '!A:B,2,0)</f>
        <v>#N/A</v>
      </c>
      <c r="G1479" s="46">
        <f>'Raw data'!F1388</f>
        <v>0</v>
      </c>
      <c r="H1479" s="4">
        <f>'Raw data'!G1388</f>
        <v>0</v>
      </c>
      <c r="I1479" s="29" t="e">
        <f>VLOOKUP(G1479,제품명!$C$1:$E$114,2,0)</f>
        <v>#N/A</v>
      </c>
      <c r="J1479" s="29">
        <f>'Raw data'!K1388</f>
        <v>0</v>
      </c>
      <c r="K1479" s="31">
        <f>'Raw data'!H1388</f>
        <v>0</v>
      </c>
      <c r="L1479" s="26">
        <f t="shared" si="50"/>
        <v>0</v>
      </c>
    </row>
    <row r="1480" spans="2:12">
      <c r="B1480" s="4" t="e">
        <f t="shared" si="49"/>
        <v>#N/A</v>
      </c>
      <c r="C1480" s="4">
        <f>'Raw data'!E1389</f>
        <v>0</v>
      </c>
      <c r="D1480" s="29" t="e">
        <f>VLOOKUP(C1480,'점포코드 '!A:B,2,0)</f>
        <v>#N/A</v>
      </c>
      <c r="E1480" s="30">
        <f>'Raw data'!P1389</f>
        <v>0</v>
      </c>
      <c r="F1480" s="29" t="e">
        <f>VLOOKUP(E1480,'점포코드 '!A:B,2,0)</f>
        <v>#N/A</v>
      </c>
      <c r="G1480" s="46">
        <f>'Raw data'!F1389</f>
        <v>0</v>
      </c>
      <c r="H1480" s="4">
        <f>'Raw data'!G1389</f>
        <v>0</v>
      </c>
      <c r="I1480" s="29" t="e">
        <f>VLOOKUP(G1480,제품명!$C$1:$E$114,2,0)</f>
        <v>#N/A</v>
      </c>
      <c r="J1480" s="29">
        <f>'Raw data'!K1389</f>
        <v>0</v>
      </c>
      <c r="K1480" s="31">
        <f>'Raw data'!H1389</f>
        <v>0</v>
      </c>
      <c r="L1480" s="26">
        <f t="shared" si="50"/>
        <v>0</v>
      </c>
    </row>
    <row r="1481" spans="2:12">
      <c r="B1481" s="4" t="e">
        <f t="shared" si="49"/>
        <v>#N/A</v>
      </c>
      <c r="C1481" s="4">
        <f>'Raw data'!E1390</f>
        <v>0</v>
      </c>
      <c r="D1481" s="29" t="e">
        <f>VLOOKUP(C1481,'점포코드 '!A:B,2,0)</f>
        <v>#N/A</v>
      </c>
      <c r="E1481" s="30">
        <f>'Raw data'!P1390</f>
        <v>0</v>
      </c>
      <c r="F1481" s="29" t="e">
        <f>VLOOKUP(E1481,'점포코드 '!A:B,2,0)</f>
        <v>#N/A</v>
      </c>
      <c r="G1481" s="46">
        <f>'Raw data'!F1390</f>
        <v>0</v>
      </c>
      <c r="H1481" s="4">
        <f>'Raw data'!G1390</f>
        <v>0</v>
      </c>
      <c r="I1481" s="29" t="e">
        <f>VLOOKUP(G1481,제품명!$C$1:$E$114,2,0)</f>
        <v>#N/A</v>
      </c>
      <c r="J1481" s="29">
        <f>'Raw data'!K1390</f>
        <v>0</v>
      </c>
      <c r="K1481" s="31">
        <f>'Raw data'!H1390</f>
        <v>0</v>
      </c>
      <c r="L1481" s="26">
        <f t="shared" si="50"/>
        <v>0</v>
      </c>
    </row>
    <row r="1482" spans="2:12">
      <c r="B1482" s="4" t="e">
        <f t="shared" si="49"/>
        <v>#N/A</v>
      </c>
      <c r="C1482" s="4">
        <f>'Raw data'!E1391</f>
        <v>0</v>
      </c>
      <c r="D1482" s="29" t="e">
        <f>VLOOKUP(C1482,'점포코드 '!A:B,2,0)</f>
        <v>#N/A</v>
      </c>
      <c r="E1482" s="30">
        <f>'Raw data'!P1391</f>
        <v>0</v>
      </c>
      <c r="F1482" s="29" t="e">
        <f>VLOOKUP(E1482,'점포코드 '!A:B,2,0)</f>
        <v>#N/A</v>
      </c>
      <c r="G1482" s="46">
        <f>'Raw data'!F1391</f>
        <v>0</v>
      </c>
      <c r="H1482" s="4">
        <f>'Raw data'!G1391</f>
        <v>0</v>
      </c>
      <c r="I1482" s="29" t="e">
        <f>VLOOKUP(G1482,제품명!$C$1:$E$114,2,0)</f>
        <v>#N/A</v>
      </c>
      <c r="J1482" s="29">
        <f>'Raw data'!K1391</f>
        <v>0</v>
      </c>
      <c r="K1482" s="31">
        <f>'Raw data'!H1391</f>
        <v>0</v>
      </c>
      <c r="L1482" s="26">
        <f t="shared" si="50"/>
        <v>0</v>
      </c>
    </row>
    <row r="1483" spans="2:12">
      <c r="B1483" s="4" t="e">
        <f t="shared" si="49"/>
        <v>#N/A</v>
      </c>
      <c r="C1483" s="4">
        <f>'Raw data'!E1392</f>
        <v>0</v>
      </c>
      <c r="D1483" s="29" t="e">
        <f>VLOOKUP(C1483,'점포코드 '!A:B,2,0)</f>
        <v>#N/A</v>
      </c>
      <c r="E1483" s="30">
        <f>'Raw data'!P1392</f>
        <v>0</v>
      </c>
      <c r="F1483" s="29" t="e">
        <f>VLOOKUP(E1483,'점포코드 '!A:B,2,0)</f>
        <v>#N/A</v>
      </c>
      <c r="G1483" s="46">
        <f>'Raw data'!F1392</f>
        <v>0</v>
      </c>
      <c r="H1483" s="4">
        <f>'Raw data'!G1392</f>
        <v>0</v>
      </c>
      <c r="I1483" s="29" t="e">
        <f>VLOOKUP(G1483,제품명!$C$1:$E$114,2,0)</f>
        <v>#N/A</v>
      </c>
      <c r="J1483" s="29">
        <f>'Raw data'!K1392</f>
        <v>0</v>
      </c>
      <c r="K1483" s="31">
        <f>'Raw data'!H1392</f>
        <v>0</v>
      </c>
      <c r="L1483" s="26">
        <f t="shared" si="50"/>
        <v>0</v>
      </c>
    </row>
    <row r="1484" spans="2:12">
      <c r="B1484" s="4" t="e">
        <f t="shared" si="49"/>
        <v>#N/A</v>
      </c>
      <c r="C1484" s="4">
        <f>'Raw data'!E1393</f>
        <v>0</v>
      </c>
      <c r="D1484" s="29" t="e">
        <f>VLOOKUP(C1484,'점포코드 '!A:B,2,0)</f>
        <v>#N/A</v>
      </c>
      <c r="E1484" s="30">
        <f>'Raw data'!P1393</f>
        <v>0</v>
      </c>
      <c r="F1484" s="29" t="e">
        <f>VLOOKUP(E1484,'점포코드 '!A:B,2,0)</f>
        <v>#N/A</v>
      </c>
      <c r="G1484" s="46">
        <f>'Raw data'!F1393</f>
        <v>0</v>
      </c>
      <c r="H1484" s="4">
        <f>'Raw data'!G1393</f>
        <v>0</v>
      </c>
      <c r="I1484" s="29" t="e">
        <f>VLOOKUP(G1484,제품명!$C$1:$E$114,2,0)</f>
        <v>#N/A</v>
      </c>
      <c r="J1484" s="29">
        <f>'Raw data'!K1393</f>
        <v>0</v>
      </c>
      <c r="K1484" s="31">
        <f>'Raw data'!H1393</f>
        <v>0</v>
      </c>
      <c r="L1484" s="26">
        <f t="shared" si="50"/>
        <v>0</v>
      </c>
    </row>
    <row r="1485" spans="2:12">
      <c r="B1485" s="4" t="e">
        <f t="shared" si="49"/>
        <v>#N/A</v>
      </c>
      <c r="C1485" s="4">
        <f>'Raw data'!E1394</f>
        <v>0</v>
      </c>
      <c r="D1485" s="29" t="e">
        <f>VLOOKUP(C1485,'점포코드 '!A:B,2,0)</f>
        <v>#N/A</v>
      </c>
      <c r="E1485" s="30">
        <f>'Raw data'!P1394</f>
        <v>0</v>
      </c>
      <c r="F1485" s="29" t="e">
        <f>VLOOKUP(E1485,'점포코드 '!A:B,2,0)</f>
        <v>#N/A</v>
      </c>
      <c r="G1485" s="46">
        <f>'Raw data'!F1394</f>
        <v>0</v>
      </c>
      <c r="H1485" s="4">
        <f>'Raw data'!G1394</f>
        <v>0</v>
      </c>
      <c r="I1485" s="29" t="e">
        <f>VLOOKUP(G1485,제품명!$C$1:$E$114,2,0)</f>
        <v>#N/A</v>
      </c>
      <c r="J1485" s="29">
        <f>'Raw data'!K1394</f>
        <v>0</v>
      </c>
      <c r="K1485" s="31">
        <f>'Raw data'!H1394</f>
        <v>0</v>
      </c>
      <c r="L1485" s="26">
        <f t="shared" si="50"/>
        <v>0</v>
      </c>
    </row>
    <row r="1486" spans="2:12">
      <c r="B1486" s="4" t="e">
        <f t="shared" si="49"/>
        <v>#N/A</v>
      </c>
      <c r="C1486" s="4">
        <f>'Raw data'!E1395</f>
        <v>0</v>
      </c>
      <c r="D1486" s="29" t="e">
        <f>VLOOKUP(C1486,'점포코드 '!A:B,2,0)</f>
        <v>#N/A</v>
      </c>
      <c r="E1486" s="30">
        <f>'Raw data'!P1395</f>
        <v>0</v>
      </c>
      <c r="F1486" s="29" t="e">
        <f>VLOOKUP(E1486,'점포코드 '!A:B,2,0)</f>
        <v>#N/A</v>
      </c>
      <c r="G1486" s="46">
        <f>'Raw data'!F1395</f>
        <v>0</v>
      </c>
      <c r="H1486" s="4">
        <f>'Raw data'!G1395</f>
        <v>0</v>
      </c>
      <c r="I1486" s="29" t="e">
        <f>VLOOKUP(G1486,제품명!$C$1:$E$114,2,0)</f>
        <v>#N/A</v>
      </c>
      <c r="J1486" s="29">
        <f>'Raw data'!K1395</f>
        <v>0</v>
      </c>
      <c r="K1486" s="31">
        <f>'Raw data'!H1395</f>
        <v>0</v>
      </c>
      <c r="L1486" s="26">
        <f t="shared" si="50"/>
        <v>0</v>
      </c>
    </row>
    <row r="1487" spans="2:12">
      <c r="B1487" s="4" t="e">
        <f t="shared" si="49"/>
        <v>#N/A</v>
      </c>
      <c r="C1487" s="4">
        <f>'Raw data'!E1396</f>
        <v>0</v>
      </c>
      <c r="D1487" s="29" t="e">
        <f>VLOOKUP(C1487,'점포코드 '!A:B,2,0)</f>
        <v>#N/A</v>
      </c>
      <c r="E1487" s="30">
        <f>'Raw data'!P1396</f>
        <v>0</v>
      </c>
      <c r="F1487" s="29" t="e">
        <f>VLOOKUP(E1487,'점포코드 '!A:B,2,0)</f>
        <v>#N/A</v>
      </c>
      <c r="G1487" s="46">
        <f>'Raw data'!F1396</f>
        <v>0</v>
      </c>
      <c r="H1487" s="4">
        <f>'Raw data'!G1396</f>
        <v>0</v>
      </c>
      <c r="I1487" s="29" t="e">
        <f>VLOOKUP(G1487,제품명!$C$1:$E$114,2,0)</f>
        <v>#N/A</v>
      </c>
      <c r="J1487" s="29">
        <f>'Raw data'!K1396</f>
        <v>0</v>
      </c>
      <c r="K1487" s="31">
        <f>'Raw data'!H1396</f>
        <v>0</v>
      </c>
      <c r="L1487" s="26">
        <f t="shared" si="50"/>
        <v>0</v>
      </c>
    </row>
    <row r="1488" spans="2:12">
      <c r="B1488" s="4" t="e">
        <f t="shared" si="49"/>
        <v>#N/A</v>
      </c>
      <c r="C1488" s="4">
        <f>'Raw data'!E1397</f>
        <v>0</v>
      </c>
      <c r="D1488" s="29" t="e">
        <f>VLOOKUP(C1488,'점포코드 '!A:B,2,0)</f>
        <v>#N/A</v>
      </c>
      <c r="E1488" s="30">
        <f>'Raw data'!P1397</f>
        <v>0</v>
      </c>
      <c r="F1488" s="29" t="e">
        <f>VLOOKUP(E1488,'점포코드 '!A:B,2,0)</f>
        <v>#N/A</v>
      </c>
      <c r="G1488" s="46">
        <f>'Raw data'!F1397</f>
        <v>0</v>
      </c>
      <c r="H1488" s="4">
        <f>'Raw data'!G1397</f>
        <v>0</v>
      </c>
      <c r="I1488" s="29" t="e">
        <f>VLOOKUP(G1488,제품명!$C$1:$E$114,2,0)</f>
        <v>#N/A</v>
      </c>
      <c r="J1488" s="29">
        <f>'Raw data'!K1397</f>
        <v>0</v>
      </c>
      <c r="K1488" s="31">
        <f>'Raw data'!H1397</f>
        <v>0</v>
      </c>
      <c r="L1488" s="26">
        <f t="shared" si="50"/>
        <v>0</v>
      </c>
    </row>
    <row r="1489" spans="2:12">
      <c r="B1489" s="4" t="e">
        <f t="shared" si="49"/>
        <v>#N/A</v>
      </c>
      <c r="C1489" s="4">
        <f>'Raw data'!E1398</f>
        <v>0</v>
      </c>
      <c r="D1489" s="29" t="e">
        <f>VLOOKUP(C1489,'점포코드 '!A:B,2,0)</f>
        <v>#N/A</v>
      </c>
      <c r="E1489" s="30">
        <f>'Raw data'!P1398</f>
        <v>0</v>
      </c>
      <c r="F1489" s="29" t="e">
        <f>VLOOKUP(E1489,'점포코드 '!A:B,2,0)</f>
        <v>#N/A</v>
      </c>
      <c r="G1489" s="46">
        <f>'Raw data'!F1398</f>
        <v>0</v>
      </c>
      <c r="H1489" s="4">
        <f>'Raw data'!G1398</f>
        <v>0</v>
      </c>
      <c r="I1489" s="29" t="e">
        <f>VLOOKUP(G1489,제품명!$C$1:$E$114,2,0)</f>
        <v>#N/A</v>
      </c>
      <c r="J1489" s="29">
        <f>'Raw data'!K1398</f>
        <v>0</v>
      </c>
      <c r="K1489" s="31">
        <f>'Raw data'!H1398</f>
        <v>0</v>
      </c>
      <c r="L1489" s="26">
        <f t="shared" si="50"/>
        <v>0</v>
      </c>
    </row>
    <row r="1490" spans="2:12">
      <c r="B1490" s="4" t="e">
        <f t="shared" si="49"/>
        <v>#N/A</v>
      </c>
      <c r="C1490" s="4">
        <f>'Raw data'!E1399</f>
        <v>0</v>
      </c>
      <c r="D1490" s="29" t="e">
        <f>VLOOKUP(C1490,'점포코드 '!A:B,2,0)</f>
        <v>#N/A</v>
      </c>
      <c r="E1490" s="30">
        <f>'Raw data'!P1399</f>
        <v>0</v>
      </c>
      <c r="F1490" s="29" t="e">
        <f>VLOOKUP(E1490,'점포코드 '!A:B,2,0)</f>
        <v>#N/A</v>
      </c>
      <c r="G1490" s="46">
        <f>'Raw data'!F1399</f>
        <v>0</v>
      </c>
      <c r="H1490" s="4">
        <f>'Raw data'!G1399</f>
        <v>0</v>
      </c>
      <c r="I1490" s="29" t="e">
        <f>VLOOKUP(G1490,제품명!$C$1:$E$114,2,0)</f>
        <v>#N/A</v>
      </c>
      <c r="J1490" s="29">
        <f>'Raw data'!K1399</f>
        <v>0</v>
      </c>
      <c r="K1490" s="31">
        <f>'Raw data'!H1399</f>
        <v>0</v>
      </c>
      <c r="L1490" s="26">
        <f t="shared" si="50"/>
        <v>0</v>
      </c>
    </row>
    <row r="1491" spans="2:12">
      <c r="B1491" s="4" t="e">
        <f t="shared" si="49"/>
        <v>#N/A</v>
      </c>
      <c r="C1491" s="4">
        <f>'Raw data'!E1400</f>
        <v>0</v>
      </c>
      <c r="D1491" s="29" t="e">
        <f>VLOOKUP(C1491,'점포코드 '!A:B,2,0)</f>
        <v>#N/A</v>
      </c>
      <c r="E1491" s="30">
        <f>'Raw data'!P1400</f>
        <v>0</v>
      </c>
      <c r="F1491" s="29" t="e">
        <f>VLOOKUP(E1491,'점포코드 '!A:B,2,0)</f>
        <v>#N/A</v>
      </c>
      <c r="G1491" s="46">
        <f>'Raw data'!F1400</f>
        <v>0</v>
      </c>
      <c r="H1491" s="4">
        <f>'Raw data'!G1400</f>
        <v>0</v>
      </c>
      <c r="I1491" s="29" t="e">
        <f>VLOOKUP(G1491,제품명!$C$1:$E$114,2,0)</f>
        <v>#N/A</v>
      </c>
      <c r="J1491" s="29">
        <f>'Raw data'!K1400</f>
        <v>0</v>
      </c>
      <c r="K1491" s="31">
        <f>'Raw data'!H1400</f>
        <v>0</v>
      </c>
      <c r="L1491" s="26">
        <f t="shared" si="50"/>
        <v>0</v>
      </c>
    </row>
    <row r="1492" spans="2:12">
      <c r="B1492" s="4" t="e">
        <f t="shared" si="49"/>
        <v>#N/A</v>
      </c>
      <c r="C1492" s="4">
        <f>'Raw data'!E1401</f>
        <v>0</v>
      </c>
      <c r="D1492" s="29" t="e">
        <f>VLOOKUP(C1492,'점포코드 '!A:B,2,0)</f>
        <v>#N/A</v>
      </c>
      <c r="E1492" s="30">
        <f>'Raw data'!P1401</f>
        <v>0</v>
      </c>
      <c r="F1492" s="29" t="e">
        <f>VLOOKUP(E1492,'점포코드 '!A:B,2,0)</f>
        <v>#N/A</v>
      </c>
      <c r="G1492" s="46">
        <f>'Raw data'!F1401</f>
        <v>0</v>
      </c>
      <c r="H1492" s="4">
        <f>'Raw data'!G1401</f>
        <v>0</v>
      </c>
      <c r="I1492" s="29" t="e">
        <f>VLOOKUP(G1492,제품명!$C$1:$E$114,2,0)</f>
        <v>#N/A</v>
      </c>
      <c r="J1492" s="29">
        <f>'Raw data'!K1401</f>
        <v>0</v>
      </c>
      <c r="K1492" s="31">
        <f>'Raw data'!H1401</f>
        <v>0</v>
      </c>
      <c r="L1492" s="26">
        <f t="shared" si="50"/>
        <v>0</v>
      </c>
    </row>
    <row r="1493" spans="2:12">
      <c r="B1493" s="4" t="e">
        <f t="shared" si="49"/>
        <v>#N/A</v>
      </c>
      <c r="C1493" s="4">
        <f>'Raw data'!E1402</f>
        <v>0</v>
      </c>
      <c r="D1493" s="29" t="e">
        <f>VLOOKUP(C1493,'점포코드 '!A:B,2,0)</f>
        <v>#N/A</v>
      </c>
      <c r="E1493" s="30">
        <f>'Raw data'!P1402</f>
        <v>0</v>
      </c>
      <c r="F1493" s="29" t="e">
        <f>VLOOKUP(E1493,'점포코드 '!A:B,2,0)</f>
        <v>#N/A</v>
      </c>
      <c r="G1493" s="46">
        <f>'Raw data'!F1402</f>
        <v>0</v>
      </c>
      <c r="H1493" s="4">
        <f>'Raw data'!G1402</f>
        <v>0</v>
      </c>
      <c r="I1493" s="29" t="e">
        <f>VLOOKUP(G1493,제품명!$C$1:$E$114,2,0)</f>
        <v>#N/A</v>
      </c>
      <c r="J1493" s="29">
        <f>'Raw data'!K1402</f>
        <v>0</v>
      </c>
      <c r="K1493" s="31">
        <f>'Raw data'!H1402</f>
        <v>0</v>
      </c>
      <c r="L1493" s="26">
        <f t="shared" si="50"/>
        <v>0</v>
      </c>
    </row>
    <row r="1494" spans="2:12">
      <c r="B1494" s="4" t="e">
        <f t="shared" si="49"/>
        <v>#N/A</v>
      </c>
      <c r="C1494" s="4">
        <f>'Raw data'!E1403</f>
        <v>0</v>
      </c>
      <c r="D1494" s="29" t="e">
        <f>VLOOKUP(C1494,'점포코드 '!A:B,2,0)</f>
        <v>#N/A</v>
      </c>
      <c r="E1494" s="30">
        <f>'Raw data'!P1403</f>
        <v>0</v>
      </c>
      <c r="F1494" s="29" t="e">
        <f>VLOOKUP(E1494,'점포코드 '!A:B,2,0)</f>
        <v>#N/A</v>
      </c>
      <c r="G1494" s="46">
        <f>'Raw data'!F1403</f>
        <v>0</v>
      </c>
      <c r="H1494" s="4">
        <f>'Raw data'!G1403</f>
        <v>0</v>
      </c>
      <c r="I1494" s="29" t="e">
        <f>VLOOKUP(G1494,제품명!$C$1:$E$114,2,0)</f>
        <v>#N/A</v>
      </c>
      <c r="J1494" s="29">
        <f>'Raw data'!K1403</f>
        <v>0</v>
      </c>
      <c r="K1494" s="31">
        <f>'Raw data'!H1403</f>
        <v>0</v>
      </c>
      <c r="L1494" s="26">
        <f t="shared" si="50"/>
        <v>0</v>
      </c>
    </row>
    <row r="1495" spans="2:12">
      <c r="B1495" s="4" t="e">
        <f t="shared" si="49"/>
        <v>#N/A</v>
      </c>
      <c r="C1495" s="4">
        <f>'Raw data'!E1404</f>
        <v>0</v>
      </c>
      <c r="D1495" s="29" t="e">
        <f>VLOOKUP(C1495,'점포코드 '!A:B,2,0)</f>
        <v>#N/A</v>
      </c>
      <c r="E1495" s="30">
        <f>'Raw data'!P1404</f>
        <v>0</v>
      </c>
      <c r="F1495" s="29" t="e">
        <f>VLOOKUP(E1495,'점포코드 '!A:B,2,0)</f>
        <v>#N/A</v>
      </c>
      <c r="G1495" s="46">
        <f>'Raw data'!F1404</f>
        <v>0</v>
      </c>
      <c r="H1495" s="4">
        <f>'Raw data'!G1404</f>
        <v>0</v>
      </c>
      <c r="I1495" s="29" t="e">
        <f>VLOOKUP(G1495,제품명!$C$1:$E$114,2,0)</f>
        <v>#N/A</v>
      </c>
      <c r="J1495" s="29">
        <f>'Raw data'!K1404</f>
        <v>0</v>
      </c>
      <c r="K1495" s="31">
        <f>'Raw data'!H1404</f>
        <v>0</v>
      </c>
      <c r="L1495" s="26">
        <f t="shared" si="50"/>
        <v>0</v>
      </c>
    </row>
    <row r="1496" spans="2:12">
      <c r="B1496" s="4" t="e">
        <f t="shared" si="49"/>
        <v>#N/A</v>
      </c>
      <c r="C1496" s="4">
        <f>'Raw data'!E1405</f>
        <v>0</v>
      </c>
      <c r="D1496" s="29" t="e">
        <f>VLOOKUP(C1496,'점포코드 '!A:B,2,0)</f>
        <v>#N/A</v>
      </c>
      <c r="E1496" s="30">
        <f>'Raw data'!P1405</f>
        <v>0</v>
      </c>
      <c r="F1496" s="29" t="e">
        <f>VLOOKUP(E1496,'점포코드 '!A:B,2,0)</f>
        <v>#N/A</v>
      </c>
      <c r="G1496" s="46">
        <f>'Raw data'!F1405</f>
        <v>0</v>
      </c>
      <c r="H1496" s="4">
        <f>'Raw data'!G1405</f>
        <v>0</v>
      </c>
      <c r="I1496" s="29" t="e">
        <f>VLOOKUP(G1496,제품명!$C$1:$E$114,2,0)</f>
        <v>#N/A</v>
      </c>
      <c r="J1496" s="29">
        <f>'Raw data'!K1405</f>
        <v>0</v>
      </c>
      <c r="K1496" s="31">
        <f>'Raw data'!H1405</f>
        <v>0</v>
      </c>
      <c r="L1496" s="26">
        <f t="shared" si="50"/>
        <v>0</v>
      </c>
    </row>
    <row r="1497" spans="2:12">
      <c r="B1497" s="4" t="e">
        <f t="shared" si="49"/>
        <v>#N/A</v>
      </c>
      <c r="C1497" s="4">
        <f>'Raw data'!E1406</f>
        <v>0</v>
      </c>
      <c r="D1497" s="29" t="e">
        <f>VLOOKUP(C1497,'점포코드 '!A:B,2,0)</f>
        <v>#N/A</v>
      </c>
      <c r="E1497" s="30">
        <f>'Raw data'!P1406</f>
        <v>0</v>
      </c>
      <c r="F1497" s="29" t="e">
        <f>VLOOKUP(E1497,'점포코드 '!A:B,2,0)</f>
        <v>#N/A</v>
      </c>
      <c r="G1497" s="46">
        <f>'Raw data'!F1406</f>
        <v>0</v>
      </c>
      <c r="H1497" s="4">
        <f>'Raw data'!G1406</f>
        <v>0</v>
      </c>
      <c r="I1497" s="29" t="e">
        <f>VLOOKUP(G1497,제품명!$C$1:$E$114,2,0)</f>
        <v>#N/A</v>
      </c>
      <c r="J1497" s="29">
        <f>'Raw data'!K1406</f>
        <v>0</v>
      </c>
      <c r="K1497" s="31">
        <f>'Raw data'!H1406</f>
        <v>0</v>
      </c>
      <c r="L1497" s="26">
        <f t="shared" si="50"/>
        <v>0</v>
      </c>
    </row>
    <row r="1498" spans="2:12">
      <c r="B1498" s="4" t="e">
        <f t="shared" si="49"/>
        <v>#N/A</v>
      </c>
      <c r="C1498" s="4">
        <f>'Raw data'!E1407</f>
        <v>0</v>
      </c>
      <c r="D1498" s="29" t="e">
        <f>VLOOKUP(C1498,'점포코드 '!A:B,2,0)</f>
        <v>#N/A</v>
      </c>
      <c r="E1498" s="30">
        <f>'Raw data'!P1407</f>
        <v>0</v>
      </c>
      <c r="F1498" s="29" t="e">
        <f>VLOOKUP(E1498,'점포코드 '!A:B,2,0)</f>
        <v>#N/A</v>
      </c>
      <c r="G1498" s="46">
        <f>'Raw data'!F1407</f>
        <v>0</v>
      </c>
      <c r="H1498" s="4">
        <f>'Raw data'!G1407</f>
        <v>0</v>
      </c>
      <c r="I1498" s="29" t="e">
        <f>VLOOKUP(G1498,제품명!$C$1:$E$114,2,0)</f>
        <v>#N/A</v>
      </c>
      <c r="J1498" s="29">
        <f>'Raw data'!K1407</f>
        <v>0</v>
      </c>
      <c r="K1498" s="31">
        <f>'Raw data'!H1407</f>
        <v>0</v>
      </c>
      <c r="L1498" s="26">
        <f t="shared" si="50"/>
        <v>0</v>
      </c>
    </row>
    <row r="1499" spans="2:12">
      <c r="B1499" s="4" t="e">
        <f t="shared" si="49"/>
        <v>#N/A</v>
      </c>
      <c r="C1499" s="4">
        <f>'Raw data'!E1408</f>
        <v>0</v>
      </c>
      <c r="D1499" s="29" t="e">
        <f>VLOOKUP(C1499,'점포코드 '!A:B,2,0)</f>
        <v>#N/A</v>
      </c>
      <c r="E1499" s="30">
        <f>'Raw data'!P1408</f>
        <v>0</v>
      </c>
      <c r="F1499" s="29" t="e">
        <f>VLOOKUP(E1499,'점포코드 '!A:B,2,0)</f>
        <v>#N/A</v>
      </c>
      <c r="G1499" s="46">
        <f>'Raw data'!F1408</f>
        <v>0</v>
      </c>
      <c r="H1499" s="4">
        <f>'Raw data'!G1408</f>
        <v>0</v>
      </c>
      <c r="I1499" s="29" t="e">
        <f>VLOOKUP(G1499,제품명!$C$1:$E$114,2,0)</f>
        <v>#N/A</v>
      </c>
      <c r="J1499" s="29">
        <f>'Raw data'!K1408</f>
        <v>0</v>
      </c>
      <c r="K1499" s="31">
        <f>'Raw data'!H1408</f>
        <v>0</v>
      </c>
      <c r="L1499" s="26">
        <f t="shared" si="50"/>
        <v>0</v>
      </c>
    </row>
    <row r="1500" spans="2:12">
      <c r="B1500" s="4" t="e">
        <f t="shared" si="49"/>
        <v>#N/A</v>
      </c>
      <c r="C1500" s="4">
        <f>'Raw data'!E1409</f>
        <v>0</v>
      </c>
      <c r="D1500" s="29" t="e">
        <f>VLOOKUP(C1500,'점포코드 '!A:B,2,0)</f>
        <v>#N/A</v>
      </c>
      <c r="E1500" s="30">
        <f>'Raw data'!P1409</f>
        <v>0</v>
      </c>
      <c r="F1500" s="29" t="e">
        <f>VLOOKUP(E1500,'점포코드 '!A:B,2,0)</f>
        <v>#N/A</v>
      </c>
      <c r="G1500" s="46">
        <f>'Raw data'!F1409</f>
        <v>0</v>
      </c>
      <c r="H1500" s="4">
        <f>'Raw data'!G1409</f>
        <v>0</v>
      </c>
      <c r="I1500" s="29" t="e">
        <f>VLOOKUP(G1500,제품명!$C$1:$E$114,2,0)</f>
        <v>#N/A</v>
      </c>
      <c r="J1500" s="29">
        <f>'Raw data'!K1409</f>
        <v>0</v>
      </c>
      <c r="K1500" s="31">
        <f>'Raw data'!H1409</f>
        <v>0</v>
      </c>
      <c r="L1500" s="26">
        <f t="shared" si="50"/>
        <v>0</v>
      </c>
    </row>
    <row r="1501" spans="2:12">
      <c r="B1501" s="4" t="e">
        <f t="shared" si="49"/>
        <v>#N/A</v>
      </c>
      <c r="C1501" s="4">
        <f>'Raw data'!E1410</f>
        <v>0</v>
      </c>
      <c r="D1501" s="29" t="e">
        <f>VLOOKUP(C1501,'점포코드 '!A:B,2,0)</f>
        <v>#N/A</v>
      </c>
      <c r="E1501" s="30">
        <f>'Raw data'!P1410</f>
        <v>0</v>
      </c>
      <c r="F1501" s="29" t="e">
        <f>VLOOKUP(E1501,'점포코드 '!A:B,2,0)</f>
        <v>#N/A</v>
      </c>
      <c r="G1501" s="46">
        <f>'Raw data'!F1410</f>
        <v>0</v>
      </c>
      <c r="H1501" s="4">
        <f>'Raw data'!G1410</f>
        <v>0</v>
      </c>
      <c r="I1501" s="29" t="e">
        <f>VLOOKUP(G1501,제품명!$C$1:$E$114,2,0)</f>
        <v>#N/A</v>
      </c>
      <c r="J1501" s="29">
        <f>'Raw data'!K1410</f>
        <v>0</v>
      </c>
      <c r="K1501" s="31">
        <f>'Raw data'!H1410</f>
        <v>0</v>
      </c>
      <c r="L1501" s="26">
        <f t="shared" si="50"/>
        <v>0</v>
      </c>
    </row>
    <row r="1502" spans="2:12">
      <c r="B1502" s="4" t="e">
        <f t="shared" si="49"/>
        <v>#N/A</v>
      </c>
      <c r="C1502" s="4">
        <f>'Raw data'!E1411</f>
        <v>0</v>
      </c>
      <c r="D1502" s="29" t="e">
        <f>VLOOKUP(C1502,'점포코드 '!A:B,2,0)</f>
        <v>#N/A</v>
      </c>
      <c r="E1502" s="30">
        <f>'Raw data'!P1411</f>
        <v>0</v>
      </c>
      <c r="F1502" s="29" t="e">
        <f>VLOOKUP(E1502,'점포코드 '!A:B,2,0)</f>
        <v>#N/A</v>
      </c>
      <c r="G1502" s="46">
        <f>'Raw data'!F1411</f>
        <v>0</v>
      </c>
      <c r="H1502" s="4">
        <f>'Raw data'!G1411</f>
        <v>0</v>
      </c>
      <c r="I1502" s="29" t="e">
        <f>VLOOKUP(G1502,제품명!$C$1:$E$114,2,0)</f>
        <v>#N/A</v>
      </c>
      <c r="J1502" s="29">
        <f>'Raw data'!K1411</f>
        <v>0</v>
      </c>
      <c r="K1502" s="31">
        <f>'Raw data'!H1411</f>
        <v>0</v>
      </c>
      <c r="L1502" s="26">
        <f t="shared" si="50"/>
        <v>0</v>
      </c>
    </row>
    <row r="1503" spans="2:12">
      <c r="B1503" s="4" t="e">
        <f t="shared" si="49"/>
        <v>#N/A</v>
      </c>
      <c r="C1503" s="4">
        <f>'Raw data'!E1412</f>
        <v>0</v>
      </c>
      <c r="D1503" s="29" t="e">
        <f>VLOOKUP(C1503,'점포코드 '!A:B,2,0)</f>
        <v>#N/A</v>
      </c>
      <c r="E1503" s="30">
        <f>'Raw data'!P1412</f>
        <v>0</v>
      </c>
      <c r="F1503" s="29" t="e">
        <f>VLOOKUP(E1503,'점포코드 '!A:B,2,0)</f>
        <v>#N/A</v>
      </c>
      <c r="G1503" s="46">
        <f>'Raw data'!F1412</f>
        <v>0</v>
      </c>
      <c r="H1503" s="4">
        <f>'Raw data'!G1412</f>
        <v>0</v>
      </c>
      <c r="I1503" s="29" t="e">
        <f>VLOOKUP(G1503,제품명!$C$1:$E$114,2,0)</f>
        <v>#N/A</v>
      </c>
      <c r="J1503" s="29">
        <f>'Raw data'!K1412</f>
        <v>0</v>
      </c>
      <c r="K1503" s="31">
        <f>'Raw data'!H1412</f>
        <v>0</v>
      </c>
      <c r="L1503" s="26">
        <f t="shared" si="50"/>
        <v>0</v>
      </c>
    </row>
    <row r="1504" spans="2:12">
      <c r="B1504" s="4" t="e">
        <f t="shared" si="49"/>
        <v>#N/A</v>
      </c>
      <c r="C1504" s="4">
        <f>'Raw data'!E1413</f>
        <v>0</v>
      </c>
      <c r="D1504" s="29" t="e">
        <f>VLOOKUP(C1504,'점포코드 '!A:B,2,0)</f>
        <v>#N/A</v>
      </c>
      <c r="E1504" s="30">
        <f>'Raw data'!P1413</f>
        <v>0</v>
      </c>
      <c r="F1504" s="29" t="e">
        <f>VLOOKUP(E1504,'점포코드 '!A:B,2,0)</f>
        <v>#N/A</v>
      </c>
      <c r="G1504" s="46">
        <f>'Raw data'!F1413</f>
        <v>0</v>
      </c>
      <c r="H1504" s="4">
        <f>'Raw data'!G1413</f>
        <v>0</v>
      </c>
      <c r="I1504" s="29" t="e">
        <f>VLOOKUP(G1504,제품명!$C$1:$E$114,2,0)</f>
        <v>#N/A</v>
      </c>
      <c r="J1504" s="29">
        <f>'Raw data'!K1413</f>
        <v>0</v>
      </c>
      <c r="K1504" s="31">
        <f>'Raw data'!H1413</f>
        <v>0</v>
      </c>
      <c r="L1504" s="26">
        <f t="shared" si="50"/>
        <v>0</v>
      </c>
    </row>
    <row r="1505" spans="2:12">
      <c r="B1505" s="4" t="e">
        <f t="shared" si="49"/>
        <v>#N/A</v>
      </c>
      <c r="C1505" s="4">
        <f>'Raw data'!E1414</f>
        <v>0</v>
      </c>
      <c r="D1505" s="29" t="e">
        <f>VLOOKUP(C1505,'점포코드 '!A:B,2,0)</f>
        <v>#N/A</v>
      </c>
      <c r="E1505" s="30">
        <f>'Raw data'!P1414</f>
        <v>0</v>
      </c>
      <c r="F1505" s="29" t="e">
        <f>VLOOKUP(E1505,'점포코드 '!A:B,2,0)</f>
        <v>#N/A</v>
      </c>
      <c r="G1505" s="46">
        <f>'Raw data'!F1414</f>
        <v>0</v>
      </c>
      <c r="H1505" s="4">
        <f>'Raw data'!G1414</f>
        <v>0</v>
      </c>
      <c r="I1505" s="29" t="e">
        <f>VLOOKUP(G1505,제품명!$C$1:$E$114,2,0)</f>
        <v>#N/A</v>
      </c>
      <c r="J1505" s="29">
        <f>'Raw data'!K1414</f>
        <v>0</v>
      </c>
      <c r="K1505" s="31">
        <f>'Raw data'!H1414</f>
        <v>0</v>
      </c>
      <c r="L1505" s="26">
        <f t="shared" si="50"/>
        <v>0</v>
      </c>
    </row>
    <row r="1506" spans="2:12">
      <c r="B1506" s="4" t="e">
        <f t="shared" si="49"/>
        <v>#N/A</v>
      </c>
      <c r="C1506" s="4">
        <f>'Raw data'!E1415</f>
        <v>0</v>
      </c>
      <c r="D1506" s="29" t="e">
        <f>VLOOKUP(C1506,'점포코드 '!A:B,2,0)</f>
        <v>#N/A</v>
      </c>
      <c r="E1506" s="30">
        <f>'Raw data'!P1415</f>
        <v>0</v>
      </c>
      <c r="F1506" s="29" t="e">
        <f>VLOOKUP(E1506,'점포코드 '!A:B,2,0)</f>
        <v>#N/A</v>
      </c>
      <c r="G1506" s="46">
        <f>'Raw data'!F1415</f>
        <v>0</v>
      </c>
      <c r="H1506" s="4">
        <f>'Raw data'!G1415</f>
        <v>0</v>
      </c>
      <c r="I1506" s="29" t="e">
        <f>VLOOKUP(G1506,제품명!$C$1:$E$114,2,0)</f>
        <v>#N/A</v>
      </c>
      <c r="J1506" s="29">
        <f>'Raw data'!K1415</f>
        <v>0</v>
      </c>
      <c r="K1506" s="31">
        <f>'Raw data'!H1415</f>
        <v>0</v>
      </c>
      <c r="L1506" s="26">
        <f t="shared" si="50"/>
        <v>0</v>
      </c>
    </row>
    <row r="1507" spans="2:12">
      <c r="B1507" s="4" t="e">
        <f t="shared" si="49"/>
        <v>#N/A</v>
      </c>
      <c r="C1507" s="4">
        <f>'Raw data'!E1416</f>
        <v>0</v>
      </c>
      <c r="D1507" s="29" t="e">
        <f>VLOOKUP(C1507,'점포코드 '!A:B,2,0)</f>
        <v>#N/A</v>
      </c>
      <c r="E1507" s="30">
        <f>'Raw data'!P1416</f>
        <v>0</v>
      </c>
      <c r="F1507" s="29" t="e">
        <f>VLOOKUP(E1507,'점포코드 '!A:B,2,0)</f>
        <v>#N/A</v>
      </c>
      <c r="G1507" s="46">
        <f>'Raw data'!F1416</f>
        <v>0</v>
      </c>
      <c r="H1507" s="4">
        <f>'Raw data'!G1416</f>
        <v>0</v>
      </c>
      <c r="I1507" s="29" t="e">
        <f>VLOOKUP(G1507,제품명!$C$1:$E$114,2,0)</f>
        <v>#N/A</v>
      </c>
      <c r="J1507" s="29">
        <f>'Raw data'!K1416</f>
        <v>0</v>
      </c>
      <c r="K1507" s="31">
        <f>'Raw data'!H1416</f>
        <v>0</v>
      </c>
      <c r="L1507" s="26">
        <f t="shared" si="50"/>
        <v>0</v>
      </c>
    </row>
    <row r="1508" spans="2:12">
      <c r="B1508" s="4" t="e">
        <f t="shared" si="49"/>
        <v>#N/A</v>
      </c>
      <c r="C1508" s="4">
        <f>'Raw data'!E1417</f>
        <v>0</v>
      </c>
      <c r="D1508" s="29" t="e">
        <f>VLOOKUP(C1508,'점포코드 '!A:B,2,0)</f>
        <v>#N/A</v>
      </c>
      <c r="E1508" s="30">
        <f>'Raw data'!P1417</f>
        <v>0</v>
      </c>
      <c r="F1508" s="29" t="e">
        <f>VLOOKUP(E1508,'점포코드 '!A:B,2,0)</f>
        <v>#N/A</v>
      </c>
      <c r="G1508" s="46">
        <f>'Raw data'!F1417</f>
        <v>0</v>
      </c>
      <c r="H1508" s="4">
        <f>'Raw data'!G1417</f>
        <v>0</v>
      </c>
      <c r="I1508" s="29" t="e">
        <f>VLOOKUP(G1508,제품명!$C$1:$E$114,2,0)</f>
        <v>#N/A</v>
      </c>
      <c r="J1508" s="29">
        <f>'Raw data'!K1417</f>
        <v>0</v>
      </c>
      <c r="K1508" s="31">
        <f>'Raw data'!H1417</f>
        <v>0</v>
      </c>
      <c r="L1508" s="26">
        <f t="shared" si="50"/>
        <v>0</v>
      </c>
    </row>
    <row r="1509" spans="2:12">
      <c r="B1509" s="4" t="e">
        <f t="shared" si="49"/>
        <v>#N/A</v>
      </c>
      <c r="C1509" s="4">
        <f>'Raw data'!E1418</f>
        <v>0</v>
      </c>
      <c r="D1509" s="29" t="e">
        <f>VLOOKUP(C1509,'점포코드 '!A:B,2,0)</f>
        <v>#N/A</v>
      </c>
      <c r="E1509" s="30">
        <f>'Raw data'!P1418</f>
        <v>0</v>
      </c>
      <c r="F1509" s="29" t="e">
        <f>VLOOKUP(E1509,'점포코드 '!A:B,2,0)</f>
        <v>#N/A</v>
      </c>
      <c r="G1509" s="46">
        <f>'Raw data'!F1418</f>
        <v>0</v>
      </c>
      <c r="H1509" s="4">
        <f>'Raw data'!G1418</f>
        <v>0</v>
      </c>
      <c r="I1509" s="29" t="e">
        <f>VLOOKUP(G1509,제품명!$C$1:$E$114,2,0)</f>
        <v>#N/A</v>
      </c>
      <c r="J1509" s="29">
        <f>'Raw data'!K1418</f>
        <v>0</v>
      </c>
      <c r="K1509" s="31">
        <f>'Raw data'!H1418</f>
        <v>0</v>
      </c>
      <c r="L1509" s="26">
        <f t="shared" si="50"/>
        <v>0</v>
      </c>
    </row>
    <row r="1510" spans="2:12">
      <c r="B1510" s="4" t="e">
        <f t="shared" si="49"/>
        <v>#N/A</v>
      </c>
      <c r="C1510" s="4">
        <f>'Raw data'!E1419</f>
        <v>0</v>
      </c>
      <c r="D1510" s="29" t="e">
        <f>VLOOKUP(C1510,'점포코드 '!A:B,2,0)</f>
        <v>#N/A</v>
      </c>
      <c r="E1510" s="30">
        <f>'Raw data'!P1419</f>
        <v>0</v>
      </c>
      <c r="F1510" s="29" t="e">
        <f>VLOOKUP(E1510,'점포코드 '!A:B,2,0)</f>
        <v>#N/A</v>
      </c>
      <c r="G1510" s="46">
        <f>'Raw data'!F1419</f>
        <v>0</v>
      </c>
      <c r="H1510" s="4">
        <f>'Raw data'!G1419</f>
        <v>0</v>
      </c>
      <c r="I1510" s="29" t="e">
        <f>VLOOKUP(G1510,제품명!$C$1:$E$114,2,0)</f>
        <v>#N/A</v>
      </c>
      <c r="J1510" s="29">
        <f>'Raw data'!K1419</f>
        <v>0</v>
      </c>
      <c r="K1510" s="31">
        <f>'Raw data'!H1419</f>
        <v>0</v>
      </c>
      <c r="L1510" s="26">
        <f t="shared" si="50"/>
        <v>0</v>
      </c>
    </row>
    <row r="1511" spans="2:12">
      <c r="B1511" s="4" t="e">
        <f t="shared" si="49"/>
        <v>#N/A</v>
      </c>
      <c r="C1511" s="4">
        <f>'Raw data'!E1420</f>
        <v>0</v>
      </c>
      <c r="D1511" s="29" t="e">
        <f>VLOOKUP(C1511,'점포코드 '!A:B,2,0)</f>
        <v>#N/A</v>
      </c>
      <c r="E1511" s="30">
        <f>'Raw data'!P1420</f>
        <v>0</v>
      </c>
      <c r="F1511" s="29" t="e">
        <f>VLOOKUP(E1511,'점포코드 '!A:B,2,0)</f>
        <v>#N/A</v>
      </c>
      <c r="G1511" s="46">
        <f>'Raw data'!F1420</f>
        <v>0</v>
      </c>
      <c r="H1511" s="4">
        <f>'Raw data'!G1420</f>
        <v>0</v>
      </c>
      <c r="I1511" s="29" t="e">
        <f>VLOOKUP(G1511,제품명!$C$1:$E$114,2,0)</f>
        <v>#N/A</v>
      </c>
      <c r="J1511" s="29">
        <f>'Raw data'!K1420</f>
        <v>0</v>
      </c>
      <c r="K1511" s="31">
        <f>'Raw data'!H1420</f>
        <v>0</v>
      </c>
      <c r="L1511" s="26">
        <f t="shared" si="50"/>
        <v>0</v>
      </c>
    </row>
    <row r="1512" spans="2:12">
      <c r="B1512" s="4" t="e">
        <f t="shared" si="49"/>
        <v>#N/A</v>
      </c>
      <c r="C1512" s="4">
        <f>'Raw data'!E1421</f>
        <v>0</v>
      </c>
      <c r="D1512" s="29" t="e">
        <f>VLOOKUP(C1512,'점포코드 '!A:B,2,0)</f>
        <v>#N/A</v>
      </c>
      <c r="E1512" s="30">
        <f>'Raw data'!P1421</f>
        <v>0</v>
      </c>
      <c r="F1512" s="29" t="e">
        <f>VLOOKUP(E1512,'점포코드 '!A:B,2,0)</f>
        <v>#N/A</v>
      </c>
      <c r="G1512" s="46">
        <f>'Raw data'!F1421</f>
        <v>0</v>
      </c>
      <c r="H1512" s="4">
        <f>'Raw data'!G1421</f>
        <v>0</v>
      </c>
      <c r="I1512" s="29" t="e">
        <f>VLOOKUP(G1512,제품명!$C$1:$E$114,2,0)</f>
        <v>#N/A</v>
      </c>
      <c r="J1512" s="29">
        <f>'Raw data'!K1421</f>
        <v>0</v>
      </c>
      <c r="K1512" s="31">
        <f>'Raw data'!H1421</f>
        <v>0</v>
      </c>
      <c r="L1512" s="26">
        <f t="shared" si="50"/>
        <v>0</v>
      </c>
    </row>
    <row r="1513" spans="2:12">
      <c r="B1513" s="4" t="e">
        <f t="shared" si="49"/>
        <v>#N/A</v>
      </c>
      <c r="C1513" s="4">
        <f>'Raw data'!E1422</f>
        <v>0</v>
      </c>
      <c r="D1513" s="29" t="e">
        <f>VLOOKUP(C1513,'점포코드 '!A:B,2,0)</f>
        <v>#N/A</v>
      </c>
      <c r="E1513" s="30">
        <f>'Raw data'!P1422</f>
        <v>0</v>
      </c>
      <c r="F1513" s="29" t="e">
        <f>VLOOKUP(E1513,'점포코드 '!A:B,2,0)</f>
        <v>#N/A</v>
      </c>
      <c r="G1513" s="46">
        <f>'Raw data'!F1422</f>
        <v>0</v>
      </c>
      <c r="H1513" s="4">
        <f>'Raw data'!G1422</f>
        <v>0</v>
      </c>
      <c r="I1513" s="29" t="e">
        <f>VLOOKUP(G1513,제품명!$C$1:$E$114,2,0)</f>
        <v>#N/A</v>
      </c>
      <c r="J1513" s="29">
        <f>'Raw data'!K1422</f>
        <v>0</v>
      </c>
      <c r="K1513" s="31">
        <f>'Raw data'!H1422</f>
        <v>0</v>
      </c>
      <c r="L1513" s="26">
        <f t="shared" si="50"/>
        <v>0</v>
      </c>
    </row>
    <row r="1514" spans="2:12">
      <c r="B1514" s="4" t="e">
        <f t="shared" si="49"/>
        <v>#N/A</v>
      </c>
      <c r="C1514" s="4">
        <f>'Raw data'!E1423</f>
        <v>0</v>
      </c>
      <c r="D1514" s="29" t="e">
        <f>VLOOKUP(C1514,'점포코드 '!A:B,2,0)</f>
        <v>#N/A</v>
      </c>
      <c r="E1514" s="30">
        <f>'Raw data'!P1423</f>
        <v>0</v>
      </c>
      <c r="F1514" s="29" t="e">
        <f>VLOOKUP(E1514,'점포코드 '!A:B,2,0)</f>
        <v>#N/A</v>
      </c>
      <c r="G1514" s="46">
        <f>'Raw data'!F1423</f>
        <v>0</v>
      </c>
      <c r="H1514" s="4">
        <f>'Raw data'!G1423</f>
        <v>0</v>
      </c>
      <c r="I1514" s="29" t="e">
        <f>VLOOKUP(G1514,제품명!$C$1:$E$114,2,0)</f>
        <v>#N/A</v>
      </c>
      <c r="J1514" s="29">
        <f>'Raw data'!K1423</f>
        <v>0</v>
      </c>
      <c r="K1514" s="31">
        <f>'Raw data'!H1423</f>
        <v>0</v>
      </c>
      <c r="L1514" s="26">
        <f t="shared" si="50"/>
        <v>0</v>
      </c>
    </row>
    <row r="1515" spans="2:12">
      <c r="B1515" s="4" t="e">
        <f t="shared" si="49"/>
        <v>#N/A</v>
      </c>
      <c r="C1515" s="4">
        <f>'Raw data'!E1424</f>
        <v>0</v>
      </c>
      <c r="D1515" s="29" t="e">
        <f>VLOOKUP(C1515,'점포코드 '!A:B,2,0)</f>
        <v>#N/A</v>
      </c>
      <c r="E1515" s="30">
        <f>'Raw data'!P1424</f>
        <v>0</v>
      </c>
      <c r="F1515" s="29" t="e">
        <f>VLOOKUP(E1515,'점포코드 '!A:B,2,0)</f>
        <v>#N/A</v>
      </c>
      <c r="G1515" s="46">
        <f>'Raw data'!F1424</f>
        <v>0</v>
      </c>
      <c r="H1515" s="4">
        <f>'Raw data'!G1424</f>
        <v>0</v>
      </c>
      <c r="I1515" s="29" t="e">
        <f>VLOOKUP(G1515,제품명!$C$1:$E$114,2,0)</f>
        <v>#N/A</v>
      </c>
      <c r="J1515" s="29">
        <f>'Raw data'!K1424</f>
        <v>0</v>
      </c>
      <c r="K1515" s="31">
        <f>'Raw data'!H1424</f>
        <v>0</v>
      </c>
      <c r="L1515" s="26">
        <f t="shared" si="50"/>
        <v>0</v>
      </c>
    </row>
    <row r="1516" spans="2:12">
      <c r="B1516" s="4" t="e">
        <f t="shared" si="49"/>
        <v>#N/A</v>
      </c>
      <c r="C1516" s="4">
        <f>'Raw data'!E1425</f>
        <v>0</v>
      </c>
      <c r="D1516" s="29" t="e">
        <f>VLOOKUP(C1516,'점포코드 '!A:B,2,0)</f>
        <v>#N/A</v>
      </c>
      <c r="E1516" s="30">
        <f>'Raw data'!P1425</f>
        <v>0</v>
      </c>
      <c r="F1516" s="29" t="e">
        <f>VLOOKUP(E1516,'점포코드 '!A:B,2,0)</f>
        <v>#N/A</v>
      </c>
      <c r="G1516" s="46">
        <f>'Raw data'!F1425</f>
        <v>0</v>
      </c>
      <c r="H1516" s="4">
        <f>'Raw data'!G1425</f>
        <v>0</v>
      </c>
      <c r="I1516" s="29" t="e">
        <f>VLOOKUP(G1516,제품명!$C$1:$E$114,2,0)</f>
        <v>#N/A</v>
      </c>
      <c r="J1516" s="29">
        <f>'Raw data'!K1425</f>
        <v>0</v>
      </c>
      <c r="K1516" s="31">
        <f>'Raw data'!H1425</f>
        <v>0</v>
      </c>
      <c r="L1516" s="26">
        <f t="shared" si="50"/>
        <v>0</v>
      </c>
    </row>
    <row r="1517" spans="2:12">
      <c r="B1517" s="4" t="e">
        <f t="shared" si="49"/>
        <v>#N/A</v>
      </c>
      <c r="C1517" s="4">
        <f>'Raw data'!E1426</f>
        <v>0</v>
      </c>
      <c r="D1517" s="29" t="e">
        <f>VLOOKUP(C1517,'점포코드 '!A:B,2,0)</f>
        <v>#N/A</v>
      </c>
      <c r="E1517" s="30">
        <f>'Raw data'!P1426</f>
        <v>0</v>
      </c>
      <c r="F1517" s="29" t="e">
        <f>VLOOKUP(E1517,'점포코드 '!A:B,2,0)</f>
        <v>#N/A</v>
      </c>
      <c r="G1517" s="46">
        <f>'Raw data'!F1426</f>
        <v>0</v>
      </c>
      <c r="H1517" s="4">
        <f>'Raw data'!G1426</f>
        <v>0</v>
      </c>
      <c r="I1517" s="29" t="e">
        <f>VLOOKUP(G1517,제품명!$C$1:$E$114,2,0)</f>
        <v>#N/A</v>
      </c>
      <c r="J1517" s="29">
        <f>'Raw data'!K1426</f>
        <v>0</v>
      </c>
      <c r="K1517" s="31">
        <f>'Raw data'!H1426</f>
        <v>0</v>
      </c>
      <c r="L1517" s="26">
        <f t="shared" si="50"/>
        <v>0</v>
      </c>
    </row>
    <row r="1518" spans="2:12">
      <c r="B1518" s="4" t="e">
        <f t="shared" si="49"/>
        <v>#N/A</v>
      </c>
      <c r="C1518" s="4">
        <f>'Raw data'!E1427</f>
        <v>0</v>
      </c>
      <c r="D1518" s="29" t="e">
        <f>VLOOKUP(C1518,'점포코드 '!A:B,2,0)</f>
        <v>#N/A</v>
      </c>
      <c r="E1518" s="30">
        <f>'Raw data'!P1427</f>
        <v>0</v>
      </c>
      <c r="F1518" s="29" t="e">
        <f>VLOOKUP(E1518,'점포코드 '!A:B,2,0)</f>
        <v>#N/A</v>
      </c>
      <c r="G1518" s="46">
        <f>'Raw data'!F1427</f>
        <v>0</v>
      </c>
      <c r="H1518" s="4">
        <f>'Raw data'!G1427</f>
        <v>0</v>
      </c>
      <c r="I1518" s="29" t="e">
        <f>VLOOKUP(G1518,제품명!$C$1:$E$114,2,0)</f>
        <v>#N/A</v>
      </c>
      <c r="J1518" s="29">
        <f>'Raw data'!K1427</f>
        <v>0</v>
      </c>
      <c r="K1518" s="31">
        <f>'Raw data'!H1427</f>
        <v>0</v>
      </c>
      <c r="L1518" s="26">
        <f t="shared" si="50"/>
        <v>0</v>
      </c>
    </row>
    <row r="1519" spans="2:12">
      <c r="B1519" s="4" t="e">
        <f t="shared" si="49"/>
        <v>#N/A</v>
      </c>
      <c r="C1519" s="4">
        <f>'Raw data'!E1428</f>
        <v>0</v>
      </c>
      <c r="D1519" s="29" t="e">
        <f>VLOOKUP(C1519,'점포코드 '!A:B,2,0)</f>
        <v>#N/A</v>
      </c>
      <c r="E1519" s="30">
        <f>'Raw data'!P1428</f>
        <v>0</v>
      </c>
      <c r="F1519" s="29" t="e">
        <f>VLOOKUP(E1519,'점포코드 '!A:B,2,0)</f>
        <v>#N/A</v>
      </c>
      <c r="G1519" s="46">
        <f>'Raw data'!F1428</f>
        <v>0</v>
      </c>
      <c r="H1519" s="4">
        <f>'Raw data'!G1428</f>
        <v>0</v>
      </c>
      <c r="I1519" s="29" t="e">
        <f>VLOOKUP(G1519,제품명!$C$1:$E$114,2,0)</f>
        <v>#N/A</v>
      </c>
      <c r="J1519" s="29">
        <f>'Raw data'!K1428</f>
        <v>0</v>
      </c>
      <c r="K1519" s="31">
        <f>'Raw data'!H1428</f>
        <v>0</v>
      </c>
      <c r="L1519" s="26">
        <f t="shared" si="50"/>
        <v>0</v>
      </c>
    </row>
    <row r="1520" spans="2:12">
      <c r="B1520" s="4" t="e">
        <f t="shared" si="49"/>
        <v>#N/A</v>
      </c>
      <c r="C1520" s="4">
        <f>'Raw data'!E1429</f>
        <v>0</v>
      </c>
      <c r="D1520" s="29" t="e">
        <f>VLOOKUP(C1520,'점포코드 '!A:B,2,0)</f>
        <v>#N/A</v>
      </c>
      <c r="E1520" s="30">
        <f>'Raw data'!P1429</f>
        <v>0</v>
      </c>
      <c r="F1520" s="29" t="e">
        <f>VLOOKUP(E1520,'점포코드 '!A:B,2,0)</f>
        <v>#N/A</v>
      </c>
      <c r="G1520" s="46">
        <f>'Raw data'!F1429</f>
        <v>0</v>
      </c>
      <c r="H1520" s="4">
        <f>'Raw data'!G1429</f>
        <v>0</v>
      </c>
      <c r="I1520" s="29" t="e">
        <f>VLOOKUP(G1520,제품명!$C$1:$E$114,2,0)</f>
        <v>#N/A</v>
      </c>
      <c r="J1520" s="29">
        <f>'Raw data'!K1429</f>
        <v>0</v>
      </c>
      <c r="K1520" s="31">
        <f>'Raw data'!H1429</f>
        <v>0</v>
      </c>
      <c r="L1520" s="26">
        <f t="shared" si="50"/>
        <v>0</v>
      </c>
    </row>
    <row r="1521" spans="2:12">
      <c r="B1521" s="4" t="e">
        <f t="shared" si="49"/>
        <v>#N/A</v>
      </c>
      <c r="C1521" s="4">
        <f>'Raw data'!E1430</f>
        <v>0</v>
      </c>
      <c r="D1521" s="29" t="e">
        <f>VLOOKUP(C1521,'점포코드 '!A:B,2,0)</f>
        <v>#N/A</v>
      </c>
      <c r="E1521" s="30">
        <f>'Raw data'!P1430</f>
        <v>0</v>
      </c>
      <c r="F1521" s="29" t="e">
        <f>VLOOKUP(E1521,'점포코드 '!A:B,2,0)</f>
        <v>#N/A</v>
      </c>
      <c r="G1521" s="46">
        <f>'Raw data'!F1430</f>
        <v>0</v>
      </c>
      <c r="H1521" s="4">
        <f>'Raw data'!G1430</f>
        <v>0</v>
      </c>
      <c r="I1521" s="29" t="e">
        <f>VLOOKUP(G1521,제품명!$C$1:$E$114,2,0)</f>
        <v>#N/A</v>
      </c>
      <c r="J1521" s="29">
        <f>'Raw data'!K1430</f>
        <v>0</v>
      </c>
      <c r="K1521" s="31">
        <f>'Raw data'!H1430</f>
        <v>0</v>
      </c>
      <c r="L1521" s="26">
        <f t="shared" si="50"/>
        <v>0</v>
      </c>
    </row>
    <row r="1522" spans="2:12">
      <c r="B1522" s="4" t="e">
        <f t="shared" si="49"/>
        <v>#N/A</v>
      </c>
      <c r="C1522" s="4">
        <f>'Raw data'!E1431</f>
        <v>0</v>
      </c>
      <c r="D1522" s="29" t="e">
        <f>VLOOKUP(C1522,'점포코드 '!A:B,2,0)</f>
        <v>#N/A</v>
      </c>
      <c r="E1522" s="30">
        <f>'Raw data'!P1431</f>
        <v>0</v>
      </c>
      <c r="F1522" s="29" t="e">
        <f>VLOOKUP(E1522,'점포코드 '!A:B,2,0)</f>
        <v>#N/A</v>
      </c>
      <c r="G1522" s="46">
        <f>'Raw data'!F1431</f>
        <v>0</v>
      </c>
      <c r="H1522" s="4">
        <f>'Raw data'!G1431</f>
        <v>0</v>
      </c>
      <c r="I1522" s="29" t="e">
        <f>VLOOKUP(G1522,제품명!$C$1:$E$114,2,0)</f>
        <v>#N/A</v>
      </c>
      <c r="J1522" s="29">
        <f>'Raw data'!K1431</f>
        <v>0</v>
      </c>
      <c r="K1522" s="31">
        <f>'Raw data'!H1431</f>
        <v>0</v>
      </c>
      <c r="L1522" s="26">
        <f t="shared" si="50"/>
        <v>0</v>
      </c>
    </row>
    <row r="1523" spans="2:12">
      <c r="B1523" s="4" t="e">
        <f t="shared" si="49"/>
        <v>#N/A</v>
      </c>
      <c r="C1523" s="4">
        <f>'Raw data'!E1432</f>
        <v>0</v>
      </c>
      <c r="D1523" s="29" t="e">
        <f>VLOOKUP(C1523,'점포코드 '!A:B,2,0)</f>
        <v>#N/A</v>
      </c>
      <c r="E1523" s="30">
        <f>'Raw data'!P1432</f>
        <v>0</v>
      </c>
      <c r="F1523" s="29" t="e">
        <f>VLOOKUP(E1523,'점포코드 '!A:B,2,0)</f>
        <v>#N/A</v>
      </c>
      <c r="G1523" s="46">
        <f>'Raw data'!F1432</f>
        <v>0</v>
      </c>
      <c r="H1523" s="4">
        <f>'Raw data'!G1432</f>
        <v>0</v>
      </c>
      <c r="I1523" s="29" t="e">
        <f>VLOOKUP(G1523,제품명!$C$1:$E$114,2,0)</f>
        <v>#N/A</v>
      </c>
      <c r="J1523" s="29">
        <f>'Raw data'!K1432</f>
        <v>0</v>
      </c>
      <c r="K1523" s="31">
        <f>'Raw data'!H1432</f>
        <v>0</v>
      </c>
      <c r="L1523" s="26">
        <f t="shared" si="50"/>
        <v>0</v>
      </c>
    </row>
    <row r="1524" spans="2:12">
      <c r="B1524" s="4" t="e">
        <f t="shared" si="49"/>
        <v>#N/A</v>
      </c>
      <c r="C1524" s="4">
        <f>'Raw data'!E1433</f>
        <v>0</v>
      </c>
      <c r="D1524" s="29" t="e">
        <f>VLOOKUP(C1524,'점포코드 '!A:B,2,0)</f>
        <v>#N/A</v>
      </c>
      <c r="E1524" s="30">
        <f>'Raw data'!P1433</f>
        <v>0</v>
      </c>
      <c r="F1524" s="29" t="e">
        <f>VLOOKUP(E1524,'점포코드 '!A:B,2,0)</f>
        <v>#N/A</v>
      </c>
      <c r="G1524" s="46">
        <f>'Raw data'!F1433</f>
        <v>0</v>
      </c>
      <c r="H1524" s="4">
        <f>'Raw data'!G1433</f>
        <v>0</v>
      </c>
      <c r="I1524" s="29" t="e">
        <f>VLOOKUP(G1524,제품명!$C$1:$E$114,2,0)</f>
        <v>#N/A</v>
      </c>
      <c r="J1524" s="29">
        <f>'Raw data'!K1433</f>
        <v>0</v>
      </c>
      <c r="K1524" s="31">
        <f>'Raw data'!H1433</f>
        <v>0</v>
      </c>
      <c r="L1524" s="26">
        <f t="shared" si="50"/>
        <v>0</v>
      </c>
    </row>
    <row r="1525" spans="2:12">
      <c r="B1525" s="4" t="e">
        <f t="shared" si="49"/>
        <v>#N/A</v>
      </c>
      <c r="C1525" s="4">
        <f>'Raw data'!E1434</f>
        <v>0</v>
      </c>
      <c r="D1525" s="29" t="e">
        <f>VLOOKUP(C1525,'점포코드 '!A:B,2,0)</f>
        <v>#N/A</v>
      </c>
      <c r="E1525" s="30">
        <f>'Raw data'!P1434</f>
        <v>0</v>
      </c>
      <c r="F1525" s="29" t="e">
        <f>VLOOKUP(E1525,'점포코드 '!A:B,2,0)</f>
        <v>#N/A</v>
      </c>
      <c r="G1525" s="46">
        <f>'Raw data'!F1434</f>
        <v>0</v>
      </c>
      <c r="H1525" s="4">
        <f>'Raw data'!G1434</f>
        <v>0</v>
      </c>
      <c r="I1525" s="29" t="e">
        <f>VLOOKUP(G1525,제품명!$C$1:$E$114,2,0)</f>
        <v>#N/A</v>
      </c>
      <c r="J1525" s="29">
        <f>'Raw data'!K1434</f>
        <v>0</v>
      </c>
      <c r="K1525" s="31">
        <f>'Raw data'!H1434</f>
        <v>0</v>
      </c>
      <c r="L1525" s="26">
        <f t="shared" si="50"/>
        <v>0</v>
      </c>
    </row>
    <row r="1526" spans="2:12">
      <c r="B1526" s="4" t="e">
        <f t="shared" si="49"/>
        <v>#N/A</v>
      </c>
      <c r="C1526" s="4">
        <f>'Raw data'!E1435</f>
        <v>0</v>
      </c>
      <c r="D1526" s="29" t="e">
        <f>VLOOKUP(C1526,'점포코드 '!A:B,2,0)</f>
        <v>#N/A</v>
      </c>
      <c r="E1526" s="30">
        <f>'Raw data'!P1435</f>
        <v>0</v>
      </c>
      <c r="F1526" s="29" t="e">
        <f>VLOOKUP(E1526,'점포코드 '!A:B,2,0)</f>
        <v>#N/A</v>
      </c>
      <c r="G1526" s="46">
        <f>'Raw data'!F1435</f>
        <v>0</v>
      </c>
      <c r="H1526" s="4">
        <f>'Raw data'!G1435</f>
        <v>0</v>
      </c>
      <c r="I1526" s="29" t="e">
        <f>VLOOKUP(G1526,제품명!$C$1:$E$114,2,0)</f>
        <v>#N/A</v>
      </c>
      <c r="J1526" s="29">
        <f>'Raw data'!K1435</f>
        <v>0</v>
      </c>
      <c r="K1526" s="31">
        <f>'Raw data'!H1435</f>
        <v>0</v>
      </c>
      <c r="L1526" s="26">
        <f t="shared" si="50"/>
        <v>0</v>
      </c>
    </row>
    <row r="1527" spans="2:12">
      <c r="B1527" s="4" t="e">
        <f t="shared" si="49"/>
        <v>#N/A</v>
      </c>
      <c r="C1527" s="4">
        <f>'Raw data'!E1436</f>
        <v>0</v>
      </c>
      <c r="D1527" s="29" t="e">
        <f>VLOOKUP(C1527,'점포코드 '!A:B,2,0)</f>
        <v>#N/A</v>
      </c>
      <c r="E1527" s="30">
        <f>'Raw data'!P1436</f>
        <v>0</v>
      </c>
      <c r="F1527" s="29" t="e">
        <f>VLOOKUP(E1527,'점포코드 '!A:B,2,0)</f>
        <v>#N/A</v>
      </c>
      <c r="G1527" s="46">
        <f>'Raw data'!F1436</f>
        <v>0</v>
      </c>
      <c r="H1527" s="4">
        <f>'Raw data'!G1436</f>
        <v>0</v>
      </c>
      <c r="I1527" s="29" t="e">
        <f>VLOOKUP(G1527,제품명!$C$1:$E$114,2,0)</f>
        <v>#N/A</v>
      </c>
      <c r="J1527" s="29">
        <f>'Raw data'!K1436</f>
        <v>0</v>
      </c>
      <c r="K1527" s="31">
        <f>'Raw data'!H1436</f>
        <v>0</v>
      </c>
      <c r="L1527" s="26">
        <f t="shared" si="50"/>
        <v>0</v>
      </c>
    </row>
    <row r="1528" spans="2:12">
      <c r="B1528" s="4" t="e">
        <f t="shared" si="49"/>
        <v>#N/A</v>
      </c>
      <c r="C1528" s="4">
        <f>'Raw data'!E1437</f>
        <v>0</v>
      </c>
      <c r="D1528" s="29" t="e">
        <f>VLOOKUP(C1528,'점포코드 '!A:B,2,0)</f>
        <v>#N/A</v>
      </c>
      <c r="E1528" s="30">
        <f>'Raw data'!P1437</f>
        <v>0</v>
      </c>
      <c r="F1528" s="29" t="e">
        <f>VLOOKUP(E1528,'점포코드 '!A:B,2,0)</f>
        <v>#N/A</v>
      </c>
      <c r="G1528" s="46">
        <f>'Raw data'!F1437</f>
        <v>0</v>
      </c>
      <c r="H1528" s="4">
        <f>'Raw data'!G1437</f>
        <v>0</v>
      </c>
      <c r="I1528" s="29" t="e">
        <f>VLOOKUP(G1528,제품명!$C$1:$E$114,2,0)</f>
        <v>#N/A</v>
      </c>
      <c r="J1528" s="29">
        <f>'Raw data'!K1437</f>
        <v>0</v>
      </c>
      <c r="K1528" s="31">
        <f>'Raw data'!H1437</f>
        <v>0</v>
      </c>
      <c r="L1528" s="26">
        <f t="shared" si="50"/>
        <v>0</v>
      </c>
    </row>
    <row r="1529" spans="2:12">
      <c r="B1529" s="4" t="e">
        <f t="shared" si="49"/>
        <v>#N/A</v>
      </c>
      <c r="C1529" s="4">
        <f>'Raw data'!E1438</f>
        <v>0</v>
      </c>
      <c r="D1529" s="29" t="e">
        <f>VLOOKUP(C1529,'점포코드 '!A:B,2,0)</f>
        <v>#N/A</v>
      </c>
      <c r="E1529" s="30">
        <f>'Raw data'!P1438</f>
        <v>0</v>
      </c>
      <c r="F1529" s="29" t="e">
        <f>VLOOKUP(E1529,'점포코드 '!A:B,2,0)</f>
        <v>#N/A</v>
      </c>
      <c r="G1529" s="46">
        <f>'Raw data'!F1438</f>
        <v>0</v>
      </c>
      <c r="H1529" s="4">
        <f>'Raw data'!G1438</f>
        <v>0</v>
      </c>
      <c r="I1529" s="29" t="e">
        <f>VLOOKUP(G1529,제품명!$C$1:$E$114,2,0)</f>
        <v>#N/A</v>
      </c>
      <c r="J1529" s="29">
        <f>'Raw data'!K1438</f>
        <v>0</v>
      </c>
      <c r="K1529" s="31">
        <f>'Raw data'!H1438</f>
        <v>0</v>
      </c>
      <c r="L1529" s="26">
        <f t="shared" si="50"/>
        <v>0</v>
      </c>
    </row>
    <row r="1530" spans="2:12">
      <c r="B1530" s="4" t="e">
        <f t="shared" si="49"/>
        <v>#N/A</v>
      </c>
      <c r="C1530" s="4">
        <f>'Raw data'!E1439</f>
        <v>0</v>
      </c>
      <c r="D1530" s="29" t="e">
        <f>VLOOKUP(C1530,'점포코드 '!A:B,2,0)</f>
        <v>#N/A</v>
      </c>
      <c r="E1530" s="30">
        <f>'Raw data'!P1439</f>
        <v>0</v>
      </c>
      <c r="F1530" s="29" t="e">
        <f>VLOOKUP(E1530,'점포코드 '!A:B,2,0)</f>
        <v>#N/A</v>
      </c>
      <c r="G1530" s="46">
        <f>'Raw data'!F1439</f>
        <v>0</v>
      </c>
      <c r="H1530" s="4">
        <f>'Raw data'!G1439</f>
        <v>0</v>
      </c>
      <c r="I1530" s="29" t="e">
        <f>VLOOKUP(G1530,제품명!$C$1:$E$114,2,0)</f>
        <v>#N/A</v>
      </c>
      <c r="J1530" s="29">
        <f>'Raw data'!K1439</f>
        <v>0</v>
      </c>
      <c r="K1530" s="31">
        <f>'Raw data'!H1439</f>
        <v>0</v>
      </c>
      <c r="L1530" s="26">
        <f t="shared" si="50"/>
        <v>0</v>
      </c>
    </row>
    <row r="1531" spans="2:12">
      <c r="B1531" s="4" t="e">
        <f t="shared" si="49"/>
        <v>#N/A</v>
      </c>
      <c r="C1531" s="4">
        <f>'Raw data'!E1440</f>
        <v>0</v>
      </c>
      <c r="D1531" s="29" t="e">
        <f>VLOOKUP(C1531,'점포코드 '!A:B,2,0)</f>
        <v>#N/A</v>
      </c>
      <c r="E1531" s="30">
        <f>'Raw data'!P1440</f>
        <v>0</v>
      </c>
      <c r="F1531" s="29" t="e">
        <f>VLOOKUP(E1531,'점포코드 '!A:B,2,0)</f>
        <v>#N/A</v>
      </c>
      <c r="G1531" s="46">
        <f>'Raw data'!F1440</f>
        <v>0</v>
      </c>
      <c r="H1531" s="4">
        <f>'Raw data'!G1440</f>
        <v>0</v>
      </c>
      <c r="I1531" s="29" t="e">
        <f>VLOOKUP(G1531,제품명!$C$1:$E$114,2,0)</f>
        <v>#N/A</v>
      </c>
      <c r="J1531" s="29">
        <f>'Raw data'!K1440</f>
        <v>0</v>
      </c>
      <c r="K1531" s="31">
        <f>'Raw data'!H1440</f>
        <v>0</v>
      </c>
      <c r="L1531" s="26">
        <f t="shared" si="50"/>
        <v>0</v>
      </c>
    </row>
    <row r="1532" spans="2:12">
      <c r="B1532" s="4" t="e">
        <f t="shared" si="49"/>
        <v>#N/A</v>
      </c>
      <c r="C1532" s="4">
        <f>'Raw data'!E1441</f>
        <v>0</v>
      </c>
      <c r="D1532" s="29" t="e">
        <f>VLOOKUP(C1532,'점포코드 '!A:B,2,0)</f>
        <v>#N/A</v>
      </c>
      <c r="E1532" s="30">
        <f>'Raw data'!P1441</f>
        <v>0</v>
      </c>
      <c r="F1532" s="29" t="e">
        <f>VLOOKUP(E1532,'점포코드 '!A:B,2,0)</f>
        <v>#N/A</v>
      </c>
      <c r="G1532" s="46">
        <f>'Raw data'!F1441</f>
        <v>0</v>
      </c>
      <c r="H1532" s="4">
        <f>'Raw data'!G1441</f>
        <v>0</v>
      </c>
      <c r="I1532" s="29" t="e">
        <f>VLOOKUP(G1532,제품명!$C$1:$E$114,2,0)</f>
        <v>#N/A</v>
      </c>
      <c r="J1532" s="29">
        <f>'Raw data'!K1441</f>
        <v>0</v>
      </c>
      <c r="K1532" s="31">
        <f>'Raw data'!H1441</f>
        <v>0</v>
      </c>
      <c r="L1532" s="26">
        <f t="shared" si="50"/>
        <v>0</v>
      </c>
    </row>
    <row r="1533" spans="2:12">
      <c r="B1533" s="4" t="e">
        <f t="shared" si="49"/>
        <v>#N/A</v>
      </c>
      <c r="C1533" s="4">
        <f>'Raw data'!E1442</f>
        <v>0</v>
      </c>
      <c r="D1533" s="29" t="e">
        <f>VLOOKUP(C1533,'점포코드 '!A:B,2,0)</f>
        <v>#N/A</v>
      </c>
      <c r="E1533" s="30">
        <f>'Raw data'!P1442</f>
        <v>0</v>
      </c>
      <c r="F1533" s="29" t="e">
        <f>VLOOKUP(E1533,'점포코드 '!A:B,2,0)</f>
        <v>#N/A</v>
      </c>
      <c r="G1533" s="46">
        <f>'Raw data'!F1442</f>
        <v>0</v>
      </c>
      <c r="H1533" s="4">
        <f>'Raw data'!G1442</f>
        <v>0</v>
      </c>
      <c r="I1533" s="29" t="e">
        <f>VLOOKUP(G1533,제품명!$C$1:$E$114,2,0)</f>
        <v>#N/A</v>
      </c>
      <c r="J1533" s="29">
        <f>'Raw data'!K1442</f>
        <v>0</v>
      </c>
      <c r="K1533" s="31">
        <f>'Raw data'!H1442</f>
        <v>0</v>
      </c>
      <c r="L1533" s="26">
        <f t="shared" si="50"/>
        <v>0</v>
      </c>
    </row>
    <row r="1534" spans="2:12">
      <c r="B1534" s="4" t="e">
        <f t="shared" si="49"/>
        <v>#N/A</v>
      </c>
      <c r="C1534" s="4">
        <f>'Raw data'!E1443</f>
        <v>0</v>
      </c>
      <c r="D1534" s="29" t="e">
        <f>VLOOKUP(C1534,'점포코드 '!A:B,2,0)</f>
        <v>#N/A</v>
      </c>
      <c r="E1534" s="30">
        <f>'Raw data'!P1443</f>
        <v>0</v>
      </c>
      <c r="F1534" s="29" t="e">
        <f>VLOOKUP(E1534,'점포코드 '!A:B,2,0)</f>
        <v>#N/A</v>
      </c>
      <c r="G1534" s="46">
        <f>'Raw data'!F1443</f>
        <v>0</v>
      </c>
      <c r="H1534" s="4">
        <f>'Raw data'!G1443</f>
        <v>0</v>
      </c>
      <c r="I1534" s="29" t="e">
        <f>VLOOKUP(G1534,제품명!$C$1:$E$114,2,0)</f>
        <v>#N/A</v>
      </c>
      <c r="J1534" s="29">
        <f>'Raw data'!K1443</f>
        <v>0</v>
      </c>
      <c r="K1534" s="31">
        <f>'Raw data'!H1443</f>
        <v>0</v>
      </c>
      <c r="L1534" s="26">
        <f t="shared" si="50"/>
        <v>0</v>
      </c>
    </row>
    <row r="1535" spans="2:12">
      <c r="B1535" s="4" t="e">
        <f t="shared" si="49"/>
        <v>#N/A</v>
      </c>
      <c r="C1535" s="4">
        <f>'Raw data'!E1444</f>
        <v>0</v>
      </c>
      <c r="D1535" s="29" t="e">
        <f>VLOOKUP(C1535,'점포코드 '!A:B,2,0)</f>
        <v>#N/A</v>
      </c>
      <c r="E1535" s="30">
        <f>'Raw data'!P1444</f>
        <v>0</v>
      </c>
      <c r="F1535" s="29" t="e">
        <f>VLOOKUP(E1535,'점포코드 '!A:B,2,0)</f>
        <v>#N/A</v>
      </c>
      <c r="G1535" s="46">
        <f>'Raw data'!F1444</f>
        <v>0</v>
      </c>
      <c r="H1535" s="4">
        <f>'Raw data'!G1444</f>
        <v>0</v>
      </c>
      <c r="I1535" s="29" t="e">
        <f>VLOOKUP(G1535,제품명!$C$1:$E$114,2,0)</f>
        <v>#N/A</v>
      </c>
      <c r="J1535" s="29">
        <f>'Raw data'!K1444</f>
        <v>0</v>
      </c>
      <c r="K1535" s="31">
        <f>'Raw data'!H1444</f>
        <v>0</v>
      </c>
      <c r="L1535" s="26">
        <f t="shared" si="50"/>
        <v>0</v>
      </c>
    </row>
    <row r="1536" spans="2:12">
      <c r="B1536" s="4" t="e">
        <f t="shared" si="49"/>
        <v>#N/A</v>
      </c>
      <c r="C1536" s="4">
        <f>'Raw data'!E1445</f>
        <v>0</v>
      </c>
      <c r="D1536" s="29" t="e">
        <f>VLOOKUP(C1536,'점포코드 '!A:B,2,0)</f>
        <v>#N/A</v>
      </c>
      <c r="E1536" s="30">
        <f>'Raw data'!P1445</f>
        <v>0</v>
      </c>
      <c r="F1536" s="29" t="e">
        <f>VLOOKUP(E1536,'점포코드 '!A:B,2,0)</f>
        <v>#N/A</v>
      </c>
      <c r="G1536" s="46">
        <f>'Raw data'!F1445</f>
        <v>0</v>
      </c>
      <c r="H1536" s="4">
        <f>'Raw data'!G1445</f>
        <v>0</v>
      </c>
      <c r="I1536" s="29" t="e">
        <f>VLOOKUP(G1536,제품명!$C$1:$E$114,2,0)</f>
        <v>#N/A</v>
      </c>
      <c r="J1536" s="29">
        <f>'Raw data'!K1445</f>
        <v>0</v>
      </c>
      <c r="K1536" s="31">
        <f>'Raw data'!H1445</f>
        <v>0</v>
      </c>
      <c r="L1536" s="26">
        <f t="shared" si="50"/>
        <v>0</v>
      </c>
    </row>
    <row r="1537" spans="2:12">
      <c r="B1537" s="4" t="e">
        <f t="shared" si="49"/>
        <v>#N/A</v>
      </c>
      <c r="C1537" s="4">
        <f>'Raw data'!E1446</f>
        <v>0</v>
      </c>
      <c r="D1537" s="29" t="e">
        <f>VLOOKUP(C1537,'점포코드 '!A:B,2,0)</f>
        <v>#N/A</v>
      </c>
      <c r="E1537" s="30">
        <f>'Raw data'!P1446</f>
        <v>0</v>
      </c>
      <c r="F1537" s="29" t="e">
        <f>VLOOKUP(E1537,'점포코드 '!A:B,2,0)</f>
        <v>#N/A</v>
      </c>
      <c r="G1537" s="46">
        <f>'Raw data'!F1446</f>
        <v>0</v>
      </c>
      <c r="H1537" s="4">
        <f>'Raw data'!G1446</f>
        <v>0</v>
      </c>
      <c r="I1537" s="29" t="e">
        <f>VLOOKUP(G1537,제품명!$C$1:$E$114,2,0)</f>
        <v>#N/A</v>
      </c>
      <c r="J1537" s="29">
        <f>'Raw data'!K1446</f>
        <v>0</v>
      </c>
      <c r="K1537" s="31">
        <f>'Raw data'!H1446</f>
        <v>0</v>
      </c>
      <c r="L1537" s="26">
        <f t="shared" si="50"/>
        <v>0</v>
      </c>
    </row>
    <row r="1538" spans="2:12">
      <c r="B1538" s="4" t="e">
        <f t="shared" ref="B1538:B1601" si="51">F1538&amp;I1538</f>
        <v>#N/A</v>
      </c>
      <c r="C1538" s="4">
        <f>'Raw data'!E1447</f>
        <v>0</v>
      </c>
      <c r="D1538" s="29" t="e">
        <f>VLOOKUP(C1538,'점포코드 '!A:B,2,0)</f>
        <v>#N/A</v>
      </c>
      <c r="E1538" s="30">
        <f>'Raw data'!P1447</f>
        <v>0</v>
      </c>
      <c r="F1538" s="29" t="e">
        <f>VLOOKUP(E1538,'점포코드 '!A:B,2,0)</f>
        <v>#N/A</v>
      </c>
      <c r="G1538" s="46">
        <f>'Raw data'!F1447</f>
        <v>0</v>
      </c>
      <c r="H1538" s="4">
        <f>'Raw data'!G1447</f>
        <v>0</v>
      </c>
      <c r="I1538" s="29" t="e">
        <f>VLOOKUP(G1538,제품명!$C$1:$E$114,2,0)</f>
        <v>#N/A</v>
      </c>
      <c r="J1538" s="29">
        <f>'Raw data'!K1447</f>
        <v>0</v>
      </c>
      <c r="K1538" s="31">
        <f>'Raw data'!H1447</f>
        <v>0</v>
      </c>
      <c r="L1538" s="26">
        <f t="shared" si="50"/>
        <v>0</v>
      </c>
    </row>
    <row r="1539" spans="2:12">
      <c r="B1539" s="4" t="e">
        <f t="shared" si="51"/>
        <v>#N/A</v>
      </c>
      <c r="C1539" s="4">
        <f>'Raw data'!E1448</f>
        <v>0</v>
      </c>
      <c r="D1539" s="29" t="e">
        <f>VLOOKUP(C1539,'점포코드 '!A:B,2,0)</f>
        <v>#N/A</v>
      </c>
      <c r="E1539" s="30">
        <f>'Raw data'!P1448</f>
        <v>0</v>
      </c>
      <c r="F1539" s="29" t="e">
        <f>VLOOKUP(E1539,'점포코드 '!A:B,2,0)</f>
        <v>#N/A</v>
      </c>
      <c r="G1539" s="46">
        <f>'Raw data'!F1448</f>
        <v>0</v>
      </c>
      <c r="H1539" s="4">
        <f>'Raw data'!G1448</f>
        <v>0</v>
      </c>
      <c r="I1539" s="29" t="e">
        <f>VLOOKUP(G1539,제품명!$C$1:$E$114,2,0)</f>
        <v>#N/A</v>
      </c>
      <c r="J1539" s="29">
        <f>'Raw data'!K1448</f>
        <v>0</v>
      </c>
      <c r="K1539" s="31">
        <f>'Raw data'!H1448</f>
        <v>0</v>
      </c>
      <c r="L1539" s="26">
        <f t="shared" ref="L1539:L1602" si="52">J1539*K1539</f>
        <v>0</v>
      </c>
    </row>
    <row r="1540" spans="2:12">
      <c r="B1540" s="4" t="e">
        <f t="shared" si="51"/>
        <v>#N/A</v>
      </c>
      <c r="C1540" s="4">
        <f>'Raw data'!E1449</f>
        <v>0</v>
      </c>
      <c r="D1540" s="29" t="e">
        <f>VLOOKUP(C1540,'점포코드 '!A:B,2,0)</f>
        <v>#N/A</v>
      </c>
      <c r="E1540" s="30">
        <f>'Raw data'!P1449</f>
        <v>0</v>
      </c>
      <c r="F1540" s="29" t="e">
        <f>VLOOKUP(E1540,'점포코드 '!A:B,2,0)</f>
        <v>#N/A</v>
      </c>
      <c r="G1540" s="46">
        <f>'Raw data'!F1449</f>
        <v>0</v>
      </c>
      <c r="H1540" s="4">
        <f>'Raw data'!G1449</f>
        <v>0</v>
      </c>
      <c r="I1540" s="29" t="e">
        <f>VLOOKUP(G1540,제품명!$C$1:$E$114,2,0)</f>
        <v>#N/A</v>
      </c>
      <c r="J1540" s="29">
        <f>'Raw data'!K1449</f>
        <v>0</v>
      </c>
      <c r="K1540" s="31">
        <f>'Raw data'!H1449</f>
        <v>0</v>
      </c>
      <c r="L1540" s="26">
        <f t="shared" si="52"/>
        <v>0</v>
      </c>
    </row>
    <row r="1541" spans="2:12">
      <c r="B1541" s="4" t="e">
        <f t="shared" si="51"/>
        <v>#N/A</v>
      </c>
      <c r="C1541" s="4">
        <f>'Raw data'!E1450</f>
        <v>0</v>
      </c>
      <c r="D1541" s="29" t="e">
        <f>VLOOKUP(C1541,'점포코드 '!A:B,2,0)</f>
        <v>#N/A</v>
      </c>
      <c r="E1541" s="30">
        <f>'Raw data'!P1450</f>
        <v>0</v>
      </c>
      <c r="F1541" s="29" t="e">
        <f>VLOOKUP(E1541,'점포코드 '!A:B,2,0)</f>
        <v>#N/A</v>
      </c>
      <c r="G1541" s="46">
        <f>'Raw data'!F1450</f>
        <v>0</v>
      </c>
      <c r="H1541" s="4">
        <f>'Raw data'!G1450</f>
        <v>0</v>
      </c>
      <c r="I1541" s="29" t="e">
        <f>VLOOKUP(G1541,제품명!$C$1:$E$114,2,0)</f>
        <v>#N/A</v>
      </c>
      <c r="J1541" s="29">
        <f>'Raw data'!K1450</f>
        <v>0</v>
      </c>
      <c r="K1541" s="31">
        <f>'Raw data'!H1450</f>
        <v>0</v>
      </c>
      <c r="L1541" s="26">
        <f t="shared" si="52"/>
        <v>0</v>
      </c>
    </row>
    <row r="1542" spans="2:12">
      <c r="B1542" s="4" t="e">
        <f t="shared" si="51"/>
        <v>#N/A</v>
      </c>
      <c r="C1542" s="4">
        <f>'Raw data'!E1451</f>
        <v>0</v>
      </c>
      <c r="D1542" s="29" t="e">
        <f>VLOOKUP(C1542,'점포코드 '!A:B,2,0)</f>
        <v>#N/A</v>
      </c>
      <c r="E1542" s="30">
        <f>'Raw data'!P1451</f>
        <v>0</v>
      </c>
      <c r="F1542" s="29" t="e">
        <f>VLOOKUP(E1542,'점포코드 '!A:B,2,0)</f>
        <v>#N/A</v>
      </c>
      <c r="G1542" s="46">
        <f>'Raw data'!F1451</f>
        <v>0</v>
      </c>
      <c r="H1542" s="4">
        <f>'Raw data'!G1451</f>
        <v>0</v>
      </c>
      <c r="I1542" s="29" t="e">
        <f>VLOOKUP(G1542,제품명!$C$1:$E$114,2,0)</f>
        <v>#N/A</v>
      </c>
      <c r="J1542" s="29">
        <f>'Raw data'!K1451</f>
        <v>0</v>
      </c>
      <c r="K1542" s="31">
        <f>'Raw data'!H1451</f>
        <v>0</v>
      </c>
      <c r="L1542" s="26">
        <f t="shared" si="52"/>
        <v>0</v>
      </c>
    </row>
    <row r="1543" spans="2:12">
      <c r="B1543" s="4" t="e">
        <f t="shared" si="51"/>
        <v>#N/A</v>
      </c>
      <c r="C1543" s="4">
        <f>'Raw data'!E1452</f>
        <v>0</v>
      </c>
      <c r="D1543" s="29" t="e">
        <f>VLOOKUP(C1543,'점포코드 '!A:B,2,0)</f>
        <v>#N/A</v>
      </c>
      <c r="E1543" s="30">
        <f>'Raw data'!P1452</f>
        <v>0</v>
      </c>
      <c r="F1543" s="29" t="e">
        <f>VLOOKUP(E1543,'점포코드 '!A:B,2,0)</f>
        <v>#N/A</v>
      </c>
      <c r="G1543" s="46">
        <f>'Raw data'!F1452</f>
        <v>0</v>
      </c>
      <c r="H1543" s="4">
        <f>'Raw data'!G1452</f>
        <v>0</v>
      </c>
      <c r="I1543" s="29" t="e">
        <f>VLOOKUP(G1543,제품명!$C$1:$E$114,2,0)</f>
        <v>#N/A</v>
      </c>
      <c r="J1543" s="29">
        <f>'Raw data'!K1452</f>
        <v>0</v>
      </c>
      <c r="K1543" s="31">
        <f>'Raw data'!H1452</f>
        <v>0</v>
      </c>
      <c r="L1543" s="26">
        <f t="shared" si="52"/>
        <v>0</v>
      </c>
    </row>
    <row r="1544" spans="2:12">
      <c r="B1544" s="4" t="e">
        <f t="shared" si="51"/>
        <v>#N/A</v>
      </c>
      <c r="C1544" s="4">
        <f>'Raw data'!E1453</f>
        <v>0</v>
      </c>
      <c r="D1544" s="29" t="e">
        <f>VLOOKUP(C1544,'점포코드 '!A:B,2,0)</f>
        <v>#N/A</v>
      </c>
      <c r="E1544" s="30">
        <f>'Raw data'!P1453</f>
        <v>0</v>
      </c>
      <c r="F1544" s="29" t="e">
        <f>VLOOKUP(E1544,'점포코드 '!A:B,2,0)</f>
        <v>#N/A</v>
      </c>
      <c r="G1544" s="46">
        <f>'Raw data'!F1453</f>
        <v>0</v>
      </c>
      <c r="H1544" s="4">
        <f>'Raw data'!G1453</f>
        <v>0</v>
      </c>
      <c r="I1544" s="29" t="e">
        <f>VLOOKUP(G1544,제품명!$C$1:$E$114,2,0)</f>
        <v>#N/A</v>
      </c>
      <c r="J1544" s="29">
        <f>'Raw data'!K1453</f>
        <v>0</v>
      </c>
      <c r="K1544" s="31">
        <f>'Raw data'!H1453</f>
        <v>0</v>
      </c>
      <c r="L1544" s="26">
        <f t="shared" si="52"/>
        <v>0</v>
      </c>
    </row>
    <row r="1545" spans="2:12">
      <c r="B1545" s="4" t="e">
        <f t="shared" si="51"/>
        <v>#N/A</v>
      </c>
      <c r="C1545" s="4">
        <f>'Raw data'!E1454</f>
        <v>0</v>
      </c>
      <c r="D1545" s="29" t="e">
        <f>VLOOKUP(C1545,'점포코드 '!A:B,2,0)</f>
        <v>#N/A</v>
      </c>
      <c r="E1545" s="30">
        <f>'Raw data'!P1454</f>
        <v>0</v>
      </c>
      <c r="F1545" s="29" t="e">
        <f>VLOOKUP(E1545,'점포코드 '!A:B,2,0)</f>
        <v>#N/A</v>
      </c>
      <c r="G1545" s="46">
        <f>'Raw data'!F1454</f>
        <v>0</v>
      </c>
      <c r="H1545" s="4">
        <f>'Raw data'!G1454</f>
        <v>0</v>
      </c>
      <c r="I1545" s="29" t="e">
        <f>VLOOKUP(G1545,제품명!$C$1:$E$114,2,0)</f>
        <v>#N/A</v>
      </c>
      <c r="J1545" s="29">
        <f>'Raw data'!K1454</f>
        <v>0</v>
      </c>
      <c r="K1545" s="31">
        <f>'Raw data'!H1454</f>
        <v>0</v>
      </c>
      <c r="L1545" s="26">
        <f t="shared" si="52"/>
        <v>0</v>
      </c>
    </row>
    <row r="1546" spans="2:12">
      <c r="B1546" s="4" t="e">
        <f t="shared" si="51"/>
        <v>#N/A</v>
      </c>
      <c r="C1546" s="4">
        <f>'Raw data'!E1455</f>
        <v>0</v>
      </c>
      <c r="D1546" s="29" t="e">
        <f>VLOOKUP(C1546,'점포코드 '!A:B,2,0)</f>
        <v>#N/A</v>
      </c>
      <c r="E1546" s="30">
        <f>'Raw data'!P1455</f>
        <v>0</v>
      </c>
      <c r="F1546" s="29" t="e">
        <f>VLOOKUP(E1546,'점포코드 '!A:B,2,0)</f>
        <v>#N/A</v>
      </c>
      <c r="G1546" s="46">
        <f>'Raw data'!F1455</f>
        <v>0</v>
      </c>
      <c r="H1546" s="4">
        <f>'Raw data'!G1455</f>
        <v>0</v>
      </c>
      <c r="I1546" s="29" t="e">
        <f>VLOOKUP(G1546,제품명!$C$1:$E$114,2,0)</f>
        <v>#N/A</v>
      </c>
      <c r="J1546" s="29">
        <f>'Raw data'!K1455</f>
        <v>0</v>
      </c>
      <c r="K1546" s="31">
        <f>'Raw data'!H1455</f>
        <v>0</v>
      </c>
      <c r="L1546" s="26">
        <f t="shared" si="52"/>
        <v>0</v>
      </c>
    </row>
    <row r="1547" spans="2:12">
      <c r="B1547" s="4" t="e">
        <f t="shared" si="51"/>
        <v>#N/A</v>
      </c>
      <c r="C1547" s="4">
        <f>'Raw data'!E1456</f>
        <v>0</v>
      </c>
      <c r="D1547" s="29" t="e">
        <f>VLOOKUP(C1547,'점포코드 '!A:B,2,0)</f>
        <v>#N/A</v>
      </c>
      <c r="E1547" s="30">
        <f>'Raw data'!P1456</f>
        <v>0</v>
      </c>
      <c r="F1547" s="29" t="e">
        <f>VLOOKUP(E1547,'점포코드 '!A:B,2,0)</f>
        <v>#N/A</v>
      </c>
      <c r="G1547" s="46">
        <f>'Raw data'!F1456</f>
        <v>0</v>
      </c>
      <c r="H1547" s="4">
        <f>'Raw data'!G1456</f>
        <v>0</v>
      </c>
      <c r="I1547" s="29" t="e">
        <f>VLOOKUP(G1547,제품명!$C$1:$E$114,2,0)</f>
        <v>#N/A</v>
      </c>
      <c r="J1547" s="29">
        <f>'Raw data'!K1456</f>
        <v>0</v>
      </c>
      <c r="K1547" s="31">
        <f>'Raw data'!H1456</f>
        <v>0</v>
      </c>
      <c r="L1547" s="26">
        <f t="shared" si="52"/>
        <v>0</v>
      </c>
    </row>
    <row r="1548" spans="2:12">
      <c r="B1548" s="4" t="e">
        <f t="shared" si="51"/>
        <v>#N/A</v>
      </c>
      <c r="C1548" s="4">
        <f>'Raw data'!E1457</f>
        <v>0</v>
      </c>
      <c r="D1548" s="29" t="e">
        <f>VLOOKUP(C1548,'점포코드 '!A:B,2,0)</f>
        <v>#N/A</v>
      </c>
      <c r="E1548" s="30">
        <f>'Raw data'!P1457</f>
        <v>0</v>
      </c>
      <c r="F1548" s="29" t="e">
        <f>VLOOKUP(E1548,'점포코드 '!A:B,2,0)</f>
        <v>#N/A</v>
      </c>
      <c r="G1548" s="46">
        <f>'Raw data'!F1457</f>
        <v>0</v>
      </c>
      <c r="H1548" s="4">
        <f>'Raw data'!G1457</f>
        <v>0</v>
      </c>
      <c r="I1548" s="29" t="e">
        <f>VLOOKUP(G1548,제품명!$C$1:$E$114,2,0)</f>
        <v>#N/A</v>
      </c>
      <c r="J1548" s="29">
        <f>'Raw data'!K1457</f>
        <v>0</v>
      </c>
      <c r="K1548" s="31">
        <f>'Raw data'!H1457</f>
        <v>0</v>
      </c>
      <c r="L1548" s="26">
        <f t="shared" si="52"/>
        <v>0</v>
      </c>
    </row>
    <row r="1549" spans="2:12">
      <c r="B1549" s="4" t="e">
        <f t="shared" si="51"/>
        <v>#N/A</v>
      </c>
      <c r="C1549" s="4">
        <f>'Raw data'!E1458</f>
        <v>0</v>
      </c>
      <c r="D1549" s="29" t="e">
        <f>VLOOKUP(C1549,'점포코드 '!A:B,2,0)</f>
        <v>#N/A</v>
      </c>
      <c r="E1549" s="30">
        <f>'Raw data'!P1458</f>
        <v>0</v>
      </c>
      <c r="F1549" s="29" t="e">
        <f>VLOOKUP(E1549,'점포코드 '!A:B,2,0)</f>
        <v>#N/A</v>
      </c>
      <c r="G1549" s="46">
        <f>'Raw data'!F1458</f>
        <v>0</v>
      </c>
      <c r="H1549" s="4">
        <f>'Raw data'!G1458</f>
        <v>0</v>
      </c>
      <c r="I1549" s="29" t="e">
        <f>VLOOKUP(G1549,제품명!$C$1:$E$114,2,0)</f>
        <v>#N/A</v>
      </c>
      <c r="J1549" s="29">
        <f>'Raw data'!K1458</f>
        <v>0</v>
      </c>
      <c r="K1549" s="31">
        <f>'Raw data'!H1458</f>
        <v>0</v>
      </c>
      <c r="L1549" s="26">
        <f t="shared" si="52"/>
        <v>0</v>
      </c>
    </row>
    <row r="1550" spans="2:12">
      <c r="B1550" s="4" t="e">
        <f t="shared" si="51"/>
        <v>#N/A</v>
      </c>
      <c r="C1550" s="4">
        <f>'Raw data'!E1459</f>
        <v>0</v>
      </c>
      <c r="D1550" s="29" t="e">
        <f>VLOOKUP(C1550,'점포코드 '!A:B,2,0)</f>
        <v>#N/A</v>
      </c>
      <c r="E1550" s="30">
        <f>'Raw data'!P1459</f>
        <v>0</v>
      </c>
      <c r="F1550" s="29" t="e">
        <f>VLOOKUP(E1550,'점포코드 '!A:B,2,0)</f>
        <v>#N/A</v>
      </c>
      <c r="G1550" s="46">
        <f>'Raw data'!F1459</f>
        <v>0</v>
      </c>
      <c r="H1550" s="4">
        <f>'Raw data'!G1459</f>
        <v>0</v>
      </c>
      <c r="I1550" s="29" t="e">
        <f>VLOOKUP(G1550,제품명!$C$1:$E$114,2,0)</f>
        <v>#N/A</v>
      </c>
      <c r="J1550" s="29">
        <f>'Raw data'!K1459</f>
        <v>0</v>
      </c>
      <c r="K1550" s="31">
        <f>'Raw data'!H1459</f>
        <v>0</v>
      </c>
      <c r="L1550" s="26">
        <f t="shared" si="52"/>
        <v>0</v>
      </c>
    </row>
    <row r="1551" spans="2:12">
      <c r="B1551" s="4" t="e">
        <f t="shared" si="51"/>
        <v>#N/A</v>
      </c>
      <c r="C1551" s="4">
        <f>'Raw data'!E1460</f>
        <v>0</v>
      </c>
      <c r="D1551" s="29" t="e">
        <f>VLOOKUP(C1551,'점포코드 '!A:B,2,0)</f>
        <v>#N/A</v>
      </c>
      <c r="E1551" s="30">
        <f>'Raw data'!P1460</f>
        <v>0</v>
      </c>
      <c r="F1551" s="29" t="e">
        <f>VLOOKUP(E1551,'점포코드 '!A:B,2,0)</f>
        <v>#N/A</v>
      </c>
      <c r="G1551" s="46">
        <f>'Raw data'!F1460</f>
        <v>0</v>
      </c>
      <c r="H1551" s="4">
        <f>'Raw data'!G1460</f>
        <v>0</v>
      </c>
      <c r="I1551" s="29" t="e">
        <f>VLOOKUP(G1551,제품명!$C$1:$E$114,2,0)</f>
        <v>#N/A</v>
      </c>
      <c r="J1551" s="29">
        <f>'Raw data'!K1460</f>
        <v>0</v>
      </c>
      <c r="K1551" s="31">
        <f>'Raw data'!H1460</f>
        <v>0</v>
      </c>
      <c r="L1551" s="26">
        <f t="shared" si="52"/>
        <v>0</v>
      </c>
    </row>
    <row r="1552" spans="2:12">
      <c r="B1552" s="4" t="e">
        <f t="shared" si="51"/>
        <v>#N/A</v>
      </c>
      <c r="C1552" s="4">
        <f>'Raw data'!E1461</f>
        <v>0</v>
      </c>
      <c r="D1552" s="29" t="e">
        <f>VLOOKUP(C1552,'점포코드 '!A:B,2,0)</f>
        <v>#N/A</v>
      </c>
      <c r="E1552" s="30">
        <f>'Raw data'!P1461</f>
        <v>0</v>
      </c>
      <c r="F1552" s="29" t="e">
        <f>VLOOKUP(E1552,'점포코드 '!A:B,2,0)</f>
        <v>#N/A</v>
      </c>
      <c r="G1552" s="46">
        <f>'Raw data'!F1461</f>
        <v>0</v>
      </c>
      <c r="H1552" s="4">
        <f>'Raw data'!G1461</f>
        <v>0</v>
      </c>
      <c r="I1552" s="29" t="e">
        <f>VLOOKUP(G1552,제품명!$C$1:$E$114,2,0)</f>
        <v>#N/A</v>
      </c>
      <c r="J1552" s="29">
        <f>'Raw data'!K1461</f>
        <v>0</v>
      </c>
      <c r="K1552" s="31">
        <f>'Raw data'!H1461</f>
        <v>0</v>
      </c>
      <c r="L1552" s="26">
        <f t="shared" si="52"/>
        <v>0</v>
      </c>
    </row>
    <row r="1553" spans="2:12">
      <c r="B1553" s="4" t="e">
        <f t="shared" si="51"/>
        <v>#N/A</v>
      </c>
      <c r="C1553" s="4">
        <f>'Raw data'!E1462</f>
        <v>0</v>
      </c>
      <c r="D1553" s="29" t="e">
        <f>VLOOKUP(C1553,'점포코드 '!A:B,2,0)</f>
        <v>#N/A</v>
      </c>
      <c r="E1553" s="30">
        <f>'Raw data'!P1462</f>
        <v>0</v>
      </c>
      <c r="F1553" s="29" t="e">
        <f>VLOOKUP(E1553,'점포코드 '!A:B,2,0)</f>
        <v>#N/A</v>
      </c>
      <c r="G1553" s="46">
        <f>'Raw data'!F1462</f>
        <v>0</v>
      </c>
      <c r="H1553" s="4">
        <f>'Raw data'!G1462</f>
        <v>0</v>
      </c>
      <c r="I1553" s="29" t="e">
        <f>VLOOKUP(G1553,제품명!$C$1:$E$114,2,0)</f>
        <v>#N/A</v>
      </c>
      <c r="J1553" s="29">
        <f>'Raw data'!K1462</f>
        <v>0</v>
      </c>
      <c r="K1553" s="31">
        <f>'Raw data'!H1462</f>
        <v>0</v>
      </c>
      <c r="L1553" s="26">
        <f t="shared" si="52"/>
        <v>0</v>
      </c>
    </row>
    <row r="1554" spans="2:12">
      <c r="B1554" s="4" t="e">
        <f t="shared" si="51"/>
        <v>#N/A</v>
      </c>
      <c r="C1554" s="4">
        <f>'Raw data'!E1463</f>
        <v>0</v>
      </c>
      <c r="D1554" s="29" t="e">
        <f>VLOOKUP(C1554,'점포코드 '!A:B,2,0)</f>
        <v>#N/A</v>
      </c>
      <c r="E1554" s="30">
        <f>'Raw data'!P1463</f>
        <v>0</v>
      </c>
      <c r="F1554" s="29" t="e">
        <f>VLOOKUP(E1554,'점포코드 '!A:B,2,0)</f>
        <v>#N/A</v>
      </c>
      <c r="G1554" s="46">
        <f>'Raw data'!F1463</f>
        <v>0</v>
      </c>
      <c r="H1554" s="4">
        <f>'Raw data'!G1463</f>
        <v>0</v>
      </c>
      <c r="I1554" s="29" t="e">
        <f>VLOOKUP(G1554,제품명!$C$1:$E$114,2,0)</f>
        <v>#N/A</v>
      </c>
      <c r="J1554" s="29">
        <f>'Raw data'!K1463</f>
        <v>0</v>
      </c>
      <c r="K1554" s="31">
        <f>'Raw data'!H1463</f>
        <v>0</v>
      </c>
      <c r="L1554" s="26">
        <f t="shared" si="52"/>
        <v>0</v>
      </c>
    </row>
    <row r="1555" spans="2:12">
      <c r="B1555" s="4" t="e">
        <f t="shared" si="51"/>
        <v>#N/A</v>
      </c>
      <c r="C1555" s="4">
        <f>'Raw data'!E1464</f>
        <v>0</v>
      </c>
      <c r="D1555" s="29" t="e">
        <f>VLOOKUP(C1555,'점포코드 '!A:B,2,0)</f>
        <v>#N/A</v>
      </c>
      <c r="E1555" s="30">
        <f>'Raw data'!P1464</f>
        <v>0</v>
      </c>
      <c r="F1555" s="29" t="e">
        <f>VLOOKUP(E1555,'점포코드 '!A:B,2,0)</f>
        <v>#N/A</v>
      </c>
      <c r="G1555" s="46">
        <f>'Raw data'!F1464</f>
        <v>0</v>
      </c>
      <c r="H1555" s="4">
        <f>'Raw data'!G1464</f>
        <v>0</v>
      </c>
      <c r="I1555" s="29" t="e">
        <f>VLOOKUP(G1555,제품명!$C$1:$E$114,2,0)</f>
        <v>#N/A</v>
      </c>
      <c r="J1555" s="29">
        <f>'Raw data'!K1464</f>
        <v>0</v>
      </c>
      <c r="K1555" s="31">
        <f>'Raw data'!H1464</f>
        <v>0</v>
      </c>
      <c r="L1555" s="26">
        <f t="shared" si="52"/>
        <v>0</v>
      </c>
    </row>
    <row r="1556" spans="2:12">
      <c r="B1556" s="4" t="e">
        <f t="shared" si="51"/>
        <v>#N/A</v>
      </c>
      <c r="C1556" s="4">
        <f>'Raw data'!E1465</f>
        <v>0</v>
      </c>
      <c r="D1556" s="29" t="e">
        <f>VLOOKUP(C1556,'점포코드 '!A:B,2,0)</f>
        <v>#N/A</v>
      </c>
      <c r="E1556" s="30">
        <f>'Raw data'!P1465</f>
        <v>0</v>
      </c>
      <c r="F1556" s="29" t="e">
        <f>VLOOKUP(E1556,'점포코드 '!A:B,2,0)</f>
        <v>#N/A</v>
      </c>
      <c r="G1556" s="46">
        <f>'Raw data'!F1465</f>
        <v>0</v>
      </c>
      <c r="H1556" s="4">
        <f>'Raw data'!G1465</f>
        <v>0</v>
      </c>
      <c r="I1556" s="29" t="e">
        <f>VLOOKUP(G1556,제품명!$C$1:$E$114,2,0)</f>
        <v>#N/A</v>
      </c>
      <c r="J1556" s="29">
        <f>'Raw data'!K1465</f>
        <v>0</v>
      </c>
      <c r="K1556" s="31">
        <f>'Raw data'!H1465</f>
        <v>0</v>
      </c>
      <c r="L1556" s="26">
        <f t="shared" si="52"/>
        <v>0</v>
      </c>
    </row>
    <row r="1557" spans="2:12">
      <c r="B1557" s="4" t="e">
        <f t="shared" si="51"/>
        <v>#N/A</v>
      </c>
      <c r="C1557" s="4">
        <f>'Raw data'!E1466</f>
        <v>0</v>
      </c>
      <c r="D1557" s="29" t="e">
        <f>VLOOKUP(C1557,'점포코드 '!A:B,2,0)</f>
        <v>#N/A</v>
      </c>
      <c r="E1557" s="30">
        <f>'Raw data'!P1466</f>
        <v>0</v>
      </c>
      <c r="F1557" s="29" t="e">
        <f>VLOOKUP(E1557,'점포코드 '!A:B,2,0)</f>
        <v>#N/A</v>
      </c>
      <c r="G1557" s="46">
        <f>'Raw data'!F1466</f>
        <v>0</v>
      </c>
      <c r="H1557" s="4">
        <f>'Raw data'!G1466</f>
        <v>0</v>
      </c>
      <c r="I1557" s="29" t="e">
        <f>VLOOKUP(G1557,제품명!$C$1:$E$114,2,0)</f>
        <v>#N/A</v>
      </c>
      <c r="J1557" s="29">
        <f>'Raw data'!K1466</f>
        <v>0</v>
      </c>
      <c r="K1557" s="31">
        <f>'Raw data'!H1466</f>
        <v>0</v>
      </c>
      <c r="L1557" s="26">
        <f t="shared" si="52"/>
        <v>0</v>
      </c>
    </row>
    <row r="1558" spans="2:12">
      <c r="B1558" s="4" t="e">
        <f t="shared" si="51"/>
        <v>#N/A</v>
      </c>
      <c r="C1558" s="4">
        <f>'Raw data'!E1467</f>
        <v>0</v>
      </c>
      <c r="D1558" s="29" t="e">
        <f>VLOOKUP(C1558,'점포코드 '!A:B,2,0)</f>
        <v>#N/A</v>
      </c>
      <c r="E1558" s="30">
        <f>'Raw data'!P1467</f>
        <v>0</v>
      </c>
      <c r="F1558" s="29" t="e">
        <f>VLOOKUP(E1558,'점포코드 '!A:B,2,0)</f>
        <v>#N/A</v>
      </c>
      <c r="G1558" s="46">
        <f>'Raw data'!F1467</f>
        <v>0</v>
      </c>
      <c r="H1558" s="4">
        <f>'Raw data'!G1467</f>
        <v>0</v>
      </c>
      <c r="I1558" s="29" t="e">
        <f>VLOOKUP(G1558,제품명!$C$1:$E$114,2,0)</f>
        <v>#N/A</v>
      </c>
      <c r="J1558" s="29">
        <f>'Raw data'!K1467</f>
        <v>0</v>
      </c>
      <c r="K1558" s="31">
        <f>'Raw data'!H1467</f>
        <v>0</v>
      </c>
      <c r="L1558" s="26">
        <f t="shared" si="52"/>
        <v>0</v>
      </c>
    </row>
    <row r="1559" spans="2:12">
      <c r="B1559" s="4" t="e">
        <f t="shared" si="51"/>
        <v>#N/A</v>
      </c>
      <c r="C1559" s="4">
        <f>'Raw data'!E1468</f>
        <v>0</v>
      </c>
      <c r="D1559" s="29" t="e">
        <f>VLOOKUP(C1559,'점포코드 '!A:B,2,0)</f>
        <v>#N/A</v>
      </c>
      <c r="E1559" s="30">
        <f>'Raw data'!P1468</f>
        <v>0</v>
      </c>
      <c r="F1559" s="29" t="e">
        <f>VLOOKUP(E1559,'점포코드 '!A:B,2,0)</f>
        <v>#N/A</v>
      </c>
      <c r="G1559" s="46">
        <f>'Raw data'!F1468</f>
        <v>0</v>
      </c>
      <c r="H1559" s="4">
        <f>'Raw data'!G1468</f>
        <v>0</v>
      </c>
      <c r="I1559" s="29" t="e">
        <f>VLOOKUP(G1559,제품명!$C$1:$E$114,2,0)</f>
        <v>#N/A</v>
      </c>
      <c r="J1559" s="29">
        <f>'Raw data'!K1468</f>
        <v>0</v>
      </c>
      <c r="K1559" s="31">
        <f>'Raw data'!H1468</f>
        <v>0</v>
      </c>
      <c r="L1559" s="26">
        <f t="shared" si="52"/>
        <v>0</v>
      </c>
    </row>
    <row r="1560" spans="2:12">
      <c r="B1560" s="4" t="e">
        <f t="shared" si="51"/>
        <v>#N/A</v>
      </c>
      <c r="C1560" s="4">
        <f>'Raw data'!E1469</f>
        <v>0</v>
      </c>
      <c r="D1560" s="29" t="e">
        <f>VLOOKUP(C1560,'점포코드 '!A:B,2,0)</f>
        <v>#N/A</v>
      </c>
      <c r="E1560" s="30">
        <f>'Raw data'!P1469</f>
        <v>0</v>
      </c>
      <c r="F1560" s="29" t="e">
        <f>VLOOKUP(E1560,'점포코드 '!A:B,2,0)</f>
        <v>#N/A</v>
      </c>
      <c r="G1560" s="46">
        <f>'Raw data'!F1469</f>
        <v>0</v>
      </c>
      <c r="H1560" s="4">
        <f>'Raw data'!G1469</f>
        <v>0</v>
      </c>
      <c r="I1560" s="29" t="e">
        <f>VLOOKUP(G1560,제품명!$C$1:$E$114,2,0)</f>
        <v>#N/A</v>
      </c>
      <c r="J1560" s="29">
        <f>'Raw data'!K1469</f>
        <v>0</v>
      </c>
      <c r="K1560" s="31">
        <f>'Raw data'!H1469</f>
        <v>0</v>
      </c>
      <c r="L1560" s="26">
        <f t="shared" si="52"/>
        <v>0</v>
      </c>
    </row>
    <row r="1561" spans="2:12">
      <c r="B1561" s="4" t="e">
        <f t="shared" si="51"/>
        <v>#N/A</v>
      </c>
      <c r="C1561" s="4">
        <f>'Raw data'!E1470</f>
        <v>0</v>
      </c>
      <c r="D1561" s="29" t="e">
        <f>VLOOKUP(C1561,'점포코드 '!A:B,2,0)</f>
        <v>#N/A</v>
      </c>
      <c r="E1561" s="30">
        <f>'Raw data'!P1470</f>
        <v>0</v>
      </c>
      <c r="F1561" s="29" t="e">
        <f>VLOOKUP(E1561,'점포코드 '!A:B,2,0)</f>
        <v>#N/A</v>
      </c>
      <c r="G1561" s="46">
        <f>'Raw data'!F1470</f>
        <v>0</v>
      </c>
      <c r="H1561" s="4">
        <f>'Raw data'!G1470</f>
        <v>0</v>
      </c>
      <c r="I1561" s="29" t="e">
        <f>VLOOKUP(G1561,제품명!$C$1:$E$114,2,0)</f>
        <v>#N/A</v>
      </c>
      <c r="J1561" s="29">
        <f>'Raw data'!K1470</f>
        <v>0</v>
      </c>
      <c r="K1561" s="31">
        <f>'Raw data'!H1470</f>
        <v>0</v>
      </c>
      <c r="L1561" s="26">
        <f t="shared" si="52"/>
        <v>0</v>
      </c>
    </row>
    <row r="1562" spans="2:12">
      <c r="B1562" s="4" t="e">
        <f t="shared" si="51"/>
        <v>#N/A</v>
      </c>
      <c r="C1562" s="4">
        <f>'Raw data'!E1471</f>
        <v>0</v>
      </c>
      <c r="D1562" s="29" t="e">
        <f>VLOOKUP(C1562,'점포코드 '!A:B,2,0)</f>
        <v>#N/A</v>
      </c>
      <c r="E1562" s="30">
        <f>'Raw data'!P1471</f>
        <v>0</v>
      </c>
      <c r="F1562" s="29" t="e">
        <f>VLOOKUP(E1562,'점포코드 '!A:B,2,0)</f>
        <v>#N/A</v>
      </c>
      <c r="G1562" s="46">
        <f>'Raw data'!F1471</f>
        <v>0</v>
      </c>
      <c r="H1562" s="4">
        <f>'Raw data'!G1471</f>
        <v>0</v>
      </c>
      <c r="I1562" s="29" t="e">
        <f>VLOOKUP(G1562,제품명!$C$1:$E$114,2,0)</f>
        <v>#N/A</v>
      </c>
      <c r="J1562" s="29">
        <f>'Raw data'!K1471</f>
        <v>0</v>
      </c>
      <c r="K1562" s="31">
        <f>'Raw data'!H1471</f>
        <v>0</v>
      </c>
      <c r="L1562" s="26">
        <f t="shared" si="52"/>
        <v>0</v>
      </c>
    </row>
    <row r="1563" spans="2:12">
      <c r="B1563" s="4" t="e">
        <f t="shared" si="51"/>
        <v>#N/A</v>
      </c>
      <c r="C1563" s="4">
        <f>'Raw data'!E1472</f>
        <v>0</v>
      </c>
      <c r="D1563" s="29" t="e">
        <f>VLOOKUP(C1563,'점포코드 '!A:B,2,0)</f>
        <v>#N/A</v>
      </c>
      <c r="E1563" s="30">
        <f>'Raw data'!P1472</f>
        <v>0</v>
      </c>
      <c r="F1563" s="29" t="e">
        <f>VLOOKUP(E1563,'점포코드 '!A:B,2,0)</f>
        <v>#N/A</v>
      </c>
      <c r="G1563" s="46">
        <f>'Raw data'!F1472</f>
        <v>0</v>
      </c>
      <c r="H1563" s="4">
        <f>'Raw data'!G1472</f>
        <v>0</v>
      </c>
      <c r="I1563" s="29" t="e">
        <f>VLOOKUP(G1563,제품명!$C$1:$E$114,2,0)</f>
        <v>#N/A</v>
      </c>
      <c r="J1563" s="29">
        <f>'Raw data'!K1472</f>
        <v>0</v>
      </c>
      <c r="K1563" s="31">
        <f>'Raw data'!H1472</f>
        <v>0</v>
      </c>
      <c r="L1563" s="26">
        <f t="shared" si="52"/>
        <v>0</v>
      </c>
    </row>
    <row r="1564" spans="2:12">
      <c r="B1564" s="4" t="e">
        <f t="shared" si="51"/>
        <v>#N/A</v>
      </c>
      <c r="C1564" s="4">
        <f>'Raw data'!E1473</f>
        <v>0</v>
      </c>
      <c r="D1564" s="29" t="e">
        <f>VLOOKUP(C1564,'점포코드 '!A:B,2,0)</f>
        <v>#N/A</v>
      </c>
      <c r="E1564" s="30">
        <f>'Raw data'!P1473</f>
        <v>0</v>
      </c>
      <c r="F1564" s="29" t="e">
        <f>VLOOKUP(E1564,'점포코드 '!A:B,2,0)</f>
        <v>#N/A</v>
      </c>
      <c r="G1564" s="46">
        <f>'Raw data'!F1473</f>
        <v>0</v>
      </c>
      <c r="H1564" s="4">
        <f>'Raw data'!G1473</f>
        <v>0</v>
      </c>
      <c r="I1564" s="29" t="e">
        <f>VLOOKUP(G1564,제품명!$C$1:$E$114,2,0)</f>
        <v>#N/A</v>
      </c>
      <c r="J1564" s="29">
        <f>'Raw data'!K1473</f>
        <v>0</v>
      </c>
      <c r="K1564" s="31">
        <f>'Raw data'!H1473</f>
        <v>0</v>
      </c>
      <c r="L1564" s="26">
        <f t="shared" si="52"/>
        <v>0</v>
      </c>
    </row>
    <row r="1565" spans="2:12">
      <c r="B1565" s="4" t="e">
        <f t="shared" si="51"/>
        <v>#N/A</v>
      </c>
      <c r="C1565" s="4">
        <f>'Raw data'!E1474</f>
        <v>0</v>
      </c>
      <c r="D1565" s="29" t="e">
        <f>VLOOKUP(C1565,'점포코드 '!A:B,2,0)</f>
        <v>#N/A</v>
      </c>
      <c r="E1565" s="30">
        <f>'Raw data'!P1474</f>
        <v>0</v>
      </c>
      <c r="F1565" s="29" t="e">
        <f>VLOOKUP(E1565,'점포코드 '!A:B,2,0)</f>
        <v>#N/A</v>
      </c>
      <c r="G1565" s="46">
        <f>'Raw data'!F1474</f>
        <v>0</v>
      </c>
      <c r="H1565" s="4">
        <f>'Raw data'!G1474</f>
        <v>0</v>
      </c>
      <c r="I1565" s="29" t="e">
        <f>VLOOKUP(G1565,제품명!$C$1:$E$114,2,0)</f>
        <v>#N/A</v>
      </c>
      <c r="J1565" s="29">
        <f>'Raw data'!K1474</f>
        <v>0</v>
      </c>
      <c r="K1565" s="31">
        <f>'Raw data'!H1474</f>
        <v>0</v>
      </c>
      <c r="L1565" s="26">
        <f t="shared" si="52"/>
        <v>0</v>
      </c>
    </row>
    <row r="1566" spans="2:12">
      <c r="B1566" s="4" t="e">
        <f t="shared" si="51"/>
        <v>#N/A</v>
      </c>
      <c r="C1566" s="4">
        <f>'Raw data'!E1475</f>
        <v>0</v>
      </c>
      <c r="D1566" s="29" t="e">
        <f>VLOOKUP(C1566,'점포코드 '!A:B,2,0)</f>
        <v>#N/A</v>
      </c>
      <c r="E1566" s="30">
        <f>'Raw data'!P1475</f>
        <v>0</v>
      </c>
      <c r="F1566" s="29" t="e">
        <f>VLOOKUP(E1566,'점포코드 '!A:B,2,0)</f>
        <v>#N/A</v>
      </c>
      <c r="G1566" s="46">
        <f>'Raw data'!F1475</f>
        <v>0</v>
      </c>
      <c r="H1566" s="4">
        <f>'Raw data'!G1475</f>
        <v>0</v>
      </c>
      <c r="I1566" s="29" t="e">
        <f>VLOOKUP(G1566,제품명!$C$1:$E$114,2,0)</f>
        <v>#N/A</v>
      </c>
      <c r="J1566" s="29">
        <f>'Raw data'!K1475</f>
        <v>0</v>
      </c>
      <c r="K1566" s="31">
        <f>'Raw data'!H1475</f>
        <v>0</v>
      </c>
      <c r="L1566" s="26">
        <f t="shared" si="52"/>
        <v>0</v>
      </c>
    </row>
    <row r="1567" spans="2:12">
      <c r="B1567" s="4" t="e">
        <f t="shared" si="51"/>
        <v>#N/A</v>
      </c>
      <c r="C1567" s="4">
        <f>'Raw data'!E1476</f>
        <v>0</v>
      </c>
      <c r="D1567" s="29" t="e">
        <f>VLOOKUP(C1567,'점포코드 '!A:B,2,0)</f>
        <v>#N/A</v>
      </c>
      <c r="E1567" s="30">
        <f>'Raw data'!P1476</f>
        <v>0</v>
      </c>
      <c r="F1567" s="29" t="e">
        <f>VLOOKUP(E1567,'점포코드 '!A:B,2,0)</f>
        <v>#N/A</v>
      </c>
      <c r="G1567" s="46">
        <f>'Raw data'!F1476</f>
        <v>0</v>
      </c>
      <c r="H1567" s="4">
        <f>'Raw data'!G1476</f>
        <v>0</v>
      </c>
      <c r="I1567" s="29" t="e">
        <f>VLOOKUP(G1567,제품명!$C$1:$E$114,2,0)</f>
        <v>#N/A</v>
      </c>
      <c r="J1567" s="29">
        <f>'Raw data'!K1476</f>
        <v>0</v>
      </c>
      <c r="K1567" s="31">
        <f>'Raw data'!H1476</f>
        <v>0</v>
      </c>
      <c r="L1567" s="26">
        <f t="shared" si="52"/>
        <v>0</v>
      </c>
    </row>
    <row r="1568" spans="2:12">
      <c r="B1568" s="4" t="e">
        <f t="shared" si="51"/>
        <v>#N/A</v>
      </c>
      <c r="C1568" s="4">
        <f>'Raw data'!E1477</f>
        <v>0</v>
      </c>
      <c r="D1568" s="29" t="e">
        <f>VLOOKUP(C1568,'점포코드 '!A:B,2,0)</f>
        <v>#N/A</v>
      </c>
      <c r="E1568" s="30">
        <f>'Raw data'!P1477</f>
        <v>0</v>
      </c>
      <c r="F1568" s="29" t="e">
        <f>VLOOKUP(E1568,'점포코드 '!A:B,2,0)</f>
        <v>#N/A</v>
      </c>
      <c r="G1568" s="46">
        <f>'Raw data'!F1477</f>
        <v>0</v>
      </c>
      <c r="H1568" s="4">
        <f>'Raw data'!G1477</f>
        <v>0</v>
      </c>
      <c r="I1568" s="29" t="e">
        <f>VLOOKUP(G1568,제품명!$C$1:$E$114,2,0)</f>
        <v>#N/A</v>
      </c>
      <c r="J1568" s="29">
        <f>'Raw data'!K1477</f>
        <v>0</v>
      </c>
      <c r="K1568" s="31">
        <f>'Raw data'!H1477</f>
        <v>0</v>
      </c>
      <c r="L1568" s="26">
        <f t="shared" si="52"/>
        <v>0</v>
      </c>
    </row>
    <row r="1569" spans="2:12">
      <c r="B1569" s="4" t="e">
        <f t="shared" si="51"/>
        <v>#N/A</v>
      </c>
      <c r="C1569" s="4">
        <f>'Raw data'!E1478</f>
        <v>0</v>
      </c>
      <c r="D1569" s="29" t="e">
        <f>VLOOKUP(C1569,'점포코드 '!A:B,2,0)</f>
        <v>#N/A</v>
      </c>
      <c r="E1569" s="30">
        <f>'Raw data'!P1478</f>
        <v>0</v>
      </c>
      <c r="F1569" s="29" t="e">
        <f>VLOOKUP(E1569,'점포코드 '!A:B,2,0)</f>
        <v>#N/A</v>
      </c>
      <c r="G1569" s="46">
        <f>'Raw data'!F1478</f>
        <v>0</v>
      </c>
      <c r="H1569" s="4">
        <f>'Raw data'!G1478</f>
        <v>0</v>
      </c>
      <c r="I1569" s="29" t="e">
        <f>VLOOKUP(G1569,제품명!$C$1:$E$114,2,0)</f>
        <v>#N/A</v>
      </c>
      <c r="J1569" s="29">
        <f>'Raw data'!K1478</f>
        <v>0</v>
      </c>
      <c r="K1569" s="31">
        <f>'Raw data'!H1478</f>
        <v>0</v>
      </c>
      <c r="L1569" s="26">
        <f t="shared" si="52"/>
        <v>0</v>
      </c>
    </row>
    <row r="1570" spans="2:12">
      <c r="B1570" s="4" t="e">
        <f t="shared" si="51"/>
        <v>#N/A</v>
      </c>
      <c r="C1570" s="4">
        <f>'Raw data'!E1479</f>
        <v>0</v>
      </c>
      <c r="D1570" s="29" t="e">
        <f>VLOOKUP(C1570,'점포코드 '!A:B,2,0)</f>
        <v>#N/A</v>
      </c>
      <c r="E1570" s="30">
        <f>'Raw data'!P1479</f>
        <v>0</v>
      </c>
      <c r="F1570" s="29" t="e">
        <f>VLOOKUP(E1570,'점포코드 '!A:B,2,0)</f>
        <v>#N/A</v>
      </c>
      <c r="G1570" s="46">
        <f>'Raw data'!F1479</f>
        <v>0</v>
      </c>
      <c r="H1570" s="4">
        <f>'Raw data'!G1479</f>
        <v>0</v>
      </c>
      <c r="I1570" s="29" t="e">
        <f>VLOOKUP(G1570,제품명!$C$1:$E$114,2,0)</f>
        <v>#N/A</v>
      </c>
      <c r="J1570" s="29">
        <f>'Raw data'!K1479</f>
        <v>0</v>
      </c>
      <c r="K1570" s="31">
        <f>'Raw data'!H1479</f>
        <v>0</v>
      </c>
      <c r="L1570" s="26">
        <f t="shared" si="52"/>
        <v>0</v>
      </c>
    </row>
    <row r="1571" spans="2:12">
      <c r="B1571" s="4" t="e">
        <f t="shared" si="51"/>
        <v>#N/A</v>
      </c>
      <c r="C1571" s="4">
        <f>'Raw data'!E1480</f>
        <v>0</v>
      </c>
      <c r="D1571" s="29" t="e">
        <f>VLOOKUP(C1571,'점포코드 '!A:B,2,0)</f>
        <v>#N/A</v>
      </c>
      <c r="E1571" s="30">
        <f>'Raw data'!P1480</f>
        <v>0</v>
      </c>
      <c r="F1571" s="29" t="e">
        <f>VLOOKUP(E1571,'점포코드 '!A:B,2,0)</f>
        <v>#N/A</v>
      </c>
      <c r="G1571" s="46">
        <f>'Raw data'!F1480</f>
        <v>0</v>
      </c>
      <c r="H1571" s="4">
        <f>'Raw data'!G1480</f>
        <v>0</v>
      </c>
      <c r="I1571" s="29" t="e">
        <f>VLOOKUP(G1571,제품명!$C$1:$E$114,2,0)</f>
        <v>#N/A</v>
      </c>
      <c r="J1571" s="29">
        <f>'Raw data'!K1480</f>
        <v>0</v>
      </c>
      <c r="K1571" s="31">
        <f>'Raw data'!H1480</f>
        <v>0</v>
      </c>
      <c r="L1571" s="26">
        <f t="shared" si="52"/>
        <v>0</v>
      </c>
    </row>
    <row r="1572" spans="2:12">
      <c r="B1572" s="4" t="e">
        <f t="shared" si="51"/>
        <v>#N/A</v>
      </c>
      <c r="C1572" s="4">
        <f>'Raw data'!E1481</f>
        <v>0</v>
      </c>
      <c r="D1572" s="29" t="e">
        <f>VLOOKUP(C1572,'점포코드 '!A:B,2,0)</f>
        <v>#N/A</v>
      </c>
      <c r="E1572" s="30">
        <f>'Raw data'!P1481</f>
        <v>0</v>
      </c>
      <c r="F1572" s="29" t="e">
        <f>VLOOKUP(E1572,'점포코드 '!A:B,2,0)</f>
        <v>#N/A</v>
      </c>
      <c r="G1572" s="46">
        <f>'Raw data'!F1481</f>
        <v>0</v>
      </c>
      <c r="H1572" s="4">
        <f>'Raw data'!G1481</f>
        <v>0</v>
      </c>
      <c r="I1572" s="29" t="e">
        <f>VLOOKUP(G1572,제품명!$C$1:$E$114,2,0)</f>
        <v>#N/A</v>
      </c>
      <c r="J1572" s="29">
        <f>'Raw data'!K1481</f>
        <v>0</v>
      </c>
      <c r="K1572" s="31">
        <f>'Raw data'!H1481</f>
        <v>0</v>
      </c>
      <c r="L1572" s="26">
        <f t="shared" si="52"/>
        <v>0</v>
      </c>
    </row>
    <row r="1573" spans="2:12">
      <c r="B1573" s="4" t="e">
        <f t="shared" si="51"/>
        <v>#N/A</v>
      </c>
      <c r="C1573" s="4">
        <f>'Raw data'!E1482</f>
        <v>0</v>
      </c>
      <c r="D1573" s="29" t="e">
        <f>VLOOKUP(C1573,'점포코드 '!A:B,2,0)</f>
        <v>#N/A</v>
      </c>
      <c r="E1573" s="30">
        <f>'Raw data'!P1482</f>
        <v>0</v>
      </c>
      <c r="F1573" s="29" t="e">
        <f>VLOOKUP(E1573,'점포코드 '!A:B,2,0)</f>
        <v>#N/A</v>
      </c>
      <c r="G1573" s="46">
        <f>'Raw data'!F1482</f>
        <v>0</v>
      </c>
      <c r="H1573" s="4">
        <f>'Raw data'!G1482</f>
        <v>0</v>
      </c>
      <c r="I1573" s="29" t="e">
        <f>VLOOKUP(G1573,제품명!$C$1:$E$114,2,0)</f>
        <v>#N/A</v>
      </c>
      <c r="J1573" s="29">
        <f>'Raw data'!K1482</f>
        <v>0</v>
      </c>
      <c r="K1573" s="31">
        <f>'Raw data'!H1482</f>
        <v>0</v>
      </c>
      <c r="L1573" s="26">
        <f t="shared" si="52"/>
        <v>0</v>
      </c>
    </row>
    <row r="1574" spans="2:12">
      <c r="B1574" s="4" t="e">
        <f t="shared" si="51"/>
        <v>#N/A</v>
      </c>
      <c r="C1574" s="4">
        <f>'Raw data'!E1483</f>
        <v>0</v>
      </c>
      <c r="D1574" s="29" t="e">
        <f>VLOOKUP(C1574,'점포코드 '!A:B,2,0)</f>
        <v>#N/A</v>
      </c>
      <c r="E1574" s="30">
        <f>'Raw data'!P1483</f>
        <v>0</v>
      </c>
      <c r="F1574" s="29" t="e">
        <f>VLOOKUP(E1574,'점포코드 '!A:B,2,0)</f>
        <v>#N/A</v>
      </c>
      <c r="G1574" s="46">
        <f>'Raw data'!F1483</f>
        <v>0</v>
      </c>
      <c r="H1574" s="4">
        <f>'Raw data'!G1483</f>
        <v>0</v>
      </c>
      <c r="I1574" s="29" t="e">
        <f>VLOOKUP(G1574,제품명!$C$1:$E$114,2,0)</f>
        <v>#N/A</v>
      </c>
      <c r="J1574" s="29">
        <f>'Raw data'!K1483</f>
        <v>0</v>
      </c>
      <c r="K1574" s="31">
        <f>'Raw data'!H1483</f>
        <v>0</v>
      </c>
      <c r="L1574" s="26">
        <f t="shared" si="52"/>
        <v>0</v>
      </c>
    </row>
    <row r="1575" spans="2:12">
      <c r="B1575" s="4" t="e">
        <f t="shared" si="51"/>
        <v>#N/A</v>
      </c>
      <c r="C1575" s="4">
        <f>'Raw data'!E1484</f>
        <v>0</v>
      </c>
      <c r="D1575" s="29" t="e">
        <f>VLOOKUP(C1575,'점포코드 '!A:B,2,0)</f>
        <v>#N/A</v>
      </c>
      <c r="E1575" s="30">
        <f>'Raw data'!P1484</f>
        <v>0</v>
      </c>
      <c r="F1575" s="29" t="e">
        <f>VLOOKUP(E1575,'점포코드 '!A:B,2,0)</f>
        <v>#N/A</v>
      </c>
      <c r="G1575" s="46">
        <f>'Raw data'!F1484</f>
        <v>0</v>
      </c>
      <c r="H1575" s="4">
        <f>'Raw data'!G1484</f>
        <v>0</v>
      </c>
      <c r="I1575" s="29" t="e">
        <f>VLOOKUP(G1575,제품명!$C$1:$E$114,2,0)</f>
        <v>#N/A</v>
      </c>
      <c r="J1575" s="29">
        <f>'Raw data'!K1484</f>
        <v>0</v>
      </c>
      <c r="K1575" s="31">
        <f>'Raw data'!H1484</f>
        <v>0</v>
      </c>
      <c r="L1575" s="26">
        <f t="shared" si="52"/>
        <v>0</v>
      </c>
    </row>
    <row r="1576" spans="2:12">
      <c r="B1576" s="4" t="e">
        <f t="shared" si="51"/>
        <v>#N/A</v>
      </c>
      <c r="C1576" s="4">
        <f>'Raw data'!E1485</f>
        <v>0</v>
      </c>
      <c r="D1576" s="29" t="e">
        <f>VLOOKUP(C1576,'점포코드 '!A:B,2,0)</f>
        <v>#N/A</v>
      </c>
      <c r="E1576" s="30">
        <f>'Raw data'!P1485</f>
        <v>0</v>
      </c>
      <c r="F1576" s="29" t="e">
        <f>VLOOKUP(E1576,'점포코드 '!A:B,2,0)</f>
        <v>#N/A</v>
      </c>
      <c r="G1576" s="46">
        <f>'Raw data'!F1485</f>
        <v>0</v>
      </c>
      <c r="H1576" s="4">
        <f>'Raw data'!G1485</f>
        <v>0</v>
      </c>
      <c r="I1576" s="29" t="e">
        <f>VLOOKUP(G1576,제품명!$C$1:$E$114,2,0)</f>
        <v>#N/A</v>
      </c>
      <c r="J1576" s="29">
        <f>'Raw data'!K1485</f>
        <v>0</v>
      </c>
      <c r="K1576" s="31">
        <f>'Raw data'!H1485</f>
        <v>0</v>
      </c>
      <c r="L1576" s="26">
        <f t="shared" si="52"/>
        <v>0</v>
      </c>
    </row>
    <row r="1577" spans="2:12">
      <c r="B1577" s="4" t="e">
        <f t="shared" si="51"/>
        <v>#N/A</v>
      </c>
      <c r="C1577" s="4">
        <f>'Raw data'!E1486</f>
        <v>0</v>
      </c>
      <c r="D1577" s="29" t="e">
        <f>VLOOKUP(C1577,'점포코드 '!A:B,2,0)</f>
        <v>#N/A</v>
      </c>
      <c r="E1577" s="30">
        <f>'Raw data'!P1486</f>
        <v>0</v>
      </c>
      <c r="F1577" s="29" t="e">
        <f>VLOOKUP(E1577,'점포코드 '!A:B,2,0)</f>
        <v>#N/A</v>
      </c>
      <c r="G1577" s="46">
        <f>'Raw data'!F1486</f>
        <v>0</v>
      </c>
      <c r="H1577" s="4">
        <f>'Raw data'!G1486</f>
        <v>0</v>
      </c>
      <c r="I1577" s="29" t="e">
        <f>VLOOKUP(G1577,제품명!$C$1:$E$114,2,0)</f>
        <v>#N/A</v>
      </c>
      <c r="J1577" s="29">
        <f>'Raw data'!K1486</f>
        <v>0</v>
      </c>
      <c r="K1577" s="31">
        <f>'Raw data'!H1486</f>
        <v>0</v>
      </c>
      <c r="L1577" s="26">
        <f t="shared" si="52"/>
        <v>0</v>
      </c>
    </row>
    <row r="1578" spans="2:12">
      <c r="B1578" s="4" t="e">
        <f t="shared" si="51"/>
        <v>#N/A</v>
      </c>
      <c r="C1578" s="4">
        <f>'Raw data'!E1487</f>
        <v>0</v>
      </c>
      <c r="D1578" s="29" t="e">
        <f>VLOOKUP(C1578,'점포코드 '!A:B,2,0)</f>
        <v>#N/A</v>
      </c>
      <c r="E1578" s="30">
        <f>'Raw data'!P1487</f>
        <v>0</v>
      </c>
      <c r="F1578" s="29" t="e">
        <f>VLOOKUP(E1578,'점포코드 '!A:B,2,0)</f>
        <v>#N/A</v>
      </c>
      <c r="G1578" s="46">
        <f>'Raw data'!F1487</f>
        <v>0</v>
      </c>
      <c r="H1578" s="4">
        <f>'Raw data'!G1487</f>
        <v>0</v>
      </c>
      <c r="I1578" s="29" t="e">
        <f>VLOOKUP(G1578,제품명!$C$1:$E$114,2,0)</f>
        <v>#N/A</v>
      </c>
      <c r="J1578" s="29">
        <f>'Raw data'!K1487</f>
        <v>0</v>
      </c>
      <c r="K1578" s="31">
        <f>'Raw data'!H1487</f>
        <v>0</v>
      </c>
      <c r="L1578" s="26">
        <f t="shared" si="52"/>
        <v>0</v>
      </c>
    </row>
    <row r="1579" spans="2:12">
      <c r="B1579" s="4" t="e">
        <f t="shared" si="51"/>
        <v>#N/A</v>
      </c>
      <c r="C1579" s="4">
        <f>'Raw data'!E1488</f>
        <v>0</v>
      </c>
      <c r="D1579" s="29" t="e">
        <f>VLOOKUP(C1579,'점포코드 '!A:B,2,0)</f>
        <v>#N/A</v>
      </c>
      <c r="E1579" s="30">
        <f>'Raw data'!P1488</f>
        <v>0</v>
      </c>
      <c r="F1579" s="29" t="e">
        <f>VLOOKUP(E1579,'점포코드 '!A:B,2,0)</f>
        <v>#N/A</v>
      </c>
      <c r="G1579" s="46">
        <f>'Raw data'!F1488</f>
        <v>0</v>
      </c>
      <c r="H1579" s="4">
        <f>'Raw data'!G1488</f>
        <v>0</v>
      </c>
      <c r="I1579" s="29" t="e">
        <f>VLOOKUP(G1579,제품명!$C$1:$E$114,2,0)</f>
        <v>#N/A</v>
      </c>
      <c r="J1579" s="29">
        <f>'Raw data'!K1488</f>
        <v>0</v>
      </c>
      <c r="K1579" s="31">
        <f>'Raw data'!H1488</f>
        <v>0</v>
      </c>
      <c r="L1579" s="26">
        <f t="shared" si="52"/>
        <v>0</v>
      </c>
    </row>
    <row r="1580" spans="2:12">
      <c r="B1580" s="4" t="e">
        <f t="shared" si="51"/>
        <v>#N/A</v>
      </c>
      <c r="C1580" s="4">
        <f>'Raw data'!E1489</f>
        <v>0</v>
      </c>
      <c r="D1580" s="29" t="e">
        <f>VLOOKUP(C1580,'점포코드 '!A:B,2,0)</f>
        <v>#N/A</v>
      </c>
      <c r="E1580" s="30">
        <f>'Raw data'!P1489</f>
        <v>0</v>
      </c>
      <c r="F1580" s="29" t="e">
        <f>VLOOKUP(E1580,'점포코드 '!A:B,2,0)</f>
        <v>#N/A</v>
      </c>
      <c r="G1580" s="46">
        <f>'Raw data'!F1489</f>
        <v>0</v>
      </c>
      <c r="H1580" s="4">
        <f>'Raw data'!G1489</f>
        <v>0</v>
      </c>
      <c r="I1580" s="29" t="e">
        <f>VLOOKUP(G1580,제품명!$C$1:$E$114,2,0)</f>
        <v>#N/A</v>
      </c>
      <c r="J1580" s="29">
        <f>'Raw data'!K1489</f>
        <v>0</v>
      </c>
      <c r="K1580" s="31">
        <f>'Raw data'!H1489</f>
        <v>0</v>
      </c>
      <c r="L1580" s="26">
        <f t="shared" si="52"/>
        <v>0</v>
      </c>
    </row>
    <row r="1581" spans="2:12">
      <c r="B1581" s="4" t="e">
        <f t="shared" si="51"/>
        <v>#N/A</v>
      </c>
      <c r="C1581" s="4">
        <f>'Raw data'!E1490</f>
        <v>0</v>
      </c>
      <c r="D1581" s="29" t="e">
        <f>VLOOKUP(C1581,'점포코드 '!A:B,2,0)</f>
        <v>#N/A</v>
      </c>
      <c r="E1581" s="30">
        <f>'Raw data'!P1490</f>
        <v>0</v>
      </c>
      <c r="F1581" s="29" t="e">
        <f>VLOOKUP(E1581,'점포코드 '!A:B,2,0)</f>
        <v>#N/A</v>
      </c>
      <c r="G1581" s="46">
        <f>'Raw data'!F1490</f>
        <v>0</v>
      </c>
      <c r="H1581" s="4">
        <f>'Raw data'!G1490</f>
        <v>0</v>
      </c>
      <c r="I1581" s="29" t="e">
        <f>VLOOKUP(G1581,제품명!$C$1:$E$114,2,0)</f>
        <v>#N/A</v>
      </c>
      <c r="J1581" s="29">
        <f>'Raw data'!K1490</f>
        <v>0</v>
      </c>
      <c r="K1581" s="31">
        <f>'Raw data'!H1490</f>
        <v>0</v>
      </c>
      <c r="L1581" s="26">
        <f t="shared" si="52"/>
        <v>0</v>
      </c>
    </row>
    <row r="1582" spans="2:12">
      <c r="B1582" s="4" t="e">
        <f t="shared" si="51"/>
        <v>#N/A</v>
      </c>
      <c r="C1582" s="4">
        <f>'Raw data'!E1491</f>
        <v>0</v>
      </c>
      <c r="D1582" s="29" t="e">
        <f>VLOOKUP(C1582,'점포코드 '!A:B,2,0)</f>
        <v>#N/A</v>
      </c>
      <c r="E1582" s="30">
        <f>'Raw data'!P1491</f>
        <v>0</v>
      </c>
      <c r="F1582" s="29" t="e">
        <f>VLOOKUP(E1582,'점포코드 '!A:B,2,0)</f>
        <v>#N/A</v>
      </c>
      <c r="G1582" s="46">
        <f>'Raw data'!F1491</f>
        <v>0</v>
      </c>
      <c r="H1582" s="4">
        <f>'Raw data'!G1491</f>
        <v>0</v>
      </c>
      <c r="I1582" s="29" t="e">
        <f>VLOOKUP(G1582,제품명!$C$1:$E$114,2,0)</f>
        <v>#N/A</v>
      </c>
      <c r="J1582" s="29">
        <f>'Raw data'!K1491</f>
        <v>0</v>
      </c>
      <c r="K1582" s="31">
        <f>'Raw data'!H1491</f>
        <v>0</v>
      </c>
      <c r="L1582" s="26">
        <f t="shared" si="52"/>
        <v>0</v>
      </c>
    </row>
    <row r="1583" spans="2:12">
      <c r="B1583" s="4" t="e">
        <f t="shared" si="51"/>
        <v>#N/A</v>
      </c>
      <c r="C1583" s="4">
        <f>'Raw data'!E1492</f>
        <v>0</v>
      </c>
      <c r="D1583" s="29" t="e">
        <f>VLOOKUP(C1583,'점포코드 '!A:B,2,0)</f>
        <v>#N/A</v>
      </c>
      <c r="E1583" s="30">
        <f>'Raw data'!P1492</f>
        <v>0</v>
      </c>
      <c r="F1583" s="29" t="e">
        <f>VLOOKUP(E1583,'점포코드 '!A:B,2,0)</f>
        <v>#N/A</v>
      </c>
      <c r="G1583" s="46">
        <f>'Raw data'!F1492</f>
        <v>0</v>
      </c>
      <c r="H1583" s="4">
        <f>'Raw data'!G1492</f>
        <v>0</v>
      </c>
      <c r="I1583" s="29" t="e">
        <f>VLOOKUP(G1583,제품명!$C$1:$E$114,2,0)</f>
        <v>#N/A</v>
      </c>
      <c r="J1583" s="29">
        <f>'Raw data'!K1492</f>
        <v>0</v>
      </c>
      <c r="K1583" s="31">
        <f>'Raw data'!H1492</f>
        <v>0</v>
      </c>
      <c r="L1583" s="26">
        <f t="shared" si="52"/>
        <v>0</v>
      </c>
    </row>
    <row r="1584" spans="2:12">
      <c r="B1584" s="4" t="e">
        <f t="shared" si="51"/>
        <v>#N/A</v>
      </c>
      <c r="C1584" s="4">
        <f>'Raw data'!E1493</f>
        <v>0</v>
      </c>
      <c r="D1584" s="29" t="e">
        <f>VLOOKUP(C1584,'점포코드 '!A:B,2,0)</f>
        <v>#N/A</v>
      </c>
      <c r="E1584" s="30">
        <f>'Raw data'!P1493</f>
        <v>0</v>
      </c>
      <c r="F1584" s="29" t="e">
        <f>VLOOKUP(E1584,'점포코드 '!A:B,2,0)</f>
        <v>#N/A</v>
      </c>
      <c r="G1584" s="46">
        <f>'Raw data'!F1493</f>
        <v>0</v>
      </c>
      <c r="H1584" s="4">
        <f>'Raw data'!G1493</f>
        <v>0</v>
      </c>
      <c r="I1584" s="29" t="e">
        <f>VLOOKUP(G1584,제품명!$C$1:$E$114,2,0)</f>
        <v>#N/A</v>
      </c>
      <c r="J1584" s="29">
        <f>'Raw data'!K1493</f>
        <v>0</v>
      </c>
      <c r="K1584" s="31">
        <f>'Raw data'!H1493</f>
        <v>0</v>
      </c>
      <c r="L1584" s="26">
        <f t="shared" si="52"/>
        <v>0</v>
      </c>
    </row>
    <row r="1585" spans="2:12">
      <c r="B1585" s="4" t="e">
        <f t="shared" si="51"/>
        <v>#N/A</v>
      </c>
      <c r="C1585" s="4">
        <f>'Raw data'!E1494</f>
        <v>0</v>
      </c>
      <c r="D1585" s="29" t="e">
        <f>VLOOKUP(C1585,'점포코드 '!A:B,2,0)</f>
        <v>#N/A</v>
      </c>
      <c r="E1585" s="30">
        <f>'Raw data'!P1494</f>
        <v>0</v>
      </c>
      <c r="F1585" s="29" t="e">
        <f>VLOOKUP(E1585,'점포코드 '!A:B,2,0)</f>
        <v>#N/A</v>
      </c>
      <c r="G1585" s="46">
        <f>'Raw data'!F1494</f>
        <v>0</v>
      </c>
      <c r="H1585" s="4">
        <f>'Raw data'!G1494</f>
        <v>0</v>
      </c>
      <c r="I1585" s="29" t="e">
        <f>VLOOKUP(G1585,제품명!$C$1:$E$114,2,0)</f>
        <v>#N/A</v>
      </c>
      <c r="J1585" s="29">
        <f>'Raw data'!K1494</f>
        <v>0</v>
      </c>
      <c r="K1585" s="31">
        <f>'Raw data'!H1494</f>
        <v>0</v>
      </c>
      <c r="L1585" s="26">
        <f t="shared" si="52"/>
        <v>0</v>
      </c>
    </row>
    <row r="1586" spans="2:12">
      <c r="B1586" s="4" t="e">
        <f t="shared" si="51"/>
        <v>#N/A</v>
      </c>
      <c r="C1586" s="4">
        <f>'Raw data'!E1495</f>
        <v>0</v>
      </c>
      <c r="D1586" s="29" t="e">
        <f>VLOOKUP(C1586,'점포코드 '!A:B,2,0)</f>
        <v>#N/A</v>
      </c>
      <c r="E1586" s="30">
        <f>'Raw data'!P1495</f>
        <v>0</v>
      </c>
      <c r="F1586" s="29" t="e">
        <f>VLOOKUP(E1586,'점포코드 '!A:B,2,0)</f>
        <v>#N/A</v>
      </c>
      <c r="G1586" s="46">
        <f>'Raw data'!F1495</f>
        <v>0</v>
      </c>
      <c r="H1586" s="4">
        <f>'Raw data'!G1495</f>
        <v>0</v>
      </c>
      <c r="I1586" s="29" t="e">
        <f>VLOOKUP(G1586,제품명!$C$1:$E$114,2,0)</f>
        <v>#N/A</v>
      </c>
      <c r="J1586" s="29">
        <f>'Raw data'!K1495</f>
        <v>0</v>
      </c>
      <c r="K1586" s="31">
        <f>'Raw data'!H1495</f>
        <v>0</v>
      </c>
      <c r="L1586" s="26">
        <f t="shared" si="52"/>
        <v>0</v>
      </c>
    </row>
    <row r="1587" spans="2:12">
      <c r="B1587" s="4" t="e">
        <f t="shared" si="51"/>
        <v>#N/A</v>
      </c>
      <c r="C1587" s="4">
        <f>'Raw data'!E1496</f>
        <v>0</v>
      </c>
      <c r="D1587" s="29" t="e">
        <f>VLOOKUP(C1587,'점포코드 '!A:B,2,0)</f>
        <v>#N/A</v>
      </c>
      <c r="E1587" s="30">
        <f>'Raw data'!P1496</f>
        <v>0</v>
      </c>
      <c r="F1587" s="29" t="e">
        <f>VLOOKUP(E1587,'점포코드 '!A:B,2,0)</f>
        <v>#N/A</v>
      </c>
      <c r="G1587" s="46">
        <f>'Raw data'!F1496</f>
        <v>0</v>
      </c>
      <c r="H1587" s="4">
        <f>'Raw data'!G1496</f>
        <v>0</v>
      </c>
      <c r="I1587" s="29" t="e">
        <f>VLOOKUP(G1587,제품명!$C$1:$E$114,2,0)</f>
        <v>#N/A</v>
      </c>
      <c r="J1587" s="29">
        <f>'Raw data'!K1496</f>
        <v>0</v>
      </c>
      <c r="K1587" s="31">
        <f>'Raw data'!H1496</f>
        <v>0</v>
      </c>
      <c r="L1587" s="26">
        <f t="shared" si="52"/>
        <v>0</v>
      </c>
    </row>
    <row r="1588" spans="2:12">
      <c r="B1588" s="4" t="e">
        <f t="shared" si="51"/>
        <v>#N/A</v>
      </c>
      <c r="C1588" s="4">
        <f>'Raw data'!E1497</f>
        <v>0</v>
      </c>
      <c r="D1588" s="29" t="e">
        <f>VLOOKUP(C1588,'점포코드 '!A:B,2,0)</f>
        <v>#N/A</v>
      </c>
      <c r="E1588" s="30">
        <f>'Raw data'!P1497</f>
        <v>0</v>
      </c>
      <c r="F1588" s="29" t="e">
        <f>VLOOKUP(E1588,'점포코드 '!A:B,2,0)</f>
        <v>#N/A</v>
      </c>
      <c r="G1588" s="46">
        <f>'Raw data'!F1497</f>
        <v>0</v>
      </c>
      <c r="H1588" s="4">
        <f>'Raw data'!G1497</f>
        <v>0</v>
      </c>
      <c r="I1588" s="29" t="e">
        <f>VLOOKUP(G1588,제품명!$C$1:$E$114,2,0)</f>
        <v>#N/A</v>
      </c>
      <c r="J1588" s="29">
        <f>'Raw data'!K1497</f>
        <v>0</v>
      </c>
      <c r="K1588" s="31">
        <f>'Raw data'!H1497</f>
        <v>0</v>
      </c>
      <c r="L1588" s="26">
        <f t="shared" si="52"/>
        <v>0</v>
      </c>
    </row>
    <row r="1589" spans="2:12">
      <c r="B1589" s="4" t="e">
        <f t="shared" si="51"/>
        <v>#N/A</v>
      </c>
      <c r="C1589" s="4">
        <f>'Raw data'!E1498</f>
        <v>0</v>
      </c>
      <c r="D1589" s="29" t="e">
        <f>VLOOKUP(C1589,'점포코드 '!A:B,2,0)</f>
        <v>#N/A</v>
      </c>
      <c r="E1589" s="30">
        <f>'Raw data'!P1498</f>
        <v>0</v>
      </c>
      <c r="F1589" s="29" t="e">
        <f>VLOOKUP(E1589,'점포코드 '!A:B,2,0)</f>
        <v>#N/A</v>
      </c>
      <c r="G1589" s="46">
        <f>'Raw data'!F1498</f>
        <v>0</v>
      </c>
      <c r="H1589" s="4">
        <f>'Raw data'!G1498</f>
        <v>0</v>
      </c>
      <c r="I1589" s="29" t="e">
        <f>VLOOKUP(G1589,제품명!$C$1:$E$114,2,0)</f>
        <v>#N/A</v>
      </c>
      <c r="J1589" s="29">
        <f>'Raw data'!K1498</f>
        <v>0</v>
      </c>
      <c r="K1589" s="31">
        <f>'Raw data'!H1498</f>
        <v>0</v>
      </c>
      <c r="L1589" s="26">
        <f t="shared" si="52"/>
        <v>0</v>
      </c>
    </row>
    <row r="1590" spans="2:12">
      <c r="B1590" s="4" t="e">
        <f t="shared" si="51"/>
        <v>#N/A</v>
      </c>
      <c r="C1590" s="4">
        <f>'Raw data'!E1499</f>
        <v>0</v>
      </c>
      <c r="D1590" s="29" t="e">
        <f>VLOOKUP(C1590,'점포코드 '!A:B,2,0)</f>
        <v>#N/A</v>
      </c>
      <c r="E1590" s="30">
        <f>'Raw data'!P1499</f>
        <v>0</v>
      </c>
      <c r="F1590" s="29" t="e">
        <f>VLOOKUP(E1590,'점포코드 '!A:B,2,0)</f>
        <v>#N/A</v>
      </c>
      <c r="G1590" s="46">
        <f>'Raw data'!F1499</f>
        <v>0</v>
      </c>
      <c r="H1590" s="4">
        <f>'Raw data'!G1499</f>
        <v>0</v>
      </c>
      <c r="I1590" s="29" t="e">
        <f>VLOOKUP(G1590,제품명!$C$1:$E$114,2,0)</f>
        <v>#N/A</v>
      </c>
      <c r="J1590" s="29">
        <f>'Raw data'!K1499</f>
        <v>0</v>
      </c>
      <c r="K1590" s="31">
        <f>'Raw data'!H1499</f>
        <v>0</v>
      </c>
      <c r="L1590" s="26">
        <f t="shared" si="52"/>
        <v>0</v>
      </c>
    </row>
    <row r="1591" spans="2:12">
      <c r="B1591" s="4" t="e">
        <f t="shared" si="51"/>
        <v>#N/A</v>
      </c>
      <c r="C1591" s="4">
        <f>'Raw data'!E1500</f>
        <v>0</v>
      </c>
      <c r="D1591" s="29" t="e">
        <f>VLOOKUP(C1591,'점포코드 '!A:B,2,0)</f>
        <v>#N/A</v>
      </c>
      <c r="E1591" s="30">
        <f>'Raw data'!P1500</f>
        <v>0</v>
      </c>
      <c r="F1591" s="29" t="e">
        <f>VLOOKUP(E1591,'점포코드 '!A:B,2,0)</f>
        <v>#N/A</v>
      </c>
      <c r="G1591" s="46">
        <f>'Raw data'!F1500</f>
        <v>0</v>
      </c>
      <c r="H1591" s="4">
        <f>'Raw data'!G1500</f>
        <v>0</v>
      </c>
      <c r="I1591" s="29" t="e">
        <f>VLOOKUP(G1591,제품명!$C$1:$E$114,2,0)</f>
        <v>#N/A</v>
      </c>
      <c r="J1591" s="29">
        <f>'Raw data'!K1500</f>
        <v>0</v>
      </c>
      <c r="K1591" s="31">
        <f>'Raw data'!H1500</f>
        <v>0</v>
      </c>
      <c r="L1591" s="26">
        <f t="shared" si="52"/>
        <v>0</v>
      </c>
    </row>
    <row r="1592" spans="2:12">
      <c r="B1592" s="4" t="e">
        <f t="shared" si="51"/>
        <v>#N/A</v>
      </c>
      <c r="C1592" s="4">
        <f>'Raw data'!E1501</f>
        <v>0</v>
      </c>
      <c r="D1592" s="29" t="e">
        <f>VLOOKUP(C1592,'점포코드 '!A:B,2,0)</f>
        <v>#N/A</v>
      </c>
      <c r="E1592" s="30">
        <f>'Raw data'!P1501</f>
        <v>0</v>
      </c>
      <c r="F1592" s="29" t="e">
        <f>VLOOKUP(E1592,'점포코드 '!A:B,2,0)</f>
        <v>#N/A</v>
      </c>
      <c r="G1592" s="46">
        <f>'Raw data'!F1501</f>
        <v>0</v>
      </c>
      <c r="H1592" s="4">
        <f>'Raw data'!G1501</f>
        <v>0</v>
      </c>
      <c r="I1592" s="29" t="e">
        <f>VLOOKUP(G1592,제품명!$C$1:$E$114,2,0)</f>
        <v>#N/A</v>
      </c>
      <c r="J1592" s="29">
        <f>'Raw data'!K1501</f>
        <v>0</v>
      </c>
      <c r="K1592" s="31">
        <f>'Raw data'!H1501</f>
        <v>0</v>
      </c>
      <c r="L1592" s="26">
        <f t="shared" si="52"/>
        <v>0</v>
      </c>
    </row>
    <row r="1593" spans="2:12">
      <c r="B1593" s="4" t="e">
        <f t="shared" si="51"/>
        <v>#N/A</v>
      </c>
      <c r="C1593" s="4">
        <f>'Raw data'!E1502</f>
        <v>0</v>
      </c>
      <c r="D1593" s="29" t="e">
        <f>VLOOKUP(C1593,'점포코드 '!A:B,2,0)</f>
        <v>#N/A</v>
      </c>
      <c r="E1593" s="30">
        <f>'Raw data'!P1502</f>
        <v>0</v>
      </c>
      <c r="F1593" s="29" t="e">
        <f>VLOOKUP(E1593,'점포코드 '!A:B,2,0)</f>
        <v>#N/A</v>
      </c>
      <c r="G1593" s="46">
        <f>'Raw data'!F1502</f>
        <v>0</v>
      </c>
      <c r="H1593" s="4">
        <f>'Raw data'!G1502</f>
        <v>0</v>
      </c>
      <c r="I1593" s="29" t="e">
        <f>VLOOKUP(G1593,제품명!$C$1:$E$114,2,0)</f>
        <v>#N/A</v>
      </c>
      <c r="J1593" s="29">
        <f>'Raw data'!K1502</f>
        <v>0</v>
      </c>
      <c r="K1593" s="31">
        <f>'Raw data'!H1502</f>
        <v>0</v>
      </c>
      <c r="L1593" s="26">
        <f t="shared" si="52"/>
        <v>0</v>
      </c>
    </row>
    <row r="1594" spans="2:12">
      <c r="B1594" s="4" t="e">
        <f t="shared" si="51"/>
        <v>#N/A</v>
      </c>
      <c r="C1594" s="4">
        <f>'Raw data'!E1503</f>
        <v>0</v>
      </c>
      <c r="D1594" s="29" t="e">
        <f>VLOOKUP(C1594,'점포코드 '!A:B,2,0)</f>
        <v>#N/A</v>
      </c>
      <c r="E1594" s="30">
        <f>'Raw data'!P1503</f>
        <v>0</v>
      </c>
      <c r="F1594" s="29" t="e">
        <f>VLOOKUP(E1594,'점포코드 '!A:B,2,0)</f>
        <v>#N/A</v>
      </c>
      <c r="G1594" s="46">
        <f>'Raw data'!F1503</f>
        <v>0</v>
      </c>
      <c r="H1594" s="4">
        <f>'Raw data'!G1503</f>
        <v>0</v>
      </c>
      <c r="I1594" s="29" t="e">
        <f>VLOOKUP(G1594,제품명!$C$1:$E$114,2,0)</f>
        <v>#N/A</v>
      </c>
      <c r="J1594" s="29">
        <f>'Raw data'!K1503</f>
        <v>0</v>
      </c>
      <c r="K1594" s="31">
        <f>'Raw data'!H1503</f>
        <v>0</v>
      </c>
      <c r="L1594" s="26">
        <f t="shared" si="52"/>
        <v>0</v>
      </c>
    </row>
    <row r="1595" spans="2:12">
      <c r="B1595" s="4" t="e">
        <f t="shared" si="51"/>
        <v>#N/A</v>
      </c>
      <c r="C1595" s="4">
        <f>'Raw data'!E1504</f>
        <v>0</v>
      </c>
      <c r="D1595" s="29" t="e">
        <f>VLOOKUP(C1595,'점포코드 '!A:B,2,0)</f>
        <v>#N/A</v>
      </c>
      <c r="E1595" s="30">
        <f>'Raw data'!P1504</f>
        <v>0</v>
      </c>
      <c r="F1595" s="29" t="e">
        <f>VLOOKUP(E1595,'점포코드 '!A:B,2,0)</f>
        <v>#N/A</v>
      </c>
      <c r="G1595" s="46">
        <f>'Raw data'!F1504</f>
        <v>0</v>
      </c>
      <c r="H1595" s="4">
        <f>'Raw data'!G1504</f>
        <v>0</v>
      </c>
      <c r="I1595" s="29" t="e">
        <f>VLOOKUP(G1595,제품명!$C$1:$E$114,2,0)</f>
        <v>#N/A</v>
      </c>
      <c r="J1595" s="29">
        <f>'Raw data'!K1504</f>
        <v>0</v>
      </c>
      <c r="K1595" s="31">
        <f>'Raw data'!H1504</f>
        <v>0</v>
      </c>
      <c r="L1595" s="26">
        <f t="shared" si="52"/>
        <v>0</v>
      </c>
    </row>
    <row r="1596" spans="2:12">
      <c r="B1596" s="4" t="e">
        <f t="shared" si="51"/>
        <v>#N/A</v>
      </c>
      <c r="C1596" s="4">
        <f>'Raw data'!E1505</f>
        <v>0</v>
      </c>
      <c r="D1596" s="29" t="e">
        <f>VLOOKUP(C1596,'점포코드 '!A:B,2,0)</f>
        <v>#N/A</v>
      </c>
      <c r="E1596" s="30">
        <f>'Raw data'!P1505</f>
        <v>0</v>
      </c>
      <c r="F1596" s="29" t="e">
        <f>VLOOKUP(E1596,'점포코드 '!A:B,2,0)</f>
        <v>#N/A</v>
      </c>
      <c r="G1596" s="46">
        <f>'Raw data'!F1505</f>
        <v>0</v>
      </c>
      <c r="H1596" s="4">
        <f>'Raw data'!G1505</f>
        <v>0</v>
      </c>
      <c r="I1596" s="29" t="e">
        <f>VLOOKUP(G1596,제품명!$C$1:$E$114,2,0)</f>
        <v>#N/A</v>
      </c>
      <c r="J1596" s="29">
        <f>'Raw data'!K1505</f>
        <v>0</v>
      </c>
      <c r="K1596" s="31">
        <f>'Raw data'!H1505</f>
        <v>0</v>
      </c>
      <c r="L1596" s="26">
        <f t="shared" si="52"/>
        <v>0</v>
      </c>
    </row>
    <row r="1597" spans="2:12">
      <c r="B1597" s="4" t="e">
        <f t="shared" si="51"/>
        <v>#N/A</v>
      </c>
      <c r="C1597" s="4">
        <f>'Raw data'!E1506</f>
        <v>0</v>
      </c>
      <c r="D1597" s="29" t="e">
        <f>VLOOKUP(C1597,'점포코드 '!A:B,2,0)</f>
        <v>#N/A</v>
      </c>
      <c r="E1597" s="30">
        <f>'Raw data'!P1506</f>
        <v>0</v>
      </c>
      <c r="F1597" s="29" t="e">
        <f>VLOOKUP(E1597,'점포코드 '!A:B,2,0)</f>
        <v>#N/A</v>
      </c>
      <c r="G1597" s="46">
        <f>'Raw data'!F1506</f>
        <v>0</v>
      </c>
      <c r="H1597" s="4">
        <f>'Raw data'!G1506</f>
        <v>0</v>
      </c>
      <c r="I1597" s="29" t="e">
        <f>VLOOKUP(G1597,제품명!$C$1:$E$114,2,0)</f>
        <v>#N/A</v>
      </c>
      <c r="J1597" s="29">
        <f>'Raw data'!K1506</f>
        <v>0</v>
      </c>
      <c r="K1597" s="31">
        <f>'Raw data'!H1506</f>
        <v>0</v>
      </c>
      <c r="L1597" s="26">
        <f t="shared" si="52"/>
        <v>0</v>
      </c>
    </row>
    <row r="1598" spans="2:12">
      <c r="B1598" s="4" t="e">
        <f t="shared" si="51"/>
        <v>#N/A</v>
      </c>
      <c r="C1598" s="4">
        <f>'Raw data'!E1507</f>
        <v>0</v>
      </c>
      <c r="D1598" s="29" t="e">
        <f>VLOOKUP(C1598,'점포코드 '!A:B,2,0)</f>
        <v>#N/A</v>
      </c>
      <c r="E1598" s="30">
        <f>'Raw data'!P1507</f>
        <v>0</v>
      </c>
      <c r="F1598" s="29" t="e">
        <f>VLOOKUP(E1598,'점포코드 '!A:B,2,0)</f>
        <v>#N/A</v>
      </c>
      <c r="G1598" s="46">
        <f>'Raw data'!F1507</f>
        <v>0</v>
      </c>
      <c r="H1598" s="4">
        <f>'Raw data'!G1507</f>
        <v>0</v>
      </c>
      <c r="I1598" s="29" t="e">
        <f>VLOOKUP(G1598,제품명!$C$1:$E$114,2,0)</f>
        <v>#N/A</v>
      </c>
      <c r="J1598" s="29">
        <f>'Raw data'!K1507</f>
        <v>0</v>
      </c>
      <c r="K1598" s="31">
        <f>'Raw data'!H1507</f>
        <v>0</v>
      </c>
      <c r="L1598" s="26">
        <f t="shared" si="52"/>
        <v>0</v>
      </c>
    </row>
    <row r="1599" spans="2:12">
      <c r="B1599" s="4" t="e">
        <f t="shared" si="51"/>
        <v>#N/A</v>
      </c>
      <c r="C1599" s="4">
        <f>'Raw data'!E1508</f>
        <v>0</v>
      </c>
      <c r="D1599" s="29" t="e">
        <f>VLOOKUP(C1599,'점포코드 '!A:B,2,0)</f>
        <v>#N/A</v>
      </c>
      <c r="E1599" s="30">
        <f>'Raw data'!P1508</f>
        <v>0</v>
      </c>
      <c r="F1599" s="29" t="e">
        <f>VLOOKUP(E1599,'점포코드 '!A:B,2,0)</f>
        <v>#N/A</v>
      </c>
      <c r="G1599" s="46">
        <f>'Raw data'!F1508</f>
        <v>0</v>
      </c>
      <c r="H1599" s="4">
        <f>'Raw data'!G1508</f>
        <v>0</v>
      </c>
      <c r="I1599" s="29" t="e">
        <f>VLOOKUP(G1599,제품명!$C$1:$E$114,2,0)</f>
        <v>#N/A</v>
      </c>
      <c r="J1599" s="29">
        <f>'Raw data'!K1508</f>
        <v>0</v>
      </c>
      <c r="K1599" s="31">
        <f>'Raw data'!H1508</f>
        <v>0</v>
      </c>
      <c r="L1599" s="26">
        <f t="shared" si="52"/>
        <v>0</v>
      </c>
    </row>
    <row r="1600" spans="2:12">
      <c r="B1600" s="4" t="e">
        <f t="shared" si="51"/>
        <v>#N/A</v>
      </c>
      <c r="C1600" s="4">
        <f>'Raw data'!E1509</f>
        <v>0</v>
      </c>
      <c r="D1600" s="29" t="e">
        <f>VLOOKUP(C1600,'점포코드 '!A:B,2,0)</f>
        <v>#N/A</v>
      </c>
      <c r="E1600" s="30">
        <f>'Raw data'!P1509</f>
        <v>0</v>
      </c>
      <c r="F1600" s="29" t="e">
        <f>VLOOKUP(E1600,'점포코드 '!A:B,2,0)</f>
        <v>#N/A</v>
      </c>
      <c r="G1600" s="46">
        <f>'Raw data'!F1509</f>
        <v>0</v>
      </c>
      <c r="H1600" s="4">
        <f>'Raw data'!G1509</f>
        <v>0</v>
      </c>
      <c r="I1600" s="29" t="e">
        <f>VLOOKUP(G1600,제품명!$C$1:$E$114,2,0)</f>
        <v>#N/A</v>
      </c>
      <c r="J1600" s="29">
        <f>'Raw data'!K1509</f>
        <v>0</v>
      </c>
      <c r="K1600" s="31">
        <f>'Raw data'!H1509</f>
        <v>0</v>
      </c>
      <c r="L1600" s="26">
        <f t="shared" si="52"/>
        <v>0</v>
      </c>
    </row>
    <row r="1601" spans="2:12">
      <c r="B1601" s="4" t="e">
        <f t="shared" si="51"/>
        <v>#N/A</v>
      </c>
      <c r="C1601" s="4">
        <f>'Raw data'!E1510</f>
        <v>0</v>
      </c>
      <c r="D1601" s="29" t="e">
        <f>VLOOKUP(C1601,'점포코드 '!A:B,2,0)</f>
        <v>#N/A</v>
      </c>
      <c r="E1601" s="30">
        <f>'Raw data'!P1510</f>
        <v>0</v>
      </c>
      <c r="F1601" s="29" t="e">
        <f>VLOOKUP(E1601,'점포코드 '!A:B,2,0)</f>
        <v>#N/A</v>
      </c>
      <c r="G1601" s="46">
        <f>'Raw data'!F1510</f>
        <v>0</v>
      </c>
      <c r="H1601" s="4">
        <f>'Raw data'!G1510</f>
        <v>0</v>
      </c>
      <c r="I1601" s="29" t="e">
        <f>VLOOKUP(G1601,제품명!$C$1:$E$114,2,0)</f>
        <v>#N/A</v>
      </c>
      <c r="J1601" s="29">
        <f>'Raw data'!K1510</f>
        <v>0</v>
      </c>
      <c r="K1601" s="31">
        <f>'Raw data'!H1510</f>
        <v>0</v>
      </c>
      <c r="L1601" s="26">
        <f t="shared" si="52"/>
        <v>0</v>
      </c>
    </row>
    <row r="1602" spans="2:12">
      <c r="B1602" s="4" t="e">
        <f t="shared" ref="B1602:B1665" si="53">F1602&amp;I1602</f>
        <v>#N/A</v>
      </c>
      <c r="C1602" s="4">
        <f>'Raw data'!E1511</f>
        <v>0</v>
      </c>
      <c r="D1602" s="29" t="e">
        <f>VLOOKUP(C1602,'점포코드 '!A:B,2,0)</f>
        <v>#N/A</v>
      </c>
      <c r="E1602" s="30">
        <f>'Raw data'!P1511</f>
        <v>0</v>
      </c>
      <c r="F1602" s="29" t="e">
        <f>VLOOKUP(E1602,'점포코드 '!A:B,2,0)</f>
        <v>#N/A</v>
      </c>
      <c r="G1602" s="46">
        <f>'Raw data'!F1511</f>
        <v>0</v>
      </c>
      <c r="H1602" s="4">
        <f>'Raw data'!G1511</f>
        <v>0</v>
      </c>
      <c r="I1602" s="29" t="e">
        <f>VLOOKUP(G1602,제품명!$C$1:$E$114,2,0)</f>
        <v>#N/A</v>
      </c>
      <c r="J1602" s="29">
        <f>'Raw data'!K1511</f>
        <v>0</v>
      </c>
      <c r="K1602" s="31">
        <f>'Raw data'!H1511</f>
        <v>0</v>
      </c>
      <c r="L1602" s="26">
        <f t="shared" si="52"/>
        <v>0</v>
      </c>
    </row>
    <row r="1603" spans="2:12">
      <c r="B1603" s="4" t="e">
        <f t="shared" si="53"/>
        <v>#N/A</v>
      </c>
      <c r="C1603" s="4">
        <f>'Raw data'!E1512</f>
        <v>0</v>
      </c>
      <c r="D1603" s="29" t="e">
        <f>VLOOKUP(C1603,'점포코드 '!A:B,2,0)</f>
        <v>#N/A</v>
      </c>
      <c r="E1603" s="30">
        <f>'Raw data'!P1512</f>
        <v>0</v>
      </c>
      <c r="F1603" s="29" t="e">
        <f>VLOOKUP(E1603,'점포코드 '!A:B,2,0)</f>
        <v>#N/A</v>
      </c>
      <c r="G1603" s="46">
        <f>'Raw data'!F1512</f>
        <v>0</v>
      </c>
      <c r="H1603" s="4">
        <f>'Raw data'!G1512</f>
        <v>0</v>
      </c>
      <c r="I1603" s="29" t="e">
        <f>VLOOKUP(G1603,제품명!$C$1:$E$114,2,0)</f>
        <v>#N/A</v>
      </c>
      <c r="J1603" s="29">
        <f>'Raw data'!K1512</f>
        <v>0</v>
      </c>
      <c r="K1603" s="31">
        <f>'Raw data'!H1512</f>
        <v>0</v>
      </c>
      <c r="L1603" s="26">
        <f t="shared" ref="L1603:L1666" si="54">J1603*K1603</f>
        <v>0</v>
      </c>
    </row>
    <row r="1604" spans="2:12">
      <c r="B1604" s="4" t="e">
        <f t="shared" si="53"/>
        <v>#N/A</v>
      </c>
      <c r="C1604" s="4">
        <f>'Raw data'!E1513</f>
        <v>0</v>
      </c>
      <c r="D1604" s="29" t="e">
        <f>VLOOKUP(C1604,'점포코드 '!A:B,2,0)</f>
        <v>#N/A</v>
      </c>
      <c r="E1604" s="30">
        <f>'Raw data'!P1513</f>
        <v>0</v>
      </c>
      <c r="F1604" s="29" t="e">
        <f>VLOOKUP(E1604,'점포코드 '!A:B,2,0)</f>
        <v>#N/A</v>
      </c>
      <c r="G1604" s="46">
        <f>'Raw data'!F1513</f>
        <v>0</v>
      </c>
      <c r="H1604" s="4">
        <f>'Raw data'!G1513</f>
        <v>0</v>
      </c>
      <c r="I1604" s="29" t="e">
        <f>VLOOKUP(G1604,제품명!$C$1:$E$114,2,0)</f>
        <v>#N/A</v>
      </c>
      <c r="J1604" s="29">
        <f>'Raw data'!K1513</f>
        <v>0</v>
      </c>
      <c r="K1604" s="31">
        <f>'Raw data'!H1513</f>
        <v>0</v>
      </c>
      <c r="L1604" s="26">
        <f t="shared" si="54"/>
        <v>0</v>
      </c>
    </row>
    <row r="1605" spans="2:12">
      <c r="B1605" s="4" t="e">
        <f t="shared" si="53"/>
        <v>#N/A</v>
      </c>
      <c r="C1605" s="4">
        <f>'Raw data'!E1514</f>
        <v>0</v>
      </c>
      <c r="D1605" s="29" t="e">
        <f>VLOOKUP(C1605,'점포코드 '!A:B,2,0)</f>
        <v>#N/A</v>
      </c>
      <c r="E1605" s="30">
        <f>'Raw data'!P1514</f>
        <v>0</v>
      </c>
      <c r="F1605" s="29" t="e">
        <f>VLOOKUP(E1605,'점포코드 '!A:B,2,0)</f>
        <v>#N/A</v>
      </c>
      <c r="G1605" s="46">
        <f>'Raw data'!F1514</f>
        <v>0</v>
      </c>
      <c r="H1605" s="4">
        <f>'Raw data'!G1514</f>
        <v>0</v>
      </c>
      <c r="I1605" s="29" t="e">
        <f>VLOOKUP(G1605,제품명!$C$1:$E$114,2,0)</f>
        <v>#N/A</v>
      </c>
      <c r="J1605" s="29">
        <f>'Raw data'!K1514</f>
        <v>0</v>
      </c>
      <c r="K1605" s="31">
        <f>'Raw data'!H1514</f>
        <v>0</v>
      </c>
      <c r="L1605" s="26">
        <f t="shared" si="54"/>
        <v>0</v>
      </c>
    </row>
    <row r="1606" spans="2:12">
      <c r="B1606" s="4" t="e">
        <f t="shared" si="53"/>
        <v>#N/A</v>
      </c>
      <c r="C1606" s="4">
        <f>'Raw data'!E1515</f>
        <v>0</v>
      </c>
      <c r="D1606" s="29" t="e">
        <f>VLOOKUP(C1606,'점포코드 '!A:B,2,0)</f>
        <v>#N/A</v>
      </c>
      <c r="E1606" s="30">
        <f>'Raw data'!P1515</f>
        <v>0</v>
      </c>
      <c r="F1606" s="29" t="e">
        <f>VLOOKUP(E1606,'점포코드 '!A:B,2,0)</f>
        <v>#N/A</v>
      </c>
      <c r="G1606" s="46">
        <f>'Raw data'!F1515</f>
        <v>0</v>
      </c>
      <c r="H1606" s="4">
        <f>'Raw data'!G1515</f>
        <v>0</v>
      </c>
      <c r="I1606" s="29" t="e">
        <f>VLOOKUP(G1606,제품명!$C$1:$E$114,2,0)</f>
        <v>#N/A</v>
      </c>
      <c r="J1606" s="29">
        <f>'Raw data'!K1515</f>
        <v>0</v>
      </c>
      <c r="K1606" s="31">
        <f>'Raw data'!H1515</f>
        <v>0</v>
      </c>
      <c r="L1606" s="26">
        <f t="shared" si="54"/>
        <v>0</v>
      </c>
    </row>
    <row r="1607" spans="2:12">
      <c r="B1607" s="4" t="e">
        <f t="shared" si="53"/>
        <v>#N/A</v>
      </c>
      <c r="C1607" s="4">
        <f>'Raw data'!E1516</f>
        <v>0</v>
      </c>
      <c r="D1607" s="29" t="e">
        <f>VLOOKUP(C1607,'점포코드 '!A:B,2,0)</f>
        <v>#N/A</v>
      </c>
      <c r="E1607" s="30">
        <f>'Raw data'!P1516</f>
        <v>0</v>
      </c>
      <c r="F1607" s="29" t="e">
        <f>VLOOKUP(E1607,'점포코드 '!A:B,2,0)</f>
        <v>#N/A</v>
      </c>
      <c r="G1607" s="46">
        <f>'Raw data'!F1516</f>
        <v>0</v>
      </c>
      <c r="H1607" s="4">
        <f>'Raw data'!G1516</f>
        <v>0</v>
      </c>
      <c r="I1607" s="29" t="e">
        <f>VLOOKUP(G1607,제품명!$C$1:$E$114,2,0)</f>
        <v>#N/A</v>
      </c>
      <c r="J1607" s="29">
        <f>'Raw data'!K1516</f>
        <v>0</v>
      </c>
      <c r="K1607" s="31">
        <f>'Raw data'!H1516</f>
        <v>0</v>
      </c>
      <c r="L1607" s="26">
        <f t="shared" si="54"/>
        <v>0</v>
      </c>
    </row>
    <row r="1608" spans="2:12">
      <c r="B1608" s="4" t="e">
        <f t="shared" si="53"/>
        <v>#N/A</v>
      </c>
      <c r="C1608" s="4">
        <f>'Raw data'!E1517</f>
        <v>0</v>
      </c>
      <c r="D1608" s="29" t="e">
        <f>VLOOKUP(C1608,'점포코드 '!A:B,2,0)</f>
        <v>#N/A</v>
      </c>
      <c r="E1608" s="30">
        <f>'Raw data'!P1517</f>
        <v>0</v>
      </c>
      <c r="F1608" s="29" t="e">
        <f>VLOOKUP(E1608,'점포코드 '!A:B,2,0)</f>
        <v>#N/A</v>
      </c>
      <c r="G1608" s="46">
        <f>'Raw data'!F1517</f>
        <v>0</v>
      </c>
      <c r="H1608" s="4">
        <f>'Raw data'!G1517</f>
        <v>0</v>
      </c>
      <c r="I1608" s="29" t="e">
        <f>VLOOKUP(G1608,제품명!$C$1:$E$114,2,0)</f>
        <v>#N/A</v>
      </c>
      <c r="J1608" s="29">
        <f>'Raw data'!K1517</f>
        <v>0</v>
      </c>
      <c r="K1608" s="31">
        <f>'Raw data'!H1517</f>
        <v>0</v>
      </c>
      <c r="L1608" s="26">
        <f t="shared" si="54"/>
        <v>0</v>
      </c>
    </row>
    <row r="1609" spans="2:12">
      <c r="B1609" s="4" t="e">
        <f t="shared" si="53"/>
        <v>#N/A</v>
      </c>
      <c r="C1609" s="4">
        <f>'Raw data'!E1518</f>
        <v>0</v>
      </c>
      <c r="D1609" s="29" t="e">
        <f>VLOOKUP(C1609,'점포코드 '!A:B,2,0)</f>
        <v>#N/A</v>
      </c>
      <c r="E1609" s="30">
        <f>'Raw data'!P1518</f>
        <v>0</v>
      </c>
      <c r="F1609" s="29" t="e">
        <f>VLOOKUP(E1609,'점포코드 '!A:B,2,0)</f>
        <v>#N/A</v>
      </c>
      <c r="G1609" s="46">
        <f>'Raw data'!F1518</f>
        <v>0</v>
      </c>
      <c r="H1609" s="4">
        <f>'Raw data'!G1518</f>
        <v>0</v>
      </c>
      <c r="I1609" s="29" t="e">
        <f>VLOOKUP(G1609,제품명!$C$1:$E$114,2,0)</f>
        <v>#N/A</v>
      </c>
      <c r="J1609" s="29">
        <f>'Raw data'!K1518</f>
        <v>0</v>
      </c>
      <c r="K1609" s="31">
        <f>'Raw data'!H1518</f>
        <v>0</v>
      </c>
      <c r="L1609" s="26">
        <f t="shared" si="54"/>
        <v>0</v>
      </c>
    </row>
    <row r="1610" spans="2:12">
      <c r="B1610" s="4" t="e">
        <f t="shared" si="53"/>
        <v>#N/A</v>
      </c>
      <c r="C1610" s="4">
        <f>'Raw data'!E1519</f>
        <v>0</v>
      </c>
      <c r="D1610" s="29" t="e">
        <f>VLOOKUP(C1610,'점포코드 '!A:B,2,0)</f>
        <v>#N/A</v>
      </c>
      <c r="E1610" s="30">
        <f>'Raw data'!P1519</f>
        <v>0</v>
      </c>
      <c r="F1610" s="29" t="e">
        <f>VLOOKUP(E1610,'점포코드 '!A:B,2,0)</f>
        <v>#N/A</v>
      </c>
      <c r="G1610" s="46">
        <f>'Raw data'!F1519</f>
        <v>0</v>
      </c>
      <c r="H1610" s="4">
        <f>'Raw data'!G1519</f>
        <v>0</v>
      </c>
      <c r="I1610" s="29" t="e">
        <f>VLOOKUP(G1610,제품명!$C$1:$E$114,2,0)</f>
        <v>#N/A</v>
      </c>
      <c r="J1610" s="29">
        <f>'Raw data'!K1519</f>
        <v>0</v>
      </c>
      <c r="K1610" s="31">
        <f>'Raw data'!H1519</f>
        <v>0</v>
      </c>
      <c r="L1610" s="26">
        <f t="shared" si="54"/>
        <v>0</v>
      </c>
    </row>
    <row r="1611" spans="2:12">
      <c r="B1611" s="4" t="e">
        <f t="shared" si="53"/>
        <v>#N/A</v>
      </c>
      <c r="C1611" s="4">
        <f>'Raw data'!E1520</f>
        <v>0</v>
      </c>
      <c r="D1611" s="29" t="e">
        <f>VLOOKUP(C1611,'점포코드 '!A:B,2,0)</f>
        <v>#N/A</v>
      </c>
      <c r="E1611" s="30">
        <f>'Raw data'!P1520</f>
        <v>0</v>
      </c>
      <c r="F1611" s="29" t="e">
        <f>VLOOKUP(E1611,'점포코드 '!A:B,2,0)</f>
        <v>#N/A</v>
      </c>
      <c r="G1611" s="46">
        <f>'Raw data'!F1520</f>
        <v>0</v>
      </c>
      <c r="H1611" s="4">
        <f>'Raw data'!G1520</f>
        <v>0</v>
      </c>
      <c r="I1611" s="29" t="e">
        <f>VLOOKUP(G1611,제품명!$C$1:$E$114,2,0)</f>
        <v>#N/A</v>
      </c>
      <c r="J1611" s="29">
        <f>'Raw data'!K1520</f>
        <v>0</v>
      </c>
      <c r="K1611" s="31">
        <f>'Raw data'!H1520</f>
        <v>0</v>
      </c>
      <c r="L1611" s="26">
        <f t="shared" si="54"/>
        <v>0</v>
      </c>
    </row>
    <row r="1612" spans="2:12">
      <c r="B1612" s="4" t="e">
        <f t="shared" si="53"/>
        <v>#N/A</v>
      </c>
      <c r="C1612" s="4">
        <f>'Raw data'!E1521</f>
        <v>0</v>
      </c>
      <c r="D1612" s="29" t="e">
        <f>VLOOKUP(C1612,'점포코드 '!A:B,2,0)</f>
        <v>#N/A</v>
      </c>
      <c r="E1612" s="30">
        <f>'Raw data'!P1521</f>
        <v>0</v>
      </c>
      <c r="F1612" s="29" t="e">
        <f>VLOOKUP(E1612,'점포코드 '!A:B,2,0)</f>
        <v>#N/A</v>
      </c>
      <c r="G1612" s="46">
        <f>'Raw data'!F1521</f>
        <v>0</v>
      </c>
      <c r="H1612" s="4">
        <f>'Raw data'!G1521</f>
        <v>0</v>
      </c>
      <c r="I1612" s="29" t="e">
        <f>VLOOKUP(G1612,제품명!$C$1:$E$114,2,0)</f>
        <v>#N/A</v>
      </c>
      <c r="J1612" s="29">
        <f>'Raw data'!K1521</f>
        <v>0</v>
      </c>
      <c r="K1612" s="31">
        <f>'Raw data'!H1521</f>
        <v>0</v>
      </c>
      <c r="L1612" s="26">
        <f t="shared" si="54"/>
        <v>0</v>
      </c>
    </row>
    <row r="1613" spans="2:12">
      <c r="B1613" s="4" t="e">
        <f t="shared" si="53"/>
        <v>#N/A</v>
      </c>
      <c r="C1613" s="4">
        <f>'Raw data'!E1522</f>
        <v>0</v>
      </c>
      <c r="D1613" s="29" t="e">
        <f>VLOOKUP(C1613,'점포코드 '!A:B,2,0)</f>
        <v>#N/A</v>
      </c>
      <c r="E1613" s="30">
        <f>'Raw data'!P1522</f>
        <v>0</v>
      </c>
      <c r="F1613" s="29" t="e">
        <f>VLOOKUP(E1613,'점포코드 '!A:B,2,0)</f>
        <v>#N/A</v>
      </c>
      <c r="G1613" s="46">
        <f>'Raw data'!F1522</f>
        <v>0</v>
      </c>
      <c r="H1613" s="4">
        <f>'Raw data'!G1522</f>
        <v>0</v>
      </c>
      <c r="I1613" s="29" t="e">
        <f>VLOOKUP(G1613,제품명!$C$1:$E$114,2,0)</f>
        <v>#N/A</v>
      </c>
      <c r="J1613" s="29">
        <f>'Raw data'!K1522</f>
        <v>0</v>
      </c>
      <c r="K1613" s="31">
        <f>'Raw data'!H1522</f>
        <v>0</v>
      </c>
      <c r="L1613" s="26">
        <f t="shared" si="54"/>
        <v>0</v>
      </c>
    </row>
    <row r="1614" spans="2:12">
      <c r="B1614" s="4" t="e">
        <f t="shared" si="53"/>
        <v>#N/A</v>
      </c>
      <c r="C1614" s="4">
        <f>'Raw data'!E1523</f>
        <v>0</v>
      </c>
      <c r="D1614" s="29" t="e">
        <f>VLOOKUP(C1614,'점포코드 '!A:B,2,0)</f>
        <v>#N/A</v>
      </c>
      <c r="E1614" s="30">
        <f>'Raw data'!P1523</f>
        <v>0</v>
      </c>
      <c r="F1614" s="29" t="e">
        <f>VLOOKUP(E1614,'점포코드 '!A:B,2,0)</f>
        <v>#N/A</v>
      </c>
      <c r="G1614" s="46">
        <f>'Raw data'!F1523</f>
        <v>0</v>
      </c>
      <c r="H1614" s="4">
        <f>'Raw data'!G1523</f>
        <v>0</v>
      </c>
      <c r="I1614" s="29" t="e">
        <f>VLOOKUP(G1614,제품명!$C$1:$E$114,2,0)</f>
        <v>#N/A</v>
      </c>
      <c r="J1614" s="29">
        <f>'Raw data'!K1523</f>
        <v>0</v>
      </c>
      <c r="K1614" s="31">
        <f>'Raw data'!H1523</f>
        <v>0</v>
      </c>
      <c r="L1614" s="26">
        <f t="shared" si="54"/>
        <v>0</v>
      </c>
    </row>
    <row r="1615" spans="2:12">
      <c r="B1615" s="4" t="e">
        <f t="shared" si="53"/>
        <v>#N/A</v>
      </c>
      <c r="C1615" s="4">
        <f>'Raw data'!E1524</f>
        <v>0</v>
      </c>
      <c r="D1615" s="29" t="e">
        <f>VLOOKUP(C1615,'점포코드 '!A:B,2,0)</f>
        <v>#N/A</v>
      </c>
      <c r="E1615" s="30">
        <f>'Raw data'!P1524</f>
        <v>0</v>
      </c>
      <c r="F1615" s="29" t="e">
        <f>VLOOKUP(E1615,'점포코드 '!A:B,2,0)</f>
        <v>#N/A</v>
      </c>
      <c r="G1615" s="46">
        <f>'Raw data'!F1524</f>
        <v>0</v>
      </c>
      <c r="H1615" s="4">
        <f>'Raw data'!G1524</f>
        <v>0</v>
      </c>
      <c r="I1615" s="29" t="e">
        <f>VLOOKUP(G1615,제품명!$C$1:$E$114,2,0)</f>
        <v>#N/A</v>
      </c>
      <c r="J1615" s="29">
        <f>'Raw data'!K1524</f>
        <v>0</v>
      </c>
      <c r="K1615" s="31">
        <f>'Raw data'!H1524</f>
        <v>0</v>
      </c>
      <c r="L1615" s="26">
        <f t="shared" si="54"/>
        <v>0</v>
      </c>
    </row>
    <row r="1616" spans="2:12">
      <c r="B1616" s="4" t="e">
        <f t="shared" si="53"/>
        <v>#N/A</v>
      </c>
      <c r="C1616" s="4">
        <f>'Raw data'!E1525</f>
        <v>0</v>
      </c>
      <c r="D1616" s="29" t="e">
        <f>VLOOKUP(C1616,'점포코드 '!A:B,2,0)</f>
        <v>#N/A</v>
      </c>
      <c r="E1616" s="30">
        <f>'Raw data'!P1525</f>
        <v>0</v>
      </c>
      <c r="F1616" s="29" t="e">
        <f>VLOOKUP(E1616,'점포코드 '!A:B,2,0)</f>
        <v>#N/A</v>
      </c>
      <c r="G1616" s="46">
        <f>'Raw data'!F1525</f>
        <v>0</v>
      </c>
      <c r="H1616" s="4">
        <f>'Raw data'!G1525</f>
        <v>0</v>
      </c>
      <c r="I1616" s="29" t="e">
        <f>VLOOKUP(G1616,제품명!$C$1:$E$114,2,0)</f>
        <v>#N/A</v>
      </c>
      <c r="J1616" s="29">
        <f>'Raw data'!K1525</f>
        <v>0</v>
      </c>
      <c r="K1616" s="31">
        <f>'Raw data'!H1525</f>
        <v>0</v>
      </c>
      <c r="L1616" s="26">
        <f t="shared" si="54"/>
        <v>0</v>
      </c>
    </row>
    <row r="1617" spans="2:12">
      <c r="B1617" s="4" t="e">
        <f t="shared" si="53"/>
        <v>#N/A</v>
      </c>
      <c r="C1617" s="4">
        <f>'Raw data'!E1526</f>
        <v>0</v>
      </c>
      <c r="D1617" s="29" t="e">
        <f>VLOOKUP(C1617,'점포코드 '!A:B,2,0)</f>
        <v>#N/A</v>
      </c>
      <c r="E1617" s="30">
        <f>'Raw data'!P1526</f>
        <v>0</v>
      </c>
      <c r="F1617" s="29" t="e">
        <f>VLOOKUP(E1617,'점포코드 '!A:B,2,0)</f>
        <v>#N/A</v>
      </c>
      <c r="G1617" s="46">
        <f>'Raw data'!F1526</f>
        <v>0</v>
      </c>
      <c r="H1617" s="4">
        <f>'Raw data'!G1526</f>
        <v>0</v>
      </c>
      <c r="I1617" s="29" t="e">
        <f>VLOOKUP(G1617,제품명!$C$1:$E$114,2,0)</f>
        <v>#N/A</v>
      </c>
      <c r="J1617" s="29">
        <f>'Raw data'!K1526</f>
        <v>0</v>
      </c>
      <c r="K1617" s="31">
        <f>'Raw data'!H1526</f>
        <v>0</v>
      </c>
      <c r="L1617" s="26">
        <f t="shared" si="54"/>
        <v>0</v>
      </c>
    </row>
    <row r="1618" spans="2:12">
      <c r="B1618" s="4" t="e">
        <f t="shared" si="53"/>
        <v>#N/A</v>
      </c>
      <c r="C1618" s="4">
        <f>'Raw data'!E1527</f>
        <v>0</v>
      </c>
      <c r="D1618" s="29" t="e">
        <f>VLOOKUP(C1618,'점포코드 '!A:B,2,0)</f>
        <v>#N/A</v>
      </c>
      <c r="E1618" s="30">
        <f>'Raw data'!P1527</f>
        <v>0</v>
      </c>
      <c r="F1618" s="29" t="e">
        <f>VLOOKUP(E1618,'점포코드 '!A:B,2,0)</f>
        <v>#N/A</v>
      </c>
      <c r="G1618" s="46">
        <f>'Raw data'!F1527</f>
        <v>0</v>
      </c>
      <c r="H1618" s="4">
        <f>'Raw data'!G1527</f>
        <v>0</v>
      </c>
      <c r="I1618" s="29" t="e">
        <f>VLOOKUP(G1618,제품명!$C$1:$E$114,2,0)</f>
        <v>#N/A</v>
      </c>
      <c r="J1618" s="29">
        <f>'Raw data'!K1527</f>
        <v>0</v>
      </c>
      <c r="K1618" s="31">
        <f>'Raw data'!H1527</f>
        <v>0</v>
      </c>
      <c r="L1618" s="26">
        <f t="shared" si="54"/>
        <v>0</v>
      </c>
    </row>
    <row r="1619" spans="2:12">
      <c r="B1619" s="4" t="e">
        <f t="shared" si="53"/>
        <v>#N/A</v>
      </c>
      <c r="C1619" s="4">
        <f>'Raw data'!E1528</f>
        <v>0</v>
      </c>
      <c r="D1619" s="29" t="e">
        <f>VLOOKUP(C1619,'점포코드 '!A:B,2,0)</f>
        <v>#N/A</v>
      </c>
      <c r="E1619" s="30">
        <f>'Raw data'!P1528</f>
        <v>0</v>
      </c>
      <c r="F1619" s="29" t="e">
        <f>VLOOKUP(E1619,'점포코드 '!A:B,2,0)</f>
        <v>#N/A</v>
      </c>
      <c r="G1619" s="46">
        <f>'Raw data'!F1528</f>
        <v>0</v>
      </c>
      <c r="H1619" s="4">
        <f>'Raw data'!G1528</f>
        <v>0</v>
      </c>
      <c r="I1619" s="29" t="e">
        <f>VLOOKUP(G1619,제품명!$C$1:$E$114,2,0)</f>
        <v>#N/A</v>
      </c>
      <c r="J1619" s="29">
        <f>'Raw data'!K1528</f>
        <v>0</v>
      </c>
      <c r="K1619" s="31">
        <f>'Raw data'!H1528</f>
        <v>0</v>
      </c>
      <c r="L1619" s="26">
        <f t="shared" si="54"/>
        <v>0</v>
      </c>
    </row>
    <row r="1620" spans="2:12">
      <c r="B1620" s="4" t="e">
        <f t="shared" si="53"/>
        <v>#N/A</v>
      </c>
      <c r="C1620" s="4">
        <f>'Raw data'!E1529</f>
        <v>0</v>
      </c>
      <c r="D1620" s="29" t="e">
        <f>VLOOKUP(C1620,'점포코드 '!A:B,2,0)</f>
        <v>#N/A</v>
      </c>
      <c r="E1620" s="30">
        <f>'Raw data'!P1529</f>
        <v>0</v>
      </c>
      <c r="F1620" s="29" t="e">
        <f>VLOOKUP(E1620,'점포코드 '!A:B,2,0)</f>
        <v>#N/A</v>
      </c>
      <c r="G1620" s="46">
        <f>'Raw data'!F1529</f>
        <v>0</v>
      </c>
      <c r="H1620" s="4">
        <f>'Raw data'!G1529</f>
        <v>0</v>
      </c>
      <c r="I1620" s="29" t="e">
        <f>VLOOKUP(G1620,제품명!$C$1:$E$114,2,0)</f>
        <v>#N/A</v>
      </c>
      <c r="J1620" s="29">
        <f>'Raw data'!K1529</f>
        <v>0</v>
      </c>
      <c r="K1620" s="31">
        <f>'Raw data'!H1529</f>
        <v>0</v>
      </c>
      <c r="L1620" s="26">
        <f t="shared" si="54"/>
        <v>0</v>
      </c>
    </row>
    <row r="1621" spans="2:12">
      <c r="B1621" s="4" t="e">
        <f t="shared" si="53"/>
        <v>#N/A</v>
      </c>
      <c r="C1621" s="4">
        <f>'Raw data'!E1530</f>
        <v>0</v>
      </c>
      <c r="D1621" s="29" t="e">
        <f>VLOOKUP(C1621,'점포코드 '!A:B,2,0)</f>
        <v>#N/A</v>
      </c>
      <c r="E1621" s="30">
        <f>'Raw data'!P1530</f>
        <v>0</v>
      </c>
      <c r="F1621" s="29" t="e">
        <f>VLOOKUP(E1621,'점포코드 '!A:B,2,0)</f>
        <v>#N/A</v>
      </c>
      <c r="G1621" s="46">
        <f>'Raw data'!F1530</f>
        <v>0</v>
      </c>
      <c r="H1621" s="4">
        <f>'Raw data'!G1530</f>
        <v>0</v>
      </c>
      <c r="I1621" s="29" t="e">
        <f>VLOOKUP(G1621,제품명!$C$1:$E$114,2,0)</f>
        <v>#N/A</v>
      </c>
      <c r="J1621" s="29">
        <f>'Raw data'!K1530</f>
        <v>0</v>
      </c>
      <c r="K1621" s="31">
        <f>'Raw data'!H1530</f>
        <v>0</v>
      </c>
      <c r="L1621" s="26">
        <f t="shared" si="54"/>
        <v>0</v>
      </c>
    </row>
    <row r="1622" spans="2:12">
      <c r="B1622" s="4" t="e">
        <f t="shared" si="53"/>
        <v>#N/A</v>
      </c>
      <c r="C1622" s="4">
        <f>'Raw data'!E1531</f>
        <v>0</v>
      </c>
      <c r="D1622" s="29" t="e">
        <f>VLOOKUP(C1622,'점포코드 '!A:B,2,0)</f>
        <v>#N/A</v>
      </c>
      <c r="E1622" s="30">
        <f>'Raw data'!P1531</f>
        <v>0</v>
      </c>
      <c r="F1622" s="29" t="e">
        <f>VLOOKUP(E1622,'점포코드 '!A:B,2,0)</f>
        <v>#N/A</v>
      </c>
      <c r="G1622" s="46">
        <f>'Raw data'!F1531</f>
        <v>0</v>
      </c>
      <c r="H1622" s="4">
        <f>'Raw data'!G1531</f>
        <v>0</v>
      </c>
      <c r="I1622" s="29" t="e">
        <f>VLOOKUP(G1622,제품명!$C$1:$E$114,2,0)</f>
        <v>#N/A</v>
      </c>
      <c r="J1622" s="29">
        <f>'Raw data'!K1531</f>
        <v>0</v>
      </c>
      <c r="K1622" s="31">
        <f>'Raw data'!H1531</f>
        <v>0</v>
      </c>
      <c r="L1622" s="26">
        <f t="shared" si="54"/>
        <v>0</v>
      </c>
    </row>
    <row r="1623" spans="2:12">
      <c r="B1623" s="4" t="e">
        <f t="shared" si="53"/>
        <v>#N/A</v>
      </c>
      <c r="C1623" s="4">
        <f>'Raw data'!E1532</f>
        <v>0</v>
      </c>
      <c r="D1623" s="29" t="e">
        <f>VLOOKUP(C1623,'점포코드 '!A:B,2,0)</f>
        <v>#N/A</v>
      </c>
      <c r="E1623" s="30">
        <f>'Raw data'!P1532</f>
        <v>0</v>
      </c>
      <c r="F1623" s="29" t="e">
        <f>VLOOKUP(E1623,'점포코드 '!A:B,2,0)</f>
        <v>#N/A</v>
      </c>
      <c r="G1623" s="46">
        <f>'Raw data'!F1532</f>
        <v>0</v>
      </c>
      <c r="H1623" s="4">
        <f>'Raw data'!G1532</f>
        <v>0</v>
      </c>
      <c r="I1623" s="29" t="e">
        <f>VLOOKUP(G1623,제품명!$C$1:$E$114,2,0)</f>
        <v>#N/A</v>
      </c>
      <c r="J1623" s="29">
        <f>'Raw data'!K1532</f>
        <v>0</v>
      </c>
      <c r="K1623" s="31">
        <f>'Raw data'!H1532</f>
        <v>0</v>
      </c>
      <c r="L1623" s="26">
        <f t="shared" si="54"/>
        <v>0</v>
      </c>
    </row>
    <row r="1624" spans="2:12">
      <c r="B1624" s="4" t="e">
        <f t="shared" si="53"/>
        <v>#N/A</v>
      </c>
      <c r="C1624" s="4">
        <f>'Raw data'!E1533</f>
        <v>0</v>
      </c>
      <c r="D1624" s="29" t="e">
        <f>VLOOKUP(C1624,'점포코드 '!A:B,2,0)</f>
        <v>#N/A</v>
      </c>
      <c r="E1624" s="30">
        <f>'Raw data'!P1533</f>
        <v>0</v>
      </c>
      <c r="F1624" s="29" t="e">
        <f>VLOOKUP(E1624,'점포코드 '!A:B,2,0)</f>
        <v>#N/A</v>
      </c>
      <c r="G1624" s="46">
        <f>'Raw data'!F1533</f>
        <v>0</v>
      </c>
      <c r="H1624" s="4">
        <f>'Raw data'!G1533</f>
        <v>0</v>
      </c>
      <c r="I1624" s="29" t="e">
        <f>VLOOKUP(G1624,제품명!$C$1:$E$114,2,0)</f>
        <v>#N/A</v>
      </c>
      <c r="J1624" s="29">
        <f>'Raw data'!K1533</f>
        <v>0</v>
      </c>
      <c r="K1624" s="31">
        <f>'Raw data'!H1533</f>
        <v>0</v>
      </c>
      <c r="L1624" s="26">
        <f t="shared" si="54"/>
        <v>0</v>
      </c>
    </row>
    <row r="1625" spans="2:12">
      <c r="B1625" s="4" t="e">
        <f t="shared" si="53"/>
        <v>#N/A</v>
      </c>
      <c r="C1625" s="4">
        <f>'Raw data'!E1534</f>
        <v>0</v>
      </c>
      <c r="D1625" s="29" t="e">
        <f>VLOOKUP(C1625,'점포코드 '!A:B,2,0)</f>
        <v>#N/A</v>
      </c>
      <c r="E1625" s="30">
        <f>'Raw data'!P1534</f>
        <v>0</v>
      </c>
      <c r="F1625" s="29" t="e">
        <f>VLOOKUP(E1625,'점포코드 '!A:B,2,0)</f>
        <v>#N/A</v>
      </c>
      <c r="G1625" s="46">
        <f>'Raw data'!F1534</f>
        <v>0</v>
      </c>
      <c r="H1625" s="4">
        <f>'Raw data'!G1534</f>
        <v>0</v>
      </c>
      <c r="I1625" s="29" t="e">
        <f>VLOOKUP(G1625,제품명!$C$1:$E$114,2,0)</f>
        <v>#N/A</v>
      </c>
      <c r="J1625" s="29">
        <f>'Raw data'!K1534</f>
        <v>0</v>
      </c>
      <c r="K1625" s="31">
        <f>'Raw data'!H1534</f>
        <v>0</v>
      </c>
      <c r="L1625" s="26">
        <f t="shared" si="54"/>
        <v>0</v>
      </c>
    </row>
    <row r="1626" spans="2:12">
      <c r="B1626" s="4" t="e">
        <f t="shared" si="53"/>
        <v>#N/A</v>
      </c>
      <c r="C1626" s="4">
        <f>'Raw data'!E1535</f>
        <v>0</v>
      </c>
      <c r="D1626" s="29" t="e">
        <f>VLOOKUP(C1626,'점포코드 '!A:B,2,0)</f>
        <v>#N/A</v>
      </c>
      <c r="E1626" s="30">
        <f>'Raw data'!P1535</f>
        <v>0</v>
      </c>
      <c r="F1626" s="29" t="e">
        <f>VLOOKUP(E1626,'점포코드 '!A:B,2,0)</f>
        <v>#N/A</v>
      </c>
      <c r="G1626" s="46">
        <f>'Raw data'!F1535</f>
        <v>0</v>
      </c>
      <c r="H1626" s="4">
        <f>'Raw data'!G1535</f>
        <v>0</v>
      </c>
      <c r="I1626" s="29" t="e">
        <f>VLOOKUP(G1626,제품명!$C$1:$E$114,2,0)</f>
        <v>#N/A</v>
      </c>
      <c r="J1626" s="29">
        <f>'Raw data'!K1535</f>
        <v>0</v>
      </c>
      <c r="K1626" s="31">
        <f>'Raw data'!H1535</f>
        <v>0</v>
      </c>
      <c r="L1626" s="26">
        <f t="shared" si="54"/>
        <v>0</v>
      </c>
    </row>
    <row r="1627" spans="2:12">
      <c r="B1627" s="4" t="e">
        <f t="shared" si="53"/>
        <v>#N/A</v>
      </c>
      <c r="C1627" s="4">
        <f>'Raw data'!E1536</f>
        <v>0</v>
      </c>
      <c r="D1627" s="29" t="e">
        <f>VLOOKUP(C1627,'점포코드 '!A:B,2,0)</f>
        <v>#N/A</v>
      </c>
      <c r="E1627" s="30">
        <f>'Raw data'!P1536</f>
        <v>0</v>
      </c>
      <c r="F1627" s="29" t="e">
        <f>VLOOKUP(E1627,'점포코드 '!A:B,2,0)</f>
        <v>#N/A</v>
      </c>
      <c r="G1627" s="46">
        <f>'Raw data'!F1536</f>
        <v>0</v>
      </c>
      <c r="H1627" s="4">
        <f>'Raw data'!G1536</f>
        <v>0</v>
      </c>
      <c r="I1627" s="29" t="e">
        <f>VLOOKUP(G1627,제품명!$C$1:$E$114,2,0)</f>
        <v>#N/A</v>
      </c>
      <c r="J1627" s="29">
        <f>'Raw data'!K1536</f>
        <v>0</v>
      </c>
      <c r="K1627" s="31">
        <f>'Raw data'!H1536</f>
        <v>0</v>
      </c>
      <c r="L1627" s="26">
        <f t="shared" si="54"/>
        <v>0</v>
      </c>
    </row>
    <row r="1628" spans="2:12">
      <c r="B1628" s="4" t="e">
        <f t="shared" si="53"/>
        <v>#N/A</v>
      </c>
      <c r="C1628" s="4">
        <f>'Raw data'!E1537</f>
        <v>0</v>
      </c>
      <c r="D1628" s="29" t="e">
        <f>VLOOKUP(C1628,'점포코드 '!A:B,2,0)</f>
        <v>#N/A</v>
      </c>
      <c r="E1628" s="30">
        <f>'Raw data'!P1537</f>
        <v>0</v>
      </c>
      <c r="F1628" s="29" t="e">
        <f>VLOOKUP(E1628,'점포코드 '!A:B,2,0)</f>
        <v>#N/A</v>
      </c>
      <c r="G1628" s="46">
        <f>'Raw data'!F1537</f>
        <v>0</v>
      </c>
      <c r="H1628" s="4">
        <f>'Raw data'!G1537</f>
        <v>0</v>
      </c>
      <c r="I1628" s="29" t="e">
        <f>VLOOKUP(G1628,제품명!$C$1:$E$114,2,0)</f>
        <v>#N/A</v>
      </c>
      <c r="J1628" s="29">
        <f>'Raw data'!K1537</f>
        <v>0</v>
      </c>
      <c r="K1628" s="31">
        <f>'Raw data'!H1537</f>
        <v>0</v>
      </c>
      <c r="L1628" s="26">
        <f t="shared" si="54"/>
        <v>0</v>
      </c>
    </row>
    <row r="1629" spans="2:12">
      <c r="B1629" s="4" t="e">
        <f t="shared" si="53"/>
        <v>#N/A</v>
      </c>
      <c r="C1629" s="4">
        <f>'Raw data'!E1538</f>
        <v>0</v>
      </c>
      <c r="D1629" s="29" t="e">
        <f>VLOOKUP(C1629,'점포코드 '!A:B,2,0)</f>
        <v>#N/A</v>
      </c>
      <c r="E1629" s="30">
        <f>'Raw data'!P1538</f>
        <v>0</v>
      </c>
      <c r="F1629" s="29" t="e">
        <f>VLOOKUP(E1629,'점포코드 '!A:B,2,0)</f>
        <v>#N/A</v>
      </c>
      <c r="G1629" s="46">
        <f>'Raw data'!F1538</f>
        <v>0</v>
      </c>
      <c r="H1629" s="4">
        <f>'Raw data'!G1538</f>
        <v>0</v>
      </c>
      <c r="I1629" s="29" t="e">
        <f>VLOOKUP(G1629,제품명!$C$1:$E$114,2,0)</f>
        <v>#N/A</v>
      </c>
      <c r="J1629" s="29">
        <f>'Raw data'!K1538</f>
        <v>0</v>
      </c>
      <c r="K1629" s="31">
        <f>'Raw data'!H1538</f>
        <v>0</v>
      </c>
      <c r="L1629" s="26">
        <f t="shared" si="54"/>
        <v>0</v>
      </c>
    </row>
    <row r="1630" spans="2:12">
      <c r="B1630" s="4" t="e">
        <f t="shared" si="53"/>
        <v>#N/A</v>
      </c>
      <c r="C1630" s="4">
        <f>'Raw data'!E1539</f>
        <v>0</v>
      </c>
      <c r="D1630" s="29" t="e">
        <f>VLOOKUP(C1630,'점포코드 '!A:B,2,0)</f>
        <v>#N/A</v>
      </c>
      <c r="E1630" s="30">
        <f>'Raw data'!P1539</f>
        <v>0</v>
      </c>
      <c r="F1630" s="29" t="e">
        <f>VLOOKUP(E1630,'점포코드 '!A:B,2,0)</f>
        <v>#N/A</v>
      </c>
      <c r="G1630" s="46">
        <f>'Raw data'!F1539</f>
        <v>0</v>
      </c>
      <c r="H1630" s="4">
        <f>'Raw data'!G1539</f>
        <v>0</v>
      </c>
      <c r="I1630" s="29" t="e">
        <f>VLOOKUP(G1630,제품명!$C$1:$E$114,2,0)</f>
        <v>#N/A</v>
      </c>
      <c r="J1630" s="29">
        <f>'Raw data'!K1539</f>
        <v>0</v>
      </c>
      <c r="K1630" s="31">
        <f>'Raw data'!H1539</f>
        <v>0</v>
      </c>
      <c r="L1630" s="26">
        <f t="shared" si="54"/>
        <v>0</v>
      </c>
    </row>
    <row r="1631" spans="2:12">
      <c r="B1631" s="4" t="e">
        <f t="shared" si="53"/>
        <v>#N/A</v>
      </c>
      <c r="C1631" s="4">
        <f>'Raw data'!E1540</f>
        <v>0</v>
      </c>
      <c r="D1631" s="29" t="e">
        <f>VLOOKUP(C1631,'점포코드 '!A:B,2,0)</f>
        <v>#N/A</v>
      </c>
      <c r="E1631" s="30">
        <f>'Raw data'!P1540</f>
        <v>0</v>
      </c>
      <c r="F1631" s="29" t="e">
        <f>VLOOKUP(E1631,'점포코드 '!A:B,2,0)</f>
        <v>#N/A</v>
      </c>
      <c r="G1631" s="46">
        <f>'Raw data'!F1540</f>
        <v>0</v>
      </c>
      <c r="H1631" s="4">
        <f>'Raw data'!G1540</f>
        <v>0</v>
      </c>
      <c r="I1631" s="29" t="e">
        <f>VLOOKUP(G1631,제품명!$C$1:$E$114,2,0)</f>
        <v>#N/A</v>
      </c>
      <c r="J1631" s="29">
        <f>'Raw data'!K1540</f>
        <v>0</v>
      </c>
      <c r="K1631" s="31">
        <f>'Raw data'!H1540</f>
        <v>0</v>
      </c>
      <c r="L1631" s="26">
        <f t="shared" si="54"/>
        <v>0</v>
      </c>
    </row>
    <row r="1632" spans="2:12">
      <c r="B1632" s="4" t="e">
        <f t="shared" si="53"/>
        <v>#N/A</v>
      </c>
      <c r="C1632" s="4">
        <f>'Raw data'!E1541</f>
        <v>0</v>
      </c>
      <c r="D1632" s="29" t="e">
        <f>VLOOKUP(C1632,'점포코드 '!A:B,2,0)</f>
        <v>#N/A</v>
      </c>
      <c r="E1632" s="30">
        <f>'Raw data'!P1541</f>
        <v>0</v>
      </c>
      <c r="F1632" s="29" t="e">
        <f>VLOOKUP(E1632,'점포코드 '!A:B,2,0)</f>
        <v>#N/A</v>
      </c>
      <c r="G1632" s="46">
        <f>'Raw data'!F1541</f>
        <v>0</v>
      </c>
      <c r="H1632" s="4">
        <f>'Raw data'!G1541</f>
        <v>0</v>
      </c>
      <c r="I1632" s="29" t="e">
        <f>VLOOKUP(G1632,제품명!$C$1:$E$114,2,0)</f>
        <v>#N/A</v>
      </c>
      <c r="J1632" s="29">
        <f>'Raw data'!K1541</f>
        <v>0</v>
      </c>
      <c r="K1632" s="31">
        <f>'Raw data'!H1541</f>
        <v>0</v>
      </c>
      <c r="L1632" s="26">
        <f t="shared" si="54"/>
        <v>0</v>
      </c>
    </row>
    <row r="1633" spans="2:12">
      <c r="B1633" s="4" t="e">
        <f t="shared" si="53"/>
        <v>#N/A</v>
      </c>
      <c r="C1633" s="4">
        <f>'Raw data'!E1542</f>
        <v>0</v>
      </c>
      <c r="D1633" s="29" t="e">
        <f>VLOOKUP(C1633,'점포코드 '!A:B,2,0)</f>
        <v>#N/A</v>
      </c>
      <c r="E1633" s="30">
        <f>'Raw data'!P1542</f>
        <v>0</v>
      </c>
      <c r="F1633" s="29" t="e">
        <f>VLOOKUP(E1633,'점포코드 '!A:B,2,0)</f>
        <v>#N/A</v>
      </c>
      <c r="G1633" s="46">
        <f>'Raw data'!F1542</f>
        <v>0</v>
      </c>
      <c r="H1633" s="4">
        <f>'Raw data'!G1542</f>
        <v>0</v>
      </c>
      <c r="I1633" s="29" t="e">
        <f>VLOOKUP(G1633,제품명!$C$1:$E$114,2,0)</f>
        <v>#N/A</v>
      </c>
      <c r="J1633" s="29">
        <f>'Raw data'!K1542</f>
        <v>0</v>
      </c>
      <c r="K1633" s="31">
        <f>'Raw data'!H1542</f>
        <v>0</v>
      </c>
      <c r="L1633" s="26">
        <f t="shared" si="54"/>
        <v>0</v>
      </c>
    </row>
    <row r="1634" spans="2:12">
      <c r="B1634" s="4" t="e">
        <f t="shared" si="53"/>
        <v>#N/A</v>
      </c>
      <c r="C1634" s="4">
        <f>'Raw data'!E1543</f>
        <v>0</v>
      </c>
      <c r="D1634" s="29" t="e">
        <f>VLOOKUP(C1634,'점포코드 '!A:B,2,0)</f>
        <v>#N/A</v>
      </c>
      <c r="E1634" s="30">
        <f>'Raw data'!P1543</f>
        <v>0</v>
      </c>
      <c r="F1634" s="29" t="e">
        <f>VLOOKUP(E1634,'점포코드 '!A:B,2,0)</f>
        <v>#N/A</v>
      </c>
      <c r="G1634" s="46">
        <f>'Raw data'!F1543</f>
        <v>0</v>
      </c>
      <c r="H1634" s="4">
        <f>'Raw data'!G1543</f>
        <v>0</v>
      </c>
      <c r="I1634" s="29" t="e">
        <f>VLOOKUP(G1634,제품명!$C$1:$E$114,2,0)</f>
        <v>#N/A</v>
      </c>
      <c r="J1634" s="29">
        <f>'Raw data'!K1543</f>
        <v>0</v>
      </c>
      <c r="K1634" s="31">
        <f>'Raw data'!H1543</f>
        <v>0</v>
      </c>
      <c r="L1634" s="26">
        <f t="shared" si="54"/>
        <v>0</v>
      </c>
    </row>
    <row r="1635" spans="2:12">
      <c r="B1635" s="4" t="e">
        <f t="shared" si="53"/>
        <v>#N/A</v>
      </c>
      <c r="C1635" s="4">
        <f>'Raw data'!E1544</f>
        <v>0</v>
      </c>
      <c r="D1635" s="29" t="e">
        <f>VLOOKUP(C1635,'점포코드 '!A:B,2,0)</f>
        <v>#N/A</v>
      </c>
      <c r="E1635" s="30">
        <f>'Raw data'!P1544</f>
        <v>0</v>
      </c>
      <c r="F1635" s="29" t="e">
        <f>VLOOKUP(E1635,'점포코드 '!A:B,2,0)</f>
        <v>#N/A</v>
      </c>
      <c r="G1635" s="46">
        <f>'Raw data'!F1544</f>
        <v>0</v>
      </c>
      <c r="H1635" s="4">
        <f>'Raw data'!G1544</f>
        <v>0</v>
      </c>
      <c r="I1635" s="29" t="e">
        <f>VLOOKUP(G1635,제품명!$C$1:$E$114,2,0)</f>
        <v>#N/A</v>
      </c>
      <c r="J1635" s="29">
        <f>'Raw data'!K1544</f>
        <v>0</v>
      </c>
      <c r="K1635" s="31">
        <f>'Raw data'!H1544</f>
        <v>0</v>
      </c>
      <c r="L1635" s="26">
        <f t="shared" si="54"/>
        <v>0</v>
      </c>
    </row>
    <row r="1636" spans="2:12">
      <c r="B1636" s="4" t="e">
        <f t="shared" si="53"/>
        <v>#N/A</v>
      </c>
      <c r="C1636" s="4">
        <f>'Raw data'!E1545</f>
        <v>0</v>
      </c>
      <c r="D1636" s="29" t="e">
        <f>VLOOKUP(C1636,'점포코드 '!A:B,2,0)</f>
        <v>#N/A</v>
      </c>
      <c r="E1636" s="30">
        <f>'Raw data'!P1545</f>
        <v>0</v>
      </c>
      <c r="F1636" s="29" t="e">
        <f>VLOOKUP(E1636,'점포코드 '!A:B,2,0)</f>
        <v>#N/A</v>
      </c>
      <c r="G1636" s="46">
        <f>'Raw data'!F1545</f>
        <v>0</v>
      </c>
      <c r="H1636" s="4">
        <f>'Raw data'!G1545</f>
        <v>0</v>
      </c>
      <c r="I1636" s="29" t="e">
        <f>VLOOKUP(G1636,제품명!$C$1:$E$114,2,0)</f>
        <v>#N/A</v>
      </c>
      <c r="J1636" s="29">
        <f>'Raw data'!K1545</f>
        <v>0</v>
      </c>
      <c r="K1636" s="31">
        <f>'Raw data'!H1545</f>
        <v>0</v>
      </c>
      <c r="L1636" s="26">
        <f t="shared" si="54"/>
        <v>0</v>
      </c>
    </row>
    <row r="1637" spans="2:12">
      <c r="B1637" s="4" t="e">
        <f t="shared" si="53"/>
        <v>#N/A</v>
      </c>
      <c r="C1637" s="4">
        <f>'Raw data'!E1546</f>
        <v>0</v>
      </c>
      <c r="D1637" s="29" t="e">
        <f>VLOOKUP(C1637,'점포코드 '!A:B,2,0)</f>
        <v>#N/A</v>
      </c>
      <c r="E1637" s="30">
        <f>'Raw data'!P1546</f>
        <v>0</v>
      </c>
      <c r="F1637" s="29" t="e">
        <f>VLOOKUP(E1637,'점포코드 '!A:B,2,0)</f>
        <v>#N/A</v>
      </c>
      <c r="G1637" s="46">
        <f>'Raw data'!F1546</f>
        <v>0</v>
      </c>
      <c r="H1637" s="4">
        <f>'Raw data'!G1546</f>
        <v>0</v>
      </c>
      <c r="I1637" s="29" t="e">
        <f>VLOOKUP(G1637,제품명!$C$1:$E$114,2,0)</f>
        <v>#N/A</v>
      </c>
      <c r="J1637" s="29">
        <f>'Raw data'!K1546</f>
        <v>0</v>
      </c>
      <c r="K1637" s="31">
        <f>'Raw data'!H1546</f>
        <v>0</v>
      </c>
      <c r="L1637" s="26">
        <f t="shared" si="54"/>
        <v>0</v>
      </c>
    </row>
    <row r="1638" spans="2:12">
      <c r="B1638" s="4" t="e">
        <f t="shared" si="53"/>
        <v>#N/A</v>
      </c>
      <c r="C1638" s="4">
        <f>'Raw data'!E1547</f>
        <v>0</v>
      </c>
      <c r="D1638" s="29" t="e">
        <f>VLOOKUP(C1638,'점포코드 '!A:B,2,0)</f>
        <v>#N/A</v>
      </c>
      <c r="E1638" s="30">
        <f>'Raw data'!P1547</f>
        <v>0</v>
      </c>
      <c r="F1638" s="29" t="e">
        <f>VLOOKUP(E1638,'점포코드 '!A:B,2,0)</f>
        <v>#N/A</v>
      </c>
      <c r="G1638" s="46">
        <f>'Raw data'!F1547</f>
        <v>0</v>
      </c>
      <c r="H1638" s="4">
        <f>'Raw data'!G1547</f>
        <v>0</v>
      </c>
      <c r="I1638" s="29" t="e">
        <f>VLOOKUP(G1638,제품명!$C$1:$E$114,2,0)</f>
        <v>#N/A</v>
      </c>
      <c r="J1638" s="29">
        <f>'Raw data'!K1547</f>
        <v>0</v>
      </c>
      <c r="K1638" s="31">
        <f>'Raw data'!H1547</f>
        <v>0</v>
      </c>
      <c r="L1638" s="26">
        <f t="shared" si="54"/>
        <v>0</v>
      </c>
    </row>
    <row r="1639" spans="2:12">
      <c r="B1639" s="4" t="e">
        <f t="shared" si="53"/>
        <v>#N/A</v>
      </c>
      <c r="C1639" s="4">
        <f>'Raw data'!E1548</f>
        <v>0</v>
      </c>
      <c r="D1639" s="29" t="e">
        <f>VLOOKUP(C1639,'점포코드 '!A:B,2,0)</f>
        <v>#N/A</v>
      </c>
      <c r="E1639" s="30">
        <f>'Raw data'!P1548</f>
        <v>0</v>
      </c>
      <c r="F1639" s="29" t="e">
        <f>VLOOKUP(E1639,'점포코드 '!A:B,2,0)</f>
        <v>#N/A</v>
      </c>
      <c r="G1639" s="46">
        <f>'Raw data'!F1548</f>
        <v>0</v>
      </c>
      <c r="H1639" s="4">
        <f>'Raw data'!G1548</f>
        <v>0</v>
      </c>
      <c r="I1639" s="29" t="e">
        <f>VLOOKUP(G1639,제품명!$C$1:$E$114,2,0)</f>
        <v>#N/A</v>
      </c>
      <c r="J1639" s="29">
        <f>'Raw data'!K1548</f>
        <v>0</v>
      </c>
      <c r="K1639" s="31">
        <f>'Raw data'!H1548</f>
        <v>0</v>
      </c>
      <c r="L1639" s="26">
        <f t="shared" si="54"/>
        <v>0</v>
      </c>
    </row>
    <row r="1640" spans="2:12">
      <c r="B1640" s="4" t="e">
        <f t="shared" si="53"/>
        <v>#N/A</v>
      </c>
      <c r="C1640" s="4">
        <f>'Raw data'!E1549</f>
        <v>0</v>
      </c>
      <c r="D1640" s="29" t="e">
        <f>VLOOKUP(C1640,'점포코드 '!A:B,2,0)</f>
        <v>#N/A</v>
      </c>
      <c r="E1640" s="30">
        <f>'Raw data'!P1549</f>
        <v>0</v>
      </c>
      <c r="F1640" s="29" t="e">
        <f>VLOOKUP(E1640,'점포코드 '!A:B,2,0)</f>
        <v>#N/A</v>
      </c>
      <c r="G1640" s="46">
        <f>'Raw data'!F1549</f>
        <v>0</v>
      </c>
      <c r="H1640" s="4">
        <f>'Raw data'!G1549</f>
        <v>0</v>
      </c>
      <c r="I1640" s="29" t="e">
        <f>VLOOKUP(G1640,제품명!$C$1:$E$114,2,0)</f>
        <v>#N/A</v>
      </c>
      <c r="J1640" s="29">
        <f>'Raw data'!K1549</f>
        <v>0</v>
      </c>
      <c r="K1640" s="31">
        <f>'Raw data'!H1549</f>
        <v>0</v>
      </c>
      <c r="L1640" s="26">
        <f t="shared" si="54"/>
        <v>0</v>
      </c>
    </row>
    <row r="1641" spans="2:12">
      <c r="B1641" s="4" t="e">
        <f t="shared" si="53"/>
        <v>#N/A</v>
      </c>
      <c r="C1641" s="4">
        <f>'Raw data'!E1550</f>
        <v>0</v>
      </c>
      <c r="D1641" s="29" t="e">
        <f>VLOOKUP(C1641,'점포코드 '!A:B,2,0)</f>
        <v>#N/A</v>
      </c>
      <c r="E1641" s="30">
        <f>'Raw data'!P1550</f>
        <v>0</v>
      </c>
      <c r="F1641" s="29" t="e">
        <f>VLOOKUP(E1641,'점포코드 '!A:B,2,0)</f>
        <v>#N/A</v>
      </c>
      <c r="G1641" s="46">
        <f>'Raw data'!F1550</f>
        <v>0</v>
      </c>
      <c r="H1641" s="4">
        <f>'Raw data'!G1550</f>
        <v>0</v>
      </c>
      <c r="I1641" s="29" t="e">
        <f>VLOOKUP(G1641,제품명!$C$1:$E$114,2,0)</f>
        <v>#N/A</v>
      </c>
      <c r="J1641" s="29">
        <f>'Raw data'!K1550</f>
        <v>0</v>
      </c>
      <c r="K1641" s="31">
        <f>'Raw data'!H1550</f>
        <v>0</v>
      </c>
      <c r="L1641" s="26">
        <f t="shared" si="54"/>
        <v>0</v>
      </c>
    </row>
    <row r="1642" spans="2:12">
      <c r="B1642" s="4" t="e">
        <f t="shared" si="53"/>
        <v>#N/A</v>
      </c>
      <c r="C1642" s="4">
        <f>'Raw data'!E1551</f>
        <v>0</v>
      </c>
      <c r="D1642" s="29" t="e">
        <f>VLOOKUP(C1642,'점포코드 '!A:B,2,0)</f>
        <v>#N/A</v>
      </c>
      <c r="E1642" s="30">
        <f>'Raw data'!P1551</f>
        <v>0</v>
      </c>
      <c r="F1642" s="29" t="e">
        <f>VLOOKUP(E1642,'점포코드 '!A:B,2,0)</f>
        <v>#N/A</v>
      </c>
      <c r="G1642" s="46">
        <f>'Raw data'!F1551</f>
        <v>0</v>
      </c>
      <c r="H1642" s="4">
        <f>'Raw data'!G1551</f>
        <v>0</v>
      </c>
      <c r="I1642" s="29" t="e">
        <f>VLOOKUP(G1642,제품명!$C$1:$E$114,2,0)</f>
        <v>#N/A</v>
      </c>
      <c r="J1642" s="29">
        <f>'Raw data'!K1551</f>
        <v>0</v>
      </c>
      <c r="K1642" s="31">
        <f>'Raw data'!H1551</f>
        <v>0</v>
      </c>
      <c r="L1642" s="26">
        <f t="shared" si="54"/>
        <v>0</v>
      </c>
    </row>
    <row r="1643" spans="2:12">
      <c r="B1643" s="4" t="e">
        <f t="shared" si="53"/>
        <v>#N/A</v>
      </c>
      <c r="C1643" s="4">
        <f>'Raw data'!E1552</f>
        <v>0</v>
      </c>
      <c r="D1643" s="29" t="e">
        <f>VLOOKUP(C1643,'점포코드 '!A:B,2,0)</f>
        <v>#N/A</v>
      </c>
      <c r="E1643" s="30">
        <f>'Raw data'!P1552</f>
        <v>0</v>
      </c>
      <c r="F1643" s="29" t="e">
        <f>VLOOKUP(E1643,'점포코드 '!A:B,2,0)</f>
        <v>#N/A</v>
      </c>
      <c r="G1643" s="46">
        <f>'Raw data'!F1552</f>
        <v>0</v>
      </c>
      <c r="H1643" s="4">
        <f>'Raw data'!G1552</f>
        <v>0</v>
      </c>
      <c r="I1643" s="29" t="e">
        <f>VLOOKUP(G1643,제품명!$C$1:$E$114,2,0)</f>
        <v>#N/A</v>
      </c>
      <c r="J1643" s="29">
        <f>'Raw data'!K1552</f>
        <v>0</v>
      </c>
      <c r="K1643" s="31">
        <f>'Raw data'!H1552</f>
        <v>0</v>
      </c>
      <c r="L1643" s="26">
        <f t="shared" si="54"/>
        <v>0</v>
      </c>
    </row>
    <row r="1644" spans="2:12">
      <c r="B1644" s="4" t="e">
        <f t="shared" si="53"/>
        <v>#N/A</v>
      </c>
      <c r="C1644" s="4">
        <f>'Raw data'!E1553</f>
        <v>0</v>
      </c>
      <c r="D1644" s="29" t="e">
        <f>VLOOKUP(C1644,'점포코드 '!A:B,2,0)</f>
        <v>#N/A</v>
      </c>
      <c r="E1644" s="30">
        <f>'Raw data'!P1553</f>
        <v>0</v>
      </c>
      <c r="F1644" s="29" t="e">
        <f>VLOOKUP(E1644,'점포코드 '!A:B,2,0)</f>
        <v>#N/A</v>
      </c>
      <c r="G1644" s="46">
        <f>'Raw data'!F1553</f>
        <v>0</v>
      </c>
      <c r="H1644" s="4">
        <f>'Raw data'!G1553</f>
        <v>0</v>
      </c>
      <c r="I1644" s="29" t="e">
        <f>VLOOKUP(G1644,제품명!$C$1:$E$114,2,0)</f>
        <v>#N/A</v>
      </c>
      <c r="J1644" s="29">
        <f>'Raw data'!K1553</f>
        <v>0</v>
      </c>
      <c r="K1644" s="31">
        <f>'Raw data'!H1553</f>
        <v>0</v>
      </c>
      <c r="L1644" s="26">
        <f t="shared" si="54"/>
        <v>0</v>
      </c>
    </row>
    <row r="1645" spans="2:12">
      <c r="B1645" s="4" t="e">
        <f t="shared" si="53"/>
        <v>#N/A</v>
      </c>
      <c r="C1645" s="4">
        <f>'Raw data'!E1554</f>
        <v>0</v>
      </c>
      <c r="D1645" s="29" t="e">
        <f>VLOOKUP(C1645,'점포코드 '!A:B,2,0)</f>
        <v>#N/A</v>
      </c>
      <c r="E1645" s="30">
        <f>'Raw data'!P1554</f>
        <v>0</v>
      </c>
      <c r="F1645" s="29" t="e">
        <f>VLOOKUP(E1645,'점포코드 '!A:B,2,0)</f>
        <v>#N/A</v>
      </c>
      <c r="G1645" s="46">
        <f>'Raw data'!F1554</f>
        <v>0</v>
      </c>
      <c r="H1645" s="4">
        <f>'Raw data'!G1554</f>
        <v>0</v>
      </c>
      <c r="I1645" s="29" t="e">
        <f>VLOOKUP(G1645,제품명!$C$1:$E$114,2,0)</f>
        <v>#N/A</v>
      </c>
      <c r="J1645" s="29">
        <f>'Raw data'!K1554</f>
        <v>0</v>
      </c>
      <c r="K1645" s="31">
        <f>'Raw data'!H1554</f>
        <v>0</v>
      </c>
      <c r="L1645" s="26">
        <f t="shared" si="54"/>
        <v>0</v>
      </c>
    </row>
    <row r="1646" spans="2:12">
      <c r="B1646" s="4" t="e">
        <f t="shared" si="53"/>
        <v>#N/A</v>
      </c>
      <c r="C1646" s="4">
        <f>'Raw data'!E1555</f>
        <v>0</v>
      </c>
      <c r="D1646" s="29" t="e">
        <f>VLOOKUP(C1646,'점포코드 '!A:B,2,0)</f>
        <v>#N/A</v>
      </c>
      <c r="E1646" s="30">
        <f>'Raw data'!P1555</f>
        <v>0</v>
      </c>
      <c r="F1646" s="29" t="e">
        <f>VLOOKUP(E1646,'점포코드 '!A:B,2,0)</f>
        <v>#N/A</v>
      </c>
      <c r="G1646" s="46">
        <f>'Raw data'!F1555</f>
        <v>0</v>
      </c>
      <c r="H1646" s="4">
        <f>'Raw data'!G1555</f>
        <v>0</v>
      </c>
      <c r="I1646" s="29" t="e">
        <f>VLOOKUP(G1646,제품명!$C$1:$E$114,2,0)</f>
        <v>#N/A</v>
      </c>
      <c r="J1646" s="29">
        <f>'Raw data'!K1555</f>
        <v>0</v>
      </c>
      <c r="K1646" s="31">
        <f>'Raw data'!H1555</f>
        <v>0</v>
      </c>
      <c r="L1646" s="26">
        <f t="shared" si="54"/>
        <v>0</v>
      </c>
    </row>
    <row r="1647" spans="2:12">
      <c r="B1647" s="4" t="e">
        <f t="shared" si="53"/>
        <v>#N/A</v>
      </c>
      <c r="C1647" s="4">
        <f>'Raw data'!E1556</f>
        <v>0</v>
      </c>
      <c r="D1647" s="29" t="e">
        <f>VLOOKUP(C1647,'점포코드 '!A:B,2,0)</f>
        <v>#N/A</v>
      </c>
      <c r="E1647" s="30">
        <f>'Raw data'!P1556</f>
        <v>0</v>
      </c>
      <c r="F1647" s="29" t="e">
        <f>VLOOKUP(E1647,'점포코드 '!A:B,2,0)</f>
        <v>#N/A</v>
      </c>
      <c r="G1647" s="46">
        <f>'Raw data'!F1556</f>
        <v>0</v>
      </c>
      <c r="H1647" s="4">
        <f>'Raw data'!G1556</f>
        <v>0</v>
      </c>
      <c r="I1647" s="29" t="e">
        <f>VLOOKUP(G1647,제품명!$C$1:$E$114,2,0)</f>
        <v>#N/A</v>
      </c>
      <c r="J1647" s="29">
        <f>'Raw data'!K1556</f>
        <v>0</v>
      </c>
      <c r="K1647" s="31">
        <f>'Raw data'!H1556</f>
        <v>0</v>
      </c>
      <c r="L1647" s="26">
        <f t="shared" si="54"/>
        <v>0</v>
      </c>
    </row>
    <row r="1648" spans="2:12">
      <c r="B1648" s="4" t="e">
        <f t="shared" si="53"/>
        <v>#N/A</v>
      </c>
      <c r="C1648" s="4">
        <f>'Raw data'!E1557</f>
        <v>0</v>
      </c>
      <c r="D1648" s="29" t="e">
        <f>VLOOKUP(C1648,'점포코드 '!A:B,2,0)</f>
        <v>#N/A</v>
      </c>
      <c r="E1648" s="30">
        <f>'Raw data'!P1557</f>
        <v>0</v>
      </c>
      <c r="F1648" s="29" t="e">
        <f>VLOOKUP(E1648,'점포코드 '!A:B,2,0)</f>
        <v>#N/A</v>
      </c>
      <c r="G1648" s="46">
        <f>'Raw data'!F1557</f>
        <v>0</v>
      </c>
      <c r="H1648" s="4">
        <f>'Raw data'!G1557</f>
        <v>0</v>
      </c>
      <c r="I1648" s="29" t="e">
        <f>VLOOKUP(G1648,제품명!$C$1:$E$114,2,0)</f>
        <v>#N/A</v>
      </c>
      <c r="J1648" s="29">
        <f>'Raw data'!K1557</f>
        <v>0</v>
      </c>
      <c r="K1648" s="31">
        <f>'Raw data'!H1557</f>
        <v>0</v>
      </c>
      <c r="L1648" s="26">
        <f t="shared" si="54"/>
        <v>0</v>
      </c>
    </row>
    <row r="1649" spans="2:12">
      <c r="B1649" s="4" t="e">
        <f t="shared" si="53"/>
        <v>#N/A</v>
      </c>
      <c r="C1649" s="4">
        <f>'Raw data'!E1558</f>
        <v>0</v>
      </c>
      <c r="D1649" s="29" t="e">
        <f>VLOOKUP(C1649,'점포코드 '!A:B,2,0)</f>
        <v>#N/A</v>
      </c>
      <c r="E1649" s="30">
        <f>'Raw data'!P1558</f>
        <v>0</v>
      </c>
      <c r="F1649" s="29" t="e">
        <f>VLOOKUP(E1649,'점포코드 '!A:B,2,0)</f>
        <v>#N/A</v>
      </c>
      <c r="G1649" s="46">
        <f>'Raw data'!F1558</f>
        <v>0</v>
      </c>
      <c r="H1649" s="4">
        <f>'Raw data'!G1558</f>
        <v>0</v>
      </c>
      <c r="I1649" s="29" t="e">
        <f>VLOOKUP(G1649,제품명!$C$1:$E$114,2,0)</f>
        <v>#N/A</v>
      </c>
      <c r="J1649" s="29">
        <f>'Raw data'!K1558</f>
        <v>0</v>
      </c>
      <c r="K1649" s="31">
        <f>'Raw data'!H1558</f>
        <v>0</v>
      </c>
      <c r="L1649" s="26">
        <f t="shared" si="54"/>
        <v>0</v>
      </c>
    </row>
    <row r="1650" spans="2:12">
      <c r="B1650" s="4" t="e">
        <f t="shared" si="53"/>
        <v>#N/A</v>
      </c>
      <c r="C1650" s="4">
        <f>'Raw data'!E1559</f>
        <v>0</v>
      </c>
      <c r="D1650" s="29" t="e">
        <f>VLOOKUP(C1650,'점포코드 '!A:B,2,0)</f>
        <v>#N/A</v>
      </c>
      <c r="E1650" s="30">
        <f>'Raw data'!P1559</f>
        <v>0</v>
      </c>
      <c r="F1650" s="29" t="e">
        <f>VLOOKUP(E1650,'점포코드 '!A:B,2,0)</f>
        <v>#N/A</v>
      </c>
      <c r="G1650" s="46">
        <f>'Raw data'!F1559</f>
        <v>0</v>
      </c>
      <c r="H1650" s="4">
        <f>'Raw data'!G1559</f>
        <v>0</v>
      </c>
      <c r="I1650" s="29" t="e">
        <f>VLOOKUP(G1650,제품명!$C$1:$E$114,2,0)</f>
        <v>#N/A</v>
      </c>
      <c r="J1650" s="29">
        <f>'Raw data'!K1559</f>
        <v>0</v>
      </c>
      <c r="K1650" s="31">
        <f>'Raw data'!H1559</f>
        <v>0</v>
      </c>
      <c r="L1650" s="26">
        <f t="shared" si="54"/>
        <v>0</v>
      </c>
    </row>
    <row r="1651" spans="2:12">
      <c r="B1651" s="4" t="e">
        <f t="shared" si="53"/>
        <v>#N/A</v>
      </c>
      <c r="C1651" s="4">
        <f>'Raw data'!E1560</f>
        <v>0</v>
      </c>
      <c r="D1651" s="29" t="e">
        <f>VLOOKUP(C1651,'점포코드 '!A:B,2,0)</f>
        <v>#N/A</v>
      </c>
      <c r="E1651" s="30">
        <f>'Raw data'!P1560</f>
        <v>0</v>
      </c>
      <c r="F1651" s="29" t="e">
        <f>VLOOKUP(E1651,'점포코드 '!A:B,2,0)</f>
        <v>#N/A</v>
      </c>
      <c r="G1651" s="46">
        <f>'Raw data'!F1560</f>
        <v>0</v>
      </c>
      <c r="H1651" s="4">
        <f>'Raw data'!G1560</f>
        <v>0</v>
      </c>
      <c r="I1651" s="29" t="e">
        <f>VLOOKUP(G1651,제품명!$C$1:$E$114,2,0)</f>
        <v>#N/A</v>
      </c>
      <c r="J1651" s="29">
        <f>'Raw data'!K1560</f>
        <v>0</v>
      </c>
      <c r="K1651" s="31">
        <f>'Raw data'!H1560</f>
        <v>0</v>
      </c>
      <c r="L1651" s="26">
        <f t="shared" si="54"/>
        <v>0</v>
      </c>
    </row>
    <row r="1652" spans="2:12">
      <c r="B1652" s="4" t="e">
        <f t="shared" si="53"/>
        <v>#N/A</v>
      </c>
      <c r="C1652" s="4">
        <f>'Raw data'!E1561</f>
        <v>0</v>
      </c>
      <c r="D1652" s="29" t="e">
        <f>VLOOKUP(C1652,'점포코드 '!A:B,2,0)</f>
        <v>#N/A</v>
      </c>
      <c r="E1652" s="30">
        <f>'Raw data'!P1561</f>
        <v>0</v>
      </c>
      <c r="F1652" s="29" t="e">
        <f>VLOOKUP(E1652,'점포코드 '!A:B,2,0)</f>
        <v>#N/A</v>
      </c>
      <c r="G1652" s="46">
        <f>'Raw data'!F1561</f>
        <v>0</v>
      </c>
      <c r="H1652" s="4">
        <f>'Raw data'!G1561</f>
        <v>0</v>
      </c>
      <c r="I1652" s="29" t="e">
        <f>VLOOKUP(G1652,제품명!$C$1:$E$114,2,0)</f>
        <v>#N/A</v>
      </c>
      <c r="J1652" s="29">
        <f>'Raw data'!K1561</f>
        <v>0</v>
      </c>
      <c r="K1652" s="31">
        <f>'Raw data'!H1561</f>
        <v>0</v>
      </c>
      <c r="L1652" s="26">
        <f t="shared" si="54"/>
        <v>0</v>
      </c>
    </row>
    <row r="1653" spans="2:12">
      <c r="B1653" s="4" t="e">
        <f t="shared" si="53"/>
        <v>#N/A</v>
      </c>
      <c r="C1653" s="4">
        <f>'Raw data'!E1562</f>
        <v>0</v>
      </c>
      <c r="D1653" s="29" t="e">
        <f>VLOOKUP(C1653,'점포코드 '!A:B,2,0)</f>
        <v>#N/A</v>
      </c>
      <c r="E1653" s="30">
        <f>'Raw data'!P1562</f>
        <v>0</v>
      </c>
      <c r="F1653" s="29" t="e">
        <f>VLOOKUP(E1653,'점포코드 '!A:B,2,0)</f>
        <v>#N/A</v>
      </c>
      <c r="G1653" s="46">
        <f>'Raw data'!F1562</f>
        <v>0</v>
      </c>
      <c r="H1653" s="4">
        <f>'Raw data'!G1562</f>
        <v>0</v>
      </c>
      <c r="I1653" s="29" t="e">
        <f>VLOOKUP(G1653,제품명!$C$1:$E$114,2,0)</f>
        <v>#N/A</v>
      </c>
      <c r="J1653" s="29">
        <f>'Raw data'!K1562</f>
        <v>0</v>
      </c>
      <c r="K1653" s="31">
        <f>'Raw data'!H1562</f>
        <v>0</v>
      </c>
      <c r="L1653" s="26">
        <f t="shared" si="54"/>
        <v>0</v>
      </c>
    </row>
    <row r="1654" spans="2:12">
      <c r="B1654" s="4" t="e">
        <f t="shared" si="53"/>
        <v>#N/A</v>
      </c>
      <c r="C1654" s="4">
        <f>'Raw data'!E1563</f>
        <v>0</v>
      </c>
      <c r="D1654" s="29" t="e">
        <f>VLOOKUP(C1654,'점포코드 '!A:B,2,0)</f>
        <v>#N/A</v>
      </c>
      <c r="E1654" s="30">
        <f>'Raw data'!P1563</f>
        <v>0</v>
      </c>
      <c r="F1654" s="29" t="e">
        <f>VLOOKUP(E1654,'점포코드 '!A:B,2,0)</f>
        <v>#N/A</v>
      </c>
      <c r="G1654" s="46">
        <f>'Raw data'!F1563</f>
        <v>0</v>
      </c>
      <c r="H1654" s="4">
        <f>'Raw data'!G1563</f>
        <v>0</v>
      </c>
      <c r="I1654" s="29" t="e">
        <f>VLOOKUP(G1654,제품명!$C$1:$E$114,2,0)</f>
        <v>#N/A</v>
      </c>
      <c r="J1654" s="29">
        <f>'Raw data'!K1563</f>
        <v>0</v>
      </c>
      <c r="K1654" s="31">
        <f>'Raw data'!H1563</f>
        <v>0</v>
      </c>
      <c r="L1654" s="26">
        <f t="shared" si="54"/>
        <v>0</v>
      </c>
    </row>
    <row r="1655" spans="2:12">
      <c r="B1655" s="4" t="e">
        <f t="shared" si="53"/>
        <v>#N/A</v>
      </c>
      <c r="C1655" s="4">
        <f>'Raw data'!E1564</f>
        <v>0</v>
      </c>
      <c r="D1655" s="29" t="e">
        <f>VLOOKUP(C1655,'점포코드 '!A:B,2,0)</f>
        <v>#N/A</v>
      </c>
      <c r="E1655" s="30">
        <f>'Raw data'!P1564</f>
        <v>0</v>
      </c>
      <c r="F1655" s="29" t="e">
        <f>VLOOKUP(E1655,'점포코드 '!A:B,2,0)</f>
        <v>#N/A</v>
      </c>
      <c r="G1655" s="46">
        <f>'Raw data'!F1564</f>
        <v>0</v>
      </c>
      <c r="H1655" s="4">
        <f>'Raw data'!G1564</f>
        <v>0</v>
      </c>
      <c r="I1655" s="29" t="e">
        <f>VLOOKUP(G1655,제품명!$C$1:$E$114,2,0)</f>
        <v>#N/A</v>
      </c>
      <c r="J1655" s="29">
        <f>'Raw data'!K1564</f>
        <v>0</v>
      </c>
      <c r="K1655" s="31">
        <f>'Raw data'!H1564</f>
        <v>0</v>
      </c>
      <c r="L1655" s="26">
        <f t="shared" si="54"/>
        <v>0</v>
      </c>
    </row>
    <row r="1656" spans="2:12">
      <c r="B1656" s="4" t="e">
        <f t="shared" si="53"/>
        <v>#N/A</v>
      </c>
      <c r="C1656" s="4">
        <f>'Raw data'!E1565</f>
        <v>0</v>
      </c>
      <c r="D1656" s="29" t="e">
        <f>VLOOKUP(C1656,'점포코드 '!A:B,2,0)</f>
        <v>#N/A</v>
      </c>
      <c r="E1656" s="30">
        <f>'Raw data'!P1565</f>
        <v>0</v>
      </c>
      <c r="F1656" s="29" t="e">
        <f>VLOOKUP(E1656,'점포코드 '!A:B,2,0)</f>
        <v>#N/A</v>
      </c>
      <c r="G1656" s="46">
        <f>'Raw data'!F1565</f>
        <v>0</v>
      </c>
      <c r="H1656" s="4">
        <f>'Raw data'!G1565</f>
        <v>0</v>
      </c>
      <c r="I1656" s="29" t="e">
        <f>VLOOKUP(G1656,제품명!$C$1:$E$114,2,0)</f>
        <v>#N/A</v>
      </c>
      <c r="J1656" s="29">
        <f>'Raw data'!K1565</f>
        <v>0</v>
      </c>
      <c r="K1656" s="31">
        <f>'Raw data'!H1565</f>
        <v>0</v>
      </c>
      <c r="L1656" s="26">
        <f t="shared" si="54"/>
        <v>0</v>
      </c>
    </row>
    <row r="1657" spans="2:12">
      <c r="B1657" s="4" t="e">
        <f t="shared" si="53"/>
        <v>#N/A</v>
      </c>
      <c r="C1657" s="4">
        <f>'Raw data'!E1566</f>
        <v>0</v>
      </c>
      <c r="D1657" s="29" t="e">
        <f>VLOOKUP(C1657,'점포코드 '!A:B,2,0)</f>
        <v>#N/A</v>
      </c>
      <c r="E1657" s="30">
        <f>'Raw data'!P1566</f>
        <v>0</v>
      </c>
      <c r="F1657" s="29" t="e">
        <f>VLOOKUP(E1657,'점포코드 '!A:B,2,0)</f>
        <v>#N/A</v>
      </c>
      <c r="G1657" s="46">
        <f>'Raw data'!F1566</f>
        <v>0</v>
      </c>
      <c r="H1657" s="4">
        <f>'Raw data'!G1566</f>
        <v>0</v>
      </c>
      <c r="I1657" s="29" t="e">
        <f>VLOOKUP(G1657,제품명!$C$1:$E$114,2,0)</f>
        <v>#N/A</v>
      </c>
      <c r="J1657" s="29">
        <f>'Raw data'!K1566</f>
        <v>0</v>
      </c>
      <c r="K1657" s="31">
        <f>'Raw data'!H1566</f>
        <v>0</v>
      </c>
      <c r="L1657" s="26">
        <f t="shared" si="54"/>
        <v>0</v>
      </c>
    </row>
    <row r="1658" spans="2:12">
      <c r="B1658" s="4" t="e">
        <f t="shared" si="53"/>
        <v>#N/A</v>
      </c>
      <c r="C1658" s="4">
        <f>'Raw data'!E1567</f>
        <v>0</v>
      </c>
      <c r="D1658" s="29" t="e">
        <f>VLOOKUP(C1658,'점포코드 '!A:B,2,0)</f>
        <v>#N/A</v>
      </c>
      <c r="E1658" s="30">
        <f>'Raw data'!P1567</f>
        <v>0</v>
      </c>
      <c r="F1658" s="29" t="e">
        <f>VLOOKUP(E1658,'점포코드 '!A:B,2,0)</f>
        <v>#N/A</v>
      </c>
      <c r="G1658" s="46">
        <f>'Raw data'!F1567</f>
        <v>0</v>
      </c>
      <c r="H1658" s="4">
        <f>'Raw data'!G1567</f>
        <v>0</v>
      </c>
      <c r="I1658" s="29" t="e">
        <f>VLOOKUP(G1658,제품명!$C$1:$E$114,2,0)</f>
        <v>#N/A</v>
      </c>
      <c r="J1658" s="29">
        <f>'Raw data'!K1567</f>
        <v>0</v>
      </c>
      <c r="K1658" s="31">
        <f>'Raw data'!H1567</f>
        <v>0</v>
      </c>
      <c r="L1658" s="26">
        <f t="shared" si="54"/>
        <v>0</v>
      </c>
    </row>
    <row r="1659" spans="2:12">
      <c r="B1659" s="4" t="e">
        <f t="shared" si="53"/>
        <v>#N/A</v>
      </c>
      <c r="C1659" s="4">
        <f>'Raw data'!E1568</f>
        <v>0</v>
      </c>
      <c r="D1659" s="29" t="e">
        <f>VLOOKUP(C1659,'점포코드 '!A:B,2,0)</f>
        <v>#N/A</v>
      </c>
      <c r="E1659" s="30">
        <f>'Raw data'!P1568</f>
        <v>0</v>
      </c>
      <c r="F1659" s="29" t="e">
        <f>VLOOKUP(E1659,'점포코드 '!A:B,2,0)</f>
        <v>#N/A</v>
      </c>
      <c r="G1659" s="46">
        <f>'Raw data'!F1568</f>
        <v>0</v>
      </c>
      <c r="H1659" s="4">
        <f>'Raw data'!G1568</f>
        <v>0</v>
      </c>
      <c r="I1659" s="29" t="e">
        <f>VLOOKUP(G1659,제품명!$C$1:$E$114,2,0)</f>
        <v>#N/A</v>
      </c>
      <c r="J1659" s="29">
        <f>'Raw data'!K1568</f>
        <v>0</v>
      </c>
      <c r="K1659" s="31">
        <f>'Raw data'!H1568</f>
        <v>0</v>
      </c>
      <c r="L1659" s="26">
        <f t="shared" si="54"/>
        <v>0</v>
      </c>
    </row>
    <row r="1660" spans="2:12">
      <c r="B1660" s="4" t="e">
        <f t="shared" si="53"/>
        <v>#N/A</v>
      </c>
      <c r="C1660" s="4">
        <f>'Raw data'!E1569</f>
        <v>0</v>
      </c>
      <c r="D1660" s="29" t="e">
        <f>VLOOKUP(C1660,'점포코드 '!A:B,2,0)</f>
        <v>#N/A</v>
      </c>
      <c r="E1660" s="30">
        <f>'Raw data'!P1569</f>
        <v>0</v>
      </c>
      <c r="F1660" s="29" t="e">
        <f>VLOOKUP(E1660,'점포코드 '!A:B,2,0)</f>
        <v>#N/A</v>
      </c>
      <c r="G1660" s="46">
        <f>'Raw data'!F1569</f>
        <v>0</v>
      </c>
      <c r="H1660" s="4">
        <f>'Raw data'!G1569</f>
        <v>0</v>
      </c>
      <c r="I1660" s="29" t="e">
        <f>VLOOKUP(G1660,제품명!$C$1:$E$114,2,0)</f>
        <v>#N/A</v>
      </c>
      <c r="J1660" s="29">
        <f>'Raw data'!K1569</f>
        <v>0</v>
      </c>
      <c r="K1660" s="31">
        <f>'Raw data'!H1569</f>
        <v>0</v>
      </c>
      <c r="L1660" s="26">
        <f t="shared" si="54"/>
        <v>0</v>
      </c>
    </row>
    <row r="1661" spans="2:12">
      <c r="B1661" s="4" t="e">
        <f t="shared" si="53"/>
        <v>#N/A</v>
      </c>
      <c r="C1661" s="4">
        <f>'Raw data'!E1570</f>
        <v>0</v>
      </c>
      <c r="D1661" s="29" t="e">
        <f>VLOOKUP(C1661,'점포코드 '!A:B,2,0)</f>
        <v>#N/A</v>
      </c>
      <c r="E1661" s="30">
        <f>'Raw data'!P1570</f>
        <v>0</v>
      </c>
      <c r="F1661" s="29" t="e">
        <f>VLOOKUP(E1661,'점포코드 '!A:B,2,0)</f>
        <v>#N/A</v>
      </c>
      <c r="G1661" s="46">
        <f>'Raw data'!F1570</f>
        <v>0</v>
      </c>
      <c r="H1661" s="4">
        <f>'Raw data'!G1570</f>
        <v>0</v>
      </c>
      <c r="I1661" s="29" t="e">
        <f>VLOOKUP(G1661,제품명!$C$1:$E$114,2,0)</f>
        <v>#N/A</v>
      </c>
      <c r="J1661" s="29">
        <f>'Raw data'!K1570</f>
        <v>0</v>
      </c>
      <c r="K1661" s="31">
        <f>'Raw data'!H1570</f>
        <v>0</v>
      </c>
      <c r="L1661" s="26">
        <f t="shared" si="54"/>
        <v>0</v>
      </c>
    </row>
    <row r="1662" spans="2:12">
      <c r="B1662" s="4" t="e">
        <f t="shared" si="53"/>
        <v>#N/A</v>
      </c>
      <c r="C1662" s="4">
        <f>'Raw data'!E1571</f>
        <v>0</v>
      </c>
      <c r="D1662" s="29" t="e">
        <f>VLOOKUP(C1662,'점포코드 '!A:B,2,0)</f>
        <v>#N/A</v>
      </c>
      <c r="E1662" s="30">
        <f>'Raw data'!P1571</f>
        <v>0</v>
      </c>
      <c r="F1662" s="29" t="e">
        <f>VLOOKUP(E1662,'점포코드 '!A:B,2,0)</f>
        <v>#N/A</v>
      </c>
      <c r="G1662" s="46">
        <f>'Raw data'!F1571</f>
        <v>0</v>
      </c>
      <c r="H1662" s="4">
        <f>'Raw data'!G1571</f>
        <v>0</v>
      </c>
      <c r="I1662" s="29" t="e">
        <f>VLOOKUP(G1662,제품명!$C$1:$E$114,2,0)</f>
        <v>#N/A</v>
      </c>
      <c r="J1662" s="29">
        <f>'Raw data'!K1571</f>
        <v>0</v>
      </c>
      <c r="K1662" s="31">
        <f>'Raw data'!H1571</f>
        <v>0</v>
      </c>
      <c r="L1662" s="26">
        <f t="shared" si="54"/>
        <v>0</v>
      </c>
    </row>
    <row r="1663" spans="2:12">
      <c r="B1663" s="4" t="e">
        <f t="shared" si="53"/>
        <v>#N/A</v>
      </c>
      <c r="C1663" s="4">
        <f>'Raw data'!E1572</f>
        <v>0</v>
      </c>
      <c r="D1663" s="29" t="e">
        <f>VLOOKUP(C1663,'점포코드 '!A:B,2,0)</f>
        <v>#N/A</v>
      </c>
      <c r="E1663" s="30">
        <f>'Raw data'!P1572</f>
        <v>0</v>
      </c>
      <c r="F1663" s="29" t="e">
        <f>VLOOKUP(E1663,'점포코드 '!A:B,2,0)</f>
        <v>#N/A</v>
      </c>
      <c r="G1663" s="46">
        <f>'Raw data'!F1572</f>
        <v>0</v>
      </c>
      <c r="H1663" s="4">
        <f>'Raw data'!G1572</f>
        <v>0</v>
      </c>
      <c r="I1663" s="29" t="e">
        <f>VLOOKUP(G1663,제품명!$C$1:$E$114,2,0)</f>
        <v>#N/A</v>
      </c>
      <c r="J1663" s="29">
        <f>'Raw data'!K1572</f>
        <v>0</v>
      </c>
      <c r="K1663" s="31">
        <f>'Raw data'!H1572</f>
        <v>0</v>
      </c>
      <c r="L1663" s="26">
        <f t="shared" si="54"/>
        <v>0</v>
      </c>
    </row>
    <row r="1664" spans="2:12">
      <c r="B1664" s="4" t="e">
        <f t="shared" si="53"/>
        <v>#N/A</v>
      </c>
      <c r="C1664" s="4">
        <f>'Raw data'!E1573</f>
        <v>0</v>
      </c>
      <c r="D1664" s="29" t="e">
        <f>VLOOKUP(C1664,'점포코드 '!A:B,2,0)</f>
        <v>#N/A</v>
      </c>
      <c r="E1664" s="30">
        <f>'Raw data'!P1573</f>
        <v>0</v>
      </c>
      <c r="F1664" s="29" t="e">
        <f>VLOOKUP(E1664,'점포코드 '!A:B,2,0)</f>
        <v>#N/A</v>
      </c>
      <c r="G1664" s="46">
        <f>'Raw data'!F1573</f>
        <v>0</v>
      </c>
      <c r="H1664" s="4">
        <f>'Raw data'!G1573</f>
        <v>0</v>
      </c>
      <c r="I1664" s="29" t="e">
        <f>VLOOKUP(G1664,제품명!$C$1:$E$114,2,0)</f>
        <v>#N/A</v>
      </c>
      <c r="J1664" s="29">
        <f>'Raw data'!K1573</f>
        <v>0</v>
      </c>
      <c r="K1664" s="31">
        <f>'Raw data'!H1573</f>
        <v>0</v>
      </c>
      <c r="L1664" s="26">
        <f t="shared" si="54"/>
        <v>0</v>
      </c>
    </row>
    <row r="1665" spans="2:12">
      <c r="B1665" s="4" t="e">
        <f t="shared" si="53"/>
        <v>#N/A</v>
      </c>
      <c r="C1665" s="4">
        <f>'Raw data'!E1574</f>
        <v>0</v>
      </c>
      <c r="D1665" s="29" t="e">
        <f>VLOOKUP(C1665,'점포코드 '!A:B,2,0)</f>
        <v>#N/A</v>
      </c>
      <c r="E1665" s="30">
        <f>'Raw data'!P1574</f>
        <v>0</v>
      </c>
      <c r="F1665" s="29" t="e">
        <f>VLOOKUP(E1665,'점포코드 '!A:B,2,0)</f>
        <v>#N/A</v>
      </c>
      <c r="G1665" s="46">
        <f>'Raw data'!F1574</f>
        <v>0</v>
      </c>
      <c r="H1665" s="4">
        <f>'Raw data'!G1574</f>
        <v>0</v>
      </c>
      <c r="I1665" s="29" t="e">
        <f>VLOOKUP(G1665,제품명!$C$1:$E$114,2,0)</f>
        <v>#N/A</v>
      </c>
      <c r="J1665" s="29">
        <f>'Raw data'!K1574</f>
        <v>0</v>
      </c>
      <c r="K1665" s="31">
        <f>'Raw data'!H1574</f>
        <v>0</v>
      </c>
      <c r="L1665" s="26">
        <f t="shared" si="54"/>
        <v>0</v>
      </c>
    </row>
    <row r="1666" spans="2:12">
      <c r="B1666" s="4" t="e">
        <f t="shared" ref="B1666:B1729" si="55">F1666&amp;I1666</f>
        <v>#N/A</v>
      </c>
      <c r="C1666" s="4">
        <f>'Raw data'!E1575</f>
        <v>0</v>
      </c>
      <c r="D1666" s="29" t="e">
        <f>VLOOKUP(C1666,'점포코드 '!A:B,2,0)</f>
        <v>#N/A</v>
      </c>
      <c r="E1666" s="30">
        <f>'Raw data'!P1575</f>
        <v>0</v>
      </c>
      <c r="F1666" s="29" t="e">
        <f>VLOOKUP(E1666,'점포코드 '!A:B,2,0)</f>
        <v>#N/A</v>
      </c>
      <c r="G1666" s="46">
        <f>'Raw data'!F1575</f>
        <v>0</v>
      </c>
      <c r="H1666" s="4">
        <f>'Raw data'!G1575</f>
        <v>0</v>
      </c>
      <c r="I1666" s="29" t="e">
        <f>VLOOKUP(G1666,제품명!$C$1:$E$114,2,0)</f>
        <v>#N/A</v>
      </c>
      <c r="J1666" s="29">
        <f>'Raw data'!K1575</f>
        <v>0</v>
      </c>
      <c r="K1666" s="31">
        <f>'Raw data'!H1575</f>
        <v>0</v>
      </c>
      <c r="L1666" s="26">
        <f t="shared" si="54"/>
        <v>0</v>
      </c>
    </row>
    <row r="1667" spans="2:12">
      <c r="B1667" s="4" t="e">
        <f t="shared" si="55"/>
        <v>#N/A</v>
      </c>
      <c r="C1667" s="4">
        <f>'Raw data'!E1576</f>
        <v>0</v>
      </c>
      <c r="D1667" s="29" t="e">
        <f>VLOOKUP(C1667,'점포코드 '!A:B,2,0)</f>
        <v>#N/A</v>
      </c>
      <c r="E1667" s="30">
        <f>'Raw data'!P1576</f>
        <v>0</v>
      </c>
      <c r="F1667" s="29" t="e">
        <f>VLOOKUP(E1667,'점포코드 '!A:B,2,0)</f>
        <v>#N/A</v>
      </c>
      <c r="G1667" s="46">
        <f>'Raw data'!F1576</f>
        <v>0</v>
      </c>
      <c r="H1667" s="4">
        <f>'Raw data'!G1576</f>
        <v>0</v>
      </c>
      <c r="I1667" s="29" t="e">
        <f>VLOOKUP(G1667,제품명!$C$1:$E$114,2,0)</f>
        <v>#N/A</v>
      </c>
      <c r="J1667" s="29">
        <f>'Raw data'!K1576</f>
        <v>0</v>
      </c>
      <c r="K1667" s="31">
        <f>'Raw data'!H1576</f>
        <v>0</v>
      </c>
      <c r="L1667" s="26">
        <f t="shared" ref="L1667:L1730" si="56">J1667*K1667</f>
        <v>0</v>
      </c>
    </row>
    <row r="1668" spans="2:12">
      <c r="B1668" s="4" t="e">
        <f t="shared" si="55"/>
        <v>#N/A</v>
      </c>
      <c r="C1668" s="4">
        <f>'Raw data'!E1577</f>
        <v>0</v>
      </c>
      <c r="D1668" s="29" t="e">
        <f>VLOOKUP(C1668,'점포코드 '!A:B,2,0)</f>
        <v>#N/A</v>
      </c>
      <c r="E1668" s="30">
        <f>'Raw data'!P1577</f>
        <v>0</v>
      </c>
      <c r="F1668" s="29" t="e">
        <f>VLOOKUP(E1668,'점포코드 '!A:B,2,0)</f>
        <v>#N/A</v>
      </c>
      <c r="G1668" s="46">
        <f>'Raw data'!F1577</f>
        <v>0</v>
      </c>
      <c r="H1668" s="4">
        <f>'Raw data'!G1577</f>
        <v>0</v>
      </c>
      <c r="I1668" s="29" t="e">
        <f>VLOOKUP(G1668,제품명!$C$1:$E$114,2,0)</f>
        <v>#N/A</v>
      </c>
      <c r="J1668" s="29">
        <f>'Raw data'!K1577</f>
        <v>0</v>
      </c>
      <c r="K1668" s="31">
        <f>'Raw data'!H1577</f>
        <v>0</v>
      </c>
      <c r="L1668" s="26">
        <f t="shared" si="56"/>
        <v>0</v>
      </c>
    </row>
    <row r="1669" spans="2:12">
      <c r="B1669" s="4" t="e">
        <f t="shared" si="55"/>
        <v>#N/A</v>
      </c>
      <c r="C1669" s="4">
        <f>'Raw data'!E1578</f>
        <v>0</v>
      </c>
      <c r="D1669" s="29" t="e">
        <f>VLOOKUP(C1669,'점포코드 '!A:B,2,0)</f>
        <v>#N/A</v>
      </c>
      <c r="E1669" s="30">
        <f>'Raw data'!P1578</f>
        <v>0</v>
      </c>
      <c r="F1669" s="29" t="e">
        <f>VLOOKUP(E1669,'점포코드 '!A:B,2,0)</f>
        <v>#N/A</v>
      </c>
      <c r="G1669" s="46">
        <f>'Raw data'!F1578</f>
        <v>0</v>
      </c>
      <c r="H1669" s="4">
        <f>'Raw data'!G1578</f>
        <v>0</v>
      </c>
      <c r="I1669" s="29" t="e">
        <f>VLOOKUP(G1669,제품명!$C$1:$E$114,2,0)</f>
        <v>#N/A</v>
      </c>
      <c r="J1669" s="29">
        <f>'Raw data'!K1578</f>
        <v>0</v>
      </c>
      <c r="K1669" s="31">
        <f>'Raw data'!H1578</f>
        <v>0</v>
      </c>
      <c r="L1669" s="26">
        <f t="shared" si="56"/>
        <v>0</v>
      </c>
    </row>
    <row r="1670" spans="2:12">
      <c r="B1670" s="4" t="e">
        <f t="shared" si="55"/>
        <v>#N/A</v>
      </c>
      <c r="C1670" s="4">
        <f>'Raw data'!E1579</f>
        <v>0</v>
      </c>
      <c r="D1670" s="29" t="e">
        <f>VLOOKUP(C1670,'점포코드 '!A:B,2,0)</f>
        <v>#N/A</v>
      </c>
      <c r="E1670" s="30">
        <f>'Raw data'!P1579</f>
        <v>0</v>
      </c>
      <c r="F1670" s="29" t="e">
        <f>VLOOKUP(E1670,'점포코드 '!A:B,2,0)</f>
        <v>#N/A</v>
      </c>
      <c r="G1670" s="46">
        <f>'Raw data'!F1579</f>
        <v>0</v>
      </c>
      <c r="H1670" s="4">
        <f>'Raw data'!G1579</f>
        <v>0</v>
      </c>
      <c r="I1670" s="29" t="e">
        <f>VLOOKUP(G1670,제품명!$C$1:$E$114,2,0)</f>
        <v>#N/A</v>
      </c>
      <c r="J1670" s="29">
        <f>'Raw data'!K1579</f>
        <v>0</v>
      </c>
      <c r="K1670" s="31">
        <f>'Raw data'!H1579</f>
        <v>0</v>
      </c>
      <c r="L1670" s="26">
        <f t="shared" si="56"/>
        <v>0</v>
      </c>
    </row>
    <row r="1671" spans="2:12">
      <c r="B1671" s="4" t="e">
        <f t="shared" si="55"/>
        <v>#N/A</v>
      </c>
      <c r="C1671" s="4">
        <f>'Raw data'!E1580</f>
        <v>0</v>
      </c>
      <c r="D1671" s="29" t="e">
        <f>VLOOKUP(C1671,'점포코드 '!A:B,2,0)</f>
        <v>#N/A</v>
      </c>
      <c r="E1671" s="30">
        <f>'Raw data'!P1580</f>
        <v>0</v>
      </c>
      <c r="F1671" s="29" t="e">
        <f>VLOOKUP(E1671,'점포코드 '!A:B,2,0)</f>
        <v>#N/A</v>
      </c>
      <c r="G1671" s="46">
        <f>'Raw data'!F1580</f>
        <v>0</v>
      </c>
      <c r="H1671" s="4">
        <f>'Raw data'!G1580</f>
        <v>0</v>
      </c>
      <c r="I1671" s="29" t="e">
        <f>VLOOKUP(G1671,제품명!$C$1:$E$114,2,0)</f>
        <v>#N/A</v>
      </c>
      <c r="J1671" s="29">
        <f>'Raw data'!K1580</f>
        <v>0</v>
      </c>
      <c r="K1671" s="31">
        <f>'Raw data'!H1580</f>
        <v>0</v>
      </c>
      <c r="L1671" s="26">
        <f t="shared" si="56"/>
        <v>0</v>
      </c>
    </row>
    <row r="1672" spans="2:12">
      <c r="B1672" s="4" t="e">
        <f t="shared" si="55"/>
        <v>#N/A</v>
      </c>
      <c r="C1672" s="4">
        <f>'Raw data'!E1581</f>
        <v>0</v>
      </c>
      <c r="D1672" s="29" t="e">
        <f>VLOOKUP(C1672,'점포코드 '!A:B,2,0)</f>
        <v>#N/A</v>
      </c>
      <c r="E1672" s="30">
        <f>'Raw data'!P1581</f>
        <v>0</v>
      </c>
      <c r="F1672" s="29" t="e">
        <f>VLOOKUP(E1672,'점포코드 '!A:B,2,0)</f>
        <v>#N/A</v>
      </c>
      <c r="G1672" s="46">
        <f>'Raw data'!F1581</f>
        <v>0</v>
      </c>
      <c r="H1672" s="4">
        <f>'Raw data'!G1581</f>
        <v>0</v>
      </c>
      <c r="I1672" s="29" t="e">
        <f>VLOOKUP(G1672,제품명!$C$1:$E$114,2,0)</f>
        <v>#N/A</v>
      </c>
      <c r="J1672" s="29">
        <f>'Raw data'!K1581</f>
        <v>0</v>
      </c>
      <c r="K1672" s="31">
        <f>'Raw data'!H1581</f>
        <v>0</v>
      </c>
      <c r="L1672" s="26">
        <f t="shared" si="56"/>
        <v>0</v>
      </c>
    </row>
    <row r="1673" spans="2:12">
      <c r="B1673" s="4" t="e">
        <f t="shared" si="55"/>
        <v>#N/A</v>
      </c>
      <c r="C1673" s="4">
        <f>'Raw data'!E1582</f>
        <v>0</v>
      </c>
      <c r="D1673" s="29" t="e">
        <f>VLOOKUP(C1673,'점포코드 '!A:B,2,0)</f>
        <v>#N/A</v>
      </c>
      <c r="E1673" s="30">
        <f>'Raw data'!P1582</f>
        <v>0</v>
      </c>
      <c r="F1673" s="29" t="e">
        <f>VLOOKUP(E1673,'점포코드 '!A:B,2,0)</f>
        <v>#N/A</v>
      </c>
      <c r="G1673" s="46">
        <f>'Raw data'!F1582</f>
        <v>0</v>
      </c>
      <c r="H1673" s="4">
        <f>'Raw data'!G1582</f>
        <v>0</v>
      </c>
      <c r="I1673" s="29" t="e">
        <f>VLOOKUP(G1673,제품명!$C$1:$E$114,2,0)</f>
        <v>#N/A</v>
      </c>
      <c r="J1673" s="29">
        <f>'Raw data'!K1582</f>
        <v>0</v>
      </c>
      <c r="K1673" s="31">
        <f>'Raw data'!H1582</f>
        <v>0</v>
      </c>
      <c r="L1673" s="26">
        <f t="shared" si="56"/>
        <v>0</v>
      </c>
    </row>
    <row r="1674" spans="2:12">
      <c r="B1674" s="4" t="e">
        <f t="shared" si="55"/>
        <v>#N/A</v>
      </c>
      <c r="C1674" s="4">
        <f>'Raw data'!E1583</f>
        <v>0</v>
      </c>
      <c r="D1674" s="29" t="e">
        <f>VLOOKUP(C1674,'점포코드 '!A:B,2,0)</f>
        <v>#N/A</v>
      </c>
      <c r="E1674" s="30">
        <f>'Raw data'!P1583</f>
        <v>0</v>
      </c>
      <c r="F1674" s="29" t="e">
        <f>VLOOKUP(E1674,'점포코드 '!A:B,2,0)</f>
        <v>#N/A</v>
      </c>
      <c r="G1674" s="46">
        <f>'Raw data'!F1583</f>
        <v>0</v>
      </c>
      <c r="H1674" s="4">
        <f>'Raw data'!G1583</f>
        <v>0</v>
      </c>
      <c r="I1674" s="29" t="e">
        <f>VLOOKUP(G1674,제품명!$C$1:$E$114,2,0)</f>
        <v>#N/A</v>
      </c>
      <c r="J1674" s="29">
        <f>'Raw data'!K1583</f>
        <v>0</v>
      </c>
      <c r="K1674" s="31">
        <f>'Raw data'!H1583</f>
        <v>0</v>
      </c>
      <c r="L1674" s="26">
        <f t="shared" si="56"/>
        <v>0</v>
      </c>
    </row>
    <row r="1675" spans="2:12">
      <c r="B1675" s="4" t="e">
        <f t="shared" si="55"/>
        <v>#N/A</v>
      </c>
      <c r="C1675" s="4">
        <f>'Raw data'!E1584</f>
        <v>0</v>
      </c>
      <c r="D1675" s="29" t="e">
        <f>VLOOKUP(C1675,'점포코드 '!A:B,2,0)</f>
        <v>#N/A</v>
      </c>
      <c r="E1675" s="30">
        <f>'Raw data'!P1584</f>
        <v>0</v>
      </c>
      <c r="F1675" s="29" t="e">
        <f>VLOOKUP(E1675,'점포코드 '!A:B,2,0)</f>
        <v>#N/A</v>
      </c>
      <c r="G1675" s="46">
        <f>'Raw data'!F1584</f>
        <v>0</v>
      </c>
      <c r="H1675" s="4">
        <f>'Raw data'!G1584</f>
        <v>0</v>
      </c>
      <c r="I1675" s="29" t="e">
        <f>VLOOKUP(G1675,제품명!$C$1:$E$114,2,0)</f>
        <v>#N/A</v>
      </c>
      <c r="J1675" s="29">
        <f>'Raw data'!K1584</f>
        <v>0</v>
      </c>
      <c r="K1675" s="31">
        <f>'Raw data'!H1584</f>
        <v>0</v>
      </c>
      <c r="L1675" s="26">
        <f t="shared" si="56"/>
        <v>0</v>
      </c>
    </row>
    <row r="1676" spans="2:12">
      <c r="B1676" s="4" t="e">
        <f t="shared" si="55"/>
        <v>#N/A</v>
      </c>
      <c r="C1676" s="4">
        <f>'Raw data'!E1585</f>
        <v>0</v>
      </c>
      <c r="D1676" s="29" t="e">
        <f>VLOOKUP(C1676,'점포코드 '!A:B,2,0)</f>
        <v>#N/A</v>
      </c>
      <c r="E1676" s="30">
        <f>'Raw data'!P1585</f>
        <v>0</v>
      </c>
      <c r="F1676" s="29" t="e">
        <f>VLOOKUP(E1676,'점포코드 '!A:B,2,0)</f>
        <v>#N/A</v>
      </c>
      <c r="G1676" s="46">
        <f>'Raw data'!F1585</f>
        <v>0</v>
      </c>
      <c r="H1676" s="4">
        <f>'Raw data'!G1585</f>
        <v>0</v>
      </c>
      <c r="I1676" s="29" t="e">
        <f>VLOOKUP(G1676,제품명!$C$1:$E$114,2,0)</f>
        <v>#N/A</v>
      </c>
      <c r="J1676" s="29">
        <f>'Raw data'!K1585</f>
        <v>0</v>
      </c>
      <c r="K1676" s="31">
        <f>'Raw data'!H1585</f>
        <v>0</v>
      </c>
      <c r="L1676" s="26">
        <f t="shared" si="56"/>
        <v>0</v>
      </c>
    </row>
    <row r="1677" spans="2:12">
      <c r="B1677" s="4" t="e">
        <f t="shared" si="55"/>
        <v>#N/A</v>
      </c>
      <c r="C1677" s="4">
        <f>'Raw data'!E1586</f>
        <v>0</v>
      </c>
      <c r="D1677" s="29" t="e">
        <f>VLOOKUP(C1677,'점포코드 '!A:B,2,0)</f>
        <v>#N/A</v>
      </c>
      <c r="E1677" s="30">
        <f>'Raw data'!P1586</f>
        <v>0</v>
      </c>
      <c r="F1677" s="29" t="e">
        <f>VLOOKUP(E1677,'점포코드 '!A:B,2,0)</f>
        <v>#N/A</v>
      </c>
      <c r="G1677" s="46">
        <f>'Raw data'!F1586</f>
        <v>0</v>
      </c>
      <c r="H1677" s="4">
        <f>'Raw data'!G1586</f>
        <v>0</v>
      </c>
      <c r="I1677" s="29" t="e">
        <f>VLOOKUP(G1677,제품명!$C$1:$E$114,2,0)</f>
        <v>#N/A</v>
      </c>
      <c r="J1677" s="29">
        <f>'Raw data'!K1586</f>
        <v>0</v>
      </c>
      <c r="K1677" s="31">
        <f>'Raw data'!H1586</f>
        <v>0</v>
      </c>
      <c r="L1677" s="26">
        <f t="shared" si="56"/>
        <v>0</v>
      </c>
    </row>
    <row r="1678" spans="2:12">
      <c r="B1678" s="4" t="e">
        <f t="shared" si="55"/>
        <v>#N/A</v>
      </c>
      <c r="C1678" s="4">
        <f>'Raw data'!E1587</f>
        <v>0</v>
      </c>
      <c r="D1678" s="29" t="e">
        <f>VLOOKUP(C1678,'점포코드 '!A:B,2,0)</f>
        <v>#N/A</v>
      </c>
      <c r="E1678" s="30">
        <f>'Raw data'!P1587</f>
        <v>0</v>
      </c>
      <c r="F1678" s="29" t="e">
        <f>VLOOKUP(E1678,'점포코드 '!A:B,2,0)</f>
        <v>#N/A</v>
      </c>
      <c r="G1678" s="46">
        <f>'Raw data'!F1587</f>
        <v>0</v>
      </c>
      <c r="H1678" s="4">
        <f>'Raw data'!G1587</f>
        <v>0</v>
      </c>
      <c r="I1678" s="29" t="e">
        <f>VLOOKUP(G1678,제품명!$C$1:$E$114,2,0)</f>
        <v>#N/A</v>
      </c>
      <c r="J1678" s="29">
        <f>'Raw data'!K1587</f>
        <v>0</v>
      </c>
      <c r="K1678" s="31">
        <f>'Raw data'!H1587</f>
        <v>0</v>
      </c>
      <c r="L1678" s="26">
        <f t="shared" si="56"/>
        <v>0</v>
      </c>
    </row>
    <row r="1679" spans="2:12">
      <c r="B1679" s="4" t="e">
        <f t="shared" si="55"/>
        <v>#N/A</v>
      </c>
      <c r="C1679" s="4">
        <f>'Raw data'!E1588</f>
        <v>0</v>
      </c>
      <c r="D1679" s="29" t="e">
        <f>VLOOKUP(C1679,'점포코드 '!A:B,2,0)</f>
        <v>#N/A</v>
      </c>
      <c r="E1679" s="30">
        <f>'Raw data'!P1588</f>
        <v>0</v>
      </c>
      <c r="F1679" s="29" t="e">
        <f>VLOOKUP(E1679,'점포코드 '!A:B,2,0)</f>
        <v>#N/A</v>
      </c>
      <c r="G1679" s="46">
        <f>'Raw data'!F1588</f>
        <v>0</v>
      </c>
      <c r="H1679" s="4">
        <f>'Raw data'!G1588</f>
        <v>0</v>
      </c>
      <c r="I1679" s="29" t="e">
        <f>VLOOKUP(G1679,제품명!$C$1:$E$114,2,0)</f>
        <v>#N/A</v>
      </c>
      <c r="J1679" s="29">
        <f>'Raw data'!K1588</f>
        <v>0</v>
      </c>
      <c r="K1679" s="31">
        <f>'Raw data'!H1588</f>
        <v>0</v>
      </c>
      <c r="L1679" s="26">
        <f t="shared" si="56"/>
        <v>0</v>
      </c>
    </row>
    <row r="1680" spans="2:12">
      <c r="B1680" s="4" t="e">
        <f t="shared" si="55"/>
        <v>#N/A</v>
      </c>
      <c r="C1680" s="4">
        <f>'Raw data'!E1589</f>
        <v>0</v>
      </c>
      <c r="D1680" s="29" t="e">
        <f>VLOOKUP(C1680,'점포코드 '!A:B,2,0)</f>
        <v>#N/A</v>
      </c>
      <c r="E1680" s="30">
        <f>'Raw data'!P1589</f>
        <v>0</v>
      </c>
      <c r="F1680" s="29" t="e">
        <f>VLOOKUP(E1680,'점포코드 '!A:B,2,0)</f>
        <v>#N/A</v>
      </c>
      <c r="G1680" s="46">
        <f>'Raw data'!F1589</f>
        <v>0</v>
      </c>
      <c r="H1680" s="4">
        <f>'Raw data'!G1589</f>
        <v>0</v>
      </c>
      <c r="I1680" s="29" t="e">
        <f>VLOOKUP(G1680,제품명!$C$1:$E$114,2,0)</f>
        <v>#N/A</v>
      </c>
      <c r="J1680" s="29">
        <f>'Raw data'!K1589</f>
        <v>0</v>
      </c>
      <c r="K1680" s="31">
        <f>'Raw data'!H1589</f>
        <v>0</v>
      </c>
      <c r="L1680" s="26">
        <f t="shared" si="56"/>
        <v>0</v>
      </c>
    </row>
    <row r="1681" spans="2:12">
      <c r="B1681" s="4" t="e">
        <f t="shared" si="55"/>
        <v>#N/A</v>
      </c>
      <c r="C1681" s="4">
        <f>'Raw data'!E1590</f>
        <v>0</v>
      </c>
      <c r="D1681" s="29" t="e">
        <f>VLOOKUP(C1681,'점포코드 '!A:B,2,0)</f>
        <v>#N/A</v>
      </c>
      <c r="E1681" s="30">
        <f>'Raw data'!P1590</f>
        <v>0</v>
      </c>
      <c r="F1681" s="29" t="e">
        <f>VLOOKUP(E1681,'점포코드 '!A:B,2,0)</f>
        <v>#N/A</v>
      </c>
      <c r="G1681" s="46">
        <f>'Raw data'!F1590</f>
        <v>0</v>
      </c>
      <c r="H1681" s="4">
        <f>'Raw data'!G1590</f>
        <v>0</v>
      </c>
      <c r="I1681" s="29" t="e">
        <f>VLOOKUP(G1681,제품명!$C$1:$E$114,2,0)</f>
        <v>#N/A</v>
      </c>
      <c r="J1681" s="29">
        <f>'Raw data'!K1590</f>
        <v>0</v>
      </c>
      <c r="K1681" s="31">
        <f>'Raw data'!H1590</f>
        <v>0</v>
      </c>
      <c r="L1681" s="26">
        <f t="shared" si="56"/>
        <v>0</v>
      </c>
    </row>
    <row r="1682" spans="2:12">
      <c r="B1682" s="4" t="e">
        <f t="shared" si="55"/>
        <v>#N/A</v>
      </c>
      <c r="C1682" s="4">
        <f>'Raw data'!E1591</f>
        <v>0</v>
      </c>
      <c r="D1682" s="29" t="e">
        <f>VLOOKUP(C1682,'점포코드 '!A:B,2,0)</f>
        <v>#N/A</v>
      </c>
      <c r="E1682" s="30">
        <f>'Raw data'!P1591</f>
        <v>0</v>
      </c>
      <c r="F1682" s="29" t="e">
        <f>VLOOKUP(E1682,'점포코드 '!A:B,2,0)</f>
        <v>#N/A</v>
      </c>
      <c r="G1682" s="46">
        <f>'Raw data'!F1591</f>
        <v>0</v>
      </c>
      <c r="H1682" s="4">
        <f>'Raw data'!G1591</f>
        <v>0</v>
      </c>
      <c r="I1682" s="29" t="e">
        <f>VLOOKUP(G1682,제품명!$C$1:$E$114,2,0)</f>
        <v>#N/A</v>
      </c>
      <c r="J1682" s="29">
        <f>'Raw data'!K1591</f>
        <v>0</v>
      </c>
      <c r="K1682" s="31">
        <f>'Raw data'!H1591</f>
        <v>0</v>
      </c>
      <c r="L1682" s="26">
        <f t="shared" si="56"/>
        <v>0</v>
      </c>
    </row>
    <row r="1683" spans="2:12">
      <c r="B1683" s="4" t="e">
        <f t="shared" si="55"/>
        <v>#N/A</v>
      </c>
      <c r="C1683" s="4">
        <f>'Raw data'!E1592</f>
        <v>0</v>
      </c>
      <c r="D1683" s="29" t="e">
        <f>VLOOKUP(C1683,'점포코드 '!A:B,2,0)</f>
        <v>#N/A</v>
      </c>
      <c r="E1683" s="30">
        <f>'Raw data'!P1592</f>
        <v>0</v>
      </c>
      <c r="F1683" s="29" t="e">
        <f>VLOOKUP(E1683,'점포코드 '!A:B,2,0)</f>
        <v>#N/A</v>
      </c>
      <c r="G1683" s="46">
        <f>'Raw data'!F1592</f>
        <v>0</v>
      </c>
      <c r="H1683" s="4">
        <f>'Raw data'!G1592</f>
        <v>0</v>
      </c>
      <c r="I1683" s="29" t="e">
        <f>VLOOKUP(G1683,제품명!$C$1:$E$114,2,0)</f>
        <v>#N/A</v>
      </c>
      <c r="J1683" s="29">
        <f>'Raw data'!K1592</f>
        <v>0</v>
      </c>
      <c r="K1683" s="31">
        <f>'Raw data'!H1592</f>
        <v>0</v>
      </c>
      <c r="L1683" s="26">
        <f t="shared" si="56"/>
        <v>0</v>
      </c>
    </row>
    <row r="1684" spans="2:12">
      <c r="B1684" s="4" t="e">
        <f t="shared" si="55"/>
        <v>#N/A</v>
      </c>
      <c r="C1684" s="4">
        <f>'Raw data'!E1593</f>
        <v>0</v>
      </c>
      <c r="D1684" s="29" t="e">
        <f>VLOOKUP(C1684,'점포코드 '!A:B,2,0)</f>
        <v>#N/A</v>
      </c>
      <c r="E1684" s="30">
        <f>'Raw data'!P1593</f>
        <v>0</v>
      </c>
      <c r="F1684" s="29" t="e">
        <f>VLOOKUP(E1684,'점포코드 '!A:B,2,0)</f>
        <v>#N/A</v>
      </c>
      <c r="G1684" s="46">
        <f>'Raw data'!F1593</f>
        <v>0</v>
      </c>
      <c r="H1684" s="4">
        <f>'Raw data'!G1593</f>
        <v>0</v>
      </c>
      <c r="I1684" s="29" t="e">
        <f>VLOOKUP(G1684,제품명!$C$1:$E$114,2,0)</f>
        <v>#N/A</v>
      </c>
      <c r="J1684" s="29">
        <f>'Raw data'!K1593</f>
        <v>0</v>
      </c>
      <c r="K1684" s="31">
        <f>'Raw data'!H1593</f>
        <v>0</v>
      </c>
      <c r="L1684" s="26">
        <f t="shared" si="56"/>
        <v>0</v>
      </c>
    </row>
    <row r="1685" spans="2:12">
      <c r="B1685" s="4" t="e">
        <f t="shared" si="55"/>
        <v>#N/A</v>
      </c>
      <c r="C1685" s="4">
        <f>'Raw data'!E1594</f>
        <v>0</v>
      </c>
      <c r="D1685" s="29" t="e">
        <f>VLOOKUP(C1685,'점포코드 '!A:B,2,0)</f>
        <v>#N/A</v>
      </c>
      <c r="E1685" s="30">
        <f>'Raw data'!P1594</f>
        <v>0</v>
      </c>
      <c r="F1685" s="29" t="e">
        <f>VLOOKUP(E1685,'점포코드 '!A:B,2,0)</f>
        <v>#N/A</v>
      </c>
      <c r="G1685" s="46">
        <f>'Raw data'!F1594</f>
        <v>0</v>
      </c>
      <c r="H1685" s="4">
        <f>'Raw data'!G1594</f>
        <v>0</v>
      </c>
      <c r="I1685" s="29" t="e">
        <f>VLOOKUP(G1685,제품명!$C$1:$E$114,2,0)</f>
        <v>#N/A</v>
      </c>
      <c r="J1685" s="29">
        <f>'Raw data'!K1594</f>
        <v>0</v>
      </c>
      <c r="K1685" s="31">
        <f>'Raw data'!H1594</f>
        <v>0</v>
      </c>
      <c r="L1685" s="26">
        <f t="shared" si="56"/>
        <v>0</v>
      </c>
    </row>
    <row r="1686" spans="2:12">
      <c r="B1686" s="4" t="e">
        <f t="shared" si="55"/>
        <v>#N/A</v>
      </c>
      <c r="C1686" s="4">
        <f>'Raw data'!E1595</f>
        <v>0</v>
      </c>
      <c r="D1686" s="29" t="e">
        <f>VLOOKUP(C1686,'점포코드 '!A:B,2,0)</f>
        <v>#N/A</v>
      </c>
      <c r="E1686" s="30">
        <f>'Raw data'!P1595</f>
        <v>0</v>
      </c>
      <c r="F1686" s="29" t="e">
        <f>VLOOKUP(E1686,'점포코드 '!A:B,2,0)</f>
        <v>#N/A</v>
      </c>
      <c r="G1686" s="46">
        <f>'Raw data'!F1595</f>
        <v>0</v>
      </c>
      <c r="H1686" s="4">
        <f>'Raw data'!G1595</f>
        <v>0</v>
      </c>
      <c r="I1686" s="29" t="e">
        <f>VLOOKUP(G1686,제품명!$C$1:$E$114,2,0)</f>
        <v>#N/A</v>
      </c>
      <c r="J1686" s="29">
        <f>'Raw data'!K1595</f>
        <v>0</v>
      </c>
      <c r="K1686" s="31">
        <f>'Raw data'!H1595</f>
        <v>0</v>
      </c>
      <c r="L1686" s="26">
        <f t="shared" si="56"/>
        <v>0</v>
      </c>
    </row>
    <row r="1687" spans="2:12">
      <c r="B1687" s="4" t="e">
        <f t="shared" si="55"/>
        <v>#N/A</v>
      </c>
      <c r="C1687" s="4">
        <f>'Raw data'!E1596</f>
        <v>0</v>
      </c>
      <c r="D1687" s="29" t="e">
        <f>VLOOKUP(C1687,'점포코드 '!A:B,2,0)</f>
        <v>#N/A</v>
      </c>
      <c r="E1687" s="30">
        <f>'Raw data'!P1596</f>
        <v>0</v>
      </c>
      <c r="F1687" s="29" t="e">
        <f>VLOOKUP(E1687,'점포코드 '!A:B,2,0)</f>
        <v>#N/A</v>
      </c>
      <c r="G1687" s="46">
        <f>'Raw data'!F1596</f>
        <v>0</v>
      </c>
      <c r="H1687" s="4">
        <f>'Raw data'!G1596</f>
        <v>0</v>
      </c>
      <c r="I1687" s="29" t="e">
        <f>VLOOKUP(G1687,제품명!$C$1:$E$114,2,0)</f>
        <v>#N/A</v>
      </c>
      <c r="J1687" s="29">
        <f>'Raw data'!K1596</f>
        <v>0</v>
      </c>
      <c r="K1687" s="31">
        <f>'Raw data'!H1596</f>
        <v>0</v>
      </c>
      <c r="L1687" s="26">
        <f t="shared" si="56"/>
        <v>0</v>
      </c>
    </row>
    <row r="1688" spans="2:12">
      <c r="B1688" s="4" t="e">
        <f t="shared" si="55"/>
        <v>#N/A</v>
      </c>
      <c r="C1688" s="4">
        <f>'Raw data'!E1597</f>
        <v>0</v>
      </c>
      <c r="D1688" s="29" t="e">
        <f>VLOOKUP(C1688,'점포코드 '!A:B,2,0)</f>
        <v>#N/A</v>
      </c>
      <c r="E1688" s="30">
        <f>'Raw data'!P1597</f>
        <v>0</v>
      </c>
      <c r="F1688" s="29" t="e">
        <f>VLOOKUP(E1688,'점포코드 '!A:B,2,0)</f>
        <v>#N/A</v>
      </c>
      <c r="G1688" s="46">
        <f>'Raw data'!F1597</f>
        <v>0</v>
      </c>
      <c r="H1688" s="4">
        <f>'Raw data'!G1597</f>
        <v>0</v>
      </c>
      <c r="I1688" s="29" t="e">
        <f>VLOOKUP(G1688,제품명!$C$1:$E$114,2,0)</f>
        <v>#N/A</v>
      </c>
      <c r="J1688" s="29">
        <f>'Raw data'!K1597</f>
        <v>0</v>
      </c>
      <c r="K1688" s="31">
        <f>'Raw data'!H1597</f>
        <v>0</v>
      </c>
      <c r="L1688" s="26">
        <f t="shared" si="56"/>
        <v>0</v>
      </c>
    </row>
    <row r="1689" spans="2:12">
      <c r="B1689" s="4" t="e">
        <f t="shared" si="55"/>
        <v>#N/A</v>
      </c>
      <c r="C1689" s="4">
        <f>'Raw data'!E1598</f>
        <v>0</v>
      </c>
      <c r="D1689" s="29" t="e">
        <f>VLOOKUP(C1689,'점포코드 '!A:B,2,0)</f>
        <v>#N/A</v>
      </c>
      <c r="E1689" s="30">
        <f>'Raw data'!P1598</f>
        <v>0</v>
      </c>
      <c r="F1689" s="29" t="e">
        <f>VLOOKUP(E1689,'점포코드 '!A:B,2,0)</f>
        <v>#N/A</v>
      </c>
      <c r="G1689" s="46">
        <f>'Raw data'!F1598</f>
        <v>0</v>
      </c>
      <c r="H1689" s="4">
        <f>'Raw data'!G1598</f>
        <v>0</v>
      </c>
      <c r="I1689" s="29" t="e">
        <f>VLOOKUP(G1689,제품명!$C$1:$E$114,2,0)</f>
        <v>#N/A</v>
      </c>
      <c r="J1689" s="29">
        <f>'Raw data'!K1598</f>
        <v>0</v>
      </c>
      <c r="K1689" s="31">
        <f>'Raw data'!H1598</f>
        <v>0</v>
      </c>
      <c r="L1689" s="26">
        <f t="shared" si="56"/>
        <v>0</v>
      </c>
    </row>
    <row r="1690" spans="2:12">
      <c r="B1690" s="4" t="e">
        <f t="shared" si="55"/>
        <v>#N/A</v>
      </c>
      <c r="C1690" s="4">
        <f>'Raw data'!E1599</f>
        <v>0</v>
      </c>
      <c r="D1690" s="29" t="e">
        <f>VLOOKUP(C1690,'점포코드 '!A:B,2,0)</f>
        <v>#N/A</v>
      </c>
      <c r="E1690" s="30">
        <f>'Raw data'!P1599</f>
        <v>0</v>
      </c>
      <c r="F1690" s="29" t="e">
        <f>VLOOKUP(E1690,'점포코드 '!A:B,2,0)</f>
        <v>#N/A</v>
      </c>
      <c r="G1690" s="46">
        <f>'Raw data'!F1599</f>
        <v>0</v>
      </c>
      <c r="H1690" s="4">
        <f>'Raw data'!G1599</f>
        <v>0</v>
      </c>
      <c r="I1690" s="29" t="e">
        <f>VLOOKUP(G1690,제품명!$C$1:$E$114,2,0)</f>
        <v>#N/A</v>
      </c>
      <c r="J1690" s="29">
        <f>'Raw data'!K1599</f>
        <v>0</v>
      </c>
      <c r="K1690" s="31">
        <f>'Raw data'!H1599</f>
        <v>0</v>
      </c>
      <c r="L1690" s="26">
        <f t="shared" si="56"/>
        <v>0</v>
      </c>
    </row>
    <row r="1691" spans="2:12">
      <c r="B1691" s="4" t="e">
        <f t="shared" si="55"/>
        <v>#N/A</v>
      </c>
      <c r="C1691" s="4">
        <f>'Raw data'!E1600</f>
        <v>0</v>
      </c>
      <c r="D1691" s="29" t="e">
        <f>VLOOKUP(C1691,'점포코드 '!A:B,2,0)</f>
        <v>#N/A</v>
      </c>
      <c r="E1691" s="30">
        <f>'Raw data'!P1600</f>
        <v>0</v>
      </c>
      <c r="F1691" s="29" t="e">
        <f>VLOOKUP(E1691,'점포코드 '!A:B,2,0)</f>
        <v>#N/A</v>
      </c>
      <c r="G1691" s="46">
        <f>'Raw data'!F1600</f>
        <v>0</v>
      </c>
      <c r="H1691" s="4">
        <f>'Raw data'!G1600</f>
        <v>0</v>
      </c>
      <c r="I1691" s="29" t="e">
        <f>VLOOKUP(G1691,제품명!$C$1:$E$114,2,0)</f>
        <v>#N/A</v>
      </c>
      <c r="J1691" s="29">
        <f>'Raw data'!K1600</f>
        <v>0</v>
      </c>
      <c r="K1691" s="31">
        <f>'Raw data'!H1600</f>
        <v>0</v>
      </c>
      <c r="L1691" s="26">
        <f t="shared" si="56"/>
        <v>0</v>
      </c>
    </row>
    <row r="1692" spans="2:12">
      <c r="B1692" s="4" t="e">
        <f t="shared" si="55"/>
        <v>#N/A</v>
      </c>
      <c r="C1692" s="4">
        <f>'Raw data'!E1601</f>
        <v>0</v>
      </c>
      <c r="D1692" s="29" t="e">
        <f>VLOOKUP(C1692,'점포코드 '!A:B,2,0)</f>
        <v>#N/A</v>
      </c>
      <c r="E1692" s="30">
        <f>'Raw data'!P1601</f>
        <v>0</v>
      </c>
      <c r="F1692" s="29" t="e">
        <f>VLOOKUP(E1692,'점포코드 '!A:B,2,0)</f>
        <v>#N/A</v>
      </c>
      <c r="G1692" s="46">
        <f>'Raw data'!F1601</f>
        <v>0</v>
      </c>
      <c r="H1692" s="4">
        <f>'Raw data'!G1601</f>
        <v>0</v>
      </c>
      <c r="I1692" s="29" t="e">
        <f>VLOOKUP(G1692,제품명!$C$1:$E$114,2,0)</f>
        <v>#N/A</v>
      </c>
      <c r="J1692" s="29">
        <f>'Raw data'!K1601</f>
        <v>0</v>
      </c>
      <c r="K1692" s="31">
        <f>'Raw data'!H1601</f>
        <v>0</v>
      </c>
      <c r="L1692" s="26">
        <f t="shared" si="56"/>
        <v>0</v>
      </c>
    </row>
    <row r="1693" spans="2:12">
      <c r="B1693" s="4" t="e">
        <f t="shared" si="55"/>
        <v>#N/A</v>
      </c>
      <c r="C1693" s="4">
        <f>'Raw data'!E1602</f>
        <v>0</v>
      </c>
      <c r="D1693" s="29" t="e">
        <f>VLOOKUP(C1693,'점포코드 '!A:B,2,0)</f>
        <v>#N/A</v>
      </c>
      <c r="E1693" s="30">
        <f>'Raw data'!P1602</f>
        <v>0</v>
      </c>
      <c r="F1693" s="29" t="e">
        <f>VLOOKUP(E1693,'점포코드 '!A:B,2,0)</f>
        <v>#N/A</v>
      </c>
      <c r="G1693" s="46">
        <f>'Raw data'!F1602</f>
        <v>0</v>
      </c>
      <c r="H1693" s="4">
        <f>'Raw data'!G1602</f>
        <v>0</v>
      </c>
      <c r="I1693" s="29" t="e">
        <f>VLOOKUP(G1693,제품명!$C$1:$E$114,2,0)</f>
        <v>#N/A</v>
      </c>
      <c r="J1693" s="29">
        <f>'Raw data'!K1602</f>
        <v>0</v>
      </c>
      <c r="K1693" s="31">
        <f>'Raw data'!H1602</f>
        <v>0</v>
      </c>
      <c r="L1693" s="26">
        <f t="shared" si="56"/>
        <v>0</v>
      </c>
    </row>
    <row r="1694" spans="2:12">
      <c r="B1694" s="4" t="e">
        <f t="shared" si="55"/>
        <v>#N/A</v>
      </c>
      <c r="C1694" s="4">
        <f>'Raw data'!E1603</f>
        <v>0</v>
      </c>
      <c r="D1694" s="29" t="e">
        <f>VLOOKUP(C1694,'점포코드 '!A:B,2,0)</f>
        <v>#N/A</v>
      </c>
      <c r="E1694" s="30">
        <f>'Raw data'!P1603</f>
        <v>0</v>
      </c>
      <c r="F1694" s="29" t="e">
        <f>VLOOKUP(E1694,'점포코드 '!A:B,2,0)</f>
        <v>#N/A</v>
      </c>
      <c r="G1694" s="46">
        <f>'Raw data'!F1603</f>
        <v>0</v>
      </c>
      <c r="H1694" s="4">
        <f>'Raw data'!G1603</f>
        <v>0</v>
      </c>
      <c r="I1694" s="29" t="e">
        <f>VLOOKUP(G1694,제품명!$C$1:$E$114,2,0)</f>
        <v>#N/A</v>
      </c>
      <c r="J1694" s="29">
        <f>'Raw data'!K1603</f>
        <v>0</v>
      </c>
      <c r="K1694" s="31">
        <f>'Raw data'!H1603</f>
        <v>0</v>
      </c>
      <c r="L1694" s="26">
        <f t="shared" si="56"/>
        <v>0</v>
      </c>
    </row>
    <row r="1695" spans="2:12">
      <c r="B1695" s="4" t="e">
        <f t="shared" si="55"/>
        <v>#N/A</v>
      </c>
      <c r="C1695" s="4">
        <f>'Raw data'!E1604</f>
        <v>0</v>
      </c>
      <c r="D1695" s="29" t="e">
        <f>VLOOKUP(C1695,'점포코드 '!A:B,2,0)</f>
        <v>#N/A</v>
      </c>
      <c r="E1695" s="30">
        <f>'Raw data'!P1604</f>
        <v>0</v>
      </c>
      <c r="F1695" s="29" t="e">
        <f>VLOOKUP(E1695,'점포코드 '!A:B,2,0)</f>
        <v>#N/A</v>
      </c>
      <c r="G1695" s="46">
        <f>'Raw data'!F1604</f>
        <v>0</v>
      </c>
      <c r="H1695" s="4">
        <f>'Raw data'!G1604</f>
        <v>0</v>
      </c>
      <c r="I1695" s="29" t="e">
        <f>VLOOKUP(G1695,제품명!$C$1:$E$114,2,0)</f>
        <v>#N/A</v>
      </c>
      <c r="J1695" s="29">
        <f>'Raw data'!K1604</f>
        <v>0</v>
      </c>
      <c r="K1695" s="31">
        <f>'Raw data'!H1604</f>
        <v>0</v>
      </c>
      <c r="L1695" s="26">
        <f t="shared" si="56"/>
        <v>0</v>
      </c>
    </row>
    <row r="1696" spans="2:12">
      <c r="B1696" s="4" t="e">
        <f t="shared" si="55"/>
        <v>#N/A</v>
      </c>
      <c r="C1696" s="4">
        <f>'Raw data'!E1605</f>
        <v>0</v>
      </c>
      <c r="D1696" s="29" t="e">
        <f>VLOOKUP(C1696,'점포코드 '!A:B,2,0)</f>
        <v>#N/A</v>
      </c>
      <c r="E1696" s="30">
        <f>'Raw data'!P1605</f>
        <v>0</v>
      </c>
      <c r="F1696" s="29" t="e">
        <f>VLOOKUP(E1696,'점포코드 '!A:B,2,0)</f>
        <v>#N/A</v>
      </c>
      <c r="G1696" s="46">
        <f>'Raw data'!F1605</f>
        <v>0</v>
      </c>
      <c r="H1696" s="4">
        <f>'Raw data'!G1605</f>
        <v>0</v>
      </c>
      <c r="I1696" s="29" t="e">
        <f>VLOOKUP(G1696,제품명!$C$1:$E$114,2,0)</f>
        <v>#N/A</v>
      </c>
      <c r="J1696" s="29">
        <f>'Raw data'!K1605</f>
        <v>0</v>
      </c>
      <c r="K1696" s="31">
        <f>'Raw data'!H1605</f>
        <v>0</v>
      </c>
      <c r="L1696" s="26">
        <f t="shared" si="56"/>
        <v>0</v>
      </c>
    </row>
    <row r="1697" spans="2:12">
      <c r="B1697" s="4" t="e">
        <f t="shared" si="55"/>
        <v>#N/A</v>
      </c>
      <c r="C1697" s="4">
        <f>'Raw data'!E1606</f>
        <v>0</v>
      </c>
      <c r="D1697" s="29" t="e">
        <f>VLOOKUP(C1697,'점포코드 '!A:B,2,0)</f>
        <v>#N/A</v>
      </c>
      <c r="E1697" s="30">
        <f>'Raw data'!P1606</f>
        <v>0</v>
      </c>
      <c r="F1697" s="29" t="e">
        <f>VLOOKUP(E1697,'점포코드 '!A:B,2,0)</f>
        <v>#N/A</v>
      </c>
      <c r="G1697" s="46">
        <f>'Raw data'!F1606</f>
        <v>0</v>
      </c>
      <c r="H1697" s="4">
        <f>'Raw data'!G1606</f>
        <v>0</v>
      </c>
      <c r="I1697" s="29" t="e">
        <f>VLOOKUP(G1697,제품명!$C$1:$E$114,2,0)</f>
        <v>#N/A</v>
      </c>
      <c r="J1697" s="29">
        <f>'Raw data'!K1606</f>
        <v>0</v>
      </c>
      <c r="K1697" s="31">
        <f>'Raw data'!H1606</f>
        <v>0</v>
      </c>
      <c r="L1697" s="26">
        <f t="shared" si="56"/>
        <v>0</v>
      </c>
    </row>
    <row r="1698" spans="2:12">
      <c r="B1698" s="4" t="e">
        <f t="shared" si="55"/>
        <v>#N/A</v>
      </c>
      <c r="C1698" s="4">
        <f>'Raw data'!E1607</f>
        <v>0</v>
      </c>
      <c r="D1698" s="29" t="e">
        <f>VLOOKUP(C1698,'점포코드 '!A:B,2,0)</f>
        <v>#N/A</v>
      </c>
      <c r="E1698" s="30">
        <f>'Raw data'!P1607</f>
        <v>0</v>
      </c>
      <c r="F1698" s="29" t="e">
        <f>VLOOKUP(E1698,'점포코드 '!A:B,2,0)</f>
        <v>#N/A</v>
      </c>
      <c r="G1698" s="46">
        <f>'Raw data'!F1607</f>
        <v>0</v>
      </c>
      <c r="H1698" s="4">
        <f>'Raw data'!G1607</f>
        <v>0</v>
      </c>
      <c r="I1698" s="29" t="e">
        <f>VLOOKUP(G1698,제품명!$C$1:$E$114,2,0)</f>
        <v>#N/A</v>
      </c>
      <c r="J1698" s="29">
        <f>'Raw data'!K1607</f>
        <v>0</v>
      </c>
      <c r="K1698" s="31">
        <f>'Raw data'!H1607</f>
        <v>0</v>
      </c>
      <c r="L1698" s="26">
        <f t="shared" si="56"/>
        <v>0</v>
      </c>
    </row>
    <row r="1699" spans="2:12">
      <c r="B1699" s="4" t="e">
        <f t="shared" si="55"/>
        <v>#N/A</v>
      </c>
      <c r="C1699" s="4">
        <f>'Raw data'!E1608</f>
        <v>0</v>
      </c>
      <c r="D1699" s="29" t="e">
        <f>VLOOKUP(C1699,'점포코드 '!A:B,2,0)</f>
        <v>#N/A</v>
      </c>
      <c r="E1699" s="30">
        <f>'Raw data'!P1608</f>
        <v>0</v>
      </c>
      <c r="F1699" s="29" t="e">
        <f>VLOOKUP(E1699,'점포코드 '!A:B,2,0)</f>
        <v>#N/A</v>
      </c>
      <c r="G1699" s="46">
        <f>'Raw data'!F1608</f>
        <v>0</v>
      </c>
      <c r="H1699" s="4">
        <f>'Raw data'!G1608</f>
        <v>0</v>
      </c>
      <c r="I1699" s="29" t="e">
        <f>VLOOKUP(G1699,제품명!$C$1:$E$114,2,0)</f>
        <v>#N/A</v>
      </c>
      <c r="J1699" s="29">
        <f>'Raw data'!K1608</f>
        <v>0</v>
      </c>
      <c r="K1699" s="31">
        <f>'Raw data'!H1608</f>
        <v>0</v>
      </c>
      <c r="L1699" s="26">
        <f t="shared" si="56"/>
        <v>0</v>
      </c>
    </row>
    <row r="1700" spans="2:12">
      <c r="B1700" s="4" t="e">
        <f t="shared" si="55"/>
        <v>#N/A</v>
      </c>
      <c r="C1700" s="4">
        <f>'Raw data'!E1609</f>
        <v>0</v>
      </c>
      <c r="D1700" s="29" t="e">
        <f>VLOOKUP(C1700,'점포코드 '!A:B,2,0)</f>
        <v>#N/A</v>
      </c>
      <c r="E1700" s="30">
        <f>'Raw data'!P1609</f>
        <v>0</v>
      </c>
      <c r="F1700" s="29" t="e">
        <f>VLOOKUP(E1700,'점포코드 '!A:B,2,0)</f>
        <v>#N/A</v>
      </c>
      <c r="G1700" s="46">
        <f>'Raw data'!F1609</f>
        <v>0</v>
      </c>
      <c r="H1700" s="4">
        <f>'Raw data'!G1609</f>
        <v>0</v>
      </c>
      <c r="I1700" s="29" t="e">
        <f>VLOOKUP(G1700,제품명!$C$1:$E$114,2,0)</f>
        <v>#N/A</v>
      </c>
      <c r="J1700" s="29">
        <f>'Raw data'!K1609</f>
        <v>0</v>
      </c>
      <c r="K1700" s="31">
        <f>'Raw data'!H1609</f>
        <v>0</v>
      </c>
      <c r="L1700" s="26">
        <f t="shared" si="56"/>
        <v>0</v>
      </c>
    </row>
    <row r="1701" spans="2:12">
      <c r="B1701" s="4" t="e">
        <f t="shared" si="55"/>
        <v>#N/A</v>
      </c>
      <c r="C1701" s="4">
        <f>'Raw data'!E1610</f>
        <v>0</v>
      </c>
      <c r="D1701" s="29" t="e">
        <f>VLOOKUP(C1701,'점포코드 '!A:B,2,0)</f>
        <v>#N/A</v>
      </c>
      <c r="E1701" s="30">
        <f>'Raw data'!P1610</f>
        <v>0</v>
      </c>
      <c r="F1701" s="29" t="e">
        <f>VLOOKUP(E1701,'점포코드 '!A:B,2,0)</f>
        <v>#N/A</v>
      </c>
      <c r="G1701" s="46">
        <f>'Raw data'!F1610</f>
        <v>0</v>
      </c>
      <c r="H1701" s="4">
        <f>'Raw data'!G1610</f>
        <v>0</v>
      </c>
      <c r="I1701" s="29" t="e">
        <f>VLOOKUP(G1701,제품명!$C$1:$E$114,2,0)</f>
        <v>#N/A</v>
      </c>
      <c r="J1701" s="29">
        <f>'Raw data'!K1610</f>
        <v>0</v>
      </c>
      <c r="K1701" s="31">
        <f>'Raw data'!H1610</f>
        <v>0</v>
      </c>
      <c r="L1701" s="26">
        <f t="shared" si="56"/>
        <v>0</v>
      </c>
    </row>
    <row r="1702" spans="2:12">
      <c r="B1702" s="4" t="e">
        <f t="shared" si="55"/>
        <v>#N/A</v>
      </c>
      <c r="C1702" s="4">
        <f>'Raw data'!E1611</f>
        <v>0</v>
      </c>
      <c r="D1702" s="29" t="e">
        <f>VLOOKUP(C1702,'점포코드 '!A:B,2,0)</f>
        <v>#N/A</v>
      </c>
      <c r="E1702" s="30">
        <f>'Raw data'!P1611</f>
        <v>0</v>
      </c>
      <c r="F1702" s="29" t="e">
        <f>VLOOKUP(E1702,'점포코드 '!A:B,2,0)</f>
        <v>#N/A</v>
      </c>
      <c r="G1702" s="46">
        <f>'Raw data'!F1611</f>
        <v>0</v>
      </c>
      <c r="H1702" s="4">
        <f>'Raw data'!G1611</f>
        <v>0</v>
      </c>
      <c r="I1702" s="29" t="e">
        <f>VLOOKUP(G1702,제품명!$C$1:$E$114,2,0)</f>
        <v>#N/A</v>
      </c>
      <c r="J1702" s="29">
        <f>'Raw data'!K1611</f>
        <v>0</v>
      </c>
      <c r="K1702" s="31">
        <f>'Raw data'!H1611</f>
        <v>0</v>
      </c>
      <c r="L1702" s="26">
        <f t="shared" si="56"/>
        <v>0</v>
      </c>
    </row>
    <row r="1703" spans="2:12">
      <c r="B1703" s="4" t="e">
        <f t="shared" si="55"/>
        <v>#N/A</v>
      </c>
      <c r="C1703" s="4">
        <f>'Raw data'!E1612</f>
        <v>0</v>
      </c>
      <c r="D1703" s="29" t="e">
        <f>VLOOKUP(C1703,'점포코드 '!A:B,2,0)</f>
        <v>#N/A</v>
      </c>
      <c r="E1703" s="30">
        <f>'Raw data'!P1612</f>
        <v>0</v>
      </c>
      <c r="F1703" s="29" t="e">
        <f>VLOOKUP(E1703,'점포코드 '!A:B,2,0)</f>
        <v>#N/A</v>
      </c>
      <c r="G1703" s="46">
        <f>'Raw data'!F1612</f>
        <v>0</v>
      </c>
      <c r="H1703" s="4">
        <f>'Raw data'!G1612</f>
        <v>0</v>
      </c>
      <c r="I1703" s="29" t="e">
        <f>VLOOKUP(G1703,제품명!$C$1:$E$114,2,0)</f>
        <v>#N/A</v>
      </c>
      <c r="J1703" s="29">
        <f>'Raw data'!K1612</f>
        <v>0</v>
      </c>
      <c r="K1703" s="31">
        <f>'Raw data'!H1612</f>
        <v>0</v>
      </c>
      <c r="L1703" s="26">
        <f t="shared" si="56"/>
        <v>0</v>
      </c>
    </row>
    <row r="1704" spans="2:12">
      <c r="B1704" s="4" t="e">
        <f t="shared" si="55"/>
        <v>#N/A</v>
      </c>
      <c r="C1704" s="4">
        <f>'Raw data'!E1613</f>
        <v>0</v>
      </c>
      <c r="D1704" s="29" t="e">
        <f>VLOOKUP(C1704,'점포코드 '!A:B,2,0)</f>
        <v>#N/A</v>
      </c>
      <c r="E1704" s="30">
        <f>'Raw data'!P1613</f>
        <v>0</v>
      </c>
      <c r="F1704" s="29" t="e">
        <f>VLOOKUP(E1704,'점포코드 '!A:B,2,0)</f>
        <v>#N/A</v>
      </c>
      <c r="G1704" s="46">
        <f>'Raw data'!F1613</f>
        <v>0</v>
      </c>
      <c r="H1704" s="4">
        <f>'Raw data'!G1613</f>
        <v>0</v>
      </c>
      <c r="I1704" s="29" t="e">
        <f>VLOOKUP(G1704,제품명!$C$1:$E$114,2,0)</f>
        <v>#N/A</v>
      </c>
      <c r="J1704" s="29">
        <f>'Raw data'!K1613</f>
        <v>0</v>
      </c>
      <c r="K1704" s="31">
        <f>'Raw data'!H1613</f>
        <v>0</v>
      </c>
      <c r="L1704" s="26">
        <f t="shared" si="56"/>
        <v>0</v>
      </c>
    </row>
    <row r="1705" spans="2:12">
      <c r="B1705" s="4" t="e">
        <f t="shared" si="55"/>
        <v>#N/A</v>
      </c>
      <c r="C1705" s="4">
        <f>'Raw data'!E1614</f>
        <v>0</v>
      </c>
      <c r="D1705" s="29" t="e">
        <f>VLOOKUP(C1705,'점포코드 '!A:B,2,0)</f>
        <v>#N/A</v>
      </c>
      <c r="E1705" s="30">
        <f>'Raw data'!P1614</f>
        <v>0</v>
      </c>
      <c r="F1705" s="29" t="e">
        <f>VLOOKUP(E1705,'점포코드 '!A:B,2,0)</f>
        <v>#N/A</v>
      </c>
      <c r="G1705" s="46">
        <f>'Raw data'!F1614</f>
        <v>0</v>
      </c>
      <c r="H1705" s="4">
        <f>'Raw data'!G1614</f>
        <v>0</v>
      </c>
      <c r="I1705" s="29" t="e">
        <f>VLOOKUP(G1705,제품명!$C$1:$E$114,2,0)</f>
        <v>#N/A</v>
      </c>
      <c r="J1705" s="29">
        <f>'Raw data'!K1614</f>
        <v>0</v>
      </c>
      <c r="K1705" s="31">
        <f>'Raw data'!H1614</f>
        <v>0</v>
      </c>
      <c r="L1705" s="26">
        <f t="shared" si="56"/>
        <v>0</v>
      </c>
    </row>
    <row r="1706" spans="2:12">
      <c r="B1706" s="4" t="e">
        <f t="shared" si="55"/>
        <v>#N/A</v>
      </c>
      <c r="C1706" s="4">
        <f>'Raw data'!E1615</f>
        <v>0</v>
      </c>
      <c r="D1706" s="29" t="e">
        <f>VLOOKUP(C1706,'점포코드 '!A:B,2,0)</f>
        <v>#N/A</v>
      </c>
      <c r="E1706" s="30">
        <f>'Raw data'!P1615</f>
        <v>0</v>
      </c>
      <c r="F1706" s="29" t="e">
        <f>VLOOKUP(E1706,'점포코드 '!A:B,2,0)</f>
        <v>#N/A</v>
      </c>
      <c r="G1706" s="46">
        <f>'Raw data'!F1615</f>
        <v>0</v>
      </c>
      <c r="H1706" s="4">
        <f>'Raw data'!G1615</f>
        <v>0</v>
      </c>
      <c r="I1706" s="29" t="e">
        <f>VLOOKUP(G1706,제품명!$C$1:$E$114,2,0)</f>
        <v>#N/A</v>
      </c>
      <c r="J1706" s="29">
        <f>'Raw data'!K1615</f>
        <v>0</v>
      </c>
      <c r="K1706" s="31">
        <f>'Raw data'!H1615</f>
        <v>0</v>
      </c>
      <c r="L1706" s="26">
        <f t="shared" si="56"/>
        <v>0</v>
      </c>
    </row>
    <row r="1707" spans="2:12">
      <c r="B1707" s="4" t="e">
        <f t="shared" si="55"/>
        <v>#N/A</v>
      </c>
      <c r="C1707" s="4">
        <f>'Raw data'!E1616</f>
        <v>0</v>
      </c>
      <c r="D1707" s="29" t="e">
        <f>VLOOKUP(C1707,'점포코드 '!A:B,2,0)</f>
        <v>#N/A</v>
      </c>
      <c r="E1707" s="30">
        <f>'Raw data'!P1616</f>
        <v>0</v>
      </c>
      <c r="F1707" s="29" t="e">
        <f>VLOOKUP(E1707,'점포코드 '!A:B,2,0)</f>
        <v>#N/A</v>
      </c>
      <c r="G1707" s="46">
        <f>'Raw data'!F1616</f>
        <v>0</v>
      </c>
      <c r="H1707" s="4">
        <f>'Raw data'!G1616</f>
        <v>0</v>
      </c>
      <c r="I1707" s="29" t="e">
        <f>VLOOKUP(G1707,제품명!$C$1:$E$114,2,0)</f>
        <v>#N/A</v>
      </c>
      <c r="J1707" s="29">
        <f>'Raw data'!K1616</f>
        <v>0</v>
      </c>
      <c r="K1707" s="31">
        <f>'Raw data'!H1616</f>
        <v>0</v>
      </c>
      <c r="L1707" s="26">
        <f t="shared" si="56"/>
        <v>0</v>
      </c>
    </row>
    <row r="1708" spans="2:12">
      <c r="B1708" s="4" t="e">
        <f t="shared" si="55"/>
        <v>#N/A</v>
      </c>
      <c r="C1708" s="4">
        <f>'Raw data'!E1617</f>
        <v>0</v>
      </c>
      <c r="D1708" s="29" t="e">
        <f>VLOOKUP(C1708,'점포코드 '!A:B,2,0)</f>
        <v>#N/A</v>
      </c>
      <c r="E1708" s="30">
        <f>'Raw data'!P1617</f>
        <v>0</v>
      </c>
      <c r="F1708" s="29" t="e">
        <f>VLOOKUP(E1708,'점포코드 '!A:B,2,0)</f>
        <v>#N/A</v>
      </c>
      <c r="G1708" s="46">
        <f>'Raw data'!F1617</f>
        <v>0</v>
      </c>
      <c r="H1708" s="4">
        <f>'Raw data'!G1617</f>
        <v>0</v>
      </c>
      <c r="I1708" s="29" t="e">
        <f>VLOOKUP(G1708,제품명!$C$1:$E$114,2,0)</f>
        <v>#N/A</v>
      </c>
      <c r="J1708" s="29">
        <f>'Raw data'!K1617</f>
        <v>0</v>
      </c>
      <c r="K1708" s="31">
        <f>'Raw data'!H1617</f>
        <v>0</v>
      </c>
      <c r="L1708" s="26">
        <f t="shared" si="56"/>
        <v>0</v>
      </c>
    </row>
    <row r="1709" spans="2:12">
      <c r="B1709" s="4" t="e">
        <f t="shared" si="55"/>
        <v>#N/A</v>
      </c>
      <c r="C1709" s="4">
        <f>'Raw data'!E1618</f>
        <v>0</v>
      </c>
      <c r="D1709" s="29" t="e">
        <f>VLOOKUP(C1709,'점포코드 '!A:B,2,0)</f>
        <v>#N/A</v>
      </c>
      <c r="E1709" s="30">
        <f>'Raw data'!P1618</f>
        <v>0</v>
      </c>
      <c r="F1709" s="29" t="e">
        <f>VLOOKUP(E1709,'점포코드 '!A:B,2,0)</f>
        <v>#N/A</v>
      </c>
      <c r="G1709" s="46">
        <f>'Raw data'!F1618</f>
        <v>0</v>
      </c>
      <c r="H1709" s="4">
        <f>'Raw data'!G1618</f>
        <v>0</v>
      </c>
      <c r="I1709" s="29" t="e">
        <f>VLOOKUP(G1709,제품명!$C$1:$E$114,2,0)</f>
        <v>#N/A</v>
      </c>
      <c r="J1709" s="29">
        <f>'Raw data'!K1618</f>
        <v>0</v>
      </c>
      <c r="K1709" s="31">
        <f>'Raw data'!H1618</f>
        <v>0</v>
      </c>
      <c r="L1709" s="26">
        <f t="shared" si="56"/>
        <v>0</v>
      </c>
    </row>
    <row r="1710" spans="2:12">
      <c r="B1710" s="4" t="e">
        <f t="shared" si="55"/>
        <v>#N/A</v>
      </c>
      <c r="C1710" s="4">
        <f>'Raw data'!E1619</f>
        <v>0</v>
      </c>
      <c r="D1710" s="29" t="e">
        <f>VLOOKUP(C1710,'점포코드 '!A:B,2,0)</f>
        <v>#N/A</v>
      </c>
      <c r="E1710" s="30">
        <f>'Raw data'!P1619</f>
        <v>0</v>
      </c>
      <c r="F1710" s="29" t="e">
        <f>VLOOKUP(E1710,'점포코드 '!A:B,2,0)</f>
        <v>#N/A</v>
      </c>
      <c r="G1710" s="46">
        <f>'Raw data'!F1619</f>
        <v>0</v>
      </c>
      <c r="H1710" s="4">
        <f>'Raw data'!G1619</f>
        <v>0</v>
      </c>
      <c r="I1710" s="29" t="e">
        <f>VLOOKUP(G1710,제품명!$C$1:$E$114,2,0)</f>
        <v>#N/A</v>
      </c>
      <c r="J1710" s="29">
        <f>'Raw data'!K1619</f>
        <v>0</v>
      </c>
      <c r="K1710" s="31">
        <f>'Raw data'!H1619</f>
        <v>0</v>
      </c>
      <c r="L1710" s="26">
        <f t="shared" si="56"/>
        <v>0</v>
      </c>
    </row>
    <row r="1711" spans="2:12">
      <c r="B1711" s="4" t="e">
        <f t="shared" si="55"/>
        <v>#N/A</v>
      </c>
      <c r="C1711" s="4">
        <f>'Raw data'!E1620</f>
        <v>0</v>
      </c>
      <c r="D1711" s="29" t="e">
        <f>VLOOKUP(C1711,'점포코드 '!A:B,2,0)</f>
        <v>#N/A</v>
      </c>
      <c r="E1711" s="30">
        <f>'Raw data'!P1620</f>
        <v>0</v>
      </c>
      <c r="F1711" s="29" t="e">
        <f>VLOOKUP(E1711,'점포코드 '!A:B,2,0)</f>
        <v>#N/A</v>
      </c>
      <c r="G1711" s="46">
        <f>'Raw data'!F1620</f>
        <v>0</v>
      </c>
      <c r="H1711" s="4">
        <f>'Raw data'!G1620</f>
        <v>0</v>
      </c>
      <c r="I1711" s="29" t="e">
        <f>VLOOKUP(G1711,제품명!$C$1:$E$114,2,0)</f>
        <v>#N/A</v>
      </c>
      <c r="J1711" s="29">
        <f>'Raw data'!K1620</f>
        <v>0</v>
      </c>
      <c r="K1711" s="31">
        <f>'Raw data'!H1620</f>
        <v>0</v>
      </c>
      <c r="L1711" s="26">
        <f t="shared" si="56"/>
        <v>0</v>
      </c>
    </row>
    <row r="1712" spans="2:12">
      <c r="B1712" s="4" t="e">
        <f t="shared" si="55"/>
        <v>#N/A</v>
      </c>
      <c r="C1712" s="4">
        <f>'Raw data'!E1621</f>
        <v>0</v>
      </c>
      <c r="D1712" s="29" t="e">
        <f>VLOOKUP(C1712,'점포코드 '!A:B,2,0)</f>
        <v>#N/A</v>
      </c>
      <c r="E1712" s="30">
        <f>'Raw data'!P1621</f>
        <v>0</v>
      </c>
      <c r="F1712" s="29" t="e">
        <f>VLOOKUP(E1712,'점포코드 '!A:B,2,0)</f>
        <v>#N/A</v>
      </c>
      <c r="G1712" s="46">
        <f>'Raw data'!F1621</f>
        <v>0</v>
      </c>
      <c r="H1712" s="4">
        <f>'Raw data'!G1621</f>
        <v>0</v>
      </c>
      <c r="I1712" s="29" t="e">
        <f>VLOOKUP(G1712,제품명!$C$1:$E$114,2,0)</f>
        <v>#N/A</v>
      </c>
      <c r="J1712" s="29">
        <f>'Raw data'!K1621</f>
        <v>0</v>
      </c>
      <c r="K1712" s="31">
        <f>'Raw data'!H1621</f>
        <v>0</v>
      </c>
      <c r="L1712" s="26">
        <f t="shared" si="56"/>
        <v>0</v>
      </c>
    </row>
    <row r="1713" spans="2:12">
      <c r="B1713" s="4" t="e">
        <f t="shared" si="55"/>
        <v>#N/A</v>
      </c>
      <c r="C1713" s="4">
        <f>'Raw data'!E1622</f>
        <v>0</v>
      </c>
      <c r="D1713" s="29" t="e">
        <f>VLOOKUP(C1713,'점포코드 '!A:B,2,0)</f>
        <v>#N/A</v>
      </c>
      <c r="E1713" s="30">
        <f>'Raw data'!P1622</f>
        <v>0</v>
      </c>
      <c r="F1713" s="29" t="e">
        <f>VLOOKUP(E1713,'점포코드 '!A:B,2,0)</f>
        <v>#N/A</v>
      </c>
      <c r="G1713" s="46">
        <f>'Raw data'!F1622</f>
        <v>0</v>
      </c>
      <c r="H1713" s="4">
        <f>'Raw data'!G1622</f>
        <v>0</v>
      </c>
      <c r="I1713" s="29" t="e">
        <f>VLOOKUP(G1713,제품명!$C$1:$E$114,2,0)</f>
        <v>#N/A</v>
      </c>
      <c r="J1713" s="29">
        <f>'Raw data'!K1622</f>
        <v>0</v>
      </c>
      <c r="K1713" s="31">
        <f>'Raw data'!H1622</f>
        <v>0</v>
      </c>
      <c r="L1713" s="26">
        <f t="shared" si="56"/>
        <v>0</v>
      </c>
    </row>
    <row r="1714" spans="2:12">
      <c r="B1714" s="4" t="e">
        <f t="shared" si="55"/>
        <v>#N/A</v>
      </c>
      <c r="C1714" s="4">
        <f>'Raw data'!E1623</f>
        <v>0</v>
      </c>
      <c r="D1714" s="29" t="e">
        <f>VLOOKUP(C1714,'점포코드 '!A:B,2,0)</f>
        <v>#N/A</v>
      </c>
      <c r="E1714" s="30">
        <f>'Raw data'!P1623</f>
        <v>0</v>
      </c>
      <c r="F1714" s="29" t="e">
        <f>VLOOKUP(E1714,'점포코드 '!A:B,2,0)</f>
        <v>#N/A</v>
      </c>
      <c r="G1714" s="46">
        <f>'Raw data'!F1623</f>
        <v>0</v>
      </c>
      <c r="H1714" s="4">
        <f>'Raw data'!G1623</f>
        <v>0</v>
      </c>
      <c r="I1714" s="157" t="e">
        <f>VLOOKUP(G1714,제품명!$C$1:$E$114,2,0)</f>
        <v>#N/A</v>
      </c>
      <c r="J1714" s="29">
        <f>'Raw data'!K1623</f>
        <v>0</v>
      </c>
      <c r="K1714" s="31">
        <f>'Raw data'!H1623</f>
        <v>0</v>
      </c>
      <c r="L1714" s="26">
        <f t="shared" si="56"/>
        <v>0</v>
      </c>
    </row>
    <row r="1715" spans="2:12">
      <c r="B1715" s="4" t="e">
        <f t="shared" si="55"/>
        <v>#N/A</v>
      </c>
      <c r="C1715" s="4">
        <f>'Raw data'!E1624</f>
        <v>0</v>
      </c>
      <c r="D1715" s="29" t="e">
        <f>VLOOKUP(C1715,'점포코드 '!A:B,2,0)</f>
        <v>#N/A</v>
      </c>
      <c r="E1715" s="30">
        <f>'Raw data'!P1624</f>
        <v>0</v>
      </c>
      <c r="F1715" s="29" t="e">
        <f>VLOOKUP(E1715,'점포코드 '!A:B,2,0)</f>
        <v>#N/A</v>
      </c>
      <c r="G1715" s="46">
        <f>'Raw data'!F1624</f>
        <v>0</v>
      </c>
      <c r="H1715" s="4">
        <f>'Raw data'!G1624</f>
        <v>0</v>
      </c>
      <c r="I1715" s="29" t="e">
        <f>VLOOKUP(G1715,제품명!$C$1:$E$114,2,0)</f>
        <v>#N/A</v>
      </c>
      <c r="J1715" s="29">
        <f>'Raw data'!K1624</f>
        <v>0</v>
      </c>
      <c r="K1715" s="31">
        <f>'Raw data'!H1624</f>
        <v>0</v>
      </c>
      <c r="L1715" s="26">
        <f t="shared" si="56"/>
        <v>0</v>
      </c>
    </row>
    <row r="1716" spans="2:12">
      <c r="B1716" s="4" t="e">
        <f t="shared" si="55"/>
        <v>#N/A</v>
      </c>
      <c r="C1716" s="4">
        <f>'Raw data'!E1625</f>
        <v>0</v>
      </c>
      <c r="D1716" s="29" t="e">
        <f>VLOOKUP(C1716,'점포코드 '!A:B,2,0)</f>
        <v>#N/A</v>
      </c>
      <c r="E1716" s="30">
        <f>'Raw data'!P1625</f>
        <v>0</v>
      </c>
      <c r="F1716" s="29" t="e">
        <f>VLOOKUP(E1716,'점포코드 '!A:B,2,0)</f>
        <v>#N/A</v>
      </c>
      <c r="G1716" s="46">
        <f>'Raw data'!F1625</f>
        <v>0</v>
      </c>
      <c r="H1716" s="4">
        <f>'Raw data'!G1625</f>
        <v>0</v>
      </c>
      <c r="I1716" s="29" t="e">
        <f>VLOOKUP(G1716,제품명!$C$1:$E$114,2,0)</f>
        <v>#N/A</v>
      </c>
      <c r="J1716" s="29">
        <f>'Raw data'!K1625</f>
        <v>0</v>
      </c>
      <c r="K1716" s="31">
        <f>'Raw data'!H1625</f>
        <v>0</v>
      </c>
      <c r="L1716" s="26">
        <f t="shared" si="56"/>
        <v>0</v>
      </c>
    </row>
    <row r="1717" spans="2:12">
      <c r="B1717" s="4" t="e">
        <f t="shared" si="55"/>
        <v>#N/A</v>
      </c>
      <c r="C1717" s="4">
        <f>'Raw data'!E1626</f>
        <v>0</v>
      </c>
      <c r="D1717" s="29" t="e">
        <f>VLOOKUP(C1717,'점포코드 '!A:B,2,0)</f>
        <v>#N/A</v>
      </c>
      <c r="E1717" s="30">
        <f>'Raw data'!P1626</f>
        <v>0</v>
      </c>
      <c r="F1717" s="29" t="e">
        <f>VLOOKUP(E1717,'점포코드 '!A:B,2,0)</f>
        <v>#N/A</v>
      </c>
      <c r="G1717" s="46">
        <f>'Raw data'!F1626</f>
        <v>0</v>
      </c>
      <c r="H1717" s="4">
        <f>'Raw data'!G1626</f>
        <v>0</v>
      </c>
      <c r="I1717" s="157" t="e">
        <f>VLOOKUP(G1717,제품명!$C$1:$E$114,2,0)</f>
        <v>#N/A</v>
      </c>
      <c r="J1717" s="29">
        <f>'Raw data'!K1626</f>
        <v>0</v>
      </c>
      <c r="K1717" s="31">
        <f>'Raw data'!H1626</f>
        <v>0</v>
      </c>
      <c r="L1717" s="26">
        <f t="shared" si="56"/>
        <v>0</v>
      </c>
    </row>
    <row r="1718" spans="2:12">
      <c r="B1718" s="4" t="e">
        <f t="shared" si="55"/>
        <v>#N/A</v>
      </c>
      <c r="C1718" s="4">
        <f>'Raw data'!E1627</f>
        <v>0</v>
      </c>
      <c r="D1718" s="29" t="e">
        <f>VLOOKUP(C1718,'점포코드 '!A:B,2,0)</f>
        <v>#N/A</v>
      </c>
      <c r="E1718" s="30">
        <f>'Raw data'!P1627</f>
        <v>0</v>
      </c>
      <c r="F1718" s="29" t="e">
        <f>VLOOKUP(E1718,'점포코드 '!A:B,2,0)</f>
        <v>#N/A</v>
      </c>
      <c r="G1718" s="46">
        <f>'Raw data'!F1627</f>
        <v>0</v>
      </c>
      <c r="H1718" s="4">
        <f>'Raw data'!G1627</f>
        <v>0</v>
      </c>
      <c r="I1718" s="29" t="e">
        <f>VLOOKUP(G1718,제품명!$C$1:$E$114,2,0)</f>
        <v>#N/A</v>
      </c>
      <c r="J1718" s="29">
        <f>'Raw data'!K1627</f>
        <v>0</v>
      </c>
      <c r="K1718" s="31">
        <f>'Raw data'!H1627</f>
        <v>0</v>
      </c>
      <c r="L1718" s="26">
        <f t="shared" si="56"/>
        <v>0</v>
      </c>
    </row>
    <row r="1719" spans="2:12">
      <c r="B1719" s="4" t="e">
        <f t="shared" si="55"/>
        <v>#N/A</v>
      </c>
      <c r="C1719" s="4">
        <f>'Raw data'!E1628</f>
        <v>0</v>
      </c>
      <c r="D1719" s="29" t="e">
        <f>VLOOKUP(C1719,'점포코드 '!A:B,2,0)</f>
        <v>#N/A</v>
      </c>
      <c r="E1719" s="30">
        <f>'Raw data'!P1628</f>
        <v>0</v>
      </c>
      <c r="F1719" s="29" t="e">
        <f>VLOOKUP(E1719,'점포코드 '!A:B,2,0)</f>
        <v>#N/A</v>
      </c>
      <c r="G1719" s="46">
        <f>'Raw data'!F1628</f>
        <v>0</v>
      </c>
      <c r="H1719" s="4">
        <f>'Raw data'!G1628</f>
        <v>0</v>
      </c>
      <c r="I1719" s="29" t="e">
        <f>VLOOKUP(G1719,제품명!$C$1:$E$114,2,0)</f>
        <v>#N/A</v>
      </c>
      <c r="J1719" s="29">
        <f>'Raw data'!K1628</f>
        <v>0</v>
      </c>
      <c r="K1719" s="31">
        <f>'Raw data'!H1628</f>
        <v>0</v>
      </c>
      <c r="L1719" s="26">
        <f t="shared" si="56"/>
        <v>0</v>
      </c>
    </row>
    <row r="1720" spans="2:12">
      <c r="B1720" s="4" t="e">
        <f t="shared" si="55"/>
        <v>#N/A</v>
      </c>
      <c r="C1720" s="4">
        <f>'Raw data'!E1629</f>
        <v>0</v>
      </c>
      <c r="D1720" s="29" t="e">
        <f>VLOOKUP(C1720,'점포코드 '!A:B,2,0)</f>
        <v>#N/A</v>
      </c>
      <c r="E1720" s="30">
        <f>'Raw data'!P1629</f>
        <v>0</v>
      </c>
      <c r="F1720" s="29" t="e">
        <f>VLOOKUP(E1720,'점포코드 '!A:B,2,0)</f>
        <v>#N/A</v>
      </c>
      <c r="G1720" s="46">
        <f>'Raw data'!F1629</f>
        <v>0</v>
      </c>
      <c r="H1720" s="4">
        <f>'Raw data'!G1629</f>
        <v>0</v>
      </c>
      <c r="I1720" s="29" t="e">
        <f>VLOOKUP(G1720,제품명!$C$1:$E$114,2,0)</f>
        <v>#N/A</v>
      </c>
      <c r="J1720" s="29">
        <f>'Raw data'!K1629</f>
        <v>0</v>
      </c>
      <c r="K1720" s="31">
        <f>'Raw data'!H1629</f>
        <v>0</v>
      </c>
      <c r="L1720" s="26">
        <f t="shared" si="56"/>
        <v>0</v>
      </c>
    </row>
    <row r="1721" spans="2:12">
      <c r="B1721" s="4" t="e">
        <f t="shared" si="55"/>
        <v>#N/A</v>
      </c>
      <c r="C1721" s="4">
        <f>'Raw data'!E1630</f>
        <v>0</v>
      </c>
      <c r="D1721" s="29" t="e">
        <f>VLOOKUP(C1721,'점포코드 '!A:B,2,0)</f>
        <v>#N/A</v>
      </c>
      <c r="E1721" s="30">
        <f>'Raw data'!P1630</f>
        <v>0</v>
      </c>
      <c r="F1721" s="29" t="e">
        <f>VLOOKUP(E1721,'점포코드 '!A:B,2,0)</f>
        <v>#N/A</v>
      </c>
      <c r="G1721" s="46">
        <f>'Raw data'!F1630</f>
        <v>0</v>
      </c>
      <c r="H1721" s="4">
        <f>'Raw data'!G1630</f>
        <v>0</v>
      </c>
      <c r="I1721" s="29" t="e">
        <f>VLOOKUP(G1721,제품명!$C$1:$E$114,2,0)</f>
        <v>#N/A</v>
      </c>
      <c r="J1721" s="29">
        <f>'Raw data'!K1630</f>
        <v>0</v>
      </c>
      <c r="K1721" s="31">
        <f>'Raw data'!H1630</f>
        <v>0</v>
      </c>
      <c r="L1721" s="26">
        <f t="shared" si="56"/>
        <v>0</v>
      </c>
    </row>
    <row r="1722" spans="2:12">
      <c r="B1722" s="4" t="e">
        <f t="shared" si="55"/>
        <v>#N/A</v>
      </c>
      <c r="C1722" s="4">
        <f>'Raw data'!E1631</f>
        <v>0</v>
      </c>
      <c r="D1722" s="29" t="e">
        <f>VLOOKUP(C1722,'점포코드 '!A:B,2,0)</f>
        <v>#N/A</v>
      </c>
      <c r="E1722" s="30">
        <f>'Raw data'!P1631</f>
        <v>0</v>
      </c>
      <c r="F1722" s="29" t="e">
        <f>VLOOKUP(E1722,'점포코드 '!A:B,2,0)</f>
        <v>#N/A</v>
      </c>
      <c r="G1722" s="46">
        <f>'Raw data'!F1631</f>
        <v>0</v>
      </c>
      <c r="H1722" s="4">
        <f>'Raw data'!G1631</f>
        <v>0</v>
      </c>
      <c r="I1722" s="29" t="e">
        <f>VLOOKUP(G1722,제품명!$C$1:$E$114,2,0)</f>
        <v>#N/A</v>
      </c>
      <c r="J1722" s="29">
        <f>'Raw data'!K1631</f>
        <v>0</v>
      </c>
      <c r="K1722" s="31">
        <f>'Raw data'!H1631</f>
        <v>0</v>
      </c>
      <c r="L1722" s="26">
        <f t="shared" si="56"/>
        <v>0</v>
      </c>
    </row>
    <row r="1723" spans="2:12">
      <c r="B1723" s="4" t="e">
        <f t="shared" si="55"/>
        <v>#N/A</v>
      </c>
      <c r="C1723" s="4">
        <f>'Raw data'!E1632</f>
        <v>0</v>
      </c>
      <c r="D1723" s="29" t="e">
        <f>VLOOKUP(C1723,'점포코드 '!A:B,2,0)</f>
        <v>#N/A</v>
      </c>
      <c r="E1723" s="30">
        <f>'Raw data'!P1632</f>
        <v>0</v>
      </c>
      <c r="F1723" s="29" t="e">
        <f>VLOOKUP(E1723,'점포코드 '!A:B,2,0)</f>
        <v>#N/A</v>
      </c>
      <c r="G1723" s="46">
        <f>'Raw data'!F1632</f>
        <v>0</v>
      </c>
      <c r="H1723" s="4">
        <f>'Raw data'!G1632</f>
        <v>0</v>
      </c>
      <c r="I1723" s="29" t="e">
        <f>VLOOKUP(G1723,제품명!$C$1:$E$114,2,0)</f>
        <v>#N/A</v>
      </c>
      <c r="J1723" s="29">
        <f>'Raw data'!K1632</f>
        <v>0</v>
      </c>
      <c r="K1723" s="31">
        <f>'Raw data'!H1632</f>
        <v>0</v>
      </c>
      <c r="L1723" s="26">
        <f t="shared" si="56"/>
        <v>0</v>
      </c>
    </row>
    <row r="1724" spans="2:12">
      <c r="B1724" s="4" t="e">
        <f t="shared" si="55"/>
        <v>#N/A</v>
      </c>
      <c r="C1724" s="4">
        <f>'Raw data'!E1633</f>
        <v>0</v>
      </c>
      <c r="D1724" s="29" t="e">
        <f>VLOOKUP(C1724,'점포코드 '!A:B,2,0)</f>
        <v>#N/A</v>
      </c>
      <c r="E1724" s="30">
        <f>'Raw data'!P1633</f>
        <v>0</v>
      </c>
      <c r="F1724" s="29" t="e">
        <f>VLOOKUP(E1724,'점포코드 '!A:B,2,0)</f>
        <v>#N/A</v>
      </c>
      <c r="G1724" s="46">
        <f>'Raw data'!F1633</f>
        <v>0</v>
      </c>
      <c r="H1724" s="4">
        <f>'Raw data'!G1633</f>
        <v>0</v>
      </c>
      <c r="I1724" s="29" t="e">
        <f>VLOOKUP(G1724,제품명!$C$1:$E$114,2,0)</f>
        <v>#N/A</v>
      </c>
      <c r="J1724" s="29">
        <f>'Raw data'!K1633</f>
        <v>0</v>
      </c>
      <c r="K1724" s="31">
        <f>'Raw data'!H1633</f>
        <v>0</v>
      </c>
      <c r="L1724" s="26">
        <f t="shared" si="56"/>
        <v>0</v>
      </c>
    </row>
    <row r="1725" spans="2:12">
      <c r="B1725" s="4" t="e">
        <f t="shared" si="55"/>
        <v>#N/A</v>
      </c>
      <c r="C1725" s="4">
        <f>'Raw data'!E1634</f>
        <v>0</v>
      </c>
      <c r="D1725" s="29" t="e">
        <f>VLOOKUP(C1725,'점포코드 '!A:B,2,0)</f>
        <v>#N/A</v>
      </c>
      <c r="E1725" s="30">
        <f>'Raw data'!P1634</f>
        <v>0</v>
      </c>
      <c r="F1725" s="29" t="e">
        <f>VLOOKUP(E1725,'점포코드 '!A:B,2,0)</f>
        <v>#N/A</v>
      </c>
      <c r="G1725" s="46">
        <f>'Raw data'!F1634</f>
        <v>0</v>
      </c>
      <c r="H1725" s="4">
        <f>'Raw data'!G1634</f>
        <v>0</v>
      </c>
      <c r="I1725" s="29" t="e">
        <f>VLOOKUP(G1725,제품명!$C$1:$E$114,2,0)</f>
        <v>#N/A</v>
      </c>
      <c r="J1725" s="29">
        <f>'Raw data'!K1634</f>
        <v>0</v>
      </c>
      <c r="K1725" s="31">
        <f>'Raw data'!H1634</f>
        <v>0</v>
      </c>
      <c r="L1725" s="26">
        <f t="shared" si="56"/>
        <v>0</v>
      </c>
    </row>
    <row r="1726" spans="2:12">
      <c r="B1726" s="4" t="e">
        <f t="shared" si="55"/>
        <v>#N/A</v>
      </c>
      <c r="C1726" s="4">
        <f>'Raw data'!E1635</f>
        <v>0</v>
      </c>
      <c r="D1726" s="29" t="e">
        <f>VLOOKUP(C1726,'점포코드 '!A:B,2,0)</f>
        <v>#N/A</v>
      </c>
      <c r="E1726" s="30">
        <f>'Raw data'!P1635</f>
        <v>0</v>
      </c>
      <c r="F1726" s="29" t="e">
        <f>VLOOKUP(E1726,'점포코드 '!A:B,2,0)</f>
        <v>#N/A</v>
      </c>
      <c r="G1726" s="46">
        <f>'Raw data'!F1635</f>
        <v>0</v>
      </c>
      <c r="H1726" s="4">
        <f>'Raw data'!G1635</f>
        <v>0</v>
      </c>
      <c r="I1726" s="157" t="e">
        <f>VLOOKUP(G1726,제품명!$C$1:$E$114,2,0)</f>
        <v>#N/A</v>
      </c>
      <c r="J1726" s="29">
        <f>'Raw data'!K1635</f>
        <v>0</v>
      </c>
      <c r="K1726" s="31">
        <f>'Raw data'!H1635</f>
        <v>0</v>
      </c>
      <c r="L1726" s="26">
        <f t="shared" si="56"/>
        <v>0</v>
      </c>
    </row>
    <row r="1727" spans="2:12">
      <c r="B1727" s="4" t="e">
        <f t="shared" si="55"/>
        <v>#N/A</v>
      </c>
      <c r="C1727" s="4">
        <f>'Raw data'!E1636</f>
        <v>0</v>
      </c>
      <c r="D1727" s="29" t="e">
        <f>VLOOKUP(C1727,'점포코드 '!A:B,2,0)</f>
        <v>#N/A</v>
      </c>
      <c r="E1727" s="30">
        <f>'Raw data'!P1636</f>
        <v>0</v>
      </c>
      <c r="F1727" s="29" t="e">
        <f>VLOOKUP(E1727,'점포코드 '!A:B,2,0)</f>
        <v>#N/A</v>
      </c>
      <c r="G1727" s="46">
        <f>'Raw data'!F1636</f>
        <v>0</v>
      </c>
      <c r="H1727" s="4">
        <f>'Raw data'!G1636</f>
        <v>0</v>
      </c>
      <c r="I1727" s="29" t="e">
        <f>VLOOKUP(G1727,제품명!$C$1:$E$114,2,0)</f>
        <v>#N/A</v>
      </c>
      <c r="J1727" s="29">
        <f>'Raw data'!K1636</f>
        <v>0</v>
      </c>
      <c r="K1727" s="31">
        <f>'Raw data'!H1636</f>
        <v>0</v>
      </c>
      <c r="L1727" s="26">
        <f t="shared" si="56"/>
        <v>0</v>
      </c>
    </row>
    <row r="1728" spans="2:12">
      <c r="B1728" s="4" t="e">
        <f t="shared" si="55"/>
        <v>#N/A</v>
      </c>
      <c r="C1728" s="4">
        <f>'Raw data'!E1637</f>
        <v>0</v>
      </c>
      <c r="D1728" s="29" t="e">
        <f>VLOOKUP(C1728,'점포코드 '!A:B,2,0)</f>
        <v>#N/A</v>
      </c>
      <c r="E1728" s="30">
        <f>'Raw data'!P1637</f>
        <v>0</v>
      </c>
      <c r="F1728" s="29" t="e">
        <f>VLOOKUP(E1728,'점포코드 '!A:B,2,0)</f>
        <v>#N/A</v>
      </c>
      <c r="G1728" s="46">
        <f>'Raw data'!F1637</f>
        <v>0</v>
      </c>
      <c r="H1728" s="4">
        <f>'Raw data'!G1637</f>
        <v>0</v>
      </c>
      <c r="I1728" s="157" t="e">
        <f>VLOOKUP(G1728,제품명!$C$1:$E$114,2,0)</f>
        <v>#N/A</v>
      </c>
      <c r="J1728" s="29">
        <f>'Raw data'!K1637</f>
        <v>0</v>
      </c>
      <c r="K1728" s="31">
        <f>'Raw data'!H1637</f>
        <v>0</v>
      </c>
      <c r="L1728" s="26">
        <f t="shared" si="56"/>
        <v>0</v>
      </c>
    </row>
    <row r="1729" spans="2:12">
      <c r="B1729" s="4" t="e">
        <f t="shared" si="55"/>
        <v>#N/A</v>
      </c>
      <c r="C1729" s="4">
        <f>'Raw data'!E1638</f>
        <v>0</v>
      </c>
      <c r="D1729" s="29" t="e">
        <f>VLOOKUP(C1729,'점포코드 '!A:B,2,0)</f>
        <v>#N/A</v>
      </c>
      <c r="E1729" s="30">
        <f>'Raw data'!P1638</f>
        <v>0</v>
      </c>
      <c r="F1729" s="29" t="e">
        <f>VLOOKUP(E1729,'점포코드 '!A:B,2,0)</f>
        <v>#N/A</v>
      </c>
      <c r="G1729" s="46">
        <f>'Raw data'!F1638</f>
        <v>0</v>
      </c>
      <c r="H1729" s="4">
        <f>'Raw data'!G1638</f>
        <v>0</v>
      </c>
      <c r="I1729" s="29" t="e">
        <f>VLOOKUP(G1729,제품명!$C$1:$E$114,2,0)</f>
        <v>#N/A</v>
      </c>
      <c r="J1729" s="29">
        <f>'Raw data'!K1638</f>
        <v>0</v>
      </c>
      <c r="K1729" s="31">
        <f>'Raw data'!H1638</f>
        <v>0</v>
      </c>
      <c r="L1729" s="26">
        <f t="shared" si="56"/>
        <v>0</v>
      </c>
    </row>
    <row r="1730" spans="2:12">
      <c r="B1730" s="4" t="e">
        <f t="shared" ref="B1730:B1793" si="57">F1730&amp;I1730</f>
        <v>#N/A</v>
      </c>
      <c r="C1730" s="4">
        <f>'Raw data'!E1639</f>
        <v>0</v>
      </c>
      <c r="D1730" s="29" t="e">
        <f>VLOOKUP(C1730,'점포코드 '!A:B,2,0)</f>
        <v>#N/A</v>
      </c>
      <c r="E1730" s="30">
        <f>'Raw data'!P1639</f>
        <v>0</v>
      </c>
      <c r="F1730" s="29" t="e">
        <f>VLOOKUP(E1730,'점포코드 '!A:B,2,0)</f>
        <v>#N/A</v>
      </c>
      <c r="G1730" s="46">
        <f>'Raw data'!F1639</f>
        <v>0</v>
      </c>
      <c r="H1730" s="4">
        <f>'Raw data'!G1639</f>
        <v>0</v>
      </c>
      <c r="I1730" s="29" t="e">
        <f>VLOOKUP(G1730,제품명!$C$1:$E$114,2,0)</f>
        <v>#N/A</v>
      </c>
      <c r="J1730" s="29">
        <f>'Raw data'!K1639</f>
        <v>0</v>
      </c>
      <c r="K1730" s="31">
        <f>'Raw data'!H1639</f>
        <v>0</v>
      </c>
      <c r="L1730" s="26">
        <f t="shared" si="56"/>
        <v>0</v>
      </c>
    </row>
    <row r="1731" spans="2:12">
      <c r="B1731" s="4" t="e">
        <f t="shared" si="57"/>
        <v>#N/A</v>
      </c>
      <c r="C1731" s="4">
        <f>'Raw data'!E1640</f>
        <v>0</v>
      </c>
      <c r="D1731" s="29" t="e">
        <f>VLOOKUP(C1731,'점포코드 '!A:B,2,0)</f>
        <v>#N/A</v>
      </c>
      <c r="E1731" s="30">
        <f>'Raw data'!P1640</f>
        <v>0</v>
      </c>
      <c r="F1731" s="29" t="e">
        <f>VLOOKUP(E1731,'점포코드 '!A:B,2,0)</f>
        <v>#N/A</v>
      </c>
      <c r="G1731" s="46">
        <f>'Raw data'!F1640</f>
        <v>0</v>
      </c>
      <c r="H1731" s="4">
        <f>'Raw data'!G1640</f>
        <v>0</v>
      </c>
      <c r="I1731" s="29" t="e">
        <f>VLOOKUP(G1731,제품명!$C$1:$E$114,2,0)</f>
        <v>#N/A</v>
      </c>
      <c r="J1731" s="29">
        <f>'Raw data'!K1640</f>
        <v>0</v>
      </c>
      <c r="K1731" s="31">
        <f>'Raw data'!H1640</f>
        <v>0</v>
      </c>
      <c r="L1731" s="26">
        <f t="shared" ref="L1731:L1794" si="58">J1731*K1731</f>
        <v>0</v>
      </c>
    </row>
    <row r="1732" spans="2:12">
      <c r="B1732" s="4" t="e">
        <f t="shared" si="57"/>
        <v>#N/A</v>
      </c>
      <c r="C1732" s="4">
        <f>'Raw data'!E1641</f>
        <v>0</v>
      </c>
      <c r="D1732" s="29" t="e">
        <f>VLOOKUP(C1732,'점포코드 '!A:B,2,0)</f>
        <v>#N/A</v>
      </c>
      <c r="E1732" s="30">
        <f>'Raw data'!P1641</f>
        <v>0</v>
      </c>
      <c r="F1732" s="29" t="e">
        <f>VLOOKUP(E1732,'점포코드 '!A:B,2,0)</f>
        <v>#N/A</v>
      </c>
      <c r="G1732" s="46">
        <f>'Raw data'!F1641</f>
        <v>0</v>
      </c>
      <c r="H1732" s="4">
        <f>'Raw data'!G1641</f>
        <v>0</v>
      </c>
      <c r="I1732" s="29" t="e">
        <f>VLOOKUP(G1732,제품명!$C$1:$E$114,2,0)</f>
        <v>#N/A</v>
      </c>
      <c r="J1732" s="29">
        <f>'Raw data'!K1641</f>
        <v>0</v>
      </c>
      <c r="K1732" s="31">
        <f>'Raw data'!H1641</f>
        <v>0</v>
      </c>
      <c r="L1732" s="26">
        <f t="shared" si="58"/>
        <v>0</v>
      </c>
    </row>
    <row r="1733" spans="2:12">
      <c r="B1733" s="4" t="e">
        <f t="shared" si="57"/>
        <v>#N/A</v>
      </c>
      <c r="C1733" s="4">
        <f>'Raw data'!E1642</f>
        <v>0</v>
      </c>
      <c r="D1733" s="29" t="e">
        <f>VLOOKUP(C1733,'점포코드 '!A:B,2,0)</f>
        <v>#N/A</v>
      </c>
      <c r="E1733" s="30">
        <f>'Raw data'!P1642</f>
        <v>0</v>
      </c>
      <c r="F1733" s="29" t="e">
        <f>VLOOKUP(E1733,'점포코드 '!A:B,2,0)</f>
        <v>#N/A</v>
      </c>
      <c r="G1733" s="46">
        <f>'Raw data'!F1642</f>
        <v>0</v>
      </c>
      <c r="H1733" s="4">
        <f>'Raw data'!G1642</f>
        <v>0</v>
      </c>
      <c r="I1733" s="29" t="e">
        <f>VLOOKUP(G1733,제품명!$C$1:$E$114,2,0)</f>
        <v>#N/A</v>
      </c>
      <c r="J1733" s="29">
        <f>'Raw data'!K1642</f>
        <v>0</v>
      </c>
      <c r="K1733" s="31">
        <f>'Raw data'!H1642</f>
        <v>0</v>
      </c>
      <c r="L1733" s="26">
        <f t="shared" si="58"/>
        <v>0</v>
      </c>
    </row>
    <row r="1734" spans="2:12">
      <c r="B1734" s="4" t="e">
        <f t="shared" si="57"/>
        <v>#N/A</v>
      </c>
      <c r="C1734" s="4">
        <f>'Raw data'!E1643</f>
        <v>0</v>
      </c>
      <c r="D1734" s="29" t="e">
        <f>VLOOKUP(C1734,'점포코드 '!A:B,2,0)</f>
        <v>#N/A</v>
      </c>
      <c r="E1734" s="30">
        <f>'Raw data'!P1643</f>
        <v>0</v>
      </c>
      <c r="F1734" s="29" t="e">
        <f>VLOOKUP(E1734,'점포코드 '!A:B,2,0)</f>
        <v>#N/A</v>
      </c>
      <c r="G1734" s="46">
        <f>'Raw data'!F1643</f>
        <v>0</v>
      </c>
      <c r="H1734" s="4">
        <f>'Raw data'!G1643</f>
        <v>0</v>
      </c>
      <c r="I1734" s="29" t="e">
        <f>VLOOKUP(G1734,제품명!$C$1:$E$114,2,0)</f>
        <v>#N/A</v>
      </c>
      <c r="J1734" s="29">
        <f>'Raw data'!K1643</f>
        <v>0</v>
      </c>
      <c r="K1734" s="31">
        <f>'Raw data'!H1643</f>
        <v>0</v>
      </c>
      <c r="L1734" s="26">
        <f t="shared" si="58"/>
        <v>0</v>
      </c>
    </row>
    <row r="1735" spans="2:12">
      <c r="B1735" s="4" t="e">
        <f t="shared" si="57"/>
        <v>#N/A</v>
      </c>
      <c r="C1735" s="4">
        <f>'Raw data'!E1644</f>
        <v>0</v>
      </c>
      <c r="D1735" s="29" t="e">
        <f>VLOOKUP(C1735,'점포코드 '!A:B,2,0)</f>
        <v>#N/A</v>
      </c>
      <c r="E1735" s="30">
        <f>'Raw data'!P1644</f>
        <v>0</v>
      </c>
      <c r="F1735" s="29" t="e">
        <f>VLOOKUP(E1735,'점포코드 '!A:B,2,0)</f>
        <v>#N/A</v>
      </c>
      <c r="G1735" s="46">
        <f>'Raw data'!F1644</f>
        <v>0</v>
      </c>
      <c r="H1735" s="4">
        <f>'Raw data'!G1644</f>
        <v>0</v>
      </c>
      <c r="I1735" s="29" t="e">
        <f>VLOOKUP(G1735,제품명!$C$1:$E$114,2,0)</f>
        <v>#N/A</v>
      </c>
      <c r="J1735" s="29">
        <f>'Raw data'!K1644</f>
        <v>0</v>
      </c>
      <c r="K1735" s="31">
        <f>'Raw data'!H1644</f>
        <v>0</v>
      </c>
      <c r="L1735" s="26">
        <f t="shared" si="58"/>
        <v>0</v>
      </c>
    </row>
    <row r="1736" spans="2:12">
      <c r="B1736" s="4" t="e">
        <f t="shared" si="57"/>
        <v>#N/A</v>
      </c>
      <c r="C1736" s="4">
        <f>'Raw data'!E1645</f>
        <v>0</v>
      </c>
      <c r="D1736" s="29" t="e">
        <f>VLOOKUP(C1736,'점포코드 '!A:B,2,0)</f>
        <v>#N/A</v>
      </c>
      <c r="E1736" s="30">
        <f>'Raw data'!P1645</f>
        <v>0</v>
      </c>
      <c r="F1736" s="29" t="e">
        <f>VLOOKUP(E1736,'점포코드 '!A:B,2,0)</f>
        <v>#N/A</v>
      </c>
      <c r="G1736" s="46">
        <f>'Raw data'!F1645</f>
        <v>0</v>
      </c>
      <c r="H1736" s="4">
        <f>'Raw data'!G1645</f>
        <v>0</v>
      </c>
      <c r="I1736" s="29" t="e">
        <f>VLOOKUP(G1736,제품명!$C$1:$E$114,2,0)</f>
        <v>#N/A</v>
      </c>
      <c r="J1736" s="29">
        <f>'Raw data'!K1645</f>
        <v>0</v>
      </c>
      <c r="K1736" s="31">
        <f>'Raw data'!H1645</f>
        <v>0</v>
      </c>
      <c r="L1736" s="26">
        <f t="shared" si="58"/>
        <v>0</v>
      </c>
    </row>
    <row r="1737" spans="2:12">
      <c r="B1737" s="4" t="e">
        <f t="shared" si="57"/>
        <v>#N/A</v>
      </c>
      <c r="C1737" s="4">
        <f>'Raw data'!E1646</f>
        <v>0</v>
      </c>
      <c r="D1737" s="29" t="e">
        <f>VLOOKUP(C1737,'점포코드 '!A:B,2,0)</f>
        <v>#N/A</v>
      </c>
      <c r="E1737" s="30">
        <f>'Raw data'!P1646</f>
        <v>0</v>
      </c>
      <c r="F1737" s="29" t="e">
        <f>VLOOKUP(E1737,'점포코드 '!A:B,2,0)</f>
        <v>#N/A</v>
      </c>
      <c r="G1737" s="46">
        <f>'Raw data'!F1646</f>
        <v>0</v>
      </c>
      <c r="H1737" s="4">
        <f>'Raw data'!G1646</f>
        <v>0</v>
      </c>
      <c r="I1737" s="29" t="e">
        <f>VLOOKUP(G1737,제품명!$C$1:$E$114,2,0)</f>
        <v>#N/A</v>
      </c>
      <c r="J1737" s="29">
        <f>'Raw data'!K1646</f>
        <v>0</v>
      </c>
      <c r="K1737" s="31">
        <f>'Raw data'!H1646</f>
        <v>0</v>
      </c>
      <c r="L1737" s="26">
        <f t="shared" si="58"/>
        <v>0</v>
      </c>
    </row>
    <row r="1738" spans="2:12">
      <c r="B1738" s="4" t="e">
        <f t="shared" si="57"/>
        <v>#N/A</v>
      </c>
      <c r="C1738" s="4">
        <f>'Raw data'!E1647</f>
        <v>0</v>
      </c>
      <c r="D1738" s="29" t="e">
        <f>VLOOKUP(C1738,'점포코드 '!A:B,2,0)</f>
        <v>#N/A</v>
      </c>
      <c r="E1738" s="30">
        <f>'Raw data'!P1647</f>
        <v>0</v>
      </c>
      <c r="F1738" s="29" t="e">
        <f>VLOOKUP(E1738,'점포코드 '!A:B,2,0)</f>
        <v>#N/A</v>
      </c>
      <c r="G1738" s="46">
        <f>'Raw data'!F1647</f>
        <v>0</v>
      </c>
      <c r="H1738" s="4">
        <f>'Raw data'!G1647</f>
        <v>0</v>
      </c>
      <c r="I1738" s="29" t="e">
        <f>VLOOKUP(G1738,제품명!$C$1:$E$114,2,0)</f>
        <v>#N/A</v>
      </c>
      <c r="J1738" s="29">
        <f>'Raw data'!K1647</f>
        <v>0</v>
      </c>
      <c r="K1738" s="31">
        <f>'Raw data'!H1647</f>
        <v>0</v>
      </c>
      <c r="L1738" s="26">
        <f t="shared" si="58"/>
        <v>0</v>
      </c>
    </row>
    <row r="1739" spans="2:12">
      <c r="B1739" s="4" t="e">
        <f t="shared" si="57"/>
        <v>#N/A</v>
      </c>
      <c r="C1739" s="4">
        <f>'Raw data'!E1648</f>
        <v>0</v>
      </c>
      <c r="D1739" s="29" t="e">
        <f>VLOOKUP(C1739,'점포코드 '!A:B,2,0)</f>
        <v>#N/A</v>
      </c>
      <c r="E1739" s="30">
        <f>'Raw data'!P1648</f>
        <v>0</v>
      </c>
      <c r="F1739" s="29" t="e">
        <f>VLOOKUP(E1739,'점포코드 '!A:B,2,0)</f>
        <v>#N/A</v>
      </c>
      <c r="G1739" s="46">
        <f>'Raw data'!F1648</f>
        <v>0</v>
      </c>
      <c r="H1739" s="4">
        <f>'Raw data'!G1648</f>
        <v>0</v>
      </c>
      <c r="I1739" s="29" t="e">
        <f>VLOOKUP(G1739,제품명!$C$1:$E$114,2,0)</f>
        <v>#N/A</v>
      </c>
      <c r="J1739" s="29">
        <f>'Raw data'!K1648</f>
        <v>0</v>
      </c>
      <c r="K1739" s="31">
        <f>'Raw data'!H1648</f>
        <v>0</v>
      </c>
      <c r="L1739" s="26">
        <f t="shared" si="58"/>
        <v>0</v>
      </c>
    </row>
    <row r="1740" spans="2:12">
      <c r="B1740" s="4" t="e">
        <f t="shared" si="57"/>
        <v>#N/A</v>
      </c>
      <c r="C1740" s="4">
        <f>'Raw data'!E1649</f>
        <v>0</v>
      </c>
      <c r="D1740" s="29" t="e">
        <f>VLOOKUP(C1740,'점포코드 '!A:B,2,0)</f>
        <v>#N/A</v>
      </c>
      <c r="E1740" s="30">
        <f>'Raw data'!P1649</f>
        <v>0</v>
      </c>
      <c r="F1740" s="29" t="e">
        <f>VLOOKUP(E1740,'점포코드 '!A:B,2,0)</f>
        <v>#N/A</v>
      </c>
      <c r="G1740" s="46">
        <f>'Raw data'!F1649</f>
        <v>0</v>
      </c>
      <c r="H1740" s="4">
        <f>'Raw data'!G1649</f>
        <v>0</v>
      </c>
      <c r="I1740" s="29" t="e">
        <f>VLOOKUP(G1740,제품명!$C$1:$E$114,2,0)</f>
        <v>#N/A</v>
      </c>
      <c r="J1740" s="29">
        <f>'Raw data'!K1649</f>
        <v>0</v>
      </c>
      <c r="K1740" s="31">
        <f>'Raw data'!H1649</f>
        <v>0</v>
      </c>
      <c r="L1740" s="26">
        <f t="shared" si="58"/>
        <v>0</v>
      </c>
    </row>
    <row r="1741" spans="2:12">
      <c r="B1741" s="4" t="e">
        <f t="shared" si="57"/>
        <v>#N/A</v>
      </c>
      <c r="C1741" s="4">
        <f>'Raw data'!E1650</f>
        <v>0</v>
      </c>
      <c r="D1741" s="29" t="e">
        <f>VLOOKUP(C1741,'점포코드 '!A:B,2,0)</f>
        <v>#N/A</v>
      </c>
      <c r="E1741" s="30">
        <f>'Raw data'!P1650</f>
        <v>0</v>
      </c>
      <c r="F1741" s="29" t="e">
        <f>VLOOKUP(E1741,'점포코드 '!A:B,2,0)</f>
        <v>#N/A</v>
      </c>
      <c r="G1741" s="46">
        <f>'Raw data'!F1650</f>
        <v>0</v>
      </c>
      <c r="H1741" s="4">
        <f>'Raw data'!G1650</f>
        <v>0</v>
      </c>
      <c r="I1741" s="29" t="e">
        <f>VLOOKUP(G1741,제품명!$C$1:$E$114,2,0)</f>
        <v>#N/A</v>
      </c>
      <c r="J1741" s="29">
        <f>'Raw data'!K1650</f>
        <v>0</v>
      </c>
      <c r="K1741" s="31">
        <f>'Raw data'!H1650</f>
        <v>0</v>
      </c>
      <c r="L1741" s="26">
        <f t="shared" si="58"/>
        <v>0</v>
      </c>
    </row>
    <row r="1742" spans="2:12">
      <c r="B1742" s="4" t="e">
        <f t="shared" si="57"/>
        <v>#N/A</v>
      </c>
      <c r="C1742" s="4">
        <f>'Raw data'!E1651</f>
        <v>0</v>
      </c>
      <c r="D1742" s="29" t="e">
        <f>VLOOKUP(C1742,'점포코드 '!A:B,2,0)</f>
        <v>#N/A</v>
      </c>
      <c r="E1742" s="30">
        <f>'Raw data'!P1651</f>
        <v>0</v>
      </c>
      <c r="F1742" s="29" t="e">
        <f>VLOOKUP(E1742,'점포코드 '!A:B,2,0)</f>
        <v>#N/A</v>
      </c>
      <c r="G1742" s="46">
        <f>'Raw data'!F1651</f>
        <v>0</v>
      </c>
      <c r="H1742" s="4">
        <f>'Raw data'!G1651</f>
        <v>0</v>
      </c>
      <c r="I1742" s="29" t="e">
        <f>VLOOKUP(G1742,제품명!$C$1:$E$114,2,0)</f>
        <v>#N/A</v>
      </c>
      <c r="J1742" s="29">
        <f>'Raw data'!K1651</f>
        <v>0</v>
      </c>
      <c r="K1742" s="31">
        <f>'Raw data'!H1651</f>
        <v>0</v>
      </c>
      <c r="L1742" s="26">
        <f t="shared" si="58"/>
        <v>0</v>
      </c>
    </row>
    <row r="1743" spans="2:12">
      <c r="B1743" s="4" t="e">
        <f t="shared" si="57"/>
        <v>#N/A</v>
      </c>
      <c r="C1743" s="4">
        <f>'Raw data'!E1652</f>
        <v>0</v>
      </c>
      <c r="D1743" s="29" t="e">
        <f>VLOOKUP(C1743,'점포코드 '!A:B,2,0)</f>
        <v>#N/A</v>
      </c>
      <c r="E1743" s="30">
        <f>'Raw data'!P1652</f>
        <v>0</v>
      </c>
      <c r="F1743" s="29" t="e">
        <f>VLOOKUP(E1743,'점포코드 '!A:B,2,0)</f>
        <v>#N/A</v>
      </c>
      <c r="G1743" s="46">
        <f>'Raw data'!F1652</f>
        <v>0</v>
      </c>
      <c r="H1743" s="4">
        <f>'Raw data'!G1652</f>
        <v>0</v>
      </c>
      <c r="I1743" s="29" t="e">
        <f>VLOOKUP(G1743,제품명!$C$1:$E$114,2,0)</f>
        <v>#N/A</v>
      </c>
      <c r="J1743" s="29">
        <f>'Raw data'!K1652</f>
        <v>0</v>
      </c>
      <c r="K1743" s="31">
        <f>'Raw data'!H1652</f>
        <v>0</v>
      </c>
      <c r="L1743" s="26">
        <f t="shared" si="58"/>
        <v>0</v>
      </c>
    </row>
    <row r="1744" spans="2:12">
      <c r="B1744" s="4" t="e">
        <f t="shared" si="57"/>
        <v>#N/A</v>
      </c>
      <c r="C1744" s="4">
        <f>'Raw data'!E1653</f>
        <v>0</v>
      </c>
      <c r="D1744" s="29" t="e">
        <f>VLOOKUP(C1744,'점포코드 '!A:B,2,0)</f>
        <v>#N/A</v>
      </c>
      <c r="E1744" s="30">
        <f>'Raw data'!P1653</f>
        <v>0</v>
      </c>
      <c r="F1744" s="29" t="e">
        <f>VLOOKUP(E1744,'점포코드 '!A:B,2,0)</f>
        <v>#N/A</v>
      </c>
      <c r="G1744" s="46">
        <f>'Raw data'!F1653</f>
        <v>0</v>
      </c>
      <c r="H1744" s="4">
        <f>'Raw data'!G1653</f>
        <v>0</v>
      </c>
      <c r="I1744" s="29" t="e">
        <f>VLOOKUP(G1744,제품명!$C$1:$E$114,2,0)</f>
        <v>#N/A</v>
      </c>
      <c r="J1744" s="29">
        <f>'Raw data'!K1653</f>
        <v>0</v>
      </c>
      <c r="K1744" s="31">
        <f>'Raw data'!H1653</f>
        <v>0</v>
      </c>
      <c r="L1744" s="26">
        <f t="shared" si="58"/>
        <v>0</v>
      </c>
    </row>
    <row r="1745" spans="2:12">
      <c r="B1745" s="4" t="e">
        <f t="shared" si="57"/>
        <v>#N/A</v>
      </c>
      <c r="C1745" s="4">
        <f>'Raw data'!E1654</f>
        <v>0</v>
      </c>
      <c r="D1745" s="29" t="e">
        <f>VLOOKUP(C1745,'점포코드 '!A:B,2,0)</f>
        <v>#N/A</v>
      </c>
      <c r="E1745" s="30">
        <f>'Raw data'!P1654</f>
        <v>0</v>
      </c>
      <c r="F1745" s="29" t="e">
        <f>VLOOKUP(E1745,'점포코드 '!A:B,2,0)</f>
        <v>#N/A</v>
      </c>
      <c r="G1745" s="46">
        <f>'Raw data'!F1654</f>
        <v>0</v>
      </c>
      <c r="H1745" s="4">
        <f>'Raw data'!G1654</f>
        <v>0</v>
      </c>
      <c r="I1745" s="29" t="e">
        <f>VLOOKUP(G1745,제품명!$C$1:$E$114,2,0)</f>
        <v>#N/A</v>
      </c>
      <c r="J1745" s="29">
        <f>'Raw data'!K1654</f>
        <v>0</v>
      </c>
      <c r="K1745" s="31">
        <f>'Raw data'!H1654</f>
        <v>0</v>
      </c>
      <c r="L1745" s="26">
        <f t="shared" si="58"/>
        <v>0</v>
      </c>
    </row>
    <row r="1746" spans="2:12">
      <c r="B1746" s="4" t="e">
        <f t="shared" si="57"/>
        <v>#N/A</v>
      </c>
      <c r="C1746" s="4">
        <f>'Raw data'!E1655</f>
        <v>0</v>
      </c>
      <c r="D1746" s="29" t="e">
        <f>VLOOKUP(C1746,'점포코드 '!A:B,2,0)</f>
        <v>#N/A</v>
      </c>
      <c r="E1746" s="30">
        <f>'Raw data'!P1655</f>
        <v>0</v>
      </c>
      <c r="F1746" s="29" t="e">
        <f>VLOOKUP(E1746,'점포코드 '!A:B,2,0)</f>
        <v>#N/A</v>
      </c>
      <c r="G1746" s="46">
        <f>'Raw data'!F1655</f>
        <v>0</v>
      </c>
      <c r="H1746" s="4">
        <f>'Raw data'!G1655</f>
        <v>0</v>
      </c>
      <c r="I1746" s="29" t="e">
        <f>VLOOKUP(G1746,제품명!$C$1:$E$114,2,0)</f>
        <v>#N/A</v>
      </c>
      <c r="J1746" s="29">
        <f>'Raw data'!K1655</f>
        <v>0</v>
      </c>
      <c r="K1746" s="31">
        <f>'Raw data'!H1655</f>
        <v>0</v>
      </c>
      <c r="L1746" s="26">
        <f t="shared" si="58"/>
        <v>0</v>
      </c>
    </row>
    <row r="1747" spans="2:12">
      <c r="B1747" s="4" t="e">
        <f t="shared" si="57"/>
        <v>#N/A</v>
      </c>
      <c r="C1747" s="4">
        <f>'Raw data'!E1656</f>
        <v>0</v>
      </c>
      <c r="D1747" s="29" t="e">
        <f>VLOOKUP(C1747,'점포코드 '!A:B,2,0)</f>
        <v>#N/A</v>
      </c>
      <c r="E1747" s="30">
        <f>'Raw data'!P1656</f>
        <v>0</v>
      </c>
      <c r="F1747" s="29" t="e">
        <f>VLOOKUP(E1747,'점포코드 '!A:B,2,0)</f>
        <v>#N/A</v>
      </c>
      <c r="G1747" s="46">
        <f>'Raw data'!F1656</f>
        <v>0</v>
      </c>
      <c r="H1747" s="4">
        <f>'Raw data'!G1656</f>
        <v>0</v>
      </c>
      <c r="I1747" s="29" t="e">
        <f>VLOOKUP(G1747,제품명!$C$1:$E$114,2,0)</f>
        <v>#N/A</v>
      </c>
      <c r="J1747" s="29">
        <f>'Raw data'!K1656</f>
        <v>0</v>
      </c>
      <c r="K1747" s="31">
        <f>'Raw data'!H1656</f>
        <v>0</v>
      </c>
      <c r="L1747" s="26">
        <f t="shared" si="58"/>
        <v>0</v>
      </c>
    </row>
    <row r="1748" spans="2:12">
      <c r="B1748" s="4" t="e">
        <f t="shared" si="57"/>
        <v>#N/A</v>
      </c>
      <c r="C1748" s="4">
        <f>'Raw data'!E1657</f>
        <v>0</v>
      </c>
      <c r="D1748" s="29" t="e">
        <f>VLOOKUP(C1748,'점포코드 '!A:B,2,0)</f>
        <v>#N/A</v>
      </c>
      <c r="E1748" s="30">
        <f>'Raw data'!P1657</f>
        <v>0</v>
      </c>
      <c r="F1748" s="29" t="e">
        <f>VLOOKUP(E1748,'점포코드 '!A:B,2,0)</f>
        <v>#N/A</v>
      </c>
      <c r="G1748" s="46">
        <f>'Raw data'!F1657</f>
        <v>0</v>
      </c>
      <c r="H1748" s="4">
        <f>'Raw data'!G1657</f>
        <v>0</v>
      </c>
      <c r="I1748" s="29" t="e">
        <f>VLOOKUP(G1748,제품명!$C$1:$E$114,2,0)</f>
        <v>#N/A</v>
      </c>
      <c r="J1748" s="29">
        <f>'Raw data'!K1657</f>
        <v>0</v>
      </c>
      <c r="K1748" s="31">
        <f>'Raw data'!H1657</f>
        <v>0</v>
      </c>
      <c r="L1748" s="26">
        <f t="shared" si="58"/>
        <v>0</v>
      </c>
    </row>
    <row r="1749" spans="2:12">
      <c r="B1749" s="4" t="e">
        <f t="shared" si="57"/>
        <v>#N/A</v>
      </c>
      <c r="C1749" s="4">
        <f>'Raw data'!E1658</f>
        <v>0</v>
      </c>
      <c r="D1749" s="29" t="e">
        <f>VLOOKUP(C1749,'점포코드 '!A:B,2,0)</f>
        <v>#N/A</v>
      </c>
      <c r="E1749" s="30">
        <f>'Raw data'!P1658</f>
        <v>0</v>
      </c>
      <c r="F1749" s="29" t="e">
        <f>VLOOKUP(E1749,'점포코드 '!A:B,2,0)</f>
        <v>#N/A</v>
      </c>
      <c r="G1749" s="46">
        <f>'Raw data'!F1658</f>
        <v>0</v>
      </c>
      <c r="H1749" s="4">
        <f>'Raw data'!G1658</f>
        <v>0</v>
      </c>
      <c r="I1749" s="29" t="e">
        <f>VLOOKUP(G1749,제품명!$C$1:$E$114,2,0)</f>
        <v>#N/A</v>
      </c>
      <c r="J1749" s="29">
        <f>'Raw data'!K1658</f>
        <v>0</v>
      </c>
      <c r="K1749" s="31">
        <f>'Raw data'!H1658</f>
        <v>0</v>
      </c>
      <c r="L1749" s="26">
        <f t="shared" si="58"/>
        <v>0</v>
      </c>
    </row>
    <row r="1750" spans="2:12">
      <c r="B1750" s="4" t="e">
        <f t="shared" si="57"/>
        <v>#N/A</v>
      </c>
      <c r="C1750" s="4">
        <f>'Raw data'!E1659</f>
        <v>0</v>
      </c>
      <c r="D1750" s="29" t="e">
        <f>VLOOKUP(C1750,'점포코드 '!A:B,2,0)</f>
        <v>#N/A</v>
      </c>
      <c r="E1750" s="30">
        <f>'Raw data'!P1659</f>
        <v>0</v>
      </c>
      <c r="F1750" s="29" t="e">
        <f>VLOOKUP(E1750,'점포코드 '!A:B,2,0)</f>
        <v>#N/A</v>
      </c>
      <c r="G1750" s="46">
        <f>'Raw data'!F1659</f>
        <v>0</v>
      </c>
      <c r="H1750" s="4">
        <f>'Raw data'!G1659</f>
        <v>0</v>
      </c>
      <c r="I1750" s="29" t="e">
        <f>VLOOKUP(G1750,제품명!$C$1:$E$114,2,0)</f>
        <v>#N/A</v>
      </c>
      <c r="J1750" s="29">
        <f>'Raw data'!K1659</f>
        <v>0</v>
      </c>
      <c r="K1750" s="31">
        <f>'Raw data'!H1659</f>
        <v>0</v>
      </c>
      <c r="L1750" s="26">
        <f t="shared" si="58"/>
        <v>0</v>
      </c>
    </row>
    <row r="1751" spans="2:12">
      <c r="B1751" s="4" t="e">
        <f t="shared" si="57"/>
        <v>#N/A</v>
      </c>
      <c r="C1751" s="4">
        <f>'Raw data'!E1660</f>
        <v>0</v>
      </c>
      <c r="D1751" s="29" t="e">
        <f>VLOOKUP(C1751,'점포코드 '!A:B,2,0)</f>
        <v>#N/A</v>
      </c>
      <c r="E1751" s="30">
        <f>'Raw data'!P1660</f>
        <v>0</v>
      </c>
      <c r="F1751" s="29" t="e">
        <f>VLOOKUP(E1751,'점포코드 '!A:B,2,0)</f>
        <v>#N/A</v>
      </c>
      <c r="G1751" s="46">
        <f>'Raw data'!F1660</f>
        <v>0</v>
      </c>
      <c r="H1751" s="4">
        <f>'Raw data'!G1660</f>
        <v>0</v>
      </c>
      <c r="I1751" s="29" t="e">
        <f>VLOOKUP(G1751,제품명!$C$1:$E$114,2,0)</f>
        <v>#N/A</v>
      </c>
      <c r="J1751" s="29">
        <f>'Raw data'!K1660</f>
        <v>0</v>
      </c>
      <c r="K1751" s="31">
        <f>'Raw data'!H1660</f>
        <v>0</v>
      </c>
      <c r="L1751" s="26">
        <f t="shared" si="58"/>
        <v>0</v>
      </c>
    </row>
    <row r="1752" spans="2:12">
      <c r="B1752" s="4" t="e">
        <f t="shared" si="57"/>
        <v>#N/A</v>
      </c>
      <c r="C1752" s="4">
        <f>'Raw data'!E1661</f>
        <v>0</v>
      </c>
      <c r="D1752" s="29" t="e">
        <f>VLOOKUP(C1752,'점포코드 '!A:B,2,0)</f>
        <v>#N/A</v>
      </c>
      <c r="E1752" s="30">
        <f>'Raw data'!P1661</f>
        <v>0</v>
      </c>
      <c r="F1752" s="29" t="e">
        <f>VLOOKUP(E1752,'점포코드 '!A:B,2,0)</f>
        <v>#N/A</v>
      </c>
      <c r="G1752" s="46">
        <f>'Raw data'!F1661</f>
        <v>0</v>
      </c>
      <c r="H1752" s="4">
        <f>'Raw data'!G1661</f>
        <v>0</v>
      </c>
      <c r="I1752" s="29" t="e">
        <f>VLOOKUP(G1752,제품명!$C$1:$E$114,2,0)</f>
        <v>#N/A</v>
      </c>
      <c r="J1752" s="29">
        <f>'Raw data'!K1661</f>
        <v>0</v>
      </c>
      <c r="K1752" s="31">
        <f>'Raw data'!H1661</f>
        <v>0</v>
      </c>
      <c r="L1752" s="26">
        <f t="shared" si="58"/>
        <v>0</v>
      </c>
    </row>
    <row r="1753" spans="2:12">
      <c r="B1753" s="4" t="e">
        <f t="shared" si="57"/>
        <v>#N/A</v>
      </c>
      <c r="C1753" s="4">
        <f>'Raw data'!E1662</f>
        <v>0</v>
      </c>
      <c r="D1753" s="29" t="e">
        <f>VLOOKUP(C1753,'점포코드 '!A:B,2,0)</f>
        <v>#N/A</v>
      </c>
      <c r="E1753" s="30">
        <f>'Raw data'!P1662</f>
        <v>0</v>
      </c>
      <c r="F1753" s="29" t="e">
        <f>VLOOKUP(E1753,'점포코드 '!A:B,2,0)</f>
        <v>#N/A</v>
      </c>
      <c r="G1753" s="46">
        <f>'Raw data'!F1662</f>
        <v>0</v>
      </c>
      <c r="H1753" s="4">
        <f>'Raw data'!G1662</f>
        <v>0</v>
      </c>
      <c r="I1753" s="29" t="e">
        <f>VLOOKUP(G1753,제품명!$C$1:$E$114,2,0)</f>
        <v>#N/A</v>
      </c>
      <c r="J1753" s="29">
        <f>'Raw data'!K1662</f>
        <v>0</v>
      </c>
      <c r="K1753" s="31">
        <f>'Raw data'!H1662</f>
        <v>0</v>
      </c>
      <c r="L1753" s="26">
        <f t="shared" si="58"/>
        <v>0</v>
      </c>
    </row>
    <row r="1754" spans="2:12">
      <c r="B1754" s="4" t="e">
        <f t="shared" si="57"/>
        <v>#N/A</v>
      </c>
      <c r="C1754" s="4">
        <f>'Raw data'!E1663</f>
        <v>0</v>
      </c>
      <c r="D1754" s="29" t="e">
        <f>VLOOKUP(C1754,'점포코드 '!A:B,2,0)</f>
        <v>#N/A</v>
      </c>
      <c r="E1754" s="30">
        <f>'Raw data'!P1663</f>
        <v>0</v>
      </c>
      <c r="F1754" s="29" t="e">
        <f>VLOOKUP(E1754,'점포코드 '!A:B,2,0)</f>
        <v>#N/A</v>
      </c>
      <c r="G1754" s="46">
        <f>'Raw data'!F1663</f>
        <v>0</v>
      </c>
      <c r="H1754" s="4">
        <f>'Raw data'!G1663</f>
        <v>0</v>
      </c>
      <c r="I1754" s="29" t="e">
        <f>VLOOKUP(G1754,제품명!$C$1:$E$114,2,0)</f>
        <v>#N/A</v>
      </c>
      <c r="J1754" s="29">
        <f>'Raw data'!K1663</f>
        <v>0</v>
      </c>
      <c r="K1754" s="31">
        <f>'Raw data'!H1663</f>
        <v>0</v>
      </c>
      <c r="L1754" s="26">
        <f t="shared" si="58"/>
        <v>0</v>
      </c>
    </row>
    <row r="1755" spans="2:12">
      <c r="B1755" s="4" t="e">
        <f t="shared" si="57"/>
        <v>#N/A</v>
      </c>
      <c r="C1755" s="4">
        <f>'Raw data'!E1664</f>
        <v>0</v>
      </c>
      <c r="D1755" s="29" t="e">
        <f>VLOOKUP(C1755,'점포코드 '!A:B,2,0)</f>
        <v>#N/A</v>
      </c>
      <c r="E1755" s="30">
        <f>'Raw data'!P1664</f>
        <v>0</v>
      </c>
      <c r="F1755" s="29" t="e">
        <f>VLOOKUP(E1755,'점포코드 '!A:B,2,0)</f>
        <v>#N/A</v>
      </c>
      <c r="G1755" s="46">
        <f>'Raw data'!F1664</f>
        <v>0</v>
      </c>
      <c r="H1755" s="4">
        <f>'Raw data'!G1664</f>
        <v>0</v>
      </c>
      <c r="I1755" s="29" t="e">
        <f>VLOOKUP(G1755,제품명!$C$1:$E$114,2,0)</f>
        <v>#N/A</v>
      </c>
      <c r="J1755" s="29">
        <f>'Raw data'!K1664</f>
        <v>0</v>
      </c>
      <c r="K1755" s="31">
        <f>'Raw data'!H1664</f>
        <v>0</v>
      </c>
      <c r="L1755" s="26">
        <f t="shared" si="58"/>
        <v>0</v>
      </c>
    </row>
    <row r="1756" spans="2:12">
      <c r="B1756" s="4" t="e">
        <f t="shared" si="57"/>
        <v>#N/A</v>
      </c>
      <c r="C1756" s="4">
        <f>'Raw data'!E1665</f>
        <v>0</v>
      </c>
      <c r="D1756" s="29" t="e">
        <f>VLOOKUP(C1756,'점포코드 '!A:B,2,0)</f>
        <v>#N/A</v>
      </c>
      <c r="E1756" s="30">
        <f>'Raw data'!P1665</f>
        <v>0</v>
      </c>
      <c r="F1756" s="29" t="e">
        <f>VLOOKUP(E1756,'점포코드 '!A:B,2,0)</f>
        <v>#N/A</v>
      </c>
      <c r="G1756" s="46">
        <f>'Raw data'!F1665</f>
        <v>0</v>
      </c>
      <c r="H1756" s="4">
        <f>'Raw data'!G1665</f>
        <v>0</v>
      </c>
      <c r="I1756" s="29" t="e">
        <f>VLOOKUP(G1756,제품명!$C$1:$E$114,2,0)</f>
        <v>#N/A</v>
      </c>
      <c r="J1756" s="29">
        <f>'Raw data'!K1665</f>
        <v>0</v>
      </c>
      <c r="K1756" s="31">
        <f>'Raw data'!H1665</f>
        <v>0</v>
      </c>
      <c r="L1756" s="26">
        <f t="shared" si="58"/>
        <v>0</v>
      </c>
    </row>
    <row r="1757" spans="2:12">
      <c r="B1757" s="4" t="e">
        <f t="shared" si="57"/>
        <v>#N/A</v>
      </c>
      <c r="C1757" s="4">
        <f>'Raw data'!E1666</f>
        <v>0</v>
      </c>
      <c r="D1757" s="29" t="e">
        <f>VLOOKUP(C1757,'점포코드 '!A:B,2,0)</f>
        <v>#N/A</v>
      </c>
      <c r="E1757" s="30">
        <f>'Raw data'!P1666</f>
        <v>0</v>
      </c>
      <c r="F1757" s="29" t="e">
        <f>VLOOKUP(E1757,'점포코드 '!A:B,2,0)</f>
        <v>#N/A</v>
      </c>
      <c r="G1757" s="46">
        <f>'Raw data'!F1666</f>
        <v>0</v>
      </c>
      <c r="H1757" s="4">
        <f>'Raw data'!G1666</f>
        <v>0</v>
      </c>
      <c r="I1757" s="29" t="e">
        <f>VLOOKUP(G1757,제품명!$C$1:$E$114,2,0)</f>
        <v>#N/A</v>
      </c>
      <c r="J1757" s="29">
        <f>'Raw data'!K1666</f>
        <v>0</v>
      </c>
      <c r="K1757" s="31">
        <f>'Raw data'!H1666</f>
        <v>0</v>
      </c>
      <c r="L1757" s="26">
        <f t="shared" si="58"/>
        <v>0</v>
      </c>
    </row>
    <row r="1758" spans="2:12">
      <c r="B1758" s="4" t="e">
        <f t="shared" si="57"/>
        <v>#N/A</v>
      </c>
      <c r="C1758" s="4">
        <f>'Raw data'!E1667</f>
        <v>0</v>
      </c>
      <c r="D1758" s="29" t="e">
        <f>VLOOKUP(C1758,'점포코드 '!A:B,2,0)</f>
        <v>#N/A</v>
      </c>
      <c r="E1758" s="30">
        <f>'Raw data'!P1667</f>
        <v>0</v>
      </c>
      <c r="F1758" s="29" t="e">
        <f>VLOOKUP(E1758,'점포코드 '!A:B,2,0)</f>
        <v>#N/A</v>
      </c>
      <c r="G1758" s="46">
        <f>'Raw data'!F1667</f>
        <v>0</v>
      </c>
      <c r="H1758" s="4">
        <f>'Raw data'!G1667</f>
        <v>0</v>
      </c>
      <c r="I1758" s="29" t="e">
        <f>VLOOKUP(G1758,제품명!$C$1:$E$114,2,0)</f>
        <v>#N/A</v>
      </c>
      <c r="J1758" s="29">
        <f>'Raw data'!K1667</f>
        <v>0</v>
      </c>
      <c r="K1758" s="31">
        <f>'Raw data'!H1667</f>
        <v>0</v>
      </c>
      <c r="L1758" s="26">
        <f t="shared" si="58"/>
        <v>0</v>
      </c>
    </row>
    <row r="1759" spans="2:12">
      <c r="B1759" s="4" t="e">
        <f t="shared" si="57"/>
        <v>#N/A</v>
      </c>
      <c r="C1759" s="4">
        <f>'Raw data'!E1668</f>
        <v>0</v>
      </c>
      <c r="D1759" s="29" t="e">
        <f>VLOOKUP(C1759,'점포코드 '!A:B,2,0)</f>
        <v>#N/A</v>
      </c>
      <c r="E1759" s="30">
        <f>'Raw data'!P1668</f>
        <v>0</v>
      </c>
      <c r="F1759" s="29" t="e">
        <f>VLOOKUP(E1759,'점포코드 '!A:B,2,0)</f>
        <v>#N/A</v>
      </c>
      <c r="G1759" s="46">
        <f>'Raw data'!F1668</f>
        <v>0</v>
      </c>
      <c r="H1759" s="4">
        <f>'Raw data'!G1668</f>
        <v>0</v>
      </c>
      <c r="I1759" s="29" t="e">
        <f>VLOOKUP(G1759,제품명!$C$1:$E$114,2,0)</f>
        <v>#N/A</v>
      </c>
      <c r="J1759" s="29">
        <f>'Raw data'!K1668</f>
        <v>0</v>
      </c>
      <c r="K1759" s="31">
        <f>'Raw data'!H1668</f>
        <v>0</v>
      </c>
      <c r="L1759" s="26">
        <f t="shared" si="58"/>
        <v>0</v>
      </c>
    </row>
    <row r="1760" spans="2:12">
      <c r="B1760" s="4" t="e">
        <f t="shared" si="57"/>
        <v>#N/A</v>
      </c>
      <c r="C1760" s="4">
        <f>'Raw data'!E1669</f>
        <v>0</v>
      </c>
      <c r="D1760" s="29" t="e">
        <f>VLOOKUP(C1760,'점포코드 '!A:B,2,0)</f>
        <v>#N/A</v>
      </c>
      <c r="E1760" s="30">
        <f>'Raw data'!P1669</f>
        <v>0</v>
      </c>
      <c r="F1760" s="29" t="e">
        <f>VLOOKUP(E1760,'점포코드 '!A:B,2,0)</f>
        <v>#N/A</v>
      </c>
      <c r="G1760" s="46">
        <f>'Raw data'!F1669</f>
        <v>0</v>
      </c>
      <c r="H1760" s="4">
        <f>'Raw data'!G1669</f>
        <v>0</v>
      </c>
      <c r="I1760" s="29" t="e">
        <f>VLOOKUP(G1760,제품명!$C$1:$E$114,2,0)</f>
        <v>#N/A</v>
      </c>
      <c r="J1760" s="29">
        <f>'Raw data'!K1669</f>
        <v>0</v>
      </c>
      <c r="K1760" s="31">
        <f>'Raw data'!H1669</f>
        <v>0</v>
      </c>
      <c r="L1760" s="26">
        <f t="shared" si="58"/>
        <v>0</v>
      </c>
    </row>
    <row r="1761" spans="2:12">
      <c r="B1761" s="4" t="e">
        <f t="shared" si="57"/>
        <v>#N/A</v>
      </c>
      <c r="C1761" s="4">
        <f>'Raw data'!E1670</f>
        <v>0</v>
      </c>
      <c r="D1761" s="29" t="e">
        <f>VLOOKUP(C1761,'점포코드 '!A:B,2,0)</f>
        <v>#N/A</v>
      </c>
      <c r="E1761" s="30">
        <f>'Raw data'!P1670</f>
        <v>0</v>
      </c>
      <c r="F1761" s="29" t="e">
        <f>VLOOKUP(E1761,'점포코드 '!A:B,2,0)</f>
        <v>#N/A</v>
      </c>
      <c r="G1761" s="46">
        <f>'Raw data'!F1670</f>
        <v>0</v>
      </c>
      <c r="H1761" s="4">
        <f>'Raw data'!G1670</f>
        <v>0</v>
      </c>
      <c r="I1761" s="29" t="e">
        <f>VLOOKUP(G1761,제품명!$C$1:$E$114,2,0)</f>
        <v>#N/A</v>
      </c>
      <c r="J1761" s="29">
        <f>'Raw data'!K1670</f>
        <v>0</v>
      </c>
      <c r="K1761" s="31">
        <f>'Raw data'!H1670</f>
        <v>0</v>
      </c>
      <c r="L1761" s="26">
        <f t="shared" si="58"/>
        <v>0</v>
      </c>
    </row>
    <row r="1762" spans="2:12">
      <c r="B1762" s="4" t="e">
        <f t="shared" si="57"/>
        <v>#N/A</v>
      </c>
      <c r="C1762" s="4">
        <f>'Raw data'!E1671</f>
        <v>0</v>
      </c>
      <c r="D1762" s="29" t="e">
        <f>VLOOKUP(C1762,'점포코드 '!A:B,2,0)</f>
        <v>#N/A</v>
      </c>
      <c r="E1762" s="30">
        <f>'Raw data'!P1671</f>
        <v>0</v>
      </c>
      <c r="F1762" s="29" t="e">
        <f>VLOOKUP(E1762,'점포코드 '!A:B,2,0)</f>
        <v>#N/A</v>
      </c>
      <c r="G1762" s="46">
        <f>'Raw data'!F1671</f>
        <v>0</v>
      </c>
      <c r="H1762" s="4">
        <f>'Raw data'!G1671</f>
        <v>0</v>
      </c>
      <c r="I1762" s="29" t="e">
        <f>VLOOKUP(G1762,제품명!$C$1:$E$114,2,0)</f>
        <v>#N/A</v>
      </c>
      <c r="J1762" s="29">
        <f>'Raw data'!K1671</f>
        <v>0</v>
      </c>
      <c r="K1762" s="31">
        <f>'Raw data'!H1671</f>
        <v>0</v>
      </c>
      <c r="L1762" s="26">
        <f t="shared" si="58"/>
        <v>0</v>
      </c>
    </row>
    <row r="1763" spans="2:12">
      <c r="B1763" s="4" t="e">
        <f t="shared" si="57"/>
        <v>#N/A</v>
      </c>
      <c r="C1763" s="4">
        <f>'Raw data'!E1672</f>
        <v>0</v>
      </c>
      <c r="D1763" s="29" t="e">
        <f>VLOOKUP(C1763,'점포코드 '!A:B,2,0)</f>
        <v>#N/A</v>
      </c>
      <c r="E1763" s="30">
        <f>'Raw data'!P1672</f>
        <v>0</v>
      </c>
      <c r="F1763" s="29" t="e">
        <f>VLOOKUP(E1763,'점포코드 '!A:B,2,0)</f>
        <v>#N/A</v>
      </c>
      <c r="G1763" s="46">
        <f>'Raw data'!F1672</f>
        <v>0</v>
      </c>
      <c r="H1763" s="4">
        <f>'Raw data'!G1672</f>
        <v>0</v>
      </c>
      <c r="I1763" s="29" t="e">
        <f>VLOOKUP(G1763,제품명!$C$1:$E$114,2,0)</f>
        <v>#N/A</v>
      </c>
      <c r="J1763" s="29">
        <f>'Raw data'!K1672</f>
        <v>0</v>
      </c>
      <c r="K1763" s="31">
        <f>'Raw data'!H1672</f>
        <v>0</v>
      </c>
      <c r="L1763" s="26">
        <f t="shared" si="58"/>
        <v>0</v>
      </c>
    </row>
    <row r="1764" spans="2:12">
      <c r="B1764" s="4" t="e">
        <f t="shared" si="57"/>
        <v>#N/A</v>
      </c>
      <c r="C1764" s="4">
        <f>'Raw data'!E1673</f>
        <v>0</v>
      </c>
      <c r="D1764" s="29" t="e">
        <f>VLOOKUP(C1764,'점포코드 '!A:B,2,0)</f>
        <v>#N/A</v>
      </c>
      <c r="E1764" s="30">
        <f>'Raw data'!P1673</f>
        <v>0</v>
      </c>
      <c r="F1764" s="29" t="e">
        <f>VLOOKUP(E1764,'점포코드 '!A:B,2,0)</f>
        <v>#N/A</v>
      </c>
      <c r="G1764" s="46">
        <f>'Raw data'!F1673</f>
        <v>0</v>
      </c>
      <c r="H1764" s="4">
        <f>'Raw data'!G1673</f>
        <v>0</v>
      </c>
      <c r="I1764" s="29" t="e">
        <f>VLOOKUP(G1764,제품명!$C$1:$E$114,2,0)</f>
        <v>#N/A</v>
      </c>
      <c r="J1764" s="29">
        <f>'Raw data'!K1673</f>
        <v>0</v>
      </c>
      <c r="K1764" s="31">
        <f>'Raw data'!H1673</f>
        <v>0</v>
      </c>
      <c r="L1764" s="26">
        <f t="shared" si="58"/>
        <v>0</v>
      </c>
    </row>
    <row r="1765" spans="2:12">
      <c r="B1765" s="4" t="e">
        <f t="shared" si="57"/>
        <v>#N/A</v>
      </c>
      <c r="C1765" s="4">
        <f>'Raw data'!E1674</f>
        <v>0</v>
      </c>
      <c r="D1765" s="29" t="e">
        <f>VLOOKUP(C1765,'점포코드 '!A:B,2,0)</f>
        <v>#N/A</v>
      </c>
      <c r="E1765" s="30">
        <f>'Raw data'!P1674</f>
        <v>0</v>
      </c>
      <c r="F1765" s="29" t="e">
        <f>VLOOKUP(E1765,'점포코드 '!A:B,2,0)</f>
        <v>#N/A</v>
      </c>
      <c r="G1765" s="46">
        <f>'Raw data'!F1674</f>
        <v>0</v>
      </c>
      <c r="H1765" s="4">
        <f>'Raw data'!G1674</f>
        <v>0</v>
      </c>
      <c r="I1765" s="29" t="e">
        <f>VLOOKUP(G1765,제품명!$C$1:$E$114,2,0)</f>
        <v>#N/A</v>
      </c>
      <c r="J1765" s="29">
        <f>'Raw data'!K1674</f>
        <v>0</v>
      </c>
      <c r="K1765" s="31">
        <f>'Raw data'!H1674</f>
        <v>0</v>
      </c>
      <c r="L1765" s="26">
        <f t="shared" si="58"/>
        <v>0</v>
      </c>
    </row>
    <row r="1766" spans="2:12">
      <c r="B1766" s="4" t="e">
        <f t="shared" si="57"/>
        <v>#N/A</v>
      </c>
      <c r="C1766" s="4">
        <f>'Raw data'!E1675</f>
        <v>0</v>
      </c>
      <c r="D1766" s="29" t="e">
        <f>VLOOKUP(C1766,'점포코드 '!A:B,2,0)</f>
        <v>#N/A</v>
      </c>
      <c r="E1766" s="30">
        <f>'Raw data'!P1675</f>
        <v>0</v>
      </c>
      <c r="F1766" s="29" t="e">
        <f>VLOOKUP(E1766,'점포코드 '!A:B,2,0)</f>
        <v>#N/A</v>
      </c>
      <c r="G1766" s="46">
        <f>'Raw data'!F1675</f>
        <v>0</v>
      </c>
      <c r="H1766" s="4">
        <f>'Raw data'!G1675</f>
        <v>0</v>
      </c>
      <c r="I1766" s="29" t="e">
        <f>VLOOKUP(G1766,제품명!$C$1:$E$114,2,0)</f>
        <v>#N/A</v>
      </c>
      <c r="J1766" s="29">
        <f>'Raw data'!K1675</f>
        <v>0</v>
      </c>
      <c r="K1766" s="31">
        <f>'Raw data'!H1675</f>
        <v>0</v>
      </c>
      <c r="L1766" s="26">
        <f t="shared" si="58"/>
        <v>0</v>
      </c>
    </row>
    <row r="1767" spans="2:12">
      <c r="B1767" s="4" t="e">
        <f t="shared" si="57"/>
        <v>#N/A</v>
      </c>
      <c r="C1767" s="4">
        <f>'Raw data'!E1676</f>
        <v>0</v>
      </c>
      <c r="D1767" s="29" t="e">
        <f>VLOOKUP(C1767,'점포코드 '!A:B,2,0)</f>
        <v>#N/A</v>
      </c>
      <c r="E1767" s="30">
        <f>'Raw data'!P1676</f>
        <v>0</v>
      </c>
      <c r="F1767" s="29" t="e">
        <f>VLOOKUP(E1767,'점포코드 '!A:B,2,0)</f>
        <v>#N/A</v>
      </c>
      <c r="G1767" s="46">
        <f>'Raw data'!F1676</f>
        <v>0</v>
      </c>
      <c r="H1767" s="4">
        <f>'Raw data'!G1676</f>
        <v>0</v>
      </c>
      <c r="I1767" s="29" t="e">
        <f>VLOOKUP(G1767,제품명!$C$1:$E$114,2,0)</f>
        <v>#N/A</v>
      </c>
      <c r="J1767" s="29">
        <f>'Raw data'!K1676</f>
        <v>0</v>
      </c>
      <c r="K1767" s="31">
        <f>'Raw data'!H1676</f>
        <v>0</v>
      </c>
      <c r="L1767" s="26">
        <f t="shared" si="58"/>
        <v>0</v>
      </c>
    </row>
    <row r="1768" spans="2:12">
      <c r="B1768" s="4" t="e">
        <f t="shared" si="57"/>
        <v>#N/A</v>
      </c>
      <c r="C1768" s="4">
        <f>'Raw data'!E1677</f>
        <v>0</v>
      </c>
      <c r="D1768" s="29" t="e">
        <f>VLOOKUP(C1768,'점포코드 '!A:B,2,0)</f>
        <v>#N/A</v>
      </c>
      <c r="E1768" s="30">
        <f>'Raw data'!P1677</f>
        <v>0</v>
      </c>
      <c r="F1768" s="29" t="e">
        <f>VLOOKUP(E1768,'점포코드 '!A:B,2,0)</f>
        <v>#N/A</v>
      </c>
      <c r="G1768" s="46">
        <f>'Raw data'!F1677</f>
        <v>0</v>
      </c>
      <c r="H1768" s="4">
        <f>'Raw data'!G1677</f>
        <v>0</v>
      </c>
      <c r="I1768" s="29" t="e">
        <f>VLOOKUP(G1768,제품명!$C$1:$E$114,2,0)</f>
        <v>#N/A</v>
      </c>
      <c r="J1768" s="29">
        <f>'Raw data'!K1677</f>
        <v>0</v>
      </c>
      <c r="K1768" s="31">
        <f>'Raw data'!H1677</f>
        <v>0</v>
      </c>
      <c r="L1768" s="26">
        <f t="shared" si="58"/>
        <v>0</v>
      </c>
    </row>
    <row r="1769" spans="2:12">
      <c r="B1769" s="4" t="e">
        <f t="shared" si="57"/>
        <v>#N/A</v>
      </c>
      <c r="C1769" s="4">
        <f>'Raw data'!E1678</f>
        <v>0</v>
      </c>
      <c r="D1769" s="29" t="e">
        <f>VLOOKUP(C1769,'점포코드 '!A:B,2,0)</f>
        <v>#N/A</v>
      </c>
      <c r="E1769" s="30">
        <f>'Raw data'!P1678</f>
        <v>0</v>
      </c>
      <c r="F1769" s="29" t="e">
        <f>VLOOKUP(E1769,'점포코드 '!A:B,2,0)</f>
        <v>#N/A</v>
      </c>
      <c r="G1769" s="46">
        <f>'Raw data'!F1678</f>
        <v>0</v>
      </c>
      <c r="H1769" s="4">
        <f>'Raw data'!G1678</f>
        <v>0</v>
      </c>
      <c r="I1769" s="29" t="e">
        <f>VLOOKUP(G1769,제품명!$C$1:$E$114,2,0)</f>
        <v>#N/A</v>
      </c>
      <c r="J1769" s="29">
        <f>'Raw data'!K1678</f>
        <v>0</v>
      </c>
      <c r="K1769" s="31">
        <f>'Raw data'!H1678</f>
        <v>0</v>
      </c>
      <c r="L1769" s="26">
        <f t="shared" si="58"/>
        <v>0</v>
      </c>
    </row>
    <row r="1770" spans="2:12">
      <c r="B1770" s="4" t="e">
        <f t="shared" si="57"/>
        <v>#N/A</v>
      </c>
      <c r="C1770" s="4">
        <f>'Raw data'!E1679</f>
        <v>0</v>
      </c>
      <c r="D1770" s="29" t="e">
        <f>VLOOKUP(C1770,'점포코드 '!A:B,2,0)</f>
        <v>#N/A</v>
      </c>
      <c r="E1770" s="30">
        <f>'Raw data'!P1679</f>
        <v>0</v>
      </c>
      <c r="F1770" s="29" t="e">
        <f>VLOOKUP(E1770,'점포코드 '!A:B,2,0)</f>
        <v>#N/A</v>
      </c>
      <c r="G1770" s="46">
        <f>'Raw data'!F1679</f>
        <v>0</v>
      </c>
      <c r="H1770" s="4">
        <f>'Raw data'!G1679</f>
        <v>0</v>
      </c>
      <c r="I1770" s="29" t="e">
        <f>VLOOKUP(G1770,제품명!$C$1:$E$114,2,0)</f>
        <v>#N/A</v>
      </c>
      <c r="J1770" s="29">
        <f>'Raw data'!K1679</f>
        <v>0</v>
      </c>
      <c r="K1770" s="31">
        <f>'Raw data'!H1679</f>
        <v>0</v>
      </c>
      <c r="L1770" s="26">
        <f t="shared" si="58"/>
        <v>0</v>
      </c>
    </row>
    <row r="1771" spans="2:12">
      <c r="B1771" s="4" t="e">
        <f t="shared" si="57"/>
        <v>#N/A</v>
      </c>
      <c r="C1771" s="4">
        <f>'Raw data'!E1680</f>
        <v>0</v>
      </c>
      <c r="D1771" s="29" t="e">
        <f>VLOOKUP(C1771,'점포코드 '!A:B,2,0)</f>
        <v>#N/A</v>
      </c>
      <c r="E1771" s="30">
        <f>'Raw data'!P1680</f>
        <v>0</v>
      </c>
      <c r="F1771" s="29" t="e">
        <f>VLOOKUP(E1771,'점포코드 '!A:B,2,0)</f>
        <v>#N/A</v>
      </c>
      <c r="G1771" s="46">
        <f>'Raw data'!F1680</f>
        <v>0</v>
      </c>
      <c r="H1771" s="4">
        <f>'Raw data'!G1680</f>
        <v>0</v>
      </c>
      <c r="I1771" s="29" t="e">
        <f>VLOOKUP(G1771,제품명!$C$1:$E$114,2,0)</f>
        <v>#N/A</v>
      </c>
      <c r="J1771" s="29">
        <f>'Raw data'!K1680</f>
        <v>0</v>
      </c>
      <c r="K1771" s="31">
        <f>'Raw data'!H1680</f>
        <v>0</v>
      </c>
      <c r="L1771" s="26">
        <f t="shared" si="58"/>
        <v>0</v>
      </c>
    </row>
    <row r="1772" spans="2:12">
      <c r="B1772" s="4" t="e">
        <f t="shared" si="57"/>
        <v>#N/A</v>
      </c>
      <c r="C1772" s="4">
        <f>'Raw data'!E1681</f>
        <v>0</v>
      </c>
      <c r="D1772" s="29" t="e">
        <f>VLOOKUP(C1772,'점포코드 '!A:B,2,0)</f>
        <v>#N/A</v>
      </c>
      <c r="E1772" s="30">
        <f>'Raw data'!P1681</f>
        <v>0</v>
      </c>
      <c r="F1772" s="29" t="e">
        <f>VLOOKUP(E1772,'점포코드 '!A:B,2,0)</f>
        <v>#N/A</v>
      </c>
      <c r="G1772" s="46">
        <f>'Raw data'!F1681</f>
        <v>0</v>
      </c>
      <c r="H1772" s="4">
        <f>'Raw data'!G1681</f>
        <v>0</v>
      </c>
      <c r="I1772" s="29" t="e">
        <f>VLOOKUP(G1772,제품명!$C$1:$E$114,2,0)</f>
        <v>#N/A</v>
      </c>
      <c r="J1772" s="29">
        <f>'Raw data'!K1681</f>
        <v>0</v>
      </c>
      <c r="K1772" s="31">
        <f>'Raw data'!H1681</f>
        <v>0</v>
      </c>
      <c r="L1772" s="26">
        <f t="shared" si="58"/>
        <v>0</v>
      </c>
    </row>
    <row r="1773" spans="2:12">
      <c r="B1773" s="4" t="e">
        <f t="shared" si="57"/>
        <v>#N/A</v>
      </c>
      <c r="C1773" s="4">
        <f>'Raw data'!E1682</f>
        <v>0</v>
      </c>
      <c r="D1773" s="29" t="e">
        <f>VLOOKUP(C1773,'점포코드 '!A:B,2,0)</f>
        <v>#N/A</v>
      </c>
      <c r="E1773" s="30">
        <f>'Raw data'!P1682</f>
        <v>0</v>
      </c>
      <c r="F1773" s="29" t="e">
        <f>VLOOKUP(E1773,'점포코드 '!A:B,2,0)</f>
        <v>#N/A</v>
      </c>
      <c r="G1773" s="46">
        <f>'Raw data'!F1682</f>
        <v>0</v>
      </c>
      <c r="H1773" s="4">
        <f>'Raw data'!G1682</f>
        <v>0</v>
      </c>
      <c r="I1773" s="29" t="e">
        <f>VLOOKUP(G1773,제품명!$C$1:$E$114,2,0)</f>
        <v>#N/A</v>
      </c>
      <c r="J1773" s="29">
        <f>'Raw data'!K1682</f>
        <v>0</v>
      </c>
      <c r="K1773" s="31">
        <f>'Raw data'!H1682</f>
        <v>0</v>
      </c>
      <c r="L1773" s="26">
        <f t="shared" si="58"/>
        <v>0</v>
      </c>
    </row>
    <row r="1774" spans="2:12">
      <c r="B1774" s="4" t="e">
        <f t="shared" si="57"/>
        <v>#N/A</v>
      </c>
      <c r="C1774" s="4">
        <f>'Raw data'!E1683</f>
        <v>0</v>
      </c>
      <c r="D1774" s="29" t="e">
        <f>VLOOKUP(C1774,'점포코드 '!A:B,2,0)</f>
        <v>#N/A</v>
      </c>
      <c r="E1774" s="30">
        <f>'Raw data'!P1683</f>
        <v>0</v>
      </c>
      <c r="F1774" s="29" t="e">
        <f>VLOOKUP(E1774,'점포코드 '!A:B,2,0)</f>
        <v>#N/A</v>
      </c>
      <c r="G1774" s="46">
        <f>'Raw data'!F1683</f>
        <v>0</v>
      </c>
      <c r="H1774" s="4">
        <f>'Raw data'!G1683</f>
        <v>0</v>
      </c>
      <c r="I1774" s="29" t="e">
        <f>VLOOKUP(G1774,제품명!$C$1:$E$114,2,0)</f>
        <v>#N/A</v>
      </c>
      <c r="J1774" s="29">
        <f>'Raw data'!K1683</f>
        <v>0</v>
      </c>
      <c r="K1774" s="31">
        <f>'Raw data'!H1683</f>
        <v>0</v>
      </c>
      <c r="L1774" s="26">
        <f t="shared" si="58"/>
        <v>0</v>
      </c>
    </row>
    <row r="1775" spans="2:12">
      <c r="B1775" s="4" t="e">
        <f t="shared" si="57"/>
        <v>#N/A</v>
      </c>
      <c r="C1775" s="4">
        <f>'Raw data'!E1684</f>
        <v>0</v>
      </c>
      <c r="D1775" s="29" t="e">
        <f>VLOOKUP(C1775,'점포코드 '!A:B,2,0)</f>
        <v>#N/A</v>
      </c>
      <c r="E1775" s="30">
        <f>'Raw data'!P1684</f>
        <v>0</v>
      </c>
      <c r="F1775" s="29" t="e">
        <f>VLOOKUP(E1775,'점포코드 '!A:B,2,0)</f>
        <v>#N/A</v>
      </c>
      <c r="G1775" s="46">
        <f>'Raw data'!F1684</f>
        <v>0</v>
      </c>
      <c r="H1775" s="4">
        <f>'Raw data'!G1684</f>
        <v>0</v>
      </c>
      <c r="I1775" s="29" t="e">
        <f>VLOOKUP(G1775,제품명!$C$1:$E$114,2,0)</f>
        <v>#N/A</v>
      </c>
      <c r="J1775" s="29">
        <f>'Raw data'!K1684</f>
        <v>0</v>
      </c>
      <c r="K1775" s="31">
        <f>'Raw data'!H1684</f>
        <v>0</v>
      </c>
      <c r="L1775" s="26">
        <f t="shared" si="58"/>
        <v>0</v>
      </c>
    </row>
    <row r="1776" spans="2:12">
      <c r="B1776" s="4" t="e">
        <f t="shared" si="57"/>
        <v>#N/A</v>
      </c>
      <c r="C1776" s="4">
        <f>'Raw data'!E1685</f>
        <v>0</v>
      </c>
      <c r="D1776" s="29" t="e">
        <f>VLOOKUP(C1776,'점포코드 '!A:B,2,0)</f>
        <v>#N/A</v>
      </c>
      <c r="E1776" s="30">
        <f>'Raw data'!P1685</f>
        <v>0</v>
      </c>
      <c r="F1776" s="29" t="e">
        <f>VLOOKUP(E1776,'점포코드 '!A:B,2,0)</f>
        <v>#N/A</v>
      </c>
      <c r="G1776" s="46">
        <f>'Raw data'!F1685</f>
        <v>0</v>
      </c>
      <c r="H1776" s="4">
        <f>'Raw data'!G1685</f>
        <v>0</v>
      </c>
      <c r="I1776" s="29" t="e">
        <f>VLOOKUP(G1776,제품명!$C$1:$E$114,2,0)</f>
        <v>#N/A</v>
      </c>
      <c r="J1776" s="29">
        <f>'Raw data'!K1685</f>
        <v>0</v>
      </c>
      <c r="K1776" s="31">
        <f>'Raw data'!H1685</f>
        <v>0</v>
      </c>
      <c r="L1776" s="26">
        <f t="shared" si="58"/>
        <v>0</v>
      </c>
    </row>
    <row r="1777" spans="2:12">
      <c r="B1777" s="4" t="e">
        <f t="shared" si="57"/>
        <v>#N/A</v>
      </c>
      <c r="C1777" s="4">
        <f>'Raw data'!E1686</f>
        <v>0</v>
      </c>
      <c r="D1777" s="29" t="e">
        <f>VLOOKUP(C1777,'점포코드 '!A:B,2,0)</f>
        <v>#N/A</v>
      </c>
      <c r="E1777" s="30">
        <f>'Raw data'!P1686</f>
        <v>0</v>
      </c>
      <c r="F1777" s="29" t="e">
        <f>VLOOKUP(E1777,'점포코드 '!A:B,2,0)</f>
        <v>#N/A</v>
      </c>
      <c r="G1777" s="46">
        <f>'Raw data'!F1686</f>
        <v>0</v>
      </c>
      <c r="H1777" s="4">
        <f>'Raw data'!G1686</f>
        <v>0</v>
      </c>
      <c r="I1777" s="29" t="e">
        <f>VLOOKUP(G1777,제품명!$C$1:$E$114,2,0)</f>
        <v>#N/A</v>
      </c>
      <c r="J1777" s="29">
        <f>'Raw data'!K1686</f>
        <v>0</v>
      </c>
      <c r="K1777" s="31">
        <f>'Raw data'!H1686</f>
        <v>0</v>
      </c>
      <c r="L1777" s="26">
        <f t="shared" si="58"/>
        <v>0</v>
      </c>
    </row>
    <row r="1778" spans="2:12">
      <c r="B1778" s="4" t="e">
        <f t="shared" si="57"/>
        <v>#N/A</v>
      </c>
      <c r="C1778" s="4">
        <f>'Raw data'!E1687</f>
        <v>0</v>
      </c>
      <c r="D1778" s="29" t="e">
        <f>VLOOKUP(C1778,'점포코드 '!A:B,2,0)</f>
        <v>#N/A</v>
      </c>
      <c r="E1778" s="30">
        <f>'Raw data'!P1687</f>
        <v>0</v>
      </c>
      <c r="F1778" s="29" t="e">
        <f>VLOOKUP(E1778,'점포코드 '!A:B,2,0)</f>
        <v>#N/A</v>
      </c>
      <c r="G1778" s="46">
        <f>'Raw data'!F1687</f>
        <v>0</v>
      </c>
      <c r="H1778" s="4">
        <f>'Raw data'!G1687</f>
        <v>0</v>
      </c>
      <c r="I1778" s="29" t="e">
        <f>VLOOKUP(G1778,제품명!$C$1:$E$114,2,0)</f>
        <v>#N/A</v>
      </c>
      <c r="J1778" s="29">
        <f>'Raw data'!K1687</f>
        <v>0</v>
      </c>
      <c r="K1778" s="31">
        <f>'Raw data'!H1687</f>
        <v>0</v>
      </c>
      <c r="L1778" s="26">
        <f t="shared" si="58"/>
        <v>0</v>
      </c>
    </row>
    <row r="1779" spans="2:12">
      <c r="B1779" s="4" t="e">
        <f t="shared" si="57"/>
        <v>#N/A</v>
      </c>
      <c r="C1779" s="4">
        <f>'Raw data'!E1688</f>
        <v>0</v>
      </c>
      <c r="D1779" s="29" t="e">
        <f>VLOOKUP(C1779,'점포코드 '!A:B,2,0)</f>
        <v>#N/A</v>
      </c>
      <c r="E1779" s="30">
        <f>'Raw data'!P1688</f>
        <v>0</v>
      </c>
      <c r="F1779" s="29" t="e">
        <f>VLOOKUP(E1779,'점포코드 '!A:B,2,0)</f>
        <v>#N/A</v>
      </c>
      <c r="G1779" s="46">
        <f>'Raw data'!F1688</f>
        <v>0</v>
      </c>
      <c r="H1779" s="4">
        <f>'Raw data'!G1688</f>
        <v>0</v>
      </c>
      <c r="I1779" s="29" t="e">
        <f>VLOOKUP(G1779,제품명!$C$1:$E$114,2,0)</f>
        <v>#N/A</v>
      </c>
      <c r="J1779" s="29">
        <f>'Raw data'!K1688</f>
        <v>0</v>
      </c>
      <c r="K1779" s="31">
        <f>'Raw data'!H1688</f>
        <v>0</v>
      </c>
      <c r="L1779" s="26">
        <f t="shared" si="58"/>
        <v>0</v>
      </c>
    </row>
    <row r="1780" spans="2:12">
      <c r="B1780" s="4" t="e">
        <f t="shared" si="57"/>
        <v>#N/A</v>
      </c>
      <c r="C1780" s="4">
        <f>'Raw data'!E1689</f>
        <v>0</v>
      </c>
      <c r="D1780" s="29" t="e">
        <f>VLOOKUP(C1780,'점포코드 '!A:B,2,0)</f>
        <v>#N/A</v>
      </c>
      <c r="E1780" s="30">
        <f>'Raw data'!P1689</f>
        <v>0</v>
      </c>
      <c r="F1780" s="29" t="e">
        <f>VLOOKUP(E1780,'점포코드 '!A:B,2,0)</f>
        <v>#N/A</v>
      </c>
      <c r="G1780" s="46">
        <f>'Raw data'!F1689</f>
        <v>0</v>
      </c>
      <c r="H1780" s="4">
        <f>'Raw data'!G1689</f>
        <v>0</v>
      </c>
      <c r="I1780" s="29" t="e">
        <f>VLOOKUP(G1780,제품명!$C$1:$E$114,2,0)</f>
        <v>#N/A</v>
      </c>
      <c r="J1780" s="29">
        <f>'Raw data'!K1689</f>
        <v>0</v>
      </c>
      <c r="K1780" s="31">
        <f>'Raw data'!H1689</f>
        <v>0</v>
      </c>
      <c r="L1780" s="26">
        <f t="shared" si="58"/>
        <v>0</v>
      </c>
    </row>
    <row r="1781" spans="2:12">
      <c r="B1781" s="4" t="e">
        <f t="shared" si="57"/>
        <v>#N/A</v>
      </c>
      <c r="C1781" s="4">
        <f>'Raw data'!E1690</f>
        <v>0</v>
      </c>
      <c r="D1781" s="29" t="e">
        <f>VLOOKUP(C1781,'점포코드 '!A:B,2,0)</f>
        <v>#N/A</v>
      </c>
      <c r="E1781" s="30">
        <f>'Raw data'!P1690</f>
        <v>0</v>
      </c>
      <c r="F1781" s="29" t="e">
        <f>VLOOKUP(E1781,'점포코드 '!A:B,2,0)</f>
        <v>#N/A</v>
      </c>
      <c r="G1781" s="46">
        <f>'Raw data'!F1690</f>
        <v>0</v>
      </c>
      <c r="H1781" s="4">
        <f>'Raw data'!G1690</f>
        <v>0</v>
      </c>
      <c r="I1781" s="29" t="e">
        <f>VLOOKUP(G1781,제품명!$C$1:$E$114,2,0)</f>
        <v>#N/A</v>
      </c>
      <c r="J1781" s="29">
        <f>'Raw data'!K1690</f>
        <v>0</v>
      </c>
      <c r="K1781" s="31">
        <f>'Raw data'!H1690</f>
        <v>0</v>
      </c>
      <c r="L1781" s="26">
        <f t="shared" si="58"/>
        <v>0</v>
      </c>
    </row>
    <row r="1782" spans="2:12">
      <c r="B1782" s="4" t="e">
        <f t="shared" si="57"/>
        <v>#N/A</v>
      </c>
      <c r="C1782" s="4">
        <f>'Raw data'!E1691</f>
        <v>0</v>
      </c>
      <c r="D1782" s="29" t="e">
        <f>VLOOKUP(C1782,'점포코드 '!A:B,2,0)</f>
        <v>#N/A</v>
      </c>
      <c r="E1782" s="30">
        <f>'Raw data'!P1691</f>
        <v>0</v>
      </c>
      <c r="F1782" s="29" t="e">
        <f>VLOOKUP(E1782,'점포코드 '!A:B,2,0)</f>
        <v>#N/A</v>
      </c>
      <c r="G1782" s="46">
        <f>'Raw data'!F1691</f>
        <v>0</v>
      </c>
      <c r="H1782" s="4">
        <f>'Raw data'!G1691</f>
        <v>0</v>
      </c>
      <c r="I1782" s="29" t="e">
        <f>VLOOKUP(G1782,제품명!$C$1:$E$114,2,0)</f>
        <v>#N/A</v>
      </c>
      <c r="J1782" s="29">
        <f>'Raw data'!K1691</f>
        <v>0</v>
      </c>
      <c r="K1782" s="31">
        <f>'Raw data'!H1691</f>
        <v>0</v>
      </c>
      <c r="L1782" s="26">
        <f t="shared" si="58"/>
        <v>0</v>
      </c>
    </row>
    <row r="1783" spans="2:12">
      <c r="B1783" s="4" t="e">
        <f t="shared" si="57"/>
        <v>#N/A</v>
      </c>
      <c r="C1783" s="4">
        <f>'Raw data'!E1692</f>
        <v>0</v>
      </c>
      <c r="D1783" s="29" t="e">
        <f>VLOOKUP(C1783,'점포코드 '!A:B,2,0)</f>
        <v>#N/A</v>
      </c>
      <c r="E1783" s="30">
        <f>'Raw data'!P1692</f>
        <v>0</v>
      </c>
      <c r="F1783" s="29" t="e">
        <f>VLOOKUP(E1783,'점포코드 '!A:B,2,0)</f>
        <v>#N/A</v>
      </c>
      <c r="G1783" s="46">
        <f>'Raw data'!F1692</f>
        <v>0</v>
      </c>
      <c r="H1783" s="4">
        <f>'Raw data'!G1692</f>
        <v>0</v>
      </c>
      <c r="I1783" s="29" t="e">
        <f>VLOOKUP(G1783,제품명!$C$1:$E$114,2,0)</f>
        <v>#N/A</v>
      </c>
      <c r="J1783" s="29">
        <f>'Raw data'!K1692</f>
        <v>0</v>
      </c>
      <c r="K1783" s="31">
        <f>'Raw data'!H1692</f>
        <v>0</v>
      </c>
      <c r="L1783" s="26">
        <f t="shared" si="58"/>
        <v>0</v>
      </c>
    </row>
    <row r="1784" spans="2:12">
      <c r="B1784" s="4" t="e">
        <f t="shared" si="57"/>
        <v>#N/A</v>
      </c>
      <c r="C1784" s="4">
        <f>'Raw data'!E1693</f>
        <v>0</v>
      </c>
      <c r="D1784" s="29" t="e">
        <f>VLOOKUP(C1784,'점포코드 '!A:B,2,0)</f>
        <v>#N/A</v>
      </c>
      <c r="E1784" s="30">
        <f>'Raw data'!P1693</f>
        <v>0</v>
      </c>
      <c r="F1784" s="29" t="e">
        <f>VLOOKUP(E1784,'점포코드 '!A:B,2,0)</f>
        <v>#N/A</v>
      </c>
      <c r="G1784" s="46">
        <f>'Raw data'!F1693</f>
        <v>0</v>
      </c>
      <c r="H1784" s="4">
        <f>'Raw data'!G1693</f>
        <v>0</v>
      </c>
      <c r="I1784" s="29" t="e">
        <f>VLOOKUP(G1784,제품명!$C$1:$E$114,2,0)</f>
        <v>#N/A</v>
      </c>
      <c r="J1784" s="29">
        <f>'Raw data'!K1693</f>
        <v>0</v>
      </c>
      <c r="K1784" s="31">
        <f>'Raw data'!H1693</f>
        <v>0</v>
      </c>
      <c r="L1784" s="26">
        <f t="shared" si="58"/>
        <v>0</v>
      </c>
    </row>
    <row r="1785" spans="2:12">
      <c r="B1785" s="4" t="e">
        <f t="shared" si="57"/>
        <v>#N/A</v>
      </c>
      <c r="C1785" s="4">
        <f>'Raw data'!E1694</f>
        <v>0</v>
      </c>
      <c r="D1785" s="29" t="e">
        <f>VLOOKUP(C1785,'점포코드 '!A:B,2,0)</f>
        <v>#N/A</v>
      </c>
      <c r="E1785" s="30">
        <f>'Raw data'!P1694</f>
        <v>0</v>
      </c>
      <c r="F1785" s="29" t="e">
        <f>VLOOKUP(E1785,'점포코드 '!A:B,2,0)</f>
        <v>#N/A</v>
      </c>
      <c r="G1785" s="46">
        <f>'Raw data'!F1694</f>
        <v>0</v>
      </c>
      <c r="H1785" s="4">
        <f>'Raw data'!G1694</f>
        <v>0</v>
      </c>
      <c r="I1785" s="29" t="e">
        <f>VLOOKUP(G1785,제품명!$C$1:$E$114,2,0)</f>
        <v>#N/A</v>
      </c>
      <c r="J1785" s="29">
        <f>'Raw data'!K1694</f>
        <v>0</v>
      </c>
      <c r="K1785" s="31">
        <f>'Raw data'!H1694</f>
        <v>0</v>
      </c>
      <c r="L1785" s="26">
        <f t="shared" si="58"/>
        <v>0</v>
      </c>
    </row>
    <row r="1786" spans="2:12">
      <c r="B1786" s="4" t="e">
        <f t="shared" si="57"/>
        <v>#N/A</v>
      </c>
      <c r="C1786" s="4">
        <f>'Raw data'!E1695</f>
        <v>0</v>
      </c>
      <c r="D1786" s="29" t="e">
        <f>VLOOKUP(C1786,'점포코드 '!A:B,2,0)</f>
        <v>#N/A</v>
      </c>
      <c r="E1786" s="30">
        <f>'Raw data'!P1695</f>
        <v>0</v>
      </c>
      <c r="F1786" s="29" t="e">
        <f>VLOOKUP(E1786,'점포코드 '!A:B,2,0)</f>
        <v>#N/A</v>
      </c>
      <c r="G1786" s="46">
        <f>'Raw data'!F1695</f>
        <v>0</v>
      </c>
      <c r="H1786" s="4">
        <f>'Raw data'!G1695</f>
        <v>0</v>
      </c>
      <c r="I1786" s="29" t="e">
        <f>VLOOKUP(G1786,제품명!$C$1:$E$114,2,0)</f>
        <v>#N/A</v>
      </c>
      <c r="J1786" s="29">
        <f>'Raw data'!K1695</f>
        <v>0</v>
      </c>
      <c r="K1786" s="31">
        <f>'Raw data'!H1695</f>
        <v>0</v>
      </c>
      <c r="L1786" s="26">
        <f t="shared" si="58"/>
        <v>0</v>
      </c>
    </row>
    <row r="1787" spans="2:12">
      <c r="B1787" s="4" t="e">
        <f t="shared" si="57"/>
        <v>#N/A</v>
      </c>
      <c r="C1787" s="4">
        <f>'Raw data'!E1696</f>
        <v>0</v>
      </c>
      <c r="D1787" s="29" t="e">
        <f>VLOOKUP(C1787,'점포코드 '!A:B,2,0)</f>
        <v>#N/A</v>
      </c>
      <c r="E1787" s="30">
        <f>'Raw data'!P1696</f>
        <v>0</v>
      </c>
      <c r="F1787" s="29" t="e">
        <f>VLOOKUP(E1787,'점포코드 '!A:B,2,0)</f>
        <v>#N/A</v>
      </c>
      <c r="G1787" s="46">
        <f>'Raw data'!F1696</f>
        <v>0</v>
      </c>
      <c r="H1787" s="4">
        <f>'Raw data'!G1696</f>
        <v>0</v>
      </c>
      <c r="I1787" s="29" t="e">
        <f>VLOOKUP(G1787,제품명!$C$1:$E$114,2,0)</f>
        <v>#N/A</v>
      </c>
      <c r="J1787" s="29">
        <f>'Raw data'!K1696</f>
        <v>0</v>
      </c>
      <c r="K1787" s="31">
        <f>'Raw data'!H1696</f>
        <v>0</v>
      </c>
      <c r="L1787" s="26">
        <f t="shared" si="58"/>
        <v>0</v>
      </c>
    </row>
    <row r="1788" spans="2:12">
      <c r="B1788" s="4" t="e">
        <f t="shared" si="57"/>
        <v>#N/A</v>
      </c>
      <c r="C1788" s="4">
        <f>'Raw data'!E1697</f>
        <v>0</v>
      </c>
      <c r="D1788" s="29" t="e">
        <f>VLOOKUP(C1788,'점포코드 '!A:B,2,0)</f>
        <v>#N/A</v>
      </c>
      <c r="E1788" s="30">
        <f>'Raw data'!P1697</f>
        <v>0</v>
      </c>
      <c r="F1788" s="29" t="e">
        <f>VLOOKUP(E1788,'점포코드 '!A:B,2,0)</f>
        <v>#N/A</v>
      </c>
      <c r="G1788" s="46">
        <f>'Raw data'!F1697</f>
        <v>0</v>
      </c>
      <c r="H1788" s="4">
        <f>'Raw data'!G1697</f>
        <v>0</v>
      </c>
      <c r="I1788" s="29" t="e">
        <f>VLOOKUP(G1788,제품명!$C$1:$E$114,2,0)</f>
        <v>#N/A</v>
      </c>
      <c r="J1788" s="29">
        <f>'Raw data'!K1697</f>
        <v>0</v>
      </c>
      <c r="K1788" s="31">
        <f>'Raw data'!H1697</f>
        <v>0</v>
      </c>
      <c r="L1788" s="26">
        <f t="shared" si="58"/>
        <v>0</v>
      </c>
    </row>
    <row r="1789" spans="2:12">
      <c r="B1789" s="4" t="e">
        <f t="shared" si="57"/>
        <v>#N/A</v>
      </c>
      <c r="C1789" s="4">
        <f>'Raw data'!E1698</f>
        <v>0</v>
      </c>
      <c r="D1789" s="29" t="e">
        <f>VLOOKUP(C1789,'점포코드 '!A:B,2,0)</f>
        <v>#N/A</v>
      </c>
      <c r="E1789" s="30">
        <f>'Raw data'!P1698</f>
        <v>0</v>
      </c>
      <c r="F1789" s="29" t="e">
        <f>VLOOKUP(E1789,'점포코드 '!A:B,2,0)</f>
        <v>#N/A</v>
      </c>
      <c r="G1789" s="46">
        <f>'Raw data'!F1698</f>
        <v>0</v>
      </c>
      <c r="H1789" s="4">
        <f>'Raw data'!G1698</f>
        <v>0</v>
      </c>
      <c r="I1789" s="29" t="e">
        <f>VLOOKUP(G1789,제품명!$C$1:$E$114,2,0)</f>
        <v>#N/A</v>
      </c>
      <c r="J1789" s="29">
        <f>'Raw data'!K1698</f>
        <v>0</v>
      </c>
      <c r="K1789" s="31">
        <f>'Raw data'!H1698</f>
        <v>0</v>
      </c>
      <c r="L1789" s="26">
        <f t="shared" si="58"/>
        <v>0</v>
      </c>
    </row>
    <row r="1790" spans="2:12">
      <c r="B1790" s="4" t="e">
        <f t="shared" si="57"/>
        <v>#N/A</v>
      </c>
      <c r="C1790" s="4">
        <f>'Raw data'!E1699</f>
        <v>0</v>
      </c>
      <c r="D1790" s="29" t="e">
        <f>VLOOKUP(C1790,'점포코드 '!A:B,2,0)</f>
        <v>#N/A</v>
      </c>
      <c r="E1790" s="30">
        <f>'Raw data'!P1699</f>
        <v>0</v>
      </c>
      <c r="F1790" s="29" t="e">
        <f>VLOOKUP(E1790,'점포코드 '!A:B,2,0)</f>
        <v>#N/A</v>
      </c>
      <c r="G1790" s="46">
        <f>'Raw data'!F1699</f>
        <v>0</v>
      </c>
      <c r="H1790" s="4">
        <f>'Raw data'!G1699</f>
        <v>0</v>
      </c>
      <c r="I1790" s="29" t="e">
        <f>VLOOKUP(G1790,제품명!$C$1:$E$114,2,0)</f>
        <v>#N/A</v>
      </c>
      <c r="J1790" s="29">
        <f>'Raw data'!K1699</f>
        <v>0</v>
      </c>
      <c r="K1790" s="31">
        <f>'Raw data'!H1699</f>
        <v>0</v>
      </c>
      <c r="L1790" s="26">
        <f t="shared" si="58"/>
        <v>0</v>
      </c>
    </row>
    <row r="1791" spans="2:12">
      <c r="B1791" s="4" t="e">
        <f t="shared" si="57"/>
        <v>#N/A</v>
      </c>
      <c r="C1791" s="4">
        <f>'Raw data'!E1700</f>
        <v>0</v>
      </c>
      <c r="D1791" s="29" t="e">
        <f>VLOOKUP(C1791,'점포코드 '!A:B,2,0)</f>
        <v>#N/A</v>
      </c>
      <c r="E1791" s="30">
        <f>'Raw data'!P1700</f>
        <v>0</v>
      </c>
      <c r="F1791" s="29" t="e">
        <f>VLOOKUP(E1791,'점포코드 '!A:B,2,0)</f>
        <v>#N/A</v>
      </c>
      <c r="G1791" s="46">
        <f>'Raw data'!F1700</f>
        <v>0</v>
      </c>
      <c r="H1791" s="4">
        <f>'Raw data'!G1700</f>
        <v>0</v>
      </c>
      <c r="I1791" s="29" t="e">
        <f>VLOOKUP(G1791,제품명!$C$1:$E$114,2,0)</f>
        <v>#N/A</v>
      </c>
      <c r="J1791" s="29">
        <f>'Raw data'!K1700</f>
        <v>0</v>
      </c>
      <c r="K1791" s="31">
        <f>'Raw data'!H1700</f>
        <v>0</v>
      </c>
      <c r="L1791" s="26">
        <f t="shared" si="58"/>
        <v>0</v>
      </c>
    </row>
    <row r="1792" spans="2:12">
      <c r="B1792" s="4" t="e">
        <f t="shared" si="57"/>
        <v>#N/A</v>
      </c>
      <c r="C1792" s="4">
        <f>'Raw data'!E1701</f>
        <v>0</v>
      </c>
      <c r="D1792" s="29" t="e">
        <f>VLOOKUP(C1792,'점포코드 '!A:B,2,0)</f>
        <v>#N/A</v>
      </c>
      <c r="E1792" s="30">
        <f>'Raw data'!P1701</f>
        <v>0</v>
      </c>
      <c r="F1792" s="29" t="e">
        <f>VLOOKUP(E1792,'점포코드 '!A:B,2,0)</f>
        <v>#N/A</v>
      </c>
      <c r="G1792" s="46">
        <f>'Raw data'!F1701</f>
        <v>0</v>
      </c>
      <c r="H1792" s="4">
        <f>'Raw data'!G1701</f>
        <v>0</v>
      </c>
      <c r="I1792" s="29" t="e">
        <f>VLOOKUP(G1792,제품명!$C$1:$E$114,2,0)</f>
        <v>#N/A</v>
      </c>
      <c r="J1792" s="29">
        <f>'Raw data'!K1701</f>
        <v>0</v>
      </c>
      <c r="K1792" s="31">
        <f>'Raw data'!H1701</f>
        <v>0</v>
      </c>
      <c r="L1792" s="26">
        <f t="shared" si="58"/>
        <v>0</v>
      </c>
    </row>
    <row r="1793" spans="2:12">
      <c r="B1793" s="4" t="e">
        <f t="shared" si="57"/>
        <v>#N/A</v>
      </c>
      <c r="C1793" s="4">
        <f>'Raw data'!E1702</f>
        <v>0</v>
      </c>
      <c r="D1793" s="29" t="e">
        <f>VLOOKUP(C1793,'점포코드 '!A:B,2,0)</f>
        <v>#N/A</v>
      </c>
      <c r="E1793" s="30">
        <f>'Raw data'!P1702</f>
        <v>0</v>
      </c>
      <c r="F1793" s="29" t="e">
        <f>VLOOKUP(E1793,'점포코드 '!A:B,2,0)</f>
        <v>#N/A</v>
      </c>
      <c r="G1793" s="46">
        <f>'Raw data'!F1702</f>
        <v>0</v>
      </c>
      <c r="H1793" s="4">
        <f>'Raw data'!G1702</f>
        <v>0</v>
      </c>
      <c r="I1793" s="29" t="e">
        <f>VLOOKUP(G1793,제품명!$C$1:$E$114,2,0)</f>
        <v>#N/A</v>
      </c>
      <c r="J1793" s="29">
        <f>'Raw data'!K1702</f>
        <v>0</v>
      </c>
      <c r="K1793" s="31">
        <f>'Raw data'!H1702</f>
        <v>0</v>
      </c>
      <c r="L1793" s="26">
        <f t="shared" si="58"/>
        <v>0</v>
      </c>
    </row>
    <row r="1794" spans="2:12">
      <c r="B1794" s="4" t="e">
        <f t="shared" ref="B1794:B1857" si="59">F1794&amp;I1794</f>
        <v>#N/A</v>
      </c>
      <c r="C1794" s="4">
        <f>'Raw data'!E1703</f>
        <v>0</v>
      </c>
      <c r="D1794" s="29" t="e">
        <f>VLOOKUP(C1794,'점포코드 '!A:B,2,0)</f>
        <v>#N/A</v>
      </c>
      <c r="E1794" s="30">
        <f>'Raw data'!P1703</f>
        <v>0</v>
      </c>
      <c r="F1794" s="29" t="e">
        <f>VLOOKUP(E1794,'점포코드 '!A:B,2,0)</f>
        <v>#N/A</v>
      </c>
      <c r="G1794" s="46">
        <f>'Raw data'!F1703</f>
        <v>0</v>
      </c>
      <c r="H1794" s="4">
        <f>'Raw data'!G1703</f>
        <v>0</v>
      </c>
      <c r="I1794" s="29" t="e">
        <f>VLOOKUP(G1794,제품명!$C$1:$E$114,2,0)</f>
        <v>#N/A</v>
      </c>
      <c r="J1794" s="29">
        <f>'Raw data'!K1703</f>
        <v>0</v>
      </c>
      <c r="K1794" s="31">
        <f>'Raw data'!H1703</f>
        <v>0</v>
      </c>
      <c r="L1794" s="26">
        <f t="shared" si="58"/>
        <v>0</v>
      </c>
    </row>
    <row r="1795" spans="2:12">
      <c r="B1795" s="4" t="e">
        <f t="shared" si="59"/>
        <v>#N/A</v>
      </c>
      <c r="C1795" s="4">
        <f>'Raw data'!E1704</f>
        <v>0</v>
      </c>
      <c r="D1795" s="29" t="e">
        <f>VLOOKUP(C1795,'점포코드 '!A:B,2,0)</f>
        <v>#N/A</v>
      </c>
      <c r="E1795" s="30">
        <f>'Raw data'!P1704</f>
        <v>0</v>
      </c>
      <c r="F1795" s="29" t="e">
        <f>VLOOKUP(E1795,'점포코드 '!A:B,2,0)</f>
        <v>#N/A</v>
      </c>
      <c r="G1795" s="46">
        <f>'Raw data'!F1704</f>
        <v>0</v>
      </c>
      <c r="H1795" s="4">
        <f>'Raw data'!G1704</f>
        <v>0</v>
      </c>
      <c r="I1795" s="29" t="e">
        <f>VLOOKUP(G1795,제품명!$C$1:$E$114,2,0)</f>
        <v>#N/A</v>
      </c>
      <c r="J1795" s="29">
        <f>'Raw data'!K1704</f>
        <v>0</v>
      </c>
      <c r="K1795" s="31">
        <f>'Raw data'!H1704</f>
        <v>0</v>
      </c>
      <c r="L1795" s="26">
        <f t="shared" ref="L1795:L1858" si="60">J1795*K1795</f>
        <v>0</v>
      </c>
    </row>
    <row r="1796" spans="2:12">
      <c r="B1796" s="4" t="e">
        <f t="shared" si="59"/>
        <v>#N/A</v>
      </c>
      <c r="C1796" s="4">
        <f>'Raw data'!E1705</f>
        <v>0</v>
      </c>
      <c r="D1796" s="29" t="e">
        <f>VLOOKUP(C1796,'점포코드 '!A:B,2,0)</f>
        <v>#N/A</v>
      </c>
      <c r="E1796" s="30">
        <f>'Raw data'!P1705</f>
        <v>0</v>
      </c>
      <c r="F1796" s="29" t="e">
        <f>VLOOKUP(E1796,'점포코드 '!A:B,2,0)</f>
        <v>#N/A</v>
      </c>
      <c r="G1796" s="46">
        <f>'Raw data'!F1705</f>
        <v>0</v>
      </c>
      <c r="H1796" s="4">
        <f>'Raw data'!G1705</f>
        <v>0</v>
      </c>
      <c r="I1796" s="29" t="e">
        <f>VLOOKUP(G1796,제품명!$C$1:$E$114,2,0)</f>
        <v>#N/A</v>
      </c>
      <c r="J1796" s="29">
        <f>'Raw data'!K1705</f>
        <v>0</v>
      </c>
      <c r="K1796" s="31">
        <f>'Raw data'!H1705</f>
        <v>0</v>
      </c>
      <c r="L1796" s="26">
        <f t="shared" si="60"/>
        <v>0</v>
      </c>
    </row>
    <row r="1797" spans="2:12">
      <c r="B1797" s="4" t="e">
        <f t="shared" si="59"/>
        <v>#N/A</v>
      </c>
      <c r="C1797" s="4">
        <f>'Raw data'!E1706</f>
        <v>0</v>
      </c>
      <c r="D1797" s="29" t="e">
        <f>VLOOKUP(C1797,'점포코드 '!A:B,2,0)</f>
        <v>#N/A</v>
      </c>
      <c r="E1797" s="30">
        <f>'Raw data'!P1706</f>
        <v>0</v>
      </c>
      <c r="F1797" s="29" t="e">
        <f>VLOOKUP(E1797,'점포코드 '!A:B,2,0)</f>
        <v>#N/A</v>
      </c>
      <c r="G1797" s="46">
        <f>'Raw data'!F1706</f>
        <v>0</v>
      </c>
      <c r="H1797" s="4">
        <f>'Raw data'!G1706</f>
        <v>0</v>
      </c>
      <c r="I1797" s="29" t="e">
        <f>VLOOKUP(G1797,제품명!$C$1:$E$114,2,0)</f>
        <v>#N/A</v>
      </c>
      <c r="J1797" s="29">
        <f>'Raw data'!K1706</f>
        <v>0</v>
      </c>
      <c r="K1797" s="31">
        <f>'Raw data'!H1706</f>
        <v>0</v>
      </c>
      <c r="L1797" s="26">
        <f t="shared" si="60"/>
        <v>0</v>
      </c>
    </row>
    <row r="1798" spans="2:12">
      <c r="B1798" s="4" t="e">
        <f t="shared" si="59"/>
        <v>#N/A</v>
      </c>
      <c r="C1798" s="4">
        <f>'Raw data'!E1707</f>
        <v>0</v>
      </c>
      <c r="D1798" s="29" t="e">
        <f>VLOOKUP(C1798,'점포코드 '!A:B,2,0)</f>
        <v>#N/A</v>
      </c>
      <c r="E1798" s="30">
        <f>'Raw data'!P1707</f>
        <v>0</v>
      </c>
      <c r="F1798" s="29" t="e">
        <f>VLOOKUP(E1798,'점포코드 '!A:B,2,0)</f>
        <v>#N/A</v>
      </c>
      <c r="G1798" s="46">
        <f>'Raw data'!F1707</f>
        <v>0</v>
      </c>
      <c r="H1798" s="4">
        <f>'Raw data'!G1707</f>
        <v>0</v>
      </c>
      <c r="I1798" s="29" t="e">
        <f>VLOOKUP(G1798,제품명!$C$1:$E$114,2,0)</f>
        <v>#N/A</v>
      </c>
      <c r="J1798" s="29">
        <f>'Raw data'!K1707</f>
        <v>0</v>
      </c>
      <c r="K1798" s="31">
        <f>'Raw data'!H1707</f>
        <v>0</v>
      </c>
      <c r="L1798" s="26">
        <f t="shared" si="60"/>
        <v>0</v>
      </c>
    </row>
    <row r="1799" spans="2:12">
      <c r="B1799" s="4" t="e">
        <f t="shared" si="59"/>
        <v>#N/A</v>
      </c>
      <c r="C1799" s="4">
        <f>'Raw data'!E1708</f>
        <v>0</v>
      </c>
      <c r="D1799" s="29" t="e">
        <f>VLOOKUP(C1799,'점포코드 '!A:B,2,0)</f>
        <v>#N/A</v>
      </c>
      <c r="E1799" s="30">
        <f>'Raw data'!P1708</f>
        <v>0</v>
      </c>
      <c r="F1799" s="29" t="e">
        <f>VLOOKUP(E1799,'점포코드 '!A:B,2,0)</f>
        <v>#N/A</v>
      </c>
      <c r="G1799" s="46">
        <f>'Raw data'!F1708</f>
        <v>0</v>
      </c>
      <c r="H1799" s="4">
        <f>'Raw data'!G1708</f>
        <v>0</v>
      </c>
      <c r="I1799" s="29" t="e">
        <f>VLOOKUP(G1799,제품명!$C$1:$E$114,2,0)</f>
        <v>#N/A</v>
      </c>
      <c r="J1799" s="29">
        <f>'Raw data'!K1708</f>
        <v>0</v>
      </c>
      <c r="K1799" s="31">
        <f>'Raw data'!H1708</f>
        <v>0</v>
      </c>
      <c r="L1799" s="26">
        <f t="shared" si="60"/>
        <v>0</v>
      </c>
    </row>
    <row r="1800" spans="2:12">
      <c r="B1800" s="4" t="e">
        <f t="shared" si="59"/>
        <v>#N/A</v>
      </c>
      <c r="C1800" s="4">
        <f>'Raw data'!E1709</f>
        <v>0</v>
      </c>
      <c r="D1800" s="29" t="e">
        <f>VLOOKUP(C1800,'점포코드 '!A:B,2,0)</f>
        <v>#N/A</v>
      </c>
      <c r="E1800" s="30">
        <f>'Raw data'!P1709</f>
        <v>0</v>
      </c>
      <c r="F1800" s="29" t="e">
        <f>VLOOKUP(E1800,'점포코드 '!A:B,2,0)</f>
        <v>#N/A</v>
      </c>
      <c r="G1800" s="46">
        <f>'Raw data'!F1709</f>
        <v>0</v>
      </c>
      <c r="H1800" s="4">
        <f>'Raw data'!G1709</f>
        <v>0</v>
      </c>
      <c r="I1800" s="29" t="e">
        <f>VLOOKUP(G1800,제품명!$C$1:$E$114,2,0)</f>
        <v>#N/A</v>
      </c>
      <c r="J1800" s="29">
        <f>'Raw data'!K1709</f>
        <v>0</v>
      </c>
      <c r="K1800" s="31">
        <f>'Raw data'!H1709</f>
        <v>0</v>
      </c>
      <c r="L1800" s="26">
        <f t="shared" si="60"/>
        <v>0</v>
      </c>
    </row>
    <row r="1801" spans="2:12">
      <c r="B1801" s="4" t="e">
        <f t="shared" si="59"/>
        <v>#N/A</v>
      </c>
      <c r="C1801" s="4">
        <f>'Raw data'!E1710</f>
        <v>0</v>
      </c>
      <c r="D1801" s="29" t="e">
        <f>VLOOKUP(C1801,'점포코드 '!A:B,2,0)</f>
        <v>#N/A</v>
      </c>
      <c r="E1801" s="30">
        <f>'Raw data'!P1710</f>
        <v>0</v>
      </c>
      <c r="F1801" s="29" t="e">
        <f>VLOOKUP(E1801,'점포코드 '!A:B,2,0)</f>
        <v>#N/A</v>
      </c>
      <c r="G1801" s="46">
        <f>'Raw data'!F1710</f>
        <v>0</v>
      </c>
      <c r="H1801" s="4">
        <f>'Raw data'!G1710</f>
        <v>0</v>
      </c>
      <c r="I1801" s="29" t="e">
        <f>VLOOKUP(G1801,제품명!$C$1:$E$114,2,0)</f>
        <v>#N/A</v>
      </c>
      <c r="J1801" s="29">
        <f>'Raw data'!K1710</f>
        <v>0</v>
      </c>
      <c r="K1801" s="31">
        <f>'Raw data'!H1710</f>
        <v>0</v>
      </c>
      <c r="L1801" s="26">
        <f t="shared" si="60"/>
        <v>0</v>
      </c>
    </row>
    <row r="1802" spans="2:12">
      <c r="B1802" s="4" t="e">
        <f t="shared" si="59"/>
        <v>#N/A</v>
      </c>
      <c r="C1802" s="4">
        <f>'Raw data'!E1711</f>
        <v>0</v>
      </c>
      <c r="D1802" s="29" t="e">
        <f>VLOOKUP(C1802,'점포코드 '!A:B,2,0)</f>
        <v>#N/A</v>
      </c>
      <c r="E1802" s="30">
        <f>'Raw data'!P1711</f>
        <v>0</v>
      </c>
      <c r="F1802" s="29" t="e">
        <f>VLOOKUP(E1802,'점포코드 '!A:B,2,0)</f>
        <v>#N/A</v>
      </c>
      <c r="G1802" s="46">
        <f>'Raw data'!F1711</f>
        <v>0</v>
      </c>
      <c r="H1802" s="4">
        <f>'Raw data'!G1711</f>
        <v>0</v>
      </c>
      <c r="I1802" s="29" t="e">
        <f>VLOOKUP(G1802,제품명!$C$1:$E$114,2,0)</f>
        <v>#N/A</v>
      </c>
      <c r="J1802" s="29">
        <f>'Raw data'!K1711</f>
        <v>0</v>
      </c>
      <c r="K1802" s="31">
        <f>'Raw data'!H1711</f>
        <v>0</v>
      </c>
      <c r="L1802" s="26">
        <f t="shared" si="60"/>
        <v>0</v>
      </c>
    </row>
    <row r="1803" spans="2:12">
      <c r="B1803" s="4" t="e">
        <f t="shared" si="59"/>
        <v>#N/A</v>
      </c>
      <c r="C1803" s="4">
        <f>'Raw data'!E1712</f>
        <v>0</v>
      </c>
      <c r="D1803" s="29" t="e">
        <f>VLOOKUP(C1803,'점포코드 '!A:B,2,0)</f>
        <v>#N/A</v>
      </c>
      <c r="E1803" s="30">
        <f>'Raw data'!P1712</f>
        <v>0</v>
      </c>
      <c r="F1803" s="29" t="e">
        <f>VLOOKUP(E1803,'점포코드 '!A:B,2,0)</f>
        <v>#N/A</v>
      </c>
      <c r="G1803" s="46">
        <f>'Raw data'!F1712</f>
        <v>0</v>
      </c>
      <c r="H1803" s="4">
        <f>'Raw data'!G1712</f>
        <v>0</v>
      </c>
      <c r="I1803" s="29" t="e">
        <f>VLOOKUP(G1803,제품명!$C$1:$E$114,2,0)</f>
        <v>#N/A</v>
      </c>
      <c r="J1803" s="29">
        <f>'Raw data'!K1712</f>
        <v>0</v>
      </c>
      <c r="K1803" s="31">
        <f>'Raw data'!H1712</f>
        <v>0</v>
      </c>
      <c r="L1803" s="26">
        <f t="shared" si="60"/>
        <v>0</v>
      </c>
    </row>
    <row r="1804" spans="2:12">
      <c r="B1804" s="4" t="e">
        <f t="shared" si="59"/>
        <v>#N/A</v>
      </c>
      <c r="C1804" s="4">
        <f>'Raw data'!E1713</f>
        <v>0</v>
      </c>
      <c r="D1804" s="29" t="e">
        <f>VLOOKUP(C1804,'점포코드 '!A:B,2,0)</f>
        <v>#N/A</v>
      </c>
      <c r="E1804" s="30">
        <f>'Raw data'!P1713</f>
        <v>0</v>
      </c>
      <c r="F1804" s="29" t="e">
        <f>VLOOKUP(E1804,'점포코드 '!A:B,2,0)</f>
        <v>#N/A</v>
      </c>
      <c r="G1804" s="46">
        <f>'Raw data'!F1713</f>
        <v>0</v>
      </c>
      <c r="H1804" s="4">
        <f>'Raw data'!G1713</f>
        <v>0</v>
      </c>
      <c r="I1804" s="29" t="e">
        <f>VLOOKUP(G1804,제품명!$C$1:$E$114,2,0)</f>
        <v>#N/A</v>
      </c>
      <c r="J1804" s="29">
        <f>'Raw data'!K1713</f>
        <v>0</v>
      </c>
      <c r="K1804" s="31">
        <f>'Raw data'!H1713</f>
        <v>0</v>
      </c>
      <c r="L1804" s="26">
        <f t="shared" si="60"/>
        <v>0</v>
      </c>
    </row>
    <row r="1805" spans="2:12">
      <c r="B1805" s="4" t="e">
        <f t="shared" si="59"/>
        <v>#N/A</v>
      </c>
      <c r="C1805" s="4">
        <f>'Raw data'!E1714</f>
        <v>0</v>
      </c>
      <c r="D1805" s="29" t="e">
        <f>VLOOKUP(C1805,'점포코드 '!A:B,2,0)</f>
        <v>#N/A</v>
      </c>
      <c r="E1805" s="30">
        <f>'Raw data'!P1714</f>
        <v>0</v>
      </c>
      <c r="F1805" s="29" t="e">
        <f>VLOOKUP(E1805,'점포코드 '!A:B,2,0)</f>
        <v>#N/A</v>
      </c>
      <c r="G1805" s="46">
        <f>'Raw data'!F1714</f>
        <v>0</v>
      </c>
      <c r="H1805" s="4">
        <f>'Raw data'!G1714</f>
        <v>0</v>
      </c>
      <c r="I1805" s="29" t="e">
        <f>VLOOKUP(G1805,제품명!$C$1:$E$114,2,0)</f>
        <v>#N/A</v>
      </c>
      <c r="J1805" s="29">
        <f>'Raw data'!K1714</f>
        <v>0</v>
      </c>
      <c r="K1805" s="31">
        <f>'Raw data'!H1714</f>
        <v>0</v>
      </c>
      <c r="L1805" s="26">
        <f t="shared" si="60"/>
        <v>0</v>
      </c>
    </row>
    <row r="1806" spans="2:12">
      <c r="B1806" s="4" t="e">
        <f t="shared" si="59"/>
        <v>#N/A</v>
      </c>
      <c r="C1806" s="4">
        <f>'Raw data'!E1715</f>
        <v>0</v>
      </c>
      <c r="D1806" s="29" t="e">
        <f>VLOOKUP(C1806,'점포코드 '!A:B,2,0)</f>
        <v>#N/A</v>
      </c>
      <c r="E1806" s="30">
        <f>'Raw data'!P1715</f>
        <v>0</v>
      </c>
      <c r="F1806" s="29" t="e">
        <f>VLOOKUP(E1806,'점포코드 '!A:B,2,0)</f>
        <v>#N/A</v>
      </c>
      <c r="G1806" s="46">
        <f>'Raw data'!F1715</f>
        <v>0</v>
      </c>
      <c r="H1806" s="4">
        <f>'Raw data'!G1715</f>
        <v>0</v>
      </c>
      <c r="I1806" s="29" t="e">
        <f>VLOOKUP(G1806,제품명!$C$1:$E$114,2,0)</f>
        <v>#N/A</v>
      </c>
      <c r="J1806" s="29">
        <f>'Raw data'!K1715</f>
        <v>0</v>
      </c>
      <c r="K1806" s="31">
        <f>'Raw data'!H1715</f>
        <v>0</v>
      </c>
      <c r="L1806" s="26">
        <f t="shared" si="60"/>
        <v>0</v>
      </c>
    </row>
    <row r="1807" spans="2:12">
      <c r="B1807" s="4" t="e">
        <f t="shared" si="59"/>
        <v>#N/A</v>
      </c>
      <c r="C1807" s="4">
        <f>'Raw data'!E1716</f>
        <v>0</v>
      </c>
      <c r="D1807" s="29" t="e">
        <f>VLOOKUP(C1807,'점포코드 '!A:B,2,0)</f>
        <v>#N/A</v>
      </c>
      <c r="E1807" s="30">
        <f>'Raw data'!P1716</f>
        <v>0</v>
      </c>
      <c r="F1807" s="29" t="e">
        <f>VLOOKUP(E1807,'점포코드 '!A:B,2,0)</f>
        <v>#N/A</v>
      </c>
      <c r="G1807" s="46">
        <f>'Raw data'!F1716</f>
        <v>0</v>
      </c>
      <c r="H1807" s="4">
        <f>'Raw data'!G1716</f>
        <v>0</v>
      </c>
      <c r="I1807" s="29" t="e">
        <f>VLOOKUP(G1807,제품명!$C$1:$E$114,2,0)</f>
        <v>#N/A</v>
      </c>
      <c r="J1807" s="29">
        <f>'Raw data'!K1716</f>
        <v>0</v>
      </c>
      <c r="K1807" s="31">
        <f>'Raw data'!H1716</f>
        <v>0</v>
      </c>
      <c r="L1807" s="26">
        <f t="shared" si="60"/>
        <v>0</v>
      </c>
    </row>
    <row r="1808" spans="2:12">
      <c r="B1808" s="4" t="e">
        <f t="shared" si="59"/>
        <v>#N/A</v>
      </c>
      <c r="C1808" s="4">
        <f>'Raw data'!E1717</f>
        <v>0</v>
      </c>
      <c r="D1808" s="29" t="e">
        <f>VLOOKUP(C1808,'점포코드 '!A:B,2,0)</f>
        <v>#N/A</v>
      </c>
      <c r="E1808" s="30">
        <f>'Raw data'!P1717</f>
        <v>0</v>
      </c>
      <c r="F1808" s="29" t="e">
        <f>VLOOKUP(E1808,'점포코드 '!A:B,2,0)</f>
        <v>#N/A</v>
      </c>
      <c r="G1808" s="46">
        <f>'Raw data'!F1717</f>
        <v>0</v>
      </c>
      <c r="H1808" s="4">
        <f>'Raw data'!G1717</f>
        <v>0</v>
      </c>
      <c r="I1808" s="29" t="e">
        <f>VLOOKUP(G1808,제품명!$C$1:$E$114,2,0)</f>
        <v>#N/A</v>
      </c>
      <c r="J1808" s="29">
        <f>'Raw data'!K1717</f>
        <v>0</v>
      </c>
      <c r="K1808" s="31">
        <f>'Raw data'!H1717</f>
        <v>0</v>
      </c>
      <c r="L1808" s="26">
        <f t="shared" si="60"/>
        <v>0</v>
      </c>
    </row>
    <row r="1809" spans="2:12">
      <c r="B1809" s="4" t="e">
        <f t="shared" si="59"/>
        <v>#N/A</v>
      </c>
      <c r="C1809" s="4">
        <f>'Raw data'!E1718</f>
        <v>0</v>
      </c>
      <c r="D1809" s="29" t="e">
        <f>VLOOKUP(C1809,'점포코드 '!A:B,2,0)</f>
        <v>#N/A</v>
      </c>
      <c r="E1809" s="30">
        <f>'Raw data'!P1718</f>
        <v>0</v>
      </c>
      <c r="F1809" s="29" t="e">
        <f>VLOOKUP(E1809,'점포코드 '!A:B,2,0)</f>
        <v>#N/A</v>
      </c>
      <c r="G1809" s="46">
        <f>'Raw data'!F1718</f>
        <v>0</v>
      </c>
      <c r="H1809" s="4">
        <f>'Raw data'!G1718</f>
        <v>0</v>
      </c>
      <c r="I1809" s="29" t="e">
        <f>VLOOKUP(G1809,제품명!$C$1:$E$114,2,0)</f>
        <v>#N/A</v>
      </c>
      <c r="J1809" s="29">
        <f>'Raw data'!K1718</f>
        <v>0</v>
      </c>
      <c r="K1809" s="31">
        <f>'Raw data'!H1718</f>
        <v>0</v>
      </c>
      <c r="L1809" s="26">
        <f t="shared" si="60"/>
        <v>0</v>
      </c>
    </row>
    <row r="1810" spans="2:12">
      <c r="B1810" s="4" t="e">
        <f t="shared" si="59"/>
        <v>#N/A</v>
      </c>
      <c r="C1810" s="4">
        <f>'Raw data'!E1719</f>
        <v>0</v>
      </c>
      <c r="D1810" s="29" t="e">
        <f>VLOOKUP(C1810,'점포코드 '!A:B,2,0)</f>
        <v>#N/A</v>
      </c>
      <c r="E1810" s="30">
        <f>'Raw data'!P1719</f>
        <v>0</v>
      </c>
      <c r="F1810" s="29" t="e">
        <f>VLOOKUP(E1810,'점포코드 '!A:B,2,0)</f>
        <v>#N/A</v>
      </c>
      <c r="G1810" s="46">
        <f>'Raw data'!F1719</f>
        <v>0</v>
      </c>
      <c r="H1810" s="4">
        <f>'Raw data'!G1719</f>
        <v>0</v>
      </c>
      <c r="I1810" s="29" t="e">
        <f>VLOOKUP(G1810,제품명!$C$1:$E$114,2,0)</f>
        <v>#N/A</v>
      </c>
      <c r="J1810" s="29">
        <f>'Raw data'!K1719</f>
        <v>0</v>
      </c>
      <c r="K1810" s="31">
        <f>'Raw data'!H1719</f>
        <v>0</v>
      </c>
      <c r="L1810" s="26">
        <f t="shared" si="60"/>
        <v>0</v>
      </c>
    </row>
    <row r="1811" spans="2:12">
      <c r="B1811" s="4" t="e">
        <f t="shared" si="59"/>
        <v>#N/A</v>
      </c>
      <c r="C1811" s="4">
        <f>'Raw data'!E1720</f>
        <v>0</v>
      </c>
      <c r="D1811" s="29" t="e">
        <f>VLOOKUP(C1811,'점포코드 '!A:B,2,0)</f>
        <v>#N/A</v>
      </c>
      <c r="E1811" s="30">
        <f>'Raw data'!P1720</f>
        <v>0</v>
      </c>
      <c r="F1811" s="29" t="e">
        <f>VLOOKUP(E1811,'점포코드 '!A:B,2,0)</f>
        <v>#N/A</v>
      </c>
      <c r="G1811" s="46">
        <f>'Raw data'!F1720</f>
        <v>0</v>
      </c>
      <c r="H1811" s="4">
        <f>'Raw data'!G1720</f>
        <v>0</v>
      </c>
      <c r="I1811" s="29" t="e">
        <f>VLOOKUP(G1811,제품명!$C$1:$E$114,2,0)</f>
        <v>#N/A</v>
      </c>
      <c r="J1811" s="29">
        <f>'Raw data'!K1720</f>
        <v>0</v>
      </c>
      <c r="K1811" s="31">
        <f>'Raw data'!H1720</f>
        <v>0</v>
      </c>
      <c r="L1811" s="26">
        <f t="shared" si="60"/>
        <v>0</v>
      </c>
    </row>
    <row r="1812" spans="2:12">
      <c r="B1812" s="4" t="e">
        <f t="shared" si="59"/>
        <v>#N/A</v>
      </c>
      <c r="C1812" s="4">
        <f>'Raw data'!E1721</f>
        <v>0</v>
      </c>
      <c r="D1812" s="29" t="e">
        <f>VLOOKUP(C1812,'점포코드 '!A:B,2,0)</f>
        <v>#N/A</v>
      </c>
      <c r="E1812" s="30">
        <f>'Raw data'!P1721</f>
        <v>0</v>
      </c>
      <c r="F1812" s="29" t="e">
        <f>VLOOKUP(E1812,'점포코드 '!A:B,2,0)</f>
        <v>#N/A</v>
      </c>
      <c r="G1812" s="46">
        <f>'Raw data'!F1721</f>
        <v>0</v>
      </c>
      <c r="H1812" s="4">
        <f>'Raw data'!G1721</f>
        <v>0</v>
      </c>
      <c r="I1812" s="29" t="e">
        <f>VLOOKUP(G1812,제품명!$C$1:$E$114,2,0)</f>
        <v>#N/A</v>
      </c>
      <c r="J1812" s="29">
        <f>'Raw data'!K1721</f>
        <v>0</v>
      </c>
      <c r="K1812" s="31">
        <f>'Raw data'!H1721</f>
        <v>0</v>
      </c>
      <c r="L1812" s="26">
        <f t="shared" si="60"/>
        <v>0</v>
      </c>
    </row>
    <row r="1813" spans="2:12">
      <c r="B1813" s="4" t="e">
        <f t="shared" si="59"/>
        <v>#N/A</v>
      </c>
      <c r="C1813" s="4">
        <f>'Raw data'!E1722</f>
        <v>0</v>
      </c>
      <c r="D1813" s="29" t="e">
        <f>VLOOKUP(C1813,'점포코드 '!A:B,2,0)</f>
        <v>#N/A</v>
      </c>
      <c r="E1813" s="30">
        <f>'Raw data'!P1722</f>
        <v>0</v>
      </c>
      <c r="F1813" s="29" t="e">
        <f>VLOOKUP(E1813,'점포코드 '!A:B,2,0)</f>
        <v>#N/A</v>
      </c>
      <c r="G1813" s="46">
        <f>'Raw data'!F1722</f>
        <v>0</v>
      </c>
      <c r="H1813" s="4">
        <f>'Raw data'!G1722</f>
        <v>0</v>
      </c>
      <c r="I1813" s="29" t="e">
        <f>VLOOKUP(G1813,제품명!$C$1:$E$114,2,0)</f>
        <v>#N/A</v>
      </c>
      <c r="J1813" s="29">
        <f>'Raw data'!K1722</f>
        <v>0</v>
      </c>
      <c r="K1813" s="31">
        <f>'Raw data'!H1722</f>
        <v>0</v>
      </c>
      <c r="L1813" s="26">
        <f t="shared" si="60"/>
        <v>0</v>
      </c>
    </row>
    <row r="1814" spans="2:12">
      <c r="B1814" s="4" t="e">
        <f t="shared" si="59"/>
        <v>#N/A</v>
      </c>
      <c r="C1814" s="4">
        <f>'Raw data'!E1723</f>
        <v>0</v>
      </c>
      <c r="D1814" s="29" t="e">
        <f>VLOOKUP(C1814,'점포코드 '!A:B,2,0)</f>
        <v>#N/A</v>
      </c>
      <c r="E1814" s="30">
        <f>'Raw data'!P1723</f>
        <v>0</v>
      </c>
      <c r="F1814" s="29" t="e">
        <f>VLOOKUP(E1814,'점포코드 '!A:B,2,0)</f>
        <v>#N/A</v>
      </c>
      <c r="G1814" s="46">
        <f>'Raw data'!F1723</f>
        <v>0</v>
      </c>
      <c r="H1814" s="4">
        <f>'Raw data'!G1723</f>
        <v>0</v>
      </c>
      <c r="I1814" s="29" t="e">
        <f>VLOOKUP(G1814,제품명!$C$1:$E$114,2,0)</f>
        <v>#N/A</v>
      </c>
      <c r="J1814" s="29">
        <f>'Raw data'!K1723</f>
        <v>0</v>
      </c>
      <c r="K1814" s="31">
        <f>'Raw data'!H1723</f>
        <v>0</v>
      </c>
      <c r="L1814" s="26">
        <f t="shared" si="60"/>
        <v>0</v>
      </c>
    </row>
    <row r="1815" spans="2:12">
      <c r="B1815" s="4" t="e">
        <f t="shared" si="59"/>
        <v>#N/A</v>
      </c>
      <c r="C1815" s="4">
        <f>'Raw data'!E1724</f>
        <v>0</v>
      </c>
      <c r="D1815" s="29" t="e">
        <f>VLOOKUP(C1815,'점포코드 '!A:B,2,0)</f>
        <v>#N/A</v>
      </c>
      <c r="E1815" s="30">
        <f>'Raw data'!P1724</f>
        <v>0</v>
      </c>
      <c r="F1815" s="29" t="e">
        <f>VLOOKUP(E1815,'점포코드 '!A:B,2,0)</f>
        <v>#N/A</v>
      </c>
      <c r="G1815" s="46">
        <f>'Raw data'!F1724</f>
        <v>0</v>
      </c>
      <c r="H1815" s="4">
        <f>'Raw data'!G1724</f>
        <v>0</v>
      </c>
      <c r="I1815" s="29" t="e">
        <f>VLOOKUP(G1815,제품명!$C$1:$E$114,2,0)</f>
        <v>#N/A</v>
      </c>
      <c r="J1815" s="29">
        <f>'Raw data'!K1724</f>
        <v>0</v>
      </c>
      <c r="K1815" s="31">
        <f>'Raw data'!H1724</f>
        <v>0</v>
      </c>
      <c r="L1815" s="26">
        <f t="shared" si="60"/>
        <v>0</v>
      </c>
    </row>
    <row r="1816" spans="2:12">
      <c r="B1816" s="4" t="e">
        <f t="shared" si="59"/>
        <v>#N/A</v>
      </c>
      <c r="C1816" s="4">
        <f>'Raw data'!E1725</f>
        <v>0</v>
      </c>
      <c r="D1816" s="29" t="e">
        <f>VLOOKUP(C1816,'점포코드 '!A:B,2,0)</f>
        <v>#N/A</v>
      </c>
      <c r="E1816" s="30">
        <f>'Raw data'!P1725</f>
        <v>0</v>
      </c>
      <c r="F1816" s="29" t="e">
        <f>VLOOKUP(E1816,'점포코드 '!A:B,2,0)</f>
        <v>#N/A</v>
      </c>
      <c r="G1816" s="46">
        <f>'Raw data'!F1725</f>
        <v>0</v>
      </c>
      <c r="H1816" s="4">
        <f>'Raw data'!G1725</f>
        <v>0</v>
      </c>
      <c r="I1816" s="29" t="e">
        <f>VLOOKUP(G1816,제품명!$C$1:$E$114,2,0)</f>
        <v>#N/A</v>
      </c>
      <c r="J1816" s="29">
        <f>'Raw data'!K1725</f>
        <v>0</v>
      </c>
      <c r="K1816" s="31">
        <f>'Raw data'!H1725</f>
        <v>0</v>
      </c>
      <c r="L1816" s="26">
        <f t="shared" si="60"/>
        <v>0</v>
      </c>
    </row>
    <row r="1817" spans="2:12">
      <c r="B1817" s="4" t="e">
        <f t="shared" si="59"/>
        <v>#N/A</v>
      </c>
      <c r="C1817" s="4">
        <f>'Raw data'!E1726</f>
        <v>0</v>
      </c>
      <c r="D1817" s="29" t="e">
        <f>VLOOKUP(C1817,'점포코드 '!A:B,2,0)</f>
        <v>#N/A</v>
      </c>
      <c r="E1817" s="30">
        <f>'Raw data'!P1726</f>
        <v>0</v>
      </c>
      <c r="F1817" s="29" t="e">
        <f>VLOOKUP(E1817,'점포코드 '!A:B,2,0)</f>
        <v>#N/A</v>
      </c>
      <c r="G1817" s="46">
        <f>'Raw data'!F1726</f>
        <v>0</v>
      </c>
      <c r="H1817" s="4">
        <f>'Raw data'!G1726</f>
        <v>0</v>
      </c>
      <c r="I1817" s="29" t="e">
        <f>VLOOKUP(G1817,제품명!$C$1:$E$114,2,0)</f>
        <v>#N/A</v>
      </c>
      <c r="J1817" s="29">
        <f>'Raw data'!K1726</f>
        <v>0</v>
      </c>
      <c r="K1817" s="31">
        <f>'Raw data'!H1726</f>
        <v>0</v>
      </c>
      <c r="L1817" s="26">
        <f t="shared" si="60"/>
        <v>0</v>
      </c>
    </row>
    <row r="1818" spans="2:12">
      <c r="B1818" s="4" t="e">
        <f t="shared" si="59"/>
        <v>#N/A</v>
      </c>
      <c r="C1818" s="4">
        <f>'Raw data'!E1727</f>
        <v>0</v>
      </c>
      <c r="D1818" s="29" t="e">
        <f>VLOOKUP(C1818,'점포코드 '!A:B,2,0)</f>
        <v>#N/A</v>
      </c>
      <c r="E1818" s="30">
        <f>'Raw data'!P1727</f>
        <v>0</v>
      </c>
      <c r="F1818" s="29" t="e">
        <f>VLOOKUP(E1818,'점포코드 '!A:B,2,0)</f>
        <v>#N/A</v>
      </c>
      <c r="G1818" s="46">
        <f>'Raw data'!F1727</f>
        <v>0</v>
      </c>
      <c r="H1818" s="4">
        <f>'Raw data'!G1727</f>
        <v>0</v>
      </c>
      <c r="I1818" s="29" t="e">
        <f>VLOOKUP(G1818,제품명!$C$1:$E$114,2,0)</f>
        <v>#N/A</v>
      </c>
      <c r="J1818" s="29">
        <f>'Raw data'!K1727</f>
        <v>0</v>
      </c>
      <c r="K1818" s="31">
        <f>'Raw data'!H1727</f>
        <v>0</v>
      </c>
      <c r="L1818" s="26">
        <f t="shared" si="60"/>
        <v>0</v>
      </c>
    </row>
    <row r="1819" spans="2:12">
      <c r="B1819" s="4" t="e">
        <f t="shared" si="59"/>
        <v>#N/A</v>
      </c>
      <c r="C1819" s="4">
        <f>'Raw data'!E1728</f>
        <v>0</v>
      </c>
      <c r="D1819" s="29" t="e">
        <f>VLOOKUP(C1819,'점포코드 '!A:B,2,0)</f>
        <v>#N/A</v>
      </c>
      <c r="E1819" s="30">
        <f>'Raw data'!P1728</f>
        <v>0</v>
      </c>
      <c r="F1819" s="29" t="e">
        <f>VLOOKUP(E1819,'점포코드 '!A:B,2,0)</f>
        <v>#N/A</v>
      </c>
      <c r="G1819" s="46">
        <f>'Raw data'!F1728</f>
        <v>0</v>
      </c>
      <c r="H1819" s="4">
        <f>'Raw data'!G1728</f>
        <v>0</v>
      </c>
      <c r="I1819" s="29" t="e">
        <f>VLOOKUP(G1819,제품명!$C$1:$E$114,2,0)</f>
        <v>#N/A</v>
      </c>
      <c r="J1819" s="29">
        <f>'Raw data'!K1728</f>
        <v>0</v>
      </c>
      <c r="K1819" s="31">
        <f>'Raw data'!H1728</f>
        <v>0</v>
      </c>
      <c r="L1819" s="26">
        <f t="shared" si="60"/>
        <v>0</v>
      </c>
    </row>
    <row r="1820" spans="2:12">
      <c r="B1820" s="4" t="e">
        <f t="shared" si="59"/>
        <v>#N/A</v>
      </c>
      <c r="C1820" s="4">
        <f>'Raw data'!E1729</f>
        <v>0</v>
      </c>
      <c r="D1820" s="29" t="e">
        <f>VLOOKUP(C1820,'점포코드 '!A:B,2,0)</f>
        <v>#N/A</v>
      </c>
      <c r="E1820" s="30">
        <f>'Raw data'!P1729</f>
        <v>0</v>
      </c>
      <c r="F1820" s="29" t="e">
        <f>VLOOKUP(E1820,'점포코드 '!A:B,2,0)</f>
        <v>#N/A</v>
      </c>
      <c r="G1820" s="46">
        <f>'Raw data'!F1729</f>
        <v>0</v>
      </c>
      <c r="H1820" s="4">
        <f>'Raw data'!G1729</f>
        <v>0</v>
      </c>
      <c r="I1820" s="29" t="e">
        <f>VLOOKUP(G1820,제품명!$C$1:$E$114,2,0)</f>
        <v>#N/A</v>
      </c>
      <c r="J1820" s="29">
        <f>'Raw data'!K1729</f>
        <v>0</v>
      </c>
      <c r="K1820" s="31">
        <f>'Raw data'!H1729</f>
        <v>0</v>
      </c>
      <c r="L1820" s="26">
        <f t="shared" si="60"/>
        <v>0</v>
      </c>
    </row>
    <row r="1821" spans="2:12">
      <c r="B1821" s="4" t="e">
        <f t="shared" si="59"/>
        <v>#N/A</v>
      </c>
      <c r="C1821" s="4">
        <f>'Raw data'!E1730</f>
        <v>0</v>
      </c>
      <c r="D1821" s="29" t="e">
        <f>VLOOKUP(C1821,'점포코드 '!A:B,2,0)</f>
        <v>#N/A</v>
      </c>
      <c r="E1821" s="30">
        <f>'Raw data'!P1730</f>
        <v>0</v>
      </c>
      <c r="F1821" s="29" t="e">
        <f>VLOOKUP(E1821,'점포코드 '!A:B,2,0)</f>
        <v>#N/A</v>
      </c>
      <c r="G1821" s="46">
        <f>'Raw data'!F1730</f>
        <v>0</v>
      </c>
      <c r="H1821" s="4">
        <f>'Raw data'!G1730</f>
        <v>0</v>
      </c>
      <c r="I1821" s="29" t="e">
        <f>VLOOKUP(G1821,제품명!$C$1:$E$114,2,0)</f>
        <v>#N/A</v>
      </c>
      <c r="J1821" s="29">
        <f>'Raw data'!K1730</f>
        <v>0</v>
      </c>
      <c r="K1821" s="31">
        <f>'Raw data'!H1730</f>
        <v>0</v>
      </c>
      <c r="L1821" s="26">
        <f t="shared" si="60"/>
        <v>0</v>
      </c>
    </row>
    <row r="1822" spans="2:12">
      <c r="B1822" s="4" t="e">
        <f t="shared" si="59"/>
        <v>#N/A</v>
      </c>
      <c r="C1822" s="4">
        <f>'Raw data'!E1731</f>
        <v>0</v>
      </c>
      <c r="D1822" s="29" t="e">
        <f>VLOOKUP(C1822,'점포코드 '!A:B,2,0)</f>
        <v>#N/A</v>
      </c>
      <c r="E1822" s="30">
        <f>'Raw data'!P1731</f>
        <v>0</v>
      </c>
      <c r="F1822" s="29" t="e">
        <f>VLOOKUP(E1822,'점포코드 '!A:B,2,0)</f>
        <v>#N/A</v>
      </c>
      <c r="G1822" s="46">
        <f>'Raw data'!F1731</f>
        <v>0</v>
      </c>
      <c r="H1822" s="4">
        <f>'Raw data'!G1731</f>
        <v>0</v>
      </c>
      <c r="I1822" s="29" t="e">
        <f>VLOOKUP(G1822,제품명!$C$1:$E$114,2,0)</f>
        <v>#N/A</v>
      </c>
      <c r="J1822" s="29">
        <f>'Raw data'!K1731</f>
        <v>0</v>
      </c>
      <c r="K1822" s="31">
        <f>'Raw data'!H1731</f>
        <v>0</v>
      </c>
      <c r="L1822" s="26">
        <f t="shared" si="60"/>
        <v>0</v>
      </c>
    </row>
    <row r="1823" spans="2:12">
      <c r="B1823" s="4" t="e">
        <f t="shared" si="59"/>
        <v>#N/A</v>
      </c>
      <c r="C1823" s="4">
        <f>'Raw data'!E1732</f>
        <v>0</v>
      </c>
      <c r="D1823" s="29" t="e">
        <f>VLOOKUP(C1823,'점포코드 '!A:B,2,0)</f>
        <v>#N/A</v>
      </c>
      <c r="E1823" s="30">
        <f>'Raw data'!P1732</f>
        <v>0</v>
      </c>
      <c r="F1823" s="29" t="e">
        <f>VLOOKUP(E1823,'점포코드 '!A:B,2,0)</f>
        <v>#N/A</v>
      </c>
      <c r="G1823" s="46">
        <f>'Raw data'!F1732</f>
        <v>0</v>
      </c>
      <c r="H1823" s="4">
        <f>'Raw data'!G1732</f>
        <v>0</v>
      </c>
      <c r="I1823" s="29" t="e">
        <f>VLOOKUP(G1823,제품명!$C$1:$E$114,2,0)</f>
        <v>#N/A</v>
      </c>
      <c r="J1823" s="29">
        <f>'Raw data'!K1732</f>
        <v>0</v>
      </c>
      <c r="K1823" s="31">
        <f>'Raw data'!H1732</f>
        <v>0</v>
      </c>
      <c r="L1823" s="26">
        <f t="shared" si="60"/>
        <v>0</v>
      </c>
    </row>
    <row r="1824" spans="2:12">
      <c r="B1824" s="4" t="e">
        <f t="shared" si="59"/>
        <v>#N/A</v>
      </c>
      <c r="C1824" s="4">
        <f>'Raw data'!E1733</f>
        <v>0</v>
      </c>
      <c r="D1824" s="29" t="e">
        <f>VLOOKUP(C1824,'점포코드 '!A:B,2,0)</f>
        <v>#N/A</v>
      </c>
      <c r="E1824" s="30">
        <f>'Raw data'!P1733</f>
        <v>0</v>
      </c>
      <c r="F1824" s="29" t="e">
        <f>VLOOKUP(E1824,'점포코드 '!A:B,2,0)</f>
        <v>#N/A</v>
      </c>
      <c r="G1824" s="46">
        <f>'Raw data'!F1733</f>
        <v>0</v>
      </c>
      <c r="H1824" s="4">
        <f>'Raw data'!G1733</f>
        <v>0</v>
      </c>
      <c r="I1824" s="29" t="e">
        <f>VLOOKUP(G1824,제품명!$C$1:$E$114,2,0)</f>
        <v>#N/A</v>
      </c>
      <c r="J1824" s="29">
        <f>'Raw data'!K1733</f>
        <v>0</v>
      </c>
      <c r="K1824" s="31">
        <f>'Raw data'!H1733</f>
        <v>0</v>
      </c>
      <c r="L1824" s="26">
        <f t="shared" si="60"/>
        <v>0</v>
      </c>
    </row>
    <row r="1825" spans="2:12">
      <c r="B1825" s="4" t="e">
        <f t="shared" si="59"/>
        <v>#N/A</v>
      </c>
      <c r="C1825" s="4">
        <f>'Raw data'!E1734</f>
        <v>0</v>
      </c>
      <c r="D1825" s="29" t="e">
        <f>VLOOKUP(C1825,'점포코드 '!A:B,2,0)</f>
        <v>#N/A</v>
      </c>
      <c r="E1825" s="30">
        <f>'Raw data'!P1734</f>
        <v>0</v>
      </c>
      <c r="F1825" s="29" t="e">
        <f>VLOOKUP(E1825,'점포코드 '!A:B,2,0)</f>
        <v>#N/A</v>
      </c>
      <c r="G1825" s="46">
        <f>'Raw data'!F1734</f>
        <v>0</v>
      </c>
      <c r="H1825" s="4">
        <f>'Raw data'!G1734</f>
        <v>0</v>
      </c>
      <c r="I1825" s="29" t="e">
        <f>VLOOKUP(G1825,제품명!$C$1:$E$114,2,0)</f>
        <v>#N/A</v>
      </c>
      <c r="J1825" s="29">
        <f>'Raw data'!K1734</f>
        <v>0</v>
      </c>
      <c r="K1825" s="31">
        <f>'Raw data'!H1734</f>
        <v>0</v>
      </c>
      <c r="L1825" s="26">
        <f t="shared" si="60"/>
        <v>0</v>
      </c>
    </row>
    <row r="1826" spans="2:12">
      <c r="B1826" s="4" t="e">
        <f t="shared" si="59"/>
        <v>#N/A</v>
      </c>
      <c r="C1826" s="4">
        <f>'Raw data'!E1735</f>
        <v>0</v>
      </c>
      <c r="D1826" s="29" t="e">
        <f>VLOOKUP(C1826,'점포코드 '!A:B,2,0)</f>
        <v>#N/A</v>
      </c>
      <c r="E1826" s="30">
        <f>'Raw data'!P1735</f>
        <v>0</v>
      </c>
      <c r="F1826" s="29" t="e">
        <f>VLOOKUP(E1826,'점포코드 '!A:B,2,0)</f>
        <v>#N/A</v>
      </c>
      <c r="G1826" s="46">
        <f>'Raw data'!F1735</f>
        <v>0</v>
      </c>
      <c r="H1826" s="4">
        <f>'Raw data'!G1735</f>
        <v>0</v>
      </c>
      <c r="I1826" s="29" t="e">
        <f>VLOOKUP(G1826,제품명!$C$1:$E$114,2,0)</f>
        <v>#N/A</v>
      </c>
      <c r="J1826" s="29">
        <f>'Raw data'!K1735</f>
        <v>0</v>
      </c>
      <c r="K1826" s="31">
        <f>'Raw data'!H1735</f>
        <v>0</v>
      </c>
      <c r="L1826" s="26">
        <f t="shared" si="60"/>
        <v>0</v>
      </c>
    </row>
    <row r="1827" spans="2:12">
      <c r="B1827" s="4" t="e">
        <f t="shared" si="59"/>
        <v>#N/A</v>
      </c>
      <c r="C1827" s="4">
        <f>'Raw data'!E1736</f>
        <v>0</v>
      </c>
      <c r="D1827" s="29" t="e">
        <f>VLOOKUP(C1827,'점포코드 '!A:B,2,0)</f>
        <v>#N/A</v>
      </c>
      <c r="E1827" s="30">
        <f>'Raw data'!P1736</f>
        <v>0</v>
      </c>
      <c r="F1827" s="29" t="e">
        <f>VLOOKUP(E1827,'점포코드 '!A:B,2,0)</f>
        <v>#N/A</v>
      </c>
      <c r="G1827" s="46">
        <f>'Raw data'!F1736</f>
        <v>0</v>
      </c>
      <c r="H1827" s="4">
        <f>'Raw data'!G1736</f>
        <v>0</v>
      </c>
      <c r="I1827" s="29" t="e">
        <f>VLOOKUP(G1827,제품명!$C$1:$E$114,2,0)</f>
        <v>#N/A</v>
      </c>
      <c r="J1827" s="29">
        <f>'Raw data'!K1736</f>
        <v>0</v>
      </c>
      <c r="K1827" s="31">
        <f>'Raw data'!H1736</f>
        <v>0</v>
      </c>
      <c r="L1827" s="26">
        <f t="shared" si="60"/>
        <v>0</v>
      </c>
    </row>
    <row r="1828" spans="2:12">
      <c r="B1828" s="4" t="e">
        <f t="shared" si="59"/>
        <v>#N/A</v>
      </c>
      <c r="C1828" s="4">
        <f>'Raw data'!E1737</f>
        <v>0</v>
      </c>
      <c r="D1828" s="29" t="e">
        <f>VLOOKUP(C1828,'점포코드 '!A:B,2,0)</f>
        <v>#N/A</v>
      </c>
      <c r="E1828" s="30">
        <f>'Raw data'!P1737</f>
        <v>0</v>
      </c>
      <c r="F1828" s="29" t="e">
        <f>VLOOKUP(E1828,'점포코드 '!A:B,2,0)</f>
        <v>#N/A</v>
      </c>
      <c r="G1828" s="46">
        <f>'Raw data'!F1737</f>
        <v>0</v>
      </c>
      <c r="H1828" s="4">
        <f>'Raw data'!G1737</f>
        <v>0</v>
      </c>
      <c r="I1828" s="29" t="e">
        <f>VLOOKUP(G1828,제품명!$C$1:$E$114,2,0)</f>
        <v>#N/A</v>
      </c>
      <c r="J1828" s="29">
        <f>'Raw data'!K1737</f>
        <v>0</v>
      </c>
      <c r="K1828" s="31">
        <f>'Raw data'!H1737</f>
        <v>0</v>
      </c>
      <c r="L1828" s="26">
        <f t="shared" si="60"/>
        <v>0</v>
      </c>
    </row>
    <row r="1829" spans="2:12">
      <c r="B1829" s="4" t="e">
        <f t="shared" si="59"/>
        <v>#N/A</v>
      </c>
      <c r="C1829" s="4">
        <f>'Raw data'!E1738</f>
        <v>0</v>
      </c>
      <c r="D1829" s="29" t="e">
        <f>VLOOKUP(C1829,'점포코드 '!A:B,2,0)</f>
        <v>#N/A</v>
      </c>
      <c r="E1829" s="30">
        <f>'Raw data'!P1738</f>
        <v>0</v>
      </c>
      <c r="F1829" s="29" t="e">
        <f>VLOOKUP(E1829,'점포코드 '!A:B,2,0)</f>
        <v>#N/A</v>
      </c>
      <c r="G1829" s="46">
        <f>'Raw data'!F1738</f>
        <v>0</v>
      </c>
      <c r="H1829" s="4">
        <f>'Raw data'!G1738</f>
        <v>0</v>
      </c>
      <c r="I1829" s="29" t="e">
        <f>VLOOKUP(G1829,제품명!$C$1:$E$114,2,0)</f>
        <v>#N/A</v>
      </c>
      <c r="J1829" s="29">
        <f>'Raw data'!K1738</f>
        <v>0</v>
      </c>
      <c r="K1829" s="31">
        <f>'Raw data'!H1738</f>
        <v>0</v>
      </c>
      <c r="L1829" s="26">
        <f t="shared" si="60"/>
        <v>0</v>
      </c>
    </row>
    <row r="1830" spans="2:12">
      <c r="B1830" s="4" t="e">
        <f t="shared" si="59"/>
        <v>#N/A</v>
      </c>
      <c r="C1830" s="4">
        <f>'Raw data'!E1739</f>
        <v>0</v>
      </c>
      <c r="D1830" s="29" t="e">
        <f>VLOOKUP(C1830,'점포코드 '!A:B,2,0)</f>
        <v>#N/A</v>
      </c>
      <c r="E1830" s="30">
        <f>'Raw data'!P1739</f>
        <v>0</v>
      </c>
      <c r="F1830" s="29" t="e">
        <f>VLOOKUP(E1830,'점포코드 '!A:B,2,0)</f>
        <v>#N/A</v>
      </c>
      <c r="G1830" s="46">
        <f>'Raw data'!F1739</f>
        <v>0</v>
      </c>
      <c r="H1830" s="4">
        <f>'Raw data'!G1739</f>
        <v>0</v>
      </c>
      <c r="I1830" s="29" t="e">
        <f>VLOOKUP(G1830,제품명!$C$1:$E$114,2,0)</f>
        <v>#N/A</v>
      </c>
      <c r="J1830" s="29">
        <f>'Raw data'!K1739</f>
        <v>0</v>
      </c>
      <c r="K1830" s="31">
        <f>'Raw data'!H1739</f>
        <v>0</v>
      </c>
      <c r="L1830" s="26">
        <f t="shared" si="60"/>
        <v>0</v>
      </c>
    </row>
    <row r="1831" spans="2:12">
      <c r="B1831" s="4" t="e">
        <f t="shared" si="59"/>
        <v>#N/A</v>
      </c>
      <c r="C1831" s="4">
        <f>'Raw data'!E1740</f>
        <v>0</v>
      </c>
      <c r="D1831" s="29" t="e">
        <f>VLOOKUP(C1831,'점포코드 '!A:B,2,0)</f>
        <v>#N/A</v>
      </c>
      <c r="E1831" s="30">
        <f>'Raw data'!P1740</f>
        <v>0</v>
      </c>
      <c r="F1831" s="29" t="e">
        <f>VLOOKUP(E1831,'점포코드 '!A:B,2,0)</f>
        <v>#N/A</v>
      </c>
      <c r="G1831" s="46">
        <f>'Raw data'!F1740</f>
        <v>0</v>
      </c>
      <c r="H1831" s="4">
        <f>'Raw data'!G1740</f>
        <v>0</v>
      </c>
      <c r="I1831" s="29" t="e">
        <f>VLOOKUP(G1831,제품명!$C$1:$E$114,2,0)</f>
        <v>#N/A</v>
      </c>
      <c r="J1831" s="29">
        <f>'Raw data'!K1740</f>
        <v>0</v>
      </c>
      <c r="K1831" s="31">
        <f>'Raw data'!H1740</f>
        <v>0</v>
      </c>
      <c r="L1831" s="26">
        <f t="shared" si="60"/>
        <v>0</v>
      </c>
    </row>
    <row r="1832" spans="2:12">
      <c r="B1832" s="4" t="e">
        <f t="shared" si="59"/>
        <v>#N/A</v>
      </c>
      <c r="C1832" s="4">
        <f>'Raw data'!E1741</f>
        <v>0</v>
      </c>
      <c r="D1832" s="29" t="e">
        <f>VLOOKUP(C1832,'점포코드 '!A:B,2,0)</f>
        <v>#N/A</v>
      </c>
      <c r="E1832" s="30">
        <f>'Raw data'!P1741</f>
        <v>0</v>
      </c>
      <c r="F1832" s="29" t="e">
        <f>VLOOKUP(E1832,'점포코드 '!A:B,2,0)</f>
        <v>#N/A</v>
      </c>
      <c r="G1832" s="46">
        <f>'Raw data'!F1741</f>
        <v>0</v>
      </c>
      <c r="H1832" s="4">
        <f>'Raw data'!G1741</f>
        <v>0</v>
      </c>
      <c r="I1832" s="29" t="e">
        <f>VLOOKUP(G1832,제품명!$C$1:$E$114,2,0)</f>
        <v>#N/A</v>
      </c>
      <c r="J1832" s="29">
        <f>'Raw data'!K1741</f>
        <v>0</v>
      </c>
      <c r="K1832" s="31">
        <f>'Raw data'!H1741</f>
        <v>0</v>
      </c>
      <c r="L1832" s="26">
        <f t="shared" si="60"/>
        <v>0</v>
      </c>
    </row>
    <row r="1833" spans="2:12">
      <c r="B1833" s="4" t="e">
        <f t="shared" si="59"/>
        <v>#N/A</v>
      </c>
      <c r="C1833" s="4">
        <f>'Raw data'!E1742</f>
        <v>0</v>
      </c>
      <c r="D1833" s="29" t="e">
        <f>VLOOKUP(C1833,'점포코드 '!A:B,2,0)</f>
        <v>#N/A</v>
      </c>
      <c r="E1833" s="30">
        <f>'Raw data'!P1742</f>
        <v>0</v>
      </c>
      <c r="F1833" s="29" t="e">
        <f>VLOOKUP(E1833,'점포코드 '!A:B,2,0)</f>
        <v>#N/A</v>
      </c>
      <c r="G1833" s="46">
        <f>'Raw data'!F1742</f>
        <v>0</v>
      </c>
      <c r="H1833" s="4">
        <f>'Raw data'!G1742</f>
        <v>0</v>
      </c>
      <c r="I1833" s="29" t="e">
        <f>VLOOKUP(G1833,제품명!$C$1:$E$114,2,0)</f>
        <v>#N/A</v>
      </c>
      <c r="J1833" s="29">
        <f>'Raw data'!K1742</f>
        <v>0</v>
      </c>
      <c r="K1833" s="31">
        <f>'Raw data'!H1742</f>
        <v>0</v>
      </c>
      <c r="L1833" s="26">
        <f t="shared" si="60"/>
        <v>0</v>
      </c>
    </row>
    <row r="1834" spans="2:12">
      <c r="B1834" s="4" t="e">
        <f t="shared" si="59"/>
        <v>#N/A</v>
      </c>
      <c r="C1834" s="4">
        <f>'Raw data'!E1743</f>
        <v>0</v>
      </c>
      <c r="D1834" s="29" t="e">
        <f>VLOOKUP(C1834,'점포코드 '!A:B,2,0)</f>
        <v>#N/A</v>
      </c>
      <c r="E1834" s="30">
        <f>'Raw data'!P1743</f>
        <v>0</v>
      </c>
      <c r="F1834" s="29" t="e">
        <f>VLOOKUP(E1834,'점포코드 '!A:B,2,0)</f>
        <v>#N/A</v>
      </c>
      <c r="G1834" s="46">
        <f>'Raw data'!F1743</f>
        <v>0</v>
      </c>
      <c r="H1834" s="4">
        <f>'Raw data'!G1743</f>
        <v>0</v>
      </c>
      <c r="I1834" s="29" t="e">
        <f>VLOOKUP(G1834,제품명!$C$1:$E$114,2,0)</f>
        <v>#N/A</v>
      </c>
      <c r="J1834" s="29">
        <f>'Raw data'!K1743</f>
        <v>0</v>
      </c>
      <c r="K1834" s="31">
        <f>'Raw data'!H1743</f>
        <v>0</v>
      </c>
      <c r="L1834" s="26">
        <f t="shared" si="60"/>
        <v>0</v>
      </c>
    </row>
    <row r="1835" spans="2:12">
      <c r="B1835" s="4" t="e">
        <f t="shared" si="59"/>
        <v>#N/A</v>
      </c>
      <c r="C1835" s="4">
        <f>'Raw data'!E1744</f>
        <v>0</v>
      </c>
      <c r="D1835" s="29" t="e">
        <f>VLOOKUP(C1835,'점포코드 '!A:B,2,0)</f>
        <v>#N/A</v>
      </c>
      <c r="E1835" s="30">
        <f>'Raw data'!P1744</f>
        <v>0</v>
      </c>
      <c r="F1835" s="29" t="e">
        <f>VLOOKUP(E1835,'점포코드 '!A:B,2,0)</f>
        <v>#N/A</v>
      </c>
      <c r="G1835" s="46">
        <f>'Raw data'!F1744</f>
        <v>0</v>
      </c>
      <c r="H1835" s="4">
        <f>'Raw data'!G1744</f>
        <v>0</v>
      </c>
      <c r="I1835" s="29" t="e">
        <f>VLOOKUP(G1835,제품명!$C$1:$E$114,2,0)</f>
        <v>#N/A</v>
      </c>
      <c r="J1835" s="29">
        <f>'Raw data'!K1744</f>
        <v>0</v>
      </c>
      <c r="K1835" s="31">
        <f>'Raw data'!H1744</f>
        <v>0</v>
      </c>
      <c r="L1835" s="26">
        <f t="shared" si="60"/>
        <v>0</v>
      </c>
    </row>
    <row r="1836" spans="2:12">
      <c r="B1836" s="4" t="e">
        <f t="shared" si="59"/>
        <v>#N/A</v>
      </c>
      <c r="C1836" s="4">
        <f>'Raw data'!E1745</f>
        <v>0</v>
      </c>
      <c r="D1836" s="29" t="e">
        <f>VLOOKUP(C1836,'점포코드 '!A:B,2,0)</f>
        <v>#N/A</v>
      </c>
      <c r="E1836" s="30">
        <f>'Raw data'!P1745</f>
        <v>0</v>
      </c>
      <c r="F1836" s="29" t="e">
        <f>VLOOKUP(E1836,'점포코드 '!A:B,2,0)</f>
        <v>#N/A</v>
      </c>
      <c r="G1836" s="46">
        <f>'Raw data'!F1745</f>
        <v>0</v>
      </c>
      <c r="H1836" s="4">
        <f>'Raw data'!G1745</f>
        <v>0</v>
      </c>
      <c r="I1836" s="29" t="e">
        <f>VLOOKUP(G1836,제품명!$C$1:$E$114,2,0)</f>
        <v>#N/A</v>
      </c>
      <c r="J1836" s="29">
        <f>'Raw data'!K1745</f>
        <v>0</v>
      </c>
      <c r="K1836" s="31">
        <f>'Raw data'!H1745</f>
        <v>0</v>
      </c>
      <c r="L1836" s="26">
        <f t="shared" si="60"/>
        <v>0</v>
      </c>
    </row>
    <row r="1837" spans="2:12">
      <c r="B1837" s="4" t="e">
        <f t="shared" si="59"/>
        <v>#N/A</v>
      </c>
      <c r="C1837" s="4">
        <f>'Raw data'!E1746</f>
        <v>0</v>
      </c>
      <c r="D1837" s="29" t="e">
        <f>VLOOKUP(C1837,'점포코드 '!A:B,2,0)</f>
        <v>#N/A</v>
      </c>
      <c r="E1837" s="30">
        <f>'Raw data'!P1746</f>
        <v>0</v>
      </c>
      <c r="F1837" s="29" t="e">
        <f>VLOOKUP(E1837,'점포코드 '!A:B,2,0)</f>
        <v>#N/A</v>
      </c>
      <c r="G1837" s="46">
        <f>'Raw data'!F1746</f>
        <v>0</v>
      </c>
      <c r="H1837" s="4">
        <f>'Raw data'!G1746</f>
        <v>0</v>
      </c>
      <c r="I1837" s="29" t="e">
        <f>VLOOKUP(G1837,제품명!$C$1:$E$114,2,0)</f>
        <v>#N/A</v>
      </c>
      <c r="J1837" s="29">
        <f>'Raw data'!K1746</f>
        <v>0</v>
      </c>
      <c r="K1837" s="31">
        <f>'Raw data'!H1746</f>
        <v>0</v>
      </c>
      <c r="L1837" s="26">
        <f t="shared" si="60"/>
        <v>0</v>
      </c>
    </row>
    <row r="1838" spans="2:12">
      <c r="B1838" s="4" t="e">
        <f t="shared" si="59"/>
        <v>#N/A</v>
      </c>
      <c r="C1838" s="4">
        <f>'Raw data'!E1747</f>
        <v>0</v>
      </c>
      <c r="D1838" s="29" t="e">
        <f>VLOOKUP(C1838,'점포코드 '!A:B,2,0)</f>
        <v>#N/A</v>
      </c>
      <c r="E1838" s="30">
        <f>'Raw data'!P1747</f>
        <v>0</v>
      </c>
      <c r="F1838" s="29" t="e">
        <f>VLOOKUP(E1838,'점포코드 '!A:B,2,0)</f>
        <v>#N/A</v>
      </c>
      <c r="G1838" s="46">
        <f>'Raw data'!F1747</f>
        <v>0</v>
      </c>
      <c r="H1838" s="4">
        <f>'Raw data'!G1747</f>
        <v>0</v>
      </c>
      <c r="I1838" s="29" t="e">
        <f>VLOOKUP(G1838,제품명!$C$1:$E$114,2,0)</f>
        <v>#N/A</v>
      </c>
      <c r="J1838" s="29">
        <f>'Raw data'!K1747</f>
        <v>0</v>
      </c>
      <c r="K1838" s="31">
        <f>'Raw data'!H1747</f>
        <v>0</v>
      </c>
      <c r="L1838" s="26">
        <f t="shared" si="60"/>
        <v>0</v>
      </c>
    </row>
    <row r="1839" spans="2:12">
      <c r="B1839" s="4" t="e">
        <f t="shared" si="59"/>
        <v>#N/A</v>
      </c>
      <c r="C1839" s="4">
        <f>'Raw data'!E1748</f>
        <v>0</v>
      </c>
      <c r="D1839" s="29" t="e">
        <f>VLOOKUP(C1839,'점포코드 '!A:B,2,0)</f>
        <v>#N/A</v>
      </c>
      <c r="E1839" s="30">
        <f>'Raw data'!P1748</f>
        <v>0</v>
      </c>
      <c r="F1839" s="29" t="e">
        <f>VLOOKUP(E1839,'점포코드 '!A:B,2,0)</f>
        <v>#N/A</v>
      </c>
      <c r="G1839" s="46">
        <f>'Raw data'!F1748</f>
        <v>0</v>
      </c>
      <c r="H1839" s="4">
        <f>'Raw data'!G1748</f>
        <v>0</v>
      </c>
      <c r="I1839" s="29" t="e">
        <f>VLOOKUP(G1839,제품명!$C$1:$E$114,2,0)</f>
        <v>#N/A</v>
      </c>
      <c r="J1839" s="29">
        <f>'Raw data'!K1748</f>
        <v>0</v>
      </c>
      <c r="K1839" s="31">
        <f>'Raw data'!H1748</f>
        <v>0</v>
      </c>
      <c r="L1839" s="26">
        <f t="shared" si="60"/>
        <v>0</v>
      </c>
    </row>
    <row r="1840" spans="2:12">
      <c r="B1840" s="4" t="e">
        <f t="shared" si="59"/>
        <v>#N/A</v>
      </c>
      <c r="C1840" s="4">
        <f>'Raw data'!E1749</f>
        <v>0</v>
      </c>
      <c r="D1840" s="29" t="e">
        <f>VLOOKUP(C1840,'점포코드 '!A:B,2,0)</f>
        <v>#N/A</v>
      </c>
      <c r="E1840" s="30">
        <f>'Raw data'!P1749</f>
        <v>0</v>
      </c>
      <c r="F1840" s="29" t="e">
        <f>VLOOKUP(E1840,'점포코드 '!A:B,2,0)</f>
        <v>#N/A</v>
      </c>
      <c r="G1840" s="46">
        <f>'Raw data'!F1749</f>
        <v>0</v>
      </c>
      <c r="H1840" s="4">
        <f>'Raw data'!G1749</f>
        <v>0</v>
      </c>
      <c r="I1840" s="29" t="e">
        <f>VLOOKUP(G1840,제품명!$C$1:$E$114,2,0)</f>
        <v>#N/A</v>
      </c>
      <c r="J1840" s="29">
        <f>'Raw data'!K1749</f>
        <v>0</v>
      </c>
      <c r="K1840" s="31">
        <f>'Raw data'!H1749</f>
        <v>0</v>
      </c>
      <c r="L1840" s="26">
        <f t="shared" si="60"/>
        <v>0</v>
      </c>
    </row>
    <row r="1841" spans="2:12">
      <c r="B1841" s="4" t="e">
        <f t="shared" si="59"/>
        <v>#N/A</v>
      </c>
      <c r="C1841" s="4">
        <f>'Raw data'!E1750</f>
        <v>0</v>
      </c>
      <c r="D1841" s="29" t="e">
        <f>VLOOKUP(C1841,'점포코드 '!A:B,2,0)</f>
        <v>#N/A</v>
      </c>
      <c r="E1841" s="30">
        <f>'Raw data'!P1750</f>
        <v>0</v>
      </c>
      <c r="F1841" s="29" t="e">
        <f>VLOOKUP(E1841,'점포코드 '!A:B,2,0)</f>
        <v>#N/A</v>
      </c>
      <c r="G1841" s="46">
        <f>'Raw data'!F1750</f>
        <v>0</v>
      </c>
      <c r="H1841" s="4">
        <f>'Raw data'!G1750</f>
        <v>0</v>
      </c>
      <c r="I1841" s="29" t="e">
        <f>VLOOKUP(G1841,제품명!$C$1:$E$114,2,0)</f>
        <v>#N/A</v>
      </c>
      <c r="J1841" s="29">
        <f>'Raw data'!K1750</f>
        <v>0</v>
      </c>
      <c r="K1841" s="31">
        <f>'Raw data'!H1750</f>
        <v>0</v>
      </c>
      <c r="L1841" s="26">
        <f t="shared" si="60"/>
        <v>0</v>
      </c>
    </row>
    <row r="1842" spans="2:12">
      <c r="B1842" s="4" t="e">
        <f t="shared" si="59"/>
        <v>#N/A</v>
      </c>
      <c r="C1842" s="4">
        <f>'Raw data'!E1751</f>
        <v>0</v>
      </c>
      <c r="D1842" s="29" t="e">
        <f>VLOOKUP(C1842,'점포코드 '!A:B,2,0)</f>
        <v>#N/A</v>
      </c>
      <c r="E1842" s="30">
        <f>'Raw data'!P1751</f>
        <v>0</v>
      </c>
      <c r="F1842" s="29" t="e">
        <f>VLOOKUP(E1842,'점포코드 '!A:B,2,0)</f>
        <v>#N/A</v>
      </c>
      <c r="G1842" s="46">
        <f>'Raw data'!F1751</f>
        <v>0</v>
      </c>
      <c r="H1842" s="4">
        <f>'Raw data'!G1751</f>
        <v>0</v>
      </c>
      <c r="I1842" s="29" t="e">
        <f>VLOOKUP(G1842,제품명!$C$1:$E$114,2,0)</f>
        <v>#N/A</v>
      </c>
      <c r="J1842" s="29">
        <f>'Raw data'!K1751</f>
        <v>0</v>
      </c>
      <c r="K1842" s="31">
        <f>'Raw data'!H1751</f>
        <v>0</v>
      </c>
      <c r="L1842" s="26">
        <f t="shared" si="60"/>
        <v>0</v>
      </c>
    </row>
    <row r="1843" spans="2:12">
      <c r="B1843" s="4" t="e">
        <f t="shared" si="59"/>
        <v>#N/A</v>
      </c>
      <c r="C1843" s="4">
        <f>'Raw data'!E1752</f>
        <v>0</v>
      </c>
      <c r="D1843" s="29" t="e">
        <f>VLOOKUP(C1843,'점포코드 '!A:B,2,0)</f>
        <v>#N/A</v>
      </c>
      <c r="E1843" s="30">
        <f>'Raw data'!P1752</f>
        <v>0</v>
      </c>
      <c r="F1843" s="29" t="e">
        <f>VLOOKUP(E1843,'점포코드 '!A:B,2,0)</f>
        <v>#N/A</v>
      </c>
      <c r="G1843" s="46">
        <f>'Raw data'!F1752</f>
        <v>0</v>
      </c>
      <c r="H1843" s="4">
        <f>'Raw data'!G1752</f>
        <v>0</v>
      </c>
      <c r="I1843" s="29" t="e">
        <f>VLOOKUP(G1843,제품명!$C$1:$E$114,2,0)</f>
        <v>#N/A</v>
      </c>
      <c r="J1843" s="29">
        <f>'Raw data'!K1752</f>
        <v>0</v>
      </c>
      <c r="K1843" s="31">
        <f>'Raw data'!H1752</f>
        <v>0</v>
      </c>
      <c r="L1843" s="26">
        <f t="shared" si="60"/>
        <v>0</v>
      </c>
    </row>
    <row r="1844" spans="2:12">
      <c r="B1844" s="4" t="e">
        <f t="shared" si="59"/>
        <v>#N/A</v>
      </c>
      <c r="C1844" s="4">
        <f>'Raw data'!E1753</f>
        <v>0</v>
      </c>
      <c r="D1844" s="29" t="e">
        <f>VLOOKUP(C1844,'점포코드 '!A:B,2,0)</f>
        <v>#N/A</v>
      </c>
      <c r="E1844" s="30">
        <f>'Raw data'!P1753</f>
        <v>0</v>
      </c>
      <c r="F1844" s="29" t="e">
        <f>VLOOKUP(E1844,'점포코드 '!A:B,2,0)</f>
        <v>#N/A</v>
      </c>
      <c r="G1844" s="46">
        <f>'Raw data'!F1753</f>
        <v>0</v>
      </c>
      <c r="H1844" s="4">
        <f>'Raw data'!G1753</f>
        <v>0</v>
      </c>
      <c r="I1844" s="29" t="e">
        <f>VLOOKUP(G1844,제품명!$C$1:$E$114,2,0)</f>
        <v>#N/A</v>
      </c>
      <c r="J1844" s="29">
        <f>'Raw data'!K1753</f>
        <v>0</v>
      </c>
      <c r="K1844" s="31">
        <f>'Raw data'!H1753</f>
        <v>0</v>
      </c>
      <c r="L1844" s="26">
        <f t="shared" si="60"/>
        <v>0</v>
      </c>
    </row>
    <row r="1845" spans="2:12">
      <c r="B1845" s="4" t="e">
        <f t="shared" si="59"/>
        <v>#N/A</v>
      </c>
      <c r="C1845" s="4">
        <f>'Raw data'!E1754</f>
        <v>0</v>
      </c>
      <c r="D1845" s="29" t="e">
        <f>VLOOKUP(C1845,'점포코드 '!A:B,2,0)</f>
        <v>#N/A</v>
      </c>
      <c r="E1845" s="30">
        <f>'Raw data'!P1754</f>
        <v>0</v>
      </c>
      <c r="F1845" s="29" t="e">
        <f>VLOOKUP(E1845,'점포코드 '!A:B,2,0)</f>
        <v>#N/A</v>
      </c>
      <c r="G1845" s="46">
        <f>'Raw data'!F1754</f>
        <v>0</v>
      </c>
      <c r="H1845" s="4">
        <f>'Raw data'!G1754</f>
        <v>0</v>
      </c>
      <c r="I1845" s="29" t="e">
        <f>VLOOKUP(G1845,제품명!$C$1:$E$114,2,0)</f>
        <v>#N/A</v>
      </c>
      <c r="J1845" s="29">
        <f>'Raw data'!K1754</f>
        <v>0</v>
      </c>
      <c r="K1845" s="31">
        <f>'Raw data'!H1754</f>
        <v>0</v>
      </c>
      <c r="L1845" s="26">
        <f t="shared" si="60"/>
        <v>0</v>
      </c>
    </row>
    <row r="1846" spans="2:12">
      <c r="B1846" s="4" t="e">
        <f t="shared" si="59"/>
        <v>#N/A</v>
      </c>
      <c r="C1846" s="4">
        <f>'Raw data'!E1755</f>
        <v>0</v>
      </c>
      <c r="D1846" s="29" t="e">
        <f>VLOOKUP(C1846,'점포코드 '!A:B,2,0)</f>
        <v>#N/A</v>
      </c>
      <c r="E1846" s="30">
        <f>'Raw data'!P1755</f>
        <v>0</v>
      </c>
      <c r="F1846" s="29" t="e">
        <f>VLOOKUP(E1846,'점포코드 '!A:B,2,0)</f>
        <v>#N/A</v>
      </c>
      <c r="G1846" s="46">
        <f>'Raw data'!F1755</f>
        <v>0</v>
      </c>
      <c r="H1846" s="4">
        <f>'Raw data'!G1755</f>
        <v>0</v>
      </c>
      <c r="I1846" s="29" t="e">
        <f>VLOOKUP(G1846,제품명!$C$1:$E$114,2,0)</f>
        <v>#N/A</v>
      </c>
      <c r="J1846" s="29">
        <f>'Raw data'!K1755</f>
        <v>0</v>
      </c>
      <c r="K1846" s="31">
        <f>'Raw data'!H1755</f>
        <v>0</v>
      </c>
      <c r="L1846" s="26">
        <f t="shared" si="60"/>
        <v>0</v>
      </c>
    </row>
    <row r="1847" spans="2:12">
      <c r="B1847" s="4" t="e">
        <f t="shared" si="59"/>
        <v>#N/A</v>
      </c>
      <c r="C1847" s="4">
        <f>'Raw data'!E1756</f>
        <v>0</v>
      </c>
      <c r="D1847" s="29" t="e">
        <f>VLOOKUP(C1847,'점포코드 '!A:B,2,0)</f>
        <v>#N/A</v>
      </c>
      <c r="E1847" s="30">
        <f>'Raw data'!P1756</f>
        <v>0</v>
      </c>
      <c r="F1847" s="29" t="e">
        <f>VLOOKUP(E1847,'점포코드 '!A:B,2,0)</f>
        <v>#N/A</v>
      </c>
      <c r="G1847" s="46">
        <f>'Raw data'!F1756</f>
        <v>0</v>
      </c>
      <c r="H1847" s="4">
        <f>'Raw data'!G1756</f>
        <v>0</v>
      </c>
      <c r="I1847" s="29" t="e">
        <f>VLOOKUP(G1847,제품명!$C$1:$E$114,2,0)</f>
        <v>#N/A</v>
      </c>
      <c r="J1847" s="29">
        <f>'Raw data'!K1756</f>
        <v>0</v>
      </c>
      <c r="K1847" s="31">
        <f>'Raw data'!H1756</f>
        <v>0</v>
      </c>
      <c r="L1847" s="26">
        <f t="shared" si="60"/>
        <v>0</v>
      </c>
    </row>
    <row r="1848" spans="2:12">
      <c r="B1848" s="4" t="e">
        <f t="shared" si="59"/>
        <v>#N/A</v>
      </c>
      <c r="C1848" s="4">
        <f>'Raw data'!E1757</f>
        <v>0</v>
      </c>
      <c r="D1848" s="29" t="e">
        <f>VLOOKUP(C1848,'점포코드 '!A:B,2,0)</f>
        <v>#N/A</v>
      </c>
      <c r="E1848" s="30">
        <f>'Raw data'!P1757</f>
        <v>0</v>
      </c>
      <c r="F1848" s="29" t="e">
        <f>VLOOKUP(E1848,'점포코드 '!A:B,2,0)</f>
        <v>#N/A</v>
      </c>
      <c r="G1848" s="46">
        <f>'Raw data'!F1757</f>
        <v>0</v>
      </c>
      <c r="H1848" s="4">
        <f>'Raw data'!G1757</f>
        <v>0</v>
      </c>
      <c r="I1848" s="29" t="e">
        <f>VLOOKUP(G1848,제품명!$C$1:$E$114,2,0)</f>
        <v>#N/A</v>
      </c>
      <c r="J1848" s="29">
        <f>'Raw data'!K1757</f>
        <v>0</v>
      </c>
      <c r="K1848" s="31">
        <f>'Raw data'!H1757</f>
        <v>0</v>
      </c>
      <c r="L1848" s="26">
        <f t="shared" si="60"/>
        <v>0</v>
      </c>
    </row>
    <row r="1849" spans="2:12">
      <c r="B1849" s="4" t="e">
        <f t="shared" si="59"/>
        <v>#N/A</v>
      </c>
      <c r="C1849" s="4">
        <f>'Raw data'!E1758</f>
        <v>0</v>
      </c>
      <c r="D1849" s="29" t="e">
        <f>VLOOKUP(C1849,'점포코드 '!A:B,2,0)</f>
        <v>#N/A</v>
      </c>
      <c r="E1849" s="30">
        <f>'Raw data'!P1758</f>
        <v>0</v>
      </c>
      <c r="F1849" s="29" t="e">
        <f>VLOOKUP(E1849,'점포코드 '!A:B,2,0)</f>
        <v>#N/A</v>
      </c>
      <c r="G1849" s="46">
        <f>'Raw data'!F1758</f>
        <v>0</v>
      </c>
      <c r="H1849" s="4">
        <f>'Raw data'!G1758</f>
        <v>0</v>
      </c>
      <c r="I1849" s="29" t="e">
        <f>VLOOKUP(G1849,제품명!$C$1:$E$114,2,0)</f>
        <v>#N/A</v>
      </c>
      <c r="J1849" s="29">
        <f>'Raw data'!K1758</f>
        <v>0</v>
      </c>
      <c r="K1849" s="31">
        <f>'Raw data'!H1758</f>
        <v>0</v>
      </c>
      <c r="L1849" s="26">
        <f t="shared" si="60"/>
        <v>0</v>
      </c>
    </row>
    <row r="1850" spans="2:12">
      <c r="B1850" s="4" t="e">
        <f t="shared" si="59"/>
        <v>#N/A</v>
      </c>
      <c r="C1850" s="4">
        <f>'Raw data'!E1759</f>
        <v>0</v>
      </c>
      <c r="D1850" s="29" t="e">
        <f>VLOOKUP(C1850,'점포코드 '!A:B,2,0)</f>
        <v>#N/A</v>
      </c>
      <c r="E1850" s="30">
        <f>'Raw data'!P1759</f>
        <v>0</v>
      </c>
      <c r="F1850" s="29" t="e">
        <f>VLOOKUP(E1850,'점포코드 '!A:B,2,0)</f>
        <v>#N/A</v>
      </c>
      <c r="G1850" s="46">
        <f>'Raw data'!F1759</f>
        <v>0</v>
      </c>
      <c r="H1850" s="4">
        <f>'Raw data'!G1759</f>
        <v>0</v>
      </c>
      <c r="I1850" s="29" t="e">
        <f>VLOOKUP(G1850,제품명!$C$1:$E$114,2,0)</f>
        <v>#N/A</v>
      </c>
      <c r="J1850" s="29">
        <f>'Raw data'!K1759</f>
        <v>0</v>
      </c>
      <c r="K1850" s="31">
        <f>'Raw data'!H1759</f>
        <v>0</v>
      </c>
      <c r="L1850" s="26">
        <f t="shared" si="60"/>
        <v>0</v>
      </c>
    </row>
    <row r="1851" spans="2:12">
      <c r="B1851" s="4" t="e">
        <f t="shared" si="59"/>
        <v>#N/A</v>
      </c>
      <c r="C1851" s="4">
        <f>'Raw data'!E1760</f>
        <v>0</v>
      </c>
      <c r="D1851" s="29" t="e">
        <f>VLOOKUP(C1851,'점포코드 '!A:B,2,0)</f>
        <v>#N/A</v>
      </c>
      <c r="E1851" s="30">
        <f>'Raw data'!P1760</f>
        <v>0</v>
      </c>
      <c r="F1851" s="29" t="e">
        <f>VLOOKUP(E1851,'점포코드 '!A:B,2,0)</f>
        <v>#N/A</v>
      </c>
      <c r="G1851" s="46">
        <f>'Raw data'!F1760</f>
        <v>0</v>
      </c>
      <c r="H1851" s="4">
        <f>'Raw data'!G1760</f>
        <v>0</v>
      </c>
      <c r="I1851" s="29" t="e">
        <f>VLOOKUP(G1851,제품명!$C$1:$E$114,2,0)</f>
        <v>#N/A</v>
      </c>
      <c r="J1851" s="29">
        <f>'Raw data'!K1760</f>
        <v>0</v>
      </c>
      <c r="K1851" s="31">
        <f>'Raw data'!H1760</f>
        <v>0</v>
      </c>
      <c r="L1851" s="26">
        <f t="shared" si="60"/>
        <v>0</v>
      </c>
    </row>
    <row r="1852" spans="2:12">
      <c r="B1852" s="4" t="e">
        <f t="shared" si="59"/>
        <v>#N/A</v>
      </c>
      <c r="C1852" s="4">
        <f>'Raw data'!E1761</f>
        <v>0</v>
      </c>
      <c r="D1852" s="29" t="e">
        <f>VLOOKUP(C1852,'점포코드 '!A:B,2,0)</f>
        <v>#N/A</v>
      </c>
      <c r="E1852" s="30">
        <f>'Raw data'!P1761</f>
        <v>0</v>
      </c>
      <c r="F1852" s="29" t="e">
        <f>VLOOKUP(E1852,'점포코드 '!A:B,2,0)</f>
        <v>#N/A</v>
      </c>
      <c r="G1852" s="46">
        <f>'Raw data'!F1761</f>
        <v>0</v>
      </c>
      <c r="H1852" s="4">
        <f>'Raw data'!G1761</f>
        <v>0</v>
      </c>
      <c r="I1852" s="29" t="e">
        <f>VLOOKUP(G1852,제품명!$C$1:$E$114,2,0)</f>
        <v>#N/A</v>
      </c>
      <c r="J1852" s="29">
        <f>'Raw data'!K1761</f>
        <v>0</v>
      </c>
      <c r="K1852" s="31">
        <f>'Raw data'!H1761</f>
        <v>0</v>
      </c>
      <c r="L1852" s="26">
        <f t="shared" si="60"/>
        <v>0</v>
      </c>
    </row>
    <row r="1853" spans="2:12">
      <c r="B1853" s="4" t="e">
        <f t="shared" si="59"/>
        <v>#N/A</v>
      </c>
      <c r="C1853" s="4">
        <f>'Raw data'!E1762</f>
        <v>0</v>
      </c>
      <c r="D1853" s="29" t="e">
        <f>VLOOKUP(C1853,'점포코드 '!A:B,2,0)</f>
        <v>#N/A</v>
      </c>
      <c r="E1853" s="30">
        <f>'Raw data'!P1762</f>
        <v>0</v>
      </c>
      <c r="F1853" s="29" t="e">
        <f>VLOOKUP(E1853,'점포코드 '!A:B,2,0)</f>
        <v>#N/A</v>
      </c>
      <c r="G1853" s="46">
        <f>'Raw data'!F1762</f>
        <v>0</v>
      </c>
      <c r="H1853" s="4">
        <f>'Raw data'!G1762</f>
        <v>0</v>
      </c>
      <c r="I1853" s="29" t="e">
        <f>VLOOKUP(G1853,제품명!$C$1:$E$114,2,0)</f>
        <v>#N/A</v>
      </c>
      <c r="J1853" s="29">
        <f>'Raw data'!K1762</f>
        <v>0</v>
      </c>
      <c r="K1853" s="31">
        <f>'Raw data'!H1762</f>
        <v>0</v>
      </c>
      <c r="L1853" s="26">
        <f t="shared" si="60"/>
        <v>0</v>
      </c>
    </row>
    <row r="1854" spans="2:12">
      <c r="B1854" s="4" t="e">
        <f t="shared" si="59"/>
        <v>#N/A</v>
      </c>
      <c r="C1854" s="4">
        <f>'Raw data'!E1763</f>
        <v>0</v>
      </c>
      <c r="D1854" s="29" t="e">
        <f>VLOOKUP(C1854,'점포코드 '!A:B,2,0)</f>
        <v>#N/A</v>
      </c>
      <c r="E1854" s="30">
        <f>'Raw data'!P1763</f>
        <v>0</v>
      </c>
      <c r="F1854" s="29" t="e">
        <f>VLOOKUP(E1854,'점포코드 '!A:B,2,0)</f>
        <v>#N/A</v>
      </c>
      <c r="G1854" s="46">
        <f>'Raw data'!F1763</f>
        <v>0</v>
      </c>
      <c r="H1854" s="4">
        <f>'Raw data'!G1763</f>
        <v>0</v>
      </c>
      <c r="I1854" s="29" t="e">
        <f>VLOOKUP(G1854,제품명!$C$1:$E$114,2,0)</f>
        <v>#N/A</v>
      </c>
      <c r="J1854" s="29">
        <f>'Raw data'!K1763</f>
        <v>0</v>
      </c>
      <c r="K1854" s="31">
        <f>'Raw data'!H1763</f>
        <v>0</v>
      </c>
      <c r="L1854" s="26">
        <f t="shared" si="60"/>
        <v>0</v>
      </c>
    </row>
    <row r="1855" spans="2:12">
      <c r="B1855" s="4" t="e">
        <f t="shared" si="59"/>
        <v>#N/A</v>
      </c>
      <c r="C1855" s="4">
        <f>'Raw data'!E1764</f>
        <v>0</v>
      </c>
      <c r="D1855" s="29" t="e">
        <f>VLOOKUP(C1855,'점포코드 '!A:B,2,0)</f>
        <v>#N/A</v>
      </c>
      <c r="E1855" s="30">
        <f>'Raw data'!P1764</f>
        <v>0</v>
      </c>
      <c r="F1855" s="29" t="e">
        <f>VLOOKUP(E1855,'점포코드 '!A:B,2,0)</f>
        <v>#N/A</v>
      </c>
      <c r="G1855" s="46">
        <f>'Raw data'!F1764</f>
        <v>0</v>
      </c>
      <c r="H1855" s="4">
        <f>'Raw data'!G1764</f>
        <v>0</v>
      </c>
      <c r="I1855" s="29" t="e">
        <f>VLOOKUP(G1855,제품명!$C$1:$E$114,2,0)</f>
        <v>#N/A</v>
      </c>
      <c r="J1855" s="29">
        <f>'Raw data'!K1764</f>
        <v>0</v>
      </c>
      <c r="K1855" s="31">
        <f>'Raw data'!H1764</f>
        <v>0</v>
      </c>
      <c r="L1855" s="26">
        <f t="shared" si="60"/>
        <v>0</v>
      </c>
    </row>
    <row r="1856" spans="2:12">
      <c r="B1856" s="4" t="e">
        <f t="shared" si="59"/>
        <v>#N/A</v>
      </c>
      <c r="C1856" s="4">
        <f>'Raw data'!E1765</f>
        <v>0</v>
      </c>
      <c r="D1856" s="29" t="e">
        <f>VLOOKUP(C1856,'점포코드 '!A:B,2,0)</f>
        <v>#N/A</v>
      </c>
      <c r="E1856" s="30">
        <f>'Raw data'!P1765</f>
        <v>0</v>
      </c>
      <c r="F1856" s="29" t="e">
        <f>VLOOKUP(E1856,'점포코드 '!A:B,2,0)</f>
        <v>#N/A</v>
      </c>
      <c r="G1856" s="46">
        <f>'Raw data'!F1765</f>
        <v>0</v>
      </c>
      <c r="H1856" s="4">
        <f>'Raw data'!G1765</f>
        <v>0</v>
      </c>
      <c r="I1856" s="29" t="e">
        <f>VLOOKUP(G1856,제품명!$C$1:$E$114,2,0)</f>
        <v>#N/A</v>
      </c>
      <c r="J1856" s="29">
        <f>'Raw data'!K1765</f>
        <v>0</v>
      </c>
      <c r="K1856" s="31">
        <f>'Raw data'!H1765</f>
        <v>0</v>
      </c>
      <c r="L1856" s="26">
        <f t="shared" si="60"/>
        <v>0</v>
      </c>
    </row>
    <row r="1857" spans="2:12">
      <c r="B1857" s="4" t="e">
        <f t="shared" si="59"/>
        <v>#N/A</v>
      </c>
      <c r="C1857" s="4">
        <f>'Raw data'!E1766</f>
        <v>0</v>
      </c>
      <c r="D1857" s="29" t="e">
        <f>VLOOKUP(C1857,'점포코드 '!A:B,2,0)</f>
        <v>#N/A</v>
      </c>
      <c r="E1857" s="30">
        <f>'Raw data'!P1766</f>
        <v>0</v>
      </c>
      <c r="F1857" s="29" t="e">
        <f>VLOOKUP(E1857,'점포코드 '!A:B,2,0)</f>
        <v>#N/A</v>
      </c>
      <c r="G1857" s="46">
        <f>'Raw data'!F1766</f>
        <v>0</v>
      </c>
      <c r="H1857" s="4">
        <f>'Raw data'!G1766</f>
        <v>0</v>
      </c>
      <c r="I1857" s="29" t="e">
        <f>VLOOKUP(G1857,제품명!$C$1:$E$114,2,0)</f>
        <v>#N/A</v>
      </c>
      <c r="J1857" s="29">
        <f>'Raw data'!K1766</f>
        <v>0</v>
      </c>
      <c r="K1857" s="31">
        <f>'Raw data'!H1766</f>
        <v>0</v>
      </c>
      <c r="L1857" s="26">
        <f t="shared" si="60"/>
        <v>0</v>
      </c>
    </row>
    <row r="1858" spans="2:12">
      <c r="B1858" s="4" t="e">
        <f t="shared" ref="B1858:B1921" si="61">F1858&amp;I1858</f>
        <v>#N/A</v>
      </c>
      <c r="C1858" s="4">
        <f>'Raw data'!E1767</f>
        <v>0</v>
      </c>
      <c r="D1858" s="29" t="e">
        <f>VLOOKUP(C1858,'점포코드 '!A:B,2,0)</f>
        <v>#N/A</v>
      </c>
      <c r="E1858" s="30">
        <f>'Raw data'!P1767</f>
        <v>0</v>
      </c>
      <c r="F1858" s="29" t="e">
        <f>VLOOKUP(E1858,'점포코드 '!A:B,2,0)</f>
        <v>#N/A</v>
      </c>
      <c r="G1858" s="46">
        <f>'Raw data'!F1767</f>
        <v>0</v>
      </c>
      <c r="H1858" s="4">
        <f>'Raw data'!G1767</f>
        <v>0</v>
      </c>
      <c r="I1858" s="29" t="e">
        <f>VLOOKUP(G1858,제품명!$C$1:$E$114,2,0)</f>
        <v>#N/A</v>
      </c>
      <c r="J1858" s="29">
        <f>'Raw data'!K1767</f>
        <v>0</v>
      </c>
      <c r="K1858" s="31">
        <f>'Raw data'!H1767</f>
        <v>0</v>
      </c>
      <c r="L1858" s="26">
        <f t="shared" si="60"/>
        <v>0</v>
      </c>
    </row>
    <row r="1859" spans="2:12">
      <c r="B1859" s="4" t="e">
        <f t="shared" si="61"/>
        <v>#N/A</v>
      </c>
      <c r="C1859" s="4">
        <f>'Raw data'!E1768</f>
        <v>0</v>
      </c>
      <c r="D1859" s="29" t="e">
        <f>VLOOKUP(C1859,'점포코드 '!A:B,2,0)</f>
        <v>#N/A</v>
      </c>
      <c r="E1859" s="30">
        <f>'Raw data'!P1768</f>
        <v>0</v>
      </c>
      <c r="F1859" s="29" t="e">
        <f>VLOOKUP(E1859,'점포코드 '!A:B,2,0)</f>
        <v>#N/A</v>
      </c>
      <c r="G1859" s="46">
        <f>'Raw data'!F1768</f>
        <v>0</v>
      </c>
      <c r="H1859" s="4">
        <f>'Raw data'!G1768</f>
        <v>0</v>
      </c>
      <c r="I1859" s="29" t="e">
        <f>VLOOKUP(G1859,제품명!$C$1:$E$114,2,0)</f>
        <v>#N/A</v>
      </c>
      <c r="J1859" s="29">
        <f>'Raw data'!K1768</f>
        <v>0</v>
      </c>
      <c r="K1859" s="31">
        <f>'Raw data'!H1768</f>
        <v>0</v>
      </c>
      <c r="L1859" s="26">
        <f t="shared" ref="L1859:L1922" si="62">J1859*K1859</f>
        <v>0</v>
      </c>
    </row>
    <row r="1860" spans="2:12">
      <c r="B1860" s="4" t="e">
        <f t="shared" si="61"/>
        <v>#N/A</v>
      </c>
      <c r="C1860" s="4">
        <f>'Raw data'!E1769</f>
        <v>0</v>
      </c>
      <c r="D1860" s="29" t="e">
        <f>VLOOKUP(C1860,'점포코드 '!A:B,2,0)</f>
        <v>#N/A</v>
      </c>
      <c r="E1860" s="30">
        <f>'Raw data'!P1769</f>
        <v>0</v>
      </c>
      <c r="F1860" s="29" t="e">
        <f>VLOOKUP(E1860,'점포코드 '!A:B,2,0)</f>
        <v>#N/A</v>
      </c>
      <c r="G1860" s="46">
        <f>'Raw data'!F1769</f>
        <v>0</v>
      </c>
      <c r="H1860" s="4">
        <f>'Raw data'!G1769</f>
        <v>0</v>
      </c>
      <c r="I1860" s="29" t="e">
        <f>VLOOKUP(G1860,제품명!$C$1:$E$114,2,0)</f>
        <v>#N/A</v>
      </c>
      <c r="J1860" s="29">
        <f>'Raw data'!K1769</f>
        <v>0</v>
      </c>
      <c r="K1860" s="31">
        <f>'Raw data'!H1769</f>
        <v>0</v>
      </c>
      <c r="L1860" s="26">
        <f t="shared" si="62"/>
        <v>0</v>
      </c>
    </row>
    <row r="1861" spans="2:12">
      <c r="B1861" s="4" t="e">
        <f t="shared" si="61"/>
        <v>#N/A</v>
      </c>
      <c r="C1861" s="4">
        <f>'Raw data'!E1770</f>
        <v>0</v>
      </c>
      <c r="D1861" s="29" t="e">
        <f>VLOOKUP(C1861,'점포코드 '!A:B,2,0)</f>
        <v>#N/A</v>
      </c>
      <c r="E1861" s="30">
        <f>'Raw data'!P1770</f>
        <v>0</v>
      </c>
      <c r="F1861" s="29" t="e">
        <f>VLOOKUP(E1861,'점포코드 '!A:B,2,0)</f>
        <v>#N/A</v>
      </c>
      <c r="G1861" s="46">
        <f>'Raw data'!F1770</f>
        <v>0</v>
      </c>
      <c r="H1861" s="4">
        <f>'Raw data'!G1770</f>
        <v>0</v>
      </c>
      <c r="I1861" s="29" t="e">
        <f>VLOOKUP(G1861,제품명!$C$1:$E$114,2,0)</f>
        <v>#N/A</v>
      </c>
      <c r="J1861" s="29">
        <f>'Raw data'!K1770</f>
        <v>0</v>
      </c>
      <c r="K1861" s="31">
        <f>'Raw data'!H1770</f>
        <v>0</v>
      </c>
      <c r="L1861" s="26">
        <f t="shared" si="62"/>
        <v>0</v>
      </c>
    </row>
    <row r="1862" spans="2:12">
      <c r="B1862" s="4" t="e">
        <f t="shared" si="61"/>
        <v>#N/A</v>
      </c>
      <c r="C1862" s="4">
        <f>'Raw data'!E1771</f>
        <v>0</v>
      </c>
      <c r="D1862" s="29" t="e">
        <f>VLOOKUP(C1862,'점포코드 '!A:B,2,0)</f>
        <v>#N/A</v>
      </c>
      <c r="E1862" s="30">
        <f>'Raw data'!P1771</f>
        <v>0</v>
      </c>
      <c r="F1862" s="29" t="e">
        <f>VLOOKUP(E1862,'점포코드 '!A:B,2,0)</f>
        <v>#N/A</v>
      </c>
      <c r="G1862" s="46">
        <f>'Raw data'!F1771</f>
        <v>0</v>
      </c>
      <c r="H1862" s="4">
        <f>'Raw data'!G1771</f>
        <v>0</v>
      </c>
      <c r="I1862" s="29" t="e">
        <f>VLOOKUP(G1862,제품명!$C$1:$E$114,2,0)</f>
        <v>#N/A</v>
      </c>
      <c r="J1862" s="29">
        <f>'Raw data'!K1771</f>
        <v>0</v>
      </c>
      <c r="K1862" s="31">
        <f>'Raw data'!H1771</f>
        <v>0</v>
      </c>
      <c r="L1862" s="26">
        <f t="shared" si="62"/>
        <v>0</v>
      </c>
    </row>
    <row r="1863" spans="2:12">
      <c r="B1863" s="4" t="e">
        <f t="shared" si="61"/>
        <v>#N/A</v>
      </c>
      <c r="C1863" s="4">
        <f>'Raw data'!E1772</f>
        <v>0</v>
      </c>
      <c r="D1863" s="29" t="e">
        <f>VLOOKUP(C1863,'점포코드 '!A:B,2,0)</f>
        <v>#N/A</v>
      </c>
      <c r="E1863" s="30">
        <f>'Raw data'!P1772</f>
        <v>0</v>
      </c>
      <c r="F1863" s="29" t="e">
        <f>VLOOKUP(E1863,'점포코드 '!A:B,2,0)</f>
        <v>#N/A</v>
      </c>
      <c r="G1863" s="46">
        <f>'Raw data'!F1772</f>
        <v>0</v>
      </c>
      <c r="H1863" s="4">
        <f>'Raw data'!G1772</f>
        <v>0</v>
      </c>
      <c r="I1863" s="29" t="e">
        <f>VLOOKUP(G1863,제품명!$C$1:$E$114,2,0)</f>
        <v>#N/A</v>
      </c>
      <c r="J1863" s="29">
        <f>'Raw data'!K1772</f>
        <v>0</v>
      </c>
      <c r="K1863" s="31">
        <f>'Raw data'!H1772</f>
        <v>0</v>
      </c>
      <c r="L1863" s="26">
        <f t="shared" si="62"/>
        <v>0</v>
      </c>
    </row>
    <row r="1864" spans="2:12">
      <c r="B1864" s="4" t="e">
        <f t="shared" si="61"/>
        <v>#N/A</v>
      </c>
      <c r="C1864" s="4">
        <f>'Raw data'!E1773</f>
        <v>0</v>
      </c>
      <c r="D1864" s="29" t="e">
        <f>VLOOKUP(C1864,'점포코드 '!A:B,2,0)</f>
        <v>#N/A</v>
      </c>
      <c r="E1864" s="30">
        <f>'Raw data'!P1773</f>
        <v>0</v>
      </c>
      <c r="F1864" s="29" t="e">
        <f>VLOOKUP(E1864,'점포코드 '!A:B,2,0)</f>
        <v>#N/A</v>
      </c>
      <c r="G1864" s="46">
        <f>'Raw data'!F1773</f>
        <v>0</v>
      </c>
      <c r="H1864" s="4">
        <f>'Raw data'!G1773</f>
        <v>0</v>
      </c>
      <c r="I1864" s="29" t="e">
        <f>VLOOKUP(G1864,제품명!$C$1:$E$114,2,0)</f>
        <v>#N/A</v>
      </c>
      <c r="J1864" s="29">
        <f>'Raw data'!K1773</f>
        <v>0</v>
      </c>
      <c r="K1864" s="31">
        <f>'Raw data'!H1773</f>
        <v>0</v>
      </c>
      <c r="L1864" s="26">
        <f t="shared" si="62"/>
        <v>0</v>
      </c>
    </row>
    <row r="1865" spans="2:12">
      <c r="B1865" s="4" t="e">
        <f t="shared" si="61"/>
        <v>#N/A</v>
      </c>
      <c r="C1865" s="4">
        <f>'Raw data'!E1774</f>
        <v>0</v>
      </c>
      <c r="D1865" s="29" t="e">
        <f>VLOOKUP(C1865,'점포코드 '!A:B,2,0)</f>
        <v>#N/A</v>
      </c>
      <c r="E1865" s="30">
        <f>'Raw data'!P1774</f>
        <v>0</v>
      </c>
      <c r="F1865" s="29" t="e">
        <f>VLOOKUP(E1865,'점포코드 '!A:B,2,0)</f>
        <v>#N/A</v>
      </c>
      <c r="G1865" s="46">
        <f>'Raw data'!F1774</f>
        <v>0</v>
      </c>
      <c r="H1865" s="4">
        <f>'Raw data'!G1774</f>
        <v>0</v>
      </c>
      <c r="I1865" s="29" t="e">
        <f>VLOOKUP(G1865,제품명!$C$1:$E$114,2,0)</f>
        <v>#N/A</v>
      </c>
      <c r="J1865" s="29">
        <f>'Raw data'!K1774</f>
        <v>0</v>
      </c>
      <c r="K1865" s="31">
        <f>'Raw data'!H1774</f>
        <v>0</v>
      </c>
      <c r="L1865" s="26">
        <f t="shared" si="62"/>
        <v>0</v>
      </c>
    </row>
    <row r="1866" spans="2:12">
      <c r="B1866" s="4" t="e">
        <f t="shared" si="61"/>
        <v>#N/A</v>
      </c>
      <c r="C1866" s="4">
        <f>'Raw data'!E1775</f>
        <v>0</v>
      </c>
      <c r="D1866" s="29" t="e">
        <f>VLOOKUP(C1866,'점포코드 '!A:B,2,0)</f>
        <v>#N/A</v>
      </c>
      <c r="E1866" s="30">
        <f>'Raw data'!P1775</f>
        <v>0</v>
      </c>
      <c r="F1866" s="29" t="e">
        <f>VLOOKUP(E1866,'점포코드 '!A:B,2,0)</f>
        <v>#N/A</v>
      </c>
      <c r="G1866" s="46">
        <f>'Raw data'!F1775</f>
        <v>0</v>
      </c>
      <c r="H1866" s="4">
        <f>'Raw data'!G1775</f>
        <v>0</v>
      </c>
      <c r="I1866" s="29" t="e">
        <f>VLOOKUP(G1866,제품명!$C$1:$E$114,2,0)</f>
        <v>#N/A</v>
      </c>
      <c r="J1866" s="29">
        <f>'Raw data'!K1775</f>
        <v>0</v>
      </c>
      <c r="K1866" s="31">
        <f>'Raw data'!H1775</f>
        <v>0</v>
      </c>
      <c r="L1866" s="26">
        <f t="shared" si="62"/>
        <v>0</v>
      </c>
    </row>
    <row r="1867" spans="2:12">
      <c r="B1867" s="4" t="e">
        <f t="shared" si="61"/>
        <v>#N/A</v>
      </c>
      <c r="C1867" s="4">
        <f>'Raw data'!E1776</f>
        <v>0</v>
      </c>
      <c r="D1867" s="29" t="e">
        <f>VLOOKUP(C1867,'점포코드 '!A:B,2,0)</f>
        <v>#N/A</v>
      </c>
      <c r="E1867" s="30">
        <f>'Raw data'!P1776</f>
        <v>0</v>
      </c>
      <c r="F1867" s="29" t="e">
        <f>VLOOKUP(E1867,'점포코드 '!A:B,2,0)</f>
        <v>#N/A</v>
      </c>
      <c r="G1867" s="46">
        <f>'Raw data'!F1776</f>
        <v>0</v>
      </c>
      <c r="H1867" s="4">
        <f>'Raw data'!G1776</f>
        <v>0</v>
      </c>
      <c r="I1867" s="29" t="e">
        <f>VLOOKUP(G1867,제품명!$C$1:$E$114,2,0)</f>
        <v>#N/A</v>
      </c>
      <c r="J1867" s="29">
        <f>'Raw data'!K1776</f>
        <v>0</v>
      </c>
      <c r="K1867" s="31">
        <f>'Raw data'!H1776</f>
        <v>0</v>
      </c>
      <c r="L1867" s="26">
        <f t="shared" si="62"/>
        <v>0</v>
      </c>
    </row>
    <row r="1868" spans="2:12">
      <c r="B1868" s="4" t="e">
        <f t="shared" si="61"/>
        <v>#N/A</v>
      </c>
      <c r="C1868" s="4">
        <f>'Raw data'!E1777</f>
        <v>0</v>
      </c>
      <c r="D1868" s="29" t="e">
        <f>VLOOKUP(C1868,'점포코드 '!A:B,2,0)</f>
        <v>#N/A</v>
      </c>
      <c r="E1868" s="30">
        <f>'Raw data'!P1777</f>
        <v>0</v>
      </c>
      <c r="F1868" s="29" t="e">
        <f>VLOOKUP(E1868,'점포코드 '!A:B,2,0)</f>
        <v>#N/A</v>
      </c>
      <c r="G1868" s="46">
        <f>'Raw data'!F1777</f>
        <v>0</v>
      </c>
      <c r="H1868" s="4">
        <f>'Raw data'!G1777</f>
        <v>0</v>
      </c>
      <c r="I1868" s="29" t="e">
        <f>VLOOKUP(G1868,제품명!$C$1:$E$114,2,0)</f>
        <v>#N/A</v>
      </c>
      <c r="J1868" s="29">
        <f>'Raw data'!K1777</f>
        <v>0</v>
      </c>
      <c r="K1868" s="31">
        <f>'Raw data'!H1777</f>
        <v>0</v>
      </c>
      <c r="L1868" s="26">
        <f t="shared" si="62"/>
        <v>0</v>
      </c>
    </row>
    <row r="1869" spans="2:12">
      <c r="B1869" s="4" t="e">
        <f t="shared" si="61"/>
        <v>#N/A</v>
      </c>
      <c r="C1869" s="4">
        <f>'Raw data'!E1778</f>
        <v>0</v>
      </c>
      <c r="D1869" s="29" t="e">
        <f>VLOOKUP(C1869,'점포코드 '!A:B,2,0)</f>
        <v>#N/A</v>
      </c>
      <c r="E1869" s="30">
        <f>'Raw data'!P1778</f>
        <v>0</v>
      </c>
      <c r="F1869" s="29" t="e">
        <f>VLOOKUP(E1869,'점포코드 '!A:B,2,0)</f>
        <v>#N/A</v>
      </c>
      <c r="G1869" s="46">
        <f>'Raw data'!F1778</f>
        <v>0</v>
      </c>
      <c r="H1869" s="4">
        <f>'Raw data'!G1778</f>
        <v>0</v>
      </c>
      <c r="I1869" s="29" t="e">
        <f>VLOOKUP(G1869,제품명!$C$1:$E$114,2,0)</f>
        <v>#N/A</v>
      </c>
      <c r="J1869" s="29">
        <f>'Raw data'!K1778</f>
        <v>0</v>
      </c>
      <c r="K1869" s="31">
        <f>'Raw data'!H1778</f>
        <v>0</v>
      </c>
      <c r="L1869" s="26">
        <f t="shared" si="62"/>
        <v>0</v>
      </c>
    </row>
    <row r="1870" spans="2:12">
      <c r="B1870" s="4" t="e">
        <f t="shared" si="61"/>
        <v>#N/A</v>
      </c>
      <c r="C1870" s="4">
        <f>'Raw data'!E1779</f>
        <v>0</v>
      </c>
      <c r="D1870" s="29" t="e">
        <f>VLOOKUP(C1870,'점포코드 '!A:B,2,0)</f>
        <v>#N/A</v>
      </c>
      <c r="E1870" s="30">
        <f>'Raw data'!P1779</f>
        <v>0</v>
      </c>
      <c r="F1870" s="29" t="e">
        <f>VLOOKUP(E1870,'점포코드 '!A:B,2,0)</f>
        <v>#N/A</v>
      </c>
      <c r="G1870" s="46">
        <f>'Raw data'!F1779</f>
        <v>0</v>
      </c>
      <c r="H1870" s="4">
        <f>'Raw data'!G1779</f>
        <v>0</v>
      </c>
      <c r="I1870" s="29" t="e">
        <f>VLOOKUP(G1870,제품명!$C$1:$E$114,2,0)</f>
        <v>#N/A</v>
      </c>
      <c r="J1870" s="29">
        <f>'Raw data'!K1779</f>
        <v>0</v>
      </c>
      <c r="K1870" s="31">
        <f>'Raw data'!H1779</f>
        <v>0</v>
      </c>
      <c r="L1870" s="26">
        <f t="shared" si="62"/>
        <v>0</v>
      </c>
    </row>
    <row r="1871" spans="2:12">
      <c r="B1871" s="4" t="e">
        <f t="shared" si="61"/>
        <v>#N/A</v>
      </c>
      <c r="C1871" s="4">
        <f>'Raw data'!E1780</f>
        <v>0</v>
      </c>
      <c r="D1871" s="29" t="e">
        <f>VLOOKUP(C1871,'점포코드 '!A:B,2,0)</f>
        <v>#N/A</v>
      </c>
      <c r="E1871" s="30">
        <f>'Raw data'!P1780</f>
        <v>0</v>
      </c>
      <c r="F1871" s="29" t="e">
        <f>VLOOKUP(E1871,'점포코드 '!A:B,2,0)</f>
        <v>#N/A</v>
      </c>
      <c r="G1871" s="46">
        <f>'Raw data'!F1780</f>
        <v>0</v>
      </c>
      <c r="H1871" s="4">
        <f>'Raw data'!G1780</f>
        <v>0</v>
      </c>
      <c r="I1871" s="29" t="e">
        <f>VLOOKUP(G1871,제품명!$C$1:$E$114,2,0)</f>
        <v>#N/A</v>
      </c>
      <c r="J1871" s="29">
        <f>'Raw data'!K1780</f>
        <v>0</v>
      </c>
      <c r="K1871" s="31">
        <f>'Raw data'!H1780</f>
        <v>0</v>
      </c>
      <c r="L1871" s="26">
        <f t="shared" si="62"/>
        <v>0</v>
      </c>
    </row>
    <row r="1872" spans="2:12">
      <c r="B1872" s="4" t="e">
        <f t="shared" si="61"/>
        <v>#N/A</v>
      </c>
      <c r="C1872" s="4">
        <f>'Raw data'!E1781</f>
        <v>0</v>
      </c>
      <c r="D1872" s="29" t="e">
        <f>VLOOKUP(C1872,'점포코드 '!A:B,2,0)</f>
        <v>#N/A</v>
      </c>
      <c r="E1872" s="30">
        <f>'Raw data'!P1781</f>
        <v>0</v>
      </c>
      <c r="F1872" s="29" t="e">
        <f>VLOOKUP(E1872,'점포코드 '!A:B,2,0)</f>
        <v>#N/A</v>
      </c>
      <c r="G1872" s="46">
        <f>'Raw data'!F1781</f>
        <v>0</v>
      </c>
      <c r="H1872" s="4">
        <f>'Raw data'!G1781</f>
        <v>0</v>
      </c>
      <c r="I1872" s="29" t="e">
        <f>VLOOKUP(G1872,제품명!$C$1:$E$114,2,0)</f>
        <v>#N/A</v>
      </c>
      <c r="J1872" s="29">
        <f>'Raw data'!K1781</f>
        <v>0</v>
      </c>
      <c r="K1872" s="31">
        <f>'Raw data'!H1781</f>
        <v>0</v>
      </c>
      <c r="L1872" s="26">
        <f t="shared" si="62"/>
        <v>0</v>
      </c>
    </row>
    <row r="1873" spans="2:12">
      <c r="B1873" s="4" t="e">
        <f t="shared" si="61"/>
        <v>#N/A</v>
      </c>
      <c r="C1873" s="4">
        <f>'Raw data'!E1782</f>
        <v>0</v>
      </c>
      <c r="D1873" s="29" t="e">
        <f>VLOOKUP(C1873,'점포코드 '!A:B,2,0)</f>
        <v>#N/A</v>
      </c>
      <c r="E1873" s="30">
        <f>'Raw data'!P1782</f>
        <v>0</v>
      </c>
      <c r="F1873" s="29" t="e">
        <f>VLOOKUP(E1873,'점포코드 '!A:B,2,0)</f>
        <v>#N/A</v>
      </c>
      <c r="G1873" s="46">
        <f>'Raw data'!F1782</f>
        <v>0</v>
      </c>
      <c r="H1873" s="4">
        <f>'Raw data'!G1782</f>
        <v>0</v>
      </c>
      <c r="I1873" s="29" t="e">
        <f>VLOOKUP(G1873,제품명!$C$1:$E$114,2,0)</f>
        <v>#N/A</v>
      </c>
      <c r="J1873" s="29">
        <f>'Raw data'!K1782</f>
        <v>0</v>
      </c>
      <c r="K1873" s="31">
        <f>'Raw data'!H1782</f>
        <v>0</v>
      </c>
      <c r="L1873" s="26">
        <f t="shared" si="62"/>
        <v>0</v>
      </c>
    </row>
    <row r="1874" spans="2:12">
      <c r="B1874" s="4" t="e">
        <f t="shared" si="61"/>
        <v>#N/A</v>
      </c>
      <c r="C1874" s="4">
        <f>'Raw data'!E1783</f>
        <v>0</v>
      </c>
      <c r="D1874" s="29" t="e">
        <f>VLOOKUP(C1874,'점포코드 '!A:B,2,0)</f>
        <v>#N/A</v>
      </c>
      <c r="E1874" s="30">
        <f>'Raw data'!P1783</f>
        <v>0</v>
      </c>
      <c r="F1874" s="29" t="e">
        <f>VLOOKUP(E1874,'점포코드 '!A:B,2,0)</f>
        <v>#N/A</v>
      </c>
      <c r="G1874" s="46">
        <f>'Raw data'!F1783</f>
        <v>0</v>
      </c>
      <c r="H1874" s="4">
        <f>'Raw data'!G1783</f>
        <v>0</v>
      </c>
      <c r="I1874" s="29" t="e">
        <f>VLOOKUP(G1874,제품명!$C$1:$E$114,2,0)</f>
        <v>#N/A</v>
      </c>
      <c r="J1874" s="29">
        <f>'Raw data'!K1783</f>
        <v>0</v>
      </c>
      <c r="K1874" s="31">
        <f>'Raw data'!H1783</f>
        <v>0</v>
      </c>
      <c r="L1874" s="26">
        <f t="shared" si="62"/>
        <v>0</v>
      </c>
    </row>
    <row r="1875" spans="2:12">
      <c r="B1875" s="4" t="e">
        <f t="shared" si="61"/>
        <v>#N/A</v>
      </c>
      <c r="C1875" s="4">
        <f>'Raw data'!E1784</f>
        <v>0</v>
      </c>
      <c r="D1875" s="29" t="e">
        <f>VLOOKUP(C1875,'점포코드 '!A:B,2,0)</f>
        <v>#N/A</v>
      </c>
      <c r="E1875" s="30">
        <f>'Raw data'!P1784</f>
        <v>0</v>
      </c>
      <c r="F1875" s="29" t="e">
        <f>VLOOKUP(E1875,'점포코드 '!A:B,2,0)</f>
        <v>#N/A</v>
      </c>
      <c r="G1875" s="46">
        <f>'Raw data'!F1784</f>
        <v>0</v>
      </c>
      <c r="H1875" s="4">
        <f>'Raw data'!G1784</f>
        <v>0</v>
      </c>
      <c r="I1875" s="29" t="e">
        <f>VLOOKUP(G1875,제품명!$C$1:$E$114,2,0)</f>
        <v>#N/A</v>
      </c>
      <c r="J1875" s="29">
        <f>'Raw data'!K1784</f>
        <v>0</v>
      </c>
      <c r="K1875" s="31">
        <f>'Raw data'!H1784</f>
        <v>0</v>
      </c>
      <c r="L1875" s="26">
        <f t="shared" si="62"/>
        <v>0</v>
      </c>
    </row>
    <row r="1876" spans="2:12">
      <c r="B1876" s="4" t="e">
        <f t="shared" si="61"/>
        <v>#N/A</v>
      </c>
      <c r="C1876" s="4">
        <f>'Raw data'!E1785</f>
        <v>0</v>
      </c>
      <c r="D1876" s="29" t="e">
        <f>VLOOKUP(C1876,'점포코드 '!A:B,2,0)</f>
        <v>#N/A</v>
      </c>
      <c r="E1876" s="30">
        <f>'Raw data'!P1785</f>
        <v>0</v>
      </c>
      <c r="F1876" s="29" t="e">
        <f>VLOOKUP(E1876,'점포코드 '!A:B,2,0)</f>
        <v>#N/A</v>
      </c>
      <c r="G1876" s="46">
        <f>'Raw data'!F1785</f>
        <v>0</v>
      </c>
      <c r="H1876" s="4">
        <f>'Raw data'!G1785</f>
        <v>0</v>
      </c>
      <c r="I1876" s="29" t="e">
        <f>VLOOKUP(G1876,제품명!$C$1:$E$114,2,0)</f>
        <v>#N/A</v>
      </c>
      <c r="J1876" s="29">
        <f>'Raw data'!K1785</f>
        <v>0</v>
      </c>
      <c r="K1876" s="31">
        <f>'Raw data'!H1785</f>
        <v>0</v>
      </c>
      <c r="L1876" s="26">
        <f t="shared" si="62"/>
        <v>0</v>
      </c>
    </row>
    <row r="1877" spans="2:12">
      <c r="B1877" s="4" t="e">
        <f t="shared" si="61"/>
        <v>#N/A</v>
      </c>
      <c r="C1877" s="4">
        <f>'Raw data'!E1786</f>
        <v>0</v>
      </c>
      <c r="D1877" s="29" t="e">
        <f>VLOOKUP(C1877,'점포코드 '!A:B,2,0)</f>
        <v>#N/A</v>
      </c>
      <c r="E1877" s="30">
        <f>'Raw data'!P1786</f>
        <v>0</v>
      </c>
      <c r="F1877" s="29" t="e">
        <f>VLOOKUP(E1877,'점포코드 '!A:B,2,0)</f>
        <v>#N/A</v>
      </c>
      <c r="G1877" s="46">
        <f>'Raw data'!F1786</f>
        <v>0</v>
      </c>
      <c r="H1877" s="4">
        <f>'Raw data'!G1786</f>
        <v>0</v>
      </c>
      <c r="I1877" s="29" t="e">
        <f>VLOOKUP(G1877,제품명!$C$1:$E$114,2,0)</f>
        <v>#N/A</v>
      </c>
      <c r="J1877" s="29">
        <f>'Raw data'!K1786</f>
        <v>0</v>
      </c>
      <c r="K1877" s="31">
        <f>'Raw data'!H1786</f>
        <v>0</v>
      </c>
      <c r="L1877" s="26">
        <f t="shared" si="62"/>
        <v>0</v>
      </c>
    </row>
    <row r="1878" spans="2:12">
      <c r="B1878" s="4" t="e">
        <f t="shared" si="61"/>
        <v>#N/A</v>
      </c>
      <c r="C1878" s="4">
        <f>'Raw data'!E1787</f>
        <v>0</v>
      </c>
      <c r="D1878" s="29" t="e">
        <f>VLOOKUP(C1878,'점포코드 '!A:B,2,0)</f>
        <v>#N/A</v>
      </c>
      <c r="E1878" s="30">
        <f>'Raw data'!P1787</f>
        <v>0</v>
      </c>
      <c r="F1878" s="29" t="e">
        <f>VLOOKUP(E1878,'점포코드 '!A:B,2,0)</f>
        <v>#N/A</v>
      </c>
      <c r="G1878" s="46">
        <f>'Raw data'!F1787</f>
        <v>0</v>
      </c>
      <c r="H1878" s="4">
        <f>'Raw data'!G1787</f>
        <v>0</v>
      </c>
      <c r="I1878" s="29" t="e">
        <f>VLOOKUP(G1878,제품명!$C$1:$E$114,2,0)</f>
        <v>#N/A</v>
      </c>
      <c r="J1878" s="29">
        <f>'Raw data'!K1787</f>
        <v>0</v>
      </c>
      <c r="K1878" s="31">
        <f>'Raw data'!H1787</f>
        <v>0</v>
      </c>
      <c r="L1878" s="26">
        <f t="shared" si="62"/>
        <v>0</v>
      </c>
    </row>
    <row r="1879" spans="2:12">
      <c r="B1879" s="4" t="e">
        <f t="shared" si="61"/>
        <v>#N/A</v>
      </c>
      <c r="C1879" s="4">
        <f>'Raw data'!E1788</f>
        <v>0</v>
      </c>
      <c r="D1879" s="29" t="e">
        <f>VLOOKUP(C1879,'점포코드 '!A:B,2,0)</f>
        <v>#N/A</v>
      </c>
      <c r="E1879" s="30">
        <f>'Raw data'!P1788</f>
        <v>0</v>
      </c>
      <c r="F1879" s="29" t="e">
        <f>VLOOKUP(E1879,'점포코드 '!A:B,2,0)</f>
        <v>#N/A</v>
      </c>
      <c r="G1879" s="46">
        <f>'Raw data'!F1788</f>
        <v>0</v>
      </c>
      <c r="H1879" s="4">
        <f>'Raw data'!G1788</f>
        <v>0</v>
      </c>
      <c r="I1879" s="29" t="e">
        <f>VLOOKUP(G1879,제품명!$C$1:$E$114,2,0)</f>
        <v>#N/A</v>
      </c>
      <c r="J1879" s="29">
        <f>'Raw data'!K1788</f>
        <v>0</v>
      </c>
      <c r="K1879" s="31">
        <f>'Raw data'!H1788</f>
        <v>0</v>
      </c>
      <c r="L1879" s="26">
        <f t="shared" si="62"/>
        <v>0</v>
      </c>
    </row>
    <row r="1880" spans="2:12">
      <c r="B1880" s="4" t="e">
        <f t="shared" si="61"/>
        <v>#N/A</v>
      </c>
      <c r="C1880" s="4">
        <f>'Raw data'!E1789</f>
        <v>0</v>
      </c>
      <c r="D1880" s="29" t="e">
        <f>VLOOKUP(C1880,'점포코드 '!A:B,2,0)</f>
        <v>#N/A</v>
      </c>
      <c r="E1880" s="30">
        <f>'Raw data'!P1789</f>
        <v>0</v>
      </c>
      <c r="F1880" s="29" t="e">
        <f>VLOOKUP(E1880,'점포코드 '!A:B,2,0)</f>
        <v>#N/A</v>
      </c>
      <c r="G1880" s="46">
        <f>'Raw data'!F1789</f>
        <v>0</v>
      </c>
      <c r="H1880" s="4">
        <f>'Raw data'!G1789</f>
        <v>0</v>
      </c>
      <c r="I1880" s="29" t="e">
        <f>VLOOKUP(G1880,제품명!$C$1:$E$114,2,0)</f>
        <v>#N/A</v>
      </c>
      <c r="J1880" s="29">
        <f>'Raw data'!K1789</f>
        <v>0</v>
      </c>
      <c r="K1880" s="31">
        <f>'Raw data'!H1789</f>
        <v>0</v>
      </c>
      <c r="L1880" s="26">
        <f t="shared" si="62"/>
        <v>0</v>
      </c>
    </row>
    <row r="1881" spans="2:12">
      <c r="B1881" s="4" t="e">
        <f t="shared" si="61"/>
        <v>#N/A</v>
      </c>
      <c r="C1881" s="4">
        <f>'Raw data'!E1790</f>
        <v>0</v>
      </c>
      <c r="D1881" s="29" t="e">
        <f>VLOOKUP(C1881,'점포코드 '!A:B,2,0)</f>
        <v>#N/A</v>
      </c>
      <c r="E1881" s="30">
        <f>'Raw data'!P1790</f>
        <v>0</v>
      </c>
      <c r="F1881" s="29" t="e">
        <f>VLOOKUP(E1881,'점포코드 '!A:B,2,0)</f>
        <v>#N/A</v>
      </c>
      <c r="G1881" s="46">
        <f>'Raw data'!F1790</f>
        <v>0</v>
      </c>
      <c r="H1881" s="4">
        <f>'Raw data'!G1790</f>
        <v>0</v>
      </c>
      <c r="I1881" s="29" t="e">
        <f>VLOOKUP(G1881,제품명!$C$1:$E$114,2,0)</f>
        <v>#N/A</v>
      </c>
      <c r="J1881" s="29">
        <f>'Raw data'!K1790</f>
        <v>0</v>
      </c>
      <c r="K1881" s="31">
        <f>'Raw data'!H1790</f>
        <v>0</v>
      </c>
      <c r="L1881" s="26">
        <f t="shared" si="62"/>
        <v>0</v>
      </c>
    </row>
    <row r="1882" spans="2:12">
      <c r="B1882" s="4" t="e">
        <f t="shared" si="61"/>
        <v>#N/A</v>
      </c>
      <c r="C1882" s="4">
        <f>'Raw data'!E1791</f>
        <v>0</v>
      </c>
      <c r="D1882" s="29" t="e">
        <f>VLOOKUP(C1882,'점포코드 '!A:B,2,0)</f>
        <v>#N/A</v>
      </c>
      <c r="E1882" s="30">
        <f>'Raw data'!P1791</f>
        <v>0</v>
      </c>
      <c r="F1882" s="29" t="e">
        <f>VLOOKUP(E1882,'점포코드 '!A:B,2,0)</f>
        <v>#N/A</v>
      </c>
      <c r="G1882" s="46">
        <f>'Raw data'!F1791</f>
        <v>0</v>
      </c>
      <c r="H1882" s="4">
        <f>'Raw data'!G1791</f>
        <v>0</v>
      </c>
      <c r="I1882" s="29" t="e">
        <f>VLOOKUP(G1882,제품명!$C$1:$E$114,2,0)</f>
        <v>#N/A</v>
      </c>
      <c r="J1882" s="29">
        <f>'Raw data'!K1791</f>
        <v>0</v>
      </c>
      <c r="K1882" s="31">
        <f>'Raw data'!H1791</f>
        <v>0</v>
      </c>
      <c r="L1882" s="26">
        <f t="shared" si="62"/>
        <v>0</v>
      </c>
    </row>
    <row r="1883" spans="2:12">
      <c r="B1883" s="4" t="e">
        <f t="shared" si="61"/>
        <v>#N/A</v>
      </c>
      <c r="C1883" s="4">
        <f>'Raw data'!E1792</f>
        <v>0</v>
      </c>
      <c r="D1883" s="29" t="e">
        <f>VLOOKUP(C1883,'점포코드 '!A:B,2,0)</f>
        <v>#N/A</v>
      </c>
      <c r="E1883" s="30">
        <f>'Raw data'!P1792</f>
        <v>0</v>
      </c>
      <c r="F1883" s="29" t="e">
        <f>VLOOKUP(E1883,'점포코드 '!A:B,2,0)</f>
        <v>#N/A</v>
      </c>
      <c r="G1883" s="46">
        <f>'Raw data'!F1792</f>
        <v>0</v>
      </c>
      <c r="H1883" s="4">
        <f>'Raw data'!G1792</f>
        <v>0</v>
      </c>
      <c r="I1883" s="29" t="e">
        <f>VLOOKUP(G1883,제품명!$C$1:$E$114,2,0)</f>
        <v>#N/A</v>
      </c>
      <c r="J1883" s="29">
        <f>'Raw data'!K1792</f>
        <v>0</v>
      </c>
      <c r="K1883" s="31">
        <f>'Raw data'!H1792</f>
        <v>0</v>
      </c>
      <c r="L1883" s="26">
        <f t="shared" si="62"/>
        <v>0</v>
      </c>
    </row>
    <row r="1884" spans="2:12">
      <c r="B1884" s="4" t="e">
        <f t="shared" si="61"/>
        <v>#N/A</v>
      </c>
      <c r="C1884" s="4">
        <f>'Raw data'!E1793</f>
        <v>0</v>
      </c>
      <c r="D1884" s="29" t="e">
        <f>VLOOKUP(C1884,'점포코드 '!A:B,2,0)</f>
        <v>#N/A</v>
      </c>
      <c r="E1884" s="30">
        <f>'Raw data'!P1793</f>
        <v>0</v>
      </c>
      <c r="F1884" s="29" t="e">
        <f>VLOOKUP(E1884,'점포코드 '!A:B,2,0)</f>
        <v>#N/A</v>
      </c>
      <c r="G1884" s="46">
        <f>'Raw data'!F1793</f>
        <v>0</v>
      </c>
      <c r="H1884" s="4">
        <f>'Raw data'!G1793</f>
        <v>0</v>
      </c>
      <c r="I1884" s="29" t="e">
        <f>VLOOKUP(G1884,제품명!$C$1:$E$114,2,0)</f>
        <v>#N/A</v>
      </c>
      <c r="J1884" s="29">
        <f>'Raw data'!K1793</f>
        <v>0</v>
      </c>
      <c r="K1884" s="31">
        <f>'Raw data'!H1793</f>
        <v>0</v>
      </c>
      <c r="L1884" s="26">
        <f t="shared" si="62"/>
        <v>0</v>
      </c>
    </row>
    <row r="1885" spans="2:12">
      <c r="B1885" s="4" t="e">
        <f t="shared" si="61"/>
        <v>#N/A</v>
      </c>
      <c r="C1885" s="4">
        <f>'Raw data'!E1794</f>
        <v>0</v>
      </c>
      <c r="D1885" s="29" t="e">
        <f>VLOOKUP(C1885,'점포코드 '!A:B,2,0)</f>
        <v>#N/A</v>
      </c>
      <c r="E1885" s="30">
        <f>'Raw data'!P1794</f>
        <v>0</v>
      </c>
      <c r="F1885" s="29" t="e">
        <f>VLOOKUP(E1885,'점포코드 '!A:B,2,0)</f>
        <v>#N/A</v>
      </c>
      <c r="G1885" s="46">
        <f>'Raw data'!F1794</f>
        <v>0</v>
      </c>
      <c r="H1885" s="4">
        <f>'Raw data'!G1794</f>
        <v>0</v>
      </c>
      <c r="I1885" s="29" t="e">
        <f>VLOOKUP(G1885,제품명!$C$1:$E$114,2,0)</f>
        <v>#N/A</v>
      </c>
      <c r="J1885" s="29">
        <f>'Raw data'!K1794</f>
        <v>0</v>
      </c>
      <c r="K1885" s="31">
        <f>'Raw data'!H1794</f>
        <v>0</v>
      </c>
      <c r="L1885" s="26">
        <f t="shared" si="62"/>
        <v>0</v>
      </c>
    </row>
    <row r="1886" spans="2:12">
      <c r="B1886" s="4" t="e">
        <f t="shared" si="61"/>
        <v>#N/A</v>
      </c>
      <c r="C1886" s="4">
        <f>'Raw data'!E1795</f>
        <v>0</v>
      </c>
      <c r="D1886" s="29" t="e">
        <f>VLOOKUP(C1886,'점포코드 '!A:B,2,0)</f>
        <v>#N/A</v>
      </c>
      <c r="E1886" s="30">
        <f>'Raw data'!P1795</f>
        <v>0</v>
      </c>
      <c r="F1886" s="29" t="e">
        <f>VLOOKUP(E1886,'점포코드 '!A:B,2,0)</f>
        <v>#N/A</v>
      </c>
      <c r="G1886" s="46">
        <f>'Raw data'!F1795</f>
        <v>0</v>
      </c>
      <c r="H1886" s="4">
        <f>'Raw data'!G1795</f>
        <v>0</v>
      </c>
      <c r="I1886" s="29" t="e">
        <f>VLOOKUP(G1886,제품명!$C$1:$E$114,2,0)</f>
        <v>#N/A</v>
      </c>
      <c r="J1886" s="29">
        <f>'Raw data'!K1795</f>
        <v>0</v>
      </c>
      <c r="K1886" s="31">
        <f>'Raw data'!H1795</f>
        <v>0</v>
      </c>
      <c r="L1886" s="26">
        <f t="shared" si="62"/>
        <v>0</v>
      </c>
    </row>
    <row r="1887" spans="2:12">
      <c r="B1887" s="4" t="e">
        <f t="shared" si="61"/>
        <v>#N/A</v>
      </c>
      <c r="C1887" s="4">
        <f>'Raw data'!E1796</f>
        <v>0</v>
      </c>
      <c r="D1887" s="29" t="e">
        <f>VLOOKUP(C1887,'점포코드 '!A:B,2,0)</f>
        <v>#N/A</v>
      </c>
      <c r="E1887" s="30">
        <f>'Raw data'!P1796</f>
        <v>0</v>
      </c>
      <c r="F1887" s="29" t="e">
        <f>VLOOKUP(E1887,'점포코드 '!A:B,2,0)</f>
        <v>#N/A</v>
      </c>
      <c r="G1887" s="46">
        <f>'Raw data'!F1796</f>
        <v>0</v>
      </c>
      <c r="H1887" s="4">
        <f>'Raw data'!G1796</f>
        <v>0</v>
      </c>
      <c r="I1887" s="29" t="e">
        <f>VLOOKUP(G1887,제품명!$C$1:$E$114,2,0)</f>
        <v>#N/A</v>
      </c>
      <c r="J1887" s="29">
        <f>'Raw data'!K1796</f>
        <v>0</v>
      </c>
      <c r="K1887" s="31">
        <f>'Raw data'!H1796</f>
        <v>0</v>
      </c>
      <c r="L1887" s="26">
        <f t="shared" si="62"/>
        <v>0</v>
      </c>
    </row>
    <row r="1888" spans="2:12">
      <c r="B1888" s="4" t="e">
        <f t="shared" si="61"/>
        <v>#N/A</v>
      </c>
      <c r="C1888" s="4">
        <f>'Raw data'!E1797</f>
        <v>0</v>
      </c>
      <c r="D1888" s="29" t="e">
        <f>VLOOKUP(C1888,'점포코드 '!A:B,2,0)</f>
        <v>#N/A</v>
      </c>
      <c r="E1888" s="30">
        <f>'Raw data'!P1797</f>
        <v>0</v>
      </c>
      <c r="F1888" s="29" t="e">
        <f>VLOOKUP(E1888,'점포코드 '!A:B,2,0)</f>
        <v>#N/A</v>
      </c>
      <c r="G1888" s="46">
        <f>'Raw data'!F1797</f>
        <v>0</v>
      </c>
      <c r="H1888" s="4">
        <f>'Raw data'!G1797</f>
        <v>0</v>
      </c>
      <c r="I1888" s="29" t="e">
        <f>VLOOKUP(G1888,제품명!$C$1:$E$114,2,0)</f>
        <v>#N/A</v>
      </c>
      <c r="J1888" s="29">
        <f>'Raw data'!K1797</f>
        <v>0</v>
      </c>
      <c r="K1888" s="31">
        <f>'Raw data'!H1797</f>
        <v>0</v>
      </c>
      <c r="L1888" s="26">
        <f t="shared" si="62"/>
        <v>0</v>
      </c>
    </row>
    <row r="1889" spans="2:12">
      <c r="B1889" s="4" t="e">
        <f t="shared" si="61"/>
        <v>#N/A</v>
      </c>
      <c r="C1889" s="4">
        <f>'Raw data'!E1798</f>
        <v>0</v>
      </c>
      <c r="D1889" s="29" t="e">
        <f>VLOOKUP(C1889,'점포코드 '!A:B,2,0)</f>
        <v>#N/A</v>
      </c>
      <c r="E1889" s="30">
        <f>'Raw data'!P1798</f>
        <v>0</v>
      </c>
      <c r="F1889" s="29" t="e">
        <f>VLOOKUP(E1889,'점포코드 '!A:B,2,0)</f>
        <v>#N/A</v>
      </c>
      <c r="G1889" s="46">
        <f>'Raw data'!F1798</f>
        <v>0</v>
      </c>
      <c r="H1889" s="4">
        <f>'Raw data'!G1798</f>
        <v>0</v>
      </c>
      <c r="I1889" s="29" t="e">
        <f>VLOOKUP(G1889,제품명!$C$1:$E$114,2,0)</f>
        <v>#N/A</v>
      </c>
      <c r="J1889" s="29">
        <f>'Raw data'!K1798</f>
        <v>0</v>
      </c>
      <c r="K1889" s="31">
        <f>'Raw data'!H1798</f>
        <v>0</v>
      </c>
      <c r="L1889" s="26">
        <f t="shared" si="62"/>
        <v>0</v>
      </c>
    </row>
    <row r="1890" spans="2:12">
      <c r="B1890" s="4" t="e">
        <f t="shared" si="61"/>
        <v>#N/A</v>
      </c>
      <c r="C1890" s="4">
        <f>'Raw data'!E1799</f>
        <v>0</v>
      </c>
      <c r="D1890" s="29" t="e">
        <f>VLOOKUP(C1890,'점포코드 '!A:B,2,0)</f>
        <v>#N/A</v>
      </c>
      <c r="E1890" s="30">
        <f>'Raw data'!P1799</f>
        <v>0</v>
      </c>
      <c r="F1890" s="29" t="e">
        <f>VLOOKUP(E1890,'점포코드 '!A:B,2,0)</f>
        <v>#N/A</v>
      </c>
      <c r="G1890" s="46">
        <f>'Raw data'!F1799</f>
        <v>0</v>
      </c>
      <c r="H1890" s="4">
        <f>'Raw data'!G1799</f>
        <v>0</v>
      </c>
      <c r="I1890" s="29" t="e">
        <f>VLOOKUP(G1890,제품명!$C$1:$E$114,2,0)</f>
        <v>#N/A</v>
      </c>
      <c r="J1890" s="29">
        <f>'Raw data'!K1799</f>
        <v>0</v>
      </c>
      <c r="K1890" s="31">
        <f>'Raw data'!H1799</f>
        <v>0</v>
      </c>
      <c r="L1890" s="26">
        <f t="shared" si="62"/>
        <v>0</v>
      </c>
    </row>
    <row r="1891" spans="2:12">
      <c r="B1891" s="4" t="e">
        <f t="shared" si="61"/>
        <v>#N/A</v>
      </c>
      <c r="C1891" s="4">
        <f>'Raw data'!E1800</f>
        <v>0</v>
      </c>
      <c r="D1891" s="29" t="e">
        <f>VLOOKUP(C1891,'점포코드 '!A:B,2,0)</f>
        <v>#N/A</v>
      </c>
      <c r="E1891" s="30">
        <f>'Raw data'!P1800</f>
        <v>0</v>
      </c>
      <c r="F1891" s="29" t="e">
        <f>VLOOKUP(E1891,'점포코드 '!A:B,2,0)</f>
        <v>#N/A</v>
      </c>
      <c r="G1891" s="46">
        <f>'Raw data'!F1800</f>
        <v>0</v>
      </c>
      <c r="H1891" s="4">
        <f>'Raw data'!G1800</f>
        <v>0</v>
      </c>
      <c r="I1891" s="29" t="e">
        <f>VLOOKUP(G1891,제품명!$C$1:$E$114,2,0)</f>
        <v>#N/A</v>
      </c>
      <c r="J1891" s="29">
        <f>'Raw data'!K1800</f>
        <v>0</v>
      </c>
      <c r="K1891" s="31">
        <f>'Raw data'!H1800</f>
        <v>0</v>
      </c>
      <c r="L1891" s="26">
        <f t="shared" si="62"/>
        <v>0</v>
      </c>
    </row>
    <row r="1892" spans="2:12">
      <c r="B1892" s="4" t="e">
        <f t="shared" si="61"/>
        <v>#N/A</v>
      </c>
      <c r="C1892" s="4">
        <f>'Raw data'!E1801</f>
        <v>0</v>
      </c>
      <c r="D1892" s="29" t="e">
        <f>VLOOKUP(C1892,'점포코드 '!A:B,2,0)</f>
        <v>#N/A</v>
      </c>
      <c r="E1892" s="30">
        <f>'Raw data'!P1801</f>
        <v>0</v>
      </c>
      <c r="F1892" s="29" t="e">
        <f>VLOOKUP(E1892,'점포코드 '!A:B,2,0)</f>
        <v>#N/A</v>
      </c>
      <c r="G1892" s="46">
        <f>'Raw data'!F1801</f>
        <v>0</v>
      </c>
      <c r="H1892" s="4">
        <f>'Raw data'!G1801</f>
        <v>0</v>
      </c>
      <c r="I1892" s="29" t="e">
        <f>VLOOKUP(G1892,제품명!$C$1:$E$114,2,0)</f>
        <v>#N/A</v>
      </c>
      <c r="J1892" s="29">
        <f>'Raw data'!K1801</f>
        <v>0</v>
      </c>
      <c r="K1892" s="31">
        <f>'Raw data'!H1801</f>
        <v>0</v>
      </c>
      <c r="L1892" s="26">
        <f t="shared" si="62"/>
        <v>0</v>
      </c>
    </row>
    <row r="1893" spans="2:12">
      <c r="B1893" s="4" t="e">
        <f t="shared" si="61"/>
        <v>#N/A</v>
      </c>
      <c r="C1893" s="4">
        <f>'Raw data'!E1802</f>
        <v>0</v>
      </c>
      <c r="D1893" s="29" t="e">
        <f>VLOOKUP(C1893,'점포코드 '!A:B,2,0)</f>
        <v>#N/A</v>
      </c>
      <c r="E1893" s="30">
        <f>'Raw data'!P1802</f>
        <v>0</v>
      </c>
      <c r="F1893" s="29" t="e">
        <f>VLOOKUP(E1893,'점포코드 '!A:B,2,0)</f>
        <v>#N/A</v>
      </c>
      <c r="G1893" s="46">
        <f>'Raw data'!F1802</f>
        <v>0</v>
      </c>
      <c r="H1893" s="4">
        <f>'Raw data'!G1802</f>
        <v>0</v>
      </c>
      <c r="I1893" s="29" t="e">
        <f>VLOOKUP(G1893,제품명!$C$1:$E$114,2,0)</f>
        <v>#N/A</v>
      </c>
      <c r="J1893" s="29">
        <f>'Raw data'!K1802</f>
        <v>0</v>
      </c>
      <c r="K1893" s="31">
        <f>'Raw data'!H1802</f>
        <v>0</v>
      </c>
      <c r="L1893" s="26">
        <f t="shared" si="62"/>
        <v>0</v>
      </c>
    </row>
    <row r="1894" spans="2:12">
      <c r="B1894" s="4" t="e">
        <f t="shared" si="61"/>
        <v>#N/A</v>
      </c>
      <c r="C1894" s="4">
        <f>'Raw data'!E1803</f>
        <v>0</v>
      </c>
      <c r="D1894" s="29" t="e">
        <f>VLOOKUP(C1894,'점포코드 '!A:B,2,0)</f>
        <v>#N/A</v>
      </c>
      <c r="E1894" s="30">
        <f>'Raw data'!P1803</f>
        <v>0</v>
      </c>
      <c r="F1894" s="29" t="e">
        <f>VLOOKUP(E1894,'점포코드 '!A:B,2,0)</f>
        <v>#N/A</v>
      </c>
      <c r="G1894" s="46">
        <f>'Raw data'!F1803</f>
        <v>0</v>
      </c>
      <c r="H1894" s="4">
        <f>'Raw data'!G1803</f>
        <v>0</v>
      </c>
      <c r="I1894" s="29" t="e">
        <f>VLOOKUP(G1894,제품명!$C$1:$E$114,2,0)</f>
        <v>#N/A</v>
      </c>
      <c r="J1894" s="29">
        <f>'Raw data'!K1803</f>
        <v>0</v>
      </c>
      <c r="K1894" s="31">
        <f>'Raw data'!H1803</f>
        <v>0</v>
      </c>
      <c r="L1894" s="26">
        <f t="shared" si="62"/>
        <v>0</v>
      </c>
    </row>
    <row r="1895" spans="2:12">
      <c r="B1895" s="4" t="e">
        <f t="shared" si="61"/>
        <v>#N/A</v>
      </c>
      <c r="C1895" s="4">
        <f>'Raw data'!E1804</f>
        <v>0</v>
      </c>
      <c r="D1895" s="29" t="e">
        <f>VLOOKUP(C1895,'점포코드 '!A:B,2,0)</f>
        <v>#N/A</v>
      </c>
      <c r="E1895" s="30">
        <f>'Raw data'!P1804</f>
        <v>0</v>
      </c>
      <c r="F1895" s="29" t="e">
        <f>VLOOKUP(E1895,'점포코드 '!A:B,2,0)</f>
        <v>#N/A</v>
      </c>
      <c r="G1895" s="46">
        <f>'Raw data'!F1804</f>
        <v>0</v>
      </c>
      <c r="H1895" s="4">
        <f>'Raw data'!G1804</f>
        <v>0</v>
      </c>
      <c r="I1895" s="29" t="e">
        <f>VLOOKUP(G1895,제품명!$C$1:$E$114,2,0)</f>
        <v>#N/A</v>
      </c>
      <c r="J1895" s="29">
        <f>'Raw data'!K1804</f>
        <v>0</v>
      </c>
      <c r="K1895" s="31">
        <f>'Raw data'!H1804</f>
        <v>0</v>
      </c>
      <c r="L1895" s="26">
        <f t="shared" si="62"/>
        <v>0</v>
      </c>
    </row>
    <row r="1896" spans="2:12">
      <c r="B1896" s="4" t="e">
        <f t="shared" si="61"/>
        <v>#N/A</v>
      </c>
      <c r="C1896" s="4">
        <f>'Raw data'!E1805</f>
        <v>0</v>
      </c>
      <c r="D1896" s="29" t="e">
        <f>VLOOKUP(C1896,'점포코드 '!A:B,2,0)</f>
        <v>#N/A</v>
      </c>
      <c r="E1896" s="30">
        <f>'Raw data'!P1805</f>
        <v>0</v>
      </c>
      <c r="F1896" s="29" t="e">
        <f>VLOOKUP(E1896,'점포코드 '!A:B,2,0)</f>
        <v>#N/A</v>
      </c>
      <c r="G1896" s="46">
        <f>'Raw data'!F1805</f>
        <v>0</v>
      </c>
      <c r="H1896" s="4">
        <f>'Raw data'!G1805</f>
        <v>0</v>
      </c>
      <c r="I1896" s="29" t="e">
        <f>VLOOKUP(G1896,제품명!$C$1:$E$114,2,0)</f>
        <v>#N/A</v>
      </c>
      <c r="J1896" s="29">
        <f>'Raw data'!K1805</f>
        <v>0</v>
      </c>
      <c r="K1896" s="31">
        <f>'Raw data'!H1805</f>
        <v>0</v>
      </c>
      <c r="L1896" s="26">
        <f t="shared" si="62"/>
        <v>0</v>
      </c>
    </row>
    <row r="1897" spans="2:12">
      <c r="B1897" s="4" t="e">
        <f t="shared" si="61"/>
        <v>#N/A</v>
      </c>
      <c r="C1897" s="4">
        <f>'Raw data'!E1806</f>
        <v>0</v>
      </c>
      <c r="D1897" s="29" t="e">
        <f>VLOOKUP(C1897,'점포코드 '!A:B,2,0)</f>
        <v>#N/A</v>
      </c>
      <c r="E1897" s="30">
        <f>'Raw data'!P1806</f>
        <v>0</v>
      </c>
      <c r="F1897" s="29" t="e">
        <f>VLOOKUP(E1897,'점포코드 '!A:B,2,0)</f>
        <v>#N/A</v>
      </c>
      <c r="G1897" s="46">
        <f>'Raw data'!F1806</f>
        <v>0</v>
      </c>
      <c r="H1897" s="4">
        <f>'Raw data'!G1806</f>
        <v>0</v>
      </c>
      <c r="I1897" s="29" t="e">
        <f>VLOOKUP(G1897,제품명!$C$1:$E$114,2,0)</f>
        <v>#N/A</v>
      </c>
      <c r="J1897" s="29">
        <f>'Raw data'!K1806</f>
        <v>0</v>
      </c>
      <c r="K1897" s="31">
        <f>'Raw data'!H1806</f>
        <v>0</v>
      </c>
      <c r="L1897" s="26">
        <f t="shared" si="62"/>
        <v>0</v>
      </c>
    </row>
    <row r="1898" spans="2:12">
      <c r="B1898" s="4" t="e">
        <f t="shared" si="61"/>
        <v>#N/A</v>
      </c>
      <c r="C1898" s="4">
        <f>'Raw data'!E1807</f>
        <v>0</v>
      </c>
      <c r="D1898" s="29" t="e">
        <f>VLOOKUP(C1898,'점포코드 '!A:B,2,0)</f>
        <v>#N/A</v>
      </c>
      <c r="E1898" s="30">
        <f>'Raw data'!P1807</f>
        <v>0</v>
      </c>
      <c r="F1898" s="29" t="e">
        <f>VLOOKUP(E1898,'점포코드 '!A:B,2,0)</f>
        <v>#N/A</v>
      </c>
      <c r="G1898" s="46">
        <f>'Raw data'!F1807</f>
        <v>0</v>
      </c>
      <c r="H1898" s="4">
        <f>'Raw data'!G1807</f>
        <v>0</v>
      </c>
      <c r="I1898" s="29" t="e">
        <f>VLOOKUP(G1898,제품명!$C$1:$E$114,2,0)</f>
        <v>#N/A</v>
      </c>
      <c r="J1898" s="29">
        <f>'Raw data'!K1807</f>
        <v>0</v>
      </c>
      <c r="K1898" s="31">
        <f>'Raw data'!H1807</f>
        <v>0</v>
      </c>
      <c r="L1898" s="26">
        <f t="shared" si="62"/>
        <v>0</v>
      </c>
    </row>
    <row r="1899" spans="2:12">
      <c r="B1899" s="4" t="e">
        <f t="shared" si="61"/>
        <v>#N/A</v>
      </c>
      <c r="C1899" s="4">
        <f>'Raw data'!E1808</f>
        <v>0</v>
      </c>
      <c r="D1899" s="29" t="e">
        <f>VLOOKUP(C1899,'점포코드 '!A:B,2,0)</f>
        <v>#N/A</v>
      </c>
      <c r="E1899" s="30">
        <f>'Raw data'!P1808</f>
        <v>0</v>
      </c>
      <c r="F1899" s="29" t="e">
        <f>VLOOKUP(E1899,'점포코드 '!A:B,2,0)</f>
        <v>#N/A</v>
      </c>
      <c r="G1899" s="46">
        <f>'Raw data'!F1808</f>
        <v>0</v>
      </c>
      <c r="H1899" s="4">
        <f>'Raw data'!G1808</f>
        <v>0</v>
      </c>
      <c r="I1899" s="29" t="e">
        <f>VLOOKUP(G1899,제품명!$C$1:$E$114,2,0)</f>
        <v>#N/A</v>
      </c>
      <c r="J1899" s="29">
        <f>'Raw data'!K1808</f>
        <v>0</v>
      </c>
      <c r="K1899" s="31">
        <f>'Raw data'!H1808</f>
        <v>0</v>
      </c>
      <c r="L1899" s="26">
        <f t="shared" si="62"/>
        <v>0</v>
      </c>
    </row>
    <row r="1900" spans="2:12">
      <c r="B1900" s="4" t="e">
        <f t="shared" si="61"/>
        <v>#N/A</v>
      </c>
      <c r="C1900" s="4">
        <f>'Raw data'!E1809</f>
        <v>0</v>
      </c>
      <c r="D1900" s="29" t="e">
        <f>VLOOKUP(C1900,'점포코드 '!A:B,2,0)</f>
        <v>#N/A</v>
      </c>
      <c r="E1900" s="30">
        <f>'Raw data'!P1809</f>
        <v>0</v>
      </c>
      <c r="F1900" s="29" t="e">
        <f>VLOOKUP(E1900,'점포코드 '!A:B,2,0)</f>
        <v>#N/A</v>
      </c>
      <c r="G1900" s="46">
        <f>'Raw data'!F1809</f>
        <v>0</v>
      </c>
      <c r="H1900" s="4">
        <f>'Raw data'!G1809</f>
        <v>0</v>
      </c>
      <c r="I1900" s="29" t="e">
        <f>VLOOKUP(G1900,제품명!$C$1:$E$114,2,0)</f>
        <v>#N/A</v>
      </c>
      <c r="J1900" s="29">
        <f>'Raw data'!K1809</f>
        <v>0</v>
      </c>
      <c r="K1900" s="31">
        <f>'Raw data'!H1809</f>
        <v>0</v>
      </c>
      <c r="L1900" s="26">
        <f t="shared" si="62"/>
        <v>0</v>
      </c>
    </row>
    <row r="1901" spans="2:12">
      <c r="B1901" s="4" t="e">
        <f t="shared" si="61"/>
        <v>#N/A</v>
      </c>
      <c r="C1901" s="4">
        <f>'Raw data'!E1810</f>
        <v>0</v>
      </c>
      <c r="D1901" s="29" t="e">
        <f>VLOOKUP(C1901,'점포코드 '!A:B,2,0)</f>
        <v>#N/A</v>
      </c>
      <c r="E1901" s="30">
        <f>'Raw data'!P1810</f>
        <v>0</v>
      </c>
      <c r="F1901" s="29" t="e">
        <f>VLOOKUP(E1901,'점포코드 '!A:B,2,0)</f>
        <v>#N/A</v>
      </c>
      <c r="G1901" s="46">
        <f>'Raw data'!F1810</f>
        <v>0</v>
      </c>
      <c r="H1901" s="4">
        <f>'Raw data'!G1810</f>
        <v>0</v>
      </c>
      <c r="I1901" s="29" t="e">
        <f>VLOOKUP(G1901,제품명!$C$1:$E$114,2,0)</f>
        <v>#N/A</v>
      </c>
      <c r="J1901" s="29">
        <f>'Raw data'!K1810</f>
        <v>0</v>
      </c>
      <c r="K1901" s="31">
        <f>'Raw data'!H1810</f>
        <v>0</v>
      </c>
      <c r="L1901" s="26">
        <f t="shared" si="62"/>
        <v>0</v>
      </c>
    </row>
    <row r="1902" spans="2:12">
      <c r="B1902" s="4" t="e">
        <f t="shared" si="61"/>
        <v>#N/A</v>
      </c>
      <c r="C1902" s="4">
        <f>'Raw data'!E1811</f>
        <v>0</v>
      </c>
      <c r="D1902" s="29" t="e">
        <f>VLOOKUP(C1902,'점포코드 '!A:B,2,0)</f>
        <v>#N/A</v>
      </c>
      <c r="E1902" s="30">
        <f>'Raw data'!P1811</f>
        <v>0</v>
      </c>
      <c r="F1902" s="29" t="e">
        <f>VLOOKUP(E1902,'점포코드 '!A:B,2,0)</f>
        <v>#N/A</v>
      </c>
      <c r="G1902" s="46">
        <f>'Raw data'!F1811</f>
        <v>0</v>
      </c>
      <c r="H1902" s="4">
        <f>'Raw data'!G1811</f>
        <v>0</v>
      </c>
      <c r="I1902" s="29" t="e">
        <f>VLOOKUP(G1902,제품명!$C$1:$E$114,2,0)</f>
        <v>#N/A</v>
      </c>
      <c r="J1902" s="29">
        <f>'Raw data'!K1811</f>
        <v>0</v>
      </c>
      <c r="K1902" s="31">
        <f>'Raw data'!H1811</f>
        <v>0</v>
      </c>
      <c r="L1902" s="26">
        <f t="shared" si="62"/>
        <v>0</v>
      </c>
    </row>
    <row r="1903" spans="2:12">
      <c r="B1903" s="4" t="e">
        <f t="shared" si="61"/>
        <v>#N/A</v>
      </c>
      <c r="C1903" s="4">
        <f>'Raw data'!E1812</f>
        <v>0</v>
      </c>
      <c r="D1903" s="29" t="e">
        <f>VLOOKUP(C1903,'점포코드 '!A:B,2,0)</f>
        <v>#N/A</v>
      </c>
      <c r="E1903" s="30">
        <f>'Raw data'!P1812</f>
        <v>0</v>
      </c>
      <c r="F1903" s="29" t="e">
        <f>VLOOKUP(E1903,'점포코드 '!A:B,2,0)</f>
        <v>#N/A</v>
      </c>
      <c r="G1903" s="46">
        <f>'Raw data'!F1812</f>
        <v>0</v>
      </c>
      <c r="H1903" s="4">
        <f>'Raw data'!G1812</f>
        <v>0</v>
      </c>
      <c r="I1903" s="29" t="e">
        <f>VLOOKUP(G1903,제품명!$C$1:$E$114,2,0)</f>
        <v>#N/A</v>
      </c>
      <c r="J1903" s="29">
        <f>'Raw data'!K1812</f>
        <v>0</v>
      </c>
      <c r="K1903" s="31">
        <f>'Raw data'!H1812</f>
        <v>0</v>
      </c>
      <c r="L1903" s="26">
        <f t="shared" si="62"/>
        <v>0</v>
      </c>
    </row>
    <row r="1904" spans="2:12">
      <c r="B1904" s="4" t="e">
        <f t="shared" si="61"/>
        <v>#N/A</v>
      </c>
      <c r="C1904" s="4">
        <f>'Raw data'!E1813</f>
        <v>0</v>
      </c>
      <c r="D1904" s="29" t="e">
        <f>VLOOKUP(C1904,'점포코드 '!A:B,2,0)</f>
        <v>#N/A</v>
      </c>
      <c r="E1904" s="30">
        <f>'Raw data'!P1813</f>
        <v>0</v>
      </c>
      <c r="F1904" s="29" t="e">
        <f>VLOOKUP(E1904,'점포코드 '!A:B,2,0)</f>
        <v>#N/A</v>
      </c>
      <c r="G1904" s="46">
        <f>'Raw data'!F1813</f>
        <v>0</v>
      </c>
      <c r="H1904" s="4">
        <f>'Raw data'!G1813</f>
        <v>0</v>
      </c>
      <c r="I1904" s="29" t="e">
        <f>VLOOKUP(G1904,제품명!$C$1:$E$114,2,0)</f>
        <v>#N/A</v>
      </c>
      <c r="J1904" s="29">
        <f>'Raw data'!K1813</f>
        <v>0</v>
      </c>
      <c r="K1904" s="31">
        <f>'Raw data'!H1813</f>
        <v>0</v>
      </c>
      <c r="L1904" s="26">
        <f t="shared" si="62"/>
        <v>0</v>
      </c>
    </row>
    <row r="1905" spans="2:12">
      <c r="B1905" s="4" t="e">
        <f t="shared" si="61"/>
        <v>#N/A</v>
      </c>
      <c r="C1905" s="4">
        <f>'Raw data'!E1814</f>
        <v>0</v>
      </c>
      <c r="D1905" s="29" t="e">
        <f>VLOOKUP(C1905,'점포코드 '!A:B,2,0)</f>
        <v>#N/A</v>
      </c>
      <c r="E1905" s="30">
        <f>'Raw data'!P1814</f>
        <v>0</v>
      </c>
      <c r="F1905" s="29" t="e">
        <f>VLOOKUP(E1905,'점포코드 '!A:B,2,0)</f>
        <v>#N/A</v>
      </c>
      <c r="G1905" s="46">
        <f>'Raw data'!F1814</f>
        <v>0</v>
      </c>
      <c r="H1905" s="4">
        <f>'Raw data'!G1814</f>
        <v>0</v>
      </c>
      <c r="I1905" s="29" t="e">
        <f>VLOOKUP(G1905,제품명!$C$1:$E$114,2,0)</f>
        <v>#N/A</v>
      </c>
      <c r="J1905" s="29">
        <f>'Raw data'!K1814</f>
        <v>0</v>
      </c>
      <c r="K1905" s="31">
        <f>'Raw data'!H1814</f>
        <v>0</v>
      </c>
      <c r="L1905" s="26">
        <f t="shared" si="62"/>
        <v>0</v>
      </c>
    </row>
    <row r="1906" spans="2:12">
      <c r="B1906" s="4" t="e">
        <f t="shared" si="61"/>
        <v>#N/A</v>
      </c>
      <c r="C1906" s="4">
        <f>'Raw data'!E1815</f>
        <v>0</v>
      </c>
      <c r="D1906" s="29" t="e">
        <f>VLOOKUP(C1906,'점포코드 '!A:B,2,0)</f>
        <v>#N/A</v>
      </c>
      <c r="E1906" s="30">
        <f>'Raw data'!P1815</f>
        <v>0</v>
      </c>
      <c r="F1906" s="29" t="e">
        <f>VLOOKUP(E1906,'점포코드 '!A:B,2,0)</f>
        <v>#N/A</v>
      </c>
      <c r="G1906" s="46">
        <f>'Raw data'!F1815</f>
        <v>0</v>
      </c>
      <c r="H1906" s="4">
        <f>'Raw data'!G1815</f>
        <v>0</v>
      </c>
      <c r="I1906" s="29" t="e">
        <f>VLOOKUP(G1906,제품명!$C$1:$E$114,2,0)</f>
        <v>#N/A</v>
      </c>
      <c r="J1906" s="29">
        <f>'Raw data'!K1815</f>
        <v>0</v>
      </c>
      <c r="K1906" s="31">
        <f>'Raw data'!H1815</f>
        <v>0</v>
      </c>
      <c r="L1906" s="26">
        <f t="shared" si="62"/>
        <v>0</v>
      </c>
    </row>
    <row r="1907" spans="2:12">
      <c r="B1907" s="4" t="e">
        <f t="shared" si="61"/>
        <v>#N/A</v>
      </c>
      <c r="C1907" s="4">
        <f>'Raw data'!E1816</f>
        <v>0</v>
      </c>
      <c r="D1907" s="29" t="e">
        <f>VLOOKUP(C1907,'점포코드 '!A:B,2,0)</f>
        <v>#N/A</v>
      </c>
      <c r="E1907" s="30">
        <f>'Raw data'!P1816</f>
        <v>0</v>
      </c>
      <c r="F1907" s="29" t="e">
        <f>VLOOKUP(E1907,'점포코드 '!A:B,2,0)</f>
        <v>#N/A</v>
      </c>
      <c r="G1907" s="46">
        <f>'Raw data'!F1816</f>
        <v>0</v>
      </c>
      <c r="H1907" s="4">
        <f>'Raw data'!G1816</f>
        <v>0</v>
      </c>
      <c r="I1907" s="29" t="e">
        <f>VLOOKUP(G1907,제품명!$C$1:$E$114,2,0)</f>
        <v>#N/A</v>
      </c>
      <c r="J1907" s="29">
        <f>'Raw data'!K1816</f>
        <v>0</v>
      </c>
      <c r="K1907" s="31">
        <f>'Raw data'!H1816</f>
        <v>0</v>
      </c>
      <c r="L1907" s="26">
        <f t="shared" si="62"/>
        <v>0</v>
      </c>
    </row>
    <row r="1908" spans="2:12">
      <c r="B1908" s="4" t="e">
        <f t="shared" si="61"/>
        <v>#N/A</v>
      </c>
      <c r="C1908" s="4">
        <f>'Raw data'!E1817</f>
        <v>0</v>
      </c>
      <c r="D1908" s="29" t="e">
        <f>VLOOKUP(C1908,'점포코드 '!A:B,2,0)</f>
        <v>#N/A</v>
      </c>
      <c r="E1908" s="30">
        <f>'Raw data'!P1817</f>
        <v>0</v>
      </c>
      <c r="F1908" s="29" t="e">
        <f>VLOOKUP(E1908,'점포코드 '!A:B,2,0)</f>
        <v>#N/A</v>
      </c>
      <c r="G1908" s="46">
        <f>'Raw data'!F1817</f>
        <v>0</v>
      </c>
      <c r="H1908" s="4">
        <f>'Raw data'!G1817</f>
        <v>0</v>
      </c>
      <c r="I1908" s="29" t="e">
        <f>VLOOKUP(G1908,제품명!$C$1:$E$114,2,0)</f>
        <v>#N/A</v>
      </c>
      <c r="J1908" s="29">
        <f>'Raw data'!K1817</f>
        <v>0</v>
      </c>
      <c r="K1908" s="31">
        <f>'Raw data'!H1817</f>
        <v>0</v>
      </c>
      <c r="L1908" s="26">
        <f t="shared" si="62"/>
        <v>0</v>
      </c>
    </row>
    <row r="1909" spans="2:12">
      <c r="B1909" s="4" t="e">
        <f t="shared" si="61"/>
        <v>#N/A</v>
      </c>
      <c r="C1909" s="4">
        <f>'Raw data'!E1818</f>
        <v>0</v>
      </c>
      <c r="D1909" s="29" t="e">
        <f>VLOOKUP(C1909,'점포코드 '!A:B,2,0)</f>
        <v>#N/A</v>
      </c>
      <c r="E1909" s="30">
        <f>'Raw data'!P1818</f>
        <v>0</v>
      </c>
      <c r="F1909" s="29" t="e">
        <f>VLOOKUP(E1909,'점포코드 '!A:B,2,0)</f>
        <v>#N/A</v>
      </c>
      <c r="G1909" s="46">
        <f>'Raw data'!F1818</f>
        <v>0</v>
      </c>
      <c r="H1909" s="4">
        <f>'Raw data'!G1818</f>
        <v>0</v>
      </c>
      <c r="I1909" s="29" t="e">
        <f>VLOOKUP(G1909,제품명!$C$1:$E$114,2,0)</f>
        <v>#N/A</v>
      </c>
      <c r="J1909" s="29">
        <f>'Raw data'!K1818</f>
        <v>0</v>
      </c>
      <c r="K1909" s="31">
        <f>'Raw data'!H1818</f>
        <v>0</v>
      </c>
      <c r="L1909" s="26">
        <f t="shared" si="62"/>
        <v>0</v>
      </c>
    </row>
    <row r="1910" spans="2:12">
      <c r="B1910" s="4" t="e">
        <f t="shared" si="61"/>
        <v>#N/A</v>
      </c>
      <c r="C1910" s="4">
        <f>'Raw data'!E1819</f>
        <v>0</v>
      </c>
      <c r="D1910" s="29" t="e">
        <f>VLOOKUP(C1910,'점포코드 '!A:B,2,0)</f>
        <v>#N/A</v>
      </c>
      <c r="E1910" s="30">
        <f>'Raw data'!P1819</f>
        <v>0</v>
      </c>
      <c r="F1910" s="29" t="e">
        <f>VLOOKUP(E1910,'점포코드 '!A:B,2,0)</f>
        <v>#N/A</v>
      </c>
      <c r="G1910" s="46">
        <f>'Raw data'!F1819</f>
        <v>0</v>
      </c>
      <c r="H1910" s="4">
        <f>'Raw data'!G1819</f>
        <v>0</v>
      </c>
      <c r="I1910" s="29" t="e">
        <f>VLOOKUP(G1910,제품명!$C$1:$E$114,2,0)</f>
        <v>#N/A</v>
      </c>
      <c r="J1910" s="29">
        <f>'Raw data'!K1819</f>
        <v>0</v>
      </c>
      <c r="K1910" s="31">
        <f>'Raw data'!H1819</f>
        <v>0</v>
      </c>
      <c r="L1910" s="26">
        <f t="shared" si="62"/>
        <v>0</v>
      </c>
    </row>
    <row r="1911" spans="2:12">
      <c r="B1911" s="4" t="e">
        <f t="shared" si="61"/>
        <v>#N/A</v>
      </c>
      <c r="C1911" s="4">
        <f>'Raw data'!E1820</f>
        <v>0</v>
      </c>
      <c r="D1911" s="29" t="e">
        <f>VLOOKUP(C1911,'점포코드 '!A:B,2,0)</f>
        <v>#N/A</v>
      </c>
      <c r="E1911" s="30">
        <f>'Raw data'!P1820</f>
        <v>0</v>
      </c>
      <c r="F1911" s="29" t="e">
        <f>VLOOKUP(E1911,'점포코드 '!A:B,2,0)</f>
        <v>#N/A</v>
      </c>
      <c r="G1911" s="46">
        <f>'Raw data'!F1820</f>
        <v>0</v>
      </c>
      <c r="H1911" s="4">
        <f>'Raw data'!G1820</f>
        <v>0</v>
      </c>
      <c r="I1911" s="29" t="e">
        <f>VLOOKUP(G1911,제품명!$C$1:$E$114,2,0)</f>
        <v>#N/A</v>
      </c>
      <c r="J1911" s="29">
        <f>'Raw data'!K1820</f>
        <v>0</v>
      </c>
      <c r="K1911" s="31">
        <f>'Raw data'!H1820</f>
        <v>0</v>
      </c>
      <c r="L1911" s="26">
        <f t="shared" si="62"/>
        <v>0</v>
      </c>
    </row>
    <row r="1912" spans="2:12">
      <c r="B1912" s="4" t="e">
        <f t="shared" si="61"/>
        <v>#N/A</v>
      </c>
      <c r="C1912" s="4">
        <f>'Raw data'!E1821</f>
        <v>0</v>
      </c>
      <c r="D1912" s="29" t="e">
        <f>VLOOKUP(C1912,'점포코드 '!A:B,2,0)</f>
        <v>#N/A</v>
      </c>
      <c r="E1912" s="30">
        <f>'Raw data'!P1821</f>
        <v>0</v>
      </c>
      <c r="F1912" s="29" t="e">
        <f>VLOOKUP(E1912,'점포코드 '!A:B,2,0)</f>
        <v>#N/A</v>
      </c>
      <c r="G1912" s="46">
        <f>'Raw data'!F1821</f>
        <v>0</v>
      </c>
      <c r="H1912" s="4">
        <f>'Raw data'!G1821</f>
        <v>0</v>
      </c>
      <c r="I1912" s="29" t="e">
        <f>VLOOKUP(G1912,제품명!$C$1:$E$114,2,0)</f>
        <v>#N/A</v>
      </c>
      <c r="J1912" s="29">
        <f>'Raw data'!K1821</f>
        <v>0</v>
      </c>
      <c r="K1912" s="31">
        <f>'Raw data'!H1821</f>
        <v>0</v>
      </c>
      <c r="L1912" s="26">
        <f t="shared" si="62"/>
        <v>0</v>
      </c>
    </row>
    <row r="1913" spans="2:12">
      <c r="B1913" s="4" t="e">
        <f t="shared" si="61"/>
        <v>#N/A</v>
      </c>
      <c r="C1913" s="4">
        <f>'Raw data'!E1822</f>
        <v>0</v>
      </c>
      <c r="D1913" s="29" t="e">
        <f>VLOOKUP(C1913,'점포코드 '!A:B,2,0)</f>
        <v>#N/A</v>
      </c>
      <c r="E1913" s="30">
        <f>'Raw data'!P1822</f>
        <v>0</v>
      </c>
      <c r="F1913" s="29" t="e">
        <f>VLOOKUP(E1913,'점포코드 '!A:B,2,0)</f>
        <v>#N/A</v>
      </c>
      <c r="G1913" s="46">
        <f>'Raw data'!F1822</f>
        <v>0</v>
      </c>
      <c r="H1913" s="4">
        <f>'Raw data'!G1822</f>
        <v>0</v>
      </c>
      <c r="I1913" s="29" t="e">
        <f>VLOOKUP(G1913,제품명!$C$1:$E$114,2,0)</f>
        <v>#N/A</v>
      </c>
      <c r="J1913" s="29">
        <f>'Raw data'!K1822</f>
        <v>0</v>
      </c>
      <c r="K1913" s="31">
        <f>'Raw data'!H1822</f>
        <v>0</v>
      </c>
      <c r="L1913" s="26">
        <f t="shared" si="62"/>
        <v>0</v>
      </c>
    </row>
    <row r="1914" spans="2:12">
      <c r="B1914" s="4" t="e">
        <f t="shared" si="61"/>
        <v>#N/A</v>
      </c>
      <c r="C1914" s="4">
        <f>'Raw data'!E1823</f>
        <v>0</v>
      </c>
      <c r="D1914" s="29" t="e">
        <f>VLOOKUP(C1914,'점포코드 '!A:B,2,0)</f>
        <v>#N/A</v>
      </c>
      <c r="E1914" s="30">
        <f>'Raw data'!P1823</f>
        <v>0</v>
      </c>
      <c r="F1914" s="29" t="e">
        <f>VLOOKUP(E1914,'점포코드 '!A:B,2,0)</f>
        <v>#N/A</v>
      </c>
      <c r="G1914" s="46">
        <f>'Raw data'!F1823</f>
        <v>0</v>
      </c>
      <c r="H1914" s="4">
        <f>'Raw data'!G1823</f>
        <v>0</v>
      </c>
      <c r="I1914" s="29" t="e">
        <f>VLOOKUP(G1914,제품명!$C$1:$E$114,2,0)</f>
        <v>#N/A</v>
      </c>
      <c r="J1914" s="29">
        <f>'Raw data'!K1823</f>
        <v>0</v>
      </c>
      <c r="K1914" s="31">
        <f>'Raw data'!H1823</f>
        <v>0</v>
      </c>
      <c r="L1914" s="26">
        <f t="shared" si="62"/>
        <v>0</v>
      </c>
    </row>
    <row r="1915" spans="2:12">
      <c r="B1915" s="4" t="e">
        <f t="shared" si="61"/>
        <v>#N/A</v>
      </c>
      <c r="C1915" s="4">
        <f>'Raw data'!E1824</f>
        <v>0</v>
      </c>
      <c r="D1915" s="29" t="e">
        <f>VLOOKUP(C1915,'점포코드 '!A:B,2,0)</f>
        <v>#N/A</v>
      </c>
      <c r="E1915" s="30">
        <f>'Raw data'!P1824</f>
        <v>0</v>
      </c>
      <c r="F1915" s="29" t="e">
        <f>VLOOKUP(E1915,'점포코드 '!A:B,2,0)</f>
        <v>#N/A</v>
      </c>
      <c r="G1915" s="46">
        <f>'Raw data'!F1824</f>
        <v>0</v>
      </c>
      <c r="H1915" s="4">
        <f>'Raw data'!G1824</f>
        <v>0</v>
      </c>
      <c r="I1915" s="29" t="e">
        <f>VLOOKUP(G1915,제품명!$C$1:$E$114,2,0)</f>
        <v>#N/A</v>
      </c>
      <c r="J1915" s="29">
        <f>'Raw data'!K1824</f>
        <v>0</v>
      </c>
      <c r="K1915" s="31">
        <f>'Raw data'!H1824</f>
        <v>0</v>
      </c>
      <c r="L1915" s="26">
        <f t="shared" si="62"/>
        <v>0</v>
      </c>
    </row>
    <row r="1916" spans="2:12">
      <c r="B1916" s="4" t="e">
        <f t="shared" si="61"/>
        <v>#N/A</v>
      </c>
      <c r="C1916" s="4">
        <f>'Raw data'!E1825</f>
        <v>0</v>
      </c>
      <c r="D1916" s="29" t="e">
        <f>VLOOKUP(C1916,'점포코드 '!A:B,2,0)</f>
        <v>#N/A</v>
      </c>
      <c r="E1916" s="30">
        <f>'Raw data'!P1825</f>
        <v>0</v>
      </c>
      <c r="F1916" s="29" t="e">
        <f>VLOOKUP(E1916,'점포코드 '!A:B,2,0)</f>
        <v>#N/A</v>
      </c>
      <c r="G1916" s="46">
        <f>'Raw data'!F1825</f>
        <v>0</v>
      </c>
      <c r="H1916" s="4">
        <f>'Raw data'!G1825</f>
        <v>0</v>
      </c>
      <c r="I1916" s="29" t="e">
        <f>VLOOKUP(G1916,제품명!$C$1:$E$114,2,0)</f>
        <v>#N/A</v>
      </c>
      <c r="J1916" s="29">
        <f>'Raw data'!K1825</f>
        <v>0</v>
      </c>
      <c r="K1916" s="31">
        <f>'Raw data'!H1825</f>
        <v>0</v>
      </c>
      <c r="L1916" s="26">
        <f t="shared" si="62"/>
        <v>0</v>
      </c>
    </row>
    <row r="1917" spans="2:12">
      <c r="B1917" s="4" t="e">
        <f t="shared" si="61"/>
        <v>#N/A</v>
      </c>
      <c r="C1917" s="4">
        <f>'Raw data'!E1826</f>
        <v>0</v>
      </c>
      <c r="D1917" s="29" t="e">
        <f>VLOOKUP(C1917,'점포코드 '!A:B,2,0)</f>
        <v>#N/A</v>
      </c>
      <c r="E1917" s="30">
        <f>'Raw data'!P1826</f>
        <v>0</v>
      </c>
      <c r="F1917" s="29" t="e">
        <f>VLOOKUP(E1917,'점포코드 '!A:B,2,0)</f>
        <v>#N/A</v>
      </c>
      <c r="G1917" s="46">
        <f>'Raw data'!F1826</f>
        <v>0</v>
      </c>
      <c r="H1917" s="4">
        <f>'Raw data'!G1826</f>
        <v>0</v>
      </c>
      <c r="I1917" s="29" t="e">
        <f>VLOOKUP(G1917,제품명!$C$1:$E$114,2,0)</f>
        <v>#N/A</v>
      </c>
      <c r="J1917" s="29">
        <f>'Raw data'!K1826</f>
        <v>0</v>
      </c>
      <c r="K1917" s="31">
        <f>'Raw data'!H1826</f>
        <v>0</v>
      </c>
      <c r="L1917" s="26">
        <f t="shared" si="62"/>
        <v>0</v>
      </c>
    </row>
    <row r="1918" spans="2:12">
      <c r="B1918" s="4" t="e">
        <f t="shared" si="61"/>
        <v>#N/A</v>
      </c>
      <c r="C1918" s="4">
        <f>'Raw data'!E1827</f>
        <v>0</v>
      </c>
      <c r="D1918" s="29" t="e">
        <f>VLOOKUP(C1918,'점포코드 '!A:B,2,0)</f>
        <v>#N/A</v>
      </c>
      <c r="E1918" s="30">
        <f>'Raw data'!P1827</f>
        <v>0</v>
      </c>
      <c r="F1918" s="29" t="e">
        <f>VLOOKUP(E1918,'점포코드 '!A:B,2,0)</f>
        <v>#N/A</v>
      </c>
      <c r="G1918" s="46">
        <f>'Raw data'!F1827</f>
        <v>0</v>
      </c>
      <c r="H1918" s="4">
        <f>'Raw data'!G1827</f>
        <v>0</v>
      </c>
      <c r="I1918" s="29" t="e">
        <f>VLOOKUP(G1918,제품명!$C$1:$E$114,2,0)</f>
        <v>#N/A</v>
      </c>
      <c r="J1918" s="29">
        <f>'Raw data'!K1827</f>
        <v>0</v>
      </c>
      <c r="K1918" s="31">
        <f>'Raw data'!H1827</f>
        <v>0</v>
      </c>
      <c r="L1918" s="26">
        <f t="shared" si="62"/>
        <v>0</v>
      </c>
    </row>
    <row r="1919" spans="2:12">
      <c r="B1919" s="4" t="e">
        <f t="shared" si="61"/>
        <v>#N/A</v>
      </c>
      <c r="C1919" s="4">
        <f>'Raw data'!E1828</f>
        <v>0</v>
      </c>
      <c r="D1919" s="29" t="e">
        <f>VLOOKUP(C1919,'점포코드 '!A:B,2,0)</f>
        <v>#N/A</v>
      </c>
      <c r="E1919" s="30">
        <f>'Raw data'!P1828</f>
        <v>0</v>
      </c>
      <c r="F1919" s="29" t="e">
        <f>VLOOKUP(E1919,'점포코드 '!A:B,2,0)</f>
        <v>#N/A</v>
      </c>
      <c r="G1919" s="46">
        <f>'Raw data'!F1828</f>
        <v>0</v>
      </c>
      <c r="H1919" s="4">
        <f>'Raw data'!G1828</f>
        <v>0</v>
      </c>
      <c r="I1919" s="29" t="e">
        <f>VLOOKUP(G1919,제품명!$C$1:$E$114,2,0)</f>
        <v>#N/A</v>
      </c>
      <c r="J1919" s="29">
        <f>'Raw data'!K1828</f>
        <v>0</v>
      </c>
      <c r="K1919" s="31">
        <f>'Raw data'!H1828</f>
        <v>0</v>
      </c>
      <c r="L1919" s="26">
        <f t="shared" si="62"/>
        <v>0</v>
      </c>
    </row>
    <row r="1920" spans="2:12">
      <c r="B1920" s="4" t="e">
        <f t="shared" si="61"/>
        <v>#N/A</v>
      </c>
      <c r="C1920" s="4">
        <f>'Raw data'!E1829</f>
        <v>0</v>
      </c>
      <c r="D1920" s="29" t="e">
        <f>VLOOKUP(C1920,'점포코드 '!A:B,2,0)</f>
        <v>#N/A</v>
      </c>
      <c r="E1920" s="30">
        <f>'Raw data'!P1829</f>
        <v>0</v>
      </c>
      <c r="F1920" s="29" t="e">
        <f>VLOOKUP(E1920,'점포코드 '!A:B,2,0)</f>
        <v>#N/A</v>
      </c>
      <c r="G1920" s="46">
        <f>'Raw data'!F1829</f>
        <v>0</v>
      </c>
      <c r="H1920" s="4">
        <f>'Raw data'!G1829</f>
        <v>0</v>
      </c>
      <c r="I1920" s="29" t="e">
        <f>VLOOKUP(G1920,제품명!$C$1:$E$114,2,0)</f>
        <v>#N/A</v>
      </c>
      <c r="J1920" s="29">
        <f>'Raw data'!K1829</f>
        <v>0</v>
      </c>
      <c r="K1920" s="31">
        <f>'Raw data'!H1829</f>
        <v>0</v>
      </c>
      <c r="L1920" s="26">
        <f t="shared" si="62"/>
        <v>0</v>
      </c>
    </row>
    <row r="1921" spans="2:12">
      <c r="B1921" s="4" t="e">
        <f t="shared" si="61"/>
        <v>#N/A</v>
      </c>
      <c r="C1921" s="4">
        <f>'Raw data'!E1830</f>
        <v>0</v>
      </c>
      <c r="D1921" s="29" t="e">
        <f>VLOOKUP(C1921,'점포코드 '!A:B,2,0)</f>
        <v>#N/A</v>
      </c>
      <c r="E1921" s="30">
        <f>'Raw data'!P1830</f>
        <v>0</v>
      </c>
      <c r="F1921" s="29" t="e">
        <f>VLOOKUP(E1921,'점포코드 '!A:B,2,0)</f>
        <v>#N/A</v>
      </c>
      <c r="G1921" s="46">
        <f>'Raw data'!F1830</f>
        <v>0</v>
      </c>
      <c r="H1921" s="4">
        <f>'Raw data'!G1830</f>
        <v>0</v>
      </c>
      <c r="I1921" s="29" t="e">
        <f>VLOOKUP(G1921,제품명!$C$1:$E$114,2,0)</f>
        <v>#N/A</v>
      </c>
      <c r="J1921" s="29">
        <f>'Raw data'!K1830</f>
        <v>0</v>
      </c>
      <c r="K1921" s="31">
        <f>'Raw data'!H1830</f>
        <v>0</v>
      </c>
      <c r="L1921" s="26">
        <f t="shared" si="62"/>
        <v>0</v>
      </c>
    </row>
    <row r="1922" spans="2:12">
      <c r="B1922" s="4" t="e">
        <f t="shared" ref="B1922:B1985" si="63">F1922&amp;I1922</f>
        <v>#N/A</v>
      </c>
      <c r="C1922" s="4">
        <f>'Raw data'!E1831</f>
        <v>0</v>
      </c>
      <c r="D1922" s="29" t="e">
        <f>VLOOKUP(C1922,'점포코드 '!A:B,2,0)</f>
        <v>#N/A</v>
      </c>
      <c r="E1922" s="30">
        <f>'Raw data'!P1831</f>
        <v>0</v>
      </c>
      <c r="F1922" s="29" t="e">
        <f>VLOOKUP(E1922,'점포코드 '!A:B,2,0)</f>
        <v>#N/A</v>
      </c>
      <c r="G1922" s="46">
        <f>'Raw data'!F1831</f>
        <v>0</v>
      </c>
      <c r="H1922" s="4">
        <f>'Raw data'!G1831</f>
        <v>0</v>
      </c>
      <c r="I1922" s="29" t="e">
        <f>VLOOKUP(G1922,제품명!$C$1:$E$114,2,0)</f>
        <v>#N/A</v>
      </c>
      <c r="J1922" s="29">
        <f>'Raw data'!K1831</f>
        <v>0</v>
      </c>
      <c r="K1922" s="31">
        <f>'Raw data'!H1831</f>
        <v>0</v>
      </c>
      <c r="L1922" s="26">
        <f t="shared" si="62"/>
        <v>0</v>
      </c>
    </row>
    <row r="1923" spans="2:12">
      <c r="B1923" s="4" t="e">
        <f t="shared" si="63"/>
        <v>#N/A</v>
      </c>
      <c r="C1923" s="4">
        <f>'Raw data'!E1832</f>
        <v>0</v>
      </c>
      <c r="D1923" s="29" t="e">
        <f>VLOOKUP(C1923,'점포코드 '!A:B,2,0)</f>
        <v>#N/A</v>
      </c>
      <c r="E1923" s="30">
        <f>'Raw data'!P1832</f>
        <v>0</v>
      </c>
      <c r="F1923" s="29" t="e">
        <f>VLOOKUP(E1923,'점포코드 '!A:B,2,0)</f>
        <v>#N/A</v>
      </c>
      <c r="G1923" s="46">
        <f>'Raw data'!F1832</f>
        <v>0</v>
      </c>
      <c r="H1923" s="4">
        <f>'Raw data'!G1832</f>
        <v>0</v>
      </c>
      <c r="I1923" s="29" t="e">
        <f>VLOOKUP(G1923,제품명!$C$1:$E$114,2,0)</f>
        <v>#N/A</v>
      </c>
      <c r="J1923" s="29">
        <f>'Raw data'!K1832</f>
        <v>0</v>
      </c>
      <c r="K1923" s="31">
        <f>'Raw data'!H1832</f>
        <v>0</v>
      </c>
      <c r="L1923" s="26">
        <f t="shared" ref="L1923:L1986" si="64">J1923*K1923</f>
        <v>0</v>
      </c>
    </row>
    <row r="1924" spans="2:12">
      <c r="B1924" s="4" t="e">
        <f t="shared" si="63"/>
        <v>#N/A</v>
      </c>
      <c r="C1924" s="4">
        <f>'Raw data'!E1833</f>
        <v>0</v>
      </c>
      <c r="D1924" s="29" t="e">
        <f>VLOOKUP(C1924,'점포코드 '!A:B,2,0)</f>
        <v>#N/A</v>
      </c>
      <c r="E1924" s="30">
        <f>'Raw data'!P1833</f>
        <v>0</v>
      </c>
      <c r="F1924" s="29" t="e">
        <f>VLOOKUP(E1924,'점포코드 '!A:B,2,0)</f>
        <v>#N/A</v>
      </c>
      <c r="G1924" s="46">
        <f>'Raw data'!F1833</f>
        <v>0</v>
      </c>
      <c r="H1924" s="4">
        <f>'Raw data'!G1833</f>
        <v>0</v>
      </c>
      <c r="I1924" s="29" t="e">
        <f>VLOOKUP(G1924,제품명!$C$1:$E$114,2,0)</f>
        <v>#N/A</v>
      </c>
      <c r="J1924" s="29">
        <f>'Raw data'!K1833</f>
        <v>0</v>
      </c>
      <c r="K1924" s="31">
        <f>'Raw data'!H1833</f>
        <v>0</v>
      </c>
      <c r="L1924" s="26">
        <f t="shared" si="64"/>
        <v>0</v>
      </c>
    </row>
    <row r="1925" spans="2:12">
      <c r="B1925" s="4" t="e">
        <f t="shared" si="63"/>
        <v>#N/A</v>
      </c>
      <c r="C1925" s="4">
        <f>'Raw data'!E1834</f>
        <v>0</v>
      </c>
      <c r="D1925" s="29" t="e">
        <f>VLOOKUP(C1925,'점포코드 '!A:B,2,0)</f>
        <v>#N/A</v>
      </c>
      <c r="E1925" s="30">
        <f>'Raw data'!P1834</f>
        <v>0</v>
      </c>
      <c r="F1925" s="29" t="e">
        <f>VLOOKUP(E1925,'점포코드 '!A:B,2,0)</f>
        <v>#N/A</v>
      </c>
      <c r="G1925" s="46">
        <f>'Raw data'!F1834</f>
        <v>0</v>
      </c>
      <c r="H1925" s="4">
        <f>'Raw data'!G1834</f>
        <v>0</v>
      </c>
      <c r="I1925" s="29" t="e">
        <f>VLOOKUP(G1925,제품명!$C$1:$E$114,2,0)</f>
        <v>#N/A</v>
      </c>
      <c r="J1925" s="29">
        <f>'Raw data'!K1834</f>
        <v>0</v>
      </c>
      <c r="K1925" s="31">
        <f>'Raw data'!H1834</f>
        <v>0</v>
      </c>
      <c r="L1925" s="26">
        <f t="shared" si="64"/>
        <v>0</v>
      </c>
    </row>
    <row r="1926" spans="2:12">
      <c r="B1926" s="4" t="e">
        <f t="shared" si="63"/>
        <v>#N/A</v>
      </c>
      <c r="C1926" s="4">
        <f>'Raw data'!E1835</f>
        <v>0</v>
      </c>
      <c r="D1926" s="29" t="e">
        <f>VLOOKUP(C1926,'점포코드 '!A:B,2,0)</f>
        <v>#N/A</v>
      </c>
      <c r="E1926" s="30">
        <f>'Raw data'!P1835</f>
        <v>0</v>
      </c>
      <c r="F1926" s="29" t="e">
        <f>VLOOKUP(E1926,'점포코드 '!A:B,2,0)</f>
        <v>#N/A</v>
      </c>
      <c r="G1926" s="46">
        <f>'Raw data'!F1835</f>
        <v>0</v>
      </c>
      <c r="H1926" s="4">
        <f>'Raw data'!G1835</f>
        <v>0</v>
      </c>
      <c r="I1926" s="29" t="e">
        <f>VLOOKUP(G1926,제품명!$C$1:$E$114,2,0)</f>
        <v>#N/A</v>
      </c>
      <c r="J1926" s="29">
        <f>'Raw data'!K1835</f>
        <v>0</v>
      </c>
      <c r="K1926" s="31">
        <f>'Raw data'!H1835</f>
        <v>0</v>
      </c>
      <c r="L1926" s="26">
        <f t="shared" si="64"/>
        <v>0</v>
      </c>
    </row>
    <row r="1927" spans="2:12">
      <c r="B1927" s="4" t="e">
        <f t="shared" si="63"/>
        <v>#N/A</v>
      </c>
      <c r="C1927" s="4">
        <f>'Raw data'!E1836</f>
        <v>0</v>
      </c>
      <c r="D1927" s="29" t="e">
        <f>VLOOKUP(C1927,'점포코드 '!A:B,2,0)</f>
        <v>#N/A</v>
      </c>
      <c r="E1927" s="30">
        <f>'Raw data'!P1836</f>
        <v>0</v>
      </c>
      <c r="F1927" s="29" t="e">
        <f>VLOOKUP(E1927,'점포코드 '!A:B,2,0)</f>
        <v>#N/A</v>
      </c>
      <c r="G1927" s="46">
        <f>'Raw data'!F1836</f>
        <v>0</v>
      </c>
      <c r="H1927" s="4">
        <f>'Raw data'!G1836</f>
        <v>0</v>
      </c>
      <c r="I1927" s="29" t="e">
        <f>VLOOKUP(G1927,제품명!$C$1:$E$114,2,0)</f>
        <v>#N/A</v>
      </c>
      <c r="J1927" s="29">
        <f>'Raw data'!K1836</f>
        <v>0</v>
      </c>
      <c r="K1927" s="31">
        <f>'Raw data'!H1836</f>
        <v>0</v>
      </c>
      <c r="L1927" s="26">
        <f t="shared" si="64"/>
        <v>0</v>
      </c>
    </row>
    <row r="1928" spans="2:12">
      <c r="B1928" s="4" t="e">
        <f t="shared" si="63"/>
        <v>#N/A</v>
      </c>
      <c r="C1928" s="4">
        <f>'Raw data'!E1837</f>
        <v>0</v>
      </c>
      <c r="D1928" s="29" t="e">
        <f>VLOOKUP(C1928,'점포코드 '!A:B,2,0)</f>
        <v>#N/A</v>
      </c>
      <c r="E1928" s="30">
        <f>'Raw data'!P1837</f>
        <v>0</v>
      </c>
      <c r="F1928" s="29" t="e">
        <f>VLOOKUP(E1928,'점포코드 '!A:B,2,0)</f>
        <v>#N/A</v>
      </c>
      <c r="G1928" s="46">
        <f>'Raw data'!F1837</f>
        <v>0</v>
      </c>
      <c r="H1928" s="4">
        <f>'Raw data'!G1837</f>
        <v>0</v>
      </c>
      <c r="I1928" s="29" t="e">
        <f>VLOOKUP(G1928,제품명!$C$1:$E$114,2,0)</f>
        <v>#N/A</v>
      </c>
      <c r="J1928" s="29">
        <f>'Raw data'!K1837</f>
        <v>0</v>
      </c>
      <c r="K1928" s="31">
        <f>'Raw data'!H1837</f>
        <v>0</v>
      </c>
      <c r="L1928" s="26">
        <f t="shared" si="64"/>
        <v>0</v>
      </c>
    </row>
    <row r="1929" spans="2:12">
      <c r="B1929" s="4" t="e">
        <f t="shared" si="63"/>
        <v>#N/A</v>
      </c>
      <c r="C1929" s="4">
        <f>'Raw data'!E1838</f>
        <v>0</v>
      </c>
      <c r="D1929" s="29" t="e">
        <f>VLOOKUP(C1929,'점포코드 '!A:B,2,0)</f>
        <v>#N/A</v>
      </c>
      <c r="E1929" s="30">
        <f>'Raw data'!P1838</f>
        <v>0</v>
      </c>
      <c r="F1929" s="29" t="e">
        <f>VLOOKUP(E1929,'점포코드 '!A:B,2,0)</f>
        <v>#N/A</v>
      </c>
      <c r="G1929" s="46">
        <f>'Raw data'!F1838</f>
        <v>0</v>
      </c>
      <c r="H1929" s="4">
        <f>'Raw data'!G1838</f>
        <v>0</v>
      </c>
      <c r="I1929" s="29" t="e">
        <f>VLOOKUP(G1929,제품명!$C$1:$E$114,2,0)</f>
        <v>#N/A</v>
      </c>
      <c r="J1929" s="29">
        <f>'Raw data'!K1838</f>
        <v>0</v>
      </c>
      <c r="K1929" s="31">
        <f>'Raw data'!H1838</f>
        <v>0</v>
      </c>
      <c r="L1929" s="26">
        <f t="shared" si="64"/>
        <v>0</v>
      </c>
    </row>
    <row r="1930" spans="2:12">
      <c r="B1930" s="4" t="e">
        <f t="shared" si="63"/>
        <v>#N/A</v>
      </c>
      <c r="C1930" s="4">
        <f>'Raw data'!E1839</f>
        <v>0</v>
      </c>
      <c r="D1930" s="29" t="e">
        <f>VLOOKUP(C1930,'점포코드 '!A:B,2,0)</f>
        <v>#N/A</v>
      </c>
      <c r="E1930" s="30">
        <f>'Raw data'!P1839</f>
        <v>0</v>
      </c>
      <c r="F1930" s="29" t="e">
        <f>VLOOKUP(E1930,'점포코드 '!A:B,2,0)</f>
        <v>#N/A</v>
      </c>
      <c r="G1930" s="46">
        <f>'Raw data'!F1839</f>
        <v>0</v>
      </c>
      <c r="H1930" s="4">
        <f>'Raw data'!G1839</f>
        <v>0</v>
      </c>
      <c r="I1930" s="29" t="e">
        <f>VLOOKUP(G1930,제품명!$C$1:$E$114,2,0)</f>
        <v>#N/A</v>
      </c>
      <c r="J1930" s="29">
        <f>'Raw data'!K1839</f>
        <v>0</v>
      </c>
      <c r="K1930" s="31">
        <f>'Raw data'!H1839</f>
        <v>0</v>
      </c>
      <c r="L1930" s="26">
        <f t="shared" si="64"/>
        <v>0</v>
      </c>
    </row>
    <row r="1931" spans="2:12">
      <c r="B1931" s="4" t="e">
        <f t="shared" si="63"/>
        <v>#N/A</v>
      </c>
      <c r="C1931" s="4">
        <f>'Raw data'!E1840</f>
        <v>0</v>
      </c>
      <c r="D1931" s="29" t="e">
        <f>VLOOKUP(C1931,'점포코드 '!A:B,2,0)</f>
        <v>#N/A</v>
      </c>
      <c r="E1931" s="30">
        <f>'Raw data'!P1840</f>
        <v>0</v>
      </c>
      <c r="F1931" s="29" t="e">
        <f>VLOOKUP(E1931,'점포코드 '!A:B,2,0)</f>
        <v>#N/A</v>
      </c>
      <c r="G1931" s="46">
        <f>'Raw data'!F1840</f>
        <v>0</v>
      </c>
      <c r="H1931" s="4">
        <f>'Raw data'!G1840</f>
        <v>0</v>
      </c>
      <c r="I1931" s="29" t="e">
        <f>VLOOKUP(G1931,제품명!$C$1:$E$114,2,0)</f>
        <v>#N/A</v>
      </c>
      <c r="J1931" s="29">
        <f>'Raw data'!K1840</f>
        <v>0</v>
      </c>
      <c r="K1931" s="31">
        <f>'Raw data'!H1840</f>
        <v>0</v>
      </c>
      <c r="L1931" s="26">
        <f t="shared" si="64"/>
        <v>0</v>
      </c>
    </row>
    <row r="1932" spans="2:12">
      <c r="B1932" s="4" t="e">
        <f t="shared" si="63"/>
        <v>#N/A</v>
      </c>
      <c r="C1932" s="4">
        <f>'Raw data'!E1841</f>
        <v>0</v>
      </c>
      <c r="D1932" s="29" t="e">
        <f>VLOOKUP(C1932,'점포코드 '!A:B,2,0)</f>
        <v>#N/A</v>
      </c>
      <c r="E1932" s="30">
        <f>'Raw data'!P1841</f>
        <v>0</v>
      </c>
      <c r="F1932" s="29" t="e">
        <f>VLOOKUP(E1932,'점포코드 '!A:B,2,0)</f>
        <v>#N/A</v>
      </c>
      <c r="G1932" s="46">
        <f>'Raw data'!F1841</f>
        <v>0</v>
      </c>
      <c r="H1932" s="4">
        <f>'Raw data'!G1841</f>
        <v>0</v>
      </c>
      <c r="I1932" s="29" t="e">
        <f>VLOOKUP(G1932,제품명!$C$1:$E$114,2,0)</f>
        <v>#N/A</v>
      </c>
      <c r="J1932" s="29">
        <f>'Raw data'!K1841</f>
        <v>0</v>
      </c>
      <c r="K1932" s="31">
        <f>'Raw data'!H1841</f>
        <v>0</v>
      </c>
      <c r="L1932" s="26">
        <f t="shared" si="64"/>
        <v>0</v>
      </c>
    </row>
    <row r="1933" spans="2:12">
      <c r="B1933" s="4" t="e">
        <f t="shared" si="63"/>
        <v>#N/A</v>
      </c>
      <c r="C1933" s="4">
        <f>'Raw data'!E1842</f>
        <v>0</v>
      </c>
      <c r="D1933" s="29" t="e">
        <f>VLOOKUP(C1933,'점포코드 '!A:B,2,0)</f>
        <v>#N/A</v>
      </c>
      <c r="E1933" s="30">
        <f>'Raw data'!P1842</f>
        <v>0</v>
      </c>
      <c r="F1933" s="29" t="e">
        <f>VLOOKUP(E1933,'점포코드 '!A:B,2,0)</f>
        <v>#N/A</v>
      </c>
      <c r="G1933" s="46">
        <f>'Raw data'!F1842</f>
        <v>0</v>
      </c>
      <c r="H1933" s="4">
        <f>'Raw data'!G1842</f>
        <v>0</v>
      </c>
      <c r="I1933" s="29" t="e">
        <f>VLOOKUP(G1933,제품명!$C$1:$E$114,2,0)</f>
        <v>#N/A</v>
      </c>
      <c r="J1933" s="29">
        <f>'Raw data'!K1842</f>
        <v>0</v>
      </c>
      <c r="K1933" s="31">
        <f>'Raw data'!H1842</f>
        <v>0</v>
      </c>
      <c r="L1933" s="26">
        <f t="shared" si="64"/>
        <v>0</v>
      </c>
    </row>
    <row r="1934" spans="2:12">
      <c r="B1934" s="4" t="e">
        <f t="shared" si="63"/>
        <v>#N/A</v>
      </c>
      <c r="C1934" s="4">
        <f>'Raw data'!E1843</f>
        <v>0</v>
      </c>
      <c r="D1934" s="29" t="e">
        <f>VLOOKUP(C1934,'점포코드 '!A:B,2,0)</f>
        <v>#N/A</v>
      </c>
      <c r="E1934" s="30">
        <f>'Raw data'!P1843</f>
        <v>0</v>
      </c>
      <c r="F1934" s="29" t="e">
        <f>VLOOKUP(E1934,'점포코드 '!A:B,2,0)</f>
        <v>#N/A</v>
      </c>
      <c r="G1934" s="46">
        <f>'Raw data'!F1843</f>
        <v>0</v>
      </c>
      <c r="H1934" s="4">
        <f>'Raw data'!G1843</f>
        <v>0</v>
      </c>
      <c r="I1934" s="29" t="e">
        <f>VLOOKUP(G1934,제품명!$C$1:$E$114,2,0)</f>
        <v>#N/A</v>
      </c>
      <c r="J1934" s="29">
        <f>'Raw data'!K1843</f>
        <v>0</v>
      </c>
      <c r="K1934" s="31">
        <f>'Raw data'!H1843</f>
        <v>0</v>
      </c>
      <c r="L1934" s="26">
        <f t="shared" si="64"/>
        <v>0</v>
      </c>
    </row>
    <row r="1935" spans="2:12">
      <c r="B1935" s="4" t="e">
        <f t="shared" si="63"/>
        <v>#N/A</v>
      </c>
      <c r="C1935" s="4">
        <f>'Raw data'!E1844</f>
        <v>0</v>
      </c>
      <c r="D1935" s="29" t="e">
        <f>VLOOKUP(C1935,'점포코드 '!A:B,2,0)</f>
        <v>#N/A</v>
      </c>
      <c r="E1935" s="30">
        <f>'Raw data'!P1844</f>
        <v>0</v>
      </c>
      <c r="F1935" s="29" t="e">
        <f>VLOOKUP(E1935,'점포코드 '!A:B,2,0)</f>
        <v>#N/A</v>
      </c>
      <c r="G1935" s="46">
        <f>'Raw data'!F1844</f>
        <v>0</v>
      </c>
      <c r="H1935" s="4">
        <f>'Raw data'!G1844</f>
        <v>0</v>
      </c>
      <c r="I1935" s="29" t="e">
        <f>VLOOKUP(G1935,제품명!$C$1:$E$114,2,0)</f>
        <v>#N/A</v>
      </c>
      <c r="J1935" s="29">
        <f>'Raw data'!K1844</f>
        <v>0</v>
      </c>
      <c r="K1935" s="31">
        <f>'Raw data'!H1844</f>
        <v>0</v>
      </c>
      <c r="L1935" s="26">
        <f t="shared" si="64"/>
        <v>0</v>
      </c>
    </row>
    <row r="1936" spans="2:12">
      <c r="B1936" s="4" t="e">
        <f t="shared" si="63"/>
        <v>#N/A</v>
      </c>
      <c r="C1936" s="4">
        <f>'Raw data'!E1845</f>
        <v>0</v>
      </c>
      <c r="D1936" s="29" t="e">
        <f>VLOOKUP(C1936,'점포코드 '!A:B,2,0)</f>
        <v>#N/A</v>
      </c>
      <c r="E1936" s="30">
        <f>'Raw data'!P1845</f>
        <v>0</v>
      </c>
      <c r="F1936" s="29" t="e">
        <f>VLOOKUP(E1936,'점포코드 '!A:B,2,0)</f>
        <v>#N/A</v>
      </c>
      <c r="G1936" s="46">
        <f>'Raw data'!F1845</f>
        <v>0</v>
      </c>
      <c r="H1936" s="4">
        <f>'Raw data'!G1845</f>
        <v>0</v>
      </c>
      <c r="I1936" s="29" t="e">
        <f>VLOOKUP(G1936,제품명!$C$1:$E$114,2,0)</f>
        <v>#N/A</v>
      </c>
      <c r="J1936" s="29">
        <f>'Raw data'!K1845</f>
        <v>0</v>
      </c>
      <c r="K1936" s="31">
        <f>'Raw data'!H1845</f>
        <v>0</v>
      </c>
      <c r="L1936" s="26">
        <f t="shared" si="64"/>
        <v>0</v>
      </c>
    </row>
    <row r="1937" spans="2:12">
      <c r="B1937" s="4" t="e">
        <f t="shared" si="63"/>
        <v>#N/A</v>
      </c>
      <c r="C1937" s="4">
        <f>'Raw data'!E1846</f>
        <v>0</v>
      </c>
      <c r="D1937" s="29" t="e">
        <f>VLOOKUP(C1937,'점포코드 '!A:B,2,0)</f>
        <v>#N/A</v>
      </c>
      <c r="E1937" s="30">
        <f>'Raw data'!P1846</f>
        <v>0</v>
      </c>
      <c r="F1937" s="29" t="e">
        <f>VLOOKUP(E1937,'점포코드 '!A:B,2,0)</f>
        <v>#N/A</v>
      </c>
      <c r="G1937" s="46">
        <f>'Raw data'!F1846</f>
        <v>0</v>
      </c>
      <c r="H1937" s="4">
        <f>'Raw data'!G1846</f>
        <v>0</v>
      </c>
      <c r="I1937" s="29" t="e">
        <f>VLOOKUP(G1937,제품명!$C$1:$E$114,2,0)</f>
        <v>#N/A</v>
      </c>
      <c r="J1937" s="29">
        <f>'Raw data'!K1846</f>
        <v>0</v>
      </c>
      <c r="K1937" s="31">
        <f>'Raw data'!H1846</f>
        <v>0</v>
      </c>
      <c r="L1937" s="26">
        <f t="shared" si="64"/>
        <v>0</v>
      </c>
    </row>
    <row r="1938" spans="2:12">
      <c r="B1938" s="4" t="e">
        <f t="shared" si="63"/>
        <v>#N/A</v>
      </c>
      <c r="C1938" s="4">
        <f>'Raw data'!E1847</f>
        <v>0</v>
      </c>
      <c r="D1938" s="29" t="e">
        <f>VLOOKUP(C1938,'점포코드 '!A:B,2,0)</f>
        <v>#N/A</v>
      </c>
      <c r="E1938" s="30">
        <f>'Raw data'!P1847</f>
        <v>0</v>
      </c>
      <c r="F1938" s="29" t="e">
        <f>VLOOKUP(E1938,'점포코드 '!A:B,2,0)</f>
        <v>#N/A</v>
      </c>
      <c r="G1938" s="46">
        <f>'Raw data'!F1847</f>
        <v>0</v>
      </c>
      <c r="H1938" s="4">
        <f>'Raw data'!G1847</f>
        <v>0</v>
      </c>
      <c r="I1938" s="29" t="e">
        <f>VLOOKUP(G1938,제품명!$C$1:$E$114,2,0)</f>
        <v>#N/A</v>
      </c>
      <c r="J1938" s="29">
        <f>'Raw data'!K1847</f>
        <v>0</v>
      </c>
      <c r="K1938" s="31">
        <f>'Raw data'!H1847</f>
        <v>0</v>
      </c>
      <c r="L1938" s="26">
        <f t="shared" si="64"/>
        <v>0</v>
      </c>
    </row>
    <row r="1939" spans="2:12">
      <c r="B1939" s="4" t="e">
        <f t="shared" si="63"/>
        <v>#N/A</v>
      </c>
      <c r="C1939" s="4">
        <f>'Raw data'!E1848</f>
        <v>0</v>
      </c>
      <c r="D1939" s="29" t="e">
        <f>VLOOKUP(C1939,'점포코드 '!A:B,2,0)</f>
        <v>#N/A</v>
      </c>
      <c r="E1939" s="30">
        <f>'Raw data'!P1848</f>
        <v>0</v>
      </c>
      <c r="F1939" s="29" t="e">
        <f>VLOOKUP(E1939,'점포코드 '!A:B,2,0)</f>
        <v>#N/A</v>
      </c>
      <c r="G1939" s="46">
        <f>'Raw data'!F1848</f>
        <v>0</v>
      </c>
      <c r="H1939" s="4">
        <f>'Raw data'!G1848</f>
        <v>0</v>
      </c>
      <c r="I1939" s="29" t="e">
        <f>VLOOKUP(G1939,제품명!$C$1:$E$114,2,0)</f>
        <v>#N/A</v>
      </c>
      <c r="J1939" s="29">
        <f>'Raw data'!K1848</f>
        <v>0</v>
      </c>
      <c r="K1939" s="31">
        <f>'Raw data'!H1848</f>
        <v>0</v>
      </c>
      <c r="L1939" s="26">
        <f t="shared" si="64"/>
        <v>0</v>
      </c>
    </row>
    <row r="1940" spans="2:12">
      <c r="B1940" s="4" t="e">
        <f t="shared" si="63"/>
        <v>#N/A</v>
      </c>
      <c r="C1940" s="4">
        <f>'Raw data'!E1849</f>
        <v>0</v>
      </c>
      <c r="D1940" s="29" t="e">
        <f>VLOOKUP(C1940,'점포코드 '!A:B,2,0)</f>
        <v>#N/A</v>
      </c>
      <c r="E1940" s="30">
        <f>'Raw data'!P1849</f>
        <v>0</v>
      </c>
      <c r="F1940" s="29" t="e">
        <f>VLOOKUP(E1940,'점포코드 '!A:B,2,0)</f>
        <v>#N/A</v>
      </c>
      <c r="G1940" s="46">
        <f>'Raw data'!F1849</f>
        <v>0</v>
      </c>
      <c r="H1940" s="4">
        <f>'Raw data'!G1849</f>
        <v>0</v>
      </c>
      <c r="I1940" s="29" t="e">
        <f>VLOOKUP(G1940,제품명!$C$1:$E$114,2,0)</f>
        <v>#N/A</v>
      </c>
      <c r="J1940" s="29">
        <f>'Raw data'!K1849</f>
        <v>0</v>
      </c>
      <c r="K1940" s="31">
        <f>'Raw data'!H1849</f>
        <v>0</v>
      </c>
      <c r="L1940" s="26">
        <f t="shared" si="64"/>
        <v>0</v>
      </c>
    </row>
    <row r="1941" spans="2:12">
      <c r="B1941" s="4" t="e">
        <f t="shared" si="63"/>
        <v>#N/A</v>
      </c>
      <c r="C1941" s="4">
        <f>'Raw data'!E1850</f>
        <v>0</v>
      </c>
      <c r="D1941" s="29" t="e">
        <f>VLOOKUP(C1941,'점포코드 '!A:B,2,0)</f>
        <v>#N/A</v>
      </c>
      <c r="E1941" s="30">
        <f>'Raw data'!P1850</f>
        <v>0</v>
      </c>
      <c r="F1941" s="29" t="e">
        <f>VLOOKUP(E1941,'점포코드 '!A:B,2,0)</f>
        <v>#N/A</v>
      </c>
      <c r="G1941" s="46">
        <f>'Raw data'!F1850</f>
        <v>0</v>
      </c>
      <c r="H1941" s="4">
        <f>'Raw data'!G1850</f>
        <v>0</v>
      </c>
      <c r="I1941" s="29" t="e">
        <f>VLOOKUP(G1941,제품명!$C$1:$E$114,2,0)</f>
        <v>#N/A</v>
      </c>
      <c r="J1941" s="29">
        <f>'Raw data'!K1850</f>
        <v>0</v>
      </c>
      <c r="K1941" s="31">
        <f>'Raw data'!H1850</f>
        <v>0</v>
      </c>
      <c r="L1941" s="26">
        <f t="shared" si="64"/>
        <v>0</v>
      </c>
    </row>
    <row r="1942" spans="2:12">
      <c r="B1942" s="4" t="e">
        <f t="shared" si="63"/>
        <v>#N/A</v>
      </c>
      <c r="C1942" s="4">
        <f>'Raw data'!E1851</f>
        <v>0</v>
      </c>
      <c r="D1942" s="29" t="e">
        <f>VLOOKUP(C1942,'점포코드 '!A:B,2,0)</f>
        <v>#N/A</v>
      </c>
      <c r="E1942" s="30">
        <f>'Raw data'!P1851</f>
        <v>0</v>
      </c>
      <c r="F1942" s="29" t="e">
        <f>VLOOKUP(E1942,'점포코드 '!A:B,2,0)</f>
        <v>#N/A</v>
      </c>
      <c r="G1942" s="46">
        <f>'Raw data'!F1851</f>
        <v>0</v>
      </c>
      <c r="H1942" s="4">
        <f>'Raw data'!G1851</f>
        <v>0</v>
      </c>
      <c r="I1942" s="29" t="e">
        <f>VLOOKUP(G1942,제품명!$C$1:$E$114,2,0)</f>
        <v>#N/A</v>
      </c>
      <c r="J1942" s="29">
        <f>'Raw data'!K1851</f>
        <v>0</v>
      </c>
      <c r="K1942" s="31">
        <f>'Raw data'!H1851</f>
        <v>0</v>
      </c>
      <c r="L1942" s="26">
        <f t="shared" si="64"/>
        <v>0</v>
      </c>
    </row>
    <row r="1943" spans="2:12">
      <c r="B1943" s="4" t="e">
        <f t="shared" si="63"/>
        <v>#N/A</v>
      </c>
      <c r="C1943" s="4">
        <f>'Raw data'!E1852</f>
        <v>0</v>
      </c>
      <c r="D1943" s="29" t="e">
        <f>VLOOKUP(C1943,'점포코드 '!A:B,2,0)</f>
        <v>#N/A</v>
      </c>
      <c r="E1943" s="30">
        <f>'Raw data'!P1852</f>
        <v>0</v>
      </c>
      <c r="F1943" s="29" t="e">
        <f>VLOOKUP(E1943,'점포코드 '!A:B,2,0)</f>
        <v>#N/A</v>
      </c>
      <c r="G1943" s="46">
        <f>'Raw data'!F1852</f>
        <v>0</v>
      </c>
      <c r="H1943" s="4">
        <f>'Raw data'!G1852</f>
        <v>0</v>
      </c>
      <c r="I1943" s="29" t="e">
        <f>VLOOKUP(G1943,제품명!$C$1:$E$114,2,0)</f>
        <v>#N/A</v>
      </c>
      <c r="J1943" s="29">
        <f>'Raw data'!K1852</f>
        <v>0</v>
      </c>
      <c r="K1943" s="31">
        <f>'Raw data'!H1852</f>
        <v>0</v>
      </c>
      <c r="L1943" s="26">
        <f t="shared" si="64"/>
        <v>0</v>
      </c>
    </row>
    <row r="1944" spans="2:12">
      <c r="B1944" s="4" t="e">
        <f t="shared" si="63"/>
        <v>#N/A</v>
      </c>
      <c r="C1944" s="4">
        <f>'Raw data'!E1853</f>
        <v>0</v>
      </c>
      <c r="D1944" s="29" t="e">
        <f>VLOOKUP(C1944,'점포코드 '!A:B,2,0)</f>
        <v>#N/A</v>
      </c>
      <c r="E1944" s="30">
        <f>'Raw data'!P1853</f>
        <v>0</v>
      </c>
      <c r="F1944" s="29" t="e">
        <f>VLOOKUP(E1944,'점포코드 '!A:B,2,0)</f>
        <v>#N/A</v>
      </c>
      <c r="G1944" s="46">
        <f>'Raw data'!F1853</f>
        <v>0</v>
      </c>
      <c r="H1944" s="4">
        <f>'Raw data'!G1853</f>
        <v>0</v>
      </c>
      <c r="I1944" s="29" t="e">
        <f>VLOOKUP(G1944,제품명!$C$1:$E$114,2,0)</f>
        <v>#N/A</v>
      </c>
      <c r="J1944" s="29">
        <f>'Raw data'!K1853</f>
        <v>0</v>
      </c>
      <c r="K1944" s="31">
        <f>'Raw data'!H1853</f>
        <v>0</v>
      </c>
      <c r="L1944" s="26">
        <f t="shared" si="64"/>
        <v>0</v>
      </c>
    </row>
    <row r="1945" spans="2:12">
      <c r="B1945" s="4" t="e">
        <f t="shared" si="63"/>
        <v>#N/A</v>
      </c>
      <c r="C1945" s="4">
        <f>'Raw data'!E1854</f>
        <v>0</v>
      </c>
      <c r="D1945" s="29" t="e">
        <f>VLOOKUP(C1945,'점포코드 '!A:B,2,0)</f>
        <v>#N/A</v>
      </c>
      <c r="E1945" s="30">
        <f>'Raw data'!P1854</f>
        <v>0</v>
      </c>
      <c r="F1945" s="29" t="e">
        <f>VLOOKUP(E1945,'점포코드 '!A:B,2,0)</f>
        <v>#N/A</v>
      </c>
      <c r="G1945" s="46">
        <f>'Raw data'!F1854</f>
        <v>0</v>
      </c>
      <c r="H1945" s="4">
        <f>'Raw data'!G1854</f>
        <v>0</v>
      </c>
      <c r="I1945" s="29" t="e">
        <f>VLOOKUP(G1945,제품명!$C$1:$E$114,2,0)</f>
        <v>#N/A</v>
      </c>
      <c r="J1945" s="29">
        <f>'Raw data'!K1854</f>
        <v>0</v>
      </c>
      <c r="K1945" s="31">
        <f>'Raw data'!H1854</f>
        <v>0</v>
      </c>
      <c r="L1945" s="26">
        <f t="shared" si="64"/>
        <v>0</v>
      </c>
    </row>
    <row r="1946" spans="2:12">
      <c r="B1946" s="4" t="e">
        <f t="shared" si="63"/>
        <v>#N/A</v>
      </c>
      <c r="C1946" s="4">
        <f>'Raw data'!E1855</f>
        <v>0</v>
      </c>
      <c r="D1946" s="29" t="e">
        <f>VLOOKUP(C1946,'점포코드 '!A:B,2,0)</f>
        <v>#N/A</v>
      </c>
      <c r="E1946" s="30">
        <f>'Raw data'!P1855</f>
        <v>0</v>
      </c>
      <c r="F1946" s="29" t="e">
        <f>VLOOKUP(E1946,'점포코드 '!A:B,2,0)</f>
        <v>#N/A</v>
      </c>
      <c r="G1946" s="46">
        <f>'Raw data'!F1855</f>
        <v>0</v>
      </c>
      <c r="H1946" s="4">
        <f>'Raw data'!G1855</f>
        <v>0</v>
      </c>
      <c r="I1946" s="29" t="e">
        <f>VLOOKUP(G1946,제품명!$C$1:$E$114,2,0)</f>
        <v>#N/A</v>
      </c>
      <c r="J1946" s="29">
        <f>'Raw data'!K1855</f>
        <v>0</v>
      </c>
      <c r="K1946" s="31">
        <f>'Raw data'!H1855</f>
        <v>0</v>
      </c>
      <c r="L1946" s="26">
        <f t="shared" si="64"/>
        <v>0</v>
      </c>
    </row>
    <row r="1947" spans="2:12">
      <c r="B1947" s="4" t="e">
        <f t="shared" si="63"/>
        <v>#N/A</v>
      </c>
      <c r="C1947" s="4">
        <f>'Raw data'!E1856</f>
        <v>0</v>
      </c>
      <c r="D1947" s="29" t="e">
        <f>VLOOKUP(C1947,'점포코드 '!A:B,2,0)</f>
        <v>#N/A</v>
      </c>
      <c r="E1947" s="30">
        <f>'Raw data'!P1856</f>
        <v>0</v>
      </c>
      <c r="F1947" s="29" t="e">
        <f>VLOOKUP(E1947,'점포코드 '!A:B,2,0)</f>
        <v>#N/A</v>
      </c>
      <c r="G1947" s="46">
        <f>'Raw data'!F1856</f>
        <v>0</v>
      </c>
      <c r="H1947" s="4">
        <f>'Raw data'!G1856</f>
        <v>0</v>
      </c>
      <c r="I1947" s="29" t="e">
        <f>VLOOKUP(G1947,제품명!$C$1:$E$114,2,0)</f>
        <v>#N/A</v>
      </c>
      <c r="J1947" s="29">
        <f>'Raw data'!K1856</f>
        <v>0</v>
      </c>
      <c r="K1947" s="31">
        <f>'Raw data'!H1856</f>
        <v>0</v>
      </c>
      <c r="L1947" s="26">
        <f t="shared" si="64"/>
        <v>0</v>
      </c>
    </row>
    <row r="1948" spans="2:12">
      <c r="B1948" s="4" t="e">
        <f t="shared" si="63"/>
        <v>#N/A</v>
      </c>
      <c r="C1948" s="4">
        <f>'Raw data'!E1857</f>
        <v>0</v>
      </c>
      <c r="D1948" s="29" t="e">
        <f>VLOOKUP(C1948,'점포코드 '!A:B,2,0)</f>
        <v>#N/A</v>
      </c>
      <c r="E1948" s="30">
        <f>'Raw data'!P1857</f>
        <v>0</v>
      </c>
      <c r="F1948" s="29" t="e">
        <f>VLOOKUP(E1948,'점포코드 '!A:B,2,0)</f>
        <v>#N/A</v>
      </c>
      <c r="G1948" s="46">
        <f>'Raw data'!F1857</f>
        <v>0</v>
      </c>
      <c r="H1948" s="4">
        <f>'Raw data'!G1857</f>
        <v>0</v>
      </c>
      <c r="I1948" s="29" t="e">
        <f>VLOOKUP(G1948,제품명!$C$1:$E$114,2,0)</f>
        <v>#N/A</v>
      </c>
      <c r="J1948" s="29">
        <f>'Raw data'!K1857</f>
        <v>0</v>
      </c>
      <c r="K1948" s="31">
        <f>'Raw data'!H1857</f>
        <v>0</v>
      </c>
      <c r="L1948" s="26">
        <f t="shared" si="64"/>
        <v>0</v>
      </c>
    </row>
    <row r="1949" spans="2:12">
      <c r="B1949" s="4" t="e">
        <f t="shared" si="63"/>
        <v>#N/A</v>
      </c>
      <c r="C1949" s="4">
        <f>'Raw data'!E1858</f>
        <v>0</v>
      </c>
      <c r="D1949" s="29" t="e">
        <f>VLOOKUP(C1949,'점포코드 '!A:B,2,0)</f>
        <v>#N/A</v>
      </c>
      <c r="E1949" s="30">
        <f>'Raw data'!P1858</f>
        <v>0</v>
      </c>
      <c r="F1949" s="29" t="e">
        <f>VLOOKUP(E1949,'점포코드 '!A:B,2,0)</f>
        <v>#N/A</v>
      </c>
      <c r="G1949" s="46">
        <f>'Raw data'!F1858</f>
        <v>0</v>
      </c>
      <c r="H1949" s="4">
        <f>'Raw data'!G1858</f>
        <v>0</v>
      </c>
      <c r="I1949" s="29" t="e">
        <f>VLOOKUP(G1949,제품명!$C$1:$E$114,2,0)</f>
        <v>#N/A</v>
      </c>
      <c r="J1949" s="29">
        <f>'Raw data'!K1858</f>
        <v>0</v>
      </c>
      <c r="K1949" s="31">
        <f>'Raw data'!H1858</f>
        <v>0</v>
      </c>
      <c r="L1949" s="26">
        <f t="shared" si="64"/>
        <v>0</v>
      </c>
    </row>
    <row r="1950" spans="2:12">
      <c r="B1950" s="4" t="e">
        <f t="shared" si="63"/>
        <v>#N/A</v>
      </c>
      <c r="C1950" s="4">
        <f>'Raw data'!E1859</f>
        <v>0</v>
      </c>
      <c r="D1950" s="29" t="e">
        <f>VLOOKUP(C1950,'점포코드 '!A:B,2,0)</f>
        <v>#N/A</v>
      </c>
      <c r="E1950" s="30">
        <f>'Raw data'!P1859</f>
        <v>0</v>
      </c>
      <c r="F1950" s="29" t="e">
        <f>VLOOKUP(E1950,'점포코드 '!A:B,2,0)</f>
        <v>#N/A</v>
      </c>
      <c r="G1950" s="46">
        <f>'Raw data'!F1859</f>
        <v>0</v>
      </c>
      <c r="H1950" s="4">
        <f>'Raw data'!G1859</f>
        <v>0</v>
      </c>
      <c r="I1950" s="29" t="e">
        <f>VLOOKUP(G1950,제품명!$C$1:$E$114,2,0)</f>
        <v>#N/A</v>
      </c>
      <c r="J1950" s="29">
        <f>'Raw data'!K1859</f>
        <v>0</v>
      </c>
      <c r="K1950" s="31">
        <f>'Raw data'!H1859</f>
        <v>0</v>
      </c>
      <c r="L1950" s="26">
        <f t="shared" si="64"/>
        <v>0</v>
      </c>
    </row>
    <row r="1951" spans="2:12">
      <c r="B1951" s="4" t="e">
        <f t="shared" si="63"/>
        <v>#N/A</v>
      </c>
      <c r="C1951" s="4">
        <f>'Raw data'!E1860</f>
        <v>0</v>
      </c>
      <c r="D1951" s="29" t="e">
        <f>VLOOKUP(C1951,'점포코드 '!A:B,2,0)</f>
        <v>#N/A</v>
      </c>
      <c r="E1951" s="30">
        <f>'Raw data'!P1860</f>
        <v>0</v>
      </c>
      <c r="F1951" s="29" t="e">
        <f>VLOOKUP(E1951,'점포코드 '!A:B,2,0)</f>
        <v>#N/A</v>
      </c>
      <c r="G1951" s="46">
        <f>'Raw data'!F1860</f>
        <v>0</v>
      </c>
      <c r="H1951" s="4">
        <f>'Raw data'!G1860</f>
        <v>0</v>
      </c>
      <c r="I1951" s="29" t="e">
        <f>VLOOKUP(G1951,제품명!$C$1:$E$114,2,0)</f>
        <v>#N/A</v>
      </c>
      <c r="J1951" s="29">
        <f>'Raw data'!K1860</f>
        <v>0</v>
      </c>
      <c r="K1951" s="31">
        <f>'Raw data'!H1860</f>
        <v>0</v>
      </c>
      <c r="L1951" s="26">
        <f t="shared" si="64"/>
        <v>0</v>
      </c>
    </row>
    <row r="1952" spans="2:12">
      <c r="B1952" s="4" t="e">
        <f t="shared" si="63"/>
        <v>#N/A</v>
      </c>
      <c r="C1952" s="4">
        <f>'Raw data'!E1861</f>
        <v>0</v>
      </c>
      <c r="D1952" s="29" t="e">
        <f>VLOOKUP(C1952,'점포코드 '!A:B,2,0)</f>
        <v>#N/A</v>
      </c>
      <c r="E1952" s="30">
        <f>'Raw data'!P1861</f>
        <v>0</v>
      </c>
      <c r="F1952" s="29" t="e">
        <f>VLOOKUP(E1952,'점포코드 '!A:B,2,0)</f>
        <v>#N/A</v>
      </c>
      <c r="G1952" s="46">
        <f>'Raw data'!F1861</f>
        <v>0</v>
      </c>
      <c r="H1952" s="4">
        <f>'Raw data'!G1861</f>
        <v>0</v>
      </c>
      <c r="I1952" s="29" t="e">
        <f>VLOOKUP(G1952,제품명!$C$1:$E$114,2,0)</f>
        <v>#N/A</v>
      </c>
      <c r="J1952" s="29">
        <f>'Raw data'!K1861</f>
        <v>0</v>
      </c>
      <c r="K1952" s="31">
        <f>'Raw data'!H1861</f>
        <v>0</v>
      </c>
      <c r="L1952" s="26">
        <f t="shared" si="64"/>
        <v>0</v>
      </c>
    </row>
    <row r="1953" spans="2:12">
      <c r="B1953" s="4" t="e">
        <f t="shared" si="63"/>
        <v>#N/A</v>
      </c>
      <c r="C1953" s="4">
        <f>'Raw data'!E1862</f>
        <v>0</v>
      </c>
      <c r="D1953" s="29" t="e">
        <f>VLOOKUP(C1953,'점포코드 '!A:B,2,0)</f>
        <v>#N/A</v>
      </c>
      <c r="E1953" s="30">
        <f>'Raw data'!P1862</f>
        <v>0</v>
      </c>
      <c r="F1953" s="29" t="e">
        <f>VLOOKUP(E1953,'점포코드 '!A:B,2,0)</f>
        <v>#N/A</v>
      </c>
      <c r="G1953" s="46">
        <f>'Raw data'!F1862</f>
        <v>0</v>
      </c>
      <c r="H1953" s="4">
        <f>'Raw data'!G1862</f>
        <v>0</v>
      </c>
      <c r="I1953" s="29" t="e">
        <f>VLOOKUP(G1953,제품명!$C$1:$E$114,2,0)</f>
        <v>#N/A</v>
      </c>
      <c r="J1953" s="29">
        <f>'Raw data'!K1862</f>
        <v>0</v>
      </c>
      <c r="K1953" s="31">
        <f>'Raw data'!H1862</f>
        <v>0</v>
      </c>
      <c r="L1953" s="26">
        <f t="shared" si="64"/>
        <v>0</v>
      </c>
    </row>
    <row r="1954" spans="2:12">
      <c r="B1954" s="4" t="e">
        <f t="shared" si="63"/>
        <v>#N/A</v>
      </c>
      <c r="C1954" s="4">
        <f>'Raw data'!E1863</f>
        <v>0</v>
      </c>
      <c r="D1954" s="29" t="e">
        <f>VLOOKUP(C1954,'점포코드 '!A:B,2,0)</f>
        <v>#N/A</v>
      </c>
      <c r="E1954" s="30">
        <f>'Raw data'!P1863</f>
        <v>0</v>
      </c>
      <c r="F1954" s="29" t="e">
        <f>VLOOKUP(E1954,'점포코드 '!A:B,2,0)</f>
        <v>#N/A</v>
      </c>
      <c r="G1954" s="46">
        <f>'Raw data'!F1863</f>
        <v>0</v>
      </c>
      <c r="H1954" s="4">
        <f>'Raw data'!G1863</f>
        <v>0</v>
      </c>
      <c r="I1954" s="29" t="e">
        <f>VLOOKUP(G1954,제품명!$C$1:$E$114,2,0)</f>
        <v>#N/A</v>
      </c>
      <c r="J1954" s="29">
        <f>'Raw data'!K1863</f>
        <v>0</v>
      </c>
      <c r="K1954" s="31">
        <f>'Raw data'!H1863</f>
        <v>0</v>
      </c>
      <c r="L1954" s="26">
        <f t="shared" si="64"/>
        <v>0</v>
      </c>
    </row>
    <row r="1955" spans="2:12">
      <c r="B1955" s="4" t="e">
        <f t="shared" si="63"/>
        <v>#N/A</v>
      </c>
      <c r="C1955" s="4">
        <f>'Raw data'!E1864</f>
        <v>0</v>
      </c>
      <c r="D1955" s="29" t="e">
        <f>VLOOKUP(C1955,'점포코드 '!A:B,2,0)</f>
        <v>#N/A</v>
      </c>
      <c r="E1955" s="30">
        <f>'Raw data'!P1864</f>
        <v>0</v>
      </c>
      <c r="F1955" s="29" t="e">
        <f>VLOOKUP(E1955,'점포코드 '!A:B,2,0)</f>
        <v>#N/A</v>
      </c>
      <c r="G1955" s="46">
        <f>'Raw data'!F1864</f>
        <v>0</v>
      </c>
      <c r="H1955" s="4">
        <f>'Raw data'!G1864</f>
        <v>0</v>
      </c>
      <c r="I1955" s="29" t="e">
        <f>VLOOKUP(G1955,제품명!$C$1:$E$114,2,0)</f>
        <v>#N/A</v>
      </c>
      <c r="J1955" s="29">
        <f>'Raw data'!K1864</f>
        <v>0</v>
      </c>
      <c r="K1955" s="31">
        <f>'Raw data'!H1864</f>
        <v>0</v>
      </c>
      <c r="L1955" s="26">
        <f t="shared" si="64"/>
        <v>0</v>
      </c>
    </row>
    <row r="1956" spans="2:12">
      <c r="B1956" s="4" t="e">
        <f t="shared" si="63"/>
        <v>#N/A</v>
      </c>
      <c r="C1956" s="4">
        <f>'Raw data'!E1865</f>
        <v>0</v>
      </c>
      <c r="D1956" s="29" t="e">
        <f>VLOOKUP(C1956,'점포코드 '!A:B,2,0)</f>
        <v>#N/A</v>
      </c>
      <c r="E1956" s="30">
        <f>'Raw data'!P1865</f>
        <v>0</v>
      </c>
      <c r="F1956" s="29" t="e">
        <f>VLOOKUP(E1956,'점포코드 '!A:B,2,0)</f>
        <v>#N/A</v>
      </c>
      <c r="G1956" s="46">
        <f>'Raw data'!F1865</f>
        <v>0</v>
      </c>
      <c r="H1956" s="4">
        <f>'Raw data'!G1865</f>
        <v>0</v>
      </c>
      <c r="I1956" s="29" t="e">
        <f>VLOOKUP(G1956,제품명!$C$1:$E$114,2,0)</f>
        <v>#N/A</v>
      </c>
      <c r="J1956" s="29">
        <f>'Raw data'!K1865</f>
        <v>0</v>
      </c>
      <c r="K1956" s="31">
        <f>'Raw data'!H1865</f>
        <v>0</v>
      </c>
      <c r="L1956" s="26">
        <f t="shared" si="64"/>
        <v>0</v>
      </c>
    </row>
    <row r="1957" spans="2:12">
      <c r="B1957" s="4" t="e">
        <f t="shared" si="63"/>
        <v>#N/A</v>
      </c>
      <c r="C1957" s="4">
        <f>'Raw data'!E1866</f>
        <v>0</v>
      </c>
      <c r="D1957" s="29" t="e">
        <f>VLOOKUP(C1957,'점포코드 '!A:B,2,0)</f>
        <v>#N/A</v>
      </c>
      <c r="E1957" s="30">
        <f>'Raw data'!P1866</f>
        <v>0</v>
      </c>
      <c r="F1957" s="29" t="e">
        <f>VLOOKUP(E1957,'점포코드 '!A:B,2,0)</f>
        <v>#N/A</v>
      </c>
      <c r="G1957" s="46">
        <f>'Raw data'!F1866</f>
        <v>0</v>
      </c>
      <c r="H1957" s="4">
        <f>'Raw data'!G1866</f>
        <v>0</v>
      </c>
      <c r="I1957" s="29" t="e">
        <f>VLOOKUP(G1957,제품명!$C$1:$E$114,2,0)</f>
        <v>#N/A</v>
      </c>
      <c r="J1957" s="29">
        <f>'Raw data'!K1866</f>
        <v>0</v>
      </c>
      <c r="K1957" s="31">
        <f>'Raw data'!H1866</f>
        <v>0</v>
      </c>
      <c r="L1957" s="26">
        <f t="shared" si="64"/>
        <v>0</v>
      </c>
    </row>
    <row r="1958" spans="2:12">
      <c r="B1958" s="4" t="e">
        <f t="shared" si="63"/>
        <v>#N/A</v>
      </c>
      <c r="C1958" s="4">
        <f>'Raw data'!E1867</f>
        <v>0</v>
      </c>
      <c r="D1958" s="29" t="e">
        <f>VLOOKUP(C1958,'점포코드 '!A:B,2,0)</f>
        <v>#N/A</v>
      </c>
      <c r="E1958" s="30">
        <f>'Raw data'!P1867</f>
        <v>0</v>
      </c>
      <c r="F1958" s="29" t="e">
        <f>VLOOKUP(E1958,'점포코드 '!A:B,2,0)</f>
        <v>#N/A</v>
      </c>
      <c r="G1958" s="46">
        <f>'Raw data'!F1867</f>
        <v>0</v>
      </c>
      <c r="H1958" s="4">
        <f>'Raw data'!G1867</f>
        <v>0</v>
      </c>
      <c r="I1958" s="29" t="e">
        <f>VLOOKUP(G1958,제품명!$C$1:$E$114,2,0)</f>
        <v>#N/A</v>
      </c>
      <c r="J1958" s="29">
        <f>'Raw data'!K1867</f>
        <v>0</v>
      </c>
      <c r="K1958" s="31">
        <f>'Raw data'!H1867</f>
        <v>0</v>
      </c>
      <c r="L1958" s="26">
        <f t="shared" si="64"/>
        <v>0</v>
      </c>
    </row>
    <row r="1959" spans="2:12">
      <c r="B1959" s="4" t="e">
        <f t="shared" si="63"/>
        <v>#N/A</v>
      </c>
      <c r="C1959" s="4">
        <f>'Raw data'!E1868</f>
        <v>0</v>
      </c>
      <c r="D1959" s="29" t="e">
        <f>VLOOKUP(C1959,'점포코드 '!A:B,2,0)</f>
        <v>#N/A</v>
      </c>
      <c r="E1959" s="30">
        <f>'Raw data'!P1868</f>
        <v>0</v>
      </c>
      <c r="F1959" s="29" t="e">
        <f>VLOOKUP(E1959,'점포코드 '!A:B,2,0)</f>
        <v>#N/A</v>
      </c>
      <c r="G1959" s="46">
        <f>'Raw data'!F1868</f>
        <v>0</v>
      </c>
      <c r="H1959" s="4">
        <f>'Raw data'!G1868</f>
        <v>0</v>
      </c>
      <c r="I1959" s="29" t="e">
        <f>VLOOKUP(G1959,제품명!$C$1:$E$114,2,0)</f>
        <v>#N/A</v>
      </c>
      <c r="J1959" s="29">
        <f>'Raw data'!K1868</f>
        <v>0</v>
      </c>
      <c r="K1959" s="31">
        <f>'Raw data'!H1868</f>
        <v>0</v>
      </c>
      <c r="L1959" s="26">
        <f t="shared" si="64"/>
        <v>0</v>
      </c>
    </row>
    <row r="1960" spans="2:12">
      <c r="B1960" s="4" t="e">
        <f t="shared" si="63"/>
        <v>#N/A</v>
      </c>
      <c r="C1960" s="4">
        <f>'Raw data'!E1869</f>
        <v>0</v>
      </c>
      <c r="D1960" s="29" t="e">
        <f>VLOOKUP(C1960,'점포코드 '!A:B,2,0)</f>
        <v>#N/A</v>
      </c>
      <c r="E1960" s="30">
        <f>'Raw data'!P1869</f>
        <v>0</v>
      </c>
      <c r="F1960" s="29" t="e">
        <f>VLOOKUP(E1960,'점포코드 '!A:B,2,0)</f>
        <v>#N/A</v>
      </c>
      <c r="G1960" s="46">
        <f>'Raw data'!F1869</f>
        <v>0</v>
      </c>
      <c r="H1960" s="4">
        <f>'Raw data'!G1869</f>
        <v>0</v>
      </c>
      <c r="I1960" s="29" t="e">
        <f>VLOOKUP(G1960,제품명!$C$1:$E$114,2,0)</f>
        <v>#N/A</v>
      </c>
      <c r="J1960" s="29">
        <f>'Raw data'!K1869</f>
        <v>0</v>
      </c>
      <c r="K1960" s="31">
        <f>'Raw data'!H1869</f>
        <v>0</v>
      </c>
      <c r="L1960" s="26">
        <f t="shared" si="64"/>
        <v>0</v>
      </c>
    </row>
    <row r="1961" spans="2:12">
      <c r="B1961" s="4" t="e">
        <f t="shared" si="63"/>
        <v>#N/A</v>
      </c>
      <c r="C1961" s="4">
        <f>'Raw data'!E1870</f>
        <v>0</v>
      </c>
      <c r="D1961" s="29" t="e">
        <f>VLOOKUP(C1961,'점포코드 '!A:B,2,0)</f>
        <v>#N/A</v>
      </c>
      <c r="E1961" s="30">
        <f>'Raw data'!P1870</f>
        <v>0</v>
      </c>
      <c r="F1961" s="29" t="e">
        <f>VLOOKUP(E1961,'점포코드 '!A:B,2,0)</f>
        <v>#N/A</v>
      </c>
      <c r="G1961" s="46">
        <f>'Raw data'!F1870</f>
        <v>0</v>
      </c>
      <c r="H1961" s="4">
        <f>'Raw data'!G1870</f>
        <v>0</v>
      </c>
      <c r="I1961" s="29" t="e">
        <f>VLOOKUP(G1961,제품명!$C$1:$E$114,2,0)</f>
        <v>#N/A</v>
      </c>
      <c r="J1961" s="29">
        <f>'Raw data'!K1870</f>
        <v>0</v>
      </c>
      <c r="K1961" s="31">
        <f>'Raw data'!H1870</f>
        <v>0</v>
      </c>
      <c r="L1961" s="26">
        <f t="shared" si="64"/>
        <v>0</v>
      </c>
    </row>
    <row r="1962" spans="2:12">
      <c r="B1962" s="4" t="e">
        <f t="shared" si="63"/>
        <v>#N/A</v>
      </c>
      <c r="C1962" s="4">
        <f>'Raw data'!E1871</f>
        <v>0</v>
      </c>
      <c r="D1962" s="29" t="e">
        <f>VLOOKUP(C1962,'점포코드 '!A:B,2,0)</f>
        <v>#N/A</v>
      </c>
      <c r="E1962" s="30">
        <f>'Raw data'!P1871</f>
        <v>0</v>
      </c>
      <c r="F1962" s="29" t="e">
        <f>VLOOKUP(E1962,'점포코드 '!A:B,2,0)</f>
        <v>#N/A</v>
      </c>
      <c r="G1962" s="46">
        <f>'Raw data'!F1871</f>
        <v>0</v>
      </c>
      <c r="H1962" s="4">
        <f>'Raw data'!G1871</f>
        <v>0</v>
      </c>
      <c r="I1962" s="29" t="e">
        <f>VLOOKUP(G1962,제품명!$C$1:$E$114,2,0)</f>
        <v>#N/A</v>
      </c>
      <c r="J1962" s="29">
        <f>'Raw data'!K1871</f>
        <v>0</v>
      </c>
      <c r="K1962" s="31">
        <f>'Raw data'!H1871</f>
        <v>0</v>
      </c>
      <c r="L1962" s="26">
        <f t="shared" si="64"/>
        <v>0</v>
      </c>
    </row>
    <row r="1963" spans="2:12">
      <c r="B1963" s="4" t="e">
        <f t="shared" si="63"/>
        <v>#N/A</v>
      </c>
      <c r="C1963" s="4">
        <f>'Raw data'!E1872</f>
        <v>0</v>
      </c>
      <c r="D1963" s="29" t="e">
        <f>VLOOKUP(C1963,'점포코드 '!A:B,2,0)</f>
        <v>#N/A</v>
      </c>
      <c r="E1963" s="30">
        <f>'Raw data'!P1872</f>
        <v>0</v>
      </c>
      <c r="F1963" s="29" t="e">
        <f>VLOOKUP(E1963,'점포코드 '!A:B,2,0)</f>
        <v>#N/A</v>
      </c>
      <c r="G1963" s="46">
        <f>'Raw data'!F1872</f>
        <v>0</v>
      </c>
      <c r="H1963" s="4">
        <f>'Raw data'!G1872</f>
        <v>0</v>
      </c>
      <c r="I1963" s="29" t="e">
        <f>VLOOKUP(G1963,제품명!$C$1:$E$114,2,0)</f>
        <v>#N/A</v>
      </c>
      <c r="J1963" s="29">
        <f>'Raw data'!K1872</f>
        <v>0</v>
      </c>
      <c r="K1963" s="31">
        <f>'Raw data'!H1872</f>
        <v>0</v>
      </c>
      <c r="L1963" s="26">
        <f t="shared" si="64"/>
        <v>0</v>
      </c>
    </row>
    <row r="1964" spans="2:12">
      <c r="B1964" s="4" t="e">
        <f t="shared" si="63"/>
        <v>#N/A</v>
      </c>
      <c r="C1964" s="4">
        <f>'Raw data'!E1873</f>
        <v>0</v>
      </c>
      <c r="D1964" s="29" t="e">
        <f>VLOOKUP(C1964,'점포코드 '!A:B,2,0)</f>
        <v>#N/A</v>
      </c>
      <c r="E1964" s="30">
        <f>'Raw data'!P1873</f>
        <v>0</v>
      </c>
      <c r="F1964" s="29" t="e">
        <f>VLOOKUP(E1964,'점포코드 '!A:B,2,0)</f>
        <v>#N/A</v>
      </c>
      <c r="G1964" s="46">
        <f>'Raw data'!F1873</f>
        <v>0</v>
      </c>
      <c r="H1964" s="4">
        <f>'Raw data'!G1873</f>
        <v>0</v>
      </c>
      <c r="I1964" s="29" t="e">
        <f>VLOOKUP(G1964,제품명!$C$1:$E$114,2,0)</f>
        <v>#N/A</v>
      </c>
      <c r="J1964" s="29">
        <f>'Raw data'!K1873</f>
        <v>0</v>
      </c>
      <c r="K1964" s="31">
        <f>'Raw data'!H1873</f>
        <v>0</v>
      </c>
      <c r="L1964" s="26">
        <f t="shared" si="64"/>
        <v>0</v>
      </c>
    </row>
    <row r="1965" spans="2:12">
      <c r="B1965" s="4" t="e">
        <f t="shared" si="63"/>
        <v>#N/A</v>
      </c>
      <c r="C1965" s="4">
        <f>'Raw data'!E1874</f>
        <v>0</v>
      </c>
      <c r="D1965" s="29" t="e">
        <f>VLOOKUP(C1965,'점포코드 '!A:B,2,0)</f>
        <v>#N/A</v>
      </c>
      <c r="E1965" s="30">
        <f>'Raw data'!P1874</f>
        <v>0</v>
      </c>
      <c r="F1965" s="29" t="e">
        <f>VLOOKUP(E1965,'점포코드 '!A:B,2,0)</f>
        <v>#N/A</v>
      </c>
      <c r="G1965" s="46">
        <f>'Raw data'!F1874</f>
        <v>0</v>
      </c>
      <c r="H1965" s="4">
        <f>'Raw data'!G1874</f>
        <v>0</v>
      </c>
      <c r="I1965" s="29" t="e">
        <f>VLOOKUP(G1965,제품명!$C$1:$E$114,2,0)</f>
        <v>#N/A</v>
      </c>
      <c r="J1965" s="29">
        <f>'Raw data'!K1874</f>
        <v>0</v>
      </c>
      <c r="K1965" s="31">
        <f>'Raw data'!H1874</f>
        <v>0</v>
      </c>
      <c r="L1965" s="26">
        <f t="shared" si="64"/>
        <v>0</v>
      </c>
    </row>
    <row r="1966" spans="2:12">
      <c r="B1966" s="4" t="e">
        <f t="shared" si="63"/>
        <v>#N/A</v>
      </c>
      <c r="C1966" s="4">
        <f>'Raw data'!E1875</f>
        <v>0</v>
      </c>
      <c r="D1966" s="29" t="e">
        <f>VLOOKUP(C1966,'점포코드 '!A:B,2,0)</f>
        <v>#N/A</v>
      </c>
      <c r="E1966" s="30">
        <f>'Raw data'!P1875</f>
        <v>0</v>
      </c>
      <c r="F1966" s="29" t="e">
        <f>VLOOKUP(E1966,'점포코드 '!A:B,2,0)</f>
        <v>#N/A</v>
      </c>
      <c r="G1966" s="46">
        <f>'Raw data'!F1875</f>
        <v>0</v>
      </c>
      <c r="H1966" s="4">
        <f>'Raw data'!G1875</f>
        <v>0</v>
      </c>
      <c r="I1966" s="29" t="e">
        <f>VLOOKUP(G1966,제품명!$C$1:$E$114,2,0)</f>
        <v>#N/A</v>
      </c>
      <c r="J1966" s="29">
        <f>'Raw data'!K1875</f>
        <v>0</v>
      </c>
      <c r="K1966" s="31">
        <f>'Raw data'!H1875</f>
        <v>0</v>
      </c>
      <c r="L1966" s="26">
        <f t="shared" si="64"/>
        <v>0</v>
      </c>
    </row>
    <row r="1967" spans="2:12">
      <c r="B1967" s="4" t="e">
        <f t="shared" si="63"/>
        <v>#N/A</v>
      </c>
      <c r="C1967" s="4">
        <f>'Raw data'!E1876</f>
        <v>0</v>
      </c>
      <c r="D1967" s="29" t="e">
        <f>VLOOKUP(C1967,'점포코드 '!A:B,2,0)</f>
        <v>#N/A</v>
      </c>
      <c r="E1967" s="30">
        <f>'Raw data'!P1876</f>
        <v>0</v>
      </c>
      <c r="F1967" s="29" t="e">
        <f>VLOOKUP(E1967,'점포코드 '!A:B,2,0)</f>
        <v>#N/A</v>
      </c>
      <c r="G1967" s="46">
        <f>'Raw data'!F1876</f>
        <v>0</v>
      </c>
      <c r="H1967" s="4">
        <f>'Raw data'!G1876</f>
        <v>0</v>
      </c>
      <c r="I1967" s="29" t="e">
        <f>VLOOKUP(G1967,제품명!$C$1:$E$114,2,0)</f>
        <v>#N/A</v>
      </c>
      <c r="J1967" s="29">
        <f>'Raw data'!K1876</f>
        <v>0</v>
      </c>
      <c r="K1967" s="31">
        <f>'Raw data'!H1876</f>
        <v>0</v>
      </c>
      <c r="L1967" s="26">
        <f t="shared" si="64"/>
        <v>0</v>
      </c>
    </row>
    <row r="1968" spans="2:12">
      <c r="B1968" s="4" t="e">
        <f t="shared" si="63"/>
        <v>#N/A</v>
      </c>
      <c r="C1968" s="4">
        <f>'Raw data'!E1877</f>
        <v>0</v>
      </c>
      <c r="D1968" s="29" t="e">
        <f>VLOOKUP(C1968,'점포코드 '!A:B,2,0)</f>
        <v>#N/A</v>
      </c>
      <c r="E1968" s="30">
        <f>'Raw data'!P1877</f>
        <v>0</v>
      </c>
      <c r="F1968" s="29" t="e">
        <f>VLOOKUP(E1968,'점포코드 '!A:B,2,0)</f>
        <v>#N/A</v>
      </c>
      <c r="G1968" s="46">
        <f>'Raw data'!F1877</f>
        <v>0</v>
      </c>
      <c r="H1968" s="4">
        <f>'Raw data'!G1877</f>
        <v>0</v>
      </c>
      <c r="I1968" s="29" t="e">
        <f>VLOOKUP(G1968,제품명!$C$1:$E$114,2,0)</f>
        <v>#N/A</v>
      </c>
      <c r="J1968" s="29">
        <f>'Raw data'!K1877</f>
        <v>0</v>
      </c>
      <c r="K1968" s="31">
        <f>'Raw data'!H1877</f>
        <v>0</v>
      </c>
      <c r="L1968" s="26">
        <f t="shared" si="64"/>
        <v>0</v>
      </c>
    </row>
    <row r="1969" spans="2:12">
      <c r="B1969" s="4" t="e">
        <f t="shared" si="63"/>
        <v>#N/A</v>
      </c>
      <c r="C1969" s="4">
        <f>'Raw data'!E1878</f>
        <v>0</v>
      </c>
      <c r="D1969" s="29" t="e">
        <f>VLOOKUP(C1969,'점포코드 '!A:B,2,0)</f>
        <v>#N/A</v>
      </c>
      <c r="E1969" s="30">
        <f>'Raw data'!P1878</f>
        <v>0</v>
      </c>
      <c r="F1969" s="29" t="e">
        <f>VLOOKUP(E1969,'점포코드 '!A:B,2,0)</f>
        <v>#N/A</v>
      </c>
      <c r="G1969" s="46">
        <f>'Raw data'!F1878</f>
        <v>0</v>
      </c>
      <c r="H1969" s="4">
        <f>'Raw data'!G1878</f>
        <v>0</v>
      </c>
      <c r="I1969" s="29" t="e">
        <f>VLOOKUP(G1969,제품명!$C$1:$E$114,2,0)</f>
        <v>#N/A</v>
      </c>
      <c r="J1969" s="29">
        <f>'Raw data'!K1878</f>
        <v>0</v>
      </c>
      <c r="K1969" s="31">
        <f>'Raw data'!H1878</f>
        <v>0</v>
      </c>
      <c r="L1969" s="26">
        <f t="shared" si="64"/>
        <v>0</v>
      </c>
    </row>
    <row r="1970" spans="2:12">
      <c r="B1970" s="4" t="e">
        <f t="shared" si="63"/>
        <v>#N/A</v>
      </c>
      <c r="C1970" s="4">
        <f>'Raw data'!E1879</f>
        <v>0</v>
      </c>
      <c r="D1970" s="29" t="e">
        <f>VLOOKUP(C1970,'점포코드 '!A:B,2,0)</f>
        <v>#N/A</v>
      </c>
      <c r="E1970" s="30">
        <f>'Raw data'!P1879</f>
        <v>0</v>
      </c>
      <c r="F1970" s="29" t="e">
        <f>VLOOKUP(E1970,'점포코드 '!A:B,2,0)</f>
        <v>#N/A</v>
      </c>
      <c r="G1970" s="46">
        <f>'Raw data'!F1879</f>
        <v>0</v>
      </c>
      <c r="H1970" s="4">
        <f>'Raw data'!G1879</f>
        <v>0</v>
      </c>
      <c r="I1970" s="29" t="e">
        <f>VLOOKUP(G1970,제품명!$C$1:$E$114,2,0)</f>
        <v>#N/A</v>
      </c>
      <c r="J1970" s="29">
        <f>'Raw data'!K1879</f>
        <v>0</v>
      </c>
      <c r="K1970" s="31">
        <f>'Raw data'!H1879</f>
        <v>0</v>
      </c>
      <c r="L1970" s="26">
        <f t="shared" si="64"/>
        <v>0</v>
      </c>
    </row>
    <row r="1971" spans="2:12">
      <c r="B1971" s="4" t="e">
        <f t="shared" si="63"/>
        <v>#N/A</v>
      </c>
      <c r="C1971" s="4">
        <f>'Raw data'!E1880</f>
        <v>0</v>
      </c>
      <c r="D1971" s="29" t="e">
        <f>VLOOKUP(C1971,'점포코드 '!A:B,2,0)</f>
        <v>#N/A</v>
      </c>
      <c r="E1971" s="30">
        <f>'Raw data'!P1880</f>
        <v>0</v>
      </c>
      <c r="F1971" s="29" t="e">
        <f>VLOOKUP(E1971,'점포코드 '!A:B,2,0)</f>
        <v>#N/A</v>
      </c>
      <c r="G1971" s="46">
        <f>'Raw data'!F1880</f>
        <v>0</v>
      </c>
      <c r="H1971" s="4">
        <f>'Raw data'!G1880</f>
        <v>0</v>
      </c>
      <c r="I1971" s="29" t="e">
        <f>VLOOKUP(G1971,제품명!$C$1:$E$114,2,0)</f>
        <v>#N/A</v>
      </c>
      <c r="J1971" s="29">
        <f>'Raw data'!K1880</f>
        <v>0</v>
      </c>
      <c r="K1971" s="31">
        <f>'Raw data'!H1880</f>
        <v>0</v>
      </c>
      <c r="L1971" s="26">
        <f t="shared" si="64"/>
        <v>0</v>
      </c>
    </row>
    <row r="1972" spans="2:12">
      <c r="B1972" s="4" t="e">
        <f t="shared" si="63"/>
        <v>#N/A</v>
      </c>
      <c r="C1972" s="4">
        <f>'Raw data'!E1881</f>
        <v>0</v>
      </c>
      <c r="D1972" s="29" t="e">
        <f>VLOOKUP(C1972,'점포코드 '!A:B,2,0)</f>
        <v>#N/A</v>
      </c>
      <c r="E1972" s="30">
        <f>'Raw data'!P1881</f>
        <v>0</v>
      </c>
      <c r="F1972" s="29" t="e">
        <f>VLOOKUP(E1972,'점포코드 '!A:B,2,0)</f>
        <v>#N/A</v>
      </c>
      <c r="G1972" s="46">
        <f>'Raw data'!F1881</f>
        <v>0</v>
      </c>
      <c r="H1972" s="4">
        <f>'Raw data'!G1881</f>
        <v>0</v>
      </c>
      <c r="I1972" s="29" t="e">
        <f>VLOOKUP(G1972,제품명!$C$1:$E$114,2,0)</f>
        <v>#N/A</v>
      </c>
      <c r="J1972" s="29">
        <f>'Raw data'!K1881</f>
        <v>0</v>
      </c>
      <c r="K1972" s="31">
        <f>'Raw data'!H1881</f>
        <v>0</v>
      </c>
      <c r="L1972" s="26">
        <f t="shared" si="64"/>
        <v>0</v>
      </c>
    </row>
    <row r="1973" spans="2:12">
      <c r="B1973" s="4" t="e">
        <f t="shared" si="63"/>
        <v>#N/A</v>
      </c>
      <c r="C1973" s="4">
        <f>'Raw data'!E1882</f>
        <v>0</v>
      </c>
      <c r="D1973" s="29" t="e">
        <f>VLOOKUP(C1973,'점포코드 '!A:B,2,0)</f>
        <v>#N/A</v>
      </c>
      <c r="E1973" s="30">
        <f>'Raw data'!P1882</f>
        <v>0</v>
      </c>
      <c r="F1973" s="29" t="e">
        <f>VLOOKUP(E1973,'점포코드 '!A:B,2,0)</f>
        <v>#N/A</v>
      </c>
      <c r="G1973" s="46">
        <f>'Raw data'!F1882</f>
        <v>0</v>
      </c>
      <c r="H1973" s="4">
        <f>'Raw data'!G1882</f>
        <v>0</v>
      </c>
      <c r="I1973" s="29" t="e">
        <f>VLOOKUP(G1973,제품명!$C$1:$E$114,2,0)</f>
        <v>#N/A</v>
      </c>
      <c r="J1973" s="29">
        <f>'Raw data'!K1882</f>
        <v>0</v>
      </c>
      <c r="K1973" s="31">
        <f>'Raw data'!H1882</f>
        <v>0</v>
      </c>
      <c r="L1973" s="26">
        <f t="shared" si="64"/>
        <v>0</v>
      </c>
    </row>
    <row r="1974" spans="2:12">
      <c r="B1974" s="4" t="e">
        <f t="shared" si="63"/>
        <v>#N/A</v>
      </c>
      <c r="C1974" s="4">
        <f>'Raw data'!E1883</f>
        <v>0</v>
      </c>
      <c r="D1974" s="29" t="e">
        <f>VLOOKUP(C1974,'점포코드 '!A:B,2,0)</f>
        <v>#N/A</v>
      </c>
      <c r="E1974" s="30">
        <f>'Raw data'!P1883</f>
        <v>0</v>
      </c>
      <c r="F1974" s="29" t="e">
        <f>VLOOKUP(E1974,'점포코드 '!A:B,2,0)</f>
        <v>#N/A</v>
      </c>
      <c r="G1974" s="46">
        <f>'Raw data'!F1883</f>
        <v>0</v>
      </c>
      <c r="H1974" s="4">
        <f>'Raw data'!G1883</f>
        <v>0</v>
      </c>
      <c r="I1974" s="29" t="e">
        <f>VLOOKUP(G1974,제품명!$C$1:$E$114,2,0)</f>
        <v>#N/A</v>
      </c>
      <c r="J1974" s="29">
        <f>'Raw data'!K1883</f>
        <v>0</v>
      </c>
      <c r="K1974" s="31">
        <f>'Raw data'!H1883</f>
        <v>0</v>
      </c>
      <c r="L1974" s="26">
        <f t="shared" si="64"/>
        <v>0</v>
      </c>
    </row>
    <row r="1975" spans="2:12">
      <c r="B1975" s="4" t="e">
        <f t="shared" si="63"/>
        <v>#N/A</v>
      </c>
      <c r="C1975" s="4">
        <f>'Raw data'!E1884</f>
        <v>0</v>
      </c>
      <c r="D1975" s="29" t="e">
        <f>VLOOKUP(C1975,'점포코드 '!A:B,2,0)</f>
        <v>#N/A</v>
      </c>
      <c r="E1975" s="30">
        <f>'Raw data'!P1884</f>
        <v>0</v>
      </c>
      <c r="F1975" s="29" t="e">
        <f>VLOOKUP(E1975,'점포코드 '!A:B,2,0)</f>
        <v>#N/A</v>
      </c>
      <c r="G1975" s="46">
        <f>'Raw data'!F1884</f>
        <v>0</v>
      </c>
      <c r="H1975" s="4">
        <f>'Raw data'!G1884</f>
        <v>0</v>
      </c>
      <c r="I1975" s="29" t="e">
        <f>VLOOKUP(G1975,제품명!$C$1:$E$114,2,0)</f>
        <v>#N/A</v>
      </c>
      <c r="J1975" s="29">
        <f>'Raw data'!K1884</f>
        <v>0</v>
      </c>
      <c r="K1975" s="31">
        <f>'Raw data'!H1884</f>
        <v>0</v>
      </c>
      <c r="L1975" s="26">
        <f t="shared" si="64"/>
        <v>0</v>
      </c>
    </row>
    <row r="1976" spans="2:12">
      <c r="B1976" s="4" t="e">
        <f t="shared" si="63"/>
        <v>#N/A</v>
      </c>
      <c r="C1976" s="4">
        <f>'Raw data'!E1885</f>
        <v>0</v>
      </c>
      <c r="D1976" s="29" t="e">
        <f>VLOOKUP(C1976,'점포코드 '!A:B,2,0)</f>
        <v>#N/A</v>
      </c>
      <c r="E1976" s="30">
        <f>'Raw data'!P1885</f>
        <v>0</v>
      </c>
      <c r="F1976" s="29" t="e">
        <f>VLOOKUP(E1976,'점포코드 '!A:B,2,0)</f>
        <v>#N/A</v>
      </c>
      <c r="G1976" s="46">
        <f>'Raw data'!F1885</f>
        <v>0</v>
      </c>
      <c r="H1976" s="4">
        <f>'Raw data'!G1885</f>
        <v>0</v>
      </c>
      <c r="I1976" s="29" t="e">
        <f>VLOOKUP(G1976,제품명!$C$1:$E$114,2,0)</f>
        <v>#N/A</v>
      </c>
      <c r="J1976" s="29">
        <f>'Raw data'!K1885</f>
        <v>0</v>
      </c>
      <c r="K1976" s="31">
        <f>'Raw data'!H1885</f>
        <v>0</v>
      </c>
      <c r="L1976" s="26">
        <f t="shared" si="64"/>
        <v>0</v>
      </c>
    </row>
    <row r="1977" spans="2:12">
      <c r="B1977" s="4" t="e">
        <f t="shared" si="63"/>
        <v>#N/A</v>
      </c>
      <c r="C1977" s="4">
        <f>'Raw data'!E1886</f>
        <v>0</v>
      </c>
      <c r="D1977" s="29" t="e">
        <f>VLOOKUP(C1977,'점포코드 '!A:B,2,0)</f>
        <v>#N/A</v>
      </c>
      <c r="E1977" s="30">
        <f>'Raw data'!P1886</f>
        <v>0</v>
      </c>
      <c r="F1977" s="29" t="e">
        <f>VLOOKUP(E1977,'점포코드 '!A:B,2,0)</f>
        <v>#N/A</v>
      </c>
      <c r="G1977" s="46">
        <f>'Raw data'!F1886</f>
        <v>0</v>
      </c>
      <c r="H1977" s="4">
        <f>'Raw data'!G1886</f>
        <v>0</v>
      </c>
      <c r="I1977" s="29" t="e">
        <f>VLOOKUP(G1977,제품명!$C$1:$E$114,2,0)</f>
        <v>#N/A</v>
      </c>
      <c r="J1977" s="29">
        <f>'Raw data'!K1886</f>
        <v>0</v>
      </c>
      <c r="K1977" s="31">
        <f>'Raw data'!H1886</f>
        <v>0</v>
      </c>
      <c r="L1977" s="26">
        <f t="shared" si="64"/>
        <v>0</v>
      </c>
    </row>
    <row r="1978" spans="2:12">
      <c r="B1978" s="4" t="e">
        <f t="shared" si="63"/>
        <v>#N/A</v>
      </c>
      <c r="C1978" s="4">
        <f>'Raw data'!E1887</f>
        <v>0</v>
      </c>
      <c r="D1978" s="29" t="e">
        <f>VLOOKUP(C1978,'점포코드 '!A:B,2,0)</f>
        <v>#N/A</v>
      </c>
      <c r="E1978" s="30">
        <f>'Raw data'!P1887</f>
        <v>0</v>
      </c>
      <c r="F1978" s="29" t="e">
        <f>VLOOKUP(E1978,'점포코드 '!A:B,2,0)</f>
        <v>#N/A</v>
      </c>
      <c r="G1978" s="46">
        <f>'Raw data'!F1887</f>
        <v>0</v>
      </c>
      <c r="H1978" s="4">
        <f>'Raw data'!G1887</f>
        <v>0</v>
      </c>
      <c r="I1978" s="29" t="e">
        <f>VLOOKUP(G1978,제품명!$C$1:$E$114,2,0)</f>
        <v>#N/A</v>
      </c>
      <c r="J1978" s="29">
        <f>'Raw data'!K1887</f>
        <v>0</v>
      </c>
      <c r="K1978" s="31">
        <f>'Raw data'!H1887</f>
        <v>0</v>
      </c>
      <c r="L1978" s="26">
        <f t="shared" si="64"/>
        <v>0</v>
      </c>
    </row>
    <row r="1979" spans="2:12">
      <c r="B1979" s="4" t="e">
        <f t="shared" si="63"/>
        <v>#N/A</v>
      </c>
      <c r="C1979" s="4">
        <f>'Raw data'!E1888</f>
        <v>0</v>
      </c>
      <c r="D1979" s="29" t="e">
        <f>VLOOKUP(C1979,'점포코드 '!A:B,2,0)</f>
        <v>#N/A</v>
      </c>
      <c r="E1979" s="30">
        <f>'Raw data'!P1888</f>
        <v>0</v>
      </c>
      <c r="F1979" s="29" t="e">
        <f>VLOOKUP(E1979,'점포코드 '!A:B,2,0)</f>
        <v>#N/A</v>
      </c>
      <c r="G1979" s="46">
        <f>'Raw data'!F1888</f>
        <v>0</v>
      </c>
      <c r="H1979" s="4">
        <f>'Raw data'!G1888</f>
        <v>0</v>
      </c>
      <c r="I1979" s="29" t="e">
        <f>VLOOKUP(G1979,제품명!$C$1:$E$114,2,0)</f>
        <v>#N/A</v>
      </c>
      <c r="J1979" s="29">
        <f>'Raw data'!K1888</f>
        <v>0</v>
      </c>
      <c r="K1979" s="31">
        <f>'Raw data'!H1888</f>
        <v>0</v>
      </c>
      <c r="L1979" s="26">
        <f t="shared" si="64"/>
        <v>0</v>
      </c>
    </row>
    <row r="1980" spans="2:12">
      <c r="B1980" s="4" t="e">
        <f t="shared" si="63"/>
        <v>#N/A</v>
      </c>
      <c r="C1980" s="4">
        <f>'Raw data'!E1889</f>
        <v>0</v>
      </c>
      <c r="D1980" s="29" t="e">
        <f>VLOOKUP(C1980,'점포코드 '!A:B,2,0)</f>
        <v>#N/A</v>
      </c>
      <c r="E1980" s="30">
        <f>'Raw data'!P1889</f>
        <v>0</v>
      </c>
      <c r="F1980" s="29" t="e">
        <f>VLOOKUP(E1980,'점포코드 '!A:B,2,0)</f>
        <v>#N/A</v>
      </c>
      <c r="G1980" s="46">
        <f>'Raw data'!F1889</f>
        <v>0</v>
      </c>
      <c r="H1980" s="4">
        <f>'Raw data'!G1889</f>
        <v>0</v>
      </c>
      <c r="I1980" s="29" t="e">
        <f>VLOOKUP(G1980,제품명!$C$1:$E$114,2,0)</f>
        <v>#N/A</v>
      </c>
      <c r="J1980" s="29">
        <f>'Raw data'!K1889</f>
        <v>0</v>
      </c>
      <c r="K1980" s="31">
        <f>'Raw data'!H1889</f>
        <v>0</v>
      </c>
      <c r="L1980" s="26">
        <f t="shared" si="64"/>
        <v>0</v>
      </c>
    </row>
    <row r="1981" spans="2:12">
      <c r="B1981" s="4" t="e">
        <f t="shared" si="63"/>
        <v>#N/A</v>
      </c>
      <c r="C1981" s="4">
        <f>'Raw data'!E1890</f>
        <v>0</v>
      </c>
      <c r="D1981" s="29" t="e">
        <f>VLOOKUP(C1981,'점포코드 '!A:B,2,0)</f>
        <v>#N/A</v>
      </c>
      <c r="E1981" s="30">
        <f>'Raw data'!P1890</f>
        <v>0</v>
      </c>
      <c r="F1981" s="29" t="e">
        <f>VLOOKUP(E1981,'점포코드 '!A:B,2,0)</f>
        <v>#N/A</v>
      </c>
      <c r="G1981" s="46">
        <f>'Raw data'!F1890</f>
        <v>0</v>
      </c>
      <c r="H1981" s="4">
        <f>'Raw data'!G1890</f>
        <v>0</v>
      </c>
      <c r="I1981" s="29" t="e">
        <f>VLOOKUP(G1981,제품명!$C$1:$E$114,2,0)</f>
        <v>#N/A</v>
      </c>
      <c r="J1981" s="29">
        <f>'Raw data'!K1890</f>
        <v>0</v>
      </c>
      <c r="K1981" s="31">
        <f>'Raw data'!H1890</f>
        <v>0</v>
      </c>
      <c r="L1981" s="26">
        <f t="shared" si="64"/>
        <v>0</v>
      </c>
    </row>
    <row r="1982" spans="2:12">
      <c r="B1982" s="4" t="e">
        <f t="shared" si="63"/>
        <v>#N/A</v>
      </c>
      <c r="C1982" s="4">
        <f>'Raw data'!E1891</f>
        <v>0</v>
      </c>
      <c r="D1982" s="29" t="e">
        <f>VLOOKUP(C1982,'점포코드 '!A:B,2,0)</f>
        <v>#N/A</v>
      </c>
      <c r="E1982" s="30">
        <f>'Raw data'!P1891</f>
        <v>0</v>
      </c>
      <c r="F1982" s="29" t="e">
        <f>VLOOKUP(E1982,'점포코드 '!A:B,2,0)</f>
        <v>#N/A</v>
      </c>
      <c r="G1982" s="46">
        <f>'Raw data'!F1891</f>
        <v>0</v>
      </c>
      <c r="H1982" s="4">
        <f>'Raw data'!G1891</f>
        <v>0</v>
      </c>
      <c r="I1982" s="29" t="e">
        <f>VLOOKUP(G1982,제품명!$C$1:$E$114,2,0)</f>
        <v>#N/A</v>
      </c>
      <c r="J1982" s="29">
        <f>'Raw data'!K1891</f>
        <v>0</v>
      </c>
      <c r="K1982" s="31">
        <f>'Raw data'!H1891</f>
        <v>0</v>
      </c>
      <c r="L1982" s="26">
        <f t="shared" si="64"/>
        <v>0</v>
      </c>
    </row>
    <row r="1983" spans="2:12">
      <c r="B1983" s="4" t="e">
        <f t="shared" si="63"/>
        <v>#N/A</v>
      </c>
      <c r="C1983" s="4">
        <f>'Raw data'!E1892</f>
        <v>0</v>
      </c>
      <c r="D1983" s="29" t="e">
        <f>VLOOKUP(C1983,'점포코드 '!A:B,2,0)</f>
        <v>#N/A</v>
      </c>
      <c r="E1983" s="30">
        <f>'Raw data'!P1892</f>
        <v>0</v>
      </c>
      <c r="F1983" s="29" t="e">
        <f>VLOOKUP(E1983,'점포코드 '!A:B,2,0)</f>
        <v>#N/A</v>
      </c>
      <c r="G1983" s="46">
        <f>'Raw data'!F1892</f>
        <v>0</v>
      </c>
      <c r="H1983" s="4">
        <f>'Raw data'!G1892</f>
        <v>0</v>
      </c>
      <c r="I1983" s="29" t="e">
        <f>VLOOKUP(G1983,제품명!$C$1:$E$114,2,0)</f>
        <v>#N/A</v>
      </c>
      <c r="J1983" s="29">
        <f>'Raw data'!K1892</f>
        <v>0</v>
      </c>
      <c r="K1983" s="31">
        <f>'Raw data'!H1892</f>
        <v>0</v>
      </c>
      <c r="L1983" s="26">
        <f t="shared" si="64"/>
        <v>0</v>
      </c>
    </row>
    <row r="1984" spans="2:12">
      <c r="B1984" s="4" t="e">
        <f t="shared" si="63"/>
        <v>#N/A</v>
      </c>
      <c r="C1984" s="4">
        <f>'Raw data'!E1893</f>
        <v>0</v>
      </c>
      <c r="D1984" s="29" t="e">
        <f>VLOOKUP(C1984,'점포코드 '!A:B,2,0)</f>
        <v>#N/A</v>
      </c>
      <c r="E1984" s="30">
        <f>'Raw data'!P1893</f>
        <v>0</v>
      </c>
      <c r="F1984" s="29" t="e">
        <f>VLOOKUP(E1984,'점포코드 '!A:B,2,0)</f>
        <v>#N/A</v>
      </c>
      <c r="G1984" s="46">
        <f>'Raw data'!F1893</f>
        <v>0</v>
      </c>
      <c r="H1984" s="4">
        <f>'Raw data'!G1893</f>
        <v>0</v>
      </c>
      <c r="I1984" s="29" t="e">
        <f>VLOOKUP(G1984,제품명!$C$1:$E$114,2,0)</f>
        <v>#N/A</v>
      </c>
      <c r="J1984" s="29">
        <f>'Raw data'!K1893</f>
        <v>0</v>
      </c>
      <c r="K1984" s="31">
        <f>'Raw data'!H1893</f>
        <v>0</v>
      </c>
      <c r="L1984" s="26">
        <f t="shared" si="64"/>
        <v>0</v>
      </c>
    </row>
    <row r="1985" spans="2:12">
      <c r="B1985" s="4" t="e">
        <f t="shared" si="63"/>
        <v>#N/A</v>
      </c>
      <c r="C1985" s="4">
        <f>'Raw data'!E1894</f>
        <v>0</v>
      </c>
      <c r="D1985" s="29" t="e">
        <f>VLOOKUP(C1985,'점포코드 '!A:B,2,0)</f>
        <v>#N/A</v>
      </c>
      <c r="E1985" s="30">
        <f>'Raw data'!P1894</f>
        <v>0</v>
      </c>
      <c r="F1985" s="29" t="e">
        <f>VLOOKUP(E1985,'점포코드 '!A:B,2,0)</f>
        <v>#N/A</v>
      </c>
      <c r="G1985" s="46">
        <f>'Raw data'!F1894</f>
        <v>0</v>
      </c>
      <c r="H1985" s="4">
        <f>'Raw data'!G1894</f>
        <v>0</v>
      </c>
      <c r="I1985" s="29" t="e">
        <f>VLOOKUP(G1985,제품명!$C$1:$E$114,2,0)</f>
        <v>#N/A</v>
      </c>
      <c r="J1985" s="29">
        <f>'Raw data'!K1894</f>
        <v>0</v>
      </c>
      <c r="K1985" s="31">
        <f>'Raw data'!H1894</f>
        <v>0</v>
      </c>
      <c r="L1985" s="26">
        <f t="shared" si="64"/>
        <v>0</v>
      </c>
    </row>
    <row r="1986" spans="2:12">
      <c r="B1986" s="4" t="e">
        <f t="shared" ref="B1986:B2049" si="65">F1986&amp;I1986</f>
        <v>#N/A</v>
      </c>
      <c r="C1986" s="4">
        <f>'Raw data'!E1895</f>
        <v>0</v>
      </c>
      <c r="D1986" s="29" t="e">
        <f>VLOOKUP(C1986,'점포코드 '!A:B,2,0)</f>
        <v>#N/A</v>
      </c>
      <c r="E1986" s="30">
        <f>'Raw data'!P1895</f>
        <v>0</v>
      </c>
      <c r="F1986" s="29" t="e">
        <f>VLOOKUP(E1986,'점포코드 '!A:B,2,0)</f>
        <v>#N/A</v>
      </c>
      <c r="G1986" s="46">
        <f>'Raw data'!F1895</f>
        <v>0</v>
      </c>
      <c r="H1986" s="4">
        <f>'Raw data'!G1895</f>
        <v>0</v>
      </c>
      <c r="I1986" s="29" t="e">
        <f>VLOOKUP(G1986,제품명!$C$1:$E$114,2,0)</f>
        <v>#N/A</v>
      </c>
      <c r="J1986" s="29">
        <f>'Raw data'!K1895</f>
        <v>0</v>
      </c>
      <c r="K1986" s="31">
        <f>'Raw data'!H1895</f>
        <v>0</v>
      </c>
      <c r="L1986" s="26">
        <f t="shared" si="64"/>
        <v>0</v>
      </c>
    </row>
    <row r="1987" spans="2:12">
      <c r="B1987" s="4" t="e">
        <f t="shared" si="65"/>
        <v>#N/A</v>
      </c>
      <c r="C1987" s="4">
        <f>'Raw data'!E1896</f>
        <v>0</v>
      </c>
      <c r="D1987" s="29" t="e">
        <f>VLOOKUP(C1987,'점포코드 '!A:B,2,0)</f>
        <v>#N/A</v>
      </c>
      <c r="E1987" s="30">
        <f>'Raw data'!P1896</f>
        <v>0</v>
      </c>
      <c r="F1987" s="29" t="e">
        <f>VLOOKUP(E1987,'점포코드 '!A:B,2,0)</f>
        <v>#N/A</v>
      </c>
      <c r="G1987" s="46">
        <f>'Raw data'!F1896</f>
        <v>0</v>
      </c>
      <c r="H1987" s="4">
        <f>'Raw data'!G1896</f>
        <v>0</v>
      </c>
      <c r="I1987" s="29" t="e">
        <f>VLOOKUP(G1987,제품명!$C$1:$E$114,2,0)</f>
        <v>#N/A</v>
      </c>
      <c r="J1987" s="29">
        <f>'Raw data'!K1896</f>
        <v>0</v>
      </c>
      <c r="K1987" s="31">
        <f>'Raw data'!H1896</f>
        <v>0</v>
      </c>
      <c r="L1987" s="26">
        <f t="shared" ref="L1987:L2050" si="66">J1987*K1987</f>
        <v>0</v>
      </c>
    </row>
    <row r="1988" spans="2:12">
      <c r="B1988" s="4" t="e">
        <f t="shared" si="65"/>
        <v>#N/A</v>
      </c>
      <c r="C1988" s="4">
        <f>'Raw data'!E1897</f>
        <v>0</v>
      </c>
      <c r="D1988" s="29" t="e">
        <f>VLOOKUP(C1988,'점포코드 '!A:B,2,0)</f>
        <v>#N/A</v>
      </c>
      <c r="E1988" s="30">
        <f>'Raw data'!P1897</f>
        <v>0</v>
      </c>
      <c r="F1988" s="29" t="e">
        <f>VLOOKUP(E1988,'점포코드 '!A:B,2,0)</f>
        <v>#N/A</v>
      </c>
      <c r="G1988" s="46">
        <f>'Raw data'!F1897</f>
        <v>0</v>
      </c>
      <c r="H1988" s="4">
        <f>'Raw data'!G1897</f>
        <v>0</v>
      </c>
      <c r="I1988" s="29" t="e">
        <f>VLOOKUP(G1988,제품명!$C$1:$E$114,2,0)</f>
        <v>#N/A</v>
      </c>
      <c r="J1988" s="29">
        <f>'Raw data'!K1897</f>
        <v>0</v>
      </c>
      <c r="K1988" s="31">
        <f>'Raw data'!H1897</f>
        <v>0</v>
      </c>
      <c r="L1988" s="26">
        <f t="shared" si="66"/>
        <v>0</v>
      </c>
    </row>
    <row r="1989" spans="2:12">
      <c r="B1989" s="4" t="e">
        <f t="shared" si="65"/>
        <v>#N/A</v>
      </c>
      <c r="C1989" s="4">
        <f>'Raw data'!E1898</f>
        <v>0</v>
      </c>
      <c r="D1989" s="29" t="e">
        <f>VLOOKUP(C1989,'점포코드 '!A:B,2,0)</f>
        <v>#N/A</v>
      </c>
      <c r="E1989" s="30">
        <f>'Raw data'!P1898</f>
        <v>0</v>
      </c>
      <c r="F1989" s="29" t="e">
        <f>VLOOKUP(E1989,'점포코드 '!A:B,2,0)</f>
        <v>#N/A</v>
      </c>
      <c r="G1989" s="46">
        <f>'Raw data'!F1898</f>
        <v>0</v>
      </c>
      <c r="H1989" s="4">
        <f>'Raw data'!G1898</f>
        <v>0</v>
      </c>
      <c r="I1989" s="29" t="e">
        <f>VLOOKUP(G1989,제품명!$C$1:$E$114,2,0)</f>
        <v>#N/A</v>
      </c>
      <c r="J1989" s="29">
        <f>'Raw data'!K1898</f>
        <v>0</v>
      </c>
      <c r="K1989" s="31">
        <f>'Raw data'!H1898</f>
        <v>0</v>
      </c>
      <c r="L1989" s="26">
        <f t="shared" si="66"/>
        <v>0</v>
      </c>
    </row>
    <row r="1990" spans="2:12">
      <c r="B1990" s="4" t="e">
        <f t="shared" si="65"/>
        <v>#N/A</v>
      </c>
      <c r="C1990" s="4">
        <f>'Raw data'!E1899</f>
        <v>0</v>
      </c>
      <c r="D1990" s="29" t="e">
        <f>VLOOKUP(C1990,'점포코드 '!A:B,2,0)</f>
        <v>#N/A</v>
      </c>
      <c r="E1990" s="30">
        <f>'Raw data'!P1899</f>
        <v>0</v>
      </c>
      <c r="F1990" s="29" t="e">
        <f>VLOOKUP(E1990,'점포코드 '!A:B,2,0)</f>
        <v>#N/A</v>
      </c>
      <c r="G1990" s="46">
        <f>'Raw data'!F1899</f>
        <v>0</v>
      </c>
      <c r="H1990" s="4">
        <f>'Raw data'!G1899</f>
        <v>0</v>
      </c>
      <c r="I1990" s="29" t="e">
        <f>VLOOKUP(G1990,제품명!$C$1:$E$114,2,0)</f>
        <v>#N/A</v>
      </c>
      <c r="J1990" s="29">
        <f>'Raw data'!K1899</f>
        <v>0</v>
      </c>
      <c r="K1990" s="31">
        <f>'Raw data'!H1899</f>
        <v>0</v>
      </c>
      <c r="L1990" s="26">
        <f t="shared" si="66"/>
        <v>0</v>
      </c>
    </row>
    <row r="1991" spans="2:12">
      <c r="B1991" s="4" t="e">
        <f t="shared" si="65"/>
        <v>#N/A</v>
      </c>
      <c r="C1991" s="4">
        <f>'Raw data'!E1900</f>
        <v>0</v>
      </c>
      <c r="D1991" s="29" t="e">
        <f>VLOOKUP(C1991,'점포코드 '!A:B,2,0)</f>
        <v>#N/A</v>
      </c>
      <c r="E1991" s="30">
        <f>'Raw data'!P1900</f>
        <v>0</v>
      </c>
      <c r="F1991" s="29" t="e">
        <f>VLOOKUP(E1991,'점포코드 '!A:B,2,0)</f>
        <v>#N/A</v>
      </c>
      <c r="G1991" s="46">
        <f>'Raw data'!F1900</f>
        <v>0</v>
      </c>
      <c r="H1991" s="4">
        <f>'Raw data'!G1900</f>
        <v>0</v>
      </c>
      <c r="I1991" s="29" t="e">
        <f>VLOOKUP(G1991,제품명!$C$1:$E$114,2,0)</f>
        <v>#N/A</v>
      </c>
      <c r="J1991" s="29">
        <f>'Raw data'!K1900</f>
        <v>0</v>
      </c>
      <c r="K1991" s="31">
        <f>'Raw data'!H1900</f>
        <v>0</v>
      </c>
      <c r="L1991" s="26">
        <f t="shared" si="66"/>
        <v>0</v>
      </c>
    </row>
    <row r="1992" spans="2:12">
      <c r="B1992" s="4" t="e">
        <f t="shared" si="65"/>
        <v>#N/A</v>
      </c>
      <c r="C1992" s="4">
        <f>'Raw data'!E1901</f>
        <v>0</v>
      </c>
      <c r="D1992" s="29" t="e">
        <f>VLOOKUP(C1992,'점포코드 '!A:B,2,0)</f>
        <v>#N/A</v>
      </c>
      <c r="E1992" s="30">
        <f>'Raw data'!P1901</f>
        <v>0</v>
      </c>
      <c r="F1992" s="29" t="e">
        <f>VLOOKUP(E1992,'점포코드 '!A:B,2,0)</f>
        <v>#N/A</v>
      </c>
      <c r="G1992" s="46">
        <f>'Raw data'!F1901</f>
        <v>0</v>
      </c>
      <c r="H1992" s="4">
        <f>'Raw data'!G1901</f>
        <v>0</v>
      </c>
      <c r="I1992" s="29" t="e">
        <f>VLOOKUP(G1992,제품명!$C$1:$E$114,2,0)</f>
        <v>#N/A</v>
      </c>
      <c r="J1992" s="29">
        <f>'Raw data'!K1901</f>
        <v>0</v>
      </c>
      <c r="K1992" s="31">
        <f>'Raw data'!H1901</f>
        <v>0</v>
      </c>
      <c r="L1992" s="26">
        <f t="shared" si="66"/>
        <v>0</v>
      </c>
    </row>
    <row r="1993" spans="2:12">
      <c r="B1993" s="4" t="e">
        <f t="shared" si="65"/>
        <v>#N/A</v>
      </c>
      <c r="C1993" s="4">
        <f>'Raw data'!E1902</f>
        <v>0</v>
      </c>
      <c r="D1993" s="29" t="e">
        <f>VLOOKUP(C1993,'점포코드 '!A:B,2,0)</f>
        <v>#N/A</v>
      </c>
      <c r="E1993" s="30">
        <f>'Raw data'!P1902</f>
        <v>0</v>
      </c>
      <c r="F1993" s="29" t="e">
        <f>VLOOKUP(E1993,'점포코드 '!A:B,2,0)</f>
        <v>#N/A</v>
      </c>
      <c r="G1993" s="46">
        <f>'Raw data'!F1902</f>
        <v>0</v>
      </c>
      <c r="H1993" s="4">
        <f>'Raw data'!G1902</f>
        <v>0</v>
      </c>
      <c r="I1993" s="29" t="e">
        <f>VLOOKUP(G1993,제품명!$C$1:$E$114,2,0)</f>
        <v>#N/A</v>
      </c>
      <c r="J1993" s="29">
        <f>'Raw data'!K1902</f>
        <v>0</v>
      </c>
      <c r="K1993" s="31">
        <f>'Raw data'!H1902</f>
        <v>0</v>
      </c>
      <c r="L1993" s="26">
        <f t="shared" si="66"/>
        <v>0</v>
      </c>
    </row>
    <row r="1994" spans="2:12">
      <c r="B1994" s="4" t="e">
        <f t="shared" si="65"/>
        <v>#N/A</v>
      </c>
      <c r="C1994" s="4">
        <f>'Raw data'!E1903</f>
        <v>0</v>
      </c>
      <c r="D1994" s="29" t="e">
        <f>VLOOKUP(C1994,'점포코드 '!A:B,2,0)</f>
        <v>#N/A</v>
      </c>
      <c r="E1994" s="30">
        <f>'Raw data'!P1903</f>
        <v>0</v>
      </c>
      <c r="F1994" s="29" t="e">
        <f>VLOOKUP(E1994,'점포코드 '!A:B,2,0)</f>
        <v>#N/A</v>
      </c>
      <c r="G1994" s="46">
        <f>'Raw data'!F1903</f>
        <v>0</v>
      </c>
      <c r="H1994" s="4">
        <f>'Raw data'!G1903</f>
        <v>0</v>
      </c>
      <c r="I1994" s="29" t="e">
        <f>VLOOKUP(G1994,제품명!$C$1:$E$114,2,0)</f>
        <v>#N/A</v>
      </c>
      <c r="J1994" s="29">
        <f>'Raw data'!K1903</f>
        <v>0</v>
      </c>
      <c r="K1994" s="31">
        <f>'Raw data'!H1903</f>
        <v>0</v>
      </c>
      <c r="L1994" s="26">
        <f t="shared" si="66"/>
        <v>0</v>
      </c>
    </row>
    <row r="1995" spans="2:12">
      <c r="B1995" s="4" t="e">
        <f t="shared" si="65"/>
        <v>#N/A</v>
      </c>
      <c r="C1995" s="4">
        <f>'Raw data'!E1904</f>
        <v>0</v>
      </c>
      <c r="D1995" s="29" t="e">
        <f>VLOOKUP(C1995,'점포코드 '!A:B,2,0)</f>
        <v>#N/A</v>
      </c>
      <c r="E1995" s="30">
        <f>'Raw data'!P1904</f>
        <v>0</v>
      </c>
      <c r="F1995" s="29" t="e">
        <f>VLOOKUP(E1995,'점포코드 '!A:B,2,0)</f>
        <v>#N/A</v>
      </c>
      <c r="G1995" s="46">
        <f>'Raw data'!F1904</f>
        <v>0</v>
      </c>
      <c r="H1995" s="4">
        <f>'Raw data'!G1904</f>
        <v>0</v>
      </c>
      <c r="I1995" s="29" t="e">
        <f>VLOOKUP(G1995,제품명!$C$1:$E$114,2,0)</f>
        <v>#N/A</v>
      </c>
      <c r="J1995" s="29">
        <f>'Raw data'!K1904</f>
        <v>0</v>
      </c>
      <c r="K1995" s="31">
        <f>'Raw data'!H1904</f>
        <v>0</v>
      </c>
      <c r="L1995" s="26">
        <f t="shared" si="66"/>
        <v>0</v>
      </c>
    </row>
    <row r="1996" spans="2:12">
      <c r="B1996" s="4" t="e">
        <f t="shared" si="65"/>
        <v>#N/A</v>
      </c>
      <c r="C1996" s="4">
        <f>'Raw data'!E1905</f>
        <v>0</v>
      </c>
      <c r="D1996" s="29" t="e">
        <f>VLOOKUP(C1996,'점포코드 '!A:B,2,0)</f>
        <v>#N/A</v>
      </c>
      <c r="E1996" s="30">
        <f>'Raw data'!P1905</f>
        <v>0</v>
      </c>
      <c r="F1996" s="29" t="e">
        <f>VLOOKUP(E1996,'점포코드 '!A:B,2,0)</f>
        <v>#N/A</v>
      </c>
      <c r="G1996" s="46">
        <f>'Raw data'!F1905</f>
        <v>0</v>
      </c>
      <c r="H1996" s="4">
        <f>'Raw data'!G1905</f>
        <v>0</v>
      </c>
      <c r="I1996" s="29" t="e">
        <f>VLOOKUP(G1996,제품명!$C$1:$E$114,2,0)</f>
        <v>#N/A</v>
      </c>
      <c r="J1996" s="29">
        <f>'Raw data'!K1905</f>
        <v>0</v>
      </c>
      <c r="K1996" s="31">
        <f>'Raw data'!H1905</f>
        <v>0</v>
      </c>
      <c r="L1996" s="26">
        <f t="shared" si="66"/>
        <v>0</v>
      </c>
    </row>
    <row r="1997" spans="2:12">
      <c r="B1997" s="4" t="e">
        <f t="shared" si="65"/>
        <v>#N/A</v>
      </c>
      <c r="C1997" s="4">
        <f>'Raw data'!E1906</f>
        <v>0</v>
      </c>
      <c r="D1997" s="29" t="e">
        <f>VLOOKUP(C1997,'점포코드 '!A:B,2,0)</f>
        <v>#N/A</v>
      </c>
      <c r="E1997" s="30">
        <f>'Raw data'!P1906</f>
        <v>0</v>
      </c>
      <c r="F1997" s="29" t="e">
        <f>VLOOKUP(E1997,'점포코드 '!A:B,2,0)</f>
        <v>#N/A</v>
      </c>
      <c r="G1997" s="46">
        <f>'Raw data'!F1906</f>
        <v>0</v>
      </c>
      <c r="H1997" s="4">
        <f>'Raw data'!G1906</f>
        <v>0</v>
      </c>
      <c r="I1997" s="29" t="e">
        <f>VLOOKUP(G1997,제품명!$C$1:$E$114,2,0)</f>
        <v>#N/A</v>
      </c>
      <c r="J1997" s="29">
        <f>'Raw data'!K1906</f>
        <v>0</v>
      </c>
      <c r="K1997" s="31">
        <f>'Raw data'!H1906</f>
        <v>0</v>
      </c>
      <c r="L1997" s="26">
        <f t="shared" si="66"/>
        <v>0</v>
      </c>
    </row>
    <row r="1998" spans="2:12">
      <c r="B1998" s="4" t="e">
        <f t="shared" si="65"/>
        <v>#N/A</v>
      </c>
      <c r="C1998" s="4">
        <f>'Raw data'!E1907</f>
        <v>0</v>
      </c>
      <c r="D1998" s="29" t="e">
        <f>VLOOKUP(C1998,'점포코드 '!A:B,2,0)</f>
        <v>#N/A</v>
      </c>
      <c r="E1998" s="30">
        <f>'Raw data'!P1907</f>
        <v>0</v>
      </c>
      <c r="F1998" s="29" t="e">
        <f>VLOOKUP(E1998,'점포코드 '!A:B,2,0)</f>
        <v>#N/A</v>
      </c>
      <c r="G1998" s="46">
        <f>'Raw data'!F1907</f>
        <v>0</v>
      </c>
      <c r="H1998" s="4">
        <f>'Raw data'!G1907</f>
        <v>0</v>
      </c>
      <c r="I1998" s="29" t="e">
        <f>VLOOKUP(G1998,제품명!$C$1:$E$114,2,0)</f>
        <v>#N/A</v>
      </c>
      <c r="J1998" s="29">
        <f>'Raw data'!K1907</f>
        <v>0</v>
      </c>
      <c r="K1998" s="31">
        <f>'Raw data'!H1907</f>
        <v>0</v>
      </c>
      <c r="L1998" s="26">
        <f t="shared" si="66"/>
        <v>0</v>
      </c>
    </row>
    <row r="1999" spans="2:12">
      <c r="B1999" s="4" t="e">
        <f t="shared" si="65"/>
        <v>#N/A</v>
      </c>
      <c r="C1999" s="4">
        <f>'Raw data'!E1908</f>
        <v>0</v>
      </c>
      <c r="D1999" s="29" t="e">
        <f>VLOOKUP(C1999,'점포코드 '!A:B,2,0)</f>
        <v>#N/A</v>
      </c>
      <c r="E1999" s="30">
        <f>'Raw data'!P1908</f>
        <v>0</v>
      </c>
      <c r="F1999" s="29" t="e">
        <f>VLOOKUP(E1999,'점포코드 '!A:B,2,0)</f>
        <v>#N/A</v>
      </c>
      <c r="G1999" s="46">
        <f>'Raw data'!F1908</f>
        <v>0</v>
      </c>
      <c r="H1999" s="4">
        <f>'Raw data'!G1908</f>
        <v>0</v>
      </c>
      <c r="I1999" s="29" t="e">
        <f>VLOOKUP(G1999,제품명!$C$1:$E$114,2,0)</f>
        <v>#N/A</v>
      </c>
      <c r="J1999" s="29">
        <f>'Raw data'!K1908</f>
        <v>0</v>
      </c>
      <c r="K1999" s="31">
        <f>'Raw data'!H1908</f>
        <v>0</v>
      </c>
      <c r="L1999" s="26">
        <f t="shared" si="66"/>
        <v>0</v>
      </c>
    </row>
    <row r="2000" spans="2:12">
      <c r="B2000" s="4" t="e">
        <f t="shared" si="65"/>
        <v>#N/A</v>
      </c>
      <c r="C2000" s="4">
        <f>'Raw data'!E1909</f>
        <v>0</v>
      </c>
      <c r="D2000" s="29" t="e">
        <f>VLOOKUP(C2000,'점포코드 '!A:B,2,0)</f>
        <v>#N/A</v>
      </c>
      <c r="E2000" s="30">
        <f>'Raw data'!P1909</f>
        <v>0</v>
      </c>
      <c r="F2000" s="29" t="e">
        <f>VLOOKUP(E2000,'점포코드 '!A:B,2,0)</f>
        <v>#N/A</v>
      </c>
      <c r="G2000" s="46">
        <f>'Raw data'!F1909</f>
        <v>0</v>
      </c>
      <c r="H2000" s="4">
        <f>'Raw data'!G1909</f>
        <v>0</v>
      </c>
      <c r="I2000" s="29" t="e">
        <f>VLOOKUP(G2000,제품명!$C$1:$E$114,2,0)</f>
        <v>#N/A</v>
      </c>
      <c r="J2000" s="29">
        <f>'Raw data'!K1909</f>
        <v>0</v>
      </c>
      <c r="K2000" s="31">
        <f>'Raw data'!H1909</f>
        <v>0</v>
      </c>
      <c r="L2000" s="26">
        <f t="shared" si="66"/>
        <v>0</v>
      </c>
    </row>
    <row r="2001" spans="2:12">
      <c r="B2001" s="4" t="e">
        <f t="shared" si="65"/>
        <v>#N/A</v>
      </c>
      <c r="C2001" s="4">
        <f>'Raw data'!E1910</f>
        <v>0</v>
      </c>
      <c r="D2001" s="29" t="e">
        <f>VLOOKUP(C2001,'점포코드 '!A:B,2,0)</f>
        <v>#N/A</v>
      </c>
      <c r="E2001" s="30">
        <f>'Raw data'!P1910</f>
        <v>0</v>
      </c>
      <c r="F2001" s="29" t="e">
        <f>VLOOKUP(E2001,'점포코드 '!A:B,2,0)</f>
        <v>#N/A</v>
      </c>
      <c r="G2001" s="46">
        <f>'Raw data'!F1910</f>
        <v>0</v>
      </c>
      <c r="H2001" s="4">
        <f>'Raw data'!G1910</f>
        <v>0</v>
      </c>
      <c r="I2001" s="29" t="e">
        <f>VLOOKUP(G2001,제품명!$C$1:$E$114,2,0)</f>
        <v>#N/A</v>
      </c>
      <c r="J2001" s="29">
        <f>'Raw data'!K1910</f>
        <v>0</v>
      </c>
      <c r="K2001" s="31">
        <f>'Raw data'!H1910</f>
        <v>0</v>
      </c>
      <c r="L2001" s="26">
        <f t="shared" si="66"/>
        <v>0</v>
      </c>
    </row>
    <row r="2002" spans="2:12">
      <c r="B2002" s="4" t="e">
        <f t="shared" si="65"/>
        <v>#N/A</v>
      </c>
      <c r="C2002" s="4">
        <f>'Raw data'!E1911</f>
        <v>0</v>
      </c>
      <c r="D2002" s="29" t="e">
        <f>VLOOKUP(C2002,'점포코드 '!A:B,2,0)</f>
        <v>#N/A</v>
      </c>
      <c r="E2002" s="30">
        <f>'Raw data'!P1911</f>
        <v>0</v>
      </c>
      <c r="F2002" s="29" t="e">
        <f>VLOOKUP(E2002,'점포코드 '!A:B,2,0)</f>
        <v>#N/A</v>
      </c>
      <c r="G2002" s="46">
        <f>'Raw data'!F1911</f>
        <v>0</v>
      </c>
      <c r="H2002" s="4">
        <f>'Raw data'!G1911</f>
        <v>0</v>
      </c>
      <c r="I2002" s="29" t="e">
        <f>VLOOKUP(G2002,제품명!$C$1:$E$114,2,0)</f>
        <v>#N/A</v>
      </c>
      <c r="J2002" s="29">
        <f>'Raw data'!K1911</f>
        <v>0</v>
      </c>
      <c r="K2002" s="31">
        <f>'Raw data'!H1911</f>
        <v>0</v>
      </c>
      <c r="L2002" s="26">
        <f t="shared" si="66"/>
        <v>0</v>
      </c>
    </row>
    <row r="2003" spans="2:12">
      <c r="B2003" s="4" t="e">
        <f t="shared" si="65"/>
        <v>#N/A</v>
      </c>
      <c r="C2003" s="4">
        <f>'Raw data'!E1912</f>
        <v>0</v>
      </c>
      <c r="D2003" s="29" t="e">
        <f>VLOOKUP(C2003,'점포코드 '!A:B,2,0)</f>
        <v>#N/A</v>
      </c>
      <c r="E2003" s="30">
        <f>'Raw data'!P1912</f>
        <v>0</v>
      </c>
      <c r="F2003" s="29" t="e">
        <f>VLOOKUP(E2003,'점포코드 '!A:B,2,0)</f>
        <v>#N/A</v>
      </c>
      <c r="G2003" s="46">
        <f>'Raw data'!F1912</f>
        <v>0</v>
      </c>
      <c r="H2003" s="4">
        <f>'Raw data'!G1912</f>
        <v>0</v>
      </c>
      <c r="I2003" s="29" t="e">
        <f>VLOOKUP(G2003,제품명!$C$1:$E$114,2,0)</f>
        <v>#N/A</v>
      </c>
      <c r="J2003" s="29">
        <f>'Raw data'!K1912</f>
        <v>0</v>
      </c>
      <c r="K2003" s="31">
        <f>'Raw data'!H1912</f>
        <v>0</v>
      </c>
      <c r="L2003" s="26">
        <f t="shared" si="66"/>
        <v>0</v>
      </c>
    </row>
    <row r="2004" spans="2:12">
      <c r="B2004" s="4" t="e">
        <f t="shared" si="65"/>
        <v>#N/A</v>
      </c>
      <c r="C2004" s="4">
        <f>'Raw data'!E1913</f>
        <v>0</v>
      </c>
      <c r="D2004" s="29" t="e">
        <f>VLOOKUP(C2004,'점포코드 '!A:B,2,0)</f>
        <v>#N/A</v>
      </c>
      <c r="E2004" s="30">
        <f>'Raw data'!P1913</f>
        <v>0</v>
      </c>
      <c r="F2004" s="29" t="e">
        <f>VLOOKUP(E2004,'점포코드 '!A:B,2,0)</f>
        <v>#N/A</v>
      </c>
      <c r="G2004" s="46">
        <f>'Raw data'!F1913</f>
        <v>0</v>
      </c>
      <c r="H2004" s="4">
        <f>'Raw data'!G1913</f>
        <v>0</v>
      </c>
      <c r="I2004" s="29" t="e">
        <f>VLOOKUP(G2004,제품명!$C$1:$E$114,2,0)</f>
        <v>#N/A</v>
      </c>
      <c r="J2004" s="29">
        <f>'Raw data'!K1913</f>
        <v>0</v>
      </c>
      <c r="K2004" s="31">
        <f>'Raw data'!H1913</f>
        <v>0</v>
      </c>
      <c r="L2004" s="26">
        <f t="shared" si="66"/>
        <v>0</v>
      </c>
    </row>
    <row r="2005" spans="2:12">
      <c r="B2005" s="4" t="e">
        <f t="shared" si="65"/>
        <v>#N/A</v>
      </c>
      <c r="C2005" s="4">
        <f>'Raw data'!E1914</f>
        <v>0</v>
      </c>
      <c r="D2005" s="29" t="e">
        <f>VLOOKUP(C2005,'점포코드 '!A:B,2,0)</f>
        <v>#N/A</v>
      </c>
      <c r="E2005" s="30">
        <f>'Raw data'!P1914</f>
        <v>0</v>
      </c>
      <c r="F2005" s="29" t="e">
        <f>VLOOKUP(E2005,'점포코드 '!A:B,2,0)</f>
        <v>#N/A</v>
      </c>
      <c r="G2005" s="46">
        <f>'Raw data'!F1914</f>
        <v>0</v>
      </c>
      <c r="H2005" s="4">
        <f>'Raw data'!G1914</f>
        <v>0</v>
      </c>
      <c r="I2005" s="29" t="e">
        <f>VLOOKUP(G2005,제품명!$C$1:$E$114,2,0)</f>
        <v>#N/A</v>
      </c>
      <c r="J2005" s="29">
        <f>'Raw data'!K1914</f>
        <v>0</v>
      </c>
      <c r="K2005" s="31">
        <f>'Raw data'!H1914</f>
        <v>0</v>
      </c>
      <c r="L2005" s="26">
        <f t="shared" si="66"/>
        <v>0</v>
      </c>
    </row>
    <row r="2006" spans="2:12">
      <c r="B2006" s="4" t="e">
        <f t="shared" si="65"/>
        <v>#N/A</v>
      </c>
      <c r="C2006" s="4">
        <f>'Raw data'!E1915</f>
        <v>0</v>
      </c>
      <c r="D2006" s="29" t="e">
        <f>VLOOKUP(C2006,'점포코드 '!A:B,2,0)</f>
        <v>#N/A</v>
      </c>
      <c r="E2006" s="30">
        <f>'Raw data'!P1915</f>
        <v>0</v>
      </c>
      <c r="F2006" s="29" t="e">
        <f>VLOOKUP(E2006,'점포코드 '!A:B,2,0)</f>
        <v>#N/A</v>
      </c>
      <c r="G2006" s="46">
        <f>'Raw data'!F1915</f>
        <v>0</v>
      </c>
      <c r="H2006" s="4">
        <f>'Raw data'!G1915</f>
        <v>0</v>
      </c>
      <c r="I2006" s="29" t="e">
        <f>VLOOKUP(G2006,제품명!$C$1:$E$114,2,0)</f>
        <v>#N/A</v>
      </c>
      <c r="J2006" s="29">
        <f>'Raw data'!K1915</f>
        <v>0</v>
      </c>
      <c r="K2006" s="31">
        <f>'Raw data'!H1915</f>
        <v>0</v>
      </c>
      <c r="L2006" s="26">
        <f t="shared" si="66"/>
        <v>0</v>
      </c>
    </row>
    <row r="2007" spans="2:12">
      <c r="B2007" s="4" t="e">
        <f t="shared" si="65"/>
        <v>#N/A</v>
      </c>
      <c r="C2007" s="4">
        <f>'Raw data'!E1916</f>
        <v>0</v>
      </c>
      <c r="D2007" s="29" t="e">
        <f>VLOOKUP(C2007,'점포코드 '!A:B,2,0)</f>
        <v>#N/A</v>
      </c>
      <c r="E2007" s="30">
        <f>'Raw data'!P1916</f>
        <v>0</v>
      </c>
      <c r="F2007" s="29" t="e">
        <f>VLOOKUP(E2007,'점포코드 '!A:B,2,0)</f>
        <v>#N/A</v>
      </c>
      <c r="G2007" s="46">
        <f>'Raw data'!F1916</f>
        <v>0</v>
      </c>
      <c r="H2007" s="4">
        <f>'Raw data'!G1916</f>
        <v>0</v>
      </c>
      <c r="I2007" s="29" t="e">
        <f>VLOOKUP(G2007,제품명!$C$1:$E$114,2,0)</f>
        <v>#N/A</v>
      </c>
      <c r="J2007" s="29">
        <f>'Raw data'!K1916</f>
        <v>0</v>
      </c>
      <c r="K2007" s="31">
        <f>'Raw data'!H1916</f>
        <v>0</v>
      </c>
      <c r="L2007" s="26">
        <f t="shared" si="66"/>
        <v>0</v>
      </c>
    </row>
    <row r="2008" spans="2:12">
      <c r="B2008" s="4" t="e">
        <f t="shared" si="65"/>
        <v>#N/A</v>
      </c>
      <c r="C2008" s="4">
        <f>'Raw data'!E1917</f>
        <v>0</v>
      </c>
      <c r="D2008" s="29" t="e">
        <f>VLOOKUP(C2008,'점포코드 '!A:B,2,0)</f>
        <v>#N/A</v>
      </c>
      <c r="E2008" s="30">
        <f>'Raw data'!P1917</f>
        <v>0</v>
      </c>
      <c r="F2008" s="29" t="e">
        <f>VLOOKUP(E2008,'점포코드 '!A:B,2,0)</f>
        <v>#N/A</v>
      </c>
      <c r="G2008" s="46">
        <f>'Raw data'!F1917</f>
        <v>0</v>
      </c>
      <c r="H2008" s="4">
        <f>'Raw data'!G1917</f>
        <v>0</v>
      </c>
      <c r="I2008" s="29" t="e">
        <f>VLOOKUP(G2008,제품명!$C$1:$E$114,2,0)</f>
        <v>#N/A</v>
      </c>
      <c r="J2008" s="29">
        <f>'Raw data'!K1917</f>
        <v>0</v>
      </c>
      <c r="K2008" s="31">
        <f>'Raw data'!H1917</f>
        <v>0</v>
      </c>
      <c r="L2008" s="26">
        <f t="shared" si="66"/>
        <v>0</v>
      </c>
    </row>
    <row r="2009" spans="2:12">
      <c r="B2009" s="4" t="e">
        <f t="shared" si="65"/>
        <v>#N/A</v>
      </c>
      <c r="C2009" s="4">
        <f>'Raw data'!E1918</f>
        <v>0</v>
      </c>
      <c r="D2009" s="29" t="e">
        <f>VLOOKUP(C2009,'점포코드 '!A:B,2,0)</f>
        <v>#N/A</v>
      </c>
      <c r="E2009" s="30">
        <f>'Raw data'!P1918</f>
        <v>0</v>
      </c>
      <c r="F2009" s="29" t="e">
        <f>VLOOKUP(E2009,'점포코드 '!A:B,2,0)</f>
        <v>#N/A</v>
      </c>
      <c r="G2009" s="46">
        <f>'Raw data'!F1918</f>
        <v>0</v>
      </c>
      <c r="H2009" s="4">
        <f>'Raw data'!G1918</f>
        <v>0</v>
      </c>
      <c r="I2009" s="29" t="e">
        <f>VLOOKUP(G2009,제품명!$C$1:$E$114,2,0)</f>
        <v>#N/A</v>
      </c>
      <c r="J2009" s="29">
        <f>'Raw data'!K1918</f>
        <v>0</v>
      </c>
      <c r="K2009" s="31">
        <f>'Raw data'!H1918</f>
        <v>0</v>
      </c>
      <c r="L2009" s="26">
        <f t="shared" si="66"/>
        <v>0</v>
      </c>
    </row>
    <row r="2010" spans="2:12">
      <c r="B2010" s="4" t="e">
        <f t="shared" si="65"/>
        <v>#N/A</v>
      </c>
      <c r="C2010" s="4">
        <f>'Raw data'!E1919</f>
        <v>0</v>
      </c>
      <c r="D2010" s="29" t="e">
        <f>VLOOKUP(C2010,'점포코드 '!A:B,2,0)</f>
        <v>#N/A</v>
      </c>
      <c r="E2010" s="30">
        <f>'Raw data'!P1919</f>
        <v>0</v>
      </c>
      <c r="F2010" s="29" t="e">
        <f>VLOOKUP(E2010,'점포코드 '!A:B,2,0)</f>
        <v>#N/A</v>
      </c>
      <c r="G2010" s="46">
        <f>'Raw data'!F1919</f>
        <v>0</v>
      </c>
      <c r="H2010" s="4">
        <f>'Raw data'!G1919</f>
        <v>0</v>
      </c>
      <c r="I2010" s="29" t="e">
        <f>VLOOKUP(G2010,제품명!$C$1:$E$114,2,0)</f>
        <v>#N/A</v>
      </c>
      <c r="J2010" s="29">
        <f>'Raw data'!K1919</f>
        <v>0</v>
      </c>
      <c r="K2010" s="31">
        <f>'Raw data'!H1919</f>
        <v>0</v>
      </c>
      <c r="L2010" s="26">
        <f t="shared" si="66"/>
        <v>0</v>
      </c>
    </row>
    <row r="2011" spans="2:12">
      <c r="B2011" s="4" t="e">
        <f t="shared" si="65"/>
        <v>#N/A</v>
      </c>
      <c r="C2011" s="4">
        <f>'Raw data'!E1920</f>
        <v>0</v>
      </c>
      <c r="D2011" s="29" t="e">
        <f>VLOOKUP(C2011,'점포코드 '!A:B,2,0)</f>
        <v>#N/A</v>
      </c>
      <c r="E2011" s="30">
        <f>'Raw data'!P1920</f>
        <v>0</v>
      </c>
      <c r="F2011" s="29" t="e">
        <f>VLOOKUP(E2011,'점포코드 '!A:B,2,0)</f>
        <v>#N/A</v>
      </c>
      <c r="G2011" s="46">
        <f>'Raw data'!F1920</f>
        <v>0</v>
      </c>
      <c r="H2011" s="4">
        <f>'Raw data'!G1920</f>
        <v>0</v>
      </c>
      <c r="I2011" s="29" t="e">
        <f>VLOOKUP(G2011,제품명!$C$1:$E$114,2,0)</f>
        <v>#N/A</v>
      </c>
      <c r="J2011" s="29">
        <f>'Raw data'!K1920</f>
        <v>0</v>
      </c>
      <c r="K2011" s="31">
        <f>'Raw data'!H1920</f>
        <v>0</v>
      </c>
      <c r="L2011" s="26">
        <f t="shared" si="66"/>
        <v>0</v>
      </c>
    </row>
    <row r="2012" spans="2:12">
      <c r="B2012" s="4" t="e">
        <f t="shared" si="65"/>
        <v>#N/A</v>
      </c>
      <c r="C2012" s="4">
        <f>'Raw data'!E1921</f>
        <v>0</v>
      </c>
      <c r="D2012" s="29" t="e">
        <f>VLOOKUP(C2012,'점포코드 '!A:B,2,0)</f>
        <v>#N/A</v>
      </c>
      <c r="E2012" s="30">
        <f>'Raw data'!P1921</f>
        <v>0</v>
      </c>
      <c r="F2012" s="29" t="e">
        <f>VLOOKUP(E2012,'점포코드 '!A:B,2,0)</f>
        <v>#N/A</v>
      </c>
      <c r="G2012" s="46">
        <f>'Raw data'!F1921</f>
        <v>0</v>
      </c>
      <c r="H2012" s="4">
        <f>'Raw data'!G1921</f>
        <v>0</v>
      </c>
      <c r="I2012" s="29" t="e">
        <f>VLOOKUP(G2012,제품명!$C$1:$E$114,2,0)</f>
        <v>#N/A</v>
      </c>
      <c r="J2012" s="29">
        <f>'Raw data'!K1921</f>
        <v>0</v>
      </c>
      <c r="K2012" s="31">
        <f>'Raw data'!H1921</f>
        <v>0</v>
      </c>
      <c r="L2012" s="26">
        <f t="shared" si="66"/>
        <v>0</v>
      </c>
    </row>
    <row r="2013" spans="2:12">
      <c r="B2013" s="4" t="e">
        <f t="shared" si="65"/>
        <v>#N/A</v>
      </c>
      <c r="C2013" s="4">
        <f>'Raw data'!E1922</f>
        <v>0</v>
      </c>
      <c r="D2013" s="29" t="e">
        <f>VLOOKUP(C2013,'점포코드 '!A:B,2,0)</f>
        <v>#N/A</v>
      </c>
      <c r="E2013" s="30">
        <f>'Raw data'!P1922</f>
        <v>0</v>
      </c>
      <c r="F2013" s="29" t="e">
        <f>VLOOKUP(E2013,'점포코드 '!A:B,2,0)</f>
        <v>#N/A</v>
      </c>
      <c r="G2013" s="46">
        <f>'Raw data'!F1922</f>
        <v>0</v>
      </c>
      <c r="H2013" s="4">
        <f>'Raw data'!G1922</f>
        <v>0</v>
      </c>
      <c r="I2013" s="29" t="e">
        <f>VLOOKUP(G2013,제품명!$C$1:$E$114,2,0)</f>
        <v>#N/A</v>
      </c>
      <c r="J2013" s="29">
        <f>'Raw data'!K1922</f>
        <v>0</v>
      </c>
      <c r="K2013" s="31">
        <f>'Raw data'!H1922</f>
        <v>0</v>
      </c>
      <c r="L2013" s="26">
        <f t="shared" si="66"/>
        <v>0</v>
      </c>
    </row>
    <row r="2014" spans="2:12">
      <c r="B2014" s="4" t="e">
        <f t="shared" si="65"/>
        <v>#N/A</v>
      </c>
      <c r="C2014" s="4">
        <f>'Raw data'!E1923</f>
        <v>0</v>
      </c>
      <c r="D2014" s="29" t="e">
        <f>VLOOKUP(C2014,'점포코드 '!A:B,2,0)</f>
        <v>#N/A</v>
      </c>
      <c r="E2014" s="30">
        <f>'Raw data'!P1923</f>
        <v>0</v>
      </c>
      <c r="F2014" s="29" t="e">
        <f>VLOOKUP(E2014,'점포코드 '!A:B,2,0)</f>
        <v>#N/A</v>
      </c>
      <c r="G2014" s="46">
        <f>'Raw data'!F1923</f>
        <v>0</v>
      </c>
      <c r="H2014" s="4">
        <f>'Raw data'!G1923</f>
        <v>0</v>
      </c>
      <c r="I2014" s="29" t="e">
        <f>VLOOKUP(G2014,제품명!$C$1:$E$114,2,0)</f>
        <v>#N/A</v>
      </c>
      <c r="J2014" s="29">
        <f>'Raw data'!K1923</f>
        <v>0</v>
      </c>
      <c r="K2014" s="31">
        <f>'Raw data'!H1923</f>
        <v>0</v>
      </c>
      <c r="L2014" s="26">
        <f t="shared" si="66"/>
        <v>0</v>
      </c>
    </row>
    <row r="2015" spans="2:12">
      <c r="B2015" s="4" t="e">
        <f t="shared" si="65"/>
        <v>#N/A</v>
      </c>
      <c r="C2015" s="4">
        <f>'Raw data'!E1924</f>
        <v>0</v>
      </c>
      <c r="D2015" s="29" t="e">
        <f>VLOOKUP(C2015,'점포코드 '!A:B,2,0)</f>
        <v>#N/A</v>
      </c>
      <c r="E2015" s="30">
        <f>'Raw data'!P1924</f>
        <v>0</v>
      </c>
      <c r="F2015" s="29" t="e">
        <f>VLOOKUP(E2015,'점포코드 '!A:B,2,0)</f>
        <v>#N/A</v>
      </c>
      <c r="G2015" s="46">
        <f>'Raw data'!F1924</f>
        <v>0</v>
      </c>
      <c r="H2015" s="4">
        <f>'Raw data'!G1924</f>
        <v>0</v>
      </c>
      <c r="I2015" s="29" t="e">
        <f>VLOOKUP(G2015,제품명!$C$1:$E$114,2,0)</f>
        <v>#N/A</v>
      </c>
      <c r="J2015" s="29">
        <f>'Raw data'!K1924</f>
        <v>0</v>
      </c>
      <c r="K2015" s="31">
        <f>'Raw data'!H1924</f>
        <v>0</v>
      </c>
      <c r="L2015" s="26">
        <f t="shared" si="66"/>
        <v>0</v>
      </c>
    </row>
    <row r="2016" spans="2:12">
      <c r="B2016" s="4" t="e">
        <f t="shared" si="65"/>
        <v>#N/A</v>
      </c>
      <c r="C2016" s="4">
        <f>'Raw data'!E1925</f>
        <v>0</v>
      </c>
      <c r="D2016" s="29" t="e">
        <f>VLOOKUP(C2016,'점포코드 '!A:B,2,0)</f>
        <v>#N/A</v>
      </c>
      <c r="E2016" s="30">
        <f>'Raw data'!P1925</f>
        <v>0</v>
      </c>
      <c r="F2016" s="29" t="e">
        <f>VLOOKUP(E2016,'점포코드 '!A:B,2,0)</f>
        <v>#N/A</v>
      </c>
      <c r="G2016" s="46">
        <f>'Raw data'!F1925</f>
        <v>0</v>
      </c>
      <c r="H2016" s="4">
        <f>'Raw data'!G1925</f>
        <v>0</v>
      </c>
      <c r="I2016" s="29" t="e">
        <f>VLOOKUP(G2016,제품명!$C$1:$E$114,2,0)</f>
        <v>#N/A</v>
      </c>
      <c r="J2016" s="29">
        <f>'Raw data'!K1925</f>
        <v>0</v>
      </c>
      <c r="K2016" s="31">
        <f>'Raw data'!H1925</f>
        <v>0</v>
      </c>
      <c r="L2016" s="26">
        <f t="shared" si="66"/>
        <v>0</v>
      </c>
    </row>
    <row r="2017" spans="2:12">
      <c r="B2017" s="4" t="e">
        <f t="shared" si="65"/>
        <v>#N/A</v>
      </c>
      <c r="C2017" s="4">
        <f>'Raw data'!E1926</f>
        <v>0</v>
      </c>
      <c r="D2017" s="29" t="e">
        <f>VLOOKUP(C2017,'점포코드 '!A:B,2,0)</f>
        <v>#N/A</v>
      </c>
      <c r="E2017" s="30">
        <f>'Raw data'!P1926</f>
        <v>0</v>
      </c>
      <c r="F2017" s="29" t="e">
        <f>VLOOKUP(E2017,'점포코드 '!A:B,2,0)</f>
        <v>#N/A</v>
      </c>
      <c r="G2017" s="46">
        <f>'Raw data'!F1926</f>
        <v>0</v>
      </c>
      <c r="H2017" s="4">
        <f>'Raw data'!G1926</f>
        <v>0</v>
      </c>
      <c r="I2017" s="29" t="e">
        <f>VLOOKUP(G2017,제품명!$C$1:$E$114,2,0)</f>
        <v>#N/A</v>
      </c>
      <c r="J2017" s="29">
        <f>'Raw data'!K1926</f>
        <v>0</v>
      </c>
      <c r="K2017" s="31">
        <f>'Raw data'!H1926</f>
        <v>0</v>
      </c>
      <c r="L2017" s="26">
        <f t="shared" si="66"/>
        <v>0</v>
      </c>
    </row>
    <row r="2018" spans="2:12">
      <c r="B2018" s="4" t="e">
        <f t="shared" si="65"/>
        <v>#N/A</v>
      </c>
      <c r="C2018" s="4">
        <f>'Raw data'!E1927</f>
        <v>0</v>
      </c>
      <c r="D2018" s="29" t="e">
        <f>VLOOKUP(C2018,'점포코드 '!A:B,2,0)</f>
        <v>#N/A</v>
      </c>
      <c r="E2018" s="30">
        <f>'Raw data'!P1927</f>
        <v>0</v>
      </c>
      <c r="F2018" s="29" t="e">
        <f>VLOOKUP(E2018,'점포코드 '!A:B,2,0)</f>
        <v>#N/A</v>
      </c>
      <c r="G2018" s="46">
        <f>'Raw data'!F1927</f>
        <v>0</v>
      </c>
      <c r="H2018" s="4">
        <f>'Raw data'!G1927</f>
        <v>0</v>
      </c>
      <c r="I2018" s="29" t="e">
        <f>VLOOKUP(G2018,제품명!$C$1:$E$114,2,0)</f>
        <v>#N/A</v>
      </c>
      <c r="J2018" s="29">
        <f>'Raw data'!K1927</f>
        <v>0</v>
      </c>
      <c r="K2018" s="31">
        <f>'Raw data'!H1927</f>
        <v>0</v>
      </c>
      <c r="L2018" s="26">
        <f t="shared" si="66"/>
        <v>0</v>
      </c>
    </row>
    <row r="2019" spans="2:12">
      <c r="B2019" s="4" t="e">
        <f t="shared" si="65"/>
        <v>#N/A</v>
      </c>
      <c r="C2019" s="4">
        <f>'Raw data'!E1928</f>
        <v>0</v>
      </c>
      <c r="D2019" s="29" t="e">
        <f>VLOOKUP(C2019,'점포코드 '!A:B,2,0)</f>
        <v>#N/A</v>
      </c>
      <c r="E2019" s="30">
        <f>'Raw data'!P1928</f>
        <v>0</v>
      </c>
      <c r="F2019" s="29" t="e">
        <f>VLOOKUP(E2019,'점포코드 '!A:B,2,0)</f>
        <v>#N/A</v>
      </c>
      <c r="G2019" s="46">
        <f>'Raw data'!F1928</f>
        <v>0</v>
      </c>
      <c r="H2019" s="4">
        <f>'Raw data'!G1928</f>
        <v>0</v>
      </c>
      <c r="I2019" s="29" t="e">
        <f>VLOOKUP(G2019,제품명!$C$1:$E$114,2,0)</f>
        <v>#N/A</v>
      </c>
      <c r="J2019" s="29">
        <f>'Raw data'!K1928</f>
        <v>0</v>
      </c>
      <c r="K2019" s="31">
        <f>'Raw data'!H1928</f>
        <v>0</v>
      </c>
      <c r="L2019" s="26">
        <f t="shared" si="66"/>
        <v>0</v>
      </c>
    </row>
    <row r="2020" spans="2:12">
      <c r="B2020" s="4" t="e">
        <f t="shared" si="65"/>
        <v>#N/A</v>
      </c>
      <c r="C2020" s="4">
        <f>'Raw data'!E1929</f>
        <v>0</v>
      </c>
      <c r="D2020" s="29" t="e">
        <f>VLOOKUP(C2020,'점포코드 '!A:B,2,0)</f>
        <v>#N/A</v>
      </c>
      <c r="E2020" s="30">
        <f>'Raw data'!P1929</f>
        <v>0</v>
      </c>
      <c r="F2020" s="29" t="e">
        <f>VLOOKUP(E2020,'점포코드 '!A:B,2,0)</f>
        <v>#N/A</v>
      </c>
      <c r="G2020" s="46">
        <f>'Raw data'!F1929</f>
        <v>0</v>
      </c>
      <c r="H2020" s="4">
        <f>'Raw data'!G1929</f>
        <v>0</v>
      </c>
      <c r="I2020" s="29" t="e">
        <f>VLOOKUP(G2020,제품명!$C$1:$E$114,2,0)</f>
        <v>#N/A</v>
      </c>
      <c r="J2020" s="29">
        <f>'Raw data'!K1929</f>
        <v>0</v>
      </c>
      <c r="K2020" s="31">
        <f>'Raw data'!H1929</f>
        <v>0</v>
      </c>
      <c r="L2020" s="26">
        <f t="shared" si="66"/>
        <v>0</v>
      </c>
    </row>
    <row r="2021" spans="2:12">
      <c r="B2021" s="4" t="e">
        <f t="shared" si="65"/>
        <v>#N/A</v>
      </c>
      <c r="C2021" s="4">
        <f>'Raw data'!E1930</f>
        <v>0</v>
      </c>
      <c r="D2021" s="29" t="e">
        <f>VLOOKUP(C2021,'점포코드 '!A:B,2,0)</f>
        <v>#N/A</v>
      </c>
      <c r="E2021" s="30">
        <f>'Raw data'!P1930</f>
        <v>0</v>
      </c>
      <c r="F2021" s="29" t="e">
        <f>VLOOKUP(E2021,'점포코드 '!A:B,2,0)</f>
        <v>#N/A</v>
      </c>
      <c r="G2021" s="46">
        <f>'Raw data'!F1930</f>
        <v>0</v>
      </c>
      <c r="H2021" s="4">
        <f>'Raw data'!G1930</f>
        <v>0</v>
      </c>
      <c r="I2021" s="29" t="e">
        <f>VLOOKUP(G2021,제품명!$C$1:$E$114,2,0)</f>
        <v>#N/A</v>
      </c>
      <c r="J2021" s="29">
        <f>'Raw data'!K1930</f>
        <v>0</v>
      </c>
      <c r="K2021" s="31">
        <f>'Raw data'!H1930</f>
        <v>0</v>
      </c>
      <c r="L2021" s="26">
        <f t="shared" si="66"/>
        <v>0</v>
      </c>
    </row>
    <row r="2022" spans="2:12">
      <c r="B2022" s="4" t="e">
        <f t="shared" si="65"/>
        <v>#N/A</v>
      </c>
      <c r="C2022" s="4">
        <f>'Raw data'!E1931</f>
        <v>0</v>
      </c>
      <c r="D2022" s="29" t="e">
        <f>VLOOKUP(C2022,'점포코드 '!A:B,2,0)</f>
        <v>#N/A</v>
      </c>
      <c r="E2022" s="30">
        <f>'Raw data'!P1931</f>
        <v>0</v>
      </c>
      <c r="F2022" s="29" t="e">
        <f>VLOOKUP(E2022,'점포코드 '!A:B,2,0)</f>
        <v>#N/A</v>
      </c>
      <c r="G2022" s="46">
        <f>'Raw data'!F1931</f>
        <v>0</v>
      </c>
      <c r="H2022" s="4">
        <f>'Raw data'!G1931</f>
        <v>0</v>
      </c>
      <c r="I2022" s="29" t="e">
        <f>VLOOKUP(G2022,제품명!$C$1:$E$114,2,0)</f>
        <v>#N/A</v>
      </c>
      <c r="J2022" s="29">
        <f>'Raw data'!K1931</f>
        <v>0</v>
      </c>
      <c r="K2022" s="31">
        <f>'Raw data'!H1931</f>
        <v>0</v>
      </c>
      <c r="L2022" s="26">
        <f t="shared" si="66"/>
        <v>0</v>
      </c>
    </row>
    <row r="2023" spans="2:12">
      <c r="B2023" s="4" t="e">
        <f t="shared" si="65"/>
        <v>#N/A</v>
      </c>
      <c r="C2023" s="4">
        <f>'Raw data'!E1932</f>
        <v>0</v>
      </c>
      <c r="D2023" s="29" t="e">
        <f>VLOOKUP(C2023,'점포코드 '!A:B,2,0)</f>
        <v>#N/A</v>
      </c>
      <c r="E2023" s="30">
        <f>'Raw data'!P1932</f>
        <v>0</v>
      </c>
      <c r="F2023" s="29" t="e">
        <f>VLOOKUP(E2023,'점포코드 '!A:B,2,0)</f>
        <v>#N/A</v>
      </c>
      <c r="G2023" s="46">
        <f>'Raw data'!F1932</f>
        <v>0</v>
      </c>
      <c r="H2023" s="4">
        <f>'Raw data'!G1932</f>
        <v>0</v>
      </c>
      <c r="I2023" s="29" t="e">
        <f>VLOOKUP(G2023,제품명!$C$1:$E$114,2,0)</f>
        <v>#N/A</v>
      </c>
      <c r="J2023" s="29">
        <f>'Raw data'!K1932</f>
        <v>0</v>
      </c>
      <c r="K2023" s="31">
        <f>'Raw data'!H1932</f>
        <v>0</v>
      </c>
      <c r="L2023" s="26">
        <f t="shared" si="66"/>
        <v>0</v>
      </c>
    </row>
    <row r="2024" spans="2:12">
      <c r="B2024" s="4" t="e">
        <f t="shared" si="65"/>
        <v>#N/A</v>
      </c>
      <c r="C2024" s="4">
        <f>'Raw data'!E1933</f>
        <v>0</v>
      </c>
      <c r="D2024" s="29" t="e">
        <f>VLOOKUP(C2024,'점포코드 '!A:B,2,0)</f>
        <v>#N/A</v>
      </c>
      <c r="E2024" s="30">
        <f>'Raw data'!P1933</f>
        <v>0</v>
      </c>
      <c r="F2024" s="29" t="e">
        <f>VLOOKUP(E2024,'점포코드 '!A:B,2,0)</f>
        <v>#N/A</v>
      </c>
      <c r="G2024" s="46">
        <f>'Raw data'!F1933</f>
        <v>0</v>
      </c>
      <c r="H2024" s="4">
        <f>'Raw data'!G1933</f>
        <v>0</v>
      </c>
      <c r="I2024" s="29" t="e">
        <f>VLOOKUP(G2024,제품명!$C$1:$E$114,2,0)</f>
        <v>#N/A</v>
      </c>
      <c r="J2024" s="29">
        <f>'Raw data'!K1933</f>
        <v>0</v>
      </c>
      <c r="K2024" s="31">
        <f>'Raw data'!H1933</f>
        <v>0</v>
      </c>
      <c r="L2024" s="26">
        <f t="shared" si="66"/>
        <v>0</v>
      </c>
    </row>
    <row r="2025" spans="2:12">
      <c r="B2025" s="4" t="e">
        <f t="shared" si="65"/>
        <v>#N/A</v>
      </c>
      <c r="C2025" s="4">
        <f>'Raw data'!E1934</f>
        <v>0</v>
      </c>
      <c r="D2025" s="29" t="e">
        <f>VLOOKUP(C2025,'점포코드 '!A:B,2,0)</f>
        <v>#N/A</v>
      </c>
      <c r="E2025" s="30">
        <f>'Raw data'!P1934</f>
        <v>0</v>
      </c>
      <c r="F2025" s="29" t="e">
        <f>VLOOKUP(E2025,'점포코드 '!A:B,2,0)</f>
        <v>#N/A</v>
      </c>
      <c r="G2025" s="46">
        <f>'Raw data'!F1934</f>
        <v>0</v>
      </c>
      <c r="H2025" s="4">
        <f>'Raw data'!G1934</f>
        <v>0</v>
      </c>
      <c r="I2025" s="29" t="e">
        <f>VLOOKUP(G2025,제품명!$C$1:$E$114,2,0)</f>
        <v>#N/A</v>
      </c>
      <c r="J2025" s="29">
        <f>'Raw data'!K1934</f>
        <v>0</v>
      </c>
      <c r="K2025" s="31">
        <f>'Raw data'!H1934</f>
        <v>0</v>
      </c>
      <c r="L2025" s="26">
        <f t="shared" si="66"/>
        <v>0</v>
      </c>
    </row>
    <row r="2026" spans="2:12">
      <c r="B2026" s="4" t="e">
        <f t="shared" si="65"/>
        <v>#N/A</v>
      </c>
      <c r="C2026" s="4">
        <f>'Raw data'!E1935</f>
        <v>0</v>
      </c>
      <c r="D2026" s="29" t="e">
        <f>VLOOKUP(C2026,'점포코드 '!A:B,2,0)</f>
        <v>#N/A</v>
      </c>
      <c r="E2026" s="30">
        <f>'Raw data'!P1935</f>
        <v>0</v>
      </c>
      <c r="F2026" s="29" t="e">
        <f>VLOOKUP(E2026,'점포코드 '!A:B,2,0)</f>
        <v>#N/A</v>
      </c>
      <c r="G2026" s="46">
        <f>'Raw data'!F1935</f>
        <v>0</v>
      </c>
      <c r="H2026" s="4">
        <f>'Raw data'!G1935</f>
        <v>0</v>
      </c>
      <c r="I2026" s="29" t="e">
        <f>VLOOKUP(G2026,제품명!$C$1:$E$114,2,0)</f>
        <v>#N/A</v>
      </c>
      <c r="J2026" s="29">
        <f>'Raw data'!K1935</f>
        <v>0</v>
      </c>
      <c r="K2026" s="31">
        <f>'Raw data'!H1935</f>
        <v>0</v>
      </c>
      <c r="L2026" s="26">
        <f t="shared" si="66"/>
        <v>0</v>
      </c>
    </row>
    <row r="2027" spans="2:12">
      <c r="B2027" s="4" t="e">
        <f t="shared" si="65"/>
        <v>#N/A</v>
      </c>
      <c r="C2027" s="4">
        <f>'Raw data'!E1936</f>
        <v>0</v>
      </c>
      <c r="D2027" s="29" t="e">
        <f>VLOOKUP(C2027,'점포코드 '!A:B,2,0)</f>
        <v>#N/A</v>
      </c>
      <c r="E2027" s="30">
        <f>'Raw data'!P1936</f>
        <v>0</v>
      </c>
      <c r="F2027" s="29" t="e">
        <f>VLOOKUP(E2027,'점포코드 '!A:B,2,0)</f>
        <v>#N/A</v>
      </c>
      <c r="G2027" s="46">
        <f>'Raw data'!F1936</f>
        <v>0</v>
      </c>
      <c r="H2027" s="4">
        <f>'Raw data'!G1936</f>
        <v>0</v>
      </c>
      <c r="I2027" s="29" t="e">
        <f>VLOOKUP(G2027,제품명!$C$1:$E$114,2,0)</f>
        <v>#N/A</v>
      </c>
      <c r="J2027" s="29">
        <f>'Raw data'!K1936</f>
        <v>0</v>
      </c>
      <c r="K2027" s="31">
        <f>'Raw data'!H1936</f>
        <v>0</v>
      </c>
      <c r="L2027" s="26">
        <f t="shared" si="66"/>
        <v>0</v>
      </c>
    </row>
    <row r="2028" spans="2:12">
      <c r="B2028" s="4" t="e">
        <f t="shared" si="65"/>
        <v>#N/A</v>
      </c>
      <c r="C2028" s="4">
        <f>'Raw data'!E1937</f>
        <v>0</v>
      </c>
      <c r="D2028" s="29" t="e">
        <f>VLOOKUP(C2028,'점포코드 '!A:B,2,0)</f>
        <v>#N/A</v>
      </c>
      <c r="E2028" s="30">
        <f>'Raw data'!P1937</f>
        <v>0</v>
      </c>
      <c r="F2028" s="29" t="e">
        <f>VLOOKUP(E2028,'점포코드 '!A:B,2,0)</f>
        <v>#N/A</v>
      </c>
      <c r="G2028" s="46">
        <f>'Raw data'!F1937</f>
        <v>0</v>
      </c>
      <c r="H2028" s="4">
        <f>'Raw data'!G1937</f>
        <v>0</v>
      </c>
      <c r="I2028" s="29" t="e">
        <f>VLOOKUP(G2028,제품명!$C$1:$E$114,2,0)</f>
        <v>#N/A</v>
      </c>
      <c r="J2028" s="29">
        <f>'Raw data'!K1937</f>
        <v>0</v>
      </c>
      <c r="K2028" s="31">
        <f>'Raw data'!H1937</f>
        <v>0</v>
      </c>
      <c r="L2028" s="26">
        <f t="shared" si="66"/>
        <v>0</v>
      </c>
    </row>
    <row r="2029" spans="2:12">
      <c r="B2029" s="4" t="e">
        <f t="shared" si="65"/>
        <v>#N/A</v>
      </c>
      <c r="C2029" s="4">
        <f>'Raw data'!E1938</f>
        <v>0</v>
      </c>
      <c r="D2029" s="29" t="e">
        <f>VLOOKUP(C2029,'점포코드 '!A:B,2,0)</f>
        <v>#N/A</v>
      </c>
      <c r="E2029" s="30">
        <f>'Raw data'!P1938</f>
        <v>0</v>
      </c>
      <c r="F2029" s="29" t="e">
        <f>VLOOKUP(E2029,'점포코드 '!A:B,2,0)</f>
        <v>#N/A</v>
      </c>
      <c r="G2029" s="46">
        <f>'Raw data'!F1938</f>
        <v>0</v>
      </c>
      <c r="H2029" s="4">
        <f>'Raw data'!G1938</f>
        <v>0</v>
      </c>
      <c r="I2029" s="29" t="e">
        <f>VLOOKUP(G2029,제품명!$C$1:$E$114,2,0)</f>
        <v>#N/A</v>
      </c>
      <c r="J2029" s="29">
        <f>'Raw data'!K1938</f>
        <v>0</v>
      </c>
      <c r="K2029" s="31">
        <f>'Raw data'!H1938</f>
        <v>0</v>
      </c>
      <c r="L2029" s="26">
        <f t="shared" si="66"/>
        <v>0</v>
      </c>
    </row>
    <row r="2030" spans="2:12">
      <c r="B2030" s="4" t="e">
        <f t="shared" si="65"/>
        <v>#N/A</v>
      </c>
      <c r="C2030" s="4">
        <f>'Raw data'!E1939</f>
        <v>0</v>
      </c>
      <c r="D2030" s="29" t="e">
        <f>VLOOKUP(C2030,'점포코드 '!A:B,2,0)</f>
        <v>#N/A</v>
      </c>
      <c r="E2030" s="30">
        <f>'Raw data'!P1939</f>
        <v>0</v>
      </c>
      <c r="F2030" s="29" t="e">
        <f>VLOOKUP(E2030,'점포코드 '!A:B,2,0)</f>
        <v>#N/A</v>
      </c>
      <c r="G2030" s="46">
        <f>'Raw data'!F1939</f>
        <v>0</v>
      </c>
      <c r="H2030" s="4">
        <f>'Raw data'!G1939</f>
        <v>0</v>
      </c>
      <c r="I2030" s="29" t="e">
        <f>VLOOKUP(G2030,제품명!$C$1:$E$114,2,0)</f>
        <v>#N/A</v>
      </c>
      <c r="J2030" s="29">
        <f>'Raw data'!K1939</f>
        <v>0</v>
      </c>
      <c r="K2030" s="31">
        <f>'Raw data'!H1939</f>
        <v>0</v>
      </c>
      <c r="L2030" s="26">
        <f t="shared" si="66"/>
        <v>0</v>
      </c>
    </row>
    <row r="2031" spans="2:12">
      <c r="B2031" s="4" t="e">
        <f t="shared" si="65"/>
        <v>#N/A</v>
      </c>
      <c r="C2031" s="4">
        <f>'Raw data'!E1940</f>
        <v>0</v>
      </c>
      <c r="D2031" s="29" t="e">
        <f>VLOOKUP(C2031,'점포코드 '!A:B,2,0)</f>
        <v>#N/A</v>
      </c>
      <c r="E2031" s="30">
        <f>'Raw data'!P1940</f>
        <v>0</v>
      </c>
      <c r="F2031" s="29" t="e">
        <f>VLOOKUP(E2031,'점포코드 '!A:B,2,0)</f>
        <v>#N/A</v>
      </c>
      <c r="G2031" s="46">
        <f>'Raw data'!F1940</f>
        <v>0</v>
      </c>
      <c r="H2031" s="4">
        <f>'Raw data'!G1940</f>
        <v>0</v>
      </c>
      <c r="I2031" s="29" t="e">
        <f>VLOOKUP(G2031,제품명!$C$1:$E$114,2,0)</f>
        <v>#N/A</v>
      </c>
      <c r="J2031" s="29">
        <f>'Raw data'!K1940</f>
        <v>0</v>
      </c>
      <c r="K2031" s="31">
        <f>'Raw data'!H1940</f>
        <v>0</v>
      </c>
      <c r="L2031" s="26">
        <f t="shared" si="66"/>
        <v>0</v>
      </c>
    </row>
    <row r="2032" spans="2:12">
      <c r="B2032" s="4" t="e">
        <f t="shared" si="65"/>
        <v>#N/A</v>
      </c>
      <c r="C2032" s="4">
        <f>'Raw data'!E1941</f>
        <v>0</v>
      </c>
      <c r="D2032" s="29" t="e">
        <f>VLOOKUP(C2032,'점포코드 '!A:B,2,0)</f>
        <v>#N/A</v>
      </c>
      <c r="E2032" s="30">
        <f>'Raw data'!P1941</f>
        <v>0</v>
      </c>
      <c r="F2032" s="29" t="e">
        <f>VLOOKUP(E2032,'점포코드 '!A:B,2,0)</f>
        <v>#N/A</v>
      </c>
      <c r="G2032" s="46">
        <f>'Raw data'!F1941</f>
        <v>0</v>
      </c>
      <c r="H2032" s="4">
        <f>'Raw data'!G1941</f>
        <v>0</v>
      </c>
      <c r="I2032" s="29" t="e">
        <f>VLOOKUP(G2032,제품명!$C$1:$E$114,2,0)</f>
        <v>#N/A</v>
      </c>
      <c r="J2032" s="29">
        <f>'Raw data'!K1941</f>
        <v>0</v>
      </c>
      <c r="K2032" s="31">
        <f>'Raw data'!H1941</f>
        <v>0</v>
      </c>
      <c r="L2032" s="26">
        <f t="shared" si="66"/>
        <v>0</v>
      </c>
    </row>
    <row r="2033" spans="2:12">
      <c r="B2033" s="4" t="e">
        <f t="shared" si="65"/>
        <v>#N/A</v>
      </c>
      <c r="C2033" s="4">
        <f>'Raw data'!E1942</f>
        <v>0</v>
      </c>
      <c r="D2033" s="29" t="e">
        <f>VLOOKUP(C2033,'점포코드 '!A:B,2,0)</f>
        <v>#N/A</v>
      </c>
      <c r="E2033" s="30">
        <f>'Raw data'!P1942</f>
        <v>0</v>
      </c>
      <c r="F2033" s="29" t="e">
        <f>VLOOKUP(E2033,'점포코드 '!A:B,2,0)</f>
        <v>#N/A</v>
      </c>
      <c r="G2033" s="46">
        <f>'Raw data'!F1942</f>
        <v>0</v>
      </c>
      <c r="H2033" s="4">
        <f>'Raw data'!G1942</f>
        <v>0</v>
      </c>
      <c r="I2033" s="29" t="e">
        <f>VLOOKUP(G2033,제품명!$C$1:$E$114,2,0)</f>
        <v>#N/A</v>
      </c>
      <c r="J2033" s="29">
        <f>'Raw data'!K1942</f>
        <v>0</v>
      </c>
      <c r="K2033" s="31">
        <f>'Raw data'!H1942</f>
        <v>0</v>
      </c>
      <c r="L2033" s="26">
        <f t="shared" si="66"/>
        <v>0</v>
      </c>
    </row>
    <row r="2034" spans="2:12">
      <c r="B2034" s="4" t="e">
        <f t="shared" si="65"/>
        <v>#N/A</v>
      </c>
      <c r="C2034" s="4">
        <f>'Raw data'!E1943</f>
        <v>0</v>
      </c>
      <c r="D2034" s="29" t="e">
        <f>VLOOKUP(C2034,'점포코드 '!A:B,2,0)</f>
        <v>#N/A</v>
      </c>
      <c r="E2034" s="30">
        <f>'Raw data'!P1943</f>
        <v>0</v>
      </c>
      <c r="F2034" s="29" t="e">
        <f>VLOOKUP(E2034,'점포코드 '!A:B,2,0)</f>
        <v>#N/A</v>
      </c>
      <c r="G2034" s="46">
        <f>'Raw data'!F1943</f>
        <v>0</v>
      </c>
      <c r="H2034" s="4">
        <f>'Raw data'!G1943</f>
        <v>0</v>
      </c>
      <c r="I2034" s="29" t="e">
        <f>VLOOKUP(G2034,제품명!$C$1:$E$114,2,0)</f>
        <v>#N/A</v>
      </c>
      <c r="J2034" s="29">
        <f>'Raw data'!K1943</f>
        <v>0</v>
      </c>
      <c r="K2034" s="31">
        <f>'Raw data'!H1943</f>
        <v>0</v>
      </c>
      <c r="L2034" s="26">
        <f t="shared" si="66"/>
        <v>0</v>
      </c>
    </row>
    <row r="2035" spans="2:12">
      <c r="B2035" s="4" t="e">
        <f t="shared" si="65"/>
        <v>#N/A</v>
      </c>
      <c r="C2035" s="4">
        <f>'Raw data'!E1944</f>
        <v>0</v>
      </c>
      <c r="D2035" s="29" t="e">
        <f>VLOOKUP(C2035,'점포코드 '!A:B,2,0)</f>
        <v>#N/A</v>
      </c>
      <c r="E2035" s="30">
        <f>'Raw data'!P1944</f>
        <v>0</v>
      </c>
      <c r="F2035" s="29" t="e">
        <f>VLOOKUP(E2035,'점포코드 '!A:B,2,0)</f>
        <v>#N/A</v>
      </c>
      <c r="G2035" s="46">
        <f>'Raw data'!F1944</f>
        <v>0</v>
      </c>
      <c r="H2035" s="4">
        <f>'Raw data'!G1944</f>
        <v>0</v>
      </c>
      <c r="I2035" s="29" t="e">
        <f>VLOOKUP(G2035,제품명!$C$1:$E$114,2,0)</f>
        <v>#N/A</v>
      </c>
      <c r="J2035" s="29">
        <f>'Raw data'!K1944</f>
        <v>0</v>
      </c>
      <c r="K2035" s="31">
        <f>'Raw data'!H1944</f>
        <v>0</v>
      </c>
      <c r="L2035" s="26">
        <f t="shared" si="66"/>
        <v>0</v>
      </c>
    </row>
    <row r="2036" spans="2:12">
      <c r="B2036" s="4" t="e">
        <f t="shared" si="65"/>
        <v>#N/A</v>
      </c>
      <c r="C2036" s="4">
        <f>'Raw data'!E1945</f>
        <v>0</v>
      </c>
      <c r="D2036" s="29" t="e">
        <f>VLOOKUP(C2036,'점포코드 '!A:B,2,0)</f>
        <v>#N/A</v>
      </c>
      <c r="E2036" s="30">
        <f>'Raw data'!P1945</f>
        <v>0</v>
      </c>
      <c r="F2036" s="29" t="e">
        <f>VLOOKUP(E2036,'점포코드 '!A:B,2,0)</f>
        <v>#N/A</v>
      </c>
      <c r="G2036" s="46">
        <f>'Raw data'!F1945</f>
        <v>0</v>
      </c>
      <c r="H2036" s="4">
        <f>'Raw data'!G1945</f>
        <v>0</v>
      </c>
      <c r="I2036" s="29" t="e">
        <f>VLOOKUP(G2036,제품명!$C$1:$E$114,2,0)</f>
        <v>#N/A</v>
      </c>
      <c r="J2036" s="29">
        <f>'Raw data'!K1945</f>
        <v>0</v>
      </c>
      <c r="K2036" s="31">
        <f>'Raw data'!H1945</f>
        <v>0</v>
      </c>
      <c r="L2036" s="26">
        <f t="shared" si="66"/>
        <v>0</v>
      </c>
    </row>
    <row r="2037" spans="2:12">
      <c r="B2037" s="4" t="e">
        <f t="shared" si="65"/>
        <v>#N/A</v>
      </c>
      <c r="C2037" s="4">
        <f>'Raw data'!E1946</f>
        <v>0</v>
      </c>
      <c r="D2037" s="29" t="e">
        <f>VLOOKUP(C2037,'점포코드 '!A:B,2,0)</f>
        <v>#N/A</v>
      </c>
      <c r="E2037" s="30">
        <f>'Raw data'!P1946</f>
        <v>0</v>
      </c>
      <c r="F2037" s="29" t="e">
        <f>VLOOKUP(E2037,'점포코드 '!A:B,2,0)</f>
        <v>#N/A</v>
      </c>
      <c r="G2037" s="46">
        <f>'Raw data'!F1946</f>
        <v>0</v>
      </c>
      <c r="H2037" s="4">
        <f>'Raw data'!G1946</f>
        <v>0</v>
      </c>
      <c r="I2037" s="29" t="e">
        <f>VLOOKUP(G2037,제품명!$C$1:$E$114,2,0)</f>
        <v>#N/A</v>
      </c>
      <c r="J2037" s="29">
        <f>'Raw data'!K1946</f>
        <v>0</v>
      </c>
      <c r="K2037" s="31">
        <f>'Raw data'!H1946</f>
        <v>0</v>
      </c>
      <c r="L2037" s="26">
        <f t="shared" si="66"/>
        <v>0</v>
      </c>
    </row>
    <row r="2038" spans="2:12">
      <c r="B2038" s="4" t="e">
        <f t="shared" si="65"/>
        <v>#N/A</v>
      </c>
      <c r="C2038" s="4">
        <f>'Raw data'!E1947</f>
        <v>0</v>
      </c>
      <c r="D2038" s="29" t="e">
        <f>VLOOKUP(C2038,'점포코드 '!A:B,2,0)</f>
        <v>#N/A</v>
      </c>
      <c r="E2038" s="30">
        <f>'Raw data'!P1947</f>
        <v>0</v>
      </c>
      <c r="F2038" s="29" t="e">
        <f>VLOOKUP(E2038,'점포코드 '!A:B,2,0)</f>
        <v>#N/A</v>
      </c>
      <c r="G2038" s="46">
        <f>'Raw data'!F1947</f>
        <v>0</v>
      </c>
      <c r="H2038" s="4">
        <f>'Raw data'!G1947</f>
        <v>0</v>
      </c>
      <c r="I2038" s="29" t="e">
        <f>VLOOKUP(G2038,제품명!$C$1:$E$114,2,0)</f>
        <v>#N/A</v>
      </c>
      <c r="J2038" s="29">
        <f>'Raw data'!K1947</f>
        <v>0</v>
      </c>
      <c r="K2038" s="31">
        <f>'Raw data'!H1947</f>
        <v>0</v>
      </c>
      <c r="L2038" s="26">
        <f t="shared" si="66"/>
        <v>0</v>
      </c>
    </row>
    <row r="2039" spans="2:12">
      <c r="B2039" s="4" t="e">
        <f t="shared" si="65"/>
        <v>#N/A</v>
      </c>
      <c r="C2039" s="4">
        <f>'Raw data'!E1948</f>
        <v>0</v>
      </c>
      <c r="D2039" s="29" t="e">
        <f>VLOOKUP(C2039,'점포코드 '!A:B,2,0)</f>
        <v>#N/A</v>
      </c>
      <c r="E2039" s="30">
        <f>'Raw data'!P1948</f>
        <v>0</v>
      </c>
      <c r="F2039" s="29" t="e">
        <f>VLOOKUP(E2039,'점포코드 '!A:B,2,0)</f>
        <v>#N/A</v>
      </c>
      <c r="G2039" s="46">
        <f>'Raw data'!F1948</f>
        <v>0</v>
      </c>
      <c r="H2039" s="4">
        <f>'Raw data'!G1948</f>
        <v>0</v>
      </c>
      <c r="I2039" s="29" t="e">
        <f>VLOOKUP(G2039,제품명!$C$1:$E$114,2,0)</f>
        <v>#N/A</v>
      </c>
      <c r="J2039" s="29">
        <f>'Raw data'!K1948</f>
        <v>0</v>
      </c>
      <c r="K2039" s="31">
        <f>'Raw data'!H1948</f>
        <v>0</v>
      </c>
      <c r="L2039" s="26">
        <f t="shared" si="66"/>
        <v>0</v>
      </c>
    </row>
    <row r="2040" spans="2:12">
      <c r="B2040" s="4" t="e">
        <f t="shared" si="65"/>
        <v>#N/A</v>
      </c>
      <c r="C2040" s="4">
        <f>'Raw data'!E1949</f>
        <v>0</v>
      </c>
      <c r="D2040" s="29" t="e">
        <f>VLOOKUP(C2040,'점포코드 '!A:B,2,0)</f>
        <v>#N/A</v>
      </c>
      <c r="E2040" s="30">
        <f>'Raw data'!P1949</f>
        <v>0</v>
      </c>
      <c r="F2040" s="29" t="e">
        <f>VLOOKUP(E2040,'점포코드 '!A:B,2,0)</f>
        <v>#N/A</v>
      </c>
      <c r="G2040" s="46">
        <f>'Raw data'!F1949</f>
        <v>0</v>
      </c>
      <c r="H2040" s="4">
        <f>'Raw data'!G1949</f>
        <v>0</v>
      </c>
      <c r="I2040" s="29" t="e">
        <f>VLOOKUP(G2040,제품명!$C$1:$E$114,2,0)</f>
        <v>#N/A</v>
      </c>
      <c r="J2040" s="29">
        <f>'Raw data'!K1949</f>
        <v>0</v>
      </c>
      <c r="K2040" s="31">
        <f>'Raw data'!H1949</f>
        <v>0</v>
      </c>
      <c r="L2040" s="26">
        <f t="shared" si="66"/>
        <v>0</v>
      </c>
    </row>
    <row r="2041" spans="2:12">
      <c r="B2041" s="4" t="e">
        <f t="shared" si="65"/>
        <v>#N/A</v>
      </c>
      <c r="C2041" s="4">
        <f>'Raw data'!E1950</f>
        <v>0</v>
      </c>
      <c r="D2041" s="29" t="e">
        <f>VLOOKUP(C2041,'점포코드 '!A:B,2,0)</f>
        <v>#N/A</v>
      </c>
      <c r="E2041" s="30">
        <f>'Raw data'!P1950</f>
        <v>0</v>
      </c>
      <c r="F2041" s="29" t="e">
        <f>VLOOKUP(E2041,'점포코드 '!A:B,2,0)</f>
        <v>#N/A</v>
      </c>
      <c r="G2041" s="46">
        <f>'Raw data'!F1950</f>
        <v>0</v>
      </c>
      <c r="H2041" s="4">
        <f>'Raw data'!G1950</f>
        <v>0</v>
      </c>
      <c r="I2041" s="29" t="e">
        <f>VLOOKUP(G2041,제품명!$C$1:$E$114,2,0)</f>
        <v>#N/A</v>
      </c>
      <c r="J2041" s="29">
        <f>'Raw data'!K1950</f>
        <v>0</v>
      </c>
      <c r="K2041" s="31">
        <f>'Raw data'!H1950</f>
        <v>0</v>
      </c>
      <c r="L2041" s="26">
        <f t="shared" si="66"/>
        <v>0</v>
      </c>
    </row>
    <row r="2042" spans="2:12">
      <c r="B2042" s="4" t="e">
        <f t="shared" si="65"/>
        <v>#N/A</v>
      </c>
      <c r="C2042" s="4">
        <f>'Raw data'!E1951</f>
        <v>0</v>
      </c>
      <c r="D2042" s="29" t="e">
        <f>VLOOKUP(C2042,'점포코드 '!A:B,2,0)</f>
        <v>#N/A</v>
      </c>
      <c r="E2042" s="30">
        <f>'Raw data'!P1951</f>
        <v>0</v>
      </c>
      <c r="F2042" s="29" t="e">
        <f>VLOOKUP(E2042,'점포코드 '!A:B,2,0)</f>
        <v>#N/A</v>
      </c>
      <c r="G2042" s="46">
        <f>'Raw data'!F1951</f>
        <v>0</v>
      </c>
      <c r="H2042" s="4">
        <f>'Raw data'!G1951</f>
        <v>0</v>
      </c>
      <c r="I2042" s="29" t="e">
        <f>VLOOKUP(G2042,제품명!$C$1:$E$114,2,0)</f>
        <v>#N/A</v>
      </c>
      <c r="J2042" s="29">
        <f>'Raw data'!K1951</f>
        <v>0</v>
      </c>
      <c r="K2042" s="31">
        <f>'Raw data'!H1951</f>
        <v>0</v>
      </c>
      <c r="L2042" s="26">
        <f t="shared" si="66"/>
        <v>0</v>
      </c>
    </row>
    <row r="2043" spans="2:12">
      <c r="B2043" s="4" t="e">
        <f t="shared" si="65"/>
        <v>#N/A</v>
      </c>
      <c r="C2043" s="4">
        <f>'Raw data'!E1952</f>
        <v>0</v>
      </c>
      <c r="D2043" s="29" t="e">
        <f>VLOOKUP(C2043,'점포코드 '!A:B,2,0)</f>
        <v>#N/A</v>
      </c>
      <c r="E2043" s="30">
        <f>'Raw data'!P1952</f>
        <v>0</v>
      </c>
      <c r="F2043" s="29" t="e">
        <f>VLOOKUP(E2043,'점포코드 '!A:B,2,0)</f>
        <v>#N/A</v>
      </c>
      <c r="G2043" s="46">
        <f>'Raw data'!F1952</f>
        <v>0</v>
      </c>
      <c r="H2043" s="4">
        <f>'Raw data'!G1952</f>
        <v>0</v>
      </c>
      <c r="I2043" s="29" t="e">
        <f>VLOOKUP(G2043,제품명!$C$1:$E$114,2,0)</f>
        <v>#N/A</v>
      </c>
      <c r="J2043" s="29">
        <f>'Raw data'!K1952</f>
        <v>0</v>
      </c>
      <c r="K2043" s="31">
        <f>'Raw data'!H1952</f>
        <v>0</v>
      </c>
      <c r="L2043" s="26">
        <f t="shared" si="66"/>
        <v>0</v>
      </c>
    </row>
    <row r="2044" spans="2:12">
      <c r="B2044" s="4" t="e">
        <f t="shared" si="65"/>
        <v>#N/A</v>
      </c>
      <c r="C2044" s="4">
        <f>'Raw data'!E1953</f>
        <v>0</v>
      </c>
      <c r="D2044" s="29" t="e">
        <f>VLOOKUP(C2044,'점포코드 '!A:B,2,0)</f>
        <v>#N/A</v>
      </c>
      <c r="E2044" s="30">
        <f>'Raw data'!P1953</f>
        <v>0</v>
      </c>
      <c r="F2044" s="29" t="e">
        <f>VLOOKUP(E2044,'점포코드 '!A:B,2,0)</f>
        <v>#N/A</v>
      </c>
      <c r="G2044" s="46">
        <f>'Raw data'!F1953</f>
        <v>0</v>
      </c>
      <c r="H2044" s="4">
        <f>'Raw data'!G1953</f>
        <v>0</v>
      </c>
      <c r="I2044" s="29" t="e">
        <f>VLOOKUP(G2044,제품명!$C$1:$E$114,2,0)</f>
        <v>#N/A</v>
      </c>
      <c r="J2044" s="29">
        <f>'Raw data'!K1953</f>
        <v>0</v>
      </c>
      <c r="K2044" s="31">
        <f>'Raw data'!H1953</f>
        <v>0</v>
      </c>
      <c r="L2044" s="26">
        <f t="shared" si="66"/>
        <v>0</v>
      </c>
    </row>
    <row r="2045" spans="2:12">
      <c r="B2045" s="4" t="e">
        <f t="shared" si="65"/>
        <v>#N/A</v>
      </c>
      <c r="C2045" s="4">
        <f>'Raw data'!E1954</f>
        <v>0</v>
      </c>
      <c r="D2045" s="29" t="e">
        <f>VLOOKUP(C2045,'점포코드 '!A:B,2,0)</f>
        <v>#N/A</v>
      </c>
      <c r="E2045" s="30">
        <f>'Raw data'!P1954</f>
        <v>0</v>
      </c>
      <c r="F2045" s="29" t="e">
        <f>VLOOKUP(E2045,'점포코드 '!A:B,2,0)</f>
        <v>#N/A</v>
      </c>
      <c r="G2045" s="46">
        <f>'Raw data'!F1954</f>
        <v>0</v>
      </c>
      <c r="H2045" s="4">
        <f>'Raw data'!G1954</f>
        <v>0</v>
      </c>
      <c r="I2045" s="29" t="e">
        <f>VLOOKUP(G2045,제품명!$C$1:$E$114,2,0)</f>
        <v>#N/A</v>
      </c>
      <c r="J2045" s="29">
        <f>'Raw data'!K1954</f>
        <v>0</v>
      </c>
      <c r="K2045" s="31">
        <f>'Raw data'!H1954</f>
        <v>0</v>
      </c>
      <c r="L2045" s="26">
        <f t="shared" si="66"/>
        <v>0</v>
      </c>
    </row>
    <row r="2046" spans="2:12">
      <c r="B2046" s="4" t="e">
        <f t="shared" si="65"/>
        <v>#N/A</v>
      </c>
      <c r="C2046" s="4">
        <f>'Raw data'!E1955</f>
        <v>0</v>
      </c>
      <c r="D2046" s="29" t="e">
        <f>VLOOKUP(C2046,'점포코드 '!A:B,2,0)</f>
        <v>#N/A</v>
      </c>
      <c r="E2046" s="30">
        <f>'Raw data'!P1955</f>
        <v>0</v>
      </c>
      <c r="F2046" s="29" t="e">
        <f>VLOOKUP(E2046,'점포코드 '!A:B,2,0)</f>
        <v>#N/A</v>
      </c>
      <c r="G2046" s="46">
        <f>'Raw data'!F1955</f>
        <v>0</v>
      </c>
      <c r="H2046" s="4">
        <f>'Raw data'!G1955</f>
        <v>0</v>
      </c>
      <c r="I2046" s="29" t="e">
        <f>VLOOKUP(G2046,제품명!$C$1:$E$114,2,0)</f>
        <v>#N/A</v>
      </c>
      <c r="J2046" s="29">
        <f>'Raw data'!K1955</f>
        <v>0</v>
      </c>
      <c r="K2046" s="31">
        <f>'Raw data'!H1955</f>
        <v>0</v>
      </c>
      <c r="L2046" s="26">
        <f t="shared" si="66"/>
        <v>0</v>
      </c>
    </row>
    <row r="2047" spans="2:12">
      <c r="B2047" s="4" t="e">
        <f t="shared" si="65"/>
        <v>#N/A</v>
      </c>
      <c r="C2047" s="4">
        <f>'Raw data'!E1956</f>
        <v>0</v>
      </c>
      <c r="D2047" s="29" t="e">
        <f>VLOOKUP(C2047,'점포코드 '!A:B,2,0)</f>
        <v>#N/A</v>
      </c>
      <c r="E2047" s="30">
        <f>'Raw data'!P1956</f>
        <v>0</v>
      </c>
      <c r="F2047" s="29" t="e">
        <f>VLOOKUP(E2047,'점포코드 '!A:B,2,0)</f>
        <v>#N/A</v>
      </c>
      <c r="G2047" s="46">
        <f>'Raw data'!F1956</f>
        <v>0</v>
      </c>
      <c r="H2047" s="4">
        <f>'Raw data'!G1956</f>
        <v>0</v>
      </c>
      <c r="I2047" s="29" t="e">
        <f>VLOOKUP(G2047,제품명!$C$1:$E$114,2,0)</f>
        <v>#N/A</v>
      </c>
      <c r="J2047" s="29">
        <f>'Raw data'!K1956</f>
        <v>0</v>
      </c>
      <c r="K2047" s="31">
        <f>'Raw data'!H1956</f>
        <v>0</v>
      </c>
      <c r="L2047" s="26">
        <f t="shared" si="66"/>
        <v>0</v>
      </c>
    </row>
    <row r="2048" spans="2:12">
      <c r="B2048" s="4" t="e">
        <f t="shared" si="65"/>
        <v>#N/A</v>
      </c>
      <c r="C2048" s="4">
        <f>'Raw data'!E1957</f>
        <v>0</v>
      </c>
      <c r="D2048" s="29" t="e">
        <f>VLOOKUP(C2048,'점포코드 '!A:B,2,0)</f>
        <v>#N/A</v>
      </c>
      <c r="E2048" s="30">
        <f>'Raw data'!P1957</f>
        <v>0</v>
      </c>
      <c r="F2048" s="29" t="e">
        <f>VLOOKUP(E2048,'점포코드 '!A:B,2,0)</f>
        <v>#N/A</v>
      </c>
      <c r="G2048" s="46">
        <f>'Raw data'!F1957</f>
        <v>0</v>
      </c>
      <c r="H2048" s="4">
        <f>'Raw data'!G1957</f>
        <v>0</v>
      </c>
      <c r="I2048" s="29" t="e">
        <f>VLOOKUP(G2048,제품명!$C$1:$E$114,2,0)</f>
        <v>#N/A</v>
      </c>
      <c r="J2048" s="29">
        <f>'Raw data'!K1957</f>
        <v>0</v>
      </c>
      <c r="K2048" s="31">
        <f>'Raw data'!H1957</f>
        <v>0</v>
      </c>
      <c r="L2048" s="26">
        <f t="shared" si="66"/>
        <v>0</v>
      </c>
    </row>
    <row r="2049" spans="2:12">
      <c r="B2049" s="4" t="e">
        <f t="shared" si="65"/>
        <v>#N/A</v>
      </c>
      <c r="C2049" s="4">
        <f>'Raw data'!E1958</f>
        <v>0</v>
      </c>
      <c r="D2049" s="29" t="e">
        <f>VLOOKUP(C2049,'점포코드 '!A:B,2,0)</f>
        <v>#N/A</v>
      </c>
      <c r="E2049" s="30">
        <f>'Raw data'!P1958</f>
        <v>0</v>
      </c>
      <c r="F2049" s="29" t="e">
        <f>VLOOKUP(E2049,'점포코드 '!A:B,2,0)</f>
        <v>#N/A</v>
      </c>
      <c r="G2049" s="46">
        <f>'Raw data'!F1958</f>
        <v>0</v>
      </c>
      <c r="H2049" s="4">
        <f>'Raw data'!G1958</f>
        <v>0</v>
      </c>
      <c r="I2049" s="29" t="e">
        <f>VLOOKUP(G2049,제품명!$C$1:$E$114,2,0)</f>
        <v>#N/A</v>
      </c>
      <c r="J2049" s="29">
        <f>'Raw data'!K1958</f>
        <v>0</v>
      </c>
      <c r="K2049" s="31">
        <f>'Raw data'!H1958</f>
        <v>0</v>
      </c>
      <c r="L2049" s="26">
        <f t="shared" si="66"/>
        <v>0</v>
      </c>
    </row>
    <row r="2050" spans="2:12">
      <c r="B2050" s="4" t="e">
        <f t="shared" ref="B2050:B2113" si="67">F2050&amp;I2050</f>
        <v>#N/A</v>
      </c>
      <c r="C2050" s="4">
        <f>'Raw data'!E1959</f>
        <v>0</v>
      </c>
      <c r="D2050" s="29" t="e">
        <f>VLOOKUP(C2050,'점포코드 '!A:B,2,0)</f>
        <v>#N/A</v>
      </c>
      <c r="E2050" s="30">
        <f>'Raw data'!P1959</f>
        <v>0</v>
      </c>
      <c r="F2050" s="29" t="e">
        <f>VLOOKUP(E2050,'점포코드 '!A:B,2,0)</f>
        <v>#N/A</v>
      </c>
      <c r="G2050" s="46">
        <f>'Raw data'!F1959</f>
        <v>0</v>
      </c>
      <c r="H2050" s="4">
        <f>'Raw data'!G1959</f>
        <v>0</v>
      </c>
      <c r="I2050" s="29" t="e">
        <f>VLOOKUP(G2050,제품명!$C$1:$E$114,2,0)</f>
        <v>#N/A</v>
      </c>
      <c r="J2050" s="29">
        <f>'Raw data'!K1959</f>
        <v>0</v>
      </c>
      <c r="K2050" s="31">
        <f>'Raw data'!H1959</f>
        <v>0</v>
      </c>
      <c r="L2050" s="26">
        <f t="shared" si="66"/>
        <v>0</v>
      </c>
    </row>
    <row r="2051" spans="2:12">
      <c r="B2051" s="4" t="e">
        <f t="shared" si="67"/>
        <v>#N/A</v>
      </c>
      <c r="C2051" s="4">
        <f>'Raw data'!E1960</f>
        <v>0</v>
      </c>
      <c r="D2051" s="29" t="e">
        <f>VLOOKUP(C2051,'점포코드 '!A:B,2,0)</f>
        <v>#N/A</v>
      </c>
      <c r="E2051" s="30">
        <f>'Raw data'!P1960</f>
        <v>0</v>
      </c>
      <c r="F2051" s="29" t="e">
        <f>VLOOKUP(E2051,'점포코드 '!A:B,2,0)</f>
        <v>#N/A</v>
      </c>
      <c r="G2051" s="46">
        <f>'Raw data'!F1960</f>
        <v>0</v>
      </c>
      <c r="H2051" s="4">
        <f>'Raw data'!G1960</f>
        <v>0</v>
      </c>
      <c r="I2051" s="29" t="e">
        <f>VLOOKUP(G2051,제품명!$C$1:$E$114,2,0)</f>
        <v>#N/A</v>
      </c>
      <c r="J2051" s="29">
        <f>'Raw data'!K1960</f>
        <v>0</v>
      </c>
      <c r="K2051" s="31">
        <f>'Raw data'!H1960</f>
        <v>0</v>
      </c>
      <c r="L2051" s="26">
        <f t="shared" ref="L2051:L2114" si="68">J2051*K2051</f>
        <v>0</v>
      </c>
    </row>
    <row r="2052" spans="2:12">
      <c r="B2052" s="4" t="e">
        <f t="shared" si="67"/>
        <v>#N/A</v>
      </c>
      <c r="C2052" s="4">
        <f>'Raw data'!E1961</f>
        <v>0</v>
      </c>
      <c r="D2052" s="29" t="e">
        <f>VLOOKUP(C2052,'점포코드 '!A:B,2,0)</f>
        <v>#N/A</v>
      </c>
      <c r="E2052" s="30">
        <f>'Raw data'!P1961</f>
        <v>0</v>
      </c>
      <c r="F2052" s="29" t="e">
        <f>VLOOKUP(E2052,'점포코드 '!A:B,2,0)</f>
        <v>#N/A</v>
      </c>
      <c r="G2052" s="46">
        <f>'Raw data'!F1961</f>
        <v>0</v>
      </c>
      <c r="H2052" s="4">
        <f>'Raw data'!G1961</f>
        <v>0</v>
      </c>
      <c r="I2052" s="29" t="e">
        <f>VLOOKUP(G2052,제품명!$C$1:$E$114,2,0)</f>
        <v>#N/A</v>
      </c>
      <c r="J2052" s="29">
        <f>'Raw data'!K1961</f>
        <v>0</v>
      </c>
      <c r="K2052" s="31">
        <f>'Raw data'!H1961</f>
        <v>0</v>
      </c>
      <c r="L2052" s="26">
        <f t="shared" si="68"/>
        <v>0</v>
      </c>
    </row>
    <row r="2053" spans="2:12">
      <c r="B2053" s="4" t="e">
        <f t="shared" si="67"/>
        <v>#N/A</v>
      </c>
      <c r="C2053" s="4">
        <f>'Raw data'!E1962</f>
        <v>0</v>
      </c>
      <c r="D2053" s="29" t="e">
        <f>VLOOKUP(C2053,'점포코드 '!A:B,2,0)</f>
        <v>#N/A</v>
      </c>
      <c r="E2053" s="30">
        <f>'Raw data'!P1962</f>
        <v>0</v>
      </c>
      <c r="F2053" s="29" t="e">
        <f>VLOOKUP(E2053,'점포코드 '!A:B,2,0)</f>
        <v>#N/A</v>
      </c>
      <c r="G2053" s="46">
        <f>'Raw data'!F1962</f>
        <v>0</v>
      </c>
      <c r="H2053" s="4">
        <f>'Raw data'!G1962</f>
        <v>0</v>
      </c>
      <c r="I2053" s="29" t="e">
        <f>VLOOKUP(G2053,제품명!$C$1:$E$114,2,0)</f>
        <v>#N/A</v>
      </c>
      <c r="J2053" s="29">
        <f>'Raw data'!K1962</f>
        <v>0</v>
      </c>
      <c r="K2053" s="31">
        <f>'Raw data'!H1962</f>
        <v>0</v>
      </c>
      <c r="L2053" s="26">
        <f t="shared" si="68"/>
        <v>0</v>
      </c>
    </row>
    <row r="2054" spans="2:12">
      <c r="B2054" s="4" t="e">
        <f t="shared" si="67"/>
        <v>#N/A</v>
      </c>
      <c r="C2054" s="4">
        <f>'Raw data'!E1963</f>
        <v>0</v>
      </c>
      <c r="D2054" s="29" t="e">
        <f>VLOOKUP(C2054,'점포코드 '!A:B,2,0)</f>
        <v>#N/A</v>
      </c>
      <c r="E2054" s="30">
        <f>'Raw data'!P1963</f>
        <v>0</v>
      </c>
      <c r="F2054" s="29" t="e">
        <f>VLOOKUP(E2054,'점포코드 '!A:B,2,0)</f>
        <v>#N/A</v>
      </c>
      <c r="G2054" s="46">
        <f>'Raw data'!F1963</f>
        <v>0</v>
      </c>
      <c r="H2054" s="4">
        <f>'Raw data'!G1963</f>
        <v>0</v>
      </c>
      <c r="I2054" s="29" t="e">
        <f>VLOOKUP(G2054,제품명!$C$1:$E$114,2,0)</f>
        <v>#N/A</v>
      </c>
      <c r="J2054" s="29">
        <f>'Raw data'!K1963</f>
        <v>0</v>
      </c>
      <c r="K2054" s="31">
        <f>'Raw data'!H1963</f>
        <v>0</v>
      </c>
      <c r="L2054" s="26">
        <f t="shared" si="68"/>
        <v>0</v>
      </c>
    </row>
    <row r="2055" spans="2:12">
      <c r="B2055" s="4" t="e">
        <f t="shared" si="67"/>
        <v>#N/A</v>
      </c>
      <c r="C2055" s="4">
        <f>'Raw data'!E1964</f>
        <v>0</v>
      </c>
      <c r="D2055" s="29" t="e">
        <f>VLOOKUP(C2055,'점포코드 '!A:B,2,0)</f>
        <v>#N/A</v>
      </c>
      <c r="E2055" s="30">
        <f>'Raw data'!P1964</f>
        <v>0</v>
      </c>
      <c r="F2055" s="29" t="e">
        <f>VLOOKUP(E2055,'점포코드 '!A:B,2,0)</f>
        <v>#N/A</v>
      </c>
      <c r="G2055" s="46">
        <f>'Raw data'!F1964</f>
        <v>0</v>
      </c>
      <c r="H2055" s="4">
        <f>'Raw data'!G1964</f>
        <v>0</v>
      </c>
      <c r="I2055" s="29" t="e">
        <f>VLOOKUP(G2055,제품명!$C$1:$E$114,2,0)</f>
        <v>#N/A</v>
      </c>
      <c r="J2055" s="29">
        <f>'Raw data'!K1964</f>
        <v>0</v>
      </c>
      <c r="K2055" s="31">
        <f>'Raw data'!H1964</f>
        <v>0</v>
      </c>
      <c r="L2055" s="26">
        <f t="shared" si="68"/>
        <v>0</v>
      </c>
    </row>
    <row r="2056" spans="2:12">
      <c r="B2056" s="4" t="e">
        <f t="shared" si="67"/>
        <v>#N/A</v>
      </c>
      <c r="C2056" s="4">
        <f>'Raw data'!E1965</f>
        <v>0</v>
      </c>
      <c r="D2056" s="29" t="e">
        <f>VLOOKUP(C2056,'점포코드 '!A:B,2,0)</f>
        <v>#N/A</v>
      </c>
      <c r="E2056" s="30">
        <f>'Raw data'!P1965</f>
        <v>0</v>
      </c>
      <c r="F2056" s="29" t="e">
        <f>VLOOKUP(E2056,'점포코드 '!A:B,2,0)</f>
        <v>#N/A</v>
      </c>
      <c r="G2056" s="46">
        <f>'Raw data'!F1965</f>
        <v>0</v>
      </c>
      <c r="H2056" s="4">
        <f>'Raw data'!G1965</f>
        <v>0</v>
      </c>
      <c r="I2056" s="29" t="e">
        <f>VLOOKUP(G2056,제품명!$C$1:$E$114,2,0)</f>
        <v>#N/A</v>
      </c>
      <c r="J2056" s="29">
        <f>'Raw data'!K1965</f>
        <v>0</v>
      </c>
      <c r="K2056" s="31">
        <f>'Raw data'!H1965</f>
        <v>0</v>
      </c>
      <c r="L2056" s="26">
        <f t="shared" si="68"/>
        <v>0</v>
      </c>
    </row>
    <row r="2057" spans="2:12">
      <c r="B2057" s="4" t="e">
        <f t="shared" si="67"/>
        <v>#N/A</v>
      </c>
      <c r="C2057" s="4">
        <f>'Raw data'!E1966</f>
        <v>0</v>
      </c>
      <c r="D2057" s="29" t="e">
        <f>VLOOKUP(C2057,'점포코드 '!A:B,2,0)</f>
        <v>#N/A</v>
      </c>
      <c r="E2057" s="30">
        <f>'Raw data'!P1966</f>
        <v>0</v>
      </c>
      <c r="F2057" s="29" t="e">
        <f>VLOOKUP(E2057,'점포코드 '!A:B,2,0)</f>
        <v>#N/A</v>
      </c>
      <c r="G2057" s="46">
        <f>'Raw data'!F1966</f>
        <v>0</v>
      </c>
      <c r="H2057" s="4">
        <f>'Raw data'!G1966</f>
        <v>0</v>
      </c>
      <c r="I2057" s="29" t="e">
        <f>VLOOKUP(G2057,제품명!$C$1:$E$114,2,0)</f>
        <v>#N/A</v>
      </c>
      <c r="J2057" s="29">
        <f>'Raw data'!K1966</f>
        <v>0</v>
      </c>
      <c r="K2057" s="31">
        <f>'Raw data'!H1966</f>
        <v>0</v>
      </c>
      <c r="L2057" s="26">
        <f t="shared" si="68"/>
        <v>0</v>
      </c>
    </row>
    <row r="2058" spans="2:12">
      <c r="B2058" s="4" t="e">
        <f t="shared" si="67"/>
        <v>#N/A</v>
      </c>
      <c r="C2058" s="4">
        <f>'Raw data'!E1967</f>
        <v>0</v>
      </c>
      <c r="D2058" s="29" t="e">
        <f>VLOOKUP(C2058,'점포코드 '!A:B,2,0)</f>
        <v>#N/A</v>
      </c>
      <c r="E2058" s="30">
        <f>'Raw data'!P1967</f>
        <v>0</v>
      </c>
      <c r="F2058" s="29" t="e">
        <f>VLOOKUP(E2058,'점포코드 '!A:B,2,0)</f>
        <v>#N/A</v>
      </c>
      <c r="G2058" s="46">
        <f>'Raw data'!F1967</f>
        <v>0</v>
      </c>
      <c r="H2058" s="4">
        <f>'Raw data'!G1967</f>
        <v>0</v>
      </c>
      <c r="I2058" s="29" t="e">
        <f>VLOOKUP(G2058,제품명!$C$1:$E$114,2,0)</f>
        <v>#N/A</v>
      </c>
      <c r="J2058" s="29">
        <f>'Raw data'!K1967</f>
        <v>0</v>
      </c>
      <c r="K2058" s="31">
        <f>'Raw data'!H1967</f>
        <v>0</v>
      </c>
      <c r="L2058" s="26">
        <f t="shared" si="68"/>
        <v>0</v>
      </c>
    </row>
    <row r="2059" spans="2:12">
      <c r="B2059" s="4" t="e">
        <f t="shared" si="67"/>
        <v>#N/A</v>
      </c>
      <c r="C2059" s="4">
        <f>'Raw data'!E1968</f>
        <v>0</v>
      </c>
      <c r="D2059" s="29" t="e">
        <f>VLOOKUP(C2059,'점포코드 '!A:B,2,0)</f>
        <v>#N/A</v>
      </c>
      <c r="E2059" s="30">
        <f>'Raw data'!P1968</f>
        <v>0</v>
      </c>
      <c r="F2059" s="29" t="e">
        <f>VLOOKUP(E2059,'점포코드 '!A:B,2,0)</f>
        <v>#N/A</v>
      </c>
      <c r="G2059" s="46">
        <f>'Raw data'!F1968</f>
        <v>0</v>
      </c>
      <c r="H2059" s="4">
        <f>'Raw data'!G1968</f>
        <v>0</v>
      </c>
      <c r="I2059" s="29" t="e">
        <f>VLOOKUP(G2059,제품명!$C$1:$E$114,2,0)</f>
        <v>#N/A</v>
      </c>
      <c r="J2059" s="29">
        <f>'Raw data'!K1968</f>
        <v>0</v>
      </c>
      <c r="K2059" s="31">
        <f>'Raw data'!H1968</f>
        <v>0</v>
      </c>
      <c r="L2059" s="26">
        <f t="shared" si="68"/>
        <v>0</v>
      </c>
    </row>
    <row r="2060" spans="2:12">
      <c r="B2060" s="4" t="e">
        <f t="shared" si="67"/>
        <v>#N/A</v>
      </c>
      <c r="C2060" s="4">
        <f>'Raw data'!E1969</f>
        <v>0</v>
      </c>
      <c r="D2060" s="29" t="e">
        <f>VLOOKUP(C2060,'점포코드 '!A:B,2,0)</f>
        <v>#N/A</v>
      </c>
      <c r="E2060" s="30">
        <f>'Raw data'!P1969</f>
        <v>0</v>
      </c>
      <c r="F2060" s="29" t="e">
        <f>VLOOKUP(E2060,'점포코드 '!A:B,2,0)</f>
        <v>#N/A</v>
      </c>
      <c r="G2060" s="46">
        <f>'Raw data'!F1969</f>
        <v>0</v>
      </c>
      <c r="H2060" s="4">
        <f>'Raw data'!G1969</f>
        <v>0</v>
      </c>
      <c r="I2060" s="29" t="e">
        <f>VLOOKUP(G2060,제품명!$C$1:$E$114,2,0)</f>
        <v>#N/A</v>
      </c>
      <c r="J2060" s="29">
        <f>'Raw data'!K1969</f>
        <v>0</v>
      </c>
      <c r="K2060" s="31">
        <f>'Raw data'!H1969</f>
        <v>0</v>
      </c>
      <c r="L2060" s="26">
        <f t="shared" si="68"/>
        <v>0</v>
      </c>
    </row>
    <row r="2061" spans="2:12">
      <c r="B2061" s="4" t="e">
        <f t="shared" si="67"/>
        <v>#N/A</v>
      </c>
      <c r="C2061" s="4">
        <f>'Raw data'!E1970</f>
        <v>0</v>
      </c>
      <c r="D2061" s="29" t="e">
        <f>VLOOKUP(C2061,'점포코드 '!A:B,2,0)</f>
        <v>#N/A</v>
      </c>
      <c r="E2061" s="30">
        <f>'Raw data'!P1970</f>
        <v>0</v>
      </c>
      <c r="F2061" s="29" t="e">
        <f>VLOOKUP(E2061,'점포코드 '!A:B,2,0)</f>
        <v>#N/A</v>
      </c>
      <c r="G2061" s="46">
        <f>'Raw data'!F1970</f>
        <v>0</v>
      </c>
      <c r="H2061" s="4">
        <f>'Raw data'!G1970</f>
        <v>0</v>
      </c>
      <c r="I2061" s="29" t="e">
        <f>VLOOKUP(G2061,제품명!$C$1:$E$114,2,0)</f>
        <v>#N/A</v>
      </c>
      <c r="J2061" s="29">
        <f>'Raw data'!K1970</f>
        <v>0</v>
      </c>
      <c r="K2061" s="31">
        <f>'Raw data'!H1970</f>
        <v>0</v>
      </c>
      <c r="L2061" s="26">
        <f t="shared" si="68"/>
        <v>0</v>
      </c>
    </row>
    <row r="2062" spans="2:12">
      <c r="B2062" s="4" t="e">
        <f t="shared" si="67"/>
        <v>#N/A</v>
      </c>
      <c r="C2062" s="4">
        <f>'Raw data'!E1971</f>
        <v>0</v>
      </c>
      <c r="D2062" s="29" t="e">
        <f>VLOOKUP(C2062,'점포코드 '!A:B,2,0)</f>
        <v>#N/A</v>
      </c>
      <c r="E2062" s="30">
        <f>'Raw data'!P1971</f>
        <v>0</v>
      </c>
      <c r="F2062" s="29" t="e">
        <f>VLOOKUP(E2062,'점포코드 '!A:B,2,0)</f>
        <v>#N/A</v>
      </c>
      <c r="G2062" s="46">
        <f>'Raw data'!F1971</f>
        <v>0</v>
      </c>
      <c r="H2062" s="4">
        <f>'Raw data'!G1971</f>
        <v>0</v>
      </c>
      <c r="I2062" s="29" t="e">
        <f>VLOOKUP(G2062,제품명!$C$1:$E$114,2,0)</f>
        <v>#N/A</v>
      </c>
      <c r="J2062" s="29">
        <f>'Raw data'!K1971</f>
        <v>0</v>
      </c>
      <c r="K2062" s="31">
        <f>'Raw data'!H1971</f>
        <v>0</v>
      </c>
      <c r="L2062" s="26">
        <f t="shared" si="68"/>
        <v>0</v>
      </c>
    </row>
    <row r="2063" spans="2:12">
      <c r="B2063" s="4" t="e">
        <f t="shared" si="67"/>
        <v>#N/A</v>
      </c>
      <c r="C2063" s="4">
        <f>'Raw data'!E1972</f>
        <v>0</v>
      </c>
      <c r="D2063" s="29" t="e">
        <f>VLOOKUP(C2063,'점포코드 '!A:B,2,0)</f>
        <v>#N/A</v>
      </c>
      <c r="E2063" s="30">
        <f>'Raw data'!P1972</f>
        <v>0</v>
      </c>
      <c r="F2063" s="29" t="e">
        <f>VLOOKUP(E2063,'점포코드 '!A:B,2,0)</f>
        <v>#N/A</v>
      </c>
      <c r="G2063" s="46">
        <f>'Raw data'!F1972</f>
        <v>0</v>
      </c>
      <c r="H2063" s="4">
        <f>'Raw data'!G1972</f>
        <v>0</v>
      </c>
      <c r="I2063" s="29" t="e">
        <f>VLOOKUP(G2063,제품명!$C$1:$E$114,2,0)</f>
        <v>#N/A</v>
      </c>
      <c r="J2063" s="29">
        <f>'Raw data'!K1972</f>
        <v>0</v>
      </c>
      <c r="K2063" s="31">
        <f>'Raw data'!H1972</f>
        <v>0</v>
      </c>
      <c r="L2063" s="26">
        <f t="shared" si="68"/>
        <v>0</v>
      </c>
    </row>
    <row r="2064" spans="2:12">
      <c r="B2064" s="4" t="e">
        <f t="shared" si="67"/>
        <v>#N/A</v>
      </c>
      <c r="C2064" s="4">
        <f>'Raw data'!E1973</f>
        <v>0</v>
      </c>
      <c r="D2064" s="29" t="e">
        <f>VLOOKUP(C2064,'점포코드 '!A:B,2,0)</f>
        <v>#N/A</v>
      </c>
      <c r="E2064" s="30">
        <f>'Raw data'!P1973</f>
        <v>0</v>
      </c>
      <c r="F2064" s="29" t="e">
        <f>VLOOKUP(E2064,'점포코드 '!A:B,2,0)</f>
        <v>#N/A</v>
      </c>
      <c r="G2064" s="46">
        <f>'Raw data'!F1973</f>
        <v>0</v>
      </c>
      <c r="H2064" s="4">
        <f>'Raw data'!G1973</f>
        <v>0</v>
      </c>
      <c r="I2064" s="29" t="e">
        <f>VLOOKUP(G2064,제품명!$C$1:$E$114,2,0)</f>
        <v>#N/A</v>
      </c>
      <c r="J2064" s="29">
        <f>'Raw data'!K1973</f>
        <v>0</v>
      </c>
      <c r="K2064" s="31">
        <f>'Raw data'!H1973</f>
        <v>0</v>
      </c>
      <c r="L2064" s="26">
        <f t="shared" si="68"/>
        <v>0</v>
      </c>
    </row>
    <row r="2065" spans="2:12">
      <c r="B2065" s="4" t="e">
        <f t="shared" si="67"/>
        <v>#N/A</v>
      </c>
      <c r="C2065" s="4">
        <f>'Raw data'!E1974</f>
        <v>0</v>
      </c>
      <c r="D2065" s="29" t="e">
        <f>VLOOKUP(C2065,'점포코드 '!A:B,2,0)</f>
        <v>#N/A</v>
      </c>
      <c r="E2065" s="30">
        <f>'Raw data'!P1974</f>
        <v>0</v>
      </c>
      <c r="F2065" s="29" t="e">
        <f>VLOOKUP(E2065,'점포코드 '!A:B,2,0)</f>
        <v>#N/A</v>
      </c>
      <c r="G2065" s="46">
        <f>'Raw data'!F1974</f>
        <v>0</v>
      </c>
      <c r="H2065" s="4">
        <f>'Raw data'!G1974</f>
        <v>0</v>
      </c>
      <c r="I2065" s="29" t="e">
        <f>VLOOKUP(G2065,제품명!$C$1:$E$114,2,0)</f>
        <v>#N/A</v>
      </c>
      <c r="J2065" s="29">
        <f>'Raw data'!K1974</f>
        <v>0</v>
      </c>
      <c r="K2065" s="31">
        <f>'Raw data'!H1974</f>
        <v>0</v>
      </c>
      <c r="L2065" s="26">
        <f t="shared" si="68"/>
        <v>0</v>
      </c>
    </row>
    <row r="2066" spans="2:12">
      <c r="B2066" s="4" t="e">
        <f t="shared" si="67"/>
        <v>#N/A</v>
      </c>
      <c r="C2066" s="4">
        <f>'Raw data'!E1975</f>
        <v>0</v>
      </c>
      <c r="D2066" s="29" t="e">
        <f>VLOOKUP(C2066,'점포코드 '!A:B,2,0)</f>
        <v>#N/A</v>
      </c>
      <c r="E2066" s="30">
        <f>'Raw data'!P1975</f>
        <v>0</v>
      </c>
      <c r="F2066" s="29" t="e">
        <f>VLOOKUP(E2066,'점포코드 '!A:B,2,0)</f>
        <v>#N/A</v>
      </c>
      <c r="G2066" s="46">
        <f>'Raw data'!F1975</f>
        <v>0</v>
      </c>
      <c r="H2066" s="4">
        <f>'Raw data'!G1975</f>
        <v>0</v>
      </c>
      <c r="I2066" s="29" t="e">
        <f>VLOOKUP(G2066,제품명!$C$1:$E$114,2,0)</f>
        <v>#N/A</v>
      </c>
      <c r="J2066" s="29">
        <f>'Raw data'!K1975</f>
        <v>0</v>
      </c>
      <c r="K2066" s="31">
        <f>'Raw data'!H1975</f>
        <v>0</v>
      </c>
      <c r="L2066" s="26">
        <f t="shared" si="68"/>
        <v>0</v>
      </c>
    </row>
    <row r="2067" spans="2:12">
      <c r="B2067" s="4" t="e">
        <f t="shared" si="67"/>
        <v>#N/A</v>
      </c>
      <c r="C2067" s="4">
        <f>'Raw data'!E1976</f>
        <v>0</v>
      </c>
      <c r="D2067" s="29" t="e">
        <f>VLOOKUP(C2067,'점포코드 '!A:B,2,0)</f>
        <v>#N/A</v>
      </c>
      <c r="E2067" s="30">
        <f>'Raw data'!P1976</f>
        <v>0</v>
      </c>
      <c r="F2067" s="29" t="e">
        <f>VLOOKUP(E2067,'점포코드 '!A:B,2,0)</f>
        <v>#N/A</v>
      </c>
      <c r="G2067" s="46">
        <f>'Raw data'!F1976</f>
        <v>0</v>
      </c>
      <c r="H2067" s="4">
        <f>'Raw data'!G1976</f>
        <v>0</v>
      </c>
      <c r="I2067" s="29" t="e">
        <f>VLOOKUP(G2067,제품명!$C$1:$E$114,2,0)</f>
        <v>#N/A</v>
      </c>
      <c r="J2067" s="29">
        <f>'Raw data'!K1976</f>
        <v>0</v>
      </c>
      <c r="K2067" s="31">
        <f>'Raw data'!H1976</f>
        <v>0</v>
      </c>
      <c r="L2067" s="26">
        <f t="shared" si="68"/>
        <v>0</v>
      </c>
    </row>
    <row r="2068" spans="2:12">
      <c r="B2068" s="4" t="e">
        <f t="shared" si="67"/>
        <v>#N/A</v>
      </c>
      <c r="C2068" s="4">
        <f>'Raw data'!E1977</f>
        <v>0</v>
      </c>
      <c r="D2068" s="29" t="e">
        <f>VLOOKUP(C2068,'점포코드 '!A:B,2,0)</f>
        <v>#N/A</v>
      </c>
      <c r="E2068" s="30">
        <f>'Raw data'!P1977</f>
        <v>0</v>
      </c>
      <c r="F2068" s="29" t="e">
        <f>VLOOKUP(E2068,'점포코드 '!A:B,2,0)</f>
        <v>#N/A</v>
      </c>
      <c r="G2068" s="46">
        <f>'Raw data'!F1977</f>
        <v>0</v>
      </c>
      <c r="H2068" s="4">
        <f>'Raw data'!G1977</f>
        <v>0</v>
      </c>
      <c r="I2068" s="29" t="e">
        <f>VLOOKUP(G2068,제품명!$C$1:$E$114,2,0)</f>
        <v>#N/A</v>
      </c>
      <c r="J2068" s="29">
        <f>'Raw data'!K1977</f>
        <v>0</v>
      </c>
      <c r="K2068" s="31">
        <f>'Raw data'!H1977</f>
        <v>0</v>
      </c>
      <c r="L2068" s="26">
        <f t="shared" si="68"/>
        <v>0</v>
      </c>
    </row>
    <row r="2069" spans="2:12">
      <c r="B2069" s="4" t="e">
        <f t="shared" si="67"/>
        <v>#N/A</v>
      </c>
      <c r="C2069" s="4">
        <f>'Raw data'!E1978</f>
        <v>0</v>
      </c>
      <c r="D2069" s="29" t="e">
        <f>VLOOKUP(C2069,'점포코드 '!A:B,2,0)</f>
        <v>#N/A</v>
      </c>
      <c r="E2069" s="30">
        <f>'Raw data'!P1978</f>
        <v>0</v>
      </c>
      <c r="F2069" s="29" t="e">
        <f>VLOOKUP(E2069,'점포코드 '!A:B,2,0)</f>
        <v>#N/A</v>
      </c>
      <c r="G2069" s="46">
        <f>'Raw data'!F1978</f>
        <v>0</v>
      </c>
      <c r="H2069" s="4">
        <f>'Raw data'!G1978</f>
        <v>0</v>
      </c>
      <c r="I2069" s="29" t="e">
        <f>VLOOKUP(G2069,제품명!$C$1:$E$114,2,0)</f>
        <v>#N/A</v>
      </c>
      <c r="J2069" s="29">
        <f>'Raw data'!K1978</f>
        <v>0</v>
      </c>
      <c r="K2069" s="31">
        <f>'Raw data'!H1978</f>
        <v>0</v>
      </c>
      <c r="L2069" s="26">
        <f t="shared" si="68"/>
        <v>0</v>
      </c>
    </row>
    <row r="2070" spans="2:12">
      <c r="B2070" s="4" t="e">
        <f t="shared" si="67"/>
        <v>#N/A</v>
      </c>
      <c r="C2070" s="4">
        <f>'Raw data'!E1979</f>
        <v>0</v>
      </c>
      <c r="D2070" s="29" t="e">
        <f>VLOOKUP(C2070,'점포코드 '!A:B,2,0)</f>
        <v>#N/A</v>
      </c>
      <c r="E2070" s="30">
        <f>'Raw data'!P1979</f>
        <v>0</v>
      </c>
      <c r="F2070" s="29" t="e">
        <f>VLOOKUP(E2070,'점포코드 '!A:B,2,0)</f>
        <v>#N/A</v>
      </c>
      <c r="G2070" s="46">
        <f>'Raw data'!F1979</f>
        <v>0</v>
      </c>
      <c r="H2070" s="4">
        <f>'Raw data'!G1979</f>
        <v>0</v>
      </c>
      <c r="I2070" s="29" t="e">
        <f>VLOOKUP(G2070,제품명!$C$1:$E$114,2,0)</f>
        <v>#N/A</v>
      </c>
      <c r="J2070" s="29">
        <f>'Raw data'!K1979</f>
        <v>0</v>
      </c>
      <c r="K2070" s="31">
        <f>'Raw data'!H1979</f>
        <v>0</v>
      </c>
      <c r="L2070" s="26">
        <f t="shared" si="68"/>
        <v>0</v>
      </c>
    </row>
    <row r="2071" spans="2:12">
      <c r="B2071" s="4" t="e">
        <f t="shared" si="67"/>
        <v>#N/A</v>
      </c>
      <c r="C2071" s="4">
        <f>'Raw data'!E1980</f>
        <v>0</v>
      </c>
      <c r="D2071" s="29" t="e">
        <f>VLOOKUP(C2071,'점포코드 '!A:B,2,0)</f>
        <v>#N/A</v>
      </c>
      <c r="E2071" s="30">
        <f>'Raw data'!P1980</f>
        <v>0</v>
      </c>
      <c r="F2071" s="29" t="e">
        <f>VLOOKUP(E2071,'점포코드 '!A:B,2,0)</f>
        <v>#N/A</v>
      </c>
      <c r="G2071" s="46">
        <f>'Raw data'!F1980</f>
        <v>0</v>
      </c>
      <c r="H2071" s="4">
        <f>'Raw data'!G1980</f>
        <v>0</v>
      </c>
      <c r="I2071" s="29" t="e">
        <f>VLOOKUP(G2071,제품명!$C$1:$E$114,2,0)</f>
        <v>#N/A</v>
      </c>
      <c r="J2071" s="29">
        <f>'Raw data'!K1980</f>
        <v>0</v>
      </c>
      <c r="K2071" s="31">
        <f>'Raw data'!H1980</f>
        <v>0</v>
      </c>
      <c r="L2071" s="26">
        <f t="shared" si="68"/>
        <v>0</v>
      </c>
    </row>
    <row r="2072" spans="2:12">
      <c r="B2072" s="4" t="e">
        <f t="shared" si="67"/>
        <v>#N/A</v>
      </c>
      <c r="C2072" s="4">
        <f>'Raw data'!E1981</f>
        <v>0</v>
      </c>
      <c r="D2072" s="29" t="e">
        <f>VLOOKUP(C2072,'점포코드 '!A:B,2,0)</f>
        <v>#N/A</v>
      </c>
      <c r="E2072" s="30">
        <f>'Raw data'!P1981</f>
        <v>0</v>
      </c>
      <c r="F2072" s="29" t="e">
        <f>VLOOKUP(E2072,'점포코드 '!A:B,2,0)</f>
        <v>#N/A</v>
      </c>
      <c r="G2072" s="46">
        <f>'Raw data'!F1981</f>
        <v>0</v>
      </c>
      <c r="H2072" s="4">
        <f>'Raw data'!G1981</f>
        <v>0</v>
      </c>
      <c r="I2072" s="29" t="e">
        <f>VLOOKUP(G2072,제품명!$C$1:$E$114,2,0)</f>
        <v>#N/A</v>
      </c>
      <c r="J2072" s="29">
        <f>'Raw data'!K1981</f>
        <v>0</v>
      </c>
      <c r="K2072" s="31">
        <f>'Raw data'!H1981</f>
        <v>0</v>
      </c>
      <c r="L2072" s="26">
        <f t="shared" si="68"/>
        <v>0</v>
      </c>
    </row>
    <row r="2073" spans="2:12">
      <c r="B2073" s="4" t="e">
        <f t="shared" si="67"/>
        <v>#N/A</v>
      </c>
      <c r="C2073" s="4">
        <f>'Raw data'!E1982</f>
        <v>0</v>
      </c>
      <c r="D2073" s="29" t="e">
        <f>VLOOKUP(C2073,'점포코드 '!A:B,2,0)</f>
        <v>#N/A</v>
      </c>
      <c r="E2073" s="30">
        <f>'Raw data'!P1982</f>
        <v>0</v>
      </c>
      <c r="F2073" s="29" t="e">
        <f>VLOOKUP(E2073,'점포코드 '!A:B,2,0)</f>
        <v>#N/A</v>
      </c>
      <c r="G2073" s="46">
        <f>'Raw data'!F1982</f>
        <v>0</v>
      </c>
      <c r="H2073" s="4">
        <f>'Raw data'!G1982</f>
        <v>0</v>
      </c>
      <c r="I2073" s="29" t="e">
        <f>VLOOKUP(G2073,제품명!$C$1:$E$114,2,0)</f>
        <v>#N/A</v>
      </c>
      <c r="J2073" s="29">
        <f>'Raw data'!K1982</f>
        <v>0</v>
      </c>
      <c r="K2073" s="31">
        <f>'Raw data'!H1982</f>
        <v>0</v>
      </c>
      <c r="L2073" s="26">
        <f t="shared" si="68"/>
        <v>0</v>
      </c>
    </row>
    <row r="2074" spans="2:12">
      <c r="B2074" s="4" t="e">
        <f t="shared" si="67"/>
        <v>#N/A</v>
      </c>
      <c r="C2074" s="4">
        <f>'Raw data'!E1983</f>
        <v>0</v>
      </c>
      <c r="D2074" s="29" t="e">
        <f>VLOOKUP(C2074,'점포코드 '!A:B,2,0)</f>
        <v>#N/A</v>
      </c>
      <c r="E2074" s="30">
        <f>'Raw data'!P1983</f>
        <v>0</v>
      </c>
      <c r="F2074" s="29" t="e">
        <f>VLOOKUP(E2074,'점포코드 '!A:B,2,0)</f>
        <v>#N/A</v>
      </c>
      <c r="G2074" s="46">
        <f>'Raw data'!F1983</f>
        <v>0</v>
      </c>
      <c r="H2074" s="4">
        <f>'Raw data'!G1983</f>
        <v>0</v>
      </c>
      <c r="I2074" s="29" t="e">
        <f>VLOOKUP(G2074,제품명!$C$1:$E$114,2,0)</f>
        <v>#N/A</v>
      </c>
      <c r="J2074" s="29">
        <f>'Raw data'!K1983</f>
        <v>0</v>
      </c>
      <c r="K2074" s="31">
        <f>'Raw data'!H1983</f>
        <v>0</v>
      </c>
      <c r="L2074" s="26">
        <f t="shared" si="68"/>
        <v>0</v>
      </c>
    </row>
    <row r="2075" spans="2:12">
      <c r="B2075" s="4" t="e">
        <f t="shared" si="67"/>
        <v>#N/A</v>
      </c>
      <c r="C2075" s="4">
        <f>'Raw data'!E1984</f>
        <v>0</v>
      </c>
      <c r="D2075" s="29" t="e">
        <f>VLOOKUP(C2075,'점포코드 '!A:B,2,0)</f>
        <v>#N/A</v>
      </c>
      <c r="E2075" s="30">
        <f>'Raw data'!P1984</f>
        <v>0</v>
      </c>
      <c r="F2075" s="29" t="e">
        <f>VLOOKUP(E2075,'점포코드 '!A:B,2,0)</f>
        <v>#N/A</v>
      </c>
      <c r="G2075" s="46">
        <f>'Raw data'!F1984</f>
        <v>0</v>
      </c>
      <c r="H2075" s="4">
        <f>'Raw data'!G1984</f>
        <v>0</v>
      </c>
      <c r="I2075" s="29" t="e">
        <f>VLOOKUP(G2075,제품명!$C$1:$E$114,2,0)</f>
        <v>#N/A</v>
      </c>
      <c r="J2075" s="29">
        <f>'Raw data'!K1984</f>
        <v>0</v>
      </c>
      <c r="K2075" s="31">
        <f>'Raw data'!H1984</f>
        <v>0</v>
      </c>
      <c r="L2075" s="26">
        <f t="shared" si="68"/>
        <v>0</v>
      </c>
    </row>
    <row r="2076" spans="2:12">
      <c r="B2076" s="4" t="e">
        <f t="shared" si="67"/>
        <v>#N/A</v>
      </c>
      <c r="C2076" s="4">
        <f>'Raw data'!E1985</f>
        <v>0</v>
      </c>
      <c r="D2076" s="29" t="e">
        <f>VLOOKUP(C2076,'점포코드 '!A:B,2,0)</f>
        <v>#N/A</v>
      </c>
      <c r="E2076" s="30">
        <f>'Raw data'!P1985</f>
        <v>0</v>
      </c>
      <c r="F2076" s="29" t="e">
        <f>VLOOKUP(E2076,'점포코드 '!A:B,2,0)</f>
        <v>#N/A</v>
      </c>
      <c r="G2076" s="46">
        <f>'Raw data'!F1985</f>
        <v>0</v>
      </c>
      <c r="H2076" s="4">
        <f>'Raw data'!G1985</f>
        <v>0</v>
      </c>
      <c r="I2076" s="29" t="e">
        <f>VLOOKUP(G2076,제품명!$C$1:$E$114,2,0)</f>
        <v>#N/A</v>
      </c>
      <c r="J2076" s="29">
        <f>'Raw data'!K1985</f>
        <v>0</v>
      </c>
      <c r="K2076" s="31">
        <f>'Raw data'!H1985</f>
        <v>0</v>
      </c>
      <c r="L2076" s="26">
        <f t="shared" si="68"/>
        <v>0</v>
      </c>
    </row>
    <row r="2077" spans="2:12">
      <c r="B2077" s="4" t="e">
        <f t="shared" si="67"/>
        <v>#N/A</v>
      </c>
      <c r="C2077" s="4">
        <f>'Raw data'!E1986</f>
        <v>0</v>
      </c>
      <c r="D2077" s="29" t="e">
        <f>VLOOKUP(C2077,'점포코드 '!A:B,2,0)</f>
        <v>#N/A</v>
      </c>
      <c r="E2077" s="30">
        <f>'Raw data'!P1986</f>
        <v>0</v>
      </c>
      <c r="F2077" s="29" t="e">
        <f>VLOOKUP(E2077,'점포코드 '!A:B,2,0)</f>
        <v>#N/A</v>
      </c>
      <c r="G2077" s="46">
        <f>'Raw data'!F1986</f>
        <v>0</v>
      </c>
      <c r="H2077" s="4">
        <f>'Raw data'!G1986</f>
        <v>0</v>
      </c>
      <c r="I2077" s="29" t="e">
        <f>VLOOKUP(G2077,제품명!$C$1:$E$114,2,0)</f>
        <v>#N/A</v>
      </c>
      <c r="J2077" s="29">
        <f>'Raw data'!K1986</f>
        <v>0</v>
      </c>
      <c r="K2077" s="31">
        <f>'Raw data'!H1986</f>
        <v>0</v>
      </c>
      <c r="L2077" s="26">
        <f t="shared" si="68"/>
        <v>0</v>
      </c>
    </row>
    <row r="2078" spans="2:12">
      <c r="B2078" s="4" t="e">
        <f t="shared" si="67"/>
        <v>#N/A</v>
      </c>
      <c r="C2078" s="4">
        <f>'Raw data'!E1987</f>
        <v>0</v>
      </c>
      <c r="D2078" s="29" t="e">
        <f>VLOOKUP(C2078,'점포코드 '!A:B,2,0)</f>
        <v>#N/A</v>
      </c>
      <c r="E2078" s="30">
        <f>'Raw data'!P1987</f>
        <v>0</v>
      </c>
      <c r="F2078" s="29" t="e">
        <f>VLOOKUP(E2078,'점포코드 '!A:B,2,0)</f>
        <v>#N/A</v>
      </c>
      <c r="G2078" s="46">
        <f>'Raw data'!F1987</f>
        <v>0</v>
      </c>
      <c r="H2078" s="4">
        <f>'Raw data'!G1987</f>
        <v>0</v>
      </c>
      <c r="I2078" s="29" t="e">
        <f>VLOOKUP(G2078,제품명!$C$1:$E$114,2,0)</f>
        <v>#N/A</v>
      </c>
      <c r="J2078" s="29">
        <f>'Raw data'!K1987</f>
        <v>0</v>
      </c>
      <c r="K2078" s="31">
        <f>'Raw data'!H1987</f>
        <v>0</v>
      </c>
      <c r="L2078" s="26">
        <f t="shared" si="68"/>
        <v>0</v>
      </c>
    </row>
    <row r="2079" spans="2:12">
      <c r="B2079" s="4" t="e">
        <f t="shared" si="67"/>
        <v>#N/A</v>
      </c>
      <c r="C2079" s="4">
        <f>'Raw data'!E1988</f>
        <v>0</v>
      </c>
      <c r="D2079" s="29" t="e">
        <f>VLOOKUP(C2079,'점포코드 '!A:B,2,0)</f>
        <v>#N/A</v>
      </c>
      <c r="E2079" s="30">
        <f>'Raw data'!P1988</f>
        <v>0</v>
      </c>
      <c r="F2079" s="29" t="e">
        <f>VLOOKUP(E2079,'점포코드 '!A:B,2,0)</f>
        <v>#N/A</v>
      </c>
      <c r="G2079" s="46">
        <f>'Raw data'!F1988</f>
        <v>0</v>
      </c>
      <c r="H2079" s="4">
        <f>'Raw data'!G1988</f>
        <v>0</v>
      </c>
      <c r="I2079" s="29" t="e">
        <f>VLOOKUP(G2079,제품명!$C$1:$E$114,2,0)</f>
        <v>#N/A</v>
      </c>
      <c r="J2079" s="29">
        <f>'Raw data'!K1988</f>
        <v>0</v>
      </c>
      <c r="K2079" s="31">
        <f>'Raw data'!H1988</f>
        <v>0</v>
      </c>
      <c r="L2079" s="26">
        <f t="shared" si="68"/>
        <v>0</v>
      </c>
    </row>
    <row r="2080" spans="2:12">
      <c r="B2080" s="4" t="e">
        <f t="shared" si="67"/>
        <v>#N/A</v>
      </c>
      <c r="C2080" s="4">
        <f>'Raw data'!E1989</f>
        <v>0</v>
      </c>
      <c r="D2080" s="29" t="e">
        <f>VLOOKUP(C2080,'점포코드 '!A:B,2,0)</f>
        <v>#N/A</v>
      </c>
      <c r="E2080" s="30">
        <f>'Raw data'!P1989</f>
        <v>0</v>
      </c>
      <c r="F2080" s="29" t="e">
        <f>VLOOKUP(E2080,'점포코드 '!A:B,2,0)</f>
        <v>#N/A</v>
      </c>
      <c r="G2080" s="46">
        <f>'Raw data'!F1989</f>
        <v>0</v>
      </c>
      <c r="H2080" s="4">
        <f>'Raw data'!G1989</f>
        <v>0</v>
      </c>
      <c r="I2080" s="29" t="e">
        <f>VLOOKUP(G2080,제품명!$C$1:$E$114,2,0)</f>
        <v>#N/A</v>
      </c>
      <c r="J2080" s="29">
        <f>'Raw data'!K1989</f>
        <v>0</v>
      </c>
      <c r="K2080" s="31">
        <f>'Raw data'!H1989</f>
        <v>0</v>
      </c>
      <c r="L2080" s="26">
        <f t="shared" si="68"/>
        <v>0</v>
      </c>
    </row>
    <row r="2081" spans="2:12">
      <c r="B2081" s="4" t="e">
        <f t="shared" si="67"/>
        <v>#N/A</v>
      </c>
      <c r="C2081" s="4">
        <f>'Raw data'!E1990</f>
        <v>0</v>
      </c>
      <c r="D2081" s="29" t="e">
        <f>VLOOKUP(C2081,'점포코드 '!A:B,2,0)</f>
        <v>#N/A</v>
      </c>
      <c r="E2081" s="30">
        <f>'Raw data'!P1990</f>
        <v>0</v>
      </c>
      <c r="F2081" s="29" t="e">
        <f>VLOOKUP(E2081,'점포코드 '!A:B,2,0)</f>
        <v>#N/A</v>
      </c>
      <c r="G2081" s="46">
        <f>'Raw data'!F1990</f>
        <v>0</v>
      </c>
      <c r="H2081" s="4">
        <f>'Raw data'!G1990</f>
        <v>0</v>
      </c>
      <c r="I2081" s="29" t="e">
        <f>VLOOKUP(G2081,제품명!$C$1:$E$114,2,0)</f>
        <v>#N/A</v>
      </c>
      <c r="J2081" s="29">
        <f>'Raw data'!K1990</f>
        <v>0</v>
      </c>
      <c r="K2081" s="31">
        <f>'Raw data'!H1990</f>
        <v>0</v>
      </c>
      <c r="L2081" s="26">
        <f t="shared" si="68"/>
        <v>0</v>
      </c>
    </row>
    <row r="2082" spans="2:12">
      <c r="B2082" s="4" t="e">
        <f t="shared" si="67"/>
        <v>#N/A</v>
      </c>
      <c r="C2082" s="4">
        <f>'Raw data'!E1991</f>
        <v>0</v>
      </c>
      <c r="D2082" s="29" t="e">
        <f>VLOOKUP(C2082,'점포코드 '!A:B,2,0)</f>
        <v>#N/A</v>
      </c>
      <c r="E2082" s="30">
        <f>'Raw data'!P1991</f>
        <v>0</v>
      </c>
      <c r="F2082" s="29" t="e">
        <f>VLOOKUP(E2082,'점포코드 '!A:B,2,0)</f>
        <v>#N/A</v>
      </c>
      <c r="G2082" s="46">
        <f>'Raw data'!F1991</f>
        <v>0</v>
      </c>
      <c r="H2082" s="4">
        <f>'Raw data'!G1991</f>
        <v>0</v>
      </c>
      <c r="I2082" s="29" t="e">
        <f>VLOOKUP(G2082,제품명!$C$1:$E$114,2,0)</f>
        <v>#N/A</v>
      </c>
      <c r="J2082" s="29">
        <f>'Raw data'!K1991</f>
        <v>0</v>
      </c>
      <c r="K2082" s="31">
        <f>'Raw data'!H1991</f>
        <v>0</v>
      </c>
      <c r="L2082" s="26">
        <f t="shared" si="68"/>
        <v>0</v>
      </c>
    </row>
    <row r="2083" spans="2:12">
      <c r="B2083" s="4" t="e">
        <f t="shared" si="67"/>
        <v>#N/A</v>
      </c>
      <c r="C2083" s="4">
        <f>'Raw data'!E1992</f>
        <v>0</v>
      </c>
      <c r="D2083" s="29" t="e">
        <f>VLOOKUP(C2083,'점포코드 '!A:B,2,0)</f>
        <v>#N/A</v>
      </c>
      <c r="E2083" s="30">
        <f>'Raw data'!P1992</f>
        <v>0</v>
      </c>
      <c r="F2083" s="29" t="e">
        <f>VLOOKUP(E2083,'점포코드 '!A:B,2,0)</f>
        <v>#N/A</v>
      </c>
      <c r="G2083" s="46">
        <f>'Raw data'!F1992</f>
        <v>0</v>
      </c>
      <c r="H2083" s="4">
        <f>'Raw data'!G1992</f>
        <v>0</v>
      </c>
      <c r="I2083" s="29" t="e">
        <f>VLOOKUP(G2083,제품명!$C$1:$E$114,2,0)</f>
        <v>#N/A</v>
      </c>
      <c r="J2083" s="29">
        <f>'Raw data'!K1992</f>
        <v>0</v>
      </c>
      <c r="K2083" s="31">
        <f>'Raw data'!H1992</f>
        <v>0</v>
      </c>
      <c r="L2083" s="26">
        <f t="shared" si="68"/>
        <v>0</v>
      </c>
    </row>
    <row r="2084" spans="2:12">
      <c r="B2084" s="4" t="e">
        <f t="shared" si="67"/>
        <v>#N/A</v>
      </c>
      <c r="C2084" s="4">
        <f>'Raw data'!E1993</f>
        <v>0</v>
      </c>
      <c r="D2084" s="29" t="e">
        <f>VLOOKUP(C2084,'점포코드 '!A:B,2,0)</f>
        <v>#N/A</v>
      </c>
      <c r="E2084" s="30">
        <f>'Raw data'!P1993</f>
        <v>0</v>
      </c>
      <c r="F2084" s="29" t="e">
        <f>VLOOKUP(E2084,'점포코드 '!A:B,2,0)</f>
        <v>#N/A</v>
      </c>
      <c r="G2084" s="46">
        <f>'Raw data'!F1993</f>
        <v>0</v>
      </c>
      <c r="H2084" s="4">
        <f>'Raw data'!G1993</f>
        <v>0</v>
      </c>
      <c r="I2084" s="29" t="e">
        <f>VLOOKUP(G2084,제품명!$C$1:$E$114,2,0)</f>
        <v>#N/A</v>
      </c>
      <c r="J2084" s="29">
        <f>'Raw data'!K1993</f>
        <v>0</v>
      </c>
      <c r="K2084" s="31">
        <f>'Raw data'!H1993</f>
        <v>0</v>
      </c>
      <c r="L2084" s="26">
        <f t="shared" si="68"/>
        <v>0</v>
      </c>
    </row>
    <row r="2085" spans="2:12">
      <c r="B2085" s="4" t="e">
        <f t="shared" si="67"/>
        <v>#N/A</v>
      </c>
      <c r="C2085" s="4">
        <f>'Raw data'!E1994</f>
        <v>0</v>
      </c>
      <c r="D2085" s="29" t="e">
        <f>VLOOKUP(C2085,'점포코드 '!A:B,2,0)</f>
        <v>#N/A</v>
      </c>
      <c r="E2085" s="30">
        <f>'Raw data'!P1994</f>
        <v>0</v>
      </c>
      <c r="F2085" s="29" t="e">
        <f>VLOOKUP(E2085,'점포코드 '!A:B,2,0)</f>
        <v>#N/A</v>
      </c>
      <c r="G2085" s="46">
        <f>'Raw data'!F1994</f>
        <v>0</v>
      </c>
      <c r="H2085" s="4">
        <f>'Raw data'!G1994</f>
        <v>0</v>
      </c>
      <c r="I2085" s="29" t="e">
        <f>VLOOKUP(G2085,제품명!$C$1:$E$114,2,0)</f>
        <v>#N/A</v>
      </c>
      <c r="J2085" s="29">
        <f>'Raw data'!K1994</f>
        <v>0</v>
      </c>
      <c r="K2085" s="31">
        <f>'Raw data'!H1994</f>
        <v>0</v>
      </c>
      <c r="L2085" s="26">
        <f t="shared" si="68"/>
        <v>0</v>
      </c>
    </row>
    <row r="2086" spans="2:12">
      <c r="B2086" s="4" t="e">
        <f t="shared" si="67"/>
        <v>#N/A</v>
      </c>
      <c r="C2086" s="4">
        <f>'Raw data'!E1995</f>
        <v>0</v>
      </c>
      <c r="D2086" s="29" t="e">
        <f>VLOOKUP(C2086,'점포코드 '!A:B,2,0)</f>
        <v>#N/A</v>
      </c>
      <c r="E2086" s="30">
        <f>'Raw data'!P1995</f>
        <v>0</v>
      </c>
      <c r="F2086" s="29" t="e">
        <f>VLOOKUP(E2086,'점포코드 '!A:B,2,0)</f>
        <v>#N/A</v>
      </c>
      <c r="G2086" s="46">
        <f>'Raw data'!F1995</f>
        <v>0</v>
      </c>
      <c r="H2086" s="4">
        <f>'Raw data'!G1995</f>
        <v>0</v>
      </c>
      <c r="I2086" s="29" t="e">
        <f>VLOOKUP(G2086,제품명!$C$1:$E$114,2,0)</f>
        <v>#N/A</v>
      </c>
      <c r="J2086" s="29">
        <f>'Raw data'!K1995</f>
        <v>0</v>
      </c>
      <c r="K2086" s="31">
        <f>'Raw data'!H1995</f>
        <v>0</v>
      </c>
      <c r="L2086" s="26">
        <f t="shared" si="68"/>
        <v>0</v>
      </c>
    </row>
    <row r="2087" spans="2:12">
      <c r="B2087" s="4" t="e">
        <f t="shared" si="67"/>
        <v>#N/A</v>
      </c>
      <c r="C2087" s="4">
        <f>'Raw data'!E1996</f>
        <v>0</v>
      </c>
      <c r="D2087" s="29" t="e">
        <f>VLOOKUP(C2087,'점포코드 '!A:B,2,0)</f>
        <v>#N/A</v>
      </c>
      <c r="E2087" s="30">
        <f>'Raw data'!P1996</f>
        <v>0</v>
      </c>
      <c r="F2087" s="29" t="e">
        <f>VLOOKUP(E2087,'점포코드 '!A:B,2,0)</f>
        <v>#N/A</v>
      </c>
      <c r="G2087" s="46">
        <f>'Raw data'!F1996</f>
        <v>0</v>
      </c>
      <c r="H2087" s="4">
        <f>'Raw data'!G1996</f>
        <v>0</v>
      </c>
      <c r="I2087" s="29" t="e">
        <f>VLOOKUP(G2087,제품명!$C$1:$E$114,2,0)</f>
        <v>#N/A</v>
      </c>
      <c r="J2087" s="29">
        <f>'Raw data'!K1996</f>
        <v>0</v>
      </c>
      <c r="K2087" s="31">
        <f>'Raw data'!H1996</f>
        <v>0</v>
      </c>
      <c r="L2087" s="26">
        <f t="shared" si="68"/>
        <v>0</v>
      </c>
    </row>
    <row r="2088" spans="2:12">
      <c r="B2088" s="4" t="e">
        <f t="shared" si="67"/>
        <v>#N/A</v>
      </c>
      <c r="C2088" s="4">
        <f>'Raw data'!E1997</f>
        <v>0</v>
      </c>
      <c r="D2088" s="29" t="e">
        <f>VLOOKUP(C2088,'점포코드 '!A:B,2,0)</f>
        <v>#N/A</v>
      </c>
      <c r="E2088" s="30">
        <f>'Raw data'!P1997</f>
        <v>0</v>
      </c>
      <c r="F2088" s="29" t="e">
        <f>VLOOKUP(E2088,'점포코드 '!A:B,2,0)</f>
        <v>#N/A</v>
      </c>
      <c r="G2088" s="46">
        <f>'Raw data'!F1997</f>
        <v>0</v>
      </c>
      <c r="H2088" s="4">
        <f>'Raw data'!G1997</f>
        <v>0</v>
      </c>
      <c r="I2088" s="29" t="e">
        <f>VLOOKUP(G2088,제품명!$C$1:$E$114,2,0)</f>
        <v>#N/A</v>
      </c>
      <c r="J2088" s="29">
        <f>'Raw data'!K1997</f>
        <v>0</v>
      </c>
      <c r="K2088" s="31">
        <f>'Raw data'!H1997</f>
        <v>0</v>
      </c>
      <c r="L2088" s="26">
        <f t="shared" si="68"/>
        <v>0</v>
      </c>
    </row>
    <row r="2089" spans="2:12">
      <c r="B2089" s="4" t="e">
        <f t="shared" si="67"/>
        <v>#N/A</v>
      </c>
      <c r="C2089" s="4">
        <f>'Raw data'!E1998</f>
        <v>0</v>
      </c>
      <c r="D2089" s="29" t="e">
        <f>VLOOKUP(C2089,'점포코드 '!A:B,2,0)</f>
        <v>#N/A</v>
      </c>
      <c r="E2089" s="30">
        <f>'Raw data'!P1998</f>
        <v>0</v>
      </c>
      <c r="F2089" s="29" t="e">
        <f>VLOOKUP(E2089,'점포코드 '!A:B,2,0)</f>
        <v>#N/A</v>
      </c>
      <c r="G2089" s="46">
        <f>'Raw data'!F1998</f>
        <v>0</v>
      </c>
      <c r="H2089" s="4">
        <f>'Raw data'!G1998</f>
        <v>0</v>
      </c>
      <c r="I2089" s="29" t="e">
        <f>VLOOKUP(G2089,제품명!$C$1:$E$114,2,0)</f>
        <v>#N/A</v>
      </c>
      <c r="J2089" s="29">
        <f>'Raw data'!K1998</f>
        <v>0</v>
      </c>
      <c r="K2089" s="31">
        <f>'Raw data'!H1998</f>
        <v>0</v>
      </c>
      <c r="L2089" s="26">
        <f t="shared" si="68"/>
        <v>0</v>
      </c>
    </row>
    <row r="2090" spans="2:12">
      <c r="B2090" s="4" t="e">
        <f t="shared" si="67"/>
        <v>#N/A</v>
      </c>
      <c r="C2090" s="4">
        <f>'Raw data'!E1999</f>
        <v>0</v>
      </c>
      <c r="D2090" s="29" t="e">
        <f>VLOOKUP(C2090,'점포코드 '!A:B,2,0)</f>
        <v>#N/A</v>
      </c>
      <c r="E2090" s="30">
        <f>'Raw data'!P1999</f>
        <v>0</v>
      </c>
      <c r="F2090" s="29" t="e">
        <f>VLOOKUP(E2090,'점포코드 '!A:B,2,0)</f>
        <v>#N/A</v>
      </c>
      <c r="G2090" s="46">
        <f>'Raw data'!F1999</f>
        <v>0</v>
      </c>
      <c r="H2090" s="4">
        <f>'Raw data'!G1999</f>
        <v>0</v>
      </c>
      <c r="I2090" s="29" t="e">
        <f>VLOOKUP(G2090,제품명!$C$1:$E$114,2,0)</f>
        <v>#N/A</v>
      </c>
      <c r="J2090" s="29">
        <f>'Raw data'!K1999</f>
        <v>0</v>
      </c>
      <c r="K2090" s="31">
        <f>'Raw data'!H1999</f>
        <v>0</v>
      </c>
      <c r="L2090" s="26">
        <f t="shared" si="68"/>
        <v>0</v>
      </c>
    </row>
    <row r="2091" spans="2:12">
      <c r="B2091" s="4" t="e">
        <f t="shared" si="67"/>
        <v>#N/A</v>
      </c>
      <c r="C2091" s="4">
        <f>'Raw data'!E2000</f>
        <v>0</v>
      </c>
      <c r="D2091" s="29" t="e">
        <f>VLOOKUP(C2091,'점포코드 '!A:B,2,0)</f>
        <v>#N/A</v>
      </c>
      <c r="E2091" s="30">
        <f>'Raw data'!P2000</f>
        <v>0</v>
      </c>
      <c r="F2091" s="29" t="e">
        <f>VLOOKUP(E2091,'점포코드 '!A:B,2,0)</f>
        <v>#N/A</v>
      </c>
      <c r="G2091" s="46">
        <f>'Raw data'!F2000</f>
        <v>0</v>
      </c>
      <c r="H2091" s="4">
        <f>'Raw data'!G2000</f>
        <v>0</v>
      </c>
      <c r="I2091" s="29" t="e">
        <f>VLOOKUP(G2091,제품명!$C$1:$E$114,2,0)</f>
        <v>#N/A</v>
      </c>
      <c r="J2091" s="29">
        <f>'Raw data'!K2000</f>
        <v>0</v>
      </c>
      <c r="K2091" s="31">
        <f>'Raw data'!H2000</f>
        <v>0</v>
      </c>
      <c r="L2091" s="26">
        <f t="shared" si="68"/>
        <v>0</v>
      </c>
    </row>
    <row r="2092" spans="2:12">
      <c r="B2092" s="4" t="e">
        <f t="shared" si="67"/>
        <v>#N/A</v>
      </c>
      <c r="C2092" s="4">
        <f>'Raw data'!E2001</f>
        <v>0</v>
      </c>
      <c r="D2092" s="29" t="e">
        <f>VLOOKUP(C2092,'점포코드 '!A:B,2,0)</f>
        <v>#N/A</v>
      </c>
      <c r="E2092" s="30">
        <f>'Raw data'!P2001</f>
        <v>0</v>
      </c>
      <c r="F2092" s="29" t="e">
        <f>VLOOKUP(E2092,'점포코드 '!A:B,2,0)</f>
        <v>#N/A</v>
      </c>
      <c r="G2092" s="46">
        <f>'Raw data'!F2001</f>
        <v>0</v>
      </c>
      <c r="H2092" s="4">
        <f>'Raw data'!G2001</f>
        <v>0</v>
      </c>
      <c r="I2092" s="29" t="e">
        <f>VLOOKUP(G2092,제품명!$C$1:$E$114,2,0)</f>
        <v>#N/A</v>
      </c>
      <c r="J2092" s="29">
        <f>'Raw data'!K2001</f>
        <v>0</v>
      </c>
      <c r="K2092" s="31">
        <f>'Raw data'!H2001</f>
        <v>0</v>
      </c>
      <c r="L2092" s="26">
        <f t="shared" si="68"/>
        <v>0</v>
      </c>
    </row>
    <row r="2093" spans="2:12">
      <c r="B2093" s="4" t="e">
        <f t="shared" si="67"/>
        <v>#N/A</v>
      </c>
      <c r="C2093" s="4">
        <f>'Raw data'!E2002</f>
        <v>0</v>
      </c>
      <c r="D2093" s="29" t="e">
        <f>VLOOKUP(C2093,'점포코드 '!A:B,2,0)</f>
        <v>#N/A</v>
      </c>
      <c r="E2093" s="30">
        <f>'Raw data'!P1669</f>
        <v>0</v>
      </c>
      <c r="F2093" s="29" t="e">
        <f>VLOOKUP(E2093,'점포코드 '!A:B,2,0)</f>
        <v>#N/A</v>
      </c>
      <c r="G2093" s="46">
        <f>'Raw data'!F2002</f>
        <v>0</v>
      </c>
      <c r="H2093" s="4">
        <f>'Raw data'!G2002</f>
        <v>0</v>
      </c>
      <c r="I2093" s="29" t="e">
        <f>VLOOKUP(G2093,제품명!$C$1:$E$114,2,0)</f>
        <v>#N/A</v>
      </c>
      <c r="J2093" s="29">
        <f>'Raw data'!K2002</f>
        <v>0</v>
      </c>
      <c r="K2093" s="31">
        <f>'Raw data'!H2002</f>
        <v>0</v>
      </c>
      <c r="L2093" s="26">
        <f t="shared" si="68"/>
        <v>0</v>
      </c>
    </row>
    <row r="2094" spans="2:12">
      <c r="B2094" s="4" t="e">
        <f t="shared" si="67"/>
        <v>#N/A</v>
      </c>
      <c r="C2094" s="4">
        <f>'Raw data'!E2003</f>
        <v>0</v>
      </c>
      <c r="D2094" s="29" t="e">
        <f>VLOOKUP(C2094,'점포코드 '!A:B,2,0)</f>
        <v>#N/A</v>
      </c>
      <c r="E2094" s="30">
        <f>'Raw data'!P1670</f>
        <v>0</v>
      </c>
      <c r="F2094" s="29" t="e">
        <f>VLOOKUP(E2094,'점포코드 '!A:B,2,0)</f>
        <v>#N/A</v>
      </c>
      <c r="G2094" s="46">
        <f>'Raw data'!F2003</f>
        <v>0</v>
      </c>
      <c r="H2094" s="4">
        <f>'Raw data'!G2003</f>
        <v>0</v>
      </c>
      <c r="I2094" s="29" t="e">
        <f>VLOOKUP(G2094,제품명!$C$1:$E$114,2,0)</f>
        <v>#N/A</v>
      </c>
      <c r="J2094" s="29">
        <f>'Raw data'!K2003</f>
        <v>0</v>
      </c>
      <c r="K2094" s="31">
        <f>'Raw data'!H2003</f>
        <v>0</v>
      </c>
      <c r="L2094" s="26">
        <f t="shared" si="68"/>
        <v>0</v>
      </c>
    </row>
    <row r="2095" spans="2:12">
      <c r="B2095" s="4" t="e">
        <f t="shared" si="67"/>
        <v>#N/A</v>
      </c>
      <c r="C2095" s="4">
        <f>'Raw data'!E2004</f>
        <v>0</v>
      </c>
      <c r="D2095" s="29" t="e">
        <f>VLOOKUP(C2095,'점포코드 '!A:B,2,0)</f>
        <v>#N/A</v>
      </c>
      <c r="E2095" s="30">
        <f>'Raw data'!P1671</f>
        <v>0</v>
      </c>
      <c r="F2095" s="29" t="e">
        <f>VLOOKUP(E2095,'점포코드 '!A:B,2,0)</f>
        <v>#N/A</v>
      </c>
      <c r="G2095" s="46">
        <f>'Raw data'!F2004</f>
        <v>0</v>
      </c>
      <c r="H2095" s="4">
        <f>'Raw data'!G2004</f>
        <v>0</v>
      </c>
      <c r="I2095" s="29" t="e">
        <f>VLOOKUP(G2095,제품명!$C$1:$E$114,2,0)</f>
        <v>#N/A</v>
      </c>
      <c r="J2095" s="29">
        <f>'Raw data'!K2004</f>
        <v>0</v>
      </c>
      <c r="K2095" s="31">
        <f>'Raw data'!H2004</f>
        <v>0</v>
      </c>
      <c r="L2095" s="26">
        <f t="shared" si="68"/>
        <v>0</v>
      </c>
    </row>
    <row r="2096" spans="2:12">
      <c r="B2096" s="4" t="e">
        <f t="shared" si="67"/>
        <v>#N/A</v>
      </c>
      <c r="C2096" s="4">
        <f>'Raw data'!E2005</f>
        <v>0</v>
      </c>
      <c r="D2096" s="29" t="e">
        <f>VLOOKUP(C2096,'점포코드 '!A:B,2,0)</f>
        <v>#N/A</v>
      </c>
      <c r="E2096" s="30">
        <f>'Raw data'!P1672</f>
        <v>0</v>
      </c>
      <c r="F2096" s="29" t="e">
        <f>VLOOKUP(E2096,'점포코드 '!A:B,2,0)</f>
        <v>#N/A</v>
      </c>
      <c r="G2096" s="46">
        <f>'Raw data'!F2005</f>
        <v>0</v>
      </c>
      <c r="H2096" s="4">
        <f>'Raw data'!G2005</f>
        <v>0</v>
      </c>
      <c r="I2096" s="29" t="e">
        <f>VLOOKUP(G2096,제품명!$C$1:$E$114,2,0)</f>
        <v>#N/A</v>
      </c>
      <c r="J2096" s="29">
        <f>'Raw data'!K2005</f>
        <v>0</v>
      </c>
      <c r="K2096" s="31">
        <f>'Raw data'!H2005</f>
        <v>0</v>
      </c>
      <c r="L2096" s="26">
        <f t="shared" si="68"/>
        <v>0</v>
      </c>
    </row>
    <row r="2097" spans="2:12">
      <c r="B2097" s="4" t="e">
        <f t="shared" si="67"/>
        <v>#N/A</v>
      </c>
      <c r="C2097" s="4">
        <f>'Raw data'!E2006</f>
        <v>0</v>
      </c>
      <c r="D2097" s="29" t="e">
        <f>VLOOKUP(C2097,'점포코드 '!A:B,2,0)</f>
        <v>#N/A</v>
      </c>
      <c r="E2097" s="30">
        <f>'Raw data'!P1673</f>
        <v>0</v>
      </c>
      <c r="F2097" s="29" t="e">
        <f>VLOOKUP(E2097,'점포코드 '!A:B,2,0)</f>
        <v>#N/A</v>
      </c>
      <c r="G2097" s="46">
        <f>'Raw data'!F2006</f>
        <v>0</v>
      </c>
      <c r="H2097" s="4">
        <f>'Raw data'!G2006</f>
        <v>0</v>
      </c>
      <c r="I2097" s="29" t="e">
        <f>VLOOKUP(G2097,제품명!$C$1:$E$114,2,0)</f>
        <v>#N/A</v>
      </c>
      <c r="J2097" s="29">
        <f>'Raw data'!K2006</f>
        <v>0</v>
      </c>
      <c r="K2097" s="31">
        <f>'Raw data'!H2006</f>
        <v>0</v>
      </c>
      <c r="L2097" s="26">
        <f t="shared" si="68"/>
        <v>0</v>
      </c>
    </row>
    <row r="2098" spans="2:12">
      <c r="B2098" s="4" t="e">
        <f t="shared" si="67"/>
        <v>#N/A</v>
      </c>
      <c r="C2098" s="4">
        <f>'Raw data'!E2007</f>
        <v>0</v>
      </c>
      <c r="D2098" s="29" t="e">
        <f>VLOOKUP(C2098,'점포코드 '!A:B,2,0)</f>
        <v>#N/A</v>
      </c>
      <c r="E2098" s="30">
        <f>'Raw data'!P1674</f>
        <v>0</v>
      </c>
      <c r="F2098" s="29" t="e">
        <f>VLOOKUP(E2098,'점포코드 '!A:B,2,0)</f>
        <v>#N/A</v>
      </c>
      <c r="G2098" s="46">
        <f>'Raw data'!F2007</f>
        <v>0</v>
      </c>
      <c r="H2098" s="4">
        <f>'Raw data'!G2007</f>
        <v>0</v>
      </c>
      <c r="I2098" s="29" t="e">
        <f>VLOOKUP(G2098,제품명!$C$1:$E$114,2,0)</f>
        <v>#N/A</v>
      </c>
      <c r="J2098" s="29">
        <f>'Raw data'!K2007</f>
        <v>0</v>
      </c>
      <c r="K2098" s="31">
        <f>'Raw data'!H2007</f>
        <v>0</v>
      </c>
      <c r="L2098" s="26">
        <f t="shared" si="68"/>
        <v>0</v>
      </c>
    </row>
    <row r="2099" spans="2:12">
      <c r="B2099" s="4" t="e">
        <f t="shared" si="67"/>
        <v>#N/A</v>
      </c>
      <c r="C2099" s="4">
        <f>'Raw data'!E2008</f>
        <v>0</v>
      </c>
      <c r="D2099" s="29" t="e">
        <f>VLOOKUP(C2099,'점포코드 '!A:B,2,0)</f>
        <v>#N/A</v>
      </c>
      <c r="E2099" s="30">
        <f>'Raw data'!P1675</f>
        <v>0</v>
      </c>
      <c r="F2099" s="29" t="e">
        <f>VLOOKUP(E2099,'점포코드 '!A:B,2,0)</f>
        <v>#N/A</v>
      </c>
      <c r="G2099" s="46">
        <f>'Raw data'!F2008</f>
        <v>0</v>
      </c>
      <c r="H2099" s="4">
        <f>'Raw data'!G2008</f>
        <v>0</v>
      </c>
      <c r="I2099" s="29" t="e">
        <f>VLOOKUP(G2099,제품명!$C$1:$E$114,2,0)</f>
        <v>#N/A</v>
      </c>
      <c r="J2099" s="29">
        <f>'Raw data'!K2008</f>
        <v>0</v>
      </c>
      <c r="K2099" s="31">
        <f>'Raw data'!H2008</f>
        <v>0</v>
      </c>
      <c r="L2099" s="26">
        <f t="shared" si="68"/>
        <v>0</v>
      </c>
    </row>
    <row r="2100" spans="2:12">
      <c r="B2100" s="4" t="e">
        <f t="shared" si="67"/>
        <v>#N/A</v>
      </c>
      <c r="C2100" s="4">
        <f>'Raw data'!E2009</f>
        <v>0</v>
      </c>
      <c r="D2100" s="29" t="e">
        <f>VLOOKUP(C2100,'점포코드 '!A:B,2,0)</f>
        <v>#N/A</v>
      </c>
      <c r="E2100" s="30">
        <f>'Raw data'!P1676</f>
        <v>0</v>
      </c>
      <c r="F2100" s="29" t="e">
        <f>VLOOKUP(E2100,'점포코드 '!A:B,2,0)</f>
        <v>#N/A</v>
      </c>
      <c r="G2100" s="46">
        <f>'Raw data'!F2009</f>
        <v>0</v>
      </c>
      <c r="H2100" s="4">
        <f>'Raw data'!G2009</f>
        <v>0</v>
      </c>
      <c r="I2100" s="29" t="e">
        <f>VLOOKUP(G2100,제품명!$C$1:$E$114,2,0)</f>
        <v>#N/A</v>
      </c>
      <c r="J2100" s="29">
        <f>'Raw data'!K2009</f>
        <v>0</v>
      </c>
      <c r="K2100" s="31">
        <f>'Raw data'!H2009</f>
        <v>0</v>
      </c>
      <c r="L2100" s="26">
        <f t="shared" si="68"/>
        <v>0</v>
      </c>
    </row>
    <row r="2101" spans="2:12">
      <c r="B2101" s="4" t="e">
        <f t="shared" si="67"/>
        <v>#N/A</v>
      </c>
      <c r="C2101" s="4">
        <f>'Raw data'!E2010</f>
        <v>0</v>
      </c>
      <c r="D2101" s="29" t="e">
        <f>VLOOKUP(C2101,'점포코드 '!A:B,2,0)</f>
        <v>#N/A</v>
      </c>
      <c r="E2101" s="30">
        <f>'Raw data'!P1677</f>
        <v>0</v>
      </c>
      <c r="F2101" s="29" t="e">
        <f>VLOOKUP(E2101,'점포코드 '!A:B,2,0)</f>
        <v>#N/A</v>
      </c>
      <c r="G2101" s="46">
        <f>'Raw data'!F2010</f>
        <v>0</v>
      </c>
      <c r="H2101" s="4">
        <f>'Raw data'!G2010</f>
        <v>0</v>
      </c>
      <c r="I2101" s="29" t="e">
        <f>VLOOKUP(G2101,제품명!$C$1:$E$114,2,0)</f>
        <v>#N/A</v>
      </c>
      <c r="J2101" s="29">
        <f>'Raw data'!K2010</f>
        <v>0</v>
      </c>
      <c r="K2101" s="31">
        <f>'Raw data'!H2010</f>
        <v>0</v>
      </c>
      <c r="L2101" s="26">
        <f t="shared" si="68"/>
        <v>0</v>
      </c>
    </row>
    <row r="2102" spans="2:12">
      <c r="B2102" s="4" t="e">
        <f t="shared" si="67"/>
        <v>#N/A</v>
      </c>
      <c r="C2102" s="4">
        <f>'Raw data'!E2011</f>
        <v>0</v>
      </c>
      <c r="D2102" s="29" t="e">
        <f>VLOOKUP(C2102,'점포코드 '!A:B,2,0)</f>
        <v>#N/A</v>
      </c>
      <c r="E2102" s="30">
        <f>'Raw data'!P1678</f>
        <v>0</v>
      </c>
      <c r="F2102" s="29" t="e">
        <f>VLOOKUP(E2102,'점포코드 '!A:B,2,0)</f>
        <v>#N/A</v>
      </c>
      <c r="G2102" s="46">
        <f>'Raw data'!F2011</f>
        <v>0</v>
      </c>
      <c r="H2102" s="4">
        <f>'Raw data'!G2011</f>
        <v>0</v>
      </c>
      <c r="I2102" s="29" t="e">
        <f>VLOOKUP(G2102,제품명!$C$1:$E$114,2,0)</f>
        <v>#N/A</v>
      </c>
      <c r="J2102" s="29">
        <f>'Raw data'!K2011</f>
        <v>0</v>
      </c>
      <c r="K2102" s="31">
        <f>'Raw data'!H2011</f>
        <v>0</v>
      </c>
      <c r="L2102" s="26">
        <f t="shared" si="68"/>
        <v>0</v>
      </c>
    </row>
    <row r="2103" spans="2:12">
      <c r="B2103" s="4" t="e">
        <f t="shared" si="67"/>
        <v>#N/A</v>
      </c>
      <c r="C2103" s="4">
        <f>'Raw data'!E2012</f>
        <v>0</v>
      </c>
      <c r="D2103" s="29" t="e">
        <f>VLOOKUP(C2103,'점포코드 '!A:B,2,0)</f>
        <v>#N/A</v>
      </c>
      <c r="E2103" s="30">
        <f>'Raw data'!P1679</f>
        <v>0</v>
      </c>
      <c r="F2103" s="29" t="e">
        <f>VLOOKUP(E2103,'점포코드 '!A:B,2,0)</f>
        <v>#N/A</v>
      </c>
      <c r="G2103" s="46">
        <f>'Raw data'!F2012</f>
        <v>0</v>
      </c>
      <c r="H2103" s="4">
        <f>'Raw data'!G2012</f>
        <v>0</v>
      </c>
      <c r="I2103" s="29" t="e">
        <f>VLOOKUP(G2103,제품명!$C$1:$E$114,2,0)</f>
        <v>#N/A</v>
      </c>
      <c r="J2103" s="29">
        <f>'Raw data'!K2012</f>
        <v>0</v>
      </c>
      <c r="K2103" s="31">
        <f>'Raw data'!H2012</f>
        <v>0</v>
      </c>
      <c r="L2103" s="26">
        <f t="shared" si="68"/>
        <v>0</v>
      </c>
    </row>
    <row r="2104" spans="2:12">
      <c r="B2104" s="4" t="e">
        <f t="shared" si="67"/>
        <v>#N/A</v>
      </c>
      <c r="C2104" s="4">
        <f>'Raw data'!E2013</f>
        <v>0</v>
      </c>
      <c r="D2104" s="29" t="e">
        <f>VLOOKUP(C2104,'점포코드 '!A:B,2,0)</f>
        <v>#N/A</v>
      </c>
      <c r="E2104" s="30">
        <f>'Raw data'!P1680</f>
        <v>0</v>
      </c>
      <c r="F2104" s="29" t="e">
        <f>VLOOKUP(E2104,'점포코드 '!A:B,2,0)</f>
        <v>#N/A</v>
      </c>
      <c r="G2104" s="46">
        <f>'Raw data'!F2013</f>
        <v>0</v>
      </c>
      <c r="H2104" s="4">
        <f>'Raw data'!G2013</f>
        <v>0</v>
      </c>
      <c r="I2104" s="29" t="e">
        <f>VLOOKUP(G2104,제품명!$C$1:$E$114,2,0)</f>
        <v>#N/A</v>
      </c>
      <c r="J2104" s="29">
        <f>'Raw data'!K2013</f>
        <v>0</v>
      </c>
      <c r="K2104" s="31">
        <f>'Raw data'!H2013</f>
        <v>0</v>
      </c>
      <c r="L2104" s="26">
        <f t="shared" si="68"/>
        <v>0</v>
      </c>
    </row>
    <row r="2105" spans="2:12">
      <c r="B2105" s="4" t="e">
        <f t="shared" si="67"/>
        <v>#N/A</v>
      </c>
      <c r="C2105" s="4">
        <f>'Raw data'!E2014</f>
        <v>0</v>
      </c>
      <c r="D2105" s="29" t="e">
        <f>VLOOKUP(C2105,'점포코드 '!A:B,2,0)</f>
        <v>#N/A</v>
      </c>
      <c r="E2105" s="30">
        <f>'Raw data'!P1681</f>
        <v>0</v>
      </c>
      <c r="F2105" s="29" t="e">
        <f>VLOOKUP(E2105,'점포코드 '!A:B,2,0)</f>
        <v>#N/A</v>
      </c>
      <c r="G2105" s="46">
        <f>'Raw data'!F2014</f>
        <v>0</v>
      </c>
      <c r="H2105" s="4">
        <f>'Raw data'!G2014</f>
        <v>0</v>
      </c>
      <c r="I2105" s="29" t="e">
        <f>VLOOKUP(G2105,제품명!$C$1:$E$114,2,0)</f>
        <v>#N/A</v>
      </c>
      <c r="J2105" s="29">
        <f>'Raw data'!K2014</f>
        <v>0</v>
      </c>
      <c r="K2105" s="31">
        <f>'Raw data'!H2014</f>
        <v>0</v>
      </c>
      <c r="L2105" s="26">
        <f t="shared" si="68"/>
        <v>0</v>
      </c>
    </row>
    <row r="2106" spans="2:12">
      <c r="B2106" s="4" t="e">
        <f t="shared" si="67"/>
        <v>#N/A</v>
      </c>
      <c r="C2106" s="4">
        <f>'Raw data'!E2015</f>
        <v>0</v>
      </c>
      <c r="D2106" s="29" t="e">
        <f>VLOOKUP(C2106,'점포코드 '!A:B,2,0)</f>
        <v>#N/A</v>
      </c>
      <c r="E2106" s="30">
        <f>'Raw data'!P1682</f>
        <v>0</v>
      </c>
      <c r="F2106" s="29" t="e">
        <f>VLOOKUP(E2106,'점포코드 '!A:B,2,0)</f>
        <v>#N/A</v>
      </c>
      <c r="G2106" s="46">
        <f>'Raw data'!F2015</f>
        <v>0</v>
      </c>
      <c r="H2106" s="4">
        <f>'Raw data'!G2015</f>
        <v>0</v>
      </c>
      <c r="I2106" s="29" t="e">
        <f>VLOOKUP(G2106,제품명!$C$1:$E$114,2,0)</f>
        <v>#N/A</v>
      </c>
      <c r="J2106" s="29">
        <f>'Raw data'!K2015</f>
        <v>0</v>
      </c>
      <c r="K2106" s="31">
        <f>'Raw data'!H2015</f>
        <v>0</v>
      </c>
      <c r="L2106" s="26">
        <f t="shared" si="68"/>
        <v>0</v>
      </c>
    </row>
    <row r="2107" spans="2:12">
      <c r="B2107" s="4" t="e">
        <f t="shared" si="67"/>
        <v>#N/A</v>
      </c>
      <c r="C2107" s="4">
        <f>'Raw data'!E2016</f>
        <v>0</v>
      </c>
      <c r="D2107" s="29" t="e">
        <f>VLOOKUP(C2107,'점포코드 '!A:B,2,0)</f>
        <v>#N/A</v>
      </c>
      <c r="E2107" s="30">
        <f>'Raw data'!P1683</f>
        <v>0</v>
      </c>
      <c r="F2107" s="29" t="e">
        <f>VLOOKUP(E2107,'점포코드 '!A:B,2,0)</f>
        <v>#N/A</v>
      </c>
      <c r="G2107" s="46">
        <f>'Raw data'!F2016</f>
        <v>0</v>
      </c>
      <c r="H2107" s="4">
        <f>'Raw data'!G2016</f>
        <v>0</v>
      </c>
      <c r="I2107" s="29" t="e">
        <f>VLOOKUP(G2107,제품명!$C$1:$E$114,2,0)</f>
        <v>#N/A</v>
      </c>
      <c r="J2107" s="29">
        <f>'Raw data'!K2016</f>
        <v>0</v>
      </c>
      <c r="K2107" s="31">
        <f>'Raw data'!H2016</f>
        <v>0</v>
      </c>
      <c r="L2107" s="26">
        <f t="shared" si="68"/>
        <v>0</v>
      </c>
    </row>
    <row r="2108" spans="2:12">
      <c r="B2108" s="4" t="e">
        <f t="shared" si="67"/>
        <v>#N/A</v>
      </c>
      <c r="C2108" s="4">
        <f>'Raw data'!E2017</f>
        <v>0</v>
      </c>
      <c r="D2108" s="29" t="e">
        <f>VLOOKUP(C2108,'점포코드 '!A:B,2,0)</f>
        <v>#N/A</v>
      </c>
      <c r="E2108" s="30">
        <f>'Raw data'!P1684</f>
        <v>0</v>
      </c>
      <c r="F2108" s="29" t="e">
        <f>VLOOKUP(E2108,'점포코드 '!A:B,2,0)</f>
        <v>#N/A</v>
      </c>
      <c r="G2108" s="46">
        <f>'Raw data'!F2017</f>
        <v>0</v>
      </c>
      <c r="H2108" s="4">
        <f>'Raw data'!G2017</f>
        <v>0</v>
      </c>
      <c r="I2108" s="29" t="e">
        <f>VLOOKUP(G2108,제품명!$C$1:$E$114,2,0)</f>
        <v>#N/A</v>
      </c>
      <c r="J2108" s="29">
        <f>'Raw data'!K2017</f>
        <v>0</v>
      </c>
      <c r="K2108" s="31">
        <f>'Raw data'!H2017</f>
        <v>0</v>
      </c>
      <c r="L2108" s="26">
        <f t="shared" si="68"/>
        <v>0</v>
      </c>
    </row>
    <row r="2109" spans="2:12">
      <c r="B2109" s="4" t="e">
        <f t="shared" si="67"/>
        <v>#N/A</v>
      </c>
      <c r="C2109" s="4">
        <f>'Raw data'!E2018</f>
        <v>0</v>
      </c>
      <c r="D2109" s="29" t="e">
        <f>VLOOKUP(C2109,'점포코드 '!A:B,2,0)</f>
        <v>#N/A</v>
      </c>
      <c r="E2109" s="30">
        <f>'Raw data'!P1685</f>
        <v>0</v>
      </c>
      <c r="F2109" s="29" t="e">
        <f>VLOOKUP(E2109,'점포코드 '!A:B,2,0)</f>
        <v>#N/A</v>
      </c>
      <c r="G2109" s="46">
        <f>'Raw data'!F2018</f>
        <v>0</v>
      </c>
      <c r="H2109" s="4">
        <f>'Raw data'!G2018</f>
        <v>0</v>
      </c>
      <c r="I2109" s="29" t="e">
        <f>VLOOKUP(G2109,제품명!$C$1:$E$114,2,0)</f>
        <v>#N/A</v>
      </c>
      <c r="J2109" s="29">
        <f>'Raw data'!K2018</f>
        <v>0</v>
      </c>
      <c r="K2109" s="31">
        <f>'Raw data'!H2018</f>
        <v>0</v>
      </c>
      <c r="L2109" s="26">
        <f t="shared" si="68"/>
        <v>0</v>
      </c>
    </row>
    <row r="2110" spans="2:12">
      <c r="B2110" s="4" t="e">
        <f t="shared" si="67"/>
        <v>#N/A</v>
      </c>
      <c r="C2110" s="4">
        <f>'Raw data'!E2019</f>
        <v>0</v>
      </c>
      <c r="D2110" s="29" t="e">
        <f>VLOOKUP(C2110,'점포코드 '!A:B,2,0)</f>
        <v>#N/A</v>
      </c>
      <c r="E2110" s="30">
        <f>'Raw data'!P1686</f>
        <v>0</v>
      </c>
      <c r="F2110" s="29" t="e">
        <f>VLOOKUP(E2110,'점포코드 '!A:B,2,0)</f>
        <v>#N/A</v>
      </c>
      <c r="G2110" s="46">
        <f>'Raw data'!F2019</f>
        <v>0</v>
      </c>
      <c r="H2110" s="4">
        <f>'Raw data'!G2019</f>
        <v>0</v>
      </c>
      <c r="I2110" s="29" t="e">
        <f>VLOOKUP(G2110,제품명!$C$1:$E$114,2,0)</f>
        <v>#N/A</v>
      </c>
      <c r="J2110" s="29">
        <f>'Raw data'!K2019</f>
        <v>0</v>
      </c>
      <c r="K2110" s="31">
        <f>'Raw data'!H2019</f>
        <v>0</v>
      </c>
      <c r="L2110" s="26">
        <f t="shared" si="68"/>
        <v>0</v>
      </c>
    </row>
    <row r="2111" spans="2:12">
      <c r="B2111" s="4" t="e">
        <f t="shared" si="67"/>
        <v>#N/A</v>
      </c>
      <c r="C2111" s="4">
        <f>'Raw data'!E2020</f>
        <v>0</v>
      </c>
      <c r="D2111" s="29" t="e">
        <f>VLOOKUP(C2111,'점포코드 '!A:B,2,0)</f>
        <v>#N/A</v>
      </c>
      <c r="E2111" s="30">
        <f>'Raw data'!P1687</f>
        <v>0</v>
      </c>
      <c r="F2111" s="29" t="e">
        <f>VLOOKUP(E2111,'점포코드 '!A:B,2,0)</f>
        <v>#N/A</v>
      </c>
      <c r="G2111" s="46">
        <f>'Raw data'!F2020</f>
        <v>0</v>
      </c>
      <c r="H2111" s="4">
        <f>'Raw data'!G2020</f>
        <v>0</v>
      </c>
      <c r="I2111" s="29" t="e">
        <f>VLOOKUP(G2111,제품명!$C$1:$E$114,2,0)</f>
        <v>#N/A</v>
      </c>
      <c r="J2111" s="29">
        <f>'Raw data'!K2020</f>
        <v>0</v>
      </c>
      <c r="K2111" s="31">
        <f>'Raw data'!H2020</f>
        <v>0</v>
      </c>
      <c r="L2111" s="26">
        <f t="shared" si="68"/>
        <v>0</v>
      </c>
    </row>
    <row r="2112" spans="2:12">
      <c r="B2112" s="4" t="e">
        <f t="shared" si="67"/>
        <v>#N/A</v>
      </c>
      <c r="C2112" s="4">
        <f>'Raw data'!E2021</f>
        <v>0</v>
      </c>
      <c r="D2112" s="29" t="e">
        <f>VLOOKUP(C2112,'점포코드 '!A:B,2,0)</f>
        <v>#N/A</v>
      </c>
      <c r="E2112" s="30">
        <f>'Raw data'!P1688</f>
        <v>0</v>
      </c>
      <c r="F2112" s="29" t="e">
        <f>VLOOKUP(E2112,'점포코드 '!A:B,2,0)</f>
        <v>#N/A</v>
      </c>
      <c r="G2112" s="46">
        <f>'Raw data'!F2021</f>
        <v>0</v>
      </c>
      <c r="H2112" s="4">
        <f>'Raw data'!G2021</f>
        <v>0</v>
      </c>
      <c r="I2112" s="29" t="e">
        <f>VLOOKUP(G2112,제품명!$C$1:$E$114,2,0)</f>
        <v>#N/A</v>
      </c>
      <c r="J2112" s="29">
        <f>'Raw data'!K2021</f>
        <v>0</v>
      </c>
      <c r="K2112" s="31">
        <f>'Raw data'!H2021</f>
        <v>0</v>
      </c>
      <c r="L2112" s="26">
        <f t="shared" si="68"/>
        <v>0</v>
      </c>
    </row>
    <row r="2113" spans="2:12">
      <c r="B2113" s="4" t="e">
        <f t="shared" si="67"/>
        <v>#N/A</v>
      </c>
      <c r="C2113" s="4">
        <f>'Raw data'!E2022</f>
        <v>0</v>
      </c>
      <c r="D2113" s="29" t="e">
        <f>VLOOKUP(C2113,'점포코드 '!A:B,2,0)</f>
        <v>#N/A</v>
      </c>
      <c r="E2113" s="30">
        <f>'Raw data'!P1689</f>
        <v>0</v>
      </c>
      <c r="F2113" s="29" t="e">
        <f>VLOOKUP(E2113,'점포코드 '!A:B,2,0)</f>
        <v>#N/A</v>
      </c>
      <c r="G2113" s="46">
        <f>'Raw data'!F2022</f>
        <v>0</v>
      </c>
      <c r="H2113" s="4">
        <f>'Raw data'!G2022</f>
        <v>0</v>
      </c>
      <c r="I2113" s="29" t="e">
        <f>VLOOKUP(G2113,제품명!$C$1:$E$114,2,0)</f>
        <v>#N/A</v>
      </c>
      <c r="J2113" s="29">
        <f>'Raw data'!K2022</f>
        <v>0</v>
      </c>
      <c r="K2113" s="31">
        <f>'Raw data'!H2022</f>
        <v>0</v>
      </c>
      <c r="L2113" s="26">
        <f t="shared" si="68"/>
        <v>0</v>
      </c>
    </row>
    <row r="2114" spans="2:12">
      <c r="B2114" s="4" t="e">
        <f t="shared" ref="B2114:B2177" si="69">F2114&amp;I2114</f>
        <v>#N/A</v>
      </c>
      <c r="C2114" s="4">
        <f>'Raw data'!E2023</f>
        <v>0</v>
      </c>
      <c r="D2114" s="29" t="e">
        <f>VLOOKUP(C2114,'점포코드 '!A:B,2,0)</f>
        <v>#N/A</v>
      </c>
      <c r="E2114" s="30">
        <f>'Raw data'!P1690</f>
        <v>0</v>
      </c>
      <c r="F2114" s="29" t="e">
        <f>VLOOKUP(E2114,'점포코드 '!A:B,2,0)</f>
        <v>#N/A</v>
      </c>
      <c r="G2114" s="46">
        <f>'Raw data'!F2023</f>
        <v>0</v>
      </c>
      <c r="H2114" s="4">
        <f>'Raw data'!G2023</f>
        <v>0</v>
      </c>
      <c r="I2114" s="29" t="e">
        <f>VLOOKUP(G2114,제품명!$C$1:$E$114,2,0)</f>
        <v>#N/A</v>
      </c>
      <c r="J2114" s="29">
        <f>'Raw data'!K2023</f>
        <v>0</v>
      </c>
      <c r="K2114" s="31">
        <f>'Raw data'!H2023</f>
        <v>0</v>
      </c>
      <c r="L2114" s="26">
        <f t="shared" si="68"/>
        <v>0</v>
      </c>
    </row>
    <row r="2115" spans="2:12">
      <c r="B2115" s="4" t="e">
        <f t="shared" si="69"/>
        <v>#N/A</v>
      </c>
      <c r="C2115" s="4">
        <f>'Raw data'!E2024</f>
        <v>0</v>
      </c>
      <c r="D2115" s="29" t="e">
        <f>VLOOKUP(C2115,'점포코드 '!A:B,2,0)</f>
        <v>#N/A</v>
      </c>
      <c r="E2115" s="30">
        <f>'Raw data'!P1691</f>
        <v>0</v>
      </c>
      <c r="F2115" s="29" t="e">
        <f>VLOOKUP(E2115,'점포코드 '!A:B,2,0)</f>
        <v>#N/A</v>
      </c>
      <c r="G2115" s="46">
        <f>'Raw data'!F2024</f>
        <v>0</v>
      </c>
      <c r="H2115" s="4">
        <f>'Raw data'!G2024</f>
        <v>0</v>
      </c>
      <c r="I2115" s="29" t="e">
        <f>VLOOKUP(G2115,제품명!$C$1:$E$114,2,0)</f>
        <v>#N/A</v>
      </c>
      <c r="J2115" s="29">
        <f>'Raw data'!K2024</f>
        <v>0</v>
      </c>
      <c r="K2115" s="31">
        <f>'Raw data'!H2024</f>
        <v>0</v>
      </c>
      <c r="L2115" s="26">
        <f t="shared" ref="L2115:L2178" si="70">J2115*K2115</f>
        <v>0</v>
      </c>
    </row>
    <row r="2116" spans="2:12">
      <c r="B2116" s="4" t="e">
        <f t="shared" si="69"/>
        <v>#N/A</v>
      </c>
      <c r="C2116" s="4">
        <f>'Raw data'!E2025</f>
        <v>0</v>
      </c>
      <c r="D2116" s="29" t="e">
        <f>VLOOKUP(C2116,'점포코드 '!A:B,2,0)</f>
        <v>#N/A</v>
      </c>
      <c r="E2116" s="30">
        <f>'Raw data'!P1692</f>
        <v>0</v>
      </c>
      <c r="F2116" s="29" t="e">
        <f>VLOOKUP(E2116,'점포코드 '!A:B,2,0)</f>
        <v>#N/A</v>
      </c>
      <c r="G2116" s="46">
        <f>'Raw data'!F2025</f>
        <v>0</v>
      </c>
      <c r="H2116" s="4">
        <f>'Raw data'!G2025</f>
        <v>0</v>
      </c>
      <c r="I2116" s="29" t="e">
        <f>VLOOKUP(G2116,제품명!$C$1:$E$114,2,0)</f>
        <v>#N/A</v>
      </c>
      <c r="J2116" s="29">
        <f>'Raw data'!K2025</f>
        <v>0</v>
      </c>
      <c r="K2116" s="31">
        <f>'Raw data'!H2025</f>
        <v>0</v>
      </c>
      <c r="L2116" s="26">
        <f t="shared" si="70"/>
        <v>0</v>
      </c>
    </row>
    <row r="2117" spans="2:12">
      <c r="B2117" s="4" t="e">
        <f t="shared" si="69"/>
        <v>#N/A</v>
      </c>
      <c r="C2117" s="4">
        <f>'Raw data'!E2026</f>
        <v>0</v>
      </c>
      <c r="D2117" s="29" t="e">
        <f>VLOOKUP(C2117,'점포코드 '!A:B,2,0)</f>
        <v>#N/A</v>
      </c>
      <c r="E2117" s="30">
        <f>'Raw data'!P1693</f>
        <v>0</v>
      </c>
      <c r="F2117" s="29" t="e">
        <f>VLOOKUP(E2117,'점포코드 '!A:B,2,0)</f>
        <v>#N/A</v>
      </c>
      <c r="G2117" s="46">
        <f>'Raw data'!F2026</f>
        <v>0</v>
      </c>
      <c r="H2117" s="4">
        <f>'Raw data'!G2026</f>
        <v>0</v>
      </c>
      <c r="I2117" s="29" t="e">
        <f>VLOOKUP(G2117,제품명!$C$1:$E$114,2,0)</f>
        <v>#N/A</v>
      </c>
      <c r="J2117" s="29">
        <f>'Raw data'!K2026</f>
        <v>0</v>
      </c>
      <c r="K2117" s="31">
        <f>'Raw data'!H2026</f>
        <v>0</v>
      </c>
      <c r="L2117" s="26">
        <f t="shared" si="70"/>
        <v>0</v>
      </c>
    </row>
    <row r="2118" spans="2:12">
      <c r="B2118" s="4" t="e">
        <f t="shared" si="69"/>
        <v>#N/A</v>
      </c>
      <c r="C2118" s="4">
        <f>'Raw data'!E2027</f>
        <v>0</v>
      </c>
      <c r="D2118" s="29" t="e">
        <f>VLOOKUP(C2118,'점포코드 '!A:B,2,0)</f>
        <v>#N/A</v>
      </c>
      <c r="E2118" s="30">
        <f>'Raw data'!P1694</f>
        <v>0</v>
      </c>
      <c r="F2118" s="29" t="e">
        <f>VLOOKUP(E2118,'점포코드 '!A:B,2,0)</f>
        <v>#N/A</v>
      </c>
      <c r="G2118" s="46">
        <f>'Raw data'!F2027</f>
        <v>0</v>
      </c>
      <c r="H2118" s="4">
        <f>'Raw data'!G2027</f>
        <v>0</v>
      </c>
      <c r="I2118" s="29" t="e">
        <f>VLOOKUP(G2118,제품명!$C$1:$E$114,2,0)</f>
        <v>#N/A</v>
      </c>
      <c r="J2118" s="29">
        <f>'Raw data'!K2027</f>
        <v>0</v>
      </c>
      <c r="K2118" s="31">
        <f>'Raw data'!H2027</f>
        <v>0</v>
      </c>
      <c r="L2118" s="26">
        <f t="shared" si="70"/>
        <v>0</v>
      </c>
    </row>
    <row r="2119" spans="2:12">
      <c r="B2119" s="4" t="e">
        <f t="shared" si="69"/>
        <v>#N/A</v>
      </c>
      <c r="C2119" s="4">
        <f>'Raw data'!E2028</f>
        <v>0</v>
      </c>
      <c r="D2119" s="29" t="e">
        <f>VLOOKUP(C2119,'점포코드 '!A:B,2,0)</f>
        <v>#N/A</v>
      </c>
      <c r="E2119" s="30">
        <f>'Raw data'!P1695</f>
        <v>0</v>
      </c>
      <c r="F2119" s="29" t="e">
        <f>VLOOKUP(E2119,'점포코드 '!A:B,2,0)</f>
        <v>#N/A</v>
      </c>
      <c r="G2119" s="46">
        <f>'Raw data'!F2028</f>
        <v>0</v>
      </c>
      <c r="H2119" s="4">
        <f>'Raw data'!G2028</f>
        <v>0</v>
      </c>
      <c r="I2119" s="29" t="e">
        <f>VLOOKUP(G2119,제품명!$C$1:$E$114,2,0)</f>
        <v>#N/A</v>
      </c>
      <c r="J2119" s="29">
        <f>'Raw data'!K2028</f>
        <v>0</v>
      </c>
      <c r="K2119" s="31">
        <f>'Raw data'!H2028</f>
        <v>0</v>
      </c>
      <c r="L2119" s="26">
        <f t="shared" si="70"/>
        <v>0</v>
      </c>
    </row>
    <row r="2120" spans="2:12">
      <c r="B2120" s="4" t="e">
        <f t="shared" si="69"/>
        <v>#N/A</v>
      </c>
      <c r="C2120" s="4">
        <f>'Raw data'!E2029</f>
        <v>0</v>
      </c>
      <c r="D2120" s="29" t="e">
        <f>VLOOKUP(C2120,'점포코드 '!A:B,2,0)</f>
        <v>#N/A</v>
      </c>
      <c r="E2120" s="30">
        <f>'Raw data'!P1696</f>
        <v>0</v>
      </c>
      <c r="F2120" s="29" t="e">
        <f>VLOOKUP(E2120,'점포코드 '!A:B,2,0)</f>
        <v>#N/A</v>
      </c>
      <c r="G2120" s="46">
        <f>'Raw data'!F2029</f>
        <v>0</v>
      </c>
      <c r="H2120" s="4">
        <f>'Raw data'!G2029</f>
        <v>0</v>
      </c>
      <c r="I2120" s="29" t="e">
        <f>VLOOKUP(G2120,제품명!$C$1:$E$114,2,0)</f>
        <v>#N/A</v>
      </c>
      <c r="J2120" s="29">
        <f>'Raw data'!K2029</f>
        <v>0</v>
      </c>
      <c r="K2120" s="31">
        <f>'Raw data'!H2029</f>
        <v>0</v>
      </c>
      <c r="L2120" s="26">
        <f t="shared" si="70"/>
        <v>0</v>
      </c>
    </row>
    <row r="2121" spans="2:12">
      <c r="B2121" s="4" t="e">
        <f t="shared" si="69"/>
        <v>#N/A</v>
      </c>
      <c r="C2121" s="4">
        <f>'Raw data'!E2030</f>
        <v>0</v>
      </c>
      <c r="D2121" s="29" t="e">
        <f>VLOOKUP(C2121,'점포코드 '!A:B,2,0)</f>
        <v>#N/A</v>
      </c>
      <c r="E2121" s="30">
        <f>'Raw data'!P1697</f>
        <v>0</v>
      </c>
      <c r="F2121" s="29" t="e">
        <f>VLOOKUP(E2121,'점포코드 '!A:B,2,0)</f>
        <v>#N/A</v>
      </c>
      <c r="G2121" s="46">
        <f>'Raw data'!F2030</f>
        <v>0</v>
      </c>
      <c r="H2121" s="4">
        <f>'Raw data'!G2030</f>
        <v>0</v>
      </c>
      <c r="I2121" s="29" t="e">
        <f>VLOOKUP(G2121,제품명!$C$1:$E$114,2,0)</f>
        <v>#N/A</v>
      </c>
      <c r="J2121" s="29">
        <f>'Raw data'!K2030</f>
        <v>0</v>
      </c>
      <c r="K2121" s="31">
        <f>'Raw data'!H2030</f>
        <v>0</v>
      </c>
      <c r="L2121" s="26">
        <f t="shared" si="70"/>
        <v>0</v>
      </c>
    </row>
    <row r="2122" spans="2:12">
      <c r="B2122" s="4" t="e">
        <f t="shared" si="69"/>
        <v>#N/A</v>
      </c>
      <c r="C2122" s="4">
        <f>'Raw data'!E2031</f>
        <v>0</v>
      </c>
      <c r="D2122" s="29" t="e">
        <f>VLOOKUP(C2122,'점포코드 '!A:B,2,0)</f>
        <v>#N/A</v>
      </c>
      <c r="E2122" s="30">
        <f>'Raw data'!P1698</f>
        <v>0</v>
      </c>
      <c r="F2122" s="29" t="e">
        <f>VLOOKUP(E2122,'점포코드 '!A:B,2,0)</f>
        <v>#N/A</v>
      </c>
      <c r="G2122" s="46">
        <f>'Raw data'!F2031</f>
        <v>0</v>
      </c>
      <c r="H2122" s="4">
        <f>'Raw data'!G2031</f>
        <v>0</v>
      </c>
      <c r="I2122" s="29" t="e">
        <f>VLOOKUP(G2122,제품명!$C$1:$E$114,2,0)</f>
        <v>#N/A</v>
      </c>
      <c r="J2122" s="29">
        <f>'Raw data'!K2031</f>
        <v>0</v>
      </c>
      <c r="K2122" s="31">
        <f>'Raw data'!H2031</f>
        <v>0</v>
      </c>
      <c r="L2122" s="26">
        <f t="shared" si="70"/>
        <v>0</v>
      </c>
    </row>
    <row r="2123" spans="2:12">
      <c r="B2123" s="4" t="e">
        <f t="shared" si="69"/>
        <v>#N/A</v>
      </c>
      <c r="C2123" s="4">
        <f>'Raw data'!E2032</f>
        <v>0</v>
      </c>
      <c r="D2123" s="29" t="e">
        <f>VLOOKUP(C2123,'점포코드 '!A:B,2,0)</f>
        <v>#N/A</v>
      </c>
      <c r="E2123" s="30">
        <f>'Raw data'!P1699</f>
        <v>0</v>
      </c>
      <c r="F2123" s="29" t="e">
        <f>VLOOKUP(E2123,'점포코드 '!A:B,2,0)</f>
        <v>#N/A</v>
      </c>
      <c r="G2123" s="46">
        <f>'Raw data'!F2032</f>
        <v>0</v>
      </c>
      <c r="H2123" s="4">
        <f>'Raw data'!G2032</f>
        <v>0</v>
      </c>
      <c r="I2123" s="29" t="e">
        <f>VLOOKUP(G2123,제품명!$C$1:$E$114,2,0)</f>
        <v>#N/A</v>
      </c>
      <c r="J2123" s="29">
        <f>'Raw data'!K2032</f>
        <v>0</v>
      </c>
      <c r="K2123" s="31">
        <f>'Raw data'!H2032</f>
        <v>0</v>
      </c>
      <c r="L2123" s="26">
        <f t="shared" si="70"/>
        <v>0</v>
      </c>
    </row>
    <row r="2124" spans="2:12">
      <c r="B2124" s="4" t="e">
        <f t="shared" si="69"/>
        <v>#N/A</v>
      </c>
      <c r="C2124" s="4">
        <f>'Raw data'!E2033</f>
        <v>0</v>
      </c>
      <c r="D2124" s="29" t="e">
        <f>VLOOKUP(C2124,'점포코드 '!A:B,2,0)</f>
        <v>#N/A</v>
      </c>
      <c r="E2124" s="30">
        <f>'Raw data'!P1700</f>
        <v>0</v>
      </c>
      <c r="F2124" s="29" t="e">
        <f>VLOOKUP(E2124,'점포코드 '!A:B,2,0)</f>
        <v>#N/A</v>
      </c>
      <c r="G2124" s="46">
        <f>'Raw data'!F2033</f>
        <v>0</v>
      </c>
      <c r="H2124" s="4">
        <f>'Raw data'!G2033</f>
        <v>0</v>
      </c>
      <c r="I2124" s="29" t="e">
        <f>VLOOKUP(G2124,제품명!$C$1:$E$114,2,0)</f>
        <v>#N/A</v>
      </c>
      <c r="J2124" s="29">
        <f>'Raw data'!K2033</f>
        <v>0</v>
      </c>
      <c r="K2124" s="31">
        <f>'Raw data'!H2033</f>
        <v>0</v>
      </c>
      <c r="L2124" s="26">
        <f t="shared" si="70"/>
        <v>0</v>
      </c>
    </row>
    <row r="2125" spans="2:12">
      <c r="B2125" s="4" t="e">
        <f t="shared" si="69"/>
        <v>#N/A</v>
      </c>
      <c r="C2125" s="4">
        <f>'Raw data'!E2034</f>
        <v>0</v>
      </c>
      <c r="D2125" s="29" t="e">
        <f>VLOOKUP(C2125,'점포코드 '!A:B,2,0)</f>
        <v>#N/A</v>
      </c>
      <c r="E2125" s="30">
        <f>'Raw data'!P1701</f>
        <v>0</v>
      </c>
      <c r="F2125" s="29" t="e">
        <f>VLOOKUP(E2125,'점포코드 '!A:B,2,0)</f>
        <v>#N/A</v>
      </c>
      <c r="G2125" s="46">
        <f>'Raw data'!F2034</f>
        <v>0</v>
      </c>
      <c r="H2125" s="4">
        <f>'Raw data'!G2034</f>
        <v>0</v>
      </c>
      <c r="I2125" s="29" t="e">
        <f>VLOOKUP(G2125,제품명!$C$1:$E$114,2,0)</f>
        <v>#N/A</v>
      </c>
      <c r="J2125" s="29">
        <f>'Raw data'!K2034</f>
        <v>0</v>
      </c>
      <c r="K2125" s="31">
        <f>'Raw data'!H2034</f>
        <v>0</v>
      </c>
      <c r="L2125" s="26">
        <f t="shared" si="70"/>
        <v>0</v>
      </c>
    </row>
    <row r="2126" spans="2:12">
      <c r="B2126" s="4" t="e">
        <f t="shared" si="69"/>
        <v>#N/A</v>
      </c>
      <c r="C2126" s="4">
        <f>'Raw data'!E1702</f>
        <v>0</v>
      </c>
      <c r="D2126" s="29" t="e">
        <f>VLOOKUP(C2126,'점포코드 '!A:B,2,0)</f>
        <v>#N/A</v>
      </c>
      <c r="E2126" s="30">
        <f>'Raw data'!P1702</f>
        <v>0</v>
      </c>
      <c r="F2126" s="29" t="e">
        <f>VLOOKUP(E2126,'점포코드 '!A:B,2,0)</f>
        <v>#N/A</v>
      </c>
      <c r="G2126" s="46">
        <f>'Raw data'!F2035</f>
        <v>0</v>
      </c>
      <c r="H2126" s="4">
        <f>'Raw data'!G2035</f>
        <v>0</v>
      </c>
      <c r="I2126" s="29" t="e">
        <f>VLOOKUP(G2126,제품명!$C$1:$E$114,2,0)</f>
        <v>#N/A</v>
      </c>
      <c r="J2126" s="29">
        <f>'Raw data'!K2035</f>
        <v>0</v>
      </c>
      <c r="K2126" s="31">
        <f>'Raw data'!H2035</f>
        <v>0</v>
      </c>
      <c r="L2126" s="26">
        <f t="shared" si="70"/>
        <v>0</v>
      </c>
    </row>
    <row r="2127" spans="2:12">
      <c r="B2127" s="4" t="e">
        <f t="shared" si="69"/>
        <v>#N/A</v>
      </c>
      <c r="C2127" s="4">
        <f>'Raw data'!E1703</f>
        <v>0</v>
      </c>
      <c r="D2127" s="29" t="e">
        <f>VLOOKUP(C2127,'점포코드 '!A:B,2,0)</f>
        <v>#N/A</v>
      </c>
      <c r="E2127" s="30">
        <f>'Raw data'!P1703</f>
        <v>0</v>
      </c>
      <c r="F2127" s="29" t="e">
        <f>VLOOKUP(E2127,'점포코드 '!A:B,2,0)</f>
        <v>#N/A</v>
      </c>
      <c r="G2127" s="46">
        <f>'Raw data'!F2036</f>
        <v>0</v>
      </c>
      <c r="H2127" s="4">
        <f>'Raw data'!G2036</f>
        <v>0</v>
      </c>
      <c r="I2127" s="29" t="e">
        <f>VLOOKUP(G2127,제품명!$C$1:$E$114,2,0)</f>
        <v>#N/A</v>
      </c>
      <c r="J2127" s="29">
        <f>'Raw data'!K2036</f>
        <v>0</v>
      </c>
      <c r="K2127" s="31">
        <f>'Raw data'!H2036</f>
        <v>0</v>
      </c>
      <c r="L2127" s="26">
        <f t="shared" si="70"/>
        <v>0</v>
      </c>
    </row>
    <row r="2128" spans="2:12">
      <c r="B2128" s="4" t="e">
        <f t="shared" si="69"/>
        <v>#N/A</v>
      </c>
      <c r="C2128" s="4">
        <f>'Raw data'!E1704</f>
        <v>0</v>
      </c>
      <c r="D2128" s="29" t="e">
        <f>VLOOKUP(C2128,'점포코드 '!A:B,2,0)</f>
        <v>#N/A</v>
      </c>
      <c r="E2128" s="30">
        <f>'Raw data'!P1704</f>
        <v>0</v>
      </c>
      <c r="F2128" s="29" t="e">
        <f>VLOOKUP(E2128,'점포코드 '!A:B,2,0)</f>
        <v>#N/A</v>
      </c>
      <c r="G2128" s="46">
        <f>'Raw data'!F2037</f>
        <v>0</v>
      </c>
      <c r="H2128" s="4">
        <f>'Raw data'!G2037</f>
        <v>0</v>
      </c>
      <c r="I2128" s="29" t="e">
        <f>VLOOKUP(G2128,제품명!$C$1:$E$114,2,0)</f>
        <v>#N/A</v>
      </c>
      <c r="J2128" s="29">
        <f>'Raw data'!K2037</f>
        <v>0</v>
      </c>
      <c r="K2128" s="31">
        <f>'Raw data'!H2037</f>
        <v>0</v>
      </c>
      <c r="L2128" s="26">
        <f t="shared" si="70"/>
        <v>0</v>
      </c>
    </row>
    <row r="2129" spans="2:12">
      <c r="B2129" s="4" t="e">
        <f t="shared" si="69"/>
        <v>#N/A</v>
      </c>
      <c r="C2129" s="4">
        <f>'Raw data'!E1705</f>
        <v>0</v>
      </c>
      <c r="D2129" s="29" t="e">
        <f>VLOOKUP(C2129,'점포코드 '!A:B,2,0)</f>
        <v>#N/A</v>
      </c>
      <c r="E2129" s="30">
        <f>'Raw data'!P1705</f>
        <v>0</v>
      </c>
      <c r="F2129" s="29" t="e">
        <f>VLOOKUP(E2129,'점포코드 '!A:B,2,0)</f>
        <v>#N/A</v>
      </c>
      <c r="G2129" s="46">
        <f>'Raw data'!F2038</f>
        <v>0</v>
      </c>
      <c r="H2129" s="4">
        <f>'Raw data'!G2038</f>
        <v>0</v>
      </c>
      <c r="I2129" s="29" t="e">
        <f>VLOOKUP(G2129,제품명!$C$1:$E$114,2,0)</f>
        <v>#N/A</v>
      </c>
      <c r="J2129" s="29">
        <f>'Raw data'!K2038</f>
        <v>0</v>
      </c>
      <c r="K2129" s="31">
        <f>'Raw data'!H2038</f>
        <v>0</v>
      </c>
      <c r="L2129" s="26">
        <f t="shared" si="70"/>
        <v>0</v>
      </c>
    </row>
    <row r="2130" spans="2:12">
      <c r="B2130" s="4" t="e">
        <f t="shared" si="69"/>
        <v>#N/A</v>
      </c>
      <c r="C2130" s="4">
        <f>'Raw data'!E1706</f>
        <v>0</v>
      </c>
      <c r="D2130" s="29" t="e">
        <f>VLOOKUP(C2130,'점포코드 '!A:B,2,0)</f>
        <v>#N/A</v>
      </c>
      <c r="E2130" s="30">
        <f>'Raw data'!P1706</f>
        <v>0</v>
      </c>
      <c r="F2130" s="29" t="e">
        <f>VLOOKUP(E2130,'점포코드 '!A:B,2,0)</f>
        <v>#N/A</v>
      </c>
      <c r="G2130" s="46">
        <f>'Raw data'!F2039</f>
        <v>0</v>
      </c>
      <c r="H2130" s="4">
        <f>'Raw data'!G2039</f>
        <v>0</v>
      </c>
      <c r="I2130" s="29" t="e">
        <f>VLOOKUP(G2130,제품명!$C$1:$E$114,2,0)</f>
        <v>#N/A</v>
      </c>
      <c r="J2130" s="29">
        <f>'Raw data'!K2039</f>
        <v>0</v>
      </c>
      <c r="K2130" s="31">
        <f>'Raw data'!H2039</f>
        <v>0</v>
      </c>
      <c r="L2130" s="26">
        <f t="shared" si="70"/>
        <v>0</v>
      </c>
    </row>
    <row r="2131" spans="2:12">
      <c r="B2131" s="4" t="e">
        <f t="shared" si="69"/>
        <v>#N/A</v>
      </c>
      <c r="C2131" s="4">
        <f>'Raw data'!E1707</f>
        <v>0</v>
      </c>
      <c r="D2131" s="29" t="e">
        <f>VLOOKUP(C2131,'점포코드 '!A:B,2,0)</f>
        <v>#N/A</v>
      </c>
      <c r="E2131" s="30">
        <f>'Raw data'!P1707</f>
        <v>0</v>
      </c>
      <c r="F2131" s="29" t="e">
        <f>VLOOKUP(E2131,'점포코드 '!A:B,2,0)</f>
        <v>#N/A</v>
      </c>
      <c r="G2131" s="46">
        <f>'Raw data'!F2040</f>
        <v>0</v>
      </c>
      <c r="H2131" s="4">
        <f>'Raw data'!G2040</f>
        <v>0</v>
      </c>
      <c r="I2131" s="29" t="e">
        <f>VLOOKUP(G2131,제품명!$C$1:$E$114,2,0)</f>
        <v>#N/A</v>
      </c>
      <c r="J2131" s="29">
        <f>'Raw data'!K2040</f>
        <v>0</v>
      </c>
      <c r="K2131" s="31">
        <f>'Raw data'!H2040</f>
        <v>0</v>
      </c>
      <c r="L2131" s="26">
        <f t="shared" si="70"/>
        <v>0</v>
      </c>
    </row>
    <row r="2132" spans="2:12">
      <c r="B2132" s="4" t="e">
        <f t="shared" si="69"/>
        <v>#N/A</v>
      </c>
      <c r="C2132" s="4">
        <f>'Raw data'!E1708</f>
        <v>0</v>
      </c>
      <c r="D2132" s="29" t="e">
        <f>VLOOKUP(C2132,'점포코드 '!A:B,2,0)</f>
        <v>#N/A</v>
      </c>
      <c r="E2132" s="30">
        <f>'Raw data'!P1708</f>
        <v>0</v>
      </c>
      <c r="F2132" s="29" t="e">
        <f>VLOOKUP(E2132,'점포코드 '!A:B,2,0)</f>
        <v>#N/A</v>
      </c>
      <c r="G2132" s="46">
        <f>'Raw data'!F2041</f>
        <v>0</v>
      </c>
      <c r="H2132" s="4">
        <f>'Raw data'!G2041</f>
        <v>0</v>
      </c>
      <c r="I2132" s="29" t="e">
        <f>VLOOKUP(G2132,제품명!$C$1:$E$114,2,0)</f>
        <v>#N/A</v>
      </c>
      <c r="J2132" s="29">
        <f>'Raw data'!K2041</f>
        <v>0</v>
      </c>
      <c r="K2132" s="31">
        <f>'Raw data'!H2041</f>
        <v>0</v>
      </c>
      <c r="L2132" s="26">
        <f t="shared" si="70"/>
        <v>0</v>
      </c>
    </row>
    <row r="2133" spans="2:12">
      <c r="B2133" s="4" t="e">
        <f t="shared" si="69"/>
        <v>#N/A</v>
      </c>
      <c r="C2133" s="4">
        <f>'Raw data'!E1709</f>
        <v>0</v>
      </c>
      <c r="D2133" s="29" t="e">
        <f>VLOOKUP(C2133,'점포코드 '!A:B,2,0)</f>
        <v>#N/A</v>
      </c>
      <c r="E2133" s="30">
        <f>'Raw data'!P1709</f>
        <v>0</v>
      </c>
      <c r="F2133" s="29" t="e">
        <f>VLOOKUP(E2133,'점포코드 '!A:B,2,0)</f>
        <v>#N/A</v>
      </c>
      <c r="G2133" s="46">
        <f>'Raw data'!F2042</f>
        <v>0</v>
      </c>
      <c r="H2133" s="4">
        <f>'Raw data'!G2042</f>
        <v>0</v>
      </c>
      <c r="I2133" s="29" t="e">
        <f>VLOOKUP(G2133,제품명!$C$1:$E$114,2,0)</f>
        <v>#N/A</v>
      </c>
      <c r="J2133" s="29">
        <f>'Raw data'!K2042</f>
        <v>0</v>
      </c>
      <c r="K2133" s="31">
        <f>'Raw data'!H2042</f>
        <v>0</v>
      </c>
      <c r="L2133" s="26">
        <f t="shared" si="70"/>
        <v>0</v>
      </c>
    </row>
    <row r="2134" spans="2:12">
      <c r="B2134" s="4" t="e">
        <f t="shared" si="69"/>
        <v>#N/A</v>
      </c>
      <c r="C2134" s="4">
        <f>'Raw data'!E1710</f>
        <v>0</v>
      </c>
      <c r="D2134" s="29" t="e">
        <f>VLOOKUP(C2134,'점포코드 '!A:B,2,0)</f>
        <v>#N/A</v>
      </c>
      <c r="E2134" s="30">
        <f>'Raw data'!P1710</f>
        <v>0</v>
      </c>
      <c r="F2134" s="29" t="e">
        <f>VLOOKUP(E2134,'점포코드 '!A:B,2,0)</f>
        <v>#N/A</v>
      </c>
      <c r="G2134" s="46">
        <f>'Raw data'!F2043</f>
        <v>0</v>
      </c>
      <c r="H2134" s="4">
        <f>'Raw data'!G2043</f>
        <v>0</v>
      </c>
      <c r="I2134" s="29" t="e">
        <f>VLOOKUP(G2134,제품명!$C$1:$E$114,2,0)</f>
        <v>#N/A</v>
      </c>
      <c r="J2134" s="29">
        <f>'Raw data'!K2043</f>
        <v>0</v>
      </c>
      <c r="K2134" s="31">
        <f>'Raw data'!H2043</f>
        <v>0</v>
      </c>
      <c r="L2134" s="26">
        <f t="shared" si="70"/>
        <v>0</v>
      </c>
    </row>
    <row r="2135" spans="2:12">
      <c r="B2135" s="4" t="e">
        <f t="shared" si="69"/>
        <v>#N/A</v>
      </c>
      <c r="C2135" s="4">
        <f>'Raw data'!E1711</f>
        <v>0</v>
      </c>
      <c r="D2135" s="29" t="e">
        <f>VLOOKUP(C2135,'점포코드 '!A:B,2,0)</f>
        <v>#N/A</v>
      </c>
      <c r="E2135" s="30">
        <f>'Raw data'!P1711</f>
        <v>0</v>
      </c>
      <c r="F2135" s="29" t="e">
        <f>VLOOKUP(E2135,'점포코드 '!A:B,2,0)</f>
        <v>#N/A</v>
      </c>
      <c r="G2135" s="46">
        <f>'Raw data'!F2044</f>
        <v>0</v>
      </c>
      <c r="H2135" s="4">
        <f>'Raw data'!G2044</f>
        <v>0</v>
      </c>
      <c r="I2135" s="29" t="e">
        <f>VLOOKUP(G2135,제품명!$C$1:$E$114,2,0)</f>
        <v>#N/A</v>
      </c>
      <c r="J2135" s="29">
        <f>'Raw data'!K2044</f>
        <v>0</v>
      </c>
      <c r="K2135" s="31">
        <f>'Raw data'!H2044</f>
        <v>0</v>
      </c>
      <c r="L2135" s="26">
        <f t="shared" si="70"/>
        <v>0</v>
      </c>
    </row>
    <row r="2136" spans="2:12">
      <c r="B2136" s="4" t="e">
        <f t="shared" si="69"/>
        <v>#N/A</v>
      </c>
      <c r="C2136" s="4">
        <f>'Raw data'!E1712</f>
        <v>0</v>
      </c>
      <c r="D2136" s="29" t="e">
        <f>VLOOKUP(C2136,'점포코드 '!A:B,2,0)</f>
        <v>#N/A</v>
      </c>
      <c r="E2136" s="30">
        <f>'Raw data'!P1712</f>
        <v>0</v>
      </c>
      <c r="F2136" s="29" t="e">
        <f>VLOOKUP(E2136,'점포코드 '!A:B,2,0)</f>
        <v>#N/A</v>
      </c>
      <c r="G2136" s="46">
        <f>'Raw data'!F2045</f>
        <v>0</v>
      </c>
      <c r="H2136" s="4">
        <f>'Raw data'!G2045</f>
        <v>0</v>
      </c>
      <c r="I2136" s="29" t="e">
        <f>VLOOKUP(G2136,제품명!$C$1:$E$114,2,0)</f>
        <v>#N/A</v>
      </c>
      <c r="J2136" s="29">
        <f>'Raw data'!K2045</f>
        <v>0</v>
      </c>
      <c r="K2136" s="31">
        <f>'Raw data'!H2045</f>
        <v>0</v>
      </c>
      <c r="L2136" s="26">
        <f t="shared" si="70"/>
        <v>0</v>
      </c>
    </row>
    <row r="2137" spans="2:12">
      <c r="B2137" s="4" t="e">
        <f t="shared" si="69"/>
        <v>#N/A</v>
      </c>
      <c r="C2137" s="4">
        <f>'Raw data'!E1713</f>
        <v>0</v>
      </c>
      <c r="D2137" s="29" t="e">
        <f>VLOOKUP(C2137,'점포코드 '!A:B,2,0)</f>
        <v>#N/A</v>
      </c>
      <c r="E2137" s="30">
        <f>'Raw data'!P1713</f>
        <v>0</v>
      </c>
      <c r="F2137" s="29" t="e">
        <f>VLOOKUP(E2137,'점포코드 '!A:B,2,0)</f>
        <v>#N/A</v>
      </c>
      <c r="G2137" s="46">
        <f>'Raw data'!F2046</f>
        <v>0</v>
      </c>
      <c r="H2137" s="4">
        <f>'Raw data'!G2046</f>
        <v>0</v>
      </c>
      <c r="I2137" s="29" t="e">
        <f>VLOOKUP(G2137,제품명!$C$1:$E$114,2,0)</f>
        <v>#N/A</v>
      </c>
      <c r="J2137" s="29">
        <f>'Raw data'!K2046</f>
        <v>0</v>
      </c>
      <c r="K2137" s="31">
        <f>'Raw data'!H2046</f>
        <v>0</v>
      </c>
      <c r="L2137" s="26">
        <f t="shared" si="70"/>
        <v>0</v>
      </c>
    </row>
    <row r="2138" spans="2:12">
      <c r="B2138" s="4" t="e">
        <f t="shared" si="69"/>
        <v>#N/A</v>
      </c>
      <c r="C2138" s="4">
        <f>'Raw data'!E1714</f>
        <v>0</v>
      </c>
      <c r="D2138" s="29" t="e">
        <f>VLOOKUP(C2138,'점포코드 '!A:B,2,0)</f>
        <v>#N/A</v>
      </c>
      <c r="E2138" s="30">
        <f>'Raw data'!P1714</f>
        <v>0</v>
      </c>
      <c r="F2138" s="29" t="e">
        <f>VLOOKUP(E2138,'점포코드 '!A:B,2,0)</f>
        <v>#N/A</v>
      </c>
      <c r="G2138" s="46">
        <f>'Raw data'!F2047</f>
        <v>0</v>
      </c>
      <c r="H2138" s="4">
        <f>'Raw data'!G2047</f>
        <v>0</v>
      </c>
      <c r="I2138" s="29" t="e">
        <f>VLOOKUP(G2138,제품명!$C$1:$E$114,2,0)</f>
        <v>#N/A</v>
      </c>
      <c r="J2138" s="29">
        <f>'Raw data'!K2047</f>
        <v>0</v>
      </c>
      <c r="K2138" s="31">
        <f>'Raw data'!H2047</f>
        <v>0</v>
      </c>
      <c r="L2138" s="26">
        <f t="shared" si="70"/>
        <v>0</v>
      </c>
    </row>
    <row r="2139" spans="2:12">
      <c r="B2139" s="4" t="e">
        <f t="shared" si="69"/>
        <v>#N/A</v>
      </c>
      <c r="C2139" s="4">
        <f>'Raw data'!E1715</f>
        <v>0</v>
      </c>
      <c r="D2139" s="29" t="e">
        <f>VLOOKUP(C2139,'점포코드 '!A:B,2,0)</f>
        <v>#N/A</v>
      </c>
      <c r="E2139" s="30">
        <f>'Raw data'!P1715</f>
        <v>0</v>
      </c>
      <c r="F2139" s="29" t="e">
        <f>VLOOKUP(E2139,'점포코드 '!A:B,2,0)</f>
        <v>#N/A</v>
      </c>
      <c r="G2139" s="46">
        <f>'Raw data'!F2048</f>
        <v>0</v>
      </c>
      <c r="H2139" s="4">
        <f>'Raw data'!G2048</f>
        <v>0</v>
      </c>
      <c r="I2139" s="29" t="e">
        <f>VLOOKUP(G2139,제품명!$C$1:$E$114,2,0)</f>
        <v>#N/A</v>
      </c>
      <c r="J2139" s="29">
        <f>'Raw data'!K2048</f>
        <v>0</v>
      </c>
      <c r="K2139" s="31">
        <f>'Raw data'!H2048</f>
        <v>0</v>
      </c>
      <c r="L2139" s="26">
        <f t="shared" si="70"/>
        <v>0</v>
      </c>
    </row>
    <row r="2140" spans="2:12">
      <c r="B2140" s="4" t="e">
        <f t="shared" si="69"/>
        <v>#N/A</v>
      </c>
      <c r="C2140" s="4">
        <f>'Raw data'!E1716</f>
        <v>0</v>
      </c>
      <c r="D2140" s="29" t="e">
        <f>VLOOKUP(C2140,'점포코드 '!A:B,2,0)</f>
        <v>#N/A</v>
      </c>
      <c r="E2140" s="30">
        <f>'Raw data'!P1716</f>
        <v>0</v>
      </c>
      <c r="F2140" s="29" t="e">
        <f>VLOOKUP(E2140,'점포코드 '!A:B,2,0)</f>
        <v>#N/A</v>
      </c>
      <c r="G2140" s="46">
        <f>'Raw data'!F2049</f>
        <v>0</v>
      </c>
      <c r="H2140" s="4">
        <f>'Raw data'!G2049</f>
        <v>0</v>
      </c>
      <c r="I2140" s="29" t="e">
        <f>VLOOKUP(G2140,제품명!$C$1:$E$114,2,0)</f>
        <v>#N/A</v>
      </c>
      <c r="J2140" s="29">
        <f>'Raw data'!K2049</f>
        <v>0</v>
      </c>
      <c r="K2140" s="31">
        <f>'Raw data'!H2049</f>
        <v>0</v>
      </c>
      <c r="L2140" s="26">
        <f t="shared" si="70"/>
        <v>0</v>
      </c>
    </row>
    <row r="2141" spans="2:12">
      <c r="B2141" s="4" t="e">
        <f t="shared" si="69"/>
        <v>#N/A</v>
      </c>
      <c r="C2141" s="4">
        <f>'Raw data'!E1717</f>
        <v>0</v>
      </c>
      <c r="D2141" s="29" t="e">
        <f>VLOOKUP(C2141,'점포코드 '!A:B,2,0)</f>
        <v>#N/A</v>
      </c>
      <c r="E2141" s="30">
        <f>'Raw data'!P1717</f>
        <v>0</v>
      </c>
      <c r="F2141" s="29" t="e">
        <f>VLOOKUP(E2141,'점포코드 '!A:B,2,0)</f>
        <v>#N/A</v>
      </c>
      <c r="G2141" s="46">
        <f>'Raw data'!F2050</f>
        <v>0</v>
      </c>
      <c r="H2141" s="4">
        <f>'Raw data'!G2050</f>
        <v>0</v>
      </c>
      <c r="I2141" s="29" t="e">
        <f>VLOOKUP(G2141,제품명!$C$1:$E$114,2,0)</f>
        <v>#N/A</v>
      </c>
      <c r="J2141" s="29">
        <f>'Raw data'!K2050</f>
        <v>0</v>
      </c>
      <c r="K2141" s="31">
        <f>'Raw data'!H2050</f>
        <v>0</v>
      </c>
      <c r="L2141" s="26">
        <f t="shared" si="70"/>
        <v>0</v>
      </c>
    </row>
    <row r="2142" spans="2:12">
      <c r="B2142" s="4" t="e">
        <f t="shared" si="69"/>
        <v>#N/A</v>
      </c>
      <c r="C2142" s="4">
        <f>'Raw data'!E1718</f>
        <v>0</v>
      </c>
      <c r="D2142" s="29" t="e">
        <f>VLOOKUP(C2142,'점포코드 '!A:B,2,0)</f>
        <v>#N/A</v>
      </c>
      <c r="E2142" s="30">
        <f>'Raw data'!P1718</f>
        <v>0</v>
      </c>
      <c r="F2142" s="29" t="e">
        <f>VLOOKUP(E2142,'점포코드 '!A:B,2,0)</f>
        <v>#N/A</v>
      </c>
      <c r="G2142" s="46">
        <f>'Raw data'!F2051</f>
        <v>0</v>
      </c>
      <c r="H2142" s="4">
        <f>'Raw data'!G2051</f>
        <v>0</v>
      </c>
      <c r="I2142" s="29" t="e">
        <f>VLOOKUP(G2142,제품명!$C$1:$E$114,2,0)</f>
        <v>#N/A</v>
      </c>
      <c r="J2142" s="29">
        <f>'Raw data'!K2051</f>
        <v>0</v>
      </c>
      <c r="K2142" s="31">
        <f>'Raw data'!H2051</f>
        <v>0</v>
      </c>
      <c r="L2142" s="26">
        <f t="shared" si="70"/>
        <v>0</v>
      </c>
    </row>
    <row r="2143" spans="2:12">
      <c r="B2143" s="4" t="e">
        <f t="shared" si="69"/>
        <v>#N/A</v>
      </c>
      <c r="C2143" s="4">
        <f>'Raw data'!E1719</f>
        <v>0</v>
      </c>
      <c r="D2143" s="29" t="e">
        <f>VLOOKUP(C2143,'점포코드 '!A:B,2,0)</f>
        <v>#N/A</v>
      </c>
      <c r="E2143" s="30">
        <f>'Raw data'!P1719</f>
        <v>0</v>
      </c>
      <c r="F2143" s="29" t="e">
        <f>VLOOKUP(E2143,'점포코드 '!A:B,2,0)</f>
        <v>#N/A</v>
      </c>
      <c r="G2143" s="46">
        <f>'Raw data'!F2052</f>
        <v>0</v>
      </c>
      <c r="H2143" s="4">
        <f>'Raw data'!G2052</f>
        <v>0</v>
      </c>
      <c r="I2143" s="29" t="e">
        <f>VLOOKUP(G2143,제품명!$C$1:$E$114,2,0)</f>
        <v>#N/A</v>
      </c>
      <c r="J2143" s="29">
        <f>'Raw data'!K2052</f>
        <v>0</v>
      </c>
      <c r="K2143" s="31">
        <f>'Raw data'!H2052</f>
        <v>0</v>
      </c>
      <c r="L2143" s="26">
        <f t="shared" si="70"/>
        <v>0</v>
      </c>
    </row>
    <row r="2144" spans="2:12">
      <c r="B2144" s="4" t="e">
        <f t="shared" si="69"/>
        <v>#N/A</v>
      </c>
      <c r="C2144" s="4">
        <f>'Raw data'!E1720</f>
        <v>0</v>
      </c>
      <c r="D2144" s="29" t="e">
        <f>VLOOKUP(C2144,'점포코드 '!A:B,2,0)</f>
        <v>#N/A</v>
      </c>
      <c r="E2144" s="30">
        <f>'Raw data'!P1720</f>
        <v>0</v>
      </c>
      <c r="F2144" s="29" t="e">
        <f>VLOOKUP(E2144,'점포코드 '!A:B,2,0)</f>
        <v>#N/A</v>
      </c>
      <c r="G2144" s="46">
        <f>'Raw data'!F2053</f>
        <v>0</v>
      </c>
      <c r="H2144" s="4">
        <f>'Raw data'!G2053</f>
        <v>0</v>
      </c>
      <c r="I2144" s="29" t="e">
        <f>VLOOKUP(G2144,제품명!$C$1:$E$114,2,0)</f>
        <v>#N/A</v>
      </c>
      <c r="J2144" s="29">
        <f>'Raw data'!K2053</f>
        <v>0</v>
      </c>
      <c r="K2144" s="31">
        <f>'Raw data'!H2053</f>
        <v>0</v>
      </c>
      <c r="L2144" s="26">
        <f t="shared" si="70"/>
        <v>0</v>
      </c>
    </row>
    <row r="2145" spans="2:12">
      <c r="B2145" s="4" t="e">
        <f t="shared" si="69"/>
        <v>#N/A</v>
      </c>
      <c r="C2145" s="4">
        <f>'Raw data'!E1721</f>
        <v>0</v>
      </c>
      <c r="D2145" s="29" t="e">
        <f>VLOOKUP(C2145,'점포코드 '!A:B,2,0)</f>
        <v>#N/A</v>
      </c>
      <c r="E2145" s="30">
        <f>'Raw data'!P1721</f>
        <v>0</v>
      </c>
      <c r="F2145" s="29" t="e">
        <f>VLOOKUP(E2145,'점포코드 '!A:B,2,0)</f>
        <v>#N/A</v>
      </c>
      <c r="G2145" s="46">
        <f>'Raw data'!F2054</f>
        <v>0</v>
      </c>
      <c r="H2145" s="4">
        <f>'Raw data'!G2054</f>
        <v>0</v>
      </c>
      <c r="I2145" s="29" t="e">
        <f>VLOOKUP(G2145,제품명!$C$1:$E$114,2,0)</f>
        <v>#N/A</v>
      </c>
      <c r="J2145" s="29">
        <f>'Raw data'!K2054</f>
        <v>0</v>
      </c>
      <c r="K2145" s="31">
        <f>'Raw data'!H2054</f>
        <v>0</v>
      </c>
      <c r="L2145" s="26">
        <f t="shared" si="70"/>
        <v>0</v>
      </c>
    </row>
    <row r="2146" spans="2:12">
      <c r="B2146" s="4" t="e">
        <f t="shared" si="69"/>
        <v>#N/A</v>
      </c>
      <c r="C2146" s="4">
        <f>'Raw data'!E1722</f>
        <v>0</v>
      </c>
      <c r="D2146" s="29" t="e">
        <f>VLOOKUP(C2146,'점포코드 '!A:B,2,0)</f>
        <v>#N/A</v>
      </c>
      <c r="E2146" s="30">
        <f>'Raw data'!P1722</f>
        <v>0</v>
      </c>
      <c r="F2146" s="29" t="e">
        <f>VLOOKUP(E2146,'점포코드 '!A:B,2,0)</f>
        <v>#N/A</v>
      </c>
      <c r="G2146" s="46">
        <f>'Raw data'!F2055</f>
        <v>0</v>
      </c>
      <c r="H2146" s="4">
        <f>'Raw data'!G2055</f>
        <v>0</v>
      </c>
      <c r="I2146" s="29" t="e">
        <f>VLOOKUP(G2146,제품명!$C$1:$E$114,2,0)</f>
        <v>#N/A</v>
      </c>
      <c r="J2146" s="29">
        <f>'Raw data'!K2055</f>
        <v>0</v>
      </c>
      <c r="K2146" s="31">
        <f>'Raw data'!H2055</f>
        <v>0</v>
      </c>
      <c r="L2146" s="26">
        <f t="shared" si="70"/>
        <v>0</v>
      </c>
    </row>
    <row r="2147" spans="2:12">
      <c r="B2147" s="4" t="e">
        <f t="shared" si="69"/>
        <v>#N/A</v>
      </c>
      <c r="C2147" s="4">
        <f>'Raw data'!E1723</f>
        <v>0</v>
      </c>
      <c r="D2147" s="29" t="e">
        <f>VLOOKUP(C2147,'점포코드 '!A:B,2,0)</f>
        <v>#N/A</v>
      </c>
      <c r="E2147" s="30">
        <f>'Raw data'!P1723</f>
        <v>0</v>
      </c>
      <c r="F2147" s="29" t="e">
        <f>VLOOKUP(E2147,'점포코드 '!A:B,2,0)</f>
        <v>#N/A</v>
      </c>
      <c r="G2147" s="46">
        <f>'Raw data'!F2056</f>
        <v>0</v>
      </c>
      <c r="H2147" s="4">
        <f>'Raw data'!G2056</f>
        <v>0</v>
      </c>
      <c r="I2147" s="29" t="e">
        <f>VLOOKUP(G2147,제품명!$C$1:$E$114,2,0)</f>
        <v>#N/A</v>
      </c>
      <c r="J2147" s="29">
        <f>'Raw data'!K2056</f>
        <v>0</v>
      </c>
      <c r="K2147" s="31">
        <f>'Raw data'!H2056</f>
        <v>0</v>
      </c>
      <c r="L2147" s="26">
        <f t="shared" si="70"/>
        <v>0</v>
      </c>
    </row>
    <row r="2148" spans="2:12">
      <c r="B2148" s="4" t="e">
        <f t="shared" si="69"/>
        <v>#N/A</v>
      </c>
      <c r="C2148" s="4">
        <f>'Raw data'!E1724</f>
        <v>0</v>
      </c>
      <c r="D2148" s="29" t="e">
        <f>VLOOKUP(C2148,'점포코드 '!A:B,2,0)</f>
        <v>#N/A</v>
      </c>
      <c r="E2148" s="30">
        <f>'Raw data'!P1724</f>
        <v>0</v>
      </c>
      <c r="F2148" s="29" t="e">
        <f>VLOOKUP(E2148,'점포코드 '!A:B,2,0)</f>
        <v>#N/A</v>
      </c>
      <c r="G2148" s="46">
        <f>'Raw data'!F2057</f>
        <v>0</v>
      </c>
      <c r="H2148" s="4">
        <f>'Raw data'!G2057</f>
        <v>0</v>
      </c>
      <c r="I2148" s="29" t="e">
        <f>VLOOKUP(G2148,제품명!$C$1:$E$114,2,0)</f>
        <v>#N/A</v>
      </c>
      <c r="J2148" s="29">
        <f>'Raw data'!K2057</f>
        <v>0</v>
      </c>
      <c r="K2148" s="31">
        <f>'Raw data'!H2057</f>
        <v>0</v>
      </c>
      <c r="L2148" s="26">
        <f t="shared" si="70"/>
        <v>0</v>
      </c>
    </row>
    <row r="2149" spans="2:12">
      <c r="B2149" s="4" t="e">
        <f t="shared" si="69"/>
        <v>#N/A</v>
      </c>
      <c r="C2149" s="4">
        <f>'Raw data'!E1725</f>
        <v>0</v>
      </c>
      <c r="D2149" s="29" t="e">
        <f>VLOOKUP(C2149,'점포코드 '!A:B,2,0)</f>
        <v>#N/A</v>
      </c>
      <c r="E2149" s="30">
        <f>'Raw data'!P1725</f>
        <v>0</v>
      </c>
      <c r="F2149" s="29" t="e">
        <f>VLOOKUP(E2149,'점포코드 '!A:B,2,0)</f>
        <v>#N/A</v>
      </c>
      <c r="G2149" s="46">
        <f>'Raw data'!F2058</f>
        <v>0</v>
      </c>
      <c r="H2149" s="4">
        <f>'Raw data'!G2058</f>
        <v>0</v>
      </c>
      <c r="I2149" s="29" t="e">
        <f>VLOOKUP(G2149,제품명!$C$1:$E$114,2,0)</f>
        <v>#N/A</v>
      </c>
      <c r="J2149" s="29">
        <f>'Raw data'!K2058</f>
        <v>0</v>
      </c>
      <c r="K2149" s="31">
        <f>'Raw data'!H2058</f>
        <v>0</v>
      </c>
      <c r="L2149" s="26">
        <f t="shared" si="70"/>
        <v>0</v>
      </c>
    </row>
    <row r="2150" spans="2:12">
      <c r="B2150" s="4" t="e">
        <f t="shared" si="69"/>
        <v>#N/A</v>
      </c>
      <c r="C2150" s="4">
        <f>'Raw data'!E1726</f>
        <v>0</v>
      </c>
      <c r="D2150" s="29" t="e">
        <f>VLOOKUP(C2150,'점포코드 '!A:B,2,0)</f>
        <v>#N/A</v>
      </c>
      <c r="E2150" s="30">
        <f>'Raw data'!P1726</f>
        <v>0</v>
      </c>
      <c r="F2150" s="29" t="e">
        <f>VLOOKUP(E2150,'점포코드 '!A:B,2,0)</f>
        <v>#N/A</v>
      </c>
      <c r="G2150" s="46">
        <f>'Raw data'!F2059</f>
        <v>0</v>
      </c>
      <c r="H2150" s="4">
        <f>'Raw data'!G2059</f>
        <v>0</v>
      </c>
      <c r="I2150" s="29" t="e">
        <f>VLOOKUP(G2150,제품명!$C$1:$E$114,2,0)</f>
        <v>#N/A</v>
      </c>
      <c r="J2150" s="29">
        <f>'Raw data'!K2059</f>
        <v>0</v>
      </c>
      <c r="K2150" s="31">
        <f>'Raw data'!H2059</f>
        <v>0</v>
      </c>
      <c r="L2150" s="26">
        <f t="shared" si="70"/>
        <v>0</v>
      </c>
    </row>
    <row r="2151" spans="2:12">
      <c r="B2151" s="4" t="e">
        <f t="shared" si="69"/>
        <v>#N/A</v>
      </c>
      <c r="C2151" s="4">
        <f>'Raw data'!E1727</f>
        <v>0</v>
      </c>
      <c r="D2151" s="29" t="e">
        <f>VLOOKUP(C2151,'점포코드 '!A:B,2,0)</f>
        <v>#N/A</v>
      </c>
      <c r="E2151" s="30">
        <f>'Raw data'!P1727</f>
        <v>0</v>
      </c>
      <c r="F2151" s="29" t="e">
        <f>VLOOKUP(E2151,'점포코드 '!A:B,2,0)</f>
        <v>#N/A</v>
      </c>
      <c r="G2151" s="46">
        <f>'Raw data'!F2060</f>
        <v>0</v>
      </c>
      <c r="H2151" s="4">
        <f>'Raw data'!G2060</f>
        <v>0</v>
      </c>
      <c r="I2151" s="29" t="e">
        <f>VLOOKUP(G2151,제품명!$C$1:$E$114,2,0)</f>
        <v>#N/A</v>
      </c>
      <c r="J2151" s="29">
        <f>'Raw data'!K2060</f>
        <v>0</v>
      </c>
      <c r="K2151" s="31">
        <f>'Raw data'!H2060</f>
        <v>0</v>
      </c>
      <c r="L2151" s="26">
        <f t="shared" si="70"/>
        <v>0</v>
      </c>
    </row>
    <row r="2152" spans="2:12">
      <c r="B2152" s="4" t="e">
        <f t="shared" si="69"/>
        <v>#N/A</v>
      </c>
      <c r="C2152" s="4">
        <f>'Raw data'!E1728</f>
        <v>0</v>
      </c>
      <c r="D2152" s="29" t="e">
        <f>VLOOKUP(C2152,'점포코드 '!A:B,2,0)</f>
        <v>#N/A</v>
      </c>
      <c r="E2152" s="30">
        <f>'Raw data'!P1728</f>
        <v>0</v>
      </c>
      <c r="F2152" s="29" t="e">
        <f>VLOOKUP(E2152,'점포코드 '!A:B,2,0)</f>
        <v>#N/A</v>
      </c>
      <c r="G2152" s="46">
        <f>'Raw data'!F2061</f>
        <v>0</v>
      </c>
      <c r="H2152" s="4">
        <f>'Raw data'!G2061</f>
        <v>0</v>
      </c>
      <c r="I2152" s="29" t="e">
        <f>VLOOKUP(G2152,제품명!$C$1:$E$114,2,0)</f>
        <v>#N/A</v>
      </c>
      <c r="J2152" s="29">
        <f>'Raw data'!K2061</f>
        <v>0</v>
      </c>
      <c r="K2152" s="31">
        <f>'Raw data'!H2061</f>
        <v>0</v>
      </c>
      <c r="L2152" s="26">
        <f t="shared" si="70"/>
        <v>0</v>
      </c>
    </row>
    <row r="2153" spans="2:12">
      <c r="B2153" s="4" t="e">
        <f t="shared" si="69"/>
        <v>#N/A</v>
      </c>
      <c r="C2153" s="4">
        <f>'Raw data'!E1729</f>
        <v>0</v>
      </c>
      <c r="D2153" s="29" t="e">
        <f>VLOOKUP(C2153,'점포코드 '!A:B,2,0)</f>
        <v>#N/A</v>
      </c>
      <c r="E2153" s="30">
        <f>'Raw data'!P1729</f>
        <v>0</v>
      </c>
      <c r="F2153" s="29" t="e">
        <f>VLOOKUP(E2153,'점포코드 '!A:B,2,0)</f>
        <v>#N/A</v>
      </c>
      <c r="G2153" s="46">
        <f>'Raw data'!F2062</f>
        <v>0</v>
      </c>
      <c r="H2153" s="4">
        <f>'Raw data'!G2062</f>
        <v>0</v>
      </c>
      <c r="I2153" s="29" t="e">
        <f>VLOOKUP(G2153,제품명!$C$1:$E$114,2,0)</f>
        <v>#N/A</v>
      </c>
      <c r="J2153" s="29">
        <f>'Raw data'!K2062</f>
        <v>0</v>
      </c>
      <c r="K2153" s="31">
        <f>'Raw data'!H2062</f>
        <v>0</v>
      </c>
      <c r="L2153" s="26">
        <f t="shared" si="70"/>
        <v>0</v>
      </c>
    </row>
    <row r="2154" spans="2:12">
      <c r="B2154" s="4" t="e">
        <f t="shared" si="69"/>
        <v>#N/A</v>
      </c>
      <c r="C2154" s="4">
        <f>'Raw data'!E1730</f>
        <v>0</v>
      </c>
      <c r="D2154" s="29" t="e">
        <f>VLOOKUP(C2154,'점포코드 '!A:B,2,0)</f>
        <v>#N/A</v>
      </c>
      <c r="E2154" s="30">
        <f>'Raw data'!P1730</f>
        <v>0</v>
      </c>
      <c r="F2154" s="29" t="e">
        <f>VLOOKUP(E2154,'점포코드 '!A:B,2,0)</f>
        <v>#N/A</v>
      </c>
      <c r="G2154" s="46">
        <f>'Raw data'!F2063</f>
        <v>0</v>
      </c>
      <c r="H2154" s="4">
        <f>'Raw data'!G2063</f>
        <v>0</v>
      </c>
      <c r="I2154" s="29" t="e">
        <f>VLOOKUP(G2154,제품명!$C$1:$E$114,2,0)</f>
        <v>#N/A</v>
      </c>
      <c r="J2154" s="29">
        <f>'Raw data'!K2063</f>
        <v>0</v>
      </c>
      <c r="K2154" s="31">
        <f>'Raw data'!H2063</f>
        <v>0</v>
      </c>
      <c r="L2154" s="26">
        <f t="shared" si="70"/>
        <v>0</v>
      </c>
    </row>
    <row r="2155" spans="2:12">
      <c r="B2155" s="4" t="e">
        <f t="shared" si="69"/>
        <v>#N/A</v>
      </c>
      <c r="C2155" s="4">
        <f>'Raw data'!E1731</f>
        <v>0</v>
      </c>
      <c r="D2155" s="29" t="e">
        <f>VLOOKUP(C2155,'점포코드 '!A:B,2,0)</f>
        <v>#N/A</v>
      </c>
      <c r="E2155" s="30">
        <f>'Raw data'!P1731</f>
        <v>0</v>
      </c>
      <c r="F2155" s="29" t="e">
        <f>VLOOKUP(E2155,'점포코드 '!A:B,2,0)</f>
        <v>#N/A</v>
      </c>
      <c r="G2155" s="46">
        <f>'Raw data'!F2064</f>
        <v>0</v>
      </c>
      <c r="H2155" s="4">
        <f>'Raw data'!G2064</f>
        <v>0</v>
      </c>
      <c r="I2155" s="29" t="e">
        <f>VLOOKUP(G2155,제품명!$C$1:$E$114,2,0)</f>
        <v>#N/A</v>
      </c>
      <c r="J2155" s="29">
        <f>'Raw data'!K2064</f>
        <v>0</v>
      </c>
      <c r="K2155" s="31">
        <f>'Raw data'!H2064</f>
        <v>0</v>
      </c>
      <c r="L2155" s="26">
        <f t="shared" si="70"/>
        <v>0</v>
      </c>
    </row>
    <row r="2156" spans="2:12">
      <c r="B2156" s="4" t="e">
        <f t="shared" si="69"/>
        <v>#N/A</v>
      </c>
      <c r="C2156" s="4">
        <f>'Raw data'!E1732</f>
        <v>0</v>
      </c>
      <c r="D2156" s="29" t="e">
        <f>VLOOKUP(C2156,'점포코드 '!A:B,2,0)</f>
        <v>#N/A</v>
      </c>
      <c r="E2156" s="30">
        <f>'Raw data'!P1732</f>
        <v>0</v>
      </c>
      <c r="F2156" s="29" t="e">
        <f>VLOOKUP(E2156,'점포코드 '!A:B,2,0)</f>
        <v>#N/A</v>
      </c>
      <c r="G2156" s="46">
        <f>'Raw data'!F2065</f>
        <v>0</v>
      </c>
      <c r="H2156" s="4">
        <f>'Raw data'!G2065</f>
        <v>0</v>
      </c>
      <c r="I2156" s="29" t="e">
        <f>VLOOKUP(G2156,제품명!$C$1:$E$114,2,0)</f>
        <v>#N/A</v>
      </c>
      <c r="J2156" s="29">
        <f>'Raw data'!K2065</f>
        <v>0</v>
      </c>
      <c r="K2156" s="31">
        <f>'Raw data'!H2065</f>
        <v>0</v>
      </c>
      <c r="L2156" s="26">
        <f t="shared" si="70"/>
        <v>0</v>
      </c>
    </row>
    <row r="2157" spans="2:12">
      <c r="B2157" s="4" t="e">
        <f t="shared" si="69"/>
        <v>#N/A</v>
      </c>
      <c r="C2157" s="4">
        <f>'Raw data'!E1733</f>
        <v>0</v>
      </c>
      <c r="D2157" s="29" t="e">
        <f>VLOOKUP(C2157,'점포코드 '!A:B,2,0)</f>
        <v>#N/A</v>
      </c>
      <c r="E2157" s="30">
        <f>'Raw data'!P1733</f>
        <v>0</v>
      </c>
      <c r="F2157" s="29" t="e">
        <f>VLOOKUP(E2157,'점포코드 '!A:B,2,0)</f>
        <v>#N/A</v>
      </c>
      <c r="G2157" s="46">
        <f>'Raw data'!F2066</f>
        <v>0</v>
      </c>
      <c r="H2157" s="4">
        <f>'Raw data'!G2066</f>
        <v>0</v>
      </c>
      <c r="I2157" s="29" t="e">
        <f>VLOOKUP(G2157,제품명!$C$1:$E$114,2,0)</f>
        <v>#N/A</v>
      </c>
      <c r="J2157" s="29">
        <f>'Raw data'!K2066</f>
        <v>0</v>
      </c>
      <c r="K2157" s="31">
        <f>'Raw data'!H2066</f>
        <v>0</v>
      </c>
      <c r="L2157" s="26">
        <f t="shared" si="70"/>
        <v>0</v>
      </c>
    </row>
    <row r="2158" spans="2:12">
      <c r="B2158" s="4" t="e">
        <f t="shared" si="69"/>
        <v>#N/A</v>
      </c>
      <c r="C2158" s="4">
        <f>'Raw data'!E1734</f>
        <v>0</v>
      </c>
      <c r="D2158" s="29" t="e">
        <f>VLOOKUP(C2158,'점포코드 '!A:B,2,0)</f>
        <v>#N/A</v>
      </c>
      <c r="E2158" s="30">
        <f>'Raw data'!P1734</f>
        <v>0</v>
      </c>
      <c r="F2158" s="29" t="e">
        <f>VLOOKUP(E2158,'점포코드 '!A:B,2,0)</f>
        <v>#N/A</v>
      </c>
      <c r="G2158" s="46">
        <f>'Raw data'!F2067</f>
        <v>0</v>
      </c>
      <c r="H2158" s="4">
        <f>'Raw data'!G2067</f>
        <v>0</v>
      </c>
      <c r="I2158" s="29" t="e">
        <f>VLOOKUP(G2158,제품명!$C$1:$E$114,2,0)</f>
        <v>#N/A</v>
      </c>
      <c r="J2158" s="29">
        <f>'Raw data'!K2067</f>
        <v>0</v>
      </c>
      <c r="K2158" s="31">
        <f>'Raw data'!H2067</f>
        <v>0</v>
      </c>
      <c r="L2158" s="26">
        <f t="shared" si="70"/>
        <v>0</v>
      </c>
    </row>
    <row r="2159" spans="2:12">
      <c r="B2159" s="4" t="e">
        <f t="shared" si="69"/>
        <v>#N/A</v>
      </c>
      <c r="C2159" s="4">
        <f>'Raw data'!E1735</f>
        <v>0</v>
      </c>
      <c r="D2159" s="29" t="e">
        <f>VLOOKUP(C2159,'점포코드 '!A:B,2,0)</f>
        <v>#N/A</v>
      </c>
      <c r="E2159" s="30">
        <f>'Raw data'!P1735</f>
        <v>0</v>
      </c>
      <c r="F2159" s="29" t="e">
        <f>VLOOKUP(E2159,'점포코드 '!A:B,2,0)</f>
        <v>#N/A</v>
      </c>
      <c r="G2159" s="46">
        <f>'Raw data'!F2068</f>
        <v>0</v>
      </c>
      <c r="H2159" s="4">
        <f>'Raw data'!G2068</f>
        <v>0</v>
      </c>
      <c r="I2159" s="29" t="e">
        <f>VLOOKUP(G2159,제품명!$C$1:$E$114,2,0)</f>
        <v>#N/A</v>
      </c>
      <c r="J2159" s="29">
        <f>'Raw data'!K2068</f>
        <v>0</v>
      </c>
      <c r="K2159" s="31">
        <f>'Raw data'!H2068</f>
        <v>0</v>
      </c>
      <c r="L2159" s="26">
        <f t="shared" si="70"/>
        <v>0</v>
      </c>
    </row>
    <row r="2160" spans="2:12">
      <c r="B2160" s="4" t="e">
        <f t="shared" si="69"/>
        <v>#N/A</v>
      </c>
      <c r="C2160" s="4">
        <f>'Raw data'!E1736</f>
        <v>0</v>
      </c>
      <c r="D2160" s="29" t="e">
        <f>VLOOKUP(C2160,'점포코드 '!A:B,2,0)</f>
        <v>#N/A</v>
      </c>
      <c r="E2160" s="30">
        <f>'Raw data'!P1736</f>
        <v>0</v>
      </c>
      <c r="F2160" s="29" t="e">
        <f>VLOOKUP(E2160,'점포코드 '!A:B,2,0)</f>
        <v>#N/A</v>
      </c>
      <c r="G2160" s="46">
        <f>'Raw data'!F2069</f>
        <v>0</v>
      </c>
      <c r="H2160" s="4">
        <f>'Raw data'!G2069</f>
        <v>0</v>
      </c>
      <c r="I2160" s="29" t="e">
        <f>VLOOKUP(G2160,제품명!$C$1:$E$114,2,0)</f>
        <v>#N/A</v>
      </c>
      <c r="J2160" s="29">
        <f>'Raw data'!K2069</f>
        <v>0</v>
      </c>
      <c r="K2160" s="31">
        <f>'Raw data'!H2069</f>
        <v>0</v>
      </c>
      <c r="L2160" s="26">
        <f t="shared" si="70"/>
        <v>0</v>
      </c>
    </row>
    <row r="2161" spans="2:12">
      <c r="B2161" s="4" t="e">
        <f t="shared" si="69"/>
        <v>#N/A</v>
      </c>
      <c r="C2161" s="4">
        <f>'Raw data'!E1737</f>
        <v>0</v>
      </c>
      <c r="D2161" s="29" t="e">
        <f>VLOOKUP(C2161,'점포코드 '!A:B,2,0)</f>
        <v>#N/A</v>
      </c>
      <c r="E2161" s="30">
        <f>'Raw data'!P1737</f>
        <v>0</v>
      </c>
      <c r="F2161" s="29" t="e">
        <f>VLOOKUP(E2161,'점포코드 '!A:B,2,0)</f>
        <v>#N/A</v>
      </c>
      <c r="G2161" s="46">
        <f>'Raw data'!F2070</f>
        <v>0</v>
      </c>
      <c r="H2161" s="4">
        <f>'Raw data'!G2070</f>
        <v>0</v>
      </c>
      <c r="I2161" s="29" t="e">
        <f>VLOOKUP(G2161,제품명!$C$1:$E$114,2,0)</f>
        <v>#N/A</v>
      </c>
      <c r="J2161" s="29">
        <f>'Raw data'!K2070</f>
        <v>0</v>
      </c>
      <c r="K2161" s="31">
        <f>'Raw data'!H2070</f>
        <v>0</v>
      </c>
      <c r="L2161" s="26">
        <f t="shared" si="70"/>
        <v>0</v>
      </c>
    </row>
    <row r="2162" spans="2:12">
      <c r="B2162" s="4" t="e">
        <f t="shared" si="69"/>
        <v>#N/A</v>
      </c>
      <c r="C2162" s="4">
        <f>'Raw data'!E1738</f>
        <v>0</v>
      </c>
      <c r="D2162" s="29" t="e">
        <f>VLOOKUP(C2162,'점포코드 '!A:B,2,0)</f>
        <v>#N/A</v>
      </c>
      <c r="E2162" s="30">
        <f>'Raw data'!P1738</f>
        <v>0</v>
      </c>
      <c r="F2162" s="29" t="e">
        <f>VLOOKUP(E2162,'점포코드 '!A:B,2,0)</f>
        <v>#N/A</v>
      </c>
      <c r="G2162" s="46">
        <f>'Raw data'!F2071</f>
        <v>0</v>
      </c>
      <c r="H2162" s="4">
        <f>'Raw data'!G2071</f>
        <v>0</v>
      </c>
      <c r="I2162" s="29" t="e">
        <f>VLOOKUP(G2162,제품명!$C$1:$E$114,2,0)</f>
        <v>#N/A</v>
      </c>
      <c r="J2162" s="29">
        <f>'Raw data'!K2071</f>
        <v>0</v>
      </c>
      <c r="K2162" s="31">
        <f>'Raw data'!H2071</f>
        <v>0</v>
      </c>
      <c r="L2162" s="26">
        <f t="shared" si="70"/>
        <v>0</v>
      </c>
    </row>
    <row r="2163" spans="2:12">
      <c r="B2163" s="4" t="e">
        <f t="shared" si="69"/>
        <v>#N/A</v>
      </c>
      <c r="C2163" s="4">
        <f>'Raw data'!E1739</f>
        <v>0</v>
      </c>
      <c r="D2163" s="29" t="e">
        <f>VLOOKUP(C2163,'점포코드 '!A:B,2,0)</f>
        <v>#N/A</v>
      </c>
      <c r="E2163" s="30">
        <f>'Raw data'!P1739</f>
        <v>0</v>
      </c>
      <c r="F2163" s="29" t="e">
        <f>VLOOKUP(E2163,'점포코드 '!A:B,2,0)</f>
        <v>#N/A</v>
      </c>
      <c r="G2163" s="46">
        <f>'Raw data'!F2072</f>
        <v>0</v>
      </c>
      <c r="H2163" s="4">
        <f>'Raw data'!G2072</f>
        <v>0</v>
      </c>
      <c r="I2163" s="29" t="e">
        <f>VLOOKUP(G2163,제품명!$C$1:$E$114,2,0)</f>
        <v>#N/A</v>
      </c>
      <c r="J2163" s="29">
        <f>'Raw data'!K2072</f>
        <v>0</v>
      </c>
      <c r="K2163" s="31">
        <f>'Raw data'!H2072</f>
        <v>0</v>
      </c>
      <c r="L2163" s="26">
        <f t="shared" si="70"/>
        <v>0</v>
      </c>
    </row>
    <row r="2164" spans="2:12">
      <c r="B2164" s="4" t="e">
        <f t="shared" si="69"/>
        <v>#N/A</v>
      </c>
      <c r="C2164" s="4">
        <f>'Raw data'!E1740</f>
        <v>0</v>
      </c>
      <c r="D2164" s="29" t="e">
        <f>VLOOKUP(C2164,'점포코드 '!A:B,2,0)</f>
        <v>#N/A</v>
      </c>
      <c r="E2164" s="30">
        <f>'Raw data'!P1740</f>
        <v>0</v>
      </c>
      <c r="F2164" s="29" t="e">
        <f>VLOOKUP(E2164,'점포코드 '!A:B,2,0)</f>
        <v>#N/A</v>
      </c>
      <c r="G2164" s="46">
        <f>'Raw data'!F2073</f>
        <v>0</v>
      </c>
      <c r="H2164" s="4">
        <f>'Raw data'!G2073</f>
        <v>0</v>
      </c>
      <c r="I2164" s="29" t="e">
        <f>VLOOKUP(G2164,제품명!$C$1:$E$114,2,0)</f>
        <v>#N/A</v>
      </c>
      <c r="J2164" s="29">
        <f>'Raw data'!K2073</f>
        <v>0</v>
      </c>
      <c r="K2164" s="31">
        <f>'Raw data'!H2073</f>
        <v>0</v>
      </c>
      <c r="L2164" s="26">
        <f t="shared" si="70"/>
        <v>0</v>
      </c>
    </row>
    <row r="2165" spans="2:12">
      <c r="B2165" s="4" t="e">
        <f t="shared" si="69"/>
        <v>#N/A</v>
      </c>
      <c r="C2165" s="4">
        <f>'Raw data'!E1741</f>
        <v>0</v>
      </c>
      <c r="D2165" s="29" t="e">
        <f>VLOOKUP(C2165,'점포코드 '!A:B,2,0)</f>
        <v>#N/A</v>
      </c>
      <c r="E2165" s="30">
        <f>'Raw data'!P1741</f>
        <v>0</v>
      </c>
      <c r="F2165" s="29" t="e">
        <f>VLOOKUP(E2165,'점포코드 '!A:B,2,0)</f>
        <v>#N/A</v>
      </c>
      <c r="G2165" s="46">
        <f>'Raw data'!F2074</f>
        <v>0</v>
      </c>
      <c r="H2165" s="4">
        <f>'Raw data'!G2074</f>
        <v>0</v>
      </c>
      <c r="I2165" s="29" t="e">
        <f>VLOOKUP(G2165,제품명!$C$1:$E$114,2,0)</f>
        <v>#N/A</v>
      </c>
      <c r="J2165" s="29">
        <f>'Raw data'!K2074</f>
        <v>0</v>
      </c>
      <c r="K2165" s="31">
        <f>'Raw data'!H2074</f>
        <v>0</v>
      </c>
      <c r="L2165" s="26">
        <f t="shared" si="70"/>
        <v>0</v>
      </c>
    </row>
    <row r="2166" spans="2:12">
      <c r="B2166" s="4" t="e">
        <f t="shared" si="69"/>
        <v>#N/A</v>
      </c>
      <c r="C2166" s="4">
        <f>'Raw data'!E1742</f>
        <v>0</v>
      </c>
      <c r="D2166" s="29" t="e">
        <f>VLOOKUP(C2166,'점포코드 '!A:B,2,0)</f>
        <v>#N/A</v>
      </c>
      <c r="E2166" s="30">
        <f>'Raw data'!P1742</f>
        <v>0</v>
      </c>
      <c r="F2166" s="29" t="e">
        <f>VLOOKUP(E2166,'점포코드 '!A:B,2,0)</f>
        <v>#N/A</v>
      </c>
      <c r="G2166" s="46">
        <f>'Raw data'!F2075</f>
        <v>0</v>
      </c>
      <c r="H2166" s="4">
        <f>'Raw data'!G2075</f>
        <v>0</v>
      </c>
      <c r="I2166" s="29" t="e">
        <f>VLOOKUP(G2166,제품명!$C$1:$E$114,2,0)</f>
        <v>#N/A</v>
      </c>
      <c r="J2166" s="29">
        <f>'Raw data'!K2075</f>
        <v>0</v>
      </c>
      <c r="K2166" s="31">
        <f>'Raw data'!H2075</f>
        <v>0</v>
      </c>
      <c r="L2166" s="26">
        <f t="shared" si="70"/>
        <v>0</v>
      </c>
    </row>
    <row r="2167" spans="2:12">
      <c r="B2167" s="4" t="e">
        <f t="shared" si="69"/>
        <v>#N/A</v>
      </c>
      <c r="C2167" s="4">
        <f>'Raw data'!E1743</f>
        <v>0</v>
      </c>
      <c r="D2167" s="29" t="e">
        <f>VLOOKUP(C2167,'점포코드 '!A:B,2,0)</f>
        <v>#N/A</v>
      </c>
      <c r="E2167" s="30">
        <f>'Raw data'!P1743</f>
        <v>0</v>
      </c>
      <c r="F2167" s="29" t="e">
        <f>VLOOKUP(E2167,'점포코드 '!A:B,2,0)</f>
        <v>#N/A</v>
      </c>
      <c r="G2167" s="46">
        <f>'Raw data'!F2076</f>
        <v>0</v>
      </c>
      <c r="H2167" s="4">
        <f>'Raw data'!G2076</f>
        <v>0</v>
      </c>
      <c r="I2167" s="29" t="e">
        <f>VLOOKUP(G2167,제품명!$C$1:$E$114,2,0)</f>
        <v>#N/A</v>
      </c>
      <c r="J2167" s="29">
        <f>'Raw data'!K2076</f>
        <v>0</v>
      </c>
      <c r="K2167" s="31">
        <f>'Raw data'!H2076</f>
        <v>0</v>
      </c>
      <c r="L2167" s="26">
        <f t="shared" si="70"/>
        <v>0</v>
      </c>
    </row>
    <row r="2168" spans="2:12">
      <c r="B2168" s="4" t="e">
        <f t="shared" si="69"/>
        <v>#N/A</v>
      </c>
      <c r="C2168" s="4">
        <f>'Raw data'!E1744</f>
        <v>0</v>
      </c>
      <c r="D2168" s="29" t="e">
        <f>VLOOKUP(C2168,'점포코드 '!A:B,2,0)</f>
        <v>#N/A</v>
      </c>
      <c r="E2168" s="30">
        <f>'Raw data'!P1744</f>
        <v>0</v>
      </c>
      <c r="F2168" s="29" t="e">
        <f>VLOOKUP(E2168,'점포코드 '!A:B,2,0)</f>
        <v>#N/A</v>
      </c>
      <c r="G2168" s="46">
        <f>'Raw data'!F2077</f>
        <v>0</v>
      </c>
      <c r="H2168" s="4">
        <f>'Raw data'!G2077</f>
        <v>0</v>
      </c>
      <c r="I2168" s="29" t="e">
        <f>VLOOKUP(G2168,제품명!$C$1:$E$114,2,0)</f>
        <v>#N/A</v>
      </c>
      <c r="J2168" s="29">
        <f>'Raw data'!K2077</f>
        <v>0</v>
      </c>
      <c r="K2168" s="31">
        <f>'Raw data'!H2077</f>
        <v>0</v>
      </c>
      <c r="L2168" s="26">
        <f t="shared" si="70"/>
        <v>0</v>
      </c>
    </row>
    <row r="2169" spans="2:12">
      <c r="B2169" s="4" t="e">
        <f t="shared" si="69"/>
        <v>#N/A</v>
      </c>
      <c r="C2169" s="4">
        <f>'Raw data'!E1745</f>
        <v>0</v>
      </c>
      <c r="D2169" s="29" t="e">
        <f>VLOOKUP(C2169,'점포코드 '!A:B,2,0)</f>
        <v>#N/A</v>
      </c>
      <c r="E2169" s="30">
        <f>'Raw data'!P1745</f>
        <v>0</v>
      </c>
      <c r="F2169" s="29" t="e">
        <f>VLOOKUP(E2169,'점포코드 '!A:B,2,0)</f>
        <v>#N/A</v>
      </c>
      <c r="G2169" s="46">
        <f>'Raw data'!F2078</f>
        <v>0</v>
      </c>
      <c r="H2169" s="4">
        <f>'Raw data'!G2078</f>
        <v>0</v>
      </c>
      <c r="I2169" s="29" t="e">
        <f>VLOOKUP(G2169,제품명!$C$1:$E$114,2,0)</f>
        <v>#N/A</v>
      </c>
      <c r="J2169" s="29">
        <f>'Raw data'!K2078</f>
        <v>0</v>
      </c>
      <c r="K2169" s="31">
        <f>'Raw data'!H2078</f>
        <v>0</v>
      </c>
      <c r="L2169" s="26">
        <f t="shared" si="70"/>
        <v>0</v>
      </c>
    </row>
    <row r="2170" spans="2:12">
      <c r="B2170" s="4" t="e">
        <f t="shared" si="69"/>
        <v>#N/A</v>
      </c>
      <c r="C2170" s="4">
        <f>'Raw data'!E1746</f>
        <v>0</v>
      </c>
      <c r="D2170" s="29" t="e">
        <f>VLOOKUP(C2170,'점포코드 '!A:B,2,0)</f>
        <v>#N/A</v>
      </c>
      <c r="E2170" s="30">
        <f>'Raw data'!P1746</f>
        <v>0</v>
      </c>
      <c r="F2170" s="29" t="e">
        <f>VLOOKUP(E2170,'점포코드 '!A:B,2,0)</f>
        <v>#N/A</v>
      </c>
      <c r="G2170" s="46">
        <f>'Raw data'!F2079</f>
        <v>0</v>
      </c>
      <c r="H2170" s="4">
        <f>'Raw data'!G2079</f>
        <v>0</v>
      </c>
      <c r="I2170" s="29" t="e">
        <f>VLOOKUP(G2170,제품명!$C$1:$E$114,2,0)</f>
        <v>#N/A</v>
      </c>
      <c r="J2170" s="29">
        <f>'Raw data'!K2079</f>
        <v>0</v>
      </c>
      <c r="K2170" s="31">
        <f>'Raw data'!H2079</f>
        <v>0</v>
      </c>
      <c r="L2170" s="26">
        <f t="shared" si="70"/>
        <v>0</v>
      </c>
    </row>
    <row r="2171" spans="2:12">
      <c r="B2171" s="4" t="e">
        <f t="shared" si="69"/>
        <v>#N/A</v>
      </c>
      <c r="C2171" s="4">
        <f>'Raw data'!E1747</f>
        <v>0</v>
      </c>
      <c r="D2171" s="29" t="e">
        <f>VLOOKUP(C2171,'점포코드 '!A:B,2,0)</f>
        <v>#N/A</v>
      </c>
      <c r="E2171" s="30">
        <f>'Raw data'!P1747</f>
        <v>0</v>
      </c>
      <c r="F2171" s="29" t="e">
        <f>VLOOKUP(E2171,'점포코드 '!A:B,2,0)</f>
        <v>#N/A</v>
      </c>
      <c r="G2171" s="46">
        <f>'Raw data'!F2080</f>
        <v>0</v>
      </c>
      <c r="H2171" s="4">
        <f>'Raw data'!G2080</f>
        <v>0</v>
      </c>
      <c r="I2171" s="29" t="e">
        <f>VLOOKUP(G2171,제품명!$C$1:$E$114,2,0)</f>
        <v>#N/A</v>
      </c>
      <c r="J2171" s="29">
        <f>'Raw data'!K2080</f>
        <v>0</v>
      </c>
      <c r="K2171" s="31">
        <f>'Raw data'!H2080</f>
        <v>0</v>
      </c>
      <c r="L2171" s="26">
        <f t="shared" si="70"/>
        <v>0</v>
      </c>
    </row>
    <row r="2172" spans="2:12">
      <c r="B2172" s="4" t="e">
        <f t="shared" si="69"/>
        <v>#N/A</v>
      </c>
      <c r="C2172" s="4">
        <f>'Raw data'!E1748</f>
        <v>0</v>
      </c>
      <c r="D2172" s="29" t="e">
        <f>VLOOKUP(C2172,'점포코드 '!A:B,2,0)</f>
        <v>#N/A</v>
      </c>
      <c r="E2172" s="30">
        <f>'Raw data'!P1748</f>
        <v>0</v>
      </c>
      <c r="F2172" s="29" t="e">
        <f>VLOOKUP(E2172,'점포코드 '!A:B,2,0)</f>
        <v>#N/A</v>
      </c>
      <c r="G2172" s="46">
        <f>'Raw data'!F2081</f>
        <v>0</v>
      </c>
      <c r="H2172" s="4">
        <f>'Raw data'!G2081</f>
        <v>0</v>
      </c>
      <c r="I2172" s="29" t="e">
        <f>VLOOKUP(G2172,제품명!$C$1:$E$114,2,0)</f>
        <v>#N/A</v>
      </c>
      <c r="J2172" s="29">
        <f>'Raw data'!K2081</f>
        <v>0</v>
      </c>
      <c r="K2172" s="31">
        <f>'Raw data'!H2081</f>
        <v>0</v>
      </c>
      <c r="L2172" s="26">
        <f t="shared" si="70"/>
        <v>0</v>
      </c>
    </row>
    <row r="2173" spans="2:12">
      <c r="B2173" s="4" t="e">
        <f t="shared" si="69"/>
        <v>#N/A</v>
      </c>
      <c r="C2173" s="4">
        <f>'Raw data'!E1749</f>
        <v>0</v>
      </c>
      <c r="D2173" s="29" t="e">
        <f>VLOOKUP(C2173,'점포코드 '!A:B,2,0)</f>
        <v>#N/A</v>
      </c>
      <c r="E2173" s="30">
        <f>'Raw data'!P1749</f>
        <v>0</v>
      </c>
      <c r="F2173" s="29" t="e">
        <f>VLOOKUP(E2173,'점포코드 '!A:B,2,0)</f>
        <v>#N/A</v>
      </c>
      <c r="G2173" s="46">
        <f>'Raw data'!F2082</f>
        <v>0</v>
      </c>
      <c r="H2173" s="4">
        <f>'Raw data'!G2082</f>
        <v>0</v>
      </c>
      <c r="I2173" s="29" t="e">
        <f>VLOOKUP(G2173,제품명!$C$1:$E$114,2,0)</f>
        <v>#N/A</v>
      </c>
      <c r="J2173" s="29">
        <f>'Raw data'!K2082</f>
        <v>0</v>
      </c>
      <c r="K2173" s="31">
        <f>'Raw data'!H2082</f>
        <v>0</v>
      </c>
      <c r="L2173" s="26">
        <f t="shared" si="70"/>
        <v>0</v>
      </c>
    </row>
    <row r="2174" spans="2:12">
      <c r="B2174" s="4" t="e">
        <f t="shared" si="69"/>
        <v>#N/A</v>
      </c>
      <c r="C2174" s="4">
        <f>'Raw data'!E1750</f>
        <v>0</v>
      </c>
      <c r="D2174" s="29" t="e">
        <f>VLOOKUP(C2174,'점포코드 '!A:B,2,0)</f>
        <v>#N/A</v>
      </c>
      <c r="E2174" s="30">
        <f>'Raw data'!P1750</f>
        <v>0</v>
      </c>
      <c r="F2174" s="29" t="e">
        <f>VLOOKUP(E2174,'점포코드 '!A:B,2,0)</f>
        <v>#N/A</v>
      </c>
      <c r="G2174" s="46">
        <f>'Raw data'!F2083</f>
        <v>0</v>
      </c>
      <c r="H2174" s="4">
        <f>'Raw data'!G2083</f>
        <v>0</v>
      </c>
      <c r="I2174" s="29" t="e">
        <f>VLOOKUP(G2174,제품명!$C$1:$E$114,2,0)</f>
        <v>#N/A</v>
      </c>
      <c r="J2174" s="29">
        <f>'Raw data'!K2083</f>
        <v>0</v>
      </c>
      <c r="K2174" s="31">
        <f>'Raw data'!H2083</f>
        <v>0</v>
      </c>
      <c r="L2174" s="26">
        <f t="shared" si="70"/>
        <v>0</v>
      </c>
    </row>
    <row r="2175" spans="2:12">
      <c r="B2175" s="4" t="e">
        <f t="shared" si="69"/>
        <v>#N/A</v>
      </c>
      <c r="C2175" s="4">
        <f>'Raw data'!E1751</f>
        <v>0</v>
      </c>
      <c r="D2175" s="29" t="e">
        <f>VLOOKUP(C2175,'점포코드 '!A:B,2,0)</f>
        <v>#N/A</v>
      </c>
      <c r="E2175" s="30">
        <f>'Raw data'!P1751</f>
        <v>0</v>
      </c>
      <c r="F2175" s="29" t="e">
        <f>VLOOKUP(E2175,'점포코드 '!A:B,2,0)</f>
        <v>#N/A</v>
      </c>
      <c r="G2175" s="46">
        <f>'Raw data'!F2084</f>
        <v>0</v>
      </c>
      <c r="H2175" s="4">
        <f>'Raw data'!G2084</f>
        <v>0</v>
      </c>
      <c r="I2175" s="29" t="e">
        <f>VLOOKUP(G2175,제품명!$C$1:$E$114,2,0)</f>
        <v>#N/A</v>
      </c>
      <c r="J2175" s="29">
        <f>'Raw data'!K2084</f>
        <v>0</v>
      </c>
      <c r="K2175" s="31">
        <f>'Raw data'!H2084</f>
        <v>0</v>
      </c>
      <c r="L2175" s="26">
        <f t="shared" si="70"/>
        <v>0</v>
      </c>
    </row>
    <row r="2176" spans="2:12">
      <c r="B2176" s="4" t="e">
        <f t="shared" si="69"/>
        <v>#N/A</v>
      </c>
      <c r="C2176" s="4">
        <f>'Raw data'!E1752</f>
        <v>0</v>
      </c>
      <c r="D2176" s="29" t="e">
        <f>VLOOKUP(C2176,'점포코드 '!A:B,2,0)</f>
        <v>#N/A</v>
      </c>
      <c r="E2176" s="30">
        <f>'Raw data'!P1752</f>
        <v>0</v>
      </c>
      <c r="F2176" s="29" t="e">
        <f>VLOOKUP(E2176,'점포코드 '!A:B,2,0)</f>
        <v>#N/A</v>
      </c>
      <c r="G2176" s="46">
        <f>'Raw data'!F2085</f>
        <v>0</v>
      </c>
      <c r="H2176" s="4">
        <f>'Raw data'!G2085</f>
        <v>0</v>
      </c>
      <c r="I2176" s="29" t="e">
        <f>VLOOKUP(G2176,제품명!$C$1:$E$114,2,0)</f>
        <v>#N/A</v>
      </c>
      <c r="J2176" s="29">
        <f>'Raw data'!K2085</f>
        <v>0</v>
      </c>
      <c r="K2176" s="31">
        <f>'Raw data'!H2085</f>
        <v>0</v>
      </c>
      <c r="L2176" s="26">
        <f t="shared" si="70"/>
        <v>0</v>
      </c>
    </row>
    <row r="2177" spans="2:12">
      <c r="B2177" s="4" t="e">
        <f t="shared" si="69"/>
        <v>#N/A</v>
      </c>
      <c r="C2177" s="4">
        <f>'Raw data'!E1753</f>
        <v>0</v>
      </c>
      <c r="D2177" s="29" t="e">
        <f>VLOOKUP(C2177,'점포코드 '!A:B,2,0)</f>
        <v>#N/A</v>
      </c>
      <c r="E2177" s="30">
        <f>'Raw data'!P1753</f>
        <v>0</v>
      </c>
      <c r="F2177" s="29" t="e">
        <f>VLOOKUP(E2177,'점포코드 '!A:B,2,0)</f>
        <v>#N/A</v>
      </c>
      <c r="G2177" s="46">
        <f>'Raw data'!F2086</f>
        <v>0</v>
      </c>
      <c r="H2177" s="4">
        <f>'Raw data'!G2086</f>
        <v>0</v>
      </c>
      <c r="I2177" s="29" t="e">
        <f>VLOOKUP(G2177,제품명!$C$1:$E$114,2,0)</f>
        <v>#N/A</v>
      </c>
      <c r="J2177" s="29">
        <f>'Raw data'!K2086</f>
        <v>0</v>
      </c>
      <c r="K2177" s="31">
        <f>'Raw data'!H2086</f>
        <v>0</v>
      </c>
      <c r="L2177" s="26">
        <f t="shared" si="70"/>
        <v>0</v>
      </c>
    </row>
    <row r="2178" spans="2:12">
      <c r="B2178" s="4" t="e">
        <f t="shared" ref="B2178:B2241" si="71">F2178&amp;I2178</f>
        <v>#N/A</v>
      </c>
      <c r="C2178" s="4">
        <f>'Raw data'!E1754</f>
        <v>0</v>
      </c>
      <c r="D2178" s="29" t="e">
        <f>VLOOKUP(C2178,'점포코드 '!A:B,2,0)</f>
        <v>#N/A</v>
      </c>
      <c r="E2178" s="30">
        <f>'Raw data'!P1754</f>
        <v>0</v>
      </c>
      <c r="F2178" s="29" t="e">
        <f>VLOOKUP(E2178,'점포코드 '!A:B,2,0)</f>
        <v>#N/A</v>
      </c>
      <c r="G2178" s="46">
        <f>'Raw data'!F2087</f>
        <v>0</v>
      </c>
      <c r="H2178" s="4">
        <f>'Raw data'!G2087</f>
        <v>0</v>
      </c>
      <c r="I2178" s="29" t="e">
        <f>VLOOKUP(G2178,제품명!$C$1:$E$114,2,0)</f>
        <v>#N/A</v>
      </c>
      <c r="J2178" s="29">
        <f>'Raw data'!K2087</f>
        <v>0</v>
      </c>
      <c r="K2178" s="31">
        <f>'Raw data'!H2087</f>
        <v>0</v>
      </c>
      <c r="L2178" s="26">
        <f t="shared" si="70"/>
        <v>0</v>
      </c>
    </row>
    <row r="2179" spans="2:12">
      <c r="B2179" s="4" t="e">
        <f t="shared" si="71"/>
        <v>#N/A</v>
      </c>
      <c r="C2179" s="4">
        <f>'Raw data'!E1755</f>
        <v>0</v>
      </c>
      <c r="D2179" s="29" t="e">
        <f>VLOOKUP(C2179,'점포코드 '!A:B,2,0)</f>
        <v>#N/A</v>
      </c>
      <c r="E2179" s="30">
        <f>'Raw data'!P1755</f>
        <v>0</v>
      </c>
      <c r="F2179" s="29" t="e">
        <f>VLOOKUP(E2179,'점포코드 '!A:B,2,0)</f>
        <v>#N/A</v>
      </c>
      <c r="G2179" s="46">
        <f>'Raw data'!F2088</f>
        <v>0</v>
      </c>
      <c r="H2179" s="4">
        <f>'Raw data'!G2088</f>
        <v>0</v>
      </c>
      <c r="I2179" s="29" t="e">
        <f>VLOOKUP(G2179,제품명!$C$1:$E$114,2,0)</f>
        <v>#N/A</v>
      </c>
      <c r="J2179" s="29">
        <f>'Raw data'!K2088</f>
        <v>0</v>
      </c>
      <c r="K2179" s="31">
        <f>'Raw data'!H2088</f>
        <v>0</v>
      </c>
      <c r="L2179" s="26">
        <f t="shared" ref="L2179:L2242" si="72">J2179*K2179</f>
        <v>0</v>
      </c>
    </row>
    <row r="2180" spans="2:12">
      <c r="B2180" s="4" t="e">
        <f t="shared" si="71"/>
        <v>#N/A</v>
      </c>
      <c r="C2180" s="4">
        <f>'Raw data'!E1756</f>
        <v>0</v>
      </c>
      <c r="D2180" s="29" t="e">
        <f>VLOOKUP(C2180,'점포코드 '!A:B,2,0)</f>
        <v>#N/A</v>
      </c>
      <c r="E2180" s="30">
        <f>'Raw data'!P1756</f>
        <v>0</v>
      </c>
      <c r="F2180" s="29" t="e">
        <f>VLOOKUP(E2180,'점포코드 '!A:B,2,0)</f>
        <v>#N/A</v>
      </c>
      <c r="G2180" s="46">
        <f>'Raw data'!F2089</f>
        <v>0</v>
      </c>
      <c r="H2180" s="4">
        <f>'Raw data'!G2089</f>
        <v>0</v>
      </c>
      <c r="I2180" s="29" t="e">
        <f>VLOOKUP(G2180,제품명!$C$1:$E$114,2,0)</f>
        <v>#N/A</v>
      </c>
      <c r="J2180" s="29">
        <f>'Raw data'!K2089</f>
        <v>0</v>
      </c>
      <c r="K2180" s="31">
        <f>'Raw data'!H2089</f>
        <v>0</v>
      </c>
      <c r="L2180" s="26">
        <f t="shared" si="72"/>
        <v>0</v>
      </c>
    </row>
    <row r="2181" spans="2:12">
      <c r="B2181" s="4" t="e">
        <f t="shared" si="71"/>
        <v>#N/A</v>
      </c>
      <c r="C2181" s="4">
        <f>'Raw data'!E1757</f>
        <v>0</v>
      </c>
      <c r="D2181" s="29" t="e">
        <f>VLOOKUP(C2181,'점포코드 '!A:B,2,0)</f>
        <v>#N/A</v>
      </c>
      <c r="E2181" s="30">
        <f>'Raw data'!P1757</f>
        <v>0</v>
      </c>
      <c r="F2181" s="29" t="e">
        <f>VLOOKUP(E2181,'점포코드 '!A:B,2,0)</f>
        <v>#N/A</v>
      </c>
      <c r="G2181" s="46">
        <f>'Raw data'!F2090</f>
        <v>0</v>
      </c>
      <c r="H2181" s="4">
        <f>'Raw data'!G2090</f>
        <v>0</v>
      </c>
      <c r="I2181" s="29" t="e">
        <f>VLOOKUP(G2181,제품명!$C$1:$E$114,2,0)</f>
        <v>#N/A</v>
      </c>
      <c r="J2181" s="29">
        <f>'Raw data'!K2090</f>
        <v>0</v>
      </c>
      <c r="K2181" s="31">
        <f>'Raw data'!H2090</f>
        <v>0</v>
      </c>
      <c r="L2181" s="26">
        <f t="shared" si="72"/>
        <v>0</v>
      </c>
    </row>
    <row r="2182" spans="2:12">
      <c r="B2182" s="4" t="e">
        <f t="shared" si="71"/>
        <v>#N/A</v>
      </c>
      <c r="C2182" s="4">
        <f>'Raw data'!E1758</f>
        <v>0</v>
      </c>
      <c r="D2182" s="29" t="e">
        <f>VLOOKUP(C2182,'점포코드 '!A:B,2,0)</f>
        <v>#N/A</v>
      </c>
      <c r="E2182" s="30">
        <f>'Raw data'!P1758</f>
        <v>0</v>
      </c>
      <c r="F2182" s="29" t="e">
        <f>VLOOKUP(E2182,'점포코드 '!A:B,2,0)</f>
        <v>#N/A</v>
      </c>
      <c r="G2182" s="46">
        <f>'Raw data'!F2091</f>
        <v>0</v>
      </c>
      <c r="H2182" s="4">
        <f>'Raw data'!G2091</f>
        <v>0</v>
      </c>
      <c r="I2182" s="29" t="e">
        <f>VLOOKUP(G2182,제품명!$C$1:$E$114,2,0)</f>
        <v>#N/A</v>
      </c>
      <c r="J2182" s="29">
        <f>'Raw data'!K2091</f>
        <v>0</v>
      </c>
      <c r="K2182" s="31">
        <f>'Raw data'!H2091</f>
        <v>0</v>
      </c>
      <c r="L2182" s="26">
        <f t="shared" si="72"/>
        <v>0</v>
      </c>
    </row>
    <row r="2183" spans="2:12">
      <c r="B2183" s="4" t="e">
        <f t="shared" si="71"/>
        <v>#N/A</v>
      </c>
      <c r="C2183" s="4">
        <f>'Raw data'!E1759</f>
        <v>0</v>
      </c>
      <c r="D2183" s="29" t="e">
        <f>VLOOKUP(C2183,'점포코드 '!A:B,2,0)</f>
        <v>#N/A</v>
      </c>
      <c r="E2183" s="30">
        <f>'Raw data'!P1759</f>
        <v>0</v>
      </c>
      <c r="F2183" s="29" t="e">
        <f>VLOOKUP(E2183,'점포코드 '!A:B,2,0)</f>
        <v>#N/A</v>
      </c>
      <c r="G2183" s="46">
        <f>'Raw data'!F2092</f>
        <v>0</v>
      </c>
      <c r="H2183" s="4">
        <f>'Raw data'!G2092</f>
        <v>0</v>
      </c>
      <c r="I2183" s="29" t="e">
        <f>VLOOKUP(G2183,제품명!$C$1:$E$114,2,0)</f>
        <v>#N/A</v>
      </c>
      <c r="J2183" s="29">
        <f>'Raw data'!K2092</f>
        <v>0</v>
      </c>
      <c r="K2183" s="31">
        <f>'Raw data'!H2092</f>
        <v>0</v>
      </c>
      <c r="L2183" s="26">
        <f t="shared" si="72"/>
        <v>0</v>
      </c>
    </row>
    <row r="2184" spans="2:12">
      <c r="B2184" s="4" t="e">
        <f t="shared" si="71"/>
        <v>#N/A</v>
      </c>
      <c r="C2184" s="4">
        <f>'Raw data'!E1760</f>
        <v>0</v>
      </c>
      <c r="D2184" s="29" t="e">
        <f>VLOOKUP(C2184,'점포코드 '!A:B,2,0)</f>
        <v>#N/A</v>
      </c>
      <c r="E2184" s="30">
        <f>'Raw data'!P1760</f>
        <v>0</v>
      </c>
      <c r="F2184" s="29" t="e">
        <f>VLOOKUP(E2184,'점포코드 '!A:B,2,0)</f>
        <v>#N/A</v>
      </c>
      <c r="G2184" s="46">
        <f>'Raw data'!F2093</f>
        <v>0</v>
      </c>
      <c r="H2184" s="4">
        <f>'Raw data'!G2093</f>
        <v>0</v>
      </c>
      <c r="I2184" s="29" t="e">
        <f>VLOOKUP(G2184,제품명!$C$1:$E$114,2,0)</f>
        <v>#N/A</v>
      </c>
      <c r="J2184" s="29">
        <f>'Raw data'!K2093</f>
        <v>0</v>
      </c>
      <c r="K2184" s="31">
        <f>'Raw data'!H2093</f>
        <v>0</v>
      </c>
      <c r="L2184" s="26">
        <f t="shared" si="72"/>
        <v>0</v>
      </c>
    </row>
    <row r="2185" spans="2:12">
      <c r="B2185" s="4" t="e">
        <f t="shared" si="71"/>
        <v>#N/A</v>
      </c>
      <c r="C2185" s="4">
        <f>'Raw data'!E1761</f>
        <v>0</v>
      </c>
      <c r="D2185" s="29" t="e">
        <f>VLOOKUP(C2185,'점포코드 '!A:B,2,0)</f>
        <v>#N/A</v>
      </c>
      <c r="E2185" s="30">
        <f>'Raw data'!P1761</f>
        <v>0</v>
      </c>
      <c r="F2185" s="29" t="e">
        <f>VLOOKUP(E2185,'점포코드 '!A:B,2,0)</f>
        <v>#N/A</v>
      </c>
      <c r="G2185" s="46">
        <f>'Raw data'!F2094</f>
        <v>0</v>
      </c>
      <c r="H2185" s="4">
        <f>'Raw data'!G2094</f>
        <v>0</v>
      </c>
      <c r="I2185" s="29" t="e">
        <f>VLOOKUP(G2185,제품명!$C$1:$E$114,2,0)</f>
        <v>#N/A</v>
      </c>
      <c r="J2185" s="29">
        <f>'Raw data'!K2094</f>
        <v>0</v>
      </c>
      <c r="K2185" s="31">
        <f>'Raw data'!H2094</f>
        <v>0</v>
      </c>
      <c r="L2185" s="26">
        <f t="shared" si="72"/>
        <v>0</v>
      </c>
    </row>
    <row r="2186" spans="2:12">
      <c r="B2186" s="4" t="e">
        <f t="shared" si="71"/>
        <v>#N/A</v>
      </c>
      <c r="C2186" s="4">
        <f>'Raw data'!E1762</f>
        <v>0</v>
      </c>
      <c r="D2186" s="29" t="e">
        <f>VLOOKUP(C2186,'점포코드 '!A:B,2,0)</f>
        <v>#N/A</v>
      </c>
      <c r="E2186" s="30">
        <f>'Raw data'!P1762</f>
        <v>0</v>
      </c>
      <c r="F2186" s="29" t="e">
        <f>VLOOKUP(E2186,'점포코드 '!A:B,2,0)</f>
        <v>#N/A</v>
      </c>
      <c r="G2186" s="46">
        <f>'Raw data'!F2095</f>
        <v>0</v>
      </c>
      <c r="H2186" s="4">
        <f>'Raw data'!G2095</f>
        <v>0</v>
      </c>
      <c r="I2186" s="29" t="e">
        <f>VLOOKUP(G2186,제품명!$C$1:$E$114,2,0)</f>
        <v>#N/A</v>
      </c>
      <c r="J2186" s="29">
        <f>'Raw data'!K2095</f>
        <v>0</v>
      </c>
      <c r="K2186" s="31">
        <f>'Raw data'!H2095</f>
        <v>0</v>
      </c>
      <c r="L2186" s="26">
        <f t="shared" si="72"/>
        <v>0</v>
      </c>
    </row>
    <row r="2187" spans="2:12">
      <c r="B2187" s="4" t="e">
        <f t="shared" si="71"/>
        <v>#N/A</v>
      </c>
      <c r="C2187" s="4">
        <f>'Raw data'!E1763</f>
        <v>0</v>
      </c>
      <c r="D2187" s="29" t="e">
        <f>VLOOKUP(C2187,'점포코드 '!A:B,2,0)</f>
        <v>#N/A</v>
      </c>
      <c r="E2187" s="30">
        <f>'Raw data'!P1763</f>
        <v>0</v>
      </c>
      <c r="F2187" s="29" t="e">
        <f>VLOOKUP(E2187,'점포코드 '!A:B,2,0)</f>
        <v>#N/A</v>
      </c>
      <c r="G2187" s="46">
        <f>'Raw data'!F2096</f>
        <v>0</v>
      </c>
      <c r="H2187" s="4">
        <f>'Raw data'!G2096</f>
        <v>0</v>
      </c>
      <c r="I2187" s="29" t="e">
        <f>VLOOKUP(G2187,제품명!$C$1:$E$114,2,0)</f>
        <v>#N/A</v>
      </c>
      <c r="J2187" s="29">
        <f>'Raw data'!K2096</f>
        <v>0</v>
      </c>
      <c r="K2187" s="31">
        <f>'Raw data'!H2096</f>
        <v>0</v>
      </c>
      <c r="L2187" s="26">
        <f t="shared" si="72"/>
        <v>0</v>
      </c>
    </row>
    <row r="2188" spans="2:12">
      <c r="B2188" s="4" t="e">
        <f t="shared" si="71"/>
        <v>#N/A</v>
      </c>
      <c r="C2188" s="4">
        <f>'Raw data'!E1764</f>
        <v>0</v>
      </c>
      <c r="D2188" s="29" t="e">
        <f>VLOOKUP(C2188,'점포코드 '!A:B,2,0)</f>
        <v>#N/A</v>
      </c>
      <c r="E2188" s="30">
        <f>'Raw data'!P1764</f>
        <v>0</v>
      </c>
      <c r="F2188" s="29" t="e">
        <f>VLOOKUP(E2188,'점포코드 '!A:B,2,0)</f>
        <v>#N/A</v>
      </c>
      <c r="G2188" s="46">
        <f>'Raw data'!F2097</f>
        <v>0</v>
      </c>
      <c r="H2188" s="4">
        <f>'Raw data'!G2097</f>
        <v>0</v>
      </c>
      <c r="I2188" s="29" t="e">
        <f>VLOOKUP(G2188,제품명!$C$1:$E$114,2,0)</f>
        <v>#N/A</v>
      </c>
      <c r="J2188" s="29">
        <f>'Raw data'!K2097</f>
        <v>0</v>
      </c>
      <c r="K2188" s="31">
        <f>'Raw data'!H2097</f>
        <v>0</v>
      </c>
      <c r="L2188" s="26">
        <f t="shared" si="72"/>
        <v>0</v>
      </c>
    </row>
    <row r="2189" spans="2:12">
      <c r="B2189" s="4" t="e">
        <f t="shared" si="71"/>
        <v>#N/A</v>
      </c>
      <c r="C2189" s="4">
        <f>'Raw data'!E1765</f>
        <v>0</v>
      </c>
      <c r="D2189" s="29" t="e">
        <f>VLOOKUP(C2189,'점포코드 '!A:B,2,0)</f>
        <v>#N/A</v>
      </c>
      <c r="E2189" s="30">
        <f>'Raw data'!P1765</f>
        <v>0</v>
      </c>
      <c r="F2189" s="29" t="e">
        <f>VLOOKUP(E2189,'점포코드 '!A:B,2,0)</f>
        <v>#N/A</v>
      </c>
      <c r="G2189" s="46">
        <f>'Raw data'!F2098</f>
        <v>0</v>
      </c>
      <c r="H2189" s="4">
        <f>'Raw data'!G2098</f>
        <v>0</v>
      </c>
      <c r="I2189" s="29" t="e">
        <f>VLOOKUP(G2189,제품명!$C$1:$E$114,2,0)</f>
        <v>#N/A</v>
      </c>
      <c r="J2189" s="29">
        <f>'Raw data'!K2098</f>
        <v>0</v>
      </c>
      <c r="K2189" s="31">
        <f>'Raw data'!H2098</f>
        <v>0</v>
      </c>
      <c r="L2189" s="26">
        <f t="shared" si="72"/>
        <v>0</v>
      </c>
    </row>
    <row r="2190" spans="2:12">
      <c r="B2190" s="4" t="e">
        <f t="shared" si="71"/>
        <v>#N/A</v>
      </c>
      <c r="C2190" s="4">
        <f>'Raw data'!E1766</f>
        <v>0</v>
      </c>
      <c r="D2190" s="29" t="e">
        <f>VLOOKUP(C2190,'점포코드 '!A:B,2,0)</f>
        <v>#N/A</v>
      </c>
      <c r="E2190" s="30">
        <f>'Raw data'!P1766</f>
        <v>0</v>
      </c>
      <c r="F2190" s="29" t="e">
        <f>VLOOKUP(E2190,'점포코드 '!A:B,2,0)</f>
        <v>#N/A</v>
      </c>
      <c r="G2190" s="46">
        <f>'Raw data'!F2099</f>
        <v>0</v>
      </c>
      <c r="H2190" s="4">
        <f>'Raw data'!G2099</f>
        <v>0</v>
      </c>
      <c r="I2190" s="29" t="e">
        <f>VLOOKUP(G2190,제품명!$C$1:$E$114,2,0)</f>
        <v>#N/A</v>
      </c>
      <c r="J2190" s="29">
        <f>'Raw data'!K2099</f>
        <v>0</v>
      </c>
      <c r="K2190" s="31">
        <f>'Raw data'!H2099</f>
        <v>0</v>
      </c>
      <c r="L2190" s="26">
        <f t="shared" si="72"/>
        <v>0</v>
      </c>
    </row>
    <row r="2191" spans="2:12">
      <c r="B2191" s="4" t="e">
        <f t="shared" si="71"/>
        <v>#N/A</v>
      </c>
      <c r="C2191" s="4">
        <f>'Raw data'!E1767</f>
        <v>0</v>
      </c>
      <c r="D2191" s="29" t="e">
        <f>VLOOKUP(C2191,'점포코드 '!A:B,2,0)</f>
        <v>#N/A</v>
      </c>
      <c r="E2191" s="30">
        <f>'Raw data'!P1767</f>
        <v>0</v>
      </c>
      <c r="F2191" s="29" t="e">
        <f>VLOOKUP(E2191,'점포코드 '!A:B,2,0)</f>
        <v>#N/A</v>
      </c>
      <c r="G2191" s="46">
        <f>'Raw data'!F2100</f>
        <v>0</v>
      </c>
      <c r="H2191" s="4">
        <f>'Raw data'!G2100</f>
        <v>0</v>
      </c>
      <c r="I2191" s="29" t="e">
        <f>VLOOKUP(G2191,제품명!$C$1:$E$114,2,0)</f>
        <v>#N/A</v>
      </c>
      <c r="J2191" s="29">
        <f>'Raw data'!K2100</f>
        <v>0</v>
      </c>
      <c r="K2191" s="31">
        <f>'Raw data'!H2100</f>
        <v>0</v>
      </c>
      <c r="L2191" s="26">
        <f t="shared" si="72"/>
        <v>0</v>
      </c>
    </row>
    <row r="2192" spans="2:12">
      <c r="B2192" s="4" t="e">
        <f t="shared" si="71"/>
        <v>#N/A</v>
      </c>
      <c r="C2192" s="4">
        <f>'Raw data'!E1768</f>
        <v>0</v>
      </c>
      <c r="D2192" s="29" t="e">
        <f>VLOOKUP(C2192,'점포코드 '!A:B,2,0)</f>
        <v>#N/A</v>
      </c>
      <c r="E2192" s="30">
        <f>'Raw data'!P1768</f>
        <v>0</v>
      </c>
      <c r="F2192" s="29" t="e">
        <f>VLOOKUP(E2192,'점포코드 '!A:B,2,0)</f>
        <v>#N/A</v>
      </c>
      <c r="G2192" s="46">
        <f>'Raw data'!F2101</f>
        <v>0</v>
      </c>
      <c r="H2192" s="4">
        <f>'Raw data'!G2101</f>
        <v>0</v>
      </c>
      <c r="I2192" s="29" t="e">
        <f>VLOOKUP(G2192,제품명!$C$1:$E$114,2,0)</f>
        <v>#N/A</v>
      </c>
      <c r="J2192" s="29">
        <f>'Raw data'!K2101</f>
        <v>0</v>
      </c>
      <c r="K2192" s="31">
        <f>'Raw data'!H2101</f>
        <v>0</v>
      </c>
      <c r="L2192" s="26">
        <f t="shared" si="72"/>
        <v>0</v>
      </c>
    </row>
    <row r="2193" spans="2:12">
      <c r="B2193" s="4" t="e">
        <f t="shared" si="71"/>
        <v>#N/A</v>
      </c>
      <c r="C2193" s="4">
        <f>'Raw data'!E1769</f>
        <v>0</v>
      </c>
      <c r="D2193" s="29" t="e">
        <f>VLOOKUP(C2193,'점포코드 '!A:B,2,0)</f>
        <v>#N/A</v>
      </c>
      <c r="E2193" s="30">
        <f>'Raw data'!P1769</f>
        <v>0</v>
      </c>
      <c r="F2193" s="29" t="e">
        <f>VLOOKUP(E2193,'점포코드 '!A:B,2,0)</f>
        <v>#N/A</v>
      </c>
      <c r="G2193" s="46">
        <f>'Raw data'!F2102</f>
        <v>0</v>
      </c>
      <c r="H2193" s="4">
        <f>'Raw data'!G2102</f>
        <v>0</v>
      </c>
      <c r="I2193" s="29" t="e">
        <f>VLOOKUP(G2193,제품명!$C$1:$E$114,2,0)</f>
        <v>#N/A</v>
      </c>
      <c r="J2193" s="29">
        <f>'Raw data'!K2102</f>
        <v>0</v>
      </c>
      <c r="K2193" s="31">
        <f>'Raw data'!H2102</f>
        <v>0</v>
      </c>
      <c r="L2193" s="26">
        <f t="shared" si="72"/>
        <v>0</v>
      </c>
    </row>
    <row r="2194" spans="2:12">
      <c r="B2194" s="4" t="e">
        <f t="shared" si="71"/>
        <v>#N/A</v>
      </c>
      <c r="C2194" s="4">
        <f>'Raw data'!E1770</f>
        <v>0</v>
      </c>
      <c r="D2194" s="29" t="e">
        <f>VLOOKUP(C2194,'점포코드 '!A:B,2,0)</f>
        <v>#N/A</v>
      </c>
      <c r="E2194" s="30">
        <f>'Raw data'!P1770</f>
        <v>0</v>
      </c>
      <c r="F2194" s="29" t="e">
        <f>VLOOKUP(E2194,'점포코드 '!A:B,2,0)</f>
        <v>#N/A</v>
      </c>
      <c r="G2194" s="46">
        <f>'Raw data'!F2103</f>
        <v>0</v>
      </c>
      <c r="H2194" s="4">
        <f>'Raw data'!G2103</f>
        <v>0</v>
      </c>
      <c r="I2194" s="29" t="e">
        <f>VLOOKUP(G2194,제품명!$C$1:$E$114,2,0)</f>
        <v>#N/A</v>
      </c>
      <c r="J2194" s="29">
        <f>'Raw data'!K2103</f>
        <v>0</v>
      </c>
      <c r="K2194" s="31">
        <f>'Raw data'!H2103</f>
        <v>0</v>
      </c>
      <c r="L2194" s="26">
        <f t="shared" si="72"/>
        <v>0</v>
      </c>
    </row>
    <row r="2195" spans="2:12">
      <c r="B2195" s="4" t="e">
        <f t="shared" si="71"/>
        <v>#N/A</v>
      </c>
      <c r="C2195" s="4">
        <f>'Raw data'!E1771</f>
        <v>0</v>
      </c>
      <c r="D2195" s="29" t="e">
        <f>VLOOKUP(C2195,'점포코드 '!A:B,2,0)</f>
        <v>#N/A</v>
      </c>
      <c r="E2195" s="30">
        <f>'Raw data'!P1771</f>
        <v>0</v>
      </c>
      <c r="F2195" s="29" t="e">
        <f>VLOOKUP(E2195,'점포코드 '!A:B,2,0)</f>
        <v>#N/A</v>
      </c>
      <c r="G2195" s="46">
        <f>'Raw data'!F2104</f>
        <v>0</v>
      </c>
      <c r="H2195" s="4">
        <f>'Raw data'!G2104</f>
        <v>0</v>
      </c>
      <c r="I2195" s="29" t="e">
        <f>VLOOKUP(G2195,제품명!$C$1:$E$114,2,0)</f>
        <v>#N/A</v>
      </c>
      <c r="J2195" s="29">
        <f>'Raw data'!K2104</f>
        <v>0</v>
      </c>
      <c r="K2195" s="31">
        <f>'Raw data'!H2104</f>
        <v>0</v>
      </c>
      <c r="L2195" s="26">
        <f t="shared" si="72"/>
        <v>0</v>
      </c>
    </row>
    <row r="2196" spans="2:12">
      <c r="B2196" s="4" t="e">
        <f t="shared" si="71"/>
        <v>#N/A</v>
      </c>
      <c r="C2196" s="4">
        <f>'Raw data'!E1772</f>
        <v>0</v>
      </c>
      <c r="D2196" s="29" t="e">
        <f>VLOOKUP(C2196,'점포코드 '!A:B,2,0)</f>
        <v>#N/A</v>
      </c>
      <c r="E2196" s="30">
        <f>'Raw data'!P1772</f>
        <v>0</v>
      </c>
      <c r="F2196" s="29" t="e">
        <f>VLOOKUP(E2196,'점포코드 '!A:B,2,0)</f>
        <v>#N/A</v>
      </c>
      <c r="G2196" s="46">
        <f>'Raw data'!F2105</f>
        <v>0</v>
      </c>
      <c r="H2196" s="4">
        <f>'Raw data'!G2105</f>
        <v>0</v>
      </c>
      <c r="I2196" s="29" t="e">
        <f>VLOOKUP(G2196,제품명!$C$1:$E$114,2,0)</f>
        <v>#N/A</v>
      </c>
      <c r="J2196" s="29">
        <f>'Raw data'!K2105</f>
        <v>0</v>
      </c>
      <c r="K2196" s="31">
        <f>'Raw data'!H2105</f>
        <v>0</v>
      </c>
      <c r="L2196" s="26">
        <f t="shared" si="72"/>
        <v>0</v>
      </c>
    </row>
    <row r="2197" spans="2:12">
      <c r="B2197" s="4" t="e">
        <f t="shared" si="71"/>
        <v>#N/A</v>
      </c>
      <c r="C2197" s="4">
        <f>'Raw data'!E1773</f>
        <v>0</v>
      </c>
      <c r="D2197" s="29" t="e">
        <f>VLOOKUP(C2197,'점포코드 '!A:B,2,0)</f>
        <v>#N/A</v>
      </c>
      <c r="E2197" s="30">
        <f>'Raw data'!P1773</f>
        <v>0</v>
      </c>
      <c r="F2197" s="29" t="e">
        <f>VLOOKUP(E2197,'점포코드 '!A:B,2,0)</f>
        <v>#N/A</v>
      </c>
      <c r="G2197" s="46">
        <f>'Raw data'!F2106</f>
        <v>0</v>
      </c>
      <c r="H2197" s="4">
        <f>'Raw data'!G2106</f>
        <v>0</v>
      </c>
      <c r="I2197" s="29" t="e">
        <f>VLOOKUP(G2197,제품명!$C$1:$E$114,2,0)</f>
        <v>#N/A</v>
      </c>
      <c r="J2197" s="29">
        <f>'Raw data'!K2106</f>
        <v>0</v>
      </c>
      <c r="K2197" s="31">
        <f>'Raw data'!H2106</f>
        <v>0</v>
      </c>
      <c r="L2197" s="26">
        <f t="shared" si="72"/>
        <v>0</v>
      </c>
    </row>
    <row r="2198" spans="2:12">
      <c r="B2198" s="4" t="e">
        <f t="shared" si="71"/>
        <v>#N/A</v>
      </c>
      <c r="C2198" s="4">
        <f>'Raw data'!E1774</f>
        <v>0</v>
      </c>
      <c r="D2198" s="29" t="e">
        <f>VLOOKUP(C2198,'점포코드 '!A:B,2,0)</f>
        <v>#N/A</v>
      </c>
      <c r="E2198" s="30">
        <f>'Raw data'!P1774</f>
        <v>0</v>
      </c>
      <c r="F2198" s="29" t="e">
        <f>VLOOKUP(E2198,'점포코드 '!A:B,2,0)</f>
        <v>#N/A</v>
      </c>
      <c r="G2198" s="46">
        <f>'Raw data'!F2107</f>
        <v>0</v>
      </c>
      <c r="H2198" s="4">
        <f>'Raw data'!G2107</f>
        <v>0</v>
      </c>
      <c r="I2198" s="29" t="e">
        <f>VLOOKUP(G2198,제품명!$C$1:$E$114,2,0)</f>
        <v>#N/A</v>
      </c>
      <c r="J2198" s="29">
        <f>'Raw data'!K2107</f>
        <v>0</v>
      </c>
      <c r="K2198" s="31">
        <f>'Raw data'!H2107</f>
        <v>0</v>
      </c>
      <c r="L2198" s="26">
        <f t="shared" si="72"/>
        <v>0</v>
      </c>
    </row>
    <row r="2199" spans="2:12">
      <c r="B2199" s="4" t="e">
        <f t="shared" si="71"/>
        <v>#N/A</v>
      </c>
      <c r="C2199" s="4">
        <f>'Raw data'!E1775</f>
        <v>0</v>
      </c>
      <c r="D2199" s="29" t="e">
        <f>VLOOKUP(C2199,'점포코드 '!A:B,2,0)</f>
        <v>#N/A</v>
      </c>
      <c r="E2199" s="30">
        <f>'Raw data'!P1775</f>
        <v>0</v>
      </c>
      <c r="F2199" s="29" t="e">
        <f>VLOOKUP(E2199,'점포코드 '!A:B,2,0)</f>
        <v>#N/A</v>
      </c>
      <c r="G2199" s="46">
        <f>'Raw data'!F2108</f>
        <v>0</v>
      </c>
      <c r="H2199" s="4">
        <f>'Raw data'!G2108</f>
        <v>0</v>
      </c>
      <c r="I2199" s="29" t="e">
        <f>VLOOKUP(G2199,제품명!$C$1:$E$114,2,0)</f>
        <v>#N/A</v>
      </c>
      <c r="J2199" s="29">
        <f>'Raw data'!K2108</f>
        <v>0</v>
      </c>
      <c r="K2199" s="31">
        <f>'Raw data'!H2108</f>
        <v>0</v>
      </c>
      <c r="L2199" s="26">
        <f t="shared" si="72"/>
        <v>0</v>
      </c>
    </row>
    <row r="2200" spans="2:12">
      <c r="B2200" s="4" t="e">
        <f t="shared" si="71"/>
        <v>#N/A</v>
      </c>
      <c r="C2200" s="4">
        <f>'Raw data'!E1776</f>
        <v>0</v>
      </c>
      <c r="D2200" s="29" t="e">
        <f>VLOOKUP(C2200,'점포코드 '!A:B,2,0)</f>
        <v>#N/A</v>
      </c>
      <c r="E2200" s="30">
        <f>'Raw data'!P1776</f>
        <v>0</v>
      </c>
      <c r="F2200" s="29" t="e">
        <f>VLOOKUP(E2200,'점포코드 '!A:B,2,0)</f>
        <v>#N/A</v>
      </c>
      <c r="G2200" s="46">
        <f>'Raw data'!F2109</f>
        <v>0</v>
      </c>
      <c r="H2200" s="4">
        <f>'Raw data'!G2109</f>
        <v>0</v>
      </c>
      <c r="I2200" s="29" t="e">
        <f>VLOOKUP(G2200,제품명!$C$1:$E$114,2,0)</f>
        <v>#N/A</v>
      </c>
      <c r="J2200" s="29">
        <f>'Raw data'!K2109</f>
        <v>0</v>
      </c>
      <c r="K2200" s="31">
        <f>'Raw data'!H2109</f>
        <v>0</v>
      </c>
      <c r="L2200" s="26">
        <f t="shared" si="72"/>
        <v>0</v>
      </c>
    </row>
    <row r="2201" spans="2:12">
      <c r="B2201" s="4" t="e">
        <f t="shared" si="71"/>
        <v>#N/A</v>
      </c>
      <c r="C2201" s="4">
        <f>'Raw data'!E1777</f>
        <v>0</v>
      </c>
      <c r="D2201" s="29" t="e">
        <f>VLOOKUP(C2201,'점포코드 '!A:B,2,0)</f>
        <v>#N/A</v>
      </c>
      <c r="E2201" s="30">
        <f>'Raw data'!P1777</f>
        <v>0</v>
      </c>
      <c r="F2201" s="29" t="e">
        <f>VLOOKUP(E2201,'점포코드 '!A:B,2,0)</f>
        <v>#N/A</v>
      </c>
      <c r="G2201" s="46">
        <f>'Raw data'!F2110</f>
        <v>0</v>
      </c>
      <c r="H2201" s="4">
        <f>'Raw data'!G2110</f>
        <v>0</v>
      </c>
      <c r="I2201" s="29" t="e">
        <f>VLOOKUP(G2201,제품명!$C$1:$E$114,2,0)</f>
        <v>#N/A</v>
      </c>
      <c r="J2201" s="29">
        <f>'Raw data'!K2110</f>
        <v>0</v>
      </c>
      <c r="K2201" s="31">
        <f>'Raw data'!H2110</f>
        <v>0</v>
      </c>
      <c r="L2201" s="26">
        <f t="shared" si="72"/>
        <v>0</v>
      </c>
    </row>
    <row r="2202" spans="2:12">
      <c r="B2202" s="4" t="e">
        <f t="shared" si="71"/>
        <v>#N/A</v>
      </c>
      <c r="C2202" s="4">
        <f>'Raw data'!E1778</f>
        <v>0</v>
      </c>
      <c r="D2202" s="29" t="e">
        <f>VLOOKUP(C2202,'점포코드 '!A:B,2,0)</f>
        <v>#N/A</v>
      </c>
      <c r="E2202" s="30">
        <f>'Raw data'!P1778</f>
        <v>0</v>
      </c>
      <c r="F2202" s="29" t="e">
        <f>VLOOKUP(E2202,'점포코드 '!A:B,2,0)</f>
        <v>#N/A</v>
      </c>
      <c r="G2202" s="46">
        <f>'Raw data'!F2111</f>
        <v>0</v>
      </c>
      <c r="H2202" s="4">
        <f>'Raw data'!G2111</f>
        <v>0</v>
      </c>
      <c r="I2202" s="29" t="e">
        <f>VLOOKUP(G2202,제품명!$C$1:$E$114,2,0)</f>
        <v>#N/A</v>
      </c>
      <c r="J2202" s="29">
        <f>'Raw data'!K2111</f>
        <v>0</v>
      </c>
      <c r="K2202" s="31">
        <f>'Raw data'!H2111</f>
        <v>0</v>
      </c>
      <c r="L2202" s="26">
        <f t="shared" si="72"/>
        <v>0</v>
      </c>
    </row>
    <row r="2203" spans="2:12">
      <c r="B2203" s="4" t="e">
        <f t="shared" si="71"/>
        <v>#N/A</v>
      </c>
      <c r="C2203" s="4">
        <f>'Raw data'!E1779</f>
        <v>0</v>
      </c>
      <c r="D2203" s="29" t="e">
        <f>VLOOKUP(C2203,'점포코드 '!A:B,2,0)</f>
        <v>#N/A</v>
      </c>
      <c r="E2203" s="30">
        <f>'Raw data'!P1779</f>
        <v>0</v>
      </c>
      <c r="F2203" s="29" t="e">
        <f>VLOOKUP(E2203,'점포코드 '!A:B,2,0)</f>
        <v>#N/A</v>
      </c>
      <c r="G2203" s="46">
        <f>'Raw data'!F2112</f>
        <v>0</v>
      </c>
      <c r="H2203" s="4">
        <f>'Raw data'!G2112</f>
        <v>0</v>
      </c>
      <c r="I2203" s="29" t="e">
        <f>VLOOKUP(G2203,제품명!$C$1:$E$114,2,0)</f>
        <v>#N/A</v>
      </c>
      <c r="J2203" s="29">
        <f>'Raw data'!K2112</f>
        <v>0</v>
      </c>
      <c r="K2203" s="31">
        <f>'Raw data'!H2112</f>
        <v>0</v>
      </c>
      <c r="L2203" s="26">
        <f t="shared" si="72"/>
        <v>0</v>
      </c>
    </row>
    <row r="2204" spans="2:12">
      <c r="B2204" s="4" t="e">
        <f t="shared" si="71"/>
        <v>#N/A</v>
      </c>
      <c r="C2204" s="4">
        <f>'Raw data'!E1780</f>
        <v>0</v>
      </c>
      <c r="D2204" s="29" t="e">
        <f>VLOOKUP(C2204,'점포코드 '!A:B,2,0)</f>
        <v>#N/A</v>
      </c>
      <c r="E2204" s="30">
        <f>'Raw data'!P1780</f>
        <v>0</v>
      </c>
      <c r="F2204" s="29" t="e">
        <f>VLOOKUP(E2204,'점포코드 '!A:B,2,0)</f>
        <v>#N/A</v>
      </c>
      <c r="G2204" s="46">
        <f>'Raw data'!F2113</f>
        <v>0</v>
      </c>
      <c r="H2204" s="4">
        <f>'Raw data'!G2113</f>
        <v>0</v>
      </c>
      <c r="I2204" s="29" t="e">
        <f>VLOOKUP(G2204,제품명!$C$1:$E$114,2,0)</f>
        <v>#N/A</v>
      </c>
      <c r="J2204" s="29">
        <f>'Raw data'!K2113</f>
        <v>0</v>
      </c>
      <c r="K2204" s="31">
        <f>'Raw data'!H2113</f>
        <v>0</v>
      </c>
      <c r="L2204" s="26">
        <f t="shared" si="72"/>
        <v>0</v>
      </c>
    </row>
    <row r="2205" spans="2:12">
      <c r="B2205" s="4" t="e">
        <f t="shared" si="71"/>
        <v>#N/A</v>
      </c>
      <c r="C2205" s="4">
        <f>'Raw data'!E1781</f>
        <v>0</v>
      </c>
      <c r="D2205" s="29" t="e">
        <f>VLOOKUP(C2205,'점포코드 '!A:B,2,0)</f>
        <v>#N/A</v>
      </c>
      <c r="E2205" s="30">
        <f>'Raw data'!P1781</f>
        <v>0</v>
      </c>
      <c r="F2205" s="29" t="e">
        <f>VLOOKUP(E2205,'점포코드 '!A:B,2,0)</f>
        <v>#N/A</v>
      </c>
      <c r="G2205" s="46">
        <f>'Raw data'!F2114</f>
        <v>0</v>
      </c>
      <c r="H2205" s="4">
        <f>'Raw data'!G2114</f>
        <v>0</v>
      </c>
      <c r="I2205" s="29" t="e">
        <f>VLOOKUP(G2205,제품명!$C$1:$E$114,2,0)</f>
        <v>#N/A</v>
      </c>
      <c r="J2205" s="29">
        <f>'Raw data'!K2114</f>
        <v>0</v>
      </c>
      <c r="K2205" s="31">
        <f>'Raw data'!H2114</f>
        <v>0</v>
      </c>
      <c r="L2205" s="26">
        <f t="shared" si="72"/>
        <v>0</v>
      </c>
    </row>
    <row r="2206" spans="2:12">
      <c r="B2206" s="4" t="e">
        <f t="shared" si="71"/>
        <v>#N/A</v>
      </c>
      <c r="C2206" s="4">
        <f>'Raw data'!E1782</f>
        <v>0</v>
      </c>
      <c r="D2206" s="29" t="e">
        <f>VLOOKUP(C2206,'점포코드 '!A:B,2,0)</f>
        <v>#N/A</v>
      </c>
      <c r="E2206" s="30">
        <f>'Raw data'!P1782</f>
        <v>0</v>
      </c>
      <c r="F2206" s="29" t="e">
        <f>VLOOKUP(E2206,'점포코드 '!A:B,2,0)</f>
        <v>#N/A</v>
      </c>
      <c r="G2206" s="46">
        <f>'Raw data'!F2115</f>
        <v>0</v>
      </c>
      <c r="H2206" s="4">
        <f>'Raw data'!G2115</f>
        <v>0</v>
      </c>
      <c r="I2206" s="29" t="e">
        <f>VLOOKUP(G2206,제품명!$C$1:$E$114,2,0)</f>
        <v>#N/A</v>
      </c>
      <c r="J2206" s="29">
        <f>'Raw data'!K2115</f>
        <v>0</v>
      </c>
      <c r="K2206" s="31">
        <f>'Raw data'!H2115</f>
        <v>0</v>
      </c>
      <c r="L2206" s="26">
        <f t="shared" si="72"/>
        <v>0</v>
      </c>
    </row>
    <row r="2207" spans="2:12">
      <c r="B2207" s="4" t="e">
        <f t="shared" si="71"/>
        <v>#N/A</v>
      </c>
      <c r="C2207" s="4">
        <f>'Raw data'!E1783</f>
        <v>0</v>
      </c>
      <c r="D2207" s="29" t="e">
        <f>VLOOKUP(C2207,'점포코드 '!A:B,2,0)</f>
        <v>#N/A</v>
      </c>
      <c r="E2207" s="30">
        <f>'Raw data'!P1783</f>
        <v>0</v>
      </c>
      <c r="F2207" s="29" t="e">
        <f>VLOOKUP(E2207,'점포코드 '!A:B,2,0)</f>
        <v>#N/A</v>
      </c>
      <c r="G2207" s="46">
        <f>'Raw data'!F2116</f>
        <v>0</v>
      </c>
      <c r="H2207" s="4">
        <f>'Raw data'!G2116</f>
        <v>0</v>
      </c>
      <c r="I2207" s="29" t="e">
        <f>VLOOKUP(G2207,제품명!$C$1:$E$114,2,0)</f>
        <v>#N/A</v>
      </c>
      <c r="J2207" s="29">
        <f>'Raw data'!K2116</f>
        <v>0</v>
      </c>
      <c r="K2207" s="31">
        <f>'Raw data'!H2116</f>
        <v>0</v>
      </c>
      <c r="L2207" s="26">
        <f t="shared" si="72"/>
        <v>0</v>
      </c>
    </row>
    <row r="2208" spans="2:12">
      <c r="B2208" s="4" t="e">
        <f t="shared" si="71"/>
        <v>#N/A</v>
      </c>
      <c r="C2208" s="4">
        <f>'Raw data'!E1784</f>
        <v>0</v>
      </c>
      <c r="D2208" s="29" t="e">
        <f>VLOOKUP(C2208,'점포코드 '!A:B,2,0)</f>
        <v>#N/A</v>
      </c>
      <c r="E2208" s="30">
        <f>'Raw data'!P1784</f>
        <v>0</v>
      </c>
      <c r="F2208" s="29" t="e">
        <f>VLOOKUP(E2208,'점포코드 '!A:B,2,0)</f>
        <v>#N/A</v>
      </c>
      <c r="G2208" s="46">
        <f>'Raw data'!F2117</f>
        <v>0</v>
      </c>
      <c r="H2208" s="4">
        <f>'Raw data'!G2117</f>
        <v>0</v>
      </c>
      <c r="I2208" s="29" t="e">
        <f>VLOOKUP(G2208,제품명!$C$1:$E$114,2,0)</f>
        <v>#N/A</v>
      </c>
      <c r="J2208" s="29">
        <f>'Raw data'!K2117</f>
        <v>0</v>
      </c>
      <c r="K2208" s="31">
        <f>'Raw data'!H2117</f>
        <v>0</v>
      </c>
      <c r="L2208" s="26">
        <f t="shared" si="72"/>
        <v>0</v>
      </c>
    </row>
    <row r="2209" spans="2:12">
      <c r="B2209" s="4" t="e">
        <f t="shared" si="71"/>
        <v>#N/A</v>
      </c>
      <c r="C2209" s="4">
        <f>'Raw data'!E1785</f>
        <v>0</v>
      </c>
      <c r="D2209" s="29" t="e">
        <f>VLOOKUP(C2209,'점포코드 '!A:B,2,0)</f>
        <v>#N/A</v>
      </c>
      <c r="E2209" s="30">
        <f>'Raw data'!P1785</f>
        <v>0</v>
      </c>
      <c r="F2209" s="29" t="e">
        <f>VLOOKUP(E2209,'점포코드 '!A:B,2,0)</f>
        <v>#N/A</v>
      </c>
      <c r="G2209" s="46">
        <f>'Raw data'!F2118</f>
        <v>0</v>
      </c>
      <c r="H2209" s="4">
        <f>'Raw data'!G2118</f>
        <v>0</v>
      </c>
      <c r="I2209" s="29" t="e">
        <f>VLOOKUP(G2209,제품명!$C$1:$E$114,2,0)</f>
        <v>#N/A</v>
      </c>
      <c r="J2209" s="29">
        <f>'Raw data'!K2118</f>
        <v>0</v>
      </c>
      <c r="K2209" s="31">
        <f>'Raw data'!H2118</f>
        <v>0</v>
      </c>
      <c r="L2209" s="26">
        <f t="shared" si="72"/>
        <v>0</v>
      </c>
    </row>
    <row r="2210" spans="2:12">
      <c r="B2210" s="4" t="e">
        <f t="shared" si="71"/>
        <v>#N/A</v>
      </c>
      <c r="C2210" s="4">
        <f>'Raw data'!E1786</f>
        <v>0</v>
      </c>
      <c r="D2210" s="29" t="e">
        <f>VLOOKUP(C2210,'점포코드 '!A:B,2,0)</f>
        <v>#N/A</v>
      </c>
      <c r="E2210" s="30">
        <f>'Raw data'!P1786</f>
        <v>0</v>
      </c>
      <c r="F2210" s="29" t="e">
        <f>VLOOKUP(E2210,'점포코드 '!A:B,2,0)</f>
        <v>#N/A</v>
      </c>
      <c r="G2210" s="46">
        <f>'Raw data'!F2119</f>
        <v>0</v>
      </c>
      <c r="H2210" s="4">
        <f>'Raw data'!G2119</f>
        <v>0</v>
      </c>
      <c r="I2210" s="29" t="e">
        <f>VLOOKUP(G2210,제품명!$C$1:$E$114,2,0)</f>
        <v>#N/A</v>
      </c>
      <c r="J2210" s="29">
        <f>'Raw data'!K2119</f>
        <v>0</v>
      </c>
      <c r="K2210" s="31">
        <f>'Raw data'!H2119</f>
        <v>0</v>
      </c>
      <c r="L2210" s="26">
        <f t="shared" si="72"/>
        <v>0</v>
      </c>
    </row>
    <row r="2211" spans="2:12">
      <c r="B2211" s="4" t="e">
        <f t="shared" si="71"/>
        <v>#N/A</v>
      </c>
      <c r="C2211" s="4">
        <f>'Raw data'!E1787</f>
        <v>0</v>
      </c>
      <c r="D2211" s="29" t="e">
        <f>VLOOKUP(C2211,'점포코드 '!A:B,2,0)</f>
        <v>#N/A</v>
      </c>
      <c r="E2211" s="30">
        <f>'Raw data'!P1787</f>
        <v>0</v>
      </c>
      <c r="F2211" s="29" t="e">
        <f>VLOOKUP(E2211,'점포코드 '!A:B,2,0)</f>
        <v>#N/A</v>
      </c>
      <c r="G2211" s="46">
        <f>'Raw data'!F2120</f>
        <v>0</v>
      </c>
      <c r="H2211" s="4">
        <f>'Raw data'!G2120</f>
        <v>0</v>
      </c>
      <c r="I2211" s="29" t="e">
        <f>VLOOKUP(G2211,제품명!$C$1:$E$114,2,0)</f>
        <v>#N/A</v>
      </c>
      <c r="J2211" s="29">
        <f>'Raw data'!K2120</f>
        <v>0</v>
      </c>
      <c r="K2211" s="31">
        <f>'Raw data'!H2120</f>
        <v>0</v>
      </c>
      <c r="L2211" s="26">
        <f t="shared" si="72"/>
        <v>0</v>
      </c>
    </row>
    <row r="2212" spans="2:12">
      <c r="B2212" s="4" t="e">
        <f t="shared" si="71"/>
        <v>#N/A</v>
      </c>
      <c r="C2212" s="4">
        <f>'Raw data'!E1788</f>
        <v>0</v>
      </c>
      <c r="D2212" s="29" t="e">
        <f>VLOOKUP(C2212,'점포코드 '!A:B,2,0)</f>
        <v>#N/A</v>
      </c>
      <c r="E2212" s="30">
        <f>'Raw data'!P1788</f>
        <v>0</v>
      </c>
      <c r="F2212" s="29" t="e">
        <f>VLOOKUP(E2212,'점포코드 '!A:B,2,0)</f>
        <v>#N/A</v>
      </c>
      <c r="G2212" s="46">
        <f>'Raw data'!F2121</f>
        <v>0</v>
      </c>
      <c r="H2212" s="4">
        <f>'Raw data'!G2121</f>
        <v>0</v>
      </c>
      <c r="I2212" s="29" t="e">
        <f>VLOOKUP(G2212,제품명!$C$1:$E$114,2,0)</f>
        <v>#N/A</v>
      </c>
      <c r="J2212" s="29">
        <f>'Raw data'!K2121</f>
        <v>0</v>
      </c>
      <c r="K2212" s="31">
        <f>'Raw data'!H2121</f>
        <v>0</v>
      </c>
      <c r="L2212" s="26">
        <f t="shared" si="72"/>
        <v>0</v>
      </c>
    </row>
    <row r="2213" spans="2:12">
      <c r="B2213" s="4" t="e">
        <f t="shared" si="71"/>
        <v>#N/A</v>
      </c>
      <c r="C2213" s="4">
        <f>'Raw data'!E1789</f>
        <v>0</v>
      </c>
      <c r="D2213" s="29" t="e">
        <f>VLOOKUP(C2213,'점포코드 '!A:B,2,0)</f>
        <v>#N/A</v>
      </c>
      <c r="E2213" s="30">
        <f>'Raw data'!P1789</f>
        <v>0</v>
      </c>
      <c r="F2213" s="29" t="e">
        <f>VLOOKUP(E2213,'점포코드 '!A:B,2,0)</f>
        <v>#N/A</v>
      </c>
      <c r="G2213" s="46">
        <f>'Raw data'!F2122</f>
        <v>0</v>
      </c>
      <c r="H2213" s="4">
        <f>'Raw data'!G2122</f>
        <v>0</v>
      </c>
      <c r="I2213" s="29" t="e">
        <f>VLOOKUP(G2213,제품명!$C$1:$E$114,2,0)</f>
        <v>#N/A</v>
      </c>
      <c r="J2213" s="29">
        <f>'Raw data'!K2122</f>
        <v>0</v>
      </c>
      <c r="K2213" s="31">
        <f>'Raw data'!H2122</f>
        <v>0</v>
      </c>
      <c r="L2213" s="26">
        <f t="shared" si="72"/>
        <v>0</v>
      </c>
    </row>
    <row r="2214" spans="2:12">
      <c r="B2214" s="4" t="e">
        <f t="shared" si="71"/>
        <v>#N/A</v>
      </c>
      <c r="C2214" s="4">
        <f>'Raw data'!E1790</f>
        <v>0</v>
      </c>
      <c r="D2214" s="29" t="e">
        <f>VLOOKUP(C2214,'점포코드 '!A:B,2,0)</f>
        <v>#N/A</v>
      </c>
      <c r="E2214" s="30">
        <f>'Raw data'!P1790</f>
        <v>0</v>
      </c>
      <c r="F2214" s="29" t="e">
        <f>VLOOKUP(E2214,'점포코드 '!A:B,2,0)</f>
        <v>#N/A</v>
      </c>
      <c r="G2214" s="46">
        <f>'Raw data'!F2123</f>
        <v>0</v>
      </c>
      <c r="H2214" s="4">
        <f>'Raw data'!G2123</f>
        <v>0</v>
      </c>
      <c r="I2214" s="29" t="e">
        <f>VLOOKUP(G2214,제품명!$C$1:$E$114,2,0)</f>
        <v>#N/A</v>
      </c>
      <c r="J2214" s="29">
        <f>'Raw data'!K2123</f>
        <v>0</v>
      </c>
      <c r="K2214" s="31">
        <f>'Raw data'!H2123</f>
        <v>0</v>
      </c>
      <c r="L2214" s="26">
        <f t="shared" si="72"/>
        <v>0</v>
      </c>
    </row>
    <row r="2215" spans="2:12">
      <c r="B2215" s="4" t="e">
        <f t="shared" si="71"/>
        <v>#N/A</v>
      </c>
      <c r="C2215" s="4">
        <f>'Raw data'!E1791</f>
        <v>0</v>
      </c>
      <c r="D2215" s="29" t="e">
        <f>VLOOKUP(C2215,'점포코드 '!A:B,2,0)</f>
        <v>#N/A</v>
      </c>
      <c r="E2215" s="30">
        <f>'Raw data'!P1791</f>
        <v>0</v>
      </c>
      <c r="F2215" s="29" t="e">
        <f>VLOOKUP(E2215,'점포코드 '!A:B,2,0)</f>
        <v>#N/A</v>
      </c>
      <c r="G2215" s="46">
        <f>'Raw data'!F2124</f>
        <v>0</v>
      </c>
      <c r="H2215" s="4">
        <f>'Raw data'!G2124</f>
        <v>0</v>
      </c>
      <c r="I2215" s="29" t="e">
        <f>VLOOKUP(G2215,제품명!$C$1:$E$114,2,0)</f>
        <v>#N/A</v>
      </c>
      <c r="J2215" s="29">
        <f>'Raw data'!K2124</f>
        <v>0</v>
      </c>
      <c r="K2215" s="31">
        <f>'Raw data'!H2124</f>
        <v>0</v>
      </c>
      <c r="L2215" s="26">
        <f t="shared" si="72"/>
        <v>0</v>
      </c>
    </row>
    <row r="2216" spans="2:12">
      <c r="B2216" s="4" t="e">
        <f t="shared" si="71"/>
        <v>#N/A</v>
      </c>
      <c r="C2216" s="4">
        <f>'Raw data'!E1792</f>
        <v>0</v>
      </c>
      <c r="D2216" s="29" t="e">
        <f>VLOOKUP(C2216,'점포코드 '!A:B,2,0)</f>
        <v>#N/A</v>
      </c>
      <c r="E2216" s="30">
        <f>'Raw data'!P1792</f>
        <v>0</v>
      </c>
      <c r="F2216" s="29" t="e">
        <f>VLOOKUP(E2216,'점포코드 '!A:B,2,0)</f>
        <v>#N/A</v>
      </c>
      <c r="G2216" s="46">
        <f>'Raw data'!F2125</f>
        <v>0</v>
      </c>
      <c r="H2216" s="4">
        <f>'Raw data'!G2125</f>
        <v>0</v>
      </c>
      <c r="I2216" s="29" t="e">
        <f>VLOOKUP(G2216,제품명!$C$1:$E$114,2,0)</f>
        <v>#N/A</v>
      </c>
      <c r="J2216" s="29">
        <f>'Raw data'!K2125</f>
        <v>0</v>
      </c>
      <c r="K2216" s="31">
        <f>'Raw data'!H2125</f>
        <v>0</v>
      </c>
      <c r="L2216" s="26">
        <f t="shared" si="72"/>
        <v>0</v>
      </c>
    </row>
    <row r="2217" spans="2:12">
      <c r="B2217" s="4" t="e">
        <f t="shared" si="71"/>
        <v>#N/A</v>
      </c>
      <c r="C2217" s="4">
        <f>'Raw data'!E1793</f>
        <v>0</v>
      </c>
      <c r="D2217" s="29" t="e">
        <f>VLOOKUP(C2217,'점포코드 '!A:B,2,0)</f>
        <v>#N/A</v>
      </c>
      <c r="E2217" s="30">
        <f>'Raw data'!P1793</f>
        <v>0</v>
      </c>
      <c r="F2217" s="29" t="e">
        <f>VLOOKUP(E2217,'점포코드 '!A:B,2,0)</f>
        <v>#N/A</v>
      </c>
      <c r="G2217" s="46">
        <f>'Raw data'!F2126</f>
        <v>0</v>
      </c>
      <c r="H2217" s="4">
        <f>'Raw data'!G2126</f>
        <v>0</v>
      </c>
      <c r="I2217" s="29" t="e">
        <f>VLOOKUP(G2217,제품명!$C$1:$E$114,2,0)</f>
        <v>#N/A</v>
      </c>
      <c r="J2217" s="29">
        <f>'Raw data'!K2126</f>
        <v>0</v>
      </c>
      <c r="K2217" s="31">
        <f>'Raw data'!H2126</f>
        <v>0</v>
      </c>
      <c r="L2217" s="26">
        <f t="shared" si="72"/>
        <v>0</v>
      </c>
    </row>
    <row r="2218" spans="2:12">
      <c r="B2218" s="4" t="e">
        <f t="shared" si="71"/>
        <v>#N/A</v>
      </c>
      <c r="C2218" s="4">
        <f>'Raw data'!E1794</f>
        <v>0</v>
      </c>
      <c r="D2218" s="29" t="e">
        <f>VLOOKUP(C2218,'점포코드 '!A:B,2,0)</f>
        <v>#N/A</v>
      </c>
      <c r="E2218" s="30">
        <f>'Raw data'!P1794</f>
        <v>0</v>
      </c>
      <c r="F2218" s="29" t="e">
        <f>VLOOKUP(E2218,'점포코드 '!A:B,2,0)</f>
        <v>#N/A</v>
      </c>
      <c r="G2218" s="46">
        <f>'Raw data'!F2127</f>
        <v>0</v>
      </c>
      <c r="H2218" s="4">
        <f>'Raw data'!G2127</f>
        <v>0</v>
      </c>
      <c r="I2218" s="29" t="e">
        <f>VLOOKUP(G2218,제품명!$C$1:$E$114,2,0)</f>
        <v>#N/A</v>
      </c>
      <c r="J2218" s="29">
        <f>'Raw data'!K2127</f>
        <v>0</v>
      </c>
      <c r="K2218" s="31">
        <f>'Raw data'!H2127</f>
        <v>0</v>
      </c>
      <c r="L2218" s="26">
        <f t="shared" si="72"/>
        <v>0</v>
      </c>
    </row>
    <row r="2219" spans="2:12">
      <c r="B2219" s="4" t="e">
        <f t="shared" si="71"/>
        <v>#N/A</v>
      </c>
      <c r="C2219" s="4">
        <f>'Raw data'!E1795</f>
        <v>0</v>
      </c>
      <c r="D2219" s="29" t="e">
        <f>VLOOKUP(C2219,'점포코드 '!A:B,2,0)</f>
        <v>#N/A</v>
      </c>
      <c r="E2219" s="30">
        <f>'Raw data'!P1795</f>
        <v>0</v>
      </c>
      <c r="F2219" s="29" t="e">
        <f>VLOOKUP(E2219,'점포코드 '!A:B,2,0)</f>
        <v>#N/A</v>
      </c>
      <c r="G2219" s="46">
        <f>'Raw data'!F2128</f>
        <v>0</v>
      </c>
      <c r="H2219" s="4">
        <f>'Raw data'!G2128</f>
        <v>0</v>
      </c>
      <c r="I2219" s="29" t="e">
        <f>VLOOKUP(G2219,제품명!$C$1:$E$114,2,0)</f>
        <v>#N/A</v>
      </c>
      <c r="J2219" s="29">
        <f>'Raw data'!K2128</f>
        <v>0</v>
      </c>
      <c r="K2219" s="31">
        <f>'Raw data'!H2128</f>
        <v>0</v>
      </c>
      <c r="L2219" s="26">
        <f t="shared" si="72"/>
        <v>0</v>
      </c>
    </row>
    <row r="2220" spans="2:12">
      <c r="B2220" s="4" t="e">
        <f t="shared" si="71"/>
        <v>#N/A</v>
      </c>
      <c r="C2220" s="4">
        <f>'Raw data'!E1796</f>
        <v>0</v>
      </c>
      <c r="D2220" s="29" t="e">
        <f>VLOOKUP(C2220,'점포코드 '!A:B,2,0)</f>
        <v>#N/A</v>
      </c>
      <c r="E2220" s="30">
        <f>'Raw data'!P1796</f>
        <v>0</v>
      </c>
      <c r="F2220" s="29" t="e">
        <f>VLOOKUP(E2220,'점포코드 '!A:B,2,0)</f>
        <v>#N/A</v>
      </c>
      <c r="G2220" s="46">
        <f>'Raw data'!F2129</f>
        <v>0</v>
      </c>
      <c r="H2220" s="4">
        <f>'Raw data'!G2129</f>
        <v>0</v>
      </c>
      <c r="I2220" s="29" t="e">
        <f>VLOOKUP(G2220,제품명!$C$1:$E$114,2,0)</f>
        <v>#N/A</v>
      </c>
      <c r="J2220" s="29">
        <f>'Raw data'!K2129</f>
        <v>0</v>
      </c>
      <c r="K2220" s="31">
        <f>'Raw data'!H2129</f>
        <v>0</v>
      </c>
      <c r="L2220" s="26">
        <f t="shared" si="72"/>
        <v>0</v>
      </c>
    </row>
    <row r="2221" spans="2:12">
      <c r="B2221" s="4" t="e">
        <f t="shared" si="71"/>
        <v>#N/A</v>
      </c>
      <c r="C2221" s="4">
        <f>'Raw data'!E1797</f>
        <v>0</v>
      </c>
      <c r="D2221" s="29" t="e">
        <f>VLOOKUP(C2221,'점포코드 '!A:B,2,0)</f>
        <v>#N/A</v>
      </c>
      <c r="E2221" s="30">
        <f>'Raw data'!P1797</f>
        <v>0</v>
      </c>
      <c r="F2221" s="29" t="e">
        <f>VLOOKUP(E2221,'점포코드 '!A:B,2,0)</f>
        <v>#N/A</v>
      </c>
      <c r="G2221" s="46">
        <f>'Raw data'!F2130</f>
        <v>0</v>
      </c>
      <c r="H2221" s="4">
        <f>'Raw data'!G2130</f>
        <v>0</v>
      </c>
      <c r="I2221" s="29" t="e">
        <f>VLOOKUP(G2221,제품명!$C$1:$E$114,2,0)</f>
        <v>#N/A</v>
      </c>
      <c r="J2221" s="29">
        <f>'Raw data'!K2130</f>
        <v>0</v>
      </c>
      <c r="K2221" s="31">
        <f>'Raw data'!H2130</f>
        <v>0</v>
      </c>
      <c r="L2221" s="26">
        <f t="shared" si="72"/>
        <v>0</v>
      </c>
    </row>
    <row r="2222" spans="2:12">
      <c r="B2222" s="4" t="e">
        <f t="shared" si="71"/>
        <v>#N/A</v>
      </c>
      <c r="C2222" s="4">
        <f>'Raw data'!E1798</f>
        <v>0</v>
      </c>
      <c r="D2222" s="29" t="e">
        <f>VLOOKUP(C2222,'점포코드 '!A:B,2,0)</f>
        <v>#N/A</v>
      </c>
      <c r="E2222" s="30">
        <f>'Raw data'!P1798</f>
        <v>0</v>
      </c>
      <c r="F2222" s="29" t="e">
        <f>VLOOKUP(E2222,'점포코드 '!A:B,2,0)</f>
        <v>#N/A</v>
      </c>
      <c r="G2222" s="46">
        <f>'Raw data'!F2131</f>
        <v>0</v>
      </c>
      <c r="H2222" s="4">
        <f>'Raw data'!G2131</f>
        <v>0</v>
      </c>
      <c r="I2222" s="29" t="e">
        <f>VLOOKUP(G2222,제품명!$C$1:$E$114,2,0)</f>
        <v>#N/A</v>
      </c>
      <c r="J2222" s="29">
        <f>'Raw data'!K2131</f>
        <v>0</v>
      </c>
      <c r="K2222" s="31">
        <f>'Raw data'!H2131</f>
        <v>0</v>
      </c>
      <c r="L2222" s="26">
        <f t="shared" si="72"/>
        <v>0</v>
      </c>
    </row>
    <row r="2223" spans="2:12">
      <c r="B2223" s="4" t="e">
        <f t="shared" si="71"/>
        <v>#N/A</v>
      </c>
      <c r="C2223" s="4">
        <f>'Raw data'!E1799</f>
        <v>0</v>
      </c>
      <c r="D2223" s="29" t="e">
        <f>VLOOKUP(C2223,'점포코드 '!A:B,2,0)</f>
        <v>#N/A</v>
      </c>
      <c r="E2223" s="30">
        <f>'Raw data'!P1799</f>
        <v>0</v>
      </c>
      <c r="F2223" s="29" t="e">
        <f>VLOOKUP(E2223,'점포코드 '!A:B,2,0)</f>
        <v>#N/A</v>
      </c>
      <c r="G2223" s="46">
        <f>'Raw data'!F2132</f>
        <v>0</v>
      </c>
      <c r="H2223" s="4">
        <f>'Raw data'!G2132</f>
        <v>0</v>
      </c>
      <c r="I2223" s="29" t="e">
        <f>VLOOKUP(G2223,제품명!$C$1:$E$114,2,0)</f>
        <v>#N/A</v>
      </c>
      <c r="J2223" s="29">
        <f>'Raw data'!K2132</f>
        <v>0</v>
      </c>
      <c r="K2223" s="31">
        <f>'Raw data'!H2132</f>
        <v>0</v>
      </c>
      <c r="L2223" s="26">
        <f t="shared" si="72"/>
        <v>0</v>
      </c>
    </row>
    <row r="2224" spans="2:12">
      <c r="B2224" s="4" t="e">
        <f t="shared" si="71"/>
        <v>#N/A</v>
      </c>
      <c r="C2224" s="4">
        <f>'Raw data'!E1800</f>
        <v>0</v>
      </c>
      <c r="D2224" s="29" t="e">
        <f>VLOOKUP(C2224,'점포코드 '!A:B,2,0)</f>
        <v>#N/A</v>
      </c>
      <c r="E2224" s="30">
        <f>'Raw data'!P1800</f>
        <v>0</v>
      </c>
      <c r="F2224" s="29" t="e">
        <f>VLOOKUP(E2224,'점포코드 '!A:B,2,0)</f>
        <v>#N/A</v>
      </c>
      <c r="G2224" s="46">
        <f>'Raw data'!F2133</f>
        <v>0</v>
      </c>
      <c r="H2224" s="4">
        <f>'Raw data'!G2133</f>
        <v>0</v>
      </c>
      <c r="I2224" s="29" t="e">
        <f>VLOOKUP(G2224,제품명!$C$1:$E$114,2,0)</f>
        <v>#N/A</v>
      </c>
      <c r="J2224" s="29">
        <f>'Raw data'!K2133</f>
        <v>0</v>
      </c>
      <c r="K2224" s="31">
        <f>'Raw data'!H2133</f>
        <v>0</v>
      </c>
      <c r="L2224" s="26">
        <f t="shared" si="72"/>
        <v>0</v>
      </c>
    </row>
    <row r="2225" spans="2:12">
      <c r="B2225" s="4" t="e">
        <f t="shared" si="71"/>
        <v>#N/A</v>
      </c>
      <c r="C2225" s="4">
        <f>'Raw data'!E1801</f>
        <v>0</v>
      </c>
      <c r="D2225" s="29" t="e">
        <f>VLOOKUP(C2225,'점포코드 '!A:B,2,0)</f>
        <v>#N/A</v>
      </c>
      <c r="E2225" s="30">
        <f>'Raw data'!P1801</f>
        <v>0</v>
      </c>
      <c r="F2225" s="29" t="e">
        <f>VLOOKUP(E2225,'점포코드 '!A:B,2,0)</f>
        <v>#N/A</v>
      </c>
      <c r="G2225" s="46">
        <f>'Raw data'!F2134</f>
        <v>0</v>
      </c>
      <c r="H2225" s="4">
        <f>'Raw data'!G2134</f>
        <v>0</v>
      </c>
      <c r="I2225" s="29" t="e">
        <f>VLOOKUP(G2225,제품명!$C$1:$E$114,2,0)</f>
        <v>#N/A</v>
      </c>
      <c r="J2225" s="29">
        <f>'Raw data'!K2134</f>
        <v>0</v>
      </c>
      <c r="K2225" s="31">
        <f>'Raw data'!H2134</f>
        <v>0</v>
      </c>
      <c r="L2225" s="26">
        <f t="shared" si="72"/>
        <v>0</v>
      </c>
    </row>
    <row r="2226" spans="2:12">
      <c r="B2226" s="4" t="e">
        <f t="shared" si="71"/>
        <v>#N/A</v>
      </c>
      <c r="C2226" s="4">
        <f>'Raw data'!E1802</f>
        <v>0</v>
      </c>
      <c r="D2226" s="29" t="e">
        <f>VLOOKUP(C2226,'점포코드 '!A:B,2,0)</f>
        <v>#N/A</v>
      </c>
      <c r="E2226" s="30">
        <f>'Raw data'!P1802</f>
        <v>0</v>
      </c>
      <c r="F2226" s="29" t="e">
        <f>VLOOKUP(E2226,'점포코드 '!A:B,2,0)</f>
        <v>#N/A</v>
      </c>
      <c r="G2226" s="46">
        <f>'Raw data'!F2135</f>
        <v>0</v>
      </c>
      <c r="H2226" s="4">
        <f>'Raw data'!G2135</f>
        <v>0</v>
      </c>
      <c r="I2226" s="29" t="e">
        <f>VLOOKUP(G2226,제품명!$C$1:$E$114,2,0)</f>
        <v>#N/A</v>
      </c>
      <c r="J2226" s="29">
        <f>'Raw data'!K2135</f>
        <v>0</v>
      </c>
      <c r="K2226" s="31">
        <f>'Raw data'!H2135</f>
        <v>0</v>
      </c>
      <c r="L2226" s="26">
        <f t="shared" si="72"/>
        <v>0</v>
      </c>
    </row>
    <row r="2227" spans="2:12">
      <c r="B2227" s="4" t="e">
        <f t="shared" si="71"/>
        <v>#N/A</v>
      </c>
      <c r="C2227" s="4">
        <f>'Raw data'!E1803</f>
        <v>0</v>
      </c>
      <c r="D2227" s="29" t="e">
        <f>VLOOKUP(C2227,'점포코드 '!A:B,2,0)</f>
        <v>#N/A</v>
      </c>
      <c r="E2227" s="30">
        <f>'Raw data'!P1803</f>
        <v>0</v>
      </c>
      <c r="F2227" s="29" t="e">
        <f>VLOOKUP(E2227,'점포코드 '!A:B,2,0)</f>
        <v>#N/A</v>
      </c>
      <c r="G2227" s="46">
        <f>'Raw data'!F2136</f>
        <v>0</v>
      </c>
      <c r="H2227" s="4">
        <f>'Raw data'!G2136</f>
        <v>0</v>
      </c>
      <c r="I2227" s="29" t="e">
        <f>VLOOKUP(G2227,제품명!$C$1:$E$114,2,0)</f>
        <v>#N/A</v>
      </c>
      <c r="J2227" s="29">
        <f>'Raw data'!K2136</f>
        <v>0</v>
      </c>
      <c r="K2227" s="31">
        <f>'Raw data'!H2136</f>
        <v>0</v>
      </c>
      <c r="L2227" s="26">
        <f t="shared" si="72"/>
        <v>0</v>
      </c>
    </row>
    <row r="2228" spans="2:12">
      <c r="B2228" s="4" t="e">
        <f t="shared" si="71"/>
        <v>#N/A</v>
      </c>
      <c r="C2228" s="4">
        <f>'Raw data'!E1804</f>
        <v>0</v>
      </c>
      <c r="D2228" s="29" t="e">
        <f>VLOOKUP(C2228,'점포코드 '!A:B,2,0)</f>
        <v>#N/A</v>
      </c>
      <c r="E2228" s="30">
        <f>'Raw data'!P1804</f>
        <v>0</v>
      </c>
      <c r="F2228" s="29" t="e">
        <f>VLOOKUP(E2228,'점포코드 '!A:B,2,0)</f>
        <v>#N/A</v>
      </c>
      <c r="G2228" s="46">
        <f>'Raw data'!F2137</f>
        <v>0</v>
      </c>
      <c r="H2228" s="4">
        <f>'Raw data'!G2137</f>
        <v>0</v>
      </c>
      <c r="I2228" s="29" t="e">
        <f>VLOOKUP(G2228,제품명!$C$1:$E$114,2,0)</f>
        <v>#N/A</v>
      </c>
      <c r="J2228" s="29">
        <f>'Raw data'!K2137</f>
        <v>0</v>
      </c>
      <c r="K2228" s="31">
        <f>'Raw data'!H2137</f>
        <v>0</v>
      </c>
      <c r="L2228" s="26">
        <f t="shared" si="72"/>
        <v>0</v>
      </c>
    </row>
    <row r="2229" spans="2:12">
      <c r="B2229" s="4" t="e">
        <f t="shared" si="71"/>
        <v>#N/A</v>
      </c>
      <c r="C2229" s="4">
        <f>'Raw data'!E1805</f>
        <v>0</v>
      </c>
      <c r="D2229" s="29" t="e">
        <f>VLOOKUP(C2229,'점포코드 '!A:B,2,0)</f>
        <v>#N/A</v>
      </c>
      <c r="E2229" s="30">
        <f>'Raw data'!P1805</f>
        <v>0</v>
      </c>
      <c r="F2229" s="29" t="e">
        <f>VLOOKUP(E2229,'점포코드 '!A:B,2,0)</f>
        <v>#N/A</v>
      </c>
      <c r="G2229" s="46">
        <f>'Raw data'!F2138</f>
        <v>0</v>
      </c>
      <c r="H2229" s="4">
        <f>'Raw data'!G2138</f>
        <v>0</v>
      </c>
      <c r="I2229" s="29" t="e">
        <f>VLOOKUP(G2229,제품명!$C$1:$E$114,2,0)</f>
        <v>#N/A</v>
      </c>
      <c r="J2229" s="29">
        <f>'Raw data'!K2138</f>
        <v>0</v>
      </c>
      <c r="K2229" s="31">
        <f>'Raw data'!H2138</f>
        <v>0</v>
      </c>
      <c r="L2229" s="26">
        <f t="shared" si="72"/>
        <v>0</v>
      </c>
    </row>
    <row r="2230" spans="2:12">
      <c r="B2230" s="4" t="e">
        <f t="shared" si="71"/>
        <v>#N/A</v>
      </c>
      <c r="C2230" s="4">
        <f>'Raw data'!E1806</f>
        <v>0</v>
      </c>
      <c r="D2230" s="29" t="e">
        <f>VLOOKUP(C2230,'점포코드 '!A:B,2,0)</f>
        <v>#N/A</v>
      </c>
      <c r="E2230" s="30">
        <f>'Raw data'!P1806</f>
        <v>0</v>
      </c>
      <c r="F2230" s="29" t="e">
        <f>VLOOKUP(E2230,'점포코드 '!A:B,2,0)</f>
        <v>#N/A</v>
      </c>
      <c r="G2230" s="46">
        <f>'Raw data'!F2139</f>
        <v>0</v>
      </c>
      <c r="H2230" s="4">
        <f>'Raw data'!G2139</f>
        <v>0</v>
      </c>
      <c r="I2230" s="29" t="e">
        <f>VLOOKUP(G2230,제품명!$C$1:$E$114,2,0)</f>
        <v>#N/A</v>
      </c>
      <c r="J2230" s="29">
        <f>'Raw data'!K2139</f>
        <v>0</v>
      </c>
      <c r="K2230" s="31">
        <f>'Raw data'!H2139</f>
        <v>0</v>
      </c>
      <c r="L2230" s="26">
        <f t="shared" si="72"/>
        <v>0</v>
      </c>
    </row>
    <row r="2231" spans="2:12">
      <c r="B2231" s="4" t="e">
        <f t="shared" si="71"/>
        <v>#N/A</v>
      </c>
      <c r="C2231" s="4">
        <f>'Raw data'!E1807</f>
        <v>0</v>
      </c>
      <c r="D2231" s="29" t="e">
        <f>VLOOKUP(C2231,'점포코드 '!A:B,2,0)</f>
        <v>#N/A</v>
      </c>
      <c r="E2231" s="30">
        <f>'Raw data'!P1807</f>
        <v>0</v>
      </c>
      <c r="F2231" s="29" t="e">
        <f>VLOOKUP(E2231,'점포코드 '!A:B,2,0)</f>
        <v>#N/A</v>
      </c>
      <c r="G2231" s="46">
        <f>'Raw data'!F2140</f>
        <v>0</v>
      </c>
      <c r="H2231" s="4">
        <f>'Raw data'!G2140</f>
        <v>0</v>
      </c>
      <c r="I2231" s="29" t="e">
        <f>VLOOKUP(G2231,제품명!$C$1:$E$114,2,0)</f>
        <v>#N/A</v>
      </c>
      <c r="J2231" s="29">
        <f>'Raw data'!K2140</f>
        <v>0</v>
      </c>
      <c r="K2231" s="31">
        <f>'Raw data'!H2140</f>
        <v>0</v>
      </c>
      <c r="L2231" s="26">
        <f t="shared" si="72"/>
        <v>0</v>
      </c>
    </row>
    <row r="2232" spans="2:12">
      <c r="B2232" s="4" t="e">
        <f t="shared" si="71"/>
        <v>#N/A</v>
      </c>
      <c r="C2232" s="4">
        <f>'Raw data'!E1808</f>
        <v>0</v>
      </c>
      <c r="D2232" s="29" t="e">
        <f>VLOOKUP(C2232,'점포코드 '!A:B,2,0)</f>
        <v>#N/A</v>
      </c>
      <c r="E2232" s="30">
        <f>'Raw data'!P1808</f>
        <v>0</v>
      </c>
      <c r="F2232" s="29" t="e">
        <f>VLOOKUP(E2232,'점포코드 '!A:B,2,0)</f>
        <v>#N/A</v>
      </c>
      <c r="G2232" s="46">
        <f>'Raw data'!F2141</f>
        <v>0</v>
      </c>
      <c r="H2232" s="4">
        <f>'Raw data'!G2141</f>
        <v>0</v>
      </c>
      <c r="I2232" s="29" t="e">
        <f>VLOOKUP(G2232,제품명!$C$1:$E$114,2,0)</f>
        <v>#N/A</v>
      </c>
      <c r="J2232" s="29">
        <f>'Raw data'!K2141</f>
        <v>0</v>
      </c>
      <c r="K2232" s="31">
        <f>'Raw data'!H2141</f>
        <v>0</v>
      </c>
      <c r="L2232" s="26">
        <f t="shared" si="72"/>
        <v>0</v>
      </c>
    </row>
    <row r="2233" spans="2:12">
      <c r="B2233" s="4" t="e">
        <f t="shared" si="71"/>
        <v>#N/A</v>
      </c>
      <c r="C2233" s="4">
        <f>'Raw data'!E1809</f>
        <v>0</v>
      </c>
      <c r="D2233" s="29" t="e">
        <f>VLOOKUP(C2233,'점포코드 '!A:B,2,0)</f>
        <v>#N/A</v>
      </c>
      <c r="E2233" s="30">
        <f>'Raw data'!P1809</f>
        <v>0</v>
      </c>
      <c r="F2233" s="29" t="e">
        <f>VLOOKUP(E2233,'점포코드 '!A:B,2,0)</f>
        <v>#N/A</v>
      </c>
      <c r="G2233" s="46">
        <f>'Raw data'!F2142</f>
        <v>0</v>
      </c>
      <c r="H2233" s="4">
        <f>'Raw data'!G2142</f>
        <v>0</v>
      </c>
      <c r="I2233" s="29" t="e">
        <f>VLOOKUP(G2233,제품명!$C$1:$E$114,2,0)</f>
        <v>#N/A</v>
      </c>
      <c r="J2233" s="29">
        <f>'Raw data'!K2142</f>
        <v>0</v>
      </c>
      <c r="K2233" s="31">
        <f>'Raw data'!H2142</f>
        <v>0</v>
      </c>
      <c r="L2233" s="26">
        <f t="shared" si="72"/>
        <v>0</v>
      </c>
    </row>
    <row r="2234" spans="2:12">
      <c r="B2234" s="4" t="e">
        <f t="shared" si="71"/>
        <v>#N/A</v>
      </c>
      <c r="C2234" s="4">
        <f>'Raw data'!E1810</f>
        <v>0</v>
      </c>
      <c r="D2234" s="29" t="e">
        <f>VLOOKUP(C2234,'점포코드 '!A:B,2,0)</f>
        <v>#N/A</v>
      </c>
      <c r="E2234" s="30">
        <f>'Raw data'!P1810</f>
        <v>0</v>
      </c>
      <c r="F2234" s="29" t="e">
        <f>VLOOKUP(E2234,'점포코드 '!A:B,2,0)</f>
        <v>#N/A</v>
      </c>
      <c r="G2234" s="46">
        <f>'Raw data'!F2143</f>
        <v>0</v>
      </c>
      <c r="H2234" s="4">
        <f>'Raw data'!G2143</f>
        <v>0</v>
      </c>
      <c r="I2234" s="29" t="e">
        <f>VLOOKUP(G2234,제품명!$C$1:$E$114,2,0)</f>
        <v>#N/A</v>
      </c>
      <c r="J2234" s="29">
        <f>'Raw data'!K2143</f>
        <v>0</v>
      </c>
      <c r="K2234" s="31">
        <f>'Raw data'!H2143</f>
        <v>0</v>
      </c>
      <c r="L2234" s="26">
        <f t="shared" si="72"/>
        <v>0</v>
      </c>
    </row>
    <row r="2235" spans="2:12">
      <c r="B2235" s="4" t="e">
        <f t="shared" si="71"/>
        <v>#N/A</v>
      </c>
      <c r="C2235" s="4">
        <f>'Raw data'!E1811</f>
        <v>0</v>
      </c>
      <c r="D2235" s="29" t="e">
        <f>VLOOKUP(C2235,'점포코드 '!A:B,2,0)</f>
        <v>#N/A</v>
      </c>
      <c r="E2235" s="30">
        <f>'Raw data'!P1811</f>
        <v>0</v>
      </c>
      <c r="F2235" s="29" t="e">
        <f>VLOOKUP(E2235,'점포코드 '!A:B,2,0)</f>
        <v>#N/A</v>
      </c>
      <c r="G2235" s="46">
        <f>'Raw data'!F2144</f>
        <v>0</v>
      </c>
      <c r="H2235" s="4">
        <f>'Raw data'!G2144</f>
        <v>0</v>
      </c>
      <c r="I2235" s="29" t="e">
        <f>VLOOKUP(G2235,제품명!$C$1:$E$114,2,0)</f>
        <v>#N/A</v>
      </c>
      <c r="J2235" s="29">
        <f>'Raw data'!K2144</f>
        <v>0</v>
      </c>
      <c r="K2235" s="31">
        <f>'Raw data'!H2144</f>
        <v>0</v>
      </c>
      <c r="L2235" s="26">
        <f t="shared" si="72"/>
        <v>0</v>
      </c>
    </row>
    <row r="2236" spans="2:12">
      <c r="B2236" s="4" t="e">
        <f t="shared" si="71"/>
        <v>#N/A</v>
      </c>
      <c r="C2236" s="4">
        <f>'Raw data'!E1812</f>
        <v>0</v>
      </c>
      <c r="D2236" s="29" t="e">
        <f>VLOOKUP(C2236,'점포코드 '!A:B,2,0)</f>
        <v>#N/A</v>
      </c>
      <c r="E2236" s="30">
        <f>'Raw data'!P1812</f>
        <v>0</v>
      </c>
      <c r="F2236" s="29" t="e">
        <f>VLOOKUP(E2236,'점포코드 '!A:B,2,0)</f>
        <v>#N/A</v>
      </c>
      <c r="G2236" s="46">
        <f>'Raw data'!F2145</f>
        <v>0</v>
      </c>
      <c r="H2236" s="4">
        <f>'Raw data'!G2145</f>
        <v>0</v>
      </c>
      <c r="I2236" s="29" t="e">
        <f>VLOOKUP(G2236,제품명!$C$1:$E$114,2,0)</f>
        <v>#N/A</v>
      </c>
      <c r="J2236" s="29">
        <f>'Raw data'!K2145</f>
        <v>0</v>
      </c>
      <c r="K2236" s="31">
        <f>'Raw data'!H2145</f>
        <v>0</v>
      </c>
      <c r="L2236" s="26">
        <f t="shared" si="72"/>
        <v>0</v>
      </c>
    </row>
    <row r="2237" spans="2:12">
      <c r="B2237" s="4" t="e">
        <f t="shared" si="71"/>
        <v>#N/A</v>
      </c>
      <c r="C2237" s="4">
        <f>'Raw data'!E1813</f>
        <v>0</v>
      </c>
      <c r="D2237" s="29" t="e">
        <f>VLOOKUP(C2237,'점포코드 '!A:B,2,0)</f>
        <v>#N/A</v>
      </c>
      <c r="E2237" s="30">
        <f>'Raw data'!P1813</f>
        <v>0</v>
      </c>
      <c r="F2237" s="29" t="e">
        <f>VLOOKUP(E2237,'점포코드 '!A:B,2,0)</f>
        <v>#N/A</v>
      </c>
      <c r="G2237" s="46">
        <f>'Raw data'!F2146</f>
        <v>0</v>
      </c>
      <c r="H2237" s="4">
        <f>'Raw data'!G2146</f>
        <v>0</v>
      </c>
      <c r="I2237" s="29" t="e">
        <f>VLOOKUP(G2237,제품명!$C$1:$E$114,2,0)</f>
        <v>#N/A</v>
      </c>
      <c r="J2237" s="29">
        <f>'Raw data'!K2146</f>
        <v>0</v>
      </c>
      <c r="K2237" s="31">
        <f>'Raw data'!H2146</f>
        <v>0</v>
      </c>
      <c r="L2237" s="26">
        <f t="shared" si="72"/>
        <v>0</v>
      </c>
    </row>
    <row r="2238" spans="2:12">
      <c r="B2238" s="4" t="e">
        <f t="shared" si="71"/>
        <v>#N/A</v>
      </c>
      <c r="C2238" s="4">
        <f>'Raw data'!E1814</f>
        <v>0</v>
      </c>
      <c r="D2238" s="29" t="e">
        <f>VLOOKUP(C2238,'점포코드 '!A:B,2,0)</f>
        <v>#N/A</v>
      </c>
      <c r="E2238" s="30">
        <f>'Raw data'!P1814</f>
        <v>0</v>
      </c>
      <c r="F2238" s="29" t="e">
        <f>VLOOKUP(E2238,'점포코드 '!A:B,2,0)</f>
        <v>#N/A</v>
      </c>
      <c r="G2238" s="46">
        <f>'Raw data'!F2147</f>
        <v>0</v>
      </c>
      <c r="H2238" s="4">
        <f>'Raw data'!G2147</f>
        <v>0</v>
      </c>
      <c r="I2238" s="29" t="e">
        <f>VLOOKUP(G2238,제품명!$C$1:$E$114,2,0)</f>
        <v>#N/A</v>
      </c>
      <c r="J2238" s="29">
        <f>'Raw data'!K2147</f>
        <v>0</v>
      </c>
      <c r="K2238" s="31">
        <f>'Raw data'!H2147</f>
        <v>0</v>
      </c>
      <c r="L2238" s="26">
        <f t="shared" si="72"/>
        <v>0</v>
      </c>
    </row>
    <row r="2239" spans="2:12">
      <c r="B2239" s="4" t="e">
        <f t="shared" si="71"/>
        <v>#N/A</v>
      </c>
      <c r="C2239" s="4">
        <f>'Raw data'!E1815</f>
        <v>0</v>
      </c>
      <c r="D2239" s="29" t="e">
        <f>VLOOKUP(C2239,'점포코드 '!A:B,2,0)</f>
        <v>#N/A</v>
      </c>
      <c r="E2239" s="30">
        <f>'Raw data'!P1815</f>
        <v>0</v>
      </c>
      <c r="F2239" s="29" t="e">
        <f>VLOOKUP(E2239,'점포코드 '!A:B,2,0)</f>
        <v>#N/A</v>
      </c>
      <c r="G2239" s="46">
        <f>'Raw data'!F2148</f>
        <v>0</v>
      </c>
      <c r="H2239" s="4">
        <f>'Raw data'!G2148</f>
        <v>0</v>
      </c>
      <c r="I2239" s="29" t="e">
        <f>VLOOKUP(G2239,제품명!$C$1:$E$114,2,0)</f>
        <v>#N/A</v>
      </c>
      <c r="J2239" s="29">
        <f>'Raw data'!K2148</f>
        <v>0</v>
      </c>
      <c r="K2239" s="31">
        <f>'Raw data'!H2148</f>
        <v>0</v>
      </c>
      <c r="L2239" s="26">
        <f t="shared" si="72"/>
        <v>0</v>
      </c>
    </row>
    <row r="2240" spans="2:12">
      <c r="B2240" s="4" t="e">
        <f t="shared" si="71"/>
        <v>#N/A</v>
      </c>
      <c r="C2240" s="4">
        <f>'Raw data'!E1816</f>
        <v>0</v>
      </c>
      <c r="D2240" s="29" t="e">
        <f>VLOOKUP(C2240,'점포코드 '!A:B,2,0)</f>
        <v>#N/A</v>
      </c>
      <c r="E2240" s="30">
        <f>'Raw data'!P1816</f>
        <v>0</v>
      </c>
      <c r="F2240" s="29" t="e">
        <f>VLOOKUP(E2240,'점포코드 '!A:B,2,0)</f>
        <v>#N/A</v>
      </c>
      <c r="G2240" s="46">
        <f>'Raw data'!F2149</f>
        <v>0</v>
      </c>
      <c r="H2240" s="4">
        <f>'Raw data'!G2149</f>
        <v>0</v>
      </c>
      <c r="I2240" s="29" t="e">
        <f>VLOOKUP(G2240,제품명!$C$1:$E$114,2,0)</f>
        <v>#N/A</v>
      </c>
      <c r="J2240" s="29">
        <f>'Raw data'!K2149</f>
        <v>0</v>
      </c>
      <c r="K2240" s="31">
        <f>'Raw data'!H2149</f>
        <v>0</v>
      </c>
      <c r="L2240" s="26">
        <f t="shared" si="72"/>
        <v>0</v>
      </c>
    </row>
    <row r="2241" spans="2:12">
      <c r="B2241" s="4" t="e">
        <f t="shared" si="71"/>
        <v>#N/A</v>
      </c>
      <c r="C2241" s="4">
        <f>'Raw data'!E1817</f>
        <v>0</v>
      </c>
      <c r="D2241" s="29" t="e">
        <f>VLOOKUP(C2241,'점포코드 '!A:B,2,0)</f>
        <v>#N/A</v>
      </c>
      <c r="E2241" s="30">
        <f>'Raw data'!P1817</f>
        <v>0</v>
      </c>
      <c r="F2241" s="29" t="e">
        <f>VLOOKUP(E2241,'점포코드 '!A:B,2,0)</f>
        <v>#N/A</v>
      </c>
      <c r="G2241" s="46">
        <f>'Raw data'!F2150</f>
        <v>0</v>
      </c>
      <c r="H2241" s="4">
        <f>'Raw data'!G2150</f>
        <v>0</v>
      </c>
      <c r="I2241" s="29" t="e">
        <f>VLOOKUP(G2241,제품명!$C$1:$E$114,2,0)</f>
        <v>#N/A</v>
      </c>
      <c r="J2241" s="29">
        <f>'Raw data'!K2150</f>
        <v>0</v>
      </c>
      <c r="K2241" s="31">
        <f>'Raw data'!H2150</f>
        <v>0</v>
      </c>
      <c r="L2241" s="26">
        <f t="shared" si="72"/>
        <v>0</v>
      </c>
    </row>
    <row r="2242" spans="2:12">
      <c r="B2242" s="4" t="e">
        <f t="shared" ref="B2242:B2305" si="73">F2242&amp;I2242</f>
        <v>#N/A</v>
      </c>
      <c r="C2242" s="4">
        <f>'Raw data'!E1818</f>
        <v>0</v>
      </c>
      <c r="D2242" s="29" t="e">
        <f>VLOOKUP(C2242,'점포코드 '!A:B,2,0)</f>
        <v>#N/A</v>
      </c>
      <c r="E2242" s="30">
        <f>'Raw data'!P1818</f>
        <v>0</v>
      </c>
      <c r="F2242" s="29" t="e">
        <f>VLOOKUP(E2242,'점포코드 '!A:B,2,0)</f>
        <v>#N/A</v>
      </c>
      <c r="G2242" s="46">
        <f>'Raw data'!F2151</f>
        <v>0</v>
      </c>
      <c r="H2242" s="4">
        <f>'Raw data'!G2151</f>
        <v>0</v>
      </c>
      <c r="I2242" s="29" t="e">
        <f>VLOOKUP(G2242,제품명!$C$1:$E$114,2,0)</f>
        <v>#N/A</v>
      </c>
      <c r="J2242" s="29">
        <f>'Raw data'!K2151</f>
        <v>0</v>
      </c>
      <c r="K2242" s="31">
        <f>'Raw data'!H2151</f>
        <v>0</v>
      </c>
      <c r="L2242" s="26">
        <f t="shared" si="72"/>
        <v>0</v>
      </c>
    </row>
    <row r="2243" spans="2:12">
      <c r="B2243" s="4" t="e">
        <f t="shared" si="73"/>
        <v>#N/A</v>
      </c>
      <c r="C2243" s="4">
        <f>'Raw data'!E1819</f>
        <v>0</v>
      </c>
      <c r="D2243" s="29" t="e">
        <f>VLOOKUP(C2243,'점포코드 '!A:B,2,0)</f>
        <v>#N/A</v>
      </c>
      <c r="E2243" s="30">
        <f>'Raw data'!P1819</f>
        <v>0</v>
      </c>
      <c r="F2243" s="29" t="e">
        <f>VLOOKUP(E2243,'점포코드 '!A:B,2,0)</f>
        <v>#N/A</v>
      </c>
      <c r="G2243" s="46">
        <f>'Raw data'!F2152</f>
        <v>0</v>
      </c>
      <c r="H2243" s="4">
        <f>'Raw data'!G2152</f>
        <v>0</v>
      </c>
      <c r="I2243" s="29" t="e">
        <f>VLOOKUP(G2243,제품명!$C$1:$E$114,2,0)</f>
        <v>#N/A</v>
      </c>
      <c r="J2243" s="29">
        <f>'Raw data'!K2152</f>
        <v>0</v>
      </c>
      <c r="K2243" s="31">
        <f>'Raw data'!H2152</f>
        <v>0</v>
      </c>
      <c r="L2243" s="26">
        <f t="shared" ref="L2243:L2306" si="74">J2243*K2243</f>
        <v>0</v>
      </c>
    </row>
    <row r="2244" spans="2:12">
      <c r="B2244" s="4" t="e">
        <f t="shared" si="73"/>
        <v>#N/A</v>
      </c>
      <c r="C2244" s="4">
        <f>'Raw data'!E1820</f>
        <v>0</v>
      </c>
      <c r="D2244" s="29" t="e">
        <f>VLOOKUP(C2244,'점포코드 '!A:B,2,0)</f>
        <v>#N/A</v>
      </c>
      <c r="E2244" s="30">
        <f>'Raw data'!P1820</f>
        <v>0</v>
      </c>
      <c r="F2244" s="29" t="e">
        <f>VLOOKUP(E2244,'점포코드 '!A:B,2,0)</f>
        <v>#N/A</v>
      </c>
      <c r="G2244" s="46">
        <f>'Raw data'!F2153</f>
        <v>0</v>
      </c>
      <c r="H2244" s="4">
        <f>'Raw data'!G2153</f>
        <v>0</v>
      </c>
      <c r="I2244" s="29" t="e">
        <f>VLOOKUP(G2244,제품명!$C$1:$E$114,2,0)</f>
        <v>#N/A</v>
      </c>
      <c r="J2244" s="29">
        <f>'Raw data'!K2153</f>
        <v>0</v>
      </c>
      <c r="K2244" s="31">
        <f>'Raw data'!H2153</f>
        <v>0</v>
      </c>
      <c r="L2244" s="26">
        <f t="shared" si="74"/>
        <v>0</v>
      </c>
    </row>
    <row r="2245" spans="2:12">
      <c r="B2245" s="4" t="e">
        <f t="shared" si="73"/>
        <v>#N/A</v>
      </c>
      <c r="C2245" s="4">
        <f>'Raw data'!E1821</f>
        <v>0</v>
      </c>
      <c r="D2245" s="29" t="e">
        <f>VLOOKUP(C2245,'점포코드 '!A:B,2,0)</f>
        <v>#N/A</v>
      </c>
      <c r="E2245" s="30">
        <f>'Raw data'!P1821</f>
        <v>0</v>
      </c>
      <c r="F2245" s="29" t="e">
        <f>VLOOKUP(E2245,'점포코드 '!A:B,2,0)</f>
        <v>#N/A</v>
      </c>
      <c r="G2245" s="46">
        <f>'Raw data'!F2154</f>
        <v>0</v>
      </c>
      <c r="H2245" s="4">
        <f>'Raw data'!G2154</f>
        <v>0</v>
      </c>
      <c r="I2245" s="29" t="e">
        <f>VLOOKUP(G2245,제품명!$C$1:$E$114,2,0)</f>
        <v>#N/A</v>
      </c>
      <c r="J2245" s="29">
        <f>'Raw data'!K2154</f>
        <v>0</v>
      </c>
      <c r="K2245" s="31">
        <f>'Raw data'!H2154</f>
        <v>0</v>
      </c>
      <c r="L2245" s="26">
        <f t="shared" si="74"/>
        <v>0</v>
      </c>
    </row>
    <row r="2246" spans="2:12">
      <c r="B2246" s="4" t="e">
        <f t="shared" si="73"/>
        <v>#N/A</v>
      </c>
      <c r="C2246" s="4">
        <f>'Raw data'!E1822</f>
        <v>0</v>
      </c>
      <c r="D2246" s="29" t="e">
        <f>VLOOKUP(C2246,'점포코드 '!A:B,2,0)</f>
        <v>#N/A</v>
      </c>
      <c r="E2246" s="30">
        <f>'Raw data'!P1822</f>
        <v>0</v>
      </c>
      <c r="F2246" s="29" t="e">
        <f>VLOOKUP(E2246,'점포코드 '!A:B,2,0)</f>
        <v>#N/A</v>
      </c>
      <c r="G2246" s="46">
        <f>'Raw data'!F2155</f>
        <v>0</v>
      </c>
      <c r="H2246" s="4">
        <f>'Raw data'!G2155</f>
        <v>0</v>
      </c>
      <c r="I2246" s="29" t="e">
        <f>VLOOKUP(G2246,제품명!$C$1:$E$114,2,0)</f>
        <v>#N/A</v>
      </c>
      <c r="J2246" s="29">
        <f>'Raw data'!K2155</f>
        <v>0</v>
      </c>
      <c r="K2246" s="31">
        <f>'Raw data'!H2155</f>
        <v>0</v>
      </c>
      <c r="L2246" s="26">
        <f t="shared" si="74"/>
        <v>0</v>
      </c>
    </row>
    <row r="2247" spans="2:12">
      <c r="B2247" s="4" t="e">
        <f t="shared" si="73"/>
        <v>#N/A</v>
      </c>
      <c r="C2247" s="4">
        <f>'Raw data'!E1823</f>
        <v>0</v>
      </c>
      <c r="D2247" s="29" t="e">
        <f>VLOOKUP(C2247,'점포코드 '!A:B,2,0)</f>
        <v>#N/A</v>
      </c>
      <c r="E2247" s="30">
        <f>'Raw data'!P1823</f>
        <v>0</v>
      </c>
      <c r="F2247" s="29" t="e">
        <f>VLOOKUP(E2247,'점포코드 '!A:B,2,0)</f>
        <v>#N/A</v>
      </c>
      <c r="G2247" s="46">
        <f>'Raw data'!F2156</f>
        <v>0</v>
      </c>
      <c r="H2247" s="4">
        <f>'Raw data'!G2156</f>
        <v>0</v>
      </c>
      <c r="I2247" s="29" t="e">
        <f>VLOOKUP(G2247,제품명!$C$1:$E$114,2,0)</f>
        <v>#N/A</v>
      </c>
      <c r="J2247" s="29">
        <f>'Raw data'!K2156</f>
        <v>0</v>
      </c>
      <c r="K2247" s="31">
        <f>'Raw data'!H2156</f>
        <v>0</v>
      </c>
      <c r="L2247" s="26">
        <f t="shared" si="74"/>
        <v>0</v>
      </c>
    </row>
    <row r="2248" spans="2:12">
      <c r="B2248" s="4" t="e">
        <f t="shared" si="73"/>
        <v>#N/A</v>
      </c>
      <c r="C2248" s="4">
        <f>'Raw data'!E1824</f>
        <v>0</v>
      </c>
      <c r="D2248" s="29" t="e">
        <f>VLOOKUP(C2248,'점포코드 '!A:B,2,0)</f>
        <v>#N/A</v>
      </c>
      <c r="E2248" s="30">
        <f>'Raw data'!P1824</f>
        <v>0</v>
      </c>
      <c r="F2248" s="29" t="e">
        <f>VLOOKUP(E2248,'점포코드 '!A:B,2,0)</f>
        <v>#N/A</v>
      </c>
      <c r="G2248" s="46">
        <f>'Raw data'!F2157</f>
        <v>0</v>
      </c>
      <c r="H2248" s="4">
        <f>'Raw data'!G2157</f>
        <v>0</v>
      </c>
      <c r="I2248" s="29" t="e">
        <f>VLOOKUP(G2248,제품명!$C$1:$E$114,2,0)</f>
        <v>#N/A</v>
      </c>
      <c r="J2248" s="29">
        <f>'Raw data'!K2157</f>
        <v>0</v>
      </c>
      <c r="K2248" s="31">
        <f>'Raw data'!H2157</f>
        <v>0</v>
      </c>
      <c r="L2248" s="26">
        <f t="shared" si="74"/>
        <v>0</v>
      </c>
    </row>
    <row r="2249" spans="2:12">
      <c r="B2249" s="4" t="e">
        <f t="shared" si="73"/>
        <v>#N/A</v>
      </c>
      <c r="C2249" s="4">
        <f>'Raw data'!E1825</f>
        <v>0</v>
      </c>
      <c r="D2249" s="29" t="e">
        <f>VLOOKUP(C2249,'점포코드 '!A:B,2,0)</f>
        <v>#N/A</v>
      </c>
      <c r="E2249" s="30">
        <f>'Raw data'!P1825</f>
        <v>0</v>
      </c>
      <c r="F2249" s="29" t="e">
        <f>VLOOKUP(E2249,'점포코드 '!A:B,2,0)</f>
        <v>#N/A</v>
      </c>
      <c r="G2249" s="46">
        <f>'Raw data'!F2158</f>
        <v>0</v>
      </c>
      <c r="H2249" s="4">
        <f>'Raw data'!G2158</f>
        <v>0</v>
      </c>
      <c r="I2249" s="29" t="e">
        <f>VLOOKUP(G2249,제품명!$C$1:$E$114,2,0)</f>
        <v>#N/A</v>
      </c>
      <c r="J2249" s="29">
        <f>'Raw data'!K2158</f>
        <v>0</v>
      </c>
      <c r="K2249" s="31">
        <f>'Raw data'!H2158</f>
        <v>0</v>
      </c>
      <c r="L2249" s="26">
        <f t="shared" si="74"/>
        <v>0</v>
      </c>
    </row>
    <row r="2250" spans="2:12">
      <c r="B2250" s="4" t="e">
        <f t="shared" si="73"/>
        <v>#N/A</v>
      </c>
      <c r="C2250" s="4">
        <f>'Raw data'!E1826</f>
        <v>0</v>
      </c>
      <c r="D2250" s="29" t="e">
        <f>VLOOKUP(C2250,'점포코드 '!A:B,2,0)</f>
        <v>#N/A</v>
      </c>
      <c r="E2250" s="30">
        <f>'Raw data'!P1826</f>
        <v>0</v>
      </c>
      <c r="F2250" s="29" t="e">
        <f>VLOOKUP(E2250,'점포코드 '!A:B,2,0)</f>
        <v>#N/A</v>
      </c>
      <c r="G2250" s="46">
        <f>'Raw data'!F2159</f>
        <v>0</v>
      </c>
      <c r="H2250" s="4">
        <f>'Raw data'!G2159</f>
        <v>0</v>
      </c>
      <c r="I2250" s="29" t="e">
        <f>VLOOKUP(G2250,제품명!$C$1:$E$114,2,0)</f>
        <v>#N/A</v>
      </c>
      <c r="J2250" s="29">
        <f>'Raw data'!K2159</f>
        <v>0</v>
      </c>
      <c r="K2250" s="31">
        <f>'Raw data'!H2159</f>
        <v>0</v>
      </c>
      <c r="L2250" s="26">
        <f t="shared" si="74"/>
        <v>0</v>
      </c>
    </row>
    <row r="2251" spans="2:12">
      <c r="B2251" s="4" t="e">
        <f t="shared" si="73"/>
        <v>#N/A</v>
      </c>
      <c r="C2251" s="4">
        <f>'Raw data'!E1827</f>
        <v>0</v>
      </c>
      <c r="D2251" s="29" t="e">
        <f>VLOOKUP(C2251,'점포코드 '!A:B,2,0)</f>
        <v>#N/A</v>
      </c>
      <c r="E2251" s="30">
        <f>'Raw data'!P1827</f>
        <v>0</v>
      </c>
      <c r="F2251" s="29" t="e">
        <f>VLOOKUP(E2251,'점포코드 '!A:B,2,0)</f>
        <v>#N/A</v>
      </c>
      <c r="G2251" s="46">
        <f>'Raw data'!F2160</f>
        <v>0</v>
      </c>
      <c r="H2251" s="4">
        <f>'Raw data'!G2160</f>
        <v>0</v>
      </c>
      <c r="I2251" s="29" t="e">
        <f>VLOOKUP(G2251,제품명!$C$1:$E$114,2,0)</f>
        <v>#N/A</v>
      </c>
      <c r="J2251" s="29">
        <f>'Raw data'!K2160</f>
        <v>0</v>
      </c>
      <c r="K2251" s="31">
        <f>'Raw data'!H2160</f>
        <v>0</v>
      </c>
      <c r="L2251" s="26">
        <f t="shared" si="74"/>
        <v>0</v>
      </c>
    </row>
    <row r="2252" spans="2:12">
      <c r="B2252" s="4" t="e">
        <f t="shared" si="73"/>
        <v>#N/A</v>
      </c>
      <c r="C2252" s="4">
        <f>'Raw data'!E1828</f>
        <v>0</v>
      </c>
      <c r="D2252" s="29" t="e">
        <f>VLOOKUP(C2252,'점포코드 '!A:B,2,0)</f>
        <v>#N/A</v>
      </c>
      <c r="E2252" s="30">
        <f>'Raw data'!P1828</f>
        <v>0</v>
      </c>
      <c r="F2252" s="29" t="e">
        <f>VLOOKUP(E2252,'점포코드 '!A:B,2,0)</f>
        <v>#N/A</v>
      </c>
      <c r="G2252" s="46">
        <f>'Raw data'!F2161</f>
        <v>0</v>
      </c>
      <c r="H2252" s="4">
        <f>'Raw data'!G2161</f>
        <v>0</v>
      </c>
      <c r="I2252" s="29" t="e">
        <f>VLOOKUP(G2252,제품명!$C$1:$E$114,2,0)</f>
        <v>#N/A</v>
      </c>
      <c r="J2252" s="29">
        <f>'Raw data'!K2161</f>
        <v>0</v>
      </c>
      <c r="K2252" s="31">
        <f>'Raw data'!H2161</f>
        <v>0</v>
      </c>
      <c r="L2252" s="26">
        <f t="shared" si="74"/>
        <v>0</v>
      </c>
    </row>
    <row r="2253" spans="2:12">
      <c r="B2253" s="4" t="e">
        <f t="shared" si="73"/>
        <v>#N/A</v>
      </c>
      <c r="C2253" s="4">
        <f>'Raw data'!E1829</f>
        <v>0</v>
      </c>
      <c r="D2253" s="29" t="e">
        <f>VLOOKUP(C2253,'점포코드 '!A:B,2,0)</f>
        <v>#N/A</v>
      </c>
      <c r="E2253" s="30">
        <f>'Raw data'!P1829</f>
        <v>0</v>
      </c>
      <c r="F2253" s="29" t="e">
        <f>VLOOKUP(E2253,'점포코드 '!A:B,2,0)</f>
        <v>#N/A</v>
      </c>
      <c r="G2253" s="46">
        <f>'Raw data'!F2162</f>
        <v>0</v>
      </c>
      <c r="H2253" s="4">
        <f>'Raw data'!G2162</f>
        <v>0</v>
      </c>
      <c r="I2253" s="29" t="e">
        <f>VLOOKUP(G2253,제품명!$C$1:$E$114,2,0)</f>
        <v>#N/A</v>
      </c>
      <c r="J2253" s="29">
        <f>'Raw data'!K2162</f>
        <v>0</v>
      </c>
      <c r="K2253" s="31">
        <f>'Raw data'!H2162</f>
        <v>0</v>
      </c>
      <c r="L2253" s="26">
        <f t="shared" si="74"/>
        <v>0</v>
      </c>
    </row>
    <row r="2254" spans="2:12">
      <c r="B2254" s="4" t="e">
        <f t="shared" si="73"/>
        <v>#N/A</v>
      </c>
      <c r="C2254" s="4">
        <f>'Raw data'!E1830</f>
        <v>0</v>
      </c>
      <c r="D2254" s="29" t="e">
        <f>VLOOKUP(C2254,'점포코드 '!A:B,2,0)</f>
        <v>#N/A</v>
      </c>
      <c r="E2254" s="30">
        <f>'Raw data'!P1830</f>
        <v>0</v>
      </c>
      <c r="F2254" s="29" t="e">
        <f>VLOOKUP(E2254,'점포코드 '!A:B,2,0)</f>
        <v>#N/A</v>
      </c>
      <c r="G2254" s="46">
        <f>'Raw data'!F2163</f>
        <v>0</v>
      </c>
      <c r="H2254" s="4">
        <f>'Raw data'!G2163</f>
        <v>0</v>
      </c>
      <c r="I2254" s="29" t="e">
        <f>VLOOKUP(G2254,제품명!$C$1:$E$114,2,0)</f>
        <v>#N/A</v>
      </c>
      <c r="J2254" s="29">
        <f>'Raw data'!K2163</f>
        <v>0</v>
      </c>
      <c r="K2254" s="31">
        <f>'Raw data'!H2163</f>
        <v>0</v>
      </c>
      <c r="L2254" s="26">
        <f t="shared" si="74"/>
        <v>0</v>
      </c>
    </row>
    <row r="2255" spans="2:12">
      <c r="B2255" s="4" t="e">
        <f t="shared" si="73"/>
        <v>#N/A</v>
      </c>
      <c r="C2255" s="4">
        <f>'Raw data'!E1831</f>
        <v>0</v>
      </c>
      <c r="D2255" s="29" t="e">
        <f>VLOOKUP(C2255,'점포코드 '!A:B,2,0)</f>
        <v>#N/A</v>
      </c>
      <c r="E2255" s="30">
        <f>'Raw data'!P1831</f>
        <v>0</v>
      </c>
      <c r="F2255" s="29" t="e">
        <f>VLOOKUP(E2255,'점포코드 '!A:B,2,0)</f>
        <v>#N/A</v>
      </c>
      <c r="G2255" s="46">
        <f>'Raw data'!F2164</f>
        <v>0</v>
      </c>
      <c r="H2255" s="4">
        <f>'Raw data'!G2164</f>
        <v>0</v>
      </c>
      <c r="I2255" s="29" t="e">
        <f>VLOOKUP(G2255,제품명!$C$1:$E$114,2,0)</f>
        <v>#N/A</v>
      </c>
      <c r="J2255" s="29">
        <f>'Raw data'!K2164</f>
        <v>0</v>
      </c>
      <c r="K2255" s="31">
        <f>'Raw data'!H2164</f>
        <v>0</v>
      </c>
      <c r="L2255" s="26">
        <f t="shared" si="74"/>
        <v>0</v>
      </c>
    </row>
    <row r="2256" spans="2:12">
      <c r="B2256" s="4" t="e">
        <f t="shared" si="73"/>
        <v>#N/A</v>
      </c>
      <c r="C2256" s="4">
        <f>'Raw data'!E1832</f>
        <v>0</v>
      </c>
      <c r="D2256" s="29" t="e">
        <f>VLOOKUP(C2256,'점포코드 '!A:B,2,0)</f>
        <v>#N/A</v>
      </c>
      <c r="E2256" s="30">
        <f>'Raw data'!P1832</f>
        <v>0</v>
      </c>
      <c r="F2256" s="29" t="e">
        <f>VLOOKUP(E2256,'점포코드 '!A:B,2,0)</f>
        <v>#N/A</v>
      </c>
      <c r="G2256" s="46">
        <f>'Raw data'!F2165</f>
        <v>0</v>
      </c>
      <c r="H2256" s="4">
        <f>'Raw data'!G2165</f>
        <v>0</v>
      </c>
      <c r="I2256" s="29" t="e">
        <f>VLOOKUP(G2256,제품명!$C$1:$E$114,2,0)</f>
        <v>#N/A</v>
      </c>
      <c r="J2256" s="29">
        <f>'Raw data'!K2165</f>
        <v>0</v>
      </c>
      <c r="K2256" s="31">
        <f>'Raw data'!H2165</f>
        <v>0</v>
      </c>
      <c r="L2256" s="26">
        <f t="shared" si="74"/>
        <v>0</v>
      </c>
    </row>
    <row r="2257" spans="2:12">
      <c r="B2257" s="4" t="e">
        <f t="shared" si="73"/>
        <v>#N/A</v>
      </c>
      <c r="C2257" s="4">
        <f>'Raw data'!E1833</f>
        <v>0</v>
      </c>
      <c r="D2257" s="29" t="e">
        <f>VLOOKUP(C2257,'점포코드 '!A:B,2,0)</f>
        <v>#N/A</v>
      </c>
      <c r="E2257" s="30">
        <f>'Raw data'!P1833</f>
        <v>0</v>
      </c>
      <c r="F2257" s="29" t="e">
        <f>VLOOKUP(E2257,'점포코드 '!A:B,2,0)</f>
        <v>#N/A</v>
      </c>
      <c r="G2257" s="46">
        <f>'Raw data'!F2166</f>
        <v>0</v>
      </c>
      <c r="H2257" s="4">
        <f>'Raw data'!G2166</f>
        <v>0</v>
      </c>
      <c r="I2257" s="29" t="e">
        <f>VLOOKUP(G2257,제품명!$C$1:$E$114,2,0)</f>
        <v>#N/A</v>
      </c>
      <c r="J2257" s="29">
        <f>'Raw data'!K2166</f>
        <v>0</v>
      </c>
      <c r="K2257" s="31">
        <f>'Raw data'!H2166</f>
        <v>0</v>
      </c>
      <c r="L2257" s="26">
        <f t="shared" si="74"/>
        <v>0</v>
      </c>
    </row>
    <row r="2258" spans="2:12">
      <c r="B2258" s="4" t="e">
        <f t="shared" si="73"/>
        <v>#N/A</v>
      </c>
      <c r="C2258" s="4">
        <f>'Raw data'!E1834</f>
        <v>0</v>
      </c>
      <c r="D2258" s="29" t="e">
        <f>VLOOKUP(C2258,'점포코드 '!A:B,2,0)</f>
        <v>#N/A</v>
      </c>
      <c r="E2258" s="30">
        <f>'Raw data'!P1834</f>
        <v>0</v>
      </c>
      <c r="F2258" s="29" t="e">
        <f>VLOOKUP(E2258,'점포코드 '!A:B,2,0)</f>
        <v>#N/A</v>
      </c>
      <c r="G2258" s="46">
        <f>'Raw data'!F2167</f>
        <v>0</v>
      </c>
      <c r="H2258" s="4">
        <f>'Raw data'!G2167</f>
        <v>0</v>
      </c>
      <c r="I2258" s="29" t="e">
        <f>VLOOKUP(G2258,제품명!$C$1:$E$114,2,0)</f>
        <v>#N/A</v>
      </c>
      <c r="J2258" s="29">
        <f>'Raw data'!K2167</f>
        <v>0</v>
      </c>
      <c r="K2258" s="31">
        <f>'Raw data'!H2167</f>
        <v>0</v>
      </c>
      <c r="L2258" s="26">
        <f t="shared" si="74"/>
        <v>0</v>
      </c>
    </row>
    <row r="2259" spans="2:12">
      <c r="B2259" s="4" t="e">
        <f t="shared" si="73"/>
        <v>#N/A</v>
      </c>
      <c r="C2259" s="4">
        <f>'Raw data'!E1835</f>
        <v>0</v>
      </c>
      <c r="D2259" s="29" t="e">
        <f>VLOOKUP(C2259,'점포코드 '!A:B,2,0)</f>
        <v>#N/A</v>
      </c>
      <c r="E2259" s="30">
        <f>'Raw data'!P1835</f>
        <v>0</v>
      </c>
      <c r="F2259" s="29" t="e">
        <f>VLOOKUP(E2259,'점포코드 '!A:B,2,0)</f>
        <v>#N/A</v>
      </c>
      <c r="G2259" s="46">
        <f>'Raw data'!F2168</f>
        <v>0</v>
      </c>
      <c r="H2259" s="4">
        <f>'Raw data'!G2168</f>
        <v>0</v>
      </c>
      <c r="I2259" s="29" t="e">
        <f>VLOOKUP(G2259,제품명!$C$1:$E$114,2,0)</f>
        <v>#N/A</v>
      </c>
      <c r="J2259" s="29">
        <f>'Raw data'!K2168</f>
        <v>0</v>
      </c>
      <c r="K2259" s="31">
        <f>'Raw data'!H2168</f>
        <v>0</v>
      </c>
      <c r="L2259" s="26">
        <f t="shared" si="74"/>
        <v>0</v>
      </c>
    </row>
    <row r="2260" spans="2:12">
      <c r="B2260" s="4" t="e">
        <f t="shared" si="73"/>
        <v>#N/A</v>
      </c>
      <c r="C2260" s="4">
        <f>'Raw data'!E1836</f>
        <v>0</v>
      </c>
      <c r="D2260" s="29" t="e">
        <f>VLOOKUP(C2260,'점포코드 '!A:B,2,0)</f>
        <v>#N/A</v>
      </c>
      <c r="E2260" s="30">
        <f>'Raw data'!P1836</f>
        <v>0</v>
      </c>
      <c r="F2260" s="29" t="e">
        <f>VLOOKUP(E2260,'점포코드 '!A:B,2,0)</f>
        <v>#N/A</v>
      </c>
      <c r="G2260" s="46">
        <f>'Raw data'!F2169</f>
        <v>0</v>
      </c>
      <c r="H2260" s="4">
        <f>'Raw data'!G2169</f>
        <v>0</v>
      </c>
      <c r="I2260" s="29" t="e">
        <f>VLOOKUP(G2260,제품명!$C$1:$E$114,2,0)</f>
        <v>#N/A</v>
      </c>
      <c r="J2260" s="29">
        <f>'Raw data'!K2169</f>
        <v>0</v>
      </c>
      <c r="K2260" s="31">
        <f>'Raw data'!H2169</f>
        <v>0</v>
      </c>
      <c r="L2260" s="26">
        <f t="shared" si="74"/>
        <v>0</v>
      </c>
    </row>
    <row r="2261" spans="2:12">
      <c r="B2261" s="4" t="e">
        <f t="shared" si="73"/>
        <v>#N/A</v>
      </c>
      <c r="C2261" s="4">
        <f>'Raw data'!E1837</f>
        <v>0</v>
      </c>
      <c r="D2261" s="29" t="e">
        <f>VLOOKUP(C2261,'점포코드 '!A:B,2,0)</f>
        <v>#N/A</v>
      </c>
      <c r="E2261" s="30">
        <f>'Raw data'!P1837</f>
        <v>0</v>
      </c>
      <c r="F2261" s="29" t="e">
        <f>VLOOKUP(E2261,'점포코드 '!A:B,2,0)</f>
        <v>#N/A</v>
      </c>
      <c r="G2261" s="46">
        <f>'Raw data'!F2170</f>
        <v>0</v>
      </c>
      <c r="H2261" s="4">
        <f>'Raw data'!G2170</f>
        <v>0</v>
      </c>
      <c r="I2261" s="29" t="e">
        <f>VLOOKUP(G2261,제품명!$C$1:$E$114,2,0)</f>
        <v>#N/A</v>
      </c>
      <c r="J2261" s="29">
        <f>'Raw data'!K2170</f>
        <v>0</v>
      </c>
      <c r="K2261" s="31">
        <f>'Raw data'!H2170</f>
        <v>0</v>
      </c>
      <c r="L2261" s="26">
        <f t="shared" si="74"/>
        <v>0</v>
      </c>
    </row>
    <row r="2262" spans="2:12">
      <c r="B2262" s="4" t="e">
        <f t="shared" si="73"/>
        <v>#N/A</v>
      </c>
      <c r="C2262" s="4">
        <f>'Raw data'!E1838</f>
        <v>0</v>
      </c>
      <c r="D2262" s="29" t="e">
        <f>VLOOKUP(C2262,'점포코드 '!A:B,2,0)</f>
        <v>#N/A</v>
      </c>
      <c r="E2262" s="30">
        <f>'Raw data'!P1838</f>
        <v>0</v>
      </c>
      <c r="F2262" s="29" t="e">
        <f>VLOOKUP(E2262,'점포코드 '!A:B,2,0)</f>
        <v>#N/A</v>
      </c>
      <c r="G2262" s="46">
        <f>'Raw data'!F2171</f>
        <v>0</v>
      </c>
      <c r="H2262" s="4">
        <f>'Raw data'!G2171</f>
        <v>0</v>
      </c>
      <c r="I2262" s="29" t="e">
        <f>VLOOKUP(G2262,제품명!$C$1:$E$114,2,0)</f>
        <v>#N/A</v>
      </c>
      <c r="J2262" s="29">
        <f>'Raw data'!K2171</f>
        <v>0</v>
      </c>
      <c r="K2262" s="31">
        <f>'Raw data'!H2171</f>
        <v>0</v>
      </c>
      <c r="L2262" s="26">
        <f t="shared" si="74"/>
        <v>0</v>
      </c>
    </row>
    <row r="2263" spans="2:12">
      <c r="B2263" s="4" t="e">
        <f t="shared" si="73"/>
        <v>#N/A</v>
      </c>
      <c r="C2263" s="4">
        <f>'Raw data'!E1839</f>
        <v>0</v>
      </c>
      <c r="D2263" s="29" t="e">
        <f>VLOOKUP(C2263,'점포코드 '!A:B,2,0)</f>
        <v>#N/A</v>
      </c>
      <c r="E2263" s="30">
        <f>'Raw data'!P1839</f>
        <v>0</v>
      </c>
      <c r="F2263" s="29" t="e">
        <f>VLOOKUP(E2263,'점포코드 '!A:B,2,0)</f>
        <v>#N/A</v>
      </c>
      <c r="G2263" s="46">
        <f>'Raw data'!F2172</f>
        <v>0</v>
      </c>
      <c r="H2263" s="4">
        <f>'Raw data'!G2172</f>
        <v>0</v>
      </c>
      <c r="I2263" s="29" t="e">
        <f>VLOOKUP(G2263,제품명!$C$1:$E$114,2,0)</f>
        <v>#N/A</v>
      </c>
      <c r="J2263" s="29">
        <f>'Raw data'!K2172</f>
        <v>0</v>
      </c>
      <c r="K2263" s="31">
        <f>'Raw data'!H2172</f>
        <v>0</v>
      </c>
      <c r="L2263" s="26">
        <f t="shared" si="74"/>
        <v>0</v>
      </c>
    </row>
    <row r="2264" spans="2:12">
      <c r="B2264" s="4" t="e">
        <f t="shared" si="73"/>
        <v>#N/A</v>
      </c>
      <c r="C2264" s="4">
        <f>'Raw data'!E1840</f>
        <v>0</v>
      </c>
      <c r="D2264" s="29" t="e">
        <f>VLOOKUP(C2264,'점포코드 '!A:B,2,0)</f>
        <v>#N/A</v>
      </c>
      <c r="E2264" s="30">
        <f>'Raw data'!P1840</f>
        <v>0</v>
      </c>
      <c r="F2264" s="29" t="e">
        <f>VLOOKUP(E2264,'점포코드 '!A:B,2,0)</f>
        <v>#N/A</v>
      </c>
      <c r="G2264" s="46">
        <f>'Raw data'!F2173</f>
        <v>0</v>
      </c>
      <c r="H2264" s="4">
        <f>'Raw data'!G2173</f>
        <v>0</v>
      </c>
      <c r="I2264" s="29" t="e">
        <f>VLOOKUP(G2264,제품명!$C$1:$E$114,2,0)</f>
        <v>#N/A</v>
      </c>
      <c r="J2264" s="29">
        <f>'Raw data'!K2173</f>
        <v>0</v>
      </c>
      <c r="K2264" s="31">
        <f>'Raw data'!H2173</f>
        <v>0</v>
      </c>
      <c r="L2264" s="26">
        <f t="shared" si="74"/>
        <v>0</v>
      </c>
    </row>
    <row r="2265" spans="2:12">
      <c r="B2265" s="4" t="e">
        <f t="shared" si="73"/>
        <v>#N/A</v>
      </c>
      <c r="C2265" s="4">
        <f>'Raw data'!E1841</f>
        <v>0</v>
      </c>
      <c r="D2265" s="29" t="e">
        <f>VLOOKUP(C2265,'점포코드 '!A:B,2,0)</f>
        <v>#N/A</v>
      </c>
      <c r="E2265" s="30">
        <f>'Raw data'!P1841</f>
        <v>0</v>
      </c>
      <c r="F2265" s="29" t="e">
        <f>VLOOKUP(E2265,'점포코드 '!A:B,2,0)</f>
        <v>#N/A</v>
      </c>
      <c r="G2265" s="46">
        <f>'Raw data'!F2174</f>
        <v>0</v>
      </c>
      <c r="H2265" s="4">
        <f>'Raw data'!G2174</f>
        <v>0</v>
      </c>
      <c r="I2265" s="29" t="e">
        <f>VLOOKUP(G2265,제품명!$C$1:$E$114,2,0)</f>
        <v>#N/A</v>
      </c>
      <c r="J2265" s="29">
        <f>'Raw data'!K2174</f>
        <v>0</v>
      </c>
      <c r="K2265" s="31">
        <f>'Raw data'!H2174</f>
        <v>0</v>
      </c>
      <c r="L2265" s="26">
        <f t="shared" si="74"/>
        <v>0</v>
      </c>
    </row>
    <row r="2266" spans="2:12">
      <c r="B2266" s="4" t="e">
        <f t="shared" si="73"/>
        <v>#N/A</v>
      </c>
      <c r="C2266" s="4">
        <f>'Raw data'!E1842</f>
        <v>0</v>
      </c>
      <c r="D2266" s="29" t="e">
        <f>VLOOKUP(C2266,'점포코드 '!A:B,2,0)</f>
        <v>#N/A</v>
      </c>
      <c r="E2266" s="30">
        <f>'Raw data'!P1842</f>
        <v>0</v>
      </c>
      <c r="F2266" s="29" t="e">
        <f>VLOOKUP(E2266,'점포코드 '!A:B,2,0)</f>
        <v>#N/A</v>
      </c>
      <c r="G2266" s="46">
        <f>'Raw data'!F2175</f>
        <v>0</v>
      </c>
      <c r="H2266" s="4">
        <f>'Raw data'!G2175</f>
        <v>0</v>
      </c>
      <c r="I2266" s="29" t="e">
        <f>VLOOKUP(G2266,제품명!$C$1:$E$114,2,0)</f>
        <v>#N/A</v>
      </c>
      <c r="J2266" s="29">
        <f>'Raw data'!K2175</f>
        <v>0</v>
      </c>
      <c r="K2266" s="31">
        <f>'Raw data'!H2175</f>
        <v>0</v>
      </c>
      <c r="L2266" s="26">
        <f t="shared" si="74"/>
        <v>0</v>
      </c>
    </row>
    <row r="2267" spans="2:12">
      <c r="B2267" s="4" t="e">
        <f t="shared" si="73"/>
        <v>#N/A</v>
      </c>
      <c r="C2267" s="4">
        <f>'Raw data'!E1843</f>
        <v>0</v>
      </c>
      <c r="D2267" s="29" t="e">
        <f>VLOOKUP(C2267,'점포코드 '!A:B,2,0)</f>
        <v>#N/A</v>
      </c>
      <c r="E2267" s="30">
        <f>'Raw data'!P1843</f>
        <v>0</v>
      </c>
      <c r="F2267" s="29" t="e">
        <f>VLOOKUP(E2267,'점포코드 '!A:B,2,0)</f>
        <v>#N/A</v>
      </c>
      <c r="G2267" s="46">
        <f>'Raw data'!F2176</f>
        <v>0</v>
      </c>
      <c r="H2267" s="4">
        <f>'Raw data'!G2176</f>
        <v>0</v>
      </c>
      <c r="I2267" s="29" t="e">
        <f>VLOOKUP(G2267,제품명!$C$1:$E$114,2,0)</f>
        <v>#N/A</v>
      </c>
      <c r="J2267" s="29">
        <f>'Raw data'!K2176</f>
        <v>0</v>
      </c>
      <c r="K2267" s="31">
        <f>'Raw data'!H2176</f>
        <v>0</v>
      </c>
      <c r="L2267" s="26">
        <f t="shared" si="74"/>
        <v>0</v>
      </c>
    </row>
    <row r="2268" spans="2:12">
      <c r="B2268" s="4" t="e">
        <f t="shared" si="73"/>
        <v>#N/A</v>
      </c>
      <c r="C2268" s="4">
        <f>'Raw data'!E1844</f>
        <v>0</v>
      </c>
      <c r="D2268" s="29" t="e">
        <f>VLOOKUP(C2268,'점포코드 '!A:B,2,0)</f>
        <v>#N/A</v>
      </c>
      <c r="E2268" s="30">
        <f>'Raw data'!P1844</f>
        <v>0</v>
      </c>
      <c r="F2268" s="29" t="e">
        <f>VLOOKUP(E2268,'점포코드 '!A:B,2,0)</f>
        <v>#N/A</v>
      </c>
      <c r="G2268" s="46">
        <f>'Raw data'!F2177</f>
        <v>0</v>
      </c>
      <c r="H2268" s="4">
        <f>'Raw data'!G2177</f>
        <v>0</v>
      </c>
      <c r="I2268" s="29" t="e">
        <f>VLOOKUP(G2268,제품명!$C$1:$E$114,2,0)</f>
        <v>#N/A</v>
      </c>
      <c r="J2268" s="29">
        <f>'Raw data'!K2177</f>
        <v>0</v>
      </c>
      <c r="K2268" s="31">
        <f>'Raw data'!H2177</f>
        <v>0</v>
      </c>
      <c r="L2268" s="26">
        <f t="shared" si="74"/>
        <v>0</v>
      </c>
    </row>
    <row r="2269" spans="2:12">
      <c r="B2269" s="4" t="e">
        <f t="shared" si="73"/>
        <v>#N/A</v>
      </c>
      <c r="C2269" s="4">
        <f>'Raw data'!E1845</f>
        <v>0</v>
      </c>
      <c r="D2269" s="29" t="e">
        <f>VLOOKUP(C2269,'점포코드 '!A:B,2,0)</f>
        <v>#N/A</v>
      </c>
      <c r="E2269" s="30">
        <f>'Raw data'!P1845</f>
        <v>0</v>
      </c>
      <c r="F2269" s="29" t="e">
        <f>VLOOKUP(E2269,'점포코드 '!A:B,2,0)</f>
        <v>#N/A</v>
      </c>
      <c r="G2269" s="46">
        <f>'Raw data'!F2178</f>
        <v>0</v>
      </c>
      <c r="H2269" s="4">
        <f>'Raw data'!G2178</f>
        <v>0</v>
      </c>
      <c r="I2269" s="29" t="e">
        <f>VLOOKUP(G2269,제품명!$C$1:$E$114,2,0)</f>
        <v>#N/A</v>
      </c>
      <c r="J2269" s="29">
        <f>'Raw data'!K2178</f>
        <v>0</v>
      </c>
      <c r="K2269" s="31">
        <f>'Raw data'!H2178</f>
        <v>0</v>
      </c>
      <c r="L2269" s="26">
        <f t="shared" si="74"/>
        <v>0</v>
      </c>
    </row>
    <row r="2270" spans="2:12">
      <c r="B2270" s="4" t="e">
        <f t="shared" si="73"/>
        <v>#N/A</v>
      </c>
      <c r="C2270" s="4">
        <f>'Raw data'!E1846</f>
        <v>0</v>
      </c>
      <c r="D2270" s="29" t="e">
        <f>VLOOKUP(C2270,'점포코드 '!A:B,2,0)</f>
        <v>#N/A</v>
      </c>
      <c r="E2270" s="30">
        <f>'Raw data'!P1846</f>
        <v>0</v>
      </c>
      <c r="F2270" s="29" t="e">
        <f>VLOOKUP(E2270,'점포코드 '!A:B,2,0)</f>
        <v>#N/A</v>
      </c>
      <c r="G2270" s="46">
        <f>'Raw data'!F2179</f>
        <v>0</v>
      </c>
      <c r="H2270" s="4">
        <f>'Raw data'!G2179</f>
        <v>0</v>
      </c>
      <c r="I2270" s="29" t="e">
        <f>VLOOKUP(G2270,제품명!$C$1:$E$114,2,0)</f>
        <v>#N/A</v>
      </c>
      <c r="J2270" s="29">
        <f>'Raw data'!K2179</f>
        <v>0</v>
      </c>
      <c r="K2270" s="31">
        <f>'Raw data'!H2179</f>
        <v>0</v>
      </c>
      <c r="L2270" s="26">
        <f t="shared" si="74"/>
        <v>0</v>
      </c>
    </row>
    <row r="2271" spans="2:12">
      <c r="B2271" s="4" t="e">
        <f t="shared" si="73"/>
        <v>#N/A</v>
      </c>
      <c r="C2271" s="4">
        <f>'Raw data'!E1847</f>
        <v>0</v>
      </c>
      <c r="D2271" s="29" t="e">
        <f>VLOOKUP(C2271,'점포코드 '!A:B,2,0)</f>
        <v>#N/A</v>
      </c>
      <c r="E2271" s="30">
        <f>'Raw data'!P1847</f>
        <v>0</v>
      </c>
      <c r="F2271" s="29" t="e">
        <f>VLOOKUP(E2271,'점포코드 '!A:B,2,0)</f>
        <v>#N/A</v>
      </c>
      <c r="G2271" s="46">
        <f>'Raw data'!F2180</f>
        <v>0</v>
      </c>
      <c r="H2271" s="4">
        <f>'Raw data'!G2180</f>
        <v>0</v>
      </c>
      <c r="I2271" s="29" t="e">
        <f>VLOOKUP(G2271,제품명!$C$1:$E$114,2,0)</f>
        <v>#N/A</v>
      </c>
      <c r="J2271" s="29">
        <f>'Raw data'!K2180</f>
        <v>0</v>
      </c>
      <c r="K2271" s="31">
        <f>'Raw data'!H2180</f>
        <v>0</v>
      </c>
      <c r="L2271" s="26">
        <f t="shared" si="74"/>
        <v>0</v>
      </c>
    </row>
    <row r="2272" spans="2:12">
      <c r="B2272" s="4" t="e">
        <f t="shared" si="73"/>
        <v>#N/A</v>
      </c>
      <c r="C2272" s="4">
        <f>'Raw data'!E1848</f>
        <v>0</v>
      </c>
      <c r="D2272" s="29" t="e">
        <f>VLOOKUP(C2272,'점포코드 '!A:B,2,0)</f>
        <v>#N/A</v>
      </c>
      <c r="E2272" s="30">
        <f>'Raw data'!P1848</f>
        <v>0</v>
      </c>
      <c r="F2272" s="29" t="e">
        <f>VLOOKUP(E2272,'점포코드 '!A:B,2,0)</f>
        <v>#N/A</v>
      </c>
      <c r="G2272" s="46">
        <f>'Raw data'!F2181</f>
        <v>0</v>
      </c>
      <c r="H2272" s="4">
        <f>'Raw data'!G2181</f>
        <v>0</v>
      </c>
      <c r="I2272" s="29" t="e">
        <f>VLOOKUP(G2272,제품명!$C$1:$E$114,2,0)</f>
        <v>#N/A</v>
      </c>
      <c r="J2272" s="29">
        <f>'Raw data'!K2181</f>
        <v>0</v>
      </c>
      <c r="K2272" s="31">
        <f>'Raw data'!H2181</f>
        <v>0</v>
      </c>
      <c r="L2272" s="26">
        <f t="shared" si="74"/>
        <v>0</v>
      </c>
    </row>
    <row r="2273" spans="2:12">
      <c r="B2273" s="4" t="e">
        <f t="shared" si="73"/>
        <v>#N/A</v>
      </c>
      <c r="C2273" s="4">
        <f>'Raw data'!E1849</f>
        <v>0</v>
      </c>
      <c r="D2273" s="29" t="e">
        <f>VLOOKUP(C2273,'점포코드 '!A:B,2,0)</f>
        <v>#N/A</v>
      </c>
      <c r="E2273" s="30">
        <f>'Raw data'!P1849</f>
        <v>0</v>
      </c>
      <c r="F2273" s="29" t="e">
        <f>VLOOKUP(E2273,'점포코드 '!A:B,2,0)</f>
        <v>#N/A</v>
      </c>
      <c r="G2273" s="46">
        <f>'Raw data'!F2182</f>
        <v>0</v>
      </c>
      <c r="H2273" s="4">
        <f>'Raw data'!G2182</f>
        <v>0</v>
      </c>
      <c r="I2273" s="29" t="e">
        <f>VLOOKUP(G2273,제품명!$C$1:$E$114,2,0)</f>
        <v>#N/A</v>
      </c>
      <c r="J2273" s="29">
        <f>'Raw data'!K2182</f>
        <v>0</v>
      </c>
      <c r="K2273" s="31">
        <f>'Raw data'!H2182</f>
        <v>0</v>
      </c>
      <c r="L2273" s="26">
        <f t="shared" si="74"/>
        <v>0</v>
      </c>
    </row>
    <row r="2274" spans="2:12">
      <c r="B2274" s="4" t="e">
        <f t="shared" si="73"/>
        <v>#N/A</v>
      </c>
      <c r="C2274" s="4">
        <f>'Raw data'!E1850</f>
        <v>0</v>
      </c>
      <c r="D2274" s="29" t="e">
        <f>VLOOKUP(C2274,'점포코드 '!A:B,2,0)</f>
        <v>#N/A</v>
      </c>
      <c r="E2274" s="30">
        <f>'Raw data'!P1850</f>
        <v>0</v>
      </c>
      <c r="F2274" s="29" t="e">
        <f>VLOOKUP(E2274,'점포코드 '!A:B,2,0)</f>
        <v>#N/A</v>
      </c>
      <c r="G2274" s="46">
        <f>'Raw data'!F2183</f>
        <v>0</v>
      </c>
      <c r="H2274" s="4">
        <f>'Raw data'!G2183</f>
        <v>0</v>
      </c>
      <c r="I2274" s="29" t="e">
        <f>VLOOKUP(G2274,제품명!$C$1:$E$114,2,0)</f>
        <v>#N/A</v>
      </c>
      <c r="J2274" s="29">
        <f>'Raw data'!K2183</f>
        <v>0</v>
      </c>
      <c r="K2274" s="31">
        <f>'Raw data'!H2183</f>
        <v>0</v>
      </c>
      <c r="L2274" s="26">
        <f t="shared" si="74"/>
        <v>0</v>
      </c>
    </row>
    <row r="2275" spans="2:12">
      <c r="B2275" s="4" t="e">
        <f t="shared" si="73"/>
        <v>#N/A</v>
      </c>
      <c r="C2275" s="4">
        <f>'Raw data'!E1851</f>
        <v>0</v>
      </c>
      <c r="D2275" s="29" t="e">
        <f>VLOOKUP(C2275,'점포코드 '!A:B,2,0)</f>
        <v>#N/A</v>
      </c>
      <c r="E2275" s="30">
        <f>'Raw data'!P1851</f>
        <v>0</v>
      </c>
      <c r="F2275" s="29" t="e">
        <f>VLOOKUP(E2275,'점포코드 '!A:B,2,0)</f>
        <v>#N/A</v>
      </c>
      <c r="G2275" s="46">
        <f>'Raw data'!F2184</f>
        <v>0</v>
      </c>
      <c r="H2275" s="4">
        <f>'Raw data'!G2184</f>
        <v>0</v>
      </c>
      <c r="I2275" s="29" t="e">
        <f>VLOOKUP(G2275,제품명!$C$1:$E$114,2,0)</f>
        <v>#N/A</v>
      </c>
      <c r="J2275" s="29">
        <f>'Raw data'!K2184</f>
        <v>0</v>
      </c>
      <c r="K2275" s="31">
        <f>'Raw data'!H2184</f>
        <v>0</v>
      </c>
      <c r="L2275" s="26">
        <f t="shared" si="74"/>
        <v>0</v>
      </c>
    </row>
    <row r="2276" spans="2:12">
      <c r="B2276" s="4" t="e">
        <f t="shared" si="73"/>
        <v>#N/A</v>
      </c>
      <c r="C2276" s="4">
        <f>'Raw data'!E1852</f>
        <v>0</v>
      </c>
      <c r="D2276" s="29" t="e">
        <f>VLOOKUP(C2276,'점포코드 '!A:B,2,0)</f>
        <v>#N/A</v>
      </c>
      <c r="E2276" s="30">
        <f>'Raw data'!P1852</f>
        <v>0</v>
      </c>
      <c r="F2276" s="29" t="e">
        <f>VLOOKUP(E2276,'점포코드 '!A:B,2,0)</f>
        <v>#N/A</v>
      </c>
      <c r="G2276" s="46">
        <f>'Raw data'!F2185</f>
        <v>0</v>
      </c>
      <c r="H2276" s="4">
        <f>'Raw data'!G2185</f>
        <v>0</v>
      </c>
      <c r="I2276" s="29" t="e">
        <f>VLOOKUP(G2276,제품명!$C$1:$E$114,2,0)</f>
        <v>#N/A</v>
      </c>
      <c r="J2276" s="29">
        <f>'Raw data'!K2185</f>
        <v>0</v>
      </c>
      <c r="K2276" s="31">
        <f>'Raw data'!H2185</f>
        <v>0</v>
      </c>
      <c r="L2276" s="26">
        <f t="shared" si="74"/>
        <v>0</v>
      </c>
    </row>
    <row r="2277" spans="2:12">
      <c r="B2277" s="4" t="e">
        <f t="shared" si="73"/>
        <v>#N/A</v>
      </c>
      <c r="C2277" s="4">
        <f>'Raw data'!E1853</f>
        <v>0</v>
      </c>
      <c r="D2277" s="29" t="e">
        <f>VLOOKUP(C2277,'점포코드 '!A:B,2,0)</f>
        <v>#N/A</v>
      </c>
      <c r="E2277" s="30">
        <f>'Raw data'!P1853</f>
        <v>0</v>
      </c>
      <c r="F2277" s="29" t="e">
        <f>VLOOKUP(E2277,'점포코드 '!A:B,2,0)</f>
        <v>#N/A</v>
      </c>
      <c r="G2277" s="46">
        <f>'Raw data'!F2186</f>
        <v>0</v>
      </c>
      <c r="H2277" s="4">
        <f>'Raw data'!G2186</f>
        <v>0</v>
      </c>
      <c r="I2277" s="29" t="e">
        <f>VLOOKUP(G2277,제품명!$C$1:$E$114,2,0)</f>
        <v>#N/A</v>
      </c>
      <c r="J2277" s="29">
        <f>'Raw data'!K2186</f>
        <v>0</v>
      </c>
      <c r="K2277" s="31">
        <f>'Raw data'!H2186</f>
        <v>0</v>
      </c>
      <c r="L2277" s="26">
        <f t="shared" si="74"/>
        <v>0</v>
      </c>
    </row>
    <row r="2278" spans="2:12">
      <c r="B2278" s="4" t="e">
        <f t="shared" si="73"/>
        <v>#N/A</v>
      </c>
      <c r="C2278" s="4">
        <f>'Raw data'!E1854</f>
        <v>0</v>
      </c>
      <c r="D2278" s="29" t="e">
        <f>VLOOKUP(C2278,'점포코드 '!A:B,2,0)</f>
        <v>#N/A</v>
      </c>
      <c r="E2278" s="30">
        <f>'Raw data'!P1854</f>
        <v>0</v>
      </c>
      <c r="F2278" s="29" t="e">
        <f>VLOOKUP(E2278,'점포코드 '!A:B,2,0)</f>
        <v>#N/A</v>
      </c>
      <c r="G2278" s="46">
        <f>'Raw data'!F2187</f>
        <v>0</v>
      </c>
      <c r="H2278" s="4">
        <f>'Raw data'!G2187</f>
        <v>0</v>
      </c>
      <c r="I2278" s="29" t="e">
        <f>VLOOKUP(G2278,제품명!$C$1:$E$114,2,0)</f>
        <v>#N/A</v>
      </c>
      <c r="J2278" s="29">
        <f>'Raw data'!K2187</f>
        <v>0</v>
      </c>
      <c r="K2278" s="31">
        <f>'Raw data'!H2187</f>
        <v>0</v>
      </c>
      <c r="L2278" s="26">
        <f t="shared" si="74"/>
        <v>0</v>
      </c>
    </row>
    <row r="2279" spans="2:12">
      <c r="B2279" s="4" t="e">
        <f t="shared" si="73"/>
        <v>#N/A</v>
      </c>
      <c r="C2279" s="4">
        <f>'Raw data'!E1855</f>
        <v>0</v>
      </c>
      <c r="D2279" s="29" t="e">
        <f>VLOOKUP(C2279,'점포코드 '!A:B,2,0)</f>
        <v>#N/A</v>
      </c>
      <c r="E2279" s="30">
        <f>'Raw data'!P1855</f>
        <v>0</v>
      </c>
      <c r="F2279" s="29" t="e">
        <f>VLOOKUP(E2279,'점포코드 '!A:B,2,0)</f>
        <v>#N/A</v>
      </c>
      <c r="G2279" s="46">
        <f>'Raw data'!F2188</f>
        <v>0</v>
      </c>
      <c r="H2279" s="4">
        <f>'Raw data'!G2188</f>
        <v>0</v>
      </c>
      <c r="I2279" s="29" t="e">
        <f>VLOOKUP(G2279,제품명!$C$1:$E$114,2,0)</f>
        <v>#N/A</v>
      </c>
      <c r="J2279" s="29">
        <f>'Raw data'!K2188</f>
        <v>0</v>
      </c>
      <c r="K2279" s="31">
        <f>'Raw data'!H2188</f>
        <v>0</v>
      </c>
      <c r="L2279" s="26">
        <f t="shared" si="74"/>
        <v>0</v>
      </c>
    </row>
    <row r="2280" spans="2:12">
      <c r="B2280" s="4" t="e">
        <f t="shared" si="73"/>
        <v>#N/A</v>
      </c>
      <c r="C2280" s="4">
        <f>'Raw data'!E1856</f>
        <v>0</v>
      </c>
      <c r="D2280" s="29" t="e">
        <f>VLOOKUP(C2280,'점포코드 '!A:B,2,0)</f>
        <v>#N/A</v>
      </c>
      <c r="E2280" s="30">
        <f>'Raw data'!P1856</f>
        <v>0</v>
      </c>
      <c r="F2280" s="29" t="e">
        <f>VLOOKUP(E2280,'점포코드 '!A:B,2,0)</f>
        <v>#N/A</v>
      </c>
      <c r="G2280" s="46">
        <f>'Raw data'!F2189</f>
        <v>0</v>
      </c>
      <c r="H2280" s="4">
        <f>'Raw data'!G2189</f>
        <v>0</v>
      </c>
      <c r="I2280" s="29" t="e">
        <f>VLOOKUP(G2280,제품명!$C$1:$E$114,2,0)</f>
        <v>#N/A</v>
      </c>
      <c r="J2280" s="29">
        <f>'Raw data'!K2189</f>
        <v>0</v>
      </c>
      <c r="K2280" s="31">
        <f>'Raw data'!H2189</f>
        <v>0</v>
      </c>
      <c r="L2280" s="26">
        <f t="shared" si="74"/>
        <v>0</v>
      </c>
    </row>
    <row r="2281" spans="2:12">
      <c r="B2281" s="4" t="e">
        <f t="shared" si="73"/>
        <v>#N/A</v>
      </c>
      <c r="C2281" s="4">
        <f>'Raw data'!E1857</f>
        <v>0</v>
      </c>
      <c r="D2281" s="29" t="e">
        <f>VLOOKUP(C2281,'점포코드 '!A:B,2,0)</f>
        <v>#N/A</v>
      </c>
      <c r="E2281" s="30">
        <f>'Raw data'!P1857</f>
        <v>0</v>
      </c>
      <c r="F2281" s="29" t="e">
        <f>VLOOKUP(E2281,'점포코드 '!A:B,2,0)</f>
        <v>#N/A</v>
      </c>
      <c r="G2281" s="46">
        <f>'Raw data'!F2190</f>
        <v>0</v>
      </c>
      <c r="H2281" s="4">
        <f>'Raw data'!G2190</f>
        <v>0</v>
      </c>
      <c r="I2281" s="29" t="e">
        <f>VLOOKUP(G2281,제품명!$C$1:$E$114,2,0)</f>
        <v>#N/A</v>
      </c>
      <c r="J2281" s="29">
        <f>'Raw data'!K2190</f>
        <v>0</v>
      </c>
      <c r="K2281" s="31">
        <f>'Raw data'!H2190</f>
        <v>0</v>
      </c>
      <c r="L2281" s="26">
        <f t="shared" si="74"/>
        <v>0</v>
      </c>
    </row>
    <row r="2282" spans="2:12">
      <c r="B2282" s="4" t="e">
        <f t="shared" si="73"/>
        <v>#N/A</v>
      </c>
      <c r="C2282" s="4">
        <f>'Raw data'!E1858</f>
        <v>0</v>
      </c>
      <c r="D2282" s="29" t="e">
        <f>VLOOKUP(C2282,'점포코드 '!A:B,2,0)</f>
        <v>#N/A</v>
      </c>
      <c r="E2282" s="30">
        <f>'Raw data'!P1858</f>
        <v>0</v>
      </c>
      <c r="F2282" s="29" t="e">
        <f>VLOOKUP(E2282,'점포코드 '!A:B,2,0)</f>
        <v>#N/A</v>
      </c>
      <c r="G2282" s="46">
        <f>'Raw data'!F2191</f>
        <v>0</v>
      </c>
      <c r="H2282" s="4">
        <f>'Raw data'!G2191</f>
        <v>0</v>
      </c>
      <c r="I2282" s="29" t="e">
        <f>VLOOKUP(G2282,제품명!$C$1:$E$114,2,0)</f>
        <v>#N/A</v>
      </c>
      <c r="J2282" s="29">
        <f>'Raw data'!K2191</f>
        <v>0</v>
      </c>
      <c r="K2282" s="31">
        <f>'Raw data'!H2191</f>
        <v>0</v>
      </c>
      <c r="L2282" s="26">
        <f t="shared" si="74"/>
        <v>0</v>
      </c>
    </row>
    <row r="2283" spans="2:12">
      <c r="B2283" s="4" t="e">
        <f t="shared" si="73"/>
        <v>#N/A</v>
      </c>
      <c r="C2283" s="4">
        <f>'Raw data'!E1859</f>
        <v>0</v>
      </c>
      <c r="D2283" s="29" t="e">
        <f>VLOOKUP(C2283,'점포코드 '!A:B,2,0)</f>
        <v>#N/A</v>
      </c>
      <c r="E2283" s="30">
        <f>'Raw data'!P1859</f>
        <v>0</v>
      </c>
      <c r="F2283" s="29" t="e">
        <f>VLOOKUP(E2283,'점포코드 '!A:B,2,0)</f>
        <v>#N/A</v>
      </c>
      <c r="G2283" s="46">
        <f>'Raw data'!F2192</f>
        <v>0</v>
      </c>
      <c r="H2283" s="4">
        <f>'Raw data'!G2192</f>
        <v>0</v>
      </c>
      <c r="I2283" s="29" t="e">
        <f>VLOOKUP(G2283,제품명!$C$1:$E$114,2,0)</f>
        <v>#N/A</v>
      </c>
      <c r="J2283" s="29">
        <f>'Raw data'!K2192</f>
        <v>0</v>
      </c>
      <c r="K2283" s="31">
        <f>'Raw data'!H2192</f>
        <v>0</v>
      </c>
      <c r="L2283" s="26">
        <f t="shared" si="74"/>
        <v>0</v>
      </c>
    </row>
    <row r="2284" spans="2:12">
      <c r="B2284" s="4" t="e">
        <f t="shared" si="73"/>
        <v>#N/A</v>
      </c>
      <c r="C2284" s="4">
        <f>'Raw data'!E1860</f>
        <v>0</v>
      </c>
      <c r="D2284" s="29" t="e">
        <f>VLOOKUP(C2284,'점포코드 '!A:B,2,0)</f>
        <v>#N/A</v>
      </c>
      <c r="E2284" s="30">
        <f>'Raw data'!P1860</f>
        <v>0</v>
      </c>
      <c r="F2284" s="29" t="e">
        <f>VLOOKUP(E2284,'점포코드 '!A:B,2,0)</f>
        <v>#N/A</v>
      </c>
      <c r="G2284" s="46">
        <f>'Raw data'!F2193</f>
        <v>0</v>
      </c>
      <c r="H2284" s="4">
        <f>'Raw data'!G2193</f>
        <v>0</v>
      </c>
      <c r="I2284" s="29" t="e">
        <f>VLOOKUP(G2284,제품명!$C$1:$E$114,2,0)</f>
        <v>#N/A</v>
      </c>
      <c r="J2284" s="29">
        <f>'Raw data'!K2193</f>
        <v>0</v>
      </c>
      <c r="K2284" s="31">
        <f>'Raw data'!H2193</f>
        <v>0</v>
      </c>
      <c r="L2284" s="26">
        <f t="shared" si="74"/>
        <v>0</v>
      </c>
    </row>
    <row r="2285" spans="2:12">
      <c r="B2285" s="4" t="e">
        <f t="shared" si="73"/>
        <v>#N/A</v>
      </c>
      <c r="C2285" s="4">
        <f>'Raw data'!E1861</f>
        <v>0</v>
      </c>
      <c r="D2285" s="29" t="e">
        <f>VLOOKUP(C2285,'점포코드 '!A:B,2,0)</f>
        <v>#N/A</v>
      </c>
      <c r="E2285" s="30">
        <f>'Raw data'!P1861</f>
        <v>0</v>
      </c>
      <c r="F2285" s="29" t="e">
        <f>VLOOKUP(E2285,'점포코드 '!A:B,2,0)</f>
        <v>#N/A</v>
      </c>
      <c r="G2285" s="46">
        <f>'Raw data'!F2194</f>
        <v>0</v>
      </c>
      <c r="H2285" s="4">
        <f>'Raw data'!G2194</f>
        <v>0</v>
      </c>
      <c r="I2285" s="29" t="e">
        <f>VLOOKUP(G2285,제품명!$C$1:$E$114,2,0)</f>
        <v>#N/A</v>
      </c>
      <c r="J2285" s="29">
        <f>'Raw data'!K2194</f>
        <v>0</v>
      </c>
      <c r="K2285" s="31">
        <f>'Raw data'!H2194</f>
        <v>0</v>
      </c>
      <c r="L2285" s="26">
        <f t="shared" si="74"/>
        <v>0</v>
      </c>
    </row>
    <row r="2286" spans="2:12">
      <c r="B2286" s="4" t="e">
        <f t="shared" si="73"/>
        <v>#N/A</v>
      </c>
      <c r="C2286" s="4">
        <f>'Raw data'!E1862</f>
        <v>0</v>
      </c>
      <c r="D2286" s="29" t="e">
        <f>VLOOKUP(C2286,'점포코드 '!A:B,2,0)</f>
        <v>#N/A</v>
      </c>
      <c r="E2286" s="30">
        <f>'Raw data'!P1862</f>
        <v>0</v>
      </c>
      <c r="F2286" s="29" t="e">
        <f>VLOOKUP(E2286,'점포코드 '!A:B,2,0)</f>
        <v>#N/A</v>
      </c>
      <c r="G2286" s="46">
        <f>'Raw data'!F2195</f>
        <v>0</v>
      </c>
      <c r="H2286" s="4">
        <f>'Raw data'!G2195</f>
        <v>0</v>
      </c>
      <c r="I2286" s="29" t="e">
        <f>VLOOKUP(G2286,제품명!$C$1:$E$114,2,0)</f>
        <v>#N/A</v>
      </c>
      <c r="J2286" s="29">
        <f>'Raw data'!K2195</f>
        <v>0</v>
      </c>
      <c r="K2286" s="31">
        <f>'Raw data'!H2195</f>
        <v>0</v>
      </c>
      <c r="L2286" s="26">
        <f t="shared" si="74"/>
        <v>0</v>
      </c>
    </row>
    <row r="2287" spans="2:12">
      <c r="B2287" s="4" t="e">
        <f t="shared" si="73"/>
        <v>#N/A</v>
      </c>
      <c r="C2287" s="4">
        <f>'Raw data'!E1863</f>
        <v>0</v>
      </c>
      <c r="D2287" s="29" t="e">
        <f>VLOOKUP(C2287,'점포코드 '!A:B,2,0)</f>
        <v>#N/A</v>
      </c>
      <c r="E2287" s="30">
        <f>'Raw data'!P1863</f>
        <v>0</v>
      </c>
      <c r="F2287" s="29" t="e">
        <f>VLOOKUP(E2287,'점포코드 '!A:B,2,0)</f>
        <v>#N/A</v>
      </c>
      <c r="G2287" s="46">
        <f>'Raw data'!F2196</f>
        <v>0</v>
      </c>
      <c r="H2287" s="4">
        <f>'Raw data'!G2196</f>
        <v>0</v>
      </c>
      <c r="I2287" s="29" t="e">
        <f>VLOOKUP(G2287,제품명!$C$1:$E$114,2,0)</f>
        <v>#N/A</v>
      </c>
      <c r="J2287" s="29">
        <f>'Raw data'!K2196</f>
        <v>0</v>
      </c>
      <c r="K2287" s="31">
        <f>'Raw data'!H2196</f>
        <v>0</v>
      </c>
      <c r="L2287" s="26">
        <f t="shared" si="74"/>
        <v>0</v>
      </c>
    </row>
    <row r="2288" spans="2:12">
      <c r="B2288" s="4" t="e">
        <f t="shared" si="73"/>
        <v>#N/A</v>
      </c>
      <c r="C2288" s="4">
        <f>'Raw data'!E1864</f>
        <v>0</v>
      </c>
      <c r="D2288" s="29" t="e">
        <f>VLOOKUP(C2288,'점포코드 '!A:B,2,0)</f>
        <v>#N/A</v>
      </c>
      <c r="E2288" s="30">
        <f>'Raw data'!P1864</f>
        <v>0</v>
      </c>
      <c r="F2288" s="29" t="e">
        <f>VLOOKUP(E2288,'점포코드 '!A:B,2,0)</f>
        <v>#N/A</v>
      </c>
      <c r="G2288" s="46">
        <f>'Raw data'!F2197</f>
        <v>0</v>
      </c>
      <c r="H2288" s="4">
        <f>'Raw data'!G2197</f>
        <v>0</v>
      </c>
      <c r="I2288" s="29" t="e">
        <f>VLOOKUP(G2288,제품명!$C$1:$E$114,2,0)</f>
        <v>#N/A</v>
      </c>
      <c r="J2288" s="29">
        <f>'Raw data'!K2197</f>
        <v>0</v>
      </c>
      <c r="K2288" s="31">
        <f>'Raw data'!H2197</f>
        <v>0</v>
      </c>
      <c r="L2288" s="26">
        <f t="shared" si="74"/>
        <v>0</v>
      </c>
    </row>
    <row r="2289" spans="2:12">
      <c r="B2289" s="4" t="e">
        <f t="shared" si="73"/>
        <v>#N/A</v>
      </c>
      <c r="C2289" s="4">
        <f>'Raw data'!E1865</f>
        <v>0</v>
      </c>
      <c r="D2289" s="29" t="e">
        <f>VLOOKUP(C2289,'점포코드 '!A:B,2,0)</f>
        <v>#N/A</v>
      </c>
      <c r="E2289" s="30">
        <f>'Raw data'!P1865</f>
        <v>0</v>
      </c>
      <c r="F2289" s="29" t="e">
        <f>VLOOKUP(E2289,'점포코드 '!A:B,2,0)</f>
        <v>#N/A</v>
      </c>
      <c r="G2289" s="46">
        <f>'Raw data'!F2198</f>
        <v>0</v>
      </c>
      <c r="H2289" s="4">
        <f>'Raw data'!G2198</f>
        <v>0</v>
      </c>
      <c r="I2289" s="29" t="e">
        <f>VLOOKUP(G2289,제품명!$C$1:$E$114,2,0)</f>
        <v>#N/A</v>
      </c>
      <c r="J2289" s="29">
        <f>'Raw data'!K2198</f>
        <v>0</v>
      </c>
      <c r="K2289" s="31">
        <f>'Raw data'!H2198</f>
        <v>0</v>
      </c>
      <c r="L2289" s="26">
        <f t="shared" si="74"/>
        <v>0</v>
      </c>
    </row>
    <row r="2290" spans="2:12">
      <c r="B2290" s="4" t="e">
        <f t="shared" si="73"/>
        <v>#N/A</v>
      </c>
      <c r="C2290" s="4">
        <f>'Raw data'!E1866</f>
        <v>0</v>
      </c>
      <c r="D2290" s="29" t="e">
        <f>VLOOKUP(C2290,'점포코드 '!A:B,2,0)</f>
        <v>#N/A</v>
      </c>
      <c r="E2290" s="30">
        <f>'Raw data'!P1866</f>
        <v>0</v>
      </c>
      <c r="F2290" s="29" t="e">
        <f>VLOOKUP(E2290,'점포코드 '!A:B,2,0)</f>
        <v>#N/A</v>
      </c>
      <c r="G2290" s="46">
        <f>'Raw data'!F2199</f>
        <v>0</v>
      </c>
      <c r="H2290" s="4">
        <f>'Raw data'!G2199</f>
        <v>0</v>
      </c>
      <c r="I2290" s="29" t="e">
        <f>VLOOKUP(G2290,제품명!$C$1:$E$114,2,0)</f>
        <v>#N/A</v>
      </c>
      <c r="J2290" s="29">
        <f>'Raw data'!K2199</f>
        <v>0</v>
      </c>
      <c r="K2290" s="31">
        <f>'Raw data'!H2199</f>
        <v>0</v>
      </c>
      <c r="L2290" s="26">
        <f t="shared" si="74"/>
        <v>0</v>
      </c>
    </row>
    <row r="2291" spans="2:12">
      <c r="B2291" s="4" t="e">
        <f t="shared" si="73"/>
        <v>#N/A</v>
      </c>
      <c r="C2291" s="4">
        <f>'Raw data'!E1867</f>
        <v>0</v>
      </c>
      <c r="D2291" s="29" t="e">
        <f>VLOOKUP(C2291,'점포코드 '!A:B,2,0)</f>
        <v>#N/A</v>
      </c>
      <c r="E2291" s="30">
        <f>'Raw data'!P1867</f>
        <v>0</v>
      </c>
      <c r="F2291" s="29" t="e">
        <f>VLOOKUP(E2291,'점포코드 '!A:B,2,0)</f>
        <v>#N/A</v>
      </c>
      <c r="G2291" s="46">
        <f>'Raw data'!F2200</f>
        <v>0</v>
      </c>
      <c r="H2291" s="4">
        <f>'Raw data'!G2200</f>
        <v>0</v>
      </c>
      <c r="I2291" s="29" t="e">
        <f>VLOOKUP(G2291,제품명!$C$1:$E$114,2,0)</f>
        <v>#N/A</v>
      </c>
      <c r="J2291" s="29">
        <f>'Raw data'!K2200</f>
        <v>0</v>
      </c>
      <c r="K2291" s="31">
        <f>'Raw data'!H2200</f>
        <v>0</v>
      </c>
      <c r="L2291" s="26">
        <f t="shared" si="74"/>
        <v>0</v>
      </c>
    </row>
    <row r="2292" spans="2:12">
      <c r="B2292" s="4" t="e">
        <f t="shared" si="73"/>
        <v>#N/A</v>
      </c>
      <c r="C2292" s="4">
        <f>'Raw data'!E1868</f>
        <v>0</v>
      </c>
      <c r="D2292" s="29" t="e">
        <f>VLOOKUP(C2292,'점포코드 '!A:B,2,0)</f>
        <v>#N/A</v>
      </c>
      <c r="E2292" s="30">
        <f>'Raw data'!P1868</f>
        <v>0</v>
      </c>
      <c r="F2292" s="29" t="e">
        <f>VLOOKUP(E2292,'점포코드 '!A:B,2,0)</f>
        <v>#N/A</v>
      </c>
      <c r="G2292" s="46">
        <f>'Raw data'!F2201</f>
        <v>0</v>
      </c>
      <c r="H2292" s="4">
        <f>'Raw data'!G2201</f>
        <v>0</v>
      </c>
      <c r="I2292" s="29" t="e">
        <f>VLOOKUP(G2292,제품명!$C$1:$E$114,2,0)</f>
        <v>#N/A</v>
      </c>
      <c r="J2292" s="29">
        <f>'Raw data'!K2201</f>
        <v>0</v>
      </c>
      <c r="K2292" s="31">
        <f>'Raw data'!H2201</f>
        <v>0</v>
      </c>
      <c r="L2292" s="26">
        <f t="shared" si="74"/>
        <v>0</v>
      </c>
    </row>
    <row r="2293" spans="2:12">
      <c r="B2293" s="4" t="e">
        <f t="shared" si="73"/>
        <v>#N/A</v>
      </c>
      <c r="C2293" s="4">
        <f>'Raw data'!E1869</f>
        <v>0</v>
      </c>
      <c r="D2293" s="29" t="e">
        <f>VLOOKUP(C2293,'점포코드 '!A:B,2,0)</f>
        <v>#N/A</v>
      </c>
      <c r="E2293" s="30">
        <f>'Raw data'!P1869</f>
        <v>0</v>
      </c>
      <c r="F2293" s="29" t="e">
        <f>VLOOKUP(E2293,'점포코드 '!A:B,2,0)</f>
        <v>#N/A</v>
      </c>
      <c r="G2293" s="46">
        <f>'Raw data'!F2202</f>
        <v>0</v>
      </c>
      <c r="H2293" s="4">
        <f>'Raw data'!G2202</f>
        <v>0</v>
      </c>
      <c r="I2293" s="29" t="e">
        <f>VLOOKUP(G2293,제품명!$C$1:$E$114,2,0)</f>
        <v>#N/A</v>
      </c>
      <c r="J2293" s="29">
        <f>'Raw data'!K2202</f>
        <v>0</v>
      </c>
      <c r="K2293" s="31">
        <f>'Raw data'!H2202</f>
        <v>0</v>
      </c>
      <c r="L2293" s="26">
        <f t="shared" si="74"/>
        <v>0</v>
      </c>
    </row>
    <row r="2294" spans="2:12">
      <c r="B2294" s="4" t="e">
        <f t="shared" si="73"/>
        <v>#N/A</v>
      </c>
      <c r="C2294" s="4">
        <f>'Raw data'!E1870</f>
        <v>0</v>
      </c>
      <c r="D2294" s="29" t="e">
        <f>VLOOKUP(C2294,'점포코드 '!A:B,2,0)</f>
        <v>#N/A</v>
      </c>
      <c r="E2294" s="30">
        <f>'Raw data'!P1870</f>
        <v>0</v>
      </c>
      <c r="F2294" s="29" t="e">
        <f>VLOOKUP(E2294,'점포코드 '!A:B,2,0)</f>
        <v>#N/A</v>
      </c>
      <c r="G2294" s="46">
        <f>'Raw data'!F2203</f>
        <v>0</v>
      </c>
      <c r="H2294" s="4">
        <f>'Raw data'!G2203</f>
        <v>0</v>
      </c>
      <c r="I2294" s="29" t="e">
        <f>VLOOKUP(G2294,제품명!$C$1:$E$114,2,0)</f>
        <v>#N/A</v>
      </c>
      <c r="J2294" s="29">
        <f>'Raw data'!K2203</f>
        <v>0</v>
      </c>
      <c r="K2294" s="31">
        <f>'Raw data'!H2203</f>
        <v>0</v>
      </c>
      <c r="L2294" s="26">
        <f t="shared" si="74"/>
        <v>0</v>
      </c>
    </row>
    <row r="2295" spans="2:12">
      <c r="B2295" s="4" t="e">
        <f t="shared" si="73"/>
        <v>#N/A</v>
      </c>
      <c r="C2295" s="4">
        <f>'Raw data'!E1871</f>
        <v>0</v>
      </c>
      <c r="D2295" s="29" t="e">
        <f>VLOOKUP(C2295,'점포코드 '!A:B,2,0)</f>
        <v>#N/A</v>
      </c>
      <c r="E2295" s="30">
        <f>'Raw data'!P1871</f>
        <v>0</v>
      </c>
      <c r="F2295" s="29" t="e">
        <f>VLOOKUP(E2295,'점포코드 '!A:B,2,0)</f>
        <v>#N/A</v>
      </c>
      <c r="G2295" s="46">
        <f>'Raw data'!F2204</f>
        <v>0</v>
      </c>
      <c r="H2295" s="4">
        <f>'Raw data'!G2204</f>
        <v>0</v>
      </c>
      <c r="I2295" s="29" t="e">
        <f>VLOOKUP(G2295,제품명!$C$1:$E$114,2,0)</f>
        <v>#N/A</v>
      </c>
      <c r="J2295" s="29">
        <f>'Raw data'!K2204</f>
        <v>0</v>
      </c>
      <c r="K2295" s="31">
        <f>'Raw data'!H2204</f>
        <v>0</v>
      </c>
      <c r="L2295" s="26">
        <f t="shared" si="74"/>
        <v>0</v>
      </c>
    </row>
    <row r="2296" spans="2:12">
      <c r="B2296" s="4" t="e">
        <f t="shared" si="73"/>
        <v>#N/A</v>
      </c>
      <c r="C2296" s="4">
        <f>'Raw data'!E1872</f>
        <v>0</v>
      </c>
      <c r="D2296" s="29" t="e">
        <f>VLOOKUP(C2296,'점포코드 '!A:B,2,0)</f>
        <v>#N/A</v>
      </c>
      <c r="E2296" s="30">
        <f>'Raw data'!P1872</f>
        <v>0</v>
      </c>
      <c r="F2296" s="29" t="e">
        <f>VLOOKUP(E2296,'점포코드 '!A:B,2,0)</f>
        <v>#N/A</v>
      </c>
      <c r="G2296" s="46">
        <f>'Raw data'!F2205</f>
        <v>0</v>
      </c>
      <c r="H2296" s="4">
        <f>'Raw data'!G2205</f>
        <v>0</v>
      </c>
      <c r="I2296" s="29" t="e">
        <f>VLOOKUP(G2296,제품명!$C$1:$E$114,2,0)</f>
        <v>#N/A</v>
      </c>
      <c r="J2296" s="29">
        <f>'Raw data'!K2205</f>
        <v>0</v>
      </c>
      <c r="K2296" s="31">
        <f>'Raw data'!H2205</f>
        <v>0</v>
      </c>
      <c r="L2296" s="26">
        <f t="shared" si="74"/>
        <v>0</v>
      </c>
    </row>
    <row r="2297" spans="2:12">
      <c r="B2297" s="4" t="e">
        <f t="shared" si="73"/>
        <v>#N/A</v>
      </c>
      <c r="C2297" s="4">
        <f>'Raw data'!E1873</f>
        <v>0</v>
      </c>
      <c r="D2297" s="29" t="e">
        <f>VLOOKUP(C2297,'점포코드 '!A:B,2,0)</f>
        <v>#N/A</v>
      </c>
      <c r="E2297" s="30">
        <f>'Raw data'!P1873</f>
        <v>0</v>
      </c>
      <c r="F2297" s="29" t="e">
        <f>VLOOKUP(E2297,'점포코드 '!A:B,2,0)</f>
        <v>#N/A</v>
      </c>
      <c r="G2297" s="46">
        <f>'Raw data'!F2206</f>
        <v>0</v>
      </c>
      <c r="H2297" s="4">
        <f>'Raw data'!G2206</f>
        <v>0</v>
      </c>
      <c r="I2297" s="29" t="e">
        <f>VLOOKUP(G2297,제품명!$C$1:$E$114,2,0)</f>
        <v>#N/A</v>
      </c>
      <c r="J2297" s="29">
        <f>'Raw data'!K2206</f>
        <v>0</v>
      </c>
      <c r="K2297" s="31">
        <f>'Raw data'!H2206</f>
        <v>0</v>
      </c>
      <c r="L2297" s="26">
        <f t="shared" si="74"/>
        <v>0</v>
      </c>
    </row>
    <row r="2298" spans="2:12">
      <c r="B2298" s="4" t="e">
        <f t="shared" si="73"/>
        <v>#N/A</v>
      </c>
      <c r="C2298" s="4">
        <f>'Raw data'!E1874</f>
        <v>0</v>
      </c>
      <c r="D2298" s="29" t="e">
        <f>VLOOKUP(C2298,'점포코드 '!A:B,2,0)</f>
        <v>#N/A</v>
      </c>
      <c r="E2298" s="30">
        <f>'Raw data'!P1874</f>
        <v>0</v>
      </c>
      <c r="F2298" s="29" t="e">
        <f>VLOOKUP(E2298,'점포코드 '!A:B,2,0)</f>
        <v>#N/A</v>
      </c>
      <c r="G2298" s="46">
        <f>'Raw data'!F2207</f>
        <v>0</v>
      </c>
      <c r="H2298" s="4">
        <f>'Raw data'!G2207</f>
        <v>0</v>
      </c>
      <c r="I2298" s="29" t="e">
        <f>VLOOKUP(G2298,제품명!$C$1:$E$114,2,0)</f>
        <v>#N/A</v>
      </c>
      <c r="J2298" s="29">
        <f>'Raw data'!K2207</f>
        <v>0</v>
      </c>
      <c r="K2298" s="31">
        <f>'Raw data'!H2207</f>
        <v>0</v>
      </c>
      <c r="L2298" s="26">
        <f t="shared" si="74"/>
        <v>0</v>
      </c>
    </row>
    <row r="2299" spans="2:12">
      <c r="B2299" s="4" t="e">
        <f t="shared" si="73"/>
        <v>#N/A</v>
      </c>
      <c r="C2299" s="4">
        <f>'Raw data'!E1875</f>
        <v>0</v>
      </c>
      <c r="D2299" s="29" t="e">
        <f>VLOOKUP(C2299,'점포코드 '!A:B,2,0)</f>
        <v>#N/A</v>
      </c>
      <c r="E2299" s="30">
        <f>'Raw data'!P1875</f>
        <v>0</v>
      </c>
      <c r="F2299" s="29" t="e">
        <f>VLOOKUP(E2299,'점포코드 '!A:B,2,0)</f>
        <v>#N/A</v>
      </c>
      <c r="G2299" s="46">
        <f>'Raw data'!F2208</f>
        <v>0</v>
      </c>
      <c r="H2299" s="4">
        <f>'Raw data'!G2208</f>
        <v>0</v>
      </c>
      <c r="I2299" s="29" t="e">
        <f>VLOOKUP(G2299,제품명!$C$1:$E$114,2,0)</f>
        <v>#N/A</v>
      </c>
      <c r="J2299" s="29">
        <f>'Raw data'!K2208</f>
        <v>0</v>
      </c>
      <c r="K2299" s="31">
        <f>'Raw data'!H2208</f>
        <v>0</v>
      </c>
      <c r="L2299" s="26">
        <f t="shared" si="74"/>
        <v>0</v>
      </c>
    </row>
    <row r="2300" spans="2:12">
      <c r="B2300" s="4" t="e">
        <f t="shared" si="73"/>
        <v>#N/A</v>
      </c>
      <c r="C2300" s="4">
        <f>'Raw data'!E1876</f>
        <v>0</v>
      </c>
      <c r="D2300" s="29" t="e">
        <f>VLOOKUP(C2300,'점포코드 '!A:B,2,0)</f>
        <v>#N/A</v>
      </c>
      <c r="E2300" s="30">
        <f>'Raw data'!P1876</f>
        <v>0</v>
      </c>
      <c r="F2300" s="29" t="e">
        <f>VLOOKUP(E2300,'점포코드 '!A:B,2,0)</f>
        <v>#N/A</v>
      </c>
      <c r="G2300" s="46">
        <f>'Raw data'!F2209</f>
        <v>0</v>
      </c>
      <c r="H2300" s="4">
        <f>'Raw data'!G2209</f>
        <v>0</v>
      </c>
      <c r="I2300" s="29" t="e">
        <f>VLOOKUP(G2300,제품명!$C$1:$E$114,2,0)</f>
        <v>#N/A</v>
      </c>
      <c r="J2300" s="29">
        <f>'Raw data'!K2209</f>
        <v>0</v>
      </c>
      <c r="K2300" s="31">
        <f>'Raw data'!H2209</f>
        <v>0</v>
      </c>
      <c r="L2300" s="26">
        <f t="shared" si="74"/>
        <v>0</v>
      </c>
    </row>
    <row r="2301" spans="2:12">
      <c r="B2301" s="4" t="e">
        <f t="shared" si="73"/>
        <v>#N/A</v>
      </c>
      <c r="C2301" s="4">
        <f>'Raw data'!E1877</f>
        <v>0</v>
      </c>
      <c r="D2301" s="29" t="e">
        <f>VLOOKUP(C2301,'점포코드 '!A:B,2,0)</f>
        <v>#N/A</v>
      </c>
      <c r="E2301" s="30">
        <f>'Raw data'!P1877</f>
        <v>0</v>
      </c>
      <c r="F2301" s="29" t="e">
        <f>VLOOKUP(E2301,'점포코드 '!A:B,2,0)</f>
        <v>#N/A</v>
      </c>
      <c r="G2301" s="46">
        <f>'Raw data'!F2210</f>
        <v>0</v>
      </c>
      <c r="H2301" s="4">
        <f>'Raw data'!G2210</f>
        <v>0</v>
      </c>
      <c r="I2301" s="29" t="e">
        <f>VLOOKUP(G2301,제품명!$C$1:$E$114,2,0)</f>
        <v>#N/A</v>
      </c>
      <c r="J2301" s="29">
        <f>'Raw data'!K2210</f>
        <v>0</v>
      </c>
      <c r="K2301" s="31">
        <f>'Raw data'!H2210</f>
        <v>0</v>
      </c>
      <c r="L2301" s="26">
        <f t="shared" si="74"/>
        <v>0</v>
      </c>
    </row>
    <row r="2302" spans="2:12">
      <c r="B2302" s="4" t="e">
        <f t="shared" si="73"/>
        <v>#N/A</v>
      </c>
      <c r="C2302" s="4">
        <f>'Raw data'!E1878</f>
        <v>0</v>
      </c>
      <c r="D2302" s="29" t="e">
        <f>VLOOKUP(C2302,'점포코드 '!A:B,2,0)</f>
        <v>#N/A</v>
      </c>
      <c r="E2302" s="30">
        <f>'Raw data'!P1878</f>
        <v>0</v>
      </c>
      <c r="F2302" s="29" t="e">
        <f>VLOOKUP(E2302,'점포코드 '!A:B,2,0)</f>
        <v>#N/A</v>
      </c>
      <c r="G2302" s="46">
        <f>'Raw data'!F2211</f>
        <v>0</v>
      </c>
      <c r="H2302" s="4">
        <f>'Raw data'!G2211</f>
        <v>0</v>
      </c>
      <c r="I2302" s="29" t="e">
        <f>VLOOKUP(G2302,제품명!$C$1:$E$114,2,0)</f>
        <v>#N/A</v>
      </c>
      <c r="J2302" s="29">
        <f>'Raw data'!K2211</f>
        <v>0</v>
      </c>
      <c r="K2302" s="31">
        <f>'Raw data'!H2211</f>
        <v>0</v>
      </c>
      <c r="L2302" s="26">
        <f t="shared" si="74"/>
        <v>0</v>
      </c>
    </row>
    <row r="2303" spans="2:12">
      <c r="B2303" s="4" t="e">
        <f t="shared" si="73"/>
        <v>#N/A</v>
      </c>
      <c r="C2303" s="4">
        <f>'Raw data'!E1879</f>
        <v>0</v>
      </c>
      <c r="D2303" s="29" t="e">
        <f>VLOOKUP(C2303,'점포코드 '!A:B,2,0)</f>
        <v>#N/A</v>
      </c>
      <c r="E2303" s="30">
        <f>'Raw data'!P1879</f>
        <v>0</v>
      </c>
      <c r="F2303" s="29" t="e">
        <f>VLOOKUP(E2303,'점포코드 '!A:B,2,0)</f>
        <v>#N/A</v>
      </c>
      <c r="G2303" s="46">
        <f>'Raw data'!F2212</f>
        <v>0</v>
      </c>
      <c r="H2303" s="4">
        <f>'Raw data'!G2212</f>
        <v>0</v>
      </c>
      <c r="I2303" s="29" t="e">
        <f>VLOOKUP(G2303,제품명!$C$1:$E$114,2,0)</f>
        <v>#N/A</v>
      </c>
      <c r="J2303" s="29">
        <f>'Raw data'!K2212</f>
        <v>0</v>
      </c>
      <c r="K2303" s="31">
        <f>'Raw data'!H2212</f>
        <v>0</v>
      </c>
      <c r="L2303" s="26">
        <f t="shared" si="74"/>
        <v>0</v>
      </c>
    </row>
    <row r="2304" spans="2:12">
      <c r="B2304" s="4" t="e">
        <f t="shared" si="73"/>
        <v>#N/A</v>
      </c>
      <c r="C2304" s="4">
        <f>'Raw data'!E1880</f>
        <v>0</v>
      </c>
      <c r="D2304" s="29" t="e">
        <f>VLOOKUP(C2304,'점포코드 '!A:B,2,0)</f>
        <v>#N/A</v>
      </c>
      <c r="E2304" s="30">
        <f>'Raw data'!P1880</f>
        <v>0</v>
      </c>
      <c r="F2304" s="29" t="e">
        <f>VLOOKUP(E2304,'점포코드 '!A:B,2,0)</f>
        <v>#N/A</v>
      </c>
      <c r="G2304" s="46">
        <f>'Raw data'!F2213</f>
        <v>0</v>
      </c>
      <c r="H2304" s="4">
        <f>'Raw data'!G2213</f>
        <v>0</v>
      </c>
      <c r="I2304" s="29" t="e">
        <f>VLOOKUP(G2304,제품명!$C$1:$E$114,2,0)</f>
        <v>#N/A</v>
      </c>
      <c r="J2304" s="29">
        <f>'Raw data'!K2213</f>
        <v>0</v>
      </c>
      <c r="K2304" s="31">
        <f>'Raw data'!H2213</f>
        <v>0</v>
      </c>
      <c r="L2304" s="26">
        <f t="shared" si="74"/>
        <v>0</v>
      </c>
    </row>
    <row r="2305" spans="2:12">
      <c r="B2305" s="4" t="e">
        <f t="shared" si="73"/>
        <v>#N/A</v>
      </c>
      <c r="C2305" s="4">
        <f>'Raw data'!E1881</f>
        <v>0</v>
      </c>
      <c r="D2305" s="29" t="e">
        <f>VLOOKUP(C2305,'점포코드 '!A:B,2,0)</f>
        <v>#N/A</v>
      </c>
      <c r="E2305" s="30">
        <f>'Raw data'!P1881</f>
        <v>0</v>
      </c>
      <c r="F2305" s="29" t="e">
        <f>VLOOKUP(E2305,'점포코드 '!A:B,2,0)</f>
        <v>#N/A</v>
      </c>
      <c r="G2305" s="46">
        <f>'Raw data'!F2214</f>
        <v>0</v>
      </c>
      <c r="H2305" s="4">
        <f>'Raw data'!G2214</f>
        <v>0</v>
      </c>
      <c r="I2305" s="29" t="e">
        <f>VLOOKUP(G2305,제품명!$C$1:$E$114,2,0)</f>
        <v>#N/A</v>
      </c>
      <c r="J2305" s="29">
        <f>'Raw data'!K2214</f>
        <v>0</v>
      </c>
      <c r="K2305" s="31">
        <f>'Raw data'!H2214</f>
        <v>0</v>
      </c>
      <c r="L2305" s="26">
        <f t="shared" si="74"/>
        <v>0</v>
      </c>
    </row>
    <row r="2306" spans="2:12">
      <c r="B2306" s="4" t="e">
        <f t="shared" ref="B2306:B2369" si="75">F2306&amp;I2306</f>
        <v>#N/A</v>
      </c>
      <c r="C2306" s="4">
        <f>'Raw data'!E1882</f>
        <v>0</v>
      </c>
      <c r="D2306" s="29" t="e">
        <f>VLOOKUP(C2306,'점포코드 '!A:B,2,0)</f>
        <v>#N/A</v>
      </c>
      <c r="E2306" s="30">
        <f>'Raw data'!P1882</f>
        <v>0</v>
      </c>
      <c r="F2306" s="29" t="e">
        <f>VLOOKUP(E2306,'점포코드 '!A:B,2,0)</f>
        <v>#N/A</v>
      </c>
      <c r="G2306" s="46">
        <f>'Raw data'!F2215</f>
        <v>0</v>
      </c>
      <c r="H2306" s="4">
        <f>'Raw data'!G2215</f>
        <v>0</v>
      </c>
      <c r="I2306" s="29" t="e">
        <f>VLOOKUP(G2306,제품명!$C$1:$E$114,2,0)</f>
        <v>#N/A</v>
      </c>
      <c r="J2306" s="29">
        <f>'Raw data'!K2215</f>
        <v>0</v>
      </c>
      <c r="K2306" s="31">
        <f>'Raw data'!H2215</f>
        <v>0</v>
      </c>
      <c r="L2306" s="26">
        <f t="shared" si="74"/>
        <v>0</v>
      </c>
    </row>
    <row r="2307" spans="2:12">
      <c r="B2307" s="4" t="e">
        <f t="shared" si="75"/>
        <v>#N/A</v>
      </c>
      <c r="C2307" s="4">
        <f>'Raw data'!E1883</f>
        <v>0</v>
      </c>
      <c r="D2307" s="29" t="e">
        <f>VLOOKUP(C2307,'점포코드 '!A:B,2,0)</f>
        <v>#N/A</v>
      </c>
      <c r="E2307" s="30">
        <f>'Raw data'!P1883</f>
        <v>0</v>
      </c>
      <c r="F2307" s="29" t="e">
        <f>VLOOKUP(E2307,'점포코드 '!A:B,2,0)</f>
        <v>#N/A</v>
      </c>
      <c r="G2307" s="46">
        <f>'Raw data'!F2216</f>
        <v>0</v>
      </c>
      <c r="H2307" s="4">
        <f>'Raw data'!G2216</f>
        <v>0</v>
      </c>
      <c r="I2307" s="29" t="e">
        <f>VLOOKUP(G2307,제품명!$C$1:$E$114,2,0)</f>
        <v>#N/A</v>
      </c>
      <c r="J2307" s="29">
        <f>'Raw data'!K2216</f>
        <v>0</v>
      </c>
      <c r="K2307" s="31">
        <f>'Raw data'!H2216</f>
        <v>0</v>
      </c>
      <c r="L2307" s="26">
        <f t="shared" ref="L2307:L2370" si="76">J2307*K2307</f>
        <v>0</v>
      </c>
    </row>
    <row r="2308" spans="2:12">
      <c r="B2308" s="4" t="e">
        <f t="shared" si="75"/>
        <v>#N/A</v>
      </c>
      <c r="C2308" s="4">
        <f>'Raw data'!E1884</f>
        <v>0</v>
      </c>
      <c r="D2308" s="29" t="e">
        <f>VLOOKUP(C2308,'점포코드 '!A:B,2,0)</f>
        <v>#N/A</v>
      </c>
      <c r="E2308" s="30">
        <f>'Raw data'!P1884</f>
        <v>0</v>
      </c>
      <c r="F2308" s="29" t="e">
        <f>VLOOKUP(E2308,'점포코드 '!A:B,2,0)</f>
        <v>#N/A</v>
      </c>
      <c r="G2308" s="46">
        <f>'Raw data'!F2217</f>
        <v>0</v>
      </c>
      <c r="H2308" s="4">
        <f>'Raw data'!G2217</f>
        <v>0</v>
      </c>
      <c r="I2308" s="29" t="e">
        <f>VLOOKUP(G2308,제품명!$C$1:$E$114,2,0)</f>
        <v>#N/A</v>
      </c>
      <c r="J2308" s="29">
        <f>'Raw data'!K2217</f>
        <v>0</v>
      </c>
      <c r="K2308" s="31">
        <f>'Raw data'!H2217</f>
        <v>0</v>
      </c>
      <c r="L2308" s="26">
        <f t="shared" si="76"/>
        <v>0</v>
      </c>
    </row>
    <row r="2309" spans="2:12">
      <c r="B2309" s="4" t="e">
        <f t="shared" si="75"/>
        <v>#N/A</v>
      </c>
      <c r="C2309" s="4">
        <f>'Raw data'!E1885</f>
        <v>0</v>
      </c>
      <c r="D2309" s="29" t="e">
        <f>VLOOKUP(C2309,'점포코드 '!A:B,2,0)</f>
        <v>#N/A</v>
      </c>
      <c r="E2309" s="30">
        <f>'Raw data'!P1885</f>
        <v>0</v>
      </c>
      <c r="F2309" s="29" t="e">
        <f>VLOOKUP(E2309,'점포코드 '!A:B,2,0)</f>
        <v>#N/A</v>
      </c>
      <c r="G2309" s="46">
        <f>'Raw data'!F2218</f>
        <v>0</v>
      </c>
      <c r="H2309" s="4">
        <f>'Raw data'!G2218</f>
        <v>0</v>
      </c>
      <c r="I2309" s="29" t="e">
        <f>VLOOKUP(G2309,제품명!$C$1:$E$114,2,0)</f>
        <v>#N/A</v>
      </c>
      <c r="J2309" s="29">
        <f>'Raw data'!K2218</f>
        <v>0</v>
      </c>
      <c r="K2309" s="31">
        <f>'Raw data'!H2218</f>
        <v>0</v>
      </c>
      <c r="L2309" s="26">
        <f t="shared" si="76"/>
        <v>0</v>
      </c>
    </row>
    <row r="2310" spans="2:12">
      <c r="B2310" s="4" t="e">
        <f t="shared" si="75"/>
        <v>#N/A</v>
      </c>
      <c r="C2310" s="4">
        <f>'Raw data'!E1886</f>
        <v>0</v>
      </c>
      <c r="D2310" s="29" t="e">
        <f>VLOOKUP(C2310,'점포코드 '!A:B,2,0)</f>
        <v>#N/A</v>
      </c>
      <c r="E2310" s="30">
        <f>'Raw data'!P1886</f>
        <v>0</v>
      </c>
      <c r="F2310" s="29" t="e">
        <f>VLOOKUP(E2310,'점포코드 '!A:B,2,0)</f>
        <v>#N/A</v>
      </c>
      <c r="G2310" s="46">
        <f>'Raw data'!F2219</f>
        <v>0</v>
      </c>
      <c r="H2310" s="4">
        <f>'Raw data'!G2219</f>
        <v>0</v>
      </c>
      <c r="I2310" s="29" t="e">
        <f>VLOOKUP(G2310,제품명!$C$1:$E$114,2,0)</f>
        <v>#N/A</v>
      </c>
      <c r="J2310" s="29">
        <f>'Raw data'!K2219</f>
        <v>0</v>
      </c>
      <c r="K2310" s="31">
        <f>'Raw data'!H2219</f>
        <v>0</v>
      </c>
      <c r="L2310" s="26">
        <f t="shared" si="76"/>
        <v>0</v>
      </c>
    </row>
    <row r="2311" spans="2:12">
      <c r="B2311" s="4" t="e">
        <f t="shared" si="75"/>
        <v>#N/A</v>
      </c>
      <c r="C2311" s="4">
        <f>'Raw data'!E1887</f>
        <v>0</v>
      </c>
      <c r="D2311" s="29" t="e">
        <f>VLOOKUP(C2311,'점포코드 '!A:B,2,0)</f>
        <v>#N/A</v>
      </c>
      <c r="E2311" s="30">
        <f>'Raw data'!P1887</f>
        <v>0</v>
      </c>
      <c r="F2311" s="29" t="e">
        <f>VLOOKUP(E2311,'점포코드 '!A:B,2,0)</f>
        <v>#N/A</v>
      </c>
      <c r="G2311" s="46">
        <f>'Raw data'!F2220</f>
        <v>0</v>
      </c>
      <c r="H2311" s="4">
        <f>'Raw data'!G2220</f>
        <v>0</v>
      </c>
      <c r="I2311" s="29" t="e">
        <f>VLOOKUP(G2311,제품명!$C$1:$E$114,2,0)</f>
        <v>#N/A</v>
      </c>
      <c r="J2311" s="29">
        <f>'Raw data'!K2220</f>
        <v>0</v>
      </c>
      <c r="K2311" s="31">
        <f>'Raw data'!H2220</f>
        <v>0</v>
      </c>
      <c r="L2311" s="26">
        <f t="shared" si="76"/>
        <v>0</v>
      </c>
    </row>
    <row r="2312" spans="2:12">
      <c r="B2312" s="4" t="e">
        <f t="shared" si="75"/>
        <v>#N/A</v>
      </c>
      <c r="C2312" s="4">
        <f>'Raw data'!E1888</f>
        <v>0</v>
      </c>
      <c r="D2312" s="29" t="e">
        <f>VLOOKUP(C2312,'점포코드 '!A:B,2,0)</f>
        <v>#N/A</v>
      </c>
      <c r="E2312" s="30">
        <f>'Raw data'!P1888</f>
        <v>0</v>
      </c>
      <c r="F2312" s="29" t="e">
        <f>VLOOKUP(E2312,'점포코드 '!A:B,2,0)</f>
        <v>#N/A</v>
      </c>
      <c r="G2312" s="46">
        <f>'Raw data'!F2221</f>
        <v>0</v>
      </c>
      <c r="H2312" s="4">
        <f>'Raw data'!G2221</f>
        <v>0</v>
      </c>
      <c r="I2312" s="29" t="e">
        <f>VLOOKUP(G2312,제품명!$C$1:$E$114,2,0)</f>
        <v>#N/A</v>
      </c>
      <c r="J2312" s="29">
        <f>'Raw data'!K2221</f>
        <v>0</v>
      </c>
      <c r="K2312" s="31">
        <f>'Raw data'!H2221</f>
        <v>0</v>
      </c>
      <c r="L2312" s="26">
        <f t="shared" si="76"/>
        <v>0</v>
      </c>
    </row>
    <row r="2313" spans="2:12">
      <c r="B2313" s="4" t="e">
        <f t="shared" si="75"/>
        <v>#N/A</v>
      </c>
      <c r="C2313" s="4">
        <f>'Raw data'!E1889</f>
        <v>0</v>
      </c>
      <c r="D2313" s="29" t="e">
        <f>VLOOKUP(C2313,'점포코드 '!A:B,2,0)</f>
        <v>#N/A</v>
      </c>
      <c r="E2313" s="30">
        <f>'Raw data'!P1889</f>
        <v>0</v>
      </c>
      <c r="F2313" s="29" t="e">
        <f>VLOOKUP(E2313,'점포코드 '!A:B,2,0)</f>
        <v>#N/A</v>
      </c>
      <c r="G2313" s="46">
        <f>'Raw data'!F2222</f>
        <v>0</v>
      </c>
      <c r="H2313" s="4">
        <f>'Raw data'!G2222</f>
        <v>0</v>
      </c>
      <c r="I2313" s="29" t="e">
        <f>VLOOKUP(G2313,제품명!$C$1:$E$114,2,0)</f>
        <v>#N/A</v>
      </c>
      <c r="J2313" s="29">
        <f>'Raw data'!K2222</f>
        <v>0</v>
      </c>
      <c r="K2313" s="31">
        <f>'Raw data'!H2222</f>
        <v>0</v>
      </c>
      <c r="L2313" s="26">
        <f t="shared" si="76"/>
        <v>0</v>
      </c>
    </row>
    <row r="2314" spans="2:12">
      <c r="B2314" s="4" t="e">
        <f t="shared" si="75"/>
        <v>#N/A</v>
      </c>
      <c r="C2314" s="4">
        <f>'Raw data'!E1890</f>
        <v>0</v>
      </c>
      <c r="D2314" s="29" t="e">
        <f>VLOOKUP(C2314,'점포코드 '!A:B,2,0)</f>
        <v>#N/A</v>
      </c>
      <c r="E2314" s="30">
        <f>'Raw data'!P1890</f>
        <v>0</v>
      </c>
      <c r="F2314" s="29" t="e">
        <f>VLOOKUP(E2314,'점포코드 '!A:B,2,0)</f>
        <v>#N/A</v>
      </c>
      <c r="G2314" s="46">
        <f>'Raw data'!F2223</f>
        <v>0</v>
      </c>
      <c r="H2314" s="4">
        <f>'Raw data'!G2223</f>
        <v>0</v>
      </c>
      <c r="I2314" s="29" t="e">
        <f>VLOOKUP(G2314,제품명!$C$1:$E$114,2,0)</f>
        <v>#N/A</v>
      </c>
      <c r="J2314" s="29">
        <f>'Raw data'!K2223</f>
        <v>0</v>
      </c>
      <c r="K2314" s="31">
        <f>'Raw data'!H2223</f>
        <v>0</v>
      </c>
      <c r="L2314" s="26">
        <f t="shared" si="76"/>
        <v>0</v>
      </c>
    </row>
    <row r="2315" spans="2:12">
      <c r="B2315" s="4" t="e">
        <f t="shared" si="75"/>
        <v>#N/A</v>
      </c>
      <c r="C2315" s="4">
        <f>'Raw data'!E1891</f>
        <v>0</v>
      </c>
      <c r="D2315" s="29" t="e">
        <f>VLOOKUP(C2315,'점포코드 '!A:B,2,0)</f>
        <v>#N/A</v>
      </c>
      <c r="E2315" s="30">
        <f>'Raw data'!P1891</f>
        <v>0</v>
      </c>
      <c r="F2315" s="29" t="e">
        <f>VLOOKUP(E2315,'점포코드 '!A:B,2,0)</f>
        <v>#N/A</v>
      </c>
      <c r="G2315" s="46">
        <f>'Raw data'!F2224</f>
        <v>0</v>
      </c>
      <c r="H2315" s="4">
        <f>'Raw data'!G2224</f>
        <v>0</v>
      </c>
      <c r="I2315" s="29" t="e">
        <f>VLOOKUP(G2315,제품명!$C$1:$E$114,2,0)</f>
        <v>#N/A</v>
      </c>
      <c r="J2315" s="29">
        <f>'Raw data'!K2224</f>
        <v>0</v>
      </c>
      <c r="K2315" s="31">
        <f>'Raw data'!H2224</f>
        <v>0</v>
      </c>
      <c r="L2315" s="26">
        <f t="shared" si="76"/>
        <v>0</v>
      </c>
    </row>
    <row r="2316" spans="2:12">
      <c r="B2316" s="4" t="e">
        <f t="shared" si="75"/>
        <v>#N/A</v>
      </c>
      <c r="C2316" s="4">
        <f>'Raw data'!E1892</f>
        <v>0</v>
      </c>
      <c r="D2316" s="29" t="e">
        <f>VLOOKUP(C2316,'점포코드 '!A:B,2,0)</f>
        <v>#N/A</v>
      </c>
      <c r="E2316" s="30">
        <f>'Raw data'!P1892</f>
        <v>0</v>
      </c>
      <c r="F2316" s="29" t="e">
        <f>VLOOKUP(E2316,'점포코드 '!A:B,2,0)</f>
        <v>#N/A</v>
      </c>
      <c r="G2316" s="46">
        <f>'Raw data'!F2225</f>
        <v>0</v>
      </c>
      <c r="H2316" s="4">
        <f>'Raw data'!G2225</f>
        <v>0</v>
      </c>
      <c r="I2316" s="29" t="e">
        <f>VLOOKUP(G2316,제품명!$C$1:$E$114,2,0)</f>
        <v>#N/A</v>
      </c>
      <c r="J2316" s="29">
        <f>'Raw data'!K2225</f>
        <v>0</v>
      </c>
      <c r="K2316" s="31">
        <f>'Raw data'!H2225</f>
        <v>0</v>
      </c>
      <c r="L2316" s="26">
        <f t="shared" si="76"/>
        <v>0</v>
      </c>
    </row>
    <row r="2317" spans="2:12">
      <c r="B2317" s="4" t="e">
        <f t="shared" si="75"/>
        <v>#N/A</v>
      </c>
      <c r="C2317" s="4">
        <f>'Raw data'!E1893</f>
        <v>0</v>
      </c>
      <c r="D2317" s="29" t="e">
        <f>VLOOKUP(C2317,'점포코드 '!A:B,2,0)</f>
        <v>#N/A</v>
      </c>
      <c r="E2317" s="30">
        <f>'Raw data'!P1893</f>
        <v>0</v>
      </c>
      <c r="F2317" s="29" t="e">
        <f>VLOOKUP(E2317,'점포코드 '!A:B,2,0)</f>
        <v>#N/A</v>
      </c>
      <c r="G2317" s="46">
        <f>'Raw data'!F2226</f>
        <v>0</v>
      </c>
      <c r="H2317" s="4">
        <f>'Raw data'!G2226</f>
        <v>0</v>
      </c>
      <c r="I2317" s="29" t="e">
        <f>VLOOKUP(G2317,제품명!$C$1:$E$114,2,0)</f>
        <v>#N/A</v>
      </c>
      <c r="J2317" s="29">
        <f>'Raw data'!K2226</f>
        <v>0</v>
      </c>
      <c r="K2317" s="31">
        <f>'Raw data'!H2226</f>
        <v>0</v>
      </c>
      <c r="L2317" s="26">
        <f t="shared" si="76"/>
        <v>0</v>
      </c>
    </row>
    <row r="2318" spans="2:12">
      <c r="B2318" s="4" t="e">
        <f t="shared" si="75"/>
        <v>#N/A</v>
      </c>
      <c r="C2318" s="4">
        <f>'Raw data'!E1894</f>
        <v>0</v>
      </c>
      <c r="D2318" s="29" t="e">
        <f>VLOOKUP(C2318,'점포코드 '!A:B,2,0)</f>
        <v>#N/A</v>
      </c>
      <c r="E2318" s="30">
        <f>'Raw data'!P1894</f>
        <v>0</v>
      </c>
      <c r="F2318" s="29" t="e">
        <f>VLOOKUP(E2318,'점포코드 '!A:B,2,0)</f>
        <v>#N/A</v>
      </c>
      <c r="G2318" s="46">
        <f>'Raw data'!F2227</f>
        <v>0</v>
      </c>
      <c r="H2318" s="4">
        <f>'Raw data'!G2227</f>
        <v>0</v>
      </c>
      <c r="I2318" s="29" t="e">
        <f>VLOOKUP(G2318,제품명!$C$1:$E$114,2,0)</f>
        <v>#N/A</v>
      </c>
      <c r="J2318" s="29">
        <f>'Raw data'!K2227</f>
        <v>0</v>
      </c>
      <c r="K2318" s="31">
        <f>'Raw data'!H2227</f>
        <v>0</v>
      </c>
      <c r="L2318" s="26">
        <f t="shared" si="76"/>
        <v>0</v>
      </c>
    </row>
    <row r="2319" spans="2:12">
      <c r="B2319" s="4" t="e">
        <f t="shared" si="75"/>
        <v>#N/A</v>
      </c>
      <c r="C2319" s="4">
        <f>'Raw data'!E1895</f>
        <v>0</v>
      </c>
      <c r="D2319" s="29" t="e">
        <f>VLOOKUP(C2319,'점포코드 '!A:B,2,0)</f>
        <v>#N/A</v>
      </c>
      <c r="E2319" s="30">
        <f>'Raw data'!P1895</f>
        <v>0</v>
      </c>
      <c r="F2319" s="29" t="e">
        <f>VLOOKUP(E2319,'점포코드 '!A:B,2,0)</f>
        <v>#N/A</v>
      </c>
      <c r="G2319" s="46">
        <f>'Raw data'!F2228</f>
        <v>0</v>
      </c>
      <c r="H2319" s="4">
        <f>'Raw data'!G2228</f>
        <v>0</v>
      </c>
      <c r="I2319" s="29" t="e">
        <f>VLOOKUP(G2319,제품명!$C$1:$E$114,2,0)</f>
        <v>#N/A</v>
      </c>
      <c r="J2319" s="29">
        <f>'Raw data'!K2228</f>
        <v>0</v>
      </c>
      <c r="K2319" s="31">
        <f>'Raw data'!H2228</f>
        <v>0</v>
      </c>
      <c r="L2319" s="26">
        <f t="shared" si="76"/>
        <v>0</v>
      </c>
    </row>
    <row r="2320" spans="2:12">
      <c r="B2320" s="4" t="e">
        <f t="shared" si="75"/>
        <v>#N/A</v>
      </c>
      <c r="C2320" s="4">
        <f>'Raw data'!E1896</f>
        <v>0</v>
      </c>
      <c r="D2320" s="29" t="e">
        <f>VLOOKUP(C2320,'점포코드 '!A:B,2,0)</f>
        <v>#N/A</v>
      </c>
      <c r="E2320" s="30">
        <f>'Raw data'!P1896</f>
        <v>0</v>
      </c>
      <c r="F2320" s="29" t="e">
        <f>VLOOKUP(E2320,'점포코드 '!A:B,2,0)</f>
        <v>#N/A</v>
      </c>
      <c r="G2320" s="46">
        <f>'Raw data'!F2229</f>
        <v>0</v>
      </c>
      <c r="H2320" s="4">
        <f>'Raw data'!G2229</f>
        <v>0</v>
      </c>
      <c r="I2320" s="29" t="e">
        <f>VLOOKUP(G2320,제품명!$C$1:$E$114,2,0)</f>
        <v>#N/A</v>
      </c>
      <c r="J2320" s="29">
        <f>'Raw data'!K2229</f>
        <v>0</v>
      </c>
      <c r="K2320" s="31">
        <f>'Raw data'!H2229</f>
        <v>0</v>
      </c>
      <c r="L2320" s="26">
        <f t="shared" si="76"/>
        <v>0</v>
      </c>
    </row>
    <row r="2321" spans="2:12">
      <c r="B2321" s="4" t="e">
        <f t="shared" si="75"/>
        <v>#N/A</v>
      </c>
      <c r="C2321" s="4">
        <f>'Raw data'!E1897</f>
        <v>0</v>
      </c>
      <c r="D2321" s="29" t="e">
        <f>VLOOKUP(C2321,'점포코드 '!A:B,2,0)</f>
        <v>#N/A</v>
      </c>
      <c r="E2321" s="30">
        <f>'Raw data'!P1897</f>
        <v>0</v>
      </c>
      <c r="F2321" s="29" t="e">
        <f>VLOOKUP(E2321,'점포코드 '!A:B,2,0)</f>
        <v>#N/A</v>
      </c>
      <c r="G2321" s="46">
        <f>'Raw data'!F2230</f>
        <v>0</v>
      </c>
      <c r="H2321" s="4">
        <f>'Raw data'!G2230</f>
        <v>0</v>
      </c>
      <c r="I2321" s="29" t="e">
        <f>VLOOKUP(G2321,제품명!$C$1:$E$114,2,0)</f>
        <v>#N/A</v>
      </c>
      <c r="J2321" s="29">
        <f>'Raw data'!K2230</f>
        <v>0</v>
      </c>
      <c r="K2321" s="31">
        <f>'Raw data'!H2230</f>
        <v>0</v>
      </c>
      <c r="L2321" s="26">
        <f t="shared" si="76"/>
        <v>0</v>
      </c>
    </row>
    <row r="2322" spans="2:12">
      <c r="B2322" s="4" t="e">
        <f t="shared" si="75"/>
        <v>#N/A</v>
      </c>
      <c r="C2322" s="4">
        <f>'Raw data'!E1898</f>
        <v>0</v>
      </c>
      <c r="D2322" s="29" t="e">
        <f>VLOOKUP(C2322,'점포코드 '!A:B,2,0)</f>
        <v>#N/A</v>
      </c>
      <c r="E2322" s="30">
        <f>'Raw data'!P1898</f>
        <v>0</v>
      </c>
      <c r="F2322" s="29" t="e">
        <f>VLOOKUP(E2322,'점포코드 '!A:B,2,0)</f>
        <v>#N/A</v>
      </c>
      <c r="G2322" s="46">
        <f>'Raw data'!F2231</f>
        <v>0</v>
      </c>
      <c r="H2322" s="4">
        <f>'Raw data'!G2231</f>
        <v>0</v>
      </c>
      <c r="I2322" s="29" t="e">
        <f>VLOOKUP(G2322,제품명!$C$1:$E$114,2,0)</f>
        <v>#N/A</v>
      </c>
      <c r="J2322" s="29">
        <f>'Raw data'!K2231</f>
        <v>0</v>
      </c>
      <c r="K2322" s="31">
        <f>'Raw data'!H2231</f>
        <v>0</v>
      </c>
      <c r="L2322" s="26">
        <f t="shared" si="76"/>
        <v>0</v>
      </c>
    </row>
    <row r="2323" spans="2:12">
      <c r="B2323" s="4" t="e">
        <f t="shared" si="75"/>
        <v>#N/A</v>
      </c>
      <c r="C2323" s="4">
        <f>'Raw data'!E1899</f>
        <v>0</v>
      </c>
      <c r="D2323" s="29" t="e">
        <f>VLOOKUP(C2323,'점포코드 '!A:B,2,0)</f>
        <v>#N/A</v>
      </c>
      <c r="E2323" s="30">
        <f>'Raw data'!P1899</f>
        <v>0</v>
      </c>
      <c r="F2323" s="29" t="e">
        <f>VLOOKUP(E2323,'점포코드 '!A:B,2,0)</f>
        <v>#N/A</v>
      </c>
      <c r="G2323" s="46">
        <f>'Raw data'!F2232</f>
        <v>0</v>
      </c>
      <c r="H2323" s="4">
        <f>'Raw data'!G2232</f>
        <v>0</v>
      </c>
      <c r="I2323" s="29" t="e">
        <f>VLOOKUP(G2323,제품명!$C$1:$E$114,2,0)</f>
        <v>#N/A</v>
      </c>
      <c r="J2323" s="29">
        <f>'Raw data'!K2232</f>
        <v>0</v>
      </c>
      <c r="K2323" s="31">
        <f>'Raw data'!H2232</f>
        <v>0</v>
      </c>
      <c r="L2323" s="26">
        <f t="shared" si="76"/>
        <v>0</v>
      </c>
    </row>
    <row r="2324" spans="2:12">
      <c r="B2324" s="4" t="e">
        <f t="shared" si="75"/>
        <v>#N/A</v>
      </c>
      <c r="C2324" s="4">
        <f>'Raw data'!E1900</f>
        <v>0</v>
      </c>
      <c r="D2324" s="29" t="e">
        <f>VLOOKUP(C2324,'점포코드 '!A:B,2,0)</f>
        <v>#N/A</v>
      </c>
      <c r="E2324" s="30">
        <f>'Raw data'!P1900</f>
        <v>0</v>
      </c>
      <c r="F2324" s="29" t="e">
        <f>VLOOKUP(E2324,'점포코드 '!A:B,2,0)</f>
        <v>#N/A</v>
      </c>
      <c r="G2324" s="46">
        <f>'Raw data'!F2233</f>
        <v>0</v>
      </c>
      <c r="H2324" s="4">
        <f>'Raw data'!G2233</f>
        <v>0</v>
      </c>
      <c r="I2324" s="29" t="e">
        <f>VLOOKUP(G2324,제품명!$C$1:$E$114,2,0)</f>
        <v>#N/A</v>
      </c>
      <c r="J2324" s="29">
        <f>'Raw data'!K2233</f>
        <v>0</v>
      </c>
      <c r="K2324" s="31">
        <f>'Raw data'!H2233</f>
        <v>0</v>
      </c>
      <c r="L2324" s="26">
        <f t="shared" si="76"/>
        <v>0</v>
      </c>
    </row>
    <row r="2325" spans="2:12">
      <c r="B2325" s="4" t="e">
        <f t="shared" si="75"/>
        <v>#N/A</v>
      </c>
      <c r="C2325" s="4">
        <f>'Raw data'!E1901</f>
        <v>0</v>
      </c>
      <c r="D2325" s="29" t="e">
        <f>VLOOKUP(C2325,'점포코드 '!A:B,2,0)</f>
        <v>#N/A</v>
      </c>
      <c r="E2325" s="30">
        <f>'Raw data'!P1901</f>
        <v>0</v>
      </c>
      <c r="F2325" s="29" t="e">
        <f>VLOOKUP(E2325,'점포코드 '!A:B,2,0)</f>
        <v>#N/A</v>
      </c>
      <c r="G2325" s="46">
        <f>'Raw data'!F2234</f>
        <v>0</v>
      </c>
      <c r="H2325" s="4">
        <f>'Raw data'!G2234</f>
        <v>0</v>
      </c>
      <c r="I2325" s="29" t="e">
        <f>VLOOKUP(G2325,제품명!$C$1:$E$114,2,0)</f>
        <v>#N/A</v>
      </c>
      <c r="J2325" s="29">
        <f>'Raw data'!K2234</f>
        <v>0</v>
      </c>
      <c r="K2325" s="31">
        <f>'Raw data'!H2234</f>
        <v>0</v>
      </c>
      <c r="L2325" s="26">
        <f t="shared" si="76"/>
        <v>0</v>
      </c>
    </row>
    <row r="2326" spans="2:12">
      <c r="B2326" s="4" t="e">
        <f t="shared" si="75"/>
        <v>#N/A</v>
      </c>
      <c r="C2326" s="4">
        <f>'Raw data'!E1902</f>
        <v>0</v>
      </c>
      <c r="D2326" s="29" t="e">
        <f>VLOOKUP(C2326,'점포코드 '!A:B,2,0)</f>
        <v>#N/A</v>
      </c>
      <c r="E2326" s="30">
        <f>'Raw data'!P1902</f>
        <v>0</v>
      </c>
      <c r="F2326" s="29" t="e">
        <f>VLOOKUP(E2326,'점포코드 '!A:B,2,0)</f>
        <v>#N/A</v>
      </c>
      <c r="G2326" s="46">
        <f>'Raw data'!F2235</f>
        <v>0</v>
      </c>
      <c r="H2326" s="4">
        <f>'Raw data'!G2235</f>
        <v>0</v>
      </c>
      <c r="I2326" s="29" t="e">
        <f>VLOOKUP(G2326,제품명!$C$1:$E$114,2,0)</f>
        <v>#N/A</v>
      </c>
      <c r="J2326" s="29">
        <f>'Raw data'!K2235</f>
        <v>0</v>
      </c>
      <c r="K2326" s="31">
        <f>'Raw data'!H2235</f>
        <v>0</v>
      </c>
      <c r="L2326" s="26">
        <f t="shared" si="76"/>
        <v>0</v>
      </c>
    </row>
    <row r="2327" spans="2:12">
      <c r="B2327" s="4" t="e">
        <f t="shared" si="75"/>
        <v>#N/A</v>
      </c>
      <c r="C2327" s="4">
        <f>'Raw data'!E1903</f>
        <v>0</v>
      </c>
      <c r="D2327" s="29" t="e">
        <f>VLOOKUP(C2327,'점포코드 '!A:B,2,0)</f>
        <v>#N/A</v>
      </c>
      <c r="E2327" s="30">
        <f>'Raw data'!P1903</f>
        <v>0</v>
      </c>
      <c r="F2327" s="29" t="e">
        <f>VLOOKUP(E2327,'점포코드 '!A:B,2,0)</f>
        <v>#N/A</v>
      </c>
      <c r="G2327" s="46">
        <f>'Raw data'!F2236</f>
        <v>0</v>
      </c>
      <c r="H2327" s="4">
        <f>'Raw data'!G2236</f>
        <v>0</v>
      </c>
      <c r="I2327" s="29" t="e">
        <f>VLOOKUP(G2327,제품명!$C$1:$E$114,2,0)</f>
        <v>#N/A</v>
      </c>
      <c r="J2327" s="29">
        <f>'Raw data'!K2236</f>
        <v>0</v>
      </c>
      <c r="K2327" s="31">
        <f>'Raw data'!H2236</f>
        <v>0</v>
      </c>
      <c r="L2327" s="26">
        <f t="shared" si="76"/>
        <v>0</v>
      </c>
    </row>
    <row r="2328" spans="2:12">
      <c r="B2328" s="4" t="e">
        <f t="shared" si="75"/>
        <v>#N/A</v>
      </c>
      <c r="C2328" s="4">
        <f>'Raw data'!E1904</f>
        <v>0</v>
      </c>
      <c r="D2328" s="29" t="e">
        <f>VLOOKUP(C2328,'점포코드 '!A:B,2,0)</f>
        <v>#N/A</v>
      </c>
      <c r="E2328" s="30">
        <f>'Raw data'!P1904</f>
        <v>0</v>
      </c>
      <c r="F2328" s="29" t="e">
        <f>VLOOKUP(E2328,'점포코드 '!A:B,2,0)</f>
        <v>#N/A</v>
      </c>
      <c r="G2328" s="46">
        <f>'Raw data'!F2237</f>
        <v>0</v>
      </c>
      <c r="H2328" s="4">
        <f>'Raw data'!G2237</f>
        <v>0</v>
      </c>
      <c r="I2328" s="29" t="e">
        <f>VLOOKUP(G2328,제품명!$C$1:$E$114,2,0)</f>
        <v>#N/A</v>
      </c>
      <c r="J2328" s="29">
        <f>'Raw data'!K2237</f>
        <v>0</v>
      </c>
      <c r="K2328" s="31">
        <f>'Raw data'!H2237</f>
        <v>0</v>
      </c>
      <c r="L2328" s="26">
        <f t="shared" si="76"/>
        <v>0</v>
      </c>
    </row>
    <row r="2329" spans="2:12">
      <c r="B2329" s="4" t="e">
        <f t="shared" si="75"/>
        <v>#N/A</v>
      </c>
      <c r="C2329" s="4">
        <f>'Raw data'!E1905</f>
        <v>0</v>
      </c>
      <c r="D2329" s="29" t="e">
        <f>VLOOKUP(C2329,'점포코드 '!A:B,2,0)</f>
        <v>#N/A</v>
      </c>
      <c r="E2329" s="30">
        <f>'Raw data'!P1905</f>
        <v>0</v>
      </c>
      <c r="F2329" s="29" t="e">
        <f>VLOOKUP(E2329,'점포코드 '!A:B,2,0)</f>
        <v>#N/A</v>
      </c>
      <c r="G2329" s="46">
        <f>'Raw data'!F2238</f>
        <v>0</v>
      </c>
      <c r="H2329" s="4">
        <f>'Raw data'!G2238</f>
        <v>0</v>
      </c>
      <c r="I2329" s="29" t="e">
        <f>VLOOKUP(G2329,제품명!$C$1:$E$114,2,0)</f>
        <v>#N/A</v>
      </c>
      <c r="J2329" s="29">
        <f>'Raw data'!K2238</f>
        <v>0</v>
      </c>
      <c r="K2329" s="31">
        <f>'Raw data'!H2238</f>
        <v>0</v>
      </c>
      <c r="L2329" s="26">
        <f t="shared" si="76"/>
        <v>0</v>
      </c>
    </row>
    <row r="2330" spans="2:12">
      <c r="B2330" s="4" t="e">
        <f t="shared" si="75"/>
        <v>#N/A</v>
      </c>
      <c r="C2330" s="4">
        <f>'Raw data'!E1906</f>
        <v>0</v>
      </c>
      <c r="D2330" s="29" t="e">
        <f>VLOOKUP(C2330,'점포코드 '!A:B,2,0)</f>
        <v>#N/A</v>
      </c>
      <c r="E2330" s="30">
        <f>'Raw data'!P1906</f>
        <v>0</v>
      </c>
      <c r="F2330" s="29" t="e">
        <f>VLOOKUP(E2330,'점포코드 '!A:B,2,0)</f>
        <v>#N/A</v>
      </c>
      <c r="G2330" s="46">
        <f>'Raw data'!F2239</f>
        <v>0</v>
      </c>
      <c r="H2330" s="4">
        <f>'Raw data'!G2239</f>
        <v>0</v>
      </c>
      <c r="I2330" s="29" t="e">
        <f>VLOOKUP(G2330,제품명!$C$1:$E$114,2,0)</f>
        <v>#N/A</v>
      </c>
      <c r="J2330" s="29">
        <f>'Raw data'!K2239</f>
        <v>0</v>
      </c>
      <c r="K2330" s="31">
        <f>'Raw data'!H2239</f>
        <v>0</v>
      </c>
      <c r="L2330" s="26">
        <f t="shared" si="76"/>
        <v>0</v>
      </c>
    </row>
    <row r="2331" spans="2:12">
      <c r="B2331" s="4" t="e">
        <f t="shared" si="75"/>
        <v>#N/A</v>
      </c>
      <c r="C2331" s="4">
        <f>'Raw data'!E1907</f>
        <v>0</v>
      </c>
      <c r="D2331" s="29" t="e">
        <f>VLOOKUP(C2331,'점포코드 '!A:B,2,0)</f>
        <v>#N/A</v>
      </c>
      <c r="E2331" s="30">
        <f>'Raw data'!P1907</f>
        <v>0</v>
      </c>
      <c r="F2331" s="29" t="e">
        <f>VLOOKUP(E2331,'점포코드 '!A:B,2,0)</f>
        <v>#N/A</v>
      </c>
      <c r="G2331" s="46">
        <f>'Raw data'!F2240</f>
        <v>0</v>
      </c>
      <c r="H2331" s="4">
        <f>'Raw data'!G2240</f>
        <v>0</v>
      </c>
      <c r="I2331" s="29" t="e">
        <f>VLOOKUP(G2331,제품명!$C$1:$E$114,2,0)</f>
        <v>#N/A</v>
      </c>
      <c r="J2331" s="29">
        <f>'Raw data'!K2240</f>
        <v>0</v>
      </c>
      <c r="K2331" s="31">
        <f>'Raw data'!H2240</f>
        <v>0</v>
      </c>
      <c r="L2331" s="26">
        <f t="shared" si="76"/>
        <v>0</v>
      </c>
    </row>
    <row r="2332" spans="2:12">
      <c r="B2332" s="4" t="e">
        <f t="shared" si="75"/>
        <v>#N/A</v>
      </c>
      <c r="C2332" s="4">
        <f>'Raw data'!E1908</f>
        <v>0</v>
      </c>
      <c r="D2332" s="29" t="e">
        <f>VLOOKUP(C2332,'점포코드 '!A:B,2,0)</f>
        <v>#N/A</v>
      </c>
      <c r="E2332" s="30">
        <f>'Raw data'!P1908</f>
        <v>0</v>
      </c>
      <c r="F2332" s="29" t="e">
        <f>VLOOKUP(E2332,'점포코드 '!A:B,2,0)</f>
        <v>#N/A</v>
      </c>
      <c r="G2332" s="46">
        <f>'Raw data'!F2241</f>
        <v>0</v>
      </c>
      <c r="H2332" s="4">
        <f>'Raw data'!G2241</f>
        <v>0</v>
      </c>
      <c r="I2332" s="29" t="e">
        <f>VLOOKUP(G2332,제품명!$C$1:$E$114,2,0)</f>
        <v>#N/A</v>
      </c>
      <c r="J2332" s="29">
        <f>'Raw data'!K2241</f>
        <v>0</v>
      </c>
      <c r="K2332" s="31">
        <f>'Raw data'!H2241</f>
        <v>0</v>
      </c>
      <c r="L2332" s="26">
        <f t="shared" si="76"/>
        <v>0</v>
      </c>
    </row>
    <row r="2333" spans="2:12">
      <c r="B2333" s="4" t="e">
        <f t="shared" si="75"/>
        <v>#N/A</v>
      </c>
      <c r="C2333" s="4">
        <f>'Raw data'!E1909</f>
        <v>0</v>
      </c>
      <c r="D2333" s="29" t="e">
        <f>VLOOKUP(C2333,'점포코드 '!A:B,2,0)</f>
        <v>#N/A</v>
      </c>
      <c r="E2333" s="30">
        <f>'Raw data'!P1909</f>
        <v>0</v>
      </c>
      <c r="F2333" s="29" t="e">
        <f>VLOOKUP(E2333,'점포코드 '!A:B,2,0)</f>
        <v>#N/A</v>
      </c>
      <c r="G2333" s="46">
        <f>'Raw data'!F2242</f>
        <v>0</v>
      </c>
      <c r="H2333" s="4">
        <f>'Raw data'!G2242</f>
        <v>0</v>
      </c>
      <c r="I2333" s="29" t="e">
        <f>VLOOKUP(G2333,제품명!$C$1:$E$114,2,0)</f>
        <v>#N/A</v>
      </c>
      <c r="J2333" s="29">
        <f>'Raw data'!K2242</f>
        <v>0</v>
      </c>
      <c r="K2333" s="31">
        <f>'Raw data'!H2242</f>
        <v>0</v>
      </c>
      <c r="L2333" s="26">
        <f t="shared" si="76"/>
        <v>0</v>
      </c>
    </row>
    <row r="2334" spans="2:12">
      <c r="B2334" s="4" t="e">
        <f t="shared" si="75"/>
        <v>#N/A</v>
      </c>
      <c r="C2334" s="4">
        <f>'Raw data'!E1910</f>
        <v>0</v>
      </c>
      <c r="D2334" s="29" t="e">
        <f>VLOOKUP(C2334,'점포코드 '!A:B,2,0)</f>
        <v>#N/A</v>
      </c>
      <c r="E2334" s="30">
        <f>'Raw data'!P1910</f>
        <v>0</v>
      </c>
      <c r="F2334" s="29" t="e">
        <f>VLOOKUP(E2334,'점포코드 '!A:B,2,0)</f>
        <v>#N/A</v>
      </c>
      <c r="G2334" s="46">
        <f>'Raw data'!F2243</f>
        <v>0</v>
      </c>
      <c r="H2334" s="4">
        <f>'Raw data'!G2243</f>
        <v>0</v>
      </c>
      <c r="I2334" s="29" t="e">
        <f>VLOOKUP(G2334,제품명!$C$1:$E$114,2,0)</f>
        <v>#N/A</v>
      </c>
      <c r="J2334" s="29">
        <f>'Raw data'!K2243</f>
        <v>0</v>
      </c>
      <c r="K2334" s="31">
        <f>'Raw data'!H2243</f>
        <v>0</v>
      </c>
      <c r="L2334" s="26">
        <f t="shared" si="76"/>
        <v>0</v>
      </c>
    </row>
    <row r="2335" spans="2:12">
      <c r="B2335" s="4" t="e">
        <f t="shared" si="75"/>
        <v>#N/A</v>
      </c>
      <c r="C2335" s="4">
        <f>'Raw data'!E1911</f>
        <v>0</v>
      </c>
      <c r="D2335" s="29" t="e">
        <f>VLOOKUP(C2335,'점포코드 '!A:B,2,0)</f>
        <v>#N/A</v>
      </c>
      <c r="E2335" s="30">
        <f>'Raw data'!P1911</f>
        <v>0</v>
      </c>
      <c r="F2335" s="29" t="e">
        <f>VLOOKUP(E2335,'점포코드 '!A:B,2,0)</f>
        <v>#N/A</v>
      </c>
      <c r="G2335" s="46">
        <f>'Raw data'!F2244</f>
        <v>0</v>
      </c>
      <c r="H2335" s="4">
        <f>'Raw data'!G2244</f>
        <v>0</v>
      </c>
      <c r="I2335" s="29" t="e">
        <f>VLOOKUP(G2335,제품명!$C$1:$E$114,2,0)</f>
        <v>#N/A</v>
      </c>
      <c r="J2335" s="29">
        <f>'Raw data'!K2244</f>
        <v>0</v>
      </c>
      <c r="K2335" s="31">
        <f>'Raw data'!H2244</f>
        <v>0</v>
      </c>
      <c r="L2335" s="26">
        <f t="shared" si="76"/>
        <v>0</v>
      </c>
    </row>
    <row r="2336" spans="2:12">
      <c r="B2336" s="4" t="e">
        <f t="shared" si="75"/>
        <v>#N/A</v>
      </c>
      <c r="C2336" s="4">
        <f>'Raw data'!E1912</f>
        <v>0</v>
      </c>
      <c r="D2336" s="29" t="e">
        <f>VLOOKUP(C2336,'점포코드 '!A:B,2,0)</f>
        <v>#N/A</v>
      </c>
      <c r="E2336" s="30">
        <f>'Raw data'!P1912</f>
        <v>0</v>
      </c>
      <c r="F2336" s="29" t="e">
        <f>VLOOKUP(E2336,'점포코드 '!A:B,2,0)</f>
        <v>#N/A</v>
      </c>
      <c r="G2336" s="46">
        <f>'Raw data'!F2245</f>
        <v>0</v>
      </c>
      <c r="H2336" s="4">
        <f>'Raw data'!G2245</f>
        <v>0</v>
      </c>
      <c r="I2336" s="29" t="e">
        <f>VLOOKUP(G2336,제품명!$C$1:$E$114,2,0)</f>
        <v>#N/A</v>
      </c>
      <c r="J2336" s="29">
        <f>'Raw data'!K2245</f>
        <v>0</v>
      </c>
      <c r="K2336" s="31">
        <f>'Raw data'!H2245</f>
        <v>0</v>
      </c>
      <c r="L2336" s="26">
        <f t="shared" si="76"/>
        <v>0</v>
      </c>
    </row>
    <row r="2337" spans="2:12">
      <c r="B2337" s="4" t="e">
        <f t="shared" si="75"/>
        <v>#N/A</v>
      </c>
      <c r="C2337" s="4">
        <f>'Raw data'!E1913</f>
        <v>0</v>
      </c>
      <c r="D2337" s="29" t="e">
        <f>VLOOKUP(C2337,'점포코드 '!A:B,2,0)</f>
        <v>#N/A</v>
      </c>
      <c r="E2337" s="30">
        <f>'Raw data'!P1913</f>
        <v>0</v>
      </c>
      <c r="F2337" s="29" t="e">
        <f>VLOOKUP(E2337,'점포코드 '!A:B,2,0)</f>
        <v>#N/A</v>
      </c>
      <c r="G2337" s="46">
        <f>'Raw data'!F2246</f>
        <v>0</v>
      </c>
      <c r="H2337" s="4">
        <f>'Raw data'!G2246</f>
        <v>0</v>
      </c>
      <c r="I2337" s="29" t="e">
        <f>VLOOKUP(G2337,제품명!$C$1:$E$114,2,0)</f>
        <v>#N/A</v>
      </c>
      <c r="J2337" s="29">
        <f>'Raw data'!K2246</f>
        <v>0</v>
      </c>
      <c r="K2337" s="31">
        <f>'Raw data'!H2246</f>
        <v>0</v>
      </c>
      <c r="L2337" s="26">
        <f t="shared" si="76"/>
        <v>0</v>
      </c>
    </row>
    <row r="2338" spans="2:12">
      <c r="B2338" s="4" t="e">
        <f t="shared" si="75"/>
        <v>#N/A</v>
      </c>
      <c r="C2338" s="4">
        <f>'Raw data'!E1914</f>
        <v>0</v>
      </c>
      <c r="D2338" s="29" t="e">
        <f>VLOOKUP(C2338,'점포코드 '!A:B,2,0)</f>
        <v>#N/A</v>
      </c>
      <c r="E2338" s="30">
        <f>'Raw data'!P1914</f>
        <v>0</v>
      </c>
      <c r="F2338" s="29" t="e">
        <f>VLOOKUP(E2338,'점포코드 '!A:B,2,0)</f>
        <v>#N/A</v>
      </c>
      <c r="G2338" s="46">
        <f>'Raw data'!F2247</f>
        <v>0</v>
      </c>
      <c r="H2338" s="4">
        <f>'Raw data'!G2247</f>
        <v>0</v>
      </c>
      <c r="I2338" s="29" t="e">
        <f>VLOOKUP(G2338,제품명!$C$1:$E$114,2,0)</f>
        <v>#N/A</v>
      </c>
      <c r="J2338" s="29">
        <f>'Raw data'!K2247</f>
        <v>0</v>
      </c>
      <c r="K2338" s="31">
        <f>'Raw data'!H2247</f>
        <v>0</v>
      </c>
      <c r="L2338" s="26">
        <f t="shared" si="76"/>
        <v>0</v>
      </c>
    </row>
    <row r="2339" spans="2:12">
      <c r="B2339" s="4" t="e">
        <f t="shared" si="75"/>
        <v>#N/A</v>
      </c>
      <c r="C2339" s="4">
        <f>'Raw data'!E1915</f>
        <v>0</v>
      </c>
      <c r="D2339" s="29" t="e">
        <f>VLOOKUP(C2339,'점포코드 '!A:B,2,0)</f>
        <v>#N/A</v>
      </c>
      <c r="E2339" s="30">
        <f>'Raw data'!P1915</f>
        <v>0</v>
      </c>
      <c r="F2339" s="29" t="e">
        <f>VLOOKUP(E2339,'점포코드 '!A:B,2,0)</f>
        <v>#N/A</v>
      </c>
      <c r="G2339" s="46">
        <f>'Raw data'!F2248</f>
        <v>0</v>
      </c>
      <c r="H2339" s="4">
        <f>'Raw data'!G2248</f>
        <v>0</v>
      </c>
      <c r="I2339" s="29" t="e">
        <f>VLOOKUP(G2339,제품명!$C$1:$E$114,2,0)</f>
        <v>#N/A</v>
      </c>
      <c r="J2339" s="29">
        <f>'Raw data'!K2248</f>
        <v>0</v>
      </c>
      <c r="K2339" s="31">
        <f>'Raw data'!H2248</f>
        <v>0</v>
      </c>
      <c r="L2339" s="26">
        <f t="shared" si="76"/>
        <v>0</v>
      </c>
    </row>
    <row r="2340" spans="2:12">
      <c r="B2340" s="4" t="e">
        <f t="shared" si="75"/>
        <v>#N/A</v>
      </c>
      <c r="C2340" s="4">
        <f>'Raw data'!E1916</f>
        <v>0</v>
      </c>
      <c r="D2340" s="29" t="e">
        <f>VLOOKUP(C2340,'점포코드 '!A:B,2,0)</f>
        <v>#N/A</v>
      </c>
      <c r="E2340" s="30">
        <f>'Raw data'!P1916</f>
        <v>0</v>
      </c>
      <c r="F2340" s="29" t="e">
        <f>VLOOKUP(E2340,'점포코드 '!A:B,2,0)</f>
        <v>#N/A</v>
      </c>
      <c r="G2340" s="46">
        <f>'Raw data'!F2249</f>
        <v>0</v>
      </c>
      <c r="H2340" s="4">
        <f>'Raw data'!G2249</f>
        <v>0</v>
      </c>
      <c r="I2340" s="29" t="e">
        <f>VLOOKUP(G2340,제품명!$C$1:$E$114,2,0)</f>
        <v>#N/A</v>
      </c>
      <c r="J2340" s="29">
        <f>'Raw data'!K2249</f>
        <v>0</v>
      </c>
      <c r="K2340" s="31">
        <f>'Raw data'!H2249</f>
        <v>0</v>
      </c>
      <c r="L2340" s="26">
        <f t="shared" si="76"/>
        <v>0</v>
      </c>
    </row>
    <row r="2341" spans="2:12">
      <c r="B2341" s="4" t="e">
        <f t="shared" si="75"/>
        <v>#N/A</v>
      </c>
      <c r="C2341" s="4">
        <f>'Raw data'!E1917</f>
        <v>0</v>
      </c>
      <c r="D2341" s="29" t="e">
        <f>VLOOKUP(C2341,'점포코드 '!A:B,2,0)</f>
        <v>#N/A</v>
      </c>
      <c r="E2341" s="30">
        <f>'Raw data'!P1917</f>
        <v>0</v>
      </c>
      <c r="F2341" s="29" t="e">
        <f>VLOOKUP(E2341,'점포코드 '!A:B,2,0)</f>
        <v>#N/A</v>
      </c>
      <c r="G2341" s="46">
        <f>'Raw data'!F2250</f>
        <v>0</v>
      </c>
      <c r="H2341" s="4">
        <f>'Raw data'!G2250</f>
        <v>0</v>
      </c>
      <c r="I2341" s="29" t="e">
        <f>VLOOKUP(G2341,제품명!$C$1:$E$114,2,0)</f>
        <v>#N/A</v>
      </c>
      <c r="J2341" s="29">
        <f>'Raw data'!K2250</f>
        <v>0</v>
      </c>
      <c r="K2341" s="31">
        <f>'Raw data'!H2250</f>
        <v>0</v>
      </c>
      <c r="L2341" s="26">
        <f t="shared" si="76"/>
        <v>0</v>
      </c>
    </row>
    <row r="2342" spans="2:12">
      <c r="B2342" s="4" t="e">
        <f t="shared" si="75"/>
        <v>#N/A</v>
      </c>
      <c r="C2342" s="4">
        <f>'Raw data'!E1918</f>
        <v>0</v>
      </c>
      <c r="D2342" s="29" t="e">
        <f>VLOOKUP(C2342,'점포코드 '!A:B,2,0)</f>
        <v>#N/A</v>
      </c>
      <c r="E2342" s="30">
        <f>'Raw data'!P1918</f>
        <v>0</v>
      </c>
      <c r="F2342" s="29" t="e">
        <f>VLOOKUP(E2342,'점포코드 '!A:B,2,0)</f>
        <v>#N/A</v>
      </c>
      <c r="G2342" s="46">
        <f>'Raw data'!F2251</f>
        <v>0</v>
      </c>
      <c r="H2342" s="4">
        <f>'Raw data'!G2251</f>
        <v>0</v>
      </c>
      <c r="I2342" s="29" t="e">
        <f>VLOOKUP(G2342,제품명!$C$1:$E$114,2,0)</f>
        <v>#N/A</v>
      </c>
      <c r="J2342" s="29">
        <f>'Raw data'!K2251</f>
        <v>0</v>
      </c>
      <c r="K2342" s="31">
        <f>'Raw data'!H2251</f>
        <v>0</v>
      </c>
      <c r="L2342" s="26">
        <f t="shared" si="76"/>
        <v>0</v>
      </c>
    </row>
    <row r="2343" spans="2:12">
      <c r="B2343" s="4" t="e">
        <f t="shared" si="75"/>
        <v>#N/A</v>
      </c>
      <c r="C2343" s="4">
        <f>'Raw data'!E1919</f>
        <v>0</v>
      </c>
      <c r="D2343" s="29" t="e">
        <f>VLOOKUP(C2343,'점포코드 '!A:B,2,0)</f>
        <v>#N/A</v>
      </c>
      <c r="E2343" s="30">
        <f>'Raw data'!P1919</f>
        <v>0</v>
      </c>
      <c r="F2343" s="29" t="e">
        <f>VLOOKUP(E2343,'점포코드 '!A:B,2,0)</f>
        <v>#N/A</v>
      </c>
      <c r="G2343" s="46">
        <f>'Raw data'!F2252</f>
        <v>0</v>
      </c>
      <c r="H2343" s="4">
        <f>'Raw data'!G2252</f>
        <v>0</v>
      </c>
      <c r="I2343" s="29" t="e">
        <f>VLOOKUP(G2343,제품명!$C$1:$E$114,2,0)</f>
        <v>#N/A</v>
      </c>
      <c r="J2343" s="29">
        <f>'Raw data'!K2252</f>
        <v>0</v>
      </c>
      <c r="K2343" s="31">
        <f>'Raw data'!H2252</f>
        <v>0</v>
      </c>
      <c r="L2343" s="26">
        <f t="shared" si="76"/>
        <v>0</v>
      </c>
    </row>
    <row r="2344" spans="2:12">
      <c r="B2344" s="4" t="e">
        <f t="shared" si="75"/>
        <v>#N/A</v>
      </c>
      <c r="C2344" s="4">
        <f>'Raw data'!E1920</f>
        <v>0</v>
      </c>
      <c r="D2344" s="29" t="e">
        <f>VLOOKUP(C2344,'점포코드 '!A:B,2,0)</f>
        <v>#N/A</v>
      </c>
      <c r="E2344" s="30">
        <f>'Raw data'!P1920</f>
        <v>0</v>
      </c>
      <c r="F2344" s="29" t="e">
        <f>VLOOKUP(E2344,'점포코드 '!A:B,2,0)</f>
        <v>#N/A</v>
      </c>
      <c r="G2344" s="46">
        <f>'Raw data'!F2253</f>
        <v>0</v>
      </c>
      <c r="H2344" s="4">
        <f>'Raw data'!G2253</f>
        <v>0</v>
      </c>
      <c r="I2344" s="29" t="e">
        <f>VLOOKUP(G2344,제품명!$C$1:$E$114,2,0)</f>
        <v>#N/A</v>
      </c>
      <c r="J2344" s="29">
        <f>'Raw data'!K2253</f>
        <v>0</v>
      </c>
      <c r="K2344" s="31">
        <f>'Raw data'!H2253</f>
        <v>0</v>
      </c>
      <c r="L2344" s="26">
        <f t="shared" si="76"/>
        <v>0</v>
      </c>
    </row>
    <row r="2345" spans="2:12">
      <c r="B2345" s="4" t="e">
        <f t="shared" si="75"/>
        <v>#N/A</v>
      </c>
      <c r="C2345" s="4">
        <f>'Raw data'!E1921</f>
        <v>0</v>
      </c>
      <c r="D2345" s="29" t="e">
        <f>VLOOKUP(C2345,'점포코드 '!A:B,2,0)</f>
        <v>#N/A</v>
      </c>
      <c r="E2345" s="30">
        <f>'Raw data'!P1921</f>
        <v>0</v>
      </c>
      <c r="F2345" s="29" t="e">
        <f>VLOOKUP(E2345,'점포코드 '!A:B,2,0)</f>
        <v>#N/A</v>
      </c>
      <c r="G2345" s="46">
        <f>'Raw data'!F2254</f>
        <v>0</v>
      </c>
      <c r="H2345" s="4">
        <f>'Raw data'!G2254</f>
        <v>0</v>
      </c>
      <c r="I2345" s="29" t="e">
        <f>VLOOKUP(G2345,제품명!$C$1:$E$114,2,0)</f>
        <v>#N/A</v>
      </c>
      <c r="J2345" s="29">
        <f>'Raw data'!K2254</f>
        <v>0</v>
      </c>
      <c r="K2345" s="31">
        <f>'Raw data'!H2254</f>
        <v>0</v>
      </c>
      <c r="L2345" s="26">
        <f t="shared" si="76"/>
        <v>0</v>
      </c>
    </row>
    <row r="2346" spans="2:12">
      <c r="B2346" s="4" t="e">
        <f t="shared" si="75"/>
        <v>#N/A</v>
      </c>
      <c r="C2346" s="4">
        <f>'Raw data'!E1922</f>
        <v>0</v>
      </c>
      <c r="D2346" s="29" t="e">
        <f>VLOOKUP(C2346,'점포코드 '!A:B,2,0)</f>
        <v>#N/A</v>
      </c>
      <c r="E2346" s="30">
        <f>'Raw data'!P1922</f>
        <v>0</v>
      </c>
      <c r="F2346" s="29" t="e">
        <f>VLOOKUP(E2346,'점포코드 '!A:B,2,0)</f>
        <v>#N/A</v>
      </c>
      <c r="G2346" s="46">
        <f>'Raw data'!F2255</f>
        <v>0</v>
      </c>
      <c r="H2346" s="4">
        <f>'Raw data'!G2255</f>
        <v>0</v>
      </c>
      <c r="I2346" s="29" t="e">
        <f>VLOOKUP(G2346,제품명!$C$1:$E$114,2,0)</f>
        <v>#N/A</v>
      </c>
      <c r="J2346" s="29">
        <f>'Raw data'!K2255</f>
        <v>0</v>
      </c>
      <c r="K2346" s="31">
        <f>'Raw data'!H2255</f>
        <v>0</v>
      </c>
      <c r="L2346" s="26">
        <f t="shared" si="76"/>
        <v>0</v>
      </c>
    </row>
    <row r="2347" spans="2:12">
      <c r="B2347" s="4" t="e">
        <f t="shared" si="75"/>
        <v>#N/A</v>
      </c>
      <c r="C2347" s="4">
        <f>'Raw data'!E1923</f>
        <v>0</v>
      </c>
      <c r="D2347" s="29" t="e">
        <f>VLOOKUP(C2347,'점포코드 '!A:B,2,0)</f>
        <v>#N/A</v>
      </c>
      <c r="E2347" s="30">
        <f>'Raw data'!P1923</f>
        <v>0</v>
      </c>
      <c r="F2347" s="29" t="e">
        <f>VLOOKUP(E2347,'점포코드 '!A:B,2,0)</f>
        <v>#N/A</v>
      </c>
      <c r="G2347" s="46">
        <f>'Raw data'!F2256</f>
        <v>0</v>
      </c>
      <c r="H2347" s="4">
        <f>'Raw data'!G2256</f>
        <v>0</v>
      </c>
      <c r="I2347" s="29" t="e">
        <f>VLOOKUP(G2347,제품명!$C$1:$E$114,2,0)</f>
        <v>#N/A</v>
      </c>
      <c r="J2347" s="29">
        <f>'Raw data'!K2256</f>
        <v>0</v>
      </c>
      <c r="K2347" s="31">
        <f>'Raw data'!H2256</f>
        <v>0</v>
      </c>
      <c r="L2347" s="26">
        <f t="shared" si="76"/>
        <v>0</v>
      </c>
    </row>
    <row r="2348" spans="2:12">
      <c r="B2348" s="4" t="e">
        <f t="shared" si="75"/>
        <v>#N/A</v>
      </c>
      <c r="C2348" s="4">
        <f>'Raw data'!E1924</f>
        <v>0</v>
      </c>
      <c r="D2348" s="29" t="e">
        <f>VLOOKUP(C2348,'점포코드 '!A:B,2,0)</f>
        <v>#N/A</v>
      </c>
      <c r="E2348" s="30">
        <f>'Raw data'!P1924</f>
        <v>0</v>
      </c>
      <c r="F2348" s="29" t="e">
        <f>VLOOKUP(E2348,'점포코드 '!A:B,2,0)</f>
        <v>#N/A</v>
      </c>
      <c r="G2348" s="46">
        <f>'Raw data'!F2257</f>
        <v>0</v>
      </c>
      <c r="H2348" s="4">
        <f>'Raw data'!G2257</f>
        <v>0</v>
      </c>
      <c r="I2348" s="29" t="e">
        <f>VLOOKUP(G2348,제품명!$C$1:$E$114,2,0)</f>
        <v>#N/A</v>
      </c>
      <c r="J2348" s="29">
        <f>'Raw data'!K2257</f>
        <v>0</v>
      </c>
      <c r="K2348" s="31">
        <f>'Raw data'!H2257</f>
        <v>0</v>
      </c>
      <c r="L2348" s="26">
        <f t="shared" si="76"/>
        <v>0</v>
      </c>
    </row>
    <row r="2349" spans="2:12">
      <c r="B2349" s="4" t="e">
        <f t="shared" si="75"/>
        <v>#N/A</v>
      </c>
      <c r="C2349" s="4">
        <f>'Raw data'!E1925</f>
        <v>0</v>
      </c>
      <c r="D2349" s="29" t="e">
        <f>VLOOKUP(C2349,'점포코드 '!A:B,2,0)</f>
        <v>#N/A</v>
      </c>
      <c r="E2349" s="30">
        <f>'Raw data'!P1925</f>
        <v>0</v>
      </c>
      <c r="F2349" s="29" t="e">
        <f>VLOOKUP(E2349,'점포코드 '!A:B,2,0)</f>
        <v>#N/A</v>
      </c>
      <c r="G2349" s="46">
        <f>'Raw data'!F2258</f>
        <v>0</v>
      </c>
      <c r="H2349" s="4">
        <f>'Raw data'!G2258</f>
        <v>0</v>
      </c>
      <c r="I2349" s="29" t="e">
        <f>VLOOKUP(G2349,제품명!$C$1:$E$114,2,0)</f>
        <v>#N/A</v>
      </c>
      <c r="J2349" s="29">
        <f>'Raw data'!K2258</f>
        <v>0</v>
      </c>
      <c r="K2349" s="31">
        <f>'Raw data'!H2258</f>
        <v>0</v>
      </c>
      <c r="L2349" s="26">
        <f t="shared" si="76"/>
        <v>0</v>
      </c>
    </row>
    <row r="2350" spans="2:12">
      <c r="B2350" s="4" t="e">
        <f t="shared" si="75"/>
        <v>#N/A</v>
      </c>
      <c r="C2350" s="4">
        <f>'Raw data'!E1926</f>
        <v>0</v>
      </c>
      <c r="D2350" s="29" t="e">
        <f>VLOOKUP(C2350,'점포코드 '!A:B,2,0)</f>
        <v>#N/A</v>
      </c>
      <c r="E2350" s="30">
        <f>'Raw data'!P1926</f>
        <v>0</v>
      </c>
      <c r="F2350" s="29" t="e">
        <f>VLOOKUP(E2350,'점포코드 '!A:B,2,0)</f>
        <v>#N/A</v>
      </c>
      <c r="G2350" s="46">
        <f>'Raw data'!F2259</f>
        <v>0</v>
      </c>
      <c r="H2350" s="4">
        <f>'Raw data'!G2259</f>
        <v>0</v>
      </c>
      <c r="I2350" s="29" t="e">
        <f>VLOOKUP(G2350,제품명!$C$1:$E$114,2,0)</f>
        <v>#N/A</v>
      </c>
      <c r="J2350" s="29">
        <f>'Raw data'!K2259</f>
        <v>0</v>
      </c>
      <c r="K2350" s="31">
        <f>'Raw data'!H2259</f>
        <v>0</v>
      </c>
      <c r="L2350" s="26">
        <f t="shared" si="76"/>
        <v>0</v>
      </c>
    </row>
    <row r="2351" spans="2:12">
      <c r="B2351" s="4" t="e">
        <f t="shared" si="75"/>
        <v>#N/A</v>
      </c>
      <c r="C2351" s="4">
        <f>'Raw data'!E1927</f>
        <v>0</v>
      </c>
      <c r="D2351" s="29" t="e">
        <f>VLOOKUP(C2351,'점포코드 '!A:B,2,0)</f>
        <v>#N/A</v>
      </c>
      <c r="E2351" s="30">
        <f>'Raw data'!P1927</f>
        <v>0</v>
      </c>
      <c r="F2351" s="29" t="e">
        <f>VLOOKUP(E2351,'점포코드 '!A:B,2,0)</f>
        <v>#N/A</v>
      </c>
      <c r="G2351" s="46">
        <f>'Raw data'!F2260</f>
        <v>0</v>
      </c>
      <c r="H2351" s="4">
        <f>'Raw data'!G2260</f>
        <v>0</v>
      </c>
      <c r="I2351" s="29" t="e">
        <f>VLOOKUP(G2351,제품명!$C$1:$E$114,2,0)</f>
        <v>#N/A</v>
      </c>
      <c r="J2351" s="29">
        <f>'Raw data'!K2260</f>
        <v>0</v>
      </c>
      <c r="K2351" s="31">
        <f>'Raw data'!H2260</f>
        <v>0</v>
      </c>
      <c r="L2351" s="26">
        <f t="shared" si="76"/>
        <v>0</v>
      </c>
    </row>
    <row r="2352" spans="2:12">
      <c r="B2352" s="4" t="e">
        <f t="shared" si="75"/>
        <v>#N/A</v>
      </c>
      <c r="C2352" s="4">
        <f>'Raw data'!E1928</f>
        <v>0</v>
      </c>
      <c r="D2352" s="29" t="e">
        <f>VLOOKUP(C2352,'점포코드 '!A:B,2,0)</f>
        <v>#N/A</v>
      </c>
      <c r="E2352" s="30">
        <f>'Raw data'!P1928</f>
        <v>0</v>
      </c>
      <c r="F2352" s="29" t="e">
        <f>VLOOKUP(E2352,'점포코드 '!A:B,2,0)</f>
        <v>#N/A</v>
      </c>
      <c r="G2352" s="46">
        <f>'Raw data'!F2261</f>
        <v>0</v>
      </c>
      <c r="H2352" s="4">
        <f>'Raw data'!G2261</f>
        <v>0</v>
      </c>
      <c r="I2352" s="29" t="e">
        <f>VLOOKUP(G2352,제품명!$C$1:$E$114,2,0)</f>
        <v>#N/A</v>
      </c>
      <c r="J2352" s="29">
        <f>'Raw data'!K2261</f>
        <v>0</v>
      </c>
      <c r="K2352" s="31">
        <f>'Raw data'!H2261</f>
        <v>0</v>
      </c>
      <c r="L2352" s="26">
        <f t="shared" si="76"/>
        <v>0</v>
      </c>
    </row>
    <row r="2353" spans="2:12">
      <c r="B2353" s="4" t="e">
        <f t="shared" si="75"/>
        <v>#N/A</v>
      </c>
      <c r="C2353" s="4">
        <f>'Raw data'!E1929</f>
        <v>0</v>
      </c>
      <c r="D2353" s="29" t="e">
        <f>VLOOKUP(C2353,'점포코드 '!A:B,2,0)</f>
        <v>#N/A</v>
      </c>
      <c r="E2353" s="30">
        <f>'Raw data'!P1929</f>
        <v>0</v>
      </c>
      <c r="F2353" s="29" t="e">
        <f>VLOOKUP(E2353,'점포코드 '!A:B,2,0)</f>
        <v>#N/A</v>
      </c>
      <c r="G2353" s="46">
        <f>'Raw data'!F2262</f>
        <v>0</v>
      </c>
      <c r="H2353" s="4">
        <f>'Raw data'!G2262</f>
        <v>0</v>
      </c>
      <c r="I2353" s="29" t="e">
        <f>VLOOKUP(G2353,제품명!$C$1:$E$114,2,0)</f>
        <v>#N/A</v>
      </c>
      <c r="J2353" s="29">
        <f>'Raw data'!K2262</f>
        <v>0</v>
      </c>
      <c r="K2353" s="31">
        <f>'Raw data'!H2262</f>
        <v>0</v>
      </c>
      <c r="L2353" s="26">
        <f t="shared" si="76"/>
        <v>0</v>
      </c>
    </row>
    <row r="2354" spans="2:12">
      <c r="B2354" s="4" t="e">
        <f t="shared" si="75"/>
        <v>#N/A</v>
      </c>
      <c r="C2354" s="4">
        <f>'Raw data'!E1930</f>
        <v>0</v>
      </c>
      <c r="D2354" s="29" t="e">
        <f>VLOOKUP(C2354,'점포코드 '!A:B,2,0)</f>
        <v>#N/A</v>
      </c>
      <c r="E2354" s="30">
        <f>'Raw data'!P1930</f>
        <v>0</v>
      </c>
      <c r="F2354" s="29" t="e">
        <f>VLOOKUP(E2354,'점포코드 '!A:B,2,0)</f>
        <v>#N/A</v>
      </c>
      <c r="G2354" s="46">
        <f>'Raw data'!F2263</f>
        <v>0</v>
      </c>
      <c r="H2354" s="4">
        <f>'Raw data'!G2263</f>
        <v>0</v>
      </c>
      <c r="I2354" s="29" t="e">
        <f>VLOOKUP(G2354,제품명!$C$1:$E$114,2,0)</f>
        <v>#N/A</v>
      </c>
      <c r="J2354" s="29">
        <f>'Raw data'!K2263</f>
        <v>0</v>
      </c>
      <c r="K2354" s="31">
        <f>'Raw data'!H2263</f>
        <v>0</v>
      </c>
      <c r="L2354" s="26">
        <f t="shared" si="76"/>
        <v>0</v>
      </c>
    </row>
    <row r="2355" spans="2:12">
      <c r="B2355" s="4" t="e">
        <f t="shared" si="75"/>
        <v>#N/A</v>
      </c>
      <c r="C2355" s="4">
        <f>'Raw data'!E1931</f>
        <v>0</v>
      </c>
      <c r="D2355" s="29" t="e">
        <f>VLOOKUP(C2355,'점포코드 '!A:B,2,0)</f>
        <v>#N/A</v>
      </c>
      <c r="E2355" s="30">
        <f>'Raw data'!P1931</f>
        <v>0</v>
      </c>
      <c r="F2355" s="29" t="e">
        <f>VLOOKUP(E2355,'점포코드 '!A:B,2,0)</f>
        <v>#N/A</v>
      </c>
      <c r="G2355" s="46">
        <f>'Raw data'!F2264</f>
        <v>0</v>
      </c>
      <c r="H2355" s="4">
        <f>'Raw data'!G2264</f>
        <v>0</v>
      </c>
      <c r="I2355" s="29" t="e">
        <f>VLOOKUP(G2355,제품명!$C$1:$E$114,2,0)</f>
        <v>#N/A</v>
      </c>
      <c r="J2355" s="29">
        <f>'Raw data'!K2264</f>
        <v>0</v>
      </c>
      <c r="K2355" s="31">
        <f>'Raw data'!H2264</f>
        <v>0</v>
      </c>
      <c r="L2355" s="26">
        <f t="shared" si="76"/>
        <v>0</v>
      </c>
    </row>
    <row r="2356" spans="2:12">
      <c r="B2356" s="4" t="e">
        <f t="shared" si="75"/>
        <v>#N/A</v>
      </c>
      <c r="C2356" s="4">
        <f>'Raw data'!E1932</f>
        <v>0</v>
      </c>
      <c r="D2356" s="29" t="e">
        <f>VLOOKUP(C2356,'점포코드 '!A:B,2,0)</f>
        <v>#N/A</v>
      </c>
      <c r="E2356" s="30">
        <f>'Raw data'!P1932</f>
        <v>0</v>
      </c>
      <c r="F2356" s="29" t="e">
        <f>VLOOKUP(E2356,'점포코드 '!A:B,2,0)</f>
        <v>#N/A</v>
      </c>
      <c r="G2356" s="46">
        <f>'Raw data'!F2265</f>
        <v>0</v>
      </c>
      <c r="H2356" s="4">
        <f>'Raw data'!G2265</f>
        <v>0</v>
      </c>
      <c r="I2356" s="29" t="e">
        <f>VLOOKUP(G2356,제품명!$C$1:$E$114,2,0)</f>
        <v>#N/A</v>
      </c>
      <c r="J2356" s="29">
        <f>'Raw data'!K2265</f>
        <v>0</v>
      </c>
      <c r="K2356" s="31">
        <f>'Raw data'!H2265</f>
        <v>0</v>
      </c>
      <c r="L2356" s="26">
        <f t="shared" si="76"/>
        <v>0</v>
      </c>
    </row>
    <row r="2357" spans="2:12">
      <c r="B2357" s="4" t="e">
        <f t="shared" si="75"/>
        <v>#N/A</v>
      </c>
      <c r="C2357" s="4">
        <f>'Raw data'!E1933</f>
        <v>0</v>
      </c>
      <c r="D2357" s="29" t="e">
        <f>VLOOKUP(C2357,'점포코드 '!A:B,2,0)</f>
        <v>#N/A</v>
      </c>
      <c r="E2357" s="30">
        <f>'Raw data'!P1933</f>
        <v>0</v>
      </c>
      <c r="F2357" s="29" t="e">
        <f>VLOOKUP(E2357,'점포코드 '!A:B,2,0)</f>
        <v>#N/A</v>
      </c>
      <c r="G2357" s="46">
        <f>'Raw data'!F2266</f>
        <v>0</v>
      </c>
      <c r="H2357" s="4">
        <f>'Raw data'!G2266</f>
        <v>0</v>
      </c>
      <c r="I2357" s="29" t="e">
        <f>VLOOKUP(G2357,제품명!$C$1:$E$114,2,0)</f>
        <v>#N/A</v>
      </c>
      <c r="J2357" s="29">
        <f>'Raw data'!K2266</f>
        <v>0</v>
      </c>
      <c r="K2357" s="31">
        <f>'Raw data'!H2266</f>
        <v>0</v>
      </c>
      <c r="L2357" s="26">
        <f t="shared" si="76"/>
        <v>0</v>
      </c>
    </row>
    <row r="2358" spans="2:12">
      <c r="B2358" s="4" t="e">
        <f t="shared" si="75"/>
        <v>#N/A</v>
      </c>
      <c r="C2358" s="4">
        <f>'Raw data'!E1934</f>
        <v>0</v>
      </c>
      <c r="D2358" s="29" t="e">
        <f>VLOOKUP(C2358,'점포코드 '!A:B,2,0)</f>
        <v>#N/A</v>
      </c>
      <c r="E2358" s="30">
        <f>'Raw data'!P1934</f>
        <v>0</v>
      </c>
      <c r="F2358" s="29" t="e">
        <f>VLOOKUP(E2358,'점포코드 '!A:B,2,0)</f>
        <v>#N/A</v>
      </c>
      <c r="G2358" s="46">
        <f>'Raw data'!F2267</f>
        <v>0</v>
      </c>
      <c r="H2358" s="4">
        <f>'Raw data'!G2267</f>
        <v>0</v>
      </c>
      <c r="I2358" s="29" t="e">
        <f>VLOOKUP(G2358,제품명!$C$1:$E$114,2,0)</f>
        <v>#N/A</v>
      </c>
      <c r="J2358" s="29">
        <f>'Raw data'!K2267</f>
        <v>0</v>
      </c>
      <c r="K2358" s="31">
        <f>'Raw data'!H2267</f>
        <v>0</v>
      </c>
      <c r="L2358" s="26">
        <f t="shared" si="76"/>
        <v>0</v>
      </c>
    </row>
    <row r="2359" spans="2:12">
      <c r="B2359" s="4" t="e">
        <f t="shared" si="75"/>
        <v>#N/A</v>
      </c>
      <c r="C2359" s="4">
        <f>'Raw data'!E1935</f>
        <v>0</v>
      </c>
      <c r="D2359" s="29" t="e">
        <f>VLOOKUP(C2359,'점포코드 '!A:B,2,0)</f>
        <v>#N/A</v>
      </c>
      <c r="E2359" s="30">
        <f>'Raw data'!P1935</f>
        <v>0</v>
      </c>
      <c r="F2359" s="29" t="e">
        <f>VLOOKUP(E2359,'점포코드 '!A:B,2,0)</f>
        <v>#N/A</v>
      </c>
      <c r="G2359" s="46">
        <f>'Raw data'!F2268</f>
        <v>0</v>
      </c>
      <c r="H2359" s="4">
        <f>'Raw data'!G2268</f>
        <v>0</v>
      </c>
      <c r="I2359" s="29" t="e">
        <f>VLOOKUP(G2359,제품명!$C$1:$E$114,2,0)</f>
        <v>#N/A</v>
      </c>
      <c r="J2359" s="29">
        <f>'Raw data'!K2268</f>
        <v>0</v>
      </c>
      <c r="K2359" s="31">
        <f>'Raw data'!H2268</f>
        <v>0</v>
      </c>
      <c r="L2359" s="26">
        <f t="shared" si="76"/>
        <v>0</v>
      </c>
    </row>
    <row r="2360" spans="2:12">
      <c r="B2360" s="4" t="e">
        <f t="shared" si="75"/>
        <v>#N/A</v>
      </c>
      <c r="C2360" s="4">
        <f>'Raw data'!E1936</f>
        <v>0</v>
      </c>
      <c r="D2360" s="29" t="e">
        <f>VLOOKUP(C2360,'점포코드 '!A:B,2,0)</f>
        <v>#N/A</v>
      </c>
      <c r="E2360" s="30">
        <f>'Raw data'!P1936</f>
        <v>0</v>
      </c>
      <c r="F2360" s="29" t="e">
        <f>VLOOKUP(E2360,'점포코드 '!A:B,2,0)</f>
        <v>#N/A</v>
      </c>
      <c r="G2360" s="46">
        <f>'Raw data'!F2269</f>
        <v>0</v>
      </c>
      <c r="H2360" s="4">
        <f>'Raw data'!G2269</f>
        <v>0</v>
      </c>
      <c r="I2360" s="29" t="e">
        <f>VLOOKUP(G2360,제품명!$C$1:$E$114,2,0)</f>
        <v>#N/A</v>
      </c>
      <c r="J2360" s="29">
        <f>'Raw data'!K2269</f>
        <v>0</v>
      </c>
      <c r="K2360" s="31">
        <f>'Raw data'!H2269</f>
        <v>0</v>
      </c>
      <c r="L2360" s="26">
        <f t="shared" si="76"/>
        <v>0</v>
      </c>
    </row>
    <row r="2361" spans="2:12">
      <c r="B2361" s="4" t="e">
        <f t="shared" si="75"/>
        <v>#N/A</v>
      </c>
      <c r="C2361" s="4">
        <f>'Raw data'!E1937</f>
        <v>0</v>
      </c>
      <c r="D2361" s="29" t="e">
        <f>VLOOKUP(C2361,'점포코드 '!A:B,2,0)</f>
        <v>#N/A</v>
      </c>
      <c r="E2361" s="30">
        <f>'Raw data'!P1937</f>
        <v>0</v>
      </c>
      <c r="F2361" s="29" t="e">
        <f>VLOOKUP(E2361,'점포코드 '!A:B,2,0)</f>
        <v>#N/A</v>
      </c>
      <c r="G2361" s="46">
        <f>'Raw data'!F2270</f>
        <v>0</v>
      </c>
      <c r="H2361" s="4">
        <f>'Raw data'!G2270</f>
        <v>0</v>
      </c>
      <c r="I2361" s="29" t="e">
        <f>VLOOKUP(G2361,제품명!$C$1:$E$114,2,0)</f>
        <v>#N/A</v>
      </c>
      <c r="J2361" s="29">
        <f>'Raw data'!K2270</f>
        <v>0</v>
      </c>
      <c r="K2361" s="31">
        <f>'Raw data'!H2270</f>
        <v>0</v>
      </c>
      <c r="L2361" s="26">
        <f t="shared" si="76"/>
        <v>0</v>
      </c>
    </row>
    <row r="2362" spans="2:12">
      <c r="B2362" s="4" t="e">
        <f t="shared" si="75"/>
        <v>#N/A</v>
      </c>
      <c r="C2362" s="4">
        <f>'Raw data'!E1938</f>
        <v>0</v>
      </c>
      <c r="D2362" s="29" t="e">
        <f>VLOOKUP(C2362,'점포코드 '!A:B,2,0)</f>
        <v>#N/A</v>
      </c>
      <c r="E2362" s="30">
        <f>'Raw data'!P1938</f>
        <v>0</v>
      </c>
      <c r="F2362" s="29" t="e">
        <f>VLOOKUP(E2362,'점포코드 '!A:B,2,0)</f>
        <v>#N/A</v>
      </c>
      <c r="G2362" s="46">
        <f>'Raw data'!F2271</f>
        <v>0</v>
      </c>
      <c r="H2362" s="4">
        <f>'Raw data'!G2271</f>
        <v>0</v>
      </c>
      <c r="I2362" s="29" t="e">
        <f>VLOOKUP(G2362,제품명!$C$1:$E$114,2,0)</f>
        <v>#N/A</v>
      </c>
      <c r="J2362" s="29">
        <f>'Raw data'!K2271</f>
        <v>0</v>
      </c>
      <c r="K2362" s="31">
        <f>'Raw data'!H2271</f>
        <v>0</v>
      </c>
      <c r="L2362" s="26">
        <f t="shared" si="76"/>
        <v>0</v>
      </c>
    </row>
    <row r="2363" spans="2:12">
      <c r="B2363" s="4" t="e">
        <f t="shared" si="75"/>
        <v>#N/A</v>
      </c>
      <c r="C2363" s="4">
        <f>'Raw data'!E1939</f>
        <v>0</v>
      </c>
      <c r="D2363" s="29" t="e">
        <f>VLOOKUP(C2363,'점포코드 '!A:B,2,0)</f>
        <v>#N/A</v>
      </c>
      <c r="E2363" s="30">
        <f>'Raw data'!P1939</f>
        <v>0</v>
      </c>
      <c r="F2363" s="29" t="e">
        <f>VLOOKUP(E2363,'점포코드 '!A:B,2,0)</f>
        <v>#N/A</v>
      </c>
      <c r="G2363" s="46">
        <f>'Raw data'!F2272</f>
        <v>0</v>
      </c>
      <c r="H2363" s="4">
        <f>'Raw data'!G2272</f>
        <v>0</v>
      </c>
      <c r="I2363" s="29" t="e">
        <f>VLOOKUP(G2363,제품명!$C$1:$E$114,2,0)</f>
        <v>#N/A</v>
      </c>
      <c r="J2363" s="29">
        <f>'Raw data'!K2272</f>
        <v>0</v>
      </c>
      <c r="K2363" s="31">
        <f>'Raw data'!H2272</f>
        <v>0</v>
      </c>
      <c r="L2363" s="26">
        <f t="shared" si="76"/>
        <v>0</v>
      </c>
    </row>
    <row r="2364" spans="2:12">
      <c r="B2364" s="4" t="e">
        <f t="shared" si="75"/>
        <v>#N/A</v>
      </c>
      <c r="C2364" s="4">
        <f>'Raw data'!E1940</f>
        <v>0</v>
      </c>
      <c r="D2364" s="29" t="e">
        <f>VLOOKUP(C2364,'점포코드 '!A:B,2,0)</f>
        <v>#N/A</v>
      </c>
      <c r="E2364" s="30">
        <f>'Raw data'!P1940</f>
        <v>0</v>
      </c>
      <c r="F2364" s="29" t="e">
        <f>VLOOKUP(E2364,'점포코드 '!A:B,2,0)</f>
        <v>#N/A</v>
      </c>
      <c r="G2364" s="46">
        <f>'Raw data'!F2273</f>
        <v>0</v>
      </c>
      <c r="H2364" s="4">
        <f>'Raw data'!G2273</f>
        <v>0</v>
      </c>
      <c r="I2364" s="29" t="e">
        <f>VLOOKUP(G2364,제품명!$C$1:$E$114,2,0)</f>
        <v>#N/A</v>
      </c>
      <c r="J2364" s="29">
        <f>'Raw data'!K2273</f>
        <v>0</v>
      </c>
      <c r="K2364" s="31">
        <f>'Raw data'!H2273</f>
        <v>0</v>
      </c>
      <c r="L2364" s="26">
        <f t="shared" si="76"/>
        <v>0</v>
      </c>
    </row>
    <row r="2365" spans="2:12">
      <c r="B2365" s="4" t="e">
        <f t="shared" si="75"/>
        <v>#N/A</v>
      </c>
      <c r="C2365" s="4">
        <f>'Raw data'!E1941</f>
        <v>0</v>
      </c>
      <c r="D2365" s="29" t="e">
        <f>VLOOKUP(C2365,'점포코드 '!A:B,2,0)</f>
        <v>#N/A</v>
      </c>
      <c r="E2365" s="30">
        <f>'Raw data'!P1941</f>
        <v>0</v>
      </c>
      <c r="F2365" s="29" t="e">
        <f>VLOOKUP(E2365,'점포코드 '!A:B,2,0)</f>
        <v>#N/A</v>
      </c>
      <c r="G2365" s="46">
        <f>'Raw data'!F2274</f>
        <v>0</v>
      </c>
      <c r="H2365" s="4">
        <f>'Raw data'!G2274</f>
        <v>0</v>
      </c>
      <c r="I2365" s="29" t="e">
        <f>VLOOKUP(G2365,제품명!$C$1:$E$114,2,0)</f>
        <v>#N/A</v>
      </c>
      <c r="J2365" s="29">
        <f>'Raw data'!K2274</f>
        <v>0</v>
      </c>
      <c r="K2365" s="31">
        <f>'Raw data'!H2274</f>
        <v>0</v>
      </c>
      <c r="L2365" s="26">
        <f t="shared" si="76"/>
        <v>0</v>
      </c>
    </row>
    <row r="2366" spans="2:12">
      <c r="B2366" s="4" t="e">
        <f t="shared" si="75"/>
        <v>#N/A</v>
      </c>
      <c r="C2366" s="4">
        <f>'Raw data'!E1942</f>
        <v>0</v>
      </c>
      <c r="D2366" s="29" t="e">
        <f>VLOOKUP(C2366,'점포코드 '!A:B,2,0)</f>
        <v>#N/A</v>
      </c>
      <c r="E2366" s="30">
        <f>'Raw data'!P1942</f>
        <v>0</v>
      </c>
      <c r="F2366" s="29" t="e">
        <f>VLOOKUP(E2366,'점포코드 '!A:B,2,0)</f>
        <v>#N/A</v>
      </c>
      <c r="G2366" s="46">
        <f>'Raw data'!F2275</f>
        <v>0</v>
      </c>
      <c r="H2366" s="4">
        <f>'Raw data'!G2275</f>
        <v>0</v>
      </c>
      <c r="I2366" s="29" t="e">
        <f>VLOOKUP(G2366,제품명!$C$1:$E$114,2,0)</f>
        <v>#N/A</v>
      </c>
      <c r="J2366" s="29">
        <f>'Raw data'!K2275</f>
        <v>0</v>
      </c>
      <c r="K2366" s="31">
        <f>'Raw data'!H2275</f>
        <v>0</v>
      </c>
      <c r="L2366" s="26">
        <f t="shared" si="76"/>
        <v>0</v>
      </c>
    </row>
    <row r="2367" spans="2:12">
      <c r="B2367" s="4" t="e">
        <f t="shared" si="75"/>
        <v>#N/A</v>
      </c>
      <c r="C2367" s="4">
        <f>'Raw data'!E1943</f>
        <v>0</v>
      </c>
      <c r="D2367" s="29" t="e">
        <f>VLOOKUP(C2367,'점포코드 '!A:B,2,0)</f>
        <v>#N/A</v>
      </c>
      <c r="E2367" s="30">
        <f>'Raw data'!P1943</f>
        <v>0</v>
      </c>
      <c r="F2367" s="29" t="e">
        <f>VLOOKUP(E2367,'점포코드 '!A:B,2,0)</f>
        <v>#N/A</v>
      </c>
      <c r="G2367" s="46">
        <f>'Raw data'!F2276</f>
        <v>0</v>
      </c>
      <c r="H2367" s="4">
        <f>'Raw data'!G2276</f>
        <v>0</v>
      </c>
      <c r="I2367" s="29" t="e">
        <f>VLOOKUP(G2367,제품명!$C$1:$E$114,2,0)</f>
        <v>#N/A</v>
      </c>
      <c r="J2367" s="29">
        <f>'Raw data'!K2276</f>
        <v>0</v>
      </c>
      <c r="K2367" s="31">
        <f>'Raw data'!H2276</f>
        <v>0</v>
      </c>
      <c r="L2367" s="26">
        <f t="shared" si="76"/>
        <v>0</v>
      </c>
    </row>
    <row r="2368" spans="2:12">
      <c r="B2368" s="4" t="e">
        <f t="shared" si="75"/>
        <v>#N/A</v>
      </c>
      <c r="C2368" s="4">
        <f>'Raw data'!E1944</f>
        <v>0</v>
      </c>
      <c r="D2368" s="29" t="e">
        <f>VLOOKUP(C2368,'점포코드 '!A:B,2,0)</f>
        <v>#N/A</v>
      </c>
      <c r="E2368" s="30">
        <f>'Raw data'!P1944</f>
        <v>0</v>
      </c>
      <c r="F2368" s="29" t="e">
        <f>VLOOKUP(E2368,'점포코드 '!A:B,2,0)</f>
        <v>#N/A</v>
      </c>
      <c r="G2368" s="46">
        <f>'Raw data'!F2277</f>
        <v>0</v>
      </c>
      <c r="H2368" s="4">
        <f>'Raw data'!G2277</f>
        <v>0</v>
      </c>
      <c r="I2368" s="29" t="e">
        <f>VLOOKUP(G2368,제품명!$C$1:$E$114,2,0)</f>
        <v>#N/A</v>
      </c>
      <c r="J2368" s="29">
        <f>'Raw data'!K2277</f>
        <v>0</v>
      </c>
      <c r="K2368" s="31">
        <f>'Raw data'!H2277</f>
        <v>0</v>
      </c>
      <c r="L2368" s="26">
        <f t="shared" si="76"/>
        <v>0</v>
      </c>
    </row>
    <row r="2369" spans="2:12">
      <c r="B2369" s="4" t="e">
        <f t="shared" si="75"/>
        <v>#N/A</v>
      </c>
      <c r="C2369" s="4">
        <f>'Raw data'!E1945</f>
        <v>0</v>
      </c>
      <c r="D2369" s="29" t="e">
        <f>VLOOKUP(C2369,'점포코드 '!A:B,2,0)</f>
        <v>#N/A</v>
      </c>
      <c r="E2369" s="30">
        <f>'Raw data'!P1945</f>
        <v>0</v>
      </c>
      <c r="F2369" s="29" t="e">
        <f>VLOOKUP(E2369,'점포코드 '!A:B,2,0)</f>
        <v>#N/A</v>
      </c>
      <c r="G2369" s="46">
        <f>'Raw data'!F2278</f>
        <v>0</v>
      </c>
      <c r="H2369" s="4">
        <f>'Raw data'!G2278</f>
        <v>0</v>
      </c>
      <c r="I2369" s="29" t="e">
        <f>VLOOKUP(G2369,제품명!$C$1:$E$114,2,0)</f>
        <v>#N/A</v>
      </c>
      <c r="J2369" s="29">
        <f>'Raw data'!K2278</f>
        <v>0</v>
      </c>
      <c r="K2369" s="31">
        <f>'Raw data'!H2278</f>
        <v>0</v>
      </c>
      <c r="L2369" s="26">
        <f t="shared" si="76"/>
        <v>0</v>
      </c>
    </row>
    <row r="2370" spans="2:12">
      <c r="B2370" s="4" t="e">
        <f t="shared" ref="B2370:B2433" si="77">F2370&amp;I2370</f>
        <v>#N/A</v>
      </c>
      <c r="C2370" s="4">
        <f>'Raw data'!E1946</f>
        <v>0</v>
      </c>
      <c r="D2370" s="29" t="e">
        <f>VLOOKUP(C2370,'점포코드 '!A:B,2,0)</f>
        <v>#N/A</v>
      </c>
      <c r="E2370" s="30">
        <f>'Raw data'!P1946</f>
        <v>0</v>
      </c>
      <c r="F2370" s="29" t="e">
        <f>VLOOKUP(E2370,'점포코드 '!A:B,2,0)</f>
        <v>#N/A</v>
      </c>
      <c r="G2370" s="46">
        <f>'Raw data'!F2279</f>
        <v>0</v>
      </c>
      <c r="H2370" s="4">
        <f>'Raw data'!G2279</f>
        <v>0</v>
      </c>
      <c r="I2370" s="29" t="e">
        <f>VLOOKUP(G2370,제품명!$C$1:$E$114,2,0)</f>
        <v>#N/A</v>
      </c>
      <c r="J2370" s="29">
        <f>'Raw data'!K2279</f>
        <v>0</v>
      </c>
      <c r="K2370" s="31">
        <f>'Raw data'!H2279</f>
        <v>0</v>
      </c>
      <c r="L2370" s="26">
        <f t="shared" si="76"/>
        <v>0</v>
      </c>
    </row>
    <row r="2371" spans="2:12">
      <c r="B2371" s="4" t="e">
        <f t="shared" si="77"/>
        <v>#N/A</v>
      </c>
      <c r="C2371" s="4">
        <f>'Raw data'!E1947</f>
        <v>0</v>
      </c>
      <c r="D2371" s="29" t="e">
        <f>VLOOKUP(C2371,'점포코드 '!A:B,2,0)</f>
        <v>#N/A</v>
      </c>
      <c r="E2371" s="30">
        <f>'Raw data'!P1947</f>
        <v>0</v>
      </c>
      <c r="F2371" s="29" t="e">
        <f>VLOOKUP(E2371,'점포코드 '!A:B,2,0)</f>
        <v>#N/A</v>
      </c>
      <c r="G2371" s="46">
        <f>'Raw data'!F2280</f>
        <v>0</v>
      </c>
      <c r="H2371" s="4">
        <f>'Raw data'!G2280</f>
        <v>0</v>
      </c>
      <c r="I2371" s="29" t="e">
        <f>VLOOKUP(G2371,제품명!$C$1:$E$114,2,0)</f>
        <v>#N/A</v>
      </c>
      <c r="J2371" s="29">
        <f>'Raw data'!K2280</f>
        <v>0</v>
      </c>
      <c r="K2371" s="31">
        <f>'Raw data'!H2280</f>
        <v>0</v>
      </c>
      <c r="L2371" s="26">
        <f t="shared" ref="L2371:L2434" si="78">J2371*K2371</f>
        <v>0</v>
      </c>
    </row>
    <row r="2372" spans="2:12">
      <c r="B2372" s="4" t="e">
        <f t="shared" si="77"/>
        <v>#N/A</v>
      </c>
      <c r="C2372" s="4">
        <f>'Raw data'!E1948</f>
        <v>0</v>
      </c>
      <c r="D2372" s="29" t="e">
        <f>VLOOKUP(C2372,'점포코드 '!A:B,2,0)</f>
        <v>#N/A</v>
      </c>
      <c r="E2372" s="30">
        <f>'Raw data'!P1948</f>
        <v>0</v>
      </c>
      <c r="F2372" s="29" t="e">
        <f>VLOOKUP(E2372,'점포코드 '!A:B,2,0)</f>
        <v>#N/A</v>
      </c>
      <c r="G2372" s="46">
        <f>'Raw data'!F2281</f>
        <v>0</v>
      </c>
      <c r="H2372" s="4">
        <f>'Raw data'!G2281</f>
        <v>0</v>
      </c>
      <c r="I2372" s="29" t="e">
        <f>VLOOKUP(G2372,제품명!$C$1:$E$114,2,0)</f>
        <v>#N/A</v>
      </c>
      <c r="J2372" s="29">
        <f>'Raw data'!K2281</f>
        <v>0</v>
      </c>
      <c r="K2372" s="31">
        <f>'Raw data'!H2281</f>
        <v>0</v>
      </c>
      <c r="L2372" s="26">
        <f t="shared" si="78"/>
        <v>0</v>
      </c>
    </row>
    <row r="2373" spans="2:12">
      <c r="B2373" s="4" t="e">
        <f t="shared" si="77"/>
        <v>#N/A</v>
      </c>
      <c r="C2373" s="4">
        <f>'Raw data'!E1949</f>
        <v>0</v>
      </c>
      <c r="D2373" s="29" t="e">
        <f>VLOOKUP(C2373,'점포코드 '!A:B,2,0)</f>
        <v>#N/A</v>
      </c>
      <c r="E2373" s="30">
        <f>'Raw data'!P1949</f>
        <v>0</v>
      </c>
      <c r="F2373" s="29" t="e">
        <f>VLOOKUP(E2373,'점포코드 '!A:B,2,0)</f>
        <v>#N/A</v>
      </c>
      <c r="G2373" s="46">
        <f>'Raw data'!F2282</f>
        <v>0</v>
      </c>
      <c r="H2373" s="4">
        <f>'Raw data'!G2282</f>
        <v>0</v>
      </c>
      <c r="I2373" s="29" t="e">
        <f>VLOOKUP(G2373,제품명!$C$1:$E$114,2,0)</f>
        <v>#N/A</v>
      </c>
      <c r="J2373" s="29">
        <f>'Raw data'!K2282</f>
        <v>0</v>
      </c>
      <c r="K2373" s="31">
        <f>'Raw data'!H2282</f>
        <v>0</v>
      </c>
      <c r="L2373" s="26">
        <f t="shared" si="78"/>
        <v>0</v>
      </c>
    </row>
    <row r="2374" spans="2:12">
      <c r="B2374" s="4" t="e">
        <f t="shared" si="77"/>
        <v>#N/A</v>
      </c>
      <c r="C2374" s="4">
        <f>'Raw data'!E1950</f>
        <v>0</v>
      </c>
      <c r="D2374" s="29" t="e">
        <f>VLOOKUP(C2374,'점포코드 '!A:B,2,0)</f>
        <v>#N/A</v>
      </c>
      <c r="E2374" s="30">
        <f>'Raw data'!P1950</f>
        <v>0</v>
      </c>
      <c r="F2374" s="29" t="e">
        <f>VLOOKUP(E2374,'점포코드 '!A:B,2,0)</f>
        <v>#N/A</v>
      </c>
      <c r="G2374" s="46">
        <f>'Raw data'!F2283</f>
        <v>0</v>
      </c>
      <c r="H2374" s="4">
        <f>'Raw data'!G2283</f>
        <v>0</v>
      </c>
      <c r="I2374" s="29" t="e">
        <f>VLOOKUP(G2374,제품명!$C$1:$E$114,2,0)</f>
        <v>#N/A</v>
      </c>
      <c r="J2374" s="29">
        <f>'Raw data'!K2283</f>
        <v>0</v>
      </c>
      <c r="K2374" s="31">
        <f>'Raw data'!H2283</f>
        <v>0</v>
      </c>
      <c r="L2374" s="26">
        <f t="shared" si="78"/>
        <v>0</v>
      </c>
    </row>
    <row r="2375" spans="2:12">
      <c r="B2375" s="4" t="e">
        <f t="shared" si="77"/>
        <v>#N/A</v>
      </c>
      <c r="C2375" s="4">
        <f>'Raw data'!E1951</f>
        <v>0</v>
      </c>
      <c r="D2375" s="29" t="e">
        <f>VLOOKUP(C2375,'점포코드 '!A:B,2,0)</f>
        <v>#N/A</v>
      </c>
      <c r="E2375" s="30">
        <f>'Raw data'!P1951</f>
        <v>0</v>
      </c>
      <c r="F2375" s="29" t="e">
        <f>VLOOKUP(E2375,'점포코드 '!A:B,2,0)</f>
        <v>#N/A</v>
      </c>
      <c r="G2375" s="46">
        <f>'Raw data'!F2284</f>
        <v>0</v>
      </c>
      <c r="H2375" s="4">
        <f>'Raw data'!G2284</f>
        <v>0</v>
      </c>
      <c r="I2375" s="29" t="e">
        <f>VLOOKUP(G2375,제품명!$C$1:$E$114,2,0)</f>
        <v>#N/A</v>
      </c>
      <c r="J2375" s="29">
        <f>'Raw data'!K2284</f>
        <v>0</v>
      </c>
      <c r="K2375" s="31">
        <f>'Raw data'!H2284</f>
        <v>0</v>
      </c>
      <c r="L2375" s="26">
        <f t="shared" si="78"/>
        <v>0</v>
      </c>
    </row>
    <row r="2376" spans="2:12">
      <c r="B2376" s="4" t="e">
        <f t="shared" si="77"/>
        <v>#N/A</v>
      </c>
      <c r="C2376" s="4">
        <f>'Raw data'!E1952</f>
        <v>0</v>
      </c>
      <c r="D2376" s="29" t="e">
        <f>VLOOKUP(C2376,'점포코드 '!A:B,2,0)</f>
        <v>#N/A</v>
      </c>
      <c r="E2376" s="30">
        <f>'Raw data'!P1952</f>
        <v>0</v>
      </c>
      <c r="F2376" s="29" t="e">
        <f>VLOOKUP(E2376,'점포코드 '!A:B,2,0)</f>
        <v>#N/A</v>
      </c>
      <c r="G2376" s="46">
        <f>'Raw data'!F2285</f>
        <v>0</v>
      </c>
      <c r="H2376" s="4">
        <f>'Raw data'!G2285</f>
        <v>0</v>
      </c>
      <c r="I2376" s="29" t="e">
        <f>VLOOKUP(G2376,제품명!$C$1:$E$114,2,0)</f>
        <v>#N/A</v>
      </c>
      <c r="J2376" s="29">
        <f>'Raw data'!K2285</f>
        <v>0</v>
      </c>
      <c r="K2376" s="31">
        <f>'Raw data'!H2285</f>
        <v>0</v>
      </c>
      <c r="L2376" s="26">
        <f t="shared" si="78"/>
        <v>0</v>
      </c>
    </row>
    <row r="2377" spans="2:12">
      <c r="B2377" s="4" t="e">
        <f t="shared" si="77"/>
        <v>#N/A</v>
      </c>
      <c r="C2377" s="4">
        <f>'Raw data'!E1953</f>
        <v>0</v>
      </c>
      <c r="D2377" s="29" t="e">
        <f>VLOOKUP(C2377,'점포코드 '!A:B,2,0)</f>
        <v>#N/A</v>
      </c>
      <c r="E2377" s="30">
        <f>'Raw data'!P1953</f>
        <v>0</v>
      </c>
      <c r="F2377" s="29" t="e">
        <f>VLOOKUP(E2377,'점포코드 '!A:B,2,0)</f>
        <v>#N/A</v>
      </c>
      <c r="G2377" s="46">
        <f>'Raw data'!F2286</f>
        <v>0</v>
      </c>
      <c r="H2377" s="4">
        <f>'Raw data'!G2286</f>
        <v>0</v>
      </c>
      <c r="I2377" s="29" t="e">
        <f>VLOOKUP(G2377,제품명!$C$1:$E$114,2,0)</f>
        <v>#N/A</v>
      </c>
      <c r="J2377" s="29">
        <f>'Raw data'!K2286</f>
        <v>0</v>
      </c>
      <c r="K2377" s="31">
        <f>'Raw data'!H2286</f>
        <v>0</v>
      </c>
      <c r="L2377" s="26">
        <f t="shared" si="78"/>
        <v>0</v>
      </c>
    </row>
    <row r="2378" spans="2:12">
      <c r="B2378" s="4" t="e">
        <f t="shared" si="77"/>
        <v>#N/A</v>
      </c>
      <c r="C2378" s="4">
        <f>'Raw data'!E1954</f>
        <v>0</v>
      </c>
      <c r="D2378" s="29" t="e">
        <f>VLOOKUP(C2378,'점포코드 '!A:B,2,0)</f>
        <v>#N/A</v>
      </c>
      <c r="E2378" s="30">
        <f>'Raw data'!P1954</f>
        <v>0</v>
      </c>
      <c r="F2378" s="29" t="e">
        <f>VLOOKUP(E2378,'점포코드 '!A:B,2,0)</f>
        <v>#N/A</v>
      </c>
      <c r="G2378" s="46">
        <f>'Raw data'!F2287</f>
        <v>0</v>
      </c>
      <c r="H2378" s="4">
        <f>'Raw data'!G2287</f>
        <v>0</v>
      </c>
      <c r="I2378" s="29" t="e">
        <f>VLOOKUP(G2378,제품명!$C$1:$E$114,2,0)</f>
        <v>#N/A</v>
      </c>
      <c r="J2378" s="29">
        <f>'Raw data'!K2287</f>
        <v>0</v>
      </c>
      <c r="K2378" s="31">
        <f>'Raw data'!H2287</f>
        <v>0</v>
      </c>
      <c r="L2378" s="26">
        <f t="shared" si="78"/>
        <v>0</v>
      </c>
    </row>
    <row r="2379" spans="2:12">
      <c r="B2379" s="4" t="e">
        <f t="shared" si="77"/>
        <v>#N/A</v>
      </c>
      <c r="C2379" s="4">
        <f>'Raw data'!E1955</f>
        <v>0</v>
      </c>
      <c r="D2379" s="29" t="e">
        <f>VLOOKUP(C2379,'점포코드 '!A:B,2,0)</f>
        <v>#N/A</v>
      </c>
      <c r="E2379" s="30">
        <f>'Raw data'!P1955</f>
        <v>0</v>
      </c>
      <c r="F2379" s="29" t="e">
        <f>VLOOKUP(E2379,'점포코드 '!A:B,2,0)</f>
        <v>#N/A</v>
      </c>
      <c r="G2379" s="46">
        <f>'Raw data'!F2288</f>
        <v>0</v>
      </c>
      <c r="H2379" s="4">
        <f>'Raw data'!G2288</f>
        <v>0</v>
      </c>
      <c r="I2379" s="29" t="e">
        <f>VLOOKUP(G2379,제품명!$C$1:$E$114,2,0)</f>
        <v>#N/A</v>
      </c>
      <c r="J2379" s="29">
        <f>'Raw data'!K2288</f>
        <v>0</v>
      </c>
      <c r="K2379" s="31">
        <f>'Raw data'!H2288</f>
        <v>0</v>
      </c>
      <c r="L2379" s="26">
        <f t="shared" si="78"/>
        <v>0</v>
      </c>
    </row>
    <row r="2380" spans="2:12">
      <c r="B2380" s="4" t="e">
        <f t="shared" si="77"/>
        <v>#N/A</v>
      </c>
      <c r="C2380" s="4">
        <f>'Raw data'!E1956</f>
        <v>0</v>
      </c>
      <c r="D2380" s="29" t="e">
        <f>VLOOKUP(C2380,'점포코드 '!A:B,2,0)</f>
        <v>#N/A</v>
      </c>
      <c r="E2380" s="30">
        <f>'Raw data'!P1956</f>
        <v>0</v>
      </c>
      <c r="F2380" s="29" t="e">
        <f>VLOOKUP(E2380,'점포코드 '!A:B,2,0)</f>
        <v>#N/A</v>
      </c>
      <c r="G2380" s="46">
        <f>'Raw data'!F2289</f>
        <v>0</v>
      </c>
      <c r="H2380" s="4">
        <f>'Raw data'!G2289</f>
        <v>0</v>
      </c>
      <c r="I2380" s="29" t="e">
        <f>VLOOKUP(G2380,제품명!$C$1:$E$114,2,0)</f>
        <v>#N/A</v>
      </c>
      <c r="J2380" s="29">
        <f>'Raw data'!K2289</f>
        <v>0</v>
      </c>
      <c r="K2380" s="31">
        <f>'Raw data'!H2289</f>
        <v>0</v>
      </c>
      <c r="L2380" s="26">
        <f t="shared" si="78"/>
        <v>0</v>
      </c>
    </row>
    <row r="2381" spans="2:12">
      <c r="B2381" s="4" t="e">
        <f t="shared" si="77"/>
        <v>#N/A</v>
      </c>
      <c r="C2381" s="4">
        <f>'Raw data'!E1957</f>
        <v>0</v>
      </c>
      <c r="D2381" s="29" t="e">
        <f>VLOOKUP(C2381,'점포코드 '!A:B,2,0)</f>
        <v>#N/A</v>
      </c>
      <c r="E2381" s="30">
        <f>'Raw data'!P1957</f>
        <v>0</v>
      </c>
      <c r="F2381" s="29" t="e">
        <f>VLOOKUP(E2381,'점포코드 '!A:B,2,0)</f>
        <v>#N/A</v>
      </c>
      <c r="G2381" s="46">
        <f>'Raw data'!F2290</f>
        <v>0</v>
      </c>
      <c r="H2381" s="4">
        <f>'Raw data'!G2290</f>
        <v>0</v>
      </c>
      <c r="I2381" s="29" t="e">
        <f>VLOOKUP(G2381,제품명!$C$1:$E$114,2,0)</f>
        <v>#N/A</v>
      </c>
      <c r="J2381" s="29">
        <f>'Raw data'!K2290</f>
        <v>0</v>
      </c>
      <c r="K2381" s="31">
        <f>'Raw data'!H2290</f>
        <v>0</v>
      </c>
      <c r="L2381" s="26">
        <f t="shared" si="78"/>
        <v>0</v>
      </c>
    </row>
    <row r="2382" spans="2:12">
      <c r="B2382" s="4" t="e">
        <f t="shared" si="77"/>
        <v>#N/A</v>
      </c>
      <c r="C2382" s="4">
        <f>'Raw data'!E1958</f>
        <v>0</v>
      </c>
      <c r="D2382" s="29" t="e">
        <f>VLOOKUP(C2382,'점포코드 '!A:B,2,0)</f>
        <v>#N/A</v>
      </c>
      <c r="E2382" s="30">
        <f>'Raw data'!P1958</f>
        <v>0</v>
      </c>
      <c r="F2382" s="29" t="e">
        <f>VLOOKUP(E2382,'점포코드 '!A:B,2,0)</f>
        <v>#N/A</v>
      </c>
      <c r="G2382" s="46">
        <f>'Raw data'!F2291</f>
        <v>0</v>
      </c>
      <c r="H2382" s="4">
        <f>'Raw data'!G2291</f>
        <v>0</v>
      </c>
      <c r="I2382" s="29" t="e">
        <f>VLOOKUP(G2382,제품명!$C$1:$E$114,2,0)</f>
        <v>#N/A</v>
      </c>
      <c r="J2382" s="29">
        <f>'Raw data'!K2291</f>
        <v>0</v>
      </c>
      <c r="K2382" s="31">
        <f>'Raw data'!H2291</f>
        <v>0</v>
      </c>
      <c r="L2382" s="26">
        <f t="shared" si="78"/>
        <v>0</v>
      </c>
    </row>
    <row r="2383" spans="2:12">
      <c r="B2383" s="4" t="e">
        <f t="shared" si="77"/>
        <v>#N/A</v>
      </c>
      <c r="C2383" s="4">
        <f>'Raw data'!E1959</f>
        <v>0</v>
      </c>
      <c r="D2383" s="29" t="e">
        <f>VLOOKUP(C2383,'점포코드 '!A:B,2,0)</f>
        <v>#N/A</v>
      </c>
      <c r="E2383" s="30">
        <f>'Raw data'!P1959</f>
        <v>0</v>
      </c>
      <c r="F2383" s="29" t="e">
        <f>VLOOKUP(E2383,'점포코드 '!A:B,2,0)</f>
        <v>#N/A</v>
      </c>
      <c r="G2383" s="46">
        <f>'Raw data'!F2292</f>
        <v>0</v>
      </c>
      <c r="H2383" s="4">
        <f>'Raw data'!G2292</f>
        <v>0</v>
      </c>
      <c r="I2383" s="29" t="e">
        <f>VLOOKUP(G2383,제품명!$C$1:$E$114,2,0)</f>
        <v>#N/A</v>
      </c>
      <c r="J2383" s="29">
        <f>'Raw data'!K2292</f>
        <v>0</v>
      </c>
      <c r="K2383" s="31">
        <f>'Raw data'!H2292</f>
        <v>0</v>
      </c>
      <c r="L2383" s="26">
        <f t="shared" si="78"/>
        <v>0</v>
      </c>
    </row>
    <row r="2384" spans="2:12">
      <c r="B2384" s="4" t="e">
        <f t="shared" si="77"/>
        <v>#N/A</v>
      </c>
      <c r="C2384" s="4">
        <f>'Raw data'!E1960</f>
        <v>0</v>
      </c>
      <c r="D2384" s="29" t="e">
        <f>VLOOKUP(C2384,'점포코드 '!A:B,2,0)</f>
        <v>#N/A</v>
      </c>
      <c r="E2384" s="30">
        <f>'Raw data'!P1960</f>
        <v>0</v>
      </c>
      <c r="F2384" s="29" t="e">
        <f>VLOOKUP(E2384,'점포코드 '!A:B,2,0)</f>
        <v>#N/A</v>
      </c>
      <c r="G2384" s="46">
        <f>'Raw data'!F2293</f>
        <v>0</v>
      </c>
      <c r="H2384" s="4">
        <f>'Raw data'!G2293</f>
        <v>0</v>
      </c>
      <c r="I2384" s="29" t="e">
        <f>VLOOKUP(G2384,제품명!$C$1:$E$114,2,0)</f>
        <v>#N/A</v>
      </c>
      <c r="J2384" s="29">
        <f>'Raw data'!K2293</f>
        <v>0</v>
      </c>
      <c r="K2384" s="31">
        <f>'Raw data'!H2293</f>
        <v>0</v>
      </c>
      <c r="L2384" s="26">
        <f t="shared" si="78"/>
        <v>0</v>
      </c>
    </row>
    <row r="2385" spans="2:12">
      <c r="B2385" s="4" t="e">
        <f t="shared" si="77"/>
        <v>#N/A</v>
      </c>
      <c r="C2385" s="4">
        <f>'Raw data'!E1961</f>
        <v>0</v>
      </c>
      <c r="D2385" s="29" t="e">
        <f>VLOOKUP(C2385,'점포코드 '!A:B,2,0)</f>
        <v>#N/A</v>
      </c>
      <c r="E2385" s="30">
        <f>'Raw data'!P1961</f>
        <v>0</v>
      </c>
      <c r="F2385" s="29" t="e">
        <f>VLOOKUP(E2385,'점포코드 '!A:B,2,0)</f>
        <v>#N/A</v>
      </c>
      <c r="G2385" s="46">
        <f>'Raw data'!F2294</f>
        <v>0</v>
      </c>
      <c r="H2385" s="4">
        <f>'Raw data'!G2294</f>
        <v>0</v>
      </c>
      <c r="I2385" s="29" t="e">
        <f>VLOOKUP(G2385,제품명!$C$1:$E$114,2,0)</f>
        <v>#N/A</v>
      </c>
      <c r="J2385" s="29">
        <f>'Raw data'!K2294</f>
        <v>0</v>
      </c>
      <c r="K2385" s="31">
        <f>'Raw data'!H2294</f>
        <v>0</v>
      </c>
      <c r="L2385" s="26">
        <f t="shared" si="78"/>
        <v>0</v>
      </c>
    </row>
    <row r="2386" spans="2:12">
      <c r="B2386" s="4" t="e">
        <f t="shared" si="77"/>
        <v>#N/A</v>
      </c>
      <c r="C2386" s="4">
        <f>'Raw data'!E1962</f>
        <v>0</v>
      </c>
      <c r="D2386" s="29" t="e">
        <f>VLOOKUP(C2386,'점포코드 '!A:B,2,0)</f>
        <v>#N/A</v>
      </c>
      <c r="E2386" s="30">
        <f>'Raw data'!P1962</f>
        <v>0</v>
      </c>
      <c r="F2386" s="29" t="e">
        <f>VLOOKUP(E2386,'점포코드 '!A:B,2,0)</f>
        <v>#N/A</v>
      </c>
      <c r="G2386" s="46">
        <f>'Raw data'!F2295</f>
        <v>0</v>
      </c>
      <c r="H2386" s="4">
        <f>'Raw data'!G2295</f>
        <v>0</v>
      </c>
      <c r="I2386" s="29" t="e">
        <f>VLOOKUP(G2386,제품명!$C$1:$E$114,2,0)</f>
        <v>#N/A</v>
      </c>
      <c r="J2386" s="29">
        <f>'Raw data'!K2295</f>
        <v>0</v>
      </c>
      <c r="K2386" s="31">
        <f>'Raw data'!H2295</f>
        <v>0</v>
      </c>
      <c r="L2386" s="26">
        <f t="shared" si="78"/>
        <v>0</v>
      </c>
    </row>
    <row r="2387" spans="2:12">
      <c r="B2387" s="4" t="e">
        <f t="shared" si="77"/>
        <v>#N/A</v>
      </c>
      <c r="C2387" s="4">
        <f>'Raw data'!E1963</f>
        <v>0</v>
      </c>
      <c r="D2387" s="29" t="e">
        <f>VLOOKUP(C2387,'점포코드 '!A:B,2,0)</f>
        <v>#N/A</v>
      </c>
      <c r="E2387" s="30">
        <f>'Raw data'!P1963</f>
        <v>0</v>
      </c>
      <c r="F2387" s="29" t="e">
        <f>VLOOKUP(E2387,'점포코드 '!A:B,2,0)</f>
        <v>#N/A</v>
      </c>
      <c r="G2387" s="46">
        <f>'Raw data'!F2296</f>
        <v>0</v>
      </c>
      <c r="H2387" s="4">
        <f>'Raw data'!G2296</f>
        <v>0</v>
      </c>
      <c r="I2387" s="29" t="e">
        <f>VLOOKUP(G2387,제품명!$C$1:$E$114,2,0)</f>
        <v>#N/A</v>
      </c>
      <c r="J2387" s="29">
        <f>'Raw data'!K2296</f>
        <v>0</v>
      </c>
      <c r="K2387" s="31">
        <f>'Raw data'!H2296</f>
        <v>0</v>
      </c>
      <c r="L2387" s="26">
        <f t="shared" si="78"/>
        <v>0</v>
      </c>
    </row>
    <row r="2388" spans="2:12">
      <c r="B2388" s="4" t="e">
        <f t="shared" si="77"/>
        <v>#N/A</v>
      </c>
      <c r="C2388" s="4">
        <f>'Raw data'!E1964</f>
        <v>0</v>
      </c>
      <c r="D2388" s="29" t="e">
        <f>VLOOKUP(C2388,'점포코드 '!A:B,2,0)</f>
        <v>#N/A</v>
      </c>
      <c r="E2388" s="30">
        <f>'Raw data'!P1964</f>
        <v>0</v>
      </c>
      <c r="F2388" s="29" t="e">
        <f>VLOOKUP(E2388,'점포코드 '!A:B,2,0)</f>
        <v>#N/A</v>
      </c>
      <c r="G2388" s="46">
        <f>'Raw data'!F2297</f>
        <v>0</v>
      </c>
      <c r="H2388" s="4">
        <f>'Raw data'!G2297</f>
        <v>0</v>
      </c>
      <c r="I2388" s="29" t="e">
        <f>VLOOKUP(G2388,제품명!$C$1:$E$114,2,0)</f>
        <v>#N/A</v>
      </c>
      <c r="J2388" s="29">
        <f>'Raw data'!K2297</f>
        <v>0</v>
      </c>
      <c r="K2388" s="31">
        <f>'Raw data'!H2297</f>
        <v>0</v>
      </c>
      <c r="L2388" s="26">
        <f t="shared" si="78"/>
        <v>0</v>
      </c>
    </row>
    <row r="2389" spans="2:12">
      <c r="B2389" s="4" t="e">
        <f t="shared" si="77"/>
        <v>#N/A</v>
      </c>
      <c r="C2389" s="4">
        <f>'Raw data'!E1965</f>
        <v>0</v>
      </c>
      <c r="D2389" s="29" t="e">
        <f>VLOOKUP(C2389,'점포코드 '!A:B,2,0)</f>
        <v>#N/A</v>
      </c>
      <c r="E2389" s="30">
        <f>'Raw data'!P1965</f>
        <v>0</v>
      </c>
      <c r="F2389" s="29" t="e">
        <f>VLOOKUP(E2389,'점포코드 '!A:B,2,0)</f>
        <v>#N/A</v>
      </c>
      <c r="G2389" s="46">
        <f>'Raw data'!F2298</f>
        <v>0</v>
      </c>
      <c r="H2389" s="4">
        <f>'Raw data'!G2298</f>
        <v>0</v>
      </c>
      <c r="I2389" s="29" t="e">
        <f>VLOOKUP(G2389,제품명!$C$1:$E$114,2,0)</f>
        <v>#N/A</v>
      </c>
      <c r="J2389" s="29">
        <f>'Raw data'!K2298</f>
        <v>0</v>
      </c>
      <c r="K2389" s="31">
        <f>'Raw data'!H2298</f>
        <v>0</v>
      </c>
      <c r="L2389" s="26">
        <f t="shared" si="78"/>
        <v>0</v>
      </c>
    </row>
    <row r="2390" spans="2:12">
      <c r="B2390" s="4" t="e">
        <f t="shared" si="77"/>
        <v>#N/A</v>
      </c>
      <c r="C2390" s="4">
        <f>'Raw data'!E1966</f>
        <v>0</v>
      </c>
      <c r="D2390" s="29" t="e">
        <f>VLOOKUP(C2390,'점포코드 '!A:B,2,0)</f>
        <v>#N/A</v>
      </c>
      <c r="E2390" s="30">
        <f>'Raw data'!P1966</f>
        <v>0</v>
      </c>
      <c r="F2390" s="29" t="e">
        <f>VLOOKUP(E2390,'점포코드 '!A:B,2,0)</f>
        <v>#N/A</v>
      </c>
      <c r="G2390" s="46">
        <f>'Raw data'!F2299</f>
        <v>0</v>
      </c>
      <c r="H2390" s="4">
        <f>'Raw data'!G2299</f>
        <v>0</v>
      </c>
      <c r="I2390" s="29" t="e">
        <f>VLOOKUP(G2390,제품명!$C$1:$E$114,2,0)</f>
        <v>#N/A</v>
      </c>
      <c r="J2390" s="29">
        <f>'Raw data'!K2299</f>
        <v>0</v>
      </c>
      <c r="K2390" s="31">
        <f>'Raw data'!H2299</f>
        <v>0</v>
      </c>
      <c r="L2390" s="26">
        <f t="shared" si="78"/>
        <v>0</v>
      </c>
    </row>
    <row r="2391" spans="2:12">
      <c r="B2391" s="4" t="e">
        <f t="shared" si="77"/>
        <v>#N/A</v>
      </c>
      <c r="C2391" s="4">
        <f>'Raw data'!E1967</f>
        <v>0</v>
      </c>
      <c r="D2391" s="29" t="e">
        <f>VLOOKUP(C2391,'점포코드 '!A:B,2,0)</f>
        <v>#N/A</v>
      </c>
      <c r="E2391" s="30">
        <f>'Raw data'!P1967</f>
        <v>0</v>
      </c>
      <c r="F2391" s="29" t="e">
        <f>VLOOKUP(E2391,'점포코드 '!A:B,2,0)</f>
        <v>#N/A</v>
      </c>
      <c r="G2391" s="46">
        <f>'Raw data'!F2300</f>
        <v>0</v>
      </c>
      <c r="H2391" s="4">
        <f>'Raw data'!G2300</f>
        <v>0</v>
      </c>
      <c r="I2391" s="29" t="e">
        <f>VLOOKUP(G2391,제품명!$C$1:$E$114,2,0)</f>
        <v>#N/A</v>
      </c>
      <c r="J2391" s="29">
        <f>'Raw data'!K2300</f>
        <v>0</v>
      </c>
      <c r="K2391" s="31">
        <f>'Raw data'!H2300</f>
        <v>0</v>
      </c>
      <c r="L2391" s="26">
        <f t="shared" si="78"/>
        <v>0</v>
      </c>
    </row>
    <row r="2392" spans="2:12">
      <c r="B2392" s="4" t="e">
        <f t="shared" si="77"/>
        <v>#N/A</v>
      </c>
      <c r="C2392" s="4">
        <f>'Raw data'!E1968</f>
        <v>0</v>
      </c>
      <c r="D2392" s="29" t="e">
        <f>VLOOKUP(C2392,'점포코드 '!A:B,2,0)</f>
        <v>#N/A</v>
      </c>
      <c r="E2392" s="30">
        <f>'Raw data'!P1968</f>
        <v>0</v>
      </c>
      <c r="F2392" s="29" t="e">
        <f>VLOOKUP(E2392,'점포코드 '!A:B,2,0)</f>
        <v>#N/A</v>
      </c>
      <c r="G2392" s="46">
        <f>'Raw data'!F2301</f>
        <v>0</v>
      </c>
      <c r="H2392" s="4">
        <f>'Raw data'!G2301</f>
        <v>0</v>
      </c>
      <c r="I2392" s="29" t="e">
        <f>VLOOKUP(G2392,제품명!$C$1:$E$114,2,0)</f>
        <v>#N/A</v>
      </c>
      <c r="J2392" s="29">
        <f>'Raw data'!K2301</f>
        <v>0</v>
      </c>
      <c r="K2392" s="31">
        <f>'Raw data'!H2301</f>
        <v>0</v>
      </c>
      <c r="L2392" s="26">
        <f t="shared" si="78"/>
        <v>0</v>
      </c>
    </row>
    <row r="2393" spans="2:12">
      <c r="B2393" s="4" t="e">
        <f t="shared" si="77"/>
        <v>#N/A</v>
      </c>
      <c r="C2393" s="4">
        <f>'Raw data'!E1969</f>
        <v>0</v>
      </c>
      <c r="D2393" s="29" t="e">
        <f>VLOOKUP(C2393,'점포코드 '!A:B,2,0)</f>
        <v>#N/A</v>
      </c>
      <c r="E2393" s="30">
        <f>'Raw data'!P1969</f>
        <v>0</v>
      </c>
      <c r="F2393" s="29" t="e">
        <f>VLOOKUP(E2393,'점포코드 '!A:B,2,0)</f>
        <v>#N/A</v>
      </c>
      <c r="G2393" s="46">
        <f>'Raw data'!F2302</f>
        <v>0</v>
      </c>
      <c r="H2393" s="4">
        <f>'Raw data'!G2302</f>
        <v>0</v>
      </c>
      <c r="I2393" s="29" t="e">
        <f>VLOOKUP(G2393,제품명!$C$1:$E$114,2,0)</f>
        <v>#N/A</v>
      </c>
      <c r="J2393" s="29">
        <f>'Raw data'!K2302</f>
        <v>0</v>
      </c>
      <c r="K2393" s="31">
        <f>'Raw data'!H2302</f>
        <v>0</v>
      </c>
      <c r="L2393" s="26">
        <f t="shared" si="78"/>
        <v>0</v>
      </c>
    </row>
    <row r="2394" spans="2:12">
      <c r="B2394" s="4" t="e">
        <f t="shared" si="77"/>
        <v>#N/A</v>
      </c>
      <c r="C2394" s="4">
        <f>'Raw data'!E1970</f>
        <v>0</v>
      </c>
      <c r="D2394" s="29" t="e">
        <f>VLOOKUP(C2394,'점포코드 '!A:B,2,0)</f>
        <v>#N/A</v>
      </c>
      <c r="E2394" s="30">
        <f>'Raw data'!P1970</f>
        <v>0</v>
      </c>
      <c r="F2394" s="29" t="e">
        <f>VLOOKUP(E2394,'점포코드 '!A:B,2,0)</f>
        <v>#N/A</v>
      </c>
      <c r="G2394" s="46">
        <f>'Raw data'!F2303</f>
        <v>0</v>
      </c>
      <c r="H2394" s="4">
        <f>'Raw data'!G2303</f>
        <v>0</v>
      </c>
      <c r="I2394" s="29" t="e">
        <f>VLOOKUP(G2394,제품명!$C$1:$E$114,2,0)</f>
        <v>#N/A</v>
      </c>
      <c r="J2394" s="29">
        <f>'Raw data'!K2303</f>
        <v>0</v>
      </c>
      <c r="K2394" s="31">
        <f>'Raw data'!H2303</f>
        <v>0</v>
      </c>
      <c r="L2394" s="26">
        <f t="shared" si="78"/>
        <v>0</v>
      </c>
    </row>
    <row r="2395" spans="2:12">
      <c r="B2395" s="4" t="e">
        <f t="shared" si="77"/>
        <v>#N/A</v>
      </c>
      <c r="C2395" s="4">
        <f>'Raw data'!E1971</f>
        <v>0</v>
      </c>
      <c r="D2395" s="29" t="e">
        <f>VLOOKUP(C2395,'점포코드 '!A:B,2,0)</f>
        <v>#N/A</v>
      </c>
      <c r="E2395" s="30">
        <f>'Raw data'!P1971</f>
        <v>0</v>
      </c>
      <c r="F2395" s="29" t="e">
        <f>VLOOKUP(E2395,'점포코드 '!A:B,2,0)</f>
        <v>#N/A</v>
      </c>
      <c r="G2395" s="46">
        <f>'Raw data'!F2304</f>
        <v>0</v>
      </c>
      <c r="H2395" s="4">
        <f>'Raw data'!G2304</f>
        <v>0</v>
      </c>
      <c r="I2395" s="29" t="e">
        <f>VLOOKUP(G2395,제품명!$C$1:$E$114,2,0)</f>
        <v>#N/A</v>
      </c>
      <c r="J2395" s="29">
        <f>'Raw data'!K2304</f>
        <v>0</v>
      </c>
      <c r="K2395" s="31">
        <f>'Raw data'!H2304</f>
        <v>0</v>
      </c>
      <c r="L2395" s="26">
        <f t="shared" si="78"/>
        <v>0</v>
      </c>
    </row>
    <row r="2396" spans="2:12">
      <c r="B2396" s="4" t="e">
        <f t="shared" si="77"/>
        <v>#N/A</v>
      </c>
      <c r="C2396" s="4">
        <f>'Raw data'!E1972</f>
        <v>0</v>
      </c>
      <c r="D2396" s="29" t="e">
        <f>VLOOKUP(C2396,'점포코드 '!A:B,2,0)</f>
        <v>#N/A</v>
      </c>
      <c r="E2396" s="30">
        <f>'Raw data'!P1972</f>
        <v>0</v>
      </c>
      <c r="F2396" s="29" t="e">
        <f>VLOOKUP(E2396,'점포코드 '!A:B,2,0)</f>
        <v>#N/A</v>
      </c>
      <c r="G2396" s="46">
        <f>'Raw data'!F2305</f>
        <v>0</v>
      </c>
      <c r="H2396" s="4">
        <f>'Raw data'!G2305</f>
        <v>0</v>
      </c>
      <c r="I2396" s="29" t="e">
        <f>VLOOKUP(G2396,제품명!$C$1:$E$114,2,0)</f>
        <v>#N/A</v>
      </c>
      <c r="J2396" s="29">
        <f>'Raw data'!K2305</f>
        <v>0</v>
      </c>
      <c r="K2396" s="31">
        <f>'Raw data'!H2305</f>
        <v>0</v>
      </c>
      <c r="L2396" s="26">
        <f t="shared" si="78"/>
        <v>0</v>
      </c>
    </row>
    <row r="2397" spans="2:12">
      <c r="B2397" s="4" t="e">
        <f t="shared" si="77"/>
        <v>#N/A</v>
      </c>
      <c r="C2397" s="4">
        <f>'Raw data'!E1973</f>
        <v>0</v>
      </c>
      <c r="D2397" s="29" t="e">
        <f>VLOOKUP(C2397,'점포코드 '!A:B,2,0)</f>
        <v>#N/A</v>
      </c>
      <c r="E2397" s="30">
        <f>'Raw data'!P1973</f>
        <v>0</v>
      </c>
      <c r="F2397" s="29" t="e">
        <f>VLOOKUP(E2397,'점포코드 '!A:B,2,0)</f>
        <v>#N/A</v>
      </c>
      <c r="G2397" s="46">
        <f>'Raw data'!F2306</f>
        <v>0</v>
      </c>
      <c r="H2397" s="4">
        <f>'Raw data'!G2306</f>
        <v>0</v>
      </c>
      <c r="I2397" s="29" t="e">
        <f>VLOOKUP(G2397,제품명!$C$1:$E$114,2,0)</f>
        <v>#N/A</v>
      </c>
      <c r="J2397" s="29">
        <f>'Raw data'!K2306</f>
        <v>0</v>
      </c>
      <c r="K2397" s="31">
        <f>'Raw data'!H2306</f>
        <v>0</v>
      </c>
      <c r="L2397" s="26">
        <f t="shared" si="78"/>
        <v>0</v>
      </c>
    </row>
    <row r="2398" spans="2:12">
      <c r="B2398" s="4" t="e">
        <f t="shared" si="77"/>
        <v>#N/A</v>
      </c>
      <c r="C2398" s="4">
        <f>'Raw data'!E1974</f>
        <v>0</v>
      </c>
      <c r="D2398" s="29" t="e">
        <f>VLOOKUP(C2398,'점포코드 '!A:B,2,0)</f>
        <v>#N/A</v>
      </c>
      <c r="E2398" s="30">
        <f>'Raw data'!P1974</f>
        <v>0</v>
      </c>
      <c r="F2398" s="29" t="e">
        <f>VLOOKUP(E2398,'점포코드 '!A:B,2,0)</f>
        <v>#N/A</v>
      </c>
      <c r="G2398" s="46">
        <f>'Raw data'!F2307</f>
        <v>0</v>
      </c>
      <c r="H2398" s="4">
        <f>'Raw data'!G2307</f>
        <v>0</v>
      </c>
      <c r="I2398" s="29" t="e">
        <f>VLOOKUP(G2398,제품명!$C$1:$E$114,2,0)</f>
        <v>#N/A</v>
      </c>
      <c r="J2398" s="29">
        <f>'Raw data'!K2307</f>
        <v>0</v>
      </c>
      <c r="K2398" s="31">
        <f>'Raw data'!H2307</f>
        <v>0</v>
      </c>
      <c r="L2398" s="26">
        <f t="shared" si="78"/>
        <v>0</v>
      </c>
    </row>
    <row r="2399" spans="2:12">
      <c r="B2399" s="4" t="e">
        <f t="shared" si="77"/>
        <v>#N/A</v>
      </c>
      <c r="C2399" s="4">
        <f>'Raw data'!E1975</f>
        <v>0</v>
      </c>
      <c r="D2399" s="29" t="e">
        <f>VLOOKUP(C2399,'점포코드 '!A:B,2,0)</f>
        <v>#N/A</v>
      </c>
      <c r="E2399" s="30">
        <f>'Raw data'!P1975</f>
        <v>0</v>
      </c>
      <c r="F2399" s="29" t="e">
        <f>VLOOKUP(E2399,'점포코드 '!A:B,2,0)</f>
        <v>#N/A</v>
      </c>
      <c r="G2399" s="46">
        <f>'Raw data'!F2308</f>
        <v>0</v>
      </c>
      <c r="H2399" s="4">
        <f>'Raw data'!G2308</f>
        <v>0</v>
      </c>
      <c r="I2399" s="29" t="e">
        <f>VLOOKUP(G2399,제품명!$C$1:$E$114,2,0)</f>
        <v>#N/A</v>
      </c>
      <c r="J2399" s="29">
        <f>'Raw data'!K2308</f>
        <v>0</v>
      </c>
      <c r="K2399" s="31">
        <f>'Raw data'!H2308</f>
        <v>0</v>
      </c>
      <c r="L2399" s="26">
        <f t="shared" si="78"/>
        <v>0</v>
      </c>
    </row>
    <row r="2400" spans="2:12">
      <c r="B2400" s="4" t="e">
        <f t="shared" si="77"/>
        <v>#N/A</v>
      </c>
      <c r="C2400" s="4">
        <f>'Raw data'!E1976</f>
        <v>0</v>
      </c>
      <c r="D2400" s="29" t="e">
        <f>VLOOKUP(C2400,'점포코드 '!A:B,2,0)</f>
        <v>#N/A</v>
      </c>
      <c r="E2400" s="30">
        <f>'Raw data'!P1976</f>
        <v>0</v>
      </c>
      <c r="F2400" s="29" t="e">
        <f>VLOOKUP(E2400,'점포코드 '!A:B,2,0)</f>
        <v>#N/A</v>
      </c>
      <c r="G2400" s="46">
        <f>'Raw data'!F2309</f>
        <v>0</v>
      </c>
      <c r="H2400" s="4">
        <f>'Raw data'!G2309</f>
        <v>0</v>
      </c>
      <c r="I2400" s="29" t="e">
        <f>VLOOKUP(G2400,제품명!$C$1:$E$114,2,0)</f>
        <v>#N/A</v>
      </c>
      <c r="J2400" s="29">
        <f>'Raw data'!K2309</f>
        <v>0</v>
      </c>
      <c r="K2400" s="31">
        <f>'Raw data'!H2309</f>
        <v>0</v>
      </c>
      <c r="L2400" s="26">
        <f t="shared" si="78"/>
        <v>0</v>
      </c>
    </row>
    <row r="2401" spans="2:12">
      <c r="B2401" s="4" t="e">
        <f t="shared" si="77"/>
        <v>#N/A</v>
      </c>
      <c r="C2401" s="4">
        <f>'Raw data'!E1977</f>
        <v>0</v>
      </c>
      <c r="D2401" s="29" t="e">
        <f>VLOOKUP(C2401,'점포코드 '!A:B,2,0)</f>
        <v>#N/A</v>
      </c>
      <c r="E2401" s="30">
        <f>'Raw data'!P1977</f>
        <v>0</v>
      </c>
      <c r="F2401" s="29" t="e">
        <f>VLOOKUP(E2401,'점포코드 '!A:B,2,0)</f>
        <v>#N/A</v>
      </c>
      <c r="G2401" s="46">
        <f>'Raw data'!F2310</f>
        <v>0</v>
      </c>
      <c r="H2401" s="4">
        <f>'Raw data'!G2310</f>
        <v>0</v>
      </c>
      <c r="I2401" s="29" t="e">
        <f>VLOOKUP(G2401,제품명!$C$1:$E$114,2,0)</f>
        <v>#N/A</v>
      </c>
      <c r="J2401" s="29">
        <f>'Raw data'!K2310</f>
        <v>0</v>
      </c>
      <c r="K2401" s="31">
        <f>'Raw data'!H2310</f>
        <v>0</v>
      </c>
      <c r="L2401" s="26">
        <f t="shared" si="78"/>
        <v>0</v>
      </c>
    </row>
    <row r="2402" spans="2:12">
      <c r="B2402" s="4" t="e">
        <f t="shared" si="77"/>
        <v>#N/A</v>
      </c>
      <c r="C2402" s="4">
        <f>'Raw data'!E1978</f>
        <v>0</v>
      </c>
      <c r="D2402" s="29" t="e">
        <f>VLOOKUP(C2402,'점포코드 '!A:B,2,0)</f>
        <v>#N/A</v>
      </c>
      <c r="E2402" s="30">
        <f>'Raw data'!P1978</f>
        <v>0</v>
      </c>
      <c r="F2402" s="29" t="e">
        <f>VLOOKUP(E2402,'점포코드 '!A:B,2,0)</f>
        <v>#N/A</v>
      </c>
      <c r="G2402" s="46">
        <f>'Raw data'!F2311</f>
        <v>0</v>
      </c>
      <c r="H2402" s="4">
        <f>'Raw data'!G2311</f>
        <v>0</v>
      </c>
      <c r="I2402" s="29" t="e">
        <f>VLOOKUP(G2402,제품명!$C$1:$E$114,2,0)</f>
        <v>#N/A</v>
      </c>
      <c r="J2402" s="29">
        <f>'Raw data'!K2311</f>
        <v>0</v>
      </c>
      <c r="K2402" s="31">
        <f>'Raw data'!H2311</f>
        <v>0</v>
      </c>
      <c r="L2402" s="26">
        <f t="shared" si="78"/>
        <v>0</v>
      </c>
    </row>
    <row r="2403" spans="2:12">
      <c r="B2403" s="4" t="e">
        <f t="shared" si="77"/>
        <v>#N/A</v>
      </c>
      <c r="C2403" s="4">
        <f>'Raw data'!E1979</f>
        <v>0</v>
      </c>
      <c r="D2403" s="29" t="e">
        <f>VLOOKUP(C2403,'점포코드 '!A:B,2,0)</f>
        <v>#N/A</v>
      </c>
      <c r="E2403" s="30">
        <f>'Raw data'!P1979</f>
        <v>0</v>
      </c>
      <c r="F2403" s="29" t="e">
        <f>VLOOKUP(E2403,'점포코드 '!A:B,2,0)</f>
        <v>#N/A</v>
      </c>
      <c r="G2403" s="46">
        <f>'Raw data'!F2312</f>
        <v>0</v>
      </c>
      <c r="H2403" s="4">
        <f>'Raw data'!G2312</f>
        <v>0</v>
      </c>
      <c r="I2403" s="29" t="e">
        <f>VLOOKUP(G2403,제품명!$C$1:$E$114,2,0)</f>
        <v>#N/A</v>
      </c>
      <c r="J2403" s="29">
        <f>'Raw data'!K2312</f>
        <v>0</v>
      </c>
      <c r="K2403" s="31">
        <f>'Raw data'!H2312</f>
        <v>0</v>
      </c>
      <c r="L2403" s="26">
        <f t="shared" si="78"/>
        <v>0</v>
      </c>
    </row>
    <row r="2404" spans="2:12">
      <c r="B2404" s="4" t="e">
        <f t="shared" si="77"/>
        <v>#N/A</v>
      </c>
      <c r="C2404" s="4">
        <f>'Raw data'!E1980</f>
        <v>0</v>
      </c>
      <c r="D2404" s="29" t="e">
        <f>VLOOKUP(C2404,'점포코드 '!A:B,2,0)</f>
        <v>#N/A</v>
      </c>
      <c r="E2404" s="30">
        <f>'Raw data'!P1980</f>
        <v>0</v>
      </c>
      <c r="F2404" s="29" t="e">
        <f>VLOOKUP(E2404,'점포코드 '!A:B,2,0)</f>
        <v>#N/A</v>
      </c>
      <c r="G2404" s="46">
        <f>'Raw data'!F2313</f>
        <v>0</v>
      </c>
      <c r="H2404" s="4">
        <f>'Raw data'!G2313</f>
        <v>0</v>
      </c>
      <c r="I2404" s="29" t="e">
        <f>VLOOKUP(G2404,제품명!$C$1:$E$114,2,0)</f>
        <v>#N/A</v>
      </c>
      <c r="J2404" s="29">
        <f>'Raw data'!K2313</f>
        <v>0</v>
      </c>
      <c r="K2404" s="31">
        <f>'Raw data'!H2313</f>
        <v>0</v>
      </c>
      <c r="L2404" s="26">
        <f t="shared" si="78"/>
        <v>0</v>
      </c>
    </row>
    <row r="2405" spans="2:12">
      <c r="B2405" s="4" t="e">
        <f t="shared" si="77"/>
        <v>#N/A</v>
      </c>
      <c r="C2405" s="4">
        <f>'Raw data'!E1981</f>
        <v>0</v>
      </c>
      <c r="D2405" s="29" t="e">
        <f>VLOOKUP(C2405,'점포코드 '!A:B,2,0)</f>
        <v>#N/A</v>
      </c>
      <c r="E2405" s="30">
        <f>'Raw data'!P1981</f>
        <v>0</v>
      </c>
      <c r="F2405" s="29" t="e">
        <f>VLOOKUP(E2405,'점포코드 '!A:B,2,0)</f>
        <v>#N/A</v>
      </c>
      <c r="G2405" s="46">
        <f>'Raw data'!F2314</f>
        <v>0</v>
      </c>
      <c r="H2405" s="4">
        <f>'Raw data'!G2314</f>
        <v>0</v>
      </c>
      <c r="I2405" s="29" t="e">
        <f>VLOOKUP(G2405,제품명!$C$1:$E$114,2,0)</f>
        <v>#N/A</v>
      </c>
      <c r="J2405" s="29">
        <f>'Raw data'!K2314</f>
        <v>0</v>
      </c>
      <c r="K2405" s="31">
        <f>'Raw data'!H2314</f>
        <v>0</v>
      </c>
      <c r="L2405" s="26">
        <f t="shared" si="78"/>
        <v>0</v>
      </c>
    </row>
    <row r="2406" spans="2:12">
      <c r="B2406" s="4" t="e">
        <f t="shared" si="77"/>
        <v>#N/A</v>
      </c>
      <c r="C2406" s="4">
        <f>'Raw data'!E1982</f>
        <v>0</v>
      </c>
      <c r="D2406" s="29" t="e">
        <f>VLOOKUP(C2406,'점포코드 '!A:B,2,0)</f>
        <v>#N/A</v>
      </c>
      <c r="E2406" s="30">
        <f>'Raw data'!P1982</f>
        <v>0</v>
      </c>
      <c r="F2406" s="29" t="e">
        <f>VLOOKUP(E2406,'점포코드 '!A:B,2,0)</f>
        <v>#N/A</v>
      </c>
      <c r="G2406" s="46">
        <f>'Raw data'!F2315</f>
        <v>0</v>
      </c>
      <c r="H2406" s="4">
        <f>'Raw data'!G2315</f>
        <v>0</v>
      </c>
      <c r="I2406" s="29" t="e">
        <f>VLOOKUP(G2406,제품명!$C$1:$E$114,2,0)</f>
        <v>#N/A</v>
      </c>
      <c r="J2406" s="29">
        <f>'Raw data'!K2315</f>
        <v>0</v>
      </c>
      <c r="K2406" s="31">
        <f>'Raw data'!H2315</f>
        <v>0</v>
      </c>
      <c r="L2406" s="26">
        <f t="shared" si="78"/>
        <v>0</v>
      </c>
    </row>
    <row r="2407" spans="2:12">
      <c r="B2407" s="4" t="e">
        <f t="shared" si="77"/>
        <v>#N/A</v>
      </c>
      <c r="C2407" s="4">
        <f>'Raw data'!E1983</f>
        <v>0</v>
      </c>
      <c r="D2407" s="29" t="e">
        <f>VLOOKUP(C2407,'점포코드 '!A:B,2,0)</f>
        <v>#N/A</v>
      </c>
      <c r="E2407" s="30">
        <f>'Raw data'!P1983</f>
        <v>0</v>
      </c>
      <c r="F2407" s="29" t="e">
        <f>VLOOKUP(E2407,'점포코드 '!A:B,2,0)</f>
        <v>#N/A</v>
      </c>
      <c r="G2407" s="46">
        <f>'Raw data'!F2316</f>
        <v>0</v>
      </c>
      <c r="H2407" s="4">
        <f>'Raw data'!G2316</f>
        <v>0</v>
      </c>
      <c r="I2407" s="29" t="e">
        <f>VLOOKUP(G2407,제품명!$C$1:$E$114,2,0)</f>
        <v>#N/A</v>
      </c>
      <c r="J2407" s="29">
        <f>'Raw data'!K2316</f>
        <v>0</v>
      </c>
      <c r="K2407" s="31">
        <f>'Raw data'!H2316</f>
        <v>0</v>
      </c>
      <c r="L2407" s="26">
        <f t="shared" si="78"/>
        <v>0</v>
      </c>
    </row>
    <row r="2408" spans="2:12">
      <c r="B2408" s="4" t="e">
        <f t="shared" si="77"/>
        <v>#N/A</v>
      </c>
      <c r="C2408" s="4">
        <f>'Raw data'!E1984</f>
        <v>0</v>
      </c>
      <c r="D2408" s="29" t="e">
        <f>VLOOKUP(C2408,'점포코드 '!A:B,2,0)</f>
        <v>#N/A</v>
      </c>
      <c r="E2408" s="30">
        <f>'Raw data'!P1984</f>
        <v>0</v>
      </c>
      <c r="F2408" s="29" t="e">
        <f>VLOOKUP(E2408,'점포코드 '!A:B,2,0)</f>
        <v>#N/A</v>
      </c>
      <c r="G2408" s="46">
        <f>'Raw data'!F2317</f>
        <v>0</v>
      </c>
      <c r="H2408" s="4">
        <f>'Raw data'!G2317</f>
        <v>0</v>
      </c>
      <c r="I2408" s="29" t="e">
        <f>VLOOKUP(G2408,제품명!$C$1:$E$114,2,0)</f>
        <v>#N/A</v>
      </c>
      <c r="J2408" s="29">
        <f>'Raw data'!K2317</f>
        <v>0</v>
      </c>
      <c r="K2408" s="31">
        <f>'Raw data'!H2317</f>
        <v>0</v>
      </c>
      <c r="L2408" s="26">
        <f t="shared" si="78"/>
        <v>0</v>
      </c>
    </row>
    <row r="2409" spans="2:12">
      <c r="B2409" s="4" t="e">
        <f t="shared" si="77"/>
        <v>#N/A</v>
      </c>
      <c r="C2409" s="4">
        <f>'Raw data'!E1985</f>
        <v>0</v>
      </c>
      <c r="D2409" s="29" t="e">
        <f>VLOOKUP(C2409,'점포코드 '!A:B,2,0)</f>
        <v>#N/A</v>
      </c>
      <c r="E2409" s="30">
        <f>'Raw data'!P1985</f>
        <v>0</v>
      </c>
      <c r="F2409" s="29" t="e">
        <f>VLOOKUP(E2409,'점포코드 '!A:B,2,0)</f>
        <v>#N/A</v>
      </c>
      <c r="G2409" s="46">
        <f>'Raw data'!F2318</f>
        <v>0</v>
      </c>
      <c r="H2409" s="4">
        <f>'Raw data'!G2318</f>
        <v>0</v>
      </c>
      <c r="I2409" s="29" t="e">
        <f>VLOOKUP(G2409,제품명!$C$1:$E$114,2,0)</f>
        <v>#N/A</v>
      </c>
      <c r="J2409" s="29">
        <f>'Raw data'!K2318</f>
        <v>0</v>
      </c>
      <c r="K2409" s="31">
        <f>'Raw data'!H2318</f>
        <v>0</v>
      </c>
      <c r="L2409" s="26">
        <f t="shared" si="78"/>
        <v>0</v>
      </c>
    </row>
    <row r="2410" spans="2:12">
      <c r="B2410" s="4" t="e">
        <f t="shared" si="77"/>
        <v>#N/A</v>
      </c>
      <c r="C2410" s="4">
        <f>'Raw data'!E1986</f>
        <v>0</v>
      </c>
      <c r="D2410" s="29" t="e">
        <f>VLOOKUP(C2410,'점포코드 '!A:B,2,0)</f>
        <v>#N/A</v>
      </c>
      <c r="E2410" s="30">
        <f>'Raw data'!P1986</f>
        <v>0</v>
      </c>
      <c r="F2410" s="29" t="e">
        <f>VLOOKUP(E2410,'점포코드 '!A:B,2,0)</f>
        <v>#N/A</v>
      </c>
      <c r="G2410" s="46">
        <f>'Raw data'!F2319</f>
        <v>0</v>
      </c>
      <c r="H2410" s="4">
        <f>'Raw data'!G2319</f>
        <v>0</v>
      </c>
      <c r="I2410" s="29" t="e">
        <f>VLOOKUP(G2410,제품명!$C$1:$E$114,2,0)</f>
        <v>#N/A</v>
      </c>
      <c r="J2410" s="29">
        <f>'Raw data'!K2319</f>
        <v>0</v>
      </c>
      <c r="K2410" s="31">
        <f>'Raw data'!H2319</f>
        <v>0</v>
      </c>
      <c r="L2410" s="26">
        <f t="shared" si="78"/>
        <v>0</v>
      </c>
    </row>
    <row r="2411" spans="2:12">
      <c r="B2411" s="4" t="e">
        <f t="shared" si="77"/>
        <v>#N/A</v>
      </c>
      <c r="C2411" s="4">
        <f>'Raw data'!E1987</f>
        <v>0</v>
      </c>
      <c r="D2411" s="29" t="e">
        <f>VLOOKUP(C2411,'점포코드 '!A:B,2,0)</f>
        <v>#N/A</v>
      </c>
      <c r="E2411" s="30">
        <f>'Raw data'!P1987</f>
        <v>0</v>
      </c>
      <c r="F2411" s="29" t="e">
        <f>VLOOKUP(E2411,'점포코드 '!A:B,2,0)</f>
        <v>#N/A</v>
      </c>
      <c r="G2411" s="46">
        <f>'Raw data'!F2320</f>
        <v>0</v>
      </c>
      <c r="H2411" s="4">
        <f>'Raw data'!G2320</f>
        <v>0</v>
      </c>
      <c r="I2411" s="29" t="e">
        <f>VLOOKUP(G2411,제품명!$C$1:$E$114,2,0)</f>
        <v>#N/A</v>
      </c>
      <c r="J2411" s="29">
        <f>'Raw data'!K2320</f>
        <v>0</v>
      </c>
      <c r="K2411" s="31">
        <f>'Raw data'!H2320</f>
        <v>0</v>
      </c>
      <c r="L2411" s="26">
        <f t="shared" si="78"/>
        <v>0</v>
      </c>
    </row>
    <row r="2412" spans="2:12">
      <c r="B2412" s="4" t="e">
        <f t="shared" si="77"/>
        <v>#N/A</v>
      </c>
      <c r="C2412" s="4">
        <f>'Raw data'!E1988</f>
        <v>0</v>
      </c>
      <c r="D2412" s="29" t="e">
        <f>VLOOKUP(C2412,'점포코드 '!A:B,2,0)</f>
        <v>#N/A</v>
      </c>
      <c r="E2412" s="30">
        <f>'Raw data'!P1988</f>
        <v>0</v>
      </c>
      <c r="F2412" s="29" t="e">
        <f>VLOOKUP(E2412,'점포코드 '!A:B,2,0)</f>
        <v>#N/A</v>
      </c>
      <c r="G2412" s="46">
        <f>'Raw data'!F2321</f>
        <v>0</v>
      </c>
      <c r="H2412" s="4">
        <f>'Raw data'!G2321</f>
        <v>0</v>
      </c>
      <c r="I2412" s="29" t="e">
        <f>VLOOKUP(G2412,제품명!$C$1:$E$114,2,0)</f>
        <v>#N/A</v>
      </c>
      <c r="J2412" s="29">
        <f>'Raw data'!K2321</f>
        <v>0</v>
      </c>
      <c r="K2412" s="31">
        <f>'Raw data'!H2321</f>
        <v>0</v>
      </c>
      <c r="L2412" s="26">
        <f t="shared" si="78"/>
        <v>0</v>
      </c>
    </row>
    <row r="2413" spans="2:12">
      <c r="B2413" s="4" t="e">
        <f t="shared" si="77"/>
        <v>#N/A</v>
      </c>
      <c r="C2413" s="4">
        <f>'Raw data'!E1989</f>
        <v>0</v>
      </c>
      <c r="D2413" s="29" t="e">
        <f>VLOOKUP(C2413,'점포코드 '!A:B,2,0)</f>
        <v>#N/A</v>
      </c>
      <c r="E2413" s="30">
        <f>'Raw data'!P1989</f>
        <v>0</v>
      </c>
      <c r="F2413" s="29" t="e">
        <f>VLOOKUP(E2413,'점포코드 '!A:B,2,0)</f>
        <v>#N/A</v>
      </c>
      <c r="G2413" s="46">
        <f>'Raw data'!F2322</f>
        <v>0</v>
      </c>
      <c r="H2413" s="4">
        <f>'Raw data'!G2322</f>
        <v>0</v>
      </c>
      <c r="I2413" s="29" t="e">
        <f>VLOOKUP(G2413,제품명!$C$1:$E$114,2,0)</f>
        <v>#N/A</v>
      </c>
      <c r="J2413" s="29">
        <f>'Raw data'!K2322</f>
        <v>0</v>
      </c>
      <c r="K2413" s="31">
        <f>'Raw data'!H2322</f>
        <v>0</v>
      </c>
      <c r="L2413" s="26">
        <f t="shared" si="78"/>
        <v>0</v>
      </c>
    </row>
    <row r="2414" spans="2:12">
      <c r="B2414" s="4" t="e">
        <f t="shared" si="77"/>
        <v>#N/A</v>
      </c>
      <c r="C2414" s="4">
        <f>'Raw data'!E1990</f>
        <v>0</v>
      </c>
      <c r="D2414" s="29" t="e">
        <f>VLOOKUP(C2414,'점포코드 '!A:B,2,0)</f>
        <v>#N/A</v>
      </c>
      <c r="E2414" s="30">
        <f>'Raw data'!P1990</f>
        <v>0</v>
      </c>
      <c r="F2414" s="29" t="e">
        <f>VLOOKUP(E2414,'점포코드 '!A:B,2,0)</f>
        <v>#N/A</v>
      </c>
      <c r="G2414" s="46">
        <f>'Raw data'!F2323</f>
        <v>0</v>
      </c>
      <c r="H2414" s="4">
        <f>'Raw data'!G2323</f>
        <v>0</v>
      </c>
      <c r="I2414" s="29" t="e">
        <f>VLOOKUP(G2414,제품명!$C$1:$E$114,2,0)</f>
        <v>#N/A</v>
      </c>
      <c r="J2414" s="29">
        <f>'Raw data'!K2323</f>
        <v>0</v>
      </c>
      <c r="K2414" s="31">
        <f>'Raw data'!H2323</f>
        <v>0</v>
      </c>
      <c r="L2414" s="26">
        <f t="shared" si="78"/>
        <v>0</v>
      </c>
    </row>
    <row r="2415" spans="2:12">
      <c r="B2415" s="4" t="e">
        <f t="shared" si="77"/>
        <v>#N/A</v>
      </c>
      <c r="C2415" s="4">
        <f>'Raw data'!E1991</f>
        <v>0</v>
      </c>
      <c r="D2415" s="29" t="e">
        <f>VLOOKUP(C2415,'점포코드 '!A:B,2,0)</f>
        <v>#N/A</v>
      </c>
      <c r="E2415" s="30">
        <f>'Raw data'!P1991</f>
        <v>0</v>
      </c>
      <c r="F2415" s="29" t="e">
        <f>VLOOKUP(E2415,'점포코드 '!A:B,2,0)</f>
        <v>#N/A</v>
      </c>
      <c r="G2415" s="46">
        <f>'Raw data'!F2324</f>
        <v>0</v>
      </c>
      <c r="H2415" s="4">
        <f>'Raw data'!G2324</f>
        <v>0</v>
      </c>
      <c r="I2415" s="29" t="e">
        <f>VLOOKUP(G2415,제품명!$C$1:$E$114,2,0)</f>
        <v>#N/A</v>
      </c>
      <c r="J2415" s="29">
        <f>'Raw data'!K2324</f>
        <v>0</v>
      </c>
      <c r="K2415" s="31">
        <f>'Raw data'!H2324</f>
        <v>0</v>
      </c>
      <c r="L2415" s="26">
        <f t="shared" si="78"/>
        <v>0</v>
      </c>
    </row>
    <row r="2416" spans="2:12">
      <c r="B2416" s="4" t="e">
        <f t="shared" si="77"/>
        <v>#N/A</v>
      </c>
      <c r="C2416" s="4">
        <f>'Raw data'!E1992</f>
        <v>0</v>
      </c>
      <c r="D2416" s="29" t="e">
        <f>VLOOKUP(C2416,'점포코드 '!A:B,2,0)</f>
        <v>#N/A</v>
      </c>
      <c r="E2416" s="30">
        <f>'Raw data'!P1992</f>
        <v>0</v>
      </c>
      <c r="F2416" s="29" t="e">
        <f>VLOOKUP(E2416,'점포코드 '!A:B,2,0)</f>
        <v>#N/A</v>
      </c>
      <c r="G2416" s="46">
        <f>'Raw data'!F2325</f>
        <v>0</v>
      </c>
      <c r="H2416" s="4">
        <f>'Raw data'!G2325</f>
        <v>0</v>
      </c>
      <c r="I2416" s="29" t="e">
        <f>VLOOKUP(G2416,제품명!$C$1:$E$114,2,0)</f>
        <v>#N/A</v>
      </c>
      <c r="J2416" s="29">
        <f>'Raw data'!K2325</f>
        <v>0</v>
      </c>
      <c r="K2416" s="31">
        <f>'Raw data'!H2325</f>
        <v>0</v>
      </c>
      <c r="L2416" s="26">
        <f t="shared" si="78"/>
        <v>0</v>
      </c>
    </row>
    <row r="2417" spans="2:12">
      <c r="B2417" s="4" t="e">
        <f t="shared" si="77"/>
        <v>#N/A</v>
      </c>
      <c r="C2417" s="4">
        <f>'Raw data'!E1993</f>
        <v>0</v>
      </c>
      <c r="D2417" s="29" t="e">
        <f>VLOOKUP(C2417,'점포코드 '!A:B,2,0)</f>
        <v>#N/A</v>
      </c>
      <c r="E2417" s="30">
        <f>'Raw data'!P1993</f>
        <v>0</v>
      </c>
      <c r="F2417" s="29" t="e">
        <f>VLOOKUP(E2417,'점포코드 '!A:B,2,0)</f>
        <v>#N/A</v>
      </c>
      <c r="G2417" s="46">
        <f>'Raw data'!F2326</f>
        <v>0</v>
      </c>
      <c r="H2417" s="4">
        <f>'Raw data'!G2326</f>
        <v>0</v>
      </c>
      <c r="I2417" s="29" t="e">
        <f>VLOOKUP(G2417,제품명!$C$1:$E$114,2,0)</f>
        <v>#N/A</v>
      </c>
      <c r="J2417" s="29">
        <f>'Raw data'!K2326</f>
        <v>0</v>
      </c>
      <c r="K2417" s="31">
        <f>'Raw data'!H2326</f>
        <v>0</v>
      </c>
      <c r="L2417" s="26">
        <f t="shared" si="78"/>
        <v>0</v>
      </c>
    </row>
    <row r="2418" spans="2:12">
      <c r="B2418" s="4" t="e">
        <f t="shared" si="77"/>
        <v>#N/A</v>
      </c>
      <c r="C2418" s="4">
        <f>'Raw data'!E1994</f>
        <v>0</v>
      </c>
      <c r="D2418" s="29" t="e">
        <f>VLOOKUP(C2418,'점포코드 '!A:B,2,0)</f>
        <v>#N/A</v>
      </c>
      <c r="E2418" s="30">
        <f>'Raw data'!P1994</f>
        <v>0</v>
      </c>
      <c r="F2418" s="29" t="e">
        <f>VLOOKUP(E2418,'점포코드 '!A:B,2,0)</f>
        <v>#N/A</v>
      </c>
      <c r="G2418" s="46">
        <f>'Raw data'!F2327</f>
        <v>0</v>
      </c>
      <c r="H2418" s="4">
        <f>'Raw data'!G2327</f>
        <v>0</v>
      </c>
      <c r="I2418" s="29" t="e">
        <f>VLOOKUP(G2418,제품명!$C$1:$E$114,2,0)</f>
        <v>#N/A</v>
      </c>
      <c r="J2418" s="29">
        <f>'Raw data'!K2327</f>
        <v>0</v>
      </c>
      <c r="K2418" s="31">
        <f>'Raw data'!H2327</f>
        <v>0</v>
      </c>
      <c r="L2418" s="26">
        <f t="shared" si="78"/>
        <v>0</v>
      </c>
    </row>
    <row r="2419" spans="2:12">
      <c r="B2419" s="4" t="e">
        <f t="shared" si="77"/>
        <v>#N/A</v>
      </c>
      <c r="C2419" s="4">
        <f>'Raw data'!E1995</f>
        <v>0</v>
      </c>
      <c r="D2419" s="29" t="e">
        <f>VLOOKUP(C2419,'점포코드 '!A:B,2,0)</f>
        <v>#N/A</v>
      </c>
      <c r="E2419" s="30">
        <f>'Raw data'!P1995</f>
        <v>0</v>
      </c>
      <c r="F2419" s="29" t="e">
        <f>VLOOKUP(E2419,'점포코드 '!A:B,2,0)</f>
        <v>#N/A</v>
      </c>
      <c r="G2419" s="46">
        <f>'Raw data'!F2328</f>
        <v>0</v>
      </c>
      <c r="H2419" s="4">
        <f>'Raw data'!G2328</f>
        <v>0</v>
      </c>
      <c r="I2419" s="29" t="e">
        <f>VLOOKUP(G2419,제품명!$C$1:$E$114,2,0)</f>
        <v>#N/A</v>
      </c>
      <c r="J2419" s="29">
        <f>'Raw data'!K2328</f>
        <v>0</v>
      </c>
      <c r="K2419" s="31">
        <f>'Raw data'!H2328</f>
        <v>0</v>
      </c>
      <c r="L2419" s="26">
        <f t="shared" si="78"/>
        <v>0</v>
      </c>
    </row>
    <row r="2420" spans="2:12">
      <c r="B2420" s="4" t="e">
        <f t="shared" si="77"/>
        <v>#N/A</v>
      </c>
      <c r="C2420" s="4">
        <f>'Raw data'!E1996</f>
        <v>0</v>
      </c>
      <c r="D2420" s="29" t="e">
        <f>VLOOKUP(C2420,'점포코드 '!A:B,2,0)</f>
        <v>#N/A</v>
      </c>
      <c r="E2420" s="30">
        <f>'Raw data'!P1996</f>
        <v>0</v>
      </c>
      <c r="F2420" s="29" t="e">
        <f>VLOOKUP(E2420,'점포코드 '!A:B,2,0)</f>
        <v>#N/A</v>
      </c>
      <c r="G2420" s="46">
        <f>'Raw data'!F2329</f>
        <v>0</v>
      </c>
      <c r="H2420" s="4">
        <f>'Raw data'!G2329</f>
        <v>0</v>
      </c>
      <c r="I2420" s="29" t="e">
        <f>VLOOKUP(G2420,제품명!$C$1:$E$114,2,0)</f>
        <v>#N/A</v>
      </c>
      <c r="J2420" s="29">
        <f>'Raw data'!K2329</f>
        <v>0</v>
      </c>
      <c r="K2420" s="31">
        <f>'Raw data'!H2329</f>
        <v>0</v>
      </c>
      <c r="L2420" s="26">
        <f t="shared" si="78"/>
        <v>0</v>
      </c>
    </row>
    <row r="2421" spans="2:12">
      <c r="B2421" s="4" t="e">
        <f t="shared" si="77"/>
        <v>#N/A</v>
      </c>
      <c r="C2421" s="4">
        <f>'Raw data'!E1997</f>
        <v>0</v>
      </c>
      <c r="D2421" s="29" t="e">
        <f>VLOOKUP(C2421,'점포코드 '!A:B,2,0)</f>
        <v>#N/A</v>
      </c>
      <c r="E2421" s="30">
        <f>'Raw data'!P1997</f>
        <v>0</v>
      </c>
      <c r="F2421" s="29" t="e">
        <f>VLOOKUP(E2421,'점포코드 '!A:B,2,0)</f>
        <v>#N/A</v>
      </c>
      <c r="G2421" s="46">
        <f>'Raw data'!F2330</f>
        <v>0</v>
      </c>
      <c r="H2421" s="4">
        <f>'Raw data'!G2330</f>
        <v>0</v>
      </c>
      <c r="I2421" s="29" t="e">
        <f>VLOOKUP(G2421,제품명!$C$1:$E$114,2,0)</f>
        <v>#N/A</v>
      </c>
      <c r="J2421" s="29">
        <f>'Raw data'!K2330</f>
        <v>0</v>
      </c>
      <c r="K2421" s="31">
        <f>'Raw data'!H2330</f>
        <v>0</v>
      </c>
      <c r="L2421" s="26">
        <f t="shared" si="78"/>
        <v>0</v>
      </c>
    </row>
    <row r="2422" spans="2:12">
      <c r="B2422" s="4" t="e">
        <f t="shared" si="77"/>
        <v>#N/A</v>
      </c>
      <c r="C2422" s="4">
        <f>'Raw data'!E1998</f>
        <v>0</v>
      </c>
      <c r="D2422" s="29" t="e">
        <f>VLOOKUP(C2422,'점포코드 '!A:B,2,0)</f>
        <v>#N/A</v>
      </c>
      <c r="E2422" s="30">
        <f>'Raw data'!P1998</f>
        <v>0</v>
      </c>
      <c r="F2422" s="29" t="e">
        <f>VLOOKUP(E2422,'점포코드 '!A:B,2,0)</f>
        <v>#N/A</v>
      </c>
      <c r="G2422" s="46">
        <f>'Raw data'!F2331</f>
        <v>0</v>
      </c>
      <c r="H2422" s="4">
        <f>'Raw data'!G2331</f>
        <v>0</v>
      </c>
      <c r="I2422" s="29" t="e">
        <f>VLOOKUP(G2422,제품명!$C$1:$E$114,2,0)</f>
        <v>#N/A</v>
      </c>
      <c r="J2422" s="29">
        <f>'Raw data'!K2331</f>
        <v>0</v>
      </c>
      <c r="K2422" s="31">
        <f>'Raw data'!H2331</f>
        <v>0</v>
      </c>
      <c r="L2422" s="26">
        <f t="shared" si="78"/>
        <v>0</v>
      </c>
    </row>
    <row r="2423" spans="2:12">
      <c r="B2423" s="4" t="e">
        <f t="shared" si="77"/>
        <v>#N/A</v>
      </c>
      <c r="C2423" s="4">
        <f>'Raw data'!E1999</f>
        <v>0</v>
      </c>
      <c r="D2423" s="29" t="e">
        <f>VLOOKUP(C2423,'점포코드 '!A:B,2,0)</f>
        <v>#N/A</v>
      </c>
      <c r="E2423" s="30">
        <f>'Raw data'!P1999</f>
        <v>0</v>
      </c>
      <c r="F2423" s="29" t="e">
        <f>VLOOKUP(E2423,'점포코드 '!A:B,2,0)</f>
        <v>#N/A</v>
      </c>
      <c r="G2423" s="46">
        <f>'Raw data'!F2332</f>
        <v>0</v>
      </c>
      <c r="H2423" s="4">
        <f>'Raw data'!G2332</f>
        <v>0</v>
      </c>
      <c r="I2423" s="29" t="e">
        <f>VLOOKUP(G2423,제품명!$C$1:$E$114,2,0)</f>
        <v>#N/A</v>
      </c>
      <c r="J2423" s="29">
        <f>'Raw data'!K2332</f>
        <v>0</v>
      </c>
      <c r="K2423" s="31">
        <f>'Raw data'!H2332</f>
        <v>0</v>
      </c>
      <c r="L2423" s="26">
        <f t="shared" si="78"/>
        <v>0</v>
      </c>
    </row>
    <row r="2424" spans="2:12">
      <c r="B2424" s="4" t="e">
        <f t="shared" si="77"/>
        <v>#N/A</v>
      </c>
      <c r="C2424" s="4">
        <f>'Raw data'!E2000</f>
        <v>0</v>
      </c>
      <c r="D2424" s="29" t="e">
        <f>VLOOKUP(C2424,'점포코드 '!A:B,2,0)</f>
        <v>#N/A</v>
      </c>
      <c r="E2424" s="30">
        <f>'Raw data'!P2000</f>
        <v>0</v>
      </c>
      <c r="F2424" s="29" t="e">
        <f>VLOOKUP(E2424,'점포코드 '!A:B,2,0)</f>
        <v>#N/A</v>
      </c>
      <c r="G2424" s="46">
        <f>'Raw data'!F2333</f>
        <v>0</v>
      </c>
      <c r="H2424" s="4">
        <f>'Raw data'!G2333</f>
        <v>0</v>
      </c>
      <c r="I2424" s="29" t="e">
        <f>VLOOKUP(G2424,제품명!$C$1:$E$114,2,0)</f>
        <v>#N/A</v>
      </c>
      <c r="J2424" s="29">
        <f>'Raw data'!K2333</f>
        <v>0</v>
      </c>
      <c r="K2424" s="31">
        <f>'Raw data'!H2333</f>
        <v>0</v>
      </c>
      <c r="L2424" s="26">
        <f t="shared" si="78"/>
        <v>0</v>
      </c>
    </row>
    <row r="2425" spans="2:12">
      <c r="B2425" s="4" t="e">
        <f t="shared" si="77"/>
        <v>#N/A</v>
      </c>
      <c r="C2425" s="4">
        <f>'Raw data'!E2001</f>
        <v>0</v>
      </c>
      <c r="D2425" s="29" t="e">
        <f>VLOOKUP(C2425,'점포코드 '!A:B,2,0)</f>
        <v>#N/A</v>
      </c>
      <c r="E2425" s="30">
        <f>'Raw data'!P2001</f>
        <v>0</v>
      </c>
      <c r="F2425" s="29" t="e">
        <f>VLOOKUP(E2425,'점포코드 '!A:B,2,0)</f>
        <v>#N/A</v>
      </c>
      <c r="G2425" s="46">
        <f>'Raw data'!F2334</f>
        <v>0</v>
      </c>
      <c r="H2425" s="4">
        <f>'Raw data'!G2334</f>
        <v>0</v>
      </c>
      <c r="I2425" s="29" t="e">
        <f>VLOOKUP(G2425,제품명!$C$1:$E$114,2,0)</f>
        <v>#N/A</v>
      </c>
      <c r="J2425" s="29">
        <f>'Raw data'!K2334</f>
        <v>0</v>
      </c>
      <c r="K2425" s="31">
        <f>'Raw data'!H2334</f>
        <v>0</v>
      </c>
      <c r="L2425" s="26">
        <f t="shared" si="78"/>
        <v>0</v>
      </c>
    </row>
    <row r="2426" spans="2:12">
      <c r="B2426" s="4" t="e">
        <f t="shared" si="77"/>
        <v>#N/A</v>
      </c>
      <c r="C2426" s="4">
        <f>'Raw data'!E2002</f>
        <v>0</v>
      </c>
      <c r="D2426" s="29" t="e">
        <f>VLOOKUP(C2426,'점포코드 '!A:B,2,0)</f>
        <v>#N/A</v>
      </c>
      <c r="E2426" s="30">
        <f>'Raw data'!P2002</f>
        <v>0</v>
      </c>
      <c r="F2426" s="29" t="e">
        <f>VLOOKUP(E2426,'점포코드 '!A:B,2,0)</f>
        <v>#N/A</v>
      </c>
      <c r="G2426" s="46">
        <f>'Raw data'!F2335</f>
        <v>0</v>
      </c>
      <c r="H2426" s="4">
        <f>'Raw data'!G2335</f>
        <v>0</v>
      </c>
      <c r="I2426" s="29" t="e">
        <f>VLOOKUP(G2426,제품명!$C$1:$E$114,2,0)</f>
        <v>#N/A</v>
      </c>
      <c r="J2426" s="29">
        <f>'Raw data'!K2335</f>
        <v>0</v>
      </c>
      <c r="K2426" s="31">
        <f>'Raw data'!H2335</f>
        <v>0</v>
      </c>
      <c r="L2426" s="26">
        <f t="shared" si="78"/>
        <v>0</v>
      </c>
    </row>
    <row r="2427" spans="2:12">
      <c r="B2427" s="4" t="e">
        <f t="shared" si="77"/>
        <v>#N/A</v>
      </c>
      <c r="C2427" s="4">
        <f>'Raw data'!E2003</f>
        <v>0</v>
      </c>
      <c r="D2427" s="29" t="e">
        <f>VLOOKUP(C2427,'점포코드 '!A:B,2,0)</f>
        <v>#N/A</v>
      </c>
      <c r="E2427" s="30">
        <f>'Raw data'!P2003</f>
        <v>0</v>
      </c>
      <c r="F2427" s="29" t="e">
        <f>VLOOKUP(E2427,'점포코드 '!A:B,2,0)</f>
        <v>#N/A</v>
      </c>
      <c r="G2427" s="46">
        <f>'Raw data'!F2336</f>
        <v>0</v>
      </c>
      <c r="H2427" s="4">
        <f>'Raw data'!G2336</f>
        <v>0</v>
      </c>
      <c r="I2427" s="29" t="e">
        <f>VLOOKUP(G2427,제품명!$C$1:$E$114,2,0)</f>
        <v>#N/A</v>
      </c>
      <c r="J2427" s="29">
        <f>'Raw data'!K2336</f>
        <v>0</v>
      </c>
      <c r="K2427" s="31">
        <f>'Raw data'!H2336</f>
        <v>0</v>
      </c>
      <c r="L2427" s="26">
        <f t="shared" si="78"/>
        <v>0</v>
      </c>
    </row>
    <row r="2428" spans="2:12">
      <c r="B2428" s="4" t="e">
        <f t="shared" si="77"/>
        <v>#N/A</v>
      </c>
      <c r="C2428" s="4">
        <f>'Raw data'!E2004</f>
        <v>0</v>
      </c>
      <c r="D2428" s="29" t="e">
        <f>VLOOKUP(C2428,'점포코드 '!A:B,2,0)</f>
        <v>#N/A</v>
      </c>
      <c r="E2428" s="30">
        <f>'Raw data'!P2004</f>
        <v>0</v>
      </c>
      <c r="F2428" s="29" t="e">
        <f>VLOOKUP(E2428,'점포코드 '!A:B,2,0)</f>
        <v>#N/A</v>
      </c>
      <c r="G2428" s="46">
        <f>'Raw data'!F2337</f>
        <v>0</v>
      </c>
      <c r="H2428" s="4">
        <f>'Raw data'!G2337</f>
        <v>0</v>
      </c>
      <c r="I2428" s="29" t="e">
        <f>VLOOKUP(G2428,제품명!$C$1:$E$114,2,0)</f>
        <v>#N/A</v>
      </c>
      <c r="J2428" s="29">
        <f>'Raw data'!K2337</f>
        <v>0</v>
      </c>
      <c r="K2428" s="31">
        <f>'Raw data'!H2337</f>
        <v>0</v>
      </c>
      <c r="L2428" s="26">
        <f t="shared" si="78"/>
        <v>0</v>
      </c>
    </row>
    <row r="2429" spans="2:12">
      <c r="B2429" s="4" t="e">
        <f t="shared" si="77"/>
        <v>#N/A</v>
      </c>
      <c r="C2429" s="4">
        <f>'Raw data'!E2005</f>
        <v>0</v>
      </c>
      <c r="D2429" s="29" t="e">
        <f>VLOOKUP(C2429,'점포코드 '!A:B,2,0)</f>
        <v>#N/A</v>
      </c>
      <c r="E2429" s="30">
        <f>'Raw data'!P2005</f>
        <v>0</v>
      </c>
      <c r="F2429" s="29" t="e">
        <f>VLOOKUP(E2429,'점포코드 '!A:B,2,0)</f>
        <v>#N/A</v>
      </c>
      <c r="G2429" s="46">
        <f>'Raw data'!F2338</f>
        <v>0</v>
      </c>
      <c r="H2429" s="4">
        <f>'Raw data'!G2338</f>
        <v>0</v>
      </c>
      <c r="I2429" s="29" t="e">
        <f>VLOOKUP(G2429,제품명!$C$1:$E$114,2,0)</f>
        <v>#N/A</v>
      </c>
      <c r="J2429" s="29">
        <f>'Raw data'!K2338</f>
        <v>0</v>
      </c>
      <c r="K2429" s="31">
        <f>'Raw data'!H2338</f>
        <v>0</v>
      </c>
      <c r="L2429" s="26">
        <f t="shared" si="78"/>
        <v>0</v>
      </c>
    </row>
    <row r="2430" spans="2:12">
      <c r="B2430" s="4" t="e">
        <f t="shared" si="77"/>
        <v>#N/A</v>
      </c>
      <c r="C2430" s="4">
        <f>'Raw data'!E2006</f>
        <v>0</v>
      </c>
      <c r="D2430" s="29" t="e">
        <f>VLOOKUP(C2430,'점포코드 '!A:B,2,0)</f>
        <v>#N/A</v>
      </c>
      <c r="E2430" s="30">
        <f>'Raw data'!P2006</f>
        <v>0</v>
      </c>
      <c r="F2430" s="29" t="e">
        <f>VLOOKUP(E2430,'점포코드 '!A:B,2,0)</f>
        <v>#N/A</v>
      </c>
      <c r="G2430" s="46">
        <f>'Raw data'!F2339</f>
        <v>0</v>
      </c>
      <c r="H2430" s="4">
        <f>'Raw data'!G2339</f>
        <v>0</v>
      </c>
      <c r="I2430" s="29" t="e">
        <f>VLOOKUP(G2430,제품명!$C$1:$E$114,2,0)</f>
        <v>#N/A</v>
      </c>
      <c r="J2430" s="29">
        <f>'Raw data'!K2339</f>
        <v>0</v>
      </c>
      <c r="K2430" s="31">
        <f>'Raw data'!H2339</f>
        <v>0</v>
      </c>
      <c r="L2430" s="26">
        <f t="shared" si="78"/>
        <v>0</v>
      </c>
    </row>
    <row r="2431" spans="2:12">
      <c r="B2431" s="4" t="e">
        <f t="shared" si="77"/>
        <v>#N/A</v>
      </c>
      <c r="C2431" s="4">
        <f>'Raw data'!E2007</f>
        <v>0</v>
      </c>
      <c r="D2431" s="29" t="e">
        <f>VLOOKUP(C2431,'점포코드 '!A:B,2,0)</f>
        <v>#N/A</v>
      </c>
      <c r="E2431" s="30">
        <f>'Raw data'!P2007</f>
        <v>0</v>
      </c>
      <c r="F2431" s="29" t="e">
        <f>VLOOKUP(E2431,'점포코드 '!A:B,2,0)</f>
        <v>#N/A</v>
      </c>
      <c r="G2431" s="46">
        <f>'Raw data'!F2340</f>
        <v>0</v>
      </c>
      <c r="H2431" s="4">
        <f>'Raw data'!G2340</f>
        <v>0</v>
      </c>
      <c r="I2431" s="29" t="e">
        <f>VLOOKUP(G2431,제품명!$C$1:$E$114,2,0)</f>
        <v>#N/A</v>
      </c>
      <c r="J2431" s="29">
        <f>'Raw data'!K2340</f>
        <v>0</v>
      </c>
      <c r="K2431" s="31">
        <f>'Raw data'!H2340</f>
        <v>0</v>
      </c>
      <c r="L2431" s="26">
        <f t="shared" si="78"/>
        <v>0</v>
      </c>
    </row>
    <row r="2432" spans="2:12">
      <c r="B2432" s="4" t="e">
        <f t="shared" si="77"/>
        <v>#N/A</v>
      </c>
      <c r="C2432" s="4">
        <f>'Raw data'!E2008</f>
        <v>0</v>
      </c>
      <c r="D2432" s="29" t="e">
        <f>VLOOKUP(C2432,'점포코드 '!A:B,2,0)</f>
        <v>#N/A</v>
      </c>
      <c r="E2432" s="30">
        <f>'Raw data'!P2008</f>
        <v>0</v>
      </c>
      <c r="F2432" s="29" t="e">
        <f>VLOOKUP(E2432,'점포코드 '!A:B,2,0)</f>
        <v>#N/A</v>
      </c>
      <c r="G2432" s="46">
        <f>'Raw data'!F2341</f>
        <v>0</v>
      </c>
      <c r="H2432" s="4">
        <f>'Raw data'!G2341</f>
        <v>0</v>
      </c>
      <c r="I2432" s="29" t="e">
        <f>VLOOKUP(G2432,제품명!$C$1:$E$114,2,0)</f>
        <v>#N/A</v>
      </c>
      <c r="J2432" s="29">
        <f>'Raw data'!K2341</f>
        <v>0</v>
      </c>
      <c r="K2432" s="31">
        <f>'Raw data'!H2341</f>
        <v>0</v>
      </c>
      <c r="L2432" s="26">
        <f t="shared" si="78"/>
        <v>0</v>
      </c>
    </row>
    <row r="2433" spans="2:12">
      <c r="B2433" s="4" t="e">
        <f t="shared" si="77"/>
        <v>#N/A</v>
      </c>
      <c r="C2433" s="4">
        <f>'Raw data'!E2009</f>
        <v>0</v>
      </c>
      <c r="D2433" s="29" t="e">
        <f>VLOOKUP(C2433,'점포코드 '!A:B,2,0)</f>
        <v>#N/A</v>
      </c>
      <c r="E2433" s="30">
        <f>'Raw data'!P2009</f>
        <v>0</v>
      </c>
      <c r="F2433" s="29" t="e">
        <f>VLOOKUP(E2433,'점포코드 '!A:B,2,0)</f>
        <v>#N/A</v>
      </c>
      <c r="G2433" s="46">
        <f>'Raw data'!F2342</f>
        <v>0</v>
      </c>
      <c r="H2433" s="4">
        <f>'Raw data'!G2342</f>
        <v>0</v>
      </c>
      <c r="I2433" s="29" t="e">
        <f>VLOOKUP(G2433,제품명!$C$1:$E$114,2,0)</f>
        <v>#N/A</v>
      </c>
      <c r="J2433" s="29">
        <f>'Raw data'!K2342</f>
        <v>0</v>
      </c>
      <c r="K2433" s="31">
        <f>'Raw data'!H2342</f>
        <v>0</v>
      </c>
      <c r="L2433" s="26">
        <f t="shared" si="78"/>
        <v>0</v>
      </c>
    </row>
    <row r="2434" spans="2:12">
      <c r="B2434" s="4" t="e">
        <f t="shared" ref="B2434:B2497" si="79">F2434&amp;I2434</f>
        <v>#N/A</v>
      </c>
      <c r="C2434" s="4">
        <f>'Raw data'!E2010</f>
        <v>0</v>
      </c>
      <c r="D2434" s="29" t="e">
        <f>VLOOKUP(C2434,'점포코드 '!A:B,2,0)</f>
        <v>#N/A</v>
      </c>
      <c r="E2434" s="30">
        <f>'Raw data'!P2010</f>
        <v>0</v>
      </c>
      <c r="F2434" s="29" t="e">
        <f>VLOOKUP(E2434,'점포코드 '!A:B,2,0)</f>
        <v>#N/A</v>
      </c>
      <c r="G2434" s="46">
        <f>'Raw data'!F2343</f>
        <v>0</v>
      </c>
      <c r="H2434" s="4">
        <f>'Raw data'!G2343</f>
        <v>0</v>
      </c>
      <c r="I2434" s="29" t="e">
        <f>VLOOKUP(G2434,제품명!$C$1:$E$114,2,0)</f>
        <v>#N/A</v>
      </c>
      <c r="J2434" s="29">
        <f>'Raw data'!K2343</f>
        <v>0</v>
      </c>
      <c r="K2434" s="31">
        <f>'Raw data'!H2343</f>
        <v>0</v>
      </c>
      <c r="L2434" s="26">
        <f t="shared" si="78"/>
        <v>0</v>
      </c>
    </row>
    <row r="2435" spans="2:12">
      <c r="B2435" s="4" t="e">
        <f t="shared" si="79"/>
        <v>#N/A</v>
      </c>
      <c r="C2435" s="4">
        <f>'Raw data'!E2011</f>
        <v>0</v>
      </c>
      <c r="D2435" s="29" t="e">
        <f>VLOOKUP(C2435,'점포코드 '!A:B,2,0)</f>
        <v>#N/A</v>
      </c>
      <c r="E2435" s="30">
        <f>'Raw data'!P2011</f>
        <v>0</v>
      </c>
      <c r="F2435" s="29" t="e">
        <f>VLOOKUP(E2435,'점포코드 '!A:B,2,0)</f>
        <v>#N/A</v>
      </c>
      <c r="G2435" s="46">
        <f>'Raw data'!F2344</f>
        <v>0</v>
      </c>
      <c r="H2435" s="4">
        <f>'Raw data'!G2344</f>
        <v>0</v>
      </c>
      <c r="I2435" s="29" t="e">
        <f>VLOOKUP(G2435,제품명!$C$1:$E$114,2,0)</f>
        <v>#N/A</v>
      </c>
      <c r="J2435" s="29">
        <f>'Raw data'!K2344</f>
        <v>0</v>
      </c>
      <c r="K2435" s="31">
        <f>'Raw data'!H2344</f>
        <v>0</v>
      </c>
      <c r="L2435" s="26">
        <f t="shared" ref="L2435:L2498" si="80">J2435*K2435</f>
        <v>0</v>
      </c>
    </row>
    <row r="2436" spans="2:12">
      <c r="B2436" s="4" t="e">
        <f t="shared" si="79"/>
        <v>#N/A</v>
      </c>
      <c r="C2436" s="4">
        <f>'Raw data'!E2012</f>
        <v>0</v>
      </c>
      <c r="D2436" s="29" t="e">
        <f>VLOOKUP(C2436,'점포코드 '!A:B,2,0)</f>
        <v>#N/A</v>
      </c>
      <c r="E2436" s="30">
        <f>'Raw data'!P2012</f>
        <v>0</v>
      </c>
      <c r="F2436" s="29" t="e">
        <f>VLOOKUP(E2436,'점포코드 '!A:B,2,0)</f>
        <v>#N/A</v>
      </c>
      <c r="G2436" s="46">
        <f>'Raw data'!F2345</f>
        <v>0</v>
      </c>
      <c r="H2436" s="4">
        <f>'Raw data'!G2345</f>
        <v>0</v>
      </c>
      <c r="I2436" s="29" t="e">
        <f>VLOOKUP(G2436,제품명!$C$1:$E$114,2,0)</f>
        <v>#N/A</v>
      </c>
      <c r="J2436" s="29">
        <f>'Raw data'!K2345</f>
        <v>0</v>
      </c>
      <c r="K2436" s="31">
        <f>'Raw data'!H2345</f>
        <v>0</v>
      </c>
      <c r="L2436" s="26">
        <f t="shared" si="80"/>
        <v>0</v>
      </c>
    </row>
    <row r="2437" spans="2:12">
      <c r="B2437" s="4" t="e">
        <f t="shared" si="79"/>
        <v>#N/A</v>
      </c>
      <c r="C2437" s="4">
        <f>'Raw data'!E2013</f>
        <v>0</v>
      </c>
      <c r="D2437" s="29" t="e">
        <f>VLOOKUP(C2437,'점포코드 '!A:B,2,0)</f>
        <v>#N/A</v>
      </c>
      <c r="E2437" s="30">
        <f>'Raw data'!P2013</f>
        <v>0</v>
      </c>
      <c r="F2437" s="29" t="e">
        <f>VLOOKUP(E2437,'점포코드 '!A:B,2,0)</f>
        <v>#N/A</v>
      </c>
      <c r="G2437" s="46">
        <f>'Raw data'!F2346</f>
        <v>0</v>
      </c>
      <c r="H2437" s="4">
        <f>'Raw data'!G2346</f>
        <v>0</v>
      </c>
      <c r="I2437" s="29" t="e">
        <f>VLOOKUP(G2437,제품명!$C$1:$E$114,2,0)</f>
        <v>#N/A</v>
      </c>
      <c r="J2437" s="29">
        <f>'Raw data'!K2346</f>
        <v>0</v>
      </c>
      <c r="K2437" s="31">
        <f>'Raw data'!H2346</f>
        <v>0</v>
      </c>
      <c r="L2437" s="26">
        <f t="shared" si="80"/>
        <v>0</v>
      </c>
    </row>
    <row r="2438" spans="2:12">
      <c r="B2438" s="4" t="e">
        <f t="shared" si="79"/>
        <v>#N/A</v>
      </c>
      <c r="C2438" s="4">
        <f>'Raw data'!E2014</f>
        <v>0</v>
      </c>
      <c r="D2438" s="29" t="e">
        <f>VLOOKUP(C2438,'점포코드 '!A:B,2,0)</f>
        <v>#N/A</v>
      </c>
      <c r="E2438" s="30">
        <f>'Raw data'!P2014</f>
        <v>0</v>
      </c>
      <c r="F2438" s="29" t="e">
        <f>VLOOKUP(E2438,'점포코드 '!A:B,2,0)</f>
        <v>#N/A</v>
      </c>
      <c r="G2438" s="46">
        <f>'Raw data'!F2347</f>
        <v>0</v>
      </c>
      <c r="H2438" s="4">
        <f>'Raw data'!G2347</f>
        <v>0</v>
      </c>
      <c r="I2438" s="29" t="e">
        <f>VLOOKUP(G2438,제품명!$C$1:$E$114,2,0)</f>
        <v>#N/A</v>
      </c>
      <c r="J2438" s="29">
        <f>'Raw data'!K2347</f>
        <v>0</v>
      </c>
      <c r="K2438" s="31">
        <f>'Raw data'!H2347</f>
        <v>0</v>
      </c>
      <c r="L2438" s="26">
        <f t="shared" si="80"/>
        <v>0</v>
      </c>
    </row>
    <row r="2439" spans="2:12">
      <c r="B2439" s="4" t="e">
        <f t="shared" si="79"/>
        <v>#N/A</v>
      </c>
      <c r="C2439" s="4">
        <f>'Raw data'!E2015</f>
        <v>0</v>
      </c>
      <c r="D2439" s="29" t="e">
        <f>VLOOKUP(C2439,'점포코드 '!A:B,2,0)</f>
        <v>#N/A</v>
      </c>
      <c r="E2439" s="30">
        <f>'Raw data'!P2015</f>
        <v>0</v>
      </c>
      <c r="F2439" s="29" t="e">
        <f>VLOOKUP(E2439,'점포코드 '!A:B,2,0)</f>
        <v>#N/A</v>
      </c>
      <c r="G2439" s="46">
        <f>'Raw data'!F2348</f>
        <v>0</v>
      </c>
      <c r="H2439" s="4">
        <f>'Raw data'!G2348</f>
        <v>0</v>
      </c>
      <c r="I2439" s="29" t="e">
        <f>VLOOKUP(G2439,제품명!$C$1:$E$114,2,0)</f>
        <v>#N/A</v>
      </c>
      <c r="J2439" s="29">
        <f>'Raw data'!K2348</f>
        <v>0</v>
      </c>
      <c r="K2439" s="31">
        <f>'Raw data'!H2348</f>
        <v>0</v>
      </c>
      <c r="L2439" s="26">
        <f t="shared" si="80"/>
        <v>0</v>
      </c>
    </row>
    <row r="2440" spans="2:12">
      <c r="B2440" s="4" t="e">
        <f t="shared" si="79"/>
        <v>#N/A</v>
      </c>
      <c r="C2440" s="4">
        <f>'Raw data'!E2016</f>
        <v>0</v>
      </c>
      <c r="D2440" s="29" t="e">
        <f>VLOOKUP(C2440,'점포코드 '!A:B,2,0)</f>
        <v>#N/A</v>
      </c>
      <c r="E2440" s="30">
        <f>'Raw data'!P2016</f>
        <v>0</v>
      </c>
      <c r="F2440" s="29" t="e">
        <f>VLOOKUP(E2440,'점포코드 '!A:B,2,0)</f>
        <v>#N/A</v>
      </c>
      <c r="G2440" s="46">
        <f>'Raw data'!F2349</f>
        <v>0</v>
      </c>
      <c r="H2440" s="4">
        <f>'Raw data'!G2349</f>
        <v>0</v>
      </c>
      <c r="I2440" s="29" t="e">
        <f>VLOOKUP(G2440,제품명!$C$1:$E$114,2,0)</f>
        <v>#N/A</v>
      </c>
      <c r="J2440" s="29">
        <f>'Raw data'!K2349</f>
        <v>0</v>
      </c>
      <c r="K2440" s="31">
        <f>'Raw data'!H2349</f>
        <v>0</v>
      </c>
      <c r="L2440" s="26">
        <f t="shared" si="80"/>
        <v>0</v>
      </c>
    </row>
    <row r="2441" spans="2:12">
      <c r="B2441" s="4" t="e">
        <f t="shared" si="79"/>
        <v>#N/A</v>
      </c>
      <c r="C2441" s="4">
        <f>'Raw data'!E2017</f>
        <v>0</v>
      </c>
      <c r="D2441" s="29" t="e">
        <f>VLOOKUP(C2441,'점포코드 '!A:B,2,0)</f>
        <v>#N/A</v>
      </c>
      <c r="E2441" s="30">
        <f>'Raw data'!P2017</f>
        <v>0</v>
      </c>
      <c r="F2441" s="29" t="e">
        <f>VLOOKUP(E2441,'점포코드 '!A:B,2,0)</f>
        <v>#N/A</v>
      </c>
      <c r="G2441" s="46">
        <f>'Raw data'!F2350</f>
        <v>0</v>
      </c>
      <c r="H2441" s="4">
        <f>'Raw data'!G2350</f>
        <v>0</v>
      </c>
      <c r="I2441" s="29" t="e">
        <f>VLOOKUP(G2441,제품명!$C$1:$E$114,2,0)</f>
        <v>#N/A</v>
      </c>
      <c r="J2441" s="29">
        <f>'Raw data'!K2350</f>
        <v>0</v>
      </c>
      <c r="K2441" s="31">
        <f>'Raw data'!H2350</f>
        <v>0</v>
      </c>
      <c r="L2441" s="26">
        <f t="shared" si="80"/>
        <v>0</v>
      </c>
    </row>
    <row r="2442" spans="2:12">
      <c r="B2442" s="4" t="e">
        <f t="shared" si="79"/>
        <v>#N/A</v>
      </c>
      <c r="C2442" s="4">
        <f>'Raw data'!E2018</f>
        <v>0</v>
      </c>
      <c r="D2442" s="29" t="e">
        <f>VLOOKUP(C2442,'점포코드 '!A:B,2,0)</f>
        <v>#N/A</v>
      </c>
      <c r="E2442" s="30">
        <f>'Raw data'!P2018</f>
        <v>0</v>
      </c>
      <c r="F2442" s="29" t="e">
        <f>VLOOKUP(E2442,'점포코드 '!A:B,2,0)</f>
        <v>#N/A</v>
      </c>
      <c r="G2442" s="46">
        <f>'Raw data'!F2351</f>
        <v>0</v>
      </c>
      <c r="H2442" s="4">
        <f>'Raw data'!G2351</f>
        <v>0</v>
      </c>
      <c r="I2442" s="29" t="e">
        <f>VLOOKUP(G2442,제품명!$C$1:$E$114,2,0)</f>
        <v>#N/A</v>
      </c>
      <c r="J2442" s="29">
        <f>'Raw data'!K2351</f>
        <v>0</v>
      </c>
      <c r="K2442" s="31">
        <f>'Raw data'!H2351</f>
        <v>0</v>
      </c>
      <c r="L2442" s="26">
        <f t="shared" si="80"/>
        <v>0</v>
      </c>
    </row>
    <row r="2443" spans="2:12">
      <c r="B2443" s="4" t="e">
        <f t="shared" si="79"/>
        <v>#N/A</v>
      </c>
      <c r="C2443" s="4">
        <f>'Raw data'!E2019</f>
        <v>0</v>
      </c>
      <c r="D2443" s="29" t="e">
        <f>VLOOKUP(C2443,'점포코드 '!A:B,2,0)</f>
        <v>#N/A</v>
      </c>
      <c r="E2443" s="30">
        <f>'Raw data'!P2019</f>
        <v>0</v>
      </c>
      <c r="F2443" s="29" t="e">
        <f>VLOOKUP(E2443,'점포코드 '!A:B,2,0)</f>
        <v>#N/A</v>
      </c>
      <c r="G2443" s="46">
        <f>'Raw data'!F2352</f>
        <v>0</v>
      </c>
      <c r="H2443" s="4">
        <f>'Raw data'!G2352</f>
        <v>0</v>
      </c>
      <c r="I2443" s="29" t="e">
        <f>VLOOKUP(G2443,제품명!$C$1:$E$114,2,0)</f>
        <v>#N/A</v>
      </c>
      <c r="J2443" s="29">
        <f>'Raw data'!K2352</f>
        <v>0</v>
      </c>
      <c r="K2443" s="31">
        <f>'Raw data'!H2352</f>
        <v>0</v>
      </c>
      <c r="L2443" s="26">
        <f t="shared" si="80"/>
        <v>0</v>
      </c>
    </row>
    <row r="2444" spans="2:12">
      <c r="B2444" s="4" t="e">
        <f t="shared" si="79"/>
        <v>#N/A</v>
      </c>
      <c r="C2444" s="4">
        <f>'Raw data'!E2020</f>
        <v>0</v>
      </c>
      <c r="D2444" s="29" t="e">
        <f>VLOOKUP(C2444,'점포코드 '!A:B,2,0)</f>
        <v>#N/A</v>
      </c>
      <c r="E2444" s="30">
        <f>'Raw data'!P2020</f>
        <v>0</v>
      </c>
      <c r="F2444" s="29" t="e">
        <f>VLOOKUP(E2444,'점포코드 '!A:B,2,0)</f>
        <v>#N/A</v>
      </c>
      <c r="G2444" s="46">
        <f>'Raw data'!F2353</f>
        <v>0</v>
      </c>
      <c r="H2444" s="4">
        <f>'Raw data'!G2353</f>
        <v>0</v>
      </c>
      <c r="I2444" s="29" t="e">
        <f>VLOOKUP(G2444,제품명!$C$1:$E$114,2,0)</f>
        <v>#N/A</v>
      </c>
      <c r="J2444" s="29">
        <f>'Raw data'!K2353</f>
        <v>0</v>
      </c>
      <c r="K2444" s="31">
        <f>'Raw data'!H2353</f>
        <v>0</v>
      </c>
      <c r="L2444" s="26">
        <f t="shared" si="80"/>
        <v>0</v>
      </c>
    </row>
    <row r="2445" spans="2:12">
      <c r="B2445" s="4" t="e">
        <f t="shared" si="79"/>
        <v>#N/A</v>
      </c>
      <c r="C2445" s="4">
        <f>'Raw data'!E2021</f>
        <v>0</v>
      </c>
      <c r="D2445" s="29" t="e">
        <f>VLOOKUP(C2445,'점포코드 '!A:B,2,0)</f>
        <v>#N/A</v>
      </c>
      <c r="E2445" s="30">
        <f>'Raw data'!P2021</f>
        <v>0</v>
      </c>
      <c r="F2445" s="29" t="e">
        <f>VLOOKUP(E2445,'점포코드 '!A:B,2,0)</f>
        <v>#N/A</v>
      </c>
      <c r="G2445" s="46">
        <f>'Raw data'!F2354</f>
        <v>0</v>
      </c>
      <c r="H2445" s="4">
        <f>'Raw data'!G2354</f>
        <v>0</v>
      </c>
      <c r="I2445" s="29" t="e">
        <f>VLOOKUP(G2445,제품명!$C$1:$E$114,2,0)</f>
        <v>#N/A</v>
      </c>
      <c r="J2445" s="29">
        <f>'Raw data'!K2354</f>
        <v>0</v>
      </c>
      <c r="K2445" s="31">
        <f>'Raw data'!H2354</f>
        <v>0</v>
      </c>
      <c r="L2445" s="26">
        <f t="shared" si="80"/>
        <v>0</v>
      </c>
    </row>
    <row r="2446" spans="2:12">
      <c r="B2446" s="4" t="e">
        <f t="shared" si="79"/>
        <v>#N/A</v>
      </c>
      <c r="C2446" s="4">
        <f>'Raw data'!E2022</f>
        <v>0</v>
      </c>
      <c r="D2446" s="29" t="e">
        <f>VLOOKUP(C2446,'점포코드 '!A:B,2,0)</f>
        <v>#N/A</v>
      </c>
      <c r="E2446" s="30">
        <f>'Raw data'!P2022</f>
        <v>0</v>
      </c>
      <c r="F2446" s="29" t="e">
        <f>VLOOKUP(E2446,'점포코드 '!A:B,2,0)</f>
        <v>#N/A</v>
      </c>
      <c r="G2446" s="46">
        <f>'Raw data'!F2355</f>
        <v>0</v>
      </c>
      <c r="H2446" s="4">
        <f>'Raw data'!G2355</f>
        <v>0</v>
      </c>
      <c r="I2446" s="29" t="e">
        <f>VLOOKUP(G2446,제품명!$C$1:$E$114,2,0)</f>
        <v>#N/A</v>
      </c>
      <c r="J2446" s="29">
        <f>'Raw data'!K2355</f>
        <v>0</v>
      </c>
      <c r="K2446" s="31">
        <f>'Raw data'!H2355</f>
        <v>0</v>
      </c>
      <c r="L2446" s="26">
        <f t="shared" si="80"/>
        <v>0</v>
      </c>
    </row>
    <row r="2447" spans="2:12">
      <c r="B2447" s="4" t="e">
        <f t="shared" si="79"/>
        <v>#N/A</v>
      </c>
      <c r="C2447" s="4">
        <f>'Raw data'!E2023</f>
        <v>0</v>
      </c>
      <c r="D2447" s="29" t="e">
        <f>VLOOKUP(C2447,'점포코드 '!A:B,2,0)</f>
        <v>#N/A</v>
      </c>
      <c r="E2447" s="30">
        <f>'Raw data'!P2023</f>
        <v>0</v>
      </c>
      <c r="F2447" s="29" t="e">
        <f>VLOOKUP(E2447,'점포코드 '!A:B,2,0)</f>
        <v>#N/A</v>
      </c>
      <c r="G2447" s="46">
        <f>'Raw data'!F2356</f>
        <v>0</v>
      </c>
      <c r="H2447" s="4">
        <f>'Raw data'!G2356</f>
        <v>0</v>
      </c>
      <c r="I2447" s="29" t="e">
        <f>VLOOKUP(G2447,제품명!$C$1:$E$114,2,0)</f>
        <v>#N/A</v>
      </c>
      <c r="J2447" s="29">
        <f>'Raw data'!K2356</f>
        <v>0</v>
      </c>
      <c r="K2447" s="31">
        <f>'Raw data'!H2356</f>
        <v>0</v>
      </c>
      <c r="L2447" s="26">
        <f t="shared" si="80"/>
        <v>0</v>
      </c>
    </row>
    <row r="2448" spans="2:12">
      <c r="B2448" s="4" t="e">
        <f t="shared" si="79"/>
        <v>#N/A</v>
      </c>
      <c r="C2448" s="4">
        <f>'Raw data'!E2024</f>
        <v>0</v>
      </c>
      <c r="D2448" s="29" t="e">
        <f>VLOOKUP(C2448,'점포코드 '!A:B,2,0)</f>
        <v>#N/A</v>
      </c>
      <c r="E2448" s="30">
        <f>'Raw data'!P2024</f>
        <v>0</v>
      </c>
      <c r="F2448" s="29" t="e">
        <f>VLOOKUP(E2448,'점포코드 '!A:B,2,0)</f>
        <v>#N/A</v>
      </c>
      <c r="G2448" s="46">
        <f>'Raw data'!F2357</f>
        <v>0</v>
      </c>
      <c r="H2448" s="4">
        <f>'Raw data'!G2357</f>
        <v>0</v>
      </c>
      <c r="I2448" s="29" t="e">
        <f>VLOOKUP(G2448,제품명!$C$1:$E$114,2,0)</f>
        <v>#N/A</v>
      </c>
      <c r="J2448" s="29">
        <f>'Raw data'!K2357</f>
        <v>0</v>
      </c>
      <c r="K2448" s="31">
        <f>'Raw data'!H2357</f>
        <v>0</v>
      </c>
      <c r="L2448" s="26">
        <f t="shared" si="80"/>
        <v>0</v>
      </c>
    </row>
    <row r="2449" spans="2:12">
      <c r="B2449" s="4" t="e">
        <f t="shared" si="79"/>
        <v>#N/A</v>
      </c>
      <c r="C2449" s="4">
        <f>'Raw data'!E2025</f>
        <v>0</v>
      </c>
      <c r="D2449" s="29" t="e">
        <f>VLOOKUP(C2449,'점포코드 '!A:B,2,0)</f>
        <v>#N/A</v>
      </c>
      <c r="E2449" s="30">
        <f>'Raw data'!P2025</f>
        <v>0</v>
      </c>
      <c r="F2449" s="29" t="e">
        <f>VLOOKUP(E2449,'점포코드 '!A:B,2,0)</f>
        <v>#N/A</v>
      </c>
      <c r="G2449" s="46">
        <f>'Raw data'!F2358</f>
        <v>0</v>
      </c>
      <c r="H2449" s="4">
        <f>'Raw data'!G2358</f>
        <v>0</v>
      </c>
      <c r="I2449" s="29" t="e">
        <f>VLOOKUP(G2449,제품명!$C$1:$E$114,2,0)</f>
        <v>#N/A</v>
      </c>
      <c r="J2449" s="29">
        <f>'Raw data'!K2358</f>
        <v>0</v>
      </c>
      <c r="K2449" s="31">
        <f>'Raw data'!H2358</f>
        <v>0</v>
      </c>
      <c r="L2449" s="26">
        <f t="shared" si="80"/>
        <v>0</v>
      </c>
    </row>
    <row r="2450" spans="2:12">
      <c r="B2450" s="4" t="e">
        <f t="shared" si="79"/>
        <v>#N/A</v>
      </c>
      <c r="C2450" s="4">
        <f>'Raw data'!E2026</f>
        <v>0</v>
      </c>
      <c r="D2450" s="29" t="e">
        <f>VLOOKUP(C2450,'점포코드 '!A:B,2,0)</f>
        <v>#N/A</v>
      </c>
      <c r="E2450" s="30">
        <f>'Raw data'!P2026</f>
        <v>0</v>
      </c>
      <c r="F2450" s="29" t="e">
        <f>VLOOKUP(E2450,'점포코드 '!A:B,2,0)</f>
        <v>#N/A</v>
      </c>
      <c r="G2450" s="46">
        <f>'Raw data'!F2359</f>
        <v>0</v>
      </c>
      <c r="H2450" s="4">
        <f>'Raw data'!G2359</f>
        <v>0</v>
      </c>
      <c r="I2450" s="29" t="e">
        <f>VLOOKUP(G2450,제품명!$C$1:$E$114,2,0)</f>
        <v>#N/A</v>
      </c>
      <c r="J2450" s="29">
        <f>'Raw data'!K2359</f>
        <v>0</v>
      </c>
      <c r="K2450" s="31">
        <f>'Raw data'!H2359</f>
        <v>0</v>
      </c>
      <c r="L2450" s="26">
        <f t="shared" si="80"/>
        <v>0</v>
      </c>
    </row>
    <row r="2451" spans="2:12">
      <c r="B2451" s="4" t="e">
        <f t="shared" si="79"/>
        <v>#N/A</v>
      </c>
      <c r="C2451" s="4">
        <f>'Raw data'!E2027</f>
        <v>0</v>
      </c>
      <c r="D2451" s="29" t="e">
        <f>VLOOKUP(C2451,'점포코드 '!A:B,2,0)</f>
        <v>#N/A</v>
      </c>
      <c r="E2451" s="30">
        <f>'Raw data'!P2027</f>
        <v>0</v>
      </c>
      <c r="F2451" s="29" t="e">
        <f>VLOOKUP(E2451,'점포코드 '!A:B,2,0)</f>
        <v>#N/A</v>
      </c>
      <c r="G2451" s="46">
        <f>'Raw data'!F2360</f>
        <v>0</v>
      </c>
      <c r="H2451" s="4">
        <f>'Raw data'!G2360</f>
        <v>0</v>
      </c>
      <c r="I2451" s="29" t="e">
        <f>VLOOKUP(G2451,제품명!$C$1:$E$114,2,0)</f>
        <v>#N/A</v>
      </c>
      <c r="J2451" s="29">
        <f>'Raw data'!K2360</f>
        <v>0</v>
      </c>
      <c r="K2451" s="31">
        <f>'Raw data'!H2360</f>
        <v>0</v>
      </c>
      <c r="L2451" s="26">
        <f t="shared" si="80"/>
        <v>0</v>
      </c>
    </row>
    <row r="2452" spans="2:12">
      <c r="B2452" s="4" t="e">
        <f t="shared" si="79"/>
        <v>#N/A</v>
      </c>
      <c r="C2452" s="4">
        <f>'Raw data'!E2028</f>
        <v>0</v>
      </c>
      <c r="D2452" s="29" t="e">
        <f>VLOOKUP(C2452,'점포코드 '!A:B,2,0)</f>
        <v>#N/A</v>
      </c>
      <c r="E2452" s="30">
        <f>'Raw data'!P2028</f>
        <v>0</v>
      </c>
      <c r="F2452" s="29" t="e">
        <f>VLOOKUP(E2452,'점포코드 '!A:B,2,0)</f>
        <v>#N/A</v>
      </c>
      <c r="G2452" s="46">
        <f>'Raw data'!F2361</f>
        <v>0</v>
      </c>
      <c r="H2452" s="4">
        <f>'Raw data'!G2361</f>
        <v>0</v>
      </c>
      <c r="I2452" s="29" t="e">
        <f>VLOOKUP(G2452,제품명!$C$1:$E$114,2,0)</f>
        <v>#N/A</v>
      </c>
      <c r="J2452" s="29">
        <f>'Raw data'!K2361</f>
        <v>0</v>
      </c>
      <c r="K2452" s="31">
        <f>'Raw data'!H2361</f>
        <v>0</v>
      </c>
      <c r="L2452" s="26">
        <f t="shared" si="80"/>
        <v>0</v>
      </c>
    </row>
    <row r="2453" spans="2:12">
      <c r="B2453" s="4" t="e">
        <f t="shared" si="79"/>
        <v>#N/A</v>
      </c>
      <c r="C2453" s="4">
        <f>'Raw data'!E2029</f>
        <v>0</v>
      </c>
      <c r="D2453" s="29" t="e">
        <f>VLOOKUP(C2453,'점포코드 '!A:B,2,0)</f>
        <v>#N/A</v>
      </c>
      <c r="E2453" s="30">
        <f>'Raw data'!P2029</f>
        <v>0</v>
      </c>
      <c r="F2453" s="29" t="e">
        <f>VLOOKUP(E2453,'점포코드 '!A:B,2,0)</f>
        <v>#N/A</v>
      </c>
      <c r="G2453" s="46">
        <f>'Raw data'!F2362</f>
        <v>0</v>
      </c>
      <c r="H2453" s="4">
        <f>'Raw data'!G2362</f>
        <v>0</v>
      </c>
      <c r="I2453" s="29" t="e">
        <f>VLOOKUP(G2453,제품명!$C$1:$E$114,2,0)</f>
        <v>#N/A</v>
      </c>
      <c r="J2453" s="29">
        <f>'Raw data'!K2362</f>
        <v>0</v>
      </c>
      <c r="K2453" s="31">
        <f>'Raw data'!H2362</f>
        <v>0</v>
      </c>
      <c r="L2453" s="26">
        <f t="shared" si="80"/>
        <v>0</v>
      </c>
    </row>
    <row r="2454" spans="2:12">
      <c r="B2454" s="4" t="e">
        <f t="shared" si="79"/>
        <v>#N/A</v>
      </c>
      <c r="C2454" s="4">
        <f>'Raw data'!E2030</f>
        <v>0</v>
      </c>
      <c r="D2454" s="29" t="e">
        <f>VLOOKUP(C2454,'점포코드 '!A:B,2,0)</f>
        <v>#N/A</v>
      </c>
      <c r="E2454" s="30">
        <f>'Raw data'!P2030</f>
        <v>0</v>
      </c>
      <c r="F2454" s="29" t="e">
        <f>VLOOKUP(E2454,'점포코드 '!A:B,2,0)</f>
        <v>#N/A</v>
      </c>
      <c r="G2454" s="46">
        <f>'Raw data'!F2363</f>
        <v>0</v>
      </c>
      <c r="H2454" s="4">
        <f>'Raw data'!G2363</f>
        <v>0</v>
      </c>
      <c r="I2454" s="29" t="e">
        <f>VLOOKUP(G2454,제품명!$C$1:$E$114,2,0)</f>
        <v>#N/A</v>
      </c>
      <c r="J2454" s="29">
        <f>'Raw data'!K2363</f>
        <v>0</v>
      </c>
      <c r="K2454" s="31">
        <f>'Raw data'!H2363</f>
        <v>0</v>
      </c>
      <c r="L2454" s="26">
        <f t="shared" si="80"/>
        <v>0</v>
      </c>
    </row>
    <row r="2455" spans="2:12">
      <c r="B2455" s="4" t="e">
        <f t="shared" si="79"/>
        <v>#N/A</v>
      </c>
      <c r="C2455" s="4">
        <f>'Raw data'!E2031</f>
        <v>0</v>
      </c>
      <c r="D2455" s="29" t="e">
        <f>VLOOKUP(C2455,'점포코드 '!A:B,2,0)</f>
        <v>#N/A</v>
      </c>
      <c r="E2455" s="30">
        <f>'Raw data'!P2031</f>
        <v>0</v>
      </c>
      <c r="F2455" s="29" t="e">
        <f>VLOOKUP(E2455,'점포코드 '!A:B,2,0)</f>
        <v>#N/A</v>
      </c>
      <c r="G2455" s="46">
        <f>'Raw data'!F2364</f>
        <v>0</v>
      </c>
      <c r="H2455" s="4">
        <f>'Raw data'!G2364</f>
        <v>0</v>
      </c>
      <c r="I2455" s="29" t="e">
        <f>VLOOKUP(G2455,제품명!$C$1:$E$114,2,0)</f>
        <v>#N/A</v>
      </c>
      <c r="J2455" s="29">
        <f>'Raw data'!K2364</f>
        <v>0</v>
      </c>
      <c r="K2455" s="31">
        <f>'Raw data'!H2364</f>
        <v>0</v>
      </c>
      <c r="L2455" s="26">
        <f t="shared" si="80"/>
        <v>0</v>
      </c>
    </row>
    <row r="2456" spans="2:12">
      <c r="B2456" s="4" t="e">
        <f t="shared" si="79"/>
        <v>#N/A</v>
      </c>
      <c r="C2456" s="4">
        <f>'Raw data'!E2032</f>
        <v>0</v>
      </c>
      <c r="D2456" s="29" t="e">
        <f>VLOOKUP(C2456,'점포코드 '!A:B,2,0)</f>
        <v>#N/A</v>
      </c>
      <c r="E2456" s="30">
        <f>'Raw data'!P2032</f>
        <v>0</v>
      </c>
      <c r="F2456" s="29" t="e">
        <f>VLOOKUP(E2456,'점포코드 '!A:B,2,0)</f>
        <v>#N/A</v>
      </c>
      <c r="G2456" s="46">
        <f>'Raw data'!F2365</f>
        <v>0</v>
      </c>
      <c r="H2456" s="4">
        <f>'Raw data'!G2365</f>
        <v>0</v>
      </c>
      <c r="I2456" s="29" t="e">
        <f>VLOOKUP(G2456,제품명!$C$1:$E$114,2,0)</f>
        <v>#N/A</v>
      </c>
      <c r="J2456" s="29">
        <f>'Raw data'!K2365</f>
        <v>0</v>
      </c>
      <c r="K2456" s="31">
        <f>'Raw data'!H2365</f>
        <v>0</v>
      </c>
      <c r="L2456" s="26">
        <f t="shared" si="80"/>
        <v>0</v>
      </c>
    </row>
    <row r="2457" spans="2:12">
      <c r="B2457" s="4" t="e">
        <f t="shared" si="79"/>
        <v>#N/A</v>
      </c>
      <c r="C2457" s="4">
        <f>'Raw data'!E2033</f>
        <v>0</v>
      </c>
      <c r="D2457" s="29" t="e">
        <f>VLOOKUP(C2457,'점포코드 '!A:B,2,0)</f>
        <v>#N/A</v>
      </c>
      <c r="E2457" s="30">
        <f>'Raw data'!P2033</f>
        <v>0</v>
      </c>
      <c r="F2457" s="29" t="e">
        <f>VLOOKUP(E2457,'점포코드 '!A:B,2,0)</f>
        <v>#N/A</v>
      </c>
      <c r="G2457" s="46">
        <f>'Raw data'!F2366</f>
        <v>0</v>
      </c>
      <c r="H2457" s="4">
        <f>'Raw data'!G2366</f>
        <v>0</v>
      </c>
      <c r="I2457" s="29" t="e">
        <f>VLOOKUP(G2457,제품명!$C$1:$E$114,2,0)</f>
        <v>#N/A</v>
      </c>
      <c r="J2457" s="29">
        <f>'Raw data'!K2366</f>
        <v>0</v>
      </c>
      <c r="K2457" s="31">
        <f>'Raw data'!H2366</f>
        <v>0</v>
      </c>
      <c r="L2457" s="26">
        <f t="shared" si="80"/>
        <v>0</v>
      </c>
    </row>
    <row r="2458" spans="2:12">
      <c r="B2458" s="4" t="e">
        <f t="shared" si="79"/>
        <v>#N/A</v>
      </c>
      <c r="C2458" s="4">
        <f>'Raw data'!E2034</f>
        <v>0</v>
      </c>
      <c r="D2458" s="29" t="e">
        <f>VLOOKUP(C2458,'점포코드 '!A:B,2,0)</f>
        <v>#N/A</v>
      </c>
      <c r="E2458" s="30">
        <f>'Raw data'!P2034</f>
        <v>0</v>
      </c>
      <c r="F2458" s="29" t="e">
        <f>VLOOKUP(E2458,'점포코드 '!A:B,2,0)</f>
        <v>#N/A</v>
      </c>
      <c r="G2458" s="46">
        <f>'Raw data'!F2367</f>
        <v>0</v>
      </c>
      <c r="H2458" s="4">
        <f>'Raw data'!G2367</f>
        <v>0</v>
      </c>
      <c r="I2458" s="29" t="e">
        <f>VLOOKUP(G2458,제품명!$C$1:$E$114,2,0)</f>
        <v>#N/A</v>
      </c>
      <c r="J2458" s="29">
        <f>'Raw data'!K2367</f>
        <v>0</v>
      </c>
      <c r="K2458" s="31">
        <f>'Raw data'!H2367</f>
        <v>0</v>
      </c>
      <c r="L2458" s="26">
        <f t="shared" si="80"/>
        <v>0</v>
      </c>
    </row>
    <row r="2459" spans="2:12">
      <c r="B2459" s="4" t="e">
        <f t="shared" si="79"/>
        <v>#N/A</v>
      </c>
      <c r="C2459" s="4">
        <f>'Raw data'!E2035</f>
        <v>0</v>
      </c>
      <c r="D2459" s="29" t="e">
        <f>VLOOKUP(C2459,'점포코드 '!A:B,2,0)</f>
        <v>#N/A</v>
      </c>
      <c r="E2459" s="30">
        <f>'Raw data'!P2035</f>
        <v>0</v>
      </c>
      <c r="F2459" s="29" t="e">
        <f>VLOOKUP(E2459,'점포코드 '!A:B,2,0)</f>
        <v>#N/A</v>
      </c>
      <c r="G2459" s="46">
        <f>'Raw data'!F2368</f>
        <v>0</v>
      </c>
      <c r="H2459" s="4">
        <f>'Raw data'!G2368</f>
        <v>0</v>
      </c>
      <c r="I2459" s="29" t="e">
        <f>VLOOKUP(G2459,제품명!$C$1:$E$114,2,0)</f>
        <v>#N/A</v>
      </c>
      <c r="J2459" s="29">
        <f>'Raw data'!K2368</f>
        <v>0</v>
      </c>
      <c r="K2459" s="31">
        <f>'Raw data'!H2368</f>
        <v>0</v>
      </c>
      <c r="L2459" s="26">
        <f t="shared" si="80"/>
        <v>0</v>
      </c>
    </row>
    <row r="2460" spans="2:12">
      <c r="B2460" s="4" t="e">
        <f t="shared" si="79"/>
        <v>#N/A</v>
      </c>
      <c r="C2460" s="4">
        <f>'Raw data'!E2036</f>
        <v>0</v>
      </c>
      <c r="D2460" s="29" t="e">
        <f>VLOOKUP(C2460,'점포코드 '!A:B,2,0)</f>
        <v>#N/A</v>
      </c>
      <c r="E2460" s="30">
        <f>'Raw data'!P2036</f>
        <v>0</v>
      </c>
      <c r="F2460" s="29" t="e">
        <f>VLOOKUP(E2460,'점포코드 '!A:B,2,0)</f>
        <v>#N/A</v>
      </c>
      <c r="G2460" s="46">
        <f>'Raw data'!F2369</f>
        <v>0</v>
      </c>
      <c r="H2460" s="4">
        <f>'Raw data'!G2369</f>
        <v>0</v>
      </c>
      <c r="I2460" s="29" t="e">
        <f>VLOOKUP(G2460,제품명!$C$1:$E$114,2,0)</f>
        <v>#N/A</v>
      </c>
      <c r="J2460" s="29">
        <f>'Raw data'!K2369</f>
        <v>0</v>
      </c>
      <c r="K2460" s="31">
        <f>'Raw data'!H2369</f>
        <v>0</v>
      </c>
      <c r="L2460" s="26">
        <f t="shared" si="80"/>
        <v>0</v>
      </c>
    </row>
    <row r="2461" spans="2:12">
      <c r="B2461" s="4" t="e">
        <f t="shared" si="79"/>
        <v>#N/A</v>
      </c>
      <c r="C2461" s="4">
        <f>'Raw data'!E2037</f>
        <v>0</v>
      </c>
      <c r="D2461" s="29" t="e">
        <f>VLOOKUP(C2461,'점포코드 '!A:B,2,0)</f>
        <v>#N/A</v>
      </c>
      <c r="E2461" s="30">
        <f>'Raw data'!P2037</f>
        <v>0</v>
      </c>
      <c r="F2461" s="29" t="e">
        <f>VLOOKUP(E2461,'점포코드 '!A:B,2,0)</f>
        <v>#N/A</v>
      </c>
      <c r="G2461" s="46">
        <f>'Raw data'!F2370</f>
        <v>0</v>
      </c>
      <c r="H2461" s="4">
        <f>'Raw data'!G2370</f>
        <v>0</v>
      </c>
      <c r="I2461" s="29" t="e">
        <f>VLOOKUP(G2461,제품명!$C$1:$E$114,2,0)</f>
        <v>#N/A</v>
      </c>
      <c r="J2461" s="29">
        <f>'Raw data'!K2370</f>
        <v>0</v>
      </c>
      <c r="K2461" s="31">
        <f>'Raw data'!H2370</f>
        <v>0</v>
      </c>
      <c r="L2461" s="26">
        <f t="shared" si="80"/>
        <v>0</v>
      </c>
    </row>
    <row r="2462" spans="2:12">
      <c r="B2462" s="4" t="e">
        <f t="shared" si="79"/>
        <v>#N/A</v>
      </c>
      <c r="C2462" s="4">
        <f>'Raw data'!E2038</f>
        <v>0</v>
      </c>
      <c r="D2462" s="29" t="e">
        <f>VLOOKUP(C2462,'점포코드 '!A:B,2,0)</f>
        <v>#N/A</v>
      </c>
      <c r="E2462" s="30">
        <f>'Raw data'!P2038</f>
        <v>0</v>
      </c>
      <c r="F2462" s="29" t="e">
        <f>VLOOKUP(E2462,'점포코드 '!A:B,2,0)</f>
        <v>#N/A</v>
      </c>
      <c r="G2462" s="46">
        <f>'Raw data'!F2371</f>
        <v>0</v>
      </c>
      <c r="H2462" s="4">
        <f>'Raw data'!G2371</f>
        <v>0</v>
      </c>
      <c r="I2462" s="29" t="e">
        <f>VLOOKUP(G2462,제품명!$C$1:$E$114,2,0)</f>
        <v>#N/A</v>
      </c>
      <c r="J2462" s="29">
        <f>'Raw data'!K2371</f>
        <v>0</v>
      </c>
      <c r="K2462" s="31">
        <f>'Raw data'!H2371</f>
        <v>0</v>
      </c>
      <c r="L2462" s="26">
        <f t="shared" si="80"/>
        <v>0</v>
      </c>
    </row>
    <row r="2463" spans="2:12">
      <c r="B2463" s="4" t="e">
        <f t="shared" si="79"/>
        <v>#N/A</v>
      </c>
      <c r="C2463" s="4">
        <f>'Raw data'!E2039</f>
        <v>0</v>
      </c>
      <c r="D2463" s="29" t="e">
        <f>VLOOKUP(C2463,'점포코드 '!A:B,2,0)</f>
        <v>#N/A</v>
      </c>
      <c r="E2463" s="30">
        <f>'Raw data'!P2039</f>
        <v>0</v>
      </c>
      <c r="F2463" s="29" t="e">
        <f>VLOOKUP(E2463,'점포코드 '!A:B,2,0)</f>
        <v>#N/A</v>
      </c>
      <c r="G2463" s="46">
        <f>'Raw data'!F2372</f>
        <v>0</v>
      </c>
      <c r="H2463" s="4">
        <f>'Raw data'!G2372</f>
        <v>0</v>
      </c>
      <c r="I2463" s="29" t="e">
        <f>VLOOKUP(G2463,제품명!$C$1:$E$114,2,0)</f>
        <v>#N/A</v>
      </c>
      <c r="J2463" s="29">
        <f>'Raw data'!K2372</f>
        <v>0</v>
      </c>
      <c r="K2463" s="31">
        <f>'Raw data'!H2372</f>
        <v>0</v>
      </c>
      <c r="L2463" s="26">
        <f t="shared" si="80"/>
        <v>0</v>
      </c>
    </row>
    <row r="2464" spans="2:12">
      <c r="B2464" s="4" t="e">
        <f t="shared" si="79"/>
        <v>#N/A</v>
      </c>
      <c r="C2464" s="4">
        <f>'Raw data'!E2040</f>
        <v>0</v>
      </c>
      <c r="D2464" s="29" t="e">
        <f>VLOOKUP(C2464,'점포코드 '!A:B,2,0)</f>
        <v>#N/A</v>
      </c>
      <c r="E2464" s="30">
        <f>'Raw data'!P2040</f>
        <v>0</v>
      </c>
      <c r="F2464" s="29" t="e">
        <f>VLOOKUP(E2464,'점포코드 '!A:B,2,0)</f>
        <v>#N/A</v>
      </c>
      <c r="G2464" s="46">
        <f>'Raw data'!F2373</f>
        <v>0</v>
      </c>
      <c r="H2464" s="4">
        <f>'Raw data'!G2373</f>
        <v>0</v>
      </c>
      <c r="I2464" s="29" t="e">
        <f>VLOOKUP(G2464,제품명!$C$1:$E$114,2,0)</f>
        <v>#N/A</v>
      </c>
      <c r="J2464" s="29">
        <f>'Raw data'!K2373</f>
        <v>0</v>
      </c>
      <c r="K2464" s="31">
        <f>'Raw data'!H2373</f>
        <v>0</v>
      </c>
      <c r="L2464" s="26">
        <f t="shared" si="80"/>
        <v>0</v>
      </c>
    </row>
    <row r="2465" spans="2:12">
      <c r="B2465" s="4" t="e">
        <f t="shared" si="79"/>
        <v>#N/A</v>
      </c>
      <c r="C2465" s="4">
        <f>'Raw data'!E2041</f>
        <v>0</v>
      </c>
      <c r="D2465" s="29" t="e">
        <f>VLOOKUP(C2465,'점포코드 '!A:B,2,0)</f>
        <v>#N/A</v>
      </c>
      <c r="E2465" s="30">
        <f>'Raw data'!P2041</f>
        <v>0</v>
      </c>
      <c r="F2465" s="29" t="e">
        <f>VLOOKUP(E2465,'점포코드 '!A:B,2,0)</f>
        <v>#N/A</v>
      </c>
      <c r="G2465" s="46">
        <f>'Raw data'!F2374</f>
        <v>0</v>
      </c>
      <c r="H2465" s="4">
        <f>'Raw data'!G2374</f>
        <v>0</v>
      </c>
      <c r="I2465" s="29" t="e">
        <f>VLOOKUP(G2465,제품명!$C$1:$E$114,2,0)</f>
        <v>#N/A</v>
      </c>
      <c r="J2465" s="29">
        <f>'Raw data'!K2374</f>
        <v>0</v>
      </c>
      <c r="K2465" s="31">
        <f>'Raw data'!H2374</f>
        <v>0</v>
      </c>
      <c r="L2465" s="26">
        <f t="shared" si="80"/>
        <v>0</v>
      </c>
    </row>
    <row r="2466" spans="2:12">
      <c r="B2466" s="4" t="e">
        <f t="shared" si="79"/>
        <v>#N/A</v>
      </c>
      <c r="C2466" s="4">
        <f>'Raw data'!E2042</f>
        <v>0</v>
      </c>
      <c r="D2466" s="29" t="e">
        <f>VLOOKUP(C2466,'점포코드 '!A:B,2,0)</f>
        <v>#N/A</v>
      </c>
      <c r="E2466" s="30">
        <f>'Raw data'!P2042</f>
        <v>0</v>
      </c>
      <c r="F2466" s="29" t="e">
        <f>VLOOKUP(E2466,'점포코드 '!A:B,2,0)</f>
        <v>#N/A</v>
      </c>
      <c r="G2466" s="46">
        <f>'Raw data'!F2375</f>
        <v>0</v>
      </c>
      <c r="H2466" s="4">
        <f>'Raw data'!G2375</f>
        <v>0</v>
      </c>
      <c r="I2466" s="29" t="e">
        <f>VLOOKUP(G2466,제품명!$C$1:$E$114,2,0)</f>
        <v>#N/A</v>
      </c>
      <c r="J2466" s="29">
        <f>'Raw data'!K2375</f>
        <v>0</v>
      </c>
      <c r="K2466" s="31">
        <f>'Raw data'!H2375</f>
        <v>0</v>
      </c>
      <c r="L2466" s="26">
        <f t="shared" si="80"/>
        <v>0</v>
      </c>
    </row>
    <row r="2467" spans="2:12">
      <c r="B2467" s="4" t="e">
        <f t="shared" si="79"/>
        <v>#N/A</v>
      </c>
      <c r="C2467" s="4">
        <f>'Raw data'!E2043</f>
        <v>0</v>
      </c>
      <c r="D2467" s="29" t="e">
        <f>VLOOKUP(C2467,'점포코드 '!A:B,2,0)</f>
        <v>#N/A</v>
      </c>
      <c r="E2467" s="30">
        <f>'Raw data'!P2043</f>
        <v>0</v>
      </c>
      <c r="F2467" s="29" t="e">
        <f>VLOOKUP(E2467,'점포코드 '!A:B,2,0)</f>
        <v>#N/A</v>
      </c>
      <c r="G2467" s="46">
        <f>'Raw data'!F2376</f>
        <v>0</v>
      </c>
      <c r="H2467" s="4">
        <f>'Raw data'!G2376</f>
        <v>0</v>
      </c>
      <c r="I2467" s="29" t="e">
        <f>VLOOKUP(G2467,제품명!$C$1:$E$114,2,0)</f>
        <v>#N/A</v>
      </c>
      <c r="J2467" s="29">
        <f>'Raw data'!K2376</f>
        <v>0</v>
      </c>
      <c r="K2467" s="31">
        <f>'Raw data'!H2376</f>
        <v>0</v>
      </c>
      <c r="L2467" s="26">
        <f t="shared" si="80"/>
        <v>0</v>
      </c>
    </row>
    <row r="2468" spans="2:12">
      <c r="B2468" s="4" t="e">
        <f t="shared" si="79"/>
        <v>#N/A</v>
      </c>
      <c r="C2468" s="4">
        <f>'Raw data'!E2044</f>
        <v>0</v>
      </c>
      <c r="D2468" s="29" t="e">
        <f>VLOOKUP(C2468,'점포코드 '!A:B,2,0)</f>
        <v>#N/A</v>
      </c>
      <c r="E2468" s="30">
        <f>'Raw data'!P2044</f>
        <v>0</v>
      </c>
      <c r="F2468" s="29" t="e">
        <f>VLOOKUP(E2468,'점포코드 '!A:B,2,0)</f>
        <v>#N/A</v>
      </c>
      <c r="G2468" s="46">
        <f>'Raw data'!F2377</f>
        <v>0</v>
      </c>
      <c r="H2468" s="4">
        <f>'Raw data'!G2377</f>
        <v>0</v>
      </c>
      <c r="I2468" s="29" t="e">
        <f>VLOOKUP(G2468,제품명!$C$1:$E$114,2,0)</f>
        <v>#N/A</v>
      </c>
      <c r="J2468" s="29">
        <f>'Raw data'!K2377</f>
        <v>0</v>
      </c>
      <c r="K2468" s="31">
        <f>'Raw data'!H2377</f>
        <v>0</v>
      </c>
      <c r="L2468" s="26">
        <f t="shared" si="80"/>
        <v>0</v>
      </c>
    </row>
    <row r="2469" spans="2:12">
      <c r="B2469" s="4" t="e">
        <f t="shared" si="79"/>
        <v>#N/A</v>
      </c>
      <c r="C2469" s="4">
        <f>'Raw data'!E2045</f>
        <v>0</v>
      </c>
      <c r="D2469" s="29" t="e">
        <f>VLOOKUP(C2469,'점포코드 '!A:B,2,0)</f>
        <v>#N/A</v>
      </c>
      <c r="E2469" s="30">
        <f>'Raw data'!P2045</f>
        <v>0</v>
      </c>
      <c r="F2469" s="29" t="e">
        <f>VLOOKUP(E2469,'점포코드 '!A:B,2,0)</f>
        <v>#N/A</v>
      </c>
      <c r="G2469" s="46">
        <f>'Raw data'!F2378</f>
        <v>0</v>
      </c>
      <c r="H2469" s="4">
        <f>'Raw data'!G2378</f>
        <v>0</v>
      </c>
      <c r="I2469" s="29" t="e">
        <f>VLOOKUP(G2469,제품명!$C$1:$E$114,2,0)</f>
        <v>#N/A</v>
      </c>
      <c r="J2469" s="29">
        <f>'Raw data'!K2378</f>
        <v>0</v>
      </c>
      <c r="K2469" s="31">
        <f>'Raw data'!H2378</f>
        <v>0</v>
      </c>
      <c r="L2469" s="26">
        <f t="shared" si="80"/>
        <v>0</v>
      </c>
    </row>
    <row r="2470" spans="2:12">
      <c r="B2470" s="4" t="e">
        <f t="shared" si="79"/>
        <v>#N/A</v>
      </c>
      <c r="C2470" s="4">
        <f>'Raw data'!E2046</f>
        <v>0</v>
      </c>
      <c r="D2470" s="29" t="e">
        <f>VLOOKUP(C2470,'점포코드 '!A:B,2,0)</f>
        <v>#N/A</v>
      </c>
      <c r="E2470" s="30">
        <f>'Raw data'!P2046</f>
        <v>0</v>
      </c>
      <c r="F2470" s="29" t="e">
        <f>VLOOKUP(E2470,'점포코드 '!A:B,2,0)</f>
        <v>#N/A</v>
      </c>
      <c r="G2470" s="46">
        <f>'Raw data'!F2379</f>
        <v>0</v>
      </c>
      <c r="H2470" s="4">
        <f>'Raw data'!G2379</f>
        <v>0</v>
      </c>
      <c r="I2470" s="29" t="e">
        <f>VLOOKUP(G2470,제품명!$C$1:$E$114,2,0)</f>
        <v>#N/A</v>
      </c>
      <c r="J2470" s="29">
        <f>'Raw data'!K2379</f>
        <v>0</v>
      </c>
      <c r="K2470" s="31">
        <f>'Raw data'!H2379</f>
        <v>0</v>
      </c>
      <c r="L2470" s="26">
        <f t="shared" si="80"/>
        <v>0</v>
      </c>
    </row>
    <row r="2471" spans="2:12">
      <c r="B2471" s="4" t="e">
        <f t="shared" si="79"/>
        <v>#N/A</v>
      </c>
      <c r="C2471" s="4">
        <f>'Raw data'!E2047</f>
        <v>0</v>
      </c>
      <c r="D2471" s="29" t="e">
        <f>VLOOKUP(C2471,'점포코드 '!A:B,2,0)</f>
        <v>#N/A</v>
      </c>
      <c r="E2471" s="30">
        <f>'Raw data'!P2047</f>
        <v>0</v>
      </c>
      <c r="F2471" s="29" t="e">
        <f>VLOOKUP(E2471,'점포코드 '!A:B,2,0)</f>
        <v>#N/A</v>
      </c>
      <c r="G2471" s="46">
        <f>'Raw data'!F2380</f>
        <v>0</v>
      </c>
      <c r="H2471" s="4">
        <f>'Raw data'!G2380</f>
        <v>0</v>
      </c>
      <c r="I2471" s="29" t="e">
        <f>VLOOKUP(G2471,제품명!$C$1:$E$114,2,0)</f>
        <v>#N/A</v>
      </c>
      <c r="J2471" s="29">
        <f>'Raw data'!K2380</f>
        <v>0</v>
      </c>
      <c r="K2471" s="31">
        <f>'Raw data'!H2380</f>
        <v>0</v>
      </c>
      <c r="L2471" s="26">
        <f t="shared" si="80"/>
        <v>0</v>
      </c>
    </row>
    <row r="2472" spans="2:12">
      <c r="B2472" s="4" t="e">
        <f t="shared" si="79"/>
        <v>#N/A</v>
      </c>
      <c r="C2472" s="4">
        <f>'Raw data'!E2048</f>
        <v>0</v>
      </c>
      <c r="D2472" s="29" t="e">
        <f>VLOOKUP(C2472,'점포코드 '!A:B,2,0)</f>
        <v>#N/A</v>
      </c>
      <c r="E2472" s="30">
        <f>'Raw data'!P2048</f>
        <v>0</v>
      </c>
      <c r="F2472" s="29" t="e">
        <f>VLOOKUP(E2472,'점포코드 '!A:B,2,0)</f>
        <v>#N/A</v>
      </c>
      <c r="G2472" s="46">
        <f>'Raw data'!F2381</f>
        <v>0</v>
      </c>
      <c r="H2472" s="4">
        <f>'Raw data'!G2381</f>
        <v>0</v>
      </c>
      <c r="I2472" s="29" t="e">
        <f>VLOOKUP(G2472,제품명!$C$1:$E$114,2,0)</f>
        <v>#N/A</v>
      </c>
      <c r="J2472" s="29">
        <f>'Raw data'!K2381</f>
        <v>0</v>
      </c>
      <c r="K2472" s="31">
        <f>'Raw data'!H2381</f>
        <v>0</v>
      </c>
      <c r="L2472" s="26">
        <f t="shared" si="80"/>
        <v>0</v>
      </c>
    </row>
    <row r="2473" spans="2:12">
      <c r="B2473" s="4" t="e">
        <f t="shared" si="79"/>
        <v>#N/A</v>
      </c>
      <c r="C2473" s="4">
        <f>'Raw data'!E2049</f>
        <v>0</v>
      </c>
      <c r="D2473" s="29" t="e">
        <f>VLOOKUP(C2473,'점포코드 '!A:B,2,0)</f>
        <v>#N/A</v>
      </c>
      <c r="E2473" s="30">
        <f>'Raw data'!P2049</f>
        <v>0</v>
      </c>
      <c r="F2473" s="29" t="e">
        <f>VLOOKUP(E2473,'점포코드 '!A:B,2,0)</f>
        <v>#N/A</v>
      </c>
      <c r="G2473" s="46">
        <f>'Raw data'!F2382</f>
        <v>0</v>
      </c>
      <c r="H2473" s="4">
        <f>'Raw data'!G2382</f>
        <v>0</v>
      </c>
      <c r="I2473" s="29" t="e">
        <f>VLOOKUP(G2473,제품명!$C$1:$E$114,2,0)</f>
        <v>#N/A</v>
      </c>
      <c r="J2473" s="29">
        <f>'Raw data'!K2382</f>
        <v>0</v>
      </c>
      <c r="K2473" s="31">
        <f>'Raw data'!H2382</f>
        <v>0</v>
      </c>
      <c r="L2473" s="26">
        <f t="shared" si="80"/>
        <v>0</v>
      </c>
    </row>
    <row r="2474" spans="2:12">
      <c r="B2474" s="4" t="e">
        <f t="shared" si="79"/>
        <v>#N/A</v>
      </c>
      <c r="C2474" s="4">
        <f>'Raw data'!E2050</f>
        <v>0</v>
      </c>
      <c r="D2474" s="29" t="e">
        <f>VLOOKUP(C2474,'점포코드 '!A:B,2,0)</f>
        <v>#N/A</v>
      </c>
      <c r="E2474" s="30">
        <f>'Raw data'!P2050</f>
        <v>0</v>
      </c>
      <c r="F2474" s="29" t="e">
        <f>VLOOKUP(E2474,'점포코드 '!A:B,2,0)</f>
        <v>#N/A</v>
      </c>
      <c r="G2474" s="46">
        <f>'Raw data'!F2383</f>
        <v>0</v>
      </c>
      <c r="H2474" s="4">
        <f>'Raw data'!G2383</f>
        <v>0</v>
      </c>
      <c r="I2474" s="29" t="e">
        <f>VLOOKUP(G2474,제품명!$C$1:$E$114,2,0)</f>
        <v>#N/A</v>
      </c>
      <c r="J2474" s="29">
        <f>'Raw data'!K2383</f>
        <v>0</v>
      </c>
      <c r="K2474" s="31">
        <f>'Raw data'!H2383</f>
        <v>0</v>
      </c>
      <c r="L2474" s="26">
        <f t="shared" si="80"/>
        <v>0</v>
      </c>
    </row>
    <row r="2475" spans="2:12">
      <c r="B2475" s="4" t="e">
        <f t="shared" si="79"/>
        <v>#N/A</v>
      </c>
      <c r="C2475" s="4">
        <f>'Raw data'!E2051</f>
        <v>0</v>
      </c>
      <c r="D2475" s="29" t="e">
        <f>VLOOKUP(C2475,'점포코드 '!A:B,2,0)</f>
        <v>#N/A</v>
      </c>
      <c r="E2475" s="30">
        <f>'Raw data'!P2051</f>
        <v>0</v>
      </c>
      <c r="F2475" s="29" t="e">
        <f>VLOOKUP(E2475,'점포코드 '!A:B,2,0)</f>
        <v>#N/A</v>
      </c>
      <c r="G2475" s="46">
        <f>'Raw data'!F2384</f>
        <v>0</v>
      </c>
      <c r="H2475" s="4">
        <f>'Raw data'!G2384</f>
        <v>0</v>
      </c>
      <c r="I2475" s="29" t="e">
        <f>VLOOKUP(G2475,제품명!$C$1:$E$114,2,0)</f>
        <v>#N/A</v>
      </c>
      <c r="J2475" s="29">
        <f>'Raw data'!K2384</f>
        <v>0</v>
      </c>
      <c r="K2475" s="31">
        <f>'Raw data'!H2384</f>
        <v>0</v>
      </c>
      <c r="L2475" s="26">
        <f t="shared" si="80"/>
        <v>0</v>
      </c>
    </row>
    <row r="2476" spans="2:12">
      <c r="B2476" s="4" t="e">
        <f t="shared" si="79"/>
        <v>#N/A</v>
      </c>
      <c r="C2476" s="4">
        <f>'Raw data'!E2052</f>
        <v>0</v>
      </c>
      <c r="D2476" s="29" t="e">
        <f>VLOOKUP(C2476,'점포코드 '!A:B,2,0)</f>
        <v>#N/A</v>
      </c>
      <c r="E2476" s="30">
        <f>'Raw data'!P2052</f>
        <v>0</v>
      </c>
      <c r="F2476" s="29" t="e">
        <f>VLOOKUP(E2476,'점포코드 '!A:B,2,0)</f>
        <v>#N/A</v>
      </c>
      <c r="G2476" s="46">
        <f>'Raw data'!F2385</f>
        <v>0</v>
      </c>
      <c r="H2476" s="4">
        <f>'Raw data'!G2385</f>
        <v>0</v>
      </c>
      <c r="I2476" s="29" t="e">
        <f>VLOOKUP(G2476,제품명!$C$1:$E$114,2,0)</f>
        <v>#N/A</v>
      </c>
      <c r="J2476" s="29">
        <f>'Raw data'!K2385</f>
        <v>0</v>
      </c>
      <c r="K2476" s="31">
        <f>'Raw data'!H2385</f>
        <v>0</v>
      </c>
      <c r="L2476" s="26">
        <f t="shared" si="80"/>
        <v>0</v>
      </c>
    </row>
    <row r="2477" spans="2:12">
      <c r="B2477" s="4" t="e">
        <f t="shared" si="79"/>
        <v>#N/A</v>
      </c>
      <c r="C2477" s="4">
        <f>'Raw data'!E2053</f>
        <v>0</v>
      </c>
      <c r="D2477" s="29" t="e">
        <f>VLOOKUP(C2477,'점포코드 '!A:B,2,0)</f>
        <v>#N/A</v>
      </c>
      <c r="E2477" s="30">
        <f>'Raw data'!P2053</f>
        <v>0</v>
      </c>
      <c r="F2477" s="29" t="e">
        <f>VLOOKUP(E2477,'점포코드 '!A:B,2,0)</f>
        <v>#N/A</v>
      </c>
      <c r="G2477" s="46">
        <f>'Raw data'!F2386</f>
        <v>0</v>
      </c>
      <c r="H2477" s="4">
        <f>'Raw data'!G2386</f>
        <v>0</v>
      </c>
      <c r="I2477" s="29" t="e">
        <f>VLOOKUP(G2477,제품명!$C$1:$E$114,2,0)</f>
        <v>#N/A</v>
      </c>
      <c r="J2477" s="29">
        <f>'Raw data'!K2386</f>
        <v>0</v>
      </c>
      <c r="K2477" s="31">
        <f>'Raw data'!H2386</f>
        <v>0</v>
      </c>
      <c r="L2477" s="26">
        <f t="shared" si="80"/>
        <v>0</v>
      </c>
    </row>
    <row r="2478" spans="2:12">
      <c r="B2478" s="4" t="e">
        <f t="shared" si="79"/>
        <v>#N/A</v>
      </c>
      <c r="C2478" s="4">
        <f>'Raw data'!E2054</f>
        <v>0</v>
      </c>
      <c r="D2478" s="29" t="e">
        <f>VLOOKUP(C2478,'점포코드 '!A:B,2,0)</f>
        <v>#N/A</v>
      </c>
      <c r="E2478" s="30">
        <f>'Raw data'!P2054</f>
        <v>0</v>
      </c>
      <c r="F2478" s="29" t="e">
        <f>VLOOKUP(E2478,'점포코드 '!A:B,2,0)</f>
        <v>#N/A</v>
      </c>
      <c r="G2478" s="46">
        <f>'Raw data'!F2387</f>
        <v>0</v>
      </c>
      <c r="H2478" s="4">
        <f>'Raw data'!G2387</f>
        <v>0</v>
      </c>
      <c r="I2478" s="29" t="e">
        <f>VLOOKUP(G2478,제품명!$C$1:$E$114,2,0)</f>
        <v>#N/A</v>
      </c>
      <c r="J2478" s="29">
        <f>'Raw data'!K2387</f>
        <v>0</v>
      </c>
      <c r="K2478" s="31">
        <f>'Raw data'!H2387</f>
        <v>0</v>
      </c>
      <c r="L2478" s="26">
        <f t="shared" si="80"/>
        <v>0</v>
      </c>
    </row>
    <row r="2479" spans="2:12">
      <c r="B2479" s="4" t="e">
        <f t="shared" si="79"/>
        <v>#N/A</v>
      </c>
      <c r="C2479" s="4">
        <f>'Raw data'!E2055</f>
        <v>0</v>
      </c>
      <c r="D2479" s="29" t="e">
        <f>VLOOKUP(C2479,'점포코드 '!A:B,2,0)</f>
        <v>#N/A</v>
      </c>
      <c r="E2479" s="30">
        <f>'Raw data'!P2055</f>
        <v>0</v>
      </c>
      <c r="F2479" s="29" t="e">
        <f>VLOOKUP(E2479,'점포코드 '!A:B,2,0)</f>
        <v>#N/A</v>
      </c>
      <c r="G2479" s="46">
        <f>'Raw data'!F2388</f>
        <v>0</v>
      </c>
      <c r="H2479" s="4">
        <f>'Raw data'!G2388</f>
        <v>0</v>
      </c>
      <c r="I2479" s="29" t="e">
        <f>VLOOKUP(G2479,제품명!$C$1:$E$114,2,0)</f>
        <v>#N/A</v>
      </c>
      <c r="J2479" s="29">
        <f>'Raw data'!K2388</f>
        <v>0</v>
      </c>
      <c r="K2479" s="31">
        <f>'Raw data'!H2388</f>
        <v>0</v>
      </c>
      <c r="L2479" s="26">
        <f t="shared" si="80"/>
        <v>0</v>
      </c>
    </row>
    <row r="2480" spans="2:12">
      <c r="B2480" s="4" t="e">
        <f t="shared" si="79"/>
        <v>#N/A</v>
      </c>
      <c r="C2480" s="4">
        <f>'Raw data'!E2056</f>
        <v>0</v>
      </c>
      <c r="D2480" s="29" t="e">
        <f>VLOOKUP(C2480,'점포코드 '!A:B,2,0)</f>
        <v>#N/A</v>
      </c>
      <c r="E2480" s="30">
        <f>'Raw data'!P2056</f>
        <v>0</v>
      </c>
      <c r="F2480" s="29" t="e">
        <f>VLOOKUP(E2480,'점포코드 '!A:B,2,0)</f>
        <v>#N/A</v>
      </c>
      <c r="G2480" s="46">
        <f>'Raw data'!F2389</f>
        <v>0</v>
      </c>
      <c r="H2480" s="4">
        <f>'Raw data'!G2389</f>
        <v>0</v>
      </c>
      <c r="I2480" s="29" t="e">
        <f>VLOOKUP(G2480,제품명!$C$1:$E$114,2,0)</f>
        <v>#N/A</v>
      </c>
      <c r="J2480" s="29">
        <f>'Raw data'!K2389</f>
        <v>0</v>
      </c>
      <c r="K2480" s="31">
        <f>'Raw data'!H2389</f>
        <v>0</v>
      </c>
      <c r="L2480" s="26">
        <f t="shared" si="80"/>
        <v>0</v>
      </c>
    </row>
    <row r="2481" spans="2:12">
      <c r="B2481" s="4" t="e">
        <f t="shared" si="79"/>
        <v>#N/A</v>
      </c>
      <c r="C2481" s="4">
        <f>'Raw data'!E2057</f>
        <v>0</v>
      </c>
      <c r="D2481" s="29" t="e">
        <f>VLOOKUP(C2481,'점포코드 '!A:B,2,0)</f>
        <v>#N/A</v>
      </c>
      <c r="E2481" s="30">
        <f>'Raw data'!P2057</f>
        <v>0</v>
      </c>
      <c r="F2481" s="29" t="e">
        <f>VLOOKUP(E2481,'점포코드 '!A:B,2,0)</f>
        <v>#N/A</v>
      </c>
      <c r="G2481" s="46">
        <f>'Raw data'!F2390</f>
        <v>0</v>
      </c>
      <c r="H2481" s="4">
        <f>'Raw data'!G2390</f>
        <v>0</v>
      </c>
      <c r="I2481" s="29" t="e">
        <f>VLOOKUP(G2481,제품명!$C$1:$E$114,2,0)</f>
        <v>#N/A</v>
      </c>
      <c r="J2481" s="29">
        <f>'Raw data'!K2390</f>
        <v>0</v>
      </c>
      <c r="K2481" s="31">
        <f>'Raw data'!H2390</f>
        <v>0</v>
      </c>
      <c r="L2481" s="26">
        <f t="shared" si="80"/>
        <v>0</v>
      </c>
    </row>
    <row r="2482" spans="2:12">
      <c r="B2482" s="4" t="e">
        <f t="shared" si="79"/>
        <v>#N/A</v>
      </c>
      <c r="C2482" s="4">
        <f>'Raw data'!E2058</f>
        <v>0</v>
      </c>
      <c r="D2482" s="29" t="e">
        <f>VLOOKUP(C2482,'점포코드 '!A:B,2,0)</f>
        <v>#N/A</v>
      </c>
      <c r="E2482" s="30">
        <f>'Raw data'!P2058</f>
        <v>0</v>
      </c>
      <c r="F2482" s="29" t="e">
        <f>VLOOKUP(E2482,'점포코드 '!A:B,2,0)</f>
        <v>#N/A</v>
      </c>
      <c r="G2482" s="46">
        <f>'Raw data'!F2391</f>
        <v>0</v>
      </c>
      <c r="H2482" s="4">
        <f>'Raw data'!G2391</f>
        <v>0</v>
      </c>
      <c r="I2482" s="29" t="e">
        <f>VLOOKUP(G2482,제품명!$C$1:$E$114,2,0)</f>
        <v>#N/A</v>
      </c>
      <c r="J2482" s="29">
        <f>'Raw data'!K2391</f>
        <v>0</v>
      </c>
      <c r="K2482" s="31">
        <f>'Raw data'!H2391</f>
        <v>0</v>
      </c>
      <c r="L2482" s="26">
        <f t="shared" si="80"/>
        <v>0</v>
      </c>
    </row>
    <row r="2483" spans="2:12">
      <c r="B2483" s="4" t="e">
        <f t="shared" si="79"/>
        <v>#N/A</v>
      </c>
      <c r="C2483" s="4">
        <f>'Raw data'!E2059</f>
        <v>0</v>
      </c>
      <c r="D2483" s="29" t="e">
        <f>VLOOKUP(C2483,'점포코드 '!A:B,2,0)</f>
        <v>#N/A</v>
      </c>
      <c r="E2483" s="30">
        <f>'Raw data'!P2059</f>
        <v>0</v>
      </c>
      <c r="F2483" s="29" t="e">
        <f>VLOOKUP(E2483,'점포코드 '!A:B,2,0)</f>
        <v>#N/A</v>
      </c>
      <c r="G2483" s="46">
        <f>'Raw data'!F2392</f>
        <v>0</v>
      </c>
      <c r="H2483" s="4">
        <f>'Raw data'!G2392</f>
        <v>0</v>
      </c>
      <c r="I2483" s="29" t="e">
        <f>VLOOKUP(G2483,제품명!$C$1:$E$114,2,0)</f>
        <v>#N/A</v>
      </c>
      <c r="J2483" s="29">
        <f>'Raw data'!K2392</f>
        <v>0</v>
      </c>
      <c r="K2483" s="31">
        <f>'Raw data'!H2392</f>
        <v>0</v>
      </c>
      <c r="L2483" s="26">
        <f t="shared" si="80"/>
        <v>0</v>
      </c>
    </row>
    <row r="2484" spans="2:12">
      <c r="B2484" s="4" t="e">
        <f t="shared" si="79"/>
        <v>#N/A</v>
      </c>
      <c r="C2484" s="4">
        <f>'Raw data'!E2060</f>
        <v>0</v>
      </c>
      <c r="D2484" s="29" t="e">
        <f>VLOOKUP(C2484,'점포코드 '!A:B,2,0)</f>
        <v>#N/A</v>
      </c>
      <c r="E2484" s="30">
        <f>'Raw data'!P2060</f>
        <v>0</v>
      </c>
      <c r="F2484" s="29" t="e">
        <f>VLOOKUP(E2484,'점포코드 '!A:B,2,0)</f>
        <v>#N/A</v>
      </c>
      <c r="G2484" s="46">
        <f>'Raw data'!F2393</f>
        <v>0</v>
      </c>
      <c r="H2484" s="4">
        <f>'Raw data'!G2393</f>
        <v>0</v>
      </c>
      <c r="I2484" s="29" t="e">
        <f>VLOOKUP(G2484,제품명!$C$1:$E$114,2,0)</f>
        <v>#N/A</v>
      </c>
      <c r="J2484" s="29">
        <f>'Raw data'!K2393</f>
        <v>0</v>
      </c>
      <c r="K2484" s="31">
        <f>'Raw data'!H2393</f>
        <v>0</v>
      </c>
      <c r="L2484" s="26">
        <f t="shared" si="80"/>
        <v>0</v>
      </c>
    </row>
    <row r="2485" spans="2:12">
      <c r="B2485" s="4" t="e">
        <f t="shared" si="79"/>
        <v>#N/A</v>
      </c>
      <c r="C2485" s="4">
        <f>'Raw data'!E2061</f>
        <v>0</v>
      </c>
      <c r="D2485" s="29" t="e">
        <f>VLOOKUP(C2485,'점포코드 '!A:B,2,0)</f>
        <v>#N/A</v>
      </c>
      <c r="E2485" s="30">
        <f>'Raw data'!P2061</f>
        <v>0</v>
      </c>
      <c r="F2485" s="29" t="e">
        <f>VLOOKUP(E2485,'점포코드 '!A:B,2,0)</f>
        <v>#N/A</v>
      </c>
      <c r="G2485" s="46">
        <f>'Raw data'!F2394</f>
        <v>0</v>
      </c>
      <c r="H2485" s="4">
        <f>'Raw data'!G2394</f>
        <v>0</v>
      </c>
      <c r="I2485" s="29" t="e">
        <f>VLOOKUP(G2485,제품명!$C$1:$E$114,2,0)</f>
        <v>#N/A</v>
      </c>
      <c r="J2485" s="29">
        <f>'Raw data'!K2394</f>
        <v>0</v>
      </c>
      <c r="K2485" s="31">
        <f>'Raw data'!H2394</f>
        <v>0</v>
      </c>
      <c r="L2485" s="26">
        <f t="shared" si="80"/>
        <v>0</v>
      </c>
    </row>
    <row r="2486" spans="2:12">
      <c r="B2486" s="4" t="e">
        <f t="shared" si="79"/>
        <v>#N/A</v>
      </c>
      <c r="C2486" s="4">
        <f>'Raw data'!E2062</f>
        <v>0</v>
      </c>
      <c r="D2486" s="29" t="e">
        <f>VLOOKUP(C2486,'점포코드 '!A:B,2,0)</f>
        <v>#N/A</v>
      </c>
      <c r="E2486" s="30">
        <f>'Raw data'!P2062</f>
        <v>0</v>
      </c>
      <c r="F2486" s="29" t="e">
        <f>VLOOKUP(E2486,'점포코드 '!A:B,2,0)</f>
        <v>#N/A</v>
      </c>
      <c r="G2486" s="46">
        <f>'Raw data'!F2395</f>
        <v>0</v>
      </c>
      <c r="H2486" s="4">
        <f>'Raw data'!G2395</f>
        <v>0</v>
      </c>
      <c r="I2486" s="29" t="e">
        <f>VLOOKUP(G2486,제품명!$C$1:$E$114,2,0)</f>
        <v>#N/A</v>
      </c>
      <c r="J2486" s="29">
        <f>'Raw data'!K2395</f>
        <v>0</v>
      </c>
      <c r="K2486" s="31">
        <f>'Raw data'!H2395</f>
        <v>0</v>
      </c>
      <c r="L2486" s="26">
        <f t="shared" si="80"/>
        <v>0</v>
      </c>
    </row>
    <row r="2487" spans="2:12">
      <c r="B2487" s="4" t="e">
        <f t="shared" si="79"/>
        <v>#N/A</v>
      </c>
      <c r="C2487" s="4">
        <f>'Raw data'!E2063</f>
        <v>0</v>
      </c>
      <c r="D2487" s="29" t="e">
        <f>VLOOKUP(C2487,'점포코드 '!A:B,2,0)</f>
        <v>#N/A</v>
      </c>
      <c r="E2487" s="30">
        <f>'Raw data'!P2063</f>
        <v>0</v>
      </c>
      <c r="F2487" s="29" t="e">
        <f>VLOOKUP(E2487,'점포코드 '!A:B,2,0)</f>
        <v>#N/A</v>
      </c>
      <c r="G2487" s="46">
        <f>'Raw data'!F2396</f>
        <v>0</v>
      </c>
      <c r="H2487" s="4">
        <f>'Raw data'!G2396</f>
        <v>0</v>
      </c>
      <c r="I2487" s="29" t="e">
        <f>VLOOKUP(G2487,제품명!$C$1:$E$114,2,0)</f>
        <v>#N/A</v>
      </c>
      <c r="J2487" s="29">
        <f>'Raw data'!K2396</f>
        <v>0</v>
      </c>
      <c r="K2487" s="31">
        <f>'Raw data'!H2396</f>
        <v>0</v>
      </c>
      <c r="L2487" s="26">
        <f t="shared" si="80"/>
        <v>0</v>
      </c>
    </row>
    <row r="2488" spans="2:12">
      <c r="B2488" s="4" t="e">
        <f t="shared" si="79"/>
        <v>#N/A</v>
      </c>
      <c r="C2488" s="4">
        <f>'Raw data'!E2064</f>
        <v>0</v>
      </c>
      <c r="D2488" s="29" t="e">
        <f>VLOOKUP(C2488,'점포코드 '!A:B,2,0)</f>
        <v>#N/A</v>
      </c>
      <c r="E2488" s="30">
        <f>'Raw data'!P2064</f>
        <v>0</v>
      </c>
      <c r="F2488" s="29" t="e">
        <f>VLOOKUP(E2488,'점포코드 '!A:B,2,0)</f>
        <v>#N/A</v>
      </c>
      <c r="G2488" s="46">
        <f>'Raw data'!F2397</f>
        <v>0</v>
      </c>
      <c r="H2488" s="4">
        <f>'Raw data'!G2397</f>
        <v>0</v>
      </c>
      <c r="I2488" s="29" t="e">
        <f>VLOOKUP(G2488,제품명!$C$1:$E$114,2,0)</f>
        <v>#N/A</v>
      </c>
      <c r="J2488" s="29">
        <f>'Raw data'!K2397</f>
        <v>0</v>
      </c>
      <c r="K2488" s="31">
        <f>'Raw data'!H2397</f>
        <v>0</v>
      </c>
      <c r="L2488" s="26">
        <f t="shared" si="80"/>
        <v>0</v>
      </c>
    </row>
    <row r="2489" spans="2:12">
      <c r="B2489" s="4" t="e">
        <f t="shared" si="79"/>
        <v>#N/A</v>
      </c>
      <c r="C2489" s="4">
        <f>'Raw data'!E2065</f>
        <v>0</v>
      </c>
      <c r="D2489" s="29" t="e">
        <f>VLOOKUP(C2489,'점포코드 '!A:B,2,0)</f>
        <v>#N/A</v>
      </c>
      <c r="E2489" s="30">
        <f>'Raw data'!P2065</f>
        <v>0</v>
      </c>
      <c r="F2489" s="29" t="e">
        <f>VLOOKUP(E2489,'점포코드 '!A:B,2,0)</f>
        <v>#N/A</v>
      </c>
      <c r="G2489" s="46">
        <f>'Raw data'!F2398</f>
        <v>0</v>
      </c>
      <c r="H2489" s="4">
        <f>'Raw data'!G2398</f>
        <v>0</v>
      </c>
      <c r="I2489" s="29" t="e">
        <f>VLOOKUP(G2489,제품명!$C$1:$E$114,2,0)</f>
        <v>#N/A</v>
      </c>
      <c r="J2489" s="29">
        <f>'Raw data'!K2398</f>
        <v>0</v>
      </c>
      <c r="K2489" s="31">
        <f>'Raw data'!H2398</f>
        <v>0</v>
      </c>
      <c r="L2489" s="26">
        <f t="shared" si="80"/>
        <v>0</v>
      </c>
    </row>
    <row r="2490" spans="2:12">
      <c r="B2490" s="4" t="e">
        <f t="shared" si="79"/>
        <v>#N/A</v>
      </c>
      <c r="C2490" s="4">
        <f>'Raw data'!E2066</f>
        <v>0</v>
      </c>
      <c r="D2490" s="29" t="e">
        <f>VLOOKUP(C2490,'점포코드 '!A:B,2,0)</f>
        <v>#N/A</v>
      </c>
      <c r="E2490" s="30">
        <f>'Raw data'!P2066</f>
        <v>0</v>
      </c>
      <c r="F2490" s="29" t="e">
        <f>VLOOKUP(E2490,'점포코드 '!A:B,2,0)</f>
        <v>#N/A</v>
      </c>
      <c r="G2490" s="46">
        <f>'Raw data'!F2399</f>
        <v>0</v>
      </c>
      <c r="H2490" s="4">
        <f>'Raw data'!G2399</f>
        <v>0</v>
      </c>
      <c r="I2490" s="29" t="e">
        <f>VLOOKUP(G2490,제품명!$C$1:$E$114,2,0)</f>
        <v>#N/A</v>
      </c>
      <c r="J2490" s="29">
        <f>'Raw data'!K2399</f>
        <v>0</v>
      </c>
      <c r="K2490" s="31">
        <f>'Raw data'!H2399</f>
        <v>0</v>
      </c>
      <c r="L2490" s="26">
        <f t="shared" si="80"/>
        <v>0</v>
      </c>
    </row>
    <row r="2491" spans="2:12">
      <c r="B2491" s="4" t="e">
        <f t="shared" si="79"/>
        <v>#N/A</v>
      </c>
      <c r="C2491" s="4">
        <f>'Raw data'!E2067</f>
        <v>0</v>
      </c>
      <c r="D2491" s="29" t="e">
        <f>VLOOKUP(C2491,'점포코드 '!A:B,2,0)</f>
        <v>#N/A</v>
      </c>
      <c r="E2491" s="30">
        <f>'Raw data'!P2067</f>
        <v>0</v>
      </c>
      <c r="F2491" s="29" t="e">
        <f>VLOOKUP(E2491,'점포코드 '!A:B,2,0)</f>
        <v>#N/A</v>
      </c>
      <c r="G2491" s="46">
        <f>'Raw data'!F2400</f>
        <v>0</v>
      </c>
      <c r="H2491" s="4">
        <f>'Raw data'!G2400</f>
        <v>0</v>
      </c>
      <c r="I2491" s="29" t="e">
        <f>VLOOKUP(G2491,제품명!$C$1:$E$114,2,0)</f>
        <v>#N/A</v>
      </c>
      <c r="J2491" s="29">
        <f>'Raw data'!K2400</f>
        <v>0</v>
      </c>
      <c r="K2491" s="31">
        <f>'Raw data'!H2400</f>
        <v>0</v>
      </c>
      <c r="L2491" s="26">
        <f t="shared" si="80"/>
        <v>0</v>
      </c>
    </row>
    <row r="2492" spans="2:12">
      <c r="B2492" s="4" t="e">
        <f t="shared" si="79"/>
        <v>#N/A</v>
      </c>
      <c r="C2492" s="4">
        <f>'Raw data'!E2068</f>
        <v>0</v>
      </c>
      <c r="D2492" s="29" t="e">
        <f>VLOOKUP(C2492,'점포코드 '!A:B,2,0)</f>
        <v>#N/A</v>
      </c>
      <c r="E2492" s="30">
        <f>'Raw data'!P2068</f>
        <v>0</v>
      </c>
      <c r="F2492" s="29" t="e">
        <f>VLOOKUP(E2492,'점포코드 '!A:B,2,0)</f>
        <v>#N/A</v>
      </c>
      <c r="G2492" s="46">
        <f>'Raw data'!F2401</f>
        <v>0</v>
      </c>
      <c r="H2492" s="4">
        <f>'Raw data'!G2401</f>
        <v>0</v>
      </c>
      <c r="I2492" s="29" t="e">
        <f>VLOOKUP(G2492,제품명!$C$1:$E$114,2,0)</f>
        <v>#N/A</v>
      </c>
      <c r="J2492" s="29">
        <f>'Raw data'!K2401</f>
        <v>0</v>
      </c>
      <c r="K2492" s="31">
        <f>'Raw data'!H2401</f>
        <v>0</v>
      </c>
      <c r="L2492" s="26">
        <f t="shared" si="80"/>
        <v>0</v>
      </c>
    </row>
    <row r="2493" spans="2:12">
      <c r="B2493" s="4" t="e">
        <f t="shared" si="79"/>
        <v>#N/A</v>
      </c>
      <c r="C2493" s="4">
        <f>'Raw data'!E2069</f>
        <v>0</v>
      </c>
      <c r="D2493" s="29" t="e">
        <f>VLOOKUP(C2493,'점포코드 '!A:B,2,0)</f>
        <v>#N/A</v>
      </c>
      <c r="E2493" s="30">
        <f>'Raw data'!P2069</f>
        <v>0</v>
      </c>
      <c r="F2493" s="29" t="e">
        <f>VLOOKUP(E2493,'점포코드 '!A:B,2,0)</f>
        <v>#N/A</v>
      </c>
      <c r="G2493" s="46">
        <f>'Raw data'!F2402</f>
        <v>0</v>
      </c>
      <c r="H2493" s="4">
        <f>'Raw data'!G2402</f>
        <v>0</v>
      </c>
      <c r="I2493" s="29" t="e">
        <f>VLOOKUP(G2493,제품명!$C$1:$E$114,2,0)</f>
        <v>#N/A</v>
      </c>
      <c r="J2493" s="29">
        <f>'Raw data'!K2402</f>
        <v>0</v>
      </c>
      <c r="K2493" s="31">
        <f>'Raw data'!H2402</f>
        <v>0</v>
      </c>
      <c r="L2493" s="26">
        <f t="shared" si="80"/>
        <v>0</v>
      </c>
    </row>
    <row r="2494" spans="2:12">
      <c r="B2494" s="4" t="e">
        <f t="shared" si="79"/>
        <v>#N/A</v>
      </c>
      <c r="C2494" s="4">
        <f>'Raw data'!E2070</f>
        <v>0</v>
      </c>
      <c r="D2494" s="29" t="e">
        <f>VLOOKUP(C2494,'점포코드 '!A:B,2,0)</f>
        <v>#N/A</v>
      </c>
      <c r="E2494" s="30">
        <f>'Raw data'!P2070</f>
        <v>0</v>
      </c>
      <c r="F2494" s="29" t="e">
        <f>VLOOKUP(E2494,'점포코드 '!A:B,2,0)</f>
        <v>#N/A</v>
      </c>
      <c r="G2494" s="46">
        <f>'Raw data'!F2403</f>
        <v>0</v>
      </c>
      <c r="H2494" s="4">
        <f>'Raw data'!G2403</f>
        <v>0</v>
      </c>
      <c r="I2494" s="29" t="e">
        <f>VLOOKUP(G2494,제품명!$C$1:$E$114,2,0)</f>
        <v>#N/A</v>
      </c>
      <c r="J2494" s="29">
        <f>'Raw data'!K2403</f>
        <v>0</v>
      </c>
      <c r="K2494" s="31">
        <f>'Raw data'!H2403</f>
        <v>0</v>
      </c>
      <c r="L2494" s="26">
        <f t="shared" si="80"/>
        <v>0</v>
      </c>
    </row>
    <row r="2495" spans="2:12">
      <c r="B2495" s="4" t="e">
        <f t="shared" si="79"/>
        <v>#N/A</v>
      </c>
      <c r="C2495" s="4">
        <f>'Raw data'!E2071</f>
        <v>0</v>
      </c>
      <c r="D2495" s="29" t="e">
        <f>VLOOKUP(C2495,'점포코드 '!A:B,2,0)</f>
        <v>#N/A</v>
      </c>
      <c r="E2495" s="30">
        <f>'Raw data'!P2071</f>
        <v>0</v>
      </c>
      <c r="F2495" s="29" t="e">
        <f>VLOOKUP(E2495,'점포코드 '!A:B,2,0)</f>
        <v>#N/A</v>
      </c>
      <c r="G2495" s="46">
        <f>'Raw data'!F2404</f>
        <v>0</v>
      </c>
      <c r="H2495" s="4">
        <f>'Raw data'!G2404</f>
        <v>0</v>
      </c>
      <c r="I2495" s="29" t="e">
        <f>VLOOKUP(G2495,제품명!$C$1:$E$114,2,0)</f>
        <v>#N/A</v>
      </c>
      <c r="J2495" s="29">
        <f>'Raw data'!K2404</f>
        <v>0</v>
      </c>
      <c r="K2495" s="31">
        <f>'Raw data'!H2404</f>
        <v>0</v>
      </c>
      <c r="L2495" s="26">
        <f t="shared" si="80"/>
        <v>0</v>
      </c>
    </row>
    <row r="2496" spans="2:12">
      <c r="B2496" s="4" t="e">
        <f t="shared" si="79"/>
        <v>#N/A</v>
      </c>
      <c r="C2496" s="4">
        <f>'Raw data'!E2072</f>
        <v>0</v>
      </c>
      <c r="D2496" s="29" t="e">
        <f>VLOOKUP(C2496,'점포코드 '!A:B,2,0)</f>
        <v>#N/A</v>
      </c>
      <c r="E2496" s="30">
        <f>'Raw data'!P2072</f>
        <v>0</v>
      </c>
      <c r="F2496" s="29" t="e">
        <f>VLOOKUP(E2496,'점포코드 '!A:B,2,0)</f>
        <v>#N/A</v>
      </c>
      <c r="G2496" s="46">
        <f>'Raw data'!F2405</f>
        <v>0</v>
      </c>
      <c r="H2496" s="4">
        <f>'Raw data'!G2405</f>
        <v>0</v>
      </c>
      <c r="I2496" s="29" t="e">
        <f>VLOOKUP(G2496,제품명!$C$1:$E$114,2,0)</f>
        <v>#N/A</v>
      </c>
      <c r="J2496" s="29">
        <f>'Raw data'!K2405</f>
        <v>0</v>
      </c>
      <c r="K2496" s="31">
        <f>'Raw data'!H2405</f>
        <v>0</v>
      </c>
      <c r="L2496" s="26">
        <f t="shared" si="80"/>
        <v>0</v>
      </c>
    </row>
    <row r="2497" spans="2:12">
      <c r="B2497" s="4" t="e">
        <f t="shared" si="79"/>
        <v>#N/A</v>
      </c>
      <c r="C2497" s="4">
        <f>'Raw data'!E2073</f>
        <v>0</v>
      </c>
      <c r="D2497" s="29" t="e">
        <f>VLOOKUP(C2497,'점포코드 '!A:B,2,0)</f>
        <v>#N/A</v>
      </c>
      <c r="E2497" s="30">
        <f>'Raw data'!P2073</f>
        <v>0</v>
      </c>
      <c r="F2497" s="29" t="e">
        <f>VLOOKUP(E2497,'점포코드 '!A:B,2,0)</f>
        <v>#N/A</v>
      </c>
      <c r="G2497" s="46">
        <f>'Raw data'!F2406</f>
        <v>0</v>
      </c>
      <c r="H2497" s="4">
        <f>'Raw data'!G2406</f>
        <v>0</v>
      </c>
      <c r="I2497" s="29" t="e">
        <f>VLOOKUP(G2497,제품명!$C$1:$E$114,2,0)</f>
        <v>#N/A</v>
      </c>
      <c r="J2497" s="29">
        <f>'Raw data'!K2406</f>
        <v>0</v>
      </c>
      <c r="K2497" s="31">
        <f>'Raw data'!H2406</f>
        <v>0</v>
      </c>
      <c r="L2497" s="26">
        <f t="shared" si="80"/>
        <v>0</v>
      </c>
    </row>
    <row r="2498" spans="2:12">
      <c r="B2498" s="4" t="e">
        <f t="shared" ref="B2498:B2561" si="81">F2498&amp;I2498</f>
        <v>#N/A</v>
      </c>
      <c r="C2498" s="4">
        <f>'Raw data'!E2074</f>
        <v>0</v>
      </c>
      <c r="D2498" s="29" t="e">
        <f>VLOOKUP(C2498,'점포코드 '!A:B,2,0)</f>
        <v>#N/A</v>
      </c>
      <c r="E2498" s="30">
        <f>'Raw data'!P2074</f>
        <v>0</v>
      </c>
      <c r="F2498" s="29" t="e">
        <f>VLOOKUP(E2498,'점포코드 '!A:B,2,0)</f>
        <v>#N/A</v>
      </c>
      <c r="G2498" s="46">
        <f>'Raw data'!F2407</f>
        <v>0</v>
      </c>
      <c r="H2498" s="4">
        <f>'Raw data'!G2407</f>
        <v>0</v>
      </c>
      <c r="I2498" s="29" t="e">
        <f>VLOOKUP(G2498,제품명!$C$1:$E$114,2,0)</f>
        <v>#N/A</v>
      </c>
      <c r="J2498" s="29">
        <f>'Raw data'!K2407</f>
        <v>0</v>
      </c>
      <c r="K2498" s="31">
        <f>'Raw data'!H2407</f>
        <v>0</v>
      </c>
      <c r="L2498" s="26">
        <f t="shared" si="80"/>
        <v>0</v>
      </c>
    </row>
    <row r="2499" spans="2:12">
      <c r="B2499" s="4" t="e">
        <f t="shared" si="81"/>
        <v>#N/A</v>
      </c>
      <c r="C2499" s="4">
        <f>'Raw data'!E2075</f>
        <v>0</v>
      </c>
      <c r="D2499" s="29" t="e">
        <f>VLOOKUP(C2499,'점포코드 '!A:B,2,0)</f>
        <v>#N/A</v>
      </c>
      <c r="E2499" s="30">
        <f>'Raw data'!P2075</f>
        <v>0</v>
      </c>
      <c r="F2499" s="29" t="e">
        <f>VLOOKUP(E2499,'점포코드 '!A:B,2,0)</f>
        <v>#N/A</v>
      </c>
      <c r="G2499" s="46">
        <f>'Raw data'!F2408</f>
        <v>0</v>
      </c>
      <c r="H2499" s="4">
        <f>'Raw data'!G2408</f>
        <v>0</v>
      </c>
      <c r="I2499" s="29" t="e">
        <f>VLOOKUP(G2499,제품명!$C$1:$E$114,2,0)</f>
        <v>#N/A</v>
      </c>
      <c r="J2499" s="29">
        <f>'Raw data'!K2408</f>
        <v>0</v>
      </c>
      <c r="K2499" s="31">
        <f>'Raw data'!H2408</f>
        <v>0</v>
      </c>
      <c r="L2499" s="26">
        <f t="shared" ref="L2499:L2562" si="82">J2499*K2499</f>
        <v>0</v>
      </c>
    </row>
    <row r="2500" spans="2:12">
      <c r="B2500" s="4" t="e">
        <f t="shared" si="81"/>
        <v>#N/A</v>
      </c>
      <c r="C2500" s="4">
        <f>'Raw data'!E2076</f>
        <v>0</v>
      </c>
      <c r="D2500" s="29" t="e">
        <f>VLOOKUP(C2500,'점포코드 '!A:B,2,0)</f>
        <v>#N/A</v>
      </c>
      <c r="E2500" s="30">
        <f>'Raw data'!P2076</f>
        <v>0</v>
      </c>
      <c r="F2500" s="29" t="e">
        <f>VLOOKUP(E2500,'점포코드 '!A:B,2,0)</f>
        <v>#N/A</v>
      </c>
      <c r="G2500" s="46">
        <f>'Raw data'!F2409</f>
        <v>0</v>
      </c>
      <c r="H2500" s="4">
        <f>'Raw data'!G2409</f>
        <v>0</v>
      </c>
      <c r="I2500" s="29" t="e">
        <f>VLOOKUP(G2500,제품명!$C$1:$E$114,2,0)</f>
        <v>#N/A</v>
      </c>
      <c r="J2500" s="29">
        <f>'Raw data'!K2409</f>
        <v>0</v>
      </c>
      <c r="K2500" s="31">
        <f>'Raw data'!H2409</f>
        <v>0</v>
      </c>
      <c r="L2500" s="26">
        <f t="shared" si="82"/>
        <v>0</v>
      </c>
    </row>
    <row r="2501" spans="2:12">
      <c r="B2501" s="4" t="e">
        <f t="shared" si="81"/>
        <v>#N/A</v>
      </c>
      <c r="C2501" s="4">
        <f>'Raw data'!E2077</f>
        <v>0</v>
      </c>
      <c r="D2501" s="29" t="e">
        <f>VLOOKUP(C2501,'점포코드 '!A:B,2,0)</f>
        <v>#N/A</v>
      </c>
      <c r="E2501" s="30">
        <f>'Raw data'!P2077</f>
        <v>0</v>
      </c>
      <c r="F2501" s="29" t="e">
        <f>VLOOKUP(E2501,'점포코드 '!A:B,2,0)</f>
        <v>#N/A</v>
      </c>
      <c r="G2501" s="46">
        <f>'Raw data'!F2410</f>
        <v>0</v>
      </c>
      <c r="H2501" s="4">
        <f>'Raw data'!G2410</f>
        <v>0</v>
      </c>
      <c r="I2501" s="29" t="e">
        <f>VLOOKUP(G2501,제품명!$C$1:$E$114,2,0)</f>
        <v>#N/A</v>
      </c>
      <c r="J2501" s="29">
        <f>'Raw data'!K2410</f>
        <v>0</v>
      </c>
      <c r="K2501" s="31">
        <f>'Raw data'!H2410</f>
        <v>0</v>
      </c>
      <c r="L2501" s="26">
        <f t="shared" si="82"/>
        <v>0</v>
      </c>
    </row>
    <row r="2502" spans="2:12">
      <c r="B2502" s="4" t="e">
        <f t="shared" si="81"/>
        <v>#N/A</v>
      </c>
      <c r="C2502" s="4">
        <f>'Raw data'!E2078</f>
        <v>0</v>
      </c>
      <c r="D2502" s="29" t="e">
        <f>VLOOKUP(C2502,'점포코드 '!A:B,2,0)</f>
        <v>#N/A</v>
      </c>
      <c r="E2502" s="30">
        <f>'Raw data'!P2078</f>
        <v>0</v>
      </c>
      <c r="F2502" s="29" t="e">
        <f>VLOOKUP(E2502,'점포코드 '!A:B,2,0)</f>
        <v>#N/A</v>
      </c>
      <c r="G2502" s="46">
        <f>'Raw data'!F2411</f>
        <v>0</v>
      </c>
      <c r="H2502" s="4">
        <f>'Raw data'!G2411</f>
        <v>0</v>
      </c>
      <c r="I2502" s="29" t="e">
        <f>VLOOKUP(G2502,제품명!$C$1:$E$114,2,0)</f>
        <v>#N/A</v>
      </c>
      <c r="J2502" s="29">
        <f>'Raw data'!K2411</f>
        <v>0</v>
      </c>
      <c r="K2502" s="31">
        <f>'Raw data'!H2411</f>
        <v>0</v>
      </c>
      <c r="L2502" s="26">
        <f t="shared" si="82"/>
        <v>0</v>
      </c>
    </row>
    <row r="2503" spans="2:12">
      <c r="B2503" s="4" t="e">
        <f t="shared" si="81"/>
        <v>#N/A</v>
      </c>
      <c r="C2503" s="4">
        <f>'Raw data'!E2079</f>
        <v>0</v>
      </c>
      <c r="D2503" s="29" t="e">
        <f>VLOOKUP(C2503,'점포코드 '!A:B,2,0)</f>
        <v>#N/A</v>
      </c>
      <c r="E2503" s="30">
        <f>'Raw data'!P2079</f>
        <v>0</v>
      </c>
      <c r="F2503" s="29" t="e">
        <f>VLOOKUP(E2503,'점포코드 '!A:B,2,0)</f>
        <v>#N/A</v>
      </c>
      <c r="G2503" s="46">
        <f>'Raw data'!F2412</f>
        <v>0</v>
      </c>
      <c r="H2503" s="4">
        <f>'Raw data'!G2412</f>
        <v>0</v>
      </c>
      <c r="I2503" s="29" t="e">
        <f>VLOOKUP(G2503,제품명!$C$1:$E$114,2,0)</f>
        <v>#N/A</v>
      </c>
      <c r="J2503" s="29">
        <f>'Raw data'!K2412</f>
        <v>0</v>
      </c>
      <c r="K2503" s="31">
        <f>'Raw data'!H2412</f>
        <v>0</v>
      </c>
      <c r="L2503" s="26">
        <f t="shared" si="82"/>
        <v>0</v>
      </c>
    </row>
    <row r="2504" spans="2:12">
      <c r="B2504" s="4" t="e">
        <f t="shared" si="81"/>
        <v>#N/A</v>
      </c>
      <c r="C2504" s="4">
        <f>'Raw data'!E2080</f>
        <v>0</v>
      </c>
      <c r="D2504" s="29" t="e">
        <f>VLOOKUP(C2504,'점포코드 '!A:B,2,0)</f>
        <v>#N/A</v>
      </c>
      <c r="E2504" s="30">
        <f>'Raw data'!P2080</f>
        <v>0</v>
      </c>
      <c r="F2504" s="29" t="e">
        <f>VLOOKUP(E2504,'점포코드 '!A:B,2,0)</f>
        <v>#N/A</v>
      </c>
      <c r="G2504" s="46">
        <f>'Raw data'!F2413</f>
        <v>0</v>
      </c>
      <c r="H2504" s="4">
        <f>'Raw data'!G2413</f>
        <v>0</v>
      </c>
      <c r="I2504" s="29" t="e">
        <f>VLOOKUP(G2504,제품명!$C$1:$E$114,2,0)</f>
        <v>#N/A</v>
      </c>
      <c r="J2504" s="29">
        <f>'Raw data'!K2413</f>
        <v>0</v>
      </c>
      <c r="K2504" s="31">
        <f>'Raw data'!H2413</f>
        <v>0</v>
      </c>
      <c r="L2504" s="26">
        <f t="shared" si="82"/>
        <v>0</v>
      </c>
    </row>
    <row r="2505" spans="2:12">
      <c r="B2505" s="4" t="e">
        <f t="shared" si="81"/>
        <v>#N/A</v>
      </c>
      <c r="C2505" s="4">
        <f>'Raw data'!E2081</f>
        <v>0</v>
      </c>
      <c r="D2505" s="29" t="e">
        <f>VLOOKUP(C2505,'점포코드 '!A:B,2,0)</f>
        <v>#N/A</v>
      </c>
      <c r="E2505" s="30">
        <f>'Raw data'!P2081</f>
        <v>0</v>
      </c>
      <c r="F2505" s="29" t="e">
        <f>VLOOKUP(E2505,'점포코드 '!A:B,2,0)</f>
        <v>#N/A</v>
      </c>
      <c r="G2505" s="46">
        <f>'Raw data'!F2414</f>
        <v>0</v>
      </c>
      <c r="H2505" s="4">
        <f>'Raw data'!G2414</f>
        <v>0</v>
      </c>
      <c r="I2505" s="29" t="e">
        <f>VLOOKUP(G2505,제품명!$C$1:$E$114,2,0)</f>
        <v>#N/A</v>
      </c>
      <c r="J2505" s="29">
        <f>'Raw data'!K2414</f>
        <v>0</v>
      </c>
      <c r="K2505" s="31">
        <f>'Raw data'!H2414</f>
        <v>0</v>
      </c>
      <c r="L2505" s="26">
        <f t="shared" si="82"/>
        <v>0</v>
      </c>
    </row>
    <row r="2506" spans="2:12">
      <c r="B2506" s="4" t="e">
        <f t="shared" si="81"/>
        <v>#N/A</v>
      </c>
      <c r="C2506" s="4">
        <f>'Raw data'!E2082</f>
        <v>0</v>
      </c>
      <c r="D2506" s="29" t="e">
        <f>VLOOKUP(C2506,'점포코드 '!A:B,2,0)</f>
        <v>#N/A</v>
      </c>
      <c r="E2506" s="30">
        <f>'Raw data'!P2082</f>
        <v>0</v>
      </c>
      <c r="F2506" s="29" t="e">
        <f>VLOOKUP(E2506,'점포코드 '!A:B,2,0)</f>
        <v>#N/A</v>
      </c>
      <c r="G2506" s="46">
        <f>'Raw data'!F2415</f>
        <v>0</v>
      </c>
      <c r="H2506" s="4">
        <f>'Raw data'!G2415</f>
        <v>0</v>
      </c>
      <c r="I2506" s="29" t="e">
        <f>VLOOKUP(G2506,제품명!$C$1:$E$114,2,0)</f>
        <v>#N/A</v>
      </c>
      <c r="J2506" s="29">
        <f>'Raw data'!K2415</f>
        <v>0</v>
      </c>
      <c r="K2506" s="31">
        <f>'Raw data'!H2415</f>
        <v>0</v>
      </c>
      <c r="L2506" s="26">
        <f t="shared" si="82"/>
        <v>0</v>
      </c>
    </row>
    <row r="2507" spans="2:12">
      <c r="B2507" s="4" t="e">
        <f t="shared" si="81"/>
        <v>#N/A</v>
      </c>
      <c r="C2507" s="4">
        <f>'Raw data'!E2083</f>
        <v>0</v>
      </c>
      <c r="D2507" s="29" t="e">
        <f>VLOOKUP(C2507,'점포코드 '!A:B,2,0)</f>
        <v>#N/A</v>
      </c>
      <c r="E2507" s="30">
        <f>'Raw data'!P2083</f>
        <v>0</v>
      </c>
      <c r="F2507" s="29" t="e">
        <f>VLOOKUP(E2507,'점포코드 '!A:B,2,0)</f>
        <v>#N/A</v>
      </c>
      <c r="G2507" s="46">
        <f>'Raw data'!F2416</f>
        <v>0</v>
      </c>
      <c r="H2507" s="4">
        <f>'Raw data'!G2416</f>
        <v>0</v>
      </c>
      <c r="I2507" s="29" t="e">
        <f>VLOOKUP(G2507,제품명!$C$1:$E$114,2,0)</f>
        <v>#N/A</v>
      </c>
      <c r="J2507" s="29">
        <f>'Raw data'!K2416</f>
        <v>0</v>
      </c>
      <c r="K2507" s="31">
        <f>'Raw data'!H2416</f>
        <v>0</v>
      </c>
      <c r="L2507" s="26">
        <f t="shared" si="82"/>
        <v>0</v>
      </c>
    </row>
    <row r="2508" spans="2:12">
      <c r="B2508" s="4" t="e">
        <f t="shared" si="81"/>
        <v>#N/A</v>
      </c>
      <c r="C2508" s="4">
        <f>'Raw data'!E2084</f>
        <v>0</v>
      </c>
      <c r="D2508" s="29" t="e">
        <f>VLOOKUP(C2508,'점포코드 '!A:B,2,0)</f>
        <v>#N/A</v>
      </c>
      <c r="E2508" s="30">
        <f>'Raw data'!P2084</f>
        <v>0</v>
      </c>
      <c r="F2508" s="29" t="e">
        <f>VLOOKUP(E2508,'점포코드 '!A:B,2,0)</f>
        <v>#N/A</v>
      </c>
      <c r="G2508" s="46">
        <f>'Raw data'!F2417</f>
        <v>0</v>
      </c>
      <c r="H2508" s="4">
        <f>'Raw data'!G2417</f>
        <v>0</v>
      </c>
      <c r="I2508" s="29" t="e">
        <f>VLOOKUP(G2508,제품명!$C$1:$E$114,2,0)</f>
        <v>#N/A</v>
      </c>
      <c r="J2508" s="29">
        <f>'Raw data'!K2417</f>
        <v>0</v>
      </c>
      <c r="K2508" s="31">
        <f>'Raw data'!H2417</f>
        <v>0</v>
      </c>
      <c r="L2508" s="26">
        <f t="shared" si="82"/>
        <v>0</v>
      </c>
    </row>
    <row r="2509" spans="2:12">
      <c r="B2509" s="4" t="e">
        <f t="shared" si="81"/>
        <v>#N/A</v>
      </c>
      <c r="C2509" s="4">
        <f>'Raw data'!E2085</f>
        <v>0</v>
      </c>
      <c r="D2509" s="29" t="e">
        <f>VLOOKUP(C2509,'점포코드 '!A:B,2,0)</f>
        <v>#N/A</v>
      </c>
      <c r="E2509" s="30">
        <f>'Raw data'!P2085</f>
        <v>0</v>
      </c>
      <c r="F2509" s="29" t="e">
        <f>VLOOKUP(E2509,'점포코드 '!A:B,2,0)</f>
        <v>#N/A</v>
      </c>
      <c r="G2509" s="46">
        <f>'Raw data'!F2418</f>
        <v>0</v>
      </c>
      <c r="H2509" s="4">
        <f>'Raw data'!G2418</f>
        <v>0</v>
      </c>
      <c r="I2509" s="29" t="e">
        <f>VLOOKUP(G2509,제품명!$C$1:$E$114,2,0)</f>
        <v>#N/A</v>
      </c>
      <c r="J2509" s="29">
        <f>'Raw data'!K2418</f>
        <v>0</v>
      </c>
      <c r="K2509" s="31">
        <f>'Raw data'!H2418</f>
        <v>0</v>
      </c>
      <c r="L2509" s="26">
        <f t="shared" si="82"/>
        <v>0</v>
      </c>
    </row>
    <row r="2510" spans="2:12">
      <c r="B2510" s="4" t="e">
        <f t="shared" si="81"/>
        <v>#N/A</v>
      </c>
      <c r="C2510" s="4">
        <f>'Raw data'!E2086</f>
        <v>0</v>
      </c>
      <c r="D2510" s="29" t="e">
        <f>VLOOKUP(C2510,'점포코드 '!A:B,2,0)</f>
        <v>#N/A</v>
      </c>
      <c r="E2510" s="30">
        <f>'Raw data'!P2086</f>
        <v>0</v>
      </c>
      <c r="F2510" s="29" t="e">
        <f>VLOOKUP(E2510,'점포코드 '!A:B,2,0)</f>
        <v>#N/A</v>
      </c>
      <c r="G2510" s="46">
        <f>'Raw data'!F2419</f>
        <v>0</v>
      </c>
      <c r="H2510" s="4">
        <f>'Raw data'!G2419</f>
        <v>0</v>
      </c>
      <c r="I2510" s="29" t="e">
        <f>VLOOKUP(G2510,제품명!$C$1:$E$114,2,0)</f>
        <v>#N/A</v>
      </c>
      <c r="J2510" s="29">
        <f>'Raw data'!K2419</f>
        <v>0</v>
      </c>
      <c r="K2510" s="31">
        <f>'Raw data'!H2419</f>
        <v>0</v>
      </c>
      <c r="L2510" s="26">
        <f t="shared" si="82"/>
        <v>0</v>
      </c>
    </row>
    <row r="2511" spans="2:12">
      <c r="B2511" s="4" t="e">
        <f t="shared" si="81"/>
        <v>#N/A</v>
      </c>
      <c r="C2511" s="4">
        <f>'Raw data'!E2087</f>
        <v>0</v>
      </c>
      <c r="D2511" s="29" t="e">
        <f>VLOOKUP(C2511,'점포코드 '!A:B,2,0)</f>
        <v>#N/A</v>
      </c>
      <c r="E2511" s="30">
        <f>'Raw data'!P2087</f>
        <v>0</v>
      </c>
      <c r="F2511" s="29" t="e">
        <f>VLOOKUP(E2511,'점포코드 '!A:B,2,0)</f>
        <v>#N/A</v>
      </c>
      <c r="G2511" s="46">
        <f>'Raw data'!F2420</f>
        <v>0</v>
      </c>
      <c r="H2511" s="4">
        <f>'Raw data'!G2420</f>
        <v>0</v>
      </c>
      <c r="I2511" s="29" t="e">
        <f>VLOOKUP(G2511,제품명!$C$1:$E$114,2,0)</f>
        <v>#N/A</v>
      </c>
      <c r="J2511" s="29">
        <f>'Raw data'!K2420</f>
        <v>0</v>
      </c>
      <c r="K2511" s="31">
        <f>'Raw data'!H2420</f>
        <v>0</v>
      </c>
      <c r="L2511" s="26">
        <f t="shared" si="82"/>
        <v>0</v>
      </c>
    </row>
    <row r="2512" spans="2:12">
      <c r="B2512" s="4" t="e">
        <f t="shared" si="81"/>
        <v>#N/A</v>
      </c>
      <c r="C2512" s="4">
        <f>'Raw data'!E2088</f>
        <v>0</v>
      </c>
      <c r="D2512" s="29" t="e">
        <f>VLOOKUP(C2512,'점포코드 '!A:B,2,0)</f>
        <v>#N/A</v>
      </c>
      <c r="E2512" s="30">
        <f>'Raw data'!P2088</f>
        <v>0</v>
      </c>
      <c r="F2512" s="29" t="e">
        <f>VLOOKUP(E2512,'점포코드 '!A:B,2,0)</f>
        <v>#N/A</v>
      </c>
      <c r="G2512" s="46">
        <f>'Raw data'!F2421</f>
        <v>0</v>
      </c>
      <c r="H2512" s="4">
        <f>'Raw data'!G2421</f>
        <v>0</v>
      </c>
      <c r="I2512" s="29" t="e">
        <f>VLOOKUP(G2512,제품명!$C$1:$E$114,2,0)</f>
        <v>#N/A</v>
      </c>
      <c r="J2512" s="29">
        <f>'Raw data'!K2421</f>
        <v>0</v>
      </c>
      <c r="K2512" s="31">
        <f>'Raw data'!H2421</f>
        <v>0</v>
      </c>
      <c r="L2512" s="26">
        <f t="shared" si="82"/>
        <v>0</v>
      </c>
    </row>
    <row r="2513" spans="2:12">
      <c r="B2513" s="4" t="e">
        <f t="shared" si="81"/>
        <v>#N/A</v>
      </c>
      <c r="C2513" s="4">
        <f>'Raw data'!E2089</f>
        <v>0</v>
      </c>
      <c r="D2513" s="29" t="e">
        <f>VLOOKUP(C2513,'점포코드 '!A:B,2,0)</f>
        <v>#N/A</v>
      </c>
      <c r="E2513" s="30">
        <f>'Raw data'!P2089</f>
        <v>0</v>
      </c>
      <c r="F2513" s="29" t="e">
        <f>VLOOKUP(E2513,'점포코드 '!A:B,2,0)</f>
        <v>#N/A</v>
      </c>
      <c r="G2513" s="46">
        <f>'Raw data'!F2422</f>
        <v>0</v>
      </c>
      <c r="H2513" s="4">
        <f>'Raw data'!G2422</f>
        <v>0</v>
      </c>
      <c r="I2513" s="29" t="e">
        <f>VLOOKUP(G2513,제품명!$C$1:$E$114,2,0)</f>
        <v>#N/A</v>
      </c>
      <c r="J2513" s="29">
        <f>'Raw data'!K2422</f>
        <v>0</v>
      </c>
      <c r="K2513" s="31">
        <f>'Raw data'!H2422</f>
        <v>0</v>
      </c>
      <c r="L2513" s="26">
        <f t="shared" si="82"/>
        <v>0</v>
      </c>
    </row>
    <row r="2514" spans="2:12">
      <c r="B2514" s="4" t="e">
        <f t="shared" si="81"/>
        <v>#N/A</v>
      </c>
      <c r="C2514" s="4">
        <f>'Raw data'!E2090</f>
        <v>0</v>
      </c>
      <c r="D2514" s="29" t="e">
        <f>VLOOKUP(C2514,'점포코드 '!A:B,2,0)</f>
        <v>#N/A</v>
      </c>
      <c r="E2514" s="30">
        <f>'Raw data'!P2090</f>
        <v>0</v>
      </c>
      <c r="F2514" s="29" t="e">
        <f>VLOOKUP(E2514,'점포코드 '!A:B,2,0)</f>
        <v>#N/A</v>
      </c>
      <c r="G2514" s="46">
        <f>'Raw data'!F2423</f>
        <v>0</v>
      </c>
      <c r="H2514" s="4">
        <f>'Raw data'!G2423</f>
        <v>0</v>
      </c>
      <c r="I2514" s="29" t="e">
        <f>VLOOKUP(G2514,제품명!$C$1:$E$114,2,0)</f>
        <v>#N/A</v>
      </c>
      <c r="J2514" s="29">
        <f>'Raw data'!K2423</f>
        <v>0</v>
      </c>
      <c r="K2514" s="31">
        <f>'Raw data'!H2423</f>
        <v>0</v>
      </c>
      <c r="L2514" s="26">
        <f t="shared" si="82"/>
        <v>0</v>
      </c>
    </row>
    <row r="2515" spans="2:12">
      <c r="B2515" s="4" t="e">
        <f t="shared" si="81"/>
        <v>#N/A</v>
      </c>
      <c r="C2515" s="4">
        <f>'Raw data'!E2091</f>
        <v>0</v>
      </c>
      <c r="D2515" s="29" t="e">
        <f>VLOOKUP(C2515,'점포코드 '!A:B,2,0)</f>
        <v>#N/A</v>
      </c>
      <c r="E2515" s="30">
        <f>'Raw data'!P2091</f>
        <v>0</v>
      </c>
      <c r="F2515" s="29" t="e">
        <f>VLOOKUP(E2515,'점포코드 '!A:B,2,0)</f>
        <v>#N/A</v>
      </c>
      <c r="G2515" s="46">
        <f>'Raw data'!F2424</f>
        <v>0</v>
      </c>
      <c r="H2515" s="4">
        <f>'Raw data'!G2424</f>
        <v>0</v>
      </c>
      <c r="I2515" s="29" t="e">
        <f>VLOOKUP(G2515,제품명!$C$1:$E$114,2,0)</f>
        <v>#N/A</v>
      </c>
      <c r="J2515" s="29">
        <f>'Raw data'!K2424</f>
        <v>0</v>
      </c>
      <c r="K2515" s="31">
        <f>'Raw data'!H2424</f>
        <v>0</v>
      </c>
      <c r="L2515" s="26">
        <f t="shared" si="82"/>
        <v>0</v>
      </c>
    </row>
    <row r="2516" spans="2:12">
      <c r="B2516" s="4" t="e">
        <f t="shared" si="81"/>
        <v>#N/A</v>
      </c>
      <c r="C2516" s="4">
        <f>'Raw data'!E2092</f>
        <v>0</v>
      </c>
      <c r="D2516" s="29" t="e">
        <f>VLOOKUP(C2516,'점포코드 '!A:B,2,0)</f>
        <v>#N/A</v>
      </c>
      <c r="E2516" s="30">
        <f>'Raw data'!P2092</f>
        <v>0</v>
      </c>
      <c r="F2516" s="29" t="e">
        <f>VLOOKUP(E2516,'점포코드 '!A:B,2,0)</f>
        <v>#N/A</v>
      </c>
      <c r="G2516" s="46">
        <f>'Raw data'!F2425</f>
        <v>0</v>
      </c>
      <c r="H2516" s="4">
        <f>'Raw data'!G2425</f>
        <v>0</v>
      </c>
      <c r="I2516" s="29" t="e">
        <f>VLOOKUP(G2516,제품명!$C$1:$E$114,2,0)</f>
        <v>#N/A</v>
      </c>
      <c r="J2516" s="29">
        <f>'Raw data'!K2425</f>
        <v>0</v>
      </c>
      <c r="K2516" s="31">
        <f>'Raw data'!H2425</f>
        <v>0</v>
      </c>
      <c r="L2516" s="26">
        <f t="shared" si="82"/>
        <v>0</v>
      </c>
    </row>
    <row r="2517" spans="2:12">
      <c r="B2517" s="4" t="e">
        <f t="shared" si="81"/>
        <v>#N/A</v>
      </c>
      <c r="C2517" s="4">
        <f>'Raw data'!E2093</f>
        <v>0</v>
      </c>
      <c r="D2517" s="29" t="e">
        <f>VLOOKUP(C2517,'점포코드 '!A:B,2,0)</f>
        <v>#N/A</v>
      </c>
      <c r="E2517" s="30">
        <f>'Raw data'!P2093</f>
        <v>0</v>
      </c>
      <c r="F2517" s="29" t="e">
        <f>VLOOKUP(E2517,'점포코드 '!A:B,2,0)</f>
        <v>#N/A</v>
      </c>
      <c r="G2517" s="46">
        <f>'Raw data'!F2426</f>
        <v>0</v>
      </c>
      <c r="H2517" s="4">
        <f>'Raw data'!G2426</f>
        <v>0</v>
      </c>
      <c r="I2517" s="29" t="e">
        <f>VLOOKUP(G2517,제품명!$C$1:$E$114,2,0)</f>
        <v>#N/A</v>
      </c>
      <c r="J2517" s="29">
        <f>'Raw data'!K2426</f>
        <v>0</v>
      </c>
      <c r="K2517" s="31">
        <f>'Raw data'!H2426</f>
        <v>0</v>
      </c>
      <c r="L2517" s="26">
        <f t="shared" si="82"/>
        <v>0</v>
      </c>
    </row>
    <row r="2518" spans="2:12">
      <c r="B2518" s="4" t="e">
        <f t="shared" si="81"/>
        <v>#N/A</v>
      </c>
      <c r="C2518" s="4">
        <f>'Raw data'!E2094</f>
        <v>0</v>
      </c>
      <c r="D2518" s="29" t="e">
        <f>VLOOKUP(C2518,'점포코드 '!A:B,2,0)</f>
        <v>#N/A</v>
      </c>
      <c r="E2518" s="30">
        <f>'Raw data'!P2094</f>
        <v>0</v>
      </c>
      <c r="F2518" s="29" t="e">
        <f>VLOOKUP(E2518,'점포코드 '!A:B,2,0)</f>
        <v>#N/A</v>
      </c>
      <c r="G2518" s="46">
        <f>'Raw data'!F2427</f>
        <v>0</v>
      </c>
      <c r="H2518" s="4">
        <f>'Raw data'!G2427</f>
        <v>0</v>
      </c>
      <c r="I2518" s="29" t="e">
        <f>VLOOKUP(G2518,제품명!$C$1:$E$114,2,0)</f>
        <v>#N/A</v>
      </c>
      <c r="J2518" s="29">
        <f>'Raw data'!K2427</f>
        <v>0</v>
      </c>
      <c r="K2518" s="31">
        <f>'Raw data'!H2427</f>
        <v>0</v>
      </c>
      <c r="L2518" s="26">
        <f t="shared" si="82"/>
        <v>0</v>
      </c>
    </row>
    <row r="2519" spans="2:12">
      <c r="B2519" s="4" t="e">
        <f t="shared" si="81"/>
        <v>#N/A</v>
      </c>
      <c r="C2519" s="4">
        <f>'Raw data'!E2095</f>
        <v>0</v>
      </c>
      <c r="D2519" s="29" t="e">
        <f>VLOOKUP(C2519,'점포코드 '!A:B,2,0)</f>
        <v>#N/A</v>
      </c>
      <c r="E2519" s="30">
        <f>'Raw data'!P2095</f>
        <v>0</v>
      </c>
      <c r="F2519" s="29" t="e">
        <f>VLOOKUP(E2519,'점포코드 '!A:B,2,0)</f>
        <v>#N/A</v>
      </c>
      <c r="G2519" s="46">
        <f>'Raw data'!F2428</f>
        <v>0</v>
      </c>
      <c r="H2519" s="4">
        <f>'Raw data'!G2428</f>
        <v>0</v>
      </c>
      <c r="I2519" s="29" t="e">
        <f>VLOOKUP(G2519,제품명!$C$1:$E$114,2,0)</f>
        <v>#N/A</v>
      </c>
      <c r="J2519" s="29">
        <f>'Raw data'!K2428</f>
        <v>0</v>
      </c>
      <c r="K2519" s="31">
        <f>'Raw data'!H2428</f>
        <v>0</v>
      </c>
      <c r="L2519" s="26">
        <f t="shared" si="82"/>
        <v>0</v>
      </c>
    </row>
    <row r="2520" spans="2:12">
      <c r="B2520" s="4" t="e">
        <f t="shared" si="81"/>
        <v>#N/A</v>
      </c>
      <c r="C2520" s="4">
        <f>'Raw data'!E2096</f>
        <v>0</v>
      </c>
      <c r="D2520" s="29" t="e">
        <f>VLOOKUP(C2520,'점포코드 '!A:B,2,0)</f>
        <v>#N/A</v>
      </c>
      <c r="E2520" s="30">
        <f>'Raw data'!P2096</f>
        <v>0</v>
      </c>
      <c r="F2520" s="29" t="e">
        <f>VLOOKUP(E2520,'점포코드 '!A:B,2,0)</f>
        <v>#N/A</v>
      </c>
      <c r="G2520" s="46">
        <f>'Raw data'!F2429</f>
        <v>0</v>
      </c>
      <c r="H2520" s="4">
        <f>'Raw data'!G2429</f>
        <v>0</v>
      </c>
      <c r="I2520" s="29" t="e">
        <f>VLOOKUP(G2520,제품명!$C$1:$E$114,2,0)</f>
        <v>#N/A</v>
      </c>
      <c r="J2520" s="29">
        <f>'Raw data'!K2429</f>
        <v>0</v>
      </c>
      <c r="K2520" s="31">
        <f>'Raw data'!H2429</f>
        <v>0</v>
      </c>
      <c r="L2520" s="26">
        <f t="shared" si="82"/>
        <v>0</v>
      </c>
    </row>
    <row r="2521" spans="2:12">
      <c r="B2521" s="4" t="e">
        <f t="shared" si="81"/>
        <v>#N/A</v>
      </c>
      <c r="C2521" s="4">
        <f>'Raw data'!E2097</f>
        <v>0</v>
      </c>
      <c r="D2521" s="29" t="e">
        <f>VLOOKUP(C2521,'점포코드 '!A:B,2,0)</f>
        <v>#N/A</v>
      </c>
      <c r="E2521" s="30">
        <f>'Raw data'!P2097</f>
        <v>0</v>
      </c>
      <c r="F2521" s="29" t="e">
        <f>VLOOKUP(E2521,'점포코드 '!A:B,2,0)</f>
        <v>#N/A</v>
      </c>
      <c r="G2521" s="46">
        <f>'Raw data'!F2430</f>
        <v>0</v>
      </c>
      <c r="H2521" s="4">
        <f>'Raw data'!G2430</f>
        <v>0</v>
      </c>
      <c r="I2521" s="29" t="e">
        <f>VLOOKUP(G2521,제품명!$C$1:$E$114,2,0)</f>
        <v>#N/A</v>
      </c>
      <c r="J2521" s="29">
        <f>'Raw data'!K2430</f>
        <v>0</v>
      </c>
      <c r="K2521" s="31">
        <f>'Raw data'!H2430</f>
        <v>0</v>
      </c>
      <c r="L2521" s="26">
        <f t="shared" si="82"/>
        <v>0</v>
      </c>
    </row>
    <row r="2522" spans="2:12">
      <c r="B2522" s="4" t="e">
        <f t="shared" si="81"/>
        <v>#N/A</v>
      </c>
      <c r="C2522" s="4">
        <f>'Raw data'!E2098</f>
        <v>0</v>
      </c>
      <c r="D2522" s="29" t="e">
        <f>VLOOKUP(C2522,'점포코드 '!A:B,2,0)</f>
        <v>#N/A</v>
      </c>
      <c r="E2522" s="30">
        <f>'Raw data'!P2098</f>
        <v>0</v>
      </c>
      <c r="F2522" s="29" t="e">
        <f>VLOOKUP(E2522,'점포코드 '!A:B,2,0)</f>
        <v>#N/A</v>
      </c>
      <c r="G2522" s="46">
        <f>'Raw data'!F2431</f>
        <v>0</v>
      </c>
      <c r="H2522" s="4">
        <f>'Raw data'!G2431</f>
        <v>0</v>
      </c>
      <c r="I2522" s="29" t="e">
        <f>VLOOKUP(G2522,제품명!$C$1:$E$114,2,0)</f>
        <v>#N/A</v>
      </c>
      <c r="J2522" s="29">
        <f>'Raw data'!K2431</f>
        <v>0</v>
      </c>
      <c r="K2522" s="31">
        <f>'Raw data'!H2431</f>
        <v>0</v>
      </c>
      <c r="L2522" s="26">
        <f t="shared" si="82"/>
        <v>0</v>
      </c>
    </row>
    <row r="2523" spans="2:12">
      <c r="B2523" s="4" t="e">
        <f t="shared" si="81"/>
        <v>#N/A</v>
      </c>
      <c r="C2523" s="4">
        <f>'Raw data'!E2099</f>
        <v>0</v>
      </c>
      <c r="D2523" s="29" t="e">
        <f>VLOOKUP(C2523,'점포코드 '!A:B,2,0)</f>
        <v>#N/A</v>
      </c>
      <c r="E2523" s="30">
        <f>'Raw data'!P2099</f>
        <v>0</v>
      </c>
      <c r="F2523" s="29" t="e">
        <f>VLOOKUP(E2523,'점포코드 '!A:B,2,0)</f>
        <v>#N/A</v>
      </c>
      <c r="G2523" s="46">
        <f>'Raw data'!F2432</f>
        <v>0</v>
      </c>
      <c r="H2523" s="4">
        <f>'Raw data'!G2432</f>
        <v>0</v>
      </c>
      <c r="I2523" s="29" t="e">
        <f>VLOOKUP(G2523,제품명!$C$1:$E$114,2,0)</f>
        <v>#N/A</v>
      </c>
      <c r="J2523" s="29">
        <f>'Raw data'!K2432</f>
        <v>0</v>
      </c>
      <c r="K2523" s="31">
        <f>'Raw data'!H2432</f>
        <v>0</v>
      </c>
      <c r="L2523" s="26">
        <f t="shared" si="82"/>
        <v>0</v>
      </c>
    </row>
    <row r="2524" spans="2:12">
      <c r="B2524" s="4" t="e">
        <f t="shared" si="81"/>
        <v>#N/A</v>
      </c>
      <c r="C2524" s="4">
        <f>'Raw data'!E2100</f>
        <v>0</v>
      </c>
      <c r="D2524" s="29" t="e">
        <f>VLOOKUP(C2524,'점포코드 '!A:B,2,0)</f>
        <v>#N/A</v>
      </c>
      <c r="E2524" s="30">
        <f>'Raw data'!P2100</f>
        <v>0</v>
      </c>
      <c r="F2524" s="29" t="e">
        <f>VLOOKUP(E2524,'점포코드 '!A:B,2,0)</f>
        <v>#N/A</v>
      </c>
      <c r="G2524" s="46">
        <f>'Raw data'!F2433</f>
        <v>0</v>
      </c>
      <c r="H2524" s="4">
        <f>'Raw data'!G2433</f>
        <v>0</v>
      </c>
      <c r="I2524" s="29" t="e">
        <f>VLOOKUP(G2524,제품명!$C$1:$E$114,2,0)</f>
        <v>#N/A</v>
      </c>
      <c r="J2524" s="29">
        <f>'Raw data'!K2433</f>
        <v>0</v>
      </c>
      <c r="K2524" s="31">
        <f>'Raw data'!H2433</f>
        <v>0</v>
      </c>
      <c r="L2524" s="26">
        <f t="shared" si="82"/>
        <v>0</v>
      </c>
    </row>
    <row r="2525" spans="2:12">
      <c r="B2525" s="4" t="e">
        <f t="shared" si="81"/>
        <v>#N/A</v>
      </c>
      <c r="C2525" s="4">
        <f>'Raw data'!E2101</f>
        <v>0</v>
      </c>
      <c r="D2525" s="29" t="e">
        <f>VLOOKUP(C2525,'점포코드 '!A:B,2,0)</f>
        <v>#N/A</v>
      </c>
      <c r="E2525" s="30">
        <f>'Raw data'!P2101</f>
        <v>0</v>
      </c>
      <c r="F2525" s="29" t="e">
        <f>VLOOKUP(E2525,'점포코드 '!A:B,2,0)</f>
        <v>#N/A</v>
      </c>
      <c r="G2525" s="46">
        <f>'Raw data'!F2434</f>
        <v>0</v>
      </c>
      <c r="H2525" s="4">
        <f>'Raw data'!G2434</f>
        <v>0</v>
      </c>
      <c r="I2525" s="29" t="e">
        <f>VLOOKUP(G2525,제품명!$C$1:$E$114,2,0)</f>
        <v>#N/A</v>
      </c>
      <c r="J2525" s="29">
        <f>'Raw data'!K2434</f>
        <v>0</v>
      </c>
      <c r="K2525" s="31">
        <f>'Raw data'!H2434</f>
        <v>0</v>
      </c>
      <c r="L2525" s="26">
        <f t="shared" si="82"/>
        <v>0</v>
      </c>
    </row>
    <row r="2526" spans="2:12">
      <c r="B2526" s="4" t="e">
        <f t="shared" si="81"/>
        <v>#N/A</v>
      </c>
      <c r="C2526" s="4">
        <f>'Raw data'!E2102</f>
        <v>0</v>
      </c>
      <c r="D2526" s="29" t="e">
        <f>VLOOKUP(C2526,'점포코드 '!A:B,2,0)</f>
        <v>#N/A</v>
      </c>
      <c r="E2526" s="30">
        <f>'Raw data'!P2102</f>
        <v>0</v>
      </c>
      <c r="F2526" s="29" t="e">
        <f>VLOOKUP(E2526,'점포코드 '!A:B,2,0)</f>
        <v>#N/A</v>
      </c>
      <c r="G2526" s="46">
        <f>'Raw data'!F2435</f>
        <v>0</v>
      </c>
      <c r="H2526" s="4">
        <f>'Raw data'!G2435</f>
        <v>0</v>
      </c>
      <c r="I2526" s="29" t="e">
        <f>VLOOKUP(G2526,제품명!$C$1:$E$114,2,0)</f>
        <v>#N/A</v>
      </c>
      <c r="J2526" s="29">
        <f>'Raw data'!K2435</f>
        <v>0</v>
      </c>
      <c r="K2526" s="31">
        <f>'Raw data'!H2435</f>
        <v>0</v>
      </c>
      <c r="L2526" s="26">
        <f t="shared" si="82"/>
        <v>0</v>
      </c>
    </row>
    <row r="2527" spans="2:12">
      <c r="B2527" s="4" t="e">
        <f t="shared" si="81"/>
        <v>#N/A</v>
      </c>
      <c r="C2527" s="4">
        <f>'Raw data'!E2103</f>
        <v>0</v>
      </c>
      <c r="D2527" s="29" t="e">
        <f>VLOOKUP(C2527,'점포코드 '!A:B,2,0)</f>
        <v>#N/A</v>
      </c>
      <c r="E2527" s="30">
        <f>'Raw data'!P2103</f>
        <v>0</v>
      </c>
      <c r="F2527" s="29" t="e">
        <f>VLOOKUP(E2527,'점포코드 '!A:B,2,0)</f>
        <v>#N/A</v>
      </c>
      <c r="G2527" s="46">
        <f>'Raw data'!F2436</f>
        <v>0</v>
      </c>
      <c r="H2527" s="4">
        <f>'Raw data'!G2436</f>
        <v>0</v>
      </c>
      <c r="I2527" s="29" t="e">
        <f>VLOOKUP(G2527,제품명!$C$1:$E$114,2,0)</f>
        <v>#N/A</v>
      </c>
      <c r="J2527" s="29">
        <f>'Raw data'!K2436</f>
        <v>0</v>
      </c>
      <c r="K2527" s="31">
        <f>'Raw data'!H2436</f>
        <v>0</v>
      </c>
      <c r="L2527" s="26">
        <f t="shared" si="82"/>
        <v>0</v>
      </c>
    </row>
    <row r="2528" spans="2:12">
      <c r="B2528" s="4" t="e">
        <f t="shared" si="81"/>
        <v>#N/A</v>
      </c>
      <c r="C2528" s="4">
        <f>'Raw data'!E2104</f>
        <v>0</v>
      </c>
      <c r="D2528" s="29" t="e">
        <f>VLOOKUP(C2528,'점포코드 '!A:B,2,0)</f>
        <v>#N/A</v>
      </c>
      <c r="E2528" s="30">
        <f>'Raw data'!P2104</f>
        <v>0</v>
      </c>
      <c r="F2528" s="29" t="e">
        <f>VLOOKUP(E2528,'점포코드 '!A:B,2,0)</f>
        <v>#N/A</v>
      </c>
      <c r="G2528" s="46">
        <f>'Raw data'!F2437</f>
        <v>0</v>
      </c>
      <c r="H2528" s="4">
        <f>'Raw data'!G2437</f>
        <v>0</v>
      </c>
      <c r="I2528" s="29" t="e">
        <f>VLOOKUP(G2528,제품명!$C$1:$E$114,2,0)</f>
        <v>#N/A</v>
      </c>
      <c r="J2528" s="29">
        <f>'Raw data'!K2437</f>
        <v>0</v>
      </c>
      <c r="K2528" s="31">
        <f>'Raw data'!H2437</f>
        <v>0</v>
      </c>
      <c r="L2528" s="26">
        <f t="shared" si="82"/>
        <v>0</v>
      </c>
    </row>
    <row r="2529" spans="2:12">
      <c r="B2529" s="4" t="e">
        <f t="shared" si="81"/>
        <v>#N/A</v>
      </c>
      <c r="C2529" s="4">
        <f>'Raw data'!E2105</f>
        <v>0</v>
      </c>
      <c r="D2529" s="29" t="e">
        <f>VLOOKUP(C2529,'점포코드 '!A:B,2,0)</f>
        <v>#N/A</v>
      </c>
      <c r="E2529" s="30">
        <f>'Raw data'!P2105</f>
        <v>0</v>
      </c>
      <c r="F2529" s="29" t="e">
        <f>VLOOKUP(E2529,'점포코드 '!A:B,2,0)</f>
        <v>#N/A</v>
      </c>
      <c r="G2529" s="46">
        <f>'Raw data'!F2438</f>
        <v>0</v>
      </c>
      <c r="H2529" s="4">
        <f>'Raw data'!G2438</f>
        <v>0</v>
      </c>
      <c r="I2529" s="29" t="e">
        <f>VLOOKUP(G2529,제품명!$C$1:$E$114,2,0)</f>
        <v>#N/A</v>
      </c>
      <c r="J2529" s="29">
        <f>'Raw data'!K2438</f>
        <v>0</v>
      </c>
      <c r="K2529" s="31">
        <f>'Raw data'!H2438</f>
        <v>0</v>
      </c>
      <c r="L2529" s="26">
        <f t="shared" si="82"/>
        <v>0</v>
      </c>
    </row>
    <row r="2530" spans="2:12">
      <c r="B2530" s="4" t="e">
        <f t="shared" si="81"/>
        <v>#N/A</v>
      </c>
      <c r="C2530" s="4">
        <f>'Raw data'!E2106</f>
        <v>0</v>
      </c>
      <c r="D2530" s="29" t="e">
        <f>VLOOKUP(C2530,'점포코드 '!A:B,2,0)</f>
        <v>#N/A</v>
      </c>
      <c r="E2530" s="30">
        <f>'Raw data'!P2106</f>
        <v>0</v>
      </c>
      <c r="F2530" s="29" t="e">
        <f>VLOOKUP(E2530,'점포코드 '!A:B,2,0)</f>
        <v>#N/A</v>
      </c>
      <c r="G2530" s="46">
        <f>'Raw data'!F2439</f>
        <v>0</v>
      </c>
      <c r="H2530" s="4">
        <f>'Raw data'!G2439</f>
        <v>0</v>
      </c>
      <c r="I2530" s="29" t="e">
        <f>VLOOKUP(G2530,제품명!$C$1:$E$114,2,0)</f>
        <v>#N/A</v>
      </c>
      <c r="J2530" s="29">
        <f>'Raw data'!K2439</f>
        <v>0</v>
      </c>
      <c r="K2530" s="31">
        <f>'Raw data'!H2439</f>
        <v>0</v>
      </c>
      <c r="L2530" s="26">
        <f t="shared" si="82"/>
        <v>0</v>
      </c>
    </row>
    <row r="2531" spans="2:12">
      <c r="B2531" s="4" t="e">
        <f t="shared" si="81"/>
        <v>#N/A</v>
      </c>
      <c r="C2531" s="4">
        <f>'Raw data'!E2107</f>
        <v>0</v>
      </c>
      <c r="D2531" s="29" t="e">
        <f>VLOOKUP(C2531,'점포코드 '!A:B,2,0)</f>
        <v>#N/A</v>
      </c>
      <c r="E2531" s="30">
        <f>'Raw data'!P2107</f>
        <v>0</v>
      </c>
      <c r="F2531" s="29" t="e">
        <f>VLOOKUP(E2531,'점포코드 '!A:B,2,0)</f>
        <v>#N/A</v>
      </c>
      <c r="G2531" s="46">
        <f>'Raw data'!F2440</f>
        <v>0</v>
      </c>
      <c r="H2531" s="4">
        <f>'Raw data'!G2440</f>
        <v>0</v>
      </c>
      <c r="I2531" s="29" t="e">
        <f>VLOOKUP(G2531,제품명!$C$1:$E$114,2,0)</f>
        <v>#N/A</v>
      </c>
      <c r="J2531" s="29">
        <f>'Raw data'!K2440</f>
        <v>0</v>
      </c>
      <c r="K2531" s="31">
        <f>'Raw data'!H2440</f>
        <v>0</v>
      </c>
      <c r="L2531" s="26">
        <f t="shared" si="82"/>
        <v>0</v>
      </c>
    </row>
    <row r="2532" spans="2:12">
      <c r="B2532" s="4" t="e">
        <f t="shared" si="81"/>
        <v>#N/A</v>
      </c>
      <c r="C2532" s="4">
        <f>'Raw data'!E2108</f>
        <v>0</v>
      </c>
      <c r="D2532" s="29" t="e">
        <f>VLOOKUP(C2532,'점포코드 '!A:B,2,0)</f>
        <v>#N/A</v>
      </c>
      <c r="E2532" s="30">
        <f>'Raw data'!P2108</f>
        <v>0</v>
      </c>
      <c r="F2532" s="29" t="e">
        <f>VLOOKUP(E2532,'점포코드 '!A:B,2,0)</f>
        <v>#N/A</v>
      </c>
      <c r="G2532" s="46">
        <f>'Raw data'!F2441</f>
        <v>0</v>
      </c>
      <c r="H2532" s="4">
        <f>'Raw data'!G2441</f>
        <v>0</v>
      </c>
      <c r="I2532" s="29" t="e">
        <f>VLOOKUP(G2532,제품명!$C$1:$E$114,2,0)</f>
        <v>#N/A</v>
      </c>
      <c r="J2532" s="29">
        <f>'Raw data'!K2441</f>
        <v>0</v>
      </c>
      <c r="K2532" s="31">
        <f>'Raw data'!H2441</f>
        <v>0</v>
      </c>
      <c r="L2532" s="26">
        <f t="shared" si="82"/>
        <v>0</v>
      </c>
    </row>
    <row r="2533" spans="2:12">
      <c r="B2533" s="4" t="e">
        <f t="shared" si="81"/>
        <v>#N/A</v>
      </c>
      <c r="C2533" s="4">
        <f>'Raw data'!E2109</f>
        <v>0</v>
      </c>
      <c r="D2533" s="29" t="e">
        <f>VLOOKUP(C2533,'점포코드 '!A:B,2,0)</f>
        <v>#N/A</v>
      </c>
      <c r="E2533" s="30">
        <f>'Raw data'!P2109</f>
        <v>0</v>
      </c>
      <c r="F2533" s="29" t="e">
        <f>VLOOKUP(E2533,'점포코드 '!A:B,2,0)</f>
        <v>#N/A</v>
      </c>
      <c r="G2533" s="46">
        <f>'Raw data'!F2442</f>
        <v>0</v>
      </c>
      <c r="H2533" s="4">
        <f>'Raw data'!G2442</f>
        <v>0</v>
      </c>
      <c r="I2533" s="29" t="e">
        <f>VLOOKUP(G2533,제품명!$C$1:$E$114,2,0)</f>
        <v>#N/A</v>
      </c>
      <c r="J2533" s="29">
        <f>'Raw data'!K2442</f>
        <v>0</v>
      </c>
      <c r="K2533" s="31">
        <f>'Raw data'!H2442</f>
        <v>0</v>
      </c>
      <c r="L2533" s="26">
        <f t="shared" si="82"/>
        <v>0</v>
      </c>
    </row>
    <row r="2534" spans="2:12">
      <c r="B2534" s="4" t="e">
        <f t="shared" si="81"/>
        <v>#N/A</v>
      </c>
      <c r="C2534" s="4">
        <f>'Raw data'!E2110</f>
        <v>0</v>
      </c>
      <c r="D2534" s="29" t="e">
        <f>VLOOKUP(C2534,'점포코드 '!A:B,2,0)</f>
        <v>#N/A</v>
      </c>
      <c r="E2534" s="30">
        <f>'Raw data'!P2110</f>
        <v>0</v>
      </c>
      <c r="F2534" s="29" t="e">
        <f>VLOOKUP(E2534,'점포코드 '!A:B,2,0)</f>
        <v>#N/A</v>
      </c>
      <c r="G2534" s="46">
        <f>'Raw data'!F2443</f>
        <v>0</v>
      </c>
      <c r="H2534" s="4">
        <f>'Raw data'!G2443</f>
        <v>0</v>
      </c>
      <c r="I2534" s="29" t="e">
        <f>VLOOKUP(G2534,제품명!$C$1:$E$114,2,0)</f>
        <v>#N/A</v>
      </c>
      <c r="J2534" s="29">
        <f>'Raw data'!K2443</f>
        <v>0</v>
      </c>
      <c r="K2534" s="31">
        <f>'Raw data'!H2443</f>
        <v>0</v>
      </c>
      <c r="L2534" s="26">
        <f t="shared" si="82"/>
        <v>0</v>
      </c>
    </row>
    <row r="2535" spans="2:12">
      <c r="B2535" s="4" t="e">
        <f t="shared" si="81"/>
        <v>#N/A</v>
      </c>
      <c r="C2535" s="4">
        <f>'Raw data'!E2111</f>
        <v>0</v>
      </c>
      <c r="D2535" s="29" t="e">
        <f>VLOOKUP(C2535,'점포코드 '!A:B,2,0)</f>
        <v>#N/A</v>
      </c>
      <c r="E2535" s="30">
        <f>'Raw data'!P2111</f>
        <v>0</v>
      </c>
      <c r="F2535" s="29" t="e">
        <f>VLOOKUP(E2535,'점포코드 '!A:B,2,0)</f>
        <v>#N/A</v>
      </c>
      <c r="G2535" s="46">
        <f>'Raw data'!F2444</f>
        <v>0</v>
      </c>
      <c r="H2535" s="4">
        <f>'Raw data'!G2444</f>
        <v>0</v>
      </c>
      <c r="I2535" s="29" t="e">
        <f>VLOOKUP(G2535,제품명!$C$1:$E$114,2,0)</f>
        <v>#N/A</v>
      </c>
      <c r="J2535" s="29">
        <f>'Raw data'!K2444</f>
        <v>0</v>
      </c>
      <c r="K2535" s="31">
        <f>'Raw data'!H2444</f>
        <v>0</v>
      </c>
      <c r="L2535" s="26">
        <f t="shared" si="82"/>
        <v>0</v>
      </c>
    </row>
    <row r="2536" spans="2:12">
      <c r="B2536" s="4" t="e">
        <f t="shared" si="81"/>
        <v>#N/A</v>
      </c>
      <c r="C2536" s="4">
        <f>'Raw data'!E2112</f>
        <v>0</v>
      </c>
      <c r="D2536" s="29" t="e">
        <f>VLOOKUP(C2536,'점포코드 '!A:B,2,0)</f>
        <v>#N/A</v>
      </c>
      <c r="E2536" s="30">
        <f>'Raw data'!P2112</f>
        <v>0</v>
      </c>
      <c r="F2536" s="29" t="e">
        <f>VLOOKUP(E2536,'점포코드 '!A:B,2,0)</f>
        <v>#N/A</v>
      </c>
      <c r="G2536" s="46">
        <f>'Raw data'!F2445</f>
        <v>0</v>
      </c>
      <c r="H2536" s="4">
        <f>'Raw data'!G2445</f>
        <v>0</v>
      </c>
      <c r="I2536" s="29" t="e">
        <f>VLOOKUP(G2536,제품명!$C$1:$E$114,2,0)</f>
        <v>#N/A</v>
      </c>
      <c r="J2536" s="29">
        <f>'Raw data'!K2445</f>
        <v>0</v>
      </c>
      <c r="K2536" s="31">
        <f>'Raw data'!H2445</f>
        <v>0</v>
      </c>
      <c r="L2536" s="26">
        <f t="shared" si="82"/>
        <v>0</v>
      </c>
    </row>
    <row r="2537" spans="2:12">
      <c r="B2537" s="4" t="e">
        <f t="shared" si="81"/>
        <v>#N/A</v>
      </c>
      <c r="C2537" s="4">
        <f>'Raw data'!E2113</f>
        <v>0</v>
      </c>
      <c r="D2537" s="29" t="e">
        <f>VLOOKUP(C2537,'점포코드 '!A:B,2,0)</f>
        <v>#N/A</v>
      </c>
      <c r="E2537" s="30">
        <f>'Raw data'!P2113</f>
        <v>0</v>
      </c>
      <c r="F2537" s="29" t="e">
        <f>VLOOKUP(E2537,'점포코드 '!A:B,2,0)</f>
        <v>#N/A</v>
      </c>
      <c r="G2537" s="46">
        <f>'Raw data'!F2446</f>
        <v>0</v>
      </c>
      <c r="H2537" s="4">
        <f>'Raw data'!G2446</f>
        <v>0</v>
      </c>
      <c r="I2537" s="29" t="e">
        <f>VLOOKUP(G2537,제품명!$C$1:$E$114,2,0)</f>
        <v>#N/A</v>
      </c>
      <c r="J2537" s="29">
        <f>'Raw data'!K2446</f>
        <v>0</v>
      </c>
      <c r="K2537" s="31">
        <f>'Raw data'!H2446</f>
        <v>0</v>
      </c>
      <c r="L2537" s="26">
        <f t="shared" si="82"/>
        <v>0</v>
      </c>
    </row>
    <row r="2538" spans="2:12">
      <c r="B2538" s="4" t="e">
        <f t="shared" si="81"/>
        <v>#N/A</v>
      </c>
      <c r="C2538" s="4">
        <f>'Raw data'!E2114</f>
        <v>0</v>
      </c>
      <c r="D2538" s="29" t="e">
        <f>VLOOKUP(C2538,'점포코드 '!A:B,2,0)</f>
        <v>#N/A</v>
      </c>
      <c r="E2538" s="30">
        <f>'Raw data'!P2114</f>
        <v>0</v>
      </c>
      <c r="F2538" s="29" t="e">
        <f>VLOOKUP(E2538,'점포코드 '!A:B,2,0)</f>
        <v>#N/A</v>
      </c>
      <c r="G2538" s="46">
        <f>'Raw data'!F2447</f>
        <v>0</v>
      </c>
      <c r="H2538" s="4">
        <f>'Raw data'!G2447</f>
        <v>0</v>
      </c>
      <c r="I2538" s="29" t="e">
        <f>VLOOKUP(G2538,제품명!$C$1:$E$114,2,0)</f>
        <v>#N/A</v>
      </c>
      <c r="J2538" s="29">
        <f>'Raw data'!K2447</f>
        <v>0</v>
      </c>
      <c r="K2538" s="31">
        <f>'Raw data'!H2447</f>
        <v>0</v>
      </c>
      <c r="L2538" s="26">
        <f t="shared" si="82"/>
        <v>0</v>
      </c>
    </row>
    <row r="2539" spans="2:12">
      <c r="B2539" s="4" t="e">
        <f t="shared" si="81"/>
        <v>#N/A</v>
      </c>
      <c r="C2539" s="4">
        <f>'Raw data'!E2115</f>
        <v>0</v>
      </c>
      <c r="D2539" s="29" t="e">
        <f>VLOOKUP(C2539,'점포코드 '!A:B,2,0)</f>
        <v>#N/A</v>
      </c>
      <c r="E2539" s="30">
        <f>'Raw data'!P2115</f>
        <v>0</v>
      </c>
      <c r="F2539" s="29" t="e">
        <f>VLOOKUP(E2539,'점포코드 '!A:B,2,0)</f>
        <v>#N/A</v>
      </c>
      <c r="G2539" s="46">
        <f>'Raw data'!F2448</f>
        <v>0</v>
      </c>
      <c r="H2539" s="4">
        <f>'Raw data'!G2448</f>
        <v>0</v>
      </c>
      <c r="I2539" s="29" t="e">
        <f>VLOOKUP(G2539,제품명!$C$1:$E$114,2,0)</f>
        <v>#N/A</v>
      </c>
      <c r="J2539" s="29">
        <f>'Raw data'!K2448</f>
        <v>0</v>
      </c>
      <c r="K2539" s="31">
        <f>'Raw data'!H2448</f>
        <v>0</v>
      </c>
      <c r="L2539" s="26">
        <f t="shared" si="82"/>
        <v>0</v>
      </c>
    </row>
    <row r="2540" spans="2:12">
      <c r="B2540" s="4" t="e">
        <f t="shared" si="81"/>
        <v>#N/A</v>
      </c>
      <c r="C2540" s="4">
        <f>'Raw data'!E2116</f>
        <v>0</v>
      </c>
      <c r="D2540" s="29" t="e">
        <f>VLOOKUP(C2540,'점포코드 '!A:B,2,0)</f>
        <v>#N/A</v>
      </c>
      <c r="E2540" s="30">
        <f>'Raw data'!P2116</f>
        <v>0</v>
      </c>
      <c r="F2540" s="29" t="e">
        <f>VLOOKUP(E2540,'점포코드 '!A:B,2,0)</f>
        <v>#N/A</v>
      </c>
      <c r="G2540" s="46">
        <f>'Raw data'!F2449</f>
        <v>0</v>
      </c>
      <c r="H2540" s="4">
        <f>'Raw data'!G2449</f>
        <v>0</v>
      </c>
      <c r="I2540" s="29" t="e">
        <f>VLOOKUP(G2540,제품명!$C$1:$E$114,2,0)</f>
        <v>#N/A</v>
      </c>
      <c r="J2540" s="29">
        <f>'Raw data'!K2449</f>
        <v>0</v>
      </c>
      <c r="K2540" s="31">
        <f>'Raw data'!H2449</f>
        <v>0</v>
      </c>
      <c r="L2540" s="26">
        <f t="shared" si="82"/>
        <v>0</v>
      </c>
    </row>
    <row r="2541" spans="2:12">
      <c r="B2541" s="4" t="e">
        <f t="shared" si="81"/>
        <v>#N/A</v>
      </c>
      <c r="C2541" s="4">
        <f>'Raw data'!E2117</f>
        <v>0</v>
      </c>
      <c r="D2541" s="29" t="e">
        <f>VLOOKUP(C2541,'점포코드 '!A:B,2,0)</f>
        <v>#N/A</v>
      </c>
      <c r="E2541" s="30">
        <f>'Raw data'!P2117</f>
        <v>0</v>
      </c>
      <c r="F2541" s="29" t="e">
        <f>VLOOKUP(E2541,'점포코드 '!A:B,2,0)</f>
        <v>#N/A</v>
      </c>
      <c r="G2541" s="46">
        <f>'Raw data'!F2450</f>
        <v>0</v>
      </c>
      <c r="H2541" s="4">
        <f>'Raw data'!G2450</f>
        <v>0</v>
      </c>
      <c r="I2541" s="29" t="e">
        <f>VLOOKUP(G2541,제품명!$C$1:$E$114,2,0)</f>
        <v>#N/A</v>
      </c>
      <c r="J2541" s="29">
        <f>'Raw data'!K2450</f>
        <v>0</v>
      </c>
      <c r="K2541" s="31">
        <f>'Raw data'!H2450</f>
        <v>0</v>
      </c>
      <c r="L2541" s="26">
        <f t="shared" si="82"/>
        <v>0</v>
      </c>
    </row>
    <row r="2542" spans="2:12">
      <c r="B2542" s="4" t="e">
        <f t="shared" si="81"/>
        <v>#N/A</v>
      </c>
      <c r="C2542" s="4">
        <f>'Raw data'!E2118</f>
        <v>0</v>
      </c>
      <c r="D2542" s="29" t="e">
        <f>VLOOKUP(C2542,'점포코드 '!A:B,2,0)</f>
        <v>#N/A</v>
      </c>
      <c r="E2542" s="30">
        <f>'Raw data'!P2118</f>
        <v>0</v>
      </c>
      <c r="F2542" s="29" t="e">
        <f>VLOOKUP(E2542,'점포코드 '!A:B,2,0)</f>
        <v>#N/A</v>
      </c>
      <c r="G2542" s="46">
        <f>'Raw data'!F2451</f>
        <v>0</v>
      </c>
      <c r="H2542" s="4">
        <f>'Raw data'!G2451</f>
        <v>0</v>
      </c>
      <c r="I2542" s="29" t="e">
        <f>VLOOKUP(G2542,제품명!$C$1:$E$114,2,0)</f>
        <v>#N/A</v>
      </c>
      <c r="J2542" s="29">
        <f>'Raw data'!K2451</f>
        <v>0</v>
      </c>
      <c r="K2542" s="31">
        <f>'Raw data'!H2451</f>
        <v>0</v>
      </c>
      <c r="L2542" s="26">
        <f t="shared" si="82"/>
        <v>0</v>
      </c>
    </row>
    <row r="2543" spans="2:12">
      <c r="B2543" s="4" t="e">
        <f t="shared" si="81"/>
        <v>#N/A</v>
      </c>
      <c r="C2543" s="4">
        <f>'Raw data'!E2119</f>
        <v>0</v>
      </c>
      <c r="D2543" s="29" t="e">
        <f>VLOOKUP(C2543,'점포코드 '!A:B,2,0)</f>
        <v>#N/A</v>
      </c>
      <c r="E2543" s="30">
        <f>'Raw data'!P2119</f>
        <v>0</v>
      </c>
      <c r="F2543" s="29" t="e">
        <f>VLOOKUP(E2543,'점포코드 '!A:B,2,0)</f>
        <v>#N/A</v>
      </c>
      <c r="G2543" s="46">
        <f>'Raw data'!F2452</f>
        <v>0</v>
      </c>
      <c r="H2543" s="4">
        <f>'Raw data'!G2452</f>
        <v>0</v>
      </c>
      <c r="I2543" s="29" t="e">
        <f>VLOOKUP(G2543,제품명!$C$1:$E$114,2,0)</f>
        <v>#N/A</v>
      </c>
      <c r="J2543" s="29">
        <f>'Raw data'!K2452</f>
        <v>0</v>
      </c>
      <c r="K2543" s="31">
        <f>'Raw data'!H2452</f>
        <v>0</v>
      </c>
      <c r="L2543" s="26">
        <f t="shared" si="82"/>
        <v>0</v>
      </c>
    </row>
    <row r="2544" spans="2:12">
      <c r="B2544" s="4" t="e">
        <f t="shared" si="81"/>
        <v>#N/A</v>
      </c>
      <c r="C2544" s="4">
        <f>'Raw data'!E2120</f>
        <v>0</v>
      </c>
      <c r="D2544" s="29" t="e">
        <f>VLOOKUP(C2544,'점포코드 '!A:B,2,0)</f>
        <v>#N/A</v>
      </c>
      <c r="E2544" s="30">
        <f>'Raw data'!P2120</f>
        <v>0</v>
      </c>
      <c r="F2544" s="29" t="e">
        <f>VLOOKUP(E2544,'점포코드 '!A:B,2,0)</f>
        <v>#N/A</v>
      </c>
      <c r="G2544" s="46">
        <f>'Raw data'!F2453</f>
        <v>0</v>
      </c>
      <c r="H2544" s="4">
        <f>'Raw data'!G2453</f>
        <v>0</v>
      </c>
      <c r="I2544" s="29" t="e">
        <f>VLOOKUP(G2544,제품명!$C$1:$E$114,2,0)</f>
        <v>#N/A</v>
      </c>
      <c r="J2544" s="29">
        <f>'Raw data'!K2453</f>
        <v>0</v>
      </c>
      <c r="K2544" s="31">
        <f>'Raw data'!H2453</f>
        <v>0</v>
      </c>
      <c r="L2544" s="26">
        <f t="shared" si="82"/>
        <v>0</v>
      </c>
    </row>
    <row r="2545" spans="2:12">
      <c r="B2545" s="4" t="e">
        <f t="shared" si="81"/>
        <v>#N/A</v>
      </c>
      <c r="C2545" s="4">
        <f>'Raw data'!E2121</f>
        <v>0</v>
      </c>
      <c r="D2545" s="29" t="e">
        <f>VLOOKUP(C2545,'점포코드 '!A:B,2,0)</f>
        <v>#N/A</v>
      </c>
      <c r="E2545" s="30">
        <f>'Raw data'!P2121</f>
        <v>0</v>
      </c>
      <c r="F2545" s="29" t="e">
        <f>VLOOKUP(E2545,'점포코드 '!A:B,2,0)</f>
        <v>#N/A</v>
      </c>
      <c r="G2545" s="46">
        <f>'Raw data'!F2454</f>
        <v>0</v>
      </c>
      <c r="H2545" s="4">
        <f>'Raw data'!G2454</f>
        <v>0</v>
      </c>
      <c r="I2545" s="29" t="e">
        <f>VLOOKUP(G2545,제품명!$C$1:$E$114,2,0)</f>
        <v>#N/A</v>
      </c>
      <c r="J2545" s="29">
        <f>'Raw data'!K2454</f>
        <v>0</v>
      </c>
      <c r="K2545" s="31">
        <f>'Raw data'!H2454</f>
        <v>0</v>
      </c>
      <c r="L2545" s="26">
        <f t="shared" si="82"/>
        <v>0</v>
      </c>
    </row>
    <row r="2546" spans="2:12">
      <c r="B2546" s="4" t="e">
        <f t="shared" si="81"/>
        <v>#N/A</v>
      </c>
      <c r="C2546" s="4">
        <f>'Raw data'!E2122</f>
        <v>0</v>
      </c>
      <c r="D2546" s="29" t="e">
        <f>VLOOKUP(C2546,'점포코드 '!A:B,2,0)</f>
        <v>#N/A</v>
      </c>
      <c r="E2546" s="30">
        <f>'Raw data'!P2122</f>
        <v>0</v>
      </c>
      <c r="F2546" s="29" t="e">
        <f>VLOOKUP(E2546,'점포코드 '!A:B,2,0)</f>
        <v>#N/A</v>
      </c>
      <c r="G2546" s="46">
        <f>'Raw data'!F2455</f>
        <v>0</v>
      </c>
      <c r="H2546" s="4">
        <f>'Raw data'!G2455</f>
        <v>0</v>
      </c>
      <c r="I2546" s="29" t="e">
        <f>VLOOKUP(G2546,제품명!$C$1:$E$114,2,0)</f>
        <v>#N/A</v>
      </c>
      <c r="J2546" s="29">
        <f>'Raw data'!K2455</f>
        <v>0</v>
      </c>
      <c r="K2546" s="31">
        <f>'Raw data'!H2455</f>
        <v>0</v>
      </c>
      <c r="L2546" s="26">
        <f t="shared" si="82"/>
        <v>0</v>
      </c>
    </row>
    <row r="2547" spans="2:12">
      <c r="B2547" s="4" t="e">
        <f t="shared" si="81"/>
        <v>#N/A</v>
      </c>
      <c r="C2547" s="4">
        <f>'Raw data'!E2123</f>
        <v>0</v>
      </c>
      <c r="D2547" s="29" t="e">
        <f>VLOOKUP(C2547,'점포코드 '!A:B,2,0)</f>
        <v>#N/A</v>
      </c>
      <c r="E2547" s="30">
        <f>'Raw data'!P2123</f>
        <v>0</v>
      </c>
      <c r="F2547" s="29" t="e">
        <f>VLOOKUP(E2547,'점포코드 '!A:B,2,0)</f>
        <v>#N/A</v>
      </c>
      <c r="G2547" s="46">
        <f>'Raw data'!F2456</f>
        <v>0</v>
      </c>
      <c r="H2547" s="4">
        <f>'Raw data'!G2456</f>
        <v>0</v>
      </c>
      <c r="I2547" s="29" t="e">
        <f>VLOOKUP(G2547,제품명!$C$1:$E$114,2,0)</f>
        <v>#N/A</v>
      </c>
      <c r="J2547" s="29">
        <f>'Raw data'!K2456</f>
        <v>0</v>
      </c>
      <c r="K2547" s="31">
        <f>'Raw data'!H2456</f>
        <v>0</v>
      </c>
      <c r="L2547" s="26">
        <f t="shared" si="82"/>
        <v>0</v>
      </c>
    </row>
    <row r="2548" spans="2:12">
      <c r="B2548" s="4" t="e">
        <f t="shared" si="81"/>
        <v>#N/A</v>
      </c>
      <c r="C2548" s="4">
        <f>'Raw data'!E2124</f>
        <v>0</v>
      </c>
      <c r="D2548" s="29" t="e">
        <f>VLOOKUP(C2548,'점포코드 '!A:B,2,0)</f>
        <v>#N/A</v>
      </c>
      <c r="E2548" s="30">
        <f>'Raw data'!P2124</f>
        <v>0</v>
      </c>
      <c r="F2548" s="29" t="e">
        <f>VLOOKUP(E2548,'점포코드 '!A:B,2,0)</f>
        <v>#N/A</v>
      </c>
      <c r="G2548" s="46">
        <f>'Raw data'!F2457</f>
        <v>0</v>
      </c>
      <c r="H2548" s="4">
        <f>'Raw data'!G2457</f>
        <v>0</v>
      </c>
      <c r="I2548" s="29" t="e">
        <f>VLOOKUP(G2548,제품명!$C$1:$E$114,2,0)</f>
        <v>#N/A</v>
      </c>
      <c r="J2548" s="29">
        <f>'Raw data'!K2457</f>
        <v>0</v>
      </c>
      <c r="K2548" s="31">
        <f>'Raw data'!H2457</f>
        <v>0</v>
      </c>
      <c r="L2548" s="26">
        <f t="shared" si="82"/>
        <v>0</v>
      </c>
    </row>
    <row r="2549" spans="2:12">
      <c r="B2549" s="4" t="e">
        <f t="shared" si="81"/>
        <v>#N/A</v>
      </c>
      <c r="C2549" s="4">
        <f>'Raw data'!E2125</f>
        <v>0</v>
      </c>
      <c r="D2549" s="29" t="e">
        <f>VLOOKUP(C2549,'점포코드 '!A:B,2,0)</f>
        <v>#N/A</v>
      </c>
      <c r="E2549" s="30">
        <f>'Raw data'!P2125</f>
        <v>0</v>
      </c>
      <c r="F2549" s="29" t="e">
        <f>VLOOKUP(E2549,'점포코드 '!A:B,2,0)</f>
        <v>#N/A</v>
      </c>
      <c r="G2549" s="46">
        <f>'Raw data'!F2458</f>
        <v>0</v>
      </c>
      <c r="H2549" s="4">
        <f>'Raw data'!G2458</f>
        <v>0</v>
      </c>
      <c r="I2549" s="29" t="e">
        <f>VLOOKUP(G2549,제품명!$C$1:$E$114,2,0)</f>
        <v>#N/A</v>
      </c>
      <c r="J2549" s="29">
        <f>'Raw data'!K2458</f>
        <v>0</v>
      </c>
      <c r="K2549" s="31">
        <f>'Raw data'!H2458</f>
        <v>0</v>
      </c>
      <c r="L2549" s="26">
        <f t="shared" si="82"/>
        <v>0</v>
      </c>
    </row>
    <row r="2550" spans="2:12">
      <c r="B2550" s="4" t="e">
        <f t="shared" si="81"/>
        <v>#N/A</v>
      </c>
      <c r="C2550" s="4">
        <f>'Raw data'!E2126</f>
        <v>0</v>
      </c>
      <c r="D2550" s="29" t="e">
        <f>VLOOKUP(C2550,'점포코드 '!A:B,2,0)</f>
        <v>#N/A</v>
      </c>
      <c r="E2550" s="30">
        <f>'Raw data'!P2126</f>
        <v>0</v>
      </c>
      <c r="F2550" s="29" t="e">
        <f>VLOOKUP(E2550,'점포코드 '!A:B,2,0)</f>
        <v>#N/A</v>
      </c>
      <c r="G2550" s="46">
        <f>'Raw data'!F2459</f>
        <v>0</v>
      </c>
      <c r="H2550" s="4">
        <f>'Raw data'!G2459</f>
        <v>0</v>
      </c>
      <c r="I2550" s="29" t="e">
        <f>VLOOKUP(G2550,제품명!$C$1:$E$114,2,0)</f>
        <v>#N/A</v>
      </c>
      <c r="J2550" s="29">
        <f>'Raw data'!K2459</f>
        <v>0</v>
      </c>
      <c r="K2550" s="31">
        <f>'Raw data'!H2459</f>
        <v>0</v>
      </c>
      <c r="L2550" s="26">
        <f t="shared" si="82"/>
        <v>0</v>
      </c>
    </row>
    <row r="2551" spans="2:12">
      <c r="B2551" s="4" t="e">
        <f t="shared" si="81"/>
        <v>#N/A</v>
      </c>
      <c r="C2551" s="4">
        <f>'Raw data'!E2127</f>
        <v>0</v>
      </c>
      <c r="D2551" s="29" t="e">
        <f>VLOOKUP(C2551,'점포코드 '!A:B,2,0)</f>
        <v>#N/A</v>
      </c>
      <c r="E2551" s="30">
        <f>'Raw data'!P2127</f>
        <v>0</v>
      </c>
      <c r="F2551" s="29" t="e">
        <f>VLOOKUP(E2551,'점포코드 '!A:B,2,0)</f>
        <v>#N/A</v>
      </c>
      <c r="G2551" s="46">
        <f>'Raw data'!F2460</f>
        <v>0</v>
      </c>
      <c r="H2551" s="4">
        <f>'Raw data'!G2460</f>
        <v>0</v>
      </c>
      <c r="I2551" s="29" t="e">
        <f>VLOOKUP(G2551,제품명!$C$1:$E$114,2,0)</f>
        <v>#N/A</v>
      </c>
      <c r="J2551" s="29">
        <f>'Raw data'!K2460</f>
        <v>0</v>
      </c>
      <c r="K2551" s="31">
        <f>'Raw data'!H2460</f>
        <v>0</v>
      </c>
      <c r="L2551" s="26">
        <f t="shared" si="82"/>
        <v>0</v>
      </c>
    </row>
    <row r="2552" spans="2:12">
      <c r="B2552" s="4" t="e">
        <f t="shared" si="81"/>
        <v>#N/A</v>
      </c>
      <c r="C2552" s="4">
        <f>'Raw data'!E2128</f>
        <v>0</v>
      </c>
      <c r="D2552" s="29" t="e">
        <f>VLOOKUP(C2552,'점포코드 '!A:B,2,0)</f>
        <v>#N/A</v>
      </c>
      <c r="E2552" s="30">
        <f>'Raw data'!P2128</f>
        <v>0</v>
      </c>
      <c r="F2552" s="29" t="e">
        <f>VLOOKUP(E2552,'점포코드 '!A:B,2,0)</f>
        <v>#N/A</v>
      </c>
      <c r="G2552" s="46">
        <f>'Raw data'!F2461</f>
        <v>0</v>
      </c>
      <c r="H2552" s="4">
        <f>'Raw data'!G2461</f>
        <v>0</v>
      </c>
      <c r="I2552" s="29" t="e">
        <f>VLOOKUP(G2552,제품명!$C$1:$E$114,2,0)</f>
        <v>#N/A</v>
      </c>
      <c r="J2552" s="29">
        <f>'Raw data'!K2461</f>
        <v>0</v>
      </c>
      <c r="K2552" s="31">
        <f>'Raw data'!H2461</f>
        <v>0</v>
      </c>
      <c r="L2552" s="26">
        <f t="shared" si="82"/>
        <v>0</v>
      </c>
    </row>
    <row r="2553" spans="2:12">
      <c r="B2553" s="4" t="e">
        <f t="shared" si="81"/>
        <v>#N/A</v>
      </c>
      <c r="C2553" s="4">
        <f>'Raw data'!E2129</f>
        <v>0</v>
      </c>
      <c r="D2553" s="29" t="e">
        <f>VLOOKUP(C2553,'점포코드 '!A:B,2,0)</f>
        <v>#N/A</v>
      </c>
      <c r="E2553" s="30">
        <f>'Raw data'!P2129</f>
        <v>0</v>
      </c>
      <c r="F2553" s="29" t="e">
        <f>VLOOKUP(E2553,'점포코드 '!A:B,2,0)</f>
        <v>#N/A</v>
      </c>
      <c r="G2553" s="46">
        <f>'Raw data'!F2462</f>
        <v>0</v>
      </c>
      <c r="H2553" s="4">
        <f>'Raw data'!G2462</f>
        <v>0</v>
      </c>
      <c r="I2553" s="29" t="e">
        <f>VLOOKUP(G2553,제품명!$C$1:$E$114,2,0)</f>
        <v>#N/A</v>
      </c>
      <c r="J2553" s="29">
        <f>'Raw data'!K2462</f>
        <v>0</v>
      </c>
      <c r="K2553" s="31">
        <f>'Raw data'!H2462</f>
        <v>0</v>
      </c>
      <c r="L2553" s="26">
        <f t="shared" si="82"/>
        <v>0</v>
      </c>
    </row>
    <row r="2554" spans="2:12">
      <c r="B2554" s="4" t="e">
        <f t="shared" si="81"/>
        <v>#N/A</v>
      </c>
      <c r="C2554" s="4">
        <f>'Raw data'!E2130</f>
        <v>0</v>
      </c>
      <c r="D2554" s="29" t="e">
        <f>VLOOKUP(C2554,'점포코드 '!A:B,2,0)</f>
        <v>#N/A</v>
      </c>
      <c r="E2554" s="30">
        <f>'Raw data'!P2130</f>
        <v>0</v>
      </c>
      <c r="F2554" s="29" t="e">
        <f>VLOOKUP(E2554,'점포코드 '!A:B,2,0)</f>
        <v>#N/A</v>
      </c>
      <c r="G2554" s="46">
        <f>'Raw data'!F2463</f>
        <v>0</v>
      </c>
      <c r="H2554" s="4">
        <f>'Raw data'!G2463</f>
        <v>0</v>
      </c>
      <c r="I2554" s="29" t="e">
        <f>VLOOKUP(G2554,제품명!$C$1:$E$114,2,0)</f>
        <v>#N/A</v>
      </c>
      <c r="J2554" s="29">
        <f>'Raw data'!K2463</f>
        <v>0</v>
      </c>
      <c r="K2554" s="31">
        <f>'Raw data'!H2463</f>
        <v>0</v>
      </c>
      <c r="L2554" s="26">
        <f t="shared" si="82"/>
        <v>0</v>
      </c>
    </row>
    <row r="2555" spans="2:12">
      <c r="B2555" s="4" t="e">
        <f t="shared" si="81"/>
        <v>#N/A</v>
      </c>
      <c r="C2555" s="4">
        <f>'Raw data'!E2131</f>
        <v>0</v>
      </c>
      <c r="D2555" s="29" t="e">
        <f>VLOOKUP(C2555,'점포코드 '!A:B,2,0)</f>
        <v>#N/A</v>
      </c>
      <c r="E2555" s="30">
        <f>'Raw data'!P2131</f>
        <v>0</v>
      </c>
      <c r="F2555" s="29" t="e">
        <f>VLOOKUP(E2555,'점포코드 '!A:B,2,0)</f>
        <v>#N/A</v>
      </c>
      <c r="G2555" s="46">
        <f>'Raw data'!F2464</f>
        <v>0</v>
      </c>
      <c r="H2555" s="4">
        <f>'Raw data'!G2464</f>
        <v>0</v>
      </c>
      <c r="I2555" s="29" t="e">
        <f>VLOOKUP(G2555,제품명!$C$1:$E$114,2,0)</f>
        <v>#N/A</v>
      </c>
      <c r="J2555" s="29">
        <f>'Raw data'!K2464</f>
        <v>0</v>
      </c>
      <c r="K2555" s="31">
        <f>'Raw data'!H2464</f>
        <v>0</v>
      </c>
      <c r="L2555" s="26">
        <f t="shared" si="82"/>
        <v>0</v>
      </c>
    </row>
    <row r="2556" spans="2:12">
      <c r="B2556" s="4" t="e">
        <f t="shared" si="81"/>
        <v>#N/A</v>
      </c>
      <c r="C2556" s="4">
        <f>'Raw data'!E2132</f>
        <v>0</v>
      </c>
      <c r="D2556" s="29" t="e">
        <f>VLOOKUP(C2556,'점포코드 '!A:B,2,0)</f>
        <v>#N/A</v>
      </c>
      <c r="E2556" s="30">
        <f>'Raw data'!P2132</f>
        <v>0</v>
      </c>
      <c r="F2556" s="29" t="e">
        <f>VLOOKUP(E2556,'점포코드 '!A:B,2,0)</f>
        <v>#N/A</v>
      </c>
      <c r="G2556" s="46">
        <f>'Raw data'!F2465</f>
        <v>0</v>
      </c>
      <c r="H2556" s="4">
        <f>'Raw data'!G2465</f>
        <v>0</v>
      </c>
      <c r="I2556" s="29" t="e">
        <f>VLOOKUP(G2556,제품명!$C$1:$E$114,2,0)</f>
        <v>#N/A</v>
      </c>
      <c r="J2556" s="29">
        <f>'Raw data'!K2465</f>
        <v>0</v>
      </c>
      <c r="K2556" s="31">
        <f>'Raw data'!H2465</f>
        <v>0</v>
      </c>
      <c r="L2556" s="26">
        <f t="shared" si="82"/>
        <v>0</v>
      </c>
    </row>
    <row r="2557" spans="2:12">
      <c r="B2557" s="4" t="e">
        <f t="shared" si="81"/>
        <v>#N/A</v>
      </c>
      <c r="C2557" s="4">
        <f>'Raw data'!E2133</f>
        <v>0</v>
      </c>
      <c r="D2557" s="29" t="e">
        <f>VLOOKUP(C2557,'점포코드 '!A:B,2,0)</f>
        <v>#N/A</v>
      </c>
      <c r="E2557" s="30">
        <f>'Raw data'!P2133</f>
        <v>0</v>
      </c>
      <c r="F2557" s="29" t="e">
        <f>VLOOKUP(E2557,'점포코드 '!A:B,2,0)</f>
        <v>#N/A</v>
      </c>
      <c r="G2557" s="46">
        <f>'Raw data'!F2466</f>
        <v>0</v>
      </c>
      <c r="H2557" s="4">
        <f>'Raw data'!G2466</f>
        <v>0</v>
      </c>
      <c r="I2557" s="29" t="e">
        <f>VLOOKUP(G2557,제품명!$C$1:$E$114,2,0)</f>
        <v>#N/A</v>
      </c>
      <c r="J2557" s="29">
        <f>'Raw data'!K2466</f>
        <v>0</v>
      </c>
      <c r="K2557" s="31">
        <f>'Raw data'!H2466</f>
        <v>0</v>
      </c>
      <c r="L2557" s="26">
        <f t="shared" si="82"/>
        <v>0</v>
      </c>
    </row>
    <row r="2558" spans="2:12">
      <c r="B2558" s="4" t="e">
        <f t="shared" si="81"/>
        <v>#N/A</v>
      </c>
      <c r="C2558" s="4">
        <f>'Raw data'!E2134</f>
        <v>0</v>
      </c>
      <c r="D2558" s="29" t="e">
        <f>VLOOKUP(C2558,'점포코드 '!A:B,2,0)</f>
        <v>#N/A</v>
      </c>
      <c r="E2558" s="30">
        <f>'Raw data'!P2134</f>
        <v>0</v>
      </c>
      <c r="F2558" s="29" t="e">
        <f>VLOOKUP(E2558,'점포코드 '!A:B,2,0)</f>
        <v>#N/A</v>
      </c>
      <c r="G2558" s="46">
        <f>'Raw data'!F2467</f>
        <v>0</v>
      </c>
      <c r="H2558" s="4">
        <f>'Raw data'!G2467</f>
        <v>0</v>
      </c>
      <c r="I2558" s="29" t="e">
        <f>VLOOKUP(G2558,제품명!$C$1:$E$114,2,0)</f>
        <v>#N/A</v>
      </c>
      <c r="J2558" s="29">
        <f>'Raw data'!K2467</f>
        <v>0</v>
      </c>
      <c r="K2558" s="31">
        <f>'Raw data'!H2467</f>
        <v>0</v>
      </c>
      <c r="L2558" s="26">
        <f t="shared" si="82"/>
        <v>0</v>
      </c>
    </row>
    <row r="2559" spans="2:12">
      <c r="B2559" s="4" t="e">
        <f t="shared" si="81"/>
        <v>#N/A</v>
      </c>
      <c r="C2559" s="4">
        <f>'Raw data'!E2135</f>
        <v>0</v>
      </c>
      <c r="D2559" s="29" t="e">
        <f>VLOOKUP(C2559,'점포코드 '!A:B,2,0)</f>
        <v>#N/A</v>
      </c>
      <c r="E2559" s="30">
        <f>'Raw data'!P2135</f>
        <v>0</v>
      </c>
      <c r="F2559" s="29" t="e">
        <f>VLOOKUP(E2559,'점포코드 '!A:B,2,0)</f>
        <v>#N/A</v>
      </c>
      <c r="G2559" s="46">
        <f>'Raw data'!F2468</f>
        <v>0</v>
      </c>
      <c r="H2559" s="4">
        <f>'Raw data'!G2468</f>
        <v>0</v>
      </c>
      <c r="I2559" s="29" t="e">
        <f>VLOOKUP(G2559,제품명!$C$1:$E$114,2,0)</f>
        <v>#N/A</v>
      </c>
      <c r="J2559" s="29">
        <f>'Raw data'!K2468</f>
        <v>0</v>
      </c>
      <c r="K2559" s="31">
        <f>'Raw data'!H2468</f>
        <v>0</v>
      </c>
      <c r="L2559" s="26">
        <f t="shared" si="82"/>
        <v>0</v>
      </c>
    </row>
    <row r="2560" spans="2:12">
      <c r="B2560" s="4" t="e">
        <f t="shared" si="81"/>
        <v>#N/A</v>
      </c>
      <c r="C2560" s="4">
        <f>'Raw data'!E2136</f>
        <v>0</v>
      </c>
      <c r="D2560" s="29" t="e">
        <f>VLOOKUP(C2560,'점포코드 '!A:B,2,0)</f>
        <v>#N/A</v>
      </c>
      <c r="E2560" s="30">
        <f>'Raw data'!P2136</f>
        <v>0</v>
      </c>
      <c r="F2560" s="29" t="e">
        <f>VLOOKUP(E2560,'점포코드 '!A:B,2,0)</f>
        <v>#N/A</v>
      </c>
      <c r="G2560" s="46">
        <f>'Raw data'!F2469</f>
        <v>0</v>
      </c>
      <c r="H2560" s="4">
        <f>'Raw data'!G2469</f>
        <v>0</v>
      </c>
      <c r="I2560" s="29" t="e">
        <f>VLOOKUP(G2560,제품명!$C$1:$E$114,2,0)</f>
        <v>#N/A</v>
      </c>
      <c r="J2560" s="29">
        <f>'Raw data'!K2469</f>
        <v>0</v>
      </c>
      <c r="K2560" s="31">
        <f>'Raw data'!H2469</f>
        <v>0</v>
      </c>
      <c r="L2560" s="26">
        <f t="shared" si="82"/>
        <v>0</v>
      </c>
    </row>
    <row r="2561" spans="2:12">
      <c r="B2561" s="4" t="e">
        <f t="shared" si="81"/>
        <v>#N/A</v>
      </c>
      <c r="C2561" s="4">
        <f>'Raw data'!E2137</f>
        <v>0</v>
      </c>
      <c r="D2561" s="29" t="e">
        <f>VLOOKUP(C2561,'점포코드 '!A:B,2,0)</f>
        <v>#N/A</v>
      </c>
      <c r="E2561" s="30">
        <f>'Raw data'!P2137</f>
        <v>0</v>
      </c>
      <c r="F2561" s="29" t="e">
        <f>VLOOKUP(E2561,'점포코드 '!A:B,2,0)</f>
        <v>#N/A</v>
      </c>
      <c r="G2561" s="46">
        <f>'Raw data'!F2470</f>
        <v>0</v>
      </c>
      <c r="H2561" s="4">
        <f>'Raw data'!G2470</f>
        <v>0</v>
      </c>
      <c r="I2561" s="29" t="e">
        <f>VLOOKUP(G2561,제품명!$C$1:$E$114,2,0)</f>
        <v>#N/A</v>
      </c>
      <c r="J2561" s="29">
        <f>'Raw data'!K2470</f>
        <v>0</v>
      </c>
      <c r="K2561" s="31">
        <f>'Raw data'!H2470</f>
        <v>0</v>
      </c>
      <c r="L2561" s="26">
        <f t="shared" si="82"/>
        <v>0</v>
      </c>
    </row>
    <row r="2562" spans="2:12">
      <c r="B2562" s="4" t="e">
        <f t="shared" ref="B2562:B2625" si="83">F2562&amp;I2562</f>
        <v>#N/A</v>
      </c>
      <c r="C2562" s="4">
        <f>'Raw data'!E2138</f>
        <v>0</v>
      </c>
      <c r="D2562" s="29" t="e">
        <f>VLOOKUP(C2562,'점포코드 '!A:B,2,0)</f>
        <v>#N/A</v>
      </c>
      <c r="E2562" s="30">
        <f>'Raw data'!P2138</f>
        <v>0</v>
      </c>
      <c r="F2562" s="29" t="e">
        <f>VLOOKUP(E2562,'점포코드 '!A:B,2,0)</f>
        <v>#N/A</v>
      </c>
      <c r="G2562" s="46">
        <f>'Raw data'!F2471</f>
        <v>0</v>
      </c>
      <c r="H2562" s="4">
        <f>'Raw data'!G2471</f>
        <v>0</v>
      </c>
      <c r="I2562" s="29" t="e">
        <f>VLOOKUP(G2562,제품명!$C$1:$E$114,2,0)</f>
        <v>#N/A</v>
      </c>
      <c r="J2562" s="29">
        <f>'Raw data'!K2471</f>
        <v>0</v>
      </c>
      <c r="K2562" s="31">
        <f>'Raw data'!H2471</f>
        <v>0</v>
      </c>
      <c r="L2562" s="26">
        <f t="shared" si="82"/>
        <v>0</v>
      </c>
    </row>
    <row r="2563" spans="2:12">
      <c r="B2563" s="4" t="e">
        <f t="shared" si="83"/>
        <v>#N/A</v>
      </c>
      <c r="C2563" s="4">
        <f>'Raw data'!E2139</f>
        <v>0</v>
      </c>
      <c r="D2563" s="29" t="e">
        <f>VLOOKUP(C2563,'점포코드 '!A:B,2,0)</f>
        <v>#N/A</v>
      </c>
      <c r="E2563" s="30">
        <f>'Raw data'!P2139</f>
        <v>0</v>
      </c>
      <c r="F2563" s="29" t="e">
        <f>VLOOKUP(E2563,'점포코드 '!A:B,2,0)</f>
        <v>#N/A</v>
      </c>
      <c r="G2563" s="46">
        <f>'Raw data'!F2472</f>
        <v>0</v>
      </c>
      <c r="H2563" s="4">
        <f>'Raw data'!G2472</f>
        <v>0</v>
      </c>
      <c r="I2563" s="29" t="e">
        <f>VLOOKUP(G2563,제품명!$C$1:$E$114,2,0)</f>
        <v>#N/A</v>
      </c>
      <c r="J2563" s="29">
        <f>'Raw data'!K2472</f>
        <v>0</v>
      </c>
      <c r="K2563" s="31">
        <f>'Raw data'!H2472</f>
        <v>0</v>
      </c>
      <c r="L2563" s="26">
        <f t="shared" ref="L2563:L2626" si="84">J2563*K2563</f>
        <v>0</v>
      </c>
    </row>
    <row r="2564" spans="2:12">
      <c r="B2564" s="4" t="e">
        <f t="shared" si="83"/>
        <v>#N/A</v>
      </c>
      <c r="C2564" s="4">
        <f>'Raw data'!E2140</f>
        <v>0</v>
      </c>
      <c r="D2564" s="29" t="e">
        <f>VLOOKUP(C2564,'점포코드 '!A:B,2,0)</f>
        <v>#N/A</v>
      </c>
      <c r="E2564" s="30">
        <f>'Raw data'!P2140</f>
        <v>0</v>
      </c>
      <c r="F2564" s="29" t="e">
        <f>VLOOKUP(E2564,'점포코드 '!A:B,2,0)</f>
        <v>#N/A</v>
      </c>
      <c r="G2564" s="46">
        <f>'Raw data'!F2473</f>
        <v>0</v>
      </c>
      <c r="H2564" s="4">
        <f>'Raw data'!G2473</f>
        <v>0</v>
      </c>
      <c r="I2564" s="29" t="e">
        <f>VLOOKUP(G2564,제품명!$C$1:$E$114,2,0)</f>
        <v>#N/A</v>
      </c>
      <c r="J2564" s="29">
        <f>'Raw data'!K2473</f>
        <v>0</v>
      </c>
      <c r="K2564" s="31">
        <f>'Raw data'!H2473</f>
        <v>0</v>
      </c>
      <c r="L2564" s="26">
        <f t="shared" si="84"/>
        <v>0</v>
      </c>
    </row>
    <row r="2565" spans="2:12">
      <c r="B2565" s="4" t="e">
        <f t="shared" si="83"/>
        <v>#N/A</v>
      </c>
      <c r="C2565" s="4">
        <f>'Raw data'!E2141</f>
        <v>0</v>
      </c>
      <c r="D2565" s="29" t="e">
        <f>VLOOKUP(C2565,'점포코드 '!A:B,2,0)</f>
        <v>#N/A</v>
      </c>
      <c r="E2565" s="30">
        <f>'Raw data'!P2141</f>
        <v>0</v>
      </c>
      <c r="F2565" s="29" t="e">
        <f>VLOOKUP(E2565,'점포코드 '!A:B,2,0)</f>
        <v>#N/A</v>
      </c>
      <c r="G2565" s="46">
        <f>'Raw data'!F2474</f>
        <v>0</v>
      </c>
      <c r="H2565" s="4">
        <f>'Raw data'!G2474</f>
        <v>0</v>
      </c>
      <c r="I2565" s="29" t="e">
        <f>VLOOKUP(G2565,제품명!$C$1:$E$114,2,0)</f>
        <v>#N/A</v>
      </c>
      <c r="J2565" s="29">
        <f>'Raw data'!K2474</f>
        <v>0</v>
      </c>
      <c r="K2565" s="31">
        <f>'Raw data'!H2474</f>
        <v>0</v>
      </c>
      <c r="L2565" s="26">
        <f t="shared" si="84"/>
        <v>0</v>
      </c>
    </row>
    <row r="2566" spans="2:12">
      <c r="B2566" s="4" t="e">
        <f t="shared" si="83"/>
        <v>#N/A</v>
      </c>
      <c r="C2566" s="4">
        <f>'Raw data'!E2142</f>
        <v>0</v>
      </c>
      <c r="D2566" s="29" t="e">
        <f>VLOOKUP(C2566,'점포코드 '!A:B,2,0)</f>
        <v>#N/A</v>
      </c>
      <c r="E2566" s="30">
        <f>'Raw data'!P2142</f>
        <v>0</v>
      </c>
      <c r="F2566" s="29" t="e">
        <f>VLOOKUP(E2566,'점포코드 '!A:B,2,0)</f>
        <v>#N/A</v>
      </c>
      <c r="G2566" s="46">
        <f>'Raw data'!F2475</f>
        <v>0</v>
      </c>
      <c r="H2566" s="4">
        <f>'Raw data'!G2475</f>
        <v>0</v>
      </c>
      <c r="I2566" s="29" t="e">
        <f>VLOOKUP(G2566,제품명!$C$1:$E$114,2,0)</f>
        <v>#N/A</v>
      </c>
      <c r="J2566" s="29">
        <f>'Raw data'!K2475</f>
        <v>0</v>
      </c>
      <c r="K2566" s="31">
        <f>'Raw data'!H2475</f>
        <v>0</v>
      </c>
      <c r="L2566" s="26">
        <f t="shared" si="84"/>
        <v>0</v>
      </c>
    </row>
    <row r="2567" spans="2:12">
      <c r="B2567" s="4" t="e">
        <f t="shared" si="83"/>
        <v>#N/A</v>
      </c>
      <c r="C2567" s="4">
        <f>'Raw data'!E2143</f>
        <v>0</v>
      </c>
      <c r="D2567" s="29" t="e">
        <f>VLOOKUP(C2567,'점포코드 '!A:B,2,0)</f>
        <v>#N/A</v>
      </c>
      <c r="E2567" s="30">
        <f>'Raw data'!P2143</f>
        <v>0</v>
      </c>
      <c r="F2567" s="29" t="e">
        <f>VLOOKUP(E2567,'점포코드 '!A:B,2,0)</f>
        <v>#N/A</v>
      </c>
      <c r="G2567" s="46">
        <f>'Raw data'!F2476</f>
        <v>0</v>
      </c>
      <c r="H2567" s="4">
        <f>'Raw data'!G2476</f>
        <v>0</v>
      </c>
      <c r="I2567" s="29" t="e">
        <f>VLOOKUP(G2567,제품명!$C$1:$E$114,2,0)</f>
        <v>#N/A</v>
      </c>
      <c r="J2567" s="29">
        <f>'Raw data'!K2476</f>
        <v>0</v>
      </c>
      <c r="K2567" s="31">
        <f>'Raw data'!H2476</f>
        <v>0</v>
      </c>
      <c r="L2567" s="26">
        <f t="shared" si="84"/>
        <v>0</v>
      </c>
    </row>
    <row r="2568" spans="2:12">
      <c r="B2568" s="4" t="e">
        <f t="shared" si="83"/>
        <v>#N/A</v>
      </c>
      <c r="C2568" s="4">
        <f>'Raw data'!E2144</f>
        <v>0</v>
      </c>
      <c r="D2568" s="29" t="e">
        <f>VLOOKUP(C2568,'점포코드 '!A:B,2,0)</f>
        <v>#N/A</v>
      </c>
      <c r="E2568" s="30">
        <f>'Raw data'!P2144</f>
        <v>0</v>
      </c>
      <c r="F2568" s="29" t="e">
        <f>VLOOKUP(E2568,'점포코드 '!A:B,2,0)</f>
        <v>#N/A</v>
      </c>
      <c r="G2568" s="46">
        <f>'Raw data'!F2477</f>
        <v>0</v>
      </c>
      <c r="H2568" s="4">
        <f>'Raw data'!G2477</f>
        <v>0</v>
      </c>
      <c r="I2568" s="29" t="e">
        <f>VLOOKUP(G2568,제품명!$C$1:$E$114,2,0)</f>
        <v>#N/A</v>
      </c>
      <c r="J2568" s="29">
        <f>'Raw data'!K2477</f>
        <v>0</v>
      </c>
      <c r="K2568" s="31">
        <f>'Raw data'!H2477</f>
        <v>0</v>
      </c>
      <c r="L2568" s="26">
        <f t="shared" si="84"/>
        <v>0</v>
      </c>
    </row>
    <row r="2569" spans="2:12">
      <c r="B2569" s="4" t="e">
        <f t="shared" si="83"/>
        <v>#N/A</v>
      </c>
      <c r="C2569" s="4">
        <f>'Raw data'!E2145</f>
        <v>0</v>
      </c>
      <c r="D2569" s="29" t="e">
        <f>VLOOKUP(C2569,'점포코드 '!A:B,2,0)</f>
        <v>#N/A</v>
      </c>
      <c r="E2569" s="30">
        <f>'Raw data'!P2145</f>
        <v>0</v>
      </c>
      <c r="F2569" s="29" t="e">
        <f>VLOOKUP(E2569,'점포코드 '!A:B,2,0)</f>
        <v>#N/A</v>
      </c>
      <c r="G2569" s="46">
        <f>'Raw data'!F2478</f>
        <v>0</v>
      </c>
      <c r="H2569" s="4">
        <f>'Raw data'!G2478</f>
        <v>0</v>
      </c>
      <c r="I2569" s="29" t="e">
        <f>VLOOKUP(G2569,제품명!$C$1:$E$114,2,0)</f>
        <v>#N/A</v>
      </c>
      <c r="J2569" s="29">
        <f>'Raw data'!K2478</f>
        <v>0</v>
      </c>
      <c r="K2569" s="31">
        <f>'Raw data'!H2478</f>
        <v>0</v>
      </c>
      <c r="L2569" s="26">
        <f t="shared" si="84"/>
        <v>0</v>
      </c>
    </row>
    <row r="2570" spans="2:12">
      <c r="B2570" s="4" t="e">
        <f t="shared" si="83"/>
        <v>#N/A</v>
      </c>
      <c r="C2570" s="4">
        <f>'Raw data'!E2146</f>
        <v>0</v>
      </c>
      <c r="D2570" s="29" t="e">
        <f>VLOOKUP(C2570,'점포코드 '!A:B,2,0)</f>
        <v>#N/A</v>
      </c>
      <c r="E2570" s="30">
        <f>'Raw data'!P2146</f>
        <v>0</v>
      </c>
      <c r="F2570" s="29" t="e">
        <f>VLOOKUP(E2570,'점포코드 '!A:B,2,0)</f>
        <v>#N/A</v>
      </c>
      <c r="G2570" s="46">
        <f>'Raw data'!F2479</f>
        <v>0</v>
      </c>
      <c r="H2570" s="4">
        <f>'Raw data'!G2479</f>
        <v>0</v>
      </c>
      <c r="I2570" s="29" t="e">
        <f>VLOOKUP(G2570,제품명!$C$1:$E$114,2,0)</f>
        <v>#N/A</v>
      </c>
      <c r="J2570" s="29">
        <f>'Raw data'!K2479</f>
        <v>0</v>
      </c>
      <c r="K2570" s="31">
        <f>'Raw data'!H2479</f>
        <v>0</v>
      </c>
      <c r="L2570" s="26">
        <f t="shared" si="84"/>
        <v>0</v>
      </c>
    </row>
    <row r="2571" spans="2:12">
      <c r="B2571" s="4" t="e">
        <f t="shared" si="83"/>
        <v>#N/A</v>
      </c>
      <c r="C2571" s="4">
        <f>'Raw data'!E2147</f>
        <v>0</v>
      </c>
      <c r="D2571" s="29" t="e">
        <f>VLOOKUP(C2571,'점포코드 '!A:B,2,0)</f>
        <v>#N/A</v>
      </c>
      <c r="E2571" s="30">
        <f>'Raw data'!P2147</f>
        <v>0</v>
      </c>
      <c r="F2571" s="29" t="e">
        <f>VLOOKUP(E2571,'점포코드 '!A:B,2,0)</f>
        <v>#N/A</v>
      </c>
      <c r="G2571" s="46">
        <f>'Raw data'!F2480</f>
        <v>0</v>
      </c>
      <c r="H2571" s="4">
        <f>'Raw data'!G2480</f>
        <v>0</v>
      </c>
      <c r="I2571" s="29" t="e">
        <f>VLOOKUP(G2571,제품명!$C$1:$E$114,2,0)</f>
        <v>#N/A</v>
      </c>
      <c r="J2571" s="29">
        <f>'Raw data'!K2480</f>
        <v>0</v>
      </c>
      <c r="K2571" s="31">
        <f>'Raw data'!H2480</f>
        <v>0</v>
      </c>
      <c r="L2571" s="26">
        <f t="shared" si="84"/>
        <v>0</v>
      </c>
    </row>
    <row r="2572" spans="2:12">
      <c r="B2572" s="4" t="e">
        <f t="shared" si="83"/>
        <v>#N/A</v>
      </c>
      <c r="C2572" s="4">
        <f>'Raw data'!E2148</f>
        <v>0</v>
      </c>
      <c r="D2572" s="29" t="e">
        <f>VLOOKUP(C2572,'점포코드 '!A:B,2,0)</f>
        <v>#N/A</v>
      </c>
      <c r="E2572" s="30">
        <f>'Raw data'!P2148</f>
        <v>0</v>
      </c>
      <c r="F2572" s="29" t="e">
        <f>VLOOKUP(E2572,'점포코드 '!A:B,2,0)</f>
        <v>#N/A</v>
      </c>
      <c r="G2572" s="46">
        <f>'Raw data'!F2481</f>
        <v>0</v>
      </c>
      <c r="H2572" s="4">
        <f>'Raw data'!G2481</f>
        <v>0</v>
      </c>
      <c r="I2572" s="29" t="e">
        <f>VLOOKUP(G2572,제품명!$C$1:$E$114,2,0)</f>
        <v>#N/A</v>
      </c>
      <c r="J2572" s="29">
        <f>'Raw data'!K2481</f>
        <v>0</v>
      </c>
      <c r="K2572" s="31">
        <f>'Raw data'!H2481</f>
        <v>0</v>
      </c>
      <c r="L2572" s="26">
        <f t="shared" si="84"/>
        <v>0</v>
      </c>
    </row>
    <row r="2573" spans="2:12">
      <c r="B2573" s="4" t="e">
        <f t="shared" si="83"/>
        <v>#N/A</v>
      </c>
      <c r="C2573" s="4">
        <f>'Raw data'!E2149</f>
        <v>0</v>
      </c>
      <c r="D2573" s="29" t="e">
        <f>VLOOKUP(C2573,'점포코드 '!A:B,2,0)</f>
        <v>#N/A</v>
      </c>
      <c r="E2573" s="30">
        <f>'Raw data'!P2149</f>
        <v>0</v>
      </c>
      <c r="F2573" s="29" t="e">
        <f>VLOOKUP(E2573,'점포코드 '!A:B,2,0)</f>
        <v>#N/A</v>
      </c>
      <c r="G2573" s="46">
        <f>'Raw data'!F2482</f>
        <v>0</v>
      </c>
      <c r="H2573" s="4">
        <f>'Raw data'!G2482</f>
        <v>0</v>
      </c>
      <c r="I2573" s="29" t="e">
        <f>VLOOKUP(G2573,제품명!$C$1:$E$114,2,0)</f>
        <v>#N/A</v>
      </c>
      <c r="J2573" s="29">
        <f>'Raw data'!K2482</f>
        <v>0</v>
      </c>
      <c r="K2573" s="31">
        <f>'Raw data'!H2482</f>
        <v>0</v>
      </c>
      <c r="L2573" s="26">
        <f t="shared" si="84"/>
        <v>0</v>
      </c>
    </row>
    <row r="2574" spans="2:12">
      <c r="B2574" s="4" t="e">
        <f t="shared" si="83"/>
        <v>#N/A</v>
      </c>
      <c r="C2574" s="4">
        <f>'Raw data'!E2150</f>
        <v>0</v>
      </c>
      <c r="D2574" s="29" t="e">
        <f>VLOOKUP(C2574,'점포코드 '!A:B,2,0)</f>
        <v>#N/A</v>
      </c>
      <c r="E2574" s="30">
        <f>'Raw data'!P2150</f>
        <v>0</v>
      </c>
      <c r="F2574" s="29" t="e">
        <f>VLOOKUP(E2574,'점포코드 '!A:B,2,0)</f>
        <v>#N/A</v>
      </c>
      <c r="G2574" s="46">
        <f>'Raw data'!F2483</f>
        <v>0</v>
      </c>
      <c r="H2574" s="4">
        <f>'Raw data'!G2483</f>
        <v>0</v>
      </c>
      <c r="I2574" s="29" t="e">
        <f>VLOOKUP(G2574,제품명!$C$1:$E$114,2,0)</f>
        <v>#N/A</v>
      </c>
      <c r="J2574" s="29">
        <f>'Raw data'!K2483</f>
        <v>0</v>
      </c>
      <c r="K2574" s="31">
        <f>'Raw data'!H2483</f>
        <v>0</v>
      </c>
      <c r="L2574" s="26">
        <f t="shared" si="84"/>
        <v>0</v>
      </c>
    </row>
    <row r="2575" spans="2:12">
      <c r="B2575" s="4" t="e">
        <f t="shared" si="83"/>
        <v>#N/A</v>
      </c>
      <c r="C2575" s="4">
        <f>'Raw data'!E2151</f>
        <v>0</v>
      </c>
      <c r="D2575" s="29" t="e">
        <f>VLOOKUP(C2575,'점포코드 '!A:B,2,0)</f>
        <v>#N/A</v>
      </c>
      <c r="E2575" s="30">
        <f>'Raw data'!P2151</f>
        <v>0</v>
      </c>
      <c r="F2575" s="29" t="e">
        <f>VLOOKUP(E2575,'점포코드 '!A:B,2,0)</f>
        <v>#N/A</v>
      </c>
      <c r="G2575" s="46">
        <f>'Raw data'!F2484</f>
        <v>0</v>
      </c>
      <c r="H2575" s="4">
        <f>'Raw data'!G2484</f>
        <v>0</v>
      </c>
      <c r="I2575" s="29" t="e">
        <f>VLOOKUP(G2575,제품명!$C$1:$E$114,2,0)</f>
        <v>#N/A</v>
      </c>
      <c r="J2575" s="29">
        <f>'Raw data'!K2484</f>
        <v>0</v>
      </c>
      <c r="K2575" s="31">
        <f>'Raw data'!H2484</f>
        <v>0</v>
      </c>
      <c r="L2575" s="26">
        <f t="shared" si="84"/>
        <v>0</v>
      </c>
    </row>
    <row r="2576" spans="2:12">
      <c r="B2576" s="4" t="e">
        <f t="shared" si="83"/>
        <v>#N/A</v>
      </c>
      <c r="C2576" s="4">
        <f>'Raw data'!E2152</f>
        <v>0</v>
      </c>
      <c r="D2576" s="29" t="e">
        <f>VLOOKUP(C2576,'점포코드 '!A:B,2,0)</f>
        <v>#N/A</v>
      </c>
      <c r="E2576" s="30">
        <f>'Raw data'!P2152</f>
        <v>0</v>
      </c>
      <c r="F2576" s="29" t="e">
        <f>VLOOKUP(E2576,'점포코드 '!A:B,2,0)</f>
        <v>#N/A</v>
      </c>
      <c r="G2576" s="46">
        <f>'Raw data'!F2485</f>
        <v>0</v>
      </c>
      <c r="H2576" s="4">
        <f>'Raw data'!G2485</f>
        <v>0</v>
      </c>
      <c r="I2576" s="29" t="e">
        <f>VLOOKUP(G2576,제품명!$C$1:$E$114,2,0)</f>
        <v>#N/A</v>
      </c>
      <c r="J2576" s="29">
        <f>'Raw data'!K2485</f>
        <v>0</v>
      </c>
      <c r="K2576" s="31">
        <f>'Raw data'!H2485</f>
        <v>0</v>
      </c>
      <c r="L2576" s="26">
        <f t="shared" si="84"/>
        <v>0</v>
      </c>
    </row>
    <row r="2577" spans="2:12">
      <c r="B2577" s="4" t="e">
        <f t="shared" si="83"/>
        <v>#N/A</v>
      </c>
      <c r="C2577" s="4">
        <f>'Raw data'!E2153</f>
        <v>0</v>
      </c>
      <c r="D2577" s="29" t="e">
        <f>VLOOKUP(C2577,'점포코드 '!A:B,2,0)</f>
        <v>#N/A</v>
      </c>
      <c r="E2577" s="30">
        <f>'Raw data'!P2153</f>
        <v>0</v>
      </c>
      <c r="F2577" s="29" t="e">
        <f>VLOOKUP(E2577,'점포코드 '!A:B,2,0)</f>
        <v>#N/A</v>
      </c>
      <c r="G2577" s="46">
        <f>'Raw data'!F2486</f>
        <v>0</v>
      </c>
      <c r="H2577" s="4">
        <f>'Raw data'!G2486</f>
        <v>0</v>
      </c>
      <c r="I2577" s="29" t="e">
        <f>VLOOKUP(G2577,제품명!$C$1:$E$114,2,0)</f>
        <v>#N/A</v>
      </c>
      <c r="J2577" s="29">
        <f>'Raw data'!K2486</f>
        <v>0</v>
      </c>
      <c r="K2577" s="31">
        <f>'Raw data'!H2486</f>
        <v>0</v>
      </c>
      <c r="L2577" s="26">
        <f t="shared" si="84"/>
        <v>0</v>
      </c>
    </row>
    <row r="2578" spans="2:12">
      <c r="B2578" s="4" t="e">
        <f t="shared" si="83"/>
        <v>#N/A</v>
      </c>
      <c r="C2578" s="4">
        <f>'Raw data'!E2154</f>
        <v>0</v>
      </c>
      <c r="D2578" s="29" t="e">
        <f>VLOOKUP(C2578,'점포코드 '!A:B,2,0)</f>
        <v>#N/A</v>
      </c>
      <c r="E2578" s="30">
        <f>'Raw data'!P2154</f>
        <v>0</v>
      </c>
      <c r="F2578" s="29" t="e">
        <f>VLOOKUP(E2578,'점포코드 '!A:B,2,0)</f>
        <v>#N/A</v>
      </c>
      <c r="G2578" s="46">
        <f>'Raw data'!F2487</f>
        <v>0</v>
      </c>
      <c r="H2578" s="4">
        <f>'Raw data'!G2487</f>
        <v>0</v>
      </c>
      <c r="I2578" s="29" t="e">
        <f>VLOOKUP(G2578,제품명!$C$1:$E$114,2,0)</f>
        <v>#N/A</v>
      </c>
      <c r="J2578" s="29">
        <f>'Raw data'!K2487</f>
        <v>0</v>
      </c>
      <c r="K2578" s="31">
        <f>'Raw data'!H2487</f>
        <v>0</v>
      </c>
      <c r="L2578" s="26">
        <f t="shared" si="84"/>
        <v>0</v>
      </c>
    </row>
    <row r="2579" spans="2:12">
      <c r="B2579" s="4" t="e">
        <f t="shared" si="83"/>
        <v>#N/A</v>
      </c>
      <c r="C2579" s="4">
        <f>'Raw data'!E2155</f>
        <v>0</v>
      </c>
      <c r="D2579" s="29" t="e">
        <f>VLOOKUP(C2579,'점포코드 '!A:B,2,0)</f>
        <v>#N/A</v>
      </c>
      <c r="E2579" s="30">
        <f>'Raw data'!P2155</f>
        <v>0</v>
      </c>
      <c r="F2579" s="29" t="e">
        <f>VLOOKUP(E2579,'점포코드 '!A:B,2,0)</f>
        <v>#N/A</v>
      </c>
      <c r="G2579" s="46">
        <f>'Raw data'!F2488</f>
        <v>0</v>
      </c>
      <c r="H2579" s="4">
        <f>'Raw data'!G2488</f>
        <v>0</v>
      </c>
      <c r="I2579" s="29" t="e">
        <f>VLOOKUP(G2579,제품명!$C$1:$E$114,2,0)</f>
        <v>#N/A</v>
      </c>
      <c r="J2579" s="29">
        <f>'Raw data'!K2488</f>
        <v>0</v>
      </c>
      <c r="K2579" s="31">
        <f>'Raw data'!H2488</f>
        <v>0</v>
      </c>
      <c r="L2579" s="26">
        <f t="shared" si="84"/>
        <v>0</v>
      </c>
    </row>
    <row r="2580" spans="2:12">
      <c r="B2580" s="4" t="e">
        <f t="shared" si="83"/>
        <v>#N/A</v>
      </c>
      <c r="C2580" s="4">
        <f>'Raw data'!E2156</f>
        <v>0</v>
      </c>
      <c r="D2580" s="29" t="e">
        <f>VLOOKUP(C2580,'점포코드 '!A:B,2,0)</f>
        <v>#N/A</v>
      </c>
      <c r="E2580" s="30">
        <f>'Raw data'!P2156</f>
        <v>0</v>
      </c>
      <c r="F2580" s="29" t="e">
        <f>VLOOKUP(E2580,'점포코드 '!A:B,2,0)</f>
        <v>#N/A</v>
      </c>
      <c r="G2580" s="46">
        <f>'Raw data'!F2489</f>
        <v>0</v>
      </c>
      <c r="H2580" s="4">
        <f>'Raw data'!G2489</f>
        <v>0</v>
      </c>
      <c r="I2580" s="29" t="e">
        <f>VLOOKUP(G2580,제품명!$C$1:$E$114,2,0)</f>
        <v>#N/A</v>
      </c>
      <c r="J2580" s="29">
        <f>'Raw data'!K2489</f>
        <v>0</v>
      </c>
      <c r="K2580" s="31">
        <f>'Raw data'!H2489</f>
        <v>0</v>
      </c>
      <c r="L2580" s="26">
        <f t="shared" si="84"/>
        <v>0</v>
      </c>
    </row>
    <row r="2581" spans="2:12">
      <c r="B2581" s="4" t="e">
        <f t="shared" si="83"/>
        <v>#N/A</v>
      </c>
      <c r="C2581" s="4">
        <f>'Raw data'!E2157</f>
        <v>0</v>
      </c>
      <c r="D2581" s="29" t="e">
        <f>VLOOKUP(C2581,'점포코드 '!A:B,2,0)</f>
        <v>#N/A</v>
      </c>
      <c r="E2581" s="30">
        <f>'Raw data'!P2157</f>
        <v>0</v>
      </c>
      <c r="F2581" s="29" t="e">
        <f>VLOOKUP(E2581,'점포코드 '!A:B,2,0)</f>
        <v>#N/A</v>
      </c>
      <c r="G2581" s="46">
        <f>'Raw data'!F2490</f>
        <v>0</v>
      </c>
      <c r="H2581" s="4">
        <f>'Raw data'!G2490</f>
        <v>0</v>
      </c>
      <c r="I2581" s="29" t="e">
        <f>VLOOKUP(G2581,제품명!$C$1:$E$114,2,0)</f>
        <v>#N/A</v>
      </c>
      <c r="J2581" s="29">
        <f>'Raw data'!K2490</f>
        <v>0</v>
      </c>
      <c r="K2581" s="31">
        <f>'Raw data'!H2490</f>
        <v>0</v>
      </c>
      <c r="L2581" s="26">
        <f t="shared" si="84"/>
        <v>0</v>
      </c>
    </row>
    <row r="2582" spans="2:12">
      <c r="B2582" s="4" t="e">
        <f t="shared" si="83"/>
        <v>#N/A</v>
      </c>
      <c r="C2582" s="4">
        <f>'Raw data'!E2158</f>
        <v>0</v>
      </c>
      <c r="D2582" s="29" t="e">
        <f>VLOOKUP(C2582,'점포코드 '!A:B,2,0)</f>
        <v>#N/A</v>
      </c>
      <c r="E2582" s="30">
        <f>'Raw data'!P2158</f>
        <v>0</v>
      </c>
      <c r="F2582" s="29" t="e">
        <f>VLOOKUP(E2582,'점포코드 '!A:B,2,0)</f>
        <v>#N/A</v>
      </c>
      <c r="G2582" s="46">
        <f>'Raw data'!F2491</f>
        <v>0</v>
      </c>
      <c r="H2582" s="4">
        <f>'Raw data'!G2491</f>
        <v>0</v>
      </c>
      <c r="I2582" s="29" t="e">
        <f>VLOOKUP(G2582,제품명!$C$1:$E$114,2,0)</f>
        <v>#N/A</v>
      </c>
      <c r="J2582" s="29">
        <f>'Raw data'!K2491</f>
        <v>0</v>
      </c>
      <c r="K2582" s="31">
        <f>'Raw data'!H2491</f>
        <v>0</v>
      </c>
      <c r="L2582" s="26">
        <f t="shared" si="84"/>
        <v>0</v>
      </c>
    </row>
    <row r="2583" spans="2:12">
      <c r="B2583" s="4" t="e">
        <f t="shared" si="83"/>
        <v>#N/A</v>
      </c>
      <c r="C2583" s="4">
        <f>'Raw data'!E2159</f>
        <v>0</v>
      </c>
      <c r="D2583" s="29" t="e">
        <f>VLOOKUP(C2583,'점포코드 '!A:B,2,0)</f>
        <v>#N/A</v>
      </c>
      <c r="E2583" s="30">
        <f>'Raw data'!P2159</f>
        <v>0</v>
      </c>
      <c r="F2583" s="29" t="e">
        <f>VLOOKUP(E2583,'점포코드 '!A:B,2,0)</f>
        <v>#N/A</v>
      </c>
      <c r="G2583" s="46">
        <f>'Raw data'!F2492</f>
        <v>0</v>
      </c>
      <c r="H2583" s="4">
        <f>'Raw data'!G2492</f>
        <v>0</v>
      </c>
      <c r="I2583" s="29" t="e">
        <f>VLOOKUP(G2583,제품명!$C$1:$E$114,2,0)</f>
        <v>#N/A</v>
      </c>
      <c r="J2583" s="29">
        <f>'Raw data'!K2492</f>
        <v>0</v>
      </c>
      <c r="K2583" s="31">
        <f>'Raw data'!H2492</f>
        <v>0</v>
      </c>
      <c r="L2583" s="26">
        <f t="shared" si="84"/>
        <v>0</v>
      </c>
    </row>
    <row r="2584" spans="2:12">
      <c r="B2584" s="4" t="e">
        <f t="shared" si="83"/>
        <v>#N/A</v>
      </c>
      <c r="C2584" s="4">
        <f>'Raw data'!E2160</f>
        <v>0</v>
      </c>
      <c r="D2584" s="29" t="e">
        <f>VLOOKUP(C2584,'점포코드 '!A:B,2,0)</f>
        <v>#N/A</v>
      </c>
      <c r="E2584" s="30">
        <f>'Raw data'!P2160</f>
        <v>0</v>
      </c>
      <c r="F2584" s="29" t="e">
        <f>VLOOKUP(E2584,'점포코드 '!A:B,2,0)</f>
        <v>#N/A</v>
      </c>
      <c r="G2584" s="46">
        <f>'Raw data'!F2493</f>
        <v>0</v>
      </c>
      <c r="H2584" s="4">
        <f>'Raw data'!G2493</f>
        <v>0</v>
      </c>
      <c r="I2584" s="29" t="e">
        <f>VLOOKUP(G2584,제품명!$C$1:$E$114,2,0)</f>
        <v>#N/A</v>
      </c>
      <c r="J2584" s="29">
        <f>'Raw data'!K2493</f>
        <v>0</v>
      </c>
      <c r="K2584" s="31">
        <f>'Raw data'!H2493</f>
        <v>0</v>
      </c>
      <c r="L2584" s="26">
        <f t="shared" si="84"/>
        <v>0</v>
      </c>
    </row>
    <row r="2585" spans="2:12">
      <c r="B2585" s="4" t="e">
        <f t="shared" si="83"/>
        <v>#N/A</v>
      </c>
      <c r="C2585" s="4">
        <f>'Raw data'!E2161</f>
        <v>0</v>
      </c>
      <c r="D2585" s="29" t="e">
        <f>VLOOKUP(C2585,'점포코드 '!A:B,2,0)</f>
        <v>#N/A</v>
      </c>
      <c r="E2585" s="30">
        <f>'Raw data'!P2161</f>
        <v>0</v>
      </c>
      <c r="F2585" s="29" t="e">
        <f>VLOOKUP(E2585,'점포코드 '!A:B,2,0)</f>
        <v>#N/A</v>
      </c>
      <c r="G2585" s="46">
        <f>'Raw data'!F2494</f>
        <v>0</v>
      </c>
      <c r="H2585" s="4">
        <f>'Raw data'!G2494</f>
        <v>0</v>
      </c>
      <c r="I2585" s="29" t="e">
        <f>VLOOKUP(G2585,제품명!$C$1:$E$114,2,0)</f>
        <v>#N/A</v>
      </c>
      <c r="J2585" s="29">
        <f>'Raw data'!K2494</f>
        <v>0</v>
      </c>
      <c r="K2585" s="31">
        <f>'Raw data'!H2494</f>
        <v>0</v>
      </c>
      <c r="L2585" s="26">
        <f t="shared" si="84"/>
        <v>0</v>
      </c>
    </row>
    <row r="2586" spans="2:12">
      <c r="B2586" s="4" t="e">
        <f t="shared" si="83"/>
        <v>#N/A</v>
      </c>
      <c r="C2586" s="4">
        <f>'Raw data'!E2162</f>
        <v>0</v>
      </c>
      <c r="D2586" s="29" t="e">
        <f>VLOOKUP(C2586,'점포코드 '!A:B,2,0)</f>
        <v>#N/A</v>
      </c>
      <c r="E2586" s="30">
        <f>'Raw data'!P2162</f>
        <v>0</v>
      </c>
      <c r="F2586" s="29" t="e">
        <f>VLOOKUP(E2586,'점포코드 '!A:B,2,0)</f>
        <v>#N/A</v>
      </c>
      <c r="G2586" s="46">
        <f>'Raw data'!F2495</f>
        <v>0</v>
      </c>
      <c r="H2586" s="4">
        <f>'Raw data'!G2495</f>
        <v>0</v>
      </c>
      <c r="I2586" s="29" t="e">
        <f>VLOOKUP(G2586,제품명!$C$1:$E$114,2,0)</f>
        <v>#N/A</v>
      </c>
      <c r="J2586" s="29">
        <f>'Raw data'!K2495</f>
        <v>0</v>
      </c>
      <c r="K2586" s="31">
        <f>'Raw data'!H2495</f>
        <v>0</v>
      </c>
      <c r="L2586" s="26">
        <f t="shared" si="84"/>
        <v>0</v>
      </c>
    </row>
    <row r="2587" spans="2:12">
      <c r="B2587" s="4" t="e">
        <f t="shared" si="83"/>
        <v>#N/A</v>
      </c>
      <c r="C2587" s="4">
        <f>'Raw data'!E2163</f>
        <v>0</v>
      </c>
      <c r="D2587" s="29" t="e">
        <f>VLOOKUP(C2587,'점포코드 '!A:B,2,0)</f>
        <v>#N/A</v>
      </c>
      <c r="E2587" s="30">
        <f>'Raw data'!P2163</f>
        <v>0</v>
      </c>
      <c r="F2587" s="29" t="e">
        <f>VLOOKUP(E2587,'점포코드 '!A:B,2,0)</f>
        <v>#N/A</v>
      </c>
      <c r="G2587" s="46">
        <f>'Raw data'!F2496</f>
        <v>0</v>
      </c>
      <c r="H2587" s="4">
        <f>'Raw data'!G2496</f>
        <v>0</v>
      </c>
      <c r="I2587" s="29" t="e">
        <f>VLOOKUP(G2587,제품명!$C$1:$E$114,2,0)</f>
        <v>#N/A</v>
      </c>
      <c r="J2587" s="29">
        <f>'Raw data'!K2496</f>
        <v>0</v>
      </c>
      <c r="K2587" s="31">
        <f>'Raw data'!H2496</f>
        <v>0</v>
      </c>
      <c r="L2587" s="26">
        <f t="shared" si="84"/>
        <v>0</v>
      </c>
    </row>
    <row r="2588" spans="2:12">
      <c r="B2588" s="4" t="e">
        <f t="shared" si="83"/>
        <v>#N/A</v>
      </c>
      <c r="C2588" s="4">
        <f>'Raw data'!E2164</f>
        <v>0</v>
      </c>
      <c r="D2588" s="29" t="e">
        <f>VLOOKUP(C2588,'점포코드 '!A:B,2,0)</f>
        <v>#N/A</v>
      </c>
      <c r="E2588" s="30">
        <f>'Raw data'!P2164</f>
        <v>0</v>
      </c>
      <c r="F2588" s="29" t="e">
        <f>VLOOKUP(E2588,'점포코드 '!A:B,2,0)</f>
        <v>#N/A</v>
      </c>
      <c r="G2588" s="46">
        <f>'Raw data'!F2497</f>
        <v>0</v>
      </c>
      <c r="H2588" s="4">
        <f>'Raw data'!G2497</f>
        <v>0</v>
      </c>
      <c r="I2588" s="29" t="e">
        <f>VLOOKUP(G2588,제품명!$C$1:$E$114,2,0)</f>
        <v>#N/A</v>
      </c>
      <c r="J2588" s="29">
        <f>'Raw data'!K2497</f>
        <v>0</v>
      </c>
      <c r="K2588" s="31">
        <f>'Raw data'!H2497</f>
        <v>0</v>
      </c>
      <c r="L2588" s="26">
        <f t="shared" si="84"/>
        <v>0</v>
      </c>
    </row>
    <row r="2589" spans="2:12">
      <c r="B2589" s="4" t="e">
        <f t="shared" si="83"/>
        <v>#N/A</v>
      </c>
      <c r="C2589" s="4">
        <f>'Raw data'!E2165</f>
        <v>0</v>
      </c>
      <c r="D2589" s="29" t="e">
        <f>VLOOKUP(C2589,'점포코드 '!A:B,2,0)</f>
        <v>#N/A</v>
      </c>
      <c r="E2589" s="30">
        <f>'Raw data'!P2165</f>
        <v>0</v>
      </c>
      <c r="F2589" s="29" t="e">
        <f>VLOOKUP(E2589,'점포코드 '!A:B,2,0)</f>
        <v>#N/A</v>
      </c>
      <c r="G2589" s="46">
        <f>'Raw data'!F2498</f>
        <v>0</v>
      </c>
      <c r="H2589" s="4">
        <f>'Raw data'!G2498</f>
        <v>0</v>
      </c>
      <c r="I2589" s="29" t="e">
        <f>VLOOKUP(G2589,제품명!$C$1:$E$114,2,0)</f>
        <v>#N/A</v>
      </c>
      <c r="J2589" s="29">
        <f>'Raw data'!K2498</f>
        <v>0</v>
      </c>
      <c r="K2589" s="31">
        <f>'Raw data'!H2498</f>
        <v>0</v>
      </c>
      <c r="L2589" s="26">
        <f t="shared" si="84"/>
        <v>0</v>
      </c>
    </row>
    <row r="2590" spans="2:12">
      <c r="B2590" s="4" t="e">
        <f t="shared" si="83"/>
        <v>#N/A</v>
      </c>
      <c r="C2590" s="4">
        <f>'Raw data'!E2166</f>
        <v>0</v>
      </c>
      <c r="D2590" s="29" t="e">
        <f>VLOOKUP(C2590,'점포코드 '!A:B,2,0)</f>
        <v>#N/A</v>
      </c>
      <c r="E2590" s="30">
        <f>'Raw data'!P2166</f>
        <v>0</v>
      </c>
      <c r="F2590" s="29" t="e">
        <f>VLOOKUP(E2590,'점포코드 '!A:B,2,0)</f>
        <v>#N/A</v>
      </c>
      <c r="G2590" s="46">
        <f>'Raw data'!F2499</f>
        <v>0</v>
      </c>
      <c r="H2590" s="4">
        <f>'Raw data'!G2499</f>
        <v>0</v>
      </c>
      <c r="I2590" s="29" t="e">
        <f>VLOOKUP(G2590,제품명!$C$1:$E$114,2,0)</f>
        <v>#N/A</v>
      </c>
      <c r="J2590" s="29">
        <f>'Raw data'!K2499</f>
        <v>0</v>
      </c>
      <c r="K2590" s="31">
        <f>'Raw data'!H2499</f>
        <v>0</v>
      </c>
      <c r="L2590" s="26">
        <f t="shared" si="84"/>
        <v>0</v>
      </c>
    </row>
    <row r="2591" spans="2:12">
      <c r="B2591" s="4" t="e">
        <f t="shared" si="83"/>
        <v>#N/A</v>
      </c>
      <c r="C2591" s="4">
        <f>'Raw data'!E2167</f>
        <v>0</v>
      </c>
      <c r="D2591" s="29" t="e">
        <f>VLOOKUP(C2591,'점포코드 '!A:B,2,0)</f>
        <v>#N/A</v>
      </c>
      <c r="E2591" s="30">
        <f>'Raw data'!P2167</f>
        <v>0</v>
      </c>
      <c r="F2591" s="29" t="e">
        <f>VLOOKUP(E2591,'점포코드 '!A:B,2,0)</f>
        <v>#N/A</v>
      </c>
      <c r="G2591" s="46">
        <f>'Raw data'!F2500</f>
        <v>0</v>
      </c>
      <c r="H2591" s="4">
        <f>'Raw data'!G2500</f>
        <v>0</v>
      </c>
      <c r="I2591" s="29" t="e">
        <f>VLOOKUP(G2591,제품명!$C$1:$E$114,2,0)</f>
        <v>#N/A</v>
      </c>
      <c r="J2591" s="29">
        <f>'Raw data'!K2500</f>
        <v>0</v>
      </c>
      <c r="K2591" s="31">
        <f>'Raw data'!H2500</f>
        <v>0</v>
      </c>
      <c r="L2591" s="26">
        <f t="shared" si="84"/>
        <v>0</v>
      </c>
    </row>
    <row r="2592" spans="2:12">
      <c r="B2592" s="4" t="e">
        <f t="shared" si="83"/>
        <v>#N/A</v>
      </c>
      <c r="C2592" s="4">
        <f>'Raw data'!E2168</f>
        <v>0</v>
      </c>
      <c r="D2592" s="29" t="e">
        <f>VLOOKUP(C2592,'점포코드 '!A:B,2,0)</f>
        <v>#N/A</v>
      </c>
      <c r="E2592" s="30">
        <f>'Raw data'!P2168</f>
        <v>0</v>
      </c>
      <c r="F2592" s="29" t="e">
        <f>VLOOKUP(E2592,'점포코드 '!A:B,2,0)</f>
        <v>#N/A</v>
      </c>
      <c r="G2592" s="46">
        <f>'Raw data'!F2501</f>
        <v>0</v>
      </c>
      <c r="H2592" s="4">
        <f>'Raw data'!G2501</f>
        <v>0</v>
      </c>
      <c r="I2592" s="29" t="e">
        <f>VLOOKUP(G2592,제품명!$C$1:$E$114,2,0)</f>
        <v>#N/A</v>
      </c>
      <c r="J2592" s="29">
        <f>'Raw data'!K2501</f>
        <v>0</v>
      </c>
      <c r="K2592" s="31">
        <f>'Raw data'!H2501</f>
        <v>0</v>
      </c>
      <c r="L2592" s="26">
        <f t="shared" si="84"/>
        <v>0</v>
      </c>
    </row>
    <row r="2593" spans="2:12">
      <c r="B2593" s="4" t="e">
        <f t="shared" si="83"/>
        <v>#N/A</v>
      </c>
      <c r="C2593" s="4">
        <f>'Raw data'!E2169</f>
        <v>0</v>
      </c>
      <c r="D2593" s="29" t="e">
        <f>VLOOKUP(C2593,'점포코드 '!A:B,2,0)</f>
        <v>#N/A</v>
      </c>
      <c r="E2593" s="30">
        <f>'Raw data'!P2169</f>
        <v>0</v>
      </c>
      <c r="F2593" s="29" t="e">
        <f>VLOOKUP(E2593,'점포코드 '!A:B,2,0)</f>
        <v>#N/A</v>
      </c>
      <c r="G2593" s="46">
        <f>'Raw data'!F2502</f>
        <v>0</v>
      </c>
      <c r="H2593" s="4">
        <f>'Raw data'!G2502</f>
        <v>0</v>
      </c>
      <c r="I2593" s="29" t="e">
        <f>VLOOKUP(G2593,제품명!$C$1:$E$114,2,0)</f>
        <v>#N/A</v>
      </c>
      <c r="J2593" s="29">
        <f>'Raw data'!K2502</f>
        <v>0</v>
      </c>
      <c r="K2593" s="31">
        <f>'Raw data'!H2502</f>
        <v>0</v>
      </c>
      <c r="L2593" s="26">
        <f t="shared" si="84"/>
        <v>0</v>
      </c>
    </row>
    <row r="2594" spans="2:12">
      <c r="B2594" s="4" t="e">
        <f t="shared" si="83"/>
        <v>#N/A</v>
      </c>
      <c r="C2594" s="4">
        <f>'Raw data'!E2170</f>
        <v>0</v>
      </c>
      <c r="D2594" s="29" t="e">
        <f>VLOOKUP(C2594,'점포코드 '!A:B,2,0)</f>
        <v>#N/A</v>
      </c>
      <c r="E2594" s="30">
        <f>'Raw data'!P2170</f>
        <v>0</v>
      </c>
      <c r="F2594" s="29" t="e">
        <f>VLOOKUP(E2594,'점포코드 '!A:B,2,0)</f>
        <v>#N/A</v>
      </c>
      <c r="G2594" s="46">
        <f>'Raw data'!F2503</f>
        <v>0</v>
      </c>
      <c r="H2594" s="4">
        <f>'Raw data'!G2503</f>
        <v>0</v>
      </c>
      <c r="I2594" s="29" t="e">
        <f>VLOOKUP(G2594,제품명!$C$1:$E$114,2,0)</f>
        <v>#N/A</v>
      </c>
      <c r="J2594" s="29">
        <f>'Raw data'!K2503</f>
        <v>0</v>
      </c>
      <c r="K2594" s="31">
        <f>'Raw data'!H2503</f>
        <v>0</v>
      </c>
      <c r="L2594" s="26">
        <f t="shared" si="84"/>
        <v>0</v>
      </c>
    </row>
    <row r="2595" spans="2:12">
      <c r="B2595" s="4" t="e">
        <f t="shared" si="83"/>
        <v>#N/A</v>
      </c>
      <c r="C2595" s="4">
        <f>'Raw data'!E2171</f>
        <v>0</v>
      </c>
      <c r="D2595" s="29" t="e">
        <f>VLOOKUP(C2595,'점포코드 '!A:B,2,0)</f>
        <v>#N/A</v>
      </c>
      <c r="E2595" s="30">
        <f>'Raw data'!P2171</f>
        <v>0</v>
      </c>
      <c r="F2595" s="29" t="e">
        <f>VLOOKUP(E2595,'점포코드 '!A:B,2,0)</f>
        <v>#N/A</v>
      </c>
      <c r="G2595" s="46">
        <f>'Raw data'!F2504</f>
        <v>0</v>
      </c>
      <c r="H2595" s="4">
        <f>'Raw data'!G2504</f>
        <v>0</v>
      </c>
      <c r="I2595" s="29" t="e">
        <f>VLOOKUP(G2595,제품명!$C$1:$E$114,2,0)</f>
        <v>#N/A</v>
      </c>
      <c r="J2595" s="29">
        <f>'Raw data'!K2504</f>
        <v>0</v>
      </c>
      <c r="K2595" s="31">
        <f>'Raw data'!H2504</f>
        <v>0</v>
      </c>
      <c r="L2595" s="26">
        <f t="shared" si="84"/>
        <v>0</v>
      </c>
    </row>
    <row r="2596" spans="2:12">
      <c r="B2596" s="4" t="e">
        <f t="shared" si="83"/>
        <v>#N/A</v>
      </c>
      <c r="C2596" s="4">
        <f>'Raw data'!E2172</f>
        <v>0</v>
      </c>
      <c r="D2596" s="29" t="e">
        <f>VLOOKUP(C2596,'점포코드 '!A:B,2,0)</f>
        <v>#N/A</v>
      </c>
      <c r="E2596" s="30">
        <f>'Raw data'!P2172</f>
        <v>0</v>
      </c>
      <c r="F2596" s="29" t="e">
        <f>VLOOKUP(E2596,'점포코드 '!A:B,2,0)</f>
        <v>#N/A</v>
      </c>
      <c r="G2596" s="46">
        <f>'Raw data'!F2505</f>
        <v>0</v>
      </c>
      <c r="H2596" s="4">
        <f>'Raw data'!G2505</f>
        <v>0</v>
      </c>
      <c r="I2596" s="29" t="e">
        <f>VLOOKUP(G2596,제품명!$C$1:$E$114,2,0)</f>
        <v>#N/A</v>
      </c>
      <c r="J2596" s="29">
        <f>'Raw data'!K2505</f>
        <v>0</v>
      </c>
      <c r="K2596" s="31">
        <f>'Raw data'!H2505</f>
        <v>0</v>
      </c>
      <c r="L2596" s="26">
        <f t="shared" si="84"/>
        <v>0</v>
      </c>
    </row>
    <row r="2597" spans="2:12">
      <c r="B2597" s="4" t="e">
        <f t="shared" si="83"/>
        <v>#N/A</v>
      </c>
      <c r="C2597" s="4">
        <f>'Raw data'!E2173</f>
        <v>0</v>
      </c>
      <c r="D2597" s="29" t="e">
        <f>VLOOKUP(C2597,'점포코드 '!A:B,2,0)</f>
        <v>#N/A</v>
      </c>
      <c r="E2597" s="30">
        <f>'Raw data'!P2173</f>
        <v>0</v>
      </c>
      <c r="F2597" s="29" t="e">
        <f>VLOOKUP(E2597,'점포코드 '!A:B,2,0)</f>
        <v>#N/A</v>
      </c>
      <c r="G2597" s="46">
        <f>'Raw data'!F2506</f>
        <v>0</v>
      </c>
      <c r="H2597" s="4">
        <f>'Raw data'!G2506</f>
        <v>0</v>
      </c>
      <c r="I2597" s="29" t="e">
        <f>VLOOKUP(G2597,제품명!$C$1:$E$114,2,0)</f>
        <v>#N/A</v>
      </c>
      <c r="J2597" s="29">
        <f>'Raw data'!K2506</f>
        <v>0</v>
      </c>
      <c r="K2597" s="31">
        <f>'Raw data'!H2506</f>
        <v>0</v>
      </c>
      <c r="L2597" s="26">
        <f t="shared" si="84"/>
        <v>0</v>
      </c>
    </row>
    <row r="2598" spans="2:12">
      <c r="B2598" s="4" t="e">
        <f t="shared" si="83"/>
        <v>#N/A</v>
      </c>
      <c r="C2598" s="4">
        <f>'Raw data'!E2174</f>
        <v>0</v>
      </c>
      <c r="D2598" s="29" t="e">
        <f>VLOOKUP(C2598,'점포코드 '!A:B,2,0)</f>
        <v>#N/A</v>
      </c>
      <c r="E2598" s="30">
        <f>'Raw data'!P2174</f>
        <v>0</v>
      </c>
      <c r="F2598" s="29" t="e">
        <f>VLOOKUP(E2598,'점포코드 '!A:B,2,0)</f>
        <v>#N/A</v>
      </c>
      <c r="G2598" s="46">
        <f>'Raw data'!F2507</f>
        <v>0</v>
      </c>
      <c r="H2598" s="4">
        <f>'Raw data'!G2507</f>
        <v>0</v>
      </c>
      <c r="I2598" s="29" t="e">
        <f>VLOOKUP(G2598,제품명!$C$1:$E$114,2,0)</f>
        <v>#N/A</v>
      </c>
      <c r="J2598" s="29">
        <f>'Raw data'!K2507</f>
        <v>0</v>
      </c>
      <c r="K2598" s="31">
        <f>'Raw data'!H2507</f>
        <v>0</v>
      </c>
      <c r="L2598" s="26">
        <f t="shared" si="84"/>
        <v>0</v>
      </c>
    </row>
    <row r="2599" spans="2:12">
      <c r="B2599" s="4" t="e">
        <f t="shared" si="83"/>
        <v>#N/A</v>
      </c>
      <c r="C2599" s="4">
        <f>'Raw data'!E2175</f>
        <v>0</v>
      </c>
      <c r="D2599" s="29" t="e">
        <f>VLOOKUP(C2599,'점포코드 '!A:B,2,0)</f>
        <v>#N/A</v>
      </c>
      <c r="E2599" s="30">
        <f>'Raw data'!P2175</f>
        <v>0</v>
      </c>
      <c r="F2599" s="29" t="e">
        <f>VLOOKUP(E2599,'점포코드 '!A:B,2,0)</f>
        <v>#N/A</v>
      </c>
      <c r="G2599" s="46">
        <f>'Raw data'!F2508</f>
        <v>0</v>
      </c>
      <c r="H2599" s="4">
        <f>'Raw data'!G2508</f>
        <v>0</v>
      </c>
      <c r="I2599" s="29" t="e">
        <f>VLOOKUP(G2599,제품명!$C$1:$E$114,2,0)</f>
        <v>#N/A</v>
      </c>
      <c r="J2599" s="29">
        <f>'Raw data'!K2508</f>
        <v>0</v>
      </c>
      <c r="K2599" s="31">
        <f>'Raw data'!H2508</f>
        <v>0</v>
      </c>
      <c r="L2599" s="26">
        <f t="shared" si="84"/>
        <v>0</v>
      </c>
    </row>
    <row r="2600" spans="2:12">
      <c r="B2600" s="4" t="e">
        <f t="shared" si="83"/>
        <v>#N/A</v>
      </c>
      <c r="C2600" s="4">
        <f>'Raw data'!E2176</f>
        <v>0</v>
      </c>
      <c r="D2600" s="29" t="e">
        <f>VLOOKUP(C2600,'점포코드 '!A:B,2,0)</f>
        <v>#N/A</v>
      </c>
      <c r="E2600" s="30">
        <f>'Raw data'!P2176</f>
        <v>0</v>
      </c>
      <c r="F2600" s="29" t="e">
        <f>VLOOKUP(E2600,'점포코드 '!A:B,2,0)</f>
        <v>#N/A</v>
      </c>
      <c r="G2600" s="46">
        <f>'Raw data'!F2509</f>
        <v>0</v>
      </c>
      <c r="H2600" s="4">
        <f>'Raw data'!G2509</f>
        <v>0</v>
      </c>
      <c r="I2600" s="29" t="e">
        <f>VLOOKUP(G2600,제품명!$C$1:$E$114,2,0)</f>
        <v>#N/A</v>
      </c>
      <c r="J2600" s="29">
        <f>'Raw data'!K2509</f>
        <v>0</v>
      </c>
      <c r="K2600" s="31">
        <f>'Raw data'!H2509</f>
        <v>0</v>
      </c>
      <c r="L2600" s="26">
        <f t="shared" si="84"/>
        <v>0</v>
      </c>
    </row>
    <row r="2601" spans="2:12">
      <c r="B2601" s="4" t="e">
        <f t="shared" si="83"/>
        <v>#N/A</v>
      </c>
      <c r="C2601" s="4">
        <f>'Raw data'!E2177</f>
        <v>0</v>
      </c>
      <c r="D2601" s="29" t="e">
        <f>VLOOKUP(C2601,'점포코드 '!A:B,2,0)</f>
        <v>#N/A</v>
      </c>
      <c r="E2601" s="30">
        <f>'Raw data'!P2177</f>
        <v>0</v>
      </c>
      <c r="F2601" s="29" t="e">
        <f>VLOOKUP(E2601,'점포코드 '!A:B,2,0)</f>
        <v>#N/A</v>
      </c>
      <c r="G2601" s="46">
        <f>'Raw data'!F2510</f>
        <v>0</v>
      </c>
      <c r="H2601" s="4">
        <f>'Raw data'!G2510</f>
        <v>0</v>
      </c>
      <c r="I2601" s="29" t="e">
        <f>VLOOKUP(G2601,제품명!$C$1:$E$114,2,0)</f>
        <v>#N/A</v>
      </c>
      <c r="J2601" s="29">
        <f>'Raw data'!K2510</f>
        <v>0</v>
      </c>
      <c r="K2601" s="31">
        <f>'Raw data'!H2510</f>
        <v>0</v>
      </c>
      <c r="L2601" s="26">
        <f t="shared" si="84"/>
        <v>0</v>
      </c>
    </row>
    <row r="2602" spans="2:12">
      <c r="B2602" s="4" t="e">
        <f t="shared" si="83"/>
        <v>#N/A</v>
      </c>
      <c r="C2602" s="4">
        <f>'Raw data'!E2178</f>
        <v>0</v>
      </c>
      <c r="D2602" s="29" t="e">
        <f>VLOOKUP(C2602,'점포코드 '!A:B,2,0)</f>
        <v>#N/A</v>
      </c>
      <c r="E2602" s="30">
        <f>'Raw data'!P2178</f>
        <v>0</v>
      </c>
      <c r="F2602" s="29" t="e">
        <f>VLOOKUP(E2602,'점포코드 '!A:B,2,0)</f>
        <v>#N/A</v>
      </c>
      <c r="G2602" s="46">
        <f>'Raw data'!F2511</f>
        <v>0</v>
      </c>
      <c r="H2602" s="4">
        <f>'Raw data'!G2511</f>
        <v>0</v>
      </c>
      <c r="I2602" s="29" t="e">
        <f>VLOOKUP(G2602,제품명!$C$1:$E$114,2,0)</f>
        <v>#N/A</v>
      </c>
      <c r="J2602" s="29">
        <f>'Raw data'!K2511</f>
        <v>0</v>
      </c>
      <c r="K2602" s="31">
        <f>'Raw data'!H2511</f>
        <v>0</v>
      </c>
      <c r="L2602" s="26">
        <f t="shared" si="84"/>
        <v>0</v>
      </c>
    </row>
    <row r="2603" spans="2:12">
      <c r="B2603" s="4" t="e">
        <f t="shared" si="83"/>
        <v>#N/A</v>
      </c>
      <c r="C2603" s="4">
        <f>'Raw data'!E2179</f>
        <v>0</v>
      </c>
      <c r="D2603" s="29" t="e">
        <f>VLOOKUP(C2603,'점포코드 '!A:B,2,0)</f>
        <v>#N/A</v>
      </c>
      <c r="E2603" s="30">
        <f>'Raw data'!P2179</f>
        <v>0</v>
      </c>
      <c r="F2603" s="29" t="e">
        <f>VLOOKUP(E2603,'점포코드 '!A:B,2,0)</f>
        <v>#N/A</v>
      </c>
      <c r="G2603" s="46">
        <f>'Raw data'!F2512</f>
        <v>0</v>
      </c>
      <c r="H2603" s="4">
        <f>'Raw data'!G2512</f>
        <v>0</v>
      </c>
      <c r="I2603" s="29" t="e">
        <f>VLOOKUP(G2603,제품명!$C$1:$E$114,2,0)</f>
        <v>#N/A</v>
      </c>
      <c r="J2603" s="29">
        <f>'Raw data'!K2512</f>
        <v>0</v>
      </c>
      <c r="K2603" s="31">
        <f>'Raw data'!H2512</f>
        <v>0</v>
      </c>
      <c r="L2603" s="26">
        <f t="shared" si="84"/>
        <v>0</v>
      </c>
    </row>
    <row r="2604" spans="2:12">
      <c r="B2604" s="4" t="e">
        <f t="shared" si="83"/>
        <v>#N/A</v>
      </c>
      <c r="C2604" s="4">
        <f>'Raw data'!E2180</f>
        <v>0</v>
      </c>
      <c r="D2604" s="29" t="e">
        <f>VLOOKUP(C2604,'점포코드 '!A:B,2,0)</f>
        <v>#N/A</v>
      </c>
      <c r="E2604" s="30">
        <f>'Raw data'!P2180</f>
        <v>0</v>
      </c>
      <c r="F2604" s="29" t="e">
        <f>VLOOKUP(E2604,'점포코드 '!A:B,2,0)</f>
        <v>#N/A</v>
      </c>
      <c r="G2604" s="46">
        <f>'Raw data'!F2513</f>
        <v>0</v>
      </c>
      <c r="H2604" s="4">
        <f>'Raw data'!G2513</f>
        <v>0</v>
      </c>
      <c r="I2604" s="29" t="e">
        <f>VLOOKUP(G2604,제품명!$C$1:$E$114,2,0)</f>
        <v>#N/A</v>
      </c>
      <c r="J2604" s="29">
        <f>'Raw data'!K2513</f>
        <v>0</v>
      </c>
      <c r="K2604" s="31">
        <f>'Raw data'!H2513</f>
        <v>0</v>
      </c>
      <c r="L2604" s="26">
        <f t="shared" si="84"/>
        <v>0</v>
      </c>
    </row>
    <row r="2605" spans="2:12">
      <c r="B2605" s="4" t="e">
        <f t="shared" si="83"/>
        <v>#N/A</v>
      </c>
      <c r="C2605" s="4">
        <f>'Raw data'!E2181</f>
        <v>0</v>
      </c>
      <c r="D2605" s="29" t="e">
        <f>VLOOKUP(C2605,'점포코드 '!A:B,2,0)</f>
        <v>#N/A</v>
      </c>
      <c r="E2605" s="30">
        <f>'Raw data'!P2181</f>
        <v>0</v>
      </c>
      <c r="F2605" s="29" t="e">
        <f>VLOOKUP(E2605,'점포코드 '!A:B,2,0)</f>
        <v>#N/A</v>
      </c>
      <c r="G2605" s="46">
        <f>'Raw data'!F2514</f>
        <v>0</v>
      </c>
      <c r="H2605" s="4">
        <f>'Raw data'!G2514</f>
        <v>0</v>
      </c>
      <c r="I2605" s="29" t="e">
        <f>VLOOKUP(G2605,제품명!$C$1:$E$114,2,0)</f>
        <v>#N/A</v>
      </c>
      <c r="J2605" s="29">
        <f>'Raw data'!K2514</f>
        <v>0</v>
      </c>
      <c r="K2605" s="31">
        <f>'Raw data'!H2514</f>
        <v>0</v>
      </c>
      <c r="L2605" s="26">
        <f t="shared" si="84"/>
        <v>0</v>
      </c>
    </row>
    <row r="2606" spans="2:12">
      <c r="B2606" s="4" t="e">
        <f t="shared" si="83"/>
        <v>#N/A</v>
      </c>
      <c r="C2606" s="4">
        <f>'Raw data'!E2182</f>
        <v>0</v>
      </c>
      <c r="D2606" s="29" t="e">
        <f>VLOOKUP(C2606,'점포코드 '!A:B,2,0)</f>
        <v>#N/A</v>
      </c>
      <c r="E2606" s="30">
        <f>'Raw data'!P2182</f>
        <v>0</v>
      </c>
      <c r="F2606" s="29" t="e">
        <f>VLOOKUP(E2606,'점포코드 '!A:B,2,0)</f>
        <v>#N/A</v>
      </c>
      <c r="G2606" s="46">
        <f>'Raw data'!F2515</f>
        <v>0</v>
      </c>
      <c r="H2606" s="4">
        <f>'Raw data'!G2515</f>
        <v>0</v>
      </c>
      <c r="I2606" s="29" t="e">
        <f>VLOOKUP(G2606,제품명!$C$1:$E$114,2,0)</f>
        <v>#N/A</v>
      </c>
      <c r="J2606" s="29">
        <f>'Raw data'!K2515</f>
        <v>0</v>
      </c>
      <c r="K2606" s="31">
        <f>'Raw data'!H2515</f>
        <v>0</v>
      </c>
      <c r="L2606" s="26">
        <f t="shared" si="84"/>
        <v>0</v>
      </c>
    </row>
    <row r="2607" spans="2:12">
      <c r="B2607" s="4" t="e">
        <f t="shared" si="83"/>
        <v>#N/A</v>
      </c>
      <c r="C2607" s="4">
        <f>'Raw data'!E2183</f>
        <v>0</v>
      </c>
      <c r="D2607" s="29" t="e">
        <f>VLOOKUP(C2607,'점포코드 '!A:B,2,0)</f>
        <v>#N/A</v>
      </c>
      <c r="E2607" s="30">
        <f>'Raw data'!P2183</f>
        <v>0</v>
      </c>
      <c r="F2607" s="29" t="e">
        <f>VLOOKUP(E2607,'점포코드 '!A:B,2,0)</f>
        <v>#N/A</v>
      </c>
      <c r="G2607" s="46">
        <f>'Raw data'!F2516</f>
        <v>0</v>
      </c>
      <c r="H2607" s="4">
        <f>'Raw data'!G2516</f>
        <v>0</v>
      </c>
      <c r="I2607" s="29" t="e">
        <f>VLOOKUP(G2607,제품명!$C$1:$E$114,2,0)</f>
        <v>#N/A</v>
      </c>
      <c r="J2607" s="29">
        <f>'Raw data'!K2516</f>
        <v>0</v>
      </c>
      <c r="K2607" s="31">
        <f>'Raw data'!H2516</f>
        <v>0</v>
      </c>
      <c r="L2607" s="26">
        <f t="shared" si="84"/>
        <v>0</v>
      </c>
    </row>
    <row r="2608" spans="2:12">
      <c r="B2608" s="4" t="e">
        <f t="shared" si="83"/>
        <v>#N/A</v>
      </c>
      <c r="C2608" s="4">
        <f>'Raw data'!E2184</f>
        <v>0</v>
      </c>
      <c r="D2608" s="29" t="e">
        <f>VLOOKUP(C2608,'점포코드 '!A:B,2,0)</f>
        <v>#N/A</v>
      </c>
      <c r="E2608" s="30">
        <f>'Raw data'!P2184</f>
        <v>0</v>
      </c>
      <c r="F2608" s="29" t="e">
        <f>VLOOKUP(E2608,'점포코드 '!A:B,2,0)</f>
        <v>#N/A</v>
      </c>
      <c r="G2608" s="46">
        <f>'Raw data'!F2517</f>
        <v>0</v>
      </c>
      <c r="H2608" s="4">
        <f>'Raw data'!G2517</f>
        <v>0</v>
      </c>
      <c r="I2608" s="29" t="e">
        <f>VLOOKUP(G2608,제품명!$C$1:$E$114,2,0)</f>
        <v>#N/A</v>
      </c>
      <c r="J2608" s="29">
        <f>'Raw data'!K2517</f>
        <v>0</v>
      </c>
      <c r="K2608" s="31">
        <f>'Raw data'!H2517</f>
        <v>0</v>
      </c>
      <c r="L2608" s="26">
        <f t="shared" si="84"/>
        <v>0</v>
      </c>
    </row>
    <row r="2609" spans="2:12">
      <c r="B2609" s="4" t="e">
        <f t="shared" si="83"/>
        <v>#N/A</v>
      </c>
      <c r="C2609" s="4">
        <f>'Raw data'!E2185</f>
        <v>0</v>
      </c>
      <c r="D2609" s="29" t="e">
        <f>VLOOKUP(C2609,'점포코드 '!A:B,2,0)</f>
        <v>#N/A</v>
      </c>
      <c r="E2609" s="30">
        <f>'Raw data'!P2185</f>
        <v>0</v>
      </c>
      <c r="F2609" s="29" t="e">
        <f>VLOOKUP(E2609,'점포코드 '!A:B,2,0)</f>
        <v>#N/A</v>
      </c>
      <c r="G2609" s="46">
        <f>'Raw data'!F2518</f>
        <v>0</v>
      </c>
      <c r="H2609" s="4">
        <f>'Raw data'!G2518</f>
        <v>0</v>
      </c>
      <c r="I2609" s="29" t="e">
        <f>VLOOKUP(G2609,제품명!$C$1:$E$114,2,0)</f>
        <v>#N/A</v>
      </c>
      <c r="J2609" s="29">
        <f>'Raw data'!K2518</f>
        <v>0</v>
      </c>
      <c r="K2609" s="31">
        <f>'Raw data'!H2518</f>
        <v>0</v>
      </c>
      <c r="L2609" s="26">
        <f t="shared" si="84"/>
        <v>0</v>
      </c>
    </row>
    <row r="2610" spans="2:12">
      <c r="B2610" s="4" t="e">
        <f t="shared" si="83"/>
        <v>#N/A</v>
      </c>
      <c r="C2610" s="4">
        <f>'Raw data'!E2186</f>
        <v>0</v>
      </c>
      <c r="D2610" s="29" t="e">
        <f>VLOOKUP(C2610,'점포코드 '!A:B,2,0)</f>
        <v>#N/A</v>
      </c>
      <c r="E2610" s="30">
        <f>'Raw data'!P2186</f>
        <v>0</v>
      </c>
      <c r="F2610" s="29" t="e">
        <f>VLOOKUP(E2610,'점포코드 '!A:B,2,0)</f>
        <v>#N/A</v>
      </c>
      <c r="G2610" s="46">
        <f>'Raw data'!F2519</f>
        <v>0</v>
      </c>
      <c r="H2610" s="4">
        <f>'Raw data'!G2519</f>
        <v>0</v>
      </c>
      <c r="I2610" s="29" t="e">
        <f>VLOOKUP(G2610,제품명!$C$1:$E$114,2,0)</f>
        <v>#N/A</v>
      </c>
      <c r="J2610" s="29">
        <f>'Raw data'!K2519</f>
        <v>0</v>
      </c>
      <c r="K2610" s="31">
        <f>'Raw data'!H2519</f>
        <v>0</v>
      </c>
      <c r="L2610" s="26">
        <f t="shared" si="84"/>
        <v>0</v>
      </c>
    </row>
    <row r="2611" spans="2:12">
      <c r="B2611" s="4" t="e">
        <f t="shared" si="83"/>
        <v>#N/A</v>
      </c>
      <c r="C2611" s="4">
        <f>'Raw data'!E2187</f>
        <v>0</v>
      </c>
      <c r="D2611" s="29" t="e">
        <f>VLOOKUP(C2611,'점포코드 '!A:B,2,0)</f>
        <v>#N/A</v>
      </c>
      <c r="E2611" s="30">
        <f>'Raw data'!P2187</f>
        <v>0</v>
      </c>
      <c r="F2611" s="29" t="e">
        <f>VLOOKUP(E2611,'점포코드 '!A:B,2,0)</f>
        <v>#N/A</v>
      </c>
      <c r="G2611" s="46">
        <f>'Raw data'!F2520</f>
        <v>0</v>
      </c>
      <c r="H2611" s="4">
        <f>'Raw data'!G2520</f>
        <v>0</v>
      </c>
      <c r="I2611" s="29" t="e">
        <f>VLOOKUP(G2611,제품명!$C$1:$E$114,2,0)</f>
        <v>#N/A</v>
      </c>
      <c r="J2611" s="29">
        <f>'Raw data'!K2520</f>
        <v>0</v>
      </c>
      <c r="K2611" s="31">
        <f>'Raw data'!H2520</f>
        <v>0</v>
      </c>
      <c r="L2611" s="26">
        <f t="shared" si="84"/>
        <v>0</v>
      </c>
    </row>
    <row r="2612" spans="2:12">
      <c r="B2612" s="4" t="e">
        <f t="shared" si="83"/>
        <v>#N/A</v>
      </c>
      <c r="C2612" s="4">
        <f>'Raw data'!E2188</f>
        <v>0</v>
      </c>
      <c r="D2612" s="29" t="e">
        <f>VLOOKUP(C2612,'점포코드 '!A:B,2,0)</f>
        <v>#N/A</v>
      </c>
      <c r="E2612" s="30">
        <f>'Raw data'!P2188</f>
        <v>0</v>
      </c>
      <c r="F2612" s="29" t="e">
        <f>VLOOKUP(E2612,'점포코드 '!A:B,2,0)</f>
        <v>#N/A</v>
      </c>
      <c r="G2612" s="46">
        <f>'Raw data'!F2521</f>
        <v>0</v>
      </c>
      <c r="H2612" s="4">
        <f>'Raw data'!G2521</f>
        <v>0</v>
      </c>
      <c r="I2612" s="29" t="e">
        <f>VLOOKUP(G2612,제품명!$C$1:$E$114,2,0)</f>
        <v>#N/A</v>
      </c>
      <c r="J2612" s="29">
        <f>'Raw data'!K2521</f>
        <v>0</v>
      </c>
      <c r="K2612" s="31">
        <f>'Raw data'!H2521</f>
        <v>0</v>
      </c>
      <c r="L2612" s="26">
        <f t="shared" si="84"/>
        <v>0</v>
      </c>
    </row>
    <row r="2613" spans="2:12">
      <c r="B2613" s="4" t="e">
        <f t="shared" si="83"/>
        <v>#N/A</v>
      </c>
      <c r="C2613" s="4">
        <f>'Raw data'!E2189</f>
        <v>0</v>
      </c>
      <c r="D2613" s="29" t="e">
        <f>VLOOKUP(C2613,'점포코드 '!A:B,2,0)</f>
        <v>#N/A</v>
      </c>
      <c r="E2613" s="30">
        <f>'Raw data'!P2189</f>
        <v>0</v>
      </c>
      <c r="F2613" s="29" t="e">
        <f>VLOOKUP(E2613,'점포코드 '!A:B,2,0)</f>
        <v>#N/A</v>
      </c>
      <c r="G2613" s="46">
        <f>'Raw data'!F2522</f>
        <v>0</v>
      </c>
      <c r="H2613" s="4">
        <f>'Raw data'!G2522</f>
        <v>0</v>
      </c>
      <c r="I2613" s="29" t="e">
        <f>VLOOKUP(G2613,제품명!$C$1:$E$114,2,0)</f>
        <v>#N/A</v>
      </c>
      <c r="J2613" s="29">
        <f>'Raw data'!K2522</f>
        <v>0</v>
      </c>
      <c r="K2613" s="31">
        <f>'Raw data'!H2522</f>
        <v>0</v>
      </c>
      <c r="L2613" s="26">
        <f t="shared" si="84"/>
        <v>0</v>
      </c>
    </row>
    <row r="2614" spans="2:12">
      <c r="B2614" s="4" t="e">
        <f t="shared" si="83"/>
        <v>#N/A</v>
      </c>
      <c r="C2614" s="4">
        <f>'Raw data'!E2190</f>
        <v>0</v>
      </c>
      <c r="D2614" s="29" t="e">
        <f>VLOOKUP(C2614,'점포코드 '!A:B,2,0)</f>
        <v>#N/A</v>
      </c>
      <c r="E2614" s="30">
        <f>'Raw data'!P2190</f>
        <v>0</v>
      </c>
      <c r="F2614" s="29" t="e">
        <f>VLOOKUP(E2614,'점포코드 '!A:B,2,0)</f>
        <v>#N/A</v>
      </c>
      <c r="G2614" s="46">
        <f>'Raw data'!F2523</f>
        <v>0</v>
      </c>
      <c r="H2614" s="4">
        <f>'Raw data'!G2523</f>
        <v>0</v>
      </c>
      <c r="I2614" s="29" t="e">
        <f>VLOOKUP(G2614,제품명!$C$1:$E$114,2,0)</f>
        <v>#N/A</v>
      </c>
      <c r="J2614" s="29">
        <f>'Raw data'!K2523</f>
        <v>0</v>
      </c>
      <c r="K2614" s="31">
        <f>'Raw data'!H2523</f>
        <v>0</v>
      </c>
      <c r="L2614" s="26">
        <f t="shared" si="84"/>
        <v>0</v>
      </c>
    </row>
    <row r="2615" spans="2:12">
      <c r="B2615" s="4" t="e">
        <f t="shared" si="83"/>
        <v>#N/A</v>
      </c>
      <c r="C2615" s="4">
        <f>'Raw data'!E2191</f>
        <v>0</v>
      </c>
      <c r="D2615" s="29" t="e">
        <f>VLOOKUP(C2615,'점포코드 '!A:B,2,0)</f>
        <v>#N/A</v>
      </c>
      <c r="E2615" s="30">
        <f>'Raw data'!P2191</f>
        <v>0</v>
      </c>
      <c r="F2615" s="29" t="e">
        <f>VLOOKUP(E2615,'점포코드 '!A:B,2,0)</f>
        <v>#N/A</v>
      </c>
      <c r="G2615" s="46">
        <f>'Raw data'!F2524</f>
        <v>0</v>
      </c>
      <c r="H2615" s="4">
        <f>'Raw data'!G2524</f>
        <v>0</v>
      </c>
      <c r="I2615" s="29" t="e">
        <f>VLOOKUP(G2615,제품명!$C$1:$E$114,2,0)</f>
        <v>#N/A</v>
      </c>
      <c r="J2615" s="29">
        <f>'Raw data'!K2524</f>
        <v>0</v>
      </c>
      <c r="K2615" s="31">
        <f>'Raw data'!H2524</f>
        <v>0</v>
      </c>
      <c r="L2615" s="26">
        <f t="shared" si="84"/>
        <v>0</v>
      </c>
    </row>
    <row r="2616" spans="2:12">
      <c r="B2616" s="4" t="e">
        <f t="shared" si="83"/>
        <v>#N/A</v>
      </c>
      <c r="C2616" s="4">
        <f>'Raw data'!E2192</f>
        <v>0</v>
      </c>
      <c r="D2616" s="29" t="e">
        <f>VLOOKUP(C2616,'점포코드 '!A:B,2,0)</f>
        <v>#N/A</v>
      </c>
      <c r="E2616" s="30">
        <f>'Raw data'!P2192</f>
        <v>0</v>
      </c>
      <c r="F2616" s="29" t="e">
        <f>VLOOKUP(E2616,'점포코드 '!A:B,2,0)</f>
        <v>#N/A</v>
      </c>
      <c r="G2616" s="46">
        <f>'Raw data'!F2525</f>
        <v>0</v>
      </c>
      <c r="H2616" s="4">
        <f>'Raw data'!G2525</f>
        <v>0</v>
      </c>
      <c r="I2616" s="29" t="e">
        <f>VLOOKUP(G2616,제품명!$C$1:$E$114,2,0)</f>
        <v>#N/A</v>
      </c>
      <c r="J2616" s="29">
        <f>'Raw data'!K2525</f>
        <v>0</v>
      </c>
      <c r="K2616" s="31">
        <f>'Raw data'!H2525</f>
        <v>0</v>
      </c>
      <c r="L2616" s="26">
        <f t="shared" si="84"/>
        <v>0</v>
      </c>
    </row>
    <row r="2617" spans="2:12">
      <c r="B2617" s="4" t="e">
        <f t="shared" si="83"/>
        <v>#N/A</v>
      </c>
      <c r="C2617" s="4">
        <f>'Raw data'!E2193</f>
        <v>0</v>
      </c>
      <c r="D2617" s="29" t="e">
        <f>VLOOKUP(C2617,'점포코드 '!A:B,2,0)</f>
        <v>#N/A</v>
      </c>
      <c r="E2617" s="30">
        <f>'Raw data'!P2193</f>
        <v>0</v>
      </c>
      <c r="F2617" s="29" t="e">
        <f>VLOOKUP(E2617,'점포코드 '!A:B,2,0)</f>
        <v>#N/A</v>
      </c>
      <c r="G2617" s="46">
        <f>'Raw data'!F2526</f>
        <v>0</v>
      </c>
      <c r="H2617" s="4">
        <f>'Raw data'!G2526</f>
        <v>0</v>
      </c>
      <c r="I2617" s="29" t="e">
        <f>VLOOKUP(G2617,제품명!$C$1:$E$114,2,0)</f>
        <v>#N/A</v>
      </c>
      <c r="J2617" s="29">
        <f>'Raw data'!K2526</f>
        <v>0</v>
      </c>
      <c r="K2617" s="31">
        <f>'Raw data'!H2526</f>
        <v>0</v>
      </c>
      <c r="L2617" s="26">
        <f t="shared" si="84"/>
        <v>0</v>
      </c>
    </row>
    <row r="2618" spans="2:12">
      <c r="B2618" s="4" t="e">
        <f t="shared" si="83"/>
        <v>#N/A</v>
      </c>
      <c r="C2618" s="4">
        <f>'Raw data'!E2194</f>
        <v>0</v>
      </c>
      <c r="D2618" s="29" t="e">
        <f>VLOOKUP(C2618,'점포코드 '!A:B,2,0)</f>
        <v>#N/A</v>
      </c>
      <c r="E2618" s="30">
        <f>'Raw data'!P2194</f>
        <v>0</v>
      </c>
      <c r="F2618" s="29" t="e">
        <f>VLOOKUP(E2618,'점포코드 '!A:B,2,0)</f>
        <v>#N/A</v>
      </c>
      <c r="G2618" s="46">
        <f>'Raw data'!F2527</f>
        <v>0</v>
      </c>
      <c r="H2618" s="4">
        <f>'Raw data'!G2527</f>
        <v>0</v>
      </c>
      <c r="I2618" s="29" t="e">
        <f>VLOOKUP(G2618,제품명!$C$1:$E$114,2,0)</f>
        <v>#N/A</v>
      </c>
      <c r="J2618" s="29">
        <f>'Raw data'!K2527</f>
        <v>0</v>
      </c>
      <c r="K2618" s="31">
        <f>'Raw data'!H2527</f>
        <v>0</v>
      </c>
      <c r="L2618" s="26">
        <f t="shared" si="84"/>
        <v>0</v>
      </c>
    </row>
    <row r="2619" spans="2:12">
      <c r="B2619" s="4" t="e">
        <f t="shared" si="83"/>
        <v>#N/A</v>
      </c>
      <c r="C2619" s="4">
        <f>'Raw data'!E2195</f>
        <v>0</v>
      </c>
      <c r="D2619" s="29" t="e">
        <f>VLOOKUP(C2619,'점포코드 '!A:B,2,0)</f>
        <v>#N/A</v>
      </c>
      <c r="E2619" s="30">
        <f>'Raw data'!P2195</f>
        <v>0</v>
      </c>
      <c r="F2619" s="29" t="e">
        <f>VLOOKUP(E2619,'점포코드 '!A:B,2,0)</f>
        <v>#N/A</v>
      </c>
      <c r="G2619" s="46">
        <f>'Raw data'!F2528</f>
        <v>0</v>
      </c>
      <c r="H2619" s="4">
        <f>'Raw data'!G2528</f>
        <v>0</v>
      </c>
      <c r="I2619" s="29" t="e">
        <f>VLOOKUP(G2619,제품명!$C$1:$E$114,2,0)</f>
        <v>#N/A</v>
      </c>
      <c r="J2619" s="29">
        <f>'Raw data'!K2528</f>
        <v>0</v>
      </c>
      <c r="K2619" s="31">
        <f>'Raw data'!H2528</f>
        <v>0</v>
      </c>
      <c r="L2619" s="26">
        <f t="shared" si="84"/>
        <v>0</v>
      </c>
    </row>
    <row r="2620" spans="2:12">
      <c r="B2620" s="4" t="e">
        <f t="shared" si="83"/>
        <v>#N/A</v>
      </c>
      <c r="C2620" s="4">
        <f>'Raw data'!E2196</f>
        <v>0</v>
      </c>
      <c r="D2620" s="29" t="e">
        <f>VLOOKUP(C2620,'점포코드 '!A:B,2,0)</f>
        <v>#N/A</v>
      </c>
      <c r="E2620" s="30">
        <f>'Raw data'!P2196</f>
        <v>0</v>
      </c>
      <c r="F2620" s="29" t="e">
        <f>VLOOKUP(E2620,'점포코드 '!A:B,2,0)</f>
        <v>#N/A</v>
      </c>
      <c r="G2620" s="46">
        <f>'Raw data'!F2529</f>
        <v>0</v>
      </c>
      <c r="H2620" s="4">
        <f>'Raw data'!G2529</f>
        <v>0</v>
      </c>
      <c r="I2620" s="29" t="e">
        <f>VLOOKUP(G2620,제품명!$C$1:$E$114,2,0)</f>
        <v>#N/A</v>
      </c>
      <c r="J2620" s="29">
        <f>'Raw data'!K2529</f>
        <v>0</v>
      </c>
      <c r="K2620" s="31">
        <f>'Raw data'!H2529</f>
        <v>0</v>
      </c>
      <c r="L2620" s="26">
        <f t="shared" si="84"/>
        <v>0</v>
      </c>
    </row>
    <row r="2621" spans="2:12">
      <c r="B2621" s="4" t="e">
        <f t="shared" si="83"/>
        <v>#N/A</v>
      </c>
      <c r="C2621" s="4">
        <f>'Raw data'!E2197</f>
        <v>0</v>
      </c>
      <c r="D2621" s="29" t="e">
        <f>VLOOKUP(C2621,'점포코드 '!A:B,2,0)</f>
        <v>#N/A</v>
      </c>
      <c r="E2621" s="30">
        <f>'Raw data'!P2197</f>
        <v>0</v>
      </c>
      <c r="F2621" s="29" t="e">
        <f>VLOOKUP(E2621,'점포코드 '!A:B,2,0)</f>
        <v>#N/A</v>
      </c>
      <c r="G2621" s="46">
        <f>'Raw data'!F2530</f>
        <v>0</v>
      </c>
      <c r="H2621" s="4">
        <f>'Raw data'!G2530</f>
        <v>0</v>
      </c>
      <c r="I2621" s="29" t="e">
        <f>VLOOKUP(G2621,제품명!$C$1:$E$114,2,0)</f>
        <v>#N/A</v>
      </c>
      <c r="J2621" s="29">
        <f>'Raw data'!K2530</f>
        <v>0</v>
      </c>
      <c r="K2621" s="31">
        <f>'Raw data'!H2530</f>
        <v>0</v>
      </c>
      <c r="L2621" s="26">
        <f t="shared" si="84"/>
        <v>0</v>
      </c>
    </row>
    <row r="2622" spans="2:12">
      <c r="B2622" s="4" t="e">
        <f t="shared" si="83"/>
        <v>#N/A</v>
      </c>
      <c r="C2622" s="4">
        <f>'Raw data'!E2198</f>
        <v>0</v>
      </c>
      <c r="D2622" s="29" t="e">
        <f>VLOOKUP(C2622,'점포코드 '!A:B,2,0)</f>
        <v>#N/A</v>
      </c>
      <c r="E2622" s="30">
        <f>'Raw data'!P2198</f>
        <v>0</v>
      </c>
      <c r="F2622" s="29" t="e">
        <f>VLOOKUP(E2622,'점포코드 '!A:B,2,0)</f>
        <v>#N/A</v>
      </c>
      <c r="G2622" s="46">
        <f>'Raw data'!F2531</f>
        <v>0</v>
      </c>
      <c r="H2622" s="4">
        <f>'Raw data'!G2531</f>
        <v>0</v>
      </c>
      <c r="I2622" s="29" t="e">
        <f>VLOOKUP(G2622,제품명!$C$1:$E$114,2,0)</f>
        <v>#N/A</v>
      </c>
      <c r="J2622" s="29">
        <f>'Raw data'!K2531</f>
        <v>0</v>
      </c>
      <c r="K2622" s="31">
        <f>'Raw data'!H2531</f>
        <v>0</v>
      </c>
      <c r="L2622" s="26">
        <f t="shared" si="84"/>
        <v>0</v>
      </c>
    </row>
    <row r="2623" spans="2:12">
      <c r="B2623" s="4" t="e">
        <f t="shared" si="83"/>
        <v>#N/A</v>
      </c>
      <c r="C2623" s="4">
        <f>'Raw data'!E2199</f>
        <v>0</v>
      </c>
      <c r="D2623" s="29" t="e">
        <f>VLOOKUP(C2623,'점포코드 '!A:B,2,0)</f>
        <v>#N/A</v>
      </c>
      <c r="E2623" s="30">
        <f>'Raw data'!P2199</f>
        <v>0</v>
      </c>
      <c r="F2623" s="29" t="e">
        <f>VLOOKUP(E2623,'점포코드 '!A:B,2,0)</f>
        <v>#N/A</v>
      </c>
      <c r="G2623" s="46">
        <f>'Raw data'!F2532</f>
        <v>0</v>
      </c>
      <c r="H2623" s="4">
        <f>'Raw data'!G2532</f>
        <v>0</v>
      </c>
      <c r="I2623" s="29" t="e">
        <f>VLOOKUP(G2623,제품명!$C$1:$E$114,2,0)</f>
        <v>#N/A</v>
      </c>
      <c r="J2623" s="29">
        <f>'Raw data'!K2532</f>
        <v>0</v>
      </c>
      <c r="K2623" s="31">
        <f>'Raw data'!H2532</f>
        <v>0</v>
      </c>
      <c r="L2623" s="26">
        <f t="shared" si="84"/>
        <v>0</v>
      </c>
    </row>
    <row r="2624" spans="2:12">
      <c r="B2624" s="4" t="e">
        <f t="shared" si="83"/>
        <v>#N/A</v>
      </c>
      <c r="C2624" s="4">
        <f>'Raw data'!E2200</f>
        <v>0</v>
      </c>
      <c r="D2624" s="29" t="e">
        <f>VLOOKUP(C2624,'점포코드 '!A:B,2,0)</f>
        <v>#N/A</v>
      </c>
      <c r="E2624" s="30">
        <f>'Raw data'!P2200</f>
        <v>0</v>
      </c>
      <c r="F2624" s="29" t="e">
        <f>VLOOKUP(E2624,'점포코드 '!A:B,2,0)</f>
        <v>#N/A</v>
      </c>
      <c r="G2624" s="46">
        <f>'Raw data'!F2533</f>
        <v>0</v>
      </c>
      <c r="H2624" s="4">
        <f>'Raw data'!G2533</f>
        <v>0</v>
      </c>
      <c r="I2624" s="29" t="e">
        <f>VLOOKUP(G2624,제품명!$C$1:$E$114,2,0)</f>
        <v>#N/A</v>
      </c>
      <c r="J2624" s="29">
        <f>'Raw data'!K2533</f>
        <v>0</v>
      </c>
      <c r="K2624" s="31">
        <f>'Raw data'!H2533</f>
        <v>0</v>
      </c>
      <c r="L2624" s="26">
        <f t="shared" si="84"/>
        <v>0</v>
      </c>
    </row>
    <row r="2625" spans="2:12">
      <c r="B2625" s="4" t="e">
        <f t="shared" si="83"/>
        <v>#N/A</v>
      </c>
      <c r="C2625" s="4">
        <f>'Raw data'!E2201</f>
        <v>0</v>
      </c>
      <c r="D2625" s="29" t="e">
        <f>VLOOKUP(C2625,'점포코드 '!A:B,2,0)</f>
        <v>#N/A</v>
      </c>
      <c r="E2625" s="30">
        <f>'Raw data'!P2201</f>
        <v>0</v>
      </c>
      <c r="F2625" s="29" t="e">
        <f>VLOOKUP(E2625,'점포코드 '!A:B,2,0)</f>
        <v>#N/A</v>
      </c>
      <c r="G2625" s="46">
        <f>'Raw data'!F2534</f>
        <v>0</v>
      </c>
      <c r="H2625" s="4">
        <f>'Raw data'!G2534</f>
        <v>0</v>
      </c>
      <c r="I2625" s="29" t="e">
        <f>VLOOKUP(G2625,제품명!$C$1:$E$114,2,0)</f>
        <v>#N/A</v>
      </c>
      <c r="J2625" s="29">
        <f>'Raw data'!K2534</f>
        <v>0</v>
      </c>
      <c r="K2625" s="31">
        <f>'Raw data'!H2534</f>
        <v>0</v>
      </c>
      <c r="L2625" s="26">
        <f t="shared" si="84"/>
        <v>0</v>
      </c>
    </row>
    <row r="2626" spans="2:12">
      <c r="B2626" s="4" t="e">
        <f t="shared" ref="B2626:B2689" si="85">F2626&amp;I2626</f>
        <v>#N/A</v>
      </c>
      <c r="C2626" s="4">
        <f>'Raw data'!E2202</f>
        <v>0</v>
      </c>
      <c r="D2626" s="29" t="e">
        <f>VLOOKUP(C2626,'점포코드 '!A:B,2,0)</f>
        <v>#N/A</v>
      </c>
      <c r="E2626" s="30">
        <f>'Raw data'!P2202</f>
        <v>0</v>
      </c>
      <c r="F2626" s="29" t="e">
        <f>VLOOKUP(E2626,'점포코드 '!A:B,2,0)</f>
        <v>#N/A</v>
      </c>
      <c r="G2626" s="46">
        <f>'Raw data'!F2535</f>
        <v>0</v>
      </c>
      <c r="H2626" s="4">
        <f>'Raw data'!G2535</f>
        <v>0</v>
      </c>
      <c r="I2626" s="29" t="e">
        <f>VLOOKUP(G2626,제품명!$C$1:$E$114,2,0)</f>
        <v>#N/A</v>
      </c>
      <c r="J2626" s="29">
        <f>'Raw data'!K2535</f>
        <v>0</v>
      </c>
      <c r="K2626" s="31">
        <f>'Raw data'!H2535</f>
        <v>0</v>
      </c>
      <c r="L2626" s="26">
        <f t="shared" si="84"/>
        <v>0</v>
      </c>
    </row>
    <row r="2627" spans="2:12">
      <c r="B2627" s="4" t="e">
        <f t="shared" si="85"/>
        <v>#N/A</v>
      </c>
      <c r="C2627" s="4">
        <f>'Raw data'!E2203</f>
        <v>0</v>
      </c>
      <c r="D2627" s="29" t="e">
        <f>VLOOKUP(C2627,'점포코드 '!A:B,2,0)</f>
        <v>#N/A</v>
      </c>
      <c r="E2627" s="30">
        <f>'Raw data'!P2203</f>
        <v>0</v>
      </c>
      <c r="F2627" s="29" t="e">
        <f>VLOOKUP(E2627,'점포코드 '!A:B,2,0)</f>
        <v>#N/A</v>
      </c>
      <c r="G2627" s="46">
        <f>'Raw data'!F2536</f>
        <v>0</v>
      </c>
      <c r="H2627" s="4">
        <f>'Raw data'!G2536</f>
        <v>0</v>
      </c>
      <c r="I2627" s="29" t="e">
        <f>VLOOKUP(G2627,제품명!$C$1:$E$114,2,0)</f>
        <v>#N/A</v>
      </c>
      <c r="J2627" s="29">
        <f>'Raw data'!K2536</f>
        <v>0</v>
      </c>
      <c r="K2627" s="31">
        <f>'Raw data'!H2536</f>
        <v>0</v>
      </c>
      <c r="L2627" s="26">
        <f t="shared" ref="L2627:L2690" si="86">J2627*K2627</f>
        <v>0</v>
      </c>
    </row>
    <row r="2628" spans="2:12">
      <c r="B2628" s="4" t="e">
        <f t="shared" si="85"/>
        <v>#N/A</v>
      </c>
      <c r="C2628" s="4">
        <f>'Raw data'!E2204</f>
        <v>0</v>
      </c>
      <c r="D2628" s="29" t="e">
        <f>VLOOKUP(C2628,'점포코드 '!A:B,2,0)</f>
        <v>#N/A</v>
      </c>
      <c r="E2628" s="30">
        <f>'Raw data'!P2204</f>
        <v>0</v>
      </c>
      <c r="F2628" s="29" t="e">
        <f>VLOOKUP(E2628,'점포코드 '!A:B,2,0)</f>
        <v>#N/A</v>
      </c>
      <c r="G2628" s="46">
        <f>'Raw data'!F2537</f>
        <v>0</v>
      </c>
      <c r="H2628" s="4">
        <f>'Raw data'!G2537</f>
        <v>0</v>
      </c>
      <c r="I2628" s="29" t="e">
        <f>VLOOKUP(G2628,제품명!$C$1:$E$114,2,0)</f>
        <v>#N/A</v>
      </c>
      <c r="J2628" s="29">
        <f>'Raw data'!K2537</f>
        <v>0</v>
      </c>
      <c r="K2628" s="31">
        <f>'Raw data'!H2537</f>
        <v>0</v>
      </c>
      <c r="L2628" s="26">
        <f t="shared" si="86"/>
        <v>0</v>
      </c>
    </row>
    <row r="2629" spans="2:12">
      <c r="B2629" s="4" t="e">
        <f t="shared" si="85"/>
        <v>#N/A</v>
      </c>
      <c r="C2629" s="4">
        <f>'Raw data'!E2205</f>
        <v>0</v>
      </c>
      <c r="D2629" s="29" t="e">
        <f>VLOOKUP(C2629,'점포코드 '!A:B,2,0)</f>
        <v>#N/A</v>
      </c>
      <c r="E2629" s="30">
        <f>'Raw data'!P2205</f>
        <v>0</v>
      </c>
      <c r="F2629" s="29" t="e">
        <f>VLOOKUP(E2629,'점포코드 '!A:B,2,0)</f>
        <v>#N/A</v>
      </c>
      <c r="G2629" s="46">
        <f>'Raw data'!F2538</f>
        <v>0</v>
      </c>
      <c r="H2629" s="4">
        <f>'Raw data'!G2538</f>
        <v>0</v>
      </c>
      <c r="I2629" s="29" t="e">
        <f>VLOOKUP(G2629,제품명!$C$1:$E$114,2,0)</f>
        <v>#N/A</v>
      </c>
      <c r="J2629" s="29">
        <f>'Raw data'!K2538</f>
        <v>0</v>
      </c>
      <c r="K2629" s="31">
        <f>'Raw data'!H2538</f>
        <v>0</v>
      </c>
      <c r="L2629" s="26">
        <f t="shared" si="86"/>
        <v>0</v>
      </c>
    </row>
    <row r="2630" spans="2:12">
      <c r="B2630" s="4" t="e">
        <f t="shared" si="85"/>
        <v>#N/A</v>
      </c>
      <c r="C2630" s="4">
        <f>'Raw data'!E2206</f>
        <v>0</v>
      </c>
      <c r="D2630" s="29" t="e">
        <f>VLOOKUP(C2630,'점포코드 '!A:B,2,0)</f>
        <v>#N/A</v>
      </c>
      <c r="E2630" s="30">
        <f>'Raw data'!P2206</f>
        <v>0</v>
      </c>
      <c r="F2630" s="29" t="e">
        <f>VLOOKUP(E2630,'점포코드 '!A:B,2,0)</f>
        <v>#N/A</v>
      </c>
      <c r="G2630" s="46">
        <f>'Raw data'!F2539</f>
        <v>0</v>
      </c>
      <c r="H2630" s="4">
        <f>'Raw data'!G2539</f>
        <v>0</v>
      </c>
      <c r="I2630" s="29" t="e">
        <f>VLOOKUP(G2630,제품명!$C$1:$E$114,2,0)</f>
        <v>#N/A</v>
      </c>
      <c r="J2630" s="29">
        <f>'Raw data'!K2539</f>
        <v>0</v>
      </c>
      <c r="K2630" s="31">
        <f>'Raw data'!H2539</f>
        <v>0</v>
      </c>
      <c r="L2630" s="26">
        <f t="shared" si="86"/>
        <v>0</v>
      </c>
    </row>
    <row r="2631" spans="2:12">
      <c r="B2631" s="4" t="e">
        <f t="shared" si="85"/>
        <v>#N/A</v>
      </c>
      <c r="C2631" s="4">
        <f>'Raw data'!E2207</f>
        <v>0</v>
      </c>
      <c r="D2631" s="29" t="e">
        <f>VLOOKUP(C2631,'점포코드 '!A:B,2,0)</f>
        <v>#N/A</v>
      </c>
      <c r="E2631" s="30">
        <f>'Raw data'!P2207</f>
        <v>0</v>
      </c>
      <c r="F2631" s="29" t="e">
        <f>VLOOKUP(E2631,'점포코드 '!A:B,2,0)</f>
        <v>#N/A</v>
      </c>
      <c r="G2631" s="46">
        <f>'Raw data'!F2540</f>
        <v>0</v>
      </c>
      <c r="H2631" s="4">
        <f>'Raw data'!G2540</f>
        <v>0</v>
      </c>
      <c r="I2631" s="29" t="e">
        <f>VLOOKUP(G2631,제품명!$C$1:$E$114,2,0)</f>
        <v>#N/A</v>
      </c>
      <c r="J2631" s="29">
        <f>'Raw data'!K2540</f>
        <v>0</v>
      </c>
      <c r="K2631" s="31">
        <f>'Raw data'!H2540</f>
        <v>0</v>
      </c>
      <c r="L2631" s="26">
        <f t="shared" si="86"/>
        <v>0</v>
      </c>
    </row>
    <row r="2632" spans="2:12">
      <c r="B2632" s="4" t="e">
        <f t="shared" si="85"/>
        <v>#N/A</v>
      </c>
      <c r="C2632" s="4">
        <f>'Raw data'!E2208</f>
        <v>0</v>
      </c>
      <c r="D2632" s="29" t="e">
        <f>VLOOKUP(C2632,'점포코드 '!A:B,2,0)</f>
        <v>#N/A</v>
      </c>
      <c r="E2632" s="30">
        <f>'Raw data'!P2208</f>
        <v>0</v>
      </c>
      <c r="F2632" s="29" t="e">
        <f>VLOOKUP(E2632,'점포코드 '!A:B,2,0)</f>
        <v>#N/A</v>
      </c>
      <c r="G2632" s="46">
        <f>'Raw data'!F2541</f>
        <v>0</v>
      </c>
      <c r="H2632" s="4">
        <f>'Raw data'!G2541</f>
        <v>0</v>
      </c>
      <c r="I2632" s="29" t="e">
        <f>VLOOKUP(G2632,제품명!$C$1:$E$114,2,0)</f>
        <v>#N/A</v>
      </c>
      <c r="J2632" s="29">
        <f>'Raw data'!K2541</f>
        <v>0</v>
      </c>
      <c r="K2632" s="31">
        <f>'Raw data'!H2541</f>
        <v>0</v>
      </c>
      <c r="L2632" s="26">
        <f t="shared" si="86"/>
        <v>0</v>
      </c>
    </row>
    <row r="2633" spans="2:12">
      <c r="B2633" s="4" t="e">
        <f t="shared" si="85"/>
        <v>#N/A</v>
      </c>
      <c r="C2633" s="4">
        <f>'Raw data'!E2209</f>
        <v>0</v>
      </c>
      <c r="D2633" s="29" t="e">
        <f>VLOOKUP(C2633,'점포코드 '!A:B,2,0)</f>
        <v>#N/A</v>
      </c>
      <c r="E2633" s="30">
        <f>'Raw data'!P2209</f>
        <v>0</v>
      </c>
      <c r="F2633" s="29" t="e">
        <f>VLOOKUP(E2633,'점포코드 '!A:B,2,0)</f>
        <v>#N/A</v>
      </c>
      <c r="G2633" s="46">
        <f>'Raw data'!F2542</f>
        <v>0</v>
      </c>
      <c r="H2633" s="4">
        <f>'Raw data'!G2542</f>
        <v>0</v>
      </c>
      <c r="I2633" s="29" t="e">
        <f>VLOOKUP(G2633,제품명!$C$1:$E$114,2,0)</f>
        <v>#N/A</v>
      </c>
      <c r="J2633" s="29">
        <f>'Raw data'!K2542</f>
        <v>0</v>
      </c>
      <c r="K2633" s="31">
        <f>'Raw data'!H2542</f>
        <v>0</v>
      </c>
      <c r="L2633" s="26">
        <f t="shared" si="86"/>
        <v>0</v>
      </c>
    </row>
    <row r="2634" spans="2:12">
      <c r="B2634" s="4" t="e">
        <f t="shared" si="85"/>
        <v>#N/A</v>
      </c>
      <c r="C2634" s="4">
        <f>'Raw data'!E2210</f>
        <v>0</v>
      </c>
      <c r="D2634" s="29" t="e">
        <f>VLOOKUP(C2634,'점포코드 '!A:B,2,0)</f>
        <v>#N/A</v>
      </c>
      <c r="E2634" s="30">
        <f>'Raw data'!P2210</f>
        <v>0</v>
      </c>
      <c r="F2634" s="29" t="e">
        <f>VLOOKUP(E2634,'점포코드 '!A:B,2,0)</f>
        <v>#N/A</v>
      </c>
      <c r="G2634" s="46">
        <f>'Raw data'!F2543</f>
        <v>0</v>
      </c>
      <c r="H2634" s="4">
        <f>'Raw data'!G2543</f>
        <v>0</v>
      </c>
      <c r="I2634" s="29" t="e">
        <f>VLOOKUP(G2634,제품명!$C$1:$E$114,2,0)</f>
        <v>#N/A</v>
      </c>
      <c r="J2634" s="29">
        <f>'Raw data'!K2543</f>
        <v>0</v>
      </c>
      <c r="K2634" s="31">
        <f>'Raw data'!H2543</f>
        <v>0</v>
      </c>
      <c r="L2634" s="26">
        <f t="shared" si="86"/>
        <v>0</v>
      </c>
    </row>
    <row r="2635" spans="2:12">
      <c r="B2635" s="4" t="e">
        <f t="shared" si="85"/>
        <v>#N/A</v>
      </c>
      <c r="C2635" s="4">
        <f>'Raw data'!E2211</f>
        <v>0</v>
      </c>
      <c r="D2635" s="29" t="e">
        <f>VLOOKUP(C2635,'점포코드 '!A:B,2,0)</f>
        <v>#N/A</v>
      </c>
      <c r="E2635" s="30">
        <f>'Raw data'!P2211</f>
        <v>0</v>
      </c>
      <c r="F2635" s="29" t="e">
        <f>VLOOKUP(E2635,'점포코드 '!A:B,2,0)</f>
        <v>#N/A</v>
      </c>
      <c r="G2635" s="46">
        <f>'Raw data'!F2544</f>
        <v>0</v>
      </c>
      <c r="H2635" s="4">
        <f>'Raw data'!G2544</f>
        <v>0</v>
      </c>
      <c r="I2635" s="29" t="e">
        <f>VLOOKUP(G2635,제품명!$C$1:$E$114,2,0)</f>
        <v>#N/A</v>
      </c>
      <c r="J2635" s="29">
        <f>'Raw data'!K2544</f>
        <v>0</v>
      </c>
      <c r="K2635" s="31">
        <f>'Raw data'!H2544</f>
        <v>0</v>
      </c>
      <c r="L2635" s="26">
        <f t="shared" si="86"/>
        <v>0</v>
      </c>
    </row>
    <row r="2636" spans="2:12">
      <c r="B2636" s="4" t="e">
        <f t="shared" si="85"/>
        <v>#N/A</v>
      </c>
      <c r="C2636" s="4">
        <f>'Raw data'!E2212</f>
        <v>0</v>
      </c>
      <c r="D2636" s="29" t="e">
        <f>VLOOKUP(C2636,'점포코드 '!A:B,2,0)</f>
        <v>#N/A</v>
      </c>
      <c r="E2636" s="30">
        <f>'Raw data'!P2212</f>
        <v>0</v>
      </c>
      <c r="F2636" s="29" t="e">
        <f>VLOOKUP(E2636,'점포코드 '!A:B,2,0)</f>
        <v>#N/A</v>
      </c>
      <c r="G2636" s="46">
        <f>'Raw data'!F2545</f>
        <v>0</v>
      </c>
      <c r="H2636" s="4">
        <f>'Raw data'!G2545</f>
        <v>0</v>
      </c>
      <c r="I2636" s="29" t="e">
        <f>VLOOKUP(G2636,제품명!$C$1:$E$114,2,0)</f>
        <v>#N/A</v>
      </c>
      <c r="J2636" s="29">
        <f>'Raw data'!K2545</f>
        <v>0</v>
      </c>
      <c r="K2636" s="31">
        <f>'Raw data'!H2545</f>
        <v>0</v>
      </c>
      <c r="L2636" s="26">
        <f t="shared" si="86"/>
        <v>0</v>
      </c>
    </row>
    <row r="2637" spans="2:12">
      <c r="B2637" s="4" t="e">
        <f t="shared" si="85"/>
        <v>#N/A</v>
      </c>
      <c r="C2637" s="4">
        <f>'Raw data'!E2213</f>
        <v>0</v>
      </c>
      <c r="D2637" s="29" t="e">
        <f>VLOOKUP(C2637,'점포코드 '!A:B,2,0)</f>
        <v>#N/A</v>
      </c>
      <c r="E2637" s="30">
        <f>'Raw data'!P2213</f>
        <v>0</v>
      </c>
      <c r="F2637" s="29" t="e">
        <f>VLOOKUP(E2637,'점포코드 '!A:B,2,0)</f>
        <v>#N/A</v>
      </c>
      <c r="G2637" s="46">
        <f>'Raw data'!F2546</f>
        <v>0</v>
      </c>
      <c r="H2637" s="4">
        <f>'Raw data'!G2546</f>
        <v>0</v>
      </c>
      <c r="I2637" s="29" t="e">
        <f>VLOOKUP(G2637,제품명!$C$1:$E$114,2,0)</f>
        <v>#N/A</v>
      </c>
      <c r="J2637" s="29">
        <f>'Raw data'!K2546</f>
        <v>0</v>
      </c>
      <c r="K2637" s="31">
        <f>'Raw data'!H2546</f>
        <v>0</v>
      </c>
      <c r="L2637" s="26">
        <f t="shared" si="86"/>
        <v>0</v>
      </c>
    </row>
    <row r="2638" spans="2:12">
      <c r="B2638" s="4" t="e">
        <f t="shared" si="85"/>
        <v>#N/A</v>
      </c>
      <c r="C2638" s="4">
        <f>'Raw data'!E2214</f>
        <v>0</v>
      </c>
      <c r="D2638" s="29" t="e">
        <f>VLOOKUP(C2638,'점포코드 '!A:B,2,0)</f>
        <v>#N/A</v>
      </c>
      <c r="E2638" s="30">
        <f>'Raw data'!P2214</f>
        <v>0</v>
      </c>
      <c r="F2638" s="29" t="e">
        <f>VLOOKUP(E2638,'점포코드 '!A:B,2,0)</f>
        <v>#N/A</v>
      </c>
      <c r="G2638" s="46">
        <f>'Raw data'!F2547</f>
        <v>0</v>
      </c>
      <c r="H2638" s="4">
        <f>'Raw data'!G2547</f>
        <v>0</v>
      </c>
      <c r="I2638" s="29" t="e">
        <f>VLOOKUP(G2638,제품명!$C$1:$E$114,2,0)</f>
        <v>#N/A</v>
      </c>
      <c r="J2638" s="29">
        <f>'Raw data'!K2547</f>
        <v>0</v>
      </c>
      <c r="K2638" s="31">
        <f>'Raw data'!H2547</f>
        <v>0</v>
      </c>
      <c r="L2638" s="26">
        <f t="shared" si="86"/>
        <v>0</v>
      </c>
    </row>
    <row r="2639" spans="2:12">
      <c r="B2639" s="4" t="e">
        <f t="shared" si="85"/>
        <v>#N/A</v>
      </c>
      <c r="C2639" s="4">
        <f>'Raw data'!E2215</f>
        <v>0</v>
      </c>
      <c r="D2639" s="29" t="e">
        <f>VLOOKUP(C2639,'점포코드 '!A:B,2,0)</f>
        <v>#N/A</v>
      </c>
      <c r="E2639" s="30">
        <f>'Raw data'!P2215</f>
        <v>0</v>
      </c>
      <c r="F2639" s="29" t="e">
        <f>VLOOKUP(E2639,'점포코드 '!A:B,2,0)</f>
        <v>#N/A</v>
      </c>
      <c r="G2639" s="46">
        <f>'Raw data'!F2548</f>
        <v>0</v>
      </c>
      <c r="H2639" s="4">
        <f>'Raw data'!G2548</f>
        <v>0</v>
      </c>
      <c r="I2639" s="29" t="e">
        <f>VLOOKUP(G2639,제품명!$C$1:$E$114,2,0)</f>
        <v>#N/A</v>
      </c>
      <c r="J2639" s="29">
        <f>'Raw data'!K2548</f>
        <v>0</v>
      </c>
      <c r="K2639" s="31">
        <f>'Raw data'!H2548</f>
        <v>0</v>
      </c>
      <c r="L2639" s="26">
        <f t="shared" si="86"/>
        <v>0</v>
      </c>
    </row>
    <row r="2640" spans="2:12">
      <c r="B2640" s="4" t="e">
        <f t="shared" si="85"/>
        <v>#N/A</v>
      </c>
      <c r="C2640" s="4">
        <f>'Raw data'!E2216</f>
        <v>0</v>
      </c>
      <c r="D2640" s="29" t="e">
        <f>VLOOKUP(C2640,'점포코드 '!A:B,2,0)</f>
        <v>#N/A</v>
      </c>
      <c r="E2640" s="30">
        <f>'Raw data'!P2216</f>
        <v>0</v>
      </c>
      <c r="F2640" s="29" t="e">
        <f>VLOOKUP(E2640,'점포코드 '!A:B,2,0)</f>
        <v>#N/A</v>
      </c>
      <c r="G2640" s="46">
        <f>'Raw data'!F2549</f>
        <v>0</v>
      </c>
      <c r="H2640" s="4">
        <f>'Raw data'!G2549</f>
        <v>0</v>
      </c>
      <c r="I2640" s="29" t="e">
        <f>VLOOKUP(G2640,제품명!$C$1:$E$114,2,0)</f>
        <v>#N/A</v>
      </c>
      <c r="J2640" s="29">
        <f>'Raw data'!K2549</f>
        <v>0</v>
      </c>
      <c r="K2640" s="31">
        <f>'Raw data'!H2549</f>
        <v>0</v>
      </c>
      <c r="L2640" s="26">
        <f t="shared" si="86"/>
        <v>0</v>
      </c>
    </row>
    <row r="2641" spans="2:12">
      <c r="B2641" s="4" t="e">
        <f t="shared" si="85"/>
        <v>#N/A</v>
      </c>
      <c r="C2641" s="4">
        <f>'Raw data'!E2217</f>
        <v>0</v>
      </c>
      <c r="D2641" s="29" t="e">
        <f>VLOOKUP(C2641,'점포코드 '!A:B,2,0)</f>
        <v>#N/A</v>
      </c>
      <c r="E2641" s="30">
        <f>'Raw data'!P2217</f>
        <v>0</v>
      </c>
      <c r="F2641" s="29" t="e">
        <f>VLOOKUP(E2641,'점포코드 '!A:B,2,0)</f>
        <v>#N/A</v>
      </c>
      <c r="G2641" s="46">
        <f>'Raw data'!F2550</f>
        <v>0</v>
      </c>
      <c r="H2641" s="4">
        <f>'Raw data'!G2550</f>
        <v>0</v>
      </c>
      <c r="I2641" s="29" t="e">
        <f>VLOOKUP(G2641,제품명!$C$1:$E$114,2,0)</f>
        <v>#N/A</v>
      </c>
      <c r="J2641" s="29">
        <f>'Raw data'!K2550</f>
        <v>0</v>
      </c>
      <c r="K2641" s="31">
        <f>'Raw data'!H2550</f>
        <v>0</v>
      </c>
      <c r="L2641" s="26">
        <f t="shared" si="86"/>
        <v>0</v>
      </c>
    </row>
    <row r="2642" spans="2:12">
      <c r="B2642" s="4" t="e">
        <f t="shared" si="85"/>
        <v>#N/A</v>
      </c>
      <c r="C2642" s="4">
        <f>'Raw data'!E2218</f>
        <v>0</v>
      </c>
      <c r="D2642" s="29" t="e">
        <f>VLOOKUP(C2642,'점포코드 '!A:B,2,0)</f>
        <v>#N/A</v>
      </c>
      <c r="E2642" s="30">
        <f>'Raw data'!P2218</f>
        <v>0</v>
      </c>
      <c r="F2642" s="29" t="e">
        <f>VLOOKUP(E2642,'점포코드 '!A:B,2,0)</f>
        <v>#N/A</v>
      </c>
      <c r="G2642" s="46">
        <f>'Raw data'!F2551</f>
        <v>0</v>
      </c>
      <c r="H2642" s="4">
        <f>'Raw data'!G2551</f>
        <v>0</v>
      </c>
      <c r="I2642" s="29" t="e">
        <f>VLOOKUP(G2642,제품명!$C$1:$E$114,2,0)</f>
        <v>#N/A</v>
      </c>
      <c r="J2642" s="29">
        <f>'Raw data'!K2551</f>
        <v>0</v>
      </c>
      <c r="K2642" s="31">
        <f>'Raw data'!H2551</f>
        <v>0</v>
      </c>
      <c r="L2642" s="26">
        <f t="shared" si="86"/>
        <v>0</v>
      </c>
    </row>
    <row r="2643" spans="2:12">
      <c r="B2643" s="4" t="e">
        <f t="shared" si="85"/>
        <v>#N/A</v>
      </c>
      <c r="C2643" s="4">
        <f>'Raw data'!E2219</f>
        <v>0</v>
      </c>
      <c r="D2643" s="29" t="e">
        <f>VLOOKUP(C2643,'점포코드 '!A:B,2,0)</f>
        <v>#N/A</v>
      </c>
      <c r="E2643" s="30">
        <f>'Raw data'!P2219</f>
        <v>0</v>
      </c>
      <c r="F2643" s="29" t="e">
        <f>VLOOKUP(E2643,'점포코드 '!A:B,2,0)</f>
        <v>#N/A</v>
      </c>
      <c r="G2643" s="46">
        <f>'Raw data'!F2552</f>
        <v>0</v>
      </c>
      <c r="H2643" s="4">
        <f>'Raw data'!G2552</f>
        <v>0</v>
      </c>
      <c r="I2643" s="29" t="e">
        <f>VLOOKUP(G2643,제품명!$C$1:$E$114,2,0)</f>
        <v>#N/A</v>
      </c>
      <c r="J2643" s="29">
        <f>'Raw data'!K2552</f>
        <v>0</v>
      </c>
      <c r="K2643" s="31">
        <f>'Raw data'!H2552</f>
        <v>0</v>
      </c>
      <c r="L2643" s="26">
        <f t="shared" si="86"/>
        <v>0</v>
      </c>
    </row>
    <row r="2644" spans="2:12">
      <c r="B2644" s="4" t="e">
        <f t="shared" si="85"/>
        <v>#N/A</v>
      </c>
      <c r="C2644" s="4">
        <f>'Raw data'!E2220</f>
        <v>0</v>
      </c>
      <c r="D2644" s="29" t="e">
        <f>VLOOKUP(C2644,'점포코드 '!A:B,2,0)</f>
        <v>#N/A</v>
      </c>
      <c r="E2644" s="30">
        <f>'Raw data'!P2220</f>
        <v>0</v>
      </c>
      <c r="F2644" s="29" t="e">
        <f>VLOOKUP(E2644,'점포코드 '!A:B,2,0)</f>
        <v>#N/A</v>
      </c>
      <c r="G2644" s="46">
        <f>'Raw data'!F2553</f>
        <v>0</v>
      </c>
      <c r="H2644" s="4">
        <f>'Raw data'!G2553</f>
        <v>0</v>
      </c>
      <c r="I2644" s="29" t="e">
        <f>VLOOKUP(G2644,제품명!$C$1:$E$114,2,0)</f>
        <v>#N/A</v>
      </c>
      <c r="J2644" s="29">
        <f>'Raw data'!K2553</f>
        <v>0</v>
      </c>
      <c r="K2644" s="31">
        <f>'Raw data'!H2553</f>
        <v>0</v>
      </c>
      <c r="L2644" s="26">
        <f t="shared" si="86"/>
        <v>0</v>
      </c>
    </row>
    <row r="2645" spans="2:12">
      <c r="B2645" s="4" t="e">
        <f t="shared" si="85"/>
        <v>#N/A</v>
      </c>
      <c r="C2645" s="4">
        <f>'Raw data'!E2221</f>
        <v>0</v>
      </c>
      <c r="D2645" s="29" t="e">
        <f>VLOOKUP(C2645,'점포코드 '!A:B,2,0)</f>
        <v>#N/A</v>
      </c>
      <c r="E2645" s="30">
        <f>'Raw data'!P2221</f>
        <v>0</v>
      </c>
      <c r="F2645" s="29" t="e">
        <f>VLOOKUP(E2645,'점포코드 '!A:B,2,0)</f>
        <v>#N/A</v>
      </c>
      <c r="G2645" s="46">
        <f>'Raw data'!F2554</f>
        <v>0</v>
      </c>
      <c r="H2645" s="4">
        <f>'Raw data'!G2554</f>
        <v>0</v>
      </c>
      <c r="I2645" s="29" t="e">
        <f>VLOOKUP(G2645,제품명!$C$1:$E$114,2,0)</f>
        <v>#N/A</v>
      </c>
      <c r="J2645" s="29">
        <f>'Raw data'!K2554</f>
        <v>0</v>
      </c>
      <c r="K2645" s="31">
        <f>'Raw data'!H2554</f>
        <v>0</v>
      </c>
      <c r="L2645" s="26">
        <f t="shared" si="86"/>
        <v>0</v>
      </c>
    </row>
    <row r="2646" spans="2:12">
      <c r="B2646" s="4" t="e">
        <f t="shared" si="85"/>
        <v>#N/A</v>
      </c>
      <c r="C2646" s="4">
        <f>'Raw data'!E2222</f>
        <v>0</v>
      </c>
      <c r="D2646" s="29" t="e">
        <f>VLOOKUP(C2646,'점포코드 '!A:B,2,0)</f>
        <v>#N/A</v>
      </c>
      <c r="E2646" s="30">
        <f>'Raw data'!P2222</f>
        <v>0</v>
      </c>
      <c r="F2646" s="29" t="e">
        <f>VLOOKUP(E2646,'점포코드 '!A:B,2,0)</f>
        <v>#N/A</v>
      </c>
      <c r="G2646" s="46">
        <f>'Raw data'!F2555</f>
        <v>0</v>
      </c>
      <c r="H2646" s="4">
        <f>'Raw data'!G2555</f>
        <v>0</v>
      </c>
      <c r="I2646" s="29" t="e">
        <f>VLOOKUP(G2646,제품명!$C$1:$E$114,2,0)</f>
        <v>#N/A</v>
      </c>
      <c r="J2646" s="29">
        <f>'Raw data'!K2555</f>
        <v>0</v>
      </c>
      <c r="K2646" s="31">
        <f>'Raw data'!H2555</f>
        <v>0</v>
      </c>
      <c r="L2646" s="26">
        <f t="shared" si="86"/>
        <v>0</v>
      </c>
    </row>
    <row r="2647" spans="2:12">
      <c r="B2647" s="4" t="e">
        <f t="shared" si="85"/>
        <v>#N/A</v>
      </c>
      <c r="C2647" s="4">
        <f>'Raw data'!E2223</f>
        <v>0</v>
      </c>
      <c r="D2647" s="29" t="e">
        <f>VLOOKUP(C2647,'점포코드 '!A:B,2,0)</f>
        <v>#N/A</v>
      </c>
      <c r="E2647" s="30">
        <f>'Raw data'!P2223</f>
        <v>0</v>
      </c>
      <c r="F2647" s="29" t="e">
        <f>VLOOKUP(E2647,'점포코드 '!A:B,2,0)</f>
        <v>#N/A</v>
      </c>
      <c r="G2647" s="46">
        <f>'Raw data'!F2556</f>
        <v>0</v>
      </c>
      <c r="H2647" s="4">
        <f>'Raw data'!G2556</f>
        <v>0</v>
      </c>
      <c r="I2647" s="29" t="e">
        <f>VLOOKUP(G2647,제품명!$C$1:$E$114,2,0)</f>
        <v>#N/A</v>
      </c>
      <c r="J2647" s="29">
        <f>'Raw data'!K2556</f>
        <v>0</v>
      </c>
      <c r="K2647" s="31">
        <f>'Raw data'!H2556</f>
        <v>0</v>
      </c>
      <c r="L2647" s="26">
        <f t="shared" si="86"/>
        <v>0</v>
      </c>
    </row>
    <row r="2648" spans="2:12">
      <c r="B2648" s="4" t="e">
        <f t="shared" si="85"/>
        <v>#N/A</v>
      </c>
      <c r="C2648" s="4">
        <f>'Raw data'!E2224</f>
        <v>0</v>
      </c>
      <c r="D2648" s="29" t="e">
        <f>VLOOKUP(C2648,'점포코드 '!A:B,2,0)</f>
        <v>#N/A</v>
      </c>
      <c r="E2648" s="30">
        <f>'Raw data'!P2224</f>
        <v>0</v>
      </c>
      <c r="F2648" s="29" t="e">
        <f>VLOOKUP(E2648,'점포코드 '!A:B,2,0)</f>
        <v>#N/A</v>
      </c>
      <c r="G2648" s="46">
        <f>'Raw data'!F2557</f>
        <v>0</v>
      </c>
      <c r="H2648" s="4">
        <f>'Raw data'!G2557</f>
        <v>0</v>
      </c>
      <c r="I2648" s="29" t="e">
        <f>VLOOKUP(G2648,제품명!$C$1:$E$114,2,0)</f>
        <v>#N/A</v>
      </c>
      <c r="J2648" s="29">
        <f>'Raw data'!K2557</f>
        <v>0</v>
      </c>
      <c r="K2648" s="31">
        <f>'Raw data'!H2557</f>
        <v>0</v>
      </c>
      <c r="L2648" s="26">
        <f t="shared" si="86"/>
        <v>0</v>
      </c>
    </row>
    <row r="2649" spans="2:12">
      <c r="B2649" s="4" t="e">
        <f t="shared" si="85"/>
        <v>#N/A</v>
      </c>
      <c r="C2649" s="4">
        <f>'Raw data'!E2225</f>
        <v>0</v>
      </c>
      <c r="D2649" s="29" t="e">
        <f>VLOOKUP(C2649,'점포코드 '!A:B,2,0)</f>
        <v>#N/A</v>
      </c>
      <c r="E2649" s="30">
        <f>'Raw data'!P2225</f>
        <v>0</v>
      </c>
      <c r="F2649" s="29" t="e">
        <f>VLOOKUP(E2649,'점포코드 '!A:B,2,0)</f>
        <v>#N/A</v>
      </c>
      <c r="G2649" s="46">
        <f>'Raw data'!F2558</f>
        <v>0</v>
      </c>
      <c r="H2649" s="4">
        <f>'Raw data'!G2558</f>
        <v>0</v>
      </c>
      <c r="I2649" s="29" t="e">
        <f>VLOOKUP(G2649,제품명!$C$1:$E$114,2,0)</f>
        <v>#N/A</v>
      </c>
      <c r="J2649" s="29">
        <f>'Raw data'!K2558</f>
        <v>0</v>
      </c>
      <c r="K2649" s="31">
        <f>'Raw data'!H2558</f>
        <v>0</v>
      </c>
      <c r="L2649" s="26">
        <f t="shared" si="86"/>
        <v>0</v>
      </c>
    </row>
    <row r="2650" spans="2:12">
      <c r="B2650" s="4" t="e">
        <f t="shared" si="85"/>
        <v>#N/A</v>
      </c>
      <c r="C2650" s="4">
        <f>'Raw data'!E2226</f>
        <v>0</v>
      </c>
      <c r="D2650" s="29" t="e">
        <f>VLOOKUP(C2650,'점포코드 '!A:B,2,0)</f>
        <v>#N/A</v>
      </c>
      <c r="E2650" s="30">
        <f>'Raw data'!P2226</f>
        <v>0</v>
      </c>
      <c r="F2650" s="29" t="e">
        <f>VLOOKUP(E2650,'점포코드 '!A:B,2,0)</f>
        <v>#N/A</v>
      </c>
      <c r="G2650" s="46">
        <f>'Raw data'!F2559</f>
        <v>0</v>
      </c>
      <c r="H2650" s="4">
        <f>'Raw data'!G2559</f>
        <v>0</v>
      </c>
      <c r="I2650" s="29" t="e">
        <f>VLOOKUP(G2650,제품명!$C$1:$E$114,2,0)</f>
        <v>#N/A</v>
      </c>
      <c r="J2650" s="29">
        <f>'Raw data'!K2559</f>
        <v>0</v>
      </c>
      <c r="K2650" s="31">
        <f>'Raw data'!H2559</f>
        <v>0</v>
      </c>
      <c r="L2650" s="26">
        <f t="shared" si="86"/>
        <v>0</v>
      </c>
    </row>
    <row r="2651" spans="2:12">
      <c r="B2651" s="4" t="e">
        <f t="shared" si="85"/>
        <v>#N/A</v>
      </c>
      <c r="C2651" s="4">
        <f>'Raw data'!E2227</f>
        <v>0</v>
      </c>
      <c r="D2651" s="29" t="e">
        <f>VLOOKUP(C2651,'점포코드 '!A:B,2,0)</f>
        <v>#N/A</v>
      </c>
      <c r="E2651" s="30">
        <f>'Raw data'!P2227</f>
        <v>0</v>
      </c>
      <c r="F2651" s="29" t="e">
        <f>VLOOKUP(E2651,'점포코드 '!A:B,2,0)</f>
        <v>#N/A</v>
      </c>
      <c r="G2651" s="46">
        <f>'Raw data'!F2560</f>
        <v>0</v>
      </c>
      <c r="H2651" s="4">
        <f>'Raw data'!G2560</f>
        <v>0</v>
      </c>
      <c r="I2651" s="29" t="e">
        <f>VLOOKUP(G2651,제품명!$C$1:$E$114,2,0)</f>
        <v>#N/A</v>
      </c>
      <c r="J2651" s="29">
        <f>'Raw data'!K2560</f>
        <v>0</v>
      </c>
      <c r="K2651" s="31">
        <f>'Raw data'!H2560</f>
        <v>0</v>
      </c>
      <c r="L2651" s="26">
        <f t="shared" si="86"/>
        <v>0</v>
      </c>
    </row>
    <row r="2652" spans="2:12">
      <c r="B2652" s="4" t="e">
        <f t="shared" si="85"/>
        <v>#N/A</v>
      </c>
      <c r="C2652" s="4">
        <f>'Raw data'!E2228</f>
        <v>0</v>
      </c>
      <c r="D2652" s="29" t="e">
        <f>VLOOKUP(C2652,'점포코드 '!A:B,2,0)</f>
        <v>#N/A</v>
      </c>
      <c r="E2652" s="30">
        <f>'Raw data'!P2228</f>
        <v>0</v>
      </c>
      <c r="F2652" s="29" t="e">
        <f>VLOOKUP(E2652,'점포코드 '!A:B,2,0)</f>
        <v>#N/A</v>
      </c>
      <c r="G2652" s="46">
        <f>'Raw data'!F2561</f>
        <v>0</v>
      </c>
      <c r="H2652" s="4">
        <f>'Raw data'!G2561</f>
        <v>0</v>
      </c>
      <c r="I2652" s="29" t="e">
        <f>VLOOKUP(G2652,제품명!$C$1:$E$114,2,0)</f>
        <v>#N/A</v>
      </c>
      <c r="J2652" s="29">
        <f>'Raw data'!K2561</f>
        <v>0</v>
      </c>
      <c r="K2652" s="31">
        <f>'Raw data'!H2561</f>
        <v>0</v>
      </c>
      <c r="L2652" s="26">
        <f t="shared" si="86"/>
        <v>0</v>
      </c>
    </row>
    <row r="2653" spans="2:12">
      <c r="B2653" s="4" t="e">
        <f t="shared" si="85"/>
        <v>#N/A</v>
      </c>
      <c r="C2653" s="4">
        <f>'Raw data'!E2229</f>
        <v>0</v>
      </c>
      <c r="D2653" s="29" t="e">
        <f>VLOOKUP(C2653,'점포코드 '!A:B,2,0)</f>
        <v>#N/A</v>
      </c>
      <c r="E2653" s="30">
        <f>'Raw data'!P2229</f>
        <v>0</v>
      </c>
      <c r="F2653" s="29" t="e">
        <f>VLOOKUP(E2653,'점포코드 '!A:B,2,0)</f>
        <v>#N/A</v>
      </c>
      <c r="G2653" s="46">
        <f>'Raw data'!F2562</f>
        <v>0</v>
      </c>
      <c r="H2653" s="4">
        <f>'Raw data'!G2562</f>
        <v>0</v>
      </c>
      <c r="I2653" s="29" t="e">
        <f>VLOOKUP(G2653,제품명!$C$1:$E$114,2,0)</f>
        <v>#N/A</v>
      </c>
      <c r="J2653" s="29">
        <f>'Raw data'!K2562</f>
        <v>0</v>
      </c>
      <c r="K2653" s="31">
        <f>'Raw data'!H2562</f>
        <v>0</v>
      </c>
      <c r="L2653" s="26">
        <f t="shared" si="86"/>
        <v>0</v>
      </c>
    </row>
    <row r="2654" spans="2:12">
      <c r="B2654" s="4" t="e">
        <f t="shared" si="85"/>
        <v>#N/A</v>
      </c>
      <c r="C2654" s="4">
        <f>'Raw data'!E2230</f>
        <v>0</v>
      </c>
      <c r="D2654" s="29" t="e">
        <f>VLOOKUP(C2654,'점포코드 '!A:B,2,0)</f>
        <v>#N/A</v>
      </c>
      <c r="E2654" s="30">
        <f>'Raw data'!P2230</f>
        <v>0</v>
      </c>
      <c r="F2654" s="29" t="e">
        <f>VLOOKUP(E2654,'점포코드 '!A:B,2,0)</f>
        <v>#N/A</v>
      </c>
      <c r="G2654" s="46">
        <f>'Raw data'!F2563</f>
        <v>0</v>
      </c>
      <c r="H2654" s="4">
        <f>'Raw data'!G2563</f>
        <v>0</v>
      </c>
      <c r="I2654" s="29" t="e">
        <f>VLOOKUP(G2654,제품명!$C$1:$E$114,2,0)</f>
        <v>#N/A</v>
      </c>
      <c r="J2654" s="29">
        <f>'Raw data'!K2563</f>
        <v>0</v>
      </c>
      <c r="K2654" s="31">
        <f>'Raw data'!H2563</f>
        <v>0</v>
      </c>
      <c r="L2654" s="26">
        <f t="shared" si="86"/>
        <v>0</v>
      </c>
    </row>
    <row r="2655" spans="2:12">
      <c r="B2655" s="4" t="e">
        <f t="shared" si="85"/>
        <v>#N/A</v>
      </c>
      <c r="C2655" s="4">
        <f>'Raw data'!E2231</f>
        <v>0</v>
      </c>
      <c r="D2655" s="29" t="e">
        <f>VLOOKUP(C2655,'점포코드 '!A:B,2,0)</f>
        <v>#N/A</v>
      </c>
      <c r="E2655" s="30">
        <f>'Raw data'!P2231</f>
        <v>0</v>
      </c>
      <c r="F2655" s="29" t="e">
        <f>VLOOKUP(E2655,'점포코드 '!A:B,2,0)</f>
        <v>#N/A</v>
      </c>
      <c r="G2655" s="46">
        <f>'Raw data'!F2564</f>
        <v>0</v>
      </c>
      <c r="H2655" s="4">
        <f>'Raw data'!G2564</f>
        <v>0</v>
      </c>
      <c r="I2655" s="29" t="e">
        <f>VLOOKUP(G2655,제품명!$C$1:$E$114,2,0)</f>
        <v>#N/A</v>
      </c>
      <c r="J2655" s="29">
        <f>'Raw data'!K2564</f>
        <v>0</v>
      </c>
      <c r="K2655" s="31">
        <f>'Raw data'!H2564</f>
        <v>0</v>
      </c>
      <c r="L2655" s="26">
        <f t="shared" si="86"/>
        <v>0</v>
      </c>
    </row>
    <row r="2656" spans="2:12">
      <c r="B2656" s="4" t="e">
        <f t="shared" si="85"/>
        <v>#N/A</v>
      </c>
      <c r="C2656" s="4">
        <f>'Raw data'!E2232</f>
        <v>0</v>
      </c>
      <c r="D2656" s="29" t="e">
        <f>VLOOKUP(C2656,'점포코드 '!A:B,2,0)</f>
        <v>#N/A</v>
      </c>
      <c r="E2656" s="30">
        <f>'Raw data'!P2232</f>
        <v>0</v>
      </c>
      <c r="F2656" s="29" t="e">
        <f>VLOOKUP(E2656,'점포코드 '!A:B,2,0)</f>
        <v>#N/A</v>
      </c>
      <c r="G2656" s="46">
        <f>'Raw data'!F2565</f>
        <v>0</v>
      </c>
      <c r="H2656" s="4">
        <f>'Raw data'!G2565</f>
        <v>0</v>
      </c>
      <c r="I2656" s="29" t="e">
        <f>VLOOKUP(G2656,제품명!$C$1:$E$114,2,0)</f>
        <v>#N/A</v>
      </c>
      <c r="J2656" s="29">
        <f>'Raw data'!K2565</f>
        <v>0</v>
      </c>
      <c r="K2656" s="31">
        <f>'Raw data'!H2565</f>
        <v>0</v>
      </c>
      <c r="L2656" s="26">
        <f t="shared" si="86"/>
        <v>0</v>
      </c>
    </row>
    <row r="2657" spans="2:12">
      <c r="B2657" s="4" t="e">
        <f t="shared" si="85"/>
        <v>#N/A</v>
      </c>
      <c r="C2657" s="4">
        <f>'Raw data'!E2233</f>
        <v>0</v>
      </c>
      <c r="D2657" s="29" t="e">
        <f>VLOOKUP(C2657,'점포코드 '!A:B,2,0)</f>
        <v>#N/A</v>
      </c>
      <c r="E2657" s="30">
        <f>'Raw data'!P2233</f>
        <v>0</v>
      </c>
      <c r="F2657" s="29" t="e">
        <f>VLOOKUP(E2657,'점포코드 '!A:B,2,0)</f>
        <v>#N/A</v>
      </c>
      <c r="G2657" s="46">
        <f>'Raw data'!F2566</f>
        <v>0</v>
      </c>
      <c r="H2657" s="4">
        <f>'Raw data'!G2566</f>
        <v>0</v>
      </c>
      <c r="I2657" s="29" t="e">
        <f>VLOOKUP(G2657,제품명!$C$1:$E$114,2,0)</f>
        <v>#N/A</v>
      </c>
      <c r="J2657" s="29">
        <f>'Raw data'!K2566</f>
        <v>0</v>
      </c>
      <c r="K2657" s="31">
        <f>'Raw data'!H2566</f>
        <v>0</v>
      </c>
      <c r="L2657" s="26">
        <f t="shared" si="86"/>
        <v>0</v>
      </c>
    </row>
    <row r="2658" spans="2:12">
      <c r="B2658" s="4" t="e">
        <f t="shared" si="85"/>
        <v>#N/A</v>
      </c>
      <c r="C2658" s="4">
        <f>'Raw data'!E2234</f>
        <v>0</v>
      </c>
      <c r="D2658" s="29" t="e">
        <f>VLOOKUP(C2658,'점포코드 '!A:B,2,0)</f>
        <v>#N/A</v>
      </c>
      <c r="E2658" s="30">
        <f>'Raw data'!P2234</f>
        <v>0</v>
      </c>
      <c r="F2658" s="29" t="e">
        <f>VLOOKUP(E2658,'점포코드 '!A:B,2,0)</f>
        <v>#N/A</v>
      </c>
      <c r="G2658" s="46">
        <f>'Raw data'!F2567</f>
        <v>0</v>
      </c>
      <c r="H2658" s="4">
        <f>'Raw data'!G2567</f>
        <v>0</v>
      </c>
      <c r="I2658" s="29" t="e">
        <f>VLOOKUP(G2658,제품명!$C$1:$E$114,2,0)</f>
        <v>#N/A</v>
      </c>
      <c r="J2658" s="29">
        <f>'Raw data'!K2567</f>
        <v>0</v>
      </c>
      <c r="K2658" s="31">
        <f>'Raw data'!H2567</f>
        <v>0</v>
      </c>
      <c r="L2658" s="26">
        <f t="shared" si="86"/>
        <v>0</v>
      </c>
    </row>
    <row r="2659" spans="2:12">
      <c r="B2659" s="4" t="e">
        <f t="shared" si="85"/>
        <v>#N/A</v>
      </c>
      <c r="C2659" s="4">
        <f>'Raw data'!E2235</f>
        <v>0</v>
      </c>
      <c r="D2659" s="29" t="e">
        <f>VLOOKUP(C2659,'점포코드 '!A:B,2,0)</f>
        <v>#N/A</v>
      </c>
      <c r="E2659" s="30">
        <f>'Raw data'!P2235</f>
        <v>0</v>
      </c>
      <c r="F2659" s="29" t="e">
        <f>VLOOKUP(E2659,'점포코드 '!A:B,2,0)</f>
        <v>#N/A</v>
      </c>
      <c r="G2659" s="46">
        <f>'Raw data'!F2568</f>
        <v>0</v>
      </c>
      <c r="H2659" s="4">
        <f>'Raw data'!G2568</f>
        <v>0</v>
      </c>
      <c r="I2659" s="29" t="e">
        <f>VLOOKUP(G2659,제품명!$C$1:$E$114,2,0)</f>
        <v>#N/A</v>
      </c>
      <c r="J2659" s="29">
        <f>'Raw data'!K2568</f>
        <v>0</v>
      </c>
      <c r="K2659" s="31">
        <f>'Raw data'!H2568</f>
        <v>0</v>
      </c>
      <c r="L2659" s="26">
        <f t="shared" si="86"/>
        <v>0</v>
      </c>
    </row>
    <row r="2660" spans="2:12">
      <c r="B2660" s="4" t="e">
        <f t="shared" si="85"/>
        <v>#N/A</v>
      </c>
      <c r="C2660" s="4">
        <f>'Raw data'!E2236</f>
        <v>0</v>
      </c>
      <c r="D2660" s="29" t="e">
        <f>VLOOKUP(C2660,'점포코드 '!A:B,2,0)</f>
        <v>#N/A</v>
      </c>
      <c r="E2660" s="30">
        <f>'Raw data'!P2236</f>
        <v>0</v>
      </c>
      <c r="F2660" s="29" t="e">
        <f>VLOOKUP(E2660,'점포코드 '!A:B,2,0)</f>
        <v>#N/A</v>
      </c>
      <c r="G2660" s="46">
        <f>'Raw data'!F2569</f>
        <v>0</v>
      </c>
      <c r="H2660" s="4">
        <f>'Raw data'!G2569</f>
        <v>0</v>
      </c>
      <c r="I2660" s="29" t="e">
        <f>VLOOKUP(G2660,제품명!$C$1:$E$114,2,0)</f>
        <v>#N/A</v>
      </c>
      <c r="J2660" s="29">
        <f>'Raw data'!K2569</f>
        <v>0</v>
      </c>
      <c r="K2660" s="31">
        <f>'Raw data'!H2569</f>
        <v>0</v>
      </c>
      <c r="L2660" s="26">
        <f t="shared" si="86"/>
        <v>0</v>
      </c>
    </row>
    <row r="2661" spans="2:12">
      <c r="B2661" s="4" t="e">
        <f t="shared" si="85"/>
        <v>#N/A</v>
      </c>
      <c r="C2661" s="4">
        <f>'Raw data'!E2237</f>
        <v>0</v>
      </c>
      <c r="D2661" s="29" t="e">
        <f>VLOOKUP(C2661,'점포코드 '!A:B,2,0)</f>
        <v>#N/A</v>
      </c>
      <c r="E2661" s="30">
        <f>'Raw data'!P2237</f>
        <v>0</v>
      </c>
      <c r="F2661" s="29" t="e">
        <f>VLOOKUP(E2661,'점포코드 '!A:B,2,0)</f>
        <v>#N/A</v>
      </c>
      <c r="G2661" s="46">
        <f>'Raw data'!F2570</f>
        <v>0</v>
      </c>
      <c r="H2661" s="4">
        <f>'Raw data'!G2570</f>
        <v>0</v>
      </c>
      <c r="I2661" s="29" t="e">
        <f>VLOOKUP(G2661,제품명!$C$1:$E$114,2,0)</f>
        <v>#N/A</v>
      </c>
      <c r="J2661" s="29">
        <f>'Raw data'!K2570</f>
        <v>0</v>
      </c>
      <c r="K2661" s="31">
        <f>'Raw data'!H2570</f>
        <v>0</v>
      </c>
      <c r="L2661" s="26">
        <f t="shared" si="86"/>
        <v>0</v>
      </c>
    </row>
    <row r="2662" spans="2:12">
      <c r="B2662" s="4" t="e">
        <f t="shared" si="85"/>
        <v>#N/A</v>
      </c>
      <c r="C2662" s="4">
        <f>'Raw data'!E2238</f>
        <v>0</v>
      </c>
      <c r="D2662" s="29" t="e">
        <f>VLOOKUP(C2662,'점포코드 '!A:B,2,0)</f>
        <v>#N/A</v>
      </c>
      <c r="E2662" s="30">
        <f>'Raw data'!P2238</f>
        <v>0</v>
      </c>
      <c r="F2662" s="29" t="e">
        <f>VLOOKUP(E2662,'점포코드 '!A:B,2,0)</f>
        <v>#N/A</v>
      </c>
      <c r="G2662" s="46">
        <f>'Raw data'!F2571</f>
        <v>0</v>
      </c>
      <c r="H2662" s="4">
        <f>'Raw data'!G2571</f>
        <v>0</v>
      </c>
      <c r="I2662" s="29" t="e">
        <f>VLOOKUP(G2662,제품명!$C$1:$E$114,2,0)</f>
        <v>#N/A</v>
      </c>
      <c r="J2662" s="29">
        <f>'Raw data'!K2571</f>
        <v>0</v>
      </c>
      <c r="K2662" s="31">
        <f>'Raw data'!H2571</f>
        <v>0</v>
      </c>
      <c r="L2662" s="26">
        <f t="shared" si="86"/>
        <v>0</v>
      </c>
    </row>
    <row r="2663" spans="2:12">
      <c r="B2663" s="4" t="e">
        <f t="shared" si="85"/>
        <v>#N/A</v>
      </c>
      <c r="C2663" s="4">
        <f>'Raw data'!E2239</f>
        <v>0</v>
      </c>
      <c r="D2663" s="29" t="e">
        <f>VLOOKUP(C2663,'점포코드 '!A:B,2,0)</f>
        <v>#N/A</v>
      </c>
      <c r="E2663" s="30">
        <f>'Raw data'!P2239</f>
        <v>0</v>
      </c>
      <c r="F2663" s="29" t="e">
        <f>VLOOKUP(E2663,'점포코드 '!A:B,2,0)</f>
        <v>#N/A</v>
      </c>
      <c r="G2663" s="46">
        <f>'Raw data'!F2572</f>
        <v>0</v>
      </c>
      <c r="H2663" s="4">
        <f>'Raw data'!G2572</f>
        <v>0</v>
      </c>
      <c r="I2663" s="29" t="e">
        <f>VLOOKUP(G2663,제품명!$C$1:$E$114,2,0)</f>
        <v>#N/A</v>
      </c>
      <c r="J2663" s="29">
        <f>'Raw data'!K2572</f>
        <v>0</v>
      </c>
      <c r="K2663" s="31">
        <f>'Raw data'!H2572</f>
        <v>0</v>
      </c>
      <c r="L2663" s="26">
        <f t="shared" si="86"/>
        <v>0</v>
      </c>
    </row>
    <row r="2664" spans="2:12">
      <c r="B2664" s="4" t="e">
        <f t="shared" si="85"/>
        <v>#N/A</v>
      </c>
      <c r="C2664" s="4">
        <f>'Raw data'!E2240</f>
        <v>0</v>
      </c>
      <c r="D2664" s="29" t="e">
        <f>VLOOKUP(C2664,'점포코드 '!A:B,2,0)</f>
        <v>#N/A</v>
      </c>
      <c r="E2664" s="30">
        <f>'Raw data'!P2240</f>
        <v>0</v>
      </c>
      <c r="F2664" s="29" t="e">
        <f>VLOOKUP(E2664,'점포코드 '!A:B,2,0)</f>
        <v>#N/A</v>
      </c>
      <c r="G2664" s="46">
        <f>'Raw data'!F2573</f>
        <v>0</v>
      </c>
      <c r="H2664" s="4">
        <f>'Raw data'!G2573</f>
        <v>0</v>
      </c>
      <c r="I2664" s="29" t="e">
        <f>VLOOKUP(G2664,제품명!$C$1:$E$114,2,0)</f>
        <v>#N/A</v>
      </c>
      <c r="J2664" s="29">
        <f>'Raw data'!K2573</f>
        <v>0</v>
      </c>
      <c r="K2664" s="31">
        <f>'Raw data'!H2573</f>
        <v>0</v>
      </c>
      <c r="L2664" s="26">
        <f t="shared" si="86"/>
        <v>0</v>
      </c>
    </row>
    <row r="2665" spans="2:12">
      <c r="B2665" s="4" t="e">
        <f t="shared" si="85"/>
        <v>#N/A</v>
      </c>
      <c r="C2665" s="4">
        <f>'Raw data'!E2241</f>
        <v>0</v>
      </c>
      <c r="D2665" s="29" t="e">
        <f>VLOOKUP(C2665,'점포코드 '!A:B,2,0)</f>
        <v>#N/A</v>
      </c>
      <c r="E2665" s="30">
        <f>'Raw data'!P2241</f>
        <v>0</v>
      </c>
      <c r="F2665" s="29" t="e">
        <f>VLOOKUP(E2665,'점포코드 '!A:B,2,0)</f>
        <v>#N/A</v>
      </c>
      <c r="G2665" s="46">
        <f>'Raw data'!F2574</f>
        <v>0</v>
      </c>
      <c r="H2665" s="4">
        <f>'Raw data'!G2574</f>
        <v>0</v>
      </c>
      <c r="I2665" s="29" t="e">
        <f>VLOOKUP(G2665,제품명!$C$1:$E$114,2,0)</f>
        <v>#N/A</v>
      </c>
      <c r="J2665" s="29">
        <f>'Raw data'!K2574</f>
        <v>0</v>
      </c>
      <c r="K2665" s="31">
        <f>'Raw data'!H2574</f>
        <v>0</v>
      </c>
      <c r="L2665" s="26">
        <f t="shared" si="86"/>
        <v>0</v>
      </c>
    </row>
    <row r="2666" spans="2:12">
      <c r="B2666" s="4" t="e">
        <f t="shared" si="85"/>
        <v>#N/A</v>
      </c>
      <c r="C2666" s="4">
        <f>'Raw data'!E2242</f>
        <v>0</v>
      </c>
      <c r="D2666" s="29" t="e">
        <f>VLOOKUP(C2666,'점포코드 '!A:B,2,0)</f>
        <v>#N/A</v>
      </c>
      <c r="E2666" s="30">
        <f>'Raw data'!P2242</f>
        <v>0</v>
      </c>
      <c r="F2666" s="29" t="e">
        <f>VLOOKUP(E2666,'점포코드 '!A:B,2,0)</f>
        <v>#N/A</v>
      </c>
      <c r="G2666" s="46">
        <f>'Raw data'!F2575</f>
        <v>0</v>
      </c>
      <c r="H2666" s="4">
        <f>'Raw data'!G2575</f>
        <v>0</v>
      </c>
      <c r="I2666" s="29" t="e">
        <f>VLOOKUP(G2666,제품명!$C$1:$E$114,2,0)</f>
        <v>#N/A</v>
      </c>
      <c r="J2666" s="29">
        <f>'Raw data'!K2575</f>
        <v>0</v>
      </c>
      <c r="K2666" s="31">
        <f>'Raw data'!H2575</f>
        <v>0</v>
      </c>
      <c r="L2666" s="26">
        <f t="shared" si="86"/>
        <v>0</v>
      </c>
    </row>
    <row r="2667" spans="2:12">
      <c r="B2667" s="4" t="e">
        <f t="shared" si="85"/>
        <v>#N/A</v>
      </c>
      <c r="C2667" s="4">
        <f>'Raw data'!E2243</f>
        <v>0</v>
      </c>
      <c r="D2667" s="29" t="e">
        <f>VLOOKUP(C2667,'점포코드 '!A:B,2,0)</f>
        <v>#N/A</v>
      </c>
      <c r="E2667" s="30">
        <f>'Raw data'!P2243</f>
        <v>0</v>
      </c>
      <c r="F2667" s="29" t="e">
        <f>VLOOKUP(E2667,'점포코드 '!A:B,2,0)</f>
        <v>#N/A</v>
      </c>
      <c r="G2667" s="46">
        <f>'Raw data'!F2576</f>
        <v>0</v>
      </c>
      <c r="H2667" s="4">
        <f>'Raw data'!G2576</f>
        <v>0</v>
      </c>
      <c r="I2667" s="29" t="e">
        <f>VLOOKUP(G2667,제품명!$C$1:$E$114,2,0)</f>
        <v>#N/A</v>
      </c>
      <c r="J2667" s="29">
        <f>'Raw data'!K2576</f>
        <v>0</v>
      </c>
      <c r="K2667" s="31">
        <f>'Raw data'!H2576</f>
        <v>0</v>
      </c>
      <c r="L2667" s="26">
        <f t="shared" si="86"/>
        <v>0</v>
      </c>
    </row>
    <row r="2668" spans="2:12">
      <c r="B2668" s="4" t="e">
        <f t="shared" si="85"/>
        <v>#N/A</v>
      </c>
      <c r="C2668" s="4">
        <f>'Raw data'!E2244</f>
        <v>0</v>
      </c>
      <c r="D2668" s="29" t="e">
        <f>VLOOKUP(C2668,'점포코드 '!A:B,2,0)</f>
        <v>#N/A</v>
      </c>
      <c r="E2668" s="30">
        <f>'Raw data'!P2244</f>
        <v>0</v>
      </c>
      <c r="F2668" s="29" t="e">
        <f>VLOOKUP(E2668,'점포코드 '!A:B,2,0)</f>
        <v>#N/A</v>
      </c>
      <c r="G2668" s="46">
        <f>'Raw data'!F2577</f>
        <v>0</v>
      </c>
      <c r="H2668" s="4">
        <f>'Raw data'!G2577</f>
        <v>0</v>
      </c>
      <c r="I2668" s="29" t="e">
        <f>VLOOKUP(G2668,제품명!$C$1:$E$114,2,0)</f>
        <v>#N/A</v>
      </c>
      <c r="J2668" s="29">
        <f>'Raw data'!K2577</f>
        <v>0</v>
      </c>
      <c r="K2668" s="31">
        <f>'Raw data'!H2577</f>
        <v>0</v>
      </c>
      <c r="L2668" s="26">
        <f t="shared" si="86"/>
        <v>0</v>
      </c>
    </row>
    <row r="2669" spans="2:12">
      <c r="B2669" s="4" t="e">
        <f t="shared" si="85"/>
        <v>#N/A</v>
      </c>
      <c r="C2669" s="4">
        <f>'Raw data'!E2245</f>
        <v>0</v>
      </c>
      <c r="D2669" s="29" t="e">
        <f>VLOOKUP(C2669,'점포코드 '!A:B,2,0)</f>
        <v>#N/A</v>
      </c>
      <c r="E2669" s="30">
        <f>'Raw data'!P2245</f>
        <v>0</v>
      </c>
      <c r="F2669" s="29" t="e">
        <f>VLOOKUP(E2669,'점포코드 '!A:B,2,0)</f>
        <v>#N/A</v>
      </c>
      <c r="G2669" s="46">
        <f>'Raw data'!F2578</f>
        <v>0</v>
      </c>
      <c r="H2669" s="4">
        <f>'Raw data'!G2578</f>
        <v>0</v>
      </c>
      <c r="I2669" s="29" t="e">
        <f>VLOOKUP(G2669,제품명!$C$1:$E$114,2,0)</f>
        <v>#N/A</v>
      </c>
      <c r="J2669" s="29">
        <f>'Raw data'!K2578</f>
        <v>0</v>
      </c>
      <c r="K2669" s="31">
        <f>'Raw data'!H2578</f>
        <v>0</v>
      </c>
      <c r="L2669" s="26">
        <f t="shared" si="86"/>
        <v>0</v>
      </c>
    </row>
    <row r="2670" spans="2:12">
      <c r="B2670" s="4" t="e">
        <f t="shared" si="85"/>
        <v>#N/A</v>
      </c>
      <c r="C2670" s="4">
        <f>'Raw data'!E2246</f>
        <v>0</v>
      </c>
      <c r="D2670" s="29" t="e">
        <f>VLOOKUP(C2670,'점포코드 '!A:B,2,0)</f>
        <v>#N/A</v>
      </c>
      <c r="E2670" s="30">
        <f>'Raw data'!P2246</f>
        <v>0</v>
      </c>
      <c r="F2670" s="29" t="e">
        <f>VLOOKUP(E2670,'점포코드 '!A:B,2,0)</f>
        <v>#N/A</v>
      </c>
      <c r="G2670" s="46">
        <f>'Raw data'!F2579</f>
        <v>0</v>
      </c>
      <c r="H2670" s="4">
        <f>'Raw data'!G2579</f>
        <v>0</v>
      </c>
      <c r="I2670" s="29" t="e">
        <f>VLOOKUP(G2670,제품명!$C$1:$E$114,2,0)</f>
        <v>#N/A</v>
      </c>
      <c r="J2670" s="29">
        <f>'Raw data'!K2579</f>
        <v>0</v>
      </c>
      <c r="K2670" s="31">
        <f>'Raw data'!H2579</f>
        <v>0</v>
      </c>
      <c r="L2670" s="26">
        <f t="shared" si="86"/>
        <v>0</v>
      </c>
    </row>
    <row r="2671" spans="2:12">
      <c r="B2671" s="4" t="e">
        <f t="shared" si="85"/>
        <v>#N/A</v>
      </c>
      <c r="C2671" s="4">
        <f>'Raw data'!E2247</f>
        <v>0</v>
      </c>
      <c r="D2671" s="29" t="e">
        <f>VLOOKUP(C2671,'점포코드 '!A:B,2,0)</f>
        <v>#N/A</v>
      </c>
      <c r="E2671" s="30">
        <f>'Raw data'!P2247</f>
        <v>0</v>
      </c>
      <c r="F2671" s="29" t="e">
        <f>VLOOKUP(E2671,'점포코드 '!A:B,2,0)</f>
        <v>#N/A</v>
      </c>
      <c r="G2671" s="46">
        <f>'Raw data'!F2580</f>
        <v>0</v>
      </c>
      <c r="H2671" s="4">
        <f>'Raw data'!G2580</f>
        <v>0</v>
      </c>
      <c r="I2671" s="29" t="e">
        <f>VLOOKUP(G2671,제품명!$C$1:$E$114,2,0)</f>
        <v>#N/A</v>
      </c>
      <c r="J2671" s="29">
        <f>'Raw data'!K2580</f>
        <v>0</v>
      </c>
      <c r="K2671" s="31">
        <f>'Raw data'!H2580</f>
        <v>0</v>
      </c>
      <c r="L2671" s="26">
        <f t="shared" si="86"/>
        <v>0</v>
      </c>
    </row>
    <row r="2672" spans="2:12">
      <c r="B2672" s="4" t="e">
        <f t="shared" si="85"/>
        <v>#N/A</v>
      </c>
      <c r="C2672" s="4">
        <f>'Raw data'!E2248</f>
        <v>0</v>
      </c>
      <c r="D2672" s="29" t="e">
        <f>VLOOKUP(C2672,'점포코드 '!A:B,2,0)</f>
        <v>#N/A</v>
      </c>
      <c r="E2672" s="30">
        <f>'Raw data'!P2248</f>
        <v>0</v>
      </c>
      <c r="F2672" s="29" t="e">
        <f>VLOOKUP(E2672,'점포코드 '!A:B,2,0)</f>
        <v>#N/A</v>
      </c>
      <c r="G2672" s="46">
        <f>'Raw data'!F2581</f>
        <v>0</v>
      </c>
      <c r="H2672" s="4">
        <f>'Raw data'!G2581</f>
        <v>0</v>
      </c>
      <c r="I2672" s="29" t="e">
        <f>VLOOKUP(G2672,제품명!$C$1:$E$114,2,0)</f>
        <v>#N/A</v>
      </c>
      <c r="J2672" s="29">
        <f>'Raw data'!K2581</f>
        <v>0</v>
      </c>
      <c r="K2672" s="31">
        <f>'Raw data'!H2581</f>
        <v>0</v>
      </c>
      <c r="L2672" s="26">
        <f t="shared" si="86"/>
        <v>0</v>
      </c>
    </row>
    <row r="2673" spans="2:12">
      <c r="B2673" s="4" t="e">
        <f t="shared" si="85"/>
        <v>#N/A</v>
      </c>
      <c r="C2673" s="4">
        <f>'Raw data'!E2249</f>
        <v>0</v>
      </c>
      <c r="D2673" s="29" t="e">
        <f>VLOOKUP(C2673,'점포코드 '!A:B,2,0)</f>
        <v>#N/A</v>
      </c>
      <c r="E2673" s="30">
        <f>'Raw data'!P2249</f>
        <v>0</v>
      </c>
      <c r="F2673" s="29" t="e">
        <f>VLOOKUP(E2673,'점포코드 '!A:B,2,0)</f>
        <v>#N/A</v>
      </c>
      <c r="G2673" s="46">
        <f>'Raw data'!F2582</f>
        <v>0</v>
      </c>
      <c r="H2673" s="4">
        <f>'Raw data'!G2582</f>
        <v>0</v>
      </c>
      <c r="I2673" s="29" t="e">
        <f>VLOOKUP(G2673,제품명!$C$1:$E$114,2,0)</f>
        <v>#N/A</v>
      </c>
      <c r="J2673" s="29">
        <f>'Raw data'!K2582</f>
        <v>0</v>
      </c>
      <c r="K2673" s="31">
        <f>'Raw data'!H2582</f>
        <v>0</v>
      </c>
      <c r="L2673" s="26">
        <f t="shared" si="86"/>
        <v>0</v>
      </c>
    </row>
    <row r="2674" spans="2:12">
      <c r="B2674" s="4" t="e">
        <f t="shared" si="85"/>
        <v>#N/A</v>
      </c>
      <c r="C2674" s="4">
        <f>'Raw data'!E2250</f>
        <v>0</v>
      </c>
      <c r="D2674" s="29" t="e">
        <f>VLOOKUP(C2674,'점포코드 '!A:B,2,0)</f>
        <v>#N/A</v>
      </c>
      <c r="E2674" s="30">
        <f>'Raw data'!P2250</f>
        <v>0</v>
      </c>
      <c r="F2674" s="29" t="e">
        <f>VLOOKUP(E2674,'점포코드 '!A:B,2,0)</f>
        <v>#N/A</v>
      </c>
      <c r="G2674" s="46">
        <f>'Raw data'!F2583</f>
        <v>0</v>
      </c>
      <c r="H2674" s="4">
        <f>'Raw data'!G2583</f>
        <v>0</v>
      </c>
      <c r="I2674" s="29" t="e">
        <f>VLOOKUP(G2674,제품명!$C$1:$E$114,2,0)</f>
        <v>#N/A</v>
      </c>
      <c r="J2674" s="29">
        <f>'Raw data'!K2583</f>
        <v>0</v>
      </c>
      <c r="K2674" s="31">
        <f>'Raw data'!H2583</f>
        <v>0</v>
      </c>
      <c r="L2674" s="26">
        <f t="shared" si="86"/>
        <v>0</v>
      </c>
    </row>
    <row r="2675" spans="2:12">
      <c r="B2675" s="4" t="e">
        <f t="shared" si="85"/>
        <v>#N/A</v>
      </c>
      <c r="C2675" s="4">
        <f>'Raw data'!E2251</f>
        <v>0</v>
      </c>
      <c r="D2675" s="29" t="e">
        <f>VLOOKUP(C2675,'점포코드 '!A:B,2,0)</f>
        <v>#N/A</v>
      </c>
      <c r="E2675" s="30">
        <f>'Raw data'!P2251</f>
        <v>0</v>
      </c>
      <c r="F2675" s="29" t="e">
        <f>VLOOKUP(E2675,'점포코드 '!A:B,2,0)</f>
        <v>#N/A</v>
      </c>
      <c r="G2675" s="46">
        <f>'Raw data'!F2584</f>
        <v>0</v>
      </c>
      <c r="H2675" s="4">
        <f>'Raw data'!G2584</f>
        <v>0</v>
      </c>
      <c r="I2675" s="29" t="e">
        <f>VLOOKUP(G2675,제품명!$C$1:$E$114,2,0)</f>
        <v>#N/A</v>
      </c>
      <c r="J2675" s="29">
        <f>'Raw data'!K2584</f>
        <v>0</v>
      </c>
      <c r="K2675" s="31">
        <f>'Raw data'!H2584</f>
        <v>0</v>
      </c>
      <c r="L2675" s="26">
        <f t="shared" si="86"/>
        <v>0</v>
      </c>
    </row>
    <row r="2676" spans="2:12">
      <c r="B2676" s="4" t="e">
        <f t="shared" si="85"/>
        <v>#N/A</v>
      </c>
      <c r="C2676" s="4">
        <f>'Raw data'!E2252</f>
        <v>0</v>
      </c>
      <c r="D2676" s="29" t="e">
        <f>VLOOKUP(C2676,'점포코드 '!A:B,2,0)</f>
        <v>#N/A</v>
      </c>
      <c r="E2676" s="30">
        <f>'Raw data'!P2252</f>
        <v>0</v>
      </c>
      <c r="F2676" s="29" t="e">
        <f>VLOOKUP(E2676,'점포코드 '!A:B,2,0)</f>
        <v>#N/A</v>
      </c>
      <c r="G2676" s="46">
        <f>'Raw data'!F2585</f>
        <v>0</v>
      </c>
      <c r="H2676" s="4">
        <f>'Raw data'!G2585</f>
        <v>0</v>
      </c>
      <c r="I2676" s="29" t="e">
        <f>VLOOKUP(G2676,제품명!$C$1:$E$114,2,0)</f>
        <v>#N/A</v>
      </c>
      <c r="J2676" s="29">
        <f>'Raw data'!K2585</f>
        <v>0</v>
      </c>
      <c r="K2676" s="31">
        <f>'Raw data'!H2585</f>
        <v>0</v>
      </c>
      <c r="L2676" s="26">
        <f t="shared" si="86"/>
        <v>0</v>
      </c>
    </row>
    <row r="2677" spans="2:12">
      <c r="B2677" s="4" t="e">
        <f t="shared" si="85"/>
        <v>#N/A</v>
      </c>
      <c r="C2677" s="4">
        <f>'Raw data'!E2253</f>
        <v>0</v>
      </c>
      <c r="D2677" s="29" t="e">
        <f>VLOOKUP(C2677,'점포코드 '!A:B,2,0)</f>
        <v>#N/A</v>
      </c>
      <c r="E2677" s="30">
        <f>'Raw data'!P2253</f>
        <v>0</v>
      </c>
      <c r="F2677" s="29" t="e">
        <f>VLOOKUP(E2677,'점포코드 '!A:B,2,0)</f>
        <v>#N/A</v>
      </c>
      <c r="G2677" s="46">
        <f>'Raw data'!F2586</f>
        <v>0</v>
      </c>
      <c r="H2677" s="4">
        <f>'Raw data'!G2586</f>
        <v>0</v>
      </c>
      <c r="I2677" s="29" t="e">
        <f>VLOOKUP(G2677,제품명!$C$1:$E$114,2,0)</f>
        <v>#N/A</v>
      </c>
      <c r="J2677" s="29">
        <f>'Raw data'!K2586</f>
        <v>0</v>
      </c>
      <c r="K2677" s="31">
        <f>'Raw data'!H2586</f>
        <v>0</v>
      </c>
      <c r="L2677" s="26">
        <f t="shared" si="86"/>
        <v>0</v>
      </c>
    </row>
    <row r="2678" spans="2:12">
      <c r="B2678" s="4" t="e">
        <f t="shared" si="85"/>
        <v>#N/A</v>
      </c>
      <c r="C2678" s="4">
        <f>'Raw data'!E2254</f>
        <v>0</v>
      </c>
      <c r="D2678" s="29" t="e">
        <f>VLOOKUP(C2678,'점포코드 '!A:B,2,0)</f>
        <v>#N/A</v>
      </c>
      <c r="E2678" s="30">
        <f>'Raw data'!P2254</f>
        <v>0</v>
      </c>
      <c r="F2678" s="29" t="e">
        <f>VLOOKUP(E2678,'점포코드 '!A:B,2,0)</f>
        <v>#N/A</v>
      </c>
      <c r="G2678" s="46">
        <f>'Raw data'!F2587</f>
        <v>0</v>
      </c>
      <c r="H2678" s="4">
        <f>'Raw data'!G2587</f>
        <v>0</v>
      </c>
      <c r="I2678" s="29" t="e">
        <f>VLOOKUP(G2678,제품명!$C$1:$E$114,2,0)</f>
        <v>#N/A</v>
      </c>
      <c r="J2678" s="29">
        <f>'Raw data'!K2587</f>
        <v>0</v>
      </c>
      <c r="K2678" s="31">
        <f>'Raw data'!H2587</f>
        <v>0</v>
      </c>
      <c r="L2678" s="26">
        <f t="shared" si="86"/>
        <v>0</v>
      </c>
    </row>
    <row r="2679" spans="2:12">
      <c r="B2679" s="4" t="e">
        <f t="shared" si="85"/>
        <v>#N/A</v>
      </c>
      <c r="C2679" s="4">
        <f>'Raw data'!E2255</f>
        <v>0</v>
      </c>
      <c r="D2679" s="29" t="e">
        <f>VLOOKUP(C2679,'점포코드 '!A:B,2,0)</f>
        <v>#N/A</v>
      </c>
      <c r="E2679" s="30">
        <f>'Raw data'!P2255</f>
        <v>0</v>
      </c>
      <c r="F2679" s="29" t="e">
        <f>VLOOKUP(E2679,'점포코드 '!A:B,2,0)</f>
        <v>#N/A</v>
      </c>
      <c r="G2679" s="46">
        <f>'Raw data'!F2588</f>
        <v>0</v>
      </c>
      <c r="H2679" s="4">
        <f>'Raw data'!G2588</f>
        <v>0</v>
      </c>
      <c r="I2679" s="29" t="e">
        <f>VLOOKUP(G2679,제품명!$C$1:$E$114,2,0)</f>
        <v>#N/A</v>
      </c>
      <c r="J2679" s="29">
        <f>'Raw data'!K2588</f>
        <v>0</v>
      </c>
      <c r="K2679" s="31">
        <f>'Raw data'!H2588</f>
        <v>0</v>
      </c>
      <c r="L2679" s="26">
        <f t="shared" si="86"/>
        <v>0</v>
      </c>
    </row>
    <row r="2680" spans="2:12">
      <c r="B2680" s="4" t="e">
        <f t="shared" si="85"/>
        <v>#N/A</v>
      </c>
      <c r="C2680" s="4">
        <f>'Raw data'!E2256</f>
        <v>0</v>
      </c>
      <c r="D2680" s="29" t="e">
        <f>VLOOKUP(C2680,'점포코드 '!A:B,2,0)</f>
        <v>#N/A</v>
      </c>
      <c r="E2680" s="30">
        <f>'Raw data'!P2256</f>
        <v>0</v>
      </c>
      <c r="F2680" s="29" t="e">
        <f>VLOOKUP(E2680,'점포코드 '!A:B,2,0)</f>
        <v>#N/A</v>
      </c>
      <c r="G2680" s="46">
        <f>'Raw data'!F2589</f>
        <v>0</v>
      </c>
      <c r="H2680" s="4">
        <f>'Raw data'!G2589</f>
        <v>0</v>
      </c>
      <c r="I2680" s="29" t="e">
        <f>VLOOKUP(G2680,제품명!$C$1:$E$114,2,0)</f>
        <v>#N/A</v>
      </c>
      <c r="J2680" s="29">
        <f>'Raw data'!K2589</f>
        <v>0</v>
      </c>
      <c r="K2680" s="31">
        <f>'Raw data'!H2589</f>
        <v>0</v>
      </c>
      <c r="L2680" s="26">
        <f t="shared" si="86"/>
        <v>0</v>
      </c>
    </row>
    <row r="2681" spans="2:12">
      <c r="B2681" s="4" t="e">
        <f t="shared" si="85"/>
        <v>#N/A</v>
      </c>
      <c r="C2681" s="4">
        <f>'Raw data'!E2257</f>
        <v>0</v>
      </c>
      <c r="D2681" s="29" t="e">
        <f>VLOOKUP(C2681,'점포코드 '!A:B,2,0)</f>
        <v>#N/A</v>
      </c>
      <c r="E2681" s="30">
        <f>'Raw data'!P2257</f>
        <v>0</v>
      </c>
      <c r="F2681" s="29" t="e">
        <f>VLOOKUP(E2681,'점포코드 '!A:B,2,0)</f>
        <v>#N/A</v>
      </c>
      <c r="G2681" s="46">
        <f>'Raw data'!F2590</f>
        <v>0</v>
      </c>
      <c r="H2681" s="4">
        <f>'Raw data'!G2590</f>
        <v>0</v>
      </c>
      <c r="I2681" s="29" t="e">
        <f>VLOOKUP(G2681,제품명!$C$1:$E$114,2,0)</f>
        <v>#N/A</v>
      </c>
      <c r="J2681" s="29">
        <f>'Raw data'!K2590</f>
        <v>0</v>
      </c>
      <c r="K2681" s="31">
        <f>'Raw data'!H2590</f>
        <v>0</v>
      </c>
      <c r="L2681" s="26">
        <f t="shared" si="86"/>
        <v>0</v>
      </c>
    </row>
    <row r="2682" spans="2:12">
      <c r="B2682" s="4" t="e">
        <f t="shared" si="85"/>
        <v>#N/A</v>
      </c>
      <c r="C2682" s="4">
        <f>'Raw data'!E2258</f>
        <v>0</v>
      </c>
      <c r="D2682" s="29" t="e">
        <f>VLOOKUP(C2682,'점포코드 '!A:B,2,0)</f>
        <v>#N/A</v>
      </c>
      <c r="E2682" s="30">
        <f>'Raw data'!P2258</f>
        <v>0</v>
      </c>
      <c r="F2682" s="29" t="e">
        <f>VLOOKUP(E2682,'점포코드 '!A:B,2,0)</f>
        <v>#N/A</v>
      </c>
      <c r="G2682" s="46">
        <f>'Raw data'!F2591</f>
        <v>0</v>
      </c>
      <c r="H2682" s="4">
        <f>'Raw data'!G2591</f>
        <v>0</v>
      </c>
      <c r="I2682" s="29" t="e">
        <f>VLOOKUP(G2682,제품명!$C$1:$E$114,2,0)</f>
        <v>#N/A</v>
      </c>
      <c r="J2682" s="29">
        <f>'Raw data'!K2591</f>
        <v>0</v>
      </c>
      <c r="K2682" s="31">
        <f>'Raw data'!H2591</f>
        <v>0</v>
      </c>
      <c r="L2682" s="26">
        <f t="shared" si="86"/>
        <v>0</v>
      </c>
    </row>
    <row r="2683" spans="2:12">
      <c r="B2683" s="4" t="e">
        <f t="shared" si="85"/>
        <v>#N/A</v>
      </c>
      <c r="C2683" s="4">
        <f>'Raw data'!E2259</f>
        <v>0</v>
      </c>
      <c r="D2683" s="29" t="e">
        <f>VLOOKUP(C2683,'점포코드 '!A:B,2,0)</f>
        <v>#N/A</v>
      </c>
      <c r="E2683" s="30">
        <f>'Raw data'!P2259</f>
        <v>0</v>
      </c>
      <c r="F2683" s="29" t="e">
        <f>VLOOKUP(E2683,'점포코드 '!A:B,2,0)</f>
        <v>#N/A</v>
      </c>
      <c r="G2683" s="46">
        <f>'Raw data'!F2592</f>
        <v>0</v>
      </c>
      <c r="H2683" s="4">
        <f>'Raw data'!G2592</f>
        <v>0</v>
      </c>
      <c r="I2683" s="29" t="e">
        <f>VLOOKUP(G2683,제품명!$C$1:$E$114,2,0)</f>
        <v>#N/A</v>
      </c>
      <c r="J2683" s="29">
        <f>'Raw data'!K2592</f>
        <v>0</v>
      </c>
      <c r="K2683" s="31">
        <f>'Raw data'!H2592</f>
        <v>0</v>
      </c>
      <c r="L2683" s="26">
        <f t="shared" si="86"/>
        <v>0</v>
      </c>
    </row>
    <row r="2684" spans="2:12">
      <c r="B2684" s="4" t="e">
        <f t="shared" si="85"/>
        <v>#N/A</v>
      </c>
      <c r="C2684" s="4">
        <f>'Raw data'!E2260</f>
        <v>0</v>
      </c>
      <c r="D2684" s="29" t="e">
        <f>VLOOKUP(C2684,'점포코드 '!A:B,2,0)</f>
        <v>#N/A</v>
      </c>
      <c r="E2684" s="30">
        <f>'Raw data'!P2260</f>
        <v>0</v>
      </c>
      <c r="F2684" s="29" t="e">
        <f>VLOOKUP(E2684,'점포코드 '!A:B,2,0)</f>
        <v>#N/A</v>
      </c>
      <c r="G2684" s="46">
        <f>'Raw data'!F2593</f>
        <v>0</v>
      </c>
      <c r="H2684" s="4">
        <f>'Raw data'!G2593</f>
        <v>0</v>
      </c>
      <c r="I2684" s="29" t="e">
        <f>VLOOKUP(G2684,제품명!$C$1:$E$114,2,0)</f>
        <v>#N/A</v>
      </c>
      <c r="J2684" s="29">
        <f>'Raw data'!K2593</f>
        <v>0</v>
      </c>
      <c r="K2684" s="31">
        <f>'Raw data'!H2593</f>
        <v>0</v>
      </c>
      <c r="L2684" s="26">
        <f t="shared" si="86"/>
        <v>0</v>
      </c>
    </row>
    <row r="2685" spans="2:12">
      <c r="B2685" s="4" t="e">
        <f t="shared" si="85"/>
        <v>#N/A</v>
      </c>
      <c r="C2685" s="4">
        <f>'Raw data'!E2261</f>
        <v>0</v>
      </c>
      <c r="D2685" s="29" t="e">
        <f>VLOOKUP(C2685,'점포코드 '!A:B,2,0)</f>
        <v>#N/A</v>
      </c>
      <c r="E2685" s="30">
        <f>'Raw data'!P2261</f>
        <v>0</v>
      </c>
      <c r="F2685" s="29" t="e">
        <f>VLOOKUP(E2685,'점포코드 '!A:B,2,0)</f>
        <v>#N/A</v>
      </c>
      <c r="G2685" s="46">
        <f>'Raw data'!F2594</f>
        <v>0</v>
      </c>
      <c r="H2685" s="4">
        <f>'Raw data'!G2594</f>
        <v>0</v>
      </c>
      <c r="I2685" s="29" t="e">
        <f>VLOOKUP(G2685,제품명!$C$1:$E$114,2,0)</f>
        <v>#N/A</v>
      </c>
      <c r="J2685" s="29">
        <f>'Raw data'!K2594</f>
        <v>0</v>
      </c>
      <c r="K2685" s="31">
        <f>'Raw data'!H2594</f>
        <v>0</v>
      </c>
      <c r="L2685" s="26">
        <f t="shared" si="86"/>
        <v>0</v>
      </c>
    </row>
    <row r="2686" spans="2:12">
      <c r="B2686" s="4" t="e">
        <f t="shared" si="85"/>
        <v>#N/A</v>
      </c>
      <c r="C2686" s="4">
        <f>'Raw data'!E2262</f>
        <v>0</v>
      </c>
      <c r="D2686" s="29" t="e">
        <f>VLOOKUP(C2686,'점포코드 '!A:B,2,0)</f>
        <v>#N/A</v>
      </c>
      <c r="E2686" s="30">
        <f>'Raw data'!P2262</f>
        <v>0</v>
      </c>
      <c r="F2686" s="29" t="e">
        <f>VLOOKUP(E2686,'점포코드 '!A:B,2,0)</f>
        <v>#N/A</v>
      </c>
      <c r="G2686" s="46">
        <f>'Raw data'!F2595</f>
        <v>0</v>
      </c>
      <c r="H2686" s="4">
        <f>'Raw data'!G2595</f>
        <v>0</v>
      </c>
      <c r="I2686" s="29" t="e">
        <f>VLOOKUP(G2686,제품명!$C$1:$E$114,2,0)</f>
        <v>#N/A</v>
      </c>
      <c r="J2686" s="29">
        <f>'Raw data'!K2595</f>
        <v>0</v>
      </c>
      <c r="K2686" s="31">
        <f>'Raw data'!H2595</f>
        <v>0</v>
      </c>
      <c r="L2686" s="26">
        <f t="shared" si="86"/>
        <v>0</v>
      </c>
    </row>
    <row r="2687" spans="2:12">
      <c r="B2687" s="4" t="e">
        <f t="shared" si="85"/>
        <v>#N/A</v>
      </c>
      <c r="C2687" s="4">
        <f>'Raw data'!E2263</f>
        <v>0</v>
      </c>
      <c r="D2687" s="29" t="e">
        <f>VLOOKUP(C2687,'점포코드 '!A:B,2,0)</f>
        <v>#N/A</v>
      </c>
      <c r="E2687" s="30">
        <f>'Raw data'!P2263</f>
        <v>0</v>
      </c>
      <c r="F2687" s="29" t="e">
        <f>VLOOKUP(E2687,'점포코드 '!A:B,2,0)</f>
        <v>#N/A</v>
      </c>
      <c r="G2687" s="46">
        <f>'Raw data'!F2596</f>
        <v>0</v>
      </c>
      <c r="H2687" s="4">
        <f>'Raw data'!G2596</f>
        <v>0</v>
      </c>
      <c r="I2687" s="29" t="e">
        <f>VLOOKUP(G2687,제품명!$C$1:$E$114,2,0)</f>
        <v>#N/A</v>
      </c>
      <c r="J2687" s="29">
        <f>'Raw data'!K2596</f>
        <v>0</v>
      </c>
      <c r="K2687" s="31">
        <f>'Raw data'!H2596</f>
        <v>0</v>
      </c>
      <c r="L2687" s="26">
        <f t="shared" si="86"/>
        <v>0</v>
      </c>
    </row>
    <row r="2688" spans="2:12">
      <c r="B2688" s="4" t="e">
        <f t="shared" si="85"/>
        <v>#N/A</v>
      </c>
      <c r="C2688" s="4">
        <f>'Raw data'!E2264</f>
        <v>0</v>
      </c>
      <c r="D2688" s="29" t="e">
        <f>VLOOKUP(C2688,'점포코드 '!A:B,2,0)</f>
        <v>#N/A</v>
      </c>
      <c r="E2688" s="30">
        <f>'Raw data'!P2264</f>
        <v>0</v>
      </c>
      <c r="F2688" s="29" t="e">
        <f>VLOOKUP(E2688,'점포코드 '!A:B,2,0)</f>
        <v>#N/A</v>
      </c>
      <c r="G2688" s="46">
        <f>'Raw data'!F2597</f>
        <v>0</v>
      </c>
      <c r="H2688" s="4">
        <f>'Raw data'!G2597</f>
        <v>0</v>
      </c>
      <c r="I2688" s="29" t="e">
        <f>VLOOKUP(G2688,제품명!$C$1:$E$114,2,0)</f>
        <v>#N/A</v>
      </c>
      <c r="J2688" s="29">
        <f>'Raw data'!K2597</f>
        <v>0</v>
      </c>
      <c r="K2688" s="31">
        <f>'Raw data'!H2597</f>
        <v>0</v>
      </c>
      <c r="L2688" s="26">
        <f t="shared" si="86"/>
        <v>0</v>
      </c>
    </row>
    <row r="2689" spans="2:12">
      <c r="B2689" s="4" t="e">
        <f t="shared" si="85"/>
        <v>#N/A</v>
      </c>
      <c r="C2689" s="4">
        <f>'Raw data'!E2265</f>
        <v>0</v>
      </c>
      <c r="D2689" s="29" t="e">
        <f>VLOOKUP(C2689,'점포코드 '!A:B,2,0)</f>
        <v>#N/A</v>
      </c>
      <c r="E2689" s="30">
        <f>'Raw data'!P2265</f>
        <v>0</v>
      </c>
      <c r="F2689" s="29" t="e">
        <f>VLOOKUP(E2689,'점포코드 '!A:B,2,0)</f>
        <v>#N/A</v>
      </c>
      <c r="G2689" s="46">
        <f>'Raw data'!F2598</f>
        <v>0</v>
      </c>
      <c r="H2689" s="4">
        <f>'Raw data'!G2598</f>
        <v>0</v>
      </c>
      <c r="I2689" s="29" t="e">
        <f>VLOOKUP(G2689,제품명!$C$1:$E$114,2,0)</f>
        <v>#N/A</v>
      </c>
      <c r="J2689" s="29">
        <f>'Raw data'!K2598</f>
        <v>0</v>
      </c>
      <c r="K2689" s="31">
        <f>'Raw data'!H2598</f>
        <v>0</v>
      </c>
      <c r="L2689" s="26">
        <f t="shared" si="86"/>
        <v>0</v>
      </c>
    </row>
    <row r="2690" spans="2:12">
      <c r="B2690" s="4" t="e">
        <f t="shared" ref="B2690:B2753" si="87">F2690&amp;I2690</f>
        <v>#N/A</v>
      </c>
      <c r="C2690" s="4">
        <f>'Raw data'!E2266</f>
        <v>0</v>
      </c>
      <c r="D2690" s="29" t="e">
        <f>VLOOKUP(C2690,'점포코드 '!A:B,2,0)</f>
        <v>#N/A</v>
      </c>
      <c r="E2690" s="30">
        <f>'Raw data'!P2266</f>
        <v>0</v>
      </c>
      <c r="F2690" s="29" t="e">
        <f>VLOOKUP(E2690,'점포코드 '!A:B,2,0)</f>
        <v>#N/A</v>
      </c>
      <c r="G2690" s="46">
        <f>'Raw data'!F2599</f>
        <v>0</v>
      </c>
      <c r="H2690" s="4">
        <f>'Raw data'!G2599</f>
        <v>0</v>
      </c>
      <c r="I2690" s="29" t="e">
        <f>VLOOKUP(G2690,제품명!$C$1:$E$114,2,0)</f>
        <v>#N/A</v>
      </c>
      <c r="J2690" s="29">
        <f>'Raw data'!K2599</f>
        <v>0</v>
      </c>
      <c r="K2690" s="31">
        <f>'Raw data'!H2599</f>
        <v>0</v>
      </c>
      <c r="L2690" s="26">
        <f t="shared" si="86"/>
        <v>0</v>
      </c>
    </row>
    <row r="2691" spans="2:12">
      <c r="B2691" s="4" t="e">
        <f t="shared" si="87"/>
        <v>#N/A</v>
      </c>
      <c r="C2691" s="4">
        <f>'Raw data'!E2267</f>
        <v>0</v>
      </c>
      <c r="D2691" s="29" t="e">
        <f>VLOOKUP(C2691,'점포코드 '!A:B,2,0)</f>
        <v>#N/A</v>
      </c>
      <c r="E2691" s="30">
        <f>'Raw data'!P2267</f>
        <v>0</v>
      </c>
      <c r="F2691" s="29" t="e">
        <f>VLOOKUP(E2691,'점포코드 '!A:B,2,0)</f>
        <v>#N/A</v>
      </c>
      <c r="G2691" s="46">
        <f>'Raw data'!F2600</f>
        <v>0</v>
      </c>
      <c r="H2691" s="4">
        <f>'Raw data'!G2600</f>
        <v>0</v>
      </c>
      <c r="I2691" s="29" t="e">
        <f>VLOOKUP(G2691,제품명!$C$1:$E$114,2,0)</f>
        <v>#N/A</v>
      </c>
      <c r="J2691" s="29">
        <f>'Raw data'!K2600</f>
        <v>0</v>
      </c>
      <c r="K2691" s="31">
        <f>'Raw data'!H2600</f>
        <v>0</v>
      </c>
      <c r="L2691" s="26">
        <f t="shared" ref="L2691:L2754" si="88">J2691*K2691</f>
        <v>0</v>
      </c>
    </row>
    <row r="2692" spans="2:12">
      <c r="B2692" s="4" t="e">
        <f t="shared" si="87"/>
        <v>#N/A</v>
      </c>
      <c r="C2692" s="4">
        <f>'Raw data'!E2268</f>
        <v>0</v>
      </c>
      <c r="D2692" s="29" t="e">
        <f>VLOOKUP(C2692,'점포코드 '!A:B,2,0)</f>
        <v>#N/A</v>
      </c>
      <c r="E2692" s="30">
        <f>'Raw data'!P2268</f>
        <v>0</v>
      </c>
      <c r="F2692" s="29" t="e">
        <f>VLOOKUP(E2692,'점포코드 '!A:B,2,0)</f>
        <v>#N/A</v>
      </c>
      <c r="G2692" s="46">
        <f>'Raw data'!F2601</f>
        <v>0</v>
      </c>
      <c r="H2692" s="4">
        <f>'Raw data'!G2601</f>
        <v>0</v>
      </c>
      <c r="I2692" s="29" t="e">
        <f>VLOOKUP(G2692,제품명!$C$1:$E$114,2,0)</f>
        <v>#N/A</v>
      </c>
      <c r="J2692" s="29">
        <f>'Raw data'!K2601</f>
        <v>0</v>
      </c>
      <c r="K2692" s="31">
        <f>'Raw data'!H2601</f>
        <v>0</v>
      </c>
      <c r="L2692" s="26">
        <f t="shared" si="88"/>
        <v>0</v>
      </c>
    </row>
    <row r="2693" spans="2:12">
      <c r="B2693" s="4" t="e">
        <f t="shared" si="87"/>
        <v>#N/A</v>
      </c>
      <c r="C2693" s="4">
        <f>'Raw data'!E2269</f>
        <v>0</v>
      </c>
      <c r="D2693" s="29" t="e">
        <f>VLOOKUP(C2693,'점포코드 '!A:B,2,0)</f>
        <v>#N/A</v>
      </c>
      <c r="E2693" s="30">
        <f>'Raw data'!P2269</f>
        <v>0</v>
      </c>
      <c r="F2693" s="29" t="e">
        <f>VLOOKUP(E2693,'점포코드 '!A:B,2,0)</f>
        <v>#N/A</v>
      </c>
      <c r="G2693" s="46">
        <f>'Raw data'!F2602</f>
        <v>0</v>
      </c>
      <c r="H2693" s="4">
        <f>'Raw data'!G2602</f>
        <v>0</v>
      </c>
      <c r="I2693" s="29" t="e">
        <f>VLOOKUP(G2693,제품명!$C$1:$E$114,2,0)</f>
        <v>#N/A</v>
      </c>
      <c r="J2693" s="29">
        <f>'Raw data'!K2602</f>
        <v>0</v>
      </c>
      <c r="K2693" s="31">
        <f>'Raw data'!H2602</f>
        <v>0</v>
      </c>
      <c r="L2693" s="26">
        <f t="shared" si="88"/>
        <v>0</v>
      </c>
    </row>
    <row r="2694" spans="2:12">
      <c r="B2694" s="4" t="e">
        <f t="shared" si="87"/>
        <v>#N/A</v>
      </c>
      <c r="C2694" s="4">
        <f>'Raw data'!E2270</f>
        <v>0</v>
      </c>
      <c r="D2694" s="29" t="e">
        <f>VLOOKUP(C2694,'점포코드 '!A:B,2,0)</f>
        <v>#N/A</v>
      </c>
      <c r="E2694" s="30">
        <f>'Raw data'!P2270</f>
        <v>0</v>
      </c>
      <c r="F2694" s="29" t="e">
        <f>VLOOKUP(E2694,'점포코드 '!A:B,2,0)</f>
        <v>#N/A</v>
      </c>
      <c r="G2694" s="46">
        <f>'Raw data'!F2603</f>
        <v>0</v>
      </c>
      <c r="H2694" s="4">
        <f>'Raw data'!G2603</f>
        <v>0</v>
      </c>
      <c r="I2694" s="29" t="e">
        <f>VLOOKUP(G2694,제품명!$C$1:$E$114,2,0)</f>
        <v>#N/A</v>
      </c>
      <c r="J2694" s="29">
        <f>'Raw data'!K2603</f>
        <v>0</v>
      </c>
      <c r="K2694" s="31">
        <f>'Raw data'!H2603</f>
        <v>0</v>
      </c>
      <c r="L2694" s="26">
        <f t="shared" si="88"/>
        <v>0</v>
      </c>
    </row>
    <row r="2695" spans="2:12">
      <c r="B2695" s="4" t="e">
        <f t="shared" si="87"/>
        <v>#N/A</v>
      </c>
      <c r="C2695" s="4">
        <f>'Raw data'!E2271</f>
        <v>0</v>
      </c>
      <c r="D2695" s="29" t="e">
        <f>VLOOKUP(C2695,'점포코드 '!A:B,2,0)</f>
        <v>#N/A</v>
      </c>
      <c r="E2695" s="30">
        <f>'Raw data'!P2271</f>
        <v>0</v>
      </c>
      <c r="F2695" s="29" t="e">
        <f>VLOOKUP(E2695,'점포코드 '!A:B,2,0)</f>
        <v>#N/A</v>
      </c>
      <c r="G2695" s="46">
        <f>'Raw data'!F2604</f>
        <v>0</v>
      </c>
      <c r="H2695" s="4">
        <f>'Raw data'!G2604</f>
        <v>0</v>
      </c>
      <c r="I2695" s="29" t="e">
        <f>VLOOKUP(G2695,제품명!$C$1:$E$114,2,0)</f>
        <v>#N/A</v>
      </c>
      <c r="J2695" s="29">
        <f>'Raw data'!K2604</f>
        <v>0</v>
      </c>
      <c r="K2695" s="31">
        <f>'Raw data'!H2604</f>
        <v>0</v>
      </c>
      <c r="L2695" s="26">
        <f t="shared" si="88"/>
        <v>0</v>
      </c>
    </row>
    <row r="2696" spans="2:12">
      <c r="B2696" s="4" t="e">
        <f t="shared" si="87"/>
        <v>#N/A</v>
      </c>
      <c r="C2696" s="4">
        <f>'Raw data'!E2272</f>
        <v>0</v>
      </c>
      <c r="D2696" s="29" t="e">
        <f>VLOOKUP(C2696,'점포코드 '!A:B,2,0)</f>
        <v>#N/A</v>
      </c>
      <c r="E2696" s="30">
        <f>'Raw data'!P2272</f>
        <v>0</v>
      </c>
      <c r="F2696" s="29" t="e">
        <f>VLOOKUP(E2696,'점포코드 '!A:B,2,0)</f>
        <v>#N/A</v>
      </c>
      <c r="G2696" s="46">
        <f>'Raw data'!F2605</f>
        <v>0</v>
      </c>
      <c r="H2696" s="4">
        <f>'Raw data'!G2605</f>
        <v>0</v>
      </c>
      <c r="I2696" s="29" t="e">
        <f>VLOOKUP(G2696,제품명!$C$1:$E$114,2,0)</f>
        <v>#N/A</v>
      </c>
      <c r="J2696" s="29">
        <f>'Raw data'!K2605</f>
        <v>0</v>
      </c>
      <c r="K2696" s="31">
        <f>'Raw data'!H2605</f>
        <v>0</v>
      </c>
      <c r="L2696" s="26">
        <f t="shared" si="88"/>
        <v>0</v>
      </c>
    </row>
    <row r="2697" spans="2:12">
      <c r="B2697" s="4" t="e">
        <f t="shared" si="87"/>
        <v>#N/A</v>
      </c>
      <c r="C2697" s="4">
        <f>'Raw data'!E2273</f>
        <v>0</v>
      </c>
      <c r="D2697" s="29" t="e">
        <f>VLOOKUP(C2697,'점포코드 '!A:B,2,0)</f>
        <v>#N/A</v>
      </c>
      <c r="E2697" s="30">
        <f>'Raw data'!P2273</f>
        <v>0</v>
      </c>
      <c r="F2697" s="29" t="e">
        <f>VLOOKUP(E2697,'점포코드 '!A:B,2,0)</f>
        <v>#N/A</v>
      </c>
      <c r="G2697" s="46">
        <f>'Raw data'!F2606</f>
        <v>0</v>
      </c>
      <c r="H2697" s="4">
        <f>'Raw data'!G2606</f>
        <v>0</v>
      </c>
      <c r="I2697" s="29" t="e">
        <f>VLOOKUP(G2697,제품명!$C$1:$E$114,2,0)</f>
        <v>#N/A</v>
      </c>
      <c r="J2697" s="29">
        <f>'Raw data'!K2606</f>
        <v>0</v>
      </c>
      <c r="K2697" s="31">
        <f>'Raw data'!H2606</f>
        <v>0</v>
      </c>
      <c r="L2697" s="26">
        <f t="shared" si="88"/>
        <v>0</v>
      </c>
    </row>
    <row r="2698" spans="2:12">
      <c r="B2698" s="4" t="e">
        <f t="shared" si="87"/>
        <v>#N/A</v>
      </c>
      <c r="C2698" s="4">
        <f>'Raw data'!E2274</f>
        <v>0</v>
      </c>
      <c r="D2698" s="29" t="e">
        <f>VLOOKUP(C2698,'점포코드 '!A:B,2,0)</f>
        <v>#N/A</v>
      </c>
      <c r="E2698" s="30">
        <f>'Raw data'!P2274</f>
        <v>0</v>
      </c>
      <c r="F2698" s="29" t="e">
        <f>VLOOKUP(E2698,'점포코드 '!A:B,2,0)</f>
        <v>#N/A</v>
      </c>
      <c r="G2698" s="46">
        <f>'Raw data'!F2607</f>
        <v>0</v>
      </c>
      <c r="H2698" s="4">
        <f>'Raw data'!G2607</f>
        <v>0</v>
      </c>
      <c r="I2698" s="29" t="e">
        <f>VLOOKUP(G2698,제품명!$C$1:$E$114,2,0)</f>
        <v>#N/A</v>
      </c>
      <c r="J2698" s="29">
        <f>'Raw data'!K2607</f>
        <v>0</v>
      </c>
      <c r="K2698" s="31">
        <f>'Raw data'!H2607</f>
        <v>0</v>
      </c>
      <c r="L2698" s="26">
        <f t="shared" si="88"/>
        <v>0</v>
      </c>
    </row>
    <row r="2699" spans="2:12">
      <c r="B2699" s="4" t="e">
        <f t="shared" si="87"/>
        <v>#N/A</v>
      </c>
      <c r="C2699" s="4">
        <f>'Raw data'!E2275</f>
        <v>0</v>
      </c>
      <c r="D2699" s="29" t="e">
        <f>VLOOKUP(C2699,'점포코드 '!A:B,2,0)</f>
        <v>#N/A</v>
      </c>
      <c r="E2699" s="30">
        <f>'Raw data'!P2275</f>
        <v>0</v>
      </c>
      <c r="F2699" s="29" t="e">
        <f>VLOOKUP(E2699,'점포코드 '!A:B,2,0)</f>
        <v>#N/A</v>
      </c>
      <c r="G2699" s="46">
        <f>'Raw data'!F2608</f>
        <v>0</v>
      </c>
      <c r="H2699" s="4">
        <f>'Raw data'!G2608</f>
        <v>0</v>
      </c>
      <c r="I2699" s="29" t="e">
        <f>VLOOKUP(G2699,제품명!$C$1:$E$114,2,0)</f>
        <v>#N/A</v>
      </c>
      <c r="J2699" s="29">
        <f>'Raw data'!K2608</f>
        <v>0</v>
      </c>
      <c r="K2699" s="31">
        <f>'Raw data'!H2608</f>
        <v>0</v>
      </c>
      <c r="L2699" s="26">
        <f t="shared" si="88"/>
        <v>0</v>
      </c>
    </row>
    <row r="2700" spans="2:12">
      <c r="B2700" s="4" t="e">
        <f t="shared" si="87"/>
        <v>#N/A</v>
      </c>
      <c r="C2700" s="4">
        <f>'Raw data'!E2276</f>
        <v>0</v>
      </c>
      <c r="D2700" s="29" t="e">
        <f>VLOOKUP(C2700,'점포코드 '!A:B,2,0)</f>
        <v>#N/A</v>
      </c>
      <c r="E2700" s="30">
        <f>'Raw data'!P2276</f>
        <v>0</v>
      </c>
      <c r="F2700" s="29" t="e">
        <f>VLOOKUP(E2700,'점포코드 '!A:B,2,0)</f>
        <v>#N/A</v>
      </c>
      <c r="G2700" s="46">
        <f>'Raw data'!F2609</f>
        <v>0</v>
      </c>
      <c r="H2700" s="4">
        <f>'Raw data'!G2609</f>
        <v>0</v>
      </c>
      <c r="I2700" s="29" t="e">
        <f>VLOOKUP(G2700,제품명!$C$1:$E$114,2,0)</f>
        <v>#N/A</v>
      </c>
      <c r="J2700" s="29">
        <f>'Raw data'!K2609</f>
        <v>0</v>
      </c>
      <c r="K2700" s="31">
        <f>'Raw data'!H2609</f>
        <v>0</v>
      </c>
      <c r="L2700" s="26">
        <f t="shared" si="88"/>
        <v>0</v>
      </c>
    </row>
    <row r="2701" spans="2:12">
      <c r="B2701" s="4" t="e">
        <f t="shared" si="87"/>
        <v>#N/A</v>
      </c>
      <c r="C2701" s="4">
        <f>'Raw data'!E2277</f>
        <v>0</v>
      </c>
      <c r="D2701" s="29" t="e">
        <f>VLOOKUP(C2701,'점포코드 '!A:B,2,0)</f>
        <v>#N/A</v>
      </c>
      <c r="E2701" s="30">
        <f>'Raw data'!P2277</f>
        <v>0</v>
      </c>
      <c r="F2701" s="29" t="e">
        <f>VLOOKUP(E2701,'점포코드 '!A:B,2,0)</f>
        <v>#N/A</v>
      </c>
      <c r="G2701" s="46">
        <f>'Raw data'!F2610</f>
        <v>0</v>
      </c>
      <c r="H2701" s="4">
        <f>'Raw data'!G2610</f>
        <v>0</v>
      </c>
      <c r="I2701" s="29" t="e">
        <f>VLOOKUP(G2701,제품명!$C$1:$E$114,2,0)</f>
        <v>#N/A</v>
      </c>
      <c r="J2701" s="29">
        <f>'Raw data'!K2610</f>
        <v>0</v>
      </c>
      <c r="K2701" s="31">
        <f>'Raw data'!H2610</f>
        <v>0</v>
      </c>
      <c r="L2701" s="26">
        <f t="shared" si="88"/>
        <v>0</v>
      </c>
    </row>
    <row r="2702" spans="2:12">
      <c r="B2702" s="4" t="e">
        <f t="shared" si="87"/>
        <v>#N/A</v>
      </c>
      <c r="C2702" s="4">
        <f>'Raw data'!E2278</f>
        <v>0</v>
      </c>
      <c r="D2702" s="29" t="e">
        <f>VLOOKUP(C2702,'점포코드 '!A:B,2,0)</f>
        <v>#N/A</v>
      </c>
      <c r="E2702" s="30">
        <f>'Raw data'!P2278</f>
        <v>0</v>
      </c>
      <c r="F2702" s="29" t="e">
        <f>VLOOKUP(E2702,'점포코드 '!A:B,2,0)</f>
        <v>#N/A</v>
      </c>
      <c r="G2702" s="46">
        <f>'Raw data'!F2611</f>
        <v>0</v>
      </c>
      <c r="H2702" s="4">
        <f>'Raw data'!G2611</f>
        <v>0</v>
      </c>
      <c r="I2702" s="29" t="e">
        <f>VLOOKUP(G2702,제품명!$C$1:$E$114,2,0)</f>
        <v>#N/A</v>
      </c>
      <c r="J2702" s="29">
        <f>'Raw data'!K2611</f>
        <v>0</v>
      </c>
      <c r="K2702" s="31">
        <f>'Raw data'!H2611</f>
        <v>0</v>
      </c>
      <c r="L2702" s="26">
        <f t="shared" si="88"/>
        <v>0</v>
      </c>
    </row>
    <row r="2703" spans="2:12">
      <c r="B2703" s="4" t="e">
        <f t="shared" si="87"/>
        <v>#N/A</v>
      </c>
      <c r="C2703" s="4">
        <f>'Raw data'!E2279</f>
        <v>0</v>
      </c>
      <c r="D2703" s="29" t="e">
        <f>VLOOKUP(C2703,'점포코드 '!A:B,2,0)</f>
        <v>#N/A</v>
      </c>
      <c r="E2703" s="30">
        <f>'Raw data'!P2279</f>
        <v>0</v>
      </c>
      <c r="F2703" s="29" t="e">
        <f>VLOOKUP(E2703,'점포코드 '!A:B,2,0)</f>
        <v>#N/A</v>
      </c>
      <c r="G2703" s="46">
        <f>'Raw data'!F2612</f>
        <v>0</v>
      </c>
      <c r="H2703" s="4">
        <f>'Raw data'!G2612</f>
        <v>0</v>
      </c>
      <c r="I2703" s="29" t="e">
        <f>VLOOKUP(G2703,제품명!$C$1:$E$114,2,0)</f>
        <v>#N/A</v>
      </c>
      <c r="J2703" s="29">
        <f>'Raw data'!K2612</f>
        <v>0</v>
      </c>
      <c r="K2703" s="31">
        <f>'Raw data'!H2612</f>
        <v>0</v>
      </c>
      <c r="L2703" s="26">
        <f t="shared" si="88"/>
        <v>0</v>
      </c>
    </row>
    <row r="2704" spans="2:12">
      <c r="B2704" s="4" t="e">
        <f t="shared" si="87"/>
        <v>#N/A</v>
      </c>
      <c r="C2704" s="4">
        <f>'Raw data'!E2280</f>
        <v>0</v>
      </c>
      <c r="D2704" s="29" t="e">
        <f>VLOOKUP(C2704,'점포코드 '!A:B,2,0)</f>
        <v>#N/A</v>
      </c>
      <c r="E2704" s="30">
        <f>'Raw data'!P2280</f>
        <v>0</v>
      </c>
      <c r="F2704" s="29" t="e">
        <f>VLOOKUP(E2704,'점포코드 '!A:B,2,0)</f>
        <v>#N/A</v>
      </c>
      <c r="G2704" s="46">
        <f>'Raw data'!F2613</f>
        <v>0</v>
      </c>
      <c r="H2704" s="4">
        <f>'Raw data'!G2613</f>
        <v>0</v>
      </c>
      <c r="I2704" s="29" t="e">
        <f>VLOOKUP(G2704,제품명!$C$1:$E$114,2,0)</f>
        <v>#N/A</v>
      </c>
      <c r="J2704" s="29">
        <f>'Raw data'!K2613</f>
        <v>0</v>
      </c>
      <c r="K2704" s="31">
        <f>'Raw data'!H2613</f>
        <v>0</v>
      </c>
      <c r="L2704" s="26">
        <f t="shared" si="88"/>
        <v>0</v>
      </c>
    </row>
    <row r="2705" spans="2:12">
      <c r="B2705" s="4" t="e">
        <f t="shared" si="87"/>
        <v>#N/A</v>
      </c>
      <c r="C2705" s="4">
        <f>'Raw data'!E2281</f>
        <v>0</v>
      </c>
      <c r="D2705" s="29" t="e">
        <f>VLOOKUP(C2705,'점포코드 '!A:B,2,0)</f>
        <v>#N/A</v>
      </c>
      <c r="E2705" s="30">
        <f>'Raw data'!P2281</f>
        <v>0</v>
      </c>
      <c r="F2705" s="29" t="e">
        <f>VLOOKUP(E2705,'점포코드 '!A:B,2,0)</f>
        <v>#N/A</v>
      </c>
      <c r="G2705" s="46">
        <f>'Raw data'!F2614</f>
        <v>0</v>
      </c>
      <c r="H2705" s="4">
        <f>'Raw data'!G2614</f>
        <v>0</v>
      </c>
      <c r="I2705" s="29" t="e">
        <f>VLOOKUP(G2705,제품명!$C$1:$E$114,2,0)</f>
        <v>#N/A</v>
      </c>
      <c r="J2705" s="29">
        <f>'Raw data'!K2614</f>
        <v>0</v>
      </c>
      <c r="K2705" s="31">
        <f>'Raw data'!H2614</f>
        <v>0</v>
      </c>
      <c r="L2705" s="26">
        <f t="shared" si="88"/>
        <v>0</v>
      </c>
    </row>
    <row r="2706" spans="2:12">
      <c r="B2706" s="4" t="e">
        <f t="shared" si="87"/>
        <v>#N/A</v>
      </c>
      <c r="C2706" s="4">
        <f>'Raw data'!E2282</f>
        <v>0</v>
      </c>
      <c r="D2706" s="29" t="e">
        <f>VLOOKUP(C2706,'점포코드 '!A:B,2,0)</f>
        <v>#N/A</v>
      </c>
      <c r="E2706" s="30">
        <f>'Raw data'!P2282</f>
        <v>0</v>
      </c>
      <c r="F2706" s="29" t="e">
        <f>VLOOKUP(E2706,'점포코드 '!A:B,2,0)</f>
        <v>#N/A</v>
      </c>
      <c r="G2706" s="46">
        <f>'Raw data'!F2615</f>
        <v>0</v>
      </c>
      <c r="H2706" s="4">
        <f>'Raw data'!G2615</f>
        <v>0</v>
      </c>
      <c r="I2706" s="29" t="e">
        <f>VLOOKUP(G2706,제품명!$C$1:$E$114,2,0)</f>
        <v>#N/A</v>
      </c>
      <c r="J2706" s="29">
        <f>'Raw data'!K2615</f>
        <v>0</v>
      </c>
      <c r="K2706" s="31">
        <f>'Raw data'!H2615</f>
        <v>0</v>
      </c>
      <c r="L2706" s="26">
        <f t="shared" si="88"/>
        <v>0</v>
      </c>
    </row>
    <row r="2707" spans="2:12">
      <c r="B2707" s="4" t="e">
        <f t="shared" si="87"/>
        <v>#N/A</v>
      </c>
      <c r="C2707" s="4">
        <f>'Raw data'!E2283</f>
        <v>0</v>
      </c>
      <c r="D2707" s="29" t="e">
        <f>VLOOKUP(C2707,'점포코드 '!A:B,2,0)</f>
        <v>#N/A</v>
      </c>
      <c r="E2707" s="30">
        <f>'Raw data'!P2283</f>
        <v>0</v>
      </c>
      <c r="F2707" s="29" t="e">
        <f>VLOOKUP(E2707,'점포코드 '!A:B,2,0)</f>
        <v>#N/A</v>
      </c>
      <c r="G2707" s="46">
        <f>'Raw data'!F2616</f>
        <v>0</v>
      </c>
      <c r="H2707" s="4">
        <f>'Raw data'!G2616</f>
        <v>0</v>
      </c>
      <c r="I2707" s="29" t="e">
        <f>VLOOKUP(G2707,제품명!$C$1:$E$114,2,0)</f>
        <v>#N/A</v>
      </c>
      <c r="J2707" s="29">
        <f>'Raw data'!K2616</f>
        <v>0</v>
      </c>
      <c r="K2707" s="31">
        <f>'Raw data'!H2616</f>
        <v>0</v>
      </c>
      <c r="L2707" s="26">
        <f t="shared" si="88"/>
        <v>0</v>
      </c>
    </row>
    <row r="2708" spans="2:12">
      <c r="B2708" s="4" t="e">
        <f t="shared" si="87"/>
        <v>#N/A</v>
      </c>
      <c r="C2708" s="4">
        <f>'Raw data'!E2284</f>
        <v>0</v>
      </c>
      <c r="D2708" s="29" t="e">
        <f>VLOOKUP(C2708,'점포코드 '!A:B,2,0)</f>
        <v>#N/A</v>
      </c>
      <c r="E2708" s="30">
        <f>'Raw data'!P2284</f>
        <v>0</v>
      </c>
      <c r="F2708" s="29" t="e">
        <f>VLOOKUP(E2708,'점포코드 '!A:B,2,0)</f>
        <v>#N/A</v>
      </c>
      <c r="G2708" s="46">
        <f>'Raw data'!F2617</f>
        <v>0</v>
      </c>
      <c r="H2708" s="4">
        <f>'Raw data'!G2617</f>
        <v>0</v>
      </c>
      <c r="I2708" s="29" t="e">
        <f>VLOOKUP(G2708,제품명!$C$1:$E$114,2,0)</f>
        <v>#N/A</v>
      </c>
      <c r="J2708" s="29">
        <f>'Raw data'!K2617</f>
        <v>0</v>
      </c>
      <c r="K2708" s="31">
        <f>'Raw data'!H2617</f>
        <v>0</v>
      </c>
      <c r="L2708" s="26">
        <f t="shared" si="88"/>
        <v>0</v>
      </c>
    </row>
    <row r="2709" spans="2:12">
      <c r="B2709" s="4" t="e">
        <f t="shared" si="87"/>
        <v>#N/A</v>
      </c>
      <c r="C2709" s="4">
        <f>'Raw data'!E2285</f>
        <v>0</v>
      </c>
      <c r="D2709" s="29" t="e">
        <f>VLOOKUP(C2709,'점포코드 '!A:B,2,0)</f>
        <v>#N/A</v>
      </c>
      <c r="E2709" s="30">
        <f>'Raw data'!P2285</f>
        <v>0</v>
      </c>
      <c r="F2709" s="29" t="e">
        <f>VLOOKUP(E2709,'점포코드 '!A:B,2,0)</f>
        <v>#N/A</v>
      </c>
      <c r="G2709" s="46">
        <f>'Raw data'!F2618</f>
        <v>0</v>
      </c>
      <c r="H2709" s="4">
        <f>'Raw data'!G2618</f>
        <v>0</v>
      </c>
      <c r="I2709" s="29" t="e">
        <f>VLOOKUP(G2709,제품명!$C$1:$E$114,2,0)</f>
        <v>#N/A</v>
      </c>
      <c r="J2709" s="29">
        <f>'Raw data'!K2618</f>
        <v>0</v>
      </c>
      <c r="K2709" s="31">
        <f>'Raw data'!H2618</f>
        <v>0</v>
      </c>
      <c r="L2709" s="26">
        <f t="shared" si="88"/>
        <v>0</v>
      </c>
    </row>
    <row r="2710" spans="2:12">
      <c r="B2710" s="4" t="e">
        <f t="shared" si="87"/>
        <v>#N/A</v>
      </c>
      <c r="C2710" s="4">
        <f>'Raw data'!E2286</f>
        <v>0</v>
      </c>
      <c r="D2710" s="29" t="e">
        <f>VLOOKUP(C2710,'점포코드 '!A:B,2,0)</f>
        <v>#N/A</v>
      </c>
      <c r="E2710" s="30">
        <f>'Raw data'!P2286</f>
        <v>0</v>
      </c>
      <c r="F2710" s="29" t="e">
        <f>VLOOKUP(E2710,'점포코드 '!A:B,2,0)</f>
        <v>#N/A</v>
      </c>
      <c r="G2710" s="46">
        <f>'Raw data'!F2619</f>
        <v>0</v>
      </c>
      <c r="H2710" s="4">
        <f>'Raw data'!G2619</f>
        <v>0</v>
      </c>
      <c r="I2710" s="29" t="e">
        <f>VLOOKUP(G2710,제품명!$C$1:$E$114,2,0)</f>
        <v>#N/A</v>
      </c>
      <c r="J2710" s="29">
        <f>'Raw data'!K2619</f>
        <v>0</v>
      </c>
      <c r="K2710" s="31">
        <f>'Raw data'!H2619</f>
        <v>0</v>
      </c>
      <c r="L2710" s="26">
        <f t="shared" si="88"/>
        <v>0</v>
      </c>
    </row>
    <row r="2711" spans="2:12">
      <c r="B2711" s="4" t="e">
        <f t="shared" si="87"/>
        <v>#N/A</v>
      </c>
      <c r="C2711" s="4">
        <f>'Raw data'!E2287</f>
        <v>0</v>
      </c>
      <c r="D2711" s="29" t="e">
        <f>VLOOKUP(C2711,'점포코드 '!A:B,2,0)</f>
        <v>#N/A</v>
      </c>
      <c r="E2711" s="30">
        <f>'Raw data'!P2287</f>
        <v>0</v>
      </c>
      <c r="F2711" s="29" t="e">
        <f>VLOOKUP(E2711,'점포코드 '!A:B,2,0)</f>
        <v>#N/A</v>
      </c>
      <c r="G2711" s="46">
        <f>'Raw data'!F2620</f>
        <v>0</v>
      </c>
      <c r="H2711" s="4">
        <f>'Raw data'!G2620</f>
        <v>0</v>
      </c>
      <c r="I2711" s="29" t="e">
        <f>VLOOKUP(G2711,제품명!$C$1:$E$114,2,0)</f>
        <v>#N/A</v>
      </c>
      <c r="J2711" s="29">
        <f>'Raw data'!K2620</f>
        <v>0</v>
      </c>
      <c r="K2711" s="31">
        <f>'Raw data'!H2620</f>
        <v>0</v>
      </c>
      <c r="L2711" s="26">
        <f t="shared" si="88"/>
        <v>0</v>
      </c>
    </row>
    <row r="2712" spans="2:12">
      <c r="B2712" s="4" t="e">
        <f t="shared" si="87"/>
        <v>#N/A</v>
      </c>
      <c r="C2712" s="4">
        <f>'Raw data'!E2288</f>
        <v>0</v>
      </c>
      <c r="D2712" s="29" t="e">
        <f>VLOOKUP(C2712,'점포코드 '!A:B,2,0)</f>
        <v>#N/A</v>
      </c>
      <c r="E2712" s="30">
        <f>'Raw data'!P2288</f>
        <v>0</v>
      </c>
      <c r="F2712" s="29" t="e">
        <f>VLOOKUP(E2712,'점포코드 '!A:B,2,0)</f>
        <v>#N/A</v>
      </c>
      <c r="G2712" s="46">
        <f>'Raw data'!F2621</f>
        <v>0</v>
      </c>
      <c r="H2712" s="4">
        <f>'Raw data'!G2621</f>
        <v>0</v>
      </c>
      <c r="I2712" s="29" t="e">
        <f>VLOOKUP(G2712,제품명!$C$1:$E$114,2,0)</f>
        <v>#N/A</v>
      </c>
      <c r="J2712" s="29">
        <f>'Raw data'!K2621</f>
        <v>0</v>
      </c>
      <c r="K2712" s="31">
        <f>'Raw data'!H2621</f>
        <v>0</v>
      </c>
      <c r="L2712" s="26">
        <f t="shared" si="88"/>
        <v>0</v>
      </c>
    </row>
    <row r="2713" spans="2:12">
      <c r="B2713" s="4" t="e">
        <f t="shared" si="87"/>
        <v>#N/A</v>
      </c>
      <c r="C2713" s="4">
        <f>'Raw data'!E2289</f>
        <v>0</v>
      </c>
      <c r="D2713" s="29" t="e">
        <f>VLOOKUP(C2713,'점포코드 '!A:B,2,0)</f>
        <v>#N/A</v>
      </c>
      <c r="E2713" s="30">
        <f>'Raw data'!P2289</f>
        <v>0</v>
      </c>
      <c r="F2713" s="29" t="e">
        <f>VLOOKUP(E2713,'점포코드 '!A:B,2,0)</f>
        <v>#N/A</v>
      </c>
      <c r="G2713" s="46">
        <f>'Raw data'!F2622</f>
        <v>0</v>
      </c>
      <c r="H2713" s="4">
        <f>'Raw data'!G2622</f>
        <v>0</v>
      </c>
      <c r="I2713" s="29" t="e">
        <f>VLOOKUP(G2713,제품명!$C$1:$E$114,2,0)</f>
        <v>#N/A</v>
      </c>
      <c r="J2713" s="29">
        <f>'Raw data'!K2622</f>
        <v>0</v>
      </c>
      <c r="K2713" s="31">
        <f>'Raw data'!H2622</f>
        <v>0</v>
      </c>
      <c r="L2713" s="26">
        <f t="shared" si="88"/>
        <v>0</v>
      </c>
    </row>
    <row r="2714" spans="2:12">
      <c r="B2714" s="4" t="e">
        <f t="shared" si="87"/>
        <v>#N/A</v>
      </c>
      <c r="C2714" s="4">
        <f>'Raw data'!E2290</f>
        <v>0</v>
      </c>
      <c r="D2714" s="29" t="e">
        <f>VLOOKUP(C2714,'점포코드 '!A:B,2,0)</f>
        <v>#N/A</v>
      </c>
      <c r="E2714" s="30">
        <f>'Raw data'!P2290</f>
        <v>0</v>
      </c>
      <c r="F2714" s="29" t="e">
        <f>VLOOKUP(E2714,'점포코드 '!A:B,2,0)</f>
        <v>#N/A</v>
      </c>
      <c r="G2714" s="46">
        <f>'Raw data'!F2623</f>
        <v>0</v>
      </c>
      <c r="H2714" s="4">
        <f>'Raw data'!G2623</f>
        <v>0</v>
      </c>
      <c r="I2714" s="29" t="e">
        <f>VLOOKUP(G2714,제품명!$C$1:$E$114,2,0)</f>
        <v>#N/A</v>
      </c>
      <c r="J2714" s="29">
        <f>'Raw data'!K2623</f>
        <v>0</v>
      </c>
      <c r="K2714" s="31">
        <f>'Raw data'!H2623</f>
        <v>0</v>
      </c>
      <c r="L2714" s="26">
        <f t="shared" si="88"/>
        <v>0</v>
      </c>
    </row>
    <row r="2715" spans="2:12">
      <c r="B2715" s="4" t="e">
        <f t="shared" si="87"/>
        <v>#N/A</v>
      </c>
      <c r="C2715" s="4">
        <f>'Raw data'!E2291</f>
        <v>0</v>
      </c>
      <c r="D2715" s="29" t="e">
        <f>VLOOKUP(C2715,'점포코드 '!A:B,2,0)</f>
        <v>#N/A</v>
      </c>
      <c r="E2715" s="30">
        <f>'Raw data'!P2291</f>
        <v>0</v>
      </c>
      <c r="F2715" s="29" t="e">
        <f>VLOOKUP(E2715,'점포코드 '!A:B,2,0)</f>
        <v>#N/A</v>
      </c>
      <c r="G2715" s="46">
        <f>'Raw data'!F2624</f>
        <v>0</v>
      </c>
      <c r="H2715" s="4">
        <f>'Raw data'!G2624</f>
        <v>0</v>
      </c>
      <c r="I2715" s="29" t="e">
        <f>VLOOKUP(G2715,제품명!$C$1:$E$114,2,0)</f>
        <v>#N/A</v>
      </c>
      <c r="J2715" s="29">
        <f>'Raw data'!K2624</f>
        <v>0</v>
      </c>
      <c r="K2715" s="31">
        <f>'Raw data'!H2624</f>
        <v>0</v>
      </c>
      <c r="L2715" s="26">
        <f t="shared" si="88"/>
        <v>0</v>
      </c>
    </row>
    <row r="2716" spans="2:12">
      <c r="B2716" s="4" t="e">
        <f t="shared" si="87"/>
        <v>#N/A</v>
      </c>
      <c r="C2716" s="4">
        <f>'Raw data'!E2292</f>
        <v>0</v>
      </c>
      <c r="D2716" s="29" t="e">
        <f>VLOOKUP(C2716,'점포코드 '!A:B,2,0)</f>
        <v>#N/A</v>
      </c>
      <c r="E2716" s="30">
        <f>'Raw data'!P2292</f>
        <v>0</v>
      </c>
      <c r="F2716" s="29" t="e">
        <f>VLOOKUP(E2716,'점포코드 '!A:B,2,0)</f>
        <v>#N/A</v>
      </c>
      <c r="G2716" s="46">
        <f>'Raw data'!F2625</f>
        <v>0</v>
      </c>
      <c r="H2716" s="4">
        <f>'Raw data'!G2625</f>
        <v>0</v>
      </c>
      <c r="I2716" s="29" t="e">
        <f>VLOOKUP(G2716,제품명!$C$1:$E$114,2,0)</f>
        <v>#N/A</v>
      </c>
      <c r="J2716" s="29">
        <f>'Raw data'!K2625</f>
        <v>0</v>
      </c>
      <c r="K2716" s="31">
        <f>'Raw data'!H2625</f>
        <v>0</v>
      </c>
      <c r="L2716" s="26">
        <f t="shared" si="88"/>
        <v>0</v>
      </c>
    </row>
    <row r="2717" spans="2:12">
      <c r="B2717" s="4" t="e">
        <f t="shared" si="87"/>
        <v>#N/A</v>
      </c>
      <c r="C2717" s="4">
        <f>'Raw data'!E2293</f>
        <v>0</v>
      </c>
      <c r="D2717" s="29" t="e">
        <f>VLOOKUP(C2717,'점포코드 '!A:B,2,0)</f>
        <v>#N/A</v>
      </c>
      <c r="E2717" s="30">
        <f>'Raw data'!P2293</f>
        <v>0</v>
      </c>
      <c r="F2717" s="29" t="e">
        <f>VLOOKUP(E2717,'점포코드 '!A:B,2,0)</f>
        <v>#N/A</v>
      </c>
      <c r="G2717" s="46">
        <f>'Raw data'!F2626</f>
        <v>0</v>
      </c>
      <c r="H2717" s="4">
        <f>'Raw data'!G2626</f>
        <v>0</v>
      </c>
      <c r="I2717" s="29" t="e">
        <f>VLOOKUP(G2717,제품명!$C$1:$E$114,2,0)</f>
        <v>#N/A</v>
      </c>
      <c r="J2717" s="29">
        <f>'Raw data'!K2626</f>
        <v>0</v>
      </c>
      <c r="K2717" s="31">
        <f>'Raw data'!H2626</f>
        <v>0</v>
      </c>
      <c r="L2717" s="26">
        <f t="shared" si="88"/>
        <v>0</v>
      </c>
    </row>
    <row r="2718" spans="2:12">
      <c r="B2718" s="4" t="e">
        <f t="shared" si="87"/>
        <v>#N/A</v>
      </c>
      <c r="C2718" s="4">
        <f>'Raw data'!E2294</f>
        <v>0</v>
      </c>
      <c r="D2718" s="29" t="e">
        <f>VLOOKUP(C2718,'점포코드 '!A:B,2,0)</f>
        <v>#N/A</v>
      </c>
      <c r="E2718" s="30">
        <f>'Raw data'!P2294</f>
        <v>0</v>
      </c>
      <c r="F2718" s="29" t="e">
        <f>VLOOKUP(E2718,'점포코드 '!A:B,2,0)</f>
        <v>#N/A</v>
      </c>
      <c r="G2718" s="46">
        <f>'Raw data'!F2627</f>
        <v>0</v>
      </c>
      <c r="H2718" s="4">
        <f>'Raw data'!G2627</f>
        <v>0</v>
      </c>
      <c r="I2718" s="29" t="e">
        <f>VLOOKUP(G2718,제품명!$C$1:$E$114,2,0)</f>
        <v>#N/A</v>
      </c>
      <c r="J2718" s="29">
        <f>'Raw data'!K2627</f>
        <v>0</v>
      </c>
      <c r="K2718" s="31">
        <f>'Raw data'!H2627</f>
        <v>0</v>
      </c>
      <c r="L2718" s="26">
        <f t="shared" si="88"/>
        <v>0</v>
      </c>
    </row>
    <row r="2719" spans="2:12">
      <c r="B2719" s="4" t="e">
        <f t="shared" si="87"/>
        <v>#N/A</v>
      </c>
      <c r="C2719" s="4">
        <f>'Raw data'!E2295</f>
        <v>0</v>
      </c>
      <c r="D2719" s="29" t="e">
        <f>VLOOKUP(C2719,'점포코드 '!A:B,2,0)</f>
        <v>#N/A</v>
      </c>
      <c r="E2719" s="30">
        <f>'Raw data'!P2295</f>
        <v>0</v>
      </c>
      <c r="F2719" s="29" t="e">
        <f>VLOOKUP(E2719,'점포코드 '!A:B,2,0)</f>
        <v>#N/A</v>
      </c>
      <c r="G2719" s="46">
        <f>'Raw data'!F2628</f>
        <v>0</v>
      </c>
      <c r="H2719" s="4">
        <f>'Raw data'!G2628</f>
        <v>0</v>
      </c>
      <c r="I2719" s="29" t="e">
        <f>VLOOKUP(G2719,제품명!$C$1:$E$114,2,0)</f>
        <v>#N/A</v>
      </c>
      <c r="J2719" s="29">
        <f>'Raw data'!K2628</f>
        <v>0</v>
      </c>
      <c r="K2719" s="31">
        <f>'Raw data'!H2628</f>
        <v>0</v>
      </c>
      <c r="L2719" s="26">
        <f t="shared" si="88"/>
        <v>0</v>
      </c>
    </row>
    <row r="2720" spans="2:12">
      <c r="B2720" s="4" t="e">
        <f t="shared" si="87"/>
        <v>#N/A</v>
      </c>
      <c r="C2720" s="4">
        <f>'Raw data'!E2296</f>
        <v>0</v>
      </c>
      <c r="D2720" s="29" t="e">
        <f>VLOOKUP(C2720,'점포코드 '!A:B,2,0)</f>
        <v>#N/A</v>
      </c>
      <c r="E2720" s="30">
        <f>'Raw data'!P2296</f>
        <v>0</v>
      </c>
      <c r="F2720" s="29" t="e">
        <f>VLOOKUP(E2720,'점포코드 '!A:B,2,0)</f>
        <v>#N/A</v>
      </c>
      <c r="G2720" s="46">
        <f>'Raw data'!F2629</f>
        <v>0</v>
      </c>
      <c r="H2720" s="4">
        <f>'Raw data'!G2629</f>
        <v>0</v>
      </c>
      <c r="I2720" s="29" t="e">
        <f>VLOOKUP(G2720,제품명!$C$1:$E$114,2,0)</f>
        <v>#N/A</v>
      </c>
      <c r="J2720" s="29">
        <f>'Raw data'!K2629</f>
        <v>0</v>
      </c>
      <c r="K2720" s="31">
        <f>'Raw data'!H2629</f>
        <v>0</v>
      </c>
      <c r="L2720" s="26">
        <f t="shared" si="88"/>
        <v>0</v>
      </c>
    </row>
    <row r="2721" spans="2:12">
      <c r="B2721" s="4" t="e">
        <f t="shared" si="87"/>
        <v>#N/A</v>
      </c>
      <c r="C2721" s="4">
        <f>'Raw data'!E2297</f>
        <v>0</v>
      </c>
      <c r="D2721" s="29" t="e">
        <f>VLOOKUP(C2721,'점포코드 '!A:B,2,0)</f>
        <v>#N/A</v>
      </c>
      <c r="E2721" s="30">
        <f>'Raw data'!P2297</f>
        <v>0</v>
      </c>
      <c r="F2721" s="29" t="e">
        <f>VLOOKUP(E2721,'점포코드 '!A:B,2,0)</f>
        <v>#N/A</v>
      </c>
      <c r="G2721" s="46">
        <f>'Raw data'!F2630</f>
        <v>0</v>
      </c>
      <c r="H2721" s="4">
        <f>'Raw data'!G2630</f>
        <v>0</v>
      </c>
      <c r="I2721" s="29" t="e">
        <f>VLOOKUP(G2721,제품명!$C$1:$E$114,2,0)</f>
        <v>#N/A</v>
      </c>
      <c r="J2721" s="29">
        <f>'Raw data'!K2630</f>
        <v>0</v>
      </c>
      <c r="K2721" s="31">
        <f>'Raw data'!H2630</f>
        <v>0</v>
      </c>
      <c r="L2721" s="26">
        <f t="shared" si="88"/>
        <v>0</v>
      </c>
    </row>
    <row r="2722" spans="2:12">
      <c r="B2722" s="4" t="e">
        <f t="shared" si="87"/>
        <v>#N/A</v>
      </c>
      <c r="C2722" s="4">
        <f>'Raw data'!E2298</f>
        <v>0</v>
      </c>
      <c r="D2722" s="29" t="e">
        <f>VLOOKUP(C2722,'점포코드 '!A:B,2,0)</f>
        <v>#N/A</v>
      </c>
      <c r="E2722" s="30">
        <f>'Raw data'!P2298</f>
        <v>0</v>
      </c>
      <c r="F2722" s="29" t="e">
        <f>VLOOKUP(E2722,'점포코드 '!A:B,2,0)</f>
        <v>#N/A</v>
      </c>
      <c r="G2722" s="46">
        <f>'Raw data'!F2631</f>
        <v>0</v>
      </c>
      <c r="H2722" s="4">
        <f>'Raw data'!G2631</f>
        <v>0</v>
      </c>
      <c r="I2722" s="29" t="e">
        <f>VLOOKUP(G2722,제품명!$C$1:$E$114,2,0)</f>
        <v>#N/A</v>
      </c>
      <c r="J2722" s="29">
        <f>'Raw data'!K2631</f>
        <v>0</v>
      </c>
      <c r="K2722" s="31">
        <f>'Raw data'!H2631</f>
        <v>0</v>
      </c>
      <c r="L2722" s="26">
        <f t="shared" si="88"/>
        <v>0</v>
      </c>
    </row>
    <row r="2723" spans="2:12">
      <c r="B2723" s="4" t="e">
        <f t="shared" si="87"/>
        <v>#N/A</v>
      </c>
      <c r="C2723" s="4">
        <f>'Raw data'!E2299</f>
        <v>0</v>
      </c>
      <c r="D2723" s="29" t="e">
        <f>VLOOKUP(C2723,'점포코드 '!A:B,2,0)</f>
        <v>#N/A</v>
      </c>
      <c r="E2723" s="30">
        <f>'Raw data'!P2299</f>
        <v>0</v>
      </c>
      <c r="F2723" s="29" t="e">
        <f>VLOOKUP(E2723,'점포코드 '!A:B,2,0)</f>
        <v>#N/A</v>
      </c>
      <c r="G2723" s="46">
        <f>'Raw data'!F2632</f>
        <v>0</v>
      </c>
      <c r="H2723" s="4">
        <f>'Raw data'!G2632</f>
        <v>0</v>
      </c>
      <c r="I2723" s="29" t="e">
        <f>VLOOKUP(G2723,제품명!$C$1:$E$114,2,0)</f>
        <v>#N/A</v>
      </c>
      <c r="J2723" s="29">
        <f>'Raw data'!K2632</f>
        <v>0</v>
      </c>
      <c r="K2723" s="31">
        <f>'Raw data'!H2632</f>
        <v>0</v>
      </c>
      <c r="L2723" s="26">
        <f t="shared" si="88"/>
        <v>0</v>
      </c>
    </row>
    <row r="2724" spans="2:12">
      <c r="B2724" s="4" t="e">
        <f t="shared" si="87"/>
        <v>#N/A</v>
      </c>
      <c r="C2724" s="4">
        <f>'Raw data'!E2300</f>
        <v>0</v>
      </c>
      <c r="D2724" s="29" t="e">
        <f>VLOOKUP(C2724,'점포코드 '!A:B,2,0)</f>
        <v>#N/A</v>
      </c>
      <c r="E2724" s="30">
        <f>'Raw data'!P2300</f>
        <v>0</v>
      </c>
      <c r="F2724" s="29" t="e">
        <f>VLOOKUP(E2724,'점포코드 '!A:B,2,0)</f>
        <v>#N/A</v>
      </c>
      <c r="G2724" s="46">
        <f>'Raw data'!F2633</f>
        <v>0</v>
      </c>
      <c r="H2724" s="4">
        <f>'Raw data'!G2633</f>
        <v>0</v>
      </c>
      <c r="I2724" s="29" t="e">
        <f>VLOOKUP(G2724,제품명!$C$1:$E$114,2,0)</f>
        <v>#N/A</v>
      </c>
      <c r="J2724" s="29">
        <f>'Raw data'!K2633</f>
        <v>0</v>
      </c>
      <c r="K2724" s="31">
        <f>'Raw data'!H2633</f>
        <v>0</v>
      </c>
      <c r="L2724" s="26">
        <f t="shared" si="88"/>
        <v>0</v>
      </c>
    </row>
    <row r="2725" spans="2:12">
      <c r="B2725" s="4" t="e">
        <f t="shared" si="87"/>
        <v>#N/A</v>
      </c>
      <c r="C2725" s="4">
        <f>'Raw data'!E2301</f>
        <v>0</v>
      </c>
      <c r="D2725" s="29" t="e">
        <f>VLOOKUP(C2725,'점포코드 '!A:B,2,0)</f>
        <v>#N/A</v>
      </c>
      <c r="E2725" s="30">
        <f>'Raw data'!P2301</f>
        <v>0</v>
      </c>
      <c r="F2725" s="29" t="e">
        <f>VLOOKUP(E2725,'점포코드 '!A:B,2,0)</f>
        <v>#N/A</v>
      </c>
      <c r="G2725" s="46">
        <f>'Raw data'!F2634</f>
        <v>0</v>
      </c>
      <c r="H2725" s="4">
        <f>'Raw data'!G2634</f>
        <v>0</v>
      </c>
      <c r="I2725" s="29" t="e">
        <f>VLOOKUP(G2725,제품명!$C$1:$E$114,2,0)</f>
        <v>#N/A</v>
      </c>
      <c r="J2725" s="29">
        <f>'Raw data'!K2634</f>
        <v>0</v>
      </c>
      <c r="K2725" s="31">
        <f>'Raw data'!H2634</f>
        <v>0</v>
      </c>
      <c r="L2725" s="26">
        <f t="shared" si="88"/>
        <v>0</v>
      </c>
    </row>
    <row r="2726" spans="2:12">
      <c r="B2726" s="4" t="e">
        <f t="shared" si="87"/>
        <v>#N/A</v>
      </c>
      <c r="C2726" s="4">
        <f>'Raw data'!E2302</f>
        <v>0</v>
      </c>
      <c r="D2726" s="29" t="e">
        <f>VLOOKUP(C2726,'점포코드 '!A:B,2,0)</f>
        <v>#N/A</v>
      </c>
      <c r="E2726" s="30">
        <f>'Raw data'!P2302</f>
        <v>0</v>
      </c>
      <c r="F2726" s="29" t="e">
        <f>VLOOKUP(E2726,'점포코드 '!A:B,2,0)</f>
        <v>#N/A</v>
      </c>
      <c r="G2726" s="46">
        <f>'Raw data'!F2635</f>
        <v>0</v>
      </c>
      <c r="H2726" s="4">
        <f>'Raw data'!G2635</f>
        <v>0</v>
      </c>
      <c r="I2726" s="29" t="e">
        <f>VLOOKUP(G2726,제품명!$C$1:$E$114,2,0)</f>
        <v>#N/A</v>
      </c>
      <c r="J2726" s="29">
        <f>'Raw data'!K2635</f>
        <v>0</v>
      </c>
      <c r="K2726" s="31">
        <f>'Raw data'!H2635</f>
        <v>0</v>
      </c>
      <c r="L2726" s="26">
        <f t="shared" si="88"/>
        <v>0</v>
      </c>
    </row>
    <row r="2727" spans="2:12">
      <c r="B2727" s="4" t="e">
        <f t="shared" si="87"/>
        <v>#N/A</v>
      </c>
      <c r="C2727" s="4">
        <f>'Raw data'!E2303</f>
        <v>0</v>
      </c>
      <c r="D2727" s="29" t="e">
        <f>VLOOKUP(C2727,'점포코드 '!A:B,2,0)</f>
        <v>#N/A</v>
      </c>
      <c r="E2727" s="30">
        <f>'Raw data'!P2303</f>
        <v>0</v>
      </c>
      <c r="F2727" s="29" t="e">
        <f>VLOOKUP(E2727,'점포코드 '!A:B,2,0)</f>
        <v>#N/A</v>
      </c>
      <c r="G2727" s="46">
        <f>'Raw data'!F2636</f>
        <v>0</v>
      </c>
      <c r="H2727" s="4">
        <f>'Raw data'!G2636</f>
        <v>0</v>
      </c>
      <c r="I2727" s="29" t="e">
        <f>VLOOKUP(G2727,제품명!$C$1:$E$114,2,0)</f>
        <v>#N/A</v>
      </c>
      <c r="J2727" s="29">
        <f>'Raw data'!K2636</f>
        <v>0</v>
      </c>
      <c r="K2727" s="31">
        <f>'Raw data'!H2636</f>
        <v>0</v>
      </c>
      <c r="L2727" s="26">
        <f t="shared" si="88"/>
        <v>0</v>
      </c>
    </row>
    <row r="2728" spans="2:12">
      <c r="B2728" s="4" t="e">
        <f t="shared" si="87"/>
        <v>#N/A</v>
      </c>
      <c r="C2728" s="4">
        <f>'Raw data'!E2304</f>
        <v>0</v>
      </c>
      <c r="D2728" s="29" t="e">
        <f>VLOOKUP(C2728,'점포코드 '!A:B,2,0)</f>
        <v>#N/A</v>
      </c>
      <c r="E2728" s="30">
        <f>'Raw data'!P2304</f>
        <v>0</v>
      </c>
      <c r="F2728" s="29" t="e">
        <f>VLOOKUP(E2728,'점포코드 '!A:B,2,0)</f>
        <v>#N/A</v>
      </c>
      <c r="G2728" s="46">
        <f>'Raw data'!F2637</f>
        <v>0</v>
      </c>
      <c r="H2728" s="4">
        <f>'Raw data'!G2637</f>
        <v>0</v>
      </c>
      <c r="I2728" s="29" t="e">
        <f>VLOOKUP(G2728,제품명!$C$1:$E$114,2,0)</f>
        <v>#N/A</v>
      </c>
      <c r="J2728" s="29">
        <f>'Raw data'!K2637</f>
        <v>0</v>
      </c>
      <c r="K2728" s="31">
        <f>'Raw data'!H2637</f>
        <v>0</v>
      </c>
      <c r="L2728" s="26">
        <f t="shared" si="88"/>
        <v>0</v>
      </c>
    </row>
    <row r="2729" spans="2:12">
      <c r="B2729" s="4" t="e">
        <f t="shared" si="87"/>
        <v>#N/A</v>
      </c>
      <c r="C2729" s="4">
        <f>'Raw data'!E2305</f>
        <v>0</v>
      </c>
      <c r="D2729" s="29" t="e">
        <f>VLOOKUP(C2729,'점포코드 '!A:B,2,0)</f>
        <v>#N/A</v>
      </c>
      <c r="E2729" s="30">
        <f>'Raw data'!P2305</f>
        <v>0</v>
      </c>
      <c r="F2729" s="29" t="e">
        <f>VLOOKUP(E2729,'점포코드 '!A:B,2,0)</f>
        <v>#N/A</v>
      </c>
      <c r="G2729" s="46">
        <f>'Raw data'!F2638</f>
        <v>0</v>
      </c>
      <c r="H2729" s="4">
        <f>'Raw data'!G2638</f>
        <v>0</v>
      </c>
      <c r="I2729" s="29" t="e">
        <f>VLOOKUP(G2729,제품명!$C$1:$E$114,2,0)</f>
        <v>#N/A</v>
      </c>
      <c r="J2729" s="29">
        <f>'Raw data'!K2638</f>
        <v>0</v>
      </c>
      <c r="K2729" s="31">
        <f>'Raw data'!H2638</f>
        <v>0</v>
      </c>
      <c r="L2729" s="26">
        <f t="shared" si="88"/>
        <v>0</v>
      </c>
    </row>
    <row r="2730" spans="2:12">
      <c r="B2730" s="4" t="e">
        <f t="shared" si="87"/>
        <v>#N/A</v>
      </c>
      <c r="C2730" s="4">
        <f>'Raw data'!E2306</f>
        <v>0</v>
      </c>
      <c r="D2730" s="29" t="e">
        <f>VLOOKUP(C2730,'점포코드 '!A:B,2,0)</f>
        <v>#N/A</v>
      </c>
      <c r="E2730" s="30">
        <f>'Raw data'!P2306</f>
        <v>0</v>
      </c>
      <c r="F2730" s="29" t="e">
        <f>VLOOKUP(E2730,'점포코드 '!A:B,2,0)</f>
        <v>#N/A</v>
      </c>
      <c r="G2730" s="46">
        <f>'Raw data'!F2639</f>
        <v>0</v>
      </c>
      <c r="H2730" s="4">
        <f>'Raw data'!G2639</f>
        <v>0</v>
      </c>
      <c r="I2730" s="29" t="e">
        <f>VLOOKUP(G2730,제품명!$C$1:$E$114,2,0)</f>
        <v>#N/A</v>
      </c>
      <c r="J2730" s="29">
        <f>'Raw data'!K2639</f>
        <v>0</v>
      </c>
      <c r="K2730" s="31">
        <f>'Raw data'!H2639</f>
        <v>0</v>
      </c>
      <c r="L2730" s="26">
        <f t="shared" si="88"/>
        <v>0</v>
      </c>
    </row>
    <row r="2731" spans="2:12">
      <c r="B2731" s="4" t="e">
        <f t="shared" si="87"/>
        <v>#N/A</v>
      </c>
      <c r="C2731" s="4">
        <f>'Raw data'!E2307</f>
        <v>0</v>
      </c>
      <c r="D2731" s="29" t="e">
        <f>VLOOKUP(C2731,'점포코드 '!A:B,2,0)</f>
        <v>#N/A</v>
      </c>
      <c r="E2731" s="30">
        <f>'Raw data'!P2307</f>
        <v>0</v>
      </c>
      <c r="F2731" s="29" t="e">
        <f>VLOOKUP(E2731,'점포코드 '!A:B,2,0)</f>
        <v>#N/A</v>
      </c>
      <c r="G2731" s="46">
        <f>'Raw data'!F2640</f>
        <v>0</v>
      </c>
      <c r="H2731" s="4">
        <f>'Raw data'!G2640</f>
        <v>0</v>
      </c>
      <c r="I2731" s="29" t="e">
        <f>VLOOKUP(G2731,제품명!$C$1:$E$114,2,0)</f>
        <v>#N/A</v>
      </c>
      <c r="J2731" s="29">
        <f>'Raw data'!K2640</f>
        <v>0</v>
      </c>
      <c r="K2731" s="31">
        <f>'Raw data'!H2640</f>
        <v>0</v>
      </c>
      <c r="L2731" s="26">
        <f t="shared" si="88"/>
        <v>0</v>
      </c>
    </row>
    <row r="2732" spans="2:12">
      <c r="B2732" s="4" t="e">
        <f t="shared" si="87"/>
        <v>#N/A</v>
      </c>
      <c r="C2732" s="4">
        <f>'Raw data'!E2308</f>
        <v>0</v>
      </c>
      <c r="D2732" s="29" t="e">
        <f>VLOOKUP(C2732,'점포코드 '!A:B,2,0)</f>
        <v>#N/A</v>
      </c>
      <c r="E2732" s="30">
        <f>'Raw data'!P2308</f>
        <v>0</v>
      </c>
      <c r="F2732" s="29" t="e">
        <f>VLOOKUP(E2732,'점포코드 '!A:B,2,0)</f>
        <v>#N/A</v>
      </c>
      <c r="G2732" s="46">
        <f>'Raw data'!F2641</f>
        <v>0</v>
      </c>
      <c r="H2732" s="4">
        <f>'Raw data'!G2641</f>
        <v>0</v>
      </c>
      <c r="I2732" s="29" t="e">
        <f>VLOOKUP(G2732,제품명!$C$1:$E$114,2,0)</f>
        <v>#N/A</v>
      </c>
      <c r="J2732" s="29">
        <f>'Raw data'!K2641</f>
        <v>0</v>
      </c>
      <c r="K2732" s="31">
        <f>'Raw data'!H2641</f>
        <v>0</v>
      </c>
      <c r="L2732" s="26">
        <f t="shared" si="88"/>
        <v>0</v>
      </c>
    </row>
    <row r="2733" spans="2:12">
      <c r="B2733" s="4" t="e">
        <f t="shared" si="87"/>
        <v>#N/A</v>
      </c>
      <c r="C2733" s="4">
        <f>'Raw data'!E2309</f>
        <v>0</v>
      </c>
      <c r="D2733" s="29" t="e">
        <f>VLOOKUP(C2733,'점포코드 '!A:B,2,0)</f>
        <v>#N/A</v>
      </c>
      <c r="E2733" s="30">
        <f>'Raw data'!P2309</f>
        <v>0</v>
      </c>
      <c r="F2733" s="29" t="e">
        <f>VLOOKUP(E2733,'점포코드 '!A:B,2,0)</f>
        <v>#N/A</v>
      </c>
      <c r="G2733" s="46">
        <f>'Raw data'!F2642</f>
        <v>0</v>
      </c>
      <c r="H2733" s="4">
        <f>'Raw data'!G2642</f>
        <v>0</v>
      </c>
      <c r="I2733" s="29" t="e">
        <f>VLOOKUP(G2733,제품명!$C$1:$E$114,2,0)</f>
        <v>#N/A</v>
      </c>
      <c r="J2733" s="29">
        <f>'Raw data'!K2642</f>
        <v>0</v>
      </c>
      <c r="K2733" s="31">
        <f>'Raw data'!H2642</f>
        <v>0</v>
      </c>
      <c r="L2733" s="26">
        <f t="shared" si="88"/>
        <v>0</v>
      </c>
    </row>
    <row r="2734" spans="2:12">
      <c r="B2734" s="4" t="e">
        <f t="shared" si="87"/>
        <v>#N/A</v>
      </c>
      <c r="C2734" s="4">
        <f>'Raw data'!E2310</f>
        <v>0</v>
      </c>
      <c r="D2734" s="29" t="e">
        <f>VLOOKUP(C2734,'점포코드 '!A:B,2,0)</f>
        <v>#N/A</v>
      </c>
      <c r="E2734" s="30">
        <f>'Raw data'!P2310</f>
        <v>0</v>
      </c>
      <c r="F2734" s="29" t="e">
        <f>VLOOKUP(E2734,'점포코드 '!A:B,2,0)</f>
        <v>#N/A</v>
      </c>
      <c r="G2734" s="46">
        <f>'Raw data'!F2643</f>
        <v>0</v>
      </c>
      <c r="H2734" s="4">
        <f>'Raw data'!G2643</f>
        <v>0</v>
      </c>
      <c r="I2734" s="29" t="e">
        <f>VLOOKUP(G2734,제품명!$C$1:$E$114,2,0)</f>
        <v>#N/A</v>
      </c>
      <c r="J2734" s="29">
        <f>'Raw data'!K2643</f>
        <v>0</v>
      </c>
      <c r="K2734" s="31">
        <f>'Raw data'!H2643</f>
        <v>0</v>
      </c>
      <c r="L2734" s="26">
        <f t="shared" si="88"/>
        <v>0</v>
      </c>
    </row>
    <row r="2735" spans="2:12">
      <c r="B2735" s="4" t="e">
        <f t="shared" si="87"/>
        <v>#N/A</v>
      </c>
      <c r="C2735" s="4">
        <f>'Raw data'!E2311</f>
        <v>0</v>
      </c>
      <c r="D2735" s="29" t="e">
        <f>VLOOKUP(C2735,'점포코드 '!A:B,2,0)</f>
        <v>#N/A</v>
      </c>
      <c r="E2735" s="30">
        <f>'Raw data'!P2311</f>
        <v>0</v>
      </c>
      <c r="F2735" s="29" t="e">
        <f>VLOOKUP(E2735,'점포코드 '!A:B,2,0)</f>
        <v>#N/A</v>
      </c>
      <c r="G2735" s="46">
        <f>'Raw data'!F2644</f>
        <v>0</v>
      </c>
      <c r="H2735" s="4">
        <f>'Raw data'!G2644</f>
        <v>0</v>
      </c>
      <c r="I2735" s="29" t="e">
        <f>VLOOKUP(G2735,제품명!$C$1:$E$114,2,0)</f>
        <v>#N/A</v>
      </c>
      <c r="J2735" s="29">
        <f>'Raw data'!K2644</f>
        <v>0</v>
      </c>
      <c r="K2735" s="31">
        <f>'Raw data'!H2644</f>
        <v>0</v>
      </c>
      <c r="L2735" s="26">
        <f t="shared" si="88"/>
        <v>0</v>
      </c>
    </row>
    <row r="2736" spans="2:12">
      <c r="B2736" s="4" t="e">
        <f t="shared" si="87"/>
        <v>#N/A</v>
      </c>
      <c r="C2736" s="4">
        <f>'Raw data'!E2312</f>
        <v>0</v>
      </c>
      <c r="D2736" s="29" t="e">
        <f>VLOOKUP(C2736,'점포코드 '!A:B,2,0)</f>
        <v>#N/A</v>
      </c>
      <c r="E2736" s="30">
        <f>'Raw data'!P2312</f>
        <v>0</v>
      </c>
      <c r="F2736" s="29" t="e">
        <f>VLOOKUP(E2736,'점포코드 '!A:B,2,0)</f>
        <v>#N/A</v>
      </c>
      <c r="G2736" s="46">
        <f>'Raw data'!F2645</f>
        <v>0</v>
      </c>
      <c r="H2736" s="4">
        <f>'Raw data'!G2645</f>
        <v>0</v>
      </c>
      <c r="I2736" s="29" t="e">
        <f>VLOOKUP(G2736,제품명!$C$1:$E$114,2,0)</f>
        <v>#N/A</v>
      </c>
      <c r="J2736" s="29">
        <f>'Raw data'!K2645</f>
        <v>0</v>
      </c>
      <c r="K2736" s="31">
        <f>'Raw data'!H2645</f>
        <v>0</v>
      </c>
      <c r="L2736" s="26">
        <f t="shared" si="88"/>
        <v>0</v>
      </c>
    </row>
    <row r="2737" spans="2:12">
      <c r="B2737" s="4" t="e">
        <f t="shared" si="87"/>
        <v>#N/A</v>
      </c>
      <c r="C2737" s="4">
        <f>'Raw data'!E2313</f>
        <v>0</v>
      </c>
      <c r="D2737" s="29" t="e">
        <f>VLOOKUP(C2737,'점포코드 '!A:B,2,0)</f>
        <v>#N/A</v>
      </c>
      <c r="E2737" s="30">
        <f>'Raw data'!P2313</f>
        <v>0</v>
      </c>
      <c r="F2737" s="29" t="e">
        <f>VLOOKUP(E2737,'점포코드 '!A:B,2,0)</f>
        <v>#N/A</v>
      </c>
      <c r="G2737" s="46">
        <f>'Raw data'!F2646</f>
        <v>0</v>
      </c>
      <c r="H2737" s="4">
        <f>'Raw data'!G2646</f>
        <v>0</v>
      </c>
      <c r="I2737" s="29" t="e">
        <f>VLOOKUP(G2737,제품명!$C$1:$E$114,2,0)</f>
        <v>#N/A</v>
      </c>
      <c r="J2737" s="29">
        <f>'Raw data'!K2646</f>
        <v>0</v>
      </c>
      <c r="K2737" s="31">
        <f>'Raw data'!H2646</f>
        <v>0</v>
      </c>
      <c r="L2737" s="26">
        <f t="shared" si="88"/>
        <v>0</v>
      </c>
    </row>
    <row r="2738" spans="2:12">
      <c r="B2738" s="4" t="e">
        <f t="shared" si="87"/>
        <v>#N/A</v>
      </c>
      <c r="C2738" s="4">
        <f>'Raw data'!E2314</f>
        <v>0</v>
      </c>
      <c r="D2738" s="29" t="e">
        <f>VLOOKUP(C2738,'점포코드 '!A:B,2,0)</f>
        <v>#N/A</v>
      </c>
      <c r="E2738" s="30">
        <f>'Raw data'!P2314</f>
        <v>0</v>
      </c>
      <c r="F2738" s="29" t="e">
        <f>VLOOKUP(E2738,'점포코드 '!A:B,2,0)</f>
        <v>#N/A</v>
      </c>
      <c r="G2738" s="46">
        <f>'Raw data'!F2647</f>
        <v>0</v>
      </c>
      <c r="H2738" s="4">
        <f>'Raw data'!G2647</f>
        <v>0</v>
      </c>
      <c r="I2738" s="29" t="e">
        <f>VLOOKUP(G2738,제품명!$C$1:$E$114,2,0)</f>
        <v>#N/A</v>
      </c>
      <c r="J2738" s="29">
        <f>'Raw data'!K2647</f>
        <v>0</v>
      </c>
      <c r="K2738" s="31">
        <f>'Raw data'!H2647</f>
        <v>0</v>
      </c>
      <c r="L2738" s="26">
        <f t="shared" si="88"/>
        <v>0</v>
      </c>
    </row>
    <row r="2739" spans="2:12">
      <c r="B2739" s="4" t="e">
        <f t="shared" si="87"/>
        <v>#N/A</v>
      </c>
      <c r="C2739" s="4">
        <f>'Raw data'!E2315</f>
        <v>0</v>
      </c>
      <c r="D2739" s="29" t="e">
        <f>VLOOKUP(C2739,'점포코드 '!A:B,2,0)</f>
        <v>#N/A</v>
      </c>
      <c r="E2739" s="30">
        <f>'Raw data'!P2315</f>
        <v>0</v>
      </c>
      <c r="F2739" s="29" t="e">
        <f>VLOOKUP(E2739,'점포코드 '!A:B,2,0)</f>
        <v>#N/A</v>
      </c>
      <c r="G2739" s="46">
        <f>'Raw data'!F2648</f>
        <v>0</v>
      </c>
      <c r="H2739" s="4">
        <f>'Raw data'!G2648</f>
        <v>0</v>
      </c>
      <c r="I2739" s="29" t="e">
        <f>VLOOKUP(G2739,제품명!$C$1:$E$114,2,0)</f>
        <v>#N/A</v>
      </c>
      <c r="J2739" s="29">
        <f>'Raw data'!K2648</f>
        <v>0</v>
      </c>
      <c r="K2739" s="31">
        <f>'Raw data'!H2648</f>
        <v>0</v>
      </c>
      <c r="L2739" s="26">
        <f t="shared" si="88"/>
        <v>0</v>
      </c>
    </row>
    <row r="2740" spans="2:12">
      <c r="B2740" s="4" t="e">
        <f t="shared" si="87"/>
        <v>#N/A</v>
      </c>
      <c r="C2740" s="4">
        <f>'Raw data'!E2316</f>
        <v>0</v>
      </c>
      <c r="D2740" s="29" t="e">
        <f>VLOOKUP(C2740,'점포코드 '!A:B,2,0)</f>
        <v>#N/A</v>
      </c>
      <c r="E2740" s="30">
        <f>'Raw data'!P2316</f>
        <v>0</v>
      </c>
      <c r="F2740" s="29" t="e">
        <f>VLOOKUP(E2740,'점포코드 '!A:B,2,0)</f>
        <v>#N/A</v>
      </c>
      <c r="G2740" s="46">
        <f>'Raw data'!F2649</f>
        <v>0</v>
      </c>
      <c r="H2740" s="4">
        <f>'Raw data'!G2649</f>
        <v>0</v>
      </c>
      <c r="I2740" s="29" t="e">
        <f>VLOOKUP(G2740,제품명!$C$1:$E$114,2,0)</f>
        <v>#N/A</v>
      </c>
      <c r="J2740" s="29">
        <f>'Raw data'!K2649</f>
        <v>0</v>
      </c>
      <c r="K2740" s="31">
        <f>'Raw data'!H2649</f>
        <v>0</v>
      </c>
      <c r="L2740" s="26">
        <f t="shared" si="88"/>
        <v>0</v>
      </c>
    </row>
    <row r="2741" spans="2:12">
      <c r="B2741" s="4" t="e">
        <f t="shared" si="87"/>
        <v>#N/A</v>
      </c>
      <c r="C2741" s="4">
        <f>'Raw data'!E2317</f>
        <v>0</v>
      </c>
      <c r="D2741" s="29" t="e">
        <f>VLOOKUP(C2741,'점포코드 '!A:B,2,0)</f>
        <v>#N/A</v>
      </c>
      <c r="E2741" s="30">
        <f>'Raw data'!P2317</f>
        <v>0</v>
      </c>
      <c r="F2741" s="29" t="e">
        <f>VLOOKUP(E2741,'점포코드 '!A:B,2,0)</f>
        <v>#N/A</v>
      </c>
      <c r="G2741" s="46">
        <f>'Raw data'!F2650</f>
        <v>0</v>
      </c>
      <c r="H2741" s="4">
        <f>'Raw data'!G2650</f>
        <v>0</v>
      </c>
      <c r="I2741" s="29" t="e">
        <f>VLOOKUP(G2741,제품명!$C$1:$E$114,2,0)</f>
        <v>#N/A</v>
      </c>
      <c r="J2741" s="29">
        <f>'Raw data'!K2650</f>
        <v>0</v>
      </c>
      <c r="K2741" s="31">
        <f>'Raw data'!H2650</f>
        <v>0</v>
      </c>
      <c r="L2741" s="26">
        <f t="shared" si="88"/>
        <v>0</v>
      </c>
    </row>
    <row r="2742" spans="2:12">
      <c r="B2742" s="4" t="e">
        <f t="shared" si="87"/>
        <v>#N/A</v>
      </c>
      <c r="C2742" s="4">
        <f>'Raw data'!E2318</f>
        <v>0</v>
      </c>
      <c r="D2742" s="29" t="e">
        <f>VLOOKUP(C2742,'점포코드 '!A:B,2,0)</f>
        <v>#N/A</v>
      </c>
      <c r="E2742" s="30">
        <f>'Raw data'!P2318</f>
        <v>0</v>
      </c>
      <c r="F2742" s="29" t="e">
        <f>VLOOKUP(E2742,'점포코드 '!A:B,2,0)</f>
        <v>#N/A</v>
      </c>
      <c r="G2742" s="46">
        <f>'Raw data'!F2651</f>
        <v>0</v>
      </c>
      <c r="H2742" s="4">
        <f>'Raw data'!G2651</f>
        <v>0</v>
      </c>
      <c r="I2742" s="29" t="e">
        <f>VLOOKUP(G2742,제품명!$C$1:$E$114,2,0)</f>
        <v>#N/A</v>
      </c>
      <c r="J2742" s="29">
        <f>'Raw data'!K2651</f>
        <v>0</v>
      </c>
      <c r="K2742" s="31">
        <f>'Raw data'!H2651</f>
        <v>0</v>
      </c>
      <c r="L2742" s="26">
        <f t="shared" si="88"/>
        <v>0</v>
      </c>
    </row>
    <row r="2743" spans="2:12">
      <c r="B2743" s="4" t="e">
        <f t="shared" si="87"/>
        <v>#N/A</v>
      </c>
      <c r="C2743" s="4">
        <f>'Raw data'!E2319</f>
        <v>0</v>
      </c>
      <c r="D2743" s="29" t="e">
        <f>VLOOKUP(C2743,'점포코드 '!A:B,2,0)</f>
        <v>#N/A</v>
      </c>
      <c r="E2743" s="30">
        <f>'Raw data'!P2319</f>
        <v>0</v>
      </c>
      <c r="F2743" s="29" t="e">
        <f>VLOOKUP(E2743,'점포코드 '!A:B,2,0)</f>
        <v>#N/A</v>
      </c>
      <c r="G2743" s="46">
        <f>'Raw data'!F2652</f>
        <v>0</v>
      </c>
      <c r="H2743" s="4">
        <f>'Raw data'!G2652</f>
        <v>0</v>
      </c>
      <c r="I2743" s="29" t="e">
        <f>VLOOKUP(G2743,제품명!$C$1:$E$114,2,0)</f>
        <v>#N/A</v>
      </c>
      <c r="J2743" s="29">
        <f>'Raw data'!K2652</f>
        <v>0</v>
      </c>
      <c r="K2743" s="31">
        <f>'Raw data'!H2652</f>
        <v>0</v>
      </c>
      <c r="L2743" s="26">
        <f t="shared" si="88"/>
        <v>0</v>
      </c>
    </row>
    <row r="2744" spans="2:12">
      <c r="B2744" s="4" t="e">
        <f t="shared" si="87"/>
        <v>#N/A</v>
      </c>
      <c r="C2744" s="4">
        <f>'Raw data'!E2320</f>
        <v>0</v>
      </c>
      <c r="D2744" s="29" t="e">
        <f>VLOOKUP(C2744,'점포코드 '!A:B,2,0)</f>
        <v>#N/A</v>
      </c>
      <c r="E2744" s="30">
        <f>'Raw data'!P2320</f>
        <v>0</v>
      </c>
      <c r="F2744" s="29" t="e">
        <f>VLOOKUP(E2744,'점포코드 '!A:B,2,0)</f>
        <v>#N/A</v>
      </c>
      <c r="G2744" s="46">
        <f>'Raw data'!F2653</f>
        <v>0</v>
      </c>
      <c r="H2744" s="4">
        <f>'Raw data'!G2653</f>
        <v>0</v>
      </c>
      <c r="I2744" s="29" t="e">
        <f>VLOOKUP(G2744,제품명!$C$1:$E$114,2,0)</f>
        <v>#N/A</v>
      </c>
      <c r="J2744" s="29">
        <f>'Raw data'!K2653</f>
        <v>0</v>
      </c>
      <c r="K2744" s="31">
        <f>'Raw data'!H2653</f>
        <v>0</v>
      </c>
      <c r="L2744" s="26">
        <f t="shared" si="88"/>
        <v>0</v>
      </c>
    </row>
    <row r="2745" spans="2:12">
      <c r="B2745" s="4" t="e">
        <f t="shared" si="87"/>
        <v>#N/A</v>
      </c>
      <c r="C2745" s="4">
        <f>'Raw data'!E2321</f>
        <v>0</v>
      </c>
      <c r="D2745" s="29" t="e">
        <f>VLOOKUP(C2745,'점포코드 '!A:B,2,0)</f>
        <v>#N/A</v>
      </c>
      <c r="E2745" s="30">
        <f>'Raw data'!P2321</f>
        <v>0</v>
      </c>
      <c r="F2745" s="29" t="e">
        <f>VLOOKUP(E2745,'점포코드 '!A:B,2,0)</f>
        <v>#N/A</v>
      </c>
      <c r="G2745" s="46">
        <f>'Raw data'!F2654</f>
        <v>0</v>
      </c>
      <c r="H2745" s="4">
        <f>'Raw data'!G2654</f>
        <v>0</v>
      </c>
      <c r="I2745" s="29" t="e">
        <f>VLOOKUP(G2745,제품명!$C$1:$E$114,2,0)</f>
        <v>#N/A</v>
      </c>
      <c r="J2745" s="29">
        <f>'Raw data'!K2654</f>
        <v>0</v>
      </c>
      <c r="K2745" s="31">
        <f>'Raw data'!H2654</f>
        <v>0</v>
      </c>
      <c r="L2745" s="26">
        <f t="shared" si="88"/>
        <v>0</v>
      </c>
    </row>
    <row r="2746" spans="2:12">
      <c r="B2746" s="4" t="e">
        <f t="shared" si="87"/>
        <v>#N/A</v>
      </c>
      <c r="C2746" s="4">
        <f>'Raw data'!E2322</f>
        <v>0</v>
      </c>
      <c r="D2746" s="29" t="e">
        <f>VLOOKUP(C2746,'점포코드 '!A:B,2,0)</f>
        <v>#N/A</v>
      </c>
      <c r="E2746" s="30">
        <f>'Raw data'!P2322</f>
        <v>0</v>
      </c>
      <c r="F2746" s="29" t="e">
        <f>VLOOKUP(E2746,'점포코드 '!A:B,2,0)</f>
        <v>#N/A</v>
      </c>
      <c r="G2746" s="46">
        <f>'Raw data'!F2655</f>
        <v>0</v>
      </c>
      <c r="H2746" s="4">
        <f>'Raw data'!G2655</f>
        <v>0</v>
      </c>
      <c r="I2746" s="29" t="e">
        <f>VLOOKUP(G2746,제품명!$C$1:$E$114,2,0)</f>
        <v>#N/A</v>
      </c>
      <c r="J2746" s="29">
        <f>'Raw data'!K2655</f>
        <v>0</v>
      </c>
      <c r="K2746" s="31">
        <f>'Raw data'!H2655</f>
        <v>0</v>
      </c>
      <c r="L2746" s="26">
        <f t="shared" si="88"/>
        <v>0</v>
      </c>
    </row>
    <row r="2747" spans="2:12">
      <c r="B2747" s="4" t="e">
        <f t="shared" si="87"/>
        <v>#N/A</v>
      </c>
      <c r="C2747" s="4">
        <f>'Raw data'!E2323</f>
        <v>0</v>
      </c>
      <c r="D2747" s="29" t="e">
        <f>VLOOKUP(C2747,'점포코드 '!A:B,2,0)</f>
        <v>#N/A</v>
      </c>
      <c r="E2747" s="30">
        <f>'Raw data'!P2323</f>
        <v>0</v>
      </c>
      <c r="F2747" s="29" t="e">
        <f>VLOOKUP(E2747,'점포코드 '!A:B,2,0)</f>
        <v>#N/A</v>
      </c>
      <c r="G2747" s="46">
        <f>'Raw data'!F2656</f>
        <v>0</v>
      </c>
      <c r="H2747" s="4">
        <f>'Raw data'!G2656</f>
        <v>0</v>
      </c>
      <c r="I2747" s="29" t="e">
        <f>VLOOKUP(G2747,제품명!$C$1:$E$114,2,0)</f>
        <v>#N/A</v>
      </c>
      <c r="J2747" s="29">
        <f>'Raw data'!K2656</f>
        <v>0</v>
      </c>
      <c r="K2747" s="31">
        <f>'Raw data'!H2656</f>
        <v>0</v>
      </c>
      <c r="L2747" s="26">
        <f t="shared" si="88"/>
        <v>0</v>
      </c>
    </row>
    <row r="2748" spans="2:12">
      <c r="B2748" s="4" t="e">
        <f t="shared" si="87"/>
        <v>#N/A</v>
      </c>
      <c r="C2748" s="4">
        <f>'Raw data'!E2324</f>
        <v>0</v>
      </c>
      <c r="D2748" s="29" t="e">
        <f>VLOOKUP(C2748,'점포코드 '!A:B,2,0)</f>
        <v>#N/A</v>
      </c>
      <c r="E2748" s="30">
        <f>'Raw data'!P2324</f>
        <v>0</v>
      </c>
      <c r="F2748" s="29" t="e">
        <f>VLOOKUP(E2748,'점포코드 '!A:B,2,0)</f>
        <v>#N/A</v>
      </c>
      <c r="G2748" s="46">
        <f>'Raw data'!F2657</f>
        <v>0</v>
      </c>
      <c r="H2748" s="4">
        <f>'Raw data'!G2657</f>
        <v>0</v>
      </c>
      <c r="I2748" s="29" t="e">
        <f>VLOOKUP(G2748,제품명!$C$1:$E$114,2,0)</f>
        <v>#N/A</v>
      </c>
      <c r="J2748" s="29">
        <f>'Raw data'!K2657</f>
        <v>0</v>
      </c>
      <c r="K2748" s="31">
        <f>'Raw data'!H2657</f>
        <v>0</v>
      </c>
      <c r="L2748" s="26">
        <f t="shared" si="88"/>
        <v>0</v>
      </c>
    </row>
    <row r="2749" spans="2:12">
      <c r="B2749" s="4" t="e">
        <f t="shared" si="87"/>
        <v>#N/A</v>
      </c>
      <c r="C2749" s="4">
        <f>'Raw data'!E2325</f>
        <v>0</v>
      </c>
      <c r="D2749" s="29" t="e">
        <f>VLOOKUP(C2749,'점포코드 '!A:B,2,0)</f>
        <v>#N/A</v>
      </c>
      <c r="E2749" s="30">
        <f>'Raw data'!P2325</f>
        <v>0</v>
      </c>
      <c r="F2749" s="29" t="e">
        <f>VLOOKUP(E2749,'점포코드 '!A:B,2,0)</f>
        <v>#N/A</v>
      </c>
      <c r="G2749" s="46">
        <f>'Raw data'!F2658</f>
        <v>0</v>
      </c>
      <c r="H2749" s="4">
        <f>'Raw data'!G2658</f>
        <v>0</v>
      </c>
      <c r="I2749" s="29" t="e">
        <f>VLOOKUP(G2749,제품명!$C$1:$E$114,2,0)</f>
        <v>#N/A</v>
      </c>
      <c r="J2749" s="29">
        <f>'Raw data'!K2658</f>
        <v>0</v>
      </c>
      <c r="K2749" s="31">
        <f>'Raw data'!H2658</f>
        <v>0</v>
      </c>
      <c r="L2749" s="26">
        <f t="shared" si="88"/>
        <v>0</v>
      </c>
    </row>
    <row r="2750" spans="2:12">
      <c r="B2750" s="4" t="e">
        <f t="shared" si="87"/>
        <v>#N/A</v>
      </c>
      <c r="C2750" s="4">
        <f>'Raw data'!E2326</f>
        <v>0</v>
      </c>
      <c r="D2750" s="29" t="e">
        <f>VLOOKUP(C2750,'점포코드 '!A:B,2,0)</f>
        <v>#N/A</v>
      </c>
      <c r="E2750" s="30">
        <f>'Raw data'!P2326</f>
        <v>0</v>
      </c>
      <c r="F2750" s="29" t="e">
        <f>VLOOKUP(E2750,'점포코드 '!A:B,2,0)</f>
        <v>#N/A</v>
      </c>
      <c r="G2750" s="46">
        <f>'Raw data'!F2659</f>
        <v>0</v>
      </c>
      <c r="H2750" s="4">
        <f>'Raw data'!G2659</f>
        <v>0</v>
      </c>
      <c r="I2750" s="29" t="e">
        <f>VLOOKUP(G2750,제품명!$C$1:$E$114,2,0)</f>
        <v>#N/A</v>
      </c>
      <c r="J2750" s="29">
        <f>'Raw data'!K2659</f>
        <v>0</v>
      </c>
      <c r="K2750" s="31">
        <f>'Raw data'!H2659</f>
        <v>0</v>
      </c>
      <c r="L2750" s="26">
        <f t="shared" si="88"/>
        <v>0</v>
      </c>
    </row>
    <row r="2751" spans="2:12">
      <c r="B2751" s="4" t="e">
        <f t="shared" si="87"/>
        <v>#N/A</v>
      </c>
      <c r="C2751" s="4">
        <f>'Raw data'!E2327</f>
        <v>0</v>
      </c>
      <c r="D2751" s="29" t="e">
        <f>VLOOKUP(C2751,'점포코드 '!A:B,2,0)</f>
        <v>#N/A</v>
      </c>
      <c r="E2751" s="30">
        <f>'Raw data'!P2327</f>
        <v>0</v>
      </c>
      <c r="F2751" s="29" t="e">
        <f>VLOOKUP(E2751,'점포코드 '!A:B,2,0)</f>
        <v>#N/A</v>
      </c>
      <c r="G2751" s="46">
        <f>'Raw data'!F2660</f>
        <v>0</v>
      </c>
      <c r="H2751" s="4">
        <f>'Raw data'!G2660</f>
        <v>0</v>
      </c>
      <c r="I2751" s="29" t="e">
        <f>VLOOKUP(G2751,제품명!$C$1:$E$114,2,0)</f>
        <v>#N/A</v>
      </c>
      <c r="J2751" s="29">
        <f>'Raw data'!K2660</f>
        <v>0</v>
      </c>
      <c r="K2751" s="31">
        <f>'Raw data'!H2660</f>
        <v>0</v>
      </c>
      <c r="L2751" s="26">
        <f t="shared" si="88"/>
        <v>0</v>
      </c>
    </row>
    <row r="2752" spans="2:12">
      <c r="B2752" s="4" t="e">
        <f t="shared" si="87"/>
        <v>#N/A</v>
      </c>
      <c r="C2752" s="4">
        <f>'Raw data'!E2328</f>
        <v>0</v>
      </c>
      <c r="D2752" s="29" t="e">
        <f>VLOOKUP(C2752,'점포코드 '!A:B,2,0)</f>
        <v>#N/A</v>
      </c>
      <c r="E2752" s="30">
        <f>'Raw data'!P2328</f>
        <v>0</v>
      </c>
      <c r="F2752" s="29" t="e">
        <f>VLOOKUP(E2752,'점포코드 '!A:B,2,0)</f>
        <v>#N/A</v>
      </c>
      <c r="G2752" s="46">
        <f>'Raw data'!F2661</f>
        <v>0</v>
      </c>
      <c r="H2752" s="4">
        <f>'Raw data'!G2661</f>
        <v>0</v>
      </c>
      <c r="I2752" s="29" t="e">
        <f>VLOOKUP(G2752,제품명!$C$1:$E$114,2,0)</f>
        <v>#N/A</v>
      </c>
      <c r="J2752" s="29">
        <f>'Raw data'!K2661</f>
        <v>0</v>
      </c>
      <c r="K2752" s="31">
        <f>'Raw data'!H2661</f>
        <v>0</v>
      </c>
      <c r="L2752" s="26">
        <f t="shared" si="88"/>
        <v>0</v>
      </c>
    </row>
    <row r="2753" spans="2:12">
      <c r="B2753" s="4" t="e">
        <f t="shared" si="87"/>
        <v>#N/A</v>
      </c>
      <c r="C2753" s="4">
        <f>'Raw data'!E2329</f>
        <v>0</v>
      </c>
      <c r="D2753" s="29" t="e">
        <f>VLOOKUP(C2753,'점포코드 '!A:B,2,0)</f>
        <v>#N/A</v>
      </c>
      <c r="E2753" s="30">
        <f>'Raw data'!P2329</f>
        <v>0</v>
      </c>
      <c r="F2753" s="29" t="e">
        <f>VLOOKUP(E2753,'점포코드 '!A:B,2,0)</f>
        <v>#N/A</v>
      </c>
      <c r="G2753" s="46">
        <f>'Raw data'!F2662</f>
        <v>0</v>
      </c>
      <c r="H2753" s="4">
        <f>'Raw data'!G2662</f>
        <v>0</v>
      </c>
      <c r="I2753" s="29" t="e">
        <f>VLOOKUP(G2753,제품명!$C$1:$E$114,2,0)</f>
        <v>#N/A</v>
      </c>
      <c r="J2753" s="29">
        <f>'Raw data'!K2662</f>
        <v>0</v>
      </c>
      <c r="K2753" s="31">
        <f>'Raw data'!H2662</f>
        <v>0</v>
      </c>
      <c r="L2753" s="26">
        <f t="shared" si="88"/>
        <v>0</v>
      </c>
    </row>
    <row r="2754" spans="2:12">
      <c r="B2754" s="4" t="e">
        <f t="shared" ref="B2754:B2817" si="89">F2754&amp;I2754</f>
        <v>#N/A</v>
      </c>
      <c r="C2754" s="4">
        <f>'Raw data'!E2330</f>
        <v>0</v>
      </c>
      <c r="D2754" s="29" t="e">
        <f>VLOOKUP(C2754,'점포코드 '!A:B,2,0)</f>
        <v>#N/A</v>
      </c>
      <c r="E2754" s="30">
        <f>'Raw data'!P2330</f>
        <v>0</v>
      </c>
      <c r="F2754" s="29" t="e">
        <f>VLOOKUP(E2754,'점포코드 '!A:B,2,0)</f>
        <v>#N/A</v>
      </c>
      <c r="G2754" s="46">
        <f>'Raw data'!F2663</f>
        <v>0</v>
      </c>
      <c r="H2754" s="4">
        <f>'Raw data'!G2663</f>
        <v>0</v>
      </c>
      <c r="I2754" s="29" t="e">
        <f>VLOOKUP(G2754,제품명!$C$1:$E$114,2,0)</f>
        <v>#N/A</v>
      </c>
      <c r="J2754" s="29">
        <f>'Raw data'!K2663</f>
        <v>0</v>
      </c>
      <c r="K2754" s="31">
        <f>'Raw data'!H2663</f>
        <v>0</v>
      </c>
      <c r="L2754" s="26">
        <f t="shared" si="88"/>
        <v>0</v>
      </c>
    </row>
    <row r="2755" spans="2:12">
      <c r="B2755" s="4" t="e">
        <f t="shared" si="89"/>
        <v>#N/A</v>
      </c>
      <c r="C2755" s="4">
        <f>'Raw data'!E2331</f>
        <v>0</v>
      </c>
      <c r="D2755" s="29" t="e">
        <f>VLOOKUP(C2755,'점포코드 '!A:B,2,0)</f>
        <v>#N/A</v>
      </c>
      <c r="E2755" s="30">
        <f>'Raw data'!P2331</f>
        <v>0</v>
      </c>
      <c r="F2755" s="29" t="e">
        <f>VLOOKUP(E2755,'점포코드 '!A:B,2,0)</f>
        <v>#N/A</v>
      </c>
      <c r="G2755" s="46">
        <f>'Raw data'!F2664</f>
        <v>0</v>
      </c>
      <c r="H2755" s="4">
        <f>'Raw data'!G2664</f>
        <v>0</v>
      </c>
      <c r="I2755" s="29" t="e">
        <f>VLOOKUP(G2755,제품명!$C$1:$E$114,2,0)</f>
        <v>#N/A</v>
      </c>
      <c r="J2755" s="29">
        <f>'Raw data'!K2664</f>
        <v>0</v>
      </c>
      <c r="K2755" s="31">
        <f>'Raw data'!H2664</f>
        <v>0</v>
      </c>
      <c r="L2755" s="26">
        <f t="shared" ref="L2755:L2818" si="90">J2755*K2755</f>
        <v>0</v>
      </c>
    </row>
    <row r="2756" spans="2:12">
      <c r="B2756" s="4" t="e">
        <f t="shared" si="89"/>
        <v>#N/A</v>
      </c>
      <c r="C2756" s="4">
        <f>'Raw data'!E2332</f>
        <v>0</v>
      </c>
      <c r="D2756" s="29" t="e">
        <f>VLOOKUP(C2756,'점포코드 '!A:B,2,0)</f>
        <v>#N/A</v>
      </c>
      <c r="E2756" s="30">
        <f>'Raw data'!P2332</f>
        <v>0</v>
      </c>
      <c r="F2756" s="29" t="e">
        <f>VLOOKUP(E2756,'점포코드 '!A:B,2,0)</f>
        <v>#N/A</v>
      </c>
      <c r="G2756" s="46">
        <f>'Raw data'!F2665</f>
        <v>0</v>
      </c>
      <c r="H2756" s="4">
        <f>'Raw data'!G2665</f>
        <v>0</v>
      </c>
      <c r="I2756" s="29" t="e">
        <f>VLOOKUP(G2756,제품명!$C$1:$E$114,2,0)</f>
        <v>#N/A</v>
      </c>
      <c r="J2756" s="29">
        <f>'Raw data'!K2665</f>
        <v>0</v>
      </c>
      <c r="K2756" s="31">
        <f>'Raw data'!H2665</f>
        <v>0</v>
      </c>
      <c r="L2756" s="26">
        <f t="shared" si="90"/>
        <v>0</v>
      </c>
    </row>
    <row r="2757" spans="2:12">
      <c r="B2757" s="4" t="e">
        <f t="shared" si="89"/>
        <v>#N/A</v>
      </c>
      <c r="C2757" s="4">
        <f>'Raw data'!E2333</f>
        <v>0</v>
      </c>
      <c r="D2757" s="29" t="e">
        <f>VLOOKUP(C2757,'점포코드 '!A:B,2,0)</f>
        <v>#N/A</v>
      </c>
      <c r="E2757" s="30">
        <f>'Raw data'!P2333</f>
        <v>0</v>
      </c>
      <c r="F2757" s="29" t="e">
        <f>VLOOKUP(E2757,'점포코드 '!A:B,2,0)</f>
        <v>#N/A</v>
      </c>
      <c r="G2757" s="46">
        <f>'Raw data'!F2666</f>
        <v>0</v>
      </c>
      <c r="H2757" s="4">
        <f>'Raw data'!G2666</f>
        <v>0</v>
      </c>
      <c r="I2757" s="29" t="e">
        <f>VLOOKUP(G2757,제품명!$C$1:$E$114,2,0)</f>
        <v>#N/A</v>
      </c>
      <c r="J2757" s="29">
        <f>'Raw data'!K2666</f>
        <v>0</v>
      </c>
      <c r="K2757" s="31">
        <f>'Raw data'!H2666</f>
        <v>0</v>
      </c>
      <c r="L2757" s="26">
        <f t="shared" si="90"/>
        <v>0</v>
      </c>
    </row>
    <row r="2758" spans="2:12">
      <c r="B2758" s="4" t="e">
        <f t="shared" si="89"/>
        <v>#N/A</v>
      </c>
      <c r="C2758" s="4">
        <f>'Raw data'!E2334</f>
        <v>0</v>
      </c>
      <c r="D2758" s="29" t="e">
        <f>VLOOKUP(C2758,'점포코드 '!A:B,2,0)</f>
        <v>#N/A</v>
      </c>
      <c r="E2758" s="30">
        <f>'Raw data'!P2334</f>
        <v>0</v>
      </c>
      <c r="F2758" s="29" t="e">
        <f>VLOOKUP(E2758,'점포코드 '!A:B,2,0)</f>
        <v>#N/A</v>
      </c>
      <c r="G2758" s="46">
        <f>'Raw data'!F2667</f>
        <v>0</v>
      </c>
      <c r="H2758" s="4">
        <f>'Raw data'!G2667</f>
        <v>0</v>
      </c>
      <c r="I2758" s="29" t="e">
        <f>VLOOKUP(G2758,제품명!$C$1:$E$114,2,0)</f>
        <v>#N/A</v>
      </c>
      <c r="J2758" s="29">
        <f>'Raw data'!K2667</f>
        <v>0</v>
      </c>
      <c r="K2758" s="31">
        <f>'Raw data'!H2667</f>
        <v>0</v>
      </c>
      <c r="L2758" s="26">
        <f t="shared" si="90"/>
        <v>0</v>
      </c>
    </row>
    <row r="2759" spans="2:12">
      <c r="B2759" s="4" t="e">
        <f t="shared" si="89"/>
        <v>#N/A</v>
      </c>
      <c r="C2759" s="4">
        <f>'Raw data'!E2335</f>
        <v>0</v>
      </c>
      <c r="D2759" s="29" t="e">
        <f>VLOOKUP(C2759,'점포코드 '!A:B,2,0)</f>
        <v>#N/A</v>
      </c>
      <c r="E2759" s="30">
        <f>'Raw data'!P2335</f>
        <v>0</v>
      </c>
      <c r="F2759" s="29" t="e">
        <f>VLOOKUP(E2759,'점포코드 '!A:B,2,0)</f>
        <v>#N/A</v>
      </c>
      <c r="G2759" s="46">
        <f>'Raw data'!F2668</f>
        <v>0</v>
      </c>
      <c r="H2759" s="4">
        <f>'Raw data'!G2668</f>
        <v>0</v>
      </c>
      <c r="I2759" s="29" t="e">
        <f>VLOOKUP(G2759,제품명!$C$1:$E$114,2,0)</f>
        <v>#N/A</v>
      </c>
      <c r="J2759" s="29">
        <f>'Raw data'!K2668</f>
        <v>0</v>
      </c>
      <c r="K2759" s="31">
        <f>'Raw data'!H2668</f>
        <v>0</v>
      </c>
      <c r="L2759" s="26">
        <f t="shared" si="90"/>
        <v>0</v>
      </c>
    </row>
    <row r="2760" spans="2:12">
      <c r="B2760" s="4" t="e">
        <f t="shared" si="89"/>
        <v>#N/A</v>
      </c>
      <c r="C2760" s="4">
        <f>'Raw data'!E2336</f>
        <v>0</v>
      </c>
      <c r="D2760" s="29" t="e">
        <f>VLOOKUP(C2760,'점포코드 '!A:B,2,0)</f>
        <v>#N/A</v>
      </c>
      <c r="E2760" s="30">
        <f>'Raw data'!P2336</f>
        <v>0</v>
      </c>
      <c r="F2760" s="29" t="e">
        <f>VLOOKUP(E2760,'점포코드 '!A:B,2,0)</f>
        <v>#N/A</v>
      </c>
      <c r="G2760" s="46">
        <f>'Raw data'!F2669</f>
        <v>0</v>
      </c>
      <c r="H2760" s="4">
        <f>'Raw data'!G2669</f>
        <v>0</v>
      </c>
      <c r="I2760" s="29" t="e">
        <f>VLOOKUP(G2760,제품명!$C$1:$E$114,2,0)</f>
        <v>#N/A</v>
      </c>
      <c r="J2760" s="29">
        <f>'Raw data'!K2669</f>
        <v>0</v>
      </c>
      <c r="K2760" s="31">
        <f>'Raw data'!H2669</f>
        <v>0</v>
      </c>
      <c r="L2760" s="26">
        <f t="shared" si="90"/>
        <v>0</v>
      </c>
    </row>
    <row r="2761" spans="2:12">
      <c r="B2761" s="4" t="e">
        <f t="shared" si="89"/>
        <v>#N/A</v>
      </c>
      <c r="C2761" s="4">
        <f>'Raw data'!E2337</f>
        <v>0</v>
      </c>
      <c r="D2761" s="29" t="e">
        <f>VLOOKUP(C2761,'점포코드 '!A:B,2,0)</f>
        <v>#N/A</v>
      </c>
      <c r="E2761" s="30">
        <f>'Raw data'!P2337</f>
        <v>0</v>
      </c>
      <c r="F2761" s="29" t="e">
        <f>VLOOKUP(E2761,'점포코드 '!A:B,2,0)</f>
        <v>#N/A</v>
      </c>
      <c r="G2761" s="46">
        <f>'Raw data'!F2670</f>
        <v>0</v>
      </c>
      <c r="H2761" s="4">
        <f>'Raw data'!G2670</f>
        <v>0</v>
      </c>
      <c r="I2761" s="29" t="e">
        <f>VLOOKUP(G2761,제품명!$C$1:$E$114,2,0)</f>
        <v>#N/A</v>
      </c>
      <c r="J2761" s="29">
        <f>'Raw data'!K2670</f>
        <v>0</v>
      </c>
      <c r="K2761" s="31">
        <f>'Raw data'!H2670</f>
        <v>0</v>
      </c>
      <c r="L2761" s="26">
        <f t="shared" si="90"/>
        <v>0</v>
      </c>
    </row>
    <row r="2762" spans="2:12">
      <c r="B2762" s="4" t="e">
        <f t="shared" si="89"/>
        <v>#N/A</v>
      </c>
      <c r="C2762" s="4">
        <f>'Raw data'!E2338</f>
        <v>0</v>
      </c>
      <c r="D2762" s="29" t="e">
        <f>VLOOKUP(C2762,'점포코드 '!A:B,2,0)</f>
        <v>#N/A</v>
      </c>
      <c r="E2762" s="30">
        <f>'Raw data'!P2338</f>
        <v>0</v>
      </c>
      <c r="F2762" s="29" t="e">
        <f>VLOOKUP(E2762,'점포코드 '!A:B,2,0)</f>
        <v>#N/A</v>
      </c>
      <c r="G2762" s="46">
        <f>'Raw data'!F2671</f>
        <v>0</v>
      </c>
      <c r="H2762" s="4">
        <f>'Raw data'!G2671</f>
        <v>0</v>
      </c>
      <c r="I2762" s="29" t="e">
        <f>VLOOKUP(G2762,제품명!$C$1:$E$114,2,0)</f>
        <v>#N/A</v>
      </c>
      <c r="J2762" s="29">
        <f>'Raw data'!K2671</f>
        <v>0</v>
      </c>
      <c r="K2762" s="31">
        <f>'Raw data'!H2671</f>
        <v>0</v>
      </c>
      <c r="L2762" s="26">
        <f t="shared" si="90"/>
        <v>0</v>
      </c>
    </row>
    <row r="2763" spans="2:12">
      <c r="B2763" s="4" t="e">
        <f t="shared" si="89"/>
        <v>#N/A</v>
      </c>
      <c r="C2763" s="4">
        <f>'Raw data'!E2339</f>
        <v>0</v>
      </c>
      <c r="D2763" s="29" t="e">
        <f>VLOOKUP(C2763,'점포코드 '!A:B,2,0)</f>
        <v>#N/A</v>
      </c>
      <c r="E2763" s="30">
        <f>'Raw data'!P2339</f>
        <v>0</v>
      </c>
      <c r="F2763" s="29" t="e">
        <f>VLOOKUP(E2763,'점포코드 '!A:B,2,0)</f>
        <v>#N/A</v>
      </c>
      <c r="G2763" s="46">
        <f>'Raw data'!F2672</f>
        <v>0</v>
      </c>
      <c r="H2763" s="4">
        <f>'Raw data'!G2672</f>
        <v>0</v>
      </c>
      <c r="I2763" s="29" t="e">
        <f>VLOOKUP(G2763,제품명!$C$1:$E$114,2,0)</f>
        <v>#N/A</v>
      </c>
      <c r="J2763" s="29">
        <f>'Raw data'!K2672</f>
        <v>0</v>
      </c>
      <c r="K2763" s="31">
        <f>'Raw data'!H2672</f>
        <v>0</v>
      </c>
      <c r="L2763" s="26">
        <f t="shared" si="90"/>
        <v>0</v>
      </c>
    </row>
    <row r="2764" spans="2:12">
      <c r="B2764" s="4" t="e">
        <f t="shared" si="89"/>
        <v>#N/A</v>
      </c>
      <c r="C2764" s="4">
        <f>'Raw data'!E2340</f>
        <v>0</v>
      </c>
      <c r="D2764" s="29" t="e">
        <f>VLOOKUP(C2764,'점포코드 '!A:B,2,0)</f>
        <v>#N/A</v>
      </c>
      <c r="E2764" s="30">
        <f>'Raw data'!P2340</f>
        <v>0</v>
      </c>
      <c r="F2764" s="29" t="e">
        <f>VLOOKUP(E2764,'점포코드 '!A:B,2,0)</f>
        <v>#N/A</v>
      </c>
      <c r="G2764" s="46">
        <f>'Raw data'!F2673</f>
        <v>0</v>
      </c>
      <c r="H2764" s="4">
        <f>'Raw data'!G2673</f>
        <v>0</v>
      </c>
      <c r="I2764" s="29" t="e">
        <f>VLOOKUP(G2764,제품명!$C$1:$E$114,2,0)</f>
        <v>#N/A</v>
      </c>
      <c r="J2764" s="29">
        <f>'Raw data'!K2673</f>
        <v>0</v>
      </c>
      <c r="K2764" s="31">
        <f>'Raw data'!H2673</f>
        <v>0</v>
      </c>
      <c r="L2764" s="26">
        <f t="shared" si="90"/>
        <v>0</v>
      </c>
    </row>
    <row r="2765" spans="2:12">
      <c r="B2765" s="4" t="e">
        <f t="shared" si="89"/>
        <v>#N/A</v>
      </c>
      <c r="C2765" s="4">
        <f>'Raw data'!E2341</f>
        <v>0</v>
      </c>
      <c r="D2765" s="29" t="e">
        <f>VLOOKUP(C2765,'점포코드 '!A:B,2,0)</f>
        <v>#N/A</v>
      </c>
      <c r="E2765" s="30">
        <f>'Raw data'!P2341</f>
        <v>0</v>
      </c>
      <c r="F2765" s="29" t="e">
        <f>VLOOKUP(E2765,'점포코드 '!A:B,2,0)</f>
        <v>#N/A</v>
      </c>
      <c r="G2765" s="46">
        <f>'Raw data'!F2674</f>
        <v>0</v>
      </c>
      <c r="H2765" s="4">
        <f>'Raw data'!G2674</f>
        <v>0</v>
      </c>
      <c r="I2765" s="29" t="e">
        <f>VLOOKUP(G2765,제품명!$C$1:$E$114,2,0)</f>
        <v>#N/A</v>
      </c>
      <c r="J2765" s="29">
        <f>'Raw data'!K2674</f>
        <v>0</v>
      </c>
      <c r="K2765" s="31">
        <f>'Raw data'!H2674</f>
        <v>0</v>
      </c>
      <c r="L2765" s="26">
        <f t="shared" si="90"/>
        <v>0</v>
      </c>
    </row>
    <row r="2766" spans="2:12">
      <c r="B2766" s="4" t="e">
        <f t="shared" si="89"/>
        <v>#N/A</v>
      </c>
      <c r="C2766" s="4">
        <f>'Raw data'!E2342</f>
        <v>0</v>
      </c>
      <c r="D2766" s="29" t="e">
        <f>VLOOKUP(C2766,'점포코드 '!A:B,2,0)</f>
        <v>#N/A</v>
      </c>
      <c r="E2766" s="30">
        <f>'Raw data'!P2342</f>
        <v>0</v>
      </c>
      <c r="F2766" s="29" t="e">
        <f>VLOOKUP(E2766,'점포코드 '!A:B,2,0)</f>
        <v>#N/A</v>
      </c>
      <c r="G2766" s="46">
        <f>'Raw data'!F2675</f>
        <v>0</v>
      </c>
      <c r="H2766" s="4">
        <f>'Raw data'!G2675</f>
        <v>0</v>
      </c>
      <c r="I2766" s="29" t="e">
        <f>VLOOKUP(G2766,제품명!$C$1:$E$114,2,0)</f>
        <v>#N/A</v>
      </c>
      <c r="J2766" s="29">
        <f>'Raw data'!K2675</f>
        <v>0</v>
      </c>
      <c r="K2766" s="31">
        <f>'Raw data'!H2675</f>
        <v>0</v>
      </c>
      <c r="L2766" s="26">
        <f t="shared" si="90"/>
        <v>0</v>
      </c>
    </row>
    <row r="2767" spans="2:12">
      <c r="B2767" s="4" t="e">
        <f t="shared" si="89"/>
        <v>#N/A</v>
      </c>
      <c r="C2767" s="4">
        <f>'Raw data'!E2343</f>
        <v>0</v>
      </c>
      <c r="D2767" s="29" t="e">
        <f>VLOOKUP(C2767,'점포코드 '!A:B,2,0)</f>
        <v>#N/A</v>
      </c>
      <c r="E2767" s="30">
        <f>'Raw data'!P2343</f>
        <v>0</v>
      </c>
      <c r="F2767" s="29" t="e">
        <f>VLOOKUP(E2767,'점포코드 '!A:B,2,0)</f>
        <v>#N/A</v>
      </c>
      <c r="G2767" s="46">
        <f>'Raw data'!F2676</f>
        <v>0</v>
      </c>
      <c r="H2767" s="4">
        <f>'Raw data'!G2676</f>
        <v>0</v>
      </c>
      <c r="I2767" s="29" t="e">
        <f>VLOOKUP(G2767,제품명!$C$1:$E$114,2,0)</f>
        <v>#N/A</v>
      </c>
      <c r="J2767" s="29">
        <f>'Raw data'!K2676</f>
        <v>0</v>
      </c>
      <c r="K2767" s="31">
        <f>'Raw data'!H2676</f>
        <v>0</v>
      </c>
      <c r="L2767" s="26">
        <f t="shared" si="90"/>
        <v>0</v>
      </c>
    </row>
    <row r="2768" spans="2:12">
      <c r="B2768" s="4" t="e">
        <f t="shared" si="89"/>
        <v>#N/A</v>
      </c>
      <c r="C2768" s="4">
        <f>'Raw data'!E2344</f>
        <v>0</v>
      </c>
      <c r="D2768" s="29" t="e">
        <f>VLOOKUP(C2768,'점포코드 '!A:B,2,0)</f>
        <v>#N/A</v>
      </c>
      <c r="E2768" s="30">
        <f>'Raw data'!P2344</f>
        <v>0</v>
      </c>
      <c r="F2768" s="29" t="e">
        <f>VLOOKUP(E2768,'점포코드 '!A:B,2,0)</f>
        <v>#N/A</v>
      </c>
      <c r="G2768" s="46">
        <f>'Raw data'!F2677</f>
        <v>0</v>
      </c>
      <c r="H2768" s="4">
        <f>'Raw data'!G2677</f>
        <v>0</v>
      </c>
      <c r="I2768" s="29" t="e">
        <f>VLOOKUP(G2768,제품명!$C$1:$E$114,2,0)</f>
        <v>#N/A</v>
      </c>
      <c r="J2768" s="29">
        <f>'Raw data'!K2677</f>
        <v>0</v>
      </c>
      <c r="K2768" s="31">
        <f>'Raw data'!H2677</f>
        <v>0</v>
      </c>
      <c r="L2768" s="26">
        <f t="shared" si="90"/>
        <v>0</v>
      </c>
    </row>
    <row r="2769" spans="2:12">
      <c r="B2769" s="4" t="e">
        <f t="shared" si="89"/>
        <v>#N/A</v>
      </c>
      <c r="C2769" s="4">
        <f>'Raw data'!E2345</f>
        <v>0</v>
      </c>
      <c r="D2769" s="29" t="e">
        <f>VLOOKUP(C2769,'점포코드 '!A:B,2,0)</f>
        <v>#N/A</v>
      </c>
      <c r="E2769" s="30">
        <f>'Raw data'!P2345</f>
        <v>0</v>
      </c>
      <c r="F2769" s="29" t="e">
        <f>VLOOKUP(E2769,'점포코드 '!A:B,2,0)</f>
        <v>#N/A</v>
      </c>
      <c r="G2769" s="46">
        <f>'Raw data'!F2678</f>
        <v>0</v>
      </c>
      <c r="H2769" s="4">
        <f>'Raw data'!G2678</f>
        <v>0</v>
      </c>
      <c r="I2769" s="29" t="e">
        <f>VLOOKUP(G2769,제품명!$C$1:$E$114,2,0)</f>
        <v>#N/A</v>
      </c>
      <c r="J2769" s="29">
        <f>'Raw data'!K2678</f>
        <v>0</v>
      </c>
      <c r="K2769" s="31">
        <f>'Raw data'!H2678</f>
        <v>0</v>
      </c>
      <c r="L2769" s="26">
        <f t="shared" si="90"/>
        <v>0</v>
      </c>
    </row>
    <row r="2770" spans="2:12">
      <c r="B2770" s="4" t="e">
        <f t="shared" si="89"/>
        <v>#N/A</v>
      </c>
      <c r="C2770" s="4">
        <f>'Raw data'!E2346</f>
        <v>0</v>
      </c>
      <c r="D2770" s="29" t="e">
        <f>VLOOKUP(C2770,'점포코드 '!A:B,2,0)</f>
        <v>#N/A</v>
      </c>
      <c r="E2770" s="30">
        <f>'Raw data'!P2346</f>
        <v>0</v>
      </c>
      <c r="F2770" s="29" t="e">
        <f>VLOOKUP(E2770,'점포코드 '!A:B,2,0)</f>
        <v>#N/A</v>
      </c>
      <c r="G2770" s="46">
        <f>'Raw data'!F2679</f>
        <v>0</v>
      </c>
      <c r="H2770" s="4">
        <f>'Raw data'!G2679</f>
        <v>0</v>
      </c>
      <c r="I2770" s="29" t="e">
        <f>VLOOKUP(G2770,제품명!$C$1:$E$114,2,0)</f>
        <v>#N/A</v>
      </c>
      <c r="J2770" s="29">
        <f>'Raw data'!K2679</f>
        <v>0</v>
      </c>
      <c r="K2770" s="31">
        <f>'Raw data'!H2679</f>
        <v>0</v>
      </c>
      <c r="L2770" s="26">
        <f t="shared" si="90"/>
        <v>0</v>
      </c>
    </row>
    <row r="2771" spans="2:12">
      <c r="B2771" s="4" t="e">
        <f t="shared" si="89"/>
        <v>#N/A</v>
      </c>
      <c r="C2771" s="4">
        <f>'Raw data'!E2347</f>
        <v>0</v>
      </c>
      <c r="D2771" s="29" t="e">
        <f>VLOOKUP(C2771,'점포코드 '!A:B,2,0)</f>
        <v>#N/A</v>
      </c>
      <c r="E2771" s="30">
        <f>'Raw data'!P2347</f>
        <v>0</v>
      </c>
      <c r="F2771" s="29" t="e">
        <f>VLOOKUP(E2771,'점포코드 '!A:B,2,0)</f>
        <v>#N/A</v>
      </c>
      <c r="G2771" s="46">
        <f>'Raw data'!F2680</f>
        <v>0</v>
      </c>
      <c r="H2771" s="4">
        <f>'Raw data'!G2680</f>
        <v>0</v>
      </c>
      <c r="I2771" s="29" t="e">
        <f>VLOOKUP(G2771,제품명!$C$1:$E$114,2,0)</f>
        <v>#N/A</v>
      </c>
      <c r="J2771" s="29">
        <f>'Raw data'!K2680</f>
        <v>0</v>
      </c>
      <c r="K2771" s="31">
        <f>'Raw data'!H2680</f>
        <v>0</v>
      </c>
      <c r="L2771" s="26">
        <f t="shared" si="90"/>
        <v>0</v>
      </c>
    </row>
    <row r="2772" spans="2:12">
      <c r="B2772" s="4" t="e">
        <f t="shared" si="89"/>
        <v>#N/A</v>
      </c>
      <c r="C2772" s="4">
        <f>'Raw data'!E2348</f>
        <v>0</v>
      </c>
      <c r="D2772" s="29" t="e">
        <f>VLOOKUP(C2772,'점포코드 '!A:B,2,0)</f>
        <v>#N/A</v>
      </c>
      <c r="E2772" s="30">
        <f>'Raw data'!P2348</f>
        <v>0</v>
      </c>
      <c r="F2772" s="29" t="e">
        <f>VLOOKUP(E2772,'점포코드 '!A:B,2,0)</f>
        <v>#N/A</v>
      </c>
      <c r="G2772" s="46">
        <f>'Raw data'!F2681</f>
        <v>0</v>
      </c>
      <c r="H2772" s="4">
        <f>'Raw data'!G2681</f>
        <v>0</v>
      </c>
      <c r="I2772" s="29" t="e">
        <f>VLOOKUP(G2772,제품명!$C$1:$E$114,2,0)</f>
        <v>#N/A</v>
      </c>
      <c r="J2772" s="29">
        <f>'Raw data'!K2681</f>
        <v>0</v>
      </c>
      <c r="K2772" s="31">
        <f>'Raw data'!H2681</f>
        <v>0</v>
      </c>
      <c r="L2772" s="26">
        <f t="shared" si="90"/>
        <v>0</v>
      </c>
    </row>
    <row r="2773" spans="2:12">
      <c r="B2773" s="4" t="e">
        <f t="shared" si="89"/>
        <v>#N/A</v>
      </c>
      <c r="C2773" s="4">
        <f>'Raw data'!E2349</f>
        <v>0</v>
      </c>
      <c r="D2773" s="29" t="e">
        <f>VLOOKUP(C2773,'점포코드 '!A:B,2,0)</f>
        <v>#N/A</v>
      </c>
      <c r="E2773" s="30">
        <f>'Raw data'!P2349</f>
        <v>0</v>
      </c>
      <c r="F2773" s="29" t="e">
        <f>VLOOKUP(E2773,'점포코드 '!A:B,2,0)</f>
        <v>#N/A</v>
      </c>
      <c r="G2773" s="46">
        <f>'Raw data'!F2682</f>
        <v>0</v>
      </c>
      <c r="H2773" s="4">
        <f>'Raw data'!G2682</f>
        <v>0</v>
      </c>
      <c r="I2773" s="29" t="e">
        <f>VLOOKUP(G2773,제품명!$C$1:$E$114,2,0)</f>
        <v>#N/A</v>
      </c>
      <c r="J2773" s="29">
        <f>'Raw data'!K2682</f>
        <v>0</v>
      </c>
      <c r="K2773" s="31">
        <f>'Raw data'!H2682</f>
        <v>0</v>
      </c>
      <c r="L2773" s="26">
        <f t="shared" si="90"/>
        <v>0</v>
      </c>
    </row>
    <row r="2774" spans="2:12">
      <c r="B2774" s="4" t="e">
        <f t="shared" si="89"/>
        <v>#N/A</v>
      </c>
      <c r="C2774" s="4">
        <f>'Raw data'!E2350</f>
        <v>0</v>
      </c>
      <c r="D2774" s="29" t="e">
        <f>VLOOKUP(C2774,'점포코드 '!A:B,2,0)</f>
        <v>#N/A</v>
      </c>
      <c r="E2774" s="30">
        <f>'Raw data'!P2350</f>
        <v>0</v>
      </c>
      <c r="F2774" s="29" t="e">
        <f>VLOOKUP(E2774,'점포코드 '!A:B,2,0)</f>
        <v>#N/A</v>
      </c>
      <c r="G2774" s="46">
        <f>'Raw data'!F2683</f>
        <v>0</v>
      </c>
      <c r="H2774" s="4">
        <f>'Raw data'!G2683</f>
        <v>0</v>
      </c>
      <c r="I2774" s="29" t="e">
        <f>VLOOKUP(G2774,제품명!$C$1:$E$114,2,0)</f>
        <v>#N/A</v>
      </c>
      <c r="J2774" s="29">
        <f>'Raw data'!K2683</f>
        <v>0</v>
      </c>
      <c r="K2774" s="31">
        <f>'Raw data'!H2683</f>
        <v>0</v>
      </c>
      <c r="L2774" s="26">
        <f t="shared" si="90"/>
        <v>0</v>
      </c>
    </row>
    <row r="2775" spans="2:12">
      <c r="B2775" s="4" t="e">
        <f t="shared" si="89"/>
        <v>#N/A</v>
      </c>
      <c r="C2775" s="4">
        <f>'Raw data'!E2351</f>
        <v>0</v>
      </c>
      <c r="D2775" s="29" t="e">
        <f>VLOOKUP(C2775,'점포코드 '!A:B,2,0)</f>
        <v>#N/A</v>
      </c>
      <c r="E2775" s="30">
        <f>'Raw data'!P2351</f>
        <v>0</v>
      </c>
      <c r="F2775" s="29" t="e">
        <f>VLOOKUP(E2775,'점포코드 '!A:B,2,0)</f>
        <v>#N/A</v>
      </c>
      <c r="G2775" s="46">
        <f>'Raw data'!F2684</f>
        <v>0</v>
      </c>
      <c r="H2775" s="4">
        <f>'Raw data'!G2684</f>
        <v>0</v>
      </c>
      <c r="I2775" s="29" t="e">
        <f>VLOOKUP(G2775,제품명!$C$1:$E$114,2,0)</f>
        <v>#N/A</v>
      </c>
      <c r="J2775" s="29">
        <f>'Raw data'!K2684</f>
        <v>0</v>
      </c>
      <c r="K2775" s="31">
        <f>'Raw data'!H2684</f>
        <v>0</v>
      </c>
      <c r="L2775" s="26">
        <f t="shared" si="90"/>
        <v>0</v>
      </c>
    </row>
    <row r="2776" spans="2:12">
      <c r="B2776" s="4" t="e">
        <f t="shared" si="89"/>
        <v>#N/A</v>
      </c>
      <c r="C2776" s="4">
        <f>'Raw data'!E2352</f>
        <v>0</v>
      </c>
      <c r="D2776" s="29" t="e">
        <f>VLOOKUP(C2776,'점포코드 '!A:B,2,0)</f>
        <v>#N/A</v>
      </c>
      <c r="E2776" s="30">
        <f>'Raw data'!P2352</f>
        <v>0</v>
      </c>
      <c r="F2776" s="29" t="e">
        <f>VLOOKUP(E2776,'점포코드 '!A:B,2,0)</f>
        <v>#N/A</v>
      </c>
      <c r="G2776" s="46">
        <f>'Raw data'!F2685</f>
        <v>0</v>
      </c>
      <c r="H2776" s="4">
        <f>'Raw data'!G2685</f>
        <v>0</v>
      </c>
      <c r="I2776" s="29" t="e">
        <f>VLOOKUP(G2776,제품명!$C$1:$E$114,2,0)</f>
        <v>#N/A</v>
      </c>
      <c r="J2776" s="29">
        <f>'Raw data'!K2685</f>
        <v>0</v>
      </c>
      <c r="K2776" s="31">
        <f>'Raw data'!H2685</f>
        <v>0</v>
      </c>
      <c r="L2776" s="26">
        <f t="shared" si="90"/>
        <v>0</v>
      </c>
    </row>
    <row r="2777" spans="2:12">
      <c r="B2777" s="4" t="e">
        <f t="shared" si="89"/>
        <v>#N/A</v>
      </c>
      <c r="C2777" s="4">
        <f>'Raw data'!E2353</f>
        <v>0</v>
      </c>
      <c r="D2777" s="29" t="e">
        <f>VLOOKUP(C2777,'점포코드 '!A:B,2,0)</f>
        <v>#N/A</v>
      </c>
      <c r="E2777" s="30">
        <f>'Raw data'!P2353</f>
        <v>0</v>
      </c>
      <c r="F2777" s="29" t="e">
        <f>VLOOKUP(E2777,'점포코드 '!A:B,2,0)</f>
        <v>#N/A</v>
      </c>
      <c r="G2777" s="46">
        <f>'Raw data'!F2686</f>
        <v>0</v>
      </c>
      <c r="H2777" s="4">
        <f>'Raw data'!G2686</f>
        <v>0</v>
      </c>
      <c r="I2777" s="29" t="e">
        <f>VLOOKUP(G2777,제품명!$C$1:$E$114,2,0)</f>
        <v>#N/A</v>
      </c>
      <c r="J2777" s="29">
        <f>'Raw data'!K2686</f>
        <v>0</v>
      </c>
      <c r="K2777" s="31">
        <f>'Raw data'!H2686</f>
        <v>0</v>
      </c>
      <c r="L2777" s="26">
        <f t="shared" si="90"/>
        <v>0</v>
      </c>
    </row>
    <row r="2778" spans="2:12">
      <c r="B2778" s="4" t="e">
        <f t="shared" si="89"/>
        <v>#N/A</v>
      </c>
      <c r="C2778" s="4">
        <f>'Raw data'!E2354</f>
        <v>0</v>
      </c>
      <c r="D2778" s="29" t="e">
        <f>VLOOKUP(C2778,'점포코드 '!A:B,2,0)</f>
        <v>#N/A</v>
      </c>
      <c r="E2778" s="30">
        <f>'Raw data'!P2354</f>
        <v>0</v>
      </c>
      <c r="F2778" s="29" t="e">
        <f>VLOOKUP(E2778,'점포코드 '!A:B,2,0)</f>
        <v>#N/A</v>
      </c>
      <c r="G2778" s="46">
        <f>'Raw data'!F2687</f>
        <v>0</v>
      </c>
      <c r="H2778" s="4">
        <f>'Raw data'!G2687</f>
        <v>0</v>
      </c>
      <c r="I2778" s="29" t="e">
        <f>VLOOKUP(G2778,제품명!$C$1:$E$114,2,0)</f>
        <v>#N/A</v>
      </c>
      <c r="J2778" s="29">
        <f>'Raw data'!K2687</f>
        <v>0</v>
      </c>
      <c r="K2778" s="31">
        <f>'Raw data'!H2687</f>
        <v>0</v>
      </c>
      <c r="L2778" s="26">
        <f t="shared" si="90"/>
        <v>0</v>
      </c>
    </row>
    <row r="2779" spans="2:12">
      <c r="B2779" s="4" t="e">
        <f t="shared" si="89"/>
        <v>#N/A</v>
      </c>
      <c r="C2779" s="4">
        <f>'Raw data'!E2355</f>
        <v>0</v>
      </c>
      <c r="D2779" s="29" t="e">
        <f>VLOOKUP(C2779,'점포코드 '!A:B,2,0)</f>
        <v>#N/A</v>
      </c>
      <c r="E2779" s="30">
        <f>'Raw data'!P2355</f>
        <v>0</v>
      </c>
      <c r="F2779" s="29" t="e">
        <f>VLOOKUP(E2779,'점포코드 '!A:B,2,0)</f>
        <v>#N/A</v>
      </c>
      <c r="G2779" s="46">
        <f>'Raw data'!F2688</f>
        <v>0</v>
      </c>
      <c r="H2779" s="4">
        <f>'Raw data'!G2688</f>
        <v>0</v>
      </c>
      <c r="I2779" s="29" t="e">
        <f>VLOOKUP(G2779,제품명!$C$1:$E$114,2,0)</f>
        <v>#N/A</v>
      </c>
      <c r="J2779" s="29">
        <f>'Raw data'!K2688</f>
        <v>0</v>
      </c>
      <c r="K2779" s="31">
        <f>'Raw data'!H2688</f>
        <v>0</v>
      </c>
      <c r="L2779" s="26">
        <f t="shared" si="90"/>
        <v>0</v>
      </c>
    </row>
    <row r="2780" spans="2:12">
      <c r="B2780" s="4" t="e">
        <f t="shared" si="89"/>
        <v>#N/A</v>
      </c>
      <c r="C2780" s="4">
        <f>'Raw data'!E2356</f>
        <v>0</v>
      </c>
      <c r="D2780" s="29" t="e">
        <f>VLOOKUP(C2780,'점포코드 '!A:B,2,0)</f>
        <v>#N/A</v>
      </c>
      <c r="E2780" s="30">
        <f>'Raw data'!P2356</f>
        <v>0</v>
      </c>
      <c r="F2780" s="29" t="e">
        <f>VLOOKUP(E2780,'점포코드 '!A:B,2,0)</f>
        <v>#N/A</v>
      </c>
      <c r="G2780" s="46">
        <f>'Raw data'!F2689</f>
        <v>0</v>
      </c>
      <c r="H2780" s="4">
        <f>'Raw data'!G2689</f>
        <v>0</v>
      </c>
      <c r="I2780" s="29" t="e">
        <f>VLOOKUP(G2780,제품명!$C$1:$E$114,2,0)</f>
        <v>#N/A</v>
      </c>
      <c r="J2780" s="29">
        <f>'Raw data'!K2689</f>
        <v>0</v>
      </c>
      <c r="K2780" s="31">
        <f>'Raw data'!H2689</f>
        <v>0</v>
      </c>
      <c r="L2780" s="26">
        <f t="shared" si="90"/>
        <v>0</v>
      </c>
    </row>
    <row r="2781" spans="2:12">
      <c r="B2781" s="4" t="e">
        <f t="shared" si="89"/>
        <v>#N/A</v>
      </c>
      <c r="C2781" s="4">
        <f>'Raw data'!E2357</f>
        <v>0</v>
      </c>
      <c r="D2781" s="29" t="e">
        <f>VLOOKUP(C2781,'점포코드 '!A:B,2,0)</f>
        <v>#N/A</v>
      </c>
      <c r="E2781" s="30">
        <f>'Raw data'!P2357</f>
        <v>0</v>
      </c>
      <c r="F2781" s="29" t="e">
        <f>VLOOKUP(E2781,'점포코드 '!A:B,2,0)</f>
        <v>#N/A</v>
      </c>
      <c r="G2781" s="46">
        <f>'Raw data'!F2690</f>
        <v>0</v>
      </c>
      <c r="H2781" s="4">
        <f>'Raw data'!G2690</f>
        <v>0</v>
      </c>
      <c r="I2781" s="29" t="e">
        <f>VLOOKUP(G2781,제품명!$C$1:$E$114,2,0)</f>
        <v>#N/A</v>
      </c>
      <c r="J2781" s="29">
        <f>'Raw data'!K2690</f>
        <v>0</v>
      </c>
      <c r="K2781" s="31">
        <f>'Raw data'!H2690</f>
        <v>0</v>
      </c>
      <c r="L2781" s="26">
        <f t="shared" si="90"/>
        <v>0</v>
      </c>
    </row>
    <row r="2782" spans="2:12">
      <c r="B2782" s="4" t="e">
        <f t="shared" si="89"/>
        <v>#N/A</v>
      </c>
      <c r="C2782" s="4">
        <f>'Raw data'!E2358</f>
        <v>0</v>
      </c>
      <c r="D2782" s="29" t="e">
        <f>VLOOKUP(C2782,'점포코드 '!A:B,2,0)</f>
        <v>#N/A</v>
      </c>
      <c r="E2782" s="30">
        <f>'Raw data'!P2358</f>
        <v>0</v>
      </c>
      <c r="F2782" s="29" t="e">
        <f>VLOOKUP(E2782,'점포코드 '!A:B,2,0)</f>
        <v>#N/A</v>
      </c>
      <c r="G2782" s="46">
        <f>'Raw data'!F2691</f>
        <v>0</v>
      </c>
      <c r="H2782" s="4">
        <f>'Raw data'!G2691</f>
        <v>0</v>
      </c>
      <c r="I2782" s="29" t="e">
        <f>VLOOKUP(G2782,제품명!$C$1:$E$114,2,0)</f>
        <v>#N/A</v>
      </c>
      <c r="J2782" s="29">
        <f>'Raw data'!K2691</f>
        <v>0</v>
      </c>
      <c r="K2782" s="31">
        <f>'Raw data'!H2691</f>
        <v>0</v>
      </c>
      <c r="L2782" s="26">
        <f t="shared" si="90"/>
        <v>0</v>
      </c>
    </row>
    <row r="2783" spans="2:12">
      <c r="B2783" s="4" t="e">
        <f t="shared" si="89"/>
        <v>#N/A</v>
      </c>
      <c r="C2783" s="4">
        <f>'Raw data'!E2359</f>
        <v>0</v>
      </c>
      <c r="D2783" s="29" t="e">
        <f>VLOOKUP(C2783,'점포코드 '!A:B,2,0)</f>
        <v>#N/A</v>
      </c>
      <c r="E2783" s="30">
        <f>'Raw data'!P2359</f>
        <v>0</v>
      </c>
      <c r="F2783" s="29" t="e">
        <f>VLOOKUP(E2783,'점포코드 '!A:B,2,0)</f>
        <v>#N/A</v>
      </c>
      <c r="G2783" s="46">
        <f>'Raw data'!F2692</f>
        <v>0</v>
      </c>
      <c r="H2783" s="4">
        <f>'Raw data'!G2692</f>
        <v>0</v>
      </c>
      <c r="I2783" s="29" t="e">
        <f>VLOOKUP(G2783,제품명!$C$1:$E$114,2,0)</f>
        <v>#N/A</v>
      </c>
      <c r="J2783" s="29">
        <f>'Raw data'!K2692</f>
        <v>0</v>
      </c>
      <c r="K2783" s="31">
        <f>'Raw data'!H2692</f>
        <v>0</v>
      </c>
      <c r="L2783" s="26">
        <f t="shared" si="90"/>
        <v>0</v>
      </c>
    </row>
    <row r="2784" spans="2:12">
      <c r="B2784" s="4" t="e">
        <f t="shared" si="89"/>
        <v>#N/A</v>
      </c>
      <c r="C2784" s="4">
        <f>'Raw data'!E2360</f>
        <v>0</v>
      </c>
      <c r="D2784" s="29" t="e">
        <f>VLOOKUP(C2784,'점포코드 '!A:B,2,0)</f>
        <v>#N/A</v>
      </c>
      <c r="E2784" s="30">
        <f>'Raw data'!P2360</f>
        <v>0</v>
      </c>
      <c r="F2784" s="29" t="e">
        <f>VLOOKUP(E2784,'점포코드 '!A:B,2,0)</f>
        <v>#N/A</v>
      </c>
      <c r="G2784" s="46">
        <f>'Raw data'!F2693</f>
        <v>0</v>
      </c>
      <c r="H2784" s="4">
        <f>'Raw data'!G2693</f>
        <v>0</v>
      </c>
      <c r="I2784" s="29" t="e">
        <f>VLOOKUP(G2784,제품명!$C$1:$E$114,2,0)</f>
        <v>#N/A</v>
      </c>
      <c r="J2784" s="29">
        <f>'Raw data'!K2693</f>
        <v>0</v>
      </c>
      <c r="K2784" s="31">
        <f>'Raw data'!H2693</f>
        <v>0</v>
      </c>
      <c r="L2784" s="26">
        <f t="shared" si="90"/>
        <v>0</v>
      </c>
    </row>
    <row r="2785" spans="2:12">
      <c r="B2785" s="4" t="e">
        <f t="shared" si="89"/>
        <v>#N/A</v>
      </c>
      <c r="C2785" s="4">
        <f>'Raw data'!E2361</f>
        <v>0</v>
      </c>
      <c r="D2785" s="29" t="e">
        <f>VLOOKUP(C2785,'점포코드 '!A:B,2,0)</f>
        <v>#N/A</v>
      </c>
      <c r="E2785" s="30">
        <f>'Raw data'!P2361</f>
        <v>0</v>
      </c>
      <c r="F2785" s="29" t="e">
        <f>VLOOKUP(E2785,'점포코드 '!A:B,2,0)</f>
        <v>#N/A</v>
      </c>
      <c r="G2785" s="46">
        <f>'Raw data'!F2694</f>
        <v>0</v>
      </c>
      <c r="H2785" s="4">
        <f>'Raw data'!G2694</f>
        <v>0</v>
      </c>
      <c r="I2785" s="29" t="e">
        <f>VLOOKUP(G2785,제품명!$C$1:$E$114,2,0)</f>
        <v>#N/A</v>
      </c>
      <c r="J2785" s="29">
        <f>'Raw data'!K2694</f>
        <v>0</v>
      </c>
      <c r="K2785" s="31">
        <f>'Raw data'!H2694</f>
        <v>0</v>
      </c>
      <c r="L2785" s="26">
        <f t="shared" si="90"/>
        <v>0</v>
      </c>
    </row>
    <row r="2786" spans="2:12">
      <c r="B2786" s="4" t="e">
        <f t="shared" si="89"/>
        <v>#N/A</v>
      </c>
      <c r="C2786" s="4">
        <f>'Raw data'!E2362</f>
        <v>0</v>
      </c>
      <c r="D2786" s="29" t="e">
        <f>VLOOKUP(C2786,'점포코드 '!A:B,2,0)</f>
        <v>#N/A</v>
      </c>
      <c r="E2786" s="30">
        <f>'Raw data'!P2362</f>
        <v>0</v>
      </c>
      <c r="F2786" s="29" t="e">
        <f>VLOOKUP(E2786,'점포코드 '!A:B,2,0)</f>
        <v>#N/A</v>
      </c>
      <c r="G2786" s="46">
        <f>'Raw data'!F2695</f>
        <v>0</v>
      </c>
      <c r="H2786" s="4">
        <f>'Raw data'!G2695</f>
        <v>0</v>
      </c>
      <c r="I2786" s="29" t="e">
        <f>VLOOKUP(G2786,제품명!$C$1:$E$114,2,0)</f>
        <v>#N/A</v>
      </c>
      <c r="J2786" s="29">
        <f>'Raw data'!K2695</f>
        <v>0</v>
      </c>
      <c r="K2786" s="31">
        <f>'Raw data'!H2695</f>
        <v>0</v>
      </c>
      <c r="L2786" s="26">
        <f t="shared" si="90"/>
        <v>0</v>
      </c>
    </row>
    <row r="2787" spans="2:12">
      <c r="B2787" s="4" t="e">
        <f t="shared" si="89"/>
        <v>#N/A</v>
      </c>
      <c r="C2787" s="4">
        <f>'Raw data'!E2363</f>
        <v>0</v>
      </c>
      <c r="D2787" s="29" t="e">
        <f>VLOOKUP(C2787,'점포코드 '!A:B,2,0)</f>
        <v>#N/A</v>
      </c>
      <c r="E2787" s="30">
        <f>'Raw data'!P2363</f>
        <v>0</v>
      </c>
      <c r="F2787" s="29" t="e">
        <f>VLOOKUP(E2787,'점포코드 '!A:B,2,0)</f>
        <v>#N/A</v>
      </c>
      <c r="G2787" s="46">
        <f>'Raw data'!F2696</f>
        <v>0</v>
      </c>
      <c r="H2787" s="4">
        <f>'Raw data'!G2696</f>
        <v>0</v>
      </c>
      <c r="I2787" s="29" t="e">
        <f>VLOOKUP(G2787,제품명!$C$1:$E$114,2,0)</f>
        <v>#N/A</v>
      </c>
      <c r="J2787" s="29">
        <f>'Raw data'!K2696</f>
        <v>0</v>
      </c>
      <c r="K2787" s="31">
        <f>'Raw data'!H2696</f>
        <v>0</v>
      </c>
      <c r="L2787" s="26">
        <f t="shared" si="90"/>
        <v>0</v>
      </c>
    </row>
    <row r="2788" spans="2:12">
      <c r="B2788" s="4" t="e">
        <f t="shared" si="89"/>
        <v>#N/A</v>
      </c>
      <c r="C2788" s="4">
        <f>'Raw data'!E2364</f>
        <v>0</v>
      </c>
      <c r="D2788" s="29" t="e">
        <f>VLOOKUP(C2788,'점포코드 '!A:B,2,0)</f>
        <v>#N/A</v>
      </c>
      <c r="E2788" s="30">
        <f>'Raw data'!P2364</f>
        <v>0</v>
      </c>
      <c r="F2788" s="29" t="e">
        <f>VLOOKUP(E2788,'점포코드 '!A:B,2,0)</f>
        <v>#N/A</v>
      </c>
      <c r="G2788" s="46">
        <f>'Raw data'!F2697</f>
        <v>0</v>
      </c>
      <c r="H2788" s="4">
        <f>'Raw data'!G2697</f>
        <v>0</v>
      </c>
      <c r="I2788" s="29" t="e">
        <f>VLOOKUP(G2788,제품명!$C$1:$E$114,2,0)</f>
        <v>#N/A</v>
      </c>
      <c r="J2788" s="29">
        <f>'Raw data'!K2697</f>
        <v>0</v>
      </c>
      <c r="K2788" s="31">
        <f>'Raw data'!H2697</f>
        <v>0</v>
      </c>
      <c r="L2788" s="26">
        <f t="shared" si="90"/>
        <v>0</v>
      </c>
    </row>
    <row r="2789" spans="2:12">
      <c r="B2789" s="4" t="e">
        <f t="shared" si="89"/>
        <v>#N/A</v>
      </c>
      <c r="C2789" s="4">
        <f>'Raw data'!E2365</f>
        <v>0</v>
      </c>
      <c r="D2789" s="29" t="e">
        <f>VLOOKUP(C2789,'점포코드 '!A:B,2,0)</f>
        <v>#N/A</v>
      </c>
      <c r="E2789" s="30">
        <f>'Raw data'!P2365</f>
        <v>0</v>
      </c>
      <c r="F2789" s="29" t="e">
        <f>VLOOKUP(E2789,'점포코드 '!A:B,2,0)</f>
        <v>#N/A</v>
      </c>
      <c r="G2789" s="46">
        <f>'Raw data'!F2698</f>
        <v>0</v>
      </c>
      <c r="H2789" s="4">
        <f>'Raw data'!G2698</f>
        <v>0</v>
      </c>
      <c r="I2789" s="29" t="e">
        <f>VLOOKUP(G2789,제품명!$C$1:$E$114,2,0)</f>
        <v>#N/A</v>
      </c>
      <c r="J2789" s="29">
        <f>'Raw data'!K2698</f>
        <v>0</v>
      </c>
      <c r="K2789" s="31">
        <f>'Raw data'!H2698</f>
        <v>0</v>
      </c>
      <c r="L2789" s="26">
        <f t="shared" si="90"/>
        <v>0</v>
      </c>
    </row>
    <row r="2790" spans="2:12">
      <c r="B2790" s="4" t="e">
        <f t="shared" si="89"/>
        <v>#N/A</v>
      </c>
      <c r="C2790" s="4">
        <f>'Raw data'!E2366</f>
        <v>0</v>
      </c>
      <c r="D2790" s="29" t="e">
        <f>VLOOKUP(C2790,'점포코드 '!A:B,2,0)</f>
        <v>#N/A</v>
      </c>
      <c r="E2790" s="30">
        <f>'Raw data'!P2366</f>
        <v>0</v>
      </c>
      <c r="F2790" s="29" t="e">
        <f>VLOOKUP(E2790,'점포코드 '!A:B,2,0)</f>
        <v>#N/A</v>
      </c>
      <c r="G2790" s="46">
        <f>'Raw data'!F2699</f>
        <v>0</v>
      </c>
      <c r="H2790" s="4">
        <f>'Raw data'!G2699</f>
        <v>0</v>
      </c>
      <c r="I2790" s="29" t="e">
        <f>VLOOKUP(G2790,제품명!$C$1:$E$114,2,0)</f>
        <v>#N/A</v>
      </c>
      <c r="J2790" s="29">
        <f>'Raw data'!K2699</f>
        <v>0</v>
      </c>
      <c r="K2790" s="31">
        <f>'Raw data'!H2699</f>
        <v>0</v>
      </c>
      <c r="L2790" s="26">
        <f t="shared" si="90"/>
        <v>0</v>
      </c>
    </row>
    <row r="2791" spans="2:12">
      <c r="B2791" s="4" t="e">
        <f t="shared" si="89"/>
        <v>#N/A</v>
      </c>
      <c r="C2791" s="4">
        <f>'Raw data'!E2367</f>
        <v>0</v>
      </c>
      <c r="D2791" s="29" t="e">
        <f>VLOOKUP(C2791,'점포코드 '!A:B,2,0)</f>
        <v>#N/A</v>
      </c>
      <c r="E2791" s="30">
        <f>'Raw data'!P2367</f>
        <v>0</v>
      </c>
      <c r="F2791" s="29" t="e">
        <f>VLOOKUP(E2791,'점포코드 '!A:B,2,0)</f>
        <v>#N/A</v>
      </c>
      <c r="G2791" s="46">
        <f>'Raw data'!F2700</f>
        <v>0</v>
      </c>
      <c r="H2791" s="4">
        <f>'Raw data'!G2700</f>
        <v>0</v>
      </c>
      <c r="I2791" s="29" t="e">
        <f>VLOOKUP(G2791,제품명!$C$1:$E$114,2,0)</f>
        <v>#N/A</v>
      </c>
      <c r="J2791" s="29">
        <f>'Raw data'!K2700</f>
        <v>0</v>
      </c>
      <c r="K2791" s="31">
        <f>'Raw data'!H2700</f>
        <v>0</v>
      </c>
      <c r="L2791" s="26">
        <f t="shared" si="90"/>
        <v>0</v>
      </c>
    </row>
    <row r="2792" spans="2:12">
      <c r="B2792" s="4" t="e">
        <f t="shared" si="89"/>
        <v>#N/A</v>
      </c>
      <c r="C2792" s="4">
        <f>'Raw data'!E2368</f>
        <v>0</v>
      </c>
      <c r="D2792" s="29" t="e">
        <f>VLOOKUP(C2792,'점포코드 '!A:B,2,0)</f>
        <v>#N/A</v>
      </c>
      <c r="E2792" s="30">
        <f>'Raw data'!P2368</f>
        <v>0</v>
      </c>
      <c r="F2792" s="29" t="e">
        <f>VLOOKUP(E2792,'점포코드 '!A:B,2,0)</f>
        <v>#N/A</v>
      </c>
      <c r="G2792" s="46">
        <f>'Raw data'!F2701</f>
        <v>0</v>
      </c>
      <c r="H2792" s="4">
        <f>'Raw data'!G2701</f>
        <v>0</v>
      </c>
      <c r="I2792" s="29" t="e">
        <f>VLOOKUP(G2792,제품명!$C$1:$E$114,2,0)</f>
        <v>#N/A</v>
      </c>
      <c r="J2792" s="29">
        <f>'Raw data'!K2701</f>
        <v>0</v>
      </c>
      <c r="K2792" s="31">
        <f>'Raw data'!H2701</f>
        <v>0</v>
      </c>
      <c r="L2792" s="26">
        <f t="shared" si="90"/>
        <v>0</v>
      </c>
    </row>
    <row r="2793" spans="2:12">
      <c r="B2793" s="4" t="e">
        <f t="shared" si="89"/>
        <v>#N/A</v>
      </c>
      <c r="C2793" s="4">
        <f>'Raw data'!E2369</f>
        <v>0</v>
      </c>
      <c r="D2793" s="29" t="e">
        <f>VLOOKUP(C2793,'점포코드 '!A:B,2,0)</f>
        <v>#N/A</v>
      </c>
      <c r="E2793" s="30">
        <f>'Raw data'!P2369</f>
        <v>0</v>
      </c>
      <c r="F2793" s="29" t="e">
        <f>VLOOKUP(E2793,'점포코드 '!A:B,2,0)</f>
        <v>#N/A</v>
      </c>
      <c r="G2793" s="46">
        <f>'Raw data'!F2702</f>
        <v>0</v>
      </c>
      <c r="H2793" s="4">
        <f>'Raw data'!G2702</f>
        <v>0</v>
      </c>
      <c r="I2793" s="29" t="e">
        <f>VLOOKUP(G2793,제품명!$C$1:$E$114,2,0)</f>
        <v>#N/A</v>
      </c>
      <c r="J2793" s="29">
        <f>'Raw data'!K2702</f>
        <v>0</v>
      </c>
      <c r="K2793" s="31">
        <f>'Raw data'!H2702</f>
        <v>0</v>
      </c>
      <c r="L2793" s="26">
        <f t="shared" si="90"/>
        <v>0</v>
      </c>
    </row>
    <row r="2794" spans="2:12">
      <c r="B2794" s="4" t="e">
        <f t="shared" si="89"/>
        <v>#N/A</v>
      </c>
      <c r="C2794" s="4">
        <f>'Raw data'!E2370</f>
        <v>0</v>
      </c>
      <c r="D2794" s="29" t="e">
        <f>VLOOKUP(C2794,'점포코드 '!A:B,2,0)</f>
        <v>#N/A</v>
      </c>
      <c r="E2794" s="30">
        <f>'Raw data'!P2370</f>
        <v>0</v>
      </c>
      <c r="F2794" s="29" t="e">
        <f>VLOOKUP(E2794,'점포코드 '!A:B,2,0)</f>
        <v>#N/A</v>
      </c>
      <c r="G2794" s="46">
        <f>'Raw data'!F2703</f>
        <v>0</v>
      </c>
      <c r="H2794" s="4">
        <f>'Raw data'!G2703</f>
        <v>0</v>
      </c>
      <c r="I2794" s="29" t="e">
        <f>VLOOKUP(G2794,제품명!$C$1:$E$114,2,0)</f>
        <v>#N/A</v>
      </c>
      <c r="J2794" s="29">
        <f>'Raw data'!K2703</f>
        <v>0</v>
      </c>
      <c r="K2794" s="31">
        <f>'Raw data'!H2703</f>
        <v>0</v>
      </c>
      <c r="L2794" s="26">
        <f t="shared" si="90"/>
        <v>0</v>
      </c>
    </row>
    <row r="2795" spans="2:12">
      <c r="B2795" s="4" t="e">
        <f t="shared" si="89"/>
        <v>#N/A</v>
      </c>
      <c r="C2795" s="4">
        <f>'Raw data'!E2371</f>
        <v>0</v>
      </c>
      <c r="D2795" s="29" t="e">
        <f>VLOOKUP(C2795,'점포코드 '!A:B,2,0)</f>
        <v>#N/A</v>
      </c>
      <c r="E2795" s="30">
        <f>'Raw data'!P2371</f>
        <v>0</v>
      </c>
      <c r="F2795" s="29" t="e">
        <f>VLOOKUP(E2795,'점포코드 '!A:B,2,0)</f>
        <v>#N/A</v>
      </c>
      <c r="G2795" s="46">
        <f>'Raw data'!F2704</f>
        <v>0</v>
      </c>
      <c r="H2795" s="4">
        <f>'Raw data'!G2704</f>
        <v>0</v>
      </c>
      <c r="I2795" s="29" t="e">
        <f>VLOOKUP(G2795,제품명!$C$1:$E$114,2,0)</f>
        <v>#N/A</v>
      </c>
      <c r="J2795" s="29">
        <f>'Raw data'!K2704</f>
        <v>0</v>
      </c>
      <c r="K2795" s="31">
        <f>'Raw data'!H2704</f>
        <v>0</v>
      </c>
      <c r="L2795" s="26">
        <f t="shared" si="90"/>
        <v>0</v>
      </c>
    </row>
    <row r="2796" spans="2:12">
      <c r="B2796" s="4" t="e">
        <f t="shared" si="89"/>
        <v>#N/A</v>
      </c>
      <c r="C2796" s="4">
        <f>'Raw data'!E2372</f>
        <v>0</v>
      </c>
      <c r="D2796" s="29" t="e">
        <f>VLOOKUP(C2796,'점포코드 '!A:B,2,0)</f>
        <v>#N/A</v>
      </c>
      <c r="E2796" s="30">
        <f>'Raw data'!P2372</f>
        <v>0</v>
      </c>
      <c r="F2796" s="29" t="e">
        <f>VLOOKUP(E2796,'점포코드 '!A:B,2,0)</f>
        <v>#N/A</v>
      </c>
      <c r="G2796" s="46">
        <f>'Raw data'!F2705</f>
        <v>0</v>
      </c>
      <c r="H2796" s="4">
        <f>'Raw data'!G2705</f>
        <v>0</v>
      </c>
      <c r="I2796" s="29" t="e">
        <f>VLOOKUP(G2796,제품명!$C$1:$E$114,2,0)</f>
        <v>#N/A</v>
      </c>
      <c r="J2796" s="29">
        <f>'Raw data'!K2705</f>
        <v>0</v>
      </c>
      <c r="K2796" s="31">
        <f>'Raw data'!H2705</f>
        <v>0</v>
      </c>
      <c r="L2796" s="26">
        <f t="shared" si="90"/>
        <v>0</v>
      </c>
    </row>
    <row r="2797" spans="2:12">
      <c r="B2797" s="4" t="e">
        <f t="shared" si="89"/>
        <v>#N/A</v>
      </c>
      <c r="C2797" s="4">
        <f>'Raw data'!E2373</f>
        <v>0</v>
      </c>
      <c r="D2797" s="29" t="e">
        <f>VLOOKUP(C2797,'점포코드 '!A:B,2,0)</f>
        <v>#N/A</v>
      </c>
      <c r="E2797" s="30">
        <f>'Raw data'!P2373</f>
        <v>0</v>
      </c>
      <c r="F2797" s="29" t="e">
        <f>VLOOKUP(E2797,'점포코드 '!A:B,2,0)</f>
        <v>#N/A</v>
      </c>
      <c r="G2797" s="46">
        <f>'Raw data'!F2706</f>
        <v>0</v>
      </c>
      <c r="H2797" s="4">
        <f>'Raw data'!G2706</f>
        <v>0</v>
      </c>
      <c r="I2797" s="29" t="e">
        <f>VLOOKUP(G2797,제품명!$C$1:$E$114,2,0)</f>
        <v>#N/A</v>
      </c>
      <c r="J2797" s="29">
        <f>'Raw data'!K2706</f>
        <v>0</v>
      </c>
      <c r="K2797" s="31">
        <f>'Raw data'!H2706</f>
        <v>0</v>
      </c>
      <c r="L2797" s="26">
        <f t="shared" si="90"/>
        <v>0</v>
      </c>
    </row>
    <row r="2798" spans="2:12">
      <c r="B2798" s="4" t="e">
        <f t="shared" si="89"/>
        <v>#N/A</v>
      </c>
      <c r="C2798" s="4">
        <f>'Raw data'!E2374</f>
        <v>0</v>
      </c>
      <c r="D2798" s="29" t="e">
        <f>VLOOKUP(C2798,'점포코드 '!A:B,2,0)</f>
        <v>#N/A</v>
      </c>
      <c r="E2798" s="30">
        <f>'Raw data'!P2374</f>
        <v>0</v>
      </c>
      <c r="F2798" s="29" t="e">
        <f>VLOOKUP(E2798,'점포코드 '!A:B,2,0)</f>
        <v>#N/A</v>
      </c>
      <c r="G2798" s="46">
        <f>'Raw data'!F2707</f>
        <v>0</v>
      </c>
      <c r="H2798" s="4">
        <f>'Raw data'!G2707</f>
        <v>0</v>
      </c>
      <c r="I2798" s="29" t="e">
        <f>VLOOKUP(G2798,제품명!$C$1:$E$114,2,0)</f>
        <v>#N/A</v>
      </c>
      <c r="J2798" s="29">
        <f>'Raw data'!K2707</f>
        <v>0</v>
      </c>
      <c r="K2798" s="31">
        <f>'Raw data'!H2707</f>
        <v>0</v>
      </c>
      <c r="L2798" s="26">
        <f t="shared" si="90"/>
        <v>0</v>
      </c>
    </row>
    <row r="2799" spans="2:12">
      <c r="B2799" s="4" t="e">
        <f t="shared" si="89"/>
        <v>#N/A</v>
      </c>
      <c r="C2799" s="4">
        <f>'Raw data'!E2375</f>
        <v>0</v>
      </c>
      <c r="D2799" s="29" t="e">
        <f>VLOOKUP(C2799,'점포코드 '!A:B,2,0)</f>
        <v>#N/A</v>
      </c>
      <c r="E2799" s="30">
        <f>'Raw data'!P2375</f>
        <v>0</v>
      </c>
      <c r="F2799" s="29" t="e">
        <f>VLOOKUP(E2799,'점포코드 '!A:B,2,0)</f>
        <v>#N/A</v>
      </c>
      <c r="G2799" s="46">
        <f>'Raw data'!F2708</f>
        <v>0</v>
      </c>
      <c r="H2799" s="4">
        <f>'Raw data'!G2708</f>
        <v>0</v>
      </c>
      <c r="I2799" s="29" t="e">
        <f>VLOOKUP(G2799,제품명!$C$1:$E$114,2,0)</f>
        <v>#N/A</v>
      </c>
      <c r="J2799" s="29">
        <f>'Raw data'!K2708</f>
        <v>0</v>
      </c>
      <c r="K2799" s="31">
        <f>'Raw data'!H2708</f>
        <v>0</v>
      </c>
      <c r="L2799" s="26">
        <f t="shared" si="90"/>
        <v>0</v>
      </c>
    </row>
    <row r="2800" spans="2:12">
      <c r="B2800" s="4" t="e">
        <f t="shared" si="89"/>
        <v>#N/A</v>
      </c>
      <c r="C2800" s="4">
        <f>'Raw data'!E2376</f>
        <v>0</v>
      </c>
      <c r="D2800" s="29" t="e">
        <f>VLOOKUP(C2800,'점포코드 '!A:B,2,0)</f>
        <v>#N/A</v>
      </c>
      <c r="E2800" s="30">
        <f>'Raw data'!P2376</f>
        <v>0</v>
      </c>
      <c r="F2800" s="29" t="e">
        <f>VLOOKUP(E2800,'점포코드 '!A:B,2,0)</f>
        <v>#N/A</v>
      </c>
      <c r="G2800" s="46">
        <f>'Raw data'!F2709</f>
        <v>0</v>
      </c>
      <c r="H2800" s="4">
        <f>'Raw data'!G2709</f>
        <v>0</v>
      </c>
      <c r="I2800" s="29" t="e">
        <f>VLOOKUP(G2800,제품명!$C$1:$E$114,2,0)</f>
        <v>#N/A</v>
      </c>
      <c r="J2800" s="29">
        <f>'Raw data'!K2709</f>
        <v>0</v>
      </c>
      <c r="K2800" s="31">
        <f>'Raw data'!H2709</f>
        <v>0</v>
      </c>
      <c r="L2800" s="26">
        <f t="shared" si="90"/>
        <v>0</v>
      </c>
    </row>
    <row r="2801" spans="2:12">
      <c r="B2801" s="4" t="e">
        <f t="shared" si="89"/>
        <v>#N/A</v>
      </c>
      <c r="C2801" s="4">
        <f>'Raw data'!E2377</f>
        <v>0</v>
      </c>
      <c r="D2801" s="29" t="e">
        <f>VLOOKUP(C2801,'점포코드 '!A:B,2,0)</f>
        <v>#N/A</v>
      </c>
      <c r="E2801" s="30">
        <f>'Raw data'!P2377</f>
        <v>0</v>
      </c>
      <c r="F2801" s="29" t="e">
        <f>VLOOKUP(E2801,'점포코드 '!A:B,2,0)</f>
        <v>#N/A</v>
      </c>
      <c r="G2801" s="46">
        <f>'Raw data'!F2710</f>
        <v>0</v>
      </c>
      <c r="H2801" s="4">
        <f>'Raw data'!G2710</f>
        <v>0</v>
      </c>
      <c r="I2801" s="29" t="e">
        <f>VLOOKUP(G2801,제품명!$C$1:$E$114,2,0)</f>
        <v>#N/A</v>
      </c>
      <c r="J2801" s="29">
        <f>'Raw data'!K2710</f>
        <v>0</v>
      </c>
      <c r="K2801" s="31">
        <f>'Raw data'!H2710</f>
        <v>0</v>
      </c>
      <c r="L2801" s="26">
        <f t="shared" si="90"/>
        <v>0</v>
      </c>
    </row>
    <row r="2802" spans="2:12">
      <c r="B2802" s="4" t="e">
        <f t="shared" si="89"/>
        <v>#N/A</v>
      </c>
      <c r="C2802" s="4">
        <f>'Raw data'!E2378</f>
        <v>0</v>
      </c>
      <c r="D2802" s="29" t="e">
        <f>VLOOKUP(C2802,'점포코드 '!A:B,2,0)</f>
        <v>#N/A</v>
      </c>
      <c r="E2802" s="30">
        <f>'Raw data'!P2378</f>
        <v>0</v>
      </c>
      <c r="F2802" s="29" t="e">
        <f>VLOOKUP(E2802,'점포코드 '!A:B,2,0)</f>
        <v>#N/A</v>
      </c>
      <c r="G2802" s="46">
        <f>'Raw data'!F2711</f>
        <v>0</v>
      </c>
      <c r="H2802" s="4">
        <f>'Raw data'!G2711</f>
        <v>0</v>
      </c>
      <c r="I2802" s="29" t="e">
        <f>VLOOKUP(G2802,제품명!$C$1:$E$114,2,0)</f>
        <v>#N/A</v>
      </c>
      <c r="J2802" s="29">
        <f>'Raw data'!K2711</f>
        <v>0</v>
      </c>
      <c r="K2802" s="31">
        <f>'Raw data'!H2711</f>
        <v>0</v>
      </c>
      <c r="L2802" s="26">
        <f t="shared" si="90"/>
        <v>0</v>
      </c>
    </row>
    <row r="2803" spans="2:12">
      <c r="B2803" s="4" t="e">
        <f t="shared" si="89"/>
        <v>#N/A</v>
      </c>
      <c r="C2803" s="4">
        <f>'Raw data'!E2379</f>
        <v>0</v>
      </c>
      <c r="D2803" s="29" t="e">
        <f>VLOOKUP(C2803,'점포코드 '!A:B,2,0)</f>
        <v>#N/A</v>
      </c>
      <c r="E2803" s="30">
        <f>'Raw data'!P2379</f>
        <v>0</v>
      </c>
      <c r="F2803" s="29" t="e">
        <f>VLOOKUP(E2803,'점포코드 '!A:B,2,0)</f>
        <v>#N/A</v>
      </c>
      <c r="G2803" s="46">
        <f>'Raw data'!F2712</f>
        <v>0</v>
      </c>
      <c r="H2803" s="4">
        <f>'Raw data'!G2712</f>
        <v>0</v>
      </c>
      <c r="I2803" s="29" t="e">
        <f>VLOOKUP(G2803,제품명!$C$1:$E$114,2,0)</f>
        <v>#N/A</v>
      </c>
      <c r="J2803" s="29">
        <f>'Raw data'!K2712</f>
        <v>0</v>
      </c>
      <c r="K2803" s="31">
        <f>'Raw data'!H2712</f>
        <v>0</v>
      </c>
      <c r="L2803" s="26">
        <f t="shared" si="90"/>
        <v>0</v>
      </c>
    </row>
    <row r="2804" spans="2:12">
      <c r="B2804" s="4" t="e">
        <f t="shared" si="89"/>
        <v>#N/A</v>
      </c>
      <c r="C2804" s="4">
        <f>'Raw data'!E2380</f>
        <v>0</v>
      </c>
      <c r="D2804" s="29" t="e">
        <f>VLOOKUP(C2804,'점포코드 '!A:B,2,0)</f>
        <v>#N/A</v>
      </c>
      <c r="E2804" s="30">
        <f>'Raw data'!P2380</f>
        <v>0</v>
      </c>
      <c r="F2804" s="29" t="e">
        <f>VLOOKUP(E2804,'점포코드 '!A:B,2,0)</f>
        <v>#N/A</v>
      </c>
      <c r="G2804" s="46">
        <f>'Raw data'!F2713</f>
        <v>0</v>
      </c>
      <c r="H2804" s="4">
        <f>'Raw data'!G2713</f>
        <v>0</v>
      </c>
      <c r="I2804" s="29" t="e">
        <f>VLOOKUP(G2804,제품명!$C$1:$E$114,2,0)</f>
        <v>#N/A</v>
      </c>
      <c r="J2804" s="29">
        <f>'Raw data'!K2713</f>
        <v>0</v>
      </c>
      <c r="K2804" s="31">
        <f>'Raw data'!H2713</f>
        <v>0</v>
      </c>
      <c r="L2804" s="26">
        <f t="shared" si="90"/>
        <v>0</v>
      </c>
    </row>
    <row r="2805" spans="2:12">
      <c r="B2805" s="4" t="e">
        <f t="shared" si="89"/>
        <v>#N/A</v>
      </c>
      <c r="C2805" s="4">
        <f>'Raw data'!E2381</f>
        <v>0</v>
      </c>
      <c r="D2805" s="29" t="e">
        <f>VLOOKUP(C2805,'점포코드 '!A:B,2,0)</f>
        <v>#N/A</v>
      </c>
      <c r="E2805" s="30">
        <f>'Raw data'!P2381</f>
        <v>0</v>
      </c>
      <c r="F2805" s="29" t="e">
        <f>VLOOKUP(E2805,'점포코드 '!A:B,2,0)</f>
        <v>#N/A</v>
      </c>
      <c r="G2805" s="46">
        <f>'Raw data'!F2714</f>
        <v>0</v>
      </c>
      <c r="H2805" s="4">
        <f>'Raw data'!G2714</f>
        <v>0</v>
      </c>
      <c r="I2805" s="29" t="e">
        <f>VLOOKUP(G2805,제품명!$C$1:$E$114,2,0)</f>
        <v>#N/A</v>
      </c>
      <c r="J2805" s="29">
        <f>'Raw data'!K2714</f>
        <v>0</v>
      </c>
      <c r="K2805" s="31">
        <f>'Raw data'!H2714</f>
        <v>0</v>
      </c>
      <c r="L2805" s="26">
        <f t="shared" si="90"/>
        <v>0</v>
      </c>
    </row>
    <row r="2806" spans="2:12">
      <c r="B2806" s="4" t="e">
        <f t="shared" si="89"/>
        <v>#N/A</v>
      </c>
      <c r="C2806" s="4">
        <f>'Raw data'!E2382</f>
        <v>0</v>
      </c>
      <c r="D2806" s="29" t="e">
        <f>VLOOKUP(C2806,'점포코드 '!A:B,2,0)</f>
        <v>#N/A</v>
      </c>
      <c r="E2806" s="30">
        <f>'Raw data'!P2382</f>
        <v>0</v>
      </c>
      <c r="F2806" s="29" t="e">
        <f>VLOOKUP(E2806,'점포코드 '!A:B,2,0)</f>
        <v>#N/A</v>
      </c>
      <c r="G2806" s="46">
        <f>'Raw data'!F2715</f>
        <v>0</v>
      </c>
      <c r="H2806" s="4">
        <f>'Raw data'!G2715</f>
        <v>0</v>
      </c>
      <c r="I2806" s="29" t="e">
        <f>VLOOKUP(G2806,제품명!$C$1:$E$114,2,0)</f>
        <v>#N/A</v>
      </c>
      <c r="J2806" s="29">
        <f>'Raw data'!K2715</f>
        <v>0</v>
      </c>
      <c r="K2806" s="31">
        <f>'Raw data'!H2715</f>
        <v>0</v>
      </c>
      <c r="L2806" s="26">
        <f t="shared" si="90"/>
        <v>0</v>
      </c>
    </row>
    <row r="2807" spans="2:12">
      <c r="B2807" s="4" t="e">
        <f t="shared" si="89"/>
        <v>#N/A</v>
      </c>
      <c r="C2807" s="4">
        <f>'Raw data'!E2383</f>
        <v>0</v>
      </c>
      <c r="D2807" s="29" t="e">
        <f>VLOOKUP(C2807,'점포코드 '!A:B,2,0)</f>
        <v>#N/A</v>
      </c>
      <c r="E2807" s="30">
        <f>'Raw data'!P2383</f>
        <v>0</v>
      </c>
      <c r="F2807" s="29" t="e">
        <f>VLOOKUP(E2807,'점포코드 '!A:B,2,0)</f>
        <v>#N/A</v>
      </c>
      <c r="G2807" s="46">
        <f>'Raw data'!F2716</f>
        <v>0</v>
      </c>
      <c r="H2807" s="4">
        <f>'Raw data'!G2716</f>
        <v>0</v>
      </c>
      <c r="I2807" s="29" t="e">
        <f>VLOOKUP(G2807,제품명!$C$1:$E$114,2,0)</f>
        <v>#N/A</v>
      </c>
      <c r="J2807" s="29">
        <f>'Raw data'!K2716</f>
        <v>0</v>
      </c>
      <c r="K2807" s="31">
        <f>'Raw data'!H2716</f>
        <v>0</v>
      </c>
      <c r="L2807" s="26">
        <f t="shared" si="90"/>
        <v>0</v>
      </c>
    </row>
    <row r="2808" spans="2:12">
      <c r="B2808" s="4" t="e">
        <f t="shared" si="89"/>
        <v>#N/A</v>
      </c>
      <c r="C2808" s="4">
        <f>'Raw data'!E2384</f>
        <v>0</v>
      </c>
      <c r="D2808" s="29" t="e">
        <f>VLOOKUP(C2808,'점포코드 '!A:B,2,0)</f>
        <v>#N/A</v>
      </c>
      <c r="E2808" s="30">
        <f>'Raw data'!P2384</f>
        <v>0</v>
      </c>
      <c r="F2808" s="29" t="e">
        <f>VLOOKUP(E2808,'점포코드 '!A:B,2,0)</f>
        <v>#N/A</v>
      </c>
      <c r="G2808" s="46">
        <f>'Raw data'!F2717</f>
        <v>0</v>
      </c>
      <c r="H2808" s="4">
        <f>'Raw data'!G2717</f>
        <v>0</v>
      </c>
      <c r="I2808" s="29" t="e">
        <f>VLOOKUP(G2808,제품명!$C$1:$E$114,2,0)</f>
        <v>#N/A</v>
      </c>
      <c r="J2808" s="29">
        <f>'Raw data'!K2717</f>
        <v>0</v>
      </c>
      <c r="K2808" s="31">
        <f>'Raw data'!H2717</f>
        <v>0</v>
      </c>
      <c r="L2808" s="26">
        <f t="shared" si="90"/>
        <v>0</v>
      </c>
    </row>
    <row r="2809" spans="2:12">
      <c r="B2809" s="4" t="e">
        <f t="shared" si="89"/>
        <v>#N/A</v>
      </c>
      <c r="C2809" s="4">
        <f>'Raw data'!E2385</f>
        <v>0</v>
      </c>
      <c r="D2809" s="29" t="e">
        <f>VLOOKUP(C2809,'점포코드 '!A:B,2,0)</f>
        <v>#N/A</v>
      </c>
      <c r="E2809" s="30">
        <f>'Raw data'!P2385</f>
        <v>0</v>
      </c>
      <c r="F2809" s="29" t="e">
        <f>VLOOKUP(E2809,'점포코드 '!A:B,2,0)</f>
        <v>#N/A</v>
      </c>
      <c r="G2809" s="46">
        <f>'Raw data'!F2718</f>
        <v>0</v>
      </c>
      <c r="H2809" s="4">
        <f>'Raw data'!G2718</f>
        <v>0</v>
      </c>
      <c r="I2809" s="29" t="e">
        <f>VLOOKUP(G2809,제품명!$C$1:$E$114,2,0)</f>
        <v>#N/A</v>
      </c>
      <c r="J2809" s="29">
        <f>'Raw data'!K2718</f>
        <v>0</v>
      </c>
      <c r="K2809" s="31">
        <f>'Raw data'!H2718</f>
        <v>0</v>
      </c>
      <c r="L2809" s="26">
        <f t="shared" si="90"/>
        <v>0</v>
      </c>
    </row>
    <row r="2810" spans="2:12">
      <c r="B2810" s="4" t="e">
        <f t="shared" si="89"/>
        <v>#N/A</v>
      </c>
      <c r="C2810" s="4">
        <f>'Raw data'!E2386</f>
        <v>0</v>
      </c>
      <c r="D2810" s="29" t="e">
        <f>VLOOKUP(C2810,'점포코드 '!A:B,2,0)</f>
        <v>#N/A</v>
      </c>
      <c r="E2810" s="30">
        <f>'Raw data'!P2386</f>
        <v>0</v>
      </c>
      <c r="F2810" s="29" t="e">
        <f>VLOOKUP(E2810,'점포코드 '!A:B,2,0)</f>
        <v>#N/A</v>
      </c>
      <c r="G2810" s="46">
        <f>'Raw data'!F2719</f>
        <v>0</v>
      </c>
      <c r="H2810" s="4">
        <f>'Raw data'!G2719</f>
        <v>0</v>
      </c>
      <c r="I2810" s="29" t="e">
        <f>VLOOKUP(G2810,제품명!$C$1:$E$114,2,0)</f>
        <v>#N/A</v>
      </c>
      <c r="J2810" s="29">
        <f>'Raw data'!K2719</f>
        <v>0</v>
      </c>
      <c r="K2810" s="31">
        <f>'Raw data'!H2719</f>
        <v>0</v>
      </c>
      <c r="L2810" s="26">
        <f t="shared" si="90"/>
        <v>0</v>
      </c>
    </row>
    <row r="2811" spans="2:12">
      <c r="B2811" s="4" t="e">
        <f t="shared" si="89"/>
        <v>#N/A</v>
      </c>
      <c r="C2811" s="4">
        <f>'Raw data'!E2387</f>
        <v>0</v>
      </c>
      <c r="D2811" s="29" t="e">
        <f>VLOOKUP(C2811,'점포코드 '!A:B,2,0)</f>
        <v>#N/A</v>
      </c>
      <c r="E2811" s="30">
        <f>'Raw data'!P2387</f>
        <v>0</v>
      </c>
      <c r="F2811" s="29" t="e">
        <f>VLOOKUP(E2811,'점포코드 '!A:B,2,0)</f>
        <v>#N/A</v>
      </c>
      <c r="G2811" s="46">
        <f>'Raw data'!F2720</f>
        <v>0</v>
      </c>
      <c r="H2811" s="4">
        <f>'Raw data'!G2720</f>
        <v>0</v>
      </c>
      <c r="I2811" s="29" t="e">
        <f>VLOOKUP(G2811,제품명!$C$1:$E$114,2,0)</f>
        <v>#N/A</v>
      </c>
      <c r="J2811" s="29">
        <f>'Raw data'!K2720</f>
        <v>0</v>
      </c>
      <c r="K2811" s="31">
        <f>'Raw data'!H2720</f>
        <v>0</v>
      </c>
      <c r="L2811" s="26">
        <f t="shared" si="90"/>
        <v>0</v>
      </c>
    </row>
    <row r="2812" spans="2:12">
      <c r="B2812" s="4" t="e">
        <f t="shared" si="89"/>
        <v>#N/A</v>
      </c>
      <c r="C2812" s="4">
        <f>'Raw data'!E2388</f>
        <v>0</v>
      </c>
      <c r="D2812" s="29" t="e">
        <f>VLOOKUP(C2812,'점포코드 '!A:B,2,0)</f>
        <v>#N/A</v>
      </c>
      <c r="E2812" s="30">
        <f>'Raw data'!P2388</f>
        <v>0</v>
      </c>
      <c r="F2812" s="29" t="e">
        <f>VLOOKUP(E2812,'점포코드 '!A:B,2,0)</f>
        <v>#N/A</v>
      </c>
      <c r="G2812" s="46">
        <f>'Raw data'!F2721</f>
        <v>0</v>
      </c>
      <c r="H2812" s="4">
        <f>'Raw data'!G2721</f>
        <v>0</v>
      </c>
      <c r="I2812" s="29" t="e">
        <f>VLOOKUP(G2812,제품명!$C$1:$E$114,2,0)</f>
        <v>#N/A</v>
      </c>
      <c r="J2812" s="29">
        <f>'Raw data'!K2721</f>
        <v>0</v>
      </c>
      <c r="K2812" s="31">
        <f>'Raw data'!H2721</f>
        <v>0</v>
      </c>
      <c r="L2812" s="26">
        <f t="shared" si="90"/>
        <v>0</v>
      </c>
    </row>
    <row r="2813" spans="2:12">
      <c r="B2813" s="4" t="e">
        <f t="shared" si="89"/>
        <v>#N/A</v>
      </c>
      <c r="C2813" s="4">
        <f>'Raw data'!E2389</f>
        <v>0</v>
      </c>
      <c r="D2813" s="29" t="e">
        <f>VLOOKUP(C2813,'점포코드 '!A:B,2,0)</f>
        <v>#N/A</v>
      </c>
      <c r="E2813" s="30">
        <f>'Raw data'!P2389</f>
        <v>0</v>
      </c>
      <c r="F2813" s="29" t="e">
        <f>VLOOKUP(E2813,'점포코드 '!A:B,2,0)</f>
        <v>#N/A</v>
      </c>
      <c r="G2813" s="46">
        <f>'Raw data'!F2722</f>
        <v>0</v>
      </c>
      <c r="H2813" s="4">
        <f>'Raw data'!G2722</f>
        <v>0</v>
      </c>
      <c r="I2813" s="29" t="e">
        <f>VLOOKUP(G2813,제품명!$C$1:$E$114,2,0)</f>
        <v>#N/A</v>
      </c>
      <c r="J2813" s="29">
        <f>'Raw data'!K2722</f>
        <v>0</v>
      </c>
      <c r="K2813" s="31">
        <f>'Raw data'!H2722</f>
        <v>0</v>
      </c>
      <c r="L2813" s="26">
        <f t="shared" si="90"/>
        <v>0</v>
      </c>
    </row>
    <row r="2814" spans="2:12">
      <c r="B2814" s="4" t="e">
        <f t="shared" si="89"/>
        <v>#N/A</v>
      </c>
      <c r="C2814" s="4">
        <f>'Raw data'!E2390</f>
        <v>0</v>
      </c>
      <c r="D2814" s="29" t="e">
        <f>VLOOKUP(C2814,'점포코드 '!A:B,2,0)</f>
        <v>#N/A</v>
      </c>
      <c r="E2814" s="30">
        <f>'Raw data'!P2390</f>
        <v>0</v>
      </c>
      <c r="F2814" s="29" t="e">
        <f>VLOOKUP(E2814,'점포코드 '!A:B,2,0)</f>
        <v>#N/A</v>
      </c>
      <c r="G2814" s="46">
        <f>'Raw data'!F2723</f>
        <v>0</v>
      </c>
      <c r="H2814" s="4">
        <f>'Raw data'!G2723</f>
        <v>0</v>
      </c>
      <c r="I2814" s="29" t="e">
        <f>VLOOKUP(G2814,제품명!$C$1:$E$114,2,0)</f>
        <v>#N/A</v>
      </c>
      <c r="J2814" s="29">
        <f>'Raw data'!K2723</f>
        <v>0</v>
      </c>
      <c r="K2814" s="31">
        <f>'Raw data'!H2723</f>
        <v>0</v>
      </c>
      <c r="L2814" s="26">
        <f t="shared" si="90"/>
        <v>0</v>
      </c>
    </row>
    <row r="2815" spans="2:12">
      <c r="B2815" s="4" t="e">
        <f t="shared" si="89"/>
        <v>#N/A</v>
      </c>
      <c r="C2815" s="4">
        <f>'Raw data'!E2391</f>
        <v>0</v>
      </c>
      <c r="D2815" s="29" t="e">
        <f>VLOOKUP(C2815,'점포코드 '!A:B,2,0)</f>
        <v>#N/A</v>
      </c>
      <c r="E2815" s="30">
        <f>'Raw data'!P2391</f>
        <v>0</v>
      </c>
      <c r="F2815" s="29" t="e">
        <f>VLOOKUP(E2815,'점포코드 '!A:B,2,0)</f>
        <v>#N/A</v>
      </c>
      <c r="G2815" s="46">
        <f>'Raw data'!F2724</f>
        <v>0</v>
      </c>
      <c r="H2815" s="4">
        <f>'Raw data'!G2724</f>
        <v>0</v>
      </c>
      <c r="I2815" s="29" t="e">
        <f>VLOOKUP(G2815,제품명!$C$1:$E$114,2,0)</f>
        <v>#N/A</v>
      </c>
      <c r="J2815" s="29">
        <f>'Raw data'!K2724</f>
        <v>0</v>
      </c>
      <c r="K2815" s="31">
        <f>'Raw data'!H2724</f>
        <v>0</v>
      </c>
      <c r="L2815" s="26">
        <f t="shared" si="90"/>
        <v>0</v>
      </c>
    </row>
    <row r="2816" spans="2:12">
      <c r="B2816" s="4" t="e">
        <f t="shared" si="89"/>
        <v>#N/A</v>
      </c>
      <c r="C2816" s="4">
        <f>'Raw data'!E2392</f>
        <v>0</v>
      </c>
      <c r="D2816" s="29" t="e">
        <f>VLOOKUP(C2816,'점포코드 '!A:B,2,0)</f>
        <v>#N/A</v>
      </c>
      <c r="E2816" s="30">
        <f>'Raw data'!P2392</f>
        <v>0</v>
      </c>
      <c r="F2816" s="29" t="e">
        <f>VLOOKUP(E2816,'점포코드 '!A:B,2,0)</f>
        <v>#N/A</v>
      </c>
      <c r="G2816" s="46">
        <f>'Raw data'!F2725</f>
        <v>0</v>
      </c>
      <c r="H2816" s="4">
        <f>'Raw data'!G2725</f>
        <v>0</v>
      </c>
      <c r="I2816" s="29" t="e">
        <f>VLOOKUP(G2816,제품명!$C$1:$E$114,2,0)</f>
        <v>#N/A</v>
      </c>
      <c r="J2816" s="29">
        <f>'Raw data'!K2725</f>
        <v>0</v>
      </c>
      <c r="K2816" s="31">
        <f>'Raw data'!H2725</f>
        <v>0</v>
      </c>
      <c r="L2816" s="26">
        <f t="shared" si="90"/>
        <v>0</v>
      </c>
    </row>
    <row r="2817" spans="2:12">
      <c r="B2817" s="4" t="e">
        <f t="shared" si="89"/>
        <v>#N/A</v>
      </c>
      <c r="C2817" s="4">
        <f>'Raw data'!E2393</f>
        <v>0</v>
      </c>
      <c r="D2817" s="29" t="e">
        <f>VLOOKUP(C2817,'점포코드 '!A:B,2,0)</f>
        <v>#N/A</v>
      </c>
      <c r="E2817" s="30">
        <f>'Raw data'!P2393</f>
        <v>0</v>
      </c>
      <c r="F2817" s="29" t="e">
        <f>VLOOKUP(E2817,'점포코드 '!A:B,2,0)</f>
        <v>#N/A</v>
      </c>
      <c r="G2817" s="46">
        <f>'Raw data'!F2726</f>
        <v>0</v>
      </c>
      <c r="H2817" s="4">
        <f>'Raw data'!G2726</f>
        <v>0</v>
      </c>
      <c r="I2817" s="29" t="e">
        <f>VLOOKUP(G2817,제품명!$C$1:$E$114,2,0)</f>
        <v>#N/A</v>
      </c>
      <c r="J2817" s="29">
        <f>'Raw data'!K2726</f>
        <v>0</v>
      </c>
      <c r="K2817" s="31">
        <f>'Raw data'!H2726</f>
        <v>0</v>
      </c>
      <c r="L2817" s="26">
        <f t="shared" si="90"/>
        <v>0</v>
      </c>
    </row>
    <row r="2818" spans="2:12">
      <c r="B2818" s="4" t="e">
        <f t="shared" ref="B2818:B2881" si="91">F2818&amp;I2818</f>
        <v>#N/A</v>
      </c>
      <c r="C2818" s="4">
        <f>'Raw data'!E2394</f>
        <v>0</v>
      </c>
      <c r="D2818" s="29" t="e">
        <f>VLOOKUP(C2818,'점포코드 '!A:B,2,0)</f>
        <v>#N/A</v>
      </c>
      <c r="E2818" s="30">
        <f>'Raw data'!P2394</f>
        <v>0</v>
      </c>
      <c r="F2818" s="29" t="e">
        <f>VLOOKUP(E2818,'점포코드 '!A:B,2,0)</f>
        <v>#N/A</v>
      </c>
      <c r="G2818" s="46">
        <f>'Raw data'!F2727</f>
        <v>0</v>
      </c>
      <c r="H2818" s="4">
        <f>'Raw data'!G2727</f>
        <v>0</v>
      </c>
      <c r="I2818" s="29" t="e">
        <f>VLOOKUP(G2818,제품명!$C$1:$E$114,2,0)</f>
        <v>#N/A</v>
      </c>
      <c r="J2818" s="29">
        <f>'Raw data'!K2727</f>
        <v>0</v>
      </c>
      <c r="K2818" s="31">
        <f>'Raw data'!H2727</f>
        <v>0</v>
      </c>
      <c r="L2818" s="26">
        <f t="shared" si="90"/>
        <v>0</v>
      </c>
    </row>
    <row r="2819" spans="2:12">
      <c r="B2819" s="4" t="e">
        <f t="shared" si="91"/>
        <v>#N/A</v>
      </c>
      <c r="C2819" s="4">
        <f>'Raw data'!E2395</f>
        <v>0</v>
      </c>
      <c r="D2819" s="29" t="e">
        <f>VLOOKUP(C2819,'점포코드 '!A:B,2,0)</f>
        <v>#N/A</v>
      </c>
      <c r="E2819" s="30">
        <f>'Raw data'!P2395</f>
        <v>0</v>
      </c>
      <c r="F2819" s="29" t="e">
        <f>VLOOKUP(E2819,'점포코드 '!A:B,2,0)</f>
        <v>#N/A</v>
      </c>
      <c r="G2819" s="46">
        <f>'Raw data'!F2728</f>
        <v>0</v>
      </c>
      <c r="H2819" s="4">
        <f>'Raw data'!G2728</f>
        <v>0</v>
      </c>
      <c r="I2819" s="29" t="e">
        <f>VLOOKUP(G2819,제품명!$C$1:$E$114,2,0)</f>
        <v>#N/A</v>
      </c>
      <c r="J2819" s="29">
        <f>'Raw data'!K2728</f>
        <v>0</v>
      </c>
      <c r="K2819" s="31">
        <f>'Raw data'!H2728</f>
        <v>0</v>
      </c>
      <c r="L2819" s="26">
        <f t="shared" ref="L2819:L2882" si="92">J2819*K2819</f>
        <v>0</v>
      </c>
    </row>
    <row r="2820" spans="2:12">
      <c r="B2820" s="4" t="e">
        <f t="shared" si="91"/>
        <v>#N/A</v>
      </c>
      <c r="C2820" s="4">
        <f>'Raw data'!E2396</f>
        <v>0</v>
      </c>
      <c r="D2820" s="29" t="e">
        <f>VLOOKUP(C2820,'점포코드 '!A:B,2,0)</f>
        <v>#N/A</v>
      </c>
      <c r="E2820" s="30">
        <f>'Raw data'!P2396</f>
        <v>0</v>
      </c>
      <c r="F2820" s="29" t="e">
        <f>VLOOKUP(E2820,'점포코드 '!A:B,2,0)</f>
        <v>#N/A</v>
      </c>
      <c r="G2820" s="46">
        <f>'Raw data'!F2729</f>
        <v>0</v>
      </c>
      <c r="H2820" s="4">
        <f>'Raw data'!G2729</f>
        <v>0</v>
      </c>
      <c r="I2820" s="29" t="e">
        <f>VLOOKUP(G2820,제품명!$C$1:$E$114,2,0)</f>
        <v>#N/A</v>
      </c>
      <c r="J2820" s="29">
        <f>'Raw data'!K2729</f>
        <v>0</v>
      </c>
      <c r="K2820" s="31">
        <f>'Raw data'!H2729</f>
        <v>0</v>
      </c>
      <c r="L2820" s="26">
        <f t="shared" si="92"/>
        <v>0</v>
      </c>
    </row>
    <row r="2821" spans="2:12">
      <c r="B2821" s="4" t="e">
        <f t="shared" si="91"/>
        <v>#N/A</v>
      </c>
      <c r="C2821" s="4">
        <f>'Raw data'!E2397</f>
        <v>0</v>
      </c>
      <c r="D2821" s="29" t="e">
        <f>VLOOKUP(C2821,'점포코드 '!A:B,2,0)</f>
        <v>#N/A</v>
      </c>
      <c r="E2821" s="30">
        <f>'Raw data'!P2397</f>
        <v>0</v>
      </c>
      <c r="F2821" s="29" t="e">
        <f>VLOOKUP(E2821,'점포코드 '!A:B,2,0)</f>
        <v>#N/A</v>
      </c>
      <c r="G2821" s="46">
        <f>'Raw data'!F2730</f>
        <v>0</v>
      </c>
      <c r="H2821" s="4">
        <f>'Raw data'!G2730</f>
        <v>0</v>
      </c>
      <c r="I2821" s="29" t="e">
        <f>VLOOKUP(G2821,제품명!$C$1:$E$114,2,0)</f>
        <v>#N/A</v>
      </c>
      <c r="J2821" s="29">
        <f>'Raw data'!K2730</f>
        <v>0</v>
      </c>
      <c r="K2821" s="31">
        <f>'Raw data'!H2730</f>
        <v>0</v>
      </c>
      <c r="L2821" s="26">
        <f t="shared" si="92"/>
        <v>0</v>
      </c>
    </row>
    <row r="2822" spans="2:12">
      <c r="B2822" s="4" t="e">
        <f t="shared" si="91"/>
        <v>#N/A</v>
      </c>
      <c r="C2822" s="4">
        <f>'Raw data'!E2398</f>
        <v>0</v>
      </c>
      <c r="D2822" s="29" t="e">
        <f>VLOOKUP(C2822,'점포코드 '!A:B,2,0)</f>
        <v>#N/A</v>
      </c>
      <c r="E2822" s="30">
        <f>'Raw data'!P2398</f>
        <v>0</v>
      </c>
      <c r="F2822" s="29" t="e">
        <f>VLOOKUP(E2822,'점포코드 '!A:B,2,0)</f>
        <v>#N/A</v>
      </c>
      <c r="G2822" s="46">
        <f>'Raw data'!F2731</f>
        <v>0</v>
      </c>
      <c r="H2822" s="4">
        <f>'Raw data'!G2731</f>
        <v>0</v>
      </c>
      <c r="I2822" s="29" t="e">
        <f>VLOOKUP(G2822,제품명!$C$1:$E$114,2,0)</f>
        <v>#N/A</v>
      </c>
      <c r="J2822" s="29">
        <f>'Raw data'!K2731</f>
        <v>0</v>
      </c>
      <c r="K2822" s="31">
        <f>'Raw data'!H2731</f>
        <v>0</v>
      </c>
      <c r="L2822" s="26">
        <f t="shared" si="92"/>
        <v>0</v>
      </c>
    </row>
    <row r="2823" spans="2:12">
      <c r="B2823" s="4" t="e">
        <f t="shared" si="91"/>
        <v>#N/A</v>
      </c>
      <c r="C2823" s="4">
        <f>'Raw data'!E2399</f>
        <v>0</v>
      </c>
      <c r="D2823" s="29" t="e">
        <f>VLOOKUP(C2823,'점포코드 '!A:B,2,0)</f>
        <v>#N/A</v>
      </c>
      <c r="E2823" s="30">
        <f>'Raw data'!P2399</f>
        <v>0</v>
      </c>
      <c r="F2823" s="29" t="e">
        <f>VLOOKUP(E2823,'점포코드 '!A:B,2,0)</f>
        <v>#N/A</v>
      </c>
      <c r="G2823" s="46">
        <f>'Raw data'!F2732</f>
        <v>0</v>
      </c>
      <c r="H2823" s="4">
        <f>'Raw data'!G2732</f>
        <v>0</v>
      </c>
      <c r="I2823" s="29" t="e">
        <f>VLOOKUP(G2823,제품명!$C$1:$E$114,2,0)</f>
        <v>#N/A</v>
      </c>
      <c r="J2823" s="29">
        <f>'Raw data'!K2732</f>
        <v>0</v>
      </c>
      <c r="K2823" s="31">
        <f>'Raw data'!H2732</f>
        <v>0</v>
      </c>
      <c r="L2823" s="26">
        <f t="shared" si="92"/>
        <v>0</v>
      </c>
    </row>
    <row r="2824" spans="2:12">
      <c r="B2824" s="4" t="e">
        <f t="shared" si="91"/>
        <v>#N/A</v>
      </c>
      <c r="C2824" s="4">
        <f>'Raw data'!E2400</f>
        <v>0</v>
      </c>
      <c r="D2824" s="29" t="e">
        <f>VLOOKUP(C2824,'점포코드 '!A:B,2,0)</f>
        <v>#N/A</v>
      </c>
      <c r="E2824" s="30">
        <f>'Raw data'!P2400</f>
        <v>0</v>
      </c>
      <c r="F2824" s="29" t="e">
        <f>VLOOKUP(E2824,'점포코드 '!A:B,2,0)</f>
        <v>#N/A</v>
      </c>
      <c r="G2824" s="46">
        <f>'Raw data'!F2733</f>
        <v>0</v>
      </c>
      <c r="H2824" s="4">
        <f>'Raw data'!G2733</f>
        <v>0</v>
      </c>
      <c r="I2824" s="29" t="e">
        <f>VLOOKUP(G2824,제품명!$C$1:$E$114,2,0)</f>
        <v>#N/A</v>
      </c>
      <c r="J2824" s="29">
        <f>'Raw data'!K2733</f>
        <v>0</v>
      </c>
      <c r="K2824" s="31">
        <f>'Raw data'!H2733</f>
        <v>0</v>
      </c>
      <c r="L2824" s="26">
        <f t="shared" si="92"/>
        <v>0</v>
      </c>
    </row>
    <row r="2825" spans="2:12">
      <c r="B2825" s="4" t="e">
        <f t="shared" si="91"/>
        <v>#N/A</v>
      </c>
      <c r="C2825" s="4">
        <f>'Raw data'!E2401</f>
        <v>0</v>
      </c>
      <c r="D2825" s="29" t="e">
        <f>VLOOKUP(C2825,'점포코드 '!A:B,2,0)</f>
        <v>#N/A</v>
      </c>
      <c r="E2825" s="30">
        <f>'Raw data'!P2401</f>
        <v>0</v>
      </c>
      <c r="F2825" s="29" t="e">
        <f>VLOOKUP(E2825,'점포코드 '!A:B,2,0)</f>
        <v>#N/A</v>
      </c>
      <c r="G2825" s="46">
        <f>'Raw data'!F2734</f>
        <v>0</v>
      </c>
      <c r="H2825" s="4">
        <f>'Raw data'!G2734</f>
        <v>0</v>
      </c>
      <c r="I2825" s="29" t="e">
        <f>VLOOKUP(G2825,제품명!$C$1:$E$114,2,0)</f>
        <v>#N/A</v>
      </c>
      <c r="J2825" s="29">
        <f>'Raw data'!K2734</f>
        <v>0</v>
      </c>
      <c r="K2825" s="31">
        <f>'Raw data'!H2734</f>
        <v>0</v>
      </c>
      <c r="L2825" s="26">
        <f t="shared" si="92"/>
        <v>0</v>
      </c>
    </row>
    <row r="2826" spans="2:12">
      <c r="B2826" s="4" t="e">
        <f t="shared" si="91"/>
        <v>#N/A</v>
      </c>
      <c r="C2826" s="4">
        <f>'Raw data'!E2402</f>
        <v>0</v>
      </c>
      <c r="D2826" s="29" t="e">
        <f>VLOOKUP(C2826,'점포코드 '!A:B,2,0)</f>
        <v>#N/A</v>
      </c>
      <c r="E2826" s="30">
        <f>'Raw data'!P2402</f>
        <v>0</v>
      </c>
      <c r="F2826" s="29" t="e">
        <f>VLOOKUP(E2826,'점포코드 '!A:B,2,0)</f>
        <v>#N/A</v>
      </c>
      <c r="G2826" s="46">
        <f>'Raw data'!F2735</f>
        <v>0</v>
      </c>
      <c r="H2826" s="4">
        <f>'Raw data'!G2735</f>
        <v>0</v>
      </c>
      <c r="I2826" s="29" t="e">
        <f>VLOOKUP(G2826,제품명!$C$1:$E$114,2,0)</f>
        <v>#N/A</v>
      </c>
      <c r="J2826" s="29">
        <f>'Raw data'!K2735</f>
        <v>0</v>
      </c>
      <c r="K2826" s="31">
        <f>'Raw data'!H2735</f>
        <v>0</v>
      </c>
      <c r="L2826" s="26">
        <f t="shared" si="92"/>
        <v>0</v>
      </c>
    </row>
    <row r="2827" spans="2:12">
      <c r="B2827" s="4" t="e">
        <f t="shared" si="91"/>
        <v>#N/A</v>
      </c>
      <c r="C2827" s="4">
        <f>'Raw data'!E2403</f>
        <v>0</v>
      </c>
      <c r="D2827" s="29" t="e">
        <f>VLOOKUP(C2827,'점포코드 '!A:B,2,0)</f>
        <v>#N/A</v>
      </c>
      <c r="E2827" s="30">
        <f>'Raw data'!P2403</f>
        <v>0</v>
      </c>
      <c r="F2827" s="29" t="e">
        <f>VLOOKUP(E2827,'점포코드 '!A:B,2,0)</f>
        <v>#N/A</v>
      </c>
      <c r="G2827" s="46">
        <f>'Raw data'!F2736</f>
        <v>0</v>
      </c>
      <c r="H2827" s="4">
        <f>'Raw data'!G2736</f>
        <v>0</v>
      </c>
      <c r="I2827" s="29" t="e">
        <f>VLOOKUP(G2827,제품명!$C$1:$E$114,2,0)</f>
        <v>#N/A</v>
      </c>
      <c r="J2827" s="29">
        <f>'Raw data'!K2736</f>
        <v>0</v>
      </c>
      <c r="K2827" s="31">
        <f>'Raw data'!H2736</f>
        <v>0</v>
      </c>
      <c r="L2827" s="26">
        <f t="shared" si="92"/>
        <v>0</v>
      </c>
    </row>
    <row r="2828" spans="2:12">
      <c r="B2828" s="4" t="e">
        <f t="shared" si="91"/>
        <v>#N/A</v>
      </c>
      <c r="C2828" s="4">
        <f>'Raw data'!E2404</f>
        <v>0</v>
      </c>
      <c r="D2828" s="29" t="e">
        <f>VLOOKUP(C2828,'점포코드 '!A:B,2,0)</f>
        <v>#N/A</v>
      </c>
      <c r="E2828" s="30">
        <f>'Raw data'!P2404</f>
        <v>0</v>
      </c>
      <c r="F2828" s="29" t="e">
        <f>VLOOKUP(E2828,'점포코드 '!A:B,2,0)</f>
        <v>#N/A</v>
      </c>
      <c r="G2828" s="46">
        <f>'Raw data'!F2737</f>
        <v>0</v>
      </c>
      <c r="H2828" s="4">
        <f>'Raw data'!G2737</f>
        <v>0</v>
      </c>
      <c r="I2828" s="29" t="e">
        <f>VLOOKUP(G2828,제품명!$C$1:$E$114,2,0)</f>
        <v>#N/A</v>
      </c>
      <c r="J2828" s="29">
        <f>'Raw data'!K2737</f>
        <v>0</v>
      </c>
      <c r="K2828" s="31">
        <f>'Raw data'!H2737</f>
        <v>0</v>
      </c>
      <c r="L2828" s="26">
        <f t="shared" si="92"/>
        <v>0</v>
      </c>
    </row>
    <row r="2829" spans="2:12">
      <c r="B2829" s="4" t="e">
        <f t="shared" si="91"/>
        <v>#N/A</v>
      </c>
      <c r="C2829" s="4">
        <f>'Raw data'!E2405</f>
        <v>0</v>
      </c>
      <c r="D2829" s="29" t="e">
        <f>VLOOKUP(C2829,'점포코드 '!A:B,2,0)</f>
        <v>#N/A</v>
      </c>
      <c r="E2829" s="30">
        <f>'Raw data'!P2405</f>
        <v>0</v>
      </c>
      <c r="F2829" s="29" t="e">
        <f>VLOOKUP(E2829,'점포코드 '!A:B,2,0)</f>
        <v>#N/A</v>
      </c>
      <c r="G2829" s="46">
        <f>'Raw data'!F2738</f>
        <v>0</v>
      </c>
      <c r="H2829" s="4">
        <f>'Raw data'!G2738</f>
        <v>0</v>
      </c>
      <c r="I2829" s="29" t="e">
        <f>VLOOKUP(G2829,제품명!$C$1:$E$114,2,0)</f>
        <v>#N/A</v>
      </c>
      <c r="J2829" s="29">
        <f>'Raw data'!K2738</f>
        <v>0</v>
      </c>
      <c r="K2829" s="31">
        <f>'Raw data'!H2738</f>
        <v>0</v>
      </c>
      <c r="L2829" s="26">
        <f t="shared" si="92"/>
        <v>0</v>
      </c>
    </row>
    <row r="2830" spans="2:12">
      <c r="B2830" s="4" t="e">
        <f t="shared" si="91"/>
        <v>#N/A</v>
      </c>
      <c r="C2830" s="4">
        <f>'Raw data'!E2406</f>
        <v>0</v>
      </c>
      <c r="D2830" s="29" t="e">
        <f>VLOOKUP(C2830,'점포코드 '!A:B,2,0)</f>
        <v>#N/A</v>
      </c>
      <c r="E2830" s="30">
        <f>'Raw data'!P2406</f>
        <v>0</v>
      </c>
      <c r="F2830" s="29" t="e">
        <f>VLOOKUP(E2830,'점포코드 '!A:B,2,0)</f>
        <v>#N/A</v>
      </c>
      <c r="G2830" s="46">
        <f>'Raw data'!F2739</f>
        <v>0</v>
      </c>
      <c r="H2830" s="4">
        <f>'Raw data'!G2739</f>
        <v>0</v>
      </c>
      <c r="I2830" s="29" t="e">
        <f>VLOOKUP(G2830,제품명!$C$1:$E$114,2,0)</f>
        <v>#N/A</v>
      </c>
      <c r="J2830" s="29">
        <f>'Raw data'!K2739</f>
        <v>0</v>
      </c>
      <c r="K2830" s="31">
        <f>'Raw data'!H2739</f>
        <v>0</v>
      </c>
      <c r="L2830" s="26">
        <f t="shared" si="92"/>
        <v>0</v>
      </c>
    </row>
    <row r="2831" spans="2:12">
      <c r="B2831" s="4" t="e">
        <f t="shared" si="91"/>
        <v>#N/A</v>
      </c>
      <c r="C2831" s="4">
        <f>'Raw data'!E2407</f>
        <v>0</v>
      </c>
      <c r="D2831" s="29" t="e">
        <f>VLOOKUP(C2831,'점포코드 '!A:B,2,0)</f>
        <v>#N/A</v>
      </c>
      <c r="E2831" s="30">
        <f>'Raw data'!P2407</f>
        <v>0</v>
      </c>
      <c r="F2831" s="29" t="e">
        <f>VLOOKUP(E2831,'점포코드 '!A:B,2,0)</f>
        <v>#N/A</v>
      </c>
      <c r="G2831" s="46">
        <f>'Raw data'!F2740</f>
        <v>0</v>
      </c>
      <c r="H2831" s="4">
        <f>'Raw data'!G2740</f>
        <v>0</v>
      </c>
      <c r="I2831" s="29" t="e">
        <f>VLOOKUP(G2831,제품명!$C$1:$E$114,2,0)</f>
        <v>#N/A</v>
      </c>
      <c r="J2831" s="29">
        <f>'Raw data'!K2740</f>
        <v>0</v>
      </c>
      <c r="K2831" s="31">
        <f>'Raw data'!H2740</f>
        <v>0</v>
      </c>
      <c r="L2831" s="26">
        <f t="shared" si="92"/>
        <v>0</v>
      </c>
    </row>
    <row r="2832" spans="2:12">
      <c r="B2832" s="4" t="e">
        <f t="shared" si="91"/>
        <v>#N/A</v>
      </c>
      <c r="C2832" s="4">
        <f>'Raw data'!E2408</f>
        <v>0</v>
      </c>
      <c r="D2832" s="29" t="e">
        <f>VLOOKUP(C2832,'점포코드 '!A:B,2,0)</f>
        <v>#N/A</v>
      </c>
      <c r="E2832" s="30">
        <f>'Raw data'!P2408</f>
        <v>0</v>
      </c>
      <c r="F2832" s="29" t="e">
        <f>VLOOKUP(E2832,'점포코드 '!A:B,2,0)</f>
        <v>#N/A</v>
      </c>
      <c r="G2832" s="46">
        <f>'Raw data'!F2741</f>
        <v>0</v>
      </c>
      <c r="H2832" s="4">
        <f>'Raw data'!G2741</f>
        <v>0</v>
      </c>
      <c r="I2832" s="29" t="e">
        <f>VLOOKUP(G2832,제품명!$C$1:$E$114,2,0)</f>
        <v>#N/A</v>
      </c>
      <c r="J2832" s="29">
        <f>'Raw data'!K2741</f>
        <v>0</v>
      </c>
      <c r="K2832" s="31">
        <f>'Raw data'!H2741</f>
        <v>0</v>
      </c>
      <c r="L2832" s="26">
        <f t="shared" si="92"/>
        <v>0</v>
      </c>
    </row>
    <row r="2833" spans="2:12">
      <c r="B2833" s="4" t="e">
        <f t="shared" si="91"/>
        <v>#N/A</v>
      </c>
      <c r="C2833" s="4">
        <f>'Raw data'!E2409</f>
        <v>0</v>
      </c>
      <c r="D2833" s="29" t="e">
        <f>VLOOKUP(C2833,'점포코드 '!A:B,2,0)</f>
        <v>#N/A</v>
      </c>
      <c r="E2833" s="30">
        <f>'Raw data'!P2409</f>
        <v>0</v>
      </c>
      <c r="F2833" s="29" t="e">
        <f>VLOOKUP(E2833,'점포코드 '!A:B,2,0)</f>
        <v>#N/A</v>
      </c>
      <c r="G2833" s="46">
        <f>'Raw data'!F2742</f>
        <v>0</v>
      </c>
      <c r="H2833" s="4">
        <f>'Raw data'!G2742</f>
        <v>0</v>
      </c>
      <c r="I2833" s="29" t="e">
        <f>VLOOKUP(G2833,제품명!$C$1:$E$114,2,0)</f>
        <v>#N/A</v>
      </c>
      <c r="J2833" s="29">
        <f>'Raw data'!K2742</f>
        <v>0</v>
      </c>
      <c r="K2833" s="31">
        <f>'Raw data'!H2742</f>
        <v>0</v>
      </c>
      <c r="L2833" s="26">
        <f t="shared" si="92"/>
        <v>0</v>
      </c>
    </row>
    <row r="2834" spans="2:12">
      <c r="B2834" s="4" t="e">
        <f t="shared" si="91"/>
        <v>#N/A</v>
      </c>
      <c r="C2834" s="4">
        <f>'Raw data'!E2410</f>
        <v>0</v>
      </c>
      <c r="D2834" s="29" t="e">
        <f>VLOOKUP(C2834,'점포코드 '!A:B,2,0)</f>
        <v>#N/A</v>
      </c>
      <c r="E2834" s="30">
        <f>'Raw data'!P2410</f>
        <v>0</v>
      </c>
      <c r="F2834" s="29" t="e">
        <f>VLOOKUP(E2834,'점포코드 '!A:B,2,0)</f>
        <v>#N/A</v>
      </c>
      <c r="G2834" s="46">
        <f>'Raw data'!F2743</f>
        <v>0</v>
      </c>
      <c r="H2834" s="4">
        <f>'Raw data'!G2743</f>
        <v>0</v>
      </c>
      <c r="I2834" s="29" t="e">
        <f>VLOOKUP(G2834,제품명!$C$1:$E$114,2,0)</f>
        <v>#N/A</v>
      </c>
      <c r="J2834" s="29">
        <f>'Raw data'!K2743</f>
        <v>0</v>
      </c>
      <c r="K2834" s="31">
        <f>'Raw data'!H2743</f>
        <v>0</v>
      </c>
      <c r="L2834" s="26">
        <f t="shared" si="92"/>
        <v>0</v>
      </c>
    </row>
    <row r="2835" spans="2:12">
      <c r="B2835" s="4" t="e">
        <f t="shared" si="91"/>
        <v>#N/A</v>
      </c>
      <c r="C2835" s="4">
        <f>'Raw data'!E2411</f>
        <v>0</v>
      </c>
      <c r="D2835" s="29" t="e">
        <f>VLOOKUP(C2835,'점포코드 '!A:B,2,0)</f>
        <v>#N/A</v>
      </c>
      <c r="E2835" s="30">
        <f>'Raw data'!P2411</f>
        <v>0</v>
      </c>
      <c r="F2835" s="29" t="e">
        <f>VLOOKUP(E2835,'점포코드 '!A:B,2,0)</f>
        <v>#N/A</v>
      </c>
      <c r="G2835" s="46">
        <f>'Raw data'!F2744</f>
        <v>0</v>
      </c>
      <c r="H2835" s="4">
        <f>'Raw data'!G2744</f>
        <v>0</v>
      </c>
      <c r="I2835" s="29" t="e">
        <f>VLOOKUP(G2835,제품명!$C$1:$E$114,2,0)</f>
        <v>#N/A</v>
      </c>
      <c r="J2835" s="29">
        <f>'Raw data'!K2744</f>
        <v>0</v>
      </c>
      <c r="K2835" s="31">
        <f>'Raw data'!H2744</f>
        <v>0</v>
      </c>
      <c r="L2835" s="26">
        <f t="shared" si="92"/>
        <v>0</v>
      </c>
    </row>
    <row r="2836" spans="2:12">
      <c r="B2836" s="4" t="e">
        <f t="shared" si="91"/>
        <v>#N/A</v>
      </c>
      <c r="C2836" s="4">
        <f>'Raw data'!E2412</f>
        <v>0</v>
      </c>
      <c r="D2836" s="29" t="e">
        <f>VLOOKUP(C2836,'점포코드 '!A:B,2,0)</f>
        <v>#N/A</v>
      </c>
      <c r="E2836" s="30">
        <f>'Raw data'!P2412</f>
        <v>0</v>
      </c>
      <c r="F2836" s="29" t="e">
        <f>VLOOKUP(E2836,'점포코드 '!A:B,2,0)</f>
        <v>#N/A</v>
      </c>
      <c r="G2836" s="46">
        <f>'Raw data'!F2745</f>
        <v>0</v>
      </c>
      <c r="H2836" s="4">
        <f>'Raw data'!G2745</f>
        <v>0</v>
      </c>
      <c r="I2836" s="29" t="e">
        <f>VLOOKUP(G2836,제품명!$C$1:$E$114,2,0)</f>
        <v>#N/A</v>
      </c>
      <c r="J2836" s="29">
        <f>'Raw data'!K2745</f>
        <v>0</v>
      </c>
      <c r="K2836" s="31">
        <f>'Raw data'!H2745</f>
        <v>0</v>
      </c>
      <c r="L2836" s="26">
        <f t="shared" si="92"/>
        <v>0</v>
      </c>
    </row>
    <row r="2837" spans="2:12">
      <c r="B2837" s="4" t="e">
        <f t="shared" si="91"/>
        <v>#N/A</v>
      </c>
      <c r="C2837" s="4">
        <f>'Raw data'!E2413</f>
        <v>0</v>
      </c>
      <c r="D2837" s="29" t="e">
        <f>VLOOKUP(C2837,'점포코드 '!A:B,2,0)</f>
        <v>#N/A</v>
      </c>
      <c r="E2837" s="30">
        <f>'Raw data'!P2413</f>
        <v>0</v>
      </c>
      <c r="F2837" s="29" t="e">
        <f>VLOOKUP(E2837,'점포코드 '!A:B,2,0)</f>
        <v>#N/A</v>
      </c>
      <c r="G2837" s="46">
        <f>'Raw data'!F2746</f>
        <v>0</v>
      </c>
      <c r="H2837" s="4">
        <f>'Raw data'!G2746</f>
        <v>0</v>
      </c>
      <c r="I2837" s="29" t="e">
        <f>VLOOKUP(G2837,제품명!$C$1:$E$114,2,0)</f>
        <v>#N/A</v>
      </c>
      <c r="J2837" s="29">
        <f>'Raw data'!K2746</f>
        <v>0</v>
      </c>
      <c r="K2837" s="31">
        <f>'Raw data'!H2746</f>
        <v>0</v>
      </c>
      <c r="L2837" s="26">
        <f t="shared" si="92"/>
        <v>0</v>
      </c>
    </row>
    <row r="2838" spans="2:12">
      <c r="B2838" s="4" t="e">
        <f t="shared" si="91"/>
        <v>#N/A</v>
      </c>
      <c r="C2838" s="4">
        <f>'Raw data'!E2414</f>
        <v>0</v>
      </c>
      <c r="D2838" s="29" t="e">
        <f>VLOOKUP(C2838,'점포코드 '!A:B,2,0)</f>
        <v>#N/A</v>
      </c>
      <c r="E2838" s="30">
        <f>'Raw data'!P2414</f>
        <v>0</v>
      </c>
      <c r="F2838" s="29" t="e">
        <f>VLOOKUP(E2838,'점포코드 '!A:B,2,0)</f>
        <v>#N/A</v>
      </c>
      <c r="G2838" s="46">
        <f>'Raw data'!F2747</f>
        <v>0</v>
      </c>
      <c r="H2838" s="4">
        <f>'Raw data'!G2747</f>
        <v>0</v>
      </c>
      <c r="I2838" s="29" t="e">
        <f>VLOOKUP(G2838,제품명!$C$1:$E$114,2,0)</f>
        <v>#N/A</v>
      </c>
      <c r="J2838" s="29">
        <f>'Raw data'!K2747</f>
        <v>0</v>
      </c>
      <c r="K2838" s="31">
        <f>'Raw data'!H2747</f>
        <v>0</v>
      </c>
      <c r="L2838" s="26">
        <f t="shared" si="92"/>
        <v>0</v>
      </c>
    </row>
    <row r="2839" spans="2:12">
      <c r="B2839" s="4" t="e">
        <f t="shared" si="91"/>
        <v>#N/A</v>
      </c>
      <c r="C2839" s="4">
        <f>'Raw data'!E2415</f>
        <v>0</v>
      </c>
      <c r="D2839" s="29" t="e">
        <f>VLOOKUP(C2839,'점포코드 '!A:B,2,0)</f>
        <v>#N/A</v>
      </c>
      <c r="E2839" s="30">
        <f>'Raw data'!P2415</f>
        <v>0</v>
      </c>
      <c r="F2839" s="29" t="e">
        <f>VLOOKUP(E2839,'점포코드 '!A:B,2,0)</f>
        <v>#N/A</v>
      </c>
      <c r="G2839" s="46">
        <f>'Raw data'!F2748</f>
        <v>0</v>
      </c>
      <c r="H2839" s="4">
        <f>'Raw data'!G2748</f>
        <v>0</v>
      </c>
      <c r="I2839" s="29" t="e">
        <f>VLOOKUP(G2839,제품명!$C$1:$E$114,2,0)</f>
        <v>#N/A</v>
      </c>
      <c r="J2839" s="29">
        <f>'Raw data'!K2748</f>
        <v>0</v>
      </c>
      <c r="K2839" s="31">
        <f>'Raw data'!H2748</f>
        <v>0</v>
      </c>
      <c r="L2839" s="26">
        <f t="shared" si="92"/>
        <v>0</v>
      </c>
    </row>
    <row r="2840" spans="2:12">
      <c r="B2840" s="4" t="e">
        <f t="shared" si="91"/>
        <v>#N/A</v>
      </c>
      <c r="C2840" s="4">
        <f>'Raw data'!E2416</f>
        <v>0</v>
      </c>
      <c r="D2840" s="29" t="e">
        <f>VLOOKUP(C2840,'점포코드 '!A:B,2,0)</f>
        <v>#N/A</v>
      </c>
      <c r="E2840" s="30">
        <f>'Raw data'!P2416</f>
        <v>0</v>
      </c>
      <c r="F2840" s="29" t="e">
        <f>VLOOKUP(E2840,'점포코드 '!A:B,2,0)</f>
        <v>#N/A</v>
      </c>
      <c r="G2840" s="46">
        <f>'Raw data'!F2749</f>
        <v>0</v>
      </c>
      <c r="H2840" s="4">
        <f>'Raw data'!G2749</f>
        <v>0</v>
      </c>
      <c r="I2840" s="29" t="e">
        <f>VLOOKUP(G2840,제품명!$C$1:$E$114,2,0)</f>
        <v>#N/A</v>
      </c>
      <c r="J2840" s="29">
        <f>'Raw data'!K2749</f>
        <v>0</v>
      </c>
      <c r="K2840" s="31">
        <f>'Raw data'!H2749</f>
        <v>0</v>
      </c>
      <c r="L2840" s="26">
        <f t="shared" si="92"/>
        <v>0</v>
      </c>
    </row>
    <row r="2841" spans="2:12">
      <c r="B2841" s="4" t="e">
        <f t="shared" si="91"/>
        <v>#N/A</v>
      </c>
      <c r="C2841" s="4">
        <f>'Raw data'!E2417</f>
        <v>0</v>
      </c>
      <c r="D2841" s="29" t="e">
        <f>VLOOKUP(C2841,'점포코드 '!A:B,2,0)</f>
        <v>#N/A</v>
      </c>
      <c r="E2841" s="30">
        <f>'Raw data'!P2417</f>
        <v>0</v>
      </c>
      <c r="F2841" s="29" t="e">
        <f>VLOOKUP(E2841,'점포코드 '!A:B,2,0)</f>
        <v>#N/A</v>
      </c>
      <c r="G2841" s="46">
        <f>'Raw data'!F2750</f>
        <v>0</v>
      </c>
      <c r="H2841" s="4">
        <f>'Raw data'!G2750</f>
        <v>0</v>
      </c>
      <c r="I2841" s="29" t="e">
        <f>VLOOKUP(G2841,제품명!$C$1:$E$114,2,0)</f>
        <v>#N/A</v>
      </c>
      <c r="J2841" s="29">
        <f>'Raw data'!K2750</f>
        <v>0</v>
      </c>
      <c r="K2841" s="31">
        <f>'Raw data'!H2750</f>
        <v>0</v>
      </c>
      <c r="L2841" s="26">
        <f t="shared" si="92"/>
        <v>0</v>
      </c>
    </row>
    <row r="2842" spans="2:12">
      <c r="B2842" s="4" t="e">
        <f t="shared" si="91"/>
        <v>#N/A</v>
      </c>
      <c r="C2842" s="4">
        <f>'Raw data'!E2418</f>
        <v>0</v>
      </c>
      <c r="D2842" s="29" t="e">
        <f>VLOOKUP(C2842,'점포코드 '!A:B,2,0)</f>
        <v>#N/A</v>
      </c>
      <c r="E2842" s="30">
        <f>'Raw data'!P2418</f>
        <v>0</v>
      </c>
      <c r="F2842" s="29" t="e">
        <f>VLOOKUP(E2842,'점포코드 '!A:B,2,0)</f>
        <v>#N/A</v>
      </c>
      <c r="G2842" s="46">
        <f>'Raw data'!F2751</f>
        <v>0</v>
      </c>
      <c r="H2842" s="4">
        <f>'Raw data'!G2751</f>
        <v>0</v>
      </c>
      <c r="I2842" s="29" t="e">
        <f>VLOOKUP(G2842,제품명!$C$1:$E$114,2,0)</f>
        <v>#N/A</v>
      </c>
      <c r="J2842" s="29">
        <f>'Raw data'!K2751</f>
        <v>0</v>
      </c>
      <c r="K2842" s="31">
        <f>'Raw data'!H2751</f>
        <v>0</v>
      </c>
      <c r="L2842" s="26">
        <f t="shared" si="92"/>
        <v>0</v>
      </c>
    </row>
    <row r="2843" spans="2:12">
      <c r="B2843" s="4" t="e">
        <f t="shared" si="91"/>
        <v>#N/A</v>
      </c>
      <c r="C2843" s="4">
        <f>'Raw data'!E2419</f>
        <v>0</v>
      </c>
      <c r="D2843" s="29" t="e">
        <f>VLOOKUP(C2843,'점포코드 '!A:B,2,0)</f>
        <v>#N/A</v>
      </c>
      <c r="E2843" s="30">
        <f>'Raw data'!P2419</f>
        <v>0</v>
      </c>
      <c r="F2843" s="29" t="e">
        <f>VLOOKUP(E2843,'점포코드 '!A:B,2,0)</f>
        <v>#N/A</v>
      </c>
      <c r="G2843" s="46">
        <f>'Raw data'!F2752</f>
        <v>0</v>
      </c>
      <c r="H2843" s="4">
        <f>'Raw data'!G2752</f>
        <v>0</v>
      </c>
      <c r="I2843" s="29" t="e">
        <f>VLOOKUP(G2843,제품명!$C$1:$E$114,2,0)</f>
        <v>#N/A</v>
      </c>
      <c r="J2843" s="29">
        <f>'Raw data'!K2752</f>
        <v>0</v>
      </c>
      <c r="K2843" s="31">
        <f>'Raw data'!H2752</f>
        <v>0</v>
      </c>
      <c r="L2843" s="26">
        <f t="shared" si="92"/>
        <v>0</v>
      </c>
    </row>
    <row r="2844" spans="2:12">
      <c r="B2844" s="4" t="e">
        <f t="shared" si="91"/>
        <v>#N/A</v>
      </c>
      <c r="C2844" s="4">
        <f>'Raw data'!E2420</f>
        <v>0</v>
      </c>
      <c r="D2844" s="29" t="e">
        <f>VLOOKUP(C2844,'점포코드 '!A:B,2,0)</f>
        <v>#N/A</v>
      </c>
      <c r="E2844" s="30">
        <f>'Raw data'!P2420</f>
        <v>0</v>
      </c>
      <c r="F2844" s="29" t="e">
        <f>VLOOKUP(E2844,'점포코드 '!A:B,2,0)</f>
        <v>#N/A</v>
      </c>
      <c r="G2844" s="46">
        <f>'Raw data'!F2753</f>
        <v>0</v>
      </c>
      <c r="H2844" s="4">
        <f>'Raw data'!G2753</f>
        <v>0</v>
      </c>
      <c r="I2844" s="29" t="e">
        <f>VLOOKUP(G2844,제품명!$C$1:$E$114,2,0)</f>
        <v>#N/A</v>
      </c>
      <c r="J2844" s="29">
        <f>'Raw data'!K2753</f>
        <v>0</v>
      </c>
      <c r="K2844" s="31">
        <f>'Raw data'!H2753</f>
        <v>0</v>
      </c>
      <c r="L2844" s="26">
        <f t="shared" si="92"/>
        <v>0</v>
      </c>
    </row>
    <row r="2845" spans="2:12">
      <c r="B2845" s="4" t="e">
        <f t="shared" si="91"/>
        <v>#N/A</v>
      </c>
      <c r="C2845" s="4">
        <f>'Raw data'!E2421</f>
        <v>0</v>
      </c>
      <c r="D2845" s="29" t="e">
        <f>VLOOKUP(C2845,'점포코드 '!A:B,2,0)</f>
        <v>#N/A</v>
      </c>
      <c r="E2845" s="30">
        <f>'Raw data'!P2421</f>
        <v>0</v>
      </c>
      <c r="F2845" s="29" t="e">
        <f>VLOOKUP(E2845,'점포코드 '!A:B,2,0)</f>
        <v>#N/A</v>
      </c>
      <c r="G2845" s="46">
        <f>'Raw data'!F2754</f>
        <v>0</v>
      </c>
      <c r="H2845" s="4">
        <f>'Raw data'!G2754</f>
        <v>0</v>
      </c>
      <c r="I2845" s="29" t="e">
        <f>VLOOKUP(G2845,제품명!$C$1:$E$114,2,0)</f>
        <v>#N/A</v>
      </c>
      <c r="J2845" s="29">
        <f>'Raw data'!K2754</f>
        <v>0</v>
      </c>
      <c r="K2845" s="31">
        <f>'Raw data'!H2754</f>
        <v>0</v>
      </c>
      <c r="L2845" s="26">
        <f t="shared" si="92"/>
        <v>0</v>
      </c>
    </row>
    <row r="2846" spans="2:12">
      <c r="B2846" s="4" t="e">
        <f t="shared" si="91"/>
        <v>#N/A</v>
      </c>
      <c r="C2846" s="4">
        <f>'Raw data'!E2422</f>
        <v>0</v>
      </c>
      <c r="D2846" s="29" t="e">
        <f>VLOOKUP(C2846,'점포코드 '!A:B,2,0)</f>
        <v>#N/A</v>
      </c>
      <c r="E2846" s="30">
        <f>'Raw data'!P2422</f>
        <v>0</v>
      </c>
      <c r="F2846" s="29" t="e">
        <f>VLOOKUP(E2846,'점포코드 '!A:B,2,0)</f>
        <v>#N/A</v>
      </c>
      <c r="G2846" s="46">
        <f>'Raw data'!F2755</f>
        <v>0</v>
      </c>
      <c r="H2846" s="4">
        <f>'Raw data'!G2755</f>
        <v>0</v>
      </c>
      <c r="I2846" s="29" t="e">
        <f>VLOOKUP(G2846,제품명!$C$1:$E$114,2,0)</f>
        <v>#N/A</v>
      </c>
      <c r="J2846" s="29">
        <f>'Raw data'!K2755</f>
        <v>0</v>
      </c>
      <c r="K2846" s="31">
        <f>'Raw data'!H2755</f>
        <v>0</v>
      </c>
      <c r="L2846" s="26">
        <f t="shared" si="92"/>
        <v>0</v>
      </c>
    </row>
    <row r="2847" spans="2:12">
      <c r="B2847" s="4" t="e">
        <f t="shared" si="91"/>
        <v>#N/A</v>
      </c>
      <c r="C2847" s="4">
        <f>'Raw data'!E2423</f>
        <v>0</v>
      </c>
      <c r="D2847" s="29" t="e">
        <f>VLOOKUP(C2847,'점포코드 '!A:B,2,0)</f>
        <v>#N/A</v>
      </c>
      <c r="E2847" s="30">
        <f>'Raw data'!P2423</f>
        <v>0</v>
      </c>
      <c r="F2847" s="29" t="e">
        <f>VLOOKUP(E2847,'점포코드 '!A:B,2,0)</f>
        <v>#N/A</v>
      </c>
      <c r="G2847" s="46">
        <f>'Raw data'!F2756</f>
        <v>0</v>
      </c>
      <c r="H2847" s="4">
        <f>'Raw data'!G2756</f>
        <v>0</v>
      </c>
      <c r="I2847" s="29" t="e">
        <f>VLOOKUP(G2847,제품명!$C$1:$E$114,2,0)</f>
        <v>#N/A</v>
      </c>
      <c r="J2847" s="29">
        <f>'Raw data'!K2756</f>
        <v>0</v>
      </c>
      <c r="K2847" s="31">
        <f>'Raw data'!H2756</f>
        <v>0</v>
      </c>
      <c r="L2847" s="26">
        <f t="shared" si="92"/>
        <v>0</v>
      </c>
    </row>
    <row r="2848" spans="2:12">
      <c r="B2848" s="4" t="e">
        <f t="shared" si="91"/>
        <v>#N/A</v>
      </c>
      <c r="C2848" s="4">
        <f>'Raw data'!E2424</f>
        <v>0</v>
      </c>
      <c r="D2848" s="29" t="e">
        <f>VLOOKUP(C2848,'점포코드 '!A:B,2,0)</f>
        <v>#N/A</v>
      </c>
      <c r="E2848" s="30">
        <f>'Raw data'!P2424</f>
        <v>0</v>
      </c>
      <c r="F2848" s="29" t="e">
        <f>VLOOKUP(E2848,'점포코드 '!A:B,2,0)</f>
        <v>#N/A</v>
      </c>
      <c r="G2848" s="46">
        <f>'Raw data'!F2757</f>
        <v>0</v>
      </c>
      <c r="H2848" s="4">
        <f>'Raw data'!G2757</f>
        <v>0</v>
      </c>
      <c r="I2848" s="29" t="e">
        <f>VLOOKUP(G2848,제품명!$C$1:$E$114,2,0)</f>
        <v>#N/A</v>
      </c>
      <c r="J2848" s="29">
        <f>'Raw data'!K2757</f>
        <v>0</v>
      </c>
      <c r="K2848" s="31">
        <f>'Raw data'!H2757</f>
        <v>0</v>
      </c>
      <c r="L2848" s="26">
        <f t="shared" si="92"/>
        <v>0</v>
      </c>
    </row>
    <row r="2849" spans="2:12">
      <c r="B2849" s="4" t="e">
        <f t="shared" si="91"/>
        <v>#N/A</v>
      </c>
      <c r="C2849" s="4">
        <f>'Raw data'!E2425</f>
        <v>0</v>
      </c>
      <c r="D2849" s="29" t="e">
        <f>VLOOKUP(C2849,'점포코드 '!A:B,2,0)</f>
        <v>#N/A</v>
      </c>
      <c r="E2849" s="30">
        <f>'Raw data'!P2425</f>
        <v>0</v>
      </c>
      <c r="F2849" s="29" t="e">
        <f>VLOOKUP(E2849,'점포코드 '!A:B,2,0)</f>
        <v>#N/A</v>
      </c>
      <c r="G2849" s="46">
        <f>'Raw data'!F2758</f>
        <v>0</v>
      </c>
      <c r="H2849" s="4">
        <f>'Raw data'!G2758</f>
        <v>0</v>
      </c>
      <c r="I2849" s="29" t="e">
        <f>VLOOKUP(G2849,제품명!$C$1:$E$114,2,0)</f>
        <v>#N/A</v>
      </c>
      <c r="J2849" s="29">
        <f>'Raw data'!K2758</f>
        <v>0</v>
      </c>
      <c r="K2849" s="31">
        <f>'Raw data'!H2758</f>
        <v>0</v>
      </c>
      <c r="L2849" s="26">
        <f t="shared" si="92"/>
        <v>0</v>
      </c>
    </row>
    <row r="2850" spans="2:12">
      <c r="B2850" s="4" t="e">
        <f t="shared" si="91"/>
        <v>#N/A</v>
      </c>
      <c r="C2850" s="4">
        <f>'Raw data'!E2426</f>
        <v>0</v>
      </c>
      <c r="D2850" s="29" t="e">
        <f>VLOOKUP(C2850,'점포코드 '!A:B,2,0)</f>
        <v>#N/A</v>
      </c>
      <c r="E2850" s="30">
        <f>'Raw data'!P2426</f>
        <v>0</v>
      </c>
      <c r="F2850" s="29" t="e">
        <f>VLOOKUP(E2850,'점포코드 '!A:B,2,0)</f>
        <v>#N/A</v>
      </c>
      <c r="G2850" s="46">
        <f>'Raw data'!F2759</f>
        <v>0</v>
      </c>
      <c r="H2850" s="4">
        <f>'Raw data'!G2759</f>
        <v>0</v>
      </c>
      <c r="I2850" s="29" t="e">
        <f>VLOOKUP(G2850,제품명!$C$1:$E$114,2,0)</f>
        <v>#N/A</v>
      </c>
      <c r="J2850" s="29">
        <f>'Raw data'!K2759</f>
        <v>0</v>
      </c>
      <c r="K2850" s="31">
        <f>'Raw data'!H2759</f>
        <v>0</v>
      </c>
      <c r="L2850" s="26">
        <f t="shared" si="92"/>
        <v>0</v>
      </c>
    </row>
    <row r="2851" spans="2:12">
      <c r="B2851" s="4" t="e">
        <f t="shared" si="91"/>
        <v>#N/A</v>
      </c>
      <c r="C2851" s="4">
        <f>'Raw data'!E2427</f>
        <v>0</v>
      </c>
      <c r="D2851" s="29" t="e">
        <f>VLOOKUP(C2851,'점포코드 '!A:B,2,0)</f>
        <v>#N/A</v>
      </c>
      <c r="E2851" s="30">
        <f>'Raw data'!P2427</f>
        <v>0</v>
      </c>
      <c r="F2851" s="29" t="e">
        <f>VLOOKUP(E2851,'점포코드 '!A:B,2,0)</f>
        <v>#N/A</v>
      </c>
      <c r="G2851" s="46">
        <f>'Raw data'!F2760</f>
        <v>0</v>
      </c>
      <c r="H2851" s="4">
        <f>'Raw data'!G2760</f>
        <v>0</v>
      </c>
      <c r="I2851" s="29" t="e">
        <f>VLOOKUP(G2851,제품명!$C$1:$E$114,2,0)</f>
        <v>#N/A</v>
      </c>
      <c r="J2851" s="29">
        <f>'Raw data'!K2760</f>
        <v>0</v>
      </c>
      <c r="K2851" s="31">
        <f>'Raw data'!H2760</f>
        <v>0</v>
      </c>
      <c r="L2851" s="26">
        <f t="shared" si="92"/>
        <v>0</v>
      </c>
    </row>
    <row r="2852" spans="2:12">
      <c r="B2852" s="4" t="e">
        <f t="shared" si="91"/>
        <v>#N/A</v>
      </c>
      <c r="C2852" s="4">
        <f>'Raw data'!E2428</f>
        <v>0</v>
      </c>
      <c r="D2852" s="29" t="e">
        <f>VLOOKUP(C2852,'점포코드 '!A:B,2,0)</f>
        <v>#N/A</v>
      </c>
      <c r="E2852" s="30">
        <f>'Raw data'!P2428</f>
        <v>0</v>
      </c>
      <c r="F2852" s="29" t="e">
        <f>VLOOKUP(E2852,'점포코드 '!A:B,2,0)</f>
        <v>#N/A</v>
      </c>
      <c r="G2852" s="46">
        <f>'Raw data'!F2761</f>
        <v>0</v>
      </c>
      <c r="H2852" s="4">
        <f>'Raw data'!G2761</f>
        <v>0</v>
      </c>
      <c r="I2852" s="29" t="e">
        <f>VLOOKUP(G2852,제품명!$C$1:$E$114,2,0)</f>
        <v>#N/A</v>
      </c>
      <c r="J2852" s="29">
        <f>'Raw data'!K2761</f>
        <v>0</v>
      </c>
      <c r="K2852" s="31">
        <f>'Raw data'!H2761</f>
        <v>0</v>
      </c>
      <c r="L2852" s="26">
        <f t="shared" si="92"/>
        <v>0</v>
      </c>
    </row>
    <row r="2853" spans="2:12">
      <c r="B2853" s="4" t="e">
        <f t="shared" si="91"/>
        <v>#N/A</v>
      </c>
      <c r="C2853" s="4">
        <f>'Raw data'!E2429</f>
        <v>0</v>
      </c>
      <c r="D2853" s="29" t="e">
        <f>VLOOKUP(C2853,'점포코드 '!A:B,2,0)</f>
        <v>#N/A</v>
      </c>
      <c r="E2853" s="30">
        <f>'Raw data'!P2429</f>
        <v>0</v>
      </c>
      <c r="F2853" s="29" t="e">
        <f>VLOOKUP(E2853,'점포코드 '!A:B,2,0)</f>
        <v>#N/A</v>
      </c>
      <c r="G2853" s="46">
        <f>'Raw data'!F2762</f>
        <v>0</v>
      </c>
      <c r="H2853" s="4">
        <f>'Raw data'!G2762</f>
        <v>0</v>
      </c>
      <c r="I2853" s="29" t="e">
        <f>VLOOKUP(G2853,제품명!$C$1:$E$114,2,0)</f>
        <v>#N/A</v>
      </c>
      <c r="J2853" s="29">
        <f>'Raw data'!K2762</f>
        <v>0</v>
      </c>
      <c r="K2853" s="31">
        <f>'Raw data'!H2762</f>
        <v>0</v>
      </c>
      <c r="L2853" s="26">
        <f t="shared" si="92"/>
        <v>0</v>
      </c>
    </row>
    <row r="2854" spans="2:12">
      <c r="B2854" s="4" t="e">
        <f t="shared" si="91"/>
        <v>#N/A</v>
      </c>
      <c r="C2854" s="4">
        <f>'Raw data'!E2430</f>
        <v>0</v>
      </c>
      <c r="D2854" s="29" t="e">
        <f>VLOOKUP(C2854,'점포코드 '!A:B,2,0)</f>
        <v>#N/A</v>
      </c>
      <c r="E2854" s="30">
        <f>'Raw data'!P2430</f>
        <v>0</v>
      </c>
      <c r="F2854" s="29" t="e">
        <f>VLOOKUP(E2854,'점포코드 '!A:B,2,0)</f>
        <v>#N/A</v>
      </c>
      <c r="G2854" s="46">
        <f>'Raw data'!F2763</f>
        <v>0</v>
      </c>
      <c r="H2854" s="4">
        <f>'Raw data'!G2763</f>
        <v>0</v>
      </c>
      <c r="I2854" s="29" t="e">
        <f>VLOOKUP(G2854,제품명!$C$1:$E$114,2,0)</f>
        <v>#N/A</v>
      </c>
      <c r="J2854" s="29">
        <f>'Raw data'!K2763</f>
        <v>0</v>
      </c>
      <c r="K2854" s="31">
        <f>'Raw data'!H2763</f>
        <v>0</v>
      </c>
      <c r="L2854" s="26">
        <f t="shared" si="92"/>
        <v>0</v>
      </c>
    </row>
    <row r="2855" spans="2:12">
      <c r="B2855" s="4" t="e">
        <f t="shared" si="91"/>
        <v>#N/A</v>
      </c>
      <c r="C2855" s="4">
        <f>'Raw data'!E2431</f>
        <v>0</v>
      </c>
      <c r="D2855" s="29" t="e">
        <f>VLOOKUP(C2855,'점포코드 '!A:B,2,0)</f>
        <v>#N/A</v>
      </c>
      <c r="E2855" s="30">
        <f>'Raw data'!P2431</f>
        <v>0</v>
      </c>
      <c r="F2855" s="29" t="e">
        <f>VLOOKUP(E2855,'점포코드 '!A:B,2,0)</f>
        <v>#N/A</v>
      </c>
      <c r="G2855" s="46">
        <f>'Raw data'!F2764</f>
        <v>0</v>
      </c>
      <c r="H2855" s="4">
        <f>'Raw data'!G2764</f>
        <v>0</v>
      </c>
      <c r="I2855" s="29" t="e">
        <f>VLOOKUP(G2855,제품명!$C$1:$E$114,2,0)</f>
        <v>#N/A</v>
      </c>
      <c r="J2855" s="29">
        <f>'Raw data'!K2764</f>
        <v>0</v>
      </c>
      <c r="K2855" s="31">
        <f>'Raw data'!H2764</f>
        <v>0</v>
      </c>
      <c r="L2855" s="26">
        <f t="shared" si="92"/>
        <v>0</v>
      </c>
    </row>
    <row r="2856" spans="2:12">
      <c r="B2856" s="4" t="e">
        <f t="shared" si="91"/>
        <v>#N/A</v>
      </c>
      <c r="C2856" s="4">
        <f>'Raw data'!E2432</f>
        <v>0</v>
      </c>
      <c r="D2856" s="29" t="e">
        <f>VLOOKUP(C2856,'점포코드 '!A:B,2,0)</f>
        <v>#N/A</v>
      </c>
      <c r="E2856" s="30">
        <f>'Raw data'!P2432</f>
        <v>0</v>
      </c>
      <c r="F2856" s="29" t="e">
        <f>VLOOKUP(E2856,'점포코드 '!A:B,2,0)</f>
        <v>#N/A</v>
      </c>
      <c r="G2856" s="46">
        <f>'Raw data'!F2765</f>
        <v>0</v>
      </c>
      <c r="H2856" s="4">
        <f>'Raw data'!G2765</f>
        <v>0</v>
      </c>
      <c r="I2856" s="29" t="e">
        <f>VLOOKUP(G2856,제품명!$C$1:$E$114,2,0)</f>
        <v>#N/A</v>
      </c>
      <c r="J2856" s="29">
        <f>'Raw data'!K2765</f>
        <v>0</v>
      </c>
      <c r="K2856" s="31">
        <f>'Raw data'!H2765</f>
        <v>0</v>
      </c>
      <c r="L2856" s="26">
        <f t="shared" si="92"/>
        <v>0</v>
      </c>
    </row>
    <row r="2857" spans="2:12">
      <c r="B2857" s="4" t="e">
        <f t="shared" si="91"/>
        <v>#N/A</v>
      </c>
      <c r="C2857" s="4">
        <f>'Raw data'!E2433</f>
        <v>0</v>
      </c>
      <c r="D2857" s="29" t="e">
        <f>VLOOKUP(C2857,'점포코드 '!A:B,2,0)</f>
        <v>#N/A</v>
      </c>
      <c r="E2857" s="30">
        <f>'Raw data'!P2433</f>
        <v>0</v>
      </c>
      <c r="F2857" s="29" t="e">
        <f>VLOOKUP(E2857,'점포코드 '!A:B,2,0)</f>
        <v>#N/A</v>
      </c>
      <c r="G2857" s="46">
        <f>'Raw data'!F2766</f>
        <v>0</v>
      </c>
      <c r="H2857" s="4">
        <f>'Raw data'!G2766</f>
        <v>0</v>
      </c>
      <c r="I2857" s="29" t="e">
        <f>VLOOKUP(G2857,제품명!$C$1:$E$114,2,0)</f>
        <v>#N/A</v>
      </c>
      <c r="J2857" s="29">
        <f>'Raw data'!K2766</f>
        <v>0</v>
      </c>
      <c r="K2857" s="31">
        <f>'Raw data'!H2766</f>
        <v>0</v>
      </c>
      <c r="L2857" s="26">
        <f t="shared" si="92"/>
        <v>0</v>
      </c>
    </row>
    <row r="2858" spans="2:12">
      <c r="B2858" s="4" t="e">
        <f t="shared" si="91"/>
        <v>#N/A</v>
      </c>
      <c r="C2858" s="4">
        <f>'Raw data'!E2434</f>
        <v>0</v>
      </c>
      <c r="D2858" s="29" t="e">
        <f>VLOOKUP(C2858,'점포코드 '!A:B,2,0)</f>
        <v>#N/A</v>
      </c>
      <c r="E2858" s="30">
        <f>'Raw data'!P2434</f>
        <v>0</v>
      </c>
      <c r="F2858" s="29" t="e">
        <f>VLOOKUP(E2858,'점포코드 '!A:B,2,0)</f>
        <v>#N/A</v>
      </c>
      <c r="G2858" s="46">
        <f>'Raw data'!F2767</f>
        <v>0</v>
      </c>
      <c r="H2858" s="4">
        <f>'Raw data'!G2767</f>
        <v>0</v>
      </c>
      <c r="I2858" s="29" t="e">
        <f>VLOOKUP(G2858,제품명!$C$1:$E$114,2,0)</f>
        <v>#N/A</v>
      </c>
      <c r="J2858" s="29">
        <f>'Raw data'!K2767</f>
        <v>0</v>
      </c>
      <c r="K2858" s="31">
        <f>'Raw data'!H2767</f>
        <v>0</v>
      </c>
      <c r="L2858" s="26">
        <f t="shared" si="92"/>
        <v>0</v>
      </c>
    </row>
    <row r="2859" spans="2:12">
      <c r="B2859" s="4" t="e">
        <f t="shared" si="91"/>
        <v>#N/A</v>
      </c>
      <c r="C2859" s="4">
        <f>'Raw data'!E2435</f>
        <v>0</v>
      </c>
      <c r="D2859" s="29" t="e">
        <f>VLOOKUP(C2859,'점포코드 '!A:B,2,0)</f>
        <v>#N/A</v>
      </c>
      <c r="E2859" s="30">
        <f>'Raw data'!P2435</f>
        <v>0</v>
      </c>
      <c r="F2859" s="29" t="e">
        <f>VLOOKUP(E2859,'점포코드 '!A:B,2,0)</f>
        <v>#N/A</v>
      </c>
      <c r="G2859" s="46">
        <f>'Raw data'!F2768</f>
        <v>0</v>
      </c>
      <c r="H2859" s="4">
        <f>'Raw data'!G2768</f>
        <v>0</v>
      </c>
      <c r="I2859" s="29" t="e">
        <f>VLOOKUP(G2859,제품명!$C$1:$E$114,2,0)</f>
        <v>#N/A</v>
      </c>
      <c r="J2859" s="29">
        <f>'Raw data'!K2768</f>
        <v>0</v>
      </c>
      <c r="K2859" s="31">
        <f>'Raw data'!H2768</f>
        <v>0</v>
      </c>
      <c r="L2859" s="26">
        <f t="shared" si="92"/>
        <v>0</v>
      </c>
    </row>
    <row r="2860" spans="2:12">
      <c r="B2860" s="4" t="e">
        <f t="shared" si="91"/>
        <v>#N/A</v>
      </c>
      <c r="C2860" s="4">
        <f>'Raw data'!E2436</f>
        <v>0</v>
      </c>
      <c r="D2860" s="29" t="e">
        <f>VLOOKUP(C2860,'점포코드 '!A:B,2,0)</f>
        <v>#N/A</v>
      </c>
      <c r="E2860" s="30">
        <f>'Raw data'!P2436</f>
        <v>0</v>
      </c>
      <c r="F2860" s="29" t="e">
        <f>VLOOKUP(E2860,'점포코드 '!A:B,2,0)</f>
        <v>#N/A</v>
      </c>
      <c r="G2860" s="46">
        <f>'Raw data'!F2769</f>
        <v>0</v>
      </c>
      <c r="H2860" s="4">
        <f>'Raw data'!G2769</f>
        <v>0</v>
      </c>
      <c r="I2860" s="29" t="e">
        <f>VLOOKUP(G2860,제품명!$C$1:$E$114,2,0)</f>
        <v>#N/A</v>
      </c>
      <c r="J2860" s="29">
        <f>'Raw data'!K2769</f>
        <v>0</v>
      </c>
      <c r="K2860" s="31">
        <f>'Raw data'!H2769</f>
        <v>0</v>
      </c>
      <c r="L2860" s="26">
        <f t="shared" si="92"/>
        <v>0</v>
      </c>
    </row>
    <row r="2861" spans="2:12">
      <c r="B2861" s="4" t="e">
        <f t="shared" si="91"/>
        <v>#N/A</v>
      </c>
      <c r="C2861" s="4">
        <f>'Raw data'!E2437</f>
        <v>0</v>
      </c>
      <c r="D2861" s="29" t="e">
        <f>VLOOKUP(C2861,'점포코드 '!A:B,2,0)</f>
        <v>#N/A</v>
      </c>
      <c r="E2861" s="30">
        <f>'Raw data'!P2437</f>
        <v>0</v>
      </c>
      <c r="F2861" s="29" t="e">
        <f>VLOOKUP(E2861,'점포코드 '!A:B,2,0)</f>
        <v>#N/A</v>
      </c>
      <c r="G2861" s="46">
        <f>'Raw data'!F2770</f>
        <v>0</v>
      </c>
      <c r="H2861" s="4">
        <f>'Raw data'!G2770</f>
        <v>0</v>
      </c>
      <c r="I2861" s="29" t="e">
        <f>VLOOKUP(G2861,제품명!$C$1:$E$114,2,0)</f>
        <v>#N/A</v>
      </c>
      <c r="J2861" s="29">
        <f>'Raw data'!K2770</f>
        <v>0</v>
      </c>
      <c r="K2861" s="31">
        <f>'Raw data'!H2770</f>
        <v>0</v>
      </c>
      <c r="L2861" s="26">
        <f t="shared" si="92"/>
        <v>0</v>
      </c>
    </row>
    <row r="2862" spans="2:12">
      <c r="B2862" s="4" t="e">
        <f t="shared" si="91"/>
        <v>#N/A</v>
      </c>
      <c r="C2862" s="4">
        <f>'Raw data'!E2438</f>
        <v>0</v>
      </c>
      <c r="D2862" s="29" t="e">
        <f>VLOOKUP(C2862,'점포코드 '!A:B,2,0)</f>
        <v>#N/A</v>
      </c>
      <c r="E2862" s="30">
        <f>'Raw data'!P2438</f>
        <v>0</v>
      </c>
      <c r="F2862" s="29" t="e">
        <f>VLOOKUP(E2862,'점포코드 '!A:B,2,0)</f>
        <v>#N/A</v>
      </c>
      <c r="G2862" s="46">
        <f>'Raw data'!F2771</f>
        <v>0</v>
      </c>
      <c r="H2862" s="4">
        <f>'Raw data'!G2771</f>
        <v>0</v>
      </c>
      <c r="I2862" s="29" t="e">
        <f>VLOOKUP(G2862,제품명!$C$1:$E$114,2,0)</f>
        <v>#N/A</v>
      </c>
      <c r="J2862" s="29">
        <f>'Raw data'!K2771</f>
        <v>0</v>
      </c>
      <c r="K2862" s="31">
        <f>'Raw data'!H2771</f>
        <v>0</v>
      </c>
      <c r="L2862" s="26">
        <f t="shared" si="92"/>
        <v>0</v>
      </c>
    </row>
    <row r="2863" spans="2:12">
      <c r="B2863" s="4" t="e">
        <f t="shared" si="91"/>
        <v>#N/A</v>
      </c>
      <c r="C2863" s="4">
        <f>'Raw data'!E2439</f>
        <v>0</v>
      </c>
      <c r="D2863" s="29" t="e">
        <f>VLOOKUP(C2863,'점포코드 '!A:B,2,0)</f>
        <v>#N/A</v>
      </c>
      <c r="E2863" s="30">
        <f>'Raw data'!P2439</f>
        <v>0</v>
      </c>
      <c r="F2863" s="29" t="e">
        <f>VLOOKUP(E2863,'점포코드 '!A:B,2,0)</f>
        <v>#N/A</v>
      </c>
      <c r="G2863" s="46">
        <f>'Raw data'!F2772</f>
        <v>0</v>
      </c>
      <c r="H2863" s="4">
        <f>'Raw data'!G2772</f>
        <v>0</v>
      </c>
      <c r="I2863" s="29" t="e">
        <f>VLOOKUP(G2863,제품명!$C$1:$E$114,2,0)</f>
        <v>#N/A</v>
      </c>
      <c r="J2863" s="29">
        <f>'Raw data'!K2772</f>
        <v>0</v>
      </c>
      <c r="K2863" s="31">
        <f>'Raw data'!H2772</f>
        <v>0</v>
      </c>
      <c r="L2863" s="26">
        <f t="shared" si="92"/>
        <v>0</v>
      </c>
    </row>
    <row r="2864" spans="2:12">
      <c r="B2864" s="4" t="e">
        <f t="shared" si="91"/>
        <v>#N/A</v>
      </c>
      <c r="C2864" s="4">
        <f>'Raw data'!E2440</f>
        <v>0</v>
      </c>
      <c r="D2864" s="29" t="e">
        <f>VLOOKUP(C2864,'점포코드 '!A:B,2,0)</f>
        <v>#N/A</v>
      </c>
      <c r="E2864" s="30">
        <f>'Raw data'!P2440</f>
        <v>0</v>
      </c>
      <c r="F2864" s="29" t="e">
        <f>VLOOKUP(E2864,'점포코드 '!A:B,2,0)</f>
        <v>#N/A</v>
      </c>
      <c r="G2864" s="46">
        <f>'Raw data'!F2773</f>
        <v>0</v>
      </c>
      <c r="H2864" s="4">
        <f>'Raw data'!G2773</f>
        <v>0</v>
      </c>
      <c r="I2864" s="29" t="e">
        <f>VLOOKUP(G2864,제품명!$C$1:$E$114,2,0)</f>
        <v>#N/A</v>
      </c>
      <c r="J2864" s="29">
        <f>'Raw data'!K2773</f>
        <v>0</v>
      </c>
      <c r="K2864" s="31">
        <f>'Raw data'!H2773</f>
        <v>0</v>
      </c>
      <c r="L2864" s="26">
        <f t="shared" si="92"/>
        <v>0</v>
      </c>
    </row>
    <row r="2865" spans="2:12">
      <c r="B2865" s="4" t="e">
        <f t="shared" si="91"/>
        <v>#N/A</v>
      </c>
      <c r="C2865" s="4">
        <f>'Raw data'!E2441</f>
        <v>0</v>
      </c>
      <c r="D2865" s="29" t="e">
        <f>VLOOKUP(C2865,'점포코드 '!A:B,2,0)</f>
        <v>#N/A</v>
      </c>
      <c r="E2865" s="30">
        <f>'Raw data'!P2441</f>
        <v>0</v>
      </c>
      <c r="F2865" s="29" t="e">
        <f>VLOOKUP(E2865,'점포코드 '!A:B,2,0)</f>
        <v>#N/A</v>
      </c>
      <c r="G2865" s="46">
        <f>'Raw data'!F2774</f>
        <v>0</v>
      </c>
      <c r="H2865" s="4">
        <f>'Raw data'!G2774</f>
        <v>0</v>
      </c>
      <c r="I2865" s="29" t="e">
        <f>VLOOKUP(G2865,제품명!$C$1:$E$114,2,0)</f>
        <v>#N/A</v>
      </c>
      <c r="J2865" s="29">
        <f>'Raw data'!K2774</f>
        <v>0</v>
      </c>
      <c r="K2865" s="31">
        <f>'Raw data'!H2774</f>
        <v>0</v>
      </c>
      <c r="L2865" s="26">
        <f t="shared" si="92"/>
        <v>0</v>
      </c>
    </row>
    <row r="2866" spans="2:12">
      <c r="B2866" s="4" t="e">
        <f t="shared" si="91"/>
        <v>#N/A</v>
      </c>
      <c r="C2866" s="4">
        <f>'Raw data'!E2442</f>
        <v>0</v>
      </c>
      <c r="D2866" s="29" t="e">
        <f>VLOOKUP(C2866,'점포코드 '!A:B,2,0)</f>
        <v>#N/A</v>
      </c>
      <c r="E2866" s="30">
        <f>'Raw data'!P2442</f>
        <v>0</v>
      </c>
      <c r="F2866" s="29" t="e">
        <f>VLOOKUP(E2866,'점포코드 '!A:B,2,0)</f>
        <v>#N/A</v>
      </c>
      <c r="G2866" s="46">
        <f>'Raw data'!F2775</f>
        <v>0</v>
      </c>
      <c r="H2866" s="4">
        <f>'Raw data'!G2775</f>
        <v>0</v>
      </c>
      <c r="I2866" s="29" t="e">
        <f>VLOOKUP(G2866,제품명!$C$1:$E$114,2,0)</f>
        <v>#N/A</v>
      </c>
      <c r="J2866" s="29">
        <f>'Raw data'!K2775</f>
        <v>0</v>
      </c>
      <c r="K2866" s="31">
        <f>'Raw data'!H2775</f>
        <v>0</v>
      </c>
      <c r="L2866" s="26">
        <f t="shared" si="92"/>
        <v>0</v>
      </c>
    </row>
    <row r="2867" spans="2:12">
      <c r="B2867" s="4" t="e">
        <f t="shared" si="91"/>
        <v>#N/A</v>
      </c>
      <c r="C2867" s="4">
        <f>'Raw data'!E2443</f>
        <v>0</v>
      </c>
      <c r="D2867" s="29" t="e">
        <f>VLOOKUP(C2867,'점포코드 '!A:B,2,0)</f>
        <v>#N/A</v>
      </c>
      <c r="E2867" s="30">
        <f>'Raw data'!P2443</f>
        <v>0</v>
      </c>
      <c r="F2867" s="29" t="e">
        <f>VLOOKUP(E2867,'점포코드 '!A:B,2,0)</f>
        <v>#N/A</v>
      </c>
      <c r="G2867" s="46">
        <f>'Raw data'!F2776</f>
        <v>0</v>
      </c>
      <c r="H2867" s="4">
        <f>'Raw data'!G2776</f>
        <v>0</v>
      </c>
      <c r="I2867" s="29" t="e">
        <f>VLOOKUP(G2867,제품명!$C$1:$E$114,2,0)</f>
        <v>#N/A</v>
      </c>
      <c r="J2867" s="29">
        <f>'Raw data'!K2776</f>
        <v>0</v>
      </c>
      <c r="K2867" s="31">
        <f>'Raw data'!H2776</f>
        <v>0</v>
      </c>
      <c r="L2867" s="26">
        <f t="shared" si="92"/>
        <v>0</v>
      </c>
    </row>
    <row r="2868" spans="2:12">
      <c r="B2868" s="4" t="e">
        <f t="shared" si="91"/>
        <v>#N/A</v>
      </c>
      <c r="C2868" s="4">
        <f>'Raw data'!E2444</f>
        <v>0</v>
      </c>
      <c r="D2868" s="29" t="e">
        <f>VLOOKUP(C2868,'점포코드 '!A:B,2,0)</f>
        <v>#N/A</v>
      </c>
      <c r="E2868" s="30">
        <f>'Raw data'!P2444</f>
        <v>0</v>
      </c>
      <c r="F2868" s="29" t="e">
        <f>VLOOKUP(E2868,'점포코드 '!A:B,2,0)</f>
        <v>#N/A</v>
      </c>
      <c r="G2868" s="46">
        <f>'Raw data'!F2777</f>
        <v>0</v>
      </c>
      <c r="H2868" s="4">
        <f>'Raw data'!G2777</f>
        <v>0</v>
      </c>
      <c r="I2868" s="29" t="e">
        <f>VLOOKUP(G2868,제품명!$C$1:$E$114,2,0)</f>
        <v>#N/A</v>
      </c>
      <c r="J2868" s="29">
        <f>'Raw data'!K2777</f>
        <v>0</v>
      </c>
      <c r="K2868" s="31">
        <f>'Raw data'!H2777</f>
        <v>0</v>
      </c>
      <c r="L2868" s="26">
        <f t="shared" si="92"/>
        <v>0</v>
      </c>
    </row>
    <row r="2869" spans="2:12">
      <c r="B2869" s="4" t="e">
        <f t="shared" si="91"/>
        <v>#N/A</v>
      </c>
      <c r="C2869" s="4">
        <f>'Raw data'!E2445</f>
        <v>0</v>
      </c>
      <c r="D2869" s="29" t="e">
        <f>VLOOKUP(C2869,'점포코드 '!A:B,2,0)</f>
        <v>#N/A</v>
      </c>
      <c r="E2869" s="30">
        <f>'Raw data'!P2445</f>
        <v>0</v>
      </c>
      <c r="F2869" s="29" t="e">
        <f>VLOOKUP(E2869,'점포코드 '!A:B,2,0)</f>
        <v>#N/A</v>
      </c>
      <c r="G2869" s="46">
        <f>'Raw data'!F2778</f>
        <v>0</v>
      </c>
      <c r="H2869" s="4">
        <f>'Raw data'!G2778</f>
        <v>0</v>
      </c>
      <c r="I2869" s="29" t="e">
        <f>VLOOKUP(G2869,제품명!$C$1:$E$114,2,0)</f>
        <v>#N/A</v>
      </c>
      <c r="J2869" s="29">
        <f>'Raw data'!K2778</f>
        <v>0</v>
      </c>
      <c r="K2869" s="31">
        <f>'Raw data'!H2778</f>
        <v>0</v>
      </c>
      <c r="L2869" s="26">
        <f t="shared" si="92"/>
        <v>0</v>
      </c>
    </row>
    <row r="2870" spans="2:12">
      <c r="B2870" s="4" t="e">
        <f t="shared" si="91"/>
        <v>#N/A</v>
      </c>
      <c r="C2870" s="4">
        <f>'Raw data'!E2446</f>
        <v>0</v>
      </c>
      <c r="D2870" s="29" t="e">
        <f>VLOOKUP(C2870,'점포코드 '!A:B,2,0)</f>
        <v>#N/A</v>
      </c>
      <c r="E2870" s="30">
        <f>'Raw data'!P2446</f>
        <v>0</v>
      </c>
      <c r="F2870" s="29" t="e">
        <f>VLOOKUP(E2870,'점포코드 '!A:B,2,0)</f>
        <v>#N/A</v>
      </c>
      <c r="G2870" s="46">
        <f>'Raw data'!F2779</f>
        <v>0</v>
      </c>
      <c r="H2870" s="4">
        <f>'Raw data'!G2779</f>
        <v>0</v>
      </c>
      <c r="I2870" s="29" t="e">
        <f>VLOOKUP(G2870,제품명!$C$1:$E$114,2,0)</f>
        <v>#N/A</v>
      </c>
      <c r="J2870" s="29">
        <f>'Raw data'!K2779</f>
        <v>0</v>
      </c>
      <c r="K2870" s="31">
        <f>'Raw data'!H2779</f>
        <v>0</v>
      </c>
      <c r="L2870" s="26">
        <f t="shared" si="92"/>
        <v>0</v>
      </c>
    </row>
    <row r="2871" spans="2:12">
      <c r="B2871" s="4" t="e">
        <f t="shared" si="91"/>
        <v>#N/A</v>
      </c>
      <c r="C2871" s="4">
        <f>'Raw data'!E2447</f>
        <v>0</v>
      </c>
      <c r="D2871" s="29" t="e">
        <f>VLOOKUP(C2871,'점포코드 '!A:B,2,0)</f>
        <v>#N/A</v>
      </c>
      <c r="E2871" s="30">
        <f>'Raw data'!P2447</f>
        <v>0</v>
      </c>
      <c r="F2871" s="29" t="e">
        <f>VLOOKUP(E2871,'점포코드 '!A:B,2,0)</f>
        <v>#N/A</v>
      </c>
      <c r="G2871" s="46">
        <f>'Raw data'!F2780</f>
        <v>0</v>
      </c>
      <c r="H2871" s="4">
        <f>'Raw data'!G2780</f>
        <v>0</v>
      </c>
      <c r="I2871" s="29" t="e">
        <f>VLOOKUP(G2871,제품명!$C$1:$E$114,2,0)</f>
        <v>#N/A</v>
      </c>
      <c r="J2871" s="29">
        <f>'Raw data'!K2780</f>
        <v>0</v>
      </c>
      <c r="K2871" s="31">
        <f>'Raw data'!H2780</f>
        <v>0</v>
      </c>
      <c r="L2871" s="26">
        <f t="shared" si="92"/>
        <v>0</v>
      </c>
    </row>
    <row r="2872" spans="2:12">
      <c r="B2872" s="4" t="e">
        <f t="shared" si="91"/>
        <v>#N/A</v>
      </c>
      <c r="C2872" s="4">
        <f>'Raw data'!E2448</f>
        <v>0</v>
      </c>
      <c r="D2872" s="29" t="e">
        <f>VLOOKUP(C2872,'점포코드 '!A:B,2,0)</f>
        <v>#N/A</v>
      </c>
      <c r="E2872" s="30">
        <f>'Raw data'!P2448</f>
        <v>0</v>
      </c>
      <c r="F2872" s="29" t="e">
        <f>VLOOKUP(E2872,'점포코드 '!A:B,2,0)</f>
        <v>#N/A</v>
      </c>
      <c r="G2872" s="46">
        <f>'Raw data'!F2781</f>
        <v>0</v>
      </c>
      <c r="H2872" s="4">
        <f>'Raw data'!G2781</f>
        <v>0</v>
      </c>
      <c r="I2872" s="29" t="e">
        <f>VLOOKUP(G2872,제품명!$C$1:$E$114,2,0)</f>
        <v>#N/A</v>
      </c>
      <c r="J2872" s="29">
        <f>'Raw data'!K2781</f>
        <v>0</v>
      </c>
      <c r="K2872" s="31">
        <f>'Raw data'!H2781</f>
        <v>0</v>
      </c>
      <c r="L2872" s="26">
        <f t="shared" si="92"/>
        <v>0</v>
      </c>
    </row>
    <row r="2873" spans="2:12">
      <c r="B2873" s="4" t="e">
        <f t="shared" si="91"/>
        <v>#N/A</v>
      </c>
      <c r="C2873" s="4">
        <f>'Raw data'!E2449</f>
        <v>0</v>
      </c>
      <c r="D2873" s="29" t="e">
        <f>VLOOKUP(C2873,'점포코드 '!A:B,2,0)</f>
        <v>#N/A</v>
      </c>
      <c r="E2873" s="30">
        <f>'Raw data'!P2449</f>
        <v>0</v>
      </c>
      <c r="F2873" s="29" t="e">
        <f>VLOOKUP(E2873,'점포코드 '!A:B,2,0)</f>
        <v>#N/A</v>
      </c>
      <c r="G2873" s="46">
        <f>'Raw data'!F2782</f>
        <v>0</v>
      </c>
      <c r="H2873" s="4">
        <f>'Raw data'!G2782</f>
        <v>0</v>
      </c>
      <c r="I2873" s="29" t="e">
        <f>VLOOKUP(G2873,제품명!$C$1:$E$114,2,0)</f>
        <v>#N/A</v>
      </c>
      <c r="J2873" s="29">
        <f>'Raw data'!K2782</f>
        <v>0</v>
      </c>
      <c r="K2873" s="31">
        <f>'Raw data'!H2782</f>
        <v>0</v>
      </c>
      <c r="L2873" s="26">
        <f t="shared" si="92"/>
        <v>0</v>
      </c>
    </row>
    <row r="2874" spans="2:12">
      <c r="B2874" s="4" t="e">
        <f t="shared" si="91"/>
        <v>#N/A</v>
      </c>
      <c r="C2874" s="4">
        <f>'Raw data'!E2450</f>
        <v>0</v>
      </c>
      <c r="D2874" s="29" t="e">
        <f>VLOOKUP(C2874,'점포코드 '!A:B,2,0)</f>
        <v>#N/A</v>
      </c>
      <c r="E2874" s="30">
        <f>'Raw data'!P2450</f>
        <v>0</v>
      </c>
      <c r="F2874" s="29" t="e">
        <f>VLOOKUP(E2874,'점포코드 '!A:B,2,0)</f>
        <v>#N/A</v>
      </c>
      <c r="G2874" s="46">
        <f>'Raw data'!F2783</f>
        <v>0</v>
      </c>
      <c r="H2874" s="4">
        <f>'Raw data'!G2783</f>
        <v>0</v>
      </c>
      <c r="I2874" s="29" t="e">
        <f>VLOOKUP(G2874,제품명!$C$1:$E$114,2,0)</f>
        <v>#N/A</v>
      </c>
      <c r="J2874" s="29">
        <f>'Raw data'!K2783</f>
        <v>0</v>
      </c>
      <c r="K2874" s="31">
        <f>'Raw data'!H2783</f>
        <v>0</v>
      </c>
      <c r="L2874" s="26">
        <f t="shared" si="92"/>
        <v>0</v>
      </c>
    </row>
    <row r="2875" spans="2:12">
      <c r="B2875" s="4" t="e">
        <f t="shared" si="91"/>
        <v>#N/A</v>
      </c>
      <c r="C2875" s="4">
        <f>'Raw data'!E2451</f>
        <v>0</v>
      </c>
      <c r="D2875" s="29" t="e">
        <f>VLOOKUP(C2875,'점포코드 '!A:B,2,0)</f>
        <v>#N/A</v>
      </c>
      <c r="E2875" s="30">
        <f>'Raw data'!P2451</f>
        <v>0</v>
      </c>
      <c r="F2875" s="29" t="e">
        <f>VLOOKUP(E2875,'점포코드 '!A:B,2,0)</f>
        <v>#N/A</v>
      </c>
      <c r="G2875" s="46">
        <f>'Raw data'!F2784</f>
        <v>0</v>
      </c>
      <c r="H2875" s="4">
        <f>'Raw data'!G2784</f>
        <v>0</v>
      </c>
      <c r="I2875" s="29" t="e">
        <f>VLOOKUP(G2875,제품명!$C$1:$E$114,2,0)</f>
        <v>#N/A</v>
      </c>
      <c r="J2875" s="29">
        <f>'Raw data'!K2784</f>
        <v>0</v>
      </c>
      <c r="K2875" s="31">
        <f>'Raw data'!H2784</f>
        <v>0</v>
      </c>
      <c r="L2875" s="26">
        <f t="shared" si="92"/>
        <v>0</v>
      </c>
    </row>
    <row r="2876" spans="2:12">
      <c r="B2876" s="4" t="e">
        <f t="shared" si="91"/>
        <v>#N/A</v>
      </c>
      <c r="C2876" s="4">
        <f>'Raw data'!E2452</f>
        <v>0</v>
      </c>
      <c r="D2876" s="29" t="e">
        <f>VLOOKUP(C2876,'점포코드 '!A:B,2,0)</f>
        <v>#N/A</v>
      </c>
      <c r="E2876" s="30">
        <f>'Raw data'!P2452</f>
        <v>0</v>
      </c>
      <c r="F2876" s="29" t="e">
        <f>VLOOKUP(E2876,'점포코드 '!A:B,2,0)</f>
        <v>#N/A</v>
      </c>
      <c r="G2876" s="46">
        <f>'Raw data'!F2785</f>
        <v>0</v>
      </c>
      <c r="H2876" s="4">
        <f>'Raw data'!G2785</f>
        <v>0</v>
      </c>
      <c r="I2876" s="29" t="e">
        <f>VLOOKUP(G2876,제품명!$C$1:$E$114,2,0)</f>
        <v>#N/A</v>
      </c>
      <c r="J2876" s="29">
        <f>'Raw data'!K2785</f>
        <v>0</v>
      </c>
      <c r="K2876" s="31">
        <f>'Raw data'!H2785</f>
        <v>0</v>
      </c>
      <c r="L2876" s="26">
        <f t="shared" si="92"/>
        <v>0</v>
      </c>
    </row>
    <row r="2877" spans="2:12">
      <c r="B2877" s="4" t="e">
        <f t="shared" si="91"/>
        <v>#N/A</v>
      </c>
      <c r="C2877" s="4">
        <f>'Raw data'!E2453</f>
        <v>0</v>
      </c>
      <c r="D2877" s="29" t="e">
        <f>VLOOKUP(C2877,'점포코드 '!A:B,2,0)</f>
        <v>#N/A</v>
      </c>
      <c r="E2877" s="30">
        <f>'Raw data'!P2453</f>
        <v>0</v>
      </c>
      <c r="F2877" s="29" t="e">
        <f>VLOOKUP(E2877,'점포코드 '!A:B,2,0)</f>
        <v>#N/A</v>
      </c>
      <c r="G2877" s="46">
        <f>'Raw data'!F2786</f>
        <v>0</v>
      </c>
      <c r="H2877" s="4">
        <f>'Raw data'!G2786</f>
        <v>0</v>
      </c>
      <c r="I2877" s="29" t="e">
        <f>VLOOKUP(G2877,제품명!$C$1:$E$114,2,0)</f>
        <v>#N/A</v>
      </c>
      <c r="J2877" s="29">
        <f>'Raw data'!K2786</f>
        <v>0</v>
      </c>
      <c r="K2877" s="31">
        <f>'Raw data'!H2786</f>
        <v>0</v>
      </c>
      <c r="L2877" s="26">
        <f t="shared" si="92"/>
        <v>0</v>
      </c>
    </row>
    <row r="2878" spans="2:12">
      <c r="B2878" s="4" t="e">
        <f t="shared" si="91"/>
        <v>#N/A</v>
      </c>
      <c r="C2878" s="4">
        <f>'Raw data'!E2454</f>
        <v>0</v>
      </c>
      <c r="D2878" s="29" t="e">
        <f>VLOOKUP(C2878,'점포코드 '!A:B,2,0)</f>
        <v>#N/A</v>
      </c>
      <c r="E2878" s="30">
        <f>'Raw data'!P2454</f>
        <v>0</v>
      </c>
      <c r="F2878" s="29" t="e">
        <f>VLOOKUP(E2878,'점포코드 '!A:B,2,0)</f>
        <v>#N/A</v>
      </c>
      <c r="G2878" s="46">
        <f>'Raw data'!F2787</f>
        <v>0</v>
      </c>
      <c r="H2878" s="4">
        <f>'Raw data'!G2787</f>
        <v>0</v>
      </c>
      <c r="I2878" s="29" t="e">
        <f>VLOOKUP(G2878,제품명!$C$1:$E$114,2,0)</f>
        <v>#N/A</v>
      </c>
      <c r="J2878" s="29">
        <f>'Raw data'!K2787</f>
        <v>0</v>
      </c>
      <c r="K2878" s="31">
        <f>'Raw data'!H2787</f>
        <v>0</v>
      </c>
      <c r="L2878" s="26">
        <f t="shared" si="92"/>
        <v>0</v>
      </c>
    </row>
    <row r="2879" spans="2:12">
      <c r="B2879" s="4" t="e">
        <f t="shared" si="91"/>
        <v>#N/A</v>
      </c>
      <c r="C2879" s="4">
        <f>'Raw data'!E2455</f>
        <v>0</v>
      </c>
      <c r="D2879" s="29" t="e">
        <f>VLOOKUP(C2879,'점포코드 '!A:B,2,0)</f>
        <v>#N/A</v>
      </c>
      <c r="E2879" s="30">
        <f>'Raw data'!P2455</f>
        <v>0</v>
      </c>
      <c r="F2879" s="29" t="e">
        <f>VLOOKUP(E2879,'점포코드 '!A:B,2,0)</f>
        <v>#N/A</v>
      </c>
      <c r="G2879" s="46">
        <f>'Raw data'!F2788</f>
        <v>0</v>
      </c>
      <c r="H2879" s="4">
        <f>'Raw data'!G2788</f>
        <v>0</v>
      </c>
      <c r="I2879" s="29" t="e">
        <f>VLOOKUP(G2879,제품명!$C$1:$E$114,2,0)</f>
        <v>#N/A</v>
      </c>
      <c r="J2879" s="29">
        <f>'Raw data'!K2788</f>
        <v>0</v>
      </c>
      <c r="K2879" s="31">
        <f>'Raw data'!H2788</f>
        <v>0</v>
      </c>
      <c r="L2879" s="26">
        <f t="shared" si="92"/>
        <v>0</v>
      </c>
    </row>
    <row r="2880" spans="2:12">
      <c r="B2880" s="4" t="e">
        <f t="shared" si="91"/>
        <v>#N/A</v>
      </c>
      <c r="C2880" s="4">
        <f>'Raw data'!E2456</f>
        <v>0</v>
      </c>
      <c r="D2880" s="29" t="e">
        <f>VLOOKUP(C2880,'점포코드 '!A:B,2,0)</f>
        <v>#N/A</v>
      </c>
      <c r="E2880" s="30">
        <f>'Raw data'!P2456</f>
        <v>0</v>
      </c>
      <c r="F2880" s="29" t="e">
        <f>VLOOKUP(E2880,'점포코드 '!A:B,2,0)</f>
        <v>#N/A</v>
      </c>
      <c r="G2880" s="46">
        <f>'Raw data'!F2789</f>
        <v>0</v>
      </c>
      <c r="H2880" s="4">
        <f>'Raw data'!G2789</f>
        <v>0</v>
      </c>
      <c r="I2880" s="29" t="e">
        <f>VLOOKUP(G2880,제품명!$C$1:$E$114,2,0)</f>
        <v>#N/A</v>
      </c>
      <c r="J2880" s="29">
        <f>'Raw data'!K2789</f>
        <v>0</v>
      </c>
      <c r="K2880" s="31">
        <f>'Raw data'!H2789</f>
        <v>0</v>
      </c>
      <c r="L2880" s="26">
        <f t="shared" si="92"/>
        <v>0</v>
      </c>
    </row>
    <row r="2881" spans="2:12">
      <c r="B2881" s="4" t="e">
        <f t="shared" si="91"/>
        <v>#N/A</v>
      </c>
      <c r="C2881" s="4">
        <f>'Raw data'!E2457</f>
        <v>0</v>
      </c>
      <c r="D2881" s="29" t="e">
        <f>VLOOKUP(C2881,'점포코드 '!A:B,2,0)</f>
        <v>#N/A</v>
      </c>
      <c r="E2881" s="30">
        <f>'Raw data'!P2457</f>
        <v>0</v>
      </c>
      <c r="F2881" s="29" t="e">
        <f>VLOOKUP(E2881,'점포코드 '!A:B,2,0)</f>
        <v>#N/A</v>
      </c>
      <c r="G2881" s="46">
        <f>'Raw data'!F2790</f>
        <v>0</v>
      </c>
      <c r="H2881" s="4">
        <f>'Raw data'!G2790</f>
        <v>0</v>
      </c>
      <c r="I2881" s="29" t="e">
        <f>VLOOKUP(G2881,제품명!$C$1:$E$114,2,0)</f>
        <v>#N/A</v>
      </c>
      <c r="J2881" s="29">
        <f>'Raw data'!K2790</f>
        <v>0</v>
      </c>
      <c r="K2881" s="31">
        <f>'Raw data'!H2790</f>
        <v>0</v>
      </c>
      <c r="L2881" s="26">
        <f t="shared" si="92"/>
        <v>0</v>
      </c>
    </row>
    <row r="2882" spans="2:12">
      <c r="B2882" s="4" t="e">
        <f t="shared" ref="B2882:B2945" si="93">F2882&amp;I2882</f>
        <v>#N/A</v>
      </c>
      <c r="C2882" s="4">
        <f>'Raw data'!E2458</f>
        <v>0</v>
      </c>
      <c r="D2882" s="29" t="e">
        <f>VLOOKUP(C2882,'점포코드 '!A:B,2,0)</f>
        <v>#N/A</v>
      </c>
      <c r="E2882" s="30">
        <f>'Raw data'!P2458</f>
        <v>0</v>
      </c>
      <c r="F2882" s="29" t="e">
        <f>VLOOKUP(E2882,'점포코드 '!A:B,2,0)</f>
        <v>#N/A</v>
      </c>
      <c r="G2882" s="46">
        <f>'Raw data'!F2791</f>
        <v>0</v>
      </c>
      <c r="H2882" s="4">
        <f>'Raw data'!G2791</f>
        <v>0</v>
      </c>
      <c r="I2882" s="29" t="e">
        <f>VLOOKUP(G2882,제품명!$C$1:$E$114,2,0)</f>
        <v>#N/A</v>
      </c>
      <c r="J2882" s="29">
        <f>'Raw data'!K2791</f>
        <v>0</v>
      </c>
      <c r="K2882" s="31">
        <f>'Raw data'!H2791</f>
        <v>0</v>
      </c>
      <c r="L2882" s="26">
        <f t="shared" si="92"/>
        <v>0</v>
      </c>
    </row>
    <row r="2883" spans="2:12">
      <c r="B2883" s="4" t="e">
        <f t="shared" si="93"/>
        <v>#N/A</v>
      </c>
      <c r="C2883" s="4">
        <f>'Raw data'!E2459</f>
        <v>0</v>
      </c>
      <c r="D2883" s="29" t="e">
        <f>VLOOKUP(C2883,'점포코드 '!A:B,2,0)</f>
        <v>#N/A</v>
      </c>
      <c r="E2883" s="30">
        <f>'Raw data'!P2459</f>
        <v>0</v>
      </c>
      <c r="F2883" s="29" t="e">
        <f>VLOOKUP(E2883,'점포코드 '!A:B,2,0)</f>
        <v>#N/A</v>
      </c>
      <c r="G2883" s="46">
        <f>'Raw data'!F2792</f>
        <v>0</v>
      </c>
      <c r="H2883" s="4">
        <f>'Raw data'!G2792</f>
        <v>0</v>
      </c>
      <c r="I2883" s="29" t="e">
        <f>VLOOKUP(G2883,제품명!$C$1:$E$114,2,0)</f>
        <v>#N/A</v>
      </c>
      <c r="J2883" s="29">
        <f>'Raw data'!K2792</f>
        <v>0</v>
      </c>
      <c r="K2883" s="31">
        <f>'Raw data'!H2792</f>
        <v>0</v>
      </c>
      <c r="L2883" s="26">
        <f t="shared" ref="L2883:L2946" si="94">J2883*K2883</f>
        <v>0</v>
      </c>
    </row>
    <row r="2884" spans="2:12">
      <c r="B2884" s="4" t="e">
        <f t="shared" si="93"/>
        <v>#N/A</v>
      </c>
      <c r="C2884" s="4">
        <f>'Raw data'!E2460</f>
        <v>0</v>
      </c>
      <c r="D2884" s="29" t="e">
        <f>VLOOKUP(C2884,'점포코드 '!A:B,2,0)</f>
        <v>#N/A</v>
      </c>
      <c r="E2884" s="30">
        <f>'Raw data'!P2460</f>
        <v>0</v>
      </c>
      <c r="F2884" s="29" t="e">
        <f>VLOOKUP(E2884,'점포코드 '!A:B,2,0)</f>
        <v>#N/A</v>
      </c>
      <c r="G2884" s="46">
        <f>'Raw data'!F2793</f>
        <v>0</v>
      </c>
      <c r="H2884" s="4">
        <f>'Raw data'!G2793</f>
        <v>0</v>
      </c>
      <c r="I2884" s="29" t="e">
        <f>VLOOKUP(G2884,제품명!$C$1:$E$114,2,0)</f>
        <v>#N/A</v>
      </c>
      <c r="J2884" s="29">
        <f>'Raw data'!K2793</f>
        <v>0</v>
      </c>
      <c r="K2884" s="31">
        <f>'Raw data'!H2793</f>
        <v>0</v>
      </c>
      <c r="L2884" s="26">
        <f t="shared" si="94"/>
        <v>0</v>
      </c>
    </row>
    <row r="2885" spans="2:12">
      <c r="B2885" s="4" t="e">
        <f t="shared" si="93"/>
        <v>#N/A</v>
      </c>
      <c r="C2885" s="4">
        <f>'Raw data'!E2461</f>
        <v>0</v>
      </c>
      <c r="D2885" s="29" t="e">
        <f>VLOOKUP(C2885,'점포코드 '!A:B,2,0)</f>
        <v>#N/A</v>
      </c>
      <c r="E2885" s="30">
        <f>'Raw data'!P2461</f>
        <v>0</v>
      </c>
      <c r="F2885" s="29" t="e">
        <f>VLOOKUP(E2885,'점포코드 '!A:B,2,0)</f>
        <v>#N/A</v>
      </c>
      <c r="G2885" s="46">
        <f>'Raw data'!F2794</f>
        <v>0</v>
      </c>
      <c r="H2885" s="4">
        <f>'Raw data'!G2794</f>
        <v>0</v>
      </c>
      <c r="I2885" s="29" t="e">
        <f>VLOOKUP(G2885,제품명!$C$1:$E$114,2,0)</f>
        <v>#N/A</v>
      </c>
      <c r="J2885" s="29">
        <f>'Raw data'!K2794</f>
        <v>0</v>
      </c>
      <c r="K2885" s="31">
        <f>'Raw data'!H2794</f>
        <v>0</v>
      </c>
      <c r="L2885" s="26">
        <f t="shared" si="94"/>
        <v>0</v>
      </c>
    </row>
    <row r="2886" spans="2:12">
      <c r="B2886" s="4" t="e">
        <f t="shared" si="93"/>
        <v>#N/A</v>
      </c>
      <c r="C2886" s="4">
        <f>'Raw data'!E2462</f>
        <v>0</v>
      </c>
      <c r="D2886" s="29" t="e">
        <f>VLOOKUP(C2886,'점포코드 '!A:B,2,0)</f>
        <v>#N/A</v>
      </c>
      <c r="E2886" s="30">
        <f>'Raw data'!P2462</f>
        <v>0</v>
      </c>
      <c r="F2886" s="29" t="e">
        <f>VLOOKUP(E2886,'점포코드 '!A:B,2,0)</f>
        <v>#N/A</v>
      </c>
      <c r="G2886" s="46">
        <f>'Raw data'!F2795</f>
        <v>0</v>
      </c>
      <c r="H2886" s="4">
        <f>'Raw data'!G2795</f>
        <v>0</v>
      </c>
      <c r="I2886" s="29" t="e">
        <f>VLOOKUP(G2886,제품명!$C$1:$E$114,2,0)</f>
        <v>#N/A</v>
      </c>
      <c r="J2886" s="29">
        <f>'Raw data'!K2795</f>
        <v>0</v>
      </c>
      <c r="K2886" s="31">
        <f>'Raw data'!H2795</f>
        <v>0</v>
      </c>
      <c r="L2886" s="26">
        <f t="shared" si="94"/>
        <v>0</v>
      </c>
    </row>
    <row r="2887" spans="2:12">
      <c r="B2887" s="4" t="e">
        <f t="shared" si="93"/>
        <v>#N/A</v>
      </c>
      <c r="C2887" s="4">
        <f>'Raw data'!E2463</f>
        <v>0</v>
      </c>
      <c r="D2887" s="29" t="e">
        <f>VLOOKUP(C2887,'점포코드 '!A:B,2,0)</f>
        <v>#N/A</v>
      </c>
      <c r="E2887" s="30">
        <f>'Raw data'!P2463</f>
        <v>0</v>
      </c>
      <c r="F2887" s="29" t="e">
        <f>VLOOKUP(E2887,'점포코드 '!A:B,2,0)</f>
        <v>#N/A</v>
      </c>
      <c r="G2887" s="46">
        <f>'Raw data'!F2796</f>
        <v>0</v>
      </c>
      <c r="H2887" s="4">
        <f>'Raw data'!G2796</f>
        <v>0</v>
      </c>
      <c r="I2887" s="29" t="e">
        <f>VLOOKUP(G2887,제품명!$C$1:$E$114,2,0)</f>
        <v>#N/A</v>
      </c>
      <c r="J2887" s="29">
        <f>'Raw data'!K2796</f>
        <v>0</v>
      </c>
      <c r="K2887" s="31">
        <f>'Raw data'!H2796</f>
        <v>0</v>
      </c>
      <c r="L2887" s="26">
        <f t="shared" si="94"/>
        <v>0</v>
      </c>
    </row>
    <row r="2888" spans="2:12">
      <c r="B2888" s="4" t="e">
        <f t="shared" si="93"/>
        <v>#N/A</v>
      </c>
      <c r="C2888" s="4">
        <f>'Raw data'!E2464</f>
        <v>0</v>
      </c>
      <c r="D2888" s="29" t="e">
        <f>VLOOKUP(C2888,'점포코드 '!A:B,2,0)</f>
        <v>#N/A</v>
      </c>
      <c r="E2888" s="30">
        <f>'Raw data'!P2464</f>
        <v>0</v>
      </c>
      <c r="F2888" s="29" t="e">
        <f>VLOOKUP(E2888,'점포코드 '!A:B,2,0)</f>
        <v>#N/A</v>
      </c>
      <c r="G2888" s="46">
        <f>'Raw data'!F2797</f>
        <v>0</v>
      </c>
      <c r="H2888" s="4">
        <f>'Raw data'!G2797</f>
        <v>0</v>
      </c>
      <c r="I2888" s="29" t="e">
        <f>VLOOKUP(G2888,제품명!$C$1:$E$114,2,0)</f>
        <v>#N/A</v>
      </c>
      <c r="J2888" s="29">
        <f>'Raw data'!K2797</f>
        <v>0</v>
      </c>
      <c r="K2888" s="31">
        <f>'Raw data'!H2797</f>
        <v>0</v>
      </c>
      <c r="L2888" s="26">
        <f t="shared" si="94"/>
        <v>0</v>
      </c>
    </row>
    <row r="2889" spans="2:12">
      <c r="B2889" s="4" t="e">
        <f t="shared" si="93"/>
        <v>#N/A</v>
      </c>
      <c r="C2889" s="4">
        <f>'Raw data'!E2465</f>
        <v>0</v>
      </c>
      <c r="D2889" s="29" t="e">
        <f>VLOOKUP(C2889,'점포코드 '!A:B,2,0)</f>
        <v>#N/A</v>
      </c>
      <c r="E2889" s="30">
        <f>'Raw data'!P2465</f>
        <v>0</v>
      </c>
      <c r="F2889" s="29" t="e">
        <f>VLOOKUP(E2889,'점포코드 '!A:B,2,0)</f>
        <v>#N/A</v>
      </c>
      <c r="G2889" s="46">
        <f>'Raw data'!F2798</f>
        <v>0</v>
      </c>
      <c r="H2889" s="4">
        <f>'Raw data'!G2798</f>
        <v>0</v>
      </c>
      <c r="I2889" s="29" t="e">
        <f>VLOOKUP(G2889,제품명!$C$1:$E$114,2,0)</f>
        <v>#N/A</v>
      </c>
      <c r="J2889" s="29">
        <f>'Raw data'!K2798</f>
        <v>0</v>
      </c>
      <c r="K2889" s="31">
        <f>'Raw data'!H2798</f>
        <v>0</v>
      </c>
      <c r="L2889" s="26">
        <f t="shared" si="94"/>
        <v>0</v>
      </c>
    </row>
    <row r="2890" spans="2:12">
      <c r="B2890" s="4" t="e">
        <f t="shared" si="93"/>
        <v>#N/A</v>
      </c>
      <c r="C2890" s="4">
        <f>'Raw data'!E2466</f>
        <v>0</v>
      </c>
      <c r="D2890" s="29" t="e">
        <f>VLOOKUP(C2890,'점포코드 '!A:B,2,0)</f>
        <v>#N/A</v>
      </c>
      <c r="E2890" s="30">
        <f>'Raw data'!P2466</f>
        <v>0</v>
      </c>
      <c r="F2890" s="29" t="e">
        <f>VLOOKUP(E2890,'점포코드 '!A:B,2,0)</f>
        <v>#N/A</v>
      </c>
      <c r="G2890" s="46">
        <f>'Raw data'!F2799</f>
        <v>0</v>
      </c>
      <c r="H2890" s="4">
        <f>'Raw data'!G2799</f>
        <v>0</v>
      </c>
      <c r="I2890" s="29" t="e">
        <f>VLOOKUP(G2890,제품명!$C$1:$E$114,2,0)</f>
        <v>#N/A</v>
      </c>
      <c r="J2890" s="29">
        <f>'Raw data'!K2799</f>
        <v>0</v>
      </c>
      <c r="K2890" s="31">
        <f>'Raw data'!H2799</f>
        <v>0</v>
      </c>
      <c r="L2890" s="26">
        <f t="shared" si="94"/>
        <v>0</v>
      </c>
    </row>
    <row r="2891" spans="2:12">
      <c r="B2891" s="4" t="e">
        <f t="shared" si="93"/>
        <v>#N/A</v>
      </c>
      <c r="C2891" s="4">
        <f>'Raw data'!E2467</f>
        <v>0</v>
      </c>
      <c r="D2891" s="29" t="e">
        <f>VLOOKUP(C2891,'점포코드 '!A:B,2,0)</f>
        <v>#N/A</v>
      </c>
      <c r="E2891" s="30">
        <f>'Raw data'!P2467</f>
        <v>0</v>
      </c>
      <c r="F2891" s="29" t="e">
        <f>VLOOKUP(E2891,'점포코드 '!A:B,2,0)</f>
        <v>#N/A</v>
      </c>
      <c r="G2891" s="46">
        <f>'Raw data'!F2800</f>
        <v>0</v>
      </c>
      <c r="H2891" s="4">
        <f>'Raw data'!G2800</f>
        <v>0</v>
      </c>
      <c r="I2891" s="29" t="e">
        <f>VLOOKUP(G2891,제품명!$C$1:$E$114,2,0)</f>
        <v>#N/A</v>
      </c>
      <c r="J2891" s="29">
        <f>'Raw data'!K2800</f>
        <v>0</v>
      </c>
      <c r="K2891" s="31">
        <f>'Raw data'!H2800</f>
        <v>0</v>
      </c>
      <c r="L2891" s="26">
        <f t="shared" si="94"/>
        <v>0</v>
      </c>
    </row>
    <row r="2892" spans="2:12">
      <c r="B2892" s="4" t="e">
        <f t="shared" si="93"/>
        <v>#N/A</v>
      </c>
      <c r="C2892" s="4">
        <f>'Raw data'!E2468</f>
        <v>0</v>
      </c>
      <c r="D2892" s="29" t="e">
        <f>VLOOKUP(C2892,'점포코드 '!A:B,2,0)</f>
        <v>#N/A</v>
      </c>
      <c r="E2892" s="30">
        <f>'Raw data'!P2468</f>
        <v>0</v>
      </c>
      <c r="F2892" s="29" t="e">
        <f>VLOOKUP(E2892,'점포코드 '!A:B,2,0)</f>
        <v>#N/A</v>
      </c>
      <c r="G2892" s="46">
        <f>'Raw data'!F2801</f>
        <v>0</v>
      </c>
      <c r="H2892" s="4">
        <f>'Raw data'!G2801</f>
        <v>0</v>
      </c>
      <c r="I2892" s="29" t="e">
        <f>VLOOKUP(G2892,제품명!$C$1:$E$114,2,0)</f>
        <v>#N/A</v>
      </c>
      <c r="J2892" s="29">
        <f>'Raw data'!K2801</f>
        <v>0</v>
      </c>
      <c r="K2892" s="31">
        <f>'Raw data'!H2801</f>
        <v>0</v>
      </c>
      <c r="L2892" s="26">
        <f t="shared" si="94"/>
        <v>0</v>
      </c>
    </row>
    <row r="2893" spans="2:12">
      <c r="B2893" s="4" t="e">
        <f t="shared" si="93"/>
        <v>#N/A</v>
      </c>
      <c r="C2893" s="4">
        <f>'Raw data'!E2469</f>
        <v>0</v>
      </c>
      <c r="D2893" s="29" t="e">
        <f>VLOOKUP(C2893,'점포코드 '!A:B,2,0)</f>
        <v>#N/A</v>
      </c>
      <c r="E2893" s="30">
        <f>'Raw data'!P2469</f>
        <v>0</v>
      </c>
      <c r="F2893" s="29" t="e">
        <f>VLOOKUP(E2893,'점포코드 '!A:B,2,0)</f>
        <v>#N/A</v>
      </c>
      <c r="G2893" s="46">
        <f>'Raw data'!F2802</f>
        <v>0</v>
      </c>
      <c r="H2893" s="4">
        <f>'Raw data'!G2802</f>
        <v>0</v>
      </c>
      <c r="I2893" s="29" t="e">
        <f>VLOOKUP(G2893,제품명!$C$1:$E$114,2,0)</f>
        <v>#N/A</v>
      </c>
      <c r="J2893" s="29">
        <f>'Raw data'!K2802</f>
        <v>0</v>
      </c>
      <c r="K2893" s="31">
        <f>'Raw data'!H2802</f>
        <v>0</v>
      </c>
      <c r="L2893" s="26">
        <f t="shared" si="94"/>
        <v>0</v>
      </c>
    </row>
    <row r="2894" spans="2:12">
      <c r="B2894" s="4" t="e">
        <f t="shared" si="93"/>
        <v>#N/A</v>
      </c>
      <c r="C2894" s="4">
        <f>'Raw data'!E2470</f>
        <v>0</v>
      </c>
      <c r="D2894" s="29" t="e">
        <f>VLOOKUP(C2894,'점포코드 '!A:B,2,0)</f>
        <v>#N/A</v>
      </c>
      <c r="E2894" s="30">
        <f>'Raw data'!P2470</f>
        <v>0</v>
      </c>
      <c r="F2894" s="29" t="e">
        <f>VLOOKUP(E2894,'점포코드 '!A:B,2,0)</f>
        <v>#N/A</v>
      </c>
      <c r="G2894" s="46">
        <f>'Raw data'!F2803</f>
        <v>0</v>
      </c>
      <c r="H2894" s="4">
        <f>'Raw data'!G2803</f>
        <v>0</v>
      </c>
      <c r="I2894" s="29" t="e">
        <f>VLOOKUP(G2894,제품명!$C$1:$E$114,2,0)</f>
        <v>#N/A</v>
      </c>
      <c r="J2894" s="29">
        <f>'Raw data'!K2803</f>
        <v>0</v>
      </c>
      <c r="K2894" s="31">
        <f>'Raw data'!H2803</f>
        <v>0</v>
      </c>
      <c r="L2894" s="26">
        <f t="shared" si="94"/>
        <v>0</v>
      </c>
    </row>
    <row r="2895" spans="2:12">
      <c r="B2895" s="4" t="e">
        <f t="shared" si="93"/>
        <v>#N/A</v>
      </c>
      <c r="C2895" s="4">
        <f>'Raw data'!E2471</f>
        <v>0</v>
      </c>
      <c r="D2895" s="29" t="e">
        <f>VLOOKUP(C2895,'점포코드 '!A:B,2,0)</f>
        <v>#N/A</v>
      </c>
      <c r="E2895" s="30">
        <f>'Raw data'!P2471</f>
        <v>0</v>
      </c>
      <c r="F2895" s="29" t="e">
        <f>VLOOKUP(E2895,'점포코드 '!A:B,2,0)</f>
        <v>#N/A</v>
      </c>
      <c r="G2895" s="46">
        <f>'Raw data'!F2804</f>
        <v>0</v>
      </c>
      <c r="H2895" s="4">
        <f>'Raw data'!G2804</f>
        <v>0</v>
      </c>
      <c r="I2895" s="29" t="e">
        <f>VLOOKUP(G2895,제품명!$C$1:$E$114,2,0)</f>
        <v>#N/A</v>
      </c>
      <c r="J2895" s="29">
        <f>'Raw data'!K2804</f>
        <v>0</v>
      </c>
      <c r="K2895" s="31">
        <f>'Raw data'!H2804</f>
        <v>0</v>
      </c>
      <c r="L2895" s="26">
        <f t="shared" si="94"/>
        <v>0</v>
      </c>
    </row>
    <row r="2896" spans="2:12">
      <c r="B2896" s="4" t="e">
        <f t="shared" si="93"/>
        <v>#N/A</v>
      </c>
      <c r="C2896" s="4">
        <f>'Raw data'!E2472</f>
        <v>0</v>
      </c>
      <c r="D2896" s="29" t="e">
        <f>VLOOKUP(C2896,'점포코드 '!A:B,2,0)</f>
        <v>#N/A</v>
      </c>
      <c r="E2896" s="30">
        <f>'Raw data'!P2472</f>
        <v>0</v>
      </c>
      <c r="F2896" s="29" t="e">
        <f>VLOOKUP(E2896,'점포코드 '!A:B,2,0)</f>
        <v>#N/A</v>
      </c>
      <c r="G2896" s="46">
        <f>'Raw data'!F2805</f>
        <v>0</v>
      </c>
      <c r="H2896" s="4">
        <f>'Raw data'!G2805</f>
        <v>0</v>
      </c>
      <c r="I2896" s="29" t="e">
        <f>VLOOKUP(G2896,제품명!$C$1:$E$114,2,0)</f>
        <v>#N/A</v>
      </c>
      <c r="J2896" s="29">
        <f>'Raw data'!K2805</f>
        <v>0</v>
      </c>
      <c r="K2896" s="31">
        <f>'Raw data'!H2805</f>
        <v>0</v>
      </c>
      <c r="L2896" s="26">
        <f t="shared" si="94"/>
        <v>0</v>
      </c>
    </row>
    <row r="2897" spans="2:12">
      <c r="B2897" s="4" t="e">
        <f t="shared" si="93"/>
        <v>#N/A</v>
      </c>
      <c r="C2897" s="4">
        <f>'Raw data'!E2473</f>
        <v>0</v>
      </c>
      <c r="D2897" s="29" t="e">
        <f>VLOOKUP(C2897,'점포코드 '!A:B,2,0)</f>
        <v>#N/A</v>
      </c>
      <c r="E2897" s="30">
        <f>'Raw data'!P2473</f>
        <v>0</v>
      </c>
      <c r="F2897" s="29" t="e">
        <f>VLOOKUP(E2897,'점포코드 '!A:B,2,0)</f>
        <v>#N/A</v>
      </c>
      <c r="G2897" s="46">
        <f>'Raw data'!F2806</f>
        <v>0</v>
      </c>
      <c r="H2897" s="4">
        <f>'Raw data'!G2806</f>
        <v>0</v>
      </c>
      <c r="I2897" s="29" t="e">
        <f>VLOOKUP(G2897,제품명!$C$1:$E$114,2,0)</f>
        <v>#N/A</v>
      </c>
      <c r="J2897" s="29">
        <f>'Raw data'!K2806</f>
        <v>0</v>
      </c>
      <c r="K2897" s="31">
        <f>'Raw data'!H2806</f>
        <v>0</v>
      </c>
      <c r="L2897" s="26">
        <f t="shared" si="94"/>
        <v>0</v>
      </c>
    </row>
    <row r="2898" spans="2:12">
      <c r="B2898" s="4" t="e">
        <f t="shared" si="93"/>
        <v>#N/A</v>
      </c>
      <c r="C2898" s="4">
        <f>'Raw data'!E2474</f>
        <v>0</v>
      </c>
      <c r="D2898" s="29" t="e">
        <f>VLOOKUP(C2898,'점포코드 '!A:B,2,0)</f>
        <v>#N/A</v>
      </c>
      <c r="E2898" s="30">
        <f>'Raw data'!P2474</f>
        <v>0</v>
      </c>
      <c r="F2898" s="29" t="e">
        <f>VLOOKUP(E2898,'점포코드 '!A:B,2,0)</f>
        <v>#N/A</v>
      </c>
      <c r="G2898" s="46">
        <f>'Raw data'!F2807</f>
        <v>0</v>
      </c>
      <c r="H2898" s="4">
        <f>'Raw data'!G2807</f>
        <v>0</v>
      </c>
      <c r="I2898" s="29" t="e">
        <f>VLOOKUP(G2898,제품명!$C$1:$E$114,2,0)</f>
        <v>#N/A</v>
      </c>
      <c r="J2898" s="29">
        <f>'Raw data'!K2807</f>
        <v>0</v>
      </c>
      <c r="K2898" s="31">
        <f>'Raw data'!H2807</f>
        <v>0</v>
      </c>
      <c r="L2898" s="26">
        <f t="shared" si="94"/>
        <v>0</v>
      </c>
    </row>
    <row r="2899" spans="2:12">
      <c r="B2899" s="4" t="e">
        <f t="shared" si="93"/>
        <v>#N/A</v>
      </c>
      <c r="C2899" s="4">
        <f>'Raw data'!E2475</f>
        <v>0</v>
      </c>
      <c r="D2899" s="29" t="e">
        <f>VLOOKUP(C2899,'점포코드 '!A:B,2,0)</f>
        <v>#N/A</v>
      </c>
      <c r="E2899" s="30">
        <f>'Raw data'!P2475</f>
        <v>0</v>
      </c>
      <c r="F2899" s="29" t="e">
        <f>VLOOKUP(E2899,'점포코드 '!A:B,2,0)</f>
        <v>#N/A</v>
      </c>
      <c r="G2899" s="46">
        <f>'Raw data'!F2808</f>
        <v>0</v>
      </c>
      <c r="H2899" s="4">
        <f>'Raw data'!G2808</f>
        <v>0</v>
      </c>
      <c r="I2899" s="29" t="e">
        <f>VLOOKUP(G2899,제품명!$C$1:$E$114,2,0)</f>
        <v>#N/A</v>
      </c>
      <c r="J2899" s="29">
        <f>'Raw data'!K2808</f>
        <v>0</v>
      </c>
      <c r="K2899" s="31">
        <f>'Raw data'!H2808</f>
        <v>0</v>
      </c>
      <c r="L2899" s="26">
        <f t="shared" si="94"/>
        <v>0</v>
      </c>
    </row>
    <row r="2900" spans="2:12">
      <c r="B2900" s="4" t="e">
        <f t="shared" si="93"/>
        <v>#N/A</v>
      </c>
      <c r="C2900" s="4">
        <f>'Raw data'!E2476</f>
        <v>0</v>
      </c>
      <c r="D2900" s="29" t="e">
        <f>VLOOKUP(C2900,'점포코드 '!A:B,2,0)</f>
        <v>#N/A</v>
      </c>
      <c r="E2900" s="30">
        <f>'Raw data'!P2476</f>
        <v>0</v>
      </c>
      <c r="F2900" s="29" t="e">
        <f>VLOOKUP(E2900,'점포코드 '!A:B,2,0)</f>
        <v>#N/A</v>
      </c>
      <c r="G2900" s="46">
        <f>'Raw data'!F2809</f>
        <v>0</v>
      </c>
      <c r="H2900" s="4">
        <f>'Raw data'!G2809</f>
        <v>0</v>
      </c>
      <c r="I2900" s="29" t="e">
        <f>VLOOKUP(G2900,제품명!$C$1:$E$114,2,0)</f>
        <v>#N/A</v>
      </c>
      <c r="J2900" s="29">
        <f>'Raw data'!K2809</f>
        <v>0</v>
      </c>
      <c r="K2900" s="31">
        <f>'Raw data'!H2809</f>
        <v>0</v>
      </c>
      <c r="L2900" s="26">
        <f t="shared" si="94"/>
        <v>0</v>
      </c>
    </row>
    <row r="2901" spans="2:12">
      <c r="B2901" s="4" t="e">
        <f t="shared" si="93"/>
        <v>#N/A</v>
      </c>
      <c r="C2901" s="4">
        <f>'Raw data'!E2477</f>
        <v>0</v>
      </c>
      <c r="D2901" s="29" t="e">
        <f>VLOOKUP(C2901,'점포코드 '!A:B,2,0)</f>
        <v>#N/A</v>
      </c>
      <c r="E2901" s="30">
        <f>'Raw data'!P2477</f>
        <v>0</v>
      </c>
      <c r="F2901" s="29" t="e">
        <f>VLOOKUP(E2901,'점포코드 '!A:B,2,0)</f>
        <v>#N/A</v>
      </c>
      <c r="G2901" s="46">
        <f>'Raw data'!F2810</f>
        <v>0</v>
      </c>
      <c r="H2901" s="4">
        <f>'Raw data'!G2810</f>
        <v>0</v>
      </c>
      <c r="I2901" s="29" t="e">
        <f>VLOOKUP(G2901,제품명!$C$1:$E$114,2,0)</f>
        <v>#N/A</v>
      </c>
      <c r="J2901" s="29">
        <f>'Raw data'!K2810</f>
        <v>0</v>
      </c>
      <c r="K2901" s="31">
        <f>'Raw data'!H2810</f>
        <v>0</v>
      </c>
      <c r="L2901" s="26">
        <f t="shared" si="94"/>
        <v>0</v>
      </c>
    </row>
    <row r="2902" spans="2:12">
      <c r="B2902" s="4" t="e">
        <f t="shared" si="93"/>
        <v>#N/A</v>
      </c>
      <c r="C2902" s="4">
        <f>'Raw data'!E2478</f>
        <v>0</v>
      </c>
      <c r="D2902" s="29" t="e">
        <f>VLOOKUP(C2902,'점포코드 '!A:B,2,0)</f>
        <v>#N/A</v>
      </c>
      <c r="E2902" s="30">
        <f>'Raw data'!P2478</f>
        <v>0</v>
      </c>
      <c r="F2902" s="29" t="e">
        <f>VLOOKUP(E2902,'점포코드 '!A:B,2,0)</f>
        <v>#N/A</v>
      </c>
      <c r="G2902" s="46">
        <f>'Raw data'!F2811</f>
        <v>0</v>
      </c>
      <c r="H2902" s="4">
        <f>'Raw data'!G2811</f>
        <v>0</v>
      </c>
      <c r="I2902" s="29" t="e">
        <f>VLOOKUP(G2902,제품명!$C$1:$E$114,2,0)</f>
        <v>#N/A</v>
      </c>
      <c r="J2902" s="29">
        <f>'Raw data'!K2811</f>
        <v>0</v>
      </c>
      <c r="K2902" s="31">
        <f>'Raw data'!H2811</f>
        <v>0</v>
      </c>
      <c r="L2902" s="26">
        <f t="shared" si="94"/>
        <v>0</v>
      </c>
    </row>
    <row r="2903" spans="2:12">
      <c r="B2903" s="4" t="e">
        <f t="shared" si="93"/>
        <v>#N/A</v>
      </c>
      <c r="C2903" s="4">
        <f>'Raw data'!E2479</f>
        <v>0</v>
      </c>
      <c r="D2903" s="29" t="e">
        <f>VLOOKUP(C2903,'점포코드 '!A:B,2,0)</f>
        <v>#N/A</v>
      </c>
      <c r="E2903" s="30">
        <f>'Raw data'!P2479</f>
        <v>0</v>
      </c>
      <c r="F2903" s="29" t="e">
        <f>VLOOKUP(E2903,'점포코드 '!A:B,2,0)</f>
        <v>#N/A</v>
      </c>
      <c r="G2903" s="46">
        <f>'Raw data'!F2812</f>
        <v>0</v>
      </c>
      <c r="H2903" s="4">
        <f>'Raw data'!G2812</f>
        <v>0</v>
      </c>
      <c r="I2903" s="29" t="e">
        <f>VLOOKUP(G2903,제품명!$C$1:$E$114,2,0)</f>
        <v>#N/A</v>
      </c>
      <c r="J2903" s="29">
        <f>'Raw data'!K2812</f>
        <v>0</v>
      </c>
      <c r="K2903" s="31">
        <f>'Raw data'!H2812</f>
        <v>0</v>
      </c>
      <c r="L2903" s="26">
        <f t="shared" si="94"/>
        <v>0</v>
      </c>
    </row>
    <row r="2904" spans="2:12">
      <c r="B2904" s="4" t="e">
        <f t="shared" si="93"/>
        <v>#N/A</v>
      </c>
      <c r="C2904" s="4">
        <f>'Raw data'!E2480</f>
        <v>0</v>
      </c>
      <c r="D2904" s="29" t="e">
        <f>VLOOKUP(C2904,'점포코드 '!A:B,2,0)</f>
        <v>#N/A</v>
      </c>
      <c r="E2904" s="30">
        <f>'Raw data'!P2480</f>
        <v>0</v>
      </c>
      <c r="F2904" s="29" t="e">
        <f>VLOOKUP(E2904,'점포코드 '!A:B,2,0)</f>
        <v>#N/A</v>
      </c>
      <c r="G2904" s="46">
        <f>'Raw data'!F2813</f>
        <v>0</v>
      </c>
      <c r="H2904" s="4">
        <f>'Raw data'!G2813</f>
        <v>0</v>
      </c>
      <c r="I2904" s="29" t="e">
        <f>VLOOKUP(G2904,제품명!$C$1:$E$114,2,0)</f>
        <v>#N/A</v>
      </c>
      <c r="J2904" s="29">
        <f>'Raw data'!K2813</f>
        <v>0</v>
      </c>
      <c r="K2904" s="31">
        <f>'Raw data'!H2813</f>
        <v>0</v>
      </c>
      <c r="L2904" s="26">
        <f t="shared" si="94"/>
        <v>0</v>
      </c>
    </row>
    <row r="2905" spans="2:12">
      <c r="B2905" s="4" t="e">
        <f t="shared" si="93"/>
        <v>#N/A</v>
      </c>
      <c r="C2905" s="4">
        <f>'Raw data'!E2481</f>
        <v>0</v>
      </c>
      <c r="D2905" s="29" t="e">
        <f>VLOOKUP(C2905,'점포코드 '!A:B,2,0)</f>
        <v>#N/A</v>
      </c>
      <c r="E2905" s="30">
        <f>'Raw data'!P2481</f>
        <v>0</v>
      </c>
      <c r="F2905" s="29" t="e">
        <f>VLOOKUP(E2905,'점포코드 '!A:B,2,0)</f>
        <v>#N/A</v>
      </c>
      <c r="G2905" s="46">
        <f>'Raw data'!F2814</f>
        <v>0</v>
      </c>
      <c r="H2905" s="4">
        <f>'Raw data'!G2814</f>
        <v>0</v>
      </c>
      <c r="I2905" s="29" t="e">
        <f>VLOOKUP(G2905,제품명!$C$1:$E$114,2,0)</f>
        <v>#N/A</v>
      </c>
      <c r="J2905" s="29">
        <f>'Raw data'!K2814</f>
        <v>0</v>
      </c>
      <c r="K2905" s="31">
        <f>'Raw data'!H2814</f>
        <v>0</v>
      </c>
      <c r="L2905" s="26">
        <f t="shared" si="94"/>
        <v>0</v>
      </c>
    </row>
    <row r="2906" spans="2:12">
      <c r="B2906" s="4" t="e">
        <f t="shared" si="93"/>
        <v>#N/A</v>
      </c>
      <c r="C2906" s="4">
        <f>'Raw data'!E2482</f>
        <v>0</v>
      </c>
      <c r="D2906" s="29" t="e">
        <f>VLOOKUP(C2906,'점포코드 '!A:B,2,0)</f>
        <v>#N/A</v>
      </c>
      <c r="E2906" s="30">
        <f>'Raw data'!P2482</f>
        <v>0</v>
      </c>
      <c r="F2906" s="29" t="e">
        <f>VLOOKUP(E2906,'점포코드 '!A:B,2,0)</f>
        <v>#N/A</v>
      </c>
      <c r="G2906" s="46">
        <f>'Raw data'!F2815</f>
        <v>0</v>
      </c>
      <c r="H2906" s="4">
        <f>'Raw data'!G2815</f>
        <v>0</v>
      </c>
      <c r="I2906" s="29" t="e">
        <f>VLOOKUP(G2906,제품명!$C$1:$E$114,2,0)</f>
        <v>#N/A</v>
      </c>
      <c r="J2906" s="29">
        <f>'Raw data'!K2815</f>
        <v>0</v>
      </c>
      <c r="K2906" s="31">
        <f>'Raw data'!H2815</f>
        <v>0</v>
      </c>
      <c r="L2906" s="26">
        <f t="shared" si="94"/>
        <v>0</v>
      </c>
    </row>
    <row r="2907" spans="2:12">
      <c r="B2907" s="4" t="e">
        <f t="shared" si="93"/>
        <v>#N/A</v>
      </c>
      <c r="C2907" s="4">
        <f>'Raw data'!E2483</f>
        <v>0</v>
      </c>
      <c r="D2907" s="29" t="e">
        <f>VLOOKUP(C2907,'점포코드 '!A:B,2,0)</f>
        <v>#N/A</v>
      </c>
      <c r="E2907" s="30">
        <f>'Raw data'!P2483</f>
        <v>0</v>
      </c>
      <c r="F2907" s="29" t="e">
        <f>VLOOKUP(E2907,'점포코드 '!A:B,2,0)</f>
        <v>#N/A</v>
      </c>
      <c r="G2907" s="46">
        <f>'Raw data'!F2816</f>
        <v>0</v>
      </c>
      <c r="H2907" s="4">
        <f>'Raw data'!G2816</f>
        <v>0</v>
      </c>
      <c r="I2907" s="29" t="e">
        <f>VLOOKUP(G2907,제품명!$C$1:$E$114,2,0)</f>
        <v>#N/A</v>
      </c>
      <c r="J2907" s="29">
        <f>'Raw data'!K2816</f>
        <v>0</v>
      </c>
      <c r="K2907" s="31">
        <f>'Raw data'!H2816</f>
        <v>0</v>
      </c>
      <c r="L2907" s="26">
        <f t="shared" si="94"/>
        <v>0</v>
      </c>
    </row>
    <row r="2908" spans="2:12">
      <c r="B2908" s="4" t="e">
        <f t="shared" si="93"/>
        <v>#N/A</v>
      </c>
      <c r="C2908" s="4">
        <f>'Raw data'!E2484</f>
        <v>0</v>
      </c>
      <c r="D2908" s="29" t="e">
        <f>VLOOKUP(C2908,'점포코드 '!A:B,2,0)</f>
        <v>#N/A</v>
      </c>
      <c r="E2908" s="30">
        <f>'Raw data'!P2484</f>
        <v>0</v>
      </c>
      <c r="F2908" s="29" t="e">
        <f>VLOOKUP(E2908,'점포코드 '!A:B,2,0)</f>
        <v>#N/A</v>
      </c>
      <c r="G2908" s="46">
        <f>'Raw data'!F2817</f>
        <v>0</v>
      </c>
      <c r="H2908" s="4">
        <f>'Raw data'!G2817</f>
        <v>0</v>
      </c>
      <c r="I2908" s="29" t="e">
        <f>VLOOKUP(G2908,제품명!$C$1:$E$114,2,0)</f>
        <v>#N/A</v>
      </c>
      <c r="J2908" s="29">
        <f>'Raw data'!K2817</f>
        <v>0</v>
      </c>
      <c r="K2908" s="31">
        <f>'Raw data'!H2817</f>
        <v>0</v>
      </c>
      <c r="L2908" s="26">
        <f t="shared" si="94"/>
        <v>0</v>
      </c>
    </row>
    <row r="2909" spans="2:12">
      <c r="B2909" s="4" t="e">
        <f t="shared" si="93"/>
        <v>#N/A</v>
      </c>
      <c r="C2909" s="4">
        <f>'Raw data'!E2485</f>
        <v>0</v>
      </c>
      <c r="D2909" s="29" t="e">
        <f>VLOOKUP(C2909,'점포코드 '!A:B,2,0)</f>
        <v>#N/A</v>
      </c>
      <c r="E2909" s="30">
        <f>'Raw data'!P2485</f>
        <v>0</v>
      </c>
      <c r="F2909" s="29" t="e">
        <f>VLOOKUP(E2909,'점포코드 '!A:B,2,0)</f>
        <v>#N/A</v>
      </c>
      <c r="G2909" s="46">
        <f>'Raw data'!F2818</f>
        <v>0</v>
      </c>
      <c r="H2909" s="4">
        <f>'Raw data'!G2818</f>
        <v>0</v>
      </c>
      <c r="I2909" s="29" t="e">
        <f>VLOOKUP(G2909,제품명!$C$1:$E$114,2,0)</f>
        <v>#N/A</v>
      </c>
      <c r="J2909" s="29">
        <f>'Raw data'!K2818</f>
        <v>0</v>
      </c>
      <c r="K2909" s="31">
        <f>'Raw data'!H2818</f>
        <v>0</v>
      </c>
      <c r="L2909" s="26">
        <f t="shared" si="94"/>
        <v>0</v>
      </c>
    </row>
    <row r="2910" spans="2:12">
      <c r="B2910" s="4" t="e">
        <f t="shared" si="93"/>
        <v>#N/A</v>
      </c>
      <c r="C2910" s="4">
        <f>'Raw data'!E2486</f>
        <v>0</v>
      </c>
      <c r="D2910" s="29" t="e">
        <f>VLOOKUP(C2910,'점포코드 '!A:B,2,0)</f>
        <v>#N/A</v>
      </c>
      <c r="E2910" s="30">
        <f>'Raw data'!P2486</f>
        <v>0</v>
      </c>
      <c r="F2910" s="29" t="e">
        <f>VLOOKUP(E2910,'점포코드 '!A:B,2,0)</f>
        <v>#N/A</v>
      </c>
      <c r="G2910" s="46">
        <f>'Raw data'!F2819</f>
        <v>0</v>
      </c>
      <c r="H2910" s="4">
        <f>'Raw data'!G2819</f>
        <v>0</v>
      </c>
      <c r="I2910" s="29" t="e">
        <f>VLOOKUP(G2910,제품명!$C$1:$E$114,2,0)</f>
        <v>#N/A</v>
      </c>
      <c r="J2910" s="29">
        <f>'Raw data'!K2819</f>
        <v>0</v>
      </c>
      <c r="K2910" s="31">
        <f>'Raw data'!H2819</f>
        <v>0</v>
      </c>
      <c r="L2910" s="26">
        <f t="shared" si="94"/>
        <v>0</v>
      </c>
    </row>
    <row r="2911" spans="2:12">
      <c r="B2911" s="4" t="e">
        <f t="shared" si="93"/>
        <v>#N/A</v>
      </c>
      <c r="C2911" s="4">
        <f>'Raw data'!E2487</f>
        <v>0</v>
      </c>
      <c r="D2911" s="29" t="e">
        <f>VLOOKUP(C2911,'점포코드 '!A:B,2,0)</f>
        <v>#N/A</v>
      </c>
      <c r="E2911" s="30">
        <f>'Raw data'!P2487</f>
        <v>0</v>
      </c>
      <c r="F2911" s="29" t="e">
        <f>VLOOKUP(E2911,'점포코드 '!A:B,2,0)</f>
        <v>#N/A</v>
      </c>
      <c r="G2911" s="46">
        <f>'Raw data'!F2820</f>
        <v>0</v>
      </c>
      <c r="H2911" s="4">
        <f>'Raw data'!G2820</f>
        <v>0</v>
      </c>
      <c r="I2911" s="29" t="e">
        <f>VLOOKUP(G2911,제품명!$C$1:$E$114,2,0)</f>
        <v>#N/A</v>
      </c>
      <c r="J2911" s="29">
        <f>'Raw data'!K2820</f>
        <v>0</v>
      </c>
      <c r="K2911" s="31">
        <f>'Raw data'!H2820</f>
        <v>0</v>
      </c>
      <c r="L2911" s="26">
        <f t="shared" si="94"/>
        <v>0</v>
      </c>
    </row>
    <row r="2912" spans="2:12">
      <c r="B2912" s="4" t="e">
        <f t="shared" si="93"/>
        <v>#N/A</v>
      </c>
      <c r="C2912" s="4">
        <f>'Raw data'!E2488</f>
        <v>0</v>
      </c>
      <c r="D2912" s="29" t="e">
        <f>VLOOKUP(C2912,'점포코드 '!A:B,2,0)</f>
        <v>#N/A</v>
      </c>
      <c r="E2912" s="30">
        <f>'Raw data'!P2488</f>
        <v>0</v>
      </c>
      <c r="F2912" s="29" t="e">
        <f>VLOOKUP(E2912,'점포코드 '!A:B,2,0)</f>
        <v>#N/A</v>
      </c>
      <c r="G2912" s="46">
        <f>'Raw data'!F2821</f>
        <v>0</v>
      </c>
      <c r="H2912" s="4">
        <f>'Raw data'!G2821</f>
        <v>0</v>
      </c>
      <c r="I2912" s="29" t="e">
        <f>VLOOKUP(G2912,제품명!$C$1:$E$114,2,0)</f>
        <v>#N/A</v>
      </c>
      <c r="J2912" s="29">
        <f>'Raw data'!K2821</f>
        <v>0</v>
      </c>
      <c r="K2912" s="31">
        <f>'Raw data'!H2821</f>
        <v>0</v>
      </c>
      <c r="L2912" s="26">
        <f t="shared" si="94"/>
        <v>0</v>
      </c>
    </row>
    <row r="2913" spans="2:12">
      <c r="B2913" s="4" t="e">
        <f t="shared" si="93"/>
        <v>#N/A</v>
      </c>
      <c r="C2913" s="4">
        <f>'Raw data'!E2489</f>
        <v>0</v>
      </c>
      <c r="D2913" s="29" t="e">
        <f>VLOOKUP(C2913,'점포코드 '!A:B,2,0)</f>
        <v>#N/A</v>
      </c>
      <c r="E2913" s="30">
        <f>'Raw data'!P2489</f>
        <v>0</v>
      </c>
      <c r="F2913" s="29" t="e">
        <f>VLOOKUP(E2913,'점포코드 '!A:B,2,0)</f>
        <v>#N/A</v>
      </c>
      <c r="G2913" s="46">
        <f>'Raw data'!F2822</f>
        <v>0</v>
      </c>
      <c r="H2913" s="4">
        <f>'Raw data'!G2822</f>
        <v>0</v>
      </c>
      <c r="I2913" s="29" t="e">
        <f>VLOOKUP(G2913,제품명!$C$1:$E$114,2,0)</f>
        <v>#N/A</v>
      </c>
      <c r="J2913" s="29">
        <f>'Raw data'!K2822</f>
        <v>0</v>
      </c>
      <c r="K2913" s="31">
        <f>'Raw data'!H2822</f>
        <v>0</v>
      </c>
      <c r="L2913" s="26">
        <f t="shared" si="94"/>
        <v>0</v>
      </c>
    </row>
    <row r="2914" spans="2:12">
      <c r="B2914" s="4" t="e">
        <f t="shared" si="93"/>
        <v>#N/A</v>
      </c>
      <c r="C2914" s="4">
        <f>'Raw data'!E2490</f>
        <v>0</v>
      </c>
      <c r="D2914" s="29" t="e">
        <f>VLOOKUP(C2914,'점포코드 '!A:B,2,0)</f>
        <v>#N/A</v>
      </c>
      <c r="E2914" s="30">
        <f>'Raw data'!P2490</f>
        <v>0</v>
      </c>
      <c r="F2914" s="29" t="e">
        <f>VLOOKUP(E2914,'점포코드 '!A:B,2,0)</f>
        <v>#N/A</v>
      </c>
      <c r="G2914" s="46">
        <f>'Raw data'!F2823</f>
        <v>0</v>
      </c>
      <c r="H2914" s="4">
        <f>'Raw data'!G2823</f>
        <v>0</v>
      </c>
      <c r="I2914" s="29" t="e">
        <f>VLOOKUP(G2914,제품명!$C$1:$E$114,2,0)</f>
        <v>#N/A</v>
      </c>
      <c r="J2914" s="29">
        <f>'Raw data'!K2823</f>
        <v>0</v>
      </c>
      <c r="K2914" s="31">
        <f>'Raw data'!H2823</f>
        <v>0</v>
      </c>
      <c r="L2914" s="26">
        <f t="shared" si="94"/>
        <v>0</v>
      </c>
    </row>
    <row r="2915" spans="2:12">
      <c r="B2915" s="4" t="e">
        <f t="shared" si="93"/>
        <v>#N/A</v>
      </c>
      <c r="C2915" s="4">
        <f>'Raw data'!E2491</f>
        <v>0</v>
      </c>
      <c r="D2915" s="29" t="e">
        <f>VLOOKUP(C2915,'점포코드 '!A:B,2,0)</f>
        <v>#N/A</v>
      </c>
      <c r="E2915" s="30">
        <f>'Raw data'!P2491</f>
        <v>0</v>
      </c>
      <c r="F2915" s="29" t="e">
        <f>VLOOKUP(E2915,'점포코드 '!A:B,2,0)</f>
        <v>#N/A</v>
      </c>
      <c r="G2915" s="46">
        <f>'Raw data'!F2824</f>
        <v>0</v>
      </c>
      <c r="H2915" s="4">
        <f>'Raw data'!G2824</f>
        <v>0</v>
      </c>
      <c r="I2915" s="29" t="e">
        <f>VLOOKUP(G2915,제품명!$C$1:$E$114,2,0)</f>
        <v>#N/A</v>
      </c>
      <c r="J2915" s="29">
        <f>'Raw data'!K2824</f>
        <v>0</v>
      </c>
      <c r="K2915" s="31">
        <f>'Raw data'!H2824</f>
        <v>0</v>
      </c>
      <c r="L2915" s="26">
        <f t="shared" si="94"/>
        <v>0</v>
      </c>
    </row>
    <row r="2916" spans="2:12">
      <c r="B2916" s="4" t="e">
        <f t="shared" si="93"/>
        <v>#N/A</v>
      </c>
      <c r="C2916" s="4">
        <f>'Raw data'!E2492</f>
        <v>0</v>
      </c>
      <c r="D2916" s="29" t="e">
        <f>VLOOKUP(C2916,'점포코드 '!A:B,2,0)</f>
        <v>#N/A</v>
      </c>
      <c r="E2916" s="30">
        <f>'Raw data'!P2492</f>
        <v>0</v>
      </c>
      <c r="F2916" s="29" t="e">
        <f>VLOOKUP(E2916,'점포코드 '!A:B,2,0)</f>
        <v>#N/A</v>
      </c>
      <c r="G2916" s="46">
        <f>'Raw data'!F2825</f>
        <v>0</v>
      </c>
      <c r="H2916" s="4">
        <f>'Raw data'!G2825</f>
        <v>0</v>
      </c>
      <c r="I2916" s="29" t="e">
        <f>VLOOKUP(G2916,제품명!$C$1:$E$114,2,0)</f>
        <v>#N/A</v>
      </c>
      <c r="J2916" s="29">
        <f>'Raw data'!K2825</f>
        <v>0</v>
      </c>
      <c r="K2916" s="31">
        <f>'Raw data'!H2825</f>
        <v>0</v>
      </c>
      <c r="L2916" s="26">
        <f t="shared" si="94"/>
        <v>0</v>
      </c>
    </row>
    <row r="2917" spans="2:12">
      <c r="B2917" s="4" t="e">
        <f t="shared" si="93"/>
        <v>#N/A</v>
      </c>
      <c r="C2917" s="4">
        <f>'Raw data'!E2493</f>
        <v>0</v>
      </c>
      <c r="D2917" s="29" t="e">
        <f>VLOOKUP(C2917,'점포코드 '!A:B,2,0)</f>
        <v>#N/A</v>
      </c>
      <c r="E2917" s="30">
        <f>'Raw data'!P2493</f>
        <v>0</v>
      </c>
      <c r="F2917" s="29" t="e">
        <f>VLOOKUP(E2917,'점포코드 '!A:B,2,0)</f>
        <v>#N/A</v>
      </c>
      <c r="G2917" s="46">
        <f>'Raw data'!F2826</f>
        <v>0</v>
      </c>
      <c r="H2917" s="4">
        <f>'Raw data'!G2826</f>
        <v>0</v>
      </c>
      <c r="I2917" s="29" t="e">
        <f>VLOOKUP(G2917,제품명!$C$1:$E$114,2,0)</f>
        <v>#N/A</v>
      </c>
      <c r="J2917" s="29">
        <f>'Raw data'!K2826</f>
        <v>0</v>
      </c>
      <c r="K2917" s="31">
        <f>'Raw data'!H2826</f>
        <v>0</v>
      </c>
      <c r="L2917" s="26">
        <f t="shared" si="94"/>
        <v>0</v>
      </c>
    </row>
    <row r="2918" spans="2:12">
      <c r="B2918" s="4" t="e">
        <f t="shared" si="93"/>
        <v>#N/A</v>
      </c>
      <c r="C2918" s="4">
        <f>'Raw data'!E2494</f>
        <v>0</v>
      </c>
      <c r="D2918" s="29" t="e">
        <f>VLOOKUP(C2918,'점포코드 '!A:B,2,0)</f>
        <v>#N/A</v>
      </c>
      <c r="E2918" s="30">
        <f>'Raw data'!P2494</f>
        <v>0</v>
      </c>
      <c r="F2918" s="29" t="e">
        <f>VLOOKUP(E2918,'점포코드 '!A:B,2,0)</f>
        <v>#N/A</v>
      </c>
      <c r="G2918" s="46">
        <f>'Raw data'!F2827</f>
        <v>0</v>
      </c>
      <c r="H2918" s="4">
        <f>'Raw data'!G2827</f>
        <v>0</v>
      </c>
      <c r="I2918" s="29" t="e">
        <f>VLOOKUP(G2918,제품명!$C$1:$E$114,2,0)</f>
        <v>#N/A</v>
      </c>
      <c r="J2918" s="29">
        <f>'Raw data'!K2827</f>
        <v>0</v>
      </c>
      <c r="K2918" s="31">
        <f>'Raw data'!H2827</f>
        <v>0</v>
      </c>
      <c r="L2918" s="26">
        <f t="shared" si="94"/>
        <v>0</v>
      </c>
    </row>
    <row r="2919" spans="2:12">
      <c r="B2919" s="4" t="e">
        <f t="shared" si="93"/>
        <v>#N/A</v>
      </c>
      <c r="C2919" s="4">
        <f>'Raw data'!E2495</f>
        <v>0</v>
      </c>
      <c r="D2919" s="29" t="e">
        <f>VLOOKUP(C2919,'점포코드 '!A:B,2,0)</f>
        <v>#N/A</v>
      </c>
      <c r="E2919" s="30">
        <f>'Raw data'!P2495</f>
        <v>0</v>
      </c>
      <c r="F2919" s="29" t="e">
        <f>VLOOKUP(E2919,'점포코드 '!A:B,2,0)</f>
        <v>#N/A</v>
      </c>
      <c r="G2919" s="46">
        <f>'Raw data'!F2828</f>
        <v>0</v>
      </c>
      <c r="H2919" s="4">
        <f>'Raw data'!G2828</f>
        <v>0</v>
      </c>
      <c r="I2919" s="29" t="e">
        <f>VLOOKUP(G2919,제품명!$C$1:$E$114,2,0)</f>
        <v>#N/A</v>
      </c>
      <c r="J2919" s="29">
        <f>'Raw data'!K2828</f>
        <v>0</v>
      </c>
      <c r="K2919" s="31">
        <f>'Raw data'!H2828</f>
        <v>0</v>
      </c>
      <c r="L2919" s="26">
        <f t="shared" si="94"/>
        <v>0</v>
      </c>
    </row>
    <row r="2920" spans="2:12">
      <c r="B2920" s="4" t="e">
        <f t="shared" si="93"/>
        <v>#N/A</v>
      </c>
      <c r="C2920" s="4">
        <f>'Raw data'!E2496</f>
        <v>0</v>
      </c>
      <c r="D2920" s="29" t="e">
        <f>VLOOKUP(C2920,'점포코드 '!A:B,2,0)</f>
        <v>#N/A</v>
      </c>
      <c r="E2920" s="30">
        <f>'Raw data'!P2496</f>
        <v>0</v>
      </c>
      <c r="F2920" s="29" t="e">
        <f>VLOOKUP(E2920,'점포코드 '!A:B,2,0)</f>
        <v>#N/A</v>
      </c>
      <c r="G2920" s="46">
        <f>'Raw data'!F2829</f>
        <v>0</v>
      </c>
      <c r="H2920" s="4">
        <f>'Raw data'!G2829</f>
        <v>0</v>
      </c>
      <c r="I2920" s="29" t="e">
        <f>VLOOKUP(G2920,제품명!$C$1:$E$114,2,0)</f>
        <v>#N/A</v>
      </c>
      <c r="J2920" s="29">
        <f>'Raw data'!K2829</f>
        <v>0</v>
      </c>
      <c r="K2920" s="31">
        <f>'Raw data'!H2829</f>
        <v>0</v>
      </c>
      <c r="L2920" s="26">
        <f t="shared" si="94"/>
        <v>0</v>
      </c>
    </row>
    <row r="2921" spans="2:12">
      <c r="B2921" s="4" t="e">
        <f t="shared" si="93"/>
        <v>#N/A</v>
      </c>
      <c r="C2921" s="4">
        <f>'Raw data'!E2497</f>
        <v>0</v>
      </c>
      <c r="D2921" s="29" t="e">
        <f>VLOOKUP(C2921,'점포코드 '!A:B,2,0)</f>
        <v>#N/A</v>
      </c>
      <c r="E2921" s="30">
        <f>'Raw data'!P2497</f>
        <v>0</v>
      </c>
      <c r="F2921" s="29" t="e">
        <f>VLOOKUP(E2921,'점포코드 '!A:B,2,0)</f>
        <v>#N/A</v>
      </c>
      <c r="G2921" s="46">
        <f>'Raw data'!F2830</f>
        <v>0</v>
      </c>
      <c r="H2921" s="4">
        <f>'Raw data'!G2830</f>
        <v>0</v>
      </c>
      <c r="I2921" s="29" t="e">
        <f>VLOOKUP(G2921,제품명!$C$1:$E$114,2,0)</f>
        <v>#N/A</v>
      </c>
      <c r="J2921" s="29">
        <f>'Raw data'!K2830</f>
        <v>0</v>
      </c>
      <c r="K2921" s="31">
        <f>'Raw data'!H2830</f>
        <v>0</v>
      </c>
      <c r="L2921" s="26">
        <f t="shared" si="94"/>
        <v>0</v>
      </c>
    </row>
    <row r="2922" spans="2:12">
      <c r="B2922" s="4" t="e">
        <f t="shared" si="93"/>
        <v>#N/A</v>
      </c>
      <c r="C2922" s="4">
        <f>'Raw data'!E2498</f>
        <v>0</v>
      </c>
      <c r="D2922" s="29" t="e">
        <f>VLOOKUP(C2922,'점포코드 '!A:B,2,0)</f>
        <v>#N/A</v>
      </c>
      <c r="E2922" s="30">
        <f>'Raw data'!P2498</f>
        <v>0</v>
      </c>
      <c r="F2922" s="29" t="e">
        <f>VLOOKUP(E2922,'점포코드 '!A:B,2,0)</f>
        <v>#N/A</v>
      </c>
      <c r="G2922" s="46">
        <f>'Raw data'!F2831</f>
        <v>0</v>
      </c>
      <c r="H2922" s="4">
        <f>'Raw data'!G2831</f>
        <v>0</v>
      </c>
      <c r="I2922" s="29" t="e">
        <f>VLOOKUP(G2922,제품명!$C$1:$E$114,2,0)</f>
        <v>#N/A</v>
      </c>
      <c r="J2922" s="29">
        <f>'Raw data'!K2831</f>
        <v>0</v>
      </c>
      <c r="K2922" s="31">
        <f>'Raw data'!H2831</f>
        <v>0</v>
      </c>
      <c r="L2922" s="26">
        <f t="shared" si="94"/>
        <v>0</v>
      </c>
    </row>
    <row r="2923" spans="2:12">
      <c r="B2923" s="4" t="e">
        <f t="shared" si="93"/>
        <v>#N/A</v>
      </c>
      <c r="C2923" s="4">
        <f>'Raw data'!E2499</f>
        <v>0</v>
      </c>
      <c r="D2923" s="29" t="e">
        <f>VLOOKUP(C2923,'점포코드 '!A:B,2,0)</f>
        <v>#N/A</v>
      </c>
      <c r="E2923" s="30">
        <f>'Raw data'!P2499</f>
        <v>0</v>
      </c>
      <c r="F2923" s="29" t="e">
        <f>VLOOKUP(E2923,'점포코드 '!A:B,2,0)</f>
        <v>#N/A</v>
      </c>
      <c r="G2923" s="46">
        <f>'Raw data'!F2832</f>
        <v>0</v>
      </c>
      <c r="H2923" s="4">
        <f>'Raw data'!G2832</f>
        <v>0</v>
      </c>
      <c r="I2923" s="29" t="e">
        <f>VLOOKUP(G2923,제품명!$C$1:$E$114,2,0)</f>
        <v>#N/A</v>
      </c>
      <c r="J2923" s="29">
        <f>'Raw data'!K2832</f>
        <v>0</v>
      </c>
      <c r="K2923" s="31">
        <f>'Raw data'!H2832</f>
        <v>0</v>
      </c>
      <c r="L2923" s="26">
        <f t="shared" si="94"/>
        <v>0</v>
      </c>
    </row>
    <row r="2924" spans="2:12">
      <c r="B2924" s="4" t="e">
        <f t="shared" si="93"/>
        <v>#N/A</v>
      </c>
      <c r="C2924" s="4">
        <f>'Raw data'!E2500</f>
        <v>0</v>
      </c>
      <c r="D2924" s="29" t="e">
        <f>VLOOKUP(C2924,'점포코드 '!A:B,2,0)</f>
        <v>#N/A</v>
      </c>
      <c r="E2924" s="30">
        <f>'Raw data'!P2500</f>
        <v>0</v>
      </c>
      <c r="F2924" s="29" t="e">
        <f>VLOOKUP(E2924,'점포코드 '!A:B,2,0)</f>
        <v>#N/A</v>
      </c>
      <c r="G2924" s="46">
        <f>'Raw data'!F2833</f>
        <v>0</v>
      </c>
      <c r="H2924" s="4">
        <f>'Raw data'!G2833</f>
        <v>0</v>
      </c>
      <c r="I2924" s="29" t="e">
        <f>VLOOKUP(G2924,제품명!$C$1:$E$114,2,0)</f>
        <v>#N/A</v>
      </c>
      <c r="J2924" s="29">
        <f>'Raw data'!K2833</f>
        <v>0</v>
      </c>
      <c r="K2924" s="31">
        <f>'Raw data'!H2833</f>
        <v>0</v>
      </c>
      <c r="L2924" s="26">
        <f t="shared" si="94"/>
        <v>0</v>
      </c>
    </row>
    <row r="2925" spans="2:12">
      <c r="B2925" s="4" t="e">
        <f t="shared" si="93"/>
        <v>#N/A</v>
      </c>
      <c r="C2925" s="4">
        <f>'Raw data'!E2501</f>
        <v>0</v>
      </c>
      <c r="D2925" s="29" t="e">
        <f>VLOOKUP(C2925,'점포코드 '!A:B,2,0)</f>
        <v>#N/A</v>
      </c>
      <c r="E2925" s="30">
        <f>'Raw data'!P2501</f>
        <v>0</v>
      </c>
      <c r="F2925" s="29" t="e">
        <f>VLOOKUP(E2925,'점포코드 '!A:B,2,0)</f>
        <v>#N/A</v>
      </c>
      <c r="G2925" s="46">
        <f>'Raw data'!F2834</f>
        <v>0</v>
      </c>
      <c r="H2925" s="4">
        <f>'Raw data'!G2834</f>
        <v>0</v>
      </c>
      <c r="I2925" s="29" t="e">
        <f>VLOOKUP(G2925,제품명!$C$1:$E$114,2,0)</f>
        <v>#N/A</v>
      </c>
      <c r="J2925" s="29">
        <f>'Raw data'!K2834</f>
        <v>0</v>
      </c>
      <c r="K2925" s="31">
        <f>'Raw data'!H2834</f>
        <v>0</v>
      </c>
      <c r="L2925" s="26">
        <f t="shared" si="94"/>
        <v>0</v>
      </c>
    </row>
    <row r="2926" spans="2:12">
      <c r="B2926" s="4" t="e">
        <f t="shared" si="93"/>
        <v>#N/A</v>
      </c>
      <c r="C2926" s="4">
        <f>'Raw data'!E2502</f>
        <v>0</v>
      </c>
      <c r="D2926" s="29" t="e">
        <f>VLOOKUP(C2926,'점포코드 '!A:B,2,0)</f>
        <v>#N/A</v>
      </c>
      <c r="E2926" s="30">
        <f>'Raw data'!P2502</f>
        <v>0</v>
      </c>
      <c r="F2926" s="29" t="e">
        <f>VLOOKUP(E2926,'점포코드 '!A:B,2,0)</f>
        <v>#N/A</v>
      </c>
      <c r="G2926" s="46">
        <f>'Raw data'!F2835</f>
        <v>0</v>
      </c>
      <c r="H2926" s="4">
        <f>'Raw data'!G2835</f>
        <v>0</v>
      </c>
      <c r="I2926" s="29" t="e">
        <f>VLOOKUP(G2926,제품명!$C$1:$E$114,2,0)</f>
        <v>#N/A</v>
      </c>
      <c r="J2926" s="29">
        <f>'Raw data'!K2835</f>
        <v>0</v>
      </c>
      <c r="K2926" s="31">
        <f>'Raw data'!H2835</f>
        <v>0</v>
      </c>
      <c r="L2926" s="26">
        <f t="shared" si="94"/>
        <v>0</v>
      </c>
    </row>
    <row r="2927" spans="2:12">
      <c r="B2927" s="4" t="e">
        <f t="shared" si="93"/>
        <v>#N/A</v>
      </c>
      <c r="C2927" s="4">
        <f>'Raw data'!E2503</f>
        <v>0</v>
      </c>
      <c r="D2927" s="29" t="e">
        <f>VLOOKUP(C2927,'점포코드 '!A:B,2,0)</f>
        <v>#N/A</v>
      </c>
      <c r="E2927" s="30">
        <f>'Raw data'!P2503</f>
        <v>0</v>
      </c>
      <c r="F2927" s="29" t="e">
        <f>VLOOKUP(E2927,'점포코드 '!A:B,2,0)</f>
        <v>#N/A</v>
      </c>
      <c r="G2927" s="46">
        <f>'Raw data'!F2836</f>
        <v>0</v>
      </c>
      <c r="H2927" s="4">
        <f>'Raw data'!G2836</f>
        <v>0</v>
      </c>
      <c r="I2927" s="29" t="e">
        <f>VLOOKUP(G2927,제품명!$C$1:$E$114,2,0)</f>
        <v>#N/A</v>
      </c>
      <c r="J2927" s="29">
        <f>'Raw data'!K2836</f>
        <v>0</v>
      </c>
      <c r="K2927" s="31">
        <f>'Raw data'!H2836</f>
        <v>0</v>
      </c>
      <c r="L2927" s="26">
        <f t="shared" si="94"/>
        <v>0</v>
      </c>
    </row>
    <row r="2928" spans="2:12">
      <c r="B2928" s="4" t="e">
        <f t="shared" si="93"/>
        <v>#N/A</v>
      </c>
      <c r="C2928" s="4">
        <f>'Raw data'!E2504</f>
        <v>0</v>
      </c>
      <c r="D2928" s="29" t="e">
        <f>VLOOKUP(C2928,'점포코드 '!A:B,2,0)</f>
        <v>#N/A</v>
      </c>
      <c r="E2928" s="30">
        <f>'Raw data'!P2504</f>
        <v>0</v>
      </c>
      <c r="F2928" s="29" t="e">
        <f>VLOOKUP(E2928,'점포코드 '!A:B,2,0)</f>
        <v>#N/A</v>
      </c>
      <c r="G2928" s="46">
        <f>'Raw data'!F2837</f>
        <v>0</v>
      </c>
      <c r="H2928" s="4">
        <f>'Raw data'!G2837</f>
        <v>0</v>
      </c>
      <c r="I2928" s="29" t="e">
        <f>VLOOKUP(G2928,제품명!$C$1:$E$114,2,0)</f>
        <v>#N/A</v>
      </c>
      <c r="J2928" s="29">
        <f>'Raw data'!K2837</f>
        <v>0</v>
      </c>
      <c r="K2928" s="31">
        <f>'Raw data'!H2837</f>
        <v>0</v>
      </c>
      <c r="L2928" s="26">
        <f t="shared" si="94"/>
        <v>0</v>
      </c>
    </row>
    <row r="2929" spans="2:12">
      <c r="B2929" s="4" t="e">
        <f t="shared" si="93"/>
        <v>#N/A</v>
      </c>
      <c r="C2929" s="4">
        <f>'Raw data'!E2505</f>
        <v>0</v>
      </c>
      <c r="D2929" s="29" t="e">
        <f>VLOOKUP(C2929,'점포코드 '!A:B,2,0)</f>
        <v>#N/A</v>
      </c>
      <c r="E2929" s="30">
        <f>'Raw data'!P2505</f>
        <v>0</v>
      </c>
      <c r="F2929" s="29" t="e">
        <f>VLOOKUP(E2929,'점포코드 '!A:B,2,0)</f>
        <v>#N/A</v>
      </c>
      <c r="G2929" s="46">
        <f>'Raw data'!F2838</f>
        <v>0</v>
      </c>
      <c r="H2929" s="4">
        <f>'Raw data'!G2838</f>
        <v>0</v>
      </c>
      <c r="I2929" s="29" t="e">
        <f>VLOOKUP(G2929,제품명!$C$1:$E$114,2,0)</f>
        <v>#N/A</v>
      </c>
      <c r="J2929" s="29">
        <f>'Raw data'!K2838</f>
        <v>0</v>
      </c>
      <c r="K2929" s="31">
        <f>'Raw data'!H2838</f>
        <v>0</v>
      </c>
      <c r="L2929" s="26">
        <f t="shared" si="94"/>
        <v>0</v>
      </c>
    </row>
    <row r="2930" spans="2:12">
      <c r="B2930" s="4" t="e">
        <f t="shared" si="93"/>
        <v>#N/A</v>
      </c>
      <c r="C2930" s="4">
        <f>'Raw data'!E2506</f>
        <v>0</v>
      </c>
      <c r="D2930" s="29" t="e">
        <f>VLOOKUP(C2930,'점포코드 '!A:B,2,0)</f>
        <v>#N/A</v>
      </c>
      <c r="E2930" s="30">
        <f>'Raw data'!P2506</f>
        <v>0</v>
      </c>
      <c r="F2930" s="29" t="e">
        <f>VLOOKUP(E2930,'점포코드 '!A:B,2,0)</f>
        <v>#N/A</v>
      </c>
      <c r="G2930" s="46">
        <f>'Raw data'!F2839</f>
        <v>0</v>
      </c>
      <c r="H2930" s="4">
        <f>'Raw data'!G2839</f>
        <v>0</v>
      </c>
      <c r="I2930" s="29" t="e">
        <f>VLOOKUP(G2930,제품명!$C$1:$E$114,2,0)</f>
        <v>#N/A</v>
      </c>
      <c r="J2930" s="29">
        <f>'Raw data'!K2839</f>
        <v>0</v>
      </c>
      <c r="K2930" s="31">
        <f>'Raw data'!H2839</f>
        <v>0</v>
      </c>
      <c r="L2930" s="26">
        <f t="shared" si="94"/>
        <v>0</v>
      </c>
    </row>
    <row r="2931" spans="2:12">
      <c r="B2931" s="4" t="e">
        <f t="shared" si="93"/>
        <v>#N/A</v>
      </c>
      <c r="C2931" s="4">
        <f>'Raw data'!E2507</f>
        <v>0</v>
      </c>
      <c r="D2931" s="29" t="e">
        <f>VLOOKUP(C2931,'점포코드 '!A:B,2,0)</f>
        <v>#N/A</v>
      </c>
      <c r="E2931" s="30">
        <f>'Raw data'!P2507</f>
        <v>0</v>
      </c>
      <c r="F2931" s="29" t="e">
        <f>VLOOKUP(E2931,'점포코드 '!A:B,2,0)</f>
        <v>#N/A</v>
      </c>
      <c r="G2931" s="46">
        <f>'Raw data'!F2840</f>
        <v>0</v>
      </c>
      <c r="H2931" s="4">
        <f>'Raw data'!G2840</f>
        <v>0</v>
      </c>
      <c r="I2931" s="29" t="e">
        <f>VLOOKUP(G2931,제품명!$C$1:$E$114,2,0)</f>
        <v>#N/A</v>
      </c>
      <c r="J2931" s="29">
        <f>'Raw data'!K2840</f>
        <v>0</v>
      </c>
      <c r="K2931" s="31">
        <f>'Raw data'!H2840</f>
        <v>0</v>
      </c>
      <c r="L2931" s="26">
        <f t="shared" si="94"/>
        <v>0</v>
      </c>
    </row>
    <row r="2932" spans="2:12">
      <c r="B2932" s="4" t="e">
        <f t="shared" si="93"/>
        <v>#N/A</v>
      </c>
      <c r="C2932" s="4">
        <f>'Raw data'!E2508</f>
        <v>0</v>
      </c>
      <c r="D2932" s="29" t="e">
        <f>VLOOKUP(C2932,'점포코드 '!A:B,2,0)</f>
        <v>#N/A</v>
      </c>
      <c r="E2932" s="30">
        <f>'Raw data'!P2508</f>
        <v>0</v>
      </c>
      <c r="F2932" s="29" t="e">
        <f>VLOOKUP(E2932,'점포코드 '!A:B,2,0)</f>
        <v>#N/A</v>
      </c>
      <c r="G2932" s="46">
        <f>'Raw data'!F2841</f>
        <v>0</v>
      </c>
      <c r="H2932" s="4">
        <f>'Raw data'!G2841</f>
        <v>0</v>
      </c>
      <c r="I2932" s="29" t="e">
        <f>VLOOKUP(G2932,제품명!$C$1:$E$114,2,0)</f>
        <v>#N/A</v>
      </c>
      <c r="J2932" s="29">
        <f>'Raw data'!K2841</f>
        <v>0</v>
      </c>
      <c r="K2932" s="31">
        <f>'Raw data'!H2841</f>
        <v>0</v>
      </c>
      <c r="L2932" s="26">
        <f t="shared" si="94"/>
        <v>0</v>
      </c>
    </row>
    <row r="2933" spans="2:12">
      <c r="B2933" s="4" t="e">
        <f t="shared" si="93"/>
        <v>#N/A</v>
      </c>
      <c r="C2933" s="4">
        <f>'Raw data'!E2509</f>
        <v>0</v>
      </c>
      <c r="D2933" s="29" t="e">
        <f>VLOOKUP(C2933,'점포코드 '!A:B,2,0)</f>
        <v>#N/A</v>
      </c>
      <c r="E2933" s="30">
        <f>'Raw data'!P2509</f>
        <v>0</v>
      </c>
      <c r="F2933" s="29" t="e">
        <f>VLOOKUP(E2933,'점포코드 '!A:B,2,0)</f>
        <v>#N/A</v>
      </c>
      <c r="G2933" s="46">
        <f>'Raw data'!F2842</f>
        <v>0</v>
      </c>
      <c r="H2933" s="4">
        <f>'Raw data'!G2842</f>
        <v>0</v>
      </c>
      <c r="I2933" s="29" t="e">
        <f>VLOOKUP(G2933,제품명!$C$1:$E$114,2,0)</f>
        <v>#N/A</v>
      </c>
      <c r="J2933" s="29">
        <f>'Raw data'!K2842</f>
        <v>0</v>
      </c>
      <c r="K2933" s="31">
        <f>'Raw data'!H2842</f>
        <v>0</v>
      </c>
      <c r="L2933" s="26">
        <f t="shared" si="94"/>
        <v>0</v>
      </c>
    </row>
    <row r="2934" spans="2:12">
      <c r="B2934" s="4" t="e">
        <f t="shared" si="93"/>
        <v>#N/A</v>
      </c>
      <c r="C2934" s="4">
        <f>'Raw data'!E2510</f>
        <v>0</v>
      </c>
      <c r="D2934" s="29" t="e">
        <f>VLOOKUP(C2934,'점포코드 '!A:B,2,0)</f>
        <v>#N/A</v>
      </c>
      <c r="E2934" s="30">
        <f>'Raw data'!P2510</f>
        <v>0</v>
      </c>
      <c r="F2934" s="29" t="e">
        <f>VLOOKUP(E2934,'점포코드 '!A:B,2,0)</f>
        <v>#N/A</v>
      </c>
      <c r="G2934" s="46">
        <f>'Raw data'!F2843</f>
        <v>0</v>
      </c>
      <c r="H2934" s="4">
        <f>'Raw data'!G2843</f>
        <v>0</v>
      </c>
      <c r="I2934" s="29" t="e">
        <f>VLOOKUP(G2934,제품명!$C$1:$E$114,2,0)</f>
        <v>#N/A</v>
      </c>
      <c r="J2934" s="29">
        <f>'Raw data'!K2843</f>
        <v>0</v>
      </c>
      <c r="K2934" s="31">
        <f>'Raw data'!H2843</f>
        <v>0</v>
      </c>
      <c r="L2934" s="26">
        <f t="shared" si="94"/>
        <v>0</v>
      </c>
    </row>
    <row r="2935" spans="2:12">
      <c r="B2935" s="4" t="e">
        <f t="shared" si="93"/>
        <v>#N/A</v>
      </c>
      <c r="C2935" s="4">
        <f>'Raw data'!E2511</f>
        <v>0</v>
      </c>
      <c r="D2935" s="29" t="e">
        <f>VLOOKUP(C2935,'점포코드 '!A:B,2,0)</f>
        <v>#N/A</v>
      </c>
      <c r="E2935" s="30">
        <f>'Raw data'!P2511</f>
        <v>0</v>
      </c>
      <c r="F2935" s="29" t="e">
        <f>VLOOKUP(E2935,'점포코드 '!A:B,2,0)</f>
        <v>#N/A</v>
      </c>
      <c r="G2935" s="46">
        <f>'Raw data'!F2844</f>
        <v>0</v>
      </c>
      <c r="H2935" s="4">
        <f>'Raw data'!G2844</f>
        <v>0</v>
      </c>
      <c r="I2935" s="29" t="e">
        <f>VLOOKUP(G2935,제품명!$C$1:$E$114,2,0)</f>
        <v>#N/A</v>
      </c>
      <c r="J2935" s="29">
        <f>'Raw data'!K2844</f>
        <v>0</v>
      </c>
      <c r="K2935" s="31">
        <f>'Raw data'!H2844</f>
        <v>0</v>
      </c>
      <c r="L2935" s="26">
        <f t="shared" si="94"/>
        <v>0</v>
      </c>
    </row>
    <row r="2936" spans="2:12">
      <c r="B2936" s="4" t="e">
        <f t="shared" si="93"/>
        <v>#N/A</v>
      </c>
      <c r="C2936" s="4">
        <f>'Raw data'!E2512</f>
        <v>0</v>
      </c>
      <c r="D2936" s="29" t="e">
        <f>VLOOKUP(C2936,'점포코드 '!A:B,2,0)</f>
        <v>#N/A</v>
      </c>
      <c r="E2936" s="30">
        <f>'Raw data'!P2512</f>
        <v>0</v>
      </c>
      <c r="F2936" s="29" t="e">
        <f>VLOOKUP(E2936,'점포코드 '!A:B,2,0)</f>
        <v>#N/A</v>
      </c>
      <c r="G2936" s="46">
        <f>'Raw data'!F2845</f>
        <v>0</v>
      </c>
      <c r="H2936" s="4">
        <f>'Raw data'!G2845</f>
        <v>0</v>
      </c>
      <c r="I2936" s="29" t="e">
        <f>VLOOKUP(G2936,제품명!$C$1:$E$114,2,0)</f>
        <v>#N/A</v>
      </c>
      <c r="J2936" s="29">
        <f>'Raw data'!K2845</f>
        <v>0</v>
      </c>
      <c r="K2936" s="31">
        <f>'Raw data'!H2845</f>
        <v>0</v>
      </c>
      <c r="L2936" s="26">
        <f t="shared" si="94"/>
        <v>0</v>
      </c>
    </row>
    <row r="2937" spans="2:12">
      <c r="B2937" s="4" t="e">
        <f t="shared" si="93"/>
        <v>#N/A</v>
      </c>
      <c r="C2937" s="4">
        <f>'Raw data'!E2513</f>
        <v>0</v>
      </c>
      <c r="D2937" s="29" t="e">
        <f>VLOOKUP(C2937,'점포코드 '!A:B,2,0)</f>
        <v>#N/A</v>
      </c>
      <c r="E2937" s="30">
        <f>'Raw data'!P2513</f>
        <v>0</v>
      </c>
      <c r="F2937" s="29" t="e">
        <f>VLOOKUP(E2937,'점포코드 '!A:B,2,0)</f>
        <v>#N/A</v>
      </c>
      <c r="G2937" s="46">
        <f>'Raw data'!F2846</f>
        <v>0</v>
      </c>
      <c r="H2937" s="4">
        <f>'Raw data'!G2846</f>
        <v>0</v>
      </c>
      <c r="I2937" s="29" t="e">
        <f>VLOOKUP(G2937,제품명!$C$1:$E$114,2,0)</f>
        <v>#N/A</v>
      </c>
      <c r="J2937" s="29">
        <f>'Raw data'!K2846</f>
        <v>0</v>
      </c>
      <c r="K2937" s="31">
        <f>'Raw data'!H2846</f>
        <v>0</v>
      </c>
      <c r="L2937" s="26">
        <f t="shared" si="94"/>
        <v>0</v>
      </c>
    </row>
    <row r="2938" spans="2:12">
      <c r="B2938" s="4" t="e">
        <f t="shared" si="93"/>
        <v>#N/A</v>
      </c>
      <c r="C2938" s="4">
        <f>'Raw data'!E2514</f>
        <v>0</v>
      </c>
      <c r="D2938" s="29" t="e">
        <f>VLOOKUP(C2938,'점포코드 '!A:B,2,0)</f>
        <v>#N/A</v>
      </c>
      <c r="E2938" s="30">
        <f>'Raw data'!P2514</f>
        <v>0</v>
      </c>
      <c r="F2938" s="29" t="e">
        <f>VLOOKUP(E2938,'점포코드 '!A:B,2,0)</f>
        <v>#N/A</v>
      </c>
      <c r="G2938" s="46">
        <f>'Raw data'!F2847</f>
        <v>0</v>
      </c>
      <c r="H2938" s="4">
        <f>'Raw data'!G2847</f>
        <v>0</v>
      </c>
      <c r="I2938" s="29" t="e">
        <f>VLOOKUP(G2938,제품명!$C$1:$E$114,2,0)</f>
        <v>#N/A</v>
      </c>
      <c r="J2938" s="29">
        <f>'Raw data'!K2847</f>
        <v>0</v>
      </c>
      <c r="K2938" s="31">
        <f>'Raw data'!H2847</f>
        <v>0</v>
      </c>
      <c r="L2938" s="26">
        <f t="shared" si="94"/>
        <v>0</v>
      </c>
    </row>
    <row r="2939" spans="2:12">
      <c r="B2939" s="4" t="e">
        <f t="shared" si="93"/>
        <v>#N/A</v>
      </c>
      <c r="C2939" s="4">
        <f>'Raw data'!E2515</f>
        <v>0</v>
      </c>
      <c r="D2939" s="29" t="e">
        <f>VLOOKUP(C2939,'점포코드 '!A:B,2,0)</f>
        <v>#N/A</v>
      </c>
      <c r="E2939" s="30">
        <f>'Raw data'!P2515</f>
        <v>0</v>
      </c>
      <c r="F2939" s="29" t="e">
        <f>VLOOKUP(E2939,'점포코드 '!A:B,2,0)</f>
        <v>#N/A</v>
      </c>
      <c r="G2939" s="46">
        <f>'Raw data'!F2848</f>
        <v>0</v>
      </c>
      <c r="H2939" s="4">
        <f>'Raw data'!G2848</f>
        <v>0</v>
      </c>
      <c r="I2939" s="29" t="e">
        <f>VLOOKUP(G2939,제품명!$C$1:$E$114,2,0)</f>
        <v>#N/A</v>
      </c>
      <c r="J2939" s="29">
        <f>'Raw data'!K2848</f>
        <v>0</v>
      </c>
      <c r="K2939" s="31">
        <f>'Raw data'!H2848</f>
        <v>0</v>
      </c>
      <c r="L2939" s="26">
        <f t="shared" si="94"/>
        <v>0</v>
      </c>
    </row>
    <row r="2940" spans="2:12">
      <c r="B2940" s="4" t="e">
        <f t="shared" si="93"/>
        <v>#N/A</v>
      </c>
      <c r="C2940" s="4">
        <f>'Raw data'!E2516</f>
        <v>0</v>
      </c>
      <c r="D2940" s="29" t="e">
        <f>VLOOKUP(C2940,'점포코드 '!A:B,2,0)</f>
        <v>#N/A</v>
      </c>
      <c r="E2940" s="30">
        <f>'Raw data'!P2516</f>
        <v>0</v>
      </c>
      <c r="F2940" s="29" t="e">
        <f>VLOOKUP(E2940,'점포코드 '!A:B,2,0)</f>
        <v>#N/A</v>
      </c>
      <c r="G2940" s="46">
        <f>'Raw data'!F2849</f>
        <v>0</v>
      </c>
      <c r="H2940" s="4">
        <f>'Raw data'!G2849</f>
        <v>0</v>
      </c>
      <c r="I2940" s="29" t="e">
        <f>VLOOKUP(G2940,제품명!$C$1:$E$114,2,0)</f>
        <v>#N/A</v>
      </c>
      <c r="J2940" s="29">
        <f>'Raw data'!K2849</f>
        <v>0</v>
      </c>
      <c r="K2940" s="31">
        <f>'Raw data'!H2849</f>
        <v>0</v>
      </c>
      <c r="L2940" s="26">
        <f t="shared" si="94"/>
        <v>0</v>
      </c>
    </row>
    <row r="2941" spans="2:12">
      <c r="B2941" s="4" t="e">
        <f t="shared" si="93"/>
        <v>#N/A</v>
      </c>
      <c r="C2941" s="4">
        <f>'Raw data'!E2517</f>
        <v>0</v>
      </c>
      <c r="D2941" s="29" t="e">
        <f>VLOOKUP(C2941,'점포코드 '!A:B,2,0)</f>
        <v>#N/A</v>
      </c>
      <c r="E2941" s="30">
        <f>'Raw data'!P2517</f>
        <v>0</v>
      </c>
      <c r="F2941" s="29" t="e">
        <f>VLOOKUP(E2941,'점포코드 '!A:B,2,0)</f>
        <v>#N/A</v>
      </c>
      <c r="G2941" s="46">
        <f>'Raw data'!F2850</f>
        <v>0</v>
      </c>
      <c r="H2941" s="4">
        <f>'Raw data'!G2850</f>
        <v>0</v>
      </c>
      <c r="I2941" s="29" t="e">
        <f>VLOOKUP(G2941,제품명!$C$1:$E$114,2,0)</f>
        <v>#N/A</v>
      </c>
      <c r="J2941" s="29">
        <f>'Raw data'!K2850</f>
        <v>0</v>
      </c>
      <c r="K2941" s="31">
        <f>'Raw data'!H2850</f>
        <v>0</v>
      </c>
      <c r="L2941" s="26">
        <f t="shared" si="94"/>
        <v>0</v>
      </c>
    </row>
    <row r="2942" spans="2:12">
      <c r="B2942" s="4" t="e">
        <f t="shared" si="93"/>
        <v>#N/A</v>
      </c>
      <c r="C2942" s="4">
        <f>'Raw data'!E2518</f>
        <v>0</v>
      </c>
      <c r="D2942" s="29" t="e">
        <f>VLOOKUP(C2942,'점포코드 '!A:B,2,0)</f>
        <v>#N/A</v>
      </c>
      <c r="E2942" s="30">
        <f>'Raw data'!P2518</f>
        <v>0</v>
      </c>
      <c r="F2942" s="29" t="e">
        <f>VLOOKUP(E2942,'점포코드 '!A:B,2,0)</f>
        <v>#N/A</v>
      </c>
      <c r="G2942" s="46">
        <f>'Raw data'!F2851</f>
        <v>0</v>
      </c>
      <c r="H2942" s="4">
        <f>'Raw data'!G2851</f>
        <v>0</v>
      </c>
      <c r="I2942" s="29" t="e">
        <f>VLOOKUP(G2942,제품명!$C$1:$E$114,2,0)</f>
        <v>#N/A</v>
      </c>
      <c r="J2942" s="29">
        <f>'Raw data'!K2851</f>
        <v>0</v>
      </c>
      <c r="K2942" s="31">
        <f>'Raw data'!H2851</f>
        <v>0</v>
      </c>
      <c r="L2942" s="26">
        <f t="shared" si="94"/>
        <v>0</v>
      </c>
    </row>
    <row r="2943" spans="2:12">
      <c r="B2943" s="4" t="e">
        <f t="shared" si="93"/>
        <v>#N/A</v>
      </c>
      <c r="C2943" s="4">
        <f>'Raw data'!E2519</f>
        <v>0</v>
      </c>
      <c r="D2943" s="29" t="e">
        <f>VLOOKUP(C2943,'점포코드 '!A:B,2,0)</f>
        <v>#N/A</v>
      </c>
      <c r="E2943" s="30">
        <f>'Raw data'!P2519</f>
        <v>0</v>
      </c>
      <c r="F2943" s="29" t="e">
        <f>VLOOKUP(E2943,'점포코드 '!A:B,2,0)</f>
        <v>#N/A</v>
      </c>
      <c r="G2943" s="46">
        <f>'Raw data'!F2852</f>
        <v>0</v>
      </c>
      <c r="H2943" s="4">
        <f>'Raw data'!G2852</f>
        <v>0</v>
      </c>
      <c r="I2943" s="29" t="e">
        <f>VLOOKUP(G2943,제품명!$C$1:$E$114,2,0)</f>
        <v>#N/A</v>
      </c>
      <c r="J2943" s="29">
        <f>'Raw data'!K2852</f>
        <v>0</v>
      </c>
      <c r="K2943" s="31">
        <f>'Raw data'!H2852</f>
        <v>0</v>
      </c>
      <c r="L2943" s="26">
        <f t="shared" si="94"/>
        <v>0</v>
      </c>
    </row>
    <row r="2944" spans="2:12">
      <c r="B2944" s="4" t="e">
        <f t="shared" si="93"/>
        <v>#N/A</v>
      </c>
      <c r="C2944" s="4">
        <f>'Raw data'!E2520</f>
        <v>0</v>
      </c>
      <c r="D2944" s="29" t="e">
        <f>VLOOKUP(C2944,'점포코드 '!A:B,2,0)</f>
        <v>#N/A</v>
      </c>
      <c r="E2944" s="30">
        <f>'Raw data'!P2520</f>
        <v>0</v>
      </c>
      <c r="F2944" s="29" t="e">
        <f>VLOOKUP(E2944,'점포코드 '!A:B,2,0)</f>
        <v>#N/A</v>
      </c>
      <c r="G2944" s="46">
        <f>'Raw data'!F2853</f>
        <v>0</v>
      </c>
      <c r="H2944" s="4">
        <f>'Raw data'!G2853</f>
        <v>0</v>
      </c>
      <c r="I2944" s="29" t="e">
        <f>VLOOKUP(G2944,제품명!$C$1:$E$114,2,0)</f>
        <v>#N/A</v>
      </c>
      <c r="J2944" s="29">
        <f>'Raw data'!K2853</f>
        <v>0</v>
      </c>
      <c r="K2944" s="31">
        <f>'Raw data'!H2853</f>
        <v>0</v>
      </c>
      <c r="L2944" s="26">
        <f t="shared" si="94"/>
        <v>0</v>
      </c>
    </row>
    <row r="2945" spans="2:12">
      <c r="B2945" s="4" t="e">
        <f t="shared" si="93"/>
        <v>#N/A</v>
      </c>
      <c r="C2945" s="4">
        <f>'Raw data'!E2521</f>
        <v>0</v>
      </c>
      <c r="D2945" s="29" t="e">
        <f>VLOOKUP(C2945,'점포코드 '!A:B,2,0)</f>
        <v>#N/A</v>
      </c>
      <c r="E2945" s="30">
        <f>'Raw data'!P2521</f>
        <v>0</v>
      </c>
      <c r="F2945" s="29" t="e">
        <f>VLOOKUP(E2945,'점포코드 '!A:B,2,0)</f>
        <v>#N/A</v>
      </c>
      <c r="G2945" s="46">
        <f>'Raw data'!F2854</f>
        <v>0</v>
      </c>
      <c r="H2945" s="4">
        <f>'Raw data'!G2854</f>
        <v>0</v>
      </c>
      <c r="I2945" s="29" t="e">
        <f>VLOOKUP(G2945,제품명!$C$1:$E$114,2,0)</f>
        <v>#N/A</v>
      </c>
      <c r="J2945" s="29">
        <f>'Raw data'!K2854</f>
        <v>0</v>
      </c>
      <c r="K2945" s="31">
        <f>'Raw data'!H2854</f>
        <v>0</v>
      </c>
      <c r="L2945" s="26">
        <f t="shared" si="94"/>
        <v>0</v>
      </c>
    </row>
    <row r="2946" spans="2:12">
      <c r="B2946" s="4" t="e">
        <f t="shared" ref="B2946:B3009" si="95">F2946&amp;I2946</f>
        <v>#N/A</v>
      </c>
      <c r="C2946" s="4">
        <f>'Raw data'!E2522</f>
        <v>0</v>
      </c>
      <c r="D2946" s="29" t="e">
        <f>VLOOKUP(C2946,'점포코드 '!A:B,2,0)</f>
        <v>#N/A</v>
      </c>
      <c r="E2946" s="30">
        <f>'Raw data'!P2522</f>
        <v>0</v>
      </c>
      <c r="F2946" s="29" t="e">
        <f>VLOOKUP(E2946,'점포코드 '!A:B,2,0)</f>
        <v>#N/A</v>
      </c>
      <c r="G2946" s="46">
        <f>'Raw data'!F2855</f>
        <v>0</v>
      </c>
      <c r="H2946" s="4">
        <f>'Raw data'!G2855</f>
        <v>0</v>
      </c>
      <c r="I2946" s="29" t="e">
        <f>VLOOKUP(G2946,제품명!$C$1:$E$114,2,0)</f>
        <v>#N/A</v>
      </c>
      <c r="J2946" s="29">
        <f>'Raw data'!K2855</f>
        <v>0</v>
      </c>
      <c r="K2946" s="31">
        <f>'Raw data'!H2855</f>
        <v>0</v>
      </c>
      <c r="L2946" s="26">
        <f t="shared" si="94"/>
        <v>0</v>
      </c>
    </row>
    <row r="2947" spans="2:12">
      <c r="B2947" s="4" t="e">
        <f t="shared" si="95"/>
        <v>#N/A</v>
      </c>
      <c r="C2947" s="4">
        <f>'Raw data'!E2523</f>
        <v>0</v>
      </c>
      <c r="D2947" s="29" t="e">
        <f>VLOOKUP(C2947,'점포코드 '!A:B,2,0)</f>
        <v>#N/A</v>
      </c>
      <c r="E2947" s="30">
        <f>'Raw data'!P2523</f>
        <v>0</v>
      </c>
      <c r="F2947" s="29" t="e">
        <f>VLOOKUP(E2947,'점포코드 '!A:B,2,0)</f>
        <v>#N/A</v>
      </c>
      <c r="G2947" s="46">
        <f>'Raw data'!F2856</f>
        <v>0</v>
      </c>
      <c r="H2947" s="4">
        <f>'Raw data'!G2856</f>
        <v>0</v>
      </c>
      <c r="I2947" s="29" t="e">
        <f>VLOOKUP(G2947,제품명!$C$1:$E$114,2,0)</f>
        <v>#N/A</v>
      </c>
      <c r="J2947" s="29">
        <f>'Raw data'!K2856</f>
        <v>0</v>
      </c>
      <c r="K2947" s="31">
        <f>'Raw data'!H2856</f>
        <v>0</v>
      </c>
      <c r="L2947" s="26">
        <f t="shared" ref="L2947:L3010" si="96">J2947*K2947</f>
        <v>0</v>
      </c>
    </row>
    <row r="2948" spans="2:12">
      <c r="B2948" s="4" t="e">
        <f t="shared" si="95"/>
        <v>#N/A</v>
      </c>
      <c r="C2948" s="4">
        <f>'Raw data'!E2524</f>
        <v>0</v>
      </c>
      <c r="D2948" s="29" t="e">
        <f>VLOOKUP(C2948,'점포코드 '!A:B,2,0)</f>
        <v>#N/A</v>
      </c>
      <c r="E2948" s="30">
        <f>'Raw data'!P2524</f>
        <v>0</v>
      </c>
      <c r="F2948" s="29" t="e">
        <f>VLOOKUP(E2948,'점포코드 '!A:B,2,0)</f>
        <v>#N/A</v>
      </c>
      <c r="G2948" s="46">
        <f>'Raw data'!F2857</f>
        <v>0</v>
      </c>
      <c r="H2948" s="4">
        <f>'Raw data'!G2857</f>
        <v>0</v>
      </c>
      <c r="I2948" s="29" t="e">
        <f>VLOOKUP(G2948,제품명!$C$1:$E$114,2,0)</f>
        <v>#N/A</v>
      </c>
      <c r="J2948" s="29">
        <f>'Raw data'!K2857</f>
        <v>0</v>
      </c>
      <c r="K2948" s="31">
        <f>'Raw data'!H2857</f>
        <v>0</v>
      </c>
      <c r="L2948" s="26">
        <f t="shared" si="96"/>
        <v>0</v>
      </c>
    </row>
    <row r="2949" spans="2:12">
      <c r="B2949" s="4" t="e">
        <f t="shared" si="95"/>
        <v>#N/A</v>
      </c>
      <c r="C2949" s="4">
        <f>'Raw data'!E2525</f>
        <v>0</v>
      </c>
      <c r="D2949" s="29" t="e">
        <f>VLOOKUP(C2949,'점포코드 '!A:B,2,0)</f>
        <v>#N/A</v>
      </c>
      <c r="E2949" s="30">
        <f>'Raw data'!P2525</f>
        <v>0</v>
      </c>
      <c r="F2949" s="29" t="e">
        <f>VLOOKUP(E2949,'점포코드 '!A:B,2,0)</f>
        <v>#N/A</v>
      </c>
      <c r="G2949" s="46">
        <f>'Raw data'!F2858</f>
        <v>0</v>
      </c>
      <c r="H2949" s="4">
        <f>'Raw data'!G2858</f>
        <v>0</v>
      </c>
      <c r="I2949" s="29" t="e">
        <f>VLOOKUP(G2949,제품명!$C$1:$E$114,2,0)</f>
        <v>#N/A</v>
      </c>
      <c r="J2949" s="29">
        <f>'Raw data'!K2858</f>
        <v>0</v>
      </c>
      <c r="K2949" s="31">
        <f>'Raw data'!H2858</f>
        <v>0</v>
      </c>
      <c r="L2949" s="26">
        <f t="shared" si="96"/>
        <v>0</v>
      </c>
    </row>
    <row r="2950" spans="2:12">
      <c r="B2950" s="4" t="e">
        <f t="shared" si="95"/>
        <v>#N/A</v>
      </c>
      <c r="C2950" s="4">
        <f>'Raw data'!E2526</f>
        <v>0</v>
      </c>
      <c r="D2950" s="29" t="e">
        <f>VLOOKUP(C2950,'점포코드 '!A:B,2,0)</f>
        <v>#N/A</v>
      </c>
      <c r="E2950" s="30">
        <f>'Raw data'!P2526</f>
        <v>0</v>
      </c>
      <c r="F2950" s="29" t="e">
        <f>VLOOKUP(E2950,'점포코드 '!A:B,2,0)</f>
        <v>#N/A</v>
      </c>
      <c r="G2950" s="46">
        <f>'Raw data'!F2859</f>
        <v>0</v>
      </c>
      <c r="H2950" s="4">
        <f>'Raw data'!G2859</f>
        <v>0</v>
      </c>
      <c r="I2950" s="29" t="e">
        <f>VLOOKUP(G2950,제품명!$C$1:$E$114,2,0)</f>
        <v>#N/A</v>
      </c>
      <c r="J2950" s="29">
        <f>'Raw data'!K2859</f>
        <v>0</v>
      </c>
      <c r="K2950" s="31">
        <f>'Raw data'!H2859</f>
        <v>0</v>
      </c>
      <c r="L2950" s="26">
        <f t="shared" si="96"/>
        <v>0</v>
      </c>
    </row>
    <row r="2951" spans="2:12">
      <c r="B2951" s="4" t="e">
        <f t="shared" si="95"/>
        <v>#N/A</v>
      </c>
      <c r="C2951" s="4">
        <f>'Raw data'!E2527</f>
        <v>0</v>
      </c>
      <c r="D2951" s="29" t="e">
        <f>VLOOKUP(C2951,'점포코드 '!A:B,2,0)</f>
        <v>#N/A</v>
      </c>
      <c r="E2951" s="30">
        <f>'Raw data'!P2527</f>
        <v>0</v>
      </c>
      <c r="F2951" s="29" t="e">
        <f>VLOOKUP(E2951,'점포코드 '!A:B,2,0)</f>
        <v>#N/A</v>
      </c>
      <c r="G2951" s="46">
        <f>'Raw data'!F2860</f>
        <v>0</v>
      </c>
      <c r="H2951" s="4">
        <f>'Raw data'!G2860</f>
        <v>0</v>
      </c>
      <c r="I2951" s="29" t="e">
        <f>VLOOKUP(G2951,제품명!$C$1:$E$114,2,0)</f>
        <v>#N/A</v>
      </c>
      <c r="J2951" s="29">
        <f>'Raw data'!K2860</f>
        <v>0</v>
      </c>
      <c r="K2951" s="31">
        <f>'Raw data'!H2860</f>
        <v>0</v>
      </c>
      <c r="L2951" s="26">
        <f t="shared" si="96"/>
        <v>0</v>
      </c>
    </row>
    <row r="2952" spans="2:12">
      <c r="B2952" s="4" t="e">
        <f t="shared" si="95"/>
        <v>#N/A</v>
      </c>
      <c r="C2952" s="4">
        <f>'Raw data'!E2528</f>
        <v>0</v>
      </c>
      <c r="D2952" s="29" t="e">
        <f>VLOOKUP(C2952,'점포코드 '!A:B,2,0)</f>
        <v>#N/A</v>
      </c>
      <c r="E2952" s="30">
        <f>'Raw data'!P2528</f>
        <v>0</v>
      </c>
      <c r="F2952" s="29" t="e">
        <f>VLOOKUP(E2952,'점포코드 '!A:B,2,0)</f>
        <v>#N/A</v>
      </c>
      <c r="G2952" s="46">
        <f>'Raw data'!F2861</f>
        <v>0</v>
      </c>
      <c r="H2952" s="4">
        <f>'Raw data'!G2861</f>
        <v>0</v>
      </c>
      <c r="I2952" s="29" t="e">
        <f>VLOOKUP(G2952,제품명!$C$1:$E$114,2,0)</f>
        <v>#N/A</v>
      </c>
      <c r="J2952" s="29">
        <f>'Raw data'!K2861</f>
        <v>0</v>
      </c>
      <c r="K2952" s="31">
        <f>'Raw data'!H2861</f>
        <v>0</v>
      </c>
      <c r="L2952" s="26">
        <f t="shared" si="96"/>
        <v>0</v>
      </c>
    </row>
    <row r="2953" spans="2:12">
      <c r="B2953" s="4" t="e">
        <f t="shared" si="95"/>
        <v>#N/A</v>
      </c>
      <c r="C2953" s="4">
        <f>'Raw data'!E2529</f>
        <v>0</v>
      </c>
      <c r="D2953" s="29" t="e">
        <f>VLOOKUP(C2953,'점포코드 '!A:B,2,0)</f>
        <v>#N/A</v>
      </c>
      <c r="E2953" s="30">
        <f>'Raw data'!P2529</f>
        <v>0</v>
      </c>
      <c r="F2953" s="29" t="e">
        <f>VLOOKUP(E2953,'점포코드 '!A:B,2,0)</f>
        <v>#N/A</v>
      </c>
      <c r="G2953" s="46">
        <f>'Raw data'!F2862</f>
        <v>0</v>
      </c>
      <c r="H2953" s="4">
        <f>'Raw data'!G2862</f>
        <v>0</v>
      </c>
      <c r="I2953" s="29" t="e">
        <f>VLOOKUP(G2953,제품명!$C$1:$E$114,2,0)</f>
        <v>#N/A</v>
      </c>
      <c r="J2953" s="29">
        <f>'Raw data'!K2862</f>
        <v>0</v>
      </c>
      <c r="K2953" s="31">
        <f>'Raw data'!H2862</f>
        <v>0</v>
      </c>
      <c r="L2953" s="26">
        <f t="shared" si="96"/>
        <v>0</v>
      </c>
    </row>
    <row r="2954" spans="2:12">
      <c r="B2954" s="4" t="e">
        <f t="shared" si="95"/>
        <v>#N/A</v>
      </c>
      <c r="C2954" s="4">
        <f>'Raw data'!E2530</f>
        <v>0</v>
      </c>
      <c r="D2954" s="29" t="e">
        <f>VLOOKUP(C2954,'점포코드 '!A:B,2,0)</f>
        <v>#N/A</v>
      </c>
      <c r="E2954" s="30">
        <f>'Raw data'!P2530</f>
        <v>0</v>
      </c>
      <c r="F2954" s="29" t="e">
        <f>VLOOKUP(E2954,'점포코드 '!A:B,2,0)</f>
        <v>#N/A</v>
      </c>
      <c r="G2954" s="46">
        <f>'Raw data'!F2863</f>
        <v>0</v>
      </c>
      <c r="H2954" s="4">
        <f>'Raw data'!G2863</f>
        <v>0</v>
      </c>
      <c r="I2954" s="29" t="e">
        <f>VLOOKUP(G2954,제품명!$C$1:$E$114,2,0)</f>
        <v>#N/A</v>
      </c>
      <c r="J2954" s="29">
        <f>'Raw data'!K2863</f>
        <v>0</v>
      </c>
      <c r="K2954" s="31">
        <f>'Raw data'!H2863</f>
        <v>0</v>
      </c>
      <c r="L2954" s="26">
        <f t="shared" si="96"/>
        <v>0</v>
      </c>
    </row>
    <row r="2955" spans="2:12">
      <c r="B2955" s="4" t="e">
        <f t="shared" si="95"/>
        <v>#N/A</v>
      </c>
      <c r="C2955" s="4">
        <f>'Raw data'!E2531</f>
        <v>0</v>
      </c>
      <c r="D2955" s="29" t="e">
        <f>VLOOKUP(C2955,'점포코드 '!A:B,2,0)</f>
        <v>#N/A</v>
      </c>
      <c r="E2955" s="30">
        <f>'Raw data'!P2531</f>
        <v>0</v>
      </c>
      <c r="F2955" s="29" t="e">
        <f>VLOOKUP(E2955,'점포코드 '!A:B,2,0)</f>
        <v>#N/A</v>
      </c>
      <c r="G2955" s="46">
        <f>'Raw data'!F2864</f>
        <v>0</v>
      </c>
      <c r="H2955" s="4">
        <f>'Raw data'!G2864</f>
        <v>0</v>
      </c>
      <c r="I2955" s="29" t="e">
        <f>VLOOKUP(G2955,제품명!$C$1:$E$114,2,0)</f>
        <v>#N/A</v>
      </c>
      <c r="J2955" s="29">
        <f>'Raw data'!K2864</f>
        <v>0</v>
      </c>
      <c r="K2955" s="31">
        <f>'Raw data'!H2864</f>
        <v>0</v>
      </c>
      <c r="L2955" s="26">
        <f t="shared" si="96"/>
        <v>0</v>
      </c>
    </row>
    <row r="2956" spans="2:12">
      <c r="B2956" s="4" t="e">
        <f t="shared" si="95"/>
        <v>#N/A</v>
      </c>
      <c r="C2956" s="4">
        <f>'Raw data'!E2532</f>
        <v>0</v>
      </c>
      <c r="D2956" s="29" t="e">
        <f>VLOOKUP(C2956,'점포코드 '!A:B,2,0)</f>
        <v>#N/A</v>
      </c>
      <c r="E2956" s="30">
        <f>'Raw data'!P2532</f>
        <v>0</v>
      </c>
      <c r="F2956" s="29" t="e">
        <f>VLOOKUP(E2956,'점포코드 '!A:B,2,0)</f>
        <v>#N/A</v>
      </c>
      <c r="G2956" s="46">
        <f>'Raw data'!F2865</f>
        <v>0</v>
      </c>
      <c r="H2956" s="4">
        <f>'Raw data'!G2865</f>
        <v>0</v>
      </c>
      <c r="I2956" s="29" t="e">
        <f>VLOOKUP(G2956,제품명!$C$1:$E$114,2,0)</f>
        <v>#N/A</v>
      </c>
      <c r="J2956" s="29">
        <f>'Raw data'!K2865</f>
        <v>0</v>
      </c>
      <c r="K2956" s="31">
        <f>'Raw data'!H2865</f>
        <v>0</v>
      </c>
      <c r="L2956" s="26">
        <f t="shared" si="96"/>
        <v>0</v>
      </c>
    </row>
    <row r="2957" spans="2:12">
      <c r="B2957" s="4" t="e">
        <f t="shared" si="95"/>
        <v>#N/A</v>
      </c>
      <c r="C2957" s="4">
        <f>'Raw data'!E2533</f>
        <v>0</v>
      </c>
      <c r="D2957" s="29" t="e">
        <f>VLOOKUP(C2957,'점포코드 '!A:B,2,0)</f>
        <v>#N/A</v>
      </c>
      <c r="E2957" s="30">
        <f>'Raw data'!P2533</f>
        <v>0</v>
      </c>
      <c r="F2957" s="29" t="e">
        <f>VLOOKUP(E2957,'점포코드 '!A:B,2,0)</f>
        <v>#N/A</v>
      </c>
      <c r="G2957" s="46">
        <f>'Raw data'!F2866</f>
        <v>0</v>
      </c>
      <c r="H2957" s="4">
        <f>'Raw data'!G2866</f>
        <v>0</v>
      </c>
      <c r="I2957" s="29" t="e">
        <f>VLOOKUP(G2957,제품명!$C$1:$E$114,2,0)</f>
        <v>#N/A</v>
      </c>
      <c r="J2957" s="29">
        <f>'Raw data'!K2866</f>
        <v>0</v>
      </c>
      <c r="K2957" s="31">
        <f>'Raw data'!H2866</f>
        <v>0</v>
      </c>
      <c r="L2957" s="26">
        <f t="shared" si="96"/>
        <v>0</v>
      </c>
    </row>
    <row r="2958" spans="2:12">
      <c r="B2958" s="4" t="e">
        <f t="shared" si="95"/>
        <v>#N/A</v>
      </c>
      <c r="C2958" s="4">
        <f>'Raw data'!E2534</f>
        <v>0</v>
      </c>
      <c r="D2958" s="29" t="e">
        <f>VLOOKUP(C2958,'점포코드 '!A:B,2,0)</f>
        <v>#N/A</v>
      </c>
      <c r="E2958" s="30">
        <f>'Raw data'!P2534</f>
        <v>0</v>
      </c>
      <c r="F2958" s="29" t="e">
        <f>VLOOKUP(E2958,'점포코드 '!A:B,2,0)</f>
        <v>#N/A</v>
      </c>
      <c r="G2958" s="46">
        <f>'Raw data'!F2867</f>
        <v>0</v>
      </c>
      <c r="H2958" s="4">
        <f>'Raw data'!G2867</f>
        <v>0</v>
      </c>
      <c r="I2958" s="29" t="e">
        <f>VLOOKUP(G2958,제품명!$C$1:$E$114,2,0)</f>
        <v>#N/A</v>
      </c>
      <c r="J2958" s="29">
        <f>'Raw data'!K2867</f>
        <v>0</v>
      </c>
      <c r="K2958" s="31">
        <f>'Raw data'!H2867</f>
        <v>0</v>
      </c>
      <c r="L2958" s="26">
        <f t="shared" si="96"/>
        <v>0</v>
      </c>
    </row>
    <row r="2959" spans="2:12">
      <c r="B2959" s="4" t="e">
        <f t="shared" si="95"/>
        <v>#N/A</v>
      </c>
      <c r="C2959" s="4">
        <f>'Raw data'!E2535</f>
        <v>0</v>
      </c>
      <c r="D2959" s="29" t="e">
        <f>VLOOKUP(C2959,'점포코드 '!A:B,2,0)</f>
        <v>#N/A</v>
      </c>
      <c r="E2959" s="30">
        <f>'Raw data'!P2535</f>
        <v>0</v>
      </c>
      <c r="F2959" s="29" t="e">
        <f>VLOOKUP(E2959,'점포코드 '!A:B,2,0)</f>
        <v>#N/A</v>
      </c>
      <c r="G2959" s="46">
        <f>'Raw data'!F2868</f>
        <v>0</v>
      </c>
      <c r="H2959" s="4">
        <f>'Raw data'!G2868</f>
        <v>0</v>
      </c>
      <c r="I2959" s="29" t="e">
        <f>VLOOKUP(G2959,제품명!$C$1:$E$114,2,0)</f>
        <v>#N/A</v>
      </c>
      <c r="J2959" s="29">
        <f>'Raw data'!K2868</f>
        <v>0</v>
      </c>
      <c r="K2959" s="31">
        <f>'Raw data'!H2868</f>
        <v>0</v>
      </c>
      <c r="L2959" s="26">
        <f t="shared" si="96"/>
        <v>0</v>
      </c>
    </row>
    <row r="2960" spans="2:12">
      <c r="B2960" s="4" t="e">
        <f t="shared" si="95"/>
        <v>#N/A</v>
      </c>
      <c r="C2960" s="4">
        <f>'Raw data'!E2536</f>
        <v>0</v>
      </c>
      <c r="D2960" s="29" t="e">
        <f>VLOOKUP(C2960,'점포코드 '!A:B,2,0)</f>
        <v>#N/A</v>
      </c>
      <c r="E2960" s="30">
        <f>'Raw data'!P2536</f>
        <v>0</v>
      </c>
      <c r="F2960" s="29" t="e">
        <f>VLOOKUP(E2960,'점포코드 '!A:B,2,0)</f>
        <v>#N/A</v>
      </c>
      <c r="G2960" s="46">
        <f>'Raw data'!F2869</f>
        <v>0</v>
      </c>
      <c r="H2960" s="4">
        <f>'Raw data'!G2869</f>
        <v>0</v>
      </c>
      <c r="I2960" s="29" t="e">
        <f>VLOOKUP(G2960,제품명!$C$1:$E$114,2,0)</f>
        <v>#N/A</v>
      </c>
      <c r="J2960" s="29">
        <f>'Raw data'!K2869</f>
        <v>0</v>
      </c>
      <c r="K2960" s="31">
        <f>'Raw data'!H2869</f>
        <v>0</v>
      </c>
      <c r="L2960" s="26">
        <f t="shared" si="96"/>
        <v>0</v>
      </c>
    </row>
    <row r="2961" spans="2:12">
      <c r="B2961" s="4" t="e">
        <f t="shared" si="95"/>
        <v>#N/A</v>
      </c>
      <c r="C2961" s="4">
        <f>'Raw data'!E2537</f>
        <v>0</v>
      </c>
      <c r="D2961" s="29" t="e">
        <f>VLOOKUP(C2961,'점포코드 '!A:B,2,0)</f>
        <v>#N/A</v>
      </c>
      <c r="E2961" s="30">
        <f>'Raw data'!P2537</f>
        <v>0</v>
      </c>
      <c r="F2961" s="29" t="e">
        <f>VLOOKUP(E2961,'점포코드 '!A:B,2,0)</f>
        <v>#N/A</v>
      </c>
      <c r="G2961" s="46">
        <f>'Raw data'!F2870</f>
        <v>0</v>
      </c>
      <c r="H2961" s="4">
        <f>'Raw data'!G2870</f>
        <v>0</v>
      </c>
      <c r="I2961" s="29" t="e">
        <f>VLOOKUP(G2961,제품명!$C$1:$E$114,2,0)</f>
        <v>#N/A</v>
      </c>
      <c r="J2961" s="29">
        <f>'Raw data'!K2870</f>
        <v>0</v>
      </c>
      <c r="K2961" s="31">
        <f>'Raw data'!H2870</f>
        <v>0</v>
      </c>
      <c r="L2961" s="26">
        <f t="shared" si="96"/>
        <v>0</v>
      </c>
    </row>
    <row r="2962" spans="2:12">
      <c r="B2962" s="4" t="e">
        <f t="shared" si="95"/>
        <v>#N/A</v>
      </c>
      <c r="C2962" s="4">
        <f>'Raw data'!E2538</f>
        <v>0</v>
      </c>
      <c r="D2962" s="29" t="e">
        <f>VLOOKUP(C2962,'점포코드 '!A:B,2,0)</f>
        <v>#N/A</v>
      </c>
      <c r="E2962" s="30">
        <f>'Raw data'!P2538</f>
        <v>0</v>
      </c>
      <c r="F2962" s="29" t="e">
        <f>VLOOKUP(E2962,'점포코드 '!A:B,2,0)</f>
        <v>#N/A</v>
      </c>
      <c r="G2962" s="46">
        <f>'Raw data'!F2871</f>
        <v>0</v>
      </c>
      <c r="H2962" s="4">
        <f>'Raw data'!G2871</f>
        <v>0</v>
      </c>
      <c r="I2962" s="29" t="e">
        <f>VLOOKUP(G2962,제품명!$C$1:$E$114,2,0)</f>
        <v>#N/A</v>
      </c>
      <c r="J2962" s="29">
        <f>'Raw data'!K2871</f>
        <v>0</v>
      </c>
      <c r="K2962" s="31">
        <f>'Raw data'!H2871</f>
        <v>0</v>
      </c>
      <c r="L2962" s="26">
        <f t="shared" si="96"/>
        <v>0</v>
      </c>
    </row>
    <row r="2963" spans="2:12">
      <c r="B2963" s="4" t="e">
        <f t="shared" si="95"/>
        <v>#N/A</v>
      </c>
      <c r="C2963" s="4">
        <f>'Raw data'!E2539</f>
        <v>0</v>
      </c>
      <c r="D2963" s="29" t="e">
        <f>VLOOKUP(C2963,'점포코드 '!A:B,2,0)</f>
        <v>#N/A</v>
      </c>
      <c r="E2963" s="30">
        <f>'Raw data'!P2539</f>
        <v>0</v>
      </c>
      <c r="F2963" s="29" t="e">
        <f>VLOOKUP(E2963,'점포코드 '!A:B,2,0)</f>
        <v>#N/A</v>
      </c>
      <c r="G2963" s="46">
        <f>'Raw data'!F2872</f>
        <v>0</v>
      </c>
      <c r="H2963" s="4">
        <f>'Raw data'!G2872</f>
        <v>0</v>
      </c>
      <c r="I2963" s="29" t="e">
        <f>VLOOKUP(G2963,제품명!$C$1:$E$114,2,0)</f>
        <v>#N/A</v>
      </c>
      <c r="J2963" s="29">
        <f>'Raw data'!K2872</f>
        <v>0</v>
      </c>
      <c r="K2963" s="31">
        <f>'Raw data'!H2872</f>
        <v>0</v>
      </c>
      <c r="L2963" s="26">
        <f t="shared" si="96"/>
        <v>0</v>
      </c>
    </row>
    <row r="2964" spans="2:12">
      <c r="B2964" s="4" t="e">
        <f t="shared" si="95"/>
        <v>#N/A</v>
      </c>
      <c r="C2964" s="4">
        <f>'Raw data'!E2540</f>
        <v>0</v>
      </c>
      <c r="D2964" s="29" t="e">
        <f>VLOOKUP(C2964,'점포코드 '!A:B,2,0)</f>
        <v>#N/A</v>
      </c>
      <c r="E2964" s="30">
        <f>'Raw data'!P2540</f>
        <v>0</v>
      </c>
      <c r="F2964" s="29" t="e">
        <f>VLOOKUP(E2964,'점포코드 '!A:B,2,0)</f>
        <v>#N/A</v>
      </c>
      <c r="G2964" s="46">
        <f>'Raw data'!F2873</f>
        <v>0</v>
      </c>
      <c r="H2964" s="4">
        <f>'Raw data'!G2873</f>
        <v>0</v>
      </c>
      <c r="I2964" s="29" t="e">
        <f>VLOOKUP(G2964,제품명!$C$1:$E$114,2,0)</f>
        <v>#N/A</v>
      </c>
      <c r="J2964" s="29">
        <f>'Raw data'!K2873</f>
        <v>0</v>
      </c>
      <c r="K2964" s="31">
        <f>'Raw data'!H2873</f>
        <v>0</v>
      </c>
      <c r="L2964" s="26">
        <f t="shared" si="96"/>
        <v>0</v>
      </c>
    </row>
    <row r="2965" spans="2:12">
      <c r="B2965" s="4" t="e">
        <f t="shared" si="95"/>
        <v>#N/A</v>
      </c>
      <c r="C2965" s="4">
        <f>'Raw data'!E2541</f>
        <v>0</v>
      </c>
      <c r="D2965" s="29" t="e">
        <f>VLOOKUP(C2965,'점포코드 '!A:B,2,0)</f>
        <v>#N/A</v>
      </c>
      <c r="E2965" s="30">
        <f>'Raw data'!P2541</f>
        <v>0</v>
      </c>
      <c r="F2965" s="29" t="e">
        <f>VLOOKUP(E2965,'점포코드 '!A:B,2,0)</f>
        <v>#N/A</v>
      </c>
      <c r="G2965" s="46">
        <f>'Raw data'!F2874</f>
        <v>0</v>
      </c>
      <c r="H2965" s="4">
        <f>'Raw data'!G2874</f>
        <v>0</v>
      </c>
      <c r="I2965" s="29" t="e">
        <f>VLOOKUP(G2965,제품명!$C$1:$E$114,2,0)</f>
        <v>#N/A</v>
      </c>
      <c r="J2965" s="29">
        <f>'Raw data'!K2874</f>
        <v>0</v>
      </c>
      <c r="K2965" s="31">
        <f>'Raw data'!H2874</f>
        <v>0</v>
      </c>
      <c r="L2965" s="26">
        <f t="shared" si="96"/>
        <v>0</v>
      </c>
    </row>
    <row r="2966" spans="2:12">
      <c r="B2966" s="4" t="e">
        <f t="shared" si="95"/>
        <v>#N/A</v>
      </c>
      <c r="C2966" s="4">
        <f>'Raw data'!E2542</f>
        <v>0</v>
      </c>
      <c r="D2966" s="29" t="e">
        <f>VLOOKUP(C2966,'점포코드 '!A:B,2,0)</f>
        <v>#N/A</v>
      </c>
      <c r="E2966" s="30">
        <f>'Raw data'!P2542</f>
        <v>0</v>
      </c>
      <c r="F2966" s="29" t="e">
        <f>VLOOKUP(E2966,'점포코드 '!A:B,2,0)</f>
        <v>#N/A</v>
      </c>
      <c r="G2966" s="46">
        <f>'Raw data'!F2875</f>
        <v>0</v>
      </c>
      <c r="H2966" s="4">
        <f>'Raw data'!G2875</f>
        <v>0</v>
      </c>
      <c r="I2966" s="29" t="e">
        <f>VLOOKUP(G2966,제품명!$C$1:$E$114,2,0)</f>
        <v>#N/A</v>
      </c>
      <c r="J2966" s="29">
        <f>'Raw data'!K2875</f>
        <v>0</v>
      </c>
      <c r="K2966" s="31">
        <f>'Raw data'!H2875</f>
        <v>0</v>
      </c>
      <c r="L2966" s="26">
        <f t="shared" si="96"/>
        <v>0</v>
      </c>
    </row>
    <row r="2967" spans="2:12">
      <c r="B2967" s="4" t="e">
        <f t="shared" si="95"/>
        <v>#N/A</v>
      </c>
      <c r="C2967" s="4">
        <f>'Raw data'!E2543</f>
        <v>0</v>
      </c>
      <c r="D2967" s="29" t="e">
        <f>VLOOKUP(C2967,'점포코드 '!A:B,2,0)</f>
        <v>#N/A</v>
      </c>
      <c r="E2967" s="30">
        <f>'Raw data'!P2543</f>
        <v>0</v>
      </c>
      <c r="F2967" s="29" t="e">
        <f>VLOOKUP(E2967,'점포코드 '!A:B,2,0)</f>
        <v>#N/A</v>
      </c>
      <c r="G2967" s="46">
        <f>'Raw data'!F2876</f>
        <v>0</v>
      </c>
      <c r="H2967" s="4">
        <f>'Raw data'!G2876</f>
        <v>0</v>
      </c>
      <c r="I2967" s="29" t="e">
        <f>VLOOKUP(G2967,제품명!$C$1:$E$114,2,0)</f>
        <v>#N/A</v>
      </c>
      <c r="J2967" s="29">
        <f>'Raw data'!K2876</f>
        <v>0</v>
      </c>
      <c r="K2967" s="31">
        <f>'Raw data'!H2876</f>
        <v>0</v>
      </c>
      <c r="L2967" s="26">
        <f t="shared" si="96"/>
        <v>0</v>
      </c>
    </row>
    <row r="2968" spans="2:12">
      <c r="B2968" s="4" t="e">
        <f t="shared" si="95"/>
        <v>#N/A</v>
      </c>
      <c r="C2968" s="4">
        <f>'Raw data'!E2544</f>
        <v>0</v>
      </c>
      <c r="D2968" s="29" t="e">
        <f>VLOOKUP(C2968,'점포코드 '!A:B,2,0)</f>
        <v>#N/A</v>
      </c>
      <c r="E2968" s="30">
        <f>'Raw data'!P2544</f>
        <v>0</v>
      </c>
      <c r="F2968" s="29" t="e">
        <f>VLOOKUP(E2968,'점포코드 '!A:B,2,0)</f>
        <v>#N/A</v>
      </c>
      <c r="G2968" s="46">
        <f>'Raw data'!F2877</f>
        <v>0</v>
      </c>
      <c r="H2968" s="4">
        <f>'Raw data'!G2877</f>
        <v>0</v>
      </c>
      <c r="I2968" s="29" t="e">
        <f>VLOOKUP(G2968,제품명!$C$1:$E$114,2,0)</f>
        <v>#N/A</v>
      </c>
      <c r="J2968" s="29">
        <f>'Raw data'!K2877</f>
        <v>0</v>
      </c>
      <c r="K2968" s="31">
        <f>'Raw data'!H2877</f>
        <v>0</v>
      </c>
      <c r="L2968" s="26">
        <f t="shared" si="96"/>
        <v>0</v>
      </c>
    </row>
    <row r="2969" spans="2:12">
      <c r="B2969" s="4" t="e">
        <f t="shared" si="95"/>
        <v>#N/A</v>
      </c>
      <c r="C2969" s="4">
        <f>'Raw data'!E2545</f>
        <v>0</v>
      </c>
      <c r="D2969" s="29" t="e">
        <f>VLOOKUP(C2969,'점포코드 '!A:B,2,0)</f>
        <v>#N/A</v>
      </c>
      <c r="E2969" s="30">
        <f>'Raw data'!P2545</f>
        <v>0</v>
      </c>
      <c r="F2969" s="29" t="e">
        <f>VLOOKUP(E2969,'점포코드 '!A:B,2,0)</f>
        <v>#N/A</v>
      </c>
      <c r="G2969" s="46">
        <f>'Raw data'!F2878</f>
        <v>0</v>
      </c>
      <c r="H2969" s="4">
        <f>'Raw data'!G2878</f>
        <v>0</v>
      </c>
      <c r="I2969" s="29" t="e">
        <f>VLOOKUP(G2969,제품명!$C$1:$E$114,2,0)</f>
        <v>#N/A</v>
      </c>
      <c r="J2969" s="29">
        <f>'Raw data'!K2878</f>
        <v>0</v>
      </c>
      <c r="K2969" s="31">
        <f>'Raw data'!H2878</f>
        <v>0</v>
      </c>
      <c r="L2969" s="26">
        <f t="shared" si="96"/>
        <v>0</v>
      </c>
    </row>
    <row r="2970" spans="2:12">
      <c r="B2970" s="4" t="e">
        <f t="shared" si="95"/>
        <v>#N/A</v>
      </c>
      <c r="C2970" s="4">
        <f>'Raw data'!E2546</f>
        <v>0</v>
      </c>
      <c r="D2970" s="29" t="e">
        <f>VLOOKUP(C2970,'점포코드 '!A:B,2,0)</f>
        <v>#N/A</v>
      </c>
      <c r="E2970" s="30">
        <f>'Raw data'!P2546</f>
        <v>0</v>
      </c>
      <c r="F2970" s="29" t="e">
        <f>VLOOKUP(E2970,'점포코드 '!A:B,2,0)</f>
        <v>#N/A</v>
      </c>
      <c r="G2970" s="46">
        <f>'Raw data'!F2879</f>
        <v>0</v>
      </c>
      <c r="H2970" s="4">
        <f>'Raw data'!G2879</f>
        <v>0</v>
      </c>
      <c r="I2970" s="29" t="e">
        <f>VLOOKUP(G2970,제품명!$C$1:$E$114,2,0)</f>
        <v>#N/A</v>
      </c>
      <c r="J2970" s="29">
        <f>'Raw data'!K2879</f>
        <v>0</v>
      </c>
      <c r="K2970" s="31">
        <f>'Raw data'!H2879</f>
        <v>0</v>
      </c>
      <c r="L2970" s="26">
        <f t="shared" si="96"/>
        <v>0</v>
      </c>
    </row>
    <row r="2971" spans="2:12">
      <c r="B2971" s="4" t="e">
        <f t="shared" si="95"/>
        <v>#N/A</v>
      </c>
      <c r="C2971" s="4">
        <f>'Raw data'!E2547</f>
        <v>0</v>
      </c>
      <c r="D2971" s="29" t="e">
        <f>VLOOKUP(C2971,'점포코드 '!A:B,2,0)</f>
        <v>#N/A</v>
      </c>
      <c r="E2971" s="30">
        <f>'Raw data'!P2547</f>
        <v>0</v>
      </c>
      <c r="F2971" s="29" t="e">
        <f>VLOOKUP(E2971,'점포코드 '!A:B,2,0)</f>
        <v>#N/A</v>
      </c>
      <c r="G2971" s="46">
        <f>'Raw data'!F2880</f>
        <v>0</v>
      </c>
      <c r="H2971" s="4">
        <f>'Raw data'!G2880</f>
        <v>0</v>
      </c>
      <c r="I2971" s="29" t="e">
        <f>VLOOKUP(G2971,제품명!$C$1:$E$114,2,0)</f>
        <v>#N/A</v>
      </c>
      <c r="J2971" s="29">
        <f>'Raw data'!K2880</f>
        <v>0</v>
      </c>
      <c r="K2971" s="31">
        <f>'Raw data'!H2880</f>
        <v>0</v>
      </c>
      <c r="L2971" s="26">
        <f t="shared" si="96"/>
        <v>0</v>
      </c>
    </row>
    <row r="2972" spans="2:12">
      <c r="B2972" s="4" t="e">
        <f t="shared" si="95"/>
        <v>#N/A</v>
      </c>
      <c r="C2972" s="4">
        <f>'Raw data'!E2548</f>
        <v>0</v>
      </c>
      <c r="D2972" s="29" t="e">
        <f>VLOOKUP(C2972,'점포코드 '!A:B,2,0)</f>
        <v>#N/A</v>
      </c>
      <c r="E2972" s="30">
        <f>'Raw data'!P2548</f>
        <v>0</v>
      </c>
      <c r="F2972" s="29" t="e">
        <f>VLOOKUP(E2972,'점포코드 '!A:B,2,0)</f>
        <v>#N/A</v>
      </c>
      <c r="G2972" s="46">
        <f>'Raw data'!F2881</f>
        <v>0</v>
      </c>
      <c r="H2972" s="4">
        <f>'Raw data'!G2881</f>
        <v>0</v>
      </c>
      <c r="I2972" s="29" t="e">
        <f>VLOOKUP(G2972,제품명!$C$1:$E$114,2,0)</f>
        <v>#N/A</v>
      </c>
      <c r="J2972" s="29">
        <f>'Raw data'!K2881</f>
        <v>0</v>
      </c>
      <c r="K2972" s="31">
        <f>'Raw data'!H2881</f>
        <v>0</v>
      </c>
      <c r="L2972" s="26">
        <f t="shared" si="96"/>
        <v>0</v>
      </c>
    </row>
    <row r="2973" spans="2:12">
      <c r="B2973" s="4" t="e">
        <f t="shared" si="95"/>
        <v>#N/A</v>
      </c>
      <c r="C2973" s="4">
        <f>'Raw data'!E2549</f>
        <v>0</v>
      </c>
      <c r="D2973" s="29" t="e">
        <f>VLOOKUP(C2973,'점포코드 '!A:B,2,0)</f>
        <v>#N/A</v>
      </c>
      <c r="E2973" s="30">
        <f>'Raw data'!P2549</f>
        <v>0</v>
      </c>
      <c r="F2973" s="29" t="e">
        <f>VLOOKUP(E2973,'점포코드 '!A:B,2,0)</f>
        <v>#N/A</v>
      </c>
      <c r="G2973" s="46">
        <f>'Raw data'!F2882</f>
        <v>0</v>
      </c>
      <c r="H2973" s="4">
        <f>'Raw data'!G2882</f>
        <v>0</v>
      </c>
      <c r="I2973" s="29" t="e">
        <f>VLOOKUP(G2973,제품명!$C$1:$E$114,2,0)</f>
        <v>#N/A</v>
      </c>
      <c r="J2973" s="29">
        <f>'Raw data'!K2882</f>
        <v>0</v>
      </c>
      <c r="K2973" s="31">
        <f>'Raw data'!H2882</f>
        <v>0</v>
      </c>
      <c r="L2973" s="26">
        <f t="shared" si="96"/>
        <v>0</v>
      </c>
    </row>
    <row r="2974" spans="2:12">
      <c r="B2974" s="4" t="e">
        <f t="shared" si="95"/>
        <v>#N/A</v>
      </c>
      <c r="C2974" s="4">
        <f>'Raw data'!E2550</f>
        <v>0</v>
      </c>
      <c r="D2974" s="29" t="e">
        <f>VLOOKUP(C2974,'점포코드 '!A:B,2,0)</f>
        <v>#N/A</v>
      </c>
      <c r="E2974" s="30">
        <f>'Raw data'!P2550</f>
        <v>0</v>
      </c>
      <c r="F2974" s="29" t="e">
        <f>VLOOKUP(E2974,'점포코드 '!A:B,2,0)</f>
        <v>#N/A</v>
      </c>
      <c r="G2974" s="46">
        <f>'Raw data'!F2883</f>
        <v>0</v>
      </c>
      <c r="H2974" s="4">
        <f>'Raw data'!G2883</f>
        <v>0</v>
      </c>
      <c r="I2974" s="29" t="e">
        <f>VLOOKUP(G2974,제품명!$C$1:$E$114,2,0)</f>
        <v>#N/A</v>
      </c>
      <c r="J2974" s="29">
        <f>'Raw data'!K2883</f>
        <v>0</v>
      </c>
      <c r="K2974" s="31">
        <f>'Raw data'!H2883</f>
        <v>0</v>
      </c>
      <c r="L2974" s="26">
        <f t="shared" si="96"/>
        <v>0</v>
      </c>
    </row>
    <row r="2975" spans="2:12">
      <c r="B2975" s="4" t="e">
        <f t="shared" si="95"/>
        <v>#N/A</v>
      </c>
      <c r="C2975" s="4">
        <f>'Raw data'!E2551</f>
        <v>0</v>
      </c>
      <c r="D2975" s="29" t="e">
        <f>VLOOKUP(C2975,'점포코드 '!A:B,2,0)</f>
        <v>#N/A</v>
      </c>
      <c r="E2975" s="30">
        <f>'Raw data'!P2551</f>
        <v>0</v>
      </c>
      <c r="F2975" s="29" t="e">
        <f>VLOOKUP(E2975,'점포코드 '!A:B,2,0)</f>
        <v>#N/A</v>
      </c>
      <c r="G2975" s="46">
        <f>'Raw data'!F2884</f>
        <v>0</v>
      </c>
      <c r="H2975" s="4">
        <f>'Raw data'!G2884</f>
        <v>0</v>
      </c>
      <c r="I2975" s="29" t="e">
        <f>VLOOKUP(G2975,제품명!$C$1:$E$114,2,0)</f>
        <v>#N/A</v>
      </c>
      <c r="J2975" s="29">
        <f>'Raw data'!K2884</f>
        <v>0</v>
      </c>
      <c r="K2975" s="31">
        <f>'Raw data'!H2884</f>
        <v>0</v>
      </c>
      <c r="L2975" s="26">
        <f t="shared" si="96"/>
        <v>0</v>
      </c>
    </row>
    <row r="2976" spans="2:12">
      <c r="B2976" s="4" t="e">
        <f t="shared" si="95"/>
        <v>#N/A</v>
      </c>
      <c r="C2976" s="4">
        <f>'Raw data'!E2552</f>
        <v>0</v>
      </c>
      <c r="D2976" s="29" t="e">
        <f>VLOOKUP(C2976,'점포코드 '!A:B,2,0)</f>
        <v>#N/A</v>
      </c>
      <c r="E2976" s="30">
        <f>'Raw data'!P2552</f>
        <v>0</v>
      </c>
      <c r="F2976" s="29" t="e">
        <f>VLOOKUP(E2976,'점포코드 '!A:B,2,0)</f>
        <v>#N/A</v>
      </c>
      <c r="G2976" s="46">
        <f>'Raw data'!F2885</f>
        <v>0</v>
      </c>
      <c r="H2976" s="4">
        <f>'Raw data'!G2885</f>
        <v>0</v>
      </c>
      <c r="I2976" s="29" t="e">
        <f>VLOOKUP(G2976,제품명!$C$1:$E$114,2,0)</f>
        <v>#N/A</v>
      </c>
      <c r="J2976" s="29">
        <f>'Raw data'!K2885</f>
        <v>0</v>
      </c>
      <c r="K2976" s="31">
        <f>'Raw data'!H2885</f>
        <v>0</v>
      </c>
      <c r="L2976" s="26">
        <f t="shared" si="96"/>
        <v>0</v>
      </c>
    </row>
    <row r="2977" spans="2:12">
      <c r="B2977" s="4" t="e">
        <f t="shared" si="95"/>
        <v>#N/A</v>
      </c>
      <c r="C2977" s="4">
        <f>'Raw data'!E2553</f>
        <v>0</v>
      </c>
      <c r="D2977" s="29" t="e">
        <f>VLOOKUP(C2977,'점포코드 '!A:B,2,0)</f>
        <v>#N/A</v>
      </c>
      <c r="E2977" s="30">
        <f>'Raw data'!P2553</f>
        <v>0</v>
      </c>
      <c r="F2977" s="29" t="e">
        <f>VLOOKUP(E2977,'점포코드 '!A:B,2,0)</f>
        <v>#N/A</v>
      </c>
      <c r="G2977" s="46">
        <f>'Raw data'!F2886</f>
        <v>0</v>
      </c>
      <c r="H2977" s="4">
        <f>'Raw data'!G2886</f>
        <v>0</v>
      </c>
      <c r="I2977" s="29" t="e">
        <f>VLOOKUP(G2977,제품명!$C$1:$E$114,2,0)</f>
        <v>#N/A</v>
      </c>
      <c r="J2977" s="29">
        <f>'Raw data'!K2886</f>
        <v>0</v>
      </c>
      <c r="K2977" s="31">
        <f>'Raw data'!H2886</f>
        <v>0</v>
      </c>
      <c r="L2977" s="26">
        <f t="shared" si="96"/>
        <v>0</v>
      </c>
    </row>
    <row r="2978" spans="2:12">
      <c r="B2978" s="4" t="e">
        <f t="shared" si="95"/>
        <v>#N/A</v>
      </c>
      <c r="C2978" s="4">
        <f>'Raw data'!E2554</f>
        <v>0</v>
      </c>
      <c r="D2978" s="29" t="e">
        <f>VLOOKUP(C2978,'점포코드 '!A:B,2,0)</f>
        <v>#N/A</v>
      </c>
      <c r="E2978" s="30">
        <f>'Raw data'!P2554</f>
        <v>0</v>
      </c>
      <c r="F2978" s="29" t="e">
        <f>VLOOKUP(E2978,'점포코드 '!A:B,2,0)</f>
        <v>#N/A</v>
      </c>
      <c r="G2978" s="46">
        <f>'Raw data'!F2887</f>
        <v>0</v>
      </c>
      <c r="H2978" s="4">
        <f>'Raw data'!G2887</f>
        <v>0</v>
      </c>
      <c r="I2978" s="29" t="e">
        <f>VLOOKUP(G2978,제품명!$C$1:$E$114,2,0)</f>
        <v>#N/A</v>
      </c>
      <c r="J2978" s="29">
        <f>'Raw data'!K2887</f>
        <v>0</v>
      </c>
      <c r="K2978" s="31">
        <f>'Raw data'!H2887</f>
        <v>0</v>
      </c>
      <c r="L2978" s="26">
        <f t="shared" si="96"/>
        <v>0</v>
      </c>
    </row>
    <row r="2979" spans="2:12">
      <c r="B2979" s="4" t="e">
        <f t="shared" si="95"/>
        <v>#N/A</v>
      </c>
      <c r="C2979" s="4">
        <f>'Raw data'!E2555</f>
        <v>0</v>
      </c>
      <c r="D2979" s="29" t="e">
        <f>VLOOKUP(C2979,'점포코드 '!A:B,2,0)</f>
        <v>#N/A</v>
      </c>
      <c r="E2979" s="30">
        <f>'Raw data'!P2555</f>
        <v>0</v>
      </c>
      <c r="F2979" s="29" t="e">
        <f>VLOOKUP(E2979,'점포코드 '!A:B,2,0)</f>
        <v>#N/A</v>
      </c>
      <c r="G2979" s="46">
        <f>'Raw data'!F2888</f>
        <v>0</v>
      </c>
      <c r="H2979" s="4">
        <f>'Raw data'!G2888</f>
        <v>0</v>
      </c>
      <c r="I2979" s="29" t="e">
        <f>VLOOKUP(G2979,제품명!$C$1:$E$114,2,0)</f>
        <v>#N/A</v>
      </c>
      <c r="J2979" s="29">
        <f>'Raw data'!K2888</f>
        <v>0</v>
      </c>
      <c r="K2979" s="31">
        <f>'Raw data'!H2888</f>
        <v>0</v>
      </c>
      <c r="L2979" s="26">
        <f t="shared" si="96"/>
        <v>0</v>
      </c>
    </row>
    <row r="2980" spans="2:12">
      <c r="B2980" s="4" t="e">
        <f t="shared" si="95"/>
        <v>#N/A</v>
      </c>
      <c r="C2980" s="4">
        <f>'Raw data'!E2556</f>
        <v>0</v>
      </c>
      <c r="D2980" s="29" t="e">
        <f>VLOOKUP(C2980,'점포코드 '!A:B,2,0)</f>
        <v>#N/A</v>
      </c>
      <c r="E2980" s="30">
        <f>'Raw data'!P2556</f>
        <v>0</v>
      </c>
      <c r="F2980" s="29" t="e">
        <f>VLOOKUP(E2980,'점포코드 '!A:B,2,0)</f>
        <v>#N/A</v>
      </c>
      <c r="G2980" s="46">
        <f>'Raw data'!F2889</f>
        <v>0</v>
      </c>
      <c r="H2980" s="4">
        <f>'Raw data'!G2889</f>
        <v>0</v>
      </c>
      <c r="I2980" s="29" t="e">
        <f>VLOOKUP(G2980,제품명!$C$1:$E$114,2,0)</f>
        <v>#N/A</v>
      </c>
      <c r="J2980" s="29">
        <f>'Raw data'!K2889</f>
        <v>0</v>
      </c>
      <c r="K2980" s="31">
        <f>'Raw data'!H2889</f>
        <v>0</v>
      </c>
      <c r="L2980" s="26">
        <f t="shared" si="96"/>
        <v>0</v>
      </c>
    </row>
    <row r="2981" spans="2:12">
      <c r="B2981" s="4" t="e">
        <f t="shared" si="95"/>
        <v>#N/A</v>
      </c>
      <c r="C2981" s="4">
        <f>'Raw data'!E2557</f>
        <v>0</v>
      </c>
      <c r="D2981" s="29" t="e">
        <f>VLOOKUP(C2981,'점포코드 '!A:B,2,0)</f>
        <v>#N/A</v>
      </c>
      <c r="E2981" s="30">
        <f>'Raw data'!P2557</f>
        <v>0</v>
      </c>
      <c r="F2981" s="29" t="e">
        <f>VLOOKUP(E2981,'점포코드 '!A:B,2,0)</f>
        <v>#N/A</v>
      </c>
      <c r="G2981" s="46">
        <f>'Raw data'!F2890</f>
        <v>0</v>
      </c>
      <c r="H2981" s="4">
        <f>'Raw data'!G2890</f>
        <v>0</v>
      </c>
      <c r="I2981" s="29" t="e">
        <f>VLOOKUP(G2981,제품명!$C$1:$E$114,2,0)</f>
        <v>#N/A</v>
      </c>
      <c r="J2981" s="29">
        <f>'Raw data'!K2890</f>
        <v>0</v>
      </c>
      <c r="K2981" s="31">
        <f>'Raw data'!H2890</f>
        <v>0</v>
      </c>
      <c r="L2981" s="26">
        <f t="shared" si="96"/>
        <v>0</v>
      </c>
    </row>
    <row r="2982" spans="2:12">
      <c r="B2982" s="4" t="e">
        <f t="shared" si="95"/>
        <v>#N/A</v>
      </c>
      <c r="C2982" s="4">
        <f>'Raw data'!E2558</f>
        <v>0</v>
      </c>
      <c r="D2982" s="29" t="e">
        <f>VLOOKUP(C2982,'점포코드 '!A:B,2,0)</f>
        <v>#N/A</v>
      </c>
      <c r="E2982" s="30">
        <f>'Raw data'!P2558</f>
        <v>0</v>
      </c>
      <c r="F2982" s="29" t="e">
        <f>VLOOKUP(E2982,'점포코드 '!A:B,2,0)</f>
        <v>#N/A</v>
      </c>
      <c r="G2982" s="46">
        <f>'Raw data'!F2891</f>
        <v>0</v>
      </c>
      <c r="H2982" s="4">
        <f>'Raw data'!G2891</f>
        <v>0</v>
      </c>
      <c r="I2982" s="29" t="e">
        <f>VLOOKUP(G2982,제품명!$C$1:$E$114,2,0)</f>
        <v>#N/A</v>
      </c>
      <c r="J2982" s="29">
        <f>'Raw data'!K2891</f>
        <v>0</v>
      </c>
      <c r="K2982" s="31">
        <f>'Raw data'!H2891</f>
        <v>0</v>
      </c>
      <c r="L2982" s="26">
        <f t="shared" si="96"/>
        <v>0</v>
      </c>
    </row>
    <row r="2983" spans="2:12">
      <c r="B2983" s="4" t="e">
        <f t="shared" si="95"/>
        <v>#N/A</v>
      </c>
      <c r="C2983" s="4">
        <f>'Raw data'!E2559</f>
        <v>0</v>
      </c>
      <c r="D2983" s="29" t="e">
        <f>VLOOKUP(C2983,'점포코드 '!A:B,2,0)</f>
        <v>#N/A</v>
      </c>
      <c r="E2983" s="30">
        <f>'Raw data'!P2559</f>
        <v>0</v>
      </c>
      <c r="F2983" s="29" t="e">
        <f>VLOOKUP(E2983,'점포코드 '!A:B,2,0)</f>
        <v>#N/A</v>
      </c>
      <c r="G2983" s="46">
        <f>'Raw data'!F2892</f>
        <v>0</v>
      </c>
      <c r="H2983" s="4">
        <f>'Raw data'!G2892</f>
        <v>0</v>
      </c>
      <c r="I2983" s="29" t="e">
        <f>VLOOKUP(G2983,제품명!$C$1:$E$114,2,0)</f>
        <v>#N/A</v>
      </c>
      <c r="J2983" s="29">
        <f>'Raw data'!K2892</f>
        <v>0</v>
      </c>
      <c r="K2983" s="31">
        <f>'Raw data'!H2892</f>
        <v>0</v>
      </c>
      <c r="L2983" s="26">
        <f t="shared" si="96"/>
        <v>0</v>
      </c>
    </row>
    <row r="2984" spans="2:12">
      <c r="B2984" s="4" t="e">
        <f t="shared" si="95"/>
        <v>#N/A</v>
      </c>
      <c r="C2984" s="4">
        <f>'Raw data'!E2560</f>
        <v>0</v>
      </c>
      <c r="D2984" s="29" t="e">
        <f>VLOOKUP(C2984,'점포코드 '!A:B,2,0)</f>
        <v>#N/A</v>
      </c>
      <c r="E2984" s="30">
        <f>'Raw data'!P2560</f>
        <v>0</v>
      </c>
      <c r="F2984" s="29" t="e">
        <f>VLOOKUP(E2984,'점포코드 '!A:B,2,0)</f>
        <v>#N/A</v>
      </c>
      <c r="G2984" s="46">
        <f>'Raw data'!F2893</f>
        <v>0</v>
      </c>
      <c r="H2984" s="4">
        <f>'Raw data'!G2893</f>
        <v>0</v>
      </c>
      <c r="I2984" s="29" t="e">
        <f>VLOOKUP(G2984,제품명!$C$1:$E$114,2,0)</f>
        <v>#N/A</v>
      </c>
      <c r="J2984" s="29">
        <f>'Raw data'!K2893</f>
        <v>0</v>
      </c>
      <c r="K2984" s="31">
        <f>'Raw data'!H2893</f>
        <v>0</v>
      </c>
      <c r="L2984" s="26">
        <f t="shared" si="96"/>
        <v>0</v>
      </c>
    </row>
    <row r="2985" spans="2:12">
      <c r="B2985" s="4" t="e">
        <f t="shared" si="95"/>
        <v>#N/A</v>
      </c>
      <c r="C2985" s="4">
        <f>'Raw data'!E2561</f>
        <v>0</v>
      </c>
      <c r="D2985" s="29" t="e">
        <f>VLOOKUP(C2985,'점포코드 '!A:B,2,0)</f>
        <v>#N/A</v>
      </c>
      <c r="E2985" s="30">
        <f>'Raw data'!P2561</f>
        <v>0</v>
      </c>
      <c r="F2985" s="29" t="e">
        <f>VLOOKUP(E2985,'점포코드 '!A:B,2,0)</f>
        <v>#N/A</v>
      </c>
      <c r="G2985" s="46">
        <f>'Raw data'!F2894</f>
        <v>0</v>
      </c>
      <c r="H2985" s="4">
        <f>'Raw data'!G2894</f>
        <v>0</v>
      </c>
      <c r="I2985" s="29" t="e">
        <f>VLOOKUP(G2985,제품명!$C$1:$E$114,2,0)</f>
        <v>#N/A</v>
      </c>
      <c r="J2985" s="29">
        <f>'Raw data'!K2894</f>
        <v>0</v>
      </c>
      <c r="K2985" s="31">
        <f>'Raw data'!H2894</f>
        <v>0</v>
      </c>
      <c r="L2985" s="26">
        <f t="shared" si="96"/>
        <v>0</v>
      </c>
    </row>
    <row r="2986" spans="2:12">
      <c r="B2986" s="4" t="e">
        <f t="shared" si="95"/>
        <v>#N/A</v>
      </c>
      <c r="C2986" s="4">
        <f>'Raw data'!E2562</f>
        <v>0</v>
      </c>
      <c r="D2986" s="29" t="e">
        <f>VLOOKUP(C2986,'점포코드 '!A:B,2,0)</f>
        <v>#N/A</v>
      </c>
      <c r="E2986" s="30">
        <f>'Raw data'!P2562</f>
        <v>0</v>
      </c>
      <c r="F2986" s="29" t="e">
        <f>VLOOKUP(E2986,'점포코드 '!A:B,2,0)</f>
        <v>#N/A</v>
      </c>
      <c r="G2986" s="46">
        <f>'Raw data'!F2895</f>
        <v>0</v>
      </c>
      <c r="H2986" s="4">
        <f>'Raw data'!G2895</f>
        <v>0</v>
      </c>
      <c r="I2986" s="29" t="e">
        <f>VLOOKUP(G2986,제품명!$C$1:$E$114,2,0)</f>
        <v>#N/A</v>
      </c>
      <c r="J2986" s="29">
        <f>'Raw data'!K2895</f>
        <v>0</v>
      </c>
      <c r="K2986" s="31">
        <f>'Raw data'!H2895</f>
        <v>0</v>
      </c>
      <c r="L2986" s="26">
        <f t="shared" si="96"/>
        <v>0</v>
      </c>
    </row>
    <row r="2987" spans="2:12">
      <c r="B2987" s="4" t="e">
        <f t="shared" si="95"/>
        <v>#N/A</v>
      </c>
      <c r="C2987" s="4">
        <f>'Raw data'!E2563</f>
        <v>0</v>
      </c>
      <c r="D2987" s="29" t="e">
        <f>VLOOKUP(C2987,'점포코드 '!A:B,2,0)</f>
        <v>#N/A</v>
      </c>
      <c r="E2987" s="30">
        <f>'Raw data'!P2563</f>
        <v>0</v>
      </c>
      <c r="F2987" s="29" t="e">
        <f>VLOOKUP(E2987,'점포코드 '!A:B,2,0)</f>
        <v>#N/A</v>
      </c>
      <c r="G2987" s="46">
        <f>'Raw data'!F2896</f>
        <v>0</v>
      </c>
      <c r="H2987" s="4">
        <f>'Raw data'!G2896</f>
        <v>0</v>
      </c>
      <c r="I2987" s="29" t="e">
        <f>VLOOKUP(G2987,제품명!$C$1:$E$114,2,0)</f>
        <v>#N/A</v>
      </c>
      <c r="J2987" s="29">
        <f>'Raw data'!K2896</f>
        <v>0</v>
      </c>
      <c r="K2987" s="31">
        <f>'Raw data'!H2896</f>
        <v>0</v>
      </c>
      <c r="L2987" s="26">
        <f t="shared" si="96"/>
        <v>0</v>
      </c>
    </row>
    <row r="2988" spans="2:12">
      <c r="B2988" s="4" t="e">
        <f t="shared" si="95"/>
        <v>#N/A</v>
      </c>
      <c r="C2988" s="4">
        <f>'Raw data'!E2564</f>
        <v>0</v>
      </c>
      <c r="D2988" s="29" t="e">
        <f>VLOOKUP(C2988,'점포코드 '!A:B,2,0)</f>
        <v>#N/A</v>
      </c>
      <c r="E2988" s="30">
        <f>'Raw data'!P2564</f>
        <v>0</v>
      </c>
      <c r="F2988" s="29" t="e">
        <f>VLOOKUP(E2988,'점포코드 '!A:B,2,0)</f>
        <v>#N/A</v>
      </c>
      <c r="G2988" s="46">
        <f>'Raw data'!F2897</f>
        <v>0</v>
      </c>
      <c r="H2988" s="4">
        <f>'Raw data'!G2897</f>
        <v>0</v>
      </c>
      <c r="I2988" s="29" t="e">
        <f>VLOOKUP(G2988,제품명!$C$1:$E$114,2,0)</f>
        <v>#N/A</v>
      </c>
      <c r="J2988" s="29">
        <f>'Raw data'!K2897</f>
        <v>0</v>
      </c>
      <c r="K2988" s="31">
        <f>'Raw data'!H2897</f>
        <v>0</v>
      </c>
      <c r="L2988" s="26">
        <f t="shared" si="96"/>
        <v>0</v>
      </c>
    </row>
    <row r="2989" spans="2:12">
      <c r="B2989" s="4" t="e">
        <f t="shared" si="95"/>
        <v>#N/A</v>
      </c>
      <c r="C2989" s="4">
        <f>'Raw data'!E2565</f>
        <v>0</v>
      </c>
      <c r="D2989" s="29" t="e">
        <f>VLOOKUP(C2989,'점포코드 '!A:B,2,0)</f>
        <v>#N/A</v>
      </c>
      <c r="E2989" s="30">
        <f>'Raw data'!P2565</f>
        <v>0</v>
      </c>
      <c r="F2989" s="29" t="e">
        <f>VLOOKUP(E2989,'점포코드 '!A:B,2,0)</f>
        <v>#N/A</v>
      </c>
      <c r="G2989" s="46">
        <f>'Raw data'!F2898</f>
        <v>0</v>
      </c>
      <c r="H2989" s="4">
        <f>'Raw data'!G2898</f>
        <v>0</v>
      </c>
      <c r="I2989" s="29" t="e">
        <f>VLOOKUP(G2989,제품명!$C$1:$E$114,2,0)</f>
        <v>#N/A</v>
      </c>
      <c r="J2989" s="29">
        <f>'Raw data'!K2898</f>
        <v>0</v>
      </c>
      <c r="K2989" s="31">
        <f>'Raw data'!H2898</f>
        <v>0</v>
      </c>
      <c r="L2989" s="26">
        <f t="shared" si="96"/>
        <v>0</v>
      </c>
    </row>
    <row r="2990" spans="2:12">
      <c r="B2990" s="4" t="e">
        <f t="shared" si="95"/>
        <v>#N/A</v>
      </c>
      <c r="C2990" s="4">
        <f>'Raw data'!E2566</f>
        <v>0</v>
      </c>
      <c r="D2990" s="29" t="e">
        <f>VLOOKUP(C2990,'점포코드 '!A:B,2,0)</f>
        <v>#N/A</v>
      </c>
      <c r="E2990" s="30">
        <f>'Raw data'!P2566</f>
        <v>0</v>
      </c>
      <c r="F2990" s="29" t="e">
        <f>VLOOKUP(E2990,'점포코드 '!A:B,2,0)</f>
        <v>#N/A</v>
      </c>
      <c r="G2990" s="46">
        <f>'Raw data'!F2899</f>
        <v>0</v>
      </c>
      <c r="H2990" s="4">
        <f>'Raw data'!G2899</f>
        <v>0</v>
      </c>
      <c r="I2990" s="29" t="e">
        <f>VLOOKUP(G2990,제품명!$C$1:$E$114,2,0)</f>
        <v>#N/A</v>
      </c>
      <c r="J2990" s="29">
        <f>'Raw data'!K2899</f>
        <v>0</v>
      </c>
      <c r="K2990" s="31">
        <f>'Raw data'!H2899</f>
        <v>0</v>
      </c>
      <c r="L2990" s="26">
        <f t="shared" si="96"/>
        <v>0</v>
      </c>
    </row>
    <row r="2991" spans="2:12">
      <c r="B2991" s="4" t="e">
        <f t="shared" si="95"/>
        <v>#N/A</v>
      </c>
      <c r="C2991" s="4">
        <f>'Raw data'!E2567</f>
        <v>0</v>
      </c>
      <c r="D2991" s="29" t="e">
        <f>VLOOKUP(C2991,'점포코드 '!A:B,2,0)</f>
        <v>#N/A</v>
      </c>
      <c r="E2991" s="30">
        <f>'Raw data'!P2567</f>
        <v>0</v>
      </c>
      <c r="F2991" s="29" t="e">
        <f>VLOOKUP(E2991,'점포코드 '!A:B,2,0)</f>
        <v>#N/A</v>
      </c>
      <c r="G2991" s="46">
        <f>'Raw data'!F2900</f>
        <v>0</v>
      </c>
      <c r="H2991" s="4">
        <f>'Raw data'!G2900</f>
        <v>0</v>
      </c>
      <c r="I2991" s="29" t="e">
        <f>VLOOKUP(G2991,제품명!$C$1:$E$114,2,0)</f>
        <v>#N/A</v>
      </c>
      <c r="J2991" s="29">
        <f>'Raw data'!K2900</f>
        <v>0</v>
      </c>
      <c r="K2991" s="31">
        <f>'Raw data'!H2900</f>
        <v>0</v>
      </c>
      <c r="L2991" s="26">
        <f t="shared" si="96"/>
        <v>0</v>
      </c>
    </row>
    <row r="2992" spans="2:12">
      <c r="B2992" s="4" t="e">
        <f t="shared" si="95"/>
        <v>#N/A</v>
      </c>
      <c r="C2992" s="4">
        <f>'Raw data'!E2568</f>
        <v>0</v>
      </c>
      <c r="D2992" s="29" t="e">
        <f>VLOOKUP(C2992,'점포코드 '!A:B,2,0)</f>
        <v>#N/A</v>
      </c>
      <c r="E2992" s="30">
        <f>'Raw data'!P2568</f>
        <v>0</v>
      </c>
      <c r="F2992" s="29" t="e">
        <f>VLOOKUP(E2992,'점포코드 '!A:B,2,0)</f>
        <v>#N/A</v>
      </c>
      <c r="G2992" s="46">
        <f>'Raw data'!F2901</f>
        <v>0</v>
      </c>
      <c r="H2992" s="4">
        <f>'Raw data'!G2901</f>
        <v>0</v>
      </c>
      <c r="I2992" s="29" t="e">
        <f>VLOOKUP(G2992,제품명!$C$1:$E$114,2,0)</f>
        <v>#N/A</v>
      </c>
      <c r="J2992" s="29">
        <f>'Raw data'!K2901</f>
        <v>0</v>
      </c>
      <c r="K2992" s="31">
        <f>'Raw data'!H2901</f>
        <v>0</v>
      </c>
      <c r="L2992" s="26">
        <f t="shared" si="96"/>
        <v>0</v>
      </c>
    </row>
    <row r="2993" spans="2:12">
      <c r="B2993" s="4" t="e">
        <f t="shared" si="95"/>
        <v>#N/A</v>
      </c>
      <c r="C2993" s="4">
        <f>'Raw data'!E2569</f>
        <v>0</v>
      </c>
      <c r="D2993" s="29" t="e">
        <f>VLOOKUP(C2993,'점포코드 '!A:B,2,0)</f>
        <v>#N/A</v>
      </c>
      <c r="E2993" s="30">
        <f>'Raw data'!P2569</f>
        <v>0</v>
      </c>
      <c r="F2993" s="29" t="e">
        <f>VLOOKUP(E2993,'점포코드 '!A:B,2,0)</f>
        <v>#N/A</v>
      </c>
      <c r="G2993" s="46">
        <f>'Raw data'!F2902</f>
        <v>0</v>
      </c>
      <c r="H2993" s="4">
        <f>'Raw data'!G2902</f>
        <v>0</v>
      </c>
      <c r="I2993" s="29" t="e">
        <f>VLOOKUP(G2993,제품명!$C$1:$E$114,2,0)</f>
        <v>#N/A</v>
      </c>
      <c r="J2993" s="29">
        <f>'Raw data'!K2902</f>
        <v>0</v>
      </c>
      <c r="K2993" s="31">
        <f>'Raw data'!H2902</f>
        <v>0</v>
      </c>
      <c r="L2993" s="26">
        <f t="shared" si="96"/>
        <v>0</v>
      </c>
    </row>
    <row r="2994" spans="2:12">
      <c r="B2994" s="4" t="e">
        <f t="shared" si="95"/>
        <v>#N/A</v>
      </c>
      <c r="C2994" s="4">
        <f>'Raw data'!E2570</f>
        <v>0</v>
      </c>
      <c r="D2994" s="29" t="e">
        <f>VLOOKUP(C2994,'점포코드 '!A:B,2,0)</f>
        <v>#N/A</v>
      </c>
      <c r="E2994" s="30">
        <f>'Raw data'!P2570</f>
        <v>0</v>
      </c>
      <c r="F2994" s="29" t="e">
        <f>VLOOKUP(E2994,'점포코드 '!A:B,2,0)</f>
        <v>#N/A</v>
      </c>
      <c r="G2994" s="46">
        <f>'Raw data'!F2903</f>
        <v>0</v>
      </c>
      <c r="H2994" s="4">
        <f>'Raw data'!G2903</f>
        <v>0</v>
      </c>
      <c r="I2994" s="29" t="e">
        <f>VLOOKUP(G2994,제품명!$C$1:$E$114,2,0)</f>
        <v>#N/A</v>
      </c>
      <c r="J2994" s="29">
        <f>'Raw data'!K2903</f>
        <v>0</v>
      </c>
      <c r="K2994" s="31">
        <f>'Raw data'!H2903</f>
        <v>0</v>
      </c>
      <c r="L2994" s="26">
        <f t="shared" si="96"/>
        <v>0</v>
      </c>
    </row>
    <row r="2995" spans="2:12">
      <c r="B2995" s="4" t="e">
        <f t="shared" si="95"/>
        <v>#N/A</v>
      </c>
      <c r="C2995" s="4">
        <f>'Raw data'!E2571</f>
        <v>0</v>
      </c>
      <c r="D2995" s="29" t="e">
        <f>VLOOKUP(C2995,'점포코드 '!A:B,2,0)</f>
        <v>#N/A</v>
      </c>
      <c r="E2995" s="30">
        <f>'Raw data'!P2571</f>
        <v>0</v>
      </c>
      <c r="F2995" s="29" t="e">
        <f>VLOOKUP(E2995,'점포코드 '!A:B,2,0)</f>
        <v>#N/A</v>
      </c>
      <c r="G2995" s="46">
        <f>'Raw data'!F2904</f>
        <v>0</v>
      </c>
      <c r="H2995" s="4">
        <f>'Raw data'!G2904</f>
        <v>0</v>
      </c>
      <c r="I2995" s="29" t="e">
        <f>VLOOKUP(G2995,제품명!$C$1:$E$114,2,0)</f>
        <v>#N/A</v>
      </c>
      <c r="J2995" s="29">
        <f>'Raw data'!K2904</f>
        <v>0</v>
      </c>
      <c r="K2995" s="31">
        <f>'Raw data'!H2904</f>
        <v>0</v>
      </c>
      <c r="L2995" s="26">
        <f t="shared" si="96"/>
        <v>0</v>
      </c>
    </row>
    <row r="2996" spans="2:12">
      <c r="B2996" s="4" t="e">
        <f t="shared" si="95"/>
        <v>#N/A</v>
      </c>
      <c r="C2996" s="4">
        <f>'Raw data'!E2572</f>
        <v>0</v>
      </c>
      <c r="D2996" s="29" t="e">
        <f>VLOOKUP(C2996,'점포코드 '!A:B,2,0)</f>
        <v>#N/A</v>
      </c>
      <c r="E2996" s="30">
        <f>'Raw data'!P2572</f>
        <v>0</v>
      </c>
      <c r="F2996" s="29" t="e">
        <f>VLOOKUP(E2996,'점포코드 '!A:B,2,0)</f>
        <v>#N/A</v>
      </c>
      <c r="G2996" s="46">
        <f>'Raw data'!F2905</f>
        <v>0</v>
      </c>
      <c r="H2996" s="4">
        <f>'Raw data'!G2905</f>
        <v>0</v>
      </c>
      <c r="I2996" s="29" t="e">
        <f>VLOOKUP(G2996,제품명!$C$1:$E$114,2,0)</f>
        <v>#N/A</v>
      </c>
      <c r="J2996" s="29">
        <f>'Raw data'!K2905</f>
        <v>0</v>
      </c>
      <c r="K2996" s="31">
        <f>'Raw data'!H2905</f>
        <v>0</v>
      </c>
      <c r="L2996" s="26">
        <f t="shared" si="96"/>
        <v>0</v>
      </c>
    </row>
    <row r="2997" spans="2:12">
      <c r="B2997" s="4" t="e">
        <f t="shared" si="95"/>
        <v>#N/A</v>
      </c>
      <c r="C2997" s="4">
        <f>'Raw data'!E2573</f>
        <v>0</v>
      </c>
      <c r="D2997" s="29" t="e">
        <f>VLOOKUP(C2997,'점포코드 '!A:B,2,0)</f>
        <v>#N/A</v>
      </c>
      <c r="E2997" s="30">
        <f>'Raw data'!P2573</f>
        <v>0</v>
      </c>
      <c r="F2997" s="29" t="e">
        <f>VLOOKUP(E2997,'점포코드 '!A:B,2,0)</f>
        <v>#N/A</v>
      </c>
      <c r="G2997" s="46">
        <f>'Raw data'!F2906</f>
        <v>0</v>
      </c>
      <c r="H2997" s="4">
        <f>'Raw data'!G2906</f>
        <v>0</v>
      </c>
      <c r="I2997" s="29" t="e">
        <f>VLOOKUP(G2997,제품명!$C$1:$E$114,2,0)</f>
        <v>#N/A</v>
      </c>
      <c r="J2997" s="29">
        <f>'Raw data'!K2906</f>
        <v>0</v>
      </c>
      <c r="K2997" s="31">
        <f>'Raw data'!H2906</f>
        <v>0</v>
      </c>
      <c r="L2997" s="26">
        <f t="shared" si="96"/>
        <v>0</v>
      </c>
    </row>
    <row r="2998" spans="2:12">
      <c r="B2998" s="4" t="e">
        <f t="shared" si="95"/>
        <v>#N/A</v>
      </c>
      <c r="C2998" s="4">
        <f>'Raw data'!E2574</f>
        <v>0</v>
      </c>
      <c r="D2998" s="29" t="e">
        <f>VLOOKUP(C2998,'점포코드 '!A:B,2,0)</f>
        <v>#N/A</v>
      </c>
      <c r="E2998" s="30">
        <f>'Raw data'!P2574</f>
        <v>0</v>
      </c>
      <c r="F2998" s="29" t="e">
        <f>VLOOKUP(E2998,'점포코드 '!A:B,2,0)</f>
        <v>#N/A</v>
      </c>
      <c r="G2998" s="46">
        <f>'Raw data'!F2907</f>
        <v>0</v>
      </c>
      <c r="H2998" s="4">
        <f>'Raw data'!G2907</f>
        <v>0</v>
      </c>
      <c r="I2998" s="29" t="e">
        <f>VLOOKUP(G2998,제품명!$C$1:$E$114,2,0)</f>
        <v>#N/A</v>
      </c>
      <c r="J2998" s="29">
        <f>'Raw data'!K2907</f>
        <v>0</v>
      </c>
      <c r="K2998" s="31">
        <f>'Raw data'!H2907</f>
        <v>0</v>
      </c>
      <c r="L2998" s="26">
        <f t="shared" si="96"/>
        <v>0</v>
      </c>
    </row>
    <row r="2999" spans="2:12">
      <c r="B2999" s="4" t="e">
        <f t="shared" si="95"/>
        <v>#N/A</v>
      </c>
      <c r="C2999" s="4">
        <f>'Raw data'!E2575</f>
        <v>0</v>
      </c>
      <c r="D2999" s="29" t="e">
        <f>VLOOKUP(C2999,'점포코드 '!A:B,2,0)</f>
        <v>#N/A</v>
      </c>
      <c r="E2999" s="30">
        <f>'Raw data'!P2575</f>
        <v>0</v>
      </c>
      <c r="F2999" s="29" t="e">
        <f>VLOOKUP(E2999,'점포코드 '!A:B,2,0)</f>
        <v>#N/A</v>
      </c>
      <c r="G2999" s="46">
        <f>'Raw data'!F2908</f>
        <v>0</v>
      </c>
      <c r="H2999" s="4">
        <f>'Raw data'!G2908</f>
        <v>0</v>
      </c>
      <c r="I2999" s="29" t="e">
        <f>VLOOKUP(G2999,제품명!$C$1:$E$114,2,0)</f>
        <v>#N/A</v>
      </c>
      <c r="J2999" s="29">
        <f>'Raw data'!K2908</f>
        <v>0</v>
      </c>
      <c r="K2999" s="31">
        <f>'Raw data'!H2908</f>
        <v>0</v>
      </c>
      <c r="L2999" s="26">
        <f t="shared" si="96"/>
        <v>0</v>
      </c>
    </row>
    <row r="3000" spans="2:12">
      <c r="B3000" s="4" t="e">
        <f t="shared" si="95"/>
        <v>#N/A</v>
      </c>
      <c r="C3000" s="4">
        <f>'Raw data'!E2576</f>
        <v>0</v>
      </c>
      <c r="D3000" s="29" t="e">
        <f>VLOOKUP(C3000,'점포코드 '!A:B,2,0)</f>
        <v>#N/A</v>
      </c>
      <c r="E3000" s="30">
        <f>'Raw data'!P2576</f>
        <v>0</v>
      </c>
      <c r="F3000" s="29" t="e">
        <f>VLOOKUP(E3000,'점포코드 '!A:B,2,0)</f>
        <v>#N/A</v>
      </c>
      <c r="G3000" s="46">
        <f>'Raw data'!F2909</f>
        <v>0</v>
      </c>
      <c r="H3000" s="4">
        <f>'Raw data'!G2909</f>
        <v>0</v>
      </c>
      <c r="I3000" s="29" t="e">
        <f>VLOOKUP(G3000,제품명!$C$1:$E$114,2,0)</f>
        <v>#N/A</v>
      </c>
      <c r="J3000" s="29">
        <f>'Raw data'!K2909</f>
        <v>0</v>
      </c>
      <c r="K3000" s="31">
        <f>'Raw data'!H2909</f>
        <v>0</v>
      </c>
      <c r="L3000" s="26">
        <f t="shared" si="96"/>
        <v>0</v>
      </c>
    </row>
    <row r="3001" spans="2:12">
      <c r="B3001" s="4" t="e">
        <f t="shared" si="95"/>
        <v>#N/A</v>
      </c>
      <c r="C3001" s="4">
        <f>'Raw data'!E2577</f>
        <v>0</v>
      </c>
      <c r="D3001" s="29" t="e">
        <f>VLOOKUP(C3001,'점포코드 '!A:B,2,0)</f>
        <v>#N/A</v>
      </c>
      <c r="E3001" s="30">
        <f>'Raw data'!P2577</f>
        <v>0</v>
      </c>
      <c r="F3001" s="29" t="e">
        <f>VLOOKUP(E3001,'점포코드 '!A:B,2,0)</f>
        <v>#N/A</v>
      </c>
      <c r="G3001" s="46">
        <f>'Raw data'!F2910</f>
        <v>0</v>
      </c>
      <c r="H3001" s="4">
        <f>'Raw data'!G2910</f>
        <v>0</v>
      </c>
      <c r="I3001" s="29" t="e">
        <f>VLOOKUP(G3001,제품명!$C$1:$E$114,2,0)</f>
        <v>#N/A</v>
      </c>
      <c r="J3001" s="29">
        <f>'Raw data'!K2910</f>
        <v>0</v>
      </c>
      <c r="K3001" s="31">
        <f>'Raw data'!H2910</f>
        <v>0</v>
      </c>
      <c r="L3001" s="26">
        <f t="shared" si="96"/>
        <v>0</v>
      </c>
    </row>
    <row r="3002" spans="2:12">
      <c r="B3002" s="4" t="e">
        <f t="shared" si="95"/>
        <v>#N/A</v>
      </c>
      <c r="C3002" s="4">
        <f>'Raw data'!E2578</f>
        <v>0</v>
      </c>
      <c r="D3002" s="29" t="e">
        <f>VLOOKUP(C3002,'점포코드 '!A:B,2,0)</f>
        <v>#N/A</v>
      </c>
      <c r="E3002" s="30">
        <f>'Raw data'!P2578</f>
        <v>0</v>
      </c>
      <c r="F3002" s="29" t="e">
        <f>VLOOKUP(E3002,'점포코드 '!A:B,2,0)</f>
        <v>#N/A</v>
      </c>
      <c r="G3002" s="46">
        <f>'Raw data'!F2911</f>
        <v>0</v>
      </c>
      <c r="H3002" s="4">
        <f>'Raw data'!G2911</f>
        <v>0</v>
      </c>
      <c r="I3002" s="29" t="e">
        <f>VLOOKUP(G3002,제품명!$C$1:$E$114,2,0)</f>
        <v>#N/A</v>
      </c>
      <c r="J3002" s="29">
        <f>'Raw data'!K2911</f>
        <v>0</v>
      </c>
      <c r="K3002" s="31">
        <f>'Raw data'!H2911</f>
        <v>0</v>
      </c>
      <c r="L3002" s="26">
        <f t="shared" si="96"/>
        <v>0</v>
      </c>
    </row>
    <row r="3003" spans="2:12">
      <c r="B3003" s="4" t="e">
        <f t="shared" si="95"/>
        <v>#N/A</v>
      </c>
      <c r="C3003" s="4">
        <f>'Raw data'!E2579</f>
        <v>0</v>
      </c>
      <c r="D3003" s="29" t="e">
        <f>VLOOKUP(C3003,'점포코드 '!A:B,2,0)</f>
        <v>#N/A</v>
      </c>
      <c r="E3003" s="30">
        <f>'Raw data'!P2579</f>
        <v>0</v>
      </c>
      <c r="F3003" s="29" t="e">
        <f>VLOOKUP(E3003,'점포코드 '!A:B,2,0)</f>
        <v>#N/A</v>
      </c>
      <c r="G3003" s="46">
        <f>'Raw data'!F2912</f>
        <v>0</v>
      </c>
      <c r="H3003" s="4">
        <f>'Raw data'!G2912</f>
        <v>0</v>
      </c>
      <c r="I3003" s="29" t="e">
        <f>VLOOKUP(G3003,제품명!$C$1:$E$114,2,0)</f>
        <v>#N/A</v>
      </c>
      <c r="J3003" s="29">
        <f>'Raw data'!K2912</f>
        <v>0</v>
      </c>
      <c r="K3003" s="31">
        <f>'Raw data'!H2912</f>
        <v>0</v>
      </c>
      <c r="L3003" s="26">
        <f t="shared" si="96"/>
        <v>0</v>
      </c>
    </row>
    <row r="3004" spans="2:12">
      <c r="B3004" s="4" t="e">
        <f t="shared" si="95"/>
        <v>#N/A</v>
      </c>
      <c r="C3004" s="4">
        <f>'Raw data'!E2580</f>
        <v>0</v>
      </c>
      <c r="D3004" s="29" t="e">
        <f>VLOOKUP(C3004,'점포코드 '!A:B,2,0)</f>
        <v>#N/A</v>
      </c>
      <c r="E3004" s="30">
        <f>'Raw data'!P2580</f>
        <v>0</v>
      </c>
      <c r="F3004" s="29" t="e">
        <f>VLOOKUP(E3004,'점포코드 '!A:B,2,0)</f>
        <v>#N/A</v>
      </c>
      <c r="G3004" s="46">
        <f>'Raw data'!F2913</f>
        <v>0</v>
      </c>
      <c r="H3004" s="4">
        <f>'Raw data'!G2913</f>
        <v>0</v>
      </c>
      <c r="I3004" s="29" t="e">
        <f>VLOOKUP(G3004,제품명!$C$1:$E$114,2,0)</f>
        <v>#N/A</v>
      </c>
      <c r="J3004" s="29">
        <f>'Raw data'!K2913</f>
        <v>0</v>
      </c>
      <c r="K3004" s="31">
        <f>'Raw data'!H2913</f>
        <v>0</v>
      </c>
      <c r="L3004" s="26">
        <f t="shared" si="96"/>
        <v>0</v>
      </c>
    </row>
    <row r="3005" spans="2:12">
      <c r="B3005" s="4" t="e">
        <f t="shared" si="95"/>
        <v>#N/A</v>
      </c>
      <c r="C3005" s="4">
        <f>'Raw data'!E2581</f>
        <v>0</v>
      </c>
      <c r="D3005" s="29" t="e">
        <f>VLOOKUP(C3005,'점포코드 '!A:B,2,0)</f>
        <v>#N/A</v>
      </c>
      <c r="E3005" s="30">
        <f>'Raw data'!P2581</f>
        <v>0</v>
      </c>
      <c r="F3005" s="29" t="e">
        <f>VLOOKUP(E3005,'점포코드 '!A:B,2,0)</f>
        <v>#N/A</v>
      </c>
      <c r="G3005" s="46">
        <f>'Raw data'!F2914</f>
        <v>0</v>
      </c>
      <c r="H3005" s="4">
        <f>'Raw data'!G2914</f>
        <v>0</v>
      </c>
      <c r="I3005" s="29" t="e">
        <f>VLOOKUP(G3005,제품명!$C$1:$E$114,2,0)</f>
        <v>#N/A</v>
      </c>
      <c r="J3005" s="29">
        <f>'Raw data'!K2914</f>
        <v>0</v>
      </c>
      <c r="K3005" s="31">
        <f>'Raw data'!H2914</f>
        <v>0</v>
      </c>
      <c r="L3005" s="26">
        <f t="shared" si="96"/>
        <v>0</v>
      </c>
    </row>
    <row r="3006" spans="2:12">
      <c r="B3006" s="4" t="e">
        <f t="shared" si="95"/>
        <v>#N/A</v>
      </c>
      <c r="C3006" s="4">
        <f>'Raw data'!E2582</f>
        <v>0</v>
      </c>
      <c r="D3006" s="29" t="e">
        <f>VLOOKUP(C3006,'점포코드 '!A:B,2,0)</f>
        <v>#N/A</v>
      </c>
      <c r="E3006" s="30">
        <f>'Raw data'!P2582</f>
        <v>0</v>
      </c>
      <c r="F3006" s="29" t="e">
        <f>VLOOKUP(E3006,'점포코드 '!A:B,2,0)</f>
        <v>#N/A</v>
      </c>
      <c r="G3006" s="46">
        <f>'Raw data'!F2915</f>
        <v>0</v>
      </c>
      <c r="H3006" s="4">
        <f>'Raw data'!G2915</f>
        <v>0</v>
      </c>
      <c r="I3006" s="29" t="e">
        <f>VLOOKUP(G3006,제품명!$C$1:$E$114,2,0)</f>
        <v>#N/A</v>
      </c>
      <c r="J3006" s="29">
        <f>'Raw data'!K2915</f>
        <v>0</v>
      </c>
      <c r="K3006" s="31">
        <f>'Raw data'!H2915</f>
        <v>0</v>
      </c>
      <c r="L3006" s="26">
        <f t="shared" si="96"/>
        <v>0</v>
      </c>
    </row>
    <row r="3007" spans="2:12">
      <c r="B3007" s="4" t="e">
        <f t="shared" si="95"/>
        <v>#N/A</v>
      </c>
      <c r="C3007" s="4">
        <f>'Raw data'!E2583</f>
        <v>0</v>
      </c>
      <c r="D3007" s="29" t="e">
        <f>VLOOKUP(C3007,'점포코드 '!A:B,2,0)</f>
        <v>#N/A</v>
      </c>
      <c r="E3007" s="30">
        <f>'Raw data'!P2583</f>
        <v>0</v>
      </c>
      <c r="F3007" s="29" t="e">
        <f>VLOOKUP(E3007,'점포코드 '!A:B,2,0)</f>
        <v>#N/A</v>
      </c>
      <c r="G3007" s="46">
        <f>'Raw data'!F2916</f>
        <v>0</v>
      </c>
      <c r="H3007" s="4">
        <f>'Raw data'!G2916</f>
        <v>0</v>
      </c>
      <c r="I3007" s="29" t="e">
        <f>VLOOKUP(G3007,제품명!$C$1:$E$114,2,0)</f>
        <v>#N/A</v>
      </c>
      <c r="J3007" s="29">
        <f>'Raw data'!K2916</f>
        <v>0</v>
      </c>
      <c r="K3007" s="31">
        <f>'Raw data'!H2916</f>
        <v>0</v>
      </c>
      <c r="L3007" s="26">
        <f t="shared" si="96"/>
        <v>0</v>
      </c>
    </row>
    <row r="3008" spans="2:12">
      <c r="B3008" s="4" t="e">
        <f t="shared" si="95"/>
        <v>#N/A</v>
      </c>
      <c r="C3008" s="4">
        <f>'Raw data'!E2584</f>
        <v>0</v>
      </c>
      <c r="D3008" s="29" t="e">
        <f>VLOOKUP(C3008,'점포코드 '!A:B,2,0)</f>
        <v>#N/A</v>
      </c>
      <c r="E3008" s="30">
        <f>'Raw data'!P2584</f>
        <v>0</v>
      </c>
      <c r="F3008" s="29" t="e">
        <f>VLOOKUP(E3008,'점포코드 '!A:B,2,0)</f>
        <v>#N/A</v>
      </c>
      <c r="G3008" s="46">
        <f>'Raw data'!F2917</f>
        <v>0</v>
      </c>
      <c r="H3008" s="4">
        <f>'Raw data'!G2917</f>
        <v>0</v>
      </c>
      <c r="I3008" s="29" t="e">
        <f>VLOOKUP(G3008,제품명!$C$1:$E$114,2,0)</f>
        <v>#N/A</v>
      </c>
      <c r="J3008" s="29">
        <f>'Raw data'!K2917</f>
        <v>0</v>
      </c>
      <c r="K3008" s="31">
        <f>'Raw data'!H2917</f>
        <v>0</v>
      </c>
      <c r="L3008" s="26">
        <f t="shared" si="96"/>
        <v>0</v>
      </c>
    </row>
    <row r="3009" spans="2:12">
      <c r="B3009" s="4" t="e">
        <f t="shared" si="95"/>
        <v>#N/A</v>
      </c>
      <c r="C3009" s="4">
        <f>'Raw data'!E2585</f>
        <v>0</v>
      </c>
      <c r="D3009" s="29" t="e">
        <f>VLOOKUP(C3009,'점포코드 '!A:B,2,0)</f>
        <v>#N/A</v>
      </c>
      <c r="E3009" s="30">
        <f>'Raw data'!P2585</f>
        <v>0</v>
      </c>
      <c r="F3009" s="29" t="e">
        <f>VLOOKUP(E3009,'점포코드 '!A:B,2,0)</f>
        <v>#N/A</v>
      </c>
      <c r="G3009" s="46">
        <f>'Raw data'!F2918</f>
        <v>0</v>
      </c>
      <c r="H3009" s="4">
        <f>'Raw data'!G2918</f>
        <v>0</v>
      </c>
      <c r="I3009" s="29" t="e">
        <f>VLOOKUP(G3009,제품명!$C$1:$E$114,2,0)</f>
        <v>#N/A</v>
      </c>
      <c r="J3009" s="29">
        <f>'Raw data'!K2918</f>
        <v>0</v>
      </c>
      <c r="K3009" s="31">
        <f>'Raw data'!H2918</f>
        <v>0</v>
      </c>
      <c r="L3009" s="26">
        <f t="shared" si="96"/>
        <v>0</v>
      </c>
    </row>
    <row r="3010" spans="2:12">
      <c r="B3010" s="4" t="e">
        <f t="shared" ref="B3010:B3073" si="97">F3010&amp;I3010</f>
        <v>#N/A</v>
      </c>
      <c r="C3010" s="4">
        <f>'Raw data'!E2586</f>
        <v>0</v>
      </c>
      <c r="D3010" s="29" t="e">
        <f>VLOOKUP(C3010,'점포코드 '!A:B,2,0)</f>
        <v>#N/A</v>
      </c>
      <c r="E3010" s="30">
        <f>'Raw data'!P2586</f>
        <v>0</v>
      </c>
      <c r="F3010" s="29" t="e">
        <f>VLOOKUP(E3010,'점포코드 '!A:B,2,0)</f>
        <v>#N/A</v>
      </c>
      <c r="G3010" s="46">
        <f>'Raw data'!F2919</f>
        <v>0</v>
      </c>
      <c r="H3010" s="4">
        <f>'Raw data'!G2919</f>
        <v>0</v>
      </c>
      <c r="I3010" s="29" t="e">
        <f>VLOOKUP(G3010,제품명!$C$1:$E$114,2,0)</f>
        <v>#N/A</v>
      </c>
      <c r="J3010" s="29">
        <f>'Raw data'!K2919</f>
        <v>0</v>
      </c>
      <c r="K3010" s="31">
        <f>'Raw data'!H2919</f>
        <v>0</v>
      </c>
      <c r="L3010" s="26">
        <f t="shared" si="96"/>
        <v>0</v>
      </c>
    </row>
    <row r="3011" spans="2:12">
      <c r="B3011" s="4" t="e">
        <f t="shared" si="97"/>
        <v>#N/A</v>
      </c>
      <c r="C3011" s="4">
        <f>'Raw data'!E2587</f>
        <v>0</v>
      </c>
      <c r="D3011" s="29" t="e">
        <f>VLOOKUP(C3011,'점포코드 '!A:B,2,0)</f>
        <v>#N/A</v>
      </c>
      <c r="E3011" s="30">
        <f>'Raw data'!P2587</f>
        <v>0</v>
      </c>
      <c r="F3011" s="29" t="e">
        <f>VLOOKUP(E3011,'점포코드 '!A:B,2,0)</f>
        <v>#N/A</v>
      </c>
      <c r="G3011" s="46">
        <f>'Raw data'!F2920</f>
        <v>0</v>
      </c>
      <c r="H3011" s="4">
        <f>'Raw data'!G2920</f>
        <v>0</v>
      </c>
      <c r="I3011" s="29" t="e">
        <f>VLOOKUP(G3011,제품명!$C$1:$E$114,2,0)</f>
        <v>#N/A</v>
      </c>
      <c r="J3011" s="29">
        <f>'Raw data'!K2920</f>
        <v>0</v>
      </c>
      <c r="K3011" s="31">
        <f>'Raw data'!H2920</f>
        <v>0</v>
      </c>
      <c r="L3011" s="26">
        <f t="shared" ref="L3011:L3074" si="98">J3011*K3011</f>
        <v>0</v>
      </c>
    </row>
    <row r="3012" spans="2:12">
      <c r="B3012" s="4" t="e">
        <f t="shared" si="97"/>
        <v>#N/A</v>
      </c>
      <c r="C3012" s="4">
        <f>'Raw data'!E2588</f>
        <v>0</v>
      </c>
      <c r="D3012" s="29" t="e">
        <f>VLOOKUP(C3012,'점포코드 '!A:B,2,0)</f>
        <v>#N/A</v>
      </c>
      <c r="E3012" s="30">
        <f>'Raw data'!P2588</f>
        <v>0</v>
      </c>
      <c r="F3012" s="29" t="e">
        <f>VLOOKUP(E3012,'점포코드 '!A:B,2,0)</f>
        <v>#N/A</v>
      </c>
      <c r="G3012" s="46">
        <f>'Raw data'!F2921</f>
        <v>0</v>
      </c>
      <c r="H3012" s="4">
        <f>'Raw data'!G2921</f>
        <v>0</v>
      </c>
      <c r="I3012" s="29" t="e">
        <f>VLOOKUP(G3012,제품명!$C$1:$E$114,2,0)</f>
        <v>#N/A</v>
      </c>
      <c r="J3012" s="29">
        <f>'Raw data'!K2921</f>
        <v>0</v>
      </c>
      <c r="K3012" s="31">
        <f>'Raw data'!H2921</f>
        <v>0</v>
      </c>
      <c r="L3012" s="26">
        <f t="shared" si="98"/>
        <v>0</v>
      </c>
    </row>
    <row r="3013" spans="2:12">
      <c r="B3013" s="4" t="e">
        <f t="shared" si="97"/>
        <v>#N/A</v>
      </c>
      <c r="C3013" s="4">
        <f>'Raw data'!E2589</f>
        <v>0</v>
      </c>
      <c r="D3013" s="29" t="e">
        <f>VLOOKUP(C3013,'점포코드 '!A:B,2,0)</f>
        <v>#N/A</v>
      </c>
      <c r="E3013" s="30">
        <f>'Raw data'!P2589</f>
        <v>0</v>
      </c>
      <c r="F3013" s="29" t="e">
        <f>VLOOKUP(E3013,'점포코드 '!A:B,2,0)</f>
        <v>#N/A</v>
      </c>
      <c r="G3013" s="46">
        <f>'Raw data'!F2922</f>
        <v>0</v>
      </c>
      <c r="H3013" s="4">
        <f>'Raw data'!G2922</f>
        <v>0</v>
      </c>
      <c r="I3013" s="29" t="e">
        <f>VLOOKUP(G3013,제품명!$C$1:$E$114,2,0)</f>
        <v>#N/A</v>
      </c>
      <c r="J3013" s="29">
        <f>'Raw data'!K2922</f>
        <v>0</v>
      </c>
      <c r="K3013" s="31">
        <f>'Raw data'!H2922</f>
        <v>0</v>
      </c>
      <c r="L3013" s="26">
        <f t="shared" si="98"/>
        <v>0</v>
      </c>
    </row>
    <row r="3014" spans="2:12">
      <c r="B3014" s="4" t="e">
        <f t="shared" si="97"/>
        <v>#N/A</v>
      </c>
      <c r="C3014" s="4">
        <f>'Raw data'!E2590</f>
        <v>0</v>
      </c>
      <c r="D3014" s="29" t="e">
        <f>VLOOKUP(C3014,'점포코드 '!A:B,2,0)</f>
        <v>#N/A</v>
      </c>
      <c r="E3014" s="30">
        <f>'Raw data'!P2590</f>
        <v>0</v>
      </c>
      <c r="F3014" s="29" t="e">
        <f>VLOOKUP(E3014,'점포코드 '!A:B,2,0)</f>
        <v>#N/A</v>
      </c>
      <c r="G3014" s="46">
        <f>'Raw data'!F2923</f>
        <v>0</v>
      </c>
      <c r="H3014" s="4">
        <f>'Raw data'!G2923</f>
        <v>0</v>
      </c>
      <c r="I3014" s="29" t="e">
        <f>VLOOKUP(G3014,제품명!$C$1:$E$114,2,0)</f>
        <v>#N/A</v>
      </c>
      <c r="J3014" s="29">
        <f>'Raw data'!K2923</f>
        <v>0</v>
      </c>
      <c r="K3014" s="31">
        <f>'Raw data'!H2923</f>
        <v>0</v>
      </c>
      <c r="L3014" s="26">
        <f t="shared" si="98"/>
        <v>0</v>
      </c>
    </row>
    <row r="3015" spans="2:12">
      <c r="B3015" s="4" t="e">
        <f t="shared" si="97"/>
        <v>#N/A</v>
      </c>
      <c r="C3015" s="4">
        <f>'Raw data'!E2591</f>
        <v>0</v>
      </c>
      <c r="D3015" s="29" t="e">
        <f>VLOOKUP(C3015,'점포코드 '!A:B,2,0)</f>
        <v>#N/A</v>
      </c>
      <c r="E3015" s="30">
        <f>'Raw data'!P2591</f>
        <v>0</v>
      </c>
      <c r="F3015" s="29" t="e">
        <f>VLOOKUP(E3015,'점포코드 '!A:B,2,0)</f>
        <v>#N/A</v>
      </c>
      <c r="G3015" s="46">
        <f>'Raw data'!F2924</f>
        <v>0</v>
      </c>
      <c r="H3015" s="4">
        <f>'Raw data'!G2924</f>
        <v>0</v>
      </c>
      <c r="I3015" s="29" t="e">
        <f>VLOOKUP(G3015,제품명!$C$1:$E$114,2,0)</f>
        <v>#N/A</v>
      </c>
      <c r="J3015" s="29">
        <f>'Raw data'!K2924</f>
        <v>0</v>
      </c>
      <c r="K3015" s="31">
        <f>'Raw data'!H2924</f>
        <v>0</v>
      </c>
      <c r="L3015" s="26">
        <f t="shared" si="98"/>
        <v>0</v>
      </c>
    </row>
    <row r="3016" spans="2:12">
      <c r="B3016" s="4" t="e">
        <f t="shared" si="97"/>
        <v>#N/A</v>
      </c>
      <c r="C3016" s="4">
        <f>'Raw data'!E2592</f>
        <v>0</v>
      </c>
      <c r="D3016" s="29" t="e">
        <f>VLOOKUP(C3016,'점포코드 '!A:B,2,0)</f>
        <v>#N/A</v>
      </c>
      <c r="E3016" s="30">
        <f>'Raw data'!P2592</f>
        <v>0</v>
      </c>
      <c r="F3016" s="29" t="e">
        <f>VLOOKUP(E3016,'점포코드 '!A:B,2,0)</f>
        <v>#N/A</v>
      </c>
      <c r="G3016" s="46">
        <f>'Raw data'!F2925</f>
        <v>0</v>
      </c>
      <c r="H3016" s="4">
        <f>'Raw data'!G2925</f>
        <v>0</v>
      </c>
      <c r="I3016" s="29" t="e">
        <f>VLOOKUP(G3016,제품명!$C$1:$E$114,2,0)</f>
        <v>#N/A</v>
      </c>
      <c r="J3016" s="29">
        <f>'Raw data'!K2925</f>
        <v>0</v>
      </c>
      <c r="K3016" s="31">
        <f>'Raw data'!H2925</f>
        <v>0</v>
      </c>
      <c r="L3016" s="26">
        <f t="shared" si="98"/>
        <v>0</v>
      </c>
    </row>
    <row r="3017" spans="2:12">
      <c r="B3017" s="4" t="e">
        <f t="shared" si="97"/>
        <v>#N/A</v>
      </c>
      <c r="C3017" s="4">
        <f>'Raw data'!E2593</f>
        <v>0</v>
      </c>
      <c r="D3017" s="29" t="e">
        <f>VLOOKUP(C3017,'점포코드 '!A:B,2,0)</f>
        <v>#N/A</v>
      </c>
      <c r="E3017" s="30">
        <f>'Raw data'!P2593</f>
        <v>0</v>
      </c>
      <c r="F3017" s="29" t="e">
        <f>VLOOKUP(E3017,'점포코드 '!A:B,2,0)</f>
        <v>#N/A</v>
      </c>
      <c r="G3017" s="46">
        <f>'Raw data'!F2926</f>
        <v>0</v>
      </c>
      <c r="H3017" s="4">
        <f>'Raw data'!G2926</f>
        <v>0</v>
      </c>
      <c r="I3017" s="29" t="e">
        <f>VLOOKUP(G3017,제품명!$C$1:$E$114,2,0)</f>
        <v>#N/A</v>
      </c>
      <c r="J3017" s="29">
        <f>'Raw data'!K2926</f>
        <v>0</v>
      </c>
      <c r="K3017" s="31">
        <f>'Raw data'!H2926</f>
        <v>0</v>
      </c>
      <c r="L3017" s="26">
        <f t="shared" si="98"/>
        <v>0</v>
      </c>
    </row>
    <row r="3018" spans="2:12">
      <c r="B3018" s="4" t="e">
        <f t="shared" si="97"/>
        <v>#N/A</v>
      </c>
      <c r="C3018" s="4">
        <f>'Raw data'!E2594</f>
        <v>0</v>
      </c>
      <c r="D3018" s="29" t="e">
        <f>VLOOKUP(C3018,'점포코드 '!A:B,2,0)</f>
        <v>#N/A</v>
      </c>
      <c r="E3018" s="30">
        <f>'Raw data'!P2594</f>
        <v>0</v>
      </c>
      <c r="F3018" s="29" t="e">
        <f>VLOOKUP(E3018,'점포코드 '!A:B,2,0)</f>
        <v>#N/A</v>
      </c>
      <c r="G3018" s="46">
        <f>'Raw data'!F2927</f>
        <v>0</v>
      </c>
      <c r="H3018" s="4">
        <f>'Raw data'!G2927</f>
        <v>0</v>
      </c>
      <c r="I3018" s="29" t="e">
        <f>VLOOKUP(G3018,제품명!$C$1:$E$114,2,0)</f>
        <v>#N/A</v>
      </c>
      <c r="J3018" s="29">
        <f>'Raw data'!K2927</f>
        <v>0</v>
      </c>
      <c r="K3018" s="31">
        <f>'Raw data'!H2927</f>
        <v>0</v>
      </c>
      <c r="L3018" s="26">
        <f t="shared" si="98"/>
        <v>0</v>
      </c>
    </row>
    <row r="3019" spans="2:12">
      <c r="B3019" s="4" t="e">
        <f t="shared" si="97"/>
        <v>#N/A</v>
      </c>
      <c r="C3019" s="4">
        <f>'Raw data'!E2595</f>
        <v>0</v>
      </c>
      <c r="D3019" s="29" t="e">
        <f>VLOOKUP(C3019,'점포코드 '!A:B,2,0)</f>
        <v>#N/A</v>
      </c>
      <c r="E3019" s="30">
        <f>'Raw data'!P2595</f>
        <v>0</v>
      </c>
      <c r="F3019" s="29" t="e">
        <f>VLOOKUP(E3019,'점포코드 '!A:B,2,0)</f>
        <v>#N/A</v>
      </c>
      <c r="G3019" s="46">
        <f>'Raw data'!F2928</f>
        <v>0</v>
      </c>
      <c r="H3019" s="4">
        <f>'Raw data'!G2928</f>
        <v>0</v>
      </c>
      <c r="I3019" s="29" t="e">
        <f>VLOOKUP(G3019,제품명!$C$1:$E$114,2,0)</f>
        <v>#N/A</v>
      </c>
      <c r="J3019" s="29">
        <f>'Raw data'!K2928</f>
        <v>0</v>
      </c>
      <c r="K3019" s="31">
        <f>'Raw data'!H2928</f>
        <v>0</v>
      </c>
      <c r="L3019" s="26">
        <f t="shared" si="98"/>
        <v>0</v>
      </c>
    </row>
    <row r="3020" spans="2:12">
      <c r="B3020" s="4" t="e">
        <f t="shared" si="97"/>
        <v>#N/A</v>
      </c>
      <c r="C3020" s="4">
        <f>'Raw data'!E2596</f>
        <v>0</v>
      </c>
      <c r="D3020" s="29" t="e">
        <f>VLOOKUP(C3020,'점포코드 '!A:B,2,0)</f>
        <v>#N/A</v>
      </c>
      <c r="E3020" s="30">
        <f>'Raw data'!P2596</f>
        <v>0</v>
      </c>
      <c r="F3020" s="29" t="e">
        <f>VLOOKUP(E3020,'점포코드 '!A:B,2,0)</f>
        <v>#N/A</v>
      </c>
      <c r="G3020" s="46">
        <f>'Raw data'!F2929</f>
        <v>0</v>
      </c>
      <c r="H3020" s="4">
        <f>'Raw data'!G2929</f>
        <v>0</v>
      </c>
      <c r="I3020" s="29" t="e">
        <f>VLOOKUP(G3020,제품명!$C$1:$E$114,2,0)</f>
        <v>#N/A</v>
      </c>
      <c r="J3020" s="29">
        <f>'Raw data'!K2929</f>
        <v>0</v>
      </c>
      <c r="K3020" s="31">
        <f>'Raw data'!H2929</f>
        <v>0</v>
      </c>
      <c r="L3020" s="26">
        <f t="shared" si="98"/>
        <v>0</v>
      </c>
    </row>
    <row r="3021" spans="2:12">
      <c r="B3021" s="4" t="e">
        <f t="shared" si="97"/>
        <v>#N/A</v>
      </c>
      <c r="C3021" s="4">
        <f>'Raw data'!E2597</f>
        <v>0</v>
      </c>
      <c r="D3021" s="29" t="e">
        <f>VLOOKUP(C3021,'점포코드 '!A:B,2,0)</f>
        <v>#N/A</v>
      </c>
      <c r="E3021" s="30">
        <f>'Raw data'!P2597</f>
        <v>0</v>
      </c>
      <c r="F3021" s="29" t="e">
        <f>VLOOKUP(E3021,'점포코드 '!A:B,2,0)</f>
        <v>#N/A</v>
      </c>
      <c r="G3021" s="46">
        <f>'Raw data'!F2930</f>
        <v>0</v>
      </c>
      <c r="H3021" s="4">
        <f>'Raw data'!G2930</f>
        <v>0</v>
      </c>
      <c r="I3021" s="29" t="e">
        <f>VLOOKUP(G3021,제품명!$C$1:$E$114,2,0)</f>
        <v>#N/A</v>
      </c>
      <c r="J3021" s="29">
        <f>'Raw data'!K2930</f>
        <v>0</v>
      </c>
      <c r="K3021" s="31">
        <f>'Raw data'!H2930</f>
        <v>0</v>
      </c>
      <c r="L3021" s="26">
        <f t="shared" si="98"/>
        <v>0</v>
      </c>
    </row>
    <row r="3022" spans="2:12">
      <c r="B3022" s="4" t="e">
        <f t="shared" si="97"/>
        <v>#N/A</v>
      </c>
      <c r="C3022" s="4">
        <f>'Raw data'!E2598</f>
        <v>0</v>
      </c>
      <c r="D3022" s="29" t="e">
        <f>VLOOKUP(C3022,'점포코드 '!A:B,2,0)</f>
        <v>#N/A</v>
      </c>
      <c r="E3022" s="30">
        <f>'Raw data'!P2598</f>
        <v>0</v>
      </c>
      <c r="F3022" s="29" t="e">
        <f>VLOOKUP(E3022,'점포코드 '!A:B,2,0)</f>
        <v>#N/A</v>
      </c>
      <c r="G3022" s="46">
        <f>'Raw data'!F2931</f>
        <v>0</v>
      </c>
      <c r="H3022" s="4">
        <f>'Raw data'!G2931</f>
        <v>0</v>
      </c>
      <c r="I3022" s="29" t="e">
        <f>VLOOKUP(G3022,제품명!$C$1:$E$114,2,0)</f>
        <v>#N/A</v>
      </c>
      <c r="J3022" s="29">
        <f>'Raw data'!K2931</f>
        <v>0</v>
      </c>
      <c r="K3022" s="31">
        <f>'Raw data'!H2931</f>
        <v>0</v>
      </c>
      <c r="L3022" s="26">
        <f t="shared" si="98"/>
        <v>0</v>
      </c>
    </row>
    <row r="3023" spans="2:12">
      <c r="B3023" s="4" t="e">
        <f t="shared" si="97"/>
        <v>#N/A</v>
      </c>
      <c r="C3023" s="4">
        <f>'Raw data'!E2599</f>
        <v>0</v>
      </c>
      <c r="D3023" s="29" t="e">
        <f>VLOOKUP(C3023,'점포코드 '!A:B,2,0)</f>
        <v>#N/A</v>
      </c>
      <c r="E3023" s="30">
        <f>'Raw data'!P2599</f>
        <v>0</v>
      </c>
      <c r="F3023" s="29" t="e">
        <f>VLOOKUP(E3023,'점포코드 '!A:B,2,0)</f>
        <v>#N/A</v>
      </c>
      <c r="G3023" s="46">
        <f>'Raw data'!F2932</f>
        <v>0</v>
      </c>
      <c r="H3023" s="4">
        <f>'Raw data'!G2932</f>
        <v>0</v>
      </c>
      <c r="I3023" s="29" t="e">
        <f>VLOOKUP(G3023,제품명!$C$1:$E$114,2,0)</f>
        <v>#N/A</v>
      </c>
      <c r="J3023" s="29">
        <f>'Raw data'!K2932</f>
        <v>0</v>
      </c>
      <c r="K3023" s="31">
        <f>'Raw data'!H2932</f>
        <v>0</v>
      </c>
      <c r="L3023" s="26">
        <f t="shared" si="98"/>
        <v>0</v>
      </c>
    </row>
    <row r="3024" spans="2:12">
      <c r="B3024" s="4" t="e">
        <f t="shared" si="97"/>
        <v>#N/A</v>
      </c>
      <c r="C3024" s="4">
        <f>'Raw data'!E2600</f>
        <v>0</v>
      </c>
      <c r="D3024" s="29" t="e">
        <f>VLOOKUP(C3024,'점포코드 '!A:B,2,0)</f>
        <v>#N/A</v>
      </c>
      <c r="E3024" s="30">
        <f>'Raw data'!P2600</f>
        <v>0</v>
      </c>
      <c r="F3024" s="29" t="e">
        <f>VLOOKUP(E3024,'점포코드 '!A:B,2,0)</f>
        <v>#N/A</v>
      </c>
      <c r="G3024" s="46">
        <f>'Raw data'!F2933</f>
        <v>0</v>
      </c>
      <c r="H3024" s="4">
        <f>'Raw data'!G2933</f>
        <v>0</v>
      </c>
      <c r="I3024" s="29" t="e">
        <f>VLOOKUP(G3024,제품명!$C$1:$E$114,2,0)</f>
        <v>#N/A</v>
      </c>
      <c r="J3024" s="29">
        <f>'Raw data'!K2933</f>
        <v>0</v>
      </c>
      <c r="K3024" s="31">
        <f>'Raw data'!H2933</f>
        <v>0</v>
      </c>
      <c r="L3024" s="26">
        <f t="shared" si="98"/>
        <v>0</v>
      </c>
    </row>
    <row r="3025" spans="2:12">
      <c r="B3025" s="4" t="e">
        <f t="shared" si="97"/>
        <v>#N/A</v>
      </c>
      <c r="C3025" s="4">
        <f>'Raw data'!E2601</f>
        <v>0</v>
      </c>
      <c r="D3025" s="29" t="e">
        <f>VLOOKUP(C3025,'점포코드 '!A:B,2,0)</f>
        <v>#N/A</v>
      </c>
      <c r="E3025" s="30">
        <f>'Raw data'!P2601</f>
        <v>0</v>
      </c>
      <c r="F3025" s="29" t="e">
        <f>VLOOKUP(E3025,'점포코드 '!A:B,2,0)</f>
        <v>#N/A</v>
      </c>
      <c r="G3025" s="46">
        <f>'Raw data'!F2934</f>
        <v>0</v>
      </c>
      <c r="H3025" s="4">
        <f>'Raw data'!G2934</f>
        <v>0</v>
      </c>
      <c r="I3025" s="29" t="e">
        <f>VLOOKUP(G3025,제품명!$C$1:$E$114,2,0)</f>
        <v>#N/A</v>
      </c>
      <c r="J3025" s="29">
        <f>'Raw data'!K2934</f>
        <v>0</v>
      </c>
      <c r="K3025" s="31">
        <f>'Raw data'!H2934</f>
        <v>0</v>
      </c>
      <c r="L3025" s="26">
        <f t="shared" si="98"/>
        <v>0</v>
      </c>
    </row>
    <row r="3026" spans="2:12">
      <c r="B3026" s="4" t="e">
        <f t="shared" si="97"/>
        <v>#N/A</v>
      </c>
      <c r="C3026" s="4">
        <f>'Raw data'!E2602</f>
        <v>0</v>
      </c>
      <c r="D3026" s="29" t="e">
        <f>VLOOKUP(C3026,'점포코드 '!A:B,2,0)</f>
        <v>#N/A</v>
      </c>
      <c r="E3026" s="30">
        <f>'Raw data'!P2602</f>
        <v>0</v>
      </c>
      <c r="F3026" s="29" t="e">
        <f>VLOOKUP(E3026,'점포코드 '!A:B,2,0)</f>
        <v>#N/A</v>
      </c>
      <c r="G3026" s="46">
        <f>'Raw data'!F2935</f>
        <v>0</v>
      </c>
      <c r="H3026" s="4">
        <f>'Raw data'!G2935</f>
        <v>0</v>
      </c>
      <c r="I3026" s="29" t="e">
        <f>VLOOKUP(G3026,제품명!$C$1:$E$114,2,0)</f>
        <v>#N/A</v>
      </c>
      <c r="J3026" s="29">
        <f>'Raw data'!K2935</f>
        <v>0</v>
      </c>
      <c r="K3026" s="31">
        <f>'Raw data'!H2935</f>
        <v>0</v>
      </c>
      <c r="L3026" s="26">
        <f t="shared" si="98"/>
        <v>0</v>
      </c>
    </row>
    <row r="3027" spans="2:12">
      <c r="B3027" s="4" t="e">
        <f t="shared" si="97"/>
        <v>#N/A</v>
      </c>
      <c r="C3027" s="4">
        <f>'Raw data'!E2603</f>
        <v>0</v>
      </c>
      <c r="D3027" s="29" t="e">
        <f>VLOOKUP(C3027,'점포코드 '!A:B,2,0)</f>
        <v>#N/A</v>
      </c>
      <c r="E3027" s="30">
        <f>'Raw data'!P2603</f>
        <v>0</v>
      </c>
      <c r="F3027" s="29" t="e">
        <f>VLOOKUP(E3027,'점포코드 '!A:B,2,0)</f>
        <v>#N/A</v>
      </c>
      <c r="G3027" s="46">
        <f>'Raw data'!F2936</f>
        <v>0</v>
      </c>
      <c r="H3027" s="4">
        <f>'Raw data'!G2936</f>
        <v>0</v>
      </c>
      <c r="I3027" s="29" t="e">
        <f>VLOOKUP(G3027,제품명!$C$1:$E$114,2,0)</f>
        <v>#N/A</v>
      </c>
      <c r="J3027" s="29">
        <f>'Raw data'!K2936</f>
        <v>0</v>
      </c>
      <c r="K3027" s="31">
        <f>'Raw data'!H2936</f>
        <v>0</v>
      </c>
      <c r="L3027" s="26">
        <f t="shared" si="98"/>
        <v>0</v>
      </c>
    </row>
    <row r="3028" spans="2:12">
      <c r="B3028" s="4" t="e">
        <f t="shared" si="97"/>
        <v>#N/A</v>
      </c>
      <c r="C3028" s="4">
        <f>'Raw data'!E2604</f>
        <v>0</v>
      </c>
      <c r="D3028" s="29" t="e">
        <f>VLOOKUP(C3028,'점포코드 '!A:B,2,0)</f>
        <v>#N/A</v>
      </c>
      <c r="E3028" s="30">
        <f>'Raw data'!P2604</f>
        <v>0</v>
      </c>
      <c r="F3028" s="29" t="e">
        <f>VLOOKUP(E3028,'점포코드 '!A:B,2,0)</f>
        <v>#N/A</v>
      </c>
      <c r="G3028" s="46">
        <f>'Raw data'!F2937</f>
        <v>0</v>
      </c>
      <c r="H3028" s="4">
        <f>'Raw data'!G2937</f>
        <v>0</v>
      </c>
      <c r="I3028" s="29" t="e">
        <f>VLOOKUP(G3028,제품명!$C$1:$E$114,2,0)</f>
        <v>#N/A</v>
      </c>
      <c r="J3028" s="29">
        <f>'Raw data'!K2937</f>
        <v>0</v>
      </c>
      <c r="K3028" s="31">
        <f>'Raw data'!H2937</f>
        <v>0</v>
      </c>
      <c r="L3028" s="26">
        <f t="shared" si="98"/>
        <v>0</v>
      </c>
    </row>
    <row r="3029" spans="2:12">
      <c r="B3029" s="4" t="e">
        <f t="shared" si="97"/>
        <v>#N/A</v>
      </c>
      <c r="C3029" s="4">
        <f>'Raw data'!E2605</f>
        <v>0</v>
      </c>
      <c r="D3029" s="29" t="e">
        <f>VLOOKUP(C3029,'점포코드 '!A:B,2,0)</f>
        <v>#N/A</v>
      </c>
      <c r="E3029" s="30">
        <f>'Raw data'!P2605</f>
        <v>0</v>
      </c>
      <c r="F3029" s="29" t="e">
        <f>VLOOKUP(E3029,'점포코드 '!A:B,2,0)</f>
        <v>#N/A</v>
      </c>
      <c r="G3029" s="46">
        <f>'Raw data'!F2938</f>
        <v>0</v>
      </c>
      <c r="H3029" s="4">
        <f>'Raw data'!G2938</f>
        <v>0</v>
      </c>
      <c r="I3029" s="29" t="e">
        <f>VLOOKUP(G3029,제품명!$C$1:$E$114,2,0)</f>
        <v>#N/A</v>
      </c>
      <c r="J3029" s="29">
        <f>'Raw data'!K2938</f>
        <v>0</v>
      </c>
      <c r="K3029" s="31">
        <f>'Raw data'!H2938</f>
        <v>0</v>
      </c>
      <c r="L3029" s="26">
        <f t="shared" si="98"/>
        <v>0</v>
      </c>
    </row>
    <row r="3030" spans="2:12">
      <c r="B3030" s="4" t="e">
        <f t="shared" si="97"/>
        <v>#N/A</v>
      </c>
      <c r="C3030" s="4">
        <f>'Raw data'!E2606</f>
        <v>0</v>
      </c>
      <c r="D3030" s="29" t="e">
        <f>VLOOKUP(C3030,'점포코드 '!A:B,2,0)</f>
        <v>#N/A</v>
      </c>
      <c r="E3030" s="30">
        <f>'Raw data'!P2606</f>
        <v>0</v>
      </c>
      <c r="F3030" s="29" t="e">
        <f>VLOOKUP(E3030,'점포코드 '!A:B,2,0)</f>
        <v>#N/A</v>
      </c>
      <c r="G3030" s="46">
        <f>'Raw data'!F2939</f>
        <v>0</v>
      </c>
      <c r="H3030" s="4">
        <f>'Raw data'!G2939</f>
        <v>0</v>
      </c>
      <c r="I3030" s="29" t="e">
        <f>VLOOKUP(G3030,제품명!$C$1:$E$114,2,0)</f>
        <v>#N/A</v>
      </c>
      <c r="J3030" s="29">
        <f>'Raw data'!K2939</f>
        <v>0</v>
      </c>
      <c r="K3030" s="31">
        <f>'Raw data'!H2939</f>
        <v>0</v>
      </c>
      <c r="L3030" s="26">
        <f t="shared" si="98"/>
        <v>0</v>
      </c>
    </row>
    <row r="3031" spans="2:12">
      <c r="B3031" s="4" t="e">
        <f t="shared" si="97"/>
        <v>#N/A</v>
      </c>
      <c r="C3031" s="4">
        <f>'Raw data'!E2607</f>
        <v>0</v>
      </c>
      <c r="D3031" s="29" t="e">
        <f>VLOOKUP(C3031,'점포코드 '!A:B,2,0)</f>
        <v>#N/A</v>
      </c>
      <c r="E3031" s="30">
        <f>'Raw data'!P2607</f>
        <v>0</v>
      </c>
      <c r="F3031" s="29" t="e">
        <f>VLOOKUP(E3031,'점포코드 '!A:B,2,0)</f>
        <v>#N/A</v>
      </c>
      <c r="G3031" s="46">
        <f>'Raw data'!F2940</f>
        <v>0</v>
      </c>
      <c r="H3031" s="4">
        <f>'Raw data'!G2940</f>
        <v>0</v>
      </c>
      <c r="I3031" s="29" t="e">
        <f>VLOOKUP(G3031,제품명!$C$1:$E$114,2,0)</f>
        <v>#N/A</v>
      </c>
      <c r="J3031" s="29">
        <f>'Raw data'!K2940</f>
        <v>0</v>
      </c>
      <c r="K3031" s="31">
        <f>'Raw data'!H2940</f>
        <v>0</v>
      </c>
      <c r="L3031" s="26">
        <f t="shared" si="98"/>
        <v>0</v>
      </c>
    </row>
    <row r="3032" spans="2:12">
      <c r="B3032" s="4" t="e">
        <f t="shared" si="97"/>
        <v>#N/A</v>
      </c>
      <c r="C3032" s="4">
        <f>'Raw data'!E2608</f>
        <v>0</v>
      </c>
      <c r="D3032" s="29" t="e">
        <f>VLOOKUP(C3032,'점포코드 '!A:B,2,0)</f>
        <v>#N/A</v>
      </c>
      <c r="E3032" s="30">
        <f>'Raw data'!P2608</f>
        <v>0</v>
      </c>
      <c r="F3032" s="29" t="e">
        <f>VLOOKUP(E3032,'점포코드 '!A:B,2,0)</f>
        <v>#N/A</v>
      </c>
      <c r="G3032" s="46">
        <f>'Raw data'!F2941</f>
        <v>0</v>
      </c>
      <c r="H3032" s="4">
        <f>'Raw data'!G2941</f>
        <v>0</v>
      </c>
      <c r="I3032" s="29" t="e">
        <f>VLOOKUP(G3032,제품명!$C$1:$E$114,2,0)</f>
        <v>#N/A</v>
      </c>
      <c r="J3032" s="29">
        <f>'Raw data'!K2941</f>
        <v>0</v>
      </c>
      <c r="K3032" s="31">
        <f>'Raw data'!H2941</f>
        <v>0</v>
      </c>
      <c r="L3032" s="26">
        <f t="shared" si="98"/>
        <v>0</v>
      </c>
    </row>
    <row r="3033" spans="2:12">
      <c r="B3033" s="4" t="e">
        <f t="shared" si="97"/>
        <v>#N/A</v>
      </c>
      <c r="C3033" s="4">
        <f>'Raw data'!E2609</f>
        <v>0</v>
      </c>
      <c r="D3033" s="29" t="e">
        <f>VLOOKUP(C3033,'점포코드 '!A:B,2,0)</f>
        <v>#N/A</v>
      </c>
      <c r="E3033" s="30">
        <f>'Raw data'!P2609</f>
        <v>0</v>
      </c>
      <c r="F3033" s="29" t="e">
        <f>VLOOKUP(E3033,'점포코드 '!A:B,2,0)</f>
        <v>#N/A</v>
      </c>
      <c r="G3033" s="46">
        <f>'Raw data'!F2942</f>
        <v>0</v>
      </c>
      <c r="H3033" s="4">
        <f>'Raw data'!G2942</f>
        <v>0</v>
      </c>
      <c r="I3033" s="29" t="e">
        <f>VLOOKUP(G3033,제품명!$C$1:$E$114,2,0)</f>
        <v>#N/A</v>
      </c>
      <c r="J3033" s="29">
        <f>'Raw data'!K2942</f>
        <v>0</v>
      </c>
      <c r="K3033" s="31">
        <f>'Raw data'!H2942</f>
        <v>0</v>
      </c>
      <c r="L3033" s="26">
        <f t="shared" si="98"/>
        <v>0</v>
      </c>
    </row>
    <row r="3034" spans="2:12">
      <c r="B3034" s="4" t="e">
        <f t="shared" si="97"/>
        <v>#N/A</v>
      </c>
      <c r="C3034" s="4">
        <f>'Raw data'!E2610</f>
        <v>0</v>
      </c>
      <c r="D3034" s="29" t="e">
        <f>VLOOKUP(C3034,'점포코드 '!A:B,2,0)</f>
        <v>#N/A</v>
      </c>
      <c r="E3034" s="30">
        <f>'Raw data'!P2610</f>
        <v>0</v>
      </c>
      <c r="F3034" s="29" t="e">
        <f>VLOOKUP(E3034,'점포코드 '!A:B,2,0)</f>
        <v>#N/A</v>
      </c>
      <c r="G3034" s="46">
        <f>'Raw data'!F2943</f>
        <v>0</v>
      </c>
      <c r="H3034" s="4">
        <f>'Raw data'!G2943</f>
        <v>0</v>
      </c>
      <c r="I3034" s="29" t="e">
        <f>VLOOKUP(G3034,제품명!$C$1:$E$114,2,0)</f>
        <v>#N/A</v>
      </c>
      <c r="J3034" s="29">
        <f>'Raw data'!K2943</f>
        <v>0</v>
      </c>
      <c r="K3034" s="31">
        <f>'Raw data'!H2943</f>
        <v>0</v>
      </c>
      <c r="L3034" s="26">
        <f t="shared" si="98"/>
        <v>0</v>
      </c>
    </row>
    <row r="3035" spans="2:12">
      <c r="B3035" s="4" t="e">
        <f t="shared" si="97"/>
        <v>#N/A</v>
      </c>
      <c r="C3035" s="4">
        <f>'Raw data'!E2611</f>
        <v>0</v>
      </c>
      <c r="D3035" s="29" t="e">
        <f>VLOOKUP(C3035,'점포코드 '!A:B,2,0)</f>
        <v>#N/A</v>
      </c>
      <c r="E3035" s="30">
        <f>'Raw data'!P2611</f>
        <v>0</v>
      </c>
      <c r="F3035" s="29" t="e">
        <f>VLOOKUP(E3035,'점포코드 '!A:B,2,0)</f>
        <v>#N/A</v>
      </c>
      <c r="G3035" s="46">
        <f>'Raw data'!F2944</f>
        <v>0</v>
      </c>
      <c r="H3035" s="4">
        <f>'Raw data'!G2944</f>
        <v>0</v>
      </c>
      <c r="I3035" s="29" t="e">
        <f>VLOOKUP(G3035,제품명!$C$1:$E$114,2,0)</f>
        <v>#N/A</v>
      </c>
      <c r="J3035" s="29">
        <f>'Raw data'!K2944</f>
        <v>0</v>
      </c>
      <c r="K3035" s="31">
        <f>'Raw data'!H2944</f>
        <v>0</v>
      </c>
      <c r="L3035" s="26">
        <f t="shared" si="98"/>
        <v>0</v>
      </c>
    </row>
    <row r="3036" spans="2:12">
      <c r="B3036" s="4" t="e">
        <f t="shared" si="97"/>
        <v>#N/A</v>
      </c>
      <c r="C3036" s="4">
        <f>'Raw data'!E2612</f>
        <v>0</v>
      </c>
      <c r="D3036" s="29" t="e">
        <f>VLOOKUP(C3036,'점포코드 '!A:B,2,0)</f>
        <v>#N/A</v>
      </c>
      <c r="E3036" s="30">
        <f>'Raw data'!P2612</f>
        <v>0</v>
      </c>
      <c r="F3036" s="29" t="e">
        <f>VLOOKUP(E3036,'점포코드 '!A:B,2,0)</f>
        <v>#N/A</v>
      </c>
      <c r="G3036" s="46">
        <f>'Raw data'!F2945</f>
        <v>0</v>
      </c>
      <c r="H3036" s="4">
        <f>'Raw data'!G2945</f>
        <v>0</v>
      </c>
      <c r="I3036" s="29" t="e">
        <f>VLOOKUP(G3036,제품명!$C$1:$E$114,2,0)</f>
        <v>#N/A</v>
      </c>
      <c r="J3036" s="29">
        <f>'Raw data'!K2945</f>
        <v>0</v>
      </c>
      <c r="K3036" s="31">
        <f>'Raw data'!H2945</f>
        <v>0</v>
      </c>
      <c r="L3036" s="26">
        <f t="shared" si="98"/>
        <v>0</v>
      </c>
    </row>
    <row r="3037" spans="2:12">
      <c r="B3037" s="4" t="e">
        <f t="shared" si="97"/>
        <v>#N/A</v>
      </c>
      <c r="C3037" s="4">
        <f>'Raw data'!E2613</f>
        <v>0</v>
      </c>
      <c r="D3037" s="29" t="e">
        <f>VLOOKUP(C3037,'점포코드 '!A:B,2,0)</f>
        <v>#N/A</v>
      </c>
      <c r="E3037" s="30">
        <f>'Raw data'!P2613</f>
        <v>0</v>
      </c>
      <c r="F3037" s="29" t="e">
        <f>VLOOKUP(E3037,'점포코드 '!A:B,2,0)</f>
        <v>#N/A</v>
      </c>
      <c r="G3037" s="46">
        <f>'Raw data'!F2946</f>
        <v>0</v>
      </c>
      <c r="H3037" s="4">
        <f>'Raw data'!G2946</f>
        <v>0</v>
      </c>
      <c r="I3037" s="29" t="e">
        <f>VLOOKUP(G3037,제품명!$C$1:$E$114,2,0)</f>
        <v>#N/A</v>
      </c>
      <c r="J3037" s="29">
        <f>'Raw data'!K2946</f>
        <v>0</v>
      </c>
      <c r="K3037" s="31">
        <f>'Raw data'!H2946</f>
        <v>0</v>
      </c>
      <c r="L3037" s="26">
        <f t="shared" si="98"/>
        <v>0</v>
      </c>
    </row>
    <row r="3038" spans="2:12">
      <c r="B3038" s="4" t="e">
        <f t="shared" si="97"/>
        <v>#N/A</v>
      </c>
      <c r="C3038" s="4">
        <f>'Raw data'!E2614</f>
        <v>0</v>
      </c>
      <c r="D3038" s="29" t="e">
        <f>VLOOKUP(C3038,'점포코드 '!A:B,2,0)</f>
        <v>#N/A</v>
      </c>
      <c r="E3038" s="30">
        <f>'Raw data'!P2614</f>
        <v>0</v>
      </c>
      <c r="F3038" s="29" t="e">
        <f>VLOOKUP(E3038,'점포코드 '!A:B,2,0)</f>
        <v>#N/A</v>
      </c>
      <c r="G3038" s="46">
        <f>'Raw data'!F2947</f>
        <v>0</v>
      </c>
      <c r="H3038" s="4">
        <f>'Raw data'!G2947</f>
        <v>0</v>
      </c>
      <c r="I3038" s="29" t="e">
        <f>VLOOKUP(G3038,제품명!$C$1:$E$114,2,0)</f>
        <v>#N/A</v>
      </c>
      <c r="J3038" s="29">
        <f>'Raw data'!K2947</f>
        <v>0</v>
      </c>
      <c r="K3038" s="31">
        <f>'Raw data'!H2947</f>
        <v>0</v>
      </c>
      <c r="L3038" s="26">
        <f t="shared" si="98"/>
        <v>0</v>
      </c>
    </row>
    <row r="3039" spans="2:12">
      <c r="B3039" s="4" t="e">
        <f t="shared" si="97"/>
        <v>#N/A</v>
      </c>
      <c r="C3039" s="4">
        <f>'Raw data'!E2615</f>
        <v>0</v>
      </c>
      <c r="D3039" s="29" t="e">
        <f>VLOOKUP(C3039,'점포코드 '!A:B,2,0)</f>
        <v>#N/A</v>
      </c>
      <c r="E3039" s="30">
        <f>'Raw data'!P2615</f>
        <v>0</v>
      </c>
      <c r="F3039" s="29" t="e">
        <f>VLOOKUP(E3039,'점포코드 '!A:B,2,0)</f>
        <v>#N/A</v>
      </c>
      <c r="G3039" s="46">
        <f>'Raw data'!F2948</f>
        <v>0</v>
      </c>
      <c r="H3039" s="4">
        <f>'Raw data'!G2948</f>
        <v>0</v>
      </c>
      <c r="I3039" s="29" t="e">
        <f>VLOOKUP(G3039,제품명!$C$1:$E$114,2,0)</f>
        <v>#N/A</v>
      </c>
      <c r="J3039" s="29">
        <f>'Raw data'!K2948</f>
        <v>0</v>
      </c>
      <c r="K3039" s="31">
        <f>'Raw data'!H2948</f>
        <v>0</v>
      </c>
      <c r="L3039" s="26">
        <f t="shared" si="98"/>
        <v>0</v>
      </c>
    </row>
    <row r="3040" spans="2:12">
      <c r="B3040" s="4" t="e">
        <f t="shared" si="97"/>
        <v>#N/A</v>
      </c>
      <c r="C3040" s="4">
        <f>'Raw data'!E2616</f>
        <v>0</v>
      </c>
      <c r="D3040" s="29" t="e">
        <f>VLOOKUP(C3040,'점포코드 '!A:B,2,0)</f>
        <v>#N/A</v>
      </c>
      <c r="E3040" s="30">
        <f>'Raw data'!P2616</f>
        <v>0</v>
      </c>
      <c r="F3040" s="29" t="e">
        <f>VLOOKUP(E3040,'점포코드 '!A:B,2,0)</f>
        <v>#N/A</v>
      </c>
      <c r="G3040" s="46">
        <f>'Raw data'!F2949</f>
        <v>0</v>
      </c>
      <c r="H3040" s="4">
        <f>'Raw data'!G2949</f>
        <v>0</v>
      </c>
      <c r="I3040" s="29" t="e">
        <f>VLOOKUP(G3040,제품명!$C$1:$E$114,2,0)</f>
        <v>#N/A</v>
      </c>
      <c r="J3040" s="29">
        <f>'Raw data'!K2949</f>
        <v>0</v>
      </c>
      <c r="K3040" s="31">
        <f>'Raw data'!H2949</f>
        <v>0</v>
      </c>
      <c r="L3040" s="26">
        <f t="shared" si="98"/>
        <v>0</v>
      </c>
    </row>
    <row r="3041" spans="2:12">
      <c r="B3041" s="4" t="e">
        <f t="shared" si="97"/>
        <v>#N/A</v>
      </c>
      <c r="C3041" s="4">
        <f>'Raw data'!E2617</f>
        <v>0</v>
      </c>
      <c r="D3041" s="29" t="e">
        <f>VLOOKUP(C3041,'점포코드 '!A:B,2,0)</f>
        <v>#N/A</v>
      </c>
      <c r="E3041" s="30">
        <f>'Raw data'!P2617</f>
        <v>0</v>
      </c>
      <c r="F3041" s="29" t="e">
        <f>VLOOKUP(E3041,'점포코드 '!A:B,2,0)</f>
        <v>#N/A</v>
      </c>
      <c r="G3041" s="46">
        <f>'Raw data'!F2950</f>
        <v>0</v>
      </c>
      <c r="H3041" s="4">
        <f>'Raw data'!G2950</f>
        <v>0</v>
      </c>
      <c r="I3041" s="29" t="e">
        <f>VLOOKUP(G3041,제품명!$C$1:$E$114,2,0)</f>
        <v>#N/A</v>
      </c>
      <c r="J3041" s="29">
        <f>'Raw data'!K2950</f>
        <v>0</v>
      </c>
      <c r="K3041" s="31">
        <f>'Raw data'!H2950</f>
        <v>0</v>
      </c>
      <c r="L3041" s="26">
        <f t="shared" si="98"/>
        <v>0</v>
      </c>
    </row>
    <row r="3042" spans="2:12">
      <c r="B3042" s="4" t="e">
        <f t="shared" si="97"/>
        <v>#N/A</v>
      </c>
      <c r="C3042" s="4">
        <f>'Raw data'!E2618</f>
        <v>0</v>
      </c>
      <c r="D3042" s="29" t="e">
        <f>VLOOKUP(C3042,'점포코드 '!A:B,2,0)</f>
        <v>#N/A</v>
      </c>
      <c r="E3042" s="30">
        <f>'Raw data'!P2618</f>
        <v>0</v>
      </c>
      <c r="F3042" s="29" t="e">
        <f>VLOOKUP(E3042,'점포코드 '!A:B,2,0)</f>
        <v>#N/A</v>
      </c>
      <c r="G3042" s="46">
        <f>'Raw data'!F2951</f>
        <v>0</v>
      </c>
      <c r="H3042" s="4">
        <f>'Raw data'!G2951</f>
        <v>0</v>
      </c>
      <c r="I3042" s="29" t="e">
        <f>VLOOKUP(G3042,제품명!$C$1:$E$114,2,0)</f>
        <v>#N/A</v>
      </c>
      <c r="J3042" s="29">
        <f>'Raw data'!K2951</f>
        <v>0</v>
      </c>
      <c r="K3042" s="31">
        <f>'Raw data'!H2951</f>
        <v>0</v>
      </c>
      <c r="L3042" s="26">
        <f t="shared" si="98"/>
        <v>0</v>
      </c>
    </row>
    <row r="3043" spans="2:12">
      <c r="B3043" s="4" t="e">
        <f t="shared" si="97"/>
        <v>#N/A</v>
      </c>
      <c r="C3043" s="4">
        <f>'Raw data'!E2619</f>
        <v>0</v>
      </c>
      <c r="D3043" s="29" t="e">
        <f>VLOOKUP(C3043,'점포코드 '!A:B,2,0)</f>
        <v>#N/A</v>
      </c>
      <c r="E3043" s="30">
        <f>'Raw data'!P2619</f>
        <v>0</v>
      </c>
      <c r="F3043" s="29" t="e">
        <f>VLOOKUP(E3043,'점포코드 '!A:B,2,0)</f>
        <v>#N/A</v>
      </c>
      <c r="G3043" s="46">
        <f>'Raw data'!F2952</f>
        <v>0</v>
      </c>
      <c r="H3043" s="4">
        <f>'Raw data'!G2952</f>
        <v>0</v>
      </c>
      <c r="I3043" s="29" t="e">
        <f>VLOOKUP(G3043,제품명!$C$1:$E$114,2,0)</f>
        <v>#N/A</v>
      </c>
      <c r="J3043" s="29">
        <f>'Raw data'!K2952</f>
        <v>0</v>
      </c>
      <c r="K3043" s="31">
        <f>'Raw data'!H2952</f>
        <v>0</v>
      </c>
      <c r="L3043" s="26">
        <f t="shared" si="98"/>
        <v>0</v>
      </c>
    </row>
    <row r="3044" spans="2:12">
      <c r="B3044" s="4" t="e">
        <f t="shared" si="97"/>
        <v>#N/A</v>
      </c>
      <c r="C3044" s="4">
        <f>'Raw data'!E2620</f>
        <v>0</v>
      </c>
      <c r="D3044" s="29" t="e">
        <f>VLOOKUP(C3044,'점포코드 '!A:B,2,0)</f>
        <v>#N/A</v>
      </c>
      <c r="E3044" s="30">
        <f>'Raw data'!P2620</f>
        <v>0</v>
      </c>
      <c r="F3044" s="29" t="e">
        <f>VLOOKUP(E3044,'점포코드 '!A:B,2,0)</f>
        <v>#N/A</v>
      </c>
      <c r="G3044" s="46">
        <f>'Raw data'!F2953</f>
        <v>0</v>
      </c>
      <c r="H3044" s="4">
        <f>'Raw data'!G2953</f>
        <v>0</v>
      </c>
      <c r="I3044" s="29" t="e">
        <f>VLOOKUP(G3044,제품명!$C$1:$E$114,2,0)</f>
        <v>#N/A</v>
      </c>
      <c r="J3044" s="29">
        <f>'Raw data'!K2953</f>
        <v>0</v>
      </c>
      <c r="K3044" s="31">
        <f>'Raw data'!H2953</f>
        <v>0</v>
      </c>
      <c r="L3044" s="26">
        <f t="shared" si="98"/>
        <v>0</v>
      </c>
    </row>
    <row r="3045" spans="2:12">
      <c r="B3045" s="4" t="e">
        <f t="shared" si="97"/>
        <v>#N/A</v>
      </c>
      <c r="C3045" s="4">
        <f>'Raw data'!E2621</f>
        <v>0</v>
      </c>
      <c r="D3045" s="29" t="e">
        <f>VLOOKUP(C3045,'점포코드 '!A:B,2,0)</f>
        <v>#N/A</v>
      </c>
      <c r="E3045" s="30">
        <f>'Raw data'!P2621</f>
        <v>0</v>
      </c>
      <c r="F3045" s="29" t="e">
        <f>VLOOKUP(E3045,'점포코드 '!A:B,2,0)</f>
        <v>#N/A</v>
      </c>
      <c r="G3045" s="46">
        <f>'Raw data'!F2954</f>
        <v>0</v>
      </c>
      <c r="H3045" s="4">
        <f>'Raw data'!G2954</f>
        <v>0</v>
      </c>
      <c r="I3045" s="29" t="e">
        <f>VLOOKUP(G3045,제품명!$C$1:$E$114,2,0)</f>
        <v>#N/A</v>
      </c>
      <c r="J3045" s="29">
        <f>'Raw data'!K2954</f>
        <v>0</v>
      </c>
      <c r="K3045" s="31">
        <f>'Raw data'!H2954</f>
        <v>0</v>
      </c>
      <c r="L3045" s="26">
        <f t="shared" si="98"/>
        <v>0</v>
      </c>
    </row>
    <row r="3046" spans="2:12">
      <c r="B3046" s="4" t="e">
        <f t="shared" si="97"/>
        <v>#N/A</v>
      </c>
      <c r="C3046" s="4">
        <f>'Raw data'!E2622</f>
        <v>0</v>
      </c>
      <c r="D3046" s="29" t="e">
        <f>VLOOKUP(C3046,'점포코드 '!A:B,2,0)</f>
        <v>#N/A</v>
      </c>
      <c r="E3046" s="30">
        <f>'Raw data'!P2622</f>
        <v>0</v>
      </c>
      <c r="F3046" s="29" t="e">
        <f>VLOOKUP(E3046,'점포코드 '!A:B,2,0)</f>
        <v>#N/A</v>
      </c>
      <c r="G3046" s="46">
        <f>'Raw data'!F2955</f>
        <v>0</v>
      </c>
      <c r="H3046" s="4">
        <f>'Raw data'!G2955</f>
        <v>0</v>
      </c>
      <c r="I3046" s="29" t="e">
        <f>VLOOKUP(G3046,제품명!$C$1:$E$114,2,0)</f>
        <v>#N/A</v>
      </c>
      <c r="J3046" s="29">
        <f>'Raw data'!K2955</f>
        <v>0</v>
      </c>
      <c r="K3046" s="31">
        <f>'Raw data'!H2955</f>
        <v>0</v>
      </c>
      <c r="L3046" s="26">
        <f t="shared" si="98"/>
        <v>0</v>
      </c>
    </row>
    <row r="3047" spans="2:12">
      <c r="B3047" s="4" t="e">
        <f t="shared" si="97"/>
        <v>#N/A</v>
      </c>
      <c r="C3047" s="4">
        <f>'Raw data'!E2623</f>
        <v>0</v>
      </c>
      <c r="D3047" s="29" t="e">
        <f>VLOOKUP(C3047,'점포코드 '!A:B,2,0)</f>
        <v>#N/A</v>
      </c>
      <c r="E3047" s="30">
        <f>'Raw data'!P2623</f>
        <v>0</v>
      </c>
      <c r="F3047" s="29" t="e">
        <f>VLOOKUP(E3047,'점포코드 '!A:B,2,0)</f>
        <v>#N/A</v>
      </c>
      <c r="G3047" s="46">
        <f>'Raw data'!F2956</f>
        <v>0</v>
      </c>
      <c r="H3047" s="4">
        <f>'Raw data'!G2956</f>
        <v>0</v>
      </c>
      <c r="I3047" s="29" t="e">
        <f>VLOOKUP(G3047,제품명!$C$1:$E$114,2,0)</f>
        <v>#N/A</v>
      </c>
      <c r="J3047" s="29">
        <f>'Raw data'!K2956</f>
        <v>0</v>
      </c>
      <c r="K3047" s="31">
        <f>'Raw data'!H2956</f>
        <v>0</v>
      </c>
      <c r="L3047" s="26">
        <f t="shared" si="98"/>
        <v>0</v>
      </c>
    </row>
    <row r="3048" spans="2:12">
      <c r="B3048" s="4" t="e">
        <f t="shared" si="97"/>
        <v>#N/A</v>
      </c>
      <c r="C3048" s="4">
        <f>'Raw data'!E2624</f>
        <v>0</v>
      </c>
      <c r="D3048" s="29" t="e">
        <f>VLOOKUP(C3048,'점포코드 '!A:B,2,0)</f>
        <v>#N/A</v>
      </c>
      <c r="E3048" s="30">
        <f>'Raw data'!P2624</f>
        <v>0</v>
      </c>
      <c r="F3048" s="29" t="e">
        <f>VLOOKUP(E3048,'점포코드 '!A:B,2,0)</f>
        <v>#N/A</v>
      </c>
      <c r="G3048" s="46">
        <f>'Raw data'!F2957</f>
        <v>0</v>
      </c>
      <c r="H3048" s="4">
        <f>'Raw data'!G2957</f>
        <v>0</v>
      </c>
      <c r="I3048" s="29" t="e">
        <f>VLOOKUP(G3048,제품명!$C$1:$E$114,2,0)</f>
        <v>#N/A</v>
      </c>
      <c r="J3048" s="29">
        <f>'Raw data'!K2957</f>
        <v>0</v>
      </c>
      <c r="K3048" s="31">
        <f>'Raw data'!H2957</f>
        <v>0</v>
      </c>
      <c r="L3048" s="26">
        <f t="shared" si="98"/>
        <v>0</v>
      </c>
    </row>
    <row r="3049" spans="2:12">
      <c r="B3049" s="4" t="e">
        <f t="shared" si="97"/>
        <v>#N/A</v>
      </c>
      <c r="C3049" s="4">
        <f>'Raw data'!E2625</f>
        <v>0</v>
      </c>
      <c r="D3049" s="29" t="e">
        <f>VLOOKUP(C3049,'점포코드 '!A:B,2,0)</f>
        <v>#N/A</v>
      </c>
      <c r="E3049" s="30">
        <f>'Raw data'!P2625</f>
        <v>0</v>
      </c>
      <c r="F3049" s="29" t="e">
        <f>VLOOKUP(E3049,'점포코드 '!A:B,2,0)</f>
        <v>#N/A</v>
      </c>
      <c r="G3049" s="46">
        <f>'Raw data'!F2958</f>
        <v>0</v>
      </c>
      <c r="H3049" s="4">
        <f>'Raw data'!G2958</f>
        <v>0</v>
      </c>
      <c r="I3049" s="29" t="e">
        <f>VLOOKUP(G3049,제품명!$C$1:$E$114,2,0)</f>
        <v>#N/A</v>
      </c>
      <c r="J3049" s="29">
        <f>'Raw data'!K2958</f>
        <v>0</v>
      </c>
      <c r="K3049" s="31">
        <f>'Raw data'!H2958</f>
        <v>0</v>
      </c>
      <c r="L3049" s="26">
        <f t="shared" si="98"/>
        <v>0</v>
      </c>
    </row>
    <row r="3050" spans="2:12">
      <c r="B3050" s="4" t="e">
        <f t="shared" si="97"/>
        <v>#N/A</v>
      </c>
      <c r="C3050" s="4">
        <f>'Raw data'!E2626</f>
        <v>0</v>
      </c>
      <c r="D3050" s="29" t="e">
        <f>VLOOKUP(C3050,'점포코드 '!A:B,2,0)</f>
        <v>#N/A</v>
      </c>
      <c r="E3050" s="30">
        <f>'Raw data'!P2626</f>
        <v>0</v>
      </c>
      <c r="F3050" s="29" t="e">
        <f>VLOOKUP(E3050,'점포코드 '!A:B,2,0)</f>
        <v>#N/A</v>
      </c>
      <c r="G3050" s="46">
        <f>'Raw data'!F2959</f>
        <v>0</v>
      </c>
      <c r="H3050" s="4">
        <f>'Raw data'!G2959</f>
        <v>0</v>
      </c>
      <c r="I3050" s="29" t="e">
        <f>VLOOKUP(G3050,제품명!$C$1:$E$114,2,0)</f>
        <v>#N/A</v>
      </c>
      <c r="J3050" s="29">
        <f>'Raw data'!K2959</f>
        <v>0</v>
      </c>
      <c r="K3050" s="31">
        <f>'Raw data'!H2959</f>
        <v>0</v>
      </c>
      <c r="L3050" s="26">
        <f t="shared" si="98"/>
        <v>0</v>
      </c>
    </row>
    <row r="3051" spans="2:12">
      <c r="B3051" s="4" t="e">
        <f t="shared" si="97"/>
        <v>#N/A</v>
      </c>
      <c r="C3051" s="4">
        <f>'Raw data'!E2627</f>
        <v>0</v>
      </c>
      <c r="D3051" s="29" t="e">
        <f>VLOOKUP(C3051,'점포코드 '!A:B,2,0)</f>
        <v>#N/A</v>
      </c>
      <c r="E3051" s="30">
        <f>'Raw data'!P2627</f>
        <v>0</v>
      </c>
      <c r="F3051" s="29" t="e">
        <f>VLOOKUP(E3051,'점포코드 '!A:B,2,0)</f>
        <v>#N/A</v>
      </c>
      <c r="G3051" s="46">
        <f>'Raw data'!F2960</f>
        <v>0</v>
      </c>
      <c r="H3051" s="4">
        <f>'Raw data'!G2960</f>
        <v>0</v>
      </c>
      <c r="I3051" s="29" t="e">
        <f>VLOOKUP(G3051,제품명!$C$1:$E$114,2,0)</f>
        <v>#N/A</v>
      </c>
      <c r="J3051" s="29">
        <f>'Raw data'!K2960</f>
        <v>0</v>
      </c>
      <c r="K3051" s="31">
        <f>'Raw data'!H2960</f>
        <v>0</v>
      </c>
      <c r="L3051" s="26">
        <f t="shared" si="98"/>
        <v>0</v>
      </c>
    </row>
    <row r="3052" spans="2:12">
      <c r="B3052" s="4" t="e">
        <f t="shared" si="97"/>
        <v>#N/A</v>
      </c>
      <c r="C3052" s="4">
        <f>'Raw data'!E2628</f>
        <v>0</v>
      </c>
      <c r="D3052" s="29" t="e">
        <f>VLOOKUP(C3052,'점포코드 '!A:B,2,0)</f>
        <v>#N/A</v>
      </c>
      <c r="E3052" s="30">
        <f>'Raw data'!P2628</f>
        <v>0</v>
      </c>
      <c r="F3052" s="29" t="e">
        <f>VLOOKUP(E3052,'점포코드 '!A:B,2,0)</f>
        <v>#N/A</v>
      </c>
      <c r="G3052" s="46">
        <f>'Raw data'!F2961</f>
        <v>0</v>
      </c>
      <c r="H3052" s="4">
        <f>'Raw data'!G2961</f>
        <v>0</v>
      </c>
      <c r="I3052" s="29" t="e">
        <f>VLOOKUP(G3052,제품명!$C$1:$E$114,2,0)</f>
        <v>#N/A</v>
      </c>
      <c r="J3052" s="29">
        <f>'Raw data'!K2961</f>
        <v>0</v>
      </c>
      <c r="K3052" s="31">
        <f>'Raw data'!H2961</f>
        <v>0</v>
      </c>
      <c r="L3052" s="26">
        <f t="shared" si="98"/>
        <v>0</v>
      </c>
    </row>
    <row r="3053" spans="2:12">
      <c r="B3053" s="4" t="e">
        <f t="shared" si="97"/>
        <v>#N/A</v>
      </c>
      <c r="C3053" s="4">
        <f>'Raw data'!E2629</f>
        <v>0</v>
      </c>
      <c r="D3053" s="29" t="e">
        <f>VLOOKUP(C3053,'점포코드 '!A:B,2,0)</f>
        <v>#N/A</v>
      </c>
      <c r="E3053" s="30">
        <f>'Raw data'!P2629</f>
        <v>0</v>
      </c>
      <c r="F3053" s="29" t="e">
        <f>VLOOKUP(E3053,'점포코드 '!A:B,2,0)</f>
        <v>#N/A</v>
      </c>
      <c r="G3053" s="46">
        <f>'Raw data'!F2962</f>
        <v>0</v>
      </c>
      <c r="H3053" s="4">
        <f>'Raw data'!G2962</f>
        <v>0</v>
      </c>
      <c r="I3053" s="29" t="e">
        <f>VLOOKUP(G3053,제품명!$C$1:$E$114,2,0)</f>
        <v>#N/A</v>
      </c>
      <c r="J3053" s="29">
        <f>'Raw data'!K2962</f>
        <v>0</v>
      </c>
      <c r="K3053" s="31">
        <f>'Raw data'!H2962</f>
        <v>0</v>
      </c>
      <c r="L3053" s="26">
        <f t="shared" si="98"/>
        <v>0</v>
      </c>
    </row>
    <row r="3054" spans="2:12">
      <c r="B3054" s="4" t="e">
        <f t="shared" si="97"/>
        <v>#N/A</v>
      </c>
      <c r="C3054" s="4">
        <f>'Raw data'!E2630</f>
        <v>0</v>
      </c>
      <c r="D3054" s="29" t="e">
        <f>VLOOKUP(C3054,'점포코드 '!A:B,2,0)</f>
        <v>#N/A</v>
      </c>
      <c r="E3054" s="30">
        <f>'Raw data'!P2630</f>
        <v>0</v>
      </c>
      <c r="F3054" s="29" t="e">
        <f>VLOOKUP(E3054,'점포코드 '!A:B,2,0)</f>
        <v>#N/A</v>
      </c>
      <c r="G3054" s="46">
        <f>'Raw data'!F2963</f>
        <v>0</v>
      </c>
      <c r="H3054" s="4">
        <f>'Raw data'!G2963</f>
        <v>0</v>
      </c>
      <c r="I3054" s="29" t="e">
        <f>VLOOKUP(G3054,제품명!$C$1:$E$114,2,0)</f>
        <v>#N/A</v>
      </c>
      <c r="J3054" s="29">
        <f>'Raw data'!K2963</f>
        <v>0</v>
      </c>
      <c r="K3054" s="31">
        <f>'Raw data'!H2963</f>
        <v>0</v>
      </c>
      <c r="L3054" s="26">
        <f t="shared" si="98"/>
        <v>0</v>
      </c>
    </row>
    <row r="3055" spans="2:12">
      <c r="B3055" s="4" t="e">
        <f t="shared" si="97"/>
        <v>#N/A</v>
      </c>
      <c r="C3055" s="4">
        <f>'Raw data'!E2631</f>
        <v>0</v>
      </c>
      <c r="D3055" s="29" t="e">
        <f>VLOOKUP(C3055,'점포코드 '!A:B,2,0)</f>
        <v>#N/A</v>
      </c>
      <c r="E3055" s="30">
        <f>'Raw data'!P2631</f>
        <v>0</v>
      </c>
      <c r="F3055" s="29" t="e">
        <f>VLOOKUP(E3055,'점포코드 '!A:B,2,0)</f>
        <v>#N/A</v>
      </c>
      <c r="G3055" s="46">
        <f>'Raw data'!F2964</f>
        <v>0</v>
      </c>
      <c r="H3055" s="4">
        <f>'Raw data'!G2964</f>
        <v>0</v>
      </c>
      <c r="I3055" s="29" t="e">
        <f>VLOOKUP(G3055,제품명!$C$1:$E$114,2,0)</f>
        <v>#N/A</v>
      </c>
      <c r="J3055" s="29">
        <f>'Raw data'!K2964</f>
        <v>0</v>
      </c>
      <c r="K3055" s="31">
        <f>'Raw data'!H2964</f>
        <v>0</v>
      </c>
      <c r="L3055" s="26">
        <f t="shared" si="98"/>
        <v>0</v>
      </c>
    </row>
    <row r="3056" spans="2:12">
      <c r="B3056" s="4" t="e">
        <f t="shared" si="97"/>
        <v>#N/A</v>
      </c>
      <c r="C3056" s="4">
        <f>'Raw data'!E2632</f>
        <v>0</v>
      </c>
      <c r="D3056" s="29" t="e">
        <f>VLOOKUP(C3056,'점포코드 '!A:B,2,0)</f>
        <v>#N/A</v>
      </c>
      <c r="E3056" s="30">
        <f>'Raw data'!P2632</f>
        <v>0</v>
      </c>
      <c r="F3056" s="29" t="e">
        <f>VLOOKUP(E3056,'점포코드 '!A:B,2,0)</f>
        <v>#N/A</v>
      </c>
      <c r="G3056" s="46">
        <f>'Raw data'!F2965</f>
        <v>0</v>
      </c>
      <c r="H3056" s="4">
        <f>'Raw data'!G2965</f>
        <v>0</v>
      </c>
      <c r="I3056" s="29" t="e">
        <f>VLOOKUP(G3056,제품명!$C$1:$E$114,2,0)</f>
        <v>#N/A</v>
      </c>
      <c r="J3056" s="29">
        <f>'Raw data'!K2965</f>
        <v>0</v>
      </c>
      <c r="K3056" s="31">
        <f>'Raw data'!H2965</f>
        <v>0</v>
      </c>
      <c r="L3056" s="26">
        <f t="shared" si="98"/>
        <v>0</v>
      </c>
    </row>
    <row r="3057" spans="2:12">
      <c r="B3057" s="4" t="e">
        <f t="shared" si="97"/>
        <v>#N/A</v>
      </c>
      <c r="C3057" s="4">
        <f>'Raw data'!E2633</f>
        <v>0</v>
      </c>
      <c r="D3057" s="29" t="e">
        <f>VLOOKUP(C3057,'점포코드 '!A:B,2,0)</f>
        <v>#N/A</v>
      </c>
      <c r="E3057" s="30">
        <f>'Raw data'!P2633</f>
        <v>0</v>
      </c>
      <c r="F3057" s="29" t="e">
        <f>VLOOKUP(E3057,'점포코드 '!A:B,2,0)</f>
        <v>#N/A</v>
      </c>
      <c r="G3057" s="46">
        <f>'Raw data'!F2966</f>
        <v>0</v>
      </c>
      <c r="H3057" s="4">
        <f>'Raw data'!G2966</f>
        <v>0</v>
      </c>
      <c r="I3057" s="29" t="e">
        <f>VLOOKUP(G3057,제품명!$C$1:$E$114,2,0)</f>
        <v>#N/A</v>
      </c>
      <c r="J3057" s="29">
        <f>'Raw data'!K2966</f>
        <v>0</v>
      </c>
      <c r="K3057" s="31">
        <f>'Raw data'!H2966</f>
        <v>0</v>
      </c>
      <c r="L3057" s="26">
        <f t="shared" si="98"/>
        <v>0</v>
      </c>
    </row>
    <row r="3058" spans="2:12">
      <c r="B3058" s="4" t="e">
        <f t="shared" si="97"/>
        <v>#N/A</v>
      </c>
      <c r="C3058" s="4">
        <f>'Raw data'!E2634</f>
        <v>0</v>
      </c>
      <c r="D3058" s="29" t="e">
        <f>VLOOKUP(C3058,'점포코드 '!A:B,2,0)</f>
        <v>#N/A</v>
      </c>
      <c r="E3058" s="30">
        <f>'Raw data'!P2634</f>
        <v>0</v>
      </c>
      <c r="F3058" s="29" t="e">
        <f>VLOOKUP(E3058,'점포코드 '!A:B,2,0)</f>
        <v>#N/A</v>
      </c>
      <c r="G3058" s="46">
        <f>'Raw data'!F2967</f>
        <v>0</v>
      </c>
      <c r="H3058" s="4">
        <f>'Raw data'!G2967</f>
        <v>0</v>
      </c>
      <c r="I3058" s="29" t="e">
        <f>VLOOKUP(G3058,제품명!$C$1:$E$114,2,0)</f>
        <v>#N/A</v>
      </c>
      <c r="J3058" s="29">
        <f>'Raw data'!K2967</f>
        <v>0</v>
      </c>
      <c r="K3058" s="31">
        <f>'Raw data'!H2967</f>
        <v>0</v>
      </c>
      <c r="L3058" s="26">
        <f t="shared" si="98"/>
        <v>0</v>
      </c>
    </row>
    <row r="3059" spans="2:12">
      <c r="B3059" s="4" t="e">
        <f t="shared" si="97"/>
        <v>#N/A</v>
      </c>
      <c r="C3059" s="4">
        <f>'Raw data'!E2635</f>
        <v>0</v>
      </c>
      <c r="D3059" s="29" t="e">
        <f>VLOOKUP(C3059,'점포코드 '!A:B,2,0)</f>
        <v>#N/A</v>
      </c>
      <c r="E3059" s="30">
        <f>'Raw data'!P2635</f>
        <v>0</v>
      </c>
      <c r="F3059" s="29" t="e">
        <f>VLOOKUP(E3059,'점포코드 '!A:B,2,0)</f>
        <v>#N/A</v>
      </c>
      <c r="G3059" s="46">
        <f>'Raw data'!F2968</f>
        <v>0</v>
      </c>
      <c r="H3059" s="4">
        <f>'Raw data'!G2968</f>
        <v>0</v>
      </c>
      <c r="I3059" s="29" t="e">
        <f>VLOOKUP(G3059,제품명!$C$1:$E$114,2,0)</f>
        <v>#N/A</v>
      </c>
      <c r="J3059" s="29">
        <f>'Raw data'!K2968</f>
        <v>0</v>
      </c>
      <c r="K3059" s="31">
        <f>'Raw data'!H2968</f>
        <v>0</v>
      </c>
      <c r="L3059" s="26">
        <f t="shared" si="98"/>
        <v>0</v>
      </c>
    </row>
    <row r="3060" spans="2:12">
      <c r="B3060" s="4" t="e">
        <f t="shared" si="97"/>
        <v>#N/A</v>
      </c>
      <c r="C3060" s="4">
        <f>'Raw data'!E2636</f>
        <v>0</v>
      </c>
      <c r="D3060" s="29" t="e">
        <f>VLOOKUP(C3060,'점포코드 '!A:B,2,0)</f>
        <v>#N/A</v>
      </c>
      <c r="E3060" s="30">
        <f>'Raw data'!P2636</f>
        <v>0</v>
      </c>
      <c r="F3060" s="29" t="e">
        <f>VLOOKUP(E3060,'점포코드 '!A:B,2,0)</f>
        <v>#N/A</v>
      </c>
      <c r="G3060" s="46">
        <f>'Raw data'!F2969</f>
        <v>0</v>
      </c>
      <c r="H3060" s="4">
        <f>'Raw data'!G2969</f>
        <v>0</v>
      </c>
      <c r="I3060" s="29" t="e">
        <f>VLOOKUP(G3060,제품명!$C$1:$E$114,2,0)</f>
        <v>#N/A</v>
      </c>
      <c r="J3060" s="29">
        <f>'Raw data'!K2969</f>
        <v>0</v>
      </c>
      <c r="K3060" s="31">
        <f>'Raw data'!H2969</f>
        <v>0</v>
      </c>
      <c r="L3060" s="26">
        <f t="shared" si="98"/>
        <v>0</v>
      </c>
    </row>
    <row r="3061" spans="2:12">
      <c r="B3061" s="4" t="e">
        <f t="shared" si="97"/>
        <v>#N/A</v>
      </c>
      <c r="C3061" s="4">
        <f>'Raw data'!E2637</f>
        <v>0</v>
      </c>
      <c r="D3061" s="29" t="e">
        <f>VLOOKUP(C3061,'점포코드 '!A:B,2,0)</f>
        <v>#N/A</v>
      </c>
      <c r="E3061" s="30">
        <f>'Raw data'!P2637</f>
        <v>0</v>
      </c>
      <c r="F3061" s="29" t="e">
        <f>VLOOKUP(E3061,'점포코드 '!A:B,2,0)</f>
        <v>#N/A</v>
      </c>
      <c r="G3061" s="46">
        <f>'Raw data'!F2970</f>
        <v>0</v>
      </c>
      <c r="H3061" s="4">
        <f>'Raw data'!G2970</f>
        <v>0</v>
      </c>
      <c r="I3061" s="29" t="e">
        <f>VLOOKUP(G3061,제품명!$C$1:$E$114,2,0)</f>
        <v>#N/A</v>
      </c>
      <c r="J3061" s="29">
        <f>'Raw data'!K2970</f>
        <v>0</v>
      </c>
      <c r="K3061" s="31">
        <f>'Raw data'!H2970</f>
        <v>0</v>
      </c>
      <c r="L3061" s="26">
        <f t="shared" si="98"/>
        <v>0</v>
      </c>
    </row>
    <row r="3062" spans="2:12">
      <c r="B3062" s="4" t="e">
        <f t="shared" si="97"/>
        <v>#N/A</v>
      </c>
      <c r="C3062" s="4">
        <f>'Raw data'!E2638</f>
        <v>0</v>
      </c>
      <c r="D3062" s="29" t="e">
        <f>VLOOKUP(C3062,'점포코드 '!A:B,2,0)</f>
        <v>#N/A</v>
      </c>
      <c r="E3062" s="30">
        <f>'Raw data'!P2638</f>
        <v>0</v>
      </c>
      <c r="F3062" s="29" t="e">
        <f>VLOOKUP(E3062,'점포코드 '!A:B,2,0)</f>
        <v>#N/A</v>
      </c>
      <c r="G3062" s="46">
        <f>'Raw data'!F2971</f>
        <v>0</v>
      </c>
      <c r="H3062" s="4">
        <f>'Raw data'!G2971</f>
        <v>0</v>
      </c>
      <c r="I3062" s="29" t="e">
        <f>VLOOKUP(G3062,제품명!$C$1:$E$114,2,0)</f>
        <v>#N/A</v>
      </c>
      <c r="J3062" s="29">
        <f>'Raw data'!K2971</f>
        <v>0</v>
      </c>
      <c r="K3062" s="31">
        <f>'Raw data'!H2971</f>
        <v>0</v>
      </c>
      <c r="L3062" s="26">
        <f t="shared" si="98"/>
        <v>0</v>
      </c>
    </row>
    <row r="3063" spans="2:12">
      <c r="B3063" s="4" t="e">
        <f t="shared" si="97"/>
        <v>#N/A</v>
      </c>
      <c r="C3063" s="4">
        <f>'Raw data'!E2639</f>
        <v>0</v>
      </c>
      <c r="D3063" s="29" t="e">
        <f>VLOOKUP(C3063,'점포코드 '!A:B,2,0)</f>
        <v>#N/A</v>
      </c>
      <c r="E3063" s="30">
        <f>'Raw data'!P2639</f>
        <v>0</v>
      </c>
      <c r="F3063" s="29" t="e">
        <f>VLOOKUP(E3063,'점포코드 '!A:B,2,0)</f>
        <v>#N/A</v>
      </c>
      <c r="G3063" s="46">
        <f>'Raw data'!F2972</f>
        <v>0</v>
      </c>
      <c r="H3063" s="4">
        <f>'Raw data'!G2972</f>
        <v>0</v>
      </c>
      <c r="I3063" s="29" t="e">
        <f>VLOOKUP(G3063,제품명!$C$1:$E$114,2,0)</f>
        <v>#N/A</v>
      </c>
      <c r="J3063" s="29">
        <f>'Raw data'!K2972</f>
        <v>0</v>
      </c>
      <c r="K3063" s="31">
        <f>'Raw data'!H2972</f>
        <v>0</v>
      </c>
      <c r="L3063" s="26">
        <f t="shared" si="98"/>
        <v>0</v>
      </c>
    </row>
    <row r="3064" spans="2:12">
      <c r="B3064" s="4" t="e">
        <f t="shared" si="97"/>
        <v>#N/A</v>
      </c>
      <c r="C3064" s="4">
        <f>'Raw data'!E2640</f>
        <v>0</v>
      </c>
      <c r="D3064" s="29" t="e">
        <f>VLOOKUP(C3064,'점포코드 '!A:B,2,0)</f>
        <v>#N/A</v>
      </c>
      <c r="E3064" s="30">
        <f>'Raw data'!P2640</f>
        <v>0</v>
      </c>
      <c r="F3064" s="29" t="e">
        <f>VLOOKUP(E3064,'점포코드 '!A:B,2,0)</f>
        <v>#N/A</v>
      </c>
      <c r="G3064" s="46">
        <f>'Raw data'!F2973</f>
        <v>0</v>
      </c>
      <c r="H3064" s="4">
        <f>'Raw data'!G2973</f>
        <v>0</v>
      </c>
      <c r="I3064" s="29" t="e">
        <f>VLOOKUP(G3064,제품명!$C$1:$E$114,2,0)</f>
        <v>#N/A</v>
      </c>
      <c r="J3064" s="29">
        <f>'Raw data'!K2973</f>
        <v>0</v>
      </c>
      <c r="K3064" s="31">
        <f>'Raw data'!H2973</f>
        <v>0</v>
      </c>
      <c r="L3064" s="26">
        <f t="shared" si="98"/>
        <v>0</v>
      </c>
    </row>
    <row r="3065" spans="2:12">
      <c r="B3065" s="4" t="e">
        <f t="shared" si="97"/>
        <v>#N/A</v>
      </c>
      <c r="C3065" s="4">
        <f>'Raw data'!E2641</f>
        <v>0</v>
      </c>
      <c r="D3065" s="29" t="e">
        <f>VLOOKUP(C3065,'점포코드 '!A:B,2,0)</f>
        <v>#N/A</v>
      </c>
      <c r="E3065" s="30">
        <f>'Raw data'!P2641</f>
        <v>0</v>
      </c>
      <c r="F3065" s="29" t="e">
        <f>VLOOKUP(E3065,'점포코드 '!A:B,2,0)</f>
        <v>#N/A</v>
      </c>
      <c r="G3065" s="46">
        <f>'Raw data'!F2974</f>
        <v>0</v>
      </c>
      <c r="H3065" s="4">
        <f>'Raw data'!G2974</f>
        <v>0</v>
      </c>
      <c r="I3065" s="29" t="e">
        <f>VLOOKUP(G3065,제품명!$C$1:$E$114,2,0)</f>
        <v>#N/A</v>
      </c>
      <c r="J3065" s="29">
        <f>'Raw data'!K2974</f>
        <v>0</v>
      </c>
      <c r="K3065" s="31">
        <f>'Raw data'!H2974</f>
        <v>0</v>
      </c>
      <c r="L3065" s="26">
        <f t="shared" si="98"/>
        <v>0</v>
      </c>
    </row>
    <row r="3066" spans="2:12">
      <c r="B3066" s="4" t="e">
        <f t="shared" si="97"/>
        <v>#N/A</v>
      </c>
      <c r="C3066" s="4">
        <f>'Raw data'!E2642</f>
        <v>0</v>
      </c>
      <c r="D3066" s="29" t="e">
        <f>VLOOKUP(C3066,'점포코드 '!A:B,2,0)</f>
        <v>#N/A</v>
      </c>
      <c r="E3066" s="30">
        <f>'Raw data'!P2642</f>
        <v>0</v>
      </c>
      <c r="F3066" s="29" t="e">
        <f>VLOOKUP(E3066,'점포코드 '!A:B,2,0)</f>
        <v>#N/A</v>
      </c>
      <c r="G3066" s="46">
        <f>'Raw data'!F2975</f>
        <v>0</v>
      </c>
      <c r="H3066" s="4">
        <f>'Raw data'!G2975</f>
        <v>0</v>
      </c>
      <c r="I3066" s="29" t="e">
        <f>VLOOKUP(G3066,제품명!$C$1:$E$114,2,0)</f>
        <v>#N/A</v>
      </c>
      <c r="J3066" s="29">
        <f>'Raw data'!K2975</f>
        <v>0</v>
      </c>
      <c r="K3066" s="31">
        <f>'Raw data'!H2975</f>
        <v>0</v>
      </c>
      <c r="L3066" s="26">
        <f t="shared" si="98"/>
        <v>0</v>
      </c>
    </row>
    <row r="3067" spans="2:12">
      <c r="B3067" s="4" t="e">
        <f t="shared" si="97"/>
        <v>#N/A</v>
      </c>
      <c r="C3067" s="4">
        <f>'Raw data'!E2643</f>
        <v>0</v>
      </c>
      <c r="D3067" s="29" t="e">
        <f>VLOOKUP(C3067,'점포코드 '!A:B,2,0)</f>
        <v>#N/A</v>
      </c>
      <c r="E3067" s="30">
        <f>'Raw data'!P2643</f>
        <v>0</v>
      </c>
      <c r="F3067" s="29" t="e">
        <f>VLOOKUP(E3067,'점포코드 '!A:B,2,0)</f>
        <v>#N/A</v>
      </c>
      <c r="G3067" s="46">
        <f>'Raw data'!F2976</f>
        <v>0</v>
      </c>
      <c r="H3067" s="4">
        <f>'Raw data'!G2976</f>
        <v>0</v>
      </c>
      <c r="I3067" s="29" t="e">
        <f>VLOOKUP(G3067,제품명!$C$1:$E$114,2,0)</f>
        <v>#N/A</v>
      </c>
      <c r="J3067" s="29">
        <f>'Raw data'!K2976</f>
        <v>0</v>
      </c>
      <c r="K3067" s="31">
        <f>'Raw data'!H2976</f>
        <v>0</v>
      </c>
      <c r="L3067" s="26">
        <f t="shared" si="98"/>
        <v>0</v>
      </c>
    </row>
    <row r="3068" spans="2:12">
      <c r="B3068" s="4" t="e">
        <f t="shared" si="97"/>
        <v>#N/A</v>
      </c>
      <c r="C3068" s="4">
        <f>'Raw data'!E2644</f>
        <v>0</v>
      </c>
      <c r="D3068" s="29" t="e">
        <f>VLOOKUP(C3068,'점포코드 '!A:B,2,0)</f>
        <v>#N/A</v>
      </c>
      <c r="E3068" s="30">
        <f>'Raw data'!P2644</f>
        <v>0</v>
      </c>
      <c r="F3068" s="29" t="e">
        <f>VLOOKUP(E3068,'점포코드 '!A:B,2,0)</f>
        <v>#N/A</v>
      </c>
      <c r="G3068" s="46">
        <f>'Raw data'!F2977</f>
        <v>0</v>
      </c>
      <c r="H3068" s="4">
        <f>'Raw data'!G2977</f>
        <v>0</v>
      </c>
      <c r="I3068" s="29" t="e">
        <f>VLOOKUP(G3068,제품명!$C$1:$E$114,2,0)</f>
        <v>#N/A</v>
      </c>
      <c r="J3068" s="29">
        <f>'Raw data'!K2977</f>
        <v>0</v>
      </c>
      <c r="K3068" s="31">
        <f>'Raw data'!H2977</f>
        <v>0</v>
      </c>
      <c r="L3068" s="26">
        <f t="shared" si="98"/>
        <v>0</v>
      </c>
    </row>
    <row r="3069" spans="2:12">
      <c r="B3069" s="4" t="e">
        <f t="shared" si="97"/>
        <v>#N/A</v>
      </c>
      <c r="C3069" s="4">
        <f>'Raw data'!E2645</f>
        <v>0</v>
      </c>
      <c r="D3069" s="29" t="e">
        <f>VLOOKUP(C3069,'점포코드 '!A:B,2,0)</f>
        <v>#N/A</v>
      </c>
      <c r="E3069" s="30">
        <f>'Raw data'!P2645</f>
        <v>0</v>
      </c>
      <c r="F3069" s="29" t="e">
        <f>VLOOKUP(E3069,'점포코드 '!A:B,2,0)</f>
        <v>#N/A</v>
      </c>
      <c r="G3069" s="46">
        <f>'Raw data'!F2978</f>
        <v>0</v>
      </c>
      <c r="H3069" s="4">
        <f>'Raw data'!G2978</f>
        <v>0</v>
      </c>
      <c r="I3069" s="29" t="e">
        <f>VLOOKUP(G3069,제품명!$C$1:$E$114,2,0)</f>
        <v>#N/A</v>
      </c>
      <c r="J3069" s="29">
        <f>'Raw data'!K2978</f>
        <v>0</v>
      </c>
      <c r="K3069" s="31">
        <f>'Raw data'!H2978</f>
        <v>0</v>
      </c>
      <c r="L3069" s="26">
        <f t="shared" si="98"/>
        <v>0</v>
      </c>
    </row>
    <row r="3070" spans="2:12">
      <c r="B3070" s="4" t="e">
        <f t="shared" si="97"/>
        <v>#N/A</v>
      </c>
      <c r="C3070" s="4">
        <f>'Raw data'!E2646</f>
        <v>0</v>
      </c>
      <c r="D3070" s="29" t="e">
        <f>VLOOKUP(C3070,'점포코드 '!A:B,2,0)</f>
        <v>#N/A</v>
      </c>
      <c r="E3070" s="30">
        <f>'Raw data'!P2646</f>
        <v>0</v>
      </c>
      <c r="F3070" s="29" t="e">
        <f>VLOOKUP(E3070,'점포코드 '!A:B,2,0)</f>
        <v>#N/A</v>
      </c>
      <c r="G3070" s="46">
        <f>'Raw data'!F2979</f>
        <v>0</v>
      </c>
      <c r="H3070" s="4">
        <f>'Raw data'!G2979</f>
        <v>0</v>
      </c>
      <c r="I3070" s="29" t="e">
        <f>VLOOKUP(G3070,제품명!$C$1:$E$114,2,0)</f>
        <v>#N/A</v>
      </c>
      <c r="J3070" s="29">
        <f>'Raw data'!K2979</f>
        <v>0</v>
      </c>
      <c r="K3070" s="31">
        <f>'Raw data'!H2979</f>
        <v>0</v>
      </c>
      <c r="L3070" s="26">
        <f t="shared" si="98"/>
        <v>0</v>
      </c>
    </row>
    <row r="3071" spans="2:12">
      <c r="B3071" s="4" t="e">
        <f t="shared" si="97"/>
        <v>#N/A</v>
      </c>
      <c r="C3071" s="4">
        <f>'Raw data'!E2647</f>
        <v>0</v>
      </c>
      <c r="D3071" s="29" t="e">
        <f>VLOOKUP(C3071,'점포코드 '!A:B,2,0)</f>
        <v>#N/A</v>
      </c>
      <c r="E3071" s="30">
        <f>'Raw data'!P2647</f>
        <v>0</v>
      </c>
      <c r="F3071" s="29" t="e">
        <f>VLOOKUP(E3071,'점포코드 '!A:B,2,0)</f>
        <v>#N/A</v>
      </c>
      <c r="G3071" s="46">
        <f>'Raw data'!F2980</f>
        <v>0</v>
      </c>
      <c r="H3071" s="4">
        <f>'Raw data'!G2980</f>
        <v>0</v>
      </c>
      <c r="I3071" s="29" t="e">
        <f>VLOOKUP(G3071,제품명!$C$1:$E$114,2,0)</f>
        <v>#N/A</v>
      </c>
      <c r="J3071" s="29">
        <f>'Raw data'!K2980</f>
        <v>0</v>
      </c>
      <c r="K3071" s="31">
        <f>'Raw data'!H2980</f>
        <v>0</v>
      </c>
      <c r="L3071" s="26">
        <f t="shared" si="98"/>
        <v>0</v>
      </c>
    </row>
    <row r="3072" spans="2:12">
      <c r="B3072" s="4" t="e">
        <f t="shared" si="97"/>
        <v>#N/A</v>
      </c>
      <c r="C3072" s="4">
        <f>'Raw data'!E2648</f>
        <v>0</v>
      </c>
      <c r="D3072" s="29" t="e">
        <f>VLOOKUP(C3072,'점포코드 '!A:B,2,0)</f>
        <v>#N/A</v>
      </c>
      <c r="E3072" s="30">
        <f>'Raw data'!P2648</f>
        <v>0</v>
      </c>
      <c r="F3072" s="29" t="e">
        <f>VLOOKUP(E3072,'점포코드 '!A:B,2,0)</f>
        <v>#N/A</v>
      </c>
      <c r="G3072" s="46">
        <f>'Raw data'!F2981</f>
        <v>0</v>
      </c>
      <c r="H3072" s="4">
        <f>'Raw data'!G2981</f>
        <v>0</v>
      </c>
      <c r="I3072" s="29" t="e">
        <f>VLOOKUP(G3072,제품명!$C$1:$E$114,2,0)</f>
        <v>#N/A</v>
      </c>
      <c r="J3072" s="29">
        <f>'Raw data'!K2981</f>
        <v>0</v>
      </c>
      <c r="K3072" s="31">
        <f>'Raw data'!H2981</f>
        <v>0</v>
      </c>
      <c r="L3072" s="26">
        <f t="shared" si="98"/>
        <v>0</v>
      </c>
    </row>
    <row r="3073" spans="2:12">
      <c r="B3073" s="4" t="e">
        <f t="shared" si="97"/>
        <v>#N/A</v>
      </c>
      <c r="C3073" s="4">
        <f>'Raw data'!E2649</f>
        <v>0</v>
      </c>
      <c r="D3073" s="29" t="e">
        <f>VLOOKUP(C3073,'점포코드 '!A:B,2,0)</f>
        <v>#N/A</v>
      </c>
      <c r="E3073" s="30">
        <f>'Raw data'!P2649</f>
        <v>0</v>
      </c>
      <c r="F3073" s="29" t="e">
        <f>VLOOKUP(E3073,'점포코드 '!A:B,2,0)</f>
        <v>#N/A</v>
      </c>
      <c r="G3073" s="46">
        <f>'Raw data'!F2982</f>
        <v>0</v>
      </c>
      <c r="H3073" s="4">
        <f>'Raw data'!G2982</f>
        <v>0</v>
      </c>
      <c r="I3073" s="29" t="e">
        <f>VLOOKUP(G3073,제품명!$C$1:$E$114,2,0)</f>
        <v>#N/A</v>
      </c>
      <c r="J3073" s="29">
        <f>'Raw data'!K2982</f>
        <v>0</v>
      </c>
      <c r="K3073" s="31">
        <f>'Raw data'!H2982</f>
        <v>0</v>
      </c>
      <c r="L3073" s="26">
        <f t="shared" si="98"/>
        <v>0</v>
      </c>
    </row>
    <row r="3074" spans="2:12">
      <c r="B3074" s="4" t="e">
        <f t="shared" ref="B3074:B3137" si="99">F3074&amp;I3074</f>
        <v>#N/A</v>
      </c>
      <c r="C3074" s="4">
        <f>'Raw data'!E2650</f>
        <v>0</v>
      </c>
      <c r="D3074" s="29" t="e">
        <f>VLOOKUP(C3074,'점포코드 '!A:B,2,0)</f>
        <v>#N/A</v>
      </c>
      <c r="E3074" s="30">
        <f>'Raw data'!P2650</f>
        <v>0</v>
      </c>
      <c r="F3074" s="29" t="e">
        <f>VLOOKUP(E3074,'점포코드 '!A:B,2,0)</f>
        <v>#N/A</v>
      </c>
      <c r="G3074" s="46">
        <f>'Raw data'!F2983</f>
        <v>0</v>
      </c>
      <c r="H3074" s="4">
        <f>'Raw data'!G2983</f>
        <v>0</v>
      </c>
      <c r="I3074" s="29" t="e">
        <f>VLOOKUP(G3074,제품명!$C$1:$E$114,2,0)</f>
        <v>#N/A</v>
      </c>
      <c r="J3074" s="29">
        <f>'Raw data'!K2983</f>
        <v>0</v>
      </c>
      <c r="K3074" s="31">
        <f>'Raw data'!H2983</f>
        <v>0</v>
      </c>
      <c r="L3074" s="26">
        <f t="shared" si="98"/>
        <v>0</v>
      </c>
    </row>
    <row r="3075" spans="2:12">
      <c r="B3075" s="4" t="e">
        <f t="shared" si="99"/>
        <v>#N/A</v>
      </c>
      <c r="C3075" s="4">
        <f>'Raw data'!E2651</f>
        <v>0</v>
      </c>
      <c r="D3075" s="29" t="e">
        <f>VLOOKUP(C3075,'점포코드 '!A:B,2,0)</f>
        <v>#N/A</v>
      </c>
      <c r="E3075" s="30">
        <f>'Raw data'!P2651</f>
        <v>0</v>
      </c>
      <c r="F3075" s="29" t="e">
        <f>VLOOKUP(E3075,'점포코드 '!A:B,2,0)</f>
        <v>#N/A</v>
      </c>
      <c r="G3075" s="46">
        <f>'Raw data'!F2984</f>
        <v>0</v>
      </c>
      <c r="H3075" s="4">
        <f>'Raw data'!G2984</f>
        <v>0</v>
      </c>
      <c r="I3075" s="29" t="e">
        <f>VLOOKUP(G3075,제품명!$C$1:$E$114,2,0)</f>
        <v>#N/A</v>
      </c>
      <c r="J3075" s="29">
        <f>'Raw data'!K2984</f>
        <v>0</v>
      </c>
      <c r="K3075" s="31">
        <f>'Raw data'!H2984</f>
        <v>0</v>
      </c>
      <c r="L3075" s="26">
        <f t="shared" ref="L3075:L3138" si="100">J3075*K3075</f>
        <v>0</v>
      </c>
    </row>
    <row r="3076" spans="2:12">
      <c r="B3076" s="4" t="e">
        <f t="shared" si="99"/>
        <v>#N/A</v>
      </c>
      <c r="C3076" s="4">
        <f>'Raw data'!E2652</f>
        <v>0</v>
      </c>
      <c r="D3076" s="29" t="e">
        <f>VLOOKUP(C3076,'점포코드 '!A:B,2,0)</f>
        <v>#N/A</v>
      </c>
      <c r="E3076" s="30">
        <f>'Raw data'!P2652</f>
        <v>0</v>
      </c>
      <c r="F3076" s="29" t="e">
        <f>VLOOKUP(E3076,'점포코드 '!A:B,2,0)</f>
        <v>#N/A</v>
      </c>
      <c r="G3076" s="46">
        <f>'Raw data'!F2985</f>
        <v>0</v>
      </c>
      <c r="H3076" s="4">
        <f>'Raw data'!G2985</f>
        <v>0</v>
      </c>
      <c r="I3076" s="29" t="e">
        <f>VLOOKUP(G3076,제품명!$C$1:$E$114,2,0)</f>
        <v>#N/A</v>
      </c>
      <c r="J3076" s="29">
        <f>'Raw data'!K2985</f>
        <v>0</v>
      </c>
      <c r="K3076" s="31">
        <f>'Raw data'!H2985</f>
        <v>0</v>
      </c>
      <c r="L3076" s="26">
        <f t="shared" si="100"/>
        <v>0</v>
      </c>
    </row>
    <row r="3077" spans="2:12">
      <c r="B3077" s="4" t="e">
        <f t="shared" si="99"/>
        <v>#N/A</v>
      </c>
      <c r="C3077" s="4">
        <f>'Raw data'!E2653</f>
        <v>0</v>
      </c>
      <c r="D3077" s="29" t="e">
        <f>VLOOKUP(C3077,'점포코드 '!A:B,2,0)</f>
        <v>#N/A</v>
      </c>
      <c r="E3077" s="30">
        <f>'Raw data'!P2653</f>
        <v>0</v>
      </c>
      <c r="F3077" s="29" t="e">
        <f>VLOOKUP(E3077,'점포코드 '!A:B,2,0)</f>
        <v>#N/A</v>
      </c>
      <c r="G3077" s="46">
        <f>'Raw data'!F2986</f>
        <v>0</v>
      </c>
      <c r="H3077" s="4">
        <f>'Raw data'!G2986</f>
        <v>0</v>
      </c>
      <c r="I3077" s="29" t="e">
        <f>VLOOKUP(G3077,제품명!$C$1:$E$114,2,0)</f>
        <v>#N/A</v>
      </c>
      <c r="J3077" s="29">
        <f>'Raw data'!K2986</f>
        <v>0</v>
      </c>
      <c r="K3077" s="31">
        <f>'Raw data'!H2986</f>
        <v>0</v>
      </c>
      <c r="L3077" s="26">
        <f t="shared" si="100"/>
        <v>0</v>
      </c>
    </row>
    <row r="3078" spans="2:12">
      <c r="B3078" s="4" t="e">
        <f t="shared" si="99"/>
        <v>#N/A</v>
      </c>
      <c r="C3078" s="4">
        <f>'Raw data'!E2654</f>
        <v>0</v>
      </c>
      <c r="D3078" s="29" t="e">
        <f>VLOOKUP(C3078,'점포코드 '!A:B,2,0)</f>
        <v>#N/A</v>
      </c>
      <c r="E3078" s="30">
        <f>'Raw data'!P2654</f>
        <v>0</v>
      </c>
      <c r="F3078" s="29" t="e">
        <f>VLOOKUP(E3078,'점포코드 '!A:B,2,0)</f>
        <v>#N/A</v>
      </c>
      <c r="G3078" s="46">
        <f>'Raw data'!F2987</f>
        <v>0</v>
      </c>
      <c r="H3078" s="4">
        <f>'Raw data'!G2987</f>
        <v>0</v>
      </c>
      <c r="I3078" s="29" t="e">
        <f>VLOOKUP(G3078,제품명!$C$1:$E$114,2,0)</f>
        <v>#N/A</v>
      </c>
      <c r="J3078" s="29">
        <f>'Raw data'!K2987</f>
        <v>0</v>
      </c>
      <c r="K3078" s="31">
        <f>'Raw data'!H2987</f>
        <v>0</v>
      </c>
      <c r="L3078" s="26">
        <f t="shared" si="100"/>
        <v>0</v>
      </c>
    </row>
    <row r="3079" spans="2:12">
      <c r="B3079" s="4" t="e">
        <f t="shared" si="99"/>
        <v>#N/A</v>
      </c>
      <c r="C3079" s="4">
        <f>'Raw data'!E2655</f>
        <v>0</v>
      </c>
      <c r="D3079" s="29" t="e">
        <f>VLOOKUP(C3079,'점포코드 '!A:B,2,0)</f>
        <v>#N/A</v>
      </c>
      <c r="E3079" s="30">
        <f>'Raw data'!P2655</f>
        <v>0</v>
      </c>
      <c r="F3079" s="29" t="e">
        <f>VLOOKUP(E3079,'점포코드 '!A:B,2,0)</f>
        <v>#N/A</v>
      </c>
      <c r="G3079" s="46">
        <f>'Raw data'!F2988</f>
        <v>0</v>
      </c>
      <c r="H3079" s="4">
        <f>'Raw data'!G2988</f>
        <v>0</v>
      </c>
      <c r="I3079" s="29" t="e">
        <f>VLOOKUP(G3079,제품명!$C$1:$E$114,2,0)</f>
        <v>#N/A</v>
      </c>
      <c r="J3079" s="29">
        <f>'Raw data'!K2988</f>
        <v>0</v>
      </c>
      <c r="K3079" s="31">
        <f>'Raw data'!H2988</f>
        <v>0</v>
      </c>
      <c r="L3079" s="26">
        <f t="shared" si="100"/>
        <v>0</v>
      </c>
    </row>
    <row r="3080" spans="2:12">
      <c r="B3080" s="4" t="e">
        <f t="shared" si="99"/>
        <v>#N/A</v>
      </c>
      <c r="C3080" s="4">
        <f>'Raw data'!E2656</f>
        <v>0</v>
      </c>
      <c r="D3080" s="29" t="e">
        <f>VLOOKUP(C3080,'점포코드 '!A:B,2,0)</f>
        <v>#N/A</v>
      </c>
      <c r="E3080" s="30">
        <f>'Raw data'!P2656</f>
        <v>0</v>
      </c>
      <c r="F3080" s="29" t="e">
        <f>VLOOKUP(E3080,'점포코드 '!A:B,2,0)</f>
        <v>#N/A</v>
      </c>
      <c r="G3080" s="46">
        <f>'Raw data'!F2989</f>
        <v>0</v>
      </c>
      <c r="H3080" s="4">
        <f>'Raw data'!G2989</f>
        <v>0</v>
      </c>
      <c r="I3080" s="29" t="e">
        <f>VLOOKUP(G3080,제품명!$C$1:$E$114,2,0)</f>
        <v>#N/A</v>
      </c>
      <c r="J3080" s="29">
        <f>'Raw data'!K2989</f>
        <v>0</v>
      </c>
      <c r="K3080" s="31">
        <f>'Raw data'!H2989</f>
        <v>0</v>
      </c>
      <c r="L3080" s="26">
        <f t="shared" si="100"/>
        <v>0</v>
      </c>
    </row>
    <row r="3081" spans="2:12">
      <c r="B3081" s="4" t="e">
        <f t="shared" si="99"/>
        <v>#N/A</v>
      </c>
      <c r="C3081" s="4">
        <f>'Raw data'!E2657</f>
        <v>0</v>
      </c>
      <c r="D3081" s="29" t="e">
        <f>VLOOKUP(C3081,'점포코드 '!A:B,2,0)</f>
        <v>#N/A</v>
      </c>
      <c r="E3081" s="30">
        <f>'Raw data'!P2657</f>
        <v>0</v>
      </c>
      <c r="F3081" s="29" t="e">
        <f>VLOOKUP(E3081,'점포코드 '!A:B,2,0)</f>
        <v>#N/A</v>
      </c>
      <c r="G3081" s="46">
        <f>'Raw data'!F2990</f>
        <v>0</v>
      </c>
      <c r="H3081" s="4">
        <f>'Raw data'!G2990</f>
        <v>0</v>
      </c>
      <c r="I3081" s="29" t="e">
        <f>VLOOKUP(G3081,제품명!$C$1:$E$114,2,0)</f>
        <v>#N/A</v>
      </c>
      <c r="J3081" s="29">
        <f>'Raw data'!K2990</f>
        <v>0</v>
      </c>
      <c r="K3081" s="31">
        <f>'Raw data'!H2990</f>
        <v>0</v>
      </c>
      <c r="L3081" s="26">
        <f t="shared" si="100"/>
        <v>0</v>
      </c>
    </row>
    <row r="3082" spans="2:12">
      <c r="B3082" s="4" t="e">
        <f t="shared" si="99"/>
        <v>#N/A</v>
      </c>
      <c r="C3082" s="4">
        <f>'Raw data'!E2658</f>
        <v>0</v>
      </c>
      <c r="D3082" s="29" t="e">
        <f>VLOOKUP(C3082,'점포코드 '!A:B,2,0)</f>
        <v>#N/A</v>
      </c>
      <c r="E3082" s="30">
        <f>'Raw data'!P2658</f>
        <v>0</v>
      </c>
      <c r="F3082" s="29" t="e">
        <f>VLOOKUP(E3082,'점포코드 '!A:B,2,0)</f>
        <v>#N/A</v>
      </c>
      <c r="G3082" s="46">
        <f>'Raw data'!F2991</f>
        <v>0</v>
      </c>
      <c r="H3082" s="4">
        <f>'Raw data'!G2991</f>
        <v>0</v>
      </c>
      <c r="I3082" s="29" t="e">
        <f>VLOOKUP(G3082,제품명!$C$1:$E$114,2,0)</f>
        <v>#N/A</v>
      </c>
      <c r="J3082" s="29">
        <f>'Raw data'!K2991</f>
        <v>0</v>
      </c>
      <c r="K3082" s="31">
        <f>'Raw data'!H2991</f>
        <v>0</v>
      </c>
      <c r="L3082" s="26">
        <f t="shared" si="100"/>
        <v>0</v>
      </c>
    </row>
    <row r="3083" spans="2:12">
      <c r="B3083" s="4" t="e">
        <f t="shared" si="99"/>
        <v>#N/A</v>
      </c>
      <c r="C3083" s="4">
        <f>'Raw data'!E2659</f>
        <v>0</v>
      </c>
      <c r="D3083" s="29" t="e">
        <f>VLOOKUP(C3083,'점포코드 '!A:B,2,0)</f>
        <v>#N/A</v>
      </c>
      <c r="E3083" s="30">
        <f>'Raw data'!P2659</f>
        <v>0</v>
      </c>
      <c r="F3083" s="29" t="e">
        <f>VLOOKUP(E3083,'점포코드 '!A:B,2,0)</f>
        <v>#N/A</v>
      </c>
      <c r="G3083" s="46">
        <f>'Raw data'!F2992</f>
        <v>0</v>
      </c>
      <c r="H3083" s="4">
        <f>'Raw data'!G2992</f>
        <v>0</v>
      </c>
      <c r="I3083" s="29" t="e">
        <f>VLOOKUP(G3083,제품명!$C$1:$E$114,2,0)</f>
        <v>#N/A</v>
      </c>
      <c r="J3083" s="29">
        <f>'Raw data'!K2992</f>
        <v>0</v>
      </c>
      <c r="K3083" s="31">
        <f>'Raw data'!H2992</f>
        <v>0</v>
      </c>
      <c r="L3083" s="26">
        <f t="shared" si="100"/>
        <v>0</v>
      </c>
    </row>
    <row r="3084" spans="2:12">
      <c r="B3084" s="4" t="e">
        <f t="shared" si="99"/>
        <v>#N/A</v>
      </c>
      <c r="C3084" s="4">
        <f>'Raw data'!E2660</f>
        <v>0</v>
      </c>
      <c r="D3084" s="29" t="e">
        <f>VLOOKUP(C3084,'점포코드 '!A:B,2,0)</f>
        <v>#N/A</v>
      </c>
      <c r="E3084" s="30">
        <f>'Raw data'!P2660</f>
        <v>0</v>
      </c>
      <c r="F3084" s="29" t="e">
        <f>VLOOKUP(E3084,'점포코드 '!A:B,2,0)</f>
        <v>#N/A</v>
      </c>
      <c r="G3084" s="46">
        <f>'Raw data'!F2993</f>
        <v>0</v>
      </c>
      <c r="H3084" s="4">
        <f>'Raw data'!G2993</f>
        <v>0</v>
      </c>
      <c r="I3084" s="29" t="e">
        <f>VLOOKUP(G3084,제품명!$C$1:$E$114,2,0)</f>
        <v>#N/A</v>
      </c>
      <c r="J3084" s="29">
        <f>'Raw data'!K2993</f>
        <v>0</v>
      </c>
      <c r="K3084" s="31">
        <f>'Raw data'!H2993</f>
        <v>0</v>
      </c>
      <c r="L3084" s="26">
        <f t="shared" si="100"/>
        <v>0</v>
      </c>
    </row>
    <row r="3085" spans="2:12">
      <c r="B3085" s="4" t="e">
        <f t="shared" si="99"/>
        <v>#N/A</v>
      </c>
      <c r="C3085" s="4">
        <f>'Raw data'!E2661</f>
        <v>0</v>
      </c>
      <c r="D3085" s="29" t="e">
        <f>VLOOKUP(C3085,'점포코드 '!A:B,2,0)</f>
        <v>#N/A</v>
      </c>
      <c r="E3085" s="30">
        <f>'Raw data'!P2661</f>
        <v>0</v>
      </c>
      <c r="F3085" s="29" t="e">
        <f>VLOOKUP(E3085,'점포코드 '!A:B,2,0)</f>
        <v>#N/A</v>
      </c>
      <c r="G3085" s="46">
        <f>'Raw data'!F2994</f>
        <v>0</v>
      </c>
      <c r="H3085" s="4">
        <f>'Raw data'!G2994</f>
        <v>0</v>
      </c>
      <c r="I3085" s="29" t="e">
        <f>VLOOKUP(G3085,제품명!$C$1:$E$114,2,0)</f>
        <v>#N/A</v>
      </c>
      <c r="J3085" s="29">
        <f>'Raw data'!K2994</f>
        <v>0</v>
      </c>
      <c r="K3085" s="31">
        <f>'Raw data'!H2994</f>
        <v>0</v>
      </c>
      <c r="L3085" s="26">
        <f t="shared" si="100"/>
        <v>0</v>
      </c>
    </row>
    <row r="3086" spans="2:12">
      <c r="B3086" s="4" t="e">
        <f t="shared" si="99"/>
        <v>#N/A</v>
      </c>
      <c r="C3086" s="4">
        <f>'Raw data'!E2662</f>
        <v>0</v>
      </c>
      <c r="D3086" s="29" t="e">
        <f>VLOOKUP(C3086,'점포코드 '!A:B,2,0)</f>
        <v>#N/A</v>
      </c>
      <c r="E3086" s="30">
        <f>'Raw data'!P2662</f>
        <v>0</v>
      </c>
      <c r="F3086" s="29" t="e">
        <f>VLOOKUP(E3086,'점포코드 '!A:B,2,0)</f>
        <v>#N/A</v>
      </c>
      <c r="G3086" s="46">
        <f>'Raw data'!F2995</f>
        <v>0</v>
      </c>
      <c r="H3086" s="4">
        <f>'Raw data'!G2995</f>
        <v>0</v>
      </c>
      <c r="I3086" s="29" t="e">
        <f>VLOOKUP(G3086,제품명!$C$1:$E$114,2,0)</f>
        <v>#N/A</v>
      </c>
      <c r="J3086" s="29">
        <f>'Raw data'!K2995</f>
        <v>0</v>
      </c>
      <c r="K3086" s="31">
        <f>'Raw data'!H2995</f>
        <v>0</v>
      </c>
      <c r="L3086" s="26">
        <f t="shared" si="100"/>
        <v>0</v>
      </c>
    </row>
    <row r="3087" spans="2:12">
      <c r="B3087" s="4" t="e">
        <f t="shared" si="99"/>
        <v>#N/A</v>
      </c>
      <c r="C3087" s="4">
        <f>'Raw data'!E2663</f>
        <v>0</v>
      </c>
      <c r="D3087" s="29" t="e">
        <f>VLOOKUP(C3087,'점포코드 '!A:B,2,0)</f>
        <v>#N/A</v>
      </c>
      <c r="E3087" s="30">
        <f>'Raw data'!P2663</f>
        <v>0</v>
      </c>
      <c r="F3087" s="29" t="e">
        <f>VLOOKUP(E3087,'점포코드 '!A:B,2,0)</f>
        <v>#N/A</v>
      </c>
      <c r="G3087" s="46">
        <f>'Raw data'!F2996</f>
        <v>0</v>
      </c>
      <c r="H3087" s="4">
        <f>'Raw data'!G2996</f>
        <v>0</v>
      </c>
      <c r="I3087" s="29" t="e">
        <f>VLOOKUP(G3087,제품명!$C$1:$E$114,2,0)</f>
        <v>#N/A</v>
      </c>
      <c r="J3087" s="29">
        <f>'Raw data'!K2996</f>
        <v>0</v>
      </c>
      <c r="K3087" s="31">
        <f>'Raw data'!H2996</f>
        <v>0</v>
      </c>
      <c r="L3087" s="26">
        <f t="shared" si="100"/>
        <v>0</v>
      </c>
    </row>
    <row r="3088" spans="2:12">
      <c r="B3088" s="4" t="e">
        <f t="shared" si="99"/>
        <v>#N/A</v>
      </c>
      <c r="C3088" s="4">
        <f>'Raw data'!E2664</f>
        <v>0</v>
      </c>
      <c r="D3088" s="29" t="e">
        <f>VLOOKUP(C3088,'점포코드 '!A:B,2,0)</f>
        <v>#N/A</v>
      </c>
      <c r="E3088" s="30">
        <f>'Raw data'!P2664</f>
        <v>0</v>
      </c>
      <c r="F3088" s="29" t="e">
        <f>VLOOKUP(E3088,'점포코드 '!A:B,2,0)</f>
        <v>#N/A</v>
      </c>
      <c r="G3088" s="46">
        <f>'Raw data'!F2997</f>
        <v>0</v>
      </c>
      <c r="H3088" s="4">
        <f>'Raw data'!G2997</f>
        <v>0</v>
      </c>
      <c r="I3088" s="29" t="e">
        <f>VLOOKUP(G3088,제품명!$C$1:$E$114,2,0)</f>
        <v>#N/A</v>
      </c>
      <c r="J3088" s="29">
        <f>'Raw data'!K2997</f>
        <v>0</v>
      </c>
      <c r="K3088" s="31">
        <f>'Raw data'!H2997</f>
        <v>0</v>
      </c>
      <c r="L3088" s="26">
        <f t="shared" si="100"/>
        <v>0</v>
      </c>
    </row>
    <row r="3089" spans="2:12">
      <c r="B3089" s="4" t="e">
        <f t="shared" si="99"/>
        <v>#N/A</v>
      </c>
      <c r="C3089" s="4">
        <f>'Raw data'!E2665</f>
        <v>0</v>
      </c>
      <c r="D3089" s="29" t="e">
        <f>VLOOKUP(C3089,'점포코드 '!A:B,2,0)</f>
        <v>#N/A</v>
      </c>
      <c r="E3089" s="30">
        <f>'Raw data'!P2665</f>
        <v>0</v>
      </c>
      <c r="F3089" s="29" t="e">
        <f>VLOOKUP(E3089,'점포코드 '!A:B,2,0)</f>
        <v>#N/A</v>
      </c>
      <c r="G3089" s="46">
        <f>'Raw data'!F2998</f>
        <v>0</v>
      </c>
      <c r="H3089" s="4">
        <f>'Raw data'!G2998</f>
        <v>0</v>
      </c>
      <c r="I3089" s="29" t="e">
        <f>VLOOKUP(G3089,제품명!$C$1:$E$114,2,0)</f>
        <v>#N/A</v>
      </c>
      <c r="J3089" s="29">
        <f>'Raw data'!K2998</f>
        <v>0</v>
      </c>
      <c r="K3089" s="31">
        <f>'Raw data'!H2998</f>
        <v>0</v>
      </c>
      <c r="L3089" s="26">
        <f t="shared" si="100"/>
        <v>0</v>
      </c>
    </row>
    <row r="3090" spans="2:12">
      <c r="B3090" s="4" t="e">
        <f t="shared" si="99"/>
        <v>#N/A</v>
      </c>
      <c r="C3090" s="4">
        <f>'Raw data'!E2666</f>
        <v>0</v>
      </c>
      <c r="D3090" s="29" t="e">
        <f>VLOOKUP(C3090,'점포코드 '!A:B,2,0)</f>
        <v>#N/A</v>
      </c>
      <c r="E3090" s="30">
        <f>'Raw data'!P2666</f>
        <v>0</v>
      </c>
      <c r="F3090" s="29" t="e">
        <f>VLOOKUP(E3090,'점포코드 '!A:B,2,0)</f>
        <v>#N/A</v>
      </c>
      <c r="G3090" s="46">
        <f>'Raw data'!F2999</f>
        <v>0</v>
      </c>
      <c r="H3090" s="4">
        <f>'Raw data'!G2999</f>
        <v>0</v>
      </c>
      <c r="I3090" s="29" t="e">
        <f>VLOOKUP(G3090,제품명!$C$1:$E$114,2,0)</f>
        <v>#N/A</v>
      </c>
      <c r="J3090" s="29">
        <f>'Raw data'!K2999</f>
        <v>0</v>
      </c>
      <c r="K3090" s="31">
        <f>'Raw data'!H2999</f>
        <v>0</v>
      </c>
      <c r="L3090" s="26">
        <f t="shared" si="100"/>
        <v>0</v>
      </c>
    </row>
    <row r="3091" spans="2:12">
      <c r="B3091" s="4" t="e">
        <f t="shared" si="99"/>
        <v>#N/A</v>
      </c>
      <c r="C3091" s="4">
        <f>'Raw data'!E2667</f>
        <v>0</v>
      </c>
      <c r="D3091" s="29" t="e">
        <f>VLOOKUP(C3091,'점포코드 '!A:B,2,0)</f>
        <v>#N/A</v>
      </c>
      <c r="E3091" s="30">
        <f>'Raw data'!P2667</f>
        <v>0</v>
      </c>
      <c r="F3091" s="29" t="e">
        <f>VLOOKUP(E3091,'점포코드 '!A:B,2,0)</f>
        <v>#N/A</v>
      </c>
      <c r="G3091" s="46">
        <f>'Raw data'!F3000</f>
        <v>0</v>
      </c>
      <c r="H3091" s="4">
        <f>'Raw data'!G3000</f>
        <v>0</v>
      </c>
      <c r="I3091" s="29" t="e">
        <f>VLOOKUP(G3091,제품명!$C$1:$E$114,2,0)</f>
        <v>#N/A</v>
      </c>
      <c r="J3091" s="29">
        <f>'Raw data'!K3000</f>
        <v>0</v>
      </c>
      <c r="K3091" s="31">
        <f>'Raw data'!H3000</f>
        <v>0</v>
      </c>
      <c r="L3091" s="26">
        <f t="shared" si="100"/>
        <v>0</v>
      </c>
    </row>
    <row r="3092" spans="2:12">
      <c r="B3092" s="4" t="e">
        <f t="shared" si="99"/>
        <v>#N/A</v>
      </c>
      <c r="C3092" s="4">
        <f>'Raw data'!E2668</f>
        <v>0</v>
      </c>
      <c r="D3092" s="29" t="e">
        <f>VLOOKUP(C3092,'점포코드 '!A:B,2,0)</f>
        <v>#N/A</v>
      </c>
      <c r="E3092" s="30">
        <f>'Raw data'!P2668</f>
        <v>0</v>
      </c>
      <c r="F3092" s="29" t="e">
        <f>VLOOKUP(E3092,'점포코드 '!A:B,2,0)</f>
        <v>#N/A</v>
      </c>
      <c r="G3092" s="46">
        <f>'Raw data'!F3001</f>
        <v>0</v>
      </c>
      <c r="H3092" s="4">
        <f>'Raw data'!G3001</f>
        <v>0</v>
      </c>
      <c r="I3092" s="29" t="e">
        <f>VLOOKUP(G3092,제품명!$C$1:$E$114,2,0)</f>
        <v>#N/A</v>
      </c>
      <c r="J3092" s="29">
        <f>'Raw data'!K3001</f>
        <v>0</v>
      </c>
      <c r="K3092" s="31">
        <f>'Raw data'!H3001</f>
        <v>0</v>
      </c>
      <c r="L3092" s="26">
        <f t="shared" si="100"/>
        <v>0</v>
      </c>
    </row>
    <row r="3093" spans="2:12">
      <c r="B3093" s="4" t="e">
        <f t="shared" si="99"/>
        <v>#N/A</v>
      </c>
      <c r="C3093" s="4">
        <f>'Raw data'!E2669</f>
        <v>0</v>
      </c>
      <c r="D3093" s="29" t="e">
        <f>VLOOKUP(C3093,'점포코드 '!A:B,2,0)</f>
        <v>#N/A</v>
      </c>
      <c r="E3093" s="30">
        <f>'Raw data'!P2669</f>
        <v>0</v>
      </c>
      <c r="F3093" s="29" t="e">
        <f>VLOOKUP(E3093,'점포코드 '!A:B,2,0)</f>
        <v>#N/A</v>
      </c>
      <c r="G3093" s="46">
        <f>'Raw data'!F3002</f>
        <v>0</v>
      </c>
      <c r="H3093" s="4">
        <f>'Raw data'!G3002</f>
        <v>0</v>
      </c>
      <c r="I3093" s="29" t="e">
        <f>VLOOKUP(G3093,제품명!$C$1:$E$114,2,0)</f>
        <v>#N/A</v>
      </c>
      <c r="J3093" s="29">
        <f>'Raw data'!K3002</f>
        <v>0</v>
      </c>
      <c r="K3093" s="31">
        <f>'Raw data'!H3002</f>
        <v>0</v>
      </c>
      <c r="L3093" s="26">
        <f t="shared" si="100"/>
        <v>0</v>
      </c>
    </row>
    <row r="3094" spans="2:12">
      <c r="B3094" s="4" t="e">
        <f t="shared" si="99"/>
        <v>#N/A</v>
      </c>
      <c r="C3094" s="4">
        <f>'Raw data'!E2670</f>
        <v>0</v>
      </c>
      <c r="D3094" s="29" t="e">
        <f>VLOOKUP(C3094,'점포코드 '!A:B,2,0)</f>
        <v>#N/A</v>
      </c>
      <c r="E3094" s="30">
        <f>'Raw data'!P2670</f>
        <v>0</v>
      </c>
      <c r="F3094" s="29" t="e">
        <f>VLOOKUP(E3094,'점포코드 '!A:B,2,0)</f>
        <v>#N/A</v>
      </c>
      <c r="G3094" s="46">
        <f>'Raw data'!F3003</f>
        <v>0</v>
      </c>
      <c r="H3094" s="4">
        <f>'Raw data'!G3003</f>
        <v>0</v>
      </c>
      <c r="I3094" s="29" t="e">
        <f>VLOOKUP(G3094,제품명!$C$1:$E$114,2,0)</f>
        <v>#N/A</v>
      </c>
      <c r="J3094" s="29">
        <f>'Raw data'!K3003</f>
        <v>0</v>
      </c>
      <c r="K3094" s="31">
        <f>'Raw data'!H3003</f>
        <v>0</v>
      </c>
      <c r="L3094" s="26">
        <f t="shared" si="100"/>
        <v>0</v>
      </c>
    </row>
    <row r="3095" spans="2:12">
      <c r="B3095" s="4" t="e">
        <f t="shared" si="99"/>
        <v>#N/A</v>
      </c>
      <c r="C3095" s="4">
        <f>'Raw data'!E2671</f>
        <v>0</v>
      </c>
      <c r="D3095" s="29" t="e">
        <f>VLOOKUP(C3095,'점포코드 '!A:B,2,0)</f>
        <v>#N/A</v>
      </c>
      <c r="E3095" s="30">
        <f>'Raw data'!P2671</f>
        <v>0</v>
      </c>
      <c r="F3095" s="29" t="e">
        <f>VLOOKUP(E3095,'점포코드 '!A:B,2,0)</f>
        <v>#N/A</v>
      </c>
      <c r="G3095" s="46">
        <f>'Raw data'!F3004</f>
        <v>0</v>
      </c>
      <c r="H3095" s="4">
        <f>'Raw data'!G3004</f>
        <v>0</v>
      </c>
      <c r="I3095" s="29" t="e">
        <f>VLOOKUP(G3095,제품명!$C$1:$E$114,2,0)</f>
        <v>#N/A</v>
      </c>
      <c r="J3095" s="29">
        <f>'Raw data'!K3004</f>
        <v>0</v>
      </c>
      <c r="K3095" s="31">
        <f>'Raw data'!H3004</f>
        <v>0</v>
      </c>
      <c r="L3095" s="26">
        <f t="shared" si="100"/>
        <v>0</v>
      </c>
    </row>
    <row r="3096" spans="2:12">
      <c r="B3096" s="4" t="e">
        <f t="shared" si="99"/>
        <v>#N/A</v>
      </c>
      <c r="C3096" s="4">
        <f>'Raw data'!E2672</f>
        <v>0</v>
      </c>
      <c r="D3096" s="29" t="e">
        <f>VLOOKUP(C3096,'점포코드 '!A:B,2,0)</f>
        <v>#N/A</v>
      </c>
      <c r="E3096" s="30">
        <f>'Raw data'!P2672</f>
        <v>0</v>
      </c>
      <c r="F3096" s="29" t="e">
        <f>VLOOKUP(E3096,'점포코드 '!A:B,2,0)</f>
        <v>#N/A</v>
      </c>
      <c r="G3096" s="46">
        <f>'Raw data'!F3005</f>
        <v>0</v>
      </c>
      <c r="H3096" s="4">
        <f>'Raw data'!G3005</f>
        <v>0</v>
      </c>
      <c r="I3096" s="29" t="e">
        <f>VLOOKUP(G3096,제품명!$C$1:$E$114,2,0)</f>
        <v>#N/A</v>
      </c>
      <c r="J3096" s="29">
        <f>'Raw data'!K3005</f>
        <v>0</v>
      </c>
      <c r="K3096" s="31">
        <f>'Raw data'!H3005</f>
        <v>0</v>
      </c>
      <c r="L3096" s="26">
        <f t="shared" si="100"/>
        <v>0</v>
      </c>
    </row>
    <row r="3097" spans="2:12">
      <c r="B3097" s="4" t="e">
        <f t="shared" si="99"/>
        <v>#N/A</v>
      </c>
      <c r="C3097" s="4">
        <f>'Raw data'!E2673</f>
        <v>0</v>
      </c>
      <c r="D3097" s="29" t="e">
        <f>VLOOKUP(C3097,'점포코드 '!A:B,2,0)</f>
        <v>#N/A</v>
      </c>
      <c r="E3097" s="30">
        <f>'Raw data'!P2673</f>
        <v>0</v>
      </c>
      <c r="F3097" s="29" t="e">
        <f>VLOOKUP(E3097,'점포코드 '!A:B,2,0)</f>
        <v>#N/A</v>
      </c>
      <c r="G3097" s="46">
        <f>'Raw data'!F3006</f>
        <v>0</v>
      </c>
      <c r="H3097" s="4">
        <f>'Raw data'!G3006</f>
        <v>0</v>
      </c>
      <c r="I3097" s="29" t="e">
        <f>VLOOKUP(G3097,제품명!$C$1:$E$114,2,0)</f>
        <v>#N/A</v>
      </c>
      <c r="J3097" s="29">
        <f>'Raw data'!K3006</f>
        <v>0</v>
      </c>
      <c r="K3097" s="31">
        <f>'Raw data'!H3006</f>
        <v>0</v>
      </c>
      <c r="L3097" s="26">
        <f t="shared" si="100"/>
        <v>0</v>
      </c>
    </row>
    <row r="3098" spans="2:12">
      <c r="B3098" s="4" t="e">
        <f t="shared" si="99"/>
        <v>#N/A</v>
      </c>
      <c r="C3098" s="4">
        <f>'Raw data'!E2674</f>
        <v>0</v>
      </c>
      <c r="D3098" s="29" t="e">
        <f>VLOOKUP(C3098,'점포코드 '!A:B,2,0)</f>
        <v>#N/A</v>
      </c>
      <c r="E3098" s="30">
        <f>'Raw data'!P2674</f>
        <v>0</v>
      </c>
      <c r="F3098" s="29" t="e">
        <f>VLOOKUP(E3098,'점포코드 '!A:B,2,0)</f>
        <v>#N/A</v>
      </c>
      <c r="G3098" s="46">
        <f>'Raw data'!F3007</f>
        <v>0</v>
      </c>
      <c r="H3098" s="4">
        <f>'Raw data'!G3007</f>
        <v>0</v>
      </c>
      <c r="I3098" s="29" t="e">
        <f>VLOOKUP(G3098,제품명!$C$1:$E$114,2,0)</f>
        <v>#N/A</v>
      </c>
      <c r="J3098" s="29">
        <f>'Raw data'!K3007</f>
        <v>0</v>
      </c>
      <c r="K3098" s="31">
        <f>'Raw data'!H3007</f>
        <v>0</v>
      </c>
      <c r="L3098" s="26">
        <f t="shared" si="100"/>
        <v>0</v>
      </c>
    </row>
    <row r="3099" spans="2:12">
      <c r="B3099" s="4" t="e">
        <f t="shared" si="99"/>
        <v>#N/A</v>
      </c>
      <c r="C3099" s="4">
        <f>'Raw data'!E2675</f>
        <v>0</v>
      </c>
      <c r="D3099" s="29" t="e">
        <f>VLOOKUP(C3099,'점포코드 '!A:B,2,0)</f>
        <v>#N/A</v>
      </c>
      <c r="E3099" s="30">
        <f>'Raw data'!P2675</f>
        <v>0</v>
      </c>
      <c r="F3099" s="29" t="e">
        <f>VLOOKUP(E3099,'점포코드 '!A:B,2,0)</f>
        <v>#N/A</v>
      </c>
      <c r="G3099" s="46">
        <f>'Raw data'!F3008</f>
        <v>0</v>
      </c>
      <c r="H3099" s="4">
        <f>'Raw data'!G3008</f>
        <v>0</v>
      </c>
      <c r="I3099" s="29" t="e">
        <f>VLOOKUP(G3099,제품명!$C$1:$E$114,2,0)</f>
        <v>#N/A</v>
      </c>
      <c r="J3099" s="29">
        <f>'Raw data'!K3008</f>
        <v>0</v>
      </c>
      <c r="K3099" s="31">
        <f>'Raw data'!H3008</f>
        <v>0</v>
      </c>
      <c r="L3099" s="26">
        <f t="shared" si="100"/>
        <v>0</v>
      </c>
    </row>
    <row r="3100" spans="2:12">
      <c r="B3100" s="4" t="e">
        <f t="shared" si="99"/>
        <v>#N/A</v>
      </c>
      <c r="C3100" s="4">
        <f>'Raw data'!E2676</f>
        <v>0</v>
      </c>
      <c r="D3100" s="29" t="e">
        <f>VLOOKUP(C3100,'점포코드 '!A:B,2,0)</f>
        <v>#N/A</v>
      </c>
      <c r="E3100" s="30">
        <f>'Raw data'!P2676</f>
        <v>0</v>
      </c>
      <c r="F3100" s="29" t="e">
        <f>VLOOKUP(E3100,'점포코드 '!A:B,2,0)</f>
        <v>#N/A</v>
      </c>
      <c r="G3100" s="46">
        <f>'Raw data'!F3009</f>
        <v>0</v>
      </c>
      <c r="H3100" s="4">
        <f>'Raw data'!G3009</f>
        <v>0</v>
      </c>
      <c r="I3100" s="29" t="e">
        <f>VLOOKUP(G3100,제품명!$C$1:$E$114,2,0)</f>
        <v>#N/A</v>
      </c>
      <c r="J3100" s="29">
        <f>'Raw data'!K3009</f>
        <v>0</v>
      </c>
      <c r="K3100" s="31">
        <f>'Raw data'!H3009</f>
        <v>0</v>
      </c>
      <c r="L3100" s="26">
        <f t="shared" si="100"/>
        <v>0</v>
      </c>
    </row>
    <row r="3101" spans="2:12">
      <c r="B3101" s="4" t="e">
        <f t="shared" si="99"/>
        <v>#N/A</v>
      </c>
      <c r="C3101" s="4">
        <f>'Raw data'!E2677</f>
        <v>0</v>
      </c>
      <c r="D3101" s="29" t="e">
        <f>VLOOKUP(C3101,'점포코드 '!A:B,2,0)</f>
        <v>#N/A</v>
      </c>
      <c r="E3101" s="30">
        <f>'Raw data'!P2677</f>
        <v>0</v>
      </c>
      <c r="F3101" s="29" t="e">
        <f>VLOOKUP(E3101,'점포코드 '!A:B,2,0)</f>
        <v>#N/A</v>
      </c>
      <c r="G3101" s="46">
        <f>'Raw data'!F3010</f>
        <v>0</v>
      </c>
      <c r="H3101" s="4">
        <f>'Raw data'!G3010</f>
        <v>0</v>
      </c>
      <c r="I3101" s="29" t="e">
        <f>VLOOKUP(G3101,제품명!$C$1:$E$114,2,0)</f>
        <v>#N/A</v>
      </c>
      <c r="J3101" s="29">
        <f>'Raw data'!K3010</f>
        <v>0</v>
      </c>
      <c r="K3101" s="31">
        <f>'Raw data'!H3010</f>
        <v>0</v>
      </c>
      <c r="L3101" s="26">
        <f t="shared" si="100"/>
        <v>0</v>
      </c>
    </row>
    <row r="3102" spans="2:12">
      <c r="B3102" s="4" t="e">
        <f t="shared" si="99"/>
        <v>#N/A</v>
      </c>
      <c r="C3102" s="4">
        <f>'Raw data'!E2678</f>
        <v>0</v>
      </c>
      <c r="D3102" s="29" t="e">
        <f>VLOOKUP(C3102,'점포코드 '!A:B,2,0)</f>
        <v>#N/A</v>
      </c>
      <c r="E3102" s="30">
        <f>'Raw data'!P2678</f>
        <v>0</v>
      </c>
      <c r="F3102" s="29" t="e">
        <f>VLOOKUP(E3102,'점포코드 '!A:B,2,0)</f>
        <v>#N/A</v>
      </c>
      <c r="G3102" s="46">
        <f>'Raw data'!F3011</f>
        <v>0</v>
      </c>
      <c r="H3102" s="4">
        <f>'Raw data'!G3011</f>
        <v>0</v>
      </c>
      <c r="I3102" s="29" t="e">
        <f>VLOOKUP(G3102,제품명!$C$1:$E$114,2,0)</f>
        <v>#N/A</v>
      </c>
      <c r="J3102" s="29">
        <f>'Raw data'!K3011</f>
        <v>0</v>
      </c>
      <c r="K3102" s="31">
        <f>'Raw data'!H3011</f>
        <v>0</v>
      </c>
      <c r="L3102" s="26">
        <f t="shared" si="100"/>
        <v>0</v>
      </c>
    </row>
    <row r="3103" spans="2:12">
      <c r="B3103" s="4" t="e">
        <f t="shared" si="99"/>
        <v>#N/A</v>
      </c>
      <c r="C3103" s="4">
        <f>'Raw data'!E2679</f>
        <v>0</v>
      </c>
      <c r="D3103" s="29" t="e">
        <f>VLOOKUP(C3103,'점포코드 '!A:B,2,0)</f>
        <v>#N/A</v>
      </c>
      <c r="E3103" s="30">
        <f>'Raw data'!P2679</f>
        <v>0</v>
      </c>
      <c r="F3103" s="29" t="e">
        <f>VLOOKUP(E3103,'점포코드 '!A:B,2,0)</f>
        <v>#N/A</v>
      </c>
      <c r="G3103" s="46">
        <f>'Raw data'!F3012</f>
        <v>0</v>
      </c>
      <c r="H3103" s="4">
        <f>'Raw data'!G3012</f>
        <v>0</v>
      </c>
      <c r="I3103" s="29" t="e">
        <f>VLOOKUP(G3103,제품명!$C$1:$E$114,2,0)</f>
        <v>#N/A</v>
      </c>
      <c r="J3103" s="29">
        <f>'Raw data'!K3012</f>
        <v>0</v>
      </c>
      <c r="K3103" s="31">
        <f>'Raw data'!H3012</f>
        <v>0</v>
      </c>
      <c r="L3103" s="26">
        <f t="shared" si="100"/>
        <v>0</v>
      </c>
    </row>
    <row r="3104" spans="2:12">
      <c r="B3104" s="4" t="e">
        <f t="shared" si="99"/>
        <v>#N/A</v>
      </c>
      <c r="C3104" s="4">
        <f>'Raw data'!E2680</f>
        <v>0</v>
      </c>
      <c r="D3104" s="29" t="e">
        <f>VLOOKUP(C3104,'점포코드 '!A:B,2,0)</f>
        <v>#N/A</v>
      </c>
      <c r="E3104" s="30">
        <f>'Raw data'!P2680</f>
        <v>0</v>
      </c>
      <c r="F3104" s="29" t="e">
        <f>VLOOKUP(E3104,'점포코드 '!A:B,2,0)</f>
        <v>#N/A</v>
      </c>
      <c r="G3104" s="46">
        <f>'Raw data'!F3013</f>
        <v>0</v>
      </c>
      <c r="H3104" s="4">
        <f>'Raw data'!G3013</f>
        <v>0</v>
      </c>
      <c r="I3104" s="29" t="e">
        <f>VLOOKUP(G3104,제품명!$C$1:$E$114,2,0)</f>
        <v>#N/A</v>
      </c>
      <c r="J3104" s="29">
        <f>'Raw data'!K3013</f>
        <v>0</v>
      </c>
      <c r="K3104" s="31">
        <f>'Raw data'!H3013</f>
        <v>0</v>
      </c>
      <c r="L3104" s="26">
        <f t="shared" si="100"/>
        <v>0</v>
      </c>
    </row>
    <row r="3105" spans="2:12">
      <c r="B3105" s="4" t="e">
        <f t="shared" si="99"/>
        <v>#N/A</v>
      </c>
      <c r="C3105" s="4">
        <f>'Raw data'!E2681</f>
        <v>0</v>
      </c>
      <c r="D3105" s="29" t="e">
        <f>VLOOKUP(C3105,'점포코드 '!A:B,2,0)</f>
        <v>#N/A</v>
      </c>
      <c r="E3105" s="30">
        <f>'Raw data'!P2681</f>
        <v>0</v>
      </c>
      <c r="F3105" s="29" t="e">
        <f>VLOOKUP(E3105,'점포코드 '!A:B,2,0)</f>
        <v>#N/A</v>
      </c>
      <c r="G3105" s="46">
        <f>'Raw data'!F3014</f>
        <v>0</v>
      </c>
      <c r="H3105" s="4">
        <f>'Raw data'!G3014</f>
        <v>0</v>
      </c>
      <c r="I3105" s="29" t="e">
        <f>VLOOKUP(G3105,제품명!$C$1:$E$114,2,0)</f>
        <v>#N/A</v>
      </c>
      <c r="J3105" s="29">
        <f>'Raw data'!K3014</f>
        <v>0</v>
      </c>
      <c r="K3105" s="31">
        <f>'Raw data'!H3014</f>
        <v>0</v>
      </c>
      <c r="L3105" s="26">
        <f t="shared" si="100"/>
        <v>0</v>
      </c>
    </row>
    <row r="3106" spans="2:12">
      <c r="B3106" s="4" t="e">
        <f t="shared" si="99"/>
        <v>#N/A</v>
      </c>
      <c r="C3106" s="4">
        <f>'Raw data'!E2682</f>
        <v>0</v>
      </c>
      <c r="D3106" s="29" t="e">
        <f>VLOOKUP(C3106,'점포코드 '!A:B,2,0)</f>
        <v>#N/A</v>
      </c>
      <c r="E3106" s="30">
        <f>'Raw data'!P2682</f>
        <v>0</v>
      </c>
      <c r="F3106" s="29" t="e">
        <f>VLOOKUP(E3106,'점포코드 '!A:B,2,0)</f>
        <v>#N/A</v>
      </c>
      <c r="G3106" s="46">
        <f>'Raw data'!F3015</f>
        <v>0</v>
      </c>
      <c r="H3106" s="4">
        <f>'Raw data'!G3015</f>
        <v>0</v>
      </c>
      <c r="I3106" s="29" t="e">
        <f>VLOOKUP(G3106,제품명!$C$1:$E$114,2,0)</f>
        <v>#N/A</v>
      </c>
      <c r="J3106" s="29">
        <f>'Raw data'!K3015</f>
        <v>0</v>
      </c>
      <c r="K3106" s="31">
        <f>'Raw data'!H3015</f>
        <v>0</v>
      </c>
      <c r="L3106" s="26">
        <f t="shared" si="100"/>
        <v>0</v>
      </c>
    </row>
    <row r="3107" spans="2:12">
      <c r="B3107" s="4" t="e">
        <f t="shared" si="99"/>
        <v>#N/A</v>
      </c>
      <c r="C3107" s="4">
        <f>'Raw data'!E2683</f>
        <v>0</v>
      </c>
      <c r="D3107" s="29" t="e">
        <f>VLOOKUP(C3107,'점포코드 '!A:B,2,0)</f>
        <v>#N/A</v>
      </c>
      <c r="E3107" s="30">
        <f>'Raw data'!P2683</f>
        <v>0</v>
      </c>
      <c r="F3107" s="29" t="e">
        <f>VLOOKUP(E3107,'점포코드 '!A:B,2,0)</f>
        <v>#N/A</v>
      </c>
      <c r="G3107" s="46">
        <f>'Raw data'!F3016</f>
        <v>0</v>
      </c>
      <c r="H3107" s="4">
        <f>'Raw data'!G3016</f>
        <v>0</v>
      </c>
      <c r="I3107" s="29" t="e">
        <f>VLOOKUP(G3107,제품명!$C$1:$E$114,2,0)</f>
        <v>#N/A</v>
      </c>
      <c r="J3107" s="29">
        <f>'Raw data'!K3016</f>
        <v>0</v>
      </c>
      <c r="K3107" s="31">
        <f>'Raw data'!H3016</f>
        <v>0</v>
      </c>
      <c r="L3107" s="26">
        <f t="shared" si="100"/>
        <v>0</v>
      </c>
    </row>
    <row r="3108" spans="2:12">
      <c r="B3108" s="4" t="e">
        <f t="shared" si="99"/>
        <v>#N/A</v>
      </c>
      <c r="C3108" s="4">
        <f>'Raw data'!E2684</f>
        <v>0</v>
      </c>
      <c r="D3108" s="29" t="e">
        <f>VLOOKUP(C3108,'점포코드 '!A:B,2,0)</f>
        <v>#N/A</v>
      </c>
      <c r="E3108" s="30">
        <f>'Raw data'!P2684</f>
        <v>0</v>
      </c>
      <c r="F3108" s="29" t="e">
        <f>VLOOKUP(E3108,'점포코드 '!A:B,2,0)</f>
        <v>#N/A</v>
      </c>
      <c r="G3108" s="46">
        <f>'Raw data'!F3017</f>
        <v>0</v>
      </c>
      <c r="H3108" s="4">
        <f>'Raw data'!G3017</f>
        <v>0</v>
      </c>
      <c r="I3108" s="29" t="e">
        <f>VLOOKUP(G3108,제품명!$C$1:$E$114,2,0)</f>
        <v>#N/A</v>
      </c>
      <c r="J3108" s="29">
        <f>'Raw data'!K3017</f>
        <v>0</v>
      </c>
      <c r="K3108" s="31">
        <f>'Raw data'!H3017</f>
        <v>0</v>
      </c>
      <c r="L3108" s="26">
        <f t="shared" si="100"/>
        <v>0</v>
      </c>
    </row>
    <row r="3109" spans="2:12">
      <c r="B3109" s="4" t="e">
        <f t="shared" si="99"/>
        <v>#N/A</v>
      </c>
      <c r="C3109" s="4">
        <f>'Raw data'!E2685</f>
        <v>0</v>
      </c>
      <c r="D3109" s="29" t="e">
        <f>VLOOKUP(C3109,'점포코드 '!A:B,2,0)</f>
        <v>#N/A</v>
      </c>
      <c r="E3109" s="30">
        <f>'Raw data'!P2685</f>
        <v>0</v>
      </c>
      <c r="F3109" s="29" t="e">
        <f>VLOOKUP(E3109,'점포코드 '!A:B,2,0)</f>
        <v>#N/A</v>
      </c>
      <c r="G3109" s="46">
        <f>'Raw data'!F3018</f>
        <v>0</v>
      </c>
      <c r="H3109" s="4">
        <f>'Raw data'!G3018</f>
        <v>0</v>
      </c>
      <c r="I3109" s="29" t="e">
        <f>VLOOKUP(G3109,제품명!$C$1:$E$114,2,0)</f>
        <v>#N/A</v>
      </c>
      <c r="J3109" s="29">
        <f>'Raw data'!K3018</f>
        <v>0</v>
      </c>
      <c r="K3109" s="31">
        <f>'Raw data'!H3018</f>
        <v>0</v>
      </c>
      <c r="L3109" s="26">
        <f t="shared" si="100"/>
        <v>0</v>
      </c>
    </row>
    <row r="3110" spans="2:12">
      <c r="B3110" s="4" t="e">
        <f t="shared" si="99"/>
        <v>#N/A</v>
      </c>
      <c r="C3110" s="4">
        <f>'Raw data'!E2686</f>
        <v>0</v>
      </c>
      <c r="D3110" s="29" t="e">
        <f>VLOOKUP(C3110,'점포코드 '!A:B,2,0)</f>
        <v>#N/A</v>
      </c>
      <c r="E3110" s="30">
        <f>'Raw data'!P2686</f>
        <v>0</v>
      </c>
      <c r="F3110" s="29" t="e">
        <f>VLOOKUP(E3110,'점포코드 '!A:B,2,0)</f>
        <v>#N/A</v>
      </c>
      <c r="G3110" s="46">
        <f>'Raw data'!F3019</f>
        <v>0</v>
      </c>
      <c r="H3110" s="4">
        <f>'Raw data'!G3019</f>
        <v>0</v>
      </c>
      <c r="I3110" s="29" t="e">
        <f>VLOOKUP(G3110,제품명!$C$1:$E$114,2,0)</f>
        <v>#N/A</v>
      </c>
      <c r="J3110" s="29">
        <f>'Raw data'!K3019</f>
        <v>0</v>
      </c>
      <c r="K3110" s="31">
        <f>'Raw data'!H3019</f>
        <v>0</v>
      </c>
      <c r="L3110" s="26">
        <f t="shared" si="100"/>
        <v>0</v>
      </c>
    </row>
    <row r="3111" spans="2:12">
      <c r="B3111" s="4" t="e">
        <f t="shared" si="99"/>
        <v>#N/A</v>
      </c>
      <c r="C3111" s="4">
        <f>'Raw data'!E2687</f>
        <v>0</v>
      </c>
      <c r="D3111" s="29" t="e">
        <f>VLOOKUP(C3111,'점포코드 '!A:B,2,0)</f>
        <v>#N/A</v>
      </c>
      <c r="E3111" s="30">
        <f>'Raw data'!P2687</f>
        <v>0</v>
      </c>
      <c r="F3111" s="29" t="e">
        <f>VLOOKUP(E3111,'점포코드 '!A:B,2,0)</f>
        <v>#N/A</v>
      </c>
      <c r="G3111" s="46">
        <f>'Raw data'!F3020</f>
        <v>0</v>
      </c>
      <c r="H3111" s="4">
        <f>'Raw data'!G3020</f>
        <v>0</v>
      </c>
      <c r="I3111" s="29" t="e">
        <f>VLOOKUP(G3111,제품명!$C$1:$E$114,2,0)</f>
        <v>#N/A</v>
      </c>
      <c r="J3111" s="29">
        <f>'Raw data'!K3020</f>
        <v>0</v>
      </c>
      <c r="K3111" s="31">
        <f>'Raw data'!H3020</f>
        <v>0</v>
      </c>
      <c r="L3111" s="26">
        <f t="shared" si="100"/>
        <v>0</v>
      </c>
    </row>
    <row r="3112" spans="2:12">
      <c r="B3112" s="4" t="e">
        <f t="shared" si="99"/>
        <v>#N/A</v>
      </c>
      <c r="C3112" s="4">
        <f>'Raw data'!E2688</f>
        <v>0</v>
      </c>
      <c r="D3112" s="29" t="e">
        <f>VLOOKUP(C3112,'점포코드 '!A:B,2,0)</f>
        <v>#N/A</v>
      </c>
      <c r="E3112" s="30">
        <f>'Raw data'!P2688</f>
        <v>0</v>
      </c>
      <c r="F3112" s="29" t="e">
        <f>VLOOKUP(E3112,'점포코드 '!A:B,2,0)</f>
        <v>#N/A</v>
      </c>
      <c r="G3112" s="46">
        <f>'Raw data'!F3021</f>
        <v>0</v>
      </c>
      <c r="H3112" s="4">
        <f>'Raw data'!G3021</f>
        <v>0</v>
      </c>
      <c r="I3112" s="29" t="e">
        <f>VLOOKUP(G3112,제품명!$C$1:$E$114,2,0)</f>
        <v>#N/A</v>
      </c>
      <c r="J3112" s="29">
        <f>'Raw data'!K3021</f>
        <v>0</v>
      </c>
      <c r="K3112" s="31">
        <f>'Raw data'!H3021</f>
        <v>0</v>
      </c>
      <c r="L3112" s="26">
        <f t="shared" si="100"/>
        <v>0</v>
      </c>
    </row>
    <row r="3113" spans="2:12">
      <c r="B3113" s="4" t="e">
        <f t="shared" si="99"/>
        <v>#N/A</v>
      </c>
      <c r="C3113" s="4">
        <f>'Raw data'!E2689</f>
        <v>0</v>
      </c>
      <c r="D3113" s="29" t="e">
        <f>VLOOKUP(C3113,'점포코드 '!A:B,2,0)</f>
        <v>#N/A</v>
      </c>
      <c r="E3113" s="30">
        <f>'Raw data'!P2689</f>
        <v>0</v>
      </c>
      <c r="F3113" s="29" t="e">
        <f>VLOOKUP(E3113,'점포코드 '!A:B,2,0)</f>
        <v>#N/A</v>
      </c>
      <c r="G3113" s="46">
        <f>'Raw data'!F3022</f>
        <v>0</v>
      </c>
      <c r="H3113" s="4">
        <f>'Raw data'!G3022</f>
        <v>0</v>
      </c>
      <c r="I3113" s="29" t="e">
        <f>VLOOKUP(G3113,제품명!$C$1:$E$114,2,0)</f>
        <v>#N/A</v>
      </c>
      <c r="J3113" s="29">
        <f>'Raw data'!K3022</f>
        <v>0</v>
      </c>
      <c r="K3113" s="31">
        <f>'Raw data'!H3022</f>
        <v>0</v>
      </c>
      <c r="L3113" s="26">
        <f t="shared" si="100"/>
        <v>0</v>
      </c>
    </row>
    <row r="3114" spans="2:12">
      <c r="B3114" s="4" t="e">
        <f t="shared" si="99"/>
        <v>#N/A</v>
      </c>
      <c r="C3114" s="4">
        <f>'Raw data'!E2690</f>
        <v>0</v>
      </c>
      <c r="D3114" s="29" t="e">
        <f>VLOOKUP(C3114,'점포코드 '!A:B,2,0)</f>
        <v>#N/A</v>
      </c>
      <c r="E3114" s="30">
        <f>'Raw data'!P2690</f>
        <v>0</v>
      </c>
      <c r="F3114" s="29" t="e">
        <f>VLOOKUP(E3114,'점포코드 '!A:B,2,0)</f>
        <v>#N/A</v>
      </c>
      <c r="G3114" s="46">
        <f>'Raw data'!F3023</f>
        <v>0</v>
      </c>
      <c r="H3114" s="4">
        <f>'Raw data'!G3023</f>
        <v>0</v>
      </c>
      <c r="I3114" s="29" t="e">
        <f>VLOOKUP(G3114,제품명!$C$1:$E$114,2,0)</f>
        <v>#N/A</v>
      </c>
      <c r="J3114" s="29">
        <f>'Raw data'!K3023</f>
        <v>0</v>
      </c>
      <c r="K3114" s="31">
        <f>'Raw data'!H3023</f>
        <v>0</v>
      </c>
      <c r="L3114" s="26">
        <f t="shared" si="100"/>
        <v>0</v>
      </c>
    </row>
    <row r="3115" spans="2:12">
      <c r="B3115" s="4" t="e">
        <f t="shared" si="99"/>
        <v>#N/A</v>
      </c>
      <c r="C3115" s="4">
        <f>'Raw data'!E2691</f>
        <v>0</v>
      </c>
      <c r="D3115" s="29" t="e">
        <f>VLOOKUP(C3115,'점포코드 '!A:B,2,0)</f>
        <v>#N/A</v>
      </c>
      <c r="E3115" s="30">
        <f>'Raw data'!P2691</f>
        <v>0</v>
      </c>
      <c r="F3115" s="29" t="e">
        <f>VLOOKUP(E3115,'점포코드 '!A:B,2,0)</f>
        <v>#N/A</v>
      </c>
      <c r="G3115" s="46">
        <f>'Raw data'!F3024</f>
        <v>0</v>
      </c>
      <c r="H3115" s="4">
        <f>'Raw data'!G3024</f>
        <v>0</v>
      </c>
      <c r="I3115" s="29" t="e">
        <f>VLOOKUP(G3115,제품명!$C$1:$E$114,2,0)</f>
        <v>#N/A</v>
      </c>
      <c r="J3115" s="29">
        <f>'Raw data'!K3024</f>
        <v>0</v>
      </c>
      <c r="K3115" s="31">
        <f>'Raw data'!H3024</f>
        <v>0</v>
      </c>
      <c r="L3115" s="26">
        <f t="shared" si="100"/>
        <v>0</v>
      </c>
    </row>
    <row r="3116" spans="2:12">
      <c r="B3116" s="4" t="e">
        <f t="shared" si="99"/>
        <v>#N/A</v>
      </c>
      <c r="C3116" s="4">
        <f>'Raw data'!E2692</f>
        <v>0</v>
      </c>
      <c r="D3116" s="29" t="e">
        <f>VLOOKUP(C3116,'점포코드 '!A:B,2,0)</f>
        <v>#N/A</v>
      </c>
      <c r="E3116" s="30">
        <f>'Raw data'!P2692</f>
        <v>0</v>
      </c>
      <c r="F3116" s="29" t="e">
        <f>VLOOKUP(E3116,'점포코드 '!A:B,2,0)</f>
        <v>#N/A</v>
      </c>
      <c r="G3116" s="46">
        <f>'Raw data'!F3025</f>
        <v>0</v>
      </c>
      <c r="H3116" s="4">
        <f>'Raw data'!G3025</f>
        <v>0</v>
      </c>
      <c r="I3116" s="29" t="e">
        <f>VLOOKUP(G3116,제품명!$C$1:$E$114,2,0)</f>
        <v>#N/A</v>
      </c>
      <c r="J3116" s="29">
        <f>'Raw data'!K3025</f>
        <v>0</v>
      </c>
      <c r="K3116" s="31">
        <f>'Raw data'!H3025</f>
        <v>0</v>
      </c>
      <c r="L3116" s="26">
        <f t="shared" si="100"/>
        <v>0</v>
      </c>
    </row>
    <row r="3117" spans="2:12">
      <c r="B3117" s="4" t="e">
        <f t="shared" si="99"/>
        <v>#N/A</v>
      </c>
      <c r="C3117" s="4">
        <f>'Raw data'!E2693</f>
        <v>0</v>
      </c>
      <c r="D3117" s="29" t="e">
        <f>VLOOKUP(C3117,'점포코드 '!A:B,2,0)</f>
        <v>#N/A</v>
      </c>
      <c r="E3117" s="30">
        <f>'Raw data'!P2693</f>
        <v>0</v>
      </c>
      <c r="F3117" s="29" t="e">
        <f>VLOOKUP(E3117,'점포코드 '!A:B,2,0)</f>
        <v>#N/A</v>
      </c>
      <c r="G3117" s="46">
        <f>'Raw data'!F3026</f>
        <v>0</v>
      </c>
      <c r="H3117" s="4">
        <f>'Raw data'!G3026</f>
        <v>0</v>
      </c>
      <c r="I3117" s="29" t="e">
        <f>VLOOKUP(G3117,제품명!$C$1:$E$114,2,0)</f>
        <v>#N/A</v>
      </c>
      <c r="J3117" s="29">
        <f>'Raw data'!K3026</f>
        <v>0</v>
      </c>
      <c r="K3117" s="31">
        <f>'Raw data'!H3026</f>
        <v>0</v>
      </c>
      <c r="L3117" s="26">
        <f t="shared" si="100"/>
        <v>0</v>
      </c>
    </row>
    <row r="3118" spans="2:12">
      <c r="B3118" s="4" t="e">
        <f t="shared" si="99"/>
        <v>#N/A</v>
      </c>
      <c r="C3118" s="4">
        <f>'Raw data'!E2694</f>
        <v>0</v>
      </c>
      <c r="D3118" s="29" t="e">
        <f>VLOOKUP(C3118,'점포코드 '!A:B,2,0)</f>
        <v>#N/A</v>
      </c>
      <c r="E3118" s="30">
        <f>'Raw data'!P2694</f>
        <v>0</v>
      </c>
      <c r="F3118" s="29" t="e">
        <f>VLOOKUP(E3118,'점포코드 '!A:B,2,0)</f>
        <v>#N/A</v>
      </c>
      <c r="G3118" s="46">
        <f>'Raw data'!F3027</f>
        <v>0</v>
      </c>
      <c r="H3118" s="4">
        <f>'Raw data'!G3027</f>
        <v>0</v>
      </c>
      <c r="I3118" s="29" t="e">
        <f>VLOOKUP(G3118,제품명!$C$1:$E$114,2,0)</f>
        <v>#N/A</v>
      </c>
      <c r="J3118" s="29">
        <f>'Raw data'!K3027</f>
        <v>0</v>
      </c>
      <c r="K3118" s="31">
        <f>'Raw data'!H3027</f>
        <v>0</v>
      </c>
      <c r="L3118" s="26">
        <f t="shared" si="100"/>
        <v>0</v>
      </c>
    </row>
    <row r="3119" spans="2:12">
      <c r="B3119" s="4" t="e">
        <f t="shared" si="99"/>
        <v>#N/A</v>
      </c>
      <c r="C3119" s="4">
        <f>'Raw data'!E2695</f>
        <v>0</v>
      </c>
      <c r="D3119" s="29" t="e">
        <f>VLOOKUP(C3119,'점포코드 '!A:B,2,0)</f>
        <v>#N/A</v>
      </c>
      <c r="E3119" s="30">
        <f>'Raw data'!P2695</f>
        <v>0</v>
      </c>
      <c r="F3119" s="29" t="e">
        <f>VLOOKUP(E3119,'점포코드 '!A:B,2,0)</f>
        <v>#N/A</v>
      </c>
      <c r="G3119" s="46">
        <f>'Raw data'!F3028</f>
        <v>0</v>
      </c>
      <c r="H3119" s="4">
        <f>'Raw data'!G3028</f>
        <v>0</v>
      </c>
      <c r="I3119" s="29" t="e">
        <f>VLOOKUP(G3119,제품명!$C$1:$E$114,2,0)</f>
        <v>#N/A</v>
      </c>
      <c r="J3119" s="29">
        <f>'Raw data'!K3028</f>
        <v>0</v>
      </c>
      <c r="K3119" s="31">
        <f>'Raw data'!H3028</f>
        <v>0</v>
      </c>
      <c r="L3119" s="26">
        <f t="shared" si="100"/>
        <v>0</v>
      </c>
    </row>
    <row r="3120" spans="2:12">
      <c r="B3120" s="4" t="e">
        <f t="shared" si="99"/>
        <v>#N/A</v>
      </c>
      <c r="C3120" s="4">
        <f>'Raw data'!E2696</f>
        <v>0</v>
      </c>
      <c r="D3120" s="29" t="e">
        <f>VLOOKUP(C3120,'점포코드 '!A:B,2,0)</f>
        <v>#N/A</v>
      </c>
      <c r="E3120" s="30">
        <f>'Raw data'!P2696</f>
        <v>0</v>
      </c>
      <c r="F3120" s="29" t="e">
        <f>VLOOKUP(E3120,'점포코드 '!A:B,2,0)</f>
        <v>#N/A</v>
      </c>
      <c r="G3120" s="46">
        <f>'Raw data'!F3029</f>
        <v>0</v>
      </c>
      <c r="H3120" s="4">
        <f>'Raw data'!G3029</f>
        <v>0</v>
      </c>
      <c r="I3120" s="29" t="e">
        <f>VLOOKUP(G3120,제품명!$C$1:$E$114,2,0)</f>
        <v>#N/A</v>
      </c>
      <c r="J3120" s="29">
        <f>'Raw data'!K3029</f>
        <v>0</v>
      </c>
      <c r="K3120" s="31">
        <f>'Raw data'!H3029</f>
        <v>0</v>
      </c>
      <c r="L3120" s="26">
        <f t="shared" si="100"/>
        <v>0</v>
      </c>
    </row>
    <row r="3121" spans="2:12">
      <c r="B3121" s="4" t="e">
        <f t="shared" si="99"/>
        <v>#N/A</v>
      </c>
      <c r="C3121" s="4">
        <f>'Raw data'!E2697</f>
        <v>0</v>
      </c>
      <c r="D3121" s="29" t="e">
        <f>VLOOKUP(C3121,'점포코드 '!A:B,2,0)</f>
        <v>#N/A</v>
      </c>
      <c r="E3121" s="30">
        <f>'Raw data'!P2697</f>
        <v>0</v>
      </c>
      <c r="F3121" s="29" t="e">
        <f>VLOOKUP(E3121,'점포코드 '!A:B,2,0)</f>
        <v>#N/A</v>
      </c>
      <c r="G3121" s="46">
        <f>'Raw data'!F3030</f>
        <v>0</v>
      </c>
      <c r="H3121" s="4">
        <f>'Raw data'!G3030</f>
        <v>0</v>
      </c>
      <c r="I3121" s="29" t="e">
        <f>VLOOKUP(G3121,제품명!$C$1:$E$114,2,0)</f>
        <v>#N/A</v>
      </c>
      <c r="J3121" s="29">
        <f>'Raw data'!K3030</f>
        <v>0</v>
      </c>
      <c r="K3121" s="31">
        <f>'Raw data'!H3030</f>
        <v>0</v>
      </c>
      <c r="L3121" s="26">
        <f t="shared" si="100"/>
        <v>0</v>
      </c>
    </row>
    <row r="3122" spans="2:12">
      <c r="B3122" s="4" t="e">
        <f t="shared" si="99"/>
        <v>#N/A</v>
      </c>
      <c r="C3122" s="4">
        <f>'Raw data'!E2698</f>
        <v>0</v>
      </c>
      <c r="D3122" s="29" t="e">
        <f>VLOOKUP(C3122,'점포코드 '!A:B,2,0)</f>
        <v>#N/A</v>
      </c>
      <c r="E3122" s="30">
        <f>'Raw data'!P2698</f>
        <v>0</v>
      </c>
      <c r="F3122" s="29" t="e">
        <f>VLOOKUP(E3122,'점포코드 '!A:B,2,0)</f>
        <v>#N/A</v>
      </c>
      <c r="G3122" s="46">
        <f>'Raw data'!F3031</f>
        <v>0</v>
      </c>
      <c r="H3122" s="4">
        <f>'Raw data'!G3031</f>
        <v>0</v>
      </c>
      <c r="I3122" s="29" t="e">
        <f>VLOOKUP(G3122,제품명!$C$1:$E$114,2,0)</f>
        <v>#N/A</v>
      </c>
      <c r="J3122" s="29">
        <f>'Raw data'!K3031</f>
        <v>0</v>
      </c>
      <c r="K3122" s="31">
        <f>'Raw data'!H3031</f>
        <v>0</v>
      </c>
      <c r="L3122" s="26">
        <f t="shared" si="100"/>
        <v>0</v>
      </c>
    </row>
    <row r="3123" spans="2:12">
      <c r="B3123" s="4" t="e">
        <f t="shared" si="99"/>
        <v>#N/A</v>
      </c>
      <c r="C3123" s="4">
        <f>'Raw data'!E2699</f>
        <v>0</v>
      </c>
      <c r="D3123" s="29" t="e">
        <f>VLOOKUP(C3123,'점포코드 '!A:B,2,0)</f>
        <v>#N/A</v>
      </c>
      <c r="E3123" s="30">
        <f>'Raw data'!P2699</f>
        <v>0</v>
      </c>
      <c r="F3123" s="29" t="e">
        <f>VLOOKUP(E3123,'점포코드 '!A:B,2,0)</f>
        <v>#N/A</v>
      </c>
      <c r="G3123" s="46">
        <f>'Raw data'!F3032</f>
        <v>0</v>
      </c>
      <c r="H3123" s="4">
        <f>'Raw data'!G3032</f>
        <v>0</v>
      </c>
      <c r="I3123" s="29" t="e">
        <f>VLOOKUP(G3123,제품명!$C$1:$E$114,2,0)</f>
        <v>#N/A</v>
      </c>
      <c r="J3123" s="29">
        <f>'Raw data'!K3032</f>
        <v>0</v>
      </c>
      <c r="K3123" s="31">
        <f>'Raw data'!H3032</f>
        <v>0</v>
      </c>
      <c r="L3123" s="26">
        <f t="shared" si="100"/>
        <v>0</v>
      </c>
    </row>
    <row r="3124" spans="2:12">
      <c r="B3124" s="4" t="e">
        <f t="shared" si="99"/>
        <v>#N/A</v>
      </c>
      <c r="C3124" s="4">
        <f>'Raw data'!E2700</f>
        <v>0</v>
      </c>
      <c r="D3124" s="29" t="e">
        <f>VLOOKUP(C3124,'점포코드 '!A:B,2,0)</f>
        <v>#N/A</v>
      </c>
      <c r="E3124" s="30">
        <f>'Raw data'!P2700</f>
        <v>0</v>
      </c>
      <c r="F3124" s="29" t="e">
        <f>VLOOKUP(E3124,'점포코드 '!A:B,2,0)</f>
        <v>#N/A</v>
      </c>
      <c r="G3124" s="46">
        <f>'Raw data'!F3033</f>
        <v>0</v>
      </c>
      <c r="H3124" s="4">
        <f>'Raw data'!G3033</f>
        <v>0</v>
      </c>
      <c r="I3124" s="29" t="e">
        <f>VLOOKUP(G3124,제품명!$C$1:$E$114,2,0)</f>
        <v>#N/A</v>
      </c>
      <c r="J3124" s="29">
        <f>'Raw data'!K3033</f>
        <v>0</v>
      </c>
      <c r="K3124" s="31">
        <f>'Raw data'!H3033</f>
        <v>0</v>
      </c>
      <c r="L3124" s="26">
        <f t="shared" si="100"/>
        <v>0</v>
      </c>
    </row>
    <row r="3125" spans="2:12">
      <c r="B3125" s="4" t="e">
        <f t="shared" si="99"/>
        <v>#N/A</v>
      </c>
      <c r="C3125" s="4">
        <f>'Raw data'!E2701</f>
        <v>0</v>
      </c>
      <c r="D3125" s="29" t="e">
        <f>VLOOKUP(C3125,'점포코드 '!A:B,2,0)</f>
        <v>#N/A</v>
      </c>
      <c r="E3125" s="30">
        <f>'Raw data'!P2701</f>
        <v>0</v>
      </c>
      <c r="F3125" s="29" t="e">
        <f>VLOOKUP(E3125,'점포코드 '!A:B,2,0)</f>
        <v>#N/A</v>
      </c>
      <c r="G3125" s="46">
        <f>'Raw data'!F3034</f>
        <v>0</v>
      </c>
      <c r="H3125" s="4">
        <f>'Raw data'!G3034</f>
        <v>0</v>
      </c>
      <c r="I3125" s="29" t="e">
        <f>VLOOKUP(G3125,제품명!$C$1:$E$114,2,0)</f>
        <v>#N/A</v>
      </c>
      <c r="J3125" s="29">
        <f>'Raw data'!K3034</f>
        <v>0</v>
      </c>
      <c r="K3125" s="31">
        <f>'Raw data'!H3034</f>
        <v>0</v>
      </c>
      <c r="L3125" s="26">
        <f t="shared" si="100"/>
        <v>0</v>
      </c>
    </row>
    <row r="3126" spans="2:12">
      <c r="B3126" s="4" t="e">
        <f t="shared" si="99"/>
        <v>#N/A</v>
      </c>
      <c r="C3126" s="4">
        <f>'Raw data'!E2702</f>
        <v>0</v>
      </c>
      <c r="D3126" s="29" t="e">
        <f>VLOOKUP(C3126,'점포코드 '!A:B,2,0)</f>
        <v>#N/A</v>
      </c>
      <c r="E3126" s="30">
        <f>'Raw data'!P2702</f>
        <v>0</v>
      </c>
      <c r="F3126" s="29" t="e">
        <f>VLOOKUP(E3126,'점포코드 '!A:B,2,0)</f>
        <v>#N/A</v>
      </c>
      <c r="G3126" s="46">
        <f>'Raw data'!F3035</f>
        <v>0</v>
      </c>
      <c r="H3126" s="4">
        <f>'Raw data'!G3035</f>
        <v>0</v>
      </c>
      <c r="I3126" s="29" t="e">
        <f>VLOOKUP(G3126,제품명!$C$1:$E$114,2,0)</f>
        <v>#N/A</v>
      </c>
      <c r="J3126" s="29">
        <f>'Raw data'!K3035</f>
        <v>0</v>
      </c>
      <c r="K3126" s="31">
        <f>'Raw data'!H3035</f>
        <v>0</v>
      </c>
      <c r="L3126" s="26">
        <f t="shared" si="100"/>
        <v>0</v>
      </c>
    </row>
    <row r="3127" spans="2:12">
      <c r="B3127" s="4" t="e">
        <f t="shared" si="99"/>
        <v>#N/A</v>
      </c>
      <c r="C3127" s="4">
        <f>'Raw data'!E2703</f>
        <v>0</v>
      </c>
      <c r="D3127" s="29" t="e">
        <f>VLOOKUP(C3127,'점포코드 '!A:B,2,0)</f>
        <v>#N/A</v>
      </c>
      <c r="E3127" s="30">
        <f>'Raw data'!P2703</f>
        <v>0</v>
      </c>
      <c r="F3127" s="29" t="e">
        <f>VLOOKUP(E3127,'점포코드 '!A:B,2,0)</f>
        <v>#N/A</v>
      </c>
      <c r="G3127" s="46">
        <f>'Raw data'!F3036</f>
        <v>0</v>
      </c>
      <c r="H3127" s="4">
        <f>'Raw data'!G3036</f>
        <v>0</v>
      </c>
      <c r="I3127" s="29" t="e">
        <f>VLOOKUP(G3127,제품명!$C$1:$E$114,2,0)</f>
        <v>#N/A</v>
      </c>
      <c r="J3127" s="29">
        <f>'Raw data'!K3036</f>
        <v>0</v>
      </c>
      <c r="K3127" s="31">
        <f>'Raw data'!H3036</f>
        <v>0</v>
      </c>
      <c r="L3127" s="26">
        <f t="shared" si="100"/>
        <v>0</v>
      </c>
    </row>
    <row r="3128" spans="2:12">
      <c r="B3128" s="4" t="e">
        <f t="shared" si="99"/>
        <v>#N/A</v>
      </c>
      <c r="C3128" s="4">
        <f>'Raw data'!E2704</f>
        <v>0</v>
      </c>
      <c r="D3128" s="29" t="e">
        <f>VLOOKUP(C3128,'점포코드 '!A:B,2,0)</f>
        <v>#N/A</v>
      </c>
      <c r="E3128" s="30">
        <f>'Raw data'!P2704</f>
        <v>0</v>
      </c>
      <c r="F3128" s="29" t="e">
        <f>VLOOKUP(E3128,'점포코드 '!A:B,2,0)</f>
        <v>#N/A</v>
      </c>
      <c r="G3128" s="46">
        <f>'Raw data'!F3037</f>
        <v>0</v>
      </c>
      <c r="H3128" s="4">
        <f>'Raw data'!G3037</f>
        <v>0</v>
      </c>
      <c r="I3128" s="29" t="e">
        <f>VLOOKUP(G3128,제품명!$C$1:$E$114,2,0)</f>
        <v>#N/A</v>
      </c>
      <c r="J3128" s="29">
        <f>'Raw data'!K3037</f>
        <v>0</v>
      </c>
      <c r="K3128" s="31">
        <f>'Raw data'!H3037</f>
        <v>0</v>
      </c>
      <c r="L3128" s="26">
        <f t="shared" si="100"/>
        <v>0</v>
      </c>
    </row>
    <row r="3129" spans="2:12">
      <c r="B3129" s="4" t="e">
        <f t="shared" si="99"/>
        <v>#N/A</v>
      </c>
      <c r="C3129" s="4">
        <f>'Raw data'!E2705</f>
        <v>0</v>
      </c>
      <c r="D3129" s="29" t="e">
        <f>VLOOKUP(C3129,'점포코드 '!A:B,2,0)</f>
        <v>#N/A</v>
      </c>
      <c r="E3129" s="30">
        <f>'Raw data'!P2705</f>
        <v>0</v>
      </c>
      <c r="F3129" s="29" t="e">
        <f>VLOOKUP(E3129,'점포코드 '!A:B,2,0)</f>
        <v>#N/A</v>
      </c>
      <c r="G3129" s="46">
        <f>'Raw data'!F3038</f>
        <v>0</v>
      </c>
      <c r="H3129" s="4">
        <f>'Raw data'!G3038</f>
        <v>0</v>
      </c>
      <c r="I3129" s="29" t="e">
        <f>VLOOKUP(G3129,제품명!$C$1:$E$114,2,0)</f>
        <v>#N/A</v>
      </c>
      <c r="J3129" s="29">
        <f>'Raw data'!K3038</f>
        <v>0</v>
      </c>
      <c r="K3129" s="31">
        <f>'Raw data'!H3038</f>
        <v>0</v>
      </c>
      <c r="L3129" s="26">
        <f t="shared" si="100"/>
        <v>0</v>
      </c>
    </row>
    <row r="3130" spans="2:12">
      <c r="B3130" s="4" t="e">
        <f t="shared" si="99"/>
        <v>#N/A</v>
      </c>
      <c r="C3130" s="4">
        <f>'Raw data'!E2706</f>
        <v>0</v>
      </c>
      <c r="D3130" s="29" t="e">
        <f>VLOOKUP(C3130,'점포코드 '!A:B,2,0)</f>
        <v>#N/A</v>
      </c>
      <c r="E3130" s="30">
        <f>'Raw data'!P2706</f>
        <v>0</v>
      </c>
      <c r="F3130" s="29" t="e">
        <f>VLOOKUP(E3130,'점포코드 '!A:B,2,0)</f>
        <v>#N/A</v>
      </c>
      <c r="G3130" s="46">
        <f>'Raw data'!F3039</f>
        <v>0</v>
      </c>
      <c r="H3130" s="4">
        <f>'Raw data'!G3039</f>
        <v>0</v>
      </c>
      <c r="I3130" s="29" t="e">
        <f>VLOOKUP(G3130,제품명!$C$1:$E$114,2,0)</f>
        <v>#N/A</v>
      </c>
      <c r="J3130" s="29">
        <f>'Raw data'!K3039</f>
        <v>0</v>
      </c>
      <c r="K3130" s="31">
        <f>'Raw data'!H3039</f>
        <v>0</v>
      </c>
      <c r="L3130" s="26">
        <f t="shared" si="100"/>
        <v>0</v>
      </c>
    </row>
    <row r="3131" spans="2:12">
      <c r="B3131" s="4" t="e">
        <f t="shared" si="99"/>
        <v>#N/A</v>
      </c>
      <c r="C3131" s="4">
        <f>'Raw data'!E2707</f>
        <v>0</v>
      </c>
      <c r="D3131" s="29" t="e">
        <f>VLOOKUP(C3131,'점포코드 '!A:B,2,0)</f>
        <v>#N/A</v>
      </c>
      <c r="E3131" s="30">
        <f>'Raw data'!P2707</f>
        <v>0</v>
      </c>
      <c r="F3131" s="29" t="e">
        <f>VLOOKUP(E3131,'점포코드 '!A:B,2,0)</f>
        <v>#N/A</v>
      </c>
      <c r="G3131" s="46">
        <f>'Raw data'!F3040</f>
        <v>0</v>
      </c>
      <c r="H3131" s="4">
        <f>'Raw data'!G3040</f>
        <v>0</v>
      </c>
      <c r="I3131" s="29" t="e">
        <f>VLOOKUP(G3131,제품명!$C$1:$E$114,2,0)</f>
        <v>#N/A</v>
      </c>
      <c r="J3131" s="29">
        <f>'Raw data'!K3040</f>
        <v>0</v>
      </c>
      <c r="K3131" s="31">
        <f>'Raw data'!H3040</f>
        <v>0</v>
      </c>
      <c r="L3131" s="26">
        <f t="shared" si="100"/>
        <v>0</v>
      </c>
    </row>
    <row r="3132" spans="2:12">
      <c r="B3132" s="4" t="e">
        <f t="shared" si="99"/>
        <v>#N/A</v>
      </c>
      <c r="C3132" s="4">
        <f>'Raw data'!E2708</f>
        <v>0</v>
      </c>
      <c r="D3132" s="29" t="e">
        <f>VLOOKUP(C3132,'점포코드 '!A:B,2,0)</f>
        <v>#N/A</v>
      </c>
      <c r="E3132" s="30">
        <f>'Raw data'!P2708</f>
        <v>0</v>
      </c>
      <c r="F3132" s="29" t="e">
        <f>VLOOKUP(E3132,'점포코드 '!A:B,2,0)</f>
        <v>#N/A</v>
      </c>
      <c r="G3132" s="46">
        <f>'Raw data'!F3041</f>
        <v>0</v>
      </c>
      <c r="H3132" s="4">
        <f>'Raw data'!G3041</f>
        <v>0</v>
      </c>
      <c r="I3132" s="29" t="e">
        <f>VLOOKUP(G3132,제품명!$C$1:$E$114,2,0)</f>
        <v>#N/A</v>
      </c>
      <c r="J3132" s="29">
        <f>'Raw data'!K3041</f>
        <v>0</v>
      </c>
      <c r="K3132" s="31">
        <f>'Raw data'!H3041</f>
        <v>0</v>
      </c>
      <c r="L3132" s="26">
        <f t="shared" si="100"/>
        <v>0</v>
      </c>
    </row>
    <row r="3133" spans="2:12">
      <c r="B3133" s="4" t="e">
        <f t="shared" si="99"/>
        <v>#N/A</v>
      </c>
      <c r="C3133" s="4">
        <f>'Raw data'!E2709</f>
        <v>0</v>
      </c>
      <c r="D3133" s="29" t="e">
        <f>VLOOKUP(C3133,'점포코드 '!A:B,2,0)</f>
        <v>#N/A</v>
      </c>
      <c r="E3133" s="30">
        <f>'Raw data'!P2709</f>
        <v>0</v>
      </c>
      <c r="F3133" s="29" t="e">
        <f>VLOOKUP(E3133,'점포코드 '!A:B,2,0)</f>
        <v>#N/A</v>
      </c>
      <c r="G3133" s="46">
        <f>'Raw data'!F3042</f>
        <v>0</v>
      </c>
      <c r="H3133" s="4">
        <f>'Raw data'!G3042</f>
        <v>0</v>
      </c>
      <c r="I3133" s="29" t="e">
        <f>VLOOKUP(G3133,제품명!$C$1:$E$114,2,0)</f>
        <v>#N/A</v>
      </c>
      <c r="J3133" s="29">
        <f>'Raw data'!K3042</f>
        <v>0</v>
      </c>
      <c r="K3133" s="31">
        <f>'Raw data'!H3042</f>
        <v>0</v>
      </c>
      <c r="L3133" s="26">
        <f t="shared" si="100"/>
        <v>0</v>
      </c>
    </row>
    <row r="3134" spans="2:12">
      <c r="B3134" s="4" t="e">
        <f t="shared" si="99"/>
        <v>#N/A</v>
      </c>
      <c r="C3134" s="4">
        <f>'Raw data'!E2710</f>
        <v>0</v>
      </c>
      <c r="D3134" s="29" t="e">
        <f>VLOOKUP(C3134,'점포코드 '!A:B,2,0)</f>
        <v>#N/A</v>
      </c>
      <c r="E3134" s="30">
        <f>'Raw data'!P2710</f>
        <v>0</v>
      </c>
      <c r="F3134" s="29" t="e">
        <f>VLOOKUP(E3134,'점포코드 '!A:B,2,0)</f>
        <v>#N/A</v>
      </c>
      <c r="G3134" s="46">
        <f>'Raw data'!F3043</f>
        <v>0</v>
      </c>
      <c r="H3134" s="4">
        <f>'Raw data'!G3043</f>
        <v>0</v>
      </c>
      <c r="I3134" s="29" t="e">
        <f>VLOOKUP(G3134,제품명!$C$1:$E$114,2,0)</f>
        <v>#N/A</v>
      </c>
      <c r="J3134" s="29">
        <f>'Raw data'!K3043</f>
        <v>0</v>
      </c>
      <c r="K3134" s="31">
        <f>'Raw data'!H3043</f>
        <v>0</v>
      </c>
      <c r="L3134" s="26">
        <f t="shared" si="100"/>
        <v>0</v>
      </c>
    </row>
    <row r="3135" spans="2:12">
      <c r="B3135" s="4" t="e">
        <f t="shared" si="99"/>
        <v>#N/A</v>
      </c>
      <c r="C3135" s="4">
        <f>'Raw data'!E2711</f>
        <v>0</v>
      </c>
      <c r="D3135" s="29" t="e">
        <f>VLOOKUP(C3135,'점포코드 '!A:B,2,0)</f>
        <v>#N/A</v>
      </c>
      <c r="E3135" s="30">
        <f>'Raw data'!P2711</f>
        <v>0</v>
      </c>
      <c r="F3135" s="29" t="e">
        <f>VLOOKUP(E3135,'점포코드 '!A:B,2,0)</f>
        <v>#N/A</v>
      </c>
      <c r="G3135" s="46">
        <f>'Raw data'!F3044</f>
        <v>0</v>
      </c>
      <c r="H3135" s="4">
        <f>'Raw data'!G3044</f>
        <v>0</v>
      </c>
      <c r="I3135" s="29" t="e">
        <f>VLOOKUP(G3135,제품명!$C$1:$E$114,2,0)</f>
        <v>#N/A</v>
      </c>
      <c r="J3135" s="29">
        <f>'Raw data'!K3044</f>
        <v>0</v>
      </c>
      <c r="K3135" s="31">
        <f>'Raw data'!H3044</f>
        <v>0</v>
      </c>
      <c r="L3135" s="26">
        <f t="shared" si="100"/>
        <v>0</v>
      </c>
    </row>
    <row r="3136" spans="2:12">
      <c r="B3136" s="4" t="e">
        <f t="shared" si="99"/>
        <v>#N/A</v>
      </c>
      <c r="C3136" s="4">
        <f>'Raw data'!E2712</f>
        <v>0</v>
      </c>
      <c r="D3136" s="29" t="e">
        <f>VLOOKUP(C3136,'점포코드 '!A:B,2,0)</f>
        <v>#N/A</v>
      </c>
      <c r="E3136" s="30">
        <f>'Raw data'!P2712</f>
        <v>0</v>
      </c>
      <c r="F3136" s="29" t="e">
        <f>VLOOKUP(E3136,'점포코드 '!A:B,2,0)</f>
        <v>#N/A</v>
      </c>
      <c r="G3136" s="46">
        <f>'Raw data'!F3045</f>
        <v>0</v>
      </c>
      <c r="H3136" s="4">
        <f>'Raw data'!G3045</f>
        <v>0</v>
      </c>
      <c r="I3136" s="29" t="e">
        <f>VLOOKUP(G3136,제품명!$C$1:$E$114,2,0)</f>
        <v>#N/A</v>
      </c>
      <c r="J3136" s="29">
        <f>'Raw data'!K3045</f>
        <v>0</v>
      </c>
      <c r="K3136" s="31">
        <f>'Raw data'!H3045</f>
        <v>0</v>
      </c>
      <c r="L3136" s="26">
        <f t="shared" si="100"/>
        <v>0</v>
      </c>
    </row>
    <row r="3137" spans="2:12">
      <c r="B3137" s="4" t="e">
        <f t="shared" si="99"/>
        <v>#N/A</v>
      </c>
      <c r="C3137" s="4">
        <f>'Raw data'!E2713</f>
        <v>0</v>
      </c>
      <c r="D3137" s="29" t="e">
        <f>VLOOKUP(C3137,'점포코드 '!A:B,2,0)</f>
        <v>#N/A</v>
      </c>
      <c r="E3137" s="30">
        <f>'Raw data'!P2713</f>
        <v>0</v>
      </c>
      <c r="F3137" s="29" t="e">
        <f>VLOOKUP(E3137,'점포코드 '!A:B,2,0)</f>
        <v>#N/A</v>
      </c>
      <c r="G3137" s="46">
        <f>'Raw data'!F3046</f>
        <v>0</v>
      </c>
      <c r="H3137" s="4">
        <f>'Raw data'!G3046</f>
        <v>0</v>
      </c>
      <c r="I3137" s="29" t="e">
        <f>VLOOKUP(G3137,제품명!$C$1:$E$114,2,0)</f>
        <v>#N/A</v>
      </c>
      <c r="J3137" s="29">
        <f>'Raw data'!K3046</f>
        <v>0</v>
      </c>
      <c r="K3137" s="31">
        <f>'Raw data'!H3046</f>
        <v>0</v>
      </c>
      <c r="L3137" s="26">
        <f t="shared" si="100"/>
        <v>0</v>
      </c>
    </row>
    <row r="3138" spans="2:12">
      <c r="B3138" s="4" t="e">
        <f t="shared" ref="B3138:B3201" si="101">F3138&amp;I3138</f>
        <v>#N/A</v>
      </c>
      <c r="C3138" s="4">
        <f>'Raw data'!E2714</f>
        <v>0</v>
      </c>
      <c r="D3138" s="29" t="e">
        <f>VLOOKUP(C3138,'점포코드 '!A:B,2,0)</f>
        <v>#N/A</v>
      </c>
      <c r="E3138" s="30">
        <f>'Raw data'!P2714</f>
        <v>0</v>
      </c>
      <c r="F3138" s="29" t="e">
        <f>VLOOKUP(E3138,'점포코드 '!A:B,2,0)</f>
        <v>#N/A</v>
      </c>
      <c r="G3138" s="46">
        <f>'Raw data'!F3047</f>
        <v>0</v>
      </c>
      <c r="H3138" s="4">
        <f>'Raw data'!G3047</f>
        <v>0</v>
      </c>
      <c r="I3138" s="29" t="e">
        <f>VLOOKUP(G3138,제품명!$C$1:$E$114,2,0)</f>
        <v>#N/A</v>
      </c>
      <c r="J3138" s="29">
        <f>'Raw data'!K3047</f>
        <v>0</v>
      </c>
      <c r="K3138" s="31">
        <f>'Raw data'!H3047</f>
        <v>0</v>
      </c>
      <c r="L3138" s="26">
        <f t="shared" si="100"/>
        <v>0</v>
      </c>
    </row>
    <row r="3139" spans="2:12">
      <c r="B3139" s="4" t="e">
        <f t="shared" si="101"/>
        <v>#N/A</v>
      </c>
      <c r="C3139" s="4">
        <f>'Raw data'!E2715</f>
        <v>0</v>
      </c>
      <c r="D3139" s="29" t="e">
        <f>VLOOKUP(C3139,'점포코드 '!A:B,2,0)</f>
        <v>#N/A</v>
      </c>
      <c r="E3139" s="30">
        <f>'Raw data'!P2715</f>
        <v>0</v>
      </c>
      <c r="F3139" s="29" t="e">
        <f>VLOOKUP(E3139,'점포코드 '!A:B,2,0)</f>
        <v>#N/A</v>
      </c>
      <c r="G3139" s="46">
        <f>'Raw data'!F3048</f>
        <v>0</v>
      </c>
      <c r="H3139" s="4">
        <f>'Raw data'!G3048</f>
        <v>0</v>
      </c>
      <c r="I3139" s="29" t="e">
        <f>VLOOKUP(G3139,제품명!$C$1:$E$114,2,0)</f>
        <v>#N/A</v>
      </c>
      <c r="J3139" s="29">
        <f>'Raw data'!K3048</f>
        <v>0</v>
      </c>
      <c r="K3139" s="31">
        <f>'Raw data'!H3048</f>
        <v>0</v>
      </c>
      <c r="L3139" s="26">
        <f t="shared" ref="L3139:L3202" si="102">J3139*K3139</f>
        <v>0</v>
      </c>
    </row>
    <row r="3140" spans="2:12">
      <c r="B3140" s="4" t="e">
        <f t="shared" si="101"/>
        <v>#N/A</v>
      </c>
      <c r="C3140" s="4">
        <f>'Raw data'!E2716</f>
        <v>0</v>
      </c>
      <c r="D3140" s="29" t="e">
        <f>VLOOKUP(C3140,'점포코드 '!A:B,2,0)</f>
        <v>#N/A</v>
      </c>
      <c r="E3140" s="30">
        <f>'Raw data'!P2716</f>
        <v>0</v>
      </c>
      <c r="F3140" s="29" t="e">
        <f>VLOOKUP(E3140,'점포코드 '!A:B,2,0)</f>
        <v>#N/A</v>
      </c>
      <c r="G3140" s="46">
        <f>'Raw data'!F3049</f>
        <v>0</v>
      </c>
      <c r="H3140" s="4">
        <f>'Raw data'!G3049</f>
        <v>0</v>
      </c>
      <c r="I3140" s="29" t="e">
        <f>VLOOKUP(G3140,제품명!$C$1:$E$114,2,0)</f>
        <v>#N/A</v>
      </c>
      <c r="J3140" s="29">
        <f>'Raw data'!K3049</f>
        <v>0</v>
      </c>
      <c r="K3140" s="31">
        <f>'Raw data'!H3049</f>
        <v>0</v>
      </c>
      <c r="L3140" s="26">
        <f t="shared" si="102"/>
        <v>0</v>
      </c>
    </row>
    <row r="3141" spans="2:12">
      <c r="B3141" s="4" t="e">
        <f t="shared" si="101"/>
        <v>#N/A</v>
      </c>
      <c r="C3141" s="4">
        <f>'Raw data'!E2717</f>
        <v>0</v>
      </c>
      <c r="D3141" s="29" t="e">
        <f>VLOOKUP(C3141,'점포코드 '!A:B,2,0)</f>
        <v>#N/A</v>
      </c>
      <c r="E3141" s="30">
        <f>'Raw data'!P2717</f>
        <v>0</v>
      </c>
      <c r="F3141" s="29" t="e">
        <f>VLOOKUP(E3141,'점포코드 '!A:B,2,0)</f>
        <v>#N/A</v>
      </c>
      <c r="G3141" s="46">
        <f>'Raw data'!F3050</f>
        <v>0</v>
      </c>
      <c r="H3141" s="4">
        <f>'Raw data'!G3050</f>
        <v>0</v>
      </c>
      <c r="I3141" s="29" t="e">
        <f>VLOOKUP(G3141,제품명!$C$1:$E$114,2,0)</f>
        <v>#N/A</v>
      </c>
      <c r="J3141" s="29">
        <f>'Raw data'!K3050</f>
        <v>0</v>
      </c>
      <c r="K3141" s="31">
        <f>'Raw data'!H3050</f>
        <v>0</v>
      </c>
      <c r="L3141" s="26">
        <f t="shared" si="102"/>
        <v>0</v>
      </c>
    </row>
    <row r="3142" spans="2:12">
      <c r="B3142" s="4" t="e">
        <f t="shared" si="101"/>
        <v>#N/A</v>
      </c>
      <c r="C3142" s="4">
        <f>'Raw data'!E2718</f>
        <v>0</v>
      </c>
      <c r="D3142" s="29" t="e">
        <f>VLOOKUP(C3142,'점포코드 '!A:B,2,0)</f>
        <v>#N/A</v>
      </c>
      <c r="E3142" s="30">
        <f>'Raw data'!P2718</f>
        <v>0</v>
      </c>
      <c r="F3142" s="29" t="e">
        <f>VLOOKUP(E3142,'점포코드 '!A:B,2,0)</f>
        <v>#N/A</v>
      </c>
      <c r="G3142" s="46">
        <f>'Raw data'!F3051</f>
        <v>0</v>
      </c>
      <c r="H3142" s="4">
        <f>'Raw data'!G3051</f>
        <v>0</v>
      </c>
      <c r="I3142" s="29" t="e">
        <f>VLOOKUP(G3142,제품명!$C$1:$E$114,2,0)</f>
        <v>#N/A</v>
      </c>
      <c r="J3142" s="29">
        <f>'Raw data'!K3051</f>
        <v>0</v>
      </c>
      <c r="K3142" s="31">
        <f>'Raw data'!H3051</f>
        <v>0</v>
      </c>
      <c r="L3142" s="26">
        <f t="shared" si="102"/>
        <v>0</v>
      </c>
    </row>
    <row r="3143" spans="2:12">
      <c r="B3143" s="4" t="e">
        <f t="shared" si="101"/>
        <v>#N/A</v>
      </c>
      <c r="C3143" s="4">
        <f>'Raw data'!E2719</f>
        <v>0</v>
      </c>
      <c r="D3143" s="29" t="e">
        <f>VLOOKUP(C3143,'점포코드 '!A:B,2,0)</f>
        <v>#N/A</v>
      </c>
      <c r="E3143" s="30">
        <f>'Raw data'!P2719</f>
        <v>0</v>
      </c>
      <c r="F3143" s="29" t="e">
        <f>VLOOKUP(E3143,'점포코드 '!A:B,2,0)</f>
        <v>#N/A</v>
      </c>
      <c r="G3143" s="46">
        <f>'Raw data'!F3052</f>
        <v>0</v>
      </c>
      <c r="H3143" s="4">
        <f>'Raw data'!G3052</f>
        <v>0</v>
      </c>
      <c r="I3143" s="29" t="e">
        <f>VLOOKUP(G3143,제품명!$C$1:$E$114,2,0)</f>
        <v>#N/A</v>
      </c>
      <c r="J3143" s="29">
        <f>'Raw data'!K3052</f>
        <v>0</v>
      </c>
      <c r="K3143" s="31">
        <f>'Raw data'!H3052</f>
        <v>0</v>
      </c>
      <c r="L3143" s="26">
        <f t="shared" si="102"/>
        <v>0</v>
      </c>
    </row>
    <row r="3144" spans="2:12">
      <c r="B3144" s="4" t="e">
        <f t="shared" si="101"/>
        <v>#N/A</v>
      </c>
      <c r="C3144" s="4">
        <f>'Raw data'!E2720</f>
        <v>0</v>
      </c>
      <c r="D3144" s="29" t="e">
        <f>VLOOKUP(C3144,'점포코드 '!A:B,2,0)</f>
        <v>#N/A</v>
      </c>
      <c r="E3144" s="30">
        <f>'Raw data'!P2720</f>
        <v>0</v>
      </c>
      <c r="F3144" s="29" t="e">
        <f>VLOOKUP(E3144,'점포코드 '!A:B,2,0)</f>
        <v>#N/A</v>
      </c>
      <c r="G3144" s="46">
        <f>'Raw data'!F3053</f>
        <v>0</v>
      </c>
      <c r="H3144" s="4">
        <f>'Raw data'!G3053</f>
        <v>0</v>
      </c>
      <c r="I3144" s="29" t="e">
        <f>VLOOKUP(G3144,제품명!$C$1:$E$114,2,0)</f>
        <v>#N/A</v>
      </c>
      <c r="J3144" s="29">
        <f>'Raw data'!K3053</f>
        <v>0</v>
      </c>
      <c r="K3144" s="31">
        <f>'Raw data'!H3053</f>
        <v>0</v>
      </c>
      <c r="L3144" s="26">
        <f t="shared" si="102"/>
        <v>0</v>
      </c>
    </row>
    <row r="3145" spans="2:12">
      <c r="B3145" s="4" t="e">
        <f t="shared" si="101"/>
        <v>#N/A</v>
      </c>
      <c r="C3145" s="4">
        <f>'Raw data'!E2721</f>
        <v>0</v>
      </c>
      <c r="D3145" s="29" t="e">
        <f>VLOOKUP(C3145,'점포코드 '!A:B,2,0)</f>
        <v>#N/A</v>
      </c>
      <c r="E3145" s="30">
        <f>'Raw data'!P2721</f>
        <v>0</v>
      </c>
      <c r="F3145" s="29" t="e">
        <f>VLOOKUP(E3145,'점포코드 '!A:B,2,0)</f>
        <v>#N/A</v>
      </c>
      <c r="G3145" s="46">
        <f>'Raw data'!F3054</f>
        <v>0</v>
      </c>
      <c r="H3145" s="4">
        <f>'Raw data'!G3054</f>
        <v>0</v>
      </c>
      <c r="I3145" s="29" t="e">
        <f>VLOOKUP(G3145,제품명!$C$1:$E$114,2,0)</f>
        <v>#N/A</v>
      </c>
      <c r="J3145" s="29">
        <f>'Raw data'!K3054</f>
        <v>0</v>
      </c>
      <c r="K3145" s="31">
        <f>'Raw data'!H3054</f>
        <v>0</v>
      </c>
      <c r="L3145" s="26">
        <f t="shared" si="102"/>
        <v>0</v>
      </c>
    </row>
    <row r="3146" spans="2:12">
      <c r="B3146" s="4" t="e">
        <f t="shared" si="101"/>
        <v>#N/A</v>
      </c>
      <c r="C3146" s="4">
        <f>'Raw data'!E2722</f>
        <v>0</v>
      </c>
      <c r="D3146" s="29" t="e">
        <f>VLOOKUP(C3146,'점포코드 '!A:B,2,0)</f>
        <v>#N/A</v>
      </c>
      <c r="E3146" s="30">
        <f>'Raw data'!P2722</f>
        <v>0</v>
      </c>
      <c r="F3146" s="29" t="e">
        <f>VLOOKUP(E3146,'점포코드 '!A:B,2,0)</f>
        <v>#N/A</v>
      </c>
      <c r="G3146" s="46">
        <f>'Raw data'!F3055</f>
        <v>0</v>
      </c>
      <c r="H3146" s="4">
        <f>'Raw data'!G3055</f>
        <v>0</v>
      </c>
      <c r="I3146" s="29" t="e">
        <f>VLOOKUP(G3146,제품명!$C$1:$E$114,2,0)</f>
        <v>#N/A</v>
      </c>
      <c r="J3146" s="29">
        <f>'Raw data'!K3055</f>
        <v>0</v>
      </c>
      <c r="K3146" s="31">
        <f>'Raw data'!H3055</f>
        <v>0</v>
      </c>
      <c r="L3146" s="26">
        <f t="shared" si="102"/>
        <v>0</v>
      </c>
    </row>
    <row r="3147" spans="2:12">
      <c r="B3147" s="4" t="e">
        <f t="shared" si="101"/>
        <v>#N/A</v>
      </c>
      <c r="C3147" s="4">
        <f>'Raw data'!E2723</f>
        <v>0</v>
      </c>
      <c r="D3147" s="29" t="e">
        <f>VLOOKUP(C3147,'점포코드 '!A:B,2,0)</f>
        <v>#N/A</v>
      </c>
      <c r="E3147" s="30">
        <f>'Raw data'!P2723</f>
        <v>0</v>
      </c>
      <c r="F3147" s="29" t="e">
        <f>VLOOKUP(E3147,'점포코드 '!A:B,2,0)</f>
        <v>#N/A</v>
      </c>
      <c r="G3147" s="46">
        <f>'Raw data'!F3056</f>
        <v>0</v>
      </c>
      <c r="H3147" s="4">
        <f>'Raw data'!G3056</f>
        <v>0</v>
      </c>
      <c r="I3147" s="29" t="e">
        <f>VLOOKUP(G3147,제품명!$C$1:$E$114,2,0)</f>
        <v>#N/A</v>
      </c>
      <c r="J3147" s="29">
        <f>'Raw data'!K3056</f>
        <v>0</v>
      </c>
      <c r="K3147" s="31">
        <f>'Raw data'!H3056</f>
        <v>0</v>
      </c>
      <c r="L3147" s="26">
        <f t="shared" si="102"/>
        <v>0</v>
      </c>
    </row>
    <row r="3148" spans="2:12">
      <c r="B3148" s="4" t="e">
        <f t="shared" si="101"/>
        <v>#N/A</v>
      </c>
      <c r="C3148" s="4">
        <f>'Raw data'!E2724</f>
        <v>0</v>
      </c>
      <c r="D3148" s="29" t="e">
        <f>VLOOKUP(C3148,'점포코드 '!A:B,2,0)</f>
        <v>#N/A</v>
      </c>
      <c r="E3148" s="30">
        <f>'Raw data'!P2724</f>
        <v>0</v>
      </c>
      <c r="F3148" s="29" t="e">
        <f>VLOOKUP(E3148,'점포코드 '!A:B,2,0)</f>
        <v>#N/A</v>
      </c>
      <c r="G3148" s="46">
        <f>'Raw data'!F3057</f>
        <v>0</v>
      </c>
      <c r="H3148" s="4">
        <f>'Raw data'!G3057</f>
        <v>0</v>
      </c>
      <c r="I3148" s="29" t="e">
        <f>VLOOKUP(G3148,제품명!$C$1:$E$114,2,0)</f>
        <v>#N/A</v>
      </c>
      <c r="J3148" s="29">
        <f>'Raw data'!K3057</f>
        <v>0</v>
      </c>
      <c r="K3148" s="31">
        <f>'Raw data'!H3057</f>
        <v>0</v>
      </c>
      <c r="L3148" s="26">
        <f t="shared" si="102"/>
        <v>0</v>
      </c>
    </row>
    <row r="3149" spans="2:12">
      <c r="B3149" s="4" t="e">
        <f t="shared" si="101"/>
        <v>#N/A</v>
      </c>
      <c r="C3149" s="4">
        <f>'Raw data'!E2725</f>
        <v>0</v>
      </c>
      <c r="D3149" s="29" t="e">
        <f>VLOOKUP(C3149,'점포코드 '!A:B,2,0)</f>
        <v>#N/A</v>
      </c>
      <c r="E3149" s="30">
        <f>'Raw data'!P2725</f>
        <v>0</v>
      </c>
      <c r="F3149" s="29" t="e">
        <f>VLOOKUP(E3149,'점포코드 '!A:B,2,0)</f>
        <v>#N/A</v>
      </c>
      <c r="G3149" s="46">
        <f>'Raw data'!F3058</f>
        <v>0</v>
      </c>
      <c r="H3149" s="4">
        <f>'Raw data'!G3058</f>
        <v>0</v>
      </c>
      <c r="I3149" s="29" t="e">
        <f>VLOOKUP(G3149,제품명!$C$1:$E$114,2,0)</f>
        <v>#N/A</v>
      </c>
      <c r="J3149" s="29">
        <f>'Raw data'!K3058</f>
        <v>0</v>
      </c>
      <c r="K3149" s="31">
        <f>'Raw data'!H3058</f>
        <v>0</v>
      </c>
      <c r="L3149" s="26">
        <f t="shared" si="102"/>
        <v>0</v>
      </c>
    </row>
    <row r="3150" spans="2:12">
      <c r="B3150" s="4" t="e">
        <f t="shared" si="101"/>
        <v>#N/A</v>
      </c>
      <c r="C3150" s="4">
        <f>'Raw data'!E2726</f>
        <v>0</v>
      </c>
      <c r="D3150" s="29" t="e">
        <f>VLOOKUP(C3150,'점포코드 '!A:B,2,0)</f>
        <v>#N/A</v>
      </c>
      <c r="E3150" s="30">
        <f>'Raw data'!P2726</f>
        <v>0</v>
      </c>
      <c r="F3150" s="29" t="e">
        <f>VLOOKUP(E3150,'점포코드 '!A:B,2,0)</f>
        <v>#N/A</v>
      </c>
      <c r="G3150" s="46">
        <f>'Raw data'!F3059</f>
        <v>0</v>
      </c>
      <c r="H3150" s="4">
        <f>'Raw data'!G3059</f>
        <v>0</v>
      </c>
      <c r="I3150" s="29" t="e">
        <f>VLOOKUP(G3150,제품명!$C$1:$E$114,2,0)</f>
        <v>#N/A</v>
      </c>
      <c r="J3150" s="29">
        <f>'Raw data'!K3059</f>
        <v>0</v>
      </c>
      <c r="K3150" s="31">
        <f>'Raw data'!H3059</f>
        <v>0</v>
      </c>
      <c r="L3150" s="26">
        <f t="shared" si="102"/>
        <v>0</v>
      </c>
    </row>
    <row r="3151" spans="2:12">
      <c r="B3151" s="4" t="e">
        <f t="shared" si="101"/>
        <v>#N/A</v>
      </c>
      <c r="C3151" s="4">
        <f>'Raw data'!E2727</f>
        <v>0</v>
      </c>
      <c r="D3151" s="29" t="e">
        <f>VLOOKUP(C3151,'점포코드 '!A:B,2,0)</f>
        <v>#N/A</v>
      </c>
      <c r="E3151" s="30">
        <f>'Raw data'!P2727</f>
        <v>0</v>
      </c>
      <c r="F3151" s="29" t="e">
        <f>VLOOKUP(E3151,'점포코드 '!A:B,2,0)</f>
        <v>#N/A</v>
      </c>
      <c r="G3151" s="46">
        <f>'Raw data'!F3060</f>
        <v>0</v>
      </c>
      <c r="H3151" s="4">
        <f>'Raw data'!G3060</f>
        <v>0</v>
      </c>
      <c r="I3151" s="29" t="e">
        <f>VLOOKUP(G3151,제품명!$C$1:$E$114,2,0)</f>
        <v>#N/A</v>
      </c>
      <c r="J3151" s="29">
        <f>'Raw data'!K3060</f>
        <v>0</v>
      </c>
      <c r="K3151" s="31">
        <f>'Raw data'!H3060</f>
        <v>0</v>
      </c>
      <c r="L3151" s="26">
        <f t="shared" si="102"/>
        <v>0</v>
      </c>
    </row>
    <row r="3152" spans="2:12">
      <c r="B3152" s="4" t="e">
        <f t="shared" si="101"/>
        <v>#N/A</v>
      </c>
      <c r="C3152" s="4">
        <f>'Raw data'!E2728</f>
        <v>0</v>
      </c>
      <c r="D3152" s="29" t="e">
        <f>VLOOKUP(C3152,'점포코드 '!A:B,2,0)</f>
        <v>#N/A</v>
      </c>
      <c r="E3152" s="30">
        <f>'Raw data'!P2728</f>
        <v>0</v>
      </c>
      <c r="F3152" s="29" t="e">
        <f>VLOOKUP(E3152,'점포코드 '!A:B,2,0)</f>
        <v>#N/A</v>
      </c>
      <c r="G3152" s="46">
        <f>'Raw data'!F3061</f>
        <v>0</v>
      </c>
      <c r="H3152" s="4">
        <f>'Raw data'!G3061</f>
        <v>0</v>
      </c>
      <c r="I3152" s="29" t="e">
        <f>VLOOKUP(G3152,제품명!$C$1:$E$114,2,0)</f>
        <v>#N/A</v>
      </c>
      <c r="J3152" s="29">
        <f>'Raw data'!K3061</f>
        <v>0</v>
      </c>
      <c r="K3152" s="31">
        <f>'Raw data'!H3061</f>
        <v>0</v>
      </c>
      <c r="L3152" s="26">
        <f t="shared" si="102"/>
        <v>0</v>
      </c>
    </row>
    <row r="3153" spans="2:12">
      <c r="B3153" s="4" t="e">
        <f t="shared" si="101"/>
        <v>#N/A</v>
      </c>
      <c r="C3153" s="4">
        <f>'Raw data'!E2729</f>
        <v>0</v>
      </c>
      <c r="D3153" s="29" t="e">
        <f>VLOOKUP(C3153,'점포코드 '!A:B,2,0)</f>
        <v>#N/A</v>
      </c>
      <c r="E3153" s="30">
        <f>'Raw data'!P2729</f>
        <v>0</v>
      </c>
      <c r="F3153" s="29" t="e">
        <f>VLOOKUP(E3153,'점포코드 '!A:B,2,0)</f>
        <v>#N/A</v>
      </c>
      <c r="G3153" s="46">
        <f>'Raw data'!F3062</f>
        <v>0</v>
      </c>
      <c r="H3153" s="4">
        <f>'Raw data'!G3062</f>
        <v>0</v>
      </c>
      <c r="I3153" s="29" t="e">
        <f>VLOOKUP(G3153,제품명!$C$1:$E$114,2,0)</f>
        <v>#N/A</v>
      </c>
      <c r="J3153" s="29">
        <f>'Raw data'!K3062</f>
        <v>0</v>
      </c>
      <c r="K3153" s="31">
        <f>'Raw data'!H3062</f>
        <v>0</v>
      </c>
      <c r="L3153" s="26">
        <f t="shared" si="102"/>
        <v>0</v>
      </c>
    </row>
    <row r="3154" spans="2:12">
      <c r="B3154" s="4" t="e">
        <f t="shared" si="101"/>
        <v>#N/A</v>
      </c>
      <c r="C3154" s="4">
        <f>'Raw data'!E2730</f>
        <v>0</v>
      </c>
      <c r="D3154" s="29" t="e">
        <f>VLOOKUP(C3154,'점포코드 '!A:B,2,0)</f>
        <v>#N/A</v>
      </c>
      <c r="E3154" s="30">
        <f>'Raw data'!P2730</f>
        <v>0</v>
      </c>
      <c r="F3154" s="29" t="e">
        <f>VLOOKUP(E3154,'점포코드 '!A:B,2,0)</f>
        <v>#N/A</v>
      </c>
      <c r="G3154" s="46">
        <f>'Raw data'!F3063</f>
        <v>0</v>
      </c>
      <c r="H3154" s="4">
        <f>'Raw data'!G3063</f>
        <v>0</v>
      </c>
      <c r="I3154" s="29" t="e">
        <f>VLOOKUP(G3154,제품명!$C$1:$E$114,2,0)</f>
        <v>#N/A</v>
      </c>
      <c r="J3154" s="29">
        <f>'Raw data'!K3063</f>
        <v>0</v>
      </c>
      <c r="K3154" s="31">
        <f>'Raw data'!H3063</f>
        <v>0</v>
      </c>
      <c r="L3154" s="26">
        <f t="shared" si="102"/>
        <v>0</v>
      </c>
    </row>
    <row r="3155" spans="2:12">
      <c r="B3155" s="4" t="e">
        <f t="shared" si="101"/>
        <v>#N/A</v>
      </c>
      <c r="C3155" s="4">
        <f>'Raw data'!E2731</f>
        <v>0</v>
      </c>
      <c r="D3155" s="29" t="e">
        <f>VLOOKUP(C3155,'점포코드 '!A:B,2,0)</f>
        <v>#N/A</v>
      </c>
      <c r="E3155" s="30">
        <f>'Raw data'!P2731</f>
        <v>0</v>
      </c>
      <c r="F3155" s="29" t="e">
        <f>VLOOKUP(E3155,'점포코드 '!A:B,2,0)</f>
        <v>#N/A</v>
      </c>
      <c r="G3155" s="46">
        <f>'Raw data'!F3064</f>
        <v>0</v>
      </c>
      <c r="H3155" s="4">
        <f>'Raw data'!G3064</f>
        <v>0</v>
      </c>
      <c r="I3155" s="29" t="e">
        <f>VLOOKUP(G3155,제품명!$C$1:$E$114,2,0)</f>
        <v>#N/A</v>
      </c>
      <c r="J3155" s="29">
        <f>'Raw data'!K3064</f>
        <v>0</v>
      </c>
      <c r="K3155" s="31">
        <f>'Raw data'!H3064</f>
        <v>0</v>
      </c>
      <c r="L3155" s="26">
        <f t="shared" si="102"/>
        <v>0</v>
      </c>
    </row>
    <row r="3156" spans="2:12">
      <c r="B3156" s="4" t="e">
        <f t="shared" si="101"/>
        <v>#N/A</v>
      </c>
      <c r="C3156" s="4">
        <f>'Raw data'!E2732</f>
        <v>0</v>
      </c>
      <c r="D3156" s="29" t="e">
        <f>VLOOKUP(C3156,'점포코드 '!A:B,2,0)</f>
        <v>#N/A</v>
      </c>
      <c r="E3156" s="30">
        <f>'Raw data'!P2732</f>
        <v>0</v>
      </c>
      <c r="F3156" s="29" t="e">
        <f>VLOOKUP(E3156,'점포코드 '!A:B,2,0)</f>
        <v>#N/A</v>
      </c>
      <c r="G3156" s="46">
        <f>'Raw data'!F3065</f>
        <v>0</v>
      </c>
      <c r="H3156" s="4">
        <f>'Raw data'!G3065</f>
        <v>0</v>
      </c>
      <c r="I3156" s="29" t="e">
        <f>VLOOKUP(G3156,제품명!$C$1:$E$114,2,0)</f>
        <v>#N/A</v>
      </c>
      <c r="J3156" s="29">
        <f>'Raw data'!K3065</f>
        <v>0</v>
      </c>
      <c r="K3156" s="31">
        <f>'Raw data'!H3065</f>
        <v>0</v>
      </c>
      <c r="L3156" s="26">
        <f t="shared" si="102"/>
        <v>0</v>
      </c>
    </row>
    <row r="3157" spans="2:12">
      <c r="B3157" s="4" t="e">
        <f t="shared" si="101"/>
        <v>#N/A</v>
      </c>
      <c r="C3157" s="4">
        <f>'Raw data'!E2733</f>
        <v>0</v>
      </c>
      <c r="D3157" s="29" t="e">
        <f>VLOOKUP(C3157,'점포코드 '!A:B,2,0)</f>
        <v>#N/A</v>
      </c>
      <c r="E3157" s="30">
        <f>'Raw data'!P2733</f>
        <v>0</v>
      </c>
      <c r="F3157" s="29" t="e">
        <f>VLOOKUP(E3157,'점포코드 '!A:B,2,0)</f>
        <v>#N/A</v>
      </c>
      <c r="G3157" s="46">
        <f>'Raw data'!F3066</f>
        <v>0</v>
      </c>
      <c r="H3157" s="4">
        <f>'Raw data'!G3066</f>
        <v>0</v>
      </c>
      <c r="I3157" s="29" t="e">
        <f>VLOOKUP(G3157,제품명!$C$1:$E$114,2,0)</f>
        <v>#N/A</v>
      </c>
      <c r="J3157" s="29">
        <f>'Raw data'!K3066</f>
        <v>0</v>
      </c>
      <c r="K3157" s="31">
        <f>'Raw data'!H3066</f>
        <v>0</v>
      </c>
      <c r="L3157" s="26">
        <f t="shared" si="102"/>
        <v>0</v>
      </c>
    </row>
    <row r="3158" spans="2:12">
      <c r="B3158" s="4" t="e">
        <f t="shared" si="101"/>
        <v>#N/A</v>
      </c>
      <c r="C3158" s="4">
        <f>'Raw data'!E2734</f>
        <v>0</v>
      </c>
      <c r="D3158" s="29" t="e">
        <f>VLOOKUP(C3158,'점포코드 '!A:B,2,0)</f>
        <v>#N/A</v>
      </c>
      <c r="E3158" s="30">
        <f>'Raw data'!P2734</f>
        <v>0</v>
      </c>
      <c r="F3158" s="29" t="e">
        <f>VLOOKUP(E3158,'점포코드 '!A:B,2,0)</f>
        <v>#N/A</v>
      </c>
      <c r="G3158" s="46">
        <f>'Raw data'!F3067</f>
        <v>0</v>
      </c>
      <c r="H3158" s="4">
        <f>'Raw data'!G3067</f>
        <v>0</v>
      </c>
      <c r="I3158" s="29" t="e">
        <f>VLOOKUP(G3158,제품명!$C$1:$E$114,2,0)</f>
        <v>#N/A</v>
      </c>
      <c r="J3158" s="29">
        <f>'Raw data'!K3067</f>
        <v>0</v>
      </c>
      <c r="K3158" s="31">
        <f>'Raw data'!H3067</f>
        <v>0</v>
      </c>
      <c r="L3158" s="26">
        <f t="shared" si="102"/>
        <v>0</v>
      </c>
    </row>
    <row r="3159" spans="2:12">
      <c r="B3159" s="4" t="e">
        <f t="shared" si="101"/>
        <v>#N/A</v>
      </c>
      <c r="C3159" s="4">
        <f>'Raw data'!E2735</f>
        <v>0</v>
      </c>
      <c r="D3159" s="29" t="e">
        <f>VLOOKUP(C3159,'점포코드 '!A:B,2,0)</f>
        <v>#N/A</v>
      </c>
      <c r="E3159" s="30">
        <f>'Raw data'!P2735</f>
        <v>0</v>
      </c>
      <c r="F3159" s="29" t="e">
        <f>VLOOKUP(E3159,'점포코드 '!A:B,2,0)</f>
        <v>#N/A</v>
      </c>
      <c r="G3159" s="46">
        <f>'Raw data'!F3068</f>
        <v>0</v>
      </c>
      <c r="H3159" s="4">
        <f>'Raw data'!G3068</f>
        <v>0</v>
      </c>
      <c r="I3159" s="29" t="e">
        <f>VLOOKUP(G3159,제품명!$C$1:$E$114,2,0)</f>
        <v>#N/A</v>
      </c>
      <c r="J3159" s="29">
        <f>'Raw data'!K3068</f>
        <v>0</v>
      </c>
      <c r="K3159" s="31">
        <f>'Raw data'!H3068</f>
        <v>0</v>
      </c>
      <c r="L3159" s="26">
        <f t="shared" si="102"/>
        <v>0</v>
      </c>
    </row>
    <row r="3160" spans="2:12">
      <c r="B3160" s="4" t="e">
        <f t="shared" si="101"/>
        <v>#N/A</v>
      </c>
      <c r="C3160" s="4">
        <f>'Raw data'!E2736</f>
        <v>0</v>
      </c>
      <c r="D3160" s="29" t="e">
        <f>VLOOKUP(C3160,'점포코드 '!A:B,2,0)</f>
        <v>#N/A</v>
      </c>
      <c r="E3160" s="30">
        <f>'Raw data'!P2736</f>
        <v>0</v>
      </c>
      <c r="F3160" s="29" t="e">
        <f>VLOOKUP(E3160,'점포코드 '!A:B,2,0)</f>
        <v>#N/A</v>
      </c>
      <c r="G3160" s="46">
        <f>'Raw data'!F3069</f>
        <v>0</v>
      </c>
      <c r="H3160" s="4">
        <f>'Raw data'!G3069</f>
        <v>0</v>
      </c>
      <c r="I3160" s="29" t="e">
        <f>VLOOKUP(G3160,제품명!$C$1:$E$114,2,0)</f>
        <v>#N/A</v>
      </c>
      <c r="J3160" s="29">
        <f>'Raw data'!K3069</f>
        <v>0</v>
      </c>
      <c r="K3160" s="31">
        <f>'Raw data'!H3069</f>
        <v>0</v>
      </c>
      <c r="L3160" s="26">
        <f t="shared" si="102"/>
        <v>0</v>
      </c>
    </row>
    <row r="3161" spans="2:12">
      <c r="B3161" s="4" t="e">
        <f t="shared" si="101"/>
        <v>#N/A</v>
      </c>
      <c r="C3161" s="4">
        <f>'Raw data'!E2737</f>
        <v>0</v>
      </c>
      <c r="D3161" s="29" t="e">
        <f>VLOOKUP(C3161,'점포코드 '!A:B,2,0)</f>
        <v>#N/A</v>
      </c>
      <c r="E3161" s="30">
        <f>'Raw data'!P2737</f>
        <v>0</v>
      </c>
      <c r="F3161" s="29" t="e">
        <f>VLOOKUP(E3161,'점포코드 '!A:B,2,0)</f>
        <v>#N/A</v>
      </c>
      <c r="G3161" s="46">
        <f>'Raw data'!F3070</f>
        <v>0</v>
      </c>
      <c r="H3161" s="4">
        <f>'Raw data'!G3070</f>
        <v>0</v>
      </c>
      <c r="I3161" s="29" t="e">
        <f>VLOOKUP(G3161,제품명!$C$1:$E$114,2,0)</f>
        <v>#N/A</v>
      </c>
      <c r="J3161" s="29">
        <f>'Raw data'!K3070</f>
        <v>0</v>
      </c>
      <c r="K3161" s="31">
        <f>'Raw data'!H3070</f>
        <v>0</v>
      </c>
      <c r="L3161" s="26">
        <f t="shared" si="102"/>
        <v>0</v>
      </c>
    </row>
    <row r="3162" spans="2:12">
      <c r="B3162" s="4" t="e">
        <f t="shared" si="101"/>
        <v>#N/A</v>
      </c>
      <c r="C3162" s="4">
        <f>'Raw data'!E2738</f>
        <v>0</v>
      </c>
      <c r="D3162" s="29" t="e">
        <f>VLOOKUP(C3162,'점포코드 '!A:B,2,0)</f>
        <v>#N/A</v>
      </c>
      <c r="E3162" s="30">
        <f>'Raw data'!P2738</f>
        <v>0</v>
      </c>
      <c r="F3162" s="29" t="e">
        <f>VLOOKUP(E3162,'점포코드 '!A:B,2,0)</f>
        <v>#N/A</v>
      </c>
      <c r="G3162" s="46">
        <f>'Raw data'!F3071</f>
        <v>0</v>
      </c>
      <c r="H3162" s="4">
        <f>'Raw data'!G3071</f>
        <v>0</v>
      </c>
      <c r="I3162" s="29" t="e">
        <f>VLOOKUP(G3162,제품명!$C$1:$E$114,2,0)</f>
        <v>#N/A</v>
      </c>
      <c r="J3162" s="29">
        <f>'Raw data'!K3071</f>
        <v>0</v>
      </c>
      <c r="K3162" s="31">
        <f>'Raw data'!H3071</f>
        <v>0</v>
      </c>
      <c r="L3162" s="26">
        <f t="shared" si="102"/>
        <v>0</v>
      </c>
    </row>
    <row r="3163" spans="2:12">
      <c r="B3163" s="4" t="e">
        <f t="shared" si="101"/>
        <v>#N/A</v>
      </c>
      <c r="C3163" s="4">
        <f>'Raw data'!E2739</f>
        <v>0</v>
      </c>
      <c r="D3163" s="29" t="e">
        <f>VLOOKUP(C3163,'점포코드 '!A:B,2,0)</f>
        <v>#N/A</v>
      </c>
      <c r="E3163" s="30">
        <f>'Raw data'!P2739</f>
        <v>0</v>
      </c>
      <c r="F3163" s="29" t="e">
        <f>VLOOKUP(E3163,'점포코드 '!A:B,2,0)</f>
        <v>#N/A</v>
      </c>
      <c r="G3163" s="46">
        <f>'Raw data'!F3072</f>
        <v>0</v>
      </c>
      <c r="H3163" s="4">
        <f>'Raw data'!G3072</f>
        <v>0</v>
      </c>
      <c r="I3163" s="29" t="e">
        <f>VLOOKUP(G3163,제품명!$C$1:$E$114,2,0)</f>
        <v>#N/A</v>
      </c>
      <c r="J3163" s="29">
        <f>'Raw data'!K3072</f>
        <v>0</v>
      </c>
      <c r="K3163" s="31">
        <f>'Raw data'!H3072</f>
        <v>0</v>
      </c>
      <c r="L3163" s="26">
        <f t="shared" si="102"/>
        <v>0</v>
      </c>
    </row>
    <row r="3164" spans="2:12">
      <c r="B3164" s="4" t="e">
        <f t="shared" si="101"/>
        <v>#N/A</v>
      </c>
      <c r="C3164" s="4">
        <f>'Raw data'!E2740</f>
        <v>0</v>
      </c>
      <c r="D3164" s="29" t="e">
        <f>VLOOKUP(C3164,'점포코드 '!A:B,2,0)</f>
        <v>#N/A</v>
      </c>
      <c r="E3164" s="30">
        <f>'Raw data'!P2740</f>
        <v>0</v>
      </c>
      <c r="F3164" s="29" t="e">
        <f>VLOOKUP(E3164,'점포코드 '!A:B,2,0)</f>
        <v>#N/A</v>
      </c>
      <c r="G3164" s="46">
        <f>'Raw data'!F3073</f>
        <v>0</v>
      </c>
      <c r="H3164" s="4">
        <f>'Raw data'!G3073</f>
        <v>0</v>
      </c>
      <c r="I3164" s="29" t="e">
        <f>VLOOKUP(G3164,제품명!$C$1:$E$114,2,0)</f>
        <v>#N/A</v>
      </c>
      <c r="J3164" s="29">
        <f>'Raw data'!K3073</f>
        <v>0</v>
      </c>
      <c r="K3164" s="31">
        <f>'Raw data'!H3073</f>
        <v>0</v>
      </c>
      <c r="L3164" s="26">
        <f t="shared" si="102"/>
        <v>0</v>
      </c>
    </row>
    <row r="3165" spans="2:12">
      <c r="B3165" s="4" t="e">
        <f t="shared" si="101"/>
        <v>#N/A</v>
      </c>
      <c r="C3165" s="4">
        <f>'Raw data'!E2741</f>
        <v>0</v>
      </c>
      <c r="D3165" s="29" t="e">
        <f>VLOOKUP(C3165,'점포코드 '!A:B,2,0)</f>
        <v>#N/A</v>
      </c>
      <c r="E3165" s="30">
        <f>'Raw data'!P2741</f>
        <v>0</v>
      </c>
      <c r="F3165" s="29" t="e">
        <f>VLOOKUP(E3165,'점포코드 '!A:B,2,0)</f>
        <v>#N/A</v>
      </c>
      <c r="G3165" s="46">
        <f>'Raw data'!F3074</f>
        <v>0</v>
      </c>
      <c r="H3165" s="4">
        <f>'Raw data'!G3074</f>
        <v>0</v>
      </c>
      <c r="I3165" s="29" t="e">
        <f>VLOOKUP(G3165,제품명!$C$1:$E$114,2,0)</f>
        <v>#N/A</v>
      </c>
      <c r="J3165" s="29">
        <f>'Raw data'!K3074</f>
        <v>0</v>
      </c>
      <c r="K3165" s="31">
        <f>'Raw data'!H3074</f>
        <v>0</v>
      </c>
      <c r="L3165" s="26">
        <f t="shared" si="102"/>
        <v>0</v>
      </c>
    </row>
    <row r="3166" spans="2:12">
      <c r="B3166" s="4" t="e">
        <f t="shared" si="101"/>
        <v>#N/A</v>
      </c>
      <c r="C3166" s="4">
        <f>'Raw data'!E2742</f>
        <v>0</v>
      </c>
      <c r="D3166" s="29" t="e">
        <f>VLOOKUP(C3166,'점포코드 '!A:B,2,0)</f>
        <v>#N/A</v>
      </c>
      <c r="E3166" s="30">
        <f>'Raw data'!P2742</f>
        <v>0</v>
      </c>
      <c r="F3166" s="29" t="e">
        <f>VLOOKUP(E3166,'점포코드 '!A:B,2,0)</f>
        <v>#N/A</v>
      </c>
      <c r="G3166" s="46">
        <f>'Raw data'!F3075</f>
        <v>0</v>
      </c>
      <c r="H3166" s="4">
        <f>'Raw data'!G3075</f>
        <v>0</v>
      </c>
      <c r="I3166" s="29" t="e">
        <f>VLOOKUP(G3166,제품명!$C$1:$E$114,2,0)</f>
        <v>#N/A</v>
      </c>
      <c r="J3166" s="29">
        <f>'Raw data'!K3075</f>
        <v>0</v>
      </c>
      <c r="K3166" s="31">
        <f>'Raw data'!H3075</f>
        <v>0</v>
      </c>
      <c r="L3166" s="26">
        <f t="shared" si="102"/>
        <v>0</v>
      </c>
    </row>
    <row r="3167" spans="2:12">
      <c r="B3167" s="4" t="e">
        <f t="shared" si="101"/>
        <v>#N/A</v>
      </c>
      <c r="C3167" s="4">
        <f>'Raw data'!E2743</f>
        <v>0</v>
      </c>
      <c r="D3167" s="29" t="e">
        <f>VLOOKUP(C3167,'점포코드 '!A:B,2,0)</f>
        <v>#N/A</v>
      </c>
      <c r="E3167" s="30">
        <f>'Raw data'!P2743</f>
        <v>0</v>
      </c>
      <c r="F3167" s="29" t="e">
        <f>VLOOKUP(E3167,'점포코드 '!A:B,2,0)</f>
        <v>#N/A</v>
      </c>
      <c r="G3167" s="46">
        <f>'Raw data'!F3076</f>
        <v>0</v>
      </c>
      <c r="H3167" s="4">
        <f>'Raw data'!G3076</f>
        <v>0</v>
      </c>
      <c r="I3167" s="29" t="e">
        <f>VLOOKUP(G3167,제품명!$C$1:$E$114,2,0)</f>
        <v>#N/A</v>
      </c>
      <c r="J3167" s="29">
        <f>'Raw data'!K3076</f>
        <v>0</v>
      </c>
      <c r="K3167" s="31">
        <f>'Raw data'!H3076</f>
        <v>0</v>
      </c>
      <c r="L3167" s="26">
        <f t="shared" si="102"/>
        <v>0</v>
      </c>
    </row>
    <row r="3168" spans="2:12">
      <c r="B3168" s="4" t="e">
        <f t="shared" si="101"/>
        <v>#N/A</v>
      </c>
      <c r="C3168" s="4">
        <f>'Raw data'!E2744</f>
        <v>0</v>
      </c>
      <c r="D3168" s="29" t="e">
        <f>VLOOKUP(C3168,'점포코드 '!A:B,2,0)</f>
        <v>#N/A</v>
      </c>
      <c r="E3168" s="30">
        <f>'Raw data'!P2744</f>
        <v>0</v>
      </c>
      <c r="F3168" s="29" t="e">
        <f>VLOOKUP(E3168,'점포코드 '!A:B,2,0)</f>
        <v>#N/A</v>
      </c>
      <c r="G3168" s="46">
        <f>'Raw data'!F3077</f>
        <v>0</v>
      </c>
      <c r="H3168" s="4">
        <f>'Raw data'!G3077</f>
        <v>0</v>
      </c>
      <c r="I3168" s="29" t="e">
        <f>VLOOKUP(G3168,제품명!$C$1:$E$114,2,0)</f>
        <v>#N/A</v>
      </c>
      <c r="J3168" s="29">
        <f>'Raw data'!K3077</f>
        <v>0</v>
      </c>
      <c r="K3168" s="31">
        <f>'Raw data'!H3077</f>
        <v>0</v>
      </c>
      <c r="L3168" s="26">
        <f t="shared" si="102"/>
        <v>0</v>
      </c>
    </row>
    <row r="3169" spans="2:12">
      <c r="B3169" s="4" t="e">
        <f t="shared" si="101"/>
        <v>#N/A</v>
      </c>
      <c r="C3169" s="4">
        <f>'Raw data'!E2745</f>
        <v>0</v>
      </c>
      <c r="D3169" s="29" t="e">
        <f>VLOOKUP(C3169,'점포코드 '!A:B,2,0)</f>
        <v>#N/A</v>
      </c>
      <c r="E3169" s="30">
        <f>'Raw data'!P2745</f>
        <v>0</v>
      </c>
      <c r="F3169" s="29" t="e">
        <f>VLOOKUP(E3169,'점포코드 '!A:B,2,0)</f>
        <v>#N/A</v>
      </c>
      <c r="G3169" s="46">
        <f>'Raw data'!F3078</f>
        <v>0</v>
      </c>
      <c r="H3169" s="4">
        <f>'Raw data'!G3078</f>
        <v>0</v>
      </c>
      <c r="I3169" s="29" t="e">
        <f>VLOOKUP(G3169,제품명!$C$1:$E$114,2,0)</f>
        <v>#N/A</v>
      </c>
      <c r="J3169" s="29">
        <f>'Raw data'!K3078</f>
        <v>0</v>
      </c>
      <c r="K3169" s="31">
        <f>'Raw data'!H3078</f>
        <v>0</v>
      </c>
      <c r="L3169" s="26">
        <f t="shared" si="102"/>
        <v>0</v>
      </c>
    </row>
    <row r="3170" spans="2:12">
      <c r="B3170" s="4" t="e">
        <f t="shared" si="101"/>
        <v>#N/A</v>
      </c>
      <c r="C3170" s="4">
        <f>'Raw data'!E2746</f>
        <v>0</v>
      </c>
      <c r="D3170" s="29" t="e">
        <f>VLOOKUP(C3170,'점포코드 '!A:B,2,0)</f>
        <v>#N/A</v>
      </c>
      <c r="E3170" s="30">
        <f>'Raw data'!P2746</f>
        <v>0</v>
      </c>
      <c r="F3170" s="29" t="e">
        <f>VLOOKUP(E3170,'점포코드 '!A:B,2,0)</f>
        <v>#N/A</v>
      </c>
      <c r="G3170" s="46">
        <f>'Raw data'!F3079</f>
        <v>0</v>
      </c>
      <c r="H3170" s="4">
        <f>'Raw data'!G3079</f>
        <v>0</v>
      </c>
      <c r="I3170" s="29" t="e">
        <f>VLOOKUP(G3170,제품명!$C$1:$E$114,2,0)</f>
        <v>#N/A</v>
      </c>
      <c r="J3170" s="29">
        <f>'Raw data'!K3079</f>
        <v>0</v>
      </c>
      <c r="K3170" s="31">
        <f>'Raw data'!H3079</f>
        <v>0</v>
      </c>
      <c r="L3170" s="26">
        <f t="shared" si="102"/>
        <v>0</v>
      </c>
    </row>
    <row r="3171" spans="2:12">
      <c r="B3171" s="4" t="e">
        <f t="shared" si="101"/>
        <v>#N/A</v>
      </c>
      <c r="C3171" s="4">
        <f>'Raw data'!E2747</f>
        <v>0</v>
      </c>
      <c r="D3171" s="29" t="e">
        <f>VLOOKUP(C3171,'점포코드 '!A:B,2,0)</f>
        <v>#N/A</v>
      </c>
      <c r="E3171" s="30">
        <f>'Raw data'!P2747</f>
        <v>0</v>
      </c>
      <c r="F3171" s="29" t="e">
        <f>VLOOKUP(E3171,'점포코드 '!A:B,2,0)</f>
        <v>#N/A</v>
      </c>
      <c r="G3171" s="46">
        <f>'Raw data'!F3080</f>
        <v>0</v>
      </c>
      <c r="H3171" s="4">
        <f>'Raw data'!G3080</f>
        <v>0</v>
      </c>
      <c r="I3171" s="29" t="e">
        <f>VLOOKUP(G3171,제품명!$C$1:$E$114,2,0)</f>
        <v>#N/A</v>
      </c>
      <c r="J3171" s="29">
        <f>'Raw data'!K3080</f>
        <v>0</v>
      </c>
      <c r="K3171" s="31">
        <f>'Raw data'!H3080</f>
        <v>0</v>
      </c>
      <c r="L3171" s="26">
        <f t="shared" si="102"/>
        <v>0</v>
      </c>
    </row>
    <row r="3172" spans="2:12">
      <c r="B3172" s="4" t="e">
        <f t="shared" si="101"/>
        <v>#N/A</v>
      </c>
      <c r="C3172" s="4">
        <f>'Raw data'!E2748</f>
        <v>0</v>
      </c>
      <c r="D3172" s="29" t="e">
        <f>VLOOKUP(C3172,'점포코드 '!A:B,2,0)</f>
        <v>#N/A</v>
      </c>
      <c r="E3172" s="30">
        <f>'Raw data'!P2748</f>
        <v>0</v>
      </c>
      <c r="F3172" s="29" t="e">
        <f>VLOOKUP(E3172,'점포코드 '!A:B,2,0)</f>
        <v>#N/A</v>
      </c>
      <c r="G3172" s="46">
        <f>'Raw data'!F3081</f>
        <v>0</v>
      </c>
      <c r="H3172" s="4">
        <f>'Raw data'!G3081</f>
        <v>0</v>
      </c>
      <c r="I3172" s="29" t="e">
        <f>VLOOKUP(G3172,제품명!$C$1:$E$114,2,0)</f>
        <v>#N/A</v>
      </c>
      <c r="J3172" s="29">
        <f>'Raw data'!K3081</f>
        <v>0</v>
      </c>
      <c r="K3172" s="31">
        <f>'Raw data'!H3081</f>
        <v>0</v>
      </c>
      <c r="L3172" s="26">
        <f t="shared" si="102"/>
        <v>0</v>
      </c>
    </row>
    <row r="3173" spans="2:12">
      <c r="B3173" s="4" t="e">
        <f t="shared" si="101"/>
        <v>#N/A</v>
      </c>
      <c r="C3173" s="4">
        <f>'Raw data'!E2749</f>
        <v>0</v>
      </c>
      <c r="D3173" s="29" t="e">
        <f>VLOOKUP(C3173,'점포코드 '!A:B,2,0)</f>
        <v>#N/A</v>
      </c>
      <c r="E3173" s="30">
        <f>'Raw data'!P2749</f>
        <v>0</v>
      </c>
      <c r="F3173" s="29" t="e">
        <f>VLOOKUP(E3173,'점포코드 '!A:B,2,0)</f>
        <v>#N/A</v>
      </c>
      <c r="G3173" s="46">
        <f>'Raw data'!F3082</f>
        <v>0</v>
      </c>
      <c r="H3173" s="4">
        <f>'Raw data'!G3082</f>
        <v>0</v>
      </c>
      <c r="I3173" s="29" t="e">
        <f>VLOOKUP(G3173,제품명!$C$1:$E$114,2,0)</f>
        <v>#N/A</v>
      </c>
      <c r="J3173" s="29">
        <f>'Raw data'!K3082</f>
        <v>0</v>
      </c>
      <c r="K3173" s="31">
        <f>'Raw data'!H3082</f>
        <v>0</v>
      </c>
      <c r="L3173" s="26">
        <f t="shared" si="102"/>
        <v>0</v>
      </c>
    </row>
    <row r="3174" spans="2:12">
      <c r="B3174" s="4" t="e">
        <f t="shared" si="101"/>
        <v>#N/A</v>
      </c>
      <c r="C3174" s="4">
        <f>'Raw data'!E2750</f>
        <v>0</v>
      </c>
      <c r="D3174" s="29" t="e">
        <f>VLOOKUP(C3174,'점포코드 '!A:B,2,0)</f>
        <v>#N/A</v>
      </c>
      <c r="E3174" s="30">
        <f>'Raw data'!P2750</f>
        <v>0</v>
      </c>
      <c r="F3174" s="29" t="e">
        <f>VLOOKUP(E3174,'점포코드 '!A:B,2,0)</f>
        <v>#N/A</v>
      </c>
      <c r="G3174" s="46">
        <f>'Raw data'!F3083</f>
        <v>0</v>
      </c>
      <c r="H3174" s="4">
        <f>'Raw data'!G3083</f>
        <v>0</v>
      </c>
      <c r="I3174" s="29" t="e">
        <f>VLOOKUP(G3174,제품명!$C$1:$E$114,2,0)</f>
        <v>#N/A</v>
      </c>
      <c r="J3174" s="29">
        <f>'Raw data'!K3083</f>
        <v>0</v>
      </c>
      <c r="K3174" s="31">
        <f>'Raw data'!H3083</f>
        <v>0</v>
      </c>
      <c r="L3174" s="26">
        <f t="shared" si="102"/>
        <v>0</v>
      </c>
    </row>
    <row r="3175" spans="2:12">
      <c r="B3175" s="4" t="e">
        <f t="shared" si="101"/>
        <v>#N/A</v>
      </c>
      <c r="C3175" s="4">
        <f>'Raw data'!E2751</f>
        <v>0</v>
      </c>
      <c r="D3175" s="29" t="e">
        <f>VLOOKUP(C3175,'점포코드 '!A:B,2,0)</f>
        <v>#N/A</v>
      </c>
      <c r="E3175" s="30">
        <f>'Raw data'!P2751</f>
        <v>0</v>
      </c>
      <c r="F3175" s="29" t="e">
        <f>VLOOKUP(E3175,'점포코드 '!A:B,2,0)</f>
        <v>#N/A</v>
      </c>
      <c r="G3175" s="46">
        <f>'Raw data'!F3084</f>
        <v>0</v>
      </c>
      <c r="H3175" s="4">
        <f>'Raw data'!G3084</f>
        <v>0</v>
      </c>
      <c r="I3175" s="29" t="e">
        <f>VLOOKUP(G3175,제품명!$C$1:$E$114,2,0)</f>
        <v>#N/A</v>
      </c>
      <c r="J3175" s="29">
        <f>'Raw data'!K3084</f>
        <v>0</v>
      </c>
      <c r="K3175" s="31">
        <f>'Raw data'!H3084</f>
        <v>0</v>
      </c>
      <c r="L3175" s="26">
        <f t="shared" si="102"/>
        <v>0</v>
      </c>
    </row>
    <row r="3176" spans="2:12">
      <c r="B3176" s="4" t="e">
        <f t="shared" si="101"/>
        <v>#N/A</v>
      </c>
      <c r="C3176" s="4">
        <f>'Raw data'!E2752</f>
        <v>0</v>
      </c>
      <c r="D3176" s="29" t="e">
        <f>VLOOKUP(C3176,'점포코드 '!A:B,2,0)</f>
        <v>#N/A</v>
      </c>
      <c r="E3176" s="30">
        <f>'Raw data'!P2752</f>
        <v>0</v>
      </c>
      <c r="F3176" s="29" t="e">
        <f>VLOOKUP(E3176,'점포코드 '!A:B,2,0)</f>
        <v>#N/A</v>
      </c>
      <c r="G3176" s="46">
        <f>'Raw data'!F3085</f>
        <v>0</v>
      </c>
      <c r="H3176" s="4">
        <f>'Raw data'!G3085</f>
        <v>0</v>
      </c>
      <c r="I3176" s="29" t="e">
        <f>VLOOKUP(G3176,제품명!$C$1:$E$114,2,0)</f>
        <v>#N/A</v>
      </c>
      <c r="J3176" s="29">
        <f>'Raw data'!K3085</f>
        <v>0</v>
      </c>
      <c r="K3176" s="31">
        <f>'Raw data'!H3085</f>
        <v>0</v>
      </c>
      <c r="L3176" s="26">
        <f t="shared" si="102"/>
        <v>0</v>
      </c>
    </row>
    <row r="3177" spans="2:12">
      <c r="B3177" s="4" t="e">
        <f t="shared" si="101"/>
        <v>#N/A</v>
      </c>
      <c r="C3177" s="4">
        <f>'Raw data'!E2753</f>
        <v>0</v>
      </c>
      <c r="D3177" s="29" t="e">
        <f>VLOOKUP(C3177,'점포코드 '!A:B,2,0)</f>
        <v>#N/A</v>
      </c>
      <c r="E3177" s="30">
        <f>'Raw data'!P2753</f>
        <v>0</v>
      </c>
      <c r="F3177" s="29" t="e">
        <f>VLOOKUP(E3177,'점포코드 '!A:B,2,0)</f>
        <v>#N/A</v>
      </c>
      <c r="G3177" s="46">
        <f>'Raw data'!F3086</f>
        <v>0</v>
      </c>
      <c r="H3177" s="4">
        <f>'Raw data'!G3086</f>
        <v>0</v>
      </c>
      <c r="I3177" s="29" t="e">
        <f>VLOOKUP(G3177,제품명!$C$1:$E$114,2,0)</f>
        <v>#N/A</v>
      </c>
      <c r="J3177" s="29">
        <f>'Raw data'!K3086</f>
        <v>0</v>
      </c>
      <c r="K3177" s="31">
        <f>'Raw data'!H3086</f>
        <v>0</v>
      </c>
      <c r="L3177" s="26">
        <f t="shared" si="102"/>
        <v>0</v>
      </c>
    </row>
    <row r="3178" spans="2:12">
      <c r="B3178" s="4" t="e">
        <f t="shared" si="101"/>
        <v>#N/A</v>
      </c>
      <c r="C3178" s="4">
        <f>'Raw data'!E2754</f>
        <v>0</v>
      </c>
      <c r="D3178" s="29" t="e">
        <f>VLOOKUP(C3178,'점포코드 '!A:B,2,0)</f>
        <v>#N/A</v>
      </c>
      <c r="E3178" s="30">
        <f>'Raw data'!P2754</f>
        <v>0</v>
      </c>
      <c r="F3178" s="29" t="e">
        <f>VLOOKUP(E3178,'점포코드 '!A:B,2,0)</f>
        <v>#N/A</v>
      </c>
      <c r="G3178" s="46">
        <f>'Raw data'!F3087</f>
        <v>0</v>
      </c>
      <c r="H3178" s="4">
        <f>'Raw data'!G3087</f>
        <v>0</v>
      </c>
      <c r="I3178" s="29" t="e">
        <f>VLOOKUP(G3178,제품명!$C$1:$E$114,2,0)</f>
        <v>#N/A</v>
      </c>
      <c r="J3178" s="29">
        <f>'Raw data'!K3087</f>
        <v>0</v>
      </c>
      <c r="K3178" s="31">
        <f>'Raw data'!H3087</f>
        <v>0</v>
      </c>
      <c r="L3178" s="26">
        <f t="shared" si="102"/>
        <v>0</v>
      </c>
    </row>
    <row r="3179" spans="2:12">
      <c r="B3179" s="4" t="e">
        <f t="shared" si="101"/>
        <v>#N/A</v>
      </c>
      <c r="C3179" s="4">
        <f>'Raw data'!E2755</f>
        <v>0</v>
      </c>
      <c r="D3179" s="29" t="e">
        <f>VLOOKUP(C3179,'점포코드 '!A:B,2,0)</f>
        <v>#N/A</v>
      </c>
      <c r="E3179" s="30">
        <f>'Raw data'!P2755</f>
        <v>0</v>
      </c>
      <c r="F3179" s="29" t="e">
        <f>VLOOKUP(E3179,'점포코드 '!A:B,2,0)</f>
        <v>#N/A</v>
      </c>
      <c r="G3179" s="46">
        <f>'Raw data'!F3088</f>
        <v>0</v>
      </c>
      <c r="H3179" s="4">
        <f>'Raw data'!G3088</f>
        <v>0</v>
      </c>
      <c r="I3179" s="29" t="e">
        <f>VLOOKUP(G3179,제품명!$C$1:$E$114,2,0)</f>
        <v>#N/A</v>
      </c>
      <c r="J3179" s="29">
        <f>'Raw data'!K3088</f>
        <v>0</v>
      </c>
      <c r="K3179" s="31">
        <f>'Raw data'!H3088</f>
        <v>0</v>
      </c>
      <c r="L3179" s="26">
        <f t="shared" si="102"/>
        <v>0</v>
      </c>
    </row>
    <row r="3180" spans="2:12">
      <c r="B3180" s="4" t="e">
        <f t="shared" si="101"/>
        <v>#N/A</v>
      </c>
      <c r="C3180" s="4">
        <f>'Raw data'!E2756</f>
        <v>0</v>
      </c>
      <c r="D3180" s="29" t="e">
        <f>VLOOKUP(C3180,'점포코드 '!A:B,2,0)</f>
        <v>#N/A</v>
      </c>
      <c r="E3180" s="30">
        <f>'Raw data'!P2756</f>
        <v>0</v>
      </c>
      <c r="F3180" s="29" t="e">
        <f>VLOOKUP(E3180,'점포코드 '!A:B,2,0)</f>
        <v>#N/A</v>
      </c>
      <c r="G3180" s="46">
        <f>'Raw data'!F3089</f>
        <v>0</v>
      </c>
      <c r="H3180" s="4">
        <f>'Raw data'!G3089</f>
        <v>0</v>
      </c>
      <c r="I3180" s="29" t="e">
        <f>VLOOKUP(G3180,제품명!$C$1:$E$114,2,0)</f>
        <v>#N/A</v>
      </c>
      <c r="J3180" s="29">
        <f>'Raw data'!K3089</f>
        <v>0</v>
      </c>
      <c r="K3180" s="31">
        <f>'Raw data'!H3089</f>
        <v>0</v>
      </c>
      <c r="L3180" s="26">
        <f t="shared" si="102"/>
        <v>0</v>
      </c>
    </row>
    <row r="3181" spans="2:12">
      <c r="B3181" s="4" t="e">
        <f t="shared" si="101"/>
        <v>#N/A</v>
      </c>
      <c r="C3181" s="4">
        <f>'Raw data'!E2757</f>
        <v>0</v>
      </c>
      <c r="D3181" s="29" t="e">
        <f>VLOOKUP(C3181,'점포코드 '!A:B,2,0)</f>
        <v>#N/A</v>
      </c>
      <c r="E3181" s="30">
        <f>'Raw data'!P2757</f>
        <v>0</v>
      </c>
      <c r="F3181" s="29" t="e">
        <f>VLOOKUP(E3181,'점포코드 '!A:B,2,0)</f>
        <v>#N/A</v>
      </c>
      <c r="G3181" s="46">
        <f>'Raw data'!F3090</f>
        <v>0</v>
      </c>
      <c r="H3181" s="4">
        <f>'Raw data'!G3090</f>
        <v>0</v>
      </c>
      <c r="I3181" s="29" t="e">
        <f>VLOOKUP(G3181,제품명!$C$1:$E$114,2,0)</f>
        <v>#N/A</v>
      </c>
      <c r="J3181" s="29">
        <f>'Raw data'!K3090</f>
        <v>0</v>
      </c>
      <c r="K3181" s="31">
        <f>'Raw data'!H3090</f>
        <v>0</v>
      </c>
      <c r="L3181" s="26">
        <f t="shared" si="102"/>
        <v>0</v>
      </c>
    </row>
    <row r="3182" spans="2:12">
      <c r="B3182" s="4" t="e">
        <f t="shared" si="101"/>
        <v>#N/A</v>
      </c>
      <c r="C3182" s="4">
        <f>'Raw data'!E2758</f>
        <v>0</v>
      </c>
      <c r="D3182" s="29" t="e">
        <f>VLOOKUP(C3182,'점포코드 '!A:B,2,0)</f>
        <v>#N/A</v>
      </c>
      <c r="E3182" s="30">
        <f>'Raw data'!P2758</f>
        <v>0</v>
      </c>
      <c r="F3182" s="29" t="e">
        <f>VLOOKUP(E3182,'점포코드 '!A:B,2,0)</f>
        <v>#N/A</v>
      </c>
      <c r="G3182" s="46">
        <f>'Raw data'!F3091</f>
        <v>0</v>
      </c>
      <c r="H3182" s="4">
        <f>'Raw data'!G3091</f>
        <v>0</v>
      </c>
      <c r="I3182" s="29" t="e">
        <f>VLOOKUP(G3182,제품명!$C$1:$E$114,2,0)</f>
        <v>#N/A</v>
      </c>
      <c r="J3182" s="29">
        <f>'Raw data'!K3091</f>
        <v>0</v>
      </c>
      <c r="K3182" s="31">
        <f>'Raw data'!H3091</f>
        <v>0</v>
      </c>
      <c r="L3182" s="26">
        <f t="shared" si="102"/>
        <v>0</v>
      </c>
    </row>
    <row r="3183" spans="2:12">
      <c r="B3183" s="4" t="e">
        <f t="shared" si="101"/>
        <v>#N/A</v>
      </c>
      <c r="C3183" s="4">
        <f>'Raw data'!E2759</f>
        <v>0</v>
      </c>
      <c r="D3183" s="29" t="e">
        <f>VLOOKUP(C3183,'점포코드 '!A:B,2,0)</f>
        <v>#N/A</v>
      </c>
      <c r="E3183" s="30">
        <f>'Raw data'!P2759</f>
        <v>0</v>
      </c>
      <c r="F3183" s="29" t="e">
        <f>VLOOKUP(E3183,'점포코드 '!A:B,2,0)</f>
        <v>#N/A</v>
      </c>
      <c r="G3183" s="46">
        <f>'Raw data'!F3092</f>
        <v>0</v>
      </c>
      <c r="H3183" s="4">
        <f>'Raw data'!G3092</f>
        <v>0</v>
      </c>
      <c r="I3183" s="29" t="e">
        <f>VLOOKUP(G3183,제품명!$C$1:$E$114,2,0)</f>
        <v>#N/A</v>
      </c>
      <c r="J3183" s="29">
        <f>'Raw data'!K3092</f>
        <v>0</v>
      </c>
      <c r="K3183" s="31">
        <f>'Raw data'!H3092</f>
        <v>0</v>
      </c>
      <c r="L3183" s="26">
        <f t="shared" si="102"/>
        <v>0</v>
      </c>
    </row>
    <row r="3184" spans="2:12">
      <c r="B3184" s="4" t="e">
        <f t="shared" si="101"/>
        <v>#N/A</v>
      </c>
      <c r="C3184" s="4">
        <f>'Raw data'!E2760</f>
        <v>0</v>
      </c>
      <c r="D3184" s="29" t="e">
        <f>VLOOKUP(C3184,'점포코드 '!A:B,2,0)</f>
        <v>#N/A</v>
      </c>
      <c r="E3184" s="30">
        <f>'Raw data'!P2760</f>
        <v>0</v>
      </c>
      <c r="F3184" s="29" t="e">
        <f>VLOOKUP(E3184,'점포코드 '!A:B,2,0)</f>
        <v>#N/A</v>
      </c>
      <c r="G3184" s="46">
        <f>'Raw data'!F3093</f>
        <v>0</v>
      </c>
      <c r="H3184" s="4">
        <f>'Raw data'!G3093</f>
        <v>0</v>
      </c>
      <c r="I3184" s="29" t="e">
        <f>VLOOKUP(G3184,제품명!$C$1:$E$114,2,0)</f>
        <v>#N/A</v>
      </c>
      <c r="J3184" s="29">
        <f>'Raw data'!K3093</f>
        <v>0</v>
      </c>
      <c r="K3184" s="31">
        <f>'Raw data'!H3093</f>
        <v>0</v>
      </c>
      <c r="L3184" s="26">
        <f t="shared" si="102"/>
        <v>0</v>
      </c>
    </row>
    <row r="3185" spans="2:12">
      <c r="B3185" s="4" t="e">
        <f t="shared" si="101"/>
        <v>#N/A</v>
      </c>
      <c r="C3185" s="4">
        <f>'Raw data'!E2761</f>
        <v>0</v>
      </c>
      <c r="D3185" s="29" t="e">
        <f>VLOOKUP(C3185,'점포코드 '!A:B,2,0)</f>
        <v>#N/A</v>
      </c>
      <c r="E3185" s="30">
        <f>'Raw data'!P2761</f>
        <v>0</v>
      </c>
      <c r="F3185" s="29" t="e">
        <f>VLOOKUP(E3185,'점포코드 '!A:B,2,0)</f>
        <v>#N/A</v>
      </c>
      <c r="G3185" s="46">
        <f>'Raw data'!F3094</f>
        <v>0</v>
      </c>
      <c r="H3185" s="4">
        <f>'Raw data'!G3094</f>
        <v>0</v>
      </c>
      <c r="I3185" s="29" t="e">
        <f>VLOOKUP(G3185,제품명!$C$1:$E$114,2,0)</f>
        <v>#N/A</v>
      </c>
      <c r="J3185" s="29">
        <f>'Raw data'!K3094</f>
        <v>0</v>
      </c>
      <c r="K3185" s="31">
        <f>'Raw data'!H3094</f>
        <v>0</v>
      </c>
      <c r="L3185" s="26">
        <f t="shared" si="102"/>
        <v>0</v>
      </c>
    </row>
    <row r="3186" spans="2:12">
      <c r="B3186" s="4" t="e">
        <f t="shared" si="101"/>
        <v>#N/A</v>
      </c>
      <c r="C3186" s="4">
        <f>'Raw data'!E2762</f>
        <v>0</v>
      </c>
      <c r="D3186" s="29" t="e">
        <f>VLOOKUP(C3186,'점포코드 '!A:B,2,0)</f>
        <v>#N/A</v>
      </c>
      <c r="E3186" s="30">
        <f>'Raw data'!P2762</f>
        <v>0</v>
      </c>
      <c r="F3186" s="29" t="e">
        <f>VLOOKUP(E3186,'점포코드 '!A:B,2,0)</f>
        <v>#N/A</v>
      </c>
      <c r="G3186" s="46">
        <f>'Raw data'!F3095</f>
        <v>0</v>
      </c>
      <c r="H3186" s="4">
        <f>'Raw data'!G3095</f>
        <v>0</v>
      </c>
      <c r="I3186" s="29" t="e">
        <f>VLOOKUP(G3186,제품명!$C$1:$E$114,2,0)</f>
        <v>#N/A</v>
      </c>
      <c r="J3186" s="29">
        <f>'Raw data'!K3095</f>
        <v>0</v>
      </c>
      <c r="K3186" s="31">
        <f>'Raw data'!H3095</f>
        <v>0</v>
      </c>
      <c r="L3186" s="26">
        <f t="shared" si="102"/>
        <v>0</v>
      </c>
    </row>
    <row r="3187" spans="2:12">
      <c r="B3187" s="4" t="e">
        <f t="shared" si="101"/>
        <v>#N/A</v>
      </c>
      <c r="C3187" s="4">
        <f>'Raw data'!E2763</f>
        <v>0</v>
      </c>
      <c r="D3187" s="29" t="e">
        <f>VLOOKUP(C3187,'점포코드 '!A:B,2,0)</f>
        <v>#N/A</v>
      </c>
      <c r="E3187" s="30">
        <f>'Raw data'!P2763</f>
        <v>0</v>
      </c>
      <c r="F3187" s="29" t="e">
        <f>VLOOKUP(E3187,'점포코드 '!A:B,2,0)</f>
        <v>#N/A</v>
      </c>
      <c r="G3187" s="46">
        <f>'Raw data'!F3096</f>
        <v>0</v>
      </c>
      <c r="H3187" s="4">
        <f>'Raw data'!G3096</f>
        <v>0</v>
      </c>
      <c r="I3187" s="29" t="e">
        <f>VLOOKUP(G3187,제품명!$C$1:$E$114,2,0)</f>
        <v>#N/A</v>
      </c>
      <c r="J3187" s="29">
        <f>'Raw data'!K3096</f>
        <v>0</v>
      </c>
      <c r="K3187" s="31">
        <f>'Raw data'!H3096</f>
        <v>0</v>
      </c>
      <c r="L3187" s="26">
        <f t="shared" si="102"/>
        <v>0</v>
      </c>
    </row>
    <row r="3188" spans="2:12">
      <c r="B3188" s="4" t="e">
        <f t="shared" si="101"/>
        <v>#N/A</v>
      </c>
      <c r="C3188" s="4">
        <f>'Raw data'!E2764</f>
        <v>0</v>
      </c>
      <c r="D3188" s="29" t="e">
        <f>VLOOKUP(C3188,'점포코드 '!A:B,2,0)</f>
        <v>#N/A</v>
      </c>
      <c r="E3188" s="30">
        <f>'Raw data'!P2764</f>
        <v>0</v>
      </c>
      <c r="F3188" s="29" t="e">
        <f>VLOOKUP(E3188,'점포코드 '!A:B,2,0)</f>
        <v>#N/A</v>
      </c>
      <c r="G3188" s="46">
        <f>'Raw data'!F3097</f>
        <v>0</v>
      </c>
      <c r="H3188" s="4">
        <f>'Raw data'!G3097</f>
        <v>0</v>
      </c>
      <c r="I3188" s="29" t="e">
        <f>VLOOKUP(G3188,제품명!$C$1:$E$114,2,0)</f>
        <v>#N/A</v>
      </c>
      <c r="J3188" s="29">
        <f>'Raw data'!K3097</f>
        <v>0</v>
      </c>
      <c r="K3188" s="31">
        <f>'Raw data'!H3097</f>
        <v>0</v>
      </c>
      <c r="L3188" s="26">
        <f t="shared" si="102"/>
        <v>0</v>
      </c>
    </row>
    <row r="3189" spans="2:12">
      <c r="B3189" s="4" t="e">
        <f t="shared" si="101"/>
        <v>#N/A</v>
      </c>
      <c r="C3189" s="4">
        <f>'Raw data'!E2765</f>
        <v>0</v>
      </c>
      <c r="D3189" s="29" t="e">
        <f>VLOOKUP(C3189,'점포코드 '!A:B,2,0)</f>
        <v>#N/A</v>
      </c>
      <c r="E3189" s="30">
        <f>'Raw data'!P2765</f>
        <v>0</v>
      </c>
      <c r="F3189" s="29" t="e">
        <f>VLOOKUP(E3189,'점포코드 '!A:B,2,0)</f>
        <v>#N/A</v>
      </c>
      <c r="G3189" s="46">
        <f>'Raw data'!F3098</f>
        <v>0</v>
      </c>
      <c r="H3189" s="4">
        <f>'Raw data'!G3098</f>
        <v>0</v>
      </c>
      <c r="I3189" s="29" t="e">
        <f>VLOOKUP(G3189,제품명!$C$1:$E$114,2,0)</f>
        <v>#N/A</v>
      </c>
      <c r="J3189" s="29">
        <f>'Raw data'!K3098</f>
        <v>0</v>
      </c>
      <c r="K3189" s="31">
        <f>'Raw data'!H3098</f>
        <v>0</v>
      </c>
      <c r="L3189" s="26">
        <f t="shared" si="102"/>
        <v>0</v>
      </c>
    </row>
    <row r="3190" spans="2:12">
      <c r="B3190" s="4" t="e">
        <f t="shared" si="101"/>
        <v>#N/A</v>
      </c>
      <c r="C3190" s="4">
        <f>'Raw data'!E2766</f>
        <v>0</v>
      </c>
      <c r="D3190" s="29" t="e">
        <f>VLOOKUP(C3190,'점포코드 '!A:B,2,0)</f>
        <v>#N/A</v>
      </c>
      <c r="E3190" s="30">
        <f>'Raw data'!P2766</f>
        <v>0</v>
      </c>
      <c r="F3190" s="29" t="e">
        <f>VLOOKUP(E3190,'점포코드 '!A:B,2,0)</f>
        <v>#N/A</v>
      </c>
      <c r="G3190" s="46">
        <f>'Raw data'!F3099</f>
        <v>0</v>
      </c>
      <c r="H3190" s="4">
        <f>'Raw data'!G3099</f>
        <v>0</v>
      </c>
      <c r="I3190" s="29" t="e">
        <f>VLOOKUP(G3190,제품명!$C$1:$E$114,2,0)</f>
        <v>#N/A</v>
      </c>
      <c r="J3190" s="29">
        <f>'Raw data'!K3099</f>
        <v>0</v>
      </c>
      <c r="K3190" s="31">
        <f>'Raw data'!H3099</f>
        <v>0</v>
      </c>
      <c r="L3190" s="26">
        <f t="shared" si="102"/>
        <v>0</v>
      </c>
    </row>
    <row r="3191" spans="2:12">
      <c r="B3191" s="4" t="e">
        <f t="shared" si="101"/>
        <v>#N/A</v>
      </c>
      <c r="C3191" s="4">
        <f>'Raw data'!E2767</f>
        <v>0</v>
      </c>
      <c r="D3191" s="29" t="e">
        <f>VLOOKUP(C3191,'점포코드 '!A:B,2,0)</f>
        <v>#N/A</v>
      </c>
      <c r="E3191" s="30">
        <f>'Raw data'!P2767</f>
        <v>0</v>
      </c>
      <c r="F3191" s="29" t="e">
        <f>VLOOKUP(E3191,'점포코드 '!A:B,2,0)</f>
        <v>#N/A</v>
      </c>
      <c r="G3191" s="46">
        <f>'Raw data'!F3100</f>
        <v>0</v>
      </c>
      <c r="H3191" s="4">
        <f>'Raw data'!G3100</f>
        <v>0</v>
      </c>
      <c r="I3191" s="29" t="e">
        <f>VLOOKUP(G3191,제품명!$C$1:$E$114,2,0)</f>
        <v>#N/A</v>
      </c>
      <c r="J3191" s="29">
        <f>'Raw data'!K3100</f>
        <v>0</v>
      </c>
      <c r="K3191" s="31">
        <f>'Raw data'!H3100</f>
        <v>0</v>
      </c>
      <c r="L3191" s="26">
        <f t="shared" si="102"/>
        <v>0</v>
      </c>
    </row>
    <row r="3192" spans="2:12">
      <c r="B3192" s="4" t="e">
        <f t="shared" si="101"/>
        <v>#N/A</v>
      </c>
      <c r="C3192" s="4">
        <f>'Raw data'!E2768</f>
        <v>0</v>
      </c>
      <c r="D3192" s="29" t="e">
        <f>VLOOKUP(C3192,'점포코드 '!A:B,2,0)</f>
        <v>#N/A</v>
      </c>
      <c r="E3192" s="30">
        <f>'Raw data'!P2768</f>
        <v>0</v>
      </c>
      <c r="F3192" s="29" t="e">
        <f>VLOOKUP(E3192,'점포코드 '!A:B,2,0)</f>
        <v>#N/A</v>
      </c>
      <c r="G3192" s="46">
        <f>'Raw data'!F3101</f>
        <v>0</v>
      </c>
      <c r="H3192" s="4">
        <f>'Raw data'!G3101</f>
        <v>0</v>
      </c>
      <c r="I3192" s="29" t="e">
        <f>VLOOKUP(G3192,제품명!$C$1:$E$114,2,0)</f>
        <v>#N/A</v>
      </c>
      <c r="J3192" s="29">
        <f>'Raw data'!K3101</f>
        <v>0</v>
      </c>
      <c r="K3192" s="31">
        <f>'Raw data'!H3101</f>
        <v>0</v>
      </c>
      <c r="L3192" s="26">
        <f t="shared" si="102"/>
        <v>0</v>
      </c>
    </row>
    <row r="3193" spans="2:12">
      <c r="B3193" s="4" t="e">
        <f t="shared" si="101"/>
        <v>#N/A</v>
      </c>
      <c r="C3193" s="4">
        <f>'Raw data'!E2769</f>
        <v>0</v>
      </c>
      <c r="D3193" s="29" t="e">
        <f>VLOOKUP(C3193,'점포코드 '!A:B,2,0)</f>
        <v>#N/A</v>
      </c>
      <c r="E3193" s="30">
        <f>'Raw data'!P2769</f>
        <v>0</v>
      </c>
      <c r="F3193" s="29" t="e">
        <f>VLOOKUP(E3193,'점포코드 '!A:B,2,0)</f>
        <v>#N/A</v>
      </c>
      <c r="G3193" s="46">
        <f>'Raw data'!F3102</f>
        <v>0</v>
      </c>
      <c r="H3193" s="4">
        <f>'Raw data'!G3102</f>
        <v>0</v>
      </c>
      <c r="I3193" s="29" t="e">
        <f>VLOOKUP(G3193,제품명!$C$1:$E$114,2,0)</f>
        <v>#N/A</v>
      </c>
      <c r="J3193" s="29">
        <f>'Raw data'!K3102</f>
        <v>0</v>
      </c>
      <c r="K3193" s="31">
        <f>'Raw data'!H3102</f>
        <v>0</v>
      </c>
      <c r="L3193" s="26">
        <f t="shared" si="102"/>
        <v>0</v>
      </c>
    </row>
    <row r="3194" spans="2:12">
      <c r="B3194" s="4" t="e">
        <f t="shared" si="101"/>
        <v>#N/A</v>
      </c>
      <c r="C3194" s="4">
        <f>'Raw data'!E2770</f>
        <v>0</v>
      </c>
      <c r="D3194" s="29" t="e">
        <f>VLOOKUP(C3194,'점포코드 '!A:B,2,0)</f>
        <v>#N/A</v>
      </c>
      <c r="E3194" s="30">
        <f>'Raw data'!P2770</f>
        <v>0</v>
      </c>
      <c r="F3194" s="29" t="e">
        <f>VLOOKUP(E3194,'점포코드 '!A:B,2,0)</f>
        <v>#N/A</v>
      </c>
      <c r="G3194" s="46">
        <f>'Raw data'!F3103</f>
        <v>0</v>
      </c>
      <c r="H3194" s="4">
        <f>'Raw data'!G3103</f>
        <v>0</v>
      </c>
      <c r="I3194" s="29" t="e">
        <f>VLOOKUP(G3194,제품명!$C$1:$E$114,2,0)</f>
        <v>#N/A</v>
      </c>
      <c r="J3194" s="29">
        <f>'Raw data'!K3103</f>
        <v>0</v>
      </c>
      <c r="K3194" s="31">
        <f>'Raw data'!H3103</f>
        <v>0</v>
      </c>
      <c r="L3194" s="26">
        <f t="shared" si="102"/>
        <v>0</v>
      </c>
    </row>
    <row r="3195" spans="2:12">
      <c r="B3195" s="4" t="e">
        <f t="shared" si="101"/>
        <v>#N/A</v>
      </c>
      <c r="C3195" s="4">
        <f>'Raw data'!E2771</f>
        <v>0</v>
      </c>
      <c r="D3195" s="29" t="e">
        <f>VLOOKUP(C3195,'점포코드 '!A:B,2,0)</f>
        <v>#N/A</v>
      </c>
      <c r="E3195" s="30">
        <f>'Raw data'!P2771</f>
        <v>0</v>
      </c>
      <c r="F3195" s="29" t="e">
        <f>VLOOKUP(E3195,'점포코드 '!A:B,2,0)</f>
        <v>#N/A</v>
      </c>
      <c r="G3195" s="46">
        <f>'Raw data'!F3104</f>
        <v>0</v>
      </c>
      <c r="H3195" s="4">
        <f>'Raw data'!G3104</f>
        <v>0</v>
      </c>
      <c r="I3195" s="29" t="e">
        <f>VLOOKUP(G3195,제품명!$C$1:$E$114,2,0)</f>
        <v>#N/A</v>
      </c>
      <c r="J3195" s="29">
        <f>'Raw data'!K3104</f>
        <v>0</v>
      </c>
      <c r="K3195" s="31">
        <f>'Raw data'!H3104</f>
        <v>0</v>
      </c>
      <c r="L3195" s="26">
        <f t="shared" si="102"/>
        <v>0</v>
      </c>
    </row>
    <row r="3196" spans="2:12">
      <c r="B3196" s="4" t="e">
        <f t="shared" si="101"/>
        <v>#N/A</v>
      </c>
      <c r="C3196" s="4">
        <f>'Raw data'!E2772</f>
        <v>0</v>
      </c>
      <c r="D3196" s="29" t="e">
        <f>VLOOKUP(C3196,'점포코드 '!A:B,2,0)</f>
        <v>#N/A</v>
      </c>
      <c r="E3196" s="30">
        <f>'Raw data'!P2772</f>
        <v>0</v>
      </c>
      <c r="F3196" s="29" t="e">
        <f>VLOOKUP(E3196,'점포코드 '!A:B,2,0)</f>
        <v>#N/A</v>
      </c>
      <c r="G3196" s="46">
        <f>'Raw data'!F3105</f>
        <v>0</v>
      </c>
      <c r="H3196" s="4">
        <f>'Raw data'!G3105</f>
        <v>0</v>
      </c>
      <c r="I3196" s="29" t="e">
        <f>VLOOKUP(G3196,제품명!$C$1:$E$114,2,0)</f>
        <v>#N/A</v>
      </c>
      <c r="J3196" s="29">
        <f>'Raw data'!K3105</f>
        <v>0</v>
      </c>
      <c r="K3196" s="31">
        <f>'Raw data'!H3105</f>
        <v>0</v>
      </c>
      <c r="L3196" s="26">
        <f t="shared" si="102"/>
        <v>0</v>
      </c>
    </row>
    <row r="3197" spans="2:12">
      <c r="B3197" s="4" t="e">
        <f t="shared" si="101"/>
        <v>#N/A</v>
      </c>
      <c r="C3197" s="4">
        <f>'Raw data'!E2773</f>
        <v>0</v>
      </c>
      <c r="D3197" s="29" t="e">
        <f>VLOOKUP(C3197,'점포코드 '!A:B,2,0)</f>
        <v>#N/A</v>
      </c>
      <c r="E3197" s="30">
        <f>'Raw data'!P2773</f>
        <v>0</v>
      </c>
      <c r="F3197" s="29" t="e">
        <f>VLOOKUP(E3197,'점포코드 '!A:B,2,0)</f>
        <v>#N/A</v>
      </c>
      <c r="G3197" s="46">
        <f>'Raw data'!F3106</f>
        <v>0</v>
      </c>
      <c r="H3197" s="4">
        <f>'Raw data'!G3106</f>
        <v>0</v>
      </c>
      <c r="I3197" s="29" t="e">
        <f>VLOOKUP(G3197,제품명!$C$1:$E$114,2,0)</f>
        <v>#N/A</v>
      </c>
      <c r="J3197" s="29">
        <f>'Raw data'!K3106</f>
        <v>0</v>
      </c>
      <c r="K3197" s="31">
        <f>'Raw data'!H3106</f>
        <v>0</v>
      </c>
      <c r="L3197" s="26">
        <f t="shared" si="102"/>
        <v>0</v>
      </c>
    </row>
    <row r="3198" spans="2:12">
      <c r="B3198" s="4" t="e">
        <f t="shared" si="101"/>
        <v>#N/A</v>
      </c>
      <c r="C3198" s="4">
        <f>'Raw data'!E2774</f>
        <v>0</v>
      </c>
      <c r="D3198" s="29" t="e">
        <f>VLOOKUP(C3198,'점포코드 '!A:B,2,0)</f>
        <v>#N/A</v>
      </c>
      <c r="E3198" s="30">
        <f>'Raw data'!P2774</f>
        <v>0</v>
      </c>
      <c r="F3198" s="29" t="e">
        <f>VLOOKUP(E3198,'점포코드 '!A:B,2,0)</f>
        <v>#N/A</v>
      </c>
      <c r="G3198" s="46">
        <f>'Raw data'!F3107</f>
        <v>0</v>
      </c>
      <c r="H3198" s="4">
        <f>'Raw data'!G3107</f>
        <v>0</v>
      </c>
      <c r="I3198" s="29" t="e">
        <f>VLOOKUP(G3198,제품명!$C$1:$E$114,2,0)</f>
        <v>#N/A</v>
      </c>
      <c r="J3198" s="29">
        <f>'Raw data'!K3107</f>
        <v>0</v>
      </c>
      <c r="K3198" s="31">
        <f>'Raw data'!H3107</f>
        <v>0</v>
      </c>
      <c r="L3198" s="26">
        <f t="shared" si="102"/>
        <v>0</v>
      </c>
    </row>
    <row r="3199" spans="2:12">
      <c r="B3199" s="4" t="e">
        <f t="shared" si="101"/>
        <v>#N/A</v>
      </c>
      <c r="C3199" s="4">
        <f>'Raw data'!E2775</f>
        <v>0</v>
      </c>
      <c r="D3199" s="29" t="e">
        <f>VLOOKUP(C3199,'점포코드 '!A:B,2,0)</f>
        <v>#N/A</v>
      </c>
      <c r="E3199" s="30">
        <f>'Raw data'!P2775</f>
        <v>0</v>
      </c>
      <c r="F3199" s="29" t="e">
        <f>VLOOKUP(E3199,'점포코드 '!A:B,2,0)</f>
        <v>#N/A</v>
      </c>
      <c r="G3199" s="46">
        <f>'Raw data'!F3108</f>
        <v>0</v>
      </c>
      <c r="H3199" s="4">
        <f>'Raw data'!G3108</f>
        <v>0</v>
      </c>
      <c r="I3199" s="29" t="e">
        <f>VLOOKUP(G3199,제품명!$C$1:$E$114,2,0)</f>
        <v>#N/A</v>
      </c>
      <c r="J3199" s="29">
        <f>'Raw data'!K3108</f>
        <v>0</v>
      </c>
      <c r="K3199" s="31">
        <f>'Raw data'!H3108</f>
        <v>0</v>
      </c>
      <c r="L3199" s="26">
        <f t="shared" si="102"/>
        <v>0</v>
      </c>
    </row>
    <row r="3200" spans="2:12">
      <c r="B3200" s="4" t="e">
        <f t="shared" si="101"/>
        <v>#N/A</v>
      </c>
      <c r="C3200" s="4">
        <f>'Raw data'!E2776</f>
        <v>0</v>
      </c>
      <c r="D3200" s="29" t="e">
        <f>VLOOKUP(C3200,'점포코드 '!A:B,2,0)</f>
        <v>#N/A</v>
      </c>
      <c r="E3200" s="30">
        <f>'Raw data'!P2776</f>
        <v>0</v>
      </c>
      <c r="F3200" s="29" t="e">
        <f>VLOOKUP(E3200,'점포코드 '!A:B,2,0)</f>
        <v>#N/A</v>
      </c>
      <c r="G3200" s="46">
        <f>'Raw data'!F3109</f>
        <v>0</v>
      </c>
      <c r="H3200" s="4">
        <f>'Raw data'!G3109</f>
        <v>0</v>
      </c>
      <c r="I3200" s="29" t="e">
        <f>VLOOKUP(G3200,제품명!$C$1:$E$114,2,0)</f>
        <v>#N/A</v>
      </c>
      <c r="J3200" s="29">
        <f>'Raw data'!K3109</f>
        <v>0</v>
      </c>
      <c r="K3200" s="31">
        <f>'Raw data'!H3109</f>
        <v>0</v>
      </c>
      <c r="L3200" s="26">
        <f t="shared" si="102"/>
        <v>0</v>
      </c>
    </row>
    <row r="3201" spans="2:12">
      <c r="B3201" s="4" t="e">
        <f t="shared" si="101"/>
        <v>#N/A</v>
      </c>
      <c r="C3201" s="4">
        <f>'Raw data'!E2777</f>
        <v>0</v>
      </c>
      <c r="D3201" s="29" t="e">
        <f>VLOOKUP(C3201,'점포코드 '!A:B,2,0)</f>
        <v>#N/A</v>
      </c>
      <c r="E3201" s="30">
        <f>'Raw data'!P2777</f>
        <v>0</v>
      </c>
      <c r="F3201" s="29" t="e">
        <f>VLOOKUP(E3201,'점포코드 '!A:B,2,0)</f>
        <v>#N/A</v>
      </c>
      <c r="G3201" s="46">
        <f>'Raw data'!F3110</f>
        <v>0</v>
      </c>
      <c r="H3201" s="4">
        <f>'Raw data'!G3110</f>
        <v>0</v>
      </c>
      <c r="I3201" s="29" t="e">
        <f>VLOOKUP(G3201,제품명!$C$1:$E$114,2,0)</f>
        <v>#N/A</v>
      </c>
      <c r="J3201" s="29">
        <f>'Raw data'!K3110</f>
        <v>0</v>
      </c>
      <c r="K3201" s="31">
        <f>'Raw data'!H3110</f>
        <v>0</v>
      </c>
      <c r="L3201" s="26">
        <f t="shared" si="102"/>
        <v>0</v>
      </c>
    </row>
    <row r="3202" spans="2:12">
      <c r="B3202" s="4" t="e">
        <f t="shared" ref="B3202:B3265" si="103">F3202&amp;I3202</f>
        <v>#N/A</v>
      </c>
      <c r="C3202" s="4">
        <f>'Raw data'!E2778</f>
        <v>0</v>
      </c>
      <c r="D3202" s="29" t="e">
        <f>VLOOKUP(C3202,'점포코드 '!A:B,2,0)</f>
        <v>#N/A</v>
      </c>
      <c r="E3202" s="30">
        <f>'Raw data'!P2778</f>
        <v>0</v>
      </c>
      <c r="F3202" s="29" t="e">
        <f>VLOOKUP(E3202,'점포코드 '!A:B,2,0)</f>
        <v>#N/A</v>
      </c>
      <c r="G3202" s="46">
        <f>'Raw data'!F3111</f>
        <v>0</v>
      </c>
      <c r="H3202" s="4">
        <f>'Raw data'!G3111</f>
        <v>0</v>
      </c>
      <c r="I3202" s="29" t="e">
        <f>VLOOKUP(G3202,제품명!$C$1:$E$114,2,0)</f>
        <v>#N/A</v>
      </c>
      <c r="J3202" s="29">
        <f>'Raw data'!K3111</f>
        <v>0</v>
      </c>
      <c r="K3202" s="31">
        <f>'Raw data'!H3111</f>
        <v>0</v>
      </c>
      <c r="L3202" s="26">
        <f t="shared" si="102"/>
        <v>0</v>
      </c>
    </row>
    <row r="3203" spans="2:12">
      <c r="B3203" s="4" t="e">
        <f t="shared" si="103"/>
        <v>#N/A</v>
      </c>
      <c r="C3203" s="4">
        <f>'Raw data'!E2779</f>
        <v>0</v>
      </c>
      <c r="D3203" s="29" t="e">
        <f>VLOOKUP(C3203,'점포코드 '!A:B,2,0)</f>
        <v>#N/A</v>
      </c>
      <c r="E3203" s="30">
        <f>'Raw data'!P2779</f>
        <v>0</v>
      </c>
      <c r="F3203" s="29" t="e">
        <f>VLOOKUP(E3203,'점포코드 '!A:B,2,0)</f>
        <v>#N/A</v>
      </c>
      <c r="G3203" s="46">
        <f>'Raw data'!F3112</f>
        <v>0</v>
      </c>
      <c r="H3203" s="4">
        <f>'Raw data'!G3112</f>
        <v>0</v>
      </c>
      <c r="I3203" s="29" t="e">
        <f>VLOOKUP(G3203,제품명!$C$1:$E$114,2,0)</f>
        <v>#N/A</v>
      </c>
      <c r="J3203" s="29">
        <f>'Raw data'!K3112</f>
        <v>0</v>
      </c>
      <c r="K3203" s="31">
        <f>'Raw data'!H3112</f>
        <v>0</v>
      </c>
      <c r="L3203" s="26">
        <f t="shared" ref="L3203:L3266" si="104">J3203*K3203</f>
        <v>0</v>
      </c>
    </row>
    <row r="3204" spans="2:12">
      <c r="B3204" s="4" t="e">
        <f t="shared" si="103"/>
        <v>#N/A</v>
      </c>
      <c r="C3204" s="4">
        <f>'Raw data'!E2780</f>
        <v>0</v>
      </c>
      <c r="D3204" s="29" t="e">
        <f>VLOOKUP(C3204,'점포코드 '!A:B,2,0)</f>
        <v>#N/A</v>
      </c>
      <c r="E3204" s="30">
        <f>'Raw data'!P2780</f>
        <v>0</v>
      </c>
      <c r="F3204" s="29" t="e">
        <f>VLOOKUP(E3204,'점포코드 '!A:B,2,0)</f>
        <v>#N/A</v>
      </c>
      <c r="G3204" s="46">
        <f>'Raw data'!F3113</f>
        <v>0</v>
      </c>
      <c r="H3204" s="4">
        <f>'Raw data'!G3113</f>
        <v>0</v>
      </c>
      <c r="I3204" s="29" t="e">
        <f>VLOOKUP(G3204,제품명!$C$1:$E$114,2,0)</f>
        <v>#N/A</v>
      </c>
      <c r="J3204" s="29">
        <f>'Raw data'!K3113</f>
        <v>0</v>
      </c>
      <c r="K3204" s="31">
        <f>'Raw data'!H3113</f>
        <v>0</v>
      </c>
      <c r="L3204" s="26">
        <f t="shared" si="104"/>
        <v>0</v>
      </c>
    </row>
    <row r="3205" spans="2:12">
      <c r="B3205" s="4" t="e">
        <f t="shared" si="103"/>
        <v>#N/A</v>
      </c>
      <c r="C3205" s="4">
        <f>'Raw data'!E2781</f>
        <v>0</v>
      </c>
      <c r="D3205" s="29" t="e">
        <f>VLOOKUP(C3205,'점포코드 '!A:B,2,0)</f>
        <v>#N/A</v>
      </c>
      <c r="E3205" s="30">
        <f>'Raw data'!P2781</f>
        <v>0</v>
      </c>
      <c r="F3205" s="29" t="e">
        <f>VLOOKUP(E3205,'점포코드 '!A:B,2,0)</f>
        <v>#N/A</v>
      </c>
      <c r="G3205" s="46">
        <f>'Raw data'!F3114</f>
        <v>0</v>
      </c>
      <c r="H3205" s="4">
        <f>'Raw data'!G3114</f>
        <v>0</v>
      </c>
      <c r="I3205" s="29" t="e">
        <f>VLOOKUP(G3205,제품명!$C$1:$E$114,2,0)</f>
        <v>#N/A</v>
      </c>
      <c r="J3205" s="29">
        <f>'Raw data'!K3114</f>
        <v>0</v>
      </c>
      <c r="K3205" s="31">
        <f>'Raw data'!H3114</f>
        <v>0</v>
      </c>
      <c r="L3205" s="26">
        <f t="shared" si="104"/>
        <v>0</v>
      </c>
    </row>
    <row r="3206" spans="2:12">
      <c r="B3206" s="4" t="e">
        <f t="shared" si="103"/>
        <v>#N/A</v>
      </c>
      <c r="C3206" s="4">
        <f>'Raw data'!E2782</f>
        <v>0</v>
      </c>
      <c r="D3206" s="29" t="e">
        <f>VLOOKUP(C3206,'점포코드 '!A:B,2,0)</f>
        <v>#N/A</v>
      </c>
      <c r="E3206" s="30">
        <f>'Raw data'!P2782</f>
        <v>0</v>
      </c>
      <c r="F3206" s="29" t="e">
        <f>VLOOKUP(E3206,'점포코드 '!A:B,2,0)</f>
        <v>#N/A</v>
      </c>
      <c r="G3206" s="46">
        <f>'Raw data'!F3115</f>
        <v>0</v>
      </c>
      <c r="H3206" s="4">
        <f>'Raw data'!G3115</f>
        <v>0</v>
      </c>
      <c r="I3206" s="29" t="e">
        <f>VLOOKUP(G3206,제품명!$C$1:$E$114,2,0)</f>
        <v>#N/A</v>
      </c>
      <c r="J3206" s="29">
        <f>'Raw data'!K3115</f>
        <v>0</v>
      </c>
      <c r="K3206" s="31">
        <f>'Raw data'!H3115</f>
        <v>0</v>
      </c>
      <c r="L3206" s="26">
        <f t="shared" si="104"/>
        <v>0</v>
      </c>
    </row>
    <row r="3207" spans="2:12">
      <c r="B3207" s="4" t="e">
        <f t="shared" si="103"/>
        <v>#N/A</v>
      </c>
      <c r="C3207" s="4">
        <f>'Raw data'!E2783</f>
        <v>0</v>
      </c>
      <c r="D3207" s="29" t="e">
        <f>VLOOKUP(C3207,'점포코드 '!A:B,2,0)</f>
        <v>#N/A</v>
      </c>
      <c r="E3207" s="30">
        <f>'Raw data'!P2783</f>
        <v>0</v>
      </c>
      <c r="F3207" s="29" t="e">
        <f>VLOOKUP(E3207,'점포코드 '!A:B,2,0)</f>
        <v>#N/A</v>
      </c>
      <c r="G3207" s="46">
        <f>'Raw data'!F3116</f>
        <v>0</v>
      </c>
      <c r="H3207" s="4">
        <f>'Raw data'!G3116</f>
        <v>0</v>
      </c>
      <c r="I3207" s="29" t="e">
        <f>VLOOKUP(G3207,제품명!$C$1:$E$114,2,0)</f>
        <v>#N/A</v>
      </c>
      <c r="J3207" s="29">
        <f>'Raw data'!K3116</f>
        <v>0</v>
      </c>
      <c r="K3207" s="31">
        <f>'Raw data'!H3116</f>
        <v>0</v>
      </c>
      <c r="L3207" s="26">
        <f t="shared" si="104"/>
        <v>0</v>
      </c>
    </row>
    <row r="3208" spans="2:12">
      <c r="B3208" s="4" t="e">
        <f t="shared" si="103"/>
        <v>#N/A</v>
      </c>
      <c r="C3208" s="4">
        <f>'Raw data'!E2784</f>
        <v>0</v>
      </c>
      <c r="D3208" s="29" t="e">
        <f>VLOOKUP(C3208,'점포코드 '!A:B,2,0)</f>
        <v>#N/A</v>
      </c>
      <c r="E3208" s="30">
        <f>'Raw data'!P2784</f>
        <v>0</v>
      </c>
      <c r="F3208" s="29" t="e">
        <f>VLOOKUP(E3208,'점포코드 '!A:B,2,0)</f>
        <v>#N/A</v>
      </c>
      <c r="G3208" s="46">
        <f>'Raw data'!F3117</f>
        <v>0</v>
      </c>
      <c r="H3208" s="4">
        <f>'Raw data'!G3117</f>
        <v>0</v>
      </c>
      <c r="I3208" s="29" t="e">
        <f>VLOOKUP(G3208,제품명!$C$1:$E$114,2,0)</f>
        <v>#N/A</v>
      </c>
      <c r="J3208" s="29">
        <f>'Raw data'!K3117</f>
        <v>0</v>
      </c>
      <c r="K3208" s="31">
        <f>'Raw data'!H3117</f>
        <v>0</v>
      </c>
      <c r="L3208" s="26">
        <f t="shared" si="104"/>
        <v>0</v>
      </c>
    </row>
    <row r="3209" spans="2:12">
      <c r="B3209" s="4" t="e">
        <f t="shared" si="103"/>
        <v>#N/A</v>
      </c>
      <c r="C3209" s="4">
        <f>'Raw data'!E2785</f>
        <v>0</v>
      </c>
      <c r="D3209" s="29" t="e">
        <f>VLOOKUP(C3209,'점포코드 '!A:B,2,0)</f>
        <v>#N/A</v>
      </c>
      <c r="E3209" s="30">
        <f>'Raw data'!P2785</f>
        <v>0</v>
      </c>
      <c r="F3209" s="29" t="e">
        <f>VLOOKUP(E3209,'점포코드 '!A:B,2,0)</f>
        <v>#N/A</v>
      </c>
      <c r="G3209" s="46">
        <f>'Raw data'!F3118</f>
        <v>0</v>
      </c>
      <c r="H3209" s="4">
        <f>'Raw data'!G3118</f>
        <v>0</v>
      </c>
      <c r="I3209" s="29" t="e">
        <f>VLOOKUP(G3209,제품명!$C$1:$E$114,2,0)</f>
        <v>#N/A</v>
      </c>
      <c r="J3209" s="29">
        <f>'Raw data'!K3118</f>
        <v>0</v>
      </c>
      <c r="K3209" s="31">
        <f>'Raw data'!H3118</f>
        <v>0</v>
      </c>
      <c r="L3209" s="26">
        <f t="shared" si="104"/>
        <v>0</v>
      </c>
    </row>
    <row r="3210" spans="2:12">
      <c r="B3210" s="4" t="e">
        <f t="shared" si="103"/>
        <v>#N/A</v>
      </c>
      <c r="C3210" s="4">
        <f>'Raw data'!E2786</f>
        <v>0</v>
      </c>
      <c r="D3210" s="29" t="e">
        <f>VLOOKUP(C3210,'점포코드 '!A:B,2,0)</f>
        <v>#N/A</v>
      </c>
      <c r="E3210" s="30">
        <f>'Raw data'!P2786</f>
        <v>0</v>
      </c>
      <c r="F3210" s="29" t="e">
        <f>VLOOKUP(E3210,'점포코드 '!A:B,2,0)</f>
        <v>#N/A</v>
      </c>
      <c r="G3210" s="46">
        <f>'Raw data'!F3119</f>
        <v>0</v>
      </c>
      <c r="H3210" s="4">
        <f>'Raw data'!G3119</f>
        <v>0</v>
      </c>
      <c r="I3210" s="29" t="e">
        <f>VLOOKUP(G3210,제품명!$C$1:$E$114,2,0)</f>
        <v>#N/A</v>
      </c>
      <c r="J3210" s="29">
        <f>'Raw data'!K3119</f>
        <v>0</v>
      </c>
      <c r="K3210" s="31">
        <f>'Raw data'!H3119</f>
        <v>0</v>
      </c>
      <c r="L3210" s="26">
        <f t="shared" si="104"/>
        <v>0</v>
      </c>
    </row>
    <row r="3211" spans="2:12">
      <c r="B3211" s="4" t="e">
        <f t="shared" si="103"/>
        <v>#N/A</v>
      </c>
      <c r="C3211" s="4">
        <f>'Raw data'!E2787</f>
        <v>0</v>
      </c>
      <c r="D3211" s="29" t="e">
        <f>VLOOKUP(C3211,'점포코드 '!A:B,2,0)</f>
        <v>#N/A</v>
      </c>
      <c r="E3211" s="30">
        <f>'Raw data'!P2787</f>
        <v>0</v>
      </c>
      <c r="F3211" s="29" t="e">
        <f>VLOOKUP(E3211,'점포코드 '!A:B,2,0)</f>
        <v>#N/A</v>
      </c>
      <c r="G3211" s="46">
        <f>'Raw data'!F3120</f>
        <v>0</v>
      </c>
      <c r="H3211" s="4">
        <f>'Raw data'!G3120</f>
        <v>0</v>
      </c>
      <c r="I3211" s="29" t="e">
        <f>VLOOKUP(G3211,제품명!$C$1:$E$114,2,0)</f>
        <v>#N/A</v>
      </c>
      <c r="J3211" s="29">
        <f>'Raw data'!K3120</f>
        <v>0</v>
      </c>
      <c r="K3211" s="31">
        <f>'Raw data'!H3120</f>
        <v>0</v>
      </c>
      <c r="L3211" s="26">
        <f t="shared" si="104"/>
        <v>0</v>
      </c>
    </row>
    <row r="3212" spans="2:12">
      <c r="B3212" s="4" t="e">
        <f t="shared" si="103"/>
        <v>#N/A</v>
      </c>
      <c r="C3212" s="4">
        <f>'Raw data'!E2788</f>
        <v>0</v>
      </c>
      <c r="D3212" s="29" t="e">
        <f>VLOOKUP(C3212,'점포코드 '!A:B,2,0)</f>
        <v>#N/A</v>
      </c>
      <c r="E3212" s="30">
        <f>'Raw data'!P2788</f>
        <v>0</v>
      </c>
      <c r="F3212" s="29" t="e">
        <f>VLOOKUP(E3212,'점포코드 '!A:B,2,0)</f>
        <v>#N/A</v>
      </c>
      <c r="G3212" s="46">
        <f>'Raw data'!F3121</f>
        <v>0</v>
      </c>
      <c r="H3212" s="4">
        <f>'Raw data'!G3121</f>
        <v>0</v>
      </c>
      <c r="I3212" s="29" t="e">
        <f>VLOOKUP(G3212,제품명!$C$1:$E$114,2,0)</f>
        <v>#N/A</v>
      </c>
      <c r="J3212" s="29">
        <f>'Raw data'!K3121</f>
        <v>0</v>
      </c>
      <c r="K3212" s="31">
        <f>'Raw data'!H3121</f>
        <v>0</v>
      </c>
      <c r="L3212" s="26">
        <f t="shared" si="104"/>
        <v>0</v>
      </c>
    </row>
    <row r="3213" spans="2:12">
      <c r="B3213" s="4" t="e">
        <f t="shared" si="103"/>
        <v>#N/A</v>
      </c>
      <c r="C3213" s="4">
        <f>'Raw data'!E2789</f>
        <v>0</v>
      </c>
      <c r="D3213" s="29" t="e">
        <f>VLOOKUP(C3213,'점포코드 '!A:B,2,0)</f>
        <v>#N/A</v>
      </c>
      <c r="E3213" s="30">
        <f>'Raw data'!P2789</f>
        <v>0</v>
      </c>
      <c r="F3213" s="29" t="e">
        <f>VLOOKUP(E3213,'점포코드 '!A:B,2,0)</f>
        <v>#N/A</v>
      </c>
      <c r="G3213" s="46">
        <f>'Raw data'!F3122</f>
        <v>0</v>
      </c>
      <c r="H3213" s="4">
        <f>'Raw data'!G3122</f>
        <v>0</v>
      </c>
      <c r="I3213" s="29" t="e">
        <f>VLOOKUP(G3213,제품명!$C$1:$E$114,2,0)</f>
        <v>#N/A</v>
      </c>
      <c r="J3213" s="29">
        <f>'Raw data'!K3122</f>
        <v>0</v>
      </c>
      <c r="K3213" s="31">
        <f>'Raw data'!H3122</f>
        <v>0</v>
      </c>
      <c r="L3213" s="26">
        <f t="shared" si="104"/>
        <v>0</v>
      </c>
    </row>
    <row r="3214" spans="2:12">
      <c r="B3214" s="4" t="e">
        <f t="shared" si="103"/>
        <v>#N/A</v>
      </c>
      <c r="C3214" s="4">
        <f>'Raw data'!E2790</f>
        <v>0</v>
      </c>
      <c r="D3214" s="29" t="e">
        <f>VLOOKUP(C3214,'점포코드 '!A:B,2,0)</f>
        <v>#N/A</v>
      </c>
      <c r="E3214" s="30">
        <f>'Raw data'!P2790</f>
        <v>0</v>
      </c>
      <c r="F3214" s="29" t="e">
        <f>VLOOKUP(E3214,'점포코드 '!A:B,2,0)</f>
        <v>#N/A</v>
      </c>
      <c r="G3214" s="46">
        <f>'Raw data'!F3123</f>
        <v>0</v>
      </c>
      <c r="H3214" s="4">
        <f>'Raw data'!G3123</f>
        <v>0</v>
      </c>
      <c r="I3214" s="29" t="e">
        <f>VLOOKUP(G3214,제품명!$C$1:$E$114,2,0)</f>
        <v>#N/A</v>
      </c>
      <c r="J3214" s="29">
        <f>'Raw data'!K3123</f>
        <v>0</v>
      </c>
      <c r="K3214" s="31">
        <f>'Raw data'!H3123</f>
        <v>0</v>
      </c>
      <c r="L3214" s="26">
        <f t="shared" si="104"/>
        <v>0</v>
      </c>
    </row>
    <row r="3215" spans="2:12">
      <c r="B3215" s="4" t="e">
        <f t="shared" si="103"/>
        <v>#N/A</v>
      </c>
      <c r="C3215" s="4">
        <f>'Raw data'!E2791</f>
        <v>0</v>
      </c>
      <c r="D3215" s="29" t="e">
        <f>VLOOKUP(C3215,'점포코드 '!A:B,2,0)</f>
        <v>#N/A</v>
      </c>
      <c r="E3215" s="30">
        <f>'Raw data'!P2791</f>
        <v>0</v>
      </c>
      <c r="F3215" s="29" t="e">
        <f>VLOOKUP(E3215,'점포코드 '!A:B,2,0)</f>
        <v>#N/A</v>
      </c>
      <c r="G3215" s="46">
        <f>'Raw data'!F3124</f>
        <v>0</v>
      </c>
      <c r="H3215" s="4">
        <f>'Raw data'!G3124</f>
        <v>0</v>
      </c>
      <c r="I3215" s="29" t="e">
        <f>VLOOKUP(G3215,제품명!$C$1:$E$114,2,0)</f>
        <v>#N/A</v>
      </c>
      <c r="J3215" s="29">
        <f>'Raw data'!K3124</f>
        <v>0</v>
      </c>
      <c r="K3215" s="31">
        <f>'Raw data'!H3124</f>
        <v>0</v>
      </c>
      <c r="L3215" s="26">
        <f t="shared" si="104"/>
        <v>0</v>
      </c>
    </row>
    <row r="3216" spans="2:12">
      <c r="B3216" s="4" t="e">
        <f t="shared" si="103"/>
        <v>#N/A</v>
      </c>
      <c r="C3216" s="4">
        <f>'Raw data'!E2792</f>
        <v>0</v>
      </c>
      <c r="D3216" s="29" t="e">
        <f>VLOOKUP(C3216,'점포코드 '!A:B,2,0)</f>
        <v>#N/A</v>
      </c>
      <c r="E3216" s="30">
        <f>'Raw data'!P2792</f>
        <v>0</v>
      </c>
      <c r="F3216" s="29" t="e">
        <f>VLOOKUP(E3216,'점포코드 '!A:B,2,0)</f>
        <v>#N/A</v>
      </c>
      <c r="G3216" s="46">
        <f>'Raw data'!F3125</f>
        <v>0</v>
      </c>
      <c r="H3216" s="4">
        <f>'Raw data'!G3125</f>
        <v>0</v>
      </c>
      <c r="I3216" s="29" t="e">
        <f>VLOOKUP(G3216,제품명!$C$1:$E$114,2,0)</f>
        <v>#N/A</v>
      </c>
      <c r="J3216" s="29">
        <f>'Raw data'!K3125</f>
        <v>0</v>
      </c>
      <c r="K3216" s="31">
        <f>'Raw data'!H3125</f>
        <v>0</v>
      </c>
      <c r="L3216" s="26">
        <f t="shared" si="104"/>
        <v>0</v>
      </c>
    </row>
    <row r="3217" spans="2:12">
      <c r="B3217" s="4" t="e">
        <f t="shared" si="103"/>
        <v>#N/A</v>
      </c>
      <c r="C3217" s="4">
        <f>'Raw data'!E2793</f>
        <v>0</v>
      </c>
      <c r="D3217" s="29" t="e">
        <f>VLOOKUP(C3217,'점포코드 '!A:B,2,0)</f>
        <v>#N/A</v>
      </c>
      <c r="E3217" s="30">
        <f>'Raw data'!P2793</f>
        <v>0</v>
      </c>
      <c r="F3217" s="29" t="e">
        <f>VLOOKUP(E3217,'점포코드 '!A:B,2,0)</f>
        <v>#N/A</v>
      </c>
      <c r="G3217" s="46">
        <f>'Raw data'!F3126</f>
        <v>0</v>
      </c>
      <c r="H3217" s="4">
        <f>'Raw data'!G3126</f>
        <v>0</v>
      </c>
      <c r="I3217" s="29" t="e">
        <f>VLOOKUP(G3217,제품명!$C$1:$E$114,2,0)</f>
        <v>#N/A</v>
      </c>
      <c r="J3217" s="29">
        <f>'Raw data'!K3126</f>
        <v>0</v>
      </c>
      <c r="K3217" s="31">
        <f>'Raw data'!H3126</f>
        <v>0</v>
      </c>
      <c r="L3217" s="26">
        <f t="shared" si="104"/>
        <v>0</v>
      </c>
    </row>
    <row r="3218" spans="2:12">
      <c r="B3218" s="4" t="e">
        <f t="shared" si="103"/>
        <v>#N/A</v>
      </c>
      <c r="C3218" s="4">
        <f>'Raw data'!E2794</f>
        <v>0</v>
      </c>
      <c r="D3218" s="29" t="e">
        <f>VLOOKUP(C3218,'점포코드 '!A:B,2,0)</f>
        <v>#N/A</v>
      </c>
      <c r="E3218" s="30">
        <f>'Raw data'!P2794</f>
        <v>0</v>
      </c>
      <c r="F3218" s="29" t="e">
        <f>VLOOKUP(E3218,'점포코드 '!A:B,2,0)</f>
        <v>#N/A</v>
      </c>
      <c r="G3218" s="46">
        <f>'Raw data'!F3127</f>
        <v>0</v>
      </c>
      <c r="H3218" s="4">
        <f>'Raw data'!G3127</f>
        <v>0</v>
      </c>
      <c r="I3218" s="29" t="e">
        <f>VLOOKUP(G3218,제품명!$C$1:$E$114,2,0)</f>
        <v>#N/A</v>
      </c>
      <c r="J3218" s="29">
        <f>'Raw data'!K3127</f>
        <v>0</v>
      </c>
      <c r="K3218" s="31">
        <f>'Raw data'!H3127</f>
        <v>0</v>
      </c>
      <c r="L3218" s="26">
        <f t="shared" si="104"/>
        <v>0</v>
      </c>
    </row>
    <row r="3219" spans="2:12">
      <c r="B3219" s="4" t="e">
        <f t="shared" si="103"/>
        <v>#N/A</v>
      </c>
      <c r="C3219" s="4">
        <f>'Raw data'!E2795</f>
        <v>0</v>
      </c>
      <c r="D3219" s="29" t="e">
        <f>VLOOKUP(C3219,'점포코드 '!A:B,2,0)</f>
        <v>#N/A</v>
      </c>
      <c r="E3219" s="30">
        <f>'Raw data'!P2795</f>
        <v>0</v>
      </c>
      <c r="F3219" s="29" t="e">
        <f>VLOOKUP(E3219,'점포코드 '!A:B,2,0)</f>
        <v>#N/A</v>
      </c>
      <c r="G3219" s="46">
        <f>'Raw data'!F3128</f>
        <v>0</v>
      </c>
      <c r="H3219" s="4">
        <f>'Raw data'!G3128</f>
        <v>0</v>
      </c>
      <c r="I3219" s="29" t="e">
        <f>VLOOKUP(G3219,제품명!$C$1:$E$114,2,0)</f>
        <v>#N/A</v>
      </c>
      <c r="J3219" s="29">
        <f>'Raw data'!K3128</f>
        <v>0</v>
      </c>
      <c r="K3219" s="31">
        <f>'Raw data'!H3128</f>
        <v>0</v>
      </c>
      <c r="L3219" s="26">
        <f t="shared" si="104"/>
        <v>0</v>
      </c>
    </row>
    <row r="3220" spans="2:12">
      <c r="B3220" s="4" t="e">
        <f t="shared" si="103"/>
        <v>#N/A</v>
      </c>
      <c r="C3220" s="4">
        <f>'Raw data'!E2796</f>
        <v>0</v>
      </c>
      <c r="D3220" s="29" t="e">
        <f>VLOOKUP(C3220,'점포코드 '!A:B,2,0)</f>
        <v>#N/A</v>
      </c>
      <c r="E3220" s="30">
        <f>'Raw data'!P2796</f>
        <v>0</v>
      </c>
      <c r="F3220" s="29" t="e">
        <f>VLOOKUP(E3220,'점포코드 '!A:B,2,0)</f>
        <v>#N/A</v>
      </c>
      <c r="G3220" s="46">
        <f>'Raw data'!F3129</f>
        <v>0</v>
      </c>
      <c r="H3220" s="4">
        <f>'Raw data'!G3129</f>
        <v>0</v>
      </c>
      <c r="I3220" s="29" t="e">
        <f>VLOOKUP(G3220,제품명!$C$1:$E$114,2,0)</f>
        <v>#N/A</v>
      </c>
      <c r="J3220" s="29">
        <f>'Raw data'!K3129</f>
        <v>0</v>
      </c>
      <c r="K3220" s="31">
        <f>'Raw data'!H3129</f>
        <v>0</v>
      </c>
      <c r="L3220" s="26">
        <f t="shared" si="104"/>
        <v>0</v>
      </c>
    </row>
    <row r="3221" spans="2:12">
      <c r="B3221" s="4" t="e">
        <f t="shared" si="103"/>
        <v>#N/A</v>
      </c>
      <c r="C3221" s="4">
        <f>'Raw data'!E2797</f>
        <v>0</v>
      </c>
      <c r="D3221" s="29" t="e">
        <f>VLOOKUP(C3221,'점포코드 '!A:B,2,0)</f>
        <v>#N/A</v>
      </c>
      <c r="E3221" s="30">
        <f>'Raw data'!P2797</f>
        <v>0</v>
      </c>
      <c r="F3221" s="29" t="e">
        <f>VLOOKUP(E3221,'점포코드 '!A:B,2,0)</f>
        <v>#N/A</v>
      </c>
      <c r="G3221" s="46">
        <f>'Raw data'!F3130</f>
        <v>0</v>
      </c>
      <c r="H3221" s="4">
        <f>'Raw data'!G3130</f>
        <v>0</v>
      </c>
      <c r="I3221" s="29" t="e">
        <f>VLOOKUP(G3221,제품명!$C$1:$E$114,2,0)</f>
        <v>#N/A</v>
      </c>
      <c r="J3221" s="29">
        <f>'Raw data'!K3130</f>
        <v>0</v>
      </c>
      <c r="K3221" s="31">
        <f>'Raw data'!H3130</f>
        <v>0</v>
      </c>
      <c r="L3221" s="26">
        <f t="shared" si="104"/>
        <v>0</v>
      </c>
    </row>
    <row r="3222" spans="2:12">
      <c r="B3222" s="4" t="e">
        <f t="shared" si="103"/>
        <v>#N/A</v>
      </c>
      <c r="C3222" s="4">
        <f>'Raw data'!E2798</f>
        <v>0</v>
      </c>
      <c r="D3222" s="29" t="e">
        <f>VLOOKUP(C3222,'점포코드 '!A:B,2,0)</f>
        <v>#N/A</v>
      </c>
      <c r="E3222" s="30">
        <f>'Raw data'!P2798</f>
        <v>0</v>
      </c>
      <c r="F3222" s="29" t="e">
        <f>VLOOKUP(E3222,'점포코드 '!A:B,2,0)</f>
        <v>#N/A</v>
      </c>
      <c r="G3222" s="46">
        <f>'Raw data'!F3131</f>
        <v>0</v>
      </c>
      <c r="H3222" s="4">
        <f>'Raw data'!G3131</f>
        <v>0</v>
      </c>
      <c r="I3222" s="29" t="e">
        <f>VLOOKUP(G3222,제품명!$C$1:$E$114,2,0)</f>
        <v>#N/A</v>
      </c>
      <c r="J3222" s="29">
        <f>'Raw data'!K3131</f>
        <v>0</v>
      </c>
      <c r="K3222" s="31">
        <f>'Raw data'!H3131</f>
        <v>0</v>
      </c>
      <c r="L3222" s="26">
        <f t="shared" si="104"/>
        <v>0</v>
      </c>
    </row>
    <row r="3223" spans="2:12">
      <c r="B3223" s="4" t="e">
        <f t="shared" si="103"/>
        <v>#N/A</v>
      </c>
      <c r="C3223" s="4">
        <f>'Raw data'!E2799</f>
        <v>0</v>
      </c>
      <c r="D3223" s="29" t="e">
        <f>VLOOKUP(C3223,'점포코드 '!A:B,2,0)</f>
        <v>#N/A</v>
      </c>
      <c r="E3223" s="30">
        <f>'Raw data'!P2799</f>
        <v>0</v>
      </c>
      <c r="F3223" s="29" t="e">
        <f>VLOOKUP(E3223,'점포코드 '!A:B,2,0)</f>
        <v>#N/A</v>
      </c>
      <c r="G3223" s="46">
        <f>'Raw data'!F3132</f>
        <v>0</v>
      </c>
      <c r="H3223" s="4">
        <f>'Raw data'!G3132</f>
        <v>0</v>
      </c>
      <c r="I3223" s="29" t="e">
        <f>VLOOKUP(G3223,제품명!$C$1:$E$114,2,0)</f>
        <v>#N/A</v>
      </c>
      <c r="J3223" s="29">
        <f>'Raw data'!K3132</f>
        <v>0</v>
      </c>
      <c r="K3223" s="31">
        <f>'Raw data'!H3132</f>
        <v>0</v>
      </c>
      <c r="L3223" s="26">
        <f t="shared" si="104"/>
        <v>0</v>
      </c>
    </row>
    <row r="3224" spans="2:12">
      <c r="B3224" s="4" t="e">
        <f t="shared" si="103"/>
        <v>#N/A</v>
      </c>
      <c r="C3224" s="4">
        <f>'Raw data'!E2800</f>
        <v>0</v>
      </c>
      <c r="D3224" s="29" t="e">
        <f>VLOOKUP(C3224,'점포코드 '!A:B,2,0)</f>
        <v>#N/A</v>
      </c>
      <c r="E3224" s="30">
        <f>'Raw data'!P2800</f>
        <v>0</v>
      </c>
      <c r="F3224" s="29" t="e">
        <f>VLOOKUP(E3224,'점포코드 '!A:B,2,0)</f>
        <v>#N/A</v>
      </c>
      <c r="G3224" s="46">
        <f>'Raw data'!F3133</f>
        <v>0</v>
      </c>
      <c r="H3224" s="4">
        <f>'Raw data'!G3133</f>
        <v>0</v>
      </c>
      <c r="I3224" s="29" t="e">
        <f>VLOOKUP(G3224,제품명!$C$1:$E$114,2,0)</f>
        <v>#N/A</v>
      </c>
      <c r="J3224" s="29">
        <f>'Raw data'!K3133</f>
        <v>0</v>
      </c>
      <c r="K3224" s="31">
        <f>'Raw data'!H3133</f>
        <v>0</v>
      </c>
      <c r="L3224" s="26">
        <f t="shared" si="104"/>
        <v>0</v>
      </c>
    </row>
    <row r="3225" spans="2:12">
      <c r="B3225" s="4" t="e">
        <f t="shared" si="103"/>
        <v>#N/A</v>
      </c>
      <c r="C3225" s="4">
        <f>'Raw data'!E2801</f>
        <v>0</v>
      </c>
      <c r="D3225" s="29" t="e">
        <f>VLOOKUP(C3225,'점포코드 '!A:B,2,0)</f>
        <v>#N/A</v>
      </c>
      <c r="E3225" s="30">
        <f>'Raw data'!P2801</f>
        <v>0</v>
      </c>
      <c r="F3225" s="29" t="e">
        <f>VLOOKUP(E3225,'점포코드 '!A:B,2,0)</f>
        <v>#N/A</v>
      </c>
      <c r="G3225" s="46">
        <f>'Raw data'!F3134</f>
        <v>0</v>
      </c>
      <c r="H3225" s="4">
        <f>'Raw data'!G3134</f>
        <v>0</v>
      </c>
      <c r="I3225" s="29" t="e">
        <f>VLOOKUP(G3225,제품명!$C$1:$E$114,2,0)</f>
        <v>#N/A</v>
      </c>
      <c r="J3225" s="29">
        <f>'Raw data'!K3134</f>
        <v>0</v>
      </c>
      <c r="K3225" s="31">
        <f>'Raw data'!H3134</f>
        <v>0</v>
      </c>
      <c r="L3225" s="26">
        <f t="shared" si="104"/>
        <v>0</v>
      </c>
    </row>
    <row r="3226" spans="2:12">
      <c r="B3226" s="4" t="e">
        <f t="shared" si="103"/>
        <v>#N/A</v>
      </c>
      <c r="C3226" s="4">
        <f>'Raw data'!E2802</f>
        <v>0</v>
      </c>
      <c r="D3226" s="29" t="e">
        <f>VLOOKUP(C3226,'점포코드 '!A:B,2,0)</f>
        <v>#N/A</v>
      </c>
      <c r="E3226" s="30">
        <f>'Raw data'!P2802</f>
        <v>0</v>
      </c>
      <c r="F3226" s="29" t="e">
        <f>VLOOKUP(E3226,'점포코드 '!A:B,2,0)</f>
        <v>#N/A</v>
      </c>
      <c r="G3226" s="46">
        <f>'Raw data'!F3135</f>
        <v>0</v>
      </c>
      <c r="H3226" s="4">
        <f>'Raw data'!G3135</f>
        <v>0</v>
      </c>
      <c r="I3226" s="29" t="e">
        <f>VLOOKUP(G3226,제품명!$C$1:$E$114,2,0)</f>
        <v>#N/A</v>
      </c>
      <c r="J3226" s="29">
        <f>'Raw data'!K3135</f>
        <v>0</v>
      </c>
      <c r="K3226" s="31">
        <f>'Raw data'!H3135</f>
        <v>0</v>
      </c>
      <c r="L3226" s="26">
        <f t="shared" si="104"/>
        <v>0</v>
      </c>
    </row>
    <row r="3227" spans="2:12">
      <c r="B3227" s="4" t="e">
        <f t="shared" si="103"/>
        <v>#N/A</v>
      </c>
      <c r="C3227" s="4">
        <f>'Raw data'!E2803</f>
        <v>0</v>
      </c>
      <c r="D3227" s="29" t="e">
        <f>VLOOKUP(C3227,'점포코드 '!A:B,2,0)</f>
        <v>#N/A</v>
      </c>
      <c r="E3227" s="30">
        <f>'Raw data'!P2803</f>
        <v>0</v>
      </c>
      <c r="F3227" s="29" t="e">
        <f>VLOOKUP(E3227,'점포코드 '!A:B,2,0)</f>
        <v>#N/A</v>
      </c>
      <c r="G3227" s="46">
        <f>'Raw data'!F3136</f>
        <v>0</v>
      </c>
      <c r="H3227" s="4">
        <f>'Raw data'!G3136</f>
        <v>0</v>
      </c>
      <c r="I3227" s="29" t="e">
        <f>VLOOKUP(G3227,제품명!$C$1:$E$114,2,0)</f>
        <v>#N/A</v>
      </c>
      <c r="J3227" s="29">
        <f>'Raw data'!K3136</f>
        <v>0</v>
      </c>
      <c r="K3227" s="31">
        <f>'Raw data'!H3136</f>
        <v>0</v>
      </c>
      <c r="L3227" s="26">
        <f t="shared" si="104"/>
        <v>0</v>
      </c>
    </row>
    <row r="3228" spans="2:12">
      <c r="B3228" s="4" t="e">
        <f t="shared" si="103"/>
        <v>#N/A</v>
      </c>
      <c r="C3228" s="4">
        <f>'Raw data'!E2804</f>
        <v>0</v>
      </c>
      <c r="D3228" s="29" t="e">
        <f>VLOOKUP(C3228,'점포코드 '!A:B,2,0)</f>
        <v>#N/A</v>
      </c>
      <c r="E3228" s="30">
        <f>'Raw data'!P2804</f>
        <v>0</v>
      </c>
      <c r="F3228" s="29" t="e">
        <f>VLOOKUP(E3228,'점포코드 '!A:B,2,0)</f>
        <v>#N/A</v>
      </c>
      <c r="G3228" s="46">
        <f>'Raw data'!F3137</f>
        <v>0</v>
      </c>
      <c r="H3228" s="4">
        <f>'Raw data'!G3137</f>
        <v>0</v>
      </c>
      <c r="I3228" s="29" t="e">
        <f>VLOOKUP(G3228,제품명!$C$1:$E$114,2,0)</f>
        <v>#N/A</v>
      </c>
      <c r="J3228" s="29">
        <f>'Raw data'!K3137</f>
        <v>0</v>
      </c>
      <c r="K3228" s="31">
        <f>'Raw data'!H3137</f>
        <v>0</v>
      </c>
      <c r="L3228" s="26">
        <f t="shared" si="104"/>
        <v>0</v>
      </c>
    </row>
    <row r="3229" spans="2:12">
      <c r="B3229" s="4" t="e">
        <f t="shared" si="103"/>
        <v>#N/A</v>
      </c>
      <c r="C3229" s="4">
        <f>'Raw data'!E2805</f>
        <v>0</v>
      </c>
      <c r="D3229" s="29" t="e">
        <f>VLOOKUP(C3229,'점포코드 '!A:B,2,0)</f>
        <v>#N/A</v>
      </c>
      <c r="E3229" s="30">
        <f>'Raw data'!P2805</f>
        <v>0</v>
      </c>
      <c r="F3229" s="29" t="e">
        <f>VLOOKUP(E3229,'점포코드 '!A:B,2,0)</f>
        <v>#N/A</v>
      </c>
      <c r="G3229" s="46">
        <f>'Raw data'!F3138</f>
        <v>0</v>
      </c>
      <c r="H3229" s="4">
        <f>'Raw data'!G3138</f>
        <v>0</v>
      </c>
      <c r="I3229" s="29" t="e">
        <f>VLOOKUP(G3229,제품명!$C$1:$E$114,2,0)</f>
        <v>#N/A</v>
      </c>
      <c r="J3229" s="29">
        <f>'Raw data'!K3138</f>
        <v>0</v>
      </c>
      <c r="K3229" s="31">
        <f>'Raw data'!H3138</f>
        <v>0</v>
      </c>
      <c r="L3229" s="26">
        <f t="shared" si="104"/>
        <v>0</v>
      </c>
    </row>
    <row r="3230" spans="2:12">
      <c r="B3230" s="4" t="e">
        <f t="shared" si="103"/>
        <v>#N/A</v>
      </c>
      <c r="C3230" s="4">
        <f>'Raw data'!E2806</f>
        <v>0</v>
      </c>
      <c r="D3230" s="29" t="e">
        <f>VLOOKUP(C3230,'점포코드 '!A:B,2,0)</f>
        <v>#N/A</v>
      </c>
      <c r="E3230" s="30">
        <f>'Raw data'!P2806</f>
        <v>0</v>
      </c>
      <c r="F3230" s="29" t="e">
        <f>VLOOKUP(E3230,'점포코드 '!A:B,2,0)</f>
        <v>#N/A</v>
      </c>
      <c r="G3230" s="46">
        <f>'Raw data'!F3139</f>
        <v>0</v>
      </c>
      <c r="H3230" s="4">
        <f>'Raw data'!G3139</f>
        <v>0</v>
      </c>
      <c r="I3230" s="29" t="e">
        <f>VLOOKUP(G3230,제품명!$C$1:$E$114,2,0)</f>
        <v>#N/A</v>
      </c>
      <c r="J3230" s="29">
        <f>'Raw data'!K3139</f>
        <v>0</v>
      </c>
      <c r="K3230" s="31">
        <f>'Raw data'!H3139</f>
        <v>0</v>
      </c>
      <c r="L3230" s="26">
        <f t="shared" si="104"/>
        <v>0</v>
      </c>
    </row>
    <row r="3231" spans="2:12">
      <c r="B3231" s="4" t="e">
        <f t="shared" si="103"/>
        <v>#N/A</v>
      </c>
      <c r="C3231" s="4">
        <f>'Raw data'!E2807</f>
        <v>0</v>
      </c>
      <c r="D3231" s="29" t="e">
        <f>VLOOKUP(C3231,'점포코드 '!A:B,2,0)</f>
        <v>#N/A</v>
      </c>
      <c r="E3231" s="30">
        <f>'Raw data'!P2807</f>
        <v>0</v>
      </c>
      <c r="F3231" s="29" t="e">
        <f>VLOOKUP(E3231,'점포코드 '!A:B,2,0)</f>
        <v>#N/A</v>
      </c>
      <c r="G3231" s="46">
        <f>'Raw data'!F3140</f>
        <v>0</v>
      </c>
      <c r="H3231" s="4">
        <f>'Raw data'!G3140</f>
        <v>0</v>
      </c>
      <c r="I3231" s="29" t="e">
        <f>VLOOKUP(G3231,제품명!$C$1:$E$114,2,0)</f>
        <v>#N/A</v>
      </c>
      <c r="J3231" s="29">
        <f>'Raw data'!K3140</f>
        <v>0</v>
      </c>
      <c r="K3231" s="31">
        <f>'Raw data'!H3140</f>
        <v>0</v>
      </c>
      <c r="L3231" s="26">
        <f t="shared" si="104"/>
        <v>0</v>
      </c>
    </row>
    <row r="3232" spans="2:12">
      <c r="B3232" s="4" t="e">
        <f t="shared" si="103"/>
        <v>#N/A</v>
      </c>
      <c r="C3232" s="4">
        <f>'Raw data'!E2808</f>
        <v>0</v>
      </c>
      <c r="D3232" s="29" t="e">
        <f>VLOOKUP(C3232,'점포코드 '!A:B,2,0)</f>
        <v>#N/A</v>
      </c>
      <c r="E3232" s="30">
        <f>'Raw data'!P2808</f>
        <v>0</v>
      </c>
      <c r="F3232" s="29" t="e">
        <f>VLOOKUP(E3232,'점포코드 '!A:B,2,0)</f>
        <v>#N/A</v>
      </c>
      <c r="G3232" s="46">
        <f>'Raw data'!F3141</f>
        <v>0</v>
      </c>
      <c r="H3232" s="4">
        <f>'Raw data'!G3141</f>
        <v>0</v>
      </c>
      <c r="I3232" s="29" t="e">
        <f>VLOOKUP(G3232,제품명!$C$1:$E$114,2,0)</f>
        <v>#N/A</v>
      </c>
      <c r="J3232" s="29">
        <f>'Raw data'!K3141</f>
        <v>0</v>
      </c>
      <c r="K3232" s="31">
        <f>'Raw data'!H3141</f>
        <v>0</v>
      </c>
      <c r="L3232" s="26">
        <f t="shared" si="104"/>
        <v>0</v>
      </c>
    </row>
    <row r="3233" spans="2:12">
      <c r="B3233" s="4" t="e">
        <f t="shared" si="103"/>
        <v>#N/A</v>
      </c>
      <c r="C3233" s="4">
        <f>'Raw data'!E2809</f>
        <v>0</v>
      </c>
      <c r="D3233" s="29" t="e">
        <f>VLOOKUP(C3233,'점포코드 '!A:B,2,0)</f>
        <v>#N/A</v>
      </c>
      <c r="E3233" s="30">
        <f>'Raw data'!P2809</f>
        <v>0</v>
      </c>
      <c r="F3233" s="29" t="e">
        <f>VLOOKUP(E3233,'점포코드 '!A:B,2,0)</f>
        <v>#N/A</v>
      </c>
      <c r="G3233" s="46">
        <f>'Raw data'!F3142</f>
        <v>0</v>
      </c>
      <c r="H3233" s="4">
        <f>'Raw data'!G3142</f>
        <v>0</v>
      </c>
      <c r="I3233" s="29" t="e">
        <f>VLOOKUP(G3233,제품명!$C$1:$E$114,2,0)</f>
        <v>#N/A</v>
      </c>
      <c r="J3233" s="29">
        <f>'Raw data'!K3142</f>
        <v>0</v>
      </c>
      <c r="K3233" s="31">
        <f>'Raw data'!H3142</f>
        <v>0</v>
      </c>
      <c r="L3233" s="26">
        <f t="shared" si="104"/>
        <v>0</v>
      </c>
    </row>
    <row r="3234" spans="2:12">
      <c r="B3234" s="4" t="e">
        <f t="shared" si="103"/>
        <v>#N/A</v>
      </c>
      <c r="C3234" s="4">
        <f>'Raw data'!E2810</f>
        <v>0</v>
      </c>
      <c r="D3234" s="29" t="e">
        <f>VLOOKUP(C3234,'점포코드 '!A:B,2,0)</f>
        <v>#N/A</v>
      </c>
      <c r="E3234" s="30">
        <f>'Raw data'!P2810</f>
        <v>0</v>
      </c>
      <c r="F3234" s="29" t="e">
        <f>VLOOKUP(E3234,'점포코드 '!A:B,2,0)</f>
        <v>#N/A</v>
      </c>
      <c r="G3234" s="46">
        <f>'Raw data'!F3143</f>
        <v>0</v>
      </c>
      <c r="H3234" s="4">
        <f>'Raw data'!G3143</f>
        <v>0</v>
      </c>
      <c r="I3234" s="29" t="e">
        <f>VLOOKUP(G3234,제품명!$C$1:$E$114,2,0)</f>
        <v>#N/A</v>
      </c>
      <c r="J3234" s="29">
        <f>'Raw data'!K3143</f>
        <v>0</v>
      </c>
      <c r="K3234" s="31">
        <f>'Raw data'!H3143</f>
        <v>0</v>
      </c>
      <c r="L3234" s="26">
        <f t="shared" si="104"/>
        <v>0</v>
      </c>
    </row>
    <row r="3235" spans="2:12">
      <c r="B3235" s="4" t="e">
        <f t="shared" si="103"/>
        <v>#N/A</v>
      </c>
      <c r="C3235" s="4">
        <f>'Raw data'!E2811</f>
        <v>0</v>
      </c>
      <c r="D3235" s="29" t="e">
        <f>VLOOKUP(C3235,'점포코드 '!A:B,2,0)</f>
        <v>#N/A</v>
      </c>
      <c r="E3235" s="30">
        <f>'Raw data'!P2811</f>
        <v>0</v>
      </c>
      <c r="F3235" s="29" t="e">
        <f>VLOOKUP(E3235,'점포코드 '!A:B,2,0)</f>
        <v>#N/A</v>
      </c>
      <c r="G3235" s="46">
        <f>'Raw data'!F3144</f>
        <v>0</v>
      </c>
      <c r="H3235" s="4">
        <f>'Raw data'!G3144</f>
        <v>0</v>
      </c>
      <c r="I3235" s="29" t="e">
        <f>VLOOKUP(G3235,제품명!$C$1:$E$114,2,0)</f>
        <v>#N/A</v>
      </c>
      <c r="J3235" s="29">
        <f>'Raw data'!K3144</f>
        <v>0</v>
      </c>
      <c r="K3235" s="31">
        <f>'Raw data'!H3144</f>
        <v>0</v>
      </c>
      <c r="L3235" s="26">
        <f t="shared" si="104"/>
        <v>0</v>
      </c>
    </row>
    <row r="3236" spans="2:12">
      <c r="B3236" s="4" t="e">
        <f t="shared" si="103"/>
        <v>#N/A</v>
      </c>
      <c r="C3236" s="4">
        <f>'Raw data'!E2812</f>
        <v>0</v>
      </c>
      <c r="D3236" s="29" t="e">
        <f>VLOOKUP(C3236,'점포코드 '!A:B,2,0)</f>
        <v>#N/A</v>
      </c>
      <c r="E3236" s="30">
        <f>'Raw data'!P2812</f>
        <v>0</v>
      </c>
      <c r="F3236" s="29" t="e">
        <f>VLOOKUP(E3236,'점포코드 '!A:B,2,0)</f>
        <v>#N/A</v>
      </c>
      <c r="G3236" s="46">
        <f>'Raw data'!F3145</f>
        <v>0</v>
      </c>
      <c r="H3236" s="4">
        <f>'Raw data'!G3145</f>
        <v>0</v>
      </c>
      <c r="I3236" s="29" t="e">
        <f>VLOOKUP(G3236,제품명!$C$1:$E$114,2,0)</f>
        <v>#N/A</v>
      </c>
      <c r="J3236" s="29">
        <f>'Raw data'!K3145</f>
        <v>0</v>
      </c>
      <c r="K3236" s="31">
        <f>'Raw data'!H3145</f>
        <v>0</v>
      </c>
      <c r="L3236" s="26">
        <f t="shared" si="104"/>
        <v>0</v>
      </c>
    </row>
    <row r="3237" spans="2:12">
      <c r="B3237" s="4" t="e">
        <f t="shared" si="103"/>
        <v>#N/A</v>
      </c>
      <c r="C3237" s="4">
        <f>'Raw data'!E2813</f>
        <v>0</v>
      </c>
      <c r="D3237" s="29" t="e">
        <f>VLOOKUP(C3237,'점포코드 '!A:B,2,0)</f>
        <v>#N/A</v>
      </c>
      <c r="E3237" s="30">
        <f>'Raw data'!P2813</f>
        <v>0</v>
      </c>
      <c r="F3237" s="29" t="e">
        <f>VLOOKUP(E3237,'점포코드 '!A:B,2,0)</f>
        <v>#N/A</v>
      </c>
      <c r="G3237" s="46">
        <f>'Raw data'!F3146</f>
        <v>0</v>
      </c>
      <c r="H3237" s="4">
        <f>'Raw data'!G3146</f>
        <v>0</v>
      </c>
      <c r="I3237" s="29" t="e">
        <f>VLOOKUP(G3237,제품명!$C$1:$E$114,2,0)</f>
        <v>#N/A</v>
      </c>
      <c r="J3237" s="29">
        <f>'Raw data'!K3146</f>
        <v>0</v>
      </c>
      <c r="K3237" s="31">
        <f>'Raw data'!H3146</f>
        <v>0</v>
      </c>
      <c r="L3237" s="26">
        <f t="shared" si="104"/>
        <v>0</v>
      </c>
    </row>
    <row r="3238" spans="2:12">
      <c r="B3238" s="4" t="e">
        <f t="shared" si="103"/>
        <v>#N/A</v>
      </c>
      <c r="C3238" s="4">
        <f>'Raw data'!E2814</f>
        <v>0</v>
      </c>
      <c r="D3238" s="29" t="e">
        <f>VLOOKUP(C3238,'점포코드 '!A:B,2,0)</f>
        <v>#N/A</v>
      </c>
      <c r="E3238" s="30">
        <f>'Raw data'!P2814</f>
        <v>0</v>
      </c>
      <c r="F3238" s="29" t="e">
        <f>VLOOKUP(E3238,'점포코드 '!A:B,2,0)</f>
        <v>#N/A</v>
      </c>
      <c r="G3238" s="46">
        <f>'Raw data'!F3147</f>
        <v>0</v>
      </c>
      <c r="H3238" s="4">
        <f>'Raw data'!G3147</f>
        <v>0</v>
      </c>
      <c r="I3238" s="29" t="e">
        <f>VLOOKUP(G3238,제품명!$C$1:$E$114,2,0)</f>
        <v>#N/A</v>
      </c>
      <c r="J3238" s="29">
        <f>'Raw data'!K3147</f>
        <v>0</v>
      </c>
      <c r="K3238" s="31">
        <f>'Raw data'!H3147</f>
        <v>0</v>
      </c>
      <c r="L3238" s="26">
        <f t="shared" si="104"/>
        <v>0</v>
      </c>
    </row>
    <row r="3239" spans="2:12">
      <c r="B3239" s="4" t="e">
        <f t="shared" si="103"/>
        <v>#N/A</v>
      </c>
      <c r="C3239" s="4">
        <f>'Raw data'!E2815</f>
        <v>0</v>
      </c>
      <c r="D3239" s="29" t="e">
        <f>VLOOKUP(C3239,'점포코드 '!A:B,2,0)</f>
        <v>#N/A</v>
      </c>
      <c r="E3239" s="30">
        <f>'Raw data'!P2815</f>
        <v>0</v>
      </c>
      <c r="F3239" s="29" t="e">
        <f>VLOOKUP(E3239,'점포코드 '!A:B,2,0)</f>
        <v>#N/A</v>
      </c>
      <c r="G3239" s="46">
        <f>'Raw data'!F3148</f>
        <v>0</v>
      </c>
      <c r="H3239" s="4">
        <f>'Raw data'!G3148</f>
        <v>0</v>
      </c>
      <c r="I3239" s="29" t="e">
        <f>VLOOKUP(G3239,제품명!$C$1:$E$114,2,0)</f>
        <v>#N/A</v>
      </c>
      <c r="J3239" s="29">
        <f>'Raw data'!K3148</f>
        <v>0</v>
      </c>
      <c r="K3239" s="31">
        <f>'Raw data'!H3148</f>
        <v>0</v>
      </c>
      <c r="L3239" s="26">
        <f t="shared" si="104"/>
        <v>0</v>
      </c>
    </row>
    <row r="3240" spans="2:12">
      <c r="B3240" s="4" t="e">
        <f t="shared" si="103"/>
        <v>#N/A</v>
      </c>
      <c r="C3240" s="4">
        <f>'Raw data'!E2816</f>
        <v>0</v>
      </c>
      <c r="D3240" s="29" t="e">
        <f>VLOOKUP(C3240,'점포코드 '!A:B,2,0)</f>
        <v>#N/A</v>
      </c>
      <c r="E3240" s="30">
        <f>'Raw data'!P2816</f>
        <v>0</v>
      </c>
      <c r="F3240" s="29" t="e">
        <f>VLOOKUP(E3240,'점포코드 '!A:B,2,0)</f>
        <v>#N/A</v>
      </c>
      <c r="G3240" s="46">
        <f>'Raw data'!F3149</f>
        <v>0</v>
      </c>
      <c r="H3240" s="4">
        <f>'Raw data'!G3149</f>
        <v>0</v>
      </c>
      <c r="I3240" s="29" t="e">
        <f>VLOOKUP(G3240,제품명!$C$1:$E$114,2,0)</f>
        <v>#N/A</v>
      </c>
      <c r="J3240" s="29">
        <f>'Raw data'!K3149</f>
        <v>0</v>
      </c>
      <c r="K3240" s="31">
        <f>'Raw data'!H3149</f>
        <v>0</v>
      </c>
      <c r="L3240" s="26">
        <f t="shared" si="104"/>
        <v>0</v>
      </c>
    </row>
    <row r="3241" spans="2:12">
      <c r="B3241" s="4" t="e">
        <f t="shared" si="103"/>
        <v>#N/A</v>
      </c>
      <c r="C3241" s="4">
        <f>'Raw data'!E2817</f>
        <v>0</v>
      </c>
      <c r="D3241" s="29" t="e">
        <f>VLOOKUP(C3241,'점포코드 '!A:B,2,0)</f>
        <v>#N/A</v>
      </c>
      <c r="E3241" s="30">
        <f>'Raw data'!P2817</f>
        <v>0</v>
      </c>
      <c r="F3241" s="29" t="e">
        <f>VLOOKUP(E3241,'점포코드 '!A:B,2,0)</f>
        <v>#N/A</v>
      </c>
      <c r="G3241" s="46">
        <f>'Raw data'!F3150</f>
        <v>0</v>
      </c>
      <c r="H3241" s="4">
        <f>'Raw data'!G3150</f>
        <v>0</v>
      </c>
      <c r="I3241" s="29" t="e">
        <f>VLOOKUP(G3241,제품명!$C$1:$E$114,2,0)</f>
        <v>#N/A</v>
      </c>
      <c r="J3241" s="29">
        <f>'Raw data'!K3150</f>
        <v>0</v>
      </c>
      <c r="K3241" s="31">
        <f>'Raw data'!H3150</f>
        <v>0</v>
      </c>
      <c r="L3241" s="26">
        <f t="shared" si="104"/>
        <v>0</v>
      </c>
    </row>
    <row r="3242" spans="2:12">
      <c r="B3242" s="4" t="e">
        <f t="shared" si="103"/>
        <v>#N/A</v>
      </c>
      <c r="C3242" s="4">
        <f>'Raw data'!E2818</f>
        <v>0</v>
      </c>
      <c r="D3242" s="29" t="e">
        <f>VLOOKUP(C3242,'점포코드 '!A:B,2,0)</f>
        <v>#N/A</v>
      </c>
      <c r="E3242" s="30">
        <f>'Raw data'!P2818</f>
        <v>0</v>
      </c>
      <c r="F3242" s="29" t="e">
        <f>VLOOKUP(E3242,'점포코드 '!A:B,2,0)</f>
        <v>#N/A</v>
      </c>
      <c r="G3242" s="46">
        <f>'Raw data'!F3151</f>
        <v>0</v>
      </c>
      <c r="H3242" s="4">
        <f>'Raw data'!G3151</f>
        <v>0</v>
      </c>
      <c r="I3242" s="29" t="e">
        <f>VLOOKUP(G3242,제품명!$C$1:$E$114,2,0)</f>
        <v>#N/A</v>
      </c>
      <c r="J3242" s="29">
        <f>'Raw data'!K3151</f>
        <v>0</v>
      </c>
      <c r="K3242" s="31">
        <f>'Raw data'!H3151</f>
        <v>0</v>
      </c>
      <c r="L3242" s="26">
        <f t="shared" si="104"/>
        <v>0</v>
      </c>
    </row>
    <row r="3243" spans="2:12">
      <c r="B3243" s="4" t="e">
        <f t="shared" si="103"/>
        <v>#N/A</v>
      </c>
      <c r="C3243" s="4">
        <f>'Raw data'!E2819</f>
        <v>0</v>
      </c>
      <c r="D3243" s="29" t="e">
        <f>VLOOKUP(C3243,'점포코드 '!A:B,2,0)</f>
        <v>#N/A</v>
      </c>
      <c r="E3243" s="30">
        <f>'Raw data'!P2819</f>
        <v>0</v>
      </c>
      <c r="F3243" s="29" t="e">
        <f>VLOOKUP(E3243,'점포코드 '!A:B,2,0)</f>
        <v>#N/A</v>
      </c>
      <c r="G3243" s="46">
        <f>'Raw data'!F3152</f>
        <v>0</v>
      </c>
      <c r="H3243" s="4">
        <f>'Raw data'!G3152</f>
        <v>0</v>
      </c>
      <c r="I3243" s="29" t="e">
        <f>VLOOKUP(G3243,제품명!$C$1:$E$114,2,0)</f>
        <v>#N/A</v>
      </c>
      <c r="J3243" s="29">
        <f>'Raw data'!K3152</f>
        <v>0</v>
      </c>
      <c r="K3243" s="31">
        <f>'Raw data'!H3152</f>
        <v>0</v>
      </c>
      <c r="L3243" s="26">
        <f t="shared" si="104"/>
        <v>0</v>
      </c>
    </row>
    <row r="3244" spans="2:12">
      <c r="B3244" s="4" t="e">
        <f t="shared" si="103"/>
        <v>#N/A</v>
      </c>
      <c r="C3244" s="4">
        <f>'Raw data'!E2820</f>
        <v>0</v>
      </c>
      <c r="D3244" s="29" t="e">
        <f>VLOOKUP(C3244,'점포코드 '!A:B,2,0)</f>
        <v>#N/A</v>
      </c>
      <c r="E3244" s="30">
        <f>'Raw data'!P2820</f>
        <v>0</v>
      </c>
      <c r="F3244" s="29" t="e">
        <f>VLOOKUP(E3244,'점포코드 '!A:B,2,0)</f>
        <v>#N/A</v>
      </c>
      <c r="G3244" s="46">
        <f>'Raw data'!F3153</f>
        <v>0</v>
      </c>
      <c r="H3244" s="4">
        <f>'Raw data'!G3153</f>
        <v>0</v>
      </c>
      <c r="I3244" s="29" t="e">
        <f>VLOOKUP(G3244,제품명!$C$1:$E$114,2,0)</f>
        <v>#N/A</v>
      </c>
      <c r="J3244" s="29">
        <f>'Raw data'!K3153</f>
        <v>0</v>
      </c>
      <c r="K3244" s="31">
        <f>'Raw data'!H3153</f>
        <v>0</v>
      </c>
      <c r="L3244" s="26">
        <f t="shared" si="104"/>
        <v>0</v>
      </c>
    </row>
    <row r="3245" spans="2:12">
      <c r="B3245" s="4" t="e">
        <f t="shared" si="103"/>
        <v>#N/A</v>
      </c>
      <c r="C3245" s="4">
        <f>'Raw data'!E2821</f>
        <v>0</v>
      </c>
      <c r="D3245" s="29" t="e">
        <f>VLOOKUP(C3245,'점포코드 '!A:B,2,0)</f>
        <v>#N/A</v>
      </c>
      <c r="E3245" s="30">
        <f>'Raw data'!P2821</f>
        <v>0</v>
      </c>
      <c r="F3245" s="29" t="e">
        <f>VLOOKUP(E3245,'점포코드 '!A:B,2,0)</f>
        <v>#N/A</v>
      </c>
      <c r="G3245" s="46">
        <f>'Raw data'!F3154</f>
        <v>0</v>
      </c>
      <c r="H3245" s="4">
        <f>'Raw data'!G3154</f>
        <v>0</v>
      </c>
      <c r="I3245" s="29" t="e">
        <f>VLOOKUP(G3245,제품명!$C$1:$E$114,2,0)</f>
        <v>#N/A</v>
      </c>
      <c r="J3245" s="29">
        <f>'Raw data'!K3154</f>
        <v>0</v>
      </c>
      <c r="K3245" s="31">
        <f>'Raw data'!H3154</f>
        <v>0</v>
      </c>
      <c r="L3245" s="26">
        <f t="shared" si="104"/>
        <v>0</v>
      </c>
    </row>
    <row r="3246" spans="2:12">
      <c r="B3246" s="4" t="e">
        <f t="shared" si="103"/>
        <v>#N/A</v>
      </c>
      <c r="C3246" s="4">
        <f>'Raw data'!E2822</f>
        <v>0</v>
      </c>
      <c r="D3246" s="29" t="e">
        <f>VLOOKUP(C3246,'점포코드 '!A:B,2,0)</f>
        <v>#N/A</v>
      </c>
      <c r="E3246" s="30">
        <f>'Raw data'!P2822</f>
        <v>0</v>
      </c>
      <c r="F3246" s="29" t="e">
        <f>VLOOKUP(E3246,'점포코드 '!A:B,2,0)</f>
        <v>#N/A</v>
      </c>
      <c r="G3246" s="46">
        <f>'Raw data'!F3155</f>
        <v>0</v>
      </c>
      <c r="H3246" s="4">
        <f>'Raw data'!G3155</f>
        <v>0</v>
      </c>
      <c r="I3246" s="29" t="e">
        <f>VLOOKUP(G3246,제품명!$C$1:$E$114,2,0)</f>
        <v>#N/A</v>
      </c>
      <c r="J3246" s="29">
        <f>'Raw data'!K3155</f>
        <v>0</v>
      </c>
      <c r="K3246" s="31">
        <f>'Raw data'!H3155</f>
        <v>0</v>
      </c>
      <c r="L3246" s="26">
        <f t="shared" si="104"/>
        <v>0</v>
      </c>
    </row>
    <row r="3247" spans="2:12">
      <c r="B3247" s="4" t="e">
        <f t="shared" si="103"/>
        <v>#N/A</v>
      </c>
      <c r="C3247" s="4">
        <f>'Raw data'!E2823</f>
        <v>0</v>
      </c>
      <c r="D3247" s="29" t="e">
        <f>VLOOKUP(C3247,'점포코드 '!A:B,2,0)</f>
        <v>#N/A</v>
      </c>
      <c r="E3247" s="30">
        <f>'Raw data'!P2823</f>
        <v>0</v>
      </c>
      <c r="F3247" s="29" t="e">
        <f>VLOOKUP(E3247,'점포코드 '!A:B,2,0)</f>
        <v>#N/A</v>
      </c>
      <c r="G3247" s="46">
        <f>'Raw data'!F3156</f>
        <v>0</v>
      </c>
      <c r="H3247" s="4">
        <f>'Raw data'!G3156</f>
        <v>0</v>
      </c>
      <c r="I3247" s="29" t="e">
        <f>VLOOKUP(G3247,제품명!$C$1:$E$114,2,0)</f>
        <v>#N/A</v>
      </c>
      <c r="J3247" s="29">
        <f>'Raw data'!K3156</f>
        <v>0</v>
      </c>
      <c r="K3247" s="31">
        <f>'Raw data'!H3156</f>
        <v>0</v>
      </c>
      <c r="L3247" s="26">
        <f t="shared" si="104"/>
        <v>0</v>
      </c>
    </row>
    <row r="3248" spans="2:12">
      <c r="B3248" s="4" t="e">
        <f t="shared" si="103"/>
        <v>#N/A</v>
      </c>
      <c r="C3248" s="4">
        <f>'Raw data'!E2824</f>
        <v>0</v>
      </c>
      <c r="D3248" s="29" t="e">
        <f>VLOOKUP(C3248,'점포코드 '!A:B,2,0)</f>
        <v>#N/A</v>
      </c>
      <c r="E3248" s="30">
        <f>'Raw data'!P2824</f>
        <v>0</v>
      </c>
      <c r="F3248" s="29" t="e">
        <f>VLOOKUP(E3248,'점포코드 '!A:B,2,0)</f>
        <v>#N/A</v>
      </c>
      <c r="G3248" s="46">
        <f>'Raw data'!F3157</f>
        <v>0</v>
      </c>
      <c r="H3248" s="4">
        <f>'Raw data'!G3157</f>
        <v>0</v>
      </c>
      <c r="I3248" s="29" t="e">
        <f>VLOOKUP(G3248,제품명!$C$1:$E$114,2,0)</f>
        <v>#N/A</v>
      </c>
      <c r="J3248" s="29">
        <f>'Raw data'!K3157</f>
        <v>0</v>
      </c>
      <c r="K3248" s="31">
        <f>'Raw data'!H3157</f>
        <v>0</v>
      </c>
      <c r="L3248" s="26">
        <f t="shared" si="104"/>
        <v>0</v>
      </c>
    </row>
    <row r="3249" spans="2:12">
      <c r="B3249" s="4" t="e">
        <f t="shared" si="103"/>
        <v>#N/A</v>
      </c>
      <c r="C3249" s="4">
        <f>'Raw data'!E2825</f>
        <v>0</v>
      </c>
      <c r="D3249" s="29" t="e">
        <f>VLOOKUP(C3249,'점포코드 '!A:B,2,0)</f>
        <v>#N/A</v>
      </c>
      <c r="E3249" s="30">
        <f>'Raw data'!P2825</f>
        <v>0</v>
      </c>
      <c r="F3249" s="29" t="e">
        <f>VLOOKUP(E3249,'점포코드 '!A:B,2,0)</f>
        <v>#N/A</v>
      </c>
      <c r="G3249" s="46">
        <f>'Raw data'!F3158</f>
        <v>0</v>
      </c>
      <c r="H3249" s="4">
        <f>'Raw data'!G3158</f>
        <v>0</v>
      </c>
      <c r="I3249" s="29" t="e">
        <f>VLOOKUP(G3249,제품명!$C$1:$E$114,2,0)</f>
        <v>#N/A</v>
      </c>
      <c r="J3249" s="29">
        <f>'Raw data'!K3158</f>
        <v>0</v>
      </c>
      <c r="K3249" s="31">
        <f>'Raw data'!H3158</f>
        <v>0</v>
      </c>
      <c r="L3249" s="26">
        <f t="shared" si="104"/>
        <v>0</v>
      </c>
    </row>
    <row r="3250" spans="2:12">
      <c r="B3250" s="4" t="e">
        <f t="shared" si="103"/>
        <v>#N/A</v>
      </c>
      <c r="C3250" s="4">
        <f>'Raw data'!E2826</f>
        <v>0</v>
      </c>
      <c r="D3250" s="29" t="e">
        <f>VLOOKUP(C3250,'점포코드 '!A:B,2,0)</f>
        <v>#N/A</v>
      </c>
      <c r="E3250" s="30">
        <f>'Raw data'!P2826</f>
        <v>0</v>
      </c>
      <c r="F3250" s="29" t="e">
        <f>VLOOKUP(E3250,'점포코드 '!A:B,2,0)</f>
        <v>#N/A</v>
      </c>
      <c r="G3250" s="46">
        <f>'Raw data'!F3159</f>
        <v>0</v>
      </c>
      <c r="H3250" s="4">
        <f>'Raw data'!G3159</f>
        <v>0</v>
      </c>
      <c r="I3250" s="29" t="e">
        <f>VLOOKUP(G3250,제품명!$C$1:$E$114,2,0)</f>
        <v>#N/A</v>
      </c>
      <c r="J3250" s="29">
        <f>'Raw data'!K3159</f>
        <v>0</v>
      </c>
      <c r="K3250" s="31">
        <f>'Raw data'!H3159</f>
        <v>0</v>
      </c>
      <c r="L3250" s="26">
        <f t="shared" si="104"/>
        <v>0</v>
      </c>
    </row>
    <row r="3251" spans="2:12">
      <c r="B3251" s="4" t="e">
        <f t="shared" si="103"/>
        <v>#N/A</v>
      </c>
      <c r="C3251" s="4">
        <f>'Raw data'!E2827</f>
        <v>0</v>
      </c>
      <c r="D3251" s="29" t="e">
        <f>VLOOKUP(C3251,'점포코드 '!A:B,2,0)</f>
        <v>#N/A</v>
      </c>
      <c r="E3251" s="30">
        <f>'Raw data'!P2827</f>
        <v>0</v>
      </c>
      <c r="F3251" s="29" t="e">
        <f>VLOOKUP(E3251,'점포코드 '!A:B,2,0)</f>
        <v>#N/A</v>
      </c>
      <c r="G3251" s="46">
        <f>'Raw data'!F3160</f>
        <v>0</v>
      </c>
      <c r="H3251" s="4">
        <f>'Raw data'!G3160</f>
        <v>0</v>
      </c>
      <c r="I3251" s="29" t="e">
        <f>VLOOKUP(G3251,제품명!$C$1:$E$114,2,0)</f>
        <v>#N/A</v>
      </c>
      <c r="J3251" s="29">
        <f>'Raw data'!K3160</f>
        <v>0</v>
      </c>
      <c r="K3251" s="31">
        <f>'Raw data'!H3160</f>
        <v>0</v>
      </c>
      <c r="L3251" s="26">
        <f t="shared" si="104"/>
        <v>0</v>
      </c>
    </row>
    <row r="3252" spans="2:12">
      <c r="B3252" s="4" t="e">
        <f t="shared" si="103"/>
        <v>#N/A</v>
      </c>
      <c r="C3252" s="4">
        <f>'Raw data'!E2828</f>
        <v>0</v>
      </c>
      <c r="D3252" s="29" t="e">
        <f>VLOOKUP(C3252,'점포코드 '!A:B,2,0)</f>
        <v>#N/A</v>
      </c>
      <c r="E3252" s="30">
        <f>'Raw data'!P2828</f>
        <v>0</v>
      </c>
      <c r="F3252" s="29" t="e">
        <f>VLOOKUP(E3252,'점포코드 '!A:B,2,0)</f>
        <v>#N/A</v>
      </c>
      <c r="G3252" s="46">
        <f>'Raw data'!F3161</f>
        <v>0</v>
      </c>
      <c r="H3252" s="4">
        <f>'Raw data'!G3161</f>
        <v>0</v>
      </c>
      <c r="I3252" s="29" t="e">
        <f>VLOOKUP(G3252,제품명!$C$1:$E$114,2,0)</f>
        <v>#N/A</v>
      </c>
      <c r="J3252" s="29">
        <f>'Raw data'!K3161</f>
        <v>0</v>
      </c>
      <c r="K3252" s="31">
        <f>'Raw data'!H3161</f>
        <v>0</v>
      </c>
      <c r="L3252" s="26">
        <f t="shared" si="104"/>
        <v>0</v>
      </c>
    </row>
    <row r="3253" spans="2:12">
      <c r="B3253" s="4" t="e">
        <f t="shared" si="103"/>
        <v>#N/A</v>
      </c>
      <c r="C3253" s="4">
        <f>'Raw data'!E2829</f>
        <v>0</v>
      </c>
      <c r="D3253" s="29" t="e">
        <f>VLOOKUP(C3253,'점포코드 '!A:B,2,0)</f>
        <v>#N/A</v>
      </c>
      <c r="E3253" s="30">
        <f>'Raw data'!P2829</f>
        <v>0</v>
      </c>
      <c r="F3253" s="29" t="e">
        <f>VLOOKUP(E3253,'점포코드 '!A:B,2,0)</f>
        <v>#N/A</v>
      </c>
      <c r="G3253" s="46">
        <f>'Raw data'!F3162</f>
        <v>0</v>
      </c>
      <c r="H3253" s="4">
        <f>'Raw data'!G3162</f>
        <v>0</v>
      </c>
      <c r="I3253" s="29" t="e">
        <f>VLOOKUP(G3253,제품명!$C$1:$E$114,2,0)</f>
        <v>#N/A</v>
      </c>
      <c r="J3253" s="29">
        <f>'Raw data'!K3162</f>
        <v>0</v>
      </c>
      <c r="K3253" s="31">
        <f>'Raw data'!H3162</f>
        <v>0</v>
      </c>
      <c r="L3253" s="26">
        <f t="shared" si="104"/>
        <v>0</v>
      </c>
    </row>
    <row r="3254" spans="2:12">
      <c r="B3254" s="4" t="e">
        <f t="shared" si="103"/>
        <v>#N/A</v>
      </c>
      <c r="C3254" s="4">
        <f>'Raw data'!E2830</f>
        <v>0</v>
      </c>
      <c r="D3254" s="29" t="e">
        <f>VLOOKUP(C3254,'점포코드 '!A:B,2,0)</f>
        <v>#N/A</v>
      </c>
      <c r="E3254" s="30">
        <f>'Raw data'!P2830</f>
        <v>0</v>
      </c>
      <c r="F3254" s="29" t="e">
        <f>VLOOKUP(E3254,'점포코드 '!A:B,2,0)</f>
        <v>#N/A</v>
      </c>
      <c r="G3254" s="46">
        <f>'Raw data'!F3163</f>
        <v>0</v>
      </c>
      <c r="H3254" s="4">
        <f>'Raw data'!G3163</f>
        <v>0</v>
      </c>
      <c r="I3254" s="29" t="e">
        <f>VLOOKUP(G3254,제품명!$C$1:$E$114,2,0)</f>
        <v>#N/A</v>
      </c>
      <c r="J3254" s="29">
        <f>'Raw data'!K3163</f>
        <v>0</v>
      </c>
      <c r="K3254" s="31">
        <f>'Raw data'!H3163</f>
        <v>0</v>
      </c>
      <c r="L3254" s="26">
        <f t="shared" si="104"/>
        <v>0</v>
      </c>
    </row>
    <row r="3255" spans="2:12">
      <c r="B3255" s="4" t="e">
        <f t="shared" si="103"/>
        <v>#N/A</v>
      </c>
      <c r="C3255" s="4">
        <f>'Raw data'!E2831</f>
        <v>0</v>
      </c>
      <c r="D3255" s="29" t="e">
        <f>VLOOKUP(C3255,'점포코드 '!A:B,2,0)</f>
        <v>#N/A</v>
      </c>
      <c r="E3255" s="30">
        <f>'Raw data'!P2831</f>
        <v>0</v>
      </c>
      <c r="F3255" s="29" t="e">
        <f>VLOOKUP(E3255,'점포코드 '!A:B,2,0)</f>
        <v>#N/A</v>
      </c>
      <c r="G3255" s="46">
        <f>'Raw data'!F3164</f>
        <v>0</v>
      </c>
      <c r="H3255" s="4">
        <f>'Raw data'!G3164</f>
        <v>0</v>
      </c>
      <c r="I3255" s="29" t="e">
        <f>VLOOKUP(G3255,제품명!$C$1:$E$114,2,0)</f>
        <v>#N/A</v>
      </c>
      <c r="J3255" s="29">
        <f>'Raw data'!K3164</f>
        <v>0</v>
      </c>
      <c r="K3255" s="31">
        <f>'Raw data'!H3164</f>
        <v>0</v>
      </c>
      <c r="L3255" s="26">
        <f t="shared" si="104"/>
        <v>0</v>
      </c>
    </row>
    <row r="3256" spans="2:12">
      <c r="B3256" s="4" t="e">
        <f t="shared" si="103"/>
        <v>#N/A</v>
      </c>
      <c r="C3256" s="4">
        <f>'Raw data'!E2832</f>
        <v>0</v>
      </c>
      <c r="D3256" s="29" t="e">
        <f>VLOOKUP(C3256,'점포코드 '!A:B,2,0)</f>
        <v>#N/A</v>
      </c>
      <c r="E3256" s="30">
        <f>'Raw data'!P2832</f>
        <v>0</v>
      </c>
      <c r="F3256" s="29" t="e">
        <f>VLOOKUP(E3256,'점포코드 '!A:B,2,0)</f>
        <v>#N/A</v>
      </c>
      <c r="G3256" s="46">
        <f>'Raw data'!F3165</f>
        <v>0</v>
      </c>
      <c r="H3256" s="4">
        <f>'Raw data'!G3165</f>
        <v>0</v>
      </c>
      <c r="I3256" s="29" t="e">
        <f>VLOOKUP(G3256,제품명!$C$1:$E$114,2,0)</f>
        <v>#N/A</v>
      </c>
      <c r="J3256" s="29">
        <f>'Raw data'!K3165</f>
        <v>0</v>
      </c>
      <c r="K3256" s="31">
        <f>'Raw data'!H3165</f>
        <v>0</v>
      </c>
      <c r="L3256" s="26">
        <f t="shared" si="104"/>
        <v>0</v>
      </c>
    </row>
    <row r="3257" spans="2:12">
      <c r="B3257" s="4" t="e">
        <f t="shared" si="103"/>
        <v>#N/A</v>
      </c>
      <c r="C3257" s="4">
        <f>'Raw data'!E2833</f>
        <v>0</v>
      </c>
      <c r="D3257" s="29" t="e">
        <f>VLOOKUP(C3257,'점포코드 '!A:B,2,0)</f>
        <v>#N/A</v>
      </c>
      <c r="E3257" s="30">
        <f>'Raw data'!P2833</f>
        <v>0</v>
      </c>
      <c r="F3257" s="29" t="e">
        <f>VLOOKUP(E3257,'점포코드 '!A:B,2,0)</f>
        <v>#N/A</v>
      </c>
      <c r="G3257" s="46">
        <f>'Raw data'!F3166</f>
        <v>0</v>
      </c>
      <c r="H3257" s="4">
        <f>'Raw data'!G3166</f>
        <v>0</v>
      </c>
      <c r="I3257" s="29" t="e">
        <f>VLOOKUP(G3257,제품명!$C$1:$E$114,2,0)</f>
        <v>#N/A</v>
      </c>
      <c r="J3257" s="29">
        <f>'Raw data'!K3166</f>
        <v>0</v>
      </c>
      <c r="K3257" s="31">
        <f>'Raw data'!H3166</f>
        <v>0</v>
      </c>
      <c r="L3257" s="26">
        <f t="shared" si="104"/>
        <v>0</v>
      </c>
    </row>
    <row r="3258" spans="2:12">
      <c r="B3258" s="4" t="e">
        <f t="shared" si="103"/>
        <v>#N/A</v>
      </c>
      <c r="C3258" s="4">
        <f>'Raw data'!E2834</f>
        <v>0</v>
      </c>
      <c r="D3258" s="29" t="e">
        <f>VLOOKUP(C3258,'점포코드 '!A:B,2,0)</f>
        <v>#N/A</v>
      </c>
      <c r="E3258" s="30">
        <f>'Raw data'!P2834</f>
        <v>0</v>
      </c>
      <c r="F3258" s="29" t="e">
        <f>VLOOKUP(E3258,'점포코드 '!A:B,2,0)</f>
        <v>#N/A</v>
      </c>
      <c r="G3258" s="46">
        <f>'Raw data'!F3167</f>
        <v>0</v>
      </c>
      <c r="H3258" s="4">
        <f>'Raw data'!G3167</f>
        <v>0</v>
      </c>
      <c r="I3258" s="29" t="e">
        <f>VLOOKUP(G3258,제품명!$C$1:$E$114,2,0)</f>
        <v>#N/A</v>
      </c>
      <c r="J3258" s="29">
        <f>'Raw data'!K3167</f>
        <v>0</v>
      </c>
      <c r="K3258" s="31">
        <f>'Raw data'!H3167</f>
        <v>0</v>
      </c>
      <c r="L3258" s="26">
        <f t="shared" si="104"/>
        <v>0</v>
      </c>
    </row>
    <row r="3259" spans="2:12">
      <c r="B3259" s="4" t="e">
        <f t="shared" si="103"/>
        <v>#N/A</v>
      </c>
      <c r="C3259" s="4">
        <f>'Raw data'!E2835</f>
        <v>0</v>
      </c>
      <c r="D3259" s="29" t="e">
        <f>VLOOKUP(C3259,'점포코드 '!A:B,2,0)</f>
        <v>#N/A</v>
      </c>
      <c r="E3259" s="30">
        <f>'Raw data'!P2835</f>
        <v>0</v>
      </c>
      <c r="F3259" s="29" t="e">
        <f>VLOOKUP(E3259,'점포코드 '!A:B,2,0)</f>
        <v>#N/A</v>
      </c>
      <c r="G3259" s="46">
        <f>'Raw data'!F3168</f>
        <v>0</v>
      </c>
      <c r="H3259" s="4">
        <f>'Raw data'!G3168</f>
        <v>0</v>
      </c>
      <c r="I3259" s="29" t="e">
        <f>VLOOKUP(G3259,제품명!$C$1:$E$114,2,0)</f>
        <v>#N/A</v>
      </c>
      <c r="J3259" s="29">
        <f>'Raw data'!K3168</f>
        <v>0</v>
      </c>
      <c r="K3259" s="31">
        <f>'Raw data'!H3168</f>
        <v>0</v>
      </c>
      <c r="L3259" s="26">
        <f t="shared" si="104"/>
        <v>0</v>
      </c>
    </row>
    <row r="3260" spans="2:12">
      <c r="B3260" s="4" t="e">
        <f t="shared" si="103"/>
        <v>#N/A</v>
      </c>
      <c r="C3260" s="4">
        <f>'Raw data'!E2836</f>
        <v>0</v>
      </c>
      <c r="D3260" s="29" t="e">
        <f>VLOOKUP(C3260,'점포코드 '!A:B,2,0)</f>
        <v>#N/A</v>
      </c>
      <c r="E3260" s="30">
        <f>'Raw data'!P2836</f>
        <v>0</v>
      </c>
      <c r="F3260" s="29" t="e">
        <f>VLOOKUP(E3260,'점포코드 '!A:B,2,0)</f>
        <v>#N/A</v>
      </c>
      <c r="G3260" s="46">
        <f>'Raw data'!F3169</f>
        <v>0</v>
      </c>
      <c r="H3260" s="4">
        <f>'Raw data'!G3169</f>
        <v>0</v>
      </c>
      <c r="I3260" s="29" t="e">
        <f>VLOOKUP(G3260,제품명!$C$1:$E$114,2,0)</f>
        <v>#N/A</v>
      </c>
      <c r="J3260" s="29">
        <f>'Raw data'!K3169</f>
        <v>0</v>
      </c>
      <c r="K3260" s="31">
        <f>'Raw data'!H3169</f>
        <v>0</v>
      </c>
      <c r="L3260" s="26">
        <f t="shared" si="104"/>
        <v>0</v>
      </c>
    </row>
    <row r="3261" spans="2:12">
      <c r="B3261" s="4" t="e">
        <f t="shared" si="103"/>
        <v>#N/A</v>
      </c>
      <c r="C3261" s="4">
        <f>'Raw data'!E2837</f>
        <v>0</v>
      </c>
      <c r="D3261" s="29" t="e">
        <f>VLOOKUP(C3261,'점포코드 '!A:B,2,0)</f>
        <v>#N/A</v>
      </c>
      <c r="E3261" s="30">
        <f>'Raw data'!P2837</f>
        <v>0</v>
      </c>
      <c r="F3261" s="29" t="e">
        <f>VLOOKUP(E3261,'점포코드 '!A:B,2,0)</f>
        <v>#N/A</v>
      </c>
      <c r="G3261" s="46">
        <f>'Raw data'!F3170</f>
        <v>0</v>
      </c>
      <c r="H3261" s="4">
        <f>'Raw data'!G3170</f>
        <v>0</v>
      </c>
      <c r="I3261" s="29" t="e">
        <f>VLOOKUP(G3261,제품명!$C$1:$E$114,2,0)</f>
        <v>#N/A</v>
      </c>
      <c r="J3261" s="29">
        <f>'Raw data'!K3170</f>
        <v>0</v>
      </c>
      <c r="K3261" s="31">
        <f>'Raw data'!H3170</f>
        <v>0</v>
      </c>
      <c r="L3261" s="26">
        <f t="shared" si="104"/>
        <v>0</v>
      </c>
    </row>
    <row r="3262" spans="2:12">
      <c r="B3262" s="4" t="e">
        <f t="shared" si="103"/>
        <v>#N/A</v>
      </c>
      <c r="C3262" s="4">
        <f>'Raw data'!E2838</f>
        <v>0</v>
      </c>
      <c r="D3262" s="29" t="e">
        <f>VLOOKUP(C3262,'점포코드 '!A:B,2,0)</f>
        <v>#N/A</v>
      </c>
      <c r="E3262" s="30">
        <f>'Raw data'!P2838</f>
        <v>0</v>
      </c>
      <c r="F3262" s="29" t="e">
        <f>VLOOKUP(E3262,'점포코드 '!A:B,2,0)</f>
        <v>#N/A</v>
      </c>
      <c r="G3262" s="46">
        <f>'Raw data'!F3171</f>
        <v>0</v>
      </c>
      <c r="H3262" s="4">
        <f>'Raw data'!G3171</f>
        <v>0</v>
      </c>
      <c r="I3262" s="29" t="e">
        <f>VLOOKUP(G3262,제품명!$C$1:$E$114,2,0)</f>
        <v>#N/A</v>
      </c>
      <c r="J3262" s="29">
        <f>'Raw data'!K3171</f>
        <v>0</v>
      </c>
      <c r="K3262" s="31">
        <f>'Raw data'!H3171</f>
        <v>0</v>
      </c>
      <c r="L3262" s="26">
        <f t="shared" si="104"/>
        <v>0</v>
      </c>
    </row>
    <row r="3263" spans="2:12">
      <c r="B3263" s="4" t="e">
        <f t="shared" si="103"/>
        <v>#N/A</v>
      </c>
      <c r="C3263" s="4">
        <f>'Raw data'!E2839</f>
        <v>0</v>
      </c>
      <c r="D3263" s="29" t="e">
        <f>VLOOKUP(C3263,'점포코드 '!A:B,2,0)</f>
        <v>#N/A</v>
      </c>
      <c r="E3263" s="30">
        <f>'Raw data'!P2839</f>
        <v>0</v>
      </c>
      <c r="F3263" s="29" t="e">
        <f>VLOOKUP(E3263,'점포코드 '!A:B,2,0)</f>
        <v>#N/A</v>
      </c>
      <c r="G3263" s="46">
        <f>'Raw data'!F3172</f>
        <v>0</v>
      </c>
      <c r="H3263" s="4">
        <f>'Raw data'!G3172</f>
        <v>0</v>
      </c>
      <c r="I3263" s="29" t="e">
        <f>VLOOKUP(G3263,제품명!$C$1:$E$114,2,0)</f>
        <v>#N/A</v>
      </c>
      <c r="J3263" s="29">
        <f>'Raw data'!K3172</f>
        <v>0</v>
      </c>
      <c r="K3263" s="31">
        <f>'Raw data'!H3172</f>
        <v>0</v>
      </c>
      <c r="L3263" s="26">
        <f t="shared" si="104"/>
        <v>0</v>
      </c>
    </row>
    <row r="3264" spans="2:12">
      <c r="B3264" s="4" t="e">
        <f t="shared" si="103"/>
        <v>#N/A</v>
      </c>
      <c r="C3264" s="4">
        <f>'Raw data'!E2840</f>
        <v>0</v>
      </c>
      <c r="D3264" s="29" t="e">
        <f>VLOOKUP(C3264,'점포코드 '!A:B,2,0)</f>
        <v>#N/A</v>
      </c>
      <c r="E3264" s="30">
        <f>'Raw data'!P2840</f>
        <v>0</v>
      </c>
      <c r="F3264" s="29" t="e">
        <f>VLOOKUP(E3264,'점포코드 '!A:B,2,0)</f>
        <v>#N/A</v>
      </c>
      <c r="G3264" s="46">
        <f>'Raw data'!F3173</f>
        <v>0</v>
      </c>
      <c r="H3264" s="4">
        <f>'Raw data'!G3173</f>
        <v>0</v>
      </c>
      <c r="I3264" s="29" t="e">
        <f>VLOOKUP(G3264,제품명!$C$1:$E$114,2,0)</f>
        <v>#N/A</v>
      </c>
      <c r="J3264" s="29">
        <f>'Raw data'!K3173</f>
        <v>0</v>
      </c>
      <c r="K3264" s="31">
        <f>'Raw data'!H3173</f>
        <v>0</v>
      </c>
      <c r="L3264" s="26">
        <f t="shared" si="104"/>
        <v>0</v>
      </c>
    </row>
    <row r="3265" spans="2:12">
      <c r="B3265" s="4" t="e">
        <f t="shared" si="103"/>
        <v>#N/A</v>
      </c>
      <c r="C3265" s="4">
        <f>'Raw data'!E2841</f>
        <v>0</v>
      </c>
      <c r="D3265" s="29" t="e">
        <f>VLOOKUP(C3265,'점포코드 '!A:B,2,0)</f>
        <v>#N/A</v>
      </c>
      <c r="E3265" s="30">
        <f>'Raw data'!P2841</f>
        <v>0</v>
      </c>
      <c r="F3265" s="29" t="e">
        <f>VLOOKUP(E3265,'점포코드 '!A:B,2,0)</f>
        <v>#N/A</v>
      </c>
      <c r="G3265" s="46">
        <f>'Raw data'!F3174</f>
        <v>0</v>
      </c>
      <c r="H3265" s="4">
        <f>'Raw data'!G3174</f>
        <v>0</v>
      </c>
      <c r="I3265" s="29" t="e">
        <f>VLOOKUP(G3265,제품명!$C$1:$E$114,2,0)</f>
        <v>#N/A</v>
      </c>
      <c r="J3265" s="29">
        <f>'Raw data'!K3174</f>
        <v>0</v>
      </c>
      <c r="K3265" s="31">
        <f>'Raw data'!H3174</f>
        <v>0</v>
      </c>
      <c r="L3265" s="26">
        <f t="shared" si="104"/>
        <v>0</v>
      </c>
    </row>
    <row r="3266" spans="2:12">
      <c r="B3266" s="4" t="e">
        <f t="shared" ref="B3266:B3329" si="105">F3266&amp;I3266</f>
        <v>#N/A</v>
      </c>
      <c r="C3266" s="4">
        <f>'Raw data'!E2842</f>
        <v>0</v>
      </c>
      <c r="D3266" s="29" t="e">
        <f>VLOOKUP(C3266,'점포코드 '!A:B,2,0)</f>
        <v>#N/A</v>
      </c>
      <c r="E3266" s="30">
        <f>'Raw data'!P2842</f>
        <v>0</v>
      </c>
      <c r="F3266" s="29" t="e">
        <f>VLOOKUP(E3266,'점포코드 '!A:B,2,0)</f>
        <v>#N/A</v>
      </c>
      <c r="G3266" s="46">
        <f>'Raw data'!F3175</f>
        <v>0</v>
      </c>
      <c r="H3266" s="4">
        <f>'Raw data'!G3175</f>
        <v>0</v>
      </c>
      <c r="I3266" s="29" t="e">
        <f>VLOOKUP(G3266,제품명!$C$1:$E$114,2,0)</f>
        <v>#N/A</v>
      </c>
      <c r="J3266" s="29">
        <f>'Raw data'!K3175</f>
        <v>0</v>
      </c>
      <c r="K3266" s="31">
        <f>'Raw data'!H3175</f>
        <v>0</v>
      </c>
      <c r="L3266" s="26">
        <f t="shared" si="104"/>
        <v>0</v>
      </c>
    </row>
    <row r="3267" spans="2:12">
      <c r="B3267" s="4" t="e">
        <f t="shared" si="105"/>
        <v>#N/A</v>
      </c>
      <c r="C3267" s="4">
        <f>'Raw data'!E2843</f>
        <v>0</v>
      </c>
      <c r="D3267" s="29" t="e">
        <f>VLOOKUP(C3267,'점포코드 '!A:B,2,0)</f>
        <v>#N/A</v>
      </c>
      <c r="E3267" s="30">
        <f>'Raw data'!P2843</f>
        <v>0</v>
      </c>
      <c r="F3267" s="29" t="e">
        <f>VLOOKUP(E3267,'점포코드 '!A:B,2,0)</f>
        <v>#N/A</v>
      </c>
      <c r="G3267" s="46">
        <f>'Raw data'!F3176</f>
        <v>0</v>
      </c>
      <c r="H3267" s="4">
        <f>'Raw data'!G3176</f>
        <v>0</v>
      </c>
      <c r="I3267" s="29" t="e">
        <f>VLOOKUP(G3267,제품명!$C$1:$E$114,2,0)</f>
        <v>#N/A</v>
      </c>
      <c r="J3267" s="29">
        <f>'Raw data'!K3176</f>
        <v>0</v>
      </c>
      <c r="K3267" s="31">
        <f>'Raw data'!H3176</f>
        <v>0</v>
      </c>
      <c r="L3267" s="26">
        <f t="shared" ref="L3267:L3330" si="106">J3267*K3267</f>
        <v>0</v>
      </c>
    </row>
    <row r="3268" spans="2:12">
      <c r="B3268" s="4" t="e">
        <f t="shared" si="105"/>
        <v>#N/A</v>
      </c>
      <c r="C3268" s="4">
        <f>'Raw data'!E2844</f>
        <v>0</v>
      </c>
      <c r="D3268" s="29" t="e">
        <f>VLOOKUP(C3268,'점포코드 '!A:B,2,0)</f>
        <v>#N/A</v>
      </c>
      <c r="E3268" s="30">
        <f>'Raw data'!P2844</f>
        <v>0</v>
      </c>
      <c r="F3268" s="29" t="e">
        <f>VLOOKUP(E3268,'점포코드 '!A:B,2,0)</f>
        <v>#N/A</v>
      </c>
      <c r="G3268" s="46">
        <f>'Raw data'!F3177</f>
        <v>0</v>
      </c>
      <c r="H3268" s="4">
        <f>'Raw data'!G3177</f>
        <v>0</v>
      </c>
      <c r="I3268" s="29" t="e">
        <f>VLOOKUP(G3268,제품명!$C$1:$E$114,2,0)</f>
        <v>#N/A</v>
      </c>
      <c r="J3268" s="29">
        <f>'Raw data'!K3177</f>
        <v>0</v>
      </c>
      <c r="K3268" s="31">
        <f>'Raw data'!H3177</f>
        <v>0</v>
      </c>
      <c r="L3268" s="26">
        <f t="shared" si="106"/>
        <v>0</v>
      </c>
    </row>
    <row r="3269" spans="2:12">
      <c r="B3269" s="4" t="e">
        <f t="shared" si="105"/>
        <v>#N/A</v>
      </c>
      <c r="C3269" s="4">
        <f>'Raw data'!E2845</f>
        <v>0</v>
      </c>
      <c r="D3269" s="29" t="e">
        <f>VLOOKUP(C3269,'점포코드 '!A:B,2,0)</f>
        <v>#N/A</v>
      </c>
      <c r="E3269" s="30">
        <f>'Raw data'!P2845</f>
        <v>0</v>
      </c>
      <c r="F3269" s="29" t="e">
        <f>VLOOKUP(E3269,'점포코드 '!A:B,2,0)</f>
        <v>#N/A</v>
      </c>
      <c r="G3269" s="46">
        <f>'Raw data'!F3178</f>
        <v>0</v>
      </c>
      <c r="H3269" s="4">
        <f>'Raw data'!G3178</f>
        <v>0</v>
      </c>
      <c r="I3269" s="29" t="e">
        <f>VLOOKUP(G3269,제품명!$C$1:$E$114,2,0)</f>
        <v>#N/A</v>
      </c>
      <c r="J3269" s="29">
        <f>'Raw data'!K3178</f>
        <v>0</v>
      </c>
      <c r="K3269" s="31">
        <f>'Raw data'!H3178</f>
        <v>0</v>
      </c>
      <c r="L3269" s="26">
        <f t="shared" si="106"/>
        <v>0</v>
      </c>
    </row>
    <row r="3270" spans="2:12">
      <c r="B3270" s="4" t="e">
        <f t="shared" si="105"/>
        <v>#N/A</v>
      </c>
      <c r="C3270" s="4">
        <f>'Raw data'!E2846</f>
        <v>0</v>
      </c>
      <c r="D3270" s="29" t="e">
        <f>VLOOKUP(C3270,'점포코드 '!A:B,2,0)</f>
        <v>#N/A</v>
      </c>
      <c r="E3270" s="30">
        <f>'Raw data'!P2846</f>
        <v>0</v>
      </c>
      <c r="F3270" s="29" t="e">
        <f>VLOOKUP(E3270,'점포코드 '!A:B,2,0)</f>
        <v>#N/A</v>
      </c>
      <c r="G3270" s="46">
        <f>'Raw data'!F3179</f>
        <v>0</v>
      </c>
      <c r="H3270" s="4">
        <f>'Raw data'!G3179</f>
        <v>0</v>
      </c>
      <c r="I3270" s="29" t="e">
        <f>VLOOKUP(G3270,제품명!$C$1:$E$114,2,0)</f>
        <v>#N/A</v>
      </c>
      <c r="J3270" s="29">
        <f>'Raw data'!K3179</f>
        <v>0</v>
      </c>
      <c r="K3270" s="31">
        <f>'Raw data'!H3179</f>
        <v>0</v>
      </c>
      <c r="L3270" s="26">
        <f t="shared" si="106"/>
        <v>0</v>
      </c>
    </row>
    <row r="3271" spans="2:12">
      <c r="B3271" s="4" t="e">
        <f t="shared" si="105"/>
        <v>#N/A</v>
      </c>
      <c r="C3271" s="4">
        <f>'Raw data'!E2847</f>
        <v>0</v>
      </c>
      <c r="D3271" s="29" t="e">
        <f>VLOOKUP(C3271,'점포코드 '!A:B,2,0)</f>
        <v>#N/A</v>
      </c>
      <c r="E3271" s="30">
        <f>'Raw data'!P2847</f>
        <v>0</v>
      </c>
      <c r="F3271" s="29" t="e">
        <f>VLOOKUP(E3271,'점포코드 '!A:B,2,0)</f>
        <v>#N/A</v>
      </c>
      <c r="G3271" s="46">
        <f>'Raw data'!F3180</f>
        <v>0</v>
      </c>
      <c r="H3271" s="4">
        <f>'Raw data'!G3180</f>
        <v>0</v>
      </c>
      <c r="I3271" s="29" t="e">
        <f>VLOOKUP(G3271,제품명!$C$1:$E$114,2,0)</f>
        <v>#N/A</v>
      </c>
      <c r="J3271" s="29">
        <f>'Raw data'!K3180</f>
        <v>0</v>
      </c>
      <c r="K3271" s="31">
        <f>'Raw data'!H3180</f>
        <v>0</v>
      </c>
      <c r="L3271" s="26">
        <f t="shared" si="106"/>
        <v>0</v>
      </c>
    </row>
    <row r="3272" spans="2:12">
      <c r="B3272" s="4" t="e">
        <f t="shared" si="105"/>
        <v>#N/A</v>
      </c>
      <c r="C3272" s="4">
        <f>'Raw data'!E2848</f>
        <v>0</v>
      </c>
      <c r="D3272" s="29" t="e">
        <f>VLOOKUP(C3272,'점포코드 '!A:B,2,0)</f>
        <v>#N/A</v>
      </c>
      <c r="E3272" s="30">
        <f>'Raw data'!P2848</f>
        <v>0</v>
      </c>
      <c r="F3272" s="29" t="e">
        <f>VLOOKUP(E3272,'점포코드 '!A:B,2,0)</f>
        <v>#N/A</v>
      </c>
      <c r="G3272" s="46">
        <f>'Raw data'!F3181</f>
        <v>0</v>
      </c>
      <c r="H3272" s="4">
        <f>'Raw data'!G3181</f>
        <v>0</v>
      </c>
      <c r="I3272" s="29" t="e">
        <f>VLOOKUP(G3272,제품명!$C$1:$E$114,2,0)</f>
        <v>#N/A</v>
      </c>
      <c r="J3272" s="29">
        <f>'Raw data'!K3181</f>
        <v>0</v>
      </c>
      <c r="K3272" s="31">
        <f>'Raw data'!H3181</f>
        <v>0</v>
      </c>
      <c r="L3272" s="26">
        <f t="shared" si="106"/>
        <v>0</v>
      </c>
    </row>
    <row r="3273" spans="2:12">
      <c r="B3273" s="4" t="e">
        <f t="shared" si="105"/>
        <v>#N/A</v>
      </c>
      <c r="C3273" s="4">
        <f>'Raw data'!E2849</f>
        <v>0</v>
      </c>
      <c r="D3273" s="29" t="e">
        <f>VLOOKUP(C3273,'점포코드 '!A:B,2,0)</f>
        <v>#N/A</v>
      </c>
      <c r="E3273" s="30">
        <f>'Raw data'!P2849</f>
        <v>0</v>
      </c>
      <c r="F3273" s="29" t="e">
        <f>VLOOKUP(E3273,'점포코드 '!A:B,2,0)</f>
        <v>#N/A</v>
      </c>
      <c r="G3273" s="46">
        <f>'Raw data'!F3182</f>
        <v>0</v>
      </c>
      <c r="H3273" s="4">
        <f>'Raw data'!G3182</f>
        <v>0</v>
      </c>
      <c r="I3273" s="29" t="e">
        <f>VLOOKUP(G3273,제품명!$C$1:$E$114,2,0)</f>
        <v>#N/A</v>
      </c>
      <c r="J3273" s="29">
        <f>'Raw data'!K3182</f>
        <v>0</v>
      </c>
      <c r="K3273" s="31">
        <f>'Raw data'!H3182</f>
        <v>0</v>
      </c>
      <c r="L3273" s="26">
        <f t="shared" si="106"/>
        <v>0</v>
      </c>
    </row>
    <row r="3274" spans="2:12">
      <c r="B3274" s="4" t="e">
        <f t="shared" si="105"/>
        <v>#N/A</v>
      </c>
      <c r="C3274" s="4">
        <f>'Raw data'!E2850</f>
        <v>0</v>
      </c>
      <c r="D3274" s="29" t="e">
        <f>VLOOKUP(C3274,'점포코드 '!A:B,2,0)</f>
        <v>#N/A</v>
      </c>
      <c r="E3274" s="30">
        <f>'Raw data'!P2850</f>
        <v>0</v>
      </c>
      <c r="F3274" s="29" t="e">
        <f>VLOOKUP(E3274,'점포코드 '!A:B,2,0)</f>
        <v>#N/A</v>
      </c>
      <c r="G3274" s="46">
        <f>'Raw data'!F3183</f>
        <v>0</v>
      </c>
      <c r="H3274" s="4">
        <f>'Raw data'!G3183</f>
        <v>0</v>
      </c>
      <c r="I3274" s="29" t="e">
        <f>VLOOKUP(G3274,제품명!$C$1:$E$114,2,0)</f>
        <v>#N/A</v>
      </c>
      <c r="J3274" s="29">
        <f>'Raw data'!K3183</f>
        <v>0</v>
      </c>
      <c r="K3274" s="31">
        <f>'Raw data'!H3183</f>
        <v>0</v>
      </c>
      <c r="L3274" s="26">
        <f t="shared" si="106"/>
        <v>0</v>
      </c>
    </row>
    <row r="3275" spans="2:12">
      <c r="B3275" s="4" t="e">
        <f t="shared" si="105"/>
        <v>#N/A</v>
      </c>
      <c r="C3275" s="4">
        <f>'Raw data'!E2851</f>
        <v>0</v>
      </c>
      <c r="D3275" s="29" t="e">
        <f>VLOOKUP(C3275,'점포코드 '!A:B,2,0)</f>
        <v>#N/A</v>
      </c>
      <c r="E3275" s="30">
        <f>'Raw data'!P2851</f>
        <v>0</v>
      </c>
      <c r="F3275" s="29" t="e">
        <f>VLOOKUP(E3275,'점포코드 '!A:B,2,0)</f>
        <v>#N/A</v>
      </c>
      <c r="G3275" s="46">
        <f>'Raw data'!F3184</f>
        <v>0</v>
      </c>
      <c r="H3275" s="4">
        <f>'Raw data'!G3184</f>
        <v>0</v>
      </c>
      <c r="I3275" s="29" t="e">
        <f>VLOOKUP(G3275,제품명!$C$1:$E$114,2,0)</f>
        <v>#N/A</v>
      </c>
      <c r="J3275" s="29">
        <f>'Raw data'!K3184</f>
        <v>0</v>
      </c>
      <c r="K3275" s="31">
        <f>'Raw data'!H3184</f>
        <v>0</v>
      </c>
      <c r="L3275" s="26">
        <f t="shared" si="106"/>
        <v>0</v>
      </c>
    </row>
    <row r="3276" spans="2:12">
      <c r="B3276" s="4" t="e">
        <f t="shared" si="105"/>
        <v>#N/A</v>
      </c>
      <c r="C3276" s="4">
        <f>'Raw data'!E2852</f>
        <v>0</v>
      </c>
      <c r="D3276" s="29" t="e">
        <f>VLOOKUP(C3276,'점포코드 '!A:B,2,0)</f>
        <v>#N/A</v>
      </c>
      <c r="E3276" s="30">
        <f>'Raw data'!P2852</f>
        <v>0</v>
      </c>
      <c r="F3276" s="29" t="e">
        <f>VLOOKUP(E3276,'점포코드 '!A:B,2,0)</f>
        <v>#N/A</v>
      </c>
      <c r="G3276" s="46">
        <f>'Raw data'!F3185</f>
        <v>0</v>
      </c>
      <c r="H3276" s="4">
        <f>'Raw data'!G3185</f>
        <v>0</v>
      </c>
      <c r="I3276" s="29" t="e">
        <f>VLOOKUP(G3276,제품명!$C$1:$E$114,2,0)</f>
        <v>#N/A</v>
      </c>
      <c r="J3276" s="29">
        <f>'Raw data'!K3185</f>
        <v>0</v>
      </c>
      <c r="K3276" s="31">
        <f>'Raw data'!H3185</f>
        <v>0</v>
      </c>
      <c r="L3276" s="26">
        <f t="shared" si="106"/>
        <v>0</v>
      </c>
    </row>
    <row r="3277" spans="2:12">
      <c r="B3277" s="4" t="e">
        <f t="shared" si="105"/>
        <v>#N/A</v>
      </c>
      <c r="C3277" s="4">
        <f>'Raw data'!E2853</f>
        <v>0</v>
      </c>
      <c r="D3277" s="29" t="e">
        <f>VLOOKUP(C3277,'점포코드 '!A:B,2,0)</f>
        <v>#N/A</v>
      </c>
      <c r="E3277" s="30">
        <f>'Raw data'!P2853</f>
        <v>0</v>
      </c>
      <c r="F3277" s="29" t="e">
        <f>VLOOKUP(E3277,'점포코드 '!A:B,2,0)</f>
        <v>#N/A</v>
      </c>
      <c r="G3277" s="46">
        <f>'Raw data'!F3186</f>
        <v>0</v>
      </c>
      <c r="H3277" s="4">
        <f>'Raw data'!G3186</f>
        <v>0</v>
      </c>
      <c r="I3277" s="29" t="e">
        <f>VLOOKUP(G3277,제품명!$C$1:$E$114,2,0)</f>
        <v>#N/A</v>
      </c>
      <c r="J3277" s="29">
        <f>'Raw data'!K3186</f>
        <v>0</v>
      </c>
      <c r="K3277" s="31">
        <f>'Raw data'!H3186</f>
        <v>0</v>
      </c>
      <c r="L3277" s="26">
        <f t="shared" si="106"/>
        <v>0</v>
      </c>
    </row>
    <row r="3278" spans="2:12">
      <c r="B3278" s="4" t="e">
        <f t="shared" si="105"/>
        <v>#N/A</v>
      </c>
      <c r="C3278" s="4">
        <f>'Raw data'!E2854</f>
        <v>0</v>
      </c>
      <c r="D3278" s="29" t="e">
        <f>VLOOKUP(C3278,'점포코드 '!A:B,2,0)</f>
        <v>#N/A</v>
      </c>
      <c r="E3278" s="30">
        <f>'Raw data'!P2854</f>
        <v>0</v>
      </c>
      <c r="F3278" s="29" t="e">
        <f>VLOOKUP(E3278,'점포코드 '!A:B,2,0)</f>
        <v>#N/A</v>
      </c>
      <c r="G3278" s="46">
        <f>'Raw data'!F3187</f>
        <v>0</v>
      </c>
      <c r="H3278" s="4">
        <f>'Raw data'!G3187</f>
        <v>0</v>
      </c>
      <c r="I3278" s="29" t="e">
        <f>VLOOKUP(G3278,제품명!$C$1:$E$114,2,0)</f>
        <v>#N/A</v>
      </c>
      <c r="J3278" s="29">
        <f>'Raw data'!K3187</f>
        <v>0</v>
      </c>
      <c r="K3278" s="31">
        <f>'Raw data'!H3187</f>
        <v>0</v>
      </c>
      <c r="L3278" s="26">
        <f t="shared" si="106"/>
        <v>0</v>
      </c>
    </row>
    <row r="3279" spans="2:12">
      <c r="B3279" s="4" t="e">
        <f t="shared" si="105"/>
        <v>#N/A</v>
      </c>
      <c r="C3279" s="4">
        <f>'Raw data'!E2855</f>
        <v>0</v>
      </c>
      <c r="D3279" s="29" t="e">
        <f>VLOOKUP(C3279,'점포코드 '!A:B,2,0)</f>
        <v>#N/A</v>
      </c>
      <c r="E3279" s="30">
        <f>'Raw data'!P2855</f>
        <v>0</v>
      </c>
      <c r="F3279" s="29" t="e">
        <f>VLOOKUP(E3279,'점포코드 '!A:B,2,0)</f>
        <v>#N/A</v>
      </c>
      <c r="G3279" s="46">
        <f>'Raw data'!F3188</f>
        <v>0</v>
      </c>
      <c r="H3279" s="4">
        <f>'Raw data'!G3188</f>
        <v>0</v>
      </c>
      <c r="I3279" s="29" t="e">
        <f>VLOOKUP(G3279,제품명!$C$1:$E$114,2,0)</f>
        <v>#N/A</v>
      </c>
      <c r="J3279" s="29">
        <f>'Raw data'!K3188</f>
        <v>0</v>
      </c>
      <c r="K3279" s="31">
        <f>'Raw data'!H3188</f>
        <v>0</v>
      </c>
      <c r="L3279" s="26">
        <f t="shared" si="106"/>
        <v>0</v>
      </c>
    </row>
    <row r="3280" spans="2:12">
      <c r="B3280" s="4" t="e">
        <f t="shared" si="105"/>
        <v>#N/A</v>
      </c>
      <c r="C3280" s="4">
        <f>'Raw data'!E2856</f>
        <v>0</v>
      </c>
      <c r="D3280" s="29" t="e">
        <f>VLOOKUP(C3280,'점포코드 '!A:B,2,0)</f>
        <v>#N/A</v>
      </c>
      <c r="E3280" s="30">
        <f>'Raw data'!P2856</f>
        <v>0</v>
      </c>
      <c r="F3280" s="29" t="e">
        <f>VLOOKUP(E3280,'점포코드 '!A:B,2,0)</f>
        <v>#N/A</v>
      </c>
      <c r="G3280" s="46">
        <f>'Raw data'!F3189</f>
        <v>0</v>
      </c>
      <c r="H3280" s="4">
        <f>'Raw data'!G3189</f>
        <v>0</v>
      </c>
      <c r="I3280" s="29" t="e">
        <f>VLOOKUP(G3280,제품명!$C$1:$E$114,2,0)</f>
        <v>#N/A</v>
      </c>
      <c r="J3280" s="29">
        <f>'Raw data'!K3189</f>
        <v>0</v>
      </c>
      <c r="K3280" s="31">
        <f>'Raw data'!H3189</f>
        <v>0</v>
      </c>
      <c r="L3280" s="26">
        <f t="shared" si="106"/>
        <v>0</v>
      </c>
    </row>
    <row r="3281" spans="2:12">
      <c r="B3281" s="4" t="e">
        <f t="shared" si="105"/>
        <v>#N/A</v>
      </c>
      <c r="C3281" s="4">
        <f>'Raw data'!E2857</f>
        <v>0</v>
      </c>
      <c r="D3281" s="29" t="e">
        <f>VLOOKUP(C3281,'점포코드 '!A:B,2,0)</f>
        <v>#N/A</v>
      </c>
      <c r="E3281" s="30">
        <f>'Raw data'!P2857</f>
        <v>0</v>
      </c>
      <c r="F3281" s="29" t="e">
        <f>VLOOKUP(E3281,'점포코드 '!A:B,2,0)</f>
        <v>#N/A</v>
      </c>
      <c r="G3281" s="46">
        <f>'Raw data'!F3190</f>
        <v>0</v>
      </c>
      <c r="H3281" s="4">
        <f>'Raw data'!G3190</f>
        <v>0</v>
      </c>
      <c r="I3281" s="29" t="e">
        <f>VLOOKUP(G3281,제품명!$C$1:$E$114,2,0)</f>
        <v>#N/A</v>
      </c>
      <c r="J3281" s="29">
        <f>'Raw data'!K3190</f>
        <v>0</v>
      </c>
      <c r="K3281" s="31">
        <f>'Raw data'!H3190</f>
        <v>0</v>
      </c>
      <c r="L3281" s="26">
        <f t="shared" si="106"/>
        <v>0</v>
      </c>
    </row>
    <row r="3282" spans="2:12">
      <c r="B3282" s="4" t="e">
        <f t="shared" si="105"/>
        <v>#N/A</v>
      </c>
      <c r="C3282" s="4">
        <f>'Raw data'!E2858</f>
        <v>0</v>
      </c>
      <c r="D3282" s="29" t="e">
        <f>VLOOKUP(C3282,'점포코드 '!A:B,2,0)</f>
        <v>#N/A</v>
      </c>
      <c r="E3282" s="30">
        <f>'Raw data'!P2858</f>
        <v>0</v>
      </c>
      <c r="F3282" s="29" t="e">
        <f>VLOOKUP(E3282,'점포코드 '!A:B,2,0)</f>
        <v>#N/A</v>
      </c>
      <c r="G3282" s="46">
        <f>'Raw data'!F3191</f>
        <v>0</v>
      </c>
      <c r="H3282" s="4">
        <f>'Raw data'!G3191</f>
        <v>0</v>
      </c>
      <c r="I3282" s="29" t="e">
        <f>VLOOKUP(G3282,제품명!$C$1:$E$114,2,0)</f>
        <v>#N/A</v>
      </c>
      <c r="J3282" s="29">
        <f>'Raw data'!K3191</f>
        <v>0</v>
      </c>
      <c r="K3282" s="31">
        <f>'Raw data'!H3191</f>
        <v>0</v>
      </c>
      <c r="L3282" s="26">
        <f t="shared" si="106"/>
        <v>0</v>
      </c>
    </row>
    <row r="3283" spans="2:12">
      <c r="B3283" s="4" t="e">
        <f t="shared" si="105"/>
        <v>#N/A</v>
      </c>
      <c r="C3283" s="4">
        <f>'Raw data'!E2859</f>
        <v>0</v>
      </c>
      <c r="D3283" s="29" t="e">
        <f>VLOOKUP(C3283,'점포코드 '!A:B,2,0)</f>
        <v>#N/A</v>
      </c>
      <c r="E3283" s="30">
        <f>'Raw data'!P2859</f>
        <v>0</v>
      </c>
      <c r="F3283" s="29" t="e">
        <f>VLOOKUP(E3283,'점포코드 '!A:B,2,0)</f>
        <v>#N/A</v>
      </c>
      <c r="G3283" s="46">
        <f>'Raw data'!F3192</f>
        <v>0</v>
      </c>
      <c r="H3283" s="4">
        <f>'Raw data'!G3192</f>
        <v>0</v>
      </c>
      <c r="I3283" s="29" t="e">
        <f>VLOOKUP(G3283,제품명!$C$1:$E$114,2,0)</f>
        <v>#N/A</v>
      </c>
      <c r="J3283" s="29">
        <f>'Raw data'!K3192</f>
        <v>0</v>
      </c>
      <c r="K3283" s="31">
        <f>'Raw data'!H3192</f>
        <v>0</v>
      </c>
      <c r="L3283" s="26">
        <f t="shared" si="106"/>
        <v>0</v>
      </c>
    </row>
    <row r="3284" spans="2:12">
      <c r="B3284" s="4" t="e">
        <f t="shared" si="105"/>
        <v>#N/A</v>
      </c>
      <c r="C3284" s="4">
        <f>'Raw data'!E2860</f>
        <v>0</v>
      </c>
      <c r="D3284" s="29" t="e">
        <f>VLOOKUP(C3284,'점포코드 '!A:B,2,0)</f>
        <v>#N/A</v>
      </c>
      <c r="E3284" s="30">
        <f>'Raw data'!P2860</f>
        <v>0</v>
      </c>
      <c r="F3284" s="29" t="e">
        <f>VLOOKUP(E3284,'점포코드 '!A:B,2,0)</f>
        <v>#N/A</v>
      </c>
      <c r="G3284" s="46">
        <f>'Raw data'!F3193</f>
        <v>0</v>
      </c>
      <c r="H3284" s="4">
        <f>'Raw data'!G3193</f>
        <v>0</v>
      </c>
      <c r="I3284" s="29" t="e">
        <f>VLOOKUP(G3284,제품명!$C$1:$E$114,2,0)</f>
        <v>#N/A</v>
      </c>
      <c r="J3284" s="29">
        <f>'Raw data'!K3193</f>
        <v>0</v>
      </c>
      <c r="K3284" s="31">
        <f>'Raw data'!H3193</f>
        <v>0</v>
      </c>
      <c r="L3284" s="26">
        <f t="shared" si="106"/>
        <v>0</v>
      </c>
    </row>
    <row r="3285" spans="2:12">
      <c r="B3285" s="4" t="e">
        <f t="shared" si="105"/>
        <v>#N/A</v>
      </c>
      <c r="C3285" s="4">
        <f>'Raw data'!E2861</f>
        <v>0</v>
      </c>
      <c r="D3285" s="29" t="e">
        <f>VLOOKUP(C3285,'점포코드 '!A:B,2,0)</f>
        <v>#N/A</v>
      </c>
      <c r="E3285" s="30">
        <f>'Raw data'!P2861</f>
        <v>0</v>
      </c>
      <c r="F3285" s="29" t="e">
        <f>VLOOKUP(E3285,'점포코드 '!A:B,2,0)</f>
        <v>#N/A</v>
      </c>
      <c r="G3285" s="46">
        <f>'Raw data'!F3194</f>
        <v>0</v>
      </c>
      <c r="H3285" s="4">
        <f>'Raw data'!G3194</f>
        <v>0</v>
      </c>
      <c r="I3285" s="29" t="e">
        <f>VLOOKUP(G3285,제품명!$C$1:$E$114,2,0)</f>
        <v>#N/A</v>
      </c>
      <c r="J3285" s="29">
        <f>'Raw data'!K3194</f>
        <v>0</v>
      </c>
      <c r="K3285" s="31">
        <f>'Raw data'!H3194</f>
        <v>0</v>
      </c>
      <c r="L3285" s="26">
        <f t="shared" si="106"/>
        <v>0</v>
      </c>
    </row>
    <row r="3286" spans="2:12">
      <c r="B3286" s="4" t="e">
        <f t="shared" si="105"/>
        <v>#N/A</v>
      </c>
      <c r="C3286" s="4">
        <f>'Raw data'!E2862</f>
        <v>0</v>
      </c>
      <c r="D3286" s="29" t="e">
        <f>VLOOKUP(C3286,'점포코드 '!A:B,2,0)</f>
        <v>#N/A</v>
      </c>
      <c r="E3286" s="30">
        <f>'Raw data'!P2862</f>
        <v>0</v>
      </c>
      <c r="F3286" s="29" t="e">
        <f>VLOOKUP(E3286,'점포코드 '!A:B,2,0)</f>
        <v>#N/A</v>
      </c>
      <c r="G3286" s="46">
        <f>'Raw data'!F3195</f>
        <v>0</v>
      </c>
      <c r="H3286" s="4">
        <f>'Raw data'!G3195</f>
        <v>0</v>
      </c>
      <c r="I3286" s="29" t="e">
        <f>VLOOKUP(G3286,제품명!$C$1:$E$114,2,0)</f>
        <v>#N/A</v>
      </c>
      <c r="J3286" s="29">
        <f>'Raw data'!K3195</f>
        <v>0</v>
      </c>
      <c r="K3286" s="31">
        <f>'Raw data'!H3195</f>
        <v>0</v>
      </c>
      <c r="L3286" s="26">
        <f t="shared" si="106"/>
        <v>0</v>
      </c>
    </row>
    <row r="3287" spans="2:12">
      <c r="B3287" s="4" t="e">
        <f t="shared" si="105"/>
        <v>#N/A</v>
      </c>
      <c r="C3287" s="4">
        <f>'Raw data'!E2863</f>
        <v>0</v>
      </c>
      <c r="D3287" s="29" t="e">
        <f>VLOOKUP(C3287,'점포코드 '!A:B,2,0)</f>
        <v>#N/A</v>
      </c>
      <c r="E3287" s="30">
        <f>'Raw data'!P2863</f>
        <v>0</v>
      </c>
      <c r="F3287" s="29" t="e">
        <f>VLOOKUP(E3287,'점포코드 '!A:B,2,0)</f>
        <v>#N/A</v>
      </c>
      <c r="G3287" s="46">
        <f>'Raw data'!F3196</f>
        <v>0</v>
      </c>
      <c r="H3287" s="4">
        <f>'Raw data'!G3196</f>
        <v>0</v>
      </c>
      <c r="I3287" s="29" t="e">
        <f>VLOOKUP(G3287,제품명!$C$1:$E$114,2,0)</f>
        <v>#N/A</v>
      </c>
      <c r="J3287" s="29">
        <f>'Raw data'!K3196</f>
        <v>0</v>
      </c>
      <c r="K3287" s="31">
        <f>'Raw data'!H3196</f>
        <v>0</v>
      </c>
      <c r="L3287" s="26">
        <f t="shared" si="106"/>
        <v>0</v>
      </c>
    </row>
    <row r="3288" spans="2:12">
      <c r="B3288" s="4" t="e">
        <f t="shared" si="105"/>
        <v>#N/A</v>
      </c>
      <c r="C3288" s="4">
        <f>'Raw data'!E2864</f>
        <v>0</v>
      </c>
      <c r="D3288" s="29" t="e">
        <f>VLOOKUP(C3288,'점포코드 '!A:B,2,0)</f>
        <v>#N/A</v>
      </c>
      <c r="E3288" s="30">
        <f>'Raw data'!P2864</f>
        <v>0</v>
      </c>
      <c r="F3288" s="29" t="e">
        <f>VLOOKUP(E3288,'점포코드 '!A:B,2,0)</f>
        <v>#N/A</v>
      </c>
      <c r="G3288" s="46">
        <f>'Raw data'!F3197</f>
        <v>0</v>
      </c>
      <c r="H3288" s="4">
        <f>'Raw data'!G3197</f>
        <v>0</v>
      </c>
      <c r="I3288" s="29" t="e">
        <f>VLOOKUP(G3288,제품명!$C$1:$E$114,2,0)</f>
        <v>#N/A</v>
      </c>
      <c r="J3288" s="29">
        <f>'Raw data'!K3197</f>
        <v>0</v>
      </c>
      <c r="K3288" s="31">
        <f>'Raw data'!H3197</f>
        <v>0</v>
      </c>
      <c r="L3288" s="26">
        <f t="shared" si="106"/>
        <v>0</v>
      </c>
    </row>
    <row r="3289" spans="2:12">
      <c r="B3289" s="4" t="e">
        <f t="shared" si="105"/>
        <v>#N/A</v>
      </c>
      <c r="C3289" s="4">
        <f>'Raw data'!E2865</f>
        <v>0</v>
      </c>
      <c r="D3289" s="29" t="e">
        <f>VLOOKUP(C3289,'점포코드 '!A:B,2,0)</f>
        <v>#N/A</v>
      </c>
      <c r="E3289" s="30">
        <f>'Raw data'!P2865</f>
        <v>0</v>
      </c>
      <c r="F3289" s="29" t="e">
        <f>VLOOKUP(E3289,'점포코드 '!A:B,2,0)</f>
        <v>#N/A</v>
      </c>
      <c r="G3289" s="46">
        <f>'Raw data'!F3198</f>
        <v>0</v>
      </c>
      <c r="H3289" s="4">
        <f>'Raw data'!G3198</f>
        <v>0</v>
      </c>
      <c r="I3289" s="29" t="e">
        <f>VLOOKUP(G3289,제품명!$C$1:$E$114,2,0)</f>
        <v>#N/A</v>
      </c>
      <c r="J3289" s="29">
        <f>'Raw data'!K3198</f>
        <v>0</v>
      </c>
      <c r="K3289" s="31">
        <f>'Raw data'!H3198</f>
        <v>0</v>
      </c>
      <c r="L3289" s="26">
        <f t="shared" si="106"/>
        <v>0</v>
      </c>
    </row>
    <row r="3290" spans="2:12">
      <c r="B3290" s="4" t="e">
        <f t="shared" si="105"/>
        <v>#N/A</v>
      </c>
      <c r="C3290" s="4">
        <f>'Raw data'!E2866</f>
        <v>0</v>
      </c>
      <c r="D3290" s="29" t="e">
        <f>VLOOKUP(C3290,'점포코드 '!A:B,2,0)</f>
        <v>#N/A</v>
      </c>
      <c r="E3290" s="30">
        <f>'Raw data'!P2866</f>
        <v>0</v>
      </c>
      <c r="F3290" s="29" t="e">
        <f>VLOOKUP(E3290,'점포코드 '!A:B,2,0)</f>
        <v>#N/A</v>
      </c>
      <c r="G3290" s="46">
        <f>'Raw data'!F3199</f>
        <v>0</v>
      </c>
      <c r="H3290" s="4">
        <f>'Raw data'!G3199</f>
        <v>0</v>
      </c>
      <c r="I3290" s="29" t="e">
        <f>VLOOKUP(G3290,제품명!$C$1:$E$114,2,0)</f>
        <v>#N/A</v>
      </c>
      <c r="J3290" s="29">
        <f>'Raw data'!K3199</f>
        <v>0</v>
      </c>
      <c r="K3290" s="31">
        <f>'Raw data'!H3199</f>
        <v>0</v>
      </c>
      <c r="L3290" s="26">
        <f t="shared" si="106"/>
        <v>0</v>
      </c>
    </row>
    <row r="3291" spans="2:12">
      <c r="B3291" s="4" t="e">
        <f t="shared" si="105"/>
        <v>#N/A</v>
      </c>
      <c r="C3291" s="4">
        <f>'Raw data'!E2867</f>
        <v>0</v>
      </c>
      <c r="D3291" s="29" t="e">
        <f>VLOOKUP(C3291,'점포코드 '!A:B,2,0)</f>
        <v>#N/A</v>
      </c>
      <c r="E3291" s="30">
        <f>'Raw data'!P2867</f>
        <v>0</v>
      </c>
      <c r="F3291" s="29" t="e">
        <f>VLOOKUP(E3291,'점포코드 '!A:B,2,0)</f>
        <v>#N/A</v>
      </c>
      <c r="G3291" s="46">
        <f>'Raw data'!F3200</f>
        <v>0</v>
      </c>
      <c r="H3291" s="4">
        <f>'Raw data'!G3200</f>
        <v>0</v>
      </c>
      <c r="I3291" s="29" t="e">
        <f>VLOOKUP(G3291,제품명!$C$1:$E$114,2,0)</f>
        <v>#N/A</v>
      </c>
      <c r="J3291" s="29">
        <f>'Raw data'!K3200</f>
        <v>0</v>
      </c>
      <c r="K3291" s="31">
        <f>'Raw data'!H3200</f>
        <v>0</v>
      </c>
      <c r="L3291" s="26">
        <f t="shared" si="106"/>
        <v>0</v>
      </c>
    </row>
    <row r="3292" spans="2:12">
      <c r="B3292" s="4" t="e">
        <f t="shared" si="105"/>
        <v>#N/A</v>
      </c>
      <c r="C3292" s="4">
        <f>'Raw data'!E2868</f>
        <v>0</v>
      </c>
      <c r="D3292" s="29" t="e">
        <f>VLOOKUP(C3292,'점포코드 '!A:B,2,0)</f>
        <v>#N/A</v>
      </c>
      <c r="E3292" s="30">
        <f>'Raw data'!P2868</f>
        <v>0</v>
      </c>
      <c r="F3292" s="29" t="e">
        <f>VLOOKUP(E3292,'점포코드 '!A:B,2,0)</f>
        <v>#N/A</v>
      </c>
      <c r="G3292" s="46">
        <f>'Raw data'!F3201</f>
        <v>0</v>
      </c>
      <c r="H3292" s="4">
        <f>'Raw data'!G3201</f>
        <v>0</v>
      </c>
      <c r="I3292" s="29" t="e">
        <f>VLOOKUP(G3292,제품명!$C$1:$E$114,2,0)</f>
        <v>#N/A</v>
      </c>
      <c r="J3292" s="29">
        <f>'Raw data'!K3201</f>
        <v>0</v>
      </c>
      <c r="K3292" s="31">
        <f>'Raw data'!H3201</f>
        <v>0</v>
      </c>
      <c r="L3292" s="26">
        <f t="shared" si="106"/>
        <v>0</v>
      </c>
    </row>
    <row r="3293" spans="2:12">
      <c r="B3293" s="4" t="e">
        <f t="shared" si="105"/>
        <v>#N/A</v>
      </c>
      <c r="C3293" s="4">
        <f>'Raw data'!E2869</f>
        <v>0</v>
      </c>
      <c r="D3293" s="29" t="e">
        <f>VLOOKUP(C3293,'점포코드 '!A:B,2,0)</f>
        <v>#N/A</v>
      </c>
      <c r="E3293" s="30">
        <f>'Raw data'!P2869</f>
        <v>0</v>
      </c>
      <c r="F3293" s="29" t="e">
        <f>VLOOKUP(E3293,'점포코드 '!A:B,2,0)</f>
        <v>#N/A</v>
      </c>
      <c r="G3293" s="46">
        <f>'Raw data'!F3202</f>
        <v>0</v>
      </c>
      <c r="H3293" s="4">
        <f>'Raw data'!G3202</f>
        <v>0</v>
      </c>
      <c r="I3293" s="29" t="e">
        <f>VLOOKUP(G3293,제품명!$C$1:$E$114,2,0)</f>
        <v>#N/A</v>
      </c>
      <c r="J3293" s="29">
        <f>'Raw data'!K3202</f>
        <v>0</v>
      </c>
      <c r="K3293" s="31">
        <f>'Raw data'!H3202</f>
        <v>0</v>
      </c>
      <c r="L3293" s="26">
        <f t="shared" si="106"/>
        <v>0</v>
      </c>
    </row>
    <row r="3294" spans="2:12">
      <c r="B3294" s="4" t="e">
        <f t="shared" si="105"/>
        <v>#N/A</v>
      </c>
      <c r="C3294" s="4">
        <f>'Raw data'!E2870</f>
        <v>0</v>
      </c>
      <c r="D3294" s="29" t="e">
        <f>VLOOKUP(C3294,'점포코드 '!A:B,2,0)</f>
        <v>#N/A</v>
      </c>
      <c r="E3294" s="30">
        <f>'Raw data'!P2870</f>
        <v>0</v>
      </c>
      <c r="F3294" s="29" t="e">
        <f>VLOOKUP(E3294,'점포코드 '!A:B,2,0)</f>
        <v>#N/A</v>
      </c>
      <c r="G3294" s="46">
        <f>'Raw data'!F3203</f>
        <v>0</v>
      </c>
      <c r="H3294" s="4">
        <f>'Raw data'!G3203</f>
        <v>0</v>
      </c>
      <c r="I3294" s="29" t="e">
        <f>VLOOKUP(G3294,제품명!$C$1:$E$114,2,0)</f>
        <v>#N/A</v>
      </c>
      <c r="J3294" s="29">
        <f>'Raw data'!K3203</f>
        <v>0</v>
      </c>
      <c r="K3294" s="31">
        <f>'Raw data'!H3203</f>
        <v>0</v>
      </c>
      <c r="L3294" s="26">
        <f t="shared" si="106"/>
        <v>0</v>
      </c>
    </row>
    <row r="3295" spans="2:12">
      <c r="B3295" s="4" t="e">
        <f t="shared" si="105"/>
        <v>#N/A</v>
      </c>
      <c r="C3295" s="4">
        <f>'Raw data'!E2871</f>
        <v>0</v>
      </c>
      <c r="D3295" s="29" t="e">
        <f>VLOOKUP(C3295,'점포코드 '!A:B,2,0)</f>
        <v>#N/A</v>
      </c>
      <c r="E3295" s="30">
        <f>'Raw data'!P2871</f>
        <v>0</v>
      </c>
      <c r="F3295" s="29" t="e">
        <f>VLOOKUP(E3295,'점포코드 '!A:B,2,0)</f>
        <v>#N/A</v>
      </c>
      <c r="G3295" s="46">
        <f>'Raw data'!F3204</f>
        <v>0</v>
      </c>
      <c r="H3295" s="4">
        <f>'Raw data'!G3204</f>
        <v>0</v>
      </c>
      <c r="I3295" s="29" t="e">
        <f>VLOOKUP(G3295,제품명!$C$1:$E$114,2,0)</f>
        <v>#N/A</v>
      </c>
      <c r="J3295" s="29">
        <f>'Raw data'!K3204</f>
        <v>0</v>
      </c>
      <c r="K3295" s="31">
        <f>'Raw data'!H3204</f>
        <v>0</v>
      </c>
      <c r="L3295" s="26">
        <f t="shared" si="106"/>
        <v>0</v>
      </c>
    </row>
    <row r="3296" spans="2:12">
      <c r="B3296" s="4" t="e">
        <f t="shared" si="105"/>
        <v>#N/A</v>
      </c>
      <c r="C3296" s="4">
        <f>'Raw data'!E2872</f>
        <v>0</v>
      </c>
      <c r="D3296" s="29" t="e">
        <f>VLOOKUP(C3296,'점포코드 '!A:B,2,0)</f>
        <v>#N/A</v>
      </c>
      <c r="E3296" s="30">
        <f>'Raw data'!P2872</f>
        <v>0</v>
      </c>
      <c r="F3296" s="29" t="e">
        <f>VLOOKUP(E3296,'점포코드 '!A:B,2,0)</f>
        <v>#N/A</v>
      </c>
      <c r="G3296" s="46">
        <f>'Raw data'!F3205</f>
        <v>0</v>
      </c>
      <c r="H3296" s="4">
        <f>'Raw data'!G3205</f>
        <v>0</v>
      </c>
      <c r="I3296" s="29" t="e">
        <f>VLOOKUP(G3296,제품명!$C$1:$E$114,2,0)</f>
        <v>#N/A</v>
      </c>
      <c r="J3296" s="29">
        <f>'Raw data'!K3205</f>
        <v>0</v>
      </c>
      <c r="K3296" s="31">
        <f>'Raw data'!H3205</f>
        <v>0</v>
      </c>
      <c r="L3296" s="26">
        <f t="shared" si="106"/>
        <v>0</v>
      </c>
    </row>
    <row r="3297" spans="2:12">
      <c r="B3297" s="4" t="e">
        <f t="shared" si="105"/>
        <v>#N/A</v>
      </c>
      <c r="C3297" s="4">
        <f>'Raw data'!E2873</f>
        <v>0</v>
      </c>
      <c r="D3297" s="29" t="e">
        <f>VLOOKUP(C3297,'점포코드 '!A:B,2,0)</f>
        <v>#N/A</v>
      </c>
      <c r="E3297" s="30">
        <f>'Raw data'!P2873</f>
        <v>0</v>
      </c>
      <c r="F3297" s="29" t="e">
        <f>VLOOKUP(E3297,'점포코드 '!A:B,2,0)</f>
        <v>#N/A</v>
      </c>
      <c r="G3297" s="46">
        <f>'Raw data'!F3206</f>
        <v>0</v>
      </c>
      <c r="H3297" s="4">
        <f>'Raw data'!G3206</f>
        <v>0</v>
      </c>
      <c r="I3297" s="29" t="e">
        <f>VLOOKUP(G3297,제품명!$C$1:$E$114,2,0)</f>
        <v>#N/A</v>
      </c>
      <c r="J3297" s="29">
        <f>'Raw data'!K3206</f>
        <v>0</v>
      </c>
      <c r="K3297" s="31">
        <f>'Raw data'!H3206</f>
        <v>0</v>
      </c>
      <c r="L3297" s="26">
        <f t="shared" si="106"/>
        <v>0</v>
      </c>
    </row>
    <row r="3298" spans="2:12">
      <c r="B3298" s="4" t="e">
        <f t="shared" si="105"/>
        <v>#N/A</v>
      </c>
      <c r="C3298" s="4">
        <f>'Raw data'!E2874</f>
        <v>0</v>
      </c>
      <c r="D3298" s="29" t="e">
        <f>VLOOKUP(C3298,'점포코드 '!A:B,2,0)</f>
        <v>#N/A</v>
      </c>
      <c r="E3298" s="30">
        <f>'Raw data'!P2874</f>
        <v>0</v>
      </c>
      <c r="F3298" s="29" t="e">
        <f>VLOOKUP(E3298,'점포코드 '!A:B,2,0)</f>
        <v>#N/A</v>
      </c>
      <c r="G3298" s="46">
        <f>'Raw data'!F3207</f>
        <v>0</v>
      </c>
      <c r="H3298" s="4">
        <f>'Raw data'!G3207</f>
        <v>0</v>
      </c>
      <c r="I3298" s="29" t="e">
        <f>VLOOKUP(G3298,제품명!$C$1:$E$114,2,0)</f>
        <v>#N/A</v>
      </c>
      <c r="J3298" s="29">
        <f>'Raw data'!K3207</f>
        <v>0</v>
      </c>
      <c r="K3298" s="31">
        <f>'Raw data'!H3207</f>
        <v>0</v>
      </c>
      <c r="L3298" s="26">
        <f t="shared" si="106"/>
        <v>0</v>
      </c>
    </row>
    <row r="3299" spans="2:12">
      <c r="B3299" s="4" t="e">
        <f t="shared" si="105"/>
        <v>#N/A</v>
      </c>
      <c r="C3299" s="4">
        <f>'Raw data'!E2875</f>
        <v>0</v>
      </c>
      <c r="D3299" s="29" t="e">
        <f>VLOOKUP(C3299,'점포코드 '!A:B,2,0)</f>
        <v>#N/A</v>
      </c>
      <c r="E3299" s="30">
        <f>'Raw data'!P2875</f>
        <v>0</v>
      </c>
      <c r="F3299" s="29" t="e">
        <f>VLOOKUP(E3299,'점포코드 '!A:B,2,0)</f>
        <v>#N/A</v>
      </c>
      <c r="G3299" s="46">
        <f>'Raw data'!F3208</f>
        <v>0</v>
      </c>
      <c r="H3299" s="4">
        <f>'Raw data'!G3208</f>
        <v>0</v>
      </c>
      <c r="I3299" s="29" t="e">
        <f>VLOOKUP(G3299,제품명!$C$1:$E$114,2,0)</f>
        <v>#N/A</v>
      </c>
      <c r="J3299" s="29">
        <f>'Raw data'!K3208</f>
        <v>0</v>
      </c>
      <c r="K3299" s="31">
        <f>'Raw data'!H3208</f>
        <v>0</v>
      </c>
      <c r="L3299" s="26">
        <f t="shared" si="106"/>
        <v>0</v>
      </c>
    </row>
    <row r="3300" spans="2:12">
      <c r="B3300" s="4" t="e">
        <f t="shared" si="105"/>
        <v>#N/A</v>
      </c>
      <c r="C3300" s="4">
        <f>'Raw data'!E2876</f>
        <v>0</v>
      </c>
      <c r="D3300" s="29" t="e">
        <f>VLOOKUP(C3300,'점포코드 '!A:B,2,0)</f>
        <v>#N/A</v>
      </c>
      <c r="E3300" s="30">
        <f>'Raw data'!P2876</f>
        <v>0</v>
      </c>
      <c r="F3300" s="29" t="e">
        <f>VLOOKUP(E3300,'점포코드 '!A:B,2,0)</f>
        <v>#N/A</v>
      </c>
      <c r="G3300" s="46">
        <f>'Raw data'!F3209</f>
        <v>0</v>
      </c>
      <c r="H3300" s="4">
        <f>'Raw data'!G3209</f>
        <v>0</v>
      </c>
      <c r="I3300" s="29" t="e">
        <f>VLOOKUP(G3300,제품명!$C$1:$E$114,2,0)</f>
        <v>#N/A</v>
      </c>
      <c r="J3300" s="29">
        <f>'Raw data'!K3209</f>
        <v>0</v>
      </c>
      <c r="K3300" s="31">
        <f>'Raw data'!H3209</f>
        <v>0</v>
      </c>
      <c r="L3300" s="26">
        <f t="shared" si="106"/>
        <v>0</v>
      </c>
    </row>
    <row r="3301" spans="2:12">
      <c r="B3301" s="4" t="e">
        <f t="shared" si="105"/>
        <v>#N/A</v>
      </c>
      <c r="C3301" s="4">
        <f>'Raw data'!E2877</f>
        <v>0</v>
      </c>
      <c r="D3301" s="29" t="e">
        <f>VLOOKUP(C3301,'점포코드 '!A:B,2,0)</f>
        <v>#N/A</v>
      </c>
      <c r="E3301" s="30">
        <f>'Raw data'!P2877</f>
        <v>0</v>
      </c>
      <c r="F3301" s="29" t="e">
        <f>VLOOKUP(E3301,'점포코드 '!A:B,2,0)</f>
        <v>#N/A</v>
      </c>
      <c r="G3301" s="46">
        <f>'Raw data'!F3210</f>
        <v>0</v>
      </c>
      <c r="H3301" s="4">
        <f>'Raw data'!G3210</f>
        <v>0</v>
      </c>
      <c r="I3301" s="29" t="e">
        <f>VLOOKUP(G3301,제품명!$C$1:$E$114,2,0)</f>
        <v>#N/A</v>
      </c>
      <c r="J3301" s="29">
        <f>'Raw data'!K3210</f>
        <v>0</v>
      </c>
      <c r="K3301" s="31">
        <f>'Raw data'!H3210</f>
        <v>0</v>
      </c>
      <c r="L3301" s="26">
        <f t="shared" si="106"/>
        <v>0</v>
      </c>
    </row>
    <row r="3302" spans="2:12">
      <c r="B3302" s="4" t="e">
        <f t="shared" si="105"/>
        <v>#N/A</v>
      </c>
      <c r="C3302" s="4">
        <f>'Raw data'!E2878</f>
        <v>0</v>
      </c>
      <c r="D3302" s="29" t="e">
        <f>VLOOKUP(C3302,'점포코드 '!A:B,2,0)</f>
        <v>#N/A</v>
      </c>
      <c r="E3302" s="30">
        <f>'Raw data'!P2878</f>
        <v>0</v>
      </c>
      <c r="F3302" s="29" t="e">
        <f>VLOOKUP(E3302,'점포코드 '!A:B,2,0)</f>
        <v>#N/A</v>
      </c>
      <c r="G3302" s="46">
        <f>'Raw data'!F3211</f>
        <v>0</v>
      </c>
      <c r="H3302" s="4">
        <f>'Raw data'!G3211</f>
        <v>0</v>
      </c>
      <c r="I3302" s="29" t="e">
        <f>VLOOKUP(G3302,제품명!$C$1:$E$114,2,0)</f>
        <v>#N/A</v>
      </c>
      <c r="J3302" s="29">
        <f>'Raw data'!K3211</f>
        <v>0</v>
      </c>
      <c r="K3302" s="31">
        <f>'Raw data'!H3211</f>
        <v>0</v>
      </c>
      <c r="L3302" s="26">
        <f t="shared" si="106"/>
        <v>0</v>
      </c>
    </row>
    <row r="3303" spans="2:12">
      <c r="B3303" s="4" t="e">
        <f t="shared" si="105"/>
        <v>#N/A</v>
      </c>
      <c r="C3303" s="4">
        <f>'Raw data'!E2879</f>
        <v>0</v>
      </c>
      <c r="D3303" s="29" t="e">
        <f>VLOOKUP(C3303,'점포코드 '!A:B,2,0)</f>
        <v>#N/A</v>
      </c>
      <c r="E3303" s="30">
        <f>'Raw data'!P2879</f>
        <v>0</v>
      </c>
      <c r="F3303" s="29" t="e">
        <f>VLOOKUP(E3303,'점포코드 '!A:B,2,0)</f>
        <v>#N/A</v>
      </c>
      <c r="G3303" s="46">
        <f>'Raw data'!F3212</f>
        <v>0</v>
      </c>
      <c r="H3303" s="4">
        <f>'Raw data'!G3212</f>
        <v>0</v>
      </c>
      <c r="I3303" s="29" t="e">
        <f>VLOOKUP(G3303,제품명!$C$1:$E$114,2,0)</f>
        <v>#N/A</v>
      </c>
      <c r="J3303" s="29">
        <f>'Raw data'!K3212</f>
        <v>0</v>
      </c>
      <c r="K3303" s="31">
        <f>'Raw data'!H3212</f>
        <v>0</v>
      </c>
      <c r="L3303" s="26">
        <f t="shared" si="106"/>
        <v>0</v>
      </c>
    </row>
    <row r="3304" spans="2:12">
      <c r="B3304" s="4" t="e">
        <f t="shared" si="105"/>
        <v>#N/A</v>
      </c>
      <c r="C3304" s="4">
        <f>'Raw data'!E2880</f>
        <v>0</v>
      </c>
      <c r="D3304" s="29" t="e">
        <f>VLOOKUP(C3304,'점포코드 '!A:B,2,0)</f>
        <v>#N/A</v>
      </c>
      <c r="E3304" s="30">
        <f>'Raw data'!P2880</f>
        <v>0</v>
      </c>
      <c r="F3304" s="29" t="e">
        <f>VLOOKUP(E3304,'점포코드 '!A:B,2,0)</f>
        <v>#N/A</v>
      </c>
      <c r="G3304" s="46">
        <f>'Raw data'!F3213</f>
        <v>0</v>
      </c>
      <c r="H3304" s="4">
        <f>'Raw data'!G3213</f>
        <v>0</v>
      </c>
      <c r="I3304" s="29" t="e">
        <f>VLOOKUP(G3304,제품명!$C$1:$E$114,2,0)</f>
        <v>#N/A</v>
      </c>
      <c r="J3304" s="29">
        <f>'Raw data'!K3213</f>
        <v>0</v>
      </c>
      <c r="K3304" s="31">
        <f>'Raw data'!H3213</f>
        <v>0</v>
      </c>
      <c r="L3304" s="26">
        <f t="shared" si="106"/>
        <v>0</v>
      </c>
    </row>
    <row r="3305" spans="2:12">
      <c r="B3305" s="4" t="e">
        <f t="shared" si="105"/>
        <v>#N/A</v>
      </c>
      <c r="C3305" s="4">
        <f>'Raw data'!E2881</f>
        <v>0</v>
      </c>
      <c r="D3305" s="29" t="e">
        <f>VLOOKUP(C3305,'점포코드 '!A:B,2,0)</f>
        <v>#N/A</v>
      </c>
      <c r="E3305" s="30">
        <f>'Raw data'!P2881</f>
        <v>0</v>
      </c>
      <c r="F3305" s="29" t="e">
        <f>VLOOKUP(E3305,'점포코드 '!A:B,2,0)</f>
        <v>#N/A</v>
      </c>
      <c r="G3305" s="46">
        <f>'Raw data'!F3214</f>
        <v>0</v>
      </c>
      <c r="H3305" s="4">
        <f>'Raw data'!G3214</f>
        <v>0</v>
      </c>
      <c r="I3305" s="29" t="e">
        <f>VLOOKUP(G3305,제품명!$C$1:$E$114,2,0)</f>
        <v>#N/A</v>
      </c>
      <c r="J3305" s="29">
        <f>'Raw data'!K3214</f>
        <v>0</v>
      </c>
      <c r="K3305" s="31">
        <f>'Raw data'!H3214</f>
        <v>0</v>
      </c>
      <c r="L3305" s="26">
        <f t="shared" si="106"/>
        <v>0</v>
      </c>
    </row>
    <row r="3306" spans="2:12">
      <c r="B3306" s="4" t="e">
        <f t="shared" si="105"/>
        <v>#N/A</v>
      </c>
      <c r="C3306" s="4">
        <f>'Raw data'!E2882</f>
        <v>0</v>
      </c>
      <c r="D3306" s="29" t="e">
        <f>VLOOKUP(C3306,'점포코드 '!A:B,2,0)</f>
        <v>#N/A</v>
      </c>
      <c r="E3306" s="30">
        <f>'Raw data'!P2882</f>
        <v>0</v>
      </c>
      <c r="F3306" s="29" t="e">
        <f>VLOOKUP(E3306,'점포코드 '!A:B,2,0)</f>
        <v>#N/A</v>
      </c>
      <c r="G3306" s="46">
        <f>'Raw data'!F3215</f>
        <v>0</v>
      </c>
      <c r="H3306" s="4">
        <f>'Raw data'!G3215</f>
        <v>0</v>
      </c>
      <c r="I3306" s="29" t="e">
        <f>VLOOKUP(G3306,제품명!$C$1:$E$114,2,0)</f>
        <v>#N/A</v>
      </c>
      <c r="J3306" s="29">
        <f>'Raw data'!K3215</f>
        <v>0</v>
      </c>
      <c r="K3306" s="31">
        <f>'Raw data'!H3215</f>
        <v>0</v>
      </c>
      <c r="L3306" s="26">
        <f t="shared" si="106"/>
        <v>0</v>
      </c>
    </row>
    <row r="3307" spans="2:12">
      <c r="B3307" s="4" t="e">
        <f t="shared" si="105"/>
        <v>#N/A</v>
      </c>
      <c r="C3307" s="4">
        <f>'Raw data'!E2883</f>
        <v>0</v>
      </c>
      <c r="D3307" s="29" t="e">
        <f>VLOOKUP(C3307,'점포코드 '!A:B,2,0)</f>
        <v>#N/A</v>
      </c>
      <c r="E3307" s="30">
        <f>'Raw data'!P2883</f>
        <v>0</v>
      </c>
      <c r="F3307" s="29" t="e">
        <f>VLOOKUP(E3307,'점포코드 '!A:B,2,0)</f>
        <v>#N/A</v>
      </c>
      <c r="G3307" s="46">
        <f>'Raw data'!F3216</f>
        <v>0</v>
      </c>
      <c r="H3307" s="4">
        <f>'Raw data'!G3216</f>
        <v>0</v>
      </c>
      <c r="I3307" s="29" t="e">
        <f>VLOOKUP(G3307,제품명!$C$1:$E$114,2,0)</f>
        <v>#N/A</v>
      </c>
      <c r="J3307" s="29">
        <f>'Raw data'!K3216</f>
        <v>0</v>
      </c>
      <c r="K3307" s="31">
        <f>'Raw data'!H3216</f>
        <v>0</v>
      </c>
      <c r="L3307" s="26">
        <f t="shared" si="106"/>
        <v>0</v>
      </c>
    </row>
    <row r="3308" spans="2:12">
      <c r="B3308" s="4" t="e">
        <f t="shared" si="105"/>
        <v>#N/A</v>
      </c>
      <c r="C3308" s="4">
        <f>'Raw data'!E2884</f>
        <v>0</v>
      </c>
      <c r="D3308" s="29" t="e">
        <f>VLOOKUP(C3308,'점포코드 '!A:B,2,0)</f>
        <v>#N/A</v>
      </c>
      <c r="E3308" s="30">
        <f>'Raw data'!P2884</f>
        <v>0</v>
      </c>
      <c r="F3308" s="29" t="e">
        <f>VLOOKUP(E3308,'점포코드 '!A:B,2,0)</f>
        <v>#N/A</v>
      </c>
      <c r="G3308" s="46">
        <f>'Raw data'!F3217</f>
        <v>0</v>
      </c>
      <c r="H3308" s="4">
        <f>'Raw data'!G3217</f>
        <v>0</v>
      </c>
      <c r="I3308" s="29" t="e">
        <f>VLOOKUP(G3308,제품명!$C$1:$E$114,2,0)</f>
        <v>#N/A</v>
      </c>
      <c r="J3308" s="29">
        <f>'Raw data'!K3217</f>
        <v>0</v>
      </c>
      <c r="K3308" s="31">
        <f>'Raw data'!H3217</f>
        <v>0</v>
      </c>
      <c r="L3308" s="26">
        <f t="shared" si="106"/>
        <v>0</v>
      </c>
    </row>
    <row r="3309" spans="2:12">
      <c r="B3309" s="4" t="e">
        <f t="shared" si="105"/>
        <v>#N/A</v>
      </c>
      <c r="C3309" s="4">
        <f>'Raw data'!E2885</f>
        <v>0</v>
      </c>
      <c r="D3309" s="29" t="e">
        <f>VLOOKUP(C3309,'점포코드 '!A:B,2,0)</f>
        <v>#N/A</v>
      </c>
      <c r="E3309" s="30">
        <f>'Raw data'!P2885</f>
        <v>0</v>
      </c>
      <c r="F3309" s="29" t="e">
        <f>VLOOKUP(E3309,'점포코드 '!A:B,2,0)</f>
        <v>#N/A</v>
      </c>
      <c r="G3309" s="46">
        <f>'Raw data'!F3218</f>
        <v>0</v>
      </c>
      <c r="H3309" s="4">
        <f>'Raw data'!G3218</f>
        <v>0</v>
      </c>
      <c r="I3309" s="29" t="e">
        <f>VLOOKUP(G3309,제품명!$C$1:$E$114,2,0)</f>
        <v>#N/A</v>
      </c>
      <c r="J3309" s="29">
        <f>'Raw data'!K3218</f>
        <v>0</v>
      </c>
      <c r="K3309" s="31">
        <f>'Raw data'!H3218</f>
        <v>0</v>
      </c>
      <c r="L3309" s="26">
        <f t="shared" si="106"/>
        <v>0</v>
      </c>
    </row>
    <row r="3310" spans="2:12">
      <c r="B3310" s="4" t="e">
        <f t="shared" si="105"/>
        <v>#N/A</v>
      </c>
      <c r="C3310" s="4">
        <f>'Raw data'!E2886</f>
        <v>0</v>
      </c>
      <c r="D3310" s="29" t="e">
        <f>VLOOKUP(C3310,'점포코드 '!A:B,2,0)</f>
        <v>#N/A</v>
      </c>
      <c r="E3310" s="30">
        <f>'Raw data'!P2886</f>
        <v>0</v>
      </c>
      <c r="F3310" s="29" t="e">
        <f>VLOOKUP(E3310,'점포코드 '!A:B,2,0)</f>
        <v>#N/A</v>
      </c>
      <c r="G3310" s="46">
        <f>'Raw data'!F3219</f>
        <v>0</v>
      </c>
      <c r="H3310" s="4">
        <f>'Raw data'!G3219</f>
        <v>0</v>
      </c>
      <c r="I3310" s="29" t="e">
        <f>VLOOKUP(G3310,제품명!$C$1:$E$114,2,0)</f>
        <v>#N/A</v>
      </c>
      <c r="J3310" s="29">
        <f>'Raw data'!K3219</f>
        <v>0</v>
      </c>
      <c r="K3310" s="31">
        <f>'Raw data'!H3219</f>
        <v>0</v>
      </c>
      <c r="L3310" s="26">
        <f t="shared" si="106"/>
        <v>0</v>
      </c>
    </row>
    <row r="3311" spans="2:12">
      <c r="B3311" s="4" t="e">
        <f t="shared" si="105"/>
        <v>#N/A</v>
      </c>
      <c r="C3311" s="4">
        <f>'Raw data'!E2887</f>
        <v>0</v>
      </c>
      <c r="D3311" s="29" t="e">
        <f>VLOOKUP(C3311,'점포코드 '!A:B,2,0)</f>
        <v>#N/A</v>
      </c>
      <c r="E3311" s="30">
        <f>'Raw data'!P2887</f>
        <v>0</v>
      </c>
      <c r="F3311" s="29" t="e">
        <f>VLOOKUP(E3311,'점포코드 '!A:B,2,0)</f>
        <v>#N/A</v>
      </c>
      <c r="G3311" s="46">
        <f>'Raw data'!F3220</f>
        <v>0</v>
      </c>
      <c r="H3311" s="4">
        <f>'Raw data'!G3220</f>
        <v>0</v>
      </c>
      <c r="I3311" s="29" t="e">
        <f>VLOOKUP(G3311,제품명!$C$1:$E$114,2,0)</f>
        <v>#N/A</v>
      </c>
      <c r="J3311" s="29">
        <f>'Raw data'!K3220</f>
        <v>0</v>
      </c>
      <c r="K3311" s="31">
        <f>'Raw data'!H3220</f>
        <v>0</v>
      </c>
      <c r="L3311" s="26">
        <f t="shared" si="106"/>
        <v>0</v>
      </c>
    </row>
    <row r="3312" spans="2:12">
      <c r="B3312" s="4" t="e">
        <f t="shared" si="105"/>
        <v>#N/A</v>
      </c>
      <c r="C3312" s="4">
        <f>'Raw data'!E2888</f>
        <v>0</v>
      </c>
      <c r="D3312" s="29" t="e">
        <f>VLOOKUP(C3312,'점포코드 '!A:B,2,0)</f>
        <v>#N/A</v>
      </c>
      <c r="E3312" s="30">
        <f>'Raw data'!P2888</f>
        <v>0</v>
      </c>
      <c r="F3312" s="29" t="e">
        <f>VLOOKUP(E3312,'점포코드 '!A:B,2,0)</f>
        <v>#N/A</v>
      </c>
      <c r="G3312" s="46">
        <f>'Raw data'!F3221</f>
        <v>0</v>
      </c>
      <c r="H3312" s="4">
        <f>'Raw data'!G3221</f>
        <v>0</v>
      </c>
      <c r="I3312" s="29" t="e">
        <f>VLOOKUP(G3312,제품명!$C$1:$E$114,2,0)</f>
        <v>#N/A</v>
      </c>
      <c r="J3312" s="29">
        <f>'Raw data'!K3221</f>
        <v>0</v>
      </c>
      <c r="K3312" s="31">
        <f>'Raw data'!H3221</f>
        <v>0</v>
      </c>
      <c r="L3312" s="26">
        <f t="shared" si="106"/>
        <v>0</v>
      </c>
    </row>
    <row r="3313" spans="2:12">
      <c r="B3313" s="4" t="e">
        <f t="shared" si="105"/>
        <v>#N/A</v>
      </c>
      <c r="C3313" s="4">
        <f>'Raw data'!E2889</f>
        <v>0</v>
      </c>
      <c r="D3313" s="29" t="e">
        <f>VLOOKUP(C3313,'점포코드 '!A:B,2,0)</f>
        <v>#N/A</v>
      </c>
      <c r="E3313" s="30">
        <f>'Raw data'!P2889</f>
        <v>0</v>
      </c>
      <c r="F3313" s="29" t="e">
        <f>VLOOKUP(E3313,'점포코드 '!A:B,2,0)</f>
        <v>#N/A</v>
      </c>
      <c r="G3313" s="46">
        <f>'Raw data'!F3222</f>
        <v>0</v>
      </c>
      <c r="H3313" s="4">
        <f>'Raw data'!G3222</f>
        <v>0</v>
      </c>
      <c r="I3313" s="29" t="e">
        <f>VLOOKUP(G3313,제품명!$C$1:$E$114,2,0)</f>
        <v>#N/A</v>
      </c>
      <c r="J3313" s="29">
        <f>'Raw data'!K3222</f>
        <v>0</v>
      </c>
      <c r="K3313" s="31">
        <f>'Raw data'!H3222</f>
        <v>0</v>
      </c>
      <c r="L3313" s="26">
        <f t="shared" si="106"/>
        <v>0</v>
      </c>
    </row>
    <row r="3314" spans="2:12">
      <c r="B3314" s="4" t="e">
        <f t="shared" si="105"/>
        <v>#N/A</v>
      </c>
      <c r="C3314" s="4">
        <f>'Raw data'!E2890</f>
        <v>0</v>
      </c>
      <c r="D3314" s="29" t="e">
        <f>VLOOKUP(C3314,'점포코드 '!A:B,2,0)</f>
        <v>#N/A</v>
      </c>
      <c r="E3314" s="30">
        <f>'Raw data'!P2890</f>
        <v>0</v>
      </c>
      <c r="F3314" s="29" t="e">
        <f>VLOOKUP(E3314,'점포코드 '!A:B,2,0)</f>
        <v>#N/A</v>
      </c>
      <c r="G3314" s="46">
        <f>'Raw data'!F3223</f>
        <v>0</v>
      </c>
      <c r="H3314" s="4">
        <f>'Raw data'!G3223</f>
        <v>0</v>
      </c>
      <c r="I3314" s="29" t="e">
        <f>VLOOKUP(G3314,제품명!$C$1:$E$114,2,0)</f>
        <v>#N/A</v>
      </c>
      <c r="J3314" s="29">
        <f>'Raw data'!K3223</f>
        <v>0</v>
      </c>
      <c r="K3314" s="31">
        <f>'Raw data'!H3223</f>
        <v>0</v>
      </c>
      <c r="L3314" s="26">
        <f t="shared" si="106"/>
        <v>0</v>
      </c>
    </row>
    <row r="3315" spans="2:12">
      <c r="B3315" s="4" t="e">
        <f t="shared" si="105"/>
        <v>#N/A</v>
      </c>
      <c r="C3315" s="4">
        <f>'Raw data'!E2891</f>
        <v>0</v>
      </c>
      <c r="D3315" s="29" t="e">
        <f>VLOOKUP(C3315,'점포코드 '!A:B,2,0)</f>
        <v>#N/A</v>
      </c>
      <c r="E3315" s="30">
        <f>'Raw data'!P2891</f>
        <v>0</v>
      </c>
      <c r="F3315" s="29" t="e">
        <f>VLOOKUP(E3315,'점포코드 '!A:B,2,0)</f>
        <v>#N/A</v>
      </c>
      <c r="G3315" s="46">
        <f>'Raw data'!F3224</f>
        <v>0</v>
      </c>
      <c r="H3315" s="4">
        <f>'Raw data'!G3224</f>
        <v>0</v>
      </c>
      <c r="I3315" s="29" t="e">
        <f>VLOOKUP(G3315,제품명!$C$1:$E$114,2,0)</f>
        <v>#N/A</v>
      </c>
      <c r="J3315" s="29">
        <f>'Raw data'!K3224</f>
        <v>0</v>
      </c>
      <c r="K3315" s="31">
        <f>'Raw data'!H3224</f>
        <v>0</v>
      </c>
      <c r="L3315" s="26">
        <f t="shared" si="106"/>
        <v>0</v>
      </c>
    </row>
    <row r="3316" spans="2:12">
      <c r="B3316" s="4" t="e">
        <f t="shared" si="105"/>
        <v>#N/A</v>
      </c>
      <c r="C3316" s="4">
        <f>'Raw data'!E2892</f>
        <v>0</v>
      </c>
      <c r="D3316" s="29" t="e">
        <f>VLOOKUP(C3316,'점포코드 '!A:B,2,0)</f>
        <v>#N/A</v>
      </c>
      <c r="E3316" s="30">
        <f>'Raw data'!P2892</f>
        <v>0</v>
      </c>
      <c r="F3316" s="29" t="e">
        <f>VLOOKUP(E3316,'점포코드 '!A:B,2,0)</f>
        <v>#N/A</v>
      </c>
      <c r="G3316" s="46">
        <f>'Raw data'!F3225</f>
        <v>0</v>
      </c>
      <c r="H3316" s="4">
        <f>'Raw data'!G3225</f>
        <v>0</v>
      </c>
      <c r="I3316" s="29" t="e">
        <f>VLOOKUP(G3316,제품명!$C$1:$E$114,2,0)</f>
        <v>#N/A</v>
      </c>
      <c r="J3316" s="29">
        <f>'Raw data'!K3225</f>
        <v>0</v>
      </c>
      <c r="K3316" s="31">
        <f>'Raw data'!H3225</f>
        <v>0</v>
      </c>
      <c r="L3316" s="26">
        <f t="shared" si="106"/>
        <v>0</v>
      </c>
    </row>
    <row r="3317" spans="2:12">
      <c r="B3317" s="4" t="e">
        <f t="shared" si="105"/>
        <v>#N/A</v>
      </c>
      <c r="C3317" s="4">
        <f>'Raw data'!E2893</f>
        <v>0</v>
      </c>
      <c r="D3317" s="29" t="e">
        <f>VLOOKUP(C3317,'점포코드 '!A:B,2,0)</f>
        <v>#N/A</v>
      </c>
      <c r="E3317" s="30">
        <f>'Raw data'!P2893</f>
        <v>0</v>
      </c>
      <c r="F3317" s="29" t="e">
        <f>VLOOKUP(E3317,'점포코드 '!A:B,2,0)</f>
        <v>#N/A</v>
      </c>
      <c r="G3317" s="46">
        <f>'Raw data'!F3226</f>
        <v>0</v>
      </c>
      <c r="H3317" s="4">
        <f>'Raw data'!G3226</f>
        <v>0</v>
      </c>
      <c r="I3317" s="29" t="e">
        <f>VLOOKUP(G3317,제품명!$C$1:$E$114,2,0)</f>
        <v>#N/A</v>
      </c>
      <c r="J3317" s="29">
        <f>'Raw data'!K3226</f>
        <v>0</v>
      </c>
      <c r="K3317" s="31">
        <f>'Raw data'!H3226</f>
        <v>0</v>
      </c>
      <c r="L3317" s="26">
        <f t="shared" si="106"/>
        <v>0</v>
      </c>
    </row>
    <row r="3318" spans="2:12">
      <c r="B3318" s="4" t="e">
        <f t="shared" si="105"/>
        <v>#N/A</v>
      </c>
      <c r="C3318" s="4">
        <f>'Raw data'!E2894</f>
        <v>0</v>
      </c>
      <c r="D3318" s="29" t="e">
        <f>VLOOKUP(C3318,'점포코드 '!A:B,2,0)</f>
        <v>#N/A</v>
      </c>
      <c r="E3318" s="30">
        <f>'Raw data'!P2894</f>
        <v>0</v>
      </c>
      <c r="F3318" s="29" t="e">
        <f>VLOOKUP(E3318,'점포코드 '!A:B,2,0)</f>
        <v>#N/A</v>
      </c>
      <c r="G3318" s="46">
        <f>'Raw data'!F3227</f>
        <v>0</v>
      </c>
      <c r="H3318" s="4">
        <f>'Raw data'!G3227</f>
        <v>0</v>
      </c>
      <c r="I3318" s="29" t="e">
        <f>VLOOKUP(G3318,제품명!$C$1:$E$114,2,0)</f>
        <v>#N/A</v>
      </c>
      <c r="J3318" s="29">
        <f>'Raw data'!K3227</f>
        <v>0</v>
      </c>
      <c r="K3318" s="31">
        <f>'Raw data'!H3227</f>
        <v>0</v>
      </c>
      <c r="L3318" s="26">
        <f t="shared" si="106"/>
        <v>0</v>
      </c>
    </row>
    <row r="3319" spans="2:12">
      <c r="B3319" s="4" t="e">
        <f t="shared" si="105"/>
        <v>#N/A</v>
      </c>
      <c r="C3319" s="4">
        <f>'Raw data'!E2895</f>
        <v>0</v>
      </c>
      <c r="D3319" s="29" t="e">
        <f>VLOOKUP(C3319,'점포코드 '!A:B,2,0)</f>
        <v>#N/A</v>
      </c>
      <c r="E3319" s="30">
        <f>'Raw data'!P2895</f>
        <v>0</v>
      </c>
      <c r="F3319" s="29" t="e">
        <f>VLOOKUP(E3319,'점포코드 '!A:B,2,0)</f>
        <v>#N/A</v>
      </c>
      <c r="G3319" s="46">
        <f>'Raw data'!F3228</f>
        <v>0</v>
      </c>
      <c r="H3319" s="4">
        <f>'Raw data'!G3228</f>
        <v>0</v>
      </c>
      <c r="I3319" s="29" t="e">
        <f>VLOOKUP(G3319,제품명!$C$1:$E$114,2,0)</f>
        <v>#N/A</v>
      </c>
      <c r="J3319" s="29">
        <f>'Raw data'!K3228</f>
        <v>0</v>
      </c>
      <c r="K3319" s="31">
        <f>'Raw data'!H3228</f>
        <v>0</v>
      </c>
      <c r="L3319" s="26">
        <f t="shared" si="106"/>
        <v>0</v>
      </c>
    </row>
    <row r="3320" spans="2:12">
      <c r="B3320" s="4" t="e">
        <f t="shared" si="105"/>
        <v>#N/A</v>
      </c>
      <c r="C3320" s="4">
        <f>'Raw data'!E2896</f>
        <v>0</v>
      </c>
      <c r="D3320" s="29" t="e">
        <f>VLOOKUP(C3320,'점포코드 '!A:B,2,0)</f>
        <v>#N/A</v>
      </c>
      <c r="E3320" s="30">
        <f>'Raw data'!P2896</f>
        <v>0</v>
      </c>
      <c r="F3320" s="29" t="e">
        <f>VLOOKUP(E3320,'점포코드 '!A:B,2,0)</f>
        <v>#N/A</v>
      </c>
      <c r="G3320" s="46">
        <f>'Raw data'!F3229</f>
        <v>0</v>
      </c>
      <c r="H3320" s="4">
        <f>'Raw data'!G3229</f>
        <v>0</v>
      </c>
      <c r="I3320" s="29" t="e">
        <f>VLOOKUP(G3320,제품명!$C$1:$E$114,2,0)</f>
        <v>#N/A</v>
      </c>
      <c r="J3320" s="29">
        <f>'Raw data'!K3229</f>
        <v>0</v>
      </c>
      <c r="K3320" s="31">
        <f>'Raw data'!H3229</f>
        <v>0</v>
      </c>
      <c r="L3320" s="26">
        <f t="shared" si="106"/>
        <v>0</v>
      </c>
    </row>
    <row r="3321" spans="2:12">
      <c r="B3321" s="4" t="e">
        <f t="shared" si="105"/>
        <v>#N/A</v>
      </c>
      <c r="C3321" s="4">
        <f>'Raw data'!E2897</f>
        <v>0</v>
      </c>
      <c r="D3321" s="29" t="e">
        <f>VLOOKUP(C3321,'점포코드 '!A:B,2,0)</f>
        <v>#N/A</v>
      </c>
      <c r="E3321" s="30">
        <f>'Raw data'!P2897</f>
        <v>0</v>
      </c>
      <c r="F3321" s="29" t="e">
        <f>VLOOKUP(E3321,'점포코드 '!A:B,2,0)</f>
        <v>#N/A</v>
      </c>
      <c r="G3321" s="46">
        <f>'Raw data'!F3230</f>
        <v>0</v>
      </c>
      <c r="H3321" s="4">
        <f>'Raw data'!G3230</f>
        <v>0</v>
      </c>
      <c r="I3321" s="29" t="e">
        <f>VLOOKUP(G3321,제품명!$C$1:$E$114,2,0)</f>
        <v>#N/A</v>
      </c>
      <c r="J3321" s="29">
        <f>'Raw data'!K3230</f>
        <v>0</v>
      </c>
      <c r="K3321" s="31">
        <f>'Raw data'!H3230</f>
        <v>0</v>
      </c>
      <c r="L3321" s="26">
        <f t="shared" si="106"/>
        <v>0</v>
      </c>
    </row>
    <row r="3322" spans="2:12">
      <c r="B3322" s="4" t="e">
        <f t="shared" si="105"/>
        <v>#N/A</v>
      </c>
      <c r="C3322" s="4">
        <f>'Raw data'!E2898</f>
        <v>0</v>
      </c>
      <c r="D3322" s="29" t="e">
        <f>VLOOKUP(C3322,'점포코드 '!A:B,2,0)</f>
        <v>#N/A</v>
      </c>
      <c r="E3322" s="30">
        <f>'Raw data'!P2898</f>
        <v>0</v>
      </c>
      <c r="F3322" s="29" t="e">
        <f>VLOOKUP(E3322,'점포코드 '!A:B,2,0)</f>
        <v>#N/A</v>
      </c>
      <c r="G3322" s="46">
        <f>'Raw data'!F3231</f>
        <v>0</v>
      </c>
      <c r="H3322" s="4">
        <f>'Raw data'!G3231</f>
        <v>0</v>
      </c>
      <c r="I3322" s="29" t="e">
        <f>VLOOKUP(G3322,제품명!$C$1:$E$114,2,0)</f>
        <v>#N/A</v>
      </c>
      <c r="J3322" s="29">
        <f>'Raw data'!K3231</f>
        <v>0</v>
      </c>
      <c r="K3322" s="31">
        <f>'Raw data'!H3231</f>
        <v>0</v>
      </c>
      <c r="L3322" s="26">
        <f t="shared" si="106"/>
        <v>0</v>
      </c>
    </row>
    <row r="3323" spans="2:12">
      <c r="B3323" s="4" t="e">
        <f t="shared" si="105"/>
        <v>#N/A</v>
      </c>
      <c r="C3323" s="4">
        <f>'Raw data'!E2899</f>
        <v>0</v>
      </c>
      <c r="D3323" s="29" t="e">
        <f>VLOOKUP(C3323,'점포코드 '!A:B,2,0)</f>
        <v>#N/A</v>
      </c>
      <c r="E3323" s="30">
        <f>'Raw data'!P2899</f>
        <v>0</v>
      </c>
      <c r="F3323" s="29" t="e">
        <f>VLOOKUP(E3323,'점포코드 '!A:B,2,0)</f>
        <v>#N/A</v>
      </c>
      <c r="G3323" s="46">
        <f>'Raw data'!F3232</f>
        <v>0</v>
      </c>
      <c r="H3323" s="4">
        <f>'Raw data'!G3232</f>
        <v>0</v>
      </c>
      <c r="I3323" s="29" t="e">
        <f>VLOOKUP(G3323,제품명!$C$1:$E$114,2,0)</f>
        <v>#N/A</v>
      </c>
      <c r="J3323" s="29">
        <f>'Raw data'!K3232</f>
        <v>0</v>
      </c>
      <c r="K3323" s="31">
        <f>'Raw data'!H3232</f>
        <v>0</v>
      </c>
      <c r="L3323" s="26">
        <f t="shared" si="106"/>
        <v>0</v>
      </c>
    </row>
    <row r="3324" spans="2:12">
      <c r="B3324" s="4" t="e">
        <f t="shared" si="105"/>
        <v>#N/A</v>
      </c>
      <c r="C3324" s="4">
        <f>'Raw data'!E2900</f>
        <v>0</v>
      </c>
      <c r="D3324" s="29" t="e">
        <f>VLOOKUP(C3324,'점포코드 '!A:B,2,0)</f>
        <v>#N/A</v>
      </c>
      <c r="E3324" s="30">
        <f>'Raw data'!P2900</f>
        <v>0</v>
      </c>
      <c r="F3324" s="29" t="e">
        <f>VLOOKUP(E3324,'점포코드 '!A:B,2,0)</f>
        <v>#N/A</v>
      </c>
      <c r="G3324" s="46">
        <f>'Raw data'!F3233</f>
        <v>0</v>
      </c>
      <c r="H3324" s="4">
        <f>'Raw data'!G3233</f>
        <v>0</v>
      </c>
      <c r="I3324" s="29" t="e">
        <f>VLOOKUP(G3324,제품명!$C$1:$E$114,2,0)</f>
        <v>#N/A</v>
      </c>
      <c r="J3324" s="29">
        <f>'Raw data'!K3233</f>
        <v>0</v>
      </c>
      <c r="K3324" s="31">
        <f>'Raw data'!H3233</f>
        <v>0</v>
      </c>
      <c r="L3324" s="26">
        <f t="shared" si="106"/>
        <v>0</v>
      </c>
    </row>
    <row r="3325" spans="2:12">
      <c r="B3325" s="4" t="e">
        <f t="shared" si="105"/>
        <v>#N/A</v>
      </c>
      <c r="C3325" s="4">
        <f>'Raw data'!E2901</f>
        <v>0</v>
      </c>
      <c r="D3325" s="29" t="e">
        <f>VLOOKUP(C3325,'점포코드 '!A:B,2,0)</f>
        <v>#N/A</v>
      </c>
      <c r="E3325" s="30">
        <f>'Raw data'!P2901</f>
        <v>0</v>
      </c>
      <c r="F3325" s="29" t="e">
        <f>VLOOKUP(E3325,'점포코드 '!A:B,2,0)</f>
        <v>#N/A</v>
      </c>
      <c r="G3325" s="46">
        <f>'Raw data'!F3234</f>
        <v>0</v>
      </c>
      <c r="H3325" s="4">
        <f>'Raw data'!G3234</f>
        <v>0</v>
      </c>
      <c r="I3325" s="29" t="e">
        <f>VLOOKUP(G3325,제품명!$C$1:$E$114,2,0)</f>
        <v>#N/A</v>
      </c>
      <c r="J3325" s="29">
        <f>'Raw data'!K3234</f>
        <v>0</v>
      </c>
      <c r="K3325" s="31">
        <f>'Raw data'!H3234</f>
        <v>0</v>
      </c>
      <c r="L3325" s="26">
        <f t="shared" si="106"/>
        <v>0</v>
      </c>
    </row>
    <row r="3326" spans="2:12">
      <c r="B3326" s="4" t="e">
        <f t="shared" si="105"/>
        <v>#N/A</v>
      </c>
      <c r="C3326" s="4">
        <f>'Raw data'!E2902</f>
        <v>0</v>
      </c>
      <c r="D3326" s="29" t="e">
        <f>VLOOKUP(C3326,'점포코드 '!A:B,2,0)</f>
        <v>#N/A</v>
      </c>
      <c r="E3326" s="30">
        <f>'Raw data'!P2902</f>
        <v>0</v>
      </c>
      <c r="F3326" s="29" t="e">
        <f>VLOOKUP(E3326,'점포코드 '!A:B,2,0)</f>
        <v>#N/A</v>
      </c>
      <c r="G3326" s="46">
        <f>'Raw data'!F3235</f>
        <v>0</v>
      </c>
      <c r="H3326" s="4">
        <f>'Raw data'!G3235</f>
        <v>0</v>
      </c>
      <c r="I3326" s="29" t="e">
        <f>VLOOKUP(G3326,제품명!$C$1:$E$114,2,0)</f>
        <v>#N/A</v>
      </c>
      <c r="J3326" s="29">
        <f>'Raw data'!K3235</f>
        <v>0</v>
      </c>
      <c r="K3326" s="31">
        <f>'Raw data'!H3235</f>
        <v>0</v>
      </c>
      <c r="L3326" s="26">
        <f t="shared" si="106"/>
        <v>0</v>
      </c>
    </row>
    <row r="3327" spans="2:12">
      <c r="B3327" s="4" t="e">
        <f t="shared" si="105"/>
        <v>#N/A</v>
      </c>
      <c r="C3327" s="4">
        <f>'Raw data'!E2903</f>
        <v>0</v>
      </c>
      <c r="D3327" s="29" t="e">
        <f>VLOOKUP(C3327,'점포코드 '!A:B,2,0)</f>
        <v>#N/A</v>
      </c>
      <c r="E3327" s="30">
        <f>'Raw data'!P2903</f>
        <v>0</v>
      </c>
      <c r="F3327" s="29" t="e">
        <f>VLOOKUP(E3327,'점포코드 '!A:B,2,0)</f>
        <v>#N/A</v>
      </c>
      <c r="G3327" s="46">
        <f>'Raw data'!F3236</f>
        <v>0</v>
      </c>
      <c r="H3327" s="4">
        <f>'Raw data'!G3236</f>
        <v>0</v>
      </c>
      <c r="I3327" s="29" t="e">
        <f>VLOOKUP(G3327,제품명!$C$1:$E$114,2,0)</f>
        <v>#N/A</v>
      </c>
      <c r="J3327" s="29">
        <f>'Raw data'!K3236</f>
        <v>0</v>
      </c>
      <c r="K3327" s="31">
        <f>'Raw data'!H3236</f>
        <v>0</v>
      </c>
      <c r="L3327" s="26">
        <f t="shared" si="106"/>
        <v>0</v>
      </c>
    </row>
    <row r="3328" spans="2:12">
      <c r="B3328" s="4" t="e">
        <f t="shared" si="105"/>
        <v>#N/A</v>
      </c>
      <c r="C3328" s="4">
        <f>'Raw data'!E2904</f>
        <v>0</v>
      </c>
      <c r="D3328" s="29" t="e">
        <f>VLOOKUP(C3328,'점포코드 '!A:B,2,0)</f>
        <v>#N/A</v>
      </c>
      <c r="E3328" s="30">
        <f>'Raw data'!P2904</f>
        <v>0</v>
      </c>
      <c r="F3328" s="29" t="e">
        <f>VLOOKUP(E3328,'점포코드 '!A:B,2,0)</f>
        <v>#N/A</v>
      </c>
      <c r="G3328" s="46">
        <f>'Raw data'!F3237</f>
        <v>0</v>
      </c>
      <c r="H3328" s="4">
        <f>'Raw data'!G3237</f>
        <v>0</v>
      </c>
      <c r="I3328" s="29" t="e">
        <f>VLOOKUP(G3328,제품명!$C$1:$E$114,2,0)</f>
        <v>#N/A</v>
      </c>
      <c r="J3328" s="29">
        <f>'Raw data'!K3237</f>
        <v>0</v>
      </c>
      <c r="K3328" s="31">
        <f>'Raw data'!H3237</f>
        <v>0</v>
      </c>
      <c r="L3328" s="26">
        <f t="shared" si="106"/>
        <v>0</v>
      </c>
    </row>
    <row r="3329" spans="2:12">
      <c r="B3329" s="4" t="e">
        <f t="shared" si="105"/>
        <v>#N/A</v>
      </c>
      <c r="C3329" s="4">
        <f>'Raw data'!E2905</f>
        <v>0</v>
      </c>
      <c r="D3329" s="29" t="e">
        <f>VLOOKUP(C3329,'점포코드 '!A:B,2,0)</f>
        <v>#N/A</v>
      </c>
      <c r="E3329" s="30">
        <f>'Raw data'!P2905</f>
        <v>0</v>
      </c>
      <c r="F3329" s="29" t="e">
        <f>VLOOKUP(E3329,'점포코드 '!A:B,2,0)</f>
        <v>#N/A</v>
      </c>
      <c r="G3329" s="46">
        <f>'Raw data'!F3238</f>
        <v>0</v>
      </c>
      <c r="H3329" s="4">
        <f>'Raw data'!G3238</f>
        <v>0</v>
      </c>
      <c r="I3329" s="29" t="e">
        <f>VLOOKUP(G3329,제품명!$C$1:$E$114,2,0)</f>
        <v>#N/A</v>
      </c>
      <c r="J3329" s="29">
        <f>'Raw data'!K3238</f>
        <v>0</v>
      </c>
      <c r="K3329" s="31">
        <f>'Raw data'!H3238</f>
        <v>0</v>
      </c>
      <c r="L3329" s="26">
        <f t="shared" si="106"/>
        <v>0</v>
      </c>
    </row>
    <row r="3330" spans="2:12">
      <c r="B3330" s="4" t="e">
        <f t="shared" ref="B3330:B3393" si="107">F3330&amp;I3330</f>
        <v>#N/A</v>
      </c>
      <c r="C3330" s="4">
        <f>'Raw data'!E2906</f>
        <v>0</v>
      </c>
      <c r="D3330" s="29" t="e">
        <f>VLOOKUP(C3330,'점포코드 '!A:B,2,0)</f>
        <v>#N/A</v>
      </c>
      <c r="E3330" s="30">
        <f>'Raw data'!P2906</f>
        <v>0</v>
      </c>
      <c r="F3330" s="29" t="e">
        <f>VLOOKUP(E3330,'점포코드 '!A:B,2,0)</f>
        <v>#N/A</v>
      </c>
      <c r="G3330" s="46">
        <f>'Raw data'!F3239</f>
        <v>0</v>
      </c>
      <c r="H3330" s="4">
        <f>'Raw data'!G3239</f>
        <v>0</v>
      </c>
      <c r="I3330" s="29" t="e">
        <f>VLOOKUP(G3330,제품명!$C$1:$E$114,2,0)</f>
        <v>#N/A</v>
      </c>
      <c r="J3330" s="29">
        <f>'Raw data'!K3239</f>
        <v>0</v>
      </c>
      <c r="K3330" s="31">
        <f>'Raw data'!H3239</f>
        <v>0</v>
      </c>
      <c r="L3330" s="26">
        <f t="shared" si="106"/>
        <v>0</v>
      </c>
    </row>
    <row r="3331" spans="2:12">
      <c r="B3331" s="4" t="e">
        <f t="shared" si="107"/>
        <v>#N/A</v>
      </c>
      <c r="C3331" s="4">
        <f>'Raw data'!E2907</f>
        <v>0</v>
      </c>
      <c r="D3331" s="29" t="e">
        <f>VLOOKUP(C3331,'점포코드 '!A:B,2,0)</f>
        <v>#N/A</v>
      </c>
      <c r="E3331" s="30">
        <f>'Raw data'!P2907</f>
        <v>0</v>
      </c>
      <c r="F3331" s="29" t="e">
        <f>VLOOKUP(E3331,'점포코드 '!A:B,2,0)</f>
        <v>#N/A</v>
      </c>
      <c r="G3331" s="46">
        <f>'Raw data'!F3240</f>
        <v>0</v>
      </c>
      <c r="H3331" s="4">
        <f>'Raw data'!G3240</f>
        <v>0</v>
      </c>
      <c r="I3331" s="29" t="e">
        <f>VLOOKUP(G3331,제품명!$C$1:$E$114,2,0)</f>
        <v>#N/A</v>
      </c>
      <c r="J3331" s="29">
        <f>'Raw data'!K3240</f>
        <v>0</v>
      </c>
      <c r="K3331" s="31">
        <f>'Raw data'!H3240</f>
        <v>0</v>
      </c>
      <c r="L3331" s="26">
        <f t="shared" ref="L3331:L3394" si="108">J3331*K3331</f>
        <v>0</v>
      </c>
    </row>
    <row r="3332" spans="2:12">
      <c r="B3332" s="4" t="e">
        <f t="shared" si="107"/>
        <v>#N/A</v>
      </c>
      <c r="C3332" s="4">
        <f>'Raw data'!E2908</f>
        <v>0</v>
      </c>
      <c r="D3332" s="29" t="e">
        <f>VLOOKUP(C3332,'점포코드 '!A:B,2,0)</f>
        <v>#N/A</v>
      </c>
      <c r="E3332" s="30">
        <f>'Raw data'!P2908</f>
        <v>0</v>
      </c>
      <c r="F3332" s="29" t="e">
        <f>VLOOKUP(E3332,'점포코드 '!A:B,2,0)</f>
        <v>#N/A</v>
      </c>
      <c r="G3332" s="46">
        <f>'Raw data'!F3241</f>
        <v>0</v>
      </c>
      <c r="H3332" s="4">
        <f>'Raw data'!G3241</f>
        <v>0</v>
      </c>
      <c r="I3332" s="29" t="e">
        <f>VLOOKUP(G3332,제품명!$C$1:$E$114,2,0)</f>
        <v>#N/A</v>
      </c>
      <c r="J3332" s="29">
        <f>'Raw data'!K3241</f>
        <v>0</v>
      </c>
      <c r="K3332" s="31">
        <f>'Raw data'!H3241</f>
        <v>0</v>
      </c>
      <c r="L3332" s="26">
        <f t="shared" si="108"/>
        <v>0</v>
      </c>
    </row>
    <row r="3333" spans="2:12">
      <c r="B3333" s="4" t="e">
        <f t="shared" si="107"/>
        <v>#N/A</v>
      </c>
      <c r="C3333" s="4">
        <f>'Raw data'!E2909</f>
        <v>0</v>
      </c>
      <c r="D3333" s="29" t="e">
        <f>VLOOKUP(C3333,'점포코드 '!A:B,2,0)</f>
        <v>#N/A</v>
      </c>
      <c r="E3333" s="30">
        <f>'Raw data'!P2909</f>
        <v>0</v>
      </c>
      <c r="F3333" s="29" t="e">
        <f>VLOOKUP(E3333,'점포코드 '!A:B,2,0)</f>
        <v>#N/A</v>
      </c>
      <c r="G3333" s="46">
        <f>'Raw data'!F3242</f>
        <v>0</v>
      </c>
      <c r="H3333" s="4">
        <f>'Raw data'!G3242</f>
        <v>0</v>
      </c>
      <c r="I3333" s="29" t="e">
        <f>VLOOKUP(G3333,제품명!$C$1:$E$114,2,0)</f>
        <v>#N/A</v>
      </c>
      <c r="J3333" s="29">
        <f>'Raw data'!K3242</f>
        <v>0</v>
      </c>
      <c r="K3333" s="31">
        <f>'Raw data'!H3242</f>
        <v>0</v>
      </c>
      <c r="L3333" s="26">
        <f t="shared" si="108"/>
        <v>0</v>
      </c>
    </row>
    <row r="3334" spans="2:12">
      <c r="B3334" s="4" t="e">
        <f t="shared" si="107"/>
        <v>#N/A</v>
      </c>
      <c r="C3334" s="4">
        <f>'Raw data'!E2910</f>
        <v>0</v>
      </c>
      <c r="D3334" s="29" t="e">
        <f>VLOOKUP(C3334,'점포코드 '!A:B,2,0)</f>
        <v>#N/A</v>
      </c>
      <c r="E3334" s="30">
        <f>'Raw data'!P2910</f>
        <v>0</v>
      </c>
      <c r="F3334" s="29" t="e">
        <f>VLOOKUP(E3334,'점포코드 '!A:B,2,0)</f>
        <v>#N/A</v>
      </c>
      <c r="G3334" s="46">
        <f>'Raw data'!F3243</f>
        <v>0</v>
      </c>
      <c r="H3334" s="4">
        <f>'Raw data'!G3243</f>
        <v>0</v>
      </c>
      <c r="I3334" s="29" t="e">
        <f>VLOOKUP(G3334,제품명!$C$1:$E$114,2,0)</f>
        <v>#N/A</v>
      </c>
      <c r="J3334" s="29">
        <f>'Raw data'!K3243</f>
        <v>0</v>
      </c>
      <c r="K3334" s="31">
        <f>'Raw data'!H3243</f>
        <v>0</v>
      </c>
      <c r="L3334" s="26">
        <f t="shared" si="108"/>
        <v>0</v>
      </c>
    </row>
    <row r="3335" spans="2:12">
      <c r="B3335" s="4" t="e">
        <f t="shared" si="107"/>
        <v>#N/A</v>
      </c>
      <c r="C3335" s="4">
        <f>'Raw data'!E2911</f>
        <v>0</v>
      </c>
      <c r="D3335" s="29" t="e">
        <f>VLOOKUP(C3335,'점포코드 '!A:B,2,0)</f>
        <v>#N/A</v>
      </c>
      <c r="E3335" s="30">
        <f>'Raw data'!P2911</f>
        <v>0</v>
      </c>
      <c r="F3335" s="29" t="e">
        <f>VLOOKUP(E3335,'점포코드 '!A:B,2,0)</f>
        <v>#N/A</v>
      </c>
      <c r="G3335" s="46">
        <f>'Raw data'!F3244</f>
        <v>0</v>
      </c>
      <c r="H3335" s="4">
        <f>'Raw data'!G3244</f>
        <v>0</v>
      </c>
      <c r="I3335" s="29" t="e">
        <f>VLOOKUP(G3335,제품명!$C$1:$E$114,2,0)</f>
        <v>#N/A</v>
      </c>
      <c r="J3335" s="29">
        <f>'Raw data'!K3244</f>
        <v>0</v>
      </c>
      <c r="K3335" s="31">
        <f>'Raw data'!H3244</f>
        <v>0</v>
      </c>
      <c r="L3335" s="26">
        <f t="shared" si="108"/>
        <v>0</v>
      </c>
    </row>
    <row r="3336" spans="2:12">
      <c r="B3336" s="4" t="e">
        <f t="shared" si="107"/>
        <v>#N/A</v>
      </c>
      <c r="C3336" s="4">
        <f>'Raw data'!E2912</f>
        <v>0</v>
      </c>
      <c r="D3336" s="29" t="e">
        <f>VLOOKUP(C3336,'점포코드 '!A:B,2,0)</f>
        <v>#N/A</v>
      </c>
      <c r="E3336" s="30">
        <f>'Raw data'!P2912</f>
        <v>0</v>
      </c>
      <c r="F3336" s="29" t="e">
        <f>VLOOKUP(E3336,'점포코드 '!A:B,2,0)</f>
        <v>#N/A</v>
      </c>
      <c r="G3336" s="46">
        <f>'Raw data'!F3245</f>
        <v>0</v>
      </c>
      <c r="H3336" s="4">
        <f>'Raw data'!G3245</f>
        <v>0</v>
      </c>
      <c r="I3336" s="29" t="e">
        <f>VLOOKUP(G3336,제품명!$C$1:$E$114,2,0)</f>
        <v>#N/A</v>
      </c>
      <c r="J3336" s="29">
        <f>'Raw data'!K3245</f>
        <v>0</v>
      </c>
      <c r="K3336" s="31">
        <f>'Raw data'!H3245</f>
        <v>0</v>
      </c>
      <c r="L3336" s="26">
        <f t="shared" si="108"/>
        <v>0</v>
      </c>
    </row>
    <row r="3337" spans="2:12">
      <c r="B3337" s="4" t="e">
        <f t="shared" si="107"/>
        <v>#N/A</v>
      </c>
      <c r="C3337" s="4">
        <f>'Raw data'!E2913</f>
        <v>0</v>
      </c>
      <c r="D3337" s="29" t="e">
        <f>VLOOKUP(C3337,'점포코드 '!A:B,2,0)</f>
        <v>#N/A</v>
      </c>
      <c r="E3337" s="30">
        <f>'Raw data'!P2913</f>
        <v>0</v>
      </c>
      <c r="F3337" s="29" t="e">
        <f>VLOOKUP(E3337,'점포코드 '!A:B,2,0)</f>
        <v>#N/A</v>
      </c>
      <c r="G3337" s="46">
        <f>'Raw data'!F3246</f>
        <v>0</v>
      </c>
      <c r="H3337" s="4">
        <f>'Raw data'!G3246</f>
        <v>0</v>
      </c>
      <c r="I3337" s="29" t="e">
        <f>VLOOKUP(G3337,제품명!$C$1:$E$114,2,0)</f>
        <v>#N/A</v>
      </c>
      <c r="J3337" s="29">
        <f>'Raw data'!K3246</f>
        <v>0</v>
      </c>
      <c r="K3337" s="31">
        <f>'Raw data'!H3246</f>
        <v>0</v>
      </c>
      <c r="L3337" s="26">
        <f t="shared" si="108"/>
        <v>0</v>
      </c>
    </row>
    <row r="3338" spans="2:12">
      <c r="B3338" s="4" t="e">
        <f t="shared" si="107"/>
        <v>#N/A</v>
      </c>
      <c r="C3338" s="4">
        <f>'Raw data'!E2914</f>
        <v>0</v>
      </c>
      <c r="D3338" s="29" t="e">
        <f>VLOOKUP(C3338,'점포코드 '!A:B,2,0)</f>
        <v>#N/A</v>
      </c>
      <c r="E3338" s="30">
        <f>'Raw data'!P2914</f>
        <v>0</v>
      </c>
      <c r="F3338" s="29" t="e">
        <f>VLOOKUP(E3338,'점포코드 '!A:B,2,0)</f>
        <v>#N/A</v>
      </c>
      <c r="G3338" s="46">
        <f>'Raw data'!F3247</f>
        <v>0</v>
      </c>
      <c r="H3338" s="4">
        <f>'Raw data'!G3247</f>
        <v>0</v>
      </c>
      <c r="I3338" s="29" t="e">
        <f>VLOOKUP(G3338,제품명!$C$1:$E$114,2,0)</f>
        <v>#N/A</v>
      </c>
      <c r="J3338" s="29">
        <f>'Raw data'!K3247</f>
        <v>0</v>
      </c>
      <c r="K3338" s="31">
        <f>'Raw data'!H3247</f>
        <v>0</v>
      </c>
      <c r="L3338" s="26">
        <f t="shared" si="108"/>
        <v>0</v>
      </c>
    </row>
    <row r="3339" spans="2:12">
      <c r="B3339" s="4" t="e">
        <f t="shared" si="107"/>
        <v>#N/A</v>
      </c>
      <c r="C3339" s="4">
        <f>'Raw data'!E2915</f>
        <v>0</v>
      </c>
      <c r="D3339" s="29" t="e">
        <f>VLOOKUP(C3339,'점포코드 '!A:B,2,0)</f>
        <v>#N/A</v>
      </c>
      <c r="E3339" s="30">
        <f>'Raw data'!P2915</f>
        <v>0</v>
      </c>
      <c r="F3339" s="29" t="e">
        <f>VLOOKUP(E3339,'점포코드 '!A:B,2,0)</f>
        <v>#N/A</v>
      </c>
      <c r="G3339" s="46">
        <f>'Raw data'!F3248</f>
        <v>0</v>
      </c>
      <c r="H3339" s="4">
        <f>'Raw data'!G3248</f>
        <v>0</v>
      </c>
      <c r="I3339" s="29" t="e">
        <f>VLOOKUP(G3339,제품명!$C$1:$E$114,2,0)</f>
        <v>#N/A</v>
      </c>
      <c r="J3339" s="29">
        <f>'Raw data'!K3248</f>
        <v>0</v>
      </c>
      <c r="K3339" s="31">
        <f>'Raw data'!H3248</f>
        <v>0</v>
      </c>
      <c r="L3339" s="26">
        <f t="shared" si="108"/>
        <v>0</v>
      </c>
    </row>
    <row r="3340" spans="2:12">
      <c r="B3340" s="4" t="e">
        <f t="shared" si="107"/>
        <v>#N/A</v>
      </c>
      <c r="C3340" s="4">
        <f>'Raw data'!E2916</f>
        <v>0</v>
      </c>
      <c r="D3340" s="29" t="e">
        <f>VLOOKUP(C3340,'점포코드 '!A:B,2,0)</f>
        <v>#N/A</v>
      </c>
      <c r="E3340" s="30">
        <f>'Raw data'!P2916</f>
        <v>0</v>
      </c>
      <c r="F3340" s="29" t="e">
        <f>VLOOKUP(E3340,'점포코드 '!A:B,2,0)</f>
        <v>#N/A</v>
      </c>
      <c r="G3340" s="46">
        <f>'Raw data'!F3249</f>
        <v>0</v>
      </c>
      <c r="H3340" s="4">
        <f>'Raw data'!G3249</f>
        <v>0</v>
      </c>
      <c r="I3340" s="29" t="e">
        <f>VLOOKUP(G3340,제품명!$C$1:$E$114,2,0)</f>
        <v>#N/A</v>
      </c>
      <c r="J3340" s="29">
        <f>'Raw data'!K3249</f>
        <v>0</v>
      </c>
      <c r="K3340" s="31">
        <f>'Raw data'!H3249</f>
        <v>0</v>
      </c>
      <c r="L3340" s="26">
        <f t="shared" si="108"/>
        <v>0</v>
      </c>
    </row>
    <row r="3341" spans="2:12">
      <c r="B3341" s="4" t="e">
        <f t="shared" si="107"/>
        <v>#N/A</v>
      </c>
      <c r="C3341" s="4">
        <f>'Raw data'!E2917</f>
        <v>0</v>
      </c>
      <c r="D3341" s="29" t="e">
        <f>VLOOKUP(C3341,'점포코드 '!A:B,2,0)</f>
        <v>#N/A</v>
      </c>
      <c r="E3341" s="30">
        <f>'Raw data'!P2917</f>
        <v>0</v>
      </c>
      <c r="F3341" s="29" t="e">
        <f>VLOOKUP(E3341,'점포코드 '!A:B,2,0)</f>
        <v>#N/A</v>
      </c>
      <c r="G3341" s="46">
        <f>'Raw data'!F3250</f>
        <v>0</v>
      </c>
      <c r="H3341" s="4">
        <f>'Raw data'!G3250</f>
        <v>0</v>
      </c>
      <c r="I3341" s="29" t="e">
        <f>VLOOKUP(G3341,제품명!$C$1:$E$114,2,0)</f>
        <v>#N/A</v>
      </c>
      <c r="J3341" s="29">
        <f>'Raw data'!K3250</f>
        <v>0</v>
      </c>
      <c r="K3341" s="31">
        <f>'Raw data'!H3250</f>
        <v>0</v>
      </c>
      <c r="L3341" s="26">
        <f t="shared" si="108"/>
        <v>0</v>
      </c>
    </row>
    <row r="3342" spans="2:12">
      <c r="B3342" s="4" t="e">
        <f t="shared" si="107"/>
        <v>#N/A</v>
      </c>
      <c r="C3342" s="4">
        <f>'Raw data'!E2918</f>
        <v>0</v>
      </c>
      <c r="D3342" s="29" t="e">
        <f>VLOOKUP(C3342,'점포코드 '!A:B,2,0)</f>
        <v>#N/A</v>
      </c>
      <c r="E3342" s="30">
        <f>'Raw data'!P2918</f>
        <v>0</v>
      </c>
      <c r="F3342" s="29" t="e">
        <f>VLOOKUP(E3342,'점포코드 '!A:B,2,0)</f>
        <v>#N/A</v>
      </c>
      <c r="G3342" s="46">
        <f>'Raw data'!F3251</f>
        <v>0</v>
      </c>
      <c r="H3342" s="4">
        <f>'Raw data'!G3251</f>
        <v>0</v>
      </c>
      <c r="I3342" s="29" t="e">
        <f>VLOOKUP(G3342,제품명!$C$1:$E$114,2,0)</f>
        <v>#N/A</v>
      </c>
      <c r="J3342" s="29">
        <f>'Raw data'!K3251</f>
        <v>0</v>
      </c>
      <c r="K3342" s="31">
        <f>'Raw data'!H3251</f>
        <v>0</v>
      </c>
      <c r="L3342" s="26">
        <f t="shared" si="108"/>
        <v>0</v>
      </c>
    </row>
    <row r="3343" spans="2:12">
      <c r="B3343" s="4" t="e">
        <f t="shared" si="107"/>
        <v>#N/A</v>
      </c>
      <c r="C3343" s="4">
        <f>'Raw data'!E2919</f>
        <v>0</v>
      </c>
      <c r="D3343" s="29" t="e">
        <f>VLOOKUP(C3343,'점포코드 '!A:B,2,0)</f>
        <v>#N/A</v>
      </c>
      <c r="E3343" s="30">
        <f>'Raw data'!P2919</f>
        <v>0</v>
      </c>
      <c r="F3343" s="29" t="e">
        <f>VLOOKUP(E3343,'점포코드 '!A:B,2,0)</f>
        <v>#N/A</v>
      </c>
      <c r="G3343" s="46">
        <f>'Raw data'!F3252</f>
        <v>0</v>
      </c>
      <c r="H3343" s="4">
        <f>'Raw data'!G3252</f>
        <v>0</v>
      </c>
      <c r="I3343" s="29" t="e">
        <f>VLOOKUP(G3343,제품명!$C$1:$E$114,2,0)</f>
        <v>#N/A</v>
      </c>
      <c r="J3343" s="29">
        <f>'Raw data'!K3252</f>
        <v>0</v>
      </c>
      <c r="K3343" s="31">
        <f>'Raw data'!H3252</f>
        <v>0</v>
      </c>
      <c r="L3343" s="26">
        <f t="shared" si="108"/>
        <v>0</v>
      </c>
    </row>
    <row r="3344" spans="2:12">
      <c r="B3344" s="4" t="e">
        <f t="shared" si="107"/>
        <v>#N/A</v>
      </c>
      <c r="C3344" s="4">
        <f>'Raw data'!E2920</f>
        <v>0</v>
      </c>
      <c r="D3344" s="29" t="e">
        <f>VLOOKUP(C3344,'점포코드 '!A:B,2,0)</f>
        <v>#N/A</v>
      </c>
      <c r="E3344" s="30">
        <f>'Raw data'!P2920</f>
        <v>0</v>
      </c>
      <c r="F3344" s="29" t="e">
        <f>VLOOKUP(E3344,'점포코드 '!A:B,2,0)</f>
        <v>#N/A</v>
      </c>
      <c r="G3344" s="46">
        <f>'Raw data'!F3253</f>
        <v>0</v>
      </c>
      <c r="H3344" s="4">
        <f>'Raw data'!G3253</f>
        <v>0</v>
      </c>
      <c r="I3344" s="29" t="e">
        <f>VLOOKUP(G3344,제품명!$C$1:$E$114,2,0)</f>
        <v>#N/A</v>
      </c>
      <c r="J3344" s="29">
        <f>'Raw data'!K3253</f>
        <v>0</v>
      </c>
      <c r="K3344" s="31">
        <f>'Raw data'!H3253</f>
        <v>0</v>
      </c>
      <c r="L3344" s="26">
        <f t="shared" si="108"/>
        <v>0</v>
      </c>
    </row>
    <row r="3345" spans="2:12">
      <c r="B3345" s="4" t="e">
        <f t="shared" si="107"/>
        <v>#N/A</v>
      </c>
      <c r="C3345" s="4">
        <f>'Raw data'!E2921</f>
        <v>0</v>
      </c>
      <c r="D3345" s="29" t="e">
        <f>VLOOKUP(C3345,'점포코드 '!A:B,2,0)</f>
        <v>#N/A</v>
      </c>
      <c r="E3345" s="30">
        <f>'Raw data'!P2921</f>
        <v>0</v>
      </c>
      <c r="F3345" s="29" t="e">
        <f>VLOOKUP(E3345,'점포코드 '!A:B,2,0)</f>
        <v>#N/A</v>
      </c>
      <c r="G3345" s="46">
        <f>'Raw data'!F3254</f>
        <v>0</v>
      </c>
      <c r="H3345" s="4">
        <f>'Raw data'!G3254</f>
        <v>0</v>
      </c>
      <c r="I3345" s="29" t="e">
        <f>VLOOKUP(G3345,제품명!$C$1:$E$114,2,0)</f>
        <v>#N/A</v>
      </c>
      <c r="J3345" s="29">
        <f>'Raw data'!K3254</f>
        <v>0</v>
      </c>
      <c r="K3345" s="31">
        <f>'Raw data'!H3254</f>
        <v>0</v>
      </c>
      <c r="L3345" s="26">
        <f t="shared" si="108"/>
        <v>0</v>
      </c>
    </row>
    <row r="3346" spans="2:12">
      <c r="B3346" s="4" t="e">
        <f t="shared" si="107"/>
        <v>#N/A</v>
      </c>
      <c r="C3346" s="4">
        <f>'Raw data'!E2922</f>
        <v>0</v>
      </c>
      <c r="D3346" s="29" t="e">
        <f>VLOOKUP(C3346,'점포코드 '!A:B,2,0)</f>
        <v>#N/A</v>
      </c>
      <c r="E3346" s="30">
        <f>'Raw data'!P2922</f>
        <v>0</v>
      </c>
      <c r="F3346" s="29" t="e">
        <f>VLOOKUP(E3346,'점포코드 '!A:B,2,0)</f>
        <v>#N/A</v>
      </c>
      <c r="G3346" s="46">
        <f>'Raw data'!F3255</f>
        <v>0</v>
      </c>
      <c r="H3346" s="4">
        <f>'Raw data'!G3255</f>
        <v>0</v>
      </c>
      <c r="I3346" s="29" t="e">
        <f>VLOOKUP(G3346,제품명!$C$1:$E$114,2,0)</f>
        <v>#N/A</v>
      </c>
      <c r="J3346" s="29">
        <f>'Raw data'!K3255</f>
        <v>0</v>
      </c>
      <c r="K3346" s="31">
        <f>'Raw data'!H3255</f>
        <v>0</v>
      </c>
      <c r="L3346" s="26">
        <f t="shared" si="108"/>
        <v>0</v>
      </c>
    </row>
    <row r="3347" spans="2:12">
      <c r="B3347" s="4" t="e">
        <f t="shared" si="107"/>
        <v>#N/A</v>
      </c>
      <c r="C3347" s="4">
        <f>'Raw data'!E2923</f>
        <v>0</v>
      </c>
      <c r="D3347" s="29" t="e">
        <f>VLOOKUP(C3347,'점포코드 '!A:B,2,0)</f>
        <v>#N/A</v>
      </c>
      <c r="E3347" s="30">
        <f>'Raw data'!P2923</f>
        <v>0</v>
      </c>
      <c r="F3347" s="29" t="e">
        <f>VLOOKUP(E3347,'점포코드 '!A:B,2,0)</f>
        <v>#N/A</v>
      </c>
      <c r="G3347" s="46">
        <f>'Raw data'!F3256</f>
        <v>0</v>
      </c>
      <c r="H3347" s="4">
        <f>'Raw data'!G3256</f>
        <v>0</v>
      </c>
      <c r="I3347" s="29" t="e">
        <f>VLOOKUP(G3347,제품명!$C$1:$E$114,2,0)</f>
        <v>#N/A</v>
      </c>
      <c r="J3347" s="29">
        <f>'Raw data'!K3256</f>
        <v>0</v>
      </c>
      <c r="K3347" s="31">
        <f>'Raw data'!H3256</f>
        <v>0</v>
      </c>
      <c r="L3347" s="26">
        <f t="shared" si="108"/>
        <v>0</v>
      </c>
    </row>
    <row r="3348" spans="2:12">
      <c r="B3348" s="4" t="e">
        <f t="shared" si="107"/>
        <v>#N/A</v>
      </c>
      <c r="C3348" s="4">
        <f>'Raw data'!E2924</f>
        <v>0</v>
      </c>
      <c r="D3348" s="29" t="e">
        <f>VLOOKUP(C3348,'점포코드 '!A:B,2,0)</f>
        <v>#N/A</v>
      </c>
      <c r="E3348" s="30">
        <f>'Raw data'!P2924</f>
        <v>0</v>
      </c>
      <c r="F3348" s="29" t="e">
        <f>VLOOKUP(E3348,'점포코드 '!A:B,2,0)</f>
        <v>#N/A</v>
      </c>
      <c r="G3348" s="46">
        <f>'Raw data'!F3257</f>
        <v>0</v>
      </c>
      <c r="H3348" s="4">
        <f>'Raw data'!G3257</f>
        <v>0</v>
      </c>
      <c r="I3348" s="29" t="e">
        <f>VLOOKUP(G3348,제품명!$C$1:$E$114,2,0)</f>
        <v>#N/A</v>
      </c>
      <c r="J3348" s="29">
        <f>'Raw data'!K3257</f>
        <v>0</v>
      </c>
      <c r="K3348" s="31">
        <f>'Raw data'!H3257</f>
        <v>0</v>
      </c>
      <c r="L3348" s="26">
        <f t="shared" si="108"/>
        <v>0</v>
      </c>
    </row>
    <row r="3349" spans="2:12">
      <c r="B3349" s="4" t="e">
        <f t="shared" si="107"/>
        <v>#N/A</v>
      </c>
      <c r="C3349" s="4">
        <f>'Raw data'!E2925</f>
        <v>0</v>
      </c>
      <c r="D3349" s="29" t="e">
        <f>VLOOKUP(C3349,'점포코드 '!A:B,2,0)</f>
        <v>#N/A</v>
      </c>
      <c r="E3349" s="30">
        <f>'Raw data'!P2925</f>
        <v>0</v>
      </c>
      <c r="F3349" s="29" t="e">
        <f>VLOOKUP(E3349,'점포코드 '!A:B,2,0)</f>
        <v>#N/A</v>
      </c>
      <c r="G3349" s="46">
        <f>'Raw data'!F3258</f>
        <v>0</v>
      </c>
      <c r="H3349" s="4">
        <f>'Raw data'!G3258</f>
        <v>0</v>
      </c>
      <c r="I3349" s="29" t="e">
        <f>VLOOKUP(G3349,제품명!$C$1:$E$114,2,0)</f>
        <v>#N/A</v>
      </c>
      <c r="J3349" s="29">
        <f>'Raw data'!K3258</f>
        <v>0</v>
      </c>
      <c r="K3349" s="31">
        <f>'Raw data'!H3258</f>
        <v>0</v>
      </c>
      <c r="L3349" s="26">
        <f t="shared" si="108"/>
        <v>0</v>
      </c>
    </row>
    <row r="3350" spans="2:12">
      <c r="B3350" s="4" t="e">
        <f t="shared" si="107"/>
        <v>#N/A</v>
      </c>
      <c r="C3350" s="4">
        <f>'Raw data'!E2926</f>
        <v>0</v>
      </c>
      <c r="D3350" s="29" t="e">
        <f>VLOOKUP(C3350,'점포코드 '!A:B,2,0)</f>
        <v>#N/A</v>
      </c>
      <c r="E3350" s="30">
        <f>'Raw data'!P2926</f>
        <v>0</v>
      </c>
      <c r="F3350" s="29" t="e">
        <f>VLOOKUP(E3350,'점포코드 '!A:B,2,0)</f>
        <v>#N/A</v>
      </c>
      <c r="G3350" s="46">
        <f>'Raw data'!F3259</f>
        <v>0</v>
      </c>
      <c r="H3350" s="4">
        <f>'Raw data'!G3259</f>
        <v>0</v>
      </c>
      <c r="I3350" s="29" t="e">
        <f>VLOOKUP(G3350,제품명!$C$1:$E$114,2,0)</f>
        <v>#N/A</v>
      </c>
      <c r="J3350" s="29">
        <f>'Raw data'!K3259</f>
        <v>0</v>
      </c>
      <c r="K3350" s="31">
        <f>'Raw data'!H3259</f>
        <v>0</v>
      </c>
      <c r="L3350" s="26">
        <f t="shared" si="108"/>
        <v>0</v>
      </c>
    </row>
    <row r="3351" spans="2:12">
      <c r="B3351" s="4" t="e">
        <f t="shared" si="107"/>
        <v>#N/A</v>
      </c>
      <c r="C3351" s="4">
        <f>'Raw data'!E2927</f>
        <v>0</v>
      </c>
      <c r="D3351" s="29" t="e">
        <f>VLOOKUP(C3351,'점포코드 '!A:B,2,0)</f>
        <v>#N/A</v>
      </c>
      <c r="E3351" s="30">
        <f>'Raw data'!P2927</f>
        <v>0</v>
      </c>
      <c r="F3351" s="29" t="e">
        <f>VLOOKUP(E3351,'점포코드 '!A:B,2,0)</f>
        <v>#N/A</v>
      </c>
      <c r="G3351" s="46">
        <f>'Raw data'!F3260</f>
        <v>0</v>
      </c>
      <c r="H3351" s="4">
        <f>'Raw data'!G3260</f>
        <v>0</v>
      </c>
      <c r="I3351" s="29" t="e">
        <f>VLOOKUP(G3351,제품명!$C$1:$E$114,2,0)</f>
        <v>#N/A</v>
      </c>
      <c r="J3351" s="29">
        <f>'Raw data'!K3260</f>
        <v>0</v>
      </c>
      <c r="K3351" s="31">
        <f>'Raw data'!H3260</f>
        <v>0</v>
      </c>
      <c r="L3351" s="26">
        <f t="shared" si="108"/>
        <v>0</v>
      </c>
    </row>
    <row r="3352" spans="2:12">
      <c r="B3352" s="4" t="e">
        <f t="shared" si="107"/>
        <v>#N/A</v>
      </c>
      <c r="C3352" s="4">
        <f>'Raw data'!E2928</f>
        <v>0</v>
      </c>
      <c r="D3352" s="29" t="e">
        <f>VLOOKUP(C3352,'점포코드 '!A:B,2,0)</f>
        <v>#N/A</v>
      </c>
      <c r="E3352" s="30">
        <f>'Raw data'!P2928</f>
        <v>0</v>
      </c>
      <c r="F3352" s="29" t="e">
        <f>VLOOKUP(E3352,'점포코드 '!A:B,2,0)</f>
        <v>#N/A</v>
      </c>
      <c r="G3352" s="46">
        <f>'Raw data'!F3261</f>
        <v>0</v>
      </c>
      <c r="H3352" s="4">
        <f>'Raw data'!G3261</f>
        <v>0</v>
      </c>
      <c r="I3352" s="29" t="e">
        <f>VLOOKUP(G3352,제품명!$C$1:$E$114,2,0)</f>
        <v>#N/A</v>
      </c>
      <c r="J3352" s="29">
        <f>'Raw data'!K3261</f>
        <v>0</v>
      </c>
      <c r="K3352" s="31">
        <f>'Raw data'!H3261</f>
        <v>0</v>
      </c>
      <c r="L3352" s="26">
        <f t="shared" si="108"/>
        <v>0</v>
      </c>
    </row>
    <row r="3353" spans="2:12">
      <c r="B3353" s="4" t="e">
        <f t="shared" si="107"/>
        <v>#N/A</v>
      </c>
      <c r="C3353" s="4">
        <f>'Raw data'!E2929</f>
        <v>0</v>
      </c>
      <c r="D3353" s="29" t="e">
        <f>VLOOKUP(C3353,'점포코드 '!A:B,2,0)</f>
        <v>#N/A</v>
      </c>
      <c r="E3353" s="30">
        <f>'Raw data'!P2929</f>
        <v>0</v>
      </c>
      <c r="F3353" s="29" t="e">
        <f>VLOOKUP(E3353,'점포코드 '!A:B,2,0)</f>
        <v>#N/A</v>
      </c>
      <c r="G3353" s="46">
        <f>'Raw data'!F3262</f>
        <v>0</v>
      </c>
      <c r="H3353" s="4">
        <f>'Raw data'!G3262</f>
        <v>0</v>
      </c>
      <c r="I3353" s="29" t="e">
        <f>VLOOKUP(G3353,제품명!$C$1:$E$114,2,0)</f>
        <v>#N/A</v>
      </c>
      <c r="J3353" s="29">
        <f>'Raw data'!K3262</f>
        <v>0</v>
      </c>
      <c r="K3353" s="31">
        <f>'Raw data'!H3262</f>
        <v>0</v>
      </c>
      <c r="L3353" s="26">
        <f t="shared" si="108"/>
        <v>0</v>
      </c>
    </row>
    <row r="3354" spans="2:12">
      <c r="B3354" s="4" t="e">
        <f t="shared" si="107"/>
        <v>#N/A</v>
      </c>
      <c r="C3354" s="4">
        <f>'Raw data'!E2930</f>
        <v>0</v>
      </c>
      <c r="D3354" s="29" t="e">
        <f>VLOOKUP(C3354,'점포코드 '!A:B,2,0)</f>
        <v>#N/A</v>
      </c>
      <c r="E3354" s="30">
        <f>'Raw data'!P2930</f>
        <v>0</v>
      </c>
      <c r="F3354" s="29" t="e">
        <f>VLOOKUP(E3354,'점포코드 '!A:B,2,0)</f>
        <v>#N/A</v>
      </c>
      <c r="G3354" s="46">
        <f>'Raw data'!F3263</f>
        <v>0</v>
      </c>
      <c r="H3354" s="4">
        <f>'Raw data'!G3263</f>
        <v>0</v>
      </c>
      <c r="I3354" s="29" t="e">
        <f>VLOOKUP(G3354,제품명!$C$1:$E$114,2,0)</f>
        <v>#N/A</v>
      </c>
      <c r="J3354" s="29">
        <f>'Raw data'!K3263</f>
        <v>0</v>
      </c>
      <c r="K3354" s="31">
        <f>'Raw data'!H3263</f>
        <v>0</v>
      </c>
      <c r="L3354" s="26">
        <f t="shared" si="108"/>
        <v>0</v>
      </c>
    </row>
    <row r="3355" spans="2:12">
      <c r="B3355" s="4" t="e">
        <f t="shared" si="107"/>
        <v>#N/A</v>
      </c>
      <c r="C3355" s="4">
        <f>'Raw data'!E2931</f>
        <v>0</v>
      </c>
      <c r="D3355" s="29" t="e">
        <f>VLOOKUP(C3355,'점포코드 '!A:B,2,0)</f>
        <v>#N/A</v>
      </c>
      <c r="E3355" s="30">
        <f>'Raw data'!P2931</f>
        <v>0</v>
      </c>
      <c r="F3355" s="29" t="e">
        <f>VLOOKUP(E3355,'점포코드 '!A:B,2,0)</f>
        <v>#N/A</v>
      </c>
      <c r="G3355" s="46">
        <f>'Raw data'!F3264</f>
        <v>0</v>
      </c>
      <c r="H3355" s="4">
        <f>'Raw data'!G3264</f>
        <v>0</v>
      </c>
      <c r="I3355" s="29" t="e">
        <f>VLOOKUP(G3355,제품명!$C$1:$E$114,2,0)</f>
        <v>#N/A</v>
      </c>
      <c r="J3355" s="29">
        <f>'Raw data'!K3264</f>
        <v>0</v>
      </c>
      <c r="K3355" s="31">
        <f>'Raw data'!H3264</f>
        <v>0</v>
      </c>
      <c r="L3355" s="26">
        <f t="shared" si="108"/>
        <v>0</v>
      </c>
    </row>
    <row r="3356" spans="2:12">
      <c r="B3356" s="4" t="e">
        <f t="shared" si="107"/>
        <v>#N/A</v>
      </c>
      <c r="C3356" s="4">
        <f>'Raw data'!E2932</f>
        <v>0</v>
      </c>
      <c r="D3356" s="29" t="e">
        <f>VLOOKUP(C3356,'점포코드 '!A:B,2,0)</f>
        <v>#N/A</v>
      </c>
      <c r="E3356" s="30">
        <f>'Raw data'!P2932</f>
        <v>0</v>
      </c>
      <c r="F3356" s="29" t="e">
        <f>VLOOKUP(E3356,'점포코드 '!A:B,2,0)</f>
        <v>#N/A</v>
      </c>
      <c r="G3356" s="46">
        <f>'Raw data'!F3265</f>
        <v>0</v>
      </c>
      <c r="H3356" s="4">
        <f>'Raw data'!G3265</f>
        <v>0</v>
      </c>
      <c r="I3356" s="29" t="e">
        <f>VLOOKUP(G3356,제품명!$C$1:$E$114,2,0)</f>
        <v>#N/A</v>
      </c>
      <c r="J3356" s="29">
        <f>'Raw data'!K3265</f>
        <v>0</v>
      </c>
      <c r="K3356" s="31">
        <f>'Raw data'!H3265</f>
        <v>0</v>
      </c>
      <c r="L3356" s="26">
        <f t="shared" si="108"/>
        <v>0</v>
      </c>
    </row>
    <row r="3357" spans="2:12">
      <c r="B3357" s="4" t="e">
        <f t="shared" si="107"/>
        <v>#N/A</v>
      </c>
      <c r="C3357" s="4">
        <f>'Raw data'!E2933</f>
        <v>0</v>
      </c>
      <c r="D3357" s="29" t="e">
        <f>VLOOKUP(C3357,'점포코드 '!A:B,2,0)</f>
        <v>#N/A</v>
      </c>
      <c r="E3357" s="30">
        <f>'Raw data'!P2933</f>
        <v>0</v>
      </c>
      <c r="F3357" s="29" t="e">
        <f>VLOOKUP(E3357,'점포코드 '!A:B,2,0)</f>
        <v>#N/A</v>
      </c>
      <c r="G3357" s="46">
        <f>'Raw data'!F3266</f>
        <v>0</v>
      </c>
      <c r="H3357" s="4">
        <f>'Raw data'!G3266</f>
        <v>0</v>
      </c>
      <c r="I3357" s="29" t="e">
        <f>VLOOKUP(G3357,제품명!$C$1:$E$114,2,0)</f>
        <v>#N/A</v>
      </c>
      <c r="J3357" s="29">
        <f>'Raw data'!K3266</f>
        <v>0</v>
      </c>
      <c r="K3357" s="31">
        <f>'Raw data'!H3266</f>
        <v>0</v>
      </c>
      <c r="L3357" s="26">
        <f t="shared" si="108"/>
        <v>0</v>
      </c>
    </row>
    <row r="3358" spans="2:12">
      <c r="B3358" s="4" t="e">
        <f t="shared" si="107"/>
        <v>#N/A</v>
      </c>
      <c r="C3358" s="4">
        <f>'Raw data'!E2934</f>
        <v>0</v>
      </c>
      <c r="D3358" s="29" t="e">
        <f>VLOOKUP(C3358,'점포코드 '!A:B,2,0)</f>
        <v>#N/A</v>
      </c>
      <c r="E3358" s="30">
        <f>'Raw data'!P2934</f>
        <v>0</v>
      </c>
      <c r="F3358" s="29" t="e">
        <f>VLOOKUP(E3358,'점포코드 '!A:B,2,0)</f>
        <v>#N/A</v>
      </c>
      <c r="G3358" s="46">
        <f>'Raw data'!F3267</f>
        <v>0</v>
      </c>
      <c r="H3358" s="4">
        <f>'Raw data'!G3267</f>
        <v>0</v>
      </c>
      <c r="I3358" s="29" t="e">
        <f>VLOOKUP(G3358,제품명!$C$1:$E$114,2,0)</f>
        <v>#N/A</v>
      </c>
      <c r="J3358" s="29">
        <f>'Raw data'!K3267</f>
        <v>0</v>
      </c>
      <c r="K3358" s="31">
        <f>'Raw data'!H3267</f>
        <v>0</v>
      </c>
      <c r="L3358" s="26">
        <f t="shared" si="108"/>
        <v>0</v>
      </c>
    </row>
    <row r="3359" spans="2:12">
      <c r="B3359" s="4" t="e">
        <f t="shared" si="107"/>
        <v>#N/A</v>
      </c>
      <c r="C3359" s="4">
        <f>'Raw data'!E2935</f>
        <v>0</v>
      </c>
      <c r="D3359" s="29" t="e">
        <f>VLOOKUP(C3359,'점포코드 '!A:B,2,0)</f>
        <v>#N/A</v>
      </c>
      <c r="E3359" s="30">
        <f>'Raw data'!P2935</f>
        <v>0</v>
      </c>
      <c r="F3359" s="29" t="e">
        <f>VLOOKUP(E3359,'점포코드 '!A:B,2,0)</f>
        <v>#N/A</v>
      </c>
      <c r="G3359" s="46">
        <f>'Raw data'!F3268</f>
        <v>0</v>
      </c>
      <c r="H3359" s="4">
        <f>'Raw data'!G3268</f>
        <v>0</v>
      </c>
      <c r="I3359" s="29" t="e">
        <f>VLOOKUP(G3359,제품명!$C$1:$E$114,2,0)</f>
        <v>#N/A</v>
      </c>
      <c r="J3359" s="29">
        <f>'Raw data'!K3268</f>
        <v>0</v>
      </c>
      <c r="K3359" s="31">
        <f>'Raw data'!H3268</f>
        <v>0</v>
      </c>
      <c r="L3359" s="26">
        <f t="shared" si="108"/>
        <v>0</v>
      </c>
    </row>
    <row r="3360" spans="2:12">
      <c r="B3360" s="4" t="e">
        <f t="shared" si="107"/>
        <v>#N/A</v>
      </c>
      <c r="C3360" s="4">
        <f>'Raw data'!E2936</f>
        <v>0</v>
      </c>
      <c r="D3360" s="29" t="e">
        <f>VLOOKUP(C3360,'점포코드 '!A:B,2,0)</f>
        <v>#N/A</v>
      </c>
      <c r="E3360" s="30">
        <f>'Raw data'!P2936</f>
        <v>0</v>
      </c>
      <c r="F3360" s="29" t="e">
        <f>VLOOKUP(E3360,'점포코드 '!A:B,2,0)</f>
        <v>#N/A</v>
      </c>
      <c r="G3360" s="46">
        <f>'Raw data'!F3269</f>
        <v>0</v>
      </c>
      <c r="H3360" s="4">
        <f>'Raw data'!G3269</f>
        <v>0</v>
      </c>
      <c r="I3360" s="29" t="e">
        <f>VLOOKUP(G3360,제품명!$C$1:$E$114,2,0)</f>
        <v>#N/A</v>
      </c>
      <c r="J3360" s="29">
        <f>'Raw data'!K3269</f>
        <v>0</v>
      </c>
      <c r="K3360" s="31">
        <f>'Raw data'!H3269</f>
        <v>0</v>
      </c>
      <c r="L3360" s="26">
        <f t="shared" si="108"/>
        <v>0</v>
      </c>
    </row>
    <row r="3361" spans="2:12">
      <c r="B3361" s="4" t="e">
        <f t="shared" si="107"/>
        <v>#N/A</v>
      </c>
      <c r="C3361" s="4">
        <f>'Raw data'!E2937</f>
        <v>0</v>
      </c>
      <c r="D3361" s="29" t="e">
        <f>VLOOKUP(C3361,'점포코드 '!A:B,2,0)</f>
        <v>#N/A</v>
      </c>
      <c r="E3361" s="30">
        <f>'Raw data'!P2937</f>
        <v>0</v>
      </c>
      <c r="F3361" s="29" t="e">
        <f>VLOOKUP(E3361,'점포코드 '!A:B,2,0)</f>
        <v>#N/A</v>
      </c>
      <c r="G3361" s="46">
        <f>'Raw data'!F3270</f>
        <v>0</v>
      </c>
      <c r="H3361" s="4">
        <f>'Raw data'!G3270</f>
        <v>0</v>
      </c>
      <c r="I3361" s="29" t="e">
        <f>VLOOKUP(G3361,제품명!$C$1:$E$114,2,0)</f>
        <v>#N/A</v>
      </c>
      <c r="J3361" s="29">
        <f>'Raw data'!K3270</f>
        <v>0</v>
      </c>
      <c r="K3361" s="31">
        <f>'Raw data'!H3270</f>
        <v>0</v>
      </c>
      <c r="L3361" s="26">
        <f t="shared" si="108"/>
        <v>0</v>
      </c>
    </row>
    <row r="3362" spans="2:12">
      <c r="B3362" s="4" t="e">
        <f t="shared" si="107"/>
        <v>#N/A</v>
      </c>
      <c r="C3362" s="4">
        <f>'Raw data'!E2938</f>
        <v>0</v>
      </c>
      <c r="D3362" s="29" t="e">
        <f>VLOOKUP(C3362,'점포코드 '!A:B,2,0)</f>
        <v>#N/A</v>
      </c>
      <c r="E3362" s="30">
        <f>'Raw data'!P2938</f>
        <v>0</v>
      </c>
      <c r="F3362" s="29" t="e">
        <f>VLOOKUP(E3362,'점포코드 '!A:B,2,0)</f>
        <v>#N/A</v>
      </c>
      <c r="G3362" s="46">
        <f>'Raw data'!F3271</f>
        <v>0</v>
      </c>
      <c r="H3362" s="4">
        <f>'Raw data'!G3271</f>
        <v>0</v>
      </c>
      <c r="I3362" s="29" t="e">
        <f>VLOOKUP(G3362,제품명!$C$1:$E$114,2,0)</f>
        <v>#N/A</v>
      </c>
      <c r="J3362" s="29">
        <f>'Raw data'!K3271</f>
        <v>0</v>
      </c>
      <c r="K3362" s="31">
        <f>'Raw data'!H3271</f>
        <v>0</v>
      </c>
      <c r="L3362" s="26">
        <f t="shared" si="108"/>
        <v>0</v>
      </c>
    </row>
    <row r="3363" spans="2:12">
      <c r="B3363" s="4" t="e">
        <f t="shared" si="107"/>
        <v>#N/A</v>
      </c>
      <c r="C3363" s="4">
        <f>'Raw data'!E2939</f>
        <v>0</v>
      </c>
      <c r="D3363" s="29" t="e">
        <f>VLOOKUP(C3363,'점포코드 '!A:B,2,0)</f>
        <v>#N/A</v>
      </c>
      <c r="E3363" s="30">
        <f>'Raw data'!P2939</f>
        <v>0</v>
      </c>
      <c r="F3363" s="29" t="e">
        <f>VLOOKUP(E3363,'점포코드 '!A:B,2,0)</f>
        <v>#N/A</v>
      </c>
      <c r="G3363" s="46">
        <f>'Raw data'!F3272</f>
        <v>0</v>
      </c>
      <c r="H3363" s="4">
        <f>'Raw data'!G3272</f>
        <v>0</v>
      </c>
      <c r="I3363" s="29" t="e">
        <f>VLOOKUP(G3363,제품명!$C$1:$E$114,2,0)</f>
        <v>#N/A</v>
      </c>
      <c r="J3363" s="29">
        <f>'Raw data'!K3272</f>
        <v>0</v>
      </c>
      <c r="K3363" s="31">
        <f>'Raw data'!H3272</f>
        <v>0</v>
      </c>
      <c r="L3363" s="26">
        <f t="shared" si="108"/>
        <v>0</v>
      </c>
    </row>
    <row r="3364" spans="2:12">
      <c r="B3364" s="4" t="e">
        <f t="shared" si="107"/>
        <v>#N/A</v>
      </c>
      <c r="C3364" s="4">
        <f>'Raw data'!E2940</f>
        <v>0</v>
      </c>
      <c r="D3364" s="29" t="e">
        <f>VLOOKUP(C3364,'점포코드 '!A:B,2,0)</f>
        <v>#N/A</v>
      </c>
      <c r="E3364" s="30">
        <f>'Raw data'!P2940</f>
        <v>0</v>
      </c>
      <c r="F3364" s="29" t="e">
        <f>VLOOKUP(E3364,'점포코드 '!A:B,2,0)</f>
        <v>#N/A</v>
      </c>
      <c r="G3364" s="46">
        <f>'Raw data'!F3273</f>
        <v>0</v>
      </c>
      <c r="H3364" s="4">
        <f>'Raw data'!G3273</f>
        <v>0</v>
      </c>
      <c r="I3364" s="29" t="e">
        <f>VLOOKUP(G3364,제품명!$C$1:$E$114,2,0)</f>
        <v>#N/A</v>
      </c>
      <c r="J3364" s="29">
        <f>'Raw data'!K3273</f>
        <v>0</v>
      </c>
      <c r="K3364" s="31">
        <f>'Raw data'!H3273</f>
        <v>0</v>
      </c>
      <c r="L3364" s="26">
        <f t="shared" si="108"/>
        <v>0</v>
      </c>
    </row>
    <row r="3365" spans="2:12">
      <c r="B3365" s="4" t="e">
        <f t="shared" si="107"/>
        <v>#N/A</v>
      </c>
      <c r="C3365" s="4">
        <f>'Raw data'!E2941</f>
        <v>0</v>
      </c>
      <c r="D3365" s="29" t="e">
        <f>VLOOKUP(C3365,'점포코드 '!A:B,2,0)</f>
        <v>#N/A</v>
      </c>
      <c r="E3365" s="30">
        <f>'Raw data'!P2941</f>
        <v>0</v>
      </c>
      <c r="F3365" s="29" t="e">
        <f>VLOOKUP(E3365,'점포코드 '!A:B,2,0)</f>
        <v>#N/A</v>
      </c>
      <c r="G3365" s="46">
        <f>'Raw data'!F3274</f>
        <v>0</v>
      </c>
      <c r="H3365" s="4">
        <f>'Raw data'!G3274</f>
        <v>0</v>
      </c>
      <c r="I3365" s="29" t="e">
        <f>VLOOKUP(G3365,제품명!$C$1:$E$114,2,0)</f>
        <v>#N/A</v>
      </c>
      <c r="J3365" s="29">
        <f>'Raw data'!K3274</f>
        <v>0</v>
      </c>
      <c r="K3365" s="31">
        <f>'Raw data'!H3274</f>
        <v>0</v>
      </c>
      <c r="L3365" s="26">
        <f t="shared" si="108"/>
        <v>0</v>
      </c>
    </row>
    <row r="3366" spans="2:12">
      <c r="B3366" s="4" t="e">
        <f t="shared" si="107"/>
        <v>#N/A</v>
      </c>
      <c r="C3366" s="4">
        <f>'Raw data'!E2942</f>
        <v>0</v>
      </c>
      <c r="D3366" s="29" t="e">
        <f>VLOOKUP(C3366,'점포코드 '!A:B,2,0)</f>
        <v>#N/A</v>
      </c>
      <c r="E3366" s="30">
        <f>'Raw data'!P2942</f>
        <v>0</v>
      </c>
      <c r="F3366" s="29" t="e">
        <f>VLOOKUP(E3366,'점포코드 '!A:B,2,0)</f>
        <v>#N/A</v>
      </c>
      <c r="G3366" s="46">
        <f>'Raw data'!F3275</f>
        <v>0</v>
      </c>
      <c r="H3366" s="4">
        <f>'Raw data'!G3275</f>
        <v>0</v>
      </c>
      <c r="I3366" s="29" t="e">
        <f>VLOOKUP(G3366,제품명!$C$1:$E$114,2,0)</f>
        <v>#N/A</v>
      </c>
      <c r="J3366" s="29">
        <f>'Raw data'!K3275</f>
        <v>0</v>
      </c>
      <c r="K3366" s="31">
        <f>'Raw data'!H3275</f>
        <v>0</v>
      </c>
      <c r="L3366" s="26">
        <f t="shared" si="108"/>
        <v>0</v>
      </c>
    </row>
    <row r="3367" spans="2:12">
      <c r="B3367" s="4" t="e">
        <f t="shared" si="107"/>
        <v>#N/A</v>
      </c>
      <c r="C3367" s="4">
        <f>'Raw data'!E2943</f>
        <v>0</v>
      </c>
      <c r="D3367" s="29" t="e">
        <f>VLOOKUP(C3367,'점포코드 '!A:B,2,0)</f>
        <v>#N/A</v>
      </c>
      <c r="E3367" s="30">
        <f>'Raw data'!P2943</f>
        <v>0</v>
      </c>
      <c r="F3367" s="29" t="e">
        <f>VLOOKUP(E3367,'점포코드 '!A:B,2,0)</f>
        <v>#N/A</v>
      </c>
      <c r="G3367" s="46">
        <f>'Raw data'!F3276</f>
        <v>0</v>
      </c>
      <c r="H3367" s="4">
        <f>'Raw data'!G3276</f>
        <v>0</v>
      </c>
      <c r="I3367" s="29" t="e">
        <f>VLOOKUP(G3367,제품명!$C$1:$E$114,2,0)</f>
        <v>#N/A</v>
      </c>
      <c r="J3367" s="29">
        <f>'Raw data'!K3276</f>
        <v>0</v>
      </c>
      <c r="K3367" s="31">
        <f>'Raw data'!H3276</f>
        <v>0</v>
      </c>
      <c r="L3367" s="26">
        <f t="shared" si="108"/>
        <v>0</v>
      </c>
    </row>
    <row r="3368" spans="2:12">
      <c r="B3368" s="4" t="e">
        <f t="shared" si="107"/>
        <v>#N/A</v>
      </c>
      <c r="C3368" s="4">
        <f>'Raw data'!E2944</f>
        <v>0</v>
      </c>
      <c r="D3368" s="29" t="e">
        <f>VLOOKUP(C3368,'점포코드 '!A:B,2,0)</f>
        <v>#N/A</v>
      </c>
      <c r="E3368" s="30">
        <f>'Raw data'!P2944</f>
        <v>0</v>
      </c>
      <c r="F3368" s="29" t="e">
        <f>VLOOKUP(E3368,'점포코드 '!A:B,2,0)</f>
        <v>#N/A</v>
      </c>
      <c r="G3368" s="46">
        <f>'Raw data'!F3277</f>
        <v>0</v>
      </c>
      <c r="H3368" s="4">
        <f>'Raw data'!G3277</f>
        <v>0</v>
      </c>
      <c r="I3368" s="29" t="e">
        <f>VLOOKUP(G3368,제품명!$C$1:$E$114,2,0)</f>
        <v>#N/A</v>
      </c>
      <c r="J3368" s="29">
        <f>'Raw data'!K3277</f>
        <v>0</v>
      </c>
      <c r="K3368" s="31">
        <f>'Raw data'!H3277</f>
        <v>0</v>
      </c>
      <c r="L3368" s="26">
        <f t="shared" si="108"/>
        <v>0</v>
      </c>
    </row>
    <row r="3369" spans="2:12">
      <c r="B3369" s="4" t="e">
        <f t="shared" si="107"/>
        <v>#N/A</v>
      </c>
      <c r="C3369" s="4">
        <f>'Raw data'!E2945</f>
        <v>0</v>
      </c>
      <c r="D3369" s="29" t="e">
        <f>VLOOKUP(C3369,'점포코드 '!A:B,2,0)</f>
        <v>#N/A</v>
      </c>
      <c r="E3369" s="30">
        <f>'Raw data'!P2945</f>
        <v>0</v>
      </c>
      <c r="F3369" s="29" t="e">
        <f>VLOOKUP(E3369,'점포코드 '!A:B,2,0)</f>
        <v>#N/A</v>
      </c>
      <c r="G3369" s="46">
        <f>'Raw data'!F3278</f>
        <v>0</v>
      </c>
      <c r="H3369" s="4">
        <f>'Raw data'!G3278</f>
        <v>0</v>
      </c>
      <c r="I3369" s="29" t="e">
        <f>VLOOKUP(G3369,제품명!$C$1:$E$114,2,0)</f>
        <v>#N/A</v>
      </c>
      <c r="J3369" s="29">
        <f>'Raw data'!K3278</f>
        <v>0</v>
      </c>
      <c r="K3369" s="31">
        <f>'Raw data'!H3278</f>
        <v>0</v>
      </c>
      <c r="L3369" s="26">
        <f t="shared" si="108"/>
        <v>0</v>
      </c>
    </row>
    <row r="3370" spans="2:12">
      <c r="B3370" s="4" t="e">
        <f t="shared" si="107"/>
        <v>#N/A</v>
      </c>
      <c r="C3370" s="4">
        <f>'Raw data'!E2946</f>
        <v>0</v>
      </c>
      <c r="D3370" s="29" t="e">
        <f>VLOOKUP(C3370,'점포코드 '!A:B,2,0)</f>
        <v>#N/A</v>
      </c>
      <c r="E3370" s="30">
        <f>'Raw data'!P2946</f>
        <v>0</v>
      </c>
      <c r="F3370" s="29" t="e">
        <f>VLOOKUP(E3370,'점포코드 '!A:B,2,0)</f>
        <v>#N/A</v>
      </c>
      <c r="G3370" s="46">
        <f>'Raw data'!F3279</f>
        <v>0</v>
      </c>
      <c r="H3370" s="4">
        <f>'Raw data'!G3279</f>
        <v>0</v>
      </c>
      <c r="I3370" s="29" t="e">
        <f>VLOOKUP(G3370,제품명!$C$1:$E$114,2,0)</f>
        <v>#N/A</v>
      </c>
      <c r="J3370" s="29">
        <f>'Raw data'!K3279</f>
        <v>0</v>
      </c>
      <c r="K3370" s="31">
        <f>'Raw data'!H3279</f>
        <v>0</v>
      </c>
      <c r="L3370" s="26">
        <f t="shared" si="108"/>
        <v>0</v>
      </c>
    </row>
    <row r="3371" spans="2:12">
      <c r="B3371" s="4" t="e">
        <f t="shared" si="107"/>
        <v>#N/A</v>
      </c>
      <c r="C3371" s="4">
        <f>'Raw data'!E2947</f>
        <v>0</v>
      </c>
      <c r="D3371" s="29" t="e">
        <f>VLOOKUP(C3371,'점포코드 '!A:B,2,0)</f>
        <v>#N/A</v>
      </c>
      <c r="E3371" s="30">
        <f>'Raw data'!P2947</f>
        <v>0</v>
      </c>
      <c r="F3371" s="29" t="e">
        <f>VLOOKUP(E3371,'점포코드 '!A:B,2,0)</f>
        <v>#N/A</v>
      </c>
      <c r="G3371" s="46">
        <f>'Raw data'!F3280</f>
        <v>0</v>
      </c>
      <c r="H3371" s="4">
        <f>'Raw data'!G3280</f>
        <v>0</v>
      </c>
      <c r="I3371" s="29" t="e">
        <f>VLOOKUP(G3371,제품명!$C$1:$E$114,2,0)</f>
        <v>#N/A</v>
      </c>
      <c r="J3371" s="29">
        <f>'Raw data'!K3280</f>
        <v>0</v>
      </c>
      <c r="K3371" s="31">
        <f>'Raw data'!H3280</f>
        <v>0</v>
      </c>
      <c r="L3371" s="26">
        <f t="shared" si="108"/>
        <v>0</v>
      </c>
    </row>
    <row r="3372" spans="2:12">
      <c r="B3372" s="4" t="e">
        <f t="shared" si="107"/>
        <v>#N/A</v>
      </c>
      <c r="C3372" s="4">
        <f>'Raw data'!E2948</f>
        <v>0</v>
      </c>
      <c r="D3372" s="29" t="e">
        <f>VLOOKUP(C3372,'점포코드 '!A:B,2,0)</f>
        <v>#N/A</v>
      </c>
      <c r="E3372" s="30">
        <f>'Raw data'!P2948</f>
        <v>0</v>
      </c>
      <c r="F3372" s="29" t="e">
        <f>VLOOKUP(E3372,'점포코드 '!A:B,2,0)</f>
        <v>#N/A</v>
      </c>
      <c r="G3372" s="46">
        <f>'Raw data'!F3281</f>
        <v>0</v>
      </c>
      <c r="H3372" s="4">
        <f>'Raw data'!G3281</f>
        <v>0</v>
      </c>
      <c r="I3372" s="29" t="e">
        <f>VLOOKUP(G3372,제품명!$C$1:$E$114,2,0)</f>
        <v>#N/A</v>
      </c>
      <c r="J3372" s="29">
        <f>'Raw data'!K3281</f>
        <v>0</v>
      </c>
      <c r="K3372" s="31">
        <f>'Raw data'!H3281</f>
        <v>0</v>
      </c>
      <c r="L3372" s="26">
        <f t="shared" si="108"/>
        <v>0</v>
      </c>
    </row>
    <row r="3373" spans="2:12">
      <c r="B3373" s="4" t="e">
        <f t="shared" si="107"/>
        <v>#N/A</v>
      </c>
      <c r="C3373" s="4">
        <f>'Raw data'!E2949</f>
        <v>0</v>
      </c>
      <c r="D3373" s="29" t="e">
        <f>VLOOKUP(C3373,'점포코드 '!A:B,2,0)</f>
        <v>#N/A</v>
      </c>
      <c r="E3373" s="30">
        <f>'Raw data'!P2949</f>
        <v>0</v>
      </c>
      <c r="F3373" s="29" t="e">
        <f>VLOOKUP(E3373,'점포코드 '!A:B,2,0)</f>
        <v>#N/A</v>
      </c>
      <c r="G3373" s="46">
        <f>'Raw data'!F3282</f>
        <v>0</v>
      </c>
      <c r="H3373" s="4">
        <f>'Raw data'!G3282</f>
        <v>0</v>
      </c>
      <c r="I3373" s="29" t="e">
        <f>VLOOKUP(G3373,제품명!$C$1:$E$114,2,0)</f>
        <v>#N/A</v>
      </c>
      <c r="J3373" s="29">
        <f>'Raw data'!K3282</f>
        <v>0</v>
      </c>
      <c r="K3373" s="31">
        <f>'Raw data'!H3282</f>
        <v>0</v>
      </c>
      <c r="L3373" s="26">
        <f t="shared" si="108"/>
        <v>0</v>
      </c>
    </row>
    <row r="3374" spans="2:12">
      <c r="B3374" s="4" t="e">
        <f t="shared" si="107"/>
        <v>#N/A</v>
      </c>
      <c r="C3374" s="4">
        <f>'Raw data'!E2950</f>
        <v>0</v>
      </c>
      <c r="D3374" s="29" t="e">
        <f>VLOOKUP(C3374,'점포코드 '!A:B,2,0)</f>
        <v>#N/A</v>
      </c>
      <c r="E3374" s="30">
        <f>'Raw data'!P2950</f>
        <v>0</v>
      </c>
      <c r="F3374" s="29" t="e">
        <f>VLOOKUP(E3374,'점포코드 '!A:B,2,0)</f>
        <v>#N/A</v>
      </c>
      <c r="G3374" s="46">
        <f>'Raw data'!F3283</f>
        <v>0</v>
      </c>
      <c r="H3374" s="4">
        <f>'Raw data'!G3283</f>
        <v>0</v>
      </c>
      <c r="I3374" s="29" t="e">
        <f>VLOOKUP(G3374,제품명!$C$1:$E$114,2,0)</f>
        <v>#N/A</v>
      </c>
      <c r="J3374" s="29">
        <f>'Raw data'!K3283</f>
        <v>0</v>
      </c>
      <c r="K3374" s="31">
        <f>'Raw data'!H3283</f>
        <v>0</v>
      </c>
      <c r="L3374" s="26">
        <f t="shared" si="108"/>
        <v>0</v>
      </c>
    </row>
    <row r="3375" spans="2:12">
      <c r="B3375" s="4" t="e">
        <f t="shared" si="107"/>
        <v>#N/A</v>
      </c>
      <c r="C3375" s="4">
        <f>'Raw data'!E2951</f>
        <v>0</v>
      </c>
      <c r="D3375" s="29" t="e">
        <f>VLOOKUP(C3375,'점포코드 '!A:B,2,0)</f>
        <v>#N/A</v>
      </c>
      <c r="E3375" s="30">
        <f>'Raw data'!P2951</f>
        <v>0</v>
      </c>
      <c r="F3375" s="29" t="e">
        <f>VLOOKUP(E3375,'점포코드 '!A:B,2,0)</f>
        <v>#N/A</v>
      </c>
      <c r="G3375" s="46">
        <f>'Raw data'!F3284</f>
        <v>0</v>
      </c>
      <c r="H3375" s="4">
        <f>'Raw data'!G3284</f>
        <v>0</v>
      </c>
      <c r="I3375" s="29" t="e">
        <f>VLOOKUP(G3375,제품명!$C$1:$E$114,2,0)</f>
        <v>#N/A</v>
      </c>
      <c r="J3375" s="29">
        <f>'Raw data'!K3284</f>
        <v>0</v>
      </c>
      <c r="K3375" s="31">
        <f>'Raw data'!H3284</f>
        <v>0</v>
      </c>
      <c r="L3375" s="26">
        <f t="shared" si="108"/>
        <v>0</v>
      </c>
    </row>
    <row r="3376" spans="2:12">
      <c r="B3376" s="4" t="e">
        <f t="shared" si="107"/>
        <v>#N/A</v>
      </c>
      <c r="C3376" s="4">
        <f>'Raw data'!E2952</f>
        <v>0</v>
      </c>
      <c r="D3376" s="29" t="e">
        <f>VLOOKUP(C3376,'점포코드 '!A:B,2,0)</f>
        <v>#N/A</v>
      </c>
      <c r="E3376" s="30">
        <f>'Raw data'!P2952</f>
        <v>0</v>
      </c>
      <c r="F3376" s="29" t="e">
        <f>VLOOKUP(E3376,'점포코드 '!A:B,2,0)</f>
        <v>#N/A</v>
      </c>
      <c r="G3376" s="46">
        <f>'Raw data'!F3285</f>
        <v>0</v>
      </c>
      <c r="H3376" s="4">
        <f>'Raw data'!G3285</f>
        <v>0</v>
      </c>
      <c r="I3376" s="29" t="e">
        <f>VLOOKUP(G3376,제품명!$C$1:$E$114,2,0)</f>
        <v>#N/A</v>
      </c>
      <c r="J3376" s="29">
        <f>'Raw data'!K3285</f>
        <v>0</v>
      </c>
      <c r="K3376" s="31">
        <f>'Raw data'!H3285</f>
        <v>0</v>
      </c>
      <c r="L3376" s="26">
        <f t="shared" si="108"/>
        <v>0</v>
      </c>
    </row>
    <row r="3377" spans="2:12">
      <c r="B3377" s="4" t="e">
        <f t="shared" si="107"/>
        <v>#N/A</v>
      </c>
      <c r="C3377" s="4">
        <f>'Raw data'!E2953</f>
        <v>0</v>
      </c>
      <c r="D3377" s="29" t="e">
        <f>VLOOKUP(C3377,'점포코드 '!A:B,2,0)</f>
        <v>#N/A</v>
      </c>
      <c r="E3377" s="30">
        <f>'Raw data'!P2953</f>
        <v>0</v>
      </c>
      <c r="F3377" s="29" t="e">
        <f>VLOOKUP(E3377,'점포코드 '!A:B,2,0)</f>
        <v>#N/A</v>
      </c>
      <c r="G3377" s="46">
        <f>'Raw data'!F3286</f>
        <v>0</v>
      </c>
      <c r="H3377" s="4">
        <f>'Raw data'!G3286</f>
        <v>0</v>
      </c>
      <c r="I3377" s="29" t="e">
        <f>VLOOKUP(G3377,제품명!$C$1:$E$114,2,0)</f>
        <v>#N/A</v>
      </c>
      <c r="J3377" s="29">
        <f>'Raw data'!K3286</f>
        <v>0</v>
      </c>
      <c r="K3377" s="31">
        <f>'Raw data'!H3286</f>
        <v>0</v>
      </c>
      <c r="L3377" s="26">
        <f t="shared" si="108"/>
        <v>0</v>
      </c>
    </row>
    <row r="3378" spans="2:12">
      <c r="B3378" s="4" t="e">
        <f t="shared" si="107"/>
        <v>#N/A</v>
      </c>
      <c r="C3378" s="4">
        <f>'Raw data'!E2954</f>
        <v>0</v>
      </c>
      <c r="D3378" s="29" t="e">
        <f>VLOOKUP(C3378,'점포코드 '!A:B,2,0)</f>
        <v>#N/A</v>
      </c>
      <c r="E3378" s="30">
        <f>'Raw data'!P2954</f>
        <v>0</v>
      </c>
      <c r="F3378" s="29" t="e">
        <f>VLOOKUP(E3378,'점포코드 '!A:B,2,0)</f>
        <v>#N/A</v>
      </c>
      <c r="G3378" s="46">
        <f>'Raw data'!F3287</f>
        <v>0</v>
      </c>
      <c r="H3378" s="4">
        <f>'Raw data'!G3287</f>
        <v>0</v>
      </c>
      <c r="I3378" s="29" t="e">
        <f>VLOOKUP(G3378,제품명!$C$1:$E$114,2,0)</f>
        <v>#N/A</v>
      </c>
      <c r="J3378" s="29">
        <f>'Raw data'!K3287</f>
        <v>0</v>
      </c>
      <c r="K3378" s="31">
        <f>'Raw data'!H3287</f>
        <v>0</v>
      </c>
      <c r="L3378" s="26">
        <f t="shared" si="108"/>
        <v>0</v>
      </c>
    </row>
    <row r="3379" spans="2:12">
      <c r="B3379" s="4" t="e">
        <f t="shared" si="107"/>
        <v>#N/A</v>
      </c>
      <c r="C3379" s="4">
        <f>'Raw data'!E2955</f>
        <v>0</v>
      </c>
      <c r="D3379" s="29" t="e">
        <f>VLOOKUP(C3379,'점포코드 '!A:B,2,0)</f>
        <v>#N/A</v>
      </c>
      <c r="E3379" s="30">
        <f>'Raw data'!P2955</f>
        <v>0</v>
      </c>
      <c r="F3379" s="29" t="e">
        <f>VLOOKUP(E3379,'점포코드 '!A:B,2,0)</f>
        <v>#N/A</v>
      </c>
      <c r="G3379" s="46">
        <f>'Raw data'!F3288</f>
        <v>0</v>
      </c>
      <c r="H3379" s="4">
        <f>'Raw data'!G3288</f>
        <v>0</v>
      </c>
      <c r="I3379" s="29" t="e">
        <f>VLOOKUP(G3379,제품명!$C$1:$E$114,2,0)</f>
        <v>#N/A</v>
      </c>
      <c r="J3379" s="29">
        <f>'Raw data'!K3288</f>
        <v>0</v>
      </c>
      <c r="K3379" s="31">
        <f>'Raw data'!H3288</f>
        <v>0</v>
      </c>
      <c r="L3379" s="26">
        <f t="shared" si="108"/>
        <v>0</v>
      </c>
    </row>
    <row r="3380" spans="2:12">
      <c r="B3380" s="4" t="e">
        <f t="shared" si="107"/>
        <v>#N/A</v>
      </c>
      <c r="C3380" s="4">
        <f>'Raw data'!E2956</f>
        <v>0</v>
      </c>
      <c r="D3380" s="29" t="e">
        <f>VLOOKUP(C3380,'점포코드 '!A:B,2,0)</f>
        <v>#N/A</v>
      </c>
      <c r="E3380" s="30">
        <f>'Raw data'!P2956</f>
        <v>0</v>
      </c>
      <c r="F3380" s="29" t="e">
        <f>VLOOKUP(E3380,'점포코드 '!A:B,2,0)</f>
        <v>#N/A</v>
      </c>
      <c r="G3380" s="46">
        <f>'Raw data'!F3289</f>
        <v>0</v>
      </c>
      <c r="H3380" s="4">
        <f>'Raw data'!G3289</f>
        <v>0</v>
      </c>
      <c r="I3380" s="29" t="e">
        <f>VLOOKUP(G3380,제품명!$C$1:$E$114,2,0)</f>
        <v>#N/A</v>
      </c>
      <c r="J3380" s="29">
        <f>'Raw data'!K3289</f>
        <v>0</v>
      </c>
      <c r="K3380" s="31">
        <f>'Raw data'!H3289</f>
        <v>0</v>
      </c>
      <c r="L3380" s="26">
        <f t="shared" si="108"/>
        <v>0</v>
      </c>
    </row>
    <row r="3381" spans="2:12">
      <c r="B3381" s="4" t="e">
        <f t="shared" si="107"/>
        <v>#N/A</v>
      </c>
      <c r="C3381" s="4">
        <f>'Raw data'!E2957</f>
        <v>0</v>
      </c>
      <c r="D3381" s="29" t="e">
        <f>VLOOKUP(C3381,'점포코드 '!A:B,2,0)</f>
        <v>#N/A</v>
      </c>
      <c r="E3381" s="30">
        <f>'Raw data'!P2957</f>
        <v>0</v>
      </c>
      <c r="F3381" s="29" t="e">
        <f>VLOOKUP(E3381,'점포코드 '!A:B,2,0)</f>
        <v>#N/A</v>
      </c>
      <c r="G3381" s="46">
        <f>'Raw data'!F3290</f>
        <v>0</v>
      </c>
      <c r="H3381" s="4">
        <f>'Raw data'!G3290</f>
        <v>0</v>
      </c>
      <c r="I3381" s="29" t="e">
        <f>VLOOKUP(G3381,제품명!$C$1:$E$114,2,0)</f>
        <v>#N/A</v>
      </c>
      <c r="J3381" s="29">
        <f>'Raw data'!K3290</f>
        <v>0</v>
      </c>
      <c r="K3381" s="31">
        <f>'Raw data'!H3290</f>
        <v>0</v>
      </c>
      <c r="L3381" s="26">
        <f t="shared" si="108"/>
        <v>0</v>
      </c>
    </row>
    <row r="3382" spans="2:12">
      <c r="B3382" s="4" t="e">
        <f t="shared" si="107"/>
        <v>#N/A</v>
      </c>
      <c r="C3382" s="4">
        <f>'Raw data'!E2958</f>
        <v>0</v>
      </c>
      <c r="D3382" s="29" t="e">
        <f>VLOOKUP(C3382,'점포코드 '!A:B,2,0)</f>
        <v>#N/A</v>
      </c>
      <c r="E3382" s="30">
        <f>'Raw data'!P2958</f>
        <v>0</v>
      </c>
      <c r="F3382" s="29" t="e">
        <f>VLOOKUP(E3382,'점포코드 '!A:B,2,0)</f>
        <v>#N/A</v>
      </c>
      <c r="G3382" s="46">
        <f>'Raw data'!F3291</f>
        <v>0</v>
      </c>
      <c r="H3382" s="4">
        <f>'Raw data'!G3291</f>
        <v>0</v>
      </c>
      <c r="I3382" s="29" t="e">
        <f>VLOOKUP(G3382,제품명!$C$1:$E$114,2,0)</f>
        <v>#N/A</v>
      </c>
      <c r="J3382" s="29">
        <f>'Raw data'!K3291</f>
        <v>0</v>
      </c>
      <c r="K3382" s="31">
        <f>'Raw data'!H3291</f>
        <v>0</v>
      </c>
      <c r="L3382" s="26">
        <f t="shared" si="108"/>
        <v>0</v>
      </c>
    </row>
    <row r="3383" spans="2:12">
      <c r="B3383" s="4" t="e">
        <f t="shared" si="107"/>
        <v>#N/A</v>
      </c>
      <c r="C3383" s="4">
        <f>'Raw data'!E2959</f>
        <v>0</v>
      </c>
      <c r="D3383" s="29" t="e">
        <f>VLOOKUP(C3383,'점포코드 '!A:B,2,0)</f>
        <v>#N/A</v>
      </c>
      <c r="E3383" s="30">
        <f>'Raw data'!P2959</f>
        <v>0</v>
      </c>
      <c r="F3383" s="29" t="e">
        <f>VLOOKUP(E3383,'점포코드 '!A:B,2,0)</f>
        <v>#N/A</v>
      </c>
      <c r="G3383" s="46">
        <f>'Raw data'!F3292</f>
        <v>0</v>
      </c>
      <c r="H3383" s="4">
        <f>'Raw data'!G3292</f>
        <v>0</v>
      </c>
      <c r="I3383" s="29" t="e">
        <f>VLOOKUP(G3383,제품명!$C$1:$E$114,2,0)</f>
        <v>#N/A</v>
      </c>
      <c r="J3383" s="29">
        <f>'Raw data'!K3292</f>
        <v>0</v>
      </c>
      <c r="K3383" s="31">
        <f>'Raw data'!H3292</f>
        <v>0</v>
      </c>
      <c r="L3383" s="26">
        <f t="shared" si="108"/>
        <v>0</v>
      </c>
    </row>
    <row r="3384" spans="2:12">
      <c r="B3384" s="4" t="e">
        <f t="shared" si="107"/>
        <v>#N/A</v>
      </c>
      <c r="C3384" s="4">
        <f>'Raw data'!E2960</f>
        <v>0</v>
      </c>
      <c r="D3384" s="29" t="e">
        <f>VLOOKUP(C3384,'점포코드 '!A:B,2,0)</f>
        <v>#N/A</v>
      </c>
      <c r="E3384" s="30">
        <f>'Raw data'!P2960</f>
        <v>0</v>
      </c>
      <c r="F3384" s="29" t="e">
        <f>VLOOKUP(E3384,'점포코드 '!A:B,2,0)</f>
        <v>#N/A</v>
      </c>
      <c r="G3384" s="46">
        <f>'Raw data'!F3293</f>
        <v>0</v>
      </c>
      <c r="H3384" s="4">
        <f>'Raw data'!G3293</f>
        <v>0</v>
      </c>
      <c r="I3384" s="29" t="e">
        <f>VLOOKUP(G3384,제품명!$C$1:$E$114,2,0)</f>
        <v>#N/A</v>
      </c>
      <c r="J3384" s="29">
        <f>'Raw data'!K3293</f>
        <v>0</v>
      </c>
      <c r="K3384" s="31">
        <f>'Raw data'!H3293</f>
        <v>0</v>
      </c>
      <c r="L3384" s="26">
        <f t="shared" si="108"/>
        <v>0</v>
      </c>
    </row>
    <row r="3385" spans="2:12">
      <c r="B3385" s="4" t="e">
        <f t="shared" si="107"/>
        <v>#N/A</v>
      </c>
      <c r="C3385" s="4">
        <f>'Raw data'!E2961</f>
        <v>0</v>
      </c>
      <c r="D3385" s="29" t="e">
        <f>VLOOKUP(C3385,'점포코드 '!A:B,2,0)</f>
        <v>#N/A</v>
      </c>
      <c r="E3385" s="30">
        <f>'Raw data'!P2961</f>
        <v>0</v>
      </c>
      <c r="F3385" s="29" t="e">
        <f>VLOOKUP(E3385,'점포코드 '!A:B,2,0)</f>
        <v>#N/A</v>
      </c>
      <c r="G3385" s="46">
        <f>'Raw data'!F3294</f>
        <v>0</v>
      </c>
      <c r="H3385" s="4">
        <f>'Raw data'!G3294</f>
        <v>0</v>
      </c>
      <c r="I3385" s="29" t="e">
        <f>VLOOKUP(G3385,제품명!$C$1:$E$114,2,0)</f>
        <v>#N/A</v>
      </c>
      <c r="J3385" s="29">
        <f>'Raw data'!K3294</f>
        <v>0</v>
      </c>
      <c r="K3385" s="31">
        <f>'Raw data'!H3294</f>
        <v>0</v>
      </c>
      <c r="L3385" s="26">
        <f t="shared" si="108"/>
        <v>0</v>
      </c>
    </row>
    <row r="3386" spans="2:12">
      <c r="B3386" s="4" t="e">
        <f t="shared" si="107"/>
        <v>#N/A</v>
      </c>
      <c r="C3386" s="4">
        <f>'Raw data'!E2962</f>
        <v>0</v>
      </c>
      <c r="D3386" s="29" t="e">
        <f>VLOOKUP(C3386,'점포코드 '!A:B,2,0)</f>
        <v>#N/A</v>
      </c>
      <c r="E3386" s="30">
        <f>'Raw data'!P2962</f>
        <v>0</v>
      </c>
      <c r="F3386" s="29" t="e">
        <f>VLOOKUP(E3386,'점포코드 '!A:B,2,0)</f>
        <v>#N/A</v>
      </c>
      <c r="G3386" s="46">
        <f>'Raw data'!F3295</f>
        <v>0</v>
      </c>
      <c r="H3386" s="4">
        <f>'Raw data'!G3295</f>
        <v>0</v>
      </c>
      <c r="I3386" s="29" t="e">
        <f>VLOOKUP(G3386,제품명!$C$1:$E$114,2,0)</f>
        <v>#N/A</v>
      </c>
      <c r="J3386" s="29">
        <f>'Raw data'!K3295</f>
        <v>0</v>
      </c>
      <c r="K3386" s="31">
        <f>'Raw data'!H3295</f>
        <v>0</v>
      </c>
      <c r="L3386" s="26">
        <f t="shared" si="108"/>
        <v>0</v>
      </c>
    </row>
    <row r="3387" spans="2:12">
      <c r="B3387" s="4" t="e">
        <f t="shared" si="107"/>
        <v>#N/A</v>
      </c>
      <c r="C3387" s="4">
        <f>'Raw data'!E2963</f>
        <v>0</v>
      </c>
      <c r="D3387" s="29" t="e">
        <f>VLOOKUP(C3387,'점포코드 '!A:B,2,0)</f>
        <v>#N/A</v>
      </c>
      <c r="E3387" s="30">
        <f>'Raw data'!P2963</f>
        <v>0</v>
      </c>
      <c r="F3387" s="29" t="e">
        <f>VLOOKUP(E3387,'점포코드 '!A:B,2,0)</f>
        <v>#N/A</v>
      </c>
      <c r="G3387" s="46">
        <f>'Raw data'!F3296</f>
        <v>0</v>
      </c>
      <c r="H3387" s="4">
        <f>'Raw data'!G3296</f>
        <v>0</v>
      </c>
      <c r="I3387" s="29" t="e">
        <f>VLOOKUP(G3387,제품명!$C$1:$E$114,2,0)</f>
        <v>#N/A</v>
      </c>
      <c r="J3387" s="29">
        <f>'Raw data'!K3296</f>
        <v>0</v>
      </c>
      <c r="K3387" s="31">
        <f>'Raw data'!H3296</f>
        <v>0</v>
      </c>
      <c r="L3387" s="26">
        <f t="shared" si="108"/>
        <v>0</v>
      </c>
    </row>
    <row r="3388" spans="2:12">
      <c r="B3388" s="4" t="e">
        <f t="shared" si="107"/>
        <v>#N/A</v>
      </c>
      <c r="C3388" s="4">
        <f>'Raw data'!E2964</f>
        <v>0</v>
      </c>
      <c r="D3388" s="29" t="e">
        <f>VLOOKUP(C3388,'점포코드 '!A:B,2,0)</f>
        <v>#N/A</v>
      </c>
      <c r="E3388" s="30">
        <f>'Raw data'!P2964</f>
        <v>0</v>
      </c>
      <c r="F3388" s="29" t="e">
        <f>VLOOKUP(E3388,'점포코드 '!A:B,2,0)</f>
        <v>#N/A</v>
      </c>
      <c r="G3388" s="46">
        <f>'Raw data'!F3297</f>
        <v>0</v>
      </c>
      <c r="H3388" s="4">
        <f>'Raw data'!G3297</f>
        <v>0</v>
      </c>
      <c r="I3388" s="29" t="e">
        <f>VLOOKUP(G3388,제품명!$C$1:$E$114,2,0)</f>
        <v>#N/A</v>
      </c>
      <c r="J3388" s="29">
        <f>'Raw data'!K3297</f>
        <v>0</v>
      </c>
      <c r="K3388" s="31">
        <f>'Raw data'!H3297</f>
        <v>0</v>
      </c>
      <c r="L3388" s="26">
        <f t="shared" si="108"/>
        <v>0</v>
      </c>
    </row>
    <row r="3389" spans="2:12">
      <c r="B3389" s="4" t="e">
        <f t="shared" si="107"/>
        <v>#N/A</v>
      </c>
      <c r="C3389" s="4">
        <f>'Raw data'!E2965</f>
        <v>0</v>
      </c>
      <c r="D3389" s="29" t="e">
        <f>VLOOKUP(C3389,'점포코드 '!A:B,2,0)</f>
        <v>#N/A</v>
      </c>
      <c r="E3389" s="30">
        <f>'Raw data'!P2965</f>
        <v>0</v>
      </c>
      <c r="F3389" s="29" t="e">
        <f>VLOOKUP(E3389,'점포코드 '!A:B,2,0)</f>
        <v>#N/A</v>
      </c>
      <c r="G3389" s="46">
        <f>'Raw data'!F3298</f>
        <v>0</v>
      </c>
      <c r="H3389" s="4">
        <f>'Raw data'!G3298</f>
        <v>0</v>
      </c>
      <c r="I3389" s="29" t="e">
        <f>VLOOKUP(G3389,제품명!$C$1:$E$114,2,0)</f>
        <v>#N/A</v>
      </c>
      <c r="J3389" s="29">
        <f>'Raw data'!K3298</f>
        <v>0</v>
      </c>
      <c r="K3389" s="31">
        <f>'Raw data'!H3298</f>
        <v>0</v>
      </c>
      <c r="L3389" s="26">
        <f t="shared" si="108"/>
        <v>0</v>
      </c>
    </row>
    <row r="3390" spans="2:12">
      <c r="B3390" s="4" t="e">
        <f t="shared" si="107"/>
        <v>#N/A</v>
      </c>
      <c r="C3390" s="4">
        <f>'Raw data'!E2966</f>
        <v>0</v>
      </c>
      <c r="D3390" s="29" t="e">
        <f>VLOOKUP(C3390,'점포코드 '!A:B,2,0)</f>
        <v>#N/A</v>
      </c>
      <c r="E3390" s="30">
        <f>'Raw data'!P2966</f>
        <v>0</v>
      </c>
      <c r="F3390" s="29" t="e">
        <f>VLOOKUP(E3390,'점포코드 '!A:B,2,0)</f>
        <v>#N/A</v>
      </c>
      <c r="G3390" s="46">
        <f>'Raw data'!F3299</f>
        <v>0</v>
      </c>
      <c r="H3390" s="4">
        <f>'Raw data'!G3299</f>
        <v>0</v>
      </c>
      <c r="I3390" s="29" t="e">
        <f>VLOOKUP(G3390,제품명!$C$1:$E$114,2,0)</f>
        <v>#N/A</v>
      </c>
      <c r="J3390" s="29">
        <f>'Raw data'!K3299</f>
        <v>0</v>
      </c>
      <c r="K3390" s="31">
        <f>'Raw data'!H3299</f>
        <v>0</v>
      </c>
      <c r="L3390" s="26">
        <f t="shared" si="108"/>
        <v>0</v>
      </c>
    </row>
    <row r="3391" spans="2:12">
      <c r="B3391" s="4" t="e">
        <f t="shared" si="107"/>
        <v>#N/A</v>
      </c>
      <c r="C3391" s="4">
        <f>'Raw data'!E2967</f>
        <v>0</v>
      </c>
      <c r="D3391" s="29" t="e">
        <f>VLOOKUP(C3391,'점포코드 '!A:B,2,0)</f>
        <v>#N/A</v>
      </c>
      <c r="E3391" s="30">
        <f>'Raw data'!P2967</f>
        <v>0</v>
      </c>
      <c r="F3391" s="29" t="e">
        <f>VLOOKUP(E3391,'점포코드 '!A:B,2,0)</f>
        <v>#N/A</v>
      </c>
      <c r="G3391" s="46">
        <f>'Raw data'!F3300</f>
        <v>0</v>
      </c>
      <c r="H3391" s="4">
        <f>'Raw data'!G3300</f>
        <v>0</v>
      </c>
      <c r="I3391" s="29" t="e">
        <f>VLOOKUP(G3391,제품명!$C$1:$E$114,2,0)</f>
        <v>#N/A</v>
      </c>
      <c r="J3391" s="29">
        <f>'Raw data'!K3300</f>
        <v>0</v>
      </c>
      <c r="K3391" s="31">
        <f>'Raw data'!H3300</f>
        <v>0</v>
      </c>
      <c r="L3391" s="26">
        <f t="shared" si="108"/>
        <v>0</v>
      </c>
    </row>
    <row r="3392" spans="2:12">
      <c r="B3392" s="4" t="e">
        <f t="shared" si="107"/>
        <v>#N/A</v>
      </c>
      <c r="C3392" s="4">
        <f>'Raw data'!E2968</f>
        <v>0</v>
      </c>
      <c r="D3392" s="29" t="e">
        <f>VLOOKUP(C3392,'점포코드 '!A:B,2,0)</f>
        <v>#N/A</v>
      </c>
      <c r="E3392" s="30">
        <f>'Raw data'!P2968</f>
        <v>0</v>
      </c>
      <c r="F3392" s="29" t="e">
        <f>VLOOKUP(E3392,'점포코드 '!A:B,2,0)</f>
        <v>#N/A</v>
      </c>
      <c r="G3392" s="46">
        <f>'Raw data'!F3301</f>
        <v>0</v>
      </c>
      <c r="H3392" s="4">
        <f>'Raw data'!G3301</f>
        <v>0</v>
      </c>
      <c r="I3392" s="29" t="e">
        <f>VLOOKUP(G3392,제품명!$C$1:$E$114,2,0)</f>
        <v>#N/A</v>
      </c>
      <c r="J3392" s="29">
        <f>'Raw data'!K3301</f>
        <v>0</v>
      </c>
      <c r="K3392" s="31">
        <f>'Raw data'!H3301</f>
        <v>0</v>
      </c>
      <c r="L3392" s="26">
        <f t="shared" si="108"/>
        <v>0</v>
      </c>
    </row>
    <row r="3393" spans="2:12">
      <c r="B3393" s="4" t="e">
        <f t="shared" si="107"/>
        <v>#N/A</v>
      </c>
      <c r="C3393" s="4">
        <f>'Raw data'!E2969</f>
        <v>0</v>
      </c>
      <c r="D3393" s="29" t="e">
        <f>VLOOKUP(C3393,'점포코드 '!A:B,2,0)</f>
        <v>#N/A</v>
      </c>
      <c r="E3393" s="30">
        <f>'Raw data'!P2969</f>
        <v>0</v>
      </c>
      <c r="F3393" s="29" t="e">
        <f>VLOOKUP(E3393,'점포코드 '!A:B,2,0)</f>
        <v>#N/A</v>
      </c>
      <c r="G3393" s="46">
        <f>'Raw data'!F3302</f>
        <v>0</v>
      </c>
      <c r="H3393" s="4">
        <f>'Raw data'!G3302</f>
        <v>0</v>
      </c>
      <c r="I3393" s="29" t="e">
        <f>VLOOKUP(G3393,제품명!$C$1:$E$114,2,0)</f>
        <v>#N/A</v>
      </c>
      <c r="J3393" s="29">
        <f>'Raw data'!K3302</f>
        <v>0</v>
      </c>
      <c r="K3393" s="31">
        <f>'Raw data'!H3302</f>
        <v>0</v>
      </c>
      <c r="L3393" s="26">
        <f t="shared" si="108"/>
        <v>0</v>
      </c>
    </row>
    <row r="3394" spans="2:12">
      <c r="B3394" s="4" t="e">
        <f t="shared" ref="B3394:B3457" si="109">F3394&amp;I3394</f>
        <v>#N/A</v>
      </c>
      <c r="C3394" s="4">
        <f>'Raw data'!E2970</f>
        <v>0</v>
      </c>
      <c r="D3394" s="29" t="e">
        <f>VLOOKUP(C3394,'점포코드 '!A:B,2,0)</f>
        <v>#N/A</v>
      </c>
      <c r="E3394" s="30">
        <f>'Raw data'!P2970</f>
        <v>0</v>
      </c>
      <c r="F3394" s="29" t="e">
        <f>VLOOKUP(E3394,'점포코드 '!A:B,2,0)</f>
        <v>#N/A</v>
      </c>
      <c r="G3394" s="46">
        <f>'Raw data'!F3303</f>
        <v>0</v>
      </c>
      <c r="H3394" s="4">
        <f>'Raw data'!G3303</f>
        <v>0</v>
      </c>
      <c r="I3394" s="29" t="e">
        <f>VLOOKUP(G3394,제품명!$C$1:$E$114,2,0)</f>
        <v>#N/A</v>
      </c>
      <c r="J3394" s="29">
        <f>'Raw data'!K3303</f>
        <v>0</v>
      </c>
      <c r="K3394" s="31">
        <f>'Raw data'!H3303</f>
        <v>0</v>
      </c>
      <c r="L3394" s="26">
        <f t="shared" si="108"/>
        <v>0</v>
      </c>
    </row>
    <row r="3395" spans="2:12">
      <c r="B3395" s="4" t="e">
        <f t="shared" si="109"/>
        <v>#N/A</v>
      </c>
      <c r="C3395" s="4">
        <f>'Raw data'!E2971</f>
        <v>0</v>
      </c>
      <c r="D3395" s="29" t="e">
        <f>VLOOKUP(C3395,'점포코드 '!A:B,2,0)</f>
        <v>#N/A</v>
      </c>
      <c r="E3395" s="30">
        <f>'Raw data'!P2971</f>
        <v>0</v>
      </c>
      <c r="F3395" s="29" t="e">
        <f>VLOOKUP(E3395,'점포코드 '!A:B,2,0)</f>
        <v>#N/A</v>
      </c>
      <c r="G3395" s="46">
        <f>'Raw data'!F3304</f>
        <v>0</v>
      </c>
      <c r="H3395" s="4">
        <f>'Raw data'!G3304</f>
        <v>0</v>
      </c>
      <c r="I3395" s="29" t="e">
        <f>VLOOKUP(G3395,제품명!$C$1:$E$114,2,0)</f>
        <v>#N/A</v>
      </c>
      <c r="J3395" s="29">
        <f>'Raw data'!K3304</f>
        <v>0</v>
      </c>
      <c r="K3395" s="31">
        <f>'Raw data'!H3304</f>
        <v>0</v>
      </c>
      <c r="L3395" s="26">
        <f t="shared" ref="L3395:L3458" si="110">J3395*K3395</f>
        <v>0</v>
      </c>
    </row>
    <row r="3396" spans="2:12">
      <c r="B3396" s="4" t="e">
        <f t="shared" si="109"/>
        <v>#N/A</v>
      </c>
      <c r="C3396" s="4">
        <f>'Raw data'!E2972</f>
        <v>0</v>
      </c>
      <c r="D3396" s="29" t="e">
        <f>VLOOKUP(C3396,'점포코드 '!A:B,2,0)</f>
        <v>#N/A</v>
      </c>
      <c r="E3396" s="30">
        <f>'Raw data'!P2972</f>
        <v>0</v>
      </c>
      <c r="F3396" s="29" t="e">
        <f>VLOOKUP(E3396,'점포코드 '!A:B,2,0)</f>
        <v>#N/A</v>
      </c>
      <c r="G3396" s="46">
        <f>'Raw data'!F3305</f>
        <v>0</v>
      </c>
      <c r="H3396" s="4">
        <f>'Raw data'!G3305</f>
        <v>0</v>
      </c>
      <c r="I3396" s="29" t="e">
        <f>VLOOKUP(G3396,제품명!$C$1:$E$114,2,0)</f>
        <v>#N/A</v>
      </c>
      <c r="J3396" s="29">
        <f>'Raw data'!K3305</f>
        <v>0</v>
      </c>
      <c r="K3396" s="31">
        <f>'Raw data'!H3305</f>
        <v>0</v>
      </c>
      <c r="L3396" s="26">
        <f t="shared" si="110"/>
        <v>0</v>
      </c>
    </row>
    <row r="3397" spans="2:12">
      <c r="B3397" s="4" t="e">
        <f t="shared" si="109"/>
        <v>#N/A</v>
      </c>
      <c r="C3397" s="4">
        <f>'Raw data'!E2973</f>
        <v>0</v>
      </c>
      <c r="D3397" s="29" t="e">
        <f>VLOOKUP(C3397,'점포코드 '!A:B,2,0)</f>
        <v>#N/A</v>
      </c>
      <c r="E3397" s="30">
        <f>'Raw data'!P2973</f>
        <v>0</v>
      </c>
      <c r="F3397" s="29" t="e">
        <f>VLOOKUP(E3397,'점포코드 '!A:B,2,0)</f>
        <v>#N/A</v>
      </c>
      <c r="G3397" s="46">
        <f>'Raw data'!F3306</f>
        <v>0</v>
      </c>
      <c r="H3397" s="4">
        <f>'Raw data'!G3306</f>
        <v>0</v>
      </c>
      <c r="I3397" s="29" t="e">
        <f>VLOOKUP(G3397,제품명!$C$1:$E$114,2,0)</f>
        <v>#N/A</v>
      </c>
      <c r="J3397" s="29">
        <f>'Raw data'!K3306</f>
        <v>0</v>
      </c>
      <c r="K3397" s="31">
        <f>'Raw data'!H3306</f>
        <v>0</v>
      </c>
      <c r="L3397" s="26">
        <f t="shared" si="110"/>
        <v>0</v>
      </c>
    </row>
    <row r="3398" spans="2:12">
      <c r="B3398" s="4" t="e">
        <f t="shared" si="109"/>
        <v>#N/A</v>
      </c>
      <c r="C3398" s="4">
        <f>'Raw data'!E2974</f>
        <v>0</v>
      </c>
      <c r="D3398" s="29" t="e">
        <f>VLOOKUP(C3398,'점포코드 '!A:B,2,0)</f>
        <v>#N/A</v>
      </c>
      <c r="E3398" s="30">
        <f>'Raw data'!P2974</f>
        <v>0</v>
      </c>
      <c r="F3398" s="29" t="e">
        <f>VLOOKUP(E3398,'점포코드 '!A:B,2,0)</f>
        <v>#N/A</v>
      </c>
      <c r="G3398" s="46">
        <f>'Raw data'!F3307</f>
        <v>0</v>
      </c>
      <c r="H3398" s="4">
        <f>'Raw data'!G3307</f>
        <v>0</v>
      </c>
      <c r="I3398" s="29" t="e">
        <f>VLOOKUP(G3398,제품명!$C$1:$E$114,2,0)</f>
        <v>#N/A</v>
      </c>
      <c r="J3398" s="29">
        <f>'Raw data'!K3307</f>
        <v>0</v>
      </c>
      <c r="K3398" s="31">
        <f>'Raw data'!H3307</f>
        <v>0</v>
      </c>
      <c r="L3398" s="26">
        <f t="shared" si="110"/>
        <v>0</v>
      </c>
    </row>
    <row r="3399" spans="2:12">
      <c r="B3399" s="4" t="e">
        <f t="shared" si="109"/>
        <v>#N/A</v>
      </c>
      <c r="C3399" s="4">
        <f>'Raw data'!E2975</f>
        <v>0</v>
      </c>
      <c r="D3399" s="29" t="e">
        <f>VLOOKUP(C3399,'점포코드 '!A:B,2,0)</f>
        <v>#N/A</v>
      </c>
      <c r="E3399" s="30">
        <f>'Raw data'!P2975</f>
        <v>0</v>
      </c>
      <c r="F3399" s="29" t="e">
        <f>VLOOKUP(E3399,'점포코드 '!A:B,2,0)</f>
        <v>#N/A</v>
      </c>
      <c r="G3399" s="46">
        <f>'Raw data'!F3308</f>
        <v>0</v>
      </c>
      <c r="H3399" s="4">
        <f>'Raw data'!G3308</f>
        <v>0</v>
      </c>
      <c r="I3399" s="29" t="e">
        <f>VLOOKUP(G3399,제품명!$C$1:$E$114,2,0)</f>
        <v>#N/A</v>
      </c>
      <c r="J3399" s="29">
        <f>'Raw data'!K3308</f>
        <v>0</v>
      </c>
      <c r="K3399" s="31">
        <f>'Raw data'!H3308</f>
        <v>0</v>
      </c>
      <c r="L3399" s="26">
        <f t="shared" si="110"/>
        <v>0</v>
      </c>
    </row>
    <row r="3400" spans="2:12">
      <c r="B3400" s="4" t="e">
        <f t="shared" si="109"/>
        <v>#N/A</v>
      </c>
      <c r="C3400" s="4">
        <f>'Raw data'!E2976</f>
        <v>0</v>
      </c>
      <c r="D3400" s="29" t="e">
        <f>VLOOKUP(C3400,'점포코드 '!A:B,2,0)</f>
        <v>#N/A</v>
      </c>
      <c r="E3400" s="30">
        <f>'Raw data'!P2976</f>
        <v>0</v>
      </c>
      <c r="F3400" s="29" t="e">
        <f>VLOOKUP(E3400,'점포코드 '!A:B,2,0)</f>
        <v>#N/A</v>
      </c>
      <c r="G3400" s="46">
        <f>'Raw data'!F3309</f>
        <v>0</v>
      </c>
      <c r="H3400" s="4">
        <f>'Raw data'!G3309</f>
        <v>0</v>
      </c>
      <c r="I3400" s="29" t="e">
        <f>VLOOKUP(G3400,제품명!$C$1:$E$114,2,0)</f>
        <v>#N/A</v>
      </c>
      <c r="J3400" s="29">
        <f>'Raw data'!K3309</f>
        <v>0</v>
      </c>
      <c r="K3400" s="31">
        <f>'Raw data'!H3309</f>
        <v>0</v>
      </c>
      <c r="L3400" s="26">
        <f t="shared" si="110"/>
        <v>0</v>
      </c>
    </row>
    <row r="3401" spans="2:12">
      <c r="B3401" s="4" t="e">
        <f t="shared" si="109"/>
        <v>#N/A</v>
      </c>
      <c r="C3401" s="4">
        <f>'Raw data'!E2977</f>
        <v>0</v>
      </c>
      <c r="D3401" s="29" t="e">
        <f>VLOOKUP(C3401,'점포코드 '!A:B,2,0)</f>
        <v>#N/A</v>
      </c>
      <c r="E3401" s="30">
        <f>'Raw data'!P2977</f>
        <v>0</v>
      </c>
      <c r="F3401" s="29" t="e">
        <f>VLOOKUP(E3401,'점포코드 '!A:B,2,0)</f>
        <v>#N/A</v>
      </c>
      <c r="G3401" s="46">
        <f>'Raw data'!F3310</f>
        <v>0</v>
      </c>
      <c r="H3401" s="4">
        <f>'Raw data'!G3310</f>
        <v>0</v>
      </c>
      <c r="I3401" s="29" t="e">
        <f>VLOOKUP(G3401,제품명!$C$1:$E$114,2,0)</f>
        <v>#N/A</v>
      </c>
      <c r="J3401" s="29">
        <f>'Raw data'!K3310</f>
        <v>0</v>
      </c>
      <c r="K3401" s="31">
        <f>'Raw data'!H3310</f>
        <v>0</v>
      </c>
      <c r="L3401" s="26">
        <f t="shared" si="110"/>
        <v>0</v>
      </c>
    </row>
    <row r="3402" spans="2:12">
      <c r="B3402" s="4" t="e">
        <f t="shared" si="109"/>
        <v>#N/A</v>
      </c>
      <c r="C3402" s="4">
        <f>'Raw data'!E2978</f>
        <v>0</v>
      </c>
      <c r="D3402" s="29" t="e">
        <f>VLOOKUP(C3402,'점포코드 '!A:B,2,0)</f>
        <v>#N/A</v>
      </c>
      <c r="E3402" s="30">
        <f>'Raw data'!P2978</f>
        <v>0</v>
      </c>
      <c r="F3402" s="29" t="e">
        <f>VLOOKUP(E3402,'점포코드 '!A:B,2,0)</f>
        <v>#N/A</v>
      </c>
      <c r="G3402" s="46">
        <f>'Raw data'!F3311</f>
        <v>0</v>
      </c>
      <c r="H3402" s="4">
        <f>'Raw data'!G3311</f>
        <v>0</v>
      </c>
      <c r="I3402" s="29" t="e">
        <f>VLOOKUP(G3402,제품명!$C$1:$E$114,2,0)</f>
        <v>#N/A</v>
      </c>
      <c r="J3402" s="29">
        <f>'Raw data'!K3311</f>
        <v>0</v>
      </c>
      <c r="K3402" s="31">
        <f>'Raw data'!H3311</f>
        <v>0</v>
      </c>
      <c r="L3402" s="26">
        <f t="shared" si="110"/>
        <v>0</v>
      </c>
    </row>
    <row r="3403" spans="2:12">
      <c r="B3403" s="4" t="e">
        <f t="shared" si="109"/>
        <v>#N/A</v>
      </c>
      <c r="C3403" s="4">
        <f>'Raw data'!E2979</f>
        <v>0</v>
      </c>
      <c r="D3403" s="29" t="e">
        <f>VLOOKUP(C3403,'점포코드 '!A:B,2,0)</f>
        <v>#N/A</v>
      </c>
      <c r="E3403" s="30">
        <f>'Raw data'!P2979</f>
        <v>0</v>
      </c>
      <c r="F3403" s="29" t="e">
        <f>VLOOKUP(E3403,'점포코드 '!A:B,2,0)</f>
        <v>#N/A</v>
      </c>
      <c r="G3403" s="46">
        <f>'Raw data'!F3312</f>
        <v>0</v>
      </c>
      <c r="H3403" s="4">
        <f>'Raw data'!G3312</f>
        <v>0</v>
      </c>
      <c r="I3403" s="29" t="e">
        <f>VLOOKUP(G3403,제품명!$C$1:$E$114,2,0)</f>
        <v>#N/A</v>
      </c>
      <c r="J3403" s="29">
        <f>'Raw data'!K3312</f>
        <v>0</v>
      </c>
      <c r="K3403" s="31">
        <f>'Raw data'!H3312</f>
        <v>0</v>
      </c>
      <c r="L3403" s="26">
        <f t="shared" si="110"/>
        <v>0</v>
      </c>
    </row>
    <row r="3404" spans="2:12">
      <c r="B3404" s="4" t="e">
        <f t="shared" si="109"/>
        <v>#N/A</v>
      </c>
      <c r="C3404" s="4">
        <f>'Raw data'!E2980</f>
        <v>0</v>
      </c>
      <c r="D3404" s="29" t="e">
        <f>VLOOKUP(C3404,'점포코드 '!A:B,2,0)</f>
        <v>#N/A</v>
      </c>
      <c r="E3404" s="30">
        <f>'Raw data'!P2980</f>
        <v>0</v>
      </c>
      <c r="F3404" s="29" t="e">
        <f>VLOOKUP(E3404,'점포코드 '!A:B,2,0)</f>
        <v>#N/A</v>
      </c>
      <c r="G3404" s="46">
        <f>'Raw data'!F3313</f>
        <v>0</v>
      </c>
      <c r="H3404" s="4">
        <f>'Raw data'!G3313</f>
        <v>0</v>
      </c>
      <c r="I3404" s="29" t="e">
        <f>VLOOKUP(G3404,제품명!$C$1:$E$114,2,0)</f>
        <v>#N/A</v>
      </c>
      <c r="J3404" s="29">
        <f>'Raw data'!K3313</f>
        <v>0</v>
      </c>
      <c r="K3404" s="31">
        <f>'Raw data'!H3313</f>
        <v>0</v>
      </c>
      <c r="L3404" s="26">
        <f t="shared" si="110"/>
        <v>0</v>
      </c>
    </row>
    <row r="3405" spans="2:12">
      <c r="B3405" s="4" t="e">
        <f t="shared" si="109"/>
        <v>#N/A</v>
      </c>
      <c r="C3405" s="4">
        <f>'Raw data'!E2981</f>
        <v>0</v>
      </c>
      <c r="D3405" s="29" t="e">
        <f>VLOOKUP(C3405,'점포코드 '!A:B,2,0)</f>
        <v>#N/A</v>
      </c>
      <c r="E3405" s="30">
        <f>'Raw data'!P2981</f>
        <v>0</v>
      </c>
      <c r="F3405" s="29" t="e">
        <f>VLOOKUP(E3405,'점포코드 '!A:B,2,0)</f>
        <v>#N/A</v>
      </c>
      <c r="G3405" s="46">
        <f>'Raw data'!F3314</f>
        <v>0</v>
      </c>
      <c r="H3405" s="4">
        <f>'Raw data'!G3314</f>
        <v>0</v>
      </c>
      <c r="I3405" s="29" t="e">
        <f>VLOOKUP(G3405,제품명!$C$1:$E$114,2,0)</f>
        <v>#N/A</v>
      </c>
      <c r="J3405" s="29">
        <f>'Raw data'!K3314</f>
        <v>0</v>
      </c>
      <c r="K3405" s="31">
        <f>'Raw data'!H3314</f>
        <v>0</v>
      </c>
      <c r="L3405" s="26">
        <f t="shared" si="110"/>
        <v>0</v>
      </c>
    </row>
    <row r="3406" spans="2:12">
      <c r="B3406" s="4" t="e">
        <f t="shared" si="109"/>
        <v>#N/A</v>
      </c>
      <c r="C3406" s="4">
        <f>'Raw data'!E2982</f>
        <v>0</v>
      </c>
      <c r="D3406" s="29" t="e">
        <f>VLOOKUP(C3406,'점포코드 '!A:B,2,0)</f>
        <v>#N/A</v>
      </c>
      <c r="E3406" s="30">
        <f>'Raw data'!P2982</f>
        <v>0</v>
      </c>
      <c r="F3406" s="29" t="e">
        <f>VLOOKUP(E3406,'점포코드 '!A:B,2,0)</f>
        <v>#N/A</v>
      </c>
      <c r="G3406" s="46">
        <f>'Raw data'!F3315</f>
        <v>0</v>
      </c>
      <c r="H3406" s="4">
        <f>'Raw data'!G3315</f>
        <v>0</v>
      </c>
      <c r="I3406" s="29" t="e">
        <f>VLOOKUP(G3406,제품명!$C$1:$E$114,2,0)</f>
        <v>#N/A</v>
      </c>
      <c r="J3406" s="29">
        <f>'Raw data'!K3315</f>
        <v>0</v>
      </c>
      <c r="K3406" s="31">
        <f>'Raw data'!H3315</f>
        <v>0</v>
      </c>
      <c r="L3406" s="26">
        <f t="shared" si="110"/>
        <v>0</v>
      </c>
    </row>
    <row r="3407" spans="2:12">
      <c r="B3407" s="4" t="e">
        <f t="shared" si="109"/>
        <v>#N/A</v>
      </c>
      <c r="C3407" s="4">
        <f>'Raw data'!E2983</f>
        <v>0</v>
      </c>
      <c r="D3407" s="29" t="e">
        <f>VLOOKUP(C3407,'점포코드 '!A:B,2,0)</f>
        <v>#N/A</v>
      </c>
      <c r="E3407" s="30">
        <f>'Raw data'!P2983</f>
        <v>0</v>
      </c>
      <c r="F3407" s="29" t="e">
        <f>VLOOKUP(E3407,'점포코드 '!A:B,2,0)</f>
        <v>#N/A</v>
      </c>
      <c r="G3407" s="46">
        <f>'Raw data'!F3316</f>
        <v>0</v>
      </c>
      <c r="H3407" s="4">
        <f>'Raw data'!G3316</f>
        <v>0</v>
      </c>
      <c r="I3407" s="29" t="e">
        <f>VLOOKUP(G3407,제품명!$C$1:$E$114,2,0)</f>
        <v>#N/A</v>
      </c>
      <c r="J3407" s="29">
        <f>'Raw data'!K3316</f>
        <v>0</v>
      </c>
      <c r="K3407" s="31">
        <f>'Raw data'!H3316</f>
        <v>0</v>
      </c>
      <c r="L3407" s="26">
        <f t="shared" si="110"/>
        <v>0</v>
      </c>
    </row>
    <row r="3408" spans="2:12">
      <c r="B3408" s="4" t="e">
        <f t="shared" si="109"/>
        <v>#N/A</v>
      </c>
      <c r="C3408" s="4">
        <f>'Raw data'!E2984</f>
        <v>0</v>
      </c>
      <c r="D3408" s="29" t="e">
        <f>VLOOKUP(C3408,'점포코드 '!A:B,2,0)</f>
        <v>#N/A</v>
      </c>
      <c r="E3408" s="30">
        <f>'Raw data'!P2984</f>
        <v>0</v>
      </c>
      <c r="F3408" s="29" t="e">
        <f>VLOOKUP(E3408,'점포코드 '!A:B,2,0)</f>
        <v>#N/A</v>
      </c>
      <c r="G3408" s="46">
        <f>'Raw data'!F3317</f>
        <v>0</v>
      </c>
      <c r="H3408" s="4">
        <f>'Raw data'!G3317</f>
        <v>0</v>
      </c>
      <c r="I3408" s="29" t="e">
        <f>VLOOKUP(G3408,제품명!$C$1:$E$114,2,0)</f>
        <v>#N/A</v>
      </c>
      <c r="J3408" s="29">
        <f>'Raw data'!K3317</f>
        <v>0</v>
      </c>
      <c r="K3408" s="31">
        <f>'Raw data'!H3317</f>
        <v>0</v>
      </c>
      <c r="L3408" s="26">
        <f t="shared" si="110"/>
        <v>0</v>
      </c>
    </row>
    <row r="3409" spans="2:12">
      <c r="B3409" s="4" t="e">
        <f t="shared" si="109"/>
        <v>#N/A</v>
      </c>
      <c r="C3409" s="4">
        <f>'Raw data'!E2985</f>
        <v>0</v>
      </c>
      <c r="D3409" s="29" t="e">
        <f>VLOOKUP(C3409,'점포코드 '!A:B,2,0)</f>
        <v>#N/A</v>
      </c>
      <c r="E3409" s="30">
        <f>'Raw data'!P2985</f>
        <v>0</v>
      </c>
      <c r="F3409" s="29" t="e">
        <f>VLOOKUP(E3409,'점포코드 '!A:B,2,0)</f>
        <v>#N/A</v>
      </c>
      <c r="G3409" s="46">
        <f>'Raw data'!F3318</f>
        <v>0</v>
      </c>
      <c r="H3409" s="4">
        <f>'Raw data'!G3318</f>
        <v>0</v>
      </c>
      <c r="I3409" s="29" t="e">
        <f>VLOOKUP(G3409,제품명!$C$1:$E$114,2,0)</f>
        <v>#N/A</v>
      </c>
      <c r="J3409" s="29">
        <f>'Raw data'!K3318</f>
        <v>0</v>
      </c>
      <c r="K3409" s="31">
        <f>'Raw data'!H3318</f>
        <v>0</v>
      </c>
      <c r="L3409" s="26">
        <f t="shared" si="110"/>
        <v>0</v>
      </c>
    </row>
    <row r="3410" spans="2:12">
      <c r="B3410" s="4" t="e">
        <f t="shared" si="109"/>
        <v>#N/A</v>
      </c>
      <c r="C3410" s="4">
        <f>'Raw data'!E2986</f>
        <v>0</v>
      </c>
      <c r="D3410" s="29" t="e">
        <f>VLOOKUP(C3410,'점포코드 '!A:B,2,0)</f>
        <v>#N/A</v>
      </c>
      <c r="E3410" s="30">
        <f>'Raw data'!P2986</f>
        <v>0</v>
      </c>
      <c r="F3410" s="29" t="e">
        <f>VLOOKUP(E3410,'점포코드 '!A:B,2,0)</f>
        <v>#N/A</v>
      </c>
      <c r="G3410" s="46">
        <f>'Raw data'!F3319</f>
        <v>0</v>
      </c>
      <c r="H3410" s="4">
        <f>'Raw data'!G3319</f>
        <v>0</v>
      </c>
      <c r="I3410" s="29" t="e">
        <f>VLOOKUP(G3410,제품명!$C$1:$E$114,2,0)</f>
        <v>#N/A</v>
      </c>
      <c r="J3410" s="29">
        <f>'Raw data'!K3319</f>
        <v>0</v>
      </c>
      <c r="K3410" s="31">
        <f>'Raw data'!H3319</f>
        <v>0</v>
      </c>
      <c r="L3410" s="26">
        <f t="shared" si="110"/>
        <v>0</v>
      </c>
    </row>
    <row r="3411" spans="2:12">
      <c r="B3411" s="4" t="e">
        <f t="shared" si="109"/>
        <v>#N/A</v>
      </c>
      <c r="C3411" s="4">
        <f>'Raw data'!E2987</f>
        <v>0</v>
      </c>
      <c r="D3411" s="29" t="e">
        <f>VLOOKUP(C3411,'점포코드 '!A:B,2,0)</f>
        <v>#N/A</v>
      </c>
      <c r="E3411" s="30">
        <f>'Raw data'!P2987</f>
        <v>0</v>
      </c>
      <c r="F3411" s="29" t="e">
        <f>VLOOKUP(E3411,'점포코드 '!A:B,2,0)</f>
        <v>#N/A</v>
      </c>
      <c r="G3411" s="46">
        <f>'Raw data'!F3320</f>
        <v>0</v>
      </c>
      <c r="H3411" s="4">
        <f>'Raw data'!G3320</f>
        <v>0</v>
      </c>
      <c r="I3411" s="29" t="e">
        <f>VLOOKUP(G3411,제품명!$C$1:$E$114,2,0)</f>
        <v>#N/A</v>
      </c>
      <c r="J3411" s="29">
        <f>'Raw data'!K3320</f>
        <v>0</v>
      </c>
      <c r="K3411" s="31">
        <f>'Raw data'!H3320</f>
        <v>0</v>
      </c>
      <c r="L3411" s="26">
        <f t="shared" si="110"/>
        <v>0</v>
      </c>
    </row>
    <row r="3412" spans="2:12">
      <c r="B3412" s="4" t="e">
        <f t="shared" si="109"/>
        <v>#N/A</v>
      </c>
      <c r="C3412" s="4">
        <f>'Raw data'!E2988</f>
        <v>0</v>
      </c>
      <c r="D3412" s="29" t="e">
        <f>VLOOKUP(C3412,'점포코드 '!A:B,2,0)</f>
        <v>#N/A</v>
      </c>
      <c r="E3412" s="30">
        <f>'Raw data'!P2988</f>
        <v>0</v>
      </c>
      <c r="F3412" s="29" t="e">
        <f>VLOOKUP(E3412,'점포코드 '!A:B,2,0)</f>
        <v>#N/A</v>
      </c>
      <c r="G3412" s="46">
        <f>'Raw data'!F3321</f>
        <v>0</v>
      </c>
      <c r="H3412" s="4">
        <f>'Raw data'!G3321</f>
        <v>0</v>
      </c>
      <c r="I3412" s="29" t="e">
        <f>VLOOKUP(G3412,제품명!$C$1:$E$114,2,0)</f>
        <v>#N/A</v>
      </c>
      <c r="J3412" s="29">
        <f>'Raw data'!K3321</f>
        <v>0</v>
      </c>
      <c r="K3412" s="31">
        <f>'Raw data'!H3321</f>
        <v>0</v>
      </c>
      <c r="L3412" s="26">
        <f t="shared" si="110"/>
        <v>0</v>
      </c>
    </row>
    <row r="3413" spans="2:12">
      <c r="B3413" s="4" t="e">
        <f t="shared" si="109"/>
        <v>#N/A</v>
      </c>
      <c r="C3413" s="4">
        <f>'Raw data'!E2989</f>
        <v>0</v>
      </c>
      <c r="D3413" s="29" t="e">
        <f>VLOOKUP(C3413,'점포코드 '!A:B,2,0)</f>
        <v>#N/A</v>
      </c>
      <c r="E3413" s="30">
        <f>'Raw data'!P2989</f>
        <v>0</v>
      </c>
      <c r="F3413" s="29" t="e">
        <f>VLOOKUP(E3413,'점포코드 '!A:B,2,0)</f>
        <v>#N/A</v>
      </c>
      <c r="G3413" s="46">
        <f>'Raw data'!F3322</f>
        <v>0</v>
      </c>
      <c r="H3413" s="4">
        <f>'Raw data'!G3322</f>
        <v>0</v>
      </c>
      <c r="I3413" s="29" t="e">
        <f>VLOOKUP(G3413,제품명!$C$1:$E$114,2,0)</f>
        <v>#N/A</v>
      </c>
      <c r="J3413" s="29">
        <f>'Raw data'!K3322</f>
        <v>0</v>
      </c>
      <c r="K3413" s="31">
        <f>'Raw data'!H3322</f>
        <v>0</v>
      </c>
      <c r="L3413" s="26">
        <f t="shared" si="110"/>
        <v>0</v>
      </c>
    </row>
    <row r="3414" spans="2:12">
      <c r="B3414" s="4" t="e">
        <f t="shared" si="109"/>
        <v>#N/A</v>
      </c>
      <c r="C3414" s="4">
        <f>'Raw data'!E2990</f>
        <v>0</v>
      </c>
      <c r="D3414" s="29" t="e">
        <f>VLOOKUP(C3414,'점포코드 '!A:B,2,0)</f>
        <v>#N/A</v>
      </c>
      <c r="E3414" s="30">
        <f>'Raw data'!P2990</f>
        <v>0</v>
      </c>
      <c r="F3414" s="29" t="e">
        <f>VLOOKUP(E3414,'점포코드 '!A:B,2,0)</f>
        <v>#N/A</v>
      </c>
      <c r="G3414" s="46">
        <f>'Raw data'!F3323</f>
        <v>0</v>
      </c>
      <c r="H3414" s="4">
        <f>'Raw data'!G3323</f>
        <v>0</v>
      </c>
      <c r="I3414" s="29" t="e">
        <f>VLOOKUP(G3414,제품명!$C$1:$E$114,2,0)</f>
        <v>#N/A</v>
      </c>
      <c r="J3414" s="29">
        <f>'Raw data'!K3323</f>
        <v>0</v>
      </c>
      <c r="K3414" s="31">
        <f>'Raw data'!H3323</f>
        <v>0</v>
      </c>
      <c r="L3414" s="26">
        <f t="shared" si="110"/>
        <v>0</v>
      </c>
    </row>
    <row r="3415" spans="2:12">
      <c r="B3415" s="4" t="e">
        <f t="shared" si="109"/>
        <v>#N/A</v>
      </c>
      <c r="C3415" s="4">
        <f>'Raw data'!E2991</f>
        <v>0</v>
      </c>
      <c r="D3415" s="29" t="e">
        <f>VLOOKUP(C3415,'점포코드 '!A:B,2,0)</f>
        <v>#N/A</v>
      </c>
      <c r="E3415" s="30">
        <f>'Raw data'!P2991</f>
        <v>0</v>
      </c>
      <c r="F3415" s="29" t="e">
        <f>VLOOKUP(E3415,'점포코드 '!A:B,2,0)</f>
        <v>#N/A</v>
      </c>
      <c r="G3415" s="46">
        <f>'Raw data'!F3324</f>
        <v>0</v>
      </c>
      <c r="H3415" s="4">
        <f>'Raw data'!G3324</f>
        <v>0</v>
      </c>
      <c r="I3415" s="29" t="e">
        <f>VLOOKUP(G3415,제품명!$C$1:$E$114,2,0)</f>
        <v>#N/A</v>
      </c>
      <c r="J3415" s="29">
        <f>'Raw data'!K3324</f>
        <v>0</v>
      </c>
      <c r="K3415" s="31">
        <f>'Raw data'!H3324</f>
        <v>0</v>
      </c>
      <c r="L3415" s="26">
        <f t="shared" si="110"/>
        <v>0</v>
      </c>
    </row>
    <row r="3416" spans="2:12">
      <c r="B3416" s="4" t="e">
        <f t="shared" si="109"/>
        <v>#N/A</v>
      </c>
      <c r="C3416" s="4">
        <f>'Raw data'!E2992</f>
        <v>0</v>
      </c>
      <c r="D3416" s="29" t="e">
        <f>VLOOKUP(C3416,'점포코드 '!A:B,2,0)</f>
        <v>#N/A</v>
      </c>
      <c r="E3416" s="30">
        <f>'Raw data'!P2992</f>
        <v>0</v>
      </c>
      <c r="F3416" s="29" t="e">
        <f>VLOOKUP(E3416,'점포코드 '!A:B,2,0)</f>
        <v>#N/A</v>
      </c>
      <c r="G3416" s="46">
        <f>'Raw data'!F3325</f>
        <v>0</v>
      </c>
      <c r="H3416" s="4">
        <f>'Raw data'!G3325</f>
        <v>0</v>
      </c>
      <c r="I3416" s="29" t="e">
        <f>VLOOKUP(G3416,제품명!$C$1:$E$114,2,0)</f>
        <v>#N/A</v>
      </c>
      <c r="J3416" s="29">
        <f>'Raw data'!K3325</f>
        <v>0</v>
      </c>
      <c r="K3416" s="31">
        <f>'Raw data'!H3325</f>
        <v>0</v>
      </c>
      <c r="L3416" s="26">
        <f t="shared" si="110"/>
        <v>0</v>
      </c>
    </row>
    <row r="3417" spans="2:12">
      <c r="B3417" s="4" t="e">
        <f t="shared" si="109"/>
        <v>#N/A</v>
      </c>
      <c r="C3417" s="4">
        <f>'Raw data'!E2993</f>
        <v>0</v>
      </c>
      <c r="D3417" s="29" t="e">
        <f>VLOOKUP(C3417,'점포코드 '!A:B,2,0)</f>
        <v>#N/A</v>
      </c>
      <c r="E3417" s="30">
        <f>'Raw data'!P2993</f>
        <v>0</v>
      </c>
      <c r="F3417" s="29" t="e">
        <f>VLOOKUP(E3417,'점포코드 '!A:B,2,0)</f>
        <v>#N/A</v>
      </c>
      <c r="G3417" s="46">
        <f>'Raw data'!F3326</f>
        <v>0</v>
      </c>
      <c r="H3417" s="4">
        <f>'Raw data'!G3326</f>
        <v>0</v>
      </c>
      <c r="I3417" s="29" t="e">
        <f>VLOOKUP(G3417,제품명!$C$1:$E$114,2,0)</f>
        <v>#N/A</v>
      </c>
      <c r="J3417" s="29">
        <f>'Raw data'!K3326</f>
        <v>0</v>
      </c>
      <c r="K3417" s="31">
        <f>'Raw data'!H3326</f>
        <v>0</v>
      </c>
      <c r="L3417" s="26">
        <f t="shared" si="110"/>
        <v>0</v>
      </c>
    </row>
    <row r="3418" spans="2:12">
      <c r="B3418" s="4" t="e">
        <f t="shared" si="109"/>
        <v>#N/A</v>
      </c>
      <c r="C3418" s="4">
        <f>'Raw data'!E2994</f>
        <v>0</v>
      </c>
      <c r="D3418" s="29" t="e">
        <f>VLOOKUP(C3418,'점포코드 '!A:B,2,0)</f>
        <v>#N/A</v>
      </c>
      <c r="E3418" s="30">
        <f>'Raw data'!P2994</f>
        <v>0</v>
      </c>
      <c r="F3418" s="29" t="e">
        <f>VLOOKUP(E3418,'점포코드 '!A:B,2,0)</f>
        <v>#N/A</v>
      </c>
      <c r="G3418" s="46">
        <f>'Raw data'!F3327</f>
        <v>0</v>
      </c>
      <c r="H3418" s="4">
        <f>'Raw data'!G3327</f>
        <v>0</v>
      </c>
      <c r="I3418" s="29" t="e">
        <f>VLOOKUP(G3418,제품명!$C$1:$E$114,2,0)</f>
        <v>#N/A</v>
      </c>
      <c r="J3418" s="29">
        <f>'Raw data'!K3327</f>
        <v>0</v>
      </c>
      <c r="K3418" s="31">
        <f>'Raw data'!H3327</f>
        <v>0</v>
      </c>
      <c r="L3418" s="26">
        <f t="shared" si="110"/>
        <v>0</v>
      </c>
    </row>
    <row r="3419" spans="2:12">
      <c r="B3419" s="4" t="e">
        <f t="shared" si="109"/>
        <v>#N/A</v>
      </c>
      <c r="C3419" s="4">
        <f>'Raw data'!E2995</f>
        <v>0</v>
      </c>
      <c r="D3419" s="29" t="e">
        <f>VLOOKUP(C3419,'점포코드 '!A:B,2,0)</f>
        <v>#N/A</v>
      </c>
      <c r="E3419" s="30">
        <f>'Raw data'!P2995</f>
        <v>0</v>
      </c>
      <c r="F3419" s="29" t="e">
        <f>VLOOKUP(E3419,'점포코드 '!A:B,2,0)</f>
        <v>#N/A</v>
      </c>
      <c r="G3419" s="46">
        <f>'Raw data'!F3328</f>
        <v>0</v>
      </c>
      <c r="H3419" s="4">
        <f>'Raw data'!G3328</f>
        <v>0</v>
      </c>
      <c r="I3419" s="29" t="e">
        <f>VLOOKUP(G3419,제품명!$C$1:$E$114,2,0)</f>
        <v>#N/A</v>
      </c>
      <c r="J3419" s="29">
        <f>'Raw data'!K3328</f>
        <v>0</v>
      </c>
      <c r="K3419" s="31">
        <f>'Raw data'!H3328</f>
        <v>0</v>
      </c>
      <c r="L3419" s="26">
        <f t="shared" si="110"/>
        <v>0</v>
      </c>
    </row>
    <row r="3420" spans="2:12">
      <c r="B3420" s="4" t="e">
        <f t="shared" si="109"/>
        <v>#N/A</v>
      </c>
      <c r="C3420" s="4">
        <f>'Raw data'!E2996</f>
        <v>0</v>
      </c>
      <c r="D3420" s="29" t="e">
        <f>VLOOKUP(C3420,'점포코드 '!A:B,2,0)</f>
        <v>#N/A</v>
      </c>
      <c r="E3420" s="30">
        <f>'Raw data'!P2996</f>
        <v>0</v>
      </c>
      <c r="F3420" s="29" t="e">
        <f>VLOOKUP(E3420,'점포코드 '!A:B,2,0)</f>
        <v>#N/A</v>
      </c>
      <c r="G3420" s="46">
        <f>'Raw data'!F3329</f>
        <v>0</v>
      </c>
      <c r="H3420" s="4">
        <f>'Raw data'!G3329</f>
        <v>0</v>
      </c>
      <c r="I3420" s="29" t="e">
        <f>VLOOKUP(G3420,제품명!$C$1:$E$114,2,0)</f>
        <v>#N/A</v>
      </c>
      <c r="J3420" s="29">
        <f>'Raw data'!K3329</f>
        <v>0</v>
      </c>
      <c r="K3420" s="31">
        <f>'Raw data'!H3329</f>
        <v>0</v>
      </c>
      <c r="L3420" s="26">
        <f t="shared" si="110"/>
        <v>0</v>
      </c>
    </row>
    <row r="3421" spans="2:12">
      <c r="B3421" s="4" t="e">
        <f t="shared" si="109"/>
        <v>#N/A</v>
      </c>
      <c r="C3421" s="4">
        <f>'Raw data'!E2997</f>
        <v>0</v>
      </c>
      <c r="D3421" s="29" t="e">
        <f>VLOOKUP(C3421,'점포코드 '!A:B,2,0)</f>
        <v>#N/A</v>
      </c>
      <c r="E3421" s="30">
        <f>'Raw data'!P2997</f>
        <v>0</v>
      </c>
      <c r="F3421" s="29" t="e">
        <f>VLOOKUP(E3421,'점포코드 '!A:B,2,0)</f>
        <v>#N/A</v>
      </c>
      <c r="G3421" s="46">
        <f>'Raw data'!F3330</f>
        <v>0</v>
      </c>
      <c r="H3421" s="4">
        <f>'Raw data'!G3330</f>
        <v>0</v>
      </c>
      <c r="I3421" s="29" t="e">
        <f>VLOOKUP(G3421,제품명!$C$1:$E$114,2,0)</f>
        <v>#N/A</v>
      </c>
      <c r="J3421" s="29">
        <f>'Raw data'!K3330</f>
        <v>0</v>
      </c>
      <c r="K3421" s="31">
        <f>'Raw data'!H3330</f>
        <v>0</v>
      </c>
      <c r="L3421" s="26">
        <f t="shared" si="110"/>
        <v>0</v>
      </c>
    </row>
    <row r="3422" spans="2:12">
      <c r="B3422" s="4" t="e">
        <f t="shared" si="109"/>
        <v>#N/A</v>
      </c>
      <c r="C3422" s="4">
        <f>'Raw data'!E2998</f>
        <v>0</v>
      </c>
      <c r="D3422" s="29" t="e">
        <f>VLOOKUP(C3422,'점포코드 '!A:B,2,0)</f>
        <v>#N/A</v>
      </c>
      <c r="E3422" s="30">
        <f>'Raw data'!P2998</f>
        <v>0</v>
      </c>
      <c r="F3422" s="29" t="e">
        <f>VLOOKUP(E3422,'점포코드 '!A:B,2,0)</f>
        <v>#N/A</v>
      </c>
      <c r="G3422" s="46">
        <f>'Raw data'!F3331</f>
        <v>0</v>
      </c>
      <c r="H3422" s="4">
        <f>'Raw data'!G3331</f>
        <v>0</v>
      </c>
      <c r="I3422" s="29" t="e">
        <f>VLOOKUP(G3422,제품명!$C$1:$E$114,2,0)</f>
        <v>#N/A</v>
      </c>
      <c r="J3422" s="29">
        <f>'Raw data'!K3331</f>
        <v>0</v>
      </c>
      <c r="K3422" s="31">
        <f>'Raw data'!H3331</f>
        <v>0</v>
      </c>
      <c r="L3422" s="26">
        <f t="shared" si="110"/>
        <v>0</v>
      </c>
    </row>
    <row r="3423" spans="2:12">
      <c r="B3423" s="4" t="e">
        <f t="shared" si="109"/>
        <v>#N/A</v>
      </c>
      <c r="C3423" s="4">
        <f>'Raw data'!E2999</f>
        <v>0</v>
      </c>
      <c r="D3423" s="29" t="e">
        <f>VLOOKUP(C3423,'점포코드 '!A:B,2,0)</f>
        <v>#N/A</v>
      </c>
      <c r="E3423" s="30">
        <f>'Raw data'!P2999</f>
        <v>0</v>
      </c>
      <c r="F3423" s="29" t="e">
        <f>VLOOKUP(E3423,'점포코드 '!A:B,2,0)</f>
        <v>#N/A</v>
      </c>
      <c r="G3423" s="46">
        <f>'Raw data'!F3332</f>
        <v>0</v>
      </c>
      <c r="H3423" s="4">
        <f>'Raw data'!G3332</f>
        <v>0</v>
      </c>
      <c r="I3423" s="29" t="e">
        <f>VLOOKUP(G3423,제품명!$C$1:$E$114,2,0)</f>
        <v>#N/A</v>
      </c>
      <c r="J3423" s="29">
        <f>'Raw data'!K3332</f>
        <v>0</v>
      </c>
      <c r="K3423" s="31">
        <f>'Raw data'!H3332</f>
        <v>0</v>
      </c>
      <c r="L3423" s="26">
        <f t="shared" si="110"/>
        <v>0</v>
      </c>
    </row>
    <row r="3424" spans="2:12">
      <c r="B3424" s="4" t="e">
        <f t="shared" si="109"/>
        <v>#N/A</v>
      </c>
      <c r="C3424" s="4">
        <f>'Raw data'!E3000</f>
        <v>0</v>
      </c>
      <c r="D3424" s="29" t="e">
        <f>VLOOKUP(C3424,'점포코드 '!A:B,2,0)</f>
        <v>#N/A</v>
      </c>
      <c r="E3424" s="30">
        <f>'Raw data'!P3000</f>
        <v>0</v>
      </c>
      <c r="F3424" s="29" t="e">
        <f>VLOOKUP(E3424,'점포코드 '!A:B,2,0)</f>
        <v>#N/A</v>
      </c>
      <c r="G3424" s="46">
        <f>'Raw data'!F3333</f>
        <v>0</v>
      </c>
      <c r="H3424" s="4">
        <f>'Raw data'!G3333</f>
        <v>0</v>
      </c>
      <c r="I3424" s="29" t="e">
        <f>VLOOKUP(G3424,제품명!$C$1:$E$114,2,0)</f>
        <v>#N/A</v>
      </c>
      <c r="J3424" s="29">
        <f>'Raw data'!K3333</f>
        <v>0</v>
      </c>
      <c r="K3424" s="31">
        <f>'Raw data'!H3333</f>
        <v>0</v>
      </c>
      <c r="L3424" s="26">
        <f t="shared" si="110"/>
        <v>0</v>
      </c>
    </row>
    <row r="3425" spans="2:12">
      <c r="B3425" s="4" t="e">
        <f t="shared" si="109"/>
        <v>#N/A</v>
      </c>
      <c r="C3425" s="4">
        <f>'Raw data'!E3001</f>
        <v>0</v>
      </c>
      <c r="D3425" s="29" t="e">
        <f>VLOOKUP(C3425,'점포코드 '!A:B,2,0)</f>
        <v>#N/A</v>
      </c>
      <c r="E3425" s="30">
        <f>'Raw data'!P3001</f>
        <v>0</v>
      </c>
      <c r="F3425" s="29" t="e">
        <f>VLOOKUP(E3425,'점포코드 '!A:B,2,0)</f>
        <v>#N/A</v>
      </c>
      <c r="G3425" s="46">
        <f>'Raw data'!F3334</f>
        <v>0</v>
      </c>
      <c r="H3425" s="4">
        <f>'Raw data'!G3334</f>
        <v>0</v>
      </c>
      <c r="I3425" s="29" t="e">
        <f>VLOOKUP(G3425,제품명!$C$1:$E$114,2,0)</f>
        <v>#N/A</v>
      </c>
      <c r="J3425" s="29">
        <f>'Raw data'!K3334</f>
        <v>0</v>
      </c>
      <c r="K3425" s="31">
        <f>'Raw data'!H3334</f>
        <v>0</v>
      </c>
      <c r="L3425" s="26">
        <f t="shared" si="110"/>
        <v>0</v>
      </c>
    </row>
    <row r="3426" spans="2:12">
      <c r="B3426" s="4" t="e">
        <f t="shared" si="109"/>
        <v>#N/A</v>
      </c>
      <c r="C3426" s="4">
        <f>'Raw data'!E3002</f>
        <v>0</v>
      </c>
      <c r="D3426" s="29" t="e">
        <f>VLOOKUP(C3426,'점포코드 '!A:B,2,0)</f>
        <v>#N/A</v>
      </c>
      <c r="E3426" s="30">
        <f>'Raw data'!P3002</f>
        <v>0</v>
      </c>
      <c r="F3426" s="29" t="e">
        <f>VLOOKUP(E3426,'점포코드 '!A:B,2,0)</f>
        <v>#N/A</v>
      </c>
      <c r="G3426" s="46">
        <f>'Raw data'!F3335</f>
        <v>0</v>
      </c>
      <c r="H3426" s="4">
        <f>'Raw data'!G3335</f>
        <v>0</v>
      </c>
      <c r="I3426" s="29" t="e">
        <f>VLOOKUP(G3426,제품명!$C$1:$E$114,2,0)</f>
        <v>#N/A</v>
      </c>
      <c r="J3426" s="29">
        <f>'Raw data'!K3335</f>
        <v>0</v>
      </c>
      <c r="K3426" s="31">
        <f>'Raw data'!H3335</f>
        <v>0</v>
      </c>
      <c r="L3426" s="26">
        <f t="shared" si="110"/>
        <v>0</v>
      </c>
    </row>
    <row r="3427" spans="2:12">
      <c r="B3427" s="4" t="e">
        <f t="shared" si="109"/>
        <v>#N/A</v>
      </c>
      <c r="C3427" s="4">
        <f>'Raw data'!E3003</f>
        <v>0</v>
      </c>
      <c r="D3427" s="29" t="e">
        <f>VLOOKUP(C3427,'점포코드 '!A:B,2,0)</f>
        <v>#N/A</v>
      </c>
      <c r="E3427" s="30">
        <f>'Raw data'!P3003</f>
        <v>0</v>
      </c>
      <c r="F3427" s="29" t="e">
        <f>VLOOKUP(E3427,'점포코드 '!A:B,2,0)</f>
        <v>#N/A</v>
      </c>
      <c r="G3427" s="46">
        <f>'Raw data'!F3336</f>
        <v>0</v>
      </c>
      <c r="H3427" s="4">
        <f>'Raw data'!G3336</f>
        <v>0</v>
      </c>
      <c r="I3427" s="29" t="e">
        <f>VLOOKUP(G3427,제품명!$C$1:$E$114,2,0)</f>
        <v>#N/A</v>
      </c>
      <c r="J3427" s="29">
        <f>'Raw data'!K3336</f>
        <v>0</v>
      </c>
      <c r="K3427" s="31">
        <f>'Raw data'!H3336</f>
        <v>0</v>
      </c>
      <c r="L3427" s="26">
        <f t="shared" si="110"/>
        <v>0</v>
      </c>
    </row>
    <row r="3428" spans="2:12">
      <c r="B3428" s="4" t="e">
        <f t="shared" si="109"/>
        <v>#N/A</v>
      </c>
      <c r="C3428" s="4">
        <f>'Raw data'!E3004</f>
        <v>0</v>
      </c>
      <c r="D3428" s="29" t="e">
        <f>VLOOKUP(C3428,'점포코드 '!A:B,2,0)</f>
        <v>#N/A</v>
      </c>
      <c r="E3428" s="30">
        <f>'Raw data'!P3004</f>
        <v>0</v>
      </c>
      <c r="F3428" s="29" t="e">
        <f>VLOOKUP(E3428,'점포코드 '!A:B,2,0)</f>
        <v>#N/A</v>
      </c>
      <c r="G3428" s="46">
        <f>'Raw data'!F3337</f>
        <v>0</v>
      </c>
      <c r="H3428" s="4">
        <f>'Raw data'!G3337</f>
        <v>0</v>
      </c>
      <c r="I3428" s="29" t="e">
        <f>VLOOKUP(G3428,제품명!$C$1:$E$114,2,0)</f>
        <v>#N/A</v>
      </c>
      <c r="J3428" s="29">
        <f>'Raw data'!K3337</f>
        <v>0</v>
      </c>
      <c r="K3428" s="31">
        <f>'Raw data'!H3337</f>
        <v>0</v>
      </c>
      <c r="L3428" s="26">
        <f t="shared" si="110"/>
        <v>0</v>
      </c>
    </row>
    <row r="3429" spans="2:12">
      <c r="B3429" s="4" t="e">
        <f t="shared" si="109"/>
        <v>#N/A</v>
      </c>
      <c r="C3429" s="4">
        <f>'Raw data'!E3005</f>
        <v>0</v>
      </c>
      <c r="D3429" s="29" t="e">
        <f>VLOOKUP(C3429,'점포코드 '!A:B,2,0)</f>
        <v>#N/A</v>
      </c>
      <c r="E3429" s="30">
        <f>'Raw data'!P3005</f>
        <v>0</v>
      </c>
      <c r="F3429" s="29" t="e">
        <f>VLOOKUP(E3429,'점포코드 '!A:B,2,0)</f>
        <v>#N/A</v>
      </c>
      <c r="G3429" s="46">
        <f>'Raw data'!F3338</f>
        <v>0</v>
      </c>
      <c r="H3429" s="4">
        <f>'Raw data'!G3338</f>
        <v>0</v>
      </c>
      <c r="I3429" s="29" t="e">
        <f>VLOOKUP(G3429,제품명!$C$1:$E$114,2,0)</f>
        <v>#N/A</v>
      </c>
      <c r="J3429" s="29">
        <f>'Raw data'!K3338</f>
        <v>0</v>
      </c>
      <c r="K3429" s="31">
        <f>'Raw data'!H3338</f>
        <v>0</v>
      </c>
      <c r="L3429" s="26">
        <f t="shared" si="110"/>
        <v>0</v>
      </c>
    </row>
    <row r="3430" spans="2:12">
      <c r="B3430" s="4" t="e">
        <f t="shared" si="109"/>
        <v>#N/A</v>
      </c>
      <c r="C3430" s="4">
        <f>'Raw data'!E3006</f>
        <v>0</v>
      </c>
      <c r="D3430" s="29" t="e">
        <f>VLOOKUP(C3430,'점포코드 '!A:B,2,0)</f>
        <v>#N/A</v>
      </c>
      <c r="E3430" s="30">
        <f>'Raw data'!P3006</f>
        <v>0</v>
      </c>
      <c r="F3430" s="29" t="e">
        <f>VLOOKUP(E3430,'점포코드 '!A:B,2,0)</f>
        <v>#N/A</v>
      </c>
      <c r="G3430" s="46">
        <f>'Raw data'!F3339</f>
        <v>0</v>
      </c>
      <c r="H3430" s="4">
        <f>'Raw data'!G3339</f>
        <v>0</v>
      </c>
      <c r="I3430" s="29" t="e">
        <f>VLOOKUP(G3430,제품명!$C$1:$E$114,2,0)</f>
        <v>#N/A</v>
      </c>
      <c r="J3430" s="29">
        <f>'Raw data'!K3339</f>
        <v>0</v>
      </c>
      <c r="K3430" s="31">
        <f>'Raw data'!H3339</f>
        <v>0</v>
      </c>
      <c r="L3430" s="26">
        <f t="shared" si="110"/>
        <v>0</v>
      </c>
    </row>
    <row r="3431" spans="2:12">
      <c r="B3431" s="4" t="e">
        <f t="shared" si="109"/>
        <v>#N/A</v>
      </c>
      <c r="C3431" s="4">
        <f>'Raw data'!E3007</f>
        <v>0</v>
      </c>
      <c r="D3431" s="29" t="e">
        <f>VLOOKUP(C3431,'점포코드 '!A:B,2,0)</f>
        <v>#N/A</v>
      </c>
      <c r="E3431" s="30">
        <f>'Raw data'!P3007</f>
        <v>0</v>
      </c>
      <c r="F3431" s="29" t="e">
        <f>VLOOKUP(E3431,'점포코드 '!A:B,2,0)</f>
        <v>#N/A</v>
      </c>
      <c r="G3431" s="46">
        <f>'Raw data'!F3340</f>
        <v>0</v>
      </c>
      <c r="H3431" s="4">
        <f>'Raw data'!G3340</f>
        <v>0</v>
      </c>
      <c r="I3431" s="29" t="e">
        <f>VLOOKUP(G3431,제품명!$C$1:$E$114,2,0)</f>
        <v>#N/A</v>
      </c>
      <c r="J3431" s="29">
        <f>'Raw data'!K3340</f>
        <v>0</v>
      </c>
      <c r="K3431" s="31">
        <f>'Raw data'!H3340</f>
        <v>0</v>
      </c>
      <c r="L3431" s="26">
        <f t="shared" si="110"/>
        <v>0</v>
      </c>
    </row>
    <row r="3432" spans="2:12">
      <c r="B3432" s="4" t="e">
        <f t="shared" si="109"/>
        <v>#N/A</v>
      </c>
      <c r="C3432" s="4">
        <f>'Raw data'!E3008</f>
        <v>0</v>
      </c>
      <c r="D3432" s="29" t="e">
        <f>VLOOKUP(C3432,'점포코드 '!A:B,2,0)</f>
        <v>#N/A</v>
      </c>
      <c r="E3432" s="30">
        <f>'Raw data'!P3008</f>
        <v>0</v>
      </c>
      <c r="F3432" s="29" t="e">
        <f>VLOOKUP(E3432,'점포코드 '!A:B,2,0)</f>
        <v>#N/A</v>
      </c>
      <c r="G3432" s="46">
        <f>'Raw data'!F3341</f>
        <v>0</v>
      </c>
      <c r="H3432" s="4">
        <f>'Raw data'!G3341</f>
        <v>0</v>
      </c>
      <c r="I3432" s="29" t="e">
        <f>VLOOKUP(G3432,제품명!$C$1:$E$114,2,0)</f>
        <v>#N/A</v>
      </c>
      <c r="J3432" s="29">
        <f>'Raw data'!K3341</f>
        <v>0</v>
      </c>
      <c r="K3432" s="31">
        <f>'Raw data'!H3341</f>
        <v>0</v>
      </c>
      <c r="L3432" s="26">
        <f t="shared" si="110"/>
        <v>0</v>
      </c>
    </row>
    <row r="3433" spans="2:12">
      <c r="B3433" s="4" t="e">
        <f t="shared" si="109"/>
        <v>#N/A</v>
      </c>
      <c r="C3433" s="4">
        <f>'Raw data'!E3009</f>
        <v>0</v>
      </c>
      <c r="D3433" s="29" t="e">
        <f>VLOOKUP(C3433,'점포코드 '!A:B,2,0)</f>
        <v>#N/A</v>
      </c>
      <c r="E3433" s="30">
        <f>'Raw data'!P3009</f>
        <v>0</v>
      </c>
      <c r="F3433" s="29" t="e">
        <f>VLOOKUP(E3433,'점포코드 '!A:B,2,0)</f>
        <v>#N/A</v>
      </c>
      <c r="G3433" s="46">
        <f>'Raw data'!F3342</f>
        <v>0</v>
      </c>
      <c r="H3433" s="4">
        <f>'Raw data'!G3342</f>
        <v>0</v>
      </c>
      <c r="I3433" s="29" t="e">
        <f>VLOOKUP(G3433,제품명!$C$1:$E$114,2,0)</f>
        <v>#N/A</v>
      </c>
      <c r="J3433" s="29">
        <f>'Raw data'!K3342</f>
        <v>0</v>
      </c>
      <c r="K3433" s="31">
        <f>'Raw data'!H3342</f>
        <v>0</v>
      </c>
      <c r="L3433" s="26">
        <f t="shared" si="110"/>
        <v>0</v>
      </c>
    </row>
    <row r="3434" spans="2:12">
      <c r="B3434" s="4" t="e">
        <f t="shared" si="109"/>
        <v>#N/A</v>
      </c>
      <c r="C3434" s="4">
        <f>'Raw data'!E3010</f>
        <v>0</v>
      </c>
      <c r="D3434" s="29" t="e">
        <f>VLOOKUP(C3434,'점포코드 '!A:B,2,0)</f>
        <v>#N/A</v>
      </c>
      <c r="E3434" s="30">
        <f>'Raw data'!P3010</f>
        <v>0</v>
      </c>
      <c r="F3434" s="29" t="e">
        <f>VLOOKUP(E3434,'점포코드 '!A:B,2,0)</f>
        <v>#N/A</v>
      </c>
      <c r="G3434" s="46">
        <f>'Raw data'!F3343</f>
        <v>0</v>
      </c>
      <c r="H3434" s="4">
        <f>'Raw data'!G3343</f>
        <v>0</v>
      </c>
      <c r="I3434" s="29" t="e">
        <f>VLOOKUP(G3434,제품명!$C$1:$E$114,2,0)</f>
        <v>#N/A</v>
      </c>
      <c r="J3434" s="29">
        <f>'Raw data'!K3343</f>
        <v>0</v>
      </c>
      <c r="K3434" s="31">
        <f>'Raw data'!H3343</f>
        <v>0</v>
      </c>
      <c r="L3434" s="26">
        <f t="shared" si="110"/>
        <v>0</v>
      </c>
    </row>
    <row r="3435" spans="2:12">
      <c r="B3435" s="4" t="e">
        <f t="shared" si="109"/>
        <v>#N/A</v>
      </c>
      <c r="C3435" s="4">
        <f>'Raw data'!E3011</f>
        <v>0</v>
      </c>
      <c r="D3435" s="29" t="e">
        <f>VLOOKUP(C3435,'점포코드 '!A:B,2,0)</f>
        <v>#N/A</v>
      </c>
      <c r="E3435" s="30">
        <f>'Raw data'!P3011</f>
        <v>0</v>
      </c>
      <c r="F3435" s="29" t="e">
        <f>VLOOKUP(E3435,'점포코드 '!A:B,2,0)</f>
        <v>#N/A</v>
      </c>
      <c r="G3435" s="46">
        <f>'Raw data'!F3344</f>
        <v>0</v>
      </c>
      <c r="H3435" s="4">
        <f>'Raw data'!G3344</f>
        <v>0</v>
      </c>
      <c r="I3435" s="29" t="e">
        <f>VLOOKUP(G3435,제품명!$C$1:$E$114,2,0)</f>
        <v>#N/A</v>
      </c>
      <c r="J3435" s="29">
        <f>'Raw data'!K3344</f>
        <v>0</v>
      </c>
      <c r="K3435" s="31">
        <f>'Raw data'!H3344</f>
        <v>0</v>
      </c>
      <c r="L3435" s="26">
        <f t="shared" si="110"/>
        <v>0</v>
      </c>
    </row>
    <row r="3436" spans="2:12">
      <c r="B3436" s="4" t="e">
        <f t="shared" si="109"/>
        <v>#N/A</v>
      </c>
      <c r="C3436" s="4">
        <f>'Raw data'!E3012</f>
        <v>0</v>
      </c>
      <c r="D3436" s="29" t="e">
        <f>VLOOKUP(C3436,'점포코드 '!A:B,2,0)</f>
        <v>#N/A</v>
      </c>
      <c r="E3436" s="30">
        <f>'Raw data'!P3012</f>
        <v>0</v>
      </c>
      <c r="F3436" s="29" t="e">
        <f>VLOOKUP(E3436,'점포코드 '!A:B,2,0)</f>
        <v>#N/A</v>
      </c>
      <c r="G3436" s="46">
        <f>'Raw data'!F3345</f>
        <v>0</v>
      </c>
      <c r="H3436" s="4">
        <f>'Raw data'!G3345</f>
        <v>0</v>
      </c>
      <c r="I3436" s="29" t="e">
        <f>VLOOKUP(G3436,제품명!$C$1:$E$114,2,0)</f>
        <v>#N/A</v>
      </c>
      <c r="J3436" s="29">
        <f>'Raw data'!K3345</f>
        <v>0</v>
      </c>
      <c r="K3436" s="31">
        <f>'Raw data'!H3345</f>
        <v>0</v>
      </c>
      <c r="L3436" s="26">
        <f t="shared" si="110"/>
        <v>0</v>
      </c>
    </row>
    <row r="3437" spans="2:12">
      <c r="B3437" s="4" t="e">
        <f t="shared" si="109"/>
        <v>#N/A</v>
      </c>
      <c r="C3437" s="4">
        <f>'Raw data'!E3013</f>
        <v>0</v>
      </c>
      <c r="D3437" s="29" t="e">
        <f>VLOOKUP(C3437,'점포코드 '!A:B,2,0)</f>
        <v>#N/A</v>
      </c>
      <c r="E3437" s="30">
        <f>'Raw data'!P3013</f>
        <v>0</v>
      </c>
      <c r="F3437" s="29" t="e">
        <f>VLOOKUP(E3437,'점포코드 '!A:B,2,0)</f>
        <v>#N/A</v>
      </c>
      <c r="G3437" s="46">
        <f>'Raw data'!F3346</f>
        <v>0</v>
      </c>
      <c r="H3437" s="4">
        <f>'Raw data'!G3346</f>
        <v>0</v>
      </c>
      <c r="I3437" s="29" t="e">
        <f>VLOOKUP(G3437,제품명!$C$1:$E$114,2,0)</f>
        <v>#N/A</v>
      </c>
      <c r="J3437" s="29">
        <f>'Raw data'!K3346</f>
        <v>0</v>
      </c>
      <c r="K3437" s="31">
        <f>'Raw data'!H3346</f>
        <v>0</v>
      </c>
      <c r="L3437" s="26">
        <f t="shared" si="110"/>
        <v>0</v>
      </c>
    </row>
    <row r="3438" spans="2:12">
      <c r="B3438" s="4" t="e">
        <f t="shared" si="109"/>
        <v>#N/A</v>
      </c>
      <c r="C3438" s="4">
        <f>'Raw data'!E3014</f>
        <v>0</v>
      </c>
      <c r="D3438" s="29" t="e">
        <f>VLOOKUP(C3438,'점포코드 '!A:B,2,0)</f>
        <v>#N/A</v>
      </c>
      <c r="E3438" s="30">
        <f>'Raw data'!P3014</f>
        <v>0</v>
      </c>
      <c r="F3438" s="29" t="e">
        <f>VLOOKUP(E3438,'점포코드 '!A:B,2,0)</f>
        <v>#N/A</v>
      </c>
      <c r="G3438" s="46">
        <f>'Raw data'!F3347</f>
        <v>0</v>
      </c>
      <c r="H3438" s="4">
        <f>'Raw data'!G3347</f>
        <v>0</v>
      </c>
      <c r="I3438" s="29" t="e">
        <f>VLOOKUP(G3438,제품명!$C$1:$E$114,2,0)</f>
        <v>#N/A</v>
      </c>
      <c r="J3438" s="29">
        <f>'Raw data'!K3347</f>
        <v>0</v>
      </c>
      <c r="K3438" s="31">
        <f>'Raw data'!H3347</f>
        <v>0</v>
      </c>
      <c r="L3438" s="26">
        <f t="shared" si="110"/>
        <v>0</v>
      </c>
    </row>
    <row r="3439" spans="2:12">
      <c r="B3439" s="4" t="e">
        <f t="shared" si="109"/>
        <v>#N/A</v>
      </c>
      <c r="C3439" s="4">
        <f>'Raw data'!E3015</f>
        <v>0</v>
      </c>
      <c r="D3439" s="29" t="e">
        <f>VLOOKUP(C3439,'점포코드 '!A:B,2,0)</f>
        <v>#N/A</v>
      </c>
      <c r="E3439" s="30">
        <f>'Raw data'!P3015</f>
        <v>0</v>
      </c>
      <c r="F3439" s="29" t="e">
        <f>VLOOKUP(E3439,'점포코드 '!A:B,2,0)</f>
        <v>#N/A</v>
      </c>
      <c r="G3439" s="46">
        <f>'Raw data'!F3348</f>
        <v>0</v>
      </c>
      <c r="H3439" s="4">
        <f>'Raw data'!G3348</f>
        <v>0</v>
      </c>
      <c r="I3439" s="29" t="e">
        <f>VLOOKUP(G3439,제품명!$C$1:$E$114,2,0)</f>
        <v>#N/A</v>
      </c>
      <c r="J3439" s="29">
        <f>'Raw data'!K3348</f>
        <v>0</v>
      </c>
      <c r="K3439" s="31">
        <f>'Raw data'!H3348</f>
        <v>0</v>
      </c>
      <c r="L3439" s="26">
        <f t="shared" si="110"/>
        <v>0</v>
      </c>
    </row>
    <row r="3440" spans="2:12">
      <c r="B3440" s="4" t="e">
        <f t="shared" si="109"/>
        <v>#N/A</v>
      </c>
      <c r="C3440" s="4">
        <f>'Raw data'!E3016</f>
        <v>0</v>
      </c>
      <c r="D3440" s="29" t="e">
        <f>VLOOKUP(C3440,'점포코드 '!A:B,2,0)</f>
        <v>#N/A</v>
      </c>
      <c r="E3440" s="30">
        <f>'Raw data'!P3016</f>
        <v>0</v>
      </c>
      <c r="F3440" s="29" t="e">
        <f>VLOOKUP(E3440,'점포코드 '!A:B,2,0)</f>
        <v>#N/A</v>
      </c>
      <c r="G3440" s="46">
        <f>'Raw data'!F3349</f>
        <v>0</v>
      </c>
      <c r="H3440" s="4">
        <f>'Raw data'!G3349</f>
        <v>0</v>
      </c>
      <c r="I3440" s="29" t="e">
        <f>VLOOKUP(G3440,제품명!$C$1:$E$114,2,0)</f>
        <v>#N/A</v>
      </c>
      <c r="J3440" s="29">
        <f>'Raw data'!K3349</f>
        <v>0</v>
      </c>
      <c r="K3440" s="31">
        <f>'Raw data'!H3349</f>
        <v>0</v>
      </c>
      <c r="L3440" s="26">
        <f t="shared" si="110"/>
        <v>0</v>
      </c>
    </row>
    <row r="3441" spans="2:12">
      <c r="B3441" s="4" t="e">
        <f t="shared" si="109"/>
        <v>#N/A</v>
      </c>
      <c r="C3441" s="4">
        <f>'Raw data'!E3017</f>
        <v>0</v>
      </c>
      <c r="D3441" s="29" t="e">
        <f>VLOOKUP(C3441,'점포코드 '!A:B,2,0)</f>
        <v>#N/A</v>
      </c>
      <c r="E3441" s="30">
        <f>'Raw data'!P3017</f>
        <v>0</v>
      </c>
      <c r="F3441" s="29" t="e">
        <f>VLOOKUP(E3441,'점포코드 '!A:B,2,0)</f>
        <v>#N/A</v>
      </c>
      <c r="G3441" s="46">
        <f>'Raw data'!F3350</f>
        <v>0</v>
      </c>
      <c r="H3441" s="4">
        <f>'Raw data'!G3350</f>
        <v>0</v>
      </c>
      <c r="I3441" s="29" t="e">
        <f>VLOOKUP(G3441,제품명!$C$1:$E$114,2,0)</f>
        <v>#N/A</v>
      </c>
      <c r="J3441" s="29">
        <f>'Raw data'!K3350</f>
        <v>0</v>
      </c>
      <c r="K3441" s="31">
        <f>'Raw data'!H3350</f>
        <v>0</v>
      </c>
      <c r="L3441" s="26">
        <f t="shared" si="110"/>
        <v>0</v>
      </c>
    </row>
    <row r="3442" spans="2:12">
      <c r="B3442" s="4" t="e">
        <f t="shared" si="109"/>
        <v>#N/A</v>
      </c>
      <c r="C3442" s="4">
        <f>'Raw data'!E3018</f>
        <v>0</v>
      </c>
      <c r="D3442" s="29" t="e">
        <f>VLOOKUP(C3442,'점포코드 '!A:B,2,0)</f>
        <v>#N/A</v>
      </c>
      <c r="E3442" s="30">
        <f>'Raw data'!P3018</f>
        <v>0</v>
      </c>
      <c r="F3442" s="29" t="e">
        <f>VLOOKUP(E3442,'점포코드 '!A:B,2,0)</f>
        <v>#N/A</v>
      </c>
      <c r="G3442" s="46">
        <f>'Raw data'!F3351</f>
        <v>0</v>
      </c>
      <c r="H3442" s="4">
        <f>'Raw data'!G3351</f>
        <v>0</v>
      </c>
      <c r="I3442" s="29" t="e">
        <f>VLOOKUP(G3442,제품명!$C$1:$E$114,2,0)</f>
        <v>#N/A</v>
      </c>
      <c r="J3442" s="29">
        <f>'Raw data'!K3351</f>
        <v>0</v>
      </c>
      <c r="K3442" s="31">
        <f>'Raw data'!H3351</f>
        <v>0</v>
      </c>
      <c r="L3442" s="26">
        <f t="shared" si="110"/>
        <v>0</v>
      </c>
    </row>
    <row r="3443" spans="2:12">
      <c r="B3443" s="4" t="e">
        <f t="shared" si="109"/>
        <v>#N/A</v>
      </c>
      <c r="C3443" s="4">
        <f>'Raw data'!E3019</f>
        <v>0</v>
      </c>
      <c r="D3443" s="29" t="e">
        <f>VLOOKUP(C3443,'점포코드 '!A:B,2,0)</f>
        <v>#N/A</v>
      </c>
      <c r="E3443" s="30">
        <f>'Raw data'!P3019</f>
        <v>0</v>
      </c>
      <c r="F3443" s="29" t="e">
        <f>VLOOKUP(E3443,'점포코드 '!A:B,2,0)</f>
        <v>#N/A</v>
      </c>
      <c r="G3443" s="46">
        <f>'Raw data'!F3352</f>
        <v>0</v>
      </c>
      <c r="H3443" s="4">
        <f>'Raw data'!G3352</f>
        <v>0</v>
      </c>
      <c r="I3443" s="29" t="e">
        <f>VLOOKUP(G3443,제품명!$C$1:$E$114,2,0)</f>
        <v>#N/A</v>
      </c>
      <c r="J3443" s="29">
        <f>'Raw data'!K3352</f>
        <v>0</v>
      </c>
      <c r="K3443" s="31">
        <f>'Raw data'!H3352</f>
        <v>0</v>
      </c>
      <c r="L3443" s="26">
        <f t="shared" si="110"/>
        <v>0</v>
      </c>
    </row>
    <row r="3444" spans="2:12">
      <c r="B3444" s="4" t="e">
        <f t="shared" si="109"/>
        <v>#N/A</v>
      </c>
      <c r="C3444" s="4">
        <f>'Raw data'!E3020</f>
        <v>0</v>
      </c>
      <c r="D3444" s="29" t="e">
        <f>VLOOKUP(C3444,'점포코드 '!A:B,2,0)</f>
        <v>#N/A</v>
      </c>
      <c r="E3444" s="30">
        <f>'Raw data'!P3020</f>
        <v>0</v>
      </c>
      <c r="F3444" s="29" t="e">
        <f>VLOOKUP(E3444,'점포코드 '!A:B,2,0)</f>
        <v>#N/A</v>
      </c>
      <c r="G3444" s="46">
        <f>'Raw data'!F3353</f>
        <v>0</v>
      </c>
      <c r="H3444" s="4">
        <f>'Raw data'!G3353</f>
        <v>0</v>
      </c>
      <c r="I3444" s="29" t="e">
        <f>VLOOKUP(G3444,제품명!$C$1:$E$114,2,0)</f>
        <v>#N/A</v>
      </c>
      <c r="J3444" s="29">
        <f>'Raw data'!K3353</f>
        <v>0</v>
      </c>
      <c r="K3444" s="31">
        <f>'Raw data'!H3353</f>
        <v>0</v>
      </c>
      <c r="L3444" s="26">
        <f t="shared" si="110"/>
        <v>0</v>
      </c>
    </row>
    <row r="3445" spans="2:12">
      <c r="B3445" s="4" t="e">
        <f t="shared" si="109"/>
        <v>#N/A</v>
      </c>
      <c r="C3445" s="4">
        <f>'Raw data'!E3021</f>
        <v>0</v>
      </c>
      <c r="D3445" s="29" t="e">
        <f>VLOOKUP(C3445,'점포코드 '!A:B,2,0)</f>
        <v>#N/A</v>
      </c>
      <c r="E3445" s="30">
        <f>'Raw data'!P3021</f>
        <v>0</v>
      </c>
      <c r="F3445" s="29" t="e">
        <f>VLOOKUP(E3445,'점포코드 '!A:B,2,0)</f>
        <v>#N/A</v>
      </c>
      <c r="G3445" s="46">
        <f>'Raw data'!F3354</f>
        <v>0</v>
      </c>
      <c r="H3445" s="4">
        <f>'Raw data'!G3354</f>
        <v>0</v>
      </c>
      <c r="I3445" s="29" t="e">
        <f>VLOOKUP(G3445,제품명!$C$1:$E$114,2,0)</f>
        <v>#N/A</v>
      </c>
      <c r="J3445" s="29">
        <f>'Raw data'!K3354</f>
        <v>0</v>
      </c>
      <c r="K3445" s="31">
        <f>'Raw data'!H3354</f>
        <v>0</v>
      </c>
      <c r="L3445" s="26">
        <f t="shared" si="110"/>
        <v>0</v>
      </c>
    </row>
    <row r="3446" spans="2:12">
      <c r="B3446" s="4" t="e">
        <f t="shared" si="109"/>
        <v>#N/A</v>
      </c>
      <c r="C3446" s="4">
        <f>'Raw data'!E3022</f>
        <v>0</v>
      </c>
      <c r="D3446" s="29" t="e">
        <f>VLOOKUP(C3446,'점포코드 '!A:B,2,0)</f>
        <v>#N/A</v>
      </c>
      <c r="E3446" s="30">
        <f>'Raw data'!P3022</f>
        <v>0</v>
      </c>
      <c r="F3446" s="29" t="e">
        <f>VLOOKUP(E3446,'점포코드 '!A:B,2,0)</f>
        <v>#N/A</v>
      </c>
      <c r="G3446" s="46">
        <f>'Raw data'!F3355</f>
        <v>0</v>
      </c>
      <c r="H3446" s="4">
        <f>'Raw data'!G3355</f>
        <v>0</v>
      </c>
      <c r="I3446" s="29" t="e">
        <f>VLOOKUP(G3446,제품명!$C$1:$E$114,2,0)</f>
        <v>#N/A</v>
      </c>
      <c r="J3446" s="29">
        <f>'Raw data'!K3355</f>
        <v>0</v>
      </c>
      <c r="K3446" s="31">
        <f>'Raw data'!H3355</f>
        <v>0</v>
      </c>
      <c r="L3446" s="26">
        <f t="shared" si="110"/>
        <v>0</v>
      </c>
    </row>
    <row r="3447" spans="2:12">
      <c r="B3447" s="4" t="e">
        <f t="shared" si="109"/>
        <v>#N/A</v>
      </c>
      <c r="C3447" s="4">
        <f>'Raw data'!E3023</f>
        <v>0</v>
      </c>
      <c r="D3447" s="29" t="e">
        <f>VLOOKUP(C3447,'점포코드 '!A:B,2,0)</f>
        <v>#N/A</v>
      </c>
      <c r="E3447" s="30">
        <f>'Raw data'!P3023</f>
        <v>0</v>
      </c>
      <c r="F3447" s="29" t="e">
        <f>VLOOKUP(E3447,'점포코드 '!A:B,2,0)</f>
        <v>#N/A</v>
      </c>
      <c r="G3447" s="46">
        <f>'Raw data'!F3356</f>
        <v>0</v>
      </c>
      <c r="H3447" s="4">
        <f>'Raw data'!G3356</f>
        <v>0</v>
      </c>
      <c r="I3447" s="29" t="e">
        <f>VLOOKUP(G3447,제품명!$C$1:$E$114,2,0)</f>
        <v>#N/A</v>
      </c>
      <c r="J3447" s="29">
        <f>'Raw data'!K3356</f>
        <v>0</v>
      </c>
      <c r="K3447" s="31">
        <f>'Raw data'!H3356</f>
        <v>0</v>
      </c>
      <c r="L3447" s="26">
        <f t="shared" si="110"/>
        <v>0</v>
      </c>
    </row>
    <row r="3448" spans="2:12">
      <c r="B3448" s="4" t="e">
        <f t="shared" si="109"/>
        <v>#N/A</v>
      </c>
      <c r="C3448" s="4">
        <f>'Raw data'!E3024</f>
        <v>0</v>
      </c>
      <c r="D3448" s="29" t="e">
        <f>VLOOKUP(C3448,'점포코드 '!A:B,2,0)</f>
        <v>#N/A</v>
      </c>
      <c r="E3448" s="30">
        <f>'Raw data'!P3024</f>
        <v>0</v>
      </c>
      <c r="F3448" s="29" t="e">
        <f>VLOOKUP(E3448,'점포코드 '!A:B,2,0)</f>
        <v>#N/A</v>
      </c>
      <c r="G3448" s="46">
        <f>'Raw data'!F3357</f>
        <v>0</v>
      </c>
      <c r="H3448" s="4">
        <f>'Raw data'!G3357</f>
        <v>0</v>
      </c>
      <c r="I3448" s="29" t="e">
        <f>VLOOKUP(G3448,제품명!$C$1:$E$114,2,0)</f>
        <v>#N/A</v>
      </c>
      <c r="J3448" s="29">
        <f>'Raw data'!K3357</f>
        <v>0</v>
      </c>
      <c r="K3448" s="31">
        <f>'Raw data'!H3357</f>
        <v>0</v>
      </c>
      <c r="L3448" s="26">
        <f t="shared" si="110"/>
        <v>0</v>
      </c>
    </row>
    <row r="3449" spans="2:12">
      <c r="B3449" s="4" t="e">
        <f t="shared" si="109"/>
        <v>#N/A</v>
      </c>
      <c r="C3449" s="4">
        <f>'Raw data'!E3025</f>
        <v>0</v>
      </c>
      <c r="D3449" s="29" t="e">
        <f>VLOOKUP(C3449,'점포코드 '!A:B,2,0)</f>
        <v>#N/A</v>
      </c>
      <c r="E3449" s="30">
        <f>'Raw data'!P3025</f>
        <v>0</v>
      </c>
      <c r="F3449" s="29" t="e">
        <f>VLOOKUP(E3449,'점포코드 '!A:B,2,0)</f>
        <v>#N/A</v>
      </c>
      <c r="G3449" s="46">
        <f>'Raw data'!F3358</f>
        <v>0</v>
      </c>
      <c r="H3449" s="4">
        <f>'Raw data'!G3358</f>
        <v>0</v>
      </c>
      <c r="I3449" s="29" t="e">
        <f>VLOOKUP(G3449,제품명!$C$1:$E$114,2,0)</f>
        <v>#N/A</v>
      </c>
      <c r="J3449" s="29">
        <f>'Raw data'!K3358</f>
        <v>0</v>
      </c>
      <c r="K3449" s="31">
        <f>'Raw data'!H3358</f>
        <v>0</v>
      </c>
      <c r="L3449" s="26">
        <f t="shared" si="110"/>
        <v>0</v>
      </c>
    </row>
    <row r="3450" spans="2:12">
      <c r="B3450" s="4" t="e">
        <f t="shared" si="109"/>
        <v>#N/A</v>
      </c>
      <c r="C3450" s="4">
        <f>'Raw data'!E3026</f>
        <v>0</v>
      </c>
      <c r="D3450" s="29" t="e">
        <f>VLOOKUP(C3450,'점포코드 '!A:B,2,0)</f>
        <v>#N/A</v>
      </c>
      <c r="E3450" s="30">
        <f>'Raw data'!P3026</f>
        <v>0</v>
      </c>
      <c r="F3450" s="29" t="e">
        <f>VLOOKUP(E3450,'점포코드 '!A:B,2,0)</f>
        <v>#N/A</v>
      </c>
      <c r="G3450" s="46">
        <f>'Raw data'!F3359</f>
        <v>0</v>
      </c>
      <c r="H3450" s="4">
        <f>'Raw data'!G3359</f>
        <v>0</v>
      </c>
      <c r="I3450" s="29" t="e">
        <f>VLOOKUP(G3450,제품명!$C$1:$E$114,2,0)</f>
        <v>#N/A</v>
      </c>
      <c r="J3450" s="29">
        <f>'Raw data'!K3359</f>
        <v>0</v>
      </c>
      <c r="K3450" s="31">
        <f>'Raw data'!H3359</f>
        <v>0</v>
      </c>
      <c r="L3450" s="26">
        <f t="shared" si="110"/>
        <v>0</v>
      </c>
    </row>
    <row r="3451" spans="2:12">
      <c r="B3451" s="4" t="e">
        <f t="shared" si="109"/>
        <v>#N/A</v>
      </c>
      <c r="C3451" s="4">
        <f>'Raw data'!E3027</f>
        <v>0</v>
      </c>
      <c r="D3451" s="29" t="e">
        <f>VLOOKUP(C3451,'점포코드 '!A:B,2,0)</f>
        <v>#N/A</v>
      </c>
      <c r="E3451" s="30">
        <f>'Raw data'!P3027</f>
        <v>0</v>
      </c>
      <c r="F3451" s="29" t="e">
        <f>VLOOKUP(E3451,'점포코드 '!A:B,2,0)</f>
        <v>#N/A</v>
      </c>
      <c r="G3451" s="46">
        <f>'Raw data'!F3360</f>
        <v>0</v>
      </c>
      <c r="H3451" s="4">
        <f>'Raw data'!G3360</f>
        <v>0</v>
      </c>
      <c r="I3451" s="29" t="e">
        <f>VLOOKUP(G3451,제품명!$C$1:$E$114,2,0)</f>
        <v>#N/A</v>
      </c>
      <c r="J3451" s="29">
        <f>'Raw data'!K3360</f>
        <v>0</v>
      </c>
      <c r="K3451" s="31">
        <f>'Raw data'!H3360</f>
        <v>0</v>
      </c>
      <c r="L3451" s="26">
        <f t="shared" si="110"/>
        <v>0</v>
      </c>
    </row>
    <row r="3452" spans="2:12">
      <c r="B3452" s="4" t="e">
        <f t="shared" si="109"/>
        <v>#N/A</v>
      </c>
      <c r="C3452" s="4">
        <f>'Raw data'!E3028</f>
        <v>0</v>
      </c>
      <c r="D3452" s="29" t="e">
        <f>VLOOKUP(C3452,'점포코드 '!A:B,2,0)</f>
        <v>#N/A</v>
      </c>
      <c r="E3452" s="30">
        <f>'Raw data'!P3028</f>
        <v>0</v>
      </c>
      <c r="F3452" s="29" t="e">
        <f>VLOOKUP(E3452,'점포코드 '!A:B,2,0)</f>
        <v>#N/A</v>
      </c>
      <c r="G3452" s="46">
        <f>'Raw data'!F3361</f>
        <v>0</v>
      </c>
      <c r="H3452" s="4">
        <f>'Raw data'!G3361</f>
        <v>0</v>
      </c>
      <c r="I3452" s="29" t="e">
        <f>VLOOKUP(G3452,제품명!$C$1:$E$114,2,0)</f>
        <v>#N/A</v>
      </c>
      <c r="J3452" s="29">
        <f>'Raw data'!K3361</f>
        <v>0</v>
      </c>
      <c r="K3452" s="31">
        <f>'Raw data'!H3361</f>
        <v>0</v>
      </c>
      <c r="L3452" s="26">
        <f t="shared" si="110"/>
        <v>0</v>
      </c>
    </row>
    <row r="3453" spans="2:12">
      <c r="B3453" s="4" t="e">
        <f t="shared" si="109"/>
        <v>#N/A</v>
      </c>
      <c r="C3453" s="4">
        <f>'Raw data'!E3029</f>
        <v>0</v>
      </c>
      <c r="D3453" s="29" t="e">
        <f>VLOOKUP(C3453,'점포코드 '!A:B,2,0)</f>
        <v>#N/A</v>
      </c>
      <c r="E3453" s="30">
        <f>'Raw data'!P3029</f>
        <v>0</v>
      </c>
      <c r="F3453" s="29" t="e">
        <f>VLOOKUP(E3453,'점포코드 '!A:B,2,0)</f>
        <v>#N/A</v>
      </c>
      <c r="G3453" s="46">
        <f>'Raw data'!F3362</f>
        <v>0</v>
      </c>
      <c r="H3453" s="4">
        <f>'Raw data'!G3362</f>
        <v>0</v>
      </c>
      <c r="I3453" s="29" t="e">
        <f>VLOOKUP(G3453,제품명!$C$1:$E$114,2,0)</f>
        <v>#N/A</v>
      </c>
      <c r="J3453" s="29">
        <f>'Raw data'!K3362</f>
        <v>0</v>
      </c>
      <c r="K3453" s="31">
        <f>'Raw data'!H3362</f>
        <v>0</v>
      </c>
      <c r="L3453" s="26">
        <f t="shared" si="110"/>
        <v>0</v>
      </c>
    </row>
    <row r="3454" spans="2:12">
      <c r="B3454" s="4" t="e">
        <f t="shared" si="109"/>
        <v>#N/A</v>
      </c>
      <c r="C3454" s="4">
        <f>'Raw data'!E3030</f>
        <v>0</v>
      </c>
      <c r="D3454" s="29" t="e">
        <f>VLOOKUP(C3454,'점포코드 '!A:B,2,0)</f>
        <v>#N/A</v>
      </c>
      <c r="E3454" s="30">
        <f>'Raw data'!P3030</f>
        <v>0</v>
      </c>
      <c r="F3454" s="29" t="e">
        <f>VLOOKUP(E3454,'점포코드 '!A:B,2,0)</f>
        <v>#N/A</v>
      </c>
      <c r="G3454" s="46">
        <f>'Raw data'!F3363</f>
        <v>0</v>
      </c>
      <c r="H3454" s="4">
        <f>'Raw data'!G3363</f>
        <v>0</v>
      </c>
      <c r="I3454" s="29" t="e">
        <f>VLOOKUP(G3454,제품명!$C$1:$E$114,2,0)</f>
        <v>#N/A</v>
      </c>
      <c r="J3454" s="29">
        <f>'Raw data'!K3363</f>
        <v>0</v>
      </c>
      <c r="K3454" s="31">
        <f>'Raw data'!H3363</f>
        <v>0</v>
      </c>
      <c r="L3454" s="26">
        <f t="shared" si="110"/>
        <v>0</v>
      </c>
    </row>
    <row r="3455" spans="2:12">
      <c r="B3455" s="4" t="e">
        <f t="shared" si="109"/>
        <v>#N/A</v>
      </c>
      <c r="C3455" s="4">
        <f>'Raw data'!E3031</f>
        <v>0</v>
      </c>
      <c r="D3455" s="29" t="e">
        <f>VLOOKUP(C3455,'점포코드 '!A:B,2,0)</f>
        <v>#N/A</v>
      </c>
      <c r="E3455" s="30">
        <f>'Raw data'!P3031</f>
        <v>0</v>
      </c>
      <c r="F3455" s="29" t="e">
        <f>VLOOKUP(E3455,'점포코드 '!A:B,2,0)</f>
        <v>#N/A</v>
      </c>
      <c r="G3455" s="46">
        <f>'Raw data'!F3364</f>
        <v>0</v>
      </c>
      <c r="H3455" s="4">
        <f>'Raw data'!G3364</f>
        <v>0</v>
      </c>
      <c r="I3455" s="29" t="e">
        <f>VLOOKUP(G3455,제품명!$C$1:$E$114,2,0)</f>
        <v>#N/A</v>
      </c>
      <c r="J3455" s="29">
        <f>'Raw data'!K3364</f>
        <v>0</v>
      </c>
      <c r="K3455" s="31">
        <f>'Raw data'!H3364</f>
        <v>0</v>
      </c>
      <c r="L3455" s="26">
        <f t="shared" si="110"/>
        <v>0</v>
      </c>
    </row>
    <row r="3456" spans="2:12">
      <c r="B3456" s="4" t="e">
        <f t="shared" si="109"/>
        <v>#N/A</v>
      </c>
      <c r="C3456" s="4">
        <f>'Raw data'!E3032</f>
        <v>0</v>
      </c>
      <c r="D3456" s="29" t="e">
        <f>VLOOKUP(C3456,'점포코드 '!A:B,2,0)</f>
        <v>#N/A</v>
      </c>
      <c r="E3456" s="30">
        <f>'Raw data'!P3032</f>
        <v>0</v>
      </c>
      <c r="F3456" s="29" t="e">
        <f>VLOOKUP(E3456,'점포코드 '!A:B,2,0)</f>
        <v>#N/A</v>
      </c>
      <c r="G3456" s="46">
        <f>'Raw data'!F3365</f>
        <v>0</v>
      </c>
      <c r="H3456" s="4">
        <f>'Raw data'!G3365</f>
        <v>0</v>
      </c>
      <c r="I3456" s="29" t="e">
        <f>VLOOKUP(G3456,제품명!$C$1:$E$114,2,0)</f>
        <v>#N/A</v>
      </c>
      <c r="J3456" s="29">
        <f>'Raw data'!K3365</f>
        <v>0</v>
      </c>
      <c r="K3456" s="31">
        <f>'Raw data'!H3365</f>
        <v>0</v>
      </c>
      <c r="L3456" s="26">
        <f t="shared" si="110"/>
        <v>0</v>
      </c>
    </row>
    <row r="3457" spans="2:12">
      <c r="B3457" s="4" t="e">
        <f t="shared" si="109"/>
        <v>#N/A</v>
      </c>
      <c r="C3457" s="4">
        <f>'Raw data'!E3033</f>
        <v>0</v>
      </c>
      <c r="D3457" s="29" t="e">
        <f>VLOOKUP(C3457,'점포코드 '!A:B,2,0)</f>
        <v>#N/A</v>
      </c>
      <c r="E3457" s="30">
        <f>'Raw data'!P3033</f>
        <v>0</v>
      </c>
      <c r="F3457" s="29" t="e">
        <f>VLOOKUP(E3457,'점포코드 '!A:B,2,0)</f>
        <v>#N/A</v>
      </c>
      <c r="G3457" s="46">
        <f>'Raw data'!F3366</f>
        <v>0</v>
      </c>
      <c r="H3457" s="4">
        <f>'Raw data'!G3366</f>
        <v>0</v>
      </c>
      <c r="I3457" s="29" t="e">
        <f>VLOOKUP(G3457,제품명!$C$1:$E$114,2,0)</f>
        <v>#N/A</v>
      </c>
      <c r="J3457" s="29">
        <f>'Raw data'!K3366</f>
        <v>0</v>
      </c>
      <c r="K3457" s="31">
        <f>'Raw data'!H3366</f>
        <v>0</v>
      </c>
      <c r="L3457" s="26">
        <f t="shared" si="110"/>
        <v>0</v>
      </c>
    </row>
    <row r="3458" spans="2:12">
      <c r="B3458" s="4" t="e">
        <f t="shared" ref="B3458:B3521" si="111">F3458&amp;I3458</f>
        <v>#N/A</v>
      </c>
      <c r="C3458" s="4">
        <f>'Raw data'!E3034</f>
        <v>0</v>
      </c>
      <c r="D3458" s="29" t="e">
        <f>VLOOKUP(C3458,'점포코드 '!A:B,2,0)</f>
        <v>#N/A</v>
      </c>
      <c r="E3458" s="30">
        <f>'Raw data'!P3034</f>
        <v>0</v>
      </c>
      <c r="F3458" s="29" t="e">
        <f>VLOOKUP(E3458,'점포코드 '!A:B,2,0)</f>
        <v>#N/A</v>
      </c>
      <c r="G3458" s="46">
        <f>'Raw data'!F3367</f>
        <v>0</v>
      </c>
      <c r="H3458" s="4">
        <f>'Raw data'!G3367</f>
        <v>0</v>
      </c>
      <c r="I3458" s="29" t="e">
        <f>VLOOKUP(G3458,제품명!$C$1:$E$114,2,0)</f>
        <v>#N/A</v>
      </c>
      <c r="J3458" s="29">
        <f>'Raw data'!K3367</f>
        <v>0</v>
      </c>
      <c r="K3458" s="31">
        <f>'Raw data'!H3367</f>
        <v>0</v>
      </c>
      <c r="L3458" s="26">
        <f t="shared" si="110"/>
        <v>0</v>
      </c>
    </row>
    <row r="3459" spans="2:12">
      <c r="B3459" s="4" t="e">
        <f t="shared" si="111"/>
        <v>#N/A</v>
      </c>
      <c r="C3459" s="4">
        <f>'Raw data'!E3035</f>
        <v>0</v>
      </c>
      <c r="D3459" s="29" t="e">
        <f>VLOOKUP(C3459,'점포코드 '!A:B,2,0)</f>
        <v>#N/A</v>
      </c>
      <c r="E3459" s="30">
        <f>'Raw data'!P3035</f>
        <v>0</v>
      </c>
      <c r="F3459" s="29" t="e">
        <f>VLOOKUP(E3459,'점포코드 '!A:B,2,0)</f>
        <v>#N/A</v>
      </c>
      <c r="G3459" s="46">
        <f>'Raw data'!F3368</f>
        <v>0</v>
      </c>
      <c r="H3459" s="4">
        <f>'Raw data'!G3368</f>
        <v>0</v>
      </c>
      <c r="I3459" s="29" t="e">
        <f>VLOOKUP(G3459,제품명!$C$1:$E$114,2,0)</f>
        <v>#N/A</v>
      </c>
      <c r="J3459" s="29">
        <f>'Raw data'!K3368</f>
        <v>0</v>
      </c>
      <c r="K3459" s="31">
        <f>'Raw data'!H3368</f>
        <v>0</v>
      </c>
      <c r="L3459" s="26">
        <f t="shared" ref="L3459:L3522" si="112">J3459*K3459</f>
        <v>0</v>
      </c>
    </row>
    <row r="3460" spans="2:12">
      <c r="B3460" s="4" t="e">
        <f t="shared" si="111"/>
        <v>#N/A</v>
      </c>
      <c r="C3460" s="4">
        <f>'Raw data'!E3036</f>
        <v>0</v>
      </c>
      <c r="D3460" s="29" t="e">
        <f>VLOOKUP(C3460,'점포코드 '!A:B,2,0)</f>
        <v>#N/A</v>
      </c>
      <c r="E3460" s="30">
        <f>'Raw data'!P3036</f>
        <v>0</v>
      </c>
      <c r="F3460" s="29" t="e">
        <f>VLOOKUP(E3460,'점포코드 '!A:B,2,0)</f>
        <v>#N/A</v>
      </c>
      <c r="G3460" s="46">
        <f>'Raw data'!F3369</f>
        <v>0</v>
      </c>
      <c r="H3460" s="4">
        <f>'Raw data'!G3369</f>
        <v>0</v>
      </c>
      <c r="I3460" s="29" t="e">
        <f>VLOOKUP(G3460,제품명!$C$1:$E$114,2,0)</f>
        <v>#N/A</v>
      </c>
      <c r="J3460" s="29">
        <f>'Raw data'!K3369</f>
        <v>0</v>
      </c>
      <c r="K3460" s="31">
        <f>'Raw data'!H3369</f>
        <v>0</v>
      </c>
      <c r="L3460" s="26">
        <f t="shared" si="112"/>
        <v>0</v>
      </c>
    </row>
    <row r="3461" spans="2:12">
      <c r="B3461" s="4" t="e">
        <f t="shared" si="111"/>
        <v>#N/A</v>
      </c>
      <c r="C3461" s="4">
        <f>'Raw data'!E3037</f>
        <v>0</v>
      </c>
      <c r="D3461" s="29" t="e">
        <f>VLOOKUP(C3461,'점포코드 '!A:B,2,0)</f>
        <v>#N/A</v>
      </c>
      <c r="E3461" s="30">
        <f>'Raw data'!P3037</f>
        <v>0</v>
      </c>
      <c r="F3461" s="29" t="e">
        <f>VLOOKUP(E3461,'점포코드 '!A:B,2,0)</f>
        <v>#N/A</v>
      </c>
      <c r="G3461" s="46">
        <f>'Raw data'!F3370</f>
        <v>0</v>
      </c>
      <c r="H3461" s="4">
        <f>'Raw data'!G3370</f>
        <v>0</v>
      </c>
      <c r="I3461" s="29" t="e">
        <f>VLOOKUP(G3461,제품명!$C$1:$E$114,2,0)</f>
        <v>#N/A</v>
      </c>
      <c r="J3461" s="29">
        <f>'Raw data'!K3370</f>
        <v>0</v>
      </c>
      <c r="K3461" s="31">
        <f>'Raw data'!H3370</f>
        <v>0</v>
      </c>
      <c r="L3461" s="26">
        <f t="shared" si="112"/>
        <v>0</v>
      </c>
    </row>
    <row r="3462" spans="2:12">
      <c r="B3462" s="4" t="e">
        <f t="shared" si="111"/>
        <v>#N/A</v>
      </c>
      <c r="C3462" s="4">
        <f>'Raw data'!E3038</f>
        <v>0</v>
      </c>
      <c r="D3462" s="29" t="e">
        <f>VLOOKUP(C3462,'점포코드 '!A:B,2,0)</f>
        <v>#N/A</v>
      </c>
      <c r="E3462" s="30">
        <f>'Raw data'!P3038</f>
        <v>0</v>
      </c>
      <c r="F3462" s="29" t="e">
        <f>VLOOKUP(E3462,'점포코드 '!A:B,2,0)</f>
        <v>#N/A</v>
      </c>
      <c r="G3462" s="46">
        <f>'Raw data'!F3371</f>
        <v>0</v>
      </c>
      <c r="H3462" s="4">
        <f>'Raw data'!G3371</f>
        <v>0</v>
      </c>
      <c r="I3462" s="29" t="e">
        <f>VLOOKUP(G3462,제품명!$C$1:$E$114,2,0)</f>
        <v>#N/A</v>
      </c>
      <c r="J3462" s="29">
        <f>'Raw data'!K3371</f>
        <v>0</v>
      </c>
      <c r="K3462" s="31">
        <f>'Raw data'!H3371</f>
        <v>0</v>
      </c>
      <c r="L3462" s="26">
        <f t="shared" si="112"/>
        <v>0</v>
      </c>
    </row>
    <row r="3463" spans="2:12">
      <c r="B3463" s="4" t="e">
        <f t="shared" si="111"/>
        <v>#N/A</v>
      </c>
      <c r="C3463" s="4">
        <f>'Raw data'!E3039</f>
        <v>0</v>
      </c>
      <c r="D3463" s="29" t="e">
        <f>VLOOKUP(C3463,'점포코드 '!A:B,2,0)</f>
        <v>#N/A</v>
      </c>
      <c r="E3463" s="30">
        <f>'Raw data'!P3039</f>
        <v>0</v>
      </c>
      <c r="F3463" s="29" t="e">
        <f>VLOOKUP(E3463,'점포코드 '!A:B,2,0)</f>
        <v>#N/A</v>
      </c>
      <c r="G3463" s="46">
        <f>'Raw data'!F3372</f>
        <v>0</v>
      </c>
      <c r="H3463" s="4">
        <f>'Raw data'!G3372</f>
        <v>0</v>
      </c>
      <c r="I3463" s="29" t="e">
        <f>VLOOKUP(G3463,제품명!$C$1:$E$114,2,0)</f>
        <v>#N/A</v>
      </c>
      <c r="J3463" s="29">
        <f>'Raw data'!K3372</f>
        <v>0</v>
      </c>
      <c r="K3463" s="31">
        <f>'Raw data'!H3372</f>
        <v>0</v>
      </c>
      <c r="L3463" s="26">
        <f t="shared" si="112"/>
        <v>0</v>
      </c>
    </row>
    <row r="3464" spans="2:12">
      <c r="B3464" s="4" t="e">
        <f t="shared" si="111"/>
        <v>#N/A</v>
      </c>
      <c r="C3464" s="4">
        <f>'Raw data'!E3040</f>
        <v>0</v>
      </c>
      <c r="D3464" s="29" t="e">
        <f>VLOOKUP(C3464,'점포코드 '!A:B,2,0)</f>
        <v>#N/A</v>
      </c>
      <c r="E3464" s="30">
        <f>'Raw data'!P3040</f>
        <v>0</v>
      </c>
      <c r="F3464" s="29" t="e">
        <f>VLOOKUP(E3464,'점포코드 '!A:B,2,0)</f>
        <v>#N/A</v>
      </c>
      <c r="G3464" s="46">
        <f>'Raw data'!F3373</f>
        <v>0</v>
      </c>
      <c r="H3464" s="4">
        <f>'Raw data'!G3373</f>
        <v>0</v>
      </c>
      <c r="I3464" s="29" t="e">
        <f>VLOOKUP(G3464,제품명!$C$1:$E$114,2,0)</f>
        <v>#N/A</v>
      </c>
      <c r="J3464" s="29">
        <f>'Raw data'!K3373</f>
        <v>0</v>
      </c>
      <c r="K3464" s="31">
        <f>'Raw data'!H3373</f>
        <v>0</v>
      </c>
      <c r="L3464" s="26">
        <f t="shared" si="112"/>
        <v>0</v>
      </c>
    </row>
    <row r="3465" spans="2:12">
      <c r="B3465" s="4" t="e">
        <f t="shared" si="111"/>
        <v>#N/A</v>
      </c>
      <c r="C3465" s="4">
        <f>'Raw data'!E3041</f>
        <v>0</v>
      </c>
      <c r="D3465" s="29" t="e">
        <f>VLOOKUP(C3465,'점포코드 '!A:B,2,0)</f>
        <v>#N/A</v>
      </c>
      <c r="E3465" s="30">
        <f>'Raw data'!P3041</f>
        <v>0</v>
      </c>
      <c r="F3465" s="29" t="e">
        <f>VLOOKUP(E3465,'점포코드 '!A:B,2,0)</f>
        <v>#N/A</v>
      </c>
      <c r="G3465" s="46">
        <f>'Raw data'!F3374</f>
        <v>0</v>
      </c>
      <c r="H3465" s="4">
        <f>'Raw data'!G3374</f>
        <v>0</v>
      </c>
      <c r="I3465" s="29" t="e">
        <f>VLOOKUP(G3465,제품명!$C$1:$E$114,2,0)</f>
        <v>#N/A</v>
      </c>
      <c r="J3465" s="29">
        <f>'Raw data'!K3374</f>
        <v>0</v>
      </c>
      <c r="K3465" s="31">
        <f>'Raw data'!H3374</f>
        <v>0</v>
      </c>
      <c r="L3465" s="26">
        <f t="shared" si="112"/>
        <v>0</v>
      </c>
    </row>
    <row r="3466" spans="2:12">
      <c r="B3466" s="4" t="e">
        <f t="shared" si="111"/>
        <v>#N/A</v>
      </c>
      <c r="C3466" s="4">
        <f>'Raw data'!E3042</f>
        <v>0</v>
      </c>
      <c r="D3466" s="29" t="e">
        <f>VLOOKUP(C3466,'점포코드 '!A:B,2,0)</f>
        <v>#N/A</v>
      </c>
      <c r="E3466" s="30">
        <f>'Raw data'!P3042</f>
        <v>0</v>
      </c>
      <c r="F3466" s="29" t="e">
        <f>VLOOKUP(E3466,'점포코드 '!A:B,2,0)</f>
        <v>#N/A</v>
      </c>
      <c r="G3466" s="46">
        <f>'Raw data'!F3375</f>
        <v>0</v>
      </c>
      <c r="H3466" s="4">
        <f>'Raw data'!G3375</f>
        <v>0</v>
      </c>
      <c r="I3466" s="29" t="e">
        <f>VLOOKUP(G3466,제품명!$C$1:$E$114,2,0)</f>
        <v>#N/A</v>
      </c>
      <c r="J3466" s="29">
        <f>'Raw data'!K3375</f>
        <v>0</v>
      </c>
      <c r="K3466" s="31">
        <f>'Raw data'!H3375</f>
        <v>0</v>
      </c>
      <c r="L3466" s="26">
        <f t="shared" si="112"/>
        <v>0</v>
      </c>
    </row>
    <row r="3467" spans="2:12">
      <c r="B3467" s="4" t="e">
        <f t="shared" si="111"/>
        <v>#N/A</v>
      </c>
      <c r="C3467" s="4">
        <f>'Raw data'!E3043</f>
        <v>0</v>
      </c>
      <c r="D3467" s="29" t="e">
        <f>VLOOKUP(C3467,'점포코드 '!A:B,2,0)</f>
        <v>#N/A</v>
      </c>
      <c r="E3467" s="30">
        <f>'Raw data'!P3043</f>
        <v>0</v>
      </c>
      <c r="F3467" s="29" t="e">
        <f>VLOOKUP(E3467,'점포코드 '!A:B,2,0)</f>
        <v>#N/A</v>
      </c>
      <c r="G3467" s="46">
        <f>'Raw data'!F3376</f>
        <v>0</v>
      </c>
      <c r="H3467" s="4">
        <f>'Raw data'!G3376</f>
        <v>0</v>
      </c>
      <c r="I3467" s="29" t="e">
        <f>VLOOKUP(G3467,제품명!$C$1:$E$114,2,0)</f>
        <v>#N/A</v>
      </c>
      <c r="J3467" s="29">
        <f>'Raw data'!K3376</f>
        <v>0</v>
      </c>
      <c r="K3467" s="31">
        <f>'Raw data'!H3376</f>
        <v>0</v>
      </c>
      <c r="L3467" s="26">
        <f t="shared" si="112"/>
        <v>0</v>
      </c>
    </row>
    <row r="3468" spans="2:12">
      <c r="B3468" s="4" t="e">
        <f t="shared" si="111"/>
        <v>#N/A</v>
      </c>
      <c r="C3468" s="4">
        <f>'Raw data'!E3044</f>
        <v>0</v>
      </c>
      <c r="D3468" s="29" t="e">
        <f>VLOOKUP(C3468,'점포코드 '!A:B,2,0)</f>
        <v>#N/A</v>
      </c>
      <c r="E3468" s="30">
        <f>'Raw data'!P3044</f>
        <v>0</v>
      </c>
      <c r="F3468" s="29" t="e">
        <f>VLOOKUP(E3468,'점포코드 '!A:B,2,0)</f>
        <v>#N/A</v>
      </c>
      <c r="G3468" s="46">
        <f>'Raw data'!F3377</f>
        <v>0</v>
      </c>
      <c r="H3468" s="4">
        <f>'Raw data'!G3377</f>
        <v>0</v>
      </c>
      <c r="I3468" s="29" t="e">
        <f>VLOOKUP(G3468,제품명!$C$1:$E$114,2,0)</f>
        <v>#N/A</v>
      </c>
      <c r="J3468" s="29">
        <f>'Raw data'!K3377</f>
        <v>0</v>
      </c>
      <c r="K3468" s="31">
        <f>'Raw data'!H3377</f>
        <v>0</v>
      </c>
      <c r="L3468" s="26">
        <f t="shared" si="112"/>
        <v>0</v>
      </c>
    </row>
    <row r="3469" spans="2:12">
      <c r="B3469" s="4" t="e">
        <f t="shared" si="111"/>
        <v>#N/A</v>
      </c>
      <c r="C3469" s="4">
        <f>'Raw data'!E3045</f>
        <v>0</v>
      </c>
      <c r="D3469" s="29" t="e">
        <f>VLOOKUP(C3469,'점포코드 '!A:B,2,0)</f>
        <v>#N/A</v>
      </c>
      <c r="E3469" s="30">
        <f>'Raw data'!P3045</f>
        <v>0</v>
      </c>
      <c r="F3469" s="29" t="e">
        <f>VLOOKUP(E3469,'점포코드 '!A:B,2,0)</f>
        <v>#N/A</v>
      </c>
      <c r="G3469" s="46">
        <f>'Raw data'!F3378</f>
        <v>0</v>
      </c>
      <c r="H3469" s="4">
        <f>'Raw data'!G3378</f>
        <v>0</v>
      </c>
      <c r="I3469" s="29" t="e">
        <f>VLOOKUP(G3469,제품명!$C$1:$E$114,2,0)</f>
        <v>#N/A</v>
      </c>
      <c r="J3469" s="29">
        <f>'Raw data'!K3378</f>
        <v>0</v>
      </c>
      <c r="K3469" s="31">
        <f>'Raw data'!H3378</f>
        <v>0</v>
      </c>
      <c r="L3469" s="26">
        <f t="shared" si="112"/>
        <v>0</v>
      </c>
    </row>
    <row r="3470" spans="2:12">
      <c r="B3470" s="4" t="e">
        <f t="shared" si="111"/>
        <v>#N/A</v>
      </c>
      <c r="C3470" s="4">
        <f>'Raw data'!E3046</f>
        <v>0</v>
      </c>
      <c r="D3470" s="29" t="e">
        <f>VLOOKUP(C3470,'점포코드 '!A:B,2,0)</f>
        <v>#N/A</v>
      </c>
      <c r="E3470" s="30">
        <f>'Raw data'!P3046</f>
        <v>0</v>
      </c>
      <c r="F3470" s="29" t="e">
        <f>VLOOKUP(E3470,'점포코드 '!A:B,2,0)</f>
        <v>#N/A</v>
      </c>
      <c r="G3470" s="46">
        <f>'Raw data'!F3379</f>
        <v>0</v>
      </c>
      <c r="H3470" s="4">
        <f>'Raw data'!G3379</f>
        <v>0</v>
      </c>
      <c r="I3470" s="29" t="e">
        <f>VLOOKUP(G3470,제품명!$C$1:$E$114,2,0)</f>
        <v>#N/A</v>
      </c>
      <c r="J3470" s="29">
        <f>'Raw data'!K3379</f>
        <v>0</v>
      </c>
      <c r="K3470" s="31">
        <f>'Raw data'!H3379</f>
        <v>0</v>
      </c>
      <c r="L3470" s="26">
        <f t="shared" si="112"/>
        <v>0</v>
      </c>
    </row>
    <row r="3471" spans="2:12">
      <c r="B3471" s="4" t="e">
        <f t="shared" si="111"/>
        <v>#N/A</v>
      </c>
      <c r="C3471" s="4">
        <f>'Raw data'!E3047</f>
        <v>0</v>
      </c>
      <c r="D3471" s="29" t="e">
        <f>VLOOKUP(C3471,'점포코드 '!A:B,2,0)</f>
        <v>#N/A</v>
      </c>
      <c r="E3471" s="30">
        <f>'Raw data'!P3047</f>
        <v>0</v>
      </c>
      <c r="F3471" s="29" t="e">
        <f>VLOOKUP(E3471,'점포코드 '!A:B,2,0)</f>
        <v>#N/A</v>
      </c>
      <c r="G3471" s="46">
        <f>'Raw data'!F3380</f>
        <v>0</v>
      </c>
      <c r="H3471" s="4">
        <f>'Raw data'!G3380</f>
        <v>0</v>
      </c>
      <c r="I3471" s="29" t="e">
        <f>VLOOKUP(G3471,제품명!$C$1:$E$114,2,0)</f>
        <v>#N/A</v>
      </c>
      <c r="J3471" s="29">
        <f>'Raw data'!K3380</f>
        <v>0</v>
      </c>
      <c r="K3471" s="31">
        <f>'Raw data'!H3380</f>
        <v>0</v>
      </c>
      <c r="L3471" s="26">
        <f t="shared" si="112"/>
        <v>0</v>
      </c>
    </row>
    <row r="3472" spans="2:12">
      <c r="B3472" s="4" t="e">
        <f t="shared" si="111"/>
        <v>#N/A</v>
      </c>
      <c r="C3472" s="4">
        <f>'Raw data'!E3048</f>
        <v>0</v>
      </c>
      <c r="D3472" s="29" t="e">
        <f>VLOOKUP(C3472,'점포코드 '!A:B,2,0)</f>
        <v>#N/A</v>
      </c>
      <c r="E3472" s="30">
        <f>'Raw data'!P3048</f>
        <v>0</v>
      </c>
      <c r="F3472" s="29" t="e">
        <f>VLOOKUP(E3472,'점포코드 '!A:B,2,0)</f>
        <v>#N/A</v>
      </c>
      <c r="G3472" s="46">
        <f>'Raw data'!F3381</f>
        <v>0</v>
      </c>
      <c r="H3472" s="4">
        <f>'Raw data'!G3381</f>
        <v>0</v>
      </c>
      <c r="I3472" s="29" t="e">
        <f>VLOOKUP(G3472,제품명!$C$1:$E$114,2,0)</f>
        <v>#N/A</v>
      </c>
      <c r="J3472" s="29">
        <f>'Raw data'!K3381</f>
        <v>0</v>
      </c>
      <c r="K3472" s="31">
        <f>'Raw data'!H3381</f>
        <v>0</v>
      </c>
      <c r="L3472" s="26">
        <f t="shared" si="112"/>
        <v>0</v>
      </c>
    </row>
    <row r="3473" spans="2:12">
      <c r="B3473" s="4" t="e">
        <f t="shared" si="111"/>
        <v>#N/A</v>
      </c>
      <c r="C3473" s="4">
        <f>'Raw data'!E3049</f>
        <v>0</v>
      </c>
      <c r="D3473" s="29" t="e">
        <f>VLOOKUP(C3473,'점포코드 '!A:B,2,0)</f>
        <v>#N/A</v>
      </c>
      <c r="E3473" s="30">
        <f>'Raw data'!P3049</f>
        <v>0</v>
      </c>
      <c r="F3473" s="29" t="e">
        <f>VLOOKUP(E3473,'점포코드 '!A:B,2,0)</f>
        <v>#N/A</v>
      </c>
      <c r="G3473" s="46">
        <f>'Raw data'!F3382</f>
        <v>0</v>
      </c>
      <c r="H3473" s="4">
        <f>'Raw data'!G3382</f>
        <v>0</v>
      </c>
      <c r="I3473" s="29" t="e">
        <f>VLOOKUP(G3473,제품명!$C$1:$E$114,2,0)</f>
        <v>#N/A</v>
      </c>
      <c r="J3473" s="29">
        <f>'Raw data'!K3382</f>
        <v>0</v>
      </c>
      <c r="K3473" s="31">
        <f>'Raw data'!H3382</f>
        <v>0</v>
      </c>
      <c r="L3473" s="26">
        <f t="shared" si="112"/>
        <v>0</v>
      </c>
    </row>
    <row r="3474" spans="2:12">
      <c r="B3474" s="4" t="e">
        <f t="shared" si="111"/>
        <v>#N/A</v>
      </c>
      <c r="C3474" s="4">
        <f>'Raw data'!E3050</f>
        <v>0</v>
      </c>
      <c r="D3474" s="29" t="e">
        <f>VLOOKUP(C3474,'점포코드 '!A:B,2,0)</f>
        <v>#N/A</v>
      </c>
      <c r="E3474" s="30">
        <f>'Raw data'!P3050</f>
        <v>0</v>
      </c>
      <c r="F3474" s="29" t="e">
        <f>VLOOKUP(E3474,'점포코드 '!A:B,2,0)</f>
        <v>#N/A</v>
      </c>
      <c r="G3474" s="46">
        <f>'Raw data'!F3383</f>
        <v>0</v>
      </c>
      <c r="H3474" s="4">
        <f>'Raw data'!G3383</f>
        <v>0</v>
      </c>
      <c r="I3474" s="29" t="e">
        <f>VLOOKUP(G3474,제품명!$C$1:$E$114,2,0)</f>
        <v>#N/A</v>
      </c>
      <c r="J3474" s="29">
        <f>'Raw data'!K3383</f>
        <v>0</v>
      </c>
      <c r="K3474" s="31">
        <f>'Raw data'!H3383</f>
        <v>0</v>
      </c>
      <c r="L3474" s="26">
        <f t="shared" si="112"/>
        <v>0</v>
      </c>
    </row>
    <row r="3475" spans="2:12">
      <c r="B3475" s="4" t="e">
        <f t="shared" si="111"/>
        <v>#N/A</v>
      </c>
      <c r="C3475" s="4">
        <f>'Raw data'!E3051</f>
        <v>0</v>
      </c>
      <c r="D3475" s="29" t="e">
        <f>VLOOKUP(C3475,'점포코드 '!A:B,2,0)</f>
        <v>#N/A</v>
      </c>
      <c r="E3475" s="30">
        <f>'Raw data'!P3051</f>
        <v>0</v>
      </c>
      <c r="F3475" s="29" t="e">
        <f>VLOOKUP(E3475,'점포코드 '!A:B,2,0)</f>
        <v>#N/A</v>
      </c>
      <c r="G3475" s="46">
        <f>'Raw data'!F3384</f>
        <v>0</v>
      </c>
      <c r="H3475" s="4">
        <f>'Raw data'!G3384</f>
        <v>0</v>
      </c>
      <c r="I3475" s="29" t="e">
        <f>VLOOKUP(G3475,제품명!$C$1:$E$114,2,0)</f>
        <v>#N/A</v>
      </c>
      <c r="J3475" s="29">
        <f>'Raw data'!K3384</f>
        <v>0</v>
      </c>
      <c r="K3475" s="31">
        <f>'Raw data'!H3384</f>
        <v>0</v>
      </c>
      <c r="L3475" s="26">
        <f t="shared" si="112"/>
        <v>0</v>
      </c>
    </row>
    <row r="3476" spans="2:12">
      <c r="B3476" s="4" t="e">
        <f t="shared" si="111"/>
        <v>#N/A</v>
      </c>
      <c r="C3476" s="4">
        <f>'Raw data'!E3052</f>
        <v>0</v>
      </c>
      <c r="D3476" s="29" t="e">
        <f>VLOOKUP(C3476,'점포코드 '!A:B,2,0)</f>
        <v>#N/A</v>
      </c>
      <c r="E3476" s="30">
        <f>'Raw data'!P3052</f>
        <v>0</v>
      </c>
      <c r="F3476" s="29" t="e">
        <f>VLOOKUP(E3476,'점포코드 '!A:B,2,0)</f>
        <v>#N/A</v>
      </c>
      <c r="G3476" s="46">
        <f>'Raw data'!F3385</f>
        <v>0</v>
      </c>
      <c r="H3476" s="4">
        <f>'Raw data'!G3385</f>
        <v>0</v>
      </c>
      <c r="I3476" s="29" t="e">
        <f>VLOOKUP(G3476,제품명!$C$1:$E$114,2,0)</f>
        <v>#N/A</v>
      </c>
      <c r="J3476" s="29">
        <f>'Raw data'!K3385</f>
        <v>0</v>
      </c>
      <c r="K3476" s="31">
        <f>'Raw data'!H3385</f>
        <v>0</v>
      </c>
      <c r="L3476" s="26">
        <f t="shared" si="112"/>
        <v>0</v>
      </c>
    </row>
    <row r="3477" spans="2:12">
      <c r="B3477" s="4" t="e">
        <f t="shared" si="111"/>
        <v>#N/A</v>
      </c>
      <c r="C3477" s="4">
        <f>'Raw data'!E3053</f>
        <v>0</v>
      </c>
      <c r="D3477" s="29" t="e">
        <f>VLOOKUP(C3477,'점포코드 '!A:B,2,0)</f>
        <v>#N/A</v>
      </c>
      <c r="E3477" s="30">
        <f>'Raw data'!P3053</f>
        <v>0</v>
      </c>
      <c r="F3477" s="29" t="e">
        <f>VLOOKUP(E3477,'점포코드 '!A:B,2,0)</f>
        <v>#N/A</v>
      </c>
      <c r="G3477" s="46">
        <f>'Raw data'!F3386</f>
        <v>0</v>
      </c>
      <c r="H3477" s="4">
        <f>'Raw data'!G3386</f>
        <v>0</v>
      </c>
      <c r="I3477" s="29" t="e">
        <f>VLOOKUP(G3477,제품명!$C$1:$E$114,2,0)</f>
        <v>#N/A</v>
      </c>
      <c r="J3477" s="29">
        <f>'Raw data'!K3386</f>
        <v>0</v>
      </c>
      <c r="K3477" s="31">
        <f>'Raw data'!H3386</f>
        <v>0</v>
      </c>
      <c r="L3477" s="26">
        <f t="shared" si="112"/>
        <v>0</v>
      </c>
    </row>
    <row r="3478" spans="2:12">
      <c r="B3478" s="4" t="e">
        <f t="shared" si="111"/>
        <v>#N/A</v>
      </c>
      <c r="C3478" s="4">
        <f>'Raw data'!E3054</f>
        <v>0</v>
      </c>
      <c r="D3478" s="29" t="e">
        <f>VLOOKUP(C3478,'점포코드 '!A:B,2,0)</f>
        <v>#N/A</v>
      </c>
      <c r="E3478" s="30">
        <f>'Raw data'!P3054</f>
        <v>0</v>
      </c>
      <c r="F3478" s="29" t="e">
        <f>VLOOKUP(E3478,'점포코드 '!A:B,2,0)</f>
        <v>#N/A</v>
      </c>
      <c r="G3478" s="46">
        <f>'Raw data'!F3387</f>
        <v>0</v>
      </c>
      <c r="H3478" s="4">
        <f>'Raw data'!G3387</f>
        <v>0</v>
      </c>
      <c r="I3478" s="29" t="e">
        <f>VLOOKUP(G3478,제품명!$C$1:$E$114,2,0)</f>
        <v>#N/A</v>
      </c>
      <c r="J3478" s="29">
        <f>'Raw data'!K3387</f>
        <v>0</v>
      </c>
      <c r="K3478" s="31">
        <f>'Raw data'!H3387</f>
        <v>0</v>
      </c>
      <c r="L3478" s="26">
        <f t="shared" si="112"/>
        <v>0</v>
      </c>
    </row>
    <row r="3479" spans="2:12">
      <c r="B3479" s="4" t="e">
        <f t="shared" si="111"/>
        <v>#N/A</v>
      </c>
      <c r="C3479" s="4">
        <f>'Raw data'!E3055</f>
        <v>0</v>
      </c>
      <c r="D3479" s="29" t="e">
        <f>VLOOKUP(C3479,'점포코드 '!A:B,2,0)</f>
        <v>#N/A</v>
      </c>
      <c r="E3479" s="30">
        <f>'Raw data'!P3055</f>
        <v>0</v>
      </c>
      <c r="F3479" s="29" t="e">
        <f>VLOOKUP(E3479,'점포코드 '!A:B,2,0)</f>
        <v>#N/A</v>
      </c>
      <c r="G3479" s="46">
        <f>'Raw data'!F3388</f>
        <v>0</v>
      </c>
      <c r="H3479" s="4">
        <f>'Raw data'!G3388</f>
        <v>0</v>
      </c>
      <c r="I3479" s="29" t="e">
        <f>VLOOKUP(G3479,제품명!$C$1:$E$114,2,0)</f>
        <v>#N/A</v>
      </c>
      <c r="J3479" s="29">
        <f>'Raw data'!K3388</f>
        <v>0</v>
      </c>
      <c r="K3479" s="31">
        <f>'Raw data'!H3388</f>
        <v>0</v>
      </c>
      <c r="L3479" s="26">
        <f t="shared" si="112"/>
        <v>0</v>
      </c>
    </row>
    <row r="3480" spans="2:12">
      <c r="B3480" s="4" t="e">
        <f t="shared" si="111"/>
        <v>#N/A</v>
      </c>
      <c r="C3480" s="4">
        <f>'Raw data'!E3056</f>
        <v>0</v>
      </c>
      <c r="D3480" s="29" t="e">
        <f>VLOOKUP(C3480,'점포코드 '!A:B,2,0)</f>
        <v>#N/A</v>
      </c>
      <c r="E3480" s="30">
        <f>'Raw data'!P3056</f>
        <v>0</v>
      </c>
      <c r="F3480" s="29" t="e">
        <f>VLOOKUP(E3480,'점포코드 '!A:B,2,0)</f>
        <v>#N/A</v>
      </c>
      <c r="G3480" s="46">
        <f>'Raw data'!F3389</f>
        <v>0</v>
      </c>
      <c r="H3480" s="4">
        <f>'Raw data'!G3389</f>
        <v>0</v>
      </c>
      <c r="I3480" s="29" t="e">
        <f>VLOOKUP(G3480,제품명!$C$1:$E$114,2,0)</f>
        <v>#N/A</v>
      </c>
      <c r="J3480" s="29">
        <f>'Raw data'!K3389</f>
        <v>0</v>
      </c>
      <c r="K3480" s="31">
        <f>'Raw data'!H3389</f>
        <v>0</v>
      </c>
      <c r="L3480" s="26">
        <f t="shared" si="112"/>
        <v>0</v>
      </c>
    </row>
    <row r="3481" spans="2:12">
      <c r="B3481" s="4" t="e">
        <f t="shared" si="111"/>
        <v>#N/A</v>
      </c>
      <c r="C3481" s="4">
        <f>'Raw data'!E3057</f>
        <v>0</v>
      </c>
      <c r="D3481" s="29" t="e">
        <f>VLOOKUP(C3481,'점포코드 '!A:B,2,0)</f>
        <v>#N/A</v>
      </c>
      <c r="E3481" s="30">
        <f>'Raw data'!P3057</f>
        <v>0</v>
      </c>
      <c r="F3481" s="29" t="e">
        <f>VLOOKUP(E3481,'점포코드 '!A:B,2,0)</f>
        <v>#N/A</v>
      </c>
      <c r="G3481" s="46">
        <f>'Raw data'!F3390</f>
        <v>0</v>
      </c>
      <c r="H3481" s="4">
        <f>'Raw data'!G3390</f>
        <v>0</v>
      </c>
      <c r="I3481" s="29" t="e">
        <f>VLOOKUP(G3481,제품명!$C$1:$E$114,2,0)</f>
        <v>#N/A</v>
      </c>
      <c r="J3481" s="29">
        <f>'Raw data'!K3390</f>
        <v>0</v>
      </c>
      <c r="K3481" s="31">
        <f>'Raw data'!H3390</f>
        <v>0</v>
      </c>
      <c r="L3481" s="26">
        <f t="shared" si="112"/>
        <v>0</v>
      </c>
    </row>
    <row r="3482" spans="2:12">
      <c r="B3482" s="4" t="e">
        <f t="shared" si="111"/>
        <v>#N/A</v>
      </c>
      <c r="C3482" s="4">
        <f>'Raw data'!E3058</f>
        <v>0</v>
      </c>
      <c r="D3482" s="29" t="e">
        <f>VLOOKUP(C3482,'점포코드 '!A:B,2,0)</f>
        <v>#N/A</v>
      </c>
      <c r="E3482" s="30">
        <f>'Raw data'!P3058</f>
        <v>0</v>
      </c>
      <c r="F3482" s="29" t="e">
        <f>VLOOKUP(E3482,'점포코드 '!A:B,2,0)</f>
        <v>#N/A</v>
      </c>
      <c r="G3482" s="46">
        <f>'Raw data'!F3391</f>
        <v>0</v>
      </c>
      <c r="H3482" s="4">
        <f>'Raw data'!G3391</f>
        <v>0</v>
      </c>
      <c r="I3482" s="29" t="e">
        <f>VLOOKUP(G3482,제품명!$C$1:$E$114,2,0)</f>
        <v>#N/A</v>
      </c>
      <c r="J3482" s="29">
        <f>'Raw data'!K3391</f>
        <v>0</v>
      </c>
      <c r="K3482" s="31">
        <f>'Raw data'!H3391</f>
        <v>0</v>
      </c>
      <c r="L3482" s="26">
        <f t="shared" si="112"/>
        <v>0</v>
      </c>
    </row>
    <row r="3483" spans="2:12">
      <c r="B3483" s="4" t="e">
        <f t="shared" si="111"/>
        <v>#N/A</v>
      </c>
      <c r="C3483" s="4">
        <f>'Raw data'!E3059</f>
        <v>0</v>
      </c>
      <c r="D3483" s="29" t="e">
        <f>VLOOKUP(C3483,'점포코드 '!A:B,2,0)</f>
        <v>#N/A</v>
      </c>
      <c r="E3483" s="30">
        <f>'Raw data'!P3059</f>
        <v>0</v>
      </c>
      <c r="F3483" s="29" t="e">
        <f>VLOOKUP(E3483,'점포코드 '!A:B,2,0)</f>
        <v>#N/A</v>
      </c>
      <c r="G3483" s="46">
        <f>'Raw data'!F3392</f>
        <v>0</v>
      </c>
      <c r="H3483" s="4">
        <f>'Raw data'!G3392</f>
        <v>0</v>
      </c>
      <c r="I3483" s="29" t="e">
        <f>VLOOKUP(G3483,제품명!$C$1:$E$114,2,0)</f>
        <v>#N/A</v>
      </c>
      <c r="J3483" s="29">
        <f>'Raw data'!K3392</f>
        <v>0</v>
      </c>
      <c r="K3483" s="31">
        <f>'Raw data'!H3392</f>
        <v>0</v>
      </c>
      <c r="L3483" s="26">
        <f t="shared" si="112"/>
        <v>0</v>
      </c>
    </row>
    <row r="3484" spans="2:12">
      <c r="B3484" s="4" t="e">
        <f t="shared" si="111"/>
        <v>#N/A</v>
      </c>
      <c r="C3484" s="4">
        <f>'Raw data'!E3060</f>
        <v>0</v>
      </c>
      <c r="D3484" s="29" t="e">
        <f>VLOOKUP(C3484,'점포코드 '!A:B,2,0)</f>
        <v>#N/A</v>
      </c>
      <c r="E3484" s="30">
        <f>'Raw data'!P3060</f>
        <v>0</v>
      </c>
      <c r="F3484" s="29" t="e">
        <f>VLOOKUP(E3484,'점포코드 '!A:B,2,0)</f>
        <v>#N/A</v>
      </c>
      <c r="G3484" s="46">
        <f>'Raw data'!F3393</f>
        <v>0</v>
      </c>
      <c r="H3484" s="4">
        <f>'Raw data'!G3393</f>
        <v>0</v>
      </c>
      <c r="I3484" s="29" t="e">
        <f>VLOOKUP(G3484,제품명!$C$1:$E$114,2,0)</f>
        <v>#N/A</v>
      </c>
      <c r="J3484" s="29">
        <f>'Raw data'!K3393</f>
        <v>0</v>
      </c>
      <c r="K3484" s="31">
        <f>'Raw data'!H3393</f>
        <v>0</v>
      </c>
      <c r="L3484" s="26">
        <f t="shared" si="112"/>
        <v>0</v>
      </c>
    </row>
    <row r="3485" spans="2:12">
      <c r="B3485" s="4" t="e">
        <f t="shared" si="111"/>
        <v>#N/A</v>
      </c>
      <c r="C3485" s="4">
        <f>'Raw data'!E3061</f>
        <v>0</v>
      </c>
      <c r="D3485" s="29" t="e">
        <f>VLOOKUP(C3485,'점포코드 '!A:B,2,0)</f>
        <v>#N/A</v>
      </c>
      <c r="E3485" s="30">
        <f>'Raw data'!P3061</f>
        <v>0</v>
      </c>
      <c r="F3485" s="29" t="e">
        <f>VLOOKUP(E3485,'점포코드 '!A:B,2,0)</f>
        <v>#N/A</v>
      </c>
      <c r="G3485" s="46">
        <f>'Raw data'!F3394</f>
        <v>0</v>
      </c>
      <c r="H3485" s="4">
        <f>'Raw data'!G3394</f>
        <v>0</v>
      </c>
      <c r="I3485" s="29" t="e">
        <f>VLOOKUP(G3485,제품명!$C$1:$E$114,2,0)</f>
        <v>#N/A</v>
      </c>
      <c r="J3485" s="29">
        <f>'Raw data'!K3394</f>
        <v>0</v>
      </c>
      <c r="K3485" s="31">
        <f>'Raw data'!H3394</f>
        <v>0</v>
      </c>
      <c r="L3485" s="26">
        <f t="shared" si="112"/>
        <v>0</v>
      </c>
    </row>
    <row r="3486" spans="2:12">
      <c r="B3486" s="4" t="e">
        <f t="shared" si="111"/>
        <v>#N/A</v>
      </c>
      <c r="C3486" s="4">
        <f>'Raw data'!E3062</f>
        <v>0</v>
      </c>
      <c r="D3486" s="29" t="e">
        <f>VLOOKUP(C3486,'점포코드 '!A:B,2,0)</f>
        <v>#N/A</v>
      </c>
      <c r="E3486" s="30">
        <f>'Raw data'!P3062</f>
        <v>0</v>
      </c>
      <c r="F3486" s="29" t="e">
        <f>VLOOKUP(E3486,'점포코드 '!A:B,2,0)</f>
        <v>#N/A</v>
      </c>
      <c r="G3486" s="46">
        <f>'Raw data'!F3395</f>
        <v>0</v>
      </c>
      <c r="H3486" s="4">
        <f>'Raw data'!G3395</f>
        <v>0</v>
      </c>
      <c r="I3486" s="29" t="e">
        <f>VLOOKUP(G3486,제품명!$C$1:$E$114,2,0)</f>
        <v>#N/A</v>
      </c>
      <c r="J3486" s="29">
        <f>'Raw data'!K3395</f>
        <v>0</v>
      </c>
      <c r="K3486" s="31">
        <f>'Raw data'!H3395</f>
        <v>0</v>
      </c>
      <c r="L3486" s="26">
        <f t="shared" si="112"/>
        <v>0</v>
      </c>
    </row>
    <row r="3487" spans="2:12">
      <c r="B3487" s="4" t="e">
        <f t="shared" si="111"/>
        <v>#N/A</v>
      </c>
      <c r="C3487" s="4">
        <f>'Raw data'!E3063</f>
        <v>0</v>
      </c>
      <c r="D3487" s="29" t="e">
        <f>VLOOKUP(C3487,'점포코드 '!A:B,2,0)</f>
        <v>#N/A</v>
      </c>
      <c r="E3487" s="30">
        <f>'Raw data'!P3063</f>
        <v>0</v>
      </c>
      <c r="F3487" s="29" t="e">
        <f>VLOOKUP(E3487,'점포코드 '!A:B,2,0)</f>
        <v>#N/A</v>
      </c>
      <c r="G3487" s="46">
        <f>'Raw data'!F3396</f>
        <v>0</v>
      </c>
      <c r="H3487" s="4">
        <f>'Raw data'!G3396</f>
        <v>0</v>
      </c>
      <c r="I3487" s="29" t="e">
        <f>VLOOKUP(G3487,제품명!$C$1:$E$114,2,0)</f>
        <v>#N/A</v>
      </c>
      <c r="J3487" s="29">
        <f>'Raw data'!K3396</f>
        <v>0</v>
      </c>
      <c r="K3487" s="31">
        <f>'Raw data'!H3396</f>
        <v>0</v>
      </c>
      <c r="L3487" s="26">
        <f t="shared" si="112"/>
        <v>0</v>
      </c>
    </row>
    <row r="3488" spans="2:12">
      <c r="B3488" s="4" t="e">
        <f t="shared" si="111"/>
        <v>#N/A</v>
      </c>
      <c r="C3488" s="4">
        <f>'Raw data'!E3064</f>
        <v>0</v>
      </c>
      <c r="D3488" s="29" t="e">
        <f>VLOOKUP(C3488,'점포코드 '!A:B,2,0)</f>
        <v>#N/A</v>
      </c>
      <c r="E3488" s="30">
        <f>'Raw data'!P3064</f>
        <v>0</v>
      </c>
      <c r="F3488" s="29" t="e">
        <f>VLOOKUP(E3488,'점포코드 '!A:B,2,0)</f>
        <v>#N/A</v>
      </c>
      <c r="G3488" s="46">
        <f>'Raw data'!F3397</f>
        <v>0</v>
      </c>
      <c r="H3488" s="4">
        <f>'Raw data'!G3397</f>
        <v>0</v>
      </c>
      <c r="I3488" s="29" t="e">
        <f>VLOOKUP(G3488,제품명!$C$1:$E$114,2,0)</f>
        <v>#N/A</v>
      </c>
      <c r="J3488" s="29">
        <f>'Raw data'!K3397</f>
        <v>0</v>
      </c>
      <c r="K3488" s="31">
        <f>'Raw data'!H3397</f>
        <v>0</v>
      </c>
      <c r="L3488" s="26">
        <f t="shared" si="112"/>
        <v>0</v>
      </c>
    </row>
    <row r="3489" spans="2:12">
      <c r="B3489" s="4" t="e">
        <f t="shared" si="111"/>
        <v>#N/A</v>
      </c>
      <c r="C3489" s="4">
        <f>'Raw data'!E3065</f>
        <v>0</v>
      </c>
      <c r="D3489" s="29" t="e">
        <f>VLOOKUP(C3489,'점포코드 '!A:B,2,0)</f>
        <v>#N/A</v>
      </c>
      <c r="E3489" s="30">
        <f>'Raw data'!P3065</f>
        <v>0</v>
      </c>
      <c r="F3489" s="29" t="e">
        <f>VLOOKUP(E3489,'점포코드 '!A:B,2,0)</f>
        <v>#N/A</v>
      </c>
      <c r="G3489" s="46">
        <f>'Raw data'!F3398</f>
        <v>0</v>
      </c>
      <c r="H3489" s="4">
        <f>'Raw data'!G3398</f>
        <v>0</v>
      </c>
      <c r="I3489" s="29" t="e">
        <f>VLOOKUP(G3489,제품명!$C$1:$E$114,2,0)</f>
        <v>#N/A</v>
      </c>
      <c r="J3489" s="29">
        <f>'Raw data'!K3398</f>
        <v>0</v>
      </c>
      <c r="K3489" s="31">
        <f>'Raw data'!H3398</f>
        <v>0</v>
      </c>
      <c r="L3489" s="26">
        <f t="shared" si="112"/>
        <v>0</v>
      </c>
    </row>
    <row r="3490" spans="2:12">
      <c r="B3490" s="4" t="e">
        <f t="shared" si="111"/>
        <v>#N/A</v>
      </c>
      <c r="C3490" s="4">
        <f>'Raw data'!E3066</f>
        <v>0</v>
      </c>
      <c r="D3490" s="29" t="e">
        <f>VLOOKUP(C3490,'점포코드 '!A:B,2,0)</f>
        <v>#N/A</v>
      </c>
      <c r="E3490" s="30">
        <f>'Raw data'!P3066</f>
        <v>0</v>
      </c>
      <c r="F3490" s="29" t="e">
        <f>VLOOKUP(E3490,'점포코드 '!A:B,2,0)</f>
        <v>#N/A</v>
      </c>
      <c r="G3490" s="46">
        <f>'Raw data'!F3399</f>
        <v>0</v>
      </c>
      <c r="H3490" s="4">
        <f>'Raw data'!G3399</f>
        <v>0</v>
      </c>
      <c r="I3490" s="29" t="e">
        <f>VLOOKUP(G3490,제품명!$C$1:$E$114,2,0)</f>
        <v>#N/A</v>
      </c>
      <c r="J3490" s="29">
        <f>'Raw data'!K3399</f>
        <v>0</v>
      </c>
      <c r="K3490" s="31">
        <f>'Raw data'!H3399</f>
        <v>0</v>
      </c>
      <c r="L3490" s="26">
        <f t="shared" si="112"/>
        <v>0</v>
      </c>
    </row>
    <row r="3491" spans="2:12">
      <c r="B3491" s="4" t="e">
        <f t="shared" si="111"/>
        <v>#N/A</v>
      </c>
      <c r="C3491" s="4">
        <f>'Raw data'!E3067</f>
        <v>0</v>
      </c>
      <c r="D3491" s="29" t="e">
        <f>VLOOKUP(C3491,'점포코드 '!A:B,2,0)</f>
        <v>#N/A</v>
      </c>
      <c r="E3491" s="30">
        <f>'Raw data'!P3067</f>
        <v>0</v>
      </c>
      <c r="F3491" s="29" t="e">
        <f>VLOOKUP(E3491,'점포코드 '!A:B,2,0)</f>
        <v>#N/A</v>
      </c>
      <c r="G3491" s="46">
        <f>'Raw data'!F3400</f>
        <v>0</v>
      </c>
      <c r="H3491" s="4">
        <f>'Raw data'!G3400</f>
        <v>0</v>
      </c>
      <c r="I3491" s="29" t="e">
        <f>VLOOKUP(G3491,제품명!$C$1:$E$114,2,0)</f>
        <v>#N/A</v>
      </c>
      <c r="J3491" s="29">
        <f>'Raw data'!K3400</f>
        <v>0</v>
      </c>
      <c r="K3491" s="31">
        <f>'Raw data'!H3400</f>
        <v>0</v>
      </c>
      <c r="L3491" s="26">
        <f t="shared" si="112"/>
        <v>0</v>
      </c>
    </row>
    <row r="3492" spans="2:12">
      <c r="B3492" s="4" t="e">
        <f t="shared" si="111"/>
        <v>#N/A</v>
      </c>
      <c r="C3492" s="4">
        <f>'Raw data'!E3068</f>
        <v>0</v>
      </c>
      <c r="D3492" s="29" t="e">
        <f>VLOOKUP(C3492,'점포코드 '!A:B,2,0)</f>
        <v>#N/A</v>
      </c>
      <c r="E3492" s="30">
        <f>'Raw data'!P3068</f>
        <v>0</v>
      </c>
      <c r="F3492" s="29" t="e">
        <f>VLOOKUP(E3492,'점포코드 '!A:B,2,0)</f>
        <v>#N/A</v>
      </c>
      <c r="G3492" s="46">
        <f>'Raw data'!F3401</f>
        <v>0</v>
      </c>
      <c r="H3492" s="4">
        <f>'Raw data'!G3401</f>
        <v>0</v>
      </c>
      <c r="I3492" s="29" t="e">
        <f>VLOOKUP(G3492,제품명!$C$1:$E$114,2,0)</f>
        <v>#N/A</v>
      </c>
      <c r="J3492" s="29">
        <f>'Raw data'!K3401</f>
        <v>0</v>
      </c>
      <c r="K3492" s="31">
        <f>'Raw data'!H3401</f>
        <v>0</v>
      </c>
      <c r="L3492" s="26">
        <f t="shared" si="112"/>
        <v>0</v>
      </c>
    </row>
    <row r="3493" spans="2:12">
      <c r="B3493" s="4" t="e">
        <f t="shared" si="111"/>
        <v>#N/A</v>
      </c>
      <c r="C3493" s="4">
        <f>'Raw data'!E3069</f>
        <v>0</v>
      </c>
      <c r="D3493" s="29" t="e">
        <f>VLOOKUP(C3493,'점포코드 '!A:B,2,0)</f>
        <v>#N/A</v>
      </c>
      <c r="E3493" s="30">
        <f>'Raw data'!P3069</f>
        <v>0</v>
      </c>
      <c r="F3493" s="29" t="e">
        <f>VLOOKUP(E3493,'점포코드 '!A:B,2,0)</f>
        <v>#N/A</v>
      </c>
      <c r="G3493" s="46">
        <f>'Raw data'!F3402</f>
        <v>0</v>
      </c>
      <c r="H3493" s="4">
        <f>'Raw data'!G3402</f>
        <v>0</v>
      </c>
      <c r="I3493" s="29" t="e">
        <f>VLOOKUP(G3493,제품명!$C$1:$E$114,2,0)</f>
        <v>#N/A</v>
      </c>
      <c r="J3493" s="29">
        <f>'Raw data'!K3402</f>
        <v>0</v>
      </c>
      <c r="K3493" s="31">
        <f>'Raw data'!H3402</f>
        <v>0</v>
      </c>
      <c r="L3493" s="26">
        <f t="shared" si="112"/>
        <v>0</v>
      </c>
    </row>
    <row r="3494" spans="2:12">
      <c r="B3494" s="4" t="e">
        <f t="shared" si="111"/>
        <v>#N/A</v>
      </c>
      <c r="C3494" s="4">
        <f>'Raw data'!E3070</f>
        <v>0</v>
      </c>
      <c r="D3494" s="29" t="e">
        <f>VLOOKUP(C3494,'점포코드 '!A:B,2,0)</f>
        <v>#N/A</v>
      </c>
      <c r="E3494" s="30">
        <f>'Raw data'!P3070</f>
        <v>0</v>
      </c>
      <c r="F3494" s="29" t="e">
        <f>VLOOKUP(E3494,'점포코드 '!A:B,2,0)</f>
        <v>#N/A</v>
      </c>
      <c r="G3494" s="46">
        <f>'Raw data'!F3403</f>
        <v>0</v>
      </c>
      <c r="H3494" s="4">
        <f>'Raw data'!G3403</f>
        <v>0</v>
      </c>
      <c r="I3494" s="29" t="e">
        <f>VLOOKUP(G3494,제품명!$C$1:$E$114,2,0)</f>
        <v>#N/A</v>
      </c>
      <c r="J3494" s="29">
        <f>'Raw data'!K3403</f>
        <v>0</v>
      </c>
      <c r="K3494" s="31">
        <f>'Raw data'!H3403</f>
        <v>0</v>
      </c>
      <c r="L3494" s="26">
        <f t="shared" si="112"/>
        <v>0</v>
      </c>
    </row>
    <row r="3495" spans="2:12">
      <c r="B3495" s="4" t="e">
        <f t="shared" si="111"/>
        <v>#N/A</v>
      </c>
      <c r="C3495" s="4">
        <f>'Raw data'!E3071</f>
        <v>0</v>
      </c>
      <c r="D3495" s="29" t="e">
        <f>VLOOKUP(C3495,'점포코드 '!A:B,2,0)</f>
        <v>#N/A</v>
      </c>
      <c r="E3495" s="30">
        <f>'Raw data'!P3071</f>
        <v>0</v>
      </c>
      <c r="F3495" s="29" t="e">
        <f>VLOOKUP(E3495,'점포코드 '!A:B,2,0)</f>
        <v>#N/A</v>
      </c>
      <c r="G3495" s="46">
        <f>'Raw data'!F3404</f>
        <v>0</v>
      </c>
      <c r="H3495" s="4">
        <f>'Raw data'!G3404</f>
        <v>0</v>
      </c>
      <c r="I3495" s="29" t="e">
        <f>VLOOKUP(G3495,제품명!$C$1:$E$114,2,0)</f>
        <v>#N/A</v>
      </c>
      <c r="J3495" s="29">
        <f>'Raw data'!K3404</f>
        <v>0</v>
      </c>
      <c r="K3495" s="31">
        <f>'Raw data'!H3404</f>
        <v>0</v>
      </c>
      <c r="L3495" s="26">
        <f t="shared" si="112"/>
        <v>0</v>
      </c>
    </row>
    <row r="3496" spans="2:12">
      <c r="B3496" s="4" t="e">
        <f t="shared" si="111"/>
        <v>#N/A</v>
      </c>
      <c r="C3496" s="4">
        <f>'Raw data'!E3072</f>
        <v>0</v>
      </c>
      <c r="D3496" s="29" t="e">
        <f>VLOOKUP(C3496,'점포코드 '!A:B,2,0)</f>
        <v>#N/A</v>
      </c>
      <c r="E3496" s="30">
        <f>'Raw data'!P3072</f>
        <v>0</v>
      </c>
      <c r="F3496" s="29" t="e">
        <f>VLOOKUP(E3496,'점포코드 '!A:B,2,0)</f>
        <v>#N/A</v>
      </c>
      <c r="G3496" s="46">
        <f>'Raw data'!F3405</f>
        <v>0</v>
      </c>
      <c r="H3496" s="4">
        <f>'Raw data'!G3405</f>
        <v>0</v>
      </c>
      <c r="I3496" s="29" t="e">
        <f>VLOOKUP(G3496,제품명!$C$1:$E$114,2,0)</f>
        <v>#N/A</v>
      </c>
      <c r="J3496" s="29">
        <f>'Raw data'!K3405</f>
        <v>0</v>
      </c>
      <c r="K3496" s="31">
        <f>'Raw data'!H3405</f>
        <v>0</v>
      </c>
      <c r="L3496" s="26">
        <f t="shared" si="112"/>
        <v>0</v>
      </c>
    </row>
    <row r="3497" spans="2:12">
      <c r="B3497" s="4" t="e">
        <f t="shared" si="111"/>
        <v>#N/A</v>
      </c>
      <c r="C3497" s="4">
        <f>'Raw data'!E3073</f>
        <v>0</v>
      </c>
      <c r="D3497" s="29" t="e">
        <f>VLOOKUP(C3497,'점포코드 '!A:B,2,0)</f>
        <v>#N/A</v>
      </c>
      <c r="E3497" s="30">
        <f>'Raw data'!P3073</f>
        <v>0</v>
      </c>
      <c r="F3497" s="29" t="e">
        <f>VLOOKUP(E3497,'점포코드 '!A:B,2,0)</f>
        <v>#N/A</v>
      </c>
      <c r="G3497" s="46">
        <f>'Raw data'!F3406</f>
        <v>0</v>
      </c>
      <c r="H3497" s="4">
        <f>'Raw data'!G3406</f>
        <v>0</v>
      </c>
      <c r="I3497" s="29" t="e">
        <f>VLOOKUP(G3497,제품명!$C$1:$E$114,2,0)</f>
        <v>#N/A</v>
      </c>
      <c r="J3497" s="29">
        <f>'Raw data'!K3406</f>
        <v>0</v>
      </c>
      <c r="K3497" s="31">
        <f>'Raw data'!H3406</f>
        <v>0</v>
      </c>
      <c r="L3497" s="26">
        <f t="shared" si="112"/>
        <v>0</v>
      </c>
    </row>
    <row r="3498" spans="2:12">
      <c r="B3498" s="4" t="e">
        <f t="shared" si="111"/>
        <v>#N/A</v>
      </c>
      <c r="C3498" s="4">
        <f>'Raw data'!E3074</f>
        <v>0</v>
      </c>
      <c r="D3498" s="29" t="e">
        <f>VLOOKUP(C3498,'점포코드 '!A:B,2,0)</f>
        <v>#N/A</v>
      </c>
      <c r="E3498" s="30">
        <f>'Raw data'!P3074</f>
        <v>0</v>
      </c>
      <c r="F3498" s="29" t="e">
        <f>VLOOKUP(E3498,'점포코드 '!A:B,2,0)</f>
        <v>#N/A</v>
      </c>
      <c r="G3498" s="46">
        <f>'Raw data'!F3407</f>
        <v>0</v>
      </c>
      <c r="H3498" s="4">
        <f>'Raw data'!G3407</f>
        <v>0</v>
      </c>
      <c r="I3498" s="29" t="e">
        <f>VLOOKUP(G3498,제품명!$C$1:$E$114,2,0)</f>
        <v>#N/A</v>
      </c>
      <c r="J3498" s="29">
        <f>'Raw data'!K3407</f>
        <v>0</v>
      </c>
      <c r="K3498" s="31">
        <f>'Raw data'!H3407</f>
        <v>0</v>
      </c>
      <c r="L3498" s="26">
        <f t="shared" si="112"/>
        <v>0</v>
      </c>
    </row>
    <row r="3499" spans="2:12">
      <c r="B3499" s="4" t="e">
        <f t="shared" si="111"/>
        <v>#N/A</v>
      </c>
      <c r="C3499" s="4">
        <f>'Raw data'!E3075</f>
        <v>0</v>
      </c>
      <c r="D3499" s="29" t="e">
        <f>VLOOKUP(C3499,'점포코드 '!A:B,2,0)</f>
        <v>#N/A</v>
      </c>
      <c r="E3499" s="30">
        <f>'Raw data'!P3075</f>
        <v>0</v>
      </c>
      <c r="F3499" s="29" t="e">
        <f>VLOOKUP(E3499,'점포코드 '!A:B,2,0)</f>
        <v>#N/A</v>
      </c>
      <c r="G3499" s="46">
        <f>'Raw data'!F3408</f>
        <v>0</v>
      </c>
      <c r="H3499" s="4">
        <f>'Raw data'!G3408</f>
        <v>0</v>
      </c>
      <c r="I3499" s="29" t="e">
        <f>VLOOKUP(G3499,제품명!$C$1:$E$114,2,0)</f>
        <v>#N/A</v>
      </c>
      <c r="J3499" s="29">
        <f>'Raw data'!K3408</f>
        <v>0</v>
      </c>
      <c r="K3499" s="31">
        <f>'Raw data'!H3408</f>
        <v>0</v>
      </c>
      <c r="L3499" s="26">
        <f t="shared" si="112"/>
        <v>0</v>
      </c>
    </row>
    <row r="3500" spans="2:12">
      <c r="B3500" s="4" t="e">
        <f t="shared" si="111"/>
        <v>#N/A</v>
      </c>
      <c r="C3500" s="4">
        <f>'Raw data'!E3076</f>
        <v>0</v>
      </c>
      <c r="D3500" s="29" t="e">
        <f>VLOOKUP(C3500,'점포코드 '!A:B,2,0)</f>
        <v>#N/A</v>
      </c>
      <c r="E3500" s="30">
        <f>'Raw data'!P3076</f>
        <v>0</v>
      </c>
      <c r="F3500" s="29" t="e">
        <f>VLOOKUP(E3500,'점포코드 '!A:B,2,0)</f>
        <v>#N/A</v>
      </c>
      <c r="G3500" s="46">
        <f>'Raw data'!F3409</f>
        <v>0</v>
      </c>
      <c r="H3500" s="4">
        <f>'Raw data'!G3409</f>
        <v>0</v>
      </c>
      <c r="I3500" s="29" t="e">
        <f>VLOOKUP(G3500,제품명!$C$1:$E$114,2,0)</f>
        <v>#N/A</v>
      </c>
      <c r="J3500" s="29">
        <f>'Raw data'!K3409</f>
        <v>0</v>
      </c>
      <c r="K3500" s="31">
        <f>'Raw data'!H3409</f>
        <v>0</v>
      </c>
      <c r="L3500" s="26">
        <f t="shared" si="112"/>
        <v>0</v>
      </c>
    </row>
    <row r="3501" spans="2:12">
      <c r="B3501" s="4" t="e">
        <f t="shared" si="111"/>
        <v>#N/A</v>
      </c>
      <c r="C3501" s="4">
        <f>'Raw data'!E3077</f>
        <v>0</v>
      </c>
      <c r="D3501" s="29" t="e">
        <f>VLOOKUP(C3501,'점포코드 '!A:B,2,0)</f>
        <v>#N/A</v>
      </c>
      <c r="E3501" s="30">
        <f>'Raw data'!P3077</f>
        <v>0</v>
      </c>
      <c r="F3501" s="29" t="e">
        <f>VLOOKUP(E3501,'점포코드 '!A:B,2,0)</f>
        <v>#N/A</v>
      </c>
      <c r="G3501" s="46">
        <f>'Raw data'!F3410</f>
        <v>0</v>
      </c>
      <c r="H3501" s="4">
        <f>'Raw data'!G3410</f>
        <v>0</v>
      </c>
      <c r="I3501" s="29" t="e">
        <f>VLOOKUP(G3501,제품명!$C$1:$E$114,2,0)</f>
        <v>#N/A</v>
      </c>
      <c r="J3501" s="29">
        <f>'Raw data'!K3410</f>
        <v>0</v>
      </c>
      <c r="K3501" s="31">
        <f>'Raw data'!H3410</f>
        <v>0</v>
      </c>
      <c r="L3501" s="26">
        <f t="shared" si="112"/>
        <v>0</v>
      </c>
    </row>
    <row r="3502" spans="2:12">
      <c r="B3502" s="4" t="e">
        <f t="shared" si="111"/>
        <v>#N/A</v>
      </c>
      <c r="C3502" s="4">
        <f>'Raw data'!E3078</f>
        <v>0</v>
      </c>
      <c r="D3502" s="29" t="e">
        <f>VLOOKUP(C3502,'점포코드 '!A:B,2,0)</f>
        <v>#N/A</v>
      </c>
      <c r="E3502" s="30">
        <f>'Raw data'!P3078</f>
        <v>0</v>
      </c>
      <c r="F3502" s="29" t="e">
        <f>VLOOKUP(E3502,'점포코드 '!A:B,2,0)</f>
        <v>#N/A</v>
      </c>
      <c r="G3502" s="46">
        <f>'Raw data'!F3411</f>
        <v>0</v>
      </c>
      <c r="H3502" s="4">
        <f>'Raw data'!G3411</f>
        <v>0</v>
      </c>
      <c r="I3502" s="29" t="e">
        <f>VLOOKUP(G3502,제품명!$C$1:$E$114,2,0)</f>
        <v>#N/A</v>
      </c>
      <c r="J3502" s="29">
        <f>'Raw data'!K3411</f>
        <v>0</v>
      </c>
      <c r="K3502" s="31">
        <f>'Raw data'!H3411</f>
        <v>0</v>
      </c>
      <c r="L3502" s="26">
        <f t="shared" si="112"/>
        <v>0</v>
      </c>
    </row>
    <row r="3503" spans="2:12">
      <c r="B3503" s="4" t="e">
        <f t="shared" si="111"/>
        <v>#N/A</v>
      </c>
      <c r="C3503" s="4">
        <f>'Raw data'!E3079</f>
        <v>0</v>
      </c>
      <c r="D3503" s="29" t="e">
        <f>VLOOKUP(C3503,'점포코드 '!A:B,2,0)</f>
        <v>#N/A</v>
      </c>
      <c r="E3503" s="30">
        <f>'Raw data'!P3079</f>
        <v>0</v>
      </c>
      <c r="F3503" s="29" t="e">
        <f>VLOOKUP(E3503,'점포코드 '!A:B,2,0)</f>
        <v>#N/A</v>
      </c>
      <c r="G3503" s="46">
        <f>'Raw data'!F3412</f>
        <v>0</v>
      </c>
      <c r="H3503" s="4">
        <f>'Raw data'!G3412</f>
        <v>0</v>
      </c>
      <c r="I3503" s="29" t="e">
        <f>VLOOKUP(G3503,제품명!$C$1:$E$114,2,0)</f>
        <v>#N/A</v>
      </c>
      <c r="J3503" s="29">
        <f>'Raw data'!K3412</f>
        <v>0</v>
      </c>
      <c r="K3503" s="31">
        <f>'Raw data'!H3412</f>
        <v>0</v>
      </c>
      <c r="L3503" s="26">
        <f t="shared" si="112"/>
        <v>0</v>
      </c>
    </row>
    <row r="3504" spans="2:12">
      <c r="B3504" s="4" t="e">
        <f t="shared" si="111"/>
        <v>#N/A</v>
      </c>
      <c r="C3504" s="4">
        <f>'Raw data'!E3080</f>
        <v>0</v>
      </c>
      <c r="D3504" s="29" t="e">
        <f>VLOOKUP(C3504,'점포코드 '!A:B,2,0)</f>
        <v>#N/A</v>
      </c>
      <c r="E3504" s="30">
        <f>'Raw data'!P3080</f>
        <v>0</v>
      </c>
      <c r="F3504" s="29" t="e">
        <f>VLOOKUP(E3504,'점포코드 '!A:B,2,0)</f>
        <v>#N/A</v>
      </c>
      <c r="G3504" s="46">
        <f>'Raw data'!F3413</f>
        <v>0</v>
      </c>
      <c r="H3504" s="4">
        <f>'Raw data'!G3413</f>
        <v>0</v>
      </c>
      <c r="I3504" s="29" t="e">
        <f>VLOOKUP(G3504,제품명!$C$1:$E$114,2,0)</f>
        <v>#N/A</v>
      </c>
      <c r="J3504" s="29">
        <f>'Raw data'!K3413</f>
        <v>0</v>
      </c>
      <c r="K3504" s="31">
        <f>'Raw data'!H3413</f>
        <v>0</v>
      </c>
      <c r="L3504" s="26">
        <f t="shared" si="112"/>
        <v>0</v>
      </c>
    </row>
    <row r="3505" spans="2:12">
      <c r="B3505" s="4" t="e">
        <f t="shared" si="111"/>
        <v>#N/A</v>
      </c>
      <c r="C3505" s="4">
        <f>'Raw data'!E3081</f>
        <v>0</v>
      </c>
      <c r="D3505" s="29" t="e">
        <f>VLOOKUP(C3505,'점포코드 '!A:B,2,0)</f>
        <v>#N/A</v>
      </c>
      <c r="E3505" s="30">
        <f>'Raw data'!P3081</f>
        <v>0</v>
      </c>
      <c r="F3505" s="29" t="e">
        <f>VLOOKUP(E3505,'점포코드 '!A:B,2,0)</f>
        <v>#N/A</v>
      </c>
      <c r="G3505" s="46">
        <f>'Raw data'!F3414</f>
        <v>0</v>
      </c>
      <c r="H3505" s="4">
        <f>'Raw data'!G3414</f>
        <v>0</v>
      </c>
      <c r="I3505" s="29" t="e">
        <f>VLOOKUP(G3505,제품명!$C$1:$E$114,2,0)</f>
        <v>#N/A</v>
      </c>
      <c r="J3505" s="29">
        <f>'Raw data'!K3414</f>
        <v>0</v>
      </c>
      <c r="K3505" s="31">
        <f>'Raw data'!H3414</f>
        <v>0</v>
      </c>
      <c r="L3505" s="26">
        <f t="shared" si="112"/>
        <v>0</v>
      </c>
    </row>
    <row r="3506" spans="2:12">
      <c r="B3506" s="4" t="e">
        <f t="shared" si="111"/>
        <v>#N/A</v>
      </c>
      <c r="C3506" s="4">
        <f>'Raw data'!E3082</f>
        <v>0</v>
      </c>
      <c r="D3506" s="29" t="e">
        <f>VLOOKUP(C3506,'점포코드 '!A:B,2,0)</f>
        <v>#N/A</v>
      </c>
      <c r="E3506" s="30">
        <f>'Raw data'!P3082</f>
        <v>0</v>
      </c>
      <c r="F3506" s="29" t="e">
        <f>VLOOKUP(E3506,'점포코드 '!A:B,2,0)</f>
        <v>#N/A</v>
      </c>
      <c r="G3506" s="46">
        <f>'Raw data'!F3415</f>
        <v>0</v>
      </c>
      <c r="H3506" s="4">
        <f>'Raw data'!G3415</f>
        <v>0</v>
      </c>
      <c r="I3506" s="29" t="e">
        <f>VLOOKUP(G3506,제품명!$C$1:$E$114,2,0)</f>
        <v>#N/A</v>
      </c>
      <c r="J3506" s="29">
        <f>'Raw data'!K3415</f>
        <v>0</v>
      </c>
      <c r="K3506" s="31">
        <f>'Raw data'!H3415</f>
        <v>0</v>
      </c>
      <c r="L3506" s="26">
        <f t="shared" si="112"/>
        <v>0</v>
      </c>
    </row>
    <row r="3507" spans="2:12">
      <c r="B3507" s="4" t="e">
        <f t="shared" si="111"/>
        <v>#N/A</v>
      </c>
      <c r="C3507" s="4">
        <f>'Raw data'!E3083</f>
        <v>0</v>
      </c>
      <c r="D3507" s="29" t="e">
        <f>VLOOKUP(C3507,'점포코드 '!A:B,2,0)</f>
        <v>#N/A</v>
      </c>
      <c r="E3507" s="30">
        <f>'Raw data'!P3083</f>
        <v>0</v>
      </c>
      <c r="F3507" s="29" t="e">
        <f>VLOOKUP(E3507,'점포코드 '!A:B,2,0)</f>
        <v>#N/A</v>
      </c>
      <c r="G3507" s="46">
        <f>'Raw data'!F3416</f>
        <v>0</v>
      </c>
      <c r="H3507" s="4">
        <f>'Raw data'!G3416</f>
        <v>0</v>
      </c>
      <c r="I3507" s="29" t="e">
        <f>VLOOKUP(G3507,제품명!$C$1:$E$114,2,0)</f>
        <v>#N/A</v>
      </c>
      <c r="J3507" s="29">
        <f>'Raw data'!K3416</f>
        <v>0</v>
      </c>
      <c r="K3507" s="31">
        <f>'Raw data'!H3416</f>
        <v>0</v>
      </c>
      <c r="L3507" s="26">
        <f t="shared" si="112"/>
        <v>0</v>
      </c>
    </row>
    <row r="3508" spans="2:12">
      <c r="B3508" s="4" t="e">
        <f t="shared" si="111"/>
        <v>#N/A</v>
      </c>
      <c r="C3508" s="4">
        <f>'Raw data'!E3084</f>
        <v>0</v>
      </c>
      <c r="D3508" s="29" t="e">
        <f>VLOOKUP(C3508,'점포코드 '!A:B,2,0)</f>
        <v>#N/A</v>
      </c>
      <c r="E3508" s="30">
        <f>'Raw data'!P3084</f>
        <v>0</v>
      </c>
      <c r="F3508" s="29" t="e">
        <f>VLOOKUP(E3508,'점포코드 '!A:B,2,0)</f>
        <v>#N/A</v>
      </c>
      <c r="G3508" s="46">
        <f>'Raw data'!F3417</f>
        <v>0</v>
      </c>
      <c r="H3508" s="4">
        <f>'Raw data'!G3417</f>
        <v>0</v>
      </c>
      <c r="I3508" s="29" t="e">
        <f>VLOOKUP(G3508,제품명!$C$1:$E$114,2,0)</f>
        <v>#N/A</v>
      </c>
      <c r="J3508" s="29">
        <f>'Raw data'!K3417</f>
        <v>0</v>
      </c>
      <c r="K3508" s="31">
        <f>'Raw data'!H3417</f>
        <v>0</v>
      </c>
      <c r="L3508" s="26">
        <f t="shared" si="112"/>
        <v>0</v>
      </c>
    </row>
    <row r="3509" spans="2:12">
      <c r="B3509" s="4" t="e">
        <f t="shared" si="111"/>
        <v>#N/A</v>
      </c>
      <c r="C3509" s="4">
        <f>'Raw data'!E3085</f>
        <v>0</v>
      </c>
      <c r="D3509" s="29" t="e">
        <f>VLOOKUP(C3509,'점포코드 '!A:B,2,0)</f>
        <v>#N/A</v>
      </c>
      <c r="E3509" s="30">
        <f>'Raw data'!P3085</f>
        <v>0</v>
      </c>
      <c r="F3509" s="29" t="e">
        <f>VLOOKUP(E3509,'점포코드 '!A:B,2,0)</f>
        <v>#N/A</v>
      </c>
      <c r="G3509" s="46">
        <f>'Raw data'!F3418</f>
        <v>0</v>
      </c>
      <c r="H3509" s="4">
        <f>'Raw data'!G3418</f>
        <v>0</v>
      </c>
      <c r="I3509" s="29" t="e">
        <f>VLOOKUP(G3509,제품명!$C$1:$E$114,2,0)</f>
        <v>#N/A</v>
      </c>
      <c r="J3509" s="29">
        <f>'Raw data'!K3418</f>
        <v>0</v>
      </c>
      <c r="K3509" s="31">
        <f>'Raw data'!H3418</f>
        <v>0</v>
      </c>
      <c r="L3509" s="26">
        <f t="shared" si="112"/>
        <v>0</v>
      </c>
    </row>
    <row r="3510" spans="2:12">
      <c r="B3510" s="4" t="e">
        <f t="shared" si="111"/>
        <v>#N/A</v>
      </c>
      <c r="C3510" s="4">
        <f>'Raw data'!E3086</f>
        <v>0</v>
      </c>
      <c r="D3510" s="29" t="e">
        <f>VLOOKUP(C3510,'점포코드 '!A:B,2,0)</f>
        <v>#N/A</v>
      </c>
      <c r="E3510" s="30">
        <f>'Raw data'!P3086</f>
        <v>0</v>
      </c>
      <c r="F3510" s="29" t="e">
        <f>VLOOKUP(E3510,'점포코드 '!A:B,2,0)</f>
        <v>#N/A</v>
      </c>
      <c r="G3510" s="46">
        <f>'Raw data'!F3419</f>
        <v>0</v>
      </c>
      <c r="H3510" s="4">
        <f>'Raw data'!G3419</f>
        <v>0</v>
      </c>
      <c r="I3510" s="29" t="e">
        <f>VLOOKUP(G3510,제품명!$C$1:$E$114,2,0)</f>
        <v>#N/A</v>
      </c>
      <c r="J3510" s="29">
        <f>'Raw data'!K3419</f>
        <v>0</v>
      </c>
      <c r="K3510" s="31">
        <f>'Raw data'!H3419</f>
        <v>0</v>
      </c>
      <c r="L3510" s="26">
        <f t="shared" si="112"/>
        <v>0</v>
      </c>
    </row>
    <row r="3511" spans="2:12">
      <c r="B3511" s="4" t="e">
        <f t="shared" si="111"/>
        <v>#N/A</v>
      </c>
      <c r="C3511" s="4">
        <f>'Raw data'!E3087</f>
        <v>0</v>
      </c>
      <c r="D3511" s="29" t="e">
        <f>VLOOKUP(C3511,'점포코드 '!A:B,2,0)</f>
        <v>#N/A</v>
      </c>
      <c r="E3511" s="30">
        <f>'Raw data'!P3087</f>
        <v>0</v>
      </c>
      <c r="F3511" s="29" t="e">
        <f>VLOOKUP(E3511,'점포코드 '!A:B,2,0)</f>
        <v>#N/A</v>
      </c>
      <c r="G3511" s="46">
        <f>'Raw data'!F3420</f>
        <v>0</v>
      </c>
      <c r="H3511" s="4">
        <f>'Raw data'!G3420</f>
        <v>0</v>
      </c>
      <c r="I3511" s="29" t="e">
        <f>VLOOKUP(G3511,제품명!$C$1:$E$114,2,0)</f>
        <v>#N/A</v>
      </c>
      <c r="J3511" s="29">
        <f>'Raw data'!K3420</f>
        <v>0</v>
      </c>
      <c r="K3511" s="31">
        <f>'Raw data'!H3420</f>
        <v>0</v>
      </c>
      <c r="L3511" s="26">
        <f t="shared" si="112"/>
        <v>0</v>
      </c>
    </row>
    <row r="3512" spans="2:12">
      <c r="B3512" s="4" t="e">
        <f t="shared" si="111"/>
        <v>#N/A</v>
      </c>
      <c r="C3512" s="4">
        <f>'Raw data'!E3088</f>
        <v>0</v>
      </c>
      <c r="D3512" s="29" t="e">
        <f>VLOOKUP(C3512,'점포코드 '!A:B,2,0)</f>
        <v>#N/A</v>
      </c>
      <c r="E3512" s="30">
        <f>'Raw data'!P3088</f>
        <v>0</v>
      </c>
      <c r="F3512" s="29" t="e">
        <f>VLOOKUP(E3512,'점포코드 '!A:B,2,0)</f>
        <v>#N/A</v>
      </c>
      <c r="G3512" s="46">
        <f>'Raw data'!F3421</f>
        <v>0</v>
      </c>
      <c r="H3512" s="4">
        <f>'Raw data'!G3421</f>
        <v>0</v>
      </c>
      <c r="I3512" s="29" t="e">
        <f>VLOOKUP(G3512,제품명!$C$1:$E$114,2,0)</f>
        <v>#N/A</v>
      </c>
      <c r="J3512" s="29">
        <f>'Raw data'!K3421</f>
        <v>0</v>
      </c>
      <c r="K3512" s="31">
        <f>'Raw data'!H3421</f>
        <v>0</v>
      </c>
      <c r="L3512" s="26">
        <f t="shared" si="112"/>
        <v>0</v>
      </c>
    </row>
    <row r="3513" spans="2:12">
      <c r="B3513" s="4" t="e">
        <f t="shared" si="111"/>
        <v>#N/A</v>
      </c>
      <c r="C3513" s="4">
        <f>'Raw data'!E3089</f>
        <v>0</v>
      </c>
      <c r="D3513" s="29" t="e">
        <f>VLOOKUP(C3513,'점포코드 '!A:B,2,0)</f>
        <v>#N/A</v>
      </c>
      <c r="E3513" s="30">
        <f>'Raw data'!P3089</f>
        <v>0</v>
      </c>
      <c r="F3513" s="29" t="e">
        <f>VLOOKUP(E3513,'점포코드 '!A:B,2,0)</f>
        <v>#N/A</v>
      </c>
      <c r="G3513" s="46">
        <f>'Raw data'!F3422</f>
        <v>0</v>
      </c>
      <c r="H3513" s="4">
        <f>'Raw data'!G3422</f>
        <v>0</v>
      </c>
      <c r="I3513" s="29" t="e">
        <f>VLOOKUP(G3513,제품명!$C$1:$E$114,2,0)</f>
        <v>#N/A</v>
      </c>
      <c r="J3513" s="29">
        <f>'Raw data'!K3422</f>
        <v>0</v>
      </c>
      <c r="K3513" s="31">
        <f>'Raw data'!H3422</f>
        <v>0</v>
      </c>
      <c r="L3513" s="26">
        <f t="shared" si="112"/>
        <v>0</v>
      </c>
    </row>
    <row r="3514" spans="2:12">
      <c r="B3514" s="4" t="e">
        <f t="shared" si="111"/>
        <v>#N/A</v>
      </c>
      <c r="C3514" s="4">
        <f>'Raw data'!E3090</f>
        <v>0</v>
      </c>
      <c r="D3514" s="29" t="e">
        <f>VLOOKUP(C3514,'점포코드 '!A:B,2,0)</f>
        <v>#N/A</v>
      </c>
      <c r="E3514" s="30">
        <f>'Raw data'!P3090</f>
        <v>0</v>
      </c>
      <c r="F3514" s="29" t="e">
        <f>VLOOKUP(E3514,'점포코드 '!A:B,2,0)</f>
        <v>#N/A</v>
      </c>
      <c r="G3514" s="46">
        <f>'Raw data'!F3423</f>
        <v>0</v>
      </c>
      <c r="H3514" s="4">
        <f>'Raw data'!G3423</f>
        <v>0</v>
      </c>
      <c r="I3514" s="29" t="e">
        <f>VLOOKUP(G3514,제품명!$C$1:$E$114,2,0)</f>
        <v>#N/A</v>
      </c>
      <c r="J3514" s="29">
        <f>'Raw data'!K3423</f>
        <v>0</v>
      </c>
      <c r="K3514" s="31">
        <f>'Raw data'!H3423</f>
        <v>0</v>
      </c>
      <c r="L3514" s="26">
        <f t="shared" si="112"/>
        <v>0</v>
      </c>
    </row>
    <row r="3515" spans="2:12">
      <c r="B3515" s="4" t="e">
        <f t="shared" si="111"/>
        <v>#N/A</v>
      </c>
      <c r="C3515" s="4">
        <f>'Raw data'!E3091</f>
        <v>0</v>
      </c>
      <c r="D3515" s="29" t="e">
        <f>VLOOKUP(C3515,'점포코드 '!A:B,2,0)</f>
        <v>#N/A</v>
      </c>
      <c r="E3515" s="30">
        <f>'Raw data'!P3091</f>
        <v>0</v>
      </c>
      <c r="F3515" s="29" t="e">
        <f>VLOOKUP(E3515,'점포코드 '!A:B,2,0)</f>
        <v>#N/A</v>
      </c>
      <c r="G3515" s="46">
        <f>'Raw data'!F3424</f>
        <v>0</v>
      </c>
      <c r="H3515" s="4">
        <f>'Raw data'!G3424</f>
        <v>0</v>
      </c>
      <c r="I3515" s="29" t="e">
        <f>VLOOKUP(G3515,제품명!$C$1:$E$114,2,0)</f>
        <v>#N/A</v>
      </c>
      <c r="J3515" s="29">
        <f>'Raw data'!K3424</f>
        <v>0</v>
      </c>
      <c r="K3515" s="31">
        <f>'Raw data'!H3424</f>
        <v>0</v>
      </c>
      <c r="L3515" s="26">
        <f t="shared" si="112"/>
        <v>0</v>
      </c>
    </row>
    <row r="3516" spans="2:12">
      <c r="B3516" s="4" t="e">
        <f t="shared" si="111"/>
        <v>#N/A</v>
      </c>
      <c r="C3516" s="4">
        <f>'Raw data'!E3092</f>
        <v>0</v>
      </c>
      <c r="D3516" s="29" t="e">
        <f>VLOOKUP(C3516,'점포코드 '!A:B,2,0)</f>
        <v>#N/A</v>
      </c>
      <c r="E3516" s="30">
        <f>'Raw data'!P3092</f>
        <v>0</v>
      </c>
      <c r="F3516" s="29" t="e">
        <f>VLOOKUP(E3516,'점포코드 '!A:B,2,0)</f>
        <v>#N/A</v>
      </c>
      <c r="G3516" s="46">
        <f>'Raw data'!F3425</f>
        <v>0</v>
      </c>
      <c r="H3516" s="4">
        <f>'Raw data'!G3425</f>
        <v>0</v>
      </c>
      <c r="I3516" s="29" t="e">
        <f>VLOOKUP(G3516,제품명!$C$1:$E$114,2,0)</f>
        <v>#N/A</v>
      </c>
      <c r="J3516" s="29">
        <f>'Raw data'!K3425</f>
        <v>0</v>
      </c>
      <c r="K3516" s="31">
        <f>'Raw data'!H3425</f>
        <v>0</v>
      </c>
      <c r="L3516" s="26">
        <f t="shared" si="112"/>
        <v>0</v>
      </c>
    </row>
    <row r="3517" spans="2:12">
      <c r="B3517" s="4" t="e">
        <f t="shared" si="111"/>
        <v>#N/A</v>
      </c>
      <c r="C3517" s="4">
        <f>'Raw data'!E3093</f>
        <v>0</v>
      </c>
      <c r="D3517" s="29" t="e">
        <f>VLOOKUP(C3517,'점포코드 '!A:B,2,0)</f>
        <v>#N/A</v>
      </c>
      <c r="E3517" s="30">
        <f>'Raw data'!P3093</f>
        <v>0</v>
      </c>
      <c r="F3517" s="29" t="e">
        <f>VLOOKUP(E3517,'점포코드 '!A:B,2,0)</f>
        <v>#N/A</v>
      </c>
      <c r="G3517" s="46">
        <f>'Raw data'!F3426</f>
        <v>0</v>
      </c>
      <c r="H3517" s="4">
        <f>'Raw data'!G3426</f>
        <v>0</v>
      </c>
      <c r="I3517" s="29" t="e">
        <f>VLOOKUP(G3517,제품명!$C$1:$E$114,2,0)</f>
        <v>#N/A</v>
      </c>
      <c r="J3517" s="29">
        <f>'Raw data'!K3426</f>
        <v>0</v>
      </c>
      <c r="K3517" s="31">
        <f>'Raw data'!H3426</f>
        <v>0</v>
      </c>
      <c r="L3517" s="26">
        <f t="shared" si="112"/>
        <v>0</v>
      </c>
    </row>
    <row r="3518" spans="2:12">
      <c r="B3518" s="4" t="e">
        <f t="shared" si="111"/>
        <v>#N/A</v>
      </c>
      <c r="C3518" s="4">
        <f>'Raw data'!E3094</f>
        <v>0</v>
      </c>
      <c r="D3518" s="29" t="e">
        <f>VLOOKUP(C3518,'점포코드 '!A:B,2,0)</f>
        <v>#N/A</v>
      </c>
      <c r="E3518" s="30">
        <f>'Raw data'!P3094</f>
        <v>0</v>
      </c>
      <c r="F3518" s="29" t="e">
        <f>VLOOKUP(E3518,'점포코드 '!A:B,2,0)</f>
        <v>#N/A</v>
      </c>
      <c r="G3518" s="46">
        <f>'Raw data'!F3427</f>
        <v>0</v>
      </c>
      <c r="H3518" s="4">
        <f>'Raw data'!G3427</f>
        <v>0</v>
      </c>
      <c r="I3518" s="29" t="e">
        <f>VLOOKUP(G3518,제품명!$C$1:$E$114,2,0)</f>
        <v>#N/A</v>
      </c>
      <c r="J3518" s="29">
        <f>'Raw data'!K3427</f>
        <v>0</v>
      </c>
      <c r="K3518" s="31">
        <f>'Raw data'!H3427</f>
        <v>0</v>
      </c>
      <c r="L3518" s="26">
        <f t="shared" si="112"/>
        <v>0</v>
      </c>
    </row>
    <row r="3519" spans="2:12">
      <c r="B3519" s="4" t="e">
        <f t="shared" si="111"/>
        <v>#N/A</v>
      </c>
      <c r="C3519" s="4">
        <f>'Raw data'!E3095</f>
        <v>0</v>
      </c>
      <c r="D3519" s="29" t="e">
        <f>VLOOKUP(C3519,'점포코드 '!A:B,2,0)</f>
        <v>#N/A</v>
      </c>
      <c r="E3519" s="30">
        <f>'Raw data'!P3095</f>
        <v>0</v>
      </c>
      <c r="F3519" s="29" t="e">
        <f>VLOOKUP(E3519,'점포코드 '!A:B,2,0)</f>
        <v>#N/A</v>
      </c>
      <c r="G3519" s="46">
        <f>'Raw data'!F3428</f>
        <v>0</v>
      </c>
      <c r="H3519" s="4">
        <f>'Raw data'!G3428</f>
        <v>0</v>
      </c>
      <c r="I3519" s="29" t="e">
        <f>VLOOKUP(G3519,제품명!$C$1:$E$114,2,0)</f>
        <v>#N/A</v>
      </c>
      <c r="J3519" s="29">
        <f>'Raw data'!K3428</f>
        <v>0</v>
      </c>
      <c r="K3519" s="31">
        <f>'Raw data'!H3428</f>
        <v>0</v>
      </c>
      <c r="L3519" s="26">
        <f t="shared" si="112"/>
        <v>0</v>
      </c>
    </row>
    <row r="3520" spans="2:12">
      <c r="B3520" s="4" t="e">
        <f t="shared" si="111"/>
        <v>#N/A</v>
      </c>
      <c r="C3520" s="4">
        <f>'Raw data'!E3096</f>
        <v>0</v>
      </c>
      <c r="D3520" s="29" t="e">
        <f>VLOOKUP(C3520,'점포코드 '!A:B,2,0)</f>
        <v>#N/A</v>
      </c>
      <c r="E3520" s="30">
        <f>'Raw data'!P3096</f>
        <v>0</v>
      </c>
      <c r="F3520" s="29" t="e">
        <f>VLOOKUP(E3520,'점포코드 '!A:B,2,0)</f>
        <v>#N/A</v>
      </c>
      <c r="G3520" s="46">
        <f>'Raw data'!F3429</f>
        <v>0</v>
      </c>
      <c r="H3520" s="4">
        <f>'Raw data'!G3429</f>
        <v>0</v>
      </c>
      <c r="I3520" s="29" t="e">
        <f>VLOOKUP(G3520,제품명!$C$1:$E$114,2,0)</f>
        <v>#N/A</v>
      </c>
      <c r="J3520" s="29">
        <f>'Raw data'!K3429</f>
        <v>0</v>
      </c>
      <c r="K3520" s="31">
        <f>'Raw data'!H3429</f>
        <v>0</v>
      </c>
      <c r="L3520" s="26">
        <f t="shared" si="112"/>
        <v>0</v>
      </c>
    </row>
    <row r="3521" spans="2:12">
      <c r="B3521" s="4" t="e">
        <f t="shared" si="111"/>
        <v>#N/A</v>
      </c>
      <c r="C3521" s="4">
        <f>'Raw data'!E3097</f>
        <v>0</v>
      </c>
      <c r="D3521" s="29" t="e">
        <f>VLOOKUP(C3521,'점포코드 '!A:B,2,0)</f>
        <v>#N/A</v>
      </c>
      <c r="E3521" s="30">
        <f>'Raw data'!P3097</f>
        <v>0</v>
      </c>
      <c r="F3521" s="29" t="e">
        <f>VLOOKUP(E3521,'점포코드 '!A:B,2,0)</f>
        <v>#N/A</v>
      </c>
      <c r="G3521" s="46">
        <f>'Raw data'!F3430</f>
        <v>0</v>
      </c>
      <c r="H3521" s="4">
        <f>'Raw data'!G3430</f>
        <v>0</v>
      </c>
      <c r="I3521" s="29" t="e">
        <f>VLOOKUP(G3521,제품명!$C$1:$E$114,2,0)</f>
        <v>#N/A</v>
      </c>
      <c r="J3521" s="29">
        <f>'Raw data'!K3430</f>
        <v>0</v>
      </c>
      <c r="K3521" s="31">
        <f>'Raw data'!H3430</f>
        <v>0</v>
      </c>
      <c r="L3521" s="26">
        <f t="shared" si="112"/>
        <v>0</v>
      </c>
    </row>
    <row r="3522" spans="2:12">
      <c r="B3522" s="4" t="e">
        <f t="shared" ref="B3522:B3585" si="113">F3522&amp;I3522</f>
        <v>#N/A</v>
      </c>
      <c r="C3522" s="4">
        <f>'Raw data'!E3098</f>
        <v>0</v>
      </c>
      <c r="D3522" s="29" t="e">
        <f>VLOOKUP(C3522,'점포코드 '!A:B,2,0)</f>
        <v>#N/A</v>
      </c>
      <c r="E3522" s="30">
        <f>'Raw data'!P3098</f>
        <v>0</v>
      </c>
      <c r="F3522" s="29" t="e">
        <f>VLOOKUP(E3522,'점포코드 '!A:B,2,0)</f>
        <v>#N/A</v>
      </c>
      <c r="G3522" s="46">
        <f>'Raw data'!F3431</f>
        <v>0</v>
      </c>
      <c r="H3522" s="4">
        <f>'Raw data'!G3431</f>
        <v>0</v>
      </c>
      <c r="I3522" s="29" t="e">
        <f>VLOOKUP(G3522,제품명!$C$1:$E$114,2,0)</f>
        <v>#N/A</v>
      </c>
      <c r="J3522" s="29">
        <f>'Raw data'!K3431</f>
        <v>0</v>
      </c>
      <c r="K3522" s="31">
        <f>'Raw data'!H3431</f>
        <v>0</v>
      </c>
      <c r="L3522" s="26">
        <f t="shared" si="112"/>
        <v>0</v>
      </c>
    </row>
    <row r="3523" spans="2:12">
      <c r="B3523" s="4" t="e">
        <f t="shared" si="113"/>
        <v>#N/A</v>
      </c>
      <c r="C3523" s="4">
        <f>'Raw data'!E3099</f>
        <v>0</v>
      </c>
      <c r="D3523" s="29" t="e">
        <f>VLOOKUP(C3523,'점포코드 '!A:B,2,0)</f>
        <v>#N/A</v>
      </c>
      <c r="E3523" s="30">
        <f>'Raw data'!P3099</f>
        <v>0</v>
      </c>
      <c r="F3523" s="29" t="e">
        <f>VLOOKUP(E3523,'점포코드 '!A:B,2,0)</f>
        <v>#N/A</v>
      </c>
      <c r="G3523" s="46">
        <f>'Raw data'!F3432</f>
        <v>0</v>
      </c>
      <c r="H3523" s="4">
        <f>'Raw data'!G3432</f>
        <v>0</v>
      </c>
      <c r="I3523" s="29" t="e">
        <f>VLOOKUP(G3523,제품명!$C$1:$E$114,2,0)</f>
        <v>#N/A</v>
      </c>
      <c r="J3523" s="29">
        <f>'Raw data'!K3432</f>
        <v>0</v>
      </c>
      <c r="K3523" s="31">
        <f>'Raw data'!H3432</f>
        <v>0</v>
      </c>
      <c r="L3523" s="26">
        <f t="shared" ref="L3523:L3586" si="114">J3523*K3523</f>
        <v>0</v>
      </c>
    </row>
    <row r="3524" spans="2:12">
      <c r="B3524" s="4" t="e">
        <f t="shared" si="113"/>
        <v>#N/A</v>
      </c>
      <c r="C3524" s="4">
        <f>'Raw data'!E3100</f>
        <v>0</v>
      </c>
      <c r="D3524" s="29" t="e">
        <f>VLOOKUP(C3524,'점포코드 '!A:B,2,0)</f>
        <v>#N/A</v>
      </c>
      <c r="E3524" s="30">
        <f>'Raw data'!P3100</f>
        <v>0</v>
      </c>
      <c r="F3524" s="29" t="e">
        <f>VLOOKUP(E3524,'점포코드 '!A:B,2,0)</f>
        <v>#N/A</v>
      </c>
      <c r="G3524" s="46">
        <f>'Raw data'!F3433</f>
        <v>0</v>
      </c>
      <c r="H3524" s="4">
        <f>'Raw data'!G3433</f>
        <v>0</v>
      </c>
      <c r="I3524" s="29" t="e">
        <f>VLOOKUP(G3524,제품명!$C$1:$E$114,2,0)</f>
        <v>#N/A</v>
      </c>
      <c r="J3524" s="29">
        <f>'Raw data'!K3433</f>
        <v>0</v>
      </c>
      <c r="K3524" s="31">
        <f>'Raw data'!H3433</f>
        <v>0</v>
      </c>
      <c r="L3524" s="26">
        <f t="shared" si="114"/>
        <v>0</v>
      </c>
    </row>
    <row r="3525" spans="2:12">
      <c r="B3525" s="4" t="e">
        <f t="shared" si="113"/>
        <v>#N/A</v>
      </c>
      <c r="C3525" s="4">
        <f>'Raw data'!E3101</f>
        <v>0</v>
      </c>
      <c r="D3525" s="29" t="e">
        <f>VLOOKUP(C3525,'점포코드 '!A:B,2,0)</f>
        <v>#N/A</v>
      </c>
      <c r="E3525" s="30">
        <f>'Raw data'!P3101</f>
        <v>0</v>
      </c>
      <c r="F3525" s="29" t="e">
        <f>VLOOKUP(E3525,'점포코드 '!A:B,2,0)</f>
        <v>#N/A</v>
      </c>
      <c r="G3525" s="46">
        <f>'Raw data'!F3434</f>
        <v>0</v>
      </c>
      <c r="H3525" s="4">
        <f>'Raw data'!G3434</f>
        <v>0</v>
      </c>
      <c r="I3525" s="29" t="e">
        <f>VLOOKUP(G3525,제품명!$C$1:$E$114,2,0)</f>
        <v>#N/A</v>
      </c>
      <c r="J3525" s="29">
        <f>'Raw data'!K3434</f>
        <v>0</v>
      </c>
      <c r="K3525" s="31">
        <f>'Raw data'!H3434</f>
        <v>0</v>
      </c>
      <c r="L3525" s="26">
        <f t="shared" si="114"/>
        <v>0</v>
      </c>
    </row>
    <row r="3526" spans="2:12">
      <c r="B3526" s="4" t="e">
        <f t="shared" si="113"/>
        <v>#N/A</v>
      </c>
      <c r="C3526" s="4">
        <f>'Raw data'!E3102</f>
        <v>0</v>
      </c>
      <c r="D3526" s="29" t="e">
        <f>VLOOKUP(C3526,'점포코드 '!A:B,2,0)</f>
        <v>#N/A</v>
      </c>
      <c r="E3526" s="30">
        <f>'Raw data'!P3102</f>
        <v>0</v>
      </c>
      <c r="F3526" s="29" t="e">
        <f>VLOOKUP(E3526,'점포코드 '!A:B,2,0)</f>
        <v>#N/A</v>
      </c>
      <c r="G3526" s="46">
        <f>'Raw data'!F3435</f>
        <v>0</v>
      </c>
      <c r="H3526" s="4">
        <f>'Raw data'!G3435</f>
        <v>0</v>
      </c>
      <c r="I3526" s="29" t="e">
        <f>VLOOKUP(G3526,제품명!$C$1:$E$114,2,0)</f>
        <v>#N/A</v>
      </c>
      <c r="J3526" s="29">
        <f>'Raw data'!K3435</f>
        <v>0</v>
      </c>
      <c r="K3526" s="31">
        <f>'Raw data'!H3435</f>
        <v>0</v>
      </c>
      <c r="L3526" s="26">
        <f t="shared" si="114"/>
        <v>0</v>
      </c>
    </row>
    <row r="3527" spans="2:12">
      <c r="B3527" s="4" t="e">
        <f t="shared" si="113"/>
        <v>#N/A</v>
      </c>
      <c r="C3527" s="4">
        <f>'Raw data'!E3103</f>
        <v>0</v>
      </c>
      <c r="D3527" s="29" t="e">
        <f>VLOOKUP(C3527,'점포코드 '!A:B,2,0)</f>
        <v>#N/A</v>
      </c>
      <c r="E3527" s="30">
        <f>'Raw data'!P3103</f>
        <v>0</v>
      </c>
      <c r="F3527" s="29" t="e">
        <f>VLOOKUP(E3527,'점포코드 '!A:B,2,0)</f>
        <v>#N/A</v>
      </c>
      <c r="G3527" s="46">
        <f>'Raw data'!F3436</f>
        <v>0</v>
      </c>
      <c r="H3527" s="4">
        <f>'Raw data'!G3436</f>
        <v>0</v>
      </c>
      <c r="I3527" s="29" t="e">
        <f>VLOOKUP(G3527,제품명!$C$1:$E$114,2,0)</f>
        <v>#N/A</v>
      </c>
      <c r="J3527" s="29">
        <f>'Raw data'!K3436</f>
        <v>0</v>
      </c>
      <c r="K3527" s="31">
        <f>'Raw data'!H3436</f>
        <v>0</v>
      </c>
      <c r="L3527" s="26">
        <f t="shared" si="114"/>
        <v>0</v>
      </c>
    </row>
    <row r="3528" spans="2:12">
      <c r="B3528" s="4" t="e">
        <f t="shared" si="113"/>
        <v>#N/A</v>
      </c>
      <c r="C3528" s="4">
        <f>'Raw data'!E3104</f>
        <v>0</v>
      </c>
      <c r="D3528" s="29" t="e">
        <f>VLOOKUP(C3528,'점포코드 '!A:B,2,0)</f>
        <v>#N/A</v>
      </c>
      <c r="E3528" s="30">
        <f>'Raw data'!P3104</f>
        <v>0</v>
      </c>
      <c r="F3528" s="29" t="e">
        <f>VLOOKUP(E3528,'점포코드 '!A:B,2,0)</f>
        <v>#N/A</v>
      </c>
      <c r="G3528" s="46">
        <f>'Raw data'!F3437</f>
        <v>0</v>
      </c>
      <c r="H3528" s="4">
        <f>'Raw data'!G3437</f>
        <v>0</v>
      </c>
      <c r="I3528" s="29" t="e">
        <f>VLOOKUP(G3528,제품명!$C$1:$E$114,2,0)</f>
        <v>#N/A</v>
      </c>
      <c r="J3528" s="29">
        <f>'Raw data'!K3437</f>
        <v>0</v>
      </c>
      <c r="K3528" s="31">
        <f>'Raw data'!H3437</f>
        <v>0</v>
      </c>
      <c r="L3528" s="26">
        <f t="shared" si="114"/>
        <v>0</v>
      </c>
    </row>
    <row r="3529" spans="2:12">
      <c r="B3529" s="4" t="e">
        <f t="shared" si="113"/>
        <v>#N/A</v>
      </c>
      <c r="C3529" s="4">
        <f>'Raw data'!E3105</f>
        <v>0</v>
      </c>
      <c r="D3529" s="29" t="e">
        <f>VLOOKUP(C3529,'점포코드 '!A:B,2,0)</f>
        <v>#N/A</v>
      </c>
      <c r="E3529" s="30">
        <f>'Raw data'!P3105</f>
        <v>0</v>
      </c>
      <c r="F3529" s="29" t="e">
        <f>VLOOKUP(E3529,'점포코드 '!A:B,2,0)</f>
        <v>#N/A</v>
      </c>
      <c r="G3529" s="46">
        <f>'Raw data'!F3438</f>
        <v>0</v>
      </c>
      <c r="H3529" s="4">
        <f>'Raw data'!G3438</f>
        <v>0</v>
      </c>
      <c r="I3529" s="29" t="e">
        <f>VLOOKUP(G3529,제품명!$C$1:$E$114,2,0)</f>
        <v>#N/A</v>
      </c>
      <c r="J3529" s="29">
        <f>'Raw data'!K3438</f>
        <v>0</v>
      </c>
      <c r="K3529" s="31">
        <f>'Raw data'!H3438</f>
        <v>0</v>
      </c>
      <c r="L3529" s="26">
        <f t="shared" si="114"/>
        <v>0</v>
      </c>
    </row>
    <row r="3530" spans="2:12">
      <c r="B3530" s="4" t="e">
        <f t="shared" si="113"/>
        <v>#N/A</v>
      </c>
      <c r="C3530" s="4">
        <f>'Raw data'!E3106</f>
        <v>0</v>
      </c>
      <c r="D3530" s="29" t="e">
        <f>VLOOKUP(C3530,'점포코드 '!A:B,2,0)</f>
        <v>#N/A</v>
      </c>
      <c r="E3530" s="30">
        <f>'Raw data'!P3106</f>
        <v>0</v>
      </c>
      <c r="F3530" s="29" t="e">
        <f>VLOOKUP(E3530,'점포코드 '!A:B,2,0)</f>
        <v>#N/A</v>
      </c>
      <c r="G3530" s="46">
        <f>'Raw data'!F3439</f>
        <v>0</v>
      </c>
      <c r="H3530" s="4">
        <f>'Raw data'!G3439</f>
        <v>0</v>
      </c>
      <c r="I3530" s="29" t="e">
        <f>VLOOKUP(G3530,제품명!$C$1:$E$114,2,0)</f>
        <v>#N/A</v>
      </c>
      <c r="J3530" s="29">
        <f>'Raw data'!K3439</f>
        <v>0</v>
      </c>
      <c r="K3530" s="31">
        <f>'Raw data'!H3439</f>
        <v>0</v>
      </c>
      <c r="L3530" s="26">
        <f t="shared" si="114"/>
        <v>0</v>
      </c>
    </row>
    <row r="3531" spans="2:12">
      <c r="B3531" s="4" t="e">
        <f t="shared" si="113"/>
        <v>#N/A</v>
      </c>
      <c r="C3531" s="4">
        <f>'Raw data'!E3107</f>
        <v>0</v>
      </c>
      <c r="D3531" s="29" t="e">
        <f>VLOOKUP(C3531,'점포코드 '!A:B,2,0)</f>
        <v>#N/A</v>
      </c>
      <c r="E3531" s="30">
        <f>'Raw data'!P3107</f>
        <v>0</v>
      </c>
      <c r="F3531" s="29" t="e">
        <f>VLOOKUP(E3531,'점포코드 '!A:B,2,0)</f>
        <v>#N/A</v>
      </c>
      <c r="G3531" s="46">
        <f>'Raw data'!F3440</f>
        <v>0</v>
      </c>
      <c r="H3531" s="4">
        <f>'Raw data'!G3440</f>
        <v>0</v>
      </c>
      <c r="I3531" s="29" t="e">
        <f>VLOOKUP(G3531,제품명!$C$1:$E$114,2,0)</f>
        <v>#N/A</v>
      </c>
      <c r="J3531" s="29">
        <f>'Raw data'!K3440</f>
        <v>0</v>
      </c>
      <c r="K3531" s="31">
        <f>'Raw data'!H3440</f>
        <v>0</v>
      </c>
      <c r="L3531" s="26">
        <f t="shared" si="114"/>
        <v>0</v>
      </c>
    </row>
    <row r="3532" spans="2:12">
      <c r="B3532" s="4" t="e">
        <f t="shared" si="113"/>
        <v>#N/A</v>
      </c>
      <c r="C3532" s="4">
        <f>'Raw data'!E3108</f>
        <v>0</v>
      </c>
      <c r="D3532" s="29" t="e">
        <f>VLOOKUP(C3532,'점포코드 '!A:B,2,0)</f>
        <v>#N/A</v>
      </c>
      <c r="E3532" s="30">
        <f>'Raw data'!P3108</f>
        <v>0</v>
      </c>
      <c r="F3532" s="29" t="e">
        <f>VLOOKUP(E3532,'점포코드 '!A:B,2,0)</f>
        <v>#N/A</v>
      </c>
      <c r="G3532" s="46">
        <f>'Raw data'!F3441</f>
        <v>0</v>
      </c>
      <c r="H3532" s="4">
        <f>'Raw data'!G3441</f>
        <v>0</v>
      </c>
      <c r="I3532" s="29" t="e">
        <f>VLOOKUP(G3532,제품명!$C$1:$E$114,2,0)</f>
        <v>#N/A</v>
      </c>
      <c r="J3532" s="29">
        <f>'Raw data'!K3441</f>
        <v>0</v>
      </c>
      <c r="K3532" s="31">
        <f>'Raw data'!H3441</f>
        <v>0</v>
      </c>
      <c r="L3532" s="26">
        <f t="shared" si="114"/>
        <v>0</v>
      </c>
    </row>
    <row r="3533" spans="2:12">
      <c r="B3533" s="4" t="e">
        <f t="shared" si="113"/>
        <v>#N/A</v>
      </c>
      <c r="C3533" s="4">
        <f>'Raw data'!E3109</f>
        <v>0</v>
      </c>
      <c r="D3533" s="29" t="e">
        <f>VLOOKUP(C3533,'점포코드 '!A:B,2,0)</f>
        <v>#N/A</v>
      </c>
      <c r="E3533" s="30">
        <f>'Raw data'!P3109</f>
        <v>0</v>
      </c>
      <c r="F3533" s="29" t="e">
        <f>VLOOKUP(E3533,'점포코드 '!A:B,2,0)</f>
        <v>#N/A</v>
      </c>
      <c r="G3533" s="46">
        <f>'Raw data'!F3442</f>
        <v>0</v>
      </c>
      <c r="H3533" s="4">
        <f>'Raw data'!G3442</f>
        <v>0</v>
      </c>
      <c r="I3533" s="29" t="e">
        <f>VLOOKUP(G3533,제품명!$C$1:$E$114,2,0)</f>
        <v>#N/A</v>
      </c>
      <c r="J3533" s="29">
        <f>'Raw data'!K3442</f>
        <v>0</v>
      </c>
      <c r="K3533" s="31">
        <f>'Raw data'!H3442</f>
        <v>0</v>
      </c>
      <c r="L3533" s="26">
        <f t="shared" si="114"/>
        <v>0</v>
      </c>
    </row>
    <row r="3534" spans="2:12">
      <c r="B3534" s="4" t="e">
        <f t="shared" si="113"/>
        <v>#N/A</v>
      </c>
      <c r="C3534" s="4">
        <f>'Raw data'!E3110</f>
        <v>0</v>
      </c>
      <c r="D3534" s="29" t="e">
        <f>VLOOKUP(C3534,'점포코드 '!A:B,2,0)</f>
        <v>#N/A</v>
      </c>
      <c r="E3534" s="30">
        <f>'Raw data'!P3110</f>
        <v>0</v>
      </c>
      <c r="F3534" s="29" t="e">
        <f>VLOOKUP(E3534,'점포코드 '!A:B,2,0)</f>
        <v>#N/A</v>
      </c>
      <c r="G3534" s="46">
        <f>'Raw data'!F3443</f>
        <v>0</v>
      </c>
      <c r="H3534" s="4">
        <f>'Raw data'!G3443</f>
        <v>0</v>
      </c>
      <c r="I3534" s="29" t="e">
        <f>VLOOKUP(G3534,제품명!$C$1:$E$114,2,0)</f>
        <v>#N/A</v>
      </c>
      <c r="J3534" s="29">
        <f>'Raw data'!K3443</f>
        <v>0</v>
      </c>
      <c r="K3534" s="31">
        <f>'Raw data'!H3443</f>
        <v>0</v>
      </c>
      <c r="L3534" s="26">
        <f t="shared" si="114"/>
        <v>0</v>
      </c>
    </row>
    <row r="3535" spans="2:12">
      <c r="B3535" s="4" t="e">
        <f t="shared" si="113"/>
        <v>#N/A</v>
      </c>
      <c r="C3535" s="4">
        <f>'Raw data'!E3111</f>
        <v>0</v>
      </c>
      <c r="D3535" s="29" t="e">
        <f>VLOOKUP(C3535,'점포코드 '!A:B,2,0)</f>
        <v>#N/A</v>
      </c>
      <c r="E3535" s="30">
        <f>'Raw data'!P3111</f>
        <v>0</v>
      </c>
      <c r="F3535" s="29" t="e">
        <f>VLOOKUP(E3535,'점포코드 '!A:B,2,0)</f>
        <v>#N/A</v>
      </c>
      <c r="G3535" s="46">
        <f>'Raw data'!F3444</f>
        <v>0</v>
      </c>
      <c r="H3535" s="4">
        <f>'Raw data'!G3444</f>
        <v>0</v>
      </c>
      <c r="I3535" s="29" t="e">
        <f>VLOOKUP(G3535,제품명!$C$1:$E$114,2,0)</f>
        <v>#N/A</v>
      </c>
      <c r="J3535" s="29">
        <f>'Raw data'!K3444</f>
        <v>0</v>
      </c>
      <c r="K3535" s="31">
        <f>'Raw data'!H3444</f>
        <v>0</v>
      </c>
      <c r="L3535" s="26">
        <f t="shared" si="114"/>
        <v>0</v>
      </c>
    </row>
    <row r="3536" spans="2:12">
      <c r="B3536" s="4" t="e">
        <f t="shared" si="113"/>
        <v>#N/A</v>
      </c>
      <c r="C3536" s="4">
        <f>'Raw data'!E3112</f>
        <v>0</v>
      </c>
      <c r="D3536" s="29" t="e">
        <f>VLOOKUP(C3536,'점포코드 '!A:B,2,0)</f>
        <v>#N/A</v>
      </c>
      <c r="E3536" s="30">
        <f>'Raw data'!P3112</f>
        <v>0</v>
      </c>
      <c r="F3536" s="29" t="e">
        <f>VLOOKUP(E3536,'점포코드 '!A:B,2,0)</f>
        <v>#N/A</v>
      </c>
      <c r="G3536" s="46">
        <f>'Raw data'!F3445</f>
        <v>0</v>
      </c>
      <c r="H3536" s="4">
        <f>'Raw data'!G3445</f>
        <v>0</v>
      </c>
      <c r="I3536" s="29" t="e">
        <f>VLOOKUP(G3536,제품명!$C$1:$E$114,2,0)</f>
        <v>#N/A</v>
      </c>
      <c r="J3536" s="29">
        <f>'Raw data'!K3445</f>
        <v>0</v>
      </c>
      <c r="K3536" s="31">
        <f>'Raw data'!H3445</f>
        <v>0</v>
      </c>
      <c r="L3536" s="26">
        <f t="shared" si="114"/>
        <v>0</v>
      </c>
    </row>
    <row r="3537" spans="2:12">
      <c r="B3537" s="4" t="e">
        <f t="shared" si="113"/>
        <v>#N/A</v>
      </c>
      <c r="C3537" s="4">
        <f>'Raw data'!E3113</f>
        <v>0</v>
      </c>
      <c r="D3537" s="29" t="e">
        <f>VLOOKUP(C3537,'점포코드 '!A:B,2,0)</f>
        <v>#N/A</v>
      </c>
      <c r="E3537" s="30">
        <f>'Raw data'!P3113</f>
        <v>0</v>
      </c>
      <c r="F3537" s="29" t="e">
        <f>VLOOKUP(E3537,'점포코드 '!A:B,2,0)</f>
        <v>#N/A</v>
      </c>
      <c r="G3537" s="46">
        <f>'Raw data'!F3446</f>
        <v>0</v>
      </c>
      <c r="H3537" s="4">
        <f>'Raw data'!G3446</f>
        <v>0</v>
      </c>
      <c r="I3537" s="29" t="e">
        <f>VLOOKUP(G3537,제품명!$C$1:$E$114,2,0)</f>
        <v>#N/A</v>
      </c>
      <c r="J3537" s="29">
        <f>'Raw data'!K3446</f>
        <v>0</v>
      </c>
      <c r="K3537" s="31">
        <f>'Raw data'!H3446</f>
        <v>0</v>
      </c>
      <c r="L3537" s="26">
        <f t="shared" si="114"/>
        <v>0</v>
      </c>
    </row>
    <row r="3538" spans="2:12">
      <c r="B3538" s="4" t="e">
        <f t="shared" si="113"/>
        <v>#N/A</v>
      </c>
      <c r="C3538" s="4">
        <f>'Raw data'!E3114</f>
        <v>0</v>
      </c>
      <c r="D3538" s="29" t="e">
        <f>VLOOKUP(C3538,'점포코드 '!A:B,2,0)</f>
        <v>#N/A</v>
      </c>
      <c r="E3538" s="30">
        <f>'Raw data'!P3114</f>
        <v>0</v>
      </c>
      <c r="F3538" s="29" t="e">
        <f>VLOOKUP(E3538,'점포코드 '!A:B,2,0)</f>
        <v>#N/A</v>
      </c>
      <c r="G3538" s="46">
        <f>'Raw data'!F3447</f>
        <v>0</v>
      </c>
      <c r="H3538" s="4">
        <f>'Raw data'!G3447</f>
        <v>0</v>
      </c>
      <c r="I3538" s="29" t="e">
        <f>VLOOKUP(G3538,제품명!$C$1:$E$114,2,0)</f>
        <v>#N/A</v>
      </c>
      <c r="J3538" s="29">
        <f>'Raw data'!K3447</f>
        <v>0</v>
      </c>
      <c r="K3538" s="31">
        <f>'Raw data'!H3447</f>
        <v>0</v>
      </c>
      <c r="L3538" s="26">
        <f t="shared" si="114"/>
        <v>0</v>
      </c>
    </row>
    <row r="3539" spans="2:12">
      <c r="B3539" s="4" t="e">
        <f t="shared" si="113"/>
        <v>#N/A</v>
      </c>
      <c r="C3539" s="4">
        <f>'Raw data'!E3115</f>
        <v>0</v>
      </c>
      <c r="D3539" s="29" t="e">
        <f>VLOOKUP(C3539,'점포코드 '!A:B,2,0)</f>
        <v>#N/A</v>
      </c>
      <c r="E3539" s="30">
        <f>'Raw data'!P3115</f>
        <v>0</v>
      </c>
      <c r="F3539" s="29" t="e">
        <f>VLOOKUP(E3539,'점포코드 '!A:B,2,0)</f>
        <v>#N/A</v>
      </c>
      <c r="G3539" s="46">
        <f>'Raw data'!F3448</f>
        <v>0</v>
      </c>
      <c r="H3539" s="4">
        <f>'Raw data'!G3448</f>
        <v>0</v>
      </c>
      <c r="I3539" s="29" t="e">
        <f>VLOOKUP(G3539,제품명!$C$1:$E$114,2,0)</f>
        <v>#N/A</v>
      </c>
      <c r="J3539" s="29">
        <f>'Raw data'!K3448</f>
        <v>0</v>
      </c>
      <c r="K3539" s="31">
        <f>'Raw data'!H3448</f>
        <v>0</v>
      </c>
      <c r="L3539" s="26">
        <f t="shared" si="114"/>
        <v>0</v>
      </c>
    </row>
    <row r="3540" spans="2:12">
      <c r="B3540" s="4" t="e">
        <f t="shared" si="113"/>
        <v>#N/A</v>
      </c>
      <c r="C3540" s="4">
        <f>'Raw data'!E3116</f>
        <v>0</v>
      </c>
      <c r="D3540" s="29" t="e">
        <f>VLOOKUP(C3540,'점포코드 '!A:B,2,0)</f>
        <v>#N/A</v>
      </c>
      <c r="E3540" s="30">
        <f>'Raw data'!P3116</f>
        <v>0</v>
      </c>
      <c r="F3540" s="29" t="e">
        <f>VLOOKUP(E3540,'점포코드 '!A:B,2,0)</f>
        <v>#N/A</v>
      </c>
      <c r="G3540" s="46">
        <f>'Raw data'!F3449</f>
        <v>0</v>
      </c>
      <c r="H3540" s="4">
        <f>'Raw data'!G3449</f>
        <v>0</v>
      </c>
      <c r="I3540" s="29" t="e">
        <f>VLOOKUP(G3540,제품명!$C$1:$E$114,2,0)</f>
        <v>#N/A</v>
      </c>
      <c r="J3540" s="29">
        <f>'Raw data'!K3449</f>
        <v>0</v>
      </c>
      <c r="K3540" s="31">
        <f>'Raw data'!H3449</f>
        <v>0</v>
      </c>
      <c r="L3540" s="26">
        <f t="shared" si="114"/>
        <v>0</v>
      </c>
    </row>
    <row r="3541" spans="2:12">
      <c r="B3541" s="4" t="e">
        <f t="shared" si="113"/>
        <v>#N/A</v>
      </c>
      <c r="C3541" s="4">
        <f>'Raw data'!E3117</f>
        <v>0</v>
      </c>
      <c r="D3541" s="29" t="e">
        <f>VLOOKUP(C3541,'점포코드 '!A:B,2,0)</f>
        <v>#N/A</v>
      </c>
      <c r="E3541" s="30">
        <f>'Raw data'!P3117</f>
        <v>0</v>
      </c>
      <c r="F3541" s="29" t="e">
        <f>VLOOKUP(E3541,'점포코드 '!A:B,2,0)</f>
        <v>#N/A</v>
      </c>
      <c r="G3541" s="46">
        <f>'Raw data'!F3450</f>
        <v>0</v>
      </c>
      <c r="H3541" s="4">
        <f>'Raw data'!G3450</f>
        <v>0</v>
      </c>
      <c r="I3541" s="29" t="e">
        <f>VLOOKUP(G3541,제품명!$C$1:$E$114,2,0)</f>
        <v>#N/A</v>
      </c>
      <c r="J3541" s="29">
        <f>'Raw data'!K3450</f>
        <v>0</v>
      </c>
      <c r="K3541" s="31">
        <f>'Raw data'!H3450</f>
        <v>0</v>
      </c>
      <c r="L3541" s="26">
        <f t="shared" si="114"/>
        <v>0</v>
      </c>
    </row>
    <row r="3542" spans="2:12">
      <c r="B3542" s="4" t="e">
        <f t="shared" si="113"/>
        <v>#N/A</v>
      </c>
      <c r="C3542" s="4">
        <f>'Raw data'!E3118</f>
        <v>0</v>
      </c>
      <c r="D3542" s="29" t="e">
        <f>VLOOKUP(C3542,'점포코드 '!A:B,2,0)</f>
        <v>#N/A</v>
      </c>
      <c r="E3542" s="30">
        <f>'Raw data'!P3118</f>
        <v>0</v>
      </c>
      <c r="F3542" s="29" t="e">
        <f>VLOOKUP(E3542,'점포코드 '!A:B,2,0)</f>
        <v>#N/A</v>
      </c>
      <c r="G3542" s="46">
        <f>'Raw data'!F3451</f>
        <v>0</v>
      </c>
      <c r="H3542" s="4">
        <f>'Raw data'!G3451</f>
        <v>0</v>
      </c>
      <c r="I3542" s="29" t="e">
        <f>VLOOKUP(G3542,제품명!$C$1:$E$114,2,0)</f>
        <v>#N/A</v>
      </c>
      <c r="J3542" s="29">
        <f>'Raw data'!K3451</f>
        <v>0</v>
      </c>
      <c r="K3542" s="31">
        <f>'Raw data'!H3451</f>
        <v>0</v>
      </c>
      <c r="L3542" s="26">
        <f t="shared" si="114"/>
        <v>0</v>
      </c>
    </row>
    <row r="3543" spans="2:12">
      <c r="B3543" s="4" t="e">
        <f t="shared" si="113"/>
        <v>#N/A</v>
      </c>
      <c r="C3543" s="4">
        <f>'Raw data'!E3119</f>
        <v>0</v>
      </c>
      <c r="D3543" s="29" t="e">
        <f>VLOOKUP(C3543,'점포코드 '!A:B,2,0)</f>
        <v>#N/A</v>
      </c>
      <c r="E3543" s="30">
        <f>'Raw data'!P3119</f>
        <v>0</v>
      </c>
      <c r="F3543" s="29" t="e">
        <f>VLOOKUP(E3543,'점포코드 '!A:B,2,0)</f>
        <v>#N/A</v>
      </c>
      <c r="G3543" s="46">
        <f>'Raw data'!F3452</f>
        <v>0</v>
      </c>
      <c r="H3543" s="4">
        <f>'Raw data'!G3452</f>
        <v>0</v>
      </c>
      <c r="I3543" s="29" t="e">
        <f>VLOOKUP(G3543,제품명!$C$1:$E$114,2,0)</f>
        <v>#N/A</v>
      </c>
      <c r="J3543" s="29">
        <f>'Raw data'!K3452</f>
        <v>0</v>
      </c>
      <c r="K3543" s="31">
        <f>'Raw data'!H3452</f>
        <v>0</v>
      </c>
      <c r="L3543" s="26">
        <f t="shared" si="114"/>
        <v>0</v>
      </c>
    </row>
    <row r="3544" spans="2:12">
      <c r="B3544" s="4" t="e">
        <f t="shared" si="113"/>
        <v>#N/A</v>
      </c>
      <c r="C3544" s="4">
        <f>'Raw data'!E3120</f>
        <v>0</v>
      </c>
      <c r="D3544" s="29" t="e">
        <f>VLOOKUP(C3544,'점포코드 '!A:B,2,0)</f>
        <v>#N/A</v>
      </c>
      <c r="E3544" s="30">
        <f>'Raw data'!P3120</f>
        <v>0</v>
      </c>
      <c r="F3544" s="29" t="e">
        <f>VLOOKUP(E3544,'점포코드 '!A:B,2,0)</f>
        <v>#N/A</v>
      </c>
      <c r="G3544" s="46">
        <f>'Raw data'!F3453</f>
        <v>0</v>
      </c>
      <c r="H3544" s="4">
        <f>'Raw data'!G3453</f>
        <v>0</v>
      </c>
      <c r="I3544" s="29" t="e">
        <f>VLOOKUP(G3544,제품명!$C$1:$E$114,2,0)</f>
        <v>#N/A</v>
      </c>
      <c r="J3544" s="29">
        <f>'Raw data'!K3453</f>
        <v>0</v>
      </c>
      <c r="K3544" s="31">
        <f>'Raw data'!H3453</f>
        <v>0</v>
      </c>
      <c r="L3544" s="26">
        <f t="shared" si="114"/>
        <v>0</v>
      </c>
    </row>
    <row r="3545" spans="2:12">
      <c r="B3545" s="4" t="e">
        <f t="shared" si="113"/>
        <v>#N/A</v>
      </c>
      <c r="C3545" s="4">
        <f>'Raw data'!E3121</f>
        <v>0</v>
      </c>
      <c r="D3545" s="29" t="e">
        <f>VLOOKUP(C3545,'점포코드 '!A:B,2,0)</f>
        <v>#N/A</v>
      </c>
      <c r="E3545" s="30">
        <f>'Raw data'!P3121</f>
        <v>0</v>
      </c>
      <c r="F3545" s="29" t="e">
        <f>VLOOKUP(E3545,'점포코드 '!A:B,2,0)</f>
        <v>#N/A</v>
      </c>
      <c r="G3545" s="46">
        <f>'Raw data'!F3454</f>
        <v>0</v>
      </c>
      <c r="H3545" s="4">
        <f>'Raw data'!G3454</f>
        <v>0</v>
      </c>
      <c r="I3545" s="29" t="e">
        <f>VLOOKUP(G3545,제품명!$C$1:$E$114,2,0)</f>
        <v>#N/A</v>
      </c>
      <c r="J3545" s="29">
        <f>'Raw data'!K3454</f>
        <v>0</v>
      </c>
      <c r="K3545" s="31">
        <f>'Raw data'!H3454</f>
        <v>0</v>
      </c>
      <c r="L3545" s="26">
        <f t="shared" si="114"/>
        <v>0</v>
      </c>
    </row>
    <row r="3546" spans="2:12">
      <c r="B3546" s="4" t="e">
        <f t="shared" si="113"/>
        <v>#N/A</v>
      </c>
      <c r="C3546" s="4">
        <f>'Raw data'!E3122</f>
        <v>0</v>
      </c>
      <c r="D3546" s="29" t="e">
        <f>VLOOKUP(C3546,'점포코드 '!A:B,2,0)</f>
        <v>#N/A</v>
      </c>
      <c r="E3546" s="30">
        <f>'Raw data'!P3122</f>
        <v>0</v>
      </c>
      <c r="F3546" s="29" t="e">
        <f>VLOOKUP(E3546,'점포코드 '!A:B,2,0)</f>
        <v>#N/A</v>
      </c>
      <c r="G3546" s="46">
        <f>'Raw data'!F3455</f>
        <v>0</v>
      </c>
      <c r="H3546" s="4">
        <f>'Raw data'!G3455</f>
        <v>0</v>
      </c>
      <c r="I3546" s="29" t="e">
        <f>VLOOKUP(G3546,제품명!$C$1:$E$114,2,0)</f>
        <v>#N/A</v>
      </c>
      <c r="J3546" s="29">
        <f>'Raw data'!K3455</f>
        <v>0</v>
      </c>
      <c r="K3546" s="31">
        <f>'Raw data'!H3455</f>
        <v>0</v>
      </c>
      <c r="L3546" s="26">
        <f t="shared" si="114"/>
        <v>0</v>
      </c>
    </row>
    <row r="3547" spans="2:12">
      <c r="B3547" s="4" t="e">
        <f t="shared" si="113"/>
        <v>#N/A</v>
      </c>
      <c r="C3547" s="4">
        <f>'Raw data'!E3123</f>
        <v>0</v>
      </c>
      <c r="D3547" s="29" t="e">
        <f>VLOOKUP(C3547,'점포코드 '!A:B,2,0)</f>
        <v>#N/A</v>
      </c>
      <c r="E3547" s="30">
        <f>'Raw data'!P3123</f>
        <v>0</v>
      </c>
      <c r="F3547" s="29" t="e">
        <f>VLOOKUP(E3547,'점포코드 '!A:B,2,0)</f>
        <v>#N/A</v>
      </c>
      <c r="G3547" s="46">
        <f>'Raw data'!F3456</f>
        <v>0</v>
      </c>
      <c r="H3547" s="4">
        <f>'Raw data'!G3456</f>
        <v>0</v>
      </c>
      <c r="I3547" s="29" t="e">
        <f>VLOOKUP(G3547,제품명!$C$1:$E$114,2,0)</f>
        <v>#N/A</v>
      </c>
      <c r="J3547" s="29">
        <f>'Raw data'!K3456</f>
        <v>0</v>
      </c>
      <c r="K3547" s="31">
        <f>'Raw data'!H3456</f>
        <v>0</v>
      </c>
      <c r="L3547" s="26">
        <f t="shared" si="114"/>
        <v>0</v>
      </c>
    </row>
    <row r="3548" spans="2:12">
      <c r="B3548" s="4" t="e">
        <f t="shared" si="113"/>
        <v>#N/A</v>
      </c>
      <c r="C3548" s="4">
        <f>'Raw data'!E3124</f>
        <v>0</v>
      </c>
      <c r="D3548" s="29" t="e">
        <f>VLOOKUP(C3548,'점포코드 '!A:B,2,0)</f>
        <v>#N/A</v>
      </c>
      <c r="E3548" s="30">
        <f>'Raw data'!P3124</f>
        <v>0</v>
      </c>
      <c r="F3548" s="29" t="e">
        <f>VLOOKUP(E3548,'점포코드 '!A:B,2,0)</f>
        <v>#N/A</v>
      </c>
      <c r="G3548" s="46">
        <f>'Raw data'!F3457</f>
        <v>0</v>
      </c>
      <c r="H3548" s="4">
        <f>'Raw data'!G3457</f>
        <v>0</v>
      </c>
      <c r="I3548" s="29" t="e">
        <f>VLOOKUP(G3548,제품명!$C$1:$E$114,2,0)</f>
        <v>#N/A</v>
      </c>
      <c r="J3548" s="29">
        <f>'Raw data'!K3457</f>
        <v>0</v>
      </c>
      <c r="K3548" s="31">
        <f>'Raw data'!H3457</f>
        <v>0</v>
      </c>
      <c r="L3548" s="26">
        <f t="shared" si="114"/>
        <v>0</v>
      </c>
    </row>
    <row r="3549" spans="2:12">
      <c r="B3549" s="4" t="e">
        <f t="shared" si="113"/>
        <v>#N/A</v>
      </c>
      <c r="C3549" s="4">
        <f>'Raw data'!E3125</f>
        <v>0</v>
      </c>
      <c r="D3549" s="29" t="e">
        <f>VLOOKUP(C3549,'점포코드 '!A:B,2,0)</f>
        <v>#N/A</v>
      </c>
      <c r="E3549" s="30">
        <f>'Raw data'!P3125</f>
        <v>0</v>
      </c>
      <c r="F3549" s="29" t="e">
        <f>VLOOKUP(E3549,'점포코드 '!A:B,2,0)</f>
        <v>#N/A</v>
      </c>
      <c r="G3549" s="46">
        <f>'Raw data'!F3458</f>
        <v>0</v>
      </c>
      <c r="H3549" s="4">
        <f>'Raw data'!G3458</f>
        <v>0</v>
      </c>
      <c r="I3549" s="29" t="e">
        <f>VLOOKUP(G3549,제품명!$C$1:$E$114,2,0)</f>
        <v>#N/A</v>
      </c>
      <c r="J3549" s="29">
        <f>'Raw data'!K3458</f>
        <v>0</v>
      </c>
      <c r="K3549" s="31">
        <f>'Raw data'!H3458</f>
        <v>0</v>
      </c>
      <c r="L3549" s="26">
        <f t="shared" si="114"/>
        <v>0</v>
      </c>
    </row>
    <row r="3550" spans="2:12">
      <c r="B3550" s="4" t="e">
        <f t="shared" si="113"/>
        <v>#N/A</v>
      </c>
      <c r="C3550" s="4">
        <f>'Raw data'!E3126</f>
        <v>0</v>
      </c>
      <c r="D3550" s="29" t="e">
        <f>VLOOKUP(C3550,'점포코드 '!A:B,2,0)</f>
        <v>#N/A</v>
      </c>
      <c r="E3550" s="30">
        <f>'Raw data'!P3126</f>
        <v>0</v>
      </c>
      <c r="F3550" s="29" t="e">
        <f>VLOOKUP(E3550,'점포코드 '!A:B,2,0)</f>
        <v>#N/A</v>
      </c>
      <c r="G3550" s="46">
        <f>'Raw data'!F3459</f>
        <v>0</v>
      </c>
      <c r="H3550" s="4">
        <f>'Raw data'!G3459</f>
        <v>0</v>
      </c>
      <c r="I3550" s="29" t="e">
        <f>VLOOKUP(G3550,제품명!$C$1:$E$114,2,0)</f>
        <v>#N/A</v>
      </c>
      <c r="J3550" s="29">
        <f>'Raw data'!K3459</f>
        <v>0</v>
      </c>
      <c r="K3550" s="31">
        <f>'Raw data'!H3459</f>
        <v>0</v>
      </c>
      <c r="L3550" s="26">
        <f t="shared" si="114"/>
        <v>0</v>
      </c>
    </row>
    <row r="3551" spans="2:12">
      <c r="B3551" s="4" t="e">
        <f t="shared" si="113"/>
        <v>#N/A</v>
      </c>
      <c r="C3551" s="4">
        <f>'Raw data'!E3127</f>
        <v>0</v>
      </c>
      <c r="D3551" s="29" t="e">
        <f>VLOOKUP(C3551,'점포코드 '!A:B,2,0)</f>
        <v>#N/A</v>
      </c>
      <c r="E3551" s="30">
        <f>'Raw data'!P3127</f>
        <v>0</v>
      </c>
      <c r="F3551" s="29" t="e">
        <f>VLOOKUP(E3551,'점포코드 '!A:B,2,0)</f>
        <v>#N/A</v>
      </c>
      <c r="G3551" s="46">
        <f>'Raw data'!F3460</f>
        <v>0</v>
      </c>
      <c r="H3551" s="4">
        <f>'Raw data'!G3460</f>
        <v>0</v>
      </c>
      <c r="I3551" s="29" t="e">
        <f>VLOOKUP(G3551,제품명!$C$1:$E$114,2,0)</f>
        <v>#N/A</v>
      </c>
      <c r="J3551" s="29">
        <f>'Raw data'!K3460</f>
        <v>0</v>
      </c>
      <c r="K3551" s="31">
        <f>'Raw data'!H3460</f>
        <v>0</v>
      </c>
      <c r="L3551" s="26">
        <f t="shared" si="114"/>
        <v>0</v>
      </c>
    </row>
    <row r="3552" spans="2:12">
      <c r="B3552" s="4" t="e">
        <f t="shared" si="113"/>
        <v>#N/A</v>
      </c>
      <c r="C3552" s="4">
        <f>'Raw data'!E3128</f>
        <v>0</v>
      </c>
      <c r="D3552" s="29" t="e">
        <f>VLOOKUP(C3552,'점포코드 '!A:B,2,0)</f>
        <v>#N/A</v>
      </c>
      <c r="E3552" s="30">
        <f>'Raw data'!P3128</f>
        <v>0</v>
      </c>
      <c r="F3552" s="29" t="e">
        <f>VLOOKUP(E3552,'점포코드 '!A:B,2,0)</f>
        <v>#N/A</v>
      </c>
      <c r="G3552" s="46">
        <f>'Raw data'!F3461</f>
        <v>0</v>
      </c>
      <c r="H3552" s="4">
        <f>'Raw data'!G3461</f>
        <v>0</v>
      </c>
      <c r="I3552" s="29" t="e">
        <f>VLOOKUP(G3552,제품명!$C$1:$E$114,2,0)</f>
        <v>#N/A</v>
      </c>
      <c r="J3552" s="29">
        <f>'Raw data'!K3461</f>
        <v>0</v>
      </c>
      <c r="K3552" s="31">
        <f>'Raw data'!H3461</f>
        <v>0</v>
      </c>
      <c r="L3552" s="26">
        <f t="shared" si="114"/>
        <v>0</v>
      </c>
    </row>
    <row r="3553" spans="2:12">
      <c r="B3553" s="4" t="e">
        <f t="shared" si="113"/>
        <v>#N/A</v>
      </c>
      <c r="C3553" s="4">
        <f>'Raw data'!E3129</f>
        <v>0</v>
      </c>
      <c r="D3553" s="29" t="e">
        <f>VLOOKUP(C3553,'점포코드 '!A:B,2,0)</f>
        <v>#N/A</v>
      </c>
      <c r="E3553" s="30">
        <f>'Raw data'!P3129</f>
        <v>0</v>
      </c>
      <c r="F3553" s="29" t="e">
        <f>VLOOKUP(E3553,'점포코드 '!A:B,2,0)</f>
        <v>#N/A</v>
      </c>
      <c r="G3553" s="46">
        <f>'Raw data'!F3462</f>
        <v>0</v>
      </c>
      <c r="H3553" s="4">
        <f>'Raw data'!G3462</f>
        <v>0</v>
      </c>
      <c r="I3553" s="29" t="e">
        <f>VLOOKUP(G3553,제품명!$C$1:$E$114,2,0)</f>
        <v>#N/A</v>
      </c>
      <c r="J3553" s="29">
        <f>'Raw data'!K3462</f>
        <v>0</v>
      </c>
      <c r="K3553" s="31">
        <f>'Raw data'!H3462</f>
        <v>0</v>
      </c>
      <c r="L3553" s="26">
        <f t="shared" si="114"/>
        <v>0</v>
      </c>
    </row>
    <row r="3554" spans="2:12">
      <c r="B3554" s="4" t="e">
        <f t="shared" si="113"/>
        <v>#N/A</v>
      </c>
      <c r="C3554" s="4">
        <f>'Raw data'!E3130</f>
        <v>0</v>
      </c>
      <c r="D3554" s="29" t="e">
        <f>VLOOKUP(C3554,'점포코드 '!A:B,2,0)</f>
        <v>#N/A</v>
      </c>
      <c r="E3554" s="30">
        <f>'Raw data'!P3130</f>
        <v>0</v>
      </c>
      <c r="F3554" s="29" t="e">
        <f>VLOOKUP(E3554,'점포코드 '!A:B,2,0)</f>
        <v>#N/A</v>
      </c>
      <c r="G3554" s="46">
        <f>'Raw data'!F3463</f>
        <v>0</v>
      </c>
      <c r="H3554" s="4">
        <f>'Raw data'!G3463</f>
        <v>0</v>
      </c>
      <c r="I3554" s="29" t="e">
        <f>VLOOKUP(G3554,제품명!$C$1:$E$114,2,0)</f>
        <v>#N/A</v>
      </c>
      <c r="J3554" s="29">
        <f>'Raw data'!K3463</f>
        <v>0</v>
      </c>
      <c r="K3554" s="31">
        <f>'Raw data'!H3463</f>
        <v>0</v>
      </c>
      <c r="L3554" s="26">
        <f t="shared" si="114"/>
        <v>0</v>
      </c>
    </row>
    <row r="3555" spans="2:12">
      <c r="B3555" s="4" t="e">
        <f t="shared" si="113"/>
        <v>#N/A</v>
      </c>
      <c r="C3555" s="4">
        <f>'Raw data'!E3131</f>
        <v>0</v>
      </c>
      <c r="D3555" s="29" t="e">
        <f>VLOOKUP(C3555,'점포코드 '!A:B,2,0)</f>
        <v>#N/A</v>
      </c>
      <c r="E3555" s="30">
        <f>'Raw data'!P3131</f>
        <v>0</v>
      </c>
      <c r="F3555" s="29" t="e">
        <f>VLOOKUP(E3555,'점포코드 '!A:B,2,0)</f>
        <v>#N/A</v>
      </c>
      <c r="G3555" s="46">
        <f>'Raw data'!F3464</f>
        <v>0</v>
      </c>
      <c r="H3555" s="4">
        <f>'Raw data'!G3464</f>
        <v>0</v>
      </c>
      <c r="I3555" s="29" t="e">
        <f>VLOOKUP(G3555,제품명!$C$1:$E$114,2,0)</f>
        <v>#N/A</v>
      </c>
      <c r="J3555" s="29">
        <f>'Raw data'!K3464</f>
        <v>0</v>
      </c>
      <c r="K3555" s="31">
        <f>'Raw data'!H3464</f>
        <v>0</v>
      </c>
      <c r="L3555" s="26">
        <f t="shared" si="114"/>
        <v>0</v>
      </c>
    </row>
    <row r="3556" spans="2:12">
      <c r="B3556" s="4" t="e">
        <f t="shared" si="113"/>
        <v>#N/A</v>
      </c>
      <c r="C3556" s="4">
        <f>'Raw data'!E3132</f>
        <v>0</v>
      </c>
      <c r="D3556" s="29" t="e">
        <f>VLOOKUP(C3556,'점포코드 '!A:B,2,0)</f>
        <v>#N/A</v>
      </c>
      <c r="E3556" s="30">
        <f>'Raw data'!P3132</f>
        <v>0</v>
      </c>
      <c r="F3556" s="29" t="e">
        <f>VLOOKUP(E3556,'점포코드 '!A:B,2,0)</f>
        <v>#N/A</v>
      </c>
      <c r="G3556" s="46">
        <f>'Raw data'!F3465</f>
        <v>0</v>
      </c>
      <c r="H3556" s="4">
        <f>'Raw data'!G3465</f>
        <v>0</v>
      </c>
      <c r="I3556" s="29" t="e">
        <f>VLOOKUP(G3556,제품명!$C$1:$E$114,2,0)</f>
        <v>#N/A</v>
      </c>
      <c r="J3556" s="29">
        <f>'Raw data'!K3465</f>
        <v>0</v>
      </c>
      <c r="K3556" s="31">
        <f>'Raw data'!H3465</f>
        <v>0</v>
      </c>
      <c r="L3556" s="26">
        <f t="shared" si="114"/>
        <v>0</v>
      </c>
    </row>
    <row r="3557" spans="2:12">
      <c r="B3557" s="4" t="e">
        <f t="shared" si="113"/>
        <v>#N/A</v>
      </c>
      <c r="C3557" s="4">
        <f>'Raw data'!E3133</f>
        <v>0</v>
      </c>
      <c r="D3557" s="29" t="e">
        <f>VLOOKUP(C3557,'점포코드 '!A:B,2,0)</f>
        <v>#N/A</v>
      </c>
      <c r="E3557" s="30">
        <f>'Raw data'!P3133</f>
        <v>0</v>
      </c>
      <c r="F3557" s="29" t="e">
        <f>VLOOKUP(E3557,'점포코드 '!A:B,2,0)</f>
        <v>#N/A</v>
      </c>
      <c r="G3557" s="46">
        <f>'Raw data'!F3466</f>
        <v>0</v>
      </c>
      <c r="H3557" s="4">
        <f>'Raw data'!G3466</f>
        <v>0</v>
      </c>
      <c r="I3557" s="29" t="e">
        <f>VLOOKUP(G3557,제품명!$C$1:$E$114,2,0)</f>
        <v>#N/A</v>
      </c>
      <c r="J3557" s="29">
        <f>'Raw data'!K3466</f>
        <v>0</v>
      </c>
      <c r="K3557" s="31">
        <f>'Raw data'!H3466</f>
        <v>0</v>
      </c>
      <c r="L3557" s="26">
        <f t="shared" si="114"/>
        <v>0</v>
      </c>
    </row>
    <row r="3558" spans="2:12">
      <c r="B3558" s="4" t="e">
        <f t="shared" si="113"/>
        <v>#N/A</v>
      </c>
      <c r="C3558" s="4">
        <f>'Raw data'!E3134</f>
        <v>0</v>
      </c>
      <c r="D3558" s="29" t="e">
        <f>VLOOKUP(C3558,'점포코드 '!A:B,2,0)</f>
        <v>#N/A</v>
      </c>
      <c r="E3558" s="30">
        <f>'Raw data'!P3134</f>
        <v>0</v>
      </c>
      <c r="F3558" s="29" t="e">
        <f>VLOOKUP(E3558,'점포코드 '!A:B,2,0)</f>
        <v>#N/A</v>
      </c>
      <c r="G3558" s="46">
        <f>'Raw data'!F3467</f>
        <v>0</v>
      </c>
      <c r="H3558" s="4">
        <f>'Raw data'!G3467</f>
        <v>0</v>
      </c>
      <c r="I3558" s="29" t="e">
        <f>VLOOKUP(G3558,제품명!$C$1:$E$114,2,0)</f>
        <v>#N/A</v>
      </c>
      <c r="J3558" s="29">
        <f>'Raw data'!K3467</f>
        <v>0</v>
      </c>
      <c r="K3558" s="31">
        <f>'Raw data'!H3467</f>
        <v>0</v>
      </c>
      <c r="L3558" s="26">
        <f t="shared" si="114"/>
        <v>0</v>
      </c>
    </row>
    <row r="3559" spans="2:12">
      <c r="B3559" s="4" t="e">
        <f t="shared" si="113"/>
        <v>#N/A</v>
      </c>
      <c r="C3559" s="4">
        <f>'Raw data'!E3135</f>
        <v>0</v>
      </c>
      <c r="D3559" s="29" t="e">
        <f>VLOOKUP(C3559,'점포코드 '!A:B,2,0)</f>
        <v>#N/A</v>
      </c>
      <c r="E3559" s="30">
        <f>'Raw data'!P3135</f>
        <v>0</v>
      </c>
      <c r="F3559" s="29" t="e">
        <f>VLOOKUP(E3559,'점포코드 '!A:B,2,0)</f>
        <v>#N/A</v>
      </c>
      <c r="G3559" s="46">
        <f>'Raw data'!F3468</f>
        <v>0</v>
      </c>
      <c r="H3559" s="4">
        <f>'Raw data'!G3468</f>
        <v>0</v>
      </c>
      <c r="I3559" s="29" t="e">
        <f>VLOOKUP(G3559,제품명!$C$1:$E$114,2,0)</f>
        <v>#N/A</v>
      </c>
      <c r="J3559" s="29">
        <f>'Raw data'!K3468</f>
        <v>0</v>
      </c>
      <c r="K3559" s="31">
        <f>'Raw data'!H3468</f>
        <v>0</v>
      </c>
      <c r="L3559" s="26">
        <f t="shared" si="114"/>
        <v>0</v>
      </c>
    </row>
    <row r="3560" spans="2:12">
      <c r="B3560" s="4" t="e">
        <f t="shared" si="113"/>
        <v>#N/A</v>
      </c>
      <c r="C3560" s="4">
        <f>'Raw data'!E3136</f>
        <v>0</v>
      </c>
      <c r="D3560" s="29" t="e">
        <f>VLOOKUP(C3560,'점포코드 '!A:B,2,0)</f>
        <v>#N/A</v>
      </c>
      <c r="E3560" s="30">
        <f>'Raw data'!P3136</f>
        <v>0</v>
      </c>
      <c r="F3560" s="29" t="e">
        <f>VLOOKUP(E3560,'점포코드 '!A:B,2,0)</f>
        <v>#N/A</v>
      </c>
      <c r="G3560" s="46">
        <f>'Raw data'!F3469</f>
        <v>0</v>
      </c>
      <c r="H3560" s="4">
        <f>'Raw data'!G3469</f>
        <v>0</v>
      </c>
      <c r="I3560" s="29" t="e">
        <f>VLOOKUP(G3560,제품명!$C$1:$E$114,2,0)</f>
        <v>#N/A</v>
      </c>
      <c r="J3560" s="29">
        <f>'Raw data'!K3469</f>
        <v>0</v>
      </c>
      <c r="K3560" s="31">
        <f>'Raw data'!H3469</f>
        <v>0</v>
      </c>
      <c r="L3560" s="26">
        <f t="shared" si="114"/>
        <v>0</v>
      </c>
    </row>
    <row r="3561" spans="2:12">
      <c r="B3561" s="4" t="e">
        <f t="shared" si="113"/>
        <v>#N/A</v>
      </c>
      <c r="C3561" s="4">
        <f>'Raw data'!E3137</f>
        <v>0</v>
      </c>
      <c r="D3561" s="29" t="e">
        <f>VLOOKUP(C3561,'점포코드 '!A:B,2,0)</f>
        <v>#N/A</v>
      </c>
      <c r="E3561" s="30">
        <f>'Raw data'!P3137</f>
        <v>0</v>
      </c>
      <c r="F3561" s="29" t="e">
        <f>VLOOKUP(E3561,'점포코드 '!A:B,2,0)</f>
        <v>#N/A</v>
      </c>
      <c r="G3561" s="46">
        <f>'Raw data'!F3470</f>
        <v>0</v>
      </c>
      <c r="H3561" s="4">
        <f>'Raw data'!G3470</f>
        <v>0</v>
      </c>
      <c r="I3561" s="29" t="e">
        <f>VLOOKUP(G3561,제품명!$C$1:$E$114,2,0)</f>
        <v>#N/A</v>
      </c>
      <c r="J3561" s="29">
        <f>'Raw data'!K3470</f>
        <v>0</v>
      </c>
      <c r="K3561" s="31">
        <f>'Raw data'!H3470</f>
        <v>0</v>
      </c>
      <c r="L3561" s="26">
        <f t="shared" si="114"/>
        <v>0</v>
      </c>
    </row>
    <row r="3562" spans="2:12">
      <c r="B3562" s="4" t="e">
        <f t="shared" si="113"/>
        <v>#N/A</v>
      </c>
      <c r="C3562" s="4">
        <f>'Raw data'!E3138</f>
        <v>0</v>
      </c>
      <c r="D3562" s="29" t="e">
        <f>VLOOKUP(C3562,'점포코드 '!A:B,2,0)</f>
        <v>#N/A</v>
      </c>
      <c r="E3562" s="30">
        <f>'Raw data'!P3138</f>
        <v>0</v>
      </c>
      <c r="F3562" s="29" t="e">
        <f>VLOOKUP(E3562,'점포코드 '!A:B,2,0)</f>
        <v>#N/A</v>
      </c>
      <c r="G3562" s="46">
        <f>'Raw data'!F3471</f>
        <v>0</v>
      </c>
      <c r="H3562" s="4">
        <f>'Raw data'!G3471</f>
        <v>0</v>
      </c>
      <c r="I3562" s="29" t="e">
        <f>VLOOKUP(G3562,제품명!$C$1:$E$114,2,0)</f>
        <v>#N/A</v>
      </c>
      <c r="J3562" s="29">
        <f>'Raw data'!K3471</f>
        <v>0</v>
      </c>
      <c r="K3562" s="31">
        <f>'Raw data'!H3471</f>
        <v>0</v>
      </c>
      <c r="L3562" s="26">
        <f t="shared" si="114"/>
        <v>0</v>
      </c>
    </row>
    <row r="3563" spans="2:12">
      <c r="B3563" s="4" t="e">
        <f t="shared" si="113"/>
        <v>#N/A</v>
      </c>
      <c r="C3563" s="4">
        <f>'Raw data'!E3139</f>
        <v>0</v>
      </c>
      <c r="D3563" s="29" t="e">
        <f>VLOOKUP(C3563,'점포코드 '!A:B,2,0)</f>
        <v>#N/A</v>
      </c>
      <c r="E3563" s="30">
        <f>'Raw data'!P3139</f>
        <v>0</v>
      </c>
      <c r="F3563" s="29" t="e">
        <f>VLOOKUP(E3563,'점포코드 '!A:B,2,0)</f>
        <v>#N/A</v>
      </c>
      <c r="G3563" s="46">
        <f>'Raw data'!F3472</f>
        <v>0</v>
      </c>
      <c r="H3563" s="4">
        <f>'Raw data'!G3472</f>
        <v>0</v>
      </c>
      <c r="I3563" s="29" t="e">
        <f>VLOOKUP(G3563,제품명!$C$1:$E$114,2,0)</f>
        <v>#N/A</v>
      </c>
      <c r="J3563" s="29">
        <f>'Raw data'!K3472</f>
        <v>0</v>
      </c>
      <c r="K3563" s="31">
        <f>'Raw data'!H3472</f>
        <v>0</v>
      </c>
      <c r="L3563" s="26">
        <f t="shared" si="114"/>
        <v>0</v>
      </c>
    </row>
    <row r="3564" spans="2:12">
      <c r="B3564" s="4" t="e">
        <f t="shared" si="113"/>
        <v>#N/A</v>
      </c>
      <c r="C3564" s="4">
        <f>'Raw data'!E3140</f>
        <v>0</v>
      </c>
      <c r="D3564" s="29" t="e">
        <f>VLOOKUP(C3564,'점포코드 '!A:B,2,0)</f>
        <v>#N/A</v>
      </c>
      <c r="E3564" s="30">
        <f>'Raw data'!P3140</f>
        <v>0</v>
      </c>
      <c r="F3564" s="29" t="e">
        <f>VLOOKUP(E3564,'점포코드 '!A:B,2,0)</f>
        <v>#N/A</v>
      </c>
      <c r="G3564" s="46">
        <f>'Raw data'!F3473</f>
        <v>0</v>
      </c>
      <c r="H3564" s="4">
        <f>'Raw data'!G3473</f>
        <v>0</v>
      </c>
      <c r="I3564" s="29" t="e">
        <f>VLOOKUP(G3564,제품명!$C$1:$E$114,2,0)</f>
        <v>#N/A</v>
      </c>
      <c r="J3564" s="29">
        <f>'Raw data'!K3473</f>
        <v>0</v>
      </c>
      <c r="K3564" s="31">
        <f>'Raw data'!H3473</f>
        <v>0</v>
      </c>
      <c r="L3564" s="26">
        <f t="shared" si="114"/>
        <v>0</v>
      </c>
    </row>
    <row r="3565" spans="2:12">
      <c r="B3565" s="4" t="e">
        <f t="shared" si="113"/>
        <v>#N/A</v>
      </c>
      <c r="C3565" s="4">
        <f>'Raw data'!E3141</f>
        <v>0</v>
      </c>
      <c r="D3565" s="29" t="e">
        <f>VLOOKUP(C3565,'점포코드 '!A:B,2,0)</f>
        <v>#N/A</v>
      </c>
      <c r="E3565" s="30">
        <f>'Raw data'!P3141</f>
        <v>0</v>
      </c>
      <c r="F3565" s="29" t="e">
        <f>VLOOKUP(E3565,'점포코드 '!A:B,2,0)</f>
        <v>#N/A</v>
      </c>
      <c r="G3565" s="46">
        <f>'Raw data'!F3474</f>
        <v>0</v>
      </c>
      <c r="H3565" s="4">
        <f>'Raw data'!G3474</f>
        <v>0</v>
      </c>
      <c r="I3565" s="29" t="e">
        <f>VLOOKUP(G3565,제품명!$C$1:$E$114,2,0)</f>
        <v>#N/A</v>
      </c>
      <c r="J3565" s="29">
        <f>'Raw data'!K3474</f>
        <v>0</v>
      </c>
      <c r="K3565" s="31">
        <f>'Raw data'!H3474</f>
        <v>0</v>
      </c>
      <c r="L3565" s="26">
        <f t="shared" si="114"/>
        <v>0</v>
      </c>
    </row>
    <row r="3566" spans="2:12">
      <c r="B3566" s="4" t="e">
        <f t="shared" si="113"/>
        <v>#N/A</v>
      </c>
      <c r="C3566" s="4">
        <f>'Raw data'!E3142</f>
        <v>0</v>
      </c>
      <c r="D3566" s="29" t="e">
        <f>VLOOKUP(C3566,'점포코드 '!A:B,2,0)</f>
        <v>#N/A</v>
      </c>
      <c r="E3566" s="30">
        <f>'Raw data'!P3142</f>
        <v>0</v>
      </c>
      <c r="F3566" s="29" t="e">
        <f>VLOOKUP(E3566,'점포코드 '!A:B,2,0)</f>
        <v>#N/A</v>
      </c>
      <c r="G3566" s="46">
        <f>'Raw data'!F3475</f>
        <v>0</v>
      </c>
      <c r="H3566" s="4">
        <f>'Raw data'!G3475</f>
        <v>0</v>
      </c>
      <c r="I3566" s="29" t="e">
        <f>VLOOKUP(G3566,제품명!$C$1:$E$114,2,0)</f>
        <v>#N/A</v>
      </c>
      <c r="J3566" s="29">
        <f>'Raw data'!K3475</f>
        <v>0</v>
      </c>
      <c r="K3566" s="31">
        <f>'Raw data'!H3475</f>
        <v>0</v>
      </c>
      <c r="L3566" s="26">
        <f t="shared" si="114"/>
        <v>0</v>
      </c>
    </row>
    <row r="3567" spans="2:12">
      <c r="B3567" s="4" t="e">
        <f t="shared" si="113"/>
        <v>#N/A</v>
      </c>
      <c r="C3567" s="4">
        <f>'Raw data'!E3143</f>
        <v>0</v>
      </c>
      <c r="D3567" s="29" t="e">
        <f>VLOOKUP(C3567,'점포코드 '!A:B,2,0)</f>
        <v>#N/A</v>
      </c>
      <c r="E3567" s="30">
        <f>'Raw data'!P3143</f>
        <v>0</v>
      </c>
      <c r="F3567" s="29" t="e">
        <f>VLOOKUP(E3567,'점포코드 '!A:B,2,0)</f>
        <v>#N/A</v>
      </c>
      <c r="G3567" s="46">
        <f>'Raw data'!F3476</f>
        <v>0</v>
      </c>
      <c r="H3567" s="4">
        <f>'Raw data'!G3476</f>
        <v>0</v>
      </c>
      <c r="I3567" s="29" t="e">
        <f>VLOOKUP(G3567,제품명!$C$1:$E$114,2,0)</f>
        <v>#N/A</v>
      </c>
      <c r="J3567" s="29">
        <f>'Raw data'!K3476</f>
        <v>0</v>
      </c>
      <c r="K3567" s="31">
        <f>'Raw data'!H3476</f>
        <v>0</v>
      </c>
      <c r="L3567" s="26">
        <f t="shared" si="114"/>
        <v>0</v>
      </c>
    </row>
    <row r="3568" spans="2:12">
      <c r="B3568" s="4" t="e">
        <f t="shared" si="113"/>
        <v>#N/A</v>
      </c>
      <c r="C3568" s="4">
        <f>'Raw data'!E3144</f>
        <v>0</v>
      </c>
      <c r="D3568" s="29" t="e">
        <f>VLOOKUP(C3568,'점포코드 '!A:B,2,0)</f>
        <v>#N/A</v>
      </c>
      <c r="E3568" s="30">
        <f>'Raw data'!P3144</f>
        <v>0</v>
      </c>
      <c r="F3568" s="29" t="e">
        <f>VLOOKUP(E3568,'점포코드 '!A:B,2,0)</f>
        <v>#N/A</v>
      </c>
      <c r="G3568" s="46">
        <f>'Raw data'!F3477</f>
        <v>0</v>
      </c>
      <c r="H3568" s="4">
        <f>'Raw data'!G3477</f>
        <v>0</v>
      </c>
      <c r="I3568" s="29" t="e">
        <f>VLOOKUP(G3568,제품명!$C$1:$E$114,2,0)</f>
        <v>#N/A</v>
      </c>
      <c r="J3568" s="29">
        <f>'Raw data'!K3477</f>
        <v>0</v>
      </c>
      <c r="K3568" s="31">
        <f>'Raw data'!H3477</f>
        <v>0</v>
      </c>
      <c r="L3568" s="26">
        <f t="shared" si="114"/>
        <v>0</v>
      </c>
    </row>
    <row r="3569" spans="2:12">
      <c r="B3569" s="4" t="e">
        <f t="shared" si="113"/>
        <v>#N/A</v>
      </c>
      <c r="C3569" s="4">
        <f>'Raw data'!E3145</f>
        <v>0</v>
      </c>
      <c r="D3569" s="29" t="e">
        <f>VLOOKUP(C3569,'점포코드 '!A:B,2,0)</f>
        <v>#N/A</v>
      </c>
      <c r="E3569" s="30">
        <f>'Raw data'!P3145</f>
        <v>0</v>
      </c>
      <c r="F3569" s="29" t="e">
        <f>VLOOKUP(E3569,'점포코드 '!A:B,2,0)</f>
        <v>#N/A</v>
      </c>
      <c r="G3569" s="46">
        <f>'Raw data'!F3478</f>
        <v>0</v>
      </c>
      <c r="H3569" s="4">
        <f>'Raw data'!G3478</f>
        <v>0</v>
      </c>
      <c r="I3569" s="29" t="e">
        <f>VLOOKUP(G3569,제품명!$C$1:$E$114,2,0)</f>
        <v>#N/A</v>
      </c>
      <c r="J3569" s="29">
        <f>'Raw data'!K3478</f>
        <v>0</v>
      </c>
      <c r="K3569" s="31">
        <f>'Raw data'!H3478</f>
        <v>0</v>
      </c>
      <c r="L3569" s="26">
        <f t="shared" si="114"/>
        <v>0</v>
      </c>
    </row>
    <row r="3570" spans="2:12">
      <c r="B3570" s="4" t="e">
        <f t="shared" si="113"/>
        <v>#N/A</v>
      </c>
      <c r="C3570" s="4">
        <f>'Raw data'!E3146</f>
        <v>0</v>
      </c>
      <c r="D3570" s="29" t="e">
        <f>VLOOKUP(C3570,'점포코드 '!A:B,2,0)</f>
        <v>#N/A</v>
      </c>
      <c r="E3570" s="30">
        <f>'Raw data'!P3146</f>
        <v>0</v>
      </c>
      <c r="F3570" s="29" t="e">
        <f>VLOOKUP(E3570,'점포코드 '!A:B,2,0)</f>
        <v>#N/A</v>
      </c>
      <c r="G3570" s="46">
        <f>'Raw data'!F3479</f>
        <v>0</v>
      </c>
      <c r="H3570" s="4">
        <f>'Raw data'!G3479</f>
        <v>0</v>
      </c>
      <c r="I3570" s="29" t="e">
        <f>VLOOKUP(G3570,제품명!$C$1:$E$114,2,0)</f>
        <v>#N/A</v>
      </c>
      <c r="J3570" s="29">
        <f>'Raw data'!K3479</f>
        <v>0</v>
      </c>
      <c r="K3570" s="31">
        <f>'Raw data'!H3479</f>
        <v>0</v>
      </c>
      <c r="L3570" s="26">
        <f t="shared" si="114"/>
        <v>0</v>
      </c>
    </row>
    <row r="3571" spans="2:12">
      <c r="B3571" s="4" t="e">
        <f t="shared" si="113"/>
        <v>#N/A</v>
      </c>
      <c r="C3571" s="4">
        <f>'Raw data'!E3147</f>
        <v>0</v>
      </c>
      <c r="D3571" s="29" t="e">
        <f>VLOOKUP(C3571,'점포코드 '!A:B,2,0)</f>
        <v>#N/A</v>
      </c>
      <c r="E3571" s="30">
        <f>'Raw data'!P3147</f>
        <v>0</v>
      </c>
      <c r="F3571" s="29" t="e">
        <f>VLOOKUP(E3571,'점포코드 '!A:B,2,0)</f>
        <v>#N/A</v>
      </c>
      <c r="G3571" s="46">
        <f>'Raw data'!F3480</f>
        <v>0</v>
      </c>
      <c r="H3571" s="4">
        <f>'Raw data'!G3480</f>
        <v>0</v>
      </c>
      <c r="I3571" s="29" t="e">
        <f>VLOOKUP(G3571,제품명!$C$1:$E$114,2,0)</f>
        <v>#N/A</v>
      </c>
      <c r="J3571" s="29">
        <f>'Raw data'!K3480</f>
        <v>0</v>
      </c>
      <c r="K3571" s="31">
        <f>'Raw data'!H3480</f>
        <v>0</v>
      </c>
      <c r="L3571" s="26">
        <f t="shared" si="114"/>
        <v>0</v>
      </c>
    </row>
    <row r="3572" spans="2:12">
      <c r="B3572" s="4" t="e">
        <f t="shared" si="113"/>
        <v>#N/A</v>
      </c>
      <c r="C3572" s="4">
        <f>'Raw data'!E3148</f>
        <v>0</v>
      </c>
      <c r="D3572" s="29" t="e">
        <f>VLOOKUP(C3572,'점포코드 '!A:B,2,0)</f>
        <v>#N/A</v>
      </c>
      <c r="E3572" s="30">
        <f>'Raw data'!P3148</f>
        <v>0</v>
      </c>
      <c r="F3572" s="29" t="e">
        <f>VLOOKUP(E3572,'점포코드 '!A:B,2,0)</f>
        <v>#N/A</v>
      </c>
      <c r="G3572" s="46">
        <f>'Raw data'!F3481</f>
        <v>0</v>
      </c>
      <c r="H3572" s="4">
        <f>'Raw data'!G3481</f>
        <v>0</v>
      </c>
      <c r="I3572" s="29" t="e">
        <f>VLOOKUP(G3572,제품명!$C$1:$E$114,2,0)</f>
        <v>#N/A</v>
      </c>
      <c r="J3572" s="29">
        <f>'Raw data'!K3481</f>
        <v>0</v>
      </c>
      <c r="K3572" s="31">
        <f>'Raw data'!H3481</f>
        <v>0</v>
      </c>
      <c r="L3572" s="26">
        <f t="shared" si="114"/>
        <v>0</v>
      </c>
    </row>
    <row r="3573" spans="2:12">
      <c r="B3573" s="4" t="e">
        <f t="shared" si="113"/>
        <v>#N/A</v>
      </c>
      <c r="C3573" s="4">
        <f>'Raw data'!E3149</f>
        <v>0</v>
      </c>
      <c r="D3573" s="29" t="e">
        <f>VLOOKUP(C3573,'점포코드 '!A:B,2,0)</f>
        <v>#N/A</v>
      </c>
      <c r="E3573" s="30">
        <f>'Raw data'!P3149</f>
        <v>0</v>
      </c>
      <c r="F3573" s="29" t="e">
        <f>VLOOKUP(E3573,'점포코드 '!A:B,2,0)</f>
        <v>#N/A</v>
      </c>
      <c r="G3573" s="46">
        <f>'Raw data'!F3482</f>
        <v>0</v>
      </c>
      <c r="H3573" s="4">
        <f>'Raw data'!G3482</f>
        <v>0</v>
      </c>
      <c r="I3573" s="29" t="e">
        <f>VLOOKUP(G3573,제품명!$C$1:$E$114,2,0)</f>
        <v>#N/A</v>
      </c>
      <c r="J3573" s="29">
        <f>'Raw data'!K3482</f>
        <v>0</v>
      </c>
      <c r="K3573" s="31">
        <f>'Raw data'!H3482</f>
        <v>0</v>
      </c>
      <c r="L3573" s="26">
        <f t="shared" si="114"/>
        <v>0</v>
      </c>
    </row>
    <row r="3574" spans="2:12">
      <c r="B3574" s="4" t="e">
        <f t="shared" si="113"/>
        <v>#N/A</v>
      </c>
      <c r="C3574" s="4">
        <f>'Raw data'!E3150</f>
        <v>0</v>
      </c>
      <c r="D3574" s="29" t="e">
        <f>VLOOKUP(C3574,'점포코드 '!A:B,2,0)</f>
        <v>#N/A</v>
      </c>
      <c r="E3574" s="30">
        <f>'Raw data'!P3150</f>
        <v>0</v>
      </c>
      <c r="F3574" s="29" t="e">
        <f>VLOOKUP(E3574,'점포코드 '!A:B,2,0)</f>
        <v>#N/A</v>
      </c>
      <c r="G3574" s="46">
        <f>'Raw data'!F3483</f>
        <v>0</v>
      </c>
      <c r="H3574" s="4">
        <f>'Raw data'!G3483</f>
        <v>0</v>
      </c>
      <c r="I3574" s="29" t="e">
        <f>VLOOKUP(G3574,제품명!$C$1:$E$114,2,0)</f>
        <v>#N/A</v>
      </c>
      <c r="J3574" s="29">
        <f>'Raw data'!K3483</f>
        <v>0</v>
      </c>
      <c r="K3574" s="31">
        <f>'Raw data'!H3483</f>
        <v>0</v>
      </c>
      <c r="L3574" s="26">
        <f t="shared" si="114"/>
        <v>0</v>
      </c>
    </row>
    <row r="3575" spans="2:12">
      <c r="B3575" s="4" t="e">
        <f t="shared" si="113"/>
        <v>#N/A</v>
      </c>
      <c r="C3575" s="4">
        <f>'Raw data'!E3151</f>
        <v>0</v>
      </c>
      <c r="D3575" s="29" t="e">
        <f>VLOOKUP(C3575,'점포코드 '!A:B,2,0)</f>
        <v>#N/A</v>
      </c>
      <c r="E3575" s="30">
        <f>'Raw data'!P3151</f>
        <v>0</v>
      </c>
      <c r="F3575" s="29" t="e">
        <f>VLOOKUP(E3575,'점포코드 '!A:B,2,0)</f>
        <v>#N/A</v>
      </c>
      <c r="G3575" s="46">
        <f>'Raw data'!F3484</f>
        <v>0</v>
      </c>
      <c r="H3575" s="4">
        <f>'Raw data'!G3484</f>
        <v>0</v>
      </c>
      <c r="I3575" s="29" t="e">
        <f>VLOOKUP(G3575,제품명!$C$1:$E$114,2,0)</f>
        <v>#N/A</v>
      </c>
      <c r="J3575" s="29">
        <f>'Raw data'!K3484</f>
        <v>0</v>
      </c>
      <c r="K3575" s="31">
        <f>'Raw data'!H3484</f>
        <v>0</v>
      </c>
      <c r="L3575" s="26">
        <f t="shared" si="114"/>
        <v>0</v>
      </c>
    </row>
    <row r="3576" spans="2:12">
      <c r="B3576" s="4" t="e">
        <f t="shared" si="113"/>
        <v>#N/A</v>
      </c>
      <c r="C3576" s="4">
        <f>'Raw data'!E3152</f>
        <v>0</v>
      </c>
      <c r="D3576" s="29" t="e">
        <f>VLOOKUP(C3576,'점포코드 '!A:B,2,0)</f>
        <v>#N/A</v>
      </c>
      <c r="E3576" s="30">
        <f>'Raw data'!P3152</f>
        <v>0</v>
      </c>
      <c r="F3576" s="29" t="e">
        <f>VLOOKUP(E3576,'점포코드 '!A:B,2,0)</f>
        <v>#N/A</v>
      </c>
      <c r="G3576" s="46">
        <f>'Raw data'!F3485</f>
        <v>0</v>
      </c>
      <c r="H3576" s="4">
        <f>'Raw data'!G3485</f>
        <v>0</v>
      </c>
      <c r="I3576" s="29" t="e">
        <f>VLOOKUP(G3576,제품명!$C$1:$E$114,2,0)</f>
        <v>#N/A</v>
      </c>
      <c r="J3576" s="29">
        <f>'Raw data'!K3485</f>
        <v>0</v>
      </c>
      <c r="K3576" s="31">
        <f>'Raw data'!H3485</f>
        <v>0</v>
      </c>
      <c r="L3576" s="26">
        <f t="shared" si="114"/>
        <v>0</v>
      </c>
    </row>
    <row r="3577" spans="2:12">
      <c r="B3577" s="4" t="e">
        <f t="shared" si="113"/>
        <v>#N/A</v>
      </c>
      <c r="C3577" s="4">
        <f>'Raw data'!E3153</f>
        <v>0</v>
      </c>
      <c r="D3577" s="29" t="e">
        <f>VLOOKUP(C3577,'점포코드 '!A:B,2,0)</f>
        <v>#N/A</v>
      </c>
      <c r="E3577" s="30">
        <f>'Raw data'!P3153</f>
        <v>0</v>
      </c>
      <c r="F3577" s="29" t="e">
        <f>VLOOKUP(E3577,'점포코드 '!A:B,2,0)</f>
        <v>#N/A</v>
      </c>
      <c r="G3577" s="46">
        <f>'Raw data'!F3486</f>
        <v>0</v>
      </c>
      <c r="H3577" s="4">
        <f>'Raw data'!G3486</f>
        <v>0</v>
      </c>
      <c r="I3577" s="29" t="e">
        <f>VLOOKUP(G3577,제품명!$C$1:$E$114,2,0)</f>
        <v>#N/A</v>
      </c>
      <c r="J3577" s="29">
        <f>'Raw data'!K3486</f>
        <v>0</v>
      </c>
      <c r="K3577" s="31">
        <f>'Raw data'!H3486</f>
        <v>0</v>
      </c>
      <c r="L3577" s="26">
        <f t="shared" si="114"/>
        <v>0</v>
      </c>
    </row>
    <row r="3578" spans="2:12">
      <c r="B3578" s="4" t="e">
        <f t="shared" si="113"/>
        <v>#N/A</v>
      </c>
      <c r="C3578" s="4">
        <f>'Raw data'!E3154</f>
        <v>0</v>
      </c>
      <c r="D3578" s="29" t="e">
        <f>VLOOKUP(C3578,'점포코드 '!A:B,2,0)</f>
        <v>#N/A</v>
      </c>
      <c r="E3578" s="30">
        <f>'Raw data'!P3154</f>
        <v>0</v>
      </c>
      <c r="F3578" s="29" t="e">
        <f>VLOOKUP(E3578,'점포코드 '!A:B,2,0)</f>
        <v>#N/A</v>
      </c>
      <c r="G3578" s="46">
        <f>'Raw data'!F3487</f>
        <v>0</v>
      </c>
      <c r="H3578" s="4">
        <f>'Raw data'!G3487</f>
        <v>0</v>
      </c>
      <c r="I3578" s="29" t="e">
        <f>VLOOKUP(G3578,제품명!$C$1:$E$114,2,0)</f>
        <v>#N/A</v>
      </c>
      <c r="J3578" s="29">
        <f>'Raw data'!K3487</f>
        <v>0</v>
      </c>
      <c r="K3578" s="31">
        <f>'Raw data'!H3487</f>
        <v>0</v>
      </c>
      <c r="L3578" s="26">
        <f t="shared" si="114"/>
        <v>0</v>
      </c>
    </row>
    <row r="3579" spans="2:12">
      <c r="B3579" s="4" t="e">
        <f t="shared" si="113"/>
        <v>#N/A</v>
      </c>
      <c r="C3579" s="4">
        <f>'Raw data'!E3155</f>
        <v>0</v>
      </c>
      <c r="D3579" s="29" t="e">
        <f>VLOOKUP(C3579,'점포코드 '!A:B,2,0)</f>
        <v>#N/A</v>
      </c>
      <c r="E3579" s="30">
        <f>'Raw data'!P3155</f>
        <v>0</v>
      </c>
      <c r="F3579" s="29" t="e">
        <f>VLOOKUP(E3579,'점포코드 '!A:B,2,0)</f>
        <v>#N/A</v>
      </c>
      <c r="G3579" s="46">
        <f>'Raw data'!F3488</f>
        <v>0</v>
      </c>
      <c r="H3579" s="4">
        <f>'Raw data'!G3488</f>
        <v>0</v>
      </c>
      <c r="I3579" s="29" t="e">
        <f>VLOOKUP(G3579,제품명!$C$1:$E$114,2,0)</f>
        <v>#N/A</v>
      </c>
      <c r="J3579" s="29">
        <f>'Raw data'!K3488</f>
        <v>0</v>
      </c>
      <c r="K3579" s="31">
        <f>'Raw data'!H3488</f>
        <v>0</v>
      </c>
      <c r="L3579" s="26">
        <f t="shared" si="114"/>
        <v>0</v>
      </c>
    </row>
    <row r="3580" spans="2:12">
      <c r="B3580" s="4" t="e">
        <f t="shared" si="113"/>
        <v>#N/A</v>
      </c>
      <c r="C3580" s="4">
        <f>'Raw data'!E3156</f>
        <v>0</v>
      </c>
      <c r="D3580" s="29" t="e">
        <f>VLOOKUP(C3580,'점포코드 '!A:B,2,0)</f>
        <v>#N/A</v>
      </c>
      <c r="E3580" s="30">
        <f>'Raw data'!P3156</f>
        <v>0</v>
      </c>
      <c r="F3580" s="29" t="e">
        <f>VLOOKUP(E3580,'점포코드 '!A:B,2,0)</f>
        <v>#N/A</v>
      </c>
      <c r="G3580" s="46">
        <f>'Raw data'!F3489</f>
        <v>0</v>
      </c>
      <c r="H3580" s="4">
        <f>'Raw data'!G3489</f>
        <v>0</v>
      </c>
      <c r="I3580" s="29" t="e">
        <f>VLOOKUP(G3580,제품명!$C$1:$E$114,2,0)</f>
        <v>#N/A</v>
      </c>
      <c r="J3580" s="29">
        <f>'Raw data'!K3489</f>
        <v>0</v>
      </c>
      <c r="K3580" s="31">
        <f>'Raw data'!H3489</f>
        <v>0</v>
      </c>
      <c r="L3580" s="26">
        <f t="shared" si="114"/>
        <v>0</v>
      </c>
    </row>
    <row r="3581" spans="2:12">
      <c r="B3581" s="4" t="e">
        <f t="shared" si="113"/>
        <v>#N/A</v>
      </c>
      <c r="C3581" s="4">
        <f>'Raw data'!E3157</f>
        <v>0</v>
      </c>
      <c r="D3581" s="29" t="e">
        <f>VLOOKUP(C3581,'점포코드 '!A:B,2,0)</f>
        <v>#N/A</v>
      </c>
      <c r="E3581" s="30">
        <f>'Raw data'!P3157</f>
        <v>0</v>
      </c>
      <c r="F3581" s="29" t="e">
        <f>VLOOKUP(E3581,'점포코드 '!A:B,2,0)</f>
        <v>#N/A</v>
      </c>
      <c r="G3581" s="46">
        <f>'Raw data'!F3490</f>
        <v>0</v>
      </c>
      <c r="H3581" s="4">
        <f>'Raw data'!G3490</f>
        <v>0</v>
      </c>
      <c r="I3581" s="29" t="e">
        <f>VLOOKUP(G3581,제품명!$C$1:$E$114,2,0)</f>
        <v>#N/A</v>
      </c>
      <c r="J3581" s="29">
        <f>'Raw data'!K3490</f>
        <v>0</v>
      </c>
      <c r="K3581" s="31">
        <f>'Raw data'!H3490</f>
        <v>0</v>
      </c>
      <c r="L3581" s="26">
        <f t="shared" si="114"/>
        <v>0</v>
      </c>
    </row>
    <row r="3582" spans="2:12">
      <c r="B3582" s="4" t="e">
        <f t="shared" si="113"/>
        <v>#N/A</v>
      </c>
      <c r="C3582" s="4">
        <f>'Raw data'!E3158</f>
        <v>0</v>
      </c>
      <c r="D3582" s="29" t="e">
        <f>VLOOKUP(C3582,'점포코드 '!A:B,2,0)</f>
        <v>#N/A</v>
      </c>
      <c r="E3582" s="30">
        <f>'Raw data'!P3158</f>
        <v>0</v>
      </c>
      <c r="F3582" s="29" t="e">
        <f>VLOOKUP(E3582,'점포코드 '!A:B,2,0)</f>
        <v>#N/A</v>
      </c>
      <c r="G3582" s="46">
        <f>'Raw data'!F3491</f>
        <v>0</v>
      </c>
      <c r="H3582" s="4">
        <f>'Raw data'!G3491</f>
        <v>0</v>
      </c>
      <c r="I3582" s="29" t="e">
        <f>VLOOKUP(G3582,제품명!$C$1:$E$114,2,0)</f>
        <v>#N/A</v>
      </c>
      <c r="J3582" s="29">
        <f>'Raw data'!K3491</f>
        <v>0</v>
      </c>
      <c r="K3582" s="31">
        <f>'Raw data'!H3491</f>
        <v>0</v>
      </c>
      <c r="L3582" s="26">
        <f t="shared" si="114"/>
        <v>0</v>
      </c>
    </row>
    <row r="3583" spans="2:12">
      <c r="B3583" s="4" t="e">
        <f t="shared" si="113"/>
        <v>#N/A</v>
      </c>
      <c r="C3583" s="4">
        <f>'Raw data'!E3159</f>
        <v>0</v>
      </c>
      <c r="D3583" s="29" t="e">
        <f>VLOOKUP(C3583,'점포코드 '!A:B,2,0)</f>
        <v>#N/A</v>
      </c>
      <c r="E3583" s="30">
        <f>'Raw data'!P3159</f>
        <v>0</v>
      </c>
      <c r="F3583" s="29" t="e">
        <f>VLOOKUP(E3583,'점포코드 '!A:B,2,0)</f>
        <v>#N/A</v>
      </c>
      <c r="G3583" s="46">
        <f>'Raw data'!F3492</f>
        <v>0</v>
      </c>
      <c r="H3583" s="4">
        <f>'Raw data'!G3492</f>
        <v>0</v>
      </c>
      <c r="I3583" s="29" t="e">
        <f>VLOOKUP(G3583,제품명!$C$1:$E$114,2,0)</f>
        <v>#N/A</v>
      </c>
      <c r="J3583" s="29">
        <f>'Raw data'!K3492</f>
        <v>0</v>
      </c>
      <c r="K3583" s="31">
        <f>'Raw data'!H3492</f>
        <v>0</v>
      </c>
      <c r="L3583" s="26">
        <f t="shared" si="114"/>
        <v>0</v>
      </c>
    </row>
    <row r="3584" spans="2:12">
      <c r="B3584" s="4" t="e">
        <f t="shared" si="113"/>
        <v>#N/A</v>
      </c>
      <c r="C3584" s="4">
        <f>'Raw data'!E3160</f>
        <v>0</v>
      </c>
      <c r="D3584" s="29" t="e">
        <f>VLOOKUP(C3584,'점포코드 '!A:B,2,0)</f>
        <v>#N/A</v>
      </c>
      <c r="E3584" s="30">
        <f>'Raw data'!P3160</f>
        <v>0</v>
      </c>
      <c r="F3584" s="29" t="e">
        <f>VLOOKUP(E3584,'점포코드 '!A:B,2,0)</f>
        <v>#N/A</v>
      </c>
      <c r="G3584" s="46">
        <f>'Raw data'!F3493</f>
        <v>0</v>
      </c>
      <c r="H3584" s="4">
        <f>'Raw data'!G3493</f>
        <v>0</v>
      </c>
      <c r="I3584" s="29" t="e">
        <f>VLOOKUP(G3584,제품명!$C$1:$E$114,2,0)</f>
        <v>#N/A</v>
      </c>
      <c r="J3584" s="29">
        <f>'Raw data'!K3493</f>
        <v>0</v>
      </c>
      <c r="K3584" s="31">
        <f>'Raw data'!H3493</f>
        <v>0</v>
      </c>
      <c r="L3584" s="26">
        <f t="shared" si="114"/>
        <v>0</v>
      </c>
    </row>
    <row r="3585" spans="2:12">
      <c r="B3585" s="4" t="e">
        <f t="shared" si="113"/>
        <v>#N/A</v>
      </c>
      <c r="C3585" s="4">
        <f>'Raw data'!E3161</f>
        <v>0</v>
      </c>
      <c r="D3585" s="29" t="e">
        <f>VLOOKUP(C3585,'점포코드 '!A:B,2,0)</f>
        <v>#N/A</v>
      </c>
      <c r="E3585" s="30">
        <f>'Raw data'!P3161</f>
        <v>0</v>
      </c>
      <c r="F3585" s="29" t="e">
        <f>VLOOKUP(E3585,'점포코드 '!A:B,2,0)</f>
        <v>#N/A</v>
      </c>
      <c r="G3585" s="46">
        <f>'Raw data'!F3494</f>
        <v>0</v>
      </c>
      <c r="H3585" s="4">
        <f>'Raw data'!G3494</f>
        <v>0</v>
      </c>
      <c r="I3585" s="29" t="e">
        <f>VLOOKUP(G3585,제품명!$C$1:$E$114,2,0)</f>
        <v>#N/A</v>
      </c>
      <c r="J3585" s="29">
        <f>'Raw data'!K3494</f>
        <v>0</v>
      </c>
      <c r="K3585" s="31">
        <f>'Raw data'!H3494</f>
        <v>0</v>
      </c>
      <c r="L3585" s="26">
        <f t="shared" si="114"/>
        <v>0</v>
      </c>
    </row>
    <row r="3586" spans="2:12">
      <c r="B3586" s="4" t="e">
        <f t="shared" ref="B3586:B3649" si="115">F3586&amp;I3586</f>
        <v>#N/A</v>
      </c>
      <c r="C3586" s="4">
        <f>'Raw data'!E3162</f>
        <v>0</v>
      </c>
      <c r="D3586" s="29" t="e">
        <f>VLOOKUP(C3586,'점포코드 '!A:B,2,0)</f>
        <v>#N/A</v>
      </c>
      <c r="E3586" s="30">
        <f>'Raw data'!P3162</f>
        <v>0</v>
      </c>
      <c r="F3586" s="29" t="e">
        <f>VLOOKUP(E3586,'점포코드 '!A:B,2,0)</f>
        <v>#N/A</v>
      </c>
      <c r="G3586" s="46">
        <f>'Raw data'!F3495</f>
        <v>0</v>
      </c>
      <c r="H3586" s="4">
        <f>'Raw data'!G3495</f>
        <v>0</v>
      </c>
      <c r="I3586" s="29" t="e">
        <f>VLOOKUP(G3586,제품명!$C$1:$E$114,2,0)</f>
        <v>#N/A</v>
      </c>
      <c r="J3586" s="29">
        <f>'Raw data'!K3495</f>
        <v>0</v>
      </c>
      <c r="K3586" s="31">
        <f>'Raw data'!H3495</f>
        <v>0</v>
      </c>
      <c r="L3586" s="26">
        <f t="shared" si="114"/>
        <v>0</v>
      </c>
    </row>
    <row r="3587" spans="2:12">
      <c r="B3587" s="4" t="e">
        <f t="shared" si="115"/>
        <v>#N/A</v>
      </c>
      <c r="C3587" s="4">
        <f>'Raw data'!E3163</f>
        <v>0</v>
      </c>
      <c r="D3587" s="29" t="e">
        <f>VLOOKUP(C3587,'점포코드 '!A:B,2,0)</f>
        <v>#N/A</v>
      </c>
      <c r="E3587" s="30">
        <f>'Raw data'!P3163</f>
        <v>0</v>
      </c>
      <c r="F3587" s="29" t="e">
        <f>VLOOKUP(E3587,'점포코드 '!A:B,2,0)</f>
        <v>#N/A</v>
      </c>
      <c r="G3587" s="46">
        <f>'Raw data'!F3496</f>
        <v>0</v>
      </c>
      <c r="H3587" s="4">
        <f>'Raw data'!G3496</f>
        <v>0</v>
      </c>
      <c r="I3587" s="29" t="e">
        <f>VLOOKUP(G3587,제품명!$C$1:$E$114,2,0)</f>
        <v>#N/A</v>
      </c>
      <c r="J3587" s="29">
        <f>'Raw data'!K3496</f>
        <v>0</v>
      </c>
      <c r="K3587" s="31">
        <f>'Raw data'!H3496</f>
        <v>0</v>
      </c>
      <c r="L3587" s="26">
        <f t="shared" ref="L3587:L3650" si="116">J3587*K3587</f>
        <v>0</v>
      </c>
    </row>
    <row r="3588" spans="2:12">
      <c r="B3588" s="4" t="e">
        <f t="shared" si="115"/>
        <v>#N/A</v>
      </c>
      <c r="C3588" s="4">
        <f>'Raw data'!E3164</f>
        <v>0</v>
      </c>
      <c r="D3588" s="29" t="e">
        <f>VLOOKUP(C3588,'점포코드 '!A:B,2,0)</f>
        <v>#N/A</v>
      </c>
      <c r="E3588" s="30">
        <f>'Raw data'!P3164</f>
        <v>0</v>
      </c>
      <c r="F3588" s="29" t="e">
        <f>VLOOKUP(E3588,'점포코드 '!A:B,2,0)</f>
        <v>#N/A</v>
      </c>
      <c r="G3588" s="46">
        <f>'Raw data'!F3497</f>
        <v>0</v>
      </c>
      <c r="H3588" s="4">
        <f>'Raw data'!G3497</f>
        <v>0</v>
      </c>
      <c r="I3588" s="29" t="e">
        <f>VLOOKUP(G3588,제품명!$C$1:$E$114,2,0)</f>
        <v>#N/A</v>
      </c>
      <c r="J3588" s="29">
        <f>'Raw data'!K3497</f>
        <v>0</v>
      </c>
      <c r="K3588" s="31">
        <f>'Raw data'!H3497</f>
        <v>0</v>
      </c>
      <c r="L3588" s="26">
        <f t="shared" si="116"/>
        <v>0</v>
      </c>
    </row>
    <row r="3589" spans="2:12">
      <c r="B3589" s="4" t="e">
        <f t="shared" si="115"/>
        <v>#N/A</v>
      </c>
      <c r="C3589" s="4">
        <f>'Raw data'!E3165</f>
        <v>0</v>
      </c>
      <c r="D3589" s="29" t="e">
        <f>VLOOKUP(C3589,'점포코드 '!A:B,2,0)</f>
        <v>#N/A</v>
      </c>
      <c r="E3589" s="30">
        <f>'Raw data'!P3165</f>
        <v>0</v>
      </c>
      <c r="F3589" s="29" t="e">
        <f>VLOOKUP(E3589,'점포코드 '!A:B,2,0)</f>
        <v>#N/A</v>
      </c>
      <c r="G3589" s="46">
        <f>'Raw data'!F3498</f>
        <v>0</v>
      </c>
      <c r="H3589" s="4">
        <f>'Raw data'!G3498</f>
        <v>0</v>
      </c>
      <c r="I3589" s="29" t="e">
        <f>VLOOKUP(G3589,제품명!$C$1:$E$114,2,0)</f>
        <v>#N/A</v>
      </c>
      <c r="J3589" s="29">
        <f>'Raw data'!K3498</f>
        <v>0</v>
      </c>
      <c r="K3589" s="31">
        <f>'Raw data'!H3498</f>
        <v>0</v>
      </c>
      <c r="L3589" s="26">
        <f t="shared" si="116"/>
        <v>0</v>
      </c>
    </row>
    <row r="3590" spans="2:12">
      <c r="B3590" s="4" t="e">
        <f t="shared" si="115"/>
        <v>#N/A</v>
      </c>
      <c r="C3590" s="4">
        <f>'Raw data'!E3166</f>
        <v>0</v>
      </c>
      <c r="D3590" s="29" t="e">
        <f>VLOOKUP(C3590,'점포코드 '!A:B,2,0)</f>
        <v>#N/A</v>
      </c>
      <c r="E3590" s="30">
        <f>'Raw data'!P3166</f>
        <v>0</v>
      </c>
      <c r="F3590" s="29" t="e">
        <f>VLOOKUP(E3590,'점포코드 '!A:B,2,0)</f>
        <v>#N/A</v>
      </c>
      <c r="G3590" s="46">
        <f>'Raw data'!F3499</f>
        <v>0</v>
      </c>
      <c r="H3590" s="4">
        <f>'Raw data'!G3499</f>
        <v>0</v>
      </c>
      <c r="I3590" s="29" t="e">
        <f>VLOOKUP(G3590,제품명!$C$1:$E$114,2,0)</f>
        <v>#N/A</v>
      </c>
      <c r="J3590" s="29">
        <f>'Raw data'!K3499</f>
        <v>0</v>
      </c>
      <c r="K3590" s="31">
        <f>'Raw data'!H3499</f>
        <v>0</v>
      </c>
      <c r="L3590" s="26">
        <f t="shared" si="116"/>
        <v>0</v>
      </c>
    </row>
    <row r="3591" spans="2:12">
      <c r="B3591" s="4" t="e">
        <f t="shared" si="115"/>
        <v>#N/A</v>
      </c>
      <c r="C3591" s="4">
        <f>'Raw data'!E3167</f>
        <v>0</v>
      </c>
      <c r="D3591" s="29" t="e">
        <f>VLOOKUP(C3591,'점포코드 '!A:B,2,0)</f>
        <v>#N/A</v>
      </c>
      <c r="E3591" s="30">
        <f>'Raw data'!P3167</f>
        <v>0</v>
      </c>
      <c r="F3591" s="29" t="e">
        <f>VLOOKUP(E3591,'점포코드 '!A:B,2,0)</f>
        <v>#N/A</v>
      </c>
      <c r="G3591" s="46">
        <f>'Raw data'!F3500</f>
        <v>0</v>
      </c>
      <c r="H3591" s="4">
        <f>'Raw data'!G3500</f>
        <v>0</v>
      </c>
      <c r="I3591" s="29" t="e">
        <f>VLOOKUP(G3591,제품명!$C$1:$E$114,2,0)</f>
        <v>#N/A</v>
      </c>
      <c r="J3591" s="29">
        <f>'Raw data'!K3500</f>
        <v>0</v>
      </c>
      <c r="K3591" s="31">
        <f>'Raw data'!H3500</f>
        <v>0</v>
      </c>
      <c r="L3591" s="26">
        <f t="shared" si="116"/>
        <v>0</v>
      </c>
    </row>
    <row r="3592" spans="2:12">
      <c r="B3592" s="4" t="e">
        <f t="shared" si="115"/>
        <v>#N/A</v>
      </c>
      <c r="C3592" s="4">
        <f>'Raw data'!E3168</f>
        <v>0</v>
      </c>
      <c r="D3592" s="29" t="e">
        <f>VLOOKUP(C3592,'점포코드 '!A:B,2,0)</f>
        <v>#N/A</v>
      </c>
      <c r="E3592" s="30">
        <f>'Raw data'!P3168</f>
        <v>0</v>
      </c>
      <c r="F3592" s="29" t="e">
        <f>VLOOKUP(E3592,'점포코드 '!A:B,2,0)</f>
        <v>#N/A</v>
      </c>
      <c r="G3592" s="46">
        <f>'Raw data'!F3501</f>
        <v>0</v>
      </c>
      <c r="H3592" s="4">
        <f>'Raw data'!G3501</f>
        <v>0</v>
      </c>
      <c r="I3592" s="29" t="e">
        <f>VLOOKUP(G3592,제품명!$C$1:$E$114,2,0)</f>
        <v>#N/A</v>
      </c>
      <c r="J3592" s="29">
        <f>'Raw data'!K3501</f>
        <v>0</v>
      </c>
      <c r="K3592" s="31">
        <f>'Raw data'!H3501</f>
        <v>0</v>
      </c>
      <c r="L3592" s="26">
        <f t="shared" si="116"/>
        <v>0</v>
      </c>
    </row>
    <row r="3593" spans="2:12">
      <c r="B3593" s="4" t="e">
        <f t="shared" si="115"/>
        <v>#N/A</v>
      </c>
      <c r="C3593" s="4">
        <f>'Raw data'!E3169</f>
        <v>0</v>
      </c>
      <c r="D3593" s="29" t="e">
        <f>VLOOKUP(C3593,'점포코드 '!A:B,2,0)</f>
        <v>#N/A</v>
      </c>
      <c r="E3593" s="30">
        <f>'Raw data'!P3169</f>
        <v>0</v>
      </c>
      <c r="F3593" s="29" t="e">
        <f>VLOOKUP(E3593,'점포코드 '!A:B,2,0)</f>
        <v>#N/A</v>
      </c>
      <c r="G3593" s="46">
        <f>'Raw data'!F3502</f>
        <v>0</v>
      </c>
      <c r="H3593" s="4">
        <f>'Raw data'!G3502</f>
        <v>0</v>
      </c>
      <c r="I3593" s="29" t="e">
        <f>VLOOKUP(G3593,제품명!$C$1:$E$114,2,0)</f>
        <v>#N/A</v>
      </c>
      <c r="J3593" s="29">
        <f>'Raw data'!K3502</f>
        <v>0</v>
      </c>
      <c r="K3593" s="31">
        <f>'Raw data'!H3502</f>
        <v>0</v>
      </c>
      <c r="L3593" s="26">
        <f t="shared" si="116"/>
        <v>0</v>
      </c>
    </row>
    <row r="3594" spans="2:12">
      <c r="B3594" s="4" t="e">
        <f t="shared" si="115"/>
        <v>#N/A</v>
      </c>
      <c r="C3594" s="4">
        <f>'Raw data'!E3170</f>
        <v>0</v>
      </c>
      <c r="D3594" s="29" t="e">
        <f>VLOOKUP(C3594,'점포코드 '!A:B,2,0)</f>
        <v>#N/A</v>
      </c>
      <c r="E3594" s="30">
        <f>'Raw data'!P3170</f>
        <v>0</v>
      </c>
      <c r="F3594" s="29" t="e">
        <f>VLOOKUP(E3594,'점포코드 '!A:B,2,0)</f>
        <v>#N/A</v>
      </c>
      <c r="G3594" s="46">
        <f>'Raw data'!F3503</f>
        <v>0</v>
      </c>
      <c r="H3594" s="4">
        <f>'Raw data'!G3503</f>
        <v>0</v>
      </c>
      <c r="I3594" s="29" t="e">
        <f>VLOOKUP(G3594,제품명!$C$1:$E$114,2,0)</f>
        <v>#N/A</v>
      </c>
      <c r="J3594" s="29">
        <f>'Raw data'!K3503</f>
        <v>0</v>
      </c>
      <c r="K3594" s="31">
        <f>'Raw data'!H3503</f>
        <v>0</v>
      </c>
      <c r="L3594" s="26">
        <f t="shared" si="116"/>
        <v>0</v>
      </c>
    </row>
    <row r="3595" spans="2:12">
      <c r="B3595" s="4" t="e">
        <f t="shared" si="115"/>
        <v>#N/A</v>
      </c>
      <c r="C3595" s="4">
        <f>'Raw data'!E3171</f>
        <v>0</v>
      </c>
      <c r="D3595" s="29" t="e">
        <f>VLOOKUP(C3595,'점포코드 '!A:B,2,0)</f>
        <v>#N/A</v>
      </c>
      <c r="E3595" s="30">
        <f>'Raw data'!P3171</f>
        <v>0</v>
      </c>
      <c r="F3595" s="29" t="e">
        <f>VLOOKUP(E3595,'점포코드 '!A:B,2,0)</f>
        <v>#N/A</v>
      </c>
      <c r="G3595" s="46">
        <f>'Raw data'!F3504</f>
        <v>0</v>
      </c>
      <c r="H3595" s="4">
        <f>'Raw data'!G3504</f>
        <v>0</v>
      </c>
      <c r="I3595" s="29" t="e">
        <f>VLOOKUP(G3595,제품명!$C$1:$E$114,2,0)</f>
        <v>#N/A</v>
      </c>
      <c r="J3595" s="29">
        <f>'Raw data'!K3504</f>
        <v>0</v>
      </c>
      <c r="K3595" s="31">
        <f>'Raw data'!H3504</f>
        <v>0</v>
      </c>
      <c r="L3595" s="26">
        <f t="shared" si="116"/>
        <v>0</v>
      </c>
    </row>
    <row r="3596" spans="2:12">
      <c r="B3596" s="4" t="e">
        <f t="shared" si="115"/>
        <v>#N/A</v>
      </c>
      <c r="C3596" s="4">
        <f>'Raw data'!E3172</f>
        <v>0</v>
      </c>
      <c r="D3596" s="29" t="e">
        <f>VLOOKUP(C3596,'점포코드 '!A:B,2,0)</f>
        <v>#N/A</v>
      </c>
      <c r="E3596" s="30">
        <f>'Raw data'!P3172</f>
        <v>0</v>
      </c>
      <c r="F3596" s="29" t="e">
        <f>VLOOKUP(E3596,'점포코드 '!A:B,2,0)</f>
        <v>#N/A</v>
      </c>
      <c r="G3596" s="46">
        <f>'Raw data'!F3505</f>
        <v>0</v>
      </c>
      <c r="H3596" s="4">
        <f>'Raw data'!G3505</f>
        <v>0</v>
      </c>
      <c r="I3596" s="29" t="e">
        <f>VLOOKUP(G3596,제품명!$C$1:$E$114,2,0)</f>
        <v>#N/A</v>
      </c>
      <c r="J3596" s="29">
        <f>'Raw data'!K3505</f>
        <v>0</v>
      </c>
      <c r="K3596" s="31">
        <f>'Raw data'!H3505</f>
        <v>0</v>
      </c>
      <c r="L3596" s="26">
        <f t="shared" si="116"/>
        <v>0</v>
      </c>
    </row>
    <row r="3597" spans="2:12">
      <c r="B3597" s="4" t="e">
        <f t="shared" si="115"/>
        <v>#N/A</v>
      </c>
      <c r="C3597" s="4">
        <f>'Raw data'!E3173</f>
        <v>0</v>
      </c>
      <c r="D3597" s="29" t="e">
        <f>VLOOKUP(C3597,'점포코드 '!A:B,2,0)</f>
        <v>#N/A</v>
      </c>
      <c r="E3597" s="30">
        <f>'Raw data'!P3173</f>
        <v>0</v>
      </c>
      <c r="F3597" s="29" t="e">
        <f>VLOOKUP(E3597,'점포코드 '!A:B,2,0)</f>
        <v>#N/A</v>
      </c>
      <c r="G3597" s="46">
        <f>'Raw data'!F3506</f>
        <v>0</v>
      </c>
      <c r="H3597" s="4">
        <f>'Raw data'!G3506</f>
        <v>0</v>
      </c>
      <c r="I3597" s="29" t="e">
        <f>VLOOKUP(G3597,제품명!$C$1:$E$114,2,0)</f>
        <v>#N/A</v>
      </c>
      <c r="J3597" s="29">
        <f>'Raw data'!K3506</f>
        <v>0</v>
      </c>
      <c r="K3597" s="31">
        <f>'Raw data'!H3506</f>
        <v>0</v>
      </c>
      <c r="L3597" s="26">
        <f t="shared" si="116"/>
        <v>0</v>
      </c>
    </row>
    <row r="3598" spans="2:12">
      <c r="B3598" s="4" t="e">
        <f t="shared" si="115"/>
        <v>#N/A</v>
      </c>
      <c r="C3598" s="4">
        <f>'Raw data'!E3174</f>
        <v>0</v>
      </c>
      <c r="D3598" s="29" t="e">
        <f>VLOOKUP(C3598,'점포코드 '!A:B,2,0)</f>
        <v>#N/A</v>
      </c>
      <c r="E3598" s="30">
        <f>'Raw data'!P3174</f>
        <v>0</v>
      </c>
      <c r="F3598" s="29" t="e">
        <f>VLOOKUP(E3598,'점포코드 '!A:B,2,0)</f>
        <v>#N/A</v>
      </c>
      <c r="G3598" s="46">
        <f>'Raw data'!F3507</f>
        <v>0</v>
      </c>
      <c r="H3598" s="4">
        <f>'Raw data'!G3507</f>
        <v>0</v>
      </c>
      <c r="I3598" s="29" t="e">
        <f>VLOOKUP(G3598,제품명!$C$1:$E$114,2,0)</f>
        <v>#N/A</v>
      </c>
      <c r="J3598" s="29">
        <f>'Raw data'!K3507</f>
        <v>0</v>
      </c>
      <c r="K3598" s="31">
        <f>'Raw data'!H3507</f>
        <v>0</v>
      </c>
      <c r="L3598" s="26">
        <f t="shared" si="116"/>
        <v>0</v>
      </c>
    </row>
    <row r="3599" spans="2:12">
      <c r="B3599" s="4" t="e">
        <f t="shared" si="115"/>
        <v>#N/A</v>
      </c>
      <c r="C3599" s="4">
        <f>'Raw data'!E3175</f>
        <v>0</v>
      </c>
      <c r="D3599" s="29" t="e">
        <f>VLOOKUP(C3599,'점포코드 '!A:B,2,0)</f>
        <v>#N/A</v>
      </c>
      <c r="E3599" s="30">
        <f>'Raw data'!P3175</f>
        <v>0</v>
      </c>
      <c r="F3599" s="29" t="e">
        <f>VLOOKUP(E3599,'점포코드 '!A:B,2,0)</f>
        <v>#N/A</v>
      </c>
      <c r="G3599" s="46">
        <f>'Raw data'!F3508</f>
        <v>0</v>
      </c>
      <c r="H3599" s="4">
        <f>'Raw data'!G3508</f>
        <v>0</v>
      </c>
      <c r="I3599" s="29" t="e">
        <f>VLOOKUP(G3599,제품명!$C$1:$E$114,2,0)</f>
        <v>#N/A</v>
      </c>
      <c r="J3599" s="29">
        <f>'Raw data'!K3508</f>
        <v>0</v>
      </c>
      <c r="K3599" s="31">
        <f>'Raw data'!H3508</f>
        <v>0</v>
      </c>
      <c r="L3599" s="26">
        <f t="shared" si="116"/>
        <v>0</v>
      </c>
    </row>
    <row r="3600" spans="2:12">
      <c r="B3600" s="4" t="e">
        <f t="shared" si="115"/>
        <v>#N/A</v>
      </c>
      <c r="C3600" s="4">
        <f>'Raw data'!E3176</f>
        <v>0</v>
      </c>
      <c r="D3600" s="29" t="e">
        <f>VLOOKUP(C3600,'점포코드 '!A:B,2,0)</f>
        <v>#N/A</v>
      </c>
      <c r="E3600" s="30">
        <f>'Raw data'!P3176</f>
        <v>0</v>
      </c>
      <c r="F3600" s="29" t="e">
        <f>VLOOKUP(E3600,'점포코드 '!A:B,2,0)</f>
        <v>#N/A</v>
      </c>
      <c r="G3600" s="46">
        <f>'Raw data'!F3509</f>
        <v>0</v>
      </c>
      <c r="H3600" s="4">
        <f>'Raw data'!G3509</f>
        <v>0</v>
      </c>
      <c r="I3600" s="29" t="e">
        <f>VLOOKUP(G3600,제품명!$C$1:$E$114,2,0)</f>
        <v>#N/A</v>
      </c>
      <c r="J3600" s="29">
        <f>'Raw data'!K3509</f>
        <v>0</v>
      </c>
      <c r="K3600" s="31">
        <f>'Raw data'!H3509</f>
        <v>0</v>
      </c>
      <c r="L3600" s="26">
        <f t="shared" si="116"/>
        <v>0</v>
      </c>
    </row>
    <row r="3601" spans="2:12">
      <c r="B3601" s="4" t="e">
        <f t="shared" si="115"/>
        <v>#N/A</v>
      </c>
      <c r="C3601" s="4">
        <f>'Raw data'!E3177</f>
        <v>0</v>
      </c>
      <c r="D3601" s="29" t="e">
        <f>VLOOKUP(C3601,'점포코드 '!A:B,2,0)</f>
        <v>#N/A</v>
      </c>
      <c r="E3601" s="30">
        <f>'Raw data'!P3177</f>
        <v>0</v>
      </c>
      <c r="F3601" s="29" t="e">
        <f>VLOOKUP(E3601,'점포코드 '!A:B,2,0)</f>
        <v>#N/A</v>
      </c>
      <c r="G3601" s="46">
        <f>'Raw data'!F3510</f>
        <v>0</v>
      </c>
      <c r="H3601" s="4">
        <f>'Raw data'!G3510</f>
        <v>0</v>
      </c>
      <c r="I3601" s="29" t="e">
        <f>VLOOKUP(G3601,제품명!$C$1:$E$114,2,0)</f>
        <v>#N/A</v>
      </c>
      <c r="J3601" s="29">
        <f>'Raw data'!K3510</f>
        <v>0</v>
      </c>
      <c r="K3601" s="31">
        <f>'Raw data'!H3510</f>
        <v>0</v>
      </c>
      <c r="L3601" s="26">
        <f t="shared" si="116"/>
        <v>0</v>
      </c>
    </row>
    <row r="3602" spans="2:12">
      <c r="B3602" s="4" t="e">
        <f t="shared" si="115"/>
        <v>#N/A</v>
      </c>
      <c r="C3602" s="4">
        <f>'Raw data'!E3178</f>
        <v>0</v>
      </c>
      <c r="D3602" s="29" t="e">
        <f>VLOOKUP(C3602,'점포코드 '!A:B,2,0)</f>
        <v>#N/A</v>
      </c>
      <c r="E3602" s="30">
        <f>'Raw data'!P3178</f>
        <v>0</v>
      </c>
      <c r="F3602" s="29" t="e">
        <f>VLOOKUP(E3602,'점포코드 '!A:B,2,0)</f>
        <v>#N/A</v>
      </c>
      <c r="G3602" s="46">
        <f>'Raw data'!F3511</f>
        <v>0</v>
      </c>
      <c r="H3602" s="4">
        <f>'Raw data'!G3511</f>
        <v>0</v>
      </c>
      <c r="I3602" s="29" t="e">
        <f>VLOOKUP(G3602,제품명!$C$1:$E$114,2,0)</f>
        <v>#N/A</v>
      </c>
      <c r="J3602" s="29">
        <f>'Raw data'!K3511</f>
        <v>0</v>
      </c>
      <c r="K3602" s="31">
        <f>'Raw data'!H3511</f>
        <v>0</v>
      </c>
      <c r="L3602" s="26">
        <f t="shared" si="116"/>
        <v>0</v>
      </c>
    </row>
    <row r="3603" spans="2:12">
      <c r="B3603" s="4" t="e">
        <f t="shared" si="115"/>
        <v>#N/A</v>
      </c>
      <c r="C3603" s="4">
        <f>'Raw data'!E3179</f>
        <v>0</v>
      </c>
      <c r="D3603" s="29" t="e">
        <f>VLOOKUP(C3603,'점포코드 '!A:B,2,0)</f>
        <v>#N/A</v>
      </c>
      <c r="E3603" s="30">
        <f>'Raw data'!P3179</f>
        <v>0</v>
      </c>
      <c r="F3603" s="29" t="e">
        <f>VLOOKUP(E3603,'점포코드 '!A:B,2,0)</f>
        <v>#N/A</v>
      </c>
      <c r="G3603" s="46">
        <f>'Raw data'!F3512</f>
        <v>0</v>
      </c>
      <c r="H3603" s="4">
        <f>'Raw data'!G3512</f>
        <v>0</v>
      </c>
      <c r="I3603" s="29" t="e">
        <f>VLOOKUP(G3603,제품명!$C$1:$E$114,2,0)</f>
        <v>#N/A</v>
      </c>
      <c r="J3603" s="29">
        <f>'Raw data'!K3512</f>
        <v>0</v>
      </c>
      <c r="K3603" s="31">
        <f>'Raw data'!H3512</f>
        <v>0</v>
      </c>
      <c r="L3603" s="26">
        <f t="shared" si="116"/>
        <v>0</v>
      </c>
    </row>
    <row r="3604" spans="2:12">
      <c r="B3604" s="4" t="e">
        <f t="shared" si="115"/>
        <v>#N/A</v>
      </c>
      <c r="C3604" s="4">
        <f>'Raw data'!E3180</f>
        <v>0</v>
      </c>
      <c r="D3604" s="29" t="e">
        <f>VLOOKUP(C3604,'점포코드 '!A:B,2,0)</f>
        <v>#N/A</v>
      </c>
      <c r="E3604" s="30">
        <f>'Raw data'!P3180</f>
        <v>0</v>
      </c>
      <c r="F3604" s="29" t="e">
        <f>VLOOKUP(E3604,'점포코드 '!A:B,2,0)</f>
        <v>#N/A</v>
      </c>
      <c r="G3604" s="46">
        <f>'Raw data'!F3513</f>
        <v>0</v>
      </c>
      <c r="H3604" s="4">
        <f>'Raw data'!G3513</f>
        <v>0</v>
      </c>
      <c r="I3604" s="29" t="e">
        <f>VLOOKUP(G3604,제품명!$C$1:$E$114,2,0)</f>
        <v>#N/A</v>
      </c>
      <c r="J3604" s="29">
        <f>'Raw data'!K3513</f>
        <v>0</v>
      </c>
      <c r="K3604" s="31">
        <f>'Raw data'!H3513</f>
        <v>0</v>
      </c>
      <c r="L3604" s="26">
        <f t="shared" si="116"/>
        <v>0</v>
      </c>
    </row>
    <row r="3605" spans="2:12">
      <c r="B3605" s="4" t="e">
        <f t="shared" si="115"/>
        <v>#N/A</v>
      </c>
      <c r="C3605" s="4">
        <f>'Raw data'!E3181</f>
        <v>0</v>
      </c>
      <c r="D3605" s="29" t="e">
        <f>VLOOKUP(C3605,'점포코드 '!A:B,2,0)</f>
        <v>#N/A</v>
      </c>
      <c r="E3605" s="30">
        <f>'Raw data'!P3181</f>
        <v>0</v>
      </c>
      <c r="F3605" s="29" t="e">
        <f>VLOOKUP(E3605,'점포코드 '!A:B,2,0)</f>
        <v>#N/A</v>
      </c>
      <c r="G3605" s="46">
        <f>'Raw data'!F3514</f>
        <v>0</v>
      </c>
      <c r="H3605" s="4">
        <f>'Raw data'!G3514</f>
        <v>0</v>
      </c>
      <c r="I3605" s="29" t="e">
        <f>VLOOKUP(G3605,제품명!$C$1:$E$114,2,0)</f>
        <v>#N/A</v>
      </c>
      <c r="J3605" s="29">
        <f>'Raw data'!K3514</f>
        <v>0</v>
      </c>
      <c r="K3605" s="31">
        <f>'Raw data'!H3514</f>
        <v>0</v>
      </c>
      <c r="L3605" s="26">
        <f t="shared" si="116"/>
        <v>0</v>
      </c>
    </row>
    <row r="3606" spans="2:12">
      <c r="B3606" s="4" t="e">
        <f t="shared" si="115"/>
        <v>#N/A</v>
      </c>
      <c r="C3606" s="4">
        <f>'Raw data'!E3182</f>
        <v>0</v>
      </c>
      <c r="D3606" s="29" t="e">
        <f>VLOOKUP(C3606,'점포코드 '!A:B,2,0)</f>
        <v>#N/A</v>
      </c>
      <c r="E3606" s="30">
        <f>'Raw data'!P3182</f>
        <v>0</v>
      </c>
      <c r="F3606" s="29" t="e">
        <f>VLOOKUP(E3606,'점포코드 '!A:B,2,0)</f>
        <v>#N/A</v>
      </c>
      <c r="G3606" s="46">
        <f>'Raw data'!F3515</f>
        <v>0</v>
      </c>
      <c r="H3606" s="4">
        <f>'Raw data'!G3515</f>
        <v>0</v>
      </c>
      <c r="I3606" s="29" t="e">
        <f>VLOOKUP(G3606,제품명!$C$1:$E$114,2,0)</f>
        <v>#N/A</v>
      </c>
      <c r="J3606" s="29">
        <f>'Raw data'!K3515</f>
        <v>0</v>
      </c>
      <c r="K3606" s="31">
        <f>'Raw data'!H3515</f>
        <v>0</v>
      </c>
      <c r="L3606" s="26">
        <f t="shared" si="116"/>
        <v>0</v>
      </c>
    </row>
    <row r="3607" spans="2:12">
      <c r="B3607" s="4" t="e">
        <f t="shared" si="115"/>
        <v>#N/A</v>
      </c>
      <c r="C3607" s="4">
        <f>'Raw data'!E3183</f>
        <v>0</v>
      </c>
      <c r="D3607" s="29" t="e">
        <f>VLOOKUP(C3607,'점포코드 '!A:B,2,0)</f>
        <v>#N/A</v>
      </c>
      <c r="E3607" s="30">
        <f>'Raw data'!P3183</f>
        <v>0</v>
      </c>
      <c r="F3607" s="29" t="e">
        <f>VLOOKUP(E3607,'점포코드 '!A:B,2,0)</f>
        <v>#N/A</v>
      </c>
      <c r="G3607" s="46">
        <f>'Raw data'!F3516</f>
        <v>0</v>
      </c>
      <c r="H3607" s="4">
        <f>'Raw data'!G3516</f>
        <v>0</v>
      </c>
      <c r="I3607" s="29" t="e">
        <f>VLOOKUP(G3607,제품명!$C$1:$E$114,2,0)</f>
        <v>#N/A</v>
      </c>
      <c r="J3607" s="29">
        <f>'Raw data'!K3516</f>
        <v>0</v>
      </c>
      <c r="K3607" s="31">
        <f>'Raw data'!H3516</f>
        <v>0</v>
      </c>
      <c r="L3607" s="26">
        <f t="shared" si="116"/>
        <v>0</v>
      </c>
    </row>
    <row r="3608" spans="2:12">
      <c r="B3608" s="4" t="e">
        <f t="shared" si="115"/>
        <v>#N/A</v>
      </c>
      <c r="C3608" s="4">
        <f>'Raw data'!E3184</f>
        <v>0</v>
      </c>
      <c r="D3608" s="29" t="e">
        <f>VLOOKUP(C3608,'점포코드 '!A:B,2,0)</f>
        <v>#N/A</v>
      </c>
      <c r="E3608" s="30">
        <f>'Raw data'!P3184</f>
        <v>0</v>
      </c>
      <c r="F3608" s="29" t="e">
        <f>VLOOKUP(E3608,'점포코드 '!A:B,2,0)</f>
        <v>#N/A</v>
      </c>
      <c r="G3608" s="46">
        <f>'Raw data'!F3517</f>
        <v>0</v>
      </c>
      <c r="H3608" s="4">
        <f>'Raw data'!G3517</f>
        <v>0</v>
      </c>
      <c r="I3608" s="29" t="e">
        <f>VLOOKUP(G3608,제품명!$C$1:$E$114,2,0)</f>
        <v>#N/A</v>
      </c>
      <c r="J3608" s="29">
        <f>'Raw data'!K3517</f>
        <v>0</v>
      </c>
      <c r="K3608" s="31">
        <f>'Raw data'!H3517</f>
        <v>0</v>
      </c>
      <c r="L3608" s="26">
        <f t="shared" si="116"/>
        <v>0</v>
      </c>
    </row>
    <row r="3609" spans="2:12">
      <c r="B3609" s="4" t="e">
        <f t="shared" si="115"/>
        <v>#N/A</v>
      </c>
      <c r="C3609" s="4">
        <f>'Raw data'!E3185</f>
        <v>0</v>
      </c>
      <c r="D3609" s="29" t="e">
        <f>VLOOKUP(C3609,'점포코드 '!A:B,2,0)</f>
        <v>#N/A</v>
      </c>
      <c r="E3609" s="30">
        <f>'Raw data'!P3185</f>
        <v>0</v>
      </c>
      <c r="F3609" s="29" t="e">
        <f>VLOOKUP(E3609,'점포코드 '!A:B,2,0)</f>
        <v>#N/A</v>
      </c>
      <c r="G3609" s="46">
        <f>'Raw data'!F3518</f>
        <v>0</v>
      </c>
      <c r="H3609" s="4">
        <f>'Raw data'!G3518</f>
        <v>0</v>
      </c>
      <c r="I3609" s="29" t="e">
        <f>VLOOKUP(G3609,제품명!$C$1:$E$114,2,0)</f>
        <v>#N/A</v>
      </c>
      <c r="J3609" s="29">
        <f>'Raw data'!K3518</f>
        <v>0</v>
      </c>
      <c r="K3609" s="31">
        <f>'Raw data'!H3518</f>
        <v>0</v>
      </c>
      <c r="L3609" s="26">
        <f t="shared" si="116"/>
        <v>0</v>
      </c>
    </row>
    <row r="3610" spans="2:12">
      <c r="B3610" s="4" t="e">
        <f t="shared" si="115"/>
        <v>#N/A</v>
      </c>
      <c r="C3610" s="4">
        <f>'Raw data'!E3186</f>
        <v>0</v>
      </c>
      <c r="D3610" s="29" t="e">
        <f>VLOOKUP(C3610,'점포코드 '!A:B,2,0)</f>
        <v>#N/A</v>
      </c>
      <c r="E3610" s="30">
        <f>'Raw data'!P3186</f>
        <v>0</v>
      </c>
      <c r="F3610" s="29" t="e">
        <f>VLOOKUP(E3610,'점포코드 '!A:B,2,0)</f>
        <v>#N/A</v>
      </c>
      <c r="G3610" s="46">
        <f>'Raw data'!F3519</f>
        <v>0</v>
      </c>
      <c r="H3610" s="4">
        <f>'Raw data'!G3519</f>
        <v>0</v>
      </c>
      <c r="I3610" s="29" t="e">
        <f>VLOOKUP(G3610,제품명!$C$1:$E$114,2,0)</f>
        <v>#N/A</v>
      </c>
      <c r="J3610" s="29">
        <f>'Raw data'!K3519</f>
        <v>0</v>
      </c>
      <c r="K3610" s="31">
        <f>'Raw data'!H3519</f>
        <v>0</v>
      </c>
      <c r="L3610" s="26">
        <f t="shared" si="116"/>
        <v>0</v>
      </c>
    </row>
    <row r="3611" spans="2:12">
      <c r="B3611" s="4" t="e">
        <f t="shared" si="115"/>
        <v>#N/A</v>
      </c>
      <c r="C3611" s="4">
        <f>'Raw data'!E3187</f>
        <v>0</v>
      </c>
      <c r="D3611" s="29" t="e">
        <f>VLOOKUP(C3611,'점포코드 '!A:B,2,0)</f>
        <v>#N/A</v>
      </c>
      <c r="E3611" s="30">
        <f>'Raw data'!P3187</f>
        <v>0</v>
      </c>
      <c r="F3611" s="29" t="e">
        <f>VLOOKUP(E3611,'점포코드 '!A:B,2,0)</f>
        <v>#N/A</v>
      </c>
      <c r="G3611" s="46">
        <f>'Raw data'!F3520</f>
        <v>0</v>
      </c>
      <c r="H3611" s="4">
        <f>'Raw data'!G3520</f>
        <v>0</v>
      </c>
      <c r="I3611" s="29" t="e">
        <f>VLOOKUP(G3611,제품명!$C$1:$E$114,2,0)</f>
        <v>#N/A</v>
      </c>
      <c r="J3611" s="29">
        <f>'Raw data'!K3520</f>
        <v>0</v>
      </c>
      <c r="K3611" s="31">
        <f>'Raw data'!H3520</f>
        <v>0</v>
      </c>
      <c r="L3611" s="26">
        <f t="shared" si="116"/>
        <v>0</v>
      </c>
    </row>
    <row r="3612" spans="2:12">
      <c r="B3612" s="4" t="e">
        <f t="shared" si="115"/>
        <v>#N/A</v>
      </c>
      <c r="C3612" s="4">
        <f>'Raw data'!E3188</f>
        <v>0</v>
      </c>
      <c r="D3612" s="29" t="e">
        <f>VLOOKUP(C3612,'점포코드 '!A:B,2,0)</f>
        <v>#N/A</v>
      </c>
      <c r="E3612" s="30">
        <f>'Raw data'!P3188</f>
        <v>0</v>
      </c>
      <c r="F3612" s="29" t="e">
        <f>VLOOKUP(E3612,'점포코드 '!A:B,2,0)</f>
        <v>#N/A</v>
      </c>
      <c r="G3612" s="46">
        <f>'Raw data'!F3521</f>
        <v>0</v>
      </c>
      <c r="H3612" s="4">
        <f>'Raw data'!G3521</f>
        <v>0</v>
      </c>
      <c r="I3612" s="29" t="e">
        <f>VLOOKUP(G3612,제품명!$C$1:$E$114,2,0)</f>
        <v>#N/A</v>
      </c>
      <c r="J3612" s="29">
        <f>'Raw data'!K3521</f>
        <v>0</v>
      </c>
      <c r="K3612" s="31">
        <f>'Raw data'!H3521</f>
        <v>0</v>
      </c>
      <c r="L3612" s="26">
        <f t="shared" si="116"/>
        <v>0</v>
      </c>
    </row>
    <row r="3613" spans="2:12">
      <c r="B3613" s="4" t="e">
        <f t="shared" si="115"/>
        <v>#N/A</v>
      </c>
      <c r="C3613" s="4">
        <f>'Raw data'!E3189</f>
        <v>0</v>
      </c>
      <c r="D3613" s="29" t="e">
        <f>VLOOKUP(C3613,'점포코드 '!A:B,2,0)</f>
        <v>#N/A</v>
      </c>
      <c r="E3613" s="30">
        <f>'Raw data'!P3189</f>
        <v>0</v>
      </c>
      <c r="F3613" s="29" t="e">
        <f>VLOOKUP(E3613,'점포코드 '!A:B,2,0)</f>
        <v>#N/A</v>
      </c>
      <c r="G3613" s="46">
        <f>'Raw data'!F3522</f>
        <v>0</v>
      </c>
      <c r="H3613" s="4">
        <f>'Raw data'!G3522</f>
        <v>0</v>
      </c>
      <c r="I3613" s="29" t="e">
        <f>VLOOKUP(G3613,제품명!$C$1:$E$114,2,0)</f>
        <v>#N/A</v>
      </c>
      <c r="J3613" s="29">
        <f>'Raw data'!K3522</f>
        <v>0</v>
      </c>
      <c r="K3613" s="31">
        <f>'Raw data'!H3522</f>
        <v>0</v>
      </c>
      <c r="L3613" s="26">
        <f t="shared" si="116"/>
        <v>0</v>
      </c>
    </row>
    <row r="3614" spans="2:12">
      <c r="B3614" s="4" t="e">
        <f t="shared" si="115"/>
        <v>#N/A</v>
      </c>
      <c r="C3614" s="4">
        <f>'Raw data'!E3190</f>
        <v>0</v>
      </c>
      <c r="D3614" s="29" t="e">
        <f>VLOOKUP(C3614,'점포코드 '!A:B,2,0)</f>
        <v>#N/A</v>
      </c>
      <c r="E3614" s="30">
        <f>'Raw data'!P3190</f>
        <v>0</v>
      </c>
      <c r="F3614" s="29" t="e">
        <f>VLOOKUP(E3614,'점포코드 '!A:B,2,0)</f>
        <v>#N/A</v>
      </c>
      <c r="G3614" s="46">
        <f>'Raw data'!F3523</f>
        <v>0</v>
      </c>
      <c r="H3614" s="4">
        <f>'Raw data'!G3523</f>
        <v>0</v>
      </c>
      <c r="I3614" s="29" t="e">
        <f>VLOOKUP(G3614,제품명!$C$1:$E$114,2,0)</f>
        <v>#N/A</v>
      </c>
      <c r="J3614" s="29">
        <f>'Raw data'!K3523</f>
        <v>0</v>
      </c>
      <c r="K3614" s="31">
        <f>'Raw data'!H3523</f>
        <v>0</v>
      </c>
      <c r="L3614" s="26">
        <f t="shared" si="116"/>
        <v>0</v>
      </c>
    </row>
    <row r="3615" spans="2:12">
      <c r="B3615" s="4" t="e">
        <f t="shared" si="115"/>
        <v>#N/A</v>
      </c>
      <c r="C3615" s="4">
        <f>'Raw data'!E3191</f>
        <v>0</v>
      </c>
      <c r="D3615" s="29" t="e">
        <f>VLOOKUP(C3615,'점포코드 '!A:B,2,0)</f>
        <v>#N/A</v>
      </c>
      <c r="E3615" s="30">
        <f>'Raw data'!P3191</f>
        <v>0</v>
      </c>
      <c r="F3615" s="29" t="e">
        <f>VLOOKUP(E3615,'점포코드 '!A:B,2,0)</f>
        <v>#N/A</v>
      </c>
      <c r="G3615" s="46">
        <f>'Raw data'!F3524</f>
        <v>0</v>
      </c>
      <c r="H3615" s="4">
        <f>'Raw data'!G3524</f>
        <v>0</v>
      </c>
      <c r="I3615" s="29" t="e">
        <f>VLOOKUP(G3615,제품명!$C$1:$E$114,2,0)</f>
        <v>#N/A</v>
      </c>
      <c r="J3615" s="29">
        <f>'Raw data'!K3524</f>
        <v>0</v>
      </c>
      <c r="K3615" s="31">
        <f>'Raw data'!H3524</f>
        <v>0</v>
      </c>
      <c r="L3615" s="26">
        <f t="shared" si="116"/>
        <v>0</v>
      </c>
    </row>
    <row r="3616" spans="2:12">
      <c r="B3616" s="4" t="e">
        <f t="shared" si="115"/>
        <v>#N/A</v>
      </c>
      <c r="C3616" s="4">
        <f>'Raw data'!E3192</f>
        <v>0</v>
      </c>
      <c r="D3616" s="29" t="e">
        <f>VLOOKUP(C3616,'점포코드 '!A:B,2,0)</f>
        <v>#N/A</v>
      </c>
      <c r="E3616" s="30">
        <f>'Raw data'!P3192</f>
        <v>0</v>
      </c>
      <c r="F3616" s="29" t="e">
        <f>VLOOKUP(E3616,'점포코드 '!A:B,2,0)</f>
        <v>#N/A</v>
      </c>
      <c r="G3616" s="46">
        <f>'Raw data'!F3525</f>
        <v>0</v>
      </c>
      <c r="H3616" s="4">
        <f>'Raw data'!G3525</f>
        <v>0</v>
      </c>
      <c r="I3616" s="29" t="e">
        <f>VLOOKUP(G3616,제품명!$C$1:$E$114,2,0)</f>
        <v>#N/A</v>
      </c>
      <c r="J3616" s="29">
        <f>'Raw data'!K3525</f>
        <v>0</v>
      </c>
      <c r="K3616" s="31">
        <f>'Raw data'!H3525</f>
        <v>0</v>
      </c>
      <c r="L3616" s="26">
        <f t="shared" si="116"/>
        <v>0</v>
      </c>
    </row>
    <row r="3617" spans="2:12">
      <c r="B3617" s="4" t="e">
        <f t="shared" si="115"/>
        <v>#N/A</v>
      </c>
      <c r="C3617" s="4">
        <f>'Raw data'!E3193</f>
        <v>0</v>
      </c>
      <c r="D3617" s="29" t="e">
        <f>VLOOKUP(C3617,'점포코드 '!A:B,2,0)</f>
        <v>#N/A</v>
      </c>
      <c r="E3617" s="30">
        <f>'Raw data'!P3193</f>
        <v>0</v>
      </c>
      <c r="F3617" s="29" t="e">
        <f>VLOOKUP(E3617,'점포코드 '!A:B,2,0)</f>
        <v>#N/A</v>
      </c>
      <c r="G3617" s="46">
        <f>'Raw data'!F3526</f>
        <v>0</v>
      </c>
      <c r="H3617" s="4">
        <f>'Raw data'!G3526</f>
        <v>0</v>
      </c>
      <c r="I3617" s="29" t="e">
        <f>VLOOKUP(G3617,제품명!$C$1:$E$114,2,0)</f>
        <v>#N/A</v>
      </c>
      <c r="J3617" s="29">
        <f>'Raw data'!K3526</f>
        <v>0</v>
      </c>
      <c r="K3617" s="31">
        <f>'Raw data'!H3526</f>
        <v>0</v>
      </c>
      <c r="L3617" s="26">
        <f t="shared" si="116"/>
        <v>0</v>
      </c>
    </row>
    <row r="3618" spans="2:12">
      <c r="B3618" s="4" t="e">
        <f t="shared" si="115"/>
        <v>#N/A</v>
      </c>
      <c r="C3618" s="4">
        <f>'Raw data'!E3194</f>
        <v>0</v>
      </c>
      <c r="D3618" s="29" t="e">
        <f>VLOOKUP(C3618,'점포코드 '!A:B,2,0)</f>
        <v>#N/A</v>
      </c>
      <c r="E3618" s="30">
        <f>'Raw data'!P3194</f>
        <v>0</v>
      </c>
      <c r="F3618" s="29" t="e">
        <f>VLOOKUP(E3618,'점포코드 '!A:B,2,0)</f>
        <v>#N/A</v>
      </c>
      <c r="G3618" s="46">
        <f>'Raw data'!F3527</f>
        <v>0</v>
      </c>
      <c r="H3618" s="4">
        <f>'Raw data'!G3527</f>
        <v>0</v>
      </c>
      <c r="I3618" s="29" t="e">
        <f>VLOOKUP(G3618,제품명!$C$1:$E$114,2,0)</f>
        <v>#N/A</v>
      </c>
      <c r="J3618" s="29">
        <f>'Raw data'!K3527</f>
        <v>0</v>
      </c>
      <c r="K3618" s="31">
        <f>'Raw data'!H3527</f>
        <v>0</v>
      </c>
      <c r="L3618" s="26">
        <f t="shared" si="116"/>
        <v>0</v>
      </c>
    </row>
    <row r="3619" spans="2:12">
      <c r="B3619" s="4" t="e">
        <f t="shared" si="115"/>
        <v>#N/A</v>
      </c>
      <c r="C3619" s="4">
        <f>'Raw data'!E3195</f>
        <v>0</v>
      </c>
      <c r="D3619" s="29" t="e">
        <f>VLOOKUP(C3619,'점포코드 '!A:B,2,0)</f>
        <v>#N/A</v>
      </c>
      <c r="E3619" s="30">
        <f>'Raw data'!P3195</f>
        <v>0</v>
      </c>
      <c r="F3619" s="29" t="e">
        <f>VLOOKUP(E3619,'점포코드 '!A:B,2,0)</f>
        <v>#N/A</v>
      </c>
      <c r="G3619" s="46">
        <f>'Raw data'!F3528</f>
        <v>0</v>
      </c>
      <c r="H3619" s="4">
        <f>'Raw data'!G3528</f>
        <v>0</v>
      </c>
      <c r="I3619" s="29" t="e">
        <f>VLOOKUP(G3619,제품명!$C$1:$E$114,2,0)</f>
        <v>#N/A</v>
      </c>
      <c r="J3619" s="29">
        <f>'Raw data'!K3528</f>
        <v>0</v>
      </c>
      <c r="K3619" s="31">
        <f>'Raw data'!H3528</f>
        <v>0</v>
      </c>
      <c r="L3619" s="26">
        <f t="shared" si="116"/>
        <v>0</v>
      </c>
    </row>
    <row r="3620" spans="2:12">
      <c r="B3620" s="4" t="e">
        <f t="shared" si="115"/>
        <v>#N/A</v>
      </c>
      <c r="C3620" s="4">
        <f>'Raw data'!E3196</f>
        <v>0</v>
      </c>
      <c r="D3620" s="29" t="e">
        <f>VLOOKUP(C3620,'점포코드 '!A:B,2,0)</f>
        <v>#N/A</v>
      </c>
      <c r="E3620" s="30">
        <f>'Raw data'!P3196</f>
        <v>0</v>
      </c>
      <c r="F3620" s="29" t="e">
        <f>VLOOKUP(E3620,'점포코드 '!A:B,2,0)</f>
        <v>#N/A</v>
      </c>
      <c r="G3620" s="46">
        <f>'Raw data'!F3529</f>
        <v>0</v>
      </c>
      <c r="H3620" s="4">
        <f>'Raw data'!G3529</f>
        <v>0</v>
      </c>
      <c r="I3620" s="29" t="e">
        <f>VLOOKUP(G3620,제품명!$C$1:$E$114,2,0)</f>
        <v>#N/A</v>
      </c>
      <c r="J3620" s="29">
        <f>'Raw data'!K3529</f>
        <v>0</v>
      </c>
      <c r="K3620" s="31">
        <f>'Raw data'!H3529</f>
        <v>0</v>
      </c>
      <c r="L3620" s="26">
        <f t="shared" si="116"/>
        <v>0</v>
      </c>
    </row>
    <row r="3621" spans="2:12">
      <c r="B3621" s="4" t="e">
        <f t="shared" si="115"/>
        <v>#N/A</v>
      </c>
      <c r="C3621" s="4">
        <f>'Raw data'!E3197</f>
        <v>0</v>
      </c>
      <c r="D3621" s="29" t="e">
        <f>VLOOKUP(C3621,'점포코드 '!A:B,2,0)</f>
        <v>#N/A</v>
      </c>
      <c r="E3621" s="30">
        <f>'Raw data'!P3197</f>
        <v>0</v>
      </c>
      <c r="F3621" s="29" t="e">
        <f>VLOOKUP(E3621,'점포코드 '!A:B,2,0)</f>
        <v>#N/A</v>
      </c>
      <c r="G3621" s="46">
        <f>'Raw data'!F3530</f>
        <v>0</v>
      </c>
      <c r="H3621" s="4">
        <f>'Raw data'!G3530</f>
        <v>0</v>
      </c>
      <c r="I3621" s="29" t="e">
        <f>VLOOKUP(G3621,제품명!$C$1:$E$114,2,0)</f>
        <v>#N/A</v>
      </c>
      <c r="J3621" s="29">
        <f>'Raw data'!K3530</f>
        <v>0</v>
      </c>
      <c r="K3621" s="31">
        <f>'Raw data'!H3530</f>
        <v>0</v>
      </c>
      <c r="L3621" s="26">
        <f t="shared" si="116"/>
        <v>0</v>
      </c>
    </row>
    <row r="3622" spans="2:12">
      <c r="B3622" s="4" t="e">
        <f t="shared" si="115"/>
        <v>#N/A</v>
      </c>
      <c r="C3622" s="4">
        <f>'Raw data'!E3198</f>
        <v>0</v>
      </c>
      <c r="D3622" s="29" t="e">
        <f>VLOOKUP(C3622,'점포코드 '!A:B,2,0)</f>
        <v>#N/A</v>
      </c>
      <c r="E3622" s="30">
        <f>'Raw data'!P3198</f>
        <v>0</v>
      </c>
      <c r="F3622" s="29" t="e">
        <f>VLOOKUP(E3622,'점포코드 '!A:B,2,0)</f>
        <v>#N/A</v>
      </c>
      <c r="G3622" s="46">
        <f>'Raw data'!F3531</f>
        <v>0</v>
      </c>
      <c r="H3622" s="4">
        <f>'Raw data'!G3531</f>
        <v>0</v>
      </c>
      <c r="I3622" s="29" t="e">
        <f>VLOOKUP(G3622,제품명!$C$1:$E$114,2,0)</f>
        <v>#N/A</v>
      </c>
      <c r="J3622" s="29">
        <f>'Raw data'!K3531</f>
        <v>0</v>
      </c>
      <c r="K3622" s="31">
        <f>'Raw data'!H3531</f>
        <v>0</v>
      </c>
      <c r="L3622" s="26">
        <f t="shared" si="116"/>
        <v>0</v>
      </c>
    </row>
    <row r="3623" spans="2:12">
      <c r="B3623" s="4" t="e">
        <f t="shared" si="115"/>
        <v>#N/A</v>
      </c>
      <c r="C3623" s="4">
        <f>'Raw data'!E3199</f>
        <v>0</v>
      </c>
      <c r="D3623" s="29" t="e">
        <f>VLOOKUP(C3623,'점포코드 '!A:B,2,0)</f>
        <v>#N/A</v>
      </c>
      <c r="E3623" s="30">
        <f>'Raw data'!P3199</f>
        <v>0</v>
      </c>
      <c r="F3623" s="29" t="e">
        <f>VLOOKUP(E3623,'점포코드 '!A:B,2,0)</f>
        <v>#N/A</v>
      </c>
      <c r="G3623" s="46">
        <f>'Raw data'!F3532</f>
        <v>0</v>
      </c>
      <c r="H3623" s="4">
        <f>'Raw data'!G3532</f>
        <v>0</v>
      </c>
      <c r="I3623" s="29" t="e">
        <f>VLOOKUP(G3623,제품명!$C$1:$E$114,2,0)</f>
        <v>#N/A</v>
      </c>
      <c r="J3623" s="29">
        <f>'Raw data'!K3532</f>
        <v>0</v>
      </c>
      <c r="K3623" s="31">
        <f>'Raw data'!H3532</f>
        <v>0</v>
      </c>
      <c r="L3623" s="26">
        <f t="shared" si="116"/>
        <v>0</v>
      </c>
    </row>
    <row r="3624" spans="2:12">
      <c r="B3624" s="4" t="e">
        <f t="shared" si="115"/>
        <v>#N/A</v>
      </c>
      <c r="C3624" s="4">
        <f>'Raw data'!E3200</f>
        <v>0</v>
      </c>
      <c r="D3624" s="29" t="e">
        <f>VLOOKUP(C3624,'점포코드 '!A:B,2,0)</f>
        <v>#N/A</v>
      </c>
      <c r="E3624" s="30">
        <f>'Raw data'!P3200</f>
        <v>0</v>
      </c>
      <c r="F3624" s="29" t="e">
        <f>VLOOKUP(E3624,'점포코드 '!A:B,2,0)</f>
        <v>#N/A</v>
      </c>
      <c r="G3624" s="46">
        <f>'Raw data'!F3533</f>
        <v>0</v>
      </c>
      <c r="H3624" s="4">
        <f>'Raw data'!G3533</f>
        <v>0</v>
      </c>
      <c r="I3624" s="29" t="e">
        <f>VLOOKUP(G3624,제품명!$C$1:$E$114,2,0)</f>
        <v>#N/A</v>
      </c>
      <c r="J3624" s="29">
        <f>'Raw data'!K3533</f>
        <v>0</v>
      </c>
      <c r="K3624" s="31">
        <f>'Raw data'!H3533</f>
        <v>0</v>
      </c>
      <c r="L3624" s="26">
        <f t="shared" si="116"/>
        <v>0</v>
      </c>
    </row>
    <row r="3625" spans="2:12">
      <c r="B3625" s="4" t="e">
        <f t="shared" si="115"/>
        <v>#N/A</v>
      </c>
      <c r="C3625" s="4">
        <f>'Raw data'!E3201</f>
        <v>0</v>
      </c>
      <c r="D3625" s="29" t="e">
        <f>VLOOKUP(C3625,'점포코드 '!A:B,2,0)</f>
        <v>#N/A</v>
      </c>
      <c r="E3625" s="30">
        <f>'Raw data'!P3201</f>
        <v>0</v>
      </c>
      <c r="F3625" s="29" t="e">
        <f>VLOOKUP(E3625,'점포코드 '!A:B,2,0)</f>
        <v>#N/A</v>
      </c>
      <c r="G3625" s="46">
        <f>'Raw data'!F3534</f>
        <v>0</v>
      </c>
      <c r="H3625" s="4">
        <f>'Raw data'!G3534</f>
        <v>0</v>
      </c>
      <c r="I3625" s="29" t="e">
        <f>VLOOKUP(G3625,제품명!$C$1:$E$114,2,0)</f>
        <v>#N/A</v>
      </c>
      <c r="J3625" s="29">
        <f>'Raw data'!K3534</f>
        <v>0</v>
      </c>
      <c r="K3625" s="31">
        <f>'Raw data'!H3534</f>
        <v>0</v>
      </c>
      <c r="L3625" s="26">
        <f t="shared" si="116"/>
        <v>0</v>
      </c>
    </row>
    <row r="3626" spans="2:12">
      <c r="B3626" s="4" t="e">
        <f t="shared" si="115"/>
        <v>#N/A</v>
      </c>
      <c r="C3626" s="4">
        <f>'Raw data'!E3202</f>
        <v>0</v>
      </c>
      <c r="D3626" s="29" t="e">
        <f>VLOOKUP(C3626,'점포코드 '!A:B,2,0)</f>
        <v>#N/A</v>
      </c>
      <c r="E3626" s="30">
        <f>'Raw data'!P3202</f>
        <v>0</v>
      </c>
      <c r="F3626" s="29" t="e">
        <f>VLOOKUP(E3626,'점포코드 '!A:B,2,0)</f>
        <v>#N/A</v>
      </c>
      <c r="G3626" s="46">
        <f>'Raw data'!F3535</f>
        <v>0</v>
      </c>
      <c r="H3626" s="4">
        <f>'Raw data'!G3535</f>
        <v>0</v>
      </c>
      <c r="I3626" s="29" t="e">
        <f>VLOOKUP(G3626,제품명!$C$1:$E$114,2,0)</f>
        <v>#N/A</v>
      </c>
      <c r="J3626" s="29">
        <f>'Raw data'!K3535</f>
        <v>0</v>
      </c>
      <c r="K3626" s="31">
        <f>'Raw data'!H3535</f>
        <v>0</v>
      </c>
      <c r="L3626" s="26">
        <f t="shared" si="116"/>
        <v>0</v>
      </c>
    </row>
    <row r="3627" spans="2:12">
      <c r="B3627" s="4" t="e">
        <f t="shared" si="115"/>
        <v>#N/A</v>
      </c>
      <c r="C3627" s="4">
        <f>'Raw data'!E3203</f>
        <v>0</v>
      </c>
      <c r="D3627" s="29" t="e">
        <f>VLOOKUP(C3627,'점포코드 '!A:B,2,0)</f>
        <v>#N/A</v>
      </c>
      <c r="E3627" s="30">
        <f>'Raw data'!P3203</f>
        <v>0</v>
      </c>
      <c r="F3627" s="29" t="e">
        <f>VLOOKUP(E3627,'점포코드 '!A:B,2,0)</f>
        <v>#N/A</v>
      </c>
      <c r="G3627" s="46">
        <f>'Raw data'!F3536</f>
        <v>0</v>
      </c>
      <c r="H3627" s="4">
        <f>'Raw data'!G3536</f>
        <v>0</v>
      </c>
      <c r="I3627" s="29" t="e">
        <f>VLOOKUP(G3627,제품명!$C$1:$E$114,2,0)</f>
        <v>#N/A</v>
      </c>
      <c r="J3627" s="29">
        <f>'Raw data'!K3536</f>
        <v>0</v>
      </c>
      <c r="K3627" s="31">
        <f>'Raw data'!H3536</f>
        <v>0</v>
      </c>
      <c r="L3627" s="26">
        <f t="shared" si="116"/>
        <v>0</v>
      </c>
    </row>
    <row r="3628" spans="2:12">
      <c r="B3628" s="4" t="e">
        <f t="shared" si="115"/>
        <v>#N/A</v>
      </c>
      <c r="C3628" s="4">
        <f>'Raw data'!E3204</f>
        <v>0</v>
      </c>
      <c r="D3628" s="29" t="e">
        <f>VLOOKUP(C3628,'점포코드 '!A:B,2,0)</f>
        <v>#N/A</v>
      </c>
      <c r="E3628" s="30">
        <f>'Raw data'!P3204</f>
        <v>0</v>
      </c>
      <c r="F3628" s="29" t="e">
        <f>VLOOKUP(E3628,'점포코드 '!A:B,2,0)</f>
        <v>#N/A</v>
      </c>
      <c r="G3628" s="46">
        <f>'Raw data'!F3537</f>
        <v>0</v>
      </c>
      <c r="H3628" s="4">
        <f>'Raw data'!G3537</f>
        <v>0</v>
      </c>
      <c r="I3628" s="29" t="e">
        <f>VLOOKUP(G3628,제품명!$C$1:$E$114,2,0)</f>
        <v>#N/A</v>
      </c>
      <c r="J3628" s="29">
        <f>'Raw data'!K3537</f>
        <v>0</v>
      </c>
      <c r="K3628" s="31">
        <f>'Raw data'!H3537</f>
        <v>0</v>
      </c>
      <c r="L3628" s="26">
        <f t="shared" si="116"/>
        <v>0</v>
      </c>
    </row>
    <row r="3629" spans="2:12">
      <c r="B3629" s="4" t="e">
        <f t="shared" si="115"/>
        <v>#N/A</v>
      </c>
      <c r="C3629" s="4">
        <f>'Raw data'!E3205</f>
        <v>0</v>
      </c>
      <c r="D3629" s="29" t="e">
        <f>VLOOKUP(C3629,'점포코드 '!A:B,2,0)</f>
        <v>#N/A</v>
      </c>
      <c r="E3629" s="30">
        <f>'Raw data'!P3205</f>
        <v>0</v>
      </c>
      <c r="F3629" s="29" t="e">
        <f>VLOOKUP(E3629,'점포코드 '!A:B,2,0)</f>
        <v>#N/A</v>
      </c>
      <c r="G3629" s="46">
        <f>'Raw data'!F3538</f>
        <v>0</v>
      </c>
      <c r="H3629" s="4">
        <f>'Raw data'!G3538</f>
        <v>0</v>
      </c>
      <c r="I3629" s="29" t="e">
        <f>VLOOKUP(G3629,제품명!$C$1:$E$114,2,0)</f>
        <v>#N/A</v>
      </c>
      <c r="J3629" s="29">
        <f>'Raw data'!K3538</f>
        <v>0</v>
      </c>
      <c r="K3629" s="31">
        <f>'Raw data'!H3538</f>
        <v>0</v>
      </c>
      <c r="L3629" s="26">
        <f t="shared" si="116"/>
        <v>0</v>
      </c>
    </row>
    <row r="3630" spans="2:12">
      <c r="B3630" s="4" t="e">
        <f t="shared" si="115"/>
        <v>#N/A</v>
      </c>
      <c r="C3630" s="4">
        <f>'Raw data'!E3206</f>
        <v>0</v>
      </c>
      <c r="D3630" s="29" t="e">
        <f>VLOOKUP(C3630,'점포코드 '!A:B,2,0)</f>
        <v>#N/A</v>
      </c>
      <c r="E3630" s="30">
        <f>'Raw data'!P3206</f>
        <v>0</v>
      </c>
      <c r="F3630" s="29" t="e">
        <f>VLOOKUP(E3630,'점포코드 '!A:B,2,0)</f>
        <v>#N/A</v>
      </c>
      <c r="G3630" s="46">
        <f>'Raw data'!F3539</f>
        <v>0</v>
      </c>
      <c r="H3630" s="4">
        <f>'Raw data'!G3539</f>
        <v>0</v>
      </c>
      <c r="I3630" s="29" t="e">
        <f>VLOOKUP(G3630,제품명!$C$1:$E$114,2,0)</f>
        <v>#N/A</v>
      </c>
      <c r="J3630" s="29">
        <f>'Raw data'!K3539</f>
        <v>0</v>
      </c>
      <c r="K3630" s="31">
        <f>'Raw data'!H3539</f>
        <v>0</v>
      </c>
      <c r="L3630" s="26">
        <f t="shared" si="116"/>
        <v>0</v>
      </c>
    </row>
    <row r="3631" spans="2:12">
      <c r="B3631" s="4" t="e">
        <f t="shared" si="115"/>
        <v>#N/A</v>
      </c>
      <c r="C3631" s="4">
        <f>'Raw data'!E3207</f>
        <v>0</v>
      </c>
      <c r="D3631" s="29" t="e">
        <f>VLOOKUP(C3631,'점포코드 '!A:B,2,0)</f>
        <v>#N/A</v>
      </c>
      <c r="E3631" s="30">
        <f>'Raw data'!P3207</f>
        <v>0</v>
      </c>
      <c r="F3631" s="29" t="e">
        <f>VLOOKUP(E3631,'점포코드 '!A:B,2,0)</f>
        <v>#N/A</v>
      </c>
      <c r="G3631" s="46">
        <f>'Raw data'!F3540</f>
        <v>0</v>
      </c>
      <c r="H3631" s="4">
        <f>'Raw data'!G3540</f>
        <v>0</v>
      </c>
      <c r="I3631" s="29" t="e">
        <f>VLOOKUP(G3631,제품명!$C$1:$E$114,2,0)</f>
        <v>#N/A</v>
      </c>
      <c r="J3631" s="29">
        <f>'Raw data'!K3540</f>
        <v>0</v>
      </c>
      <c r="K3631" s="31">
        <f>'Raw data'!H3540</f>
        <v>0</v>
      </c>
      <c r="L3631" s="26">
        <f t="shared" si="116"/>
        <v>0</v>
      </c>
    </row>
    <row r="3632" spans="2:12">
      <c r="B3632" s="4" t="e">
        <f t="shared" si="115"/>
        <v>#N/A</v>
      </c>
      <c r="C3632" s="4">
        <f>'Raw data'!E3208</f>
        <v>0</v>
      </c>
      <c r="D3632" s="29" t="e">
        <f>VLOOKUP(C3632,'점포코드 '!A:B,2,0)</f>
        <v>#N/A</v>
      </c>
      <c r="E3632" s="30">
        <f>'Raw data'!P3208</f>
        <v>0</v>
      </c>
      <c r="F3632" s="29" t="e">
        <f>VLOOKUP(E3632,'점포코드 '!A:B,2,0)</f>
        <v>#N/A</v>
      </c>
      <c r="G3632" s="46">
        <f>'Raw data'!F3541</f>
        <v>0</v>
      </c>
      <c r="H3632" s="4">
        <f>'Raw data'!G3541</f>
        <v>0</v>
      </c>
      <c r="I3632" s="29" t="e">
        <f>VLOOKUP(G3632,제품명!$C$1:$E$114,2,0)</f>
        <v>#N/A</v>
      </c>
      <c r="J3632" s="29">
        <f>'Raw data'!K3541</f>
        <v>0</v>
      </c>
      <c r="K3632" s="31">
        <f>'Raw data'!H3541</f>
        <v>0</v>
      </c>
      <c r="L3632" s="26">
        <f t="shared" si="116"/>
        <v>0</v>
      </c>
    </row>
    <row r="3633" spans="2:12">
      <c r="B3633" s="4" t="e">
        <f t="shared" si="115"/>
        <v>#N/A</v>
      </c>
      <c r="C3633" s="4">
        <f>'Raw data'!E3209</f>
        <v>0</v>
      </c>
      <c r="D3633" s="29" t="e">
        <f>VLOOKUP(C3633,'점포코드 '!A:B,2,0)</f>
        <v>#N/A</v>
      </c>
      <c r="E3633" s="30">
        <f>'Raw data'!P3209</f>
        <v>0</v>
      </c>
      <c r="F3633" s="29" t="e">
        <f>VLOOKUP(E3633,'점포코드 '!A:B,2,0)</f>
        <v>#N/A</v>
      </c>
      <c r="G3633" s="46">
        <f>'Raw data'!F3542</f>
        <v>0</v>
      </c>
      <c r="H3633" s="4">
        <f>'Raw data'!G3542</f>
        <v>0</v>
      </c>
      <c r="I3633" s="29" t="e">
        <f>VLOOKUP(G3633,제품명!$C$1:$E$114,2,0)</f>
        <v>#N/A</v>
      </c>
      <c r="J3633" s="29">
        <f>'Raw data'!K3542</f>
        <v>0</v>
      </c>
      <c r="K3633" s="31">
        <f>'Raw data'!H3542</f>
        <v>0</v>
      </c>
      <c r="L3633" s="26">
        <f t="shared" si="116"/>
        <v>0</v>
      </c>
    </row>
    <row r="3634" spans="2:12">
      <c r="B3634" s="4" t="e">
        <f t="shared" si="115"/>
        <v>#N/A</v>
      </c>
      <c r="C3634" s="4">
        <f>'Raw data'!E3210</f>
        <v>0</v>
      </c>
      <c r="D3634" s="29" t="e">
        <f>VLOOKUP(C3634,'점포코드 '!A:B,2,0)</f>
        <v>#N/A</v>
      </c>
      <c r="E3634" s="30">
        <f>'Raw data'!P3210</f>
        <v>0</v>
      </c>
      <c r="F3634" s="29" t="e">
        <f>VLOOKUP(E3634,'점포코드 '!A:B,2,0)</f>
        <v>#N/A</v>
      </c>
      <c r="G3634" s="46">
        <f>'Raw data'!F3543</f>
        <v>0</v>
      </c>
      <c r="H3634" s="4">
        <f>'Raw data'!G3543</f>
        <v>0</v>
      </c>
      <c r="I3634" s="29" t="e">
        <f>VLOOKUP(G3634,제품명!$C$1:$E$114,2,0)</f>
        <v>#N/A</v>
      </c>
      <c r="J3634" s="29">
        <f>'Raw data'!K3543</f>
        <v>0</v>
      </c>
      <c r="K3634" s="31">
        <f>'Raw data'!H3543</f>
        <v>0</v>
      </c>
      <c r="L3634" s="26">
        <f t="shared" si="116"/>
        <v>0</v>
      </c>
    </row>
    <row r="3635" spans="2:12">
      <c r="B3635" s="4" t="e">
        <f t="shared" si="115"/>
        <v>#N/A</v>
      </c>
      <c r="C3635" s="4">
        <f>'Raw data'!E3211</f>
        <v>0</v>
      </c>
      <c r="D3635" s="29" t="e">
        <f>VLOOKUP(C3635,'점포코드 '!A:B,2,0)</f>
        <v>#N/A</v>
      </c>
      <c r="E3635" s="30">
        <f>'Raw data'!P3211</f>
        <v>0</v>
      </c>
      <c r="F3635" s="29" t="e">
        <f>VLOOKUP(E3635,'점포코드 '!A:B,2,0)</f>
        <v>#N/A</v>
      </c>
      <c r="G3635" s="46">
        <f>'Raw data'!F3544</f>
        <v>0</v>
      </c>
      <c r="H3635" s="4">
        <f>'Raw data'!G3544</f>
        <v>0</v>
      </c>
      <c r="I3635" s="29" t="e">
        <f>VLOOKUP(G3635,제품명!$C$1:$E$114,2,0)</f>
        <v>#N/A</v>
      </c>
      <c r="J3635" s="29">
        <f>'Raw data'!K3544</f>
        <v>0</v>
      </c>
      <c r="K3635" s="31">
        <f>'Raw data'!H3544</f>
        <v>0</v>
      </c>
      <c r="L3635" s="26">
        <f t="shared" si="116"/>
        <v>0</v>
      </c>
    </row>
    <row r="3636" spans="2:12">
      <c r="B3636" s="4" t="e">
        <f t="shared" si="115"/>
        <v>#N/A</v>
      </c>
      <c r="C3636" s="4">
        <f>'Raw data'!E3212</f>
        <v>0</v>
      </c>
      <c r="D3636" s="29" t="e">
        <f>VLOOKUP(C3636,'점포코드 '!A:B,2,0)</f>
        <v>#N/A</v>
      </c>
      <c r="E3636" s="30">
        <f>'Raw data'!P3212</f>
        <v>0</v>
      </c>
      <c r="F3636" s="29" t="e">
        <f>VLOOKUP(E3636,'점포코드 '!A:B,2,0)</f>
        <v>#N/A</v>
      </c>
      <c r="G3636" s="46">
        <f>'Raw data'!F3545</f>
        <v>0</v>
      </c>
      <c r="H3636" s="4">
        <f>'Raw data'!G3545</f>
        <v>0</v>
      </c>
      <c r="I3636" s="29" t="e">
        <f>VLOOKUP(G3636,제품명!$C$1:$E$114,2,0)</f>
        <v>#N/A</v>
      </c>
      <c r="J3636" s="29">
        <f>'Raw data'!K3545</f>
        <v>0</v>
      </c>
      <c r="K3636" s="31">
        <f>'Raw data'!H3545</f>
        <v>0</v>
      </c>
      <c r="L3636" s="26">
        <f t="shared" si="116"/>
        <v>0</v>
      </c>
    </row>
    <row r="3637" spans="2:12">
      <c r="B3637" s="4" t="e">
        <f t="shared" si="115"/>
        <v>#N/A</v>
      </c>
      <c r="C3637" s="4">
        <f>'Raw data'!E3213</f>
        <v>0</v>
      </c>
      <c r="D3637" s="29" t="e">
        <f>VLOOKUP(C3637,'점포코드 '!A:B,2,0)</f>
        <v>#N/A</v>
      </c>
      <c r="E3637" s="30">
        <f>'Raw data'!P3213</f>
        <v>0</v>
      </c>
      <c r="F3637" s="29" t="e">
        <f>VLOOKUP(E3637,'점포코드 '!A:B,2,0)</f>
        <v>#N/A</v>
      </c>
      <c r="G3637" s="46">
        <f>'Raw data'!F3546</f>
        <v>0</v>
      </c>
      <c r="H3637" s="4">
        <f>'Raw data'!G3546</f>
        <v>0</v>
      </c>
      <c r="I3637" s="29" t="e">
        <f>VLOOKUP(G3637,제품명!$C$1:$E$114,2,0)</f>
        <v>#N/A</v>
      </c>
      <c r="J3637" s="29">
        <f>'Raw data'!K3546</f>
        <v>0</v>
      </c>
      <c r="K3637" s="31">
        <f>'Raw data'!H3546</f>
        <v>0</v>
      </c>
      <c r="L3637" s="26">
        <f t="shared" si="116"/>
        <v>0</v>
      </c>
    </row>
    <row r="3638" spans="2:12">
      <c r="B3638" s="4" t="e">
        <f t="shared" si="115"/>
        <v>#N/A</v>
      </c>
      <c r="C3638" s="4">
        <f>'Raw data'!E3214</f>
        <v>0</v>
      </c>
      <c r="D3638" s="29" t="e">
        <f>VLOOKUP(C3638,'점포코드 '!A:B,2,0)</f>
        <v>#N/A</v>
      </c>
      <c r="E3638" s="30">
        <f>'Raw data'!P3214</f>
        <v>0</v>
      </c>
      <c r="F3638" s="29" t="e">
        <f>VLOOKUP(E3638,'점포코드 '!A:B,2,0)</f>
        <v>#N/A</v>
      </c>
      <c r="G3638" s="46">
        <f>'Raw data'!F3547</f>
        <v>0</v>
      </c>
      <c r="H3638" s="4">
        <f>'Raw data'!G3547</f>
        <v>0</v>
      </c>
      <c r="I3638" s="29" t="e">
        <f>VLOOKUP(G3638,제품명!$C$1:$E$114,2,0)</f>
        <v>#N/A</v>
      </c>
      <c r="J3638" s="29">
        <f>'Raw data'!K3547</f>
        <v>0</v>
      </c>
      <c r="K3638" s="31">
        <f>'Raw data'!H3547</f>
        <v>0</v>
      </c>
      <c r="L3638" s="26">
        <f t="shared" si="116"/>
        <v>0</v>
      </c>
    </row>
    <row r="3639" spans="2:12">
      <c r="B3639" s="4" t="e">
        <f t="shared" si="115"/>
        <v>#N/A</v>
      </c>
      <c r="C3639" s="4">
        <f>'Raw data'!E3215</f>
        <v>0</v>
      </c>
      <c r="D3639" s="29" t="e">
        <f>VLOOKUP(C3639,'점포코드 '!A:B,2,0)</f>
        <v>#N/A</v>
      </c>
      <c r="E3639" s="30">
        <f>'Raw data'!P3215</f>
        <v>0</v>
      </c>
      <c r="F3639" s="29" t="e">
        <f>VLOOKUP(E3639,'점포코드 '!A:B,2,0)</f>
        <v>#N/A</v>
      </c>
      <c r="G3639" s="46">
        <f>'Raw data'!F3548</f>
        <v>0</v>
      </c>
      <c r="H3639" s="4">
        <f>'Raw data'!G3548</f>
        <v>0</v>
      </c>
      <c r="I3639" s="29" t="e">
        <f>VLOOKUP(G3639,제품명!$C$1:$E$114,2,0)</f>
        <v>#N/A</v>
      </c>
      <c r="J3639" s="29">
        <f>'Raw data'!K3548</f>
        <v>0</v>
      </c>
      <c r="K3639" s="31">
        <f>'Raw data'!H3548</f>
        <v>0</v>
      </c>
      <c r="L3639" s="26">
        <f t="shared" si="116"/>
        <v>0</v>
      </c>
    </row>
    <row r="3640" spans="2:12">
      <c r="B3640" s="4" t="e">
        <f t="shared" si="115"/>
        <v>#N/A</v>
      </c>
      <c r="C3640" s="4">
        <f>'Raw data'!E3216</f>
        <v>0</v>
      </c>
      <c r="D3640" s="29" t="e">
        <f>VLOOKUP(C3640,'점포코드 '!A:B,2,0)</f>
        <v>#N/A</v>
      </c>
      <c r="E3640" s="30">
        <f>'Raw data'!P3216</f>
        <v>0</v>
      </c>
      <c r="F3640" s="29" t="e">
        <f>VLOOKUP(E3640,'점포코드 '!A:B,2,0)</f>
        <v>#N/A</v>
      </c>
      <c r="G3640" s="46">
        <f>'Raw data'!F3549</f>
        <v>0</v>
      </c>
      <c r="H3640" s="4">
        <f>'Raw data'!G3549</f>
        <v>0</v>
      </c>
      <c r="I3640" s="29" t="e">
        <f>VLOOKUP(G3640,제품명!$C$1:$E$114,2,0)</f>
        <v>#N/A</v>
      </c>
      <c r="J3640" s="29">
        <f>'Raw data'!K3549</f>
        <v>0</v>
      </c>
      <c r="K3640" s="31">
        <f>'Raw data'!H3549</f>
        <v>0</v>
      </c>
      <c r="L3640" s="26">
        <f t="shared" si="116"/>
        <v>0</v>
      </c>
    </row>
    <row r="3641" spans="2:12">
      <c r="B3641" s="4" t="e">
        <f t="shared" si="115"/>
        <v>#N/A</v>
      </c>
      <c r="C3641" s="4">
        <f>'Raw data'!E3217</f>
        <v>0</v>
      </c>
      <c r="D3641" s="29" t="e">
        <f>VLOOKUP(C3641,'점포코드 '!A:B,2,0)</f>
        <v>#N/A</v>
      </c>
      <c r="E3641" s="30">
        <f>'Raw data'!P3217</f>
        <v>0</v>
      </c>
      <c r="F3641" s="29" t="e">
        <f>VLOOKUP(E3641,'점포코드 '!A:B,2,0)</f>
        <v>#N/A</v>
      </c>
      <c r="G3641" s="46">
        <f>'Raw data'!F3550</f>
        <v>0</v>
      </c>
      <c r="H3641" s="4">
        <f>'Raw data'!G3550</f>
        <v>0</v>
      </c>
      <c r="I3641" s="29" t="e">
        <f>VLOOKUP(G3641,제품명!$C$1:$E$114,2,0)</f>
        <v>#N/A</v>
      </c>
      <c r="J3641" s="29">
        <f>'Raw data'!K3550</f>
        <v>0</v>
      </c>
      <c r="K3641" s="31">
        <f>'Raw data'!H3550</f>
        <v>0</v>
      </c>
      <c r="L3641" s="26">
        <f t="shared" si="116"/>
        <v>0</v>
      </c>
    </row>
    <row r="3642" spans="2:12">
      <c r="B3642" s="4" t="e">
        <f t="shared" si="115"/>
        <v>#N/A</v>
      </c>
      <c r="C3642" s="4">
        <f>'Raw data'!E3218</f>
        <v>0</v>
      </c>
      <c r="D3642" s="29" t="e">
        <f>VLOOKUP(C3642,'점포코드 '!A:B,2,0)</f>
        <v>#N/A</v>
      </c>
      <c r="E3642" s="30">
        <f>'Raw data'!P3218</f>
        <v>0</v>
      </c>
      <c r="F3642" s="29" t="e">
        <f>VLOOKUP(E3642,'점포코드 '!A:B,2,0)</f>
        <v>#N/A</v>
      </c>
      <c r="G3642" s="46">
        <f>'Raw data'!F3551</f>
        <v>0</v>
      </c>
      <c r="H3642" s="4">
        <f>'Raw data'!G3551</f>
        <v>0</v>
      </c>
      <c r="I3642" s="29" t="e">
        <f>VLOOKUP(G3642,제품명!$C$1:$E$114,2,0)</f>
        <v>#N/A</v>
      </c>
      <c r="J3642" s="29">
        <f>'Raw data'!K3551</f>
        <v>0</v>
      </c>
      <c r="K3642" s="31">
        <f>'Raw data'!H3551</f>
        <v>0</v>
      </c>
      <c r="L3642" s="26">
        <f t="shared" si="116"/>
        <v>0</v>
      </c>
    </row>
    <row r="3643" spans="2:12">
      <c r="B3643" s="4" t="e">
        <f t="shared" si="115"/>
        <v>#N/A</v>
      </c>
      <c r="C3643" s="4">
        <f>'Raw data'!E3219</f>
        <v>0</v>
      </c>
      <c r="D3643" s="29" t="e">
        <f>VLOOKUP(C3643,'점포코드 '!A:B,2,0)</f>
        <v>#N/A</v>
      </c>
      <c r="E3643" s="30">
        <f>'Raw data'!P3219</f>
        <v>0</v>
      </c>
      <c r="F3643" s="29" t="e">
        <f>VLOOKUP(E3643,'점포코드 '!A:B,2,0)</f>
        <v>#N/A</v>
      </c>
      <c r="G3643" s="46">
        <f>'Raw data'!F3552</f>
        <v>0</v>
      </c>
      <c r="H3643" s="4">
        <f>'Raw data'!G3552</f>
        <v>0</v>
      </c>
      <c r="I3643" s="29" t="e">
        <f>VLOOKUP(G3643,제품명!$C$1:$E$114,2,0)</f>
        <v>#N/A</v>
      </c>
      <c r="J3643" s="29">
        <f>'Raw data'!K3552</f>
        <v>0</v>
      </c>
      <c r="K3643" s="31">
        <f>'Raw data'!H3552</f>
        <v>0</v>
      </c>
      <c r="L3643" s="26">
        <f t="shared" si="116"/>
        <v>0</v>
      </c>
    </row>
    <row r="3644" spans="2:12">
      <c r="B3644" s="4" t="e">
        <f t="shared" si="115"/>
        <v>#N/A</v>
      </c>
      <c r="C3644" s="4">
        <f>'Raw data'!E3220</f>
        <v>0</v>
      </c>
      <c r="D3644" s="29" t="e">
        <f>VLOOKUP(C3644,'점포코드 '!A:B,2,0)</f>
        <v>#N/A</v>
      </c>
      <c r="E3644" s="30">
        <f>'Raw data'!P3220</f>
        <v>0</v>
      </c>
      <c r="F3644" s="29" t="e">
        <f>VLOOKUP(E3644,'점포코드 '!A:B,2,0)</f>
        <v>#N/A</v>
      </c>
      <c r="G3644" s="46">
        <f>'Raw data'!F3553</f>
        <v>0</v>
      </c>
      <c r="H3644" s="4">
        <f>'Raw data'!G3553</f>
        <v>0</v>
      </c>
      <c r="I3644" s="29" t="e">
        <f>VLOOKUP(G3644,제품명!$C$1:$E$114,2,0)</f>
        <v>#N/A</v>
      </c>
      <c r="J3644" s="29">
        <f>'Raw data'!K3553</f>
        <v>0</v>
      </c>
      <c r="K3644" s="31">
        <f>'Raw data'!H3553</f>
        <v>0</v>
      </c>
      <c r="L3644" s="26">
        <f t="shared" si="116"/>
        <v>0</v>
      </c>
    </row>
    <row r="3645" spans="2:12">
      <c r="B3645" s="4" t="e">
        <f t="shared" si="115"/>
        <v>#N/A</v>
      </c>
      <c r="C3645" s="4">
        <f>'Raw data'!E3221</f>
        <v>0</v>
      </c>
      <c r="D3645" s="29" t="e">
        <f>VLOOKUP(C3645,'점포코드 '!A:B,2,0)</f>
        <v>#N/A</v>
      </c>
      <c r="E3645" s="30">
        <f>'Raw data'!P3221</f>
        <v>0</v>
      </c>
      <c r="F3645" s="29" t="e">
        <f>VLOOKUP(E3645,'점포코드 '!A:B,2,0)</f>
        <v>#N/A</v>
      </c>
      <c r="G3645" s="46">
        <f>'Raw data'!F3554</f>
        <v>0</v>
      </c>
      <c r="H3645" s="4">
        <f>'Raw data'!G3554</f>
        <v>0</v>
      </c>
      <c r="I3645" s="29" t="e">
        <f>VLOOKUP(G3645,제품명!$C$1:$E$114,2,0)</f>
        <v>#N/A</v>
      </c>
      <c r="J3645" s="29">
        <f>'Raw data'!K3554</f>
        <v>0</v>
      </c>
      <c r="K3645" s="31">
        <f>'Raw data'!H3554</f>
        <v>0</v>
      </c>
      <c r="L3645" s="26">
        <f t="shared" si="116"/>
        <v>0</v>
      </c>
    </row>
    <row r="3646" spans="2:12">
      <c r="B3646" s="4" t="e">
        <f t="shared" si="115"/>
        <v>#N/A</v>
      </c>
      <c r="C3646" s="4">
        <f>'Raw data'!E3222</f>
        <v>0</v>
      </c>
      <c r="D3646" s="29" t="e">
        <f>VLOOKUP(C3646,'점포코드 '!A:B,2,0)</f>
        <v>#N/A</v>
      </c>
      <c r="E3646" s="30">
        <f>'Raw data'!P3222</f>
        <v>0</v>
      </c>
      <c r="F3646" s="29" t="e">
        <f>VLOOKUP(E3646,'점포코드 '!A:B,2,0)</f>
        <v>#N/A</v>
      </c>
      <c r="G3646" s="46">
        <f>'Raw data'!F3555</f>
        <v>0</v>
      </c>
      <c r="H3646" s="4">
        <f>'Raw data'!G3555</f>
        <v>0</v>
      </c>
      <c r="I3646" s="29" t="e">
        <f>VLOOKUP(G3646,제품명!$C$1:$E$114,2,0)</f>
        <v>#N/A</v>
      </c>
      <c r="J3646" s="29">
        <f>'Raw data'!K3555</f>
        <v>0</v>
      </c>
      <c r="K3646" s="31">
        <f>'Raw data'!H3555</f>
        <v>0</v>
      </c>
      <c r="L3646" s="26">
        <f t="shared" si="116"/>
        <v>0</v>
      </c>
    </row>
    <row r="3647" spans="2:12">
      <c r="B3647" s="4" t="e">
        <f t="shared" si="115"/>
        <v>#N/A</v>
      </c>
      <c r="C3647" s="4">
        <f>'Raw data'!E3223</f>
        <v>0</v>
      </c>
      <c r="D3647" s="29" t="e">
        <f>VLOOKUP(C3647,'점포코드 '!A:B,2,0)</f>
        <v>#N/A</v>
      </c>
      <c r="E3647" s="30">
        <f>'Raw data'!P3223</f>
        <v>0</v>
      </c>
      <c r="F3647" s="29" t="e">
        <f>VLOOKUP(E3647,'점포코드 '!A:B,2,0)</f>
        <v>#N/A</v>
      </c>
      <c r="G3647" s="46">
        <f>'Raw data'!F3556</f>
        <v>0</v>
      </c>
      <c r="H3647" s="4">
        <f>'Raw data'!G3556</f>
        <v>0</v>
      </c>
      <c r="I3647" s="29" t="e">
        <f>VLOOKUP(G3647,제품명!$C$1:$E$114,2,0)</f>
        <v>#N/A</v>
      </c>
      <c r="J3647" s="29">
        <f>'Raw data'!K3556</f>
        <v>0</v>
      </c>
      <c r="K3647" s="31">
        <f>'Raw data'!H3556</f>
        <v>0</v>
      </c>
      <c r="L3647" s="26">
        <f t="shared" si="116"/>
        <v>0</v>
      </c>
    </row>
    <row r="3648" spans="2:12">
      <c r="B3648" s="4" t="e">
        <f t="shared" si="115"/>
        <v>#N/A</v>
      </c>
      <c r="C3648" s="4">
        <f>'Raw data'!E3224</f>
        <v>0</v>
      </c>
      <c r="D3648" s="29" t="e">
        <f>VLOOKUP(C3648,'점포코드 '!A:B,2,0)</f>
        <v>#N/A</v>
      </c>
      <c r="E3648" s="30">
        <f>'Raw data'!P3224</f>
        <v>0</v>
      </c>
      <c r="F3648" s="29" t="e">
        <f>VLOOKUP(E3648,'점포코드 '!A:B,2,0)</f>
        <v>#N/A</v>
      </c>
      <c r="G3648" s="46">
        <f>'Raw data'!F3557</f>
        <v>0</v>
      </c>
      <c r="H3648" s="4">
        <f>'Raw data'!G3557</f>
        <v>0</v>
      </c>
      <c r="I3648" s="29" t="e">
        <f>VLOOKUP(G3648,제품명!$C$1:$E$114,2,0)</f>
        <v>#N/A</v>
      </c>
      <c r="J3648" s="29">
        <f>'Raw data'!K3557</f>
        <v>0</v>
      </c>
      <c r="K3648" s="31">
        <f>'Raw data'!H3557</f>
        <v>0</v>
      </c>
      <c r="L3648" s="26">
        <f t="shared" si="116"/>
        <v>0</v>
      </c>
    </row>
    <row r="3649" spans="2:12">
      <c r="B3649" s="4" t="e">
        <f t="shared" si="115"/>
        <v>#N/A</v>
      </c>
      <c r="C3649" s="4">
        <f>'Raw data'!E3225</f>
        <v>0</v>
      </c>
      <c r="D3649" s="29" t="e">
        <f>VLOOKUP(C3649,'점포코드 '!A:B,2,0)</f>
        <v>#N/A</v>
      </c>
      <c r="E3649" s="30">
        <f>'Raw data'!P3225</f>
        <v>0</v>
      </c>
      <c r="F3649" s="29" t="e">
        <f>VLOOKUP(E3649,'점포코드 '!A:B,2,0)</f>
        <v>#N/A</v>
      </c>
      <c r="G3649" s="46">
        <f>'Raw data'!F3558</f>
        <v>0</v>
      </c>
      <c r="H3649" s="4">
        <f>'Raw data'!G3558</f>
        <v>0</v>
      </c>
      <c r="I3649" s="29" t="e">
        <f>VLOOKUP(G3649,제품명!$C$1:$E$114,2,0)</f>
        <v>#N/A</v>
      </c>
      <c r="J3649" s="29">
        <f>'Raw data'!K3558</f>
        <v>0</v>
      </c>
      <c r="K3649" s="31">
        <f>'Raw data'!H3558</f>
        <v>0</v>
      </c>
      <c r="L3649" s="26">
        <f t="shared" si="116"/>
        <v>0</v>
      </c>
    </row>
    <row r="3650" spans="2:12">
      <c r="B3650" s="4" t="e">
        <f t="shared" ref="B3650:B3713" si="117">F3650&amp;I3650</f>
        <v>#N/A</v>
      </c>
      <c r="C3650" s="4">
        <f>'Raw data'!E3226</f>
        <v>0</v>
      </c>
      <c r="D3650" s="29" t="e">
        <f>VLOOKUP(C3650,'점포코드 '!A:B,2,0)</f>
        <v>#N/A</v>
      </c>
      <c r="E3650" s="30">
        <f>'Raw data'!P3226</f>
        <v>0</v>
      </c>
      <c r="F3650" s="29" t="e">
        <f>VLOOKUP(E3650,'점포코드 '!A:B,2,0)</f>
        <v>#N/A</v>
      </c>
      <c r="G3650" s="46">
        <f>'Raw data'!F3559</f>
        <v>0</v>
      </c>
      <c r="H3650" s="4">
        <f>'Raw data'!G3559</f>
        <v>0</v>
      </c>
      <c r="I3650" s="29" t="e">
        <f>VLOOKUP(G3650,제품명!$C$1:$E$114,2,0)</f>
        <v>#N/A</v>
      </c>
      <c r="J3650" s="29">
        <f>'Raw data'!K3559</f>
        <v>0</v>
      </c>
      <c r="K3650" s="31">
        <f>'Raw data'!H3559</f>
        <v>0</v>
      </c>
      <c r="L3650" s="26">
        <f t="shared" si="116"/>
        <v>0</v>
      </c>
    </row>
    <row r="3651" spans="2:12">
      <c r="B3651" s="4" t="e">
        <f t="shared" si="117"/>
        <v>#N/A</v>
      </c>
      <c r="C3651" s="4">
        <f>'Raw data'!E3227</f>
        <v>0</v>
      </c>
      <c r="D3651" s="29" t="e">
        <f>VLOOKUP(C3651,'점포코드 '!A:B,2,0)</f>
        <v>#N/A</v>
      </c>
      <c r="E3651" s="30">
        <f>'Raw data'!P3227</f>
        <v>0</v>
      </c>
      <c r="F3651" s="29" t="e">
        <f>VLOOKUP(E3651,'점포코드 '!A:B,2,0)</f>
        <v>#N/A</v>
      </c>
      <c r="G3651" s="46">
        <f>'Raw data'!F3560</f>
        <v>0</v>
      </c>
      <c r="H3651" s="4">
        <f>'Raw data'!G3560</f>
        <v>0</v>
      </c>
      <c r="I3651" s="29" t="e">
        <f>VLOOKUP(G3651,제품명!$C$1:$E$114,2,0)</f>
        <v>#N/A</v>
      </c>
      <c r="J3651" s="29">
        <f>'Raw data'!K3560</f>
        <v>0</v>
      </c>
      <c r="K3651" s="31">
        <f>'Raw data'!H3560</f>
        <v>0</v>
      </c>
      <c r="L3651" s="26">
        <f t="shared" ref="L3651:L3714" si="118">J3651*K3651</f>
        <v>0</v>
      </c>
    </row>
    <row r="3652" spans="2:12">
      <c r="B3652" s="4" t="e">
        <f t="shared" si="117"/>
        <v>#N/A</v>
      </c>
      <c r="C3652" s="4">
        <f>'Raw data'!E3228</f>
        <v>0</v>
      </c>
      <c r="D3652" s="29" t="e">
        <f>VLOOKUP(C3652,'점포코드 '!A:B,2,0)</f>
        <v>#N/A</v>
      </c>
      <c r="E3652" s="30">
        <f>'Raw data'!P3228</f>
        <v>0</v>
      </c>
      <c r="F3652" s="29" t="e">
        <f>VLOOKUP(E3652,'점포코드 '!A:B,2,0)</f>
        <v>#N/A</v>
      </c>
      <c r="G3652" s="46">
        <f>'Raw data'!F3561</f>
        <v>0</v>
      </c>
      <c r="H3652" s="4">
        <f>'Raw data'!G3561</f>
        <v>0</v>
      </c>
      <c r="I3652" s="29" t="e">
        <f>VLOOKUP(G3652,제품명!$C$1:$E$114,2,0)</f>
        <v>#N/A</v>
      </c>
      <c r="J3652" s="29">
        <f>'Raw data'!K3561</f>
        <v>0</v>
      </c>
      <c r="K3652" s="31">
        <f>'Raw data'!H3561</f>
        <v>0</v>
      </c>
      <c r="L3652" s="26">
        <f t="shared" si="118"/>
        <v>0</v>
      </c>
    </row>
    <row r="3653" spans="2:12">
      <c r="B3653" s="4" t="e">
        <f t="shared" si="117"/>
        <v>#N/A</v>
      </c>
      <c r="C3653" s="4">
        <f>'Raw data'!E3229</f>
        <v>0</v>
      </c>
      <c r="D3653" s="29" t="e">
        <f>VLOOKUP(C3653,'점포코드 '!A:B,2,0)</f>
        <v>#N/A</v>
      </c>
      <c r="E3653" s="30">
        <f>'Raw data'!P3229</f>
        <v>0</v>
      </c>
      <c r="F3653" s="29" t="e">
        <f>VLOOKUP(E3653,'점포코드 '!A:B,2,0)</f>
        <v>#N/A</v>
      </c>
      <c r="G3653" s="46">
        <f>'Raw data'!F3562</f>
        <v>0</v>
      </c>
      <c r="H3653" s="4">
        <f>'Raw data'!G3562</f>
        <v>0</v>
      </c>
      <c r="I3653" s="29" t="e">
        <f>VLOOKUP(G3653,제품명!$C$1:$E$114,2,0)</f>
        <v>#N/A</v>
      </c>
      <c r="J3653" s="29">
        <f>'Raw data'!K3562</f>
        <v>0</v>
      </c>
      <c r="K3653" s="31">
        <f>'Raw data'!H3562</f>
        <v>0</v>
      </c>
      <c r="L3653" s="26">
        <f t="shared" si="118"/>
        <v>0</v>
      </c>
    </row>
    <row r="3654" spans="2:12">
      <c r="B3654" s="4" t="e">
        <f t="shared" si="117"/>
        <v>#N/A</v>
      </c>
      <c r="C3654" s="4">
        <f>'Raw data'!E3230</f>
        <v>0</v>
      </c>
      <c r="D3654" s="29" t="e">
        <f>VLOOKUP(C3654,'점포코드 '!A:B,2,0)</f>
        <v>#N/A</v>
      </c>
      <c r="E3654" s="30">
        <f>'Raw data'!P3230</f>
        <v>0</v>
      </c>
      <c r="F3654" s="29" t="e">
        <f>VLOOKUP(E3654,'점포코드 '!A:B,2,0)</f>
        <v>#N/A</v>
      </c>
      <c r="G3654" s="46">
        <f>'Raw data'!F3563</f>
        <v>0</v>
      </c>
      <c r="H3654" s="4">
        <f>'Raw data'!G3563</f>
        <v>0</v>
      </c>
      <c r="I3654" s="29" t="e">
        <f>VLOOKUP(G3654,제품명!$C$1:$E$114,2,0)</f>
        <v>#N/A</v>
      </c>
      <c r="J3654" s="29">
        <f>'Raw data'!K3563</f>
        <v>0</v>
      </c>
      <c r="K3654" s="31">
        <f>'Raw data'!H3563</f>
        <v>0</v>
      </c>
      <c r="L3654" s="26">
        <f t="shared" si="118"/>
        <v>0</v>
      </c>
    </row>
    <row r="3655" spans="2:12">
      <c r="B3655" s="4" t="e">
        <f t="shared" si="117"/>
        <v>#N/A</v>
      </c>
      <c r="C3655" s="4">
        <f>'Raw data'!E3231</f>
        <v>0</v>
      </c>
      <c r="D3655" s="29" t="e">
        <f>VLOOKUP(C3655,'점포코드 '!A:B,2,0)</f>
        <v>#N/A</v>
      </c>
      <c r="E3655" s="30">
        <f>'Raw data'!P3231</f>
        <v>0</v>
      </c>
      <c r="F3655" s="29" t="e">
        <f>VLOOKUP(E3655,'점포코드 '!A:B,2,0)</f>
        <v>#N/A</v>
      </c>
      <c r="G3655" s="46">
        <f>'Raw data'!F3564</f>
        <v>0</v>
      </c>
      <c r="H3655" s="4">
        <f>'Raw data'!G3564</f>
        <v>0</v>
      </c>
      <c r="I3655" s="29" t="e">
        <f>VLOOKUP(G3655,제품명!$C$1:$E$114,2,0)</f>
        <v>#N/A</v>
      </c>
      <c r="J3655" s="29">
        <f>'Raw data'!K3564</f>
        <v>0</v>
      </c>
      <c r="K3655" s="31">
        <f>'Raw data'!H3564</f>
        <v>0</v>
      </c>
      <c r="L3655" s="26">
        <f t="shared" si="118"/>
        <v>0</v>
      </c>
    </row>
    <row r="3656" spans="2:12">
      <c r="B3656" s="4" t="e">
        <f t="shared" si="117"/>
        <v>#N/A</v>
      </c>
      <c r="C3656" s="4">
        <f>'Raw data'!E3232</f>
        <v>0</v>
      </c>
      <c r="D3656" s="29" t="e">
        <f>VLOOKUP(C3656,'점포코드 '!A:B,2,0)</f>
        <v>#N/A</v>
      </c>
      <c r="E3656" s="30">
        <f>'Raw data'!P3232</f>
        <v>0</v>
      </c>
      <c r="F3656" s="29" t="e">
        <f>VLOOKUP(E3656,'점포코드 '!A:B,2,0)</f>
        <v>#N/A</v>
      </c>
      <c r="G3656" s="46">
        <f>'Raw data'!F3565</f>
        <v>0</v>
      </c>
      <c r="H3656" s="4">
        <f>'Raw data'!G3565</f>
        <v>0</v>
      </c>
      <c r="I3656" s="29" t="e">
        <f>VLOOKUP(G3656,제품명!$C$1:$E$114,2,0)</f>
        <v>#N/A</v>
      </c>
      <c r="J3656" s="29">
        <f>'Raw data'!K3565</f>
        <v>0</v>
      </c>
      <c r="K3656" s="31">
        <f>'Raw data'!H3565</f>
        <v>0</v>
      </c>
      <c r="L3656" s="26">
        <f t="shared" si="118"/>
        <v>0</v>
      </c>
    </row>
    <row r="3657" spans="2:12">
      <c r="B3657" s="4" t="e">
        <f t="shared" si="117"/>
        <v>#N/A</v>
      </c>
      <c r="C3657" s="4">
        <f>'Raw data'!E3233</f>
        <v>0</v>
      </c>
      <c r="D3657" s="29" t="e">
        <f>VLOOKUP(C3657,'점포코드 '!A:B,2,0)</f>
        <v>#N/A</v>
      </c>
      <c r="E3657" s="30">
        <f>'Raw data'!P3233</f>
        <v>0</v>
      </c>
      <c r="F3657" s="29" t="e">
        <f>VLOOKUP(E3657,'점포코드 '!A:B,2,0)</f>
        <v>#N/A</v>
      </c>
      <c r="G3657" s="46">
        <f>'Raw data'!F3566</f>
        <v>0</v>
      </c>
      <c r="H3657" s="4">
        <f>'Raw data'!G3566</f>
        <v>0</v>
      </c>
      <c r="I3657" s="29" t="e">
        <f>VLOOKUP(G3657,제품명!$C$1:$E$114,2,0)</f>
        <v>#N/A</v>
      </c>
      <c r="J3657" s="29">
        <f>'Raw data'!K3566</f>
        <v>0</v>
      </c>
      <c r="K3657" s="31">
        <f>'Raw data'!H3566</f>
        <v>0</v>
      </c>
      <c r="L3657" s="26">
        <f t="shared" si="118"/>
        <v>0</v>
      </c>
    </row>
    <row r="3658" spans="2:12">
      <c r="B3658" s="4" t="e">
        <f t="shared" si="117"/>
        <v>#N/A</v>
      </c>
      <c r="C3658" s="4">
        <f>'Raw data'!E3234</f>
        <v>0</v>
      </c>
      <c r="D3658" s="29" t="e">
        <f>VLOOKUP(C3658,'점포코드 '!A:B,2,0)</f>
        <v>#N/A</v>
      </c>
      <c r="E3658" s="30">
        <f>'Raw data'!P3234</f>
        <v>0</v>
      </c>
      <c r="F3658" s="29" t="e">
        <f>VLOOKUP(E3658,'점포코드 '!A:B,2,0)</f>
        <v>#N/A</v>
      </c>
      <c r="G3658" s="46">
        <f>'Raw data'!F3567</f>
        <v>0</v>
      </c>
      <c r="H3658" s="4">
        <f>'Raw data'!G3567</f>
        <v>0</v>
      </c>
      <c r="I3658" s="29" t="e">
        <f>VLOOKUP(G3658,제품명!$C$1:$E$114,2,0)</f>
        <v>#N/A</v>
      </c>
      <c r="J3658" s="29">
        <f>'Raw data'!K3567</f>
        <v>0</v>
      </c>
      <c r="K3658" s="31">
        <f>'Raw data'!H3567</f>
        <v>0</v>
      </c>
      <c r="L3658" s="26">
        <f t="shared" si="118"/>
        <v>0</v>
      </c>
    </row>
    <row r="3659" spans="2:12">
      <c r="B3659" s="4" t="e">
        <f t="shared" si="117"/>
        <v>#N/A</v>
      </c>
      <c r="C3659" s="4">
        <f>'Raw data'!E3235</f>
        <v>0</v>
      </c>
      <c r="D3659" s="29" t="e">
        <f>VLOOKUP(C3659,'점포코드 '!A:B,2,0)</f>
        <v>#N/A</v>
      </c>
      <c r="E3659" s="30">
        <f>'Raw data'!P3235</f>
        <v>0</v>
      </c>
      <c r="F3659" s="29" t="e">
        <f>VLOOKUP(E3659,'점포코드 '!A:B,2,0)</f>
        <v>#N/A</v>
      </c>
      <c r="G3659" s="46">
        <f>'Raw data'!F3568</f>
        <v>0</v>
      </c>
      <c r="H3659" s="4">
        <f>'Raw data'!G3568</f>
        <v>0</v>
      </c>
      <c r="I3659" s="29" t="e">
        <f>VLOOKUP(G3659,제품명!$C$1:$E$114,2,0)</f>
        <v>#N/A</v>
      </c>
      <c r="J3659" s="29">
        <f>'Raw data'!K3568</f>
        <v>0</v>
      </c>
      <c r="K3659" s="31">
        <f>'Raw data'!H3568</f>
        <v>0</v>
      </c>
      <c r="L3659" s="26">
        <f t="shared" si="118"/>
        <v>0</v>
      </c>
    </row>
    <row r="3660" spans="2:12">
      <c r="B3660" s="4" t="e">
        <f t="shared" si="117"/>
        <v>#N/A</v>
      </c>
      <c r="C3660" s="4">
        <f>'Raw data'!E3236</f>
        <v>0</v>
      </c>
      <c r="D3660" s="29" t="e">
        <f>VLOOKUP(C3660,'점포코드 '!A:B,2,0)</f>
        <v>#N/A</v>
      </c>
      <c r="E3660" s="30">
        <f>'Raw data'!P3236</f>
        <v>0</v>
      </c>
      <c r="F3660" s="29" t="e">
        <f>VLOOKUP(E3660,'점포코드 '!A:B,2,0)</f>
        <v>#N/A</v>
      </c>
      <c r="G3660" s="46">
        <f>'Raw data'!F3569</f>
        <v>0</v>
      </c>
      <c r="H3660" s="4">
        <f>'Raw data'!G3569</f>
        <v>0</v>
      </c>
      <c r="I3660" s="29" t="e">
        <f>VLOOKUP(G3660,제품명!$C$1:$E$114,2,0)</f>
        <v>#N/A</v>
      </c>
      <c r="J3660" s="29">
        <f>'Raw data'!K3569</f>
        <v>0</v>
      </c>
      <c r="K3660" s="31">
        <f>'Raw data'!H3569</f>
        <v>0</v>
      </c>
      <c r="L3660" s="26">
        <f t="shared" si="118"/>
        <v>0</v>
      </c>
    </row>
    <row r="3661" spans="2:12">
      <c r="B3661" s="4" t="e">
        <f t="shared" si="117"/>
        <v>#N/A</v>
      </c>
      <c r="C3661" s="4">
        <f>'Raw data'!E3237</f>
        <v>0</v>
      </c>
      <c r="D3661" s="29" t="e">
        <f>VLOOKUP(C3661,'점포코드 '!A:B,2,0)</f>
        <v>#N/A</v>
      </c>
      <c r="E3661" s="30">
        <f>'Raw data'!P3237</f>
        <v>0</v>
      </c>
      <c r="F3661" s="29" t="e">
        <f>VLOOKUP(E3661,'점포코드 '!A:B,2,0)</f>
        <v>#N/A</v>
      </c>
      <c r="G3661" s="46">
        <f>'Raw data'!F3570</f>
        <v>0</v>
      </c>
      <c r="H3661" s="4">
        <f>'Raw data'!G3570</f>
        <v>0</v>
      </c>
      <c r="I3661" s="29" t="e">
        <f>VLOOKUP(G3661,제품명!$C$1:$E$114,2,0)</f>
        <v>#N/A</v>
      </c>
      <c r="J3661" s="29">
        <f>'Raw data'!K3570</f>
        <v>0</v>
      </c>
      <c r="K3661" s="31">
        <f>'Raw data'!H3570</f>
        <v>0</v>
      </c>
      <c r="L3661" s="26">
        <f t="shared" si="118"/>
        <v>0</v>
      </c>
    </row>
    <row r="3662" spans="2:12">
      <c r="B3662" s="4" t="e">
        <f t="shared" si="117"/>
        <v>#N/A</v>
      </c>
      <c r="C3662" s="4">
        <f>'Raw data'!E3238</f>
        <v>0</v>
      </c>
      <c r="D3662" s="29" t="e">
        <f>VLOOKUP(C3662,'점포코드 '!A:B,2,0)</f>
        <v>#N/A</v>
      </c>
      <c r="E3662" s="30">
        <f>'Raw data'!P3238</f>
        <v>0</v>
      </c>
      <c r="F3662" s="29" t="e">
        <f>VLOOKUP(E3662,'점포코드 '!A:B,2,0)</f>
        <v>#N/A</v>
      </c>
      <c r="G3662" s="46">
        <f>'Raw data'!F3571</f>
        <v>0</v>
      </c>
      <c r="H3662" s="4">
        <f>'Raw data'!G3571</f>
        <v>0</v>
      </c>
      <c r="I3662" s="29" t="e">
        <f>VLOOKUP(G3662,제품명!$C$1:$E$114,2,0)</f>
        <v>#N/A</v>
      </c>
      <c r="J3662" s="29">
        <f>'Raw data'!K3571</f>
        <v>0</v>
      </c>
      <c r="K3662" s="31">
        <f>'Raw data'!H3571</f>
        <v>0</v>
      </c>
      <c r="L3662" s="26">
        <f t="shared" si="118"/>
        <v>0</v>
      </c>
    </row>
    <row r="3663" spans="2:12">
      <c r="B3663" s="4" t="e">
        <f t="shared" si="117"/>
        <v>#N/A</v>
      </c>
      <c r="C3663" s="4">
        <f>'Raw data'!E3239</f>
        <v>0</v>
      </c>
      <c r="D3663" s="29" t="e">
        <f>VLOOKUP(C3663,'점포코드 '!A:B,2,0)</f>
        <v>#N/A</v>
      </c>
      <c r="E3663" s="30">
        <f>'Raw data'!P3239</f>
        <v>0</v>
      </c>
      <c r="F3663" s="29" t="e">
        <f>VLOOKUP(E3663,'점포코드 '!A:B,2,0)</f>
        <v>#N/A</v>
      </c>
      <c r="G3663" s="46">
        <f>'Raw data'!F3572</f>
        <v>0</v>
      </c>
      <c r="H3663" s="4">
        <f>'Raw data'!G3572</f>
        <v>0</v>
      </c>
      <c r="I3663" s="29" t="e">
        <f>VLOOKUP(G3663,제품명!$C$1:$E$114,2,0)</f>
        <v>#N/A</v>
      </c>
      <c r="J3663" s="29">
        <f>'Raw data'!K3572</f>
        <v>0</v>
      </c>
      <c r="K3663" s="31">
        <f>'Raw data'!H3572</f>
        <v>0</v>
      </c>
      <c r="L3663" s="26">
        <f t="shared" si="118"/>
        <v>0</v>
      </c>
    </row>
    <row r="3664" spans="2:12">
      <c r="B3664" s="4" t="e">
        <f t="shared" si="117"/>
        <v>#N/A</v>
      </c>
      <c r="C3664" s="4">
        <f>'Raw data'!E3240</f>
        <v>0</v>
      </c>
      <c r="D3664" s="29" t="e">
        <f>VLOOKUP(C3664,'점포코드 '!A:B,2,0)</f>
        <v>#N/A</v>
      </c>
      <c r="E3664" s="30">
        <f>'Raw data'!P3240</f>
        <v>0</v>
      </c>
      <c r="F3664" s="29" t="e">
        <f>VLOOKUP(E3664,'점포코드 '!A:B,2,0)</f>
        <v>#N/A</v>
      </c>
      <c r="G3664" s="46">
        <f>'Raw data'!F3573</f>
        <v>0</v>
      </c>
      <c r="H3664" s="4">
        <f>'Raw data'!G3573</f>
        <v>0</v>
      </c>
      <c r="I3664" s="29" t="e">
        <f>VLOOKUP(G3664,제품명!$C$1:$E$114,2,0)</f>
        <v>#N/A</v>
      </c>
      <c r="J3664" s="29">
        <f>'Raw data'!K3573</f>
        <v>0</v>
      </c>
      <c r="K3664" s="31">
        <f>'Raw data'!H3573</f>
        <v>0</v>
      </c>
      <c r="L3664" s="26">
        <f t="shared" si="118"/>
        <v>0</v>
      </c>
    </row>
    <row r="3665" spans="2:12">
      <c r="B3665" s="4" t="e">
        <f t="shared" si="117"/>
        <v>#N/A</v>
      </c>
      <c r="C3665" s="4">
        <f>'Raw data'!E3241</f>
        <v>0</v>
      </c>
      <c r="D3665" s="29" t="e">
        <f>VLOOKUP(C3665,'점포코드 '!A:B,2,0)</f>
        <v>#N/A</v>
      </c>
      <c r="E3665" s="30">
        <f>'Raw data'!P3241</f>
        <v>0</v>
      </c>
      <c r="F3665" s="29" t="e">
        <f>VLOOKUP(E3665,'점포코드 '!A:B,2,0)</f>
        <v>#N/A</v>
      </c>
      <c r="G3665" s="46">
        <f>'Raw data'!F3574</f>
        <v>0</v>
      </c>
      <c r="H3665" s="4">
        <f>'Raw data'!G3574</f>
        <v>0</v>
      </c>
      <c r="I3665" s="29" t="e">
        <f>VLOOKUP(G3665,제품명!$C$1:$E$114,2,0)</f>
        <v>#N/A</v>
      </c>
      <c r="J3665" s="29">
        <f>'Raw data'!K3574</f>
        <v>0</v>
      </c>
      <c r="K3665" s="31">
        <f>'Raw data'!H3574</f>
        <v>0</v>
      </c>
      <c r="L3665" s="26">
        <f t="shared" si="118"/>
        <v>0</v>
      </c>
    </row>
    <row r="3666" spans="2:12">
      <c r="B3666" s="4" t="e">
        <f t="shared" si="117"/>
        <v>#N/A</v>
      </c>
      <c r="C3666" s="4">
        <f>'Raw data'!E3242</f>
        <v>0</v>
      </c>
      <c r="D3666" s="29" t="e">
        <f>VLOOKUP(C3666,'점포코드 '!A:B,2,0)</f>
        <v>#N/A</v>
      </c>
      <c r="E3666" s="30">
        <f>'Raw data'!P3242</f>
        <v>0</v>
      </c>
      <c r="F3666" s="29" t="e">
        <f>VLOOKUP(E3666,'점포코드 '!A:B,2,0)</f>
        <v>#N/A</v>
      </c>
      <c r="G3666" s="46">
        <f>'Raw data'!F3575</f>
        <v>0</v>
      </c>
      <c r="H3666" s="4">
        <f>'Raw data'!G3575</f>
        <v>0</v>
      </c>
      <c r="I3666" s="29" t="e">
        <f>VLOOKUP(G3666,제품명!$C$1:$E$114,2,0)</f>
        <v>#N/A</v>
      </c>
      <c r="J3666" s="29">
        <f>'Raw data'!K3575</f>
        <v>0</v>
      </c>
      <c r="K3666" s="31">
        <f>'Raw data'!H3575</f>
        <v>0</v>
      </c>
      <c r="L3666" s="26">
        <f t="shared" si="118"/>
        <v>0</v>
      </c>
    </row>
    <row r="3667" spans="2:12">
      <c r="B3667" s="4" t="e">
        <f t="shared" si="117"/>
        <v>#N/A</v>
      </c>
      <c r="C3667" s="4">
        <f>'Raw data'!E3243</f>
        <v>0</v>
      </c>
      <c r="D3667" s="29" t="e">
        <f>VLOOKUP(C3667,'점포코드 '!A:B,2,0)</f>
        <v>#N/A</v>
      </c>
      <c r="E3667" s="30">
        <f>'Raw data'!P3243</f>
        <v>0</v>
      </c>
      <c r="F3667" s="29" t="e">
        <f>VLOOKUP(E3667,'점포코드 '!A:B,2,0)</f>
        <v>#N/A</v>
      </c>
      <c r="G3667" s="46">
        <f>'Raw data'!F3576</f>
        <v>0</v>
      </c>
      <c r="H3667" s="4">
        <f>'Raw data'!G3576</f>
        <v>0</v>
      </c>
      <c r="I3667" s="29" t="e">
        <f>VLOOKUP(G3667,제품명!$C$1:$E$114,2,0)</f>
        <v>#N/A</v>
      </c>
      <c r="J3667" s="29">
        <f>'Raw data'!K3576</f>
        <v>0</v>
      </c>
      <c r="K3667" s="31">
        <f>'Raw data'!H3576</f>
        <v>0</v>
      </c>
      <c r="L3667" s="26">
        <f t="shared" si="118"/>
        <v>0</v>
      </c>
    </row>
    <row r="3668" spans="2:12">
      <c r="B3668" s="4" t="e">
        <f t="shared" si="117"/>
        <v>#N/A</v>
      </c>
      <c r="C3668" s="4">
        <f>'Raw data'!E3244</f>
        <v>0</v>
      </c>
      <c r="D3668" s="29" t="e">
        <f>VLOOKUP(C3668,'점포코드 '!A:B,2,0)</f>
        <v>#N/A</v>
      </c>
      <c r="E3668" s="30">
        <f>'Raw data'!P3244</f>
        <v>0</v>
      </c>
      <c r="F3668" s="29" t="e">
        <f>VLOOKUP(E3668,'점포코드 '!A:B,2,0)</f>
        <v>#N/A</v>
      </c>
      <c r="G3668" s="46">
        <f>'Raw data'!F3577</f>
        <v>0</v>
      </c>
      <c r="H3668" s="4">
        <f>'Raw data'!G3577</f>
        <v>0</v>
      </c>
      <c r="I3668" s="29" t="e">
        <f>VLOOKUP(G3668,제품명!$C$1:$E$114,2,0)</f>
        <v>#N/A</v>
      </c>
      <c r="J3668" s="29">
        <f>'Raw data'!K3577</f>
        <v>0</v>
      </c>
      <c r="K3668" s="31">
        <f>'Raw data'!H3577</f>
        <v>0</v>
      </c>
      <c r="L3668" s="26">
        <f t="shared" si="118"/>
        <v>0</v>
      </c>
    </row>
    <row r="3669" spans="2:12">
      <c r="B3669" s="4" t="e">
        <f t="shared" si="117"/>
        <v>#N/A</v>
      </c>
      <c r="C3669" s="4">
        <f>'Raw data'!E3245</f>
        <v>0</v>
      </c>
      <c r="D3669" s="29" t="e">
        <f>VLOOKUP(C3669,'점포코드 '!A:B,2,0)</f>
        <v>#N/A</v>
      </c>
      <c r="E3669" s="30">
        <f>'Raw data'!P3245</f>
        <v>0</v>
      </c>
      <c r="F3669" s="29" t="e">
        <f>VLOOKUP(E3669,'점포코드 '!A:B,2,0)</f>
        <v>#N/A</v>
      </c>
      <c r="G3669" s="46">
        <f>'Raw data'!F3578</f>
        <v>0</v>
      </c>
      <c r="H3669" s="4">
        <f>'Raw data'!G3578</f>
        <v>0</v>
      </c>
      <c r="I3669" s="29" t="e">
        <f>VLOOKUP(G3669,제품명!$C$1:$E$114,2,0)</f>
        <v>#N/A</v>
      </c>
      <c r="J3669" s="29">
        <f>'Raw data'!K3578</f>
        <v>0</v>
      </c>
      <c r="K3669" s="31">
        <f>'Raw data'!H3578</f>
        <v>0</v>
      </c>
      <c r="L3669" s="26">
        <f t="shared" si="118"/>
        <v>0</v>
      </c>
    </row>
    <row r="3670" spans="2:12">
      <c r="B3670" s="4" t="e">
        <f t="shared" si="117"/>
        <v>#N/A</v>
      </c>
      <c r="C3670" s="4">
        <f>'Raw data'!E3246</f>
        <v>0</v>
      </c>
      <c r="D3670" s="29" t="e">
        <f>VLOOKUP(C3670,'점포코드 '!A:B,2,0)</f>
        <v>#N/A</v>
      </c>
      <c r="E3670" s="30">
        <f>'Raw data'!P3246</f>
        <v>0</v>
      </c>
      <c r="F3670" s="29" t="e">
        <f>VLOOKUP(E3670,'점포코드 '!A:B,2,0)</f>
        <v>#N/A</v>
      </c>
      <c r="G3670" s="46">
        <f>'Raw data'!F3579</f>
        <v>0</v>
      </c>
      <c r="H3670" s="4">
        <f>'Raw data'!G3579</f>
        <v>0</v>
      </c>
      <c r="I3670" s="29" t="e">
        <f>VLOOKUP(G3670,제품명!$C$1:$E$114,2,0)</f>
        <v>#N/A</v>
      </c>
      <c r="J3670" s="29">
        <f>'Raw data'!K3579</f>
        <v>0</v>
      </c>
      <c r="K3670" s="31">
        <f>'Raw data'!H3579</f>
        <v>0</v>
      </c>
      <c r="L3670" s="26">
        <f t="shared" si="118"/>
        <v>0</v>
      </c>
    </row>
    <row r="3671" spans="2:12">
      <c r="B3671" s="4" t="e">
        <f t="shared" si="117"/>
        <v>#N/A</v>
      </c>
      <c r="C3671" s="4">
        <f>'Raw data'!E3247</f>
        <v>0</v>
      </c>
      <c r="D3671" s="29" t="e">
        <f>VLOOKUP(C3671,'점포코드 '!A:B,2,0)</f>
        <v>#N/A</v>
      </c>
      <c r="E3671" s="30">
        <f>'Raw data'!P3247</f>
        <v>0</v>
      </c>
      <c r="F3671" s="29" t="e">
        <f>VLOOKUP(E3671,'점포코드 '!A:B,2,0)</f>
        <v>#N/A</v>
      </c>
      <c r="G3671" s="46">
        <f>'Raw data'!F3580</f>
        <v>0</v>
      </c>
      <c r="H3671" s="4">
        <f>'Raw data'!G3580</f>
        <v>0</v>
      </c>
      <c r="I3671" s="29" t="e">
        <f>VLOOKUP(G3671,제품명!$C$1:$E$114,2,0)</f>
        <v>#N/A</v>
      </c>
      <c r="J3671" s="29">
        <f>'Raw data'!K3580</f>
        <v>0</v>
      </c>
      <c r="K3671" s="31">
        <f>'Raw data'!H3580</f>
        <v>0</v>
      </c>
      <c r="L3671" s="26">
        <f t="shared" si="118"/>
        <v>0</v>
      </c>
    </row>
    <row r="3672" spans="2:12">
      <c r="B3672" s="4" t="e">
        <f t="shared" si="117"/>
        <v>#N/A</v>
      </c>
      <c r="C3672" s="4">
        <f>'Raw data'!E3248</f>
        <v>0</v>
      </c>
      <c r="D3672" s="29" t="e">
        <f>VLOOKUP(C3672,'점포코드 '!A:B,2,0)</f>
        <v>#N/A</v>
      </c>
      <c r="E3672" s="30">
        <f>'Raw data'!P3248</f>
        <v>0</v>
      </c>
      <c r="F3672" s="29" t="e">
        <f>VLOOKUP(E3672,'점포코드 '!A:B,2,0)</f>
        <v>#N/A</v>
      </c>
      <c r="G3672" s="46">
        <f>'Raw data'!F3581</f>
        <v>0</v>
      </c>
      <c r="H3672" s="4">
        <f>'Raw data'!G3581</f>
        <v>0</v>
      </c>
      <c r="I3672" s="29" t="e">
        <f>VLOOKUP(G3672,제품명!$C$1:$E$114,2,0)</f>
        <v>#N/A</v>
      </c>
      <c r="J3672" s="29">
        <f>'Raw data'!K3581</f>
        <v>0</v>
      </c>
      <c r="K3672" s="31">
        <f>'Raw data'!H3581</f>
        <v>0</v>
      </c>
      <c r="L3672" s="26">
        <f t="shared" si="118"/>
        <v>0</v>
      </c>
    </row>
    <row r="3673" spans="2:12">
      <c r="B3673" s="4" t="e">
        <f t="shared" si="117"/>
        <v>#N/A</v>
      </c>
      <c r="C3673" s="4">
        <f>'Raw data'!E3249</f>
        <v>0</v>
      </c>
      <c r="D3673" s="29" t="e">
        <f>VLOOKUP(C3673,'점포코드 '!A:B,2,0)</f>
        <v>#N/A</v>
      </c>
      <c r="E3673" s="30">
        <f>'Raw data'!P3249</f>
        <v>0</v>
      </c>
      <c r="F3673" s="29" t="e">
        <f>VLOOKUP(E3673,'점포코드 '!A:B,2,0)</f>
        <v>#N/A</v>
      </c>
      <c r="G3673" s="46">
        <f>'Raw data'!F3582</f>
        <v>0</v>
      </c>
      <c r="H3673" s="4">
        <f>'Raw data'!G3582</f>
        <v>0</v>
      </c>
      <c r="I3673" s="29" t="e">
        <f>VLOOKUP(G3673,제품명!$C$1:$E$114,2,0)</f>
        <v>#N/A</v>
      </c>
      <c r="J3673" s="29">
        <f>'Raw data'!K3582</f>
        <v>0</v>
      </c>
      <c r="K3673" s="31">
        <f>'Raw data'!H3582</f>
        <v>0</v>
      </c>
      <c r="L3673" s="26">
        <f t="shared" si="118"/>
        <v>0</v>
      </c>
    </row>
    <row r="3674" spans="2:12">
      <c r="B3674" s="4" t="e">
        <f t="shared" si="117"/>
        <v>#N/A</v>
      </c>
      <c r="C3674" s="4">
        <f>'Raw data'!E3250</f>
        <v>0</v>
      </c>
      <c r="D3674" s="29" t="e">
        <f>VLOOKUP(C3674,'점포코드 '!A:B,2,0)</f>
        <v>#N/A</v>
      </c>
      <c r="E3674" s="30">
        <f>'Raw data'!P3250</f>
        <v>0</v>
      </c>
      <c r="F3674" s="29" t="e">
        <f>VLOOKUP(E3674,'점포코드 '!A:B,2,0)</f>
        <v>#N/A</v>
      </c>
      <c r="G3674" s="46">
        <f>'Raw data'!F3583</f>
        <v>0</v>
      </c>
      <c r="H3674" s="4">
        <f>'Raw data'!G3583</f>
        <v>0</v>
      </c>
      <c r="I3674" s="29" t="e">
        <f>VLOOKUP(G3674,제품명!$C$1:$E$114,2,0)</f>
        <v>#N/A</v>
      </c>
      <c r="J3674" s="29">
        <f>'Raw data'!K3583</f>
        <v>0</v>
      </c>
      <c r="K3674" s="31">
        <f>'Raw data'!H3583</f>
        <v>0</v>
      </c>
      <c r="L3674" s="26">
        <f t="shared" si="118"/>
        <v>0</v>
      </c>
    </row>
    <row r="3675" spans="2:12">
      <c r="B3675" s="4" t="e">
        <f t="shared" si="117"/>
        <v>#N/A</v>
      </c>
      <c r="C3675" s="4">
        <f>'Raw data'!E3251</f>
        <v>0</v>
      </c>
      <c r="D3675" s="29" t="e">
        <f>VLOOKUP(C3675,'점포코드 '!A:B,2,0)</f>
        <v>#N/A</v>
      </c>
      <c r="E3675" s="30">
        <f>'Raw data'!P3251</f>
        <v>0</v>
      </c>
      <c r="F3675" s="29" t="e">
        <f>VLOOKUP(E3675,'점포코드 '!A:B,2,0)</f>
        <v>#N/A</v>
      </c>
      <c r="G3675" s="46">
        <f>'Raw data'!F3584</f>
        <v>0</v>
      </c>
      <c r="H3675" s="4">
        <f>'Raw data'!G3584</f>
        <v>0</v>
      </c>
      <c r="I3675" s="29" t="e">
        <f>VLOOKUP(G3675,제품명!$C$1:$E$114,2,0)</f>
        <v>#N/A</v>
      </c>
      <c r="J3675" s="29">
        <f>'Raw data'!K3584</f>
        <v>0</v>
      </c>
      <c r="K3675" s="31">
        <f>'Raw data'!H3584</f>
        <v>0</v>
      </c>
      <c r="L3675" s="26">
        <f t="shared" si="118"/>
        <v>0</v>
      </c>
    </row>
    <row r="3676" spans="2:12">
      <c r="B3676" s="4" t="e">
        <f t="shared" si="117"/>
        <v>#N/A</v>
      </c>
      <c r="C3676" s="4">
        <f>'Raw data'!E3252</f>
        <v>0</v>
      </c>
      <c r="D3676" s="29" t="e">
        <f>VLOOKUP(C3676,'점포코드 '!A:B,2,0)</f>
        <v>#N/A</v>
      </c>
      <c r="E3676" s="30">
        <f>'Raw data'!P3252</f>
        <v>0</v>
      </c>
      <c r="F3676" s="29" t="e">
        <f>VLOOKUP(E3676,'점포코드 '!A:B,2,0)</f>
        <v>#N/A</v>
      </c>
      <c r="G3676" s="46">
        <f>'Raw data'!F3585</f>
        <v>0</v>
      </c>
      <c r="H3676" s="4">
        <f>'Raw data'!G3585</f>
        <v>0</v>
      </c>
      <c r="I3676" s="29" t="e">
        <f>VLOOKUP(G3676,제품명!$C$1:$E$114,2,0)</f>
        <v>#N/A</v>
      </c>
      <c r="J3676" s="29">
        <f>'Raw data'!K3585</f>
        <v>0</v>
      </c>
      <c r="K3676" s="31">
        <f>'Raw data'!H3585</f>
        <v>0</v>
      </c>
      <c r="L3676" s="26">
        <f t="shared" si="118"/>
        <v>0</v>
      </c>
    </row>
    <row r="3677" spans="2:12">
      <c r="B3677" s="4" t="e">
        <f t="shared" si="117"/>
        <v>#N/A</v>
      </c>
      <c r="C3677" s="4">
        <f>'Raw data'!E3253</f>
        <v>0</v>
      </c>
      <c r="D3677" s="29" t="e">
        <f>VLOOKUP(C3677,'점포코드 '!A:B,2,0)</f>
        <v>#N/A</v>
      </c>
      <c r="E3677" s="30">
        <f>'Raw data'!P3253</f>
        <v>0</v>
      </c>
      <c r="F3677" s="29" t="e">
        <f>VLOOKUP(E3677,'점포코드 '!A:B,2,0)</f>
        <v>#N/A</v>
      </c>
      <c r="G3677" s="46">
        <f>'Raw data'!F3586</f>
        <v>0</v>
      </c>
      <c r="H3677" s="4">
        <f>'Raw data'!G3586</f>
        <v>0</v>
      </c>
      <c r="I3677" s="29" t="e">
        <f>VLOOKUP(G3677,제품명!$C$1:$E$114,2,0)</f>
        <v>#N/A</v>
      </c>
      <c r="J3677" s="29">
        <f>'Raw data'!K3586</f>
        <v>0</v>
      </c>
      <c r="K3677" s="31">
        <f>'Raw data'!H3586</f>
        <v>0</v>
      </c>
      <c r="L3677" s="26">
        <f t="shared" si="118"/>
        <v>0</v>
      </c>
    </row>
    <row r="3678" spans="2:12">
      <c r="B3678" s="4" t="e">
        <f t="shared" si="117"/>
        <v>#N/A</v>
      </c>
      <c r="C3678" s="4">
        <f>'Raw data'!E3254</f>
        <v>0</v>
      </c>
      <c r="D3678" s="29" t="e">
        <f>VLOOKUP(C3678,'점포코드 '!A:B,2,0)</f>
        <v>#N/A</v>
      </c>
      <c r="E3678" s="30">
        <f>'Raw data'!P3254</f>
        <v>0</v>
      </c>
      <c r="F3678" s="29" t="e">
        <f>VLOOKUP(E3678,'점포코드 '!A:B,2,0)</f>
        <v>#N/A</v>
      </c>
      <c r="G3678" s="46">
        <f>'Raw data'!F3587</f>
        <v>0</v>
      </c>
      <c r="H3678" s="4">
        <f>'Raw data'!G3587</f>
        <v>0</v>
      </c>
      <c r="I3678" s="29" t="e">
        <f>VLOOKUP(G3678,제품명!$C$1:$E$114,2,0)</f>
        <v>#N/A</v>
      </c>
      <c r="J3678" s="29">
        <f>'Raw data'!K3587</f>
        <v>0</v>
      </c>
      <c r="K3678" s="31">
        <f>'Raw data'!H3587</f>
        <v>0</v>
      </c>
      <c r="L3678" s="26">
        <f t="shared" si="118"/>
        <v>0</v>
      </c>
    </row>
    <row r="3679" spans="2:12">
      <c r="B3679" s="4" t="e">
        <f t="shared" si="117"/>
        <v>#N/A</v>
      </c>
      <c r="C3679" s="4">
        <f>'Raw data'!E3255</f>
        <v>0</v>
      </c>
      <c r="D3679" s="29" t="e">
        <f>VLOOKUP(C3679,'점포코드 '!A:B,2,0)</f>
        <v>#N/A</v>
      </c>
      <c r="E3679" s="30">
        <f>'Raw data'!P3255</f>
        <v>0</v>
      </c>
      <c r="F3679" s="29" t="e">
        <f>VLOOKUP(E3679,'점포코드 '!A:B,2,0)</f>
        <v>#N/A</v>
      </c>
      <c r="G3679" s="46">
        <f>'Raw data'!F3588</f>
        <v>0</v>
      </c>
      <c r="H3679" s="4">
        <f>'Raw data'!G3588</f>
        <v>0</v>
      </c>
      <c r="I3679" s="29" t="e">
        <f>VLOOKUP(G3679,제품명!$C$1:$E$114,2,0)</f>
        <v>#N/A</v>
      </c>
      <c r="J3679" s="29">
        <f>'Raw data'!K3588</f>
        <v>0</v>
      </c>
      <c r="K3679" s="31">
        <f>'Raw data'!H3588</f>
        <v>0</v>
      </c>
      <c r="L3679" s="26">
        <f t="shared" si="118"/>
        <v>0</v>
      </c>
    </row>
    <row r="3680" spans="2:12">
      <c r="B3680" s="4" t="e">
        <f t="shared" si="117"/>
        <v>#N/A</v>
      </c>
      <c r="C3680" s="4">
        <f>'Raw data'!E3256</f>
        <v>0</v>
      </c>
      <c r="D3680" s="29" t="e">
        <f>VLOOKUP(C3680,'점포코드 '!A:B,2,0)</f>
        <v>#N/A</v>
      </c>
      <c r="E3680" s="30">
        <f>'Raw data'!P3256</f>
        <v>0</v>
      </c>
      <c r="F3680" s="29" t="e">
        <f>VLOOKUP(E3680,'점포코드 '!A:B,2,0)</f>
        <v>#N/A</v>
      </c>
      <c r="G3680" s="46">
        <f>'Raw data'!F3589</f>
        <v>0</v>
      </c>
      <c r="H3680" s="4">
        <f>'Raw data'!G3589</f>
        <v>0</v>
      </c>
      <c r="I3680" s="29" t="e">
        <f>VLOOKUP(G3680,제품명!$C$1:$E$114,2,0)</f>
        <v>#N/A</v>
      </c>
      <c r="J3680" s="29">
        <f>'Raw data'!K3589</f>
        <v>0</v>
      </c>
      <c r="K3680" s="31">
        <f>'Raw data'!H3589</f>
        <v>0</v>
      </c>
      <c r="L3680" s="26">
        <f t="shared" si="118"/>
        <v>0</v>
      </c>
    </row>
    <row r="3681" spans="2:12">
      <c r="B3681" s="4" t="e">
        <f t="shared" si="117"/>
        <v>#N/A</v>
      </c>
      <c r="C3681" s="4">
        <f>'Raw data'!E3257</f>
        <v>0</v>
      </c>
      <c r="D3681" s="29" t="e">
        <f>VLOOKUP(C3681,'점포코드 '!A:B,2,0)</f>
        <v>#N/A</v>
      </c>
      <c r="E3681" s="30">
        <f>'Raw data'!P3257</f>
        <v>0</v>
      </c>
      <c r="F3681" s="29" t="e">
        <f>VLOOKUP(E3681,'점포코드 '!A:B,2,0)</f>
        <v>#N/A</v>
      </c>
      <c r="G3681" s="46">
        <f>'Raw data'!F3590</f>
        <v>0</v>
      </c>
      <c r="H3681" s="4">
        <f>'Raw data'!G3590</f>
        <v>0</v>
      </c>
      <c r="I3681" s="29" t="e">
        <f>VLOOKUP(G3681,제품명!$C$1:$E$114,2,0)</f>
        <v>#N/A</v>
      </c>
      <c r="J3681" s="29">
        <f>'Raw data'!K3590</f>
        <v>0</v>
      </c>
      <c r="K3681" s="31">
        <f>'Raw data'!H3590</f>
        <v>0</v>
      </c>
      <c r="L3681" s="26">
        <f t="shared" si="118"/>
        <v>0</v>
      </c>
    </row>
    <row r="3682" spans="2:12">
      <c r="B3682" s="4" t="e">
        <f t="shared" si="117"/>
        <v>#N/A</v>
      </c>
      <c r="C3682" s="4">
        <f>'Raw data'!E3258</f>
        <v>0</v>
      </c>
      <c r="D3682" s="29" t="e">
        <f>VLOOKUP(C3682,'점포코드 '!A:B,2,0)</f>
        <v>#N/A</v>
      </c>
      <c r="E3682" s="30">
        <f>'Raw data'!P3258</f>
        <v>0</v>
      </c>
      <c r="F3682" s="29" t="e">
        <f>VLOOKUP(E3682,'점포코드 '!A:B,2,0)</f>
        <v>#N/A</v>
      </c>
      <c r="G3682" s="46">
        <f>'Raw data'!F3591</f>
        <v>0</v>
      </c>
      <c r="H3682" s="4">
        <f>'Raw data'!G3591</f>
        <v>0</v>
      </c>
      <c r="I3682" s="29" t="e">
        <f>VLOOKUP(G3682,제품명!$C$1:$E$114,2,0)</f>
        <v>#N/A</v>
      </c>
      <c r="J3682" s="29">
        <f>'Raw data'!K3591</f>
        <v>0</v>
      </c>
      <c r="K3682" s="31">
        <f>'Raw data'!H3591</f>
        <v>0</v>
      </c>
      <c r="L3682" s="26">
        <f t="shared" si="118"/>
        <v>0</v>
      </c>
    </row>
    <row r="3683" spans="2:12">
      <c r="B3683" s="4" t="e">
        <f t="shared" si="117"/>
        <v>#N/A</v>
      </c>
      <c r="C3683" s="4">
        <f>'Raw data'!E3259</f>
        <v>0</v>
      </c>
      <c r="D3683" s="29" t="e">
        <f>VLOOKUP(C3683,'점포코드 '!A:B,2,0)</f>
        <v>#N/A</v>
      </c>
      <c r="E3683" s="30">
        <f>'Raw data'!P3259</f>
        <v>0</v>
      </c>
      <c r="F3683" s="29" t="e">
        <f>VLOOKUP(E3683,'점포코드 '!A:B,2,0)</f>
        <v>#N/A</v>
      </c>
      <c r="G3683" s="46">
        <f>'Raw data'!F3592</f>
        <v>0</v>
      </c>
      <c r="H3683" s="4">
        <f>'Raw data'!G3592</f>
        <v>0</v>
      </c>
      <c r="I3683" s="29" t="e">
        <f>VLOOKUP(G3683,제품명!$C$1:$E$114,2,0)</f>
        <v>#N/A</v>
      </c>
      <c r="J3683" s="29">
        <f>'Raw data'!K3592</f>
        <v>0</v>
      </c>
      <c r="K3683" s="31">
        <f>'Raw data'!H3592</f>
        <v>0</v>
      </c>
      <c r="L3683" s="26">
        <f t="shared" si="118"/>
        <v>0</v>
      </c>
    </row>
    <row r="3684" spans="2:12">
      <c r="B3684" s="4" t="e">
        <f t="shared" si="117"/>
        <v>#N/A</v>
      </c>
      <c r="C3684" s="4">
        <f>'Raw data'!E3260</f>
        <v>0</v>
      </c>
      <c r="D3684" s="29" t="e">
        <f>VLOOKUP(C3684,'점포코드 '!A:B,2,0)</f>
        <v>#N/A</v>
      </c>
      <c r="E3684" s="30">
        <f>'Raw data'!P3260</f>
        <v>0</v>
      </c>
      <c r="F3684" s="29" t="e">
        <f>VLOOKUP(E3684,'점포코드 '!A:B,2,0)</f>
        <v>#N/A</v>
      </c>
      <c r="G3684" s="46">
        <f>'Raw data'!F3593</f>
        <v>0</v>
      </c>
      <c r="H3684" s="4">
        <f>'Raw data'!G3593</f>
        <v>0</v>
      </c>
      <c r="I3684" s="29" t="e">
        <f>VLOOKUP(G3684,제품명!$C$1:$E$114,2,0)</f>
        <v>#N/A</v>
      </c>
      <c r="J3684" s="29">
        <f>'Raw data'!K3593</f>
        <v>0</v>
      </c>
      <c r="K3684" s="31">
        <f>'Raw data'!H3593</f>
        <v>0</v>
      </c>
      <c r="L3684" s="26">
        <f t="shared" si="118"/>
        <v>0</v>
      </c>
    </row>
    <row r="3685" spans="2:12">
      <c r="B3685" s="4" t="e">
        <f t="shared" si="117"/>
        <v>#N/A</v>
      </c>
      <c r="C3685" s="4">
        <f>'Raw data'!E3261</f>
        <v>0</v>
      </c>
      <c r="D3685" s="29" t="e">
        <f>VLOOKUP(C3685,'점포코드 '!A:B,2,0)</f>
        <v>#N/A</v>
      </c>
      <c r="E3685" s="30">
        <f>'Raw data'!P3261</f>
        <v>0</v>
      </c>
      <c r="F3685" s="29" t="e">
        <f>VLOOKUP(E3685,'점포코드 '!A:B,2,0)</f>
        <v>#N/A</v>
      </c>
      <c r="G3685" s="46">
        <f>'Raw data'!F3594</f>
        <v>0</v>
      </c>
      <c r="H3685" s="4">
        <f>'Raw data'!G3594</f>
        <v>0</v>
      </c>
      <c r="I3685" s="29" t="e">
        <f>VLOOKUP(G3685,제품명!$C$1:$E$114,2,0)</f>
        <v>#N/A</v>
      </c>
      <c r="J3685" s="29">
        <f>'Raw data'!K3594</f>
        <v>0</v>
      </c>
      <c r="K3685" s="31">
        <f>'Raw data'!H3594</f>
        <v>0</v>
      </c>
      <c r="L3685" s="26">
        <f t="shared" si="118"/>
        <v>0</v>
      </c>
    </row>
    <row r="3686" spans="2:12">
      <c r="B3686" s="4" t="e">
        <f t="shared" si="117"/>
        <v>#N/A</v>
      </c>
      <c r="C3686" s="4">
        <f>'Raw data'!E3262</f>
        <v>0</v>
      </c>
      <c r="D3686" s="29" t="e">
        <f>VLOOKUP(C3686,'점포코드 '!A:B,2,0)</f>
        <v>#N/A</v>
      </c>
      <c r="E3686" s="30">
        <f>'Raw data'!P3262</f>
        <v>0</v>
      </c>
      <c r="F3686" s="29" t="e">
        <f>VLOOKUP(E3686,'점포코드 '!A:B,2,0)</f>
        <v>#N/A</v>
      </c>
      <c r="G3686" s="46">
        <f>'Raw data'!F3595</f>
        <v>0</v>
      </c>
      <c r="H3686" s="4">
        <f>'Raw data'!G3595</f>
        <v>0</v>
      </c>
      <c r="I3686" s="29" t="e">
        <f>VLOOKUP(G3686,제품명!$C$1:$E$114,2,0)</f>
        <v>#N/A</v>
      </c>
      <c r="J3686" s="29">
        <f>'Raw data'!K3595</f>
        <v>0</v>
      </c>
      <c r="K3686" s="31">
        <f>'Raw data'!H3595</f>
        <v>0</v>
      </c>
      <c r="L3686" s="26">
        <f t="shared" si="118"/>
        <v>0</v>
      </c>
    </row>
    <row r="3687" spans="2:12">
      <c r="B3687" s="4" t="e">
        <f t="shared" si="117"/>
        <v>#N/A</v>
      </c>
      <c r="C3687" s="4">
        <f>'Raw data'!E3263</f>
        <v>0</v>
      </c>
      <c r="D3687" s="29" t="e">
        <f>VLOOKUP(C3687,'점포코드 '!A:B,2,0)</f>
        <v>#N/A</v>
      </c>
      <c r="E3687" s="30">
        <f>'Raw data'!P3263</f>
        <v>0</v>
      </c>
      <c r="F3687" s="29" t="e">
        <f>VLOOKUP(E3687,'점포코드 '!A:B,2,0)</f>
        <v>#N/A</v>
      </c>
      <c r="G3687" s="46">
        <f>'Raw data'!F3596</f>
        <v>0</v>
      </c>
      <c r="H3687" s="4">
        <f>'Raw data'!G3596</f>
        <v>0</v>
      </c>
      <c r="I3687" s="29" t="e">
        <f>VLOOKUP(G3687,제품명!$C$1:$E$114,2,0)</f>
        <v>#N/A</v>
      </c>
      <c r="J3687" s="29">
        <f>'Raw data'!K3596</f>
        <v>0</v>
      </c>
      <c r="K3687" s="31">
        <f>'Raw data'!H3596</f>
        <v>0</v>
      </c>
      <c r="L3687" s="26">
        <f t="shared" si="118"/>
        <v>0</v>
      </c>
    </row>
    <row r="3688" spans="2:12">
      <c r="B3688" s="4" t="e">
        <f t="shared" si="117"/>
        <v>#N/A</v>
      </c>
      <c r="C3688" s="4">
        <f>'Raw data'!E3264</f>
        <v>0</v>
      </c>
      <c r="D3688" s="29" t="e">
        <f>VLOOKUP(C3688,'점포코드 '!A:B,2,0)</f>
        <v>#N/A</v>
      </c>
      <c r="E3688" s="30">
        <f>'Raw data'!P3264</f>
        <v>0</v>
      </c>
      <c r="F3688" s="29" t="e">
        <f>VLOOKUP(E3688,'점포코드 '!A:B,2,0)</f>
        <v>#N/A</v>
      </c>
      <c r="G3688" s="46">
        <f>'Raw data'!F3597</f>
        <v>0</v>
      </c>
      <c r="H3688" s="4">
        <f>'Raw data'!G3597</f>
        <v>0</v>
      </c>
      <c r="I3688" s="29" t="e">
        <f>VLOOKUP(G3688,제품명!$C$1:$E$114,2,0)</f>
        <v>#N/A</v>
      </c>
      <c r="J3688" s="29">
        <f>'Raw data'!K3597</f>
        <v>0</v>
      </c>
      <c r="K3688" s="31">
        <f>'Raw data'!H3597</f>
        <v>0</v>
      </c>
      <c r="L3688" s="26">
        <f t="shared" si="118"/>
        <v>0</v>
      </c>
    </row>
    <row r="3689" spans="2:12">
      <c r="B3689" s="4" t="e">
        <f t="shared" si="117"/>
        <v>#N/A</v>
      </c>
      <c r="C3689" s="4">
        <f>'Raw data'!E3265</f>
        <v>0</v>
      </c>
      <c r="D3689" s="29" t="e">
        <f>VLOOKUP(C3689,'점포코드 '!A:B,2,0)</f>
        <v>#N/A</v>
      </c>
      <c r="E3689" s="30">
        <f>'Raw data'!P3265</f>
        <v>0</v>
      </c>
      <c r="F3689" s="29" t="e">
        <f>VLOOKUP(E3689,'점포코드 '!A:B,2,0)</f>
        <v>#N/A</v>
      </c>
      <c r="G3689" s="46">
        <f>'Raw data'!F3598</f>
        <v>0</v>
      </c>
      <c r="H3689" s="4">
        <f>'Raw data'!G3598</f>
        <v>0</v>
      </c>
      <c r="I3689" s="29" t="e">
        <f>VLOOKUP(G3689,제품명!$C$1:$E$114,2,0)</f>
        <v>#N/A</v>
      </c>
      <c r="J3689" s="29">
        <f>'Raw data'!K3598</f>
        <v>0</v>
      </c>
      <c r="K3689" s="31">
        <f>'Raw data'!H3598</f>
        <v>0</v>
      </c>
      <c r="L3689" s="26">
        <f t="shared" si="118"/>
        <v>0</v>
      </c>
    </row>
    <row r="3690" spans="2:12">
      <c r="B3690" s="4" t="e">
        <f t="shared" si="117"/>
        <v>#N/A</v>
      </c>
      <c r="C3690" s="4">
        <f>'Raw data'!E3266</f>
        <v>0</v>
      </c>
      <c r="D3690" s="29" t="e">
        <f>VLOOKUP(C3690,'점포코드 '!A:B,2,0)</f>
        <v>#N/A</v>
      </c>
      <c r="E3690" s="30">
        <f>'Raw data'!P3266</f>
        <v>0</v>
      </c>
      <c r="F3690" s="29" t="e">
        <f>VLOOKUP(E3690,'점포코드 '!A:B,2,0)</f>
        <v>#N/A</v>
      </c>
      <c r="G3690" s="46">
        <f>'Raw data'!F3599</f>
        <v>0</v>
      </c>
      <c r="H3690" s="4">
        <f>'Raw data'!G3599</f>
        <v>0</v>
      </c>
      <c r="I3690" s="29" t="e">
        <f>VLOOKUP(G3690,제품명!$C$1:$E$114,2,0)</f>
        <v>#N/A</v>
      </c>
      <c r="J3690" s="29">
        <f>'Raw data'!K3599</f>
        <v>0</v>
      </c>
      <c r="K3690" s="31">
        <f>'Raw data'!H3599</f>
        <v>0</v>
      </c>
      <c r="L3690" s="26">
        <f t="shared" si="118"/>
        <v>0</v>
      </c>
    </row>
    <row r="3691" spans="2:12">
      <c r="B3691" s="4" t="e">
        <f t="shared" si="117"/>
        <v>#N/A</v>
      </c>
      <c r="C3691" s="4">
        <f>'Raw data'!E3267</f>
        <v>0</v>
      </c>
      <c r="D3691" s="29" t="e">
        <f>VLOOKUP(C3691,'점포코드 '!A:B,2,0)</f>
        <v>#N/A</v>
      </c>
      <c r="E3691" s="30">
        <f>'Raw data'!P3267</f>
        <v>0</v>
      </c>
      <c r="F3691" s="29" t="e">
        <f>VLOOKUP(E3691,'점포코드 '!A:B,2,0)</f>
        <v>#N/A</v>
      </c>
      <c r="G3691" s="46">
        <f>'Raw data'!F3600</f>
        <v>0</v>
      </c>
      <c r="H3691" s="4">
        <f>'Raw data'!G3600</f>
        <v>0</v>
      </c>
      <c r="I3691" s="29" t="e">
        <f>VLOOKUP(G3691,제품명!$C$1:$E$114,2,0)</f>
        <v>#N/A</v>
      </c>
      <c r="J3691" s="29">
        <f>'Raw data'!K3600</f>
        <v>0</v>
      </c>
      <c r="K3691" s="31">
        <f>'Raw data'!H3600</f>
        <v>0</v>
      </c>
      <c r="L3691" s="26">
        <f t="shared" si="118"/>
        <v>0</v>
      </c>
    </row>
    <row r="3692" spans="2:12">
      <c r="B3692" s="4" t="e">
        <f t="shared" si="117"/>
        <v>#N/A</v>
      </c>
      <c r="C3692" s="4">
        <f>'Raw data'!E3268</f>
        <v>0</v>
      </c>
      <c r="D3692" s="29" t="e">
        <f>VLOOKUP(C3692,'점포코드 '!A:B,2,0)</f>
        <v>#N/A</v>
      </c>
      <c r="E3692" s="30">
        <f>'Raw data'!P3268</f>
        <v>0</v>
      </c>
      <c r="F3692" s="29" t="e">
        <f>VLOOKUP(E3692,'점포코드 '!A:B,2,0)</f>
        <v>#N/A</v>
      </c>
      <c r="G3692" s="46">
        <f>'Raw data'!F3601</f>
        <v>0</v>
      </c>
      <c r="H3692" s="4">
        <f>'Raw data'!G3601</f>
        <v>0</v>
      </c>
      <c r="I3692" s="29" t="e">
        <f>VLOOKUP(G3692,제품명!$C$1:$E$114,2,0)</f>
        <v>#N/A</v>
      </c>
      <c r="J3692" s="29">
        <f>'Raw data'!K3601</f>
        <v>0</v>
      </c>
      <c r="K3692" s="31">
        <f>'Raw data'!H3601</f>
        <v>0</v>
      </c>
      <c r="L3692" s="26">
        <f t="shared" si="118"/>
        <v>0</v>
      </c>
    </row>
    <row r="3693" spans="2:12">
      <c r="B3693" s="4" t="e">
        <f t="shared" si="117"/>
        <v>#N/A</v>
      </c>
      <c r="C3693" s="4">
        <f>'Raw data'!E3269</f>
        <v>0</v>
      </c>
      <c r="D3693" s="29" t="e">
        <f>VLOOKUP(C3693,'점포코드 '!A:B,2,0)</f>
        <v>#N/A</v>
      </c>
      <c r="E3693" s="30">
        <f>'Raw data'!P3269</f>
        <v>0</v>
      </c>
      <c r="F3693" s="29" t="e">
        <f>VLOOKUP(E3693,'점포코드 '!A:B,2,0)</f>
        <v>#N/A</v>
      </c>
      <c r="G3693" s="46">
        <f>'Raw data'!F3602</f>
        <v>0</v>
      </c>
      <c r="H3693" s="4">
        <f>'Raw data'!G3602</f>
        <v>0</v>
      </c>
      <c r="I3693" s="29" t="e">
        <f>VLOOKUP(G3693,제품명!$C$1:$E$114,2,0)</f>
        <v>#N/A</v>
      </c>
      <c r="J3693" s="29">
        <f>'Raw data'!K3602</f>
        <v>0</v>
      </c>
      <c r="K3693" s="31">
        <f>'Raw data'!H3602</f>
        <v>0</v>
      </c>
      <c r="L3693" s="26">
        <f t="shared" si="118"/>
        <v>0</v>
      </c>
    </row>
    <row r="3694" spans="2:12">
      <c r="B3694" s="4" t="e">
        <f t="shared" si="117"/>
        <v>#N/A</v>
      </c>
      <c r="C3694" s="4">
        <f>'Raw data'!E3270</f>
        <v>0</v>
      </c>
      <c r="D3694" s="29" t="e">
        <f>VLOOKUP(C3694,'점포코드 '!A:B,2,0)</f>
        <v>#N/A</v>
      </c>
      <c r="E3694" s="30">
        <f>'Raw data'!P3270</f>
        <v>0</v>
      </c>
      <c r="F3694" s="29" t="e">
        <f>VLOOKUP(E3694,'점포코드 '!A:B,2,0)</f>
        <v>#N/A</v>
      </c>
      <c r="G3694" s="46">
        <f>'Raw data'!F3603</f>
        <v>0</v>
      </c>
      <c r="H3694" s="4">
        <f>'Raw data'!G3603</f>
        <v>0</v>
      </c>
      <c r="I3694" s="29" t="e">
        <f>VLOOKUP(G3694,제품명!$C$1:$E$114,2,0)</f>
        <v>#N/A</v>
      </c>
      <c r="J3694" s="29">
        <f>'Raw data'!K3603</f>
        <v>0</v>
      </c>
      <c r="K3694" s="31">
        <f>'Raw data'!H3603</f>
        <v>0</v>
      </c>
      <c r="L3694" s="26">
        <f t="shared" si="118"/>
        <v>0</v>
      </c>
    </row>
    <row r="3695" spans="2:12">
      <c r="B3695" s="4" t="e">
        <f t="shared" si="117"/>
        <v>#N/A</v>
      </c>
      <c r="C3695" s="4">
        <f>'Raw data'!E3271</f>
        <v>0</v>
      </c>
      <c r="D3695" s="29" t="e">
        <f>VLOOKUP(C3695,'점포코드 '!A:B,2,0)</f>
        <v>#N/A</v>
      </c>
      <c r="E3695" s="30">
        <f>'Raw data'!P3271</f>
        <v>0</v>
      </c>
      <c r="F3695" s="29" t="e">
        <f>VLOOKUP(E3695,'점포코드 '!A:B,2,0)</f>
        <v>#N/A</v>
      </c>
      <c r="G3695" s="46">
        <f>'Raw data'!F3604</f>
        <v>0</v>
      </c>
      <c r="H3695" s="4">
        <f>'Raw data'!G3604</f>
        <v>0</v>
      </c>
      <c r="I3695" s="29" t="e">
        <f>VLOOKUP(G3695,제품명!$C$1:$E$114,2,0)</f>
        <v>#N/A</v>
      </c>
      <c r="J3695" s="29">
        <f>'Raw data'!K3604</f>
        <v>0</v>
      </c>
      <c r="K3695" s="31">
        <f>'Raw data'!H3604</f>
        <v>0</v>
      </c>
      <c r="L3695" s="26">
        <f t="shared" si="118"/>
        <v>0</v>
      </c>
    </row>
    <row r="3696" spans="2:12">
      <c r="B3696" s="4" t="e">
        <f t="shared" si="117"/>
        <v>#N/A</v>
      </c>
      <c r="C3696" s="4">
        <f>'Raw data'!E3272</f>
        <v>0</v>
      </c>
      <c r="D3696" s="29" t="e">
        <f>VLOOKUP(C3696,'점포코드 '!A:B,2,0)</f>
        <v>#N/A</v>
      </c>
      <c r="E3696" s="30">
        <f>'Raw data'!P3272</f>
        <v>0</v>
      </c>
      <c r="F3696" s="29" t="e">
        <f>VLOOKUP(E3696,'점포코드 '!A:B,2,0)</f>
        <v>#N/A</v>
      </c>
      <c r="G3696" s="46">
        <f>'Raw data'!F3605</f>
        <v>0</v>
      </c>
      <c r="H3696" s="4">
        <f>'Raw data'!G3605</f>
        <v>0</v>
      </c>
      <c r="I3696" s="29" t="e">
        <f>VLOOKUP(G3696,제품명!$C$1:$E$114,2,0)</f>
        <v>#N/A</v>
      </c>
      <c r="J3696" s="29">
        <f>'Raw data'!K3605</f>
        <v>0</v>
      </c>
      <c r="K3696" s="31">
        <f>'Raw data'!H3605</f>
        <v>0</v>
      </c>
      <c r="L3696" s="26">
        <f t="shared" si="118"/>
        <v>0</v>
      </c>
    </row>
    <row r="3697" spans="2:12">
      <c r="B3697" s="4" t="e">
        <f t="shared" si="117"/>
        <v>#N/A</v>
      </c>
      <c r="C3697" s="4">
        <f>'Raw data'!E3273</f>
        <v>0</v>
      </c>
      <c r="D3697" s="29" t="e">
        <f>VLOOKUP(C3697,'점포코드 '!A:B,2,0)</f>
        <v>#N/A</v>
      </c>
      <c r="E3697" s="30">
        <f>'Raw data'!P3273</f>
        <v>0</v>
      </c>
      <c r="F3697" s="29" t="e">
        <f>VLOOKUP(E3697,'점포코드 '!A:B,2,0)</f>
        <v>#N/A</v>
      </c>
      <c r="G3697" s="46">
        <f>'Raw data'!F3606</f>
        <v>0</v>
      </c>
      <c r="H3697" s="4">
        <f>'Raw data'!G3606</f>
        <v>0</v>
      </c>
      <c r="I3697" s="29" t="e">
        <f>VLOOKUP(G3697,제품명!$C$1:$E$114,2,0)</f>
        <v>#N/A</v>
      </c>
      <c r="J3697" s="29">
        <f>'Raw data'!K3606</f>
        <v>0</v>
      </c>
      <c r="K3697" s="31">
        <f>'Raw data'!H3606</f>
        <v>0</v>
      </c>
      <c r="L3697" s="26">
        <f t="shared" si="118"/>
        <v>0</v>
      </c>
    </row>
    <row r="3698" spans="2:12">
      <c r="B3698" s="4" t="e">
        <f t="shared" si="117"/>
        <v>#N/A</v>
      </c>
      <c r="C3698" s="4">
        <f>'Raw data'!E3274</f>
        <v>0</v>
      </c>
      <c r="D3698" s="29" t="e">
        <f>VLOOKUP(C3698,'점포코드 '!A:B,2,0)</f>
        <v>#N/A</v>
      </c>
      <c r="E3698" s="30">
        <f>'Raw data'!P3274</f>
        <v>0</v>
      </c>
      <c r="F3698" s="29" t="e">
        <f>VLOOKUP(E3698,'점포코드 '!A:B,2,0)</f>
        <v>#N/A</v>
      </c>
      <c r="G3698" s="46">
        <f>'Raw data'!F3607</f>
        <v>0</v>
      </c>
      <c r="H3698" s="4">
        <f>'Raw data'!G3607</f>
        <v>0</v>
      </c>
      <c r="I3698" s="29" t="e">
        <f>VLOOKUP(G3698,제품명!$C$1:$E$114,2,0)</f>
        <v>#N/A</v>
      </c>
      <c r="J3698" s="29">
        <f>'Raw data'!K3607</f>
        <v>0</v>
      </c>
      <c r="K3698" s="31">
        <f>'Raw data'!H3607</f>
        <v>0</v>
      </c>
      <c r="L3698" s="26">
        <f t="shared" si="118"/>
        <v>0</v>
      </c>
    </row>
    <row r="3699" spans="2:12">
      <c r="B3699" s="4" t="e">
        <f t="shared" si="117"/>
        <v>#N/A</v>
      </c>
      <c r="C3699" s="4">
        <f>'Raw data'!E3275</f>
        <v>0</v>
      </c>
      <c r="D3699" s="29" t="e">
        <f>VLOOKUP(C3699,'점포코드 '!A:B,2,0)</f>
        <v>#N/A</v>
      </c>
      <c r="E3699" s="30">
        <f>'Raw data'!P3275</f>
        <v>0</v>
      </c>
      <c r="F3699" s="29" t="e">
        <f>VLOOKUP(E3699,'점포코드 '!A:B,2,0)</f>
        <v>#N/A</v>
      </c>
      <c r="G3699" s="46">
        <f>'Raw data'!F3608</f>
        <v>0</v>
      </c>
      <c r="H3699" s="4">
        <f>'Raw data'!G3608</f>
        <v>0</v>
      </c>
      <c r="I3699" s="29" t="e">
        <f>VLOOKUP(G3699,제품명!$C$1:$E$114,2,0)</f>
        <v>#N/A</v>
      </c>
      <c r="J3699" s="29">
        <f>'Raw data'!K3608</f>
        <v>0</v>
      </c>
      <c r="K3699" s="31">
        <f>'Raw data'!H3608</f>
        <v>0</v>
      </c>
      <c r="L3699" s="26">
        <f t="shared" si="118"/>
        <v>0</v>
      </c>
    </row>
    <row r="3700" spans="2:12">
      <c r="B3700" s="4" t="e">
        <f t="shared" si="117"/>
        <v>#N/A</v>
      </c>
      <c r="C3700" s="4">
        <f>'Raw data'!E3276</f>
        <v>0</v>
      </c>
      <c r="D3700" s="29" t="e">
        <f>VLOOKUP(C3700,'점포코드 '!A:B,2,0)</f>
        <v>#N/A</v>
      </c>
      <c r="E3700" s="30">
        <f>'Raw data'!P3276</f>
        <v>0</v>
      </c>
      <c r="F3700" s="29" t="e">
        <f>VLOOKUP(E3700,'점포코드 '!A:B,2,0)</f>
        <v>#N/A</v>
      </c>
      <c r="G3700" s="46">
        <f>'Raw data'!F3609</f>
        <v>0</v>
      </c>
      <c r="H3700" s="4">
        <f>'Raw data'!G3609</f>
        <v>0</v>
      </c>
      <c r="I3700" s="29" t="e">
        <f>VLOOKUP(G3700,제품명!$C$1:$E$114,2,0)</f>
        <v>#N/A</v>
      </c>
      <c r="J3700" s="29">
        <f>'Raw data'!K3609</f>
        <v>0</v>
      </c>
      <c r="K3700" s="31">
        <f>'Raw data'!H3609</f>
        <v>0</v>
      </c>
      <c r="L3700" s="26">
        <f t="shared" si="118"/>
        <v>0</v>
      </c>
    </row>
    <row r="3701" spans="2:12">
      <c r="B3701" s="4" t="e">
        <f t="shared" si="117"/>
        <v>#N/A</v>
      </c>
      <c r="C3701" s="4">
        <f>'Raw data'!E3277</f>
        <v>0</v>
      </c>
      <c r="D3701" s="29" t="e">
        <f>VLOOKUP(C3701,'점포코드 '!A:B,2,0)</f>
        <v>#N/A</v>
      </c>
      <c r="E3701" s="30">
        <f>'Raw data'!P3277</f>
        <v>0</v>
      </c>
      <c r="F3701" s="29" t="e">
        <f>VLOOKUP(E3701,'점포코드 '!A:B,2,0)</f>
        <v>#N/A</v>
      </c>
      <c r="G3701" s="46">
        <f>'Raw data'!F3610</f>
        <v>0</v>
      </c>
      <c r="H3701" s="4">
        <f>'Raw data'!G3610</f>
        <v>0</v>
      </c>
      <c r="I3701" s="29" t="e">
        <f>VLOOKUP(G3701,제품명!$C$1:$E$114,2,0)</f>
        <v>#N/A</v>
      </c>
      <c r="J3701" s="29">
        <f>'Raw data'!K3610</f>
        <v>0</v>
      </c>
      <c r="K3701" s="31">
        <f>'Raw data'!H3610</f>
        <v>0</v>
      </c>
      <c r="L3701" s="26">
        <f t="shared" si="118"/>
        <v>0</v>
      </c>
    </row>
    <row r="3702" spans="2:12">
      <c r="B3702" s="4" t="e">
        <f t="shared" si="117"/>
        <v>#N/A</v>
      </c>
      <c r="C3702" s="4">
        <f>'Raw data'!E3278</f>
        <v>0</v>
      </c>
      <c r="D3702" s="29" t="e">
        <f>VLOOKUP(C3702,'점포코드 '!A:B,2,0)</f>
        <v>#N/A</v>
      </c>
      <c r="E3702" s="30">
        <f>'Raw data'!P3278</f>
        <v>0</v>
      </c>
      <c r="F3702" s="29" t="e">
        <f>VLOOKUP(E3702,'점포코드 '!A:B,2,0)</f>
        <v>#N/A</v>
      </c>
      <c r="G3702" s="46">
        <f>'Raw data'!F3611</f>
        <v>0</v>
      </c>
      <c r="H3702" s="4">
        <f>'Raw data'!G3611</f>
        <v>0</v>
      </c>
      <c r="I3702" s="29" t="e">
        <f>VLOOKUP(G3702,제품명!$C$1:$E$114,2,0)</f>
        <v>#N/A</v>
      </c>
      <c r="J3702" s="29">
        <f>'Raw data'!K3611</f>
        <v>0</v>
      </c>
      <c r="K3702" s="31">
        <f>'Raw data'!H3611</f>
        <v>0</v>
      </c>
      <c r="L3702" s="26">
        <f t="shared" si="118"/>
        <v>0</v>
      </c>
    </row>
    <row r="3703" spans="2:12">
      <c r="B3703" s="4" t="e">
        <f t="shared" si="117"/>
        <v>#N/A</v>
      </c>
      <c r="C3703" s="4">
        <f>'Raw data'!E3279</f>
        <v>0</v>
      </c>
      <c r="D3703" s="29" t="e">
        <f>VLOOKUP(C3703,'점포코드 '!A:B,2,0)</f>
        <v>#N/A</v>
      </c>
      <c r="E3703" s="30">
        <f>'Raw data'!P3279</f>
        <v>0</v>
      </c>
      <c r="F3703" s="29" t="e">
        <f>VLOOKUP(E3703,'점포코드 '!A:B,2,0)</f>
        <v>#N/A</v>
      </c>
      <c r="G3703" s="46">
        <f>'Raw data'!F3612</f>
        <v>0</v>
      </c>
      <c r="H3703" s="4">
        <f>'Raw data'!G3612</f>
        <v>0</v>
      </c>
      <c r="I3703" s="29" t="e">
        <f>VLOOKUP(G3703,제품명!$C$1:$E$114,2,0)</f>
        <v>#N/A</v>
      </c>
      <c r="J3703" s="29">
        <f>'Raw data'!K3612</f>
        <v>0</v>
      </c>
      <c r="K3703" s="31">
        <f>'Raw data'!H3612</f>
        <v>0</v>
      </c>
      <c r="L3703" s="26">
        <f t="shared" si="118"/>
        <v>0</v>
      </c>
    </row>
    <row r="3704" spans="2:12">
      <c r="B3704" s="4" t="e">
        <f t="shared" si="117"/>
        <v>#N/A</v>
      </c>
      <c r="C3704" s="4">
        <f>'Raw data'!E3280</f>
        <v>0</v>
      </c>
      <c r="D3704" s="29" t="e">
        <f>VLOOKUP(C3704,'점포코드 '!A:B,2,0)</f>
        <v>#N/A</v>
      </c>
      <c r="E3704" s="30">
        <f>'Raw data'!P3280</f>
        <v>0</v>
      </c>
      <c r="F3704" s="29" t="e">
        <f>VLOOKUP(E3704,'점포코드 '!A:B,2,0)</f>
        <v>#N/A</v>
      </c>
      <c r="G3704" s="46">
        <f>'Raw data'!F3613</f>
        <v>0</v>
      </c>
      <c r="H3704" s="4">
        <f>'Raw data'!G3613</f>
        <v>0</v>
      </c>
      <c r="I3704" s="29" t="e">
        <f>VLOOKUP(G3704,제품명!$C$1:$E$114,2,0)</f>
        <v>#N/A</v>
      </c>
      <c r="J3704" s="29">
        <f>'Raw data'!K3613</f>
        <v>0</v>
      </c>
      <c r="K3704" s="31">
        <f>'Raw data'!H3613</f>
        <v>0</v>
      </c>
      <c r="L3704" s="26">
        <f t="shared" si="118"/>
        <v>0</v>
      </c>
    </row>
    <row r="3705" spans="2:12">
      <c r="B3705" s="4" t="e">
        <f t="shared" si="117"/>
        <v>#N/A</v>
      </c>
      <c r="C3705" s="4">
        <f>'Raw data'!E3281</f>
        <v>0</v>
      </c>
      <c r="D3705" s="29" t="e">
        <f>VLOOKUP(C3705,'점포코드 '!A:B,2,0)</f>
        <v>#N/A</v>
      </c>
      <c r="E3705" s="30">
        <f>'Raw data'!P3281</f>
        <v>0</v>
      </c>
      <c r="F3705" s="29" t="e">
        <f>VLOOKUP(E3705,'점포코드 '!A:B,2,0)</f>
        <v>#N/A</v>
      </c>
      <c r="G3705" s="46">
        <f>'Raw data'!F3614</f>
        <v>0</v>
      </c>
      <c r="H3705" s="4">
        <f>'Raw data'!G3614</f>
        <v>0</v>
      </c>
      <c r="I3705" s="29" t="e">
        <f>VLOOKUP(G3705,제품명!$C$1:$E$114,2,0)</f>
        <v>#N/A</v>
      </c>
      <c r="J3705" s="29">
        <f>'Raw data'!K3614</f>
        <v>0</v>
      </c>
      <c r="K3705" s="31">
        <f>'Raw data'!H3614</f>
        <v>0</v>
      </c>
      <c r="L3705" s="26">
        <f t="shared" si="118"/>
        <v>0</v>
      </c>
    </row>
    <row r="3706" spans="2:12">
      <c r="B3706" s="4" t="e">
        <f t="shared" si="117"/>
        <v>#N/A</v>
      </c>
      <c r="C3706" s="4">
        <f>'Raw data'!E3282</f>
        <v>0</v>
      </c>
      <c r="D3706" s="29" t="e">
        <f>VLOOKUP(C3706,'점포코드 '!A:B,2,0)</f>
        <v>#N/A</v>
      </c>
      <c r="E3706" s="30">
        <f>'Raw data'!P3282</f>
        <v>0</v>
      </c>
      <c r="F3706" s="29" t="e">
        <f>VLOOKUP(E3706,'점포코드 '!A:B,2,0)</f>
        <v>#N/A</v>
      </c>
      <c r="G3706" s="46">
        <f>'Raw data'!F3615</f>
        <v>0</v>
      </c>
      <c r="H3706" s="4">
        <f>'Raw data'!G3615</f>
        <v>0</v>
      </c>
      <c r="I3706" s="29" t="e">
        <f>VLOOKUP(G3706,제품명!$C$1:$E$114,2,0)</f>
        <v>#N/A</v>
      </c>
      <c r="J3706" s="29">
        <f>'Raw data'!K3615</f>
        <v>0</v>
      </c>
      <c r="K3706" s="31">
        <f>'Raw data'!H3615</f>
        <v>0</v>
      </c>
      <c r="L3706" s="26">
        <f t="shared" si="118"/>
        <v>0</v>
      </c>
    </row>
    <row r="3707" spans="2:12">
      <c r="B3707" s="4" t="e">
        <f t="shared" si="117"/>
        <v>#N/A</v>
      </c>
      <c r="C3707" s="4">
        <f>'Raw data'!E3283</f>
        <v>0</v>
      </c>
      <c r="D3707" s="29" t="e">
        <f>VLOOKUP(C3707,'점포코드 '!A:B,2,0)</f>
        <v>#N/A</v>
      </c>
      <c r="E3707" s="30">
        <f>'Raw data'!P3283</f>
        <v>0</v>
      </c>
      <c r="F3707" s="29" t="e">
        <f>VLOOKUP(E3707,'점포코드 '!A:B,2,0)</f>
        <v>#N/A</v>
      </c>
      <c r="G3707" s="46">
        <f>'Raw data'!F3616</f>
        <v>0</v>
      </c>
      <c r="H3707" s="4">
        <f>'Raw data'!G3616</f>
        <v>0</v>
      </c>
      <c r="I3707" s="29" t="e">
        <f>VLOOKUP(G3707,제품명!$C$1:$E$114,2,0)</f>
        <v>#N/A</v>
      </c>
      <c r="J3707" s="29">
        <f>'Raw data'!K3616</f>
        <v>0</v>
      </c>
      <c r="K3707" s="31">
        <f>'Raw data'!H3616</f>
        <v>0</v>
      </c>
      <c r="L3707" s="26">
        <f t="shared" si="118"/>
        <v>0</v>
      </c>
    </row>
    <row r="3708" spans="2:12">
      <c r="B3708" s="4" t="e">
        <f t="shared" si="117"/>
        <v>#N/A</v>
      </c>
      <c r="C3708" s="4">
        <f>'Raw data'!E3284</f>
        <v>0</v>
      </c>
      <c r="D3708" s="29" t="e">
        <f>VLOOKUP(C3708,'점포코드 '!A:B,2,0)</f>
        <v>#N/A</v>
      </c>
      <c r="E3708" s="30">
        <f>'Raw data'!P3284</f>
        <v>0</v>
      </c>
      <c r="F3708" s="29" t="e">
        <f>VLOOKUP(E3708,'점포코드 '!A:B,2,0)</f>
        <v>#N/A</v>
      </c>
      <c r="G3708" s="46">
        <f>'Raw data'!F3617</f>
        <v>0</v>
      </c>
      <c r="H3708" s="4">
        <f>'Raw data'!G3617</f>
        <v>0</v>
      </c>
      <c r="I3708" s="29" t="e">
        <f>VLOOKUP(G3708,제품명!$C$1:$E$114,2,0)</f>
        <v>#N/A</v>
      </c>
      <c r="J3708" s="29">
        <f>'Raw data'!K3617</f>
        <v>0</v>
      </c>
      <c r="K3708" s="31">
        <f>'Raw data'!H3617</f>
        <v>0</v>
      </c>
      <c r="L3708" s="26">
        <f t="shared" si="118"/>
        <v>0</v>
      </c>
    </row>
    <row r="3709" spans="2:12">
      <c r="B3709" s="4" t="e">
        <f t="shared" si="117"/>
        <v>#N/A</v>
      </c>
      <c r="C3709" s="4">
        <f>'Raw data'!E3285</f>
        <v>0</v>
      </c>
      <c r="D3709" s="29" t="e">
        <f>VLOOKUP(C3709,'점포코드 '!A:B,2,0)</f>
        <v>#N/A</v>
      </c>
      <c r="E3709" s="30">
        <f>'Raw data'!P3285</f>
        <v>0</v>
      </c>
      <c r="F3709" s="29" t="e">
        <f>VLOOKUP(E3709,'점포코드 '!A:B,2,0)</f>
        <v>#N/A</v>
      </c>
      <c r="G3709" s="46">
        <f>'Raw data'!F3618</f>
        <v>0</v>
      </c>
      <c r="H3709" s="4">
        <f>'Raw data'!G3618</f>
        <v>0</v>
      </c>
      <c r="I3709" s="29" t="e">
        <f>VLOOKUP(G3709,제품명!$C$1:$E$114,2,0)</f>
        <v>#N/A</v>
      </c>
      <c r="J3709" s="29">
        <f>'Raw data'!K3618</f>
        <v>0</v>
      </c>
      <c r="K3709" s="31">
        <f>'Raw data'!H3618</f>
        <v>0</v>
      </c>
      <c r="L3709" s="26">
        <f t="shared" si="118"/>
        <v>0</v>
      </c>
    </row>
    <row r="3710" spans="2:12">
      <c r="B3710" s="4" t="e">
        <f t="shared" si="117"/>
        <v>#N/A</v>
      </c>
      <c r="C3710" s="4">
        <f>'Raw data'!E3286</f>
        <v>0</v>
      </c>
      <c r="D3710" s="29" t="e">
        <f>VLOOKUP(C3710,'점포코드 '!A:B,2,0)</f>
        <v>#N/A</v>
      </c>
      <c r="E3710" s="30">
        <f>'Raw data'!P3286</f>
        <v>0</v>
      </c>
      <c r="F3710" s="29" t="e">
        <f>VLOOKUP(E3710,'점포코드 '!A:B,2,0)</f>
        <v>#N/A</v>
      </c>
      <c r="G3710" s="46">
        <f>'Raw data'!F3619</f>
        <v>0</v>
      </c>
      <c r="H3710" s="4">
        <f>'Raw data'!G3619</f>
        <v>0</v>
      </c>
      <c r="I3710" s="29" t="e">
        <f>VLOOKUP(G3710,제품명!$C$1:$E$114,2,0)</f>
        <v>#N/A</v>
      </c>
      <c r="J3710" s="29">
        <f>'Raw data'!K3619</f>
        <v>0</v>
      </c>
      <c r="K3710" s="31">
        <f>'Raw data'!H3619</f>
        <v>0</v>
      </c>
      <c r="L3710" s="26">
        <f t="shared" si="118"/>
        <v>0</v>
      </c>
    </row>
    <row r="3711" spans="2:12">
      <c r="B3711" s="4" t="e">
        <f t="shared" si="117"/>
        <v>#N/A</v>
      </c>
      <c r="C3711" s="4">
        <f>'Raw data'!E3287</f>
        <v>0</v>
      </c>
      <c r="D3711" s="29" t="e">
        <f>VLOOKUP(C3711,'점포코드 '!A:B,2,0)</f>
        <v>#N/A</v>
      </c>
      <c r="E3711" s="30">
        <f>'Raw data'!P3287</f>
        <v>0</v>
      </c>
      <c r="F3711" s="29" t="e">
        <f>VLOOKUP(E3711,'점포코드 '!A:B,2,0)</f>
        <v>#N/A</v>
      </c>
      <c r="G3711" s="46">
        <f>'Raw data'!F3620</f>
        <v>0</v>
      </c>
      <c r="H3711" s="4">
        <f>'Raw data'!G3620</f>
        <v>0</v>
      </c>
      <c r="I3711" s="29" t="e">
        <f>VLOOKUP(G3711,제품명!$C$1:$E$114,2,0)</f>
        <v>#N/A</v>
      </c>
      <c r="J3711" s="29">
        <f>'Raw data'!K3620</f>
        <v>0</v>
      </c>
      <c r="K3711" s="31">
        <f>'Raw data'!H3620</f>
        <v>0</v>
      </c>
      <c r="L3711" s="26">
        <f t="shared" si="118"/>
        <v>0</v>
      </c>
    </row>
    <row r="3712" spans="2:12">
      <c r="B3712" s="4" t="e">
        <f t="shared" si="117"/>
        <v>#N/A</v>
      </c>
      <c r="C3712" s="4">
        <f>'Raw data'!E3288</f>
        <v>0</v>
      </c>
      <c r="D3712" s="29" t="e">
        <f>VLOOKUP(C3712,'점포코드 '!A:B,2,0)</f>
        <v>#N/A</v>
      </c>
      <c r="E3712" s="30">
        <f>'Raw data'!P3288</f>
        <v>0</v>
      </c>
      <c r="F3712" s="29" t="e">
        <f>VLOOKUP(E3712,'점포코드 '!A:B,2,0)</f>
        <v>#N/A</v>
      </c>
      <c r="G3712" s="46">
        <f>'Raw data'!F3621</f>
        <v>0</v>
      </c>
      <c r="H3712" s="4">
        <f>'Raw data'!G3621</f>
        <v>0</v>
      </c>
      <c r="I3712" s="29" t="e">
        <f>VLOOKUP(G3712,제품명!$C$1:$E$114,2,0)</f>
        <v>#N/A</v>
      </c>
      <c r="J3712" s="29">
        <f>'Raw data'!K3621</f>
        <v>0</v>
      </c>
      <c r="K3712" s="31">
        <f>'Raw data'!H3621</f>
        <v>0</v>
      </c>
      <c r="L3712" s="26">
        <f t="shared" si="118"/>
        <v>0</v>
      </c>
    </row>
    <row r="3713" spans="2:12">
      <c r="B3713" s="4" t="e">
        <f t="shared" si="117"/>
        <v>#N/A</v>
      </c>
      <c r="C3713" s="4">
        <f>'Raw data'!E3289</f>
        <v>0</v>
      </c>
      <c r="D3713" s="29" t="e">
        <f>VLOOKUP(C3713,'점포코드 '!A:B,2,0)</f>
        <v>#N/A</v>
      </c>
      <c r="E3713" s="30">
        <f>'Raw data'!P3289</f>
        <v>0</v>
      </c>
      <c r="F3713" s="29" t="e">
        <f>VLOOKUP(E3713,'점포코드 '!A:B,2,0)</f>
        <v>#N/A</v>
      </c>
      <c r="G3713" s="46">
        <f>'Raw data'!F3622</f>
        <v>0</v>
      </c>
      <c r="H3713" s="4">
        <f>'Raw data'!G3622</f>
        <v>0</v>
      </c>
      <c r="I3713" s="29" t="e">
        <f>VLOOKUP(G3713,제품명!$C$1:$E$114,2,0)</f>
        <v>#N/A</v>
      </c>
      <c r="J3713" s="29">
        <f>'Raw data'!K3622</f>
        <v>0</v>
      </c>
      <c r="K3713" s="31">
        <f>'Raw data'!H3622</f>
        <v>0</v>
      </c>
      <c r="L3713" s="26">
        <f t="shared" si="118"/>
        <v>0</v>
      </c>
    </row>
    <row r="3714" spans="2:12">
      <c r="B3714" s="4" t="e">
        <f t="shared" ref="B3714:B3777" si="119">F3714&amp;I3714</f>
        <v>#N/A</v>
      </c>
      <c r="C3714" s="4">
        <f>'Raw data'!E3290</f>
        <v>0</v>
      </c>
      <c r="D3714" s="29" t="e">
        <f>VLOOKUP(C3714,'점포코드 '!A:B,2,0)</f>
        <v>#N/A</v>
      </c>
      <c r="E3714" s="30">
        <f>'Raw data'!P3290</f>
        <v>0</v>
      </c>
      <c r="F3714" s="29" t="e">
        <f>VLOOKUP(E3714,'점포코드 '!A:B,2,0)</f>
        <v>#N/A</v>
      </c>
      <c r="G3714" s="46">
        <f>'Raw data'!F3623</f>
        <v>0</v>
      </c>
      <c r="H3714" s="4">
        <f>'Raw data'!G3623</f>
        <v>0</v>
      </c>
      <c r="I3714" s="29" t="e">
        <f>VLOOKUP(G3714,제품명!$C$1:$E$114,2,0)</f>
        <v>#N/A</v>
      </c>
      <c r="J3714" s="29">
        <f>'Raw data'!K3623</f>
        <v>0</v>
      </c>
      <c r="K3714" s="31">
        <f>'Raw data'!H3623</f>
        <v>0</v>
      </c>
      <c r="L3714" s="26">
        <f t="shared" si="118"/>
        <v>0</v>
      </c>
    </row>
    <row r="3715" spans="2:12">
      <c r="B3715" s="4" t="e">
        <f t="shared" si="119"/>
        <v>#N/A</v>
      </c>
      <c r="C3715" s="4">
        <f>'Raw data'!E3291</f>
        <v>0</v>
      </c>
      <c r="D3715" s="29" t="e">
        <f>VLOOKUP(C3715,'점포코드 '!A:B,2,0)</f>
        <v>#N/A</v>
      </c>
      <c r="E3715" s="30">
        <f>'Raw data'!P3291</f>
        <v>0</v>
      </c>
      <c r="F3715" s="29" t="e">
        <f>VLOOKUP(E3715,'점포코드 '!A:B,2,0)</f>
        <v>#N/A</v>
      </c>
      <c r="G3715" s="46">
        <f>'Raw data'!F3624</f>
        <v>0</v>
      </c>
      <c r="H3715" s="4">
        <f>'Raw data'!G3624</f>
        <v>0</v>
      </c>
      <c r="I3715" s="29" t="e">
        <f>VLOOKUP(G3715,제품명!$C$1:$E$114,2,0)</f>
        <v>#N/A</v>
      </c>
      <c r="J3715" s="29">
        <f>'Raw data'!K3624</f>
        <v>0</v>
      </c>
      <c r="K3715" s="31">
        <f>'Raw data'!H3624</f>
        <v>0</v>
      </c>
      <c r="L3715" s="26">
        <f t="shared" ref="L3715:L3778" si="120">J3715*K3715</f>
        <v>0</v>
      </c>
    </row>
    <row r="3716" spans="2:12">
      <c r="B3716" s="4" t="e">
        <f t="shared" si="119"/>
        <v>#N/A</v>
      </c>
      <c r="C3716" s="4">
        <f>'Raw data'!E3292</f>
        <v>0</v>
      </c>
      <c r="D3716" s="29" t="e">
        <f>VLOOKUP(C3716,'점포코드 '!A:B,2,0)</f>
        <v>#N/A</v>
      </c>
      <c r="E3716" s="30">
        <f>'Raw data'!P3292</f>
        <v>0</v>
      </c>
      <c r="F3716" s="29" t="e">
        <f>VLOOKUP(E3716,'점포코드 '!A:B,2,0)</f>
        <v>#N/A</v>
      </c>
      <c r="G3716" s="46">
        <f>'Raw data'!F3625</f>
        <v>0</v>
      </c>
      <c r="H3716" s="4">
        <f>'Raw data'!G3625</f>
        <v>0</v>
      </c>
      <c r="I3716" s="29" t="e">
        <f>VLOOKUP(G3716,제품명!$C$1:$E$114,2,0)</f>
        <v>#N/A</v>
      </c>
      <c r="J3716" s="29">
        <f>'Raw data'!K3625</f>
        <v>0</v>
      </c>
      <c r="K3716" s="31">
        <f>'Raw data'!H3625</f>
        <v>0</v>
      </c>
      <c r="L3716" s="26">
        <f t="shared" si="120"/>
        <v>0</v>
      </c>
    </row>
    <row r="3717" spans="2:12">
      <c r="B3717" s="4" t="e">
        <f t="shared" si="119"/>
        <v>#N/A</v>
      </c>
      <c r="C3717" s="4">
        <f>'Raw data'!E3293</f>
        <v>0</v>
      </c>
      <c r="D3717" s="29" t="e">
        <f>VLOOKUP(C3717,'점포코드 '!A:B,2,0)</f>
        <v>#N/A</v>
      </c>
      <c r="E3717" s="30">
        <f>'Raw data'!P3293</f>
        <v>0</v>
      </c>
      <c r="F3717" s="29" t="e">
        <f>VLOOKUP(E3717,'점포코드 '!A:B,2,0)</f>
        <v>#N/A</v>
      </c>
      <c r="G3717" s="46">
        <f>'Raw data'!F3626</f>
        <v>0</v>
      </c>
      <c r="H3717" s="4">
        <f>'Raw data'!G3626</f>
        <v>0</v>
      </c>
      <c r="I3717" s="29" t="e">
        <f>VLOOKUP(G3717,제품명!$C$1:$E$114,2,0)</f>
        <v>#N/A</v>
      </c>
      <c r="J3717" s="29">
        <f>'Raw data'!K3626</f>
        <v>0</v>
      </c>
      <c r="K3717" s="31">
        <f>'Raw data'!H3626</f>
        <v>0</v>
      </c>
      <c r="L3717" s="26">
        <f t="shared" si="120"/>
        <v>0</v>
      </c>
    </row>
    <row r="3718" spans="2:12">
      <c r="B3718" s="4" t="e">
        <f t="shared" si="119"/>
        <v>#N/A</v>
      </c>
      <c r="C3718" s="4">
        <f>'Raw data'!E3294</f>
        <v>0</v>
      </c>
      <c r="D3718" s="29" t="e">
        <f>VLOOKUP(C3718,'점포코드 '!A:B,2,0)</f>
        <v>#N/A</v>
      </c>
      <c r="E3718" s="30">
        <f>'Raw data'!P3294</f>
        <v>0</v>
      </c>
      <c r="F3718" s="29" t="e">
        <f>VLOOKUP(E3718,'점포코드 '!A:B,2,0)</f>
        <v>#N/A</v>
      </c>
      <c r="G3718" s="46">
        <f>'Raw data'!F3627</f>
        <v>0</v>
      </c>
      <c r="H3718" s="4">
        <f>'Raw data'!G3627</f>
        <v>0</v>
      </c>
      <c r="I3718" s="29" t="e">
        <f>VLOOKUP(G3718,제품명!$C$1:$E$114,2,0)</f>
        <v>#N/A</v>
      </c>
      <c r="J3718" s="29">
        <f>'Raw data'!K3627</f>
        <v>0</v>
      </c>
      <c r="K3718" s="31">
        <f>'Raw data'!H3627</f>
        <v>0</v>
      </c>
      <c r="L3718" s="26">
        <f t="shared" si="120"/>
        <v>0</v>
      </c>
    </row>
    <row r="3719" spans="2:12">
      <c r="B3719" s="4" t="e">
        <f t="shared" si="119"/>
        <v>#N/A</v>
      </c>
      <c r="C3719" s="4">
        <f>'Raw data'!E3295</f>
        <v>0</v>
      </c>
      <c r="D3719" s="29" t="e">
        <f>VLOOKUP(C3719,'점포코드 '!A:B,2,0)</f>
        <v>#N/A</v>
      </c>
      <c r="E3719" s="30">
        <f>'Raw data'!P3295</f>
        <v>0</v>
      </c>
      <c r="F3719" s="29" t="e">
        <f>VLOOKUP(E3719,'점포코드 '!A:B,2,0)</f>
        <v>#N/A</v>
      </c>
      <c r="G3719" s="46">
        <f>'Raw data'!F3628</f>
        <v>0</v>
      </c>
      <c r="H3719" s="4">
        <f>'Raw data'!G3628</f>
        <v>0</v>
      </c>
      <c r="I3719" s="29" t="e">
        <f>VLOOKUP(G3719,제품명!$C$1:$E$114,2,0)</f>
        <v>#N/A</v>
      </c>
      <c r="J3719" s="29">
        <f>'Raw data'!K3628</f>
        <v>0</v>
      </c>
      <c r="K3719" s="31">
        <f>'Raw data'!H3628</f>
        <v>0</v>
      </c>
      <c r="L3719" s="26">
        <f t="shared" si="120"/>
        <v>0</v>
      </c>
    </row>
    <row r="3720" spans="2:12">
      <c r="B3720" s="4" t="e">
        <f t="shared" si="119"/>
        <v>#N/A</v>
      </c>
      <c r="C3720" s="4">
        <f>'Raw data'!E3296</f>
        <v>0</v>
      </c>
      <c r="D3720" s="29" t="e">
        <f>VLOOKUP(C3720,'점포코드 '!A:B,2,0)</f>
        <v>#N/A</v>
      </c>
      <c r="E3720" s="30">
        <f>'Raw data'!P3296</f>
        <v>0</v>
      </c>
      <c r="F3720" s="29" t="e">
        <f>VLOOKUP(E3720,'점포코드 '!A:B,2,0)</f>
        <v>#N/A</v>
      </c>
      <c r="G3720" s="46">
        <f>'Raw data'!F3629</f>
        <v>0</v>
      </c>
      <c r="H3720" s="4">
        <f>'Raw data'!G3629</f>
        <v>0</v>
      </c>
      <c r="I3720" s="29" t="e">
        <f>VLOOKUP(G3720,제품명!$C$1:$E$114,2,0)</f>
        <v>#N/A</v>
      </c>
      <c r="J3720" s="29">
        <f>'Raw data'!K3629</f>
        <v>0</v>
      </c>
      <c r="K3720" s="31">
        <f>'Raw data'!H3629</f>
        <v>0</v>
      </c>
      <c r="L3720" s="26">
        <f t="shared" si="120"/>
        <v>0</v>
      </c>
    </row>
    <row r="3721" spans="2:12">
      <c r="B3721" s="4" t="e">
        <f t="shared" si="119"/>
        <v>#N/A</v>
      </c>
      <c r="C3721" s="4">
        <f>'Raw data'!E3297</f>
        <v>0</v>
      </c>
      <c r="D3721" s="29" t="e">
        <f>VLOOKUP(C3721,'점포코드 '!A:B,2,0)</f>
        <v>#N/A</v>
      </c>
      <c r="E3721" s="30">
        <f>'Raw data'!P3297</f>
        <v>0</v>
      </c>
      <c r="F3721" s="29" t="e">
        <f>VLOOKUP(E3721,'점포코드 '!A:B,2,0)</f>
        <v>#N/A</v>
      </c>
      <c r="G3721" s="46">
        <f>'Raw data'!F3630</f>
        <v>0</v>
      </c>
      <c r="H3721" s="4">
        <f>'Raw data'!G3630</f>
        <v>0</v>
      </c>
      <c r="I3721" s="29" t="e">
        <f>VLOOKUP(G3721,제품명!$C$1:$E$114,2,0)</f>
        <v>#N/A</v>
      </c>
      <c r="J3721" s="29">
        <f>'Raw data'!K3630</f>
        <v>0</v>
      </c>
      <c r="K3721" s="31">
        <f>'Raw data'!H3630</f>
        <v>0</v>
      </c>
      <c r="L3721" s="26">
        <f t="shared" si="120"/>
        <v>0</v>
      </c>
    </row>
    <row r="3722" spans="2:12">
      <c r="B3722" s="4" t="e">
        <f t="shared" si="119"/>
        <v>#N/A</v>
      </c>
      <c r="C3722" s="4">
        <f>'Raw data'!E3298</f>
        <v>0</v>
      </c>
      <c r="D3722" s="29" t="e">
        <f>VLOOKUP(C3722,'점포코드 '!A:B,2,0)</f>
        <v>#N/A</v>
      </c>
      <c r="E3722" s="30">
        <f>'Raw data'!P3298</f>
        <v>0</v>
      </c>
      <c r="F3722" s="29" t="e">
        <f>VLOOKUP(E3722,'점포코드 '!A:B,2,0)</f>
        <v>#N/A</v>
      </c>
      <c r="G3722" s="46">
        <f>'Raw data'!F3631</f>
        <v>0</v>
      </c>
      <c r="H3722" s="4">
        <f>'Raw data'!G3631</f>
        <v>0</v>
      </c>
      <c r="I3722" s="29" t="e">
        <f>VLOOKUP(G3722,제품명!$C$1:$E$114,2,0)</f>
        <v>#N/A</v>
      </c>
      <c r="J3722" s="29">
        <f>'Raw data'!K3631</f>
        <v>0</v>
      </c>
      <c r="K3722" s="31">
        <f>'Raw data'!H3631</f>
        <v>0</v>
      </c>
      <c r="L3722" s="26">
        <f t="shared" si="120"/>
        <v>0</v>
      </c>
    </row>
    <row r="3723" spans="2:12">
      <c r="B3723" s="4" t="e">
        <f t="shared" si="119"/>
        <v>#N/A</v>
      </c>
      <c r="C3723" s="4">
        <f>'Raw data'!E3299</f>
        <v>0</v>
      </c>
      <c r="D3723" s="29" t="e">
        <f>VLOOKUP(C3723,'점포코드 '!A:B,2,0)</f>
        <v>#N/A</v>
      </c>
      <c r="E3723" s="30">
        <f>'Raw data'!P3299</f>
        <v>0</v>
      </c>
      <c r="F3723" s="29" t="e">
        <f>VLOOKUP(E3723,'점포코드 '!A:B,2,0)</f>
        <v>#N/A</v>
      </c>
      <c r="G3723" s="46">
        <f>'Raw data'!F3632</f>
        <v>0</v>
      </c>
      <c r="H3723" s="4">
        <f>'Raw data'!G3632</f>
        <v>0</v>
      </c>
      <c r="I3723" s="29" t="e">
        <f>VLOOKUP(G3723,제품명!$C$1:$E$114,2,0)</f>
        <v>#N/A</v>
      </c>
      <c r="J3723" s="29">
        <f>'Raw data'!K3632</f>
        <v>0</v>
      </c>
      <c r="K3723" s="31">
        <f>'Raw data'!H3632</f>
        <v>0</v>
      </c>
      <c r="L3723" s="26">
        <f t="shared" si="120"/>
        <v>0</v>
      </c>
    </row>
    <row r="3724" spans="2:12">
      <c r="B3724" s="4" t="e">
        <f t="shared" si="119"/>
        <v>#N/A</v>
      </c>
      <c r="C3724" s="4">
        <f>'Raw data'!E3300</f>
        <v>0</v>
      </c>
      <c r="D3724" s="29" t="e">
        <f>VLOOKUP(C3724,'점포코드 '!A:B,2,0)</f>
        <v>#N/A</v>
      </c>
      <c r="E3724" s="30">
        <f>'Raw data'!P3300</f>
        <v>0</v>
      </c>
      <c r="F3724" s="29" t="e">
        <f>VLOOKUP(E3724,'점포코드 '!A:B,2,0)</f>
        <v>#N/A</v>
      </c>
      <c r="G3724" s="46">
        <f>'Raw data'!F3633</f>
        <v>0</v>
      </c>
      <c r="H3724" s="4">
        <f>'Raw data'!G3633</f>
        <v>0</v>
      </c>
      <c r="I3724" s="29" t="e">
        <f>VLOOKUP(G3724,제품명!$C$1:$E$114,2,0)</f>
        <v>#N/A</v>
      </c>
      <c r="J3724" s="29">
        <f>'Raw data'!K3633</f>
        <v>0</v>
      </c>
      <c r="K3724" s="31">
        <f>'Raw data'!H3633</f>
        <v>0</v>
      </c>
      <c r="L3724" s="26">
        <f t="shared" si="120"/>
        <v>0</v>
      </c>
    </row>
    <row r="3725" spans="2:12">
      <c r="B3725" s="4" t="e">
        <f t="shared" si="119"/>
        <v>#N/A</v>
      </c>
      <c r="C3725" s="4">
        <f>'Raw data'!E3301</f>
        <v>0</v>
      </c>
      <c r="D3725" s="29" t="e">
        <f>VLOOKUP(C3725,'점포코드 '!A:B,2,0)</f>
        <v>#N/A</v>
      </c>
      <c r="E3725" s="30">
        <f>'Raw data'!P3301</f>
        <v>0</v>
      </c>
      <c r="F3725" s="29" t="e">
        <f>VLOOKUP(E3725,'점포코드 '!A:B,2,0)</f>
        <v>#N/A</v>
      </c>
      <c r="G3725" s="46">
        <f>'Raw data'!F3634</f>
        <v>0</v>
      </c>
      <c r="H3725" s="4">
        <f>'Raw data'!G3634</f>
        <v>0</v>
      </c>
      <c r="I3725" s="29" t="e">
        <f>VLOOKUP(G3725,제품명!$C$1:$E$114,2,0)</f>
        <v>#N/A</v>
      </c>
      <c r="J3725" s="29">
        <f>'Raw data'!K3634</f>
        <v>0</v>
      </c>
      <c r="K3725" s="31">
        <f>'Raw data'!H3634</f>
        <v>0</v>
      </c>
      <c r="L3725" s="26">
        <f t="shared" si="120"/>
        <v>0</v>
      </c>
    </row>
    <row r="3726" spans="2:12">
      <c r="B3726" s="4" t="e">
        <f t="shared" si="119"/>
        <v>#N/A</v>
      </c>
      <c r="C3726" s="4">
        <f>'Raw data'!E3302</f>
        <v>0</v>
      </c>
      <c r="D3726" s="29" t="e">
        <f>VLOOKUP(C3726,'점포코드 '!A:B,2,0)</f>
        <v>#N/A</v>
      </c>
      <c r="E3726" s="30">
        <f>'Raw data'!P3302</f>
        <v>0</v>
      </c>
      <c r="F3726" s="29" t="e">
        <f>VLOOKUP(E3726,'점포코드 '!A:B,2,0)</f>
        <v>#N/A</v>
      </c>
      <c r="G3726" s="46">
        <f>'Raw data'!F3635</f>
        <v>0</v>
      </c>
      <c r="H3726" s="4">
        <f>'Raw data'!G3635</f>
        <v>0</v>
      </c>
      <c r="I3726" s="29" t="e">
        <f>VLOOKUP(G3726,제품명!$C$1:$E$114,2,0)</f>
        <v>#N/A</v>
      </c>
      <c r="J3726" s="29">
        <f>'Raw data'!K3635</f>
        <v>0</v>
      </c>
      <c r="K3726" s="31">
        <f>'Raw data'!H3635</f>
        <v>0</v>
      </c>
      <c r="L3726" s="26">
        <f t="shared" si="120"/>
        <v>0</v>
      </c>
    </row>
    <row r="3727" spans="2:12">
      <c r="B3727" s="4" t="e">
        <f t="shared" si="119"/>
        <v>#N/A</v>
      </c>
      <c r="C3727" s="4">
        <f>'Raw data'!E3303</f>
        <v>0</v>
      </c>
      <c r="D3727" s="29" t="e">
        <f>VLOOKUP(C3727,'점포코드 '!A:B,2,0)</f>
        <v>#N/A</v>
      </c>
      <c r="E3727" s="30">
        <f>'Raw data'!P3303</f>
        <v>0</v>
      </c>
      <c r="F3727" s="29" t="e">
        <f>VLOOKUP(E3727,'점포코드 '!A:B,2,0)</f>
        <v>#N/A</v>
      </c>
      <c r="G3727" s="46">
        <f>'Raw data'!F3636</f>
        <v>0</v>
      </c>
      <c r="H3727" s="4">
        <f>'Raw data'!G3636</f>
        <v>0</v>
      </c>
      <c r="I3727" s="29" t="e">
        <f>VLOOKUP(G3727,제품명!$C$1:$E$114,2,0)</f>
        <v>#N/A</v>
      </c>
      <c r="J3727" s="29">
        <f>'Raw data'!K3636</f>
        <v>0</v>
      </c>
      <c r="K3727" s="31">
        <f>'Raw data'!H3636</f>
        <v>0</v>
      </c>
      <c r="L3727" s="26">
        <f t="shared" si="120"/>
        <v>0</v>
      </c>
    </row>
    <row r="3728" spans="2:12">
      <c r="B3728" s="4" t="e">
        <f t="shared" si="119"/>
        <v>#N/A</v>
      </c>
      <c r="C3728" s="4">
        <f>'Raw data'!E3304</f>
        <v>0</v>
      </c>
      <c r="D3728" s="29" t="e">
        <f>VLOOKUP(C3728,'점포코드 '!A:B,2,0)</f>
        <v>#N/A</v>
      </c>
      <c r="E3728" s="30">
        <f>'Raw data'!P3304</f>
        <v>0</v>
      </c>
      <c r="F3728" s="29" t="e">
        <f>VLOOKUP(E3728,'점포코드 '!A:B,2,0)</f>
        <v>#N/A</v>
      </c>
      <c r="G3728" s="46">
        <f>'Raw data'!F3637</f>
        <v>0</v>
      </c>
      <c r="H3728" s="4">
        <f>'Raw data'!G3637</f>
        <v>0</v>
      </c>
      <c r="I3728" s="29" t="e">
        <f>VLOOKUP(G3728,제품명!$C$1:$E$114,2,0)</f>
        <v>#N/A</v>
      </c>
      <c r="J3728" s="29">
        <f>'Raw data'!K3637</f>
        <v>0</v>
      </c>
      <c r="K3728" s="31">
        <f>'Raw data'!H3637</f>
        <v>0</v>
      </c>
      <c r="L3728" s="26">
        <f t="shared" si="120"/>
        <v>0</v>
      </c>
    </row>
    <row r="3729" spans="2:12">
      <c r="B3729" s="4" t="e">
        <f t="shared" si="119"/>
        <v>#N/A</v>
      </c>
      <c r="C3729" s="4">
        <f>'Raw data'!E3305</f>
        <v>0</v>
      </c>
      <c r="D3729" s="29" t="e">
        <f>VLOOKUP(C3729,'점포코드 '!A:B,2,0)</f>
        <v>#N/A</v>
      </c>
      <c r="E3729" s="30">
        <f>'Raw data'!P3305</f>
        <v>0</v>
      </c>
      <c r="F3729" s="29" t="e">
        <f>VLOOKUP(E3729,'점포코드 '!A:B,2,0)</f>
        <v>#N/A</v>
      </c>
      <c r="G3729" s="46">
        <f>'Raw data'!F3638</f>
        <v>0</v>
      </c>
      <c r="H3729" s="4">
        <f>'Raw data'!G3638</f>
        <v>0</v>
      </c>
      <c r="I3729" s="29" t="e">
        <f>VLOOKUP(G3729,제품명!$C$1:$E$114,2,0)</f>
        <v>#N/A</v>
      </c>
      <c r="J3729" s="29">
        <f>'Raw data'!K3638</f>
        <v>0</v>
      </c>
      <c r="K3729" s="31">
        <f>'Raw data'!H3638</f>
        <v>0</v>
      </c>
      <c r="L3729" s="26">
        <f t="shared" si="120"/>
        <v>0</v>
      </c>
    </row>
    <row r="3730" spans="2:12">
      <c r="B3730" s="4" t="e">
        <f t="shared" si="119"/>
        <v>#N/A</v>
      </c>
      <c r="C3730" s="4">
        <f>'Raw data'!E3306</f>
        <v>0</v>
      </c>
      <c r="D3730" s="29" t="e">
        <f>VLOOKUP(C3730,'점포코드 '!A:B,2,0)</f>
        <v>#N/A</v>
      </c>
      <c r="E3730" s="30">
        <f>'Raw data'!P3306</f>
        <v>0</v>
      </c>
      <c r="F3730" s="29" t="e">
        <f>VLOOKUP(E3730,'점포코드 '!A:B,2,0)</f>
        <v>#N/A</v>
      </c>
      <c r="G3730" s="46">
        <f>'Raw data'!F3639</f>
        <v>0</v>
      </c>
      <c r="H3730" s="4">
        <f>'Raw data'!G3639</f>
        <v>0</v>
      </c>
      <c r="I3730" s="29" t="e">
        <f>VLOOKUP(G3730,제품명!$C$1:$E$114,2,0)</f>
        <v>#N/A</v>
      </c>
      <c r="J3730" s="29">
        <f>'Raw data'!K3639</f>
        <v>0</v>
      </c>
      <c r="K3730" s="31">
        <f>'Raw data'!H3639</f>
        <v>0</v>
      </c>
      <c r="L3730" s="26">
        <f t="shared" si="120"/>
        <v>0</v>
      </c>
    </row>
    <row r="3731" spans="2:12">
      <c r="B3731" s="4" t="e">
        <f t="shared" si="119"/>
        <v>#N/A</v>
      </c>
      <c r="C3731" s="4">
        <f>'Raw data'!E3307</f>
        <v>0</v>
      </c>
      <c r="D3731" s="29" t="e">
        <f>VLOOKUP(C3731,'점포코드 '!A:B,2,0)</f>
        <v>#N/A</v>
      </c>
      <c r="E3731" s="30">
        <f>'Raw data'!P3307</f>
        <v>0</v>
      </c>
      <c r="F3731" s="29" t="e">
        <f>VLOOKUP(E3731,'점포코드 '!A:B,2,0)</f>
        <v>#N/A</v>
      </c>
      <c r="G3731" s="46">
        <f>'Raw data'!F3640</f>
        <v>0</v>
      </c>
      <c r="H3731" s="4">
        <f>'Raw data'!G3640</f>
        <v>0</v>
      </c>
      <c r="I3731" s="29" t="e">
        <f>VLOOKUP(G3731,제품명!$C$1:$E$114,2,0)</f>
        <v>#N/A</v>
      </c>
      <c r="J3731" s="29">
        <f>'Raw data'!K3640</f>
        <v>0</v>
      </c>
      <c r="K3731" s="31">
        <f>'Raw data'!H3640</f>
        <v>0</v>
      </c>
      <c r="L3731" s="26">
        <f t="shared" si="120"/>
        <v>0</v>
      </c>
    </row>
    <row r="3732" spans="2:12">
      <c r="B3732" s="4" t="e">
        <f t="shared" si="119"/>
        <v>#N/A</v>
      </c>
      <c r="C3732" s="4">
        <f>'Raw data'!E3308</f>
        <v>0</v>
      </c>
      <c r="D3732" s="29" t="e">
        <f>VLOOKUP(C3732,'점포코드 '!A:B,2,0)</f>
        <v>#N/A</v>
      </c>
      <c r="E3732" s="30">
        <f>'Raw data'!P3308</f>
        <v>0</v>
      </c>
      <c r="F3732" s="29" t="e">
        <f>VLOOKUP(E3732,'점포코드 '!A:B,2,0)</f>
        <v>#N/A</v>
      </c>
      <c r="G3732" s="46">
        <f>'Raw data'!F3641</f>
        <v>0</v>
      </c>
      <c r="H3732" s="4">
        <f>'Raw data'!G3641</f>
        <v>0</v>
      </c>
      <c r="I3732" s="29" t="e">
        <f>VLOOKUP(G3732,제품명!$C$1:$E$114,2,0)</f>
        <v>#N/A</v>
      </c>
      <c r="J3732" s="29">
        <f>'Raw data'!K3641</f>
        <v>0</v>
      </c>
      <c r="K3732" s="31">
        <f>'Raw data'!H3641</f>
        <v>0</v>
      </c>
      <c r="L3732" s="26">
        <f t="shared" si="120"/>
        <v>0</v>
      </c>
    </row>
    <row r="3733" spans="2:12">
      <c r="B3733" s="4" t="e">
        <f t="shared" si="119"/>
        <v>#N/A</v>
      </c>
      <c r="C3733" s="4">
        <f>'Raw data'!E3309</f>
        <v>0</v>
      </c>
      <c r="D3733" s="29" t="e">
        <f>VLOOKUP(C3733,'점포코드 '!A:B,2,0)</f>
        <v>#N/A</v>
      </c>
      <c r="E3733" s="30">
        <f>'Raw data'!P3309</f>
        <v>0</v>
      </c>
      <c r="F3733" s="29" t="e">
        <f>VLOOKUP(E3733,'점포코드 '!A:B,2,0)</f>
        <v>#N/A</v>
      </c>
      <c r="G3733" s="46">
        <f>'Raw data'!F3642</f>
        <v>0</v>
      </c>
      <c r="H3733" s="4">
        <f>'Raw data'!G3642</f>
        <v>0</v>
      </c>
      <c r="I3733" s="29" t="e">
        <f>VLOOKUP(G3733,제품명!$C$1:$E$114,2,0)</f>
        <v>#N/A</v>
      </c>
      <c r="J3733" s="29">
        <f>'Raw data'!K3642</f>
        <v>0</v>
      </c>
      <c r="K3733" s="31">
        <f>'Raw data'!H3642</f>
        <v>0</v>
      </c>
      <c r="L3733" s="26">
        <f t="shared" si="120"/>
        <v>0</v>
      </c>
    </row>
    <row r="3734" spans="2:12">
      <c r="B3734" s="4" t="e">
        <f t="shared" si="119"/>
        <v>#N/A</v>
      </c>
      <c r="C3734" s="4">
        <f>'Raw data'!E3310</f>
        <v>0</v>
      </c>
      <c r="D3734" s="29" t="e">
        <f>VLOOKUP(C3734,'점포코드 '!A:B,2,0)</f>
        <v>#N/A</v>
      </c>
      <c r="E3734" s="30">
        <f>'Raw data'!P3310</f>
        <v>0</v>
      </c>
      <c r="F3734" s="29" t="e">
        <f>VLOOKUP(E3734,'점포코드 '!A:B,2,0)</f>
        <v>#N/A</v>
      </c>
      <c r="G3734" s="46">
        <f>'Raw data'!F3643</f>
        <v>0</v>
      </c>
      <c r="H3734" s="4">
        <f>'Raw data'!G3643</f>
        <v>0</v>
      </c>
      <c r="I3734" s="29" t="e">
        <f>VLOOKUP(G3734,제품명!$C$1:$E$114,2,0)</f>
        <v>#N/A</v>
      </c>
      <c r="J3734" s="29">
        <f>'Raw data'!K3643</f>
        <v>0</v>
      </c>
      <c r="K3734" s="31">
        <f>'Raw data'!H3643</f>
        <v>0</v>
      </c>
      <c r="L3734" s="26">
        <f t="shared" si="120"/>
        <v>0</v>
      </c>
    </row>
    <row r="3735" spans="2:12">
      <c r="B3735" s="4" t="e">
        <f t="shared" si="119"/>
        <v>#N/A</v>
      </c>
      <c r="C3735" s="4">
        <f>'Raw data'!E3311</f>
        <v>0</v>
      </c>
      <c r="D3735" s="29" t="e">
        <f>VLOOKUP(C3735,'점포코드 '!A:B,2,0)</f>
        <v>#N/A</v>
      </c>
      <c r="E3735" s="30">
        <f>'Raw data'!P3311</f>
        <v>0</v>
      </c>
      <c r="F3735" s="29" t="e">
        <f>VLOOKUP(E3735,'점포코드 '!A:B,2,0)</f>
        <v>#N/A</v>
      </c>
      <c r="G3735" s="46">
        <f>'Raw data'!F3644</f>
        <v>0</v>
      </c>
      <c r="H3735" s="4">
        <f>'Raw data'!G3644</f>
        <v>0</v>
      </c>
      <c r="I3735" s="29" t="e">
        <f>VLOOKUP(G3735,제품명!$C$1:$E$114,2,0)</f>
        <v>#N/A</v>
      </c>
      <c r="J3735" s="29">
        <f>'Raw data'!K3644</f>
        <v>0</v>
      </c>
      <c r="K3735" s="31">
        <f>'Raw data'!H3644</f>
        <v>0</v>
      </c>
      <c r="L3735" s="26">
        <f t="shared" si="120"/>
        <v>0</v>
      </c>
    </row>
    <row r="3736" spans="2:12">
      <c r="B3736" s="4" t="e">
        <f t="shared" si="119"/>
        <v>#N/A</v>
      </c>
      <c r="C3736" s="4">
        <f>'Raw data'!E3312</f>
        <v>0</v>
      </c>
      <c r="D3736" s="29" t="e">
        <f>VLOOKUP(C3736,'점포코드 '!A:B,2,0)</f>
        <v>#N/A</v>
      </c>
      <c r="E3736" s="30">
        <f>'Raw data'!P3312</f>
        <v>0</v>
      </c>
      <c r="F3736" s="29" t="e">
        <f>VLOOKUP(E3736,'점포코드 '!A:B,2,0)</f>
        <v>#N/A</v>
      </c>
      <c r="G3736" s="46">
        <f>'Raw data'!F3645</f>
        <v>0</v>
      </c>
      <c r="H3736" s="4">
        <f>'Raw data'!G3645</f>
        <v>0</v>
      </c>
      <c r="I3736" s="29" t="e">
        <f>VLOOKUP(G3736,제품명!$C$1:$E$114,2,0)</f>
        <v>#N/A</v>
      </c>
      <c r="J3736" s="29">
        <f>'Raw data'!K3645</f>
        <v>0</v>
      </c>
      <c r="K3736" s="31">
        <f>'Raw data'!H3645</f>
        <v>0</v>
      </c>
      <c r="L3736" s="26">
        <f t="shared" si="120"/>
        <v>0</v>
      </c>
    </row>
    <row r="3737" spans="2:12">
      <c r="B3737" s="4" t="e">
        <f t="shared" si="119"/>
        <v>#N/A</v>
      </c>
      <c r="C3737" s="4">
        <f>'Raw data'!E3313</f>
        <v>0</v>
      </c>
      <c r="D3737" s="29" t="e">
        <f>VLOOKUP(C3737,'점포코드 '!A:B,2,0)</f>
        <v>#N/A</v>
      </c>
      <c r="E3737" s="30">
        <f>'Raw data'!P3313</f>
        <v>0</v>
      </c>
      <c r="F3737" s="29" t="e">
        <f>VLOOKUP(E3737,'점포코드 '!A:B,2,0)</f>
        <v>#N/A</v>
      </c>
      <c r="G3737" s="46">
        <f>'Raw data'!F3646</f>
        <v>0</v>
      </c>
      <c r="H3737" s="4">
        <f>'Raw data'!G3646</f>
        <v>0</v>
      </c>
      <c r="I3737" s="29" t="e">
        <f>VLOOKUP(G3737,제품명!$C$1:$E$114,2,0)</f>
        <v>#N/A</v>
      </c>
      <c r="J3737" s="29">
        <f>'Raw data'!K3646</f>
        <v>0</v>
      </c>
      <c r="K3737" s="31">
        <f>'Raw data'!H3646</f>
        <v>0</v>
      </c>
      <c r="L3737" s="26">
        <f t="shared" si="120"/>
        <v>0</v>
      </c>
    </row>
    <row r="3738" spans="2:12">
      <c r="B3738" s="4" t="e">
        <f t="shared" si="119"/>
        <v>#N/A</v>
      </c>
      <c r="C3738" s="4">
        <f>'Raw data'!E3314</f>
        <v>0</v>
      </c>
      <c r="D3738" s="29" t="e">
        <f>VLOOKUP(C3738,'점포코드 '!A:B,2,0)</f>
        <v>#N/A</v>
      </c>
      <c r="E3738" s="30">
        <f>'Raw data'!P3314</f>
        <v>0</v>
      </c>
      <c r="F3738" s="29" t="e">
        <f>VLOOKUP(E3738,'점포코드 '!A:B,2,0)</f>
        <v>#N/A</v>
      </c>
      <c r="G3738" s="46">
        <f>'Raw data'!F3647</f>
        <v>0</v>
      </c>
      <c r="H3738" s="4">
        <f>'Raw data'!G3647</f>
        <v>0</v>
      </c>
      <c r="I3738" s="29" t="e">
        <f>VLOOKUP(G3738,제품명!$C$1:$E$114,2,0)</f>
        <v>#N/A</v>
      </c>
      <c r="J3738" s="29">
        <f>'Raw data'!K3647</f>
        <v>0</v>
      </c>
      <c r="K3738" s="31">
        <f>'Raw data'!H3647</f>
        <v>0</v>
      </c>
      <c r="L3738" s="26">
        <f t="shared" si="120"/>
        <v>0</v>
      </c>
    </row>
    <row r="3739" spans="2:12">
      <c r="B3739" s="4" t="e">
        <f t="shared" si="119"/>
        <v>#N/A</v>
      </c>
      <c r="C3739" s="4">
        <f>'Raw data'!E3315</f>
        <v>0</v>
      </c>
      <c r="D3739" s="29" t="e">
        <f>VLOOKUP(C3739,'점포코드 '!A:B,2,0)</f>
        <v>#N/A</v>
      </c>
      <c r="E3739" s="30">
        <f>'Raw data'!P3315</f>
        <v>0</v>
      </c>
      <c r="F3739" s="29" t="e">
        <f>VLOOKUP(E3739,'점포코드 '!A:B,2,0)</f>
        <v>#N/A</v>
      </c>
      <c r="G3739" s="46">
        <f>'Raw data'!F3648</f>
        <v>0</v>
      </c>
      <c r="H3739" s="4">
        <f>'Raw data'!G3648</f>
        <v>0</v>
      </c>
      <c r="I3739" s="29" t="e">
        <f>VLOOKUP(G3739,제품명!$C$1:$E$114,2,0)</f>
        <v>#N/A</v>
      </c>
      <c r="J3739" s="29">
        <f>'Raw data'!K3648</f>
        <v>0</v>
      </c>
      <c r="K3739" s="31">
        <f>'Raw data'!H3648</f>
        <v>0</v>
      </c>
      <c r="L3739" s="26">
        <f t="shared" si="120"/>
        <v>0</v>
      </c>
    </row>
    <row r="3740" spans="2:12">
      <c r="B3740" s="4" t="e">
        <f t="shared" si="119"/>
        <v>#N/A</v>
      </c>
      <c r="C3740" s="4">
        <f>'Raw data'!E3316</f>
        <v>0</v>
      </c>
      <c r="D3740" s="29" t="e">
        <f>VLOOKUP(C3740,'점포코드 '!A:B,2,0)</f>
        <v>#N/A</v>
      </c>
      <c r="E3740" s="30">
        <f>'Raw data'!P3316</f>
        <v>0</v>
      </c>
      <c r="F3740" s="29" t="e">
        <f>VLOOKUP(E3740,'점포코드 '!A:B,2,0)</f>
        <v>#N/A</v>
      </c>
      <c r="G3740" s="46">
        <f>'Raw data'!F3649</f>
        <v>0</v>
      </c>
      <c r="H3740" s="4">
        <f>'Raw data'!G3649</f>
        <v>0</v>
      </c>
      <c r="I3740" s="29" t="e">
        <f>VLOOKUP(G3740,제품명!$C$1:$E$114,2,0)</f>
        <v>#N/A</v>
      </c>
      <c r="J3740" s="29">
        <f>'Raw data'!K3649</f>
        <v>0</v>
      </c>
      <c r="K3740" s="31">
        <f>'Raw data'!H3649</f>
        <v>0</v>
      </c>
      <c r="L3740" s="26">
        <f t="shared" si="120"/>
        <v>0</v>
      </c>
    </row>
    <row r="3741" spans="2:12">
      <c r="B3741" s="4" t="e">
        <f t="shared" si="119"/>
        <v>#N/A</v>
      </c>
      <c r="C3741" s="4">
        <f>'Raw data'!E3317</f>
        <v>0</v>
      </c>
      <c r="D3741" s="29" t="e">
        <f>VLOOKUP(C3741,'점포코드 '!A:B,2,0)</f>
        <v>#N/A</v>
      </c>
      <c r="E3741" s="30">
        <f>'Raw data'!P3317</f>
        <v>0</v>
      </c>
      <c r="F3741" s="29" t="e">
        <f>VLOOKUP(E3741,'점포코드 '!A:B,2,0)</f>
        <v>#N/A</v>
      </c>
      <c r="G3741" s="46">
        <f>'Raw data'!F3650</f>
        <v>0</v>
      </c>
      <c r="H3741" s="4">
        <f>'Raw data'!G3650</f>
        <v>0</v>
      </c>
      <c r="I3741" s="29" t="e">
        <f>VLOOKUP(G3741,제품명!$C$1:$E$114,2,0)</f>
        <v>#N/A</v>
      </c>
      <c r="J3741" s="29">
        <f>'Raw data'!K3650</f>
        <v>0</v>
      </c>
      <c r="K3741" s="31">
        <f>'Raw data'!H3650</f>
        <v>0</v>
      </c>
      <c r="L3741" s="26">
        <f t="shared" si="120"/>
        <v>0</v>
      </c>
    </row>
    <row r="3742" spans="2:12">
      <c r="B3742" s="4" t="e">
        <f t="shared" si="119"/>
        <v>#N/A</v>
      </c>
      <c r="C3742" s="4">
        <f>'Raw data'!E3318</f>
        <v>0</v>
      </c>
      <c r="D3742" s="29" t="e">
        <f>VLOOKUP(C3742,'점포코드 '!A:B,2,0)</f>
        <v>#N/A</v>
      </c>
      <c r="E3742" s="30">
        <f>'Raw data'!P3318</f>
        <v>0</v>
      </c>
      <c r="F3742" s="29" t="e">
        <f>VLOOKUP(E3742,'점포코드 '!A:B,2,0)</f>
        <v>#N/A</v>
      </c>
      <c r="G3742" s="46">
        <f>'Raw data'!F3651</f>
        <v>0</v>
      </c>
      <c r="H3742" s="4">
        <f>'Raw data'!G3651</f>
        <v>0</v>
      </c>
      <c r="I3742" s="29" t="e">
        <f>VLOOKUP(G3742,제품명!$C$1:$E$114,2,0)</f>
        <v>#N/A</v>
      </c>
      <c r="J3742" s="29">
        <f>'Raw data'!K3651</f>
        <v>0</v>
      </c>
      <c r="K3742" s="31">
        <f>'Raw data'!H3651</f>
        <v>0</v>
      </c>
      <c r="L3742" s="26">
        <f t="shared" si="120"/>
        <v>0</v>
      </c>
    </row>
    <row r="3743" spans="2:12">
      <c r="B3743" s="4" t="e">
        <f t="shared" si="119"/>
        <v>#N/A</v>
      </c>
      <c r="C3743" s="4">
        <f>'Raw data'!E3319</f>
        <v>0</v>
      </c>
      <c r="D3743" s="29" t="e">
        <f>VLOOKUP(C3743,'점포코드 '!A:B,2,0)</f>
        <v>#N/A</v>
      </c>
      <c r="E3743" s="30">
        <f>'Raw data'!P3319</f>
        <v>0</v>
      </c>
      <c r="F3743" s="29" t="e">
        <f>VLOOKUP(E3743,'점포코드 '!A:B,2,0)</f>
        <v>#N/A</v>
      </c>
      <c r="G3743" s="46">
        <f>'Raw data'!F3652</f>
        <v>0</v>
      </c>
      <c r="H3743" s="4">
        <f>'Raw data'!G3652</f>
        <v>0</v>
      </c>
      <c r="I3743" s="29" t="e">
        <f>VLOOKUP(G3743,제품명!$C$1:$E$114,2,0)</f>
        <v>#N/A</v>
      </c>
      <c r="J3743" s="29">
        <f>'Raw data'!K3652</f>
        <v>0</v>
      </c>
      <c r="K3743" s="31">
        <f>'Raw data'!H3652</f>
        <v>0</v>
      </c>
      <c r="L3743" s="26">
        <f t="shared" si="120"/>
        <v>0</v>
      </c>
    </row>
    <row r="3744" spans="2:12">
      <c r="B3744" s="4" t="e">
        <f t="shared" si="119"/>
        <v>#N/A</v>
      </c>
      <c r="C3744" s="4">
        <f>'Raw data'!E3320</f>
        <v>0</v>
      </c>
      <c r="D3744" s="29" t="e">
        <f>VLOOKUP(C3744,'점포코드 '!A:B,2,0)</f>
        <v>#N/A</v>
      </c>
      <c r="E3744" s="30">
        <f>'Raw data'!P3320</f>
        <v>0</v>
      </c>
      <c r="F3744" s="29" t="e">
        <f>VLOOKUP(E3744,'점포코드 '!A:B,2,0)</f>
        <v>#N/A</v>
      </c>
      <c r="G3744" s="46">
        <f>'Raw data'!F3653</f>
        <v>0</v>
      </c>
      <c r="H3744" s="4">
        <f>'Raw data'!G3653</f>
        <v>0</v>
      </c>
      <c r="I3744" s="29" t="e">
        <f>VLOOKUP(G3744,제품명!$C$1:$E$114,2,0)</f>
        <v>#N/A</v>
      </c>
      <c r="J3744" s="29">
        <f>'Raw data'!K3653</f>
        <v>0</v>
      </c>
      <c r="K3744" s="31">
        <f>'Raw data'!H3653</f>
        <v>0</v>
      </c>
      <c r="L3744" s="26">
        <f t="shared" si="120"/>
        <v>0</v>
      </c>
    </row>
    <row r="3745" spans="2:12">
      <c r="B3745" s="4" t="e">
        <f t="shared" si="119"/>
        <v>#N/A</v>
      </c>
      <c r="C3745" s="4">
        <f>'Raw data'!E3321</f>
        <v>0</v>
      </c>
      <c r="D3745" s="29" t="e">
        <f>VLOOKUP(C3745,'점포코드 '!A:B,2,0)</f>
        <v>#N/A</v>
      </c>
      <c r="E3745" s="30">
        <f>'Raw data'!P3321</f>
        <v>0</v>
      </c>
      <c r="F3745" s="29" t="e">
        <f>VLOOKUP(E3745,'점포코드 '!A:B,2,0)</f>
        <v>#N/A</v>
      </c>
      <c r="G3745" s="46">
        <f>'Raw data'!F3654</f>
        <v>0</v>
      </c>
      <c r="H3745" s="4">
        <f>'Raw data'!G3654</f>
        <v>0</v>
      </c>
      <c r="I3745" s="29" t="e">
        <f>VLOOKUP(G3745,제품명!$C$1:$E$114,2,0)</f>
        <v>#N/A</v>
      </c>
      <c r="J3745" s="29">
        <f>'Raw data'!K3654</f>
        <v>0</v>
      </c>
      <c r="K3745" s="31">
        <f>'Raw data'!H3654</f>
        <v>0</v>
      </c>
      <c r="L3745" s="26">
        <f t="shared" si="120"/>
        <v>0</v>
      </c>
    </row>
    <row r="3746" spans="2:12">
      <c r="B3746" s="4" t="e">
        <f t="shared" si="119"/>
        <v>#N/A</v>
      </c>
      <c r="C3746" s="4">
        <f>'Raw data'!E3322</f>
        <v>0</v>
      </c>
      <c r="D3746" s="29" t="e">
        <f>VLOOKUP(C3746,'점포코드 '!A:B,2,0)</f>
        <v>#N/A</v>
      </c>
      <c r="E3746" s="30">
        <f>'Raw data'!P3322</f>
        <v>0</v>
      </c>
      <c r="F3746" s="29" t="e">
        <f>VLOOKUP(E3746,'점포코드 '!A:B,2,0)</f>
        <v>#N/A</v>
      </c>
      <c r="G3746" s="46">
        <f>'Raw data'!F3655</f>
        <v>0</v>
      </c>
      <c r="H3746" s="4">
        <f>'Raw data'!G3655</f>
        <v>0</v>
      </c>
      <c r="I3746" s="29" t="e">
        <f>VLOOKUP(G3746,제품명!$C$1:$E$114,2,0)</f>
        <v>#N/A</v>
      </c>
      <c r="J3746" s="29">
        <f>'Raw data'!K3655</f>
        <v>0</v>
      </c>
      <c r="K3746" s="31">
        <f>'Raw data'!H3655</f>
        <v>0</v>
      </c>
      <c r="L3746" s="26">
        <f t="shared" si="120"/>
        <v>0</v>
      </c>
    </row>
    <row r="3747" spans="2:12">
      <c r="B3747" s="4" t="e">
        <f t="shared" si="119"/>
        <v>#N/A</v>
      </c>
      <c r="C3747" s="4">
        <f>'Raw data'!E3323</f>
        <v>0</v>
      </c>
      <c r="D3747" s="29" t="e">
        <f>VLOOKUP(C3747,'점포코드 '!A:B,2,0)</f>
        <v>#N/A</v>
      </c>
      <c r="E3747" s="30">
        <f>'Raw data'!P3323</f>
        <v>0</v>
      </c>
      <c r="F3747" s="29" t="e">
        <f>VLOOKUP(E3747,'점포코드 '!A:B,2,0)</f>
        <v>#N/A</v>
      </c>
      <c r="G3747" s="46">
        <f>'Raw data'!F3656</f>
        <v>0</v>
      </c>
      <c r="H3747" s="4">
        <f>'Raw data'!G3656</f>
        <v>0</v>
      </c>
      <c r="I3747" s="29" t="e">
        <f>VLOOKUP(G3747,제품명!$C$1:$E$114,2,0)</f>
        <v>#N/A</v>
      </c>
      <c r="J3747" s="29">
        <f>'Raw data'!K3656</f>
        <v>0</v>
      </c>
      <c r="K3747" s="31">
        <f>'Raw data'!H3656</f>
        <v>0</v>
      </c>
      <c r="L3747" s="26">
        <f t="shared" si="120"/>
        <v>0</v>
      </c>
    </row>
    <row r="3748" spans="2:12">
      <c r="B3748" s="4" t="e">
        <f t="shared" si="119"/>
        <v>#N/A</v>
      </c>
      <c r="C3748" s="4">
        <f>'Raw data'!E3324</f>
        <v>0</v>
      </c>
      <c r="D3748" s="29" t="e">
        <f>VLOOKUP(C3748,'점포코드 '!A:B,2,0)</f>
        <v>#N/A</v>
      </c>
      <c r="E3748" s="30">
        <f>'Raw data'!P3324</f>
        <v>0</v>
      </c>
      <c r="F3748" s="29" t="e">
        <f>VLOOKUP(E3748,'점포코드 '!A:B,2,0)</f>
        <v>#N/A</v>
      </c>
      <c r="G3748" s="46">
        <f>'Raw data'!F3657</f>
        <v>0</v>
      </c>
      <c r="H3748" s="4">
        <f>'Raw data'!G3657</f>
        <v>0</v>
      </c>
      <c r="I3748" s="29" t="e">
        <f>VLOOKUP(G3748,제품명!$C$1:$E$114,2,0)</f>
        <v>#N/A</v>
      </c>
      <c r="J3748" s="29">
        <f>'Raw data'!K3657</f>
        <v>0</v>
      </c>
      <c r="K3748" s="31">
        <f>'Raw data'!H3657</f>
        <v>0</v>
      </c>
      <c r="L3748" s="26">
        <f t="shared" si="120"/>
        <v>0</v>
      </c>
    </row>
    <row r="3749" spans="2:12">
      <c r="B3749" s="4" t="e">
        <f t="shared" si="119"/>
        <v>#N/A</v>
      </c>
      <c r="C3749" s="4">
        <f>'Raw data'!E3325</f>
        <v>0</v>
      </c>
      <c r="D3749" s="29" t="e">
        <f>VLOOKUP(C3749,'점포코드 '!A:B,2,0)</f>
        <v>#N/A</v>
      </c>
      <c r="E3749" s="30">
        <f>'Raw data'!P3325</f>
        <v>0</v>
      </c>
      <c r="F3749" s="29" t="e">
        <f>VLOOKUP(E3749,'점포코드 '!A:B,2,0)</f>
        <v>#N/A</v>
      </c>
      <c r="G3749" s="46">
        <f>'Raw data'!F3658</f>
        <v>0</v>
      </c>
      <c r="H3749" s="4">
        <f>'Raw data'!G3658</f>
        <v>0</v>
      </c>
      <c r="I3749" s="29" t="e">
        <f>VLOOKUP(G3749,제품명!$C$1:$E$114,2,0)</f>
        <v>#N/A</v>
      </c>
      <c r="J3749" s="29">
        <f>'Raw data'!K3658</f>
        <v>0</v>
      </c>
      <c r="K3749" s="31">
        <f>'Raw data'!H3658</f>
        <v>0</v>
      </c>
      <c r="L3749" s="26">
        <f t="shared" si="120"/>
        <v>0</v>
      </c>
    </row>
    <row r="3750" spans="2:12">
      <c r="B3750" s="4" t="e">
        <f t="shared" si="119"/>
        <v>#N/A</v>
      </c>
      <c r="C3750" s="4">
        <f>'Raw data'!E3326</f>
        <v>0</v>
      </c>
      <c r="D3750" s="29" t="e">
        <f>VLOOKUP(C3750,'점포코드 '!A:B,2,0)</f>
        <v>#N/A</v>
      </c>
      <c r="E3750" s="30">
        <f>'Raw data'!P3326</f>
        <v>0</v>
      </c>
      <c r="F3750" s="29" t="e">
        <f>VLOOKUP(E3750,'점포코드 '!A:B,2,0)</f>
        <v>#N/A</v>
      </c>
      <c r="G3750" s="46">
        <f>'Raw data'!F3659</f>
        <v>0</v>
      </c>
      <c r="H3750" s="4">
        <f>'Raw data'!G3659</f>
        <v>0</v>
      </c>
      <c r="I3750" s="29" t="e">
        <f>VLOOKUP(G3750,제품명!$C$1:$E$114,2,0)</f>
        <v>#N/A</v>
      </c>
      <c r="J3750" s="29">
        <f>'Raw data'!K3659</f>
        <v>0</v>
      </c>
      <c r="K3750" s="31">
        <f>'Raw data'!H3659</f>
        <v>0</v>
      </c>
      <c r="L3750" s="26">
        <f t="shared" si="120"/>
        <v>0</v>
      </c>
    </row>
    <row r="3751" spans="2:12">
      <c r="B3751" s="4" t="e">
        <f t="shared" si="119"/>
        <v>#N/A</v>
      </c>
      <c r="C3751" s="4">
        <f>'Raw data'!E3327</f>
        <v>0</v>
      </c>
      <c r="D3751" s="29" t="e">
        <f>VLOOKUP(C3751,'점포코드 '!A:B,2,0)</f>
        <v>#N/A</v>
      </c>
      <c r="E3751" s="30">
        <f>'Raw data'!P3327</f>
        <v>0</v>
      </c>
      <c r="F3751" s="29" t="e">
        <f>VLOOKUP(E3751,'점포코드 '!A:B,2,0)</f>
        <v>#N/A</v>
      </c>
      <c r="G3751" s="46">
        <f>'Raw data'!F3660</f>
        <v>0</v>
      </c>
      <c r="H3751" s="4">
        <f>'Raw data'!G3660</f>
        <v>0</v>
      </c>
      <c r="I3751" s="29" t="e">
        <f>VLOOKUP(G3751,제품명!$C$1:$E$114,2,0)</f>
        <v>#N/A</v>
      </c>
      <c r="J3751" s="29">
        <f>'Raw data'!K3660</f>
        <v>0</v>
      </c>
      <c r="K3751" s="31">
        <f>'Raw data'!H3660</f>
        <v>0</v>
      </c>
      <c r="L3751" s="26">
        <f t="shared" si="120"/>
        <v>0</v>
      </c>
    </row>
    <row r="3752" spans="2:12">
      <c r="B3752" s="4" t="e">
        <f t="shared" si="119"/>
        <v>#N/A</v>
      </c>
      <c r="C3752" s="4">
        <f>'Raw data'!E3328</f>
        <v>0</v>
      </c>
      <c r="D3752" s="29" t="e">
        <f>VLOOKUP(C3752,'점포코드 '!A:B,2,0)</f>
        <v>#N/A</v>
      </c>
      <c r="E3752" s="30">
        <f>'Raw data'!P3328</f>
        <v>0</v>
      </c>
      <c r="F3752" s="29" t="e">
        <f>VLOOKUP(E3752,'점포코드 '!A:B,2,0)</f>
        <v>#N/A</v>
      </c>
      <c r="G3752" s="46">
        <f>'Raw data'!F3661</f>
        <v>0</v>
      </c>
      <c r="H3752" s="4">
        <f>'Raw data'!G3661</f>
        <v>0</v>
      </c>
      <c r="I3752" s="29" t="e">
        <f>VLOOKUP(G3752,제품명!$C$1:$E$114,2,0)</f>
        <v>#N/A</v>
      </c>
      <c r="J3752" s="29">
        <f>'Raw data'!K3661</f>
        <v>0</v>
      </c>
      <c r="K3752" s="31">
        <f>'Raw data'!H3661</f>
        <v>0</v>
      </c>
      <c r="L3752" s="26">
        <f t="shared" si="120"/>
        <v>0</v>
      </c>
    </row>
    <row r="3753" spans="2:12">
      <c r="B3753" s="4" t="e">
        <f t="shared" si="119"/>
        <v>#N/A</v>
      </c>
      <c r="C3753" s="4">
        <f>'Raw data'!E3329</f>
        <v>0</v>
      </c>
      <c r="D3753" s="29" t="e">
        <f>VLOOKUP(C3753,'점포코드 '!A:B,2,0)</f>
        <v>#N/A</v>
      </c>
      <c r="E3753" s="30">
        <f>'Raw data'!P3329</f>
        <v>0</v>
      </c>
      <c r="F3753" s="29" t="e">
        <f>VLOOKUP(E3753,'점포코드 '!A:B,2,0)</f>
        <v>#N/A</v>
      </c>
      <c r="G3753" s="46">
        <f>'Raw data'!F3662</f>
        <v>0</v>
      </c>
      <c r="H3753" s="4">
        <f>'Raw data'!G3662</f>
        <v>0</v>
      </c>
      <c r="I3753" s="29" t="e">
        <f>VLOOKUP(G3753,제품명!$C$1:$E$114,2,0)</f>
        <v>#N/A</v>
      </c>
      <c r="J3753" s="29">
        <f>'Raw data'!K3662</f>
        <v>0</v>
      </c>
      <c r="K3753" s="31">
        <f>'Raw data'!H3662</f>
        <v>0</v>
      </c>
      <c r="L3753" s="26">
        <f t="shared" si="120"/>
        <v>0</v>
      </c>
    </row>
    <row r="3754" spans="2:12">
      <c r="B3754" s="4" t="e">
        <f t="shared" si="119"/>
        <v>#N/A</v>
      </c>
      <c r="C3754" s="4">
        <f>'Raw data'!E3330</f>
        <v>0</v>
      </c>
      <c r="D3754" s="29" t="e">
        <f>VLOOKUP(C3754,'점포코드 '!A:B,2,0)</f>
        <v>#N/A</v>
      </c>
      <c r="E3754" s="30">
        <f>'Raw data'!P3330</f>
        <v>0</v>
      </c>
      <c r="F3754" s="29" t="e">
        <f>VLOOKUP(E3754,'점포코드 '!A:B,2,0)</f>
        <v>#N/A</v>
      </c>
      <c r="G3754" s="46">
        <f>'Raw data'!F3663</f>
        <v>0</v>
      </c>
      <c r="H3754" s="4">
        <f>'Raw data'!G3663</f>
        <v>0</v>
      </c>
      <c r="I3754" s="29" t="e">
        <f>VLOOKUP(G3754,제품명!$C$1:$E$114,2,0)</f>
        <v>#N/A</v>
      </c>
      <c r="J3754" s="29">
        <f>'Raw data'!K3663</f>
        <v>0</v>
      </c>
      <c r="K3754" s="31">
        <f>'Raw data'!H3663</f>
        <v>0</v>
      </c>
      <c r="L3754" s="26">
        <f t="shared" si="120"/>
        <v>0</v>
      </c>
    </row>
    <row r="3755" spans="2:12">
      <c r="B3755" s="4" t="e">
        <f t="shared" si="119"/>
        <v>#N/A</v>
      </c>
      <c r="C3755" s="4">
        <f>'Raw data'!E3331</f>
        <v>0</v>
      </c>
      <c r="D3755" s="29" t="e">
        <f>VLOOKUP(C3755,'점포코드 '!A:B,2,0)</f>
        <v>#N/A</v>
      </c>
      <c r="E3755" s="30">
        <f>'Raw data'!P3331</f>
        <v>0</v>
      </c>
      <c r="F3755" s="29" t="e">
        <f>VLOOKUP(E3755,'점포코드 '!A:B,2,0)</f>
        <v>#N/A</v>
      </c>
      <c r="G3755" s="46">
        <f>'Raw data'!F3664</f>
        <v>0</v>
      </c>
      <c r="H3755" s="4">
        <f>'Raw data'!G3664</f>
        <v>0</v>
      </c>
      <c r="I3755" s="29" t="e">
        <f>VLOOKUP(G3755,제품명!$C$1:$E$114,2,0)</f>
        <v>#N/A</v>
      </c>
      <c r="J3755" s="29">
        <f>'Raw data'!K3664</f>
        <v>0</v>
      </c>
      <c r="K3755" s="31">
        <f>'Raw data'!H3664</f>
        <v>0</v>
      </c>
      <c r="L3755" s="26">
        <f t="shared" si="120"/>
        <v>0</v>
      </c>
    </row>
    <row r="3756" spans="2:12">
      <c r="B3756" s="4" t="e">
        <f t="shared" si="119"/>
        <v>#N/A</v>
      </c>
      <c r="C3756" s="4">
        <f>'Raw data'!E3332</f>
        <v>0</v>
      </c>
      <c r="D3756" s="29" t="e">
        <f>VLOOKUP(C3756,'점포코드 '!A:B,2,0)</f>
        <v>#N/A</v>
      </c>
      <c r="E3756" s="30">
        <f>'Raw data'!P3332</f>
        <v>0</v>
      </c>
      <c r="F3756" s="29" t="e">
        <f>VLOOKUP(E3756,'점포코드 '!A:B,2,0)</f>
        <v>#N/A</v>
      </c>
      <c r="G3756" s="46">
        <f>'Raw data'!F3665</f>
        <v>0</v>
      </c>
      <c r="H3756" s="4">
        <f>'Raw data'!G3665</f>
        <v>0</v>
      </c>
      <c r="I3756" s="29" t="e">
        <f>VLOOKUP(G3756,제품명!$C$1:$E$114,2,0)</f>
        <v>#N/A</v>
      </c>
      <c r="J3756" s="29">
        <f>'Raw data'!K3665</f>
        <v>0</v>
      </c>
      <c r="K3756" s="31">
        <f>'Raw data'!H3665</f>
        <v>0</v>
      </c>
      <c r="L3756" s="26">
        <f t="shared" si="120"/>
        <v>0</v>
      </c>
    </row>
    <row r="3757" spans="2:12">
      <c r="B3757" s="4" t="e">
        <f t="shared" si="119"/>
        <v>#N/A</v>
      </c>
      <c r="C3757" s="4">
        <f>'Raw data'!E3333</f>
        <v>0</v>
      </c>
      <c r="D3757" s="29" t="e">
        <f>VLOOKUP(C3757,'점포코드 '!A:B,2,0)</f>
        <v>#N/A</v>
      </c>
      <c r="E3757" s="30">
        <f>'Raw data'!P3333</f>
        <v>0</v>
      </c>
      <c r="F3757" s="29" t="e">
        <f>VLOOKUP(E3757,'점포코드 '!A:B,2,0)</f>
        <v>#N/A</v>
      </c>
      <c r="G3757" s="46">
        <f>'Raw data'!F3666</f>
        <v>0</v>
      </c>
      <c r="H3757" s="4">
        <f>'Raw data'!G3666</f>
        <v>0</v>
      </c>
      <c r="I3757" s="29" t="e">
        <f>VLOOKUP(G3757,제품명!$C$1:$E$114,2,0)</f>
        <v>#N/A</v>
      </c>
      <c r="J3757" s="29">
        <f>'Raw data'!K3666</f>
        <v>0</v>
      </c>
      <c r="K3757" s="31">
        <f>'Raw data'!H3666</f>
        <v>0</v>
      </c>
      <c r="L3757" s="26">
        <f t="shared" si="120"/>
        <v>0</v>
      </c>
    </row>
    <row r="3758" spans="2:12">
      <c r="B3758" s="4" t="e">
        <f t="shared" si="119"/>
        <v>#N/A</v>
      </c>
      <c r="C3758" s="4">
        <f>'Raw data'!E3334</f>
        <v>0</v>
      </c>
      <c r="D3758" s="29" t="e">
        <f>VLOOKUP(C3758,'점포코드 '!A:B,2,0)</f>
        <v>#N/A</v>
      </c>
      <c r="E3758" s="30">
        <f>'Raw data'!P3334</f>
        <v>0</v>
      </c>
      <c r="F3758" s="29" t="e">
        <f>VLOOKUP(E3758,'점포코드 '!A:B,2,0)</f>
        <v>#N/A</v>
      </c>
      <c r="G3758" s="46">
        <f>'Raw data'!F3667</f>
        <v>0</v>
      </c>
      <c r="H3758" s="4">
        <f>'Raw data'!G3667</f>
        <v>0</v>
      </c>
      <c r="I3758" s="29" t="e">
        <f>VLOOKUP(G3758,제품명!$C$1:$E$114,2,0)</f>
        <v>#N/A</v>
      </c>
      <c r="J3758" s="29">
        <f>'Raw data'!K3667</f>
        <v>0</v>
      </c>
      <c r="K3758" s="31">
        <f>'Raw data'!H3667</f>
        <v>0</v>
      </c>
      <c r="L3758" s="26">
        <f t="shared" si="120"/>
        <v>0</v>
      </c>
    </row>
    <row r="3759" spans="2:12">
      <c r="B3759" s="4" t="e">
        <f t="shared" si="119"/>
        <v>#N/A</v>
      </c>
      <c r="C3759" s="4">
        <f>'Raw data'!E3335</f>
        <v>0</v>
      </c>
      <c r="D3759" s="29" t="e">
        <f>VLOOKUP(C3759,'점포코드 '!A:B,2,0)</f>
        <v>#N/A</v>
      </c>
      <c r="E3759" s="30">
        <f>'Raw data'!P3335</f>
        <v>0</v>
      </c>
      <c r="F3759" s="29" t="e">
        <f>VLOOKUP(E3759,'점포코드 '!A:B,2,0)</f>
        <v>#N/A</v>
      </c>
      <c r="G3759" s="46">
        <f>'Raw data'!F3668</f>
        <v>0</v>
      </c>
      <c r="H3759" s="4">
        <f>'Raw data'!G3668</f>
        <v>0</v>
      </c>
      <c r="I3759" s="29" t="e">
        <f>VLOOKUP(G3759,제품명!$C$1:$E$114,2,0)</f>
        <v>#N/A</v>
      </c>
      <c r="J3759" s="29">
        <f>'Raw data'!K3668</f>
        <v>0</v>
      </c>
      <c r="K3759" s="31">
        <f>'Raw data'!H3668</f>
        <v>0</v>
      </c>
      <c r="L3759" s="26">
        <f t="shared" si="120"/>
        <v>0</v>
      </c>
    </row>
    <row r="3760" spans="2:12">
      <c r="B3760" s="4" t="e">
        <f t="shared" si="119"/>
        <v>#N/A</v>
      </c>
      <c r="C3760" s="4">
        <f>'Raw data'!E3336</f>
        <v>0</v>
      </c>
      <c r="D3760" s="29" t="e">
        <f>VLOOKUP(C3760,'점포코드 '!A:B,2,0)</f>
        <v>#N/A</v>
      </c>
      <c r="E3760" s="30">
        <f>'Raw data'!P3336</f>
        <v>0</v>
      </c>
      <c r="F3760" s="29" t="e">
        <f>VLOOKUP(E3760,'점포코드 '!A:B,2,0)</f>
        <v>#N/A</v>
      </c>
      <c r="G3760" s="46">
        <f>'Raw data'!F3669</f>
        <v>0</v>
      </c>
      <c r="H3760" s="4">
        <f>'Raw data'!G3669</f>
        <v>0</v>
      </c>
      <c r="I3760" s="29" t="e">
        <f>VLOOKUP(G3760,제품명!$C$1:$E$114,2,0)</f>
        <v>#N/A</v>
      </c>
      <c r="J3760" s="29">
        <f>'Raw data'!K3669</f>
        <v>0</v>
      </c>
      <c r="K3760" s="31">
        <f>'Raw data'!H3669</f>
        <v>0</v>
      </c>
      <c r="L3760" s="26">
        <f t="shared" si="120"/>
        <v>0</v>
      </c>
    </row>
    <row r="3761" spans="2:12">
      <c r="B3761" s="4" t="e">
        <f t="shared" si="119"/>
        <v>#N/A</v>
      </c>
      <c r="C3761" s="4">
        <f>'Raw data'!E3337</f>
        <v>0</v>
      </c>
      <c r="D3761" s="29" t="e">
        <f>VLOOKUP(C3761,'점포코드 '!A:B,2,0)</f>
        <v>#N/A</v>
      </c>
      <c r="E3761" s="30">
        <f>'Raw data'!P3337</f>
        <v>0</v>
      </c>
      <c r="F3761" s="29" t="e">
        <f>VLOOKUP(E3761,'점포코드 '!A:B,2,0)</f>
        <v>#N/A</v>
      </c>
      <c r="G3761" s="46">
        <f>'Raw data'!F3670</f>
        <v>0</v>
      </c>
      <c r="H3761" s="4">
        <f>'Raw data'!G3670</f>
        <v>0</v>
      </c>
      <c r="I3761" s="29" t="e">
        <f>VLOOKUP(G3761,제품명!$C$1:$E$114,2,0)</f>
        <v>#N/A</v>
      </c>
      <c r="J3761" s="29">
        <f>'Raw data'!K3670</f>
        <v>0</v>
      </c>
      <c r="K3761" s="31">
        <f>'Raw data'!H3670</f>
        <v>0</v>
      </c>
      <c r="L3761" s="26">
        <f t="shared" si="120"/>
        <v>0</v>
      </c>
    </row>
    <row r="3762" spans="2:12">
      <c r="B3762" s="4" t="e">
        <f t="shared" si="119"/>
        <v>#N/A</v>
      </c>
      <c r="C3762" s="4">
        <f>'Raw data'!E3338</f>
        <v>0</v>
      </c>
      <c r="D3762" s="29" t="e">
        <f>VLOOKUP(C3762,'점포코드 '!A:B,2,0)</f>
        <v>#N/A</v>
      </c>
      <c r="E3762" s="30">
        <f>'Raw data'!P3338</f>
        <v>0</v>
      </c>
      <c r="F3762" s="29" t="e">
        <f>VLOOKUP(E3762,'점포코드 '!A:B,2,0)</f>
        <v>#N/A</v>
      </c>
      <c r="G3762" s="46">
        <f>'Raw data'!F3671</f>
        <v>0</v>
      </c>
      <c r="H3762" s="4">
        <f>'Raw data'!G3671</f>
        <v>0</v>
      </c>
      <c r="I3762" s="29" t="e">
        <f>VLOOKUP(G3762,제품명!$C$1:$E$114,2,0)</f>
        <v>#N/A</v>
      </c>
      <c r="J3762" s="29">
        <f>'Raw data'!K3671</f>
        <v>0</v>
      </c>
      <c r="K3762" s="31">
        <f>'Raw data'!H3671</f>
        <v>0</v>
      </c>
      <c r="L3762" s="26">
        <f t="shared" si="120"/>
        <v>0</v>
      </c>
    </row>
    <row r="3763" spans="2:12">
      <c r="B3763" s="4" t="e">
        <f t="shared" si="119"/>
        <v>#N/A</v>
      </c>
      <c r="C3763" s="4">
        <f>'Raw data'!E3339</f>
        <v>0</v>
      </c>
      <c r="D3763" s="29" t="e">
        <f>VLOOKUP(C3763,'점포코드 '!A:B,2,0)</f>
        <v>#N/A</v>
      </c>
      <c r="E3763" s="30">
        <f>'Raw data'!P3339</f>
        <v>0</v>
      </c>
      <c r="F3763" s="29" t="e">
        <f>VLOOKUP(E3763,'점포코드 '!A:B,2,0)</f>
        <v>#N/A</v>
      </c>
      <c r="G3763" s="46">
        <f>'Raw data'!F3672</f>
        <v>0</v>
      </c>
      <c r="H3763" s="4">
        <f>'Raw data'!G3672</f>
        <v>0</v>
      </c>
      <c r="I3763" s="29" t="e">
        <f>VLOOKUP(G3763,제품명!$C$1:$E$114,2,0)</f>
        <v>#N/A</v>
      </c>
      <c r="J3763" s="29">
        <f>'Raw data'!K3672</f>
        <v>0</v>
      </c>
      <c r="K3763" s="31">
        <f>'Raw data'!H3672</f>
        <v>0</v>
      </c>
      <c r="L3763" s="26">
        <f t="shared" si="120"/>
        <v>0</v>
      </c>
    </row>
    <row r="3764" spans="2:12">
      <c r="B3764" s="4" t="e">
        <f t="shared" si="119"/>
        <v>#N/A</v>
      </c>
      <c r="C3764" s="4">
        <f>'Raw data'!E3340</f>
        <v>0</v>
      </c>
      <c r="D3764" s="29" t="e">
        <f>VLOOKUP(C3764,'점포코드 '!A:B,2,0)</f>
        <v>#N/A</v>
      </c>
      <c r="E3764" s="30">
        <f>'Raw data'!P3340</f>
        <v>0</v>
      </c>
      <c r="F3764" s="29" t="e">
        <f>VLOOKUP(E3764,'점포코드 '!A:B,2,0)</f>
        <v>#N/A</v>
      </c>
      <c r="G3764" s="46">
        <f>'Raw data'!F3673</f>
        <v>0</v>
      </c>
      <c r="H3764" s="4">
        <f>'Raw data'!G3673</f>
        <v>0</v>
      </c>
      <c r="I3764" s="29" t="e">
        <f>VLOOKUP(G3764,제품명!$C$1:$E$114,2,0)</f>
        <v>#N/A</v>
      </c>
      <c r="J3764" s="29">
        <f>'Raw data'!K3673</f>
        <v>0</v>
      </c>
      <c r="K3764" s="31">
        <f>'Raw data'!H3673</f>
        <v>0</v>
      </c>
      <c r="L3764" s="26">
        <f t="shared" si="120"/>
        <v>0</v>
      </c>
    </row>
    <row r="3765" spans="2:12">
      <c r="B3765" s="4" t="e">
        <f t="shared" si="119"/>
        <v>#N/A</v>
      </c>
      <c r="C3765" s="4">
        <f>'Raw data'!E3341</f>
        <v>0</v>
      </c>
      <c r="D3765" s="29" t="e">
        <f>VLOOKUP(C3765,'점포코드 '!A:B,2,0)</f>
        <v>#N/A</v>
      </c>
      <c r="E3765" s="30">
        <f>'Raw data'!P3341</f>
        <v>0</v>
      </c>
      <c r="F3765" s="29" t="e">
        <f>VLOOKUP(E3765,'점포코드 '!A:B,2,0)</f>
        <v>#N/A</v>
      </c>
      <c r="G3765" s="46">
        <f>'Raw data'!F3674</f>
        <v>0</v>
      </c>
      <c r="H3765" s="4">
        <f>'Raw data'!G3674</f>
        <v>0</v>
      </c>
      <c r="I3765" s="29" t="e">
        <f>VLOOKUP(G3765,제품명!$C$1:$E$114,2,0)</f>
        <v>#N/A</v>
      </c>
      <c r="J3765" s="29">
        <f>'Raw data'!K3674</f>
        <v>0</v>
      </c>
      <c r="K3765" s="31">
        <f>'Raw data'!H3674</f>
        <v>0</v>
      </c>
      <c r="L3765" s="26">
        <f t="shared" si="120"/>
        <v>0</v>
      </c>
    </row>
    <row r="3766" spans="2:12">
      <c r="B3766" s="4" t="e">
        <f t="shared" si="119"/>
        <v>#N/A</v>
      </c>
      <c r="C3766" s="4">
        <f>'Raw data'!E3342</f>
        <v>0</v>
      </c>
      <c r="D3766" s="29" t="e">
        <f>VLOOKUP(C3766,'점포코드 '!A:B,2,0)</f>
        <v>#N/A</v>
      </c>
      <c r="E3766" s="30">
        <f>'Raw data'!P3342</f>
        <v>0</v>
      </c>
      <c r="F3766" s="29" t="e">
        <f>VLOOKUP(E3766,'점포코드 '!A:B,2,0)</f>
        <v>#N/A</v>
      </c>
      <c r="G3766" s="46">
        <f>'Raw data'!F3675</f>
        <v>0</v>
      </c>
      <c r="H3766" s="4">
        <f>'Raw data'!G3675</f>
        <v>0</v>
      </c>
      <c r="I3766" s="29" t="e">
        <f>VLOOKUP(G3766,제품명!$C$1:$E$114,2,0)</f>
        <v>#N/A</v>
      </c>
      <c r="J3766" s="29">
        <f>'Raw data'!K3675</f>
        <v>0</v>
      </c>
      <c r="K3766" s="31">
        <f>'Raw data'!H3675</f>
        <v>0</v>
      </c>
      <c r="L3766" s="26">
        <f t="shared" si="120"/>
        <v>0</v>
      </c>
    </row>
    <row r="3767" spans="2:12">
      <c r="B3767" s="4" t="e">
        <f t="shared" si="119"/>
        <v>#N/A</v>
      </c>
      <c r="C3767" s="4">
        <f>'Raw data'!E3343</f>
        <v>0</v>
      </c>
      <c r="D3767" s="29" t="e">
        <f>VLOOKUP(C3767,'점포코드 '!A:B,2,0)</f>
        <v>#N/A</v>
      </c>
      <c r="E3767" s="30">
        <f>'Raw data'!P3343</f>
        <v>0</v>
      </c>
      <c r="F3767" s="29" t="e">
        <f>VLOOKUP(E3767,'점포코드 '!A:B,2,0)</f>
        <v>#N/A</v>
      </c>
      <c r="G3767" s="46">
        <f>'Raw data'!F3676</f>
        <v>0</v>
      </c>
      <c r="H3767" s="4">
        <f>'Raw data'!G3676</f>
        <v>0</v>
      </c>
      <c r="I3767" s="29" t="e">
        <f>VLOOKUP(G3767,제품명!$C$1:$E$114,2,0)</f>
        <v>#N/A</v>
      </c>
      <c r="J3767" s="29">
        <f>'Raw data'!K3676</f>
        <v>0</v>
      </c>
      <c r="K3767" s="31">
        <f>'Raw data'!H3676</f>
        <v>0</v>
      </c>
      <c r="L3767" s="26">
        <f t="shared" si="120"/>
        <v>0</v>
      </c>
    </row>
    <row r="3768" spans="2:12">
      <c r="B3768" s="4" t="e">
        <f t="shared" si="119"/>
        <v>#N/A</v>
      </c>
      <c r="C3768" s="4">
        <f>'Raw data'!E3344</f>
        <v>0</v>
      </c>
      <c r="D3768" s="29" t="e">
        <f>VLOOKUP(C3768,'점포코드 '!A:B,2,0)</f>
        <v>#N/A</v>
      </c>
      <c r="E3768" s="30">
        <f>'Raw data'!P3344</f>
        <v>0</v>
      </c>
      <c r="F3768" s="29" t="e">
        <f>VLOOKUP(E3768,'점포코드 '!A:B,2,0)</f>
        <v>#N/A</v>
      </c>
      <c r="G3768" s="46">
        <f>'Raw data'!F3677</f>
        <v>0</v>
      </c>
      <c r="H3768" s="4">
        <f>'Raw data'!G3677</f>
        <v>0</v>
      </c>
      <c r="I3768" s="29" t="e">
        <f>VLOOKUP(G3768,제품명!$C$1:$E$114,2,0)</f>
        <v>#N/A</v>
      </c>
      <c r="J3768" s="29">
        <f>'Raw data'!K3677</f>
        <v>0</v>
      </c>
      <c r="K3768" s="31">
        <f>'Raw data'!H3677</f>
        <v>0</v>
      </c>
      <c r="L3768" s="26">
        <f t="shared" si="120"/>
        <v>0</v>
      </c>
    </row>
    <row r="3769" spans="2:12">
      <c r="B3769" s="4" t="e">
        <f t="shared" si="119"/>
        <v>#N/A</v>
      </c>
      <c r="C3769" s="4">
        <f>'Raw data'!E3345</f>
        <v>0</v>
      </c>
      <c r="D3769" s="29" t="e">
        <f>VLOOKUP(C3769,'점포코드 '!A:B,2,0)</f>
        <v>#N/A</v>
      </c>
      <c r="E3769" s="30">
        <f>'Raw data'!P3345</f>
        <v>0</v>
      </c>
      <c r="F3769" s="29" t="e">
        <f>VLOOKUP(E3769,'점포코드 '!A:B,2,0)</f>
        <v>#N/A</v>
      </c>
      <c r="G3769" s="46">
        <f>'Raw data'!F3678</f>
        <v>0</v>
      </c>
      <c r="H3769" s="4">
        <f>'Raw data'!G3678</f>
        <v>0</v>
      </c>
      <c r="I3769" s="29" t="e">
        <f>VLOOKUP(G3769,제품명!$C$1:$E$114,2,0)</f>
        <v>#N/A</v>
      </c>
      <c r="J3769" s="29">
        <f>'Raw data'!K3678</f>
        <v>0</v>
      </c>
      <c r="K3769" s="31">
        <f>'Raw data'!H3678</f>
        <v>0</v>
      </c>
      <c r="L3769" s="26">
        <f t="shared" si="120"/>
        <v>0</v>
      </c>
    </row>
    <row r="3770" spans="2:12">
      <c r="B3770" s="4" t="e">
        <f t="shared" si="119"/>
        <v>#N/A</v>
      </c>
      <c r="C3770" s="4">
        <f>'Raw data'!E3346</f>
        <v>0</v>
      </c>
      <c r="D3770" s="29" t="e">
        <f>VLOOKUP(C3770,'점포코드 '!A:B,2,0)</f>
        <v>#N/A</v>
      </c>
      <c r="E3770" s="30">
        <f>'Raw data'!P3346</f>
        <v>0</v>
      </c>
      <c r="F3770" s="29" t="e">
        <f>VLOOKUP(E3770,'점포코드 '!A:B,2,0)</f>
        <v>#N/A</v>
      </c>
      <c r="G3770" s="46">
        <f>'Raw data'!F3679</f>
        <v>0</v>
      </c>
      <c r="H3770" s="4">
        <f>'Raw data'!G3679</f>
        <v>0</v>
      </c>
      <c r="I3770" s="29" t="e">
        <f>VLOOKUP(G3770,제품명!$C$1:$E$114,2,0)</f>
        <v>#N/A</v>
      </c>
      <c r="J3770" s="29">
        <f>'Raw data'!K3679</f>
        <v>0</v>
      </c>
      <c r="K3770" s="31">
        <f>'Raw data'!H3679</f>
        <v>0</v>
      </c>
      <c r="L3770" s="26">
        <f t="shared" si="120"/>
        <v>0</v>
      </c>
    </row>
    <row r="3771" spans="2:12">
      <c r="B3771" s="4" t="e">
        <f t="shared" si="119"/>
        <v>#N/A</v>
      </c>
      <c r="C3771" s="4">
        <f>'Raw data'!E3347</f>
        <v>0</v>
      </c>
      <c r="D3771" s="29" t="e">
        <f>VLOOKUP(C3771,'점포코드 '!A:B,2,0)</f>
        <v>#N/A</v>
      </c>
      <c r="E3771" s="30">
        <f>'Raw data'!P3347</f>
        <v>0</v>
      </c>
      <c r="F3771" s="29" t="e">
        <f>VLOOKUP(E3771,'점포코드 '!A:B,2,0)</f>
        <v>#N/A</v>
      </c>
      <c r="G3771" s="46">
        <f>'Raw data'!F3680</f>
        <v>0</v>
      </c>
      <c r="H3771" s="4">
        <f>'Raw data'!G3680</f>
        <v>0</v>
      </c>
      <c r="I3771" s="29" t="e">
        <f>VLOOKUP(G3771,제품명!$C$1:$E$114,2,0)</f>
        <v>#N/A</v>
      </c>
      <c r="J3771" s="29">
        <f>'Raw data'!K3680</f>
        <v>0</v>
      </c>
      <c r="K3771" s="31">
        <f>'Raw data'!H3680</f>
        <v>0</v>
      </c>
      <c r="L3771" s="26">
        <f t="shared" si="120"/>
        <v>0</v>
      </c>
    </row>
    <row r="3772" spans="2:12">
      <c r="B3772" s="4" t="e">
        <f t="shared" si="119"/>
        <v>#N/A</v>
      </c>
      <c r="C3772" s="4">
        <f>'Raw data'!E3348</f>
        <v>0</v>
      </c>
      <c r="D3772" s="29" t="e">
        <f>VLOOKUP(C3772,'점포코드 '!A:B,2,0)</f>
        <v>#N/A</v>
      </c>
      <c r="E3772" s="30">
        <f>'Raw data'!P3348</f>
        <v>0</v>
      </c>
      <c r="F3772" s="29" t="e">
        <f>VLOOKUP(E3772,'점포코드 '!A:B,2,0)</f>
        <v>#N/A</v>
      </c>
      <c r="G3772" s="46">
        <f>'Raw data'!F3681</f>
        <v>0</v>
      </c>
      <c r="H3772" s="4">
        <f>'Raw data'!G3681</f>
        <v>0</v>
      </c>
      <c r="I3772" s="29" t="e">
        <f>VLOOKUP(G3772,제품명!$C$1:$E$114,2,0)</f>
        <v>#N/A</v>
      </c>
      <c r="J3772" s="29">
        <f>'Raw data'!K3681</f>
        <v>0</v>
      </c>
      <c r="K3772" s="31">
        <f>'Raw data'!H3681</f>
        <v>0</v>
      </c>
      <c r="L3772" s="26">
        <f t="shared" si="120"/>
        <v>0</v>
      </c>
    </row>
    <row r="3773" spans="2:12">
      <c r="B3773" s="4" t="e">
        <f t="shared" si="119"/>
        <v>#N/A</v>
      </c>
      <c r="C3773" s="4">
        <f>'Raw data'!E3349</f>
        <v>0</v>
      </c>
      <c r="D3773" s="29" t="e">
        <f>VLOOKUP(C3773,'점포코드 '!A:B,2,0)</f>
        <v>#N/A</v>
      </c>
      <c r="E3773" s="30">
        <f>'Raw data'!P3349</f>
        <v>0</v>
      </c>
      <c r="F3773" s="29" t="e">
        <f>VLOOKUP(E3773,'점포코드 '!A:B,2,0)</f>
        <v>#N/A</v>
      </c>
      <c r="G3773" s="46">
        <f>'Raw data'!F3682</f>
        <v>0</v>
      </c>
      <c r="H3773" s="4">
        <f>'Raw data'!G3682</f>
        <v>0</v>
      </c>
      <c r="I3773" s="29" t="e">
        <f>VLOOKUP(G3773,제품명!$C$1:$E$114,2,0)</f>
        <v>#N/A</v>
      </c>
      <c r="J3773" s="29">
        <f>'Raw data'!K3682</f>
        <v>0</v>
      </c>
      <c r="K3773" s="31">
        <f>'Raw data'!H3682</f>
        <v>0</v>
      </c>
      <c r="L3773" s="26">
        <f t="shared" si="120"/>
        <v>0</v>
      </c>
    </row>
    <row r="3774" spans="2:12">
      <c r="B3774" s="4" t="e">
        <f t="shared" si="119"/>
        <v>#N/A</v>
      </c>
      <c r="C3774" s="4">
        <f>'Raw data'!E3350</f>
        <v>0</v>
      </c>
      <c r="D3774" s="29" t="e">
        <f>VLOOKUP(C3774,'점포코드 '!A:B,2,0)</f>
        <v>#N/A</v>
      </c>
      <c r="E3774" s="30">
        <f>'Raw data'!P3350</f>
        <v>0</v>
      </c>
      <c r="F3774" s="29" t="e">
        <f>VLOOKUP(E3774,'점포코드 '!A:B,2,0)</f>
        <v>#N/A</v>
      </c>
      <c r="G3774" s="46">
        <f>'Raw data'!F3683</f>
        <v>0</v>
      </c>
      <c r="H3774" s="4">
        <f>'Raw data'!G3683</f>
        <v>0</v>
      </c>
      <c r="I3774" s="29" t="e">
        <f>VLOOKUP(G3774,제품명!$C$1:$E$114,2,0)</f>
        <v>#N/A</v>
      </c>
      <c r="J3774" s="29">
        <f>'Raw data'!K3683</f>
        <v>0</v>
      </c>
      <c r="K3774" s="31">
        <f>'Raw data'!H3683</f>
        <v>0</v>
      </c>
      <c r="L3774" s="26">
        <f t="shared" si="120"/>
        <v>0</v>
      </c>
    </row>
    <row r="3775" spans="2:12">
      <c r="B3775" s="4" t="e">
        <f t="shared" si="119"/>
        <v>#N/A</v>
      </c>
      <c r="C3775" s="4">
        <f>'Raw data'!E3351</f>
        <v>0</v>
      </c>
      <c r="D3775" s="29" t="e">
        <f>VLOOKUP(C3775,'점포코드 '!A:B,2,0)</f>
        <v>#N/A</v>
      </c>
      <c r="E3775" s="30">
        <f>'Raw data'!P3351</f>
        <v>0</v>
      </c>
      <c r="F3775" s="29" t="e">
        <f>VLOOKUP(E3775,'점포코드 '!A:B,2,0)</f>
        <v>#N/A</v>
      </c>
      <c r="G3775" s="46">
        <f>'Raw data'!F3684</f>
        <v>0</v>
      </c>
      <c r="H3775" s="4">
        <f>'Raw data'!G3684</f>
        <v>0</v>
      </c>
      <c r="I3775" s="29" t="e">
        <f>VLOOKUP(G3775,제품명!$C$1:$E$114,2,0)</f>
        <v>#N/A</v>
      </c>
      <c r="J3775" s="29">
        <f>'Raw data'!K3684</f>
        <v>0</v>
      </c>
      <c r="K3775" s="31">
        <f>'Raw data'!H3684</f>
        <v>0</v>
      </c>
      <c r="L3775" s="26">
        <f t="shared" si="120"/>
        <v>0</v>
      </c>
    </row>
    <row r="3776" spans="2:12">
      <c r="B3776" s="4" t="e">
        <f t="shared" si="119"/>
        <v>#N/A</v>
      </c>
      <c r="C3776" s="4">
        <f>'Raw data'!E3352</f>
        <v>0</v>
      </c>
      <c r="D3776" s="29" t="e">
        <f>VLOOKUP(C3776,'점포코드 '!A:B,2,0)</f>
        <v>#N/A</v>
      </c>
      <c r="E3776" s="30">
        <f>'Raw data'!P3352</f>
        <v>0</v>
      </c>
      <c r="F3776" s="29" t="e">
        <f>VLOOKUP(E3776,'점포코드 '!A:B,2,0)</f>
        <v>#N/A</v>
      </c>
      <c r="G3776" s="46">
        <f>'Raw data'!F3685</f>
        <v>0</v>
      </c>
      <c r="H3776" s="4">
        <f>'Raw data'!G3685</f>
        <v>0</v>
      </c>
      <c r="I3776" s="29" t="e">
        <f>VLOOKUP(G3776,제품명!$C$1:$E$114,2,0)</f>
        <v>#N/A</v>
      </c>
      <c r="J3776" s="29">
        <f>'Raw data'!K3685</f>
        <v>0</v>
      </c>
      <c r="K3776" s="31">
        <f>'Raw data'!H3685</f>
        <v>0</v>
      </c>
      <c r="L3776" s="26">
        <f t="shared" si="120"/>
        <v>0</v>
      </c>
    </row>
    <row r="3777" spans="2:12">
      <c r="B3777" s="4" t="e">
        <f t="shared" si="119"/>
        <v>#N/A</v>
      </c>
      <c r="C3777" s="4">
        <f>'Raw data'!E3353</f>
        <v>0</v>
      </c>
      <c r="D3777" s="29" t="e">
        <f>VLOOKUP(C3777,'점포코드 '!A:B,2,0)</f>
        <v>#N/A</v>
      </c>
      <c r="E3777" s="30">
        <f>'Raw data'!P3353</f>
        <v>0</v>
      </c>
      <c r="F3777" s="29" t="e">
        <f>VLOOKUP(E3777,'점포코드 '!A:B,2,0)</f>
        <v>#N/A</v>
      </c>
      <c r="G3777" s="46">
        <f>'Raw data'!F3686</f>
        <v>0</v>
      </c>
      <c r="H3777" s="4">
        <f>'Raw data'!G3686</f>
        <v>0</v>
      </c>
      <c r="I3777" s="29" t="e">
        <f>VLOOKUP(G3777,제품명!$C$1:$E$114,2,0)</f>
        <v>#N/A</v>
      </c>
      <c r="J3777" s="29">
        <f>'Raw data'!K3686</f>
        <v>0</v>
      </c>
      <c r="K3777" s="31">
        <f>'Raw data'!H3686</f>
        <v>0</v>
      </c>
      <c r="L3777" s="26">
        <f t="shared" si="120"/>
        <v>0</v>
      </c>
    </row>
    <row r="3778" spans="2:12">
      <c r="B3778" s="4" t="e">
        <f t="shared" ref="B3778:B3841" si="121">F3778&amp;I3778</f>
        <v>#N/A</v>
      </c>
      <c r="C3778" s="4">
        <f>'Raw data'!E3354</f>
        <v>0</v>
      </c>
      <c r="D3778" s="29" t="e">
        <f>VLOOKUP(C3778,'점포코드 '!A:B,2,0)</f>
        <v>#N/A</v>
      </c>
      <c r="E3778" s="30">
        <f>'Raw data'!P3354</f>
        <v>0</v>
      </c>
      <c r="F3778" s="29" t="e">
        <f>VLOOKUP(E3778,'점포코드 '!A:B,2,0)</f>
        <v>#N/A</v>
      </c>
      <c r="G3778" s="46">
        <f>'Raw data'!F3687</f>
        <v>0</v>
      </c>
      <c r="H3778" s="4">
        <f>'Raw data'!G3687</f>
        <v>0</v>
      </c>
      <c r="I3778" s="29" t="e">
        <f>VLOOKUP(G3778,제품명!$C$1:$E$114,2,0)</f>
        <v>#N/A</v>
      </c>
      <c r="J3778" s="29">
        <f>'Raw data'!K3687</f>
        <v>0</v>
      </c>
      <c r="K3778" s="31">
        <f>'Raw data'!H3687</f>
        <v>0</v>
      </c>
      <c r="L3778" s="26">
        <f t="shared" si="120"/>
        <v>0</v>
      </c>
    </row>
    <row r="3779" spans="2:12">
      <c r="B3779" s="4" t="e">
        <f t="shared" si="121"/>
        <v>#N/A</v>
      </c>
      <c r="C3779" s="4">
        <f>'Raw data'!E3355</f>
        <v>0</v>
      </c>
      <c r="D3779" s="29" t="e">
        <f>VLOOKUP(C3779,'점포코드 '!A:B,2,0)</f>
        <v>#N/A</v>
      </c>
      <c r="E3779" s="30">
        <f>'Raw data'!P3355</f>
        <v>0</v>
      </c>
      <c r="F3779" s="29" t="e">
        <f>VLOOKUP(E3779,'점포코드 '!A:B,2,0)</f>
        <v>#N/A</v>
      </c>
      <c r="G3779" s="46">
        <f>'Raw data'!F3688</f>
        <v>0</v>
      </c>
      <c r="H3779" s="4">
        <f>'Raw data'!G3688</f>
        <v>0</v>
      </c>
      <c r="I3779" s="29" t="e">
        <f>VLOOKUP(G3779,제품명!$C$1:$E$114,2,0)</f>
        <v>#N/A</v>
      </c>
      <c r="J3779" s="29">
        <f>'Raw data'!K3688</f>
        <v>0</v>
      </c>
      <c r="K3779" s="31">
        <f>'Raw data'!H3688</f>
        <v>0</v>
      </c>
      <c r="L3779" s="26">
        <f t="shared" ref="L3779:L3842" si="122">J3779*K3779</f>
        <v>0</v>
      </c>
    </row>
    <row r="3780" spans="2:12">
      <c r="B3780" s="4" t="e">
        <f t="shared" si="121"/>
        <v>#N/A</v>
      </c>
      <c r="C3780" s="4">
        <f>'Raw data'!E3356</f>
        <v>0</v>
      </c>
      <c r="D3780" s="29" t="e">
        <f>VLOOKUP(C3780,'점포코드 '!A:B,2,0)</f>
        <v>#N/A</v>
      </c>
      <c r="E3780" s="30">
        <f>'Raw data'!P3356</f>
        <v>0</v>
      </c>
      <c r="F3780" s="29" t="e">
        <f>VLOOKUP(E3780,'점포코드 '!A:B,2,0)</f>
        <v>#N/A</v>
      </c>
      <c r="G3780" s="46">
        <f>'Raw data'!F3689</f>
        <v>0</v>
      </c>
      <c r="H3780" s="4">
        <f>'Raw data'!G3689</f>
        <v>0</v>
      </c>
      <c r="I3780" s="29" t="e">
        <f>VLOOKUP(G3780,제품명!$C$1:$E$114,2,0)</f>
        <v>#N/A</v>
      </c>
      <c r="J3780" s="29">
        <f>'Raw data'!K3689</f>
        <v>0</v>
      </c>
      <c r="K3780" s="31">
        <f>'Raw data'!H3689</f>
        <v>0</v>
      </c>
      <c r="L3780" s="26">
        <f t="shared" si="122"/>
        <v>0</v>
      </c>
    </row>
    <row r="3781" spans="2:12">
      <c r="B3781" s="4" t="e">
        <f t="shared" si="121"/>
        <v>#N/A</v>
      </c>
      <c r="C3781" s="4">
        <f>'Raw data'!E3357</f>
        <v>0</v>
      </c>
      <c r="D3781" s="29" t="e">
        <f>VLOOKUP(C3781,'점포코드 '!A:B,2,0)</f>
        <v>#N/A</v>
      </c>
      <c r="E3781" s="30">
        <f>'Raw data'!P3357</f>
        <v>0</v>
      </c>
      <c r="F3781" s="29" t="e">
        <f>VLOOKUP(E3781,'점포코드 '!A:B,2,0)</f>
        <v>#N/A</v>
      </c>
      <c r="G3781" s="46">
        <f>'Raw data'!F3690</f>
        <v>0</v>
      </c>
      <c r="H3781" s="4">
        <f>'Raw data'!G3690</f>
        <v>0</v>
      </c>
      <c r="I3781" s="29" t="e">
        <f>VLOOKUP(G3781,제품명!$C$1:$E$114,2,0)</f>
        <v>#N/A</v>
      </c>
      <c r="J3781" s="29">
        <f>'Raw data'!K3690</f>
        <v>0</v>
      </c>
      <c r="K3781" s="31">
        <f>'Raw data'!H3690</f>
        <v>0</v>
      </c>
      <c r="L3781" s="26">
        <f t="shared" si="122"/>
        <v>0</v>
      </c>
    </row>
    <row r="3782" spans="2:12">
      <c r="B3782" s="4" t="e">
        <f t="shared" si="121"/>
        <v>#N/A</v>
      </c>
      <c r="C3782" s="4">
        <f>'Raw data'!E3358</f>
        <v>0</v>
      </c>
      <c r="D3782" s="29" t="e">
        <f>VLOOKUP(C3782,'점포코드 '!A:B,2,0)</f>
        <v>#N/A</v>
      </c>
      <c r="E3782" s="30">
        <f>'Raw data'!P3358</f>
        <v>0</v>
      </c>
      <c r="F3782" s="29" t="e">
        <f>VLOOKUP(E3782,'점포코드 '!A:B,2,0)</f>
        <v>#N/A</v>
      </c>
      <c r="G3782" s="46">
        <f>'Raw data'!F3691</f>
        <v>0</v>
      </c>
      <c r="H3782" s="4">
        <f>'Raw data'!G3691</f>
        <v>0</v>
      </c>
      <c r="I3782" s="29" t="e">
        <f>VLOOKUP(G3782,제품명!$C$1:$E$114,2,0)</f>
        <v>#N/A</v>
      </c>
      <c r="J3782" s="29">
        <f>'Raw data'!K3691</f>
        <v>0</v>
      </c>
      <c r="K3782" s="31">
        <f>'Raw data'!H3691</f>
        <v>0</v>
      </c>
      <c r="L3782" s="26">
        <f t="shared" si="122"/>
        <v>0</v>
      </c>
    </row>
    <row r="3783" spans="2:12">
      <c r="B3783" s="4" t="e">
        <f t="shared" si="121"/>
        <v>#N/A</v>
      </c>
      <c r="C3783" s="4">
        <f>'Raw data'!E3359</f>
        <v>0</v>
      </c>
      <c r="D3783" s="29" t="e">
        <f>VLOOKUP(C3783,'점포코드 '!A:B,2,0)</f>
        <v>#N/A</v>
      </c>
      <c r="E3783" s="30">
        <f>'Raw data'!P3359</f>
        <v>0</v>
      </c>
      <c r="F3783" s="29" t="e">
        <f>VLOOKUP(E3783,'점포코드 '!A:B,2,0)</f>
        <v>#N/A</v>
      </c>
      <c r="G3783" s="46">
        <f>'Raw data'!F3692</f>
        <v>0</v>
      </c>
      <c r="H3783" s="4">
        <f>'Raw data'!G3692</f>
        <v>0</v>
      </c>
      <c r="I3783" s="29" t="e">
        <f>VLOOKUP(G3783,제품명!$C$1:$E$114,2,0)</f>
        <v>#N/A</v>
      </c>
      <c r="J3783" s="29">
        <f>'Raw data'!K3692</f>
        <v>0</v>
      </c>
      <c r="K3783" s="31">
        <f>'Raw data'!H3692</f>
        <v>0</v>
      </c>
      <c r="L3783" s="26">
        <f t="shared" si="122"/>
        <v>0</v>
      </c>
    </row>
    <row r="3784" spans="2:12">
      <c r="B3784" s="4" t="e">
        <f t="shared" si="121"/>
        <v>#N/A</v>
      </c>
      <c r="C3784" s="4">
        <f>'Raw data'!E3360</f>
        <v>0</v>
      </c>
      <c r="D3784" s="29" t="e">
        <f>VLOOKUP(C3784,'점포코드 '!A:B,2,0)</f>
        <v>#N/A</v>
      </c>
      <c r="E3784" s="30">
        <f>'Raw data'!P3360</f>
        <v>0</v>
      </c>
      <c r="F3784" s="29" t="e">
        <f>VLOOKUP(E3784,'점포코드 '!A:B,2,0)</f>
        <v>#N/A</v>
      </c>
      <c r="G3784" s="46">
        <f>'Raw data'!F3693</f>
        <v>0</v>
      </c>
      <c r="H3784" s="4">
        <f>'Raw data'!G3693</f>
        <v>0</v>
      </c>
      <c r="I3784" s="29" t="e">
        <f>VLOOKUP(G3784,제품명!$C$1:$E$114,2,0)</f>
        <v>#N/A</v>
      </c>
      <c r="J3784" s="29">
        <f>'Raw data'!K3693</f>
        <v>0</v>
      </c>
      <c r="K3784" s="31">
        <f>'Raw data'!H3693</f>
        <v>0</v>
      </c>
      <c r="L3784" s="26">
        <f t="shared" si="122"/>
        <v>0</v>
      </c>
    </row>
    <row r="3785" spans="2:12">
      <c r="B3785" s="4" t="e">
        <f t="shared" si="121"/>
        <v>#N/A</v>
      </c>
      <c r="C3785" s="4">
        <f>'Raw data'!E3361</f>
        <v>0</v>
      </c>
      <c r="D3785" s="29" t="e">
        <f>VLOOKUP(C3785,'점포코드 '!A:B,2,0)</f>
        <v>#N/A</v>
      </c>
      <c r="E3785" s="30">
        <f>'Raw data'!P3361</f>
        <v>0</v>
      </c>
      <c r="F3785" s="29" t="e">
        <f>VLOOKUP(E3785,'점포코드 '!A:B,2,0)</f>
        <v>#N/A</v>
      </c>
      <c r="G3785" s="46">
        <f>'Raw data'!F3694</f>
        <v>0</v>
      </c>
      <c r="H3785" s="4">
        <f>'Raw data'!G3694</f>
        <v>0</v>
      </c>
      <c r="I3785" s="29" t="e">
        <f>VLOOKUP(G3785,제품명!$C$1:$E$114,2,0)</f>
        <v>#N/A</v>
      </c>
      <c r="J3785" s="29">
        <f>'Raw data'!K3694</f>
        <v>0</v>
      </c>
      <c r="K3785" s="31">
        <f>'Raw data'!H3694</f>
        <v>0</v>
      </c>
      <c r="L3785" s="26">
        <f t="shared" si="122"/>
        <v>0</v>
      </c>
    </row>
    <row r="3786" spans="2:12">
      <c r="B3786" s="4" t="e">
        <f t="shared" si="121"/>
        <v>#N/A</v>
      </c>
      <c r="C3786" s="4">
        <f>'Raw data'!E3362</f>
        <v>0</v>
      </c>
      <c r="D3786" s="29" t="e">
        <f>VLOOKUP(C3786,'점포코드 '!A:B,2,0)</f>
        <v>#N/A</v>
      </c>
      <c r="E3786" s="30">
        <f>'Raw data'!P3362</f>
        <v>0</v>
      </c>
      <c r="F3786" s="29" t="e">
        <f>VLOOKUP(E3786,'점포코드 '!A:B,2,0)</f>
        <v>#N/A</v>
      </c>
      <c r="G3786" s="46">
        <f>'Raw data'!F3695</f>
        <v>0</v>
      </c>
      <c r="H3786" s="4">
        <f>'Raw data'!G3695</f>
        <v>0</v>
      </c>
      <c r="I3786" s="29" t="e">
        <f>VLOOKUP(G3786,제품명!$C$1:$E$114,2,0)</f>
        <v>#N/A</v>
      </c>
      <c r="J3786" s="29">
        <f>'Raw data'!K3695</f>
        <v>0</v>
      </c>
      <c r="K3786" s="31">
        <f>'Raw data'!H3695</f>
        <v>0</v>
      </c>
      <c r="L3786" s="26">
        <f t="shared" si="122"/>
        <v>0</v>
      </c>
    </row>
    <row r="3787" spans="2:12">
      <c r="B3787" s="4" t="e">
        <f t="shared" si="121"/>
        <v>#N/A</v>
      </c>
      <c r="C3787" s="4">
        <f>'Raw data'!E3363</f>
        <v>0</v>
      </c>
      <c r="D3787" s="29" t="e">
        <f>VLOOKUP(C3787,'점포코드 '!A:B,2,0)</f>
        <v>#N/A</v>
      </c>
      <c r="E3787" s="30">
        <f>'Raw data'!P3363</f>
        <v>0</v>
      </c>
      <c r="F3787" s="29" t="e">
        <f>VLOOKUP(E3787,'점포코드 '!A:B,2,0)</f>
        <v>#N/A</v>
      </c>
      <c r="G3787" s="46">
        <f>'Raw data'!F3696</f>
        <v>0</v>
      </c>
      <c r="H3787" s="4">
        <f>'Raw data'!G3696</f>
        <v>0</v>
      </c>
      <c r="I3787" s="29" t="e">
        <f>VLOOKUP(G3787,제품명!$C$1:$E$114,2,0)</f>
        <v>#N/A</v>
      </c>
      <c r="J3787" s="29">
        <f>'Raw data'!K3696</f>
        <v>0</v>
      </c>
      <c r="K3787" s="31">
        <f>'Raw data'!H3696</f>
        <v>0</v>
      </c>
      <c r="L3787" s="26">
        <f t="shared" si="122"/>
        <v>0</v>
      </c>
    </row>
    <row r="3788" spans="2:12">
      <c r="B3788" s="4" t="e">
        <f t="shared" si="121"/>
        <v>#N/A</v>
      </c>
      <c r="C3788" s="4">
        <f>'Raw data'!E3364</f>
        <v>0</v>
      </c>
      <c r="D3788" s="29" t="e">
        <f>VLOOKUP(C3788,'점포코드 '!A:B,2,0)</f>
        <v>#N/A</v>
      </c>
      <c r="E3788" s="30">
        <f>'Raw data'!P3364</f>
        <v>0</v>
      </c>
      <c r="F3788" s="29" t="e">
        <f>VLOOKUP(E3788,'점포코드 '!A:B,2,0)</f>
        <v>#N/A</v>
      </c>
      <c r="G3788" s="46">
        <f>'Raw data'!F3697</f>
        <v>0</v>
      </c>
      <c r="H3788" s="4">
        <f>'Raw data'!G3697</f>
        <v>0</v>
      </c>
      <c r="I3788" s="29" t="e">
        <f>VLOOKUP(G3788,제품명!$C$1:$E$114,2,0)</f>
        <v>#N/A</v>
      </c>
      <c r="J3788" s="29">
        <f>'Raw data'!K3697</f>
        <v>0</v>
      </c>
      <c r="K3788" s="31">
        <f>'Raw data'!H3697</f>
        <v>0</v>
      </c>
      <c r="L3788" s="26">
        <f t="shared" si="122"/>
        <v>0</v>
      </c>
    </row>
    <row r="3789" spans="2:12">
      <c r="B3789" s="4" t="e">
        <f t="shared" si="121"/>
        <v>#N/A</v>
      </c>
      <c r="C3789" s="4">
        <f>'Raw data'!E3365</f>
        <v>0</v>
      </c>
      <c r="D3789" s="29" t="e">
        <f>VLOOKUP(C3789,'점포코드 '!A:B,2,0)</f>
        <v>#N/A</v>
      </c>
      <c r="E3789" s="30">
        <f>'Raw data'!P3365</f>
        <v>0</v>
      </c>
      <c r="F3789" s="29" t="e">
        <f>VLOOKUP(E3789,'점포코드 '!A:B,2,0)</f>
        <v>#N/A</v>
      </c>
      <c r="G3789" s="46">
        <f>'Raw data'!F3698</f>
        <v>0</v>
      </c>
      <c r="H3789" s="4">
        <f>'Raw data'!G3698</f>
        <v>0</v>
      </c>
      <c r="I3789" s="29" t="e">
        <f>VLOOKUP(G3789,제품명!$C$1:$E$114,2,0)</f>
        <v>#N/A</v>
      </c>
      <c r="J3789" s="29">
        <f>'Raw data'!K3698</f>
        <v>0</v>
      </c>
      <c r="K3789" s="31">
        <f>'Raw data'!H3698</f>
        <v>0</v>
      </c>
      <c r="L3789" s="26">
        <f t="shared" si="122"/>
        <v>0</v>
      </c>
    </row>
    <row r="3790" spans="2:12">
      <c r="B3790" s="4" t="e">
        <f t="shared" si="121"/>
        <v>#N/A</v>
      </c>
      <c r="C3790" s="4">
        <f>'Raw data'!E3366</f>
        <v>0</v>
      </c>
      <c r="D3790" s="29" t="e">
        <f>VLOOKUP(C3790,'점포코드 '!A:B,2,0)</f>
        <v>#N/A</v>
      </c>
      <c r="E3790" s="30">
        <f>'Raw data'!P3366</f>
        <v>0</v>
      </c>
      <c r="F3790" s="29" t="e">
        <f>VLOOKUP(E3790,'점포코드 '!A:B,2,0)</f>
        <v>#N/A</v>
      </c>
      <c r="G3790" s="46">
        <f>'Raw data'!F3699</f>
        <v>0</v>
      </c>
      <c r="H3790" s="4">
        <f>'Raw data'!G3699</f>
        <v>0</v>
      </c>
      <c r="I3790" s="29" t="e">
        <f>VLOOKUP(G3790,제품명!$C$1:$E$114,2,0)</f>
        <v>#N/A</v>
      </c>
      <c r="J3790" s="29">
        <f>'Raw data'!K3699</f>
        <v>0</v>
      </c>
      <c r="K3790" s="31">
        <f>'Raw data'!H3699</f>
        <v>0</v>
      </c>
      <c r="L3790" s="26">
        <f t="shared" si="122"/>
        <v>0</v>
      </c>
    </row>
    <row r="3791" spans="2:12">
      <c r="B3791" s="4" t="e">
        <f t="shared" si="121"/>
        <v>#N/A</v>
      </c>
      <c r="C3791" s="4">
        <f>'Raw data'!E3367</f>
        <v>0</v>
      </c>
      <c r="D3791" s="29" t="e">
        <f>VLOOKUP(C3791,'점포코드 '!A:B,2,0)</f>
        <v>#N/A</v>
      </c>
      <c r="E3791" s="30">
        <f>'Raw data'!P3367</f>
        <v>0</v>
      </c>
      <c r="F3791" s="29" t="e">
        <f>VLOOKUP(E3791,'점포코드 '!A:B,2,0)</f>
        <v>#N/A</v>
      </c>
      <c r="G3791" s="46">
        <f>'Raw data'!F3700</f>
        <v>0</v>
      </c>
      <c r="H3791" s="4">
        <f>'Raw data'!G3700</f>
        <v>0</v>
      </c>
      <c r="I3791" s="29" t="e">
        <f>VLOOKUP(G3791,제품명!$C$1:$E$114,2,0)</f>
        <v>#N/A</v>
      </c>
      <c r="J3791" s="29">
        <f>'Raw data'!K3700</f>
        <v>0</v>
      </c>
      <c r="K3791" s="31">
        <f>'Raw data'!H3700</f>
        <v>0</v>
      </c>
      <c r="L3791" s="26">
        <f t="shared" si="122"/>
        <v>0</v>
      </c>
    </row>
    <row r="3792" spans="2:12">
      <c r="B3792" s="4" t="e">
        <f t="shared" si="121"/>
        <v>#N/A</v>
      </c>
      <c r="C3792" s="4">
        <f>'Raw data'!E3368</f>
        <v>0</v>
      </c>
      <c r="D3792" s="29" t="e">
        <f>VLOOKUP(C3792,'점포코드 '!A:B,2,0)</f>
        <v>#N/A</v>
      </c>
      <c r="E3792" s="30">
        <f>'Raw data'!P3368</f>
        <v>0</v>
      </c>
      <c r="F3792" s="29" t="e">
        <f>VLOOKUP(E3792,'점포코드 '!A:B,2,0)</f>
        <v>#N/A</v>
      </c>
      <c r="G3792" s="46">
        <f>'Raw data'!F3701</f>
        <v>0</v>
      </c>
      <c r="H3792" s="4">
        <f>'Raw data'!G3701</f>
        <v>0</v>
      </c>
      <c r="I3792" s="29" t="e">
        <f>VLOOKUP(G3792,제품명!$C$1:$E$114,2,0)</f>
        <v>#N/A</v>
      </c>
      <c r="J3792" s="29">
        <f>'Raw data'!K3701</f>
        <v>0</v>
      </c>
      <c r="K3792" s="31">
        <f>'Raw data'!H3701</f>
        <v>0</v>
      </c>
      <c r="L3792" s="26">
        <f t="shared" si="122"/>
        <v>0</v>
      </c>
    </row>
    <row r="3793" spans="2:12">
      <c r="B3793" s="4" t="e">
        <f t="shared" si="121"/>
        <v>#N/A</v>
      </c>
      <c r="C3793" s="4">
        <f>'Raw data'!E3369</f>
        <v>0</v>
      </c>
      <c r="D3793" s="29" t="e">
        <f>VLOOKUP(C3793,'점포코드 '!A:B,2,0)</f>
        <v>#N/A</v>
      </c>
      <c r="E3793" s="30">
        <f>'Raw data'!P3369</f>
        <v>0</v>
      </c>
      <c r="F3793" s="29" t="e">
        <f>VLOOKUP(E3793,'점포코드 '!A:B,2,0)</f>
        <v>#N/A</v>
      </c>
      <c r="G3793" s="46">
        <f>'Raw data'!F3702</f>
        <v>0</v>
      </c>
      <c r="H3793" s="4">
        <f>'Raw data'!G3702</f>
        <v>0</v>
      </c>
      <c r="I3793" s="29" t="e">
        <f>VLOOKUP(G3793,제품명!$C$1:$E$114,2,0)</f>
        <v>#N/A</v>
      </c>
      <c r="J3793" s="29">
        <f>'Raw data'!K3702</f>
        <v>0</v>
      </c>
      <c r="K3793" s="31">
        <f>'Raw data'!H3702</f>
        <v>0</v>
      </c>
      <c r="L3793" s="26">
        <f t="shared" si="122"/>
        <v>0</v>
      </c>
    </row>
    <row r="3794" spans="2:12">
      <c r="B3794" s="4" t="e">
        <f t="shared" si="121"/>
        <v>#N/A</v>
      </c>
      <c r="C3794" s="4">
        <f>'Raw data'!E3370</f>
        <v>0</v>
      </c>
      <c r="D3794" s="29" t="e">
        <f>VLOOKUP(C3794,'점포코드 '!A:B,2,0)</f>
        <v>#N/A</v>
      </c>
      <c r="E3794" s="30">
        <f>'Raw data'!P3370</f>
        <v>0</v>
      </c>
      <c r="F3794" s="29" t="e">
        <f>VLOOKUP(E3794,'점포코드 '!A:B,2,0)</f>
        <v>#N/A</v>
      </c>
      <c r="G3794" s="46">
        <f>'Raw data'!F3703</f>
        <v>0</v>
      </c>
      <c r="H3794" s="4">
        <f>'Raw data'!G3703</f>
        <v>0</v>
      </c>
      <c r="I3794" s="29" t="e">
        <f>VLOOKUP(G3794,제품명!$C$1:$E$114,2,0)</f>
        <v>#N/A</v>
      </c>
      <c r="J3794" s="29">
        <f>'Raw data'!K3703</f>
        <v>0</v>
      </c>
      <c r="K3794" s="31">
        <f>'Raw data'!H3703</f>
        <v>0</v>
      </c>
      <c r="L3794" s="26">
        <f t="shared" si="122"/>
        <v>0</v>
      </c>
    </row>
    <row r="3795" spans="2:12">
      <c r="B3795" s="4" t="e">
        <f t="shared" si="121"/>
        <v>#N/A</v>
      </c>
      <c r="C3795" s="4">
        <f>'Raw data'!E3371</f>
        <v>0</v>
      </c>
      <c r="D3795" s="29" t="e">
        <f>VLOOKUP(C3795,'점포코드 '!A:B,2,0)</f>
        <v>#N/A</v>
      </c>
      <c r="E3795" s="30">
        <f>'Raw data'!P3371</f>
        <v>0</v>
      </c>
      <c r="F3795" s="29" t="e">
        <f>VLOOKUP(E3795,'점포코드 '!A:B,2,0)</f>
        <v>#N/A</v>
      </c>
      <c r="G3795" s="46">
        <f>'Raw data'!F3704</f>
        <v>0</v>
      </c>
      <c r="H3795" s="4">
        <f>'Raw data'!G3704</f>
        <v>0</v>
      </c>
      <c r="I3795" s="29" t="e">
        <f>VLOOKUP(G3795,제품명!$C$1:$E$114,2,0)</f>
        <v>#N/A</v>
      </c>
      <c r="J3795" s="29">
        <f>'Raw data'!K3704</f>
        <v>0</v>
      </c>
      <c r="K3795" s="31">
        <f>'Raw data'!H3704</f>
        <v>0</v>
      </c>
      <c r="L3795" s="26">
        <f t="shared" si="122"/>
        <v>0</v>
      </c>
    </row>
    <row r="3796" spans="2:12">
      <c r="B3796" s="4" t="e">
        <f t="shared" si="121"/>
        <v>#N/A</v>
      </c>
      <c r="C3796" s="4">
        <f>'Raw data'!E3372</f>
        <v>0</v>
      </c>
      <c r="D3796" s="29" t="e">
        <f>VLOOKUP(C3796,'점포코드 '!A:B,2,0)</f>
        <v>#N/A</v>
      </c>
      <c r="E3796" s="30">
        <f>'Raw data'!P3372</f>
        <v>0</v>
      </c>
      <c r="F3796" s="29" t="e">
        <f>VLOOKUP(E3796,'점포코드 '!A:B,2,0)</f>
        <v>#N/A</v>
      </c>
      <c r="G3796" s="46">
        <f>'Raw data'!F3705</f>
        <v>0</v>
      </c>
      <c r="H3796" s="4">
        <f>'Raw data'!G3705</f>
        <v>0</v>
      </c>
      <c r="I3796" s="29" t="e">
        <f>VLOOKUP(G3796,제품명!$C$1:$E$114,2,0)</f>
        <v>#N/A</v>
      </c>
      <c r="J3796" s="29">
        <f>'Raw data'!K3705</f>
        <v>0</v>
      </c>
      <c r="K3796" s="31">
        <f>'Raw data'!H3705</f>
        <v>0</v>
      </c>
      <c r="L3796" s="26">
        <f t="shared" si="122"/>
        <v>0</v>
      </c>
    </row>
    <row r="3797" spans="2:12">
      <c r="B3797" s="4" t="e">
        <f t="shared" si="121"/>
        <v>#N/A</v>
      </c>
      <c r="C3797" s="4">
        <f>'Raw data'!E3373</f>
        <v>0</v>
      </c>
      <c r="D3797" s="29" t="e">
        <f>VLOOKUP(C3797,'점포코드 '!A:B,2,0)</f>
        <v>#N/A</v>
      </c>
      <c r="E3797" s="30">
        <f>'Raw data'!P3373</f>
        <v>0</v>
      </c>
      <c r="F3797" s="29" t="e">
        <f>VLOOKUP(E3797,'점포코드 '!A:B,2,0)</f>
        <v>#N/A</v>
      </c>
      <c r="G3797" s="46">
        <f>'Raw data'!F3706</f>
        <v>0</v>
      </c>
      <c r="H3797" s="4">
        <f>'Raw data'!G3706</f>
        <v>0</v>
      </c>
      <c r="I3797" s="29" t="e">
        <f>VLOOKUP(G3797,제품명!$C$1:$E$114,2,0)</f>
        <v>#N/A</v>
      </c>
      <c r="J3797" s="29">
        <f>'Raw data'!K3706</f>
        <v>0</v>
      </c>
      <c r="K3797" s="31">
        <f>'Raw data'!H3706</f>
        <v>0</v>
      </c>
      <c r="L3797" s="26">
        <f t="shared" si="122"/>
        <v>0</v>
      </c>
    </row>
    <row r="3798" spans="2:12">
      <c r="B3798" s="4" t="e">
        <f t="shared" si="121"/>
        <v>#N/A</v>
      </c>
      <c r="C3798" s="4">
        <f>'Raw data'!E3374</f>
        <v>0</v>
      </c>
      <c r="D3798" s="29" t="e">
        <f>VLOOKUP(C3798,'점포코드 '!A:B,2,0)</f>
        <v>#N/A</v>
      </c>
      <c r="E3798" s="30">
        <f>'Raw data'!P3374</f>
        <v>0</v>
      </c>
      <c r="F3798" s="29" t="e">
        <f>VLOOKUP(E3798,'점포코드 '!A:B,2,0)</f>
        <v>#N/A</v>
      </c>
      <c r="G3798" s="46">
        <f>'Raw data'!F3707</f>
        <v>0</v>
      </c>
      <c r="H3798" s="4">
        <f>'Raw data'!G3707</f>
        <v>0</v>
      </c>
      <c r="I3798" s="29" t="e">
        <f>VLOOKUP(G3798,제품명!$C$1:$E$114,2,0)</f>
        <v>#N/A</v>
      </c>
      <c r="J3798" s="29">
        <f>'Raw data'!K3707</f>
        <v>0</v>
      </c>
      <c r="K3798" s="31">
        <f>'Raw data'!H3707</f>
        <v>0</v>
      </c>
      <c r="L3798" s="26">
        <f t="shared" si="122"/>
        <v>0</v>
      </c>
    </row>
    <row r="3799" spans="2:12">
      <c r="B3799" s="4" t="e">
        <f t="shared" si="121"/>
        <v>#N/A</v>
      </c>
      <c r="C3799" s="4">
        <f>'Raw data'!E3375</f>
        <v>0</v>
      </c>
      <c r="D3799" s="29" t="e">
        <f>VLOOKUP(C3799,'점포코드 '!A:B,2,0)</f>
        <v>#N/A</v>
      </c>
      <c r="E3799" s="30">
        <f>'Raw data'!P3375</f>
        <v>0</v>
      </c>
      <c r="F3799" s="29" t="e">
        <f>VLOOKUP(E3799,'점포코드 '!A:B,2,0)</f>
        <v>#N/A</v>
      </c>
      <c r="G3799" s="46">
        <f>'Raw data'!F3708</f>
        <v>0</v>
      </c>
      <c r="H3799" s="4">
        <f>'Raw data'!G3708</f>
        <v>0</v>
      </c>
      <c r="I3799" s="29" t="e">
        <f>VLOOKUP(G3799,제품명!$C$1:$E$114,2,0)</f>
        <v>#N/A</v>
      </c>
      <c r="J3799" s="29">
        <f>'Raw data'!K3708</f>
        <v>0</v>
      </c>
      <c r="K3799" s="31">
        <f>'Raw data'!H3708</f>
        <v>0</v>
      </c>
      <c r="L3799" s="26">
        <f t="shared" si="122"/>
        <v>0</v>
      </c>
    </row>
    <row r="3800" spans="2:12">
      <c r="B3800" s="4" t="e">
        <f t="shared" si="121"/>
        <v>#N/A</v>
      </c>
      <c r="C3800" s="4">
        <f>'Raw data'!E3376</f>
        <v>0</v>
      </c>
      <c r="D3800" s="29" t="e">
        <f>VLOOKUP(C3800,'점포코드 '!A:B,2,0)</f>
        <v>#N/A</v>
      </c>
      <c r="E3800" s="30">
        <f>'Raw data'!P3376</f>
        <v>0</v>
      </c>
      <c r="F3800" s="29" t="e">
        <f>VLOOKUP(E3800,'점포코드 '!A:B,2,0)</f>
        <v>#N/A</v>
      </c>
      <c r="G3800" s="46">
        <f>'Raw data'!F3709</f>
        <v>0</v>
      </c>
      <c r="H3800" s="4">
        <f>'Raw data'!G3709</f>
        <v>0</v>
      </c>
      <c r="I3800" s="29" t="e">
        <f>VLOOKUP(G3800,제품명!$C$1:$E$114,2,0)</f>
        <v>#N/A</v>
      </c>
      <c r="J3800" s="29">
        <f>'Raw data'!K3709</f>
        <v>0</v>
      </c>
      <c r="K3800" s="31">
        <f>'Raw data'!H3709</f>
        <v>0</v>
      </c>
      <c r="L3800" s="26">
        <f t="shared" si="122"/>
        <v>0</v>
      </c>
    </row>
    <row r="3801" spans="2:12">
      <c r="B3801" s="4" t="e">
        <f t="shared" si="121"/>
        <v>#N/A</v>
      </c>
      <c r="C3801" s="4">
        <f>'Raw data'!E3377</f>
        <v>0</v>
      </c>
      <c r="D3801" s="29" t="e">
        <f>VLOOKUP(C3801,'점포코드 '!A:B,2,0)</f>
        <v>#N/A</v>
      </c>
      <c r="E3801" s="30">
        <f>'Raw data'!P3377</f>
        <v>0</v>
      </c>
      <c r="F3801" s="29" t="e">
        <f>VLOOKUP(E3801,'점포코드 '!A:B,2,0)</f>
        <v>#N/A</v>
      </c>
      <c r="G3801" s="46">
        <f>'Raw data'!F3710</f>
        <v>0</v>
      </c>
      <c r="H3801" s="4">
        <f>'Raw data'!G3710</f>
        <v>0</v>
      </c>
      <c r="I3801" s="29" t="e">
        <f>VLOOKUP(G3801,제품명!$C$1:$E$114,2,0)</f>
        <v>#N/A</v>
      </c>
      <c r="J3801" s="29">
        <f>'Raw data'!K3710</f>
        <v>0</v>
      </c>
      <c r="K3801" s="31">
        <f>'Raw data'!H3710</f>
        <v>0</v>
      </c>
      <c r="L3801" s="26">
        <f t="shared" si="122"/>
        <v>0</v>
      </c>
    </row>
    <row r="3802" spans="2:12">
      <c r="B3802" s="4" t="e">
        <f t="shared" si="121"/>
        <v>#N/A</v>
      </c>
      <c r="C3802" s="4">
        <f>'Raw data'!E3378</f>
        <v>0</v>
      </c>
      <c r="D3802" s="29" t="e">
        <f>VLOOKUP(C3802,'점포코드 '!A:B,2,0)</f>
        <v>#N/A</v>
      </c>
      <c r="E3802" s="30">
        <f>'Raw data'!P3378</f>
        <v>0</v>
      </c>
      <c r="F3802" s="29" t="e">
        <f>VLOOKUP(E3802,'점포코드 '!A:B,2,0)</f>
        <v>#N/A</v>
      </c>
      <c r="G3802" s="46">
        <f>'Raw data'!F3711</f>
        <v>0</v>
      </c>
      <c r="H3802" s="4">
        <f>'Raw data'!G3711</f>
        <v>0</v>
      </c>
      <c r="I3802" s="29" t="e">
        <f>VLOOKUP(G3802,제품명!$C$1:$E$114,2,0)</f>
        <v>#N/A</v>
      </c>
      <c r="J3802" s="29">
        <f>'Raw data'!K3711</f>
        <v>0</v>
      </c>
      <c r="K3802" s="31">
        <f>'Raw data'!H3711</f>
        <v>0</v>
      </c>
      <c r="L3802" s="26">
        <f t="shared" si="122"/>
        <v>0</v>
      </c>
    </row>
    <row r="3803" spans="2:12">
      <c r="B3803" s="4" t="e">
        <f t="shared" si="121"/>
        <v>#N/A</v>
      </c>
      <c r="C3803" s="4">
        <f>'Raw data'!E3379</f>
        <v>0</v>
      </c>
      <c r="D3803" s="29" t="e">
        <f>VLOOKUP(C3803,'점포코드 '!A:B,2,0)</f>
        <v>#N/A</v>
      </c>
      <c r="E3803" s="30">
        <f>'Raw data'!P3379</f>
        <v>0</v>
      </c>
      <c r="F3803" s="29" t="e">
        <f>VLOOKUP(E3803,'점포코드 '!A:B,2,0)</f>
        <v>#N/A</v>
      </c>
      <c r="G3803" s="46">
        <f>'Raw data'!F3712</f>
        <v>0</v>
      </c>
      <c r="H3803" s="4">
        <f>'Raw data'!G3712</f>
        <v>0</v>
      </c>
      <c r="I3803" s="29" t="e">
        <f>VLOOKUP(G3803,제품명!$C$1:$E$114,2,0)</f>
        <v>#N/A</v>
      </c>
      <c r="J3803" s="29">
        <f>'Raw data'!K3712</f>
        <v>0</v>
      </c>
      <c r="K3803" s="31">
        <f>'Raw data'!H3712</f>
        <v>0</v>
      </c>
      <c r="L3803" s="26">
        <f t="shared" si="122"/>
        <v>0</v>
      </c>
    </row>
    <row r="3804" spans="2:12">
      <c r="B3804" s="4" t="e">
        <f t="shared" si="121"/>
        <v>#N/A</v>
      </c>
      <c r="C3804" s="4">
        <f>'Raw data'!E3380</f>
        <v>0</v>
      </c>
      <c r="D3804" s="29" t="e">
        <f>VLOOKUP(C3804,'점포코드 '!A:B,2,0)</f>
        <v>#N/A</v>
      </c>
      <c r="E3804" s="30">
        <f>'Raw data'!P3380</f>
        <v>0</v>
      </c>
      <c r="F3804" s="29" t="e">
        <f>VLOOKUP(E3804,'점포코드 '!A:B,2,0)</f>
        <v>#N/A</v>
      </c>
      <c r="G3804" s="46">
        <f>'Raw data'!F3713</f>
        <v>0</v>
      </c>
      <c r="H3804" s="4">
        <f>'Raw data'!G3713</f>
        <v>0</v>
      </c>
      <c r="I3804" s="29" t="e">
        <f>VLOOKUP(G3804,제품명!$C$1:$E$114,2,0)</f>
        <v>#N/A</v>
      </c>
      <c r="J3804" s="29">
        <f>'Raw data'!K3713</f>
        <v>0</v>
      </c>
      <c r="K3804" s="31">
        <f>'Raw data'!H3713</f>
        <v>0</v>
      </c>
      <c r="L3804" s="26">
        <f t="shared" si="122"/>
        <v>0</v>
      </c>
    </row>
    <row r="3805" spans="2:12">
      <c r="B3805" s="4" t="e">
        <f t="shared" si="121"/>
        <v>#N/A</v>
      </c>
      <c r="C3805" s="4">
        <f>'Raw data'!E3381</f>
        <v>0</v>
      </c>
      <c r="D3805" s="29" t="e">
        <f>VLOOKUP(C3805,'점포코드 '!A:B,2,0)</f>
        <v>#N/A</v>
      </c>
      <c r="E3805" s="30">
        <f>'Raw data'!P3381</f>
        <v>0</v>
      </c>
      <c r="F3805" s="29" t="e">
        <f>VLOOKUP(E3805,'점포코드 '!A:B,2,0)</f>
        <v>#N/A</v>
      </c>
      <c r="G3805" s="46">
        <f>'Raw data'!F3714</f>
        <v>0</v>
      </c>
      <c r="H3805" s="4">
        <f>'Raw data'!G3714</f>
        <v>0</v>
      </c>
      <c r="I3805" s="29" t="e">
        <f>VLOOKUP(G3805,제품명!$C$1:$E$114,2,0)</f>
        <v>#N/A</v>
      </c>
      <c r="J3805" s="29">
        <f>'Raw data'!K3714</f>
        <v>0</v>
      </c>
      <c r="K3805" s="31">
        <f>'Raw data'!H3714</f>
        <v>0</v>
      </c>
      <c r="L3805" s="26">
        <f t="shared" si="122"/>
        <v>0</v>
      </c>
    </row>
    <row r="3806" spans="2:12">
      <c r="B3806" s="4" t="e">
        <f t="shared" si="121"/>
        <v>#N/A</v>
      </c>
      <c r="C3806" s="4">
        <f>'Raw data'!E3382</f>
        <v>0</v>
      </c>
      <c r="D3806" s="29" t="e">
        <f>VLOOKUP(C3806,'점포코드 '!A:B,2,0)</f>
        <v>#N/A</v>
      </c>
      <c r="E3806" s="30">
        <f>'Raw data'!P3382</f>
        <v>0</v>
      </c>
      <c r="F3806" s="29" t="e">
        <f>VLOOKUP(E3806,'점포코드 '!A:B,2,0)</f>
        <v>#N/A</v>
      </c>
      <c r="G3806" s="46">
        <f>'Raw data'!F3715</f>
        <v>0</v>
      </c>
      <c r="H3806" s="4">
        <f>'Raw data'!G3715</f>
        <v>0</v>
      </c>
      <c r="I3806" s="29" t="e">
        <f>VLOOKUP(G3806,제품명!$C$1:$E$114,2,0)</f>
        <v>#N/A</v>
      </c>
      <c r="J3806" s="29">
        <f>'Raw data'!K3715</f>
        <v>0</v>
      </c>
      <c r="K3806" s="31">
        <f>'Raw data'!H3715</f>
        <v>0</v>
      </c>
      <c r="L3806" s="26">
        <f t="shared" si="122"/>
        <v>0</v>
      </c>
    </row>
    <row r="3807" spans="2:12">
      <c r="B3807" s="4" t="e">
        <f t="shared" si="121"/>
        <v>#N/A</v>
      </c>
      <c r="C3807" s="4">
        <f>'Raw data'!E3383</f>
        <v>0</v>
      </c>
      <c r="D3807" s="29" t="e">
        <f>VLOOKUP(C3807,'점포코드 '!A:B,2,0)</f>
        <v>#N/A</v>
      </c>
      <c r="E3807" s="30">
        <f>'Raw data'!P3383</f>
        <v>0</v>
      </c>
      <c r="F3807" s="29" t="e">
        <f>VLOOKUP(E3807,'점포코드 '!A:B,2,0)</f>
        <v>#N/A</v>
      </c>
      <c r="G3807" s="46">
        <f>'Raw data'!F3716</f>
        <v>0</v>
      </c>
      <c r="H3807" s="4">
        <f>'Raw data'!G3716</f>
        <v>0</v>
      </c>
      <c r="I3807" s="29" t="e">
        <f>VLOOKUP(G3807,제품명!$C$1:$E$114,2,0)</f>
        <v>#N/A</v>
      </c>
      <c r="J3807" s="29">
        <f>'Raw data'!K3716</f>
        <v>0</v>
      </c>
      <c r="K3807" s="31">
        <f>'Raw data'!H3716</f>
        <v>0</v>
      </c>
      <c r="L3807" s="26">
        <f t="shared" si="122"/>
        <v>0</v>
      </c>
    </row>
    <row r="3808" spans="2:12">
      <c r="B3808" s="4" t="e">
        <f t="shared" si="121"/>
        <v>#N/A</v>
      </c>
      <c r="C3808" s="4">
        <f>'Raw data'!E3384</f>
        <v>0</v>
      </c>
      <c r="D3808" s="29" t="e">
        <f>VLOOKUP(C3808,'점포코드 '!A:B,2,0)</f>
        <v>#N/A</v>
      </c>
      <c r="E3808" s="30">
        <f>'Raw data'!P3384</f>
        <v>0</v>
      </c>
      <c r="F3808" s="29" t="e">
        <f>VLOOKUP(E3808,'점포코드 '!A:B,2,0)</f>
        <v>#N/A</v>
      </c>
      <c r="G3808" s="46">
        <f>'Raw data'!F3717</f>
        <v>0</v>
      </c>
      <c r="H3808" s="4">
        <f>'Raw data'!G3717</f>
        <v>0</v>
      </c>
      <c r="I3808" s="29" t="e">
        <f>VLOOKUP(G3808,제품명!$C$1:$E$114,2,0)</f>
        <v>#N/A</v>
      </c>
      <c r="J3808" s="29">
        <f>'Raw data'!K3717</f>
        <v>0</v>
      </c>
      <c r="K3808" s="31">
        <f>'Raw data'!H3717</f>
        <v>0</v>
      </c>
      <c r="L3808" s="26">
        <f t="shared" si="122"/>
        <v>0</v>
      </c>
    </row>
    <row r="3809" spans="2:12">
      <c r="B3809" s="4" t="e">
        <f t="shared" si="121"/>
        <v>#N/A</v>
      </c>
      <c r="C3809" s="4">
        <f>'Raw data'!E3385</f>
        <v>0</v>
      </c>
      <c r="D3809" s="29" t="e">
        <f>VLOOKUP(C3809,'점포코드 '!A:B,2,0)</f>
        <v>#N/A</v>
      </c>
      <c r="E3809" s="30">
        <f>'Raw data'!P3385</f>
        <v>0</v>
      </c>
      <c r="F3809" s="29" t="e">
        <f>VLOOKUP(E3809,'점포코드 '!A:B,2,0)</f>
        <v>#N/A</v>
      </c>
      <c r="G3809" s="46">
        <f>'Raw data'!F3718</f>
        <v>0</v>
      </c>
      <c r="H3809" s="4">
        <f>'Raw data'!G3718</f>
        <v>0</v>
      </c>
      <c r="I3809" s="29" t="e">
        <f>VLOOKUP(G3809,제품명!$C$1:$E$114,2,0)</f>
        <v>#N/A</v>
      </c>
      <c r="J3809" s="29">
        <f>'Raw data'!K3718</f>
        <v>0</v>
      </c>
      <c r="K3809" s="31">
        <f>'Raw data'!H3718</f>
        <v>0</v>
      </c>
      <c r="L3809" s="26">
        <f t="shared" si="122"/>
        <v>0</v>
      </c>
    </row>
    <row r="3810" spans="2:12">
      <c r="B3810" s="4" t="e">
        <f t="shared" si="121"/>
        <v>#N/A</v>
      </c>
      <c r="C3810" s="4">
        <f>'Raw data'!E3386</f>
        <v>0</v>
      </c>
      <c r="D3810" s="29" t="e">
        <f>VLOOKUP(C3810,'점포코드 '!A:B,2,0)</f>
        <v>#N/A</v>
      </c>
      <c r="E3810" s="30">
        <f>'Raw data'!P3386</f>
        <v>0</v>
      </c>
      <c r="F3810" s="29" t="e">
        <f>VLOOKUP(E3810,'점포코드 '!A:B,2,0)</f>
        <v>#N/A</v>
      </c>
      <c r="G3810" s="46">
        <f>'Raw data'!F3719</f>
        <v>0</v>
      </c>
      <c r="H3810" s="4">
        <f>'Raw data'!G3719</f>
        <v>0</v>
      </c>
      <c r="I3810" s="29" t="e">
        <f>VLOOKUP(G3810,제품명!$C$1:$E$114,2,0)</f>
        <v>#N/A</v>
      </c>
      <c r="J3810" s="29">
        <f>'Raw data'!K3719</f>
        <v>0</v>
      </c>
      <c r="K3810" s="31">
        <f>'Raw data'!H3719</f>
        <v>0</v>
      </c>
      <c r="L3810" s="26">
        <f t="shared" si="122"/>
        <v>0</v>
      </c>
    </row>
    <row r="3811" spans="2:12">
      <c r="B3811" s="4" t="e">
        <f t="shared" si="121"/>
        <v>#N/A</v>
      </c>
      <c r="C3811" s="4">
        <f>'Raw data'!E3387</f>
        <v>0</v>
      </c>
      <c r="D3811" s="29" t="e">
        <f>VLOOKUP(C3811,'점포코드 '!A:B,2,0)</f>
        <v>#N/A</v>
      </c>
      <c r="E3811" s="30">
        <f>'Raw data'!P3387</f>
        <v>0</v>
      </c>
      <c r="F3811" s="29" t="e">
        <f>VLOOKUP(E3811,'점포코드 '!A:B,2,0)</f>
        <v>#N/A</v>
      </c>
      <c r="G3811" s="46">
        <f>'Raw data'!F3720</f>
        <v>0</v>
      </c>
      <c r="H3811" s="4">
        <f>'Raw data'!G3720</f>
        <v>0</v>
      </c>
      <c r="I3811" s="29" t="e">
        <f>VLOOKUP(G3811,제품명!$C$1:$E$114,2,0)</f>
        <v>#N/A</v>
      </c>
      <c r="J3811" s="29">
        <f>'Raw data'!K3720</f>
        <v>0</v>
      </c>
      <c r="K3811" s="31">
        <f>'Raw data'!H3720</f>
        <v>0</v>
      </c>
      <c r="L3811" s="26">
        <f t="shared" si="122"/>
        <v>0</v>
      </c>
    </row>
    <row r="3812" spans="2:12">
      <c r="B3812" s="4" t="e">
        <f t="shared" si="121"/>
        <v>#N/A</v>
      </c>
      <c r="C3812" s="4">
        <f>'Raw data'!E3388</f>
        <v>0</v>
      </c>
      <c r="D3812" s="29" t="e">
        <f>VLOOKUP(C3812,'점포코드 '!A:B,2,0)</f>
        <v>#N/A</v>
      </c>
      <c r="E3812" s="30">
        <f>'Raw data'!P3388</f>
        <v>0</v>
      </c>
      <c r="F3812" s="29" t="e">
        <f>VLOOKUP(E3812,'점포코드 '!A:B,2,0)</f>
        <v>#N/A</v>
      </c>
      <c r="G3812" s="46">
        <f>'Raw data'!F3721</f>
        <v>0</v>
      </c>
      <c r="H3812" s="4">
        <f>'Raw data'!G3721</f>
        <v>0</v>
      </c>
      <c r="I3812" s="29" t="e">
        <f>VLOOKUP(G3812,제품명!$C$1:$E$114,2,0)</f>
        <v>#N/A</v>
      </c>
      <c r="J3812" s="29">
        <f>'Raw data'!K3721</f>
        <v>0</v>
      </c>
      <c r="K3812" s="31">
        <f>'Raw data'!H3721</f>
        <v>0</v>
      </c>
      <c r="L3812" s="26">
        <f t="shared" si="122"/>
        <v>0</v>
      </c>
    </row>
    <row r="3813" spans="2:12">
      <c r="B3813" s="4" t="e">
        <f t="shared" si="121"/>
        <v>#N/A</v>
      </c>
      <c r="C3813" s="4">
        <f>'Raw data'!E3389</f>
        <v>0</v>
      </c>
      <c r="D3813" s="29" t="e">
        <f>VLOOKUP(C3813,'점포코드 '!A:B,2,0)</f>
        <v>#N/A</v>
      </c>
      <c r="E3813" s="30">
        <f>'Raw data'!P3389</f>
        <v>0</v>
      </c>
      <c r="F3813" s="29" t="e">
        <f>VLOOKUP(E3813,'점포코드 '!A:B,2,0)</f>
        <v>#N/A</v>
      </c>
      <c r="G3813" s="46">
        <f>'Raw data'!F3722</f>
        <v>0</v>
      </c>
      <c r="H3813" s="4">
        <f>'Raw data'!G3722</f>
        <v>0</v>
      </c>
      <c r="I3813" s="29" t="e">
        <f>VLOOKUP(G3813,제품명!$C$1:$E$114,2,0)</f>
        <v>#N/A</v>
      </c>
      <c r="J3813" s="29">
        <f>'Raw data'!K3722</f>
        <v>0</v>
      </c>
      <c r="K3813" s="31">
        <f>'Raw data'!H3722</f>
        <v>0</v>
      </c>
      <c r="L3813" s="26">
        <f t="shared" si="122"/>
        <v>0</v>
      </c>
    </row>
    <row r="3814" spans="2:12">
      <c r="B3814" s="4" t="e">
        <f t="shared" si="121"/>
        <v>#N/A</v>
      </c>
      <c r="C3814" s="4">
        <f>'Raw data'!E3390</f>
        <v>0</v>
      </c>
      <c r="D3814" s="29" t="e">
        <f>VLOOKUP(C3814,'점포코드 '!A:B,2,0)</f>
        <v>#N/A</v>
      </c>
      <c r="E3814" s="30">
        <f>'Raw data'!P3390</f>
        <v>0</v>
      </c>
      <c r="F3814" s="29" t="e">
        <f>VLOOKUP(E3814,'점포코드 '!A:B,2,0)</f>
        <v>#N/A</v>
      </c>
      <c r="G3814" s="46">
        <f>'Raw data'!F3723</f>
        <v>0</v>
      </c>
      <c r="H3814" s="4">
        <f>'Raw data'!G3723</f>
        <v>0</v>
      </c>
      <c r="I3814" s="29" t="e">
        <f>VLOOKUP(G3814,제품명!$C$1:$E$114,2,0)</f>
        <v>#N/A</v>
      </c>
      <c r="J3814" s="29">
        <f>'Raw data'!K3723</f>
        <v>0</v>
      </c>
      <c r="K3814" s="31">
        <f>'Raw data'!H3723</f>
        <v>0</v>
      </c>
      <c r="L3814" s="26">
        <f t="shared" si="122"/>
        <v>0</v>
      </c>
    </row>
    <row r="3815" spans="2:12">
      <c r="B3815" s="4" t="e">
        <f t="shared" si="121"/>
        <v>#N/A</v>
      </c>
      <c r="C3815" s="4">
        <f>'Raw data'!E3391</f>
        <v>0</v>
      </c>
      <c r="D3815" s="29" t="e">
        <f>VLOOKUP(C3815,'점포코드 '!A:B,2,0)</f>
        <v>#N/A</v>
      </c>
      <c r="E3815" s="30">
        <f>'Raw data'!P3391</f>
        <v>0</v>
      </c>
      <c r="F3815" s="29" t="e">
        <f>VLOOKUP(E3815,'점포코드 '!A:B,2,0)</f>
        <v>#N/A</v>
      </c>
      <c r="G3815" s="46">
        <f>'Raw data'!F3724</f>
        <v>0</v>
      </c>
      <c r="H3815" s="4">
        <f>'Raw data'!G3724</f>
        <v>0</v>
      </c>
      <c r="I3815" s="29" t="e">
        <f>VLOOKUP(G3815,제품명!$C$1:$E$114,2,0)</f>
        <v>#N/A</v>
      </c>
      <c r="J3815" s="29">
        <f>'Raw data'!K3724</f>
        <v>0</v>
      </c>
      <c r="K3815" s="31">
        <f>'Raw data'!H3724</f>
        <v>0</v>
      </c>
      <c r="L3815" s="26">
        <f t="shared" si="122"/>
        <v>0</v>
      </c>
    </row>
    <row r="3816" spans="2:12">
      <c r="B3816" s="4" t="e">
        <f t="shared" si="121"/>
        <v>#N/A</v>
      </c>
      <c r="C3816" s="4">
        <f>'Raw data'!E3392</f>
        <v>0</v>
      </c>
      <c r="D3816" s="29" t="e">
        <f>VLOOKUP(C3816,'점포코드 '!A:B,2,0)</f>
        <v>#N/A</v>
      </c>
      <c r="E3816" s="30">
        <f>'Raw data'!P3392</f>
        <v>0</v>
      </c>
      <c r="F3816" s="29" t="e">
        <f>VLOOKUP(E3816,'점포코드 '!A:B,2,0)</f>
        <v>#N/A</v>
      </c>
      <c r="G3816" s="46">
        <f>'Raw data'!F3725</f>
        <v>0</v>
      </c>
      <c r="H3816" s="4">
        <f>'Raw data'!G3725</f>
        <v>0</v>
      </c>
      <c r="I3816" s="29" t="e">
        <f>VLOOKUP(G3816,제품명!$C$1:$E$114,2,0)</f>
        <v>#N/A</v>
      </c>
      <c r="J3816" s="29">
        <f>'Raw data'!K3725</f>
        <v>0</v>
      </c>
      <c r="K3816" s="31">
        <f>'Raw data'!H3725</f>
        <v>0</v>
      </c>
      <c r="L3816" s="26">
        <f t="shared" si="122"/>
        <v>0</v>
      </c>
    </row>
    <row r="3817" spans="2:12">
      <c r="B3817" s="4" t="e">
        <f t="shared" si="121"/>
        <v>#N/A</v>
      </c>
      <c r="C3817" s="4">
        <f>'Raw data'!E3393</f>
        <v>0</v>
      </c>
      <c r="D3817" s="29" t="e">
        <f>VLOOKUP(C3817,'점포코드 '!A:B,2,0)</f>
        <v>#N/A</v>
      </c>
      <c r="E3817" s="30">
        <f>'Raw data'!P3393</f>
        <v>0</v>
      </c>
      <c r="F3817" s="29" t="e">
        <f>VLOOKUP(E3817,'점포코드 '!A:B,2,0)</f>
        <v>#N/A</v>
      </c>
      <c r="G3817" s="46">
        <f>'Raw data'!F3726</f>
        <v>0</v>
      </c>
      <c r="H3817" s="4">
        <f>'Raw data'!G3726</f>
        <v>0</v>
      </c>
      <c r="I3817" s="29" t="e">
        <f>VLOOKUP(G3817,제품명!$C$1:$E$114,2,0)</f>
        <v>#N/A</v>
      </c>
      <c r="J3817" s="29">
        <f>'Raw data'!K3726</f>
        <v>0</v>
      </c>
      <c r="K3817" s="31">
        <f>'Raw data'!H3726</f>
        <v>0</v>
      </c>
      <c r="L3817" s="26">
        <f t="shared" si="122"/>
        <v>0</v>
      </c>
    </row>
    <row r="3818" spans="2:12">
      <c r="B3818" s="4" t="e">
        <f t="shared" si="121"/>
        <v>#N/A</v>
      </c>
      <c r="C3818" s="4">
        <f>'Raw data'!E3394</f>
        <v>0</v>
      </c>
      <c r="D3818" s="29" t="e">
        <f>VLOOKUP(C3818,'점포코드 '!A:B,2,0)</f>
        <v>#N/A</v>
      </c>
      <c r="E3818" s="30">
        <f>'Raw data'!P3394</f>
        <v>0</v>
      </c>
      <c r="F3818" s="29" t="e">
        <f>VLOOKUP(E3818,'점포코드 '!A:B,2,0)</f>
        <v>#N/A</v>
      </c>
      <c r="G3818" s="46">
        <f>'Raw data'!F3727</f>
        <v>0</v>
      </c>
      <c r="H3818" s="4">
        <f>'Raw data'!G3727</f>
        <v>0</v>
      </c>
      <c r="I3818" s="29" t="e">
        <f>VLOOKUP(G3818,제품명!$C$1:$E$114,2,0)</f>
        <v>#N/A</v>
      </c>
      <c r="J3818" s="29">
        <f>'Raw data'!K3727</f>
        <v>0</v>
      </c>
      <c r="K3818" s="31">
        <f>'Raw data'!H3727</f>
        <v>0</v>
      </c>
      <c r="L3818" s="26">
        <f t="shared" si="122"/>
        <v>0</v>
      </c>
    </row>
    <row r="3819" spans="2:12">
      <c r="B3819" s="4" t="e">
        <f t="shared" si="121"/>
        <v>#N/A</v>
      </c>
      <c r="C3819" s="4">
        <f>'Raw data'!E3395</f>
        <v>0</v>
      </c>
      <c r="D3819" s="29" t="e">
        <f>VLOOKUP(C3819,'점포코드 '!A:B,2,0)</f>
        <v>#N/A</v>
      </c>
      <c r="E3819" s="30">
        <f>'Raw data'!P3395</f>
        <v>0</v>
      </c>
      <c r="F3819" s="29" t="e">
        <f>VLOOKUP(E3819,'점포코드 '!A:B,2,0)</f>
        <v>#N/A</v>
      </c>
      <c r="G3819" s="46">
        <f>'Raw data'!F3728</f>
        <v>0</v>
      </c>
      <c r="H3819" s="4">
        <f>'Raw data'!G3728</f>
        <v>0</v>
      </c>
      <c r="I3819" s="29" t="e">
        <f>VLOOKUP(G3819,제품명!$C$1:$E$114,2,0)</f>
        <v>#N/A</v>
      </c>
      <c r="J3819" s="29">
        <f>'Raw data'!K3728</f>
        <v>0</v>
      </c>
      <c r="K3819" s="31">
        <f>'Raw data'!H3728</f>
        <v>0</v>
      </c>
      <c r="L3819" s="26">
        <f t="shared" si="122"/>
        <v>0</v>
      </c>
    </row>
    <row r="3820" spans="2:12">
      <c r="B3820" s="4" t="e">
        <f t="shared" si="121"/>
        <v>#N/A</v>
      </c>
      <c r="C3820" s="4">
        <f>'Raw data'!E3396</f>
        <v>0</v>
      </c>
      <c r="D3820" s="29" t="e">
        <f>VLOOKUP(C3820,'점포코드 '!A:B,2,0)</f>
        <v>#N/A</v>
      </c>
      <c r="E3820" s="30">
        <f>'Raw data'!P3396</f>
        <v>0</v>
      </c>
      <c r="F3820" s="29" t="e">
        <f>VLOOKUP(E3820,'점포코드 '!A:B,2,0)</f>
        <v>#N/A</v>
      </c>
      <c r="G3820" s="46">
        <f>'Raw data'!F3729</f>
        <v>0</v>
      </c>
      <c r="H3820" s="4">
        <f>'Raw data'!G3729</f>
        <v>0</v>
      </c>
      <c r="I3820" s="29" t="e">
        <f>VLOOKUP(G3820,제품명!$C$1:$E$114,2,0)</f>
        <v>#N/A</v>
      </c>
      <c r="J3820" s="29">
        <f>'Raw data'!K3729</f>
        <v>0</v>
      </c>
      <c r="K3820" s="31">
        <f>'Raw data'!H3729</f>
        <v>0</v>
      </c>
      <c r="L3820" s="26">
        <f t="shared" si="122"/>
        <v>0</v>
      </c>
    </row>
    <row r="3821" spans="2:12">
      <c r="B3821" s="4" t="e">
        <f t="shared" si="121"/>
        <v>#N/A</v>
      </c>
      <c r="C3821" s="4">
        <f>'Raw data'!E3397</f>
        <v>0</v>
      </c>
      <c r="D3821" s="29" t="e">
        <f>VLOOKUP(C3821,'점포코드 '!A:B,2,0)</f>
        <v>#N/A</v>
      </c>
      <c r="E3821" s="30">
        <f>'Raw data'!P3397</f>
        <v>0</v>
      </c>
      <c r="F3821" s="29" t="e">
        <f>VLOOKUP(E3821,'점포코드 '!A:B,2,0)</f>
        <v>#N/A</v>
      </c>
      <c r="G3821" s="46">
        <f>'Raw data'!F3730</f>
        <v>0</v>
      </c>
      <c r="H3821" s="4">
        <f>'Raw data'!G3730</f>
        <v>0</v>
      </c>
      <c r="I3821" s="29" t="e">
        <f>VLOOKUP(G3821,제품명!$C$1:$E$114,2,0)</f>
        <v>#N/A</v>
      </c>
      <c r="J3821" s="29">
        <f>'Raw data'!K3730</f>
        <v>0</v>
      </c>
      <c r="K3821" s="31">
        <f>'Raw data'!H3730</f>
        <v>0</v>
      </c>
      <c r="L3821" s="26">
        <f t="shared" si="122"/>
        <v>0</v>
      </c>
    </row>
    <row r="3822" spans="2:12">
      <c r="B3822" s="4" t="e">
        <f t="shared" si="121"/>
        <v>#N/A</v>
      </c>
      <c r="C3822" s="4">
        <f>'Raw data'!E3398</f>
        <v>0</v>
      </c>
      <c r="D3822" s="29" t="e">
        <f>VLOOKUP(C3822,'점포코드 '!A:B,2,0)</f>
        <v>#N/A</v>
      </c>
      <c r="E3822" s="30">
        <f>'Raw data'!P3398</f>
        <v>0</v>
      </c>
      <c r="F3822" s="29" t="e">
        <f>VLOOKUP(E3822,'점포코드 '!A:B,2,0)</f>
        <v>#N/A</v>
      </c>
      <c r="G3822" s="46">
        <f>'Raw data'!F3731</f>
        <v>0</v>
      </c>
      <c r="H3822" s="4">
        <f>'Raw data'!G3731</f>
        <v>0</v>
      </c>
      <c r="I3822" s="29" t="e">
        <f>VLOOKUP(G3822,제품명!$C$1:$E$114,2,0)</f>
        <v>#N/A</v>
      </c>
      <c r="J3822" s="29">
        <f>'Raw data'!K3731</f>
        <v>0</v>
      </c>
      <c r="K3822" s="31">
        <f>'Raw data'!H3731</f>
        <v>0</v>
      </c>
      <c r="L3822" s="26">
        <f t="shared" si="122"/>
        <v>0</v>
      </c>
    </row>
    <row r="3823" spans="2:12">
      <c r="B3823" s="4" t="e">
        <f t="shared" si="121"/>
        <v>#N/A</v>
      </c>
      <c r="C3823" s="4">
        <f>'Raw data'!E3399</f>
        <v>0</v>
      </c>
      <c r="D3823" s="29" t="e">
        <f>VLOOKUP(C3823,'점포코드 '!A:B,2,0)</f>
        <v>#N/A</v>
      </c>
      <c r="E3823" s="30">
        <f>'Raw data'!P3399</f>
        <v>0</v>
      </c>
      <c r="F3823" s="29" t="e">
        <f>VLOOKUP(E3823,'점포코드 '!A:B,2,0)</f>
        <v>#N/A</v>
      </c>
      <c r="G3823" s="46">
        <f>'Raw data'!F3732</f>
        <v>0</v>
      </c>
      <c r="H3823" s="4">
        <f>'Raw data'!G3732</f>
        <v>0</v>
      </c>
      <c r="I3823" s="29" t="e">
        <f>VLOOKUP(G3823,제품명!$C$1:$E$114,2,0)</f>
        <v>#N/A</v>
      </c>
      <c r="J3823" s="29">
        <f>'Raw data'!K3732</f>
        <v>0</v>
      </c>
      <c r="K3823" s="31">
        <f>'Raw data'!H3732</f>
        <v>0</v>
      </c>
      <c r="L3823" s="26">
        <f t="shared" si="122"/>
        <v>0</v>
      </c>
    </row>
    <row r="3824" spans="2:12">
      <c r="B3824" s="4" t="e">
        <f t="shared" si="121"/>
        <v>#N/A</v>
      </c>
      <c r="C3824" s="4">
        <f>'Raw data'!E3400</f>
        <v>0</v>
      </c>
      <c r="D3824" s="29" t="e">
        <f>VLOOKUP(C3824,'점포코드 '!A:B,2,0)</f>
        <v>#N/A</v>
      </c>
      <c r="E3824" s="30">
        <f>'Raw data'!P3400</f>
        <v>0</v>
      </c>
      <c r="F3824" s="29" t="e">
        <f>VLOOKUP(E3824,'점포코드 '!A:B,2,0)</f>
        <v>#N/A</v>
      </c>
      <c r="G3824" s="46">
        <f>'Raw data'!F3733</f>
        <v>0</v>
      </c>
      <c r="H3824" s="4">
        <f>'Raw data'!G3733</f>
        <v>0</v>
      </c>
      <c r="I3824" s="29" t="e">
        <f>VLOOKUP(G3824,제품명!$C$1:$E$114,2,0)</f>
        <v>#N/A</v>
      </c>
      <c r="J3824" s="29">
        <f>'Raw data'!K3733</f>
        <v>0</v>
      </c>
      <c r="K3824" s="31">
        <f>'Raw data'!H3733</f>
        <v>0</v>
      </c>
      <c r="L3824" s="26">
        <f t="shared" si="122"/>
        <v>0</v>
      </c>
    </row>
    <row r="3825" spans="2:12">
      <c r="B3825" s="4" t="e">
        <f t="shared" si="121"/>
        <v>#N/A</v>
      </c>
      <c r="C3825" s="4">
        <f>'Raw data'!E3401</f>
        <v>0</v>
      </c>
      <c r="D3825" s="29" t="e">
        <f>VLOOKUP(C3825,'점포코드 '!A:B,2,0)</f>
        <v>#N/A</v>
      </c>
      <c r="E3825" s="30">
        <f>'Raw data'!P3401</f>
        <v>0</v>
      </c>
      <c r="F3825" s="29" t="e">
        <f>VLOOKUP(E3825,'점포코드 '!A:B,2,0)</f>
        <v>#N/A</v>
      </c>
      <c r="G3825" s="46">
        <f>'Raw data'!F3734</f>
        <v>0</v>
      </c>
      <c r="H3825" s="4">
        <f>'Raw data'!G3734</f>
        <v>0</v>
      </c>
      <c r="I3825" s="29" t="e">
        <f>VLOOKUP(G3825,제품명!$C$1:$E$114,2,0)</f>
        <v>#N/A</v>
      </c>
      <c r="J3825" s="29">
        <f>'Raw data'!K3734</f>
        <v>0</v>
      </c>
      <c r="K3825" s="31">
        <f>'Raw data'!H3734</f>
        <v>0</v>
      </c>
      <c r="L3825" s="26">
        <f t="shared" si="122"/>
        <v>0</v>
      </c>
    </row>
    <row r="3826" spans="2:12">
      <c r="B3826" s="4" t="e">
        <f t="shared" si="121"/>
        <v>#N/A</v>
      </c>
      <c r="C3826" s="4">
        <f>'Raw data'!E3402</f>
        <v>0</v>
      </c>
      <c r="D3826" s="29" t="e">
        <f>VLOOKUP(C3826,'점포코드 '!A:B,2,0)</f>
        <v>#N/A</v>
      </c>
      <c r="E3826" s="30">
        <f>'Raw data'!P3402</f>
        <v>0</v>
      </c>
      <c r="F3826" s="29" t="e">
        <f>VLOOKUP(E3826,'점포코드 '!A:B,2,0)</f>
        <v>#N/A</v>
      </c>
      <c r="G3826" s="46">
        <f>'Raw data'!F3735</f>
        <v>0</v>
      </c>
      <c r="H3826" s="4">
        <f>'Raw data'!G3735</f>
        <v>0</v>
      </c>
      <c r="I3826" s="29" t="e">
        <f>VLOOKUP(G3826,제품명!$C$1:$E$114,2,0)</f>
        <v>#N/A</v>
      </c>
      <c r="J3826" s="29">
        <f>'Raw data'!K3735</f>
        <v>0</v>
      </c>
      <c r="K3826" s="31">
        <f>'Raw data'!H3735</f>
        <v>0</v>
      </c>
      <c r="L3826" s="26">
        <f t="shared" si="122"/>
        <v>0</v>
      </c>
    </row>
    <row r="3827" spans="2:12">
      <c r="B3827" s="4" t="e">
        <f t="shared" si="121"/>
        <v>#N/A</v>
      </c>
      <c r="C3827" s="4">
        <f>'Raw data'!E3403</f>
        <v>0</v>
      </c>
      <c r="D3827" s="29" t="e">
        <f>VLOOKUP(C3827,'점포코드 '!A:B,2,0)</f>
        <v>#N/A</v>
      </c>
      <c r="E3827" s="30">
        <f>'Raw data'!P3403</f>
        <v>0</v>
      </c>
      <c r="F3827" s="29" t="e">
        <f>VLOOKUP(E3827,'점포코드 '!A:B,2,0)</f>
        <v>#N/A</v>
      </c>
      <c r="G3827" s="46">
        <f>'Raw data'!F3736</f>
        <v>0</v>
      </c>
      <c r="H3827" s="4">
        <f>'Raw data'!G3736</f>
        <v>0</v>
      </c>
      <c r="I3827" s="29" t="e">
        <f>VLOOKUP(G3827,제품명!$C$1:$E$114,2,0)</f>
        <v>#N/A</v>
      </c>
      <c r="J3827" s="29">
        <f>'Raw data'!K3736</f>
        <v>0</v>
      </c>
      <c r="K3827" s="31">
        <f>'Raw data'!H3736</f>
        <v>0</v>
      </c>
      <c r="L3827" s="26">
        <f t="shared" si="122"/>
        <v>0</v>
      </c>
    </row>
    <row r="3828" spans="2:12">
      <c r="B3828" s="4" t="e">
        <f t="shared" si="121"/>
        <v>#N/A</v>
      </c>
      <c r="C3828" s="4">
        <f>'Raw data'!E3404</f>
        <v>0</v>
      </c>
      <c r="D3828" s="29" t="e">
        <f>VLOOKUP(C3828,'점포코드 '!A:B,2,0)</f>
        <v>#N/A</v>
      </c>
      <c r="E3828" s="30">
        <f>'Raw data'!P3404</f>
        <v>0</v>
      </c>
      <c r="F3828" s="29" t="e">
        <f>VLOOKUP(E3828,'점포코드 '!A:B,2,0)</f>
        <v>#N/A</v>
      </c>
      <c r="G3828" s="46">
        <f>'Raw data'!F3737</f>
        <v>0</v>
      </c>
      <c r="H3828" s="4">
        <f>'Raw data'!G3737</f>
        <v>0</v>
      </c>
      <c r="I3828" s="29" t="e">
        <f>VLOOKUP(G3828,제품명!$C$1:$E$114,2,0)</f>
        <v>#N/A</v>
      </c>
      <c r="J3828" s="29">
        <f>'Raw data'!K3737</f>
        <v>0</v>
      </c>
      <c r="K3828" s="31">
        <f>'Raw data'!H3737</f>
        <v>0</v>
      </c>
      <c r="L3828" s="26">
        <f t="shared" si="122"/>
        <v>0</v>
      </c>
    </row>
    <row r="3829" spans="2:12">
      <c r="B3829" s="4" t="e">
        <f t="shared" si="121"/>
        <v>#N/A</v>
      </c>
      <c r="C3829" s="4">
        <f>'Raw data'!E3405</f>
        <v>0</v>
      </c>
      <c r="D3829" s="29" t="e">
        <f>VLOOKUP(C3829,'점포코드 '!A:B,2,0)</f>
        <v>#N/A</v>
      </c>
      <c r="E3829" s="30">
        <f>'Raw data'!P3405</f>
        <v>0</v>
      </c>
      <c r="F3829" s="29" t="e">
        <f>VLOOKUP(E3829,'점포코드 '!A:B,2,0)</f>
        <v>#N/A</v>
      </c>
      <c r="G3829" s="46">
        <f>'Raw data'!F3738</f>
        <v>0</v>
      </c>
      <c r="H3829" s="4">
        <f>'Raw data'!G3738</f>
        <v>0</v>
      </c>
      <c r="I3829" s="29" t="e">
        <f>VLOOKUP(G3829,제품명!$C$1:$E$114,2,0)</f>
        <v>#N/A</v>
      </c>
      <c r="J3829" s="29">
        <f>'Raw data'!K3738</f>
        <v>0</v>
      </c>
      <c r="K3829" s="31">
        <f>'Raw data'!H3738</f>
        <v>0</v>
      </c>
      <c r="L3829" s="26">
        <f t="shared" si="122"/>
        <v>0</v>
      </c>
    </row>
    <row r="3830" spans="2:12">
      <c r="B3830" s="4" t="e">
        <f t="shared" si="121"/>
        <v>#N/A</v>
      </c>
      <c r="C3830" s="4">
        <f>'Raw data'!E3406</f>
        <v>0</v>
      </c>
      <c r="D3830" s="29" t="e">
        <f>VLOOKUP(C3830,'점포코드 '!A:B,2,0)</f>
        <v>#N/A</v>
      </c>
      <c r="E3830" s="30">
        <f>'Raw data'!P3406</f>
        <v>0</v>
      </c>
      <c r="F3830" s="29" t="e">
        <f>VLOOKUP(E3830,'점포코드 '!A:B,2,0)</f>
        <v>#N/A</v>
      </c>
      <c r="G3830" s="46">
        <f>'Raw data'!F3739</f>
        <v>0</v>
      </c>
      <c r="H3830" s="4">
        <f>'Raw data'!G3739</f>
        <v>0</v>
      </c>
      <c r="I3830" s="29" t="e">
        <f>VLOOKUP(G3830,제품명!$C$1:$E$114,2,0)</f>
        <v>#N/A</v>
      </c>
      <c r="J3830" s="29">
        <f>'Raw data'!K3739</f>
        <v>0</v>
      </c>
      <c r="K3830" s="31">
        <f>'Raw data'!H3739</f>
        <v>0</v>
      </c>
      <c r="L3830" s="26">
        <f t="shared" si="122"/>
        <v>0</v>
      </c>
    </row>
    <row r="3831" spans="2:12">
      <c r="B3831" s="4" t="e">
        <f t="shared" si="121"/>
        <v>#N/A</v>
      </c>
      <c r="C3831" s="4">
        <f>'Raw data'!E3407</f>
        <v>0</v>
      </c>
      <c r="D3831" s="29" t="e">
        <f>VLOOKUP(C3831,'점포코드 '!A:B,2,0)</f>
        <v>#N/A</v>
      </c>
      <c r="E3831" s="30">
        <f>'Raw data'!P3407</f>
        <v>0</v>
      </c>
      <c r="F3831" s="29" t="e">
        <f>VLOOKUP(E3831,'점포코드 '!A:B,2,0)</f>
        <v>#N/A</v>
      </c>
      <c r="G3831" s="46">
        <f>'Raw data'!F3740</f>
        <v>0</v>
      </c>
      <c r="H3831" s="4">
        <f>'Raw data'!G3740</f>
        <v>0</v>
      </c>
      <c r="I3831" s="29" t="e">
        <f>VLOOKUP(G3831,제품명!$C$1:$E$114,2,0)</f>
        <v>#N/A</v>
      </c>
      <c r="J3831" s="29">
        <f>'Raw data'!K3740</f>
        <v>0</v>
      </c>
      <c r="K3831" s="31">
        <f>'Raw data'!H3740</f>
        <v>0</v>
      </c>
      <c r="L3831" s="26">
        <f t="shared" si="122"/>
        <v>0</v>
      </c>
    </row>
    <row r="3832" spans="2:12">
      <c r="B3832" s="4" t="e">
        <f t="shared" si="121"/>
        <v>#N/A</v>
      </c>
      <c r="C3832" s="4">
        <f>'Raw data'!E3408</f>
        <v>0</v>
      </c>
      <c r="D3832" s="29" t="e">
        <f>VLOOKUP(C3832,'점포코드 '!A:B,2,0)</f>
        <v>#N/A</v>
      </c>
      <c r="E3832" s="30">
        <f>'Raw data'!P3408</f>
        <v>0</v>
      </c>
      <c r="F3832" s="29" t="e">
        <f>VLOOKUP(E3832,'점포코드 '!A:B,2,0)</f>
        <v>#N/A</v>
      </c>
      <c r="G3832" s="46">
        <f>'Raw data'!F3741</f>
        <v>0</v>
      </c>
      <c r="H3832" s="4">
        <f>'Raw data'!G3741</f>
        <v>0</v>
      </c>
      <c r="I3832" s="29" t="e">
        <f>VLOOKUP(G3832,제품명!$C$1:$E$114,2,0)</f>
        <v>#N/A</v>
      </c>
      <c r="J3832" s="29">
        <f>'Raw data'!K3741</f>
        <v>0</v>
      </c>
      <c r="K3832" s="31">
        <f>'Raw data'!H3741</f>
        <v>0</v>
      </c>
      <c r="L3832" s="26">
        <f t="shared" si="122"/>
        <v>0</v>
      </c>
    </row>
    <row r="3833" spans="2:12">
      <c r="B3833" s="4" t="e">
        <f t="shared" si="121"/>
        <v>#N/A</v>
      </c>
      <c r="C3833" s="4">
        <f>'Raw data'!E3409</f>
        <v>0</v>
      </c>
      <c r="D3833" s="29" t="e">
        <f>VLOOKUP(C3833,'점포코드 '!A:B,2,0)</f>
        <v>#N/A</v>
      </c>
      <c r="E3833" s="30">
        <f>'Raw data'!P3409</f>
        <v>0</v>
      </c>
      <c r="F3833" s="29" t="e">
        <f>VLOOKUP(E3833,'점포코드 '!A:B,2,0)</f>
        <v>#N/A</v>
      </c>
      <c r="G3833" s="46">
        <f>'Raw data'!F3742</f>
        <v>0</v>
      </c>
      <c r="H3833" s="4">
        <f>'Raw data'!G3742</f>
        <v>0</v>
      </c>
      <c r="I3833" s="29" t="e">
        <f>VLOOKUP(G3833,제품명!$C$1:$E$114,2,0)</f>
        <v>#N/A</v>
      </c>
      <c r="J3833" s="29">
        <f>'Raw data'!K3742</f>
        <v>0</v>
      </c>
      <c r="K3833" s="31">
        <f>'Raw data'!H3742</f>
        <v>0</v>
      </c>
      <c r="L3833" s="26">
        <f t="shared" si="122"/>
        <v>0</v>
      </c>
    </row>
    <row r="3834" spans="2:12">
      <c r="B3834" s="4" t="e">
        <f t="shared" si="121"/>
        <v>#N/A</v>
      </c>
      <c r="C3834" s="4">
        <f>'Raw data'!E3410</f>
        <v>0</v>
      </c>
      <c r="D3834" s="29" t="e">
        <f>VLOOKUP(C3834,'점포코드 '!A:B,2,0)</f>
        <v>#N/A</v>
      </c>
      <c r="E3834" s="30">
        <f>'Raw data'!P3410</f>
        <v>0</v>
      </c>
      <c r="F3834" s="29" t="e">
        <f>VLOOKUP(E3834,'점포코드 '!A:B,2,0)</f>
        <v>#N/A</v>
      </c>
      <c r="G3834" s="46">
        <f>'Raw data'!F3743</f>
        <v>0</v>
      </c>
      <c r="H3834" s="4">
        <f>'Raw data'!G3743</f>
        <v>0</v>
      </c>
      <c r="I3834" s="29" t="e">
        <f>VLOOKUP(G3834,제품명!$C$1:$E$114,2,0)</f>
        <v>#N/A</v>
      </c>
      <c r="J3834" s="29">
        <f>'Raw data'!K3743</f>
        <v>0</v>
      </c>
      <c r="K3834" s="31">
        <f>'Raw data'!H3743</f>
        <v>0</v>
      </c>
      <c r="L3834" s="26">
        <f t="shared" si="122"/>
        <v>0</v>
      </c>
    </row>
    <row r="3835" spans="2:12">
      <c r="B3835" s="4" t="e">
        <f t="shared" si="121"/>
        <v>#N/A</v>
      </c>
      <c r="C3835" s="4">
        <f>'Raw data'!E3411</f>
        <v>0</v>
      </c>
      <c r="D3835" s="29" t="e">
        <f>VLOOKUP(C3835,'점포코드 '!A:B,2,0)</f>
        <v>#N/A</v>
      </c>
      <c r="E3835" s="30">
        <f>'Raw data'!P3411</f>
        <v>0</v>
      </c>
      <c r="F3835" s="29" t="e">
        <f>VLOOKUP(E3835,'점포코드 '!A:B,2,0)</f>
        <v>#N/A</v>
      </c>
      <c r="G3835" s="46">
        <f>'Raw data'!F3744</f>
        <v>0</v>
      </c>
      <c r="H3835" s="4">
        <f>'Raw data'!G3744</f>
        <v>0</v>
      </c>
      <c r="I3835" s="29" t="e">
        <f>VLOOKUP(G3835,제품명!$C$1:$E$114,2,0)</f>
        <v>#N/A</v>
      </c>
      <c r="J3835" s="29">
        <f>'Raw data'!K3744</f>
        <v>0</v>
      </c>
      <c r="K3835" s="31">
        <f>'Raw data'!H3744</f>
        <v>0</v>
      </c>
      <c r="L3835" s="26">
        <f t="shared" si="122"/>
        <v>0</v>
      </c>
    </row>
    <row r="3836" spans="2:12">
      <c r="B3836" s="4" t="e">
        <f t="shared" si="121"/>
        <v>#N/A</v>
      </c>
      <c r="C3836" s="4">
        <f>'Raw data'!E3412</f>
        <v>0</v>
      </c>
      <c r="D3836" s="29" t="e">
        <f>VLOOKUP(C3836,'점포코드 '!A:B,2,0)</f>
        <v>#N/A</v>
      </c>
      <c r="E3836" s="30">
        <f>'Raw data'!P3412</f>
        <v>0</v>
      </c>
      <c r="F3836" s="29" t="e">
        <f>VLOOKUP(E3836,'점포코드 '!A:B,2,0)</f>
        <v>#N/A</v>
      </c>
      <c r="G3836" s="46">
        <f>'Raw data'!F3745</f>
        <v>0</v>
      </c>
      <c r="H3836" s="4">
        <f>'Raw data'!G3745</f>
        <v>0</v>
      </c>
      <c r="I3836" s="29" t="e">
        <f>VLOOKUP(G3836,제품명!$C$1:$E$114,2,0)</f>
        <v>#N/A</v>
      </c>
      <c r="J3836" s="29">
        <f>'Raw data'!K3745</f>
        <v>0</v>
      </c>
      <c r="K3836" s="31">
        <f>'Raw data'!H3745</f>
        <v>0</v>
      </c>
      <c r="L3836" s="26">
        <f t="shared" si="122"/>
        <v>0</v>
      </c>
    </row>
    <row r="3837" spans="2:12">
      <c r="B3837" s="4" t="e">
        <f t="shared" si="121"/>
        <v>#N/A</v>
      </c>
      <c r="C3837" s="4">
        <f>'Raw data'!E3413</f>
        <v>0</v>
      </c>
      <c r="D3837" s="29" t="e">
        <f>VLOOKUP(C3837,'점포코드 '!A:B,2,0)</f>
        <v>#N/A</v>
      </c>
      <c r="E3837" s="30">
        <f>'Raw data'!P3413</f>
        <v>0</v>
      </c>
      <c r="F3837" s="29" t="e">
        <f>VLOOKUP(E3837,'점포코드 '!A:B,2,0)</f>
        <v>#N/A</v>
      </c>
      <c r="G3837" s="46">
        <f>'Raw data'!F3746</f>
        <v>0</v>
      </c>
      <c r="H3837" s="4">
        <f>'Raw data'!G3746</f>
        <v>0</v>
      </c>
      <c r="I3837" s="29" t="e">
        <f>VLOOKUP(G3837,제품명!$C$1:$E$114,2,0)</f>
        <v>#N/A</v>
      </c>
      <c r="J3837" s="29">
        <f>'Raw data'!K3746</f>
        <v>0</v>
      </c>
      <c r="K3837" s="31">
        <f>'Raw data'!H3746</f>
        <v>0</v>
      </c>
      <c r="L3837" s="26">
        <f t="shared" si="122"/>
        <v>0</v>
      </c>
    </row>
    <row r="3838" spans="2:12">
      <c r="B3838" s="4" t="e">
        <f t="shared" si="121"/>
        <v>#N/A</v>
      </c>
      <c r="C3838" s="4">
        <f>'Raw data'!E3414</f>
        <v>0</v>
      </c>
      <c r="D3838" s="29" t="e">
        <f>VLOOKUP(C3838,'점포코드 '!A:B,2,0)</f>
        <v>#N/A</v>
      </c>
      <c r="E3838" s="30">
        <f>'Raw data'!P3414</f>
        <v>0</v>
      </c>
      <c r="F3838" s="29" t="e">
        <f>VLOOKUP(E3838,'점포코드 '!A:B,2,0)</f>
        <v>#N/A</v>
      </c>
      <c r="G3838" s="46">
        <f>'Raw data'!F3747</f>
        <v>0</v>
      </c>
      <c r="H3838" s="4">
        <f>'Raw data'!G3747</f>
        <v>0</v>
      </c>
      <c r="I3838" s="29" t="e">
        <f>VLOOKUP(G3838,제품명!$C$1:$E$114,2,0)</f>
        <v>#N/A</v>
      </c>
      <c r="J3838" s="29">
        <f>'Raw data'!K3747</f>
        <v>0</v>
      </c>
      <c r="K3838" s="31">
        <f>'Raw data'!H3747</f>
        <v>0</v>
      </c>
      <c r="L3838" s="26">
        <f t="shared" si="122"/>
        <v>0</v>
      </c>
    </row>
    <row r="3839" spans="2:12">
      <c r="B3839" s="4" t="e">
        <f t="shared" si="121"/>
        <v>#N/A</v>
      </c>
      <c r="C3839" s="4">
        <f>'Raw data'!E3415</f>
        <v>0</v>
      </c>
      <c r="D3839" s="29" t="e">
        <f>VLOOKUP(C3839,'점포코드 '!A:B,2,0)</f>
        <v>#N/A</v>
      </c>
      <c r="E3839" s="30">
        <f>'Raw data'!P3415</f>
        <v>0</v>
      </c>
      <c r="F3839" s="29" t="e">
        <f>VLOOKUP(E3839,'점포코드 '!A:B,2,0)</f>
        <v>#N/A</v>
      </c>
      <c r="G3839" s="46">
        <f>'Raw data'!F3748</f>
        <v>0</v>
      </c>
      <c r="H3839" s="4">
        <f>'Raw data'!G3748</f>
        <v>0</v>
      </c>
      <c r="I3839" s="29" t="e">
        <f>VLOOKUP(G3839,제품명!$C$1:$E$114,2,0)</f>
        <v>#N/A</v>
      </c>
      <c r="J3839" s="29">
        <f>'Raw data'!K3748</f>
        <v>0</v>
      </c>
      <c r="K3839" s="31">
        <f>'Raw data'!H3748</f>
        <v>0</v>
      </c>
      <c r="L3839" s="26">
        <f t="shared" si="122"/>
        <v>0</v>
      </c>
    </row>
    <row r="3840" spans="2:12">
      <c r="B3840" s="4" t="e">
        <f t="shared" si="121"/>
        <v>#N/A</v>
      </c>
      <c r="C3840" s="4">
        <f>'Raw data'!E3416</f>
        <v>0</v>
      </c>
      <c r="D3840" s="29" t="e">
        <f>VLOOKUP(C3840,'점포코드 '!A:B,2,0)</f>
        <v>#N/A</v>
      </c>
      <c r="E3840" s="30">
        <f>'Raw data'!P3416</f>
        <v>0</v>
      </c>
      <c r="F3840" s="29" t="e">
        <f>VLOOKUP(E3840,'점포코드 '!A:B,2,0)</f>
        <v>#N/A</v>
      </c>
      <c r="G3840" s="46">
        <f>'Raw data'!F3749</f>
        <v>0</v>
      </c>
      <c r="H3840" s="4">
        <f>'Raw data'!G3749</f>
        <v>0</v>
      </c>
      <c r="I3840" s="29" t="e">
        <f>VLOOKUP(G3840,제품명!$C$1:$E$114,2,0)</f>
        <v>#N/A</v>
      </c>
      <c r="J3840" s="29">
        <f>'Raw data'!K3749</f>
        <v>0</v>
      </c>
      <c r="K3840" s="31">
        <f>'Raw data'!H3749</f>
        <v>0</v>
      </c>
      <c r="L3840" s="26">
        <f t="shared" si="122"/>
        <v>0</v>
      </c>
    </row>
    <row r="3841" spans="2:12">
      <c r="B3841" s="4" t="e">
        <f t="shared" si="121"/>
        <v>#N/A</v>
      </c>
      <c r="C3841" s="4">
        <f>'Raw data'!E3417</f>
        <v>0</v>
      </c>
      <c r="D3841" s="29" t="e">
        <f>VLOOKUP(C3841,'점포코드 '!A:B,2,0)</f>
        <v>#N/A</v>
      </c>
      <c r="E3841" s="30">
        <f>'Raw data'!P3417</f>
        <v>0</v>
      </c>
      <c r="F3841" s="29" t="e">
        <f>VLOOKUP(E3841,'점포코드 '!A:B,2,0)</f>
        <v>#N/A</v>
      </c>
      <c r="G3841" s="46">
        <f>'Raw data'!F3750</f>
        <v>0</v>
      </c>
      <c r="H3841" s="4">
        <f>'Raw data'!G3750</f>
        <v>0</v>
      </c>
      <c r="I3841" s="29" t="e">
        <f>VLOOKUP(G3841,제품명!$C$1:$E$114,2,0)</f>
        <v>#N/A</v>
      </c>
      <c r="J3841" s="29">
        <f>'Raw data'!K3750</f>
        <v>0</v>
      </c>
      <c r="K3841" s="31">
        <f>'Raw data'!H3750</f>
        <v>0</v>
      </c>
      <c r="L3841" s="26">
        <f t="shared" si="122"/>
        <v>0</v>
      </c>
    </row>
    <row r="3842" spans="2:12">
      <c r="B3842" s="4" t="e">
        <f t="shared" ref="B3842:B3905" si="123">F3842&amp;I3842</f>
        <v>#N/A</v>
      </c>
      <c r="C3842" s="4">
        <f>'Raw data'!E3418</f>
        <v>0</v>
      </c>
      <c r="D3842" s="29" t="e">
        <f>VLOOKUP(C3842,'점포코드 '!A:B,2,0)</f>
        <v>#N/A</v>
      </c>
      <c r="E3842" s="30">
        <f>'Raw data'!P3418</f>
        <v>0</v>
      </c>
      <c r="F3842" s="29" t="e">
        <f>VLOOKUP(E3842,'점포코드 '!A:B,2,0)</f>
        <v>#N/A</v>
      </c>
      <c r="G3842" s="46">
        <f>'Raw data'!F3751</f>
        <v>0</v>
      </c>
      <c r="H3842" s="4">
        <f>'Raw data'!G3751</f>
        <v>0</v>
      </c>
      <c r="I3842" s="29" t="e">
        <f>VLOOKUP(G3842,제품명!$C$1:$E$114,2,0)</f>
        <v>#N/A</v>
      </c>
      <c r="J3842" s="29">
        <f>'Raw data'!K3751</f>
        <v>0</v>
      </c>
      <c r="K3842" s="31">
        <f>'Raw data'!H3751</f>
        <v>0</v>
      </c>
      <c r="L3842" s="26">
        <f t="shared" si="122"/>
        <v>0</v>
      </c>
    </row>
    <row r="3843" spans="2:12">
      <c r="B3843" s="4" t="e">
        <f t="shared" si="123"/>
        <v>#N/A</v>
      </c>
      <c r="C3843" s="4">
        <f>'Raw data'!E3419</f>
        <v>0</v>
      </c>
      <c r="D3843" s="29" t="e">
        <f>VLOOKUP(C3843,'점포코드 '!A:B,2,0)</f>
        <v>#N/A</v>
      </c>
      <c r="E3843" s="30">
        <f>'Raw data'!P3419</f>
        <v>0</v>
      </c>
      <c r="F3843" s="29" t="e">
        <f>VLOOKUP(E3843,'점포코드 '!A:B,2,0)</f>
        <v>#N/A</v>
      </c>
      <c r="G3843" s="46">
        <f>'Raw data'!F3752</f>
        <v>0</v>
      </c>
      <c r="H3843" s="4">
        <f>'Raw data'!G3752</f>
        <v>0</v>
      </c>
      <c r="I3843" s="29" t="e">
        <f>VLOOKUP(G3843,제품명!$C$1:$E$114,2,0)</f>
        <v>#N/A</v>
      </c>
      <c r="J3843" s="29">
        <f>'Raw data'!K3752</f>
        <v>0</v>
      </c>
      <c r="K3843" s="31">
        <f>'Raw data'!H3752</f>
        <v>0</v>
      </c>
      <c r="L3843" s="26">
        <f t="shared" ref="L3843:L3906" si="124">J3843*K3843</f>
        <v>0</v>
      </c>
    </row>
    <row r="3844" spans="2:12">
      <c r="B3844" s="4" t="e">
        <f t="shared" si="123"/>
        <v>#N/A</v>
      </c>
      <c r="C3844" s="4">
        <f>'Raw data'!E3420</f>
        <v>0</v>
      </c>
      <c r="D3844" s="29" t="e">
        <f>VLOOKUP(C3844,'점포코드 '!A:B,2,0)</f>
        <v>#N/A</v>
      </c>
      <c r="E3844" s="30">
        <f>'Raw data'!P3420</f>
        <v>0</v>
      </c>
      <c r="F3844" s="29" t="e">
        <f>VLOOKUP(E3844,'점포코드 '!A:B,2,0)</f>
        <v>#N/A</v>
      </c>
      <c r="G3844" s="46">
        <f>'Raw data'!F3753</f>
        <v>0</v>
      </c>
      <c r="H3844" s="4">
        <f>'Raw data'!G3753</f>
        <v>0</v>
      </c>
      <c r="I3844" s="29" t="e">
        <f>VLOOKUP(G3844,제품명!$C$1:$E$114,2,0)</f>
        <v>#N/A</v>
      </c>
      <c r="J3844" s="29">
        <f>'Raw data'!K3753</f>
        <v>0</v>
      </c>
      <c r="K3844" s="31">
        <f>'Raw data'!H3753</f>
        <v>0</v>
      </c>
      <c r="L3844" s="26">
        <f t="shared" si="124"/>
        <v>0</v>
      </c>
    </row>
    <row r="3845" spans="2:12">
      <c r="B3845" s="4" t="e">
        <f t="shared" si="123"/>
        <v>#N/A</v>
      </c>
      <c r="C3845" s="4">
        <f>'Raw data'!E3421</f>
        <v>0</v>
      </c>
      <c r="D3845" s="29" t="e">
        <f>VLOOKUP(C3845,'점포코드 '!A:B,2,0)</f>
        <v>#N/A</v>
      </c>
      <c r="E3845" s="30">
        <f>'Raw data'!P3421</f>
        <v>0</v>
      </c>
      <c r="F3845" s="29" t="e">
        <f>VLOOKUP(E3845,'점포코드 '!A:B,2,0)</f>
        <v>#N/A</v>
      </c>
      <c r="G3845" s="46">
        <f>'Raw data'!F3754</f>
        <v>0</v>
      </c>
      <c r="H3845" s="4">
        <f>'Raw data'!G3754</f>
        <v>0</v>
      </c>
      <c r="I3845" s="29" t="e">
        <f>VLOOKUP(G3845,제품명!$C$1:$E$114,2,0)</f>
        <v>#N/A</v>
      </c>
      <c r="J3845" s="29">
        <f>'Raw data'!K3754</f>
        <v>0</v>
      </c>
      <c r="K3845" s="31">
        <f>'Raw data'!H3754</f>
        <v>0</v>
      </c>
      <c r="L3845" s="26">
        <f t="shared" si="124"/>
        <v>0</v>
      </c>
    </row>
    <row r="3846" spans="2:12">
      <c r="B3846" s="4" t="e">
        <f t="shared" si="123"/>
        <v>#N/A</v>
      </c>
      <c r="C3846" s="4">
        <f>'Raw data'!E3422</f>
        <v>0</v>
      </c>
      <c r="D3846" s="29" t="e">
        <f>VLOOKUP(C3846,'점포코드 '!A:B,2,0)</f>
        <v>#N/A</v>
      </c>
      <c r="E3846" s="30">
        <f>'Raw data'!P3422</f>
        <v>0</v>
      </c>
      <c r="F3846" s="29" t="e">
        <f>VLOOKUP(E3846,'점포코드 '!A:B,2,0)</f>
        <v>#N/A</v>
      </c>
      <c r="G3846" s="46">
        <f>'Raw data'!F3755</f>
        <v>0</v>
      </c>
      <c r="H3846" s="4">
        <f>'Raw data'!G3755</f>
        <v>0</v>
      </c>
      <c r="I3846" s="29" t="e">
        <f>VLOOKUP(G3846,제품명!$C$1:$E$114,2,0)</f>
        <v>#N/A</v>
      </c>
      <c r="J3846" s="29">
        <f>'Raw data'!K3755</f>
        <v>0</v>
      </c>
      <c r="K3846" s="31">
        <f>'Raw data'!H3755</f>
        <v>0</v>
      </c>
      <c r="L3846" s="26">
        <f t="shared" si="124"/>
        <v>0</v>
      </c>
    </row>
    <row r="3847" spans="2:12">
      <c r="B3847" s="4" t="e">
        <f t="shared" si="123"/>
        <v>#N/A</v>
      </c>
      <c r="C3847" s="4">
        <f>'Raw data'!E3423</f>
        <v>0</v>
      </c>
      <c r="D3847" s="29" t="e">
        <f>VLOOKUP(C3847,'점포코드 '!A:B,2,0)</f>
        <v>#N/A</v>
      </c>
      <c r="E3847" s="30">
        <f>'Raw data'!P3423</f>
        <v>0</v>
      </c>
      <c r="F3847" s="29" t="e">
        <f>VLOOKUP(E3847,'점포코드 '!A:B,2,0)</f>
        <v>#N/A</v>
      </c>
      <c r="G3847" s="46">
        <f>'Raw data'!F3756</f>
        <v>0</v>
      </c>
      <c r="H3847" s="4">
        <f>'Raw data'!G3756</f>
        <v>0</v>
      </c>
      <c r="I3847" s="29" t="e">
        <f>VLOOKUP(G3847,제품명!$C$1:$E$114,2,0)</f>
        <v>#N/A</v>
      </c>
      <c r="J3847" s="29">
        <f>'Raw data'!K3756</f>
        <v>0</v>
      </c>
      <c r="K3847" s="31">
        <f>'Raw data'!H3756</f>
        <v>0</v>
      </c>
      <c r="L3847" s="26">
        <f t="shared" si="124"/>
        <v>0</v>
      </c>
    </row>
    <row r="3848" spans="2:12">
      <c r="B3848" s="4" t="e">
        <f t="shared" si="123"/>
        <v>#N/A</v>
      </c>
      <c r="C3848" s="4">
        <f>'Raw data'!E3424</f>
        <v>0</v>
      </c>
      <c r="D3848" s="29" t="e">
        <f>VLOOKUP(C3848,'점포코드 '!A:B,2,0)</f>
        <v>#N/A</v>
      </c>
      <c r="E3848" s="30">
        <f>'Raw data'!P3424</f>
        <v>0</v>
      </c>
      <c r="F3848" s="29" t="e">
        <f>VLOOKUP(E3848,'점포코드 '!A:B,2,0)</f>
        <v>#N/A</v>
      </c>
      <c r="G3848" s="46">
        <f>'Raw data'!F3757</f>
        <v>0</v>
      </c>
      <c r="H3848" s="4">
        <f>'Raw data'!G3757</f>
        <v>0</v>
      </c>
      <c r="I3848" s="29" t="e">
        <f>VLOOKUP(G3848,제품명!$C$1:$E$114,2,0)</f>
        <v>#N/A</v>
      </c>
      <c r="J3848" s="29">
        <f>'Raw data'!K3757</f>
        <v>0</v>
      </c>
      <c r="K3848" s="31">
        <f>'Raw data'!H3757</f>
        <v>0</v>
      </c>
      <c r="L3848" s="26">
        <f t="shared" si="124"/>
        <v>0</v>
      </c>
    </row>
    <row r="3849" spans="2:12">
      <c r="B3849" s="4" t="e">
        <f t="shared" si="123"/>
        <v>#N/A</v>
      </c>
      <c r="C3849" s="4">
        <f>'Raw data'!E3425</f>
        <v>0</v>
      </c>
      <c r="D3849" s="29" t="e">
        <f>VLOOKUP(C3849,'점포코드 '!A:B,2,0)</f>
        <v>#N/A</v>
      </c>
      <c r="E3849" s="30">
        <f>'Raw data'!P3425</f>
        <v>0</v>
      </c>
      <c r="F3849" s="29" t="e">
        <f>VLOOKUP(E3849,'점포코드 '!A:B,2,0)</f>
        <v>#N/A</v>
      </c>
      <c r="G3849" s="46">
        <f>'Raw data'!F3758</f>
        <v>0</v>
      </c>
      <c r="H3849" s="4">
        <f>'Raw data'!G3758</f>
        <v>0</v>
      </c>
      <c r="I3849" s="29" t="e">
        <f>VLOOKUP(G3849,제품명!$C$1:$E$114,2,0)</f>
        <v>#N/A</v>
      </c>
      <c r="J3849" s="29">
        <f>'Raw data'!K3758</f>
        <v>0</v>
      </c>
      <c r="K3849" s="31">
        <f>'Raw data'!H3758</f>
        <v>0</v>
      </c>
      <c r="L3849" s="26">
        <f t="shared" si="124"/>
        <v>0</v>
      </c>
    </row>
    <row r="3850" spans="2:12">
      <c r="B3850" s="4" t="e">
        <f t="shared" si="123"/>
        <v>#N/A</v>
      </c>
      <c r="C3850" s="4">
        <f>'Raw data'!E3426</f>
        <v>0</v>
      </c>
      <c r="D3850" s="29" t="e">
        <f>VLOOKUP(C3850,'점포코드 '!A:B,2,0)</f>
        <v>#N/A</v>
      </c>
      <c r="E3850" s="30">
        <f>'Raw data'!P3426</f>
        <v>0</v>
      </c>
      <c r="F3850" s="29" t="e">
        <f>VLOOKUP(E3850,'점포코드 '!A:B,2,0)</f>
        <v>#N/A</v>
      </c>
      <c r="G3850" s="46">
        <f>'Raw data'!F3759</f>
        <v>0</v>
      </c>
      <c r="H3850" s="4">
        <f>'Raw data'!G3759</f>
        <v>0</v>
      </c>
      <c r="I3850" s="29" t="e">
        <f>VLOOKUP(G3850,제품명!$C$1:$E$114,2,0)</f>
        <v>#N/A</v>
      </c>
      <c r="J3850" s="29">
        <f>'Raw data'!K3759</f>
        <v>0</v>
      </c>
      <c r="K3850" s="31">
        <f>'Raw data'!H3759</f>
        <v>0</v>
      </c>
      <c r="L3850" s="26">
        <f t="shared" si="124"/>
        <v>0</v>
      </c>
    </row>
    <row r="3851" spans="2:12">
      <c r="B3851" s="4" t="e">
        <f t="shared" si="123"/>
        <v>#N/A</v>
      </c>
      <c r="C3851" s="4">
        <f>'Raw data'!E3427</f>
        <v>0</v>
      </c>
      <c r="D3851" s="29" t="e">
        <f>VLOOKUP(C3851,'점포코드 '!A:B,2,0)</f>
        <v>#N/A</v>
      </c>
      <c r="E3851" s="30">
        <f>'Raw data'!P3427</f>
        <v>0</v>
      </c>
      <c r="F3851" s="29" t="e">
        <f>VLOOKUP(E3851,'점포코드 '!A:B,2,0)</f>
        <v>#N/A</v>
      </c>
      <c r="G3851" s="46">
        <f>'Raw data'!F3760</f>
        <v>0</v>
      </c>
      <c r="H3851" s="4">
        <f>'Raw data'!G3760</f>
        <v>0</v>
      </c>
      <c r="I3851" s="29" t="e">
        <f>VLOOKUP(G3851,제품명!$C$1:$E$114,2,0)</f>
        <v>#N/A</v>
      </c>
      <c r="J3851" s="29">
        <f>'Raw data'!K3760</f>
        <v>0</v>
      </c>
      <c r="K3851" s="31">
        <f>'Raw data'!H3760</f>
        <v>0</v>
      </c>
      <c r="L3851" s="26">
        <f t="shared" si="124"/>
        <v>0</v>
      </c>
    </row>
    <row r="3852" spans="2:12">
      <c r="B3852" s="4" t="e">
        <f t="shared" si="123"/>
        <v>#N/A</v>
      </c>
      <c r="C3852" s="4">
        <f>'Raw data'!E3428</f>
        <v>0</v>
      </c>
      <c r="D3852" s="29" t="e">
        <f>VLOOKUP(C3852,'점포코드 '!A:B,2,0)</f>
        <v>#N/A</v>
      </c>
      <c r="E3852" s="30">
        <f>'Raw data'!P3428</f>
        <v>0</v>
      </c>
      <c r="F3852" s="29" t="e">
        <f>VLOOKUP(E3852,'점포코드 '!A:B,2,0)</f>
        <v>#N/A</v>
      </c>
      <c r="G3852" s="46">
        <f>'Raw data'!F3761</f>
        <v>0</v>
      </c>
      <c r="H3852" s="4">
        <f>'Raw data'!G3761</f>
        <v>0</v>
      </c>
      <c r="I3852" s="29" t="e">
        <f>VLOOKUP(G3852,제품명!$C$1:$E$114,2,0)</f>
        <v>#N/A</v>
      </c>
      <c r="J3852" s="29">
        <f>'Raw data'!K3761</f>
        <v>0</v>
      </c>
      <c r="K3852" s="31">
        <f>'Raw data'!H3761</f>
        <v>0</v>
      </c>
      <c r="L3852" s="26">
        <f t="shared" si="124"/>
        <v>0</v>
      </c>
    </row>
    <row r="3853" spans="2:12">
      <c r="B3853" s="4" t="e">
        <f t="shared" si="123"/>
        <v>#N/A</v>
      </c>
      <c r="C3853" s="4">
        <f>'Raw data'!E3429</f>
        <v>0</v>
      </c>
      <c r="D3853" s="29" t="e">
        <f>VLOOKUP(C3853,'점포코드 '!A:B,2,0)</f>
        <v>#N/A</v>
      </c>
      <c r="E3853" s="30">
        <f>'Raw data'!P3429</f>
        <v>0</v>
      </c>
      <c r="F3853" s="29" t="e">
        <f>VLOOKUP(E3853,'점포코드 '!A:B,2,0)</f>
        <v>#N/A</v>
      </c>
      <c r="G3853" s="46">
        <f>'Raw data'!F3762</f>
        <v>0</v>
      </c>
      <c r="H3853" s="4">
        <f>'Raw data'!G3762</f>
        <v>0</v>
      </c>
      <c r="I3853" s="29" t="e">
        <f>VLOOKUP(G3853,제품명!$C$1:$E$114,2,0)</f>
        <v>#N/A</v>
      </c>
      <c r="J3853" s="29">
        <f>'Raw data'!K3762</f>
        <v>0</v>
      </c>
      <c r="K3853" s="31">
        <f>'Raw data'!H3762</f>
        <v>0</v>
      </c>
      <c r="L3853" s="26">
        <f t="shared" si="124"/>
        <v>0</v>
      </c>
    </row>
    <row r="3854" spans="2:12">
      <c r="B3854" s="4" t="e">
        <f t="shared" si="123"/>
        <v>#N/A</v>
      </c>
      <c r="C3854" s="4">
        <f>'Raw data'!E3430</f>
        <v>0</v>
      </c>
      <c r="D3854" s="29" t="e">
        <f>VLOOKUP(C3854,'점포코드 '!A:B,2,0)</f>
        <v>#N/A</v>
      </c>
      <c r="E3854" s="30">
        <f>'Raw data'!P3430</f>
        <v>0</v>
      </c>
      <c r="F3854" s="29" t="e">
        <f>VLOOKUP(E3854,'점포코드 '!A:B,2,0)</f>
        <v>#N/A</v>
      </c>
      <c r="G3854" s="46">
        <f>'Raw data'!F3763</f>
        <v>0</v>
      </c>
      <c r="H3854" s="4">
        <f>'Raw data'!G3763</f>
        <v>0</v>
      </c>
      <c r="I3854" s="29" t="e">
        <f>VLOOKUP(G3854,제품명!$C$1:$E$114,2,0)</f>
        <v>#N/A</v>
      </c>
      <c r="J3854" s="29">
        <f>'Raw data'!K3763</f>
        <v>0</v>
      </c>
      <c r="K3854" s="31">
        <f>'Raw data'!H3763</f>
        <v>0</v>
      </c>
      <c r="L3854" s="26">
        <f t="shared" si="124"/>
        <v>0</v>
      </c>
    </row>
    <row r="3855" spans="2:12">
      <c r="B3855" s="4" t="e">
        <f t="shared" si="123"/>
        <v>#N/A</v>
      </c>
      <c r="C3855" s="4">
        <f>'Raw data'!E3431</f>
        <v>0</v>
      </c>
      <c r="D3855" s="29" t="e">
        <f>VLOOKUP(C3855,'점포코드 '!A:B,2,0)</f>
        <v>#N/A</v>
      </c>
      <c r="E3855" s="30">
        <f>'Raw data'!P3431</f>
        <v>0</v>
      </c>
      <c r="F3855" s="29" t="e">
        <f>VLOOKUP(E3855,'점포코드 '!A:B,2,0)</f>
        <v>#N/A</v>
      </c>
      <c r="G3855" s="46">
        <f>'Raw data'!F3764</f>
        <v>0</v>
      </c>
      <c r="H3855" s="4">
        <f>'Raw data'!G3764</f>
        <v>0</v>
      </c>
      <c r="I3855" s="29" t="e">
        <f>VLOOKUP(G3855,제품명!$C$1:$E$114,2,0)</f>
        <v>#N/A</v>
      </c>
      <c r="J3855" s="29">
        <f>'Raw data'!K3764</f>
        <v>0</v>
      </c>
      <c r="K3855" s="31">
        <f>'Raw data'!H3764</f>
        <v>0</v>
      </c>
      <c r="L3855" s="26">
        <f t="shared" si="124"/>
        <v>0</v>
      </c>
    </row>
    <row r="3856" spans="2:12">
      <c r="B3856" s="4" t="e">
        <f t="shared" si="123"/>
        <v>#N/A</v>
      </c>
      <c r="C3856" s="4">
        <f>'Raw data'!E3432</f>
        <v>0</v>
      </c>
      <c r="D3856" s="29" t="e">
        <f>VLOOKUP(C3856,'점포코드 '!A:B,2,0)</f>
        <v>#N/A</v>
      </c>
      <c r="E3856" s="30">
        <f>'Raw data'!P3432</f>
        <v>0</v>
      </c>
      <c r="F3856" s="29" t="e">
        <f>VLOOKUP(E3856,'점포코드 '!A:B,2,0)</f>
        <v>#N/A</v>
      </c>
      <c r="G3856" s="46">
        <f>'Raw data'!F3765</f>
        <v>0</v>
      </c>
      <c r="H3856" s="4">
        <f>'Raw data'!G3765</f>
        <v>0</v>
      </c>
      <c r="I3856" s="29" t="e">
        <f>VLOOKUP(G3856,제품명!$C$1:$E$114,2,0)</f>
        <v>#N/A</v>
      </c>
      <c r="J3856" s="29">
        <f>'Raw data'!K3765</f>
        <v>0</v>
      </c>
      <c r="K3856" s="31">
        <f>'Raw data'!H3765</f>
        <v>0</v>
      </c>
      <c r="L3856" s="26">
        <f t="shared" si="124"/>
        <v>0</v>
      </c>
    </row>
    <row r="3857" spans="2:12">
      <c r="B3857" s="4" t="e">
        <f t="shared" si="123"/>
        <v>#N/A</v>
      </c>
      <c r="C3857" s="4">
        <f>'Raw data'!E3433</f>
        <v>0</v>
      </c>
      <c r="D3857" s="29" t="e">
        <f>VLOOKUP(C3857,'점포코드 '!A:B,2,0)</f>
        <v>#N/A</v>
      </c>
      <c r="E3857" s="30">
        <f>'Raw data'!P3433</f>
        <v>0</v>
      </c>
      <c r="F3857" s="29" t="e">
        <f>VLOOKUP(E3857,'점포코드 '!A:B,2,0)</f>
        <v>#N/A</v>
      </c>
      <c r="G3857" s="46">
        <f>'Raw data'!F3766</f>
        <v>0</v>
      </c>
      <c r="H3857" s="4">
        <f>'Raw data'!G3766</f>
        <v>0</v>
      </c>
      <c r="I3857" s="29" t="e">
        <f>VLOOKUP(G3857,제품명!$C$1:$E$114,2,0)</f>
        <v>#N/A</v>
      </c>
      <c r="J3857" s="29">
        <f>'Raw data'!K3766</f>
        <v>0</v>
      </c>
      <c r="K3857" s="31">
        <f>'Raw data'!H3766</f>
        <v>0</v>
      </c>
      <c r="L3857" s="26">
        <f t="shared" si="124"/>
        <v>0</v>
      </c>
    </row>
    <row r="3858" spans="2:12">
      <c r="B3858" s="4" t="e">
        <f t="shared" si="123"/>
        <v>#N/A</v>
      </c>
      <c r="C3858" s="4">
        <f>'Raw data'!E3434</f>
        <v>0</v>
      </c>
      <c r="D3858" s="29" t="e">
        <f>VLOOKUP(C3858,'점포코드 '!A:B,2,0)</f>
        <v>#N/A</v>
      </c>
      <c r="E3858" s="30">
        <f>'Raw data'!P3434</f>
        <v>0</v>
      </c>
      <c r="F3858" s="29" t="e">
        <f>VLOOKUP(E3858,'점포코드 '!A:B,2,0)</f>
        <v>#N/A</v>
      </c>
      <c r="G3858" s="46">
        <f>'Raw data'!F3767</f>
        <v>0</v>
      </c>
      <c r="H3858" s="4">
        <f>'Raw data'!G3767</f>
        <v>0</v>
      </c>
      <c r="I3858" s="29" t="e">
        <f>VLOOKUP(G3858,제품명!$C$1:$E$114,2,0)</f>
        <v>#N/A</v>
      </c>
      <c r="J3858" s="29">
        <f>'Raw data'!K3767</f>
        <v>0</v>
      </c>
      <c r="K3858" s="31">
        <f>'Raw data'!H3767</f>
        <v>0</v>
      </c>
      <c r="L3858" s="26">
        <f t="shared" si="124"/>
        <v>0</v>
      </c>
    </row>
    <row r="3859" spans="2:12">
      <c r="B3859" s="4" t="e">
        <f t="shared" si="123"/>
        <v>#N/A</v>
      </c>
      <c r="C3859" s="4">
        <f>'Raw data'!E3435</f>
        <v>0</v>
      </c>
      <c r="D3859" s="29" t="e">
        <f>VLOOKUP(C3859,'점포코드 '!A:B,2,0)</f>
        <v>#N/A</v>
      </c>
      <c r="E3859" s="30">
        <f>'Raw data'!P3435</f>
        <v>0</v>
      </c>
      <c r="F3859" s="29" t="e">
        <f>VLOOKUP(E3859,'점포코드 '!A:B,2,0)</f>
        <v>#N/A</v>
      </c>
      <c r="G3859" s="46">
        <f>'Raw data'!F3768</f>
        <v>0</v>
      </c>
      <c r="H3859" s="4">
        <f>'Raw data'!G3768</f>
        <v>0</v>
      </c>
      <c r="I3859" s="29" t="e">
        <f>VLOOKUP(G3859,제품명!$C$1:$E$114,2,0)</f>
        <v>#N/A</v>
      </c>
      <c r="J3859" s="29">
        <f>'Raw data'!K3768</f>
        <v>0</v>
      </c>
      <c r="K3859" s="31">
        <f>'Raw data'!H3768</f>
        <v>0</v>
      </c>
      <c r="L3859" s="26">
        <f t="shared" si="124"/>
        <v>0</v>
      </c>
    </row>
    <row r="3860" spans="2:12">
      <c r="B3860" s="4" t="e">
        <f t="shared" si="123"/>
        <v>#N/A</v>
      </c>
      <c r="C3860" s="4">
        <f>'Raw data'!E3436</f>
        <v>0</v>
      </c>
      <c r="D3860" s="29" t="e">
        <f>VLOOKUP(C3860,'점포코드 '!A:B,2,0)</f>
        <v>#N/A</v>
      </c>
      <c r="E3860" s="30">
        <f>'Raw data'!P3436</f>
        <v>0</v>
      </c>
      <c r="F3860" s="29" t="e">
        <f>VLOOKUP(E3860,'점포코드 '!A:B,2,0)</f>
        <v>#N/A</v>
      </c>
      <c r="G3860" s="46">
        <f>'Raw data'!F3769</f>
        <v>0</v>
      </c>
      <c r="H3860" s="4">
        <f>'Raw data'!G3769</f>
        <v>0</v>
      </c>
      <c r="I3860" s="29" t="e">
        <f>VLOOKUP(G3860,제품명!$C$1:$E$114,2,0)</f>
        <v>#N/A</v>
      </c>
      <c r="J3860" s="29">
        <f>'Raw data'!K3769</f>
        <v>0</v>
      </c>
      <c r="K3860" s="31">
        <f>'Raw data'!H3769</f>
        <v>0</v>
      </c>
      <c r="L3860" s="26">
        <f t="shared" si="124"/>
        <v>0</v>
      </c>
    </row>
    <row r="3861" spans="2:12">
      <c r="B3861" s="4" t="e">
        <f t="shared" si="123"/>
        <v>#N/A</v>
      </c>
      <c r="C3861" s="4">
        <f>'Raw data'!E3437</f>
        <v>0</v>
      </c>
      <c r="D3861" s="29" t="e">
        <f>VLOOKUP(C3861,'점포코드 '!A:B,2,0)</f>
        <v>#N/A</v>
      </c>
      <c r="E3861" s="30">
        <f>'Raw data'!P3437</f>
        <v>0</v>
      </c>
      <c r="F3861" s="29" t="e">
        <f>VLOOKUP(E3861,'점포코드 '!A:B,2,0)</f>
        <v>#N/A</v>
      </c>
      <c r="G3861" s="46">
        <f>'Raw data'!F3770</f>
        <v>0</v>
      </c>
      <c r="H3861" s="4">
        <f>'Raw data'!G3770</f>
        <v>0</v>
      </c>
      <c r="I3861" s="29" t="e">
        <f>VLOOKUP(G3861,제품명!$C$1:$E$114,2,0)</f>
        <v>#N/A</v>
      </c>
      <c r="J3861" s="29">
        <f>'Raw data'!K3770</f>
        <v>0</v>
      </c>
      <c r="K3861" s="31">
        <f>'Raw data'!H3770</f>
        <v>0</v>
      </c>
      <c r="L3861" s="26">
        <f t="shared" si="124"/>
        <v>0</v>
      </c>
    </row>
    <row r="3862" spans="2:12">
      <c r="B3862" s="4" t="e">
        <f t="shared" si="123"/>
        <v>#N/A</v>
      </c>
      <c r="C3862" s="4">
        <f>'Raw data'!E3438</f>
        <v>0</v>
      </c>
      <c r="D3862" s="29" t="e">
        <f>VLOOKUP(C3862,'점포코드 '!A:B,2,0)</f>
        <v>#N/A</v>
      </c>
      <c r="E3862" s="30">
        <f>'Raw data'!P3438</f>
        <v>0</v>
      </c>
      <c r="F3862" s="29" t="e">
        <f>VLOOKUP(E3862,'점포코드 '!A:B,2,0)</f>
        <v>#N/A</v>
      </c>
      <c r="G3862" s="46">
        <f>'Raw data'!F3771</f>
        <v>0</v>
      </c>
      <c r="H3862" s="4">
        <f>'Raw data'!G3771</f>
        <v>0</v>
      </c>
      <c r="I3862" s="29" t="e">
        <f>VLOOKUP(G3862,제품명!$C$1:$E$114,2,0)</f>
        <v>#N/A</v>
      </c>
      <c r="J3862" s="29">
        <f>'Raw data'!K3771</f>
        <v>0</v>
      </c>
      <c r="K3862" s="31">
        <f>'Raw data'!H3771</f>
        <v>0</v>
      </c>
      <c r="L3862" s="26">
        <f t="shared" si="124"/>
        <v>0</v>
      </c>
    </row>
    <row r="3863" spans="2:12">
      <c r="B3863" s="4" t="e">
        <f t="shared" si="123"/>
        <v>#N/A</v>
      </c>
      <c r="C3863" s="4">
        <f>'Raw data'!E3439</f>
        <v>0</v>
      </c>
      <c r="D3863" s="29" t="e">
        <f>VLOOKUP(C3863,'점포코드 '!A:B,2,0)</f>
        <v>#N/A</v>
      </c>
      <c r="E3863" s="30">
        <f>'Raw data'!P3439</f>
        <v>0</v>
      </c>
      <c r="F3863" s="29" t="e">
        <f>VLOOKUP(E3863,'점포코드 '!A:B,2,0)</f>
        <v>#N/A</v>
      </c>
      <c r="G3863" s="46">
        <f>'Raw data'!F3772</f>
        <v>0</v>
      </c>
      <c r="H3863" s="4">
        <f>'Raw data'!G3772</f>
        <v>0</v>
      </c>
      <c r="I3863" s="29" t="e">
        <f>VLOOKUP(G3863,제품명!$C$1:$E$114,2,0)</f>
        <v>#N/A</v>
      </c>
      <c r="J3863" s="29">
        <f>'Raw data'!K3772</f>
        <v>0</v>
      </c>
      <c r="K3863" s="31">
        <f>'Raw data'!H3772</f>
        <v>0</v>
      </c>
      <c r="L3863" s="26">
        <f t="shared" si="124"/>
        <v>0</v>
      </c>
    </row>
    <row r="3864" spans="2:12">
      <c r="B3864" s="4" t="e">
        <f t="shared" si="123"/>
        <v>#N/A</v>
      </c>
      <c r="C3864" s="4">
        <f>'Raw data'!E3440</f>
        <v>0</v>
      </c>
      <c r="D3864" s="29" t="e">
        <f>VLOOKUP(C3864,'점포코드 '!A:B,2,0)</f>
        <v>#N/A</v>
      </c>
      <c r="E3864" s="30">
        <f>'Raw data'!P3440</f>
        <v>0</v>
      </c>
      <c r="F3864" s="29" t="e">
        <f>VLOOKUP(E3864,'점포코드 '!A:B,2,0)</f>
        <v>#N/A</v>
      </c>
      <c r="G3864" s="46">
        <f>'Raw data'!F3773</f>
        <v>0</v>
      </c>
      <c r="H3864" s="4">
        <f>'Raw data'!G3773</f>
        <v>0</v>
      </c>
      <c r="I3864" s="29" t="e">
        <f>VLOOKUP(G3864,제품명!$C$1:$E$114,2,0)</f>
        <v>#N/A</v>
      </c>
      <c r="J3864" s="29">
        <f>'Raw data'!K3773</f>
        <v>0</v>
      </c>
      <c r="K3864" s="31">
        <f>'Raw data'!H3773</f>
        <v>0</v>
      </c>
      <c r="L3864" s="26">
        <f t="shared" si="124"/>
        <v>0</v>
      </c>
    </row>
    <row r="3865" spans="2:12">
      <c r="B3865" s="4" t="e">
        <f t="shared" si="123"/>
        <v>#N/A</v>
      </c>
      <c r="C3865" s="4">
        <f>'Raw data'!E3441</f>
        <v>0</v>
      </c>
      <c r="D3865" s="29" t="e">
        <f>VLOOKUP(C3865,'점포코드 '!A:B,2,0)</f>
        <v>#N/A</v>
      </c>
      <c r="E3865" s="30">
        <f>'Raw data'!P3441</f>
        <v>0</v>
      </c>
      <c r="F3865" s="29" t="e">
        <f>VLOOKUP(E3865,'점포코드 '!A:B,2,0)</f>
        <v>#N/A</v>
      </c>
      <c r="G3865" s="46">
        <f>'Raw data'!F3774</f>
        <v>0</v>
      </c>
      <c r="H3865" s="4">
        <f>'Raw data'!G3774</f>
        <v>0</v>
      </c>
      <c r="I3865" s="29" t="e">
        <f>VLOOKUP(G3865,제품명!$C$1:$E$114,2,0)</f>
        <v>#N/A</v>
      </c>
      <c r="J3865" s="29">
        <f>'Raw data'!K3774</f>
        <v>0</v>
      </c>
      <c r="K3865" s="31">
        <f>'Raw data'!H3774</f>
        <v>0</v>
      </c>
      <c r="L3865" s="26">
        <f t="shared" si="124"/>
        <v>0</v>
      </c>
    </row>
    <row r="3866" spans="2:12">
      <c r="B3866" s="4" t="e">
        <f t="shared" si="123"/>
        <v>#N/A</v>
      </c>
      <c r="C3866" s="4">
        <f>'Raw data'!E3442</f>
        <v>0</v>
      </c>
      <c r="D3866" s="29" t="e">
        <f>VLOOKUP(C3866,'점포코드 '!A:B,2,0)</f>
        <v>#N/A</v>
      </c>
      <c r="E3866" s="30">
        <f>'Raw data'!P3442</f>
        <v>0</v>
      </c>
      <c r="F3866" s="29" t="e">
        <f>VLOOKUP(E3866,'점포코드 '!A:B,2,0)</f>
        <v>#N/A</v>
      </c>
      <c r="G3866" s="46">
        <f>'Raw data'!F3775</f>
        <v>0</v>
      </c>
      <c r="H3866" s="4">
        <f>'Raw data'!G3775</f>
        <v>0</v>
      </c>
      <c r="I3866" s="29" t="e">
        <f>VLOOKUP(G3866,제품명!$C$1:$E$114,2,0)</f>
        <v>#N/A</v>
      </c>
      <c r="J3866" s="29">
        <f>'Raw data'!K3775</f>
        <v>0</v>
      </c>
      <c r="K3866" s="31">
        <f>'Raw data'!H3775</f>
        <v>0</v>
      </c>
      <c r="L3866" s="26">
        <f t="shared" si="124"/>
        <v>0</v>
      </c>
    </row>
    <row r="3867" spans="2:12">
      <c r="B3867" s="4" t="e">
        <f t="shared" si="123"/>
        <v>#N/A</v>
      </c>
      <c r="C3867" s="4">
        <f>'Raw data'!E3443</f>
        <v>0</v>
      </c>
      <c r="D3867" s="29" t="e">
        <f>VLOOKUP(C3867,'점포코드 '!A:B,2,0)</f>
        <v>#N/A</v>
      </c>
      <c r="E3867" s="30">
        <f>'Raw data'!P3443</f>
        <v>0</v>
      </c>
      <c r="F3867" s="29" t="e">
        <f>VLOOKUP(E3867,'점포코드 '!A:B,2,0)</f>
        <v>#N/A</v>
      </c>
      <c r="G3867" s="46">
        <f>'Raw data'!F3776</f>
        <v>0</v>
      </c>
      <c r="H3867" s="4">
        <f>'Raw data'!G3776</f>
        <v>0</v>
      </c>
      <c r="I3867" s="29" t="e">
        <f>VLOOKUP(G3867,제품명!$C$1:$E$114,2,0)</f>
        <v>#N/A</v>
      </c>
      <c r="J3867" s="29">
        <f>'Raw data'!K3776</f>
        <v>0</v>
      </c>
      <c r="K3867" s="31">
        <f>'Raw data'!H3776</f>
        <v>0</v>
      </c>
      <c r="L3867" s="26">
        <f t="shared" si="124"/>
        <v>0</v>
      </c>
    </row>
    <row r="3868" spans="2:12">
      <c r="B3868" s="4" t="e">
        <f t="shared" si="123"/>
        <v>#N/A</v>
      </c>
      <c r="C3868" s="4">
        <f>'Raw data'!E3444</f>
        <v>0</v>
      </c>
      <c r="D3868" s="29" t="e">
        <f>VLOOKUP(C3868,'점포코드 '!A:B,2,0)</f>
        <v>#N/A</v>
      </c>
      <c r="E3868" s="30">
        <f>'Raw data'!P3444</f>
        <v>0</v>
      </c>
      <c r="F3868" s="29" t="e">
        <f>VLOOKUP(E3868,'점포코드 '!A:B,2,0)</f>
        <v>#N/A</v>
      </c>
      <c r="G3868" s="46">
        <f>'Raw data'!F3777</f>
        <v>0</v>
      </c>
      <c r="H3868" s="4">
        <f>'Raw data'!G3777</f>
        <v>0</v>
      </c>
      <c r="I3868" s="29" t="e">
        <f>VLOOKUP(G3868,제품명!$C$1:$E$114,2,0)</f>
        <v>#N/A</v>
      </c>
      <c r="J3868" s="29">
        <f>'Raw data'!K3777</f>
        <v>0</v>
      </c>
      <c r="K3868" s="31">
        <f>'Raw data'!H3777</f>
        <v>0</v>
      </c>
      <c r="L3868" s="26">
        <f t="shared" si="124"/>
        <v>0</v>
      </c>
    </row>
    <row r="3869" spans="2:12">
      <c r="B3869" s="4" t="e">
        <f t="shared" si="123"/>
        <v>#N/A</v>
      </c>
      <c r="C3869" s="4">
        <f>'Raw data'!E3445</f>
        <v>0</v>
      </c>
      <c r="D3869" s="29" t="e">
        <f>VLOOKUP(C3869,'점포코드 '!A:B,2,0)</f>
        <v>#N/A</v>
      </c>
      <c r="E3869" s="30">
        <f>'Raw data'!P3445</f>
        <v>0</v>
      </c>
      <c r="F3869" s="29" t="e">
        <f>VLOOKUP(E3869,'점포코드 '!A:B,2,0)</f>
        <v>#N/A</v>
      </c>
      <c r="G3869" s="46">
        <f>'Raw data'!F3778</f>
        <v>0</v>
      </c>
      <c r="H3869" s="4">
        <f>'Raw data'!G3778</f>
        <v>0</v>
      </c>
      <c r="I3869" s="29" t="e">
        <f>VLOOKUP(G3869,제품명!$C$1:$E$114,2,0)</f>
        <v>#N/A</v>
      </c>
      <c r="J3869" s="29">
        <f>'Raw data'!K3778</f>
        <v>0</v>
      </c>
      <c r="K3869" s="31">
        <f>'Raw data'!H3778</f>
        <v>0</v>
      </c>
      <c r="L3869" s="26">
        <f t="shared" si="124"/>
        <v>0</v>
      </c>
    </row>
    <row r="3870" spans="2:12">
      <c r="B3870" s="4" t="e">
        <f t="shared" si="123"/>
        <v>#N/A</v>
      </c>
      <c r="C3870" s="4">
        <f>'Raw data'!E3446</f>
        <v>0</v>
      </c>
      <c r="D3870" s="29" t="e">
        <f>VLOOKUP(C3870,'점포코드 '!A:B,2,0)</f>
        <v>#N/A</v>
      </c>
      <c r="E3870" s="30">
        <f>'Raw data'!P3446</f>
        <v>0</v>
      </c>
      <c r="F3870" s="29" t="e">
        <f>VLOOKUP(E3870,'점포코드 '!A:B,2,0)</f>
        <v>#N/A</v>
      </c>
      <c r="G3870" s="46">
        <f>'Raw data'!F3779</f>
        <v>0</v>
      </c>
      <c r="H3870" s="4">
        <f>'Raw data'!G3779</f>
        <v>0</v>
      </c>
      <c r="I3870" s="29" t="e">
        <f>VLOOKUP(G3870,제품명!$C$1:$E$114,2,0)</f>
        <v>#N/A</v>
      </c>
      <c r="J3870" s="29">
        <f>'Raw data'!K3779</f>
        <v>0</v>
      </c>
      <c r="K3870" s="31">
        <f>'Raw data'!H3779</f>
        <v>0</v>
      </c>
      <c r="L3870" s="26">
        <f t="shared" si="124"/>
        <v>0</v>
      </c>
    </row>
    <row r="3871" spans="2:12">
      <c r="B3871" s="4" t="e">
        <f t="shared" si="123"/>
        <v>#N/A</v>
      </c>
      <c r="C3871" s="4">
        <f>'Raw data'!E3447</f>
        <v>0</v>
      </c>
      <c r="D3871" s="29" t="e">
        <f>VLOOKUP(C3871,'점포코드 '!A:B,2,0)</f>
        <v>#N/A</v>
      </c>
      <c r="E3871" s="30">
        <f>'Raw data'!P3447</f>
        <v>0</v>
      </c>
      <c r="F3871" s="29" t="e">
        <f>VLOOKUP(E3871,'점포코드 '!A:B,2,0)</f>
        <v>#N/A</v>
      </c>
      <c r="G3871" s="46">
        <f>'Raw data'!F3780</f>
        <v>0</v>
      </c>
      <c r="H3871" s="4">
        <f>'Raw data'!G3780</f>
        <v>0</v>
      </c>
      <c r="I3871" s="29" t="e">
        <f>VLOOKUP(G3871,제품명!$C$1:$E$114,2,0)</f>
        <v>#N/A</v>
      </c>
      <c r="J3871" s="29">
        <f>'Raw data'!K3780</f>
        <v>0</v>
      </c>
      <c r="K3871" s="31">
        <f>'Raw data'!H3780</f>
        <v>0</v>
      </c>
      <c r="L3871" s="26">
        <f t="shared" si="124"/>
        <v>0</v>
      </c>
    </row>
    <row r="3872" spans="2:12">
      <c r="B3872" s="4" t="e">
        <f t="shared" si="123"/>
        <v>#N/A</v>
      </c>
      <c r="C3872" s="4">
        <f>'Raw data'!E3448</f>
        <v>0</v>
      </c>
      <c r="D3872" s="29" t="e">
        <f>VLOOKUP(C3872,'점포코드 '!A:B,2,0)</f>
        <v>#N/A</v>
      </c>
      <c r="E3872" s="30">
        <f>'Raw data'!P3448</f>
        <v>0</v>
      </c>
      <c r="F3872" s="29" t="e">
        <f>VLOOKUP(E3872,'점포코드 '!A:B,2,0)</f>
        <v>#N/A</v>
      </c>
      <c r="G3872" s="46">
        <f>'Raw data'!F3781</f>
        <v>0</v>
      </c>
      <c r="H3872" s="4">
        <f>'Raw data'!G3781</f>
        <v>0</v>
      </c>
      <c r="I3872" s="29" t="e">
        <f>VLOOKUP(G3872,제품명!$C$1:$E$114,2,0)</f>
        <v>#N/A</v>
      </c>
      <c r="J3872" s="29">
        <f>'Raw data'!K3781</f>
        <v>0</v>
      </c>
      <c r="K3872" s="31">
        <f>'Raw data'!H3781</f>
        <v>0</v>
      </c>
      <c r="L3872" s="26">
        <f t="shared" si="124"/>
        <v>0</v>
      </c>
    </row>
    <row r="3873" spans="2:12">
      <c r="B3873" s="4" t="e">
        <f t="shared" si="123"/>
        <v>#N/A</v>
      </c>
      <c r="C3873" s="4">
        <f>'Raw data'!E3449</f>
        <v>0</v>
      </c>
      <c r="D3873" s="29" t="e">
        <f>VLOOKUP(C3873,'점포코드 '!A:B,2,0)</f>
        <v>#N/A</v>
      </c>
      <c r="E3873" s="30">
        <f>'Raw data'!P3449</f>
        <v>0</v>
      </c>
      <c r="F3873" s="29" t="e">
        <f>VLOOKUP(E3873,'점포코드 '!A:B,2,0)</f>
        <v>#N/A</v>
      </c>
      <c r="G3873" s="46">
        <f>'Raw data'!F3782</f>
        <v>0</v>
      </c>
      <c r="H3873" s="4">
        <f>'Raw data'!G3782</f>
        <v>0</v>
      </c>
      <c r="I3873" s="29" t="e">
        <f>VLOOKUP(G3873,제품명!$C$1:$E$114,2,0)</f>
        <v>#N/A</v>
      </c>
      <c r="J3873" s="29">
        <f>'Raw data'!K3782</f>
        <v>0</v>
      </c>
      <c r="K3873" s="31">
        <f>'Raw data'!H3782</f>
        <v>0</v>
      </c>
      <c r="L3873" s="26">
        <f t="shared" si="124"/>
        <v>0</v>
      </c>
    </row>
    <row r="3874" spans="2:12">
      <c r="B3874" s="4" t="e">
        <f t="shared" si="123"/>
        <v>#N/A</v>
      </c>
      <c r="C3874" s="4">
        <f>'Raw data'!E3450</f>
        <v>0</v>
      </c>
      <c r="D3874" s="29" t="e">
        <f>VLOOKUP(C3874,'점포코드 '!A:B,2,0)</f>
        <v>#N/A</v>
      </c>
      <c r="E3874" s="30">
        <f>'Raw data'!P3450</f>
        <v>0</v>
      </c>
      <c r="F3874" s="29" t="e">
        <f>VLOOKUP(E3874,'점포코드 '!A:B,2,0)</f>
        <v>#N/A</v>
      </c>
      <c r="G3874" s="46">
        <f>'Raw data'!F3783</f>
        <v>0</v>
      </c>
      <c r="H3874" s="4">
        <f>'Raw data'!G3783</f>
        <v>0</v>
      </c>
      <c r="I3874" s="29" t="e">
        <f>VLOOKUP(G3874,제품명!$C$1:$E$114,2,0)</f>
        <v>#N/A</v>
      </c>
      <c r="J3874" s="29">
        <f>'Raw data'!K3783</f>
        <v>0</v>
      </c>
      <c r="K3874" s="31">
        <f>'Raw data'!H3783</f>
        <v>0</v>
      </c>
      <c r="L3874" s="26">
        <f t="shared" si="124"/>
        <v>0</v>
      </c>
    </row>
    <row r="3875" spans="2:12">
      <c r="B3875" s="4" t="e">
        <f t="shared" si="123"/>
        <v>#N/A</v>
      </c>
      <c r="C3875" s="4">
        <f>'Raw data'!E3451</f>
        <v>0</v>
      </c>
      <c r="D3875" s="29" t="e">
        <f>VLOOKUP(C3875,'점포코드 '!A:B,2,0)</f>
        <v>#N/A</v>
      </c>
      <c r="E3875" s="30">
        <f>'Raw data'!P3451</f>
        <v>0</v>
      </c>
      <c r="F3875" s="29" t="e">
        <f>VLOOKUP(E3875,'점포코드 '!A:B,2,0)</f>
        <v>#N/A</v>
      </c>
      <c r="G3875" s="46">
        <f>'Raw data'!F3784</f>
        <v>0</v>
      </c>
      <c r="H3875" s="4">
        <f>'Raw data'!G3784</f>
        <v>0</v>
      </c>
      <c r="I3875" s="29" t="e">
        <f>VLOOKUP(G3875,제품명!$C$1:$E$114,2,0)</f>
        <v>#N/A</v>
      </c>
      <c r="J3875" s="29">
        <f>'Raw data'!K3784</f>
        <v>0</v>
      </c>
      <c r="K3875" s="31">
        <f>'Raw data'!H3784</f>
        <v>0</v>
      </c>
      <c r="L3875" s="26">
        <f t="shared" si="124"/>
        <v>0</v>
      </c>
    </row>
    <row r="3876" spans="2:12">
      <c r="B3876" s="4" t="e">
        <f t="shared" si="123"/>
        <v>#N/A</v>
      </c>
      <c r="C3876" s="4">
        <f>'Raw data'!E3452</f>
        <v>0</v>
      </c>
      <c r="D3876" s="29" t="e">
        <f>VLOOKUP(C3876,'점포코드 '!A:B,2,0)</f>
        <v>#N/A</v>
      </c>
      <c r="E3876" s="30">
        <f>'Raw data'!P3452</f>
        <v>0</v>
      </c>
      <c r="F3876" s="29" t="e">
        <f>VLOOKUP(E3876,'점포코드 '!A:B,2,0)</f>
        <v>#N/A</v>
      </c>
      <c r="G3876" s="46">
        <f>'Raw data'!F3785</f>
        <v>0</v>
      </c>
      <c r="H3876" s="4">
        <f>'Raw data'!G3785</f>
        <v>0</v>
      </c>
      <c r="I3876" s="29" t="e">
        <f>VLOOKUP(G3876,제품명!$C$1:$E$114,2,0)</f>
        <v>#N/A</v>
      </c>
      <c r="J3876" s="29">
        <f>'Raw data'!K3785</f>
        <v>0</v>
      </c>
      <c r="K3876" s="31">
        <f>'Raw data'!H3785</f>
        <v>0</v>
      </c>
      <c r="L3876" s="26">
        <f t="shared" si="124"/>
        <v>0</v>
      </c>
    </row>
    <row r="3877" spans="2:12">
      <c r="B3877" s="4" t="e">
        <f t="shared" si="123"/>
        <v>#N/A</v>
      </c>
      <c r="C3877" s="4">
        <f>'Raw data'!E3453</f>
        <v>0</v>
      </c>
      <c r="D3877" s="29" t="e">
        <f>VLOOKUP(C3877,'점포코드 '!A:B,2,0)</f>
        <v>#N/A</v>
      </c>
      <c r="E3877" s="30">
        <f>'Raw data'!P3453</f>
        <v>0</v>
      </c>
      <c r="F3877" s="29" t="e">
        <f>VLOOKUP(E3877,'점포코드 '!A:B,2,0)</f>
        <v>#N/A</v>
      </c>
      <c r="G3877" s="46">
        <f>'Raw data'!F3786</f>
        <v>0</v>
      </c>
      <c r="H3877" s="4">
        <f>'Raw data'!G3786</f>
        <v>0</v>
      </c>
      <c r="I3877" s="29" t="e">
        <f>VLOOKUP(G3877,제품명!$C$1:$E$114,2,0)</f>
        <v>#N/A</v>
      </c>
      <c r="J3877" s="29">
        <f>'Raw data'!K3786</f>
        <v>0</v>
      </c>
      <c r="K3877" s="31">
        <f>'Raw data'!H3786</f>
        <v>0</v>
      </c>
      <c r="L3877" s="26">
        <f t="shared" si="124"/>
        <v>0</v>
      </c>
    </row>
    <row r="3878" spans="2:12">
      <c r="B3878" s="4" t="e">
        <f t="shared" si="123"/>
        <v>#N/A</v>
      </c>
      <c r="C3878" s="4">
        <f>'Raw data'!E3454</f>
        <v>0</v>
      </c>
      <c r="D3878" s="29" t="e">
        <f>VLOOKUP(C3878,'점포코드 '!A:B,2,0)</f>
        <v>#N/A</v>
      </c>
      <c r="E3878" s="30">
        <f>'Raw data'!P3454</f>
        <v>0</v>
      </c>
      <c r="F3878" s="29" t="e">
        <f>VLOOKUP(E3878,'점포코드 '!A:B,2,0)</f>
        <v>#N/A</v>
      </c>
      <c r="G3878" s="46">
        <f>'Raw data'!F3787</f>
        <v>0</v>
      </c>
      <c r="H3878" s="4">
        <f>'Raw data'!G3787</f>
        <v>0</v>
      </c>
      <c r="I3878" s="29" t="e">
        <f>VLOOKUP(G3878,제품명!$C$1:$E$114,2,0)</f>
        <v>#N/A</v>
      </c>
      <c r="J3878" s="29">
        <f>'Raw data'!K3787</f>
        <v>0</v>
      </c>
      <c r="K3878" s="31">
        <f>'Raw data'!H3787</f>
        <v>0</v>
      </c>
      <c r="L3878" s="26">
        <f t="shared" si="124"/>
        <v>0</v>
      </c>
    </row>
    <row r="3879" spans="2:12">
      <c r="B3879" s="4" t="e">
        <f t="shared" si="123"/>
        <v>#N/A</v>
      </c>
      <c r="C3879" s="4">
        <f>'Raw data'!E3455</f>
        <v>0</v>
      </c>
      <c r="D3879" s="29" t="e">
        <f>VLOOKUP(C3879,'점포코드 '!A:B,2,0)</f>
        <v>#N/A</v>
      </c>
      <c r="E3879" s="30">
        <f>'Raw data'!P3455</f>
        <v>0</v>
      </c>
      <c r="F3879" s="29" t="e">
        <f>VLOOKUP(E3879,'점포코드 '!A:B,2,0)</f>
        <v>#N/A</v>
      </c>
      <c r="G3879" s="46">
        <f>'Raw data'!F3788</f>
        <v>0</v>
      </c>
      <c r="H3879" s="4">
        <f>'Raw data'!G3788</f>
        <v>0</v>
      </c>
      <c r="I3879" s="29" t="e">
        <f>VLOOKUP(G3879,제품명!$C$1:$E$114,2,0)</f>
        <v>#N/A</v>
      </c>
      <c r="J3879" s="29">
        <f>'Raw data'!K3788</f>
        <v>0</v>
      </c>
      <c r="K3879" s="31">
        <f>'Raw data'!H3788</f>
        <v>0</v>
      </c>
      <c r="L3879" s="26">
        <f t="shared" si="124"/>
        <v>0</v>
      </c>
    </row>
    <row r="3880" spans="2:12">
      <c r="B3880" s="4" t="e">
        <f t="shared" si="123"/>
        <v>#N/A</v>
      </c>
      <c r="C3880" s="4">
        <f>'Raw data'!E3456</f>
        <v>0</v>
      </c>
      <c r="D3880" s="29" t="e">
        <f>VLOOKUP(C3880,'점포코드 '!A:B,2,0)</f>
        <v>#N/A</v>
      </c>
      <c r="E3880" s="30">
        <f>'Raw data'!P3456</f>
        <v>0</v>
      </c>
      <c r="F3880" s="29" t="e">
        <f>VLOOKUP(E3880,'점포코드 '!A:B,2,0)</f>
        <v>#N/A</v>
      </c>
      <c r="G3880" s="46">
        <f>'Raw data'!F3789</f>
        <v>0</v>
      </c>
      <c r="H3880" s="4">
        <f>'Raw data'!G3789</f>
        <v>0</v>
      </c>
      <c r="I3880" s="29" t="e">
        <f>VLOOKUP(G3880,제품명!$C$1:$E$114,2,0)</f>
        <v>#N/A</v>
      </c>
      <c r="J3880" s="29">
        <f>'Raw data'!K3789</f>
        <v>0</v>
      </c>
      <c r="K3880" s="31">
        <f>'Raw data'!H3789</f>
        <v>0</v>
      </c>
      <c r="L3880" s="26">
        <f t="shared" si="124"/>
        <v>0</v>
      </c>
    </row>
    <row r="3881" spans="2:12">
      <c r="B3881" s="4" t="e">
        <f t="shared" si="123"/>
        <v>#N/A</v>
      </c>
      <c r="C3881" s="4">
        <f>'Raw data'!E3457</f>
        <v>0</v>
      </c>
      <c r="D3881" s="29" t="e">
        <f>VLOOKUP(C3881,'점포코드 '!A:B,2,0)</f>
        <v>#N/A</v>
      </c>
      <c r="E3881" s="30">
        <f>'Raw data'!P3457</f>
        <v>0</v>
      </c>
      <c r="F3881" s="29" t="e">
        <f>VLOOKUP(E3881,'점포코드 '!A:B,2,0)</f>
        <v>#N/A</v>
      </c>
      <c r="G3881" s="46">
        <f>'Raw data'!F3790</f>
        <v>0</v>
      </c>
      <c r="H3881" s="4">
        <f>'Raw data'!G3790</f>
        <v>0</v>
      </c>
      <c r="I3881" s="29" t="e">
        <f>VLOOKUP(G3881,제품명!$C$1:$E$114,2,0)</f>
        <v>#N/A</v>
      </c>
      <c r="J3881" s="29">
        <f>'Raw data'!K3790</f>
        <v>0</v>
      </c>
      <c r="K3881" s="31">
        <f>'Raw data'!H3790</f>
        <v>0</v>
      </c>
      <c r="L3881" s="26">
        <f t="shared" si="124"/>
        <v>0</v>
      </c>
    </row>
    <row r="3882" spans="2:12">
      <c r="B3882" s="4" t="e">
        <f t="shared" si="123"/>
        <v>#N/A</v>
      </c>
      <c r="C3882" s="4">
        <f>'Raw data'!E3458</f>
        <v>0</v>
      </c>
      <c r="D3882" s="29" t="e">
        <f>VLOOKUP(C3882,'점포코드 '!A:B,2,0)</f>
        <v>#N/A</v>
      </c>
      <c r="E3882" s="30">
        <f>'Raw data'!P3458</f>
        <v>0</v>
      </c>
      <c r="F3882" s="29" t="e">
        <f>VLOOKUP(E3882,'점포코드 '!A:B,2,0)</f>
        <v>#N/A</v>
      </c>
      <c r="G3882" s="46">
        <f>'Raw data'!F3791</f>
        <v>0</v>
      </c>
      <c r="H3882" s="4">
        <f>'Raw data'!G3791</f>
        <v>0</v>
      </c>
      <c r="I3882" s="29" t="e">
        <f>VLOOKUP(G3882,제품명!$C$1:$E$114,2,0)</f>
        <v>#N/A</v>
      </c>
      <c r="J3882" s="29">
        <f>'Raw data'!K3791</f>
        <v>0</v>
      </c>
      <c r="K3882" s="31">
        <f>'Raw data'!H3791</f>
        <v>0</v>
      </c>
      <c r="L3882" s="26">
        <f t="shared" si="124"/>
        <v>0</v>
      </c>
    </row>
    <row r="3883" spans="2:12">
      <c r="B3883" s="4" t="e">
        <f t="shared" si="123"/>
        <v>#N/A</v>
      </c>
      <c r="C3883" s="4">
        <f>'Raw data'!E3459</f>
        <v>0</v>
      </c>
      <c r="D3883" s="29" t="e">
        <f>VLOOKUP(C3883,'점포코드 '!A:B,2,0)</f>
        <v>#N/A</v>
      </c>
      <c r="E3883" s="30">
        <f>'Raw data'!P3459</f>
        <v>0</v>
      </c>
      <c r="F3883" s="29" t="e">
        <f>VLOOKUP(E3883,'점포코드 '!A:B,2,0)</f>
        <v>#N/A</v>
      </c>
      <c r="G3883" s="46">
        <f>'Raw data'!F3792</f>
        <v>0</v>
      </c>
      <c r="H3883" s="4">
        <f>'Raw data'!G3792</f>
        <v>0</v>
      </c>
      <c r="I3883" s="29" t="e">
        <f>VLOOKUP(G3883,제품명!$C$1:$E$114,2,0)</f>
        <v>#N/A</v>
      </c>
      <c r="J3883" s="29">
        <f>'Raw data'!K3792</f>
        <v>0</v>
      </c>
      <c r="K3883" s="31">
        <f>'Raw data'!H3792</f>
        <v>0</v>
      </c>
      <c r="L3883" s="26">
        <f t="shared" si="124"/>
        <v>0</v>
      </c>
    </row>
    <row r="3884" spans="2:12">
      <c r="B3884" s="4" t="e">
        <f t="shared" si="123"/>
        <v>#N/A</v>
      </c>
      <c r="C3884" s="4">
        <f>'Raw data'!E3460</f>
        <v>0</v>
      </c>
      <c r="D3884" s="29" t="e">
        <f>VLOOKUP(C3884,'점포코드 '!A:B,2,0)</f>
        <v>#N/A</v>
      </c>
      <c r="E3884" s="30">
        <f>'Raw data'!P3460</f>
        <v>0</v>
      </c>
      <c r="F3884" s="29" t="e">
        <f>VLOOKUP(E3884,'점포코드 '!A:B,2,0)</f>
        <v>#N/A</v>
      </c>
      <c r="G3884" s="46">
        <f>'Raw data'!F3793</f>
        <v>0</v>
      </c>
      <c r="H3884" s="4">
        <f>'Raw data'!G3793</f>
        <v>0</v>
      </c>
      <c r="I3884" s="29" t="e">
        <f>VLOOKUP(G3884,제품명!$C$1:$E$114,2,0)</f>
        <v>#N/A</v>
      </c>
      <c r="J3884" s="29">
        <f>'Raw data'!K3793</f>
        <v>0</v>
      </c>
      <c r="K3884" s="31">
        <f>'Raw data'!H3793</f>
        <v>0</v>
      </c>
      <c r="L3884" s="26">
        <f t="shared" si="124"/>
        <v>0</v>
      </c>
    </row>
    <row r="3885" spans="2:12">
      <c r="B3885" s="4" t="e">
        <f t="shared" si="123"/>
        <v>#N/A</v>
      </c>
      <c r="C3885" s="4">
        <f>'Raw data'!E3461</f>
        <v>0</v>
      </c>
      <c r="D3885" s="29" t="e">
        <f>VLOOKUP(C3885,'점포코드 '!A:B,2,0)</f>
        <v>#N/A</v>
      </c>
      <c r="E3885" s="30">
        <f>'Raw data'!P3461</f>
        <v>0</v>
      </c>
      <c r="F3885" s="29" t="e">
        <f>VLOOKUP(E3885,'점포코드 '!A:B,2,0)</f>
        <v>#N/A</v>
      </c>
      <c r="G3885" s="46">
        <f>'Raw data'!F3794</f>
        <v>0</v>
      </c>
      <c r="H3885" s="4">
        <f>'Raw data'!G3794</f>
        <v>0</v>
      </c>
      <c r="I3885" s="29" t="e">
        <f>VLOOKUP(G3885,제품명!$C$1:$E$114,2,0)</f>
        <v>#N/A</v>
      </c>
      <c r="J3885" s="29">
        <f>'Raw data'!K3794</f>
        <v>0</v>
      </c>
      <c r="K3885" s="31">
        <f>'Raw data'!H3794</f>
        <v>0</v>
      </c>
      <c r="L3885" s="26">
        <f t="shared" si="124"/>
        <v>0</v>
      </c>
    </row>
    <row r="3886" spans="2:12">
      <c r="B3886" s="4" t="e">
        <f t="shared" si="123"/>
        <v>#N/A</v>
      </c>
      <c r="C3886" s="4">
        <f>'Raw data'!E3462</f>
        <v>0</v>
      </c>
      <c r="D3886" s="29" t="e">
        <f>VLOOKUP(C3886,'점포코드 '!A:B,2,0)</f>
        <v>#N/A</v>
      </c>
      <c r="E3886" s="30">
        <f>'Raw data'!P3462</f>
        <v>0</v>
      </c>
      <c r="F3886" s="29" t="e">
        <f>VLOOKUP(E3886,'점포코드 '!A:B,2,0)</f>
        <v>#N/A</v>
      </c>
      <c r="G3886" s="46">
        <f>'Raw data'!F3795</f>
        <v>0</v>
      </c>
      <c r="H3886" s="4">
        <f>'Raw data'!G3795</f>
        <v>0</v>
      </c>
      <c r="I3886" s="29" t="e">
        <f>VLOOKUP(G3886,제품명!$C$1:$E$114,2,0)</f>
        <v>#N/A</v>
      </c>
      <c r="J3886" s="29">
        <f>'Raw data'!K3795</f>
        <v>0</v>
      </c>
      <c r="K3886" s="31">
        <f>'Raw data'!H3795</f>
        <v>0</v>
      </c>
      <c r="L3886" s="26">
        <f t="shared" si="124"/>
        <v>0</v>
      </c>
    </row>
    <row r="3887" spans="2:12">
      <c r="B3887" s="4" t="e">
        <f t="shared" si="123"/>
        <v>#N/A</v>
      </c>
      <c r="C3887" s="4">
        <f>'Raw data'!E3463</f>
        <v>0</v>
      </c>
      <c r="D3887" s="29" t="e">
        <f>VLOOKUP(C3887,'점포코드 '!A:B,2,0)</f>
        <v>#N/A</v>
      </c>
      <c r="E3887" s="30">
        <f>'Raw data'!P3463</f>
        <v>0</v>
      </c>
      <c r="F3887" s="29" t="e">
        <f>VLOOKUP(E3887,'점포코드 '!A:B,2,0)</f>
        <v>#N/A</v>
      </c>
      <c r="G3887" s="46">
        <f>'Raw data'!F3796</f>
        <v>0</v>
      </c>
      <c r="H3887" s="4">
        <f>'Raw data'!G3796</f>
        <v>0</v>
      </c>
      <c r="I3887" s="29" t="e">
        <f>VLOOKUP(G3887,제품명!$C$1:$E$114,2,0)</f>
        <v>#N/A</v>
      </c>
      <c r="J3887" s="29">
        <f>'Raw data'!K3796</f>
        <v>0</v>
      </c>
      <c r="K3887" s="31">
        <f>'Raw data'!H3796</f>
        <v>0</v>
      </c>
      <c r="L3887" s="26">
        <f t="shared" si="124"/>
        <v>0</v>
      </c>
    </row>
    <row r="3888" spans="2:12">
      <c r="B3888" s="4" t="e">
        <f t="shared" si="123"/>
        <v>#N/A</v>
      </c>
      <c r="C3888" s="4">
        <f>'Raw data'!E3464</f>
        <v>0</v>
      </c>
      <c r="D3888" s="29" t="e">
        <f>VLOOKUP(C3888,'점포코드 '!A:B,2,0)</f>
        <v>#N/A</v>
      </c>
      <c r="E3888" s="30">
        <f>'Raw data'!P3464</f>
        <v>0</v>
      </c>
      <c r="F3888" s="29" t="e">
        <f>VLOOKUP(E3888,'점포코드 '!A:B,2,0)</f>
        <v>#N/A</v>
      </c>
      <c r="G3888" s="46">
        <f>'Raw data'!F3797</f>
        <v>0</v>
      </c>
      <c r="H3888" s="4">
        <f>'Raw data'!G3797</f>
        <v>0</v>
      </c>
      <c r="I3888" s="29" t="e">
        <f>VLOOKUP(G3888,제품명!$C$1:$E$114,2,0)</f>
        <v>#N/A</v>
      </c>
      <c r="J3888" s="29">
        <f>'Raw data'!K3797</f>
        <v>0</v>
      </c>
      <c r="K3888" s="31">
        <f>'Raw data'!H3797</f>
        <v>0</v>
      </c>
      <c r="L3888" s="26">
        <f t="shared" si="124"/>
        <v>0</v>
      </c>
    </row>
    <row r="3889" spans="2:12">
      <c r="B3889" s="4" t="e">
        <f t="shared" si="123"/>
        <v>#N/A</v>
      </c>
      <c r="C3889" s="4">
        <f>'Raw data'!E3465</f>
        <v>0</v>
      </c>
      <c r="D3889" s="29" t="e">
        <f>VLOOKUP(C3889,'점포코드 '!A:B,2,0)</f>
        <v>#N/A</v>
      </c>
      <c r="E3889" s="30">
        <f>'Raw data'!P3465</f>
        <v>0</v>
      </c>
      <c r="F3889" s="29" t="e">
        <f>VLOOKUP(E3889,'점포코드 '!A:B,2,0)</f>
        <v>#N/A</v>
      </c>
      <c r="G3889" s="46">
        <f>'Raw data'!F3798</f>
        <v>0</v>
      </c>
      <c r="H3889" s="4">
        <f>'Raw data'!G3798</f>
        <v>0</v>
      </c>
      <c r="I3889" s="29" t="e">
        <f>VLOOKUP(G3889,제품명!$C$1:$E$114,2,0)</f>
        <v>#N/A</v>
      </c>
      <c r="J3889" s="29">
        <f>'Raw data'!K3798</f>
        <v>0</v>
      </c>
      <c r="K3889" s="31">
        <f>'Raw data'!H3798</f>
        <v>0</v>
      </c>
      <c r="L3889" s="26">
        <f t="shared" si="124"/>
        <v>0</v>
      </c>
    </row>
    <row r="3890" spans="2:12">
      <c r="B3890" s="4" t="e">
        <f t="shared" si="123"/>
        <v>#N/A</v>
      </c>
      <c r="C3890" s="4">
        <f>'Raw data'!E3466</f>
        <v>0</v>
      </c>
      <c r="D3890" s="29" t="e">
        <f>VLOOKUP(C3890,'점포코드 '!A:B,2,0)</f>
        <v>#N/A</v>
      </c>
      <c r="E3890" s="30">
        <f>'Raw data'!P3466</f>
        <v>0</v>
      </c>
      <c r="F3890" s="29" t="e">
        <f>VLOOKUP(E3890,'점포코드 '!A:B,2,0)</f>
        <v>#N/A</v>
      </c>
      <c r="G3890" s="46">
        <f>'Raw data'!F3799</f>
        <v>0</v>
      </c>
      <c r="H3890" s="4">
        <f>'Raw data'!G3799</f>
        <v>0</v>
      </c>
      <c r="I3890" s="29" t="e">
        <f>VLOOKUP(G3890,제품명!$C$1:$E$114,2,0)</f>
        <v>#N/A</v>
      </c>
      <c r="J3890" s="29">
        <f>'Raw data'!K3799</f>
        <v>0</v>
      </c>
      <c r="K3890" s="31">
        <f>'Raw data'!H3799</f>
        <v>0</v>
      </c>
      <c r="L3890" s="26">
        <f t="shared" si="124"/>
        <v>0</v>
      </c>
    </row>
    <row r="3891" spans="2:12">
      <c r="B3891" s="4" t="e">
        <f t="shared" si="123"/>
        <v>#N/A</v>
      </c>
      <c r="C3891" s="4">
        <f>'Raw data'!E3467</f>
        <v>0</v>
      </c>
      <c r="D3891" s="29" t="e">
        <f>VLOOKUP(C3891,'점포코드 '!A:B,2,0)</f>
        <v>#N/A</v>
      </c>
      <c r="E3891" s="30">
        <f>'Raw data'!P3467</f>
        <v>0</v>
      </c>
      <c r="F3891" s="29" t="e">
        <f>VLOOKUP(E3891,'점포코드 '!A:B,2,0)</f>
        <v>#N/A</v>
      </c>
      <c r="G3891" s="46">
        <f>'Raw data'!F3800</f>
        <v>0</v>
      </c>
      <c r="H3891" s="4">
        <f>'Raw data'!G3800</f>
        <v>0</v>
      </c>
      <c r="I3891" s="29" t="e">
        <f>VLOOKUP(G3891,제품명!$C$1:$E$114,2,0)</f>
        <v>#N/A</v>
      </c>
      <c r="J3891" s="29">
        <f>'Raw data'!K3800</f>
        <v>0</v>
      </c>
      <c r="K3891" s="31">
        <f>'Raw data'!H3800</f>
        <v>0</v>
      </c>
      <c r="L3891" s="26">
        <f t="shared" si="124"/>
        <v>0</v>
      </c>
    </row>
    <row r="3892" spans="2:12">
      <c r="B3892" s="4" t="e">
        <f t="shared" si="123"/>
        <v>#N/A</v>
      </c>
      <c r="C3892" s="4">
        <f>'Raw data'!E3468</f>
        <v>0</v>
      </c>
      <c r="D3892" s="29" t="e">
        <f>VLOOKUP(C3892,'점포코드 '!A:B,2,0)</f>
        <v>#N/A</v>
      </c>
      <c r="E3892" s="30">
        <f>'Raw data'!P3468</f>
        <v>0</v>
      </c>
      <c r="F3892" s="29" t="e">
        <f>VLOOKUP(E3892,'점포코드 '!A:B,2,0)</f>
        <v>#N/A</v>
      </c>
      <c r="G3892" s="46">
        <f>'Raw data'!F3801</f>
        <v>0</v>
      </c>
      <c r="H3892" s="4">
        <f>'Raw data'!G3801</f>
        <v>0</v>
      </c>
      <c r="I3892" s="29" t="e">
        <f>VLOOKUP(G3892,제품명!$C$1:$E$114,2,0)</f>
        <v>#N/A</v>
      </c>
      <c r="J3892" s="29">
        <f>'Raw data'!K3801</f>
        <v>0</v>
      </c>
      <c r="K3892" s="31">
        <f>'Raw data'!H3801</f>
        <v>0</v>
      </c>
      <c r="L3892" s="26">
        <f t="shared" si="124"/>
        <v>0</v>
      </c>
    </row>
    <row r="3893" spans="2:12">
      <c r="B3893" s="4" t="e">
        <f t="shared" si="123"/>
        <v>#N/A</v>
      </c>
      <c r="C3893" s="4">
        <f>'Raw data'!E3469</f>
        <v>0</v>
      </c>
      <c r="D3893" s="29" t="e">
        <f>VLOOKUP(C3893,'점포코드 '!A:B,2,0)</f>
        <v>#N/A</v>
      </c>
      <c r="E3893" s="30">
        <f>'Raw data'!P3469</f>
        <v>0</v>
      </c>
      <c r="F3893" s="29" t="e">
        <f>VLOOKUP(E3893,'점포코드 '!A:B,2,0)</f>
        <v>#N/A</v>
      </c>
      <c r="G3893" s="46">
        <f>'Raw data'!F3802</f>
        <v>0</v>
      </c>
      <c r="H3893" s="4">
        <f>'Raw data'!G3802</f>
        <v>0</v>
      </c>
      <c r="I3893" s="29" t="e">
        <f>VLOOKUP(G3893,제품명!$C$1:$E$114,2,0)</f>
        <v>#N/A</v>
      </c>
      <c r="J3893" s="29">
        <f>'Raw data'!K3802</f>
        <v>0</v>
      </c>
      <c r="K3893" s="31">
        <f>'Raw data'!H3802</f>
        <v>0</v>
      </c>
      <c r="L3893" s="26">
        <f t="shared" si="124"/>
        <v>0</v>
      </c>
    </row>
    <row r="3894" spans="2:12">
      <c r="B3894" s="4" t="e">
        <f t="shared" si="123"/>
        <v>#N/A</v>
      </c>
      <c r="C3894" s="4">
        <f>'Raw data'!E3470</f>
        <v>0</v>
      </c>
      <c r="D3894" s="29" t="e">
        <f>VLOOKUP(C3894,'점포코드 '!A:B,2,0)</f>
        <v>#N/A</v>
      </c>
      <c r="E3894" s="30">
        <f>'Raw data'!P3470</f>
        <v>0</v>
      </c>
      <c r="F3894" s="29" t="e">
        <f>VLOOKUP(E3894,'점포코드 '!A:B,2,0)</f>
        <v>#N/A</v>
      </c>
      <c r="G3894" s="46">
        <f>'Raw data'!F3803</f>
        <v>0</v>
      </c>
      <c r="H3894" s="4">
        <f>'Raw data'!G3803</f>
        <v>0</v>
      </c>
      <c r="I3894" s="29" t="e">
        <f>VLOOKUP(G3894,제품명!$C$1:$E$114,2,0)</f>
        <v>#N/A</v>
      </c>
      <c r="J3894" s="29">
        <f>'Raw data'!K3803</f>
        <v>0</v>
      </c>
      <c r="K3894" s="31">
        <f>'Raw data'!H3803</f>
        <v>0</v>
      </c>
      <c r="L3894" s="26">
        <f t="shared" si="124"/>
        <v>0</v>
      </c>
    </row>
    <row r="3895" spans="2:12">
      <c r="B3895" s="4" t="e">
        <f t="shared" si="123"/>
        <v>#N/A</v>
      </c>
      <c r="C3895" s="4">
        <f>'Raw data'!E3471</f>
        <v>0</v>
      </c>
      <c r="D3895" s="29" t="e">
        <f>VLOOKUP(C3895,'점포코드 '!A:B,2,0)</f>
        <v>#N/A</v>
      </c>
      <c r="E3895" s="30">
        <f>'Raw data'!P3471</f>
        <v>0</v>
      </c>
      <c r="F3895" s="29" t="e">
        <f>VLOOKUP(E3895,'점포코드 '!A:B,2,0)</f>
        <v>#N/A</v>
      </c>
      <c r="G3895" s="46">
        <f>'Raw data'!F3804</f>
        <v>0</v>
      </c>
      <c r="H3895" s="4">
        <f>'Raw data'!G3804</f>
        <v>0</v>
      </c>
      <c r="I3895" s="29" t="e">
        <f>VLOOKUP(G3895,제품명!$C$1:$E$114,2,0)</f>
        <v>#N/A</v>
      </c>
      <c r="J3895" s="29">
        <f>'Raw data'!K3804</f>
        <v>0</v>
      </c>
      <c r="K3895" s="31">
        <f>'Raw data'!H3804</f>
        <v>0</v>
      </c>
      <c r="L3895" s="26">
        <f t="shared" si="124"/>
        <v>0</v>
      </c>
    </row>
    <row r="3896" spans="2:12">
      <c r="B3896" s="4" t="e">
        <f t="shared" si="123"/>
        <v>#N/A</v>
      </c>
      <c r="C3896" s="4">
        <f>'Raw data'!E3472</f>
        <v>0</v>
      </c>
      <c r="D3896" s="29" t="e">
        <f>VLOOKUP(C3896,'점포코드 '!A:B,2,0)</f>
        <v>#N/A</v>
      </c>
      <c r="E3896" s="30">
        <f>'Raw data'!P3472</f>
        <v>0</v>
      </c>
      <c r="F3896" s="29" t="e">
        <f>VLOOKUP(E3896,'점포코드 '!A:B,2,0)</f>
        <v>#N/A</v>
      </c>
      <c r="G3896" s="46">
        <f>'Raw data'!F3805</f>
        <v>0</v>
      </c>
      <c r="H3896" s="4">
        <f>'Raw data'!G3805</f>
        <v>0</v>
      </c>
      <c r="I3896" s="29" t="e">
        <f>VLOOKUP(G3896,제품명!$C$1:$E$114,2,0)</f>
        <v>#N/A</v>
      </c>
      <c r="J3896" s="29">
        <f>'Raw data'!K3805</f>
        <v>0</v>
      </c>
      <c r="K3896" s="31">
        <f>'Raw data'!H3805</f>
        <v>0</v>
      </c>
      <c r="L3896" s="26">
        <f t="shared" si="124"/>
        <v>0</v>
      </c>
    </row>
    <row r="3897" spans="2:12">
      <c r="B3897" s="4" t="e">
        <f t="shared" si="123"/>
        <v>#N/A</v>
      </c>
      <c r="C3897" s="4">
        <f>'Raw data'!E3473</f>
        <v>0</v>
      </c>
      <c r="D3897" s="29" t="e">
        <f>VLOOKUP(C3897,'점포코드 '!A:B,2,0)</f>
        <v>#N/A</v>
      </c>
      <c r="E3897" s="30">
        <f>'Raw data'!P3473</f>
        <v>0</v>
      </c>
      <c r="F3897" s="29" t="e">
        <f>VLOOKUP(E3897,'점포코드 '!A:B,2,0)</f>
        <v>#N/A</v>
      </c>
      <c r="G3897" s="46">
        <f>'Raw data'!F3806</f>
        <v>0</v>
      </c>
      <c r="H3897" s="4">
        <f>'Raw data'!G3806</f>
        <v>0</v>
      </c>
      <c r="I3897" s="29" t="e">
        <f>VLOOKUP(G3897,제품명!$C$1:$E$114,2,0)</f>
        <v>#N/A</v>
      </c>
      <c r="J3897" s="29">
        <f>'Raw data'!K3806</f>
        <v>0</v>
      </c>
      <c r="K3897" s="31">
        <f>'Raw data'!H3806</f>
        <v>0</v>
      </c>
      <c r="L3897" s="26">
        <f t="shared" si="124"/>
        <v>0</v>
      </c>
    </row>
    <row r="3898" spans="2:12">
      <c r="B3898" s="4" t="e">
        <f t="shared" si="123"/>
        <v>#N/A</v>
      </c>
      <c r="C3898" s="4">
        <f>'Raw data'!E3474</f>
        <v>0</v>
      </c>
      <c r="D3898" s="29" t="e">
        <f>VLOOKUP(C3898,'점포코드 '!A:B,2,0)</f>
        <v>#N/A</v>
      </c>
      <c r="E3898" s="30">
        <f>'Raw data'!P3474</f>
        <v>0</v>
      </c>
      <c r="F3898" s="29" t="e">
        <f>VLOOKUP(E3898,'점포코드 '!A:B,2,0)</f>
        <v>#N/A</v>
      </c>
      <c r="G3898" s="46">
        <f>'Raw data'!F3807</f>
        <v>0</v>
      </c>
      <c r="H3898" s="4">
        <f>'Raw data'!G3807</f>
        <v>0</v>
      </c>
      <c r="I3898" s="29" t="e">
        <f>VLOOKUP(G3898,제품명!$C$1:$E$114,2,0)</f>
        <v>#N/A</v>
      </c>
      <c r="J3898" s="29">
        <f>'Raw data'!K3807</f>
        <v>0</v>
      </c>
      <c r="K3898" s="31">
        <f>'Raw data'!H3807</f>
        <v>0</v>
      </c>
      <c r="L3898" s="26">
        <f t="shared" si="124"/>
        <v>0</v>
      </c>
    </row>
    <row r="3899" spans="2:12">
      <c r="B3899" s="4" t="e">
        <f t="shared" si="123"/>
        <v>#N/A</v>
      </c>
      <c r="C3899" s="4">
        <f>'Raw data'!E3475</f>
        <v>0</v>
      </c>
      <c r="D3899" s="29" t="e">
        <f>VLOOKUP(C3899,'점포코드 '!A:B,2,0)</f>
        <v>#N/A</v>
      </c>
      <c r="E3899" s="30">
        <f>'Raw data'!P3475</f>
        <v>0</v>
      </c>
      <c r="F3899" s="29" t="e">
        <f>VLOOKUP(E3899,'점포코드 '!A:B,2,0)</f>
        <v>#N/A</v>
      </c>
      <c r="G3899" s="46">
        <f>'Raw data'!F3808</f>
        <v>0</v>
      </c>
      <c r="H3899" s="4">
        <f>'Raw data'!G3808</f>
        <v>0</v>
      </c>
      <c r="I3899" s="29" t="e">
        <f>VLOOKUP(G3899,제품명!$C$1:$E$114,2,0)</f>
        <v>#N/A</v>
      </c>
      <c r="J3899" s="29">
        <f>'Raw data'!K3808</f>
        <v>0</v>
      </c>
      <c r="K3899" s="31">
        <f>'Raw data'!H3808</f>
        <v>0</v>
      </c>
      <c r="L3899" s="26">
        <f t="shared" si="124"/>
        <v>0</v>
      </c>
    </row>
    <row r="3900" spans="2:12">
      <c r="B3900" s="4" t="e">
        <f t="shared" si="123"/>
        <v>#N/A</v>
      </c>
      <c r="C3900" s="4">
        <f>'Raw data'!E3476</f>
        <v>0</v>
      </c>
      <c r="D3900" s="29" t="e">
        <f>VLOOKUP(C3900,'점포코드 '!A:B,2,0)</f>
        <v>#N/A</v>
      </c>
      <c r="E3900" s="30">
        <f>'Raw data'!P3476</f>
        <v>0</v>
      </c>
      <c r="F3900" s="29" t="e">
        <f>VLOOKUP(E3900,'점포코드 '!A:B,2,0)</f>
        <v>#N/A</v>
      </c>
      <c r="G3900" s="46">
        <f>'Raw data'!F3809</f>
        <v>0</v>
      </c>
      <c r="H3900" s="4">
        <f>'Raw data'!G3809</f>
        <v>0</v>
      </c>
      <c r="I3900" s="29" t="e">
        <f>VLOOKUP(G3900,제품명!$C$1:$E$114,2,0)</f>
        <v>#N/A</v>
      </c>
      <c r="J3900" s="29">
        <f>'Raw data'!K3809</f>
        <v>0</v>
      </c>
      <c r="K3900" s="31">
        <f>'Raw data'!H3809</f>
        <v>0</v>
      </c>
      <c r="L3900" s="26">
        <f t="shared" si="124"/>
        <v>0</v>
      </c>
    </row>
    <row r="3901" spans="2:12">
      <c r="B3901" s="4" t="e">
        <f t="shared" si="123"/>
        <v>#N/A</v>
      </c>
      <c r="C3901" s="4">
        <f>'Raw data'!E3477</f>
        <v>0</v>
      </c>
      <c r="D3901" s="29" t="e">
        <f>VLOOKUP(C3901,'점포코드 '!A:B,2,0)</f>
        <v>#N/A</v>
      </c>
      <c r="E3901" s="30">
        <f>'Raw data'!P3477</f>
        <v>0</v>
      </c>
      <c r="F3901" s="29" t="e">
        <f>VLOOKUP(E3901,'점포코드 '!A:B,2,0)</f>
        <v>#N/A</v>
      </c>
      <c r="G3901" s="46">
        <f>'Raw data'!F3810</f>
        <v>0</v>
      </c>
      <c r="H3901" s="4">
        <f>'Raw data'!G3810</f>
        <v>0</v>
      </c>
      <c r="I3901" s="29" t="e">
        <f>VLOOKUP(G3901,제품명!$C$1:$E$114,2,0)</f>
        <v>#N/A</v>
      </c>
      <c r="J3901" s="29">
        <f>'Raw data'!K3810</f>
        <v>0</v>
      </c>
      <c r="K3901" s="31">
        <f>'Raw data'!H3810</f>
        <v>0</v>
      </c>
      <c r="L3901" s="26">
        <f t="shared" si="124"/>
        <v>0</v>
      </c>
    </row>
    <row r="3902" spans="2:12">
      <c r="B3902" s="4" t="e">
        <f t="shared" si="123"/>
        <v>#N/A</v>
      </c>
      <c r="C3902" s="4">
        <f>'Raw data'!E3478</f>
        <v>0</v>
      </c>
      <c r="D3902" s="29" t="e">
        <f>VLOOKUP(C3902,'점포코드 '!A:B,2,0)</f>
        <v>#N/A</v>
      </c>
      <c r="E3902" s="30">
        <f>'Raw data'!P3478</f>
        <v>0</v>
      </c>
      <c r="F3902" s="29" t="e">
        <f>VLOOKUP(E3902,'점포코드 '!A:B,2,0)</f>
        <v>#N/A</v>
      </c>
      <c r="G3902" s="46">
        <f>'Raw data'!F3811</f>
        <v>0</v>
      </c>
      <c r="H3902" s="4">
        <f>'Raw data'!G3811</f>
        <v>0</v>
      </c>
      <c r="I3902" s="29" t="e">
        <f>VLOOKUP(G3902,제품명!$C$1:$E$114,2,0)</f>
        <v>#N/A</v>
      </c>
      <c r="J3902" s="29">
        <f>'Raw data'!K3811</f>
        <v>0</v>
      </c>
      <c r="K3902" s="31">
        <f>'Raw data'!H3811</f>
        <v>0</v>
      </c>
      <c r="L3902" s="26">
        <f t="shared" si="124"/>
        <v>0</v>
      </c>
    </row>
    <row r="3903" spans="2:12">
      <c r="B3903" s="4" t="e">
        <f t="shared" si="123"/>
        <v>#N/A</v>
      </c>
      <c r="C3903" s="4">
        <f>'Raw data'!E3479</f>
        <v>0</v>
      </c>
      <c r="D3903" s="29" t="e">
        <f>VLOOKUP(C3903,'점포코드 '!A:B,2,0)</f>
        <v>#N/A</v>
      </c>
      <c r="E3903" s="30">
        <f>'Raw data'!P3479</f>
        <v>0</v>
      </c>
      <c r="F3903" s="29" t="e">
        <f>VLOOKUP(E3903,'점포코드 '!A:B,2,0)</f>
        <v>#N/A</v>
      </c>
      <c r="G3903" s="46">
        <f>'Raw data'!F3812</f>
        <v>0</v>
      </c>
      <c r="H3903" s="4">
        <f>'Raw data'!G3812</f>
        <v>0</v>
      </c>
      <c r="I3903" s="29" t="e">
        <f>VLOOKUP(G3903,제품명!$C$1:$E$114,2,0)</f>
        <v>#N/A</v>
      </c>
      <c r="J3903" s="29">
        <f>'Raw data'!K3812</f>
        <v>0</v>
      </c>
      <c r="K3903" s="31">
        <f>'Raw data'!H3812</f>
        <v>0</v>
      </c>
      <c r="L3903" s="26">
        <f t="shared" si="124"/>
        <v>0</v>
      </c>
    </row>
    <row r="3904" spans="2:12">
      <c r="B3904" s="4" t="e">
        <f t="shared" si="123"/>
        <v>#N/A</v>
      </c>
      <c r="C3904" s="4">
        <f>'Raw data'!E3480</f>
        <v>0</v>
      </c>
      <c r="D3904" s="29" t="e">
        <f>VLOOKUP(C3904,'점포코드 '!A:B,2,0)</f>
        <v>#N/A</v>
      </c>
      <c r="E3904" s="30">
        <f>'Raw data'!P3480</f>
        <v>0</v>
      </c>
      <c r="F3904" s="29" t="e">
        <f>VLOOKUP(E3904,'점포코드 '!A:B,2,0)</f>
        <v>#N/A</v>
      </c>
      <c r="G3904" s="46">
        <f>'Raw data'!F3813</f>
        <v>0</v>
      </c>
      <c r="H3904" s="4">
        <f>'Raw data'!G3813</f>
        <v>0</v>
      </c>
      <c r="I3904" s="29" t="e">
        <f>VLOOKUP(G3904,제품명!$C$1:$E$114,2,0)</f>
        <v>#N/A</v>
      </c>
      <c r="J3904" s="29">
        <f>'Raw data'!K3813</f>
        <v>0</v>
      </c>
      <c r="K3904" s="31">
        <f>'Raw data'!H3813</f>
        <v>0</v>
      </c>
      <c r="L3904" s="26">
        <f t="shared" si="124"/>
        <v>0</v>
      </c>
    </row>
    <row r="3905" spans="2:12">
      <c r="B3905" s="4" t="e">
        <f t="shared" si="123"/>
        <v>#N/A</v>
      </c>
      <c r="C3905" s="4">
        <f>'Raw data'!E3481</f>
        <v>0</v>
      </c>
      <c r="D3905" s="29" t="e">
        <f>VLOOKUP(C3905,'점포코드 '!A:B,2,0)</f>
        <v>#N/A</v>
      </c>
      <c r="E3905" s="30">
        <f>'Raw data'!P3481</f>
        <v>0</v>
      </c>
      <c r="F3905" s="29" t="e">
        <f>VLOOKUP(E3905,'점포코드 '!A:B,2,0)</f>
        <v>#N/A</v>
      </c>
      <c r="G3905" s="46">
        <f>'Raw data'!F3814</f>
        <v>0</v>
      </c>
      <c r="H3905" s="4">
        <f>'Raw data'!G3814</f>
        <v>0</v>
      </c>
      <c r="I3905" s="29" t="e">
        <f>VLOOKUP(G3905,제품명!$C$1:$E$114,2,0)</f>
        <v>#N/A</v>
      </c>
      <c r="J3905" s="29">
        <f>'Raw data'!K3814</f>
        <v>0</v>
      </c>
      <c r="K3905" s="31">
        <f>'Raw data'!H3814</f>
        <v>0</v>
      </c>
      <c r="L3905" s="26">
        <f t="shared" si="124"/>
        <v>0</v>
      </c>
    </row>
    <row r="3906" spans="2:12">
      <c r="B3906" s="4" t="e">
        <f t="shared" ref="B3906:B3969" si="125">F3906&amp;I3906</f>
        <v>#N/A</v>
      </c>
      <c r="C3906" s="4">
        <f>'Raw data'!E3482</f>
        <v>0</v>
      </c>
      <c r="D3906" s="29" t="e">
        <f>VLOOKUP(C3906,'점포코드 '!A:B,2,0)</f>
        <v>#N/A</v>
      </c>
      <c r="E3906" s="30">
        <f>'Raw data'!P3482</f>
        <v>0</v>
      </c>
      <c r="F3906" s="29" t="e">
        <f>VLOOKUP(E3906,'점포코드 '!A:B,2,0)</f>
        <v>#N/A</v>
      </c>
      <c r="G3906" s="46">
        <f>'Raw data'!F3815</f>
        <v>0</v>
      </c>
      <c r="H3906" s="4">
        <f>'Raw data'!G3815</f>
        <v>0</v>
      </c>
      <c r="I3906" s="29" t="e">
        <f>VLOOKUP(G3906,제품명!$C$1:$E$114,2,0)</f>
        <v>#N/A</v>
      </c>
      <c r="J3906" s="29">
        <f>'Raw data'!K3815</f>
        <v>0</v>
      </c>
      <c r="K3906" s="31">
        <f>'Raw data'!H3815</f>
        <v>0</v>
      </c>
      <c r="L3906" s="26">
        <f t="shared" si="124"/>
        <v>0</v>
      </c>
    </row>
    <row r="3907" spans="2:12">
      <c r="B3907" s="4" t="e">
        <f t="shared" si="125"/>
        <v>#N/A</v>
      </c>
      <c r="C3907" s="4">
        <f>'Raw data'!E3483</f>
        <v>0</v>
      </c>
      <c r="D3907" s="29" t="e">
        <f>VLOOKUP(C3907,'점포코드 '!A:B,2,0)</f>
        <v>#N/A</v>
      </c>
      <c r="E3907" s="30">
        <f>'Raw data'!P3483</f>
        <v>0</v>
      </c>
      <c r="F3907" s="29" t="e">
        <f>VLOOKUP(E3907,'점포코드 '!A:B,2,0)</f>
        <v>#N/A</v>
      </c>
      <c r="G3907" s="46">
        <f>'Raw data'!F3816</f>
        <v>0</v>
      </c>
      <c r="H3907" s="4">
        <f>'Raw data'!G3816</f>
        <v>0</v>
      </c>
      <c r="I3907" s="29" t="e">
        <f>VLOOKUP(G3907,제품명!$C$1:$E$114,2,0)</f>
        <v>#N/A</v>
      </c>
      <c r="J3907" s="29">
        <f>'Raw data'!K3816</f>
        <v>0</v>
      </c>
      <c r="K3907" s="31">
        <f>'Raw data'!H3816</f>
        <v>0</v>
      </c>
      <c r="L3907" s="26">
        <f t="shared" ref="L3907:L3970" si="126">J3907*K3907</f>
        <v>0</v>
      </c>
    </row>
    <row r="3908" spans="2:12">
      <c r="B3908" s="4" t="e">
        <f t="shared" si="125"/>
        <v>#N/A</v>
      </c>
      <c r="C3908" s="4">
        <f>'Raw data'!E3484</f>
        <v>0</v>
      </c>
      <c r="D3908" s="29" t="e">
        <f>VLOOKUP(C3908,'점포코드 '!A:B,2,0)</f>
        <v>#N/A</v>
      </c>
      <c r="E3908" s="30">
        <f>'Raw data'!P3484</f>
        <v>0</v>
      </c>
      <c r="F3908" s="29" t="e">
        <f>VLOOKUP(E3908,'점포코드 '!A:B,2,0)</f>
        <v>#N/A</v>
      </c>
      <c r="G3908" s="46">
        <f>'Raw data'!F3817</f>
        <v>0</v>
      </c>
      <c r="H3908" s="4">
        <f>'Raw data'!G3817</f>
        <v>0</v>
      </c>
      <c r="I3908" s="29" t="e">
        <f>VLOOKUP(G3908,제품명!$C$1:$E$114,2,0)</f>
        <v>#N/A</v>
      </c>
      <c r="J3908" s="29">
        <f>'Raw data'!K3817</f>
        <v>0</v>
      </c>
      <c r="K3908" s="31">
        <f>'Raw data'!H3817</f>
        <v>0</v>
      </c>
      <c r="L3908" s="26">
        <f t="shared" si="126"/>
        <v>0</v>
      </c>
    </row>
    <row r="3909" spans="2:12">
      <c r="B3909" s="4" t="e">
        <f t="shared" si="125"/>
        <v>#N/A</v>
      </c>
      <c r="C3909" s="4">
        <f>'Raw data'!E3485</f>
        <v>0</v>
      </c>
      <c r="D3909" s="29" t="e">
        <f>VLOOKUP(C3909,'점포코드 '!A:B,2,0)</f>
        <v>#N/A</v>
      </c>
      <c r="E3909" s="30">
        <f>'Raw data'!P3485</f>
        <v>0</v>
      </c>
      <c r="F3909" s="29" t="e">
        <f>VLOOKUP(E3909,'점포코드 '!A:B,2,0)</f>
        <v>#N/A</v>
      </c>
      <c r="G3909" s="46">
        <f>'Raw data'!F3818</f>
        <v>0</v>
      </c>
      <c r="H3909" s="4">
        <f>'Raw data'!G3818</f>
        <v>0</v>
      </c>
      <c r="I3909" s="29" t="e">
        <f>VLOOKUP(G3909,제품명!$C$1:$E$114,2,0)</f>
        <v>#N/A</v>
      </c>
      <c r="J3909" s="29">
        <f>'Raw data'!K3818</f>
        <v>0</v>
      </c>
      <c r="K3909" s="31">
        <f>'Raw data'!H3818</f>
        <v>0</v>
      </c>
      <c r="L3909" s="26">
        <f t="shared" si="126"/>
        <v>0</v>
      </c>
    </row>
    <row r="3910" spans="2:12">
      <c r="B3910" s="4" t="e">
        <f t="shared" si="125"/>
        <v>#N/A</v>
      </c>
      <c r="C3910" s="4">
        <f>'Raw data'!E3486</f>
        <v>0</v>
      </c>
      <c r="D3910" s="29" t="e">
        <f>VLOOKUP(C3910,'점포코드 '!A:B,2,0)</f>
        <v>#N/A</v>
      </c>
      <c r="E3910" s="30">
        <f>'Raw data'!P3486</f>
        <v>0</v>
      </c>
      <c r="F3910" s="29" t="e">
        <f>VLOOKUP(E3910,'점포코드 '!A:B,2,0)</f>
        <v>#N/A</v>
      </c>
      <c r="G3910" s="46">
        <f>'Raw data'!F3819</f>
        <v>0</v>
      </c>
      <c r="H3910" s="4">
        <f>'Raw data'!G3819</f>
        <v>0</v>
      </c>
      <c r="I3910" s="29" t="e">
        <f>VLOOKUP(G3910,제품명!$C$1:$E$114,2,0)</f>
        <v>#N/A</v>
      </c>
      <c r="J3910" s="29">
        <f>'Raw data'!K3819</f>
        <v>0</v>
      </c>
      <c r="K3910" s="31">
        <f>'Raw data'!H3819</f>
        <v>0</v>
      </c>
      <c r="L3910" s="26">
        <f t="shared" si="126"/>
        <v>0</v>
      </c>
    </row>
    <row r="3911" spans="2:12">
      <c r="B3911" s="4" t="e">
        <f t="shared" si="125"/>
        <v>#N/A</v>
      </c>
      <c r="C3911" s="4">
        <f>'Raw data'!E3487</f>
        <v>0</v>
      </c>
      <c r="D3911" s="29" t="e">
        <f>VLOOKUP(C3911,'점포코드 '!A:B,2,0)</f>
        <v>#N/A</v>
      </c>
      <c r="E3911" s="30">
        <f>'Raw data'!P3487</f>
        <v>0</v>
      </c>
      <c r="F3911" s="29" t="e">
        <f>VLOOKUP(E3911,'점포코드 '!A:B,2,0)</f>
        <v>#N/A</v>
      </c>
      <c r="G3911" s="46">
        <f>'Raw data'!F3820</f>
        <v>0</v>
      </c>
      <c r="H3911" s="4">
        <f>'Raw data'!G3820</f>
        <v>0</v>
      </c>
      <c r="I3911" s="29" t="e">
        <f>VLOOKUP(G3911,제품명!$C$1:$E$114,2,0)</f>
        <v>#N/A</v>
      </c>
      <c r="J3911" s="29">
        <f>'Raw data'!K3820</f>
        <v>0</v>
      </c>
      <c r="K3911" s="31">
        <f>'Raw data'!H3820</f>
        <v>0</v>
      </c>
      <c r="L3911" s="26">
        <f t="shared" si="126"/>
        <v>0</v>
      </c>
    </row>
    <row r="3912" spans="2:12">
      <c r="B3912" s="4" t="e">
        <f t="shared" si="125"/>
        <v>#N/A</v>
      </c>
      <c r="C3912" s="4">
        <f>'Raw data'!E3488</f>
        <v>0</v>
      </c>
      <c r="D3912" s="29" t="e">
        <f>VLOOKUP(C3912,'점포코드 '!A:B,2,0)</f>
        <v>#N/A</v>
      </c>
      <c r="E3912" s="30">
        <f>'Raw data'!P3488</f>
        <v>0</v>
      </c>
      <c r="F3912" s="29" t="e">
        <f>VLOOKUP(E3912,'점포코드 '!A:B,2,0)</f>
        <v>#N/A</v>
      </c>
      <c r="G3912" s="46">
        <f>'Raw data'!F3821</f>
        <v>0</v>
      </c>
      <c r="H3912" s="4">
        <f>'Raw data'!G3821</f>
        <v>0</v>
      </c>
      <c r="I3912" s="29" t="e">
        <f>VLOOKUP(G3912,제품명!$C$1:$E$114,2,0)</f>
        <v>#N/A</v>
      </c>
      <c r="J3912" s="29">
        <f>'Raw data'!K3821</f>
        <v>0</v>
      </c>
      <c r="K3912" s="31">
        <f>'Raw data'!H3821</f>
        <v>0</v>
      </c>
      <c r="L3912" s="26">
        <f t="shared" si="126"/>
        <v>0</v>
      </c>
    </row>
    <row r="3913" spans="2:12">
      <c r="B3913" s="4" t="e">
        <f t="shared" si="125"/>
        <v>#N/A</v>
      </c>
      <c r="C3913" s="4">
        <f>'Raw data'!E3489</f>
        <v>0</v>
      </c>
      <c r="D3913" s="29" t="e">
        <f>VLOOKUP(C3913,'점포코드 '!A:B,2,0)</f>
        <v>#N/A</v>
      </c>
      <c r="E3913" s="30">
        <f>'Raw data'!P3489</f>
        <v>0</v>
      </c>
      <c r="F3913" s="29" t="e">
        <f>VLOOKUP(E3913,'점포코드 '!A:B,2,0)</f>
        <v>#N/A</v>
      </c>
      <c r="G3913" s="46">
        <f>'Raw data'!F3822</f>
        <v>0</v>
      </c>
      <c r="H3913" s="4">
        <f>'Raw data'!G3822</f>
        <v>0</v>
      </c>
      <c r="I3913" s="29" t="e">
        <f>VLOOKUP(G3913,제품명!$C$1:$E$114,2,0)</f>
        <v>#N/A</v>
      </c>
      <c r="J3913" s="29">
        <f>'Raw data'!K3822</f>
        <v>0</v>
      </c>
      <c r="K3913" s="31">
        <f>'Raw data'!H3822</f>
        <v>0</v>
      </c>
      <c r="L3913" s="26">
        <f t="shared" si="126"/>
        <v>0</v>
      </c>
    </row>
    <row r="3914" spans="2:12">
      <c r="B3914" s="4" t="e">
        <f t="shared" si="125"/>
        <v>#N/A</v>
      </c>
      <c r="C3914" s="4">
        <f>'Raw data'!E3490</f>
        <v>0</v>
      </c>
      <c r="D3914" s="29" t="e">
        <f>VLOOKUP(C3914,'점포코드 '!A:B,2,0)</f>
        <v>#N/A</v>
      </c>
      <c r="E3914" s="30">
        <f>'Raw data'!P3490</f>
        <v>0</v>
      </c>
      <c r="F3914" s="29" t="e">
        <f>VLOOKUP(E3914,'점포코드 '!A:B,2,0)</f>
        <v>#N/A</v>
      </c>
      <c r="G3914" s="46">
        <f>'Raw data'!F3823</f>
        <v>0</v>
      </c>
      <c r="H3914" s="4">
        <f>'Raw data'!G3823</f>
        <v>0</v>
      </c>
      <c r="I3914" s="29" t="e">
        <f>VLOOKUP(G3914,제품명!$C$1:$E$114,2,0)</f>
        <v>#N/A</v>
      </c>
      <c r="J3914" s="29">
        <f>'Raw data'!K3823</f>
        <v>0</v>
      </c>
      <c r="K3914" s="31">
        <f>'Raw data'!H3823</f>
        <v>0</v>
      </c>
      <c r="L3914" s="26">
        <f t="shared" si="126"/>
        <v>0</v>
      </c>
    </row>
    <row r="3915" spans="2:12">
      <c r="B3915" s="4" t="e">
        <f t="shared" si="125"/>
        <v>#N/A</v>
      </c>
      <c r="C3915" s="4">
        <f>'Raw data'!E3491</f>
        <v>0</v>
      </c>
      <c r="D3915" s="29" t="e">
        <f>VLOOKUP(C3915,'점포코드 '!A:B,2,0)</f>
        <v>#N/A</v>
      </c>
      <c r="E3915" s="30">
        <f>'Raw data'!P3491</f>
        <v>0</v>
      </c>
      <c r="F3915" s="29" t="e">
        <f>VLOOKUP(E3915,'점포코드 '!A:B,2,0)</f>
        <v>#N/A</v>
      </c>
      <c r="G3915" s="46">
        <f>'Raw data'!F3824</f>
        <v>0</v>
      </c>
      <c r="H3915" s="4">
        <f>'Raw data'!G3824</f>
        <v>0</v>
      </c>
      <c r="I3915" s="29" t="e">
        <f>VLOOKUP(G3915,제품명!$C$1:$E$114,2,0)</f>
        <v>#N/A</v>
      </c>
      <c r="J3915" s="29">
        <f>'Raw data'!K3824</f>
        <v>0</v>
      </c>
      <c r="K3915" s="31">
        <f>'Raw data'!H3824</f>
        <v>0</v>
      </c>
      <c r="L3915" s="26">
        <f t="shared" si="126"/>
        <v>0</v>
      </c>
    </row>
    <row r="3916" spans="2:12">
      <c r="B3916" s="4" t="e">
        <f t="shared" si="125"/>
        <v>#N/A</v>
      </c>
      <c r="C3916" s="4">
        <f>'Raw data'!E3492</f>
        <v>0</v>
      </c>
      <c r="D3916" s="29" t="e">
        <f>VLOOKUP(C3916,'점포코드 '!A:B,2,0)</f>
        <v>#N/A</v>
      </c>
      <c r="E3916" s="30">
        <f>'Raw data'!P3492</f>
        <v>0</v>
      </c>
      <c r="F3916" s="29" t="e">
        <f>VLOOKUP(E3916,'점포코드 '!A:B,2,0)</f>
        <v>#N/A</v>
      </c>
      <c r="G3916" s="46">
        <f>'Raw data'!F3825</f>
        <v>0</v>
      </c>
      <c r="H3916" s="4">
        <f>'Raw data'!G3825</f>
        <v>0</v>
      </c>
      <c r="I3916" s="29" t="e">
        <f>VLOOKUP(G3916,제품명!$C$1:$E$114,2,0)</f>
        <v>#N/A</v>
      </c>
      <c r="J3916" s="29">
        <f>'Raw data'!K3825</f>
        <v>0</v>
      </c>
      <c r="K3916" s="31">
        <f>'Raw data'!H3825</f>
        <v>0</v>
      </c>
      <c r="L3916" s="26">
        <f t="shared" si="126"/>
        <v>0</v>
      </c>
    </row>
    <row r="3917" spans="2:12">
      <c r="B3917" s="4" t="e">
        <f t="shared" si="125"/>
        <v>#N/A</v>
      </c>
      <c r="C3917" s="4">
        <f>'Raw data'!E3493</f>
        <v>0</v>
      </c>
      <c r="D3917" s="29" t="e">
        <f>VLOOKUP(C3917,'점포코드 '!A:B,2,0)</f>
        <v>#N/A</v>
      </c>
      <c r="E3917" s="30">
        <f>'Raw data'!P3493</f>
        <v>0</v>
      </c>
      <c r="F3917" s="29" t="e">
        <f>VLOOKUP(E3917,'점포코드 '!A:B,2,0)</f>
        <v>#N/A</v>
      </c>
      <c r="G3917" s="46">
        <f>'Raw data'!F3826</f>
        <v>0</v>
      </c>
      <c r="H3917" s="4">
        <f>'Raw data'!G3826</f>
        <v>0</v>
      </c>
      <c r="I3917" s="29" t="e">
        <f>VLOOKUP(G3917,제품명!$C$1:$E$114,2,0)</f>
        <v>#N/A</v>
      </c>
      <c r="J3917" s="29">
        <f>'Raw data'!K3826</f>
        <v>0</v>
      </c>
      <c r="K3917" s="31">
        <f>'Raw data'!H3826</f>
        <v>0</v>
      </c>
      <c r="L3917" s="26">
        <f t="shared" si="126"/>
        <v>0</v>
      </c>
    </row>
    <row r="3918" spans="2:12">
      <c r="B3918" s="4" t="e">
        <f t="shared" si="125"/>
        <v>#N/A</v>
      </c>
      <c r="C3918" s="4">
        <f>'Raw data'!E3494</f>
        <v>0</v>
      </c>
      <c r="D3918" s="29" t="e">
        <f>VLOOKUP(C3918,'점포코드 '!A:B,2,0)</f>
        <v>#N/A</v>
      </c>
      <c r="E3918" s="30">
        <f>'Raw data'!P3494</f>
        <v>0</v>
      </c>
      <c r="F3918" s="29" t="e">
        <f>VLOOKUP(E3918,'점포코드 '!A:B,2,0)</f>
        <v>#N/A</v>
      </c>
      <c r="G3918" s="46">
        <f>'Raw data'!F3827</f>
        <v>0</v>
      </c>
      <c r="H3918" s="4">
        <f>'Raw data'!G3827</f>
        <v>0</v>
      </c>
      <c r="I3918" s="29" t="e">
        <f>VLOOKUP(G3918,제품명!$C$1:$E$114,2,0)</f>
        <v>#N/A</v>
      </c>
      <c r="J3918" s="29">
        <f>'Raw data'!K3827</f>
        <v>0</v>
      </c>
      <c r="K3918" s="31">
        <f>'Raw data'!H3827</f>
        <v>0</v>
      </c>
      <c r="L3918" s="26">
        <f t="shared" si="126"/>
        <v>0</v>
      </c>
    </row>
    <row r="3919" spans="2:12">
      <c r="B3919" s="4" t="e">
        <f t="shared" si="125"/>
        <v>#N/A</v>
      </c>
      <c r="C3919" s="4">
        <f>'Raw data'!E3495</f>
        <v>0</v>
      </c>
      <c r="D3919" s="29" t="e">
        <f>VLOOKUP(C3919,'점포코드 '!A:B,2,0)</f>
        <v>#N/A</v>
      </c>
      <c r="E3919" s="30">
        <f>'Raw data'!P3495</f>
        <v>0</v>
      </c>
      <c r="F3919" s="29" t="e">
        <f>VLOOKUP(E3919,'점포코드 '!A:B,2,0)</f>
        <v>#N/A</v>
      </c>
      <c r="G3919" s="46">
        <f>'Raw data'!F3828</f>
        <v>0</v>
      </c>
      <c r="H3919" s="4">
        <f>'Raw data'!G3828</f>
        <v>0</v>
      </c>
      <c r="I3919" s="29" t="e">
        <f>VLOOKUP(G3919,제품명!$C$1:$E$114,2,0)</f>
        <v>#N/A</v>
      </c>
      <c r="J3919" s="29">
        <f>'Raw data'!K3828</f>
        <v>0</v>
      </c>
      <c r="K3919" s="31">
        <f>'Raw data'!H3828</f>
        <v>0</v>
      </c>
      <c r="L3919" s="26">
        <f t="shared" si="126"/>
        <v>0</v>
      </c>
    </row>
    <row r="3920" spans="2:12">
      <c r="B3920" s="4" t="e">
        <f t="shared" si="125"/>
        <v>#N/A</v>
      </c>
      <c r="C3920" s="4">
        <f>'Raw data'!E3496</f>
        <v>0</v>
      </c>
      <c r="D3920" s="29" t="e">
        <f>VLOOKUP(C3920,'점포코드 '!A:B,2,0)</f>
        <v>#N/A</v>
      </c>
      <c r="E3920" s="30">
        <f>'Raw data'!P3496</f>
        <v>0</v>
      </c>
      <c r="F3920" s="29" t="e">
        <f>VLOOKUP(E3920,'점포코드 '!A:B,2,0)</f>
        <v>#N/A</v>
      </c>
      <c r="G3920" s="46">
        <f>'Raw data'!F3829</f>
        <v>0</v>
      </c>
      <c r="H3920" s="4">
        <f>'Raw data'!G3829</f>
        <v>0</v>
      </c>
      <c r="I3920" s="29" t="e">
        <f>VLOOKUP(G3920,제품명!$C$1:$E$114,2,0)</f>
        <v>#N/A</v>
      </c>
      <c r="J3920" s="29">
        <f>'Raw data'!K3829</f>
        <v>0</v>
      </c>
      <c r="K3920" s="31">
        <f>'Raw data'!H3829</f>
        <v>0</v>
      </c>
      <c r="L3920" s="26">
        <f t="shared" si="126"/>
        <v>0</v>
      </c>
    </row>
    <row r="3921" spans="2:12">
      <c r="B3921" s="4" t="e">
        <f t="shared" si="125"/>
        <v>#N/A</v>
      </c>
      <c r="C3921" s="4">
        <f>'Raw data'!E3497</f>
        <v>0</v>
      </c>
      <c r="D3921" s="29" t="e">
        <f>VLOOKUP(C3921,'점포코드 '!A:B,2,0)</f>
        <v>#N/A</v>
      </c>
      <c r="E3921" s="30">
        <f>'Raw data'!P3497</f>
        <v>0</v>
      </c>
      <c r="F3921" s="29" t="e">
        <f>VLOOKUP(E3921,'점포코드 '!A:B,2,0)</f>
        <v>#N/A</v>
      </c>
      <c r="G3921" s="46">
        <f>'Raw data'!F3830</f>
        <v>0</v>
      </c>
      <c r="H3921" s="4">
        <f>'Raw data'!G3830</f>
        <v>0</v>
      </c>
      <c r="I3921" s="29" t="e">
        <f>VLOOKUP(G3921,제품명!$C$1:$E$114,2,0)</f>
        <v>#N/A</v>
      </c>
      <c r="J3921" s="29">
        <f>'Raw data'!K3830</f>
        <v>0</v>
      </c>
      <c r="K3921" s="31">
        <f>'Raw data'!H3830</f>
        <v>0</v>
      </c>
      <c r="L3921" s="26">
        <f t="shared" si="126"/>
        <v>0</v>
      </c>
    </row>
    <row r="3922" spans="2:12">
      <c r="B3922" s="4" t="e">
        <f t="shared" si="125"/>
        <v>#N/A</v>
      </c>
      <c r="C3922" s="4">
        <f>'Raw data'!E3498</f>
        <v>0</v>
      </c>
      <c r="D3922" s="29" t="e">
        <f>VLOOKUP(C3922,'점포코드 '!A:B,2,0)</f>
        <v>#N/A</v>
      </c>
      <c r="E3922" s="30">
        <f>'Raw data'!P3498</f>
        <v>0</v>
      </c>
      <c r="F3922" s="29" t="e">
        <f>VLOOKUP(E3922,'점포코드 '!A:B,2,0)</f>
        <v>#N/A</v>
      </c>
      <c r="G3922" s="46">
        <f>'Raw data'!F3831</f>
        <v>0</v>
      </c>
      <c r="H3922" s="4">
        <f>'Raw data'!G3831</f>
        <v>0</v>
      </c>
      <c r="I3922" s="29" t="e">
        <f>VLOOKUP(G3922,제품명!$C$1:$E$114,2,0)</f>
        <v>#N/A</v>
      </c>
      <c r="J3922" s="29">
        <f>'Raw data'!K3831</f>
        <v>0</v>
      </c>
      <c r="K3922" s="31">
        <f>'Raw data'!H3831</f>
        <v>0</v>
      </c>
      <c r="L3922" s="26">
        <f t="shared" si="126"/>
        <v>0</v>
      </c>
    </row>
    <row r="3923" spans="2:12">
      <c r="B3923" s="4" t="e">
        <f t="shared" si="125"/>
        <v>#N/A</v>
      </c>
      <c r="C3923" s="4">
        <f>'Raw data'!E3499</f>
        <v>0</v>
      </c>
      <c r="D3923" s="29" t="e">
        <f>VLOOKUP(C3923,'점포코드 '!A:B,2,0)</f>
        <v>#N/A</v>
      </c>
      <c r="E3923" s="30">
        <f>'Raw data'!P3499</f>
        <v>0</v>
      </c>
      <c r="F3923" s="29" t="e">
        <f>VLOOKUP(E3923,'점포코드 '!A:B,2,0)</f>
        <v>#N/A</v>
      </c>
      <c r="G3923" s="46">
        <f>'Raw data'!F3832</f>
        <v>0</v>
      </c>
      <c r="H3923" s="4">
        <f>'Raw data'!G3832</f>
        <v>0</v>
      </c>
      <c r="I3923" s="29" t="e">
        <f>VLOOKUP(G3923,제품명!$C$1:$E$114,2,0)</f>
        <v>#N/A</v>
      </c>
      <c r="J3923" s="29">
        <f>'Raw data'!K3832</f>
        <v>0</v>
      </c>
      <c r="K3923" s="31">
        <f>'Raw data'!H3832</f>
        <v>0</v>
      </c>
      <c r="L3923" s="26">
        <f t="shared" si="126"/>
        <v>0</v>
      </c>
    </row>
    <row r="3924" spans="2:12">
      <c r="B3924" s="4" t="e">
        <f t="shared" si="125"/>
        <v>#N/A</v>
      </c>
      <c r="C3924" s="4">
        <f>'Raw data'!E3500</f>
        <v>0</v>
      </c>
      <c r="D3924" s="29" t="e">
        <f>VLOOKUP(C3924,'점포코드 '!A:B,2,0)</f>
        <v>#N/A</v>
      </c>
      <c r="E3924" s="30">
        <f>'Raw data'!P3500</f>
        <v>0</v>
      </c>
      <c r="F3924" s="29" t="e">
        <f>VLOOKUP(E3924,'점포코드 '!A:B,2,0)</f>
        <v>#N/A</v>
      </c>
      <c r="G3924" s="46">
        <f>'Raw data'!F3833</f>
        <v>0</v>
      </c>
      <c r="H3924" s="4">
        <f>'Raw data'!G3833</f>
        <v>0</v>
      </c>
      <c r="I3924" s="29" t="e">
        <f>VLOOKUP(G3924,제품명!$C$1:$E$114,2,0)</f>
        <v>#N/A</v>
      </c>
      <c r="J3924" s="29">
        <f>'Raw data'!K3833</f>
        <v>0</v>
      </c>
      <c r="K3924" s="31">
        <f>'Raw data'!H3833</f>
        <v>0</v>
      </c>
      <c r="L3924" s="26">
        <f t="shared" si="126"/>
        <v>0</v>
      </c>
    </row>
    <row r="3925" spans="2:12">
      <c r="B3925" s="4" t="e">
        <f t="shared" si="125"/>
        <v>#N/A</v>
      </c>
      <c r="C3925" s="4">
        <f>'Raw data'!E3501</f>
        <v>0</v>
      </c>
      <c r="D3925" s="29" t="e">
        <f>VLOOKUP(C3925,'점포코드 '!A:B,2,0)</f>
        <v>#N/A</v>
      </c>
      <c r="E3925" s="30">
        <f>'Raw data'!P3501</f>
        <v>0</v>
      </c>
      <c r="F3925" s="29" t="e">
        <f>VLOOKUP(E3925,'점포코드 '!A:B,2,0)</f>
        <v>#N/A</v>
      </c>
      <c r="G3925" s="46">
        <f>'Raw data'!F3834</f>
        <v>0</v>
      </c>
      <c r="H3925" s="4">
        <f>'Raw data'!G3834</f>
        <v>0</v>
      </c>
      <c r="I3925" s="29" t="e">
        <f>VLOOKUP(G3925,제품명!$C$1:$E$114,2,0)</f>
        <v>#N/A</v>
      </c>
      <c r="J3925" s="29">
        <f>'Raw data'!K3834</f>
        <v>0</v>
      </c>
      <c r="K3925" s="31">
        <f>'Raw data'!H3834</f>
        <v>0</v>
      </c>
      <c r="L3925" s="26">
        <f t="shared" si="126"/>
        <v>0</v>
      </c>
    </row>
    <row r="3926" spans="2:12">
      <c r="B3926" s="4" t="e">
        <f t="shared" si="125"/>
        <v>#N/A</v>
      </c>
      <c r="C3926" s="4">
        <f>'Raw data'!E3502</f>
        <v>0</v>
      </c>
      <c r="D3926" s="29" t="e">
        <f>VLOOKUP(C3926,'점포코드 '!A:B,2,0)</f>
        <v>#N/A</v>
      </c>
      <c r="E3926" s="30">
        <f>'Raw data'!P3502</f>
        <v>0</v>
      </c>
      <c r="F3926" s="29" t="e">
        <f>VLOOKUP(E3926,'점포코드 '!A:B,2,0)</f>
        <v>#N/A</v>
      </c>
      <c r="G3926" s="46">
        <f>'Raw data'!F3835</f>
        <v>0</v>
      </c>
      <c r="H3926" s="4">
        <f>'Raw data'!G3835</f>
        <v>0</v>
      </c>
      <c r="I3926" s="29" t="e">
        <f>VLOOKUP(G3926,제품명!$C$1:$E$114,2,0)</f>
        <v>#N/A</v>
      </c>
      <c r="J3926" s="29">
        <f>'Raw data'!K3835</f>
        <v>0</v>
      </c>
      <c r="K3926" s="31">
        <f>'Raw data'!H3835</f>
        <v>0</v>
      </c>
      <c r="L3926" s="26">
        <f t="shared" si="126"/>
        <v>0</v>
      </c>
    </row>
    <row r="3927" spans="2:12">
      <c r="B3927" s="4" t="e">
        <f t="shared" si="125"/>
        <v>#N/A</v>
      </c>
      <c r="C3927" s="4">
        <f>'Raw data'!E3503</f>
        <v>0</v>
      </c>
      <c r="D3927" s="29" t="e">
        <f>VLOOKUP(C3927,'점포코드 '!A:B,2,0)</f>
        <v>#N/A</v>
      </c>
      <c r="E3927" s="30">
        <f>'Raw data'!P3503</f>
        <v>0</v>
      </c>
      <c r="F3927" s="29" t="e">
        <f>VLOOKUP(E3927,'점포코드 '!A:B,2,0)</f>
        <v>#N/A</v>
      </c>
      <c r="G3927" s="46">
        <f>'Raw data'!F3836</f>
        <v>0</v>
      </c>
      <c r="H3927" s="4">
        <f>'Raw data'!G3836</f>
        <v>0</v>
      </c>
      <c r="I3927" s="29" t="e">
        <f>VLOOKUP(G3927,제품명!$C$1:$E$114,2,0)</f>
        <v>#N/A</v>
      </c>
      <c r="J3927" s="29">
        <f>'Raw data'!K3836</f>
        <v>0</v>
      </c>
      <c r="K3927" s="31">
        <f>'Raw data'!H3836</f>
        <v>0</v>
      </c>
      <c r="L3927" s="26">
        <f t="shared" si="126"/>
        <v>0</v>
      </c>
    </row>
    <row r="3928" spans="2:12">
      <c r="B3928" s="4" t="e">
        <f t="shared" si="125"/>
        <v>#N/A</v>
      </c>
      <c r="C3928" s="4">
        <f>'Raw data'!E3504</f>
        <v>0</v>
      </c>
      <c r="D3928" s="29" t="e">
        <f>VLOOKUP(C3928,'점포코드 '!A:B,2,0)</f>
        <v>#N/A</v>
      </c>
      <c r="E3928" s="30">
        <f>'Raw data'!P3504</f>
        <v>0</v>
      </c>
      <c r="F3928" s="29" t="e">
        <f>VLOOKUP(E3928,'점포코드 '!A:B,2,0)</f>
        <v>#N/A</v>
      </c>
      <c r="G3928" s="46">
        <f>'Raw data'!F3837</f>
        <v>0</v>
      </c>
      <c r="H3928" s="4">
        <f>'Raw data'!G3837</f>
        <v>0</v>
      </c>
      <c r="I3928" s="29" t="e">
        <f>VLOOKUP(G3928,제품명!$C$1:$E$114,2,0)</f>
        <v>#N/A</v>
      </c>
      <c r="J3928" s="29">
        <f>'Raw data'!K3837</f>
        <v>0</v>
      </c>
      <c r="K3928" s="31">
        <f>'Raw data'!H3837</f>
        <v>0</v>
      </c>
      <c r="L3928" s="26">
        <f t="shared" si="126"/>
        <v>0</v>
      </c>
    </row>
    <row r="3929" spans="2:12">
      <c r="B3929" s="4" t="e">
        <f t="shared" si="125"/>
        <v>#N/A</v>
      </c>
      <c r="C3929" s="4">
        <f>'Raw data'!E3505</f>
        <v>0</v>
      </c>
      <c r="D3929" s="29" t="e">
        <f>VLOOKUP(C3929,'점포코드 '!A:B,2,0)</f>
        <v>#N/A</v>
      </c>
      <c r="E3929" s="30">
        <f>'Raw data'!P3505</f>
        <v>0</v>
      </c>
      <c r="F3929" s="29" t="e">
        <f>VLOOKUP(E3929,'점포코드 '!A:B,2,0)</f>
        <v>#N/A</v>
      </c>
      <c r="G3929" s="46">
        <f>'Raw data'!F3838</f>
        <v>0</v>
      </c>
      <c r="H3929" s="4">
        <f>'Raw data'!G3838</f>
        <v>0</v>
      </c>
      <c r="I3929" s="29" t="e">
        <f>VLOOKUP(G3929,제품명!$C$1:$E$114,2,0)</f>
        <v>#N/A</v>
      </c>
      <c r="J3929" s="29">
        <f>'Raw data'!K3838</f>
        <v>0</v>
      </c>
      <c r="K3929" s="31">
        <f>'Raw data'!H3838</f>
        <v>0</v>
      </c>
      <c r="L3929" s="26">
        <f t="shared" si="126"/>
        <v>0</v>
      </c>
    </row>
    <row r="3930" spans="2:12">
      <c r="B3930" s="4" t="e">
        <f t="shared" si="125"/>
        <v>#N/A</v>
      </c>
      <c r="C3930" s="4">
        <f>'Raw data'!E3506</f>
        <v>0</v>
      </c>
      <c r="D3930" s="29" t="e">
        <f>VLOOKUP(C3930,'점포코드 '!A:B,2,0)</f>
        <v>#N/A</v>
      </c>
      <c r="E3930" s="30">
        <f>'Raw data'!P3506</f>
        <v>0</v>
      </c>
      <c r="F3930" s="29" t="e">
        <f>VLOOKUP(E3930,'점포코드 '!A:B,2,0)</f>
        <v>#N/A</v>
      </c>
      <c r="G3930" s="46">
        <f>'Raw data'!F3839</f>
        <v>0</v>
      </c>
      <c r="H3930" s="4">
        <f>'Raw data'!G3839</f>
        <v>0</v>
      </c>
      <c r="I3930" s="29" t="e">
        <f>VLOOKUP(G3930,제품명!$C$1:$E$114,2,0)</f>
        <v>#N/A</v>
      </c>
      <c r="J3930" s="29">
        <f>'Raw data'!K3839</f>
        <v>0</v>
      </c>
      <c r="K3930" s="31">
        <f>'Raw data'!H3839</f>
        <v>0</v>
      </c>
      <c r="L3930" s="26">
        <f t="shared" si="126"/>
        <v>0</v>
      </c>
    </row>
    <row r="3931" spans="2:12">
      <c r="B3931" s="4" t="e">
        <f t="shared" si="125"/>
        <v>#N/A</v>
      </c>
      <c r="C3931" s="4">
        <f>'Raw data'!E3507</f>
        <v>0</v>
      </c>
      <c r="D3931" s="29" t="e">
        <f>VLOOKUP(C3931,'점포코드 '!A:B,2,0)</f>
        <v>#N/A</v>
      </c>
      <c r="E3931" s="30">
        <f>'Raw data'!P3507</f>
        <v>0</v>
      </c>
      <c r="F3931" s="29" t="e">
        <f>VLOOKUP(E3931,'점포코드 '!A:B,2,0)</f>
        <v>#N/A</v>
      </c>
      <c r="G3931" s="46">
        <f>'Raw data'!F3840</f>
        <v>0</v>
      </c>
      <c r="H3931" s="4">
        <f>'Raw data'!G3840</f>
        <v>0</v>
      </c>
      <c r="I3931" s="29" t="e">
        <f>VLOOKUP(G3931,제품명!$C$1:$E$114,2,0)</f>
        <v>#N/A</v>
      </c>
      <c r="J3931" s="29">
        <f>'Raw data'!K3840</f>
        <v>0</v>
      </c>
      <c r="K3931" s="31">
        <f>'Raw data'!H3840</f>
        <v>0</v>
      </c>
      <c r="L3931" s="26">
        <f t="shared" si="126"/>
        <v>0</v>
      </c>
    </row>
    <row r="3932" spans="2:12">
      <c r="B3932" s="4" t="e">
        <f t="shared" si="125"/>
        <v>#N/A</v>
      </c>
      <c r="C3932" s="4">
        <f>'Raw data'!E3508</f>
        <v>0</v>
      </c>
      <c r="D3932" s="29" t="e">
        <f>VLOOKUP(C3932,'점포코드 '!A:B,2,0)</f>
        <v>#N/A</v>
      </c>
      <c r="E3932" s="30">
        <f>'Raw data'!P3508</f>
        <v>0</v>
      </c>
      <c r="F3932" s="29" t="e">
        <f>VLOOKUP(E3932,'점포코드 '!A:B,2,0)</f>
        <v>#N/A</v>
      </c>
      <c r="G3932" s="46">
        <f>'Raw data'!F3841</f>
        <v>0</v>
      </c>
      <c r="H3932" s="4">
        <f>'Raw data'!G3841</f>
        <v>0</v>
      </c>
      <c r="I3932" s="29" t="e">
        <f>VLOOKUP(G3932,제품명!$C$1:$E$114,2,0)</f>
        <v>#N/A</v>
      </c>
      <c r="J3932" s="29">
        <f>'Raw data'!K3841</f>
        <v>0</v>
      </c>
      <c r="K3932" s="31">
        <f>'Raw data'!H3841</f>
        <v>0</v>
      </c>
      <c r="L3932" s="26">
        <f t="shared" si="126"/>
        <v>0</v>
      </c>
    </row>
    <row r="3933" spans="2:12">
      <c r="B3933" s="4" t="e">
        <f t="shared" si="125"/>
        <v>#N/A</v>
      </c>
      <c r="C3933" s="4">
        <f>'Raw data'!E3509</f>
        <v>0</v>
      </c>
      <c r="D3933" s="29" t="e">
        <f>VLOOKUP(C3933,'점포코드 '!A:B,2,0)</f>
        <v>#N/A</v>
      </c>
      <c r="E3933" s="30">
        <f>'Raw data'!P3509</f>
        <v>0</v>
      </c>
      <c r="F3933" s="29" t="e">
        <f>VLOOKUP(E3933,'점포코드 '!A:B,2,0)</f>
        <v>#N/A</v>
      </c>
      <c r="G3933" s="46">
        <f>'Raw data'!F3842</f>
        <v>0</v>
      </c>
      <c r="H3933" s="4">
        <f>'Raw data'!G3842</f>
        <v>0</v>
      </c>
      <c r="I3933" s="29" t="e">
        <f>VLOOKUP(G3933,제품명!$C$1:$E$114,2,0)</f>
        <v>#N/A</v>
      </c>
      <c r="J3933" s="29">
        <f>'Raw data'!K3842</f>
        <v>0</v>
      </c>
      <c r="K3933" s="31">
        <f>'Raw data'!H3842</f>
        <v>0</v>
      </c>
      <c r="L3933" s="26">
        <f t="shared" si="126"/>
        <v>0</v>
      </c>
    </row>
    <row r="3934" spans="2:12">
      <c r="B3934" s="4" t="e">
        <f t="shared" si="125"/>
        <v>#N/A</v>
      </c>
      <c r="C3934" s="4">
        <f>'Raw data'!E3510</f>
        <v>0</v>
      </c>
      <c r="D3934" s="29" t="e">
        <f>VLOOKUP(C3934,'점포코드 '!A:B,2,0)</f>
        <v>#N/A</v>
      </c>
      <c r="E3934" s="30">
        <f>'Raw data'!P3510</f>
        <v>0</v>
      </c>
      <c r="F3934" s="29" t="e">
        <f>VLOOKUP(E3934,'점포코드 '!A:B,2,0)</f>
        <v>#N/A</v>
      </c>
      <c r="G3934" s="46">
        <f>'Raw data'!F3843</f>
        <v>0</v>
      </c>
      <c r="H3934" s="4">
        <f>'Raw data'!G3843</f>
        <v>0</v>
      </c>
      <c r="I3934" s="29" t="e">
        <f>VLOOKUP(G3934,제품명!$C$1:$E$114,2,0)</f>
        <v>#N/A</v>
      </c>
      <c r="J3934" s="29">
        <f>'Raw data'!K3843</f>
        <v>0</v>
      </c>
      <c r="K3934" s="31">
        <f>'Raw data'!H3843</f>
        <v>0</v>
      </c>
      <c r="L3934" s="26">
        <f t="shared" si="126"/>
        <v>0</v>
      </c>
    </row>
    <row r="3935" spans="2:12">
      <c r="B3935" s="4" t="e">
        <f t="shared" si="125"/>
        <v>#N/A</v>
      </c>
      <c r="C3935" s="4">
        <f>'Raw data'!E3511</f>
        <v>0</v>
      </c>
      <c r="D3935" s="29" t="e">
        <f>VLOOKUP(C3935,'점포코드 '!A:B,2,0)</f>
        <v>#N/A</v>
      </c>
      <c r="E3935" s="30">
        <f>'Raw data'!P3511</f>
        <v>0</v>
      </c>
      <c r="F3935" s="29" t="e">
        <f>VLOOKUP(E3935,'점포코드 '!A:B,2,0)</f>
        <v>#N/A</v>
      </c>
      <c r="G3935" s="46">
        <f>'Raw data'!F3844</f>
        <v>0</v>
      </c>
      <c r="H3935" s="4">
        <f>'Raw data'!G3844</f>
        <v>0</v>
      </c>
      <c r="I3935" s="29" t="e">
        <f>VLOOKUP(G3935,제품명!$C$1:$E$114,2,0)</f>
        <v>#N/A</v>
      </c>
      <c r="J3935" s="29">
        <f>'Raw data'!K3844</f>
        <v>0</v>
      </c>
      <c r="K3935" s="31">
        <f>'Raw data'!H3844</f>
        <v>0</v>
      </c>
      <c r="L3935" s="26">
        <f t="shared" si="126"/>
        <v>0</v>
      </c>
    </row>
    <row r="3936" spans="2:12">
      <c r="B3936" s="4" t="e">
        <f t="shared" si="125"/>
        <v>#N/A</v>
      </c>
      <c r="C3936" s="4">
        <f>'Raw data'!E3512</f>
        <v>0</v>
      </c>
      <c r="D3936" s="29" t="e">
        <f>VLOOKUP(C3936,'점포코드 '!A:B,2,0)</f>
        <v>#N/A</v>
      </c>
      <c r="E3936" s="30">
        <f>'Raw data'!P3512</f>
        <v>0</v>
      </c>
      <c r="F3936" s="29" t="e">
        <f>VLOOKUP(E3936,'점포코드 '!A:B,2,0)</f>
        <v>#N/A</v>
      </c>
      <c r="G3936" s="46">
        <f>'Raw data'!F3845</f>
        <v>0</v>
      </c>
      <c r="H3936" s="4">
        <f>'Raw data'!G3845</f>
        <v>0</v>
      </c>
      <c r="I3936" s="29" t="e">
        <f>VLOOKUP(G3936,제품명!$C$1:$E$114,2,0)</f>
        <v>#N/A</v>
      </c>
      <c r="J3936" s="29">
        <f>'Raw data'!K3845</f>
        <v>0</v>
      </c>
      <c r="K3936" s="31">
        <f>'Raw data'!H3845</f>
        <v>0</v>
      </c>
      <c r="L3936" s="26">
        <f t="shared" si="126"/>
        <v>0</v>
      </c>
    </row>
    <row r="3937" spans="2:12">
      <c r="B3937" s="4" t="e">
        <f t="shared" si="125"/>
        <v>#N/A</v>
      </c>
      <c r="C3937" s="4">
        <f>'Raw data'!E3513</f>
        <v>0</v>
      </c>
      <c r="D3937" s="29" t="e">
        <f>VLOOKUP(C3937,'점포코드 '!A:B,2,0)</f>
        <v>#N/A</v>
      </c>
      <c r="E3937" s="30">
        <f>'Raw data'!P3513</f>
        <v>0</v>
      </c>
      <c r="F3937" s="29" t="e">
        <f>VLOOKUP(E3937,'점포코드 '!A:B,2,0)</f>
        <v>#N/A</v>
      </c>
      <c r="G3937" s="46">
        <f>'Raw data'!F3846</f>
        <v>0</v>
      </c>
      <c r="H3937" s="4">
        <f>'Raw data'!G3846</f>
        <v>0</v>
      </c>
      <c r="I3937" s="29" t="e">
        <f>VLOOKUP(G3937,제품명!$C$1:$E$114,2,0)</f>
        <v>#N/A</v>
      </c>
      <c r="J3937" s="29">
        <f>'Raw data'!K3846</f>
        <v>0</v>
      </c>
      <c r="K3937" s="31">
        <f>'Raw data'!H3846</f>
        <v>0</v>
      </c>
      <c r="L3937" s="26">
        <f t="shared" si="126"/>
        <v>0</v>
      </c>
    </row>
    <row r="3938" spans="2:12">
      <c r="B3938" s="4" t="e">
        <f t="shared" si="125"/>
        <v>#N/A</v>
      </c>
      <c r="C3938" s="4">
        <f>'Raw data'!E3514</f>
        <v>0</v>
      </c>
      <c r="D3938" s="29" t="e">
        <f>VLOOKUP(C3938,'점포코드 '!A:B,2,0)</f>
        <v>#N/A</v>
      </c>
      <c r="E3938" s="30">
        <f>'Raw data'!P3514</f>
        <v>0</v>
      </c>
      <c r="F3938" s="29" t="e">
        <f>VLOOKUP(E3938,'점포코드 '!A:B,2,0)</f>
        <v>#N/A</v>
      </c>
      <c r="G3938" s="46">
        <f>'Raw data'!F3847</f>
        <v>0</v>
      </c>
      <c r="H3938" s="4">
        <f>'Raw data'!G3847</f>
        <v>0</v>
      </c>
      <c r="I3938" s="29" t="e">
        <f>VLOOKUP(G3938,제품명!$C$1:$E$114,2,0)</f>
        <v>#N/A</v>
      </c>
      <c r="J3938" s="29">
        <f>'Raw data'!K3847</f>
        <v>0</v>
      </c>
      <c r="K3938" s="31">
        <f>'Raw data'!H3847</f>
        <v>0</v>
      </c>
      <c r="L3938" s="26">
        <f t="shared" si="126"/>
        <v>0</v>
      </c>
    </row>
    <row r="3939" spans="2:12">
      <c r="B3939" s="4" t="e">
        <f t="shared" si="125"/>
        <v>#N/A</v>
      </c>
      <c r="C3939" s="4">
        <f>'Raw data'!E3515</f>
        <v>0</v>
      </c>
      <c r="D3939" s="29" t="e">
        <f>VLOOKUP(C3939,'점포코드 '!A:B,2,0)</f>
        <v>#N/A</v>
      </c>
      <c r="E3939" s="30">
        <f>'Raw data'!P3515</f>
        <v>0</v>
      </c>
      <c r="F3939" s="29" t="e">
        <f>VLOOKUP(E3939,'점포코드 '!A:B,2,0)</f>
        <v>#N/A</v>
      </c>
      <c r="G3939" s="46">
        <f>'Raw data'!F3848</f>
        <v>0</v>
      </c>
      <c r="H3939" s="4">
        <f>'Raw data'!G3848</f>
        <v>0</v>
      </c>
      <c r="I3939" s="29" t="e">
        <f>VLOOKUP(G3939,제품명!$C$1:$E$114,2,0)</f>
        <v>#N/A</v>
      </c>
      <c r="J3939" s="29">
        <f>'Raw data'!K3848</f>
        <v>0</v>
      </c>
      <c r="K3939" s="31">
        <f>'Raw data'!H3848</f>
        <v>0</v>
      </c>
      <c r="L3939" s="26">
        <f t="shared" si="126"/>
        <v>0</v>
      </c>
    </row>
    <row r="3940" spans="2:12">
      <c r="B3940" s="4" t="e">
        <f t="shared" si="125"/>
        <v>#N/A</v>
      </c>
      <c r="C3940" s="4">
        <f>'Raw data'!E3516</f>
        <v>0</v>
      </c>
      <c r="D3940" s="29" t="e">
        <f>VLOOKUP(C3940,'점포코드 '!A:B,2,0)</f>
        <v>#N/A</v>
      </c>
      <c r="E3940" s="30">
        <f>'Raw data'!P3516</f>
        <v>0</v>
      </c>
      <c r="F3940" s="29" t="e">
        <f>VLOOKUP(E3940,'점포코드 '!A:B,2,0)</f>
        <v>#N/A</v>
      </c>
      <c r="G3940" s="46">
        <f>'Raw data'!F3849</f>
        <v>0</v>
      </c>
      <c r="H3940" s="4">
        <f>'Raw data'!G3849</f>
        <v>0</v>
      </c>
      <c r="I3940" s="29" t="e">
        <f>VLOOKUP(G3940,제품명!$C$1:$E$114,2,0)</f>
        <v>#N/A</v>
      </c>
      <c r="J3940" s="29">
        <f>'Raw data'!K3849</f>
        <v>0</v>
      </c>
      <c r="K3940" s="31">
        <f>'Raw data'!H3849</f>
        <v>0</v>
      </c>
      <c r="L3940" s="26">
        <f t="shared" si="126"/>
        <v>0</v>
      </c>
    </row>
    <row r="3941" spans="2:12">
      <c r="B3941" s="4" t="e">
        <f t="shared" si="125"/>
        <v>#N/A</v>
      </c>
      <c r="C3941" s="4">
        <f>'Raw data'!E3517</f>
        <v>0</v>
      </c>
      <c r="D3941" s="29" t="e">
        <f>VLOOKUP(C3941,'점포코드 '!A:B,2,0)</f>
        <v>#N/A</v>
      </c>
      <c r="E3941" s="30">
        <f>'Raw data'!P3517</f>
        <v>0</v>
      </c>
      <c r="F3941" s="29" t="e">
        <f>VLOOKUP(E3941,'점포코드 '!A:B,2,0)</f>
        <v>#N/A</v>
      </c>
      <c r="G3941" s="46">
        <f>'Raw data'!F3850</f>
        <v>0</v>
      </c>
      <c r="H3941" s="4">
        <f>'Raw data'!G3850</f>
        <v>0</v>
      </c>
      <c r="I3941" s="29" t="e">
        <f>VLOOKUP(G3941,제품명!$C$1:$E$114,2,0)</f>
        <v>#N/A</v>
      </c>
      <c r="J3941" s="29">
        <f>'Raw data'!K3850</f>
        <v>0</v>
      </c>
      <c r="K3941" s="31">
        <f>'Raw data'!H3850</f>
        <v>0</v>
      </c>
      <c r="L3941" s="26">
        <f t="shared" si="126"/>
        <v>0</v>
      </c>
    </row>
    <row r="3942" spans="2:12">
      <c r="B3942" s="4" t="e">
        <f t="shared" si="125"/>
        <v>#N/A</v>
      </c>
      <c r="C3942" s="4">
        <f>'Raw data'!E3518</f>
        <v>0</v>
      </c>
      <c r="D3942" s="29" t="e">
        <f>VLOOKUP(C3942,'점포코드 '!A:B,2,0)</f>
        <v>#N/A</v>
      </c>
      <c r="E3942" s="30">
        <f>'Raw data'!P3518</f>
        <v>0</v>
      </c>
      <c r="F3942" s="29" t="e">
        <f>VLOOKUP(E3942,'점포코드 '!A:B,2,0)</f>
        <v>#N/A</v>
      </c>
      <c r="G3942" s="46">
        <f>'Raw data'!F3851</f>
        <v>0</v>
      </c>
      <c r="H3942" s="4">
        <f>'Raw data'!G3851</f>
        <v>0</v>
      </c>
      <c r="I3942" s="29" t="e">
        <f>VLOOKUP(G3942,제품명!$C$1:$E$114,2,0)</f>
        <v>#N/A</v>
      </c>
      <c r="J3942" s="29">
        <f>'Raw data'!K3851</f>
        <v>0</v>
      </c>
      <c r="K3942" s="31">
        <f>'Raw data'!H3851</f>
        <v>0</v>
      </c>
      <c r="L3942" s="26">
        <f t="shared" si="126"/>
        <v>0</v>
      </c>
    </row>
    <row r="3943" spans="2:12">
      <c r="B3943" s="4" t="e">
        <f t="shared" si="125"/>
        <v>#N/A</v>
      </c>
      <c r="C3943" s="4">
        <f>'Raw data'!E3519</f>
        <v>0</v>
      </c>
      <c r="D3943" s="29" t="e">
        <f>VLOOKUP(C3943,'점포코드 '!A:B,2,0)</f>
        <v>#N/A</v>
      </c>
      <c r="E3943" s="30">
        <f>'Raw data'!P3519</f>
        <v>0</v>
      </c>
      <c r="F3943" s="29" t="e">
        <f>VLOOKUP(E3943,'점포코드 '!A:B,2,0)</f>
        <v>#N/A</v>
      </c>
      <c r="G3943" s="46">
        <f>'Raw data'!F3852</f>
        <v>0</v>
      </c>
      <c r="H3943" s="4">
        <f>'Raw data'!G3852</f>
        <v>0</v>
      </c>
      <c r="I3943" s="29" t="e">
        <f>VLOOKUP(G3943,제품명!$C$1:$E$114,2,0)</f>
        <v>#N/A</v>
      </c>
      <c r="J3943" s="29">
        <f>'Raw data'!K3852</f>
        <v>0</v>
      </c>
      <c r="K3943" s="31">
        <f>'Raw data'!H3852</f>
        <v>0</v>
      </c>
      <c r="L3943" s="26">
        <f t="shared" si="126"/>
        <v>0</v>
      </c>
    </row>
    <row r="3944" spans="2:12">
      <c r="B3944" s="4" t="e">
        <f t="shared" si="125"/>
        <v>#N/A</v>
      </c>
      <c r="C3944" s="4">
        <f>'Raw data'!E3520</f>
        <v>0</v>
      </c>
      <c r="D3944" s="29" t="e">
        <f>VLOOKUP(C3944,'점포코드 '!A:B,2,0)</f>
        <v>#N/A</v>
      </c>
      <c r="E3944" s="30">
        <f>'Raw data'!P3520</f>
        <v>0</v>
      </c>
      <c r="F3944" s="29" t="e">
        <f>VLOOKUP(E3944,'점포코드 '!A:B,2,0)</f>
        <v>#N/A</v>
      </c>
      <c r="G3944" s="46">
        <f>'Raw data'!F3853</f>
        <v>0</v>
      </c>
      <c r="H3944" s="4">
        <f>'Raw data'!G3853</f>
        <v>0</v>
      </c>
      <c r="I3944" s="29" t="e">
        <f>VLOOKUP(G3944,제품명!$C$1:$E$114,2,0)</f>
        <v>#N/A</v>
      </c>
      <c r="J3944" s="29">
        <f>'Raw data'!K3853</f>
        <v>0</v>
      </c>
      <c r="K3944" s="31">
        <f>'Raw data'!H3853</f>
        <v>0</v>
      </c>
      <c r="L3944" s="26">
        <f t="shared" si="126"/>
        <v>0</v>
      </c>
    </row>
    <row r="3945" spans="2:12">
      <c r="B3945" s="4" t="e">
        <f t="shared" si="125"/>
        <v>#N/A</v>
      </c>
      <c r="C3945" s="4">
        <f>'Raw data'!E3521</f>
        <v>0</v>
      </c>
      <c r="D3945" s="29" t="e">
        <f>VLOOKUP(C3945,'점포코드 '!A:B,2,0)</f>
        <v>#N/A</v>
      </c>
      <c r="E3945" s="30">
        <f>'Raw data'!P3521</f>
        <v>0</v>
      </c>
      <c r="F3945" s="29" t="e">
        <f>VLOOKUP(E3945,'점포코드 '!A:B,2,0)</f>
        <v>#N/A</v>
      </c>
      <c r="G3945" s="46">
        <f>'Raw data'!F3854</f>
        <v>0</v>
      </c>
      <c r="H3945" s="4">
        <f>'Raw data'!G3854</f>
        <v>0</v>
      </c>
      <c r="I3945" s="29" t="e">
        <f>VLOOKUP(G3945,제품명!$C$1:$E$114,2,0)</f>
        <v>#N/A</v>
      </c>
      <c r="J3945" s="29">
        <f>'Raw data'!K3854</f>
        <v>0</v>
      </c>
      <c r="K3945" s="31">
        <f>'Raw data'!H3854</f>
        <v>0</v>
      </c>
      <c r="L3945" s="26">
        <f t="shared" si="126"/>
        <v>0</v>
      </c>
    </row>
    <row r="3946" spans="2:12">
      <c r="B3946" s="4" t="e">
        <f t="shared" si="125"/>
        <v>#N/A</v>
      </c>
      <c r="C3946" s="4">
        <f>'Raw data'!E3522</f>
        <v>0</v>
      </c>
      <c r="D3946" s="29" t="e">
        <f>VLOOKUP(C3946,'점포코드 '!A:B,2,0)</f>
        <v>#N/A</v>
      </c>
      <c r="E3946" s="30">
        <f>'Raw data'!P3522</f>
        <v>0</v>
      </c>
      <c r="F3946" s="29" t="e">
        <f>VLOOKUP(E3946,'점포코드 '!A:B,2,0)</f>
        <v>#N/A</v>
      </c>
      <c r="G3946" s="46">
        <f>'Raw data'!F3855</f>
        <v>0</v>
      </c>
      <c r="H3946" s="4">
        <f>'Raw data'!G3855</f>
        <v>0</v>
      </c>
      <c r="I3946" s="29" t="e">
        <f>VLOOKUP(G3946,제품명!$C$1:$E$114,2,0)</f>
        <v>#N/A</v>
      </c>
      <c r="J3946" s="29">
        <f>'Raw data'!K3855</f>
        <v>0</v>
      </c>
      <c r="K3946" s="31">
        <f>'Raw data'!H3855</f>
        <v>0</v>
      </c>
      <c r="L3946" s="26">
        <f t="shared" si="126"/>
        <v>0</v>
      </c>
    </row>
    <row r="3947" spans="2:12">
      <c r="B3947" s="4" t="e">
        <f t="shared" si="125"/>
        <v>#N/A</v>
      </c>
      <c r="C3947" s="4">
        <f>'Raw data'!E3523</f>
        <v>0</v>
      </c>
      <c r="D3947" s="29" t="e">
        <f>VLOOKUP(C3947,'점포코드 '!A:B,2,0)</f>
        <v>#N/A</v>
      </c>
      <c r="E3947" s="30">
        <f>'Raw data'!P3523</f>
        <v>0</v>
      </c>
      <c r="F3947" s="29" t="e">
        <f>VLOOKUP(E3947,'점포코드 '!A:B,2,0)</f>
        <v>#N/A</v>
      </c>
      <c r="G3947" s="46">
        <f>'Raw data'!F3856</f>
        <v>0</v>
      </c>
      <c r="H3947" s="4">
        <f>'Raw data'!G3856</f>
        <v>0</v>
      </c>
      <c r="I3947" s="29" t="e">
        <f>VLOOKUP(G3947,제품명!$C$1:$E$114,2,0)</f>
        <v>#N/A</v>
      </c>
      <c r="J3947" s="29">
        <f>'Raw data'!K3856</f>
        <v>0</v>
      </c>
      <c r="K3947" s="31">
        <f>'Raw data'!H3856</f>
        <v>0</v>
      </c>
      <c r="L3947" s="26">
        <f t="shared" si="126"/>
        <v>0</v>
      </c>
    </row>
    <row r="3948" spans="2:12">
      <c r="B3948" s="4" t="e">
        <f t="shared" si="125"/>
        <v>#N/A</v>
      </c>
      <c r="C3948" s="4">
        <f>'Raw data'!E3524</f>
        <v>0</v>
      </c>
      <c r="D3948" s="29" t="e">
        <f>VLOOKUP(C3948,'점포코드 '!A:B,2,0)</f>
        <v>#N/A</v>
      </c>
      <c r="E3948" s="30">
        <f>'Raw data'!P3524</f>
        <v>0</v>
      </c>
      <c r="F3948" s="29" t="e">
        <f>VLOOKUP(E3948,'점포코드 '!A:B,2,0)</f>
        <v>#N/A</v>
      </c>
      <c r="G3948" s="46">
        <f>'Raw data'!F3857</f>
        <v>0</v>
      </c>
      <c r="H3948" s="4">
        <f>'Raw data'!G3857</f>
        <v>0</v>
      </c>
      <c r="I3948" s="29" t="e">
        <f>VLOOKUP(G3948,제품명!$C$1:$E$114,2,0)</f>
        <v>#N/A</v>
      </c>
      <c r="J3948" s="29">
        <f>'Raw data'!K3857</f>
        <v>0</v>
      </c>
      <c r="K3948" s="31">
        <f>'Raw data'!H3857</f>
        <v>0</v>
      </c>
      <c r="L3948" s="26">
        <f t="shared" si="126"/>
        <v>0</v>
      </c>
    </row>
    <row r="3949" spans="2:12">
      <c r="B3949" s="4" t="e">
        <f t="shared" si="125"/>
        <v>#N/A</v>
      </c>
      <c r="C3949" s="4">
        <f>'Raw data'!E3525</f>
        <v>0</v>
      </c>
      <c r="D3949" s="29" t="e">
        <f>VLOOKUP(C3949,'점포코드 '!A:B,2,0)</f>
        <v>#N/A</v>
      </c>
      <c r="E3949" s="30">
        <f>'Raw data'!P3525</f>
        <v>0</v>
      </c>
      <c r="F3949" s="29" t="e">
        <f>VLOOKUP(E3949,'점포코드 '!A:B,2,0)</f>
        <v>#N/A</v>
      </c>
      <c r="G3949" s="46">
        <f>'Raw data'!F3858</f>
        <v>0</v>
      </c>
      <c r="H3949" s="4">
        <f>'Raw data'!G3858</f>
        <v>0</v>
      </c>
      <c r="I3949" s="29" t="e">
        <f>VLOOKUP(G3949,제품명!$C$1:$E$114,2,0)</f>
        <v>#N/A</v>
      </c>
      <c r="J3949" s="29">
        <f>'Raw data'!K3858</f>
        <v>0</v>
      </c>
      <c r="K3949" s="31">
        <f>'Raw data'!H3858</f>
        <v>0</v>
      </c>
      <c r="L3949" s="26">
        <f t="shared" si="126"/>
        <v>0</v>
      </c>
    </row>
    <row r="3950" spans="2:12">
      <c r="B3950" s="4" t="e">
        <f t="shared" si="125"/>
        <v>#N/A</v>
      </c>
      <c r="C3950" s="4">
        <f>'Raw data'!E3526</f>
        <v>0</v>
      </c>
      <c r="D3950" s="29" t="e">
        <f>VLOOKUP(C3950,'점포코드 '!A:B,2,0)</f>
        <v>#N/A</v>
      </c>
      <c r="E3950" s="30">
        <f>'Raw data'!P3526</f>
        <v>0</v>
      </c>
      <c r="F3950" s="29" t="e">
        <f>VLOOKUP(E3950,'점포코드 '!A:B,2,0)</f>
        <v>#N/A</v>
      </c>
      <c r="G3950" s="46">
        <f>'Raw data'!F3859</f>
        <v>0</v>
      </c>
      <c r="H3950" s="4">
        <f>'Raw data'!G3859</f>
        <v>0</v>
      </c>
      <c r="I3950" s="29" t="e">
        <f>VLOOKUP(G3950,제품명!$C$1:$E$114,2,0)</f>
        <v>#N/A</v>
      </c>
      <c r="J3950" s="29">
        <f>'Raw data'!K3859</f>
        <v>0</v>
      </c>
      <c r="K3950" s="31">
        <f>'Raw data'!H3859</f>
        <v>0</v>
      </c>
      <c r="L3950" s="26">
        <f t="shared" si="126"/>
        <v>0</v>
      </c>
    </row>
    <row r="3951" spans="2:12">
      <c r="B3951" s="4" t="e">
        <f t="shared" si="125"/>
        <v>#N/A</v>
      </c>
      <c r="C3951" s="4">
        <f>'Raw data'!E3527</f>
        <v>0</v>
      </c>
      <c r="D3951" s="29" t="e">
        <f>VLOOKUP(C3951,'점포코드 '!A:B,2,0)</f>
        <v>#N/A</v>
      </c>
      <c r="E3951" s="30">
        <f>'Raw data'!P3527</f>
        <v>0</v>
      </c>
      <c r="F3951" s="29" t="e">
        <f>VLOOKUP(E3951,'점포코드 '!A:B,2,0)</f>
        <v>#N/A</v>
      </c>
      <c r="G3951" s="46">
        <f>'Raw data'!F3860</f>
        <v>0</v>
      </c>
      <c r="H3951" s="4">
        <f>'Raw data'!G3860</f>
        <v>0</v>
      </c>
      <c r="I3951" s="29" t="e">
        <f>VLOOKUP(G3951,제품명!$C$1:$E$114,2,0)</f>
        <v>#N/A</v>
      </c>
      <c r="J3951" s="29">
        <f>'Raw data'!K3860</f>
        <v>0</v>
      </c>
      <c r="K3951" s="31">
        <f>'Raw data'!H3860</f>
        <v>0</v>
      </c>
      <c r="L3951" s="26">
        <f t="shared" si="126"/>
        <v>0</v>
      </c>
    </row>
    <row r="3952" spans="2:12">
      <c r="B3952" s="4" t="e">
        <f t="shared" si="125"/>
        <v>#N/A</v>
      </c>
      <c r="C3952" s="4">
        <f>'Raw data'!E3528</f>
        <v>0</v>
      </c>
      <c r="D3952" s="29" t="e">
        <f>VLOOKUP(C3952,'점포코드 '!A:B,2,0)</f>
        <v>#N/A</v>
      </c>
      <c r="E3952" s="30">
        <f>'Raw data'!P3528</f>
        <v>0</v>
      </c>
      <c r="F3952" s="29" t="e">
        <f>VLOOKUP(E3952,'점포코드 '!A:B,2,0)</f>
        <v>#N/A</v>
      </c>
      <c r="G3952" s="46">
        <f>'Raw data'!F3861</f>
        <v>0</v>
      </c>
      <c r="H3952" s="4">
        <f>'Raw data'!G3861</f>
        <v>0</v>
      </c>
      <c r="I3952" s="29" t="e">
        <f>VLOOKUP(G3952,제품명!$C$1:$E$114,2,0)</f>
        <v>#N/A</v>
      </c>
      <c r="J3952" s="29">
        <f>'Raw data'!K3861</f>
        <v>0</v>
      </c>
      <c r="K3952" s="31">
        <f>'Raw data'!H3861</f>
        <v>0</v>
      </c>
      <c r="L3952" s="26">
        <f t="shared" si="126"/>
        <v>0</v>
      </c>
    </row>
    <row r="3953" spans="2:12">
      <c r="B3953" s="4" t="e">
        <f t="shared" si="125"/>
        <v>#N/A</v>
      </c>
      <c r="C3953" s="4">
        <f>'Raw data'!E3529</f>
        <v>0</v>
      </c>
      <c r="D3953" s="29" t="e">
        <f>VLOOKUP(C3953,'점포코드 '!A:B,2,0)</f>
        <v>#N/A</v>
      </c>
      <c r="E3953" s="30">
        <f>'Raw data'!P3529</f>
        <v>0</v>
      </c>
      <c r="F3953" s="29" t="e">
        <f>VLOOKUP(E3953,'점포코드 '!A:B,2,0)</f>
        <v>#N/A</v>
      </c>
      <c r="G3953" s="46">
        <f>'Raw data'!F3862</f>
        <v>0</v>
      </c>
      <c r="H3953" s="4">
        <f>'Raw data'!G3862</f>
        <v>0</v>
      </c>
      <c r="I3953" s="29" t="e">
        <f>VLOOKUP(G3953,제품명!$C$1:$E$114,2,0)</f>
        <v>#N/A</v>
      </c>
      <c r="J3953" s="29">
        <f>'Raw data'!K3862</f>
        <v>0</v>
      </c>
      <c r="K3953" s="31">
        <f>'Raw data'!H3862</f>
        <v>0</v>
      </c>
      <c r="L3953" s="26">
        <f t="shared" si="126"/>
        <v>0</v>
      </c>
    </row>
    <row r="3954" spans="2:12">
      <c r="B3954" s="4" t="e">
        <f t="shared" si="125"/>
        <v>#N/A</v>
      </c>
      <c r="C3954" s="4">
        <f>'Raw data'!E3530</f>
        <v>0</v>
      </c>
      <c r="D3954" s="29" t="e">
        <f>VLOOKUP(C3954,'점포코드 '!A:B,2,0)</f>
        <v>#N/A</v>
      </c>
      <c r="E3954" s="30">
        <f>'Raw data'!P3530</f>
        <v>0</v>
      </c>
      <c r="F3954" s="29" t="e">
        <f>VLOOKUP(E3954,'점포코드 '!A:B,2,0)</f>
        <v>#N/A</v>
      </c>
      <c r="G3954" s="46">
        <f>'Raw data'!F3863</f>
        <v>0</v>
      </c>
      <c r="H3954" s="4">
        <f>'Raw data'!G3863</f>
        <v>0</v>
      </c>
      <c r="I3954" s="29" t="e">
        <f>VLOOKUP(G3954,제품명!$C$1:$E$114,2,0)</f>
        <v>#N/A</v>
      </c>
      <c r="J3954" s="29">
        <f>'Raw data'!K3863</f>
        <v>0</v>
      </c>
      <c r="K3954" s="31">
        <f>'Raw data'!H3863</f>
        <v>0</v>
      </c>
      <c r="L3954" s="26">
        <f t="shared" si="126"/>
        <v>0</v>
      </c>
    </row>
    <row r="3955" spans="2:12">
      <c r="B3955" s="4" t="e">
        <f t="shared" si="125"/>
        <v>#N/A</v>
      </c>
      <c r="C3955" s="4">
        <f>'Raw data'!E3531</f>
        <v>0</v>
      </c>
      <c r="D3955" s="29" t="e">
        <f>VLOOKUP(C3955,'점포코드 '!A:B,2,0)</f>
        <v>#N/A</v>
      </c>
      <c r="E3955" s="30">
        <f>'Raw data'!P3531</f>
        <v>0</v>
      </c>
      <c r="F3955" s="29" t="e">
        <f>VLOOKUP(E3955,'점포코드 '!A:B,2,0)</f>
        <v>#N/A</v>
      </c>
      <c r="G3955" s="46">
        <f>'Raw data'!F3864</f>
        <v>0</v>
      </c>
      <c r="H3955" s="4">
        <f>'Raw data'!G3864</f>
        <v>0</v>
      </c>
      <c r="I3955" s="29" t="e">
        <f>VLOOKUP(G3955,제품명!$C$1:$E$114,2,0)</f>
        <v>#N/A</v>
      </c>
      <c r="J3955" s="29">
        <f>'Raw data'!K3864</f>
        <v>0</v>
      </c>
      <c r="K3955" s="31">
        <f>'Raw data'!H3864</f>
        <v>0</v>
      </c>
      <c r="L3955" s="26">
        <f t="shared" si="126"/>
        <v>0</v>
      </c>
    </row>
    <row r="3956" spans="2:12">
      <c r="B3956" s="4" t="e">
        <f t="shared" si="125"/>
        <v>#N/A</v>
      </c>
      <c r="C3956" s="4">
        <f>'Raw data'!E3532</f>
        <v>0</v>
      </c>
      <c r="D3956" s="29" t="e">
        <f>VLOOKUP(C3956,'점포코드 '!A:B,2,0)</f>
        <v>#N/A</v>
      </c>
      <c r="E3956" s="30">
        <f>'Raw data'!P3532</f>
        <v>0</v>
      </c>
      <c r="F3956" s="29" t="e">
        <f>VLOOKUP(E3956,'점포코드 '!A:B,2,0)</f>
        <v>#N/A</v>
      </c>
      <c r="G3956" s="46">
        <f>'Raw data'!F3865</f>
        <v>0</v>
      </c>
      <c r="H3956" s="4">
        <f>'Raw data'!G3865</f>
        <v>0</v>
      </c>
      <c r="I3956" s="29" t="e">
        <f>VLOOKUP(G3956,제품명!$C$1:$E$114,2,0)</f>
        <v>#N/A</v>
      </c>
      <c r="J3956" s="29">
        <f>'Raw data'!K3865</f>
        <v>0</v>
      </c>
      <c r="K3956" s="31">
        <f>'Raw data'!H3865</f>
        <v>0</v>
      </c>
      <c r="L3956" s="26">
        <f t="shared" si="126"/>
        <v>0</v>
      </c>
    </row>
    <row r="3957" spans="2:12">
      <c r="B3957" s="4" t="e">
        <f t="shared" si="125"/>
        <v>#N/A</v>
      </c>
      <c r="C3957" s="4">
        <f>'Raw data'!E3533</f>
        <v>0</v>
      </c>
      <c r="D3957" s="29" t="e">
        <f>VLOOKUP(C3957,'점포코드 '!A:B,2,0)</f>
        <v>#N/A</v>
      </c>
      <c r="E3957" s="30">
        <f>'Raw data'!P3533</f>
        <v>0</v>
      </c>
      <c r="F3957" s="29" t="e">
        <f>VLOOKUP(E3957,'점포코드 '!A:B,2,0)</f>
        <v>#N/A</v>
      </c>
      <c r="G3957" s="46">
        <f>'Raw data'!F3866</f>
        <v>0</v>
      </c>
      <c r="H3957" s="4">
        <f>'Raw data'!G3866</f>
        <v>0</v>
      </c>
      <c r="I3957" s="29" t="e">
        <f>VLOOKUP(G3957,제품명!$C$1:$E$114,2,0)</f>
        <v>#N/A</v>
      </c>
      <c r="J3957" s="29">
        <f>'Raw data'!K3866</f>
        <v>0</v>
      </c>
      <c r="K3957" s="31">
        <f>'Raw data'!H3866</f>
        <v>0</v>
      </c>
      <c r="L3957" s="26">
        <f t="shared" si="126"/>
        <v>0</v>
      </c>
    </row>
    <row r="3958" spans="2:12">
      <c r="B3958" s="4" t="e">
        <f t="shared" si="125"/>
        <v>#N/A</v>
      </c>
      <c r="C3958" s="4">
        <f>'Raw data'!E3534</f>
        <v>0</v>
      </c>
      <c r="D3958" s="29" t="e">
        <f>VLOOKUP(C3958,'점포코드 '!A:B,2,0)</f>
        <v>#N/A</v>
      </c>
      <c r="E3958" s="30">
        <f>'Raw data'!P3534</f>
        <v>0</v>
      </c>
      <c r="F3958" s="29" t="e">
        <f>VLOOKUP(E3958,'점포코드 '!A:B,2,0)</f>
        <v>#N/A</v>
      </c>
      <c r="G3958" s="46">
        <f>'Raw data'!F3867</f>
        <v>0</v>
      </c>
      <c r="H3958" s="4">
        <f>'Raw data'!G3867</f>
        <v>0</v>
      </c>
      <c r="I3958" s="29" t="e">
        <f>VLOOKUP(G3958,제품명!$C$1:$E$114,2,0)</f>
        <v>#N/A</v>
      </c>
      <c r="J3958" s="29">
        <f>'Raw data'!K3867</f>
        <v>0</v>
      </c>
      <c r="K3958" s="31">
        <f>'Raw data'!H3867</f>
        <v>0</v>
      </c>
      <c r="L3958" s="26">
        <f t="shared" si="126"/>
        <v>0</v>
      </c>
    </row>
    <row r="3959" spans="2:12">
      <c r="B3959" s="4" t="e">
        <f t="shared" si="125"/>
        <v>#N/A</v>
      </c>
      <c r="C3959" s="4">
        <f>'Raw data'!E3535</f>
        <v>0</v>
      </c>
      <c r="D3959" s="29" t="e">
        <f>VLOOKUP(C3959,'점포코드 '!A:B,2,0)</f>
        <v>#N/A</v>
      </c>
      <c r="E3959" s="30">
        <f>'Raw data'!P3535</f>
        <v>0</v>
      </c>
      <c r="F3959" s="29" t="e">
        <f>VLOOKUP(E3959,'점포코드 '!A:B,2,0)</f>
        <v>#N/A</v>
      </c>
      <c r="G3959" s="46">
        <f>'Raw data'!F3868</f>
        <v>0</v>
      </c>
      <c r="H3959" s="4">
        <f>'Raw data'!G3868</f>
        <v>0</v>
      </c>
      <c r="I3959" s="29" t="e">
        <f>VLOOKUP(G3959,제품명!$C$1:$E$114,2,0)</f>
        <v>#N/A</v>
      </c>
      <c r="J3959" s="29">
        <f>'Raw data'!K3868</f>
        <v>0</v>
      </c>
      <c r="K3959" s="31">
        <f>'Raw data'!H3868</f>
        <v>0</v>
      </c>
      <c r="L3959" s="26">
        <f t="shared" si="126"/>
        <v>0</v>
      </c>
    </row>
    <row r="3960" spans="2:12">
      <c r="B3960" s="4" t="e">
        <f t="shared" si="125"/>
        <v>#N/A</v>
      </c>
      <c r="C3960" s="4">
        <f>'Raw data'!E3536</f>
        <v>0</v>
      </c>
      <c r="D3960" s="29" t="e">
        <f>VLOOKUP(C3960,'점포코드 '!A:B,2,0)</f>
        <v>#N/A</v>
      </c>
      <c r="E3960" s="30">
        <f>'Raw data'!P3536</f>
        <v>0</v>
      </c>
      <c r="F3960" s="29" t="e">
        <f>VLOOKUP(E3960,'점포코드 '!A:B,2,0)</f>
        <v>#N/A</v>
      </c>
      <c r="G3960" s="46">
        <f>'Raw data'!F3869</f>
        <v>0</v>
      </c>
      <c r="H3960" s="4">
        <f>'Raw data'!G3869</f>
        <v>0</v>
      </c>
      <c r="I3960" s="29" t="e">
        <f>VLOOKUP(G3960,제품명!$C$1:$E$114,2,0)</f>
        <v>#N/A</v>
      </c>
      <c r="J3960" s="29">
        <f>'Raw data'!K3869</f>
        <v>0</v>
      </c>
      <c r="K3960" s="31">
        <f>'Raw data'!H3869</f>
        <v>0</v>
      </c>
      <c r="L3960" s="26">
        <f t="shared" si="126"/>
        <v>0</v>
      </c>
    </row>
    <row r="3961" spans="2:12">
      <c r="B3961" s="4" t="e">
        <f t="shared" si="125"/>
        <v>#N/A</v>
      </c>
      <c r="C3961" s="4">
        <f>'Raw data'!E3537</f>
        <v>0</v>
      </c>
      <c r="D3961" s="29" t="e">
        <f>VLOOKUP(C3961,'점포코드 '!A:B,2,0)</f>
        <v>#N/A</v>
      </c>
      <c r="E3961" s="30">
        <f>'Raw data'!P3537</f>
        <v>0</v>
      </c>
      <c r="F3961" s="29" t="e">
        <f>VLOOKUP(E3961,'점포코드 '!A:B,2,0)</f>
        <v>#N/A</v>
      </c>
      <c r="G3961" s="46">
        <f>'Raw data'!F3870</f>
        <v>0</v>
      </c>
      <c r="H3961" s="4">
        <f>'Raw data'!G3870</f>
        <v>0</v>
      </c>
      <c r="I3961" s="29" t="e">
        <f>VLOOKUP(G3961,제품명!$C$1:$E$114,2,0)</f>
        <v>#N/A</v>
      </c>
      <c r="J3961" s="29">
        <f>'Raw data'!K3870</f>
        <v>0</v>
      </c>
      <c r="K3961" s="31">
        <f>'Raw data'!H3870</f>
        <v>0</v>
      </c>
      <c r="L3961" s="26">
        <f t="shared" si="126"/>
        <v>0</v>
      </c>
    </row>
    <row r="3962" spans="2:12">
      <c r="B3962" s="4" t="e">
        <f t="shared" si="125"/>
        <v>#N/A</v>
      </c>
      <c r="C3962" s="4">
        <f>'Raw data'!E3538</f>
        <v>0</v>
      </c>
      <c r="D3962" s="29" t="e">
        <f>VLOOKUP(C3962,'점포코드 '!A:B,2,0)</f>
        <v>#N/A</v>
      </c>
      <c r="E3962" s="30">
        <f>'Raw data'!P3538</f>
        <v>0</v>
      </c>
      <c r="F3962" s="29" t="e">
        <f>VLOOKUP(E3962,'점포코드 '!A:B,2,0)</f>
        <v>#N/A</v>
      </c>
      <c r="G3962" s="46">
        <f>'Raw data'!F3871</f>
        <v>0</v>
      </c>
      <c r="H3962" s="4">
        <f>'Raw data'!G3871</f>
        <v>0</v>
      </c>
      <c r="I3962" s="29" t="e">
        <f>VLOOKUP(G3962,제품명!$C$1:$E$114,2,0)</f>
        <v>#N/A</v>
      </c>
      <c r="J3962" s="29">
        <f>'Raw data'!K3871</f>
        <v>0</v>
      </c>
      <c r="K3962" s="31">
        <f>'Raw data'!H3871</f>
        <v>0</v>
      </c>
      <c r="L3962" s="26">
        <f t="shared" si="126"/>
        <v>0</v>
      </c>
    </row>
    <row r="3963" spans="2:12">
      <c r="B3963" s="4" t="e">
        <f t="shared" si="125"/>
        <v>#N/A</v>
      </c>
      <c r="C3963" s="4">
        <f>'Raw data'!E3539</f>
        <v>0</v>
      </c>
      <c r="D3963" s="29" t="e">
        <f>VLOOKUP(C3963,'점포코드 '!A:B,2,0)</f>
        <v>#N/A</v>
      </c>
      <c r="E3963" s="30">
        <f>'Raw data'!P3539</f>
        <v>0</v>
      </c>
      <c r="F3963" s="29" t="e">
        <f>VLOOKUP(E3963,'점포코드 '!A:B,2,0)</f>
        <v>#N/A</v>
      </c>
      <c r="G3963" s="46">
        <f>'Raw data'!F3872</f>
        <v>0</v>
      </c>
      <c r="H3963" s="4">
        <f>'Raw data'!G3872</f>
        <v>0</v>
      </c>
      <c r="I3963" s="29" t="e">
        <f>VLOOKUP(G3963,제품명!$C$1:$E$114,2,0)</f>
        <v>#N/A</v>
      </c>
      <c r="J3963" s="29">
        <f>'Raw data'!K3872</f>
        <v>0</v>
      </c>
      <c r="K3963" s="31">
        <f>'Raw data'!H3872</f>
        <v>0</v>
      </c>
      <c r="L3963" s="26">
        <f t="shared" si="126"/>
        <v>0</v>
      </c>
    </row>
    <row r="3964" spans="2:12">
      <c r="B3964" s="4" t="e">
        <f t="shared" si="125"/>
        <v>#N/A</v>
      </c>
      <c r="C3964" s="4">
        <f>'Raw data'!E3540</f>
        <v>0</v>
      </c>
      <c r="D3964" s="29" t="e">
        <f>VLOOKUP(C3964,'점포코드 '!A:B,2,0)</f>
        <v>#N/A</v>
      </c>
      <c r="E3964" s="30">
        <f>'Raw data'!P3540</f>
        <v>0</v>
      </c>
      <c r="F3964" s="29" t="e">
        <f>VLOOKUP(E3964,'점포코드 '!A:B,2,0)</f>
        <v>#N/A</v>
      </c>
      <c r="G3964" s="46">
        <f>'Raw data'!F3873</f>
        <v>0</v>
      </c>
      <c r="H3964" s="4">
        <f>'Raw data'!G3873</f>
        <v>0</v>
      </c>
      <c r="I3964" s="29" t="e">
        <f>VLOOKUP(G3964,제품명!$C$1:$E$114,2,0)</f>
        <v>#N/A</v>
      </c>
      <c r="J3964" s="29">
        <f>'Raw data'!K3873</f>
        <v>0</v>
      </c>
      <c r="K3964" s="31">
        <f>'Raw data'!H3873</f>
        <v>0</v>
      </c>
      <c r="L3964" s="26">
        <f t="shared" si="126"/>
        <v>0</v>
      </c>
    </row>
    <row r="3965" spans="2:12">
      <c r="B3965" s="4" t="e">
        <f t="shared" si="125"/>
        <v>#N/A</v>
      </c>
      <c r="C3965" s="4">
        <f>'Raw data'!E3541</f>
        <v>0</v>
      </c>
      <c r="D3965" s="29" t="e">
        <f>VLOOKUP(C3965,'점포코드 '!A:B,2,0)</f>
        <v>#N/A</v>
      </c>
      <c r="E3965" s="30">
        <f>'Raw data'!P3541</f>
        <v>0</v>
      </c>
      <c r="F3965" s="29" t="e">
        <f>VLOOKUP(E3965,'점포코드 '!A:B,2,0)</f>
        <v>#N/A</v>
      </c>
      <c r="G3965" s="46">
        <f>'Raw data'!F3874</f>
        <v>0</v>
      </c>
      <c r="H3965" s="4">
        <f>'Raw data'!G3874</f>
        <v>0</v>
      </c>
      <c r="I3965" s="29" t="e">
        <f>VLOOKUP(G3965,제품명!$C$1:$E$114,2,0)</f>
        <v>#N/A</v>
      </c>
      <c r="J3965" s="29">
        <f>'Raw data'!K3874</f>
        <v>0</v>
      </c>
      <c r="K3965" s="31">
        <f>'Raw data'!H3874</f>
        <v>0</v>
      </c>
      <c r="L3965" s="26">
        <f t="shared" si="126"/>
        <v>0</v>
      </c>
    </row>
    <row r="3966" spans="2:12">
      <c r="B3966" s="4" t="e">
        <f t="shared" si="125"/>
        <v>#N/A</v>
      </c>
      <c r="C3966" s="4">
        <f>'Raw data'!E3542</f>
        <v>0</v>
      </c>
      <c r="D3966" s="29" t="e">
        <f>VLOOKUP(C3966,'점포코드 '!A:B,2,0)</f>
        <v>#N/A</v>
      </c>
      <c r="E3966" s="30">
        <f>'Raw data'!P3542</f>
        <v>0</v>
      </c>
      <c r="F3966" s="29" t="e">
        <f>VLOOKUP(E3966,'점포코드 '!A:B,2,0)</f>
        <v>#N/A</v>
      </c>
      <c r="G3966" s="46">
        <f>'Raw data'!F3875</f>
        <v>0</v>
      </c>
      <c r="H3966" s="4">
        <f>'Raw data'!G3875</f>
        <v>0</v>
      </c>
      <c r="I3966" s="29" t="e">
        <f>VLOOKUP(G3966,제품명!$C$1:$E$114,2,0)</f>
        <v>#N/A</v>
      </c>
      <c r="J3966" s="29">
        <f>'Raw data'!K3875</f>
        <v>0</v>
      </c>
      <c r="K3966" s="31">
        <f>'Raw data'!H3875</f>
        <v>0</v>
      </c>
      <c r="L3966" s="26">
        <f t="shared" si="126"/>
        <v>0</v>
      </c>
    </row>
    <row r="3967" spans="2:12">
      <c r="B3967" s="4" t="e">
        <f t="shared" si="125"/>
        <v>#N/A</v>
      </c>
      <c r="C3967" s="4">
        <f>'Raw data'!E3543</f>
        <v>0</v>
      </c>
      <c r="D3967" s="29" t="e">
        <f>VLOOKUP(C3967,'점포코드 '!A:B,2,0)</f>
        <v>#N/A</v>
      </c>
      <c r="E3967" s="30">
        <f>'Raw data'!P3543</f>
        <v>0</v>
      </c>
      <c r="F3967" s="29" t="e">
        <f>VLOOKUP(E3967,'점포코드 '!A:B,2,0)</f>
        <v>#N/A</v>
      </c>
      <c r="G3967" s="46">
        <f>'Raw data'!F3876</f>
        <v>0</v>
      </c>
      <c r="H3967" s="4">
        <f>'Raw data'!G3876</f>
        <v>0</v>
      </c>
      <c r="I3967" s="29" t="e">
        <f>VLOOKUP(G3967,제품명!$C$1:$E$114,2,0)</f>
        <v>#N/A</v>
      </c>
      <c r="J3967" s="29">
        <f>'Raw data'!K3876</f>
        <v>0</v>
      </c>
      <c r="K3967" s="31">
        <f>'Raw data'!H3876</f>
        <v>0</v>
      </c>
      <c r="L3967" s="26">
        <f t="shared" si="126"/>
        <v>0</v>
      </c>
    </row>
    <row r="3968" spans="2:12">
      <c r="B3968" s="4" t="e">
        <f t="shared" si="125"/>
        <v>#N/A</v>
      </c>
      <c r="C3968" s="4">
        <f>'Raw data'!E3544</f>
        <v>0</v>
      </c>
      <c r="D3968" s="29" t="e">
        <f>VLOOKUP(C3968,'점포코드 '!A:B,2,0)</f>
        <v>#N/A</v>
      </c>
      <c r="E3968" s="30">
        <f>'Raw data'!P3544</f>
        <v>0</v>
      </c>
      <c r="F3968" s="29" t="e">
        <f>VLOOKUP(E3968,'점포코드 '!A:B,2,0)</f>
        <v>#N/A</v>
      </c>
      <c r="G3968" s="46">
        <f>'Raw data'!F3877</f>
        <v>0</v>
      </c>
      <c r="H3968" s="4">
        <f>'Raw data'!G3877</f>
        <v>0</v>
      </c>
      <c r="I3968" s="29" t="e">
        <f>VLOOKUP(G3968,제품명!$C$1:$E$114,2,0)</f>
        <v>#N/A</v>
      </c>
      <c r="J3968" s="29">
        <f>'Raw data'!K3877</f>
        <v>0</v>
      </c>
      <c r="K3968" s="31">
        <f>'Raw data'!H3877</f>
        <v>0</v>
      </c>
      <c r="L3968" s="26">
        <f t="shared" si="126"/>
        <v>0</v>
      </c>
    </row>
    <row r="3969" spans="2:12">
      <c r="B3969" s="4" t="e">
        <f t="shared" si="125"/>
        <v>#N/A</v>
      </c>
      <c r="C3969" s="4">
        <f>'Raw data'!E3545</f>
        <v>0</v>
      </c>
      <c r="D3969" s="29" t="e">
        <f>VLOOKUP(C3969,'점포코드 '!A:B,2,0)</f>
        <v>#N/A</v>
      </c>
      <c r="E3969" s="30">
        <f>'Raw data'!P3545</f>
        <v>0</v>
      </c>
      <c r="F3969" s="29" t="e">
        <f>VLOOKUP(E3969,'점포코드 '!A:B,2,0)</f>
        <v>#N/A</v>
      </c>
      <c r="G3969" s="46">
        <f>'Raw data'!F3878</f>
        <v>0</v>
      </c>
      <c r="H3969" s="4">
        <f>'Raw data'!G3878</f>
        <v>0</v>
      </c>
      <c r="I3969" s="29" t="e">
        <f>VLOOKUP(G3969,제품명!$C$1:$E$114,2,0)</f>
        <v>#N/A</v>
      </c>
      <c r="J3969" s="29">
        <f>'Raw data'!K3878</f>
        <v>0</v>
      </c>
      <c r="K3969" s="31">
        <f>'Raw data'!H3878</f>
        <v>0</v>
      </c>
      <c r="L3969" s="26">
        <f t="shared" si="126"/>
        <v>0</v>
      </c>
    </row>
    <row r="3970" spans="2:12">
      <c r="B3970" s="4" t="e">
        <f t="shared" ref="B3970:B4033" si="127">F3970&amp;I3970</f>
        <v>#N/A</v>
      </c>
      <c r="C3970" s="4">
        <f>'Raw data'!E3546</f>
        <v>0</v>
      </c>
      <c r="D3970" s="29" t="e">
        <f>VLOOKUP(C3970,'점포코드 '!A:B,2,0)</f>
        <v>#N/A</v>
      </c>
      <c r="E3970" s="30">
        <f>'Raw data'!P3546</f>
        <v>0</v>
      </c>
      <c r="F3970" s="29" t="e">
        <f>VLOOKUP(E3970,'점포코드 '!A:B,2,0)</f>
        <v>#N/A</v>
      </c>
      <c r="G3970" s="46">
        <f>'Raw data'!F3879</f>
        <v>0</v>
      </c>
      <c r="H3970" s="4">
        <f>'Raw data'!G3879</f>
        <v>0</v>
      </c>
      <c r="I3970" s="29" t="e">
        <f>VLOOKUP(G3970,제품명!$C$1:$E$114,2,0)</f>
        <v>#N/A</v>
      </c>
      <c r="J3970" s="29">
        <f>'Raw data'!K3879</f>
        <v>0</v>
      </c>
      <c r="K3970" s="31">
        <f>'Raw data'!H3879</f>
        <v>0</v>
      </c>
      <c r="L3970" s="26">
        <f t="shared" si="126"/>
        <v>0</v>
      </c>
    </row>
    <row r="3971" spans="2:12">
      <c r="B3971" s="4" t="e">
        <f t="shared" si="127"/>
        <v>#N/A</v>
      </c>
      <c r="C3971" s="4">
        <f>'Raw data'!E3547</f>
        <v>0</v>
      </c>
      <c r="D3971" s="29" t="e">
        <f>VLOOKUP(C3971,'점포코드 '!A:B,2,0)</f>
        <v>#N/A</v>
      </c>
      <c r="E3971" s="30">
        <f>'Raw data'!P3547</f>
        <v>0</v>
      </c>
      <c r="F3971" s="29" t="e">
        <f>VLOOKUP(E3971,'점포코드 '!A:B,2,0)</f>
        <v>#N/A</v>
      </c>
      <c r="G3971" s="46">
        <f>'Raw data'!F3880</f>
        <v>0</v>
      </c>
      <c r="H3971" s="4">
        <f>'Raw data'!G3880</f>
        <v>0</v>
      </c>
      <c r="I3971" s="29" t="e">
        <f>VLOOKUP(G3971,제품명!$C$1:$E$114,2,0)</f>
        <v>#N/A</v>
      </c>
      <c r="J3971" s="29">
        <f>'Raw data'!K3880</f>
        <v>0</v>
      </c>
      <c r="K3971" s="31">
        <f>'Raw data'!H3880</f>
        <v>0</v>
      </c>
      <c r="L3971" s="26">
        <f t="shared" ref="L3971:L4034" si="128">J3971*K3971</f>
        <v>0</v>
      </c>
    </row>
    <row r="3972" spans="2:12">
      <c r="B3972" s="4" t="e">
        <f t="shared" si="127"/>
        <v>#N/A</v>
      </c>
      <c r="C3972" s="4">
        <f>'Raw data'!E3548</f>
        <v>0</v>
      </c>
      <c r="D3972" s="29" t="e">
        <f>VLOOKUP(C3972,'점포코드 '!A:B,2,0)</f>
        <v>#N/A</v>
      </c>
      <c r="E3972" s="30">
        <f>'Raw data'!P3548</f>
        <v>0</v>
      </c>
      <c r="F3972" s="29" t="e">
        <f>VLOOKUP(E3972,'점포코드 '!A:B,2,0)</f>
        <v>#N/A</v>
      </c>
      <c r="G3972" s="46">
        <f>'Raw data'!F3881</f>
        <v>0</v>
      </c>
      <c r="H3972" s="4">
        <f>'Raw data'!G3881</f>
        <v>0</v>
      </c>
      <c r="I3972" s="29" t="e">
        <f>VLOOKUP(G3972,제품명!$C$1:$E$114,2,0)</f>
        <v>#N/A</v>
      </c>
      <c r="J3972" s="29">
        <f>'Raw data'!K3881</f>
        <v>0</v>
      </c>
      <c r="K3972" s="31">
        <f>'Raw data'!H3881</f>
        <v>0</v>
      </c>
      <c r="L3972" s="26">
        <f t="shared" si="128"/>
        <v>0</v>
      </c>
    </row>
    <row r="3973" spans="2:12">
      <c r="B3973" s="4" t="e">
        <f t="shared" si="127"/>
        <v>#N/A</v>
      </c>
      <c r="C3973" s="4">
        <f>'Raw data'!E3549</f>
        <v>0</v>
      </c>
      <c r="D3973" s="29" t="e">
        <f>VLOOKUP(C3973,'점포코드 '!A:B,2,0)</f>
        <v>#N/A</v>
      </c>
      <c r="E3973" s="30">
        <f>'Raw data'!P3549</f>
        <v>0</v>
      </c>
      <c r="F3973" s="29" t="e">
        <f>VLOOKUP(E3973,'점포코드 '!A:B,2,0)</f>
        <v>#N/A</v>
      </c>
      <c r="G3973" s="46">
        <f>'Raw data'!F3882</f>
        <v>0</v>
      </c>
      <c r="H3973" s="4">
        <f>'Raw data'!G3882</f>
        <v>0</v>
      </c>
      <c r="I3973" s="29" t="e">
        <f>VLOOKUP(G3973,제품명!$C$1:$E$114,2,0)</f>
        <v>#N/A</v>
      </c>
      <c r="J3973" s="29">
        <f>'Raw data'!K3882</f>
        <v>0</v>
      </c>
      <c r="K3973" s="31">
        <f>'Raw data'!H3882</f>
        <v>0</v>
      </c>
      <c r="L3973" s="26">
        <f t="shared" si="128"/>
        <v>0</v>
      </c>
    </row>
    <row r="3974" spans="2:12">
      <c r="B3974" s="4" t="e">
        <f t="shared" si="127"/>
        <v>#N/A</v>
      </c>
      <c r="C3974" s="4">
        <f>'Raw data'!E3550</f>
        <v>0</v>
      </c>
      <c r="D3974" s="29" t="e">
        <f>VLOOKUP(C3974,'점포코드 '!A:B,2,0)</f>
        <v>#N/A</v>
      </c>
      <c r="E3974" s="30">
        <f>'Raw data'!P3550</f>
        <v>0</v>
      </c>
      <c r="F3974" s="29" t="e">
        <f>VLOOKUP(E3974,'점포코드 '!A:B,2,0)</f>
        <v>#N/A</v>
      </c>
      <c r="G3974" s="46">
        <f>'Raw data'!F3883</f>
        <v>0</v>
      </c>
      <c r="H3974" s="4">
        <f>'Raw data'!G3883</f>
        <v>0</v>
      </c>
      <c r="I3974" s="29" t="e">
        <f>VLOOKUP(G3974,제품명!$C$1:$E$114,2,0)</f>
        <v>#N/A</v>
      </c>
      <c r="J3974" s="29">
        <f>'Raw data'!K3883</f>
        <v>0</v>
      </c>
      <c r="K3974" s="31">
        <f>'Raw data'!H3883</f>
        <v>0</v>
      </c>
      <c r="L3974" s="26">
        <f t="shared" si="128"/>
        <v>0</v>
      </c>
    </row>
    <row r="3975" spans="2:12">
      <c r="B3975" s="4" t="e">
        <f t="shared" si="127"/>
        <v>#N/A</v>
      </c>
      <c r="C3975" s="4">
        <f>'Raw data'!E3551</f>
        <v>0</v>
      </c>
      <c r="D3975" s="29" t="e">
        <f>VLOOKUP(C3975,'점포코드 '!A:B,2,0)</f>
        <v>#N/A</v>
      </c>
      <c r="E3975" s="30">
        <f>'Raw data'!P3551</f>
        <v>0</v>
      </c>
      <c r="F3975" s="29" t="e">
        <f>VLOOKUP(E3975,'점포코드 '!A:B,2,0)</f>
        <v>#N/A</v>
      </c>
      <c r="G3975" s="46">
        <f>'Raw data'!F3884</f>
        <v>0</v>
      </c>
      <c r="H3975" s="4">
        <f>'Raw data'!G3884</f>
        <v>0</v>
      </c>
      <c r="I3975" s="29" t="e">
        <f>VLOOKUP(G3975,제품명!$C$1:$E$114,2,0)</f>
        <v>#N/A</v>
      </c>
      <c r="J3975" s="29">
        <f>'Raw data'!K3884</f>
        <v>0</v>
      </c>
      <c r="K3975" s="31">
        <f>'Raw data'!H3884</f>
        <v>0</v>
      </c>
      <c r="L3975" s="26">
        <f t="shared" si="128"/>
        <v>0</v>
      </c>
    </row>
    <row r="3976" spans="2:12">
      <c r="B3976" s="4" t="e">
        <f t="shared" si="127"/>
        <v>#N/A</v>
      </c>
      <c r="C3976" s="4">
        <f>'Raw data'!E3552</f>
        <v>0</v>
      </c>
      <c r="D3976" s="29" t="e">
        <f>VLOOKUP(C3976,'점포코드 '!A:B,2,0)</f>
        <v>#N/A</v>
      </c>
      <c r="E3976" s="30">
        <f>'Raw data'!P3552</f>
        <v>0</v>
      </c>
      <c r="F3976" s="29" t="e">
        <f>VLOOKUP(E3976,'점포코드 '!A:B,2,0)</f>
        <v>#N/A</v>
      </c>
      <c r="G3976" s="46">
        <f>'Raw data'!F3885</f>
        <v>0</v>
      </c>
      <c r="H3976" s="4">
        <f>'Raw data'!G3885</f>
        <v>0</v>
      </c>
      <c r="I3976" s="29" t="e">
        <f>VLOOKUP(G3976,제품명!$C$1:$E$114,2,0)</f>
        <v>#N/A</v>
      </c>
      <c r="J3976" s="29">
        <f>'Raw data'!K3885</f>
        <v>0</v>
      </c>
      <c r="K3976" s="31">
        <f>'Raw data'!H3885</f>
        <v>0</v>
      </c>
      <c r="L3976" s="26">
        <f t="shared" si="128"/>
        <v>0</v>
      </c>
    </row>
    <row r="3977" spans="2:12">
      <c r="B3977" s="4" t="e">
        <f t="shared" si="127"/>
        <v>#N/A</v>
      </c>
      <c r="C3977" s="4">
        <f>'Raw data'!E3553</f>
        <v>0</v>
      </c>
      <c r="D3977" s="29" t="e">
        <f>VLOOKUP(C3977,'점포코드 '!A:B,2,0)</f>
        <v>#N/A</v>
      </c>
      <c r="E3977" s="30">
        <f>'Raw data'!P3553</f>
        <v>0</v>
      </c>
      <c r="F3977" s="29" t="e">
        <f>VLOOKUP(E3977,'점포코드 '!A:B,2,0)</f>
        <v>#N/A</v>
      </c>
      <c r="G3977" s="46">
        <f>'Raw data'!F3886</f>
        <v>0</v>
      </c>
      <c r="H3977" s="4">
        <f>'Raw data'!G3886</f>
        <v>0</v>
      </c>
      <c r="I3977" s="29" t="e">
        <f>VLOOKUP(G3977,제품명!$C$1:$E$114,2,0)</f>
        <v>#N/A</v>
      </c>
      <c r="J3977" s="29">
        <f>'Raw data'!K3886</f>
        <v>0</v>
      </c>
      <c r="K3977" s="31">
        <f>'Raw data'!H3886</f>
        <v>0</v>
      </c>
      <c r="L3977" s="26">
        <f t="shared" si="128"/>
        <v>0</v>
      </c>
    </row>
    <row r="3978" spans="2:12">
      <c r="B3978" s="4" t="e">
        <f t="shared" si="127"/>
        <v>#N/A</v>
      </c>
      <c r="C3978" s="4">
        <f>'Raw data'!E3554</f>
        <v>0</v>
      </c>
      <c r="D3978" s="29" t="e">
        <f>VLOOKUP(C3978,'점포코드 '!A:B,2,0)</f>
        <v>#N/A</v>
      </c>
      <c r="E3978" s="30">
        <f>'Raw data'!P3554</f>
        <v>0</v>
      </c>
      <c r="F3978" s="29" t="e">
        <f>VLOOKUP(E3978,'점포코드 '!A:B,2,0)</f>
        <v>#N/A</v>
      </c>
      <c r="G3978" s="46">
        <f>'Raw data'!F3887</f>
        <v>0</v>
      </c>
      <c r="H3978" s="4">
        <f>'Raw data'!G3887</f>
        <v>0</v>
      </c>
      <c r="I3978" s="29" t="e">
        <f>VLOOKUP(G3978,제품명!$C$1:$E$114,2,0)</f>
        <v>#N/A</v>
      </c>
      <c r="J3978" s="29">
        <f>'Raw data'!K3887</f>
        <v>0</v>
      </c>
      <c r="K3978" s="31">
        <f>'Raw data'!H3887</f>
        <v>0</v>
      </c>
      <c r="L3978" s="26">
        <f t="shared" si="128"/>
        <v>0</v>
      </c>
    </row>
    <row r="3979" spans="2:12">
      <c r="B3979" s="4" t="e">
        <f t="shared" si="127"/>
        <v>#N/A</v>
      </c>
      <c r="C3979" s="4">
        <f>'Raw data'!E3555</f>
        <v>0</v>
      </c>
      <c r="D3979" s="29" t="e">
        <f>VLOOKUP(C3979,'점포코드 '!A:B,2,0)</f>
        <v>#N/A</v>
      </c>
      <c r="E3979" s="30">
        <f>'Raw data'!P3555</f>
        <v>0</v>
      </c>
      <c r="F3979" s="29" t="e">
        <f>VLOOKUP(E3979,'점포코드 '!A:B,2,0)</f>
        <v>#N/A</v>
      </c>
      <c r="G3979" s="46">
        <f>'Raw data'!F3888</f>
        <v>0</v>
      </c>
      <c r="H3979" s="4">
        <f>'Raw data'!G3888</f>
        <v>0</v>
      </c>
      <c r="I3979" s="29" t="e">
        <f>VLOOKUP(G3979,제품명!$C$1:$E$114,2,0)</f>
        <v>#N/A</v>
      </c>
      <c r="J3979" s="29">
        <f>'Raw data'!K3888</f>
        <v>0</v>
      </c>
      <c r="K3979" s="31">
        <f>'Raw data'!H3888</f>
        <v>0</v>
      </c>
      <c r="L3979" s="26">
        <f t="shared" si="128"/>
        <v>0</v>
      </c>
    </row>
    <row r="3980" spans="2:12">
      <c r="B3980" s="4" t="e">
        <f t="shared" si="127"/>
        <v>#N/A</v>
      </c>
      <c r="C3980" s="4">
        <f>'Raw data'!E3556</f>
        <v>0</v>
      </c>
      <c r="D3980" s="29" t="e">
        <f>VLOOKUP(C3980,'점포코드 '!A:B,2,0)</f>
        <v>#N/A</v>
      </c>
      <c r="E3980" s="30">
        <f>'Raw data'!P3556</f>
        <v>0</v>
      </c>
      <c r="F3980" s="29" t="e">
        <f>VLOOKUP(E3980,'점포코드 '!A:B,2,0)</f>
        <v>#N/A</v>
      </c>
      <c r="G3980" s="46">
        <f>'Raw data'!F3889</f>
        <v>0</v>
      </c>
      <c r="H3980" s="4">
        <f>'Raw data'!G3889</f>
        <v>0</v>
      </c>
      <c r="I3980" s="29" t="e">
        <f>VLOOKUP(G3980,제품명!$C$1:$E$114,2,0)</f>
        <v>#N/A</v>
      </c>
      <c r="J3980" s="29">
        <f>'Raw data'!K3889</f>
        <v>0</v>
      </c>
      <c r="K3980" s="31">
        <f>'Raw data'!H3889</f>
        <v>0</v>
      </c>
      <c r="L3980" s="26">
        <f t="shared" si="128"/>
        <v>0</v>
      </c>
    </row>
    <row r="3981" spans="2:12">
      <c r="B3981" s="4" t="e">
        <f t="shared" si="127"/>
        <v>#N/A</v>
      </c>
      <c r="C3981" s="4">
        <f>'Raw data'!E3557</f>
        <v>0</v>
      </c>
      <c r="D3981" s="29" t="e">
        <f>VLOOKUP(C3981,'점포코드 '!A:B,2,0)</f>
        <v>#N/A</v>
      </c>
      <c r="E3981" s="30">
        <f>'Raw data'!P3557</f>
        <v>0</v>
      </c>
      <c r="F3981" s="29" t="e">
        <f>VLOOKUP(E3981,'점포코드 '!A:B,2,0)</f>
        <v>#N/A</v>
      </c>
      <c r="G3981" s="46">
        <f>'Raw data'!F3890</f>
        <v>0</v>
      </c>
      <c r="H3981" s="4">
        <f>'Raw data'!G3890</f>
        <v>0</v>
      </c>
      <c r="I3981" s="29" t="e">
        <f>VLOOKUP(G3981,제품명!$C$1:$E$114,2,0)</f>
        <v>#N/A</v>
      </c>
      <c r="J3981" s="29">
        <f>'Raw data'!K3890</f>
        <v>0</v>
      </c>
      <c r="K3981" s="31">
        <f>'Raw data'!H3890</f>
        <v>0</v>
      </c>
      <c r="L3981" s="26">
        <f t="shared" si="128"/>
        <v>0</v>
      </c>
    </row>
    <row r="3982" spans="2:12">
      <c r="B3982" s="4" t="e">
        <f t="shared" si="127"/>
        <v>#N/A</v>
      </c>
      <c r="C3982" s="4">
        <f>'Raw data'!E3558</f>
        <v>0</v>
      </c>
      <c r="D3982" s="29" t="e">
        <f>VLOOKUP(C3982,'점포코드 '!A:B,2,0)</f>
        <v>#N/A</v>
      </c>
      <c r="E3982" s="30">
        <f>'Raw data'!P3558</f>
        <v>0</v>
      </c>
      <c r="F3982" s="29" t="e">
        <f>VLOOKUP(E3982,'점포코드 '!A:B,2,0)</f>
        <v>#N/A</v>
      </c>
      <c r="G3982" s="46">
        <f>'Raw data'!F3891</f>
        <v>0</v>
      </c>
      <c r="H3982" s="4">
        <f>'Raw data'!G3891</f>
        <v>0</v>
      </c>
      <c r="I3982" s="29" t="e">
        <f>VLOOKUP(G3982,제품명!$C$1:$E$114,2,0)</f>
        <v>#N/A</v>
      </c>
      <c r="J3982" s="29">
        <f>'Raw data'!K3891</f>
        <v>0</v>
      </c>
      <c r="K3982" s="31">
        <f>'Raw data'!H3891</f>
        <v>0</v>
      </c>
      <c r="L3982" s="26">
        <f t="shared" si="128"/>
        <v>0</v>
      </c>
    </row>
    <row r="3983" spans="2:12">
      <c r="B3983" s="4" t="e">
        <f t="shared" si="127"/>
        <v>#N/A</v>
      </c>
      <c r="C3983" s="4">
        <f>'Raw data'!E3559</f>
        <v>0</v>
      </c>
      <c r="D3983" s="29" t="e">
        <f>VLOOKUP(C3983,'점포코드 '!A:B,2,0)</f>
        <v>#N/A</v>
      </c>
      <c r="E3983" s="30">
        <f>'Raw data'!P3559</f>
        <v>0</v>
      </c>
      <c r="F3983" s="29" t="e">
        <f>VLOOKUP(E3983,'점포코드 '!A:B,2,0)</f>
        <v>#N/A</v>
      </c>
      <c r="G3983" s="46">
        <f>'Raw data'!F3892</f>
        <v>0</v>
      </c>
      <c r="H3983" s="4">
        <f>'Raw data'!G3892</f>
        <v>0</v>
      </c>
      <c r="I3983" s="29" t="e">
        <f>VLOOKUP(G3983,제품명!$C$1:$E$114,2,0)</f>
        <v>#N/A</v>
      </c>
      <c r="J3983" s="29">
        <f>'Raw data'!K3892</f>
        <v>0</v>
      </c>
      <c r="K3983" s="31">
        <f>'Raw data'!H3892</f>
        <v>0</v>
      </c>
      <c r="L3983" s="26">
        <f t="shared" si="128"/>
        <v>0</v>
      </c>
    </row>
    <row r="3984" spans="2:12">
      <c r="B3984" s="4" t="e">
        <f t="shared" si="127"/>
        <v>#N/A</v>
      </c>
      <c r="C3984" s="4">
        <f>'Raw data'!E3560</f>
        <v>0</v>
      </c>
      <c r="D3984" s="29" t="e">
        <f>VLOOKUP(C3984,'점포코드 '!A:B,2,0)</f>
        <v>#N/A</v>
      </c>
      <c r="E3984" s="30">
        <f>'Raw data'!P3560</f>
        <v>0</v>
      </c>
      <c r="F3984" s="29" t="e">
        <f>VLOOKUP(E3984,'점포코드 '!A:B,2,0)</f>
        <v>#N/A</v>
      </c>
      <c r="G3984" s="46">
        <f>'Raw data'!F3893</f>
        <v>0</v>
      </c>
      <c r="H3984" s="4">
        <f>'Raw data'!G3893</f>
        <v>0</v>
      </c>
      <c r="I3984" s="29" t="e">
        <f>VLOOKUP(G3984,제품명!$C$1:$E$114,2,0)</f>
        <v>#N/A</v>
      </c>
      <c r="J3984" s="29">
        <f>'Raw data'!K3893</f>
        <v>0</v>
      </c>
      <c r="K3984" s="31">
        <f>'Raw data'!H3893</f>
        <v>0</v>
      </c>
      <c r="L3984" s="26">
        <f t="shared" si="128"/>
        <v>0</v>
      </c>
    </row>
    <row r="3985" spans="2:12">
      <c r="B3985" s="4" t="e">
        <f t="shared" si="127"/>
        <v>#N/A</v>
      </c>
      <c r="C3985" s="4">
        <f>'Raw data'!E3561</f>
        <v>0</v>
      </c>
      <c r="D3985" s="29" t="e">
        <f>VLOOKUP(C3985,'점포코드 '!A:B,2,0)</f>
        <v>#N/A</v>
      </c>
      <c r="E3985" s="30">
        <f>'Raw data'!P3561</f>
        <v>0</v>
      </c>
      <c r="F3985" s="29" t="e">
        <f>VLOOKUP(E3985,'점포코드 '!A:B,2,0)</f>
        <v>#N/A</v>
      </c>
      <c r="G3985" s="46">
        <f>'Raw data'!F3894</f>
        <v>0</v>
      </c>
      <c r="H3985" s="4">
        <f>'Raw data'!G3894</f>
        <v>0</v>
      </c>
      <c r="I3985" s="29" t="e">
        <f>VLOOKUP(G3985,제품명!$C$1:$E$114,2,0)</f>
        <v>#N/A</v>
      </c>
      <c r="J3985" s="29">
        <f>'Raw data'!K3894</f>
        <v>0</v>
      </c>
      <c r="K3985" s="31">
        <f>'Raw data'!H3894</f>
        <v>0</v>
      </c>
      <c r="L3985" s="26">
        <f t="shared" si="128"/>
        <v>0</v>
      </c>
    </row>
    <row r="3986" spans="2:12">
      <c r="B3986" s="4" t="e">
        <f t="shared" si="127"/>
        <v>#N/A</v>
      </c>
      <c r="C3986" s="4">
        <f>'Raw data'!E3562</f>
        <v>0</v>
      </c>
      <c r="D3986" s="29" t="e">
        <f>VLOOKUP(C3986,'점포코드 '!A:B,2,0)</f>
        <v>#N/A</v>
      </c>
      <c r="E3986" s="30">
        <f>'Raw data'!P3562</f>
        <v>0</v>
      </c>
      <c r="F3986" s="29" t="e">
        <f>VLOOKUP(E3986,'점포코드 '!A:B,2,0)</f>
        <v>#N/A</v>
      </c>
      <c r="G3986" s="46">
        <f>'Raw data'!F3895</f>
        <v>0</v>
      </c>
      <c r="H3986" s="4">
        <f>'Raw data'!G3895</f>
        <v>0</v>
      </c>
      <c r="I3986" s="29" t="e">
        <f>VLOOKUP(G3986,제품명!$C$1:$E$114,2,0)</f>
        <v>#N/A</v>
      </c>
      <c r="J3986" s="29">
        <f>'Raw data'!K3895</f>
        <v>0</v>
      </c>
      <c r="K3986" s="31">
        <f>'Raw data'!H3895</f>
        <v>0</v>
      </c>
      <c r="L3986" s="26">
        <f t="shared" si="128"/>
        <v>0</v>
      </c>
    </row>
    <row r="3987" spans="2:12">
      <c r="B3987" s="4" t="e">
        <f t="shared" si="127"/>
        <v>#N/A</v>
      </c>
      <c r="C3987" s="4">
        <f>'Raw data'!E3563</f>
        <v>0</v>
      </c>
      <c r="D3987" s="29" t="e">
        <f>VLOOKUP(C3987,'점포코드 '!A:B,2,0)</f>
        <v>#N/A</v>
      </c>
      <c r="E3987" s="30">
        <f>'Raw data'!P3563</f>
        <v>0</v>
      </c>
      <c r="F3987" s="29" t="e">
        <f>VLOOKUP(E3987,'점포코드 '!A:B,2,0)</f>
        <v>#N/A</v>
      </c>
      <c r="G3987" s="46">
        <f>'Raw data'!F3896</f>
        <v>0</v>
      </c>
      <c r="H3987" s="4">
        <f>'Raw data'!G3896</f>
        <v>0</v>
      </c>
      <c r="I3987" s="29" t="e">
        <f>VLOOKUP(G3987,제품명!$C$1:$E$114,2,0)</f>
        <v>#N/A</v>
      </c>
      <c r="J3987" s="29">
        <f>'Raw data'!K3896</f>
        <v>0</v>
      </c>
      <c r="K3987" s="31">
        <f>'Raw data'!H3896</f>
        <v>0</v>
      </c>
      <c r="L3987" s="26">
        <f t="shared" si="128"/>
        <v>0</v>
      </c>
    </row>
    <row r="3988" spans="2:12">
      <c r="B3988" s="4" t="e">
        <f t="shared" si="127"/>
        <v>#N/A</v>
      </c>
      <c r="C3988" s="4">
        <f>'Raw data'!E3564</f>
        <v>0</v>
      </c>
      <c r="D3988" s="29" t="e">
        <f>VLOOKUP(C3988,'점포코드 '!A:B,2,0)</f>
        <v>#N/A</v>
      </c>
      <c r="E3988" s="30">
        <f>'Raw data'!P3564</f>
        <v>0</v>
      </c>
      <c r="F3988" s="29" t="e">
        <f>VLOOKUP(E3988,'점포코드 '!A:B,2,0)</f>
        <v>#N/A</v>
      </c>
      <c r="G3988" s="46">
        <f>'Raw data'!F3897</f>
        <v>0</v>
      </c>
      <c r="H3988" s="4">
        <f>'Raw data'!G3897</f>
        <v>0</v>
      </c>
      <c r="I3988" s="29" t="e">
        <f>VLOOKUP(G3988,제품명!$C$1:$E$114,2,0)</f>
        <v>#N/A</v>
      </c>
      <c r="J3988" s="29">
        <f>'Raw data'!K3897</f>
        <v>0</v>
      </c>
      <c r="K3988" s="31">
        <f>'Raw data'!H3897</f>
        <v>0</v>
      </c>
      <c r="L3988" s="26">
        <f t="shared" si="128"/>
        <v>0</v>
      </c>
    </row>
    <row r="3989" spans="2:12">
      <c r="B3989" s="4" t="e">
        <f t="shared" si="127"/>
        <v>#N/A</v>
      </c>
      <c r="C3989" s="4">
        <f>'Raw data'!E3565</f>
        <v>0</v>
      </c>
      <c r="D3989" s="29" t="e">
        <f>VLOOKUP(C3989,'점포코드 '!A:B,2,0)</f>
        <v>#N/A</v>
      </c>
      <c r="E3989" s="30">
        <f>'Raw data'!P3565</f>
        <v>0</v>
      </c>
      <c r="F3989" s="29" t="e">
        <f>VLOOKUP(E3989,'점포코드 '!A:B,2,0)</f>
        <v>#N/A</v>
      </c>
      <c r="G3989" s="46">
        <f>'Raw data'!F3898</f>
        <v>0</v>
      </c>
      <c r="H3989" s="4">
        <f>'Raw data'!G3898</f>
        <v>0</v>
      </c>
      <c r="I3989" s="29" t="e">
        <f>VLOOKUP(G3989,제품명!$C$1:$E$114,2,0)</f>
        <v>#N/A</v>
      </c>
      <c r="J3989" s="29">
        <f>'Raw data'!K3898</f>
        <v>0</v>
      </c>
      <c r="K3989" s="31">
        <f>'Raw data'!H3898</f>
        <v>0</v>
      </c>
      <c r="L3989" s="26">
        <f t="shared" si="128"/>
        <v>0</v>
      </c>
    </row>
    <row r="3990" spans="2:12">
      <c r="B3990" s="4" t="e">
        <f t="shared" si="127"/>
        <v>#N/A</v>
      </c>
      <c r="C3990" s="4">
        <f>'Raw data'!E3566</f>
        <v>0</v>
      </c>
      <c r="D3990" s="29" t="e">
        <f>VLOOKUP(C3990,'점포코드 '!A:B,2,0)</f>
        <v>#N/A</v>
      </c>
      <c r="E3990" s="30">
        <f>'Raw data'!P3566</f>
        <v>0</v>
      </c>
      <c r="F3990" s="29" t="e">
        <f>VLOOKUP(E3990,'점포코드 '!A:B,2,0)</f>
        <v>#N/A</v>
      </c>
      <c r="G3990" s="46">
        <f>'Raw data'!F3899</f>
        <v>0</v>
      </c>
      <c r="H3990" s="4">
        <f>'Raw data'!G3899</f>
        <v>0</v>
      </c>
      <c r="I3990" s="29" t="e">
        <f>VLOOKUP(G3990,제품명!$C$1:$E$114,2,0)</f>
        <v>#N/A</v>
      </c>
      <c r="J3990" s="29">
        <f>'Raw data'!K3899</f>
        <v>0</v>
      </c>
      <c r="K3990" s="31">
        <f>'Raw data'!H3899</f>
        <v>0</v>
      </c>
      <c r="L3990" s="26">
        <f t="shared" si="128"/>
        <v>0</v>
      </c>
    </row>
    <row r="3991" spans="2:12">
      <c r="B3991" s="4" t="e">
        <f t="shared" si="127"/>
        <v>#N/A</v>
      </c>
      <c r="C3991" s="4">
        <f>'Raw data'!E3567</f>
        <v>0</v>
      </c>
      <c r="D3991" s="29" t="e">
        <f>VLOOKUP(C3991,'점포코드 '!A:B,2,0)</f>
        <v>#N/A</v>
      </c>
      <c r="E3991" s="30">
        <f>'Raw data'!P3567</f>
        <v>0</v>
      </c>
      <c r="F3991" s="29" t="e">
        <f>VLOOKUP(E3991,'점포코드 '!A:B,2,0)</f>
        <v>#N/A</v>
      </c>
      <c r="G3991" s="46">
        <f>'Raw data'!F3900</f>
        <v>0</v>
      </c>
      <c r="H3991" s="4">
        <f>'Raw data'!G3900</f>
        <v>0</v>
      </c>
      <c r="I3991" s="29" t="e">
        <f>VLOOKUP(G3991,제품명!$C$1:$E$114,2,0)</f>
        <v>#N/A</v>
      </c>
      <c r="J3991" s="29">
        <f>'Raw data'!K3900</f>
        <v>0</v>
      </c>
      <c r="K3991" s="31">
        <f>'Raw data'!H3900</f>
        <v>0</v>
      </c>
      <c r="L3991" s="26">
        <f t="shared" si="128"/>
        <v>0</v>
      </c>
    </row>
    <row r="3992" spans="2:12">
      <c r="B3992" s="4" t="e">
        <f t="shared" si="127"/>
        <v>#N/A</v>
      </c>
      <c r="C3992" s="4">
        <f>'Raw data'!E3568</f>
        <v>0</v>
      </c>
      <c r="D3992" s="29" t="e">
        <f>VLOOKUP(C3992,'점포코드 '!A:B,2,0)</f>
        <v>#N/A</v>
      </c>
      <c r="E3992" s="30">
        <f>'Raw data'!P3568</f>
        <v>0</v>
      </c>
      <c r="F3992" s="29" t="e">
        <f>VLOOKUP(E3992,'점포코드 '!A:B,2,0)</f>
        <v>#N/A</v>
      </c>
      <c r="G3992" s="46">
        <f>'Raw data'!F3901</f>
        <v>0</v>
      </c>
      <c r="H3992" s="4">
        <f>'Raw data'!G3901</f>
        <v>0</v>
      </c>
      <c r="I3992" s="29" t="e">
        <f>VLOOKUP(G3992,제품명!$C$1:$E$114,2,0)</f>
        <v>#N/A</v>
      </c>
      <c r="J3992" s="29">
        <f>'Raw data'!K3901</f>
        <v>0</v>
      </c>
      <c r="K3992" s="31">
        <f>'Raw data'!H3901</f>
        <v>0</v>
      </c>
      <c r="L3992" s="26">
        <f t="shared" si="128"/>
        <v>0</v>
      </c>
    </row>
    <row r="3993" spans="2:12">
      <c r="B3993" s="4" t="e">
        <f t="shared" si="127"/>
        <v>#N/A</v>
      </c>
      <c r="C3993" s="4">
        <f>'Raw data'!E3569</f>
        <v>0</v>
      </c>
      <c r="D3993" s="29" t="e">
        <f>VLOOKUP(C3993,'점포코드 '!A:B,2,0)</f>
        <v>#N/A</v>
      </c>
      <c r="E3993" s="30">
        <f>'Raw data'!P3569</f>
        <v>0</v>
      </c>
      <c r="F3993" s="29" t="e">
        <f>VLOOKUP(E3993,'점포코드 '!A:B,2,0)</f>
        <v>#N/A</v>
      </c>
      <c r="G3993" s="46">
        <f>'Raw data'!F3902</f>
        <v>0</v>
      </c>
      <c r="H3993" s="4">
        <f>'Raw data'!G3902</f>
        <v>0</v>
      </c>
      <c r="I3993" s="29" t="e">
        <f>VLOOKUP(G3993,제품명!$C$1:$E$114,2,0)</f>
        <v>#N/A</v>
      </c>
      <c r="J3993" s="29">
        <f>'Raw data'!K3902</f>
        <v>0</v>
      </c>
      <c r="K3993" s="31">
        <f>'Raw data'!H3902</f>
        <v>0</v>
      </c>
      <c r="L3993" s="26">
        <f t="shared" si="128"/>
        <v>0</v>
      </c>
    </row>
    <row r="3994" spans="2:12">
      <c r="B3994" s="4" t="e">
        <f t="shared" si="127"/>
        <v>#N/A</v>
      </c>
      <c r="C3994" s="4">
        <f>'Raw data'!E3570</f>
        <v>0</v>
      </c>
      <c r="D3994" s="29" t="e">
        <f>VLOOKUP(C3994,'점포코드 '!A:B,2,0)</f>
        <v>#N/A</v>
      </c>
      <c r="E3994" s="30">
        <f>'Raw data'!P3570</f>
        <v>0</v>
      </c>
      <c r="F3994" s="29" t="e">
        <f>VLOOKUP(E3994,'점포코드 '!A:B,2,0)</f>
        <v>#N/A</v>
      </c>
      <c r="G3994" s="46">
        <f>'Raw data'!F3903</f>
        <v>0</v>
      </c>
      <c r="H3994" s="4">
        <f>'Raw data'!G3903</f>
        <v>0</v>
      </c>
      <c r="I3994" s="29" t="e">
        <f>VLOOKUP(G3994,제품명!$C$1:$E$114,2,0)</f>
        <v>#N/A</v>
      </c>
      <c r="J3994" s="29">
        <f>'Raw data'!K3903</f>
        <v>0</v>
      </c>
      <c r="K3994" s="31">
        <f>'Raw data'!H3903</f>
        <v>0</v>
      </c>
      <c r="L3994" s="26">
        <f t="shared" si="128"/>
        <v>0</v>
      </c>
    </row>
    <row r="3995" spans="2:12">
      <c r="B3995" s="4" t="e">
        <f t="shared" si="127"/>
        <v>#N/A</v>
      </c>
      <c r="C3995" s="4">
        <f>'Raw data'!E3571</f>
        <v>0</v>
      </c>
      <c r="D3995" s="29" t="e">
        <f>VLOOKUP(C3995,'점포코드 '!A:B,2,0)</f>
        <v>#N/A</v>
      </c>
      <c r="E3995" s="30">
        <f>'Raw data'!P3571</f>
        <v>0</v>
      </c>
      <c r="F3995" s="29" t="e">
        <f>VLOOKUP(E3995,'점포코드 '!A:B,2,0)</f>
        <v>#N/A</v>
      </c>
      <c r="G3995" s="46">
        <f>'Raw data'!F3904</f>
        <v>0</v>
      </c>
      <c r="H3995" s="4">
        <f>'Raw data'!G3904</f>
        <v>0</v>
      </c>
      <c r="I3995" s="29" t="e">
        <f>VLOOKUP(G3995,제품명!$C$1:$E$114,2,0)</f>
        <v>#N/A</v>
      </c>
      <c r="J3995" s="29">
        <f>'Raw data'!K3904</f>
        <v>0</v>
      </c>
      <c r="K3995" s="31">
        <f>'Raw data'!H3904</f>
        <v>0</v>
      </c>
      <c r="L3995" s="26">
        <f t="shared" si="128"/>
        <v>0</v>
      </c>
    </row>
    <row r="3996" spans="2:12">
      <c r="B3996" s="4" t="e">
        <f t="shared" si="127"/>
        <v>#N/A</v>
      </c>
      <c r="C3996" s="4">
        <f>'Raw data'!E3572</f>
        <v>0</v>
      </c>
      <c r="D3996" s="29" t="e">
        <f>VLOOKUP(C3996,'점포코드 '!A:B,2,0)</f>
        <v>#N/A</v>
      </c>
      <c r="E3996" s="30">
        <f>'Raw data'!P3572</f>
        <v>0</v>
      </c>
      <c r="F3996" s="29" t="e">
        <f>VLOOKUP(E3996,'점포코드 '!A:B,2,0)</f>
        <v>#N/A</v>
      </c>
      <c r="G3996" s="46">
        <f>'Raw data'!F3905</f>
        <v>0</v>
      </c>
      <c r="H3996" s="4">
        <f>'Raw data'!G3905</f>
        <v>0</v>
      </c>
      <c r="I3996" s="29" t="e">
        <f>VLOOKUP(G3996,제품명!$C$1:$E$114,2,0)</f>
        <v>#N/A</v>
      </c>
      <c r="J3996" s="29">
        <f>'Raw data'!K3905</f>
        <v>0</v>
      </c>
      <c r="K3996" s="31">
        <f>'Raw data'!H3905</f>
        <v>0</v>
      </c>
      <c r="L3996" s="26">
        <f t="shared" si="128"/>
        <v>0</v>
      </c>
    </row>
    <row r="3997" spans="2:12">
      <c r="B3997" s="4" t="e">
        <f t="shared" si="127"/>
        <v>#N/A</v>
      </c>
      <c r="C3997" s="4">
        <f>'Raw data'!E3573</f>
        <v>0</v>
      </c>
      <c r="D3997" s="29" t="e">
        <f>VLOOKUP(C3997,'점포코드 '!A:B,2,0)</f>
        <v>#N/A</v>
      </c>
      <c r="E3997" s="30">
        <f>'Raw data'!P3573</f>
        <v>0</v>
      </c>
      <c r="F3997" s="29" t="e">
        <f>VLOOKUP(E3997,'점포코드 '!A:B,2,0)</f>
        <v>#N/A</v>
      </c>
      <c r="G3997" s="46">
        <f>'Raw data'!F3906</f>
        <v>0</v>
      </c>
      <c r="H3997" s="4">
        <f>'Raw data'!G3906</f>
        <v>0</v>
      </c>
      <c r="I3997" s="29" t="e">
        <f>VLOOKUP(G3997,제품명!$C$1:$E$114,2,0)</f>
        <v>#N/A</v>
      </c>
      <c r="J3997" s="29">
        <f>'Raw data'!K3906</f>
        <v>0</v>
      </c>
      <c r="K3997" s="31">
        <f>'Raw data'!H3906</f>
        <v>0</v>
      </c>
      <c r="L3997" s="26">
        <f t="shared" si="128"/>
        <v>0</v>
      </c>
    </row>
    <row r="3998" spans="2:12">
      <c r="B3998" s="4" t="e">
        <f t="shared" si="127"/>
        <v>#N/A</v>
      </c>
      <c r="C3998" s="4">
        <f>'Raw data'!E3574</f>
        <v>0</v>
      </c>
      <c r="D3998" s="29" t="e">
        <f>VLOOKUP(C3998,'점포코드 '!A:B,2,0)</f>
        <v>#N/A</v>
      </c>
      <c r="E3998" s="30">
        <f>'Raw data'!P3574</f>
        <v>0</v>
      </c>
      <c r="F3998" s="29" t="e">
        <f>VLOOKUP(E3998,'점포코드 '!A:B,2,0)</f>
        <v>#N/A</v>
      </c>
      <c r="G3998" s="46">
        <f>'Raw data'!F3907</f>
        <v>0</v>
      </c>
      <c r="H3998" s="4">
        <f>'Raw data'!G3907</f>
        <v>0</v>
      </c>
      <c r="I3998" s="29" t="e">
        <f>VLOOKUP(G3998,제품명!$C$1:$E$114,2,0)</f>
        <v>#N/A</v>
      </c>
      <c r="J3998" s="29">
        <f>'Raw data'!K3907</f>
        <v>0</v>
      </c>
      <c r="K3998" s="31">
        <f>'Raw data'!H3907</f>
        <v>0</v>
      </c>
      <c r="L3998" s="26">
        <f t="shared" si="128"/>
        <v>0</v>
      </c>
    </row>
    <row r="3999" spans="2:12">
      <c r="B3999" s="4" t="e">
        <f t="shared" si="127"/>
        <v>#N/A</v>
      </c>
      <c r="C3999" s="4">
        <f>'Raw data'!E3575</f>
        <v>0</v>
      </c>
      <c r="D3999" s="29" t="e">
        <f>VLOOKUP(C3999,'점포코드 '!A:B,2,0)</f>
        <v>#N/A</v>
      </c>
      <c r="E3999" s="30">
        <f>'Raw data'!P3575</f>
        <v>0</v>
      </c>
      <c r="F3999" s="29" t="e">
        <f>VLOOKUP(E3999,'점포코드 '!A:B,2,0)</f>
        <v>#N/A</v>
      </c>
      <c r="G3999" s="46">
        <f>'Raw data'!F3908</f>
        <v>0</v>
      </c>
      <c r="H3999" s="4">
        <f>'Raw data'!G3908</f>
        <v>0</v>
      </c>
      <c r="I3999" s="29" t="e">
        <f>VLOOKUP(G3999,제품명!$C$1:$E$114,2,0)</f>
        <v>#N/A</v>
      </c>
      <c r="J3999" s="29">
        <f>'Raw data'!K3908</f>
        <v>0</v>
      </c>
      <c r="K3999" s="31">
        <f>'Raw data'!H3908</f>
        <v>0</v>
      </c>
      <c r="L3999" s="26">
        <f t="shared" si="128"/>
        <v>0</v>
      </c>
    </row>
    <row r="4000" spans="2:12">
      <c r="B4000" s="4" t="e">
        <f t="shared" si="127"/>
        <v>#N/A</v>
      </c>
      <c r="C4000" s="4">
        <f>'Raw data'!E3576</f>
        <v>0</v>
      </c>
      <c r="D4000" s="29" t="e">
        <f>VLOOKUP(C4000,'점포코드 '!A:B,2,0)</f>
        <v>#N/A</v>
      </c>
      <c r="E4000" s="30">
        <f>'Raw data'!P3576</f>
        <v>0</v>
      </c>
      <c r="F4000" s="29" t="e">
        <f>VLOOKUP(E4000,'점포코드 '!A:B,2,0)</f>
        <v>#N/A</v>
      </c>
      <c r="G4000" s="46">
        <f>'Raw data'!F3909</f>
        <v>0</v>
      </c>
      <c r="H4000" s="4">
        <f>'Raw data'!G3909</f>
        <v>0</v>
      </c>
      <c r="I4000" s="29" t="e">
        <f>VLOOKUP(G4000,제품명!$C$1:$E$114,2,0)</f>
        <v>#N/A</v>
      </c>
      <c r="J4000" s="29">
        <f>'Raw data'!K3909</f>
        <v>0</v>
      </c>
      <c r="K4000" s="31">
        <f>'Raw data'!H3909</f>
        <v>0</v>
      </c>
      <c r="L4000" s="26">
        <f t="shared" si="128"/>
        <v>0</v>
      </c>
    </row>
    <row r="4001" spans="2:12">
      <c r="B4001" s="4" t="e">
        <f t="shared" si="127"/>
        <v>#N/A</v>
      </c>
      <c r="C4001" s="4">
        <f>'Raw data'!E3577</f>
        <v>0</v>
      </c>
      <c r="D4001" s="29" t="e">
        <f>VLOOKUP(C4001,'점포코드 '!A:B,2,0)</f>
        <v>#N/A</v>
      </c>
      <c r="E4001" s="30">
        <f>'Raw data'!P3577</f>
        <v>0</v>
      </c>
      <c r="F4001" s="29" t="e">
        <f>VLOOKUP(E4001,'점포코드 '!A:B,2,0)</f>
        <v>#N/A</v>
      </c>
      <c r="G4001" s="46">
        <f>'Raw data'!F3910</f>
        <v>0</v>
      </c>
      <c r="H4001" s="4">
        <f>'Raw data'!G3910</f>
        <v>0</v>
      </c>
      <c r="I4001" s="29" t="e">
        <f>VLOOKUP(G4001,제품명!$C$1:$E$114,2,0)</f>
        <v>#N/A</v>
      </c>
      <c r="J4001" s="29">
        <f>'Raw data'!K3910</f>
        <v>0</v>
      </c>
      <c r="K4001" s="31">
        <f>'Raw data'!H3910</f>
        <v>0</v>
      </c>
      <c r="L4001" s="26">
        <f t="shared" si="128"/>
        <v>0</v>
      </c>
    </row>
    <row r="4002" spans="2:12">
      <c r="B4002" s="4" t="e">
        <f t="shared" si="127"/>
        <v>#N/A</v>
      </c>
      <c r="C4002" s="4">
        <f>'Raw data'!E3578</f>
        <v>0</v>
      </c>
      <c r="D4002" s="29" t="e">
        <f>VLOOKUP(C4002,'점포코드 '!A:B,2,0)</f>
        <v>#N/A</v>
      </c>
      <c r="E4002" s="30">
        <f>'Raw data'!P3578</f>
        <v>0</v>
      </c>
      <c r="F4002" s="29" t="e">
        <f>VLOOKUP(E4002,'점포코드 '!A:B,2,0)</f>
        <v>#N/A</v>
      </c>
      <c r="G4002" s="46">
        <f>'Raw data'!F3911</f>
        <v>0</v>
      </c>
      <c r="H4002" s="4">
        <f>'Raw data'!G3911</f>
        <v>0</v>
      </c>
      <c r="I4002" s="29" t="e">
        <f>VLOOKUP(G4002,제품명!$C$1:$E$114,2,0)</f>
        <v>#N/A</v>
      </c>
      <c r="J4002" s="29">
        <f>'Raw data'!K3911</f>
        <v>0</v>
      </c>
      <c r="K4002" s="31">
        <f>'Raw data'!H3911</f>
        <v>0</v>
      </c>
      <c r="L4002" s="26">
        <f t="shared" si="128"/>
        <v>0</v>
      </c>
    </row>
    <row r="4003" spans="2:12">
      <c r="B4003" s="4" t="e">
        <f t="shared" si="127"/>
        <v>#N/A</v>
      </c>
      <c r="C4003" s="4">
        <f>'Raw data'!E3579</f>
        <v>0</v>
      </c>
      <c r="D4003" s="29" t="e">
        <f>VLOOKUP(C4003,'점포코드 '!A:B,2,0)</f>
        <v>#N/A</v>
      </c>
      <c r="E4003" s="30">
        <f>'Raw data'!P3579</f>
        <v>0</v>
      </c>
      <c r="F4003" s="29" t="e">
        <f>VLOOKUP(E4003,'점포코드 '!A:B,2,0)</f>
        <v>#N/A</v>
      </c>
      <c r="G4003" s="46">
        <f>'Raw data'!F3912</f>
        <v>0</v>
      </c>
      <c r="H4003" s="4">
        <f>'Raw data'!G3912</f>
        <v>0</v>
      </c>
      <c r="I4003" s="29" t="e">
        <f>VLOOKUP(G4003,제품명!$C$1:$E$114,2,0)</f>
        <v>#N/A</v>
      </c>
      <c r="J4003" s="29">
        <f>'Raw data'!K3912</f>
        <v>0</v>
      </c>
      <c r="K4003" s="31">
        <f>'Raw data'!H3912</f>
        <v>0</v>
      </c>
      <c r="L4003" s="26">
        <f t="shared" si="128"/>
        <v>0</v>
      </c>
    </row>
    <row r="4004" spans="2:12">
      <c r="B4004" s="4" t="e">
        <f t="shared" si="127"/>
        <v>#N/A</v>
      </c>
      <c r="C4004" s="4">
        <f>'Raw data'!E3580</f>
        <v>0</v>
      </c>
      <c r="D4004" s="29" t="e">
        <f>VLOOKUP(C4004,'점포코드 '!A:B,2,0)</f>
        <v>#N/A</v>
      </c>
      <c r="E4004" s="30">
        <f>'Raw data'!P3580</f>
        <v>0</v>
      </c>
      <c r="F4004" s="29" t="e">
        <f>VLOOKUP(E4004,'점포코드 '!A:B,2,0)</f>
        <v>#N/A</v>
      </c>
      <c r="G4004" s="46">
        <f>'Raw data'!F3913</f>
        <v>0</v>
      </c>
      <c r="H4004" s="4">
        <f>'Raw data'!G3913</f>
        <v>0</v>
      </c>
      <c r="I4004" s="29" t="e">
        <f>VLOOKUP(G4004,제품명!$C$1:$E$114,2,0)</f>
        <v>#N/A</v>
      </c>
      <c r="J4004" s="29">
        <f>'Raw data'!K3913</f>
        <v>0</v>
      </c>
      <c r="K4004" s="31">
        <f>'Raw data'!H3913</f>
        <v>0</v>
      </c>
      <c r="L4004" s="26">
        <f t="shared" si="128"/>
        <v>0</v>
      </c>
    </row>
    <row r="4005" spans="2:12">
      <c r="B4005" s="4" t="e">
        <f t="shared" si="127"/>
        <v>#N/A</v>
      </c>
      <c r="C4005" s="4">
        <f>'Raw data'!E3581</f>
        <v>0</v>
      </c>
      <c r="D4005" s="29" t="e">
        <f>VLOOKUP(C4005,'점포코드 '!A:B,2,0)</f>
        <v>#N/A</v>
      </c>
      <c r="E4005" s="30">
        <f>'Raw data'!P3581</f>
        <v>0</v>
      </c>
      <c r="F4005" s="29" t="e">
        <f>VLOOKUP(E4005,'점포코드 '!A:B,2,0)</f>
        <v>#N/A</v>
      </c>
      <c r="G4005" s="46">
        <f>'Raw data'!F3914</f>
        <v>0</v>
      </c>
      <c r="H4005" s="4">
        <f>'Raw data'!G3914</f>
        <v>0</v>
      </c>
      <c r="I4005" s="29" t="e">
        <f>VLOOKUP(G4005,제품명!$C$1:$E$114,2,0)</f>
        <v>#N/A</v>
      </c>
      <c r="J4005" s="29">
        <f>'Raw data'!K3914</f>
        <v>0</v>
      </c>
      <c r="K4005" s="31">
        <f>'Raw data'!H3914</f>
        <v>0</v>
      </c>
      <c r="L4005" s="26">
        <f t="shared" si="128"/>
        <v>0</v>
      </c>
    </row>
    <row r="4006" spans="2:12">
      <c r="B4006" s="4" t="e">
        <f t="shared" si="127"/>
        <v>#N/A</v>
      </c>
      <c r="C4006" s="4">
        <f>'Raw data'!E3582</f>
        <v>0</v>
      </c>
      <c r="D4006" s="29" t="e">
        <f>VLOOKUP(C4006,'점포코드 '!A:B,2,0)</f>
        <v>#N/A</v>
      </c>
      <c r="E4006" s="30">
        <f>'Raw data'!P3582</f>
        <v>0</v>
      </c>
      <c r="F4006" s="29" t="e">
        <f>VLOOKUP(E4006,'점포코드 '!A:B,2,0)</f>
        <v>#N/A</v>
      </c>
      <c r="G4006" s="46">
        <f>'Raw data'!F3915</f>
        <v>0</v>
      </c>
      <c r="H4006" s="4">
        <f>'Raw data'!G3915</f>
        <v>0</v>
      </c>
      <c r="I4006" s="29" t="e">
        <f>VLOOKUP(G4006,제품명!$C$1:$E$114,2,0)</f>
        <v>#N/A</v>
      </c>
      <c r="J4006" s="29">
        <f>'Raw data'!K3915</f>
        <v>0</v>
      </c>
      <c r="K4006" s="31">
        <f>'Raw data'!H3915</f>
        <v>0</v>
      </c>
      <c r="L4006" s="26">
        <f t="shared" si="128"/>
        <v>0</v>
      </c>
    </row>
    <row r="4007" spans="2:12">
      <c r="B4007" s="4" t="e">
        <f t="shared" si="127"/>
        <v>#N/A</v>
      </c>
      <c r="C4007" s="4">
        <f>'Raw data'!E3583</f>
        <v>0</v>
      </c>
      <c r="D4007" s="29" t="e">
        <f>VLOOKUP(C4007,'점포코드 '!A:B,2,0)</f>
        <v>#N/A</v>
      </c>
      <c r="E4007" s="30">
        <f>'Raw data'!P3583</f>
        <v>0</v>
      </c>
      <c r="F4007" s="29" t="e">
        <f>VLOOKUP(E4007,'점포코드 '!A:B,2,0)</f>
        <v>#N/A</v>
      </c>
      <c r="G4007" s="46">
        <f>'Raw data'!F3916</f>
        <v>0</v>
      </c>
      <c r="H4007" s="4">
        <f>'Raw data'!G3916</f>
        <v>0</v>
      </c>
      <c r="I4007" s="29" t="e">
        <f>VLOOKUP(G4007,제품명!$C$1:$E$114,2,0)</f>
        <v>#N/A</v>
      </c>
      <c r="J4007" s="29">
        <f>'Raw data'!K3916</f>
        <v>0</v>
      </c>
      <c r="K4007" s="31">
        <f>'Raw data'!H3916</f>
        <v>0</v>
      </c>
      <c r="L4007" s="26">
        <f t="shared" si="128"/>
        <v>0</v>
      </c>
    </row>
    <row r="4008" spans="2:12">
      <c r="B4008" s="4" t="e">
        <f t="shared" si="127"/>
        <v>#N/A</v>
      </c>
      <c r="C4008" s="4">
        <f>'Raw data'!E3584</f>
        <v>0</v>
      </c>
      <c r="D4008" s="29" t="e">
        <f>VLOOKUP(C4008,'점포코드 '!A:B,2,0)</f>
        <v>#N/A</v>
      </c>
      <c r="E4008" s="30">
        <f>'Raw data'!P3584</f>
        <v>0</v>
      </c>
      <c r="F4008" s="29" t="e">
        <f>VLOOKUP(E4008,'점포코드 '!A:B,2,0)</f>
        <v>#N/A</v>
      </c>
      <c r="G4008" s="46">
        <f>'Raw data'!F3917</f>
        <v>0</v>
      </c>
      <c r="H4008" s="4">
        <f>'Raw data'!G3917</f>
        <v>0</v>
      </c>
      <c r="I4008" s="29" t="e">
        <f>VLOOKUP(G4008,제품명!$C$1:$E$114,2,0)</f>
        <v>#N/A</v>
      </c>
      <c r="J4008" s="29">
        <f>'Raw data'!K3917</f>
        <v>0</v>
      </c>
      <c r="K4008" s="31">
        <f>'Raw data'!H3917</f>
        <v>0</v>
      </c>
      <c r="L4008" s="26">
        <f t="shared" si="128"/>
        <v>0</v>
      </c>
    </row>
    <row r="4009" spans="2:12">
      <c r="B4009" s="4" t="e">
        <f t="shared" si="127"/>
        <v>#N/A</v>
      </c>
      <c r="C4009" s="4">
        <f>'Raw data'!E3585</f>
        <v>0</v>
      </c>
      <c r="D4009" s="29" t="e">
        <f>VLOOKUP(C4009,'점포코드 '!A:B,2,0)</f>
        <v>#N/A</v>
      </c>
      <c r="E4009" s="30">
        <f>'Raw data'!P3585</f>
        <v>0</v>
      </c>
      <c r="F4009" s="29" t="e">
        <f>VLOOKUP(E4009,'점포코드 '!A:B,2,0)</f>
        <v>#N/A</v>
      </c>
      <c r="G4009" s="46">
        <f>'Raw data'!F3918</f>
        <v>0</v>
      </c>
      <c r="H4009" s="4">
        <f>'Raw data'!G3918</f>
        <v>0</v>
      </c>
      <c r="I4009" s="29" t="e">
        <f>VLOOKUP(G4009,제품명!$C$1:$E$114,2,0)</f>
        <v>#N/A</v>
      </c>
      <c r="J4009" s="29">
        <f>'Raw data'!K3918</f>
        <v>0</v>
      </c>
      <c r="K4009" s="31">
        <f>'Raw data'!H3918</f>
        <v>0</v>
      </c>
      <c r="L4009" s="26">
        <f t="shared" si="128"/>
        <v>0</v>
      </c>
    </row>
    <row r="4010" spans="2:12">
      <c r="B4010" s="4" t="e">
        <f t="shared" si="127"/>
        <v>#N/A</v>
      </c>
      <c r="C4010" s="4">
        <f>'Raw data'!E3586</f>
        <v>0</v>
      </c>
      <c r="D4010" s="29" t="e">
        <f>VLOOKUP(C4010,'점포코드 '!A:B,2,0)</f>
        <v>#N/A</v>
      </c>
      <c r="E4010" s="30">
        <f>'Raw data'!P3586</f>
        <v>0</v>
      </c>
      <c r="F4010" s="29" t="e">
        <f>VLOOKUP(E4010,'점포코드 '!A:B,2,0)</f>
        <v>#N/A</v>
      </c>
      <c r="G4010" s="46">
        <f>'Raw data'!F3919</f>
        <v>0</v>
      </c>
      <c r="H4010" s="4">
        <f>'Raw data'!G3919</f>
        <v>0</v>
      </c>
      <c r="I4010" s="29" t="e">
        <f>VLOOKUP(G4010,제품명!$C$1:$E$114,2,0)</f>
        <v>#N/A</v>
      </c>
      <c r="J4010" s="29">
        <f>'Raw data'!K3919</f>
        <v>0</v>
      </c>
      <c r="K4010" s="31">
        <f>'Raw data'!H3919</f>
        <v>0</v>
      </c>
      <c r="L4010" s="26">
        <f t="shared" si="128"/>
        <v>0</v>
      </c>
    </row>
    <row r="4011" spans="2:12">
      <c r="B4011" s="4" t="e">
        <f t="shared" si="127"/>
        <v>#N/A</v>
      </c>
      <c r="C4011" s="4">
        <f>'Raw data'!E3587</f>
        <v>0</v>
      </c>
      <c r="D4011" s="29" t="e">
        <f>VLOOKUP(C4011,'점포코드 '!A:B,2,0)</f>
        <v>#N/A</v>
      </c>
      <c r="E4011" s="30">
        <f>'Raw data'!P3587</f>
        <v>0</v>
      </c>
      <c r="F4011" s="29" t="e">
        <f>VLOOKUP(E4011,'점포코드 '!A:B,2,0)</f>
        <v>#N/A</v>
      </c>
      <c r="G4011" s="46">
        <f>'Raw data'!F3920</f>
        <v>0</v>
      </c>
      <c r="H4011" s="4">
        <f>'Raw data'!G3920</f>
        <v>0</v>
      </c>
      <c r="I4011" s="29" t="e">
        <f>VLOOKUP(G4011,제품명!$C$1:$E$114,2,0)</f>
        <v>#N/A</v>
      </c>
      <c r="J4011" s="29">
        <f>'Raw data'!K3920</f>
        <v>0</v>
      </c>
      <c r="K4011" s="31">
        <f>'Raw data'!H3920</f>
        <v>0</v>
      </c>
      <c r="L4011" s="26">
        <f t="shared" si="128"/>
        <v>0</v>
      </c>
    </row>
    <row r="4012" spans="2:12">
      <c r="B4012" s="4" t="e">
        <f t="shared" si="127"/>
        <v>#N/A</v>
      </c>
      <c r="C4012" s="4">
        <f>'Raw data'!E3588</f>
        <v>0</v>
      </c>
      <c r="D4012" s="29" t="e">
        <f>VLOOKUP(C4012,'점포코드 '!A:B,2,0)</f>
        <v>#N/A</v>
      </c>
      <c r="E4012" s="30">
        <f>'Raw data'!P3588</f>
        <v>0</v>
      </c>
      <c r="F4012" s="29" t="e">
        <f>VLOOKUP(E4012,'점포코드 '!A:B,2,0)</f>
        <v>#N/A</v>
      </c>
      <c r="G4012" s="46">
        <f>'Raw data'!F3921</f>
        <v>0</v>
      </c>
      <c r="H4012" s="4">
        <f>'Raw data'!G3921</f>
        <v>0</v>
      </c>
      <c r="I4012" s="29" t="e">
        <f>VLOOKUP(G4012,제품명!$C$1:$E$114,2,0)</f>
        <v>#N/A</v>
      </c>
      <c r="J4012" s="29">
        <f>'Raw data'!K3921</f>
        <v>0</v>
      </c>
      <c r="K4012" s="31">
        <f>'Raw data'!H3921</f>
        <v>0</v>
      </c>
      <c r="L4012" s="26">
        <f t="shared" si="128"/>
        <v>0</v>
      </c>
    </row>
    <row r="4013" spans="2:12">
      <c r="B4013" s="4" t="e">
        <f t="shared" si="127"/>
        <v>#N/A</v>
      </c>
      <c r="C4013" s="4">
        <f>'Raw data'!E3589</f>
        <v>0</v>
      </c>
      <c r="D4013" s="29" t="e">
        <f>VLOOKUP(C4013,'점포코드 '!A:B,2,0)</f>
        <v>#N/A</v>
      </c>
      <c r="E4013" s="30">
        <f>'Raw data'!P3589</f>
        <v>0</v>
      </c>
      <c r="F4013" s="29" t="e">
        <f>VLOOKUP(E4013,'점포코드 '!A:B,2,0)</f>
        <v>#N/A</v>
      </c>
      <c r="G4013" s="46">
        <f>'Raw data'!F3922</f>
        <v>0</v>
      </c>
      <c r="H4013" s="4">
        <f>'Raw data'!G3922</f>
        <v>0</v>
      </c>
      <c r="I4013" s="29" t="e">
        <f>VLOOKUP(G4013,제품명!$C$1:$E$114,2,0)</f>
        <v>#N/A</v>
      </c>
      <c r="J4013" s="29">
        <f>'Raw data'!K3922</f>
        <v>0</v>
      </c>
      <c r="K4013" s="31">
        <f>'Raw data'!H3922</f>
        <v>0</v>
      </c>
      <c r="L4013" s="26">
        <f t="shared" si="128"/>
        <v>0</v>
      </c>
    </row>
    <row r="4014" spans="2:12">
      <c r="B4014" s="4" t="e">
        <f t="shared" si="127"/>
        <v>#N/A</v>
      </c>
      <c r="C4014" s="4">
        <f>'Raw data'!E3590</f>
        <v>0</v>
      </c>
      <c r="D4014" s="29" t="e">
        <f>VLOOKUP(C4014,'점포코드 '!A:B,2,0)</f>
        <v>#N/A</v>
      </c>
      <c r="E4014" s="30">
        <f>'Raw data'!P3590</f>
        <v>0</v>
      </c>
      <c r="F4014" s="29" t="e">
        <f>VLOOKUP(E4014,'점포코드 '!A:B,2,0)</f>
        <v>#N/A</v>
      </c>
      <c r="G4014" s="46">
        <f>'Raw data'!F3923</f>
        <v>0</v>
      </c>
      <c r="H4014" s="4">
        <f>'Raw data'!G3923</f>
        <v>0</v>
      </c>
      <c r="I4014" s="29" t="e">
        <f>VLOOKUP(G4014,제품명!$C$1:$E$114,2,0)</f>
        <v>#N/A</v>
      </c>
      <c r="J4014" s="29">
        <f>'Raw data'!K3923</f>
        <v>0</v>
      </c>
      <c r="K4014" s="31">
        <f>'Raw data'!H3923</f>
        <v>0</v>
      </c>
      <c r="L4014" s="26">
        <f t="shared" si="128"/>
        <v>0</v>
      </c>
    </row>
    <row r="4015" spans="2:12">
      <c r="B4015" s="4" t="e">
        <f t="shared" si="127"/>
        <v>#N/A</v>
      </c>
      <c r="C4015" s="4">
        <f>'Raw data'!E3591</f>
        <v>0</v>
      </c>
      <c r="D4015" s="29" t="e">
        <f>VLOOKUP(C4015,'점포코드 '!A:B,2,0)</f>
        <v>#N/A</v>
      </c>
      <c r="E4015" s="30">
        <f>'Raw data'!P3591</f>
        <v>0</v>
      </c>
      <c r="F4015" s="29" t="e">
        <f>VLOOKUP(E4015,'점포코드 '!A:B,2,0)</f>
        <v>#N/A</v>
      </c>
      <c r="G4015" s="46">
        <f>'Raw data'!F3924</f>
        <v>0</v>
      </c>
      <c r="H4015" s="4">
        <f>'Raw data'!G3924</f>
        <v>0</v>
      </c>
      <c r="I4015" s="29" t="e">
        <f>VLOOKUP(G4015,제품명!$C$1:$E$114,2,0)</f>
        <v>#N/A</v>
      </c>
      <c r="J4015" s="29">
        <f>'Raw data'!K3924</f>
        <v>0</v>
      </c>
      <c r="K4015" s="31">
        <f>'Raw data'!H3924</f>
        <v>0</v>
      </c>
      <c r="L4015" s="26">
        <f t="shared" si="128"/>
        <v>0</v>
      </c>
    </row>
    <row r="4016" spans="2:12">
      <c r="B4016" s="4" t="e">
        <f t="shared" si="127"/>
        <v>#N/A</v>
      </c>
      <c r="C4016" s="4">
        <f>'Raw data'!E3592</f>
        <v>0</v>
      </c>
      <c r="D4016" s="29" t="e">
        <f>VLOOKUP(C4016,'점포코드 '!A:B,2,0)</f>
        <v>#N/A</v>
      </c>
      <c r="E4016" s="30">
        <f>'Raw data'!P3592</f>
        <v>0</v>
      </c>
      <c r="F4016" s="29" t="e">
        <f>VLOOKUP(E4016,'점포코드 '!A:B,2,0)</f>
        <v>#N/A</v>
      </c>
      <c r="G4016" s="46">
        <f>'Raw data'!F3925</f>
        <v>0</v>
      </c>
      <c r="H4016" s="4">
        <f>'Raw data'!G3925</f>
        <v>0</v>
      </c>
      <c r="I4016" s="29" t="e">
        <f>VLOOKUP(G4016,제품명!$C$1:$E$114,2,0)</f>
        <v>#N/A</v>
      </c>
      <c r="J4016" s="29">
        <f>'Raw data'!K3925</f>
        <v>0</v>
      </c>
      <c r="K4016" s="31">
        <f>'Raw data'!H3925</f>
        <v>0</v>
      </c>
      <c r="L4016" s="26">
        <f t="shared" si="128"/>
        <v>0</v>
      </c>
    </row>
    <row r="4017" spans="2:12">
      <c r="B4017" s="4" t="e">
        <f t="shared" si="127"/>
        <v>#N/A</v>
      </c>
      <c r="C4017" s="4">
        <f>'Raw data'!E3593</f>
        <v>0</v>
      </c>
      <c r="D4017" s="29" t="e">
        <f>VLOOKUP(C4017,'점포코드 '!A:B,2,0)</f>
        <v>#N/A</v>
      </c>
      <c r="E4017" s="30">
        <f>'Raw data'!P3593</f>
        <v>0</v>
      </c>
      <c r="F4017" s="29" t="e">
        <f>VLOOKUP(E4017,'점포코드 '!A:B,2,0)</f>
        <v>#N/A</v>
      </c>
      <c r="G4017" s="46">
        <f>'Raw data'!F3926</f>
        <v>0</v>
      </c>
      <c r="H4017" s="4">
        <f>'Raw data'!G3926</f>
        <v>0</v>
      </c>
      <c r="I4017" s="29" t="e">
        <f>VLOOKUP(G4017,제품명!$C$1:$E$114,2,0)</f>
        <v>#N/A</v>
      </c>
      <c r="J4017" s="29">
        <f>'Raw data'!K3926</f>
        <v>0</v>
      </c>
      <c r="K4017" s="31">
        <f>'Raw data'!H3926</f>
        <v>0</v>
      </c>
      <c r="L4017" s="26">
        <f t="shared" si="128"/>
        <v>0</v>
      </c>
    </row>
    <row r="4018" spans="2:12">
      <c r="B4018" s="4" t="e">
        <f t="shared" si="127"/>
        <v>#N/A</v>
      </c>
      <c r="C4018" s="4">
        <f>'Raw data'!E3594</f>
        <v>0</v>
      </c>
      <c r="D4018" s="29" t="e">
        <f>VLOOKUP(C4018,'점포코드 '!A:B,2,0)</f>
        <v>#N/A</v>
      </c>
      <c r="E4018" s="30">
        <f>'Raw data'!P3594</f>
        <v>0</v>
      </c>
      <c r="F4018" s="29" t="e">
        <f>VLOOKUP(E4018,'점포코드 '!A:B,2,0)</f>
        <v>#N/A</v>
      </c>
      <c r="G4018" s="46">
        <f>'Raw data'!F3927</f>
        <v>0</v>
      </c>
      <c r="H4018" s="4">
        <f>'Raw data'!G3927</f>
        <v>0</v>
      </c>
      <c r="I4018" s="29" t="e">
        <f>VLOOKUP(G4018,제품명!$C$1:$E$114,2,0)</f>
        <v>#N/A</v>
      </c>
      <c r="J4018" s="29">
        <f>'Raw data'!K3927</f>
        <v>0</v>
      </c>
      <c r="K4018" s="31">
        <f>'Raw data'!H3927</f>
        <v>0</v>
      </c>
      <c r="L4018" s="26">
        <f t="shared" si="128"/>
        <v>0</v>
      </c>
    </row>
    <row r="4019" spans="2:12">
      <c r="B4019" s="4" t="e">
        <f t="shared" si="127"/>
        <v>#N/A</v>
      </c>
      <c r="C4019" s="4">
        <f>'Raw data'!E3595</f>
        <v>0</v>
      </c>
      <c r="D4019" s="29" t="e">
        <f>VLOOKUP(C4019,'점포코드 '!A:B,2,0)</f>
        <v>#N/A</v>
      </c>
      <c r="E4019" s="30">
        <f>'Raw data'!P3595</f>
        <v>0</v>
      </c>
      <c r="F4019" s="29" t="e">
        <f>VLOOKUP(E4019,'점포코드 '!A:B,2,0)</f>
        <v>#N/A</v>
      </c>
      <c r="G4019" s="46">
        <f>'Raw data'!F3928</f>
        <v>0</v>
      </c>
      <c r="H4019" s="4">
        <f>'Raw data'!G3928</f>
        <v>0</v>
      </c>
      <c r="I4019" s="29" t="e">
        <f>VLOOKUP(G4019,제품명!$C$1:$E$114,2,0)</f>
        <v>#N/A</v>
      </c>
      <c r="J4019" s="29">
        <f>'Raw data'!K3928</f>
        <v>0</v>
      </c>
      <c r="K4019" s="31">
        <f>'Raw data'!H3928</f>
        <v>0</v>
      </c>
      <c r="L4019" s="26">
        <f t="shared" si="128"/>
        <v>0</v>
      </c>
    </row>
    <row r="4020" spans="2:12">
      <c r="B4020" s="4" t="e">
        <f t="shared" si="127"/>
        <v>#N/A</v>
      </c>
      <c r="C4020" s="4">
        <f>'Raw data'!E3596</f>
        <v>0</v>
      </c>
      <c r="D4020" s="29" t="e">
        <f>VLOOKUP(C4020,'점포코드 '!A:B,2,0)</f>
        <v>#N/A</v>
      </c>
      <c r="E4020" s="30">
        <f>'Raw data'!P3596</f>
        <v>0</v>
      </c>
      <c r="F4020" s="29" t="e">
        <f>VLOOKUP(E4020,'점포코드 '!A:B,2,0)</f>
        <v>#N/A</v>
      </c>
      <c r="G4020" s="46">
        <f>'Raw data'!F3929</f>
        <v>0</v>
      </c>
      <c r="H4020" s="4">
        <f>'Raw data'!G3929</f>
        <v>0</v>
      </c>
      <c r="I4020" s="29" t="e">
        <f>VLOOKUP(G4020,제품명!$C$1:$E$114,2,0)</f>
        <v>#N/A</v>
      </c>
      <c r="J4020" s="29">
        <f>'Raw data'!K3929</f>
        <v>0</v>
      </c>
      <c r="K4020" s="31">
        <f>'Raw data'!H3929</f>
        <v>0</v>
      </c>
      <c r="L4020" s="26">
        <f t="shared" si="128"/>
        <v>0</v>
      </c>
    </row>
    <row r="4021" spans="2:12">
      <c r="B4021" s="4" t="e">
        <f t="shared" si="127"/>
        <v>#N/A</v>
      </c>
      <c r="C4021" s="4">
        <f>'Raw data'!E3597</f>
        <v>0</v>
      </c>
      <c r="D4021" s="29" t="e">
        <f>VLOOKUP(C4021,'점포코드 '!A:B,2,0)</f>
        <v>#N/A</v>
      </c>
      <c r="E4021" s="30">
        <f>'Raw data'!P3597</f>
        <v>0</v>
      </c>
      <c r="F4021" s="29" t="e">
        <f>VLOOKUP(E4021,'점포코드 '!A:B,2,0)</f>
        <v>#N/A</v>
      </c>
      <c r="G4021" s="46">
        <f>'Raw data'!F3930</f>
        <v>0</v>
      </c>
      <c r="H4021" s="4">
        <f>'Raw data'!G3930</f>
        <v>0</v>
      </c>
      <c r="I4021" s="29" t="e">
        <f>VLOOKUP(G4021,제품명!$C$1:$E$114,2,0)</f>
        <v>#N/A</v>
      </c>
      <c r="J4021" s="29">
        <f>'Raw data'!K3930</f>
        <v>0</v>
      </c>
      <c r="K4021" s="31">
        <f>'Raw data'!H3930</f>
        <v>0</v>
      </c>
      <c r="L4021" s="26">
        <f t="shared" si="128"/>
        <v>0</v>
      </c>
    </row>
    <row r="4022" spans="2:12">
      <c r="B4022" s="4" t="e">
        <f t="shared" si="127"/>
        <v>#N/A</v>
      </c>
      <c r="C4022" s="4">
        <f>'Raw data'!E3598</f>
        <v>0</v>
      </c>
      <c r="D4022" s="29" t="e">
        <f>VLOOKUP(C4022,'점포코드 '!A:B,2,0)</f>
        <v>#N/A</v>
      </c>
      <c r="E4022" s="30">
        <f>'Raw data'!P3598</f>
        <v>0</v>
      </c>
      <c r="F4022" s="29" t="e">
        <f>VLOOKUP(E4022,'점포코드 '!A:B,2,0)</f>
        <v>#N/A</v>
      </c>
      <c r="G4022" s="46">
        <f>'Raw data'!F3931</f>
        <v>0</v>
      </c>
      <c r="H4022" s="4">
        <f>'Raw data'!G3931</f>
        <v>0</v>
      </c>
      <c r="I4022" s="29" t="e">
        <f>VLOOKUP(G4022,제품명!$C$1:$E$114,2,0)</f>
        <v>#N/A</v>
      </c>
      <c r="J4022" s="29">
        <f>'Raw data'!K3931</f>
        <v>0</v>
      </c>
      <c r="K4022" s="31">
        <f>'Raw data'!H3931</f>
        <v>0</v>
      </c>
      <c r="L4022" s="26">
        <f t="shared" si="128"/>
        <v>0</v>
      </c>
    </row>
    <row r="4023" spans="2:12">
      <c r="B4023" s="4" t="e">
        <f t="shared" si="127"/>
        <v>#N/A</v>
      </c>
      <c r="C4023" s="4">
        <f>'Raw data'!E3599</f>
        <v>0</v>
      </c>
      <c r="D4023" s="29" t="e">
        <f>VLOOKUP(C4023,'점포코드 '!A:B,2,0)</f>
        <v>#N/A</v>
      </c>
      <c r="E4023" s="30">
        <f>'Raw data'!P3599</f>
        <v>0</v>
      </c>
      <c r="F4023" s="29" t="e">
        <f>VLOOKUP(E4023,'점포코드 '!A:B,2,0)</f>
        <v>#N/A</v>
      </c>
      <c r="G4023" s="46">
        <f>'Raw data'!F3932</f>
        <v>0</v>
      </c>
      <c r="H4023" s="4">
        <f>'Raw data'!G3932</f>
        <v>0</v>
      </c>
      <c r="I4023" s="29" t="e">
        <f>VLOOKUP(G4023,제품명!$C$1:$E$114,2,0)</f>
        <v>#N/A</v>
      </c>
      <c r="J4023" s="29">
        <f>'Raw data'!K3932</f>
        <v>0</v>
      </c>
      <c r="K4023" s="31">
        <f>'Raw data'!H3932</f>
        <v>0</v>
      </c>
      <c r="L4023" s="26">
        <f t="shared" si="128"/>
        <v>0</v>
      </c>
    </row>
    <row r="4024" spans="2:12">
      <c r="B4024" s="4" t="e">
        <f t="shared" si="127"/>
        <v>#N/A</v>
      </c>
      <c r="C4024" s="4">
        <f>'Raw data'!E3600</f>
        <v>0</v>
      </c>
      <c r="D4024" s="29" t="e">
        <f>VLOOKUP(C4024,'점포코드 '!A:B,2,0)</f>
        <v>#N/A</v>
      </c>
      <c r="E4024" s="30">
        <f>'Raw data'!P3600</f>
        <v>0</v>
      </c>
      <c r="F4024" s="29" t="e">
        <f>VLOOKUP(E4024,'점포코드 '!A:B,2,0)</f>
        <v>#N/A</v>
      </c>
      <c r="G4024" s="46">
        <f>'Raw data'!F3933</f>
        <v>0</v>
      </c>
      <c r="H4024" s="4">
        <f>'Raw data'!G3933</f>
        <v>0</v>
      </c>
      <c r="I4024" s="29" t="e">
        <f>VLOOKUP(G4024,제품명!$C$1:$E$114,2,0)</f>
        <v>#N/A</v>
      </c>
      <c r="J4024" s="29">
        <f>'Raw data'!K3933</f>
        <v>0</v>
      </c>
      <c r="K4024" s="31">
        <f>'Raw data'!H3933</f>
        <v>0</v>
      </c>
      <c r="L4024" s="26">
        <f t="shared" si="128"/>
        <v>0</v>
      </c>
    </row>
    <row r="4025" spans="2:12">
      <c r="B4025" s="4" t="e">
        <f t="shared" si="127"/>
        <v>#N/A</v>
      </c>
      <c r="C4025" s="4">
        <f>'Raw data'!E3601</f>
        <v>0</v>
      </c>
      <c r="D4025" s="29" t="e">
        <f>VLOOKUP(C4025,'점포코드 '!A:B,2,0)</f>
        <v>#N/A</v>
      </c>
      <c r="E4025" s="30">
        <f>'Raw data'!P3601</f>
        <v>0</v>
      </c>
      <c r="F4025" s="29" t="e">
        <f>VLOOKUP(E4025,'점포코드 '!A:B,2,0)</f>
        <v>#N/A</v>
      </c>
      <c r="G4025" s="46">
        <f>'Raw data'!F3934</f>
        <v>0</v>
      </c>
      <c r="H4025" s="4">
        <f>'Raw data'!G3934</f>
        <v>0</v>
      </c>
      <c r="I4025" s="29" t="e">
        <f>VLOOKUP(G4025,제품명!$C$1:$E$114,2,0)</f>
        <v>#N/A</v>
      </c>
      <c r="J4025" s="29">
        <f>'Raw data'!K3934</f>
        <v>0</v>
      </c>
      <c r="K4025" s="31">
        <f>'Raw data'!H3934</f>
        <v>0</v>
      </c>
      <c r="L4025" s="26">
        <f t="shared" si="128"/>
        <v>0</v>
      </c>
    </row>
    <row r="4026" spans="2:12">
      <c r="B4026" s="4" t="e">
        <f t="shared" si="127"/>
        <v>#N/A</v>
      </c>
      <c r="C4026" s="4">
        <f>'Raw data'!E3602</f>
        <v>0</v>
      </c>
      <c r="D4026" s="29" t="e">
        <f>VLOOKUP(C4026,'점포코드 '!A:B,2,0)</f>
        <v>#N/A</v>
      </c>
      <c r="E4026" s="30">
        <f>'Raw data'!P3602</f>
        <v>0</v>
      </c>
      <c r="F4026" s="29" t="e">
        <f>VLOOKUP(E4026,'점포코드 '!A:B,2,0)</f>
        <v>#N/A</v>
      </c>
      <c r="G4026" s="46">
        <f>'Raw data'!F3935</f>
        <v>0</v>
      </c>
      <c r="H4026" s="4">
        <f>'Raw data'!G3935</f>
        <v>0</v>
      </c>
      <c r="I4026" s="29" t="e">
        <f>VLOOKUP(G4026,제품명!$C$1:$E$114,2,0)</f>
        <v>#N/A</v>
      </c>
      <c r="J4026" s="29">
        <f>'Raw data'!K3935</f>
        <v>0</v>
      </c>
      <c r="K4026" s="31">
        <f>'Raw data'!H3935</f>
        <v>0</v>
      </c>
      <c r="L4026" s="26">
        <f t="shared" si="128"/>
        <v>0</v>
      </c>
    </row>
    <row r="4027" spans="2:12">
      <c r="B4027" s="4" t="e">
        <f t="shared" si="127"/>
        <v>#N/A</v>
      </c>
      <c r="C4027" s="4">
        <f>'Raw data'!E3603</f>
        <v>0</v>
      </c>
      <c r="D4027" s="29" t="e">
        <f>VLOOKUP(C4027,'점포코드 '!A:B,2,0)</f>
        <v>#N/A</v>
      </c>
      <c r="E4027" s="30">
        <f>'Raw data'!P3603</f>
        <v>0</v>
      </c>
      <c r="F4027" s="29" t="e">
        <f>VLOOKUP(E4027,'점포코드 '!A:B,2,0)</f>
        <v>#N/A</v>
      </c>
      <c r="G4027" s="46">
        <f>'Raw data'!F3936</f>
        <v>0</v>
      </c>
      <c r="H4027" s="4">
        <f>'Raw data'!G3936</f>
        <v>0</v>
      </c>
      <c r="I4027" s="29" t="e">
        <f>VLOOKUP(G4027,제품명!$C$1:$E$114,2,0)</f>
        <v>#N/A</v>
      </c>
      <c r="J4027" s="29">
        <f>'Raw data'!K3936</f>
        <v>0</v>
      </c>
      <c r="K4027" s="31">
        <f>'Raw data'!H3936</f>
        <v>0</v>
      </c>
      <c r="L4027" s="26">
        <f t="shared" si="128"/>
        <v>0</v>
      </c>
    </row>
    <row r="4028" spans="2:12">
      <c r="B4028" s="4" t="e">
        <f t="shared" si="127"/>
        <v>#N/A</v>
      </c>
      <c r="C4028" s="4">
        <f>'Raw data'!E3604</f>
        <v>0</v>
      </c>
      <c r="D4028" s="29" t="e">
        <f>VLOOKUP(C4028,'점포코드 '!A:B,2,0)</f>
        <v>#N/A</v>
      </c>
      <c r="E4028" s="30">
        <f>'Raw data'!P3604</f>
        <v>0</v>
      </c>
      <c r="F4028" s="29" t="e">
        <f>VLOOKUP(E4028,'점포코드 '!A:B,2,0)</f>
        <v>#N/A</v>
      </c>
      <c r="G4028" s="46">
        <f>'Raw data'!F3937</f>
        <v>0</v>
      </c>
      <c r="H4028" s="4">
        <f>'Raw data'!G3937</f>
        <v>0</v>
      </c>
      <c r="I4028" s="29" t="e">
        <f>VLOOKUP(G4028,제품명!$C$1:$E$114,2,0)</f>
        <v>#N/A</v>
      </c>
      <c r="J4028" s="29">
        <f>'Raw data'!K3937</f>
        <v>0</v>
      </c>
      <c r="K4028" s="31">
        <f>'Raw data'!H3937</f>
        <v>0</v>
      </c>
      <c r="L4028" s="26">
        <f t="shared" si="128"/>
        <v>0</v>
      </c>
    </row>
    <row r="4029" spans="2:12">
      <c r="B4029" s="4" t="e">
        <f t="shared" si="127"/>
        <v>#N/A</v>
      </c>
      <c r="C4029" s="4">
        <f>'Raw data'!E3605</f>
        <v>0</v>
      </c>
      <c r="D4029" s="29" t="e">
        <f>VLOOKUP(C4029,'점포코드 '!A:B,2,0)</f>
        <v>#N/A</v>
      </c>
      <c r="E4029" s="30">
        <f>'Raw data'!P3605</f>
        <v>0</v>
      </c>
      <c r="F4029" s="29" t="e">
        <f>VLOOKUP(E4029,'점포코드 '!A:B,2,0)</f>
        <v>#N/A</v>
      </c>
      <c r="G4029" s="46">
        <f>'Raw data'!F3938</f>
        <v>0</v>
      </c>
      <c r="H4029" s="4">
        <f>'Raw data'!G3938</f>
        <v>0</v>
      </c>
      <c r="I4029" s="29" t="e">
        <f>VLOOKUP(G4029,제품명!$C$1:$E$114,2,0)</f>
        <v>#N/A</v>
      </c>
      <c r="J4029" s="29">
        <f>'Raw data'!K3938</f>
        <v>0</v>
      </c>
      <c r="K4029" s="31">
        <f>'Raw data'!H3938</f>
        <v>0</v>
      </c>
      <c r="L4029" s="26">
        <f t="shared" si="128"/>
        <v>0</v>
      </c>
    </row>
    <row r="4030" spans="2:12">
      <c r="B4030" s="4" t="e">
        <f t="shared" si="127"/>
        <v>#N/A</v>
      </c>
      <c r="C4030" s="4">
        <f>'Raw data'!E3606</f>
        <v>0</v>
      </c>
      <c r="D4030" s="29" t="e">
        <f>VLOOKUP(C4030,'점포코드 '!A:B,2,0)</f>
        <v>#N/A</v>
      </c>
      <c r="E4030" s="30">
        <f>'Raw data'!P3606</f>
        <v>0</v>
      </c>
      <c r="F4030" s="29" t="e">
        <f>VLOOKUP(E4030,'점포코드 '!A:B,2,0)</f>
        <v>#N/A</v>
      </c>
      <c r="G4030" s="46">
        <f>'Raw data'!F3939</f>
        <v>0</v>
      </c>
      <c r="H4030" s="4">
        <f>'Raw data'!G3939</f>
        <v>0</v>
      </c>
      <c r="I4030" s="29" t="e">
        <f>VLOOKUP(G4030,제품명!$C$1:$E$114,2,0)</f>
        <v>#N/A</v>
      </c>
      <c r="J4030" s="29">
        <f>'Raw data'!K3939</f>
        <v>0</v>
      </c>
      <c r="K4030" s="31">
        <f>'Raw data'!H3939</f>
        <v>0</v>
      </c>
      <c r="L4030" s="26">
        <f t="shared" si="128"/>
        <v>0</v>
      </c>
    </row>
    <row r="4031" spans="2:12">
      <c r="B4031" s="4" t="e">
        <f t="shared" si="127"/>
        <v>#N/A</v>
      </c>
      <c r="C4031" s="4">
        <f>'Raw data'!E3607</f>
        <v>0</v>
      </c>
      <c r="D4031" s="29" t="e">
        <f>VLOOKUP(C4031,'점포코드 '!A:B,2,0)</f>
        <v>#N/A</v>
      </c>
      <c r="E4031" s="30">
        <f>'Raw data'!P3607</f>
        <v>0</v>
      </c>
      <c r="F4031" s="29" t="e">
        <f>VLOOKUP(E4031,'점포코드 '!A:B,2,0)</f>
        <v>#N/A</v>
      </c>
      <c r="G4031" s="46">
        <f>'Raw data'!F3940</f>
        <v>0</v>
      </c>
      <c r="H4031" s="4">
        <f>'Raw data'!G3940</f>
        <v>0</v>
      </c>
      <c r="I4031" s="29" t="e">
        <f>VLOOKUP(G4031,제품명!$C$1:$E$114,2,0)</f>
        <v>#N/A</v>
      </c>
      <c r="J4031" s="29">
        <f>'Raw data'!K3940</f>
        <v>0</v>
      </c>
      <c r="K4031" s="31">
        <f>'Raw data'!H3940</f>
        <v>0</v>
      </c>
      <c r="L4031" s="26">
        <f t="shared" si="128"/>
        <v>0</v>
      </c>
    </row>
    <row r="4032" spans="2:12">
      <c r="B4032" s="4" t="e">
        <f t="shared" si="127"/>
        <v>#N/A</v>
      </c>
      <c r="C4032" s="4">
        <f>'Raw data'!E3608</f>
        <v>0</v>
      </c>
      <c r="D4032" s="29" t="e">
        <f>VLOOKUP(C4032,'점포코드 '!A:B,2,0)</f>
        <v>#N/A</v>
      </c>
      <c r="E4032" s="30">
        <f>'Raw data'!P3608</f>
        <v>0</v>
      </c>
      <c r="F4032" s="29" t="e">
        <f>VLOOKUP(E4032,'점포코드 '!A:B,2,0)</f>
        <v>#N/A</v>
      </c>
      <c r="G4032" s="46">
        <f>'Raw data'!F3941</f>
        <v>0</v>
      </c>
      <c r="H4032" s="4">
        <f>'Raw data'!G3941</f>
        <v>0</v>
      </c>
      <c r="I4032" s="29" t="e">
        <f>VLOOKUP(G4032,제품명!$C$1:$E$114,2,0)</f>
        <v>#N/A</v>
      </c>
      <c r="J4032" s="29">
        <f>'Raw data'!K3941</f>
        <v>0</v>
      </c>
      <c r="K4032" s="31">
        <f>'Raw data'!H3941</f>
        <v>0</v>
      </c>
      <c r="L4032" s="26">
        <f t="shared" si="128"/>
        <v>0</v>
      </c>
    </row>
    <row r="4033" spans="2:12">
      <c r="B4033" s="4" t="e">
        <f t="shared" si="127"/>
        <v>#N/A</v>
      </c>
      <c r="C4033" s="4">
        <f>'Raw data'!E3609</f>
        <v>0</v>
      </c>
      <c r="D4033" s="29" t="e">
        <f>VLOOKUP(C4033,'점포코드 '!A:B,2,0)</f>
        <v>#N/A</v>
      </c>
      <c r="E4033" s="30">
        <f>'Raw data'!P3609</f>
        <v>0</v>
      </c>
      <c r="F4033" s="29" t="e">
        <f>VLOOKUP(E4033,'점포코드 '!A:B,2,0)</f>
        <v>#N/A</v>
      </c>
      <c r="G4033" s="46">
        <f>'Raw data'!F3942</f>
        <v>0</v>
      </c>
      <c r="H4033" s="4">
        <f>'Raw data'!G3942</f>
        <v>0</v>
      </c>
      <c r="I4033" s="29" t="e">
        <f>VLOOKUP(G4033,제품명!$C$1:$E$114,2,0)</f>
        <v>#N/A</v>
      </c>
      <c r="J4033" s="29">
        <f>'Raw data'!K3942</f>
        <v>0</v>
      </c>
      <c r="K4033" s="31">
        <f>'Raw data'!H3942</f>
        <v>0</v>
      </c>
      <c r="L4033" s="26">
        <f t="shared" si="128"/>
        <v>0</v>
      </c>
    </row>
    <row r="4034" spans="2:12">
      <c r="B4034" s="4" t="e">
        <f t="shared" ref="B4034:B4097" si="129">F4034&amp;I4034</f>
        <v>#N/A</v>
      </c>
      <c r="C4034" s="4">
        <f>'Raw data'!E3610</f>
        <v>0</v>
      </c>
      <c r="D4034" s="29" t="e">
        <f>VLOOKUP(C4034,'점포코드 '!A:B,2,0)</f>
        <v>#N/A</v>
      </c>
      <c r="E4034" s="30">
        <f>'Raw data'!P3610</f>
        <v>0</v>
      </c>
      <c r="F4034" s="29" t="e">
        <f>VLOOKUP(E4034,'점포코드 '!A:B,2,0)</f>
        <v>#N/A</v>
      </c>
      <c r="G4034" s="46">
        <f>'Raw data'!F3943</f>
        <v>0</v>
      </c>
      <c r="H4034" s="4">
        <f>'Raw data'!G3943</f>
        <v>0</v>
      </c>
      <c r="I4034" s="29" t="e">
        <f>VLOOKUP(G4034,제품명!$C$1:$E$114,2,0)</f>
        <v>#N/A</v>
      </c>
      <c r="J4034" s="29">
        <f>'Raw data'!K3943</f>
        <v>0</v>
      </c>
      <c r="K4034" s="31">
        <f>'Raw data'!H3943</f>
        <v>0</v>
      </c>
      <c r="L4034" s="26">
        <f t="shared" si="128"/>
        <v>0</v>
      </c>
    </row>
    <row r="4035" spans="2:12">
      <c r="B4035" s="4" t="e">
        <f t="shared" si="129"/>
        <v>#N/A</v>
      </c>
      <c r="C4035" s="4">
        <f>'Raw data'!E3611</f>
        <v>0</v>
      </c>
      <c r="D4035" s="29" t="e">
        <f>VLOOKUP(C4035,'점포코드 '!A:B,2,0)</f>
        <v>#N/A</v>
      </c>
      <c r="E4035" s="30">
        <f>'Raw data'!P3611</f>
        <v>0</v>
      </c>
      <c r="F4035" s="29" t="e">
        <f>VLOOKUP(E4035,'점포코드 '!A:B,2,0)</f>
        <v>#N/A</v>
      </c>
      <c r="G4035" s="46">
        <f>'Raw data'!F3944</f>
        <v>0</v>
      </c>
      <c r="H4035" s="4">
        <f>'Raw data'!G3944</f>
        <v>0</v>
      </c>
      <c r="I4035" s="29" t="e">
        <f>VLOOKUP(G4035,제품명!$C$1:$E$114,2,0)</f>
        <v>#N/A</v>
      </c>
      <c r="J4035" s="29">
        <f>'Raw data'!K3944</f>
        <v>0</v>
      </c>
      <c r="K4035" s="31">
        <f>'Raw data'!H3944</f>
        <v>0</v>
      </c>
      <c r="L4035" s="26">
        <f t="shared" ref="L4035:L4098" si="130">J4035*K4035</f>
        <v>0</v>
      </c>
    </row>
    <row r="4036" spans="2:12">
      <c r="B4036" s="4" t="e">
        <f t="shared" si="129"/>
        <v>#N/A</v>
      </c>
      <c r="C4036" s="4">
        <f>'Raw data'!E3612</f>
        <v>0</v>
      </c>
      <c r="D4036" s="29" t="e">
        <f>VLOOKUP(C4036,'점포코드 '!A:B,2,0)</f>
        <v>#N/A</v>
      </c>
      <c r="E4036" s="30">
        <f>'Raw data'!P3612</f>
        <v>0</v>
      </c>
      <c r="F4036" s="29" t="e">
        <f>VLOOKUP(E4036,'점포코드 '!A:B,2,0)</f>
        <v>#N/A</v>
      </c>
      <c r="G4036" s="46">
        <f>'Raw data'!F3945</f>
        <v>0</v>
      </c>
      <c r="H4036" s="4">
        <f>'Raw data'!G3945</f>
        <v>0</v>
      </c>
      <c r="I4036" s="29" t="e">
        <f>VLOOKUP(G4036,제품명!$C$1:$E$114,2,0)</f>
        <v>#N/A</v>
      </c>
      <c r="J4036" s="29">
        <f>'Raw data'!K3945</f>
        <v>0</v>
      </c>
      <c r="K4036" s="31">
        <f>'Raw data'!H3945</f>
        <v>0</v>
      </c>
      <c r="L4036" s="26">
        <f t="shared" si="130"/>
        <v>0</v>
      </c>
    </row>
    <row r="4037" spans="2:12">
      <c r="B4037" s="4" t="e">
        <f t="shared" si="129"/>
        <v>#N/A</v>
      </c>
      <c r="C4037" s="4">
        <f>'Raw data'!E3613</f>
        <v>0</v>
      </c>
      <c r="D4037" s="29" t="e">
        <f>VLOOKUP(C4037,'점포코드 '!A:B,2,0)</f>
        <v>#N/A</v>
      </c>
      <c r="E4037" s="30">
        <f>'Raw data'!P3613</f>
        <v>0</v>
      </c>
      <c r="F4037" s="29" t="e">
        <f>VLOOKUP(E4037,'점포코드 '!A:B,2,0)</f>
        <v>#N/A</v>
      </c>
      <c r="G4037" s="46">
        <f>'Raw data'!F3946</f>
        <v>0</v>
      </c>
      <c r="H4037" s="4">
        <f>'Raw data'!G3946</f>
        <v>0</v>
      </c>
      <c r="I4037" s="29" t="e">
        <f>VLOOKUP(G4037,제품명!$C$1:$E$114,2,0)</f>
        <v>#N/A</v>
      </c>
      <c r="J4037" s="29">
        <f>'Raw data'!K3946</f>
        <v>0</v>
      </c>
      <c r="K4037" s="31">
        <f>'Raw data'!H3946</f>
        <v>0</v>
      </c>
      <c r="L4037" s="26">
        <f t="shared" si="130"/>
        <v>0</v>
      </c>
    </row>
    <row r="4038" spans="2:12">
      <c r="B4038" s="4" t="e">
        <f t="shared" si="129"/>
        <v>#N/A</v>
      </c>
      <c r="C4038" s="4">
        <f>'Raw data'!E3614</f>
        <v>0</v>
      </c>
      <c r="D4038" s="29" t="e">
        <f>VLOOKUP(C4038,'점포코드 '!A:B,2,0)</f>
        <v>#N/A</v>
      </c>
      <c r="E4038" s="30">
        <f>'Raw data'!P3614</f>
        <v>0</v>
      </c>
      <c r="F4038" s="29" t="e">
        <f>VLOOKUP(E4038,'점포코드 '!A:B,2,0)</f>
        <v>#N/A</v>
      </c>
      <c r="G4038" s="46">
        <f>'Raw data'!F3947</f>
        <v>0</v>
      </c>
      <c r="H4038" s="4">
        <f>'Raw data'!G3947</f>
        <v>0</v>
      </c>
      <c r="I4038" s="29" t="e">
        <f>VLOOKUP(G4038,제품명!$C$1:$E$114,2,0)</f>
        <v>#N/A</v>
      </c>
      <c r="J4038" s="29">
        <f>'Raw data'!K3947</f>
        <v>0</v>
      </c>
      <c r="K4038" s="31">
        <f>'Raw data'!H3947</f>
        <v>0</v>
      </c>
      <c r="L4038" s="26">
        <f t="shared" si="130"/>
        <v>0</v>
      </c>
    </row>
    <row r="4039" spans="2:12">
      <c r="B4039" s="4" t="e">
        <f t="shared" si="129"/>
        <v>#N/A</v>
      </c>
      <c r="C4039" s="4">
        <f>'Raw data'!E3615</f>
        <v>0</v>
      </c>
      <c r="D4039" s="29" t="e">
        <f>VLOOKUP(C4039,'점포코드 '!A:B,2,0)</f>
        <v>#N/A</v>
      </c>
      <c r="E4039" s="30">
        <f>'Raw data'!P3615</f>
        <v>0</v>
      </c>
      <c r="F4039" s="29" t="e">
        <f>VLOOKUP(E4039,'점포코드 '!A:B,2,0)</f>
        <v>#N/A</v>
      </c>
      <c r="G4039" s="46">
        <f>'Raw data'!F3948</f>
        <v>0</v>
      </c>
      <c r="H4039" s="4">
        <f>'Raw data'!G3948</f>
        <v>0</v>
      </c>
      <c r="I4039" s="29" t="e">
        <f>VLOOKUP(G4039,제품명!$C$1:$E$114,2,0)</f>
        <v>#N/A</v>
      </c>
      <c r="J4039" s="29">
        <f>'Raw data'!K3948</f>
        <v>0</v>
      </c>
      <c r="K4039" s="31">
        <f>'Raw data'!H3948</f>
        <v>0</v>
      </c>
      <c r="L4039" s="26">
        <f t="shared" si="130"/>
        <v>0</v>
      </c>
    </row>
    <row r="4040" spans="2:12">
      <c r="B4040" s="4" t="e">
        <f t="shared" si="129"/>
        <v>#N/A</v>
      </c>
      <c r="C4040" s="4">
        <f>'Raw data'!E3616</f>
        <v>0</v>
      </c>
      <c r="D4040" s="29" t="e">
        <f>VLOOKUP(C4040,'점포코드 '!A:B,2,0)</f>
        <v>#N/A</v>
      </c>
      <c r="E4040" s="30">
        <f>'Raw data'!P3616</f>
        <v>0</v>
      </c>
      <c r="F4040" s="29" t="e">
        <f>VLOOKUP(E4040,'점포코드 '!A:B,2,0)</f>
        <v>#N/A</v>
      </c>
      <c r="G4040" s="46">
        <f>'Raw data'!F3949</f>
        <v>0</v>
      </c>
      <c r="H4040" s="4">
        <f>'Raw data'!G3949</f>
        <v>0</v>
      </c>
      <c r="I4040" s="29" t="e">
        <f>VLOOKUP(G4040,제품명!$C$1:$E$114,2,0)</f>
        <v>#N/A</v>
      </c>
      <c r="J4040" s="29">
        <f>'Raw data'!K3949</f>
        <v>0</v>
      </c>
      <c r="K4040" s="31">
        <f>'Raw data'!H3949</f>
        <v>0</v>
      </c>
      <c r="L4040" s="26">
        <f t="shared" si="130"/>
        <v>0</v>
      </c>
    </row>
    <row r="4041" spans="2:12">
      <c r="B4041" s="4" t="e">
        <f t="shared" si="129"/>
        <v>#N/A</v>
      </c>
      <c r="C4041" s="4">
        <f>'Raw data'!E3617</f>
        <v>0</v>
      </c>
      <c r="D4041" s="29" t="e">
        <f>VLOOKUP(C4041,'점포코드 '!A:B,2,0)</f>
        <v>#N/A</v>
      </c>
      <c r="E4041" s="30">
        <f>'Raw data'!P3617</f>
        <v>0</v>
      </c>
      <c r="F4041" s="29" t="e">
        <f>VLOOKUP(E4041,'점포코드 '!A:B,2,0)</f>
        <v>#N/A</v>
      </c>
      <c r="G4041" s="46">
        <f>'Raw data'!F3950</f>
        <v>0</v>
      </c>
      <c r="H4041" s="4">
        <f>'Raw data'!G3950</f>
        <v>0</v>
      </c>
      <c r="I4041" s="29" t="e">
        <f>VLOOKUP(G4041,제품명!$C$1:$E$114,2,0)</f>
        <v>#N/A</v>
      </c>
      <c r="J4041" s="29">
        <f>'Raw data'!K3950</f>
        <v>0</v>
      </c>
      <c r="K4041" s="31">
        <f>'Raw data'!H3950</f>
        <v>0</v>
      </c>
      <c r="L4041" s="26">
        <f t="shared" si="130"/>
        <v>0</v>
      </c>
    </row>
    <row r="4042" spans="2:12">
      <c r="B4042" s="4" t="e">
        <f t="shared" si="129"/>
        <v>#N/A</v>
      </c>
      <c r="C4042" s="4">
        <f>'Raw data'!E3618</f>
        <v>0</v>
      </c>
      <c r="D4042" s="29" t="e">
        <f>VLOOKUP(C4042,'점포코드 '!A:B,2,0)</f>
        <v>#N/A</v>
      </c>
      <c r="E4042" s="30">
        <f>'Raw data'!P3618</f>
        <v>0</v>
      </c>
      <c r="F4042" s="29" t="e">
        <f>VLOOKUP(E4042,'점포코드 '!A:B,2,0)</f>
        <v>#N/A</v>
      </c>
      <c r="G4042" s="46">
        <f>'Raw data'!F3951</f>
        <v>0</v>
      </c>
      <c r="H4042" s="4">
        <f>'Raw data'!G3951</f>
        <v>0</v>
      </c>
      <c r="I4042" s="29" t="e">
        <f>VLOOKUP(G4042,제품명!$C$1:$E$114,2,0)</f>
        <v>#N/A</v>
      </c>
      <c r="J4042" s="29">
        <f>'Raw data'!K3951</f>
        <v>0</v>
      </c>
      <c r="K4042" s="31">
        <f>'Raw data'!H3951</f>
        <v>0</v>
      </c>
      <c r="L4042" s="26">
        <f t="shared" si="130"/>
        <v>0</v>
      </c>
    </row>
    <row r="4043" spans="2:12">
      <c r="B4043" s="4" t="e">
        <f t="shared" si="129"/>
        <v>#N/A</v>
      </c>
      <c r="C4043" s="4">
        <f>'Raw data'!E3619</f>
        <v>0</v>
      </c>
      <c r="D4043" s="29" t="e">
        <f>VLOOKUP(C4043,'점포코드 '!A:B,2,0)</f>
        <v>#N/A</v>
      </c>
      <c r="E4043" s="30">
        <f>'Raw data'!P3619</f>
        <v>0</v>
      </c>
      <c r="F4043" s="29" t="e">
        <f>VLOOKUP(E4043,'점포코드 '!A:B,2,0)</f>
        <v>#N/A</v>
      </c>
      <c r="G4043" s="46">
        <f>'Raw data'!F3952</f>
        <v>0</v>
      </c>
      <c r="H4043" s="4">
        <f>'Raw data'!G3952</f>
        <v>0</v>
      </c>
      <c r="I4043" s="29" t="e">
        <f>VLOOKUP(G4043,제품명!$C$1:$E$114,2,0)</f>
        <v>#N/A</v>
      </c>
      <c r="J4043" s="29">
        <f>'Raw data'!K3952</f>
        <v>0</v>
      </c>
      <c r="K4043" s="31">
        <f>'Raw data'!H3952</f>
        <v>0</v>
      </c>
      <c r="L4043" s="26">
        <f t="shared" si="130"/>
        <v>0</v>
      </c>
    </row>
    <row r="4044" spans="2:12">
      <c r="B4044" s="4" t="e">
        <f t="shared" si="129"/>
        <v>#N/A</v>
      </c>
      <c r="C4044" s="4">
        <f>'Raw data'!E3620</f>
        <v>0</v>
      </c>
      <c r="D4044" s="29" t="e">
        <f>VLOOKUP(C4044,'점포코드 '!A:B,2,0)</f>
        <v>#N/A</v>
      </c>
      <c r="E4044" s="30">
        <f>'Raw data'!P3620</f>
        <v>0</v>
      </c>
      <c r="F4044" s="29" t="e">
        <f>VLOOKUP(E4044,'점포코드 '!A:B,2,0)</f>
        <v>#N/A</v>
      </c>
      <c r="G4044" s="46">
        <f>'Raw data'!F3953</f>
        <v>0</v>
      </c>
      <c r="H4044" s="4">
        <f>'Raw data'!G3953</f>
        <v>0</v>
      </c>
      <c r="I4044" s="29" t="e">
        <f>VLOOKUP(G4044,제품명!$C$1:$E$114,2,0)</f>
        <v>#N/A</v>
      </c>
      <c r="J4044" s="29">
        <f>'Raw data'!K3953</f>
        <v>0</v>
      </c>
      <c r="K4044" s="31">
        <f>'Raw data'!H3953</f>
        <v>0</v>
      </c>
      <c r="L4044" s="26">
        <f t="shared" si="130"/>
        <v>0</v>
      </c>
    </row>
    <row r="4045" spans="2:12">
      <c r="B4045" s="4" t="e">
        <f t="shared" si="129"/>
        <v>#N/A</v>
      </c>
      <c r="C4045" s="4">
        <f>'Raw data'!E3621</f>
        <v>0</v>
      </c>
      <c r="D4045" s="29" t="e">
        <f>VLOOKUP(C4045,'점포코드 '!A:B,2,0)</f>
        <v>#N/A</v>
      </c>
      <c r="E4045" s="30">
        <f>'Raw data'!P3621</f>
        <v>0</v>
      </c>
      <c r="F4045" s="29" t="e">
        <f>VLOOKUP(E4045,'점포코드 '!A:B,2,0)</f>
        <v>#N/A</v>
      </c>
      <c r="G4045" s="46">
        <f>'Raw data'!F3954</f>
        <v>0</v>
      </c>
      <c r="H4045" s="4">
        <f>'Raw data'!G3954</f>
        <v>0</v>
      </c>
      <c r="I4045" s="29" t="e">
        <f>VLOOKUP(G4045,제품명!$C$1:$E$114,2,0)</f>
        <v>#N/A</v>
      </c>
      <c r="J4045" s="29">
        <f>'Raw data'!K3954</f>
        <v>0</v>
      </c>
      <c r="K4045" s="31">
        <f>'Raw data'!H3954</f>
        <v>0</v>
      </c>
      <c r="L4045" s="26">
        <f t="shared" si="130"/>
        <v>0</v>
      </c>
    </row>
    <row r="4046" spans="2:12">
      <c r="B4046" s="4" t="e">
        <f t="shared" si="129"/>
        <v>#N/A</v>
      </c>
      <c r="C4046" s="4">
        <f>'Raw data'!E3622</f>
        <v>0</v>
      </c>
      <c r="D4046" s="29" t="e">
        <f>VLOOKUP(C4046,'점포코드 '!A:B,2,0)</f>
        <v>#N/A</v>
      </c>
      <c r="E4046" s="30">
        <f>'Raw data'!P3622</f>
        <v>0</v>
      </c>
      <c r="F4046" s="29" t="e">
        <f>VLOOKUP(E4046,'점포코드 '!A:B,2,0)</f>
        <v>#N/A</v>
      </c>
      <c r="G4046" s="46">
        <f>'Raw data'!F3955</f>
        <v>0</v>
      </c>
      <c r="H4046" s="4">
        <f>'Raw data'!G3955</f>
        <v>0</v>
      </c>
      <c r="I4046" s="29" t="e">
        <f>VLOOKUP(G4046,제품명!$C$1:$E$114,2,0)</f>
        <v>#N/A</v>
      </c>
      <c r="J4046" s="29">
        <f>'Raw data'!K3955</f>
        <v>0</v>
      </c>
      <c r="K4046" s="31">
        <f>'Raw data'!H3955</f>
        <v>0</v>
      </c>
      <c r="L4046" s="26">
        <f t="shared" si="130"/>
        <v>0</v>
      </c>
    </row>
    <row r="4047" spans="2:12">
      <c r="B4047" s="4" t="e">
        <f t="shared" si="129"/>
        <v>#N/A</v>
      </c>
      <c r="C4047" s="4">
        <f>'Raw data'!E3623</f>
        <v>0</v>
      </c>
      <c r="D4047" s="29" t="e">
        <f>VLOOKUP(C4047,'점포코드 '!A:B,2,0)</f>
        <v>#N/A</v>
      </c>
      <c r="E4047" s="30">
        <f>'Raw data'!P3623</f>
        <v>0</v>
      </c>
      <c r="F4047" s="29" t="e">
        <f>VLOOKUP(E4047,'점포코드 '!A:B,2,0)</f>
        <v>#N/A</v>
      </c>
      <c r="G4047" s="46">
        <f>'Raw data'!F3956</f>
        <v>0</v>
      </c>
      <c r="H4047" s="4">
        <f>'Raw data'!G3956</f>
        <v>0</v>
      </c>
      <c r="I4047" s="29" t="e">
        <f>VLOOKUP(G4047,제품명!$C$1:$E$114,2,0)</f>
        <v>#N/A</v>
      </c>
      <c r="J4047" s="29">
        <f>'Raw data'!K3956</f>
        <v>0</v>
      </c>
      <c r="K4047" s="31">
        <f>'Raw data'!H3956</f>
        <v>0</v>
      </c>
      <c r="L4047" s="26">
        <f t="shared" si="130"/>
        <v>0</v>
      </c>
    </row>
    <row r="4048" spans="2:12">
      <c r="B4048" s="4" t="e">
        <f t="shared" si="129"/>
        <v>#N/A</v>
      </c>
      <c r="C4048" s="4">
        <f>'Raw data'!E3624</f>
        <v>0</v>
      </c>
      <c r="D4048" s="29" t="e">
        <f>VLOOKUP(C4048,'점포코드 '!A:B,2,0)</f>
        <v>#N/A</v>
      </c>
      <c r="E4048" s="30">
        <f>'Raw data'!P3624</f>
        <v>0</v>
      </c>
      <c r="F4048" s="29" t="e">
        <f>VLOOKUP(E4048,'점포코드 '!A:B,2,0)</f>
        <v>#N/A</v>
      </c>
      <c r="G4048" s="46">
        <f>'Raw data'!F3957</f>
        <v>0</v>
      </c>
      <c r="H4048" s="4">
        <f>'Raw data'!G3957</f>
        <v>0</v>
      </c>
      <c r="I4048" s="29" t="e">
        <f>VLOOKUP(G4048,제품명!$C$1:$E$114,2,0)</f>
        <v>#N/A</v>
      </c>
      <c r="J4048" s="29">
        <f>'Raw data'!K3957</f>
        <v>0</v>
      </c>
      <c r="K4048" s="31">
        <f>'Raw data'!H3957</f>
        <v>0</v>
      </c>
      <c r="L4048" s="26">
        <f t="shared" si="130"/>
        <v>0</v>
      </c>
    </row>
    <row r="4049" spans="2:12">
      <c r="B4049" s="4" t="e">
        <f t="shared" si="129"/>
        <v>#N/A</v>
      </c>
      <c r="C4049" s="4">
        <f>'Raw data'!E3625</f>
        <v>0</v>
      </c>
      <c r="D4049" s="29" t="e">
        <f>VLOOKUP(C4049,'점포코드 '!A:B,2,0)</f>
        <v>#N/A</v>
      </c>
      <c r="E4049" s="30">
        <f>'Raw data'!P3625</f>
        <v>0</v>
      </c>
      <c r="F4049" s="29" t="e">
        <f>VLOOKUP(E4049,'점포코드 '!A:B,2,0)</f>
        <v>#N/A</v>
      </c>
      <c r="G4049" s="46">
        <f>'Raw data'!F3958</f>
        <v>0</v>
      </c>
      <c r="H4049" s="4">
        <f>'Raw data'!G3958</f>
        <v>0</v>
      </c>
      <c r="I4049" s="29" t="e">
        <f>VLOOKUP(G4049,제품명!$C$1:$E$114,2,0)</f>
        <v>#N/A</v>
      </c>
      <c r="J4049" s="29">
        <f>'Raw data'!K3958</f>
        <v>0</v>
      </c>
      <c r="K4049" s="31">
        <f>'Raw data'!H3958</f>
        <v>0</v>
      </c>
      <c r="L4049" s="26">
        <f t="shared" si="130"/>
        <v>0</v>
      </c>
    </row>
    <row r="4050" spans="2:12">
      <c r="B4050" s="4" t="e">
        <f t="shared" si="129"/>
        <v>#N/A</v>
      </c>
      <c r="C4050" s="4">
        <f>'Raw data'!E3626</f>
        <v>0</v>
      </c>
      <c r="D4050" s="29" t="e">
        <f>VLOOKUP(C4050,'점포코드 '!A:B,2,0)</f>
        <v>#N/A</v>
      </c>
      <c r="E4050" s="30">
        <f>'Raw data'!P3626</f>
        <v>0</v>
      </c>
      <c r="F4050" s="29" t="e">
        <f>VLOOKUP(E4050,'점포코드 '!A:B,2,0)</f>
        <v>#N/A</v>
      </c>
      <c r="G4050" s="46">
        <f>'Raw data'!F3959</f>
        <v>0</v>
      </c>
      <c r="H4050" s="4">
        <f>'Raw data'!G3959</f>
        <v>0</v>
      </c>
      <c r="I4050" s="29" t="e">
        <f>VLOOKUP(G4050,제품명!$C$1:$E$114,2,0)</f>
        <v>#N/A</v>
      </c>
      <c r="J4050" s="29">
        <f>'Raw data'!K3959</f>
        <v>0</v>
      </c>
      <c r="K4050" s="31">
        <f>'Raw data'!H3959</f>
        <v>0</v>
      </c>
      <c r="L4050" s="26">
        <f t="shared" si="130"/>
        <v>0</v>
      </c>
    </row>
    <row r="4051" spans="2:12">
      <c r="B4051" s="4" t="e">
        <f t="shared" si="129"/>
        <v>#N/A</v>
      </c>
      <c r="C4051" s="4">
        <f>'Raw data'!E3627</f>
        <v>0</v>
      </c>
      <c r="D4051" s="29" t="e">
        <f>VLOOKUP(C4051,'점포코드 '!A:B,2,0)</f>
        <v>#N/A</v>
      </c>
      <c r="E4051" s="30">
        <f>'Raw data'!P3627</f>
        <v>0</v>
      </c>
      <c r="F4051" s="29" t="e">
        <f>VLOOKUP(E4051,'점포코드 '!A:B,2,0)</f>
        <v>#N/A</v>
      </c>
      <c r="G4051" s="46">
        <f>'Raw data'!F3960</f>
        <v>0</v>
      </c>
      <c r="H4051" s="4">
        <f>'Raw data'!G3960</f>
        <v>0</v>
      </c>
      <c r="I4051" s="29" t="e">
        <f>VLOOKUP(G4051,제품명!$C$1:$E$114,2,0)</f>
        <v>#N/A</v>
      </c>
      <c r="J4051" s="29">
        <f>'Raw data'!K3960</f>
        <v>0</v>
      </c>
      <c r="K4051" s="31">
        <f>'Raw data'!H3960</f>
        <v>0</v>
      </c>
      <c r="L4051" s="26">
        <f t="shared" si="130"/>
        <v>0</v>
      </c>
    </row>
    <row r="4052" spans="2:12">
      <c r="B4052" s="4" t="e">
        <f t="shared" si="129"/>
        <v>#N/A</v>
      </c>
      <c r="C4052" s="4">
        <f>'Raw data'!E3628</f>
        <v>0</v>
      </c>
      <c r="D4052" s="29" t="e">
        <f>VLOOKUP(C4052,'점포코드 '!A:B,2,0)</f>
        <v>#N/A</v>
      </c>
      <c r="E4052" s="30">
        <f>'Raw data'!P3628</f>
        <v>0</v>
      </c>
      <c r="F4052" s="29" t="e">
        <f>VLOOKUP(E4052,'점포코드 '!A:B,2,0)</f>
        <v>#N/A</v>
      </c>
      <c r="G4052" s="46">
        <f>'Raw data'!F3961</f>
        <v>0</v>
      </c>
      <c r="H4052" s="4">
        <f>'Raw data'!G3961</f>
        <v>0</v>
      </c>
      <c r="I4052" s="29" t="e">
        <f>VLOOKUP(G4052,제품명!$C$1:$E$114,2,0)</f>
        <v>#N/A</v>
      </c>
      <c r="J4052" s="29">
        <f>'Raw data'!K3961</f>
        <v>0</v>
      </c>
      <c r="K4052" s="31">
        <f>'Raw data'!H3961</f>
        <v>0</v>
      </c>
      <c r="L4052" s="26">
        <f t="shared" si="130"/>
        <v>0</v>
      </c>
    </row>
    <row r="4053" spans="2:12">
      <c r="B4053" s="4" t="e">
        <f t="shared" si="129"/>
        <v>#N/A</v>
      </c>
      <c r="C4053" s="4">
        <f>'Raw data'!E3629</f>
        <v>0</v>
      </c>
      <c r="D4053" s="29" t="e">
        <f>VLOOKUP(C4053,'점포코드 '!A:B,2,0)</f>
        <v>#N/A</v>
      </c>
      <c r="E4053" s="30">
        <f>'Raw data'!P3629</f>
        <v>0</v>
      </c>
      <c r="F4053" s="29" t="e">
        <f>VLOOKUP(E4053,'점포코드 '!A:B,2,0)</f>
        <v>#N/A</v>
      </c>
      <c r="G4053" s="46">
        <f>'Raw data'!F3962</f>
        <v>0</v>
      </c>
      <c r="H4053" s="4">
        <f>'Raw data'!G3962</f>
        <v>0</v>
      </c>
      <c r="I4053" s="29" t="e">
        <f>VLOOKUP(G4053,제품명!$C$1:$E$114,2,0)</f>
        <v>#N/A</v>
      </c>
      <c r="J4053" s="29">
        <f>'Raw data'!K3962</f>
        <v>0</v>
      </c>
      <c r="K4053" s="31">
        <f>'Raw data'!H3962</f>
        <v>0</v>
      </c>
      <c r="L4053" s="26">
        <f t="shared" si="130"/>
        <v>0</v>
      </c>
    </row>
    <row r="4054" spans="2:12">
      <c r="B4054" s="4" t="e">
        <f t="shared" si="129"/>
        <v>#N/A</v>
      </c>
      <c r="C4054" s="4">
        <f>'Raw data'!E3630</f>
        <v>0</v>
      </c>
      <c r="D4054" s="29" t="e">
        <f>VLOOKUP(C4054,'점포코드 '!A:B,2,0)</f>
        <v>#N/A</v>
      </c>
      <c r="E4054" s="30">
        <f>'Raw data'!P3630</f>
        <v>0</v>
      </c>
      <c r="F4054" s="29" t="e">
        <f>VLOOKUP(E4054,'점포코드 '!A:B,2,0)</f>
        <v>#N/A</v>
      </c>
      <c r="G4054" s="46">
        <f>'Raw data'!F3963</f>
        <v>0</v>
      </c>
      <c r="H4054" s="4">
        <f>'Raw data'!G3963</f>
        <v>0</v>
      </c>
      <c r="I4054" s="29" t="e">
        <f>VLOOKUP(G4054,제품명!$C$1:$E$114,2,0)</f>
        <v>#N/A</v>
      </c>
      <c r="J4054" s="29">
        <f>'Raw data'!K3963</f>
        <v>0</v>
      </c>
      <c r="K4054" s="31">
        <f>'Raw data'!H3963</f>
        <v>0</v>
      </c>
      <c r="L4054" s="26">
        <f t="shared" si="130"/>
        <v>0</v>
      </c>
    </row>
    <row r="4055" spans="2:12">
      <c r="B4055" s="4" t="e">
        <f t="shared" si="129"/>
        <v>#N/A</v>
      </c>
      <c r="C4055" s="4">
        <f>'Raw data'!E3631</f>
        <v>0</v>
      </c>
      <c r="D4055" s="29" t="e">
        <f>VLOOKUP(C4055,'점포코드 '!A:B,2,0)</f>
        <v>#N/A</v>
      </c>
      <c r="E4055" s="30">
        <f>'Raw data'!P3631</f>
        <v>0</v>
      </c>
      <c r="F4055" s="29" t="e">
        <f>VLOOKUP(E4055,'점포코드 '!A:B,2,0)</f>
        <v>#N/A</v>
      </c>
      <c r="G4055" s="46">
        <f>'Raw data'!F3964</f>
        <v>0</v>
      </c>
      <c r="H4055" s="4">
        <f>'Raw data'!G3964</f>
        <v>0</v>
      </c>
      <c r="I4055" s="29" t="e">
        <f>VLOOKUP(G4055,제품명!$C$1:$E$114,2,0)</f>
        <v>#N/A</v>
      </c>
      <c r="J4055" s="29">
        <f>'Raw data'!K3964</f>
        <v>0</v>
      </c>
      <c r="K4055" s="31">
        <f>'Raw data'!H3964</f>
        <v>0</v>
      </c>
      <c r="L4055" s="26">
        <f t="shared" si="130"/>
        <v>0</v>
      </c>
    </row>
    <row r="4056" spans="2:12">
      <c r="B4056" s="4" t="e">
        <f t="shared" si="129"/>
        <v>#N/A</v>
      </c>
      <c r="C4056" s="4">
        <f>'Raw data'!E3632</f>
        <v>0</v>
      </c>
      <c r="D4056" s="29" t="e">
        <f>VLOOKUP(C4056,'점포코드 '!A:B,2,0)</f>
        <v>#N/A</v>
      </c>
      <c r="E4056" s="30">
        <f>'Raw data'!P3632</f>
        <v>0</v>
      </c>
      <c r="F4056" s="29" t="e">
        <f>VLOOKUP(E4056,'점포코드 '!A:B,2,0)</f>
        <v>#N/A</v>
      </c>
      <c r="G4056" s="46">
        <f>'Raw data'!F3965</f>
        <v>0</v>
      </c>
      <c r="H4056" s="4">
        <f>'Raw data'!G3965</f>
        <v>0</v>
      </c>
      <c r="I4056" s="29" t="e">
        <f>VLOOKUP(G4056,제품명!$C$1:$E$114,2,0)</f>
        <v>#N/A</v>
      </c>
      <c r="J4056" s="29">
        <f>'Raw data'!K3965</f>
        <v>0</v>
      </c>
      <c r="K4056" s="31">
        <f>'Raw data'!H3965</f>
        <v>0</v>
      </c>
      <c r="L4056" s="26">
        <f t="shared" si="130"/>
        <v>0</v>
      </c>
    </row>
    <row r="4057" spans="2:12">
      <c r="B4057" s="4" t="e">
        <f t="shared" si="129"/>
        <v>#N/A</v>
      </c>
      <c r="C4057" s="4">
        <f>'Raw data'!E3633</f>
        <v>0</v>
      </c>
      <c r="D4057" s="29" t="e">
        <f>VLOOKUP(C4057,'점포코드 '!A:B,2,0)</f>
        <v>#N/A</v>
      </c>
      <c r="E4057" s="30">
        <f>'Raw data'!P3633</f>
        <v>0</v>
      </c>
      <c r="F4057" s="29" t="e">
        <f>VLOOKUP(E4057,'점포코드 '!A:B,2,0)</f>
        <v>#N/A</v>
      </c>
      <c r="G4057" s="46">
        <f>'Raw data'!F3966</f>
        <v>0</v>
      </c>
      <c r="H4057" s="4">
        <f>'Raw data'!G3966</f>
        <v>0</v>
      </c>
      <c r="I4057" s="29" t="e">
        <f>VLOOKUP(G4057,제품명!$C$1:$E$114,2,0)</f>
        <v>#N/A</v>
      </c>
      <c r="J4057" s="29">
        <f>'Raw data'!K3966</f>
        <v>0</v>
      </c>
      <c r="K4057" s="31">
        <f>'Raw data'!H3966</f>
        <v>0</v>
      </c>
      <c r="L4057" s="26">
        <f t="shared" si="130"/>
        <v>0</v>
      </c>
    </row>
    <row r="4058" spans="2:12">
      <c r="B4058" s="4" t="e">
        <f t="shared" si="129"/>
        <v>#N/A</v>
      </c>
      <c r="C4058" s="4">
        <f>'Raw data'!E3634</f>
        <v>0</v>
      </c>
      <c r="D4058" s="29" t="e">
        <f>VLOOKUP(C4058,'점포코드 '!A:B,2,0)</f>
        <v>#N/A</v>
      </c>
      <c r="E4058" s="30">
        <f>'Raw data'!P3634</f>
        <v>0</v>
      </c>
      <c r="F4058" s="29" t="e">
        <f>VLOOKUP(E4058,'점포코드 '!A:B,2,0)</f>
        <v>#N/A</v>
      </c>
      <c r="G4058" s="46">
        <f>'Raw data'!F3967</f>
        <v>0</v>
      </c>
      <c r="H4058" s="4">
        <f>'Raw data'!G3967</f>
        <v>0</v>
      </c>
      <c r="I4058" s="29" t="e">
        <f>VLOOKUP(G4058,제품명!$C$1:$E$114,2,0)</f>
        <v>#N/A</v>
      </c>
      <c r="J4058" s="29">
        <f>'Raw data'!K3967</f>
        <v>0</v>
      </c>
      <c r="K4058" s="31">
        <f>'Raw data'!H3967</f>
        <v>0</v>
      </c>
      <c r="L4058" s="26">
        <f t="shared" si="130"/>
        <v>0</v>
      </c>
    </row>
    <row r="4059" spans="2:12">
      <c r="B4059" s="4" t="e">
        <f t="shared" si="129"/>
        <v>#N/A</v>
      </c>
      <c r="C4059" s="4">
        <f>'Raw data'!E3635</f>
        <v>0</v>
      </c>
      <c r="D4059" s="29" t="e">
        <f>VLOOKUP(C4059,'점포코드 '!A:B,2,0)</f>
        <v>#N/A</v>
      </c>
      <c r="E4059" s="30">
        <f>'Raw data'!P3635</f>
        <v>0</v>
      </c>
      <c r="F4059" s="29" t="e">
        <f>VLOOKUP(E4059,'점포코드 '!A:B,2,0)</f>
        <v>#N/A</v>
      </c>
      <c r="G4059" s="46">
        <f>'Raw data'!F3968</f>
        <v>0</v>
      </c>
      <c r="H4059" s="4">
        <f>'Raw data'!G3968</f>
        <v>0</v>
      </c>
      <c r="I4059" s="29" t="e">
        <f>VLOOKUP(G4059,제품명!$C$1:$E$114,2,0)</f>
        <v>#N/A</v>
      </c>
      <c r="J4059" s="29">
        <f>'Raw data'!K3968</f>
        <v>0</v>
      </c>
      <c r="K4059" s="31">
        <f>'Raw data'!H3968</f>
        <v>0</v>
      </c>
      <c r="L4059" s="26">
        <f t="shared" si="130"/>
        <v>0</v>
      </c>
    </row>
    <row r="4060" spans="2:12">
      <c r="B4060" s="4" t="e">
        <f t="shared" si="129"/>
        <v>#N/A</v>
      </c>
      <c r="C4060" s="4">
        <f>'Raw data'!E3636</f>
        <v>0</v>
      </c>
      <c r="D4060" s="29" t="e">
        <f>VLOOKUP(C4060,'점포코드 '!A:B,2,0)</f>
        <v>#N/A</v>
      </c>
      <c r="E4060" s="30">
        <f>'Raw data'!P3636</f>
        <v>0</v>
      </c>
      <c r="F4060" s="29" t="e">
        <f>VLOOKUP(E4060,'점포코드 '!A:B,2,0)</f>
        <v>#N/A</v>
      </c>
      <c r="G4060" s="46">
        <f>'Raw data'!F3969</f>
        <v>0</v>
      </c>
      <c r="H4060" s="4">
        <f>'Raw data'!G3969</f>
        <v>0</v>
      </c>
      <c r="I4060" s="29" t="e">
        <f>VLOOKUP(G4060,제품명!$C$1:$E$114,2,0)</f>
        <v>#N/A</v>
      </c>
      <c r="J4060" s="29">
        <f>'Raw data'!K3969</f>
        <v>0</v>
      </c>
      <c r="K4060" s="31">
        <f>'Raw data'!H3969</f>
        <v>0</v>
      </c>
      <c r="L4060" s="26">
        <f t="shared" si="130"/>
        <v>0</v>
      </c>
    </row>
    <row r="4061" spans="2:12">
      <c r="B4061" s="4" t="e">
        <f t="shared" si="129"/>
        <v>#N/A</v>
      </c>
      <c r="C4061" s="4">
        <f>'Raw data'!E3637</f>
        <v>0</v>
      </c>
      <c r="D4061" s="29" t="e">
        <f>VLOOKUP(C4061,'점포코드 '!A:B,2,0)</f>
        <v>#N/A</v>
      </c>
      <c r="E4061" s="30">
        <f>'Raw data'!P3637</f>
        <v>0</v>
      </c>
      <c r="F4061" s="29" t="e">
        <f>VLOOKUP(E4061,'점포코드 '!A:B,2,0)</f>
        <v>#N/A</v>
      </c>
      <c r="G4061" s="46">
        <f>'Raw data'!F3970</f>
        <v>0</v>
      </c>
      <c r="H4061" s="4">
        <f>'Raw data'!G3970</f>
        <v>0</v>
      </c>
      <c r="I4061" s="29" t="e">
        <f>VLOOKUP(G4061,제품명!$C$1:$E$114,2,0)</f>
        <v>#N/A</v>
      </c>
      <c r="J4061" s="29">
        <f>'Raw data'!K3970</f>
        <v>0</v>
      </c>
      <c r="K4061" s="31">
        <f>'Raw data'!H3970</f>
        <v>0</v>
      </c>
      <c r="L4061" s="26">
        <f t="shared" si="130"/>
        <v>0</v>
      </c>
    </row>
    <row r="4062" spans="2:12">
      <c r="B4062" s="4" t="e">
        <f t="shared" si="129"/>
        <v>#N/A</v>
      </c>
      <c r="C4062" s="4">
        <f>'Raw data'!E3638</f>
        <v>0</v>
      </c>
      <c r="D4062" s="29" t="e">
        <f>VLOOKUP(C4062,'점포코드 '!A:B,2,0)</f>
        <v>#N/A</v>
      </c>
      <c r="E4062" s="30">
        <f>'Raw data'!P3638</f>
        <v>0</v>
      </c>
      <c r="F4062" s="29" t="e">
        <f>VLOOKUP(E4062,'점포코드 '!A:B,2,0)</f>
        <v>#N/A</v>
      </c>
      <c r="G4062" s="46">
        <f>'Raw data'!F3971</f>
        <v>0</v>
      </c>
      <c r="H4062" s="4">
        <f>'Raw data'!G3971</f>
        <v>0</v>
      </c>
      <c r="I4062" s="29" t="e">
        <f>VLOOKUP(G4062,제품명!$C$1:$E$114,2,0)</f>
        <v>#N/A</v>
      </c>
      <c r="J4062" s="29">
        <f>'Raw data'!K3971</f>
        <v>0</v>
      </c>
      <c r="K4062" s="31">
        <f>'Raw data'!H3971</f>
        <v>0</v>
      </c>
      <c r="L4062" s="26">
        <f t="shared" si="130"/>
        <v>0</v>
      </c>
    </row>
    <row r="4063" spans="2:12">
      <c r="B4063" s="4" t="e">
        <f t="shared" si="129"/>
        <v>#N/A</v>
      </c>
      <c r="C4063" s="4">
        <f>'Raw data'!E3639</f>
        <v>0</v>
      </c>
      <c r="D4063" s="29" t="e">
        <f>VLOOKUP(C4063,'점포코드 '!A:B,2,0)</f>
        <v>#N/A</v>
      </c>
      <c r="E4063" s="30">
        <f>'Raw data'!P3639</f>
        <v>0</v>
      </c>
      <c r="F4063" s="29" t="e">
        <f>VLOOKUP(E4063,'점포코드 '!A:B,2,0)</f>
        <v>#N/A</v>
      </c>
      <c r="G4063" s="46">
        <f>'Raw data'!F3972</f>
        <v>0</v>
      </c>
      <c r="H4063" s="4">
        <f>'Raw data'!G3972</f>
        <v>0</v>
      </c>
      <c r="I4063" s="29" t="e">
        <f>VLOOKUP(G4063,제품명!$C$1:$E$114,2,0)</f>
        <v>#N/A</v>
      </c>
      <c r="J4063" s="29">
        <f>'Raw data'!K3972</f>
        <v>0</v>
      </c>
      <c r="K4063" s="31">
        <f>'Raw data'!H3972</f>
        <v>0</v>
      </c>
      <c r="L4063" s="26">
        <f t="shared" si="130"/>
        <v>0</v>
      </c>
    </row>
    <row r="4064" spans="2:12">
      <c r="B4064" s="4" t="e">
        <f t="shared" si="129"/>
        <v>#N/A</v>
      </c>
      <c r="C4064" s="4">
        <f>'Raw data'!E3640</f>
        <v>0</v>
      </c>
      <c r="D4064" s="29" t="e">
        <f>VLOOKUP(C4064,'점포코드 '!A:B,2,0)</f>
        <v>#N/A</v>
      </c>
      <c r="E4064" s="30">
        <f>'Raw data'!P3640</f>
        <v>0</v>
      </c>
      <c r="F4064" s="29" t="e">
        <f>VLOOKUP(E4064,'점포코드 '!A:B,2,0)</f>
        <v>#N/A</v>
      </c>
      <c r="G4064" s="46">
        <f>'Raw data'!F3973</f>
        <v>0</v>
      </c>
      <c r="H4064" s="4">
        <f>'Raw data'!G3973</f>
        <v>0</v>
      </c>
      <c r="I4064" s="29" t="e">
        <f>VLOOKUP(G4064,제품명!$C$1:$E$114,2,0)</f>
        <v>#N/A</v>
      </c>
      <c r="J4064" s="29">
        <f>'Raw data'!K3973</f>
        <v>0</v>
      </c>
      <c r="K4064" s="31">
        <f>'Raw data'!H3973</f>
        <v>0</v>
      </c>
      <c r="L4064" s="26">
        <f t="shared" si="130"/>
        <v>0</v>
      </c>
    </row>
    <row r="4065" spans="2:12">
      <c r="B4065" s="4" t="e">
        <f t="shared" si="129"/>
        <v>#N/A</v>
      </c>
      <c r="C4065" s="4">
        <f>'Raw data'!E3641</f>
        <v>0</v>
      </c>
      <c r="D4065" s="29" t="e">
        <f>VLOOKUP(C4065,'점포코드 '!A:B,2,0)</f>
        <v>#N/A</v>
      </c>
      <c r="E4065" s="30">
        <f>'Raw data'!P3641</f>
        <v>0</v>
      </c>
      <c r="F4065" s="29" t="e">
        <f>VLOOKUP(E4065,'점포코드 '!A:B,2,0)</f>
        <v>#N/A</v>
      </c>
      <c r="G4065" s="46">
        <f>'Raw data'!F3974</f>
        <v>0</v>
      </c>
      <c r="H4065" s="4">
        <f>'Raw data'!G3974</f>
        <v>0</v>
      </c>
      <c r="I4065" s="29" t="e">
        <f>VLOOKUP(G4065,제품명!$C$1:$E$114,2,0)</f>
        <v>#N/A</v>
      </c>
      <c r="J4065" s="29">
        <f>'Raw data'!K3974</f>
        <v>0</v>
      </c>
      <c r="K4065" s="31">
        <f>'Raw data'!H3974</f>
        <v>0</v>
      </c>
      <c r="L4065" s="26">
        <f t="shared" si="130"/>
        <v>0</v>
      </c>
    </row>
    <row r="4066" spans="2:12">
      <c r="B4066" s="4" t="e">
        <f t="shared" si="129"/>
        <v>#N/A</v>
      </c>
      <c r="C4066" s="4">
        <f>'Raw data'!E3642</f>
        <v>0</v>
      </c>
      <c r="D4066" s="29" t="e">
        <f>VLOOKUP(C4066,'점포코드 '!A:B,2,0)</f>
        <v>#N/A</v>
      </c>
      <c r="E4066" s="30">
        <f>'Raw data'!P3642</f>
        <v>0</v>
      </c>
      <c r="F4066" s="29" t="e">
        <f>VLOOKUP(E4066,'점포코드 '!A:B,2,0)</f>
        <v>#N/A</v>
      </c>
      <c r="G4066" s="46">
        <f>'Raw data'!F3975</f>
        <v>0</v>
      </c>
      <c r="H4066" s="4">
        <f>'Raw data'!G3975</f>
        <v>0</v>
      </c>
      <c r="I4066" s="29" t="e">
        <f>VLOOKUP(G4066,제품명!$C$1:$E$114,2,0)</f>
        <v>#N/A</v>
      </c>
      <c r="J4066" s="29">
        <f>'Raw data'!K3975</f>
        <v>0</v>
      </c>
      <c r="K4066" s="31">
        <f>'Raw data'!H3975</f>
        <v>0</v>
      </c>
      <c r="L4066" s="26">
        <f t="shared" si="130"/>
        <v>0</v>
      </c>
    </row>
    <row r="4067" spans="2:12">
      <c r="B4067" s="4" t="e">
        <f t="shared" si="129"/>
        <v>#N/A</v>
      </c>
      <c r="C4067" s="4">
        <f>'Raw data'!E3643</f>
        <v>0</v>
      </c>
      <c r="D4067" s="29" t="e">
        <f>VLOOKUP(C4067,'점포코드 '!A:B,2,0)</f>
        <v>#N/A</v>
      </c>
      <c r="E4067" s="30">
        <f>'Raw data'!P3643</f>
        <v>0</v>
      </c>
      <c r="F4067" s="29" t="e">
        <f>VLOOKUP(E4067,'점포코드 '!A:B,2,0)</f>
        <v>#N/A</v>
      </c>
      <c r="G4067" s="46">
        <f>'Raw data'!F3976</f>
        <v>0</v>
      </c>
      <c r="H4067" s="4">
        <f>'Raw data'!G3976</f>
        <v>0</v>
      </c>
      <c r="I4067" s="29" t="e">
        <f>VLOOKUP(G4067,제품명!$C$1:$E$114,2,0)</f>
        <v>#N/A</v>
      </c>
      <c r="J4067" s="29">
        <f>'Raw data'!K3976</f>
        <v>0</v>
      </c>
      <c r="K4067" s="31">
        <f>'Raw data'!H3976</f>
        <v>0</v>
      </c>
      <c r="L4067" s="26">
        <f t="shared" si="130"/>
        <v>0</v>
      </c>
    </row>
    <row r="4068" spans="2:12">
      <c r="B4068" s="4" t="e">
        <f t="shared" si="129"/>
        <v>#N/A</v>
      </c>
      <c r="C4068" s="4">
        <f>'Raw data'!E3644</f>
        <v>0</v>
      </c>
      <c r="D4068" s="29" t="e">
        <f>VLOOKUP(C4068,'점포코드 '!A:B,2,0)</f>
        <v>#N/A</v>
      </c>
      <c r="E4068" s="30">
        <f>'Raw data'!P3644</f>
        <v>0</v>
      </c>
      <c r="F4068" s="29" t="e">
        <f>VLOOKUP(E4068,'점포코드 '!A:B,2,0)</f>
        <v>#N/A</v>
      </c>
      <c r="G4068" s="46">
        <f>'Raw data'!F3977</f>
        <v>0</v>
      </c>
      <c r="H4068" s="4">
        <f>'Raw data'!G3977</f>
        <v>0</v>
      </c>
      <c r="I4068" s="29" t="e">
        <f>VLOOKUP(G4068,제품명!$C$1:$E$114,2,0)</f>
        <v>#N/A</v>
      </c>
      <c r="J4068" s="29">
        <f>'Raw data'!K3977</f>
        <v>0</v>
      </c>
      <c r="K4068" s="31">
        <f>'Raw data'!H3977</f>
        <v>0</v>
      </c>
      <c r="L4068" s="26">
        <f t="shared" si="130"/>
        <v>0</v>
      </c>
    </row>
    <row r="4069" spans="2:12">
      <c r="B4069" s="4" t="e">
        <f t="shared" si="129"/>
        <v>#N/A</v>
      </c>
      <c r="C4069" s="4">
        <f>'Raw data'!E3645</f>
        <v>0</v>
      </c>
      <c r="D4069" s="29" t="e">
        <f>VLOOKUP(C4069,'점포코드 '!A:B,2,0)</f>
        <v>#N/A</v>
      </c>
      <c r="E4069" s="30">
        <f>'Raw data'!P3645</f>
        <v>0</v>
      </c>
      <c r="F4069" s="29" t="e">
        <f>VLOOKUP(E4069,'점포코드 '!A:B,2,0)</f>
        <v>#N/A</v>
      </c>
      <c r="G4069" s="46">
        <f>'Raw data'!F3978</f>
        <v>0</v>
      </c>
      <c r="H4069" s="4">
        <f>'Raw data'!G3978</f>
        <v>0</v>
      </c>
      <c r="I4069" s="29" t="e">
        <f>VLOOKUP(G4069,제품명!$C$1:$E$114,2,0)</f>
        <v>#N/A</v>
      </c>
      <c r="J4069" s="29">
        <f>'Raw data'!K3978</f>
        <v>0</v>
      </c>
      <c r="K4069" s="31">
        <f>'Raw data'!H3978</f>
        <v>0</v>
      </c>
      <c r="L4069" s="26">
        <f t="shared" si="130"/>
        <v>0</v>
      </c>
    </row>
    <row r="4070" spans="2:12">
      <c r="B4070" s="4" t="e">
        <f t="shared" si="129"/>
        <v>#N/A</v>
      </c>
      <c r="C4070" s="4">
        <f>'Raw data'!E3646</f>
        <v>0</v>
      </c>
      <c r="D4070" s="29" t="e">
        <f>VLOOKUP(C4070,'점포코드 '!A:B,2,0)</f>
        <v>#N/A</v>
      </c>
      <c r="E4070" s="30">
        <f>'Raw data'!P3646</f>
        <v>0</v>
      </c>
      <c r="F4070" s="29" t="e">
        <f>VLOOKUP(E4070,'점포코드 '!A:B,2,0)</f>
        <v>#N/A</v>
      </c>
      <c r="G4070" s="46">
        <f>'Raw data'!F3979</f>
        <v>0</v>
      </c>
      <c r="H4070" s="4">
        <f>'Raw data'!G3979</f>
        <v>0</v>
      </c>
      <c r="I4070" s="29" t="e">
        <f>VLOOKUP(G4070,제품명!$C$1:$E$114,2,0)</f>
        <v>#N/A</v>
      </c>
      <c r="J4070" s="29">
        <f>'Raw data'!K3979</f>
        <v>0</v>
      </c>
      <c r="K4070" s="31">
        <f>'Raw data'!H3979</f>
        <v>0</v>
      </c>
      <c r="L4070" s="26">
        <f t="shared" si="130"/>
        <v>0</v>
      </c>
    </row>
    <row r="4071" spans="2:12">
      <c r="B4071" s="4" t="e">
        <f t="shared" si="129"/>
        <v>#N/A</v>
      </c>
      <c r="C4071" s="4">
        <f>'Raw data'!E3647</f>
        <v>0</v>
      </c>
      <c r="D4071" s="29" t="e">
        <f>VLOOKUP(C4071,'점포코드 '!A:B,2,0)</f>
        <v>#N/A</v>
      </c>
      <c r="E4071" s="30">
        <f>'Raw data'!P3647</f>
        <v>0</v>
      </c>
      <c r="F4071" s="29" t="e">
        <f>VLOOKUP(E4071,'점포코드 '!A:B,2,0)</f>
        <v>#N/A</v>
      </c>
      <c r="G4071" s="46">
        <f>'Raw data'!F3980</f>
        <v>0</v>
      </c>
      <c r="H4071" s="4">
        <f>'Raw data'!G3980</f>
        <v>0</v>
      </c>
      <c r="I4071" s="29" t="e">
        <f>VLOOKUP(G4071,제품명!$C$1:$E$114,2,0)</f>
        <v>#N/A</v>
      </c>
      <c r="J4071" s="29">
        <f>'Raw data'!K3980</f>
        <v>0</v>
      </c>
      <c r="K4071" s="31">
        <f>'Raw data'!H3980</f>
        <v>0</v>
      </c>
      <c r="L4071" s="26">
        <f t="shared" si="130"/>
        <v>0</v>
      </c>
    </row>
    <row r="4072" spans="2:12">
      <c r="B4072" s="4" t="e">
        <f t="shared" si="129"/>
        <v>#N/A</v>
      </c>
      <c r="C4072" s="4">
        <f>'Raw data'!E3648</f>
        <v>0</v>
      </c>
      <c r="D4072" s="29" t="e">
        <f>VLOOKUP(C4072,'점포코드 '!A:B,2,0)</f>
        <v>#N/A</v>
      </c>
      <c r="E4072" s="30">
        <f>'Raw data'!P3648</f>
        <v>0</v>
      </c>
      <c r="F4072" s="29" t="e">
        <f>VLOOKUP(E4072,'점포코드 '!A:B,2,0)</f>
        <v>#N/A</v>
      </c>
      <c r="G4072" s="46">
        <f>'Raw data'!F3981</f>
        <v>0</v>
      </c>
      <c r="H4072" s="4">
        <f>'Raw data'!G3981</f>
        <v>0</v>
      </c>
      <c r="I4072" s="29" t="e">
        <f>VLOOKUP(G4072,제품명!$C$1:$E$114,2,0)</f>
        <v>#N/A</v>
      </c>
      <c r="J4072" s="29">
        <f>'Raw data'!K3981</f>
        <v>0</v>
      </c>
      <c r="K4072" s="31">
        <f>'Raw data'!H3981</f>
        <v>0</v>
      </c>
      <c r="L4072" s="26">
        <f t="shared" si="130"/>
        <v>0</v>
      </c>
    </row>
    <row r="4073" spans="2:12">
      <c r="B4073" s="4" t="e">
        <f t="shared" si="129"/>
        <v>#N/A</v>
      </c>
      <c r="C4073" s="4">
        <f>'Raw data'!E3649</f>
        <v>0</v>
      </c>
      <c r="D4073" s="29" t="e">
        <f>VLOOKUP(C4073,'점포코드 '!A:B,2,0)</f>
        <v>#N/A</v>
      </c>
      <c r="E4073" s="30">
        <f>'Raw data'!P3649</f>
        <v>0</v>
      </c>
      <c r="F4073" s="29" t="e">
        <f>VLOOKUP(E4073,'점포코드 '!A:B,2,0)</f>
        <v>#N/A</v>
      </c>
      <c r="G4073" s="46">
        <f>'Raw data'!F3982</f>
        <v>0</v>
      </c>
      <c r="H4073" s="4">
        <f>'Raw data'!G3982</f>
        <v>0</v>
      </c>
      <c r="I4073" s="29" t="e">
        <f>VLOOKUP(G4073,제품명!$C$1:$E$114,2,0)</f>
        <v>#N/A</v>
      </c>
      <c r="J4073" s="29">
        <f>'Raw data'!K3982</f>
        <v>0</v>
      </c>
      <c r="K4073" s="31">
        <f>'Raw data'!H3982</f>
        <v>0</v>
      </c>
      <c r="L4073" s="26">
        <f t="shared" si="130"/>
        <v>0</v>
      </c>
    </row>
    <row r="4074" spans="2:12">
      <c r="B4074" s="4" t="e">
        <f t="shared" si="129"/>
        <v>#N/A</v>
      </c>
      <c r="C4074" s="4">
        <f>'Raw data'!E3650</f>
        <v>0</v>
      </c>
      <c r="D4074" s="29" t="e">
        <f>VLOOKUP(C4074,'점포코드 '!A:B,2,0)</f>
        <v>#N/A</v>
      </c>
      <c r="E4074" s="30">
        <f>'Raw data'!P3650</f>
        <v>0</v>
      </c>
      <c r="F4074" s="29" t="e">
        <f>VLOOKUP(E4074,'점포코드 '!A:B,2,0)</f>
        <v>#N/A</v>
      </c>
      <c r="G4074" s="46">
        <f>'Raw data'!F3983</f>
        <v>0</v>
      </c>
      <c r="H4074" s="4">
        <f>'Raw data'!G3983</f>
        <v>0</v>
      </c>
      <c r="I4074" s="29" t="e">
        <f>VLOOKUP(G4074,제품명!$C$1:$E$114,2,0)</f>
        <v>#N/A</v>
      </c>
      <c r="J4074" s="29">
        <f>'Raw data'!K3983</f>
        <v>0</v>
      </c>
      <c r="K4074" s="31">
        <f>'Raw data'!H3983</f>
        <v>0</v>
      </c>
      <c r="L4074" s="26">
        <f t="shared" si="130"/>
        <v>0</v>
      </c>
    </row>
    <row r="4075" spans="2:12">
      <c r="B4075" s="4" t="e">
        <f t="shared" si="129"/>
        <v>#N/A</v>
      </c>
      <c r="C4075" s="4">
        <f>'Raw data'!E3651</f>
        <v>0</v>
      </c>
      <c r="D4075" s="29" t="e">
        <f>VLOOKUP(C4075,'점포코드 '!A:B,2,0)</f>
        <v>#N/A</v>
      </c>
      <c r="E4075" s="30">
        <f>'Raw data'!P3651</f>
        <v>0</v>
      </c>
      <c r="F4075" s="29" t="e">
        <f>VLOOKUP(E4075,'점포코드 '!A:B,2,0)</f>
        <v>#N/A</v>
      </c>
      <c r="G4075" s="46">
        <f>'Raw data'!F3984</f>
        <v>0</v>
      </c>
      <c r="H4075" s="4">
        <f>'Raw data'!G3984</f>
        <v>0</v>
      </c>
      <c r="I4075" s="29" t="e">
        <f>VLOOKUP(G4075,제품명!$C$1:$E$114,2,0)</f>
        <v>#N/A</v>
      </c>
      <c r="J4075" s="29">
        <f>'Raw data'!K3984</f>
        <v>0</v>
      </c>
      <c r="K4075" s="31">
        <f>'Raw data'!H3984</f>
        <v>0</v>
      </c>
      <c r="L4075" s="26">
        <f t="shared" si="130"/>
        <v>0</v>
      </c>
    </row>
    <row r="4076" spans="2:12">
      <c r="B4076" s="4" t="e">
        <f t="shared" si="129"/>
        <v>#N/A</v>
      </c>
      <c r="C4076" s="4">
        <f>'Raw data'!E3652</f>
        <v>0</v>
      </c>
      <c r="D4076" s="29" t="e">
        <f>VLOOKUP(C4076,'점포코드 '!A:B,2,0)</f>
        <v>#N/A</v>
      </c>
      <c r="E4076" s="30">
        <f>'Raw data'!P3652</f>
        <v>0</v>
      </c>
      <c r="F4076" s="29" t="e">
        <f>VLOOKUP(E4076,'점포코드 '!A:B,2,0)</f>
        <v>#N/A</v>
      </c>
      <c r="G4076" s="46">
        <f>'Raw data'!F3985</f>
        <v>0</v>
      </c>
      <c r="H4076" s="4">
        <f>'Raw data'!G3985</f>
        <v>0</v>
      </c>
      <c r="I4076" s="29" t="e">
        <f>VLOOKUP(G4076,제품명!$C$1:$E$114,2,0)</f>
        <v>#N/A</v>
      </c>
      <c r="J4076" s="29">
        <f>'Raw data'!K3985</f>
        <v>0</v>
      </c>
      <c r="K4076" s="31">
        <f>'Raw data'!H3985</f>
        <v>0</v>
      </c>
      <c r="L4076" s="26">
        <f t="shared" si="130"/>
        <v>0</v>
      </c>
    </row>
    <row r="4077" spans="2:12">
      <c r="B4077" s="4" t="e">
        <f t="shared" si="129"/>
        <v>#N/A</v>
      </c>
      <c r="C4077" s="4">
        <f>'Raw data'!E3653</f>
        <v>0</v>
      </c>
      <c r="D4077" s="29" t="e">
        <f>VLOOKUP(C4077,'점포코드 '!A:B,2,0)</f>
        <v>#N/A</v>
      </c>
      <c r="E4077" s="30">
        <f>'Raw data'!P3653</f>
        <v>0</v>
      </c>
      <c r="F4077" s="29" t="e">
        <f>VLOOKUP(E4077,'점포코드 '!A:B,2,0)</f>
        <v>#N/A</v>
      </c>
      <c r="G4077" s="46">
        <f>'Raw data'!F3986</f>
        <v>0</v>
      </c>
      <c r="H4077" s="4">
        <f>'Raw data'!G3986</f>
        <v>0</v>
      </c>
      <c r="I4077" s="29" t="e">
        <f>VLOOKUP(G4077,제품명!$C$1:$E$114,2,0)</f>
        <v>#N/A</v>
      </c>
      <c r="J4077" s="29">
        <f>'Raw data'!K3986</f>
        <v>0</v>
      </c>
      <c r="K4077" s="31">
        <f>'Raw data'!H3986</f>
        <v>0</v>
      </c>
      <c r="L4077" s="26">
        <f t="shared" si="130"/>
        <v>0</v>
      </c>
    </row>
    <row r="4078" spans="2:12">
      <c r="B4078" s="4" t="e">
        <f t="shared" si="129"/>
        <v>#N/A</v>
      </c>
      <c r="C4078" s="4">
        <f>'Raw data'!E3654</f>
        <v>0</v>
      </c>
      <c r="D4078" s="29" t="e">
        <f>VLOOKUP(C4078,'점포코드 '!A:B,2,0)</f>
        <v>#N/A</v>
      </c>
      <c r="E4078" s="30">
        <f>'Raw data'!P3654</f>
        <v>0</v>
      </c>
      <c r="F4078" s="29" t="e">
        <f>VLOOKUP(E4078,'점포코드 '!A:B,2,0)</f>
        <v>#N/A</v>
      </c>
      <c r="G4078" s="46">
        <f>'Raw data'!F3987</f>
        <v>0</v>
      </c>
      <c r="H4078" s="4">
        <f>'Raw data'!G3987</f>
        <v>0</v>
      </c>
      <c r="I4078" s="29" t="e">
        <f>VLOOKUP(G4078,제품명!$C$1:$E$114,2,0)</f>
        <v>#N/A</v>
      </c>
      <c r="J4078" s="29">
        <f>'Raw data'!K3987</f>
        <v>0</v>
      </c>
      <c r="K4078" s="31">
        <f>'Raw data'!H3987</f>
        <v>0</v>
      </c>
      <c r="L4078" s="26">
        <f t="shared" si="130"/>
        <v>0</v>
      </c>
    </row>
    <row r="4079" spans="2:12">
      <c r="B4079" s="4" t="e">
        <f t="shared" si="129"/>
        <v>#N/A</v>
      </c>
      <c r="C4079" s="4">
        <f>'Raw data'!E3655</f>
        <v>0</v>
      </c>
      <c r="D4079" s="29" t="e">
        <f>VLOOKUP(C4079,'점포코드 '!A:B,2,0)</f>
        <v>#N/A</v>
      </c>
      <c r="E4079" s="30">
        <f>'Raw data'!P3655</f>
        <v>0</v>
      </c>
      <c r="F4079" s="29" t="e">
        <f>VLOOKUP(E4079,'점포코드 '!A:B,2,0)</f>
        <v>#N/A</v>
      </c>
      <c r="G4079" s="46">
        <f>'Raw data'!F3988</f>
        <v>0</v>
      </c>
      <c r="H4079" s="4">
        <f>'Raw data'!G3988</f>
        <v>0</v>
      </c>
      <c r="I4079" s="29" t="e">
        <f>VLOOKUP(G4079,제품명!$C$1:$E$114,2,0)</f>
        <v>#N/A</v>
      </c>
      <c r="J4079" s="29">
        <f>'Raw data'!K3988</f>
        <v>0</v>
      </c>
      <c r="K4079" s="31">
        <f>'Raw data'!H3988</f>
        <v>0</v>
      </c>
      <c r="L4079" s="26">
        <f t="shared" si="130"/>
        <v>0</v>
      </c>
    </row>
    <row r="4080" spans="2:12">
      <c r="B4080" s="4" t="e">
        <f t="shared" si="129"/>
        <v>#N/A</v>
      </c>
      <c r="C4080" s="4">
        <f>'Raw data'!E3656</f>
        <v>0</v>
      </c>
      <c r="D4080" s="29" t="e">
        <f>VLOOKUP(C4080,'점포코드 '!A:B,2,0)</f>
        <v>#N/A</v>
      </c>
      <c r="E4080" s="30">
        <f>'Raw data'!P3656</f>
        <v>0</v>
      </c>
      <c r="F4080" s="29" t="e">
        <f>VLOOKUP(E4080,'점포코드 '!A:B,2,0)</f>
        <v>#N/A</v>
      </c>
      <c r="G4080" s="46">
        <f>'Raw data'!F3989</f>
        <v>0</v>
      </c>
      <c r="H4080" s="4">
        <f>'Raw data'!G3989</f>
        <v>0</v>
      </c>
      <c r="I4080" s="29" t="e">
        <f>VLOOKUP(G4080,제품명!$C$1:$E$114,2,0)</f>
        <v>#N/A</v>
      </c>
      <c r="J4080" s="29">
        <f>'Raw data'!K3989</f>
        <v>0</v>
      </c>
      <c r="K4080" s="31">
        <f>'Raw data'!H3989</f>
        <v>0</v>
      </c>
      <c r="L4080" s="26">
        <f t="shared" si="130"/>
        <v>0</v>
      </c>
    </row>
    <row r="4081" spans="2:12">
      <c r="B4081" s="4" t="e">
        <f t="shared" si="129"/>
        <v>#N/A</v>
      </c>
      <c r="C4081" s="4">
        <f>'Raw data'!E3657</f>
        <v>0</v>
      </c>
      <c r="D4081" s="29" t="e">
        <f>VLOOKUP(C4081,'점포코드 '!A:B,2,0)</f>
        <v>#N/A</v>
      </c>
      <c r="E4081" s="30">
        <f>'Raw data'!P3657</f>
        <v>0</v>
      </c>
      <c r="F4081" s="29" t="e">
        <f>VLOOKUP(E4081,'점포코드 '!A:B,2,0)</f>
        <v>#N/A</v>
      </c>
      <c r="G4081" s="46">
        <f>'Raw data'!F3990</f>
        <v>0</v>
      </c>
      <c r="H4081" s="4">
        <f>'Raw data'!G3990</f>
        <v>0</v>
      </c>
      <c r="I4081" s="29" t="e">
        <f>VLOOKUP(G4081,제품명!$C$1:$E$114,2,0)</f>
        <v>#N/A</v>
      </c>
      <c r="J4081" s="29">
        <f>'Raw data'!K3990</f>
        <v>0</v>
      </c>
      <c r="K4081" s="31">
        <f>'Raw data'!H3990</f>
        <v>0</v>
      </c>
      <c r="L4081" s="26">
        <f t="shared" si="130"/>
        <v>0</v>
      </c>
    </row>
    <row r="4082" spans="2:12">
      <c r="B4082" s="4" t="e">
        <f t="shared" si="129"/>
        <v>#N/A</v>
      </c>
      <c r="C4082" s="4">
        <f>'Raw data'!E3658</f>
        <v>0</v>
      </c>
      <c r="D4082" s="29" t="e">
        <f>VLOOKUP(C4082,'점포코드 '!A:B,2,0)</f>
        <v>#N/A</v>
      </c>
      <c r="E4082" s="30">
        <f>'Raw data'!P3658</f>
        <v>0</v>
      </c>
      <c r="F4082" s="29" t="e">
        <f>VLOOKUP(E4082,'점포코드 '!A:B,2,0)</f>
        <v>#N/A</v>
      </c>
      <c r="G4082" s="46">
        <f>'Raw data'!F3991</f>
        <v>0</v>
      </c>
      <c r="H4082" s="4">
        <f>'Raw data'!G3991</f>
        <v>0</v>
      </c>
      <c r="I4082" s="29" t="e">
        <f>VLOOKUP(G4082,제품명!$C$1:$E$114,2,0)</f>
        <v>#N/A</v>
      </c>
      <c r="J4082" s="29">
        <f>'Raw data'!K3991</f>
        <v>0</v>
      </c>
      <c r="K4082" s="31">
        <f>'Raw data'!H3991</f>
        <v>0</v>
      </c>
      <c r="L4082" s="26">
        <f t="shared" si="130"/>
        <v>0</v>
      </c>
    </row>
    <row r="4083" spans="2:12">
      <c r="B4083" s="4" t="e">
        <f t="shared" si="129"/>
        <v>#N/A</v>
      </c>
      <c r="C4083" s="4">
        <f>'Raw data'!E3659</f>
        <v>0</v>
      </c>
      <c r="D4083" s="29" t="e">
        <f>VLOOKUP(C4083,'점포코드 '!A:B,2,0)</f>
        <v>#N/A</v>
      </c>
      <c r="E4083" s="30">
        <f>'Raw data'!P3659</f>
        <v>0</v>
      </c>
      <c r="F4083" s="29" t="e">
        <f>VLOOKUP(E4083,'점포코드 '!A:B,2,0)</f>
        <v>#N/A</v>
      </c>
      <c r="G4083" s="46">
        <f>'Raw data'!F3992</f>
        <v>0</v>
      </c>
      <c r="H4083" s="4">
        <f>'Raw data'!G3992</f>
        <v>0</v>
      </c>
      <c r="I4083" s="29" t="e">
        <f>VLOOKUP(G4083,제품명!$C$1:$E$114,2,0)</f>
        <v>#N/A</v>
      </c>
      <c r="J4083" s="29">
        <f>'Raw data'!K3992</f>
        <v>0</v>
      </c>
      <c r="K4083" s="31">
        <f>'Raw data'!H3992</f>
        <v>0</v>
      </c>
      <c r="L4083" s="26">
        <f t="shared" si="130"/>
        <v>0</v>
      </c>
    </row>
    <row r="4084" spans="2:12">
      <c r="B4084" s="4" t="e">
        <f t="shared" si="129"/>
        <v>#N/A</v>
      </c>
      <c r="C4084" s="4">
        <f>'Raw data'!E3660</f>
        <v>0</v>
      </c>
      <c r="D4084" s="29" t="e">
        <f>VLOOKUP(C4084,'점포코드 '!A:B,2,0)</f>
        <v>#N/A</v>
      </c>
      <c r="E4084" s="30">
        <f>'Raw data'!P3660</f>
        <v>0</v>
      </c>
      <c r="F4084" s="29" t="e">
        <f>VLOOKUP(E4084,'점포코드 '!A:B,2,0)</f>
        <v>#N/A</v>
      </c>
      <c r="G4084" s="46">
        <f>'Raw data'!F3993</f>
        <v>0</v>
      </c>
      <c r="H4084" s="4">
        <f>'Raw data'!G3993</f>
        <v>0</v>
      </c>
      <c r="I4084" s="29" t="e">
        <f>VLOOKUP(G4084,제품명!$C$1:$E$114,2,0)</f>
        <v>#N/A</v>
      </c>
      <c r="J4084" s="29">
        <f>'Raw data'!K3993</f>
        <v>0</v>
      </c>
      <c r="K4084" s="31">
        <f>'Raw data'!H3993</f>
        <v>0</v>
      </c>
      <c r="L4084" s="26">
        <f t="shared" si="130"/>
        <v>0</v>
      </c>
    </row>
    <row r="4085" spans="2:12">
      <c r="B4085" s="4" t="e">
        <f t="shared" si="129"/>
        <v>#N/A</v>
      </c>
      <c r="C4085" s="4">
        <f>'Raw data'!E3661</f>
        <v>0</v>
      </c>
      <c r="D4085" s="29" t="e">
        <f>VLOOKUP(C4085,'점포코드 '!A:B,2,0)</f>
        <v>#N/A</v>
      </c>
      <c r="E4085" s="30">
        <f>'Raw data'!P3661</f>
        <v>0</v>
      </c>
      <c r="F4085" s="29" t="e">
        <f>VLOOKUP(E4085,'점포코드 '!A:B,2,0)</f>
        <v>#N/A</v>
      </c>
      <c r="G4085" s="46">
        <f>'Raw data'!F3994</f>
        <v>0</v>
      </c>
      <c r="H4085" s="4">
        <f>'Raw data'!G3994</f>
        <v>0</v>
      </c>
      <c r="I4085" s="29" t="e">
        <f>VLOOKUP(G4085,제품명!$C$1:$E$114,2,0)</f>
        <v>#N/A</v>
      </c>
      <c r="J4085" s="29">
        <f>'Raw data'!K3994</f>
        <v>0</v>
      </c>
      <c r="K4085" s="31">
        <f>'Raw data'!H3994</f>
        <v>0</v>
      </c>
      <c r="L4085" s="26">
        <f t="shared" si="130"/>
        <v>0</v>
      </c>
    </row>
    <row r="4086" spans="2:12">
      <c r="B4086" s="4" t="e">
        <f t="shared" si="129"/>
        <v>#N/A</v>
      </c>
      <c r="C4086" s="4">
        <f>'Raw data'!E3662</f>
        <v>0</v>
      </c>
      <c r="D4086" s="29" t="e">
        <f>VLOOKUP(C4086,'점포코드 '!A:B,2,0)</f>
        <v>#N/A</v>
      </c>
      <c r="E4086" s="30">
        <f>'Raw data'!P3662</f>
        <v>0</v>
      </c>
      <c r="F4086" s="29" t="e">
        <f>VLOOKUP(E4086,'점포코드 '!A:B,2,0)</f>
        <v>#N/A</v>
      </c>
      <c r="G4086" s="46">
        <f>'Raw data'!F3995</f>
        <v>0</v>
      </c>
      <c r="H4086" s="4">
        <f>'Raw data'!G3995</f>
        <v>0</v>
      </c>
      <c r="I4086" s="29" t="e">
        <f>VLOOKUP(G4086,제품명!$C$1:$E$114,2,0)</f>
        <v>#N/A</v>
      </c>
      <c r="J4086" s="29">
        <f>'Raw data'!K3995</f>
        <v>0</v>
      </c>
      <c r="K4086" s="31">
        <f>'Raw data'!H3995</f>
        <v>0</v>
      </c>
      <c r="L4086" s="26">
        <f t="shared" si="130"/>
        <v>0</v>
      </c>
    </row>
    <row r="4087" spans="2:12">
      <c r="B4087" s="4" t="e">
        <f t="shared" si="129"/>
        <v>#N/A</v>
      </c>
      <c r="C4087" s="4">
        <f>'Raw data'!E3663</f>
        <v>0</v>
      </c>
      <c r="D4087" s="29" t="e">
        <f>VLOOKUP(C4087,'점포코드 '!A:B,2,0)</f>
        <v>#N/A</v>
      </c>
      <c r="E4087" s="30">
        <f>'Raw data'!P3663</f>
        <v>0</v>
      </c>
      <c r="F4087" s="29" t="e">
        <f>VLOOKUP(E4087,'점포코드 '!A:B,2,0)</f>
        <v>#N/A</v>
      </c>
      <c r="G4087" s="46">
        <f>'Raw data'!F3996</f>
        <v>0</v>
      </c>
      <c r="H4087" s="4">
        <f>'Raw data'!G3996</f>
        <v>0</v>
      </c>
      <c r="I4087" s="29" t="e">
        <f>VLOOKUP(G4087,제품명!$C$1:$E$114,2,0)</f>
        <v>#N/A</v>
      </c>
      <c r="J4087" s="29">
        <f>'Raw data'!K3996</f>
        <v>0</v>
      </c>
      <c r="K4087" s="31">
        <f>'Raw data'!H3996</f>
        <v>0</v>
      </c>
      <c r="L4087" s="26">
        <f t="shared" si="130"/>
        <v>0</v>
      </c>
    </row>
    <row r="4088" spans="2:12">
      <c r="B4088" s="4" t="e">
        <f t="shared" si="129"/>
        <v>#N/A</v>
      </c>
      <c r="C4088" s="4">
        <f>'Raw data'!E3664</f>
        <v>0</v>
      </c>
      <c r="D4088" s="29" t="e">
        <f>VLOOKUP(C4088,'점포코드 '!A:B,2,0)</f>
        <v>#N/A</v>
      </c>
      <c r="E4088" s="30">
        <f>'Raw data'!P3664</f>
        <v>0</v>
      </c>
      <c r="F4088" s="29" t="e">
        <f>VLOOKUP(E4088,'점포코드 '!A:B,2,0)</f>
        <v>#N/A</v>
      </c>
      <c r="G4088" s="46">
        <f>'Raw data'!F3997</f>
        <v>0</v>
      </c>
      <c r="H4088" s="4">
        <f>'Raw data'!G3997</f>
        <v>0</v>
      </c>
      <c r="I4088" s="29" t="e">
        <f>VLOOKUP(G4088,제품명!$C$1:$E$114,2,0)</f>
        <v>#N/A</v>
      </c>
      <c r="J4088" s="29">
        <f>'Raw data'!K3997</f>
        <v>0</v>
      </c>
      <c r="K4088" s="31">
        <f>'Raw data'!H3997</f>
        <v>0</v>
      </c>
      <c r="L4088" s="26">
        <f t="shared" si="130"/>
        <v>0</v>
      </c>
    </row>
    <row r="4089" spans="2:12">
      <c r="B4089" s="4" t="e">
        <f t="shared" si="129"/>
        <v>#N/A</v>
      </c>
      <c r="C4089" s="4">
        <f>'Raw data'!E3665</f>
        <v>0</v>
      </c>
      <c r="D4089" s="29" t="e">
        <f>VLOOKUP(C4089,'점포코드 '!A:B,2,0)</f>
        <v>#N/A</v>
      </c>
      <c r="E4089" s="30">
        <f>'Raw data'!P3665</f>
        <v>0</v>
      </c>
      <c r="F4089" s="29" t="e">
        <f>VLOOKUP(E4089,'점포코드 '!A:B,2,0)</f>
        <v>#N/A</v>
      </c>
      <c r="G4089" s="46">
        <f>'Raw data'!F3998</f>
        <v>0</v>
      </c>
      <c r="H4089" s="4">
        <f>'Raw data'!G3998</f>
        <v>0</v>
      </c>
      <c r="I4089" s="29" t="e">
        <f>VLOOKUP(G4089,제품명!$C$1:$E$114,2,0)</f>
        <v>#N/A</v>
      </c>
      <c r="J4089" s="29">
        <f>'Raw data'!K3998</f>
        <v>0</v>
      </c>
      <c r="K4089" s="31">
        <f>'Raw data'!H3998</f>
        <v>0</v>
      </c>
      <c r="L4089" s="26">
        <f t="shared" si="130"/>
        <v>0</v>
      </c>
    </row>
    <row r="4090" spans="2:12">
      <c r="B4090" s="4" t="e">
        <f t="shared" si="129"/>
        <v>#N/A</v>
      </c>
      <c r="C4090" s="4">
        <f>'Raw data'!E3666</f>
        <v>0</v>
      </c>
      <c r="D4090" s="29" t="e">
        <f>VLOOKUP(C4090,'점포코드 '!A:B,2,0)</f>
        <v>#N/A</v>
      </c>
      <c r="E4090" s="30">
        <f>'Raw data'!P3666</f>
        <v>0</v>
      </c>
      <c r="F4090" s="29" t="e">
        <f>VLOOKUP(E4090,'점포코드 '!A:B,2,0)</f>
        <v>#N/A</v>
      </c>
      <c r="G4090" s="46">
        <f>'Raw data'!F3999</f>
        <v>0</v>
      </c>
      <c r="H4090" s="4">
        <f>'Raw data'!G3999</f>
        <v>0</v>
      </c>
      <c r="I4090" s="29" t="e">
        <f>VLOOKUP(G4090,제품명!$C$1:$E$114,2,0)</f>
        <v>#N/A</v>
      </c>
      <c r="J4090" s="29">
        <f>'Raw data'!K3999</f>
        <v>0</v>
      </c>
      <c r="K4090" s="31">
        <f>'Raw data'!H3999</f>
        <v>0</v>
      </c>
      <c r="L4090" s="26">
        <f t="shared" si="130"/>
        <v>0</v>
      </c>
    </row>
    <row r="4091" spans="2:12">
      <c r="B4091" s="4" t="e">
        <f t="shared" si="129"/>
        <v>#N/A</v>
      </c>
      <c r="C4091" s="4">
        <f>'Raw data'!E3667</f>
        <v>0</v>
      </c>
      <c r="D4091" s="29" t="e">
        <f>VLOOKUP(C4091,'점포코드 '!A:B,2,0)</f>
        <v>#N/A</v>
      </c>
      <c r="E4091" s="30">
        <f>'Raw data'!P3667</f>
        <v>0</v>
      </c>
      <c r="F4091" s="29" t="e">
        <f>VLOOKUP(E4091,'점포코드 '!A:B,2,0)</f>
        <v>#N/A</v>
      </c>
      <c r="G4091" s="46">
        <f>'Raw data'!F4000</f>
        <v>0</v>
      </c>
      <c r="H4091" s="4">
        <f>'Raw data'!G4000</f>
        <v>0</v>
      </c>
      <c r="I4091" s="29" t="e">
        <f>VLOOKUP(G4091,제품명!$C$1:$E$114,2,0)</f>
        <v>#N/A</v>
      </c>
      <c r="J4091" s="29">
        <f>'Raw data'!K4000</f>
        <v>0</v>
      </c>
      <c r="K4091" s="31">
        <f>'Raw data'!H4000</f>
        <v>0</v>
      </c>
      <c r="L4091" s="26">
        <f t="shared" si="130"/>
        <v>0</v>
      </c>
    </row>
    <row r="4092" spans="2:12">
      <c r="B4092" s="4" t="e">
        <f t="shared" si="129"/>
        <v>#N/A</v>
      </c>
      <c r="C4092" s="4">
        <f>'Raw data'!E3668</f>
        <v>0</v>
      </c>
      <c r="D4092" s="29" t="e">
        <f>VLOOKUP(C4092,'점포코드 '!A:B,2,0)</f>
        <v>#N/A</v>
      </c>
      <c r="E4092" s="30">
        <f>'Raw data'!P3668</f>
        <v>0</v>
      </c>
      <c r="F4092" s="29" t="e">
        <f>VLOOKUP(E4092,'점포코드 '!A:B,2,0)</f>
        <v>#N/A</v>
      </c>
      <c r="G4092" s="46">
        <f>'Raw data'!F4001</f>
        <v>0</v>
      </c>
      <c r="H4092" s="4">
        <f>'Raw data'!G4001</f>
        <v>0</v>
      </c>
      <c r="I4092" s="29" t="e">
        <f>VLOOKUP(G4092,제품명!$C$1:$E$114,2,0)</f>
        <v>#N/A</v>
      </c>
      <c r="J4092" s="29">
        <f>'Raw data'!K4001</f>
        <v>0</v>
      </c>
      <c r="K4092" s="31">
        <f>'Raw data'!H4001</f>
        <v>0</v>
      </c>
      <c r="L4092" s="26">
        <f t="shared" si="130"/>
        <v>0</v>
      </c>
    </row>
    <row r="4093" spans="2:12">
      <c r="B4093" s="4" t="e">
        <f t="shared" si="129"/>
        <v>#N/A</v>
      </c>
      <c r="C4093" s="4">
        <f>'Raw data'!E3669</f>
        <v>0</v>
      </c>
      <c r="D4093" s="29" t="e">
        <f>VLOOKUP(C4093,'점포코드 '!A:B,2,0)</f>
        <v>#N/A</v>
      </c>
      <c r="E4093" s="30">
        <f>'Raw data'!P3669</f>
        <v>0</v>
      </c>
      <c r="F4093" s="29" t="e">
        <f>VLOOKUP(E4093,'점포코드 '!A:B,2,0)</f>
        <v>#N/A</v>
      </c>
      <c r="G4093" s="46">
        <f>'Raw data'!F4002</f>
        <v>0</v>
      </c>
      <c r="H4093" s="4">
        <f>'Raw data'!G4002</f>
        <v>0</v>
      </c>
      <c r="I4093" s="29" t="e">
        <f>VLOOKUP(G4093,제품명!$C$1:$E$114,2,0)</f>
        <v>#N/A</v>
      </c>
      <c r="J4093" s="29">
        <f>'Raw data'!K4002</f>
        <v>0</v>
      </c>
      <c r="K4093" s="31">
        <f>'Raw data'!H4002</f>
        <v>0</v>
      </c>
      <c r="L4093" s="26">
        <f t="shared" si="130"/>
        <v>0</v>
      </c>
    </row>
    <row r="4094" spans="2:12">
      <c r="B4094" s="4" t="e">
        <f t="shared" si="129"/>
        <v>#N/A</v>
      </c>
      <c r="C4094" s="4">
        <f>'Raw data'!E3670</f>
        <v>0</v>
      </c>
      <c r="D4094" s="29" t="e">
        <f>VLOOKUP(C4094,'점포코드 '!A:B,2,0)</f>
        <v>#N/A</v>
      </c>
      <c r="E4094" s="30">
        <f>'Raw data'!P3670</f>
        <v>0</v>
      </c>
      <c r="F4094" s="29" t="e">
        <f>VLOOKUP(E4094,'점포코드 '!A:B,2,0)</f>
        <v>#N/A</v>
      </c>
      <c r="G4094" s="46">
        <f>'Raw data'!F4003</f>
        <v>0</v>
      </c>
      <c r="H4094" s="4">
        <f>'Raw data'!G4003</f>
        <v>0</v>
      </c>
      <c r="I4094" s="29" t="e">
        <f>VLOOKUP(G4094,제품명!$C$1:$E$114,2,0)</f>
        <v>#N/A</v>
      </c>
      <c r="J4094" s="29">
        <f>'Raw data'!K4003</f>
        <v>0</v>
      </c>
      <c r="K4094" s="31">
        <f>'Raw data'!H4003</f>
        <v>0</v>
      </c>
      <c r="L4094" s="26">
        <f t="shared" si="130"/>
        <v>0</v>
      </c>
    </row>
    <row r="4095" spans="2:12">
      <c r="B4095" s="4" t="e">
        <f t="shared" si="129"/>
        <v>#N/A</v>
      </c>
      <c r="C4095" s="4">
        <f>'Raw data'!E3671</f>
        <v>0</v>
      </c>
      <c r="D4095" s="29" t="e">
        <f>VLOOKUP(C4095,'점포코드 '!A:B,2,0)</f>
        <v>#N/A</v>
      </c>
      <c r="E4095" s="30">
        <f>'Raw data'!P3671</f>
        <v>0</v>
      </c>
      <c r="F4095" s="29" t="e">
        <f>VLOOKUP(E4095,'점포코드 '!A:B,2,0)</f>
        <v>#N/A</v>
      </c>
      <c r="G4095" s="46">
        <f>'Raw data'!F4004</f>
        <v>0</v>
      </c>
      <c r="H4095" s="4">
        <f>'Raw data'!G4004</f>
        <v>0</v>
      </c>
      <c r="I4095" s="29" t="e">
        <f>VLOOKUP(G4095,제품명!$C$1:$E$114,2,0)</f>
        <v>#N/A</v>
      </c>
      <c r="J4095" s="29">
        <f>'Raw data'!K4004</f>
        <v>0</v>
      </c>
      <c r="K4095" s="31">
        <f>'Raw data'!H4004</f>
        <v>0</v>
      </c>
      <c r="L4095" s="26">
        <f t="shared" si="130"/>
        <v>0</v>
      </c>
    </row>
    <row r="4096" spans="2:12">
      <c r="B4096" s="4" t="e">
        <f t="shared" si="129"/>
        <v>#N/A</v>
      </c>
      <c r="C4096" s="4">
        <f>'Raw data'!E3672</f>
        <v>0</v>
      </c>
      <c r="D4096" s="29" t="e">
        <f>VLOOKUP(C4096,'점포코드 '!A:B,2,0)</f>
        <v>#N/A</v>
      </c>
      <c r="E4096" s="30">
        <f>'Raw data'!P3672</f>
        <v>0</v>
      </c>
      <c r="F4096" s="29" t="e">
        <f>VLOOKUP(E4096,'점포코드 '!A:B,2,0)</f>
        <v>#N/A</v>
      </c>
      <c r="G4096" s="46">
        <f>'Raw data'!F4005</f>
        <v>0</v>
      </c>
      <c r="H4096" s="4">
        <f>'Raw data'!G4005</f>
        <v>0</v>
      </c>
      <c r="I4096" s="29" t="e">
        <f>VLOOKUP(G4096,제품명!$C$1:$E$114,2,0)</f>
        <v>#N/A</v>
      </c>
      <c r="J4096" s="29">
        <f>'Raw data'!K4005</f>
        <v>0</v>
      </c>
      <c r="K4096" s="31">
        <f>'Raw data'!H4005</f>
        <v>0</v>
      </c>
      <c r="L4096" s="26">
        <f t="shared" si="130"/>
        <v>0</v>
      </c>
    </row>
    <row r="4097" spans="2:12">
      <c r="B4097" s="4" t="e">
        <f t="shared" si="129"/>
        <v>#N/A</v>
      </c>
      <c r="C4097" s="4">
        <f>'Raw data'!E3673</f>
        <v>0</v>
      </c>
      <c r="D4097" s="29" t="e">
        <f>VLOOKUP(C4097,'점포코드 '!A:B,2,0)</f>
        <v>#N/A</v>
      </c>
      <c r="E4097" s="30">
        <f>'Raw data'!P3673</f>
        <v>0</v>
      </c>
      <c r="F4097" s="29" t="e">
        <f>VLOOKUP(E4097,'점포코드 '!A:B,2,0)</f>
        <v>#N/A</v>
      </c>
      <c r="G4097" s="46">
        <f>'Raw data'!F4006</f>
        <v>0</v>
      </c>
      <c r="H4097" s="4">
        <f>'Raw data'!G4006</f>
        <v>0</v>
      </c>
      <c r="I4097" s="29" t="e">
        <f>VLOOKUP(G4097,제품명!$C$1:$E$114,2,0)</f>
        <v>#N/A</v>
      </c>
      <c r="J4097" s="29">
        <f>'Raw data'!K4006</f>
        <v>0</v>
      </c>
      <c r="K4097" s="31">
        <f>'Raw data'!H4006</f>
        <v>0</v>
      </c>
      <c r="L4097" s="26">
        <f t="shared" si="130"/>
        <v>0</v>
      </c>
    </row>
    <row r="4098" spans="2:12">
      <c r="B4098" s="4" t="e">
        <f t="shared" ref="B4098:B4161" si="131">F4098&amp;I4098</f>
        <v>#N/A</v>
      </c>
      <c r="C4098" s="4">
        <f>'Raw data'!E3674</f>
        <v>0</v>
      </c>
      <c r="D4098" s="29" t="e">
        <f>VLOOKUP(C4098,'점포코드 '!A:B,2,0)</f>
        <v>#N/A</v>
      </c>
      <c r="E4098" s="30">
        <f>'Raw data'!P3674</f>
        <v>0</v>
      </c>
      <c r="F4098" s="29" t="e">
        <f>VLOOKUP(E4098,'점포코드 '!A:B,2,0)</f>
        <v>#N/A</v>
      </c>
      <c r="G4098" s="46">
        <f>'Raw data'!F4007</f>
        <v>0</v>
      </c>
      <c r="H4098" s="4">
        <f>'Raw data'!G4007</f>
        <v>0</v>
      </c>
      <c r="I4098" s="29" t="e">
        <f>VLOOKUP(G4098,제품명!$C$1:$E$114,2,0)</f>
        <v>#N/A</v>
      </c>
      <c r="J4098" s="29">
        <f>'Raw data'!K4007</f>
        <v>0</v>
      </c>
      <c r="K4098" s="31">
        <f>'Raw data'!H4007</f>
        <v>0</v>
      </c>
      <c r="L4098" s="26">
        <f t="shared" si="130"/>
        <v>0</v>
      </c>
    </row>
    <row r="4099" spans="2:12">
      <c r="B4099" s="4" t="e">
        <f t="shared" si="131"/>
        <v>#N/A</v>
      </c>
      <c r="C4099" s="4">
        <f>'Raw data'!E3675</f>
        <v>0</v>
      </c>
      <c r="D4099" s="29" t="e">
        <f>VLOOKUP(C4099,'점포코드 '!A:B,2,0)</f>
        <v>#N/A</v>
      </c>
      <c r="E4099" s="30">
        <f>'Raw data'!P3675</f>
        <v>0</v>
      </c>
      <c r="F4099" s="29" t="e">
        <f>VLOOKUP(E4099,'점포코드 '!A:B,2,0)</f>
        <v>#N/A</v>
      </c>
      <c r="G4099" s="46">
        <f>'Raw data'!F4008</f>
        <v>0</v>
      </c>
      <c r="H4099" s="4">
        <f>'Raw data'!G4008</f>
        <v>0</v>
      </c>
      <c r="I4099" s="29" t="e">
        <f>VLOOKUP(G4099,제품명!$C$1:$E$114,2,0)</f>
        <v>#N/A</v>
      </c>
      <c r="J4099" s="29">
        <f>'Raw data'!K4008</f>
        <v>0</v>
      </c>
      <c r="K4099" s="31">
        <f>'Raw data'!H4008</f>
        <v>0</v>
      </c>
      <c r="L4099" s="26">
        <f t="shared" ref="L4099:L4162" si="132">J4099*K4099</f>
        <v>0</v>
      </c>
    </row>
    <row r="4100" spans="2:12">
      <c r="B4100" s="4" t="e">
        <f t="shared" si="131"/>
        <v>#N/A</v>
      </c>
      <c r="C4100" s="4">
        <f>'Raw data'!E3676</f>
        <v>0</v>
      </c>
      <c r="D4100" s="29" t="e">
        <f>VLOOKUP(C4100,'점포코드 '!A:B,2,0)</f>
        <v>#N/A</v>
      </c>
      <c r="E4100" s="30">
        <f>'Raw data'!P3676</f>
        <v>0</v>
      </c>
      <c r="F4100" s="29" t="e">
        <f>VLOOKUP(E4100,'점포코드 '!A:B,2,0)</f>
        <v>#N/A</v>
      </c>
      <c r="G4100" s="46">
        <f>'Raw data'!F4009</f>
        <v>0</v>
      </c>
      <c r="H4100" s="4">
        <f>'Raw data'!G4009</f>
        <v>0</v>
      </c>
      <c r="I4100" s="29" t="e">
        <f>VLOOKUP(G4100,제품명!$C$1:$E$114,2,0)</f>
        <v>#N/A</v>
      </c>
      <c r="J4100" s="29">
        <f>'Raw data'!K4009</f>
        <v>0</v>
      </c>
      <c r="K4100" s="31">
        <f>'Raw data'!H4009</f>
        <v>0</v>
      </c>
      <c r="L4100" s="26">
        <f t="shared" si="132"/>
        <v>0</v>
      </c>
    </row>
    <row r="4101" spans="2:12">
      <c r="B4101" s="4" t="e">
        <f t="shared" si="131"/>
        <v>#N/A</v>
      </c>
      <c r="C4101" s="4">
        <f>'Raw data'!E3677</f>
        <v>0</v>
      </c>
      <c r="D4101" s="29" t="e">
        <f>VLOOKUP(C4101,'점포코드 '!A:B,2,0)</f>
        <v>#N/A</v>
      </c>
      <c r="E4101" s="30">
        <f>'Raw data'!P3677</f>
        <v>0</v>
      </c>
      <c r="F4101" s="29" t="e">
        <f>VLOOKUP(E4101,'점포코드 '!A:B,2,0)</f>
        <v>#N/A</v>
      </c>
      <c r="G4101" s="46">
        <f>'Raw data'!F4010</f>
        <v>0</v>
      </c>
      <c r="H4101" s="4">
        <f>'Raw data'!G4010</f>
        <v>0</v>
      </c>
      <c r="I4101" s="29" t="e">
        <f>VLOOKUP(G4101,제품명!$C$1:$E$114,2,0)</f>
        <v>#N/A</v>
      </c>
      <c r="J4101" s="29">
        <f>'Raw data'!K4010</f>
        <v>0</v>
      </c>
      <c r="K4101" s="31">
        <f>'Raw data'!H4010</f>
        <v>0</v>
      </c>
      <c r="L4101" s="26">
        <f t="shared" si="132"/>
        <v>0</v>
      </c>
    </row>
    <row r="4102" spans="2:12">
      <c r="B4102" s="4" t="e">
        <f t="shared" si="131"/>
        <v>#N/A</v>
      </c>
      <c r="C4102" s="4">
        <f>'Raw data'!E3678</f>
        <v>0</v>
      </c>
      <c r="D4102" s="29" t="e">
        <f>VLOOKUP(C4102,'점포코드 '!A:B,2,0)</f>
        <v>#N/A</v>
      </c>
      <c r="E4102" s="30">
        <f>'Raw data'!P3678</f>
        <v>0</v>
      </c>
      <c r="F4102" s="29" t="e">
        <f>VLOOKUP(E4102,'점포코드 '!A:B,2,0)</f>
        <v>#N/A</v>
      </c>
      <c r="G4102" s="46">
        <f>'Raw data'!F4011</f>
        <v>0</v>
      </c>
      <c r="H4102" s="4">
        <f>'Raw data'!G4011</f>
        <v>0</v>
      </c>
      <c r="I4102" s="29" t="e">
        <f>VLOOKUP(G4102,제품명!$C$1:$E$114,2,0)</f>
        <v>#N/A</v>
      </c>
      <c r="J4102" s="29">
        <f>'Raw data'!K4011</f>
        <v>0</v>
      </c>
      <c r="K4102" s="31">
        <f>'Raw data'!H4011</f>
        <v>0</v>
      </c>
      <c r="L4102" s="26">
        <f t="shared" si="132"/>
        <v>0</v>
      </c>
    </row>
    <row r="4103" spans="2:12">
      <c r="B4103" s="4" t="e">
        <f t="shared" si="131"/>
        <v>#N/A</v>
      </c>
      <c r="C4103" s="4">
        <f>'Raw data'!E3679</f>
        <v>0</v>
      </c>
      <c r="D4103" s="29" t="e">
        <f>VLOOKUP(C4103,'점포코드 '!A:B,2,0)</f>
        <v>#N/A</v>
      </c>
      <c r="E4103" s="30">
        <f>'Raw data'!P3679</f>
        <v>0</v>
      </c>
      <c r="F4103" s="29" t="e">
        <f>VLOOKUP(E4103,'점포코드 '!A:B,2,0)</f>
        <v>#N/A</v>
      </c>
      <c r="G4103" s="46">
        <f>'Raw data'!F4012</f>
        <v>0</v>
      </c>
      <c r="H4103" s="4">
        <f>'Raw data'!G4012</f>
        <v>0</v>
      </c>
      <c r="I4103" s="29" t="e">
        <f>VLOOKUP(G4103,제품명!$C$1:$E$114,2,0)</f>
        <v>#N/A</v>
      </c>
      <c r="J4103" s="29">
        <f>'Raw data'!K4012</f>
        <v>0</v>
      </c>
      <c r="K4103" s="31">
        <f>'Raw data'!H4012</f>
        <v>0</v>
      </c>
      <c r="L4103" s="26">
        <f t="shared" si="132"/>
        <v>0</v>
      </c>
    </row>
    <row r="4104" spans="2:12">
      <c r="B4104" s="4" t="e">
        <f t="shared" si="131"/>
        <v>#N/A</v>
      </c>
      <c r="C4104" s="4">
        <f>'Raw data'!E3680</f>
        <v>0</v>
      </c>
      <c r="D4104" s="29" t="e">
        <f>VLOOKUP(C4104,'점포코드 '!A:B,2,0)</f>
        <v>#N/A</v>
      </c>
      <c r="E4104" s="30">
        <f>'Raw data'!P3680</f>
        <v>0</v>
      </c>
      <c r="F4104" s="29" t="e">
        <f>VLOOKUP(E4104,'점포코드 '!A:B,2,0)</f>
        <v>#N/A</v>
      </c>
      <c r="G4104" s="46">
        <f>'Raw data'!F4013</f>
        <v>0</v>
      </c>
      <c r="H4104" s="4">
        <f>'Raw data'!G4013</f>
        <v>0</v>
      </c>
      <c r="I4104" s="29" t="e">
        <f>VLOOKUP(G4104,제품명!$C$1:$E$114,2,0)</f>
        <v>#N/A</v>
      </c>
      <c r="J4104" s="29">
        <f>'Raw data'!K4013</f>
        <v>0</v>
      </c>
      <c r="K4104" s="31">
        <f>'Raw data'!H4013</f>
        <v>0</v>
      </c>
      <c r="L4104" s="26">
        <f t="shared" si="132"/>
        <v>0</v>
      </c>
    </row>
    <row r="4105" spans="2:12">
      <c r="B4105" s="4" t="e">
        <f t="shared" si="131"/>
        <v>#N/A</v>
      </c>
      <c r="C4105" s="4">
        <f>'Raw data'!E3681</f>
        <v>0</v>
      </c>
      <c r="D4105" s="29" t="e">
        <f>VLOOKUP(C4105,'점포코드 '!A:B,2,0)</f>
        <v>#N/A</v>
      </c>
      <c r="E4105" s="30">
        <f>'Raw data'!P3681</f>
        <v>0</v>
      </c>
      <c r="F4105" s="29" t="e">
        <f>VLOOKUP(E4105,'점포코드 '!A:B,2,0)</f>
        <v>#N/A</v>
      </c>
      <c r="G4105" s="46">
        <f>'Raw data'!F4014</f>
        <v>0</v>
      </c>
      <c r="H4105" s="4">
        <f>'Raw data'!G4014</f>
        <v>0</v>
      </c>
      <c r="I4105" s="29" t="e">
        <f>VLOOKUP(G4105,제품명!$C$1:$E$114,2,0)</f>
        <v>#N/A</v>
      </c>
      <c r="J4105" s="29">
        <f>'Raw data'!K4014</f>
        <v>0</v>
      </c>
      <c r="K4105" s="31">
        <f>'Raw data'!H4014</f>
        <v>0</v>
      </c>
      <c r="L4105" s="26">
        <f t="shared" si="132"/>
        <v>0</v>
      </c>
    </row>
    <row r="4106" spans="2:12">
      <c r="B4106" s="4" t="e">
        <f t="shared" si="131"/>
        <v>#N/A</v>
      </c>
      <c r="C4106" s="4">
        <f>'Raw data'!E3682</f>
        <v>0</v>
      </c>
      <c r="D4106" s="29" t="e">
        <f>VLOOKUP(C4106,'점포코드 '!A:B,2,0)</f>
        <v>#N/A</v>
      </c>
      <c r="E4106" s="30">
        <f>'Raw data'!P3682</f>
        <v>0</v>
      </c>
      <c r="F4106" s="29" t="e">
        <f>VLOOKUP(E4106,'점포코드 '!A:B,2,0)</f>
        <v>#N/A</v>
      </c>
      <c r="G4106" s="46">
        <f>'Raw data'!F4015</f>
        <v>0</v>
      </c>
      <c r="H4106" s="4">
        <f>'Raw data'!G4015</f>
        <v>0</v>
      </c>
      <c r="I4106" s="29" t="e">
        <f>VLOOKUP(G4106,제품명!$C$1:$E$114,2,0)</f>
        <v>#N/A</v>
      </c>
      <c r="J4106" s="29">
        <f>'Raw data'!K4015</f>
        <v>0</v>
      </c>
      <c r="K4106" s="31">
        <f>'Raw data'!H4015</f>
        <v>0</v>
      </c>
      <c r="L4106" s="26">
        <f t="shared" si="132"/>
        <v>0</v>
      </c>
    </row>
    <row r="4107" spans="2:12">
      <c r="B4107" s="4" t="e">
        <f t="shared" si="131"/>
        <v>#N/A</v>
      </c>
      <c r="C4107" s="4">
        <f>'Raw data'!E3683</f>
        <v>0</v>
      </c>
      <c r="D4107" s="29" t="e">
        <f>VLOOKUP(C4107,'점포코드 '!A:B,2,0)</f>
        <v>#N/A</v>
      </c>
      <c r="E4107" s="30">
        <f>'Raw data'!P3683</f>
        <v>0</v>
      </c>
      <c r="F4107" s="29" t="e">
        <f>VLOOKUP(E4107,'점포코드 '!A:B,2,0)</f>
        <v>#N/A</v>
      </c>
      <c r="G4107" s="46">
        <f>'Raw data'!F4016</f>
        <v>0</v>
      </c>
      <c r="H4107" s="4">
        <f>'Raw data'!G4016</f>
        <v>0</v>
      </c>
      <c r="I4107" s="29" t="e">
        <f>VLOOKUP(G4107,제품명!$C$1:$E$114,2,0)</f>
        <v>#N/A</v>
      </c>
      <c r="J4107" s="29">
        <f>'Raw data'!K4016</f>
        <v>0</v>
      </c>
      <c r="K4107" s="31">
        <f>'Raw data'!H4016</f>
        <v>0</v>
      </c>
      <c r="L4107" s="26">
        <f t="shared" si="132"/>
        <v>0</v>
      </c>
    </row>
    <row r="4108" spans="2:12">
      <c r="B4108" s="4" t="e">
        <f t="shared" si="131"/>
        <v>#N/A</v>
      </c>
      <c r="C4108" s="4">
        <f>'Raw data'!E3684</f>
        <v>0</v>
      </c>
      <c r="D4108" s="29" t="e">
        <f>VLOOKUP(C4108,'점포코드 '!A:B,2,0)</f>
        <v>#N/A</v>
      </c>
      <c r="E4108" s="30">
        <f>'Raw data'!P3684</f>
        <v>0</v>
      </c>
      <c r="F4108" s="29" t="e">
        <f>VLOOKUP(E4108,'점포코드 '!A:B,2,0)</f>
        <v>#N/A</v>
      </c>
      <c r="G4108" s="46">
        <f>'Raw data'!F4017</f>
        <v>0</v>
      </c>
      <c r="H4108" s="4">
        <f>'Raw data'!G4017</f>
        <v>0</v>
      </c>
      <c r="I4108" s="29" t="e">
        <f>VLOOKUP(G4108,제품명!$C$1:$E$114,2,0)</f>
        <v>#N/A</v>
      </c>
      <c r="J4108" s="29">
        <f>'Raw data'!K4017</f>
        <v>0</v>
      </c>
      <c r="K4108" s="31">
        <f>'Raw data'!H4017</f>
        <v>0</v>
      </c>
      <c r="L4108" s="26">
        <f t="shared" si="132"/>
        <v>0</v>
      </c>
    </row>
    <row r="4109" spans="2:12">
      <c r="B4109" s="4" t="e">
        <f t="shared" si="131"/>
        <v>#N/A</v>
      </c>
      <c r="C4109" s="4">
        <f>'Raw data'!E3685</f>
        <v>0</v>
      </c>
      <c r="D4109" s="29" t="e">
        <f>VLOOKUP(C4109,'점포코드 '!A:B,2,0)</f>
        <v>#N/A</v>
      </c>
      <c r="E4109" s="30">
        <f>'Raw data'!P3685</f>
        <v>0</v>
      </c>
      <c r="F4109" s="29" t="e">
        <f>VLOOKUP(E4109,'점포코드 '!A:B,2,0)</f>
        <v>#N/A</v>
      </c>
      <c r="G4109" s="46">
        <f>'Raw data'!F4018</f>
        <v>0</v>
      </c>
      <c r="H4109" s="4">
        <f>'Raw data'!G4018</f>
        <v>0</v>
      </c>
      <c r="I4109" s="29" t="e">
        <f>VLOOKUP(G4109,제품명!$C$1:$E$114,2,0)</f>
        <v>#N/A</v>
      </c>
      <c r="J4109" s="29">
        <f>'Raw data'!K4018</f>
        <v>0</v>
      </c>
      <c r="K4109" s="31">
        <f>'Raw data'!H4018</f>
        <v>0</v>
      </c>
      <c r="L4109" s="26">
        <f t="shared" si="132"/>
        <v>0</v>
      </c>
    </row>
    <row r="4110" spans="2:12">
      <c r="B4110" s="4" t="e">
        <f t="shared" si="131"/>
        <v>#N/A</v>
      </c>
      <c r="C4110" s="4">
        <f>'Raw data'!E3686</f>
        <v>0</v>
      </c>
      <c r="D4110" s="29" t="e">
        <f>VLOOKUP(C4110,'점포코드 '!A:B,2,0)</f>
        <v>#N/A</v>
      </c>
      <c r="E4110" s="30">
        <f>'Raw data'!P3686</f>
        <v>0</v>
      </c>
      <c r="F4110" s="29" t="e">
        <f>VLOOKUP(E4110,'점포코드 '!A:B,2,0)</f>
        <v>#N/A</v>
      </c>
      <c r="G4110" s="46">
        <f>'Raw data'!F4019</f>
        <v>0</v>
      </c>
      <c r="H4110" s="4">
        <f>'Raw data'!G4019</f>
        <v>0</v>
      </c>
      <c r="I4110" s="29" t="e">
        <f>VLOOKUP(G4110,제품명!$C$1:$E$114,2,0)</f>
        <v>#N/A</v>
      </c>
      <c r="J4110" s="29">
        <f>'Raw data'!K4019</f>
        <v>0</v>
      </c>
      <c r="K4110" s="31">
        <f>'Raw data'!H4019</f>
        <v>0</v>
      </c>
      <c r="L4110" s="26">
        <f t="shared" si="132"/>
        <v>0</v>
      </c>
    </row>
    <row r="4111" spans="2:12">
      <c r="B4111" s="4" t="e">
        <f t="shared" si="131"/>
        <v>#N/A</v>
      </c>
      <c r="C4111" s="4">
        <f>'Raw data'!E3687</f>
        <v>0</v>
      </c>
      <c r="D4111" s="29" t="e">
        <f>VLOOKUP(C4111,'점포코드 '!A:B,2,0)</f>
        <v>#N/A</v>
      </c>
      <c r="E4111" s="30">
        <f>'Raw data'!P3687</f>
        <v>0</v>
      </c>
      <c r="F4111" s="29" t="e">
        <f>VLOOKUP(E4111,'점포코드 '!A:B,2,0)</f>
        <v>#N/A</v>
      </c>
      <c r="G4111" s="46">
        <f>'Raw data'!F4020</f>
        <v>0</v>
      </c>
      <c r="H4111" s="4">
        <f>'Raw data'!G4020</f>
        <v>0</v>
      </c>
      <c r="I4111" s="29" t="e">
        <f>VLOOKUP(G4111,제품명!$C$1:$E$114,2,0)</f>
        <v>#N/A</v>
      </c>
      <c r="J4111" s="29">
        <f>'Raw data'!K4020</f>
        <v>0</v>
      </c>
      <c r="K4111" s="31">
        <f>'Raw data'!H4020</f>
        <v>0</v>
      </c>
      <c r="L4111" s="26">
        <f t="shared" si="132"/>
        <v>0</v>
      </c>
    </row>
    <row r="4112" spans="2:12">
      <c r="B4112" s="4" t="e">
        <f t="shared" si="131"/>
        <v>#N/A</v>
      </c>
      <c r="C4112" s="4">
        <f>'Raw data'!E3688</f>
        <v>0</v>
      </c>
      <c r="D4112" s="29" t="e">
        <f>VLOOKUP(C4112,'점포코드 '!A:B,2,0)</f>
        <v>#N/A</v>
      </c>
      <c r="E4112" s="30">
        <f>'Raw data'!P3688</f>
        <v>0</v>
      </c>
      <c r="F4112" s="29" t="e">
        <f>VLOOKUP(E4112,'점포코드 '!A:B,2,0)</f>
        <v>#N/A</v>
      </c>
      <c r="G4112" s="46">
        <f>'Raw data'!F4021</f>
        <v>0</v>
      </c>
      <c r="H4112" s="4">
        <f>'Raw data'!G4021</f>
        <v>0</v>
      </c>
      <c r="I4112" s="29" t="e">
        <f>VLOOKUP(G4112,제품명!$C$1:$E$114,2,0)</f>
        <v>#N/A</v>
      </c>
      <c r="J4112" s="29">
        <f>'Raw data'!K4021</f>
        <v>0</v>
      </c>
      <c r="K4112" s="31">
        <f>'Raw data'!H4021</f>
        <v>0</v>
      </c>
      <c r="L4112" s="26">
        <f t="shared" si="132"/>
        <v>0</v>
      </c>
    </row>
    <row r="4113" spans="2:12">
      <c r="B4113" s="4" t="e">
        <f t="shared" si="131"/>
        <v>#N/A</v>
      </c>
      <c r="C4113" s="4">
        <f>'Raw data'!E3689</f>
        <v>0</v>
      </c>
      <c r="D4113" s="29" t="e">
        <f>VLOOKUP(C4113,'점포코드 '!A:B,2,0)</f>
        <v>#N/A</v>
      </c>
      <c r="E4113" s="30">
        <f>'Raw data'!P3689</f>
        <v>0</v>
      </c>
      <c r="F4113" s="29" t="e">
        <f>VLOOKUP(E4113,'점포코드 '!A:B,2,0)</f>
        <v>#N/A</v>
      </c>
      <c r="G4113" s="46">
        <f>'Raw data'!F4022</f>
        <v>0</v>
      </c>
      <c r="H4113" s="4">
        <f>'Raw data'!G4022</f>
        <v>0</v>
      </c>
      <c r="I4113" s="29" t="e">
        <f>VLOOKUP(G4113,제품명!$C$1:$E$114,2,0)</f>
        <v>#N/A</v>
      </c>
      <c r="J4113" s="29">
        <f>'Raw data'!K4022</f>
        <v>0</v>
      </c>
      <c r="K4113" s="31">
        <f>'Raw data'!H4022</f>
        <v>0</v>
      </c>
      <c r="L4113" s="26">
        <f t="shared" si="132"/>
        <v>0</v>
      </c>
    </row>
    <row r="4114" spans="2:12">
      <c r="B4114" s="4" t="e">
        <f t="shared" si="131"/>
        <v>#N/A</v>
      </c>
      <c r="C4114" s="4">
        <f>'Raw data'!E3690</f>
        <v>0</v>
      </c>
      <c r="D4114" s="29" t="e">
        <f>VLOOKUP(C4114,'점포코드 '!A:B,2,0)</f>
        <v>#N/A</v>
      </c>
      <c r="E4114" s="30">
        <f>'Raw data'!P3690</f>
        <v>0</v>
      </c>
      <c r="F4114" s="29" t="e">
        <f>VLOOKUP(E4114,'점포코드 '!A:B,2,0)</f>
        <v>#N/A</v>
      </c>
      <c r="G4114" s="46">
        <f>'Raw data'!F4023</f>
        <v>0</v>
      </c>
      <c r="H4114" s="4">
        <f>'Raw data'!G4023</f>
        <v>0</v>
      </c>
      <c r="I4114" s="29" t="e">
        <f>VLOOKUP(G4114,제품명!$C$1:$E$114,2,0)</f>
        <v>#N/A</v>
      </c>
      <c r="J4114" s="29">
        <f>'Raw data'!K4023</f>
        <v>0</v>
      </c>
      <c r="K4114" s="31">
        <f>'Raw data'!H4023</f>
        <v>0</v>
      </c>
      <c r="L4114" s="26">
        <f t="shared" si="132"/>
        <v>0</v>
      </c>
    </row>
    <row r="4115" spans="2:12">
      <c r="B4115" s="4" t="e">
        <f t="shared" si="131"/>
        <v>#N/A</v>
      </c>
      <c r="C4115" s="4">
        <f>'Raw data'!E3691</f>
        <v>0</v>
      </c>
      <c r="D4115" s="29" t="e">
        <f>VLOOKUP(C4115,'점포코드 '!A:B,2,0)</f>
        <v>#N/A</v>
      </c>
      <c r="E4115" s="30">
        <f>'Raw data'!P3691</f>
        <v>0</v>
      </c>
      <c r="F4115" s="29" t="e">
        <f>VLOOKUP(E4115,'점포코드 '!A:B,2,0)</f>
        <v>#N/A</v>
      </c>
      <c r="G4115" s="46">
        <f>'Raw data'!F4024</f>
        <v>0</v>
      </c>
      <c r="H4115" s="4">
        <f>'Raw data'!G4024</f>
        <v>0</v>
      </c>
      <c r="I4115" s="29" t="e">
        <f>VLOOKUP(G4115,제품명!$C$1:$E$114,2,0)</f>
        <v>#N/A</v>
      </c>
      <c r="J4115" s="29">
        <f>'Raw data'!K4024</f>
        <v>0</v>
      </c>
      <c r="K4115" s="31">
        <f>'Raw data'!H4024</f>
        <v>0</v>
      </c>
      <c r="L4115" s="26">
        <f t="shared" si="132"/>
        <v>0</v>
      </c>
    </row>
    <row r="4116" spans="2:12">
      <c r="B4116" s="4" t="e">
        <f t="shared" si="131"/>
        <v>#N/A</v>
      </c>
      <c r="C4116" s="4">
        <f>'Raw data'!E3692</f>
        <v>0</v>
      </c>
      <c r="D4116" s="29" t="e">
        <f>VLOOKUP(C4116,'점포코드 '!A:B,2,0)</f>
        <v>#N/A</v>
      </c>
      <c r="E4116" s="30">
        <f>'Raw data'!P3692</f>
        <v>0</v>
      </c>
      <c r="F4116" s="29" t="e">
        <f>VLOOKUP(E4116,'점포코드 '!A:B,2,0)</f>
        <v>#N/A</v>
      </c>
      <c r="G4116" s="46">
        <f>'Raw data'!F4025</f>
        <v>0</v>
      </c>
      <c r="H4116" s="4">
        <f>'Raw data'!G4025</f>
        <v>0</v>
      </c>
      <c r="I4116" s="29" t="e">
        <f>VLOOKUP(G4116,제품명!$C$1:$E$114,2,0)</f>
        <v>#N/A</v>
      </c>
      <c r="J4116" s="29">
        <f>'Raw data'!K4025</f>
        <v>0</v>
      </c>
      <c r="K4116" s="31">
        <f>'Raw data'!H4025</f>
        <v>0</v>
      </c>
      <c r="L4116" s="26">
        <f t="shared" si="132"/>
        <v>0</v>
      </c>
    </row>
    <row r="4117" spans="2:12">
      <c r="B4117" s="4" t="e">
        <f t="shared" si="131"/>
        <v>#N/A</v>
      </c>
      <c r="C4117" s="4">
        <f>'Raw data'!E3693</f>
        <v>0</v>
      </c>
      <c r="D4117" s="29" t="e">
        <f>VLOOKUP(C4117,'점포코드 '!A:B,2,0)</f>
        <v>#N/A</v>
      </c>
      <c r="E4117" s="30">
        <f>'Raw data'!P3693</f>
        <v>0</v>
      </c>
      <c r="F4117" s="29" t="e">
        <f>VLOOKUP(E4117,'점포코드 '!A:B,2,0)</f>
        <v>#N/A</v>
      </c>
      <c r="G4117" s="46">
        <f>'Raw data'!F4026</f>
        <v>0</v>
      </c>
      <c r="H4117" s="4">
        <f>'Raw data'!G4026</f>
        <v>0</v>
      </c>
      <c r="I4117" s="29" t="e">
        <f>VLOOKUP(G4117,제품명!$C$1:$E$114,2,0)</f>
        <v>#N/A</v>
      </c>
      <c r="J4117" s="29">
        <f>'Raw data'!K4026</f>
        <v>0</v>
      </c>
      <c r="K4117" s="31">
        <f>'Raw data'!H4026</f>
        <v>0</v>
      </c>
      <c r="L4117" s="26">
        <f t="shared" si="132"/>
        <v>0</v>
      </c>
    </row>
    <row r="4118" spans="2:12">
      <c r="B4118" s="4" t="e">
        <f t="shared" si="131"/>
        <v>#N/A</v>
      </c>
      <c r="C4118" s="4">
        <f>'Raw data'!E3694</f>
        <v>0</v>
      </c>
      <c r="D4118" s="29" t="e">
        <f>VLOOKUP(C4118,'점포코드 '!A:B,2,0)</f>
        <v>#N/A</v>
      </c>
      <c r="E4118" s="30">
        <f>'Raw data'!P3694</f>
        <v>0</v>
      </c>
      <c r="F4118" s="29" t="e">
        <f>VLOOKUP(E4118,'점포코드 '!A:B,2,0)</f>
        <v>#N/A</v>
      </c>
      <c r="G4118" s="46">
        <f>'Raw data'!F4027</f>
        <v>0</v>
      </c>
      <c r="H4118" s="4">
        <f>'Raw data'!G4027</f>
        <v>0</v>
      </c>
      <c r="I4118" s="29" t="e">
        <f>VLOOKUP(G4118,제품명!$C$1:$E$114,2,0)</f>
        <v>#N/A</v>
      </c>
      <c r="J4118" s="29">
        <f>'Raw data'!K4027</f>
        <v>0</v>
      </c>
      <c r="K4118" s="31">
        <f>'Raw data'!H4027</f>
        <v>0</v>
      </c>
      <c r="L4118" s="26">
        <f t="shared" si="132"/>
        <v>0</v>
      </c>
    </row>
    <row r="4119" spans="2:12">
      <c r="B4119" s="4" t="e">
        <f t="shared" si="131"/>
        <v>#N/A</v>
      </c>
      <c r="C4119" s="4">
        <f>'Raw data'!E3695</f>
        <v>0</v>
      </c>
      <c r="D4119" s="29" t="e">
        <f>VLOOKUP(C4119,'점포코드 '!A:B,2,0)</f>
        <v>#N/A</v>
      </c>
      <c r="E4119" s="30">
        <f>'Raw data'!P3695</f>
        <v>0</v>
      </c>
      <c r="F4119" s="29" t="e">
        <f>VLOOKUP(E4119,'점포코드 '!A:B,2,0)</f>
        <v>#N/A</v>
      </c>
      <c r="G4119" s="46">
        <f>'Raw data'!F4028</f>
        <v>0</v>
      </c>
      <c r="H4119" s="4">
        <f>'Raw data'!G4028</f>
        <v>0</v>
      </c>
      <c r="I4119" s="29" t="e">
        <f>VLOOKUP(G4119,제품명!$C$1:$E$114,2,0)</f>
        <v>#N/A</v>
      </c>
      <c r="J4119" s="29">
        <f>'Raw data'!K4028</f>
        <v>0</v>
      </c>
      <c r="K4119" s="31">
        <f>'Raw data'!H4028</f>
        <v>0</v>
      </c>
      <c r="L4119" s="26">
        <f t="shared" si="132"/>
        <v>0</v>
      </c>
    </row>
    <row r="4120" spans="2:12">
      <c r="B4120" s="4" t="e">
        <f t="shared" si="131"/>
        <v>#N/A</v>
      </c>
      <c r="C4120" s="4">
        <f>'Raw data'!E3696</f>
        <v>0</v>
      </c>
      <c r="D4120" s="29" t="e">
        <f>VLOOKUP(C4120,'점포코드 '!A:B,2,0)</f>
        <v>#N/A</v>
      </c>
      <c r="E4120" s="30">
        <f>'Raw data'!P3696</f>
        <v>0</v>
      </c>
      <c r="F4120" s="29" t="e">
        <f>VLOOKUP(E4120,'점포코드 '!A:B,2,0)</f>
        <v>#N/A</v>
      </c>
      <c r="G4120" s="46">
        <f>'Raw data'!F4029</f>
        <v>0</v>
      </c>
      <c r="H4120" s="4">
        <f>'Raw data'!G4029</f>
        <v>0</v>
      </c>
      <c r="I4120" s="29" t="e">
        <f>VLOOKUP(G4120,제품명!$C$1:$E$114,2,0)</f>
        <v>#N/A</v>
      </c>
      <c r="J4120" s="29">
        <f>'Raw data'!K4029</f>
        <v>0</v>
      </c>
      <c r="K4120" s="31">
        <f>'Raw data'!H4029</f>
        <v>0</v>
      </c>
      <c r="L4120" s="26">
        <f t="shared" si="132"/>
        <v>0</v>
      </c>
    </row>
    <row r="4121" spans="2:12">
      <c r="B4121" s="4" t="e">
        <f t="shared" si="131"/>
        <v>#N/A</v>
      </c>
      <c r="C4121" s="4">
        <f>'Raw data'!E3697</f>
        <v>0</v>
      </c>
      <c r="D4121" s="29" t="e">
        <f>VLOOKUP(C4121,'점포코드 '!A:B,2,0)</f>
        <v>#N/A</v>
      </c>
      <c r="E4121" s="30">
        <f>'Raw data'!P3697</f>
        <v>0</v>
      </c>
      <c r="F4121" s="29" t="e">
        <f>VLOOKUP(E4121,'점포코드 '!A:B,2,0)</f>
        <v>#N/A</v>
      </c>
      <c r="G4121" s="46">
        <f>'Raw data'!F4030</f>
        <v>0</v>
      </c>
      <c r="H4121" s="4">
        <f>'Raw data'!G4030</f>
        <v>0</v>
      </c>
      <c r="I4121" s="29" t="e">
        <f>VLOOKUP(G4121,제품명!$C$1:$E$114,2,0)</f>
        <v>#N/A</v>
      </c>
      <c r="J4121" s="29">
        <f>'Raw data'!K4030</f>
        <v>0</v>
      </c>
      <c r="K4121" s="31">
        <f>'Raw data'!H4030</f>
        <v>0</v>
      </c>
      <c r="L4121" s="26">
        <f t="shared" si="132"/>
        <v>0</v>
      </c>
    </row>
    <row r="4122" spans="2:12">
      <c r="B4122" s="4" t="e">
        <f t="shared" si="131"/>
        <v>#N/A</v>
      </c>
      <c r="C4122" s="4">
        <f>'Raw data'!E3698</f>
        <v>0</v>
      </c>
      <c r="D4122" s="29" t="e">
        <f>VLOOKUP(C4122,'점포코드 '!A:B,2,0)</f>
        <v>#N/A</v>
      </c>
      <c r="E4122" s="30">
        <f>'Raw data'!P3698</f>
        <v>0</v>
      </c>
      <c r="F4122" s="29" t="e">
        <f>VLOOKUP(E4122,'점포코드 '!A:B,2,0)</f>
        <v>#N/A</v>
      </c>
      <c r="G4122" s="46">
        <f>'Raw data'!F4031</f>
        <v>0</v>
      </c>
      <c r="H4122" s="4">
        <f>'Raw data'!G4031</f>
        <v>0</v>
      </c>
      <c r="I4122" s="29" t="e">
        <f>VLOOKUP(G4122,제품명!$C$1:$E$114,2,0)</f>
        <v>#N/A</v>
      </c>
      <c r="J4122" s="29">
        <f>'Raw data'!K4031</f>
        <v>0</v>
      </c>
      <c r="K4122" s="31">
        <f>'Raw data'!H4031</f>
        <v>0</v>
      </c>
      <c r="L4122" s="26">
        <f t="shared" si="132"/>
        <v>0</v>
      </c>
    </row>
    <row r="4123" spans="2:12">
      <c r="B4123" s="4" t="e">
        <f t="shared" si="131"/>
        <v>#N/A</v>
      </c>
      <c r="C4123" s="4">
        <f>'Raw data'!E3699</f>
        <v>0</v>
      </c>
      <c r="D4123" s="29" t="e">
        <f>VLOOKUP(C4123,'점포코드 '!A:B,2,0)</f>
        <v>#N/A</v>
      </c>
      <c r="E4123" s="30">
        <f>'Raw data'!P3699</f>
        <v>0</v>
      </c>
      <c r="F4123" s="29" t="e">
        <f>VLOOKUP(E4123,'점포코드 '!A:B,2,0)</f>
        <v>#N/A</v>
      </c>
      <c r="G4123" s="46">
        <f>'Raw data'!F4032</f>
        <v>0</v>
      </c>
      <c r="H4123" s="4">
        <f>'Raw data'!G4032</f>
        <v>0</v>
      </c>
      <c r="I4123" s="29" t="e">
        <f>VLOOKUP(G4123,제품명!$C$1:$E$114,2,0)</f>
        <v>#N/A</v>
      </c>
      <c r="J4123" s="29">
        <f>'Raw data'!K4032</f>
        <v>0</v>
      </c>
      <c r="K4123" s="31">
        <f>'Raw data'!H4032</f>
        <v>0</v>
      </c>
      <c r="L4123" s="26">
        <f t="shared" si="132"/>
        <v>0</v>
      </c>
    </row>
    <row r="4124" spans="2:12">
      <c r="B4124" s="4" t="e">
        <f t="shared" si="131"/>
        <v>#N/A</v>
      </c>
      <c r="C4124" s="4">
        <f>'Raw data'!E3700</f>
        <v>0</v>
      </c>
      <c r="D4124" s="29" t="e">
        <f>VLOOKUP(C4124,'점포코드 '!A:B,2,0)</f>
        <v>#N/A</v>
      </c>
      <c r="E4124" s="30">
        <f>'Raw data'!P3700</f>
        <v>0</v>
      </c>
      <c r="F4124" s="29" t="e">
        <f>VLOOKUP(E4124,'점포코드 '!A:B,2,0)</f>
        <v>#N/A</v>
      </c>
      <c r="G4124" s="46">
        <f>'Raw data'!F4033</f>
        <v>0</v>
      </c>
      <c r="H4124" s="4">
        <f>'Raw data'!G4033</f>
        <v>0</v>
      </c>
      <c r="I4124" s="29" t="e">
        <f>VLOOKUP(G4124,제품명!$C$1:$E$114,2,0)</f>
        <v>#N/A</v>
      </c>
      <c r="J4124" s="29">
        <f>'Raw data'!K4033</f>
        <v>0</v>
      </c>
      <c r="K4124" s="31">
        <f>'Raw data'!H4033</f>
        <v>0</v>
      </c>
      <c r="L4124" s="26">
        <f t="shared" si="132"/>
        <v>0</v>
      </c>
    </row>
    <row r="4125" spans="2:12">
      <c r="B4125" s="4" t="e">
        <f t="shared" si="131"/>
        <v>#N/A</v>
      </c>
      <c r="C4125" s="4">
        <f>'Raw data'!E3701</f>
        <v>0</v>
      </c>
      <c r="D4125" s="29" t="e">
        <f>VLOOKUP(C4125,'점포코드 '!A:B,2,0)</f>
        <v>#N/A</v>
      </c>
      <c r="E4125" s="30">
        <f>'Raw data'!P3701</f>
        <v>0</v>
      </c>
      <c r="F4125" s="29" t="e">
        <f>VLOOKUP(E4125,'점포코드 '!A:B,2,0)</f>
        <v>#N/A</v>
      </c>
      <c r="G4125" s="46">
        <f>'Raw data'!F4034</f>
        <v>0</v>
      </c>
      <c r="H4125" s="4">
        <f>'Raw data'!G4034</f>
        <v>0</v>
      </c>
      <c r="I4125" s="29" t="e">
        <f>VLOOKUP(G4125,제품명!$C$1:$E$114,2,0)</f>
        <v>#N/A</v>
      </c>
      <c r="J4125" s="29">
        <f>'Raw data'!K4034</f>
        <v>0</v>
      </c>
      <c r="K4125" s="31">
        <f>'Raw data'!H4034</f>
        <v>0</v>
      </c>
      <c r="L4125" s="26">
        <f t="shared" si="132"/>
        <v>0</v>
      </c>
    </row>
    <row r="4126" spans="2:12">
      <c r="B4126" s="4" t="e">
        <f t="shared" si="131"/>
        <v>#N/A</v>
      </c>
      <c r="C4126" s="4">
        <f>'Raw data'!E3702</f>
        <v>0</v>
      </c>
      <c r="D4126" s="29" t="e">
        <f>VLOOKUP(C4126,'점포코드 '!A:B,2,0)</f>
        <v>#N/A</v>
      </c>
      <c r="E4126" s="30">
        <f>'Raw data'!P3702</f>
        <v>0</v>
      </c>
      <c r="F4126" s="29" t="e">
        <f>VLOOKUP(E4126,'점포코드 '!A:B,2,0)</f>
        <v>#N/A</v>
      </c>
      <c r="G4126" s="46">
        <f>'Raw data'!F4035</f>
        <v>0</v>
      </c>
      <c r="H4126" s="4">
        <f>'Raw data'!G4035</f>
        <v>0</v>
      </c>
      <c r="I4126" s="29" t="e">
        <f>VLOOKUP(G4126,제품명!$C$1:$E$114,2,0)</f>
        <v>#N/A</v>
      </c>
      <c r="J4126" s="29">
        <f>'Raw data'!K4035</f>
        <v>0</v>
      </c>
      <c r="K4126" s="31">
        <f>'Raw data'!H4035</f>
        <v>0</v>
      </c>
      <c r="L4126" s="26">
        <f t="shared" si="132"/>
        <v>0</v>
      </c>
    </row>
    <row r="4127" spans="2:12">
      <c r="B4127" s="4" t="e">
        <f t="shared" si="131"/>
        <v>#N/A</v>
      </c>
      <c r="C4127" s="4">
        <f>'Raw data'!E3703</f>
        <v>0</v>
      </c>
      <c r="D4127" s="29" t="e">
        <f>VLOOKUP(C4127,'점포코드 '!A:B,2,0)</f>
        <v>#N/A</v>
      </c>
      <c r="E4127" s="30">
        <f>'Raw data'!P3703</f>
        <v>0</v>
      </c>
      <c r="F4127" s="29" t="e">
        <f>VLOOKUP(E4127,'점포코드 '!A:B,2,0)</f>
        <v>#N/A</v>
      </c>
      <c r="G4127" s="46">
        <f>'Raw data'!F4036</f>
        <v>0</v>
      </c>
      <c r="H4127" s="4">
        <f>'Raw data'!G4036</f>
        <v>0</v>
      </c>
      <c r="I4127" s="29" t="e">
        <f>VLOOKUP(G4127,제품명!$C$1:$E$114,2,0)</f>
        <v>#N/A</v>
      </c>
      <c r="J4127" s="29">
        <f>'Raw data'!K4036</f>
        <v>0</v>
      </c>
      <c r="K4127" s="31">
        <f>'Raw data'!H4036</f>
        <v>0</v>
      </c>
      <c r="L4127" s="26">
        <f t="shared" si="132"/>
        <v>0</v>
      </c>
    </row>
    <row r="4128" spans="2:12">
      <c r="B4128" s="4" t="e">
        <f t="shared" si="131"/>
        <v>#N/A</v>
      </c>
      <c r="C4128" s="4">
        <f>'Raw data'!E3704</f>
        <v>0</v>
      </c>
      <c r="D4128" s="29" t="e">
        <f>VLOOKUP(C4128,'점포코드 '!A:B,2,0)</f>
        <v>#N/A</v>
      </c>
      <c r="E4128" s="30">
        <f>'Raw data'!P3704</f>
        <v>0</v>
      </c>
      <c r="F4128" s="29" t="e">
        <f>VLOOKUP(E4128,'점포코드 '!A:B,2,0)</f>
        <v>#N/A</v>
      </c>
      <c r="G4128" s="46">
        <f>'Raw data'!F4037</f>
        <v>0</v>
      </c>
      <c r="H4128" s="4">
        <f>'Raw data'!G4037</f>
        <v>0</v>
      </c>
      <c r="I4128" s="29" t="e">
        <f>VLOOKUP(G4128,제품명!$C$1:$E$114,2,0)</f>
        <v>#N/A</v>
      </c>
      <c r="J4128" s="29">
        <f>'Raw data'!K4037</f>
        <v>0</v>
      </c>
      <c r="K4128" s="31">
        <f>'Raw data'!H4037</f>
        <v>0</v>
      </c>
      <c r="L4128" s="26">
        <f t="shared" si="132"/>
        <v>0</v>
      </c>
    </row>
    <row r="4129" spans="2:12">
      <c r="B4129" s="4" t="e">
        <f t="shared" si="131"/>
        <v>#N/A</v>
      </c>
      <c r="C4129" s="4">
        <f>'Raw data'!E3705</f>
        <v>0</v>
      </c>
      <c r="D4129" s="29" t="e">
        <f>VLOOKUP(C4129,'점포코드 '!A:B,2,0)</f>
        <v>#N/A</v>
      </c>
      <c r="E4129" s="30">
        <f>'Raw data'!P3705</f>
        <v>0</v>
      </c>
      <c r="F4129" s="29" t="e">
        <f>VLOOKUP(E4129,'점포코드 '!A:B,2,0)</f>
        <v>#N/A</v>
      </c>
      <c r="G4129" s="46">
        <f>'Raw data'!F4038</f>
        <v>0</v>
      </c>
      <c r="H4129" s="4">
        <f>'Raw data'!G4038</f>
        <v>0</v>
      </c>
      <c r="I4129" s="29" t="e">
        <f>VLOOKUP(G4129,제품명!$C$1:$E$114,2,0)</f>
        <v>#N/A</v>
      </c>
      <c r="J4129" s="29">
        <f>'Raw data'!K4038</f>
        <v>0</v>
      </c>
      <c r="K4129" s="31">
        <f>'Raw data'!H4038</f>
        <v>0</v>
      </c>
      <c r="L4129" s="26">
        <f t="shared" si="132"/>
        <v>0</v>
      </c>
    </row>
    <row r="4130" spans="2:12">
      <c r="B4130" s="4" t="e">
        <f t="shared" si="131"/>
        <v>#N/A</v>
      </c>
      <c r="C4130" s="4">
        <f>'Raw data'!E3706</f>
        <v>0</v>
      </c>
      <c r="D4130" s="29" t="e">
        <f>VLOOKUP(C4130,'점포코드 '!A:B,2,0)</f>
        <v>#N/A</v>
      </c>
      <c r="E4130" s="30">
        <f>'Raw data'!P3706</f>
        <v>0</v>
      </c>
      <c r="F4130" s="29" t="e">
        <f>VLOOKUP(E4130,'점포코드 '!A:B,2,0)</f>
        <v>#N/A</v>
      </c>
      <c r="G4130" s="46">
        <f>'Raw data'!F4039</f>
        <v>0</v>
      </c>
      <c r="H4130" s="4">
        <f>'Raw data'!G4039</f>
        <v>0</v>
      </c>
      <c r="I4130" s="29" t="e">
        <f>VLOOKUP(G4130,제품명!$C$1:$E$114,2,0)</f>
        <v>#N/A</v>
      </c>
      <c r="J4130" s="29">
        <f>'Raw data'!K4039</f>
        <v>0</v>
      </c>
      <c r="K4130" s="31">
        <f>'Raw data'!H4039</f>
        <v>0</v>
      </c>
      <c r="L4130" s="26">
        <f t="shared" si="132"/>
        <v>0</v>
      </c>
    </row>
    <row r="4131" spans="2:12">
      <c r="B4131" s="4" t="e">
        <f t="shared" si="131"/>
        <v>#N/A</v>
      </c>
      <c r="C4131" s="4">
        <f>'Raw data'!E3707</f>
        <v>0</v>
      </c>
      <c r="D4131" s="29" t="e">
        <f>VLOOKUP(C4131,'점포코드 '!A:B,2,0)</f>
        <v>#N/A</v>
      </c>
      <c r="E4131" s="30">
        <f>'Raw data'!P3707</f>
        <v>0</v>
      </c>
      <c r="F4131" s="29" t="e">
        <f>VLOOKUP(E4131,'점포코드 '!A:B,2,0)</f>
        <v>#N/A</v>
      </c>
      <c r="G4131" s="46">
        <f>'Raw data'!F4040</f>
        <v>0</v>
      </c>
      <c r="H4131" s="4">
        <f>'Raw data'!G4040</f>
        <v>0</v>
      </c>
      <c r="I4131" s="29" t="e">
        <f>VLOOKUP(G4131,제품명!$C$1:$E$114,2,0)</f>
        <v>#N/A</v>
      </c>
      <c r="J4131" s="29">
        <f>'Raw data'!K4040</f>
        <v>0</v>
      </c>
      <c r="K4131" s="31">
        <f>'Raw data'!H4040</f>
        <v>0</v>
      </c>
      <c r="L4131" s="26">
        <f t="shared" si="132"/>
        <v>0</v>
      </c>
    </row>
    <row r="4132" spans="2:12">
      <c r="B4132" s="4" t="e">
        <f t="shared" si="131"/>
        <v>#N/A</v>
      </c>
      <c r="C4132" s="4">
        <f>'Raw data'!E3708</f>
        <v>0</v>
      </c>
      <c r="D4132" s="29" t="e">
        <f>VLOOKUP(C4132,'점포코드 '!A:B,2,0)</f>
        <v>#N/A</v>
      </c>
      <c r="E4132" s="30">
        <f>'Raw data'!P3708</f>
        <v>0</v>
      </c>
      <c r="F4132" s="29" t="e">
        <f>VLOOKUP(E4132,'점포코드 '!A:B,2,0)</f>
        <v>#N/A</v>
      </c>
      <c r="G4132" s="46">
        <f>'Raw data'!F4041</f>
        <v>0</v>
      </c>
      <c r="H4132" s="4">
        <f>'Raw data'!G4041</f>
        <v>0</v>
      </c>
      <c r="I4132" s="29" t="e">
        <f>VLOOKUP(G4132,제품명!$C$1:$E$114,2,0)</f>
        <v>#N/A</v>
      </c>
      <c r="J4132" s="29">
        <f>'Raw data'!K4041</f>
        <v>0</v>
      </c>
      <c r="K4132" s="31">
        <f>'Raw data'!H4041</f>
        <v>0</v>
      </c>
      <c r="L4132" s="26">
        <f t="shared" si="132"/>
        <v>0</v>
      </c>
    </row>
    <row r="4133" spans="2:12">
      <c r="B4133" s="4" t="e">
        <f t="shared" si="131"/>
        <v>#N/A</v>
      </c>
      <c r="C4133" s="4">
        <f>'Raw data'!E3709</f>
        <v>0</v>
      </c>
      <c r="D4133" s="29" t="e">
        <f>VLOOKUP(C4133,'점포코드 '!A:B,2,0)</f>
        <v>#N/A</v>
      </c>
      <c r="E4133" s="30">
        <f>'Raw data'!P3709</f>
        <v>0</v>
      </c>
      <c r="F4133" s="29" t="e">
        <f>VLOOKUP(E4133,'점포코드 '!A:B,2,0)</f>
        <v>#N/A</v>
      </c>
      <c r="G4133" s="46">
        <f>'Raw data'!F4042</f>
        <v>0</v>
      </c>
      <c r="H4133" s="4">
        <f>'Raw data'!G4042</f>
        <v>0</v>
      </c>
      <c r="I4133" s="29" t="e">
        <f>VLOOKUP(G4133,제품명!$C$1:$E$114,2,0)</f>
        <v>#N/A</v>
      </c>
      <c r="J4133" s="29">
        <f>'Raw data'!K4042</f>
        <v>0</v>
      </c>
      <c r="K4133" s="31">
        <f>'Raw data'!H4042</f>
        <v>0</v>
      </c>
      <c r="L4133" s="26">
        <f t="shared" si="132"/>
        <v>0</v>
      </c>
    </row>
    <row r="4134" spans="2:12">
      <c r="B4134" s="4" t="e">
        <f t="shared" si="131"/>
        <v>#N/A</v>
      </c>
      <c r="C4134" s="4">
        <f>'Raw data'!E3710</f>
        <v>0</v>
      </c>
      <c r="D4134" s="29" t="e">
        <f>VLOOKUP(C4134,'점포코드 '!A:B,2,0)</f>
        <v>#N/A</v>
      </c>
      <c r="E4134" s="30">
        <f>'Raw data'!P3710</f>
        <v>0</v>
      </c>
      <c r="F4134" s="29" t="e">
        <f>VLOOKUP(E4134,'점포코드 '!A:B,2,0)</f>
        <v>#N/A</v>
      </c>
      <c r="G4134" s="46">
        <f>'Raw data'!F4043</f>
        <v>0</v>
      </c>
      <c r="H4134" s="4">
        <f>'Raw data'!G4043</f>
        <v>0</v>
      </c>
      <c r="I4134" s="29" t="e">
        <f>VLOOKUP(G4134,제품명!$C$1:$E$114,2,0)</f>
        <v>#N/A</v>
      </c>
      <c r="J4134" s="29">
        <f>'Raw data'!K4043</f>
        <v>0</v>
      </c>
      <c r="K4134" s="31">
        <f>'Raw data'!H4043</f>
        <v>0</v>
      </c>
      <c r="L4134" s="26">
        <f t="shared" si="132"/>
        <v>0</v>
      </c>
    </row>
    <row r="4135" spans="2:12">
      <c r="B4135" s="4" t="e">
        <f t="shared" si="131"/>
        <v>#N/A</v>
      </c>
      <c r="C4135" s="4">
        <f>'Raw data'!E3711</f>
        <v>0</v>
      </c>
      <c r="D4135" s="29" t="e">
        <f>VLOOKUP(C4135,'점포코드 '!A:B,2,0)</f>
        <v>#N/A</v>
      </c>
      <c r="E4135" s="30">
        <f>'Raw data'!P3711</f>
        <v>0</v>
      </c>
      <c r="F4135" s="29" t="e">
        <f>VLOOKUP(E4135,'점포코드 '!A:B,2,0)</f>
        <v>#N/A</v>
      </c>
      <c r="G4135" s="46">
        <f>'Raw data'!F4044</f>
        <v>0</v>
      </c>
      <c r="H4135" s="4">
        <f>'Raw data'!G4044</f>
        <v>0</v>
      </c>
      <c r="I4135" s="29" t="e">
        <f>VLOOKUP(G4135,제품명!$C$1:$E$114,2,0)</f>
        <v>#N/A</v>
      </c>
      <c r="J4135" s="29">
        <f>'Raw data'!K4044</f>
        <v>0</v>
      </c>
      <c r="K4135" s="31">
        <f>'Raw data'!H4044</f>
        <v>0</v>
      </c>
      <c r="L4135" s="26">
        <f t="shared" si="132"/>
        <v>0</v>
      </c>
    </row>
    <row r="4136" spans="2:12">
      <c r="B4136" s="4" t="e">
        <f t="shared" si="131"/>
        <v>#N/A</v>
      </c>
      <c r="C4136" s="4">
        <f>'Raw data'!E3712</f>
        <v>0</v>
      </c>
      <c r="D4136" s="29" t="e">
        <f>VLOOKUP(C4136,'점포코드 '!A:B,2,0)</f>
        <v>#N/A</v>
      </c>
      <c r="E4136" s="30">
        <f>'Raw data'!P3712</f>
        <v>0</v>
      </c>
      <c r="F4136" s="29" t="e">
        <f>VLOOKUP(E4136,'점포코드 '!A:B,2,0)</f>
        <v>#N/A</v>
      </c>
      <c r="G4136" s="46">
        <f>'Raw data'!F4045</f>
        <v>0</v>
      </c>
      <c r="H4136" s="4">
        <f>'Raw data'!G4045</f>
        <v>0</v>
      </c>
      <c r="I4136" s="29" t="e">
        <f>VLOOKUP(G4136,제품명!$C$1:$E$114,2,0)</f>
        <v>#N/A</v>
      </c>
      <c r="J4136" s="29">
        <f>'Raw data'!K4045</f>
        <v>0</v>
      </c>
      <c r="K4136" s="31">
        <f>'Raw data'!H4045</f>
        <v>0</v>
      </c>
      <c r="L4136" s="26">
        <f t="shared" si="132"/>
        <v>0</v>
      </c>
    </row>
    <row r="4137" spans="2:12">
      <c r="B4137" s="4" t="e">
        <f t="shared" si="131"/>
        <v>#N/A</v>
      </c>
      <c r="C4137" s="4">
        <f>'Raw data'!E3713</f>
        <v>0</v>
      </c>
      <c r="D4137" s="29" t="e">
        <f>VLOOKUP(C4137,'점포코드 '!A:B,2,0)</f>
        <v>#N/A</v>
      </c>
      <c r="E4137" s="30">
        <f>'Raw data'!P3713</f>
        <v>0</v>
      </c>
      <c r="F4137" s="29" t="e">
        <f>VLOOKUP(E4137,'점포코드 '!A:B,2,0)</f>
        <v>#N/A</v>
      </c>
      <c r="G4137" s="46">
        <f>'Raw data'!F4046</f>
        <v>0</v>
      </c>
      <c r="H4137" s="4">
        <f>'Raw data'!G4046</f>
        <v>0</v>
      </c>
      <c r="I4137" s="29" t="e">
        <f>VLOOKUP(G4137,제품명!$C$1:$E$114,2,0)</f>
        <v>#N/A</v>
      </c>
      <c r="J4137" s="29">
        <f>'Raw data'!K4046</f>
        <v>0</v>
      </c>
      <c r="K4137" s="31">
        <f>'Raw data'!H4046</f>
        <v>0</v>
      </c>
      <c r="L4137" s="26">
        <f t="shared" si="132"/>
        <v>0</v>
      </c>
    </row>
    <row r="4138" spans="2:12">
      <c r="B4138" s="4" t="e">
        <f t="shared" si="131"/>
        <v>#N/A</v>
      </c>
      <c r="C4138" s="4">
        <f>'Raw data'!E3714</f>
        <v>0</v>
      </c>
      <c r="D4138" s="29" t="e">
        <f>VLOOKUP(C4138,'점포코드 '!A:B,2,0)</f>
        <v>#N/A</v>
      </c>
      <c r="E4138" s="30">
        <f>'Raw data'!P3714</f>
        <v>0</v>
      </c>
      <c r="F4138" s="29" t="e">
        <f>VLOOKUP(E4138,'점포코드 '!A:B,2,0)</f>
        <v>#N/A</v>
      </c>
      <c r="G4138" s="46">
        <f>'Raw data'!F4047</f>
        <v>0</v>
      </c>
      <c r="H4138" s="4">
        <f>'Raw data'!G4047</f>
        <v>0</v>
      </c>
      <c r="I4138" s="29" t="e">
        <f>VLOOKUP(G4138,제품명!$C$1:$E$114,2,0)</f>
        <v>#N/A</v>
      </c>
      <c r="J4138" s="29">
        <f>'Raw data'!K4047</f>
        <v>0</v>
      </c>
      <c r="K4138" s="31">
        <f>'Raw data'!H4047</f>
        <v>0</v>
      </c>
      <c r="L4138" s="26">
        <f t="shared" si="132"/>
        <v>0</v>
      </c>
    </row>
    <row r="4139" spans="2:12">
      <c r="B4139" s="4" t="e">
        <f t="shared" si="131"/>
        <v>#N/A</v>
      </c>
      <c r="C4139" s="4">
        <f>'Raw data'!E3715</f>
        <v>0</v>
      </c>
      <c r="D4139" s="29" t="e">
        <f>VLOOKUP(C4139,'점포코드 '!A:B,2,0)</f>
        <v>#N/A</v>
      </c>
      <c r="E4139" s="30">
        <f>'Raw data'!P3715</f>
        <v>0</v>
      </c>
      <c r="F4139" s="29" t="e">
        <f>VLOOKUP(E4139,'점포코드 '!A:B,2,0)</f>
        <v>#N/A</v>
      </c>
      <c r="G4139" s="46">
        <f>'Raw data'!F4048</f>
        <v>0</v>
      </c>
      <c r="H4139" s="4">
        <f>'Raw data'!G4048</f>
        <v>0</v>
      </c>
      <c r="I4139" s="29" t="e">
        <f>VLOOKUP(G4139,제품명!$C$1:$E$114,2,0)</f>
        <v>#N/A</v>
      </c>
      <c r="J4139" s="29">
        <f>'Raw data'!K4048</f>
        <v>0</v>
      </c>
      <c r="K4139" s="31">
        <f>'Raw data'!H4048</f>
        <v>0</v>
      </c>
      <c r="L4139" s="26">
        <f t="shared" si="132"/>
        <v>0</v>
      </c>
    </row>
    <row r="4140" spans="2:12">
      <c r="B4140" s="4" t="e">
        <f t="shared" si="131"/>
        <v>#N/A</v>
      </c>
      <c r="C4140" s="4">
        <f>'Raw data'!E3716</f>
        <v>0</v>
      </c>
      <c r="D4140" s="29" t="e">
        <f>VLOOKUP(C4140,'점포코드 '!A:B,2,0)</f>
        <v>#N/A</v>
      </c>
      <c r="E4140" s="30">
        <f>'Raw data'!P3716</f>
        <v>0</v>
      </c>
      <c r="F4140" s="29" t="e">
        <f>VLOOKUP(E4140,'점포코드 '!A:B,2,0)</f>
        <v>#N/A</v>
      </c>
      <c r="G4140" s="46">
        <f>'Raw data'!F4049</f>
        <v>0</v>
      </c>
      <c r="H4140" s="4">
        <f>'Raw data'!G4049</f>
        <v>0</v>
      </c>
      <c r="I4140" s="29" t="e">
        <f>VLOOKUP(G4140,제품명!$C$1:$E$114,2,0)</f>
        <v>#N/A</v>
      </c>
      <c r="J4140" s="29">
        <f>'Raw data'!K4049</f>
        <v>0</v>
      </c>
      <c r="K4140" s="31">
        <f>'Raw data'!H4049</f>
        <v>0</v>
      </c>
      <c r="L4140" s="26">
        <f t="shared" si="132"/>
        <v>0</v>
      </c>
    </row>
    <row r="4141" spans="2:12">
      <c r="B4141" s="4" t="e">
        <f t="shared" si="131"/>
        <v>#N/A</v>
      </c>
      <c r="C4141" s="4">
        <f>'Raw data'!E3717</f>
        <v>0</v>
      </c>
      <c r="D4141" s="29" t="e">
        <f>VLOOKUP(C4141,'점포코드 '!A:B,2,0)</f>
        <v>#N/A</v>
      </c>
      <c r="E4141" s="30">
        <f>'Raw data'!P3717</f>
        <v>0</v>
      </c>
      <c r="F4141" s="29" t="e">
        <f>VLOOKUP(E4141,'점포코드 '!A:B,2,0)</f>
        <v>#N/A</v>
      </c>
      <c r="G4141" s="46">
        <f>'Raw data'!F4050</f>
        <v>0</v>
      </c>
      <c r="H4141" s="4">
        <f>'Raw data'!G4050</f>
        <v>0</v>
      </c>
      <c r="I4141" s="29" t="e">
        <f>VLOOKUP(G4141,제품명!$C$1:$E$114,2,0)</f>
        <v>#N/A</v>
      </c>
      <c r="J4141" s="29">
        <f>'Raw data'!K4050</f>
        <v>0</v>
      </c>
      <c r="K4141" s="31">
        <f>'Raw data'!H4050</f>
        <v>0</v>
      </c>
      <c r="L4141" s="26">
        <f t="shared" si="132"/>
        <v>0</v>
      </c>
    </row>
    <row r="4142" spans="2:12">
      <c r="B4142" s="4" t="e">
        <f t="shared" si="131"/>
        <v>#N/A</v>
      </c>
      <c r="C4142" s="4">
        <f>'Raw data'!E3718</f>
        <v>0</v>
      </c>
      <c r="D4142" s="29" t="e">
        <f>VLOOKUP(C4142,'점포코드 '!A:B,2,0)</f>
        <v>#N/A</v>
      </c>
      <c r="E4142" s="30">
        <f>'Raw data'!P3718</f>
        <v>0</v>
      </c>
      <c r="F4142" s="29" t="e">
        <f>VLOOKUP(E4142,'점포코드 '!A:B,2,0)</f>
        <v>#N/A</v>
      </c>
      <c r="G4142" s="46">
        <f>'Raw data'!F4051</f>
        <v>0</v>
      </c>
      <c r="H4142" s="4">
        <f>'Raw data'!G4051</f>
        <v>0</v>
      </c>
      <c r="I4142" s="29" t="e">
        <f>VLOOKUP(G4142,제품명!$C$1:$E$114,2,0)</f>
        <v>#N/A</v>
      </c>
      <c r="J4142" s="29">
        <f>'Raw data'!K4051</f>
        <v>0</v>
      </c>
      <c r="K4142" s="31">
        <f>'Raw data'!H4051</f>
        <v>0</v>
      </c>
      <c r="L4142" s="26">
        <f t="shared" si="132"/>
        <v>0</v>
      </c>
    </row>
    <row r="4143" spans="2:12">
      <c r="B4143" s="4" t="e">
        <f t="shared" si="131"/>
        <v>#N/A</v>
      </c>
      <c r="C4143" s="4">
        <f>'Raw data'!E3719</f>
        <v>0</v>
      </c>
      <c r="D4143" s="29" t="e">
        <f>VLOOKUP(C4143,'점포코드 '!A:B,2,0)</f>
        <v>#N/A</v>
      </c>
      <c r="E4143" s="30">
        <f>'Raw data'!P3719</f>
        <v>0</v>
      </c>
      <c r="F4143" s="29" t="e">
        <f>VLOOKUP(E4143,'점포코드 '!A:B,2,0)</f>
        <v>#N/A</v>
      </c>
      <c r="G4143" s="46">
        <f>'Raw data'!F4052</f>
        <v>0</v>
      </c>
      <c r="H4143" s="4">
        <f>'Raw data'!G4052</f>
        <v>0</v>
      </c>
      <c r="I4143" s="29" t="e">
        <f>VLOOKUP(G4143,제품명!$C$1:$E$114,2,0)</f>
        <v>#N/A</v>
      </c>
      <c r="J4143" s="29">
        <f>'Raw data'!K4052</f>
        <v>0</v>
      </c>
      <c r="K4143" s="31">
        <f>'Raw data'!H4052</f>
        <v>0</v>
      </c>
      <c r="L4143" s="26">
        <f t="shared" si="132"/>
        <v>0</v>
      </c>
    </row>
    <row r="4144" spans="2:12">
      <c r="B4144" s="4" t="e">
        <f t="shared" si="131"/>
        <v>#N/A</v>
      </c>
      <c r="C4144" s="4">
        <f>'Raw data'!E3720</f>
        <v>0</v>
      </c>
      <c r="D4144" s="29" t="e">
        <f>VLOOKUP(C4144,'점포코드 '!A:B,2,0)</f>
        <v>#N/A</v>
      </c>
      <c r="E4144" s="30">
        <f>'Raw data'!P3720</f>
        <v>0</v>
      </c>
      <c r="F4144" s="29" t="e">
        <f>VLOOKUP(E4144,'점포코드 '!A:B,2,0)</f>
        <v>#N/A</v>
      </c>
      <c r="G4144" s="46">
        <f>'Raw data'!F4053</f>
        <v>0</v>
      </c>
      <c r="H4144" s="4">
        <f>'Raw data'!G4053</f>
        <v>0</v>
      </c>
      <c r="I4144" s="29" t="e">
        <f>VLOOKUP(G4144,제품명!$C$1:$E$114,2,0)</f>
        <v>#N/A</v>
      </c>
      <c r="J4144" s="29">
        <f>'Raw data'!K4053</f>
        <v>0</v>
      </c>
      <c r="K4144" s="31">
        <f>'Raw data'!H4053</f>
        <v>0</v>
      </c>
      <c r="L4144" s="26">
        <f t="shared" si="132"/>
        <v>0</v>
      </c>
    </row>
    <row r="4145" spans="2:12">
      <c r="B4145" s="4" t="e">
        <f t="shared" si="131"/>
        <v>#N/A</v>
      </c>
      <c r="C4145" s="4">
        <f>'Raw data'!E3721</f>
        <v>0</v>
      </c>
      <c r="D4145" s="29" t="e">
        <f>VLOOKUP(C4145,'점포코드 '!A:B,2,0)</f>
        <v>#N/A</v>
      </c>
      <c r="E4145" s="30">
        <f>'Raw data'!P3721</f>
        <v>0</v>
      </c>
      <c r="F4145" s="29" t="e">
        <f>VLOOKUP(E4145,'점포코드 '!A:B,2,0)</f>
        <v>#N/A</v>
      </c>
      <c r="G4145" s="46">
        <f>'Raw data'!F4054</f>
        <v>0</v>
      </c>
      <c r="H4145" s="4">
        <f>'Raw data'!G4054</f>
        <v>0</v>
      </c>
      <c r="I4145" s="29" t="e">
        <f>VLOOKUP(G4145,제품명!$C$1:$E$114,2,0)</f>
        <v>#N/A</v>
      </c>
      <c r="J4145" s="29">
        <f>'Raw data'!K4054</f>
        <v>0</v>
      </c>
      <c r="K4145" s="31">
        <f>'Raw data'!H4054</f>
        <v>0</v>
      </c>
      <c r="L4145" s="26">
        <f t="shared" si="132"/>
        <v>0</v>
      </c>
    </row>
    <row r="4146" spans="2:12">
      <c r="B4146" s="4" t="e">
        <f t="shared" si="131"/>
        <v>#N/A</v>
      </c>
      <c r="C4146" s="4">
        <f>'Raw data'!E3722</f>
        <v>0</v>
      </c>
      <c r="D4146" s="29" t="e">
        <f>VLOOKUP(C4146,'점포코드 '!A:B,2,0)</f>
        <v>#N/A</v>
      </c>
      <c r="E4146" s="30">
        <f>'Raw data'!P3722</f>
        <v>0</v>
      </c>
      <c r="F4146" s="29" t="e">
        <f>VLOOKUP(E4146,'점포코드 '!A:B,2,0)</f>
        <v>#N/A</v>
      </c>
      <c r="G4146" s="46">
        <f>'Raw data'!F4055</f>
        <v>0</v>
      </c>
      <c r="H4146" s="4">
        <f>'Raw data'!G4055</f>
        <v>0</v>
      </c>
      <c r="I4146" s="29" t="e">
        <f>VLOOKUP(G4146,제품명!$C$1:$E$114,2,0)</f>
        <v>#N/A</v>
      </c>
      <c r="J4146" s="29">
        <f>'Raw data'!K4055</f>
        <v>0</v>
      </c>
      <c r="K4146" s="31">
        <f>'Raw data'!H4055</f>
        <v>0</v>
      </c>
      <c r="L4146" s="26">
        <f t="shared" si="132"/>
        <v>0</v>
      </c>
    </row>
    <row r="4147" spans="2:12">
      <c r="B4147" s="4" t="e">
        <f t="shared" si="131"/>
        <v>#N/A</v>
      </c>
      <c r="C4147" s="4">
        <f>'Raw data'!E3723</f>
        <v>0</v>
      </c>
      <c r="D4147" s="29" t="e">
        <f>VLOOKUP(C4147,'점포코드 '!A:B,2,0)</f>
        <v>#N/A</v>
      </c>
      <c r="E4147" s="30">
        <f>'Raw data'!P3723</f>
        <v>0</v>
      </c>
      <c r="F4147" s="29" t="e">
        <f>VLOOKUP(E4147,'점포코드 '!A:B,2,0)</f>
        <v>#N/A</v>
      </c>
      <c r="G4147" s="46">
        <f>'Raw data'!F4056</f>
        <v>0</v>
      </c>
      <c r="H4147" s="4">
        <f>'Raw data'!G4056</f>
        <v>0</v>
      </c>
      <c r="I4147" s="29" t="e">
        <f>VLOOKUP(G4147,제품명!$C$1:$E$114,2,0)</f>
        <v>#N/A</v>
      </c>
      <c r="J4147" s="29">
        <f>'Raw data'!K4056</f>
        <v>0</v>
      </c>
      <c r="K4147" s="31">
        <f>'Raw data'!H4056</f>
        <v>0</v>
      </c>
      <c r="L4147" s="26">
        <f t="shared" si="132"/>
        <v>0</v>
      </c>
    </row>
    <row r="4148" spans="2:12">
      <c r="B4148" s="4" t="e">
        <f t="shared" si="131"/>
        <v>#N/A</v>
      </c>
      <c r="C4148" s="4">
        <f>'Raw data'!E3724</f>
        <v>0</v>
      </c>
      <c r="D4148" s="29" t="e">
        <f>VLOOKUP(C4148,'점포코드 '!A:B,2,0)</f>
        <v>#N/A</v>
      </c>
      <c r="E4148" s="30">
        <f>'Raw data'!P3724</f>
        <v>0</v>
      </c>
      <c r="F4148" s="29" t="e">
        <f>VLOOKUP(E4148,'점포코드 '!A:B,2,0)</f>
        <v>#N/A</v>
      </c>
      <c r="G4148" s="46">
        <f>'Raw data'!F4057</f>
        <v>0</v>
      </c>
      <c r="H4148" s="4">
        <f>'Raw data'!G4057</f>
        <v>0</v>
      </c>
      <c r="I4148" s="29" t="e">
        <f>VLOOKUP(G4148,제품명!$C$1:$E$114,2,0)</f>
        <v>#N/A</v>
      </c>
      <c r="J4148" s="29">
        <f>'Raw data'!K4057</f>
        <v>0</v>
      </c>
      <c r="K4148" s="31">
        <f>'Raw data'!H4057</f>
        <v>0</v>
      </c>
      <c r="L4148" s="26">
        <f t="shared" si="132"/>
        <v>0</v>
      </c>
    </row>
    <row r="4149" spans="2:12">
      <c r="B4149" s="4" t="e">
        <f t="shared" si="131"/>
        <v>#N/A</v>
      </c>
      <c r="C4149" s="4">
        <f>'Raw data'!E3725</f>
        <v>0</v>
      </c>
      <c r="D4149" s="29" t="e">
        <f>VLOOKUP(C4149,'점포코드 '!A:B,2,0)</f>
        <v>#N/A</v>
      </c>
      <c r="E4149" s="30">
        <f>'Raw data'!P3725</f>
        <v>0</v>
      </c>
      <c r="F4149" s="29" t="e">
        <f>VLOOKUP(E4149,'점포코드 '!A:B,2,0)</f>
        <v>#N/A</v>
      </c>
      <c r="G4149" s="46">
        <f>'Raw data'!F4058</f>
        <v>0</v>
      </c>
      <c r="H4149" s="4">
        <f>'Raw data'!G4058</f>
        <v>0</v>
      </c>
      <c r="I4149" s="29" t="e">
        <f>VLOOKUP(G4149,제품명!$C$1:$E$114,2,0)</f>
        <v>#N/A</v>
      </c>
      <c r="J4149" s="29">
        <f>'Raw data'!K4058</f>
        <v>0</v>
      </c>
      <c r="K4149" s="31">
        <f>'Raw data'!H4058</f>
        <v>0</v>
      </c>
      <c r="L4149" s="26">
        <f t="shared" si="132"/>
        <v>0</v>
      </c>
    </row>
    <row r="4150" spans="2:12">
      <c r="B4150" s="4" t="e">
        <f t="shared" si="131"/>
        <v>#N/A</v>
      </c>
      <c r="C4150" s="4">
        <f>'Raw data'!E3726</f>
        <v>0</v>
      </c>
      <c r="D4150" s="29" t="e">
        <f>VLOOKUP(C4150,'점포코드 '!A:B,2,0)</f>
        <v>#N/A</v>
      </c>
      <c r="E4150" s="30">
        <f>'Raw data'!P3726</f>
        <v>0</v>
      </c>
      <c r="F4150" s="29" t="e">
        <f>VLOOKUP(E4150,'점포코드 '!A:B,2,0)</f>
        <v>#N/A</v>
      </c>
      <c r="G4150" s="46">
        <f>'Raw data'!F4059</f>
        <v>0</v>
      </c>
      <c r="H4150" s="4">
        <f>'Raw data'!G4059</f>
        <v>0</v>
      </c>
      <c r="I4150" s="29" t="e">
        <f>VLOOKUP(G4150,제품명!$C$1:$E$114,2,0)</f>
        <v>#N/A</v>
      </c>
      <c r="J4150" s="29">
        <f>'Raw data'!K4059</f>
        <v>0</v>
      </c>
      <c r="K4150" s="31">
        <f>'Raw data'!H4059</f>
        <v>0</v>
      </c>
      <c r="L4150" s="26">
        <f t="shared" si="132"/>
        <v>0</v>
      </c>
    </row>
    <row r="4151" spans="2:12">
      <c r="B4151" s="4" t="e">
        <f t="shared" si="131"/>
        <v>#N/A</v>
      </c>
      <c r="C4151" s="4">
        <f>'Raw data'!E3727</f>
        <v>0</v>
      </c>
      <c r="D4151" s="29" t="e">
        <f>VLOOKUP(C4151,'점포코드 '!A:B,2,0)</f>
        <v>#N/A</v>
      </c>
      <c r="E4151" s="30">
        <f>'Raw data'!P3727</f>
        <v>0</v>
      </c>
      <c r="F4151" s="29" t="e">
        <f>VLOOKUP(E4151,'점포코드 '!A:B,2,0)</f>
        <v>#N/A</v>
      </c>
      <c r="G4151" s="46">
        <f>'Raw data'!F4060</f>
        <v>0</v>
      </c>
      <c r="H4151" s="4">
        <f>'Raw data'!G4060</f>
        <v>0</v>
      </c>
      <c r="I4151" s="29" t="e">
        <f>VLOOKUP(G4151,제품명!$C$1:$E$114,2,0)</f>
        <v>#N/A</v>
      </c>
      <c r="J4151" s="29">
        <f>'Raw data'!K4060</f>
        <v>0</v>
      </c>
      <c r="K4151" s="31">
        <f>'Raw data'!H4060</f>
        <v>0</v>
      </c>
      <c r="L4151" s="26">
        <f t="shared" si="132"/>
        <v>0</v>
      </c>
    </row>
    <row r="4152" spans="2:12">
      <c r="B4152" s="4" t="e">
        <f t="shared" si="131"/>
        <v>#N/A</v>
      </c>
      <c r="C4152" s="4">
        <f>'Raw data'!E3728</f>
        <v>0</v>
      </c>
      <c r="D4152" s="29" t="e">
        <f>VLOOKUP(C4152,'점포코드 '!A:B,2,0)</f>
        <v>#N/A</v>
      </c>
      <c r="E4152" s="30">
        <f>'Raw data'!P3728</f>
        <v>0</v>
      </c>
      <c r="F4152" s="29" t="e">
        <f>VLOOKUP(E4152,'점포코드 '!A:B,2,0)</f>
        <v>#N/A</v>
      </c>
      <c r="G4152" s="46">
        <f>'Raw data'!F4061</f>
        <v>0</v>
      </c>
      <c r="H4152" s="4">
        <f>'Raw data'!G4061</f>
        <v>0</v>
      </c>
      <c r="I4152" s="29" t="e">
        <f>VLOOKUP(G4152,제품명!$C$1:$E$114,2,0)</f>
        <v>#N/A</v>
      </c>
      <c r="J4152" s="29">
        <f>'Raw data'!K4061</f>
        <v>0</v>
      </c>
      <c r="K4152" s="31">
        <f>'Raw data'!H4061</f>
        <v>0</v>
      </c>
      <c r="L4152" s="26">
        <f t="shared" si="132"/>
        <v>0</v>
      </c>
    </row>
    <row r="4153" spans="2:12">
      <c r="B4153" s="4" t="e">
        <f t="shared" si="131"/>
        <v>#N/A</v>
      </c>
      <c r="C4153" s="4">
        <f>'Raw data'!E3729</f>
        <v>0</v>
      </c>
      <c r="D4153" s="29" t="e">
        <f>VLOOKUP(C4153,'점포코드 '!A:B,2,0)</f>
        <v>#N/A</v>
      </c>
      <c r="E4153" s="30">
        <f>'Raw data'!P3729</f>
        <v>0</v>
      </c>
      <c r="F4153" s="29" t="e">
        <f>VLOOKUP(E4153,'점포코드 '!A:B,2,0)</f>
        <v>#N/A</v>
      </c>
      <c r="G4153" s="46">
        <f>'Raw data'!F4062</f>
        <v>0</v>
      </c>
      <c r="H4153" s="4">
        <f>'Raw data'!G4062</f>
        <v>0</v>
      </c>
      <c r="I4153" s="29" t="e">
        <f>VLOOKUP(G4153,제품명!$C$1:$E$114,2,0)</f>
        <v>#N/A</v>
      </c>
      <c r="J4153" s="29">
        <f>'Raw data'!K4062</f>
        <v>0</v>
      </c>
      <c r="K4153" s="31">
        <f>'Raw data'!H4062</f>
        <v>0</v>
      </c>
      <c r="L4153" s="26">
        <f t="shared" si="132"/>
        <v>0</v>
      </c>
    </row>
    <row r="4154" spans="2:12">
      <c r="B4154" s="4" t="e">
        <f t="shared" si="131"/>
        <v>#N/A</v>
      </c>
      <c r="C4154" s="4">
        <f>'Raw data'!E3730</f>
        <v>0</v>
      </c>
      <c r="D4154" s="29" t="e">
        <f>VLOOKUP(C4154,'점포코드 '!A:B,2,0)</f>
        <v>#N/A</v>
      </c>
      <c r="E4154" s="30">
        <f>'Raw data'!P3730</f>
        <v>0</v>
      </c>
      <c r="F4154" s="29" t="e">
        <f>VLOOKUP(E4154,'점포코드 '!A:B,2,0)</f>
        <v>#N/A</v>
      </c>
      <c r="G4154" s="46">
        <f>'Raw data'!F4063</f>
        <v>0</v>
      </c>
      <c r="H4154" s="4">
        <f>'Raw data'!G4063</f>
        <v>0</v>
      </c>
      <c r="I4154" s="29" t="e">
        <f>VLOOKUP(G4154,제품명!$C$1:$E$114,2,0)</f>
        <v>#N/A</v>
      </c>
      <c r="J4154" s="29">
        <f>'Raw data'!K4063</f>
        <v>0</v>
      </c>
      <c r="K4154" s="31">
        <f>'Raw data'!H4063</f>
        <v>0</v>
      </c>
      <c r="L4154" s="26">
        <f t="shared" si="132"/>
        <v>0</v>
      </c>
    </row>
    <row r="4155" spans="2:12">
      <c r="B4155" s="4" t="e">
        <f t="shared" si="131"/>
        <v>#N/A</v>
      </c>
      <c r="C4155" s="4">
        <f>'Raw data'!E3731</f>
        <v>0</v>
      </c>
      <c r="D4155" s="29" t="e">
        <f>VLOOKUP(C4155,'점포코드 '!A:B,2,0)</f>
        <v>#N/A</v>
      </c>
      <c r="E4155" s="30">
        <f>'Raw data'!P3731</f>
        <v>0</v>
      </c>
      <c r="F4155" s="29" t="e">
        <f>VLOOKUP(E4155,'점포코드 '!A:B,2,0)</f>
        <v>#N/A</v>
      </c>
      <c r="G4155" s="46">
        <f>'Raw data'!F4064</f>
        <v>0</v>
      </c>
      <c r="H4155" s="4">
        <f>'Raw data'!G4064</f>
        <v>0</v>
      </c>
      <c r="I4155" s="29" t="e">
        <f>VLOOKUP(G4155,제품명!$C$1:$E$114,2,0)</f>
        <v>#N/A</v>
      </c>
      <c r="J4155" s="29">
        <f>'Raw data'!K4064</f>
        <v>0</v>
      </c>
      <c r="K4155" s="31">
        <f>'Raw data'!H4064</f>
        <v>0</v>
      </c>
      <c r="L4155" s="26">
        <f t="shared" si="132"/>
        <v>0</v>
      </c>
    </row>
    <row r="4156" spans="2:12">
      <c r="B4156" s="4" t="e">
        <f t="shared" si="131"/>
        <v>#N/A</v>
      </c>
      <c r="C4156" s="4">
        <f>'Raw data'!E3732</f>
        <v>0</v>
      </c>
      <c r="D4156" s="29" t="e">
        <f>VLOOKUP(C4156,'점포코드 '!A:B,2,0)</f>
        <v>#N/A</v>
      </c>
      <c r="E4156" s="30">
        <f>'Raw data'!P3732</f>
        <v>0</v>
      </c>
      <c r="F4156" s="29" t="e">
        <f>VLOOKUP(E4156,'점포코드 '!A:B,2,0)</f>
        <v>#N/A</v>
      </c>
      <c r="G4156" s="46">
        <f>'Raw data'!F4065</f>
        <v>0</v>
      </c>
      <c r="H4156" s="4">
        <f>'Raw data'!G4065</f>
        <v>0</v>
      </c>
      <c r="I4156" s="29" t="e">
        <f>VLOOKUP(G4156,제품명!$C$1:$E$114,2,0)</f>
        <v>#N/A</v>
      </c>
      <c r="J4156" s="29">
        <f>'Raw data'!K4065</f>
        <v>0</v>
      </c>
      <c r="K4156" s="31">
        <f>'Raw data'!H4065</f>
        <v>0</v>
      </c>
      <c r="L4156" s="26">
        <f t="shared" si="132"/>
        <v>0</v>
      </c>
    </row>
    <row r="4157" spans="2:12">
      <c r="B4157" s="4" t="e">
        <f t="shared" si="131"/>
        <v>#N/A</v>
      </c>
      <c r="C4157" s="4">
        <f>'Raw data'!E3733</f>
        <v>0</v>
      </c>
      <c r="D4157" s="29" t="e">
        <f>VLOOKUP(C4157,'점포코드 '!A:B,2,0)</f>
        <v>#N/A</v>
      </c>
      <c r="E4157" s="30">
        <f>'Raw data'!P3733</f>
        <v>0</v>
      </c>
      <c r="F4157" s="29" t="e">
        <f>VLOOKUP(E4157,'점포코드 '!A:B,2,0)</f>
        <v>#N/A</v>
      </c>
      <c r="G4157" s="46">
        <f>'Raw data'!F4066</f>
        <v>0</v>
      </c>
      <c r="H4157" s="4">
        <f>'Raw data'!G4066</f>
        <v>0</v>
      </c>
      <c r="I4157" s="29" t="e">
        <f>VLOOKUP(G4157,제품명!$C$1:$E$114,2,0)</f>
        <v>#N/A</v>
      </c>
      <c r="J4157" s="29">
        <f>'Raw data'!K4066</f>
        <v>0</v>
      </c>
      <c r="K4157" s="31">
        <f>'Raw data'!H4066</f>
        <v>0</v>
      </c>
      <c r="L4157" s="26">
        <f t="shared" si="132"/>
        <v>0</v>
      </c>
    </row>
    <row r="4158" spans="2:12">
      <c r="B4158" s="4" t="e">
        <f t="shared" si="131"/>
        <v>#N/A</v>
      </c>
      <c r="C4158" s="4">
        <f>'Raw data'!E3734</f>
        <v>0</v>
      </c>
      <c r="D4158" s="29" t="e">
        <f>VLOOKUP(C4158,'점포코드 '!A:B,2,0)</f>
        <v>#N/A</v>
      </c>
      <c r="E4158" s="30">
        <f>'Raw data'!P3734</f>
        <v>0</v>
      </c>
      <c r="F4158" s="29" t="e">
        <f>VLOOKUP(E4158,'점포코드 '!A:B,2,0)</f>
        <v>#N/A</v>
      </c>
      <c r="G4158" s="46">
        <f>'Raw data'!F4067</f>
        <v>0</v>
      </c>
      <c r="H4158" s="4">
        <f>'Raw data'!G4067</f>
        <v>0</v>
      </c>
      <c r="I4158" s="29" t="e">
        <f>VLOOKUP(G4158,제품명!$C$1:$E$114,2,0)</f>
        <v>#N/A</v>
      </c>
      <c r="J4158" s="29">
        <f>'Raw data'!K4067</f>
        <v>0</v>
      </c>
      <c r="K4158" s="31">
        <f>'Raw data'!H4067</f>
        <v>0</v>
      </c>
      <c r="L4158" s="26">
        <f t="shared" si="132"/>
        <v>0</v>
      </c>
    </row>
    <row r="4159" spans="2:12">
      <c r="B4159" s="4" t="e">
        <f t="shared" si="131"/>
        <v>#N/A</v>
      </c>
      <c r="C4159" s="4">
        <f>'Raw data'!E3735</f>
        <v>0</v>
      </c>
      <c r="D4159" s="29" t="e">
        <f>VLOOKUP(C4159,'점포코드 '!A:B,2,0)</f>
        <v>#N/A</v>
      </c>
      <c r="E4159" s="30">
        <f>'Raw data'!P3735</f>
        <v>0</v>
      </c>
      <c r="F4159" s="29" t="e">
        <f>VLOOKUP(E4159,'점포코드 '!A:B,2,0)</f>
        <v>#N/A</v>
      </c>
      <c r="G4159" s="46">
        <f>'Raw data'!F4068</f>
        <v>0</v>
      </c>
      <c r="H4159" s="4">
        <f>'Raw data'!G4068</f>
        <v>0</v>
      </c>
      <c r="I4159" s="29" t="e">
        <f>VLOOKUP(G4159,제품명!$C$1:$E$114,2,0)</f>
        <v>#N/A</v>
      </c>
      <c r="J4159" s="29">
        <f>'Raw data'!K4068</f>
        <v>0</v>
      </c>
      <c r="K4159" s="31">
        <f>'Raw data'!H4068</f>
        <v>0</v>
      </c>
      <c r="L4159" s="26">
        <f t="shared" si="132"/>
        <v>0</v>
      </c>
    </row>
    <row r="4160" spans="2:12">
      <c r="B4160" s="4" t="e">
        <f t="shared" si="131"/>
        <v>#N/A</v>
      </c>
      <c r="C4160" s="4">
        <f>'Raw data'!E3736</f>
        <v>0</v>
      </c>
      <c r="D4160" s="29" t="e">
        <f>VLOOKUP(C4160,'점포코드 '!A:B,2,0)</f>
        <v>#N/A</v>
      </c>
      <c r="E4160" s="30">
        <f>'Raw data'!P3736</f>
        <v>0</v>
      </c>
      <c r="F4160" s="29" t="e">
        <f>VLOOKUP(E4160,'점포코드 '!A:B,2,0)</f>
        <v>#N/A</v>
      </c>
      <c r="G4160" s="46">
        <f>'Raw data'!F4069</f>
        <v>0</v>
      </c>
      <c r="H4160" s="4">
        <f>'Raw data'!G4069</f>
        <v>0</v>
      </c>
      <c r="I4160" s="29" t="e">
        <f>VLOOKUP(G4160,제품명!$C$1:$E$114,2,0)</f>
        <v>#N/A</v>
      </c>
      <c r="J4160" s="29">
        <f>'Raw data'!K4069</f>
        <v>0</v>
      </c>
      <c r="K4160" s="31">
        <f>'Raw data'!H4069</f>
        <v>0</v>
      </c>
      <c r="L4160" s="26">
        <f t="shared" si="132"/>
        <v>0</v>
      </c>
    </row>
    <row r="4161" spans="2:12">
      <c r="B4161" s="4" t="e">
        <f t="shared" si="131"/>
        <v>#N/A</v>
      </c>
      <c r="C4161" s="4">
        <f>'Raw data'!E3737</f>
        <v>0</v>
      </c>
      <c r="D4161" s="29" t="e">
        <f>VLOOKUP(C4161,'점포코드 '!A:B,2,0)</f>
        <v>#N/A</v>
      </c>
      <c r="E4161" s="30">
        <f>'Raw data'!P3737</f>
        <v>0</v>
      </c>
      <c r="F4161" s="29" t="e">
        <f>VLOOKUP(E4161,'점포코드 '!A:B,2,0)</f>
        <v>#N/A</v>
      </c>
      <c r="G4161" s="46">
        <f>'Raw data'!F4070</f>
        <v>0</v>
      </c>
      <c r="H4161" s="4">
        <f>'Raw data'!G4070</f>
        <v>0</v>
      </c>
      <c r="I4161" s="29" t="e">
        <f>VLOOKUP(G4161,제품명!$C$1:$E$114,2,0)</f>
        <v>#N/A</v>
      </c>
      <c r="J4161" s="29">
        <f>'Raw data'!K4070</f>
        <v>0</v>
      </c>
      <c r="K4161" s="31">
        <f>'Raw data'!H4070</f>
        <v>0</v>
      </c>
      <c r="L4161" s="26">
        <f t="shared" si="132"/>
        <v>0</v>
      </c>
    </row>
    <row r="4162" spans="2:12">
      <c r="B4162" s="4" t="e">
        <f t="shared" ref="B4162:B4225" si="133">F4162&amp;I4162</f>
        <v>#N/A</v>
      </c>
      <c r="C4162" s="4">
        <f>'Raw data'!E3738</f>
        <v>0</v>
      </c>
      <c r="D4162" s="29" t="e">
        <f>VLOOKUP(C4162,'점포코드 '!A:B,2,0)</f>
        <v>#N/A</v>
      </c>
      <c r="E4162" s="30">
        <f>'Raw data'!P3738</f>
        <v>0</v>
      </c>
      <c r="F4162" s="29" t="e">
        <f>VLOOKUP(E4162,'점포코드 '!A:B,2,0)</f>
        <v>#N/A</v>
      </c>
      <c r="G4162" s="46">
        <f>'Raw data'!F4071</f>
        <v>0</v>
      </c>
      <c r="H4162" s="4">
        <f>'Raw data'!G4071</f>
        <v>0</v>
      </c>
      <c r="I4162" s="29" t="e">
        <f>VLOOKUP(G4162,제품명!$C$1:$E$114,2,0)</f>
        <v>#N/A</v>
      </c>
      <c r="J4162" s="29">
        <f>'Raw data'!K4071</f>
        <v>0</v>
      </c>
      <c r="K4162" s="31">
        <f>'Raw data'!H4071</f>
        <v>0</v>
      </c>
      <c r="L4162" s="26">
        <f t="shared" si="132"/>
        <v>0</v>
      </c>
    </row>
    <row r="4163" spans="2:12">
      <c r="B4163" s="4" t="e">
        <f t="shared" si="133"/>
        <v>#N/A</v>
      </c>
      <c r="C4163" s="4">
        <f>'Raw data'!E3739</f>
        <v>0</v>
      </c>
      <c r="D4163" s="29" t="e">
        <f>VLOOKUP(C4163,'점포코드 '!A:B,2,0)</f>
        <v>#N/A</v>
      </c>
      <c r="E4163" s="30">
        <f>'Raw data'!P3739</f>
        <v>0</v>
      </c>
      <c r="F4163" s="29" t="e">
        <f>VLOOKUP(E4163,'점포코드 '!A:B,2,0)</f>
        <v>#N/A</v>
      </c>
      <c r="G4163" s="46">
        <f>'Raw data'!F4072</f>
        <v>0</v>
      </c>
      <c r="H4163" s="4">
        <f>'Raw data'!G4072</f>
        <v>0</v>
      </c>
      <c r="I4163" s="29" t="e">
        <f>VLOOKUP(G4163,제품명!$C$1:$E$114,2,0)</f>
        <v>#N/A</v>
      </c>
      <c r="J4163" s="29">
        <f>'Raw data'!K4072</f>
        <v>0</v>
      </c>
      <c r="K4163" s="31">
        <f>'Raw data'!H4072</f>
        <v>0</v>
      </c>
      <c r="L4163" s="26">
        <f t="shared" ref="L4163:L4226" si="134">J4163*K4163</f>
        <v>0</v>
      </c>
    </row>
    <row r="4164" spans="2:12">
      <c r="B4164" s="4" t="e">
        <f t="shared" si="133"/>
        <v>#N/A</v>
      </c>
      <c r="C4164" s="4">
        <f>'Raw data'!E3740</f>
        <v>0</v>
      </c>
      <c r="D4164" s="29" t="e">
        <f>VLOOKUP(C4164,'점포코드 '!A:B,2,0)</f>
        <v>#N/A</v>
      </c>
      <c r="E4164" s="30">
        <f>'Raw data'!P3740</f>
        <v>0</v>
      </c>
      <c r="F4164" s="29" t="e">
        <f>VLOOKUP(E4164,'점포코드 '!A:B,2,0)</f>
        <v>#N/A</v>
      </c>
      <c r="G4164" s="46">
        <f>'Raw data'!F4073</f>
        <v>0</v>
      </c>
      <c r="H4164" s="4">
        <f>'Raw data'!G4073</f>
        <v>0</v>
      </c>
      <c r="I4164" s="29" t="e">
        <f>VLOOKUP(G4164,제품명!$C$1:$E$114,2,0)</f>
        <v>#N/A</v>
      </c>
      <c r="J4164" s="29">
        <f>'Raw data'!K4073</f>
        <v>0</v>
      </c>
      <c r="K4164" s="31">
        <f>'Raw data'!H4073</f>
        <v>0</v>
      </c>
      <c r="L4164" s="26">
        <f t="shared" si="134"/>
        <v>0</v>
      </c>
    </row>
    <row r="4165" spans="2:12">
      <c r="B4165" s="4" t="e">
        <f t="shared" si="133"/>
        <v>#N/A</v>
      </c>
      <c r="C4165" s="4">
        <f>'Raw data'!E3741</f>
        <v>0</v>
      </c>
      <c r="D4165" s="29" t="e">
        <f>VLOOKUP(C4165,'점포코드 '!A:B,2,0)</f>
        <v>#N/A</v>
      </c>
      <c r="E4165" s="30">
        <f>'Raw data'!P3741</f>
        <v>0</v>
      </c>
      <c r="F4165" s="29" t="e">
        <f>VLOOKUP(E4165,'점포코드 '!A:B,2,0)</f>
        <v>#N/A</v>
      </c>
      <c r="G4165" s="46">
        <f>'Raw data'!F4074</f>
        <v>0</v>
      </c>
      <c r="H4165" s="4">
        <f>'Raw data'!G4074</f>
        <v>0</v>
      </c>
      <c r="I4165" s="29" t="e">
        <f>VLOOKUP(G4165,제품명!$C$1:$E$114,2,0)</f>
        <v>#N/A</v>
      </c>
      <c r="J4165" s="29">
        <f>'Raw data'!K4074</f>
        <v>0</v>
      </c>
      <c r="K4165" s="31">
        <f>'Raw data'!H4074</f>
        <v>0</v>
      </c>
      <c r="L4165" s="26">
        <f t="shared" si="134"/>
        <v>0</v>
      </c>
    </row>
    <row r="4166" spans="2:12">
      <c r="B4166" s="4" t="e">
        <f t="shared" si="133"/>
        <v>#N/A</v>
      </c>
      <c r="C4166" s="4">
        <f>'Raw data'!E3742</f>
        <v>0</v>
      </c>
      <c r="D4166" s="29" t="e">
        <f>VLOOKUP(C4166,'점포코드 '!A:B,2,0)</f>
        <v>#N/A</v>
      </c>
      <c r="E4166" s="30">
        <f>'Raw data'!P3742</f>
        <v>0</v>
      </c>
      <c r="F4166" s="29" t="e">
        <f>VLOOKUP(E4166,'점포코드 '!A:B,2,0)</f>
        <v>#N/A</v>
      </c>
      <c r="G4166" s="46">
        <f>'Raw data'!F4075</f>
        <v>0</v>
      </c>
      <c r="H4166" s="4">
        <f>'Raw data'!G4075</f>
        <v>0</v>
      </c>
      <c r="I4166" s="29" t="e">
        <f>VLOOKUP(G4166,제품명!$C$1:$E$114,2,0)</f>
        <v>#N/A</v>
      </c>
      <c r="J4166" s="29">
        <f>'Raw data'!K4075</f>
        <v>0</v>
      </c>
      <c r="K4166" s="31">
        <f>'Raw data'!H4075</f>
        <v>0</v>
      </c>
      <c r="L4166" s="26">
        <f t="shared" si="134"/>
        <v>0</v>
      </c>
    </row>
    <row r="4167" spans="2:12">
      <c r="B4167" s="4" t="e">
        <f t="shared" si="133"/>
        <v>#N/A</v>
      </c>
      <c r="C4167" s="4">
        <f>'Raw data'!E3743</f>
        <v>0</v>
      </c>
      <c r="D4167" s="29" t="e">
        <f>VLOOKUP(C4167,'점포코드 '!A:B,2,0)</f>
        <v>#N/A</v>
      </c>
      <c r="E4167" s="30">
        <f>'Raw data'!P3743</f>
        <v>0</v>
      </c>
      <c r="F4167" s="29" t="e">
        <f>VLOOKUP(E4167,'점포코드 '!A:B,2,0)</f>
        <v>#N/A</v>
      </c>
      <c r="G4167" s="46">
        <f>'Raw data'!F4076</f>
        <v>0</v>
      </c>
      <c r="H4167" s="4">
        <f>'Raw data'!G4076</f>
        <v>0</v>
      </c>
      <c r="I4167" s="29" t="e">
        <f>VLOOKUP(G4167,제품명!$C$1:$E$114,2,0)</f>
        <v>#N/A</v>
      </c>
      <c r="J4167" s="29">
        <f>'Raw data'!K4076</f>
        <v>0</v>
      </c>
      <c r="K4167" s="31">
        <f>'Raw data'!H4076</f>
        <v>0</v>
      </c>
      <c r="L4167" s="26">
        <f t="shared" si="134"/>
        <v>0</v>
      </c>
    </row>
    <row r="4168" spans="2:12">
      <c r="B4168" s="4" t="e">
        <f t="shared" si="133"/>
        <v>#N/A</v>
      </c>
      <c r="C4168" s="4">
        <f>'Raw data'!E3744</f>
        <v>0</v>
      </c>
      <c r="D4168" s="29" t="e">
        <f>VLOOKUP(C4168,'점포코드 '!A:B,2,0)</f>
        <v>#N/A</v>
      </c>
      <c r="E4168" s="30">
        <f>'Raw data'!P3744</f>
        <v>0</v>
      </c>
      <c r="F4168" s="29" t="e">
        <f>VLOOKUP(E4168,'점포코드 '!A:B,2,0)</f>
        <v>#N/A</v>
      </c>
      <c r="G4168" s="46">
        <f>'Raw data'!F4077</f>
        <v>0</v>
      </c>
      <c r="H4168" s="4">
        <f>'Raw data'!G4077</f>
        <v>0</v>
      </c>
      <c r="I4168" s="29" t="e">
        <f>VLOOKUP(G4168,제품명!$C$1:$E$114,2,0)</f>
        <v>#N/A</v>
      </c>
      <c r="J4168" s="29">
        <f>'Raw data'!K4077</f>
        <v>0</v>
      </c>
      <c r="K4168" s="31">
        <f>'Raw data'!H4077</f>
        <v>0</v>
      </c>
      <c r="L4168" s="26">
        <f t="shared" si="134"/>
        <v>0</v>
      </c>
    </row>
    <row r="4169" spans="2:12">
      <c r="B4169" s="4" t="e">
        <f t="shared" si="133"/>
        <v>#N/A</v>
      </c>
      <c r="C4169" s="4">
        <f>'Raw data'!E3745</f>
        <v>0</v>
      </c>
      <c r="D4169" s="29" t="e">
        <f>VLOOKUP(C4169,'점포코드 '!A:B,2,0)</f>
        <v>#N/A</v>
      </c>
      <c r="E4169" s="30">
        <f>'Raw data'!P3745</f>
        <v>0</v>
      </c>
      <c r="F4169" s="29" t="e">
        <f>VLOOKUP(E4169,'점포코드 '!A:B,2,0)</f>
        <v>#N/A</v>
      </c>
      <c r="G4169" s="46">
        <f>'Raw data'!F4078</f>
        <v>0</v>
      </c>
      <c r="H4169" s="4">
        <f>'Raw data'!G4078</f>
        <v>0</v>
      </c>
      <c r="I4169" s="29" t="e">
        <f>VLOOKUP(G4169,제품명!$C$1:$E$114,2,0)</f>
        <v>#N/A</v>
      </c>
      <c r="J4169" s="29">
        <f>'Raw data'!K4078</f>
        <v>0</v>
      </c>
      <c r="K4169" s="31">
        <f>'Raw data'!H4078</f>
        <v>0</v>
      </c>
      <c r="L4169" s="26">
        <f t="shared" si="134"/>
        <v>0</v>
      </c>
    </row>
    <row r="4170" spans="2:12">
      <c r="B4170" s="4" t="e">
        <f t="shared" si="133"/>
        <v>#N/A</v>
      </c>
      <c r="C4170" s="4">
        <f>'Raw data'!E3746</f>
        <v>0</v>
      </c>
      <c r="D4170" s="29" t="e">
        <f>VLOOKUP(C4170,'점포코드 '!A:B,2,0)</f>
        <v>#N/A</v>
      </c>
      <c r="E4170" s="30">
        <f>'Raw data'!P3746</f>
        <v>0</v>
      </c>
      <c r="F4170" s="29" t="e">
        <f>VLOOKUP(E4170,'점포코드 '!A:B,2,0)</f>
        <v>#N/A</v>
      </c>
      <c r="G4170" s="46">
        <f>'Raw data'!F4079</f>
        <v>0</v>
      </c>
      <c r="H4170" s="4">
        <f>'Raw data'!G4079</f>
        <v>0</v>
      </c>
      <c r="I4170" s="29" t="e">
        <f>VLOOKUP(G4170,제품명!$C$1:$E$114,2,0)</f>
        <v>#N/A</v>
      </c>
      <c r="J4170" s="29">
        <f>'Raw data'!K4079</f>
        <v>0</v>
      </c>
      <c r="K4170" s="31">
        <f>'Raw data'!H4079</f>
        <v>0</v>
      </c>
      <c r="L4170" s="26">
        <f t="shared" si="134"/>
        <v>0</v>
      </c>
    </row>
    <row r="4171" spans="2:12">
      <c r="B4171" s="4" t="e">
        <f t="shared" si="133"/>
        <v>#N/A</v>
      </c>
      <c r="C4171" s="4">
        <f>'Raw data'!E3747</f>
        <v>0</v>
      </c>
      <c r="D4171" s="29" t="e">
        <f>VLOOKUP(C4171,'점포코드 '!A:B,2,0)</f>
        <v>#N/A</v>
      </c>
      <c r="E4171" s="30">
        <f>'Raw data'!P3747</f>
        <v>0</v>
      </c>
      <c r="F4171" s="29" t="e">
        <f>VLOOKUP(E4171,'점포코드 '!A:B,2,0)</f>
        <v>#N/A</v>
      </c>
      <c r="G4171" s="46">
        <f>'Raw data'!F4080</f>
        <v>0</v>
      </c>
      <c r="H4171" s="4">
        <f>'Raw data'!G4080</f>
        <v>0</v>
      </c>
      <c r="I4171" s="29" t="e">
        <f>VLOOKUP(G4171,제품명!$C$1:$E$114,2,0)</f>
        <v>#N/A</v>
      </c>
      <c r="J4171" s="29">
        <f>'Raw data'!K4080</f>
        <v>0</v>
      </c>
      <c r="K4171" s="31">
        <f>'Raw data'!H4080</f>
        <v>0</v>
      </c>
      <c r="L4171" s="26">
        <f t="shared" si="134"/>
        <v>0</v>
      </c>
    </row>
    <row r="4172" spans="2:12">
      <c r="B4172" s="4" t="e">
        <f t="shared" si="133"/>
        <v>#N/A</v>
      </c>
      <c r="C4172" s="4">
        <f>'Raw data'!E3748</f>
        <v>0</v>
      </c>
      <c r="D4172" s="29" t="e">
        <f>VLOOKUP(C4172,'점포코드 '!A:B,2,0)</f>
        <v>#N/A</v>
      </c>
      <c r="E4172" s="30">
        <f>'Raw data'!P3748</f>
        <v>0</v>
      </c>
      <c r="F4172" s="29" t="e">
        <f>VLOOKUP(E4172,'점포코드 '!A:B,2,0)</f>
        <v>#N/A</v>
      </c>
      <c r="G4172" s="46">
        <f>'Raw data'!F4081</f>
        <v>0</v>
      </c>
      <c r="H4172" s="4">
        <f>'Raw data'!G4081</f>
        <v>0</v>
      </c>
      <c r="I4172" s="29" t="e">
        <f>VLOOKUP(G4172,제품명!$C$1:$E$114,2,0)</f>
        <v>#N/A</v>
      </c>
      <c r="J4172" s="29">
        <f>'Raw data'!K4081</f>
        <v>0</v>
      </c>
      <c r="K4172" s="31">
        <f>'Raw data'!H4081</f>
        <v>0</v>
      </c>
      <c r="L4172" s="26">
        <f t="shared" si="134"/>
        <v>0</v>
      </c>
    </row>
    <row r="4173" spans="2:12">
      <c r="B4173" s="4" t="e">
        <f t="shared" si="133"/>
        <v>#N/A</v>
      </c>
      <c r="C4173" s="4">
        <f>'Raw data'!E3749</f>
        <v>0</v>
      </c>
      <c r="D4173" s="29" t="e">
        <f>VLOOKUP(C4173,'점포코드 '!A:B,2,0)</f>
        <v>#N/A</v>
      </c>
      <c r="E4173" s="30">
        <f>'Raw data'!P3749</f>
        <v>0</v>
      </c>
      <c r="F4173" s="29" t="e">
        <f>VLOOKUP(E4173,'점포코드 '!A:B,2,0)</f>
        <v>#N/A</v>
      </c>
      <c r="G4173" s="46">
        <f>'Raw data'!F4082</f>
        <v>0</v>
      </c>
      <c r="H4173" s="4">
        <f>'Raw data'!G4082</f>
        <v>0</v>
      </c>
      <c r="I4173" s="29" t="e">
        <f>VLOOKUP(G4173,제품명!$C$1:$E$114,2,0)</f>
        <v>#N/A</v>
      </c>
      <c r="J4173" s="29">
        <f>'Raw data'!K4082</f>
        <v>0</v>
      </c>
      <c r="K4173" s="31">
        <f>'Raw data'!H4082</f>
        <v>0</v>
      </c>
      <c r="L4173" s="26">
        <f t="shared" si="134"/>
        <v>0</v>
      </c>
    </row>
    <row r="4174" spans="2:12">
      <c r="B4174" s="4" t="e">
        <f t="shared" si="133"/>
        <v>#N/A</v>
      </c>
      <c r="C4174" s="4">
        <f>'Raw data'!E3750</f>
        <v>0</v>
      </c>
      <c r="D4174" s="29" t="e">
        <f>VLOOKUP(C4174,'점포코드 '!A:B,2,0)</f>
        <v>#N/A</v>
      </c>
      <c r="E4174" s="30">
        <f>'Raw data'!P3750</f>
        <v>0</v>
      </c>
      <c r="F4174" s="29" t="e">
        <f>VLOOKUP(E4174,'점포코드 '!A:B,2,0)</f>
        <v>#N/A</v>
      </c>
      <c r="G4174" s="46">
        <f>'Raw data'!F4083</f>
        <v>0</v>
      </c>
      <c r="H4174" s="4">
        <f>'Raw data'!G4083</f>
        <v>0</v>
      </c>
      <c r="I4174" s="29" t="e">
        <f>VLOOKUP(G4174,제품명!$C$1:$E$114,2,0)</f>
        <v>#N/A</v>
      </c>
      <c r="J4174" s="29">
        <f>'Raw data'!K4083</f>
        <v>0</v>
      </c>
      <c r="K4174" s="31">
        <f>'Raw data'!H4083</f>
        <v>0</v>
      </c>
      <c r="L4174" s="26">
        <f t="shared" si="134"/>
        <v>0</v>
      </c>
    </row>
    <row r="4175" spans="2:12">
      <c r="B4175" s="4" t="e">
        <f t="shared" si="133"/>
        <v>#N/A</v>
      </c>
      <c r="C4175" s="4">
        <f>'Raw data'!E3751</f>
        <v>0</v>
      </c>
      <c r="D4175" s="29" t="e">
        <f>VLOOKUP(C4175,'점포코드 '!A:B,2,0)</f>
        <v>#N/A</v>
      </c>
      <c r="E4175" s="30">
        <f>'Raw data'!P3751</f>
        <v>0</v>
      </c>
      <c r="F4175" s="29" t="e">
        <f>VLOOKUP(E4175,'점포코드 '!A:B,2,0)</f>
        <v>#N/A</v>
      </c>
      <c r="G4175" s="46">
        <f>'Raw data'!F4084</f>
        <v>0</v>
      </c>
      <c r="H4175" s="4">
        <f>'Raw data'!G4084</f>
        <v>0</v>
      </c>
      <c r="I4175" s="29" t="e">
        <f>VLOOKUP(G4175,제품명!$C$1:$E$114,2,0)</f>
        <v>#N/A</v>
      </c>
      <c r="J4175" s="29">
        <f>'Raw data'!K4084</f>
        <v>0</v>
      </c>
      <c r="K4175" s="31">
        <f>'Raw data'!H4084</f>
        <v>0</v>
      </c>
      <c r="L4175" s="26">
        <f t="shared" si="134"/>
        <v>0</v>
      </c>
    </row>
    <row r="4176" spans="2:12">
      <c r="B4176" s="4" t="e">
        <f t="shared" si="133"/>
        <v>#N/A</v>
      </c>
      <c r="C4176" s="4">
        <f>'Raw data'!E3752</f>
        <v>0</v>
      </c>
      <c r="D4176" s="29" t="e">
        <f>VLOOKUP(C4176,'점포코드 '!A:B,2,0)</f>
        <v>#N/A</v>
      </c>
      <c r="E4176" s="30">
        <f>'Raw data'!P3752</f>
        <v>0</v>
      </c>
      <c r="F4176" s="29" t="e">
        <f>VLOOKUP(E4176,'점포코드 '!A:B,2,0)</f>
        <v>#N/A</v>
      </c>
      <c r="G4176" s="46">
        <f>'Raw data'!F4085</f>
        <v>0</v>
      </c>
      <c r="H4176" s="4">
        <f>'Raw data'!G4085</f>
        <v>0</v>
      </c>
      <c r="I4176" s="29" t="e">
        <f>VLOOKUP(G4176,제품명!$C$1:$E$114,2,0)</f>
        <v>#N/A</v>
      </c>
      <c r="J4176" s="29">
        <f>'Raw data'!K4085</f>
        <v>0</v>
      </c>
      <c r="K4176" s="31">
        <f>'Raw data'!H4085</f>
        <v>0</v>
      </c>
      <c r="L4176" s="26">
        <f t="shared" si="134"/>
        <v>0</v>
      </c>
    </row>
    <row r="4177" spans="2:12">
      <c r="B4177" s="4" t="e">
        <f t="shared" si="133"/>
        <v>#N/A</v>
      </c>
      <c r="C4177" s="4">
        <f>'Raw data'!E3753</f>
        <v>0</v>
      </c>
      <c r="D4177" s="29" t="e">
        <f>VLOOKUP(C4177,'점포코드 '!A:B,2,0)</f>
        <v>#N/A</v>
      </c>
      <c r="E4177" s="30">
        <f>'Raw data'!P3753</f>
        <v>0</v>
      </c>
      <c r="F4177" s="29" t="e">
        <f>VLOOKUP(E4177,'점포코드 '!A:B,2,0)</f>
        <v>#N/A</v>
      </c>
      <c r="G4177" s="46">
        <f>'Raw data'!F4086</f>
        <v>0</v>
      </c>
      <c r="H4177" s="4">
        <f>'Raw data'!G4086</f>
        <v>0</v>
      </c>
      <c r="I4177" s="29" t="e">
        <f>VLOOKUP(G4177,제품명!$C$1:$E$114,2,0)</f>
        <v>#N/A</v>
      </c>
      <c r="J4177" s="29">
        <f>'Raw data'!K4086</f>
        <v>0</v>
      </c>
      <c r="K4177" s="31">
        <f>'Raw data'!H4086</f>
        <v>0</v>
      </c>
      <c r="L4177" s="26">
        <f t="shared" si="134"/>
        <v>0</v>
      </c>
    </row>
    <row r="4178" spans="2:12">
      <c r="B4178" s="4" t="e">
        <f t="shared" si="133"/>
        <v>#N/A</v>
      </c>
      <c r="C4178" s="4">
        <f>'Raw data'!E3754</f>
        <v>0</v>
      </c>
      <c r="D4178" s="29" t="e">
        <f>VLOOKUP(C4178,'점포코드 '!A:B,2,0)</f>
        <v>#N/A</v>
      </c>
      <c r="E4178" s="30">
        <f>'Raw data'!P3754</f>
        <v>0</v>
      </c>
      <c r="F4178" s="29" t="e">
        <f>VLOOKUP(E4178,'점포코드 '!A:B,2,0)</f>
        <v>#N/A</v>
      </c>
      <c r="G4178" s="46">
        <f>'Raw data'!F4087</f>
        <v>0</v>
      </c>
      <c r="H4178" s="4">
        <f>'Raw data'!G4087</f>
        <v>0</v>
      </c>
      <c r="I4178" s="29" t="e">
        <f>VLOOKUP(G4178,제품명!$C$1:$E$114,2,0)</f>
        <v>#N/A</v>
      </c>
      <c r="J4178" s="29">
        <f>'Raw data'!K4087</f>
        <v>0</v>
      </c>
      <c r="K4178" s="31">
        <f>'Raw data'!H4087</f>
        <v>0</v>
      </c>
      <c r="L4178" s="26">
        <f t="shared" si="134"/>
        <v>0</v>
      </c>
    </row>
    <row r="4179" spans="2:12">
      <c r="B4179" s="4" t="e">
        <f t="shared" si="133"/>
        <v>#N/A</v>
      </c>
      <c r="C4179" s="4">
        <f>'Raw data'!E3755</f>
        <v>0</v>
      </c>
      <c r="D4179" s="29" t="e">
        <f>VLOOKUP(C4179,'점포코드 '!A:B,2,0)</f>
        <v>#N/A</v>
      </c>
      <c r="E4179" s="30">
        <f>'Raw data'!P3755</f>
        <v>0</v>
      </c>
      <c r="F4179" s="29" t="e">
        <f>VLOOKUP(E4179,'점포코드 '!A:B,2,0)</f>
        <v>#N/A</v>
      </c>
      <c r="G4179" s="46">
        <f>'Raw data'!F4088</f>
        <v>0</v>
      </c>
      <c r="H4179" s="4">
        <f>'Raw data'!G4088</f>
        <v>0</v>
      </c>
      <c r="I4179" s="29" t="e">
        <f>VLOOKUP(G4179,제품명!$C$1:$E$114,2,0)</f>
        <v>#N/A</v>
      </c>
      <c r="J4179" s="29">
        <f>'Raw data'!K4088</f>
        <v>0</v>
      </c>
      <c r="K4179" s="31">
        <f>'Raw data'!H4088</f>
        <v>0</v>
      </c>
      <c r="L4179" s="26">
        <f t="shared" si="134"/>
        <v>0</v>
      </c>
    </row>
    <row r="4180" spans="2:12">
      <c r="B4180" s="4" t="e">
        <f t="shared" si="133"/>
        <v>#N/A</v>
      </c>
      <c r="C4180" s="4">
        <f>'Raw data'!E3756</f>
        <v>0</v>
      </c>
      <c r="D4180" s="29" t="e">
        <f>VLOOKUP(C4180,'점포코드 '!A:B,2,0)</f>
        <v>#N/A</v>
      </c>
      <c r="E4180" s="30">
        <f>'Raw data'!P3756</f>
        <v>0</v>
      </c>
      <c r="F4180" s="29" t="e">
        <f>VLOOKUP(E4180,'점포코드 '!A:B,2,0)</f>
        <v>#N/A</v>
      </c>
      <c r="G4180" s="46">
        <f>'Raw data'!F4089</f>
        <v>0</v>
      </c>
      <c r="H4180" s="4">
        <f>'Raw data'!G4089</f>
        <v>0</v>
      </c>
      <c r="I4180" s="29" t="e">
        <f>VLOOKUP(G4180,제품명!$C$1:$E$114,2,0)</f>
        <v>#N/A</v>
      </c>
      <c r="J4180" s="29">
        <f>'Raw data'!K4089</f>
        <v>0</v>
      </c>
      <c r="K4180" s="31">
        <f>'Raw data'!H4089</f>
        <v>0</v>
      </c>
      <c r="L4180" s="26">
        <f t="shared" si="134"/>
        <v>0</v>
      </c>
    </row>
    <row r="4181" spans="2:12">
      <c r="B4181" s="4" t="e">
        <f t="shared" si="133"/>
        <v>#N/A</v>
      </c>
      <c r="C4181" s="4">
        <f>'Raw data'!E3757</f>
        <v>0</v>
      </c>
      <c r="D4181" s="29" t="e">
        <f>VLOOKUP(C4181,'점포코드 '!A:B,2,0)</f>
        <v>#N/A</v>
      </c>
      <c r="E4181" s="30">
        <f>'Raw data'!P3757</f>
        <v>0</v>
      </c>
      <c r="F4181" s="29" t="e">
        <f>VLOOKUP(E4181,'점포코드 '!A:B,2,0)</f>
        <v>#N/A</v>
      </c>
      <c r="G4181" s="46">
        <f>'Raw data'!F4090</f>
        <v>0</v>
      </c>
      <c r="H4181" s="4">
        <f>'Raw data'!G4090</f>
        <v>0</v>
      </c>
      <c r="I4181" s="29" t="e">
        <f>VLOOKUP(G4181,제품명!$C$1:$E$114,2,0)</f>
        <v>#N/A</v>
      </c>
      <c r="J4181" s="29">
        <f>'Raw data'!K4090</f>
        <v>0</v>
      </c>
      <c r="K4181" s="31">
        <f>'Raw data'!H4090</f>
        <v>0</v>
      </c>
      <c r="L4181" s="26">
        <f t="shared" si="134"/>
        <v>0</v>
      </c>
    </row>
    <row r="4182" spans="2:12">
      <c r="B4182" s="4" t="e">
        <f t="shared" si="133"/>
        <v>#N/A</v>
      </c>
      <c r="C4182" s="4">
        <f>'Raw data'!E3758</f>
        <v>0</v>
      </c>
      <c r="D4182" s="29" t="e">
        <f>VLOOKUP(C4182,'점포코드 '!A:B,2,0)</f>
        <v>#N/A</v>
      </c>
      <c r="E4182" s="30">
        <f>'Raw data'!P3758</f>
        <v>0</v>
      </c>
      <c r="F4182" s="29" t="e">
        <f>VLOOKUP(E4182,'점포코드 '!A:B,2,0)</f>
        <v>#N/A</v>
      </c>
      <c r="G4182" s="46">
        <f>'Raw data'!F4091</f>
        <v>0</v>
      </c>
      <c r="H4182" s="4">
        <f>'Raw data'!G4091</f>
        <v>0</v>
      </c>
      <c r="I4182" s="29" t="e">
        <f>VLOOKUP(G4182,제품명!$C$1:$E$114,2,0)</f>
        <v>#N/A</v>
      </c>
      <c r="J4182" s="29">
        <f>'Raw data'!K4091</f>
        <v>0</v>
      </c>
      <c r="K4182" s="31">
        <f>'Raw data'!H4091</f>
        <v>0</v>
      </c>
      <c r="L4182" s="26">
        <f t="shared" si="134"/>
        <v>0</v>
      </c>
    </row>
    <row r="4183" spans="2:12">
      <c r="B4183" s="4" t="e">
        <f t="shared" si="133"/>
        <v>#N/A</v>
      </c>
      <c r="C4183" s="4">
        <f>'Raw data'!E3759</f>
        <v>0</v>
      </c>
      <c r="D4183" s="29" t="e">
        <f>VLOOKUP(C4183,'점포코드 '!A:B,2,0)</f>
        <v>#N/A</v>
      </c>
      <c r="E4183" s="30">
        <f>'Raw data'!P3759</f>
        <v>0</v>
      </c>
      <c r="F4183" s="29" t="e">
        <f>VLOOKUP(E4183,'점포코드 '!A:B,2,0)</f>
        <v>#N/A</v>
      </c>
      <c r="G4183" s="46">
        <f>'Raw data'!F4092</f>
        <v>0</v>
      </c>
      <c r="H4183" s="4">
        <f>'Raw data'!G4092</f>
        <v>0</v>
      </c>
      <c r="I4183" s="29" t="e">
        <f>VLOOKUP(G4183,제품명!$C$1:$E$114,2,0)</f>
        <v>#N/A</v>
      </c>
      <c r="J4183" s="29">
        <f>'Raw data'!K4092</f>
        <v>0</v>
      </c>
      <c r="K4183" s="31">
        <f>'Raw data'!H4092</f>
        <v>0</v>
      </c>
      <c r="L4183" s="26">
        <f t="shared" si="134"/>
        <v>0</v>
      </c>
    </row>
    <row r="4184" spans="2:12">
      <c r="B4184" s="4" t="e">
        <f t="shared" si="133"/>
        <v>#N/A</v>
      </c>
      <c r="C4184" s="4">
        <f>'Raw data'!E3760</f>
        <v>0</v>
      </c>
      <c r="D4184" s="29" t="e">
        <f>VLOOKUP(C4184,'점포코드 '!A:B,2,0)</f>
        <v>#N/A</v>
      </c>
      <c r="E4184" s="30">
        <f>'Raw data'!P3760</f>
        <v>0</v>
      </c>
      <c r="F4184" s="29" t="e">
        <f>VLOOKUP(E4184,'점포코드 '!A:B,2,0)</f>
        <v>#N/A</v>
      </c>
      <c r="G4184" s="46">
        <f>'Raw data'!F4093</f>
        <v>0</v>
      </c>
      <c r="H4184" s="4">
        <f>'Raw data'!G4093</f>
        <v>0</v>
      </c>
      <c r="I4184" s="29" t="e">
        <f>VLOOKUP(G4184,제품명!$C$1:$E$114,2,0)</f>
        <v>#N/A</v>
      </c>
      <c r="J4184" s="29">
        <f>'Raw data'!K4093</f>
        <v>0</v>
      </c>
      <c r="K4184" s="31">
        <f>'Raw data'!H4093</f>
        <v>0</v>
      </c>
      <c r="L4184" s="26">
        <f t="shared" si="134"/>
        <v>0</v>
      </c>
    </row>
    <row r="4185" spans="2:12">
      <c r="B4185" s="4" t="e">
        <f t="shared" si="133"/>
        <v>#N/A</v>
      </c>
      <c r="C4185" s="4">
        <f>'Raw data'!E3761</f>
        <v>0</v>
      </c>
      <c r="D4185" s="29" t="e">
        <f>VLOOKUP(C4185,'점포코드 '!A:B,2,0)</f>
        <v>#N/A</v>
      </c>
      <c r="E4185" s="30">
        <f>'Raw data'!P3761</f>
        <v>0</v>
      </c>
      <c r="F4185" s="29" t="e">
        <f>VLOOKUP(E4185,'점포코드 '!A:B,2,0)</f>
        <v>#N/A</v>
      </c>
      <c r="G4185" s="46">
        <f>'Raw data'!F4094</f>
        <v>0</v>
      </c>
      <c r="H4185" s="4">
        <f>'Raw data'!G4094</f>
        <v>0</v>
      </c>
      <c r="I4185" s="29" t="e">
        <f>VLOOKUP(G4185,제품명!$C$1:$E$114,2,0)</f>
        <v>#N/A</v>
      </c>
      <c r="J4185" s="29">
        <f>'Raw data'!K4094</f>
        <v>0</v>
      </c>
      <c r="K4185" s="31">
        <f>'Raw data'!H4094</f>
        <v>0</v>
      </c>
      <c r="L4185" s="26">
        <f t="shared" si="134"/>
        <v>0</v>
      </c>
    </row>
    <row r="4186" spans="2:12">
      <c r="B4186" s="4" t="e">
        <f t="shared" si="133"/>
        <v>#N/A</v>
      </c>
      <c r="C4186" s="4">
        <f>'Raw data'!E3762</f>
        <v>0</v>
      </c>
      <c r="D4186" s="29" t="e">
        <f>VLOOKUP(C4186,'점포코드 '!A:B,2,0)</f>
        <v>#N/A</v>
      </c>
      <c r="E4186" s="30">
        <f>'Raw data'!P3762</f>
        <v>0</v>
      </c>
      <c r="F4186" s="29" t="e">
        <f>VLOOKUP(E4186,'점포코드 '!A:B,2,0)</f>
        <v>#N/A</v>
      </c>
      <c r="G4186" s="46">
        <f>'Raw data'!F4095</f>
        <v>0</v>
      </c>
      <c r="H4186" s="4">
        <f>'Raw data'!G4095</f>
        <v>0</v>
      </c>
      <c r="I4186" s="29" t="e">
        <f>VLOOKUP(G4186,제품명!$C$1:$E$114,2,0)</f>
        <v>#N/A</v>
      </c>
      <c r="J4186" s="29">
        <f>'Raw data'!K4095</f>
        <v>0</v>
      </c>
      <c r="K4186" s="31">
        <f>'Raw data'!H4095</f>
        <v>0</v>
      </c>
      <c r="L4186" s="26">
        <f t="shared" si="134"/>
        <v>0</v>
      </c>
    </row>
    <row r="4187" spans="2:12">
      <c r="B4187" s="4" t="e">
        <f t="shared" si="133"/>
        <v>#N/A</v>
      </c>
      <c r="C4187" s="4">
        <f>'Raw data'!E3763</f>
        <v>0</v>
      </c>
      <c r="D4187" s="29" t="e">
        <f>VLOOKUP(C4187,'점포코드 '!A:B,2,0)</f>
        <v>#N/A</v>
      </c>
      <c r="E4187" s="30">
        <f>'Raw data'!P3763</f>
        <v>0</v>
      </c>
      <c r="F4187" s="29" t="e">
        <f>VLOOKUP(E4187,'점포코드 '!A:B,2,0)</f>
        <v>#N/A</v>
      </c>
      <c r="G4187" s="46">
        <f>'Raw data'!F4096</f>
        <v>0</v>
      </c>
      <c r="H4187" s="4">
        <f>'Raw data'!G4096</f>
        <v>0</v>
      </c>
      <c r="I4187" s="29" t="e">
        <f>VLOOKUP(G4187,제품명!$C$1:$E$114,2,0)</f>
        <v>#N/A</v>
      </c>
      <c r="J4187" s="29">
        <f>'Raw data'!K4096</f>
        <v>0</v>
      </c>
      <c r="K4187" s="31">
        <f>'Raw data'!H4096</f>
        <v>0</v>
      </c>
      <c r="L4187" s="26">
        <f t="shared" si="134"/>
        <v>0</v>
      </c>
    </row>
    <row r="4188" spans="2:12">
      <c r="B4188" s="4" t="e">
        <f t="shared" si="133"/>
        <v>#N/A</v>
      </c>
      <c r="C4188" s="4">
        <f>'Raw data'!E3764</f>
        <v>0</v>
      </c>
      <c r="D4188" s="29" t="e">
        <f>VLOOKUP(C4188,'점포코드 '!A:B,2,0)</f>
        <v>#N/A</v>
      </c>
      <c r="E4188" s="30">
        <f>'Raw data'!P3764</f>
        <v>0</v>
      </c>
      <c r="F4188" s="29" t="e">
        <f>VLOOKUP(E4188,'점포코드 '!A:B,2,0)</f>
        <v>#N/A</v>
      </c>
      <c r="G4188" s="46">
        <f>'Raw data'!F4097</f>
        <v>0</v>
      </c>
      <c r="H4188" s="4">
        <f>'Raw data'!G4097</f>
        <v>0</v>
      </c>
      <c r="I4188" s="29" t="e">
        <f>VLOOKUP(G4188,제품명!$C$1:$E$114,2,0)</f>
        <v>#N/A</v>
      </c>
      <c r="J4188" s="29">
        <f>'Raw data'!K4097</f>
        <v>0</v>
      </c>
      <c r="K4188" s="31">
        <f>'Raw data'!H4097</f>
        <v>0</v>
      </c>
      <c r="L4188" s="26">
        <f t="shared" si="134"/>
        <v>0</v>
      </c>
    </row>
    <row r="4189" spans="2:12">
      <c r="B4189" s="4" t="e">
        <f t="shared" si="133"/>
        <v>#N/A</v>
      </c>
      <c r="C4189" s="4">
        <f>'Raw data'!E3765</f>
        <v>0</v>
      </c>
      <c r="D4189" s="29" t="e">
        <f>VLOOKUP(C4189,'점포코드 '!A:B,2,0)</f>
        <v>#N/A</v>
      </c>
      <c r="E4189" s="30">
        <f>'Raw data'!P3765</f>
        <v>0</v>
      </c>
      <c r="F4189" s="29" t="e">
        <f>VLOOKUP(E4189,'점포코드 '!A:B,2,0)</f>
        <v>#N/A</v>
      </c>
      <c r="G4189" s="46">
        <f>'Raw data'!F4098</f>
        <v>0</v>
      </c>
      <c r="H4189" s="4">
        <f>'Raw data'!G4098</f>
        <v>0</v>
      </c>
      <c r="I4189" s="29" t="e">
        <f>VLOOKUP(G4189,제품명!$C$1:$E$114,2,0)</f>
        <v>#N/A</v>
      </c>
      <c r="J4189" s="29">
        <f>'Raw data'!K4098</f>
        <v>0</v>
      </c>
      <c r="K4189" s="31">
        <f>'Raw data'!H4098</f>
        <v>0</v>
      </c>
      <c r="L4189" s="26">
        <f t="shared" si="134"/>
        <v>0</v>
      </c>
    </row>
    <row r="4190" spans="2:12">
      <c r="B4190" s="4" t="e">
        <f t="shared" si="133"/>
        <v>#N/A</v>
      </c>
      <c r="C4190" s="4">
        <f>'Raw data'!E3766</f>
        <v>0</v>
      </c>
      <c r="D4190" s="29" t="e">
        <f>VLOOKUP(C4190,'점포코드 '!A:B,2,0)</f>
        <v>#N/A</v>
      </c>
      <c r="E4190" s="30">
        <f>'Raw data'!P3766</f>
        <v>0</v>
      </c>
      <c r="F4190" s="29" t="e">
        <f>VLOOKUP(E4190,'점포코드 '!A:B,2,0)</f>
        <v>#N/A</v>
      </c>
      <c r="G4190" s="46">
        <f>'Raw data'!F4099</f>
        <v>0</v>
      </c>
      <c r="H4190" s="4">
        <f>'Raw data'!G4099</f>
        <v>0</v>
      </c>
      <c r="I4190" s="29" t="e">
        <f>VLOOKUP(G4190,제품명!$C$1:$E$114,2,0)</f>
        <v>#N/A</v>
      </c>
      <c r="J4190" s="29">
        <f>'Raw data'!K4099</f>
        <v>0</v>
      </c>
      <c r="K4190" s="31">
        <f>'Raw data'!H4099</f>
        <v>0</v>
      </c>
      <c r="L4190" s="26">
        <f t="shared" si="134"/>
        <v>0</v>
      </c>
    </row>
    <row r="4191" spans="2:12">
      <c r="B4191" s="4" t="e">
        <f t="shared" si="133"/>
        <v>#N/A</v>
      </c>
      <c r="C4191" s="4">
        <f>'Raw data'!E3767</f>
        <v>0</v>
      </c>
      <c r="D4191" s="29" t="e">
        <f>VLOOKUP(C4191,'점포코드 '!A:B,2,0)</f>
        <v>#N/A</v>
      </c>
      <c r="E4191" s="30">
        <f>'Raw data'!P3767</f>
        <v>0</v>
      </c>
      <c r="F4191" s="29" t="e">
        <f>VLOOKUP(E4191,'점포코드 '!A:B,2,0)</f>
        <v>#N/A</v>
      </c>
      <c r="G4191" s="46">
        <f>'Raw data'!F4100</f>
        <v>0</v>
      </c>
      <c r="H4191" s="4">
        <f>'Raw data'!G4100</f>
        <v>0</v>
      </c>
      <c r="I4191" s="29" t="e">
        <f>VLOOKUP(G4191,제품명!$C$1:$E$114,2,0)</f>
        <v>#N/A</v>
      </c>
      <c r="J4191" s="29">
        <f>'Raw data'!K4100</f>
        <v>0</v>
      </c>
      <c r="K4191" s="31">
        <f>'Raw data'!H4100</f>
        <v>0</v>
      </c>
      <c r="L4191" s="26">
        <f t="shared" si="134"/>
        <v>0</v>
      </c>
    </row>
    <row r="4192" spans="2:12">
      <c r="B4192" s="4" t="e">
        <f t="shared" si="133"/>
        <v>#N/A</v>
      </c>
      <c r="C4192" s="4">
        <f>'Raw data'!E3768</f>
        <v>0</v>
      </c>
      <c r="D4192" s="29" t="e">
        <f>VLOOKUP(C4192,'점포코드 '!A:B,2,0)</f>
        <v>#N/A</v>
      </c>
      <c r="E4192" s="30">
        <f>'Raw data'!P3768</f>
        <v>0</v>
      </c>
      <c r="F4192" s="29" t="e">
        <f>VLOOKUP(E4192,'점포코드 '!A:B,2,0)</f>
        <v>#N/A</v>
      </c>
      <c r="G4192" s="46">
        <f>'Raw data'!F4101</f>
        <v>0</v>
      </c>
      <c r="H4192" s="4">
        <f>'Raw data'!G4101</f>
        <v>0</v>
      </c>
      <c r="I4192" s="29" t="e">
        <f>VLOOKUP(G4192,제품명!$C$1:$E$114,2,0)</f>
        <v>#N/A</v>
      </c>
      <c r="J4192" s="29">
        <f>'Raw data'!K4101</f>
        <v>0</v>
      </c>
      <c r="K4192" s="31">
        <f>'Raw data'!H4101</f>
        <v>0</v>
      </c>
      <c r="L4192" s="26">
        <f t="shared" si="134"/>
        <v>0</v>
      </c>
    </row>
    <row r="4193" spans="2:12">
      <c r="B4193" s="4" t="e">
        <f t="shared" si="133"/>
        <v>#N/A</v>
      </c>
      <c r="C4193" s="4">
        <f>'Raw data'!E3769</f>
        <v>0</v>
      </c>
      <c r="D4193" s="29" t="e">
        <f>VLOOKUP(C4193,'점포코드 '!A:B,2,0)</f>
        <v>#N/A</v>
      </c>
      <c r="E4193" s="30">
        <f>'Raw data'!P3769</f>
        <v>0</v>
      </c>
      <c r="F4193" s="29" t="e">
        <f>VLOOKUP(E4193,'점포코드 '!A:B,2,0)</f>
        <v>#N/A</v>
      </c>
      <c r="G4193" s="46">
        <f>'Raw data'!F4102</f>
        <v>0</v>
      </c>
      <c r="H4193" s="4">
        <f>'Raw data'!G4102</f>
        <v>0</v>
      </c>
      <c r="I4193" s="29" t="e">
        <f>VLOOKUP(G4193,제품명!$C$1:$E$114,2,0)</f>
        <v>#N/A</v>
      </c>
      <c r="J4193" s="29">
        <f>'Raw data'!K4102</f>
        <v>0</v>
      </c>
      <c r="K4193" s="31">
        <f>'Raw data'!H4102</f>
        <v>0</v>
      </c>
      <c r="L4193" s="26">
        <f t="shared" si="134"/>
        <v>0</v>
      </c>
    </row>
    <row r="4194" spans="2:12">
      <c r="B4194" s="4" t="e">
        <f t="shared" si="133"/>
        <v>#N/A</v>
      </c>
      <c r="C4194" s="4">
        <f>'Raw data'!E3770</f>
        <v>0</v>
      </c>
      <c r="D4194" s="29" t="e">
        <f>VLOOKUP(C4194,'점포코드 '!A:B,2,0)</f>
        <v>#N/A</v>
      </c>
      <c r="E4194" s="30">
        <f>'Raw data'!P3770</f>
        <v>0</v>
      </c>
      <c r="F4194" s="29" t="e">
        <f>VLOOKUP(E4194,'점포코드 '!A:B,2,0)</f>
        <v>#N/A</v>
      </c>
      <c r="G4194" s="46">
        <f>'Raw data'!F4103</f>
        <v>0</v>
      </c>
      <c r="H4194" s="4">
        <f>'Raw data'!G4103</f>
        <v>0</v>
      </c>
      <c r="I4194" s="29" t="e">
        <f>VLOOKUP(G4194,제품명!$C$1:$E$114,2,0)</f>
        <v>#N/A</v>
      </c>
      <c r="J4194" s="29">
        <f>'Raw data'!K4103</f>
        <v>0</v>
      </c>
      <c r="K4194" s="31">
        <f>'Raw data'!H4103</f>
        <v>0</v>
      </c>
      <c r="L4194" s="26">
        <f t="shared" si="134"/>
        <v>0</v>
      </c>
    </row>
    <row r="4195" spans="2:12">
      <c r="B4195" s="4" t="e">
        <f t="shared" si="133"/>
        <v>#N/A</v>
      </c>
      <c r="C4195" s="4">
        <f>'Raw data'!E3771</f>
        <v>0</v>
      </c>
      <c r="D4195" s="29" t="e">
        <f>VLOOKUP(C4195,'점포코드 '!A:B,2,0)</f>
        <v>#N/A</v>
      </c>
      <c r="E4195" s="30">
        <f>'Raw data'!P3771</f>
        <v>0</v>
      </c>
      <c r="F4195" s="29" t="e">
        <f>VLOOKUP(E4195,'점포코드 '!A:B,2,0)</f>
        <v>#N/A</v>
      </c>
      <c r="G4195" s="46">
        <f>'Raw data'!F4104</f>
        <v>0</v>
      </c>
      <c r="H4195" s="4">
        <f>'Raw data'!G4104</f>
        <v>0</v>
      </c>
      <c r="I4195" s="29" t="e">
        <f>VLOOKUP(G4195,제품명!$C$1:$E$114,2,0)</f>
        <v>#N/A</v>
      </c>
      <c r="J4195" s="29">
        <f>'Raw data'!K4104</f>
        <v>0</v>
      </c>
      <c r="K4195" s="31">
        <f>'Raw data'!H4104</f>
        <v>0</v>
      </c>
      <c r="L4195" s="26">
        <f t="shared" si="134"/>
        <v>0</v>
      </c>
    </row>
    <row r="4196" spans="2:12">
      <c r="B4196" s="4" t="e">
        <f t="shared" si="133"/>
        <v>#N/A</v>
      </c>
      <c r="C4196" s="4">
        <f>'Raw data'!E3772</f>
        <v>0</v>
      </c>
      <c r="D4196" s="29" t="e">
        <f>VLOOKUP(C4196,'점포코드 '!A:B,2,0)</f>
        <v>#N/A</v>
      </c>
      <c r="E4196" s="30">
        <f>'Raw data'!P3772</f>
        <v>0</v>
      </c>
      <c r="F4196" s="29" t="e">
        <f>VLOOKUP(E4196,'점포코드 '!A:B,2,0)</f>
        <v>#N/A</v>
      </c>
      <c r="G4196" s="46">
        <f>'Raw data'!F4105</f>
        <v>0</v>
      </c>
      <c r="H4196" s="4">
        <f>'Raw data'!G4105</f>
        <v>0</v>
      </c>
      <c r="I4196" s="29" t="e">
        <f>VLOOKUP(G4196,제품명!$C$1:$E$114,2,0)</f>
        <v>#N/A</v>
      </c>
      <c r="J4196" s="29">
        <f>'Raw data'!K4105</f>
        <v>0</v>
      </c>
      <c r="K4196" s="31">
        <f>'Raw data'!H4105</f>
        <v>0</v>
      </c>
      <c r="L4196" s="26">
        <f t="shared" si="134"/>
        <v>0</v>
      </c>
    </row>
    <row r="4197" spans="2:12">
      <c r="B4197" s="4" t="e">
        <f t="shared" si="133"/>
        <v>#N/A</v>
      </c>
      <c r="C4197" s="4">
        <f>'Raw data'!E3773</f>
        <v>0</v>
      </c>
      <c r="D4197" s="29" t="e">
        <f>VLOOKUP(C4197,'점포코드 '!A:B,2,0)</f>
        <v>#N/A</v>
      </c>
      <c r="E4197" s="30">
        <f>'Raw data'!P3773</f>
        <v>0</v>
      </c>
      <c r="F4197" s="29" t="e">
        <f>VLOOKUP(E4197,'점포코드 '!A:B,2,0)</f>
        <v>#N/A</v>
      </c>
      <c r="G4197" s="46">
        <f>'Raw data'!F4106</f>
        <v>0</v>
      </c>
      <c r="H4197" s="4">
        <f>'Raw data'!G4106</f>
        <v>0</v>
      </c>
      <c r="I4197" s="29" t="e">
        <f>VLOOKUP(G4197,제품명!$C$1:$E$114,2,0)</f>
        <v>#N/A</v>
      </c>
      <c r="J4197" s="29">
        <f>'Raw data'!K4106</f>
        <v>0</v>
      </c>
      <c r="K4197" s="31">
        <f>'Raw data'!H4106</f>
        <v>0</v>
      </c>
      <c r="L4197" s="26">
        <f t="shared" si="134"/>
        <v>0</v>
      </c>
    </row>
    <row r="4198" spans="2:12">
      <c r="B4198" s="4" t="e">
        <f t="shared" si="133"/>
        <v>#N/A</v>
      </c>
      <c r="C4198" s="4">
        <f>'Raw data'!E3774</f>
        <v>0</v>
      </c>
      <c r="D4198" s="29" t="e">
        <f>VLOOKUP(C4198,'점포코드 '!A:B,2,0)</f>
        <v>#N/A</v>
      </c>
      <c r="E4198" s="30">
        <f>'Raw data'!P3774</f>
        <v>0</v>
      </c>
      <c r="F4198" s="29" t="e">
        <f>VLOOKUP(E4198,'점포코드 '!A:B,2,0)</f>
        <v>#N/A</v>
      </c>
      <c r="G4198" s="46">
        <f>'Raw data'!F4107</f>
        <v>0</v>
      </c>
      <c r="H4198" s="4">
        <f>'Raw data'!G4107</f>
        <v>0</v>
      </c>
      <c r="I4198" s="29" t="e">
        <f>VLOOKUP(G4198,제품명!$C$1:$E$114,2,0)</f>
        <v>#N/A</v>
      </c>
      <c r="J4198" s="29">
        <f>'Raw data'!K4107</f>
        <v>0</v>
      </c>
      <c r="K4198" s="31">
        <f>'Raw data'!H4107</f>
        <v>0</v>
      </c>
      <c r="L4198" s="26">
        <f t="shared" si="134"/>
        <v>0</v>
      </c>
    </row>
    <row r="4199" spans="2:12">
      <c r="B4199" s="4" t="e">
        <f t="shared" si="133"/>
        <v>#N/A</v>
      </c>
      <c r="C4199" s="4">
        <f>'Raw data'!E3775</f>
        <v>0</v>
      </c>
      <c r="D4199" s="29" t="e">
        <f>VLOOKUP(C4199,'점포코드 '!A:B,2,0)</f>
        <v>#N/A</v>
      </c>
      <c r="E4199" s="30">
        <f>'Raw data'!P3775</f>
        <v>0</v>
      </c>
      <c r="F4199" s="29" t="e">
        <f>VLOOKUP(E4199,'점포코드 '!A:B,2,0)</f>
        <v>#N/A</v>
      </c>
      <c r="G4199" s="46">
        <f>'Raw data'!F4108</f>
        <v>0</v>
      </c>
      <c r="H4199" s="4">
        <f>'Raw data'!G4108</f>
        <v>0</v>
      </c>
      <c r="I4199" s="29" t="e">
        <f>VLOOKUP(G4199,제품명!$C$1:$E$114,2,0)</f>
        <v>#N/A</v>
      </c>
      <c r="J4199" s="29">
        <f>'Raw data'!K4108</f>
        <v>0</v>
      </c>
      <c r="K4199" s="31">
        <f>'Raw data'!H4108</f>
        <v>0</v>
      </c>
      <c r="L4199" s="26">
        <f t="shared" si="134"/>
        <v>0</v>
      </c>
    </row>
    <row r="4200" spans="2:12">
      <c r="B4200" s="4" t="e">
        <f t="shared" si="133"/>
        <v>#N/A</v>
      </c>
      <c r="C4200" s="4">
        <f>'Raw data'!E3776</f>
        <v>0</v>
      </c>
      <c r="D4200" s="29" t="e">
        <f>VLOOKUP(C4200,'점포코드 '!A:B,2,0)</f>
        <v>#N/A</v>
      </c>
      <c r="E4200" s="30">
        <f>'Raw data'!P3776</f>
        <v>0</v>
      </c>
      <c r="F4200" s="29" t="e">
        <f>VLOOKUP(E4200,'점포코드 '!A:B,2,0)</f>
        <v>#N/A</v>
      </c>
      <c r="G4200" s="46">
        <f>'Raw data'!F4109</f>
        <v>0</v>
      </c>
      <c r="H4200" s="4">
        <f>'Raw data'!G4109</f>
        <v>0</v>
      </c>
      <c r="I4200" s="29" t="e">
        <f>VLOOKUP(G4200,제품명!$C$1:$E$114,2,0)</f>
        <v>#N/A</v>
      </c>
      <c r="J4200" s="29">
        <f>'Raw data'!K4109</f>
        <v>0</v>
      </c>
      <c r="K4200" s="31">
        <f>'Raw data'!H4109</f>
        <v>0</v>
      </c>
      <c r="L4200" s="26">
        <f t="shared" si="134"/>
        <v>0</v>
      </c>
    </row>
    <row r="4201" spans="2:12">
      <c r="B4201" s="4" t="e">
        <f t="shared" si="133"/>
        <v>#N/A</v>
      </c>
      <c r="C4201" s="4">
        <f>'Raw data'!E3777</f>
        <v>0</v>
      </c>
      <c r="D4201" s="29" t="e">
        <f>VLOOKUP(C4201,'점포코드 '!A:B,2,0)</f>
        <v>#N/A</v>
      </c>
      <c r="E4201" s="30">
        <f>'Raw data'!P3777</f>
        <v>0</v>
      </c>
      <c r="F4201" s="29" t="e">
        <f>VLOOKUP(E4201,'점포코드 '!A:B,2,0)</f>
        <v>#N/A</v>
      </c>
      <c r="G4201" s="46">
        <f>'Raw data'!F4110</f>
        <v>0</v>
      </c>
      <c r="H4201" s="4">
        <f>'Raw data'!G4110</f>
        <v>0</v>
      </c>
      <c r="I4201" s="29" t="e">
        <f>VLOOKUP(G4201,제품명!$C$1:$E$114,2,0)</f>
        <v>#N/A</v>
      </c>
      <c r="J4201" s="29">
        <f>'Raw data'!K4110</f>
        <v>0</v>
      </c>
      <c r="K4201" s="31">
        <f>'Raw data'!H4110</f>
        <v>0</v>
      </c>
      <c r="L4201" s="26">
        <f t="shared" si="134"/>
        <v>0</v>
      </c>
    </row>
    <row r="4202" spans="2:12">
      <c r="B4202" s="4" t="e">
        <f t="shared" si="133"/>
        <v>#N/A</v>
      </c>
      <c r="C4202" s="4">
        <f>'Raw data'!E3778</f>
        <v>0</v>
      </c>
      <c r="D4202" s="29" t="e">
        <f>VLOOKUP(C4202,'점포코드 '!A:B,2,0)</f>
        <v>#N/A</v>
      </c>
      <c r="E4202" s="30">
        <f>'Raw data'!P3778</f>
        <v>0</v>
      </c>
      <c r="F4202" s="29" t="e">
        <f>VLOOKUP(E4202,'점포코드 '!A:B,2,0)</f>
        <v>#N/A</v>
      </c>
      <c r="G4202" s="46">
        <f>'Raw data'!F4111</f>
        <v>0</v>
      </c>
      <c r="H4202" s="4">
        <f>'Raw data'!G4111</f>
        <v>0</v>
      </c>
      <c r="I4202" s="29" t="e">
        <f>VLOOKUP(G4202,제품명!$C$1:$E$114,2,0)</f>
        <v>#N/A</v>
      </c>
      <c r="J4202" s="29">
        <f>'Raw data'!K4111</f>
        <v>0</v>
      </c>
      <c r="K4202" s="31">
        <f>'Raw data'!H4111</f>
        <v>0</v>
      </c>
      <c r="L4202" s="26">
        <f t="shared" si="134"/>
        <v>0</v>
      </c>
    </row>
    <row r="4203" spans="2:12">
      <c r="B4203" s="4" t="e">
        <f t="shared" si="133"/>
        <v>#N/A</v>
      </c>
      <c r="C4203" s="4">
        <f>'Raw data'!E3779</f>
        <v>0</v>
      </c>
      <c r="D4203" s="29" t="e">
        <f>VLOOKUP(C4203,'점포코드 '!A:B,2,0)</f>
        <v>#N/A</v>
      </c>
      <c r="E4203" s="30">
        <f>'Raw data'!P3779</f>
        <v>0</v>
      </c>
      <c r="F4203" s="29" t="e">
        <f>VLOOKUP(E4203,'점포코드 '!A:B,2,0)</f>
        <v>#N/A</v>
      </c>
      <c r="G4203" s="46">
        <f>'Raw data'!F4112</f>
        <v>0</v>
      </c>
      <c r="H4203" s="4">
        <f>'Raw data'!G4112</f>
        <v>0</v>
      </c>
      <c r="I4203" s="29" t="e">
        <f>VLOOKUP(G4203,제품명!$C$1:$E$114,2,0)</f>
        <v>#N/A</v>
      </c>
      <c r="J4203" s="29">
        <f>'Raw data'!K4112</f>
        <v>0</v>
      </c>
      <c r="K4203" s="31">
        <f>'Raw data'!H4112</f>
        <v>0</v>
      </c>
      <c r="L4203" s="26">
        <f t="shared" si="134"/>
        <v>0</v>
      </c>
    </row>
    <row r="4204" spans="2:12">
      <c r="B4204" s="4" t="e">
        <f t="shared" si="133"/>
        <v>#N/A</v>
      </c>
      <c r="C4204" s="4">
        <f>'Raw data'!E3780</f>
        <v>0</v>
      </c>
      <c r="D4204" s="29" t="e">
        <f>VLOOKUP(C4204,'점포코드 '!A:B,2,0)</f>
        <v>#N/A</v>
      </c>
      <c r="E4204" s="30">
        <f>'Raw data'!P3780</f>
        <v>0</v>
      </c>
      <c r="F4204" s="29" t="e">
        <f>VLOOKUP(E4204,'점포코드 '!A:B,2,0)</f>
        <v>#N/A</v>
      </c>
      <c r="G4204" s="46">
        <f>'Raw data'!F4113</f>
        <v>0</v>
      </c>
      <c r="H4204" s="4">
        <f>'Raw data'!G4113</f>
        <v>0</v>
      </c>
      <c r="I4204" s="29" t="e">
        <f>VLOOKUP(G4204,제품명!$C$1:$E$114,2,0)</f>
        <v>#N/A</v>
      </c>
      <c r="J4204" s="29">
        <f>'Raw data'!K4113</f>
        <v>0</v>
      </c>
      <c r="K4204" s="31">
        <f>'Raw data'!H4113</f>
        <v>0</v>
      </c>
      <c r="L4204" s="26">
        <f t="shared" si="134"/>
        <v>0</v>
      </c>
    </row>
    <row r="4205" spans="2:12">
      <c r="B4205" s="4" t="e">
        <f t="shared" si="133"/>
        <v>#N/A</v>
      </c>
      <c r="C4205" s="4">
        <f>'Raw data'!E3781</f>
        <v>0</v>
      </c>
      <c r="D4205" s="29" t="e">
        <f>VLOOKUP(C4205,'점포코드 '!A:B,2,0)</f>
        <v>#N/A</v>
      </c>
      <c r="E4205" s="30">
        <f>'Raw data'!P3781</f>
        <v>0</v>
      </c>
      <c r="F4205" s="29" t="e">
        <f>VLOOKUP(E4205,'점포코드 '!A:B,2,0)</f>
        <v>#N/A</v>
      </c>
      <c r="G4205" s="46">
        <f>'Raw data'!F4114</f>
        <v>0</v>
      </c>
      <c r="H4205" s="4">
        <f>'Raw data'!G4114</f>
        <v>0</v>
      </c>
      <c r="I4205" s="29" t="e">
        <f>VLOOKUP(G4205,제품명!$C$1:$E$114,2,0)</f>
        <v>#N/A</v>
      </c>
      <c r="J4205" s="29">
        <f>'Raw data'!K4114</f>
        <v>0</v>
      </c>
      <c r="K4205" s="31">
        <f>'Raw data'!H4114</f>
        <v>0</v>
      </c>
      <c r="L4205" s="26">
        <f t="shared" si="134"/>
        <v>0</v>
      </c>
    </row>
    <row r="4206" spans="2:12">
      <c r="B4206" s="4" t="e">
        <f t="shared" si="133"/>
        <v>#N/A</v>
      </c>
      <c r="C4206" s="4">
        <f>'Raw data'!E3782</f>
        <v>0</v>
      </c>
      <c r="D4206" s="29" t="e">
        <f>VLOOKUP(C4206,'점포코드 '!A:B,2,0)</f>
        <v>#N/A</v>
      </c>
      <c r="E4206" s="30">
        <f>'Raw data'!P3782</f>
        <v>0</v>
      </c>
      <c r="F4206" s="29" t="e">
        <f>VLOOKUP(E4206,'점포코드 '!A:B,2,0)</f>
        <v>#N/A</v>
      </c>
      <c r="G4206" s="46">
        <f>'Raw data'!F4115</f>
        <v>0</v>
      </c>
      <c r="H4206" s="4">
        <f>'Raw data'!G4115</f>
        <v>0</v>
      </c>
      <c r="I4206" s="29" t="e">
        <f>VLOOKUP(G4206,제품명!$C$1:$E$114,2,0)</f>
        <v>#N/A</v>
      </c>
      <c r="J4206" s="29">
        <f>'Raw data'!K4115</f>
        <v>0</v>
      </c>
      <c r="K4206" s="31">
        <f>'Raw data'!H4115</f>
        <v>0</v>
      </c>
      <c r="L4206" s="26">
        <f t="shared" si="134"/>
        <v>0</v>
      </c>
    </row>
    <row r="4207" spans="2:12">
      <c r="B4207" s="4" t="e">
        <f t="shared" si="133"/>
        <v>#N/A</v>
      </c>
      <c r="C4207" s="4">
        <f>'Raw data'!E3783</f>
        <v>0</v>
      </c>
      <c r="D4207" s="29" t="e">
        <f>VLOOKUP(C4207,'점포코드 '!A:B,2,0)</f>
        <v>#N/A</v>
      </c>
      <c r="E4207" s="30">
        <f>'Raw data'!P3783</f>
        <v>0</v>
      </c>
      <c r="F4207" s="29" t="e">
        <f>VLOOKUP(E4207,'점포코드 '!A:B,2,0)</f>
        <v>#N/A</v>
      </c>
      <c r="G4207" s="46">
        <f>'Raw data'!F4116</f>
        <v>0</v>
      </c>
      <c r="H4207" s="4">
        <f>'Raw data'!G4116</f>
        <v>0</v>
      </c>
      <c r="I4207" s="29" t="e">
        <f>VLOOKUP(G4207,제품명!$C$1:$E$114,2,0)</f>
        <v>#N/A</v>
      </c>
      <c r="J4207" s="29">
        <f>'Raw data'!K4116</f>
        <v>0</v>
      </c>
      <c r="K4207" s="31">
        <f>'Raw data'!H4116</f>
        <v>0</v>
      </c>
      <c r="L4207" s="26">
        <f t="shared" si="134"/>
        <v>0</v>
      </c>
    </row>
    <row r="4208" spans="2:12">
      <c r="B4208" s="4" t="e">
        <f t="shared" si="133"/>
        <v>#N/A</v>
      </c>
      <c r="C4208" s="4">
        <f>'Raw data'!E3784</f>
        <v>0</v>
      </c>
      <c r="D4208" s="29" t="e">
        <f>VLOOKUP(C4208,'점포코드 '!A:B,2,0)</f>
        <v>#N/A</v>
      </c>
      <c r="E4208" s="30">
        <f>'Raw data'!P3784</f>
        <v>0</v>
      </c>
      <c r="F4208" s="29" t="e">
        <f>VLOOKUP(E4208,'점포코드 '!A:B,2,0)</f>
        <v>#N/A</v>
      </c>
      <c r="G4208" s="46">
        <f>'Raw data'!F4117</f>
        <v>0</v>
      </c>
      <c r="H4208" s="4">
        <f>'Raw data'!G4117</f>
        <v>0</v>
      </c>
      <c r="I4208" s="29" t="e">
        <f>VLOOKUP(G4208,제품명!$C$1:$E$114,2,0)</f>
        <v>#N/A</v>
      </c>
      <c r="J4208" s="29">
        <f>'Raw data'!K4117</f>
        <v>0</v>
      </c>
      <c r="K4208" s="31">
        <f>'Raw data'!H4117</f>
        <v>0</v>
      </c>
      <c r="L4208" s="26">
        <f t="shared" si="134"/>
        <v>0</v>
      </c>
    </row>
    <row r="4209" spans="2:12">
      <c r="B4209" s="4" t="e">
        <f t="shared" si="133"/>
        <v>#N/A</v>
      </c>
      <c r="C4209" s="4">
        <f>'Raw data'!E3785</f>
        <v>0</v>
      </c>
      <c r="D4209" s="29" t="e">
        <f>VLOOKUP(C4209,'점포코드 '!A:B,2,0)</f>
        <v>#N/A</v>
      </c>
      <c r="E4209" s="30">
        <f>'Raw data'!P3785</f>
        <v>0</v>
      </c>
      <c r="F4209" s="29" t="e">
        <f>VLOOKUP(E4209,'점포코드 '!A:B,2,0)</f>
        <v>#N/A</v>
      </c>
      <c r="G4209" s="46">
        <f>'Raw data'!F4118</f>
        <v>0</v>
      </c>
      <c r="H4209" s="4">
        <f>'Raw data'!G4118</f>
        <v>0</v>
      </c>
      <c r="I4209" s="29" t="e">
        <f>VLOOKUP(G4209,제품명!$C$1:$E$114,2,0)</f>
        <v>#N/A</v>
      </c>
      <c r="J4209" s="29">
        <f>'Raw data'!K4118</f>
        <v>0</v>
      </c>
      <c r="K4209" s="31">
        <f>'Raw data'!H4118</f>
        <v>0</v>
      </c>
      <c r="L4209" s="26">
        <f t="shared" si="134"/>
        <v>0</v>
      </c>
    </row>
    <row r="4210" spans="2:12">
      <c r="B4210" s="4" t="e">
        <f t="shared" si="133"/>
        <v>#N/A</v>
      </c>
      <c r="C4210" s="4">
        <f>'Raw data'!E3786</f>
        <v>0</v>
      </c>
      <c r="D4210" s="29" t="e">
        <f>VLOOKUP(C4210,'점포코드 '!A:B,2,0)</f>
        <v>#N/A</v>
      </c>
      <c r="E4210" s="30">
        <f>'Raw data'!P3786</f>
        <v>0</v>
      </c>
      <c r="F4210" s="29" t="e">
        <f>VLOOKUP(E4210,'점포코드 '!A:B,2,0)</f>
        <v>#N/A</v>
      </c>
      <c r="G4210" s="46">
        <f>'Raw data'!F4119</f>
        <v>0</v>
      </c>
      <c r="H4210" s="4">
        <f>'Raw data'!G4119</f>
        <v>0</v>
      </c>
      <c r="I4210" s="29" t="e">
        <f>VLOOKUP(G4210,제품명!$C$1:$E$114,2,0)</f>
        <v>#N/A</v>
      </c>
      <c r="J4210" s="29">
        <f>'Raw data'!K4119</f>
        <v>0</v>
      </c>
      <c r="K4210" s="31">
        <f>'Raw data'!H4119</f>
        <v>0</v>
      </c>
      <c r="L4210" s="26">
        <f t="shared" si="134"/>
        <v>0</v>
      </c>
    </row>
    <row r="4211" spans="2:12">
      <c r="B4211" s="4" t="e">
        <f t="shared" si="133"/>
        <v>#N/A</v>
      </c>
      <c r="C4211" s="4">
        <f>'Raw data'!E3787</f>
        <v>0</v>
      </c>
      <c r="D4211" s="29" t="e">
        <f>VLOOKUP(C4211,'점포코드 '!A:B,2,0)</f>
        <v>#N/A</v>
      </c>
      <c r="E4211" s="30">
        <f>'Raw data'!P3787</f>
        <v>0</v>
      </c>
      <c r="F4211" s="29" t="e">
        <f>VLOOKUP(E4211,'점포코드 '!A:B,2,0)</f>
        <v>#N/A</v>
      </c>
      <c r="G4211" s="46">
        <f>'Raw data'!F4120</f>
        <v>0</v>
      </c>
      <c r="H4211" s="4">
        <f>'Raw data'!G4120</f>
        <v>0</v>
      </c>
      <c r="I4211" s="29" t="e">
        <f>VLOOKUP(G4211,제품명!$C$1:$E$114,2,0)</f>
        <v>#N/A</v>
      </c>
      <c r="J4211" s="29">
        <f>'Raw data'!K4120</f>
        <v>0</v>
      </c>
      <c r="K4211" s="31">
        <f>'Raw data'!H4120</f>
        <v>0</v>
      </c>
      <c r="L4211" s="26">
        <f t="shared" si="134"/>
        <v>0</v>
      </c>
    </row>
    <row r="4212" spans="2:12">
      <c r="B4212" s="4" t="e">
        <f t="shared" si="133"/>
        <v>#N/A</v>
      </c>
      <c r="C4212" s="4">
        <f>'Raw data'!E3788</f>
        <v>0</v>
      </c>
      <c r="D4212" s="29" t="e">
        <f>VLOOKUP(C4212,'점포코드 '!A:B,2,0)</f>
        <v>#N/A</v>
      </c>
      <c r="E4212" s="30">
        <f>'Raw data'!P3788</f>
        <v>0</v>
      </c>
      <c r="F4212" s="29" t="e">
        <f>VLOOKUP(E4212,'점포코드 '!A:B,2,0)</f>
        <v>#N/A</v>
      </c>
      <c r="G4212" s="46">
        <f>'Raw data'!F4121</f>
        <v>0</v>
      </c>
      <c r="H4212" s="4">
        <f>'Raw data'!G4121</f>
        <v>0</v>
      </c>
      <c r="I4212" s="29" t="e">
        <f>VLOOKUP(G4212,제품명!$C$1:$E$114,2,0)</f>
        <v>#N/A</v>
      </c>
      <c r="J4212" s="29">
        <f>'Raw data'!K4121</f>
        <v>0</v>
      </c>
      <c r="K4212" s="31">
        <f>'Raw data'!H4121</f>
        <v>0</v>
      </c>
      <c r="L4212" s="26">
        <f t="shared" si="134"/>
        <v>0</v>
      </c>
    </row>
    <row r="4213" spans="2:12">
      <c r="B4213" s="4" t="e">
        <f t="shared" si="133"/>
        <v>#N/A</v>
      </c>
      <c r="C4213" s="4">
        <f>'Raw data'!E3789</f>
        <v>0</v>
      </c>
      <c r="D4213" s="29" t="e">
        <f>VLOOKUP(C4213,'점포코드 '!A:B,2,0)</f>
        <v>#N/A</v>
      </c>
      <c r="E4213" s="30">
        <f>'Raw data'!P3789</f>
        <v>0</v>
      </c>
      <c r="F4213" s="29" t="e">
        <f>VLOOKUP(E4213,'점포코드 '!A:B,2,0)</f>
        <v>#N/A</v>
      </c>
      <c r="G4213" s="46">
        <f>'Raw data'!F4122</f>
        <v>0</v>
      </c>
      <c r="H4213" s="4">
        <f>'Raw data'!G4122</f>
        <v>0</v>
      </c>
      <c r="I4213" s="29" t="e">
        <f>VLOOKUP(G4213,제품명!$C$1:$E$114,2,0)</f>
        <v>#N/A</v>
      </c>
      <c r="J4213" s="29">
        <f>'Raw data'!K4122</f>
        <v>0</v>
      </c>
      <c r="K4213" s="31">
        <f>'Raw data'!H4122</f>
        <v>0</v>
      </c>
      <c r="L4213" s="26">
        <f t="shared" si="134"/>
        <v>0</v>
      </c>
    </row>
    <row r="4214" spans="2:12">
      <c r="B4214" s="4" t="e">
        <f t="shared" si="133"/>
        <v>#N/A</v>
      </c>
      <c r="C4214" s="4">
        <f>'Raw data'!E3790</f>
        <v>0</v>
      </c>
      <c r="D4214" s="29" t="e">
        <f>VLOOKUP(C4214,'점포코드 '!A:B,2,0)</f>
        <v>#N/A</v>
      </c>
      <c r="E4214" s="30">
        <f>'Raw data'!P3790</f>
        <v>0</v>
      </c>
      <c r="F4214" s="29" t="e">
        <f>VLOOKUP(E4214,'점포코드 '!A:B,2,0)</f>
        <v>#N/A</v>
      </c>
      <c r="G4214" s="46">
        <f>'Raw data'!F4123</f>
        <v>0</v>
      </c>
      <c r="H4214" s="4">
        <f>'Raw data'!G4123</f>
        <v>0</v>
      </c>
      <c r="I4214" s="29" t="e">
        <f>VLOOKUP(G4214,제품명!$C$1:$E$114,2,0)</f>
        <v>#N/A</v>
      </c>
      <c r="J4214" s="29">
        <f>'Raw data'!K4123</f>
        <v>0</v>
      </c>
      <c r="K4214" s="31">
        <f>'Raw data'!H4123</f>
        <v>0</v>
      </c>
      <c r="L4214" s="26">
        <f t="shared" si="134"/>
        <v>0</v>
      </c>
    </row>
    <row r="4215" spans="2:12">
      <c r="B4215" s="4" t="e">
        <f t="shared" si="133"/>
        <v>#N/A</v>
      </c>
      <c r="C4215" s="4">
        <f>'Raw data'!E3791</f>
        <v>0</v>
      </c>
      <c r="D4215" s="29" t="e">
        <f>VLOOKUP(C4215,'점포코드 '!A:B,2,0)</f>
        <v>#N/A</v>
      </c>
      <c r="E4215" s="30">
        <f>'Raw data'!P3791</f>
        <v>0</v>
      </c>
      <c r="F4215" s="29" t="e">
        <f>VLOOKUP(E4215,'점포코드 '!A:B,2,0)</f>
        <v>#N/A</v>
      </c>
      <c r="G4215" s="46">
        <f>'Raw data'!F4124</f>
        <v>0</v>
      </c>
      <c r="H4215" s="4">
        <f>'Raw data'!G4124</f>
        <v>0</v>
      </c>
      <c r="I4215" s="29" t="e">
        <f>VLOOKUP(G4215,제품명!$C$1:$E$114,2,0)</f>
        <v>#N/A</v>
      </c>
      <c r="J4215" s="29">
        <f>'Raw data'!K4124</f>
        <v>0</v>
      </c>
      <c r="K4215" s="31">
        <f>'Raw data'!H4124</f>
        <v>0</v>
      </c>
      <c r="L4215" s="26">
        <f t="shared" si="134"/>
        <v>0</v>
      </c>
    </row>
    <row r="4216" spans="2:12">
      <c r="B4216" s="4" t="e">
        <f t="shared" si="133"/>
        <v>#N/A</v>
      </c>
      <c r="C4216" s="4">
        <f>'Raw data'!E3792</f>
        <v>0</v>
      </c>
      <c r="D4216" s="29" t="e">
        <f>VLOOKUP(C4216,'점포코드 '!A:B,2,0)</f>
        <v>#N/A</v>
      </c>
      <c r="E4216" s="30">
        <f>'Raw data'!P3792</f>
        <v>0</v>
      </c>
      <c r="F4216" s="29" t="e">
        <f>VLOOKUP(E4216,'점포코드 '!A:B,2,0)</f>
        <v>#N/A</v>
      </c>
      <c r="G4216" s="46">
        <f>'Raw data'!F4125</f>
        <v>0</v>
      </c>
      <c r="H4216" s="4">
        <f>'Raw data'!G4125</f>
        <v>0</v>
      </c>
      <c r="I4216" s="29" t="e">
        <f>VLOOKUP(G4216,제품명!$C$1:$E$114,2,0)</f>
        <v>#N/A</v>
      </c>
      <c r="J4216" s="29">
        <f>'Raw data'!K4125</f>
        <v>0</v>
      </c>
      <c r="K4216" s="31">
        <f>'Raw data'!H4125</f>
        <v>0</v>
      </c>
      <c r="L4216" s="26">
        <f t="shared" si="134"/>
        <v>0</v>
      </c>
    </row>
    <row r="4217" spans="2:12">
      <c r="B4217" s="4" t="e">
        <f t="shared" si="133"/>
        <v>#N/A</v>
      </c>
      <c r="C4217" s="4">
        <f>'Raw data'!E3793</f>
        <v>0</v>
      </c>
      <c r="D4217" s="29" t="e">
        <f>VLOOKUP(C4217,'점포코드 '!A:B,2,0)</f>
        <v>#N/A</v>
      </c>
      <c r="E4217" s="30">
        <f>'Raw data'!P3793</f>
        <v>0</v>
      </c>
      <c r="F4217" s="29" t="e">
        <f>VLOOKUP(E4217,'점포코드 '!A:B,2,0)</f>
        <v>#N/A</v>
      </c>
      <c r="G4217" s="46">
        <f>'Raw data'!F4126</f>
        <v>0</v>
      </c>
      <c r="H4217" s="4">
        <f>'Raw data'!G4126</f>
        <v>0</v>
      </c>
      <c r="I4217" s="29" t="e">
        <f>VLOOKUP(G4217,제품명!$C$1:$E$114,2,0)</f>
        <v>#N/A</v>
      </c>
      <c r="J4217" s="29">
        <f>'Raw data'!K4126</f>
        <v>0</v>
      </c>
      <c r="K4217" s="31">
        <f>'Raw data'!H4126</f>
        <v>0</v>
      </c>
      <c r="L4217" s="26">
        <f t="shared" si="134"/>
        <v>0</v>
      </c>
    </row>
    <row r="4218" spans="2:12">
      <c r="B4218" s="4" t="e">
        <f t="shared" si="133"/>
        <v>#N/A</v>
      </c>
      <c r="C4218" s="4">
        <f>'Raw data'!E3794</f>
        <v>0</v>
      </c>
      <c r="D4218" s="29" t="e">
        <f>VLOOKUP(C4218,'점포코드 '!A:B,2,0)</f>
        <v>#N/A</v>
      </c>
      <c r="E4218" s="30">
        <f>'Raw data'!P3794</f>
        <v>0</v>
      </c>
      <c r="F4218" s="29" t="e">
        <f>VLOOKUP(E4218,'점포코드 '!A:B,2,0)</f>
        <v>#N/A</v>
      </c>
      <c r="G4218" s="46">
        <f>'Raw data'!F4127</f>
        <v>0</v>
      </c>
      <c r="H4218" s="4">
        <f>'Raw data'!G4127</f>
        <v>0</v>
      </c>
      <c r="I4218" s="29" t="e">
        <f>VLOOKUP(G4218,제품명!$C$1:$E$114,2,0)</f>
        <v>#N/A</v>
      </c>
      <c r="J4218" s="29">
        <f>'Raw data'!K4127</f>
        <v>0</v>
      </c>
      <c r="K4218" s="31">
        <f>'Raw data'!H4127</f>
        <v>0</v>
      </c>
      <c r="L4218" s="26">
        <f t="shared" si="134"/>
        <v>0</v>
      </c>
    </row>
    <row r="4219" spans="2:12">
      <c r="B4219" s="4" t="e">
        <f t="shared" si="133"/>
        <v>#N/A</v>
      </c>
      <c r="C4219" s="4">
        <f>'Raw data'!E3795</f>
        <v>0</v>
      </c>
      <c r="D4219" s="29" t="e">
        <f>VLOOKUP(C4219,'점포코드 '!A:B,2,0)</f>
        <v>#N/A</v>
      </c>
      <c r="E4219" s="30">
        <f>'Raw data'!P3795</f>
        <v>0</v>
      </c>
      <c r="F4219" s="29" t="e">
        <f>VLOOKUP(E4219,'점포코드 '!A:B,2,0)</f>
        <v>#N/A</v>
      </c>
      <c r="G4219" s="46">
        <f>'Raw data'!F4128</f>
        <v>0</v>
      </c>
      <c r="H4219" s="4">
        <f>'Raw data'!G4128</f>
        <v>0</v>
      </c>
      <c r="I4219" s="29" t="e">
        <f>VLOOKUP(G4219,제품명!$C$1:$E$114,2,0)</f>
        <v>#N/A</v>
      </c>
      <c r="J4219" s="29">
        <f>'Raw data'!K4128</f>
        <v>0</v>
      </c>
      <c r="K4219" s="31">
        <f>'Raw data'!H4128</f>
        <v>0</v>
      </c>
      <c r="L4219" s="26">
        <f t="shared" si="134"/>
        <v>0</v>
      </c>
    </row>
    <row r="4220" spans="2:12">
      <c r="B4220" s="4" t="e">
        <f t="shared" si="133"/>
        <v>#N/A</v>
      </c>
      <c r="C4220" s="4">
        <f>'Raw data'!E3796</f>
        <v>0</v>
      </c>
      <c r="D4220" s="29" t="e">
        <f>VLOOKUP(C4220,'점포코드 '!A:B,2,0)</f>
        <v>#N/A</v>
      </c>
      <c r="E4220" s="30">
        <f>'Raw data'!P3796</f>
        <v>0</v>
      </c>
      <c r="F4220" s="29" t="e">
        <f>VLOOKUP(E4220,'점포코드 '!A:B,2,0)</f>
        <v>#N/A</v>
      </c>
      <c r="G4220" s="46">
        <f>'Raw data'!F4129</f>
        <v>0</v>
      </c>
      <c r="H4220" s="4">
        <f>'Raw data'!G4129</f>
        <v>0</v>
      </c>
      <c r="I4220" s="29" t="e">
        <f>VLOOKUP(G4220,제품명!$C$1:$E$114,2,0)</f>
        <v>#N/A</v>
      </c>
      <c r="J4220" s="29">
        <f>'Raw data'!K4129</f>
        <v>0</v>
      </c>
      <c r="K4220" s="31">
        <f>'Raw data'!H4129</f>
        <v>0</v>
      </c>
      <c r="L4220" s="26">
        <f t="shared" si="134"/>
        <v>0</v>
      </c>
    </row>
    <row r="4221" spans="2:12">
      <c r="B4221" s="4" t="e">
        <f t="shared" si="133"/>
        <v>#N/A</v>
      </c>
      <c r="C4221" s="4">
        <f>'Raw data'!E3797</f>
        <v>0</v>
      </c>
      <c r="D4221" s="29" t="e">
        <f>VLOOKUP(C4221,'점포코드 '!A:B,2,0)</f>
        <v>#N/A</v>
      </c>
      <c r="E4221" s="30">
        <f>'Raw data'!P3797</f>
        <v>0</v>
      </c>
      <c r="F4221" s="29" t="e">
        <f>VLOOKUP(E4221,'점포코드 '!A:B,2,0)</f>
        <v>#N/A</v>
      </c>
      <c r="G4221" s="46">
        <f>'Raw data'!F4130</f>
        <v>0</v>
      </c>
      <c r="H4221" s="4">
        <f>'Raw data'!G4130</f>
        <v>0</v>
      </c>
      <c r="I4221" s="29" t="e">
        <f>VLOOKUP(G4221,제품명!$C$1:$E$114,2,0)</f>
        <v>#N/A</v>
      </c>
      <c r="J4221" s="29">
        <f>'Raw data'!K4130</f>
        <v>0</v>
      </c>
      <c r="K4221" s="31">
        <f>'Raw data'!H4130</f>
        <v>0</v>
      </c>
      <c r="L4221" s="26">
        <f t="shared" si="134"/>
        <v>0</v>
      </c>
    </row>
    <row r="4222" spans="2:12">
      <c r="B4222" s="4" t="e">
        <f t="shared" si="133"/>
        <v>#N/A</v>
      </c>
      <c r="C4222" s="4">
        <f>'Raw data'!E3798</f>
        <v>0</v>
      </c>
      <c r="D4222" s="29" t="e">
        <f>VLOOKUP(C4222,'점포코드 '!A:B,2,0)</f>
        <v>#N/A</v>
      </c>
      <c r="E4222" s="30">
        <f>'Raw data'!P3798</f>
        <v>0</v>
      </c>
      <c r="F4222" s="29" t="e">
        <f>VLOOKUP(E4222,'점포코드 '!A:B,2,0)</f>
        <v>#N/A</v>
      </c>
      <c r="G4222" s="46">
        <f>'Raw data'!F4131</f>
        <v>0</v>
      </c>
      <c r="H4222" s="4">
        <f>'Raw data'!G4131</f>
        <v>0</v>
      </c>
      <c r="I4222" s="29" t="e">
        <f>VLOOKUP(G4222,제품명!$C$1:$E$114,2,0)</f>
        <v>#N/A</v>
      </c>
      <c r="J4222" s="29">
        <f>'Raw data'!K4131</f>
        <v>0</v>
      </c>
      <c r="K4222" s="31">
        <f>'Raw data'!H4131</f>
        <v>0</v>
      </c>
      <c r="L4222" s="26">
        <f t="shared" si="134"/>
        <v>0</v>
      </c>
    </row>
    <row r="4223" spans="2:12">
      <c r="B4223" s="4" t="e">
        <f t="shared" si="133"/>
        <v>#N/A</v>
      </c>
      <c r="C4223" s="4">
        <f>'Raw data'!E3799</f>
        <v>0</v>
      </c>
      <c r="D4223" s="29" t="e">
        <f>VLOOKUP(C4223,'점포코드 '!A:B,2,0)</f>
        <v>#N/A</v>
      </c>
      <c r="E4223" s="30">
        <f>'Raw data'!P3799</f>
        <v>0</v>
      </c>
      <c r="F4223" s="29" t="e">
        <f>VLOOKUP(E4223,'점포코드 '!A:B,2,0)</f>
        <v>#N/A</v>
      </c>
      <c r="G4223" s="46">
        <f>'Raw data'!F4132</f>
        <v>0</v>
      </c>
      <c r="H4223" s="4">
        <f>'Raw data'!G4132</f>
        <v>0</v>
      </c>
      <c r="I4223" s="29" t="e">
        <f>VLOOKUP(G4223,제품명!$C$1:$E$114,2,0)</f>
        <v>#N/A</v>
      </c>
      <c r="J4223" s="29">
        <f>'Raw data'!K4132</f>
        <v>0</v>
      </c>
      <c r="K4223" s="31">
        <f>'Raw data'!H4132</f>
        <v>0</v>
      </c>
      <c r="L4223" s="26">
        <f t="shared" si="134"/>
        <v>0</v>
      </c>
    </row>
    <row r="4224" spans="2:12">
      <c r="B4224" s="4" t="e">
        <f t="shared" si="133"/>
        <v>#N/A</v>
      </c>
      <c r="C4224" s="4">
        <f>'Raw data'!E3800</f>
        <v>0</v>
      </c>
      <c r="D4224" s="29" t="e">
        <f>VLOOKUP(C4224,'점포코드 '!A:B,2,0)</f>
        <v>#N/A</v>
      </c>
      <c r="E4224" s="30">
        <f>'Raw data'!P3800</f>
        <v>0</v>
      </c>
      <c r="F4224" s="29" t="e">
        <f>VLOOKUP(E4224,'점포코드 '!A:B,2,0)</f>
        <v>#N/A</v>
      </c>
      <c r="G4224" s="46">
        <f>'Raw data'!F4133</f>
        <v>0</v>
      </c>
      <c r="H4224" s="4">
        <f>'Raw data'!G4133</f>
        <v>0</v>
      </c>
      <c r="I4224" s="29" t="e">
        <f>VLOOKUP(G4224,제품명!$C$1:$E$114,2,0)</f>
        <v>#N/A</v>
      </c>
      <c r="J4224" s="29">
        <f>'Raw data'!K4133</f>
        <v>0</v>
      </c>
      <c r="K4224" s="31">
        <f>'Raw data'!H4133</f>
        <v>0</v>
      </c>
      <c r="L4224" s="26">
        <f t="shared" si="134"/>
        <v>0</v>
      </c>
    </row>
    <row r="4225" spans="2:12">
      <c r="B4225" s="4" t="e">
        <f t="shared" si="133"/>
        <v>#N/A</v>
      </c>
      <c r="C4225" s="4">
        <f>'Raw data'!E3801</f>
        <v>0</v>
      </c>
      <c r="D4225" s="29" t="e">
        <f>VLOOKUP(C4225,'점포코드 '!A:B,2,0)</f>
        <v>#N/A</v>
      </c>
      <c r="E4225" s="30">
        <f>'Raw data'!P3801</f>
        <v>0</v>
      </c>
      <c r="F4225" s="29" t="e">
        <f>VLOOKUP(E4225,'점포코드 '!A:B,2,0)</f>
        <v>#N/A</v>
      </c>
      <c r="G4225" s="46">
        <f>'Raw data'!F4134</f>
        <v>0</v>
      </c>
      <c r="H4225" s="4">
        <f>'Raw data'!G4134</f>
        <v>0</v>
      </c>
      <c r="I4225" s="29" t="e">
        <f>VLOOKUP(G4225,제품명!$C$1:$E$114,2,0)</f>
        <v>#N/A</v>
      </c>
      <c r="J4225" s="29">
        <f>'Raw data'!K4134</f>
        <v>0</v>
      </c>
      <c r="K4225" s="31">
        <f>'Raw data'!H4134</f>
        <v>0</v>
      </c>
      <c r="L4225" s="26">
        <f t="shared" si="134"/>
        <v>0</v>
      </c>
    </row>
    <row r="4226" spans="2:12">
      <c r="B4226" s="4" t="e">
        <f t="shared" ref="B4226:B4289" si="135">F4226&amp;I4226</f>
        <v>#N/A</v>
      </c>
      <c r="C4226" s="4">
        <f>'Raw data'!E3802</f>
        <v>0</v>
      </c>
      <c r="D4226" s="29" t="e">
        <f>VLOOKUP(C4226,'점포코드 '!A:B,2,0)</f>
        <v>#N/A</v>
      </c>
      <c r="E4226" s="30">
        <f>'Raw data'!P3802</f>
        <v>0</v>
      </c>
      <c r="F4226" s="29" t="e">
        <f>VLOOKUP(E4226,'점포코드 '!A:B,2,0)</f>
        <v>#N/A</v>
      </c>
      <c r="G4226" s="46">
        <f>'Raw data'!F4135</f>
        <v>0</v>
      </c>
      <c r="H4226" s="4">
        <f>'Raw data'!G4135</f>
        <v>0</v>
      </c>
      <c r="I4226" s="29" t="e">
        <f>VLOOKUP(G4226,제품명!$C$1:$E$114,2,0)</f>
        <v>#N/A</v>
      </c>
      <c r="J4226" s="29">
        <f>'Raw data'!K4135</f>
        <v>0</v>
      </c>
      <c r="K4226" s="31">
        <f>'Raw data'!H4135</f>
        <v>0</v>
      </c>
      <c r="L4226" s="26">
        <f t="shared" si="134"/>
        <v>0</v>
      </c>
    </row>
    <row r="4227" spans="2:12">
      <c r="B4227" s="4" t="e">
        <f t="shared" si="135"/>
        <v>#N/A</v>
      </c>
      <c r="C4227" s="4">
        <f>'Raw data'!E3803</f>
        <v>0</v>
      </c>
      <c r="D4227" s="29" t="e">
        <f>VLOOKUP(C4227,'점포코드 '!A:B,2,0)</f>
        <v>#N/A</v>
      </c>
      <c r="E4227" s="30">
        <f>'Raw data'!P3803</f>
        <v>0</v>
      </c>
      <c r="F4227" s="29" t="e">
        <f>VLOOKUP(E4227,'점포코드 '!A:B,2,0)</f>
        <v>#N/A</v>
      </c>
      <c r="G4227" s="46">
        <f>'Raw data'!F4136</f>
        <v>0</v>
      </c>
      <c r="H4227" s="4">
        <f>'Raw data'!G4136</f>
        <v>0</v>
      </c>
      <c r="I4227" s="29" t="e">
        <f>VLOOKUP(G4227,제품명!$C$1:$E$114,2,0)</f>
        <v>#N/A</v>
      </c>
      <c r="J4227" s="29">
        <f>'Raw data'!K4136</f>
        <v>0</v>
      </c>
      <c r="K4227" s="31">
        <f>'Raw data'!H4136</f>
        <v>0</v>
      </c>
      <c r="L4227" s="26">
        <f t="shared" ref="L4227:L4290" si="136">J4227*K4227</f>
        <v>0</v>
      </c>
    </row>
    <row r="4228" spans="2:12">
      <c r="B4228" s="4" t="e">
        <f t="shared" si="135"/>
        <v>#N/A</v>
      </c>
      <c r="C4228" s="4">
        <f>'Raw data'!E3804</f>
        <v>0</v>
      </c>
      <c r="D4228" s="29" t="e">
        <f>VLOOKUP(C4228,'점포코드 '!A:B,2,0)</f>
        <v>#N/A</v>
      </c>
      <c r="E4228" s="30">
        <f>'Raw data'!P3804</f>
        <v>0</v>
      </c>
      <c r="F4228" s="29" t="e">
        <f>VLOOKUP(E4228,'점포코드 '!A:B,2,0)</f>
        <v>#N/A</v>
      </c>
      <c r="G4228" s="46">
        <f>'Raw data'!F4137</f>
        <v>0</v>
      </c>
      <c r="H4228" s="4">
        <f>'Raw data'!G4137</f>
        <v>0</v>
      </c>
      <c r="I4228" s="29" t="e">
        <f>VLOOKUP(G4228,제품명!$C$1:$E$114,2,0)</f>
        <v>#N/A</v>
      </c>
      <c r="J4228" s="29">
        <f>'Raw data'!K4137</f>
        <v>0</v>
      </c>
      <c r="K4228" s="31">
        <f>'Raw data'!H4137</f>
        <v>0</v>
      </c>
      <c r="L4228" s="26">
        <f t="shared" si="136"/>
        <v>0</v>
      </c>
    </row>
    <row r="4229" spans="2:12">
      <c r="B4229" s="4" t="e">
        <f t="shared" si="135"/>
        <v>#N/A</v>
      </c>
      <c r="C4229" s="4">
        <f>'Raw data'!E3805</f>
        <v>0</v>
      </c>
      <c r="D4229" s="29" t="e">
        <f>VLOOKUP(C4229,'점포코드 '!A:B,2,0)</f>
        <v>#N/A</v>
      </c>
      <c r="E4229" s="30">
        <f>'Raw data'!P3805</f>
        <v>0</v>
      </c>
      <c r="F4229" s="29" t="e">
        <f>VLOOKUP(E4229,'점포코드 '!A:B,2,0)</f>
        <v>#N/A</v>
      </c>
      <c r="G4229" s="46">
        <f>'Raw data'!F4138</f>
        <v>0</v>
      </c>
      <c r="H4229" s="4">
        <f>'Raw data'!G4138</f>
        <v>0</v>
      </c>
      <c r="I4229" s="29" t="e">
        <f>VLOOKUP(G4229,제품명!$C$1:$E$114,2,0)</f>
        <v>#N/A</v>
      </c>
      <c r="J4229" s="29">
        <f>'Raw data'!K4138</f>
        <v>0</v>
      </c>
      <c r="K4229" s="31">
        <f>'Raw data'!H4138</f>
        <v>0</v>
      </c>
      <c r="L4229" s="26">
        <f t="shared" si="136"/>
        <v>0</v>
      </c>
    </row>
    <row r="4230" spans="2:12">
      <c r="B4230" s="4" t="e">
        <f t="shared" si="135"/>
        <v>#N/A</v>
      </c>
      <c r="C4230" s="4">
        <f>'Raw data'!E3806</f>
        <v>0</v>
      </c>
      <c r="D4230" s="29" t="e">
        <f>VLOOKUP(C4230,'점포코드 '!A:B,2,0)</f>
        <v>#N/A</v>
      </c>
      <c r="E4230" s="30">
        <f>'Raw data'!P3806</f>
        <v>0</v>
      </c>
      <c r="F4230" s="29" t="e">
        <f>VLOOKUP(E4230,'점포코드 '!A:B,2,0)</f>
        <v>#N/A</v>
      </c>
      <c r="G4230" s="46">
        <f>'Raw data'!F4139</f>
        <v>0</v>
      </c>
      <c r="H4230" s="4">
        <f>'Raw data'!G4139</f>
        <v>0</v>
      </c>
      <c r="I4230" s="29" t="e">
        <f>VLOOKUP(G4230,제품명!$C$1:$E$114,2,0)</f>
        <v>#N/A</v>
      </c>
      <c r="J4230" s="29">
        <f>'Raw data'!K4139</f>
        <v>0</v>
      </c>
      <c r="K4230" s="31">
        <f>'Raw data'!H4139</f>
        <v>0</v>
      </c>
      <c r="L4230" s="26">
        <f t="shared" si="136"/>
        <v>0</v>
      </c>
    </row>
    <row r="4231" spans="2:12">
      <c r="B4231" s="4" t="e">
        <f t="shared" si="135"/>
        <v>#N/A</v>
      </c>
      <c r="C4231" s="4">
        <f>'Raw data'!E3807</f>
        <v>0</v>
      </c>
      <c r="D4231" s="29" t="e">
        <f>VLOOKUP(C4231,'점포코드 '!A:B,2,0)</f>
        <v>#N/A</v>
      </c>
      <c r="E4231" s="30">
        <f>'Raw data'!P3807</f>
        <v>0</v>
      </c>
      <c r="F4231" s="29" t="e">
        <f>VLOOKUP(E4231,'점포코드 '!A:B,2,0)</f>
        <v>#N/A</v>
      </c>
      <c r="G4231" s="46">
        <f>'Raw data'!F4140</f>
        <v>0</v>
      </c>
      <c r="H4231" s="4">
        <f>'Raw data'!G4140</f>
        <v>0</v>
      </c>
      <c r="I4231" s="29" t="e">
        <f>VLOOKUP(G4231,제품명!$C$1:$E$114,2,0)</f>
        <v>#N/A</v>
      </c>
      <c r="J4231" s="29">
        <f>'Raw data'!K4140</f>
        <v>0</v>
      </c>
      <c r="K4231" s="31">
        <f>'Raw data'!H4140</f>
        <v>0</v>
      </c>
      <c r="L4231" s="26">
        <f t="shared" si="136"/>
        <v>0</v>
      </c>
    </row>
    <row r="4232" spans="2:12">
      <c r="B4232" s="4" t="e">
        <f t="shared" si="135"/>
        <v>#N/A</v>
      </c>
      <c r="C4232" s="4">
        <f>'Raw data'!E3808</f>
        <v>0</v>
      </c>
      <c r="D4232" s="29" t="e">
        <f>VLOOKUP(C4232,'점포코드 '!A:B,2,0)</f>
        <v>#N/A</v>
      </c>
      <c r="E4232" s="30">
        <f>'Raw data'!P3808</f>
        <v>0</v>
      </c>
      <c r="F4232" s="29" t="e">
        <f>VLOOKUP(E4232,'점포코드 '!A:B,2,0)</f>
        <v>#N/A</v>
      </c>
      <c r="G4232" s="46">
        <f>'Raw data'!F4141</f>
        <v>0</v>
      </c>
      <c r="H4232" s="4">
        <f>'Raw data'!G4141</f>
        <v>0</v>
      </c>
      <c r="I4232" s="29" t="e">
        <f>VLOOKUP(G4232,제품명!$C$1:$E$114,2,0)</f>
        <v>#N/A</v>
      </c>
      <c r="J4232" s="29">
        <f>'Raw data'!K4141</f>
        <v>0</v>
      </c>
      <c r="K4232" s="31">
        <f>'Raw data'!H4141</f>
        <v>0</v>
      </c>
      <c r="L4232" s="26">
        <f t="shared" si="136"/>
        <v>0</v>
      </c>
    </row>
    <row r="4233" spans="2:12">
      <c r="B4233" s="4" t="e">
        <f t="shared" si="135"/>
        <v>#N/A</v>
      </c>
      <c r="C4233" s="4">
        <f>'Raw data'!E3809</f>
        <v>0</v>
      </c>
      <c r="D4233" s="29" t="e">
        <f>VLOOKUP(C4233,'점포코드 '!A:B,2,0)</f>
        <v>#N/A</v>
      </c>
      <c r="E4233" s="30">
        <f>'Raw data'!P3809</f>
        <v>0</v>
      </c>
      <c r="F4233" s="29" t="e">
        <f>VLOOKUP(E4233,'점포코드 '!A:B,2,0)</f>
        <v>#N/A</v>
      </c>
      <c r="G4233" s="46">
        <f>'Raw data'!F4142</f>
        <v>0</v>
      </c>
      <c r="H4233" s="4">
        <f>'Raw data'!G4142</f>
        <v>0</v>
      </c>
      <c r="I4233" s="29" t="e">
        <f>VLOOKUP(G4233,제품명!$C$1:$E$114,2,0)</f>
        <v>#N/A</v>
      </c>
      <c r="J4233" s="29">
        <f>'Raw data'!K4142</f>
        <v>0</v>
      </c>
      <c r="K4233" s="31">
        <f>'Raw data'!H4142</f>
        <v>0</v>
      </c>
      <c r="L4233" s="26">
        <f t="shared" si="136"/>
        <v>0</v>
      </c>
    </row>
    <row r="4234" spans="2:12">
      <c r="B4234" s="4" t="e">
        <f t="shared" si="135"/>
        <v>#N/A</v>
      </c>
      <c r="C4234" s="4">
        <f>'Raw data'!E3810</f>
        <v>0</v>
      </c>
      <c r="D4234" s="29" t="e">
        <f>VLOOKUP(C4234,'점포코드 '!A:B,2,0)</f>
        <v>#N/A</v>
      </c>
      <c r="E4234" s="30">
        <f>'Raw data'!P3810</f>
        <v>0</v>
      </c>
      <c r="F4234" s="29" t="e">
        <f>VLOOKUP(E4234,'점포코드 '!A:B,2,0)</f>
        <v>#N/A</v>
      </c>
      <c r="G4234" s="46">
        <f>'Raw data'!F4143</f>
        <v>0</v>
      </c>
      <c r="H4234" s="4">
        <f>'Raw data'!G4143</f>
        <v>0</v>
      </c>
      <c r="I4234" s="29" t="e">
        <f>VLOOKUP(G4234,제품명!$C$1:$E$114,2,0)</f>
        <v>#N/A</v>
      </c>
      <c r="J4234" s="29">
        <f>'Raw data'!K4143</f>
        <v>0</v>
      </c>
      <c r="K4234" s="31">
        <f>'Raw data'!H4143</f>
        <v>0</v>
      </c>
      <c r="L4234" s="26">
        <f t="shared" si="136"/>
        <v>0</v>
      </c>
    </row>
    <row r="4235" spans="2:12">
      <c r="B4235" s="4" t="e">
        <f t="shared" si="135"/>
        <v>#N/A</v>
      </c>
      <c r="C4235" s="4">
        <f>'Raw data'!E3811</f>
        <v>0</v>
      </c>
      <c r="D4235" s="29" t="e">
        <f>VLOOKUP(C4235,'점포코드 '!A:B,2,0)</f>
        <v>#N/A</v>
      </c>
      <c r="E4235" s="30">
        <f>'Raw data'!P3811</f>
        <v>0</v>
      </c>
      <c r="F4235" s="29" t="e">
        <f>VLOOKUP(E4235,'점포코드 '!A:B,2,0)</f>
        <v>#N/A</v>
      </c>
      <c r="G4235" s="46">
        <f>'Raw data'!F4144</f>
        <v>0</v>
      </c>
      <c r="H4235" s="4">
        <f>'Raw data'!G4144</f>
        <v>0</v>
      </c>
      <c r="I4235" s="29" t="e">
        <f>VLOOKUP(G4235,제품명!$C$1:$E$114,2,0)</f>
        <v>#N/A</v>
      </c>
      <c r="J4235" s="29">
        <f>'Raw data'!K4144</f>
        <v>0</v>
      </c>
      <c r="K4235" s="31">
        <f>'Raw data'!H4144</f>
        <v>0</v>
      </c>
      <c r="L4235" s="26">
        <f t="shared" si="136"/>
        <v>0</v>
      </c>
    </row>
    <row r="4236" spans="2:12">
      <c r="B4236" s="4" t="e">
        <f t="shared" si="135"/>
        <v>#N/A</v>
      </c>
      <c r="C4236" s="4">
        <f>'Raw data'!E3812</f>
        <v>0</v>
      </c>
      <c r="D4236" s="29" t="e">
        <f>VLOOKUP(C4236,'점포코드 '!A:B,2,0)</f>
        <v>#N/A</v>
      </c>
      <c r="E4236" s="30">
        <f>'Raw data'!P3812</f>
        <v>0</v>
      </c>
      <c r="F4236" s="29" t="e">
        <f>VLOOKUP(E4236,'점포코드 '!A:B,2,0)</f>
        <v>#N/A</v>
      </c>
      <c r="G4236" s="46">
        <f>'Raw data'!F4145</f>
        <v>0</v>
      </c>
      <c r="H4236" s="4">
        <f>'Raw data'!G4145</f>
        <v>0</v>
      </c>
      <c r="I4236" s="29" t="e">
        <f>VLOOKUP(G4236,제품명!$C$1:$E$114,2,0)</f>
        <v>#N/A</v>
      </c>
      <c r="J4236" s="29">
        <f>'Raw data'!K4145</f>
        <v>0</v>
      </c>
      <c r="K4236" s="31">
        <f>'Raw data'!H4145</f>
        <v>0</v>
      </c>
      <c r="L4236" s="26">
        <f t="shared" si="136"/>
        <v>0</v>
      </c>
    </row>
    <row r="4237" spans="2:12">
      <c r="B4237" s="4" t="e">
        <f t="shared" si="135"/>
        <v>#N/A</v>
      </c>
      <c r="C4237" s="4">
        <f>'Raw data'!E3813</f>
        <v>0</v>
      </c>
      <c r="D4237" s="29" t="e">
        <f>VLOOKUP(C4237,'점포코드 '!A:B,2,0)</f>
        <v>#N/A</v>
      </c>
      <c r="E4237" s="30">
        <f>'Raw data'!P3813</f>
        <v>0</v>
      </c>
      <c r="F4237" s="29" t="e">
        <f>VLOOKUP(E4237,'점포코드 '!A:B,2,0)</f>
        <v>#N/A</v>
      </c>
      <c r="G4237" s="46">
        <f>'Raw data'!F4146</f>
        <v>0</v>
      </c>
      <c r="H4237" s="4">
        <f>'Raw data'!G4146</f>
        <v>0</v>
      </c>
      <c r="I4237" s="29" t="e">
        <f>VLOOKUP(G4237,제품명!$C$1:$E$114,2,0)</f>
        <v>#N/A</v>
      </c>
      <c r="J4237" s="29">
        <f>'Raw data'!K4146</f>
        <v>0</v>
      </c>
      <c r="K4237" s="31">
        <f>'Raw data'!H4146</f>
        <v>0</v>
      </c>
      <c r="L4237" s="26">
        <f t="shared" si="136"/>
        <v>0</v>
      </c>
    </row>
    <row r="4238" spans="2:12">
      <c r="B4238" s="4" t="e">
        <f t="shared" si="135"/>
        <v>#N/A</v>
      </c>
      <c r="C4238" s="4">
        <f>'Raw data'!E3814</f>
        <v>0</v>
      </c>
      <c r="D4238" s="29" t="e">
        <f>VLOOKUP(C4238,'점포코드 '!A:B,2,0)</f>
        <v>#N/A</v>
      </c>
      <c r="E4238" s="30">
        <f>'Raw data'!P3814</f>
        <v>0</v>
      </c>
      <c r="F4238" s="29" t="e">
        <f>VLOOKUP(E4238,'점포코드 '!A:B,2,0)</f>
        <v>#N/A</v>
      </c>
      <c r="G4238" s="46">
        <f>'Raw data'!F4147</f>
        <v>0</v>
      </c>
      <c r="H4238" s="4">
        <f>'Raw data'!G4147</f>
        <v>0</v>
      </c>
      <c r="I4238" s="29" t="e">
        <f>VLOOKUP(G4238,제품명!$C$1:$E$114,2,0)</f>
        <v>#N/A</v>
      </c>
      <c r="J4238" s="29">
        <f>'Raw data'!K4147</f>
        <v>0</v>
      </c>
      <c r="K4238" s="31">
        <f>'Raw data'!H4147</f>
        <v>0</v>
      </c>
      <c r="L4238" s="26">
        <f t="shared" si="136"/>
        <v>0</v>
      </c>
    </row>
    <row r="4239" spans="2:12">
      <c r="B4239" s="4" t="e">
        <f t="shared" si="135"/>
        <v>#N/A</v>
      </c>
      <c r="C4239" s="4">
        <f>'Raw data'!E3815</f>
        <v>0</v>
      </c>
      <c r="D4239" s="29" t="e">
        <f>VLOOKUP(C4239,'점포코드 '!A:B,2,0)</f>
        <v>#N/A</v>
      </c>
      <c r="E4239" s="30">
        <f>'Raw data'!P3815</f>
        <v>0</v>
      </c>
      <c r="F4239" s="29" t="e">
        <f>VLOOKUP(E4239,'점포코드 '!A:B,2,0)</f>
        <v>#N/A</v>
      </c>
      <c r="G4239" s="46">
        <f>'Raw data'!F4148</f>
        <v>0</v>
      </c>
      <c r="H4239" s="4">
        <f>'Raw data'!G4148</f>
        <v>0</v>
      </c>
      <c r="I4239" s="29" t="e">
        <f>VLOOKUP(G4239,제품명!$C$1:$E$114,2,0)</f>
        <v>#N/A</v>
      </c>
      <c r="J4239" s="29">
        <f>'Raw data'!K4148</f>
        <v>0</v>
      </c>
      <c r="K4239" s="31">
        <f>'Raw data'!H4148</f>
        <v>0</v>
      </c>
      <c r="L4239" s="26">
        <f t="shared" si="136"/>
        <v>0</v>
      </c>
    </row>
    <row r="4240" spans="2:12">
      <c r="B4240" s="4" t="e">
        <f t="shared" si="135"/>
        <v>#N/A</v>
      </c>
      <c r="C4240" s="4">
        <f>'Raw data'!E3816</f>
        <v>0</v>
      </c>
      <c r="D4240" s="29" t="e">
        <f>VLOOKUP(C4240,'점포코드 '!A:B,2,0)</f>
        <v>#N/A</v>
      </c>
      <c r="E4240" s="30">
        <f>'Raw data'!P3816</f>
        <v>0</v>
      </c>
      <c r="F4240" s="29" t="e">
        <f>VLOOKUP(E4240,'점포코드 '!A:B,2,0)</f>
        <v>#N/A</v>
      </c>
      <c r="G4240" s="46">
        <f>'Raw data'!F4149</f>
        <v>0</v>
      </c>
      <c r="H4240" s="4">
        <f>'Raw data'!G4149</f>
        <v>0</v>
      </c>
      <c r="I4240" s="29" t="e">
        <f>VLOOKUP(G4240,제품명!$C$1:$E$114,2,0)</f>
        <v>#N/A</v>
      </c>
      <c r="J4240" s="29">
        <f>'Raw data'!K4149</f>
        <v>0</v>
      </c>
      <c r="K4240" s="31">
        <f>'Raw data'!H4149</f>
        <v>0</v>
      </c>
      <c r="L4240" s="26">
        <f t="shared" si="136"/>
        <v>0</v>
      </c>
    </row>
    <row r="4241" spans="2:12">
      <c r="B4241" s="4" t="e">
        <f t="shared" si="135"/>
        <v>#N/A</v>
      </c>
      <c r="C4241" s="4">
        <f>'Raw data'!E3817</f>
        <v>0</v>
      </c>
      <c r="D4241" s="29" t="e">
        <f>VLOOKUP(C4241,'점포코드 '!A:B,2,0)</f>
        <v>#N/A</v>
      </c>
      <c r="E4241" s="30">
        <f>'Raw data'!P3817</f>
        <v>0</v>
      </c>
      <c r="F4241" s="29" t="e">
        <f>VLOOKUP(E4241,'점포코드 '!A:B,2,0)</f>
        <v>#N/A</v>
      </c>
      <c r="G4241" s="46">
        <f>'Raw data'!F4150</f>
        <v>0</v>
      </c>
      <c r="H4241" s="4">
        <f>'Raw data'!G4150</f>
        <v>0</v>
      </c>
      <c r="I4241" s="29" t="e">
        <f>VLOOKUP(G4241,제품명!$C$1:$E$114,2,0)</f>
        <v>#N/A</v>
      </c>
      <c r="J4241" s="29">
        <f>'Raw data'!K4150</f>
        <v>0</v>
      </c>
      <c r="K4241" s="31">
        <f>'Raw data'!H4150</f>
        <v>0</v>
      </c>
      <c r="L4241" s="26">
        <f t="shared" si="136"/>
        <v>0</v>
      </c>
    </row>
    <row r="4242" spans="2:12">
      <c r="B4242" s="4" t="e">
        <f t="shared" si="135"/>
        <v>#N/A</v>
      </c>
      <c r="C4242" s="4">
        <f>'Raw data'!E3818</f>
        <v>0</v>
      </c>
      <c r="D4242" s="29" t="e">
        <f>VLOOKUP(C4242,'점포코드 '!A:B,2,0)</f>
        <v>#N/A</v>
      </c>
      <c r="E4242" s="30">
        <f>'Raw data'!P3818</f>
        <v>0</v>
      </c>
      <c r="F4242" s="29" t="e">
        <f>VLOOKUP(E4242,'점포코드 '!A:B,2,0)</f>
        <v>#N/A</v>
      </c>
      <c r="G4242" s="46">
        <f>'Raw data'!F4151</f>
        <v>0</v>
      </c>
      <c r="H4242" s="4">
        <f>'Raw data'!G4151</f>
        <v>0</v>
      </c>
      <c r="I4242" s="29" t="e">
        <f>VLOOKUP(G4242,제품명!$C$1:$E$114,2,0)</f>
        <v>#N/A</v>
      </c>
      <c r="J4242" s="29">
        <f>'Raw data'!K4151</f>
        <v>0</v>
      </c>
      <c r="K4242" s="31">
        <f>'Raw data'!H4151</f>
        <v>0</v>
      </c>
      <c r="L4242" s="26">
        <f t="shared" si="136"/>
        <v>0</v>
      </c>
    </row>
    <row r="4243" spans="2:12">
      <c r="B4243" s="4" t="e">
        <f t="shared" si="135"/>
        <v>#N/A</v>
      </c>
      <c r="C4243" s="4">
        <f>'Raw data'!E3819</f>
        <v>0</v>
      </c>
      <c r="D4243" s="29" t="e">
        <f>VLOOKUP(C4243,'점포코드 '!A:B,2,0)</f>
        <v>#N/A</v>
      </c>
      <c r="E4243" s="30">
        <f>'Raw data'!P3819</f>
        <v>0</v>
      </c>
      <c r="F4243" s="29" t="e">
        <f>VLOOKUP(E4243,'점포코드 '!A:B,2,0)</f>
        <v>#N/A</v>
      </c>
      <c r="G4243" s="46">
        <f>'Raw data'!F4152</f>
        <v>0</v>
      </c>
      <c r="H4243" s="4">
        <f>'Raw data'!G4152</f>
        <v>0</v>
      </c>
      <c r="I4243" s="29" t="e">
        <f>VLOOKUP(G4243,제품명!$C$1:$E$114,2,0)</f>
        <v>#N/A</v>
      </c>
      <c r="J4243" s="29">
        <f>'Raw data'!K4152</f>
        <v>0</v>
      </c>
      <c r="K4243" s="31">
        <f>'Raw data'!H4152</f>
        <v>0</v>
      </c>
      <c r="L4243" s="26">
        <f t="shared" si="136"/>
        <v>0</v>
      </c>
    </row>
    <row r="4244" spans="2:12">
      <c r="B4244" s="4" t="e">
        <f t="shared" si="135"/>
        <v>#N/A</v>
      </c>
      <c r="C4244" s="4">
        <f>'Raw data'!E3820</f>
        <v>0</v>
      </c>
      <c r="D4244" s="29" t="e">
        <f>VLOOKUP(C4244,'점포코드 '!A:B,2,0)</f>
        <v>#N/A</v>
      </c>
      <c r="E4244" s="30">
        <f>'Raw data'!P3820</f>
        <v>0</v>
      </c>
      <c r="F4244" s="29" t="e">
        <f>VLOOKUP(E4244,'점포코드 '!A:B,2,0)</f>
        <v>#N/A</v>
      </c>
      <c r="G4244" s="46">
        <f>'Raw data'!F4153</f>
        <v>0</v>
      </c>
      <c r="H4244" s="4">
        <f>'Raw data'!G4153</f>
        <v>0</v>
      </c>
      <c r="I4244" s="29" t="e">
        <f>VLOOKUP(G4244,제품명!$C$1:$E$114,2,0)</f>
        <v>#N/A</v>
      </c>
      <c r="J4244" s="29">
        <f>'Raw data'!K4153</f>
        <v>0</v>
      </c>
      <c r="K4244" s="31">
        <f>'Raw data'!H4153</f>
        <v>0</v>
      </c>
      <c r="L4244" s="26">
        <f t="shared" si="136"/>
        <v>0</v>
      </c>
    </row>
    <row r="4245" spans="2:12">
      <c r="B4245" s="4" t="e">
        <f t="shared" si="135"/>
        <v>#N/A</v>
      </c>
      <c r="C4245" s="4">
        <f>'Raw data'!E3821</f>
        <v>0</v>
      </c>
      <c r="D4245" s="29" t="e">
        <f>VLOOKUP(C4245,'점포코드 '!A:B,2,0)</f>
        <v>#N/A</v>
      </c>
      <c r="E4245" s="30">
        <f>'Raw data'!P3821</f>
        <v>0</v>
      </c>
      <c r="F4245" s="29" t="e">
        <f>VLOOKUP(E4245,'점포코드 '!A:B,2,0)</f>
        <v>#N/A</v>
      </c>
      <c r="G4245" s="46">
        <f>'Raw data'!F4154</f>
        <v>0</v>
      </c>
      <c r="H4245" s="4">
        <f>'Raw data'!G4154</f>
        <v>0</v>
      </c>
      <c r="I4245" s="29" t="e">
        <f>VLOOKUP(G4245,제품명!$C$1:$E$114,2,0)</f>
        <v>#N/A</v>
      </c>
      <c r="J4245" s="29">
        <f>'Raw data'!K4154</f>
        <v>0</v>
      </c>
      <c r="K4245" s="31">
        <f>'Raw data'!H4154</f>
        <v>0</v>
      </c>
      <c r="L4245" s="26">
        <f t="shared" si="136"/>
        <v>0</v>
      </c>
    </row>
    <row r="4246" spans="2:12">
      <c r="B4246" s="4" t="e">
        <f t="shared" si="135"/>
        <v>#N/A</v>
      </c>
      <c r="C4246" s="4">
        <f>'Raw data'!E3822</f>
        <v>0</v>
      </c>
      <c r="D4246" s="29" t="e">
        <f>VLOOKUP(C4246,'점포코드 '!A:B,2,0)</f>
        <v>#N/A</v>
      </c>
      <c r="E4246" s="30">
        <f>'Raw data'!P3822</f>
        <v>0</v>
      </c>
      <c r="F4246" s="29" t="e">
        <f>VLOOKUP(E4246,'점포코드 '!A:B,2,0)</f>
        <v>#N/A</v>
      </c>
      <c r="G4246" s="46">
        <f>'Raw data'!F4155</f>
        <v>0</v>
      </c>
      <c r="H4246" s="4">
        <f>'Raw data'!G4155</f>
        <v>0</v>
      </c>
      <c r="I4246" s="29" t="e">
        <f>VLOOKUP(G4246,제품명!$C$1:$E$114,2,0)</f>
        <v>#N/A</v>
      </c>
      <c r="J4246" s="29">
        <f>'Raw data'!K4155</f>
        <v>0</v>
      </c>
      <c r="K4246" s="31">
        <f>'Raw data'!H4155</f>
        <v>0</v>
      </c>
      <c r="L4246" s="26">
        <f t="shared" si="136"/>
        <v>0</v>
      </c>
    </row>
    <row r="4247" spans="2:12">
      <c r="B4247" s="4" t="e">
        <f t="shared" si="135"/>
        <v>#N/A</v>
      </c>
      <c r="C4247" s="4">
        <f>'Raw data'!E3823</f>
        <v>0</v>
      </c>
      <c r="D4247" s="29" t="e">
        <f>VLOOKUP(C4247,'점포코드 '!A:B,2,0)</f>
        <v>#N/A</v>
      </c>
      <c r="E4247" s="30">
        <f>'Raw data'!P3823</f>
        <v>0</v>
      </c>
      <c r="F4247" s="29" t="e">
        <f>VLOOKUP(E4247,'점포코드 '!A:B,2,0)</f>
        <v>#N/A</v>
      </c>
      <c r="G4247" s="46">
        <f>'Raw data'!F4156</f>
        <v>0</v>
      </c>
      <c r="H4247" s="4">
        <f>'Raw data'!G4156</f>
        <v>0</v>
      </c>
      <c r="I4247" s="29" t="e">
        <f>VLOOKUP(G4247,제품명!$C$1:$E$114,2,0)</f>
        <v>#N/A</v>
      </c>
      <c r="J4247" s="29">
        <f>'Raw data'!K4156</f>
        <v>0</v>
      </c>
      <c r="K4247" s="31">
        <f>'Raw data'!H4156</f>
        <v>0</v>
      </c>
      <c r="L4247" s="26">
        <f t="shared" si="136"/>
        <v>0</v>
      </c>
    </row>
    <row r="4248" spans="2:12">
      <c r="B4248" s="4" t="e">
        <f t="shared" si="135"/>
        <v>#N/A</v>
      </c>
      <c r="C4248" s="4">
        <f>'Raw data'!E3824</f>
        <v>0</v>
      </c>
      <c r="D4248" s="29" t="e">
        <f>VLOOKUP(C4248,'점포코드 '!A:B,2,0)</f>
        <v>#N/A</v>
      </c>
      <c r="E4248" s="30">
        <f>'Raw data'!P3824</f>
        <v>0</v>
      </c>
      <c r="F4248" s="29" t="e">
        <f>VLOOKUP(E4248,'점포코드 '!A:B,2,0)</f>
        <v>#N/A</v>
      </c>
      <c r="G4248" s="46">
        <f>'Raw data'!F4157</f>
        <v>0</v>
      </c>
      <c r="H4248" s="4">
        <f>'Raw data'!G4157</f>
        <v>0</v>
      </c>
      <c r="I4248" s="29" t="e">
        <f>VLOOKUP(G4248,제품명!$C$1:$E$114,2,0)</f>
        <v>#N/A</v>
      </c>
      <c r="J4248" s="29">
        <f>'Raw data'!K4157</f>
        <v>0</v>
      </c>
      <c r="K4248" s="31">
        <f>'Raw data'!H4157</f>
        <v>0</v>
      </c>
      <c r="L4248" s="26">
        <f t="shared" si="136"/>
        <v>0</v>
      </c>
    </row>
    <row r="4249" spans="2:12">
      <c r="B4249" s="4" t="e">
        <f t="shared" si="135"/>
        <v>#N/A</v>
      </c>
      <c r="C4249" s="4">
        <f>'Raw data'!E3825</f>
        <v>0</v>
      </c>
      <c r="D4249" s="29" t="e">
        <f>VLOOKUP(C4249,'점포코드 '!A:B,2,0)</f>
        <v>#N/A</v>
      </c>
      <c r="E4249" s="30">
        <f>'Raw data'!P3825</f>
        <v>0</v>
      </c>
      <c r="F4249" s="29" t="e">
        <f>VLOOKUP(E4249,'점포코드 '!A:B,2,0)</f>
        <v>#N/A</v>
      </c>
      <c r="G4249" s="46">
        <f>'Raw data'!F4158</f>
        <v>0</v>
      </c>
      <c r="H4249" s="4">
        <f>'Raw data'!G4158</f>
        <v>0</v>
      </c>
      <c r="I4249" s="29" t="e">
        <f>VLOOKUP(G4249,제품명!$C$1:$E$114,2,0)</f>
        <v>#N/A</v>
      </c>
      <c r="J4249" s="29">
        <f>'Raw data'!K4158</f>
        <v>0</v>
      </c>
      <c r="K4249" s="31">
        <f>'Raw data'!H4158</f>
        <v>0</v>
      </c>
      <c r="L4249" s="26">
        <f t="shared" si="136"/>
        <v>0</v>
      </c>
    </row>
    <row r="4250" spans="2:12">
      <c r="B4250" s="4" t="e">
        <f t="shared" si="135"/>
        <v>#N/A</v>
      </c>
      <c r="C4250" s="4">
        <f>'Raw data'!E3826</f>
        <v>0</v>
      </c>
      <c r="D4250" s="29" t="e">
        <f>VLOOKUP(C4250,'점포코드 '!A:B,2,0)</f>
        <v>#N/A</v>
      </c>
      <c r="E4250" s="30">
        <f>'Raw data'!P3826</f>
        <v>0</v>
      </c>
      <c r="F4250" s="29" t="e">
        <f>VLOOKUP(E4250,'점포코드 '!A:B,2,0)</f>
        <v>#N/A</v>
      </c>
      <c r="G4250" s="46">
        <f>'Raw data'!F4159</f>
        <v>0</v>
      </c>
      <c r="H4250" s="4">
        <f>'Raw data'!G4159</f>
        <v>0</v>
      </c>
      <c r="I4250" s="29" t="e">
        <f>VLOOKUP(G4250,제품명!$C$1:$E$114,2,0)</f>
        <v>#N/A</v>
      </c>
      <c r="J4250" s="29">
        <f>'Raw data'!K4159</f>
        <v>0</v>
      </c>
      <c r="K4250" s="31">
        <f>'Raw data'!H4159</f>
        <v>0</v>
      </c>
      <c r="L4250" s="26">
        <f t="shared" si="136"/>
        <v>0</v>
      </c>
    </row>
    <row r="4251" spans="2:12">
      <c r="B4251" s="4" t="e">
        <f t="shared" si="135"/>
        <v>#N/A</v>
      </c>
      <c r="C4251" s="4">
        <f>'Raw data'!E3827</f>
        <v>0</v>
      </c>
      <c r="D4251" s="29" t="e">
        <f>VLOOKUP(C4251,'점포코드 '!A:B,2,0)</f>
        <v>#N/A</v>
      </c>
      <c r="E4251" s="30">
        <f>'Raw data'!P3827</f>
        <v>0</v>
      </c>
      <c r="F4251" s="29" t="e">
        <f>VLOOKUP(E4251,'점포코드 '!A:B,2,0)</f>
        <v>#N/A</v>
      </c>
      <c r="G4251" s="46">
        <f>'Raw data'!F4160</f>
        <v>0</v>
      </c>
      <c r="H4251" s="4">
        <f>'Raw data'!G4160</f>
        <v>0</v>
      </c>
      <c r="I4251" s="29" t="e">
        <f>VLOOKUP(G4251,제품명!$C$1:$E$114,2,0)</f>
        <v>#N/A</v>
      </c>
      <c r="J4251" s="29">
        <f>'Raw data'!K4160</f>
        <v>0</v>
      </c>
      <c r="K4251" s="31">
        <f>'Raw data'!H4160</f>
        <v>0</v>
      </c>
      <c r="L4251" s="26">
        <f t="shared" si="136"/>
        <v>0</v>
      </c>
    </row>
    <row r="4252" spans="2:12">
      <c r="B4252" s="4" t="e">
        <f t="shared" si="135"/>
        <v>#N/A</v>
      </c>
      <c r="C4252" s="4">
        <f>'Raw data'!E3828</f>
        <v>0</v>
      </c>
      <c r="D4252" s="29" t="e">
        <f>VLOOKUP(C4252,'점포코드 '!A:B,2,0)</f>
        <v>#N/A</v>
      </c>
      <c r="E4252" s="30">
        <f>'Raw data'!P3828</f>
        <v>0</v>
      </c>
      <c r="F4252" s="29" t="e">
        <f>VLOOKUP(E4252,'점포코드 '!A:B,2,0)</f>
        <v>#N/A</v>
      </c>
      <c r="G4252" s="46">
        <f>'Raw data'!F4161</f>
        <v>0</v>
      </c>
      <c r="H4252" s="4">
        <f>'Raw data'!G4161</f>
        <v>0</v>
      </c>
      <c r="I4252" s="29" t="e">
        <f>VLOOKUP(G4252,제품명!$C$1:$E$114,2,0)</f>
        <v>#N/A</v>
      </c>
      <c r="J4252" s="29">
        <f>'Raw data'!K4161</f>
        <v>0</v>
      </c>
      <c r="K4252" s="31">
        <f>'Raw data'!H4161</f>
        <v>0</v>
      </c>
      <c r="L4252" s="26">
        <f t="shared" si="136"/>
        <v>0</v>
      </c>
    </row>
    <row r="4253" spans="2:12">
      <c r="B4253" s="4" t="e">
        <f t="shared" si="135"/>
        <v>#N/A</v>
      </c>
      <c r="C4253" s="4">
        <f>'Raw data'!E3829</f>
        <v>0</v>
      </c>
      <c r="D4253" s="29" t="e">
        <f>VLOOKUP(C4253,'점포코드 '!A:B,2,0)</f>
        <v>#N/A</v>
      </c>
      <c r="E4253" s="30">
        <f>'Raw data'!P3829</f>
        <v>0</v>
      </c>
      <c r="F4253" s="29" t="e">
        <f>VLOOKUP(E4253,'점포코드 '!A:B,2,0)</f>
        <v>#N/A</v>
      </c>
      <c r="G4253" s="46">
        <f>'Raw data'!F4162</f>
        <v>0</v>
      </c>
      <c r="H4253" s="4">
        <f>'Raw data'!G4162</f>
        <v>0</v>
      </c>
      <c r="I4253" s="29" t="e">
        <f>VLOOKUP(G4253,제품명!$C$1:$E$114,2,0)</f>
        <v>#N/A</v>
      </c>
      <c r="J4253" s="29">
        <f>'Raw data'!K4162</f>
        <v>0</v>
      </c>
      <c r="K4253" s="31">
        <f>'Raw data'!H4162</f>
        <v>0</v>
      </c>
      <c r="L4253" s="26">
        <f t="shared" si="136"/>
        <v>0</v>
      </c>
    </row>
    <row r="4254" spans="2:12">
      <c r="B4254" s="4" t="e">
        <f t="shared" si="135"/>
        <v>#N/A</v>
      </c>
      <c r="C4254" s="4">
        <f>'Raw data'!E3830</f>
        <v>0</v>
      </c>
      <c r="D4254" s="29" t="e">
        <f>VLOOKUP(C4254,'점포코드 '!A:B,2,0)</f>
        <v>#N/A</v>
      </c>
      <c r="E4254" s="30">
        <f>'Raw data'!P3830</f>
        <v>0</v>
      </c>
      <c r="F4254" s="29" t="e">
        <f>VLOOKUP(E4254,'점포코드 '!A:B,2,0)</f>
        <v>#N/A</v>
      </c>
      <c r="G4254" s="46">
        <f>'Raw data'!F4163</f>
        <v>0</v>
      </c>
      <c r="H4254" s="4">
        <f>'Raw data'!G4163</f>
        <v>0</v>
      </c>
      <c r="I4254" s="29" t="e">
        <f>VLOOKUP(G4254,제품명!$C$1:$E$114,2,0)</f>
        <v>#N/A</v>
      </c>
      <c r="J4254" s="29">
        <f>'Raw data'!K4163</f>
        <v>0</v>
      </c>
      <c r="K4254" s="31">
        <f>'Raw data'!H4163</f>
        <v>0</v>
      </c>
      <c r="L4254" s="26">
        <f t="shared" si="136"/>
        <v>0</v>
      </c>
    </row>
    <row r="4255" spans="2:12">
      <c r="B4255" s="4" t="e">
        <f t="shared" si="135"/>
        <v>#N/A</v>
      </c>
      <c r="C4255" s="4">
        <f>'Raw data'!E3831</f>
        <v>0</v>
      </c>
      <c r="D4255" s="29" t="e">
        <f>VLOOKUP(C4255,'점포코드 '!A:B,2,0)</f>
        <v>#N/A</v>
      </c>
      <c r="E4255" s="30">
        <f>'Raw data'!P3831</f>
        <v>0</v>
      </c>
      <c r="F4255" s="29" t="e">
        <f>VLOOKUP(E4255,'점포코드 '!A:B,2,0)</f>
        <v>#N/A</v>
      </c>
      <c r="G4255" s="46">
        <f>'Raw data'!F4164</f>
        <v>0</v>
      </c>
      <c r="H4255" s="4">
        <f>'Raw data'!G4164</f>
        <v>0</v>
      </c>
      <c r="I4255" s="29" t="e">
        <f>VLOOKUP(G4255,제품명!$C$1:$E$114,2,0)</f>
        <v>#N/A</v>
      </c>
      <c r="J4255" s="29">
        <f>'Raw data'!K4164</f>
        <v>0</v>
      </c>
      <c r="K4255" s="31">
        <f>'Raw data'!H4164</f>
        <v>0</v>
      </c>
      <c r="L4255" s="26">
        <f t="shared" si="136"/>
        <v>0</v>
      </c>
    </row>
    <row r="4256" spans="2:12">
      <c r="B4256" s="4" t="e">
        <f t="shared" si="135"/>
        <v>#N/A</v>
      </c>
      <c r="C4256" s="4">
        <f>'Raw data'!E3832</f>
        <v>0</v>
      </c>
      <c r="D4256" s="29" t="e">
        <f>VLOOKUP(C4256,'점포코드 '!A:B,2,0)</f>
        <v>#N/A</v>
      </c>
      <c r="E4256" s="30">
        <f>'Raw data'!P3832</f>
        <v>0</v>
      </c>
      <c r="F4256" s="29" t="e">
        <f>VLOOKUP(E4256,'점포코드 '!A:B,2,0)</f>
        <v>#N/A</v>
      </c>
      <c r="G4256" s="46">
        <f>'Raw data'!F4165</f>
        <v>0</v>
      </c>
      <c r="H4256" s="4">
        <f>'Raw data'!G4165</f>
        <v>0</v>
      </c>
      <c r="I4256" s="29" t="e">
        <f>VLOOKUP(G4256,제품명!$C$1:$E$114,2,0)</f>
        <v>#N/A</v>
      </c>
      <c r="J4256" s="29">
        <f>'Raw data'!K4165</f>
        <v>0</v>
      </c>
      <c r="K4256" s="31">
        <f>'Raw data'!H4165</f>
        <v>0</v>
      </c>
      <c r="L4256" s="26">
        <f t="shared" si="136"/>
        <v>0</v>
      </c>
    </row>
    <row r="4257" spans="2:12">
      <c r="B4257" s="4" t="e">
        <f t="shared" si="135"/>
        <v>#N/A</v>
      </c>
      <c r="C4257" s="4">
        <f>'Raw data'!E3833</f>
        <v>0</v>
      </c>
      <c r="D4257" s="29" t="e">
        <f>VLOOKUP(C4257,'점포코드 '!A:B,2,0)</f>
        <v>#N/A</v>
      </c>
      <c r="E4257" s="30">
        <f>'Raw data'!P3833</f>
        <v>0</v>
      </c>
      <c r="F4257" s="29" t="e">
        <f>VLOOKUP(E4257,'점포코드 '!A:B,2,0)</f>
        <v>#N/A</v>
      </c>
      <c r="G4257" s="46">
        <f>'Raw data'!F4166</f>
        <v>0</v>
      </c>
      <c r="H4257" s="4">
        <f>'Raw data'!G4166</f>
        <v>0</v>
      </c>
      <c r="I4257" s="29" t="e">
        <f>VLOOKUP(G4257,제품명!$C$1:$E$114,2,0)</f>
        <v>#N/A</v>
      </c>
      <c r="J4257" s="29">
        <f>'Raw data'!K4166</f>
        <v>0</v>
      </c>
      <c r="K4257" s="31">
        <f>'Raw data'!H4166</f>
        <v>0</v>
      </c>
      <c r="L4257" s="26">
        <f t="shared" si="136"/>
        <v>0</v>
      </c>
    </row>
    <row r="4258" spans="2:12">
      <c r="B4258" s="4" t="e">
        <f t="shared" si="135"/>
        <v>#N/A</v>
      </c>
      <c r="C4258" s="4">
        <f>'Raw data'!E3834</f>
        <v>0</v>
      </c>
      <c r="D4258" s="29" t="e">
        <f>VLOOKUP(C4258,'점포코드 '!A:B,2,0)</f>
        <v>#N/A</v>
      </c>
      <c r="E4258" s="30">
        <f>'Raw data'!P3834</f>
        <v>0</v>
      </c>
      <c r="F4258" s="29" t="e">
        <f>VLOOKUP(E4258,'점포코드 '!A:B,2,0)</f>
        <v>#N/A</v>
      </c>
      <c r="G4258" s="46">
        <f>'Raw data'!F4167</f>
        <v>0</v>
      </c>
      <c r="H4258" s="4">
        <f>'Raw data'!G4167</f>
        <v>0</v>
      </c>
      <c r="I4258" s="29" t="e">
        <f>VLOOKUP(G4258,제품명!$C$1:$E$114,2,0)</f>
        <v>#N/A</v>
      </c>
      <c r="J4258" s="29">
        <f>'Raw data'!K4167</f>
        <v>0</v>
      </c>
      <c r="K4258" s="31">
        <f>'Raw data'!H4167</f>
        <v>0</v>
      </c>
      <c r="L4258" s="26">
        <f t="shared" si="136"/>
        <v>0</v>
      </c>
    </row>
    <row r="4259" spans="2:12">
      <c r="B4259" s="4" t="e">
        <f t="shared" si="135"/>
        <v>#N/A</v>
      </c>
      <c r="C4259" s="4">
        <f>'Raw data'!E3835</f>
        <v>0</v>
      </c>
      <c r="D4259" s="29" t="e">
        <f>VLOOKUP(C4259,'점포코드 '!A:B,2,0)</f>
        <v>#N/A</v>
      </c>
      <c r="E4259" s="30">
        <f>'Raw data'!P3835</f>
        <v>0</v>
      </c>
      <c r="F4259" s="29" t="e">
        <f>VLOOKUP(E4259,'점포코드 '!A:B,2,0)</f>
        <v>#N/A</v>
      </c>
      <c r="G4259" s="46">
        <f>'Raw data'!F4168</f>
        <v>0</v>
      </c>
      <c r="H4259" s="4">
        <f>'Raw data'!G4168</f>
        <v>0</v>
      </c>
      <c r="I4259" s="29" t="e">
        <f>VLOOKUP(G4259,제품명!$C$1:$E$114,2,0)</f>
        <v>#N/A</v>
      </c>
      <c r="J4259" s="29">
        <f>'Raw data'!K4168</f>
        <v>0</v>
      </c>
      <c r="K4259" s="31">
        <f>'Raw data'!H4168</f>
        <v>0</v>
      </c>
      <c r="L4259" s="26">
        <f t="shared" si="136"/>
        <v>0</v>
      </c>
    </row>
    <row r="4260" spans="2:12">
      <c r="B4260" s="4" t="e">
        <f t="shared" si="135"/>
        <v>#N/A</v>
      </c>
      <c r="C4260" s="4">
        <f>'Raw data'!E3836</f>
        <v>0</v>
      </c>
      <c r="D4260" s="29" t="e">
        <f>VLOOKUP(C4260,'점포코드 '!A:B,2,0)</f>
        <v>#N/A</v>
      </c>
      <c r="E4260" s="30">
        <f>'Raw data'!P3836</f>
        <v>0</v>
      </c>
      <c r="F4260" s="29" t="e">
        <f>VLOOKUP(E4260,'점포코드 '!A:B,2,0)</f>
        <v>#N/A</v>
      </c>
      <c r="G4260" s="46">
        <f>'Raw data'!F4169</f>
        <v>0</v>
      </c>
      <c r="H4260" s="4">
        <f>'Raw data'!G4169</f>
        <v>0</v>
      </c>
      <c r="I4260" s="29" t="e">
        <f>VLOOKUP(G4260,제품명!$C$1:$E$114,2,0)</f>
        <v>#N/A</v>
      </c>
      <c r="J4260" s="29">
        <f>'Raw data'!K4169</f>
        <v>0</v>
      </c>
      <c r="K4260" s="31">
        <f>'Raw data'!H4169</f>
        <v>0</v>
      </c>
      <c r="L4260" s="26">
        <f t="shared" si="136"/>
        <v>0</v>
      </c>
    </row>
    <row r="4261" spans="2:12">
      <c r="B4261" s="4" t="e">
        <f t="shared" si="135"/>
        <v>#N/A</v>
      </c>
      <c r="C4261" s="4">
        <f>'Raw data'!E3837</f>
        <v>0</v>
      </c>
      <c r="D4261" s="29" t="e">
        <f>VLOOKUP(C4261,'점포코드 '!A:B,2,0)</f>
        <v>#N/A</v>
      </c>
      <c r="E4261" s="30">
        <f>'Raw data'!P3837</f>
        <v>0</v>
      </c>
      <c r="F4261" s="29" t="e">
        <f>VLOOKUP(E4261,'점포코드 '!A:B,2,0)</f>
        <v>#N/A</v>
      </c>
      <c r="G4261" s="46">
        <f>'Raw data'!F4170</f>
        <v>0</v>
      </c>
      <c r="H4261" s="4">
        <f>'Raw data'!G4170</f>
        <v>0</v>
      </c>
      <c r="I4261" s="29" t="e">
        <f>VLOOKUP(G4261,제품명!$C$1:$E$114,2,0)</f>
        <v>#N/A</v>
      </c>
      <c r="J4261" s="29">
        <f>'Raw data'!K4170</f>
        <v>0</v>
      </c>
      <c r="K4261" s="31">
        <f>'Raw data'!H4170</f>
        <v>0</v>
      </c>
      <c r="L4261" s="26">
        <f t="shared" si="136"/>
        <v>0</v>
      </c>
    </row>
    <row r="4262" spans="2:12">
      <c r="B4262" s="4" t="e">
        <f t="shared" si="135"/>
        <v>#N/A</v>
      </c>
      <c r="C4262" s="4">
        <f>'Raw data'!E3838</f>
        <v>0</v>
      </c>
      <c r="D4262" s="29" t="e">
        <f>VLOOKUP(C4262,'점포코드 '!A:B,2,0)</f>
        <v>#N/A</v>
      </c>
      <c r="E4262" s="30">
        <f>'Raw data'!P3838</f>
        <v>0</v>
      </c>
      <c r="F4262" s="29" t="e">
        <f>VLOOKUP(E4262,'점포코드 '!A:B,2,0)</f>
        <v>#N/A</v>
      </c>
      <c r="G4262" s="46">
        <f>'Raw data'!F4171</f>
        <v>0</v>
      </c>
      <c r="H4262" s="4">
        <f>'Raw data'!G4171</f>
        <v>0</v>
      </c>
      <c r="I4262" s="29" t="e">
        <f>VLOOKUP(G4262,제품명!$C$1:$E$114,2,0)</f>
        <v>#N/A</v>
      </c>
      <c r="J4262" s="29">
        <f>'Raw data'!K4171</f>
        <v>0</v>
      </c>
      <c r="K4262" s="31">
        <f>'Raw data'!H4171</f>
        <v>0</v>
      </c>
      <c r="L4262" s="26">
        <f t="shared" si="136"/>
        <v>0</v>
      </c>
    </row>
    <row r="4263" spans="2:12">
      <c r="B4263" s="4" t="e">
        <f t="shared" si="135"/>
        <v>#N/A</v>
      </c>
      <c r="C4263" s="4">
        <f>'Raw data'!E3839</f>
        <v>0</v>
      </c>
      <c r="D4263" s="29" t="e">
        <f>VLOOKUP(C4263,'점포코드 '!A:B,2,0)</f>
        <v>#N/A</v>
      </c>
      <c r="E4263" s="30">
        <f>'Raw data'!P3839</f>
        <v>0</v>
      </c>
      <c r="F4263" s="29" t="e">
        <f>VLOOKUP(E4263,'점포코드 '!A:B,2,0)</f>
        <v>#N/A</v>
      </c>
      <c r="G4263" s="46">
        <f>'Raw data'!F4172</f>
        <v>0</v>
      </c>
      <c r="H4263" s="4">
        <f>'Raw data'!G4172</f>
        <v>0</v>
      </c>
      <c r="I4263" s="29" t="e">
        <f>VLOOKUP(G4263,제품명!$C$1:$E$114,2,0)</f>
        <v>#N/A</v>
      </c>
      <c r="J4263" s="29">
        <f>'Raw data'!K4172</f>
        <v>0</v>
      </c>
      <c r="K4263" s="31">
        <f>'Raw data'!H4172</f>
        <v>0</v>
      </c>
      <c r="L4263" s="26">
        <f t="shared" si="136"/>
        <v>0</v>
      </c>
    </row>
    <row r="4264" spans="2:12">
      <c r="B4264" s="4" t="e">
        <f t="shared" si="135"/>
        <v>#N/A</v>
      </c>
      <c r="C4264" s="4">
        <f>'Raw data'!E3840</f>
        <v>0</v>
      </c>
      <c r="D4264" s="29" t="e">
        <f>VLOOKUP(C4264,'점포코드 '!A:B,2,0)</f>
        <v>#N/A</v>
      </c>
      <c r="E4264" s="30">
        <f>'Raw data'!P3840</f>
        <v>0</v>
      </c>
      <c r="F4264" s="29" t="e">
        <f>VLOOKUP(E4264,'점포코드 '!A:B,2,0)</f>
        <v>#N/A</v>
      </c>
      <c r="G4264" s="46">
        <f>'Raw data'!F4173</f>
        <v>0</v>
      </c>
      <c r="H4264" s="4">
        <f>'Raw data'!G4173</f>
        <v>0</v>
      </c>
      <c r="I4264" s="29" t="e">
        <f>VLOOKUP(G4264,제품명!$C$1:$E$114,2,0)</f>
        <v>#N/A</v>
      </c>
      <c r="J4264" s="29">
        <f>'Raw data'!K4173</f>
        <v>0</v>
      </c>
      <c r="K4264" s="31">
        <f>'Raw data'!H4173</f>
        <v>0</v>
      </c>
      <c r="L4264" s="26">
        <f t="shared" si="136"/>
        <v>0</v>
      </c>
    </row>
    <row r="4265" spans="2:12">
      <c r="B4265" s="4" t="e">
        <f t="shared" si="135"/>
        <v>#N/A</v>
      </c>
      <c r="C4265" s="4">
        <f>'Raw data'!E3841</f>
        <v>0</v>
      </c>
      <c r="D4265" s="29" t="e">
        <f>VLOOKUP(C4265,'점포코드 '!A:B,2,0)</f>
        <v>#N/A</v>
      </c>
      <c r="E4265" s="30">
        <f>'Raw data'!P3841</f>
        <v>0</v>
      </c>
      <c r="F4265" s="29" t="e">
        <f>VLOOKUP(E4265,'점포코드 '!A:B,2,0)</f>
        <v>#N/A</v>
      </c>
      <c r="G4265" s="46">
        <f>'Raw data'!F4174</f>
        <v>0</v>
      </c>
      <c r="H4265" s="4">
        <f>'Raw data'!G4174</f>
        <v>0</v>
      </c>
      <c r="I4265" s="29" t="e">
        <f>VLOOKUP(G4265,제품명!$C$1:$E$114,2,0)</f>
        <v>#N/A</v>
      </c>
      <c r="J4265" s="29">
        <f>'Raw data'!K4174</f>
        <v>0</v>
      </c>
      <c r="K4265" s="31">
        <f>'Raw data'!H4174</f>
        <v>0</v>
      </c>
      <c r="L4265" s="26">
        <f t="shared" si="136"/>
        <v>0</v>
      </c>
    </row>
    <row r="4266" spans="2:12">
      <c r="B4266" s="4" t="e">
        <f t="shared" si="135"/>
        <v>#N/A</v>
      </c>
      <c r="C4266" s="4">
        <f>'Raw data'!E3842</f>
        <v>0</v>
      </c>
      <c r="D4266" s="29" t="e">
        <f>VLOOKUP(C4266,'점포코드 '!A:B,2,0)</f>
        <v>#N/A</v>
      </c>
      <c r="E4266" s="30">
        <f>'Raw data'!P3842</f>
        <v>0</v>
      </c>
      <c r="F4266" s="29" t="e">
        <f>VLOOKUP(E4266,'점포코드 '!A:B,2,0)</f>
        <v>#N/A</v>
      </c>
      <c r="G4266" s="46">
        <f>'Raw data'!F4175</f>
        <v>0</v>
      </c>
      <c r="H4266" s="4">
        <f>'Raw data'!G4175</f>
        <v>0</v>
      </c>
      <c r="I4266" s="29" t="e">
        <f>VLOOKUP(G4266,제품명!$C$1:$E$114,2,0)</f>
        <v>#N/A</v>
      </c>
      <c r="J4266" s="29">
        <f>'Raw data'!K4175</f>
        <v>0</v>
      </c>
      <c r="K4266" s="31">
        <f>'Raw data'!H4175</f>
        <v>0</v>
      </c>
      <c r="L4266" s="26">
        <f t="shared" si="136"/>
        <v>0</v>
      </c>
    </row>
    <row r="4267" spans="2:12">
      <c r="B4267" s="4" t="e">
        <f t="shared" si="135"/>
        <v>#N/A</v>
      </c>
      <c r="C4267" s="4">
        <f>'Raw data'!E3843</f>
        <v>0</v>
      </c>
      <c r="D4267" s="29" t="e">
        <f>VLOOKUP(C4267,'점포코드 '!A:B,2,0)</f>
        <v>#N/A</v>
      </c>
      <c r="E4267" s="30">
        <f>'Raw data'!P3843</f>
        <v>0</v>
      </c>
      <c r="F4267" s="29" t="e">
        <f>VLOOKUP(E4267,'점포코드 '!A:B,2,0)</f>
        <v>#N/A</v>
      </c>
      <c r="G4267" s="46">
        <f>'Raw data'!F4176</f>
        <v>0</v>
      </c>
      <c r="H4267" s="4">
        <f>'Raw data'!G4176</f>
        <v>0</v>
      </c>
      <c r="I4267" s="29" t="e">
        <f>VLOOKUP(G4267,제품명!$C$1:$E$114,2,0)</f>
        <v>#N/A</v>
      </c>
      <c r="J4267" s="29">
        <f>'Raw data'!K4176</f>
        <v>0</v>
      </c>
      <c r="K4267" s="31">
        <f>'Raw data'!H4176</f>
        <v>0</v>
      </c>
      <c r="L4267" s="26">
        <f t="shared" si="136"/>
        <v>0</v>
      </c>
    </row>
    <row r="4268" spans="2:12">
      <c r="B4268" s="4" t="e">
        <f t="shared" si="135"/>
        <v>#N/A</v>
      </c>
      <c r="C4268" s="4">
        <f>'Raw data'!E3844</f>
        <v>0</v>
      </c>
      <c r="D4268" s="29" t="e">
        <f>VLOOKUP(C4268,'점포코드 '!A:B,2,0)</f>
        <v>#N/A</v>
      </c>
      <c r="E4268" s="30">
        <f>'Raw data'!P3844</f>
        <v>0</v>
      </c>
      <c r="F4268" s="29" t="e">
        <f>VLOOKUP(E4268,'점포코드 '!A:B,2,0)</f>
        <v>#N/A</v>
      </c>
      <c r="G4268" s="46">
        <f>'Raw data'!F4177</f>
        <v>0</v>
      </c>
      <c r="H4268" s="4">
        <f>'Raw data'!G4177</f>
        <v>0</v>
      </c>
      <c r="I4268" s="29" t="e">
        <f>VLOOKUP(G4268,제품명!$C$1:$E$114,2,0)</f>
        <v>#N/A</v>
      </c>
      <c r="J4268" s="29">
        <f>'Raw data'!K4177</f>
        <v>0</v>
      </c>
      <c r="K4268" s="31">
        <f>'Raw data'!H4177</f>
        <v>0</v>
      </c>
      <c r="L4268" s="26">
        <f t="shared" si="136"/>
        <v>0</v>
      </c>
    </row>
    <row r="4269" spans="2:12">
      <c r="B4269" s="4" t="e">
        <f t="shared" si="135"/>
        <v>#N/A</v>
      </c>
      <c r="C4269" s="4">
        <f>'Raw data'!E3845</f>
        <v>0</v>
      </c>
      <c r="D4269" s="29" t="e">
        <f>VLOOKUP(C4269,'점포코드 '!A:B,2,0)</f>
        <v>#N/A</v>
      </c>
      <c r="E4269" s="30">
        <f>'Raw data'!P3845</f>
        <v>0</v>
      </c>
      <c r="F4269" s="29" t="e">
        <f>VLOOKUP(E4269,'점포코드 '!A:B,2,0)</f>
        <v>#N/A</v>
      </c>
      <c r="G4269" s="46">
        <f>'Raw data'!F4178</f>
        <v>0</v>
      </c>
      <c r="H4269" s="4">
        <f>'Raw data'!G4178</f>
        <v>0</v>
      </c>
      <c r="I4269" s="29" t="e">
        <f>VLOOKUP(G4269,제품명!$C$1:$E$114,2,0)</f>
        <v>#N/A</v>
      </c>
      <c r="J4269" s="29">
        <f>'Raw data'!K4178</f>
        <v>0</v>
      </c>
      <c r="K4269" s="31">
        <f>'Raw data'!H4178</f>
        <v>0</v>
      </c>
      <c r="L4269" s="26">
        <f t="shared" si="136"/>
        <v>0</v>
      </c>
    </row>
    <row r="4270" spans="2:12">
      <c r="B4270" s="4" t="e">
        <f t="shared" si="135"/>
        <v>#N/A</v>
      </c>
      <c r="C4270" s="4">
        <f>'Raw data'!E3846</f>
        <v>0</v>
      </c>
      <c r="D4270" s="29" t="e">
        <f>VLOOKUP(C4270,'점포코드 '!A:B,2,0)</f>
        <v>#N/A</v>
      </c>
      <c r="E4270" s="30">
        <f>'Raw data'!P3846</f>
        <v>0</v>
      </c>
      <c r="F4270" s="29" t="e">
        <f>VLOOKUP(E4270,'점포코드 '!A:B,2,0)</f>
        <v>#N/A</v>
      </c>
      <c r="G4270" s="46">
        <f>'Raw data'!F4179</f>
        <v>0</v>
      </c>
      <c r="H4270" s="4">
        <f>'Raw data'!G4179</f>
        <v>0</v>
      </c>
      <c r="I4270" s="29" t="e">
        <f>VLOOKUP(G4270,제품명!$C$1:$E$114,2,0)</f>
        <v>#N/A</v>
      </c>
      <c r="J4270" s="29">
        <f>'Raw data'!K4179</f>
        <v>0</v>
      </c>
      <c r="K4270" s="31">
        <f>'Raw data'!H4179</f>
        <v>0</v>
      </c>
      <c r="L4270" s="26">
        <f t="shared" si="136"/>
        <v>0</v>
      </c>
    </row>
    <row r="4271" spans="2:12">
      <c r="B4271" s="4" t="e">
        <f t="shared" si="135"/>
        <v>#N/A</v>
      </c>
      <c r="C4271" s="4">
        <f>'Raw data'!E3847</f>
        <v>0</v>
      </c>
      <c r="D4271" s="29" t="e">
        <f>VLOOKUP(C4271,'점포코드 '!A:B,2,0)</f>
        <v>#N/A</v>
      </c>
      <c r="E4271" s="30">
        <f>'Raw data'!P3847</f>
        <v>0</v>
      </c>
      <c r="F4271" s="29" t="e">
        <f>VLOOKUP(E4271,'점포코드 '!A:B,2,0)</f>
        <v>#N/A</v>
      </c>
      <c r="G4271" s="46">
        <f>'Raw data'!F4180</f>
        <v>0</v>
      </c>
      <c r="H4271" s="4">
        <f>'Raw data'!G4180</f>
        <v>0</v>
      </c>
      <c r="I4271" s="29" t="e">
        <f>VLOOKUP(G4271,제품명!$C$1:$E$114,2,0)</f>
        <v>#N/A</v>
      </c>
      <c r="J4271" s="29">
        <f>'Raw data'!K4180</f>
        <v>0</v>
      </c>
      <c r="K4271" s="31">
        <f>'Raw data'!H4180</f>
        <v>0</v>
      </c>
      <c r="L4271" s="26">
        <f t="shared" si="136"/>
        <v>0</v>
      </c>
    </row>
    <row r="4272" spans="2:12">
      <c r="B4272" s="4" t="e">
        <f t="shared" si="135"/>
        <v>#N/A</v>
      </c>
      <c r="C4272" s="4">
        <f>'Raw data'!E3848</f>
        <v>0</v>
      </c>
      <c r="D4272" s="29" t="e">
        <f>VLOOKUP(C4272,'점포코드 '!A:B,2,0)</f>
        <v>#N/A</v>
      </c>
      <c r="E4272" s="30">
        <f>'Raw data'!P3848</f>
        <v>0</v>
      </c>
      <c r="F4272" s="29" t="e">
        <f>VLOOKUP(E4272,'점포코드 '!A:B,2,0)</f>
        <v>#N/A</v>
      </c>
      <c r="G4272" s="46">
        <f>'Raw data'!F4181</f>
        <v>0</v>
      </c>
      <c r="H4272" s="4">
        <f>'Raw data'!G4181</f>
        <v>0</v>
      </c>
      <c r="I4272" s="29" t="e">
        <f>VLOOKUP(G4272,제품명!$C$1:$E$114,2,0)</f>
        <v>#N/A</v>
      </c>
      <c r="J4272" s="29">
        <f>'Raw data'!K4181</f>
        <v>0</v>
      </c>
      <c r="K4272" s="31">
        <f>'Raw data'!H4181</f>
        <v>0</v>
      </c>
      <c r="L4272" s="26">
        <f t="shared" si="136"/>
        <v>0</v>
      </c>
    </row>
    <row r="4273" spans="2:12">
      <c r="B4273" s="4" t="e">
        <f t="shared" si="135"/>
        <v>#N/A</v>
      </c>
      <c r="C4273" s="4">
        <f>'Raw data'!E3849</f>
        <v>0</v>
      </c>
      <c r="D4273" s="29" t="e">
        <f>VLOOKUP(C4273,'점포코드 '!A:B,2,0)</f>
        <v>#N/A</v>
      </c>
      <c r="E4273" s="30">
        <f>'Raw data'!P3849</f>
        <v>0</v>
      </c>
      <c r="F4273" s="29" t="e">
        <f>VLOOKUP(E4273,'점포코드 '!A:B,2,0)</f>
        <v>#N/A</v>
      </c>
      <c r="G4273" s="46">
        <f>'Raw data'!F4182</f>
        <v>0</v>
      </c>
      <c r="H4273" s="4">
        <f>'Raw data'!G4182</f>
        <v>0</v>
      </c>
      <c r="I4273" s="29" t="e">
        <f>VLOOKUP(G4273,제품명!$C$1:$E$114,2,0)</f>
        <v>#N/A</v>
      </c>
      <c r="J4273" s="29">
        <f>'Raw data'!K4182</f>
        <v>0</v>
      </c>
      <c r="K4273" s="31">
        <f>'Raw data'!H4182</f>
        <v>0</v>
      </c>
      <c r="L4273" s="26">
        <f t="shared" si="136"/>
        <v>0</v>
      </c>
    </row>
    <row r="4274" spans="2:12">
      <c r="B4274" s="4" t="e">
        <f t="shared" si="135"/>
        <v>#N/A</v>
      </c>
      <c r="C4274" s="4">
        <f>'Raw data'!E3850</f>
        <v>0</v>
      </c>
      <c r="D4274" s="29" t="e">
        <f>VLOOKUP(C4274,'점포코드 '!A:B,2,0)</f>
        <v>#N/A</v>
      </c>
      <c r="E4274" s="30">
        <f>'Raw data'!P3850</f>
        <v>0</v>
      </c>
      <c r="F4274" s="29" t="e">
        <f>VLOOKUP(E4274,'점포코드 '!A:B,2,0)</f>
        <v>#N/A</v>
      </c>
      <c r="G4274" s="46">
        <f>'Raw data'!F4183</f>
        <v>0</v>
      </c>
      <c r="H4274" s="4">
        <f>'Raw data'!G4183</f>
        <v>0</v>
      </c>
      <c r="I4274" s="29" t="e">
        <f>VLOOKUP(G4274,제품명!$C$1:$E$114,2,0)</f>
        <v>#N/A</v>
      </c>
      <c r="J4274" s="29">
        <f>'Raw data'!K4183</f>
        <v>0</v>
      </c>
      <c r="K4274" s="31">
        <f>'Raw data'!H4183</f>
        <v>0</v>
      </c>
      <c r="L4274" s="26">
        <f t="shared" si="136"/>
        <v>0</v>
      </c>
    </row>
    <row r="4275" spans="2:12">
      <c r="B4275" s="4" t="e">
        <f t="shared" si="135"/>
        <v>#N/A</v>
      </c>
      <c r="C4275" s="4">
        <f>'Raw data'!E3851</f>
        <v>0</v>
      </c>
      <c r="D4275" s="29" t="e">
        <f>VLOOKUP(C4275,'점포코드 '!A:B,2,0)</f>
        <v>#N/A</v>
      </c>
      <c r="E4275" s="30">
        <f>'Raw data'!P3851</f>
        <v>0</v>
      </c>
      <c r="F4275" s="29" t="e">
        <f>VLOOKUP(E4275,'점포코드 '!A:B,2,0)</f>
        <v>#N/A</v>
      </c>
      <c r="G4275" s="46">
        <f>'Raw data'!F4184</f>
        <v>0</v>
      </c>
      <c r="H4275" s="4">
        <f>'Raw data'!G4184</f>
        <v>0</v>
      </c>
      <c r="I4275" s="29" t="e">
        <f>VLOOKUP(G4275,제품명!$C$1:$E$114,2,0)</f>
        <v>#N/A</v>
      </c>
      <c r="J4275" s="29">
        <f>'Raw data'!K4184</f>
        <v>0</v>
      </c>
      <c r="K4275" s="31">
        <f>'Raw data'!H4184</f>
        <v>0</v>
      </c>
      <c r="L4275" s="26">
        <f t="shared" si="136"/>
        <v>0</v>
      </c>
    </row>
    <row r="4276" spans="2:12">
      <c r="B4276" s="4" t="e">
        <f t="shared" si="135"/>
        <v>#N/A</v>
      </c>
      <c r="C4276" s="4">
        <f>'Raw data'!E3852</f>
        <v>0</v>
      </c>
      <c r="D4276" s="29" t="e">
        <f>VLOOKUP(C4276,'점포코드 '!A:B,2,0)</f>
        <v>#N/A</v>
      </c>
      <c r="E4276" s="30">
        <f>'Raw data'!P3852</f>
        <v>0</v>
      </c>
      <c r="F4276" s="29" t="e">
        <f>VLOOKUP(E4276,'점포코드 '!A:B,2,0)</f>
        <v>#N/A</v>
      </c>
      <c r="G4276" s="46">
        <f>'Raw data'!F4185</f>
        <v>0</v>
      </c>
      <c r="H4276" s="4">
        <f>'Raw data'!G4185</f>
        <v>0</v>
      </c>
      <c r="I4276" s="29" t="e">
        <f>VLOOKUP(G4276,제품명!$C$1:$E$114,2,0)</f>
        <v>#N/A</v>
      </c>
      <c r="J4276" s="29">
        <f>'Raw data'!K4185</f>
        <v>0</v>
      </c>
      <c r="K4276" s="31">
        <f>'Raw data'!H4185</f>
        <v>0</v>
      </c>
      <c r="L4276" s="26">
        <f t="shared" si="136"/>
        <v>0</v>
      </c>
    </row>
    <row r="4277" spans="2:12">
      <c r="B4277" s="4" t="e">
        <f t="shared" si="135"/>
        <v>#N/A</v>
      </c>
      <c r="C4277" s="4">
        <f>'Raw data'!E3853</f>
        <v>0</v>
      </c>
      <c r="D4277" s="29" t="e">
        <f>VLOOKUP(C4277,'점포코드 '!A:B,2,0)</f>
        <v>#N/A</v>
      </c>
      <c r="E4277" s="30">
        <f>'Raw data'!P3853</f>
        <v>0</v>
      </c>
      <c r="F4277" s="29" t="e">
        <f>VLOOKUP(E4277,'점포코드 '!A:B,2,0)</f>
        <v>#N/A</v>
      </c>
      <c r="G4277" s="46">
        <f>'Raw data'!F4186</f>
        <v>0</v>
      </c>
      <c r="H4277" s="4">
        <f>'Raw data'!G4186</f>
        <v>0</v>
      </c>
      <c r="I4277" s="29" t="e">
        <f>VLOOKUP(G4277,제품명!$C$1:$E$114,2,0)</f>
        <v>#N/A</v>
      </c>
      <c r="J4277" s="29">
        <f>'Raw data'!K4186</f>
        <v>0</v>
      </c>
      <c r="K4277" s="31">
        <f>'Raw data'!H4186</f>
        <v>0</v>
      </c>
      <c r="L4277" s="26">
        <f t="shared" si="136"/>
        <v>0</v>
      </c>
    </row>
    <row r="4278" spans="2:12">
      <c r="B4278" s="4" t="e">
        <f t="shared" si="135"/>
        <v>#N/A</v>
      </c>
      <c r="C4278" s="4">
        <f>'Raw data'!E3854</f>
        <v>0</v>
      </c>
      <c r="D4278" s="29" t="e">
        <f>VLOOKUP(C4278,'점포코드 '!A:B,2,0)</f>
        <v>#N/A</v>
      </c>
      <c r="E4278" s="30">
        <f>'Raw data'!P3854</f>
        <v>0</v>
      </c>
      <c r="F4278" s="29" t="e">
        <f>VLOOKUP(E4278,'점포코드 '!A:B,2,0)</f>
        <v>#N/A</v>
      </c>
      <c r="G4278" s="46">
        <f>'Raw data'!F4187</f>
        <v>0</v>
      </c>
      <c r="H4278" s="4">
        <f>'Raw data'!G4187</f>
        <v>0</v>
      </c>
      <c r="I4278" s="29" t="e">
        <f>VLOOKUP(G4278,제품명!$C$1:$E$114,2,0)</f>
        <v>#N/A</v>
      </c>
      <c r="J4278" s="29">
        <f>'Raw data'!K4187</f>
        <v>0</v>
      </c>
      <c r="K4278" s="31">
        <f>'Raw data'!H4187</f>
        <v>0</v>
      </c>
      <c r="L4278" s="26">
        <f t="shared" si="136"/>
        <v>0</v>
      </c>
    </row>
    <row r="4279" spans="2:12">
      <c r="B4279" s="4" t="e">
        <f t="shared" si="135"/>
        <v>#N/A</v>
      </c>
      <c r="C4279" s="4">
        <f>'Raw data'!E3855</f>
        <v>0</v>
      </c>
      <c r="D4279" s="29" t="e">
        <f>VLOOKUP(C4279,'점포코드 '!A:B,2,0)</f>
        <v>#N/A</v>
      </c>
      <c r="E4279" s="30">
        <f>'Raw data'!P3855</f>
        <v>0</v>
      </c>
      <c r="F4279" s="29" t="e">
        <f>VLOOKUP(E4279,'점포코드 '!A:B,2,0)</f>
        <v>#N/A</v>
      </c>
      <c r="G4279" s="46">
        <f>'Raw data'!F4188</f>
        <v>0</v>
      </c>
      <c r="H4279" s="4">
        <f>'Raw data'!G4188</f>
        <v>0</v>
      </c>
      <c r="I4279" s="29" t="e">
        <f>VLOOKUP(G4279,제품명!$C$1:$E$114,2,0)</f>
        <v>#N/A</v>
      </c>
      <c r="J4279" s="29">
        <f>'Raw data'!K4188</f>
        <v>0</v>
      </c>
      <c r="K4279" s="31">
        <f>'Raw data'!H4188</f>
        <v>0</v>
      </c>
      <c r="L4279" s="26">
        <f t="shared" si="136"/>
        <v>0</v>
      </c>
    </row>
    <row r="4280" spans="2:12">
      <c r="B4280" s="4" t="e">
        <f t="shared" si="135"/>
        <v>#N/A</v>
      </c>
      <c r="C4280" s="4">
        <f>'Raw data'!E3856</f>
        <v>0</v>
      </c>
      <c r="D4280" s="29" t="e">
        <f>VLOOKUP(C4280,'점포코드 '!A:B,2,0)</f>
        <v>#N/A</v>
      </c>
      <c r="E4280" s="30">
        <f>'Raw data'!P3856</f>
        <v>0</v>
      </c>
      <c r="F4280" s="29" t="e">
        <f>VLOOKUP(E4280,'점포코드 '!A:B,2,0)</f>
        <v>#N/A</v>
      </c>
      <c r="G4280" s="46">
        <f>'Raw data'!F4189</f>
        <v>0</v>
      </c>
      <c r="H4280" s="4">
        <f>'Raw data'!G4189</f>
        <v>0</v>
      </c>
      <c r="I4280" s="29" t="e">
        <f>VLOOKUP(G4280,제품명!$C$1:$E$114,2,0)</f>
        <v>#N/A</v>
      </c>
      <c r="J4280" s="29">
        <f>'Raw data'!K4189</f>
        <v>0</v>
      </c>
      <c r="K4280" s="31">
        <f>'Raw data'!H4189</f>
        <v>0</v>
      </c>
      <c r="L4280" s="26">
        <f t="shared" si="136"/>
        <v>0</v>
      </c>
    </row>
    <row r="4281" spans="2:12">
      <c r="B4281" s="4" t="e">
        <f t="shared" si="135"/>
        <v>#N/A</v>
      </c>
      <c r="C4281" s="4">
        <f>'Raw data'!E3857</f>
        <v>0</v>
      </c>
      <c r="D4281" s="29" t="e">
        <f>VLOOKUP(C4281,'점포코드 '!A:B,2,0)</f>
        <v>#N/A</v>
      </c>
      <c r="E4281" s="30">
        <f>'Raw data'!P3857</f>
        <v>0</v>
      </c>
      <c r="F4281" s="29" t="e">
        <f>VLOOKUP(E4281,'점포코드 '!A:B,2,0)</f>
        <v>#N/A</v>
      </c>
      <c r="G4281" s="46">
        <f>'Raw data'!F4190</f>
        <v>0</v>
      </c>
      <c r="H4281" s="4">
        <f>'Raw data'!G4190</f>
        <v>0</v>
      </c>
      <c r="I4281" s="29" t="e">
        <f>VLOOKUP(G4281,제품명!$C$1:$E$114,2,0)</f>
        <v>#N/A</v>
      </c>
      <c r="J4281" s="29">
        <f>'Raw data'!K4190</f>
        <v>0</v>
      </c>
      <c r="K4281" s="31">
        <f>'Raw data'!H4190</f>
        <v>0</v>
      </c>
      <c r="L4281" s="26">
        <f t="shared" si="136"/>
        <v>0</v>
      </c>
    </row>
    <row r="4282" spans="2:12">
      <c r="B4282" s="4" t="e">
        <f t="shared" si="135"/>
        <v>#N/A</v>
      </c>
      <c r="C4282" s="4">
        <f>'Raw data'!E3858</f>
        <v>0</v>
      </c>
      <c r="D4282" s="29" t="e">
        <f>VLOOKUP(C4282,'점포코드 '!A:B,2,0)</f>
        <v>#N/A</v>
      </c>
      <c r="E4282" s="30">
        <f>'Raw data'!P3858</f>
        <v>0</v>
      </c>
      <c r="F4282" s="29" t="e">
        <f>VLOOKUP(E4282,'점포코드 '!A:B,2,0)</f>
        <v>#N/A</v>
      </c>
      <c r="G4282" s="46">
        <f>'Raw data'!F4191</f>
        <v>0</v>
      </c>
      <c r="H4282" s="4">
        <f>'Raw data'!G4191</f>
        <v>0</v>
      </c>
      <c r="I4282" s="29" t="e">
        <f>VLOOKUP(G4282,제품명!$C$1:$E$114,2,0)</f>
        <v>#N/A</v>
      </c>
      <c r="J4282" s="29">
        <f>'Raw data'!K4191</f>
        <v>0</v>
      </c>
      <c r="K4282" s="31">
        <f>'Raw data'!H4191</f>
        <v>0</v>
      </c>
      <c r="L4282" s="26">
        <f t="shared" si="136"/>
        <v>0</v>
      </c>
    </row>
    <row r="4283" spans="2:12">
      <c r="B4283" s="4" t="e">
        <f t="shared" si="135"/>
        <v>#N/A</v>
      </c>
      <c r="C4283" s="4">
        <f>'Raw data'!E3859</f>
        <v>0</v>
      </c>
      <c r="D4283" s="29" t="e">
        <f>VLOOKUP(C4283,'점포코드 '!A:B,2,0)</f>
        <v>#N/A</v>
      </c>
      <c r="E4283" s="30">
        <f>'Raw data'!P3859</f>
        <v>0</v>
      </c>
      <c r="F4283" s="29" t="e">
        <f>VLOOKUP(E4283,'점포코드 '!A:B,2,0)</f>
        <v>#N/A</v>
      </c>
      <c r="G4283" s="46">
        <f>'Raw data'!F4192</f>
        <v>0</v>
      </c>
      <c r="H4283" s="4">
        <f>'Raw data'!G4192</f>
        <v>0</v>
      </c>
      <c r="I4283" s="29" t="e">
        <f>VLOOKUP(G4283,제품명!$C$1:$E$114,2,0)</f>
        <v>#N/A</v>
      </c>
      <c r="J4283" s="29">
        <f>'Raw data'!K4192</f>
        <v>0</v>
      </c>
      <c r="K4283" s="31">
        <f>'Raw data'!H4192</f>
        <v>0</v>
      </c>
      <c r="L4283" s="26">
        <f t="shared" si="136"/>
        <v>0</v>
      </c>
    </row>
    <row r="4284" spans="2:12">
      <c r="B4284" s="4" t="e">
        <f t="shared" si="135"/>
        <v>#N/A</v>
      </c>
      <c r="C4284" s="4">
        <f>'Raw data'!E3860</f>
        <v>0</v>
      </c>
      <c r="D4284" s="29" t="e">
        <f>VLOOKUP(C4284,'점포코드 '!A:B,2,0)</f>
        <v>#N/A</v>
      </c>
      <c r="E4284" s="30">
        <f>'Raw data'!P3860</f>
        <v>0</v>
      </c>
      <c r="F4284" s="29" t="e">
        <f>VLOOKUP(E4284,'점포코드 '!A:B,2,0)</f>
        <v>#N/A</v>
      </c>
      <c r="G4284" s="46">
        <f>'Raw data'!F4193</f>
        <v>0</v>
      </c>
      <c r="H4284" s="4">
        <f>'Raw data'!G4193</f>
        <v>0</v>
      </c>
      <c r="I4284" s="29" t="e">
        <f>VLOOKUP(G4284,제품명!$C$1:$E$114,2,0)</f>
        <v>#N/A</v>
      </c>
      <c r="J4284" s="29">
        <f>'Raw data'!K4193</f>
        <v>0</v>
      </c>
      <c r="K4284" s="31">
        <f>'Raw data'!H4193</f>
        <v>0</v>
      </c>
      <c r="L4284" s="26">
        <f t="shared" si="136"/>
        <v>0</v>
      </c>
    </row>
    <row r="4285" spans="2:12">
      <c r="B4285" s="4" t="e">
        <f t="shared" si="135"/>
        <v>#N/A</v>
      </c>
      <c r="C4285" s="4">
        <f>'Raw data'!E3861</f>
        <v>0</v>
      </c>
      <c r="D4285" s="29" t="e">
        <f>VLOOKUP(C4285,'점포코드 '!A:B,2,0)</f>
        <v>#N/A</v>
      </c>
      <c r="E4285" s="30">
        <f>'Raw data'!P3861</f>
        <v>0</v>
      </c>
      <c r="F4285" s="29" t="e">
        <f>VLOOKUP(E4285,'점포코드 '!A:B,2,0)</f>
        <v>#N/A</v>
      </c>
      <c r="G4285" s="46">
        <f>'Raw data'!F4194</f>
        <v>0</v>
      </c>
      <c r="H4285" s="4">
        <f>'Raw data'!G4194</f>
        <v>0</v>
      </c>
      <c r="I4285" s="29" t="e">
        <f>VLOOKUP(G4285,제품명!$C$1:$E$114,2,0)</f>
        <v>#N/A</v>
      </c>
      <c r="J4285" s="29">
        <f>'Raw data'!K4194</f>
        <v>0</v>
      </c>
      <c r="K4285" s="31">
        <f>'Raw data'!H4194</f>
        <v>0</v>
      </c>
      <c r="L4285" s="26">
        <f t="shared" si="136"/>
        <v>0</v>
      </c>
    </row>
    <row r="4286" spans="2:12">
      <c r="B4286" s="4" t="e">
        <f t="shared" si="135"/>
        <v>#N/A</v>
      </c>
      <c r="C4286" s="4">
        <f>'Raw data'!E3862</f>
        <v>0</v>
      </c>
      <c r="D4286" s="29" t="e">
        <f>VLOOKUP(C4286,'점포코드 '!A:B,2,0)</f>
        <v>#N/A</v>
      </c>
      <c r="E4286" s="30">
        <f>'Raw data'!P3862</f>
        <v>0</v>
      </c>
      <c r="F4286" s="29" t="e">
        <f>VLOOKUP(E4286,'점포코드 '!A:B,2,0)</f>
        <v>#N/A</v>
      </c>
      <c r="G4286" s="46">
        <f>'Raw data'!F4195</f>
        <v>0</v>
      </c>
      <c r="H4286" s="4">
        <f>'Raw data'!G4195</f>
        <v>0</v>
      </c>
      <c r="I4286" s="29" t="e">
        <f>VLOOKUP(G4286,제품명!$C$1:$E$114,2,0)</f>
        <v>#N/A</v>
      </c>
      <c r="J4286" s="29">
        <f>'Raw data'!K4195</f>
        <v>0</v>
      </c>
      <c r="K4286" s="31">
        <f>'Raw data'!H4195</f>
        <v>0</v>
      </c>
      <c r="L4286" s="26">
        <f t="shared" si="136"/>
        <v>0</v>
      </c>
    </row>
    <row r="4287" spans="2:12">
      <c r="B4287" s="4" t="e">
        <f t="shared" si="135"/>
        <v>#N/A</v>
      </c>
      <c r="C4287" s="4">
        <f>'Raw data'!E3863</f>
        <v>0</v>
      </c>
      <c r="D4287" s="29" t="e">
        <f>VLOOKUP(C4287,'점포코드 '!A:B,2,0)</f>
        <v>#N/A</v>
      </c>
      <c r="E4287" s="30">
        <f>'Raw data'!P3863</f>
        <v>0</v>
      </c>
      <c r="F4287" s="29" t="e">
        <f>VLOOKUP(E4287,'점포코드 '!A:B,2,0)</f>
        <v>#N/A</v>
      </c>
      <c r="G4287" s="46">
        <f>'Raw data'!F4196</f>
        <v>0</v>
      </c>
      <c r="H4287" s="4">
        <f>'Raw data'!G4196</f>
        <v>0</v>
      </c>
      <c r="I4287" s="29" t="e">
        <f>VLOOKUP(G4287,제품명!$C$1:$E$114,2,0)</f>
        <v>#N/A</v>
      </c>
      <c r="J4287" s="29">
        <f>'Raw data'!K4196</f>
        <v>0</v>
      </c>
      <c r="K4287" s="31">
        <f>'Raw data'!H4196</f>
        <v>0</v>
      </c>
      <c r="L4287" s="26">
        <f t="shared" si="136"/>
        <v>0</v>
      </c>
    </row>
    <row r="4288" spans="2:12">
      <c r="B4288" s="4" t="e">
        <f t="shared" si="135"/>
        <v>#N/A</v>
      </c>
      <c r="C4288" s="4">
        <f>'Raw data'!E3864</f>
        <v>0</v>
      </c>
      <c r="D4288" s="29" t="e">
        <f>VLOOKUP(C4288,'점포코드 '!A:B,2,0)</f>
        <v>#N/A</v>
      </c>
      <c r="E4288" s="30">
        <f>'Raw data'!P3864</f>
        <v>0</v>
      </c>
      <c r="F4288" s="29" t="e">
        <f>VLOOKUP(E4288,'점포코드 '!A:B,2,0)</f>
        <v>#N/A</v>
      </c>
      <c r="G4288" s="46">
        <f>'Raw data'!F4197</f>
        <v>0</v>
      </c>
      <c r="H4288" s="4">
        <f>'Raw data'!G4197</f>
        <v>0</v>
      </c>
      <c r="I4288" s="29" t="e">
        <f>VLOOKUP(G4288,제품명!$C$1:$E$114,2,0)</f>
        <v>#N/A</v>
      </c>
      <c r="J4288" s="29">
        <f>'Raw data'!K4197</f>
        <v>0</v>
      </c>
      <c r="K4288" s="31">
        <f>'Raw data'!H4197</f>
        <v>0</v>
      </c>
      <c r="L4288" s="26">
        <f t="shared" si="136"/>
        <v>0</v>
      </c>
    </row>
    <row r="4289" spans="2:12">
      <c r="B4289" s="4" t="e">
        <f t="shared" si="135"/>
        <v>#N/A</v>
      </c>
      <c r="C4289" s="4">
        <f>'Raw data'!E3865</f>
        <v>0</v>
      </c>
      <c r="D4289" s="29" t="e">
        <f>VLOOKUP(C4289,'점포코드 '!A:B,2,0)</f>
        <v>#N/A</v>
      </c>
      <c r="E4289" s="30">
        <f>'Raw data'!P3865</f>
        <v>0</v>
      </c>
      <c r="F4289" s="29" t="e">
        <f>VLOOKUP(E4289,'점포코드 '!A:B,2,0)</f>
        <v>#N/A</v>
      </c>
      <c r="G4289" s="46">
        <f>'Raw data'!F4198</f>
        <v>0</v>
      </c>
      <c r="H4289" s="4">
        <f>'Raw data'!G4198</f>
        <v>0</v>
      </c>
      <c r="I4289" s="29" t="e">
        <f>VLOOKUP(G4289,제품명!$C$1:$E$114,2,0)</f>
        <v>#N/A</v>
      </c>
      <c r="J4289" s="29">
        <f>'Raw data'!K4198</f>
        <v>0</v>
      </c>
      <c r="K4289" s="31">
        <f>'Raw data'!H4198</f>
        <v>0</v>
      </c>
      <c r="L4289" s="26">
        <f t="shared" si="136"/>
        <v>0</v>
      </c>
    </row>
    <row r="4290" spans="2:12">
      <c r="B4290" s="4" t="e">
        <f t="shared" ref="B4290:B4353" si="137">F4290&amp;I4290</f>
        <v>#N/A</v>
      </c>
      <c r="C4290" s="4">
        <f>'Raw data'!E3866</f>
        <v>0</v>
      </c>
      <c r="D4290" s="29" t="e">
        <f>VLOOKUP(C4290,'점포코드 '!A:B,2,0)</f>
        <v>#N/A</v>
      </c>
      <c r="E4290" s="30">
        <f>'Raw data'!P3866</f>
        <v>0</v>
      </c>
      <c r="F4290" s="29" t="e">
        <f>VLOOKUP(E4290,'점포코드 '!A:B,2,0)</f>
        <v>#N/A</v>
      </c>
      <c r="G4290" s="46">
        <f>'Raw data'!F4199</f>
        <v>0</v>
      </c>
      <c r="H4290" s="4">
        <f>'Raw data'!G4199</f>
        <v>0</v>
      </c>
      <c r="I4290" s="29" t="e">
        <f>VLOOKUP(G4290,제품명!$C$1:$E$114,2,0)</f>
        <v>#N/A</v>
      </c>
      <c r="J4290" s="29">
        <f>'Raw data'!K4199</f>
        <v>0</v>
      </c>
      <c r="K4290" s="31">
        <f>'Raw data'!H4199</f>
        <v>0</v>
      </c>
      <c r="L4290" s="26">
        <f t="shared" si="136"/>
        <v>0</v>
      </c>
    </row>
    <row r="4291" spans="2:12">
      <c r="B4291" s="4" t="e">
        <f t="shared" si="137"/>
        <v>#N/A</v>
      </c>
      <c r="C4291" s="4">
        <f>'Raw data'!E3867</f>
        <v>0</v>
      </c>
      <c r="D4291" s="29" t="e">
        <f>VLOOKUP(C4291,'점포코드 '!A:B,2,0)</f>
        <v>#N/A</v>
      </c>
      <c r="E4291" s="30">
        <f>'Raw data'!P3867</f>
        <v>0</v>
      </c>
      <c r="F4291" s="29" t="e">
        <f>VLOOKUP(E4291,'점포코드 '!A:B,2,0)</f>
        <v>#N/A</v>
      </c>
      <c r="G4291" s="46">
        <f>'Raw data'!F4200</f>
        <v>0</v>
      </c>
      <c r="H4291" s="4">
        <f>'Raw data'!G4200</f>
        <v>0</v>
      </c>
      <c r="I4291" s="29" t="e">
        <f>VLOOKUP(G4291,제품명!$C$1:$E$114,2,0)</f>
        <v>#N/A</v>
      </c>
      <c r="J4291" s="29">
        <f>'Raw data'!K4200</f>
        <v>0</v>
      </c>
      <c r="K4291" s="31">
        <f>'Raw data'!H4200</f>
        <v>0</v>
      </c>
      <c r="L4291" s="26">
        <f t="shared" ref="L4291:L4354" si="138">J4291*K4291</f>
        <v>0</v>
      </c>
    </row>
    <row r="4292" spans="2:12">
      <c r="B4292" s="4" t="e">
        <f t="shared" si="137"/>
        <v>#N/A</v>
      </c>
      <c r="C4292" s="4">
        <f>'Raw data'!E3868</f>
        <v>0</v>
      </c>
      <c r="D4292" s="29" t="e">
        <f>VLOOKUP(C4292,'점포코드 '!A:B,2,0)</f>
        <v>#N/A</v>
      </c>
      <c r="E4292" s="30">
        <f>'Raw data'!P3868</f>
        <v>0</v>
      </c>
      <c r="F4292" s="29" t="e">
        <f>VLOOKUP(E4292,'점포코드 '!A:B,2,0)</f>
        <v>#N/A</v>
      </c>
      <c r="G4292" s="46">
        <f>'Raw data'!F4201</f>
        <v>0</v>
      </c>
      <c r="H4292" s="4">
        <f>'Raw data'!G4201</f>
        <v>0</v>
      </c>
      <c r="I4292" s="29" t="e">
        <f>VLOOKUP(G4292,제품명!$C$1:$E$114,2,0)</f>
        <v>#N/A</v>
      </c>
      <c r="J4292" s="29">
        <f>'Raw data'!K4201</f>
        <v>0</v>
      </c>
      <c r="K4292" s="31">
        <f>'Raw data'!H4201</f>
        <v>0</v>
      </c>
      <c r="L4292" s="26">
        <f t="shared" si="138"/>
        <v>0</v>
      </c>
    </row>
    <row r="4293" spans="2:12">
      <c r="B4293" s="4" t="e">
        <f t="shared" si="137"/>
        <v>#N/A</v>
      </c>
      <c r="C4293" s="4">
        <f>'Raw data'!E3869</f>
        <v>0</v>
      </c>
      <c r="D4293" s="29" t="e">
        <f>VLOOKUP(C4293,'점포코드 '!A:B,2,0)</f>
        <v>#N/A</v>
      </c>
      <c r="E4293" s="30">
        <f>'Raw data'!P3869</f>
        <v>0</v>
      </c>
      <c r="F4293" s="29" t="e">
        <f>VLOOKUP(E4293,'점포코드 '!A:B,2,0)</f>
        <v>#N/A</v>
      </c>
      <c r="G4293" s="46">
        <f>'Raw data'!F4202</f>
        <v>0</v>
      </c>
      <c r="H4293" s="4">
        <f>'Raw data'!G4202</f>
        <v>0</v>
      </c>
      <c r="I4293" s="29" t="e">
        <f>VLOOKUP(G4293,제품명!$C$1:$E$114,2,0)</f>
        <v>#N/A</v>
      </c>
      <c r="J4293" s="29">
        <f>'Raw data'!K4202</f>
        <v>0</v>
      </c>
      <c r="K4293" s="31">
        <f>'Raw data'!H4202</f>
        <v>0</v>
      </c>
      <c r="L4293" s="26">
        <f t="shared" si="138"/>
        <v>0</v>
      </c>
    </row>
    <row r="4294" spans="2:12">
      <c r="B4294" s="4" t="e">
        <f t="shared" si="137"/>
        <v>#N/A</v>
      </c>
      <c r="C4294" s="4">
        <f>'Raw data'!E3870</f>
        <v>0</v>
      </c>
      <c r="D4294" s="29" t="e">
        <f>VLOOKUP(C4294,'점포코드 '!A:B,2,0)</f>
        <v>#N/A</v>
      </c>
      <c r="E4294" s="30">
        <f>'Raw data'!P3870</f>
        <v>0</v>
      </c>
      <c r="F4294" s="29" t="e">
        <f>VLOOKUP(E4294,'점포코드 '!A:B,2,0)</f>
        <v>#N/A</v>
      </c>
      <c r="G4294" s="46">
        <f>'Raw data'!F4203</f>
        <v>0</v>
      </c>
      <c r="H4294" s="4">
        <f>'Raw data'!G4203</f>
        <v>0</v>
      </c>
      <c r="I4294" s="29" t="e">
        <f>VLOOKUP(G4294,제품명!$C$1:$E$114,2,0)</f>
        <v>#N/A</v>
      </c>
      <c r="J4294" s="29">
        <f>'Raw data'!K4203</f>
        <v>0</v>
      </c>
      <c r="K4294" s="31">
        <f>'Raw data'!H4203</f>
        <v>0</v>
      </c>
      <c r="L4294" s="26">
        <f t="shared" si="138"/>
        <v>0</v>
      </c>
    </row>
    <row r="4295" spans="2:12">
      <c r="B4295" s="4" t="e">
        <f t="shared" si="137"/>
        <v>#N/A</v>
      </c>
      <c r="C4295" s="4">
        <f>'Raw data'!E3871</f>
        <v>0</v>
      </c>
      <c r="D4295" s="29" t="e">
        <f>VLOOKUP(C4295,'점포코드 '!A:B,2,0)</f>
        <v>#N/A</v>
      </c>
      <c r="E4295" s="30">
        <f>'Raw data'!P3871</f>
        <v>0</v>
      </c>
      <c r="F4295" s="29" t="e">
        <f>VLOOKUP(E4295,'점포코드 '!A:B,2,0)</f>
        <v>#N/A</v>
      </c>
      <c r="G4295" s="46">
        <f>'Raw data'!F4204</f>
        <v>0</v>
      </c>
      <c r="H4295" s="4">
        <f>'Raw data'!G4204</f>
        <v>0</v>
      </c>
      <c r="I4295" s="29" t="e">
        <f>VLOOKUP(G4295,제품명!$C$1:$E$114,2,0)</f>
        <v>#N/A</v>
      </c>
      <c r="J4295" s="29">
        <f>'Raw data'!K4204</f>
        <v>0</v>
      </c>
      <c r="K4295" s="31">
        <f>'Raw data'!H4204</f>
        <v>0</v>
      </c>
      <c r="L4295" s="26">
        <f t="shared" si="138"/>
        <v>0</v>
      </c>
    </row>
    <row r="4296" spans="2:12">
      <c r="B4296" s="4" t="e">
        <f t="shared" si="137"/>
        <v>#N/A</v>
      </c>
      <c r="C4296" s="4">
        <f>'Raw data'!E3872</f>
        <v>0</v>
      </c>
      <c r="D4296" s="29" t="e">
        <f>VLOOKUP(C4296,'점포코드 '!A:B,2,0)</f>
        <v>#N/A</v>
      </c>
      <c r="E4296" s="30">
        <f>'Raw data'!P3872</f>
        <v>0</v>
      </c>
      <c r="F4296" s="29" t="e">
        <f>VLOOKUP(E4296,'점포코드 '!A:B,2,0)</f>
        <v>#N/A</v>
      </c>
      <c r="G4296" s="46">
        <f>'Raw data'!F4205</f>
        <v>0</v>
      </c>
      <c r="H4296" s="4">
        <f>'Raw data'!G4205</f>
        <v>0</v>
      </c>
      <c r="I4296" s="29" t="e">
        <f>VLOOKUP(G4296,제품명!$C$1:$E$114,2,0)</f>
        <v>#N/A</v>
      </c>
      <c r="J4296" s="29">
        <f>'Raw data'!K4205</f>
        <v>0</v>
      </c>
      <c r="K4296" s="31">
        <f>'Raw data'!H4205</f>
        <v>0</v>
      </c>
      <c r="L4296" s="26">
        <f t="shared" si="138"/>
        <v>0</v>
      </c>
    </row>
    <row r="4297" spans="2:12">
      <c r="B4297" s="4" t="e">
        <f t="shared" si="137"/>
        <v>#N/A</v>
      </c>
      <c r="C4297" s="4">
        <f>'Raw data'!E3873</f>
        <v>0</v>
      </c>
      <c r="D4297" s="29" t="e">
        <f>VLOOKUP(C4297,'점포코드 '!A:B,2,0)</f>
        <v>#N/A</v>
      </c>
      <c r="E4297" s="30">
        <f>'Raw data'!P3873</f>
        <v>0</v>
      </c>
      <c r="F4297" s="29" t="e">
        <f>VLOOKUP(E4297,'점포코드 '!A:B,2,0)</f>
        <v>#N/A</v>
      </c>
      <c r="G4297" s="46">
        <f>'Raw data'!F4206</f>
        <v>0</v>
      </c>
      <c r="H4297" s="4">
        <f>'Raw data'!G4206</f>
        <v>0</v>
      </c>
      <c r="I4297" s="29" t="e">
        <f>VLOOKUP(G4297,제품명!$C$1:$E$114,2,0)</f>
        <v>#N/A</v>
      </c>
      <c r="J4297" s="29">
        <f>'Raw data'!K4206</f>
        <v>0</v>
      </c>
      <c r="K4297" s="31">
        <f>'Raw data'!H4206</f>
        <v>0</v>
      </c>
      <c r="L4297" s="26">
        <f t="shared" si="138"/>
        <v>0</v>
      </c>
    </row>
    <row r="4298" spans="2:12">
      <c r="B4298" s="4" t="e">
        <f t="shared" si="137"/>
        <v>#N/A</v>
      </c>
      <c r="C4298" s="4">
        <f>'Raw data'!E3874</f>
        <v>0</v>
      </c>
      <c r="D4298" s="29" t="e">
        <f>VLOOKUP(C4298,'점포코드 '!A:B,2,0)</f>
        <v>#N/A</v>
      </c>
      <c r="E4298" s="30">
        <f>'Raw data'!P3874</f>
        <v>0</v>
      </c>
      <c r="F4298" s="29" t="e">
        <f>VLOOKUP(E4298,'점포코드 '!A:B,2,0)</f>
        <v>#N/A</v>
      </c>
      <c r="G4298" s="46">
        <f>'Raw data'!F4207</f>
        <v>0</v>
      </c>
      <c r="H4298" s="4">
        <f>'Raw data'!G4207</f>
        <v>0</v>
      </c>
      <c r="I4298" s="29" t="e">
        <f>VLOOKUP(G4298,제품명!$C$1:$E$114,2,0)</f>
        <v>#N/A</v>
      </c>
      <c r="J4298" s="29">
        <f>'Raw data'!K4207</f>
        <v>0</v>
      </c>
      <c r="K4298" s="31">
        <f>'Raw data'!H4207</f>
        <v>0</v>
      </c>
      <c r="L4298" s="26">
        <f t="shared" si="138"/>
        <v>0</v>
      </c>
    </row>
    <row r="4299" spans="2:12">
      <c r="B4299" s="4" t="e">
        <f t="shared" si="137"/>
        <v>#N/A</v>
      </c>
      <c r="C4299" s="4">
        <f>'Raw data'!E3875</f>
        <v>0</v>
      </c>
      <c r="D4299" s="29" t="e">
        <f>VLOOKUP(C4299,'점포코드 '!A:B,2,0)</f>
        <v>#N/A</v>
      </c>
      <c r="E4299" s="30">
        <f>'Raw data'!P3875</f>
        <v>0</v>
      </c>
      <c r="F4299" s="29" t="e">
        <f>VLOOKUP(E4299,'점포코드 '!A:B,2,0)</f>
        <v>#N/A</v>
      </c>
      <c r="G4299" s="46">
        <f>'Raw data'!F4208</f>
        <v>0</v>
      </c>
      <c r="H4299" s="4">
        <f>'Raw data'!G4208</f>
        <v>0</v>
      </c>
      <c r="I4299" s="29" t="e">
        <f>VLOOKUP(G4299,제품명!$C$1:$E$114,2,0)</f>
        <v>#N/A</v>
      </c>
      <c r="J4299" s="29">
        <f>'Raw data'!K4208</f>
        <v>0</v>
      </c>
      <c r="K4299" s="31">
        <f>'Raw data'!H4208</f>
        <v>0</v>
      </c>
      <c r="L4299" s="26">
        <f t="shared" si="138"/>
        <v>0</v>
      </c>
    </row>
    <row r="4300" spans="2:12">
      <c r="B4300" s="4" t="e">
        <f t="shared" si="137"/>
        <v>#N/A</v>
      </c>
      <c r="C4300" s="4">
        <f>'Raw data'!E3876</f>
        <v>0</v>
      </c>
      <c r="D4300" s="29" t="e">
        <f>VLOOKUP(C4300,'점포코드 '!A:B,2,0)</f>
        <v>#N/A</v>
      </c>
      <c r="E4300" s="30">
        <f>'Raw data'!P3876</f>
        <v>0</v>
      </c>
      <c r="F4300" s="29" t="e">
        <f>VLOOKUP(E4300,'점포코드 '!A:B,2,0)</f>
        <v>#N/A</v>
      </c>
      <c r="G4300" s="46">
        <f>'Raw data'!F4209</f>
        <v>0</v>
      </c>
      <c r="H4300" s="4">
        <f>'Raw data'!G4209</f>
        <v>0</v>
      </c>
      <c r="I4300" s="29" t="e">
        <f>VLOOKUP(G4300,제품명!$C$1:$E$114,2,0)</f>
        <v>#N/A</v>
      </c>
      <c r="J4300" s="29">
        <f>'Raw data'!K4209</f>
        <v>0</v>
      </c>
      <c r="K4300" s="31">
        <f>'Raw data'!H4209</f>
        <v>0</v>
      </c>
      <c r="L4300" s="26">
        <f t="shared" si="138"/>
        <v>0</v>
      </c>
    </row>
    <row r="4301" spans="2:12">
      <c r="B4301" s="4" t="e">
        <f t="shared" si="137"/>
        <v>#N/A</v>
      </c>
      <c r="C4301" s="4">
        <f>'Raw data'!E3877</f>
        <v>0</v>
      </c>
      <c r="D4301" s="29" t="e">
        <f>VLOOKUP(C4301,'점포코드 '!A:B,2,0)</f>
        <v>#N/A</v>
      </c>
      <c r="E4301" s="30">
        <f>'Raw data'!P3877</f>
        <v>0</v>
      </c>
      <c r="F4301" s="29" t="e">
        <f>VLOOKUP(E4301,'점포코드 '!A:B,2,0)</f>
        <v>#N/A</v>
      </c>
      <c r="G4301" s="46">
        <f>'Raw data'!F4210</f>
        <v>0</v>
      </c>
      <c r="H4301" s="4">
        <f>'Raw data'!G4210</f>
        <v>0</v>
      </c>
      <c r="I4301" s="29" t="e">
        <f>VLOOKUP(G4301,제품명!$C$1:$E$114,2,0)</f>
        <v>#N/A</v>
      </c>
      <c r="J4301" s="29">
        <f>'Raw data'!K4210</f>
        <v>0</v>
      </c>
      <c r="K4301" s="31">
        <f>'Raw data'!H4210</f>
        <v>0</v>
      </c>
      <c r="L4301" s="26">
        <f t="shared" si="138"/>
        <v>0</v>
      </c>
    </row>
    <row r="4302" spans="2:12">
      <c r="B4302" s="4" t="e">
        <f t="shared" si="137"/>
        <v>#N/A</v>
      </c>
      <c r="C4302" s="4">
        <f>'Raw data'!E3878</f>
        <v>0</v>
      </c>
      <c r="D4302" s="29" t="e">
        <f>VLOOKUP(C4302,'점포코드 '!A:B,2,0)</f>
        <v>#N/A</v>
      </c>
      <c r="E4302" s="30">
        <f>'Raw data'!P3878</f>
        <v>0</v>
      </c>
      <c r="F4302" s="29" t="e">
        <f>VLOOKUP(E4302,'점포코드 '!A:B,2,0)</f>
        <v>#N/A</v>
      </c>
      <c r="G4302" s="46">
        <f>'Raw data'!F4211</f>
        <v>0</v>
      </c>
      <c r="H4302" s="4">
        <f>'Raw data'!G4211</f>
        <v>0</v>
      </c>
      <c r="I4302" s="29" t="e">
        <f>VLOOKUP(G4302,제품명!$C$1:$E$114,2,0)</f>
        <v>#N/A</v>
      </c>
      <c r="J4302" s="29">
        <f>'Raw data'!K4211</f>
        <v>0</v>
      </c>
      <c r="K4302" s="31">
        <f>'Raw data'!H4211</f>
        <v>0</v>
      </c>
      <c r="L4302" s="26">
        <f t="shared" si="138"/>
        <v>0</v>
      </c>
    </row>
    <row r="4303" spans="2:12">
      <c r="B4303" s="4" t="e">
        <f t="shared" si="137"/>
        <v>#N/A</v>
      </c>
      <c r="C4303" s="4">
        <f>'Raw data'!E3879</f>
        <v>0</v>
      </c>
      <c r="D4303" s="29" t="e">
        <f>VLOOKUP(C4303,'점포코드 '!A:B,2,0)</f>
        <v>#N/A</v>
      </c>
      <c r="E4303" s="30">
        <f>'Raw data'!P3879</f>
        <v>0</v>
      </c>
      <c r="F4303" s="29" t="e">
        <f>VLOOKUP(E4303,'점포코드 '!A:B,2,0)</f>
        <v>#N/A</v>
      </c>
      <c r="G4303" s="46">
        <f>'Raw data'!F4212</f>
        <v>0</v>
      </c>
      <c r="H4303" s="4">
        <f>'Raw data'!G4212</f>
        <v>0</v>
      </c>
      <c r="I4303" s="29" t="e">
        <f>VLOOKUP(G4303,제품명!$C$1:$E$114,2,0)</f>
        <v>#N/A</v>
      </c>
      <c r="J4303" s="29">
        <f>'Raw data'!K4212</f>
        <v>0</v>
      </c>
      <c r="K4303" s="31">
        <f>'Raw data'!H4212</f>
        <v>0</v>
      </c>
      <c r="L4303" s="26">
        <f t="shared" si="138"/>
        <v>0</v>
      </c>
    </row>
    <row r="4304" spans="2:12">
      <c r="B4304" s="4" t="e">
        <f t="shared" si="137"/>
        <v>#N/A</v>
      </c>
      <c r="C4304" s="4">
        <f>'Raw data'!E3880</f>
        <v>0</v>
      </c>
      <c r="D4304" s="29" t="e">
        <f>VLOOKUP(C4304,'점포코드 '!A:B,2,0)</f>
        <v>#N/A</v>
      </c>
      <c r="E4304" s="30">
        <f>'Raw data'!P3880</f>
        <v>0</v>
      </c>
      <c r="F4304" s="29" t="e">
        <f>VLOOKUP(E4304,'점포코드 '!A:B,2,0)</f>
        <v>#N/A</v>
      </c>
      <c r="G4304" s="46">
        <f>'Raw data'!F4213</f>
        <v>0</v>
      </c>
      <c r="H4304" s="4">
        <f>'Raw data'!G4213</f>
        <v>0</v>
      </c>
      <c r="I4304" s="29" t="e">
        <f>VLOOKUP(G4304,제품명!$C$1:$E$114,2,0)</f>
        <v>#N/A</v>
      </c>
      <c r="J4304" s="29">
        <f>'Raw data'!K4213</f>
        <v>0</v>
      </c>
      <c r="K4304" s="31">
        <f>'Raw data'!H4213</f>
        <v>0</v>
      </c>
      <c r="L4304" s="26">
        <f t="shared" si="138"/>
        <v>0</v>
      </c>
    </row>
    <row r="4305" spans="2:12">
      <c r="B4305" s="4" t="e">
        <f t="shared" si="137"/>
        <v>#N/A</v>
      </c>
      <c r="C4305" s="4">
        <f>'Raw data'!E3881</f>
        <v>0</v>
      </c>
      <c r="D4305" s="29" t="e">
        <f>VLOOKUP(C4305,'점포코드 '!A:B,2,0)</f>
        <v>#N/A</v>
      </c>
      <c r="E4305" s="30">
        <f>'Raw data'!P3881</f>
        <v>0</v>
      </c>
      <c r="F4305" s="29" t="e">
        <f>VLOOKUP(E4305,'점포코드 '!A:B,2,0)</f>
        <v>#N/A</v>
      </c>
      <c r="G4305" s="46">
        <f>'Raw data'!F4214</f>
        <v>0</v>
      </c>
      <c r="H4305" s="4">
        <f>'Raw data'!G4214</f>
        <v>0</v>
      </c>
      <c r="I4305" s="29" t="e">
        <f>VLOOKUP(G4305,제품명!$C$1:$E$114,2,0)</f>
        <v>#N/A</v>
      </c>
      <c r="J4305" s="29">
        <f>'Raw data'!K4214</f>
        <v>0</v>
      </c>
      <c r="K4305" s="31">
        <f>'Raw data'!H4214</f>
        <v>0</v>
      </c>
      <c r="L4305" s="26">
        <f t="shared" si="138"/>
        <v>0</v>
      </c>
    </row>
    <row r="4306" spans="2:12">
      <c r="B4306" s="4" t="e">
        <f t="shared" si="137"/>
        <v>#N/A</v>
      </c>
      <c r="C4306" s="4">
        <f>'Raw data'!E3882</f>
        <v>0</v>
      </c>
      <c r="D4306" s="29" t="e">
        <f>VLOOKUP(C4306,'점포코드 '!A:B,2,0)</f>
        <v>#N/A</v>
      </c>
      <c r="E4306" s="30">
        <f>'Raw data'!P3882</f>
        <v>0</v>
      </c>
      <c r="F4306" s="29" t="e">
        <f>VLOOKUP(E4306,'점포코드 '!A:B,2,0)</f>
        <v>#N/A</v>
      </c>
      <c r="G4306" s="46">
        <f>'Raw data'!F4215</f>
        <v>0</v>
      </c>
      <c r="H4306" s="4">
        <f>'Raw data'!G4215</f>
        <v>0</v>
      </c>
      <c r="I4306" s="29" t="e">
        <f>VLOOKUP(G4306,제품명!$C$1:$E$114,2,0)</f>
        <v>#N/A</v>
      </c>
      <c r="J4306" s="29">
        <f>'Raw data'!K4215</f>
        <v>0</v>
      </c>
      <c r="K4306" s="31">
        <f>'Raw data'!H4215</f>
        <v>0</v>
      </c>
      <c r="L4306" s="26">
        <f t="shared" si="138"/>
        <v>0</v>
      </c>
    </row>
    <row r="4307" spans="2:12">
      <c r="B4307" s="4" t="e">
        <f t="shared" si="137"/>
        <v>#N/A</v>
      </c>
      <c r="C4307" s="4">
        <f>'Raw data'!E3883</f>
        <v>0</v>
      </c>
      <c r="D4307" s="29" t="e">
        <f>VLOOKUP(C4307,'점포코드 '!A:B,2,0)</f>
        <v>#N/A</v>
      </c>
      <c r="E4307" s="30">
        <f>'Raw data'!P3883</f>
        <v>0</v>
      </c>
      <c r="F4307" s="29" t="e">
        <f>VLOOKUP(E4307,'점포코드 '!A:B,2,0)</f>
        <v>#N/A</v>
      </c>
      <c r="G4307" s="46">
        <f>'Raw data'!F4216</f>
        <v>0</v>
      </c>
      <c r="H4307" s="4">
        <f>'Raw data'!G4216</f>
        <v>0</v>
      </c>
      <c r="I4307" s="29" t="e">
        <f>VLOOKUP(G4307,제품명!$C$1:$E$114,2,0)</f>
        <v>#N/A</v>
      </c>
      <c r="J4307" s="29">
        <f>'Raw data'!K4216</f>
        <v>0</v>
      </c>
      <c r="K4307" s="31">
        <f>'Raw data'!H4216</f>
        <v>0</v>
      </c>
      <c r="L4307" s="26">
        <f t="shared" si="138"/>
        <v>0</v>
      </c>
    </row>
    <row r="4308" spans="2:12">
      <c r="B4308" s="4" t="e">
        <f t="shared" si="137"/>
        <v>#N/A</v>
      </c>
      <c r="C4308" s="4">
        <f>'Raw data'!E3884</f>
        <v>0</v>
      </c>
      <c r="D4308" s="29" t="e">
        <f>VLOOKUP(C4308,'점포코드 '!A:B,2,0)</f>
        <v>#N/A</v>
      </c>
      <c r="E4308" s="30">
        <f>'Raw data'!P3884</f>
        <v>0</v>
      </c>
      <c r="F4308" s="29" t="e">
        <f>VLOOKUP(E4308,'점포코드 '!A:B,2,0)</f>
        <v>#N/A</v>
      </c>
      <c r="G4308" s="46">
        <f>'Raw data'!F4217</f>
        <v>0</v>
      </c>
      <c r="H4308" s="4">
        <f>'Raw data'!G4217</f>
        <v>0</v>
      </c>
      <c r="I4308" s="29" t="e">
        <f>VLOOKUP(G4308,제품명!$C$1:$E$114,2,0)</f>
        <v>#N/A</v>
      </c>
      <c r="J4308" s="29">
        <f>'Raw data'!K4217</f>
        <v>0</v>
      </c>
      <c r="K4308" s="31">
        <f>'Raw data'!H4217</f>
        <v>0</v>
      </c>
      <c r="L4308" s="26">
        <f t="shared" si="138"/>
        <v>0</v>
      </c>
    </row>
    <row r="4309" spans="2:12">
      <c r="B4309" s="4" t="e">
        <f t="shared" si="137"/>
        <v>#N/A</v>
      </c>
      <c r="C4309" s="4">
        <f>'Raw data'!E3885</f>
        <v>0</v>
      </c>
      <c r="D4309" s="29" t="e">
        <f>VLOOKUP(C4309,'점포코드 '!A:B,2,0)</f>
        <v>#N/A</v>
      </c>
      <c r="E4309" s="30">
        <f>'Raw data'!P3885</f>
        <v>0</v>
      </c>
      <c r="F4309" s="29" t="e">
        <f>VLOOKUP(E4309,'점포코드 '!A:B,2,0)</f>
        <v>#N/A</v>
      </c>
      <c r="G4309" s="46">
        <f>'Raw data'!F4218</f>
        <v>0</v>
      </c>
      <c r="H4309" s="4">
        <f>'Raw data'!G4218</f>
        <v>0</v>
      </c>
      <c r="I4309" s="29" t="e">
        <f>VLOOKUP(G4309,제품명!$C$1:$E$114,2,0)</f>
        <v>#N/A</v>
      </c>
      <c r="J4309" s="29">
        <f>'Raw data'!K4218</f>
        <v>0</v>
      </c>
      <c r="K4309" s="31">
        <f>'Raw data'!H4218</f>
        <v>0</v>
      </c>
      <c r="L4309" s="26">
        <f t="shared" si="138"/>
        <v>0</v>
      </c>
    </row>
    <row r="4310" spans="2:12">
      <c r="B4310" s="4" t="e">
        <f t="shared" si="137"/>
        <v>#N/A</v>
      </c>
      <c r="C4310" s="4">
        <f>'Raw data'!E3886</f>
        <v>0</v>
      </c>
      <c r="D4310" s="29" t="e">
        <f>VLOOKUP(C4310,'점포코드 '!A:B,2,0)</f>
        <v>#N/A</v>
      </c>
      <c r="E4310" s="30">
        <f>'Raw data'!P3886</f>
        <v>0</v>
      </c>
      <c r="F4310" s="29" t="e">
        <f>VLOOKUP(E4310,'점포코드 '!A:B,2,0)</f>
        <v>#N/A</v>
      </c>
      <c r="G4310" s="46">
        <f>'Raw data'!F4219</f>
        <v>0</v>
      </c>
      <c r="H4310" s="4">
        <f>'Raw data'!G4219</f>
        <v>0</v>
      </c>
      <c r="I4310" s="29" t="e">
        <f>VLOOKUP(G4310,제품명!$C$1:$E$114,2,0)</f>
        <v>#N/A</v>
      </c>
      <c r="J4310" s="29">
        <f>'Raw data'!K4219</f>
        <v>0</v>
      </c>
      <c r="K4310" s="31">
        <f>'Raw data'!H4219</f>
        <v>0</v>
      </c>
      <c r="L4310" s="26">
        <f t="shared" si="138"/>
        <v>0</v>
      </c>
    </row>
    <row r="4311" spans="2:12">
      <c r="B4311" s="4" t="e">
        <f t="shared" si="137"/>
        <v>#N/A</v>
      </c>
      <c r="C4311" s="4">
        <f>'Raw data'!E3887</f>
        <v>0</v>
      </c>
      <c r="D4311" s="29" t="e">
        <f>VLOOKUP(C4311,'점포코드 '!A:B,2,0)</f>
        <v>#N/A</v>
      </c>
      <c r="E4311" s="30">
        <f>'Raw data'!P3887</f>
        <v>0</v>
      </c>
      <c r="F4311" s="29" t="e">
        <f>VLOOKUP(E4311,'점포코드 '!A:B,2,0)</f>
        <v>#N/A</v>
      </c>
      <c r="G4311" s="46">
        <f>'Raw data'!F4220</f>
        <v>0</v>
      </c>
      <c r="H4311" s="4">
        <f>'Raw data'!G4220</f>
        <v>0</v>
      </c>
      <c r="I4311" s="29" t="e">
        <f>VLOOKUP(G4311,제품명!$C$1:$E$114,2,0)</f>
        <v>#N/A</v>
      </c>
      <c r="J4311" s="29">
        <f>'Raw data'!K4220</f>
        <v>0</v>
      </c>
      <c r="K4311" s="31">
        <f>'Raw data'!H4220</f>
        <v>0</v>
      </c>
      <c r="L4311" s="26">
        <f t="shared" si="138"/>
        <v>0</v>
      </c>
    </row>
    <row r="4312" spans="2:12">
      <c r="B4312" s="4" t="e">
        <f t="shared" si="137"/>
        <v>#N/A</v>
      </c>
      <c r="C4312" s="4">
        <f>'Raw data'!E3888</f>
        <v>0</v>
      </c>
      <c r="D4312" s="29" t="e">
        <f>VLOOKUP(C4312,'점포코드 '!A:B,2,0)</f>
        <v>#N/A</v>
      </c>
      <c r="E4312" s="30">
        <f>'Raw data'!P3888</f>
        <v>0</v>
      </c>
      <c r="F4312" s="29" t="e">
        <f>VLOOKUP(E4312,'점포코드 '!A:B,2,0)</f>
        <v>#N/A</v>
      </c>
      <c r="G4312" s="46">
        <f>'Raw data'!F4221</f>
        <v>0</v>
      </c>
      <c r="H4312" s="4">
        <f>'Raw data'!G4221</f>
        <v>0</v>
      </c>
      <c r="I4312" s="29" t="e">
        <f>VLOOKUP(G4312,제품명!$C$1:$E$114,2,0)</f>
        <v>#N/A</v>
      </c>
      <c r="J4312" s="29">
        <f>'Raw data'!K4221</f>
        <v>0</v>
      </c>
      <c r="K4312" s="31">
        <f>'Raw data'!H4221</f>
        <v>0</v>
      </c>
      <c r="L4312" s="26">
        <f t="shared" si="138"/>
        <v>0</v>
      </c>
    </row>
    <row r="4313" spans="2:12">
      <c r="B4313" s="4" t="e">
        <f t="shared" si="137"/>
        <v>#N/A</v>
      </c>
      <c r="C4313" s="4">
        <f>'Raw data'!E3889</f>
        <v>0</v>
      </c>
      <c r="D4313" s="29" t="e">
        <f>VLOOKUP(C4313,'점포코드 '!A:B,2,0)</f>
        <v>#N/A</v>
      </c>
      <c r="E4313" s="30">
        <f>'Raw data'!P3889</f>
        <v>0</v>
      </c>
      <c r="F4313" s="29" t="e">
        <f>VLOOKUP(E4313,'점포코드 '!A:B,2,0)</f>
        <v>#N/A</v>
      </c>
      <c r="G4313" s="46">
        <f>'Raw data'!F4222</f>
        <v>0</v>
      </c>
      <c r="H4313" s="4">
        <f>'Raw data'!G4222</f>
        <v>0</v>
      </c>
      <c r="I4313" s="29" t="e">
        <f>VLOOKUP(G4313,제품명!$C$1:$E$114,2,0)</f>
        <v>#N/A</v>
      </c>
      <c r="J4313" s="29">
        <f>'Raw data'!K4222</f>
        <v>0</v>
      </c>
      <c r="K4313" s="31">
        <f>'Raw data'!H4222</f>
        <v>0</v>
      </c>
      <c r="L4313" s="26">
        <f t="shared" si="138"/>
        <v>0</v>
      </c>
    </row>
    <row r="4314" spans="2:12">
      <c r="B4314" s="4" t="e">
        <f t="shared" si="137"/>
        <v>#N/A</v>
      </c>
      <c r="C4314" s="4">
        <f>'Raw data'!E3890</f>
        <v>0</v>
      </c>
      <c r="D4314" s="29" t="e">
        <f>VLOOKUP(C4314,'점포코드 '!A:B,2,0)</f>
        <v>#N/A</v>
      </c>
      <c r="E4314" s="30">
        <f>'Raw data'!P3890</f>
        <v>0</v>
      </c>
      <c r="F4314" s="29" t="e">
        <f>VLOOKUP(E4314,'점포코드 '!A:B,2,0)</f>
        <v>#N/A</v>
      </c>
      <c r="G4314" s="46">
        <f>'Raw data'!F4223</f>
        <v>0</v>
      </c>
      <c r="H4314" s="4">
        <f>'Raw data'!G4223</f>
        <v>0</v>
      </c>
      <c r="I4314" s="29" t="e">
        <f>VLOOKUP(G4314,제품명!$C$1:$E$114,2,0)</f>
        <v>#N/A</v>
      </c>
      <c r="J4314" s="29">
        <f>'Raw data'!K4223</f>
        <v>0</v>
      </c>
      <c r="K4314" s="31">
        <f>'Raw data'!H4223</f>
        <v>0</v>
      </c>
      <c r="L4314" s="26">
        <f t="shared" si="138"/>
        <v>0</v>
      </c>
    </row>
    <row r="4315" spans="2:12">
      <c r="B4315" s="4" t="e">
        <f t="shared" si="137"/>
        <v>#N/A</v>
      </c>
      <c r="C4315" s="4">
        <f>'Raw data'!E3891</f>
        <v>0</v>
      </c>
      <c r="D4315" s="29" t="e">
        <f>VLOOKUP(C4315,'점포코드 '!A:B,2,0)</f>
        <v>#N/A</v>
      </c>
      <c r="E4315" s="30">
        <f>'Raw data'!P3891</f>
        <v>0</v>
      </c>
      <c r="F4315" s="29" t="e">
        <f>VLOOKUP(E4315,'점포코드 '!A:B,2,0)</f>
        <v>#N/A</v>
      </c>
      <c r="G4315" s="46">
        <f>'Raw data'!F4224</f>
        <v>0</v>
      </c>
      <c r="H4315" s="4">
        <f>'Raw data'!G4224</f>
        <v>0</v>
      </c>
      <c r="I4315" s="29" t="e">
        <f>VLOOKUP(G4315,제품명!$C$1:$E$114,2,0)</f>
        <v>#N/A</v>
      </c>
      <c r="J4315" s="29">
        <f>'Raw data'!K4224</f>
        <v>0</v>
      </c>
      <c r="K4315" s="31">
        <f>'Raw data'!H4224</f>
        <v>0</v>
      </c>
      <c r="L4315" s="26">
        <f t="shared" si="138"/>
        <v>0</v>
      </c>
    </row>
    <row r="4316" spans="2:12">
      <c r="B4316" s="4" t="e">
        <f t="shared" si="137"/>
        <v>#N/A</v>
      </c>
      <c r="C4316" s="4">
        <f>'Raw data'!E3892</f>
        <v>0</v>
      </c>
      <c r="D4316" s="29" t="e">
        <f>VLOOKUP(C4316,'점포코드 '!A:B,2,0)</f>
        <v>#N/A</v>
      </c>
      <c r="E4316" s="30">
        <f>'Raw data'!P3892</f>
        <v>0</v>
      </c>
      <c r="F4316" s="29" t="e">
        <f>VLOOKUP(E4316,'점포코드 '!A:B,2,0)</f>
        <v>#N/A</v>
      </c>
      <c r="G4316" s="46">
        <f>'Raw data'!F4225</f>
        <v>0</v>
      </c>
      <c r="H4316" s="4">
        <f>'Raw data'!G4225</f>
        <v>0</v>
      </c>
      <c r="I4316" s="29" t="e">
        <f>VLOOKUP(G4316,제품명!$C$1:$E$114,2,0)</f>
        <v>#N/A</v>
      </c>
      <c r="J4316" s="29">
        <f>'Raw data'!K4225</f>
        <v>0</v>
      </c>
      <c r="K4316" s="31">
        <f>'Raw data'!H4225</f>
        <v>0</v>
      </c>
      <c r="L4316" s="26">
        <f t="shared" si="138"/>
        <v>0</v>
      </c>
    </row>
    <row r="4317" spans="2:12">
      <c r="B4317" s="4" t="e">
        <f t="shared" si="137"/>
        <v>#N/A</v>
      </c>
      <c r="C4317" s="4">
        <f>'Raw data'!E3893</f>
        <v>0</v>
      </c>
      <c r="D4317" s="29" t="e">
        <f>VLOOKUP(C4317,'점포코드 '!A:B,2,0)</f>
        <v>#N/A</v>
      </c>
      <c r="E4317" s="30">
        <f>'Raw data'!P3893</f>
        <v>0</v>
      </c>
      <c r="F4317" s="29" t="e">
        <f>VLOOKUP(E4317,'점포코드 '!A:B,2,0)</f>
        <v>#N/A</v>
      </c>
      <c r="G4317" s="46">
        <f>'Raw data'!F4226</f>
        <v>0</v>
      </c>
      <c r="H4317" s="4">
        <f>'Raw data'!G4226</f>
        <v>0</v>
      </c>
      <c r="I4317" s="29" t="e">
        <f>VLOOKUP(G4317,제품명!$C$1:$E$114,2,0)</f>
        <v>#N/A</v>
      </c>
      <c r="J4317" s="29">
        <f>'Raw data'!K4226</f>
        <v>0</v>
      </c>
      <c r="K4317" s="31">
        <f>'Raw data'!H4226</f>
        <v>0</v>
      </c>
      <c r="L4317" s="26">
        <f t="shared" si="138"/>
        <v>0</v>
      </c>
    </row>
    <row r="4318" spans="2:12">
      <c r="B4318" s="4" t="e">
        <f t="shared" si="137"/>
        <v>#N/A</v>
      </c>
      <c r="C4318" s="4">
        <f>'Raw data'!E3894</f>
        <v>0</v>
      </c>
      <c r="D4318" s="29" t="e">
        <f>VLOOKUP(C4318,'점포코드 '!A:B,2,0)</f>
        <v>#N/A</v>
      </c>
      <c r="E4318" s="30">
        <f>'Raw data'!P3894</f>
        <v>0</v>
      </c>
      <c r="F4318" s="29" t="e">
        <f>VLOOKUP(E4318,'점포코드 '!A:B,2,0)</f>
        <v>#N/A</v>
      </c>
      <c r="G4318" s="46">
        <f>'Raw data'!F4227</f>
        <v>0</v>
      </c>
      <c r="H4318" s="4">
        <f>'Raw data'!G4227</f>
        <v>0</v>
      </c>
      <c r="I4318" s="29" t="e">
        <f>VLOOKUP(G4318,제품명!$C$1:$E$114,2,0)</f>
        <v>#N/A</v>
      </c>
      <c r="J4318" s="29">
        <f>'Raw data'!K4227</f>
        <v>0</v>
      </c>
      <c r="K4318" s="31">
        <f>'Raw data'!H4227</f>
        <v>0</v>
      </c>
      <c r="L4318" s="26">
        <f t="shared" si="138"/>
        <v>0</v>
      </c>
    </row>
    <row r="4319" spans="2:12">
      <c r="B4319" s="4" t="e">
        <f t="shared" si="137"/>
        <v>#N/A</v>
      </c>
      <c r="C4319" s="4">
        <f>'Raw data'!E3895</f>
        <v>0</v>
      </c>
      <c r="D4319" s="29" t="e">
        <f>VLOOKUP(C4319,'점포코드 '!A:B,2,0)</f>
        <v>#N/A</v>
      </c>
      <c r="E4319" s="30">
        <f>'Raw data'!P3895</f>
        <v>0</v>
      </c>
      <c r="F4319" s="29" t="e">
        <f>VLOOKUP(E4319,'점포코드 '!A:B,2,0)</f>
        <v>#N/A</v>
      </c>
      <c r="G4319" s="46">
        <f>'Raw data'!F4228</f>
        <v>0</v>
      </c>
      <c r="H4319" s="4">
        <f>'Raw data'!G4228</f>
        <v>0</v>
      </c>
      <c r="I4319" s="29" t="e">
        <f>VLOOKUP(G4319,제품명!$C$1:$E$114,2,0)</f>
        <v>#N/A</v>
      </c>
      <c r="J4319" s="29">
        <f>'Raw data'!K4228</f>
        <v>0</v>
      </c>
      <c r="K4319" s="31">
        <f>'Raw data'!H4228</f>
        <v>0</v>
      </c>
      <c r="L4319" s="26">
        <f t="shared" si="138"/>
        <v>0</v>
      </c>
    </row>
    <row r="4320" spans="2:12">
      <c r="B4320" s="4" t="e">
        <f t="shared" si="137"/>
        <v>#N/A</v>
      </c>
      <c r="C4320" s="4">
        <f>'Raw data'!E3896</f>
        <v>0</v>
      </c>
      <c r="D4320" s="29" t="e">
        <f>VLOOKUP(C4320,'점포코드 '!A:B,2,0)</f>
        <v>#N/A</v>
      </c>
      <c r="E4320" s="30">
        <f>'Raw data'!P3896</f>
        <v>0</v>
      </c>
      <c r="F4320" s="29" t="e">
        <f>VLOOKUP(E4320,'점포코드 '!A:B,2,0)</f>
        <v>#N/A</v>
      </c>
      <c r="G4320" s="46">
        <f>'Raw data'!F4229</f>
        <v>0</v>
      </c>
      <c r="H4320" s="4">
        <f>'Raw data'!G4229</f>
        <v>0</v>
      </c>
      <c r="I4320" s="29" t="e">
        <f>VLOOKUP(G4320,제품명!$C$1:$E$114,2,0)</f>
        <v>#N/A</v>
      </c>
      <c r="J4320" s="29">
        <f>'Raw data'!K4229</f>
        <v>0</v>
      </c>
      <c r="K4320" s="31">
        <f>'Raw data'!H4229</f>
        <v>0</v>
      </c>
      <c r="L4320" s="26">
        <f t="shared" si="138"/>
        <v>0</v>
      </c>
    </row>
    <row r="4321" spans="2:12">
      <c r="B4321" s="4" t="e">
        <f t="shared" si="137"/>
        <v>#N/A</v>
      </c>
      <c r="C4321" s="4">
        <f>'Raw data'!E3897</f>
        <v>0</v>
      </c>
      <c r="D4321" s="29" t="e">
        <f>VLOOKUP(C4321,'점포코드 '!A:B,2,0)</f>
        <v>#N/A</v>
      </c>
      <c r="E4321" s="30">
        <f>'Raw data'!P3897</f>
        <v>0</v>
      </c>
      <c r="F4321" s="29" t="e">
        <f>VLOOKUP(E4321,'점포코드 '!A:B,2,0)</f>
        <v>#N/A</v>
      </c>
      <c r="G4321" s="46">
        <f>'Raw data'!F4230</f>
        <v>0</v>
      </c>
      <c r="H4321" s="4">
        <f>'Raw data'!G4230</f>
        <v>0</v>
      </c>
      <c r="I4321" s="29" t="e">
        <f>VLOOKUP(G4321,제품명!$C$1:$E$114,2,0)</f>
        <v>#N/A</v>
      </c>
      <c r="J4321" s="29">
        <f>'Raw data'!K4230</f>
        <v>0</v>
      </c>
      <c r="K4321" s="31">
        <f>'Raw data'!H4230</f>
        <v>0</v>
      </c>
      <c r="L4321" s="26">
        <f t="shared" si="138"/>
        <v>0</v>
      </c>
    </row>
    <row r="4322" spans="2:12">
      <c r="B4322" s="4" t="e">
        <f t="shared" si="137"/>
        <v>#N/A</v>
      </c>
      <c r="C4322" s="4">
        <f>'Raw data'!E3898</f>
        <v>0</v>
      </c>
      <c r="D4322" s="29" t="e">
        <f>VLOOKUP(C4322,'점포코드 '!A:B,2,0)</f>
        <v>#N/A</v>
      </c>
      <c r="E4322" s="30">
        <f>'Raw data'!P3898</f>
        <v>0</v>
      </c>
      <c r="F4322" s="29" t="e">
        <f>VLOOKUP(E4322,'점포코드 '!A:B,2,0)</f>
        <v>#N/A</v>
      </c>
      <c r="G4322" s="46">
        <f>'Raw data'!F4231</f>
        <v>0</v>
      </c>
      <c r="H4322" s="4">
        <f>'Raw data'!G4231</f>
        <v>0</v>
      </c>
      <c r="I4322" s="29" t="e">
        <f>VLOOKUP(G4322,제품명!$C$1:$E$114,2,0)</f>
        <v>#N/A</v>
      </c>
      <c r="J4322" s="29">
        <f>'Raw data'!K4231</f>
        <v>0</v>
      </c>
      <c r="K4322" s="31">
        <f>'Raw data'!H4231</f>
        <v>0</v>
      </c>
      <c r="L4322" s="26">
        <f t="shared" si="138"/>
        <v>0</v>
      </c>
    </row>
    <row r="4323" spans="2:12">
      <c r="B4323" s="4" t="e">
        <f t="shared" si="137"/>
        <v>#N/A</v>
      </c>
      <c r="C4323" s="4">
        <f>'Raw data'!E3899</f>
        <v>0</v>
      </c>
      <c r="D4323" s="29" t="e">
        <f>VLOOKUP(C4323,'점포코드 '!A:B,2,0)</f>
        <v>#N/A</v>
      </c>
      <c r="E4323" s="30">
        <f>'Raw data'!P3899</f>
        <v>0</v>
      </c>
      <c r="F4323" s="29" t="e">
        <f>VLOOKUP(E4323,'점포코드 '!A:B,2,0)</f>
        <v>#N/A</v>
      </c>
      <c r="G4323" s="46">
        <f>'Raw data'!F4232</f>
        <v>0</v>
      </c>
      <c r="H4323" s="4">
        <f>'Raw data'!G4232</f>
        <v>0</v>
      </c>
      <c r="I4323" s="29" t="e">
        <f>VLOOKUP(G4323,제품명!$C$1:$E$114,2,0)</f>
        <v>#N/A</v>
      </c>
      <c r="J4323" s="29">
        <f>'Raw data'!K4232</f>
        <v>0</v>
      </c>
      <c r="K4323" s="31">
        <f>'Raw data'!H4232</f>
        <v>0</v>
      </c>
      <c r="L4323" s="26">
        <f t="shared" si="138"/>
        <v>0</v>
      </c>
    </row>
    <row r="4324" spans="2:12">
      <c r="B4324" s="4" t="e">
        <f t="shared" si="137"/>
        <v>#N/A</v>
      </c>
      <c r="C4324" s="4">
        <f>'Raw data'!E3900</f>
        <v>0</v>
      </c>
      <c r="D4324" s="29" t="e">
        <f>VLOOKUP(C4324,'점포코드 '!A:B,2,0)</f>
        <v>#N/A</v>
      </c>
      <c r="E4324" s="30">
        <f>'Raw data'!P3900</f>
        <v>0</v>
      </c>
      <c r="F4324" s="29" t="e">
        <f>VLOOKUP(E4324,'점포코드 '!A:B,2,0)</f>
        <v>#N/A</v>
      </c>
      <c r="G4324" s="46">
        <f>'Raw data'!F4233</f>
        <v>0</v>
      </c>
      <c r="H4324" s="4">
        <f>'Raw data'!G4233</f>
        <v>0</v>
      </c>
      <c r="I4324" s="29" t="e">
        <f>VLOOKUP(G4324,제품명!$C$1:$E$114,2,0)</f>
        <v>#N/A</v>
      </c>
      <c r="J4324" s="29">
        <f>'Raw data'!K4233</f>
        <v>0</v>
      </c>
      <c r="K4324" s="31">
        <f>'Raw data'!H4233</f>
        <v>0</v>
      </c>
      <c r="L4324" s="26">
        <f t="shared" si="138"/>
        <v>0</v>
      </c>
    </row>
    <row r="4325" spans="2:12">
      <c r="B4325" s="4" t="e">
        <f t="shared" si="137"/>
        <v>#N/A</v>
      </c>
      <c r="C4325" s="4">
        <f>'Raw data'!E3901</f>
        <v>0</v>
      </c>
      <c r="D4325" s="29" t="e">
        <f>VLOOKUP(C4325,'점포코드 '!A:B,2,0)</f>
        <v>#N/A</v>
      </c>
      <c r="E4325" s="30">
        <f>'Raw data'!P3901</f>
        <v>0</v>
      </c>
      <c r="F4325" s="29" t="e">
        <f>VLOOKUP(E4325,'점포코드 '!A:B,2,0)</f>
        <v>#N/A</v>
      </c>
      <c r="G4325" s="46">
        <f>'Raw data'!F4234</f>
        <v>0</v>
      </c>
      <c r="H4325" s="4">
        <f>'Raw data'!G4234</f>
        <v>0</v>
      </c>
      <c r="I4325" s="29" t="e">
        <f>VLOOKUP(G4325,제품명!$C$1:$E$114,2,0)</f>
        <v>#N/A</v>
      </c>
      <c r="J4325" s="29">
        <f>'Raw data'!K4234</f>
        <v>0</v>
      </c>
      <c r="K4325" s="31">
        <f>'Raw data'!H4234</f>
        <v>0</v>
      </c>
      <c r="L4325" s="26">
        <f t="shared" si="138"/>
        <v>0</v>
      </c>
    </row>
    <row r="4326" spans="2:12">
      <c r="B4326" s="4" t="e">
        <f t="shared" si="137"/>
        <v>#N/A</v>
      </c>
      <c r="C4326" s="4">
        <f>'Raw data'!E3902</f>
        <v>0</v>
      </c>
      <c r="D4326" s="29" t="e">
        <f>VLOOKUP(C4326,'점포코드 '!A:B,2,0)</f>
        <v>#N/A</v>
      </c>
      <c r="E4326" s="30">
        <f>'Raw data'!P3902</f>
        <v>0</v>
      </c>
      <c r="F4326" s="29" t="e">
        <f>VLOOKUP(E4326,'점포코드 '!A:B,2,0)</f>
        <v>#N/A</v>
      </c>
      <c r="G4326" s="46">
        <f>'Raw data'!F4235</f>
        <v>0</v>
      </c>
      <c r="H4326" s="4">
        <f>'Raw data'!G4235</f>
        <v>0</v>
      </c>
      <c r="I4326" s="29" t="e">
        <f>VLOOKUP(G4326,제품명!$C$1:$E$114,2,0)</f>
        <v>#N/A</v>
      </c>
      <c r="J4326" s="29">
        <f>'Raw data'!K4235</f>
        <v>0</v>
      </c>
      <c r="K4326" s="31">
        <f>'Raw data'!H4235</f>
        <v>0</v>
      </c>
      <c r="L4326" s="26">
        <f t="shared" si="138"/>
        <v>0</v>
      </c>
    </row>
    <row r="4327" spans="2:12">
      <c r="B4327" s="4" t="e">
        <f t="shared" si="137"/>
        <v>#N/A</v>
      </c>
      <c r="C4327" s="4">
        <f>'Raw data'!E3903</f>
        <v>0</v>
      </c>
      <c r="D4327" s="29" t="e">
        <f>VLOOKUP(C4327,'점포코드 '!A:B,2,0)</f>
        <v>#N/A</v>
      </c>
      <c r="E4327" s="30">
        <f>'Raw data'!P3903</f>
        <v>0</v>
      </c>
      <c r="F4327" s="29" t="e">
        <f>VLOOKUP(E4327,'점포코드 '!A:B,2,0)</f>
        <v>#N/A</v>
      </c>
      <c r="G4327" s="46">
        <f>'Raw data'!F4236</f>
        <v>0</v>
      </c>
      <c r="H4327" s="4">
        <f>'Raw data'!G4236</f>
        <v>0</v>
      </c>
      <c r="I4327" s="29" t="e">
        <f>VLOOKUP(G4327,제품명!$C$1:$E$114,2,0)</f>
        <v>#N/A</v>
      </c>
      <c r="J4327" s="29">
        <f>'Raw data'!K4236</f>
        <v>0</v>
      </c>
      <c r="K4327" s="31">
        <f>'Raw data'!H4236</f>
        <v>0</v>
      </c>
      <c r="L4327" s="26">
        <f t="shared" si="138"/>
        <v>0</v>
      </c>
    </row>
    <row r="4328" spans="2:12">
      <c r="B4328" s="4" t="e">
        <f t="shared" si="137"/>
        <v>#N/A</v>
      </c>
      <c r="C4328" s="4">
        <f>'Raw data'!E3904</f>
        <v>0</v>
      </c>
      <c r="D4328" s="29" t="e">
        <f>VLOOKUP(C4328,'점포코드 '!A:B,2,0)</f>
        <v>#N/A</v>
      </c>
      <c r="E4328" s="30">
        <f>'Raw data'!P3904</f>
        <v>0</v>
      </c>
      <c r="F4328" s="29" t="e">
        <f>VLOOKUP(E4328,'점포코드 '!A:B,2,0)</f>
        <v>#N/A</v>
      </c>
      <c r="G4328" s="46">
        <f>'Raw data'!F4237</f>
        <v>0</v>
      </c>
      <c r="H4328" s="4">
        <f>'Raw data'!G4237</f>
        <v>0</v>
      </c>
      <c r="I4328" s="29" t="e">
        <f>VLOOKUP(G4328,제품명!$C$1:$E$114,2,0)</f>
        <v>#N/A</v>
      </c>
      <c r="J4328" s="29">
        <f>'Raw data'!K4237</f>
        <v>0</v>
      </c>
      <c r="K4328" s="31">
        <f>'Raw data'!H4237</f>
        <v>0</v>
      </c>
      <c r="L4328" s="26">
        <f t="shared" si="138"/>
        <v>0</v>
      </c>
    </row>
    <row r="4329" spans="2:12">
      <c r="B4329" s="4" t="e">
        <f t="shared" si="137"/>
        <v>#N/A</v>
      </c>
      <c r="C4329" s="4">
        <f>'Raw data'!E3905</f>
        <v>0</v>
      </c>
      <c r="D4329" s="29" t="e">
        <f>VLOOKUP(C4329,'점포코드 '!A:B,2,0)</f>
        <v>#N/A</v>
      </c>
      <c r="E4329" s="30">
        <f>'Raw data'!P3905</f>
        <v>0</v>
      </c>
      <c r="F4329" s="29" t="e">
        <f>VLOOKUP(E4329,'점포코드 '!A:B,2,0)</f>
        <v>#N/A</v>
      </c>
      <c r="G4329" s="46">
        <f>'Raw data'!F4238</f>
        <v>0</v>
      </c>
      <c r="H4329" s="4">
        <f>'Raw data'!G4238</f>
        <v>0</v>
      </c>
      <c r="I4329" s="29" t="e">
        <f>VLOOKUP(G4329,제품명!$C$1:$E$114,2,0)</f>
        <v>#N/A</v>
      </c>
      <c r="J4329" s="29">
        <f>'Raw data'!K4238</f>
        <v>0</v>
      </c>
      <c r="K4329" s="31">
        <f>'Raw data'!H4238</f>
        <v>0</v>
      </c>
      <c r="L4329" s="26">
        <f t="shared" si="138"/>
        <v>0</v>
      </c>
    </row>
    <row r="4330" spans="2:12">
      <c r="B4330" s="4" t="e">
        <f t="shared" si="137"/>
        <v>#N/A</v>
      </c>
      <c r="C4330" s="4">
        <f>'Raw data'!E3906</f>
        <v>0</v>
      </c>
      <c r="D4330" s="29" t="e">
        <f>VLOOKUP(C4330,'점포코드 '!A:B,2,0)</f>
        <v>#N/A</v>
      </c>
      <c r="E4330" s="30">
        <f>'Raw data'!P3906</f>
        <v>0</v>
      </c>
      <c r="F4330" s="29" t="e">
        <f>VLOOKUP(E4330,'점포코드 '!A:B,2,0)</f>
        <v>#N/A</v>
      </c>
      <c r="G4330" s="46">
        <f>'Raw data'!F4239</f>
        <v>0</v>
      </c>
      <c r="H4330" s="4">
        <f>'Raw data'!G4239</f>
        <v>0</v>
      </c>
      <c r="I4330" s="29" t="e">
        <f>VLOOKUP(G4330,제품명!$C$1:$E$114,2,0)</f>
        <v>#N/A</v>
      </c>
      <c r="J4330" s="29">
        <f>'Raw data'!K4239</f>
        <v>0</v>
      </c>
      <c r="K4330" s="31">
        <f>'Raw data'!H4239</f>
        <v>0</v>
      </c>
      <c r="L4330" s="26">
        <f t="shared" si="138"/>
        <v>0</v>
      </c>
    </row>
    <row r="4331" spans="2:12">
      <c r="B4331" s="4" t="e">
        <f t="shared" si="137"/>
        <v>#N/A</v>
      </c>
      <c r="C4331" s="4">
        <f>'Raw data'!E3907</f>
        <v>0</v>
      </c>
      <c r="D4331" s="29" t="e">
        <f>VLOOKUP(C4331,'점포코드 '!A:B,2,0)</f>
        <v>#N/A</v>
      </c>
      <c r="E4331" s="30">
        <f>'Raw data'!P3907</f>
        <v>0</v>
      </c>
      <c r="F4331" s="29" t="e">
        <f>VLOOKUP(E4331,'점포코드 '!A:B,2,0)</f>
        <v>#N/A</v>
      </c>
      <c r="G4331" s="46">
        <f>'Raw data'!F4240</f>
        <v>0</v>
      </c>
      <c r="H4331" s="4">
        <f>'Raw data'!G4240</f>
        <v>0</v>
      </c>
      <c r="I4331" s="29" t="e">
        <f>VLOOKUP(G4331,제품명!$C$1:$E$114,2,0)</f>
        <v>#N/A</v>
      </c>
      <c r="J4331" s="29">
        <f>'Raw data'!K4240</f>
        <v>0</v>
      </c>
      <c r="K4331" s="31">
        <f>'Raw data'!H4240</f>
        <v>0</v>
      </c>
      <c r="L4331" s="26">
        <f t="shared" si="138"/>
        <v>0</v>
      </c>
    </row>
    <row r="4332" spans="2:12">
      <c r="B4332" s="4" t="e">
        <f t="shared" si="137"/>
        <v>#N/A</v>
      </c>
      <c r="C4332" s="4">
        <f>'Raw data'!E3908</f>
        <v>0</v>
      </c>
      <c r="D4332" s="29" t="e">
        <f>VLOOKUP(C4332,'점포코드 '!A:B,2,0)</f>
        <v>#N/A</v>
      </c>
      <c r="E4332" s="30">
        <f>'Raw data'!P3908</f>
        <v>0</v>
      </c>
      <c r="F4332" s="29" t="e">
        <f>VLOOKUP(E4332,'점포코드 '!A:B,2,0)</f>
        <v>#N/A</v>
      </c>
      <c r="G4332" s="46">
        <f>'Raw data'!F4241</f>
        <v>0</v>
      </c>
      <c r="H4332" s="4">
        <f>'Raw data'!G4241</f>
        <v>0</v>
      </c>
      <c r="I4332" s="29" t="e">
        <f>VLOOKUP(G4332,제품명!$C$1:$E$114,2,0)</f>
        <v>#N/A</v>
      </c>
      <c r="J4332" s="29">
        <f>'Raw data'!K4241</f>
        <v>0</v>
      </c>
      <c r="K4332" s="31">
        <f>'Raw data'!H4241</f>
        <v>0</v>
      </c>
      <c r="L4332" s="26">
        <f t="shared" si="138"/>
        <v>0</v>
      </c>
    </row>
    <row r="4333" spans="2:12">
      <c r="B4333" s="4" t="e">
        <f t="shared" si="137"/>
        <v>#N/A</v>
      </c>
      <c r="C4333" s="4">
        <f>'Raw data'!E3909</f>
        <v>0</v>
      </c>
      <c r="D4333" s="29" t="e">
        <f>VLOOKUP(C4333,'점포코드 '!A:B,2,0)</f>
        <v>#N/A</v>
      </c>
      <c r="E4333" s="30">
        <f>'Raw data'!P3909</f>
        <v>0</v>
      </c>
      <c r="F4333" s="29" t="e">
        <f>VLOOKUP(E4333,'점포코드 '!A:B,2,0)</f>
        <v>#N/A</v>
      </c>
      <c r="G4333" s="46">
        <f>'Raw data'!F4242</f>
        <v>0</v>
      </c>
      <c r="H4333" s="4">
        <f>'Raw data'!G4242</f>
        <v>0</v>
      </c>
      <c r="I4333" s="29" t="e">
        <f>VLOOKUP(G4333,제품명!$C$1:$E$114,2,0)</f>
        <v>#N/A</v>
      </c>
      <c r="J4333" s="29">
        <f>'Raw data'!K4242</f>
        <v>0</v>
      </c>
      <c r="K4333" s="31">
        <f>'Raw data'!H4242</f>
        <v>0</v>
      </c>
      <c r="L4333" s="26">
        <f t="shared" si="138"/>
        <v>0</v>
      </c>
    </row>
    <row r="4334" spans="2:12">
      <c r="B4334" s="4" t="e">
        <f t="shared" si="137"/>
        <v>#N/A</v>
      </c>
      <c r="C4334" s="4">
        <f>'Raw data'!E3910</f>
        <v>0</v>
      </c>
      <c r="D4334" s="29" t="e">
        <f>VLOOKUP(C4334,'점포코드 '!A:B,2,0)</f>
        <v>#N/A</v>
      </c>
      <c r="E4334" s="30">
        <f>'Raw data'!P3910</f>
        <v>0</v>
      </c>
      <c r="F4334" s="29" t="e">
        <f>VLOOKUP(E4334,'점포코드 '!A:B,2,0)</f>
        <v>#N/A</v>
      </c>
      <c r="G4334" s="46">
        <f>'Raw data'!F4243</f>
        <v>0</v>
      </c>
      <c r="H4334" s="4">
        <f>'Raw data'!G4243</f>
        <v>0</v>
      </c>
      <c r="I4334" s="29" t="e">
        <f>VLOOKUP(G4334,제품명!$C$1:$E$114,2,0)</f>
        <v>#N/A</v>
      </c>
      <c r="J4334" s="29">
        <f>'Raw data'!K4243</f>
        <v>0</v>
      </c>
      <c r="K4334" s="31">
        <f>'Raw data'!H4243</f>
        <v>0</v>
      </c>
      <c r="L4334" s="26">
        <f t="shared" si="138"/>
        <v>0</v>
      </c>
    </row>
    <row r="4335" spans="2:12">
      <c r="B4335" s="4" t="e">
        <f t="shared" si="137"/>
        <v>#N/A</v>
      </c>
      <c r="C4335" s="4">
        <f>'Raw data'!E3911</f>
        <v>0</v>
      </c>
      <c r="D4335" s="29" t="e">
        <f>VLOOKUP(C4335,'점포코드 '!A:B,2,0)</f>
        <v>#N/A</v>
      </c>
      <c r="E4335" s="30">
        <f>'Raw data'!P3911</f>
        <v>0</v>
      </c>
      <c r="F4335" s="29" t="e">
        <f>VLOOKUP(E4335,'점포코드 '!A:B,2,0)</f>
        <v>#N/A</v>
      </c>
      <c r="G4335" s="46">
        <f>'Raw data'!F4244</f>
        <v>0</v>
      </c>
      <c r="H4335" s="4">
        <f>'Raw data'!G4244</f>
        <v>0</v>
      </c>
      <c r="I4335" s="29" t="e">
        <f>VLOOKUP(G4335,제품명!$C$1:$E$114,2,0)</f>
        <v>#N/A</v>
      </c>
      <c r="J4335" s="29">
        <f>'Raw data'!K4244</f>
        <v>0</v>
      </c>
      <c r="K4335" s="31">
        <f>'Raw data'!H4244</f>
        <v>0</v>
      </c>
      <c r="L4335" s="26">
        <f t="shared" si="138"/>
        <v>0</v>
      </c>
    </row>
    <row r="4336" spans="2:12">
      <c r="B4336" s="4" t="e">
        <f t="shared" si="137"/>
        <v>#N/A</v>
      </c>
      <c r="C4336" s="4">
        <f>'Raw data'!E3912</f>
        <v>0</v>
      </c>
      <c r="D4336" s="29" t="e">
        <f>VLOOKUP(C4336,'점포코드 '!A:B,2,0)</f>
        <v>#N/A</v>
      </c>
      <c r="E4336" s="30">
        <f>'Raw data'!P3912</f>
        <v>0</v>
      </c>
      <c r="F4336" s="29" t="e">
        <f>VLOOKUP(E4336,'점포코드 '!A:B,2,0)</f>
        <v>#N/A</v>
      </c>
      <c r="G4336" s="46">
        <f>'Raw data'!F4245</f>
        <v>0</v>
      </c>
      <c r="H4336" s="4">
        <f>'Raw data'!G4245</f>
        <v>0</v>
      </c>
      <c r="I4336" s="29" t="e">
        <f>VLOOKUP(G4336,제품명!$C$1:$E$114,2,0)</f>
        <v>#N/A</v>
      </c>
      <c r="J4336" s="29">
        <f>'Raw data'!K4245</f>
        <v>0</v>
      </c>
      <c r="K4336" s="31">
        <f>'Raw data'!H4245</f>
        <v>0</v>
      </c>
      <c r="L4336" s="26">
        <f t="shared" si="138"/>
        <v>0</v>
      </c>
    </row>
    <row r="4337" spans="2:12">
      <c r="B4337" s="4" t="e">
        <f t="shared" si="137"/>
        <v>#N/A</v>
      </c>
      <c r="C4337" s="4">
        <f>'Raw data'!E3913</f>
        <v>0</v>
      </c>
      <c r="D4337" s="29" t="e">
        <f>VLOOKUP(C4337,'점포코드 '!A:B,2,0)</f>
        <v>#N/A</v>
      </c>
      <c r="E4337" s="30">
        <f>'Raw data'!P3913</f>
        <v>0</v>
      </c>
      <c r="F4337" s="29" t="e">
        <f>VLOOKUP(E4337,'점포코드 '!A:B,2,0)</f>
        <v>#N/A</v>
      </c>
      <c r="G4337" s="46">
        <f>'Raw data'!F4246</f>
        <v>0</v>
      </c>
      <c r="H4337" s="4">
        <f>'Raw data'!G4246</f>
        <v>0</v>
      </c>
      <c r="I4337" s="29" t="e">
        <f>VLOOKUP(G4337,제품명!$C$1:$E$114,2,0)</f>
        <v>#N/A</v>
      </c>
      <c r="J4337" s="29">
        <f>'Raw data'!K4246</f>
        <v>0</v>
      </c>
      <c r="K4337" s="31">
        <f>'Raw data'!H4246</f>
        <v>0</v>
      </c>
      <c r="L4337" s="26">
        <f t="shared" si="138"/>
        <v>0</v>
      </c>
    </row>
    <row r="4338" spans="2:12">
      <c r="B4338" s="4" t="e">
        <f t="shared" si="137"/>
        <v>#N/A</v>
      </c>
      <c r="C4338" s="4">
        <f>'Raw data'!E3914</f>
        <v>0</v>
      </c>
      <c r="D4338" s="29" t="e">
        <f>VLOOKUP(C4338,'점포코드 '!A:B,2,0)</f>
        <v>#N/A</v>
      </c>
      <c r="E4338" s="30">
        <f>'Raw data'!P3914</f>
        <v>0</v>
      </c>
      <c r="F4338" s="29" t="e">
        <f>VLOOKUP(E4338,'점포코드 '!A:B,2,0)</f>
        <v>#N/A</v>
      </c>
      <c r="G4338" s="46">
        <f>'Raw data'!F4247</f>
        <v>0</v>
      </c>
      <c r="H4338" s="4">
        <f>'Raw data'!G4247</f>
        <v>0</v>
      </c>
      <c r="I4338" s="29" t="e">
        <f>VLOOKUP(G4338,제품명!$C$1:$E$114,2,0)</f>
        <v>#N/A</v>
      </c>
      <c r="J4338" s="29">
        <f>'Raw data'!K4247</f>
        <v>0</v>
      </c>
      <c r="K4338" s="31">
        <f>'Raw data'!H4247</f>
        <v>0</v>
      </c>
      <c r="L4338" s="26">
        <f t="shared" si="138"/>
        <v>0</v>
      </c>
    </row>
    <row r="4339" spans="2:12">
      <c r="B4339" s="4" t="e">
        <f t="shared" si="137"/>
        <v>#N/A</v>
      </c>
      <c r="C4339" s="4">
        <f>'Raw data'!E3915</f>
        <v>0</v>
      </c>
      <c r="D4339" s="29" t="e">
        <f>VLOOKUP(C4339,'점포코드 '!A:B,2,0)</f>
        <v>#N/A</v>
      </c>
      <c r="E4339" s="30">
        <f>'Raw data'!P3915</f>
        <v>0</v>
      </c>
      <c r="F4339" s="29" t="e">
        <f>VLOOKUP(E4339,'점포코드 '!A:B,2,0)</f>
        <v>#N/A</v>
      </c>
      <c r="G4339" s="46">
        <f>'Raw data'!F4248</f>
        <v>0</v>
      </c>
      <c r="H4339" s="4">
        <f>'Raw data'!G4248</f>
        <v>0</v>
      </c>
      <c r="I4339" s="29" t="e">
        <f>VLOOKUP(G4339,제품명!$C$1:$E$114,2,0)</f>
        <v>#N/A</v>
      </c>
      <c r="J4339" s="29">
        <f>'Raw data'!K4248</f>
        <v>0</v>
      </c>
      <c r="K4339" s="31">
        <f>'Raw data'!H4248</f>
        <v>0</v>
      </c>
      <c r="L4339" s="26">
        <f t="shared" si="138"/>
        <v>0</v>
      </c>
    </row>
    <row r="4340" spans="2:12">
      <c r="B4340" s="4" t="e">
        <f t="shared" si="137"/>
        <v>#N/A</v>
      </c>
      <c r="C4340" s="4">
        <f>'Raw data'!E3916</f>
        <v>0</v>
      </c>
      <c r="D4340" s="29" t="e">
        <f>VLOOKUP(C4340,'점포코드 '!A:B,2,0)</f>
        <v>#N/A</v>
      </c>
      <c r="E4340" s="30">
        <f>'Raw data'!P3916</f>
        <v>0</v>
      </c>
      <c r="F4340" s="29" t="e">
        <f>VLOOKUP(E4340,'점포코드 '!A:B,2,0)</f>
        <v>#N/A</v>
      </c>
      <c r="G4340" s="46">
        <f>'Raw data'!F4249</f>
        <v>0</v>
      </c>
      <c r="H4340" s="4">
        <f>'Raw data'!G4249</f>
        <v>0</v>
      </c>
      <c r="I4340" s="29" t="e">
        <f>VLOOKUP(G4340,제품명!$C$1:$E$114,2,0)</f>
        <v>#N/A</v>
      </c>
      <c r="J4340" s="29">
        <f>'Raw data'!K4249</f>
        <v>0</v>
      </c>
      <c r="K4340" s="31">
        <f>'Raw data'!H4249</f>
        <v>0</v>
      </c>
      <c r="L4340" s="26">
        <f t="shared" si="138"/>
        <v>0</v>
      </c>
    </row>
    <row r="4341" spans="2:12">
      <c r="B4341" s="4" t="e">
        <f t="shared" si="137"/>
        <v>#N/A</v>
      </c>
      <c r="C4341" s="4">
        <f>'Raw data'!E3917</f>
        <v>0</v>
      </c>
      <c r="D4341" s="29" t="e">
        <f>VLOOKUP(C4341,'점포코드 '!A:B,2,0)</f>
        <v>#N/A</v>
      </c>
      <c r="E4341" s="30">
        <f>'Raw data'!P3917</f>
        <v>0</v>
      </c>
      <c r="F4341" s="29" t="e">
        <f>VLOOKUP(E4341,'점포코드 '!A:B,2,0)</f>
        <v>#N/A</v>
      </c>
      <c r="G4341" s="46">
        <f>'Raw data'!F4250</f>
        <v>0</v>
      </c>
      <c r="H4341" s="4">
        <f>'Raw data'!G4250</f>
        <v>0</v>
      </c>
      <c r="I4341" s="29" t="e">
        <f>VLOOKUP(G4341,제품명!$C$1:$E$114,2,0)</f>
        <v>#N/A</v>
      </c>
      <c r="J4341" s="29">
        <f>'Raw data'!K4250</f>
        <v>0</v>
      </c>
      <c r="K4341" s="31">
        <f>'Raw data'!H4250</f>
        <v>0</v>
      </c>
      <c r="L4341" s="26">
        <f t="shared" si="138"/>
        <v>0</v>
      </c>
    </row>
    <row r="4342" spans="2:12">
      <c r="B4342" s="4" t="e">
        <f t="shared" si="137"/>
        <v>#N/A</v>
      </c>
      <c r="C4342" s="4">
        <f>'Raw data'!E3918</f>
        <v>0</v>
      </c>
      <c r="D4342" s="29" t="e">
        <f>VLOOKUP(C4342,'점포코드 '!A:B,2,0)</f>
        <v>#N/A</v>
      </c>
      <c r="E4342" s="30">
        <f>'Raw data'!P3918</f>
        <v>0</v>
      </c>
      <c r="F4342" s="29" t="e">
        <f>VLOOKUP(E4342,'점포코드 '!A:B,2,0)</f>
        <v>#N/A</v>
      </c>
      <c r="G4342" s="46">
        <f>'Raw data'!F4251</f>
        <v>0</v>
      </c>
      <c r="H4342" s="4">
        <f>'Raw data'!G4251</f>
        <v>0</v>
      </c>
      <c r="I4342" s="29" t="e">
        <f>VLOOKUP(G4342,제품명!$C$1:$E$114,2,0)</f>
        <v>#N/A</v>
      </c>
      <c r="J4342" s="29">
        <f>'Raw data'!K4251</f>
        <v>0</v>
      </c>
      <c r="K4342" s="31">
        <f>'Raw data'!H4251</f>
        <v>0</v>
      </c>
      <c r="L4342" s="26">
        <f t="shared" si="138"/>
        <v>0</v>
      </c>
    </row>
    <row r="4343" spans="2:12">
      <c r="B4343" s="4" t="e">
        <f t="shared" si="137"/>
        <v>#N/A</v>
      </c>
      <c r="C4343" s="4">
        <f>'Raw data'!E3919</f>
        <v>0</v>
      </c>
      <c r="D4343" s="29" t="e">
        <f>VLOOKUP(C4343,'점포코드 '!A:B,2,0)</f>
        <v>#N/A</v>
      </c>
      <c r="E4343" s="30">
        <f>'Raw data'!P3919</f>
        <v>0</v>
      </c>
      <c r="F4343" s="29" t="e">
        <f>VLOOKUP(E4343,'점포코드 '!A:B,2,0)</f>
        <v>#N/A</v>
      </c>
      <c r="G4343" s="46">
        <f>'Raw data'!F4252</f>
        <v>0</v>
      </c>
      <c r="H4343" s="4">
        <f>'Raw data'!G4252</f>
        <v>0</v>
      </c>
      <c r="I4343" s="29" t="e">
        <f>VLOOKUP(G4343,제품명!$C$1:$E$114,2,0)</f>
        <v>#N/A</v>
      </c>
      <c r="J4343" s="29">
        <f>'Raw data'!K4252</f>
        <v>0</v>
      </c>
      <c r="K4343" s="31">
        <f>'Raw data'!H4252</f>
        <v>0</v>
      </c>
      <c r="L4343" s="26">
        <f t="shared" si="138"/>
        <v>0</v>
      </c>
    </row>
    <row r="4344" spans="2:12">
      <c r="B4344" s="4" t="e">
        <f t="shared" si="137"/>
        <v>#N/A</v>
      </c>
      <c r="C4344" s="4">
        <f>'Raw data'!E3920</f>
        <v>0</v>
      </c>
      <c r="D4344" s="29" t="e">
        <f>VLOOKUP(C4344,'점포코드 '!A:B,2,0)</f>
        <v>#N/A</v>
      </c>
      <c r="E4344" s="30">
        <f>'Raw data'!P3920</f>
        <v>0</v>
      </c>
      <c r="F4344" s="29" t="e">
        <f>VLOOKUP(E4344,'점포코드 '!A:B,2,0)</f>
        <v>#N/A</v>
      </c>
      <c r="G4344" s="46">
        <f>'Raw data'!F4253</f>
        <v>0</v>
      </c>
      <c r="H4344" s="4">
        <f>'Raw data'!G4253</f>
        <v>0</v>
      </c>
      <c r="I4344" s="29" t="e">
        <f>VLOOKUP(G4344,제품명!$C$1:$E$114,2,0)</f>
        <v>#N/A</v>
      </c>
      <c r="J4344" s="29">
        <f>'Raw data'!K4253</f>
        <v>0</v>
      </c>
      <c r="K4344" s="31">
        <f>'Raw data'!H4253</f>
        <v>0</v>
      </c>
      <c r="L4344" s="26">
        <f t="shared" si="138"/>
        <v>0</v>
      </c>
    </row>
    <row r="4345" spans="2:12">
      <c r="B4345" s="4" t="e">
        <f t="shared" si="137"/>
        <v>#N/A</v>
      </c>
      <c r="C4345" s="4">
        <f>'Raw data'!E3921</f>
        <v>0</v>
      </c>
      <c r="D4345" s="29" t="e">
        <f>VLOOKUP(C4345,'점포코드 '!A:B,2,0)</f>
        <v>#N/A</v>
      </c>
      <c r="E4345" s="30">
        <f>'Raw data'!P3921</f>
        <v>0</v>
      </c>
      <c r="F4345" s="29" t="e">
        <f>VLOOKUP(E4345,'점포코드 '!A:B,2,0)</f>
        <v>#N/A</v>
      </c>
      <c r="G4345" s="46">
        <f>'Raw data'!F4254</f>
        <v>0</v>
      </c>
      <c r="H4345" s="4">
        <f>'Raw data'!G4254</f>
        <v>0</v>
      </c>
      <c r="I4345" s="29" t="e">
        <f>VLOOKUP(G4345,제품명!$C$1:$E$114,2,0)</f>
        <v>#N/A</v>
      </c>
      <c r="J4345" s="29">
        <f>'Raw data'!K4254</f>
        <v>0</v>
      </c>
      <c r="K4345" s="31">
        <f>'Raw data'!H4254</f>
        <v>0</v>
      </c>
      <c r="L4345" s="26">
        <f t="shared" si="138"/>
        <v>0</v>
      </c>
    </row>
    <row r="4346" spans="2:12">
      <c r="B4346" s="4" t="e">
        <f t="shared" si="137"/>
        <v>#N/A</v>
      </c>
      <c r="C4346" s="4">
        <f>'Raw data'!E3922</f>
        <v>0</v>
      </c>
      <c r="D4346" s="29" t="e">
        <f>VLOOKUP(C4346,'점포코드 '!A:B,2,0)</f>
        <v>#N/A</v>
      </c>
      <c r="E4346" s="30">
        <f>'Raw data'!P3922</f>
        <v>0</v>
      </c>
      <c r="F4346" s="29" t="e">
        <f>VLOOKUP(E4346,'점포코드 '!A:B,2,0)</f>
        <v>#N/A</v>
      </c>
      <c r="G4346" s="46">
        <f>'Raw data'!F4255</f>
        <v>0</v>
      </c>
      <c r="H4346" s="4">
        <f>'Raw data'!G4255</f>
        <v>0</v>
      </c>
      <c r="I4346" s="29" t="e">
        <f>VLOOKUP(G4346,제품명!$C$1:$E$114,2,0)</f>
        <v>#N/A</v>
      </c>
      <c r="J4346" s="29">
        <f>'Raw data'!K4255</f>
        <v>0</v>
      </c>
      <c r="K4346" s="31">
        <f>'Raw data'!H4255</f>
        <v>0</v>
      </c>
      <c r="L4346" s="26">
        <f t="shared" si="138"/>
        <v>0</v>
      </c>
    </row>
    <row r="4347" spans="2:12">
      <c r="B4347" s="4" t="e">
        <f t="shared" si="137"/>
        <v>#N/A</v>
      </c>
      <c r="C4347" s="4">
        <f>'Raw data'!E3923</f>
        <v>0</v>
      </c>
      <c r="D4347" s="29" t="e">
        <f>VLOOKUP(C4347,'점포코드 '!A:B,2,0)</f>
        <v>#N/A</v>
      </c>
      <c r="E4347" s="30">
        <f>'Raw data'!P3923</f>
        <v>0</v>
      </c>
      <c r="F4347" s="29" t="e">
        <f>VLOOKUP(E4347,'점포코드 '!A:B,2,0)</f>
        <v>#N/A</v>
      </c>
      <c r="G4347" s="46">
        <f>'Raw data'!F4256</f>
        <v>0</v>
      </c>
      <c r="H4347" s="4">
        <f>'Raw data'!G4256</f>
        <v>0</v>
      </c>
      <c r="I4347" s="29" t="e">
        <f>VLOOKUP(G4347,제품명!$C$1:$E$114,2,0)</f>
        <v>#N/A</v>
      </c>
      <c r="J4347" s="29">
        <f>'Raw data'!K4256</f>
        <v>0</v>
      </c>
      <c r="K4347" s="31">
        <f>'Raw data'!H4256</f>
        <v>0</v>
      </c>
      <c r="L4347" s="26">
        <f t="shared" si="138"/>
        <v>0</v>
      </c>
    </row>
    <row r="4348" spans="2:12">
      <c r="B4348" s="4" t="e">
        <f t="shared" si="137"/>
        <v>#N/A</v>
      </c>
      <c r="C4348" s="4">
        <f>'Raw data'!E3924</f>
        <v>0</v>
      </c>
      <c r="D4348" s="29" t="e">
        <f>VLOOKUP(C4348,'점포코드 '!A:B,2,0)</f>
        <v>#N/A</v>
      </c>
      <c r="E4348" s="30">
        <f>'Raw data'!P3924</f>
        <v>0</v>
      </c>
      <c r="F4348" s="29" t="e">
        <f>VLOOKUP(E4348,'점포코드 '!A:B,2,0)</f>
        <v>#N/A</v>
      </c>
      <c r="G4348" s="46">
        <f>'Raw data'!F4257</f>
        <v>0</v>
      </c>
      <c r="H4348" s="4">
        <f>'Raw data'!G4257</f>
        <v>0</v>
      </c>
      <c r="I4348" s="29" t="e">
        <f>VLOOKUP(G4348,제품명!$C$1:$E$114,2,0)</f>
        <v>#N/A</v>
      </c>
      <c r="J4348" s="29">
        <f>'Raw data'!K4257</f>
        <v>0</v>
      </c>
      <c r="K4348" s="31">
        <f>'Raw data'!H4257</f>
        <v>0</v>
      </c>
      <c r="L4348" s="26">
        <f t="shared" si="138"/>
        <v>0</v>
      </c>
    </row>
    <row r="4349" spans="2:12">
      <c r="B4349" s="4" t="e">
        <f t="shared" si="137"/>
        <v>#N/A</v>
      </c>
      <c r="C4349" s="4">
        <f>'Raw data'!E3925</f>
        <v>0</v>
      </c>
      <c r="D4349" s="29" t="e">
        <f>VLOOKUP(C4349,'점포코드 '!A:B,2,0)</f>
        <v>#N/A</v>
      </c>
      <c r="E4349" s="30">
        <f>'Raw data'!P3925</f>
        <v>0</v>
      </c>
      <c r="F4349" s="29" t="e">
        <f>VLOOKUP(E4349,'점포코드 '!A:B,2,0)</f>
        <v>#N/A</v>
      </c>
      <c r="G4349" s="46">
        <f>'Raw data'!F4258</f>
        <v>0</v>
      </c>
      <c r="H4349" s="4">
        <f>'Raw data'!G4258</f>
        <v>0</v>
      </c>
      <c r="I4349" s="29" t="e">
        <f>VLOOKUP(G4349,제품명!$C$1:$E$114,2,0)</f>
        <v>#N/A</v>
      </c>
      <c r="J4349" s="29">
        <f>'Raw data'!K4258</f>
        <v>0</v>
      </c>
      <c r="K4349" s="31">
        <f>'Raw data'!H4258</f>
        <v>0</v>
      </c>
      <c r="L4349" s="26">
        <f t="shared" si="138"/>
        <v>0</v>
      </c>
    </row>
    <row r="4350" spans="2:12">
      <c r="B4350" s="4" t="e">
        <f t="shared" si="137"/>
        <v>#N/A</v>
      </c>
      <c r="C4350" s="4">
        <f>'Raw data'!E3926</f>
        <v>0</v>
      </c>
      <c r="D4350" s="29" t="e">
        <f>VLOOKUP(C4350,'점포코드 '!A:B,2,0)</f>
        <v>#N/A</v>
      </c>
      <c r="E4350" s="30">
        <f>'Raw data'!P3926</f>
        <v>0</v>
      </c>
      <c r="F4350" s="29" t="e">
        <f>VLOOKUP(E4350,'점포코드 '!A:B,2,0)</f>
        <v>#N/A</v>
      </c>
      <c r="G4350" s="46">
        <f>'Raw data'!F4259</f>
        <v>0</v>
      </c>
      <c r="H4350" s="4">
        <f>'Raw data'!G4259</f>
        <v>0</v>
      </c>
      <c r="I4350" s="29" t="e">
        <f>VLOOKUP(G4350,제품명!$C$1:$E$114,2,0)</f>
        <v>#N/A</v>
      </c>
      <c r="J4350" s="29">
        <f>'Raw data'!K4259</f>
        <v>0</v>
      </c>
      <c r="K4350" s="31">
        <f>'Raw data'!H4259</f>
        <v>0</v>
      </c>
      <c r="L4350" s="26">
        <f t="shared" si="138"/>
        <v>0</v>
      </c>
    </row>
    <row r="4351" spans="2:12">
      <c r="B4351" s="4" t="e">
        <f t="shared" si="137"/>
        <v>#N/A</v>
      </c>
      <c r="C4351" s="4">
        <f>'Raw data'!E3927</f>
        <v>0</v>
      </c>
      <c r="D4351" s="29" t="e">
        <f>VLOOKUP(C4351,'점포코드 '!A:B,2,0)</f>
        <v>#N/A</v>
      </c>
      <c r="E4351" s="30">
        <f>'Raw data'!P3927</f>
        <v>0</v>
      </c>
      <c r="F4351" s="29" t="e">
        <f>VLOOKUP(E4351,'점포코드 '!A:B,2,0)</f>
        <v>#N/A</v>
      </c>
      <c r="G4351" s="46">
        <f>'Raw data'!F4260</f>
        <v>0</v>
      </c>
      <c r="H4351" s="4">
        <f>'Raw data'!G4260</f>
        <v>0</v>
      </c>
      <c r="I4351" s="29" t="e">
        <f>VLOOKUP(G4351,제품명!$C$1:$E$114,2,0)</f>
        <v>#N/A</v>
      </c>
      <c r="J4351" s="29">
        <f>'Raw data'!K4260</f>
        <v>0</v>
      </c>
      <c r="K4351" s="31">
        <f>'Raw data'!H4260</f>
        <v>0</v>
      </c>
      <c r="L4351" s="26">
        <f t="shared" si="138"/>
        <v>0</v>
      </c>
    </row>
    <row r="4352" spans="2:12">
      <c r="B4352" s="4" t="e">
        <f t="shared" si="137"/>
        <v>#N/A</v>
      </c>
      <c r="C4352" s="4">
        <f>'Raw data'!E3928</f>
        <v>0</v>
      </c>
      <c r="D4352" s="29" t="e">
        <f>VLOOKUP(C4352,'점포코드 '!A:B,2,0)</f>
        <v>#N/A</v>
      </c>
      <c r="E4352" s="30">
        <f>'Raw data'!P3928</f>
        <v>0</v>
      </c>
      <c r="F4352" s="29" t="e">
        <f>VLOOKUP(E4352,'점포코드 '!A:B,2,0)</f>
        <v>#N/A</v>
      </c>
      <c r="G4352" s="46">
        <f>'Raw data'!F4261</f>
        <v>0</v>
      </c>
      <c r="H4352" s="4">
        <f>'Raw data'!G4261</f>
        <v>0</v>
      </c>
      <c r="I4352" s="29" t="e">
        <f>VLOOKUP(G4352,제품명!$C$1:$E$114,2,0)</f>
        <v>#N/A</v>
      </c>
      <c r="J4352" s="29">
        <f>'Raw data'!K4261</f>
        <v>0</v>
      </c>
      <c r="K4352" s="31">
        <f>'Raw data'!H4261</f>
        <v>0</v>
      </c>
      <c r="L4352" s="26">
        <f t="shared" si="138"/>
        <v>0</v>
      </c>
    </row>
    <row r="4353" spans="2:12">
      <c r="B4353" s="4" t="e">
        <f t="shared" si="137"/>
        <v>#N/A</v>
      </c>
      <c r="C4353" s="4">
        <f>'Raw data'!E3929</f>
        <v>0</v>
      </c>
      <c r="D4353" s="29" t="e">
        <f>VLOOKUP(C4353,'점포코드 '!A:B,2,0)</f>
        <v>#N/A</v>
      </c>
      <c r="E4353" s="30">
        <f>'Raw data'!P3929</f>
        <v>0</v>
      </c>
      <c r="F4353" s="29" t="e">
        <f>VLOOKUP(E4353,'점포코드 '!A:B,2,0)</f>
        <v>#N/A</v>
      </c>
      <c r="G4353" s="46">
        <f>'Raw data'!F4262</f>
        <v>0</v>
      </c>
      <c r="H4353" s="4">
        <f>'Raw data'!G4262</f>
        <v>0</v>
      </c>
      <c r="I4353" s="29" t="e">
        <f>VLOOKUP(G4353,제품명!$C$1:$E$114,2,0)</f>
        <v>#N/A</v>
      </c>
      <c r="J4353" s="29">
        <f>'Raw data'!K4262</f>
        <v>0</v>
      </c>
      <c r="K4353" s="31">
        <f>'Raw data'!H4262</f>
        <v>0</v>
      </c>
      <c r="L4353" s="26">
        <f t="shared" si="138"/>
        <v>0</v>
      </c>
    </row>
    <row r="4354" spans="2:12">
      <c r="B4354" s="4" t="e">
        <f t="shared" ref="B4354:B4417" si="139">F4354&amp;I4354</f>
        <v>#N/A</v>
      </c>
      <c r="C4354" s="4">
        <f>'Raw data'!E3930</f>
        <v>0</v>
      </c>
      <c r="D4354" s="29" t="e">
        <f>VLOOKUP(C4354,'점포코드 '!A:B,2,0)</f>
        <v>#N/A</v>
      </c>
      <c r="E4354" s="30">
        <f>'Raw data'!P3930</f>
        <v>0</v>
      </c>
      <c r="F4354" s="29" t="e">
        <f>VLOOKUP(E4354,'점포코드 '!A:B,2,0)</f>
        <v>#N/A</v>
      </c>
      <c r="G4354" s="46">
        <f>'Raw data'!F4263</f>
        <v>0</v>
      </c>
      <c r="H4354" s="4">
        <f>'Raw data'!G4263</f>
        <v>0</v>
      </c>
      <c r="I4354" s="29" t="e">
        <f>VLOOKUP(G4354,제품명!$C$1:$E$114,2,0)</f>
        <v>#N/A</v>
      </c>
      <c r="J4354" s="29">
        <f>'Raw data'!K4263</f>
        <v>0</v>
      </c>
      <c r="K4354" s="31">
        <f>'Raw data'!H4263</f>
        <v>0</v>
      </c>
      <c r="L4354" s="26">
        <f t="shared" si="138"/>
        <v>0</v>
      </c>
    </row>
    <row r="4355" spans="2:12">
      <c r="B4355" s="4" t="e">
        <f t="shared" si="139"/>
        <v>#N/A</v>
      </c>
      <c r="C4355" s="4">
        <f>'Raw data'!E3931</f>
        <v>0</v>
      </c>
      <c r="D4355" s="29" t="e">
        <f>VLOOKUP(C4355,'점포코드 '!A:B,2,0)</f>
        <v>#N/A</v>
      </c>
      <c r="E4355" s="30">
        <f>'Raw data'!P3931</f>
        <v>0</v>
      </c>
      <c r="F4355" s="29" t="e">
        <f>VLOOKUP(E4355,'점포코드 '!A:B,2,0)</f>
        <v>#N/A</v>
      </c>
      <c r="G4355" s="46">
        <f>'Raw data'!F4264</f>
        <v>0</v>
      </c>
      <c r="H4355" s="4">
        <f>'Raw data'!G4264</f>
        <v>0</v>
      </c>
      <c r="I4355" s="29" t="e">
        <f>VLOOKUP(G4355,제품명!$C$1:$E$114,2,0)</f>
        <v>#N/A</v>
      </c>
      <c r="J4355" s="29">
        <f>'Raw data'!K4264</f>
        <v>0</v>
      </c>
      <c r="K4355" s="31">
        <f>'Raw data'!H4264</f>
        <v>0</v>
      </c>
      <c r="L4355" s="26">
        <f t="shared" ref="L4355:L4418" si="140">J4355*K4355</f>
        <v>0</v>
      </c>
    </row>
    <row r="4356" spans="2:12">
      <c r="B4356" s="4" t="e">
        <f t="shared" si="139"/>
        <v>#N/A</v>
      </c>
      <c r="C4356" s="4">
        <f>'Raw data'!E3932</f>
        <v>0</v>
      </c>
      <c r="D4356" s="29" t="e">
        <f>VLOOKUP(C4356,'점포코드 '!A:B,2,0)</f>
        <v>#N/A</v>
      </c>
      <c r="E4356" s="30">
        <f>'Raw data'!P3932</f>
        <v>0</v>
      </c>
      <c r="F4356" s="29" t="e">
        <f>VLOOKUP(E4356,'점포코드 '!A:B,2,0)</f>
        <v>#N/A</v>
      </c>
      <c r="G4356" s="46">
        <f>'Raw data'!F4265</f>
        <v>0</v>
      </c>
      <c r="H4356" s="4">
        <f>'Raw data'!G4265</f>
        <v>0</v>
      </c>
      <c r="I4356" s="29" t="e">
        <f>VLOOKUP(G4356,제품명!$C$1:$E$114,2,0)</f>
        <v>#N/A</v>
      </c>
      <c r="J4356" s="29">
        <f>'Raw data'!K4265</f>
        <v>0</v>
      </c>
      <c r="K4356" s="31">
        <f>'Raw data'!H4265</f>
        <v>0</v>
      </c>
      <c r="L4356" s="26">
        <f t="shared" si="140"/>
        <v>0</v>
      </c>
    </row>
    <row r="4357" spans="2:12">
      <c r="B4357" s="4" t="e">
        <f t="shared" si="139"/>
        <v>#N/A</v>
      </c>
      <c r="C4357" s="4">
        <f>'Raw data'!E3933</f>
        <v>0</v>
      </c>
      <c r="D4357" s="29" t="e">
        <f>VLOOKUP(C4357,'점포코드 '!A:B,2,0)</f>
        <v>#N/A</v>
      </c>
      <c r="E4357" s="30">
        <f>'Raw data'!P3933</f>
        <v>0</v>
      </c>
      <c r="F4357" s="29" t="e">
        <f>VLOOKUP(E4357,'점포코드 '!A:B,2,0)</f>
        <v>#N/A</v>
      </c>
      <c r="G4357" s="46">
        <f>'Raw data'!F4266</f>
        <v>0</v>
      </c>
      <c r="H4357" s="4">
        <f>'Raw data'!G4266</f>
        <v>0</v>
      </c>
      <c r="I4357" s="29" t="e">
        <f>VLOOKUP(G4357,제품명!$C$1:$E$114,2,0)</f>
        <v>#N/A</v>
      </c>
      <c r="J4357" s="29">
        <f>'Raw data'!K4266</f>
        <v>0</v>
      </c>
      <c r="K4357" s="31">
        <f>'Raw data'!H4266</f>
        <v>0</v>
      </c>
      <c r="L4357" s="26">
        <f t="shared" si="140"/>
        <v>0</v>
      </c>
    </row>
    <row r="4358" spans="2:12">
      <c r="B4358" s="4" t="e">
        <f t="shared" si="139"/>
        <v>#N/A</v>
      </c>
      <c r="C4358" s="4">
        <f>'Raw data'!E3934</f>
        <v>0</v>
      </c>
      <c r="D4358" s="29" t="e">
        <f>VLOOKUP(C4358,'점포코드 '!A:B,2,0)</f>
        <v>#N/A</v>
      </c>
      <c r="E4358" s="30">
        <f>'Raw data'!P3934</f>
        <v>0</v>
      </c>
      <c r="F4358" s="29" t="e">
        <f>VLOOKUP(E4358,'점포코드 '!A:B,2,0)</f>
        <v>#N/A</v>
      </c>
      <c r="G4358" s="46">
        <f>'Raw data'!F4267</f>
        <v>0</v>
      </c>
      <c r="H4358" s="4">
        <f>'Raw data'!G4267</f>
        <v>0</v>
      </c>
      <c r="I4358" s="29" t="e">
        <f>VLOOKUP(G4358,제품명!$C$1:$E$114,2,0)</f>
        <v>#N/A</v>
      </c>
      <c r="J4358" s="29">
        <f>'Raw data'!K4267</f>
        <v>0</v>
      </c>
      <c r="K4358" s="31">
        <f>'Raw data'!H4267</f>
        <v>0</v>
      </c>
      <c r="L4358" s="26">
        <f t="shared" si="140"/>
        <v>0</v>
      </c>
    </row>
    <row r="4359" spans="2:12">
      <c r="B4359" s="4" t="e">
        <f t="shared" si="139"/>
        <v>#N/A</v>
      </c>
      <c r="C4359" s="4">
        <f>'Raw data'!E3935</f>
        <v>0</v>
      </c>
      <c r="D4359" s="29" t="e">
        <f>VLOOKUP(C4359,'점포코드 '!A:B,2,0)</f>
        <v>#N/A</v>
      </c>
      <c r="E4359" s="30">
        <f>'Raw data'!P3935</f>
        <v>0</v>
      </c>
      <c r="F4359" s="29" t="e">
        <f>VLOOKUP(E4359,'점포코드 '!A:B,2,0)</f>
        <v>#N/A</v>
      </c>
      <c r="G4359" s="46">
        <f>'Raw data'!F4268</f>
        <v>0</v>
      </c>
      <c r="H4359" s="4">
        <f>'Raw data'!G4268</f>
        <v>0</v>
      </c>
      <c r="I4359" s="29" t="e">
        <f>VLOOKUP(G4359,제품명!$C$1:$E$114,2,0)</f>
        <v>#N/A</v>
      </c>
      <c r="J4359" s="29">
        <f>'Raw data'!K4268</f>
        <v>0</v>
      </c>
      <c r="K4359" s="31">
        <f>'Raw data'!H4268</f>
        <v>0</v>
      </c>
      <c r="L4359" s="26">
        <f t="shared" si="140"/>
        <v>0</v>
      </c>
    </row>
    <row r="4360" spans="2:12">
      <c r="B4360" s="4" t="e">
        <f t="shared" si="139"/>
        <v>#N/A</v>
      </c>
      <c r="C4360" s="4">
        <f>'Raw data'!E3936</f>
        <v>0</v>
      </c>
      <c r="D4360" s="29" t="e">
        <f>VLOOKUP(C4360,'점포코드 '!A:B,2,0)</f>
        <v>#N/A</v>
      </c>
      <c r="E4360" s="30">
        <f>'Raw data'!P3936</f>
        <v>0</v>
      </c>
      <c r="F4360" s="29" t="e">
        <f>VLOOKUP(E4360,'점포코드 '!A:B,2,0)</f>
        <v>#N/A</v>
      </c>
      <c r="G4360" s="46">
        <f>'Raw data'!F4269</f>
        <v>0</v>
      </c>
      <c r="H4360" s="4">
        <f>'Raw data'!G4269</f>
        <v>0</v>
      </c>
      <c r="I4360" s="29" t="e">
        <f>VLOOKUP(G4360,제품명!$C$1:$E$114,2,0)</f>
        <v>#N/A</v>
      </c>
      <c r="J4360" s="29">
        <f>'Raw data'!K4269</f>
        <v>0</v>
      </c>
      <c r="K4360" s="31">
        <f>'Raw data'!H4269</f>
        <v>0</v>
      </c>
      <c r="L4360" s="26">
        <f t="shared" si="140"/>
        <v>0</v>
      </c>
    </row>
    <row r="4361" spans="2:12">
      <c r="B4361" s="4" t="e">
        <f t="shared" si="139"/>
        <v>#N/A</v>
      </c>
      <c r="C4361" s="4">
        <f>'Raw data'!E3937</f>
        <v>0</v>
      </c>
      <c r="D4361" s="29" t="e">
        <f>VLOOKUP(C4361,'점포코드 '!A:B,2,0)</f>
        <v>#N/A</v>
      </c>
      <c r="E4361" s="30">
        <f>'Raw data'!P3937</f>
        <v>0</v>
      </c>
      <c r="F4361" s="29" t="e">
        <f>VLOOKUP(E4361,'점포코드 '!A:B,2,0)</f>
        <v>#N/A</v>
      </c>
      <c r="G4361" s="46">
        <f>'Raw data'!F4270</f>
        <v>0</v>
      </c>
      <c r="H4361" s="4">
        <f>'Raw data'!G4270</f>
        <v>0</v>
      </c>
      <c r="I4361" s="29" t="e">
        <f>VLOOKUP(G4361,제품명!$C$1:$E$114,2,0)</f>
        <v>#N/A</v>
      </c>
      <c r="J4361" s="29">
        <f>'Raw data'!K4270</f>
        <v>0</v>
      </c>
      <c r="K4361" s="31">
        <f>'Raw data'!H4270</f>
        <v>0</v>
      </c>
      <c r="L4361" s="26">
        <f t="shared" si="140"/>
        <v>0</v>
      </c>
    </row>
    <row r="4362" spans="2:12">
      <c r="B4362" s="4" t="e">
        <f t="shared" si="139"/>
        <v>#N/A</v>
      </c>
      <c r="C4362" s="4">
        <f>'Raw data'!E3938</f>
        <v>0</v>
      </c>
      <c r="D4362" s="29" t="e">
        <f>VLOOKUP(C4362,'점포코드 '!A:B,2,0)</f>
        <v>#N/A</v>
      </c>
      <c r="E4362" s="30">
        <f>'Raw data'!P3938</f>
        <v>0</v>
      </c>
      <c r="F4362" s="29" t="e">
        <f>VLOOKUP(E4362,'점포코드 '!A:B,2,0)</f>
        <v>#N/A</v>
      </c>
      <c r="G4362" s="46">
        <f>'Raw data'!F4271</f>
        <v>0</v>
      </c>
      <c r="H4362" s="4">
        <f>'Raw data'!G4271</f>
        <v>0</v>
      </c>
      <c r="I4362" s="29" t="e">
        <f>VLOOKUP(G4362,제품명!$C$1:$E$114,2,0)</f>
        <v>#N/A</v>
      </c>
      <c r="J4362" s="29">
        <f>'Raw data'!K4271</f>
        <v>0</v>
      </c>
      <c r="K4362" s="31">
        <f>'Raw data'!H4271</f>
        <v>0</v>
      </c>
      <c r="L4362" s="26">
        <f t="shared" si="140"/>
        <v>0</v>
      </c>
    </row>
    <row r="4363" spans="2:12">
      <c r="B4363" s="4" t="e">
        <f t="shared" si="139"/>
        <v>#N/A</v>
      </c>
      <c r="C4363" s="4">
        <f>'Raw data'!E3939</f>
        <v>0</v>
      </c>
      <c r="D4363" s="29" t="e">
        <f>VLOOKUP(C4363,'점포코드 '!A:B,2,0)</f>
        <v>#N/A</v>
      </c>
      <c r="E4363" s="30">
        <f>'Raw data'!P3939</f>
        <v>0</v>
      </c>
      <c r="F4363" s="29" t="e">
        <f>VLOOKUP(E4363,'점포코드 '!A:B,2,0)</f>
        <v>#N/A</v>
      </c>
      <c r="G4363" s="46">
        <f>'Raw data'!F4272</f>
        <v>0</v>
      </c>
      <c r="H4363" s="4">
        <f>'Raw data'!G4272</f>
        <v>0</v>
      </c>
      <c r="I4363" s="29" t="e">
        <f>VLOOKUP(G4363,제품명!$C$1:$E$114,2,0)</f>
        <v>#N/A</v>
      </c>
      <c r="J4363" s="29">
        <f>'Raw data'!K4272</f>
        <v>0</v>
      </c>
      <c r="K4363" s="31">
        <f>'Raw data'!H4272</f>
        <v>0</v>
      </c>
      <c r="L4363" s="26">
        <f t="shared" si="140"/>
        <v>0</v>
      </c>
    </row>
    <row r="4364" spans="2:12">
      <c r="B4364" s="4" t="e">
        <f t="shared" si="139"/>
        <v>#N/A</v>
      </c>
      <c r="C4364" s="4">
        <f>'Raw data'!E3940</f>
        <v>0</v>
      </c>
      <c r="D4364" s="29" t="e">
        <f>VLOOKUP(C4364,'점포코드 '!A:B,2,0)</f>
        <v>#N/A</v>
      </c>
      <c r="E4364" s="30">
        <f>'Raw data'!P3940</f>
        <v>0</v>
      </c>
      <c r="F4364" s="29" t="e">
        <f>VLOOKUP(E4364,'점포코드 '!A:B,2,0)</f>
        <v>#N/A</v>
      </c>
      <c r="G4364" s="46">
        <f>'Raw data'!F4273</f>
        <v>0</v>
      </c>
      <c r="H4364" s="4">
        <f>'Raw data'!G4273</f>
        <v>0</v>
      </c>
      <c r="I4364" s="29" t="e">
        <f>VLOOKUP(G4364,제품명!$C$1:$E$114,2,0)</f>
        <v>#N/A</v>
      </c>
      <c r="J4364" s="29">
        <f>'Raw data'!K4273</f>
        <v>0</v>
      </c>
      <c r="K4364" s="31">
        <f>'Raw data'!H4273</f>
        <v>0</v>
      </c>
      <c r="L4364" s="26">
        <f t="shared" si="140"/>
        <v>0</v>
      </c>
    </row>
    <row r="4365" spans="2:12">
      <c r="B4365" s="4" t="e">
        <f t="shared" si="139"/>
        <v>#N/A</v>
      </c>
      <c r="C4365" s="4">
        <f>'Raw data'!E3941</f>
        <v>0</v>
      </c>
      <c r="D4365" s="29" t="e">
        <f>VLOOKUP(C4365,'점포코드 '!A:B,2,0)</f>
        <v>#N/A</v>
      </c>
      <c r="E4365" s="30">
        <f>'Raw data'!P3941</f>
        <v>0</v>
      </c>
      <c r="F4365" s="29" t="e">
        <f>VLOOKUP(E4365,'점포코드 '!A:B,2,0)</f>
        <v>#N/A</v>
      </c>
      <c r="G4365" s="46">
        <f>'Raw data'!F4274</f>
        <v>0</v>
      </c>
      <c r="H4365" s="4">
        <f>'Raw data'!G4274</f>
        <v>0</v>
      </c>
      <c r="I4365" s="29" t="e">
        <f>VLOOKUP(G4365,제품명!$C$1:$E$114,2,0)</f>
        <v>#N/A</v>
      </c>
      <c r="J4365" s="29">
        <f>'Raw data'!K4274</f>
        <v>0</v>
      </c>
      <c r="K4365" s="31">
        <f>'Raw data'!H4274</f>
        <v>0</v>
      </c>
      <c r="L4365" s="26">
        <f t="shared" si="140"/>
        <v>0</v>
      </c>
    </row>
    <row r="4366" spans="2:12">
      <c r="B4366" s="4" t="e">
        <f t="shared" si="139"/>
        <v>#N/A</v>
      </c>
      <c r="C4366" s="4">
        <f>'Raw data'!E3942</f>
        <v>0</v>
      </c>
      <c r="D4366" s="29" t="e">
        <f>VLOOKUP(C4366,'점포코드 '!A:B,2,0)</f>
        <v>#N/A</v>
      </c>
      <c r="E4366" s="30">
        <f>'Raw data'!P3942</f>
        <v>0</v>
      </c>
      <c r="F4366" s="29" t="e">
        <f>VLOOKUP(E4366,'점포코드 '!A:B,2,0)</f>
        <v>#N/A</v>
      </c>
      <c r="G4366" s="46">
        <f>'Raw data'!F4275</f>
        <v>0</v>
      </c>
      <c r="H4366" s="4">
        <f>'Raw data'!G4275</f>
        <v>0</v>
      </c>
      <c r="I4366" s="29" t="e">
        <f>VLOOKUP(G4366,제품명!$C$1:$E$114,2,0)</f>
        <v>#N/A</v>
      </c>
      <c r="J4366" s="29">
        <f>'Raw data'!K4275</f>
        <v>0</v>
      </c>
      <c r="K4366" s="31">
        <f>'Raw data'!H4275</f>
        <v>0</v>
      </c>
      <c r="L4366" s="26">
        <f t="shared" si="140"/>
        <v>0</v>
      </c>
    </row>
    <row r="4367" spans="2:12">
      <c r="B4367" s="4" t="e">
        <f t="shared" si="139"/>
        <v>#N/A</v>
      </c>
      <c r="C4367" s="4">
        <f>'Raw data'!E3943</f>
        <v>0</v>
      </c>
      <c r="D4367" s="29" t="e">
        <f>VLOOKUP(C4367,'점포코드 '!A:B,2,0)</f>
        <v>#N/A</v>
      </c>
      <c r="E4367" s="30">
        <f>'Raw data'!P3943</f>
        <v>0</v>
      </c>
      <c r="F4367" s="29" t="e">
        <f>VLOOKUP(E4367,'점포코드 '!A:B,2,0)</f>
        <v>#N/A</v>
      </c>
      <c r="G4367" s="46">
        <f>'Raw data'!F4276</f>
        <v>0</v>
      </c>
      <c r="H4367" s="4">
        <f>'Raw data'!G4276</f>
        <v>0</v>
      </c>
      <c r="I4367" s="29" t="e">
        <f>VLOOKUP(G4367,제품명!$C$1:$E$114,2,0)</f>
        <v>#N/A</v>
      </c>
      <c r="J4367" s="29">
        <f>'Raw data'!K4276</f>
        <v>0</v>
      </c>
      <c r="K4367" s="31">
        <f>'Raw data'!H4276</f>
        <v>0</v>
      </c>
      <c r="L4367" s="26">
        <f t="shared" si="140"/>
        <v>0</v>
      </c>
    </row>
    <row r="4368" spans="2:12">
      <c r="B4368" s="4" t="e">
        <f t="shared" si="139"/>
        <v>#N/A</v>
      </c>
      <c r="C4368" s="4">
        <f>'Raw data'!E3944</f>
        <v>0</v>
      </c>
      <c r="D4368" s="29" t="e">
        <f>VLOOKUP(C4368,'점포코드 '!A:B,2,0)</f>
        <v>#N/A</v>
      </c>
      <c r="E4368" s="30">
        <f>'Raw data'!P3944</f>
        <v>0</v>
      </c>
      <c r="F4368" s="29" t="e">
        <f>VLOOKUP(E4368,'점포코드 '!A:B,2,0)</f>
        <v>#N/A</v>
      </c>
      <c r="G4368" s="46">
        <f>'Raw data'!F4277</f>
        <v>0</v>
      </c>
      <c r="H4368" s="4">
        <f>'Raw data'!G4277</f>
        <v>0</v>
      </c>
      <c r="I4368" s="29" t="e">
        <f>VLOOKUP(G4368,제품명!$C$1:$E$114,2,0)</f>
        <v>#N/A</v>
      </c>
      <c r="J4368" s="29">
        <f>'Raw data'!K4277</f>
        <v>0</v>
      </c>
      <c r="K4368" s="31">
        <f>'Raw data'!H4277</f>
        <v>0</v>
      </c>
      <c r="L4368" s="26">
        <f t="shared" si="140"/>
        <v>0</v>
      </c>
    </row>
    <row r="4369" spans="2:12">
      <c r="B4369" s="4" t="e">
        <f t="shared" si="139"/>
        <v>#N/A</v>
      </c>
      <c r="C4369" s="4">
        <f>'Raw data'!E3945</f>
        <v>0</v>
      </c>
      <c r="D4369" s="29" t="e">
        <f>VLOOKUP(C4369,'점포코드 '!A:B,2,0)</f>
        <v>#N/A</v>
      </c>
      <c r="E4369" s="30">
        <f>'Raw data'!P3945</f>
        <v>0</v>
      </c>
      <c r="F4369" s="29" t="e">
        <f>VLOOKUP(E4369,'점포코드 '!A:B,2,0)</f>
        <v>#N/A</v>
      </c>
      <c r="G4369" s="46">
        <f>'Raw data'!F4278</f>
        <v>0</v>
      </c>
      <c r="H4369" s="4">
        <f>'Raw data'!G4278</f>
        <v>0</v>
      </c>
      <c r="I4369" s="29" t="e">
        <f>VLOOKUP(G4369,제품명!$C$1:$E$114,2,0)</f>
        <v>#N/A</v>
      </c>
      <c r="J4369" s="29">
        <f>'Raw data'!K4278</f>
        <v>0</v>
      </c>
      <c r="K4369" s="31">
        <f>'Raw data'!H4278</f>
        <v>0</v>
      </c>
      <c r="L4369" s="26">
        <f t="shared" si="140"/>
        <v>0</v>
      </c>
    </row>
    <row r="4370" spans="2:12">
      <c r="B4370" s="4" t="e">
        <f t="shared" si="139"/>
        <v>#N/A</v>
      </c>
      <c r="C4370" s="4">
        <f>'Raw data'!E3946</f>
        <v>0</v>
      </c>
      <c r="D4370" s="29" t="e">
        <f>VLOOKUP(C4370,'점포코드 '!A:B,2,0)</f>
        <v>#N/A</v>
      </c>
      <c r="E4370" s="30">
        <f>'Raw data'!P3946</f>
        <v>0</v>
      </c>
      <c r="F4370" s="29" t="e">
        <f>VLOOKUP(E4370,'점포코드 '!A:B,2,0)</f>
        <v>#N/A</v>
      </c>
      <c r="G4370" s="46">
        <f>'Raw data'!F4279</f>
        <v>0</v>
      </c>
      <c r="H4370" s="4">
        <f>'Raw data'!G4279</f>
        <v>0</v>
      </c>
      <c r="I4370" s="29" t="e">
        <f>VLOOKUP(G4370,제품명!$C$1:$E$114,2,0)</f>
        <v>#N/A</v>
      </c>
      <c r="J4370" s="29">
        <f>'Raw data'!K4279</f>
        <v>0</v>
      </c>
      <c r="K4370" s="31">
        <f>'Raw data'!H4279</f>
        <v>0</v>
      </c>
      <c r="L4370" s="26">
        <f t="shared" si="140"/>
        <v>0</v>
      </c>
    </row>
    <row r="4371" spans="2:12">
      <c r="B4371" s="4" t="e">
        <f t="shared" si="139"/>
        <v>#N/A</v>
      </c>
      <c r="C4371" s="4">
        <f>'Raw data'!E3947</f>
        <v>0</v>
      </c>
      <c r="D4371" s="29" t="e">
        <f>VLOOKUP(C4371,'점포코드 '!A:B,2,0)</f>
        <v>#N/A</v>
      </c>
      <c r="E4371" s="30">
        <f>'Raw data'!P3947</f>
        <v>0</v>
      </c>
      <c r="F4371" s="29" t="e">
        <f>VLOOKUP(E4371,'점포코드 '!A:B,2,0)</f>
        <v>#N/A</v>
      </c>
      <c r="G4371" s="46">
        <f>'Raw data'!F4280</f>
        <v>0</v>
      </c>
      <c r="H4371" s="4">
        <f>'Raw data'!G4280</f>
        <v>0</v>
      </c>
      <c r="I4371" s="29" t="e">
        <f>VLOOKUP(G4371,제품명!$C$1:$E$114,2,0)</f>
        <v>#N/A</v>
      </c>
      <c r="J4371" s="29">
        <f>'Raw data'!K4280</f>
        <v>0</v>
      </c>
      <c r="K4371" s="31">
        <f>'Raw data'!H4280</f>
        <v>0</v>
      </c>
      <c r="L4371" s="26">
        <f t="shared" si="140"/>
        <v>0</v>
      </c>
    </row>
    <row r="4372" spans="2:12">
      <c r="B4372" s="4" t="e">
        <f t="shared" si="139"/>
        <v>#N/A</v>
      </c>
      <c r="C4372" s="4">
        <f>'Raw data'!E3948</f>
        <v>0</v>
      </c>
      <c r="D4372" s="29" t="e">
        <f>VLOOKUP(C4372,'점포코드 '!A:B,2,0)</f>
        <v>#N/A</v>
      </c>
      <c r="E4372" s="30">
        <f>'Raw data'!P3948</f>
        <v>0</v>
      </c>
      <c r="F4372" s="29" t="e">
        <f>VLOOKUP(E4372,'점포코드 '!A:B,2,0)</f>
        <v>#N/A</v>
      </c>
      <c r="G4372" s="46">
        <f>'Raw data'!F4281</f>
        <v>0</v>
      </c>
      <c r="H4372" s="4">
        <f>'Raw data'!G4281</f>
        <v>0</v>
      </c>
      <c r="I4372" s="29" t="e">
        <f>VLOOKUP(G4372,제품명!$C$1:$E$114,2,0)</f>
        <v>#N/A</v>
      </c>
      <c r="J4372" s="29">
        <f>'Raw data'!K4281</f>
        <v>0</v>
      </c>
      <c r="K4372" s="31">
        <f>'Raw data'!H4281</f>
        <v>0</v>
      </c>
      <c r="L4372" s="26">
        <f t="shared" si="140"/>
        <v>0</v>
      </c>
    </row>
    <row r="4373" spans="2:12">
      <c r="B4373" s="4" t="e">
        <f t="shared" si="139"/>
        <v>#N/A</v>
      </c>
      <c r="C4373" s="4">
        <f>'Raw data'!E3949</f>
        <v>0</v>
      </c>
      <c r="D4373" s="29" t="e">
        <f>VLOOKUP(C4373,'점포코드 '!A:B,2,0)</f>
        <v>#N/A</v>
      </c>
      <c r="E4373" s="30">
        <f>'Raw data'!P3949</f>
        <v>0</v>
      </c>
      <c r="F4373" s="29" t="e">
        <f>VLOOKUP(E4373,'점포코드 '!A:B,2,0)</f>
        <v>#N/A</v>
      </c>
      <c r="G4373" s="46">
        <f>'Raw data'!F4282</f>
        <v>0</v>
      </c>
      <c r="H4373" s="4">
        <f>'Raw data'!G4282</f>
        <v>0</v>
      </c>
      <c r="I4373" s="29" t="e">
        <f>VLOOKUP(G4373,제품명!$C$1:$E$114,2,0)</f>
        <v>#N/A</v>
      </c>
      <c r="J4373" s="29">
        <f>'Raw data'!K4282</f>
        <v>0</v>
      </c>
      <c r="K4373" s="31">
        <f>'Raw data'!H4282</f>
        <v>0</v>
      </c>
      <c r="L4373" s="26">
        <f t="shared" si="140"/>
        <v>0</v>
      </c>
    </row>
    <row r="4374" spans="2:12">
      <c r="B4374" s="4" t="e">
        <f t="shared" si="139"/>
        <v>#N/A</v>
      </c>
      <c r="C4374" s="4">
        <f>'Raw data'!E3950</f>
        <v>0</v>
      </c>
      <c r="D4374" s="29" t="e">
        <f>VLOOKUP(C4374,'점포코드 '!A:B,2,0)</f>
        <v>#N/A</v>
      </c>
      <c r="E4374" s="30">
        <f>'Raw data'!P3950</f>
        <v>0</v>
      </c>
      <c r="F4374" s="29" t="e">
        <f>VLOOKUP(E4374,'점포코드 '!A:B,2,0)</f>
        <v>#N/A</v>
      </c>
      <c r="G4374" s="46">
        <f>'Raw data'!F4283</f>
        <v>0</v>
      </c>
      <c r="H4374" s="4">
        <f>'Raw data'!G4283</f>
        <v>0</v>
      </c>
      <c r="I4374" s="29" t="e">
        <f>VLOOKUP(G4374,제품명!$C$1:$E$114,2,0)</f>
        <v>#N/A</v>
      </c>
      <c r="J4374" s="29">
        <f>'Raw data'!K4283</f>
        <v>0</v>
      </c>
      <c r="K4374" s="31">
        <f>'Raw data'!H4283</f>
        <v>0</v>
      </c>
      <c r="L4374" s="26">
        <f t="shared" si="140"/>
        <v>0</v>
      </c>
    </row>
    <row r="4375" spans="2:12">
      <c r="B4375" s="4" t="e">
        <f t="shared" si="139"/>
        <v>#N/A</v>
      </c>
      <c r="C4375" s="4">
        <f>'Raw data'!E3951</f>
        <v>0</v>
      </c>
      <c r="D4375" s="29" t="e">
        <f>VLOOKUP(C4375,'점포코드 '!A:B,2,0)</f>
        <v>#N/A</v>
      </c>
      <c r="E4375" s="30">
        <f>'Raw data'!P3951</f>
        <v>0</v>
      </c>
      <c r="F4375" s="29" t="e">
        <f>VLOOKUP(E4375,'점포코드 '!A:B,2,0)</f>
        <v>#N/A</v>
      </c>
      <c r="G4375" s="46">
        <f>'Raw data'!F4284</f>
        <v>0</v>
      </c>
      <c r="H4375" s="4">
        <f>'Raw data'!G4284</f>
        <v>0</v>
      </c>
      <c r="I4375" s="29" t="e">
        <f>VLOOKUP(G4375,제품명!$C$1:$E$114,2,0)</f>
        <v>#N/A</v>
      </c>
      <c r="J4375" s="29">
        <f>'Raw data'!K4284</f>
        <v>0</v>
      </c>
      <c r="K4375" s="31">
        <f>'Raw data'!H4284</f>
        <v>0</v>
      </c>
      <c r="L4375" s="26">
        <f t="shared" si="140"/>
        <v>0</v>
      </c>
    </row>
    <row r="4376" spans="2:12">
      <c r="B4376" s="4" t="e">
        <f t="shared" si="139"/>
        <v>#N/A</v>
      </c>
      <c r="C4376" s="4">
        <f>'Raw data'!E3952</f>
        <v>0</v>
      </c>
      <c r="D4376" s="29" t="e">
        <f>VLOOKUP(C4376,'점포코드 '!A:B,2,0)</f>
        <v>#N/A</v>
      </c>
      <c r="E4376" s="30">
        <f>'Raw data'!P3952</f>
        <v>0</v>
      </c>
      <c r="F4376" s="29" t="e">
        <f>VLOOKUP(E4376,'점포코드 '!A:B,2,0)</f>
        <v>#N/A</v>
      </c>
      <c r="G4376" s="46">
        <f>'Raw data'!F4285</f>
        <v>0</v>
      </c>
      <c r="H4376" s="4">
        <f>'Raw data'!G4285</f>
        <v>0</v>
      </c>
      <c r="I4376" s="29" t="e">
        <f>VLOOKUP(G4376,제품명!$C$1:$E$114,2,0)</f>
        <v>#N/A</v>
      </c>
      <c r="J4376" s="29">
        <f>'Raw data'!K4285</f>
        <v>0</v>
      </c>
      <c r="K4376" s="31">
        <f>'Raw data'!H4285</f>
        <v>0</v>
      </c>
      <c r="L4376" s="26">
        <f t="shared" si="140"/>
        <v>0</v>
      </c>
    </row>
    <row r="4377" spans="2:12">
      <c r="B4377" s="4" t="e">
        <f t="shared" si="139"/>
        <v>#N/A</v>
      </c>
      <c r="C4377" s="4">
        <f>'Raw data'!E3953</f>
        <v>0</v>
      </c>
      <c r="D4377" s="29" t="e">
        <f>VLOOKUP(C4377,'점포코드 '!A:B,2,0)</f>
        <v>#N/A</v>
      </c>
      <c r="E4377" s="30">
        <f>'Raw data'!P3953</f>
        <v>0</v>
      </c>
      <c r="F4377" s="29" t="e">
        <f>VLOOKUP(E4377,'점포코드 '!A:B,2,0)</f>
        <v>#N/A</v>
      </c>
      <c r="G4377" s="46">
        <f>'Raw data'!F4286</f>
        <v>0</v>
      </c>
      <c r="H4377" s="4">
        <f>'Raw data'!G4286</f>
        <v>0</v>
      </c>
      <c r="I4377" s="29" t="e">
        <f>VLOOKUP(G4377,제품명!$C$1:$E$114,2,0)</f>
        <v>#N/A</v>
      </c>
      <c r="J4377" s="29">
        <f>'Raw data'!K4286</f>
        <v>0</v>
      </c>
      <c r="K4377" s="31">
        <f>'Raw data'!H4286</f>
        <v>0</v>
      </c>
      <c r="L4377" s="26">
        <f t="shared" si="140"/>
        <v>0</v>
      </c>
    </row>
    <row r="4378" spans="2:12">
      <c r="B4378" s="4" t="e">
        <f t="shared" si="139"/>
        <v>#N/A</v>
      </c>
      <c r="C4378" s="4">
        <f>'Raw data'!E3954</f>
        <v>0</v>
      </c>
      <c r="D4378" s="29" t="e">
        <f>VLOOKUP(C4378,'점포코드 '!A:B,2,0)</f>
        <v>#N/A</v>
      </c>
      <c r="E4378" s="30">
        <f>'Raw data'!P3954</f>
        <v>0</v>
      </c>
      <c r="F4378" s="29" t="e">
        <f>VLOOKUP(E4378,'점포코드 '!A:B,2,0)</f>
        <v>#N/A</v>
      </c>
      <c r="G4378" s="46">
        <f>'Raw data'!F4287</f>
        <v>0</v>
      </c>
      <c r="H4378" s="4">
        <f>'Raw data'!G4287</f>
        <v>0</v>
      </c>
      <c r="I4378" s="29" t="e">
        <f>VLOOKUP(G4378,제품명!$C$1:$E$114,2,0)</f>
        <v>#N/A</v>
      </c>
      <c r="J4378" s="29">
        <f>'Raw data'!K4287</f>
        <v>0</v>
      </c>
      <c r="K4378" s="31">
        <f>'Raw data'!H4287</f>
        <v>0</v>
      </c>
      <c r="L4378" s="26">
        <f t="shared" si="140"/>
        <v>0</v>
      </c>
    </row>
    <row r="4379" spans="2:12">
      <c r="B4379" s="4" t="e">
        <f t="shared" si="139"/>
        <v>#N/A</v>
      </c>
      <c r="C4379" s="4">
        <f>'Raw data'!E3955</f>
        <v>0</v>
      </c>
      <c r="D4379" s="29" t="e">
        <f>VLOOKUP(C4379,'점포코드 '!A:B,2,0)</f>
        <v>#N/A</v>
      </c>
      <c r="E4379" s="30">
        <f>'Raw data'!P3955</f>
        <v>0</v>
      </c>
      <c r="F4379" s="29" t="e">
        <f>VLOOKUP(E4379,'점포코드 '!A:B,2,0)</f>
        <v>#N/A</v>
      </c>
      <c r="G4379" s="46">
        <f>'Raw data'!F4288</f>
        <v>0</v>
      </c>
      <c r="H4379" s="4">
        <f>'Raw data'!G4288</f>
        <v>0</v>
      </c>
      <c r="I4379" s="29" t="e">
        <f>VLOOKUP(G4379,제품명!$C$1:$E$114,2,0)</f>
        <v>#N/A</v>
      </c>
      <c r="J4379" s="29">
        <f>'Raw data'!K4288</f>
        <v>0</v>
      </c>
      <c r="K4379" s="31">
        <f>'Raw data'!H4288</f>
        <v>0</v>
      </c>
      <c r="L4379" s="26">
        <f t="shared" si="140"/>
        <v>0</v>
      </c>
    </row>
    <row r="4380" spans="2:12">
      <c r="B4380" s="4" t="e">
        <f t="shared" si="139"/>
        <v>#N/A</v>
      </c>
      <c r="C4380" s="4">
        <f>'Raw data'!E3956</f>
        <v>0</v>
      </c>
      <c r="D4380" s="29" t="e">
        <f>VLOOKUP(C4380,'점포코드 '!A:B,2,0)</f>
        <v>#N/A</v>
      </c>
      <c r="E4380" s="30">
        <f>'Raw data'!P3956</f>
        <v>0</v>
      </c>
      <c r="F4380" s="29" t="e">
        <f>VLOOKUP(E4380,'점포코드 '!A:B,2,0)</f>
        <v>#N/A</v>
      </c>
      <c r="G4380" s="46">
        <f>'Raw data'!F4289</f>
        <v>0</v>
      </c>
      <c r="H4380" s="4">
        <f>'Raw data'!G4289</f>
        <v>0</v>
      </c>
      <c r="I4380" s="29" t="e">
        <f>VLOOKUP(G4380,제품명!$C$1:$E$114,2,0)</f>
        <v>#N/A</v>
      </c>
      <c r="J4380" s="29">
        <f>'Raw data'!K4289</f>
        <v>0</v>
      </c>
      <c r="K4380" s="31">
        <f>'Raw data'!H4289</f>
        <v>0</v>
      </c>
      <c r="L4380" s="26">
        <f t="shared" si="140"/>
        <v>0</v>
      </c>
    </row>
    <row r="4381" spans="2:12">
      <c r="B4381" s="4" t="e">
        <f t="shared" si="139"/>
        <v>#N/A</v>
      </c>
      <c r="C4381" s="4">
        <f>'Raw data'!E3957</f>
        <v>0</v>
      </c>
      <c r="D4381" s="29" t="e">
        <f>VLOOKUP(C4381,'점포코드 '!A:B,2,0)</f>
        <v>#N/A</v>
      </c>
      <c r="E4381" s="30">
        <f>'Raw data'!P3957</f>
        <v>0</v>
      </c>
      <c r="F4381" s="29" t="e">
        <f>VLOOKUP(E4381,'점포코드 '!A:B,2,0)</f>
        <v>#N/A</v>
      </c>
      <c r="G4381" s="46">
        <f>'Raw data'!F4290</f>
        <v>0</v>
      </c>
      <c r="H4381" s="4">
        <f>'Raw data'!G4290</f>
        <v>0</v>
      </c>
      <c r="I4381" s="29" t="e">
        <f>VLOOKUP(G4381,제품명!$C$1:$E$114,2,0)</f>
        <v>#N/A</v>
      </c>
      <c r="J4381" s="29">
        <f>'Raw data'!K4290</f>
        <v>0</v>
      </c>
      <c r="K4381" s="31">
        <f>'Raw data'!H4290</f>
        <v>0</v>
      </c>
      <c r="L4381" s="26">
        <f t="shared" si="140"/>
        <v>0</v>
      </c>
    </row>
    <row r="4382" spans="2:12">
      <c r="B4382" s="4" t="e">
        <f t="shared" si="139"/>
        <v>#N/A</v>
      </c>
      <c r="C4382" s="4">
        <f>'Raw data'!E3958</f>
        <v>0</v>
      </c>
      <c r="D4382" s="29" t="e">
        <f>VLOOKUP(C4382,'점포코드 '!A:B,2,0)</f>
        <v>#N/A</v>
      </c>
      <c r="E4382" s="30">
        <f>'Raw data'!P3958</f>
        <v>0</v>
      </c>
      <c r="F4382" s="29" t="e">
        <f>VLOOKUP(E4382,'점포코드 '!A:B,2,0)</f>
        <v>#N/A</v>
      </c>
      <c r="G4382" s="46">
        <f>'Raw data'!F4291</f>
        <v>0</v>
      </c>
      <c r="H4382" s="4">
        <f>'Raw data'!G4291</f>
        <v>0</v>
      </c>
      <c r="I4382" s="29" t="e">
        <f>VLOOKUP(G4382,제품명!$C$1:$E$114,2,0)</f>
        <v>#N/A</v>
      </c>
      <c r="J4382" s="29">
        <f>'Raw data'!K4291</f>
        <v>0</v>
      </c>
      <c r="K4382" s="31">
        <f>'Raw data'!H4291</f>
        <v>0</v>
      </c>
      <c r="L4382" s="26">
        <f t="shared" si="140"/>
        <v>0</v>
      </c>
    </row>
    <row r="4383" spans="2:12">
      <c r="B4383" s="4" t="e">
        <f t="shared" si="139"/>
        <v>#N/A</v>
      </c>
      <c r="C4383" s="4">
        <f>'Raw data'!E3959</f>
        <v>0</v>
      </c>
      <c r="D4383" s="29" t="e">
        <f>VLOOKUP(C4383,'점포코드 '!A:B,2,0)</f>
        <v>#N/A</v>
      </c>
      <c r="E4383" s="30">
        <f>'Raw data'!P3959</f>
        <v>0</v>
      </c>
      <c r="F4383" s="29" t="e">
        <f>VLOOKUP(E4383,'점포코드 '!A:B,2,0)</f>
        <v>#N/A</v>
      </c>
      <c r="G4383" s="46">
        <f>'Raw data'!F4292</f>
        <v>0</v>
      </c>
      <c r="H4383" s="4">
        <f>'Raw data'!G4292</f>
        <v>0</v>
      </c>
      <c r="I4383" s="29" t="e">
        <f>VLOOKUP(G4383,제품명!$C$1:$E$114,2,0)</f>
        <v>#N/A</v>
      </c>
      <c r="J4383" s="29">
        <f>'Raw data'!K4292</f>
        <v>0</v>
      </c>
      <c r="K4383" s="31">
        <f>'Raw data'!H4292</f>
        <v>0</v>
      </c>
      <c r="L4383" s="26">
        <f t="shared" si="140"/>
        <v>0</v>
      </c>
    </row>
    <row r="4384" spans="2:12">
      <c r="B4384" s="4" t="e">
        <f t="shared" si="139"/>
        <v>#N/A</v>
      </c>
      <c r="C4384" s="4">
        <f>'Raw data'!E3960</f>
        <v>0</v>
      </c>
      <c r="D4384" s="29" t="e">
        <f>VLOOKUP(C4384,'점포코드 '!A:B,2,0)</f>
        <v>#N/A</v>
      </c>
      <c r="E4384" s="30">
        <f>'Raw data'!P3960</f>
        <v>0</v>
      </c>
      <c r="F4384" s="29" t="e">
        <f>VLOOKUP(E4384,'점포코드 '!A:B,2,0)</f>
        <v>#N/A</v>
      </c>
      <c r="G4384" s="46">
        <f>'Raw data'!F4293</f>
        <v>0</v>
      </c>
      <c r="H4384" s="4">
        <f>'Raw data'!G4293</f>
        <v>0</v>
      </c>
      <c r="I4384" s="29" t="e">
        <f>VLOOKUP(G4384,제품명!$C$1:$E$114,2,0)</f>
        <v>#N/A</v>
      </c>
      <c r="J4384" s="29">
        <f>'Raw data'!K4293</f>
        <v>0</v>
      </c>
      <c r="K4384" s="31">
        <f>'Raw data'!H4293</f>
        <v>0</v>
      </c>
      <c r="L4384" s="26">
        <f t="shared" si="140"/>
        <v>0</v>
      </c>
    </row>
    <row r="4385" spans="2:12">
      <c r="B4385" s="4" t="e">
        <f t="shared" si="139"/>
        <v>#N/A</v>
      </c>
      <c r="C4385" s="4">
        <f>'Raw data'!E3961</f>
        <v>0</v>
      </c>
      <c r="D4385" s="29" t="e">
        <f>VLOOKUP(C4385,'점포코드 '!A:B,2,0)</f>
        <v>#N/A</v>
      </c>
      <c r="E4385" s="30">
        <f>'Raw data'!P3961</f>
        <v>0</v>
      </c>
      <c r="F4385" s="29" t="e">
        <f>VLOOKUP(E4385,'점포코드 '!A:B,2,0)</f>
        <v>#N/A</v>
      </c>
      <c r="G4385" s="46">
        <f>'Raw data'!F4294</f>
        <v>0</v>
      </c>
      <c r="H4385" s="4">
        <f>'Raw data'!G4294</f>
        <v>0</v>
      </c>
      <c r="I4385" s="29" t="e">
        <f>VLOOKUP(G4385,제품명!$C$1:$E$114,2,0)</f>
        <v>#N/A</v>
      </c>
      <c r="J4385" s="29">
        <f>'Raw data'!K4294</f>
        <v>0</v>
      </c>
      <c r="K4385" s="31">
        <f>'Raw data'!H4294</f>
        <v>0</v>
      </c>
      <c r="L4385" s="26">
        <f t="shared" si="140"/>
        <v>0</v>
      </c>
    </row>
    <row r="4386" spans="2:12">
      <c r="B4386" s="4" t="e">
        <f t="shared" si="139"/>
        <v>#N/A</v>
      </c>
      <c r="C4386" s="4">
        <f>'Raw data'!E3962</f>
        <v>0</v>
      </c>
      <c r="D4386" s="29" t="e">
        <f>VLOOKUP(C4386,'점포코드 '!A:B,2,0)</f>
        <v>#N/A</v>
      </c>
      <c r="E4386" s="30">
        <f>'Raw data'!P3962</f>
        <v>0</v>
      </c>
      <c r="F4386" s="29" t="e">
        <f>VLOOKUP(E4386,'점포코드 '!A:B,2,0)</f>
        <v>#N/A</v>
      </c>
      <c r="G4386" s="46">
        <f>'Raw data'!F4295</f>
        <v>0</v>
      </c>
      <c r="H4386" s="4">
        <f>'Raw data'!G4295</f>
        <v>0</v>
      </c>
      <c r="I4386" s="29" t="e">
        <f>VLOOKUP(G4386,제품명!$C$1:$E$114,2,0)</f>
        <v>#N/A</v>
      </c>
      <c r="J4386" s="29">
        <f>'Raw data'!K4295</f>
        <v>0</v>
      </c>
      <c r="K4386" s="31">
        <f>'Raw data'!H4295</f>
        <v>0</v>
      </c>
      <c r="L4386" s="26">
        <f t="shared" si="140"/>
        <v>0</v>
      </c>
    </row>
    <row r="4387" spans="2:12">
      <c r="B4387" s="4" t="e">
        <f t="shared" si="139"/>
        <v>#N/A</v>
      </c>
      <c r="C4387" s="4">
        <f>'Raw data'!E3963</f>
        <v>0</v>
      </c>
      <c r="D4387" s="29" t="e">
        <f>VLOOKUP(C4387,'점포코드 '!A:B,2,0)</f>
        <v>#N/A</v>
      </c>
      <c r="E4387" s="30">
        <f>'Raw data'!P3963</f>
        <v>0</v>
      </c>
      <c r="F4387" s="29" t="e">
        <f>VLOOKUP(E4387,'점포코드 '!A:B,2,0)</f>
        <v>#N/A</v>
      </c>
      <c r="G4387" s="46">
        <f>'Raw data'!F4296</f>
        <v>0</v>
      </c>
      <c r="H4387" s="4">
        <f>'Raw data'!G4296</f>
        <v>0</v>
      </c>
      <c r="I4387" s="29" t="e">
        <f>VLOOKUP(G4387,제품명!$C$1:$E$114,2,0)</f>
        <v>#N/A</v>
      </c>
      <c r="J4387" s="29">
        <f>'Raw data'!K4296</f>
        <v>0</v>
      </c>
      <c r="K4387" s="31">
        <f>'Raw data'!H4296</f>
        <v>0</v>
      </c>
      <c r="L4387" s="26">
        <f t="shared" si="140"/>
        <v>0</v>
      </c>
    </row>
    <row r="4388" spans="2:12">
      <c r="B4388" s="4" t="e">
        <f t="shared" si="139"/>
        <v>#N/A</v>
      </c>
      <c r="C4388" s="4">
        <f>'Raw data'!E3964</f>
        <v>0</v>
      </c>
      <c r="D4388" s="29" t="e">
        <f>VLOOKUP(C4388,'점포코드 '!A:B,2,0)</f>
        <v>#N/A</v>
      </c>
      <c r="E4388" s="30">
        <f>'Raw data'!P3964</f>
        <v>0</v>
      </c>
      <c r="F4388" s="29" t="e">
        <f>VLOOKUP(E4388,'점포코드 '!A:B,2,0)</f>
        <v>#N/A</v>
      </c>
      <c r="G4388" s="46">
        <f>'Raw data'!F4297</f>
        <v>0</v>
      </c>
      <c r="H4388" s="4">
        <f>'Raw data'!G4297</f>
        <v>0</v>
      </c>
      <c r="I4388" s="29" t="e">
        <f>VLOOKUP(G4388,제품명!$C$1:$E$114,2,0)</f>
        <v>#N/A</v>
      </c>
      <c r="J4388" s="29">
        <f>'Raw data'!K4297</f>
        <v>0</v>
      </c>
      <c r="K4388" s="31">
        <f>'Raw data'!H4297</f>
        <v>0</v>
      </c>
      <c r="L4388" s="26">
        <f t="shared" si="140"/>
        <v>0</v>
      </c>
    </row>
    <row r="4389" spans="2:12">
      <c r="B4389" s="4" t="e">
        <f t="shared" si="139"/>
        <v>#N/A</v>
      </c>
      <c r="C4389" s="4">
        <f>'Raw data'!E3965</f>
        <v>0</v>
      </c>
      <c r="D4389" s="29" t="e">
        <f>VLOOKUP(C4389,'점포코드 '!A:B,2,0)</f>
        <v>#N/A</v>
      </c>
      <c r="E4389" s="30">
        <f>'Raw data'!P3965</f>
        <v>0</v>
      </c>
      <c r="F4389" s="29" t="e">
        <f>VLOOKUP(E4389,'점포코드 '!A:B,2,0)</f>
        <v>#N/A</v>
      </c>
      <c r="G4389" s="46">
        <f>'Raw data'!F4298</f>
        <v>0</v>
      </c>
      <c r="H4389" s="4">
        <f>'Raw data'!G4298</f>
        <v>0</v>
      </c>
      <c r="I4389" s="29" t="e">
        <f>VLOOKUP(G4389,제품명!$C$1:$E$114,2,0)</f>
        <v>#N/A</v>
      </c>
      <c r="J4389" s="29">
        <f>'Raw data'!K4298</f>
        <v>0</v>
      </c>
      <c r="K4389" s="31">
        <f>'Raw data'!H4298</f>
        <v>0</v>
      </c>
      <c r="L4389" s="26">
        <f t="shared" si="140"/>
        <v>0</v>
      </c>
    </row>
    <row r="4390" spans="2:12">
      <c r="B4390" s="4" t="e">
        <f t="shared" si="139"/>
        <v>#N/A</v>
      </c>
      <c r="C4390" s="4">
        <f>'Raw data'!E3966</f>
        <v>0</v>
      </c>
      <c r="D4390" s="29" t="e">
        <f>VLOOKUP(C4390,'점포코드 '!A:B,2,0)</f>
        <v>#N/A</v>
      </c>
      <c r="E4390" s="30">
        <f>'Raw data'!P3966</f>
        <v>0</v>
      </c>
      <c r="F4390" s="29" t="e">
        <f>VLOOKUP(E4390,'점포코드 '!A:B,2,0)</f>
        <v>#N/A</v>
      </c>
      <c r="G4390" s="46">
        <f>'Raw data'!F4299</f>
        <v>0</v>
      </c>
      <c r="H4390" s="4">
        <f>'Raw data'!G4299</f>
        <v>0</v>
      </c>
      <c r="I4390" s="29" t="e">
        <f>VLOOKUP(G4390,제품명!$C$1:$E$114,2,0)</f>
        <v>#N/A</v>
      </c>
      <c r="J4390" s="29">
        <f>'Raw data'!K4299</f>
        <v>0</v>
      </c>
      <c r="K4390" s="31">
        <f>'Raw data'!H4299</f>
        <v>0</v>
      </c>
      <c r="L4390" s="26">
        <f t="shared" si="140"/>
        <v>0</v>
      </c>
    </row>
    <row r="4391" spans="2:12">
      <c r="B4391" s="4" t="e">
        <f t="shared" si="139"/>
        <v>#N/A</v>
      </c>
      <c r="C4391" s="4">
        <f>'Raw data'!E3967</f>
        <v>0</v>
      </c>
      <c r="D4391" s="29" t="e">
        <f>VLOOKUP(C4391,'점포코드 '!A:B,2,0)</f>
        <v>#N/A</v>
      </c>
      <c r="E4391" s="30">
        <f>'Raw data'!P3967</f>
        <v>0</v>
      </c>
      <c r="F4391" s="29" t="e">
        <f>VLOOKUP(E4391,'점포코드 '!A:B,2,0)</f>
        <v>#N/A</v>
      </c>
      <c r="G4391" s="46">
        <f>'Raw data'!F4300</f>
        <v>0</v>
      </c>
      <c r="H4391" s="4">
        <f>'Raw data'!G4300</f>
        <v>0</v>
      </c>
      <c r="I4391" s="29" t="e">
        <f>VLOOKUP(G4391,제품명!$C$1:$E$114,2,0)</f>
        <v>#N/A</v>
      </c>
      <c r="J4391" s="29">
        <f>'Raw data'!K4300</f>
        <v>0</v>
      </c>
      <c r="K4391" s="31">
        <f>'Raw data'!H4300</f>
        <v>0</v>
      </c>
      <c r="L4391" s="26">
        <f t="shared" si="140"/>
        <v>0</v>
      </c>
    </row>
    <row r="4392" spans="2:12">
      <c r="B4392" s="4" t="e">
        <f t="shared" si="139"/>
        <v>#N/A</v>
      </c>
      <c r="C4392" s="4">
        <f>'Raw data'!E3968</f>
        <v>0</v>
      </c>
      <c r="D4392" s="29" t="e">
        <f>VLOOKUP(C4392,'점포코드 '!A:B,2,0)</f>
        <v>#N/A</v>
      </c>
      <c r="E4392" s="30">
        <f>'Raw data'!P3968</f>
        <v>0</v>
      </c>
      <c r="F4392" s="29" t="e">
        <f>VLOOKUP(E4392,'점포코드 '!A:B,2,0)</f>
        <v>#N/A</v>
      </c>
      <c r="G4392" s="46">
        <f>'Raw data'!F4301</f>
        <v>0</v>
      </c>
      <c r="H4392" s="4">
        <f>'Raw data'!G4301</f>
        <v>0</v>
      </c>
      <c r="I4392" s="29" t="e">
        <f>VLOOKUP(G4392,제품명!$C$1:$E$114,2,0)</f>
        <v>#N/A</v>
      </c>
      <c r="J4392" s="29">
        <f>'Raw data'!K4301</f>
        <v>0</v>
      </c>
      <c r="K4392" s="31">
        <f>'Raw data'!H4301</f>
        <v>0</v>
      </c>
      <c r="L4392" s="26">
        <f t="shared" si="140"/>
        <v>0</v>
      </c>
    </row>
    <row r="4393" spans="2:12">
      <c r="B4393" s="4" t="e">
        <f t="shared" si="139"/>
        <v>#N/A</v>
      </c>
      <c r="C4393" s="4">
        <f>'Raw data'!E3969</f>
        <v>0</v>
      </c>
      <c r="D4393" s="29" t="e">
        <f>VLOOKUP(C4393,'점포코드 '!A:B,2,0)</f>
        <v>#N/A</v>
      </c>
      <c r="E4393" s="30">
        <f>'Raw data'!P3969</f>
        <v>0</v>
      </c>
      <c r="F4393" s="29" t="e">
        <f>VLOOKUP(E4393,'점포코드 '!A:B,2,0)</f>
        <v>#N/A</v>
      </c>
      <c r="G4393" s="46">
        <f>'Raw data'!F4302</f>
        <v>0</v>
      </c>
      <c r="H4393" s="4">
        <f>'Raw data'!G4302</f>
        <v>0</v>
      </c>
      <c r="I4393" s="29" t="e">
        <f>VLOOKUP(G4393,제품명!$C$1:$E$114,2,0)</f>
        <v>#N/A</v>
      </c>
      <c r="J4393" s="29">
        <f>'Raw data'!K4302</f>
        <v>0</v>
      </c>
      <c r="K4393" s="31">
        <f>'Raw data'!H4302</f>
        <v>0</v>
      </c>
      <c r="L4393" s="26">
        <f t="shared" si="140"/>
        <v>0</v>
      </c>
    </row>
    <row r="4394" spans="2:12">
      <c r="B4394" s="4" t="e">
        <f t="shared" si="139"/>
        <v>#N/A</v>
      </c>
      <c r="C4394" s="4">
        <f>'Raw data'!E3970</f>
        <v>0</v>
      </c>
      <c r="D4394" s="29" t="e">
        <f>VLOOKUP(C4394,'점포코드 '!A:B,2,0)</f>
        <v>#N/A</v>
      </c>
      <c r="E4394" s="30">
        <f>'Raw data'!P3970</f>
        <v>0</v>
      </c>
      <c r="F4394" s="29" t="e">
        <f>VLOOKUP(E4394,'점포코드 '!A:B,2,0)</f>
        <v>#N/A</v>
      </c>
      <c r="G4394" s="46">
        <f>'Raw data'!F4303</f>
        <v>0</v>
      </c>
      <c r="H4394" s="4">
        <f>'Raw data'!G4303</f>
        <v>0</v>
      </c>
      <c r="I4394" s="29" t="e">
        <f>VLOOKUP(G4394,제품명!$C$1:$E$114,2,0)</f>
        <v>#N/A</v>
      </c>
      <c r="J4394" s="29">
        <f>'Raw data'!K4303</f>
        <v>0</v>
      </c>
      <c r="K4394" s="31">
        <f>'Raw data'!H4303</f>
        <v>0</v>
      </c>
      <c r="L4394" s="26">
        <f t="shared" si="140"/>
        <v>0</v>
      </c>
    </row>
    <row r="4395" spans="2:12">
      <c r="B4395" s="4" t="e">
        <f t="shared" si="139"/>
        <v>#N/A</v>
      </c>
      <c r="C4395" s="4">
        <f>'Raw data'!E3971</f>
        <v>0</v>
      </c>
      <c r="D4395" s="29" t="e">
        <f>VLOOKUP(C4395,'점포코드 '!A:B,2,0)</f>
        <v>#N/A</v>
      </c>
      <c r="E4395" s="30">
        <f>'Raw data'!P3971</f>
        <v>0</v>
      </c>
      <c r="F4395" s="29" t="e">
        <f>VLOOKUP(E4395,'점포코드 '!A:B,2,0)</f>
        <v>#N/A</v>
      </c>
      <c r="G4395" s="46">
        <f>'Raw data'!F4304</f>
        <v>0</v>
      </c>
      <c r="H4395" s="4">
        <f>'Raw data'!G4304</f>
        <v>0</v>
      </c>
      <c r="I4395" s="29" t="e">
        <f>VLOOKUP(G4395,제품명!$C$1:$E$114,2,0)</f>
        <v>#N/A</v>
      </c>
      <c r="J4395" s="29">
        <f>'Raw data'!K4304</f>
        <v>0</v>
      </c>
      <c r="K4395" s="31">
        <f>'Raw data'!H4304</f>
        <v>0</v>
      </c>
      <c r="L4395" s="26">
        <f t="shared" si="140"/>
        <v>0</v>
      </c>
    </row>
    <row r="4396" spans="2:12">
      <c r="B4396" s="4" t="e">
        <f t="shared" si="139"/>
        <v>#N/A</v>
      </c>
      <c r="C4396" s="4">
        <f>'Raw data'!E3972</f>
        <v>0</v>
      </c>
      <c r="D4396" s="29" t="e">
        <f>VLOOKUP(C4396,'점포코드 '!A:B,2,0)</f>
        <v>#N/A</v>
      </c>
      <c r="E4396" s="30">
        <f>'Raw data'!P3972</f>
        <v>0</v>
      </c>
      <c r="F4396" s="29" t="e">
        <f>VLOOKUP(E4396,'점포코드 '!A:B,2,0)</f>
        <v>#N/A</v>
      </c>
      <c r="G4396" s="46">
        <f>'Raw data'!F4305</f>
        <v>0</v>
      </c>
      <c r="H4396" s="4">
        <f>'Raw data'!G4305</f>
        <v>0</v>
      </c>
      <c r="I4396" s="29" t="e">
        <f>VLOOKUP(G4396,제품명!$C$1:$E$114,2,0)</f>
        <v>#N/A</v>
      </c>
      <c r="J4396" s="29">
        <f>'Raw data'!K4305</f>
        <v>0</v>
      </c>
      <c r="K4396" s="31">
        <f>'Raw data'!H4305</f>
        <v>0</v>
      </c>
      <c r="L4396" s="26">
        <f t="shared" si="140"/>
        <v>0</v>
      </c>
    </row>
    <row r="4397" spans="2:12">
      <c r="B4397" s="4" t="e">
        <f t="shared" si="139"/>
        <v>#N/A</v>
      </c>
      <c r="C4397" s="4">
        <f>'Raw data'!E3973</f>
        <v>0</v>
      </c>
      <c r="D4397" s="29" t="e">
        <f>VLOOKUP(C4397,'점포코드 '!A:B,2,0)</f>
        <v>#N/A</v>
      </c>
      <c r="E4397" s="30">
        <f>'Raw data'!P3973</f>
        <v>0</v>
      </c>
      <c r="F4397" s="29" t="e">
        <f>VLOOKUP(E4397,'점포코드 '!A:B,2,0)</f>
        <v>#N/A</v>
      </c>
      <c r="G4397" s="46">
        <f>'Raw data'!F4306</f>
        <v>0</v>
      </c>
      <c r="H4397" s="4">
        <f>'Raw data'!G4306</f>
        <v>0</v>
      </c>
      <c r="I4397" s="29" t="e">
        <f>VLOOKUP(G4397,제품명!$C$1:$E$114,2,0)</f>
        <v>#N/A</v>
      </c>
      <c r="J4397" s="29">
        <f>'Raw data'!K4306</f>
        <v>0</v>
      </c>
      <c r="K4397" s="31">
        <f>'Raw data'!H4306</f>
        <v>0</v>
      </c>
      <c r="L4397" s="26">
        <f t="shared" si="140"/>
        <v>0</v>
      </c>
    </row>
    <row r="4398" spans="2:12">
      <c r="B4398" s="4" t="e">
        <f t="shared" si="139"/>
        <v>#N/A</v>
      </c>
      <c r="C4398" s="4">
        <f>'Raw data'!E3974</f>
        <v>0</v>
      </c>
      <c r="D4398" s="29" t="e">
        <f>VLOOKUP(C4398,'점포코드 '!A:B,2,0)</f>
        <v>#N/A</v>
      </c>
      <c r="E4398" s="30">
        <f>'Raw data'!P3974</f>
        <v>0</v>
      </c>
      <c r="F4398" s="29" t="e">
        <f>VLOOKUP(E4398,'점포코드 '!A:B,2,0)</f>
        <v>#N/A</v>
      </c>
      <c r="G4398" s="46">
        <f>'Raw data'!F4307</f>
        <v>0</v>
      </c>
      <c r="H4398" s="4">
        <f>'Raw data'!G4307</f>
        <v>0</v>
      </c>
      <c r="I4398" s="29" t="e">
        <f>VLOOKUP(G4398,제품명!$C$1:$E$114,2,0)</f>
        <v>#N/A</v>
      </c>
      <c r="J4398" s="29">
        <f>'Raw data'!K4307</f>
        <v>0</v>
      </c>
      <c r="K4398" s="31">
        <f>'Raw data'!H4307</f>
        <v>0</v>
      </c>
      <c r="L4398" s="26">
        <f t="shared" si="140"/>
        <v>0</v>
      </c>
    </row>
    <row r="4399" spans="2:12">
      <c r="B4399" s="4" t="e">
        <f t="shared" si="139"/>
        <v>#N/A</v>
      </c>
      <c r="C4399" s="4">
        <f>'Raw data'!E3975</f>
        <v>0</v>
      </c>
      <c r="D4399" s="29" t="e">
        <f>VLOOKUP(C4399,'점포코드 '!A:B,2,0)</f>
        <v>#N/A</v>
      </c>
      <c r="E4399" s="30">
        <f>'Raw data'!P3975</f>
        <v>0</v>
      </c>
      <c r="F4399" s="29" t="e">
        <f>VLOOKUP(E4399,'점포코드 '!A:B,2,0)</f>
        <v>#N/A</v>
      </c>
      <c r="G4399" s="46">
        <f>'Raw data'!F4308</f>
        <v>0</v>
      </c>
      <c r="H4399" s="4">
        <f>'Raw data'!G4308</f>
        <v>0</v>
      </c>
      <c r="I4399" s="29" t="e">
        <f>VLOOKUP(G4399,제품명!$C$1:$E$114,2,0)</f>
        <v>#N/A</v>
      </c>
      <c r="J4399" s="29">
        <f>'Raw data'!K4308</f>
        <v>0</v>
      </c>
      <c r="K4399" s="31">
        <f>'Raw data'!H4308</f>
        <v>0</v>
      </c>
      <c r="L4399" s="26">
        <f t="shared" si="140"/>
        <v>0</v>
      </c>
    </row>
    <row r="4400" spans="2:12">
      <c r="B4400" s="4" t="e">
        <f t="shared" si="139"/>
        <v>#N/A</v>
      </c>
      <c r="C4400" s="4">
        <f>'Raw data'!E3976</f>
        <v>0</v>
      </c>
      <c r="D4400" s="29" t="e">
        <f>VLOOKUP(C4400,'점포코드 '!A:B,2,0)</f>
        <v>#N/A</v>
      </c>
      <c r="E4400" s="30">
        <f>'Raw data'!P3976</f>
        <v>0</v>
      </c>
      <c r="F4400" s="29" t="e">
        <f>VLOOKUP(E4400,'점포코드 '!A:B,2,0)</f>
        <v>#N/A</v>
      </c>
      <c r="G4400" s="46">
        <f>'Raw data'!F4309</f>
        <v>0</v>
      </c>
      <c r="H4400" s="4">
        <f>'Raw data'!G4309</f>
        <v>0</v>
      </c>
      <c r="I4400" s="29" t="e">
        <f>VLOOKUP(G4400,제품명!$C$1:$E$114,2,0)</f>
        <v>#N/A</v>
      </c>
      <c r="J4400" s="29">
        <f>'Raw data'!K4309</f>
        <v>0</v>
      </c>
      <c r="K4400" s="31">
        <f>'Raw data'!H4309</f>
        <v>0</v>
      </c>
      <c r="L4400" s="26">
        <f t="shared" si="140"/>
        <v>0</v>
      </c>
    </row>
    <row r="4401" spans="2:12">
      <c r="B4401" s="4" t="e">
        <f t="shared" si="139"/>
        <v>#N/A</v>
      </c>
      <c r="C4401" s="4">
        <f>'Raw data'!E3977</f>
        <v>0</v>
      </c>
      <c r="D4401" s="29" t="e">
        <f>VLOOKUP(C4401,'점포코드 '!A:B,2,0)</f>
        <v>#N/A</v>
      </c>
      <c r="E4401" s="30">
        <f>'Raw data'!P3977</f>
        <v>0</v>
      </c>
      <c r="F4401" s="29" t="e">
        <f>VLOOKUP(E4401,'점포코드 '!A:B,2,0)</f>
        <v>#N/A</v>
      </c>
      <c r="G4401" s="46">
        <f>'Raw data'!F4310</f>
        <v>0</v>
      </c>
      <c r="H4401" s="4">
        <f>'Raw data'!G4310</f>
        <v>0</v>
      </c>
      <c r="I4401" s="29" t="e">
        <f>VLOOKUP(G4401,제품명!$C$1:$E$114,2,0)</f>
        <v>#N/A</v>
      </c>
      <c r="J4401" s="29">
        <f>'Raw data'!K4310</f>
        <v>0</v>
      </c>
      <c r="K4401" s="31">
        <f>'Raw data'!H4310</f>
        <v>0</v>
      </c>
      <c r="L4401" s="26">
        <f t="shared" si="140"/>
        <v>0</v>
      </c>
    </row>
    <row r="4402" spans="2:12">
      <c r="B4402" s="4" t="e">
        <f t="shared" si="139"/>
        <v>#N/A</v>
      </c>
      <c r="C4402" s="4">
        <f>'Raw data'!E3978</f>
        <v>0</v>
      </c>
      <c r="D4402" s="29" t="e">
        <f>VLOOKUP(C4402,'점포코드 '!A:B,2,0)</f>
        <v>#N/A</v>
      </c>
      <c r="E4402" s="30">
        <f>'Raw data'!P3978</f>
        <v>0</v>
      </c>
      <c r="F4402" s="29" t="e">
        <f>VLOOKUP(E4402,'점포코드 '!A:B,2,0)</f>
        <v>#N/A</v>
      </c>
      <c r="G4402" s="46">
        <f>'Raw data'!F4311</f>
        <v>0</v>
      </c>
      <c r="H4402" s="4">
        <f>'Raw data'!G4311</f>
        <v>0</v>
      </c>
      <c r="I4402" s="29" t="e">
        <f>VLOOKUP(G4402,제품명!$C$1:$E$114,2,0)</f>
        <v>#N/A</v>
      </c>
      <c r="J4402" s="29">
        <f>'Raw data'!K4311</f>
        <v>0</v>
      </c>
      <c r="K4402" s="31">
        <f>'Raw data'!H4311</f>
        <v>0</v>
      </c>
      <c r="L4402" s="26">
        <f t="shared" si="140"/>
        <v>0</v>
      </c>
    </row>
    <row r="4403" spans="2:12">
      <c r="B4403" s="4" t="e">
        <f t="shared" si="139"/>
        <v>#N/A</v>
      </c>
      <c r="C4403" s="4">
        <f>'Raw data'!E3979</f>
        <v>0</v>
      </c>
      <c r="D4403" s="29" t="e">
        <f>VLOOKUP(C4403,'점포코드 '!A:B,2,0)</f>
        <v>#N/A</v>
      </c>
      <c r="E4403" s="30">
        <f>'Raw data'!P3979</f>
        <v>0</v>
      </c>
      <c r="F4403" s="29" t="e">
        <f>VLOOKUP(E4403,'점포코드 '!A:B,2,0)</f>
        <v>#N/A</v>
      </c>
      <c r="G4403" s="46">
        <f>'Raw data'!F4312</f>
        <v>0</v>
      </c>
      <c r="H4403" s="4">
        <f>'Raw data'!G4312</f>
        <v>0</v>
      </c>
      <c r="I4403" s="29" t="e">
        <f>VLOOKUP(G4403,제품명!$C$1:$E$114,2,0)</f>
        <v>#N/A</v>
      </c>
      <c r="J4403" s="29">
        <f>'Raw data'!K4312</f>
        <v>0</v>
      </c>
      <c r="K4403" s="31">
        <f>'Raw data'!H4312</f>
        <v>0</v>
      </c>
      <c r="L4403" s="26">
        <f t="shared" si="140"/>
        <v>0</v>
      </c>
    </row>
    <row r="4404" spans="2:12">
      <c r="B4404" s="4" t="e">
        <f t="shared" si="139"/>
        <v>#N/A</v>
      </c>
      <c r="C4404" s="4">
        <f>'Raw data'!E3980</f>
        <v>0</v>
      </c>
      <c r="D4404" s="29" t="e">
        <f>VLOOKUP(C4404,'점포코드 '!A:B,2,0)</f>
        <v>#N/A</v>
      </c>
      <c r="E4404" s="30">
        <f>'Raw data'!P3980</f>
        <v>0</v>
      </c>
      <c r="F4404" s="29" t="e">
        <f>VLOOKUP(E4404,'점포코드 '!A:B,2,0)</f>
        <v>#N/A</v>
      </c>
      <c r="G4404" s="46">
        <f>'Raw data'!F4313</f>
        <v>0</v>
      </c>
      <c r="H4404" s="4">
        <f>'Raw data'!G4313</f>
        <v>0</v>
      </c>
      <c r="I4404" s="29" t="e">
        <f>VLOOKUP(G4404,제품명!$C$1:$E$114,2,0)</f>
        <v>#N/A</v>
      </c>
      <c r="J4404" s="29">
        <f>'Raw data'!K4313</f>
        <v>0</v>
      </c>
      <c r="K4404" s="31">
        <f>'Raw data'!H4313</f>
        <v>0</v>
      </c>
      <c r="L4404" s="26">
        <f t="shared" si="140"/>
        <v>0</v>
      </c>
    </row>
    <row r="4405" spans="2:12">
      <c r="B4405" s="4" t="e">
        <f t="shared" si="139"/>
        <v>#N/A</v>
      </c>
      <c r="C4405" s="4">
        <f>'Raw data'!E3981</f>
        <v>0</v>
      </c>
      <c r="D4405" s="29" t="e">
        <f>VLOOKUP(C4405,'점포코드 '!A:B,2,0)</f>
        <v>#N/A</v>
      </c>
      <c r="E4405" s="30">
        <f>'Raw data'!P3981</f>
        <v>0</v>
      </c>
      <c r="F4405" s="29" t="e">
        <f>VLOOKUP(E4405,'점포코드 '!A:B,2,0)</f>
        <v>#N/A</v>
      </c>
      <c r="G4405" s="46">
        <f>'Raw data'!F4314</f>
        <v>0</v>
      </c>
      <c r="H4405" s="4">
        <f>'Raw data'!G4314</f>
        <v>0</v>
      </c>
      <c r="I4405" s="29" t="e">
        <f>VLOOKUP(G4405,제품명!$C$1:$E$114,2,0)</f>
        <v>#N/A</v>
      </c>
      <c r="J4405" s="29">
        <f>'Raw data'!K4314</f>
        <v>0</v>
      </c>
      <c r="K4405" s="31">
        <f>'Raw data'!H4314</f>
        <v>0</v>
      </c>
      <c r="L4405" s="26">
        <f t="shared" si="140"/>
        <v>0</v>
      </c>
    </row>
    <row r="4406" spans="2:12">
      <c r="B4406" s="4" t="e">
        <f t="shared" si="139"/>
        <v>#N/A</v>
      </c>
      <c r="C4406" s="4">
        <f>'Raw data'!E3982</f>
        <v>0</v>
      </c>
      <c r="D4406" s="29" t="e">
        <f>VLOOKUP(C4406,'점포코드 '!A:B,2,0)</f>
        <v>#N/A</v>
      </c>
      <c r="E4406" s="30">
        <f>'Raw data'!P3982</f>
        <v>0</v>
      </c>
      <c r="F4406" s="29" t="e">
        <f>VLOOKUP(E4406,'점포코드 '!A:B,2,0)</f>
        <v>#N/A</v>
      </c>
      <c r="G4406" s="46">
        <f>'Raw data'!F4315</f>
        <v>0</v>
      </c>
      <c r="H4406" s="4">
        <f>'Raw data'!G4315</f>
        <v>0</v>
      </c>
      <c r="I4406" s="29" t="e">
        <f>VLOOKUP(G4406,제품명!$C$1:$E$114,2,0)</f>
        <v>#N/A</v>
      </c>
      <c r="J4406" s="29">
        <f>'Raw data'!K4315</f>
        <v>0</v>
      </c>
      <c r="K4406" s="31">
        <f>'Raw data'!H4315</f>
        <v>0</v>
      </c>
      <c r="L4406" s="26">
        <f t="shared" si="140"/>
        <v>0</v>
      </c>
    </row>
    <row r="4407" spans="2:12">
      <c r="B4407" s="4" t="e">
        <f t="shared" si="139"/>
        <v>#N/A</v>
      </c>
      <c r="C4407" s="4">
        <f>'Raw data'!E3983</f>
        <v>0</v>
      </c>
      <c r="D4407" s="29" t="e">
        <f>VLOOKUP(C4407,'점포코드 '!A:B,2,0)</f>
        <v>#N/A</v>
      </c>
      <c r="E4407" s="30">
        <f>'Raw data'!P3983</f>
        <v>0</v>
      </c>
      <c r="F4407" s="29" t="e">
        <f>VLOOKUP(E4407,'점포코드 '!A:B,2,0)</f>
        <v>#N/A</v>
      </c>
      <c r="G4407" s="46">
        <f>'Raw data'!F4316</f>
        <v>0</v>
      </c>
      <c r="H4407" s="4">
        <f>'Raw data'!G4316</f>
        <v>0</v>
      </c>
      <c r="I4407" s="29" t="e">
        <f>VLOOKUP(G4407,제품명!$C$1:$E$114,2,0)</f>
        <v>#N/A</v>
      </c>
      <c r="J4407" s="29">
        <f>'Raw data'!K4316</f>
        <v>0</v>
      </c>
      <c r="K4407" s="31">
        <f>'Raw data'!H4316</f>
        <v>0</v>
      </c>
      <c r="L4407" s="26">
        <f t="shared" si="140"/>
        <v>0</v>
      </c>
    </row>
    <row r="4408" spans="2:12">
      <c r="B4408" s="4" t="e">
        <f t="shared" si="139"/>
        <v>#N/A</v>
      </c>
      <c r="C4408" s="4">
        <f>'Raw data'!E3984</f>
        <v>0</v>
      </c>
      <c r="D4408" s="29" t="e">
        <f>VLOOKUP(C4408,'점포코드 '!A:B,2,0)</f>
        <v>#N/A</v>
      </c>
      <c r="E4408" s="30">
        <f>'Raw data'!P3984</f>
        <v>0</v>
      </c>
      <c r="F4408" s="29" t="e">
        <f>VLOOKUP(E4408,'점포코드 '!A:B,2,0)</f>
        <v>#N/A</v>
      </c>
      <c r="G4408" s="46">
        <f>'Raw data'!F4317</f>
        <v>0</v>
      </c>
      <c r="H4408" s="4">
        <f>'Raw data'!G4317</f>
        <v>0</v>
      </c>
      <c r="I4408" s="29" t="e">
        <f>VLOOKUP(G4408,제품명!$C$1:$E$114,2,0)</f>
        <v>#N/A</v>
      </c>
      <c r="J4408" s="29">
        <f>'Raw data'!K4317</f>
        <v>0</v>
      </c>
      <c r="K4408" s="31">
        <f>'Raw data'!H4317</f>
        <v>0</v>
      </c>
      <c r="L4408" s="26">
        <f t="shared" si="140"/>
        <v>0</v>
      </c>
    </row>
    <row r="4409" spans="2:12">
      <c r="B4409" s="4" t="e">
        <f t="shared" si="139"/>
        <v>#N/A</v>
      </c>
      <c r="C4409" s="4">
        <f>'Raw data'!E3985</f>
        <v>0</v>
      </c>
      <c r="D4409" s="29" t="e">
        <f>VLOOKUP(C4409,'점포코드 '!A:B,2,0)</f>
        <v>#N/A</v>
      </c>
      <c r="E4409" s="30">
        <f>'Raw data'!P3985</f>
        <v>0</v>
      </c>
      <c r="F4409" s="29" t="e">
        <f>VLOOKUP(E4409,'점포코드 '!A:B,2,0)</f>
        <v>#N/A</v>
      </c>
      <c r="G4409" s="46">
        <f>'Raw data'!F4318</f>
        <v>0</v>
      </c>
      <c r="H4409" s="4">
        <f>'Raw data'!G4318</f>
        <v>0</v>
      </c>
      <c r="I4409" s="29" t="e">
        <f>VLOOKUP(G4409,제품명!$C$1:$E$114,2,0)</f>
        <v>#N/A</v>
      </c>
      <c r="J4409" s="29">
        <f>'Raw data'!K4318</f>
        <v>0</v>
      </c>
      <c r="K4409" s="31">
        <f>'Raw data'!H4318</f>
        <v>0</v>
      </c>
      <c r="L4409" s="26">
        <f t="shared" si="140"/>
        <v>0</v>
      </c>
    </row>
    <row r="4410" spans="2:12">
      <c r="B4410" s="4" t="e">
        <f t="shared" si="139"/>
        <v>#N/A</v>
      </c>
      <c r="C4410" s="4">
        <f>'Raw data'!E3986</f>
        <v>0</v>
      </c>
      <c r="D4410" s="29" t="e">
        <f>VLOOKUP(C4410,'점포코드 '!A:B,2,0)</f>
        <v>#N/A</v>
      </c>
      <c r="E4410" s="30">
        <f>'Raw data'!P3986</f>
        <v>0</v>
      </c>
      <c r="F4410" s="29" t="e">
        <f>VLOOKUP(E4410,'점포코드 '!A:B,2,0)</f>
        <v>#N/A</v>
      </c>
      <c r="G4410" s="46">
        <f>'Raw data'!F4319</f>
        <v>0</v>
      </c>
      <c r="H4410" s="4">
        <f>'Raw data'!G4319</f>
        <v>0</v>
      </c>
      <c r="I4410" s="29" t="e">
        <f>VLOOKUP(G4410,제품명!$C$1:$E$114,2,0)</f>
        <v>#N/A</v>
      </c>
      <c r="J4410" s="29">
        <f>'Raw data'!K4319</f>
        <v>0</v>
      </c>
      <c r="K4410" s="31">
        <f>'Raw data'!H4319</f>
        <v>0</v>
      </c>
      <c r="L4410" s="26">
        <f t="shared" si="140"/>
        <v>0</v>
      </c>
    </row>
    <row r="4411" spans="2:12">
      <c r="B4411" s="4" t="e">
        <f t="shared" si="139"/>
        <v>#N/A</v>
      </c>
      <c r="C4411" s="4">
        <f>'Raw data'!E3987</f>
        <v>0</v>
      </c>
      <c r="D4411" s="29" t="e">
        <f>VLOOKUP(C4411,'점포코드 '!A:B,2,0)</f>
        <v>#N/A</v>
      </c>
      <c r="E4411" s="30">
        <f>'Raw data'!P3987</f>
        <v>0</v>
      </c>
      <c r="F4411" s="29" t="e">
        <f>VLOOKUP(E4411,'점포코드 '!A:B,2,0)</f>
        <v>#N/A</v>
      </c>
      <c r="G4411" s="46">
        <f>'Raw data'!F4320</f>
        <v>0</v>
      </c>
      <c r="H4411" s="4">
        <f>'Raw data'!G4320</f>
        <v>0</v>
      </c>
      <c r="I4411" s="29" t="e">
        <f>VLOOKUP(G4411,제품명!$C$1:$E$114,2,0)</f>
        <v>#N/A</v>
      </c>
      <c r="J4411" s="29">
        <f>'Raw data'!K4320</f>
        <v>0</v>
      </c>
      <c r="K4411" s="31">
        <f>'Raw data'!H4320</f>
        <v>0</v>
      </c>
      <c r="L4411" s="26">
        <f t="shared" si="140"/>
        <v>0</v>
      </c>
    </row>
    <row r="4412" spans="2:12">
      <c r="B4412" s="4" t="e">
        <f t="shared" si="139"/>
        <v>#N/A</v>
      </c>
      <c r="C4412" s="4">
        <f>'Raw data'!E3988</f>
        <v>0</v>
      </c>
      <c r="D4412" s="29" t="e">
        <f>VLOOKUP(C4412,'점포코드 '!A:B,2,0)</f>
        <v>#N/A</v>
      </c>
      <c r="E4412" s="30">
        <f>'Raw data'!P3988</f>
        <v>0</v>
      </c>
      <c r="F4412" s="29" t="e">
        <f>VLOOKUP(E4412,'점포코드 '!A:B,2,0)</f>
        <v>#N/A</v>
      </c>
      <c r="G4412" s="46">
        <f>'Raw data'!F4321</f>
        <v>0</v>
      </c>
      <c r="H4412" s="4">
        <f>'Raw data'!G4321</f>
        <v>0</v>
      </c>
      <c r="I4412" s="29" t="e">
        <f>VLOOKUP(G4412,제품명!$C$1:$E$114,2,0)</f>
        <v>#N/A</v>
      </c>
      <c r="J4412" s="29">
        <f>'Raw data'!K4321</f>
        <v>0</v>
      </c>
      <c r="K4412" s="31">
        <f>'Raw data'!H4321</f>
        <v>0</v>
      </c>
      <c r="L4412" s="26">
        <f t="shared" si="140"/>
        <v>0</v>
      </c>
    </row>
    <row r="4413" spans="2:12">
      <c r="B4413" s="4" t="e">
        <f t="shared" si="139"/>
        <v>#N/A</v>
      </c>
      <c r="C4413" s="4">
        <f>'Raw data'!E3989</f>
        <v>0</v>
      </c>
      <c r="D4413" s="29" t="e">
        <f>VLOOKUP(C4413,'점포코드 '!A:B,2,0)</f>
        <v>#N/A</v>
      </c>
      <c r="E4413" s="30">
        <f>'Raw data'!P3989</f>
        <v>0</v>
      </c>
      <c r="F4413" s="29" t="e">
        <f>VLOOKUP(E4413,'점포코드 '!A:B,2,0)</f>
        <v>#N/A</v>
      </c>
      <c r="G4413" s="46">
        <f>'Raw data'!F4322</f>
        <v>0</v>
      </c>
      <c r="H4413" s="4">
        <f>'Raw data'!G4322</f>
        <v>0</v>
      </c>
      <c r="I4413" s="29" t="e">
        <f>VLOOKUP(G4413,제품명!$C$1:$E$114,2,0)</f>
        <v>#N/A</v>
      </c>
      <c r="J4413" s="29">
        <f>'Raw data'!K4322</f>
        <v>0</v>
      </c>
      <c r="K4413" s="31">
        <f>'Raw data'!H4322</f>
        <v>0</v>
      </c>
      <c r="L4413" s="26">
        <f t="shared" si="140"/>
        <v>0</v>
      </c>
    </row>
    <row r="4414" spans="2:12">
      <c r="B4414" s="4" t="e">
        <f t="shared" si="139"/>
        <v>#N/A</v>
      </c>
      <c r="C4414" s="4">
        <f>'Raw data'!E3990</f>
        <v>0</v>
      </c>
      <c r="D4414" s="29" t="e">
        <f>VLOOKUP(C4414,'점포코드 '!A:B,2,0)</f>
        <v>#N/A</v>
      </c>
      <c r="E4414" s="30">
        <f>'Raw data'!P3990</f>
        <v>0</v>
      </c>
      <c r="F4414" s="29" t="e">
        <f>VLOOKUP(E4414,'점포코드 '!A:B,2,0)</f>
        <v>#N/A</v>
      </c>
      <c r="G4414" s="46">
        <f>'Raw data'!F4323</f>
        <v>0</v>
      </c>
      <c r="H4414" s="4">
        <f>'Raw data'!G4323</f>
        <v>0</v>
      </c>
      <c r="I4414" s="29" t="e">
        <f>VLOOKUP(G4414,제품명!$C$1:$E$114,2,0)</f>
        <v>#N/A</v>
      </c>
      <c r="J4414" s="29">
        <f>'Raw data'!K4323</f>
        <v>0</v>
      </c>
      <c r="K4414" s="31">
        <f>'Raw data'!H4323</f>
        <v>0</v>
      </c>
      <c r="L4414" s="26">
        <f t="shared" si="140"/>
        <v>0</v>
      </c>
    </row>
    <row r="4415" spans="2:12">
      <c r="B4415" s="4" t="e">
        <f t="shared" si="139"/>
        <v>#N/A</v>
      </c>
      <c r="C4415" s="4">
        <f>'Raw data'!E3991</f>
        <v>0</v>
      </c>
      <c r="D4415" s="29" t="e">
        <f>VLOOKUP(C4415,'점포코드 '!A:B,2,0)</f>
        <v>#N/A</v>
      </c>
      <c r="E4415" s="30">
        <f>'Raw data'!P3991</f>
        <v>0</v>
      </c>
      <c r="F4415" s="29" t="e">
        <f>VLOOKUP(E4415,'점포코드 '!A:B,2,0)</f>
        <v>#N/A</v>
      </c>
      <c r="G4415" s="46">
        <f>'Raw data'!F4324</f>
        <v>0</v>
      </c>
      <c r="H4415" s="4">
        <f>'Raw data'!G4324</f>
        <v>0</v>
      </c>
      <c r="I4415" s="29" t="e">
        <f>VLOOKUP(G4415,제품명!$C$1:$E$114,2,0)</f>
        <v>#N/A</v>
      </c>
      <c r="J4415" s="29">
        <f>'Raw data'!K4324</f>
        <v>0</v>
      </c>
      <c r="K4415" s="31">
        <f>'Raw data'!H4324</f>
        <v>0</v>
      </c>
      <c r="L4415" s="26">
        <f t="shared" si="140"/>
        <v>0</v>
      </c>
    </row>
    <row r="4416" spans="2:12">
      <c r="B4416" s="4" t="e">
        <f t="shared" si="139"/>
        <v>#N/A</v>
      </c>
      <c r="C4416" s="4">
        <f>'Raw data'!E3992</f>
        <v>0</v>
      </c>
      <c r="D4416" s="29" t="e">
        <f>VLOOKUP(C4416,'점포코드 '!A:B,2,0)</f>
        <v>#N/A</v>
      </c>
      <c r="E4416" s="30">
        <f>'Raw data'!P3992</f>
        <v>0</v>
      </c>
      <c r="F4416" s="29" t="e">
        <f>VLOOKUP(E4416,'점포코드 '!A:B,2,0)</f>
        <v>#N/A</v>
      </c>
      <c r="G4416" s="46">
        <f>'Raw data'!F4325</f>
        <v>0</v>
      </c>
      <c r="H4416" s="4">
        <f>'Raw data'!G4325</f>
        <v>0</v>
      </c>
      <c r="I4416" s="29" t="e">
        <f>VLOOKUP(G4416,제품명!$C$1:$E$114,2,0)</f>
        <v>#N/A</v>
      </c>
      <c r="J4416" s="29">
        <f>'Raw data'!K4325</f>
        <v>0</v>
      </c>
      <c r="K4416" s="31">
        <f>'Raw data'!H4325</f>
        <v>0</v>
      </c>
      <c r="L4416" s="26">
        <f t="shared" si="140"/>
        <v>0</v>
      </c>
    </row>
    <row r="4417" spans="2:12">
      <c r="B4417" s="4" t="e">
        <f t="shared" si="139"/>
        <v>#N/A</v>
      </c>
      <c r="C4417" s="4">
        <f>'Raw data'!E3993</f>
        <v>0</v>
      </c>
      <c r="D4417" s="29" t="e">
        <f>VLOOKUP(C4417,'점포코드 '!A:B,2,0)</f>
        <v>#N/A</v>
      </c>
      <c r="E4417" s="30">
        <f>'Raw data'!P3993</f>
        <v>0</v>
      </c>
      <c r="F4417" s="29" t="e">
        <f>VLOOKUP(E4417,'점포코드 '!A:B,2,0)</f>
        <v>#N/A</v>
      </c>
      <c r="G4417" s="46">
        <f>'Raw data'!F4326</f>
        <v>0</v>
      </c>
      <c r="H4417" s="4">
        <f>'Raw data'!G4326</f>
        <v>0</v>
      </c>
      <c r="I4417" s="29" t="e">
        <f>VLOOKUP(G4417,제품명!$C$1:$E$114,2,0)</f>
        <v>#N/A</v>
      </c>
      <c r="J4417" s="29">
        <f>'Raw data'!K4326</f>
        <v>0</v>
      </c>
      <c r="K4417" s="31">
        <f>'Raw data'!H4326</f>
        <v>0</v>
      </c>
      <c r="L4417" s="26">
        <f t="shared" si="140"/>
        <v>0</v>
      </c>
    </row>
    <row r="4418" spans="2:12">
      <c r="B4418" s="4" t="e">
        <f t="shared" ref="B4418:B4481" si="141">F4418&amp;I4418</f>
        <v>#N/A</v>
      </c>
      <c r="C4418" s="4">
        <f>'Raw data'!E3994</f>
        <v>0</v>
      </c>
      <c r="D4418" s="29" t="e">
        <f>VLOOKUP(C4418,'점포코드 '!A:B,2,0)</f>
        <v>#N/A</v>
      </c>
      <c r="E4418" s="30">
        <f>'Raw data'!P3994</f>
        <v>0</v>
      </c>
      <c r="F4418" s="29" t="e">
        <f>VLOOKUP(E4418,'점포코드 '!A:B,2,0)</f>
        <v>#N/A</v>
      </c>
      <c r="G4418" s="46">
        <f>'Raw data'!F4327</f>
        <v>0</v>
      </c>
      <c r="H4418" s="4">
        <f>'Raw data'!G4327</f>
        <v>0</v>
      </c>
      <c r="I4418" s="29" t="e">
        <f>VLOOKUP(G4418,제품명!$C$1:$E$114,2,0)</f>
        <v>#N/A</v>
      </c>
      <c r="J4418" s="29">
        <f>'Raw data'!K4327</f>
        <v>0</v>
      </c>
      <c r="K4418" s="31">
        <f>'Raw data'!H4327</f>
        <v>0</v>
      </c>
      <c r="L4418" s="26">
        <f t="shared" si="140"/>
        <v>0</v>
      </c>
    </row>
    <row r="4419" spans="2:12">
      <c r="B4419" s="4" t="e">
        <f t="shared" si="141"/>
        <v>#N/A</v>
      </c>
      <c r="C4419" s="4">
        <f>'Raw data'!E3995</f>
        <v>0</v>
      </c>
      <c r="D4419" s="29" t="e">
        <f>VLOOKUP(C4419,'점포코드 '!A:B,2,0)</f>
        <v>#N/A</v>
      </c>
      <c r="E4419" s="30">
        <f>'Raw data'!P3995</f>
        <v>0</v>
      </c>
      <c r="F4419" s="29" t="e">
        <f>VLOOKUP(E4419,'점포코드 '!A:B,2,0)</f>
        <v>#N/A</v>
      </c>
      <c r="G4419" s="46">
        <f>'Raw data'!F4328</f>
        <v>0</v>
      </c>
      <c r="H4419" s="4">
        <f>'Raw data'!G4328</f>
        <v>0</v>
      </c>
      <c r="I4419" s="29" t="e">
        <f>VLOOKUP(G4419,제품명!$C$1:$E$114,2,0)</f>
        <v>#N/A</v>
      </c>
      <c r="J4419" s="29">
        <f>'Raw data'!K4328</f>
        <v>0</v>
      </c>
      <c r="K4419" s="31">
        <f>'Raw data'!H4328</f>
        <v>0</v>
      </c>
      <c r="L4419" s="26">
        <f t="shared" ref="L4419:L4482" si="142">J4419*K4419</f>
        <v>0</v>
      </c>
    </row>
    <row r="4420" spans="2:12">
      <c r="B4420" s="4" t="e">
        <f t="shared" si="141"/>
        <v>#N/A</v>
      </c>
      <c r="C4420" s="4">
        <f>'Raw data'!E3996</f>
        <v>0</v>
      </c>
      <c r="D4420" s="29" t="e">
        <f>VLOOKUP(C4420,'점포코드 '!A:B,2,0)</f>
        <v>#N/A</v>
      </c>
      <c r="E4420" s="30">
        <f>'Raw data'!P3996</f>
        <v>0</v>
      </c>
      <c r="F4420" s="29" t="e">
        <f>VLOOKUP(E4420,'점포코드 '!A:B,2,0)</f>
        <v>#N/A</v>
      </c>
      <c r="G4420" s="46">
        <f>'Raw data'!F4329</f>
        <v>0</v>
      </c>
      <c r="H4420" s="4">
        <f>'Raw data'!G4329</f>
        <v>0</v>
      </c>
      <c r="I4420" s="29" t="e">
        <f>VLOOKUP(G4420,제품명!$C$1:$E$114,2,0)</f>
        <v>#N/A</v>
      </c>
      <c r="J4420" s="29">
        <f>'Raw data'!K4329</f>
        <v>0</v>
      </c>
      <c r="K4420" s="31">
        <f>'Raw data'!H4329</f>
        <v>0</v>
      </c>
      <c r="L4420" s="26">
        <f t="shared" si="142"/>
        <v>0</v>
      </c>
    </row>
    <row r="4421" spans="2:12">
      <c r="B4421" s="4" t="e">
        <f t="shared" si="141"/>
        <v>#N/A</v>
      </c>
      <c r="C4421" s="4">
        <f>'Raw data'!E3997</f>
        <v>0</v>
      </c>
      <c r="D4421" s="29" t="e">
        <f>VLOOKUP(C4421,'점포코드 '!A:B,2,0)</f>
        <v>#N/A</v>
      </c>
      <c r="E4421" s="30">
        <f>'Raw data'!P3997</f>
        <v>0</v>
      </c>
      <c r="F4421" s="29" t="e">
        <f>VLOOKUP(E4421,'점포코드 '!A:B,2,0)</f>
        <v>#N/A</v>
      </c>
      <c r="G4421" s="46">
        <f>'Raw data'!F4330</f>
        <v>0</v>
      </c>
      <c r="H4421" s="4">
        <f>'Raw data'!G4330</f>
        <v>0</v>
      </c>
      <c r="I4421" s="29" t="e">
        <f>VLOOKUP(G4421,제품명!$C$1:$E$114,2,0)</f>
        <v>#N/A</v>
      </c>
      <c r="J4421" s="29">
        <f>'Raw data'!K4330</f>
        <v>0</v>
      </c>
      <c r="K4421" s="31">
        <f>'Raw data'!H4330</f>
        <v>0</v>
      </c>
      <c r="L4421" s="26">
        <f t="shared" si="142"/>
        <v>0</v>
      </c>
    </row>
    <row r="4422" spans="2:12">
      <c r="B4422" s="4" t="e">
        <f t="shared" si="141"/>
        <v>#N/A</v>
      </c>
      <c r="C4422" s="4">
        <f>'Raw data'!E3998</f>
        <v>0</v>
      </c>
      <c r="D4422" s="29" t="e">
        <f>VLOOKUP(C4422,'점포코드 '!A:B,2,0)</f>
        <v>#N/A</v>
      </c>
      <c r="E4422" s="30">
        <f>'Raw data'!P3998</f>
        <v>0</v>
      </c>
      <c r="F4422" s="29" t="e">
        <f>VLOOKUP(E4422,'점포코드 '!A:B,2,0)</f>
        <v>#N/A</v>
      </c>
      <c r="G4422" s="46">
        <f>'Raw data'!F4331</f>
        <v>0</v>
      </c>
      <c r="H4422" s="4">
        <f>'Raw data'!G4331</f>
        <v>0</v>
      </c>
      <c r="I4422" s="29" t="e">
        <f>VLOOKUP(G4422,제품명!$C$1:$E$114,2,0)</f>
        <v>#N/A</v>
      </c>
      <c r="J4422" s="29">
        <f>'Raw data'!K4331</f>
        <v>0</v>
      </c>
      <c r="K4422" s="31">
        <f>'Raw data'!H4331</f>
        <v>0</v>
      </c>
      <c r="L4422" s="26">
        <f t="shared" si="142"/>
        <v>0</v>
      </c>
    </row>
    <row r="4423" spans="2:12">
      <c r="B4423" s="4" t="e">
        <f t="shared" si="141"/>
        <v>#N/A</v>
      </c>
      <c r="C4423" s="4">
        <f>'Raw data'!E3999</f>
        <v>0</v>
      </c>
      <c r="D4423" s="29" t="e">
        <f>VLOOKUP(C4423,'점포코드 '!A:B,2,0)</f>
        <v>#N/A</v>
      </c>
      <c r="E4423" s="30">
        <f>'Raw data'!P3999</f>
        <v>0</v>
      </c>
      <c r="F4423" s="29" t="e">
        <f>VLOOKUP(E4423,'점포코드 '!A:B,2,0)</f>
        <v>#N/A</v>
      </c>
      <c r="G4423" s="46">
        <f>'Raw data'!F4332</f>
        <v>0</v>
      </c>
      <c r="H4423" s="4">
        <f>'Raw data'!G4332</f>
        <v>0</v>
      </c>
      <c r="I4423" s="29" t="e">
        <f>VLOOKUP(G4423,제품명!$C$1:$E$114,2,0)</f>
        <v>#N/A</v>
      </c>
      <c r="J4423" s="29">
        <f>'Raw data'!K4332</f>
        <v>0</v>
      </c>
      <c r="K4423" s="31">
        <f>'Raw data'!H4332</f>
        <v>0</v>
      </c>
      <c r="L4423" s="26">
        <f t="shared" si="142"/>
        <v>0</v>
      </c>
    </row>
    <row r="4424" spans="2:12">
      <c r="B4424" s="4" t="e">
        <f t="shared" si="141"/>
        <v>#N/A</v>
      </c>
      <c r="C4424" s="4">
        <f>'Raw data'!E4000</f>
        <v>0</v>
      </c>
      <c r="D4424" s="29" t="e">
        <f>VLOOKUP(C4424,'점포코드 '!A:B,2,0)</f>
        <v>#N/A</v>
      </c>
      <c r="E4424" s="30">
        <f>'Raw data'!P4000</f>
        <v>0</v>
      </c>
      <c r="F4424" s="29" t="e">
        <f>VLOOKUP(E4424,'점포코드 '!A:B,2,0)</f>
        <v>#N/A</v>
      </c>
      <c r="G4424" s="46">
        <f>'Raw data'!F4333</f>
        <v>0</v>
      </c>
      <c r="H4424" s="4">
        <f>'Raw data'!G4333</f>
        <v>0</v>
      </c>
      <c r="I4424" s="29" t="e">
        <f>VLOOKUP(G4424,제품명!$C$1:$E$114,2,0)</f>
        <v>#N/A</v>
      </c>
      <c r="J4424" s="29">
        <f>'Raw data'!K4333</f>
        <v>0</v>
      </c>
      <c r="K4424" s="31">
        <f>'Raw data'!H4333</f>
        <v>0</v>
      </c>
      <c r="L4424" s="26">
        <f t="shared" si="142"/>
        <v>0</v>
      </c>
    </row>
    <row r="4425" spans="2:12">
      <c r="B4425" s="4" t="e">
        <f t="shared" si="141"/>
        <v>#N/A</v>
      </c>
      <c r="C4425" s="4">
        <f>'Raw data'!E4001</f>
        <v>0</v>
      </c>
      <c r="D4425" s="29" t="e">
        <f>VLOOKUP(C4425,'점포코드 '!A:B,2,0)</f>
        <v>#N/A</v>
      </c>
      <c r="E4425" s="30">
        <f>'Raw data'!P4001</f>
        <v>0</v>
      </c>
      <c r="F4425" s="29" t="e">
        <f>VLOOKUP(E4425,'점포코드 '!A:B,2,0)</f>
        <v>#N/A</v>
      </c>
      <c r="G4425" s="46">
        <f>'Raw data'!F4334</f>
        <v>0</v>
      </c>
      <c r="H4425" s="4">
        <f>'Raw data'!G4334</f>
        <v>0</v>
      </c>
      <c r="I4425" s="29" t="e">
        <f>VLOOKUP(G4425,제품명!$C$1:$E$114,2,0)</f>
        <v>#N/A</v>
      </c>
      <c r="J4425" s="29">
        <f>'Raw data'!K4334</f>
        <v>0</v>
      </c>
      <c r="K4425" s="31">
        <f>'Raw data'!H4334</f>
        <v>0</v>
      </c>
      <c r="L4425" s="26">
        <f t="shared" si="142"/>
        <v>0</v>
      </c>
    </row>
    <row r="4426" spans="2:12">
      <c r="B4426" s="4" t="e">
        <f t="shared" si="141"/>
        <v>#N/A</v>
      </c>
      <c r="C4426" s="4">
        <f>'Raw data'!E4002</f>
        <v>0</v>
      </c>
      <c r="D4426" s="29" t="e">
        <f>VLOOKUP(C4426,'점포코드 '!A:B,2,0)</f>
        <v>#N/A</v>
      </c>
      <c r="E4426" s="30">
        <f>'Raw data'!P4002</f>
        <v>0</v>
      </c>
      <c r="F4426" s="29" t="e">
        <f>VLOOKUP(E4426,'점포코드 '!A:B,2,0)</f>
        <v>#N/A</v>
      </c>
      <c r="G4426" s="46">
        <f>'Raw data'!F4335</f>
        <v>0</v>
      </c>
      <c r="H4426" s="4">
        <f>'Raw data'!G4335</f>
        <v>0</v>
      </c>
      <c r="I4426" s="29" t="e">
        <f>VLOOKUP(G4426,제품명!$C$1:$E$114,2,0)</f>
        <v>#N/A</v>
      </c>
      <c r="J4426" s="29">
        <f>'Raw data'!K4335</f>
        <v>0</v>
      </c>
      <c r="K4426" s="31">
        <f>'Raw data'!H4335</f>
        <v>0</v>
      </c>
      <c r="L4426" s="26">
        <f t="shared" si="142"/>
        <v>0</v>
      </c>
    </row>
    <row r="4427" spans="2:12">
      <c r="B4427" s="4" t="e">
        <f t="shared" si="141"/>
        <v>#N/A</v>
      </c>
      <c r="C4427" s="4">
        <f>'Raw data'!E4003</f>
        <v>0</v>
      </c>
      <c r="D4427" s="29" t="e">
        <f>VLOOKUP(C4427,'점포코드 '!A:B,2,0)</f>
        <v>#N/A</v>
      </c>
      <c r="E4427" s="30">
        <f>'Raw data'!P4003</f>
        <v>0</v>
      </c>
      <c r="F4427" s="29" t="e">
        <f>VLOOKUP(E4427,'점포코드 '!A:B,2,0)</f>
        <v>#N/A</v>
      </c>
      <c r="G4427" s="46">
        <f>'Raw data'!F4336</f>
        <v>0</v>
      </c>
      <c r="H4427" s="4">
        <f>'Raw data'!G4336</f>
        <v>0</v>
      </c>
      <c r="I4427" s="29" t="e">
        <f>VLOOKUP(G4427,제품명!$C$1:$E$114,2,0)</f>
        <v>#N/A</v>
      </c>
      <c r="J4427" s="29">
        <f>'Raw data'!K4336</f>
        <v>0</v>
      </c>
      <c r="K4427" s="31">
        <f>'Raw data'!H4336</f>
        <v>0</v>
      </c>
      <c r="L4427" s="26">
        <f t="shared" si="142"/>
        <v>0</v>
      </c>
    </row>
    <row r="4428" spans="2:12">
      <c r="B4428" s="4" t="e">
        <f t="shared" si="141"/>
        <v>#N/A</v>
      </c>
      <c r="C4428" s="4">
        <f>'Raw data'!E4004</f>
        <v>0</v>
      </c>
      <c r="D4428" s="29" t="e">
        <f>VLOOKUP(C4428,'점포코드 '!A:B,2,0)</f>
        <v>#N/A</v>
      </c>
      <c r="E4428" s="30">
        <f>'Raw data'!P4004</f>
        <v>0</v>
      </c>
      <c r="F4428" s="29" t="e">
        <f>VLOOKUP(E4428,'점포코드 '!A:B,2,0)</f>
        <v>#N/A</v>
      </c>
      <c r="G4428" s="46">
        <f>'Raw data'!F4337</f>
        <v>0</v>
      </c>
      <c r="H4428" s="4">
        <f>'Raw data'!G4337</f>
        <v>0</v>
      </c>
      <c r="I4428" s="29" t="e">
        <f>VLOOKUP(G4428,제품명!$C$1:$E$114,2,0)</f>
        <v>#N/A</v>
      </c>
      <c r="J4428" s="29">
        <f>'Raw data'!K4337</f>
        <v>0</v>
      </c>
      <c r="K4428" s="31">
        <f>'Raw data'!H4337</f>
        <v>0</v>
      </c>
      <c r="L4428" s="26">
        <f t="shared" si="142"/>
        <v>0</v>
      </c>
    </row>
    <row r="4429" spans="2:12">
      <c r="B4429" s="4" t="e">
        <f t="shared" si="141"/>
        <v>#N/A</v>
      </c>
      <c r="C4429" s="4">
        <f>'Raw data'!E4005</f>
        <v>0</v>
      </c>
      <c r="D4429" s="29" t="e">
        <f>VLOOKUP(C4429,'점포코드 '!A:B,2,0)</f>
        <v>#N/A</v>
      </c>
      <c r="E4429" s="30">
        <f>'Raw data'!P4005</f>
        <v>0</v>
      </c>
      <c r="F4429" s="29" t="e">
        <f>VLOOKUP(E4429,'점포코드 '!A:B,2,0)</f>
        <v>#N/A</v>
      </c>
      <c r="G4429" s="46">
        <f>'Raw data'!F4338</f>
        <v>0</v>
      </c>
      <c r="H4429" s="4">
        <f>'Raw data'!G4338</f>
        <v>0</v>
      </c>
      <c r="I4429" s="29" t="e">
        <f>VLOOKUP(G4429,제품명!$C$1:$E$114,2,0)</f>
        <v>#N/A</v>
      </c>
      <c r="J4429" s="29">
        <f>'Raw data'!K4338</f>
        <v>0</v>
      </c>
      <c r="K4429" s="31">
        <f>'Raw data'!H4338</f>
        <v>0</v>
      </c>
      <c r="L4429" s="26">
        <f t="shared" si="142"/>
        <v>0</v>
      </c>
    </row>
    <row r="4430" spans="2:12">
      <c r="B4430" s="4" t="e">
        <f t="shared" si="141"/>
        <v>#N/A</v>
      </c>
      <c r="C4430" s="4">
        <f>'Raw data'!E4006</f>
        <v>0</v>
      </c>
      <c r="D4430" s="29" t="e">
        <f>VLOOKUP(C4430,'점포코드 '!A:B,2,0)</f>
        <v>#N/A</v>
      </c>
      <c r="E4430" s="30">
        <f>'Raw data'!P4006</f>
        <v>0</v>
      </c>
      <c r="F4430" s="29" t="e">
        <f>VLOOKUP(E4430,'점포코드 '!A:B,2,0)</f>
        <v>#N/A</v>
      </c>
      <c r="G4430" s="46">
        <f>'Raw data'!F4339</f>
        <v>0</v>
      </c>
      <c r="H4430" s="4">
        <f>'Raw data'!G4339</f>
        <v>0</v>
      </c>
      <c r="I4430" s="29" t="e">
        <f>VLOOKUP(G4430,제품명!$C$1:$E$114,2,0)</f>
        <v>#N/A</v>
      </c>
      <c r="J4430" s="29">
        <f>'Raw data'!K4339</f>
        <v>0</v>
      </c>
      <c r="K4430" s="31">
        <f>'Raw data'!H4339</f>
        <v>0</v>
      </c>
      <c r="L4430" s="26">
        <f t="shared" si="142"/>
        <v>0</v>
      </c>
    </row>
    <row r="4431" spans="2:12">
      <c r="B4431" s="4" t="e">
        <f t="shared" si="141"/>
        <v>#N/A</v>
      </c>
      <c r="C4431" s="4">
        <f>'Raw data'!E4007</f>
        <v>0</v>
      </c>
      <c r="D4431" s="29" t="e">
        <f>VLOOKUP(C4431,'점포코드 '!A:B,2,0)</f>
        <v>#N/A</v>
      </c>
      <c r="E4431" s="30">
        <f>'Raw data'!P4007</f>
        <v>0</v>
      </c>
      <c r="F4431" s="29" t="e">
        <f>VLOOKUP(E4431,'점포코드 '!A:B,2,0)</f>
        <v>#N/A</v>
      </c>
      <c r="G4431" s="46">
        <f>'Raw data'!F4340</f>
        <v>0</v>
      </c>
      <c r="H4431" s="4">
        <f>'Raw data'!G4340</f>
        <v>0</v>
      </c>
      <c r="I4431" s="29" t="e">
        <f>VLOOKUP(G4431,제품명!$C$1:$E$114,2,0)</f>
        <v>#N/A</v>
      </c>
      <c r="J4431" s="29">
        <f>'Raw data'!K4340</f>
        <v>0</v>
      </c>
      <c r="K4431" s="31">
        <f>'Raw data'!H4340</f>
        <v>0</v>
      </c>
      <c r="L4431" s="26">
        <f t="shared" si="142"/>
        <v>0</v>
      </c>
    </row>
    <row r="4432" spans="2:12">
      <c r="B4432" s="4" t="e">
        <f t="shared" si="141"/>
        <v>#N/A</v>
      </c>
      <c r="C4432" s="4">
        <f>'Raw data'!E4008</f>
        <v>0</v>
      </c>
      <c r="D4432" s="29" t="e">
        <f>VLOOKUP(C4432,'점포코드 '!A:B,2,0)</f>
        <v>#N/A</v>
      </c>
      <c r="E4432" s="30">
        <f>'Raw data'!P4008</f>
        <v>0</v>
      </c>
      <c r="F4432" s="29" t="e">
        <f>VLOOKUP(E4432,'점포코드 '!A:B,2,0)</f>
        <v>#N/A</v>
      </c>
      <c r="G4432" s="46">
        <f>'Raw data'!F4341</f>
        <v>0</v>
      </c>
      <c r="H4432" s="4">
        <f>'Raw data'!G4341</f>
        <v>0</v>
      </c>
      <c r="I4432" s="29" t="e">
        <f>VLOOKUP(G4432,제품명!$C$1:$E$114,2,0)</f>
        <v>#N/A</v>
      </c>
      <c r="J4432" s="29">
        <f>'Raw data'!K4341</f>
        <v>0</v>
      </c>
      <c r="K4432" s="31">
        <f>'Raw data'!H4341</f>
        <v>0</v>
      </c>
      <c r="L4432" s="26">
        <f t="shared" si="142"/>
        <v>0</v>
      </c>
    </row>
    <row r="4433" spans="2:12">
      <c r="B4433" s="4" t="e">
        <f t="shared" si="141"/>
        <v>#N/A</v>
      </c>
      <c r="C4433" s="4">
        <f>'Raw data'!E4009</f>
        <v>0</v>
      </c>
      <c r="D4433" s="29" t="e">
        <f>VLOOKUP(C4433,'점포코드 '!A:B,2,0)</f>
        <v>#N/A</v>
      </c>
      <c r="E4433" s="30">
        <f>'Raw data'!P4009</f>
        <v>0</v>
      </c>
      <c r="F4433" s="29" t="e">
        <f>VLOOKUP(E4433,'점포코드 '!A:B,2,0)</f>
        <v>#N/A</v>
      </c>
      <c r="G4433" s="46">
        <f>'Raw data'!F4342</f>
        <v>0</v>
      </c>
      <c r="H4433" s="4">
        <f>'Raw data'!G4342</f>
        <v>0</v>
      </c>
      <c r="I4433" s="29" t="e">
        <f>VLOOKUP(G4433,제품명!$C$1:$E$114,2,0)</f>
        <v>#N/A</v>
      </c>
      <c r="J4433" s="29">
        <f>'Raw data'!K4342</f>
        <v>0</v>
      </c>
      <c r="K4433" s="31">
        <f>'Raw data'!H4342</f>
        <v>0</v>
      </c>
      <c r="L4433" s="26">
        <f t="shared" si="142"/>
        <v>0</v>
      </c>
    </row>
    <row r="4434" spans="2:12">
      <c r="B4434" s="4" t="e">
        <f t="shared" si="141"/>
        <v>#N/A</v>
      </c>
      <c r="C4434" s="4">
        <f>'Raw data'!E4010</f>
        <v>0</v>
      </c>
      <c r="D4434" s="29" t="e">
        <f>VLOOKUP(C4434,'점포코드 '!A:B,2,0)</f>
        <v>#N/A</v>
      </c>
      <c r="E4434" s="30">
        <f>'Raw data'!P4010</f>
        <v>0</v>
      </c>
      <c r="F4434" s="29" t="e">
        <f>VLOOKUP(E4434,'점포코드 '!A:B,2,0)</f>
        <v>#N/A</v>
      </c>
      <c r="G4434" s="46">
        <f>'Raw data'!F4343</f>
        <v>0</v>
      </c>
      <c r="H4434" s="4">
        <f>'Raw data'!G4343</f>
        <v>0</v>
      </c>
      <c r="I4434" s="29" t="e">
        <f>VLOOKUP(G4434,제품명!$C$1:$E$114,2,0)</f>
        <v>#N/A</v>
      </c>
      <c r="J4434" s="29">
        <f>'Raw data'!K4343</f>
        <v>0</v>
      </c>
      <c r="K4434" s="31">
        <f>'Raw data'!H4343</f>
        <v>0</v>
      </c>
      <c r="L4434" s="26">
        <f t="shared" si="142"/>
        <v>0</v>
      </c>
    </row>
    <row r="4435" spans="2:12">
      <c r="B4435" s="4" t="e">
        <f t="shared" si="141"/>
        <v>#N/A</v>
      </c>
      <c r="C4435" s="4">
        <f>'Raw data'!E4011</f>
        <v>0</v>
      </c>
      <c r="D4435" s="29" t="e">
        <f>VLOOKUP(C4435,'점포코드 '!A:B,2,0)</f>
        <v>#N/A</v>
      </c>
      <c r="E4435" s="30">
        <f>'Raw data'!P4011</f>
        <v>0</v>
      </c>
      <c r="F4435" s="29" t="e">
        <f>VLOOKUP(E4435,'점포코드 '!A:B,2,0)</f>
        <v>#N/A</v>
      </c>
      <c r="G4435" s="46">
        <f>'Raw data'!F4344</f>
        <v>0</v>
      </c>
      <c r="H4435" s="4">
        <f>'Raw data'!G4344</f>
        <v>0</v>
      </c>
      <c r="I4435" s="29" t="e">
        <f>VLOOKUP(G4435,제품명!$C$1:$E$114,2,0)</f>
        <v>#N/A</v>
      </c>
      <c r="J4435" s="29">
        <f>'Raw data'!K4344</f>
        <v>0</v>
      </c>
      <c r="K4435" s="31">
        <f>'Raw data'!H4344</f>
        <v>0</v>
      </c>
      <c r="L4435" s="26">
        <f t="shared" si="142"/>
        <v>0</v>
      </c>
    </row>
    <row r="4436" spans="2:12">
      <c r="B4436" s="4" t="e">
        <f t="shared" si="141"/>
        <v>#N/A</v>
      </c>
      <c r="C4436" s="4">
        <f>'Raw data'!E4012</f>
        <v>0</v>
      </c>
      <c r="D4436" s="29" t="e">
        <f>VLOOKUP(C4436,'점포코드 '!A:B,2,0)</f>
        <v>#N/A</v>
      </c>
      <c r="E4436" s="30">
        <f>'Raw data'!P4012</f>
        <v>0</v>
      </c>
      <c r="F4436" s="29" t="e">
        <f>VLOOKUP(E4436,'점포코드 '!A:B,2,0)</f>
        <v>#N/A</v>
      </c>
      <c r="G4436" s="46">
        <f>'Raw data'!F4345</f>
        <v>0</v>
      </c>
      <c r="H4436" s="4">
        <f>'Raw data'!G4345</f>
        <v>0</v>
      </c>
      <c r="I4436" s="29" t="e">
        <f>VLOOKUP(G4436,제품명!$C$1:$E$114,2,0)</f>
        <v>#N/A</v>
      </c>
      <c r="J4436" s="29">
        <f>'Raw data'!K4345</f>
        <v>0</v>
      </c>
      <c r="K4436" s="31">
        <f>'Raw data'!H4345</f>
        <v>0</v>
      </c>
      <c r="L4436" s="26">
        <f t="shared" si="142"/>
        <v>0</v>
      </c>
    </row>
    <row r="4437" spans="2:12">
      <c r="B4437" s="4" t="e">
        <f t="shared" si="141"/>
        <v>#N/A</v>
      </c>
      <c r="C4437" s="4">
        <f>'Raw data'!E4013</f>
        <v>0</v>
      </c>
      <c r="D4437" s="29" t="e">
        <f>VLOOKUP(C4437,'점포코드 '!A:B,2,0)</f>
        <v>#N/A</v>
      </c>
      <c r="E4437" s="30">
        <f>'Raw data'!P4013</f>
        <v>0</v>
      </c>
      <c r="F4437" s="29" t="e">
        <f>VLOOKUP(E4437,'점포코드 '!A:B,2,0)</f>
        <v>#N/A</v>
      </c>
      <c r="G4437" s="46">
        <f>'Raw data'!F4346</f>
        <v>0</v>
      </c>
      <c r="H4437" s="4">
        <f>'Raw data'!G4346</f>
        <v>0</v>
      </c>
      <c r="I4437" s="29" t="e">
        <f>VLOOKUP(G4437,제품명!$C$1:$E$114,2,0)</f>
        <v>#N/A</v>
      </c>
      <c r="J4437" s="29">
        <f>'Raw data'!K4346</f>
        <v>0</v>
      </c>
      <c r="K4437" s="31">
        <f>'Raw data'!H4346</f>
        <v>0</v>
      </c>
      <c r="L4437" s="26">
        <f t="shared" si="142"/>
        <v>0</v>
      </c>
    </row>
    <row r="4438" spans="2:12">
      <c r="B4438" s="4" t="e">
        <f t="shared" si="141"/>
        <v>#N/A</v>
      </c>
      <c r="C4438" s="4">
        <f>'Raw data'!E4014</f>
        <v>0</v>
      </c>
      <c r="D4438" s="29" t="e">
        <f>VLOOKUP(C4438,'점포코드 '!A:B,2,0)</f>
        <v>#N/A</v>
      </c>
      <c r="E4438" s="30">
        <f>'Raw data'!P4014</f>
        <v>0</v>
      </c>
      <c r="F4438" s="29" t="e">
        <f>VLOOKUP(E4438,'점포코드 '!A:B,2,0)</f>
        <v>#N/A</v>
      </c>
      <c r="G4438" s="46">
        <f>'Raw data'!F4347</f>
        <v>0</v>
      </c>
      <c r="H4438" s="4">
        <f>'Raw data'!G4347</f>
        <v>0</v>
      </c>
      <c r="I4438" s="29" t="e">
        <f>VLOOKUP(G4438,제품명!$C$1:$E$114,2,0)</f>
        <v>#N/A</v>
      </c>
      <c r="J4438" s="29">
        <f>'Raw data'!K4347</f>
        <v>0</v>
      </c>
      <c r="K4438" s="31">
        <f>'Raw data'!H4347</f>
        <v>0</v>
      </c>
      <c r="L4438" s="26">
        <f t="shared" si="142"/>
        <v>0</v>
      </c>
    </row>
    <row r="4439" spans="2:12">
      <c r="B4439" s="4" t="e">
        <f t="shared" si="141"/>
        <v>#N/A</v>
      </c>
      <c r="C4439" s="4">
        <f>'Raw data'!E4015</f>
        <v>0</v>
      </c>
      <c r="D4439" s="29" t="e">
        <f>VLOOKUP(C4439,'점포코드 '!A:B,2,0)</f>
        <v>#N/A</v>
      </c>
      <c r="E4439" s="30">
        <f>'Raw data'!P4015</f>
        <v>0</v>
      </c>
      <c r="F4439" s="29" t="e">
        <f>VLOOKUP(E4439,'점포코드 '!A:B,2,0)</f>
        <v>#N/A</v>
      </c>
      <c r="G4439" s="46">
        <f>'Raw data'!F4348</f>
        <v>0</v>
      </c>
      <c r="H4439" s="4">
        <f>'Raw data'!G4348</f>
        <v>0</v>
      </c>
      <c r="I4439" s="29" t="e">
        <f>VLOOKUP(G4439,제품명!$C$1:$E$114,2,0)</f>
        <v>#N/A</v>
      </c>
      <c r="J4439" s="29">
        <f>'Raw data'!K4348</f>
        <v>0</v>
      </c>
      <c r="K4439" s="31">
        <f>'Raw data'!H4348</f>
        <v>0</v>
      </c>
      <c r="L4439" s="26">
        <f t="shared" si="142"/>
        <v>0</v>
      </c>
    </row>
    <row r="4440" spans="2:12">
      <c r="B4440" s="4" t="e">
        <f t="shared" si="141"/>
        <v>#N/A</v>
      </c>
      <c r="C4440" s="4">
        <f>'Raw data'!E4016</f>
        <v>0</v>
      </c>
      <c r="D4440" s="29" t="e">
        <f>VLOOKUP(C4440,'점포코드 '!A:B,2,0)</f>
        <v>#N/A</v>
      </c>
      <c r="E4440" s="30">
        <f>'Raw data'!P4016</f>
        <v>0</v>
      </c>
      <c r="F4440" s="29" t="e">
        <f>VLOOKUP(E4440,'점포코드 '!A:B,2,0)</f>
        <v>#N/A</v>
      </c>
      <c r="G4440" s="46">
        <f>'Raw data'!F4349</f>
        <v>0</v>
      </c>
      <c r="H4440" s="4">
        <f>'Raw data'!G4349</f>
        <v>0</v>
      </c>
      <c r="I4440" s="29" t="e">
        <f>VLOOKUP(G4440,제품명!$C$1:$E$114,2,0)</f>
        <v>#N/A</v>
      </c>
      <c r="J4440" s="29">
        <f>'Raw data'!K4349</f>
        <v>0</v>
      </c>
      <c r="K4440" s="31">
        <f>'Raw data'!H4349</f>
        <v>0</v>
      </c>
      <c r="L4440" s="26">
        <f t="shared" si="142"/>
        <v>0</v>
      </c>
    </row>
    <row r="4441" spans="2:12">
      <c r="B4441" s="4" t="e">
        <f t="shared" si="141"/>
        <v>#N/A</v>
      </c>
      <c r="C4441" s="4">
        <f>'Raw data'!E4017</f>
        <v>0</v>
      </c>
      <c r="D4441" s="29" t="e">
        <f>VLOOKUP(C4441,'점포코드 '!A:B,2,0)</f>
        <v>#N/A</v>
      </c>
      <c r="E4441" s="30">
        <f>'Raw data'!P4017</f>
        <v>0</v>
      </c>
      <c r="F4441" s="29" t="e">
        <f>VLOOKUP(E4441,'점포코드 '!A:B,2,0)</f>
        <v>#N/A</v>
      </c>
      <c r="G4441" s="46">
        <f>'Raw data'!F4350</f>
        <v>0</v>
      </c>
      <c r="H4441" s="4">
        <f>'Raw data'!G4350</f>
        <v>0</v>
      </c>
      <c r="I4441" s="29" t="e">
        <f>VLOOKUP(G4441,제품명!$C$1:$E$114,2,0)</f>
        <v>#N/A</v>
      </c>
      <c r="J4441" s="29">
        <f>'Raw data'!K4350</f>
        <v>0</v>
      </c>
      <c r="K4441" s="31">
        <f>'Raw data'!H4350</f>
        <v>0</v>
      </c>
      <c r="L4441" s="26">
        <f t="shared" si="142"/>
        <v>0</v>
      </c>
    </row>
    <row r="4442" spans="2:12">
      <c r="B4442" s="4" t="e">
        <f t="shared" si="141"/>
        <v>#N/A</v>
      </c>
      <c r="C4442" s="4">
        <f>'Raw data'!E4018</f>
        <v>0</v>
      </c>
      <c r="D4442" s="29" t="e">
        <f>VLOOKUP(C4442,'점포코드 '!A:B,2,0)</f>
        <v>#N/A</v>
      </c>
      <c r="E4442" s="30">
        <f>'Raw data'!P4018</f>
        <v>0</v>
      </c>
      <c r="F4442" s="29" t="e">
        <f>VLOOKUP(E4442,'점포코드 '!A:B,2,0)</f>
        <v>#N/A</v>
      </c>
      <c r="G4442" s="46">
        <f>'Raw data'!F4351</f>
        <v>0</v>
      </c>
      <c r="H4442" s="4">
        <f>'Raw data'!G4351</f>
        <v>0</v>
      </c>
      <c r="I4442" s="29" t="e">
        <f>VLOOKUP(G4442,제품명!$C$1:$E$114,2,0)</f>
        <v>#N/A</v>
      </c>
      <c r="J4442" s="29">
        <f>'Raw data'!K4351</f>
        <v>0</v>
      </c>
      <c r="K4442" s="31">
        <f>'Raw data'!H4351</f>
        <v>0</v>
      </c>
      <c r="L4442" s="26">
        <f t="shared" si="142"/>
        <v>0</v>
      </c>
    </row>
    <row r="4443" spans="2:12">
      <c r="B4443" s="4" t="e">
        <f t="shared" si="141"/>
        <v>#N/A</v>
      </c>
      <c r="C4443" s="4">
        <f>'Raw data'!E4019</f>
        <v>0</v>
      </c>
      <c r="D4443" s="29" t="e">
        <f>VLOOKUP(C4443,'점포코드 '!A:B,2,0)</f>
        <v>#N/A</v>
      </c>
      <c r="E4443" s="30">
        <f>'Raw data'!P4019</f>
        <v>0</v>
      </c>
      <c r="F4443" s="29" t="e">
        <f>VLOOKUP(E4443,'점포코드 '!A:B,2,0)</f>
        <v>#N/A</v>
      </c>
      <c r="G4443" s="46">
        <f>'Raw data'!F4352</f>
        <v>0</v>
      </c>
      <c r="H4443" s="4">
        <f>'Raw data'!G4352</f>
        <v>0</v>
      </c>
      <c r="I4443" s="29" t="e">
        <f>VLOOKUP(G4443,제품명!$C$1:$E$114,2,0)</f>
        <v>#N/A</v>
      </c>
      <c r="J4443" s="29">
        <f>'Raw data'!K4352</f>
        <v>0</v>
      </c>
      <c r="K4443" s="31">
        <f>'Raw data'!H4352</f>
        <v>0</v>
      </c>
      <c r="L4443" s="26">
        <f t="shared" si="142"/>
        <v>0</v>
      </c>
    </row>
    <row r="4444" spans="2:12">
      <c r="B4444" s="4" t="e">
        <f t="shared" si="141"/>
        <v>#N/A</v>
      </c>
      <c r="C4444" s="4">
        <f>'Raw data'!E4020</f>
        <v>0</v>
      </c>
      <c r="D4444" s="29" t="e">
        <f>VLOOKUP(C4444,'점포코드 '!A:B,2,0)</f>
        <v>#N/A</v>
      </c>
      <c r="E4444" s="30">
        <f>'Raw data'!P4020</f>
        <v>0</v>
      </c>
      <c r="F4444" s="29" t="e">
        <f>VLOOKUP(E4444,'점포코드 '!A:B,2,0)</f>
        <v>#N/A</v>
      </c>
      <c r="G4444" s="46">
        <f>'Raw data'!F4353</f>
        <v>0</v>
      </c>
      <c r="H4444" s="4">
        <f>'Raw data'!G4353</f>
        <v>0</v>
      </c>
      <c r="I4444" s="29" t="e">
        <f>VLOOKUP(G4444,제품명!$C$1:$E$114,2,0)</f>
        <v>#N/A</v>
      </c>
      <c r="J4444" s="29">
        <f>'Raw data'!K4353</f>
        <v>0</v>
      </c>
      <c r="K4444" s="31">
        <f>'Raw data'!H4353</f>
        <v>0</v>
      </c>
      <c r="L4444" s="26">
        <f t="shared" si="142"/>
        <v>0</v>
      </c>
    </row>
    <row r="4445" spans="2:12">
      <c r="B4445" s="4" t="e">
        <f t="shared" si="141"/>
        <v>#N/A</v>
      </c>
      <c r="C4445" s="4">
        <f>'Raw data'!E4021</f>
        <v>0</v>
      </c>
      <c r="D4445" s="29" t="e">
        <f>VLOOKUP(C4445,'점포코드 '!A:B,2,0)</f>
        <v>#N/A</v>
      </c>
      <c r="E4445" s="30">
        <f>'Raw data'!P4021</f>
        <v>0</v>
      </c>
      <c r="F4445" s="29" t="e">
        <f>VLOOKUP(E4445,'점포코드 '!A:B,2,0)</f>
        <v>#N/A</v>
      </c>
      <c r="G4445" s="46">
        <f>'Raw data'!F4354</f>
        <v>0</v>
      </c>
      <c r="H4445" s="4">
        <f>'Raw data'!G4354</f>
        <v>0</v>
      </c>
      <c r="I4445" s="29" t="e">
        <f>VLOOKUP(G4445,제품명!$C$1:$E$114,2,0)</f>
        <v>#N/A</v>
      </c>
      <c r="J4445" s="29">
        <f>'Raw data'!K4354</f>
        <v>0</v>
      </c>
      <c r="K4445" s="31">
        <f>'Raw data'!H4354</f>
        <v>0</v>
      </c>
      <c r="L4445" s="26">
        <f t="shared" si="142"/>
        <v>0</v>
      </c>
    </row>
    <row r="4446" spans="2:12">
      <c r="B4446" s="4" t="e">
        <f t="shared" si="141"/>
        <v>#N/A</v>
      </c>
      <c r="C4446" s="4">
        <f>'Raw data'!E4022</f>
        <v>0</v>
      </c>
      <c r="D4446" s="29" t="e">
        <f>VLOOKUP(C4446,'점포코드 '!A:B,2,0)</f>
        <v>#N/A</v>
      </c>
      <c r="E4446" s="30">
        <f>'Raw data'!P4022</f>
        <v>0</v>
      </c>
      <c r="F4446" s="29" t="e">
        <f>VLOOKUP(E4446,'점포코드 '!A:B,2,0)</f>
        <v>#N/A</v>
      </c>
      <c r="G4446" s="46">
        <f>'Raw data'!F4355</f>
        <v>0</v>
      </c>
      <c r="H4446" s="4">
        <f>'Raw data'!G4355</f>
        <v>0</v>
      </c>
      <c r="I4446" s="29" t="e">
        <f>VLOOKUP(G4446,제품명!$C$1:$E$114,2,0)</f>
        <v>#N/A</v>
      </c>
      <c r="J4446" s="29">
        <f>'Raw data'!K4355</f>
        <v>0</v>
      </c>
      <c r="K4446" s="31">
        <f>'Raw data'!H4355</f>
        <v>0</v>
      </c>
      <c r="L4446" s="26">
        <f t="shared" si="142"/>
        <v>0</v>
      </c>
    </row>
    <row r="4447" spans="2:12">
      <c r="B4447" s="4" t="e">
        <f t="shared" si="141"/>
        <v>#N/A</v>
      </c>
      <c r="C4447" s="4">
        <f>'Raw data'!E4023</f>
        <v>0</v>
      </c>
      <c r="D4447" s="29" t="e">
        <f>VLOOKUP(C4447,'점포코드 '!A:B,2,0)</f>
        <v>#N/A</v>
      </c>
      <c r="E4447" s="30">
        <f>'Raw data'!P4023</f>
        <v>0</v>
      </c>
      <c r="F4447" s="29" t="e">
        <f>VLOOKUP(E4447,'점포코드 '!A:B,2,0)</f>
        <v>#N/A</v>
      </c>
      <c r="G4447" s="46">
        <f>'Raw data'!F4356</f>
        <v>0</v>
      </c>
      <c r="H4447" s="4">
        <f>'Raw data'!G4356</f>
        <v>0</v>
      </c>
      <c r="I4447" s="29" t="e">
        <f>VLOOKUP(G4447,제품명!$C$1:$E$114,2,0)</f>
        <v>#N/A</v>
      </c>
      <c r="J4447" s="29">
        <f>'Raw data'!K4356</f>
        <v>0</v>
      </c>
      <c r="K4447" s="31">
        <f>'Raw data'!H4356</f>
        <v>0</v>
      </c>
      <c r="L4447" s="26">
        <f t="shared" si="142"/>
        <v>0</v>
      </c>
    </row>
    <row r="4448" spans="2:12">
      <c r="B4448" s="4" t="e">
        <f t="shared" si="141"/>
        <v>#N/A</v>
      </c>
      <c r="C4448" s="4">
        <f>'Raw data'!E4024</f>
        <v>0</v>
      </c>
      <c r="D4448" s="29" t="e">
        <f>VLOOKUP(C4448,'점포코드 '!A:B,2,0)</f>
        <v>#N/A</v>
      </c>
      <c r="E4448" s="30">
        <f>'Raw data'!P4024</f>
        <v>0</v>
      </c>
      <c r="F4448" s="29" t="e">
        <f>VLOOKUP(E4448,'점포코드 '!A:B,2,0)</f>
        <v>#N/A</v>
      </c>
      <c r="G4448" s="46">
        <f>'Raw data'!F4357</f>
        <v>0</v>
      </c>
      <c r="H4448" s="4">
        <f>'Raw data'!G4357</f>
        <v>0</v>
      </c>
      <c r="I4448" s="29" t="e">
        <f>VLOOKUP(G4448,제품명!$C$1:$E$114,2,0)</f>
        <v>#N/A</v>
      </c>
      <c r="J4448" s="29">
        <f>'Raw data'!K4357</f>
        <v>0</v>
      </c>
      <c r="K4448" s="31">
        <f>'Raw data'!H4357</f>
        <v>0</v>
      </c>
      <c r="L4448" s="26">
        <f t="shared" si="142"/>
        <v>0</v>
      </c>
    </row>
    <row r="4449" spans="2:12">
      <c r="B4449" s="4" t="e">
        <f t="shared" si="141"/>
        <v>#N/A</v>
      </c>
      <c r="C4449" s="4">
        <f>'Raw data'!E4025</f>
        <v>0</v>
      </c>
      <c r="D4449" s="29" t="e">
        <f>VLOOKUP(C4449,'점포코드 '!A:B,2,0)</f>
        <v>#N/A</v>
      </c>
      <c r="E4449" s="30">
        <f>'Raw data'!P4025</f>
        <v>0</v>
      </c>
      <c r="F4449" s="29" t="e">
        <f>VLOOKUP(E4449,'점포코드 '!A:B,2,0)</f>
        <v>#N/A</v>
      </c>
      <c r="G4449" s="46">
        <f>'Raw data'!F4358</f>
        <v>0</v>
      </c>
      <c r="H4449" s="4">
        <f>'Raw data'!G4358</f>
        <v>0</v>
      </c>
      <c r="I4449" s="29" t="e">
        <f>VLOOKUP(G4449,제품명!$C$1:$E$114,2,0)</f>
        <v>#N/A</v>
      </c>
      <c r="J4449" s="29">
        <f>'Raw data'!K4358</f>
        <v>0</v>
      </c>
      <c r="K4449" s="31">
        <f>'Raw data'!H4358</f>
        <v>0</v>
      </c>
      <c r="L4449" s="26">
        <f t="shared" si="142"/>
        <v>0</v>
      </c>
    </row>
    <row r="4450" spans="2:12">
      <c r="B4450" s="4" t="e">
        <f t="shared" si="141"/>
        <v>#N/A</v>
      </c>
      <c r="C4450" s="4">
        <f>'Raw data'!E4026</f>
        <v>0</v>
      </c>
      <c r="D4450" s="29" t="e">
        <f>VLOOKUP(C4450,'점포코드 '!A:B,2,0)</f>
        <v>#N/A</v>
      </c>
      <c r="E4450" s="30">
        <f>'Raw data'!P4026</f>
        <v>0</v>
      </c>
      <c r="F4450" s="29" t="e">
        <f>VLOOKUP(E4450,'점포코드 '!A:B,2,0)</f>
        <v>#N/A</v>
      </c>
      <c r="G4450" s="46">
        <f>'Raw data'!F4359</f>
        <v>0</v>
      </c>
      <c r="H4450" s="4">
        <f>'Raw data'!G4359</f>
        <v>0</v>
      </c>
      <c r="I4450" s="29" t="e">
        <f>VLOOKUP(G4450,제품명!$C$1:$E$114,2,0)</f>
        <v>#N/A</v>
      </c>
      <c r="J4450" s="29">
        <f>'Raw data'!K4359</f>
        <v>0</v>
      </c>
      <c r="K4450" s="31">
        <f>'Raw data'!H4359</f>
        <v>0</v>
      </c>
      <c r="L4450" s="26">
        <f t="shared" si="142"/>
        <v>0</v>
      </c>
    </row>
    <row r="4451" spans="2:12">
      <c r="B4451" s="4" t="e">
        <f t="shared" si="141"/>
        <v>#N/A</v>
      </c>
      <c r="C4451" s="4">
        <f>'Raw data'!E4027</f>
        <v>0</v>
      </c>
      <c r="D4451" s="29" t="e">
        <f>VLOOKUP(C4451,'점포코드 '!A:B,2,0)</f>
        <v>#N/A</v>
      </c>
      <c r="E4451" s="30">
        <f>'Raw data'!P4027</f>
        <v>0</v>
      </c>
      <c r="F4451" s="29" t="e">
        <f>VLOOKUP(E4451,'점포코드 '!A:B,2,0)</f>
        <v>#N/A</v>
      </c>
      <c r="G4451" s="46">
        <f>'Raw data'!F4360</f>
        <v>0</v>
      </c>
      <c r="H4451" s="4">
        <f>'Raw data'!G4360</f>
        <v>0</v>
      </c>
      <c r="I4451" s="29" t="e">
        <f>VLOOKUP(G4451,제품명!$C$1:$E$114,2,0)</f>
        <v>#N/A</v>
      </c>
      <c r="J4451" s="29">
        <f>'Raw data'!K4360</f>
        <v>0</v>
      </c>
      <c r="K4451" s="31">
        <f>'Raw data'!H4360</f>
        <v>0</v>
      </c>
      <c r="L4451" s="26">
        <f t="shared" si="142"/>
        <v>0</v>
      </c>
    </row>
    <row r="4452" spans="2:12">
      <c r="B4452" s="4" t="e">
        <f t="shared" si="141"/>
        <v>#N/A</v>
      </c>
      <c r="C4452" s="4">
        <f>'Raw data'!E4028</f>
        <v>0</v>
      </c>
      <c r="D4452" s="29" t="e">
        <f>VLOOKUP(C4452,'점포코드 '!A:B,2,0)</f>
        <v>#N/A</v>
      </c>
      <c r="E4452" s="30">
        <f>'Raw data'!P4028</f>
        <v>0</v>
      </c>
      <c r="F4452" s="29" t="e">
        <f>VLOOKUP(E4452,'점포코드 '!A:B,2,0)</f>
        <v>#N/A</v>
      </c>
      <c r="G4452" s="46">
        <f>'Raw data'!F4361</f>
        <v>0</v>
      </c>
      <c r="H4452" s="4">
        <f>'Raw data'!G4361</f>
        <v>0</v>
      </c>
      <c r="I4452" s="29" t="e">
        <f>VLOOKUP(G4452,제품명!$C$1:$E$114,2,0)</f>
        <v>#N/A</v>
      </c>
      <c r="J4452" s="29">
        <f>'Raw data'!K4361</f>
        <v>0</v>
      </c>
      <c r="K4452" s="31">
        <f>'Raw data'!H4361</f>
        <v>0</v>
      </c>
      <c r="L4452" s="26">
        <f t="shared" si="142"/>
        <v>0</v>
      </c>
    </row>
    <row r="4453" spans="2:12">
      <c r="B4453" s="4" t="e">
        <f t="shared" si="141"/>
        <v>#N/A</v>
      </c>
      <c r="C4453" s="4">
        <f>'Raw data'!E4029</f>
        <v>0</v>
      </c>
      <c r="D4453" s="29" t="e">
        <f>VLOOKUP(C4453,'점포코드 '!A:B,2,0)</f>
        <v>#N/A</v>
      </c>
      <c r="E4453" s="30">
        <f>'Raw data'!P4029</f>
        <v>0</v>
      </c>
      <c r="F4453" s="29" t="e">
        <f>VLOOKUP(E4453,'점포코드 '!A:B,2,0)</f>
        <v>#N/A</v>
      </c>
      <c r="G4453" s="46">
        <f>'Raw data'!F4362</f>
        <v>0</v>
      </c>
      <c r="H4453" s="4">
        <f>'Raw data'!G4362</f>
        <v>0</v>
      </c>
      <c r="I4453" s="29" t="e">
        <f>VLOOKUP(G4453,제품명!$C$1:$E$114,2,0)</f>
        <v>#N/A</v>
      </c>
      <c r="J4453" s="29">
        <f>'Raw data'!K4362</f>
        <v>0</v>
      </c>
      <c r="K4453" s="31">
        <f>'Raw data'!H4362</f>
        <v>0</v>
      </c>
      <c r="L4453" s="26">
        <f t="shared" si="142"/>
        <v>0</v>
      </c>
    </row>
    <row r="4454" spans="2:12">
      <c r="B4454" s="4" t="e">
        <f t="shared" si="141"/>
        <v>#N/A</v>
      </c>
      <c r="C4454" s="4">
        <f>'Raw data'!E4030</f>
        <v>0</v>
      </c>
      <c r="D4454" s="29" t="e">
        <f>VLOOKUP(C4454,'점포코드 '!A:B,2,0)</f>
        <v>#N/A</v>
      </c>
      <c r="E4454" s="30">
        <f>'Raw data'!P4030</f>
        <v>0</v>
      </c>
      <c r="F4454" s="29" t="e">
        <f>VLOOKUP(E4454,'점포코드 '!A:B,2,0)</f>
        <v>#N/A</v>
      </c>
      <c r="G4454" s="46">
        <f>'Raw data'!F4363</f>
        <v>0</v>
      </c>
      <c r="H4454" s="4">
        <f>'Raw data'!G4363</f>
        <v>0</v>
      </c>
      <c r="I4454" s="29" t="e">
        <f>VLOOKUP(G4454,제품명!$C$1:$E$114,2,0)</f>
        <v>#N/A</v>
      </c>
      <c r="J4454" s="29">
        <f>'Raw data'!K4363</f>
        <v>0</v>
      </c>
      <c r="K4454" s="31">
        <f>'Raw data'!H4363</f>
        <v>0</v>
      </c>
      <c r="L4454" s="26">
        <f t="shared" si="142"/>
        <v>0</v>
      </c>
    </row>
    <row r="4455" spans="2:12">
      <c r="B4455" s="4" t="e">
        <f t="shared" si="141"/>
        <v>#N/A</v>
      </c>
      <c r="C4455" s="4">
        <f>'Raw data'!E4031</f>
        <v>0</v>
      </c>
      <c r="D4455" s="29" t="e">
        <f>VLOOKUP(C4455,'점포코드 '!A:B,2,0)</f>
        <v>#N/A</v>
      </c>
      <c r="E4455" s="30">
        <f>'Raw data'!P4031</f>
        <v>0</v>
      </c>
      <c r="F4455" s="29" t="e">
        <f>VLOOKUP(E4455,'점포코드 '!A:B,2,0)</f>
        <v>#N/A</v>
      </c>
      <c r="G4455" s="46">
        <f>'Raw data'!F4364</f>
        <v>0</v>
      </c>
      <c r="H4455" s="4">
        <f>'Raw data'!G4364</f>
        <v>0</v>
      </c>
      <c r="I4455" s="29" t="e">
        <f>VLOOKUP(G4455,제품명!$C$1:$E$114,2,0)</f>
        <v>#N/A</v>
      </c>
      <c r="J4455" s="29">
        <f>'Raw data'!K4364</f>
        <v>0</v>
      </c>
      <c r="K4455" s="31">
        <f>'Raw data'!H4364</f>
        <v>0</v>
      </c>
      <c r="L4455" s="26">
        <f t="shared" si="142"/>
        <v>0</v>
      </c>
    </row>
    <row r="4456" spans="2:12">
      <c r="B4456" s="4" t="e">
        <f t="shared" si="141"/>
        <v>#N/A</v>
      </c>
      <c r="C4456" s="4">
        <f>'Raw data'!E4032</f>
        <v>0</v>
      </c>
      <c r="D4456" s="29" t="e">
        <f>VLOOKUP(C4456,'점포코드 '!A:B,2,0)</f>
        <v>#N/A</v>
      </c>
      <c r="E4456" s="30">
        <f>'Raw data'!P4032</f>
        <v>0</v>
      </c>
      <c r="F4456" s="29" t="e">
        <f>VLOOKUP(E4456,'점포코드 '!A:B,2,0)</f>
        <v>#N/A</v>
      </c>
      <c r="G4456" s="46">
        <f>'Raw data'!F4365</f>
        <v>0</v>
      </c>
      <c r="H4456" s="4">
        <f>'Raw data'!G4365</f>
        <v>0</v>
      </c>
      <c r="I4456" s="29" t="e">
        <f>VLOOKUP(G4456,제품명!$C$1:$E$114,2,0)</f>
        <v>#N/A</v>
      </c>
      <c r="J4456" s="29">
        <f>'Raw data'!K4365</f>
        <v>0</v>
      </c>
      <c r="K4456" s="31">
        <f>'Raw data'!H4365</f>
        <v>0</v>
      </c>
      <c r="L4456" s="26">
        <f t="shared" si="142"/>
        <v>0</v>
      </c>
    </row>
    <row r="4457" spans="2:12">
      <c r="B4457" s="4" t="e">
        <f t="shared" si="141"/>
        <v>#N/A</v>
      </c>
      <c r="C4457" s="4">
        <f>'Raw data'!E4033</f>
        <v>0</v>
      </c>
      <c r="D4457" s="29" t="e">
        <f>VLOOKUP(C4457,'점포코드 '!A:B,2,0)</f>
        <v>#N/A</v>
      </c>
      <c r="E4457" s="30">
        <f>'Raw data'!P4033</f>
        <v>0</v>
      </c>
      <c r="F4457" s="29" t="e">
        <f>VLOOKUP(E4457,'점포코드 '!A:B,2,0)</f>
        <v>#N/A</v>
      </c>
      <c r="G4457" s="46">
        <f>'Raw data'!F4366</f>
        <v>0</v>
      </c>
      <c r="H4457" s="4">
        <f>'Raw data'!G4366</f>
        <v>0</v>
      </c>
      <c r="I4457" s="29" t="e">
        <f>VLOOKUP(G4457,제품명!$C$1:$E$114,2,0)</f>
        <v>#N/A</v>
      </c>
      <c r="J4457" s="29">
        <f>'Raw data'!K4366</f>
        <v>0</v>
      </c>
      <c r="K4457" s="31">
        <f>'Raw data'!H4366</f>
        <v>0</v>
      </c>
      <c r="L4457" s="26">
        <f t="shared" si="142"/>
        <v>0</v>
      </c>
    </row>
    <row r="4458" spans="2:12">
      <c r="B4458" s="4" t="e">
        <f t="shared" si="141"/>
        <v>#N/A</v>
      </c>
      <c r="C4458" s="4">
        <f>'Raw data'!E4034</f>
        <v>0</v>
      </c>
      <c r="D4458" s="29" t="e">
        <f>VLOOKUP(C4458,'점포코드 '!A:B,2,0)</f>
        <v>#N/A</v>
      </c>
      <c r="E4458" s="30">
        <f>'Raw data'!P4034</f>
        <v>0</v>
      </c>
      <c r="F4458" s="29" t="e">
        <f>VLOOKUP(E4458,'점포코드 '!A:B,2,0)</f>
        <v>#N/A</v>
      </c>
      <c r="G4458" s="46">
        <f>'Raw data'!F4367</f>
        <v>0</v>
      </c>
      <c r="H4458" s="4">
        <f>'Raw data'!G4367</f>
        <v>0</v>
      </c>
      <c r="I4458" s="29" t="e">
        <f>VLOOKUP(G4458,제품명!$C$1:$E$114,2,0)</f>
        <v>#N/A</v>
      </c>
      <c r="J4458" s="29">
        <f>'Raw data'!K4367</f>
        <v>0</v>
      </c>
      <c r="K4458" s="31">
        <f>'Raw data'!H4367</f>
        <v>0</v>
      </c>
      <c r="L4458" s="26">
        <f t="shared" si="142"/>
        <v>0</v>
      </c>
    </row>
    <row r="4459" spans="2:12">
      <c r="B4459" s="4" t="e">
        <f t="shared" si="141"/>
        <v>#N/A</v>
      </c>
      <c r="C4459" s="4">
        <f>'Raw data'!E4035</f>
        <v>0</v>
      </c>
      <c r="D4459" s="29" t="e">
        <f>VLOOKUP(C4459,'점포코드 '!A:B,2,0)</f>
        <v>#N/A</v>
      </c>
      <c r="E4459" s="30">
        <f>'Raw data'!P4035</f>
        <v>0</v>
      </c>
      <c r="F4459" s="29" t="e">
        <f>VLOOKUP(E4459,'점포코드 '!A:B,2,0)</f>
        <v>#N/A</v>
      </c>
      <c r="G4459" s="46">
        <f>'Raw data'!F4368</f>
        <v>0</v>
      </c>
      <c r="H4459" s="4">
        <f>'Raw data'!G4368</f>
        <v>0</v>
      </c>
      <c r="I4459" s="29" t="e">
        <f>VLOOKUP(G4459,제품명!$C$1:$E$114,2,0)</f>
        <v>#N/A</v>
      </c>
      <c r="J4459" s="29">
        <f>'Raw data'!K4368</f>
        <v>0</v>
      </c>
      <c r="K4459" s="31">
        <f>'Raw data'!H4368</f>
        <v>0</v>
      </c>
      <c r="L4459" s="26">
        <f t="shared" si="142"/>
        <v>0</v>
      </c>
    </row>
    <row r="4460" spans="2:12">
      <c r="B4460" s="4" t="e">
        <f t="shared" si="141"/>
        <v>#N/A</v>
      </c>
      <c r="C4460" s="4">
        <f>'Raw data'!E4036</f>
        <v>0</v>
      </c>
      <c r="D4460" s="29" t="e">
        <f>VLOOKUP(C4460,'점포코드 '!A:B,2,0)</f>
        <v>#N/A</v>
      </c>
      <c r="E4460" s="30">
        <f>'Raw data'!P4036</f>
        <v>0</v>
      </c>
      <c r="F4460" s="29" t="e">
        <f>VLOOKUP(E4460,'점포코드 '!A:B,2,0)</f>
        <v>#N/A</v>
      </c>
      <c r="G4460" s="46">
        <f>'Raw data'!F4369</f>
        <v>0</v>
      </c>
      <c r="H4460" s="4">
        <f>'Raw data'!G4369</f>
        <v>0</v>
      </c>
      <c r="I4460" s="29" t="e">
        <f>VLOOKUP(G4460,제품명!$C$1:$E$114,2,0)</f>
        <v>#N/A</v>
      </c>
      <c r="J4460" s="29">
        <f>'Raw data'!K4369</f>
        <v>0</v>
      </c>
      <c r="K4460" s="31">
        <f>'Raw data'!H4369</f>
        <v>0</v>
      </c>
      <c r="L4460" s="26">
        <f t="shared" si="142"/>
        <v>0</v>
      </c>
    </row>
    <row r="4461" spans="2:12">
      <c r="B4461" s="4" t="e">
        <f t="shared" si="141"/>
        <v>#N/A</v>
      </c>
      <c r="C4461" s="4">
        <f>'Raw data'!E4037</f>
        <v>0</v>
      </c>
      <c r="D4461" s="29" t="e">
        <f>VLOOKUP(C4461,'점포코드 '!A:B,2,0)</f>
        <v>#N/A</v>
      </c>
      <c r="E4461" s="30">
        <f>'Raw data'!P4037</f>
        <v>0</v>
      </c>
      <c r="F4461" s="29" t="e">
        <f>VLOOKUP(E4461,'점포코드 '!A:B,2,0)</f>
        <v>#N/A</v>
      </c>
      <c r="G4461" s="46">
        <f>'Raw data'!F4370</f>
        <v>0</v>
      </c>
      <c r="H4461" s="4">
        <f>'Raw data'!G4370</f>
        <v>0</v>
      </c>
      <c r="I4461" s="29" t="e">
        <f>VLOOKUP(G4461,제품명!$C$1:$E$114,2,0)</f>
        <v>#N/A</v>
      </c>
      <c r="J4461" s="29">
        <f>'Raw data'!K4370</f>
        <v>0</v>
      </c>
      <c r="K4461" s="31">
        <f>'Raw data'!H4370</f>
        <v>0</v>
      </c>
      <c r="L4461" s="26">
        <f t="shared" si="142"/>
        <v>0</v>
      </c>
    </row>
    <row r="4462" spans="2:12">
      <c r="B4462" s="4" t="e">
        <f t="shared" si="141"/>
        <v>#N/A</v>
      </c>
      <c r="C4462" s="4">
        <f>'Raw data'!E4038</f>
        <v>0</v>
      </c>
      <c r="D4462" s="29" t="e">
        <f>VLOOKUP(C4462,'점포코드 '!A:B,2,0)</f>
        <v>#N/A</v>
      </c>
      <c r="E4462" s="30">
        <f>'Raw data'!P4038</f>
        <v>0</v>
      </c>
      <c r="F4462" s="29" t="e">
        <f>VLOOKUP(E4462,'점포코드 '!A:B,2,0)</f>
        <v>#N/A</v>
      </c>
      <c r="G4462" s="46">
        <f>'Raw data'!F4371</f>
        <v>0</v>
      </c>
      <c r="H4462" s="4">
        <f>'Raw data'!G4371</f>
        <v>0</v>
      </c>
      <c r="I4462" s="29" t="e">
        <f>VLOOKUP(G4462,제품명!$C$1:$E$114,2,0)</f>
        <v>#N/A</v>
      </c>
      <c r="J4462" s="29">
        <f>'Raw data'!K4371</f>
        <v>0</v>
      </c>
      <c r="K4462" s="31">
        <f>'Raw data'!H4371</f>
        <v>0</v>
      </c>
      <c r="L4462" s="26">
        <f t="shared" si="142"/>
        <v>0</v>
      </c>
    </row>
    <row r="4463" spans="2:12">
      <c r="B4463" s="4" t="e">
        <f t="shared" si="141"/>
        <v>#N/A</v>
      </c>
      <c r="C4463" s="4">
        <f>'Raw data'!E4039</f>
        <v>0</v>
      </c>
      <c r="D4463" s="29" t="e">
        <f>VLOOKUP(C4463,'점포코드 '!A:B,2,0)</f>
        <v>#N/A</v>
      </c>
      <c r="E4463" s="30">
        <f>'Raw data'!P4039</f>
        <v>0</v>
      </c>
      <c r="F4463" s="29" t="e">
        <f>VLOOKUP(E4463,'점포코드 '!A:B,2,0)</f>
        <v>#N/A</v>
      </c>
      <c r="G4463" s="46">
        <f>'Raw data'!F4372</f>
        <v>0</v>
      </c>
      <c r="H4463" s="4">
        <f>'Raw data'!G4372</f>
        <v>0</v>
      </c>
      <c r="I4463" s="29" t="e">
        <f>VLOOKUP(G4463,제품명!$C$1:$E$114,2,0)</f>
        <v>#N/A</v>
      </c>
      <c r="J4463" s="29">
        <f>'Raw data'!K4372</f>
        <v>0</v>
      </c>
      <c r="K4463" s="31">
        <f>'Raw data'!H4372</f>
        <v>0</v>
      </c>
      <c r="L4463" s="26">
        <f t="shared" si="142"/>
        <v>0</v>
      </c>
    </row>
    <row r="4464" spans="2:12">
      <c r="B4464" s="4" t="e">
        <f t="shared" si="141"/>
        <v>#N/A</v>
      </c>
      <c r="C4464" s="4">
        <f>'Raw data'!E4040</f>
        <v>0</v>
      </c>
      <c r="D4464" s="29" t="e">
        <f>VLOOKUP(C4464,'점포코드 '!A:B,2,0)</f>
        <v>#N/A</v>
      </c>
      <c r="E4464" s="30">
        <f>'Raw data'!P4040</f>
        <v>0</v>
      </c>
      <c r="F4464" s="29" t="e">
        <f>VLOOKUP(E4464,'점포코드 '!A:B,2,0)</f>
        <v>#N/A</v>
      </c>
      <c r="G4464" s="46">
        <f>'Raw data'!F4373</f>
        <v>0</v>
      </c>
      <c r="H4464" s="4">
        <f>'Raw data'!G4373</f>
        <v>0</v>
      </c>
      <c r="I4464" s="29" t="e">
        <f>VLOOKUP(G4464,제품명!$C$1:$E$114,2,0)</f>
        <v>#N/A</v>
      </c>
      <c r="J4464" s="29">
        <f>'Raw data'!K4373</f>
        <v>0</v>
      </c>
      <c r="K4464" s="31">
        <f>'Raw data'!H4373</f>
        <v>0</v>
      </c>
      <c r="L4464" s="26">
        <f t="shared" si="142"/>
        <v>0</v>
      </c>
    </row>
    <row r="4465" spans="2:12">
      <c r="B4465" s="4" t="e">
        <f t="shared" si="141"/>
        <v>#N/A</v>
      </c>
      <c r="C4465" s="4">
        <f>'Raw data'!E4041</f>
        <v>0</v>
      </c>
      <c r="D4465" s="29" t="e">
        <f>VLOOKUP(C4465,'점포코드 '!A:B,2,0)</f>
        <v>#N/A</v>
      </c>
      <c r="E4465" s="30">
        <f>'Raw data'!P4041</f>
        <v>0</v>
      </c>
      <c r="F4465" s="29" t="e">
        <f>VLOOKUP(E4465,'점포코드 '!A:B,2,0)</f>
        <v>#N/A</v>
      </c>
      <c r="G4465" s="46">
        <f>'Raw data'!F4374</f>
        <v>0</v>
      </c>
      <c r="H4465" s="4">
        <f>'Raw data'!G4374</f>
        <v>0</v>
      </c>
      <c r="I4465" s="29" t="e">
        <f>VLOOKUP(G4465,제품명!$C$1:$E$114,2,0)</f>
        <v>#N/A</v>
      </c>
      <c r="J4465" s="29">
        <f>'Raw data'!K4374</f>
        <v>0</v>
      </c>
      <c r="K4465" s="31">
        <f>'Raw data'!H4374</f>
        <v>0</v>
      </c>
      <c r="L4465" s="26">
        <f t="shared" si="142"/>
        <v>0</v>
      </c>
    </row>
    <row r="4466" spans="2:12">
      <c r="B4466" s="4" t="e">
        <f t="shared" si="141"/>
        <v>#N/A</v>
      </c>
      <c r="C4466" s="4">
        <f>'Raw data'!E4042</f>
        <v>0</v>
      </c>
      <c r="D4466" s="29" t="e">
        <f>VLOOKUP(C4466,'점포코드 '!A:B,2,0)</f>
        <v>#N/A</v>
      </c>
      <c r="E4466" s="30">
        <f>'Raw data'!P4042</f>
        <v>0</v>
      </c>
      <c r="F4466" s="29" t="e">
        <f>VLOOKUP(E4466,'점포코드 '!A:B,2,0)</f>
        <v>#N/A</v>
      </c>
      <c r="G4466" s="46">
        <f>'Raw data'!F4375</f>
        <v>0</v>
      </c>
      <c r="H4466" s="4">
        <f>'Raw data'!G4375</f>
        <v>0</v>
      </c>
      <c r="I4466" s="29" t="e">
        <f>VLOOKUP(G4466,제품명!$C$1:$E$114,2,0)</f>
        <v>#N/A</v>
      </c>
      <c r="J4466" s="29">
        <f>'Raw data'!K4375</f>
        <v>0</v>
      </c>
      <c r="K4466" s="31">
        <f>'Raw data'!H4375</f>
        <v>0</v>
      </c>
      <c r="L4466" s="26">
        <f t="shared" si="142"/>
        <v>0</v>
      </c>
    </row>
    <row r="4467" spans="2:12">
      <c r="B4467" s="4" t="e">
        <f t="shared" si="141"/>
        <v>#N/A</v>
      </c>
      <c r="C4467" s="4">
        <f>'Raw data'!E4043</f>
        <v>0</v>
      </c>
      <c r="D4467" s="29" t="e">
        <f>VLOOKUP(C4467,'점포코드 '!A:B,2,0)</f>
        <v>#N/A</v>
      </c>
      <c r="E4467" s="30">
        <f>'Raw data'!P4043</f>
        <v>0</v>
      </c>
      <c r="F4467" s="29" t="e">
        <f>VLOOKUP(E4467,'점포코드 '!A:B,2,0)</f>
        <v>#N/A</v>
      </c>
      <c r="G4467" s="46">
        <f>'Raw data'!F4376</f>
        <v>0</v>
      </c>
      <c r="H4467" s="4">
        <f>'Raw data'!G4376</f>
        <v>0</v>
      </c>
      <c r="I4467" s="29" t="e">
        <f>VLOOKUP(G4467,제품명!$C$1:$E$114,2,0)</f>
        <v>#N/A</v>
      </c>
      <c r="J4467" s="29">
        <f>'Raw data'!K4376</f>
        <v>0</v>
      </c>
      <c r="K4467" s="31">
        <f>'Raw data'!H4376</f>
        <v>0</v>
      </c>
      <c r="L4467" s="26">
        <f t="shared" si="142"/>
        <v>0</v>
      </c>
    </row>
    <row r="4468" spans="2:12">
      <c r="B4468" s="4" t="e">
        <f t="shared" si="141"/>
        <v>#N/A</v>
      </c>
      <c r="C4468" s="4">
        <f>'Raw data'!E4044</f>
        <v>0</v>
      </c>
      <c r="D4468" s="29" t="e">
        <f>VLOOKUP(C4468,'점포코드 '!A:B,2,0)</f>
        <v>#N/A</v>
      </c>
      <c r="E4468" s="30">
        <f>'Raw data'!P4044</f>
        <v>0</v>
      </c>
      <c r="F4468" s="29" t="e">
        <f>VLOOKUP(E4468,'점포코드 '!A:B,2,0)</f>
        <v>#N/A</v>
      </c>
      <c r="G4468" s="46">
        <f>'Raw data'!F4377</f>
        <v>0</v>
      </c>
      <c r="H4468" s="4">
        <f>'Raw data'!G4377</f>
        <v>0</v>
      </c>
      <c r="I4468" s="29" t="e">
        <f>VLOOKUP(G4468,제품명!$C$1:$E$114,2,0)</f>
        <v>#N/A</v>
      </c>
      <c r="J4468" s="29">
        <f>'Raw data'!K4377</f>
        <v>0</v>
      </c>
      <c r="K4468" s="31">
        <f>'Raw data'!H4377</f>
        <v>0</v>
      </c>
      <c r="L4468" s="26">
        <f t="shared" si="142"/>
        <v>0</v>
      </c>
    </row>
    <row r="4469" spans="2:12">
      <c r="B4469" s="4" t="e">
        <f t="shared" si="141"/>
        <v>#N/A</v>
      </c>
      <c r="C4469" s="4">
        <f>'Raw data'!E4045</f>
        <v>0</v>
      </c>
      <c r="D4469" s="29" t="e">
        <f>VLOOKUP(C4469,'점포코드 '!A:B,2,0)</f>
        <v>#N/A</v>
      </c>
      <c r="E4469" s="30">
        <f>'Raw data'!P4045</f>
        <v>0</v>
      </c>
      <c r="F4469" s="29" t="e">
        <f>VLOOKUP(E4469,'점포코드 '!A:B,2,0)</f>
        <v>#N/A</v>
      </c>
      <c r="G4469" s="46">
        <f>'Raw data'!F4378</f>
        <v>0</v>
      </c>
      <c r="H4469" s="4">
        <f>'Raw data'!G4378</f>
        <v>0</v>
      </c>
      <c r="I4469" s="29" t="e">
        <f>VLOOKUP(G4469,제품명!$C$1:$E$114,2,0)</f>
        <v>#N/A</v>
      </c>
      <c r="J4469" s="29">
        <f>'Raw data'!K4378</f>
        <v>0</v>
      </c>
      <c r="K4469" s="31">
        <f>'Raw data'!H4378</f>
        <v>0</v>
      </c>
      <c r="L4469" s="26">
        <f t="shared" si="142"/>
        <v>0</v>
      </c>
    </row>
    <row r="4470" spans="2:12">
      <c r="B4470" s="4" t="e">
        <f t="shared" si="141"/>
        <v>#N/A</v>
      </c>
      <c r="C4470" s="4">
        <f>'Raw data'!E4046</f>
        <v>0</v>
      </c>
      <c r="D4470" s="29" t="e">
        <f>VLOOKUP(C4470,'점포코드 '!A:B,2,0)</f>
        <v>#N/A</v>
      </c>
      <c r="E4470" s="30">
        <f>'Raw data'!P4046</f>
        <v>0</v>
      </c>
      <c r="F4470" s="29" t="e">
        <f>VLOOKUP(E4470,'점포코드 '!A:B,2,0)</f>
        <v>#N/A</v>
      </c>
      <c r="G4470" s="46">
        <f>'Raw data'!F4379</f>
        <v>0</v>
      </c>
      <c r="H4470" s="4">
        <f>'Raw data'!G4379</f>
        <v>0</v>
      </c>
      <c r="I4470" s="29" t="e">
        <f>VLOOKUP(G4470,제품명!$C$1:$E$114,2,0)</f>
        <v>#N/A</v>
      </c>
      <c r="J4470" s="29">
        <f>'Raw data'!K4379</f>
        <v>0</v>
      </c>
      <c r="K4470" s="31">
        <f>'Raw data'!H4379</f>
        <v>0</v>
      </c>
      <c r="L4470" s="26">
        <f t="shared" si="142"/>
        <v>0</v>
      </c>
    </row>
    <row r="4471" spans="2:12">
      <c r="B4471" s="4" t="e">
        <f t="shared" si="141"/>
        <v>#N/A</v>
      </c>
      <c r="C4471" s="4">
        <f>'Raw data'!E4047</f>
        <v>0</v>
      </c>
      <c r="D4471" s="29" t="e">
        <f>VLOOKUP(C4471,'점포코드 '!A:B,2,0)</f>
        <v>#N/A</v>
      </c>
      <c r="E4471" s="30">
        <f>'Raw data'!P4047</f>
        <v>0</v>
      </c>
      <c r="F4471" s="29" t="e">
        <f>VLOOKUP(E4471,'점포코드 '!A:B,2,0)</f>
        <v>#N/A</v>
      </c>
      <c r="G4471" s="46">
        <f>'Raw data'!F4380</f>
        <v>0</v>
      </c>
      <c r="H4471" s="4">
        <f>'Raw data'!G4380</f>
        <v>0</v>
      </c>
      <c r="I4471" s="29" t="e">
        <f>VLOOKUP(G4471,제품명!$C$1:$E$114,2,0)</f>
        <v>#N/A</v>
      </c>
      <c r="J4471" s="29">
        <f>'Raw data'!K4380</f>
        <v>0</v>
      </c>
      <c r="K4471" s="31">
        <f>'Raw data'!H4380</f>
        <v>0</v>
      </c>
      <c r="L4471" s="26">
        <f t="shared" si="142"/>
        <v>0</v>
      </c>
    </row>
    <row r="4472" spans="2:12">
      <c r="B4472" s="4" t="e">
        <f t="shared" si="141"/>
        <v>#N/A</v>
      </c>
      <c r="C4472" s="4">
        <f>'Raw data'!E4048</f>
        <v>0</v>
      </c>
      <c r="D4472" s="29" t="e">
        <f>VLOOKUP(C4472,'점포코드 '!A:B,2,0)</f>
        <v>#N/A</v>
      </c>
      <c r="E4472" s="30">
        <f>'Raw data'!P4048</f>
        <v>0</v>
      </c>
      <c r="F4472" s="29" t="e">
        <f>VLOOKUP(E4472,'점포코드 '!A:B,2,0)</f>
        <v>#N/A</v>
      </c>
      <c r="G4472" s="46">
        <f>'Raw data'!F4381</f>
        <v>0</v>
      </c>
      <c r="H4472" s="4">
        <f>'Raw data'!G4381</f>
        <v>0</v>
      </c>
      <c r="I4472" s="29" t="e">
        <f>VLOOKUP(G4472,제품명!$C$1:$E$114,2,0)</f>
        <v>#N/A</v>
      </c>
      <c r="J4472" s="29">
        <f>'Raw data'!K4381</f>
        <v>0</v>
      </c>
      <c r="K4472" s="31">
        <f>'Raw data'!H4381</f>
        <v>0</v>
      </c>
      <c r="L4472" s="26">
        <f t="shared" si="142"/>
        <v>0</v>
      </c>
    </row>
    <row r="4473" spans="2:12">
      <c r="B4473" s="4" t="e">
        <f t="shared" si="141"/>
        <v>#N/A</v>
      </c>
      <c r="C4473" s="4">
        <f>'Raw data'!E4049</f>
        <v>0</v>
      </c>
      <c r="D4473" s="29" t="e">
        <f>VLOOKUP(C4473,'점포코드 '!A:B,2,0)</f>
        <v>#N/A</v>
      </c>
      <c r="E4473" s="30">
        <f>'Raw data'!P4049</f>
        <v>0</v>
      </c>
      <c r="F4473" s="29" t="e">
        <f>VLOOKUP(E4473,'점포코드 '!A:B,2,0)</f>
        <v>#N/A</v>
      </c>
      <c r="G4473" s="46">
        <f>'Raw data'!F4382</f>
        <v>0</v>
      </c>
      <c r="H4473" s="4">
        <f>'Raw data'!G4382</f>
        <v>0</v>
      </c>
      <c r="I4473" s="29" t="e">
        <f>VLOOKUP(G4473,제품명!$C$1:$E$114,2,0)</f>
        <v>#N/A</v>
      </c>
      <c r="J4473" s="29">
        <f>'Raw data'!K4382</f>
        <v>0</v>
      </c>
      <c r="K4473" s="31">
        <f>'Raw data'!H4382</f>
        <v>0</v>
      </c>
      <c r="L4473" s="26">
        <f t="shared" si="142"/>
        <v>0</v>
      </c>
    </row>
    <row r="4474" spans="2:12">
      <c r="B4474" s="4" t="e">
        <f t="shared" si="141"/>
        <v>#N/A</v>
      </c>
      <c r="C4474" s="4">
        <f>'Raw data'!E4050</f>
        <v>0</v>
      </c>
      <c r="D4474" s="29" t="e">
        <f>VLOOKUP(C4474,'점포코드 '!A:B,2,0)</f>
        <v>#N/A</v>
      </c>
      <c r="E4474" s="30">
        <f>'Raw data'!P4050</f>
        <v>0</v>
      </c>
      <c r="F4474" s="29" t="e">
        <f>VLOOKUP(E4474,'점포코드 '!A:B,2,0)</f>
        <v>#N/A</v>
      </c>
      <c r="G4474" s="46">
        <f>'Raw data'!F4383</f>
        <v>0</v>
      </c>
      <c r="H4474" s="4">
        <f>'Raw data'!G4383</f>
        <v>0</v>
      </c>
      <c r="I4474" s="29" t="e">
        <f>VLOOKUP(G4474,제품명!$C$1:$E$114,2,0)</f>
        <v>#N/A</v>
      </c>
      <c r="J4474" s="29">
        <f>'Raw data'!K4383</f>
        <v>0</v>
      </c>
      <c r="K4474" s="31">
        <f>'Raw data'!H4383</f>
        <v>0</v>
      </c>
      <c r="L4474" s="26">
        <f t="shared" si="142"/>
        <v>0</v>
      </c>
    </row>
    <row r="4475" spans="2:12">
      <c r="B4475" s="4" t="e">
        <f t="shared" si="141"/>
        <v>#N/A</v>
      </c>
      <c r="C4475" s="4">
        <f>'Raw data'!E4051</f>
        <v>0</v>
      </c>
      <c r="D4475" s="29" t="e">
        <f>VLOOKUP(C4475,'점포코드 '!A:B,2,0)</f>
        <v>#N/A</v>
      </c>
      <c r="E4475" s="30">
        <f>'Raw data'!P4051</f>
        <v>0</v>
      </c>
      <c r="F4475" s="29" t="e">
        <f>VLOOKUP(E4475,'점포코드 '!A:B,2,0)</f>
        <v>#N/A</v>
      </c>
      <c r="G4475" s="46">
        <f>'Raw data'!F4384</f>
        <v>0</v>
      </c>
      <c r="H4475" s="4">
        <f>'Raw data'!G4384</f>
        <v>0</v>
      </c>
      <c r="I4475" s="29" t="e">
        <f>VLOOKUP(G4475,제품명!$C$1:$E$114,2,0)</f>
        <v>#N/A</v>
      </c>
      <c r="J4475" s="29">
        <f>'Raw data'!K4384</f>
        <v>0</v>
      </c>
      <c r="K4475" s="31">
        <f>'Raw data'!H4384</f>
        <v>0</v>
      </c>
      <c r="L4475" s="26">
        <f t="shared" si="142"/>
        <v>0</v>
      </c>
    </row>
    <row r="4476" spans="2:12">
      <c r="B4476" s="4" t="e">
        <f t="shared" si="141"/>
        <v>#N/A</v>
      </c>
      <c r="C4476" s="4">
        <f>'Raw data'!E4052</f>
        <v>0</v>
      </c>
      <c r="D4476" s="29" t="e">
        <f>VLOOKUP(C4476,'점포코드 '!A:B,2,0)</f>
        <v>#N/A</v>
      </c>
      <c r="E4476" s="30">
        <f>'Raw data'!P4052</f>
        <v>0</v>
      </c>
      <c r="F4476" s="29" t="e">
        <f>VLOOKUP(E4476,'점포코드 '!A:B,2,0)</f>
        <v>#N/A</v>
      </c>
      <c r="G4476" s="46">
        <f>'Raw data'!F4385</f>
        <v>0</v>
      </c>
      <c r="H4476" s="4">
        <f>'Raw data'!G4385</f>
        <v>0</v>
      </c>
      <c r="I4476" s="29" t="e">
        <f>VLOOKUP(G4476,제품명!$C$1:$E$114,2,0)</f>
        <v>#N/A</v>
      </c>
      <c r="J4476" s="29">
        <f>'Raw data'!K4385</f>
        <v>0</v>
      </c>
      <c r="K4476" s="31">
        <f>'Raw data'!H4385</f>
        <v>0</v>
      </c>
      <c r="L4476" s="26">
        <f t="shared" si="142"/>
        <v>0</v>
      </c>
    </row>
    <row r="4477" spans="2:12">
      <c r="B4477" s="4" t="e">
        <f t="shared" si="141"/>
        <v>#N/A</v>
      </c>
      <c r="C4477" s="4">
        <f>'Raw data'!E4053</f>
        <v>0</v>
      </c>
      <c r="D4477" s="29" t="e">
        <f>VLOOKUP(C4477,'점포코드 '!A:B,2,0)</f>
        <v>#N/A</v>
      </c>
      <c r="E4477" s="30">
        <f>'Raw data'!P4053</f>
        <v>0</v>
      </c>
      <c r="F4477" s="29" t="e">
        <f>VLOOKUP(E4477,'점포코드 '!A:B,2,0)</f>
        <v>#N/A</v>
      </c>
      <c r="G4477" s="46">
        <f>'Raw data'!F4386</f>
        <v>0</v>
      </c>
      <c r="H4477" s="4">
        <f>'Raw data'!G4386</f>
        <v>0</v>
      </c>
      <c r="I4477" s="29" t="e">
        <f>VLOOKUP(G4477,제품명!$C$1:$E$114,2,0)</f>
        <v>#N/A</v>
      </c>
      <c r="J4477" s="29">
        <f>'Raw data'!K4386</f>
        <v>0</v>
      </c>
      <c r="K4477" s="31">
        <f>'Raw data'!H4386</f>
        <v>0</v>
      </c>
      <c r="L4477" s="26">
        <f t="shared" si="142"/>
        <v>0</v>
      </c>
    </row>
    <row r="4478" spans="2:12">
      <c r="B4478" s="4" t="e">
        <f t="shared" si="141"/>
        <v>#N/A</v>
      </c>
      <c r="C4478" s="4">
        <f>'Raw data'!E4054</f>
        <v>0</v>
      </c>
      <c r="D4478" s="29" t="e">
        <f>VLOOKUP(C4478,'점포코드 '!A:B,2,0)</f>
        <v>#N/A</v>
      </c>
      <c r="E4478" s="30">
        <f>'Raw data'!P4054</f>
        <v>0</v>
      </c>
      <c r="F4478" s="29" t="e">
        <f>VLOOKUP(E4478,'점포코드 '!A:B,2,0)</f>
        <v>#N/A</v>
      </c>
      <c r="G4478" s="46">
        <f>'Raw data'!F4387</f>
        <v>0</v>
      </c>
      <c r="H4478" s="4">
        <f>'Raw data'!G4387</f>
        <v>0</v>
      </c>
      <c r="I4478" s="29" t="e">
        <f>VLOOKUP(G4478,제품명!$C$1:$E$114,2,0)</f>
        <v>#N/A</v>
      </c>
      <c r="J4478" s="29">
        <f>'Raw data'!K4387</f>
        <v>0</v>
      </c>
      <c r="K4478" s="31">
        <f>'Raw data'!H4387</f>
        <v>0</v>
      </c>
      <c r="L4478" s="26">
        <f t="shared" si="142"/>
        <v>0</v>
      </c>
    </row>
    <row r="4479" spans="2:12">
      <c r="B4479" s="4" t="e">
        <f t="shared" si="141"/>
        <v>#N/A</v>
      </c>
      <c r="C4479" s="4">
        <f>'Raw data'!E4055</f>
        <v>0</v>
      </c>
      <c r="D4479" s="29" t="e">
        <f>VLOOKUP(C4479,'점포코드 '!A:B,2,0)</f>
        <v>#N/A</v>
      </c>
      <c r="E4479" s="30">
        <f>'Raw data'!P4055</f>
        <v>0</v>
      </c>
      <c r="F4479" s="29" t="e">
        <f>VLOOKUP(E4479,'점포코드 '!A:B,2,0)</f>
        <v>#N/A</v>
      </c>
      <c r="G4479" s="46">
        <f>'Raw data'!F4388</f>
        <v>0</v>
      </c>
      <c r="H4479" s="4">
        <f>'Raw data'!G4388</f>
        <v>0</v>
      </c>
      <c r="I4479" s="29" t="e">
        <f>VLOOKUP(G4479,제품명!$C$1:$E$114,2,0)</f>
        <v>#N/A</v>
      </c>
      <c r="J4479" s="29">
        <f>'Raw data'!K4388</f>
        <v>0</v>
      </c>
      <c r="K4479" s="31">
        <f>'Raw data'!H4388</f>
        <v>0</v>
      </c>
      <c r="L4479" s="26">
        <f t="shared" si="142"/>
        <v>0</v>
      </c>
    </row>
    <row r="4480" spans="2:12">
      <c r="B4480" s="4" t="e">
        <f t="shared" si="141"/>
        <v>#N/A</v>
      </c>
      <c r="C4480" s="4">
        <f>'Raw data'!E4056</f>
        <v>0</v>
      </c>
      <c r="D4480" s="29" t="e">
        <f>VLOOKUP(C4480,'점포코드 '!A:B,2,0)</f>
        <v>#N/A</v>
      </c>
      <c r="E4480" s="30">
        <f>'Raw data'!P4056</f>
        <v>0</v>
      </c>
      <c r="F4480" s="29" t="e">
        <f>VLOOKUP(E4480,'점포코드 '!A:B,2,0)</f>
        <v>#N/A</v>
      </c>
      <c r="G4480" s="46">
        <f>'Raw data'!F4389</f>
        <v>0</v>
      </c>
      <c r="H4480" s="4">
        <f>'Raw data'!G4389</f>
        <v>0</v>
      </c>
      <c r="I4480" s="29" t="e">
        <f>VLOOKUP(G4480,제품명!$C$1:$E$114,2,0)</f>
        <v>#N/A</v>
      </c>
      <c r="J4480" s="29">
        <f>'Raw data'!K4389</f>
        <v>0</v>
      </c>
      <c r="K4480" s="31">
        <f>'Raw data'!H4389</f>
        <v>0</v>
      </c>
      <c r="L4480" s="26">
        <f t="shared" si="142"/>
        <v>0</v>
      </c>
    </row>
    <row r="4481" spans="2:12">
      <c r="B4481" s="4" t="e">
        <f t="shared" si="141"/>
        <v>#N/A</v>
      </c>
      <c r="C4481" s="4">
        <f>'Raw data'!E4057</f>
        <v>0</v>
      </c>
      <c r="D4481" s="29" t="e">
        <f>VLOOKUP(C4481,'점포코드 '!A:B,2,0)</f>
        <v>#N/A</v>
      </c>
      <c r="E4481" s="30">
        <f>'Raw data'!P4057</f>
        <v>0</v>
      </c>
      <c r="F4481" s="29" t="e">
        <f>VLOOKUP(E4481,'점포코드 '!A:B,2,0)</f>
        <v>#N/A</v>
      </c>
      <c r="G4481" s="46">
        <f>'Raw data'!F4390</f>
        <v>0</v>
      </c>
      <c r="H4481" s="4">
        <f>'Raw data'!G4390</f>
        <v>0</v>
      </c>
      <c r="I4481" s="29" t="e">
        <f>VLOOKUP(G4481,제품명!$C$1:$E$114,2,0)</f>
        <v>#N/A</v>
      </c>
      <c r="J4481" s="29">
        <f>'Raw data'!K4390</f>
        <v>0</v>
      </c>
      <c r="K4481" s="31">
        <f>'Raw data'!H4390</f>
        <v>0</v>
      </c>
      <c r="L4481" s="26">
        <f t="shared" si="142"/>
        <v>0</v>
      </c>
    </row>
    <row r="4482" spans="2:12">
      <c r="B4482" s="4" t="e">
        <f t="shared" ref="B4482:B4545" si="143">F4482&amp;I4482</f>
        <v>#N/A</v>
      </c>
      <c r="C4482" s="4">
        <f>'Raw data'!E4058</f>
        <v>0</v>
      </c>
      <c r="D4482" s="29" t="e">
        <f>VLOOKUP(C4482,'점포코드 '!A:B,2,0)</f>
        <v>#N/A</v>
      </c>
      <c r="E4482" s="30">
        <f>'Raw data'!P4058</f>
        <v>0</v>
      </c>
      <c r="F4482" s="29" t="e">
        <f>VLOOKUP(E4482,'점포코드 '!A:B,2,0)</f>
        <v>#N/A</v>
      </c>
      <c r="G4482" s="46">
        <f>'Raw data'!F4391</f>
        <v>0</v>
      </c>
      <c r="H4482" s="4">
        <f>'Raw data'!G4391</f>
        <v>0</v>
      </c>
      <c r="I4482" s="29" t="e">
        <f>VLOOKUP(G4482,제품명!$C$1:$E$114,2,0)</f>
        <v>#N/A</v>
      </c>
      <c r="J4482" s="29">
        <f>'Raw data'!K4391</f>
        <v>0</v>
      </c>
      <c r="K4482" s="31">
        <f>'Raw data'!H4391</f>
        <v>0</v>
      </c>
      <c r="L4482" s="26">
        <f t="shared" si="142"/>
        <v>0</v>
      </c>
    </row>
    <row r="4483" spans="2:12">
      <c r="B4483" s="4" t="e">
        <f t="shared" si="143"/>
        <v>#N/A</v>
      </c>
      <c r="C4483" s="4">
        <f>'Raw data'!E4059</f>
        <v>0</v>
      </c>
      <c r="D4483" s="29" t="e">
        <f>VLOOKUP(C4483,'점포코드 '!A:B,2,0)</f>
        <v>#N/A</v>
      </c>
      <c r="E4483" s="30">
        <f>'Raw data'!P4059</f>
        <v>0</v>
      </c>
      <c r="F4483" s="29" t="e">
        <f>VLOOKUP(E4483,'점포코드 '!A:B,2,0)</f>
        <v>#N/A</v>
      </c>
      <c r="G4483" s="46">
        <f>'Raw data'!F4392</f>
        <v>0</v>
      </c>
      <c r="H4483" s="4">
        <f>'Raw data'!G4392</f>
        <v>0</v>
      </c>
      <c r="I4483" s="29" t="e">
        <f>VLOOKUP(G4483,제품명!$C$1:$E$114,2,0)</f>
        <v>#N/A</v>
      </c>
      <c r="J4483" s="29">
        <f>'Raw data'!K4392</f>
        <v>0</v>
      </c>
      <c r="K4483" s="31">
        <f>'Raw data'!H4392</f>
        <v>0</v>
      </c>
      <c r="L4483" s="26">
        <f t="shared" ref="L4483:L4546" si="144">J4483*K4483</f>
        <v>0</v>
      </c>
    </row>
    <row r="4484" spans="2:12">
      <c r="B4484" s="4" t="e">
        <f t="shared" si="143"/>
        <v>#N/A</v>
      </c>
      <c r="C4484" s="4">
        <f>'Raw data'!E4060</f>
        <v>0</v>
      </c>
      <c r="D4484" s="29" t="e">
        <f>VLOOKUP(C4484,'점포코드 '!A:B,2,0)</f>
        <v>#N/A</v>
      </c>
      <c r="E4484" s="30">
        <f>'Raw data'!P4060</f>
        <v>0</v>
      </c>
      <c r="F4484" s="29" t="e">
        <f>VLOOKUP(E4484,'점포코드 '!A:B,2,0)</f>
        <v>#N/A</v>
      </c>
      <c r="G4484" s="46">
        <f>'Raw data'!F4393</f>
        <v>0</v>
      </c>
      <c r="H4484" s="4">
        <f>'Raw data'!G4393</f>
        <v>0</v>
      </c>
      <c r="I4484" s="29" t="e">
        <f>VLOOKUP(G4484,제품명!$C$1:$E$114,2,0)</f>
        <v>#N/A</v>
      </c>
      <c r="J4484" s="29">
        <f>'Raw data'!K4393</f>
        <v>0</v>
      </c>
      <c r="K4484" s="31">
        <f>'Raw data'!H4393</f>
        <v>0</v>
      </c>
      <c r="L4484" s="26">
        <f t="shared" si="144"/>
        <v>0</v>
      </c>
    </row>
    <row r="4485" spans="2:12">
      <c r="B4485" s="4" t="e">
        <f t="shared" si="143"/>
        <v>#N/A</v>
      </c>
      <c r="C4485" s="4">
        <f>'Raw data'!E4061</f>
        <v>0</v>
      </c>
      <c r="D4485" s="29" t="e">
        <f>VLOOKUP(C4485,'점포코드 '!A:B,2,0)</f>
        <v>#N/A</v>
      </c>
      <c r="E4485" s="30">
        <f>'Raw data'!P4061</f>
        <v>0</v>
      </c>
      <c r="F4485" s="29" t="e">
        <f>VLOOKUP(E4485,'점포코드 '!A:B,2,0)</f>
        <v>#N/A</v>
      </c>
      <c r="G4485" s="46">
        <f>'Raw data'!F4394</f>
        <v>0</v>
      </c>
      <c r="H4485" s="4">
        <f>'Raw data'!G4394</f>
        <v>0</v>
      </c>
      <c r="I4485" s="29" t="e">
        <f>VLOOKUP(G4485,제품명!$C$1:$E$114,2,0)</f>
        <v>#N/A</v>
      </c>
      <c r="J4485" s="29">
        <f>'Raw data'!K4394</f>
        <v>0</v>
      </c>
      <c r="K4485" s="31">
        <f>'Raw data'!H4394</f>
        <v>0</v>
      </c>
      <c r="L4485" s="26">
        <f t="shared" si="144"/>
        <v>0</v>
      </c>
    </row>
    <row r="4486" spans="2:12">
      <c r="B4486" s="4" t="e">
        <f t="shared" si="143"/>
        <v>#N/A</v>
      </c>
      <c r="C4486" s="4">
        <f>'Raw data'!E4062</f>
        <v>0</v>
      </c>
      <c r="D4486" s="29" t="e">
        <f>VLOOKUP(C4486,'점포코드 '!A:B,2,0)</f>
        <v>#N/A</v>
      </c>
      <c r="E4486" s="30">
        <f>'Raw data'!P4062</f>
        <v>0</v>
      </c>
      <c r="F4486" s="29" t="e">
        <f>VLOOKUP(E4486,'점포코드 '!A:B,2,0)</f>
        <v>#N/A</v>
      </c>
      <c r="G4486" s="46">
        <f>'Raw data'!F4395</f>
        <v>0</v>
      </c>
      <c r="H4486" s="4">
        <f>'Raw data'!G4395</f>
        <v>0</v>
      </c>
      <c r="I4486" s="29" t="e">
        <f>VLOOKUP(G4486,제품명!$C$1:$E$114,2,0)</f>
        <v>#N/A</v>
      </c>
      <c r="J4486" s="29">
        <f>'Raw data'!K4395</f>
        <v>0</v>
      </c>
      <c r="K4486" s="31">
        <f>'Raw data'!H4395</f>
        <v>0</v>
      </c>
      <c r="L4486" s="26">
        <f t="shared" si="144"/>
        <v>0</v>
      </c>
    </row>
    <row r="4487" spans="2:12">
      <c r="B4487" s="4" t="e">
        <f t="shared" si="143"/>
        <v>#N/A</v>
      </c>
      <c r="C4487" s="4">
        <f>'Raw data'!E4063</f>
        <v>0</v>
      </c>
      <c r="D4487" s="29" t="e">
        <f>VLOOKUP(C4487,'점포코드 '!A:B,2,0)</f>
        <v>#N/A</v>
      </c>
      <c r="E4487" s="30">
        <f>'Raw data'!P4063</f>
        <v>0</v>
      </c>
      <c r="F4487" s="29" t="e">
        <f>VLOOKUP(E4487,'점포코드 '!A:B,2,0)</f>
        <v>#N/A</v>
      </c>
      <c r="G4487" s="46">
        <f>'Raw data'!F4396</f>
        <v>0</v>
      </c>
      <c r="H4487" s="4">
        <f>'Raw data'!G4396</f>
        <v>0</v>
      </c>
      <c r="I4487" s="29" t="e">
        <f>VLOOKUP(G4487,제품명!$C$1:$E$114,2,0)</f>
        <v>#N/A</v>
      </c>
      <c r="J4487" s="29">
        <f>'Raw data'!K4396</f>
        <v>0</v>
      </c>
      <c r="K4487" s="31">
        <f>'Raw data'!H4396</f>
        <v>0</v>
      </c>
      <c r="L4487" s="26">
        <f t="shared" si="144"/>
        <v>0</v>
      </c>
    </row>
    <row r="4488" spans="2:12">
      <c r="B4488" s="4" t="e">
        <f t="shared" si="143"/>
        <v>#N/A</v>
      </c>
      <c r="C4488" s="4">
        <f>'Raw data'!E4064</f>
        <v>0</v>
      </c>
      <c r="D4488" s="29" t="e">
        <f>VLOOKUP(C4488,'점포코드 '!A:B,2,0)</f>
        <v>#N/A</v>
      </c>
      <c r="E4488" s="30">
        <f>'Raw data'!P4064</f>
        <v>0</v>
      </c>
      <c r="F4488" s="29" t="e">
        <f>VLOOKUP(E4488,'점포코드 '!A:B,2,0)</f>
        <v>#N/A</v>
      </c>
      <c r="G4488" s="46">
        <f>'Raw data'!F4397</f>
        <v>0</v>
      </c>
      <c r="H4488" s="4">
        <f>'Raw data'!G4397</f>
        <v>0</v>
      </c>
      <c r="I4488" s="29" t="e">
        <f>VLOOKUP(G4488,제품명!$C$1:$E$114,2,0)</f>
        <v>#N/A</v>
      </c>
      <c r="J4488" s="29">
        <f>'Raw data'!K4397</f>
        <v>0</v>
      </c>
      <c r="K4488" s="31">
        <f>'Raw data'!H4397</f>
        <v>0</v>
      </c>
      <c r="L4488" s="26">
        <f t="shared" si="144"/>
        <v>0</v>
      </c>
    </row>
    <row r="4489" spans="2:12">
      <c r="B4489" s="4" t="e">
        <f t="shared" si="143"/>
        <v>#N/A</v>
      </c>
      <c r="C4489" s="4">
        <f>'Raw data'!E4065</f>
        <v>0</v>
      </c>
      <c r="D4489" s="29" t="e">
        <f>VLOOKUP(C4489,'점포코드 '!A:B,2,0)</f>
        <v>#N/A</v>
      </c>
      <c r="E4489" s="30">
        <f>'Raw data'!P4065</f>
        <v>0</v>
      </c>
      <c r="F4489" s="29" t="e">
        <f>VLOOKUP(E4489,'점포코드 '!A:B,2,0)</f>
        <v>#N/A</v>
      </c>
      <c r="G4489" s="46">
        <f>'Raw data'!F4398</f>
        <v>0</v>
      </c>
      <c r="H4489" s="4">
        <f>'Raw data'!G4398</f>
        <v>0</v>
      </c>
      <c r="I4489" s="29" t="e">
        <f>VLOOKUP(G4489,제품명!$C$1:$E$114,2,0)</f>
        <v>#N/A</v>
      </c>
      <c r="J4489" s="29">
        <f>'Raw data'!K4398</f>
        <v>0</v>
      </c>
      <c r="K4489" s="31">
        <f>'Raw data'!H4398</f>
        <v>0</v>
      </c>
      <c r="L4489" s="26">
        <f t="shared" si="144"/>
        <v>0</v>
      </c>
    </row>
    <row r="4490" spans="2:12">
      <c r="B4490" s="4" t="e">
        <f t="shared" si="143"/>
        <v>#N/A</v>
      </c>
      <c r="C4490" s="4">
        <f>'Raw data'!E4066</f>
        <v>0</v>
      </c>
      <c r="D4490" s="29" t="e">
        <f>VLOOKUP(C4490,'점포코드 '!A:B,2,0)</f>
        <v>#N/A</v>
      </c>
      <c r="E4490" s="30">
        <f>'Raw data'!P4066</f>
        <v>0</v>
      </c>
      <c r="F4490" s="29" t="e">
        <f>VLOOKUP(E4490,'점포코드 '!A:B,2,0)</f>
        <v>#N/A</v>
      </c>
      <c r="G4490" s="46">
        <f>'Raw data'!F4399</f>
        <v>0</v>
      </c>
      <c r="H4490" s="4">
        <f>'Raw data'!G4399</f>
        <v>0</v>
      </c>
      <c r="I4490" s="29" t="e">
        <f>VLOOKUP(G4490,제품명!$C$1:$E$114,2,0)</f>
        <v>#N/A</v>
      </c>
      <c r="J4490" s="29">
        <f>'Raw data'!K4399</f>
        <v>0</v>
      </c>
      <c r="K4490" s="31">
        <f>'Raw data'!H4399</f>
        <v>0</v>
      </c>
      <c r="L4490" s="26">
        <f t="shared" si="144"/>
        <v>0</v>
      </c>
    </row>
    <row r="4491" spans="2:12">
      <c r="B4491" s="4" t="e">
        <f t="shared" si="143"/>
        <v>#N/A</v>
      </c>
      <c r="C4491" s="4">
        <f>'Raw data'!E4067</f>
        <v>0</v>
      </c>
      <c r="D4491" s="29" t="e">
        <f>VLOOKUP(C4491,'점포코드 '!A:B,2,0)</f>
        <v>#N/A</v>
      </c>
      <c r="E4491" s="30">
        <f>'Raw data'!P4067</f>
        <v>0</v>
      </c>
      <c r="F4491" s="29" t="e">
        <f>VLOOKUP(E4491,'점포코드 '!A:B,2,0)</f>
        <v>#N/A</v>
      </c>
      <c r="G4491" s="46">
        <f>'Raw data'!F4400</f>
        <v>0</v>
      </c>
      <c r="H4491" s="4">
        <f>'Raw data'!G4400</f>
        <v>0</v>
      </c>
      <c r="I4491" s="29" t="e">
        <f>VLOOKUP(G4491,제품명!$C$1:$E$114,2,0)</f>
        <v>#N/A</v>
      </c>
      <c r="J4491" s="29">
        <f>'Raw data'!K4400</f>
        <v>0</v>
      </c>
      <c r="K4491" s="31">
        <f>'Raw data'!H4400</f>
        <v>0</v>
      </c>
      <c r="L4491" s="26">
        <f t="shared" si="144"/>
        <v>0</v>
      </c>
    </row>
    <row r="4492" spans="2:12">
      <c r="B4492" s="4" t="e">
        <f t="shared" si="143"/>
        <v>#N/A</v>
      </c>
      <c r="C4492" s="4">
        <f>'Raw data'!E4068</f>
        <v>0</v>
      </c>
      <c r="D4492" s="29" t="e">
        <f>VLOOKUP(C4492,'점포코드 '!A:B,2,0)</f>
        <v>#N/A</v>
      </c>
      <c r="E4492" s="30">
        <f>'Raw data'!P4068</f>
        <v>0</v>
      </c>
      <c r="F4492" s="29" t="e">
        <f>VLOOKUP(E4492,'점포코드 '!A:B,2,0)</f>
        <v>#N/A</v>
      </c>
      <c r="G4492" s="46">
        <f>'Raw data'!F4401</f>
        <v>0</v>
      </c>
      <c r="H4492" s="4">
        <f>'Raw data'!G4401</f>
        <v>0</v>
      </c>
      <c r="I4492" s="29" t="e">
        <f>VLOOKUP(G4492,제품명!$C$1:$E$114,2,0)</f>
        <v>#N/A</v>
      </c>
      <c r="J4492" s="29">
        <f>'Raw data'!K4401</f>
        <v>0</v>
      </c>
      <c r="K4492" s="31">
        <f>'Raw data'!H4401</f>
        <v>0</v>
      </c>
      <c r="L4492" s="26">
        <f t="shared" si="144"/>
        <v>0</v>
      </c>
    </row>
    <row r="4493" spans="2:12">
      <c r="B4493" s="4" t="e">
        <f t="shared" si="143"/>
        <v>#N/A</v>
      </c>
      <c r="C4493" s="4">
        <f>'Raw data'!E4069</f>
        <v>0</v>
      </c>
      <c r="D4493" s="29" t="e">
        <f>VLOOKUP(C4493,'점포코드 '!A:B,2,0)</f>
        <v>#N/A</v>
      </c>
      <c r="E4493" s="30">
        <f>'Raw data'!P4069</f>
        <v>0</v>
      </c>
      <c r="F4493" s="29" t="e">
        <f>VLOOKUP(E4493,'점포코드 '!A:B,2,0)</f>
        <v>#N/A</v>
      </c>
      <c r="G4493" s="46">
        <f>'Raw data'!F4402</f>
        <v>0</v>
      </c>
      <c r="H4493" s="4">
        <f>'Raw data'!G4402</f>
        <v>0</v>
      </c>
      <c r="I4493" s="29" t="e">
        <f>VLOOKUP(G4493,제품명!$C$1:$E$114,2,0)</f>
        <v>#N/A</v>
      </c>
      <c r="J4493" s="29">
        <f>'Raw data'!K4402</f>
        <v>0</v>
      </c>
      <c r="K4493" s="31">
        <f>'Raw data'!H4402</f>
        <v>0</v>
      </c>
      <c r="L4493" s="26">
        <f t="shared" si="144"/>
        <v>0</v>
      </c>
    </row>
    <row r="4494" spans="2:12">
      <c r="B4494" s="4" t="e">
        <f t="shared" si="143"/>
        <v>#N/A</v>
      </c>
      <c r="C4494" s="4">
        <f>'Raw data'!E4070</f>
        <v>0</v>
      </c>
      <c r="D4494" s="29" t="e">
        <f>VLOOKUP(C4494,'점포코드 '!A:B,2,0)</f>
        <v>#N/A</v>
      </c>
      <c r="E4494" s="30">
        <f>'Raw data'!P4070</f>
        <v>0</v>
      </c>
      <c r="F4494" s="29" t="e">
        <f>VLOOKUP(E4494,'점포코드 '!A:B,2,0)</f>
        <v>#N/A</v>
      </c>
      <c r="G4494" s="46">
        <f>'Raw data'!F4403</f>
        <v>0</v>
      </c>
      <c r="H4494" s="4">
        <f>'Raw data'!G4403</f>
        <v>0</v>
      </c>
      <c r="I4494" s="29" t="e">
        <f>VLOOKUP(G4494,제품명!$C$1:$E$114,2,0)</f>
        <v>#N/A</v>
      </c>
      <c r="J4494" s="29">
        <f>'Raw data'!K4403</f>
        <v>0</v>
      </c>
      <c r="K4494" s="31">
        <f>'Raw data'!H4403</f>
        <v>0</v>
      </c>
      <c r="L4494" s="26">
        <f t="shared" si="144"/>
        <v>0</v>
      </c>
    </row>
    <row r="4495" spans="2:12">
      <c r="B4495" s="4" t="e">
        <f t="shared" si="143"/>
        <v>#N/A</v>
      </c>
      <c r="C4495" s="4">
        <f>'Raw data'!E4071</f>
        <v>0</v>
      </c>
      <c r="D4495" s="29" t="e">
        <f>VLOOKUP(C4495,'점포코드 '!A:B,2,0)</f>
        <v>#N/A</v>
      </c>
      <c r="E4495" s="30">
        <f>'Raw data'!P4071</f>
        <v>0</v>
      </c>
      <c r="F4495" s="29" t="e">
        <f>VLOOKUP(E4495,'점포코드 '!A:B,2,0)</f>
        <v>#N/A</v>
      </c>
      <c r="G4495" s="46">
        <f>'Raw data'!F4404</f>
        <v>0</v>
      </c>
      <c r="H4495" s="4">
        <f>'Raw data'!G4404</f>
        <v>0</v>
      </c>
      <c r="I4495" s="29" t="e">
        <f>VLOOKUP(G4495,제품명!$C$1:$E$114,2,0)</f>
        <v>#N/A</v>
      </c>
      <c r="J4495" s="29">
        <f>'Raw data'!K4404</f>
        <v>0</v>
      </c>
      <c r="K4495" s="31">
        <f>'Raw data'!H4404</f>
        <v>0</v>
      </c>
      <c r="L4495" s="26">
        <f t="shared" si="144"/>
        <v>0</v>
      </c>
    </row>
    <row r="4496" spans="2:12">
      <c r="B4496" s="4" t="e">
        <f t="shared" si="143"/>
        <v>#N/A</v>
      </c>
      <c r="C4496" s="4">
        <f>'Raw data'!E4072</f>
        <v>0</v>
      </c>
      <c r="D4496" s="29" t="e">
        <f>VLOOKUP(C4496,'점포코드 '!A:B,2,0)</f>
        <v>#N/A</v>
      </c>
      <c r="E4496" s="30">
        <f>'Raw data'!P4072</f>
        <v>0</v>
      </c>
      <c r="F4496" s="29" t="e">
        <f>VLOOKUP(E4496,'점포코드 '!A:B,2,0)</f>
        <v>#N/A</v>
      </c>
      <c r="G4496" s="46">
        <f>'Raw data'!F4405</f>
        <v>0</v>
      </c>
      <c r="H4496" s="4">
        <f>'Raw data'!G4405</f>
        <v>0</v>
      </c>
      <c r="I4496" s="29" t="e">
        <f>VLOOKUP(G4496,제품명!$C$1:$E$114,2,0)</f>
        <v>#N/A</v>
      </c>
      <c r="J4496" s="29">
        <f>'Raw data'!K4405</f>
        <v>0</v>
      </c>
      <c r="K4496" s="31">
        <f>'Raw data'!H4405</f>
        <v>0</v>
      </c>
      <c r="L4496" s="26">
        <f t="shared" si="144"/>
        <v>0</v>
      </c>
    </row>
    <row r="4497" spans="2:12">
      <c r="B4497" s="4" t="e">
        <f t="shared" si="143"/>
        <v>#N/A</v>
      </c>
      <c r="C4497" s="4">
        <f>'Raw data'!E4073</f>
        <v>0</v>
      </c>
      <c r="D4497" s="29" t="e">
        <f>VLOOKUP(C4497,'점포코드 '!A:B,2,0)</f>
        <v>#N/A</v>
      </c>
      <c r="E4497" s="30">
        <f>'Raw data'!P4073</f>
        <v>0</v>
      </c>
      <c r="F4497" s="29" t="e">
        <f>VLOOKUP(E4497,'점포코드 '!A:B,2,0)</f>
        <v>#N/A</v>
      </c>
      <c r="G4497" s="46">
        <f>'Raw data'!F4406</f>
        <v>0</v>
      </c>
      <c r="H4497" s="4">
        <f>'Raw data'!G4406</f>
        <v>0</v>
      </c>
      <c r="I4497" s="29" t="e">
        <f>VLOOKUP(G4497,제품명!$C$1:$E$114,2,0)</f>
        <v>#N/A</v>
      </c>
      <c r="J4497" s="29">
        <f>'Raw data'!K4406</f>
        <v>0</v>
      </c>
      <c r="K4497" s="31">
        <f>'Raw data'!H4406</f>
        <v>0</v>
      </c>
      <c r="L4497" s="26">
        <f t="shared" si="144"/>
        <v>0</v>
      </c>
    </row>
    <row r="4498" spans="2:12">
      <c r="B4498" s="4" t="e">
        <f t="shared" si="143"/>
        <v>#N/A</v>
      </c>
      <c r="C4498" s="4">
        <f>'Raw data'!E4074</f>
        <v>0</v>
      </c>
      <c r="D4498" s="29" t="e">
        <f>VLOOKUP(C4498,'점포코드 '!A:B,2,0)</f>
        <v>#N/A</v>
      </c>
      <c r="E4498" s="30">
        <f>'Raw data'!P4074</f>
        <v>0</v>
      </c>
      <c r="F4498" s="29" t="e">
        <f>VLOOKUP(E4498,'점포코드 '!A:B,2,0)</f>
        <v>#N/A</v>
      </c>
      <c r="G4498" s="46">
        <f>'Raw data'!F4407</f>
        <v>0</v>
      </c>
      <c r="H4498" s="4">
        <f>'Raw data'!G4407</f>
        <v>0</v>
      </c>
      <c r="I4498" s="29" t="e">
        <f>VLOOKUP(G4498,제품명!$C$1:$E$114,2,0)</f>
        <v>#N/A</v>
      </c>
      <c r="J4498" s="29">
        <f>'Raw data'!K4407</f>
        <v>0</v>
      </c>
      <c r="K4498" s="31">
        <f>'Raw data'!H4407</f>
        <v>0</v>
      </c>
      <c r="L4498" s="26">
        <f t="shared" si="144"/>
        <v>0</v>
      </c>
    </row>
    <row r="4499" spans="2:12">
      <c r="B4499" s="4" t="e">
        <f t="shared" si="143"/>
        <v>#N/A</v>
      </c>
      <c r="C4499" s="4">
        <f>'Raw data'!E4075</f>
        <v>0</v>
      </c>
      <c r="D4499" s="29" t="e">
        <f>VLOOKUP(C4499,'점포코드 '!A:B,2,0)</f>
        <v>#N/A</v>
      </c>
      <c r="E4499" s="30">
        <f>'Raw data'!P4075</f>
        <v>0</v>
      </c>
      <c r="F4499" s="29" t="e">
        <f>VLOOKUP(E4499,'점포코드 '!A:B,2,0)</f>
        <v>#N/A</v>
      </c>
      <c r="G4499" s="46">
        <f>'Raw data'!F4408</f>
        <v>0</v>
      </c>
      <c r="H4499" s="4">
        <f>'Raw data'!G4408</f>
        <v>0</v>
      </c>
      <c r="I4499" s="29" t="e">
        <f>VLOOKUP(G4499,제품명!$C$1:$E$114,2,0)</f>
        <v>#N/A</v>
      </c>
      <c r="J4499" s="29">
        <f>'Raw data'!K4408</f>
        <v>0</v>
      </c>
      <c r="K4499" s="31">
        <f>'Raw data'!H4408</f>
        <v>0</v>
      </c>
      <c r="L4499" s="26">
        <f t="shared" si="144"/>
        <v>0</v>
      </c>
    </row>
    <row r="4500" spans="2:12">
      <c r="B4500" s="4" t="e">
        <f t="shared" si="143"/>
        <v>#N/A</v>
      </c>
      <c r="C4500" s="4">
        <f>'Raw data'!E4076</f>
        <v>0</v>
      </c>
      <c r="D4500" s="29" t="e">
        <f>VLOOKUP(C4500,'점포코드 '!A:B,2,0)</f>
        <v>#N/A</v>
      </c>
      <c r="E4500" s="30">
        <f>'Raw data'!P4076</f>
        <v>0</v>
      </c>
      <c r="F4500" s="29" t="e">
        <f>VLOOKUP(E4500,'점포코드 '!A:B,2,0)</f>
        <v>#N/A</v>
      </c>
      <c r="G4500" s="46">
        <f>'Raw data'!F4409</f>
        <v>0</v>
      </c>
      <c r="H4500" s="4">
        <f>'Raw data'!G4409</f>
        <v>0</v>
      </c>
      <c r="I4500" s="29" t="e">
        <f>VLOOKUP(G4500,제품명!$C$1:$E$114,2,0)</f>
        <v>#N/A</v>
      </c>
      <c r="J4500" s="29">
        <f>'Raw data'!K4409</f>
        <v>0</v>
      </c>
      <c r="K4500" s="31">
        <f>'Raw data'!H4409</f>
        <v>0</v>
      </c>
      <c r="L4500" s="26">
        <f t="shared" si="144"/>
        <v>0</v>
      </c>
    </row>
    <row r="4501" spans="2:12">
      <c r="B4501" s="4" t="e">
        <f t="shared" si="143"/>
        <v>#N/A</v>
      </c>
      <c r="C4501" s="4">
        <f>'Raw data'!E4077</f>
        <v>0</v>
      </c>
      <c r="D4501" s="29" t="e">
        <f>VLOOKUP(C4501,'점포코드 '!A:B,2,0)</f>
        <v>#N/A</v>
      </c>
      <c r="E4501" s="30">
        <f>'Raw data'!P4077</f>
        <v>0</v>
      </c>
      <c r="F4501" s="29" t="e">
        <f>VLOOKUP(E4501,'점포코드 '!A:B,2,0)</f>
        <v>#N/A</v>
      </c>
      <c r="G4501" s="46">
        <f>'Raw data'!F4410</f>
        <v>0</v>
      </c>
      <c r="H4501" s="4">
        <f>'Raw data'!G4410</f>
        <v>0</v>
      </c>
      <c r="I4501" s="29" t="e">
        <f>VLOOKUP(G4501,제품명!$C$1:$E$114,2,0)</f>
        <v>#N/A</v>
      </c>
      <c r="J4501" s="29">
        <f>'Raw data'!K4410</f>
        <v>0</v>
      </c>
      <c r="K4501" s="31">
        <f>'Raw data'!H4410</f>
        <v>0</v>
      </c>
      <c r="L4501" s="26">
        <f t="shared" si="144"/>
        <v>0</v>
      </c>
    </row>
    <row r="4502" spans="2:12">
      <c r="B4502" s="4" t="e">
        <f t="shared" si="143"/>
        <v>#N/A</v>
      </c>
      <c r="C4502" s="4">
        <f>'Raw data'!E4078</f>
        <v>0</v>
      </c>
      <c r="D4502" s="29" t="e">
        <f>VLOOKUP(C4502,'점포코드 '!A:B,2,0)</f>
        <v>#N/A</v>
      </c>
      <c r="E4502" s="30">
        <f>'Raw data'!P4078</f>
        <v>0</v>
      </c>
      <c r="F4502" s="29" t="e">
        <f>VLOOKUP(E4502,'점포코드 '!A:B,2,0)</f>
        <v>#N/A</v>
      </c>
      <c r="G4502" s="46">
        <f>'Raw data'!F4411</f>
        <v>0</v>
      </c>
      <c r="H4502" s="4">
        <f>'Raw data'!G4411</f>
        <v>0</v>
      </c>
      <c r="I4502" s="29" t="e">
        <f>VLOOKUP(G4502,제품명!$C$1:$E$114,2,0)</f>
        <v>#N/A</v>
      </c>
      <c r="J4502" s="29">
        <f>'Raw data'!K4411</f>
        <v>0</v>
      </c>
      <c r="K4502" s="31">
        <f>'Raw data'!H4411</f>
        <v>0</v>
      </c>
      <c r="L4502" s="26">
        <f t="shared" si="144"/>
        <v>0</v>
      </c>
    </row>
    <row r="4503" spans="2:12">
      <c r="B4503" s="4" t="e">
        <f t="shared" si="143"/>
        <v>#N/A</v>
      </c>
      <c r="C4503" s="4">
        <f>'Raw data'!E4079</f>
        <v>0</v>
      </c>
      <c r="D4503" s="29" t="e">
        <f>VLOOKUP(C4503,'점포코드 '!A:B,2,0)</f>
        <v>#N/A</v>
      </c>
      <c r="E4503" s="30">
        <f>'Raw data'!P4079</f>
        <v>0</v>
      </c>
      <c r="F4503" s="29" t="e">
        <f>VLOOKUP(E4503,'점포코드 '!A:B,2,0)</f>
        <v>#N/A</v>
      </c>
      <c r="G4503" s="46">
        <f>'Raw data'!F4412</f>
        <v>0</v>
      </c>
      <c r="H4503" s="4">
        <f>'Raw data'!G4412</f>
        <v>0</v>
      </c>
      <c r="I4503" s="29" t="e">
        <f>VLOOKUP(G4503,제품명!$C$1:$E$114,2,0)</f>
        <v>#N/A</v>
      </c>
      <c r="J4503" s="29">
        <f>'Raw data'!K4412</f>
        <v>0</v>
      </c>
      <c r="K4503" s="31">
        <f>'Raw data'!H4412</f>
        <v>0</v>
      </c>
      <c r="L4503" s="26">
        <f t="shared" si="144"/>
        <v>0</v>
      </c>
    </row>
    <row r="4504" spans="2:12">
      <c r="B4504" s="4" t="e">
        <f t="shared" si="143"/>
        <v>#N/A</v>
      </c>
      <c r="C4504" s="4">
        <f>'Raw data'!E4080</f>
        <v>0</v>
      </c>
      <c r="D4504" s="29" t="e">
        <f>VLOOKUP(C4504,'점포코드 '!A:B,2,0)</f>
        <v>#N/A</v>
      </c>
      <c r="E4504" s="30">
        <f>'Raw data'!P4080</f>
        <v>0</v>
      </c>
      <c r="F4504" s="29" t="e">
        <f>VLOOKUP(E4504,'점포코드 '!A:B,2,0)</f>
        <v>#N/A</v>
      </c>
      <c r="G4504" s="46">
        <f>'Raw data'!F4413</f>
        <v>0</v>
      </c>
      <c r="H4504" s="4">
        <f>'Raw data'!G4413</f>
        <v>0</v>
      </c>
      <c r="I4504" s="29" t="e">
        <f>VLOOKUP(G4504,제품명!$C$1:$E$114,2,0)</f>
        <v>#N/A</v>
      </c>
      <c r="J4504" s="29">
        <f>'Raw data'!K4413</f>
        <v>0</v>
      </c>
      <c r="K4504" s="31">
        <f>'Raw data'!H4413</f>
        <v>0</v>
      </c>
      <c r="L4504" s="26">
        <f t="shared" si="144"/>
        <v>0</v>
      </c>
    </row>
    <row r="4505" spans="2:12">
      <c r="B4505" s="4" t="e">
        <f t="shared" si="143"/>
        <v>#N/A</v>
      </c>
      <c r="C4505" s="4">
        <f>'Raw data'!E4081</f>
        <v>0</v>
      </c>
      <c r="D4505" s="29" t="e">
        <f>VLOOKUP(C4505,'점포코드 '!A:B,2,0)</f>
        <v>#N/A</v>
      </c>
      <c r="E4505" s="30">
        <f>'Raw data'!P4081</f>
        <v>0</v>
      </c>
      <c r="F4505" s="29" t="e">
        <f>VLOOKUP(E4505,'점포코드 '!A:B,2,0)</f>
        <v>#N/A</v>
      </c>
      <c r="G4505" s="46">
        <f>'Raw data'!F4414</f>
        <v>0</v>
      </c>
      <c r="H4505" s="4">
        <f>'Raw data'!G4414</f>
        <v>0</v>
      </c>
      <c r="I4505" s="29" t="e">
        <f>VLOOKUP(G4505,제품명!$C$1:$E$114,2,0)</f>
        <v>#N/A</v>
      </c>
      <c r="J4505" s="29">
        <f>'Raw data'!K4414</f>
        <v>0</v>
      </c>
      <c r="K4505" s="31">
        <f>'Raw data'!H4414</f>
        <v>0</v>
      </c>
      <c r="L4505" s="26">
        <f t="shared" si="144"/>
        <v>0</v>
      </c>
    </row>
    <row r="4506" spans="2:12">
      <c r="B4506" s="4" t="e">
        <f t="shared" si="143"/>
        <v>#N/A</v>
      </c>
      <c r="C4506" s="4">
        <f>'Raw data'!E4082</f>
        <v>0</v>
      </c>
      <c r="D4506" s="29" t="e">
        <f>VLOOKUP(C4506,'점포코드 '!A:B,2,0)</f>
        <v>#N/A</v>
      </c>
      <c r="E4506" s="30">
        <f>'Raw data'!P4082</f>
        <v>0</v>
      </c>
      <c r="F4506" s="29" t="e">
        <f>VLOOKUP(E4506,'점포코드 '!A:B,2,0)</f>
        <v>#N/A</v>
      </c>
      <c r="G4506" s="46">
        <f>'Raw data'!F4415</f>
        <v>0</v>
      </c>
      <c r="H4506" s="4">
        <f>'Raw data'!G4415</f>
        <v>0</v>
      </c>
      <c r="I4506" s="29" t="e">
        <f>VLOOKUP(G4506,제품명!$C$1:$E$114,2,0)</f>
        <v>#N/A</v>
      </c>
      <c r="J4506" s="29">
        <f>'Raw data'!K4415</f>
        <v>0</v>
      </c>
      <c r="K4506" s="31">
        <f>'Raw data'!H4415</f>
        <v>0</v>
      </c>
      <c r="L4506" s="26">
        <f t="shared" si="144"/>
        <v>0</v>
      </c>
    </row>
    <row r="4507" spans="2:12">
      <c r="B4507" s="4" t="e">
        <f t="shared" si="143"/>
        <v>#N/A</v>
      </c>
      <c r="C4507" s="4">
        <f>'Raw data'!E4083</f>
        <v>0</v>
      </c>
      <c r="D4507" s="29" t="e">
        <f>VLOOKUP(C4507,'점포코드 '!A:B,2,0)</f>
        <v>#N/A</v>
      </c>
      <c r="E4507" s="30">
        <f>'Raw data'!P4083</f>
        <v>0</v>
      </c>
      <c r="F4507" s="29" t="e">
        <f>VLOOKUP(E4507,'점포코드 '!A:B,2,0)</f>
        <v>#N/A</v>
      </c>
      <c r="G4507" s="46">
        <f>'Raw data'!F4416</f>
        <v>0</v>
      </c>
      <c r="H4507" s="4">
        <f>'Raw data'!G4416</f>
        <v>0</v>
      </c>
      <c r="I4507" s="29" t="e">
        <f>VLOOKUP(G4507,제품명!$C$1:$E$114,2,0)</f>
        <v>#N/A</v>
      </c>
      <c r="J4507" s="29">
        <f>'Raw data'!K4416</f>
        <v>0</v>
      </c>
      <c r="K4507" s="31">
        <f>'Raw data'!H4416</f>
        <v>0</v>
      </c>
      <c r="L4507" s="26">
        <f t="shared" si="144"/>
        <v>0</v>
      </c>
    </row>
    <row r="4508" spans="2:12">
      <c r="B4508" s="4" t="e">
        <f t="shared" si="143"/>
        <v>#N/A</v>
      </c>
      <c r="C4508" s="4">
        <f>'Raw data'!E4084</f>
        <v>0</v>
      </c>
      <c r="D4508" s="29" t="e">
        <f>VLOOKUP(C4508,'점포코드 '!A:B,2,0)</f>
        <v>#N/A</v>
      </c>
      <c r="E4508" s="30">
        <f>'Raw data'!P4084</f>
        <v>0</v>
      </c>
      <c r="F4508" s="29" t="e">
        <f>VLOOKUP(E4508,'점포코드 '!A:B,2,0)</f>
        <v>#N/A</v>
      </c>
      <c r="G4508" s="46">
        <f>'Raw data'!F4417</f>
        <v>0</v>
      </c>
      <c r="H4508" s="4">
        <f>'Raw data'!G4417</f>
        <v>0</v>
      </c>
      <c r="I4508" s="29" t="e">
        <f>VLOOKUP(G4508,제품명!$C$1:$E$114,2,0)</f>
        <v>#N/A</v>
      </c>
      <c r="J4508" s="29">
        <f>'Raw data'!K4417</f>
        <v>0</v>
      </c>
      <c r="K4508" s="31">
        <f>'Raw data'!H4417</f>
        <v>0</v>
      </c>
      <c r="L4508" s="26">
        <f t="shared" si="144"/>
        <v>0</v>
      </c>
    </row>
    <row r="4509" spans="2:12">
      <c r="B4509" s="4" t="e">
        <f t="shared" si="143"/>
        <v>#N/A</v>
      </c>
      <c r="C4509" s="4">
        <f>'Raw data'!E4085</f>
        <v>0</v>
      </c>
      <c r="D4509" s="29" t="e">
        <f>VLOOKUP(C4509,'점포코드 '!A:B,2,0)</f>
        <v>#N/A</v>
      </c>
      <c r="E4509" s="30">
        <f>'Raw data'!P4085</f>
        <v>0</v>
      </c>
      <c r="F4509" s="29" t="e">
        <f>VLOOKUP(E4509,'점포코드 '!A:B,2,0)</f>
        <v>#N/A</v>
      </c>
      <c r="G4509" s="46">
        <f>'Raw data'!F4418</f>
        <v>0</v>
      </c>
      <c r="H4509" s="4">
        <f>'Raw data'!G4418</f>
        <v>0</v>
      </c>
      <c r="I4509" s="29" t="e">
        <f>VLOOKUP(G4509,제품명!$C$1:$E$114,2,0)</f>
        <v>#N/A</v>
      </c>
      <c r="J4509" s="29">
        <f>'Raw data'!K4418</f>
        <v>0</v>
      </c>
      <c r="K4509" s="31">
        <f>'Raw data'!H4418</f>
        <v>0</v>
      </c>
      <c r="L4509" s="26">
        <f t="shared" si="144"/>
        <v>0</v>
      </c>
    </row>
    <row r="4510" spans="2:12">
      <c r="B4510" s="4" t="e">
        <f t="shared" si="143"/>
        <v>#N/A</v>
      </c>
      <c r="C4510" s="4">
        <f>'Raw data'!E4086</f>
        <v>0</v>
      </c>
      <c r="D4510" s="29" t="e">
        <f>VLOOKUP(C4510,'점포코드 '!A:B,2,0)</f>
        <v>#N/A</v>
      </c>
      <c r="E4510" s="30">
        <f>'Raw data'!P4086</f>
        <v>0</v>
      </c>
      <c r="F4510" s="29" t="e">
        <f>VLOOKUP(E4510,'점포코드 '!A:B,2,0)</f>
        <v>#N/A</v>
      </c>
      <c r="G4510" s="46">
        <f>'Raw data'!F4419</f>
        <v>0</v>
      </c>
      <c r="H4510" s="4">
        <f>'Raw data'!G4419</f>
        <v>0</v>
      </c>
      <c r="I4510" s="29" t="e">
        <f>VLOOKUP(G4510,제품명!$C$1:$E$114,2,0)</f>
        <v>#N/A</v>
      </c>
      <c r="J4510" s="29">
        <f>'Raw data'!K4419</f>
        <v>0</v>
      </c>
      <c r="K4510" s="31">
        <f>'Raw data'!H4419</f>
        <v>0</v>
      </c>
      <c r="L4510" s="26">
        <f t="shared" si="144"/>
        <v>0</v>
      </c>
    </row>
    <row r="4511" spans="2:12">
      <c r="B4511" s="4" t="e">
        <f t="shared" si="143"/>
        <v>#N/A</v>
      </c>
      <c r="C4511" s="4">
        <f>'Raw data'!E4087</f>
        <v>0</v>
      </c>
      <c r="D4511" s="29" t="e">
        <f>VLOOKUP(C4511,'점포코드 '!A:B,2,0)</f>
        <v>#N/A</v>
      </c>
      <c r="E4511" s="30">
        <f>'Raw data'!P4087</f>
        <v>0</v>
      </c>
      <c r="F4511" s="29" t="e">
        <f>VLOOKUP(E4511,'점포코드 '!A:B,2,0)</f>
        <v>#N/A</v>
      </c>
      <c r="G4511" s="46">
        <f>'Raw data'!F4420</f>
        <v>0</v>
      </c>
      <c r="H4511" s="4">
        <f>'Raw data'!G4420</f>
        <v>0</v>
      </c>
      <c r="I4511" s="29" t="e">
        <f>VLOOKUP(G4511,제품명!$C$1:$E$114,2,0)</f>
        <v>#N/A</v>
      </c>
      <c r="J4511" s="29">
        <f>'Raw data'!K4420</f>
        <v>0</v>
      </c>
      <c r="K4511" s="31">
        <f>'Raw data'!H4420</f>
        <v>0</v>
      </c>
      <c r="L4511" s="26">
        <f t="shared" si="144"/>
        <v>0</v>
      </c>
    </row>
    <row r="4512" spans="2:12">
      <c r="B4512" s="4" t="e">
        <f t="shared" si="143"/>
        <v>#N/A</v>
      </c>
      <c r="C4512" s="4">
        <f>'Raw data'!E4088</f>
        <v>0</v>
      </c>
      <c r="D4512" s="29" t="e">
        <f>VLOOKUP(C4512,'점포코드 '!A:B,2,0)</f>
        <v>#N/A</v>
      </c>
      <c r="E4512" s="30">
        <f>'Raw data'!P4088</f>
        <v>0</v>
      </c>
      <c r="F4512" s="29" t="e">
        <f>VLOOKUP(E4512,'점포코드 '!A:B,2,0)</f>
        <v>#N/A</v>
      </c>
      <c r="G4512" s="46">
        <f>'Raw data'!F4421</f>
        <v>0</v>
      </c>
      <c r="H4512" s="4">
        <f>'Raw data'!G4421</f>
        <v>0</v>
      </c>
      <c r="I4512" s="29" t="e">
        <f>VLOOKUP(G4512,제품명!$C$1:$E$114,2,0)</f>
        <v>#N/A</v>
      </c>
      <c r="J4512" s="29">
        <f>'Raw data'!K4421</f>
        <v>0</v>
      </c>
      <c r="K4512" s="31">
        <f>'Raw data'!H4421</f>
        <v>0</v>
      </c>
      <c r="L4512" s="26">
        <f t="shared" si="144"/>
        <v>0</v>
      </c>
    </row>
    <row r="4513" spans="2:12">
      <c r="B4513" s="4" t="e">
        <f t="shared" si="143"/>
        <v>#N/A</v>
      </c>
      <c r="C4513" s="4">
        <f>'Raw data'!E4089</f>
        <v>0</v>
      </c>
      <c r="D4513" s="29" t="e">
        <f>VLOOKUP(C4513,'점포코드 '!A:B,2,0)</f>
        <v>#N/A</v>
      </c>
      <c r="E4513" s="30">
        <f>'Raw data'!P4089</f>
        <v>0</v>
      </c>
      <c r="F4513" s="29" t="e">
        <f>VLOOKUP(E4513,'점포코드 '!A:B,2,0)</f>
        <v>#N/A</v>
      </c>
      <c r="G4513" s="46">
        <f>'Raw data'!F4422</f>
        <v>0</v>
      </c>
      <c r="H4513" s="4">
        <f>'Raw data'!G4422</f>
        <v>0</v>
      </c>
      <c r="I4513" s="29" t="e">
        <f>VLOOKUP(G4513,제품명!$C$1:$E$114,2,0)</f>
        <v>#N/A</v>
      </c>
      <c r="J4513" s="29">
        <f>'Raw data'!K4422</f>
        <v>0</v>
      </c>
      <c r="K4513" s="31">
        <f>'Raw data'!H4422</f>
        <v>0</v>
      </c>
      <c r="L4513" s="26">
        <f t="shared" si="144"/>
        <v>0</v>
      </c>
    </row>
    <row r="4514" spans="2:12">
      <c r="B4514" s="4" t="e">
        <f t="shared" si="143"/>
        <v>#N/A</v>
      </c>
      <c r="C4514" s="4">
        <f>'Raw data'!E4090</f>
        <v>0</v>
      </c>
      <c r="D4514" s="29" t="e">
        <f>VLOOKUP(C4514,'점포코드 '!A:B,2,0)</f>
        <v>#N/A</v>
      </c>
      <c r="E4514" s="30">
        <f>'Raw data'!P4090</f>
        <v>0</v>
      </c>
      <c r="F4514" s="29" t="e">
        <f>VLOOKUP(E4514,'점포코드 '!A:B,2,0)</f>
        <v>#N/A</v>
      </c>
      <c r="G4514" s="46">
        <f>'Raw data'!F4423</f>
        <v>0</v>
      </c>
      <c r="H4514" s="4">
        <f>'Raw data'!G4423</f>
        <v>0</v>
      </c>
      <c r="I4514" s="29" t="e">
        <f>VLOOKUP(G4514,제품명!$C$1:$E$114,2,0)</f>
        <v>#N/A</v>
      </c>
      <c r="J4514" s="29">
        <f>'Raw data'!K4423</f>
        <v>0</v>
      </c>
      <c r="K4514" s="31">
        <f>'Raw data'!H4423</f>
        <v>0</v>
      </c>
      <c r="L4514" s="26">
        <f t="shared" si="144"/>
        <v>0</v>
      </c>
    </row>
    <row r="4515" spans="2:12">
      <c r="B4515" s="4" t="e">
        <f t="shared" si="143"/>
        <v>#N/A</v>
      </c>
      <c r="C4515" s="4">
        <f>'Raw data'!E4091</f>
        <v>0</v>
      </c>
      <c r="D4515" s="29" t="e">
        <f>VLOOKUP(C4515,'점포코드 '!A:B,2,0)</f>
        <v>#N/A</v>
      </c>
      <c r="E4515" s="30">
        <f>'Raw data'!P4091</f>
        <v>0</v>
      </c>
      <c r="F4515" s="29" t="e">
        <f>VLOOKUP(E4515,'점포코드 '!A:B,2,0)</f>
        <v>#N/A</v>
      </c>
      <c r="G4515" s="46">
        <f>'Raw data'!F4424</f>
        <v>0</v>
      </c>
      <c r="H4515" s="4">
        <f>'Raw data'!G4424</f>
        <v>0</v>
      </c>
      <c r="I4515" s="29" t="e">
        <f>VLOOKUP(G4515,제품명!$C$1:$E$114,2,0)</f>
        <v>#N/A</v>
      </c>
      <c r="J4515" s="29">
        <f>'Raw data'!K4424</f>
        <v>0</v>
      </c>
      <c r="K4515" s="31">
        <f>'Raw data'!H4424</f>
        <v>0</v>
      </c>
      <c r="L4515" s="26">
        <f t="shared" si="144"/>
        <v>0</v>
      </c>
    </row>
    <row r="4516" spans="2:12">
      <c r="B4516" s="4" t="e">
        <f t="shared" si="143"/>
        <v>#N/A</v>
      </c>
      <c r="C4516" s="4">
        <f>'Raw data'!E4092</f>
        <v>0</v>
      </c>
      <c r="D4516" s="29" t="e">
        <f>VLOOKUP(C4516,'점포코드 '!A:B,2,0)</f>
        <v>#N/A</v>
      </c>
      <c r="E4516" s="30">
        <f>'Raw data'!P4092</f>
        <v>0</v>
      </c>
      <c r="F4516" s="29" t="e">
        <f>VLOOKUP(E4516,'점포코드 '!A:B,2,0)</f>
        <v>#N/A</v>
      </c>
      <c r="G4516" s="46">
        <f>'Raw data'!F4425</f>
        <v>0</v>
      </c>
      <c r="H4516" s="4">
        <f>'Raw data'!G4425</f>
        <v>0</v>
      </c>
      <c r="I4516" s="29" t="e">
        <f>VLOOKUP(G4516,제품명!$C$1:$E$114,2,0)</f>
        <v>#N/A</v>
      </c>
      <c r="J4516" s="29">
        <f>'Raw data'!K4425</f>
        <v>0</v>
      </c>
      <c r="K4516" s="31">
        <f>'Raw data'!H4425</f>
        <v>0</v>
      </c>
      <c r="L4516" s="26">
        <f t="shared" si="144"/>
        <v>0</v>
      </c>
    </row>
    <row r="4517" spans="2:12">
      <c r="B4517" s="4" t="e">
        <f t="shared" si="143"/>
        <v>#N/A</v>
      </c>
      <c r="C4517" s="4">
        <f>'Raw data'!E4093</f>
        <v>0</v>
      </c>
      <c r="D4517" s="29" t="e">
        <f>VLOOKUP(C4517,'점포코드 '!A:B,2,0)</f>
        <v>#N/A</v>
      </c>
      <c r="E4517" s="30">
        <f>'Raw data'!P4093</f>
        <v>0</v>
      </c>
      <c r="F4517" s="29" t="e">
        <f>VLOOKUP(E4517,'점포코드 '!A:B,2,0)</f>
        <v>#N/A</v>
      </c>
      <c r="G4517" s="46">
        <f>'Raw data'!F4426</f>
        <v>0</v>
      </c>
      <c r="H4517" s="4">
        <f>'Raw data'!G4426</f>
        <v>0</v>
      </c>
      <c r="I4517" s="29" t="e">
        <f>VLOOKUP(G4517,제품명!$C$1:$E$114,2,0)</f>
        <v>#N/A</v>
      </c>
      <c r="J4517" s="29">
        <f>'Raw data'!K4426</f>
        <v>0</v>
      </c>
      <c r="K4517" s="31">
        <f>'Raw data'!H4426</f>
        <v>0</v>
      </c>
      <c r="L4517" s="26">
        <f t="shared" si="144"/>
        <v>0</v>
      </c>
    </row>
    <row r="4518" spans="2:12">
      <c r="B4518" s="4" t="e">
        <f t="shared" si="143"/>
        <v>#N/A</v>
      </c>
      <c r="C4518" s="4">
        <f>'Raw data'!E4094</f>
        <v>0</v>
      </c>
      <c r="D4518" s="29" t="e">
        <f>VLOOKUP(C4518,'점포코드 '!A:B,2,0)</f>
        <v>#N/A</v>
      </c>
      <c r="E4518" s="30">
        <f>'Raw data'!P4094</f>
        <v>0</v>
      </c>
      <c r="F4518" s="29" t="e">
        <f>VLOOKUP(E4518,'점포코드 '!A:B,2,0)</f>
        <v>#N/A</v>
      </c>
      <c r="G4518" s="46">
        <f>'Raw data'!F4427</f>
        <v>0</v>
      </c>
      <c r="H4518" s="4">
        <f>'Raw data'!G4427</f>
        <v>0</v>
      </c>
      <c r="I4518" s="29" t="e">
        <f>VLOOKUP(G4518,제품명!$C$1:$E$114,2,0)</f>
        <v>#N/A</v>
      </c>
      <c r="J4518" s="29">
        <f>'Raw data'!K4427</f>
        <v>0</v>
      </c>
      <c r="K4518" s="31">
        <f>'Raw data'!H4427</f>
        <v>0</v>
      </c>
      <c r="L4518" s="26">
        <f t="shared" si="144"/>
        <v>0</v>
      </c>
    </row>
    <row r="4519" spans="2:12">
      <c r="B4519" s="4" t="e">
        <f t="shared" si="143"/>
        <v>#N/A</v>
      </c>
      <c r="C4519" s="4">
        <f>'Raw data'!E4095</f>
        <v>0</v>
      </c>
      <c r="D4519" s="29" t="e">
        <f>VLOOKUP(C4519,'점포코드 '!A:B,2,0)</f>
        <v>#N/A</v>
      </c>
      <c r="E4519" s="30">
        <f>'Raw data'!P4095</f>
        <v>0</v>
      </c>
      <c r="F4519" s="29" t="e">
        <f>VLOOKUP(E4519,'점포코드 '!A:B,2,0)</f>
        <v>#N/A</v>
      </c>
      <c r="G4519" s="46">
        <f>'Raw data'!F4428</f>
        <v>0</v>
      </c>
      <c r="H4519" s="4">
        <f>'Raw data'!G4428</f>
        <v>0</v>
      </c>
      <c r="I4519" s="29" t="e">
        <f>VLOOKUP(G4519,제품명!$C$1:$E$114,2,0)</f>
        <v>#N/A</v>
      </c>
      <c r="J4519" s="29">
        <f>'Raw data'!K4428</f>
        <v>0</v>
      </c>
      <c r="K4519" s="31">
        <f>'Raw data'!H4428</f>
        <v>0</v>
      </c>
      <c r="L4519" s="26">
        <f t="shared" si="144"/>
        <v>0</v>
      </c>
    </row>
    <row r="4520" spans="2:12">
      <c r="B4520" s="4" t="e">
        <f t="shared" si="143"/>
        <v>#N/A</v>
      </c>
      <c r="C4520" s="4">
        <f>'Raw data'!E4096</f>
        <v>0</v>
      </c>
      <c r="D4520" s="29" t="e">
        <f>VLOOKUP(C4520,'점포코드 '!A:B,2,0)</f>
        <v>#N/A</v>
      </c>
      <c r="E4520" s="30">
        <f>'Raw data'!P4096</f>
        <v>0</v>
      </c>
      <c r="F4520" s="29" t="e">
        <f>VLOOKUP(E4520,'점포코드 '!A:B,2,0)</f>
        <v>#N/A</v>
      </c>
      <c r="G4520" s="46">
        <f>'Raw data'!F4429</f>
        <v>0</v>
      </c>
      <c r="H4520" s="4">
        <f>'Raw data'!G4429</f>
        <v>0</v>
      </c>
      <c r="I4520" s="29" t="e">
        <f>VLOOKUP(G4520,제품명!$C$1:$E$114,2,0)</f>
        <v>#N/A</v>
      </c>
      <c r="J4520" s="29">
        <f>'Raw data'!K4429</f>
        <v>0</v>
      </c>
      <c r="K4520" s="31">
        <f>'Raw data'!H4429</f>
        <v>0</v>
      </c>
      <c r="L4520" s="26">
        <f t="shared" si="144"/>
        <v>0</v>
      </c>
    </row>
    <row r="4521" spans="2:12">
      <c r="B4521" s="4" t="e">
        <f t="shared" si="143"/>
        <v>#N/A</v>
      </c>
      <c r="C4521" s="4">
        <f>'Raw data'!E4097</f>
        <v>0</v>
      </c>
      <c r="D4521" s="29" t="e">
        <f>VLOOKUP(C4521,'점포코드 '!A:B,2,0)</f>
        <v>#N/A</v>
      </c>
      <c r="E4521" s="30">
        <f>'Raw data'!P4097</f>
        <v>0</v>
      </c>
      <c r="F4521" s="29" t="e">
        <f>VLOOKUP(E4521,'점포코드 '!A:B,2,0)</f>
        <v>#N/A</v>
      </c>
      <c r="G4521" s="46">
        <f>'Raw data'!F4430</f>
        <v>0</v>
      </c>
      <c r="H4521" s="4">
        <f>'Raw data'!G4430</f>
        <v>0</v>
      </c>
      <c r="I4521" s="29" t="e">
        <f>VLOOKUP(G4521,제품명!$C$1:$E$114,2,0)</f>
        <v>#N/A</v>
      </c>
      <c r="J4521" s="29">
        <f>'Raw data'!K4430</f>
        <v>0</v>
      </c>
      <c r="K4521" s="31">
        <f>'Raw data'!H4430</f>
        <v>0</v>
      </c>
      <c r="L4521" s="26">
        <f t="shared" si="144"/>
        <v>0</v>
      </c>
    </row>
    <row r="4522" spans="2:12">
      <c r="B4522" s="4" t="e">
        <f t="shared" si="143"/>
        <v>#N/A</v>
      </c>
      <c r="C4522" s="4">
        <f>'Raw data'!E4098</f>
        <v>0</v>
      </c>
      <c r="D4522" s="29" t="e">
        <f>VLOOKUP(C4522,'점포코드 '!A:B,2,0)</f>
        <v>#N/A</v>
      </c>
      <c r="E4522" s="30">
        <f>'Raw data'!P4098</f>
        <v>0</v>
      </c>
      <c r="F4522" s="29" t="e">
        <f>VLOOKUP(E4522,'점포코드 '!A:B,2,0)</f>
        <v>#N/A</v>
      </c>
      <c r="G4522" s="46">
        <f>'Raw data'!F4431</f>
        <v>0</v>
      </c>
      <c r="H4522" s="4">
        <f>'Raw data'!G4431</f>
        <v>0</v>
      </c>
      <c r="I4522" s="29" t="e">
        <f>VLOOKUP(G4522,제품명!$C$1:$E$114,2,0)</f>
        <v>#N/A</v>
      </c>
      <c r="J4522" s="29">
        <f>'Raw data'!K4431</f>
        <v>0</v>
      </c>
      <c r="K4522" s="31">
        <f>'Raw data'!H4431</f>
        <v>0</v>
      </c>
      <c r="L4522" s="26">
        <f t="shared" si="144"/>
        <v>0</v>
      </c>
    </row>
    <row r="4523" spans="2:12">
      <c r="B4523" s="4" t="e">
        <f t="shared" si="143"/>
        <v>#N/A</v>
      </c>
      <c r="C4523" s="4">
        <f>'Raw data'!E4099</f>
        <v>0</v>
      </c>
      <c r="D4523" s="29" t="e">
        <f>VLOOKUP(C4523,'점포코드 '!A:B,2,0)</f>
        <v>#N/A</v>
      </c>
      <c r="E4523" s="30">
        <f>'Raw data'!P4099</f>
        <v>0</v>
      </c>
      <c r="F4523" s="29" t="e">
        <f>VLOOKUP(E4523,'점포코드 '!A:B,2,0)</f>
        <v>#N/A</v>
      </c>
      <c r="G4523" s="46">
        <f>'Raw data'!F4432</f>
        <v>0</v>
      </c>
      <c r="H4523" s="4">
        <f>'Raw data'!G4432</f>
        <v>0</v>
      </c>
      <c r="I4523" s="29" t="e">
        <f>VLOOKUP(G4523,제품명!$C$1:$E$114,2,0)</f>
        <v>#N/A</v>
      </c>
      <c r="J4523" s="29">
        <f>'Raw data'!K4432</f>
        <v>0</v>
      </c>
      <c r="K4523" s="31">
        <f>'Raw data'!H4432</f>
        <v>0</v>
      </c>
      <c r="L4523" s="26">
        <f t="shared" si="144"/>
        <v>0</v>
      </c>
    </row>
    <row r="4524" spans="2:12">
      <c r="B4524" s="4" t="e">
        <f t="shared" si="143"/>
        <v>#N/A</v>
      </c>
      <c r="C4524" s="4">
        <f>'Raw data'!E4100</f>
        <v>0</v>
      </c>
      <c r="D4524" s="29" t="e">
        <f>VLOOKUP(C4524,'점포코드 '!A:B,2,0)</f>
        <v>#N/A</v>
      </c>
      <c r="E4524" s="30">
        <f>'Raw data'!P4100</f>
        <v>0</v>
      </c>
      <c r="F4524" s="29" t="e">
        <f>VLOOKUP(E4524,'점포코드 '!A:B,2,0)</f>
        <v>#N/A</v>
      </c>
      <c r="G4524" s="46">
        <f>'Raw data'!F4433</f>
        <v>0</v>
      </c>
      <c r="H4524" s="4">
        <f>'Raw data'!G4433</f>
        <v>0</v>
      </c>
      <c r="I4524" s="29" t="e">
        <f>VLOOKUP(G4524,제품명!$C$1:$E$114,2,0)</f>
        <v>#N/A</v>
      </c>
      <c r="J4524" s="29">
        <f>'Raw data'!K4433</f>
        <v>0</v>
      </c>
      <c r="K4524" s="31">
        <f>'Raw data'!H4433</f>
        <v>0</v>
      </c>
      <c r="L4524" s="26">
        <f t="shared" si="144"/>
        <v>0</v>
      </c>
    </row>
    <row r="4525" spans="2:12">
      <c r="B4525" s="4" t="e">
        <f t="shared" si="143"/>
        <v>#N/A</v>
      </c>
      <c r="C4525" s="4">
        <f>'Raw data'!E4101</f>
        <v>0</v>
      </c>
      <c r="D4525" s="29" t="e">
        <f>VLOOKUP(C4525,'점포코드 '!A:B,2,0)</f>
        <v>#N/A</v>
      </c>
      <c r="E4525" s="30">
        <f>'Raw data'!P4101</f>
        <v>0</v>
      </c>
      <c r="F4525" s="29" t="e">
        <f>VLOOKUP(E4525,'점포코드 '!A:B,2,0)</f>
        <v>#N/A</v>
      </c>
      <c r="G4525" s="46">
        <f>'Raw data'!F4434</f>
        <v>0</v>
      </c>
      <c r="H4525" s="4">
        <f>'Raw data'!G4434</f>
        <v>0</v>
      </c>
      <c r="I4525" s="29" t="e">
        <f>VLOOKUP(G4525,제품명!$C$1:$E$114,2,0)</f>
        <v>#N/A</v>
      </c>
      <c r="J4525" s="29">
        <f>'Raw data'!K4434</f>
        <v>0</v>
      </c>
      <c r="K4525" s="31">
        <f>'Raw data'!H4434</f>
        <v>0</v>
      </c>
      <c r="L4525" s="26">
        <f t="shared" si="144"/>
        <v>0</v>
      </c>
    </row>
    <row r="4526" spans="2:12">
      <c r="B4526" s="4" t="e">
        <f t="shared" si="143"/>
        <v>#N/A</v>
      </c>
      <c r="C4526" s="4">
        <f>'Raw data'!E4102</f>
        <v>0</v>
      </c>
      <c r="D4526" s="29" t="e">
        <f>VLOOKUP(C4526,'점포코드 '!A:B,2,0)</f>
        <v>#N/A</v>
      </c>
      <c r="E4526" s="30">
        <f>'Raw data'!P4102</f>
        <v>0</v>
      </c>
      <c r="F4526" s="29" t="e">
        <f>VLOOKUP(E4526,'점포코드 '!A:B,2,0)</f>
        <v>#N/A</v>
      </c>
      <c r="G4526" s="46">
        <f>'Raw data'!F4435</f>
        <v>0</v>
      </c>
      <c r="H4526" s="4">
        <f>'Raw data'!G4435</f>
        <v>0</v>
      </c>
      <c r="I4526" s="29" t="e">
        <f>VLOOKUP(G4526,제품명!$C$1:$E$114,2,0)</f>
        <v>#N/A</v>
      </c>
      <c r="J4526" s="29">
        <f>'Raw data'!K4435</f>
        <v>0</v>
      </c>
      <c r="K4526" s="31">
        <f>'Raw data'!H4435</f>
        <v>0</v>
      </c>
      <c r="L4526" s="26">
        <f t="shared" si="144"/>
        <v>0</v>
      </c>
    </row>
    <row r="4527" spans="2:12">
      <c r="B4527" s="4" t="e">
        <f t="shared" si="143"/>
        <v>#N/A</v>
      </c>
      <c r="C4527" s="4">
        <f>'Raw data'!E4103</f>
        <v>0</v>
      </c>
      <c r="D4527" s="29" t="e">
        <f>VLOOKUP(C4527,'점포코드 '!A:B,2,0)</f>
        <v>#N/A</v>
      </c>
      <c r="E4527" s="30">
        <f>'Raw data'!P4103</f>
        <v>0</v>
      </c>
      <c r="F4527" s="29" t="e">
        <f>VLOOKUP(E4527,'점포코드 '!A:B,2,0)</f>
        <v>#N/A</v>
      </c>
      <c r="G4527" s="46">
        <f>'Raw data'!F4436</f>
        <v>0</v>
      </c>
      <c r="H4527" s="4">
        <f>'Raw data'!G4436</f>
        <v>0</v>
      </c>
      <c r="I4527" s="29" t="e">
        <f>VLOOKUP(G4527,제품명!$C$1:$E$114,2,0)</f>
        <v>#N/A</v>
      </c>
      <c r="J4527" s="29">
        <f>'Raw data'!K4436</f>
        <v>0</v>
      </c>
      <c r="K4527" s="31">
        <f>'Raw data'!H4436</f>
        <v>0</v>
      </c>
      <c r="L4527" s="26">
        <f t="shared" si="144"/>
        <v>0</v>
      </c>
    </row>
    <row r="4528" spans="2:12">
      <c r="B4528" s="4" t="e">
        <f t="shared" si="143"/>
        <v>#N/A</v>
      </c>
      <c r="C4528" s="4">
        <f>'Raw data'!E4104</f>
        <v>0</v>
      </c>
      <c r="D4528" s="29" t="e">
        <f>VLOOKUP(C4528,'점포코드 '!A:B,2,0)</f>
        <v>#N/A</v>
      </c>
      <c r="E4528" s="30">
        <f>'Raw data'!P4104</f>
        <v>0</v>
      </c>
      <c r="F4528" s="29" t="e">
        <f>VLOOKUP(E4528,'점포코드 '!A:B,2,0)</f>
        <v>#N/A</v>
      </c>
      <c r="G4528" s="46">
        <f>'Raw data'!F4437</f>
        <v>0</v>
      </c>
      <c r="H4528" s="4">
        <f>'Raw data'!G4437</f>
        <v>0</v>
      </c>
      <c r="I4528" s="29" t="e">
        <f>VLOOKUP(G4528,제품명!$C$1:$E$114,2,0)</f>
        <v>#N/A</v>
      </c>
      <c r="J4528" s="29">
        <f>'Raw data'!K4437</f>
        <v>0</v>
      </c>
      <c r="K4528" s="31">
        <f>'Raw data'!H4437</f>
        <v>0</v>
      </c>
      <c r="L4528" s="26">
        <f t="shared" si="144"/>
        <v>0</v>
      </c>
    </row>
    <row r="4529" spans="2:12">
      <c r="B4529" s="4" t="e">
        <f t="shared" si="143"/>
        <v>#N/A</v>
      </c>
      <c r="C4529" s="4">
        <f>'Raw data'!E4105</f>
        <v>0</v>
      </c>
      <c r="D4529" s="29" t="e">
        <f>VLOOKUP(C4529,'점포코드 '!A:B,2,0)</f>
        <v>#N/A</v>
      </c>
      <c r="E4529" s="30">
        <f>'Raw data'!P4105</f>
        <v>0</v>
      </c>
      <c r="F4529" s="29" t="e">
        <f>VLOOKUP(E4529,'점포코드 '!A:B,2,0)</f>
        <v>#N/A</v>
      </c>
      <c r="G4529" s="46">
        <f>'Raw data'!F4438</f>
        <v>0</v>
      </c>
      <c r="H4529" s="4">
        <f>'Raw data'!G4438</f>
        <v>0</v>
      </c>
      <c r="I4529" s="29" t="e">
        <f>VLOOKUP(G4529,제품명!$C$1:$E$114,2,0)</f>
        <v>#N/A</v>
      </c>
      <c r="J4529" s="29">
        <f>'Raw data'!K4438</f>
        <v>0</v>
      </c>
      <c r="K4529" s="31">
        <f>'Raw data'!H4438</f>
        <v>0</v>
      </c>
      <c r="L4529" s="26">
        <f t="shared" si="144"/>
        <v>0</v>
      </c>
    </row>
    <row r="4530" spans="2:12">
      <c r="B4530" s="4" t="e">
        <f t="shared" si="143"/>
        <v>#N/A</v>
      </c>
      <c r="C4530" s="4">
        <f>'Raw data'!E4106</f>
        <v>0</v>
      </c>
      <c r="D4530" s="29" t="e">
        <f>VLOOKUP(C4530,'점포코드 '!A:B,2,0)</f>
        <v>#N/A</v>
      </c>
      <c r="E4530" s="30">
        <f>'Raw data'!P4106</f>
        <v>0</v>
      </c>
      <c r="F4530" s="29" t="e">
        <f>VLOOKUP(E4530,'점포코드 '!A:B,2,0)</f>
        <v>#N/A</v>
      </c>
      <c r="G4530" s="46">
        <f>'Raw data'!F4439</f>
        <v>0</v>
      </c>
      <c r="H4530" s="4">
        <f>'Raw data'!G4439</f>
        <v>0</v>
      </c>
      <c r="I4530" s="29" t="e">
        <f>VLOOKUP(G4530,제품명!$C$1:$E$114,2,0)</f>
        <v>#N/A</v>
      </c>
      <c r="J4530" s="29">
        <f>'Raw data'!K4439</f>
        <v>0</v>
      </c>
      <c r="K4530" s="31">
        <f>'Raw data'!H4439</f>
        <v>0</v>
      </c>
      <c r="L4530" s="26">
        <f t="shared" si="144"/>
        <v>0</v>
      </c>
    </row>
    <row r="4531" spans="2:12">
      <c r="B4531" s="4" t="e">
        <f t="shared" si="143"/>
        <v>#N/A</v>
      </c>
      <c r="C4531" s="4">
        <f>'Raw data'!E4107</f>
        <v>0</v>
      </c>
      <c r="D4531" s="29" t="e">
        <f>VLOOKUP(C4531,'점포코드 '!A:B,2,0)</f>
        <v>#N/A</v>
      </c>
      <c r="E4531" s="30">
        <f>'Raw data'!P4107</f>
        <v>0</v>
      </c>
      <c r="F4531" s="29" t="e">
        <f>VLOOKUP(E4531,'점포코드 '!A:B,2,0)</f>
        <v>#N/A</v>
      </c>
      <c r="G4531" s="46">
        <f>'Raw data'!F4440</f>
        <v>0</v>
      </c>
      <c r="H4531" s="4">
        <f>'Raw data'!G4440</f>
        <v>0</v>
      </c>
      <c r="I4531" s="29" t="e">
        <f>VLOOKUP(G4531,제품명!$C$1:$E$114,2,0)</f>
        <v>#N/A</v>
      </c>
      <c r="J4531" s="29">
        <f>'Raw data'!K4440</f>
        <v>0</v>
      </c>
      <c r="K4531" s="31">
        <f>'Raw data'!H4440</f>
        <v>0</v>
      </c>
      <c r="L4531" s="26">
        <f t="shared" si="144"/>
        <v>0</v>
      </c>
    </row>
    <row r="4532" spans="2:12">
      <c r="B4532" s="4" t="e">
        <f t="shared" si="143"/>
        <v>#N/A</v>
      </c>
      <c r="C4532" s="4">
        <f>'Raw data'!E4108</f>
        <v>0</v>
      </c>
      <c r="D4532" s="29" t="e">
        <f>VLOOKUP(C4532,'점포코드 '!A:B,2,0)</f>
        <v>#N/A</v>
      </c>
      <c r="E4532" s="30">
        <f>'Raw data'!P4108</f>
        <v>0</v>
      </c>
      <c r="F4532" s="29" t="e">
        <f>VLOOKUP(E4532,'점포코드 '!A:B,2,0)</f>
        <v>#N/A</v>
      </c>
      <c r="G4532" s="46">
        <f>'Raw data'!F4441</f>
        <v>0</v>
      </c>
      <c r="H4532" s="4">
        <f>'Raw data'!G4441</f>
        <v>0</v>
      </c>
      <c r="I4532" s="29" t="e">
        <f>VLOOKUP(G4532,제품명!$C$1:$E$114,2,0)</f>
        <v>#N/A</v>
      </c>
      <c r="J4532" s="29">
        <f>'Raw data'!K4441</f>
        <v>0</v>
      </c>
      <c r="K4532" s="31">
        <f>'Raw data'!H4441</f>
        <v>0</v>
      </c>
      <c r="L4532" s="26">
        <f t="shared" si="144"/>
        <v>0</v>
      </c>
    </row>
    <row r="4533" spans="2:12">
      <c r="B4533" s="4" t="e">
        <f t="shared" si="143"/>
        <v>#N/A</v>
      </c>
      <c r="C4533" s="4">
        <f>'Raw data'!E4109</f>
        <v>0</v>
      </c>
      <c r="D4533" s="29" t="e">
        <f>VLOOKUP(C4533,'점포코드 '!A:B,2,0)</f>
        <v>#N/A</v>
      </c>
      <c r="E4533" s="30">
        <f>'Raw data'!P4109</f>
        <v>0</v>
      </c>
      <c r="F4533" s="29" t="e">
        <f>VLOOKUP(E4533,'점포코드 '!A:B,2,0)</f>
        <v>#N/A</v>
      </c>
      <c r="G4533" s="46">
        <f>'Raw data'!F4442</f>
        <v>0</v>
      </c>
      <c r="H4533" s="4">
        <f>'Raw data'!G4442</f>
        <v>0</v>
      </c>
      <c r="I4533" s="29" t="e">
        <f>VLOOKUP(G4533,제품명!$C$1:$E$114,2,0)</f>
        <v>#N/A</v>
      </c>
      <c r="J4533" s="29">
        <f>'Raw data'!K4442</f>
        <v>0</v>
      </c>
      <c r="K4533" s="31">
        <f>'Raw data'!H4442</f>
        <v>0</v>
      </c>
      <c r="L4533" s="26">
        <f t="shared" si="144"/>
        <v>0</v>
      </c>
    </row>
    <row r="4534" spans="2:12">
      <c r="B4534" s="4" t="e">
        <f t="shared" si="143"/>
        <v>#N/A</v>
      </c>
      <c r="C4534" s="4">
        <f>'Raw data'!E4110</f>
        <v>0</v>
      </c>
      <c r="D4534" s="29" t="e">
        <f>VLOOKUP(C4534,'점포코드 '!A:B,2,0)</f>
        <v>#N/A</v>
      </c>
      <c r="E4534" s="30">
        <f>'Raw data'!P4110</f>
        <v>0</v>
      </c>
      <c r="F4534" s="29" t="e">
        <f>VLOOKUP(E4534,'점포코드 '!A:B,2,0)</f>
        <v>#N/A</v>
      </c>
      <c r="G4534" s="46">
        <f>'Raw data'!F4443</f>
        <v>0</v>
      </c>
      <c r="H4534" s="4">
        <f>'Raw data'!G4443</f>
        <v>0</v>
      </c>
      <c r="I4534" s="29" t="e">
        <f>VLOOKUP(G4534,제품명!$C$1:$E$114,2,0)</f>
        <v>#N/A</v>
      </c>
      <c r="J4534" s="29">
        <f>'Raw data'!K4443</f>
        <v>0</v>
      </c>
      <c r="K4534" s="31">
        <f>'Raw data'!H4443</f>
        <v>0</v>
      </c>
      <c r="L4534" s="26">
        <f t="shared" si="144"/>
        <v>0</v>
      </c>
    </row>
    <row r="4535" spans="2:12">
      <c r="B4535" s="4" t="e">
        <f t="shared" si="143"/>
        <v>#N/A</v>
      </c>
      <c r="C4535" s="4">
        <f>'Raw data'!E4111</f>
        <v>0</v>
      </c>
      <c r="D4535" s="29" t="e">
        <f>VLOOKUP(C4535,'점포코드 '!A:B,2,0)</f>
        <v>#N/A</v>
      </c>
      <c r="E4535" s="30">
        <f>'Raw data'!P4111</f>
        <v>0</v>
      </c>
      <c r="F4535" s="29" t="e">
        <f>VLOOKUP(E4535,'점포코드 '!A:B,2,0)</f>
        <v>#N/A</v>
      </c>
      <c r="G4535" s="46">
        <f>'Raw data'!F4444</f>
        <v>0</v>
      </c>
      <c r="H4535" s="4">
        <f>'Raw data'!G4444</f>
        <v>0</v>
      </c>
      <c r="I4535" s="29" t="e">
        <f>VLOOKUP(G4535,제품명!$C$1:$E$114,2,0)</f>
        <v>#N/A</v>
      </c>
      <c r="J4535" s="29">
        <f>'Raw data'!K4444</f>
        <v>0</v>
      </c>
      <c r="K4535" s="31">
        <f>'Raw data'!H4444</f>
        <v>0</v>
      </c>
      <c r="L4535" s="26">
        <f t="shared" si="144"/>
        <v>0</v>
      </c>
    </row>
    <row r="4536" spans="2:12">
      <c r="B4536" s="4" t="e">
        <f t="shared" si="143"/>
        <v>#N/A</v>
      </c>
      <c r="C4536" s="4">
        <f>'Raw data'!E4112</f>
        <v>0</v>
      </c>
      <c r="D4536" s="29" t="e">
        <f>VLOOKUP(C4536,'점포코드 '!A:B,2,0)</f>
        <v>#N/A</v>
      </c>
      <c r="E4536" s="30">
        <f>'Raw data'!P4112</f>
        <v>0</v>
      </c>
      <c r="F4536" s="29" t="e">
        <f>VLOOKUP(E4536,'점포코드 '!A:B,2,0)</f>
        <v>#N/A</v>
      </c>
      <c r="G4536" s="46">
        <f>'Raw data'!F4445</f>
        <v>0</v>
      </c>
      <c r="H4536" s="4">
        <f>'Raw data'!G4445</f>
        <v>0</v>
      </c>
      <c r="I4536" s="29" t="e">
        <f>VLOOKUP(G4536,제품명!$C$1:$E$114,2,0)</f>
        <v>#N/A</v>
      </c>
      <c r="J4536" s="29">
        <f>'Raw data'!K4445</f>
        <v>0</v>
      </c>
      <c r="K4536" s="31">
        <f>'Raw data'!H4445</f>
        <v>0</v>
      </c>
      <c r="L4536" s="26">
        <f t="shared" si="144"/>
        <v>0</v>
      </c>
    </row>
    <row r="4537" spans="2:12">
      <c r="B4537" s="4" t="e">
        <f t="shared" si="143"/>
        <v>#N/A</v>
      </c>
      <c r="C4537" s="4">
        <f>'Raw data'!E4113</f>
        <v>0</v>
      </c>
      <c r="D4537" s="29" t="e">
        <f>VLOOKUP(C4537,'점포코드 '!A:B,2,0)</f>
        <v>#N/A</v>
      </c>
      <c r="E4537" s="30">
        <f>'Raw data'!P4113</f>
        <v>0</v>
      </c>
      <c r="F4537" s="29" t="e">
        <f>VLOOKUP(E4537,'점포코드 '!A:B,2,0)</f>
        <v>#N/A</v>
      </c>
      <c r="G4537" s="46">
        <f>'Raw data'!F4446</f>
        <v>0</v>
      </c>
      <c r="H4537" s="4">
        <f>'Raw data'!G4446</f>
        <v>0</v>
      </c>
      <c r="I4537" s="29" t="e">
        <f>VLOOKUP(G4537,제품명!$C$1:$E$114,2,0)</f>
        <v>#N/A</v>
      </c>
      <c r="J4537" s="29">
        <f>'Raw data'!K4446</f>
        <v>0</v>
      </c>
      <c r="K4537" s="31">
        <f>'Raw data'!H4446</f>
        <v>0</v>
      </c>
      <c r="L4537" s="26">
        <f t="shared" si="144"/>
        <v>0</v>
      </c>
    </row>
    <row r="4538" spans="2:12">
      <c r="B4538" s="4" t="e">
        <f t="shared" si="143"/>
        <v>#N/A</v>
      </c>
      <c r="C4538" s="4">
        <f>'Raw data'!E4114</f>
        <v>0</v>
      </c>
      <c r="D4538" s="29" t="e">
        <f>VLOOKUP(C4538,'점포코드 '!A:B,2,0)</f>
        <v>#N/A</v>
      </c>
      <c r="E4538" s="30">
        <f>'Raw data'!P4114</f>
        <v>0</v>
      </c>
      <c r="F4538" s="29" t="e">
        <f>VLOOKUP(E4538,'점포코드 '!A:B,2,0)</f>
        <v>#N/A</v>
      </c>
      <c r="G4538" s="46">
        <f>'Raw data'!F4447</f>
        <v>0</v>
      </c>
      <c r="H4538" s="4">
        <f>'Raw data'!G4447</f>
        <v>0</v>
      </c>
      <c r="I4538" s="29" t="e">
        <f>VLOOKUP(G4538,제품명!$C$1:$E$114,2,0)</f>
        <v>#N/A</v>
      </c>
      <c r="J4538" s="29">
        <f>'Raw data'!K4447</f>
        <v>0</v>
      </c>
      <c r="K4538" s="31">
        <f>'Raw data'!H4447</f>
        <v>0</v>
      </c>
      <c r="L4538" s="26">
        <f t="shared" si="144"/>
        <v>0</v>
      </c>
    </row>
    <row r="4539" spans="2:12">
      <c r="B4539" s="4" t="e">
        <f t="shared" si="143"/>
        <v>#N/A</v>
      </c>
      <c r="C4539" s="4">
        <f>'Raw data'!E4115</f>
        <v>0</v>
      </c>
      <c r="D4539" s="29" t="e">
        <f>VLOOKUP(C4539,'점포코드 '!A:B,2,0)</f>
        <v>#N/A</v>
      </c>
      <c r="E4539" s="30">
        <f>'Raw data'!P4115</f>
        <v>0</v>
      </c>
      <c r="F4539" s="29" t="e">
        <f>VLOOKUP(E4539,'점포코드 '!A:B,2,0)</f>
        <v>#N/A</v>
      </c>
      <c r="G4539" s="46">
        <f>'Raw data'!F4448</f>
        <v>0</v>
      </c>
      <c r="H4539" s="4">
        <f>'Raw data'!G4448</f>
        <v>0</v>
      </c>
      <c r="I4539" s="29" t="e">
        <f>VLOOKUP(G4539,제품명!$C$1:$E$114,2,0)</f>
        <v>#N/A</v>
      </c>
      <c r="J4539" s="29">
        <f>'Raw data'!K4448</f>
        <v>0</v>
      </c>
      <c r="K4539" s="31">
        <f>'Raw data'!H4448</f>
        <v>0</v>
      </c>
      <c r="L4539" s="26">
        <f t="shared" si="144"/>
        <v>0</v>
      </c>
    </row>
    <row r="4540" spans="2:12">
      <c r="B4540" s="4" t="e">
        <f t="shared" si="143"/>
        <v>#N/A</v>
      </c>
      <c r="C4540" s="4">
        <f>'Raw data'!E4116</f>
        <v>0</v>
      </c>
      <c r="D4540" s="29" t="e">
        <f>VLOOKUP(C4540,'점포코드 '!A:B,2,0)</f>
        <v>#N/A</v>
      </c>
      <c r="E4540" s="30">
        <f>'Raw data'!P4116</f>
        <v>0</v>
      </c>
      <c r="F4540" s="29" t="e">
        <f>VLOOKUP(E4540,'점포코드 '!A:B,2,0)</f>
        <v>#N/A</v>
      </c>
      <c r="G4540" s="46">
        <f>'Raw data'!F4449</f>
        <v>0</v>
      </c>
      <c r="H4540" s="4">
        <f>'Raw data'!G4449</f>
        <v>0</v>
      </c>
      <c r="I4540" s="29" t="e">
        <f>VLOOKUP(G4540,제품명!$C$1:$E$114,2,0)</f>
        <v>#N/A</v>
      </c>
      <c r="J4540" s="29">
        <f>'Raw data'!K4449</f>
        <v>0</v>
      </c>
      <c r="K4540" s="31">
        <f>'Raw data'!H4449</f>
        <v>0</v>
      </c>
      <c r="L4540" s="26">
        <f t="shared" si="144"/>
        <v>0</v>
      </c>
    </row>
    <row r="4541" spans="2:12">
      <c r="B4541" s="4" t="e">
        <f t="shared" si="143"/>
        <v>#N/A</v>
      </c>
      <c r="C4541" s="4">
        <f>'Raw data'!E4117</f>
        <v>0</v>
      </c>
      <c r="D4541" s="29" t="e">
        <f>VLOOKUP(C4541,'점포코드 '!A:B,2,0)</f>
        <v>#N/A</v>
      </c>
      <c r="E4541" s="30">
        <f>'Raw data'!P4117</f>
        <v>0</v>
      </c>
      <c r="F4541" s="29" t="e">
        <f>VLOOKUP(E4541,'점포코드 '!A:B,2,0)</f>
        <v>#N/A</v>
      </c>
      <c r="G4541" s="46">
        <f>'Raw data'!F4450</f>
        <v>0</v>
      </c>
      <c r="H4541" s="4">
        <f>'Raw data'!G4450</f>
        <v>0</v>
      </c>
      <c r="I4541" s="29" t="e">
        <f>VLOOKUP(G4541,제품명!$C$1:$E$114,2,0)</f>
        <v>#N/A</v>
      </c>
      <c r="J4541" s="29">
        <f>'Raw data'!K4450</f>
        <v>0</v>
      </c>
      <c r="K4541" s="31">
        <f>'Raw data'!H4450</f>
        <v>0</v>
      </c>
      <c r="L4541" s="26">
        <f t="shared" si="144"/>
        <v>0</v>
      </c>
    </row>
    <row r="4542" spans="2:12">
      <c r="B4542" s="4" t="e">
        <f t="shared" si="143"/>
        <v>#N/A</v>
      </c>
      <c r="C4542" s="4">
        <f>'Raw data'!E4118</f>
        <v>0</v>
      </c>
      <c r="D4542" s="29" t="e">
        <f>VLOOKUP(C4542,'점포코드 '!A:B,2,0)</f>
        <v>#N/A</v>
      </c>
      <c r="E4542" s="30">
        <f>'Raw data'!P4118</f>
        <v>0</v>
      </c>
      <c r="F4542" s="29" t="e">
        <f>VLOOKUP(E4542,'점포코드 '!A:B,2,0)</f>
        <v>#N/A</v>
      </c>
      <c r="G4542" s="46">
        <f>'Raw data'!F4451</f>
        <v>0</v>
      </c>
      <c r="H4542" s="4">
        <f>'Raw data'!G4451</f>
        <v>0</v>
      </c>
      <c r="I4542" s="29" t="e">
        <f>VLOOKUP(G4542,제품명!$C$1:$E$114,2,0)</f>
        <v>#N/A</v>
      </c>
      <c r="J4542" s="29">
        <f>'Raw data'!K4451</f>
        <v>0</v>
      </c>
      <c r="K4542" s="31">
        <f>'Raw data'!H4451</f>
        <v>0</v>
      </c>
      <c r="L4542" s="26">
        <f t="shared" si="144"/>
        <v>0</v>
      </c>
    </row>
    <row r="4543" spans="2:12">
      <c r="B4543" s="4" t="e">
        <f t="shared" si="143"/>
        <v>#N/A</v>
      </c>
      <c r="C4543" s="4">
        <f>'Raw data'!E4119</f>
        <v>0</v>
      </c>
      <c r="D4543" s="29" t="e">
        <f>VLOOKUP(C4543,'점포코드 '!A:B,2,0)</f>
        <v>#N/A</v>
      </c>
      <c r="E4543" s="30">
        <f>'Raw data'!P4119</f>
        <v>0</v>
      </c>
      <c r="F4543" s="29" t="e">
        <f>VLOOKUP(E4543,'점포코드 '!A:B,2,0)</f>
        <v>#N/A</v>
      </c>
      <c r="G4543" s="46">
        <f>'Raw data'!F4452</f>
        <v>0</v>
      </c>
      <c r="H4543" s="4">
        <f>'Raw data'!G4452</f>
        <v>0</v>
      </c>
      <c r="I4543" s="29" t="e">
        <f>VLOOKUP(G4543,제품명!$C$1:$E$114,2,0)</f>
        <v>#N/A</v>
      </c>
      <c r="J4543" s="29">
        <f>'Raw data'!K4452</f>
        <v>0</v>
      </c>
      <c r="K4543" s="31">
        <f>'Raw data'!H4452</f>
        <v>0</v>
      </c>
      <c r="L4543" s="26">
        <f t="shared" si="144"/>
        <v>0</v>
      </c>
    </row>
    <row r="4544" spans="2:12">
      <c r="B4544" s="4" t="e">
        <f t="shared" si="143"/>
        <v>#N/A</v>
      </c>
      <c r="C4544" s="4">
        <f>'Raw data'!E4120</f>
        <v>0</v>
      </c>
      <c r="D4544" s="29" t="e">
        <f>VLOOKUP(C4544,'점포코드 '!A:B,2,0)</f>
        <v>#N/A</v>
      </c>
      <c r="E4544" s="30">
        <f>'Raw data'!P4120</f>
        <v>0</v>
      </c>
      <c r="F4544" s="29" t="e">
        <f>VLOOKUP(E4544,'점포코드 '!A:B,2,0)</f>
        <v>#N/A</v>
      </c>
      <c r="G4544" s="46">
        <f>'Raw data'!F4453</f>
        <v>0</v>
      </c>
      <c r="H4544" s="4">
        <f>'Raw data'!G4453</f>
        <v>0</v>
      </c>
      <c r="I4544" s="29" t="e">
        <f>VLOOKUP(G4544,제품명!$C$1:$E$114,2,0)</f>
        <v>#N/A</v>
      </c>
      <c r="J4544" s="29">
        <f>'Raw data'!K4453</f>
        <v>0</v>
      </c>
      <c r="K4544" s="31">
        <f>'Raw data'!H4453</f>
        <v>0</v>
      </c>
      <c r="L4544" s="26">
        <f t="shared" si="144"/>
        <v>0</v>
      </c>
    </row>
    <row r="4545" spans="2:12">
      <c r="B4545" s="4" t="e">
        <f t="shared" si="143"/>
        <v>#N/A</v>
      </c>
      <c r="C4545" s="4">
        <f>'Raw data'!E4121</f>
        <v>0</v>
      </c>
      <c r="D4545" s="29" t="e">
        <f>VLOOKUP(C4545,'점포코드 '!A:B,2,0)</f>
        <v>#N/A</v>
      </c>
      <c r="E4545" s="30">
        <f>'Raw data'!P4121</f>
        <v>0</v>
      </c>
      <c r="F4545" s="29" t="e">
        <f>VLOOKUP(E4545,'점포코드 '!A:B,2,0)</f>
        <v>#N/A</v>
      </c>
      <c r="G4545" s="46">
        <f>'Raw data'!F4454</f>
        <v>0</v>
      </c>
      <c r="H4545" s="4">
        <f>'Raw data'!G4454</f>
        <v>0</v>
      </c>
      <c r="I4545" s="29" t="e">
        <f>VLOOKUP(G4545,제품명!$C$1:$E$114,2,0)</f>
        <v>#N/A</v>
      </c>
      <c r="J4545" s="29">
        <f>'Raw data'!K4454</f>
        <v>0</v>
      </c>
      <c r="K4545" s="31">
        <f>'Raw data'!H4454</f>
        <v>0</v>
      </c>
      <c r="L4545" s="26">
        <f t="shared" si="144"/>
        <v>0</v>
      </c>
    </row>
    <row r="4546" spans="2:12">
      <c r="B4546" s="4" t="e">
        <f t="shared" ref="B4546:B4609" si="145">F4546&amp;I4546</f>
        <v>#N/A</v>
      </c>
      <c r="C4546" s="4">
        <f>'Raw data'!E4122</f>
        <v>0</v>
      </c>
      <c r="D4546" s="29" t="e">
        <f>VLOOKUP(C4546,'점포코드 '!A:B,2,0)</f>
        <v>#N/A</v>
      </c>
      <c r="E4546" s="30">
        <f>'Raw data'!P4122</f>
        <v>0</v>
      </c>
      <c r="F4546" s="29" t="e">
        <f>VLOOKUP(E4546,'점포코드 '!A:B,2,0)</f>
        <v>#N/A</v>
      </c>
      <c r="G4546" s="46">
        <f>'Raw data'!F4455</f>
        <v>0</v>
      </c>
      <c r="H4546" s="4">
        <f>'Raw data'!G4455</f>
        <v>0</v>
      </c>
      <c r="I4546" s="29" t="e">
        <f>VLOOKUP(G4546,제품명!$C$1:$E$114,2,0)</f>
        <v>#N/A</v>
      </c>
      <c r="J4546" s="29">
        <f>'Raw data'!K4455</f>
        <v>0</v>
      </c>
      <c r="K4546" s="31">
        <f>'Raw data'!H4455</f>
        <v>0</v>
      </c>
      <c r="L4546" s="26">
        <f t="shared" si="144"/>
        <v>0</v>
      </c>
    </row>
    <row r="4547" spans="2:12">
      <c r="B4547" s="4" t="e">
        <f t="shared" si="145"/>
        <v>#N/A</v>
      </c>
      <c r="C4547" s="4">
        <f>'Raw data'!E4123</f>
        <v>0</v>
      </c>
      <c r="D4547" s="29" t="e">
        <f>VLOOKUP(C4547,'점포코드 '!A:B,2,0)</f>
        <v>#N/A</v>
      </c>
      <c r="E4547" s="30">
        <f>'Raw data'!P4123</f>
        <v>0</v>
      </c>
      <c r="F4547" s="29" t="e">
        <f>VLOOKUP(E4547,'점포코드 '!A:B,2,0)</f>
        <v>#N/A</v>
      </c>
      <c r="G4547" s="46">
        <f>'Raw data'!F4456</f>
        <v>0</v>
      </c>
      <c r="H4547" s="4">
        <f>'Raw data'!G4456</f>
        <v>0</v>
      </c>
      <c r="I4547" s="29" t="e">
        <f>VLOOKUP(G4547,제품명!$C$1:$E$114,2,0)</f>
        <v>#N/A</v>
      </c>
      <c r="J4547" s="29">
        <f>'Raw data'!K4456</f>
        <v>0</v>
      </c>
      <c r="K4547" s="31">
        <f>'Raw data'!H4456</f>
        <v>0</v>
      </c>
      <c r="L4547" s="26">
        <f t="shared" ref="L4547:L4610" si="146">J4547*K4547</f>
        <v>0</v>
      </c>
    </row>
    <row r="4548" spans="2:12">
      <c r="B4548" s="4" t="e">
        <f t="shared" si="145"/>
        <v>#N/A</v>
      </c>
      <c r="C4548" s="4">
        <f>'Raw data'!E4124</f>
        <v>0</v>
      </c>
      <c r="D4548" s="29" t="e">
        <f>VLOOKUP(C4548,'점포코드 '!A:B,2,0)</f>
        <v>#N/A</v>
      </c>
      <c r="E4548" s="30">
        <f>'Raw data'!P4124</f>
        <v>0</v>
      </c>
      <c r="F4548" s="29" t="e">
        <f>VLOOKUP(E4548,'점포코드 '!A:B,2,0)</f>
        <v>#N/A</v>
      </c>
      <c r="G4548" s="46">
        <f>'Raw data'!F4457</f>
        <v>0</v>
      </c>
      <c r="H4548" s="4">
        <f>'Raw data'!G4457</f>
        <v>0</v>
      </c>
      <c r="I4548" s="29" t="e">
        <f>VLOOKUP(G4548,제품명!$C$1:$E$114,2,0)</f>
        <v>#N/A</v>
      </c>
      <c r="J4548" s="29">
        <f>'Raw data'!K4457</f>
        <v>0</v>
      </c>
      <c r="K4548" s="31">
        <f>'Raw data'!H4457</f>
        <v>0</v>
      </c>
      <c r="L4548" s="26">
        <f t="shared" si="146"/>
        <v>0</v>
      </c>
    </row>
    <row r="4549" spans="2:12">
      <c r="B4549" s="4" t="e">
        <f t="shared" si="145"/>
        <v>#N/A</v>
      </c>
      <c r="C4549" s="4">
        <f>'Raw data'!E4125</f>
        <v>0</v>
      </c>
      <c r="D4549" s="29" t="e">
        <f>VLOOKUP(C4549,'점포코드 '!A:B,2,0)</f>
        <v>#N/A</v>
      </c>
      <c r="E4549" s="30">
        <f>'Raw data'!P4125</f>
        <v>0</v>
      </c>
      <c r="F4549" s="29" t="e">
        <f>VLOOKUP(E4549,'점포코드 '!A:B,2,0)</f>
        <v>#N/A</v>
      </c>
      <c r="G4549" s="46">
        <f>'Raw data'!F4458</f>
        <v>0</v>
      </c>
      <c r="H4549" s="4">
        <f>'Raw data'!G4458</f>
        <v>0</v>
      </c>
      <c r="I4549" s="29" t="e">
        <f>VLOOKUP(G4549,제품명!$C$1:$E$114,2,0)</f>
        <v>#N/A</v>
      </c>
      <c r="J4549" s="29">
        <f>'Raw data'!K4458</f>
        <v>0</v>
      </c>
      <c r="K4549" s="31">
        <f>'Raw data'!H4458</f>
        <v>0</v>
      </c>
      <c r="L4549" s="26">
        <f t="shared" si="146"/>
        <v>0</v>
      </c>
    </row>
    <row r="4550" spans="2:12">
      <c r="B4550" s="4" t="e">
        <f t="shared" si="145"/>
        <v>#N/A</v>
      </c>
      <c r="C4550" s="4">
        <f>'Raw data'!E4126</f>
        <v>0</v>
      </c>
      <c r="D4550" s="29" t="e">
        <f>VLOOKUP(C4550,'점포코드 '!A:B,2,0)</f>
        <v>#N/A</v>
      </c>
      <c r="E4550" s="30">
        <f>'Raw data'!P4126</f>
        <v>0</v>
      </c>
      <c r="F4550" s="29" t="e">
        <f>VLOOKUP(E4550,'점포코드 '!A:B,2,0)</f>
        <v>#N/A</v>
      </c>
      <c r="G4550" s="46">
        <f>'Raw data'!F4459</f>
        <v>0</v>
      </c>
      <c r="H4550" s="4">
        <f>'Raw data'!G4459</f>
        <v>0</v>
      </c>
      <c r="I4550" s="29" t="e">
        <f>VLOOKUP(G4550,제품명!$C$1:$E$114,2,0)</f>
        <v>#N/A</v>
      </c>
      <c r="J4550" s="29">
        <f>'Raw data'!K4459</f>
        <v>0</v>
      </c>
      <c r="K4550" s="31">
        <f>'Raw data'!H4459</f>
        <v>0</v>
      </c>
      <c r="L4550" s="26">
        <f t="shared" si="146"/>
        <v>0</v>
      </c>
    </row>
    <row r="4551" spans="2:12">
      <c r="B4551" s="4" t="e">
        <f t="shared" si="145"/>
        <v>#N/A</v>
      </c>
      <c r="C4551" s="4">
        <f>'Raw data'!E4127</f>
        <v>0</v>
      </c>
      <c r="D4551" s="29" t="e">
        <f>VLOOKUP(C4551,'점포코드 '!A:B,2,0)</f>
        <v>#N/A</v>
      </c>
      <c r="E4551" s="30">
        <f>'Raw data'!P4127</f>
        <v>0</v>
      </c>
      <c r="F4551" s="29" t="e">
        <f>VLOOKUP(E4551,'점포코드 '!A:B,2,0)</f>
        <v>#N/A</v>
      </c>
      <c r="G4551" s="46">
        <f>'Raw data'!F4460</f>
        <v>0</v>
      </c>
      <c r="H4551" s="4">
        <f>'Raw data'!G4460</f>
        <v>0</v>
      </c>
      <c r="I4551" s="29" t="e">
        <f>VLOOKUP(G4551,제품명!$C$1:$E$114,2,0)</f>
        <v>#N/A</v>
      </c>
      <c r="J4551" s="29">
        <f>'Raw data'!K4460</f>
        <v>0</v>
      </c>
      <c r="K4551" s="31">
        <f>'Raw data'!H4460</f>
        <v>0</v>
      </c>
      <c r="L4551" s="26">
        <f t="shared" si="146"/>
        <v>0</v>
      </c>
    </row>
    <row r="4552" spans="2:12">
      <c r="B4552" s="4" t="e">
        <f t="shared" si="145"/>
        <v>#N/A</v>
      </c>
      <c r="C4552" s="4">
        <f>'Raw data'!E4128</f>
        <v>0</v>
      </c>
      <c r="D4552" s="29" t="e">
        <f>VLOOKUP(C4552,'점포코드 '!A:B,2,0)</f>
        <v>#N/A</v>
      </c>
      <c r="E4552" s="30">
        <f>'Raw data'!P4128</f>
        <v>0</v>
      </c>
      <c r="F4552" s="29" t="e">
        <f>VLOOKUP(E4552,'점포코드 '!A:B,2,0)</f>
        <v>#N/A</v>
      </c>
      <c r="G4552" s="46">
        <f>'Raw data'!F4461</f>
        <v>0</v>
      </c>
      <c r="H4552" s="4">
        <f>'Raw data'!G4461</f>
        <v>0</v>
      </c>
      <c r="I4552" s="29" t="e">
        <f>VLOOKUP(G4552,제품명!$C$1:$E$114,2,0)</f>
        <v>#N/A</v>
      </c>
      <c r="J4552" s="29">
        <f>'Raw data'!K4461</f>
        <v>0</v>
      </c>
      <c r="K4552" s="31">
        <f>'Raw data'!H4461</f>
        <v>0</v>
      </c>
      <c r="L4552" s="26">
        <f t="shared" si="146"/>
        <v>0</v>
      </c>
    </row>
    <row r="4553" spans="2:12">
      <c r="B4553" s="4" t="e">
        <f t="shared" si="145"/>
        <v>#N/A</v>
      </c>
      <c r="C4553" s="4">
        <f>'Raw data'!E4129</f>
        <v>0</v>
      </c>
      <c r="D4553" s="29" t="e">
        <f>VLOOKUP(C4553,'점포코드 '!A:B,2,0)</f>
        <v>#N/A</v>
      </c>
      <c r="E4553" s="30">
        <f>'Raw data'!P4129</f>
        <v>0</v>
      </c>
      <c r="F4553" s="29" t="e">
        <f>VLOOKUP(E4553,'점포코드 '!A:B,2,0)</f>
        <v>#N/A</v>
      </c>
      <c r="G4553" s="46">
        <f>'Raw data'!F4462</f>
        <v>0</v>
      </c>
      <c r="H4553" s="4">
        <f>'Raw data'!G4462</f>
        <v>0</v>
      </c>
      <c r="I4553" s="29" t="e">
        <f>VLOOKUP(G4553,제품명!$C$1:$E$114,2,0)</f>
        <v>#N/A</v>
      </c>
      <c r="J4553" s="29">
        <f>'Raw data'!K4462</f>
        <v>0</v>
      </c>
      <c r="K4553" s="31">
        <f>'Raw data'!H4462</f>
        <v>0</v>
      </c>
      <c r="L4553" s="26">
        <f t="shared" si="146"/>
        <v>0</v>
      </c>
    </row>
    <row r="4554" spans="2:12">
      <c r="B4554" s="4" t="e">
        <f t="shared" si="145"/>
        <v>#N/A</v>
      </c>
      <c r="C4554" s="4">
        <f>'Raw data'!E4130</f>
        <v>0</v>
      </c>
      <c r="D4554" s="29" t="e">
        <f>VLOOKUP(C4554,'점포코드 '!A:B,2,0)</f>
        <v>#N/A</v>
      </c>
      <c r="E4554" s="30">
        <f>'Raw data'!P4130</f>
        <v>0</v>
      </c>
      <c r="F4554" s="29" t="e">
        <f>VLOOKUP(E4554,'점포코드 '!A:B,2,0)</f>
        <v>#N/A</v>
      </c>
      <c r="G4554" s="46">
        <f>'Raw data'!F4463</f>
        <v>0</v>
      </c>
      <c r="H4554" s="4">
        <f>'Raw data'!G4463</f>
        <v>0</v>
      </c>
      <c r="I4554" s="29" t="e">
        <f>VLOOKUP(G4554,제품명!$C$1:$E$114,2,0)</f>
        <v>#N/A</v>
      </c>
      <c r="J4554" s="29">
        <f>'Raw data'!K4463</f>
        <v>0</v>
      </c>
      <c r="K4554" s="31">
        <f>'Raw data'!H4463</f>
        <v>0</v>
      </c>
      <c r="L4554" s="26">
        <f t="shared" si="146"/>
        <v>0</v>
      </c>
    </row>
    <row r="4555" spans="2:12">
      <c r="B4555" s="4" t="e">
        <f t="shared" si="145"/>
        <v>#N/A</v>
      </c>
      <c r="C4555" s="4">
        <f>'Raw data'!E4131</f>
        <v>0</v>
      </c>
      <c r="D4555" s="29" t="e">
        <f>VLOOKUP(C4555,'점포코드 '!A:B,2,0)</f>
        <v>#N/A</v>
      </c>
      <c r="E4555" s="30">
        <f>'Raw data'!P4131</f>
        <v>0</v>
      </c>
      <c r="F4555" s="29" t="e">
        <f>VLOOKUP(E4555,'점포코드 '!A:B,2,0)</f>
        <v>#N/A</v>
      </c>
      <c r="G4555" s="46">
        <f>'Raw data'!F4464</f>
        <v>0</v>
      </c>
      <c r="H4555" s="4">
        <f>'Raw data'!G4464</f>
        <v>0</v>
      </c>
      <c r="I4555" s="29" t="e">
        <f>VLOOKUP(G4555,제품명!$C$1:$E$114,2,0)</f>
        <v>#N/A</v>
      </c>
      <c r="J4555" s="29">
        <f>'Raw data'!K4464</f>
        <v>0</v>
      </c>
      <c r="K4555" s="31">
        <f>'Raw data'!H4464</f>
        <v>0</v>
      </c>
      <c r="L4555" s="26">
        <f t="shared" si="146"/>
        <v>0</v>
      </c>
    </row>
    <row r="4556" spans="2:12">
      <c r="B4556" s="4" t="e">
        <f t="shared" si="145"/>
        <v>#N/A</v>
      </c>
      <c r="C4556" s="4">
        <f>'Raw data'!E4132</f>
        <v>0</v>
      </c>
      <c r="D4556" s="29" t="e">
        <f>VLOOKUP(C4556,'점포코드 '!A:B,2,0)</f>
        <v>#N/A</v>
      </c>
      <c r="E4556" s="30">
        <f>'Raw data'!P4132</f>
        <v>0</v>
      </c>
      <c r="F4556" s="29" t="e">
        <f>VLOOKUP(E4556,'점포코드 '!A:B,2,0)</f>
        <v>#N/A</v>
      </c>
      <c r="G4556" s="46">
        <f>'Raw data'!F4465</f>
        <v>0</v>
      </c>
      <c r="H4556" s="4">
        <f>'Raw data'!G4465</f>
        <v>0</v>
      </c>
      <c r="I4556" s="29" t="e">
        <f>VLOOKUP(G4556,제품명!$C$1:$E$114,2,0)</f>
        <v>#N/A</v>
      </c>
      <c r="J4556" s="29">
        <f>'Raw data'!K4465</f>
        <v>0</v>
      </c>
      <c r="K4556" s="31">
        <f>'Raw data'!H4465</f>
        <v>0</v>
      </c>
      <c r="L4556" s="26">
        <f t="shared" si="146"/>
        <v>0</v>
      </c>
    </row>
    <row r="4557" spans="2:12">
      <c r="B4557" s="4" t="e">
        <f t="shared" si="145"/>
        <v>#N/A</v>
      </c>
      <c r="C4557" s="4">
        <f>'Raw data'!E4133</f>
        <v>0</v>
      </c>
      <c r="D4557" s="29" t="e">
        <f>VLOOKUP(C4557,'점포코드 '!A:B,2,0)</f>
        <v>#N/A</v>
      </c>
      <c r="E4557" s="30">
        <f>'Raw data'!P4133</f>
        <v>0</v>
      </c>
      <c r="F4557" s="29" t="e">
        <f>VLOOKUP(E4557,'점포코드 '!A:B,2,0)</f>
        <v>#N/A</v>
      </c>
      <c r="G4557" s="46">
        <f>'Raw data'!F4466</f>
        <v>0</v>
      </c>
      <c r="H4557" s="4">
        <f>'Raw data'!G4466</f>
        <v>0</v>
      </c>
      <c r="I4557" s="29" t="e">
        <f>VLOOKUP(G4557,제품명!$C$1:$E$114,2,0)</f>
        <v>#N/A</v>
      </c>
      <c r="J4557" s="29">
        <f>'Raw data'!K4466</f>
        <v>0</v>
      </c>
      <c r="K4557" s="31">
        <f>'Raw data'!H4466</f>
        <v>0</v>
      </c>
      <c r="L4557" s="26">
        <f t="shared" si="146"/>
        <v>0</v>
      </c>
    </row>
    <row r="4558" spans="2:12">
      <c r="B4558" s="4" t="e">
        <f t="shared" si="145"/>
        <v>#N/A</v>
      </c>
      <c r="C4558" s="4">
        <f>'Raw data'!E4134</f>
        <v>0</v>
      </c>
      <c r="D4558" s="29" t="e">
        <f>VLOOKUP(C4558,'점포코드 '!A:B,2,0)</f>
        <v>#N/A</v>
      </c>
      <c r="E4558" s="30">
        <f>'Raw data'!P4134</f>
        <v>0</v>
      </c>
      <c r="F4558" s="29" t="e">
        <f>VLOOKUP(E4558,'점포코드 '!A:B,2,0)</f>
        <v>#N/A</v>
      </c>
      <c r="G4558" s="46">
        <f>'Raw data'!F4467</f>
        <v>0</v>
      </c>
      <c r="H4558" s="4">
        <f>'Raw data'!G4467</f>
        <v>0</v>
      </c>
      <c r="I4558" s="29" t="e">
        <f>VLOOKUP(G4558,제품명!$C$1:$E$114,2,0)</f>
        <v>#N/A</v>
      </c>
      <c r="J4558" s="29">
        <f>'Raw data'!K4467</f>
        <v>0</v>
      </c>
      <c r="K4558" s="31">
        <f>'Raw data'!H4467</f>
        <v>0</v>
      </c>
      <c r="L4558" s="26">
        <f t="shared" si="146"/>
        <v>0</v>
      </c>
    </row>
    <row r="4559" spans="2:12">
      <c r="B4559" s="4" t="e">
        <f t="shared" si="145"/>
        <v>#N/A</v>
      </c>
      <c r="C4559" s="4">
        <f>'Raw data'!E4135</f>
        <v>0</v>
      </c>
      <c r="D4559" s="29" t="e">
        <f>VLOOKUP(C4559,'점포코드 '!A:B,2,0)</f>
        <v>#N/A</v>
      </c>
      <c r="E4559" s="30">
        <f>'Raw data'!P4135</f>
        <v>0</v>
      </c>
      <c r="F4559" s="29" t="e">
        <f>VLOOKUP(E4559,'점포코드 '!A:B,2,0)</f>
        <v>#N/A</v>
      </c>
      <c r="G4559" s="46">
        <f>'Raw data'!F4468</f>
        <v>0</v>
      </c>
      <c r="H4559" s="4">
        <f>'Raw data'!G4468</f>
        <v>0</v>
      </c>
      <c r="I4559" s="29" t="e">
        <f>VLOOKUP(G4559,제품명!$C$1:$E$114,2,0)</f>
        <v>#N/A</v>
      </c>
      <c r="J4559" s="29">
        <f>'Raw data'!K4468</f>
        <v>0</v>
      </c>
      <c r="K4559" s="31">
        <f>'Raw data'!H4468</f>
        <v>0</v>
      </c>
      <c r="L4559" s="26">
        <f t="shared" si="146"/>
        <v>0</v>
      </c>
    </row>
    <row r="4560" spans="2:12">
      <c r="B4560" s="4" t="e">
        <f t="shared" si="145"/>
        <v>#N/A</v>
      </c>
      <c r="C4560" s="4">
        <f>'Raw data'!E4136</f>
        <v>0</v>
      </c>
      <c r="D4560" s="29" t="e">
        <f>VLOOKUP(C4560,'점포코드 '!A:B,2,0)</f>
        <v>#N/A</v>
      </c>
      <c r="E4560" s="30">
        <f>'Raw data'!P4136</f>
        <v>0</v>
      </c>
      <c r="F4560" s="29" t="e">
        <f>VLOOKUP(E4560,'점포코드 '!A:B,2,0)</f>
        <v>#N/A</v>
      </c>
      <c r="G4560" s="46">
        <f>'Raw data'!F4469</f>
        <v>0</v>
      </c>
      <c r="H4560" s="4">
        <f>'Raw data'!G4469</f>
        <v>0</v>
      </c>
      <c r="I4560" s="29" t="e">
        <f>VLOOKUP(G4560,제품명!$C$1:$E$114,2,0)</f>
        <v>#N/A</v>
      </c>
      <c r="J4560" s="29">
        <f>'Raw data'!K4469</f>
        <v>0</v>
      </c>
      <c r="K4560" s="31">
        <f>'Raw data'!H4469</f>
        <v>0</v>
      </c>
      <c r="L4560" s="26">
        <f t="shared" si="146"/>
        <v>0</v>
      </c>
    </row>
    <row r="4561" spans="2:12">
      <c r="B4561" s="4" t="e">
        <f t="shared" si="145"/>
        <v>#N/A</v>
      </c>
      <c r="C4561" s="4">
        <f>'Raw data'!E4137</f>
        <v>0</v>
      </c>
      <c r="D4561" s="29" t="e">
        <f>VLOOKUP(C4561,'점포코드 '!A:B,2,0)</f>
        <v>#N/A</v>
      </c>
      <c r="E4561" s="30">
        <f>'Raw data'!P4137</f>
        <v>0</v>
      </c>
      <c r="F4561" s="29" t="e">
        <f>VLOOKUP(E4561,'점포코드 '!A:B,2,0)</f>
        <v>#N/A</v>
      </c>
      <c r="G4561" s="46">
        <f>'Raw data'!F4470</f>
        <v>0</v>
      </c>
      <c r="H4561" s="4">
        <f>'Raw data'!G4470</f>
        <v>0</v>
      </c>
      <c r="I4561" s="29" t="e">
        <f>VLOOKUP(G4561,제품명!$C$1:$E$114,2,0)</f>
        <v>#N/A</v>
      </c>
      <c r="J4561" s="29">
        <f>'Raw data'!K4470</f>
        <v>0</v>
      </c>
      <c r="K4561" s="31">
        <f>'Raw data'!H4470</f>
        <v>0</v>
      </c>
      <c r="L4561" s="26">
        <f t="shared" si="146"/>
        <v>0</v>
      </c>
    </row>
    <row r="4562" spans="2:12">
      <c r="B4562" s="4" t="e">
        <f t="shared" si="145"/>
        <v>#N/A</v>
      </c>
      <c r="C4562" s="4">
        <f>'Raw data'!E4138</f>
        <v>0</v>
      </c>
      <c r="D4562" s="29" t="e">
        <f>VLOOKUP(C4562,'점포코드 '!A:B,2,0)</f>
        <v>#N/A</v>
      </c>
      <c r="E4562" s="30">
        <f>'Raw data'!P4138</f>
        <v>0</v>
      </c>
      <c r="F4562" s="29" t="e">
        <f>VLOOKUP(E4562,'점포코드 '!A:B,2,0)</f>
        <v>#N/A</v>
      </c>
      <c r="G4562" s="46">
        <f>'Raw data'!F4471</f>
        <v>0</v>
      </c>
      <c r="H4562" s="4">
        <f>'Raw data'!G4471</f>
        <v>0</v>
      </c>
      <c r="I4562" s="29" t="e">
        <f>VLOOKUP(G4562,제품명!$C$1:$E$114,2,0)</f>
        <v>#N/A</v>
      </c>
      <c r="J4562" s="29">
        <f>'Raw data'!K4471</f>
        <v>0</v>
      </c>
      <c r="K4562" s="31">
        <f>'Raw data'!H4471</f>
        <v>0</v>
      </c>
      <c r="L4562" s="26">
        <f t="shared" si="146"/>
        <v>0</v>
      </c>
    </row>
    <row r="4563" spans="2:12">
      <c r="B4563" s="4" t="e">
        <f t="shared" si="145"/>
        <v>#N/A</v>
      </c>
      <c r="C4563" s="4">
        <f>'Raw data'!E4139</f>
        <v>0</v>
      </c>
      <c r="D4563" s="29" t="e">
        <f>VLOOKUP(C4563,'점포코드 '!A:B,2,0)</f>
        <v>#N/A</v>
      </c>
      <c r="E4563" s="30">
        <f>'Raw data'!P4139</f>
        <v>0</v>
      </c>
      <c r="F4563" s="29" t="e">
        <f>VLOOKUP(E4563,'점포코드 '!A:B,2,0)</f>
        <v>#N/A</v>
      </c>
      <c r="G4563" s="46">
        <f>'Raw data'!F4472</f>
        <v>0</v>
      </c>
      <c r="H4563" s="4">
        <f>'Raw data'!G4472</f>
        <v>0</v>
      </c>
      <c r="I4563" s="29" t="e">
        <f>VLOOKUP(G4563,제품명!$C$1:$E$114,2,0)</f>
        <v>#N/A</v>
      </c>
      <c r="J4563" s="29">
        <f>'Raw data'!K4472</f>
        <v>0</v>
      </c>
      <c r="K4563" s="31">
        <f>'Raw data'!H4472</f>
        <v>0</v>
      </c>
      <c r="L4563" s="26">
        <f t="shared" si="146"/>
        <v>0</v>
      </c>
    </row>
    <row r="4564" spans="2:12">
      <c r="B4564" s="4" t="e">
        <f t="shared" si="145"/>
        <v>#N/A</v>
      </c>
      <c r="C4564" s="4">
        <f>'Raw data'!E4140</f>
        <v>0</v>
      </c>
      <c r="D4564" s="29" t="e">
        <f>VLOOKUP(C4564,'점포코드 '!A:B,2,0)</f>
        <v>#N/A</v>
      </c>
      <c r="E4564" s="30">
        <f>'Raw data'!P4140</f>
        <v>0</v>
      </c>
      <c r="F4564" s="29" t="e">
        <f>VLOOKUP(E4564,'점포코드 '!A:B,2,0)</f>
        <v>#N/A</v>
      </c>
      <c r="G4564" s="46">
        <f>'Raw data'!F4473</f>
        <v>0</v>
      </c>
      <c r="H4564" s="4">
        <f>'Raw data'!G4473</f>
        <v>0</v>
      </c>
      <c r="I4564" s="29" t="e">
        <f>VLOOKUP(G4564,제품명!$C$1:$E$114,2,0)</f>
        <v>#N/A</v>
      </c>
      <c r="J4564" s="29">
        <f>'Raw data'!K4473</f>
        <v>0</v>
      </c>
      <c r="K4564" s="31">
        <f>'Raw data'!H4473</f>
        <v>0</v>
      </c>
      <c r="L4564" s="26">
        <f t="shared" si="146"/>
        <v>0</v>
      </c>
    </row>
    <row r="4565" spans="2:12">
      <c r="B4565" s="4" t="e">
        <f t="shared" si="145"/>
        <v>#N/A</v>
      </c>
      <c r="C4565" s="4">
        <f>'Raw data'!E4141</f>
        <v>0</v>
      </c>
      <c r="D4565" s="29" t="e">
        <f>VLOOKUP(C4565,'점포코드 '!A:B,2,0)</f>
        <v>#N/A</v>
      </c>
      <c r="E4565" s="30">
        <f>'Raw data'!P4141</f>
        <v>0</v>
      </c>
      <c r="F4565" s="29" t="e">
        <f>VLOOKUP(E4565,'점포코드 '!A:B,2,0)</f>
        <v>#N/A</v>
      </c>
      <c r="G4565" s="46">
        <f>'Raw data'!F4474</f>
        <v>0</v>
      </c>
      <c r="H4565" s="4">
        <f>'Raw data'!G4474</f>
        <v>0</v>
      </c>
      <c r="I4565" s="29" t="e">
        <f>VLOOKUP(G4565,제품명!$C$1:$E$114,2,0)</f>
        <v>#N/A</v>
      </c>
      <c r="J4565" s="29">
        <f>'Raw data'!K4474</f>
        <v>0</v>
      </c>
      <c r="K4565" s="31">
        <f>'Raw data'!H4474</f>
        <v>0</v>
      </c>
      <c r="L4565" s="26">
        <f t="shared" si="146"/>
        <v>0</v>
      </c>
    </row>
    <row r="4566" spans="2:12">
      <c r="B4566" s="4" t="e">
        <f t="shared" si="145"/>
        <v>#N/A</v>
      </c>
      <c r="C4566" s="4">
        <f>'Raw data'!E4142</f>
        <v>0</v>
      </c>
      <c r="D4566" s="29" t="e">
        <f>VLOOKUP(C4566,'점포코드 '!A:B,2,0)</f>
        <v>#N/A</v>
      </c>
      <c r="E4566" s="30">
        <f>'Raw data'!P4142</f>
        <v>0</v>
      </c>
      <c r="F4566" s="29" t="e">
        <f>VLOOKUP(E4566,'점포코드 '!A:B,2,0)</f>
        <v>#N/A</v>
      </c>
      <c r="G4566" s="46">
        <f>'Raw data'!F4475</f>
        <v>0</v>
      </c>
      <c r="H4566" s="4">
        <f>'Raw data'!G4475</f>
        <v>0</v>
      </c>
      <c r="I4566" s="29" t="e">
        <f>VLOOKUP(G4566,제품명!$C$1:$E$114,2,0)</f>
        <v>#N/A</v>
      </c>
      <c r="J4566" s="29">
        <f>'Raw data'!K4475</f>
        <v>0</v>
      </c>
      <c r="K4566" s="31">
        <f>'Raw data'!H4475</f>
        <v>0</v>
      </c>
      <c r="L4566" s="26">
        <f t="shared" si="146"/>
        <v>0</v>
      </c>
    </row>
    <row r="4567" spans="2:12">
      <c r="B4567" s="4" t="e">
        <f t="shared" si="145"/>
        <v>#N/A</v>
      </c>
      <c r="C4567" s="4">
        <f>'Raw data'!E4143</f>
        <v>0</v>
      </c>
      <c r="D4567" s="29" t="e">
        <f>VLOOKUP(C4567,'점포코드 '!A:B,2,0)</f>
        <v>#N/A</v>
      </c>
      <c r="E4567" s="30">
        <f>'Raw data'!P4143</f>
        <v>0</v>
      </c>
      <c r="F4567" s="29" t="e">
        <f>VLOOKUP(E4567,'점포코드 '!A:B,2,0)</f>
        <v>#N/A</v>
      </c>
      <c r="G4567" s="46">
        <f>'Raw data'!F4476</f>
        <v>0</v>
      </c>
      <c r="H4567" s="4">
        <f>'Raw data'!G4476</f>
        <v>0</v>
      </c>
      <c r="I4567" s="29" t="e">
        <f>VLOOKUP(G4567,제품명!$C$1:$E$114,2,0)</f>
        <v>#N/A</v>
      </c>
      <c r="J4567" s="29">
        <f>'Raw data'!K4476</f>
        <v>0</v>
      </c>
      <c r="K4567" s="31">
        <f>'Raw data'!H4476</f>
        <v>0</v>
      </c>
      <c r="L4567" s="26">
        <f t="shared" si="146"/>
        <v>0</v>
      </c>
    </row>
    <row r="4568" spans="2:12">
      <c r="B4568" s="4" t="e">
        <f t="shared" si="145"/>
        <v>#N/A</v>
      </c>
      <c r="C4568" s="4">
        <f>'Raw data'!E4144</f>
        <v>0</v>
      </c>
      <c r="D4568" s="29" t="e">
        <f>VLOOKUP(C4568,'점포코드 '!A:B,2,0)</f>
        <v>#N/A</v>
      </c>
      <c r="E4568" s="30">
        <f>'Raw data'!P4144</f>
        <v>0</v>
      </c>
      <c r="F4568" s="29" t="e">
        <f>VLOOKUP(E4568,'점포코드 '!A:B,2,0)</f>
        <v>#N/A</v>
      </c>
      <c r="G4568" s="46">
        <f>'Raw data'!F4477</f>
        <v>0</v>
      </c>
      <c r="H4568" s="4">
        <f>'Raw data'!G4477</f>
        <v>0</v>
      </c>
      <c r="I4568" s="29" t="e">
        <f>VLOOKUP(G4568,제품명!$C$1:$E$114,2,0)</f>
        <v>#N/A</v>
      </c>
      <c r="J4568" s="29">
        <f>'Raw data'!K4477</f>
        <v>0</v>
      </c>
      <c r="K4568" s="31">
        <f>'Raw data'!H4477</f>
        <v>0</v>
      </c>
      <c r="L4568" s="26">
        <f t="shared" si="146"/>
        <v>0</v>
      </c>
    </row>
    <row r="4569" spans="2:12">
      <c r="B4569" s="4" t="e">
        <f t="shared" si="145"/>
        <v>#N/A</v>
      </c>
      <c r="C4569" s="4">
        <f>'Raw data'!E4145</f>
        <v>0</v>
      </c>
      <c r="D4569" s="29" t="e">
        <f>VLOOKUP(C4569,'점포코드 '!A:B,2,0)</f>
        <v>#N/A</v>
      </c>
      <c r="E4569" s="30">
        <f>'Raw data'!P4145</f>
        <v>0</v>
      </c>
      <c r="F4569" s="29" t="e">
        <f>VLOOKUP(E4569,'점포코드 '!A:B,2,0)</f>
        <v>#N/A</v>
      </c>
      <c r="G4569" s="46">
        <f>'Raw data'!F4478</f>
        <v>0</v>
      </c>
      <c r="H4569" s="4">
        <f>'Raw data'!G4478</f>
        <v>0</v>
      </c>
      <c r="I4569" s="29" t="e">
        <f>VLOOKUP(G4569,제품명!$C$1:$E$114,2,0)</f>
        <v>#N/A</v>
      </c>
      <c r="J4569" s="29">
        <f>'Raw data'!K4478</f>
        <v>0</v>
      </c>
      <c r="K4569" s="31">
        <f>'Raw data'!H4478</f>
        <v>0</v>
      </c>
      <c r="L4569" s="26">
        <f t="shared" si="146"/>
        <v>0</v>
      </c>
    </row>
    <row r="4570" spans="2:12">
      <c r="B4570" s="4" t="e">
        <f t="shared" si="145"/>
        <v>#N/A</v>
      </c>
      <c r="C4570" s="4">
        <f>'Raw data'!E4146</f>
        <v>0</v>
      </c>
      <c r="D4570" s="29" t="e">
        <f>VLOOKUP(C4570,'점포코드 '!A:B,2,0)</f>
        <v>#N/A</v>
      </c>
      <c r="E4570" s="30">
        <f>'Raw data'!P4146</f>
        <v>0</v>
      </c>
      <c r="F4570" s="29" t="e">
        <f>VLOOKUP(E4570,'점포코드 '!A:B,2,0)</f>
        <v>#N/A</v>
      </c>
      <c r="G4570" s="46">
        <f>'Raw data'!F4479</f>
        <v>0</v>
      </c>
      <c r="H4570" s="4">
        <f>'Raw data'!G4479</f>
        <v>0</v>
      </c>
      <c r="I4570" s="29" t="e">
        <f>VLOOKUP(G4570,제품명!$C$1:$E$114,2,0)</f>
        <v>#N/A</v>
      </c>
      <c r="J4570" s="29">
        <f>'Raw data'!K4479</f>
        <v>0</v>
      </c>
      <c r="K4570" s="31">
        <f>'Raw data'!H4479</f>
        <v>0</v>
      </c>
      <c r="L4570" s="26">
        <f t="shared" si="146"/>
        <v>0</v>
      </c>
    </row>
    <row r="4571" spans="2:12">
      <c r="B4571" s="4" t="e">
        <f t="shared" si="145"/>
        <v>#N/A</v>
      </c>
      <c r="C4571" s="4">
        <f>'Raw data'!E4147</f>
        <v>0</v>
      </c>
      <c r="D4571" s="29" t="e">
        <f>VLOOKUP(C4571,'점포코드 '!A:B,2,0)</f>
        <v>#N/A</v>
      </c>
      <c r="E4571" s="30">
        <f>'Raw data'!P4147</f>
        <v>0</v>
      </c>
      <c r="F4571" s="29" t="e">
        <f>VLOOKUP(E4571,'점포코드 '!A:B,2,0)</f>
        <v>#N/A</v>
      </c>
      <c r="G4571" s="46">
        <f>'Raw data'!F4480</f>
        <v>0</v>
      </c>
      <c r="H4571" s="4">
        <f>'Raw data'!G4480</f>
        <v>0</v>
      </c>
      <c r="I4571" s="29" t="e">
        <f>VLOOKUP(G4571,제품명!$C$1:$E$114,2,0)</f>
        <v>#N/A</v>
      </c>
      <c r="J4571" s="29">
        <f>'Raw data'!K4480</f>
        <v>0</v>
      </c>
      <c r="K4571" s="31">
        <f>'Raw data'!H4480</f>
        <v>0</v>
      </c>
      <c r="L4571" s="26">
        <f t="shared" si="146"/>
        <v>0</v>
      </c>
    </row>
    <row r="4572" spans="2:12">
      <c r="B4572" s="4" t="e">
        <f t="shared" si="145"/>
        <v>#N/A</v>
      </c>
      <c r="C4572" s="4">
        <f>'Raw data'!E4148</f>
        <v>0</v>
      </c>
      <c r="D4572" s="29" t="e">
        <f>VLOOKUP(C4572,'점포코드 '!A:B,2,0)</f>
        <v>#N/A</v>
      </c>
      <c r="E4572" s="30">
        <f>'Raw data'!P4148</f>
        <v>0</v>
      </c>
      <c r="F4572" s="29" t="e">
        <f>VLOOKUP(E4572,'점포코드 '!A:B,2,0)</f>
        <v>#N/A</v>
      </c>
      <c r="G4572" s="46">
        <f>'Raw data'!F4481</f>
        <v>0</v>
      </c>
      <c r="H4572" s="4">
        <f>'Raw data'!G4481</f>
        <v>0</v>
      </c>
      <c r="I4572" s="29" t="e">
        <f>VLOOKUP(G4572,제품명!$C$1:$E$114,2,0)</f>
        <v>#N/A</v>
      </c>
      <c r="J4572" s="29">
        <f>'Raw data'!K4481</f>
        <v>0</v>
      </c>
      <c r="K4572" s="31">
        <f>'Raw data'!H4481</f>
        <v>0</v>
      </c>
      <c r="L4572" s="26">
        <f t="shared" si="146"/>
        <v>0</v>
      </c>
    </row>
    <row r="4573" spans="2:12">
      <c r="B4573" s="4" t="e">
        <f t="shared" si="145"/>
        <v>#N/A</v>
      </c>
      <c r="C4573" s="4">
        <f>'Raw data'!E4149</f>
        <v>0</v>
      </c>
      <c r="D4573" s="29" t="e">
        <f>VLOOKUP(C4573,'점포코드 '!A:B,2,0)</f>
        <v>#N/A</v>
      </c>
      <c r="E4573" s="30">
        <f>'Raw data'!P4149</f>
        <v>0</v>
      </c>
      <c r="F4573" s="29" t="e">
        <f>VLOOKUP(E4573,'점포코드 '!A:B,2,0)</f>
        <v>#N/A</v>
      </c>
      <c r="G4573" s="46">
        <f>'Raw data'!F4482</f>
        <v>0</v>
      </c>
      <c r="H4573" s="4">
        <f>'Raw data'!G4482</f>
        <v>0</v>
      </c>
      <c r="I4573" s="29" t="e">
        <f>VLOOKUP(G4573,제품명!$C$1:$E$114,2,0)</f>
        <v>#N/A</v>
      </c>
      <c r="J4573" s="29">
        <f>'Raw data'!K4482</f>
        <v>0</v>
      </c>
      <c r="K4573" s="31">
        <f>'Raw data'!H4482</f>
        <v>0</v>
      </c>
      <c r="L4573" s="26">
        <f t="shared" si="146"/>
        <v>0</v>
      </c>
    </row>
    <row r="4574" spans="2:12">
      <c r="B4574" s="4" t="e">
        <f t="shared" si="145"/>
        <v>#N/A</v>
      </c>
      <c r="C4574" s="4">
        <f>'Raw data'!E4150</f>
        <v>0</v>
      </c>
      <c r="D4574" s="29" t="e">
        <f>VLOOKUP(C4574,'점포코드 '!A:B,2,0)</f>
        <v>#N/A</v>
      </c>
      <c r="E4574" s="30">
        <f>'Raw data'!P4150</f>
        <v>0</v>
      </c>
      <c r="F4574" s="29" t="e">
        <f>VLOOKUP(E4574,'점포코드 '!A:B,2,0)</f>
        <v>#N/A</v>
      </c>
      <c r="G4574" s="46">
        <f>'Raw data'!F4483</f>
        <v>0</v>
      </c>
      <c r="H4574" s="4">
        <f>'Raw data'!G4483</f>
        <v>0</v>
      </c>
      <c r="I4574" s="29" t="e">
        <f>VLOOKUP(G4574,제품명!$C$1:$E$114,2,0)</f>
        <v>#N/A</v>
      </c>
      <c r="J4574" s="29">
        <f>'Raw data'!K4483</f>
        <v>0</v>
      </c>
      <c r="K4574" s="31">
        <f>'Raw data'!H4483</f>
        <v>0</v>
      </c>
      <c r="L4574" s="26">
        <f t="shared" si="146"/>
        <v>0</v>
      </c>
    </row>
    <row r="4575" spans="2:12">
      <c r="B4575" s="4" t="e">
        <f t="shared" si="145"/>
        <v>#N/A</v>
      </c>
      <c r="C4575" s="4">
        <f>'Raw data'!E4151</f>
        <v>0</v>
      </c>
      <c r="D4575" s="29" t="e">
        <f>VLOOKUP(C4575,'점포코드 '!A:B,2,0)</f>
        <v>#N/A</v>
      </c>
      <c r="E4575" s="30">
        <f>'Raw data'!P4151</f>
        <v>0</v>
      </c>
      <c r="F4575" s="29" t="e">
        <f>VLOOKUP(E4575,'점포코드 '!A:B,2,0)</f>
        <v>#N/A</v>
      </c>
      <c r="G4575" s="46">
        <f>'Raw data'!F4484</f>
        <v>0</v>
      </c>
      <c r="H4575" s="4">
        <f>'Raw data'!G4484</f>
        <v>0</v>
      </c>
      <c r="I4575" s="29" t="e">
        <f>VLOOKUP(G4575,제품명!$C$1:$E$114,2,0)</f>
        <v>#N/A</v>
      </c>
      <c r="J4575" s="29">
        <f>'Raw data'!K4484</f>
        <v>0</v>
      </c>
      <c r="K4575" s="31">
        <f>'Raw data'!H4484</f>
        <v>0</v>
      </c>
      <c r="L4575" s="26">
        <f t="shared" si="146"/>
        <v>0</v>
      </c>
    </row>
    <row r="4576" spans="2:12">
      <c r="B4576" s="4" t="e">
        <f t="shared" si="145"/>
        <v>#N/A</v>
      </c>
      <c r="C4576" s="4">
        <f>'Raw data'!E4152</f>
        <v>0</v>
      </c>
      <c r="D4576" s="29" t="e">
        <f>VLOOKUP(C4576,'점포코드 '!A:B,2,0)</f>
        <v>#N/A</v>
      </c>
      <c r="E4576" s="30">
        <f>'Raw data'!P4152</f>
        <v>0</v>
      </c>
      <c r="F4576" s="29" t="e">
        <f>VLOOKUP(E4576,'점포코드 '!A:B,2,0)</f>
        <v>#N/A</v>
      </c>
      <c r="G4576" s="46">
        <f>'Raw data'!F4485</f>
        <v>0</v>
      </c>
      <c r="H4576" s="4">
        <f>'Raw data'!G4485</f>
        <v>0</v>
      </c>
      <c r="I4576" s="29" t="e">
        <f>VLOOKUP(G4576,제품명!$C$1:$E$114,2,0)</f>
        <v>#N/A</v>
      </c>
      <c r="J4576" s="29">
        <f>'Raw data'!K4485</f>
        <v>0</v>
      </c>
      <c r="K4576" s="31">
        <f>'Raw data'!H4485</f>
        <v>0</v>
      </c>
      <c r="L4576" s="26">
        <f t="shared" si="146"/>
        <v>0</v>
      </c>
    </row>
    <row r="4577" spans="2:12">
      <c r="B4577" s="4" t="e">
        <f t="shared" si="145"/>
        <v>#N/A</v>
      </c>
      <c r="C4577" s="4">
        <f>'Raw data'!E4153</f>
        <v>0</v>
      </c>
      <c r="D4577" s="29" t="e">
        <f>VLOOKUP(C4577,'점포코드 '!A:B,2,0)</f>
        <v>#N/A</v>
      </c>
      <c r="E4577" s="30">
        <f>'Raw data'!P4153</f>
        <v>0</v>
      </c>
      <c r="F4577" s="29" t="e">
        <f>VLOOKUP(E4577,'점포코드 '!A:B,2,0)</f>
        <v>#N/A</v>
      </c>
      <c r="G4577" s="46">
        <f>'Raw data'!F4486</f>
        <v>0</v>
      </c>
      <c r="H4577" s="4">
        <f>'Raw data'!G4486</f>
        <v>0</v>
      </c>
      <c r="I4577" s="29" t="e">
        <f>VLOOKUP(G4577,제품명!$C$1:$E$114,2,0)</f>
        <v>#N/A</v>
      </c>
      <c r="J4577" s="29">
        <f>'Raw data'!K4486</f>
        <v>0</v>
      </c>
      <c r="K4577" s="31">
        <f>'Raw data'!H4486</f>
        <v>0</v>
      </c>
      <c r="L4577" s="26">
        <f t="shared" si="146"/>
        <v>0</v>
      </c>
    </row>
    <row r="4578" spans="2:12">
      <c r="B4578" s="4" t="e">
        <f t="shared" si="145"/>
        <v>#N/A</v>
      </c>
      <c r="C4578" s="4">
        <f>'Raw data'!E4154</f>
        <v>0</v>
      </c>
      <c r="D4578" s="29" t="e">
        <f>VLOOKUP(C4578,'점포코드 '!A:B,2,0)</f>
        <v>#N/A</v>
      </c>
      <c r="E4578" s="30">
        <f>'Raw data'!P4154</f>
        <v>0</v>
      </c>
      <c r="F4578" s="29" t="e">
        <f>VLOOKUP(E4578,'점포코드 '!A:B,2,0)</f>
        <v>#N/A</v>
      </c>
      <c r="G4578" s="46">
        <f>'Raw data'!F4487</f>
        <v>0</v>
      </c>
      <c r="H4578" s="4">
        <f>'Raw data'!G4487</f>
        <v>0</v>
      </c>
      <c r="I4578" s="29" t="e">
        <f>VLOOKUP(G4578,제품명!$C$1:$E$114,2,0)</f>
        <v>#N/A</v>
      </c>
      <c r="J4578" s="29">
        <f>'Raw data'!K4487</f>
        <v>0</v>
      </c>
      <c r="K4578" s="31">
        <f>'Raw data'!H4487</f>
        <v>0</v>
      </c>
      <c r="L4578" s="26">
        <f t="shared" si="146"/>
        <v>0</v>
      </c>
    </row>
    <row r="4579" spans="2:12">
      <c r="B4579" s="4" t="e">
        <f t="shared" si="145"/>
        <v>#N/A</v>
      </c>
      <c r="C4579" s="4">
        <f>'Raw data'!E4155</f>
        <v>0</v>
      </c>
      <c r="D4579" s="29" t="e">
        <f>VLOOKUP(C4579,'점포코드 '!A:B,2,0)</f>
        <v>#N/A</v>
      </c>
      <c r="E4579" s="30">
        <f>'Raw data'!P4155</f>
        <v>0</v>
      </c>
      <c r="F4579" s="29" t="e">
        <f>VLOOKUP(E4579,'점포코드 '!A:B,2,0)</f>
        <v>#N/A</v>
      </c>
      <c r="G4579" s="46">
        <f>'Raw data'!F4488</f>
        <v>0</v>
      </c>
      <c r="H4579" s="4">
        <f>'Raw data'!G4488</f>
        <v>0</v>
      </c>
      <c r="I4579" s="29" t="e">
        <f>VLOOKUP(G4579,제품명!$C$1:$E$114,2,0)</f>
        <v>#N/A</v>
      </c>
      <c r="J4579" s="29">
        <f>'Raw data'!K4488</f>
        <v>0</v>
      </c>
      <c r="K4579" s="31">
        <f>'Raw data'!H4488</f>
        <v>0</v>
      </c>
      <c r="L4579" s="26">
        <f t="shared" si="146"/>
        <v>0</v>
      </c>
    </row>
    <row r="4580" spans="2:12">
      <c r="B4580" s="4" t="e">
        <f t="shared" si="145"/>
        <v>#N/A</v>
      </c>
      <c r="C4580" s="4">
        <f>'Raw data'!E4156</f>
        <v>0</v>
      </c>
      <c r="D4580" s="29" t="e">
        <f>VLOOKUP(C4580,'점포코드 '!A:B,2,0)</f>
        <v>#N/A</v>
      </c>
      <c r="E4580" s="30">
        <f>'Raw data'!P4156</f>
        <v>0</v>
      </c>
      <c r="F4580" s="29" t="e">
        <f>VLOOKUP(E4580,'점포코드 '!A:B,2,0)</f>
        <v>#N/A</v>
      </c>
      <c r="G4580" s="46">
        <f>'Raw data'!F4489</f>
        <v>0</v>
      </c>
      <c r="H4580" s="4">
        <f>'Raw data'!G4489</f>
        <v>0</v>
      </c>
      <c r="I4580" s="29" t="e">
        <f>VLOOKUP(G4580,제품명!$C$1:$E$114,2,0)</f>
        <v>#N/A</v>
      </c>
      <c r="J4580" s="29">
        <f>'Raw data'!K4489</f>
        <v>0</v>
      </c>
      <c r="K4580" s="31">
        <f>'Raw data'!H4489</f>
        <v>0</v>
      </c>
      <c r="L4580" s="26">
        <f t="shared" si="146"/>
        <v>0</v>
      </c>
    </row>
    <row r="4581" spans="2:12">
      <c r="B4581" s="4" t="e">
        <f t="shared" si="145"/>
        <v>#N/A</v>
      </c>
      <c r="C4581" s="4">
        <f>'Raw data'!E4157</f>
        <v>0</v>
      </c>
      <c r="D4581" s="29" t="e">
        <f>VLOOKUP(C4581,'점포코드 '!A:B,2,0)</f>
        <v>#N/A</v>
      </c>
      <c r="E4581" s="30">
        <f>'Raw data'!P4157</f>
        <v>0</v>
      </c>
      <c r="F4581" s="29" t="e">
        <f>VLOOKUP(E4581,'점포코드 '!A:B,2,0)</f>
        <v>#N/A</v>
      </c>
      <c r="G4581" s="46">
        <f>'Raw data'!F4490</f>
        <v>0</v>
      </c>
      <c r="H4581" s="4">
        <f>'Raw data'!G4490</f>
        <v>0</v>
      </c>
      <c r="I4581" s="29" t="e">
        <f>VLOOKUP(G4581,제품명!$C$1:$E$114,2,0)</f>
        <v>#N/A</v>
      </c>
      <c r="J4581" s="29">
        <f>'Raw data'!K4490</f>
        <v>0</v>
      </c>
      <c r="K4581" s="31">
        <f>'Raw data'!H4490</f>
        <v>0</v>
      </c>
      <c r="L4581" s="26">
        <f t="shared" si="146"/>
        <v>0</v>
      </c>
    </row>
    <row r="4582" spans="2:12">
      <c r="B4582" s="4" t="e">
        <f t="shared" si="145"/>
        <v>#N/A</v>
      </c>
      <c r="C4582" s="4">
        <f>'Raw data'!E4158</f>
        <v>0</v>
      </c>
      <c r="D4582" s="29" t="e">
        <f>VLOOKUP(C4582,'점포코드 '!A:B,2,0)</f>
        <v>#N/A</v>
      </c>
      <c r="E4582" s="30">
        <f>'Raw data'!P4158</f>
        <v>0</v>
      </c>
      <c r="F4582" s="29" t="e">
        <f>VLOOKUP(E4582,'점포코드 '!A:B,2,0)</f>
        <v>#N/A</v>
      </c>
      <c r="G4582" s="46">
        <f>'Raw data'!F4491</f>
        <v>0</v>
      </c>
      <c r="H4582" s="4">
        <f>'Raw data'!G4491</f>
        <v>0</v>
      </c>
      <c r="I4582" s="29" t="e">
        <f>VLOOKUP(G4582,제품명!$C$1:$E$114,2,0)</f>
        <v>#N/A</v>
      </c>
      <c r="J4582" s="29">
        <f>'Raw data'!K4491</f>
        <v>0</v>
      </c>
      <c r="K4582" s="31">
        <f>'Raw data'!H4491</f>
        <v>0</v>
      </c>
      <c r="L4582" s="26">
        <f t="shared" si="146"/>
        <v>0</v>
      </c>
    </row>
    <row r="4583" spans="2:12">
      <c r="B4583" s="4" t="e">
        <f t="shared" si="145"/>
        <v>#N/A</v>
      </c>
      <c r="C4583" s="4">
        <f>'Raw data'!E4159</f>
        <v>0</v>
      </c>
      <c r="D4583" s="29" t="e">
        <f>VLOOKUP(C4583,'점포코드 '!A:B,2,0)</f>
        <v>#N/A</v>
      </c>
      <c r="E4583" s="30">
        <f>'Raw data'!P4159</f>
        <v>0</v>
      </c>
      <c r="F4583" s="29" t="e">
        <f>VLOOKUP(E4583,'점포코드 '!A:B,2,0)</f>
        <v>#N/A</v>
      </c>
      <c r="G4583" s="46">
        <f>'Raw data'!F4492</f>
        <v>0</v>
      </c>
      <c r="H4583" s="4">
        <f>'Raw data'!G4492</f>
        <v>0</v>
      </c>
      <c r="I4583" s="29" t="e">
        <f>VLOOKUP(G4583,제품명!$C$1:$E$114,2,0)</f>
        <v>#N/A</v>
      </c>
      <c r="J4583" s="29">
        <f>'Raw data'!K4492</f>
        <v>0</v>
      </c>
      <c r="K4583" s="31">
        <f>'Raw data'!H4492</f>
        <v>0</v>
      </c>
      <c r="L4583" s="26">
        <f t="shared" si="146"/>
        <v>0</v>
      </c>
    </row>
    <row r="4584" spans="2:12">
      <c r="B4584" s="4" t="e">
        <f t="shared" si="145"/>
        <v>#N/A</v>
      </c>
      <c r="C4584" s="4">
        <f>'Raw data'!E4160</f>
        <v>0</v>
      </c>
      <c r="D4584" s="29" t="e">
        <f>VLOOKUP(C4584,'점포코드 '!A:B,2,0)</f>
        <v>#N/A</v>
      </c>
      <c r="E4584" s="30">
        <f>'Raw data'!P4160</f>
        <v>0</v>
      </c>
      <c r="F4584" s="29" t="e">
        <f>VLOOKUP(E4584,'점포코드 '!A:B,2,0)</f>
        <v>#N/A</v>
      </c>
      <c r="G4584" s="46">
        <f>'Raw data'!F4493</f>
        <v>0</v>
      </c>
      <c r="H4584" s="4">
        <f>'Raw data'!G4493</f>
        <v>0</v>
      </c>
      <c r="I4584" s="29" t="e">
        <f>VLOOKUP(G4584,제품명!$C$1:$E$114,2,0)</f>
        <v>#N/A</v>
      </c>
      <c r="J4584" s="29">
        <f>'Raw data'!K4493</f>
        <v>0</v>
      </c>
      <c r="K4584" s="31">
        <f>'Raw data'!H4493</f>
        <v>0</v>
      </c>
      <c r="L4584" s="26">
        <f t="shared" si="146"/>
        <v>0</v>
      </c>
    </row>
    <row r="4585" spans="2:12">
      <c r="B4585" s="4" t="e">
        <f t="shared" si="145"/>
        <v>#N/A</v>
      </c>
      <c r="C4585" s="4">
        <f>'Raw data'!E4161</f>
        <v>0</v>
      </c>
      <c r="D4585" s="29" t="e">
        <f>VLOOKUP(C4585,'점포코드 '!A:B,2,0)</f>
        <v>#N/A</v>
      </c>
      <c r="E4585" s="30">
        <f>'Raw data'!P4161</f>
        <v>0</v>
      </c>
      <c r="F4585" s="29" t="e">
        <f>VLOOKUP(E4585,'점포코드 '!A:B,2,0)</f>
        <v>#N/A</v>
      </c>
      <c r="G4585" s="46">
        <f>'Raw data'!F4494</f>
        <v>0</v>
      </c>
      <c r="H4585" s="4">
        <f>'Raw data'!G4494</f>
        <v>0</v>
      </c>
      <c r="I4585" s="29" t="e">
        <f>VLOOKUP(G4585,제품명!$C$1:$E$114,2,0)</f>
        <v>#N/A</v>
      </c>
      <c r="J4585" s="29">
        <f>'Raw data'!K4494</f>
        <v>0</v>
      </c>
      <c r="K4585" s="31">
        <f>'Raw data'!H4494</f>
        <v>0</v>
      </c>
      <c r="L4585" s="26">
        <f t="shared" si="146"/>
        <v>0</v>
      </c>
    </row>
    <row r="4586" spans="2:12">
      <c r="B4586" s="4" t="e">
        <f t="shared" si="145"/>
        <v>#N/A</v>
      </c>
      <c r="C4586" s="4">
        <f>'Raw data'!E4162</f>
        <v>0</v>
      </c>
      <c r="D4586" s="29" t="e">
        <f>VLOOKUP(C4586,'점포코드 '!A:B,2,0)</f>
        <v>#N/A</v>
      </c>
      <c r="E4586" s="30">
        <f>'Raw data'!P4162</f>
        <v>0</v>
      </c>
      <c r="F4586" s="29" t="e">
        <f>VLOOKUP(E4586,'점포코드 '!A:B,2,0)</f>
        <v>#N/A</v>
      </c>
      <c r="G4586" s="46">
        <f>'Raw data'!F4495</f>
        <v>0</v>
      </c>
      <c r="H4586" s="4">
        <f>'Raw data'!G4495</f>
        <v>0</v>
      </c>
      <c r="I4586" s="29" t="e">
        <f>VLOOKUP(G4586,제품명!$C$1:$E$114,2,0)</f>
        <v>#N/A</v>
      </c>
      <c r="J4586" s="29">
        <f>'Raw data'!K4495</f>
        <v>0</v>
      </c>
      <c r="K4586" s="31">
        <f>'Raw data'!H4495</f>
        <v>0</v>
      </c>
      <c r="L4586" s="26">
        <f t="shared" si="146"/>
        <v>0</v>
      </c>
    </row>
    <row r="4587" spans="2:12">
      <c r="B4587" s="4" t="e">
        <f t="shared" si="145"/>
        <v>#N/A</v>
      </c>
      <c r="C4587" s="4">
        <f>'Raw data'!E4163</f>
        <v>0</v>
      </c>
      <c r="D4587" s="29" t="e">
        <f>VLOOKUP(C4587,'점포코드 '!A:B,2,0)</f>
        <v>#N/A</v>
      </c>
      <c r="E4587" s="30">
        <f>'Raw data'!P4163</f>
        <v>0</v>
      </c>
      <c r="F4587" s="29" t="e">
        <f>VLOOKUP(E4587,'점포코드 '!A:B,2,0)</f>
        <v>#N/A</v>
      </c>
      <c r="G4587" s="46">
        <f>'Raw data'!F4496</f>
        <v>0</v>
      </c>
      <c r="H4587" s="4">
        <f>'Raw data'!G4496</f>
        <v>0</v>
      </c>
      <c r="I4587" s="29" t="e">
        <f>VLOOKUP(G4587,제품명!$C$1:$E$114,2,0)</f>
        <v>#N/A</v>
      </c>
      <c r="J4587" s="29">
        <f>'Raw data'!K4496</f>
        <v>0</v>
      </c>
      <c r="K4587" s="31">
        <f>'Raw data'!H4496</f>
        <v>0</v>
      </c>
      <c r="L4587" s="26">
        <f t="shared" si="146"/>
        <v>0</v>
      </c>
    </row>
    <row r="4588" spans="2:12">
      <c r="B4588" s="4" t="e">
        <f t="shared" si="145"/>
        <v>#N/A</v>
      </c>
      <c r="C4588" s="4">
        <f>'Raw data'!E4164</f>
        <v>0</v>
      </c>
      <c r="D4588" s="29" t="e">
        <f>VLOOKUP(C4588,'점포코드 '!A:B,2,0)</f>
        <v>#N/A</v>
      </c>
      <c r="E4588" s="30">
        <f>'Raw data'!P4164</f>
        <v>0</v>
      </c>
      <c r="F4588" s="29" t="e">
        <f>VLOOKUP(E4588,'점포코드 '!A:B,2,0)</f>
        <v>#N/A</v>
      </c>
      <c r="G4588" s="46">
        <f>'Raw data'!F4497</f>
        <v>0</v>
      </c>
      <c r="H4588" s="4">
        <f>'Raw data'!G4497</f>
        <v>0</v>
      </c>
      <c r="I4588" s="29" t="e">
        <f>VLOOKUP(G4588,제품명!$C$1:$E$114,2,0)</f>
        <v>#N/A</v>
      </c>
      <c r="J4588" s="29">
        <f>'Raw data'!K4497</f>
        <v>0</v>
      </c>
      <c r="K4588" s="31">
        <f>'Raw data'!H4497</f>
        <v>0</v>
      </c>
      <c r="L4588" s="26">
        <f t="shared" si="146"/>
        <v>0</v>
      </c>
    </row>
    <row r="4589" spans="2:12">
      <c r="B4589" s="4" t="e">
        <f t="shared" si="145"/>
        <v>#N/A</v>
      </c>
      <c r="C4589" s="4">
        <f>'Raw data'!E4165</f>
        <v>0</v>
      </c>
      <c r="D4589" s="29" t="e">
        <f>VLOOKUP(C4589,'점포코드 '!A:B,2,0)</f>
        <v>#N/A</v>
      </c>
      <c r="E4589" s="30">
        <f>'Raw data'!P4165</f>
        <v>0</v>
      </c>
      <c r="F4589" s="29" t="e">
        <f>VLOOKUP(E4589,'점포코드 '!A:B,2,0)</f>
        <v>#N/A</v>
      </c>
      <c r="G4589" s="46">
        <f>'Raw data'!F4498</f>
        <v>0</v>
      </c>
      <c r="H4589" s="4">
        <f>'Raw data'!G4498</f>
        <v>0</v>
      </c>
      <c r="I4589" s="29" t="e">
        <f>VLOOKUP(G4589,제품명!$C$1:$E$114,2,0)</f>
        <v>#N/A</v>
      </c>
      <c r="J4589" s="29">
        <f>'Raw data'!K4498</f>
        <v>0</v>
      </c>
      <c r="K4589" s="31">
        <f>'Raw data'!H4498</f>
        <v>0</v>
      </c>
      <c r="L4589" s="26">
        <f t="shared" si="146"/>
        <v>0</v>
      </c>
    </row>
    <row r="4590" spans="2:12">
      <c r="B4590" s="4" t="e">
        <f t="shared" si="145"/>
        <v>#N/A</v>
      </c>
      <c r="C4590" s="4">
        <f>'Raw data'!E4166</f>
        <v>0</v>
      </c>
      <c r="D4590" s="29" t="e">
        <f>VLOOKUP(C4590,'점포코드 '!A:B,2,0)</f>
        <v>#N/A</v>
      </c>
      <c r="E4590" s="30">
        <f>'Raw data'!P4166</f>
        <v>0</v>
      </c>
      <c r="F4590" s="29" t="e">
        <f>VLOOKUP(E4590,'점포코드 '!A:B,2,0)</f>
        <v>#N/A</v>
      </c>
      <c r="G4590" s="46">
        <f>'Raw data'!F4499</f>
        <v>0</v>
      </c>
      <c r="H4590" s="4">
        <f>'Raw data'!G4499</f>
        <v>0</v>
      </c>
      <c r="I4590" s="29" t="e">
        <f>VLOOKUP(G4590,제품명!$C$1:$E$114,2,0)</f>
        <v>#N/A</v>
      </c>
      <c r="J4590" s="29">
        <f>'Raw data'!K4499</f>
        <v>0</v>
      </c>
      <c r="K4590" s="31">
        <f>'Raw data'!H4499</f>
        <v>0</v>
      </c>
      <c r="L4590" s="26">
        <f t="shared" si="146"/>
        <v>0</v>
      </c>
    </row>
    <row r="4591" spans="2:12">
      <c r="B4591" s="4" t="e">
        <f t="shared" si="145"/>
        <v>#N/A</v>
      </c>
      <c r="C4591" s="4">
        <f>'Raw data'!E4167</f>
        <v>0</v>
      </c>
      <c r="D4591" s="29" t="e">
        <f>VLOOKUP(C4591,'점포코드 '!A:B,2,0)</f>
        <v>#N/A</v>
      </c>
      <c r="E4591" s="30">
        <f>'Raw data'!P4167</f>
        <v>0</v>
      </c>
      <c r="F4591" s="29" t="e">
        <f>VLOOKUP(E4591,'점포코드 '!A:B,2,0)</f>
        <v>#N/A</v>
      </c>
      <c r="G4591" s="46">
        <f>'Raw data'!F4500</f>
        <v>0</v>
      </c>
      <c r="H4591" s="4">
        <f>'Raw data'!G4500</f>
        <v>0</v>
      </c>
      <c r="I4591" s="29" t="e">
        <f>VLOOKUP(G4591,제품명!$C$1:$E$114,2,0)</f>
        <v>#N/A</v>
      </c>
      <c r="J4591" s="29">
        <f>'Raw data'!K4500</f>
        <v>0</v>
      </c>
      <c r="K4591" s="31">
        <f>'Raw data'!H4500</f>
        <v>0</v>
      </c>
      <c r="L4591" s="26">
        <f t="shared" si="146"/>
        <v>0</v>
      </c>
    </row>
    <row r="4592" spans="2:12">
      <c r="B4592" s="4" t="e">
        <f t="shared" si="145"/>
        <v>#N/A</v>
      </c>
      <c r="C4592" s="4">
        <f>'Raw data'!E4168</f>
        <v>0</v>
      </c>
      <c r="D4592" s="29" t="e">
        <f>VLOOKUP(C4592,'점포코드 '!A:B,2,0)</f>
        <v>#N/A</v>
      </c>
      <c r="E4592" s="30">
        <f>'Raw data'!P4168</f>
        <v>0</v>
      </c>
      <c r="F4592" s="29" t="e">
        <f>VLOOKUP(E4592,'점포코드 '!A:B,2,0)</f>
        <v>#N/A</v>
      </c>
      <c r="G4592" s="46">
        <f>'Raw data'!F4501</f>
        <v>0</v>
      </c>
      <c r="H4592" s="4">
        <f>'Raw data'!G4501</f>
        <v>0</v>
      </c>
      <c r="I4592" s="29" t="e">
        <f>VLOOKUP(G4592,제품명!$C$1:$E$114,2,0)</f>
        <v>#N/A</v>
      </c>
      <c r="J4592" s="29">
        <f>'Raw data'!K4501</f>
        <v>0</v>
      </c>
      <c r="K4592" s="31">
        <f>'Raw data'!H4501</f>
        <v>0</v>
      </c>
      <c r="L4592" s="26">
        <f t="shared" si="146"/>
        <v>0</v>
      </c>
    </row>
    <row r="4593" spans="2:12">
      <c r="B4593" s="4" t="e">
        <f t="shared" si="145"/>
        <v>#N/A</v>
      </c>
      <c r="C4593" s="4">
        <f>'Raw data'!E4169</f>
        <v>0</v>
      </c>
      <c r="D4593" s="29" t="e">
        <f>VLOOKUP(C4593,'점포코드 '!A:B,2,0)</f>
        <v>#N/A</v>
      </c>
      <c r="E4593" s="30">
        <f>'Raw data'!P4169</f>
        <v>0</v>
      </c>
      <c r="F4593" s="29" t="e">
        <f>VLOOKUP(E4593,'점포코드 '!A:B,2,0)</f>
        <v>#N/A</v>
      </c>
      <c r="G4593" s="46">
        <f>'Raw data'!F4502</f>
        <v>0</v>
      </c>
      <c r="H4593" s="4">
        <f>'Raw data'!G4502</f>
        <v>0</v>
      </c>
      <c r="I4593" s="29" t="e">
        <f>VLOOKUP(G4593,제품명!$C$1:$E$114,2,0)</f>
        <v>#N/A</v>
      </c>
      <c r="J4593" s="29">
        <f>'Raw data'!K4502</f>
        <v>0</v>
      </c>
      <c r="K4593" s="31">
        <f>'Raw data'!H4502</f>
        <v>0</v>
      </c>
      <c r="L4593" s="26">
        <f t="shared" si="146"/>
        <v>0</v>
      </c>
    </row>
    <row r="4594" spans="2:12">
      <c r="B4594" s="4" t="e">
        <f t="shared" si="145"/>
        <v>#N/A</v>
      </c>
      <c r="C4594" s="4">
        <f>'Raw data'!E4170</f>
        <v>0</v>
      </c>
      <c r="D4594" s="29" t="e">
        <f>VLOOKUP(C4594,'점포코드 '!A:B,2,0)</f>
        <v>#N/A</v>
      </c>
      <c r="E4594" s="30">
        <f>'Raw data'!P4170</f>
        <v>0</v>
      </c>
      <c r="F4594" s="29" t="e">
        <f>VLOOKUP(E4594,'점포코드 '!A:B,2,0)</f>
        <v>#N/A</v>
      </c>
      <c r="G4594" s="46">
        <f>'Raw data'!F4503</f>
        <v>0</v>
      </c>
      <c r="H4594" s="4">
        <f>'Raw data'!G4503</f>
        <v>0</v>
      </c>
      <c r="I4594" s="29" t="e">
        <f>VLOOKUP(G4594,제품명!$C$1:$E$114,2,0)</f>
        <v>#N/A</v>
      </c>
      <c r="J4594" s="29">
        <f>'Raw data'!K4503</f>
        <v>0</v>
      </c>
      <c r="K4594" s="31">
        <f>'Raw data'!H4503</f>
        <v>0</v>
      </c>
      <c r="L4594" s="26">
        <f t="shared" si="146"/>
        <v>0</v>
      </c>
    </row>
    <row r="4595" spans="2:12">
      <c r="B4595" s="4" t="e">
        <f t="shared" si="145"/>
        <v>#N/A</v>
      </c>
      <c r="C4595" s="4">
        <f>'Raw data'!E4171</f>
        <v>0</v>
      </c>
      <c r="D4595" s="29" t="e">
        <f>VLOOKUP(C4595,'점포코드 '!A:B,2,0)</f>
        <v>#N/A</v>
      </c>
      <c r="E4595" s="30">
        <f>'Raw data'!P4171</f>
        <v>0</v>
      </c>
      <c r="F4595" s="29" t="e">
        <f>VLOOKUP(E4595,'점포코드 '!A:B,2,0)</f>
        <v>#N/A</v>
      </c>
      <c r="G4595" s="46">
        <f>'Raw data'!F4504</f>
        <v>0</v>
      </c>
      <c r="H4595" s="4">
        <f>'Raw data'!G4504</f>
        <v>0</v>
      </c>
      <c r="I4595" s="29" t="e">
        <f>VLOOKUP(G4595,제품명!$C$1:$E$114,2,0)</f>
        <v>#N/A</v>
      </c>
      <c r="J4595" s="29">
        <f>'Raw data'!K4504</f>
        <v>0</v>
      </c>
      <c r="K4595" s="31">
        <f>'Raw data'!H4504</f>
        <v>0</v>
      </c>
      <c r="L4595" s="26">
        <f t="shared" si="146"/>
        <v>0</v>
      </c>
    </row>
    <row r="4596" spans="2:12">
      <c r="B4596" s="4" t="e">
        <f t="shared" si="145"/>
        <v>#N/A</v>
      </c>
      <c r="C4596" s="4">
        <f>'Raw data'!E4172</f>
        <v>0</v>
      </c>
      <c r="D4596" s="29" t="e">
        <f>VLOOKUP(C4596,'점포코드 '!A:B,2,0)</f>
        <v>#N/A</v>
      </c>
      <c r="E4596" s="30">
        <f>'Raw data'!P4172</f>
        <v>0</v>
      </c>
      <c r="F4596" s="29" t="e">
        <f>VLOOKUP(E4596,'점포코드 '!A:B,2,0)</f>
        <v>#N/A</v>
      </c>
      <c r="G4596" s="46">
        <f>'Raw data'!F4505</f>
        <v>0</v>
      </c>
      <c r="H4596" s="4">
        <f>'Raw data'!G4505</f>
        <v>0</v>
      </c>
      <c r="I4596" s="29" t="e">
        <f>VLOOKUP(G4596,제품명!$C$1:$E$114,2,0)</f>
        <v>#N/A</v>
      </c>
      <c r="J4596" s="29">
        <f>'Raw data'!K4505</f>
        <v>0</v>
      </c>
      <c r="K4596" s="31">
        <f>'Raw data'!H4505</f>
        <v>0</v>
      </c>
      <c r="L4596" s="26">
        <f t="shared" si="146"/>
        <v>0</v>
      </c>
    </row>
    <row r="4597" spans="2:12">
      <c r="B4597" s="4" t="e">
        <f t="shared" si="145"/>
        <v>#N/A</v>
      </c>
      <c r="C4597" s="4">
        <f>'Raw data'!E4173</f>
        <v>0</v>
      </c>
      <c r="D4597" s="29" t="e">
        <f>VLOOKUP(C4597,'점포코드 '!A:B,2,0)</f>
        <v>#N/A</v>
      </c>
      <c r="E4597" s="30">
        <f>'Raw data'!P4173</f>
        <v>0</v>
      </c>
      <c r="F4597" s="29" t="e">
        <f>VLOOKUP(E4597,'점포코드 '!A:B,2,0)</f>
        <v>#N/A</v>
      </c>
      <c r="G4597" s="46">
        <f>'Raw data'!F4506</f>
        <v>0</v>
      </c>
      <c r="H4597" s="4">
        <f>'Raw data'!G4506</f>
        <v>0</v>
      </c>
      <c r="I4597" s="29" t="e">
        <f>VLOOKUP(G4597,제품명!$C$1:$E$114,2,0)</f>
        <v>#N/A</v>
      </c>
      <c r="J4597" s="29">
        <f>'Raw data'!K4506</f>
        <v>0</v>
      </c>
      <c r="K4597" s="31">
        <f>'Raw data'!H4506</f>
        <v>0</v>
      </c>
      <c r="L4597" s="26">
        <f t="shared" si="146"/>
        <v>0</v>
      </c>
    </row>
    <row r="4598" spans="2:12">
      <c r="B4598" s="4" t="e">
        <f t="shared" si="145"/>
        <v>#N/A</v>
      </c>
      <c r="C4598" s="4">
        <f>'Raw data'!E4174</f>
        <v>0</v>
      </c>
      <c r="D4598" s="29" t="e">
        <f>VLOOKUP(C4598,'점포코드 '!A:B,2,0)</f>
        <v>#N/A</v>
      </c>
      <c r="E4598" s="30">
        <f>'Raw data'!P4174</f>
        <v>0</v>
      </c>
      <c r="F4598" s="29" t="e">
        <f>VLOOKUP(E4598,'점포코드 '!A:B,2,0)</f>
        <v>#N/A</v>
      </c>
      <c r="G4598" s="46">
        <f>'Raw data'!F4507</f>
        <v>0</v>
      </c>
      <c r="H4598" s="4">
        <f>'Raw data'!G4507</f>
        <v>0</v>
      </c>
      <c r="I4598" s="29" t="e">
        <f>VLOOKUP(G4598,제품명!$C$1:$E$114,2,0)</f>
        <v>#N/A</v>
      </c>
      <c r="J4598" s="29">
        <f>'Raw data'!K4507</f>
        <v>0</v>
      </c>
      <c r="K4598" s="31">
        <f>'Raw data'!H4507</f>
        <v>0</v>
      </c>
      <c r="L4598" s="26">
        <f t="shared" si="146"/>
        <v>0</v>
      </c>
    </row>
    <row r="4599" spans="2:12">
      <c r="B4599" s="4" t="e">
        <f t="shared" si="145"/>
        <v>#N/A</v>
      </c>
      <c r="C4599" s="4">
        <f>'Raw data'!E4175</f>
        <v>0</v>
      </c>
      <c r="D4599" s="29" t="e">
        <f>VLOOKUP(C4599,'점포코드 '!A:B,2,0)</f>
        <v>#N/A</v>
      </c>
      <c r="E4599" s="30">
        <f>'Raw data'!P4175</f>
        <v>0</v>
      </c>
      <c r="F4599" s="29" t="e">
        <f>VLOOKUP(E4599,'점포코드 '!A:B,2,0)</f>
        <v>#N/A</v>
      </c>
      <c r="G4599" s="46">
        <f>'Raw data'!F4508</f>
        <v>0</v>
      </c>
      <c r="H4599" s="4">
        <f>'Raw data'!G4508</f>
        <v>0</v>
      </c>
      <c r="I4599" s="29" t="e">
        <f>VLOOKUP(G4599,제품명!$C$1:$E$114,2,0)</f>
        <v>#N/A</v>
      </c>
      <c r="J4599" s="29">
        <f>'Raw data'!K4508</f>
        <v>0</v>
      </c>
      <c r="K4599" s="31">
        <f>'Raw data'!H4508</f>
        <v>0</v>
      </c>
      <c r="L4599" s="26">
        <f t="shared" si="146"/>
        <v>0</v>
      </c>
    </row>
    <row r="4600" spans="2:12">
      <c r="B4600" s="4" t="e">
        <f t="shared" si="145"/>
        <v>#N/A</v>
      </c>
      <c r="C4600" s="4">
        <f>'Raw data'!E4176</f>
        <v>0</v>
      </c>
      <c r="D4600" s="29" t="e">
        <f>VLOOKUP(C4600,'점포코드 '!A:B,2,0)</f>
        <v>#N/A</v>
      </c>
      <c r="E4600" s="30">
        <f>'Raw data'!P4176</f>
        <v>0</v>
      </c>
      <c r="F4600" s="29" t="e">
        <f>VLOOKUP(E4600,'점포코드 '!A:B,2,0)</f>
        <v>#N/A</v>
      </c>
      <c r="G4600" s="46">
        <f>'Raw data'!F4509</f>
        <v>0</v>
      </c>
      <c r="H4600" s="4">
        <f>'Raw data'!G4509</f>
        <v>0</v>
      </c>
      <c r="I4600" s="29" t="e">
        <f>VLOOKUP(G4600,제품명!$C$1:$E$114,2,0)</f>
        <v>#N/A</v>
      </c>
      <c r="J4600" s="29">
        <f>'Raw data'!K4509</f>
        <v>0</v>
      </c>
      <c r="K4600" s="31">
        <f>'Raw data'!H4509</f>
        <v>0</v>
      </c>
      <c r="L4600" s="26">
        <f t="shared" si="146"/>
        <v>0</v>
      </c>
    </row>
    <row r="4601" spans="2:12">
      <c r="B4601" s="4" t="e">
        <f t="shared" si="145"/>
        <v>#N/A</v>
      </c>
      <c r="C4601" s="4">
        <f>'Raw data'!E4177</f>
        <v>0</v>
      </c>
      <c r="D4601" s="29" t="e">
        <f>VLOOKUP(C4601,'점포코드 '!A:B,2,0)</f>
        <v>#N/A</v>
      </c>
      <c r="E4601" s="30">
        <f>'Raw data'!P4177</f>
        <v>0</v>
      </c>
      <c r="F4601" s="29" t="e">
        <f>VLOOKUP(E4601,'점포코드 '!A:B,2,0)</f>
        <v>#N/A</v>
      </c>
      <c r="G4601" s="46">
        <f>'Raw data'!F4510</f>
        <v>0</v>
      </c>
      <c r="H4601" s="4">
        <f>'Raw data'!G4510</f>
        <v>0</v>
      </c>
      <c r="I4601" s="29" t="e">
        <f>VLOOKUP(G4601,제품명!$C$1:$E$114,2,0)</f>
        <v>#N/A</v>
      </c>
      <c r="J4601" s="29">
        <f>'Raw data'!K4510</f>
        <v>0</v>
      </c>
      <c r="K4601" s="31">
        <f>'Raw data'!H4510</f>
        <v>0</v>
      </c>
      <c r="L4601" s="26">
        <f t="shared" si="146"/>
        <v>0</v>
      </c>
    </row>
    <row r="4602" spans="2:12">
      <c r="B4602" s="4" t="e">
        <f t="shared" si="145"/>
        <v>#N/A</v>
      </c>
      <c r="C4602" s="4">
        <f>'Raw data'!E4178</f>
        <v>0</v>
      </c>
      <c r="D4602" s="29" t="e">
        <f>VLOOKUP(C4602,'점포코드 '!A:B,2,0)</f>
        <v>#N/A</v>
      </c>
      <c r="E4602" s="30">
        <f>'Raw data'!P4178</f>
        <v>0</v>
      </c>
      <c r="F4602" s="29" t="e">
        <f>VLOOKUP(E4602,'점포코드 '!A:B,2,0)</f>
        <v>#N/A</v>
      </c>
      <c r="G4602" s="46">
        <f>'Raw data'!F4511</f>
        <v>0</v>
      </c>
      <c r="H4602" s="4">
        <f>'Raw data'!G4511</f>
        <v>0</v>
      </c>
      <c r="I4602" s="29" t="e">
        <f>VLOOKUP(G4602,제품명!$C$1:$E$114,2,0)</f>
        <v>#N/A</v>
      </c>
      <c r="J4602" s="29">
        <f>'Raw data'!K4511</f>
        <v>0</v>
      </c>
      <c r="K4602" s="31">
        <f>'Raw data'!H4511</f>
        <v>0</v>
      </c>
      <c r="L4602" s="26">
        <f t="shared" si="146"/>
        <v>0</v>
      </c>
    </row>
    <row r="4603" spans="2:12">
      <c r="B4603" s="4" t="e">
        <f t="shared" si="145"/>
        <v>#N/A</v>
      </c>
      <c r="C4603" s="4">
        <f>'Raw data'!E4179</f>
        <v>0</v>
      </c>
      <c r="D4603" s="29" t="e">
        <f>VLOOKUP(C4603,'점포코드 '!A:B,2,0)</f>
        <v>#N/A</v>
      </c>
      <c r="E4603" s="30">
        <f>'Raw data'!P4179</f>
        <v>0</v>
      </c>
      <c r="F4603" s="29" t="e">
        <f>VLOOKUP(E4603,'점포코드 '!A:B,2,0)</f>
        <v>#N/A</v>
      </c>
      <c r="G4603" s="46">
        <f>'Raw data'!F4512</f>
        <v>0</v>
      </c>
      <c r="H4603" s="4">
        <f>'Raw data'!G4512</f>
        <v>0</v>
      </c>
      <c r="I4603" s="29" t="e">
        <f>VLOOKUP(G4603,제품명!$C$1:$E$114,2,0)</f>
        <v>#N/A</v>
      </c>
      <c r="J4603" s="29">
        <f>'Raw data'!K4512</f>
        <v>0</v>
      </c>
      <c r="K4603" s="31">
        <f>'Raw data'!H4512</f>
        <v>0</v>
      </c>
      <c r="L4603" s="26">
        <f t="shared" si="146"/>
        <v>0</v>
      </c>
    </row>
    <row r="4604" spans="2:12">
      <c r="B4604" s="4" t="e">
        <f t="shared" si="145"/>
        <v>#N/A</v>
      </c>
      <c r="C4604" s="4">
        <f>'Raw data'!E4180</f>
        <v>0</v>
      </c>
      <c r="D4604" s="29" t="e">
        <f>VLOOKUP(C4604,'점포코드 '!A:B,2,0)</f>
        <v>#N/A</v>
      </c>
      <c r="E4604" s="30">
        <f>'Raw data'!P4180</f>
        <v>0</v>
      </c>
      <c r="F4604" s="29" t="e">
        <f>VLOOKUP(E4604,'점포코드 '!A:B,2,0)</f>
        <v>#N/A</v>
      </c>
      <c r="G4604" s="46">
        <f>'Raw data'!F4513</f>
        <v>0</v>
      </c>
      <c r="H4604" s="4">
        <f>'Raw data'!G4513</f>
        <v>0</v>
      </c>
      <c r="I4604" s="29" t="e">
        <f>VLOOKUP(G4604,제품명!$C$1:$E$114,2,0)</f>
        <v>#N/A</v>
      </c>
      <c r="J4604" s="29">
        <f>'Raw data'!K4513</f>
        <v>0</v>
      </c>
      <c r="K4604" s="31">
        <f>'Raw data'!H4513</f>
        <v>0</v>
      </c>
      <c r="L4604" s="26">
        <f t="shared" si="146"/>
        <v>0</v>
      </c>
    </row>
    <row r="4605" spans="2:12">
      <c r="B4605" s="4" t="e">
        <f t="shared" si="145"/>
        <v>#N/A</v>
      </c>
      <c r="C4605" s="4">
        <f>'Raw data'!E4181</f>
        <v>0</v>
      </c>
      <c r="D4605" s="29" t="e">
        <f>VLOOKUP(C4605,'점포코드 '!A:B,2,0)</f>
        <v>#N/A</v>
      </c>
      <c r="E4605" s="30">
        <f>'Raw data'!P4181</f>
        <v>0</v>
      </c>
      <c r="F4605" s="29" t="e">
        <f>VLOOKUP(E4605,'점포코드 '!A:B,2,0)</f>
        <v>#N/A</v>
      </c>
      <c r="G4605" s="46">
        <f>'Raw data'!F4514</f>
        <v>0</v>
      </c>
      <c r="H4605" s="4">
        <f>'Raw data'!G4514</f>
        <v>0</v>
      </c>
      <c r="I4605" s="29" t="e">
        <f>VLOOKUP(G4605,제품명!$C$1:$E$114,2,0)</f>
        <v>#N/A</v>
      </c>
      <c r="J4605" s="29">
        <f>'Raw data'!K4514</f>
        <v>0</v>
      </c>
      <c r="K4605" s="31">
        <f>'Raw data'!H4514</f>
        <v>0</v>
      </c>
      <c r="L4605" s="26">
        <f t="shared" si="146"/>
        <v>0</v>
      </c>
    </row>
    <row r="4606" spans="2:12">
      <c r="B4606" s="4" t="e">
        <f t="shared" si="145"/>
        <v>#N/A</v>
      </c>
      <c r="C4606" s="4">
        <f>'Raw data'!E4182</f>
        <v>0</v>
      </c>
      <c r="D4606" s="29" t="e">
        <f>VLOOKUP(C4606,'점포코드 '!A:B,2,0)</f>
        <v>#N/A</v>
      </c>
      <c r="E4606" s="30">
        <f>'Raw data'!P4182</f>
        <v>0</v>
      </c>
      <c r="F4606" s="29" t="e">
        <f>VLOOKUP(E4606,'점포코드 '!A:B,2,0)</f>
        <v>#N/A</v>
      </c>
      <c r="G4606" s="46">
        <f>'Raw data'!F4515</f>
        <v>0</v>
      </c>
      <c r="H4606" s="4">
        <f>'Raw data'!G4515</f>
        <v>0</v>
      </c>
      <c r="I4606" s="29" t="e">
        <f>VLOOKUP(G4606,제품명!$C$1:$E$114,2,0)</f>
        <v>#N/A</v>
      </c>
      <c r="J4606" s="29">
        <f>'Raw data'!K4515</f>
        <v>0</v>
      </c>
      <c r="K4606" s="31">
        <f>'Raw data'!H4515</f>
        <v>0</v>
      </c>
      <c r="L4606" s="26">
        <f t="shared" si="146"/>
        <v>0</v>
      </c>
    </row>
    <row r="4607" spans="2:12">
      <c r="B4607" s="4" t="e">
        <f t="shared" si="145"/>
        <v>#N/A</v>
      </c>
      <c r="C4607" s="4">
        <f>'Raw data'!E4183</f>
        <v>0</v>
      </c>
      <c r="D4607" s="29" t="e">
        <f>VLOOKUP(C4607,'점포코드 '!A:B,2,0)</f>
        <v>#N/A</v>
      </c>
      <c r="E4607" s="30">
        <f>'Raw data'!P4183</f>
        <v>0</v>
      </c>
      <c r="F4607" s="29" t="e">
        <f>VLOOKUP(E4607,'점포코드 '!A:B,2,0)</f>
        <v>#N/A</v>
      </c>
      <c r="G4607" s="46">
        <f>'Raw data'!F4516</f>
        <v>0</v>
      </c>
      <c r="H4607" s="4">
        <f>'Raw data'!G4516</f>
        <v>0</v>
      </c>
      <c r="I4607" s="29" t="e">
        <f>VLOOKUP(G4607,제품명!$C$1:$E$114,2,0)</f>
        <v>#N/A</v>
      </c>
      <c r="J4607" s="29">
        <f>'Raw data'!K4516</f>
        <v>0</v>
      </c>
      <c r="K4607" s="31">
        <f>'Raw data'!H4516</f>
        <v>0</v>
      </c>
      <c r="L4607" s="26">
        <f t="shared" si="146"/>
        <v>0</v>
      </c>
    </row>
    <row r="4608" spans="2:12">
      <c r="B4608" s="4" t="e">
        <f t="shared" si="145"/>
        <v>#N/A</v>
      </c>
      <c r="C4608" s="4">
        <f>'Raw data'!E4184</f>
        <v>0</v>
      </c>
      <c r="D4608" s="29" t="e">
        <f>VLOOKUP(C4608,'점포코드 '!A:B,2,0)</f>
        <v>#N/A</v>
      </c>
      <c r="E4608" s="30">
        <f>'Raw data'!P4184</f>
        <v>0</v>
      </c>
      <c r="F4608" s="29" t="e">
        <f>VLOOKUP(E4608,'점포코드 '!A:B,2,0)</f>
        <v>#N/A</v>
      </c>
      <c r="G4608" s="46">
        <f>'Raw data'!F4517</f>
        <v>0</v>
      </c>
      <c r="H4608" s="4">
        <f>'Raw data'!G4517</f>
        <v>0</v>
      </c>
      <c r="I4608" s="29" t="e">
        <f>VLOOKUP(G4608,제품명!$C$1:$E$114,2,0)</f>
        <v>#N/A</v>
      </c>
      <c r="J4608" s="29">
        <f>'Raw data'!K4517</f>
        <v>0</v>
      </c>
      <c r="K4608" s="31">
        <f>'Raw data'!H4517</f>
        <v>0</v>
      </c>
      <c r="L4608" s="26">
        <f t="shared" si="146"/>
        <v>0</v>
      </c>
    </row>
    <row r="4609" spans="2:12">
      <c r="B4609" s="4" t="e">
        <f t="shared" si="145"/>
        <v>#N/A</v>
      </c>
      <c r="C4609" s="4">
        <f>'Raw data'!E4185</f>
        <v>0</v>
      </c>
      <c r="D4609" s="29" t="e">
        <f>VLOOKUP(C4609,'점포코드 '!A:B,2,0)</f>
        <v>#N/A</v>
      </c>
      <c r="E4609" s="30">
        <f>'Raw data'!P4185</f>
        <v>0</v>
      </c>
      <c r="F4609" s="29" t="e">
        <f>VLOOKUP(E4609,'점포코드 '!A:B,2,0)</f>
        <v>#N/A</v>
      </c>
      <c r="G4609" s="46">
        <f>'Raw data'!F4518</f>
        <v>0</v>
      </c>
      <c r="H4609" s="4">
        <f>'Raw data'!G4518</f>
        <v>0</v>
      </c>
      <c r="I4609" s="29" t="e">
        <f>VLOOKUP(G4609,제품명!$C$1:$E$114,2,0)</f>
        <v>#N/A</v>
      </c>
      <c r="J4609" s="29">
        <f>'Raw data'!K4518</f>
        <v>0</v>
      </c>
      <c r="K4609" s="31">
        <f>'Raw data'!H4518</f>
        <v>0</v>
      </c>
      <c r="L4609" s="26">
        <f t="shared" si="146"/>
        <v>0</v>
      </c>
    </row>
    <row r="4610" spans="2:12">
      <c r="B4610" s="4" t="e">
        <f t="shared" ref="B4610:B4673" si="147">F4610&amp;I4610</f>
        <v>#N/A</v>
      </c>
      <c r="C4610" s="4">
        <f>'Raw data'!E4186</f>
        <v>0</v>
      </c>
      <c r="D4610" s="29" t="e">
        <f>VLOOKUP(C4610,'점포코드 '!A:B,2,0)</f>
        <v>#N/A</v>
      </c>
      <c r="E4610" s="30">
        <f>'Raw data'!P4186</f>
        <v>0</v>
      </c>
      <c r="F4610" s="29" t="e">
        <f>VLOOKUP(E4610,'점포코드 '!A:B,2,0)</f>
        <v>#N/A</v>
      </c>
      <c r="G4610" s="46">
        <f>'Raw data'!F4519</f>
        <v>0</v>
      </c>
      <c r="H4610" s="4">
        <f>'Raw data'!G4519</f>
        <v>0</v>
      </c>
      <c r="I4610" s="29" t="e">
        <f>VLOOKUP(G4610,제품명!$C$1:$E$114,2,0)</f>
        <v>#N/A</v>
      </c>
      <c r="J4610" s="29">
        <f>'Raw data'!K4519</f>
        <v>0</v>
      </c>
      <c r="K4610" s="31">
        <f>'Raw data'!H4519</f>
        <v>0</v>
      </c>
      <c r="L4610" s="26">
        <f t="shared" si="146"/>
        <v>0</v>
      </c>
    </row>
    <row r="4611" spans="2:12">
      <c r="B4611" s="4" t="e">
        <f t="shared" si="147"/>
        <v>#N/A</v>
      </c>
      <c r="C4611" s="4">
        <f>'Raw data'!E4187</f>
        <v>0</v>
      </c>
      <c r="D4611" s="29" t="e">
        <f>VLOOKUP(C4611,'점포코드 '!A:B,2,0)</f>
        <v>#N/A</v>
      </c>
      <c r="E4611" s="30">
        <f>'Raw data'!P4187</f>
        <v>0</v>
      </c>
      <c r="F4611" s="29" t="e">
        <f>VLOOKUP(E4611,'점포코드 '!A:B,2,0)</f>
        <v>#N/A</v>
      </c>
      <c r="G4611" s="46">
        <f>'Raw data'!F4520</f>
        <v>0</v>
      </c>
      <c r="H4611" s="4">
        <f>'Raw data'!G4520</f>
        <v>0</v>
      </c>
      <c r="I4611" s="29" t="e">
        <f>VLOOKUP(G4611,제품명!$C$1:$E$114,2,0)</f>
        <v>#N/A</v>
      </c>
      <c r="J4611" s="29">
        <f>'Raw data'!K4520</f>
        <v>0</v>
      </c>
      <c r="K4611" s="31">
        <f>'Raw data'!H4520</f>
        <v>0</v>
      </c>
      <c r="L4611" s="26">
        <f t="shared" ref="L4611:L4674" si="148">J4611*K4611</f>
        <v>0</v>
      </c>
    </row>
    <row r="4612" spans="2:12">
      <c r="B4612" s="4" t="e">
        <f t="shared" si="147"/>
        <v>#N/A</v>
      </c>
      <c r="C4612" s="4">
        <f>'Raw data'!E4188</f>
        <v>0</v>
      </c>
      <c r="D4612" s="29" t="e">
        <f>VLOOKUP(C4612,'점포코드 '!A:B,2,0)</f>
        <v>#N/A</v>
      </c>
      <c r="E4612" s="30">
        <f>'Raw data'!P4188</f>
        <v>0</v>
      </c>
      <c r="F4612" s="29" t="e">
        <f>VLOOKUP(E4612,'점포코드 '!A:B,2,0)</f>
        <v>#N/A</v>
      </c>
      <c r="G4612" s="46">
        <f>'Raw data'!F4521</f>
        <v>0</v>
      </c>
      <c r="H4612" s="4">
        <f>'Raw data'!G4521</f>
        <v>0</v>
      </c>
      <c r="I4612" s="29" t="e">
        <f>VLOOKUP(G4612,제품명!$C$1:$E$114,2,0)</f>
        <v>#N/A</v>
      </c>
      <c r="J4612" s="29">
        <f>'Raw data'!K4521</f>
        <v>0</v>
      </c>
      <c r="K4612" s="31">
        <f>'Raw data'!H4521</f>
        <v>0</v>
      </c>
      <c r="L4612" s="26">
        <f t="shared" si="148"/>
        <v>0</v>
      </c>
    </row>
    <row r="4613" spans="2:12">
      <c r="B4613" s="4" t="e">
        <f t="shared" si="147"/>
        <v>#N/A</v>
      </c>
      <c r="C4613" s="4">
        <f>'Raw data'!E4189</f>
        <v>0</v>
      </c>
      <c r="D4613" s="29" t="e">
        <f>VLOOKUP(C4613,'점포코드 '!A:B,2,0)</f>
        <v>#N/A</v>
      </c>
      <c r="E4613" s="30">
        <f>'Raw data'!P4189</f>
        <v>0</v>
      </c>
      <c r="F4613" s="29" t="e">
        <f>VLOOKUP(E4613,'점포코드 '!A:B,2,0)</f>
        <v>#N/A</v>
      </c>
      <c r="G4613" s="46">
        <f>'Raw data'!F4522</f>
        <v>0</v>
      </c>
      <c r="H4613" s="4">
        <f>'Raw data'!G4522</f>
        <v>0</v>
      </c>
      <c r="I4613" s="29" t="e">
        <f>VLOOKUP(G4613,제품명!$C$1:$E$114,2,0)</f>
        <v>#N/A</v>
      </c>
      <c r="J4613" s="29">
        <f>'Raw data'!K4522</f>
        <v>0</v>
      </c>
      <c r="K4613" s="31">
        <f>'Raw data'!H4522</f>
        <v>0</v>
      </c>
      <c r="L4613" s="26">
        <f t="shared" si="148"/>
        <v>0</v>
      </c>
    </row>
    <row r="4614" spans="2:12">
      <c r="B4614" s="4" t="e">
        <f t="shared" si="147"/>
        <v>#N/A</v>
      </c>
      <c r="C4614" s="4">
        <f>'Raw data'!E4190</f>
        <v>0</v>
      </c>
      <c r="D4614" s="29" t="e">
        <f>VLOOKUP(C4614,'점포코드 '!A:B,2,0)</f>
        <v>#N/A</v>
      </c>
      <c r="E4614" s="30">
        <f>'Raw data'!P4190</f>
        <v>0</v>
      </c>
      <c r="F4614" s="29" t="e">
        <f>VLOOKUP(E4614,'점포코드 '!A:B,2,0)</f>
        <v>#N/A</v>
      </c>
      <c r="G4614" s="46">
        <f>'Raw data'!F4523</f>
        <v>0</v>
      </c>
      <c r="H4614" s="4">
        <f>'Raw data'!G4523</f>
        <v>0</v>
      </c>
      <c r="I4614" s="29" t="e">
        <f>VLOOKUP(G4614,제품명!$C$1:$E$114,2,0)</f>
        <v>#N/A</v>
      </c>
      <c r="J4614" s="29">
        <f>'Raw data'!K4523</f>
        <v>0</v>
      </c>
      <c r="K4614" s="31">
        <f>'Raw data'!H4523</f>
        <v>0</v>
      </c>
      <c r="L4614" s="26">
        <f t="shared" si="148"/>
        <v>0</v>
      </c>
    </row>
    <row r="4615" spans="2:12">
      <c r="B4615" s="4" t="e">
        <f t="shared" si="147"/>
        <v>#N/A</v>
      </c>
      <c r="C4615" s="4">
        <f>'Raw data'!E4191</f>
        <v>0</v>
      </c>
      <c r="D4615" s="29" t="e">
        <f>VLOOKUP(C4615,'점포코드 '!A:B,2,0)</f>
        <v>#N/A</v>
      </c>
      <c r="E4615" s="30">
        <f>'Raw data'!P4191</f>
        <v>0</v>
      </c>
      <c r="F4615" s="29" t="e">
        <f>VLOOKUP(E4615,'점포코드 '!A:B,2,0)</f>
        <v>#N/A</v>
      </c>
      <c r="G4615" s="46">
        <f>'Raw data'!F4524</f>
        <v>0</v>
      </c>
      <c r="H4615" s="4">
        <f>'Raw data'!G4524</f>
        <v>0</v>
      </c>
      <c r="I4615" s="29" t="e">
        <f>VLOOKUP(G4615,제품명!$C$1:$E$114,2,0)</f>
        <v>#N/A</v>
      </c>
      <c r="J4615" s="29">
        <f>'Raw data'!K4524</f>
        <v>0</v>
      </c>
      <c r="K4615" s="31">
        <f>'Raw data'!H4524</f>
        <v>0</v>
      </c>
      <c r="L4615" s="26">
        <f t="shared" si="148"/>
        <v>0</v>
      </c>
    </row>
    <row r="4616" spans="2:12">
      <c r="B4616" s="4" t="e">
        <f t="shared" si="147"/>
        <v>#N/A</v>
      </c>
      <c r="C4616" s="4">
        <f>'Raw data'!E4192</f>
        <v>0</v>
      </c>
      <c r="D4616" s="29" t="e">
        <f>VLOOKUP(C4616,'점포코드 '!A:B,2,0)</f>
        <v>#N/A</v>
      </c>
      <c r="E4616" s="30">
        <f>'Raw data'!P4192</f>
        <v>0</v>
      </c>
      <c r="F4616" s="29" t="e">
        <f>VLOOKUP(E4616,'점포코드 '!A:B,2,0)</f>
        <v>#N/A</v>
      </c>
      <c r="G4616" s="46">
        <f>'Raw data'!F4525</f>
        <v>0</v>
      </c>
      <c r="H4616" s="4">
        <f>'Raw data'!G4525</f>
        <v>0</v>
      </c>
      <c r="I4616" s="29" t="e">
        <f>VLOOKUP(G4616,제품명!$C$1:$E$114,2,0)</f>
        <v>#N/A</v>
      </c>
      <c r="J4616" s="29">
        <f>'Raw data'!K4525</f>
        <v>0</v>
      </c>
      <c r="K4616" s="31">
        <f>'Raw data'!H4525</f>
        <v>0</v>
      </c>
      <c r="L4616" s="26">
        <f t="shared" si="148"/>
        <v>0</v>
      </c>
    </row>
    <row r="4617" spans="2:12">
      <c r="B4617" s="4" t="e">
        <f t="shared" si="147"/>
        <v>#N/A</v>
      </c>
      <c r="C4617" s="4">
        <f>'Raw data'!E4193</f>
        <v>0</v>
      </c>
      <c r="D4617" s="29" t="e">
        <f>VLOOKUP(C4617,'점포코드 '!A:B,2,0)</f>
        <v>#N/A</v>
      </c>
      <c r="E4617" s="30">
        <f>'Raw data'!P4193</f>
        <v>0</v>
      </c>
      <c r="F4617" s="29" t="e">
        <f>VLOOKUP(E4617,'점포코드 '!A:B,2,0)</f>
        <v>#N/A</v>
      </c>
      <c r="G4617" s="46">
        <f>'Raw data'!F4526</f>
        <v>0</v>
      </c>
      <c r="H4617" s="4">
        <f>'Raw data'!G4526</f>
        <v>0</v>
      </c>
      <c r="I4617" s="29" t="e">
        <f>VLOOKUP(G4617,제품명!$C$1:$E$114,2,0)</f>
        <v>#N/A</v>
      </c>
      <c r="J4617" s="29">
        <f>'Raw data'!K4526</f>
        <v>0</v>
      </c>
      <c r="K4617" s="31">
        <f>'Raw data'!H4526</f>
        <v>0</v>
      </c>
      <c r="L4617" s="26">
        <f t="shared" si="148"/>
        <v>0</v>
      </c>
    </row>
    <row r="4618" spans="2:12">
      <c r="B4618" s="4" t="e">
        <f t="shared" si="147"/>
        <v>#N/A</v>
      </c>
      <c r="C4618" s="4">
        <f>'Raw data'!E4194</f>
        <v>0</v>
      </c>
      <c r="D4618" s="29" t="e">
        <f>VLOOKUP(C4618,'점포코드 '!A:B,2,0)</f>
        <v>#N/A</v>
      </c>
      <c r="E4618" s="30">
        <f>'Raw data'!P4194</f>
        <v>0</v>
      </c>
      <c r="F4618" s="29" t="e">
        <f>VLOOKUP(E4618,'점포코드 '!A:B,2,0)</f>
        <v>#N/A</v>
      </c>
      <c r="G4618" s="46">
        <f>'Raw data'!F4527</f>
        <v>0</v>
      </c>
      <c r="H4618" s="4">
        <f>'Raw data'!G4527</f>
        <v>0</v>
      </c>
      <c r="I4618" s="29" t="e">
        <f>VLOOKUP(G4618,제품명!$C$1:$E$114,2,0)</f>
        <v>#N/A</v>
      </c>
      <c r="J4618" s="29">
        <f>'Raw data'!K4527</f>
        <v>0</v>
      </c>
      <c r="K4618" s="31">
        <f>'Raw data'!H4527</f>
        <v>0</v>
      </c>
      <c r="L4618" s="26">
        <f t="shared" si="148"/>
        <v>0</v>
      </c>
    </row>
    <row r="4619" spans="2:12">
      <c r="B4619" s="4" t="e">
        <f t="shared" si="147"/>
        <v>#N/A</v>
      </c>
      <c r="C4619" s="4">
        <f>'Raw data'!E4195</f>
        <v>0</v>
      </c>
      <c r="D4619" s="29" t="e">
        <f>VLOOKUP(C4619,'점포코드 '!A:B,2,0)</f>
        <v>#N/A</v>
      </c>
      <c r="E4619" s="30">
        <f>'Raw data'!P4195</f>
        <v>0</v>
      </c>
      <c r="F4619" s="29" t="e">
        <f>VLOOKUP(E4619,'점포코드 '!A:B,2,0)</f>
        <v>#N/A</v>
      </c>
      <c r="G4619" s="46">
        <f>'Raw data'!F4528</f>
        <v>0</v>
      </c>
      <c r="H4619" s="4">
        <f>'Raw data'!G4528</f>
        <v>0</v>
      </c>
      <c r="I4619" s="29" t="e">
        <f>VLOOKUP(G4619,제품명!$C$1:$E$114,2,0)</f>
        <v>#N/A</v>
      </c>
      <c r="J4619" s="29">
        <f>'Raw data'!K4528</f>
        <v>0</v>
      </c>
      <c r="K4619" s="31">
        <f>'Raw data'!H4528</f>
        <v>0</v>
      </c>
      <c r="L4619" s="26">
        <f t="shared" si="148"/>
        <v>0</v>
      </c>
    </row>
    <row r="4620" spans="2:12">
      <c r="B4620" s="4" t="e">
        <f t="shared" si="147"/>
        <v>#N/A</v>
      </c>
      <c r="C4620" s="4">
        <f>'Raw data'!E4196</f>
        <v>0</v>
      </c>
      <c r="D4620" s="29" t="e">
        <f>VLOOKUP(C4620,'점포코드 '!A:B,2,0)</f>
        <v>#N/A</v>
      </c>
      <c r="E4620" s="30">
        <f>'Raw data'!P4196</f>
        <v>0</v>
      </c>
      <c r="F4620" s="29" t="e">
        <f>VLOOKUP(E4620,'점포코드 '!A:B,2,0)</f>
        <v>#N/A</v>
      </c>
      <c r="G4620" s="46">
        <f>'Raw data'!F4529</f>
        <v>0</v>
      </c>
      <c r="H4620" s="4">
        <f>'Raw data'!G4529</f>
        <v>0</v>
      </c>
      <c r="I4620" s="29" t="e">
        <f>VLOOKUP(G4620,제품명!$C$1:$E$114,2,0)</f>
        <v>#N/A</v>
      </c>
      <c r="J4620" s="29">
        <f>'Raw data'!K4529</f>
        <v>0</v>
      </c>
      <c r="K4620" s="31">
        <f>'Raw data'!H4529</f>
        <v>0</v>
      </c>
      <c r="L4620" s="26">
        <f t="shared" si="148"/>
        <v>0</v>
      </c>
    </row>
    <row r="4621" spans="2:12">
      <c r="B4621" s="4" t="e">
        <f t="shared" si="147"/>
        <v>#N/A</v>
      </c>
      <c r="C4621" s="4">
        <f>'Raw data'!E4197</f>
        <v>0</v>
      </c>
      <c r="D4621" s="29" t="e">
        <f>VLOOKUP(C4621,'점포코드 '!A:B,2,0)</f>
        <v>#N/A</v>
      </c>
      <c r="E4621" s="30">
        <f>'Raw data'!P4197</f>
        <v>0</v>
      </c>
      <c r="F4621" s="29" t="e">
        <f>VLOOKUP(E4621,'점포코드 '!A:B,2,0)</f>
        <v>#N/A</v>
      </c>
      <c r="G4621" s="46">
        <f>'Raw data'!F4530</f>
        <v>0</v>
      </c>
      <c r="H4621" s="4">
        <f>'Raw data'!G4530</f>
        <v>0</v>
      </c>
      <c r="I4621" s="29" t="e">
        <f>VLOOKUP(G4621,제품명!$C$1:$E$114,2,0)</f>
        <v>#N/A</v>
      </c>
      <c r="J4621" s="29">
        <f>'Raw data'!K4530</f>
        <v>0</v>
      </c>
      <c r="K4621" s="31">
        <f>'Raw data'!H4530</f>
        <v>0</v>
      </c>
      <c r="L4621" s="26">
        <f t="shared" si="148"/>
        <v>0</v>
      </c>
    </row>
    <row r="4622" spans="2:12">
      <c r="B4622" s="4" t="e">
        <f t="shared" si="147"/>
        <v>#N/A</v>
      </c>
      <c r="C4622" s="4">
        <f>'Raw data'!E4198</f>
        <v>0</v>
      </c>
      <c r="D4622" s="29" t="e">
        <f>VLOOKUP(C4622,'점포코드 '!A:B,2,0)</f>
        <v>#N/A</v>
      </c>
      <c r="E4622" s="30">
        <f>'Raw data'!P4198</f>
        <v>0</v>
      </c>
      <c r="F4622" s="29" t="e">
        <f>VLOOKUP(E4622,'점포코드 '!A:B,2,0)</f>
        <v>#N/A</v>
      </c>
      <c r="G4622" s="46">
        <f>'Raw data'!F4531</f>
        <v>0</v>
      </c>
      <c r="H4622" s="4">
        <f>'Raw data'!G4531</f>
        <v>0</v>
      </c>
      <c r="I4622" s="29" t="e">
        <f>VLOOKUP(G4622,제품명!$C$1:$E$114,2,0)</f>
        <v>#N/A</v>
      </c>
      <c r="J4622" s="29">
        <f>'Raw data'!K4531</f>
        <v>0</v>
      </c>
      <c r="K4622" s="31">
        <f>'Raw data'!H4531</f>
        <v>0</v>
      </c>
      <c r="L4622" s="26">
        <f t="shared" si="148"/>
        <v>0</v>
      </c>
    </row>
    <row r="4623" spans="2:12">
      <c r="B4623" s="4" t="e">
        <f t="shared" si="147"/>
        <v>#N/A</v>
      </c>
      <c r="C4623" s="4">
        <f>'Raw data'!E4199</f>
        <v>0</v>
      </c>
      <c r="D4623" s="29" t="e">
        <f>VLOOKUP(C4623,'점포코드 '!A:B,2,0)</f>
        <v>#N/A</v>
      </c>
      <c r="E4623" s="30">
        <f>'Raw data'!P4199</f>
        <v>0</v>
      </c>
      <c r="F4623" s="29" t="e">
        <f>VLOOKUP(E4623,'점포코드 '!A:B,2,0)</f>
        <v>#N/A</v>
      </c>
      <c r="G4623" s="46">
        <f>'Raw data'!F4532</f>
        <v>0</v>
      </c>
      <c r="H4623" s="4">
        <f>'Raw data'!G4532</f>
        <v>0</v>
      </c>
      <c r="I4623" s="29" t="e">
        <f>VLOOKUP(G4623,제품명!$C$1:$E$114,2,0)</f>
        <v>#N/A</v>
      </c>
      <c r="J4623" s="29">
        <f>'Raw data'!K4532</f>
        <v>0</v>
      </c>
      <c r="K4623" s="31">
        <f>'Raw data'!H4532</f>
        <v>0</v>
      </c>
      <c r="L4623" s="26">
        <f t="shared" si="148"/>
        <v>0</v>
      </c>
    </row>
    <row r="4624" spans="2:12">
      <c r="B4624" s="4" t="e">
        <f t="shared" si="147"/>
        <v>#N/A</v>
      </c>
      <c r="C4624" s="4">
        <f>'Raw data'!E4200</f>
        <v>0</v>
      </c>
      <c r="D4624" s="29" t="e">
        <f>VLOOKUP(C4624,'점포코드 '!A:B,2,0)</f>
        <v>#N/A</v>
      </c>
      <c r="E4624" s="30">
        <f>'Raw data'!P4200</f>
        <v>0</v>
      </c>
      <c r="F4624" s="29" t="e">
        <f>VLOOKUP(E4624,'점포코드 '!A:B,2,0)</f>
        <v>#N/A</v>
      </c>
      <c r="G4624" s="46">
        <f>'Raw data'!F4533</f>
        <v>0</v>
      </c>
      <c r="H4624" s="4">
        <f>'Raw data'!G4533</f>
        <v>0</v>
      </c>
      <c r="I4624" s="29" t="e">
        <f>VLOOKUP(G4624,제품명!$C$1:$E$114,2,0)</f>
        <v>#N/A</v>
      </c>
      <c r="J4624" s="29">
        <f>'Raw data'!K4533</f>
        <v>0</v>
      </c>
      <c r="K4624" s="31">
        <f>'Raw data'!H4533</f>
        <v>0</v>
      </c>
      <c r="L4624" s="26">
        <f t="shared" si="148"/>
        <v>0</v>
      </c>
    </row>
    <row r="4625" spans="2:12">
      <c r="B4625" s="4" t="e">
        <f t="shared" si="147"/>
        <v>#N/A</v>
      </c>
      <c r="C4625" s="4">
        <f>'Raw data'!E4201</f>
        <v>0</v>
      </c>
      <c r="D4625" s="29" t="e">
        <f>VLOOKUP(C4625,'점포코드 '!A:B,2,0)</f>
        <v>#N/A</v>
      </c>
      <c r="E4625" s="30">
        <f>'Raw data'!P4201</f>
        <v>0</v>
      </c>
      <c r="F4625" s="29" t="e">
        <f>VLOOKUP(E4625,'점포코드 '!A:B,2,0)</f>
        <v>#N/A</v>
      </c>
      <c r="G4625" s="46">
        <f>'Raw data'!F4534</f>
        <v>0</v>
      </c>
      <c r="H4625" s="4">
        <f>'Raw data'!G4534</f>
        <v>0</v>
      </c>
      <c r="I4625" s="29" t="e">
        <f>VLOOKUP(G4625,제품명!$C$1:$E$114,2,0)</f>
        <v>#N/A</v>
      </c>
      <c r="J4625" s="29">
        <f>'Raw data'!K4534</f>
        <v>0</v>
      </c>
      <c r="K4625" s="31">
        <f>'Raw data'!H4534</f>
        <v>0</v>
      </c>
      <c r="L4625" s="26">
        <f t="shared" si="148"/>
        <v>0</v>
      </c>
    </row>
    <row r="4626" spans="2:12">
      <c r="B4626" s="4" t="e">
        <f t="shared" si="147"/>
        <v>#N/A</v>
      </c>
      <c r="C4626" s="4">
        <f>'Raw data'!E4202</f>
        <v>0</v>
      </c>
      <c r="D4626" s="29" t="e">
        <f>VLOOKUP(C4626,'점포코드 '!A:B,2,0)</f>
        <v>#N/A</v>
      </c>
      <c r="E4626" s="30">
        <f>'Raw data'!P4202</f>
        <v>0</v>
      </c>
      <c r="F4626" s="29" t="e">
        <f>VLOOKUP(E4626,'점포코드 '!A:B,2,0)</f>
        <v>#N/A</v>
      </c>
      <c r="G4626" s="46">
        <f>'Raw data'!F4535</f>
        <v>0</v>
      </c>
      <c r="H4626" s="4">
        <f>'Raw data'!G4535</f>
        <v>0</v>
      </c>
      <c r="I4626" s="29" t="e">
        <f>VLOOKUP(G4626,제품명!$C$1:$E$114,2,0)</f>
        <v>#N/A</v>
      </c>
      <c r="J4626" s="29">
        <f>'Raw data'!K4535</f>
        <v>0</v>
      </c>
      <c r="K4626" s="31">
        <f>'Raw data'!H4535</f>
        <v>0</v>
      </c>
      <c r="L4626" s="26">
        <f t="shared" si="148"/>
        <v>0</v>
      </c>
    </row>
    <row r="4627" spans="2:12">
      <c r="B4627" s="4" t="e">
        <f t="shared" si="147"/>
        <v>#N/A</v>
      </c>
      <c r="C4627" s="4">
        <f>'Raw data'!E4203</f>
        <v>0</v>
      </c>
      <c r="D4627" s="29" t="e">
        <f>VLOOKUP(C4627,'점포코드 '!A:B,2,0)</f>
        <v>#N/A</v>
      </c>
      <c r="E4627" s="30">
        <f>'Raw data'!P4203</f>
        <v>0</v>
      </c>
      <c r="F4627" s="29" t="e">
        <f>VLOOKUP(E4627,'점포코드 '!A:B,2,0)</f>
        <v>#N/A</v>
      </c>
      <c r="G4627" s="46">
        <f>'Raw data'!F4536</f>
        <v>0</v>
      </c>
      <c r="H4627" s="4">
        <f>'Raw data'!G4536</f>
        <v>0</v>
      </c>
      <c r="I4627" s="29" t="e">
        <f>VLOOKUP(G4627,제품명!$C$1:$E$114,2,0)</f>
        <v>#N/A</v>
      </c>
      <c r="J4627" s="29">
        <f>'Raw data'!K4536</f>
        <v>0</v>
      </c>
      <c r="K4627" s="31">
        <f>'Raw data'!H4536</f>
        <v>0</v>
      </c>
      <c r="L4627" s="26">
        <f t="shared" si="148"/>
        <v>0</v>
      </c>
    </row>
    <row r="4628" spans="2:12">
      <c r="B4628" s="4" t="e">
        <f t="shared" si="147"/>
        <v>#N/A</v>
      </c>
      <c r="C4628" s="4">
        <f>'Raw data'!E4204</f>
        <v>0</v>
      </c>
      <c r="D4628" s="29" t="e">
        <f>VLOOKUP(C4628,'점포코드 '!A:B,2,0)</f>
        <v>#N/A</v>
      </c>
      <c r="E4628" s="30">
        <f>'Raw data'!P4204</f>
        <v>0</v>
      </c>
      <c r="F4628" s="29" t="e">
        <f>VLOOKUP(E4628,'점포코드 '!A:B,2,0)</f>
        <v>#N/A</v>
      </c>
      <c r="G4628" s="46">
        <f>'Raw data'!F4537</f>
        <v>0</v>
      </c>
      <c r="H4628" s="4">
        <f>'Raw data'!G4537</f>
        <v>0</v>
      </c>
      <c r="I4628" s="29" t="e">
        <f>VLOOKUP(G4628,제품명!$C$1:$E$114,2,0)</f>
        <v>#N/A</v>
      </c>
      <c r="J4628" s="29">
        <f>'Raw data'!K4537</f>
        <v>0</v>
      </c>
      <c r="K4628" s="31">
        <f>'Raw data'!H4537</f>
        <v>0</v>
      </c>
      <c r="L4628" s="26">
        <f t="shared" si="148"/>
        <v>0</v>
      </c>
    </row>
    <row r="4629" spans="2:12">
      <c r="B4629" s="4" t="e">
        <f t="shared" si="147"/>
        <v>#N/A</v>
      </c>
      <c r="C4629" s="4">
        <f>'Raw data'!E4205</f>
        <v>0</v>
      </c>
      <c r="D4629" s="29" t="e">
        <f>VLOOKUP(C4629,'점포코드 '!A:B,2,0)</f>
        <v>#N/A</v>
      </c>
      <c r="E4629" s="30">
        <f>'Raw data'!P4205</f>
        <v>0</v>
      </c>
      <c r="F4629" s="29" t="e">
        <f>VLOOKUP(E4629,'점포코드 '!A:B,2,0)</f>
        <v>#N/A</v>
      </c>
      <c r="G4629" s="46">
        <f>'Raw data'!F4538</f>
        <v>0</v>
      </c>
      <c r="H4629" s="4">
        <f>'Raw data'!G4538</f>
        <v>0</v>
      </c>
      <c r="I4629" s="29" t="e">
        <f>VLOOKUP(G4629,제품명!$C$1:$E$114,2,0)</f>
        <v>#N/A</v>
      </c>
      <c r="J4629" s="29">
        <f>'Raw data'!K4538</f>
        <v>0</v>
      </c>
      <c r="K4629" s="31">
        <f>'Raw data'!H4538</f>
        <v>0</v>
      </c>
      <c r="L4629" s="26">
        <f t="shared" si="148"/>
        <v>0</v>
      </c>
    </row>
    <row r="4630" spans="2:12">
      <c r="B4630" s="4" t="e">
        <f t="shared" si="147"/>
        <v>#N/A</v>
      </c>
      <c r="C4630" s="4">
        <f>'Raw data'!E4206</f>
        <v>0</v>
      </c>
      <c r="D4630" s="29" t="e">
        <f>VLOOKUP(C4630,'점포코드 '!A:B,2,0)</f>
        <v>#N/A</v>
      </c>
      <c r="E4630" s="30">
        <f>'Raw data'!P4206</f>
        <v>0</v>
      </c>
      <c r="F4630" s="29" t="e">
        <f>VLOOKUP(E4630,'점포코드 '!A:B,2,0)</f>
        <v>#N/A</v>
      </c>
      <c r="G4630" s="46">
        <f>'Raw data'!F4539</f>
        <v>0</v>
      </c>
      <c r="H4630" s="4">
        <f>'Raw data'!G4539</f>
        <v>0</v>
      </c>
      <c r="I4630" s="29" t="e">
        <f>VLOOKUP(G4630,제품명!$C$1:$E$114,2,0)</f>
        <v>#N/A</v>
      </c>
      <c r="J4630" s="29">
        <f>'Raw data'!K4539</f>
        <v>0</v>
      </c>
      <c r="K4630" s="31">
        <f>'Raw data'!H4539</f>
        <v>0</v>
      </c>
      <c r="L4630" s="26">
        <f t="shared" si="148"/>
        <v>0</v>
      </c>
    </row>
    <row r="4631" spans="2:12">
      <c r="B4631" s="4" t="e">
        <f t="shared" si="147"/>
        <v>#N/A</v>
      </c>
      <c r="C4631" s="4">
        <f>'Raw data'!E4207</f>
        <v>0</v>
      </c>
      <c r="D4631" s="29" t="e">
        <f>VLOOKUP(C4631,'점포코드 '!A:B,2,0)</f>
        <v>#N/A</v>
      </c>
      <c r="E4631" s="30">
        <f>'Raw data'!P4207</f>
        <v>0</v>
      </c>
      <c r="F4631" s="29" t="e">
        <f>VLOOKUP(E4631,'점포코드 '!A:B,2,0)</f>
        <v>#N/A</v>
      </c>
      <c r="G4631" s="46">
        <f>'Raw data'!F4540</f>
        <v>0</v>
      </c>
      <c r="H4631" s="4">
        <f>'Raw data'!G4540</f>
        <v>0</v>
      </c>
      <c r="I4631" s="29" t="e">
        <f>VLOOKUP(G4631,제품명!$C$1:$E$114,2,0)</f>
        <v>#N/A</v>
      </c>
      <c r="J4631" s="29">
        <f>'Raw data'!K4540</f>
        <v>0</v>
      </c>
      <c r="K4631" s="31">
        <f>'Raw data'!H4540</f>
        <v>0</v>
      </c>
      <c r="L4631" s="26">
        <f t="shared" si="148"/>
        <v>0</v>
      </c>
    </row>
    <row r="4632" spans="2:12">
      <c r="B4632" s="4" t="e">
        <f t="shared" si="147"/>
        <v>#N/A</v>
      </c>
      <c r="C4632" s="4">
        <f>'Raw data'!E4208</f>
        <v>0</v>
      </c>
      <c r="D4632" s="29" t="e">
        <f>VLOOKUP(C4632,'점포코드 '!A:B,2,0)</f>
        <v>#N/A</v>
      </c>
      <c r="E4632" s="30">
        <f>'Raw data'!P4208</f>
        <v>0</v>
      </c>
      <c r="F4632" s="29" t="e">
        <f>VLOOKUP(E4632,'점포코드 '!A:B,2,0)</f>
        <v>#N/A</v>
      </c>
      <c r="G4632" s="46">
        <f>'Raw data'!F4541</f>
        <v>0</v>
      </c>
      <c r="H4632" s="4">
        <f>'Raw data'!G4541</f>
        <v>0</v>
      </c>
      <c r="I4632" s="29" t="e">
        <f>VLOOKUP(G4632,제품명!$C$1:$E$114,2,0)</f>
        <v>#N/A</v>
      </c>
      <c r="J4632" s="29">
        <f>'Raw data'!K4541</f>
        <v>0</v>
      </c>
      <c r="K4632" s="31">
        <f>'Raw data'!H4541</f>
        <v>0</v>
      </c>
      <c r="L4632" s="26">
        <f t="shared" si="148"/>
        <v>0</v>
      </c>
    </row>
    <row r="4633" spans="2:12">
      <c r="B4633" s="4" t="e">
        <f t="shared" si="147"/>
        <v>#N/A</v>
      </c>
      <c r="C4633" s="4">
        <f>'Raw data'!E4209</f>
        <v>0</v>
      </c>
      <c r="D4633" s="29" t="e">
        <f>VLOOKUP(C4633,'점포코드 '!A:B,2,0)</f>
        <v>#N/A</v>
      </c>
      <c r="E4633" s="30">
        <f>'Raw data'!P4209</f>
        <v>0</v>
      </c>
      <c r="F4633" s="29" t="e">
        <f>VLOOKUP(E4633,'점포코드 '!A:B,2,0)</f>
        <v>#N/A</v>
      </c>
      <c r="G4633" s="46">
        <f>'Raw data'!F4542</f>
        <v>0</v>
      </c>
      <c r="H4633" s="4">
        <f>'Raw data'!G4542</f>
        <v>0</v>
      </c>
      <c r="I4633" s="29" t="e">
        <f>VLOOKUP(G4633,제품명!$C$1:$E$114,2,0)</f>
        <v>#N/A</v>
      </c>
      <c r="J4633" s="29">
        <f>'Raw data'!K4542</f>
        <v>0</v>
      </c>
      <c r="K4633" s="31">
        <f>'Raw data'!H4542</f>
        <v>0</v>
      </c>
      <c r="L4633" s="26">
        <f t="shared" si="148"/>
        <v>0</v>
      </c>
    </row>
    <row r="4634" spans="2:12">
      <c r="B4634" s="4" t="e">
        <f t="shared" si="147"/>
        <v>#N/A</v>
      </c>
      <c r="C4634" s="4">
        <f>'Raw data'!E4210</f>
        <v>0</v>
      </c>
      <c r="D4634" s="29" t="e">
        <f>VLOOKUP(C4634,'점포코드 '!A:B,2,0)</f>
        <v>#N/A</v>
      </c>
      <c r="E4634" s="30">
        <f>'Raw data'!P4210</f>
        <v>0</v>
      </c>
      <c r="F4634" s="29" t="e">
        <f>VLOOKUP(E4634,'점포코드 '!A:B,2,0)</f>
        <v>#N/A</v>
      </c>
      <c r="G4634" s="46">
        <f>'Raw data'!F4543</f>
        <v>0</v>
      </c>
      <c r="H4634" s="4">
        <f>'Raw data'!G4543</f>
        <v>0</v>
      </c>
      <c r="I4634" s="29" t="e">
        <f>VLOOKUP(G4634,제품명!$C$1:$E$114,2,0)</f>
        <v>#N/A</v>
      </c>
      <c r="J4634" s="29">
        <f>'Raw data'!K4543</f>
        <v>0</v>
      </c>
      <c r="K4634" s="31">
        <f>'Raw data'!H4543</f>
        <v>0</v>
      </c>
      <c r="L4634" s="26">
        <f t="shared" si="148"/>
        <v>0</v>
      </c>
    </row>
    <row r="4635" spans="2:12">
      <c r="B4635" s="4" t="e">
        <f t="shared" si="147"/>
        <v>#N/A</v>
      </c>
      <c r="C4635" s="4">
        <f>'Raw data'!E4211</f>
        <v>0</v>
      </c>
      <c r="D4635" s="29" t="e">
        <f>VLOOKUP(C4635,'점포코드 '!A:B,2,0)</f>
        <v>#N/A</v>
      </c>
      <c r="E4635" s="30">
        <f>'Raw data'!P4211</f>
        <v>0</v>
      </c>
      <c r="F4635" s="29" t="e">
        <f>VLOOKUP(E4635,'점포코드 '!A:B,2,0)</f>
        <v>#N/A</v>
      </c>
      <c r="G4635" s="46">
        <f>'Raw data'!F4544</f>
        <v>0</v>
      </c>
      <c r="H4635" s="4">
        <f>'Raw data'!G4544</f>
        <v>0</v>
      </c>
      <c r="I4635" s="29" t="e">
        <f>VLOOKUP(G4635,제품명!$C$1:$E$114,2,0)</f>
        <v>#N/A</v>
      </c>
      <c r="J4635" s="29">
        <f>'Raw data'!K4544</f>
        <v>0</v>
      </c>
      <c r="K4635" s="31">
        <f>'Raw data'!H4544</f>
        <v>0</v>
      </c>
      <c r="L4635" s="26">
        <f t="shared" si="148"/>
        <v>0</v>
      </c>
    </row>
    <row r="4636" spans="2:12">
      <c r="B4636" s="4" t="e">
        <f t="shared" si="147"/>
        <v>#N/A</v>
      </c>
      <c r="C4636" s="4">
        <f>'Raw data'!E4212</f>
        <v>0</v>
      </c>
      <c r="D4636" s="29" t="e">
        <f>VLOOKUP(C4636,'점포코드 '!A:B,2,0)</f>
        <v>#N/A</v>
      </c>
      <c r="E4636" s="30">
        <f>'Raw data'!P4212</f>
        <v>0</v>
      </c>
      <c r="F4636" s="29" t="e">
        <f>VLOOKUP(E4636,'점포코드 '!A:B,2,0)</f>
        <v>#N/A</v>
      </c>
      <c r="G4636" s="46">
        <f>'Raw data'!F4545</f>
        <v>0</v>
      </c>
      <c r="H4636" s="4">
        <f>'Raw data'!G4545</f>
        <v>0</v>
      </c>
      <c r="I4636" s="29" t="e">
        <f>VLOOKUP(G4636,제품명!$C$1:$E$114,2,0)</f>
        <v>#N/A</v>
      </c>
      <c r="J4636" s="29">
        <f>'Raw data'!K4545</f>
        <v>0</v>
      </c>
      <c r="K4636" s="31">
        <f>'Raw data'!H4545</f>
        <v>0</v>
      </c>
      <c r="L4636" s="26">
        <f t="shared" si="148"/>
        <v>0</v>
      </c>
    </row>
    <row r="4637" spans="2:12">
      <c r="B4637" s="4" t="e">
        <f t="shared" si="147"/>
        <v>#N/A</v>
      </c>
      <c r="C4637" s="4">
        <f>'Raw data'!E4213</f>
        <v>0</v>
      </c>
      <c r="D4637" s="29" t="e">
        <f>VLOOKUP(C4637,'점포코드 '!A:B,2,0)</f>
        <v>#N/A</v>
      </c>
      <c r="E4637" s="30">
        <f>'Raw data'!P4213</f>
        <v>0</v>
      </c>
      <c r="F4637" s="29" t="e">
        <f>VLOOKUP(E4637,'점포코드 '!A:B,2,0)</f>
        <v>#N/A</v>
      </c>
      <c r="G4637" s="46">
        <f>'Raw data'!F4546</f>
        <v>0</v>
      </c>
      <c r="H4637" s="4">
        <f>'Raw data'!G4546</f>
        <v>0</v>
      </c>
      <c r="I4637" s="29" t="e">
        <f>VLOOKUP(G4637,제품명!$C$1:$E$114,2,0)</f>
        <v>#N/A</v>
      </c>
      <c r="J4637" s="29">
        <f>'Raw data'!K4546</f>
        <v>0</v>
      </c>
      <c r="K4637" s="31">
        <f>'Raw data'!H4546</f>
        <v>0</v>
      </c>
      <c r="L4637" s="26">
        <f t="shared" si="148"/>
        <v>0</v>
      </c>
    </row>
    <row r="4638" spans="2:12">
      <c r="B4638" s="4" t="e">
        <f t="shared" si="147"/>
        <v>#N/A</v>
      </c>
      <c r="C4638" s="4">
        <f>'Raw data'!E4214</f>
        <v>0</v>
      </c>
      <c r="D4638" s="29" t="e">
        <f>VLOOKUP(C4638,'점포코드 '!A:B,2,0)</f>
        <v>#N/A</v>
      </c>
      <c r="E4638" s="30">
        <f>'Raw data'!P4214</f>
        <v>0</v>
      </c>
      <c r="F4638" s="29" t="e">
        <f>VLOOKUP(E4638,'점포코드 '!A:B,2,0)</f>
        <v>#N/A</v>
      </c>
      <c r="G4638" s="46">
        <f>'Raw data'!F4547</f>
        <v>0</v>
      </c>
      <c r="H4638" s="4">
        <f>'Raw data'!G4547</f>
        <v>0</v>
      </c>
      <c r="I4638" s="29" t="e">
        <f>VLOOKUP(G4638,제품명!$C$1:$E$114,2,0)</f>
        <v>#N/A</v>
      </c>
      <c r="J4638" s="29">
        <f>'Raw data'!K4547</f>
        <v>0</v>
      </c>
      <c r="K4638" s="31">
        <f>'Raw data'!H4547</f>
        <v>0</v>
      </c>
      <c r="L4638" s="26">
        <f t="shared" si="148"/>
        <v>0</v>
      </c>
    </row>
    <row r="4639" spans="2:12">
      <c r="B4639" s="4" t="e">
        <f t="shared" si="147"/>
        <v>#N/A</v>
      </c>
      <c r="C4639" s="4">
        <f>'Raw data'!E4215</f>
        <v>0</v>
      </c>
      <c r="D4639" s="29" t="e">
        <f>VLOOKUP(C4639,'점포코드 '!A:B,2,0)</f>
        <v>#N/A</v>
      </c>
      <c r="E4639" s="30">
        <f>'Raw data'!P4215</f>
        <v>0</v>
      </c>
      <c r="F4639" s="29" t="e">
        <f>VLOOKUP(E4639,'점포코드 '!A:B,2,0)</f>
        <v>#N/A</v>
      </c>
      <c r="G4639" s="46">
        <f>'Raw data'!F4548</f>
        <v>0</v>
      </c>
      <c r="H4639" s="4">
        <f>'Raw data'!G4548</f>
        <v>0</v>
      </c>
      <c r="I4639" s="29" t="e">
        <f>VLOOKUP(G4639,제품명!$C$1:$E$114,2,0)</f>
        <v>#N/A</v>
      </c>
      <c r="J4639" s="29">
        <f>'Raw data'!K4548</f>
        <v>0</v>
      </c>
      <c r="K4639" s="31">
        <f>'Raw data'!H4548</f>
        <v>0</v>
      </c>
      <c r="L4639" s="26">
        <f t="shared" si="148"/>
        <v>0</v>
      </c>
    </row>
    <row r="4640" spans="2:12">
      <c r="B4640" s="4" t="e">
        <f t="shared" si="147"/>
        <v>#N/A</v>
      </c>
      <c r="C4640" s="4">
        <f>'Raw data'!E4216</f>
        <v>0</v>
      </c>
      <c r="D4640" s="29" t="e">
        <f>VLOOKUP(C4640,'점포코드 '!A:B,2,0)</f>
        <v>#N/A</v>
      </c>
      <c r="E4640" s="30">
        <f>'Raw data'!P4216</f>
        <v>0</v>
      </c>
      <c r="F4640" s="29" t="e">
        <f>VLOOKUP(E4640,'점포코드 '!A:B,2,0)</f>
        <v>#N/A</v>
      </c>
      <c r="G4640" s="46">
        <f>'Raw data'!F4549</f>
        <v>0</v>
      </c>
      <c r="H4640" s="4">
        <f>'Raw data'!G4549</f>
        <v>0</v>
      </c>
      <c r="I4640" s="29" t="e">
        <f>VLOOKUP(G4640,제품명!$C$1:$E$114,2,0)</f>
        <v>#N/A</v>
      </c>
      <c r="J4640" s="29">
        <f>'Raw data'!K4549</f>
        <v>0</v>
      </c>
      <c r="K4640" s="31">
        <f>'Raw data'!H4549</f>
        <v>0</v>
      </c>
      <c r="L4640" s="26">
        <f t="shared" si="148"/>
        <v>0</v>
      </c>
    </row>
    <row r="4641" spans="2:12">
      <c r="B4641" s="4" t="e">
        <f t="shared" si="147"/>
        <v>#N/A</v>
      </c>
      <c r="C4641" s="4">
        <f>'Raw data'!E4217</f>
        <v>0</v>
      </c>
      <c r="D4641" s="29" t="e">
        <f>VLOOKUP(C4641,'점포코드 '!A:B,2,0)</f>
        <v>#N/A</v>
      </c>
      <c r="E4641" s="30">
        <f>'Raw data'!P4217</f>
        <v>0</v>
      </c>
      <c r="F4641" s="29" t="e">
        <f>VLOOKUP(E4641,'점포코드 '!A:B,2,0)</f>
        <v>#N/A</v>
      </c>
      <c r="G4641" s="46">
        <f>'Raw data'!F4550</f>
        <v>0</v>
      </c>
      <c r="H4641" s="4">
        <f>'Raw data'!G4550</f>
        <v>0</v>
      </c>
      <c r="I4641" s="29" t="e">
        <f>VLOOKUP(G4641,제품명!$C$1:$E$114,2,0)</f>
        <v>#N/A</v>
      </c>
      <c r="J4641" s="29">
        <f>'Raw data'!K4550</f>
        <v>0</v>
      </c>
      <c r="K4641" s="31">
        <f>'Raw data'!H4550</f>
        <v>0</v>
      </c>
      <c r="L4641" s="26">
        <f t="shared" si="148"/>
        <v>0</v>
      </c>
    </row>
    <row r="4642" spans="2:12">
      <c r="B4642" s="4" t="e">
        <f t="shared" si="147"/>
        <v>#N/A</v>
      </c>
      <c r="C4642" s="4">
        <f>'Raw data'!E4218</f>
        <v>0</v>
      </c>
      <c r="D4642" s="29" t="e">
        <f>VLOOKUP(C4642,'점포코드 '!A:B,2,0)</f>
        <v>#N/A</v>
      </c>
      <c r="E4642" s="30">
        <f>'Raw data'!P4218</f>
        <v>0</v>
      </c>
      <c r="F4642" s="29" t="e">
        <f>VLOOKUP(E4642,'점포코드 '!A:B,2,0)</f>
        <v>#N/A</v>
      </c>
      <c r="G4642" s="46">
        <f>'Raw data'!F4551</f>
        <v>0</v>
      </c>
      <c r="H4642" s="4">
        <f>'Raw data'!G4551</f>
        <v>0</v>
      </c>
      <c r="I4642" s="29" t="e">
        <f>VLOOKUP(G4642,제품명!$C$1:$E$114,2,0)</f>
        <v>#N/A</v>
      </c>
      <c r="J4642" s="29">
        <f>'Raw data'!K4551</f>
        <v>0</v>
      </c>
      <c r="K4642" s="31">
        <f>'Raw data'!H4551</f>
        <v>0</v>
      </c>
      <c r="L4642" s="26">
        <f t="shared" si="148"/>
        <v>0</v>
      </c>
    </row>
    <row r="4643" spans="2:12">
      <c r="B4643" s="4" t="e">
        <f t="shared" si="147"/>
        <v>#N/A</v>
      </c>
      <c r="C4643" s="4">
        <f>'Raw data'!E4219</f>
        <v>0</v>
      </c>
      <c r="D4643" s="29" t="e">
        <f>VLOOKUP(C4643,'점포코드 '!A:B,2,0)</f>
        <v>#N/A</v>
      </c>
      <c r="E4643" s="30">
        <f>'Raw data'!P4219</f>
        <v>0</v>
      </c>
      <c r="F4643" s="29" t="e">
        <f>VLOOKUP(E4643,'점포코드 '!A:B,2,0)</f>
        <v>#N/A</v>
      </c>
      <c r="G4643" s="46">
        <f>'Raw data'!F4552</f>
        <v>0</v>
      </c>
      <c r="H4643" s="4">
        <f>'Raw data'!G4552</f>
        <v>0</v>
      </c>
      <c r="I4643" s="29" t="e">
        <f>VLOOKUP(G4643,제품명!$C$1:$E$114,2,0)</f>
        <v>#N/A</v>
      </c>
      <c r="J4643" s="29">
        <f>'Raw data'!K4552</f>
        <v>0</v>
      </c>
      <c r="K4643" s="31">
        <f>'Raw data'!H4552</f>
        <v>0</v>
      </c>
      <c r="L4643" s="26">
        <f t="shared" si="148"/>
        <v>0</v>
      </c>
    </row>
    <row r="4644" spans="2:12">
      <c r="B4644" s="4" t="e">
        <f t="shared" si="147"/>
        <v>#N/A</v>
      </c>
      <c r="C4644" s="4">
        <f>'Raw data'!E4220</f>
        <v>0</v>
      </c>
      <c r="D4644" s="29" t="e">
        <f>VLOOKUP(C4644,'점포코드 '!A:B,2,0)</f>
        <v>#N/A</v>
      </c>
      <c r="E4644" s="30">
        <f>'Raw data'!P4220</f>
        <v>0</v>
      </c>
      <c r="F4644" s="29" t="e">
        <f>VLOOKUP(E4644,'점포코드 '!A:B,2,0)</f>
        <v>#N/A</v>
      </c>
      <c r="G4644" s="46">
        <f>'Raw data'!F4553</f>
        <v>0</v>
      </c>
      <c r="H4644" s="4">
        <f>'Raw data'!G4553</f>
        <v>0</v>
      </c>
      <c r="I4644" s="29" t="e">
        <f>VLOOKUP(G4644,제품명!$C$1:$E$114,2,0)</f>
        <v>#N/A</v>
      </c>
      <c r="J4644" s="29">
        <f>'Raw data'!K4553</f>
        <v>0</v>
      </c>
      <c r="K4644" s="31">
        <f>'Raw data'!H4553</f>
        <v>0</v>
      </c>
      <c r="L4644" s="26">
        <f t="shared" si="148"/>
        <v>0</v>
      </c>
    </row>
    <row r="4645" spans="2:12">
      <c r="B4645" s="4" t="e">
        <f t="shared" si="147"/>
        <v>#N/A</v>
      </c>
      <c r="C4645" s="4">
        <f>'Raw data'!E4221</f>
        <v>0</v>
      </c>
      <c r="D4645" s="29" t="e">
        <f>VLOOKUP(C4645,'점포코드 '!A:B,2,0)</f>
        <v>#N/A</v>
      </c>
      <c r="E4645" s="30">
        <f>'Raw data'!P4221</f>
        <v>0</v>
      </c>
      <c r="F4645" s="29" t="e">
        <f>VLOOKUP(E4645,'점포코드 '!A:B,2,0)</f>
        <v>#N/A</v>
      </c>
      <c r="G4645" s="46">
        <f>'Raw data'!F4554</f>
        <v>0</v>
      </c>
      <c r="H4645" s="4">
        <f>'Raw data'!G4554</f>
        <v>0</v>
      </c>
      <c r="I4645" s="29" t="e">
        <f>VLOOKUP(G4645,제품명!$C$1:$E$114,2,0)</f>
        <v>#N/A</v>
      </c>
      <c r="J4645" s="29">
        <f>'Raw data'!K4554</f>
        <v>0</v>
      </c>
      <c r="K4645" s="31">
        <f>'Raw data'!H4554</f>
        <v>0</v>
      </c>
      <c r="L4645" s="26">
        <f t="shared" si="148"/>
        <v>0</v>
      </c>
    </row>
    <row r="4646" spans="2:12">
      <c r="B4646" s="4" t="e">
        <f t="shared" si="147"/>
        <v>#N/A</v>
      </c>
      <c r="C4646" s="4">
        <f>'Raw data'!E4222</f>
        <v>0</v>
      </c>
      <c r="D4646" s="29" t="e">
        <f>VLOOKUP(C4646,'점포코드 '!A:B,2,0)</f>
        <v>#N/A</v>
      </c>
      <c r="E4646" s="30">
        <f>'Raw data'!P4222</f>
        <v>0</v>
      </c>
      <c r="F4646" s="29" t="e">
        <f>VLOOKUP(E4646,'점포코드 '!A:B,2,0)</f>
        <v>#N/A</v>
      </c>
      <c r="G4646" s="46">
        <f>'Raw data'!F4555</f>
        <v>0</v>
      </c>
      <c r="H4646" s="4">
        <f>'Raw data'!G4555</f>
        <v>0</v>
      </c>
      <c r="I4646" s="29" t="e">
        <f>VLOOKUP(G4646,제품명!$C$1:$E$114,2,0)</f>
        <v>#N/A</v>
      </c>
      <c r="J4646" s="29">
        <f>'Raw data'!K4555</f>
        <v>0</v>
      </c>
      <c r="K4646" s="31">
        <f>'Raw data'!H4555</f>
        <v>0</v>
      </c>
      <c r="L4646" s="26">
        <f t="shared" si="148"/>
        <v>0</v>
      </c>
    </row>
    <row r="4647" spans="2:12">
      <c r="B4647" s="4" t="e">
        <f t="shared" si="147"/>
        <v>#N/A</v>
      </c>
      <c r="C4647" s="4">
        <f>'Raw data'!E4223</f>
        <v>0</v>
      </c>
      <c r="D4647" s="29" t="e">
        <f>VLOOKUP(C4647,'점포코드 '!A:B,2,0)</f>
        <v>#N/A</v>
      </c>
      <c r="E4647" s="30">
        <f>'Raw data'!P4223</f>
        <v>0</v>
      </c>
      <c r="F4647" s="29" t="e">
        <f>VLOOKUP(E4647,'점포코드 '!A:B,2,0)</f>
        <v>#N/A</v>
      </c>
      <c r="G4647" s="46">
        <f>'Raw data'!F4556</f>
        <v>0</v>
      </c>
      <c r="H4647" s="4">
        <f>'Raw data'!G4556</f>
        <v>0</v>
      </c>
      <c r="I4647" s="29" t="e">
        <f>VLOOKUP(G4647,제품명!$C$1:$E$114,2,0)</f>
        <v>#N/A</v>
      </c>
      <c r="J4647" s="29">
        <f>'Raw data'!K4556</f>
        <v>0</v>
      </c>
      <c r="K4647" s="31">
        <f>'Raw data'!H4556</f>
        <v>0</v>
      </c>
      <c r="L4647" s="26">
        <f t="shared" si="148"/>
        <v>0</v>
      </c>
    </row>
    <row r="4648" spans="2:12">
      <c r="B4648" s="4" t="e">
        <f t="shared" si="147"/>
        <v>#N/A</v>
      </c>
      <c r="C4648" s="4">
        <f>'Raw data'!E4224</f>
        <v>0</v>
      </c>
      <c r="D4648" s="29" t="e">
        <f>VLOOKUP(C4648,'점포코드 '!A:B,2,0)</f>
        <v>#N/A</v>
      </c>
      <c r="E4648" s="30">
        <f>'Raw data'!P4224</f>
        <v>0</v>
      </c>
      <c r="F4648" s="29" t="e">
        <f>VLOOKUP(E4648,'점포코드 '!A:B,2,0)</f>
        <v>#N/A</v>
      </c>
      <c r="G4648" s="46">
        <f>'Raw data'!F4557</f>
        <v>0</v>
      </c>
      <c r="H4648" s="4">
        <f>'Raw data'!G4557</f>
        <v>0</v>
      </c>
      <c r="I4648" s="29" t="e">
        <f>VLOOKUP(G4648,제품명!$C$1:$E$114,2,0)</f>
        <v>#N/A</v>
      </c>
      <c r="J4648" s="29">
        <f>'Raw data'!K4557</f>
        <v>0</v>
      </c>
      <c r="K4648" s="31">
        <f>'Raw data'!H4557</f>
        <v>0</v>
      </c>
      <c r="L4648" s="26">
        <f t="shared" si="148"/>
        <v>0</v>
      </c>
    </row>
    <row r="4649" spans="2:12">
      <c r="B4649" s="4" t="e">
        <f t="shared" si="147"/>
        <v>#N/A</v>
      </c>
      <c r="C4649" s="4">
        <f>'Raw data'!E4225</f>
        <v>0</v>
      </c>
      <c r="D4649" s="29" t="e">
        <f>VLOOKUP(C4649,'점포코드 '!A:B,2,0)</f>
        <v>#N/A</v>
      </c>
      <c r="E4649" s="30">
        <f>'Raw data'!P4225</f>
        <v>0</v>
      </c>
      <c r="F4649" s="29" t="e">
        <f>VLOOKUP(E4649,'점포코드 '!A:B,2,0)</f>
        <v>#N/A</v>
      </c>
      <c r="G4649" s="46">
        <f>'Raw data'!F4558</f>
        <v>0</v>
      </c>
      <c r="H4649" s="4">
        <f>'Raw data'!G4558</f>
        <v>0</v>
      </c>
      <c r="I4649" s="29" t="e">
        <f>VLOOKUP(G4649,제품명!$C$1:$E$114,2,0)</f>
        <v>#N/A</v>
      </c>
      <c r="J4649" s="29">
        <f>'Raw data'!K4558</f>
        <v>0</v>
      </c>
      <c r="K4649" s="31">
        <f>'Raw data'!H4558</f>
        <v>0</v>
      </c>
      <c r="L4649" s="26">
        <f t="shared" si="148"/>
        <v>0</v>
      </c>
    </row>
    <row r="4650" spans="2:12">
      <c r="B4650" s="4" t="e">
        <f t="shared" si="147"/>
        <v>#N/A</v>
      </c>
      <c r="C4650" s="4">
        <f>'Raw data'!E4226</f>
        <v>0</v>
      </c>
      <c r="D4650" s="29" t="e">
        <f>VLOOKUP(C4650,'점포코드 '!A:B,2,0)</f>
        <v>#N/A</v>
      </c>
      <c r="E4650" s="30">
        <f>'Raw data'!P4226</f>
        <v>0</v>
      </c>
      <c r="F4650" s="29" t="e">
        <f>VLOOKUP(E4650,'점포코드 '!A:B,2,0)</f>
        <v>#N/A</v>
      </c>
      <c r="G4650" s="46">
        <f>'Raw data'!F4559</f>
        <v>0</v>
      </c>
      <c r="H4650" s="4">
        <f>'Raw data'!G4559</f>
        <v>0</v>
      </c>
      <c r="I4650" s="29" t="e">
        <f>VLOOKUP(G4650,제품명!$C$1:$E$114,2,0)</f>
        <v>#N/A</v>
      </c>
      <c r="J4650" s="29">
        <f>'Raw data'!K4559</f>
        <v>0</v>
      </c>
      <c r="K4650" s="31">
        <f>'Raw data'!H4559</f>
        <v>0</v>
      </c>
      <c r="L4650" s="26">
        <f t="shared" si="148"/>
        <v>0</v>
      </c>
    </row>
    <row r="4651" spans="2:12">
      <c r="B4651" s="4" t="e">
        <f t="shared" si="147"/>
        <v>#N/A</v>
      </c>
      <c r="C4651" s="4">
        <f>'Raw data'!E4227</f>
        <v>0</v>
      </c>
      <c r="D4651" s="29" t="e">
        <f>VLOOKUP(C4651,'점포코드 '!A:B,2,0)</f>
        <v>#N/A</v>
      </c>
      <c r="E4651" s="30">
        <f>'Raw data'!P4227</f>
        <v>0</v>
      </c>
      <c r="F4651" s="29" t="e">
        <f>VLOOKUP(E4651,'점포코드 '!A:B,2,0)</f>
        <v>#N/A</v>
      </c>
      <c r="G4651" s="46">
        <f>'Raw data'!F4560</f>
        <v>0</v>
      </c>
      <c r="H4651" s="4">
        <f>'Raw data'!G4560</f>
        <v>0</v>
      </c>
      <c r="I4651" s="29" t="e">
        <f>VLOOKUP(G4651,제품명!$C$1:$E$114,2,0)</f>
        <v>#N/A</v>
      </c>
      <c r="J4651" s="29">
        <f>'Raw data'!K4560</f>
        <v>0</v>
      </c>
      <c r="K4651" s="31">
        <f>'Raw data'!H4560</f>
        <v>0</v>
      </c>
      <c r="L4651" s="26">
        <f t="shared" si="148"/>
        <v>0</v>
      </c>
    </row>
    <row r="4652" spans="2:12">
      <c r="B4652" s="4" t="e">
        <f t="shared" si="147"/>
        <v>#N/A</v>
      </c>
      <c r="C4652" s="4">
        <f>'Raw data'!E4228</f>
        <v>0</v>
      </c>
      <c r="D4652" s="29" t="e">
        <f>VLOOKUP(C4652,'점포코드 '!A:B,2,0)</f>
        <v>#N/A</v>
      </c>
      <c r="E4652" s="30">
        <f>'Raw data'!P4228</f>
        <v>0</v>
      </c>
      <c r="F4652" s="29" t="e">
        <f>VLOOKUP(E4652,'점포코드 '!A:B,2,0)</f>
        <v>#N/A</v>
      </c>
      <c r="G4652" s="46">
        <f>'Raw data'!F4561</f>
        <v>0</v>
      </c>
      <c r="H4652" s="4">
        <f>'Raw data'!G4561</f>
        <v>0</v>
      </c>
      <c r="I4652" s="29" t="e">
        <f>VLOOKUP(G4652,제품명!$C$1:$E$114,2,0)</f>
        <v>#N/A</v>
      </c>
      <c r="J4652" s="29">
        <f>'Raw data'!K4561</f>
        <v>0</v>
      </c>
      <c r="K4652" s="31">
        <f>'Raw data'!H4561</f>
        <v>0</v>
      </c>
      <c r="L4652" s="26">
        <f t="shared" si="148"/>
        <v>0</v>
      </c>
    </row>
    <row r="4653" spans="2:12">
      <c r="B4653" s="4" t="e">
        <f t="shared" si="147"/>
        <v>#N/A</v>
      </c>
      <c r="C4653" s="4">
        <f>'Raw data'!E4229</f>
        <v>0</v>
      </c>
      <c r="D4653" s="29" t="e">
        <f>VLOOKUP(C4653,'점포코드 '!A:B,2,0)</f>
        <v>#N/A</v>
      </c>
      <c r="E4653" s="30">
        <f>'Raw data'!P4229</f>
        <v>0</v>
      </c>
      <c r="F4653" s="29" t="e">
        <f>VLOOKUP(E4653,'점포코드 '!A:B,2,0)</f>
        <v>#N/A</v>
      </c>
      <c r="G4653" s="46">
        <f>'Raw data'!F4562</f>
        <v>0</v>
      </c>
      <c r="H4653" s="4">
        <f>'Raw data'!G4562</f>
        <v>0</v>
      </c>
      <c r="I4653" s="29" t="e">
        <f>VLOOKUP(G4653,제품명!$C$1:$E$114,2,0)</f>
        <v>#N/A</v>
      </c>
      <c r="J4653" s="29">
        <f>'Raw data'!K4562</f>
        <v>0</v>
      </c>
      <c r="K4653" s="31">
        <f>'Raw data'!H4562</f>
        <v>0</v>
      </c>
      <c r="L4653" s="26">
        <f t="shared" si="148"/>
        <v>0</v>
      </c>
    </row>
    <row r="4654" spans="2:12">
      <c r="B4654" s="4" t="e">
        <f t="shared" si="147"/>
        <v>#N/A</v>
      </c>
      <c r="C4654" s="4">
        <f>'Raw data'!E4230</f>
        <v>0</v>
      </c>
      <c r="D4654" s="29" t="e">
        <f>VLOOKUP(C4654,'점포코드 '!A:B,2,0)</f>
        <v>#N/A</v>
      </c>
      <c r="E4654" s="30">
        <f>'Raw data'!P4230</f>
        <v>0</v>
      </c>
      <c r="F4654" s="29" t="e">
        <f>VLOOKUP(E4654,'점포코드 '!A:B,2,0)</f>
        <v>#N/A</v>
      </c>
      <c r="G4654" s="46">
        <f>'Raw data'!F4563</f>
        <v>0</v>
      </c>
      <c r="H4654" s="4">
        <f>'Raw data'!G4563</f>
        <v>0</v>
      </c>
      <c r="I4654" s="29" t="e">
        <f>VLOOKUP(G4654,제품명!$C$1:$E$114,2,0)</f>
        <v>#N/A</v>
      </c>
      <c r="J4654" s="29">
        <f>'Raw data'!K4563</f>
        <v>0</v>
      </c>
      <c r="K4654" s="31">
        <f>'Raw data'!H4563</f>
        <v>0</v>
      </c>
      <c r="L4654" s="26">
        <f t="shared" si="148"/>
        <v>0</v>
      </c>
    </row>
    <row r="4655" spans="2:12">
      <c r="B4655" s="4" t="e">
        <f t="shared" si="147"/>
        <v>#N/A</v>
      </c>
      <c r="C4655" s="4">
        <f>'Raw data'!E4231</f>
        <v>0</v>
      </c>
      <c r="D4655" s="29" t="e">
        <f>VLOOKUP(C4655,'점포코드 '!A:B,2,0)</f>
        <v>#N/A</v>
      </c>
      <c r="E4655" s="30">
        <f>'Raw data'!P4231</f>
        <v>0</v>
      </c>
      <c r="F4655" s="29" t="e">
        <f>VLOOKUP(E4655,'점포코드 '!A:B,2,0)</f>
        <v>#N/A</v>
      </c>
      <c r="G4655" s="46">
        <f>'Raw data'!F4564</f>
        <v>0</v>
      </c>
      <c r="H4655" s="4">
        <f>'Raw data'!G4564</f>
        <v>0</v>
      </c>
      <c r="I4655" s="29" t="e">
        <f>VLOOKUP(G4655,제품명!$C$1:$E$114,2,0)</f>
        <v>#N/A</v>
      </c>
      <c r="J4655" s="29">
        <f>'Raw data'!K4564</f>
        <v>0</v>
      </c>
      <c r="K4655" s="31">
        <f>'Raw data'!H4564</f>
        <v>0</v>
      </c>
      <c r="L4655" s="26">
        <f t="shared" si="148"/>
        <v>0</v>
      </c>
    </row>
    <row r="4656" spans="2:12">
      <c r="B4656" s="4" t="e">
        <f t="shared" si="147"/>
        <v>#N/A</v>
      </c>
      <c r="C4656" s="4">
        <f>'Raw data'!E4232</f>
        <v>0</v>
      </c>
      <c r="D4656" s="29" t="e">
        <f>VLOOKUP(C4656,'점포코드 '!A:B,2,0)</f>
        <v>#N/A</v>
      </c>
      <c r="E4656" s="30">
        <f>'Raw data'!P4232</f>
        <v>0</v>
      </c>
      <c r="F4656" s="29" t="e">
        <f>VLOOKUP(E4656,'점포코드 '!A:B,2,0)</f>
        <v>#N/A</v>
      </c>
      <c r="G4656" s="46">
        <f>'Raw data'!F4565</f>
        <v>0</v>
      </c>
      <c r="H4656" s="4">
        <f>'Raw data'!G4565</f>
        <v>0</v>
      </c>
      <c r="I4656" s="29" t="e">
        <f>VLOOKUP(G4656,제품명!$C$1:$E$114,2,0)</f>
        <v>#N/A</v>
      </c>
      <c r="J4656" s="29">
        <f>'Raw data'!K4565</f>
        <v>0</v>
      </c>
      <c r="K4656" s="31">
        <f>'Raw data'!H4565</f>
        <v>0</v>
      </c>
      <c r="L4656" s="26">
        <f t="shared" si="148"/>
        <v>0</v>
      </c>
    </row>
    <row r="4657" spans="2:12">
      <c r="B4657" s="4" t="e">
        <f t="shared" si="147"/>
        <v>#N/A</v>
      </c>
      <c r="C4657" s="4">
        <f>'Raw data'!E4233</f>
        <v>0</v>
      </c>
      <c r="D4657" s="29" t="e">
        <f>VLOOKUP(C4657,'점포코드 '!A:B,2,0)</f>
        <v>#N/A</v>
      </c>
      <c r="E4657" s="30">
        <f>'Raw data'!P4233</f>
        <v>0</v>
      </c>
      <c r="F4657" s="29" t="e">
        <f>VLOOKUP(E4657,'점포코드 '!A:B,2,0)</f>
        <v>#N/A</v>
      </c>
      <c r="G4657" s="46">
        <f>'Raw data'!F4566</f>
        <v>0</v>
      </c>
      <c r="H4657" s="4">
        <f>'Raw data'!G4566</f>
        <v>0</v>
      </c>
      <c r="I4657" s="29" t="e">
        <f>VLOOKUP(G4657,제품명!$C$1:$E$114,2,0)</f>
        <v>#N/A</v>
      </c>
      <c r="J4657" s="29">
        <f>'Raw data'!K4566</f>
        <v>0</v>
      </c>
      <c r="K4657" s="31">
        <f>'Raw data'!H4566</f>
        <v>0</v>
      </c>
      <c r="L4657" s="26">
        <f t="shared" si="148"/>
        <v>0</v>
      </c>
    </row>
    <row r="4658" spans="2:12">
      <c r="B4658" s="4" t="e">
        <f t="shared" si="147"/>
        <v>#N/A</v>
      </c>
      <c r="C4658" s="4">
        <f>'Raw data'!E4234</f>
        <v>0</v>
      </c>
      <c r="D4658" s="29" t="e">
        <f>VLOOKUP(C4658,'점포코드 '!A:B,2,0)</f>
        <v>#N/A</v>
      </c>
      <c r="E4658" s="30">
        <f>'Raw data'!P4234</f>
        <v>0</v>
      </c>
      <c r="F4658" s="29" t="e">
        <f>VLOOKUP(E4658,'점포코드 '!A:B,2,0)</f>
        <v>#N/A</v>
      </c>
      <c r="G4658" s="46">
        <f>'Raw data'!F4567</f>
        <v>0</v>
      </c>
      <c r="H4658" s="4">
        <f>'Raw data'!G4567</f>
        <v>0</v>
      </c>
      <c r="I4658" s="29" t="e">
        <f>VLOOKUP(G4658,제품명!$C$1:$E$114,2,0)</f>
        <v>#N/A</v>
      </c>
      <c r="J4658" s="29">
        <f>'Raw data'!K4567</f>
        <v>0</v>
      </c>
      <c r="K4658" s="31">
        <f>'Raw data'!H4567</f>
        <v>0</v>
      </c>
      <c r="L4658" s="26">
        <f t="shared" si="148"/>
        <v>0</v>
      </c>
    </row>
    <row r="4659" spans="2:12">
      <c r="B4659" s="4" t="e">
        <f t="shared" si="147"/>
        <v>#N/A</v>
      </c>
      <c r="C4659" s="4">
        <f>'Raw data'!E4235</f>
        <v>0</v>
      </c>
      <c r="D4659" s="29" t="e">
        <f>VLOOKUP(C4659,'점포코드 '!A:B,2,0)</f>
        <v>#N/A</v>
      </c>
      <c r="E4659" s="30">
        <f>'Raw data'!P4235</f>
        <v>0</v>
      </c>
      <c r="F4659" s="29" t="e">
        <f>VLOOKUP(E4659,'점포코드 '!A:B,2,0)</f>
        <v>#N/A</v>
      </c>
      <c r="G4659" s="46">
        <f>'Raw data'!F4568</f>
        <v>0</v>
      </c>
      <c r="H4659" s="4">
        <f>'Raw data'!G4568</f>
        <v>0</v>
      </c>
      <c r="I4659" s="29" t="e">
        <f>VLOOKUP(G4659,제품명!$C$1:$E$114,2,0)</f>
        <v>#N/A</v>
      </c>
      <c r="J4659" s="29">
        <f>'Raw data'!K4568</f>
        <v>0</v>
      </c>
      <c r="K4659" s="31">
        <f>'Raw data'!H4568</f>
        <v>0</v>
      </c>
      <c r="L4659" s="26">
        <f t="shared" si="148"/>
        <v>0</v>
      </c>
    </row>
    <row r="4660" spans="2:12">
      <c r="B4660" s="4" t="e">
        <f t="shared" si="147"/>
        <v>#N/A</v>
      </c>
      <c r="C4660" s="4">
        <f>'Raw data'!E4236</f>
        <v>0</v>
      </c>
      <c r="D4660" s="29" t="e">
        <f>VLOOKUP(C4660,'점포코드 '!A:B,2,0)</f>
        <v>#N/A</v>
      </c>
      <c r="E4660" s="30">
        <f>'Raw data'!P4236</f>
        <v>0</v>
      </c>
      <c r="F4660" s="29" t="e">
        <f>VLOOKUP(E4660,'점포코드 '!A:B,2,0)</f>
        <v>#N/A</v>
      </c>
      <c r="G4660" s="46">
        <f>'Raw data'!F4569</f>
        <v>0</v>
      </c>
      <c r="H4660" s="4">
        <f>'Raw data'!G4569</f>
        <v>0</v>
      </c>
      <c r="I4660" s="29" t="e">
        <f>VLOOKUP(G4660,제품명!$C$1:$E$114,2,0)</f>
        <v>#N/A</v>
      </c>
      <c r="J4660" s="29">
        <f>'Raw data'!K4569</f>
        <v>0</v>
      </c>
      <c r="K4660" s="31">
        <f>'Raw data'!H4569</f>
        <v>0</v>
      </c>
      <c r="L4660" s="26">
        <f t="shared" si="148"/>
        <v>0</v>
      </c>
    </row>
    <row r="4661" spans="2:12">
      <c r="B4661" s="4" t="e">
        <f t="shared" si="147"/>
        <v>#N/A</v>
      </c>
      <c r="C4661" s="4">
        <f>'Raw data'!E4237</f>
        <v>0</v>
      </c>
      <c r="D4661" s="29" t="e">
        <f>VLOOKUP(C4661,'점포코드 '!A:B,2,0)</f>
        <v>#N/A</v>
      </c>
      <c r="E4661" s="30">
        <f>'Raw data'!P4237</f>
        <v>0</v>
      </c>
      <c r="F4661" s="29" t="e">
        <f>VLOOKUP(E4661,'점포코드 '!A:B,2,0)</f>
        <v>#N/A</v>
      </c>
      <c r="G4661" s="46">
        <f>'Raw data'!F4570</f>
        <v>0</v>
      </c>
      <c r="H4661" s="4">
        <f>'Raw data'!G4570</f>
        <v>0</v>
      </c>
      <c r="I4661" s="29" t="e">
        <f>VLOOKUP(G4661,제품명!$C$1:$E$114,2,0)</f>
        <v>#N/A</v>
      </c>
      <c r="J4661" s="29">
        <f>'Raw data'!K4570</f>
        <v>0</v>
      </c>
      <c r="K4661" s="31">
        <f>'Raw data'!H4570</f>
        <v>0</v>
      </c>
      <c r="L4661" s="26">
        <f t="shared" si="148"/>
        <v>0</v>
      </c>
    </row>
    <row r="4662" spans="2:12">
      <c r="B4662" s="4" t="e">
        <f t="shared" si="147"/>
        <v>#N/A</v>
      </c>
      <c r="C4662" s="4">
        <f>'Raw data'!E4238</f>
        <v>0</v>
      </c>
      <c r="D4662" s="29" t="e">
        <f>VLOOKUP(C4662,'점포코드 '!A:B,2,0)</f>
        <v>#N/A</v>
      </c>
      <c r="E4662" s="30">
        <f>'Raw data'!P4238</f>
        <v>0</v>
      </c>
      <c r="F4662" s="29" t="e">
        <f>VLOOKUP(E4662,'점포코드 '!A:B,2,0)</f>
        <v>#N/A</v>
      </c>
      <c r="G4662" s="46">
        <f>'Raw data'!F4571</f>
        <v>0</v>
      </c>
      <c r="H4662" s="4">
        <f>'Raw data'!G4571</f>
        <v>0</v>
      </c>
      <c r="I4662" s="29" t="e">
        <f>VLOOKUP(G4662,제품명!$C$1:$E$114,2,0)</f>
        <v>#N/A</v>
      </c>
      <c r="J4662" s="29">
        <f>'Raw data'!K4571</f>
        <v>0</v>
      </c>
      <c r="K4662" s="31">
        <f>'Raw data'!H4571</f>
        <v>0</v>
      </c>
      <c r="L4662" s="26">
        <f t="shared" si="148"/>
        <v>0</v>
      </c>
    </row>
    <row r="4663" spans="2:12">
      <c r="B4663" s="4" t="e">
        <f t="shared" si="147"/>
        <v>#N/A</v>
      </c>
      <c r="C4663" s="4">
        <f>'Raw data'!E4239</f>
        <v>0</v>
      </c>
      <c r="D4663" s="29" t="e">
        <f>VLOOKUP(C4663,'점포코드 '!A:B,2,0)</f>
        <v>#N/A</v>
      </c>
      <c r="E4663" s="30">
        <f>'Raw data'!P4239</f>
        <v>0</v>
      </c>
      <c r="F4663" s="29" t="e">
        <f>VLOOKUP(E4663,'점포코드 '!A:B,2,0)</f>
        <v>#N/A</v>
      </c>
      <c r="G4663" s="46">
        <f>'Raw data'!F4572</f>
        <v>0</v>
      </c>
      <c r="H4663" s="4">
        <f>'Raw data'!G4572</f>
        <v>0</v>
      </c>
      <c r="I4663" s="29" t="e">
        <f>VLOOKUP(G4663,제품명!$C$1:$E$114,2,0)</f>
        <v>#N/A</v>
      </c>
      <c r="J4663" s="29">
        <f>'Raw data'!K4572</f>
        <v>0</v>
      </c>
      <c r="K4663" s="31">
        <f>'Raw data'!H4572</f>
        <v>0</v>
      </c>
      <c r="L4663" s="26">
        <f t="shared" si="148"/>
        <v>0</v>
      </c>
    </row>
    <row r="4664" spans="2:12">
      <c r="B4664" s="4" t="e">
        <f t="shared" si="147"/>
        <v>#N/A</v>
      </c>
      <c r="C4664" s="4">
        <f>'Raw data'!E4240</f>
        <v>0</v>
      </c>
      <c r="D4664" s="29" t="e">
        <f>VLOOKUP(C4664,'점포코드 '!A:B,2,0)</f>
        <v>#N/A</v>
      </c>
      <c r="E4664" s="30">
        <f>'Raw data'!P4240</f>
        <v>0</v>
      </c>
      <c r="F4664" s="29" t="e">
        <f>VLOOKUP(E4664,'점포코드 '!A:B,2,0)</f>
        <v>#N/A</v>
      </c>
      <c r="G4664" s="46">
        <f>'Raw data'!F4573</f>
        <v>0</v>
      </c>
      <c r="H4664" s="4">
        <f>'Raw data'!G4573</f>
        <v>0</v>
      </c>
      <c r="I4664" s="29" t="e">
        <f>VLOOKUP(G4664,제품명!$C$1:$E$114,2,0)</f>
        <v>#N/A</v>
      </c>
      <c r="J4664" s="29">
        <f>'Raw data'!K4573</f>
        <v>0</v>
      </c>
      <c r="K4664" s="31">
        <f>'Raw data'!H4573</f>
        <v>0</v>
      </c>
      <c r="L4664" s="26">
        <f t="shared" si="148"/>
        <v>0</v>
      </c>
    </row>
    <row r="4665" spans="2:12">
      <c r="B4665" s="4" t="e">
        <f t="shared" si="147"/>
        <v>#N/A</v>
      </c>
      <c r="C4665" s="4">
        <f>'Raw data'!E4241</f>
        <v>0</v>
      </c>
      <c r="D4665" s="29" t="e">
        <f>VLOOKUP(C4665,'점포코드 '!A:B,2,0)</f>
        <v>#N/A</v>
      </c>
      <c r="E4665" s="30">
        <f>'Raw data'!P4241</f>
        <v>0</v>
      </c>
      <c r="F4665" s="29" t="e">
        <f>VLOOKUP(E4665,'점포코드 '!A:B,2,0)</f>
        <v>#N/A</v>
      </c>
      <c r="G4665" s="46">
        <f>'Raw data'!F4574</f>
        <v>0</v>
      </c>
      <c r="H4665" s="4">
        <f>'Raw data'!G4574</f>
        <v>0</v>
      </c>
      <c r="I4665" s="29" t="e">
        <f>VLOOKUP(G4665,제품명!$C$1:$E$114,2,0)</f>
        <v>#N/A</v>
      </c>
      <c r="J4665" s="29">
        <f>'Raw data'!K4574</f>
        <v>0</v>
      </c>
      <c r="K4665" s="31">
        <f>'Raw data'!H4574</f>
        <v>0</v>
      </c>
      <c r="L4665" s="26">
        <f t="shared" si="148"/>
        <v>0</v>
      </c>
    </row>
    <row r="4666" spans="2:12">
      <c r="B4666" s="4" t="e">
        <f t="shared" si="147"/>
        <v>#N/A</v>
      </c>
      <c r="C4666" s="4">
        <f>'Raw data'!E4242</f>
        <v>0</v>
      </c>
      <c r="D4666" s="29" t="e">
        <f>VLOOKUP(C4666,'점포코드 '!A:B,2,0)</f>
        <v>#N/A</v>
      </c>
      <c r="E4666" s="30">
        <f>'Raw data'!P4242</f>
        <v>0</v>
      </c>
      <c r="F4666" s="29" t="e">
        <f>VLOOKUP(E4666,'점포코드 '!A:B,2,0)</f>
        <v>#N/A</v>
      </c>
      <c r="G4666" s="46">
        <f>'Raw data'!F4575</f>
        <v>0</v>
      </c>
      <c r="H4666" s="4">
        <f>'Raw data'!G4575</f>
        <v>0</v>
      </c>
      <c r="I4666" s="29" t="e">
        <f>VLOOKUP(G4666,제품명!$C$1:$E$114,2,0)</f>
        <v>#N/A</v>
      </c>
      <c r="J4666" s="29">
        <f>'Raw data'!K4575</f>
        <v>0</v>
      </c>
      <c r="K4666" s="31">
        <f>'Raw data'!H4575</f>
        <v>0</v>
      </c>
      <c r="L4666" s="26">
        <f t="shared" si="148"/>
        <v>0</v>
      </c>
    </row>
    <row r="4667" spans="2:12">
      <c r="B4667" s="4" t="e">
        <f t="shared" si="147"/>
        <v>#N/A</v>
      </c>
      <c r="C4667" s="4">
        <f>'Raw data'!E4243</f>
        <v>0</v>
      </c>
      <c r="D4667" s="29" t="e">
        <f>VLOOKUP(C4667,'점포코드 '!A:B,2,0)</f>
        <v>#N/A</v>
      </c>
      <c r="E4667" s="30">
        <f>'Raw data'!P4243</f>
        <v>0</v>
      </c>
      <c r="F4667" s="29" t="e">
        <f>VLOOKUP(E4667,'점포코드 '!A:B,2,0)</f>
        <v>#N/A</v>
      </c>
      <c r="G4667" s="46">
        <f>'Raw data'!F4576</f>
        <v>0</v>
      </c>
      <c r="H4667" s="4">
        <f>'Raw data'!G4576</f>
        <v>0</v>
      </c>
      <c r="I4667" s="29" t="e">
        <f>VLOOKUP(G4667,제품명!$C$1:$E$114,2,0)</f>
        <v>#N/A</v>
      </c>
      <c r="J4667" s="29">
        <f>'Raw data'!K4576</f>
        <v>0</v>
      </c>
      <c r="K4667" s="31">
        <f>'Raw data'!H4576</f>
        <v>0</v>
      </c>
      <c r="L4667" s="26">
        <f t="shared" si="148"/>
        <v>0</v>
      </c>
    </row>
    <row r="4668" spans="2:12">
      <c r="B4668" s="4" t="e">
        <f t="shared" si="147"/>
        <v>#N/A</v>
      </c>
      <c r="C4668" s="4">
        <f>'Raw data'!E4244</f>
        <v>0</v>
      </c>
      <c r="D4668" s="29" t="e">
        <f>VLOOKUP(C4668,'점포코드 '!A:B,2,0)</f>
        <v>#N/A</v>
      </c>
      <c r="E4668" s="30">
        <f>'Raw data'!P4244</f>
        <v>0</v>
      </c>
      <c r="F4668" s="29" t="e">
        <f>VLOOKUP(E4668,'점포코드 '!A:B,2,0)</f>
        <v>#N/A</v>
      </c>
      <c r="G4668" s="46">
        <f>'Raw data'!F4577</f>
        <v>0</v>
      </c>
      <c r="H4668" s="4">
        <f>'Raw data'!G4577</f>
        <v>0</v>
      </c>
      <c r="I4668" s="29" t="e">
        <f>VLOOKUP(G4668,제품명!$C$1:$E$114,2,0)</f>
        <v>#N/A</v>
      </c>
      <c r="J4668" s="29">
        <f>'Raw data'!K4577</f>
        <v>0</v>
      </c>
      <c r="K4668" s="31">
        <f>'Raw data'!H4577</f>
        <v>0</v>
      </c>
      <c r="L4668" s="26">
        <f t="shared" si="148"/>
        <v>0</v>
      </c>
    </row>
    <row r="4669" spans="2:12">
      <c r="B4669" s="4" t="e">
        <f t="shared" si="147"/>
        <v>#N/A</v>
      </c>
      <c r="C4669" s="4">
        <f>'Raw data'!E4245</f>
        <v>0</v>
      </c>
      <c r="D4669" s="29" t="e">
        <f>VLOOKUP(C4669,'점포코드 '!A:B,2,0)</f>
        <v>#N/A</v>
      </c>
      <c r="E4669" s="30">
        <f>'Raw data'!P4245</f>
        <v>0</v>
      </c>
      <c r="F4669" s="29" t="e">
        <f>VLOOKUP(E4669,'점포코드 '!A:B,2,0)</f>
        <v>#N/A</v>
      </c>
      <c r="G4669" s="46">
        <f>'Raw data'!F4578</f>
        <v>0</v>
      </c>
      <c r="H4669" s="4">
        <f>'Raw data'!G4578</f>
        <v>0</v>
      </c>
      <c r="I4669" s="29" t="e">
        <f>VLOOKUP(G4669,제품명!$C$1:$E$114,2,0)</f>
        <v>#N/A</v>
      </c>
      <c r="J4669" s="29">
        <f>'Raw data'!K4578</f>
        <v>0</v>
      </c>
      <c r="K4669" s="31">
        <f>'Raw data'!H4578</f>
        <v>0</v>
      </c>
      <c r="L4669" s="26">
        <f t="shared" si="148"/>
        <v>0</v>
      </c>
    </row>
    <row r="4670" spans="2:12">
      <c r="B4670" s="4" t="e">
        <f t="shared" si="147"/>
        <v>#N/A</v>
      </c>
      <c r="C4670" s="4">
        <f>'Raw data'!E4246</f>
        <v>0</v>
      </c>
      <c r="D4670" s="29" t="e">
        <f>VLOOKUP(C4670,'점포코드 '!A:B,2,0)</f>
        <v>#N/A</v>
      </c>
      <c r="E4670" s="30">
        <f>'Raw data'!P4246</f>
        <v>0</v>
      </c>
      <c r="F4670" s="29" t="e">
        <f>VLOOKUP(E4670,'점포코드 '!A:B,2,0)</f>
        <v>#N/A</v>
      </c>
      <c r="G4670" s="46">
        <f>'Raw data'!F4579</f>
        <v>0</v>
      </c>
      <c r="H4670" s="4">
        <f>'Raw data'!G4579</f>
        <v>0</v>
      </c>
      <c r="I4670" s="29" t="e">
        <f>VLOOKUP(G4670,제품명!$C$1:$E$114,2,0)</f>
        <v>#N/A</v>
      </c>
      <c r="J4670" s="29">
        <f>'Raw data'!K4579</f>
        <v>0</v>
      </c>
      <c r="K4670" s="31">
        <f>'Raw data'!H4579</f>
        <v>0</v>
      </c>
      <c r="L4670" s="26">
        <f t="shared" si="148"/>
        <v>0</v>
      </c>
    </row>
    <row r="4671" spans="2:12">
      <c r="B4671" s="4" t="e">
        <f t="shared" si="147"/>
        <v>#N/A</v>
      </c>
      <c r="C4671" s="4">
        <f>'Raw data'!E4247</f>
        <v>0</v>
      </c>
      <c r="D4671" s="29" t="e">
        <f>VLOOKUP(C4671,'점포코드 '!A:B,2,0)</f>
        <v>#N/A</v>
      </c>
      <c r="E4671" s="30">
        <f>'Raw data'!P4247</f>
        <v>0</v>
      </c>
      <c r="F4671" s="29" t="e">
        <f>VLOOKUP(E4671,'점포코드 '!A:B,2,0)</f>
        <v>#N/A</v>
      </c>
      <c r="G4671" s="46">
        <f>'Raw data'!F4580</f>
        <v>0</v>
      </c>
      <c r="H4671" s="4">
        <f>'Raw data'!G4580</f>
        <v>0</v>
      </c>
      <c r="I4671" s="29" t="e">
        <f>VLOOKUP(G4671,제품명!$C$1:$E$114,2,0)</f>
        <v>#N/A</v>
      </c>
      <c r="J4671" s="29">
        <f>'Raw data'!K4580</f>
        <v>0</v>
      </c>
      <c r="K4671" s="31">
        <f>'Raw data'!H4580</f>
        <v>0</v>
      </c>
      <c r="L4671" s="26">
        <f t="shared" si="148"/>
        <v>0</v>
      </c>
    </row>
    <row r="4672" spans="2:12">
      <c r="B4672" s="4" t="e">
        <f t="shared" si="147"/>
        <v>#N/A</v>
      </c>
      <c r="C4672" s="4">
        <f>'Raw data'!E4248</f>
        <v>0</v>
      </c>
      <c r="D4672" s="29" t="e">
        <f>VLOOKUP(C4672,'점포코드 '!A:B,2,0)</f>
        <v>#N/A</v>
      </c>
      <c r="E4672" s="30">
        <f>'Raw data'!P4248</f>
        <v>0</v>
      </c>
      <c r="F4672" s="29" t="e">
        <f>VLOOKUP(E4672,'점포코드 '!A:B,2,0)</f>
        <v>#N/A</v>
      </c>
      <c r="G4672" s="46">
        <f>'Raw data'!F4581</f>
        <v>0</v>
      </c>
      <c r="H4672" s="4">
        <f>'Raw data'!G4581</f>
        <v>0</v>
      </c>
      <c r="I4672" s="29" t="e">
        <f>VLOOKUP(G4672,제품명!$C$1:$E$114,2,0)</f>
        <v>#N/A</v>
      </c>
      <c r="J4672" s="29">
        <f>'Raw data'!K4581</f>
        <v>0</v>
      </c>
      <c r="K4672" s="31">
        <f>'Raw data'!H4581</f>
        <v>0</v>
      </c>
      <c r="L4672" s="26">
        <f t="shared" si="148"/>
        <v>0</v>
      </c>
    </row>
    <row r="4673" spans="2:12">
      <c r="B4673" s="4" t="e">
        <f t="shared" si="147"/>
        <v>#N/A</v>
      </c>
      <c r="C4673" s="4">
        <f>'Raw data'!E4249</f>
        <v>0</v>
      </c>
      <c r="D4673" s="29" t="e">
        <f>VLOOKUP(C4673,'점포코드 '!A:B,2,0)</f>
        <v>#N/A</v>
      </c>
      <c r="E4673" s="30">
        <f>'Raw data'!P4249</f>
        <v>0</v>
      </c>
      <c r="F4673" s="29" t="e">
        <f>VLOOKUP(E4673,'점포코드 '!A:B,2,0)</f>
        <v>#N/A</v>
      </c>
      <c r="G4673" s="46">
        <f>'Raw data'!F4582</f>
        <v>0</v>
      </c>
      <c r="H4673" s="4">
        <f>'Raw data'!G4582</f>
        <v>0</v>
      </c>
      <c r="I4673" s="29" t="e">
        <f>VLOOKUP(G4673,제품명!$C$1:$E$114,2,0)</f>
        <v>#N/A</v>
      </c>
      <c r="J4673" s="29">
        <f>'Raw data'!K4582</f>
        <v>0</v>
      </c>
      <c r="K4673" s="31">
        <f>'Raw data'!H4582</f>
        <v>0</v>
      </c>
      <c r="L4673" s="26">
        <f t="shared" si="148"/>
        <v>0</v>
      </c>
    </row>
    <row r="4674" spans="2:12">
      <c r="B4674" s="4" t="e">
        <f t="shared" ref="B4674:B4737" si="149">F4674&amp;I4674</f>
        <v>#N/A</v>
      </c>
      <c r="C4674" s="4">
        <f>'Raw data'!E4250</f>
        <v>0</v>
      </c>
      <c r="D4674" s="29" t="e">
        <f>VLOOKUP(C4674,'점포코드 '!A:B,2,0)</f>
        <v>#N/A</v>
      </c>
      <c r="E4674" s="30">
        <f>'Raw data'!P4250</f>
        <v>0</v>
      </c>
      <c r="F4674" s="29" t="e">
        <f>VLOOKUP(E4674,'점포코드 '!A:B,2,0)</f>
        <v>#N/A</v>
      </c>
      <c r="G4674" s="46">
        <f>'Raw data'!F4583</f>
        <v>0</v>
      </c>
      <c r="H4674" s="4">
        <f>'Raw data'!G4583</f>
        <v>0</v>
      </c>
      <c r="I4674" s="29" t="e">
        <f>VLOOKUP(G4674,제품명!$C$1:$E$114,2,0)</f>
        <v>#N/A</v>
      </c>
      <c r="J4674" s="29">
        <f>'Raw data'!K4583</f>
        <v>0</v>
      </c>
      <c r="K4674" s="31">
        <f>'Raw data'!H4583</f>
        <v>0</v>
      </c>
      <c r="L4674" s="26">
        <f t="shared" si="148"/>
        <v>0</v>
      </c>
    </row>
    <row r="4675" spans="2:12">
      <c r="B4675" s="4" t="e">
        <f t="shared" si="149"/>
        <v>#N/A</v>
      </c>
      <c r="C4675" s="4">
        <f>'Raw data'!E4251</f>
        <v>0</v>
      </c>
      <c r="D4675" s="29" t="e">
        <f>VLOOKUP(C4675,'점포코드 '!A:B,2,0)</f>
        <v>#N/A</v>
      </c>
      <c r="E4675" s="30">
        <f>'Raw data'!P4251</f>
        <v>0</v>
      </c>
      <c r="F4675" s="29" t="e">
        <f>VLOOKUP(E4675,'점포코드 '!A:B,2,0)</f>
        <v>#N/A</v>
      </c>
      <c r="G4675" s="46">
        <f>'Raw data'!F4584</f>
        <v>0</v>
      </c>
      <c r="H4675" s="4">
        <f>'Raw data'!G4584</f>
        <v>0</v>
      </c>
      <c r="I4675" s="29" t="e">
        <f>VLOOKUP(G4675,제품명!$C$1:$E$114,2,0)</f>
        <v>#N/A</v>
      </c>
      <c r="J4675" s="29">
        <f>'Raw data'!K4584</f>
        <v>0</v>
      </c>
      <c r="K4675" s="31">
        <f>'Raw data'!H4584</f>
        <v>0</v>
      </c>
      <c r="L4675" s="26">
        <f t="shared" ref="L4675:L4738" si="150">J4675*K4675</f>
        <v>0</v>
      </c>
    </row>
    <row r="4676" spans="2:12">
      <c r="B4676" s="4" t="e">
        <f t="shared" si="149"/>
        <v>#N/A</v>
      </c>
      <c r="C4676" s="4">
        <f>'Raw data'!E4252</f>
        <v>0</v>
      </c>
      <c r="D4676" s="29" t="e">
        <f>VLOOKUP(C4676,'점포코드 '!A:B,2,0)</f>
        <v>#N/A</v>
      </c>
      <c r="E4676" s="30">
        <f>'Raw data'!P4252</f>
        <v>0</v>
      </c>
      <c r="F4676" s="29" t="e">
        <f>VLOOKUP(E4676,'점포코드 '!A:B,2,0)</f>
        <v>#N/A</v>
      </c>
      <c r="G4676" s="46">
        <f>'Raw data'!F4585</f>
        <v>0</v>
      </c>
      <c r="H4676" s="4">
        <f>'Raw data'!G4585</f>
        <v>0</v>
      </c>
      <c r="I4676" s="29" t="e">
        <f>VLOOKUP(G4676,제품명!$C$1:$E$114,2,0)</f>
        <v>#N/A</v>
      </c>
      <c r="J4676" s="29">
        <f>'Raw data'!K4585</f>
        <v>0</v>
      </c>
      <c r="K4676" s="31">
        <f>'Raw data'!H4585</f>
        <v>0</v>
      </c>
      <c r="L4676" s="26">
        <f t="shared" si="150"/>
        <v>0</v>
      </c>
    </row>
    <row r="4677" spans="2:12">
      <c r="B4677" s="4" t="e">
        <f t="shared" si="149"/>
        <v>#N/A</v>
      </c>
      <c r="C4677" s="4">
        <f>'Raw data'!E4253</f>
        <v>0</v>
      </c>
      <c r="D4677" s="29" t="e">
        <f>VLOOKUP(C4677,'점포코드 '!A:B,2,0)</f>
        <v>#N/A</v>
      </c>
      <c r="E4677" s="30">
        <f>'Raw data'!P4253</f>
        <v>0</v>
      </c>
      <c r="F4677" s="29" t="e">
        <f>VLOOKUP(E4677,'점포코드 '!A:B,2,0)</f>
        <v>#N/A</v>
      </c>
      <c r="G4677" s="46">
        <f>'Raw data'!F4586</f>
        <v>0</v>
      </c>
      <c r="H4677" s="4">
        <f>'Raw data'!G4586</f>
        <v>0</v>
      </c>
      <c r="I4677" s="29" t="e">
        <f>VLOOKUP(G4677,제품명!$C$1:$E$114,2,0)</f>
        <v>#N/A</v>
      </c>
      <c r="J4677" s="29">
        <f>'Raw data'!K4586</f>
        <v>0</v>
      </c>
      <c r="K4677" s="31">
        <f>'Raw data'!H4586</f>
        <v>0</v>
      </c>
      <c r="L4677" s="26">
        <f t="shared" si="150"/>
        <v>0</v>
      </c>
    </row>
    <row r="4678" spans="2:12">
      <c r="B4678" s="4" t="e">
        <f t="shared" si="149"/>
        <v>#N/A</v>
      </c>
      <c r="C4678" s="4">
        <f>'Raw data'!E4254</f>
        <v>0</v>
      </c>
      <c r="D4678" s="29" t="e">
        <f>VLOOKUP(C4678,'점포코드 '!A:B,2,0)</f>
        <v>#N/A</v>
      </c>
      <c r="E4678" s="30">
        <f>'Raw data'!P4254</f>
        <v>0</v>
      </c>
      <c r="F4678" s="29" t="e">
        <f>VLOOKUP(E4678,'점포코드 '!A:B,2,0)</f>
        <v>#N/A</v>
      </c>
      <c r="G4678" s="46">
        <f>'Raw data'!F4587</f>
        <v>0</v>
      </c>
      <c r="H4678" s="4">
        <f>'Raw data'!G4587</f>
        <v>0</v>
      </c>
      <c r="I4678" s="29" t="e">
        <f>VLOOKUP(G4678,제품명!$C$1:$E$114,2,0)</f>
        <v>#N/A</v>
      </c>
      <c r="J4678" s="29">
        <f>'Raw data'!K4587</f>
        <v>0</v>
      </c>
      <c r="K4678" s="31">
        <f>'Raw data'!H4587</f>
        <v>0</v>
      </c>
      <c r="L4678" s="26">
        <f t="shared" si="150"/>
        <v>0</v>
      </c>
    </row>
    <row r="4679" spans="2:12">
      <c r="B4679" s="4" t="e">
        <f t="shared" si="149"/>
        <v>#N/A</v>
      </c>
      <c r="C4679" s="4">
        <f>'Raw data'!E4255</f>
        <v>0</v>
      </c>
      <c r="D4679" s="29" t="e">
        <f>VLOOKUP(C4679,'점포코드 '!A:B,2,0)</f>
        <v>#N/A</v>
      </c>
      <c r="E4679" s="30">
        <f>'Raw data'!P4255</f>
        <v>0</v>
      </c>
      <c r="F4679" s="29" t="e">
        <f>VLOOKUP(E4679,'점포코드 '!A:B,2,0)</f>
        <v>#N/A</v>
      </c>
      <c r="G4679" s="46">
        <f>'Raw data'!F4588</f>
        <v>0</v>
      </c>
      <c r="H4679" s="4">
        <f>'Raw data'!G4588</f>
        <v>0</v>
      </c>
      <c r="I4679" s="29" t="e">
        <f>VLOOKUP(G4679,제품명!$C$1:$E$114,2,0)</f>
        <v>#N/A</v>
      </c>
      <c r="J4679" s="29">
        <f>'Raw data'!K4588</f>
        <v>0</v>
      </c>
      <c r="K4679" s="31">
        <f>'Raw data'!H4588</f>
        <v>0</v>
      </c>
      <c r="L4679" s="26">
        <f t="shared" si="150"/>
        <v>0</v>
      </c>
    </row>
    <row r="4680" spans="2:12">
      <c r="B4680" s="4" t="e">
        <f t="shared" si="149"/>
        <v>#N/A</v>
      </c>
      <c r="C4680" s="4">
        <f>'Raw data'!E4256</f>
        <v>0</v>
      </c>
      <c r="D4680" s="29" t="e">
        <f>VLOOKUP(C4680,'점포코드 '!A:B,2,0)</f>
        <v>#N/A</v>
      </c>
      <c r="E4680" s="30">
        <f>'Raw data'!P4256</f>
        <v>0</v>
      </c>
      <c r="F4680" s="29" t="e">
        <f>VLOOKUP(E4680,'점포코드 '!A:B,2,0)</f>
        <v>#N/A</v>
      </c>
      <c r="G4680" s="46">
        <f>'Raw data'!F4589</f>
        <v>0</v>
      </c>
      <c r="H4680" s="4">
        <f>'Raw data'!G4589</f>
        <v>0</v>
      </c>
      <c r="I4680" s="29" t="e">
        <f>VLOOKUP(G4680,제품명!$C$1:$E$114,2,0)</f>
        <v>#N/A</v>
      </c>
      <c r="J4680" s="29">
        <f>'Raw data'!K4589</f>
        <v>0</v>
      </c>
      <c r="K4680" s="31">
        <f>'Raw data'!H4589</f>
        <v>0</v>
      </c>
      <c r="L4680" s="26">
        <f t="shared" si="150"/>
        <v>0</v>
      </c>
    </row>
    <row r="4681" spans="2:12">
      <c r="B4681" s="4" t="e">
        <f t="shared" si="149"/>
        <v>#N/A</v>
      </c>
      <c r="C4681" s="4">
        <f>'Raw data'!E4257</f>
        <v>0</v>
      </c>
      <c r="D4681" s="29" t="e">
        <f>VLOOKUP(C4681,'점포코드 '!A:B,2,0)</f>
        <v>#N/A</v>
      </c>
      <c r="E4681" s="30">
        <f>'Raw data'!P4257</f>
        <v>0</v>
      </c>
      <c r="F4681" s="29" t="e">
        <f>VLOOKUP(E4681,'점포코드 '!A:B,2,0)</f>
        <v>#N/A</v>
      </c>
      <c r="G4681" s="46">
        <f>'Raw data'!F4590</f>
        <v>0</v>
      </c>
      <c r="H4681" s="4">
        <f>'Raw data'!G4590</f>
        <v>0</v>
      </c>
      <c r="I4681" s="29" t="e">
        <f>VLOOKUP(G4681,제품명!$C$1:$E$114,2,0)</f>
        <v>#N/A</v>
      </c>
      <c r="J4681" s="29">
        <f>'Raw data'!K4590</f>
        <v>0</v>
      </c>
      <c r="K4681" s="31">
        <f>'Raw data'!H4590</f>
        <v>0</v>
      </c>
      <c r="L4681" s="26">
        <f t="shared" si="150"/>
        <v>0</v>
      </c>
    </row>
    <row r="4682" spans="2:12">
      <c r="B4682" s="4" t="e">
        <f t="shared" si="149"/>
        <v>#N/A</v>
      </c>
      <c r="C4682" s="4">
        <f>'Raw data'!E4258</f>
        <v>0</v>
      </c>
      <c r="D4682" s="29" t="e">
        <f>VLOOKUP(C4682,'점포코드 '!A:B,2,0)</f>
        <v>#N/A</v>
      </c>
      <c r="E4682" s="30">
        <f>'Raw data'!P4258</f>
        <v>0</v>
      </c>
      <c r="F4682" s="29" t="e">
        <f>VLOOKUP(E4682,'점포코드 '!A:B,2,0)</f>
        <v>#N/A</v>
      </c>
      <c r="G4682" s="46">
        <f>'Raw data'!F4591</f>
        <v>0</v>
      </c>
      <c r="H4682" s="4">
        <f>'Raw data'!G4591</f>
        <v>0</v>
      </c>
      <c r="I4682" s="29" t="e">
        <f>VLOOKUP(G4682,제품명!$C$1:$E$114,2,0)</f>
        <v>#N/A</v>
      </c>
      <c r="J4682" s="29">
        <f>'Raw data'!K4591</f>
        <v>0</v>
      </c>
      <c r="K4682" s="31">
        <f>'Raw data'!H4591</f>
        <v>0</v>
      </c>
      <c r="L4682" s="26">
        <f t="shared" si="150"/>
        <v>0</v>
      </c>
    </row>
    <row r="4683" spans="2:12">
      <c r="B4683" s="4" t="e">
        <f t="shared" si="149"/>
        <v>#N/A</v>
      </c>
      <c r="C4683" s="4">
        <f>'Raw data'!E4259</f>
        <v>0</v>
      </c>
      <c r="D4683" s="29" t="e">
        <f>VLOOKUP(C4683,'점포코드 '!A:B,2,0)</f>
        <v>#N/A</v>
      </c>
      <c r="E4683" s="30">
        <f>'Raw data'!P4259</f>
        <v>0</v>
      </c>
      <c r="F4683" s="29" t="e">
        <f>VLOOKUP(E4683,'점포코드 '!A:B,2,0)</f>
        <v>#N/A</v>
      </c>
      <c r="G4683" s="46">
        <f>'Raw data'!F4592</f>
        <v>0</v>
      </c>
      <c r="H4683" s="4">
        <f>'Raw data'!G4592</f>
        <v>0</v>
      </c>
      <c r="I4683" s="29" t="e">
        <f>VLOOKUP(G4683,제품명!$C$1:$E$114,2,0)</f>
        <v>#N/A</v>
      </c>
      <c r="J4683" s="29">
        <f>'Raw data'!K4592</f>
        <v>0</v>
      </c>
      <c r="K4683" s="31">
        <f>'Raw data'!H4592</f>
        <v>0</v>
      </c>
      <c r="L4683" s="26">
        <f t="shared" si="150"/>
        <v>0</v>
      </c>
    </row>
    <row r="4684" spans="2:12">
      <c r="B4684" s="4" t="e">
        <f t="shared" si="149"/>
        <v>#N/A</v>
      </c>
      <c r="C4684" s="4">
        <f>'Raw data'!E4260</f>
        <v>0</v>
      </c>
      <c r="D4684" s="29" t="e">
        <f>VLOOKUP(C4684,'점포코드 '!A:B,2,0)</f>
        <v>#N/A</v>
      </c>
      <c r="E4684" s="30">
        <f>'Raw data'!P4260</f>
        <v>0</v>
      </c>
      <c r="F4684" s="29" t="e">
        <f>VLOOKUP(E4684,'점포코드 '!A:B,2,0)</f>
        <v>#N/A</v>
      </c>
      <c r="G4684" s="46">
        <f>'Raw data'!F4593</f>
        <v>0</v>
      </c>
      <c r="H4684" s="4">
        <f>'Raw data'!G4593</f>
        <v>0</v>
      </c>
      <c r="I4684" s="29" t="e">
        <f>VLOOKUP(G4684,제품명!$C$1:$E$114,2,0)</f>
        <v>#N/A</v>
      </c>
      <c r="J4684" s="29">
        <f>'Raw data'!K4593</f>
        <v>0</v>
      </c>
      <c r="K4684" s="31">
        <f>'Raw data'!H4593</f>
        <v>0</v>
      </c>
      <c r="L4684" s="26">
        <f t="shared" si="150"/>
        <v>0</v>
      </c>
    </row>
    <row r="4685" spans="2:12">
      <c r="B4685" s="4" t="e">
        <f t="shared" si="149"/>
        <v>#N/A</v>
      </c>
      <c r="C4685" s="4">
        <f>'Raw data'!E4261</f>
        <v>0</v>
      </c>
      <c r="D4685" s="29" t="e">
        <f>VLOOKUP(C4685,'점포코드 '!A:B,2,0)</f>
        <v>#N/A</v>
      </c>
      <c r="E4685" s="30">
        <f>'Raw data'!P4261</f>
        <v>0</v>
      </c>
      <c r="F4685" s="29" t="e">
        <f>VLOOKUP(E4685,'점포코드 '!A:B,2,0)</f>
        <v>#N/A</v>
      </c>
      <c r="G4685" s="46">
        <f>'Raw data'!F4594</f>
        <v>0</v>
      </c>
      <c r="H4685" s="4">
        <f>'Raw data'!G4594</f>
        <v>0</v>
      </c>
      <c r="I4685" s="29" t="e">
        <f>VLOOKUP(G4685,제품명!$C$1:$E$114,2,0)</f>
        <v>#N/A</v>
      </c>
      <c r="J4685" s="29">
        <f>'Raw data'!K4594</f>
        <v>0</v>
      </c>
      <c r="K4685" s="31">
        <f>'Raw data'!H4594</f>
        <v>0</v>
      </c>
      <c r="L4685" s="26">
        <f t="shared" si="150"/>
        <v>0</v>
      </c>
    </row>
    <row r="4686" spans="2:12">
      <c r="B4686" s="4" t="e">
        <f t="shared" si="149"/>
        <v>#N/A</v>
      </c>
      <c r="C4686" s="4">
        <f>'Raw data'!E4262</f>
        <v>0</v>
      </c>
      <c r="D4686" s="29" t="e">
        <f>VLOOKUP(C4686,'점포코드 '!A:B,2,0)</f>
        <v>#N/A</v>
      </c>
      <c r="E4686" s="30">
        <f>'Raw data'!P4262</f>
        <v>0</v>
      </c>
      <c r="F4686" s="29" t="e">
        <f>VLOOKUP(E4686,'점포코드 '!A:B,2,0)</f>
        <v>#N/A</v>
      </c>
      <c r="G4686" s="46">
        <f>'Raw data'!F4595</f>
        <v>0</v>
      </c>
      <c r="H4686" s="4">
        <f>'Raw data'!G4595</f>
        <v>0</v>
      </c>
      <c r="I4686" s="29" t="e">
        <f>VLOOKUP(G4686,제품명!$C$1:$E$114,2,0)</f>
        <v>#N/A</v>
      </c>
      <c r="J4686" s="29">
        <f>'Raw data'!K4595</f>
        <v>0</v>
      </c>
      <c r="K4686" s="31">
        <f>'Raw data'!H4595</f>
        <v>0</v>
      </c>
      <c r="L4686" s="26">
        <f t="shared" si="150"/>
        <v>0</v>
      </c>
    </row>
    <row r="4687" spans="2:12">
      <c r="B4687" s="4" t="e">
        <f t="shared" si="149"/>
        <v>#N/A</v>
      </c>
      <c r="C4687" s="4">
        <f>'Raw data'!E4263</f>
        <v>0</v>
      </c>
      <c r="D4687" s="29" t="e">
        <f>VLOOKUP(C4687,'점포코드 '!A:B,2,0)</f>
        <v>#N/A</v>
      </c>
      <c r="E4687" s="30">
        <f>'Raw data'!P4263</f>
        <v>0</v>
      </c>
      <c r="F4687" s="29" t="e">
        <f>VLOOKUP(E4687,'점포코드 '!A:B,2,0)</f>
        <v>#N/A</v>
      </c>
      <c r="G4687" s="46">
        <f>'Raw data'!F4596</f>
        <v>0</v>
      </c>
      <c r="H4687" s="4">
        <f>'Raw data'!G4596</f>
        <v>0</v>
      </c>
      <c r="I4687" s="29" t="e">
        <f>VLOOKUP(G4687,제품명!$C$1:$E$114,2,0)</f>
        <v>#N/A</v>
      </c>
      <c r="J4687" s="29">
        <f>'Raw data'!K4596</f>
        <v>0</v>
      </c>
      <c r="K4687" s="31">
        <f>'Raw data'!H4596</f>
        <v>0</v>
      </c>
      <c r="L4687" s="26">
        <f t="shared" si="150"/>
        <v>0</v>
      </c>
    </row>
    <row r="4688" spans="2:12">
      <c r="B4688" s="4" t="e">
        <f t="shared" si="149"/>
        <v>#N/A</v>
      </c>
      <c r="C4688" s="4">
        <f>'Raw data'!E4264</f>
        <v>0</v>
      </c>
      <c r="D4688" s="29" t="e">
        <f>VLOOKUP(C4688,'점포코드 '!A:B,2,0)</f>
        <v>#N/A</v>
      </c>
      <c r="E4688" s="30">
        <f>'Raw data'!P4264</f>
        <v>0</v>
      </c>
      <c r="F4688" s="29" t="e">
        <f>VLOOKUP(E4688,'점포코드 '!A:B,2,0)</f>
        <v>#N/A</v>
      </c>
      <c r="G4688" s="46">
        <f>'Raw data'!F4597</f>
        <v>0</v>
      </c>
      <c r="H4688" s="4">
        <f>'Raw data'!G4597</f>
        <v>0</v>
      </c>
      <c r="I4688" s="29" t="e">
        <f>VLOOKUP(G4688,제품명!$C$1:$E$114,2,0)</f>
        <v>#N/A</v>
      </c>
      <c r="J4688" s="29">
        <f>'Raw data'!K4597</f>
        <v>0</v>
      </c>
      <c r="K4688" s="31">
        <f>'Raw data'!H4597</f>
        <v>0</v>
      </c>
      <c r="L4688" s="26">
        <f t="shared" si="150"/>
        <v>0</v>
      </c>
    </row>
    <row r="4689" spans="2:12">
      <c r="B4689" s="4" t="e">
        <f t="shared" si="149"/>
        <v>#N/A</v>
      </c>
      <c r="C4689" s="4">
        <f>'Raw data'!E4265</f>
        <v>0</v>
      </c>
      <c r="D4689" s="29" t="e">
        <f>VLOOKUP(C4689,'점포코드 '!A:B,2,0)</f>
        <v>#N/A</v>
      </c>
      <c r="E4689" s="30">
        <f>'Raw data'!P4265</f>
        <v>0</v>
      </c>
      <c r="F4689" s="29" t="e">
        <f>VLOOKUP(E4689,'점포코드 '!A:B,2,0)</f>
        <v>#N/A</v>
      </c>
      <c r="G4689" s="46">
        <f>'Raw data'!F4598</f>
        <v>0</v>
      </c>
      <c r="H4689" s="4">
        <f>'Raw data'!G4598</f>
        <v>0</v>
      </c>
      <c r="I4689" s="29" t="e">
        <f>VLOOKUP(G4689,제품명!$C$1:$E$114,2,0)</f>
        <v>#N/A</v>
      </c>
      <c r="J4689" s="29">
        <f>'Raw data'!K4598</f>
        <v>0</v>
      </c>
      <c r="K4689" s="31">
        <f>'Raw data'!H4598</f>
        <v>0</v>
      </c>
      <c r="L4689" s="26">
        <f t="shared" si="150"/>
        <v>0</v>
      </c>
    </row>
    <row r="4690" spans="2:12">
      <c r="B4690" s="4" t="e">
        <f t="shared" si="149"/>
        <v>#N/A</v>
      </c>
      <c r="C4690" s="4">
        <f>'Raw data'!E4266</f>
        <v>0</v>
      </c>
      <c r="D4690" s="29" t="e">
        <f>VLOOKUP(C4690,'점포코드 '!A:B,2,0)</f>
        <v>#N/A</v>
      </c>
      <c r="E4690" s="30">
        <f>'Raw data'!P4266</f>
        <v>0</v>
      </c>
      <c r="F4690" s="29" t="e">
        <f>VLOOKUP(E4690,'점포코드 '!A:B,2,0)</f>
        <v>#N/A</v>
      </c>
      <c r="G4690" s="46">
        <f>'Raw data'!F4599</f>
        <v>0</v>
      </c>
      <c r="H4690" s="4">
        <f>'Raw data'!G4599</f>
        <v>0</v>
      </c>
      <c r="I4690" s="29" t="e">
        <f>VLOOKUP(G4690,제품명!$C$1:$E$114,2,0)</f>
        <v>#N/A</v>
      </c>
      <c r="J4690" s="29">
        <f>'Raw data'!K4599</f>
        <v>0</v>
      </c>
      <c r="K4690" s="31">
        <f>'Raw data'!H4599</f>
        <v>0</v>
      </c>
      <c r="L4690" s="26">
        <f t="shared" si="150"/>
        <v>0</v>
      </c>
    </row>
    <row r="4691" spans="2:12">
      <c r="B4691" s="4" t="e">
        <f t="shared" si="149"/>
        <v>#N/A</v>
      </c>
      <c r="C4691" s="4">
        <f>'Raw data'!E4267</f>
        <v>0</v>
      </c>
      <c r="D4691" s="29" t="e">
        <f>VLOOKUP(C4691,'점포코드 '!A:B,2,0)</f>
        <v>#N/A</v>
      </c>
      <c r="E4691" s="30">
        <f>'Raw data'!P4267</f>
        <v>0</v>
      </c>
      <c r="F4691" s="29" t="e">
        <f>VLOOKUP(E4691,'점포코드 '!A:B,2,0)</f>
        <v>#N/A</v>
      </c>
      <c r="G4691" s="46">
        <f>'Raw data'!F4600</f>
        <v>0</v>
      </c>
      <c r="H4691" s="4">
        <f>'Raw data'!G4600</f>
        <v>0</v>
      </c>
      <c r="I4691" s="29" t="e">
        <f>VLOOKUP(G4691,제품명!$C$1:$E$114,2,0)</f>
        <v>#N/A</v>
      </c>
      <c r="J4691" s="29">
        <f>'Raw data'!K4600</f>
        <v>0</v>
      </c>
      <c r="K4691" s="31">
        <f>'Raw data'!H4600</f>
        <v>0</v>
      </c>
      <c r="L4691" s="26">
        <f t="shared" si="150"/>
        <v>0</v>
      </c>
    </row>
    <row r="4692" spans="2:12">
      <c r="B4692" s="4" t="e">
        <f t="shared" si="149"/>
        <v>#N/A</v>
      </c>
      <c r="C4692" s="4">
        <f>'Raw data'!E4268</f>
        <v>0</v>
      </c>
      <c r="D4692" s="29" t="e">
        <f>VLOOKUP(C4692,'점포코드 '!A:B,2,0)</f>
        <v>#N/A</v>
      </c>
      <c r="E4692" s="30">
        <f>'Raw data'!P4268</f>
        <v>0</v>
      </c>
      <c r="F4692" s="29" t="e">
        <f>VLOOKUP(E4692,'점포코드 '!A:B,2,0)</f>
        <v>#N/A</v>
      </c>
      <c r="G4692" s="46">
        <f>'Raw data'!F4601</f>
        <v>0</v>
      </c>
      <c r="H4692" s="4">
        <f>'Raw data'!G4601</f>
        <v>0</v>
      </c>
      <c r="I4692" s="29" t="e">
        <f>VLOOKUP(G4692,제품명!$C$1:$E$114,2,0)</f>
        <v>#N/A</v>
      </c>
      <c r="J4692" s="29">
        <f>'Raw data'!K4601</f>
        <v>0</v>
      </c>
      <c r="K4692" s="31">
        <f>'Raw data'!H4601</f>
        <v>0</v>
      </c>
      <c r="L4692" s="26">
        <f t="shared" si="150"/>
        <v>0</v>
      </c>
    </row>
    <row r="4693" spans="2:12">
      <c r="B4693" s="4" t="e">
        <f t="shared" si="149"/>
        <v>#N/A</v>
      </c>
      <c r="C4693" s="4">
        <f>'Raw data'!E4269</f>
        <v>0</v>
      </c>
      <c r="D4693" s="29" t="e">
        <f>VLOOKUP(C4693,'점포코드 '!A:B,2,0)</f>
        <v>#N/A</v>
      </c>
      <c r="E4693" s="30">
        <f>'Raw data'!P4269</f>
        <v>0</v>
      </c>
      <c r="F4693" s="29" t="e">
        <f>VLOOKUP(E4693,'점포코드 '!A:B,2,0)</f>
        <v>#N/A</v>
      </c>
      <c r="G4693" s="46">
        <f>'Raw data'!F4602</f>
        <v>0</v>
      </c>
      <c r="H4693" s="4">
        <f>'Raw data'!G4602</f>
        <v>0</v>
      </c>
      <c r="I4693" s="29" t="e">
        <f>VLOOKUP(G4693,제품명!$C$1:$E$114,2,0)</f>
        <v>#N/A</v>
      </c>
      <c r="J4693" s="29">
        <f>'Raw data'!K4602</f>
        <v>0</v>
      </c>
      <c r="K4693" s="31">
        <f>'Raw data'!H4602</f>
        <v>0</v>
      </c>
      <c r="L4693" s="26">
        <f t="shared" si="150"/>
        <v>0</v>
      </c>
    </row>
    <row r="4694" spans="2:12">
      <c r="B4694" s="4" t="e">
        <f t="shared" si="149"/>
        <v>#N/A</v>
      </c>
      <c r="C4694" s="4">
        <f>'Raw data'!E4270</f>
        <v>0</v>
      </c>
      <c r="D4694" s="29" t="e">
        <f>VLOOKUP(C4694,'점포코드 '!A:B,2,0)</f>
        <v>#N/A</v>
      </c>
      <c r="E4694" s="30">
        <f>'Raw data'!P4270</f>
        <v>0</v>
      </c>
      <c r="F4694" s="29" t="e">
        <f>VLOOKUP(E4694,'점포코드 '!A:B,2,0)</f>
        <v>#N/A</v>
      </c>
      <c r="G4694" s="46">
        <f>'Raw data'!F4603</f>
        <v>0</v>
      </c>
      <c r="H4694" s="4">
        <f>'Raw data'!G4603</f>
        <v>0</v>
      </c>
      <c r="I4694" s="29" t="e">
        <f>VLOOKUP(G4694,제품명!$C$1:$E$114,2,0)</f>
        <v>#N/A</v>
      </c>
      <c r="J4694" s="29">
        <f>'Raw data'!K4603</f>
        <v>0</v>
      </c>
      <c r="K4694" s="31">
        <f>'Raw data'!H4603</f>
        <v>0</v>
      </c>
      <c r="L4694" s="26">
        <f t="shared" si="150"/>
        <v>0</v>
      </c>
    </row>
    <row r="4695" spans="2:12">
      <c r="B4695" s="4" t="e">
        <f t="shared" si="149"/>
        <v>#N/A</v>
      </c>
      <c r="C4695" s="4">
        <f>'Raw data'!E4271</f>
        <v>0</v>
      </c>
      <c r="D4695" s="29" t="e">
        <f>VLOOKUP(C4695,'점포코드 '!A:B,2,0)</f>
        <v>#N/A</v>
      </c>
      <c r="E4695" s="30">
        <f>'Raw data'!P4271</f>
        <v>0</v>
      </c>
      <c r="F4695" s="29" t="e">
        <f>VLOOKUP(E4695,'점포코드 '!A:B,2,0)</f>
        <v>#N/A</v>
      </c>
      <c r="G4695" s="46">
        <f>'Raw data'!F4604</f>
        <v>0</v>
      </c>
      <c r="H4695" s="4">
        <f>'Raw data'!G4604</f>
        <v>0</v>
      </c>
      <c r="I4695" s="29" t="e">
        <f>VLOOKUP(G4695,제품명!$C$1:$E$114,2,0)</f>
        <v>#N/A</v>
      </c>
      <c r="J4695" s="29">
        <f>'Raw data'!K4604</f>
        <v>0</v>
      </c>
      <c r="K4695" s="31">
        <f>'Raw data'!H4604</f>
        <v>0</v>
      </c>
      <c r="L4695" s="26">
        <f t="shared" si="150"/>
        <v>0</v>
      </c>
    </row>
    <row r="4696" spans="2:12">
      <c r="B4696" s="4" t="e">
        <f t="shared" si="149"/>
        <v>#N/A</v>
      </c>
      <c r="C4696" s="4">
        <f>'Raw data'!E4272</f>
        <v>0</v>
      </c>
      <c r="D4696" s="29" t="e">
        <f>VLOOKUP(C4696,'점포코드 '!A:B,2,0)</f>
        <v>#N/A</v>
      </c>
      <c r="E4696" s="30">
        <f>'Raw data'!P4272</f>
        <v>0</v>
      </c>
      <c r="F4696" s="29" t="e">
        <f>VLOOKUP(E4696,'점포코드 '!A:B,2,0)</f>
        <v>#N/A</v>
      </c>
      <c r="G4696" s="46">
        <f>'Raw data'!F4605</f>
        <v>0</v>
      </c>
      <c r="H4696" s="4">
        <f>'Raw data'!G4605</f>
        <v>0</v>
      </c>
      <c r="I4696" s="29" t="e">
        <f>VLOOKUP(G4696,제품명!$C$1:$E$114,2,0)</f>
        <v>#N/A</v>
      </c>
      <c r="J4696" s="29">
        <f>'Raw data'!K4605</f>
        <v>0</v>
      </c>
      <c r="K4696" s="31">
        <f>'Raw data'!H4605</f>
        <v>0</v>
      </c>
      <c r="L4696" s="26">
        <f t="shared" si="150"/>
        <v>0</v>
      </c>
    </row>
    <row r="4697" spans="2:12">
      <c r="B4697" s="4" t="e">
        <f t="shared" si="149"/>
        <v>#N/A</v>
      </c>
      <c r="C4697" s="4">
        <f>'Raw data'!E4273</f>
        <v>0</v>
      </c>
      <c r="D4697" s="29" t="e">
        <f>VLOOKUP(C4697,'점포코드 '!A:B,2,0)</f>
        <v>#N/A</v>
      </c>
      <c r="E4697" s="30">
        <f>'Raw data'!P4273</f>
        <v>0</v>
      </c>
      <c r="F4697" s="29" t="e">
        <f>VLOOKUP(E4697,'점포코드 '!A:B,2,0)</f>
        <v>#N/A</v>
      </c>
      <c r="G4697" s="46">
        <f>'Raw data'!F4606</f>
        <v>0</v>
      </c>
      <c r="H4697" s="4">
        <f>'Raw data'!G4606</f>
        <v>0</v>
      </c>
      <c r="I4697" s="29" t="e">
        <f>VLOOKUP(G4697,제품명!$C$1:$E$114,2,0)</f>
        <v>#N/A</v>
      </c>
      <c r="J4697" s="29">
        <f>'Raw data'!K4606</f>
        <v>0</v>
      </c>
      <c r="K4697" s="31">
        <f>'Raw data'!H4606</f>
        <v>0</v>
      </c>
      <c r="L4697" s="26">
        <f t="shared" si="150"/>
        <v>0</v>
      </c>
    </row>
    <row r="4698" spans="2:12">
      <c r="B4698" s="4" t="e">
        <f t="shared" si="149"/>
        <v>#N/A</v>
      </c>
      <c r="C4698" s="4">
        <f>'Raw data'!E4274</f>
        <v>0</v>
      </c>
      <c r="D4698" s="29" t="e">
        <f>VLOOKUP(C4698,'점포코드 '!A:B,2,0)</f>
        <v>#N/A</v>
      </c>
      <c r="E4698" s="30">
        <f>'Raw data'!P4274</f>
        <v>0</v>
      </c>
      <c r="F4698" s="29" t="e">
        <f>VLOOKUP(E4698,'점포코드 '!A:B,2,0)</f>
        <v>#N/A</v>
      </c>
      <c r="G4698" s="46">
        <f>'Raw data'!F4607</f>
        <v>0</v>
      </c>
      <c r="H4698" s="4">
        <f>'Raw data'!G4607</f>
        <v>0</v>
      </c>
      <c r="I4698" s="29" t="e">
        <f>VLOOKUP(G4698,제품명!$C$1:$E$114,2,0)</f>
        <v>#N/A</v>
      </c>
      <c r="J4698" s="29">
        <f>'Raw data'!K4607</f>
        <v>0</v>
      </c>
      <c r="K4698" s="31">
        <f>'Raw data'!H4607</f>
        <v>0</v>
      </c>
      <c r="L4698" s="26">
        <f t="shared" si="150"/>
        <v>0</v>
      </c>
    </row>
    <row r="4699" spans="2:12">
      <c r="B4699" s="4" t="e">
        <f t="shared" si="149"/>
        <v>#N/A</v>
      </c>
      <c r="C4699" s="4">
        <f>'Raw data'!E4275</f>
        <v>0</v>
      </c>
      <c r="D4699" s="29" t="e">
        <f>VLOOKUP(C4699,'점포코드 '!A:B,2,0)</f>
        <v>#N/A</v>
      </c>
      <c r="E4699" s="30">
        <f>'Raw data'!P4275</f>
        <v>0</v>
      </c>
      <c r="F4699" s="29" t="e">
        <f>VLOOKUP(E4699,'점포코드 '!A:B,2,0)</f>
        <v>#N/A</v>
      </c>
      <c r="G4699" s="46">
        <f>'Raw data'!F4608</f>
        <v>0</v>
      </c>
      <c r="H4699" s="4">
        <f>'Raw data'!G4608</f>
        <v>0</v>
      </c>
      <c r="I4699" s="29" t="e">
        <f>VLOOKUP(G4699,제품명!$C$1:$E$114,2,0)</f>
        <v>#N/A</v>
      </c>
      <c r="J4699" s="29">
        <f>'Raw data'!K4608</f>
        <v>0</v>
      </c>
      <c r="K4699" s="31">
        <f>'Raw data'!H4608</f>
        <v>0</v>
      </c>
      <c r="L4699" s="26">
        <f t="shared" si="150"/>
        <v>0</v>
      </c>
    </row>
    <row r="4700" spans="2:12">
      <c r="B4700" s="4" t="e">
        <f t="shared" si="149"/>
        <v>#N/A</v>
      </c>
      <c r="C4700" s="4">
        <f>'Raw data'!E4276</f>
        <v>0</v>
      </c>
      <c r="D4700" s="29" t="e">
        <f>VLOOKUP(C4700,'점포코드 '!A:B,2,0)</f>
        <v>#N/A</v>
      </c>
      <c r="E4700" s="30">
        <f>'Raw data'!P4276</f>
        <v>0</v>
      </c>
      <c r="F4700" s="29" t="e">
        <f>VLOOKUP(E4700,'점포코드 '!A:B,2,0)</f>
        <v>#N/A</v>
      </c>
      <c r="G4700" s="46">
        <f>'Raw data'!F4609</f>
        <v>0</v>
      </c>
      <c r="H4700" s="4">
        <f>'Raw data'!G4609</f>
        <v>0</v>
      </c>
      <c r="I4700" s="29" t="e">
        <f>VLOOKUP(G4700,제품명!$C$1:$E$114,2,0)</f>
        <v>#N/A</v>
      </c>
      <c r="J4700" s="29">
        <f>'Raw data'!K4609</f>
        <v>0</v>
      </c>
      <c r="K4700" s="31">
        <f>'Raw data'!H4609</f>
        <v>0</v>
      </c>
      <c r="L4700" s="26">
        <f t="shared" si="150"/>
        <v>0</v>
      </c>
    </row>
    <row r="4701" spans="2:12">
      <c r="B4701" s="4" t="e">
        <f t="shared" si="149"/>
        <v>#N/A</v>
      </c>
      <c r="C4701" s="4">
        <f>'Raw data'!E4277</f>
        <v>0</v>
      </c>
      <c r="D4701" s="29" t="e">
        <f>VLOOKUP(C4701,'점포코드 '!A:B,2,0)</f>
        <v>#N/A</v>
      </c>
      <c r="E4701" s="30">
        <f>'Raw data'!P4277</f>
        <v>0</v>
      </c>
      <c r="F4701" s="29" t="e">
        <f>VLOOKUP(E4701,'점포코드 '!A:B,2,0)</f>
        <v>#N/A</v>
      </c>
      <c r="G4701" s="46">
        <f>'Raw data'!F4610</f>
        <v>0</v>
      </c>
      <c r="H4701" s="4">
        <f>'Raw data'!G4610</f>
        <v>0</v>
      </c>
      <c r="I4701" s="29" t="e">
        <f>VLOOKUP(G4701,제품명!$C$1:$E$114,2,0)</f>
        <v>#N/A</v>
      </c>
      <c r="J4701" s="29">
        <f>'Raw data'!K4610</f>
        <v>0</v>
      </c>
      <c r="K4701" s="31">
        <f>'Raw data'!H4610</f>
        <v>0</v>
      </c>
      <c r="L4701" s="26">
        <f t="shared" si="150"/>
        <v>0</v>
      </c>
    </row>
    <row r="4702" spans="2:12">
      <c r="B4702" s="4" t="e">
        <f t="shared" si="149"/>
        <v>#N/A</v>
      </c>
      <c r="C4702" s="4">
        <f>'Raw data'!E4278</f>
        <v>0</v>
      </c>
      <c r="D4702" s="29" t="e">
        <f>VLOOKUP(C4702,'점포코드 '!A:B,2,0)</f>
        <v>#N/A</v>
      </c>
      <c r="E4702" s="30">
        <f>'Raw data'!P4278</f>
        <v>0</v>
      </c>
      <c r="F4702" s="29" t="e">
        <f>VLOOKUP(E4702,'점포코드 '!A:B,2,0)</f>
        <v>#N/A</v>
      </c>
      <c r="G4702" s="46">
        <f>'Raw data'!F4611</f>
        <v>0</v>
      </c>
      <c r="H4702" s="4">
        <f>'Raw data'!G4611</f>
        <v>0</v>
      </c>
      <c r="I4702" s="29" t="e">
        <f>VLOOKUP(G4702,제품명!$C$1:$E$114,2,0)</f>
        <v>#N/A</v>
      </c>
      <c r="J4702" s="29">
        <f>'Raw data'!K4611</f>
        <v>0</v>
      </c>
      <c r="K4702" s="31">
        <f>'Raw data'!H4611</f>
        <v>0</v>
      </c>
      <c r="L4702" s="26">
        <f t="shared" si="150"/>
        <v>0</v>
      </c>
    </row>
    <row r="4703" spans="2:12">
      <c r="B4703" s="4" t="e">
        <f t="shared" si="149"/>
        <v>#N/A</v>
      </c>
      <c r="C4703" s="4">
        <f>'Raw data'!E4279</f>
        <v>0</v>
      </c>
      <c r="D4703" s="29" t="e">
        <f>VLOOKUP(C4703,'점포코드 '!A:B,2,0)</f>
        <v>#N/A</v>
      </c>
      <c r="E4703" s="30">
        <f>'Raw data'!P4279</f>
        <v>0</v>
      </c>
      <c r="F4703" s="29" t="e">
        <f>VLOOKUP(E4703,'점포코드 '!A:B,2,0)</f>
        <v>#N/A</v>
      </c>
      <c r="G4703" s="46">
        <f>'Raw data'!F4612</f>
        <v>0</v>
      </c>
      <c r="H4703" s="4">
        <f>'Raw data'!G4612</f>
        <v>0</v>
      </c>
      <c r="I4703" s="29" t="e">
        <f>VLOOKUP(G4703,제품명!$C$1:$E$114,2,0)</f>
        <v>#N/A</v>
      </c>
      <c r="J4703" s="29">
        <f>'Raw data'!K4612</f>
        <v>0</v>
      </c>
      <c r="K4703" s="31">
        <f>'Raw data'!H4612</f>
        <v>0</v>
      </c>
      <c r="L4703" s="26">
        <f t="shared" si="150"/>
        <v>0</v>
      </c>
    </row>
    <row r="4704" spans="2:12">
      <c r="B4704" s="4" t="e">
        <f t="shared" si="149"/>
        <v>#N/A</v>
      </c>
      <c r="C4704" s="4">
        <f>'Raw data'!E4280</f>
        <v>0</v>
      </c>
      <c r="D4704" s="29" t="e">
        <f>VLOOKUP(C4704,'점포코드 '!A:B,2,0)</f>
        <v>#N/A</v>
      </c>
      <c r="E4704" s="30">
        <f>'Raw data'!P4280</f>
        <v>0</v>
      </c>
      <c r="F4704" s="29" t="e">
        <f>VLOOKUP(E4704,'점포코드 '!A:B,2,0)</f>
        <v>#N/A</v>
      </c>
      <c r="G4704" s="46">
        <f>'Raw data'!F4613</f>
        <v>0</v>
      </c>
      <c r="H4704" s="4">
        <f>'Raw data'!G4613</f>
        <v>0</v>
      </c>
      <c r="I4704" s="29" t="e">
        <f>VLOOKUP(G4704,제품명!$C$1:$E$114,2,0)</f>
        <v>#N/A</v>
      </c>
      <c r="J4704" s="29">
        <f>'Raw data'!K4613</f>
        <v>0</v>
      </c>
      <c r="K4704" s="31">
        <f>'Raw data'!H4613</f>
        <v>0</v>
      </c>
      <c r="L4704" s="26">
        <f t="shared" si="150"/>
        <v>0</v>
      </c>
    </row>
    <row r="4705" spans="2:12">
      <c r="B4705" s="4" t="e">
        <f t="shared" si="149"/>
        <v>#N/A</v>
      </c>
      <c r="C4705" s="4">
        <f>'Raw data'!E4281</f>
        <v>0</v>
      </c>
      <c r="D4705" s="29" t="e">
        <f>VLOOKUP(C4705,'점포코드 '!A:B,2,0)</f>
        <v>#N/A</v>
      </c>
      <c r="E4705" s="30">
        <f>'Raw data'!P4281</f>
        <v>0</v>
      </c>
      <c r="F4705" s="29" t="e">
        <f>VLOOKUP(E4705,'점포코드 '!A:B,2,0)</f>
        <v>#N/A</v>
      </c>
      <c r="G4705" s="46">
        <f>'Raw data'!F4614</f>
        <v>0</v>
      </c>
      <c r="H4705" s="4">
        <f>'Raw data'!G4614</f>
        <v>0</v>
      </c>
      <c r="I4705" s="29" t="e">
        <f>VLOOKUP(G4705,제품명!$C$1:$E$114,2,0)</f>
        <v>#N/A</v>
      </c>
      <c r="J4705" s="29">
        <f>'Raw data'!K4614</f>
        <v>0</v>
      </c>
      <c r="K4705" s="31">
        <f>'Raw data'!H4614</f>
        <v>0</v>
      </c>
      <c r="L4705" s="26">
        <f t="shared" si="150"/>
        <v>0</v>
      </c>
    </row>
    <row r="4706" spans="2:12">
      <c r="B4706" s="4" t="e">
        <f t="shared" si="149"/>
        <v>#N/A</v>
      </c>
      <c r="C4706" s="4">
        <f>'Raw data'!E4282</f>
        <v>0</v>
      </c>
      <c r="D4706" s="29" t="e">
        <f>VLOOKUP(C4706,'점포코드 '!A:B,2,0)</f>
        <v>#N/A</v>
      </c>
      <c r="E4706" s="30">
        <f>'Raw data'!P4282</f>
        <v>0</v>
      </c>
      <c r="F4706" s="29" t="e">
        <f>VLOOKUP(E4706,'점포코드 '!A:B,2,0)</f>
        <v>#N/A</v>
      </c>
      <c r="G4706" s="46">
        <f>'Raw data'!F4615</f>
        <v>0</v>
      </c>
      <c r="H4706" s="4">
        <f>'Raw data'!G4615</f>
        <v>0</v>
      </c>
      <c r="I4706" s="29" t="e">
        <f>VLOOKUP(G4706,제품명!$C$1:$E$114,2,0)</f>
        <v>#N/A</v>
      </c>
      <c r="J4706" s="29">
        <f>'Raw data'!K4615</f>
        <v>0</v>
      </c>
      <c r="K4706" s="31">
        <f>'Raw data'!H4615</f>
        <v>0</v>
      </c>
      <c r="L4706" s="26">
        <f t="shared" si="150"/>
        <v>0</v>
      </c>
    </row>
    <row r="4707" spans="2:12">
      <c r="B4707" s="4" t="e">
        <f t="shared" si="149"/>
        <v>#N/A</v>
      </c>
      <c r="C4707" s="4">
        <f>'Raw data'!E4283</f>
        <v>0</v>
      </c>
      <c r="D4707" s="29" t="e">
        <f>VLOOKUP(C4707,'점포코드 '!A:B,2,0)</f>
        <v>#N/A</v>
      </c>
      <c r="E4707" s="30">
        <f>'Raw data'!P4283</f>
        <v>0</v>
      </c>
      <c r="F4707" s="29" t="e">
        <f>VLOOKUP(E4707,'점포코드 '!A:B,2,0)</f>
        <v>#N/A</v>
      </c>
      <c r="G4707" s="46">
        <f>'Raw data'!F4616</f>
        <v>0</v>
      </c>
      <c r="H4707" s="4">
        <f>'Raw data'!G4616</f>
        <v>0</v>
      </c>
      <c r="I4707" s="29" t="e">
        <f>VLOOKUP(G4707,제품명!$C$1:$E$114,2,0)</f>
        <v>#N/A</v>
      </c>
      <c r="J4707" s="29">
        <f>'Raw data'!K4616</f>
        <v>0</v>
      </c>
      <c r="K4707" s="31">
        <f>'Raw data'!H4616</f>
        <v>0</v>
      </c>
      <c r="L4707" s="26">
        <f t="shared" si="150"/>
        <v>0</v>
      </c>
    </row>
    <row r="4708" spans="2:12">
      <c r="B4708" s="4" t="e">
        <f t="shared" si="149"/>
        <v>#N/A</v>
      </c>
      <c r="C4708" s="4">
        <f>'Raw data'!E4284</f>
        <v>0</v>
      </c>
      <c r="D4708" s="29" t="e">
        <f>VLOOKUP(C4708,'점포코드 '!A:B,2,0)</f>
        <v>#N/A</v>
      </c>
      <c r="E4708" s="30">
        <f>'Raw data'!P4284</f>
        <v>0</v>
      </c>
      <c r="F4708" s="29" t="e">
        <f>VLOOKUP(E4708,'점포코드 '!A:B,2,0)</f>
        <v>#N/A</v>
      </c>
      <c r="G4708" s="46">
        <f>'Raw data'!F4617</f>
        <v>0</v>
      </c>
      <c r="H4708" s="4">
        <f>'Raw data'!G4617</f>
        <v>0</v>
      </c>
      <c r="I4708" s="29" t="e">
        <f>VLOOKUP(G4708,제품명!$C$1:$E$114,2,0)</f>
        <v>#N/A</v>
      </c>
      <c r="J4708" s="29">
        <f>'Raw data'!K4617</f>
        <v>0</v>
      </c>
      <c r="K4708" s="31">
        <f>'Raw data'!H4617</f>
        <v>0</v>
      </c>
      <c r="L4708" s="26">
        <f t="shared" si="150"/>
        <v>0</v>
      </c>
    </row>
    <row r="4709" spans="2:12">
      <c r="B4709" s="4" t="e">
        <f t="shared" si="149"/>
        <v>#N/A</v>
      </c>
      <c r="C4709" s="4">
        <f>'Raw data'!E4285</f>
        <v>0</v>
      </c>
      <c r="D4709" s="29" t="e">
        <f>VLOOKUP(C4709,'점포코드 '!A:B,2,0)</f>
        <v>#N/A</v>
      </c>
      <c r="E4709" s="30">
        <f>'Raw data'!P4285</f>
        <v>0</v>
      </c>
      <c r="F4709" s="29" t="e">
        <f>VLOOKUP(E4709,'점포코드 '!A:B,2,0)</f>
        <v>#N/A</v>
      </c>
      <c r="G4709" s="46">
        <f>'Raw data'!F4618</f>
        <v>0</v>
      </c>
      <c r="H4709" s="4">
        <f>'Raw data'!G4618</f>
        <v>0</v>
      </c>
      <c r="I4709" s="29" t="e">
        <f>VLOOKUP(G4709,제품명!$C$1:$E$114,2,0)</f>
        <v>#N/A</v>
      </c>
      <c r="J4709" s="29">
        <f>'Raw data'!K4618</f>
        <v>0</v>
      </c>
      <c r="K4709" s="31">
        <f>'Raw data'!H4618</f>
        <v>0</v>
      </c>
      <c r="L4709" s="26">
        <f t="shared" si="150"/>
        <v>0</v>
      </c>
    </row>
    <row r="4710" spans="2:12">
      <c r="B4710" s="4" t="e">
        <f t="shared" si="149"/>
        <v>#N/A</v>
      </c>
      <c r="C4710" s="4">
        <f>'Raw data'!E4286</f>
        <v>0</v>
      </c>
      <c r="D4710" s="29" t="e">
        <f>VLOOKUP(C4710,'점포코드 '!A:B,2,0)</f>
        <v>#N/A</v>
      </c>
      <c r="E4710" s="30">
        <f>'Raw data'!P4286</f>
        <v>0</v>
      </c>
      <c r="F4710" s="29" t="e">
        <f>VLOOKUP(E4710,'점포코드 '!A:B,2,0)</f>
        <v>#N/A</v>
      </c>
      <c r="G4710" s="46">
        <f>'Raw data'!F4619</f>
        <v>0</v>
      </c>
      <c r="H4710" s="4">
        <f>'Raw data'!G4619</f>
        <v>0</v>
      </c>
      <c r="I4710" s="29" t="e">
        <f>VLOOKUP(G4710,제품명!$C$1:$E$114,2,0)</f>
        <v>#N/A</v>
      </c>
      <c r="J4710" s="29">
        <f>'Raw data'!K4619</f>
        <v>0</v>
      </c>
      <c r="K4710" s="31">
        <f>'Raw data'!H4619</f>
        <v>0</v>
      </c>
      <c r="L4710" s="26">
        <f t="shared" si="150"/>
        <v>0</v>
      </c>
    </row>
    <row r="4711" spans="2:12">
      <c r="B4711" s="4" t="e">
        <f t="shared" si="149"/>
        <v>#N/A</v>
      </c>
      <c r="C4711" s="4">
        <f>'Raw data'!E4287</f>
        <v>0</v>
      </c>
      <c r="D4711" s="29" t="e">
        <f>VLOOKUP(C4711,'점포코드 '!A:B,2,0)</f>
        <v>#N/A</v>
      </c>
      <c r="E4711" s="30">
        <f>'Raw data'!P4287</f>
        <v>0</v>
      </c>
      <c r="F4711" s="29" t="e">
        <f>VLOOKUP(E4711,'점포코드 '!A:B,2,0)</f>
        <v>#N/A</v>
      </c>
      <c r="G4711" s="46">
        <f>'Raw data'!F4620</f>
        <v>0</v>
      </c>
      <c r="H4711" s="4">
        <f>'Raw data'!G4620</f>
        <v>0</v>
      </c>
      <c r="I4711" s="29" t="e">
        <f>VLOOKUP(G4711,제품명!$C$1:$E$114,2,0)</f>
        <v>#N/A</v>
      </c>
      <c r="J4711" s="29">
        <f>'Raw data'!K4620</f>
        <v>0</v>
      </c>
      <c r="K4711" s="31">
        <f>'Raw data'!H4620</f>
        <v>0</v>
      </c>
      <c r="L4711" s="26">
        <f t="shared" si="150"/>
        <v>0</v>
      </c>
    </row>
    <row r="4712" spans="2:12">
      <c r="B4712" s="4" t="e">
        <f t="shared" si="149"/>
        <v>#N/A</v>
      </c>
      <c r="C4712" s="4">
        <f>'Raw data'!E4288</f>
        <v>0</v>
      </c>
      <c r="D4712" s="29" t="e">
        <f>VLOOKUP(C4712,'점포코드 '!A:B,2,0)</f>
        <v>#N/A</v>
      </c>
      <c r="E4712" s="30">
        <f>'Raw data'!P4288</f>
        <v>0</v>
      </c>
      <c r="F4712" s="29" t="e">
        <f>VLOOKUP(E4712,'점포코드 '!A:B,2,0)</f>
        <v>#N/A</v>
      </c>
      <c r="G4712" s="46">
        <f>'Raw data'!F4621</f>
        <v>0</v>
      </c>
      <c r="H4712" s="4">
        <f>'Raw data'!G4621</f>
        <v>0</v>
      </c>
      <c r="I4712" s="29" t="e">
        <f>VLOOKUP(G4712,제품명!$C$1:$E$114,2,0)</f>
        <v>#N/A</v>
      </c>
      <c r="J4712" s="29">
        <f>'Raw data'!K4621</f>
        <v>0</v>
      </c>
      <c r="K4712" s="31">
        <f>'Raw data'!H4621</f>
        <v>0</v>
      </c>
      <c r="L4712" s="26">
        <f t="shared" si="150"/>
        <v>0</v>
      </c>
    </row>
    <row r="4713" spans="2:12">
      <c r="B4713" s="4" t="e">
        <f t="shared" si="149"/>
        <v>#N/A</v>
      </c>
      <c r="C4713" s="4">
        <f>'Raw data'!E4289</f>
        <v>0</v>
      </c>
      <c r="D4713" s="29" t="e">
        <f>VLOOKUP(C4713,'점포코드 '!A:B,2,0)</f>
        <v>#N/A</v>
      </c>
      <c r="E4713" s="30">
        <f>'Raw data'!P4289</f>
        <v>0</v>
      </c>
      <c r="F4713" s="29" t="e">
        <f>VLOOKUP(E4713,'점포코드 '!A:B,2,0)</f>
        <v>#N/A</v>
      </c>
      <c r="G4713" s="46">
        <f>'Raw data'!F4622</f>
        <v>0</v>
      </c>
      <c r="H4713" s="4">
        <f>'Raw data'!G4622</f>
        <v>0</v>
      </c>
      <c r="I4713" s="29" t="e">
        <f>VLOOKUP(G4713,제품명!$C$1:$E$114,2,0)</f>
        <v>#N/A</v>
      </c>
      <c r="J4713" s="29">
        <f>'Raw data'!K4622</f>
        <v>0</v>
      </c>
      <c r="K4713" s="31">
        <f>'Raw data'!H4622</f>
        <v>0</v>
      </c>
      <c r="L4713" s="26">
        <f t="shared" si="150"/>
        <v>0</v>
      </c>
    </row>
    <row r="4714" spans="2:12">
      <c r="B4714" s="4" t="e">
        <f t="shared" si="149"/>
        <v>#N/A</v>
      </c>
      <c r="C4714" s="4">
        <f>'Raw data'!E4290</f>
        <v>0</v>
      </c>
      <c r="D4714" s="29" t="e">
        <f>VLOOKUP(C4714,'점포코드 '!A:B,2,0)</f>
        <v>#N/A</v>
      </c>
      <c r="E4714" s="30">
        <f>'Raw data'!P4290</f>
        <v>0</v>
      </c>
      <c r="F4714" s="29" t="e">
        <f>VLOOKUP(E4714,'점포코드 '!A:B,2,0)</f>
        <v>#N/A</v>
      </c>
      <c r="G4714" s="46">
        <f>'Raw data'!F4623</f>
        <v>0</v>
      </c>
      <c r="H4714" s="4">
        <f>'Raw data'!G4623</f>
        <v>0</v>
      </c>
      <c r="I4714" s="29" t="e">
        <f>VLOOKUP(G4714,제품명!$C$1:$E$114,2,0)</f>
        <v>#N/A</v>
      </c>
      <c r="J4714" s="29">
        <f>'Raw data'!K4623</f>
        <v>0</v>
      </c>
      <c r="K4714" s="31">
        <f>'Raw data'!H4623</f>
        <v>0</v>
      </c>
      <c r="L4714" s="26">
        <f t="shared" si="150"/>
        <v>0</v>
      </c>
    </row>
    <row r="4715" spans="2:12">
      <c r="B4715" s="4" t="e">
        <f t="shared" si="149"/>
        <v>#N/A</v>
      </c>
      <c r="C4715" s="4">
        <f>'Raw data'!E4291</f>
        <v>0</v>
      </c>
      <c r="D4715" s="29" t="e">
        <f>VLOOKUP(C4715,'점포코드 '!A:B,2,0)</f>
        <v>#N/A</v>
      </c>
      <c r="E4715" s="30">
        <f>'Raw data'!P4291</f>
        <v>0</v>
      </c>
      <c r="F4715" s="29" t="e">
        <f>VLOOKUP(E4715,'점포코드 '!A:B,2,0)</f>
        <v>#N/A</v>
      </c>
      <c r="G4715" s="46">
        <f>'Raw data'!F4624</f>
        <v>0</v>
      </c>
      <c r="H4715" s="4">
        <f>'Raw data'!G4624</f>
        <v>0</v>
      </c>
      <c r="I4715" s="29" t="e">
        <f>VLOOKUP(G4715,제품명!$C$1:$E$114,2,0)</f>
        <v>#N/A</v>
      </c>
      <c r="J4715" s="29">
        <f>'Raw data'!K4624</f>
        <v>0</v>
      </c>
      <c r="K4715" s="31">
        <f>'Raw data'!H4624</f>
        <v>0</v>
      </c>
      <c r="L4715" s="26">
        <f t="shared" si="150"/>
        <v>0</v>
      </c>
    </row>
    <row r="4716" spans="2:12">
      <c r="B4716" s="4" t="e">
        <f t="shared" si="149"/>
        <v>#N/A</v>
      </c>
      <c r="C4716" s="4">
        <f>'Raw data'!E4292</f>
        <v>0</v>
      </c>
      <c r="D4716" s="29" t="e">
        <f>VLOOKUP(C4716,'점포코드 '!A:B,2,0)</f>
        <v>#N/A</v>
      </c>
      <c r="E4716" s="30">
        <f>'Raw data'!P4292</f>
        <v>0</v>
      </c>
      <c r="F4716" s="29" t="e">
        <f>VLOOKUP(E4716,'점포코드 '!A:B,2,0)</f>
        <v>#N/A</v>
      </c>
      <c r="G4716" s="46">
        <f>'Raw data'!F4625</f>
        <v>0</v>
      </c>
      <c r="H4716" s="4">
        <f>'Raw data'!G4625</f>
        <v>0</v>
      </c>
      <c r="I4716" s="29" t="e">
        <f>VLOOKUP(G4716,제품명!$C$1:$E$114,2,0)</f>
        <v>#N/A</v>
      </c>
      <c r="J4716" s="29">
        <f>'Raw data'!K4625</f>
        <v>0</v>
      </c>
      <c r="K4716" s="31">
        <f>'Raw data'!H4625</f>
        <v>0</v>
      </c>
      <c r="L4716" s="26">
        <f t="shared" si="150"/>
        <v>0</v>
      </c>
    </row>
    <row r="4717" spans="2:12">
      <c r="B4717" s="4" t="e">
        <f t="shared" si="149"/>
        <v>#N/A</v>
      </c>
      <c r="C4717" s="4">
        <f>'Raw data'!E4293</f>
        <v>0</v>
      </c>
      <c r="D4717" s="29" t="e">
        <f>VLOOKUP(C4717,'점포코드 '!A:B,2,0)</f>
        <v>#N/A</v>
      </c>
      <c r="E4717" s="30">
        <f>'Raw data'!P4293</f>
        <v>0</v>
      </c>
      <c r="F4717" s="29" t="e">
        <f>VLOOKUP(E4717,'점포코드 '!A:B,2,0)</f>
        <v>#N/A</v>
      </c>
      <c r="G4717" s="46">
        <f>'Raw data'!F4626</f>
        <v>0</v>
      </c>
      <c r="H4717" s="4">
        <f>'Raw data'!G4626</f>
        <v>0</v>
      </c>
      <c r="I4717" s="29" t="e">
        <f>VLOOKUP(G4717,제품명!$C$1:$E$114,2,0)</f>
        <v>#N/A</v>
      </c>
      <c r="J4717" s="29">
        <f>'Raw data'!K4626</f>
        <v>0</v>
      </c>
      <c r="K4717" s="31">
        <f>'Raw data'!H4626</f>
        <v>0</v>
      </c>
      <c r="L4717" s="26">
        <f t="shared" si="150"/>
        <v>0</v>
      </c>
    </row>
    <row r="4718" spans="2:12">
      <c r="B4718" s="4" t="e">
        <f t="shared" si="149"/>
        <v>#N/A</v>
      </c>
      <c r="C4718" s="4">
        <f>'Raw data'!E4294</f>
        <v>0</v>
      </c>
      <c r="D4718" s="29" t="e">
        <f>VLOOKUP(C4718,'점포코드 '!A:B,2,0)</f>
        <v>#N/A</v>
      </c>
      <c r="E4718" s="30">
        <f>'Raw data'!P4294</f>
        <v>0</v>
      </c>
      <c r="F4718" s="29" t="e">
        <f>VLOOKUP(E4718,'점포코드 '!A:B,2,0)</f>
        <v>#N/A</v>
      </c>
      <c r="G4718" s="46">
        <f>'Raw data'!F4627</f>
        <v>0</v>
      </c>
      <c r="H4718" s="4">
        <f>'Raw data'!G4627</f>
        <v>0</v>
      </c>
      <c r="I4718" s="29" t="e">
        <f>VLOOKUP(G4718,제품명!$C$1:$E$114,2,0)</f>
        <v>#N/A</v>
      </c>
      <c r="J4718" s="29">
        <f>'Raw data'!K4627</f>
        <v>0</v>
      </c>
      <c r="K4718" s="31">
        <f>'Raw data'!H4627</f>
        <v>0</v>
      </c>
      <c r="L4718" s="26">
        <f t="shared" si="150"/>
        <v>0</v>
      </c>
    </row>
    <row r="4719" spans="2:12">
      <c r="B4719" s="4" t="e">
        <f t="shared" si="149"/>
        <v>#N/A</v>
      </c>
      <c r="C4719" s="4">
        <f>'Raw data'!E4295</f>
        <v>0</v>
      </c>
      <c r="D4719" s="29" t="e">
        <f>VLOOKUP(C4719,'점포코드 '!A:B,2,0)</f>
        <v>#N/A</v>
      </c>
      <c r="E4719" s="30">
        <f>'Raw data'!P4295</f>
        <v>0</v>
      </c>
      <c r="F4719" s="29" t="e">
        <f>VLOOKUP(E4719,'점포코드 '!A:B,2,0)</f>
        <v>#N/A</v>
      </c>
      <c r="G4719" s="46">
        <f>'Raw data'!F4628</f>
        <v>0</v>
      </c>
      <c r="H4719" s="4">
        <f>'Raw data'!G4628</f>
        <v>0</v>
      </c>
      <c r="I4719" s="29" t="e">
        <f>VLOOKUP(G4719,제품명!$C$1:$E$114,2,0)</f>
        <v>#N/A</v>
      </c>
      <c r="J4719" s="29">
        <f>'Raw data'!K4628</f>
        <v>0</v>
      </c>
      <c r="K4719" s="31">
        <f>'Raw data'!H4628</f>
        <v>0</v>
      </c>
      <c r="L4719" s="26">
        <f t="shared" si="150"/>
        <v>0</v>
      </c>
    </row>
    <row r="4720" spans="2:12">
      <c r="B4720" s="4" t="e">
        <f t="shared" si="149"/>
        <v>#N/A</v>
      </c>
      <c r="C4720" s="4">
        <f>'Raw data'!E4296</f>
        <v>0</v>
      </c>
      <c r="D4720" s="29" t="e">
        <f>VLOOKUP(C4720,'점포코드 '!A:B,2,0)</f>
        <v>#N/A</v>
      </c>
      <c r="E4720" s="30">
        <f>'Raw data'!P4296</f>
        <v>0</v>
      </c>
      <c r="F4720" s="29" t="e">
        <f>VLOOKUP(E4720,'점포코드 '!A:B,2,0)</f>
        <v>#N/A</v>
      </c>
      <c r="G4720" s="46">
        <f>'Raw data'!F4629</f>
        <v>0</v>
      </c>
      <c r="H4720" s="4">
        <f>'Raw data'!G4629</f>
        <v>0</v>
      </c>
      <c r="I4720" s="29" t="e">
        <f>VLOOKUP(G4720,제품명!$C$1:$E$114,2,0)</f>
        <v>#N/A</v>
      </c>
      <c r="J4720" s="29">
        <f>'Raw data'!K4629</f>
        <v>0</v>
      </c>
      <c r="K4720" s="31">
        <f>'Raw data'!H4629</f>
        <v>0</v>
      </c>
      <c r="L4720" s="26">
        <f t="shared" si="150"/>
        <v>0</v>
      </c>
    </row>
    <row r="4721" spans="2:12">
      <c r="B4721" s="4" t="e">
        <f t="shared" si="149"/>
        <v>#N/A</v>
      </c>
      <c r="C4721" s="4">
        <f>'Raw data'!E4297</f>
        <v>0</v>
      </c>
      <c r="D4721" s="29" t="e">
        <f>VLOOKUP(C4721,'점포코드 '!A:B,2,0)</f>
        <v>#N/A</v>
      </c>
      <c r="E4721" s="30">
        <f>'Raw data'!P4297</f>
        <v>0</v>
      </c>
      <c r="F4721" s="29" t="e">
        <f>VLOOKUP(E4721,'점포코드 '!A:B,2,0)</f>
        <v>#N/A</v>
      </c>
      <c r="G4721" s="46">
        <f>'Raw data'!F4630</f>
        <v>0</v>
      </c>
      <c r="H4721" s="4">
        <f>'Raw data'!G4630</f>
        <v>0</v>
      </c>
      <c r="I4721" s="29" t="e">
        <f>VLOOKUP(G4721,제품명!$C$1:$E$114,2,0)</f>
        <v>#N/A</v>
      </c>
      <c r="J4721" s="29">
        <f>'Raw data'!K4630</f>
        <v>0</v>
      </c>
      <c r="K4721" s="31">
        <f>'Raw data'!H4630</f>
        <v>0</v>
      </c>
      <c r="L4721" s="26">
        <f t="shared" si="150"/>
        <v>0</v>
      </c>
    </row>
    <row r="4722" spans="2:12">
      <c r="B4722" s="4" t="e">
        <f t="shared" si="149"/>
        <v>#N/A</v>
      </c>
      <c r="C4722" s="4">
        <f>'Raw data'!E4298</f>
        <v>0</v>
      </c>
      <c r="D4722" s="29" t="e">
        <f>VLOOKUP(C4722,'점포코드 '!A:B,2,0)</f>
        <v>#N/A</v>
      </c>
      <c r="E4722" s="30">
        <f>'Raw data'!P4298</f>
        <v>0</v>
      </c>
      <c r="F4722" s="29" t="e">
        <f>VLOOKUP(E4722,'점포코드 '!A:B,2,0)</f>
        <v>#N/A</v>
      </c>
      <c r="G4722" s="46">
        <f>'Raw data'!F4631</f>
        <v>0</v>
      </c>
      <c r="H4722" s="4">
        <f>'Raw data'!G4631</f>
        <v>0</v>
      </c>
      <c r="I4722" s="29" t="e">
        <f>VLOOKUP(G4722,제품명!$C$1:$E$114,2,0)</f>
        <v>#N/A</v>
      </c>
      <c r="J4722" s="29">
        <f>'Raw data'!K4631</f>
        <v>0</v>
      </c>
      <c r="K4722" s="31">
        <f>'Raw data'!H4631</f>
        <v>0</v>
      </c>
      <c r="L4722" s="26">
        <f t="shared" si="150"/>
        <v>0</v>
      </c>
    </row>
    <row r="4723" spans="2:12">
      <c r="B4723" s="4" t="e">
        <f t="shared" si="149"/>
        <v>#N/A</v>
      </c>
      <c r="C4723" s="4">
        <f>'Raw data'!E4299</f>
        <v>0</v>
      </c>
      <c r="D4723" s="29" t="e">
        <f>VLOOKUP(C4723,'점포코드 '!A:B,2,0)</f>
        <v>#N/A</v>
      </c>
      <c r="E4723" s="30">
        <f>'Raw data'!P4299</f>
        <v>0</v>
      </c>
      <c r="F4723" s="29" t="e">
        <f>VLOOKUP(E4723,'점포코드 '!A:B,2,0)</f>
        <v>#N/A</v>
      </c>
      <c r="G4723" s="46">
        <f>'Raw data'!F4632</f>
        <v>0</v>
      </c>
      <c r="H4723" s="4">
        <f>'Raw data'!G4632</f>
        <v>0</v>
      </c>
      <c r="I4723" s="29" t="e">
        <f>VLOOKUP(G4723,제품명!$C$1:$E$114,2,0)</f>
        <v>#N/A</v>
      </c>
      <c r="J4723" s="29">
        <f>'Raw data'!K4632</f>
        <v>0</v>
      </c>
      <c r="K4723" s="31">
        <f>'Raw data'!H4632</f>
        <v>0</v>
      </c>
      <c r="L4723" s="26">
        <f t="shared" si="150"/>
        <v>0</v>
      </c>
    </row>
    <row r="4724" spans="2:12">
      <c r="B4724" s="4" t="e">
        <f t="shared" si="149"/>
        <v>#N/A</v>
      </c>
      <c r="C4724" s="4">
        <f>'Raw data'!E4300</f>
        <v>0</v>
      </c>
      <c r="D4724" s="29" t="e">
        <f>VLOOKUP(C4724,'점포코드 '!A:B,2,0)</f>
        <v>#N/A</v>
      </c>
      <c r="E4724" s="30">
        <f>'Raw data'!P4300</f>
        <v>0</v>
      </c>
      <c r="F4724" s="29" t="e">
        <f>VLOOKUP(E4724,'점포코드 '!A:B,2,0)</f>
        <v>#N/A</v>
      </c>
      <c r="G4724" s="46">
        <f>'Raw data'!F4633</f>
        <v>0</v>
      </c>
      <c r="H4724" s="4">
        <f>'Raw data'!G4633</f>
        <v>0</v>
      </c>
      <c r="I4724" s="29" t="e">
        <f>VLOOKUP(G4724,제품명!$C$1:$E$114,2,0)</f>
        <v>#N/A</v>
      </c>
      <c r="J4724" s="29">
        <f>'Raw data'!K4633</f>
        <v>0</v>
      </c>
      <c r="K4724" s="31">
        <f>'Raw data'!H4633</f>
        <v>0</v>
      </c>
      <c r="L4724" s="26">
        <f t="shared" si="150"/>
        <v>0</v>
      </c>
    </row>
    <row r="4725" spans="2:12">
      <c r="B4725" s="4" t="e">
        <f t="shared" si="149"/>
        <v>#N/A</v>
      </c>
      <c r="C4725" s="4">
        <f>'Raw data'!E4301</f>
        <v>0</v>
      </c>
      <c r="D4725" s="29" t="e">
        <f>VLOOKUP(C4725,'점포코드 '!A:B,2,0)</f>
        <v>#N/A</v>
      </c>
      <c r="E4725" s="30">
        <f>'Raw data'!P4301</f>
        <v>0</v>
      </c>
      <c r="F4725" s="29" t="e">
        <f>VLOOKUP(E4725,'점포코드 '!A:B,2,0)</f>
        <v>#N/A</v>
      </c>
      <c r="G4725" s="46">
        <f>'Raw data'!F4634</f>
        <v>0</v>
      </c>
      <c r="H4725" s="4">
        <f>'Raw data'!G4634</f>
        <v>0</v>
      </c>
      <c r="I4725" s="29" t="e">
        <f>VLOOKUP(G4725,제품명!$C$1:$E$114,2,0)</f>
        <v>#N/A</v>
      </c>
      <c r="J4725" s="29">
        <f>'Raw data'!K4634</f>
        <v>0</v>
      </c>
      <c r="K4725" s="31">
        <f>'Raw data'!H4634</f>
        <v>0</v>
      </c>
      <c r="L4725" s="26">
        <f t="shared" si="150"/>
        <v>0</v>
      </c>
    </row>
    <row r="4726" spans="2:12">
      <c r="B4726" s="4" t="e">
        <f t="shared" si="149"/>
        <v>#N/A</v>
      </c>
      <c r="C4726" s="4">
        <f>'Raw data'!E4302</f>
        <v>0</v>
      </c>
      <c r="D4726" s="29" t="e">
        <f>VLOOKUP(C4726,'점포코드 '!A:B,2,0)</f>
        <v>#N/A</v>
      </c>
      <c r="E4726" s="30">
        <f>'Raw data'!P4302</f>
        <v>0</v>
      </c>
      <c r="F4726" s="29" t="e">
        <f>VLOOKUP(E4726,'점포코드 '!A:B,2,0)</f>
        <v>#N/A</v>
      </c>
      <c r="G4726" s="46">
        <f>'Raw data'!F4635</f>
        <v>0</v>
      </c>
      <c r="H4726" s="4">
        <f>'Raw data'!G4635</f>
        <v>0</v>
      </c>
      <c r="I4726" s="29" t="e">
        <f>VLOOKUP(G4726,제품명!$C$1:$E$114,2,0)</f>
        <v>#N/A</v>
      </c>
      <c r="J4726" s="29">
        <f>'Raw data'!K4635</f>
        <v>0</v>
      </c>
      <c r="K4726" s="31">
        <f>'Raw data'!H4635</f>
        <v>0</v>
      </c>
      <c r="L4726" s="26">
        <f t="shared" si="150"/>
        <v>0</v>
      </c>
    </row>
    <row r="4727" spans="2:12">
      <c r="B4727" s="4" t="e">
        <f t="shared" si="149"/>
        <v>#N/A</v>
      </c>
      <c r="C4727" s="4">
        <f>'Raw data'!E4303</f>
        <v>0</v>
      </c>
      <c r="D4727" s="29" t="e">
        <f>VLOOKUP(C4727,'점포코드 '!A:B,2,0)</f>
        <v>#N/A</v>
      </c>
      <c r="E4727" s="30">
        <f>'Raw data'!P4303</f>
        <v>0</v>
      </c>
      <c r="F4727" s="29" t="e">
        <f>VLOOKUP(E4727,'점포코드 '!A:B,2,0)</f>
        <v>#N/A</v>
      </c>
      <c r="G4727" s="46">
        <f>'Raw data'!F4636</f>
        <v>0</v>
      </c>
      <c r="H4727" s="4">
        <f>'Raw data'!G4636</f>
        <v>0</v>
      </c>
      <c r="I4727" s="29" t="e">
        <f>VLOOKUP(G4727,제품명!$C$1:$E$114,2,0)</f>
        <v>#N/A</v>
      </c>
      <c r="J4727" s="29">
        <f>'Raw data'!K4636</f>
        <v>0</v>
      </c>
      <c r="K4727" s="31">
        <f>'Raw data'!H4636</f>
        <v>0</v>
      </c>
      <c r="L4727" s="26">
        <f t="shared" si="150"/>
        <v>0</v>
      </c>
    </row>
    <row r="4728" spans="2:12">
      <c r="B4728" s="4" t="e">
        <f t="shared" si="149"/>
        <v>#N/A</v>
      </c>
      <c r="C4728" s="4">
        <f>'Raw data'!E4304</f>
        <v>0</v>
      </c>
      <c r="D4728" s="29" t="e">
        <f>VLOOKUP(C4728,'점포코드 '!A:B,2,0)</f>
        <v>#N/A</v>
      </c>
      <c r="E4728" s="30">
        <f>'Raw data'!P4304</f>
        <v>0</v>
      </c>
      <c r="F4728" s="29" t="e">
        <f>VLOOKUP(E4728,'점포코드 '!A:B,2,0)</f>
        <v>#N/A</v>
      </c>
      <c r="G4728" s="46">
        <f>'Raw data'!F4637</f>
        <v>0</v>
      </c>
      <c r="H4728" s="4">
        <f>'Raw data'!G4637</f>
        <v>0</v>
      </c>
      <c r="I4728" s="29" t="e">
        <f>VLOOKUP(G4728,제품명!$C$1:$E$114,2,0)</f>
        <v>#N/A</v>
      </c>
      <c r="J4728" s="29">
        <f>'Raw data'!K4637</f>
        <v>0</v>
      </c>
      <c r="K4728" s="31">
        <f>'Raw data'!H4637</f>
        <v>0</v>
      </c>
      <c r="L4728" s="26">
        <f t="shared" si="150"/>
        <v>0</v>
      </c>
    </row>
    <row r="4729" spans="2:12">
      <c r="B4729" s="4" t="e">
        <f t="shared" si="149"/>
        <v>#N/A</v>
      </c>
      <c r="C4729" s="4">
        <f>'Raw data'!E4305</f>
        <v>0</v>
      </c>
      <c r="D4729" s="29" t="e">
        <f>VLOOKUP(C4729,'점포코드 '!A:B,2,0)</f>
        <v>#N/A</v>
      </c>
      <c r="E4729" s="30">
        <f>'Raw data'!P4305</f>
        <v>0</v>
      </c>
      <c r="F4729" s="29" t="e">
        <f>VLOOKUP(E4729,'점포코드 '!A:B,2,0)</f>
        <v>#N/A</v>
      </c>
      <c r="G4729" s="46">
        <f>'Raw data'!F4638</f>
        <v>0</v>
      </c>
      <c r="H4729" s="4">
        <f>'Raw data'!G4638</f>
        <v>0</v>
      </c>
      <c r="I4729" s="29" t="e">
        <f>VLOOKUP(G4729,제품명!$C$1:$E$114,2,0)</f>
        <v>#N/A</v>
      </c>
      <c r="J4729" s="29">
        <f>'Raw data'!K4638</f>
        <v>0</v>
      </c>
      <c r="K4729" s="31">
        <f>'Raw data'!H4638</f>
        <v>0</v>
      </c>
      <c r="L4729" s="26">
        <f t="shared" si="150"/>
        <v>0</v>
      </c>
    </row>
    <row r="4730" spans="2:12">
      <c r="B4730" s="4" t="e">
        <f t="shared" si="149"/>
        <v>#N/A</v>
      </c>
      <c r="C4730" s="4">
        <f>'Raw data'!E4306</f>
        <v>0</v>
      </c>
      <c r="D4730" s="29" t="e">
        <f>VLOOKUP(C4730,'점포코드 '!A:B,2,0)</f>
        <v>#N/A</v>
      </c>
      <c r="E4730" s="30">
        <f>'Raw data'!P4306</f>
        <v>0</v>
      </c>
      <c r="F4730" s="29" t="e">
        <f>VLOOKUP(E4730,'점포코드 '!A:B,2,0)</f>
        <v>#N/A</v>
      </c>
      <c r="G4730" s="46">
        <f>'Raw data'!F4639</f>
        <v>0</v>
      </c>
      <c r="H4730" s="4">
        <f>'Raw data'!G4639</f>
        <v>0</v>
      </c>
      <c r="I4730" s="29" t="e">
        <f>VLOOKUP(G4730,제품명!$C$1:$E$114,2,0)</f>
        <v>#N/A</v>
      </c>
      <c r="J4730" s="29">
        <f>'Raw data'!K4639</f>
        <v>0</v>
      </c>
      <c r="K4730" s="31">
        <f>'Raw data'!H4639</f>
        <v>0</v>
      </c>
      <c r="L4730" s="26">
        <f t="shared" si="150"/>
        <v>0</v>
      </c>
    </row>
    <row r="4731" spans="2:12">
      <c r="B4731" s="4" t="e">
        <f t="shared" si="149"/>
        <v>#N/A</v>
      </c>
      <c r="C4731" s="4">
        <f>'Raw data'!E4307</f>
        <v>0</v>
      </c>
      <c r="D4731" s="29" t="e">
        <f>VLOOKUP(C4731,'점포코드 '!A:B,2,0)</f>
        <v>#N/A</v>
      </c>
      <c r="E4731" s="30">
        <f>'Raw data'!P4307</f>
        <v>0</v>
      </c>
      <c r="F4731" s="29" t="e">
        <f>VLOOKUP(E4731,'점포코드 '!A:B,2,0)</f>
        <v>#N/A</v>
      </c>
      <c r="G4731" s="46">
        <f>'Raw data'!F4640</f>
        <v>0</v>
      </c>
      <c r="H4731" s="4">
        <f>'Raw data'!G4640</f>
        <v>0</v>
      </c>
      <c r="I4731" s="29" t="e">
        <f>VLOOKUP(G4731,제품명!$C$1:$E$114,2,0)</f>
        <v>#N/A</v>
      </c>
      <c r="J4731" s="29">
        <f>'Raw data'!K4640</f>
        <v>0</v>
      </c>
      <c r="K4731" s="31">
        <f>'Raw data'!H4640</f>
        <v>0</v>
      </c>
      <c r="L4731" s="26">
        <f t="shared" si="150"/>
        <v>0</v>
      </c>
    </row>
    <row r="4732" spans="2:12">
      <c r="B4732" s="4" t="e">
        <f t="shared" si="149"/>
        <v>#N/A</v>
      </c>
      <c r="C4732" s="4">
        <f>'Raw data'!E4308</f>
        <v>0</v>
      </c>
      <c r="D4732" s="29" t="e">
        <f>VLOOKUP(C4732,'점포코드 '!A:B,2,0)</f>
        <v>#N/A</v>
      </c>
      <c r="E4732" s="30">
        <f>'Raw data'!P4308</f>
        <v>0</v>
      </c>
      <c r="F4732" s="29" t="e">
        <f>VLOOKUP(E4732,'점포코드 '!A:B,2,0)</f>
        <v>#N/A</v>
      </c>
      <c r="G4732" s="46">
        <f>'Raw data'!F4641</f>
        <v>0</v>
      </c>
      <c r="H4732" s="4">
        <f>'Raw data'!G4641</f>
        <v>0</v>
      </c>
      <c r="I4732" s="29" t="e">
        <f>VLOOKUP(G4732,제품명!$C$1:$E$114,2,0)</f>
        <v>#N/A</v>
      </c>
      <c r="J4732" s="29">
        <f>'Raw data'!K4641</f>
        <v>0</v>
      </c>
      <c r="K4732" s="31">
        <f>'Raw data'!H4641</f>
        <v>0</v>
      </c>
      <c r="L4732" s="26">
        <f t="shared" si="150"/>
        <v>0</v>
      </c>
    </row>
    <row r="4733" spans="2:12">
      <c r="B4733" s="4" t="e">
        <f t="shared" si="149"/>
        <v>#N/A</v>
      </c>
      <c r="C4733" s="4">
        <f>'Raw data'!E4309</f>
        <v>0</v>
      </c>
      <c r="D4733" s="29" t="e">
        <f>VLOOKUP(C4733,'점포코드 '!A:B,2,0)</f>
        <v>#N/A</v>
      </c>
      <c r="E4733" s="30">
        <f>'Raw data'!P4309</f>
        <v>0</v>
      </c>
      <c r="F4733" s="29" t="e">
        <f>VLOOKUP(E4733,'점포코드 '!A:B,2,0)</f>
        <v>#N/A</v>
      </c>
      <c r="G4733" s="46">
        <f>'Raw data'!F4642</f>
        <v>0</v>
      </c>
      <c r="H4733" s="4">
        <f>'Raw data'!G4642</f>
        <v>0</v>
      </c>
      <c r="I4733" s="29" t="e">
        <f>VLOOKUP(G4733,제품명!$C$1:$E$114,2,0)</f>
        <v>#N/A</v>
      </c>
      <c r="J4733" s="29">
        <f>'Raw data'!K4642</f>
        <v>0</v>
      </c>
      <c r="K4733" s="31">
        <f>'Raw data'!H4642</f>
        <v>0</v>
      </c>
      <c r="L4733" s="26">
        <f t="shared" si="150"/>
        <v>0</v>
      </c>
    </row>
    <row r="4734" spans="2:12">
      <c r="B4734" s="4" t="e">
        <f t="shared" si="149"/>
        <v>#N/A</v>
      </c>
      <c r="C4734" s="4">
        <f>'Raw data'!E4310</f>
        <v>0</v>
      </c>
      <c r="D4734" s="29" t="e">
        <f>VLOOKUP(C4734,'점포코드 '!A:B,2,0)</f>
        <v>#N/A</v>
      </c>
      <c r="E4734" s="30">
        <f>'Raw data'!P4310</f>
        <v>0</v>
      </c>
      <c r="F4734" s="29" t="e">
        <f>VLOOKUP(E4734,'점포코드 '!A:B,2,0)</f>
        <v>#N/A</v>
      </c>
      <c r="G4734" s="46">
        <f>'Raw data'!F4643</f>
        <v>0</v>
      </c>
      <c r="H4734" s="4">
        <f>'Raw data'!G4643</f>
        <v>0</v>
      </c>
      <c r="I4734" s="29" t="e">
        <f>VLOOKUP(G4734,제품명!$C$1:$E$114,2,0)</f>
        <v>#N/A</v>
      </c>
      <c r="J4734" s="29">
        <f>'Raw data'!K4643</f>
        <v>0</v>
      </c>
      <c r="K4734" s="31">
        <f>'Raw data'!H4643</f>
        <v>0</v>
      </c>
      <c r="L4734" s="26">
        <f t="shared" si="150"/>
        <v>0</v>
      </c>
    </row>
    <row r="4735" spans="2:12">
      <c r="B4735" s="4" t="e">
        <f t="shared" si="149"/>
        <v>#N/A</v>
      </c>
      <c r="C4735" s="4">
        <f>'Raw data'!E4311</f>
        <v>0</v>
      </c>
      <c r="D4735" s="29" t="e">
        <f>VLOOKUP(C4735,'점포코드 '!A:B,2,0)</f>
        <v>#N/A</v>
      </c>
      <c r="E4735" s="30">
        <f>'Raw data'!P4311</f>
        <v>0</v>
      </c>
      <c r="F4735" s="29" t="e">
        <f>VLOOKUP(E4735,'점포코드 '!A:B,2,0)</f>
        <v>#N/A</v>
      </c>
      <c r="G4735" s="46">
        <f>'Raw data'!F4644</f>
        <v>0</v>
      </c>
      <c r="H4735" s="4">
        <f>'Raw data'!G4644</f>
        <v>0</v>
      </c>
      <c r="I4735" s="29" t="e">
        <f>VLOOKUP(G4735,제품명!$C$1:$E$114,2,0)</f>
        <v>#N/A</v>
      </c>
      <c r="J4735" s="29">
        <f>'Raw data'!K4644</f>
        <v>0</v>
      </c>
      <c r="K4735" s="31">
        <f>'Raw data'!H4644</f>
        <v>0</v>
      </c>
      <c r="L4735" s="26">
        <f t="shared" si="150"/>
        <v>0</v>
      </c>
    </row>
    <row r="4736" spans="2:12">
      <c r="B4736" s="4" t="e">
        <f t="shared" si="149"/>
        <v>#N/A</v>
      </c>
      <c r="C4736" s="4">
        <f>'Raw data'!E4312</f>
        <v>0</v>
      </c>
      <c r="D4736" s="29" t="e">
        <f>VLOOKUP(C4736,'점포코드 '!A:B,2,0)</f>
        <v>#N/A</v>
      </c>
      <c r="E4736" s="30">
        <f>'Raw data'!P4312</f>
        <v>0</v>
      </c>
      <c r="F4736" s="29" t="e">
        <f>VLOOKUP(E4736,'점포코드 '!A:B,2,0)</f>
        <v>#N/A</v>
      </c>
      <c r="G4736" s="46">
        <f>'Raw data'!F4645</f>
        <v>0</v>
      </c>
      <c r="H4736" s="4">
        <f>'Raw data'!G4645</f>
        <v>0</v>
      </c>
      <c r="I4736" s="29" t="e">
        <f>VLOOKUP(G4736,제품명!$C$1:$E$114,2,0)</f>
        <v>#N/A</v>
      </c>
      <c r="J4736" s="29">
        <f>'Raw data'!K4645</f>
        <v>0</v>
      </c>
      <c r="K4736" s="31">
        <f>'Raw data'!H4645</f>
        <v>0</v>
      </c>
      <c r="L4736" s="26">
        <f t="shared" si="150"/>
        <v>0</v>
      </c>
    </row>
    <row r="4737" spans="2:12">
      <c r="B4737" s="4" t="e">
        <f t="shared" si="149"/>
        <v>#N/A</v>
      </c>
      <c r="C4737" s="4">
        <f>'Raw data'!E4313</f>
        <v>0</v>
      </c>
      <c r="D4737" s="29" t="e">
        <f>VLOOKUP(C4737,'점포코드 '!A:B,2,0)</f>
        <v>#N/A</v>
      </c>
      <c r="E4737" s="30">
        <f>'Raw data'!P4313</f>
        <v>0</v>
      </c>
      <c r="F4737" s="29" t="e">
        <f>VLOOKUP(E4737,'점포코드 '!A:B,2,0)</f>
        <v>#N/A</v>
      </c>
      <c r="G4737" s="46">
        <f>'Raw data'!F4646</f>
        <v>0</v>
      </c>
      <c r="H4737" s="4">
        <f>'Raw data'!G4646</f>
        <v>0</v>
      </c>
      <c r="I4737" s="29" t="e">
        <f>VLOOKUP(G4737,제품명!$C$1:$E$114,2,0)</f>
        <v>#N/A</v>
      </c>
      <c r="J4737" s="29">
        <f>'Raw data'!K4646</f>
        <v>0</v>
      </c>
      <c r="K4737" s="31">
        <f>'Raw data'!H4646</f>
        <v>0</v>
      </c>
      <c r="L4737" s="26">
        <f t="shared" si="150"/>
        <v>0</v>
      </c>
    </row>
    <row r="4738" spans="2:12">
      <c r="B4738" s="4" t="e">
        <f t="shared" ref="B4738:B4801" si="151">F4738&amp;I4738</f>
        <v>#N/A</v>
      </c>
      <c r="C4738" s="4">
        <f>'Raw data'!E4314</f>
        <v>0</v>
      </c>
      <c r="D4738" s="29" t="e">
        <f>VLOOKUP(C4738,'점포코드 '!A:B,2,0)</f>
        <v>#N/A</v>
      </c>
      <c r="E4738" s="30">
        <f>'Raw data'!P4314</f>
        <v>0</v>
      </c>
      <c r="F4738" s="29" t="e">
        <f>VLOOKUP(E4738,'점포코드 '!A:B,2,0)</f>
        <v>#N/A</v>
      </c>
      <c r="G4738" s="46">
        <f>'Raw data'!F4647</f>
        <v>0</v>
      </c>
      <c r="H4738" s="4">
        <f>'Raw data'!G4647</f>
        <v>0</v>
      </c>
      <c r="I4738" s="29" t="e">
        <f>VLOOKUP(G4738,제품명!$C$1:$E$114,2,0)</f>
        <v>#N/A</v>
      </c>
      <c r="J4738" s="29">
        <f>'Raw data'!K4647</f>
        <v>0</v>
      </c>
      <c r="K4738" s="31">
        <f>'Raw data'!H4647</f>
        <v>0</v>
      </c>
      <c r="L4738" s="26">
        <f t="shared" si="150"/>
        <v>0</v>
      </c>
    </row>
    <row r="4739" spans="2:12">
      <c r="B4739" s="4" t="e">
        <f t="shared" si="151"/>
        <v>#N/A</v>
      </c>
      <c r="C4739" s="4">
        <f>'Raw data'!E4315</f>
        <v>0</v>
      </c>
      <c r="D4739" s="29" t="e">
        <f>VLOOKUP(C4739,'점포코드 '!A:B,2,0)</f>
        <v>#N/A</v>
      </c>
      <c r="E4739" s="30">
        <f>'Raw data'!P4315</f>
        <v>0</v>
      </c>
      <c r="F4739" s="29" t="e">
        <f>VLOOKUP(E4739,'점포코드 '!A:B,2,0)</f>
        <v>#N/A</v>
      </c>
      <c r="G4739" s="46">
        <f>'Raw data'!F4648</f>
        <v>0</v>
      </c>
      <c r="H4739" s="4">
        <f>'Raw data'!G4648</f>
        <v>0</v>
      </c>
      <c r="I4739" s="29" t="e">
        <f>VLOOKUP(G4739,제품명!$C$1:$E$114,2,0)</f>
        <v>#N/A</v>
      </c>
      <c r="J4739" s="29">
        <f>'Raw data'!K4648</f>
        <v>0</v>
      </c>
      <c r="K4739" s="31">
        <f>'Raw data'!H4648</f>
        <v>0</v>
      </c>
      <c r="L4739" s="26">
        <f t="shared" ref="L4739:L4802" si="152">J4739*K4739</f>
        <v>0</v>
      </c>
    </row>
    <row r="4740" spans="2:12">
      <c r="B4740" s="4" t="e">
        <f t="shared" si="151"/>
        <v>#N/A</v>
      </c>
      <c r="C4740" s="4">
        <f>'Raw data'!E4316</f>
        <v>0</v>
      </c>
      <c r="D4740" s="29" t="e">
        <f>VLOOKUP(C4740,'점포코드 '!A:B,2,0)</f>
        <v>#N/A</v>
      </c>
      <c r="E4740" s="30">
        <f>'Raw data'!P4316</f>
        <v>0</v>
      </c>
      <c r="F4740" s="29" t="e">
        <f>VLOOKUP(E4740,'점포코드 '!A:B,2,0)</f>
        <v>#N/A</v>
      </c>
      <c r="G4740" s="46">
        <f>'Raw data'!F4649</f>
        <v>0</v>
      </c>
      <c r="H4740" s="4">
        <f>'Raw data'!G4649</f>
        <v>0</v>
      </c>
      <c r="I4740" s="29" t="e">
        <f>VLOOKUP(G4740,제품명!$C$1:$E$114,2,0)</f>
        <v>#N/A</v>
      </c>
      <c r="J4740" s="29">
        <f>'Raw data'!K4649</f>
        <v>0</v>
      </c>
      <c r="K4740" s="31">
        <f>'Raw data'!H4649</f>
        <v>0</v>
      </c>
      <c r="L4740" s="26">
        <f t="shared" si="152"/>
        <v>0</v>
      </c>
    </row>
    <row r="4741" spans="2:12">
      <c r="B4741" s="4" t="e">
        <f t="shared" si="151"/>
        <v>#N/A</v>
      </c>
      <c r="C4741" s="4">
        <f>'Raw data'!E4317</f>
        <v>0</v>
      </c>
      <c r="D4741" s="29" t="e">
        <f>VLOOKUP(C4741,'점포코드 '!A:B,2,0)</f>
        <v>#N/A</v>
      </c>
      <c r="E4741" s="30">
        <f>'Raw data'!P4317</f>
        <v>0</v>
      </c>
      <c r="F4741" s="29" t="e">
        <f>VLOOKUP(E4741,'점포코드 '!A:B,2,0)</f>
        <v>#N/A</v>
      </c>
      <c r="G4741" s="46">
        <f>'Raw data'!F4650</f>
        <v>0</v>
      </c>
      <c r="H4741" s="4">
        <f>'Raw data'!G4650</f>
        <v>0</v>
      </c>
      <c r="I4741" s="29" t="e">
        <f>VLOOKUP(G4741,제품명!$C$1:$E$114,2,0)</f>
        <v>#N/A</v>
      </c>
      <c r="J4741" s="29">
        <f>'Raw data'!K4650</f>
        <v>0</v>
      </c>
      <c r="K4741" s="31">
        <f>'Raw data'!H4650</f>
        <v>0</v>
      </c>
      <c r="L4741" s="26">
        <f t="shared" si="152"/>
        <v>0</v>
      </c>
    </row>
    <row r="4742" spans="2:12">
      <c r="B4742" s="4" t="e">
        <f t="shared" si="151"/>
        <v>#N/A</v>
      </c>
      <c r="C4742" s="4">
        <f>'Raw data'!E4318</f>
        <v>0</v>
      </c>
      <c r="D4742" s="29" t="e">
        <f>VLOOKUP(C4742,'점포코드 '!A:B,2,0)</f>
        <v>#N/A</v>
      </c>
      <c r="E4742" s="30">
        <f>'Raw data'!P4318</f>
        <v>0</v>
      </c>
      <c r="F4742" s="29" t="e">
        <f>VLOOKUP(E4742,'점포코드 '!A:B,2,0)</f>
        <v>#N/A</v>
      </c>
      <c r="G4742" s="46">
        <f>'Raw data'!F4651</f>
        <v>0</v>
      </c>
      <c r="H4742" s="4">
        <f>'Raw data'!G4651</f>
        <v>0</v>
      </c>
      <c r="I4742" s="29" t="e">
        <f>VLOOKUP(G4742,제품명!$C$1:$E$114,2,0)</f>
        <v>#N/A</v>
      </c>
      <c r="J4742" s="29">
        <f>'Raw data'!K4651</f>
        <v>0</v>
      </c>
      <c r="K4742" s="31">
        <f>'Raw data'!H4651</f>
        <v>0</v>
      </c>
      <c r="L4742" s="26">
        <f t="shared" si="152"/>
        <v>0</v>
      </c>
    </row>
    <row r="4743" spans="2:12">
      <c r="B4743" s="4" t="e">
        <f t="shared" si="151"/>
        <v>#N/A</v>
      </c>
      <c r="C4743" s="4">
        <f>'Raw data'!E4319</f>
        <v>0</v>
      </c>
      <c r="D4743" s="29" t="e">
        <f>VLOOKUP(C4743,'점포코드 '!A:B,2,0)</f>
        <v>#N/A</v>
      </c>
      <c r="E4743" s="30">
        <f>'Raw data'!P4319</f>
        <v>0</v>
      </c>
      <c r="F4743" s="29" t="e">
        <f>VLOOKUP(E4743,'점포코드 '!A:B,2,0)</f>
        <v>#N/A</v>
      </c>
      <c r="G4743" s="46">
        <f>'Raw data'!F4652</f>
        <v>0</v>
      </c>
      <c r="H4743" s="4">
        <f>'Raw data'!G4652</f>
        <v>0</v>
      </c>
      <c r="I4743" s="29" t="e">
        <f>VLOOKUP(G4743,제품명!$C$1:$E$114,2,0)</f>
        <v>#N/A</v>
      </c>
      <c r="J4743" s="29">
        <f>'Raw data'!K4652</f>
        <v>0</v>
      </c>
      <c r="K4743" s="31">
        <f>'Raw data'!H4652</f>
        <v>0</v>
      </c>
      <c r="L4743" s="26">
        <f t="shared" si="152"/>
        <v>0</v>
      </c>
    </row>
    <row r="4744" spans="2:12">
      <c r="B4744" s="4" t="e">
        <f t="shared" si="151"/>
        <v>#N/A</v>
      </c>
      <c r="C4744" s="4">
        <f>'Raw data'!E4320</f>
        <v>0</v>
      </c>
      <c r="D4744" s="29" t="e">
        <f>VLOOKUP(C4744,'점포코드 '!A:B,2,0)</f>
        <v>#N/A</v>
      </c>
      <c r="E4744" s="30">
        <f>'Raw data'!P4320</f>
        <v>0</v>
      </c>
      <c r="F4744" s="29" t="e">
        <f>VLOOKUP(E4744,'점포코드 '!A:B,2,0)</f>
        <v>#N/A</v>
      </c>
      <c r="G4744" s="46">
        <f>'Raw data'!F4653</f>
        <v>0</v>
      </c>
      <c r="H4744" s="4">
        <f>'Raw data'!G4653</f>
        <v>0</v>
      </c>
      <c r="I4744" s="29" t="e">
        <f>VLOOKUP(G4744,제품명!$C$1:$E$114,2,0)</f>
        <v>#N/A</v>
      </c>
      <c r="J4744" s="29">
        <f>'Raw data'!K4653</f>
        <v>0</v>
      </c>
      <c r="K4744" s="31">
        <f>'Raw data'!H4653</f>
        <v>0</v>
      </c>
      <c r="L4744" s="26">
        <f t="shared" si="152"/>
        <v>0</v>
      </c>
    </row>
    <row r="4745" spans="2:12">
      <c r="B4745" s="4" t="e">
        <f t="shared" si="151"/>
        <v>#N/A</v>
      </c>
      <c r="C4745" s="4">
        <f>'Raw data'!E4321</f>
        <v>0</v>
      </c>
      <c r="D4745" s="29" t="e">
        <f>VLOOKUP(C4745,'점포코드 '!A:B,2,0)</f>
        <v>#N/A</v>
      </c>
      <c r="E4745" s="30">
        <f>'Raw data'!P4321</f>
        <v>0</v>
      </c>
      <c r="F4745" s="29" t="e">
        <f>VLOOKUP(E4745,'점포코드 '!A:B,2,0)</f>
        <v>#N/A</v>
      </c>
      <c r="G4745" s="46">
        <f>'Raw data'!F4654</f>
        <v>0</v>
      </c>
      <c r="H4745" s="4">
        <f>'Raw data'!G4654</f>
        <v>0</v>
      </c>
      <c r="I4745" s="29" t="e">
        <f>VLOOKUP(G4745,제품명!$C$1:$E$114,2,0)</f>
        <v>#N/A</v>
      </c>
      <c r="J4745" s="29">
        <f>'Raw data'!K4654</f>
        <v>0</v>
      </c>
      <c r="K4745" s="31">
        <f>'Raw data'!H4654</f>
        <v>0</v>
      </c>
      <c r="L4745" s="26">
        <f t="shared" si="152"/>
        <v>0</v>
      </c>
    </row>
    <row r="4746" spans="2:12">
      <c r="B4746" s="4" t="e">
        <f t="shared" si="151"/>
        <v>#N/A</v>
      </c>
      <c r="C4746" s="4">
        <f>'Raw data'!E4322</f>
        <v>0</v>
      </c>
      <c r="D4746" s="29" t="e">
        <f>VLOOKUP(C4746,'점포코드 '!A:B,2,0)</f>
        <v>#N/A</v>
      </c>
      <c r="E4746" s="30">
        <f>'Raw data'!P4322</f>
        <v>0</v>
      </c>
      <c r="F4746" s="29" t="e">
        <f>VLOOKUP(E4746,'점포코드 '!A:B,2,0)</f>
        <v>#N/A</v>
      </c>
      <c r="G4746" s="46">
        <f>'Raw data'!F4655</f>
        <v>0</v>
      </c>
      <c r="H4746" s="4">
        <f>'Raw data'!G4655</f>
        <v>0</v>
      </c>
      <c r="I4746" s="29" t="e">
        <f>VLOOKUP(G4746,제품명!$C$1:$E$114,2,0)</f>
        <v>#N/A</v>
      </c>
      <c r="J4746" s="29">
        <f>'Raw data'!K4655</f>
        <v>0</v>
      </c>
      <c r="K4746" s="31">
        <f>'Raw data'!H4655</f>
        <v>0</v>
      </c>
      <c r="L4746" s="26">
        <f t="shared" si="152"/>
        <v>0</v>
      </c>
    </row>
    <row r="4747" spans="2:12">
      <c r="B4747" s="4" t="e">
        <f t="shared" si="151"/>
        <v>#N/A</v>
      </c>
      <c r="C4747" s="4">
        <f>'Raw data'!E4323</f>
        <v>0</v>
      </c>
      <c r="D4747" s="29" t="e">
        <f>VLOOKUP(C4747,'점포코드 '!A:B,2,0)</f>
        <v>#N/A</v>
      </c>
      <c r="E4747" s="30">
        <f>'Raw data'!P4323</f>
        <v>0</v>
      </c>
      <c r="F4747" s="29" t="e">
        <f>VLOOKUP(E4747,'점포코드 '!A:B,2,0)</f>
        <v>#N/A</v>
      </c>
      <c r="G4747" s="46">
        <f>'Raw data'!F4656</f>
        <v>0</v>
      </c>
      <c r="H4747" s="4">
        <f>'Raw data'!G4656</f>
        <v>0</v>
      </c>
      <c r="I4747" s="29" t="e">
        <f>VLOOKUP(G4747,제품명!$C$1:$E$114,2,0)</f>
        <v>#N/A</v>
      </c>
      <c r="J4747" s="29">
        <f>'Raw data'!K4656</f>
        <v>0</v>
      </c>
      <c r="K4747" s="31">
        <f>'Raw data'!H4656</f>
        <v>0</v>
      </c>
      <c r="L4747" s="26">
        <f t="shared" si="152"/>
        <v>0</v>
      </c>
    </row>
    <row r="4748" spans="2:12">
      <c r="B4748" s="4" t="e">
        <f t="shared" si="151"/>
        <v>#N/A</v>
      </c>
      <c r="C4748" s="4">
        <f>'Raw data'!E4324</f>
        <v>0</v>
      </c>
      <c r="D4748" s="29" t="e">
        <f>VLOOKUP(C4748,'점포코드 '!A:B,2,0)</f>
        <v>#N/A</v>
      </c>
      <c r="E4748" s="30">
        <f>'Raw data'!P4324</f>
        <v>0</v>
      </c>
      <c r="F4748" s="29" t="e">
        <f>VLOOKUP(E4748,'점포코드 '!A:B,2,0)</f>
        <v>#N/A</v>
      </c>
      <c r="G4748" s="46">
        <f>'Raw data'!F4657</f>
        <v>0</v>
      </c>
      <c r="H4748" s="4">
        <f>'Raw data'!G4657</f>
        <v>0</v>
      </c>
      <c r="I4748" s="29" t="e">
        <f>VLOOKUP(G4748,제품명!$C$1:$E$114,2,0)</f>
        <v>#N/A</v>
      </c>
      <c r="J4748" s="29">
        <f>'Raw data'!K4657</f>
        <v>0</v>
      </c>
      <c r="K4748" s="31">
        <f>'Raw data'!H4657</f>
        <v>0</v>
      </c>
      <c r="L4748" s="26">
        <f t="shared" si="152"/>
        <v>0</v>
      </c>
    </row>
    <row r="4749" spans="2:12">
      <c r="B4749" s="4" t="e">
        <f t="shared" si="151"/>
        <v>#N/A</v>
      </c>
      <c r="C4749" s="4">
        <f>'Raw data'!E4325</f>
        <v>0</v>
      </c>
      <c r="D4749" s="29" t="e">
        <f>VLOOKUP(C4749,'점포코드 '!A:B,2,0)</f>
        <v>#N/A</v>
      </c>
      <c r="E4749" s="30">
        <f>'Raw data'!P4325</f>
        <v>0</v>
      </c>
      <c r="F4749" s="29" t="e">
        <f>VLOOKUP(E4749,'점포코드 '!A:B,2,0)</f>
        <v>#N/A</v>
      </c>
      <c r="G4749" s="46">
        <f>'Raw data'!F4658</f>
        <v>0</v>
      </c>
      <c r="H4749" s="4">
        <f>'Raw data'!G4658</f>
        <v>0</v>
      </c>
      <c r="I4749" s="29" t="e">
        <f>VLOOKUP(G4749,제품명!$C$1:$E$114,2,0)</f>
        <v>#N/A</v>
      </c>
      <c r="J4749" s="29">
        <f>'Raw data'!K4658</f>
        <v>0</v>
      </c>
      <c r="K4749" s="31">
        <f>'Raw data'!H4658</f>
        <v>0</v>
      </c>
      <c r="L4749" s="26">
        <f t="shared" si="152"/>
        <v>0</v>
      </c>
    </row>
    <row r="4750" spans="2:12">
      <c r="B4750" s="4" t="e">
        <f t="shared" si="151"/>
        <v>#N/A</v>
      </c>
      <c r="C4750" s="4">
        <f>'Raw data'!E4326</f>
        <v>0</v>
      </c>
      <c r="D4750" s="29" t="e">
        <f>VLOOKUP(C4750,'점포코드 '!A:B,2,0)</f>
        <v>#N/A</v>
      </c>
      <c r="E4750" s="30">
        <f>'Raw data'!P4326</f>
        <v>0</v>
      </c>
      <c r="F4750" s="29" t="e">
        <f>VLOOKUP(E4750,'점포코드 '!A:B,2,0)</f>
        <v>#N/A</v>
      </c>
      <c r="G4750" s="46">
        <f>'Raw data'!F4659</f>
        <v>0</v>
      </c>
      <c r="H4750" s="4">
        <f>'Raw data'!G4659</f>
        <v>0</v>
      </c>
      <c r="I4750" s="29" t="e">
        <f>VLOOKUP(G4750,제품명!$C$1:$E$114,2,0)</f>
        <v>#N/A</v>
      </c>
      <c r="J4750" s="29">
        <f>'Raw data'!K4659</f>
        <v>0</v>
      </c>
      <c r="K4750" s="31">
        <f>'Raw data'!H4659</f>
        <v>0</v>
      </c>
      <c r="L4750" s="26">
        <f t="shared" si="152"/>
        <v>0</v>
      </c>
    </row>
    <row r="4751" spans="2:12">
      <c r="B4751" s="4" t="e">
        <f t="shared" si="151"/>
        <v>#N/A</v>
      </c>
      <c r="C4751" s="4">
        <f>'Raw data'!E4327</f>
        <v>0</v>
      </c>
      <c r="D4751" s="29" t="e">
        <f>VLOOKUP(C4751,'점포코드 '!A:B,2,0)</f>
        <v>#N/A</v>
      </c>
      <c r="E4751" s="30">
        <f>'Raw data'!P4327</f>
        <v>0</v>
      </c>
      <c r="F4751" s="29" t="e">
        <f>VLOOKUP(E4751,'점포코드 '!A:B,2,0)</f>
        <v>#N/A</v>
      </c>
      <c r="G4751" s="46">
        <f>'Raw data'!F4660</f>
        <v>0</v>
      </c>
      <c r="H4751" s="4">
        <f>'Raw data'!G4660</f>
        <v>0</v>
      </c>
      <c r="I4751" s="29" t="e">
        <f>VLOOKUP(G4751,제품명!$C$1:$E$114,2,0)</f>
        <v>#N/A</v>
      </c>
      <c r="J4751" s="29">
        <f>'Raw data'!K4660</f>
        <v>0</v>
      </c>
      <c r="K4751" s="31">
        <f>'Raw data'!H4660</f>
        <v>0</v>
      </c>
      <c r="L4751" s="26">
        <f t="shared" si="152"/>
        <v>0</v>
      </c>
    </row>
    <row r="4752" spans="2:12">
      <c r="B4752" s="4" t="e">
        <f t="shared" si="151"/>
        <v>#N/A</v>
      </c>
      <c r="C4752" s="4">
        <f>'Raw data'!E4328</f>
        <v>0</v>
      </c>
      <c r="D4752" s="29" t="e">
        <f>VLOOKUP(C4752,'점포코드 '!A:B,2,0)</f>
        <v>#N/A</v>
      </c>
      <c r="E4752" s="30">
        <f>'Raw data'!P4328</f>
        <v>0</v>
      </c>
      <c r="F4752" s="29" t="e">
        <f>VLOOKUP(E4752,'점포코드 '!A:B,2,0)</f>
        <v>#N/A</v>
      </c>
      <c r="G4752" s="46">
        <f>'Raw data'!F4661</f>
        <v>0</v>
      </c>
      <c r="H4752" s="4">
        <f>'Raw data'!G4661</f>
        <v>0</v>
      </c>
      <c r="I4752" s="29" t="e">
        <f>VLOOKUP(G4752,제품명!$C$1:$E$114,2,0)</f>
        <v>#N/A</v>
      </c>
      <c r="J4752" s="29">
        <f>'Raw data'!K4661</f>
        <v>0</v>
      </c>
      <c r="K4752" s="31">
        <f>'Raw data'!H4661</f>
        <v>0</v>
      </c>
      <c r="L4752" s="26">
        <f t="shared" si="152"/>
        <v>0</v>
      </c>
    </row>
    <row r="4753" spans="2:12">
      <c r="B4753" s="4" t="e">
        <f t="shared" si="151"/>
        <v>#N/A</v>
      </c>
      <c r="C4753" s="4">
        <f>'Raw data'!E4329</f>
        <v>0</v>
      </c>
      <c r="D4753" s="29" t="e">
        <f>VLOOKUP(C4753,'점포코드 '!A:B,2,0)</f>
        <v>#N/A</v>
      </c>
      <c r="E4753" s="30">
        <f>'Raw data'!P4329</f>
        <v>0</v>
      </c>
      <c r="F4753" s="29" t="e">
        <f>VLOOKUP(E4753,'점포코드 '!A:B,2,0)</f>
        <v>#N/A</v>
      </c>
      <c r="G4753" s="46">
        <f>'Raw data'!F4662</f>
        <v>0</v>
      </c>
      <c r="H4753" s="4">
        <f>'Raw data'!G4662</f>
        <v>0</v>
      </c>
      <c r="I4753" s="29" t="e">
        <f>VLOOKUP(G4753,제품명!$C$1:$E$114,2,0)</f>
        <v>#N/A</v>
      </c>
      <c r="J4753" s="29">
        <f>'Raw data'!K4662</f>
        <v>0</v>
      </c>
      <c r="K4753" s="31">
        <f>'Raw data'!H4662</f>
        <v>0</v>
      </c>
      <c r="L4753" s="26">
        <f t="shared" si="152"/>
        <v>0</v>
      </c>
    </row>
    <row r="4754" spans="2:12">
      <c r="B4754" s="4" t="e">
        <f t="shared" si="151"/>
        <v>#N/A</v>
      </c>
      <c r="C4754" s="4">
        <f>'Raw data'!E4330</f>
        <v>0</v>
      </c>
      <c r="D4754" s="29" t="e">
        <f>VLOOKUP(C4754,'점포코드 '!A:B,2,0)</f>
        <v>#N/A</v>
      </c>
      <c r="E4754" s="30">
        <f>'Raw data'!P4330</f>
        <v>0</v>
      </c>
      <c r="F4754" s="29" t="e">
        <f>VLOOKUP(E4754,'점포코드 '!A:B,2,0)</f>
        <v>#N/A</v>
      </c>
      <c r="G4754" s="46">
        <f>'Raw data'!F4663</f>
        <v>0</v>
      </c>
      <c r="H4754" s="4">
        <f>'Raw data'!G4663</f>
        <v>0</v>
      </c>
      <c r="I4754" s="29" t="e">
        <f>VLOOKUP(G4754,제품명!$C$1:$E$114,2,0)</f>
        <v>#N/A</v>
      </c>
      <c r="J4754" s="29">
        <f>'Raw data'!K4663</f>
        <v>0</v>
      </c>
      <c r="K4754" s="31">
        <f>'Raw data'!H4663</f>
        <v>0</v>
      </c>
      <c r="L4754" s="26">
        <f t="shared" si="152"/>
        <v>0</v>
      </c>
    </row>
    <row r="4755" spans="2:12">
      <c r="B4755" s="4" t="e">
        <f t="shared" si="151"/>
        <v>#N/A</v>
      </c>
      <c r="C4755" s="4">
        <f>'Raw data'!E4331</f>
        <v>0</v>
      </c>
      <c r="D4755" s="29" t="e">
        <f>VLOOKUP(C4755,'점포코드 '!A:B,2,0)</f>
        <v>#N/A</v>
      </c>
      <c r="E4755" s="30">
        <f>'Raw data'!P4331</f>
        <v>0</v>
      </c>
      <c r="F4755" s="29" t="e">
        <f>VLOOKUP(E4755,'점포코드 '!A:B,2,0)</f>
        <v>#N/A</v>
      </c>
      <c r="G4755" s="46">
        <f>'Raw data'!F4664</f>
        <v>0</v>
      </c>
      <c r="H4755" s="4">
        <f>'Raw data'!G4664</f>
        <v>0</v>
      </c>
      <c r="I4755" s="29" t="e">
        <f>VLOOKUP(G4755,제품명!$C$1:$E$114,2,0)</f>
        <v>#N/A</v>
      </c>
      <c r="J4755" s="29">
        <f>'Raw data'!K4664</f>
        <v>0</v>
      </c>
      <c r="K4755" s="31">
        <f>'Raw data'!H4664</f>
        <v>0</v>
      </c>
      <c r="L4755" s="26">
        <f t="shared" si="152"/>
        <v>0</v>
      </c>
    </row>
    <row r="4756" spans="2:12">
      <c r="B4756" s="4" t="e">
        <f t="shared" si="151"/>
        <v>#N/A</v>
      </c>
      <c r="C4756" s="4">
        <f>'Raw data'!E4332</f>
        <v>0</v>
      </c>
      <c r="D4756" s="29" t="e">
        <f>VLOOKUP(C4756,'점포코드 '!A:B,2,0)</f>
        <v>#N/A</v>
      </c>
      <c r="E4756" s="30">
        <f>'Raw data'!P4332</f>
        <v>0</v>
      </c>
      <c r="F4756" s="29" t="e">
        <f>VLOOKUP(E4756,'점포코드 '!A:B,2,0)</f>
        <v>#N/A</v>
      </c>
      <c r="G4756" s="46">
        <f>'Raw data'!F4665</f>
        <v>0</v>
      </c>
      <c r="H4756" s="4">
        <f>'Raw data'!G4665</f>
        <v>0</v>
      </c>
      <c r="I4756" s="29" t="e">
        <f>VLOOKUP(G4756,제품명!$C$1:$E$114,2,0)</f>
        <v>#N/A</v>
      </c>
      <c r="J4756" s="29">
        <f>'Raw data'!K4665</f>
        <v>0</v>
      </c>
      <c r="K4756" s="31">
        <f>'Raw data'!H4665</f>
        <v>0</v>
      </c>
      <c r="L4756" s="26">
        <f t="shared" si="152"/>
        <v>0</v>
      </c>
    </row>
    <row r="4757" spans="2:12">
      <c r="B4757" s="4" t="e">
        <f t="shared" si="151"/>
        <v>#N/A</v>
      </c>
      <c r="C4757" s="4">
        <f>'Raw data'!E4333</f>
        <v>0</v>
      </c>
      <c r="D4757" s="29" t="e">
        <f>VLOOKUP(C4757,'점포코드 '!A:B,2,0)</f>
        <v>#N/A</v>
      </c>
      <c r="E4757" s="30">
        <f>'Raw data'!P4333</f>
        <v>0</v>
      </c>
      <c r="F4757" s="29" t="e">
        <f>VLOOKUP(E4757,'점포코드 '!A:B,2,0)</f>
        <v>#N/A</v>
      </c>
      <c r="G4757" s="46">
        <f>'Raw data'!F4666</f>
        <v>0</v>
      </c>
      <c r="H4757" s="4">
        <f>'Raw data'!G4666</f>
        <v>0</v>
      </c>
      <c r="I4757" s="29" t="e">
        <f>VLOOKUP(G4757,제품명!$C$1:$E$114,2,0)</f>
        <v>#N/A</v>
      </c>
      <c r="J4757" s="29">
        <f>'Raw data'!K4666</f>
        <v>0</v>
      </c>
      <c r="K4757" s="31">
        <f>'Raw data'!H4666</f>
        <v>0</v>
      </c>
      <c r="L4757" s="26">
        <f t="shared" si="152"/>
        <v>0</v>
      </c>
    </row>
    <row r="4758" spans="2:12">
      <c r="B4758" s="4" t="e">
        <f t="shared" si="151"/>
        <v>#N/A</v>
      </c>
      <c r="C4758" s="4">
        <f>'Raw data'!E4334</f>
        <v>0</v>
      </c>
      <c r="D4758" s="29" t="e">
        <f>VLOOKUP(C4758,'점포코드 '!A:B,2,0)</f>
        <v>#N/A</v>
      </c>
      <c r="E4758" s="30">
        <f>'Raw data'!P4334</f>
        <v>0</v>
      </c>
      <c r="F4758" s="29" t="e">
        <f>VLOOKUP(E4758,'점포코드 '!A:B,2,0)</f>
        <v>#N/A</v>
      </c>
      <c r="G4758" s="46">
        <f>'Raw data'!F4667</f>
        <v>0</v>
      </c>
      <c r="H4758" s="4">
        <f>'Raw data'!G4667</f>
        <v>0</v>
      </c>
      <c r="I4758" s="29" t="e">
        <f>VLOOKUP(G4758,제품명!$C$1:$E$114,2,0)</f>
        <v>#N/A</v>
      </c>
      <c r="J4758" s="29">
        <f>'Raw data'!K4667</f>
        <v>0</v>
      </c>
      <c r="K4758" s="31">
        <f>'Raw data'!H4667</f>
        <v>0</v>
      </c>
      <c r="L4758" s="26">
        <f t="shared" si="152"/>
        <v>0</v>
      </c>
    </row>
    <row r="4759" spans="2:12">
      <c r="B4759" s="4" t="e">
        <f t="shared" si="151"/>
        <v>#N/A</v>
      </c>
      <c r="C4759" s="4">
        <f>'Raw data'!E4335</f>
        <v>0</v>
      </c>
      <c r="D4759" s="29" t="e">
        <f>VLOOKUP(C4759,'점포코드 '!A:B,2,0)</f>
        <v>#N/A</v>
      </c>
      <c r="E4759" s="30">
        <f>'Raw data'!P4335</f>
        <v>0</v>
      </c>
      <c r="F4759" s="29" t="e">
        <f>VLOOKUP(E4759,'점포코드 '!A:B,2,0)</f>
        <v>#N/A</v>
      </c>
      <c r="G4759" s="46">
        <f>'Raw data'!F4668</f>
        <v>0</v>
      </c>
      <c r="H4759" s="4">
        <f>'Raw data'!G4668</f>
        <v>0</v>
      </c>
      <c r="I4759" s="29" t="e">
        <f>VLOOKUP(G4759,제품명!$C$1:$E$114,2,0)</f>
        <v>#N/A</v>
      </c>
      <c r="J4759" s="29">
        <f>'Raw data'!K4668</f>
        <v>0</v>
      </c>
      <c r="K4759" s="31">
        <f>'Raw data'!H4668</f>
        <v>0</v>
      </c>
      <c r="L4759" s="26">
        <f t="shared" si="152"/>
        <v>0</v>
      </c>
    </row>
    <row r="4760" spans="2:12">
      <c r="B4760" s="4" t="e">
        <f t="shared" si="151"/>
        <v>#N/A</v>
      </c>
      <c r="C4760" s="4">
        <f>'Raw data'!E4336</f>
        <v>0</v>
      </c>
      <c r="D4760" s="29" t="e">
        <f>VLOOKUP(C4760,'점포코드 '!A:B,2,0)</f>
        <v>#N/A</v>
      </c>
      <c r="E4760" s="30">
        <f>'Raw data'!P4336</f>
        <v>0</v>
      </c>
      <c r="F4760" s="29" t="e">
        <f>VLOOKUP(E4760,'점포코드 '!A:B,2,0)</f>
        <v>#N/A</v>
      </c>
      <c r="G4760" s="46">
        <f>'Raw data'!F4669</f>
        <v>0</v>
      </c>
      <c r="H4760" s="4">
        <f>'Raw data'!G4669</f>
        <v>0</v>
      </c>
      <c r="I4760" s="29" t="e">
        <f>VLOOKUP(G4760,제품명!$C$1:$E$114,2,0)</f>
        <v>#N/A</v>
      </c>
      <c r="J4760" s="29">
        <f>'Raw data'!K4669</f>
        <v>0</v>
      </c>
      <c r="K4760" s="31">
        <f>'Raw data'!H4669</f>
        <v>0</v>
      </c>
      <c r="L4760" s="26">
        <f t="shared" si="152"/>
        <v>0</v>
      </c>
    </row>
    <row r="4761" spans="2:12">
      <c r="B4761" s="4" t="e">
        <f t="shared" si="151"/>
        <v>#N/A</v>
      </c>
      <c r="C4761" s="4">
        <f>'Raw data'!E4337</f>
        <v>0</v>
      </c>
      <c r="D4761" s="29" t="e">
        <f>VLOOKUP(C4761,'점포코드 '!A:B,2,0)</f>
        <v>#N/A</v>
      </c>
      <c r="E4761" s="30">
        <f>'Raw data'!P4337</f>
        <v>0</v>
      </c>
      <c r="F4761" s="29" t="e">
        <f>VLOOKUP(E4761,'점포코드 '!A:B,2,0)</f>
        <v>#N/A</v>
      </c>
      <c r="G4761" s="46">
        <f>'Raw data'!F4670</f>
        <v>0</v>
      </c>
      <c r="H4761" s="4">
        <f>'Raw data'!G4670</f>
        <v>0</v>
      </c>
      <c r="I4761" s="29" t="e">
        <f>VLOOKUP(G4761,제품명!$C$1:$E$114,2,0)</f>
        <v>#N/A</v>
      </c>
      <c r="J4761" s="29">
        <f>'Raw data'!K4670</f>
        <v>0</v>
      </c>
      <c r="K4761" s="31">
        <f>'Raw data'!H4670</f>
        <v>0</v>
      </c>
      <c r="L4761" s="26">
        <f t="shared" si="152"/>
        <v>0</v>
      </c>
    </row>
    <row r="4762" spans="2:12">
      <c r="B4762" s="4" t="e">
        <f t="shared" si="151"/>
        <v>#N/A</v>
      </c>
      <c r="C4762" s="4">
        <f>'Raw data'!E4338</f>
        <v>0</v>
      </c>
      <c r="D4762" s="29" t="e">
        <f>VLOOKUP(C4762,'점포코드 '!A:B,2,0)</f>
        <v>#N/A</v>
      </c>
      <c r="E4762" s="30">
        <f>'Raw data'!P4338</f>
        <v>0</v>
      </c>
      <c r="F4762" s="29" t="e">
        <f>VLOOKUP(E4762,'점포코드 '!A:B,2,0)</f>
        <v>#N/A</v>
      </c>
      <c r="G4762" s="46">
        <f>'Raw data'!F4671</f>
        <v>0</v>
      </c>
      <c r="H4762" s="4">
        <f>'Raw data'!G4671</f>
        <v>0</v>
      </c>
      <c r="I4762" s="29" t="e">
        <f>VLOOKUP(G4762,제품명!$C$1:$E$114,2,0)</f>
        <v>#N/A</v>
      </c>
      <c r="J4762" s="29">
        <f>'Raw data'!K4671</f>
        <v>0</v>
      </c>
      <c r="K4762" s="31">
        <f>'Raw data'!H4671</f>
        <v>0</v>
      </c>
      <c r="L4762" s="26">
        <f t="shared" si="152"/>
        <v>0</v>
      </c>
    </row>
    <row r="4763" spans="2:12">
      <c r="B4763" s="4" t="e">
        <f t="shared" si="151"/>
        <v>#N/A</v>
      </c>
      <c r="C4763" s="4">
        <f>'Raw data'!E4339</f>
        <v>0</v>
      </c>
      <c r="D4763" s="29" t="e">
        <f>VLOOKUP(C4763,'점포코드 '!A:B,2,0)</f>
        <v>#N/A</v>
      </c>
      <c r="E4763" s="30">
        <f>'Raw data'!P4339</f>
        <v>0</v>
      </c>
      <c r="F4763" s="29" t="e">
        <f>VLOOKUP(E4763,'점포코드 '!A:B,2,0)</f>
        <v>#N/A</v>
      </c>
      <c r="G4763" s="46">
        <f>'Raw data'!F4672</f>
        <v>0</v>
      </c>
      <c r="H4763" s="4">
        <f>'Raw data'!G4672</f>
        <v>0</v>
      </c>
      <c r="I4763" s="29" t="e">
        <f>VLOOKUP(G4763,제품명!$C$1:$E$114,2,0)</f>
        <v>#N/A</v>
      </c>
      <c r="J4763" s="29">
        <f>'Raw data'!K4672</f>
        <v>0</v>
      </c>
      <c r="K4763" s="31">
        <f>'Raw data'!H4672</f>
        <v>0</v>
      </c>
      <c r="L4763" s="26">
        <f t="shared" si="152"/>
        <v>0</v>
      </c>
    </row>
    <row r="4764" spans="2:12">
      <c r="B4764" s="4" t="e">
        <f t="shared" si="151"/>
        <v>#N/A</v>
      </c>
      <c r="C4764" s="4">
        <f>'Raw data'!E4340</f>
        <v>0</v>
      </c>
      <c r="D4764" s="29" t="e">
        <f>VLOOKUP(C4764,'점포코드 '!A:B,2,0)</f>
        <v>#N/A</v>
      </c>
      <c r="E4764" s="30">
        <f>'Raw data'!P4340</f>
        <v>0</v>
      </c>
      <c r="F4764" s="29" t="e">
        <f>VLOOKUP(E4764,'점포코드 '!A:B,2,0)</f>
        <v>#N/A</v>
      </c>
      <c r="G4764" s="46">
        <f>'Raw data'!F4673</f>
        <v>0</v>
      </c>
      <c r="H4764" s="4">
        <f>'Raw data'!G4673</f>
        <v>0</v>
      </c>
      <c r="I4764" s="29" t="e">
        <f>VLOOKUP(G4764,제품명!$C$1:$E$114,2,0)</f>
        <v>#N/A</v>
      </c>
      <c r="J4764" s="29">
        <f>'Raw data'!K4673</f>
        <v>0</v>
      </c>
      <c r="K4764" s="31">
        <f>'Raw data'!H4673</f>
        <v>0</v>
      </c>
      <c r="L4764" s="26">
        <f t="shared" si="152"/>
        <v>0</v>
      </c>
    </row>
    <row r="4765" spans="2:12">
      <c r="B4765" s="4" t="e">
        <f t="shared" si="151"/>
        <v>#N/A</v>
      </c>
      <c r="C4765" s="4">
        <f>'Raw data'!E4341</f>
        <v>0</v>
      </c>
      <c r="D4765" s="29" t="e">
        <f>VLOOKUP(C4765,'점포코드 '!A:B,2,0)</f>
        <v>#N/A</v>
      </c>
      <c r="E4765" s="30">
        <f>'Raw data'!P4341</f>
        <v>0</v>
      </c>
      <c r="F4765" s="29" t="e">
        <f>VLOOKUP(E4765,'점포코드 '!A:B,2,0)</f>
        <v>#N/A</v>
      </c>
      <c r="G4765" s="46">
        <f>'Raw data'!F4674</f>
        <v>0</v>
      </c>
      <c r="H4765" s="4">
        <f>'Raw data'!G4674</f>
        <v>0</v>
      </c>
      <c r="I4765" s="29" t="e">
        <f>VLOOKUP(G4765,제품명!$C$1:$E$114,2,0)</f>
        <v>#N/A</v>
      </c>
      <c r="J4765" s="29">
        <f>'Raw data'!K4674</f>
        <v>0</v>
      </c>
      <c r="K4765" s="31">
        <f>'Raw data'!H4674</f>
        <v>0</v>
      </c>
      <c r="L4765" s="26">
        <f t="shared" si="152"/>
        <v>0</v>
      </c>
    </row>
    <row r="4766" spans="2:12">
      <c r="B4766" s="4" t="e">
        <f t="shared" si="151"/>
        <v>#N/A</v>
      </c>
      <c r="C4766" s="4">
        <f>'Raw data'!E4342</f>
        <v>0</v>
      </c>
      <c r="D4766" s="29" t="e">
        <f>VLOOKUP(C4766,'점포코드 '!A:B,2,0)</f>
        <v>#N/A</v>
      </c>
      <c r="E4766" s="30">
        <f>'Raw data'!P4342</f>
        <v>0</v>
      </c>
      <c r="F4766" s="29" t="e">
        <f>VLOOKUP(E4766,'점포코드 '!A:B,2,0)</f>
        <v>#N/A</v>
      </c>
      <c r="G4766" s="46">
        <f>'Raw data'!F4675</f>
        <v>0</v>
      </c>
      <c r="H4766" s="4">
        <f>'Raw data'!G4675</f>
        <v>0</v>
      </c>
      <c r="I4766" s="29" t="e">
        <f>VLOOKUP(G4766,제품명!$C$1:$E$114,2,0)</f>
        <v>#N/A</v>
      </c>
      <c r="J4766" s="29">
        <f>'Raw data'!K4675</f>
        <v>0</v>
      </c>
      <c r="K4766" s="31">
        <f>'Raw data'!H4675</f>
        <v>0</v>
      </c>
      <c r="L4766" s="26">
        <f t="shared" si="152"/>
        <v>0</v>
      </c>
    </row>
    <row r="4767" spans="2:12">
      <c r="B4767" s="4" t="e">
        <f t="shared" si="151"/>
        <v>#N/A</v>
      </c>
      <c r="C4767" s="4">
        <f>'Raw data'!E4343</f>
        <v>0</v>
      </c>
      <c r="D4767" s="29" t="e">
        <f>VLOOKUP(C4767,'점포코드 '!A:B,2,0)</f>
        <v>#N/A</v>
      </c>
      <c r="E4767" s="30">
        <f>'Raw data'!P4343</f>
        <v>0</v>
      </c>
      <c r="F4767" s="29" t="e">
        <f>VLOOKUP(E4767,'점포코드 '!A:B,2,0)</f>
        <v>#N/A</v>
      </c>
      <c r="G4767" s="46">
        <f>'Raw data'!F4676</f>
        <v>0</v>
      </c>
      <c r="H4767" s="4">
        <f>'Raw data'!G4676</f>
        <v>0</v>
      </c>
      <c r="I4767" s="29" t="e">
        <f>VLOOKUP(G4767,제품명!$C$1:$E$114,2,0)</f>
        <v>#N/A</v>
      </c>
      <c r="J4767" s="29">
        <f>'Raw data'!K4676</f>
        <v>0</v>
      </c>
      <c r="K4767" s="31">
        <f>'Raw data'!H4676</f>
        <v>0</v>
      </c>
      <c r="L4767" s="26">
        <f t="shared" si="152"/>
        <v>0</v>
      </c>
    </row>
    <row r="4768" spans="2:12">
      <c r="B4768" s="4" t="e">
        <f t="shared" si="151"/>
        <v>#N/A</v>
      </c>
      <c r="C4768" s="4">
        <f>'Raw data'!E4344</f>
        <v>0</v>
      </c>
      <c r="D4768" s="29" t="e">
        <f>VLOOKUP(C4768,'점포코드 '!A:B,2,0)</f>
        <v>#N/A</v>
      </c>
      <c r="E4768" s="30">
        <f>'Raw data'!P4344</f>
        <v>0</v>
      </c>
      <c r="F4768" s="29" t="e">
        <f>VLOOKUP(E4768,'점포코드 '!A:B,2,0)</f>
        <v>#N/A</v>
      </c>
      <c r="G4768" s="46">
        <f>'Raw data'!F4677</f>
        <v>0</v>
      </c>
      <c r="H4768" s="4">
        <f>'Raw data'!G4677</f>
        <v>0</v>
      </c>
      <c r="I4768" s="29" t="e">
        <f>VLOOKUP(G4768,제품명!$C$1:$E$114,2,0)</f>
        <v>#N/A</v>
      </c>
      <c r="J4768" s="29">
        <f>'Raw data'!K4677</f>
        <v>0</v>
      </c>
      <c r="K4768" s="31">
        <f>'Raw data'!H4677</f>
        <v>0</v>
      </c>
      <c r="L4768" s="26">
        <f t="shared" si="152"/>
        <v>0</v>
      </c>
    </row>
    <row r="4769" spans="2:12">
      <c r="B4769" s="4" t="e">
        <f t="shared" si="151"/>
        <v>#N/A</v>
      </c>
      <c r="C4769" s="4">
        <f>'Raw data'!E4345</f>
        <v>0</v>
      </c>
      <c r="D4769" s="29" t="e">
        <f>VLOOKUP(C4769,'점포코드 '!A:B,2,0)</f>
        <v>#N/A</v>
      </c>
      <c r="E4769" s="30">
        <f>'Raw data'!P4345</f>
        <v>0</v>
      </c>
      <c r="F4769" s="29" t="e">
        <f>VLOOKUP(E4769,'점포코드 '!A:B,2,0)</f>
        <v>#N/A</v>
      </c>
      <c r="G4769" s="46">
        <f>'Raw data'!F4678</f>
        <v>0</v>
      </c>
      <c r="H4769" s="4">
        <f>'Raw data'!G4678</f>
        <v>0</v>
      </c>
      <c r="I4769" s="29" t="e">
        <f>VLOOKUP(G4769,제품명!$C$1:$E$114,2,0)</f>
        <v>#N/A</v>
      </c>
      <c r="J4769" s="29">
        <f>'Raw data'!K4678</f>
        <v>0</v>
      </c>
      <c r="K4769" s="31">
        <f>'Raw data'!H4678</f>
        <v>0</v>
      </c>
      <c r="L4769" s="26">
        <f t="shared" si="152"/>
        <v>0</v>
      </c>
    </row>
    <row r="4770" spans="2:12">
      <c r="B4770" s="4" t="e">
        <f t="shared" si="151"/>
        <v>#N/A</v>
      </c>
      <c r="C4770" s="4">
        <f>'Raw data'!E4346</f>
        <v>0</v>
      </c>
      <c r="D4770" s="29" t="e">
        <f>VLOOKUP(C4770,'점포코드 '!A:B,2,0)</f>
        <v>#N/A</v>
      </c>
      <c r="E4770" s="30">
        <f>'Raw data'!P4346</f>
        <v>0</v>
      </c>
      <c r="F4770" s="29" t="e">
        <f>VLOOKUP(E4770,'점포코드 '!A:B,2,0)</f>
        <v>#N/A</v>
      </c>
      <c r="G4770" s="46">
        <f>'Raw data'!F4679</f>
        <v>0</v>
      </c>
      <c r="H4770" s="4">
        <f>'Raw data'!G4679</f>
        <v>0</v>
      </c>
      <c r="I4770" s="29" t="e">
        <f>VLOOKUP(G4770,제품명!$C$1:$E$114,2,0)</f>
        <v>#N/A</v>
      </c>
      <c r="J4770" s="29">
        <f>'Raw data'!K4679</f>
        <v>0</v>
      </c>
      <c r="K4770" s="31">
        <f>'Raw data'!H4679</f>
        <v>0</v>
      </c>
      <c r="L4770" s="26">
        <f t="shared" si="152"/>
        <v>0</v>
      </c>
    </row>
    <row r="4771" spans="2:12">
      <c r="B4771" s="4" t="e">
        <f t="shared" si="151"/>
        <v>#N/A</v>
      </c>
      <c r="C4771" s="4">
        <f>'Raw data'!E4347</f>
        <v>0</v>
      </c>
      <c r="D4771" s="29" t="e">
        <f>VLOOKUP(C4771,'점포코드 '!A:B,2,0)</f>
        <v>#N/A</v>
      </c>
      <c r="E4771" s="30">
        <f>'Raw data'!P4347</f>
        <v>0</v>
      </c>
      <c r="F4771" s="29" t="e">
        <f>VLOOKUP(E4771,'점포코드 '!A:B,2,0)</f>
        <v>#N/A</v>
      </c>
      <c r="G4771" s="46">
        <f>'Raw data'!F4680</f>
        <v>0</v>
      </c>
      <c r="H4771" s="4">
        <f>'Raw data'!G4680</f>
        <v>0</v>
      </c>
      <c r="I4771" s="29" t="e">
        <f>VLOOKUP(G4771,제품명!$C$1:$E$114,2,0)</f>
        <v>#N/A</v>
      </c>
      <c r="J4771" s="29">
        <f>'Raw data'!K4680</f>
        <v>0</v>
      </c>
      <c r="K4771" s="31">
        <f>'Raw data'!H4680</f>
        <v>0</v>
      </c>
      <c r="L4771" s="26">
        <f t="shared" si="152"/>
        <v>0</v>
      </c>
    </row>
    <row r="4772" spans="2:12">
      <c r="B4772" s="4" t="e">
        <f t="shared" si="151"/>
        <v>#N/A</v>
      </c>
      <c r="C4772" s="4">
        <f>'Raw data'!E4348</f>
        <v>0</v>
      </c>
      <c r="D4772" s="29" t="e">
        <f>VLOOKUP(C4772,'점포코드 '!A:B,2,0)</f>
        <v>#N/A</v>
      </c>
      <c r="E4772" s="30">
        <f>'Raw data'!P4348</f>
        <v>0</v>
      </c>
      <c r="F4772" s="29" t="e">
        <f>VLOOKUP(E4772,'점포코드 '!A:B,2,0)</f>
        <v>#N/A</v>
      </c>
      <c r="G4772" s="46">
        <f>'Raw data'!F4681</f>
        <v>0</v>
      </c>
      <c r="H4772" s="4">
        <f>'Raw data'!G4681</f>
        <v>0</v>
      </c>
      <c r="I4772" s="29" t="e">
        <f>VLOOKUP(G4772,제품명!$C$1:$E$114,2,0)</f>
        <v>#N/A</v>
      </c>
      <c r="J4772" s="29">
        <f>'Raw data'!K4681</f>
        <v>0</v>
      </c>
      <c r="K4772" s="31">
        <f>'Raw data'!H4681</f>
        <v>0</v>
      </c>
      <c r="L4772" s="26">
        <f t="shared" si="152"/>
        <v>0</v>
      </c>
    </row>
    <row r="4773" spans="2:12">
      <c r="B4773" s="4" t="e">
        <f t="shared" si="151"/>
        <v>#N/A</v>
      </c>
      <c r="C4773" s="4">
        <f>'Raw data'!E4349</f>
        <v>0</v>
      </c>
      <c r="D4773" s="29" t="e">
        <f>VLOOKUP(C4773,'점포코드 '!A:B,2,0)</f>
        <v>#N/A</v>
      </c>
      <c r="E4773" s="30">
        <f>'Raw data'!P4349</f>
        <v>0</v>
      </c>
      <c r="F4773" s="29" t="e">
        <f>VLOOKUP(E4773,'점포코드 '!A:B,2,0)</f>
        <v>#N/A</v>
      </c>
      <c r="G4773" s="46">
        <f>'Raw data'!F4682</f>
        <v>0</v>
      </c>
      <c r="H4773" s="4">
        <f>'Raw data'!G4682</f>
        <v>0</v>
      </c>
      <c r="I4773" s="29" t="e">
        <f>VLOOKUP(G4773,제품명!$C$1:$E$114,2,0)</f>
        <v>#N/A</v>
      </c>
      <c r="J4773" s="29">
        <f>'Raw data'!K4682</f>
        <v>0</v>
      </c>
      <c r="K4773" s="31">
        <f>'Raw data'!H4682</f>
        <v>0</v>
      </c>
      <c r="L4773" s="26">
        <f t="shared" si="152"/>
        <v>0</v>
      </c>
    </row>
    <row r="4774" spans="2:12">
      <c r="B4774" s="4" t="e">
        <f t="shared" si="151"/>
        <v>#N/A</v>
      </c>
      <c r="C4774" s="4">
        <f>'Raw data'!E4350</f>
        <v>0</v>
      </c>
      <c r="D4774" s="29" t="e">
        <f>VLOOKUP(C4774,'점포코드 '!A:B,2,0)</f>
        <v>#N/A</v>
      </c>
      <c r="E4774" s="30">
        <f>'Raw data'!P4350</f>
        <v>0</v>
      </c>
      <c r="F4774" s="29" t="e">
        <f>VLOOKUP(E4774,'점포코드 '!A:B,2,0)</f>
        <v>#N/A</v>
      </c>
      <c r="G4774" s="46">
        <f>'Raw data'!F4683</f>
        <v>0</v>
      </c>
      <c r="H4774" s="4">
        <f>'Raw data'!G4683</f>
        <v>0</v>
      </c>
      <c r="I4774" s="29" t="e">
        <f>VLOOKUP(G4774,제품명!$C$1:$E$114,2,0)</f>
        <v>#N/A</v>
      </c>
      <c r="J4774" s="29">
        <f>'Raw data'!K4683</f>
        <v>0</v>
      </c>
      <c r="K4774" s="31">
        <f>'Raw data'!H4683</f>
        <v>0</v>
      </c>
      <c r="L4774" s="26">
        <f t="shared" si="152"/>
        <v>0</v>
      </c>
    </row>
    <row r="4775" spans="2:12">
      <c r="B4775" s="4" t="e">
        <f t="shared" si="151"/>
        <v>#N/A</v>
      </c>
      <c r="C4775" s="4">
        <f>'Raw data'!E4351</f>
        <v>0</v>
      </c>
      <c r="D4775" s="29" t="e">
        <f>VLOOKUP(C4775,'점포코드 '!A:B,2,0)</f>
        <v>#N/A</v>
      </c>
      <c r="E4775" s="30">
        <f>'Raw data'!P4351</f>
        <v>0</v>
      </c>
      <c r="F4775" s="29" t="e">
        <f>VLOOKUP(E4775,'점포코드 '!A:B,2,0)</f>
        <v>#N/A</v>
      </c>
      <c r="G4775" s="46">
        <f>'Raw data'!F4684</f>
        <v>0</v>
      </c>
      <c r="H4775" s="4">
        <f>'Raw data'!G4684</f>
        <v>0</v>
      </c>
      <c r="I4775" s="29" t="e">
        <f>VLOOKUP(G4775,제품명!$C$1:$E$114,2,0)</f>
        <v>#N/A</v>
      </c>
      <c r="J4775" s="29">
        <f>'Raw data'!K4684</f>
        <v>0</v>
      </c>
      <c r="K4775" s="31">
        <f>'Raw data'!H4684</f>
        <v>0</v>
      </c>
      <c r="L4775" s="26">
        <f t="shared" si="152"/>
        <v>0</v>
      </c>
    </row>
    <row r="4776" spans="2:12">
      <c r="B4776" s="4" t="e">
        <f t="shared" si="151"/>
        <v>#N/A</v>
      </c>
      <c r="C4776" s="4">
        <f>'Raw data'!E4352</f>
        <v>0</v>
      </c>
      <c r="D4776" s="29" t="e">
        <f>VLOOKUP(C4776,'점포코드 '!A:B,2,0)</f>
        <v>#N/A</v>
      </c>
      <c r="E4776" s="30">
        <f>'Raw data'!P4352</f>
        <v>0</v>
      </c>
      <c r="F4776" s="29" t="e">
        <f>VLOOKUP(E4776,'점포코드 '!A:B,2,0)</f>
        <v>#N/A</v>
      </c>
      <c r="G4776" s="46">
        <f>'Raw data'!F4685</f>
        <v>0</v>
      </c>
      <c r="H4776" s="4">
        <f>'Raw data'!G4685</f>
        <v>0</v>
      </c>
      <c r="I4776" s="29" t="e">
        <f>VLOOKUP(G4776,제품명!$C$1:$E$114,2,0)</f>
        <v>#N/A</v>
      </c>
      <c r="J4776" s="29">
        <f>'Raw data'!K4685</f>
        <v>0</v>
      </c>
      <c r="K4776" s="31">
        <f>'Raw data'!H4685</f>
        <v>0</v>
      </c>
      <c r="L4776" s="26">
        <f t="shared" si="152"/>
        <v>0</v>
      </c>
    </row>
    <row r="4777" spans="2:12">
      <c r="B4777" s="4" t="e">
        <f t="shared" si="151"/>
        <v>#N/A</v>
      </c>
      <c r="C4777" s="4">
        <f>'Raw data'!E4353</f>
        <v>0</v>
      </c>
      <c r="D4777" s="29" t="e">
        <f>VLOOKUP(C4777,'점포코드 '!A:B,2,0)</f>
        <v>#N/A</v>
      </c>
      <c r="E4777" s="30">
        <f>'Raw data'!P4353</f>
        <v>0</v>
      </c>
      <c r="F4777" s="29" t="e">
        <f>VLOOKUP(E4777,'점포코드 '!A:B,2,0)</f>
        <v>#N/A</v>
      </c>
      <c r="G4777" s="46">
        <f>'Raw data'!F4686</f>
        <v>0</v>
      </c>
      <c r="H4777" s="4">
        <f>'Raw data'!G4686</f>
        <v>0</v>
      </c>
      <c r="I4777" s="29" t="e">
        <f>VLOOKUP(G4777,제품명!$C$1:$E$114,2,0)</f>
        <v>#N/A</v>
      </c>
      <c r="J4777" s="29">
        <f>'Raw data'!K4686</f>
        <v>0</v>
      </c>
      <c r="K4777" s="31">
        <f>'Raw data'!H4686</f>
        <v>0</v>
      </c>
      <c r="L4777" s="26">
        <f t="shared" si="152"/>
        <v>0</v>
      </c>
    </row>
    <row r="4778" spans="2:12">
      <c r="B4778" s="4" t="e">
        <f t="shared" si="151"/>
        <v>#N/A</v>
      </c>
      <c r="C4778" s="4">
        <f>'Raw data'!E4354</f>
        <v>0</v>
      </c>
      <c r="D4778" s="29" t="e">
        <f>VLOOKUP(C4778,'점포코드 '!A:B,2,0)</f>
        <v>#N/A</v>
      </c>
      <c r="E4778" s="30">
        <f>'Raw data'!P4354</f>
        <v>0</v>
      </c>
      <c r="F4778" s="29" t="e">
        <f>VLOOKUP(E4778,'점포코드 '!A:B,2,0)</f>
        <v>#N/A</v>
      </c>
      <c r="G4778" s="46">
        <f>'Raw data'!F4687</f>
        <v>0</v>
      </c>
      <c r="H4778" s="4">
        <f>'Raw data'!G4687</f>
        <v>0</v>
      </c>
      <c r="I4778" s="29" t="e">
        <f>VLOOKUP(G4778,제품명!$C$1:$E$114,2,0)</f>
        <v>#N/A</v>
      </c>
      <c r="J4778" s="29">
        <f>'Raw data'!K4687</f>
        <v>0</v>
      </c>
      <c r="K4778" s="31">
        <f>'Raw data'!H4687</f>
        <v>0</v>
      </c>
      <c r="L4778" s="26">
        <f t="shared" si="152"/>
        <v>0</v>
      </c>
    </row>
    <row r="4779" spans="2:12">
      <c r="B4779" s="4" t="e">
        <f t="shared" si="151"/>
        <v>#N/A</v>
      </c>
      <c r="C4779" s="4">
        <f>'Raw data'!E4355</f>
        <v>0</v>
      </c>
      <c r="D4779" s="29" t="e">
        <f>VLOOKUP(C4779,'점포코드 '!A:B,2,0)</f>
        <v>#N/A</v>
      </c>
      <c r="E4779" s="30">
        <f>'Raw data'!P4355</f>
        <v>0</v>
      </c>
      <c r="F4779" s="29" t="e">
        <f>VLOOKUP(E4779,'점포코드 '!A:B,2,0)</f>
        <v>#N/A</v>
      </c>
      <c r="G4779" s="46">
        <f>'Raw data'!F4688</f>
        <v>0</v>
      </c>
      <c r="H4779" s="4">
        <f>'Raw data'!G4688</f>
        <v>0</v>
      </c>
      <c r="I4779" s="29" t="e">
        <f>VLOOKUP(G4779,제품명!$C$1:$E$114,2,0)</f>
        <v>#N/A</v>
      </c>
      <c r="J4779" s="29">
        <f>'Raw data'!K4688</f>
        <v>0</v>
      </c>
      <c r="K4779" s="31">
        <f>'Raw data'!H4688</f>
        <v>0</v>
      </c>
      <c r="L4779" s="26">
        <f t="shared" si="152"/>
        <v>0</v>
      </c>
    </row>
    <row r="4780" spans="2:12">
      <c r="B4780" s="4" t="e">
        <f t="shared" si="151"/>
        <v>#N/A</v>
      </c>
      <c r="C4780" s="4">
        <f>'Raw data'!E4356</f>
        <v>0</v>
      </c>
      <c r="D4780" s="29" t="e">
        <f>VLOOKUP(C4780,'점포코드 '!A:B,2,0)</f>
        <v>#N/A</v>
      </c>
      <c r="E4780" s="30">
        <f>'Raw data'!P4356</f>
        <v>0</v>
      </c>
      <c r="F4780" s="29" t="e">
        <f>VLOOKUP(E4780,'점포코드 '!A:B,2,0)</f>
        <v>#N/A</v>
      </c>
      <c r="G4780" s="46">
        <f>'Raw data'!F4689</f>
        <v>0</v>
      </c>
      <c r="H4780" s="4">
        <f>'Raw data'!G4689</f>
        <v>0</v>
      </c>
      <c r="I4780" s="29" t="e">
        <f>VLOOKUP(G4780,제품명!$C$1:$E$114,2,0)</f>
        <v>#N/A</v>
      </c>
      <c r="J4780" s="29">
        <f>'Raw data'!K4689</f>
        <v>0</v>
      </c>
      <c r="K4780" s="31">
        <f>'Raw data'!H4689</f>
        <v>0</v>
      </c>
      <c r="L4780" s="26">
        <f t="shared" si="152"/>
        <v>0</v>
      </c>
    </row>
    <row r="4781" spans="2:12">
      <c r="B4781" s="4" t="e">
        <f t="shared" si="151"/>
        <v>#N/A</v>
      </c>
      <c r="C4781" s="4">
        <f>'Raw data'!E4357</f>
        <v>0</v>
      </c>
      <c r="D4781" s="29" t="e">
        <f>VLOOKUP(C4781,'점포코드 '!A:B,2,0)</f>
        <v>#N/A</v>
      </c>
      <c r="E4781" s="30">
        <f>'Raw data'!P4357</f>
        <v>0</v>
      </c>
      <c r="F4781" s="29" t="e">
        <f>VLOOKUP(E4781,'점포코드 '!A:B,2,0)</f>
        <v>#N/A</v>
      </c>
      <c r="G4781" s="46">
        <f>'Raw data'!F4690</f>
        <v>0</v>
      </c>
      <c r="H4781" s="4">
        <f>'Raw data'!G4690</f>
        <v>0</v>
      </c>
      <c r="I4781" s="29" t="e">
        <f>VLOOKUP(G4781,제품명!$C$1:$E$114,2,0)</f>
        <v>#N/A</v>
      </c>
      <c r="J4781" s="29">
        <f>'Raw data'!K4690</f>
        <v>0</v>
      </c>
      <c r="K4781" s="31">
        <f>'Raw data'!H4690</f>
        <v>0</v>
      </c>
      <c r="L4781" s="26">
        <f t="shared" si="152"/>
        <v>0</v>
      </c>
    </row>
    <row r="4782" spans="2:12">
      <c r="B4782" s="4" t="e">
        <f t="shared" si="151"/>
        <v>#N/A</v>
      </c>
      <c r="C4782" s="4">
        <f>'Raw data'!E4358</f>
        <v>0</v>
      </c>
      <c r="D4782" s="29" t="e">
        <f>VLOOKUP(C4782,'점포코드 '!A:B,2,0)</f>
        <v>#N/A</v>
      </c>
      <c r="E4782" s="30">
        <f>'Raw data'!P4358</f>
        <v>0</v>
      </c>
      <c r="F4782" s="29" t="e">
        <f>VLOOKUP(E4782,'점포코드 '!A:B,2,0)</f>
        <v>#N/A</v>
      </c>
      <c r="G4782" s="46">
        <f>'Raw data'!F4691</f>
        <v>0</v>
      </c>
      <c r="H4782" s="4">
        <f>'Raw data'!G4691</f>
        <v>0</v>
      </c>
      <c r="I4782" s="29" t="e">
        <f>VLOOKUP(G4782,제품명!$C$1:$E$114,2,0)</f>
        <v>#N/A</v>
      </c>
      <c r="J4782" s="29">
        <f>'Raw data'!K4691</f>
        <v>0</v>
      </c>
      <c r="K4782" s="31">
        <f>'Raw data'!H4691</f>
        <v>0</v>
      </c>
      <c r="L4782" s="26">
        <f t="shared" si="152"/>
        <v>0</v>
      </c>
    </row>
    <row r="4783" spans="2:12">
      <c r="B4783" s="4" t="e">
        <f t="shared" si="151"/>
        <v>#N/A</v>
      </c>
      <c r="C4783" s="4">
        <f>'Raw data'!E4359</f>
        <v>0</v>
      </c>
      <c r="D4783" s="29" t="e">
        <f>VLOOKUP(C4783,'점포코드 '!A:B,2,0)</f>
        <v>#N/A</v>
      </c>
      <c r="E4783" s="30">
        <f>'Raw data'!P4359</f>
        <v>0</v>
      </c>
      <c r="F4783" s="29" t="e">
        <f>VLOOKUP(E4783,'점포코드 '!A:B,2,0)</f>
        <v>#N/A</v>
      </c>
      <c r="G4783" s="46">
        <f>'Raw data'!F4692</f>
        <v>0</v>
      </c>
      <c r="H4783" s="4">
        <f>'Raw data'!G4692</f>
        <v>0</v>
      </c>
      <c r="I4783" s="29" t="e">
        <f>VLOOKUP(G4783,제품명!$C$1:$E$114,2,0)</f>
        <v>#N/A</v>
      </c>
      <c r="J4783" s="29">
        <f>'Raw data'!K4692</f>
        <v>0</v>
      </c>
      <c r="K4783" s="31">
        <f>'Raw data'!H4692</f>
        <v>0</v>
      </c>
      <c r="L4783" s="26">
        <f t="shared" si="152"/>
        <v>0</v>
      </c>
    </row>
    <row r="4784" spans="2:12">
      <c r="B4784" s="4" t="e">
        <f t="shared" si="151"/>
        <v>#N/A</v>
      </c>
      <c r="C4784" s="4">
        <f>'Raw data'!E4360</f>
        <v>0</v>
      </c>
      <c r="D4784" s="29" t="e">
        <f>VLOOKUP(C4784,'점포코드 '!A:B,2,0)</f>
        <v>#N/A</v>
      </c>
      <c r="E4784" s="30">
        <f>'Raw data'!P4360</f>
        <v>0</v>
      </c>
      <c r="F4784" s="29" t="e">
        <f>VLOOKUP(E4784,'점포코드 '!A:B,2,0)</f>
        <v>#N/A</v>
      </c>
      <c r="G4784" s="46">
        <f>'Raw data'!F4693</f>
        <v>0</v>
      </c>
      <c r="H4784" s="4">
        <f>'Raw data'!G4693</f>
        <v>0</v>
      </c>
      <c r="I4784" s="29" t="e">
        <f>VLOOKUP(G4784,제품명!$C$1:$E$114,2,0)</f>
        <v>#N/A</v>
      </c>
      <c r="J4784" s="29">
        <f>'Raw data'!K4693</f>
        <v>0</v>
      </c>
      <c r="K4784" s="31">
        <f>'Raw data'!H4693</f>
        <v>0</v>
      </c>
      <c r="L4784" s="26">
        <f t="shared" si="152"/>
        <v>0</v>
      </c>
    </row>
    <row r="4785" spans="2:12">
      <c r="B4785" s="4" t="e">
        <f t="shared" si="151"/>
        <v>#N/A</v>
      </c>
      <c r="C4785" s="4">
        <f>'Raw data'!E4361</f>
        <v>0</v>
      </c>
      <c r="D4785" s="29" t="e">
        <f>VLOOKUP(C4785,'점포코드 '!A:B,2,0)</f>
        <v>#N/A</v>
      </c>
      <c r="E4785" s="30">
        <f>'Raw data'!P4361</f>
        <v>0</v>
      </c>
      <c r="F4785" s="29" t="e">
        <f>VLOOKUP(E4785,'점포코드 '!A:B,2,0)</f>
        <v>#N/A</v>
      </c>
      <c r="G4785" s="46">
        <f>'Raw data'!F4694</f>
        <v>0</v>
      </c>
      <c r="H4785" s="4">
        <f>'Raw data'!G4694</f>
        <v>0</v>
      </c>
      <c r="I4785" s="29" t="e">
        <f>VLOOKUP(G4785,제품명!$C$1:$E$114,2,0)</f>
        <v>#N/A</v>
      </c>
      <c r="J4785" s="29">
        <f>'Raw data'!K4694</f>
        <v>0</v>
      </c>
      <c r="K4785" s="31">
        <f>'Raw data'!H4694</f>
        <v>0</v>
      </c>
      <c r="L4785" s="26">
        <f t="shared" si="152"/>
        <v>0</v>
      </c>
    </row>
    <row r="4786" spans="2:12">
      <c r="B4786" s="4" t="e">
        <f t="shared" si="151"/>
        <v>#N/A</v>
      </c>
      <c r="C4786" s="4">
        <f>'Raw data'!E4362</f>
        <v>0</v>
      </c>
      <c r="D4786" s="29" t="e">
        <f>VLOOKUP(C4786,'점포코드 '!A:B,2,0)</f>
        <v>#N/A</v>
      </c>
      <c r="E4786" s="30">
        <f>'Raw data'!P4362</f>
        <v>0</v>
      </c>
      <c r="F4786" s="29" t="e">
        <f>VLOOKUP(E4786,'점포코드 '!A:B,2,0)</f>
        <v>#N/A</v>
      </c>
      <c r="G4786" s="46">
        <f>'Raw data'!F4695</f>
        <v>0</v>
      </c>
      <c r="H4786" s="4">
        <f>'Raw data'!G4695</f>
        <v>0</v>
      </c>
      <c r="I4786" s="29" t="e">
        <f>VLOOKUP(G4786,제품명!$C$1:$E$114,2,0)</f>
        <v>#N/A</v>
      </c>
      <c r="J4786" s="29">
        <f>'Raw data'!K4695</f>
        <v>0</v>
      </c>
      <c r="K4786" s="31">
        <f>'Raw data'!H4695</f>
        <v>0</v>
      </c>
      <c r="L4786" s="26">
        <f t="shared" si="152"/>
        <v>0</v>
      </c>
    </row>
    <row r="4787" spans="2:12">
      <c r="B4787" s="4" t="e">
        <f t="shared" si="151"/>
        <v>#N/A</v>
      </c>
      <c r="C4787" s="4">
        <f>'Raw data'!E4363</f>
        <v>0</v>
      </c>
      <c r="D4787" s="29" t="e">
        <f>VLOOKUP(C4787,'점포코드 '!A:B,2,0)</f>
        <v>#N/A</v>
      </c>
      <c r="E4787" s="30">
        <f>'Raw data'!P4363</f>
        <v>0</v>
      </c>
      <c r="F4787" s="29" t="e">
        <f>VLOOKUP(E4787,'점포코드 '!A:B,2,0)</f>
        <v>#N/A</v>
      </c>
      <c r="G4787" s="46">
        <f>'Raw data'!F4696</f>
        <v>0</v>
      </c>
      <c r="H4787" s="4">
        <f>'Raw data'!G4696</f>
        <v>0</v>
      </c>
      <c r="I4787" s="29" t="e">
        <f>VLOOKUP(G4787,제품명!$C$1:$E$114,2,0)</f>
        <v>#N/A</v>
      </c>
      <c r="J4787" s="29">
        <f>'Raw data'!K4696</f>
        <v>0</v>
      </c>
      <c r="K4787" s="31">
        <f>'Raw data'!H4696</f>
        <v>0</v>
      </c>
      <c r="L4787" s="26">
        <f t="shared" si="152"/>
        <v>0</v>
      </c>
    </row>
    <row r="4788" spans="2:12">
      <c r="B4788" s="4" t="e">
        <f t="shared" si="151"/>
        <v>#N/A</v>
      </c>
      <c r="C4788" s="4">
        <f>'Raw data'!E4364</f>
        <v>0</v>
      </c>
      <c r="D4788" s="29" t="e">
        <f>VLOOKUP(C4788,'점포코드 '!A:B,2,0)</f>
        <v>#N/A</v>
      </c>
      <c r="E4788" s="30">
        <f>'Raw data'!P4364</f>
        <v>0</v>
      </c>
      <c r="F4788" s="29" t="e">
        <f>VLOOKUP(E4788,'점포코드 '!A:B,2,0)</f>
        <v>#N/A</v>
      </c>
      <c r="G4788" s="46">
        <f>'Raw data'!F4697</f>
        <v>0</v>
      </c>
      <c r="H4788" s="4">
        <f>'Raw data'!G4697</f>
        <v>0</v>
      </c>
      <c r="I4788" s="29" t="e">
        <f>VLOOKUP(G4788,제품명!$C$1:$E$114,2,0)</f>
        <v>#N/A</v>
      </c>
      <c r="J4788" s="29">
        <f>'Raw data'!K4697</f>
        <v>0</v>
      </c>
      <c r="K4788" s="31">
        <f>'Raw data'!H4697</f>
        <v>0</v>
      </c>
      <c r="L4788" s="26">
        <f t="shared" si="152"/>
        <v>0</v>
      </c>
    </row>
    <row r="4789" spans="2:12">
      <c r="B4789" s="4" t="e">
        <f t="shared" si="151"/>
        <v>#N/A</v>
      </c>
      <c r="C4789" s="4">
        <f>'Raw data'!E4365</f>
        <v>0</v>
      </c>
      <c r="D4789" s="29" t="e">
        <f>VLOOKUP(C4789,'점포코드 '!A:B,2,0)</f>
        <v>#N/A</v>
      </c>
      <c r="E4789" s="30">
        <f>'Raw data'!P4365</f>
        <v>0</v>
      </c>
      <c r="F4789" s="29" t="e">
        <f>VLOOKUP(E4789,'점포코드 '!A:B,2,0)</f>
        <v>#N/A</v>
      </c>
      <c r="G4789" s="46">
        <f>'Raw data'!F4698</f>
        <v>0</v>
      </c>
      <c r="H4789" s="4">
        <f>'Raw data'!G4698</f>
        <v>0</v>
      </c>
      <c r="I4789" s="29" t="e">
        <f>VLOOKUP(G4789,제품명!$C$1:$E$114,2,0)</f>
        <v>#N/A</v>
      </c>
      <c r="J4789" s="29">
        <f>'Raw data'!K4698</f>
        <v>0</v>
      </c>
      <c r="K4789" s="31">
        <f>'Raw data'!H4698</f>
        <v>0</v>
      </c>
      <c r="L4789" s="26">
        <f t="shared" si="152"/>
        <v>0</v>
      </c>
    </row>
    <row r="4790" spans="2:12">
      <c r="B4790" s="4" t="e">
        <f t="shared" si="151"/>
        <v>#N/A</v>
      </c>
      <c r="C4790" s="4">
        <f>'Raw data'!E4366</f>
        <v>0</v>
      </c>
      <c r="D4790" s="29" t="e">
        <f>VLOOKUP(C4790,'점포코드 '!A:B,2,0)</f>
        <v>#N/A</v>
      </c>
      <c r="E4790" s="30">
        <f>'Raw data'!P4366</f>
        <v>0</v>
      </c>
      <c r="F4790" s="29" t="e">
        <f>VLOOKUP(E4790,'점포코드 '!A:B,2,0)</f>
        <v>#N/A</v>
      </c>
      <c r="G4790" s="46">
        <f>'Raw data'!F4699</f>
        <v>0</v>
      </c>
      <c r="H4790" s="4">
        <f>'Raw data'!G4699</f>
        <v>0</v>
      </c>
      <c r="I4790" s="29" t="e">
        <f>VLOOKUP(G4790,제품명!$C$1:$E$114,2,0)</f>
        <v>#N/A</v>
      </c>
      <c r="J4790" s="29">
        <f>'Raw data'!K4699</f>
        <v>0</v>
      </c>
      <c r="K4790" s="31">
        <f>'Raw data'!H4699</f>
        <v>0</v>
      </c>
      <c r="L4790" s="26">
        <f t="shared" si="152"/>
        <v>0</v>
      </c>
    </row>
    <row r="4791" spans="2:12">
      <c r="B4791" s="4" t="e">
        <f t="shared" si="151"/>
        <v>#N/A</v>
      </c>
      <c r="C4791" s="4">
        <f>'Raw data'!E4367</f>
        <v>0</v>
      </c>
      <c r="D4791" s="29" t="e">
        <f>VLOOKUP(C4791,'점포코드 '!A:B,2,0)</f>
        <v>#N/A</v>
      </c>
      <c r="E4791" s="30">
        <f>'Raw data'!P4367</f>
        <v>0</v>
      </c>
      <c r="F4791" s="29" t="e">
        <f>VLOOKUP(E4791,'점포코드 '!A:B,2,0)</f>
        <v>#N/A</v>
      </c>
      <c r="G4791" s="46">
        <f>'Raw data'!F4700</f>
        <v>0</v>
      </c>
      <c r="H4791" s="4">
        <f>'Raw data'!G4700</f>
        <v>0</v>
      </c>
      <c r="I4791" s="29" t="e">
        <f>VLOOKUP(G4791,제품명!$C$1:$E$114,2,0)</f>
        <v>#N/A</v>
      </c>
      <c r="J4791" s="29">
        <f>'Raw data'!K4700</f>
        <v>0</v>
      </c>
      <c r="K4791" s="31">
        <f>'Raw data'!H4700</f>
        <v>0</v>
      </c>
      <c r="L4791" s="26">
        <f t="shared" si="152"/>
        <v>0</v>
      </c>
    </row>
    <row r="4792" spans="2:12">
      <c r="B4792" s="4" t="e">
        <f t="shared" si="151"/>
        <v>#N/A</v>
      </c>
      <c r="C4792" s="4">
        <f>'Raw data'!E4368</f>
        <v>0</v>
      </c>
      <c r="D4792" s="29" t="e">
        <f>VLOOKUP(C4792,'점포코드 '!A:B,2,0)</f>
        <v>#N/A</v>
      </c>
      <c r="E4792" s="30">
        <f>'Raw data'!P4368</f>
        <v>0</v>
      </c>
      <c r="F4792" s="29" t="e">
        <f>VLOOKUP(E4792,'점포코드 '!A:B,2,0)</f>
        <v>#N/A</v>
      </c>
      <c r="G4792" s="46">
        <f>'Raw data'!F4701</f>
        <v>0</v>
      </c>
      <c r="H4792" s="4">
        <f>'Raw data'!G4701</f>
        <v>0</v>
      </c>
      <c r="I4792" s="29" t="e">
        <f>VLOOKUP(G4792,제품명!$C$1:$E$114,2,0)</f>
        <v>#N/A</v>
      </c>
      <c r="J4792" s="29">
        <f>'Raw data'!K4701</f>
        <v>0</v>
      </c>
      <c r="K4792" s="31">
        <f>'Raw data'!H4701</f>
        <v>0</v>
      </c>
      <c r="L4792" s="26">
        <f t="shared" si="152"/>
        <v>0</v>
      </c>
    </row>
    <row r="4793" spans="2:12">
      <c r="B4793" s="4" t="e">
        <f t="shared" si="151"/>
        <v>#N/A</v>
      </c>
      <c r="C4793" s="4">
        <f>'Raw data'!E4369</f>
        <v>0</v>
      </c>
      <c r="D4793" s="29" t="e">
        <f>VLOOKUP(C4793,'점포코드 '!A:B,2,0)</f>
        <v>#N/A</v>
      </c>
      <c r="E4793" s="30">
        <f>'Raw data'!P4369</f>
        <v>0</v>
      </c>
      <c r="F4793" s="29" t="e">
        <f>VLOOKUP(E4793,'점포코드 '!A:B,2,0)</f>
        <v>#N/A</v>
      </c>
      <c r="G4793" s="46">
        <f>'Raw data'!F4702</f>
        <v>0</v>
      </c>
      <c r="H4793" s="4">
        <f>'Raw data'!G4702</f>
        <v>0</v>
      </c>
      <c r="I4793" s="29" t="e">
        <f>VLOOKUP(G4793,제품명!$C$1:$E$114,2,0)</f>
        <v>#N/A</v>
      </c>
      <c r="J4793" s="29">
        <f>'Raw data'!K4702</f>
        <v>0</v>
      </c>
      <c r="K4793" s="31">
        <f>'Raw data'!H4702</f>
        <v>0</v>
      </c>
      <c r="L4793" s="26">
        <f t="shared" si="152"/>
        <v>0</v>
      </c>
    </row>
    <row r="4794" spans="2:12">
      <c r="B4794" s="4" t="e">
        <f t="shared" si="151"/>
        <v>#N/A</v>
      </c>
      <c r="C4794" s="4">
        <f>'Raw data'!E4370</f>
        <v>0</v>
      </c>
      <c r="D4794" s="29" t="e">
        <f>VLOOKUP(C4794,'점포코드 '!A:B,2,0)</f>
        <v>#N/A</v>
      </c>
      <c r="E4794" s="30">
        <f>'Raw data'!P4370</f>
        <v>0</v>
      </c>
      <c r="F4794" s="29" t="e">
        <f>VLOOKUP(E4794,'점포코드 '!A:B,2,0)</f>
        <v>#N/A</v>
      </c>
      <c r="G4794" s="46">
        <f>'Raw data'!F4703</f>
        <v>0</v>
      </c>
      <c r="H4794" s="4">
        <f>'Raw data'!G4703</f>
        <v>0</v>
      </c>
      <c r="I4794" s="29" t="e">
        <f>VLOOKUP(G4794,제품명!$C$1:$E$114,2,0)</f>
        <v>#N/A</v>
      </c>
      <c r="J4794" s="29">
        <f>'Raw data'!K4703</f>
        <v>0</v>
      </c>
      <c r="K4794" s="31">
        <f>'Raw data'!H4703</f>
        <v>0</v>
      </c>
      <c r="L4794" s="26">
        <f t="shared" si="152"/>
        <v>0</v>
      </c>
    </row>
    <row r="4795" spans="2:12">
      <c r="B4795" s="4" t="e">
        <f t="shared" si="151"/>
        <v>#N/A</v>
      </c>
      <c r="C4795" s="4">
        <f>'Raw data'!E4371</f>
        <v>0</v>
      </c>
      <c r="D4795" s="29" t="e">
        <f>VLOOKUP(C4795,'점포코드 '!A:B,2,0)</f>
        <v>#N/A</v>
      </c>
      <c r="E4795" s="30">
        <f>'Raw data'!P4371</f>
        <v>0</v>
      </c>
      <c r="F4795" s="29" t="e">
        <f>VLOOKUP(E4795,'점포코드 '!A:B,2,0)</f>
        <v>#N/A</v>
      </c>
      <c r="G4795" s="46">
        <f>'Raw data'!F4704</f>
        <v>0</v>
      </c>
      <c r="H4795" s="4">
        <f>'Raw data'!G4704</f>
        <v>0</v>
      </c>
      <c r="I4795" s="29" t="e">
        <f>VLOOKUP(G4795,제품명!$C$1:$E$114,2,0)</f>
        <v>#N/A</v>
      </c>
      <c r="J4795" s="29">
        <f>'Raw data'!K4704</f>
        <v>0</v>
      </c>
      <c r="K4795" s="31">
        <f>'Raw data'!H4704</f>
        <v>0</v>
      </c>
      <c r="L4795" s="26">
        <f t="shared" si="152"/>
        <v>0</v>
      </c>
    </row>
    <row r="4796" spans="2:12">
      <c r="B4796" s="4" t="e">
        <f t="shared" si="151"/>
        <v>#N/A</v>
      </c>
      <c r="C4796" s="4">
        <f>'Raw data'!E4372</f>
        <v>0</v>
      </c>
      <c r="D4796" s="29" t="e">
        <f>VLOOKUP(C4796,'점포코드 '!A:B,2,0)</f>
        <v>#N/A</v>
      </c>
      <c r="E4796" s="30">
        <f>'Raw data'!P4372</f>
        <v>0</v>
      </c>
      <c r="F4796" s="29" t="e">
        <f>VLOOKUP(E4796,'점포코드 '!A:B,2,0)</f>
        <v>#N/A</v>
      </c>
      <c r="G4796" s="46">
        <f>'Raw data'!F4705</f>
        <v>0</v>
      </c>
      <c r="H4796" s="4">
        <f>'Raw data'!G4705</f>
        <v>0</v>
      </c>
      <c r="I4796" s="29" t="e">
        <f>VLOOKUP(G4796,제품명!$C$1:$E$114,2,0)</f>
        <v>#N/A</v>
      </c>
      <c r="J4796" s="29">
        <f>'Raw data'!K4705</f>
        <v>0</v>
      </c>
      <c r="K4796" s="31">
        <f>'Raw data'!H4705</f>
        <v>0</v>
      </c>
      <c r="L4796" s="26">
        <f t="shared" si="152"/>
        <v>0</v>
      </c>
    </row>
    <row r="4797" spans="2:12">
      <c r="B4797" s="4" t="e">
        <f t="shared" si="151"/>
        <v>#N/A</v>
      </c>
      <c r="C4797" s="4">
        <f>'Raw data'!E4373</f>
        <v>0</v>
      </c>
      <c r="D4797" s="29" t="e">
        <f>VLOOKUP(C4797,'점포코드 '!A:B,2,0)</f>
        <v>#N/A</v>
      </c>
      <c r="E4797" s="30">
        <f>'Raw data'!P4373</f>
        <v>0</v>
      </c>
      <c r="F4797" s="29" t="e">
        <f>VLOOKUP(E4797,'점포코드 '!A:B,2,0)</f>
        <v>#N/A</v>
      </c>
      <c r="G4797" s="46">
        <f>'Raw data'!F4706</f>
        <v>0</v>
      </c>
      <c r="H4797" s="4">
        <f>'Raw data'!G4706</f>
        <v>0</v>
      </c>
      <c r="I4797" s="29" t="e">
        <f>VLOOKUP(G4797,제품명!$C$1:$E$114,2,0)</f>
        <v>#N/A</v>
      </c>
      <c r="J4797" s="29">
        <f>'Raw data'!K4706</f>
        <v>0</v>
      </c>
      <c r="K4797" s="31">
        <f>'Raw data'!H4706</f>
        <v>0</v>
      </c>
      <c r="L4797" s="26">
        <f t="shared" si="152"/>
        <v>0</v>
      </c>
    </row>
    <row r="4798" spans="2:12">
      <c r="B4798" s="4" t="e">
        <f t="shared" si="151"/>
        <v>#N/A</v>
      </c>
      <c r="C4798" s="4">
        <f>'Raw data'!E4374</f>
        <v>0</v>
      </c>
      <c r="D4798" s="29" t="e">
        <f>VLOOKUP(C4798,'점포코드 '!A:B,2,0)</f>
        <v>#N/A</v>
      </c>
      <c r="E4798" s="30">
        <f>'Raw data'!P4374</f>
        <v>0</v>
      </c>
      <c r="F4798" s="29" t="e">
        <f>VLOOKUP(E4798,'점포코드 '!A:B,2,0)</f>
        <v>#N/A</v>
      </c>
      <c r="G4798" s="46">
        <f>'Raw data'!F4707</f>
        <v>0</v>
      </c>
      <c r="H4798" s="4">
        <f>'Raw data'!G4707</f>
        <v>0</v>
      </c>
      <c r="I4798" s="29" t="e">
        <f>VLOOKUP(G4798,제품명!$C$1:$E$114,2,0)</f>
        <v>#N/A</v>
      </c>
      <c r="J4798" s="29">
        <f>'Raw data'!K4707</f>
        <v>0</v>
      </c>
      <c r="K4798" s="31">
        <f>'Raw data'!H4707</f>
        <v>0</v>
      </c>
      <c r="L4798" s="26">
        <f t="shared" si="152"/>
        <v>0</v>
      </c>
    </row>
    <row r="4799" spans="2:12">
      <c r="B4799" s="4" t="e">
        <f t="shared" si="151"/>
        <v>#N/A</v>
      </c>
      <c r="C4799" s="4">
        <f>'Raw data'!E4375</f>
        <v>0</v>
      </c>
      <c r="D4799" s="29" t="e">
        <f>VLOOKUP(C4799,'점포코드 '!A:B,2,0)</f>
        <v>#N/A</v>
      </c>
      <c r="E4799" s="30">
        <f>'Raw data'!P4375</f>
        <v>0</v>
      </c>
      <c r="F4799" s="29" t="e">
        <f>VLOOKUP(E4799,'점포코드 '!A:B,2,0)</f>
        <v>#N/A</v>
      </c>
      <c r="G4799" s="46">
        <f>'Raw data'!F4708</f>
        <v>0</v>
      </c>
      <c r="H4799" s="4">
        <f>'Raw data'!G4708</f>
        <v>0</v>
      </c>
      <c r="I4799" s="29" t="e">
        <f>VLOOKUP(G4799,제품명!$C$1:$E$114,2,0)</f>
        <v>#N/A</v>
      </c>
      <c r="J4799" s="29">
        <f>'Raw data'!K4708</f>
        <v>0</v>
      </c>
      <c r="K4799" s="31">
        <f>'Raw data'!H4708</f>
        <v>0</v>
      </c>
      <c r="L4799" s="26">
        <f t="shared" si="152"/>
        <v>0</v>
      </c>
    </row>
    <row r="4800" spans="2:12">
      <c r="B4800" s="4" t="e">
        <f t="shared" si="151"/>
        <v>#N/A</v>
      </c>
      <c r="C4800" s="4">
        <f>'Raw data'!E4376</f>
        <v>0</v>
      </c>
      <c r="D4800" s="29" t="e">
        <f>VLOOKUP(C4800,'점포코드 '!A:B,2,0)</f>
        <v>#N/A</v>
      </c>
      <c r="E4800" s="30">
        <f>'Raw data'!P4376</f>
        <v>0</v>
      </c>
      <c r="F4800" s="29" t="e">
        <f>VLOOKUP(E4800,'점포코드 '!A:B,2,0)</f>
        <v>#N/A</v>
      </c>
      <c r="G4800" s="46">
        <f>'Raw data'!F4709</f>
        <v>0</v>
      </c>
      <c r="H4800" s="4">
        <f>'Raw data'!G4709</f>
        <v>0</v>
      </c>
      <c r="I4800" s="29" t="e">
        <f>VLOOKUP(G4800,제품명!$C$1:$E$114,2,0)</f>
        <v>#N/A</v>
      </c>
      <c r="J4800" s="29">
        <f>'Raw data'!K4709</f>
        <v>0</v>
      </c>
      <c r="K4800" s="31">
        <f>'Raw data'!H4709</f>
        <v>0</v>
      </c>
      <c r="L4800" s="26">
        <f t="shared" si="152"/>
        <v>0</v>
      </c>
    </row>
    <row r="4801" spans="2:12">
      <c r="B4801" s="4" t="e">
        <f t="shared" si="151"/>
        <v>#N/A</v>
      </c>
      <c r="C4801" s="4">
        <f>'Raw data'!E4377</f>
        <v>0</v>
      </c>
      <c r="D4801" s="29" t="e">
        <f>VLOOKUP(C4801,'점포코드 '!A:B,2,0)</f>
        <v>#N/A</v>
      </c>
      <c r="E4801" s="30">
        <f>'Raw data'!P4377</f>
        <v>0</v>
      </c>
      <c r="F4801" s="29" t="e">
        <f>VLOOKUP(E4801,'점포코드 '!A:B,2,0)</f>
        <v>#N/A</v>
      </c>
      <c r="G4801" s="46">
        <f>'Raw data'!F4710</f>
        <v>0</v>
      </c>
      <c r="H4801" s="4">
        <f>'Raw data'!G4710</f>
        <v>0</v>
      </c>
      <c r="I4801" s="29" t="e">
        <f>VLOOKUP(G4801,제품명!$C$1:$E$114,2,0)</f>
        <v>#N/A</v>
      </c>
      <c r="J4801" s="29">
        <f>'Raw data'!K4710</f>
        <v>0</v>
      </c>
      <c r="K4801" s="31">
        <f>'Raw data'!H4710</f>
        <v>0</v>
      </c>
      <c r="L4801" s="26">
        <f t="shared" si="152"/>
        <v>0</v>
      </c>
    </row>
    <row r="4802" spans="2:12">
      <c r="B4802" s="4" t="e">
        <f t="shared" ref="B4802:B4865" si="153">F4802&amp;I4802</f>
        <v>#N/A</v>
      </c>
      <c r="C4802" s="4">
        <f>'Raw data'!E4378</f>
        <v>0</v>
      </c>
      <c r="D4802" s="29" t="e">
        <f>VLOOKUP(C4802,'점포코드 '!A:B,2,0)</f>
        <v>#N/A</v>
      </c>
      <c r="E4802" s="30">
        <f>'Raw data'!P4378</f>
        <v>0</v>
      </c>
      <c r="F4802" s="29" t="e">
        <f>VLOOKUP(E4802,'점포코드 '!A:B,2,0)</f>
        <v>#N/A</v>
      </c>
      <c r="G4802" s="46">
        <f>'Raw data'!F4711</f>
        <v>0</v>
      </c>
      <c r="H4802" s="4">
        <f>'Raw data'!G4711</f>
        <v>0</v>
      </c>
      <c r="I4802" s="29" t="e">
        <f>VLOOKUP(G4802,제품명!$C$1:$E$114,2,0)</f>
        <v>#N/A</v>
      </c>
      <c r="J4802" s="29">
        <f>'Raw data'!K4711</f>
        <v>0</v>
      </c>
      <c r="K4802" s="31">
        <f>'Raw data'!H4711</f>
        <v>0</v>
      </c>
      <c r="L4802" s="26">
        <f t="shared" si="152"/>
        <v>0</v>
      </c>
    </row>
    <row r="4803" spans="2:12">
      <c r="B4803" s="4" t="e">
        <f t="shared" si="153"/>
        <v>#N/A</v>
      </c>
      <c r="C4803" s="4">
        <f>'Raw data'!E4379</f>
        <v>0</v>
      </c>
      <c r="D4803" s="29" t="e">
        <f>VLOOKUP(C4803,'점포코드 '!A:B,2,0)</f>
        <v>#N/A</v>
      </c>
      <c r="E4803" s="30">
        <f>'Raw data'!P4379</f>
        <v>0</v>
      </c>
      <c r="F4803" s="29" t="e">
        <f>VLOOKUP(E4803,'점포코드 '!A:B,2,0)</f>
        <v>#N/A</v>
      </c>
      <c r="G4803" s="46">
        <f>'Raw data'!F4712</f>
        <v>0</v>
      </c>
      <c r="H4803" s="4">
        <f>'Raw data'!G4712</f>
        <v>0</v>
      </c>
      <c r="I4803" s="29" t="e">
        <f>VLOOKUP(G4803,제품명!$C$1:$E$114,2,0)</f>
        <v>#N/A</v>
      </c>
      <c r="J4803" s="29">
        <f>'Raw data'!K4712</f>
        <v>0</v>
      </c>
      <c r="K4803" s="31">
        <f>'Raw data'!H4712</f>
        <v>0</v>
      </c>
      <c r="L4803" s="26">
        <f t="shared" ref="L4803:L4866" si="154">J4803*K4803</f>
        <v>0</v>
      </c>
    </row>
    <row r="4804" spans="2:12">
      <c r="B4804" s="4" t="e">
        <f t="shared" si="153"/>
        <v>#N/A</v>
      </c>
      <c r="C4804" s="4">
        <f>'Raw data'!E4380</f>
        <v>0</v>
      </c>
      <c r="D4804" s="29" t="e">
        <f>VLOOKUP(C4804,'점포코드 '!A:B,2,0)</f>
        <v>#N/A</v>
      </c>
      <c r="E4804" s="30">
        <f>'Raw data'!P4380</f>
        <v>0</v>
      </c>
      <c r="F4804" s="29" t="e">
        <f>VLOOKUP(E4804,'점포코드 '!A:B,2,0)</f>
        <v>#N/A</v>
      </c>
      <c r="G4804" s="46">
        <f>'Raw data'!F4713</f>
        <v>0</v>
      </c>
      <c r="H4804" s="4">
        <f>'Raw data'!G4713</f>
        <v>0</v>
      </c>
      <c r="I4804" s="29" t="e">
        <f>VLOOKUP(G4804,제품명!$C$1:$E$114,2,0)</f>
        <v>#N/A</v>
      </c>
      <c r="J4804" s="29">
        <f>'Raw data'!K4713</f>
        <v>0</v>
      </c>
      <c r="K4804" s="31">
        <f>'Raw data'!H4713</f>
        <v>0</v>
      </c>
      <c r="L4804" s="26">
        <f t="shared" si="154"/>
        <v>0</v>
      </c>
    </row>
    <row r="4805" spans="2:12">
      <c r="B4805" s="4" t="e">
        <f t="shared" si="153"/>
        <v>#N/A</v>
      </c>
      <c r="C4805" s="4">
        <f>'Raw data'!E4381</f>
        <v>0</v>
      </c>
      <c r="D4805" s="29" t="e">
        <f>VLOOKUP(C4805,'점포코드 '!A:B,2,0)</f>
        <v>#N/A</v>
      </c>
      <c r="E4805" s="30">
        <f>'Raw data'!P4381</f>
        <v>0</v>
      </c>
      <c r="F4805" s="29" t="e">
        <f>VLOOKUP(E4805,'점포코드 '!A:B,2,0)</f>
        <v>#N/A</v>
      </c>
      <c r="G4805" s="46">
        <f>'Raw data'!F4714</f>
        <v>0</v>
      </c>
      <c r="H4805" s="4">
        <f>'Raw data'!G4714</f>
        <v>0</v>
      </c>
      <c r="I4805" s="29" t="e">
        <f>VLOOKUP(G4805,제품명!$C$1:$E$114,2,0)</f>
        <v>#N/A</v>
      </c>
      <c r="J4805" s="29">
        <f>'Raw data'!K4714</f>
        <v>0</v>
      </c>
      <c r="K4805" s="31">
        <f>'Raw data'!H4714</f>
        <v>0</v>
      </c>
      <c r="L4805" s="26">
        <f t="shared" si="154"/>
        <v>0</v>
      </c>
    </row>
    <row r="4806" spans="2:12">
      <c r="B4806" s="4" t="e">
        <f t="shared" si="153"/>
        <v>#N/A</v>
      </c>
      <c r="C4806" s="4">
        <f>'Raw data'!E4382</f>
        <v>0</v>
      </c>
      <c r="D4806" s="29" t="e">
        <f>VLOOKUP(C4806,'점포코드 '!A:B,2,0)</f>
        <v>#N/A</v>
      </c>
      <c r="E4806" s="30">
        <f>'Raw data'!P4382</f>
        <v>0</v>
      </c>
      <c r="F4806" s="29" t="e">
        <f>VLOOKUP(E4806,'점포코드 '!A:B,2,0)</f>
        <v>#N/A</v>
      </c>
      <c r="G4806" s="46">
        <f>'Raw data'!F4715</f>
        <v>0</v>
      </c>
      <c r="H4806" s="4">
        <f>'Raw data'!G4715</f>
        <v>0</v>
      </c>
      <c r="I4806" s="29" t="e">
        <f>VLOOKUP(G4806,제품명!$C$1:$E$114,2,0)</f>
        <v>#N/A</v>
      </c>
      <c r="J4806" s="29">
        <f>'Raw data'!K4715</f>
        <v>0</v>
      </c>
      <c r="K4806" s="31">
        <f>'Raw data'!H4715</f>
        <v>0</v>
      </c>
      <c r="L4806" s="26">
        <f t="shared" si="154"/>
        <v>0</v>
      </c>
    </row>
    <row r="4807" spans="2:12">
      <c r="B4807" s="4" t="e">
        <f t="shared" si="153"/>
        <v>#N/A</v>
      </c>
      <c r="C4807" s="4">
        <f>'Raw data'!E4383</f>
        <v>0</v>
      </c>
      <c r="D4807" s="29" t="e">
        <f>VLOOKUP(C4807,'점포코드 '!A:B,2,0)</f>
        <v>#N/A</v>
      </c>
      <c r="E4807" s="30">
        <f>'Raw data'!P4383</f>
        <v>0</v>
      </c>
      <c r="F4807" s="29" t="e">
        <f>VLOOKUP(E4807,'점포코드 '!A:B,2,0)</f>
        <v>#N/A</v>
      </c>
      <c r="G4807" s="46">
        <f>'Raw data'!F4716</f>
        <v>0</v>
      </c>
      <c r="H4807" s="4">
        <f>'Raw data'!G4716</f>
        <v>0</v>
      </c>
      <c r="I4807" s="29" t="e">
        <f>VLOOKUP(G4807,제품명!$C$1:$E$114,2,0)</f>
        <v>#N/A</v>
      </c>
      <c r="J4807" s="29">
        <f>'Raw data'!K4716</f>
        <v>0</v>
      </c>
      <c r="K4807" s="31">
        <f>'Raw data'!H4716</f>
        <v>0</v>
      </c>
      <c r="L4807" s="26">
        <f t="shared" si="154"/>
        <v>0</v>
      </c>
    </row>
    <row r="4808" spans="2:12">
      <c r="B4808" s="4" t="e">
        <f t="shared" si="153"/>
        <v>#N/A</v>
      </c>
      <c r="C4808" s="4">
        <f>'Raw data'!E4384</f>
        <v>0</v>
      </c>
      <c r="D4808" s="29" t="e">
        <f>VLOOKUP(C4808,'점포코드 '!A:B,2,0)</f>
        <v>#N/A</v>
      </c>
      <c r="E4808" s="30">
        <f>'Raw data'!P4384</f>
        <v>0</v>
      </c>
      <c r="F4808" s="29" t="e">
        <f>VLOOKUP(E4808,'점포코드 '!A:B,2,0)</f>
        <v>#N/A</v>
      </c>
      <c r="G4808" s="46">
        <f>'Raw data'!F4717</f>
        <v>0</v>
      </c>
      <c r="H4808" s="4">
        <f>'Raw data'!G4717</f>
        <v>0</v>
      </c>
      <c r="I4808" s="29" t="e">
        <f>VLOOKUP(G4808,제품명!$C$1:$E$114,2,0)</f>
        <v>#N/A</v>
      </c>
      <c r="J4808" s="29">
        <f>'Raw data'!K4717</f>
        <v>0</v>
      </c>
      <c r="K4808" s="31">
        <f>'Raw data'!H4717</f>
        <v>0</v>
      </c>
      <c r="L4808" s="26">
        <f t="shared" si="154"/>
        <v>0</v>
      </c>
    </row>
    <row r="4809" spans="2:12">
      <c r="B4809" s="4" t="e">
        <f t="shared" si="153"/>
        <v>#N/A</v>
      </c>
      <c r="C4809" s="4">
        <f>'Raw data'!E4385</f>
        <v>0</v>
      </c>
      <c r="D4809" s="29" t="e">
        <f>VLOOKUP(C4809,'점포코드 '!A:B,2,0)</f>
        <v>#N/A</v>
      </c>
      <c r="E4809" s="30">
        <f>'Raw data'!P4385</f>
        <v>0</v>
      </c>
      <c r="F4809" s="29" t="e">
        <f>VLOOKUP(E4809,'점포코드 '!A:B,2,0)</f>
        <v>#N/A</v>
      </c>
      <c r="G4809" s="46">
        <f>'Raw data'!F4718</f>
        <v>0</v>
      </c>
      <c r="H4809" s="4">
        <f>'Raw data'!G4718</f>
        <v>0</v>
      </c>
      <c r="I4809" s="29" t="e">
        <f>VLOOKUP(G4809,제품명!$C$1:$E$114,2,0)</f>
        <v>#N/A</v>
      </c>
      <c r="J4809" s="29">
        <f>'Raw data'!K4718</f>
        <v>0</v>
      </c>
      <c r="K4809" s="31">
        <f>'Raw data'!H4718</f>
        <v>0</v>
      </c>
      <c r="L4809" s="26">
        <f t="shared" si="154"/>
        <v>0</v>
      </c>
    </row>
    <row r="4810" spans="2:12">
      <c r="B4810" s="4" t="e">
        <f t="shared" si="153"/>
        <v>#N/A</v>
      </c>
      <c r="C4810" s="4">
        <f>'Raw data'!E4386</f>
        <v>0</v>
      </c>
      <c r="D4810" s="29" t="e">
        <f>VLOOKUP(C4810,'점포코드 '!A:B,2,0)</f>
        <v>#N/A</v>
      </c>
      <c r="E4810" s="30">
        <f>'Raw data'!P4386</f>
        <v>0</v>
      </c>
      <c r="F4810" s="29" t="e">
        <f>VLOOKUP(E4810,'점포코드 '!A:B,2,0)</f>
        <v>#N/A</v>
      </c>
      <c r="G4810" s="46">
        <f>'Raw data'!F4719</f>
        <v>0</v>
      </c>
      <c r="H4810" s="4">
        <f>'Raw data'!G4719</f>
        <v>0</v>
      </c>
      <c r="I4810" s="29" t="e">
        <f>VLOOKUP(G4810,제품명!$C$1:$E$114,2,0)</f>
        <v>#N/A</v>
      </c>
      <c r="J4810" s="29">
        <f>'Raw data'!K4719</f>
        <v>0</v>
      </c>
      <c r="K4810" s="31">
        <f>'Raw data'!H4719</f>
        <v>0</v>
      </c>
      <c r="L4810" s="26">
        <f t="shared" si="154"/>
        <v>0</v>
      </c>
    </row>
    <row r="4811" spans="2:12">
      <c r="B4811" s="4" t="e">
        <f t="shared" si="153"/>
        <v>#N/A</v>
      </c>
      <c r="C4811" s="4">
        <f>'Raw data'!E4387</f>
        <v>0</v>
      </c>
      <c r="D4811" s="29" t="e">
        <f>VLOOKUP(C4811,'점포코드 '!A:B,2,0)</f>
        <v>#N/A</v>
      </c>
      <c r="E4811" s="30">
        <f>'Raw data'!P4387</f>
        <v>0</v>
      </c>
      <c r="F4811" s="29" t="e">
        <f>VLOOKUP(E4811,'점포코드 '!A:B,2,0)</f>
        <v>#N/A</v>
      </c>
      <c r="G4811" s="46">
        <f>'Raw data'!F4720</f>
        <v>0</v>
      </c>
      <c r="H4811" s="4">
        <f>'Raw data'!G4720</f>
        <v>0</v>
      </c>
      <c r="I4811" s="29" t="e">
        <f>VLOOKUP(G4811,제품명!$C$1:$E$114,2,0)</f>
        <v>#N/A</v>
      </c>
      <c r="J4811" s="29">
        <f>'Raw data'!K4720</f>
        <v>0</v>
      </c>
      <c r="K4811" s="31">
        <f>'Raw data'!H4720</f>
        <v>0</v>
      </c>
      <c r="L4811" s="26">
        <f t="shared" si="154"/>
        <v>0</v>
      </c>
    </row>
    <row r="4812" spans="2:12">
      <c r="B4812" s="4" t="e">
        <f t="shared" si="153"/>
        <v>#N/A</v>
      </c>
      <c r="C4812" s="4">
        <f>'Raw data'!E4388</f>
        <v>0</v>
      </c>
      <c r="D4812" s="29" t="e">
        <f>VLOOKUP(C4812,'점포코드 '!A:B,2,0)</f>
        <v>#N/A</v>
      </c>
      <c r="E4812" s="30">
        <f>'Raw data'!P4388</f>
        <v>0</v>
      </c>
      <c r="F4812" s="29" t="e">
        <f>VLOOKUP(E4812,'점포코드 '!A:B,2,0)</f>
        <v>#N/A</v>
      </c>
      <c r="G4812" s="46">
        <f>'Raw data'!F4721</f>
        <v>0</v>
      </c>
      <c r="H4812" s="4">
        <f>'Raw data'!G4721</f>
        <v>0</v>
      </c>
      <c r="I4812" s="29" t="e">
        <f>VLOOKUP(G4812,제품명!$C$1:$E$114,2,0)</f>
        <v>#N/A</v>
      </c>
      <c r="J4812" s="29">
        <f>'Raw data'!K4721</f>
        <v>0</v>
      </c>
      <c r="K4812" s="31">
        <f>'Raw data'!H4721</f>
        <v>0</v>
      </c>
      <c r="L4812" s="26">
        <f t="shared" si="154"/>
        <v>0</v>
      </c>
    </row>
    <row r="4813" spans="2:12">
      <c r="B4813" s="4" t="e">
        <f t="shared" si="153"/>
        <v>#N/A</v>
      </c>
      <c r="C4813" s="4">
        <f>'Raw data'!E4389</f>
        <v>0</v>
      </c>
      <c r="D4813" s="29" t="e">
        <f>VLOOKUP(C4813,'점포코드 '!A:B,2,0)</f>
        <v>#N/A</v>
      </c>
      <c r="E4813" s="30">
        <f>'Raw data'!P4389</f>
        <v>0</v>
      </c>
      <c r="F4813" s="29" t="e">
        <f>VLOOKUP(E4813,'점포코드 '!A:B,2,0)</f>
        <v>#N/A</v>
      </c>
      <c r="G4813" s="46">
        <f>'Raw data'!F4722</f>
        <v>0</v>
      </c>
      <c r="H4813" s="4">
        <f>'Raw data'!G4722</f>
        <v>0</v>
      </c>
      <c r="I4813" s="29" t="e">
        <f>VLOOKUP(G4813,제품명!$C$1:$E$114,2,0)</f>
        <v>#N/A</v>
      </c>
      <c r="J4813" s="29">
        <f>'Raw data'!K4722</f>
        <v>0</v>
      </c>
      <c r="K4813" s="31">
        <f>'Raw data'!H4722</f>
        <v>0</v>
      </c>
      <c r="L4813" s="26">
        <f t="shared" si="154"/>
        <v>0</v>
      </c>
    </row>
    <row r="4814" spans="2:12">
      <c r="B4814" s="4" t="e">
        <f t="shared" si="153"/>
        <v>#N/A</v>
      </c>
      <c r="C4814" s="4">
        <f>'Raw data'!E4390</f>
        <v>0</v>
      </c>
      <c r="D4814" s="29" t="e">
        <f>VLOOKUP(C4814,'점포코드 '!A:B,2,0)</f>
        <v>#N/A</v>
      </c>
      <c r="E4814" s="30">
        <f>'Raw data'!P4390</f>
        <v>0</v>
      </c>
      <c r="F4814" s="29" t="e">
        <f>VLOOKUP(E4814,'점포코드 '!A:B,2,0)</f>
        <v>#N/A</v>
      </c>
      <c r="G4814" s="46">
        <f>'Raw data'!F4723</f>
        <v>0</v>
      </c>
      <c r="H4814" s="4">
        <f>'Raw data'!G4723</f>
        <v>0</v>
      </c>
      <c r="I4814" s="29" t="e">
        <f>VLOOKUP(G4814,제품명!$C$1:$E$114,2,0)</f>
        <v>#N/A</v>
      </c>
      <c r="J4814" s="29">
        <f>'Raw data'!K4723</f>
        <v>0</v>
      </c>
      <c r="K4814" s="31">
        <f>'Raw data'!H4723</f>
        <v>0</v>
      </c>
      <c r="L4814" s="26">
        <f t="shared" si="154"/>
        <v>0</v>
      </c>
    </row>
    <row r="4815" spans="2:12">
      <c r="B4815" s="4" t="e">
        <f t="shared" si="153"/>
        <v>#N/A</v>
      </c>
      <c r="C4815" s="4">
        <f>'Raw data'!E4391</f>
        <v>0</v>
      </c>
      <c r="D4815" s="29" t="e">
        <f>VLOOKUP(C4815,'점포코드 '!A:B,2,0)</f>
        <v>#N/A</v>
      </c>
      <c r="E4815" s="30">
        <f>'Raw data'!P4391</f>
        <v>0</v>
      </c>
      <c r="F4815" s="29" t="e">
        <f>VLOOKUP(E4815,'점포코드 '!A:B,2,0)</f>
        <v>#N/A</v>
      </c>
      <c r="G4815" s="46">
        <f>'Raw data'!F4724</f>
        <v>0</v>
      </c>
      <c r="H4815" s="4">
        <f>'Raw data'!G4724</f>
        <v>0</v>
      </c>
      <c r="I4815" s="29" t="e">
        <f>VLOOKUP(G4815,제품명!$C$1:$E$114,2,0)</f>
        <v>#N/A</v>
      </c>
      <c r="J4815" s="29">
        <f>'Raw data'!K4724</f>
        <v>0</v>
      </c>
      <c r="K4815" s="31">
        <f>'Raw data'!H4724</f>
        <v>0</v>
      </c>
      <c r="L4815" s="26">
        <f t="shared" si="154"/>
        <v>0</v>
      </c>
    </row>
    <row r="4816" spans="2:12">
      <c r="B4816" s="4" t="e">
        <f t="shared" si="153"/>
        <v>#N/A</v>
      </c>
      <c r="C4816" s="4">
        <f>'Raw data'!E4392</f>
        <v>0</v>
      </c>
      <c r="D4816" s="29" t="e">
        <f>VLOOKUP(C4816,'점포코드 '!A:B,2,0)</f>
        <v>#N/A</v>
      </c>
      <c r="E4816" s="30">
        <f>'Raw data'!P4392</f>
        <v>0</v>
      </c>
      <c r="F4816" s="29" t="e">
        <f>VLOOKUP(E4816,'점포코드 '!A:B,2,0)</f>
        <v>#N/A</v>
      </c>
      <c r="G4816" s="46">
        <f>'Raw data'!F4725</f>
        <v>0</v>
      </c>
      <c r="H4816" s="4">
        <f>'Raw data'!G4725</f>
        <v>0</v>
      </c>
      <c r="I4816" s="29" t="e">
        <f>VLOOKUP(G4816,제품명!$C$1:$E$114,2,0)</f>
        <v>#N/A</v>
      </c>
      <c r="J4816" s="29">
        <f>'Raw data'!K4725</f>
        <v>0</v>
      </c>
      <c r="K4816" s="31">
        <f>'Raw data'!H4725</f>
        <v>0</v>
      </c>
      <c r="L4816" s="26">
        <f t="shared" si="154"/>
        <v>0</v>
      </c>
    </row>
    <row r="4817" spans="2:12">
      <c r="B4817" s="4" t="e">
        <f t="shared" si="153"/>
        <v>#N/A</v>
      </c>
      <c r="C4817" s="4">
        <f>'Raw data'!E4393</f>
        <v>0</v>
      </c>
      <c r="D4817" s="29" t="e">
        <f>VLOOKUP(C4817,'점포코드 '!A:B,2,0)</f>
        <v>#N/A</v>
      </c>
      <c r="E4817" s="30">
        <f>'Raw data'!P4393</f>
        <v>0</v>
      </c>
      <c r="F4817" s="29" t="e">
        <f>VLOOKUP(E4817,'점포코드 '!A:B,2,0)</f>
        <v>#N/A</v>
      </c>
      <c r="G4817" s="46">
        <f>'Raw data'!F4726</f>
        <v>0</v>
      </c>
      <c r="H4817" s="4">
        <f>'Raw data'!G4726</f>
        <v>0</v>
      </c>
      <c r="I4817" s="29" t="e">
        <f>VLOOKUP(G4817,제품명!$C$1:$E$114,2,0)</f>
        <v>#N/A</v>
      </c>
      <c r="J4817" s="29">
        <f>'Raw data'!K4726</f>
        <v>0</v>
      </c>
      <c r="K4817" s="31">
        <f>'Raw data'!H4726</f>
        <v>0</v>
      </c>
      <c r="L4817" s="26">
        <f t="shared" si="154"/>
        <v>0</v>
      </c>
    </row>
    <row r="4818" spans="2:12">
      <c r="B4818" s="4" t="e">
        <f t="shared" si="153"/>
        <v>#N/A</v>
      </c>
      <c r="C4818" s="4">
        <f>'Raw data'!E4394</f>
        <v>0</v>
      </c>
      <c r="D4818" s="29" t="e">
        <f>VLOOKUP(C4818,'점포코드 '!A:B,2,0)</f>
        <v>#N/A</v>
      </c>
      <c r="E4818" s="30">
        <f>'Raw data'!P4394</f>
        <v>0</v>
      </c>
      <c r="F4818" s="29" t="e">
        <f>VLOOKUP(E4818,'점포코드 '!A:B,2,0)</f>
        <v>#N/A</v>
      </c>
      <c r="G4818" s="46">
        <f>'Raw data'!F4727</f>
        <v>0</v>
      </c>
      <c r="H4818" s="4">
        <f>'Raw data'!G4727</f>
        <v>0</v>
      </c>
      <c r="I4818" s="29" t="e">
        <f>VLOOKUP(G4818,제품명!$C$1:$E$114,2,0)</f>
        <v>#N/A</v>
      </c>
      <c r="J4818" s="29">
        <f>'Raw data'!K4727</f>
        <v>0</v>
      </c>
      <c r="K4818" s="31">
        <f>'Raw data'!H4727</f>
        <v>0</v>
      </c>
      <c r="L4818" s="26">
        <f t="shared" si="154"/>
        <v>0</v>
      </c>
    </row>
    <row r="4819" spans="2:12">
      <c r="B4819" s="4" t="e">
        <f t="shared" si="153"/>
        <v>#N/A</v>
      </c>
      <c r="C4819" s="4">
        <f>'Raw data'!E4395</f>
        <v>0</v>
      </c>
      <c r="D4819" s="29" t="e">
        <f>VLOOKUP(C4819,'점포코드 '!A:B,2,0)</f>
        <v>#N/A</v>
      </c>
      <c r="E4819" s="30">
        <f>'Raw data'!P4395</f>
        <v>0</v>
      </c>
      <c r="F4819" s="29" t="e">
        <f>VLOOKUP(E4819,'점포코드 '!A:B,2,0)</f>
        <v>#N/A</v>
      </c>
      <c r="G4819" s="46">
        <f>'Raw data'!F4728</f>
        <v>0</v>
      </c>
      <c r="H4819" s="4">
        <f>'Raw data'!G4728</f>
        <v>0</v>
      </c>
      <c r="I4819" s="29" t="e">
        <f>VLOOKUP(G4819,제품명!$C$1:$E$114,2,0)</f>
        <v>#N/A</v>
      </c>
      <c r="J4819" s="29">
        <f>'Raw data'!K4728</f>
        <v>0</v>
      </c>
      <c r="K4819" s="31">
        <f>'Raw data'!H4728</f>
        <v>0</v>
      </c>
      <c r="L4819" s="26">
        <f t="shared" si="154"/>
        <v>0</v>
      </c>
    </row>
    <row r="4820" spans="2:12">
      <c r="B4820" s="4" t="e">
        <f t="shared" si="153"/>
        <v>#N/A</v>
      </c>
      <c r="C4820" s="4">
        <f>'Raw data'!E4396</f>
        <v>0</v>
      </c>
      <c r="D4820" s="29" t="e">
        <f>VLOOKUP(C4820,'점포코드 '!A:B,2,0)</f>
        <v>#N/A</v>
      </c>
      <c r="E4820" s="30">
        <f>'Raw data'!P4396</f>
        <v>0</v>
      </c>
      <c r="F4820" s="29" t="e">
        <f>VLOOKUP(E4820,'점포코드 '!A:B,2,0)</f>
        <v>#N/A</v>
      </c>
      <c r="G4820" s="46">
        <f>'Raw data'!F4729</f>
        <v>0</v>
      </c>
      <c r="H4820" s="4">
        <f>'Raw data'!G4729</f>
        <v>0</v>
      </c>
      <c r="I4820" s="29" t="e">
        <f>VLOOKUP(G4820,제품명!$C$1:$E$114,2,0)</f>
        <v>#N/A</v>
      </c>
      <c r="J4820" s="29">
        <f>'Raw data'!K4729</f>
        <v>0</v>
      </c>
      <c r="K4820" s="31">
        <f>'Raw data'!H4729</f>
        <v>0</v>
      </c>
      <c r="L4820" s="26">
        <f t="shared" si="154"/>
        <v>0</v>
      </c>
    </row>
    <row r="4821" spans="2:12">
      <c r="B4821" s="4" t="e">
        <f t="shared" si="153"/>
        <v>#N/A</v>
      </c>
      <c r="C4821" s="4">
        <f>'Raw data'!E4397</f>
        <v>0</v>
      </c>
      <c r="D4821" s="29" t="e">
        <f>VLOOKUP(C4821,'점포코드 '!A:B,2,0)</f>
        <v>#N/A</v>
      </c>
      <c r="E4821" s="30">
        <f>'Raw data'!P4397</f>
        <v>0</v>
      </c>
      <c r="F4821" s="29" t="e">
        <f>VLOOKUP(E4821,'점포코드 '!A:B,2,0)</f>
        <v>#N/A</v>
      </c>
      <c r="G4821" s="46">
        <f>'Raw data'!F4730</f>
        <v>0</v>
      </c>
      <c r="H4821" s="4">
        <f>'Raw data'!G4730</f>
        <v>0</v>
      </c>
      <c r="I4821" s="29" t="e">
        <f>VLOOKUP(G4821,제품명!$C$1:$E$114,2,0)</f>
        <v>#N/A</v>
      </c>
      <c r="J4821" s="29">
        <f>'Raw data'!K4730</f>
        <v>0</v>
      </c>
      <c r="K4821" s="31">
        <f>'Raw data'!H4730</f>
        <v>0</v>
      </c>
      <c r="L4821" s="26">
        <f t="shared" si="154"/>
        <v>0</v>
      </c>
    </row>
    <row r="4822" spans="2:12">
      <c r="B4822" s="4" t="e">
        <f t="shared" si="153"/>
        <v>#N/A</v>
      </c>
      <c r="C4822" s="4">
        <f>'Raw data'!E4398</f>
        <v>0</v>
      </c>
      <c r="D4822" s="29" t="e">
        <f>VLOOKUP(C4822,'점포코드 '!A:B,2,0)</f>
        <v>#N/A</v>
      </c>
      <c r="E4822" s="30">
        <f>'Raw data'!P4398</f>
        <v>0</v>
      </c>
      <c r="F4822" s="29" t="e">
        <f>VLOOKUP(E4822,'점포코드 '!A:B,2,0)</f>
        <v>#N/A</v>
      </c>
      <c r="G4822" s="46">
        <f>'Raw data'!F4731</f>
        <v>0</v>
      </c>
      <c r="H4822" s="4">
        <f>'Raw data'!G4731</f>
        <v>0</v>
      </c>
      <c r="I4822" s="29" t="e">
        <f>VLOOKUP(G4822,제품명!$C$1:$E$114,2,0)</f>
        <v>#N/A</v>
      </c>
      <c r="J4822" s="29">
        <f>'Raw data'!K4731</f>
        <v>0</v>
      </c>
      <c r="K4822" s="31">
        <f>'Raw data'!H4731</f>
        <v>0</v>
      </c>
      <c r="L4822" s="26">
        <f t="shared" si="154"/>
        <v>0</v>
      </c>
    </row>
    <row r="4823" spans="2:12">
      <c r="B4823" s="4" t="e">
        <f t="shared" si="153"/>
        <v>#N/A</v>
      </c>
      <c r="C4823" s="4">
        <f>'Raw data'!E4399</f>
        <v>0</v>
      </c>
      <c r="D4823" s="29" t="e">
        <f>VLOOKUP(C4823,'점포코드 '!A:B,2,0)</f>
        <v>#N/A</v>
      </c>
      <c r="E4823" s="30">
        <f>'Raw data'!P4399</f>
        <v>0</v>
      </c>
      <c r="F4823" s="29" t="e">
        <f>VLOOKUP(E4823,'점포코드 '!A:B,2,0)</f>
        <v>#N/A</v>
      </c>
      <c r="G4823" s="46">
        <f>'Raw data'!F4732</f>
        <v>0</v>
      </c>
      <c r="H4823" s="4">
        <f>'Raw data'!G4732</f>
        <v>0</v>
      </c>
      <c r="I4823" s="29" t="e">
        <f>VLOOKUP(G4823,제품명!$C$1:$E$114,2,0)</f>
        <v>#N/A</v>
      </c>
      <c r="J4823" s="29">
        <f>'Raw data'!K4732</f>
        <v>0</v>
      </c>
      <c r="K4823" s="31">
        <f>'Raw data'!H4732</f>
        <v>0</v>
      </c>
      <c r="L4823" s="26">
        <f t="shared" si="154"/>
        <v>0</v>
      </c>
    </row>
    <row r="4824" spans="2:12">
      <c r="B4824" s="4" t="e">
        <f t="shared" si="153"/>
        <v>#N/A</v>
      </c>
      <c r="C4824" s="4">
        <f>'Raw data'!E4400</f>
        <v>0</v>
      </c>
      <c r="D4824" s="29" t="e">
        <f>VLOOKUP(C4824,'점포코드 '!A:B,2,0)</f>
        <v>#N/A</v>
      </c>
      <c r="E4824" s="30">
        <f>'Raw data'!P4400</f>
        <v>0</v>
      </c>
      <c r="F4824" s="29" t="e">
        <f>VLOOKUP(E4824,'점포코드 '!A:B,2,0)</f>
        <v>#N/A</v>
      </c>
      <c r="G4824" s="46">
        <f>'Raw data'!F4733</f>
        <v>0</v>
      </c>
      <c r="H4824" s="4">
        <f>'Raw data'!G4733</f>
        <v>0</v>
      </c>
      <c r="I4824" s="29" t="e">
        <f>VLOOKUP(G4824,제품명!$C$1:$E$114,2,0)</f>
        <v>#N/A</v>
      </c>
      <c r="J4824" s="29">
        <f>'Raw data'!K4733</f>
        <v>0</v>
      </c>
      <c r="K4824" s="31">
        <f>'Raw data'!H4733</f>
        <v>0</v>
      </c>
      <c r="L4824" s="26">
        <f t="shared" si="154"/>
        <v>0</v>
      </c>
    </row>
    <row r="4825" spans="2:12">
      <c r="B4825" s="4" t="e">
        <f t="shared" si="153"/>
        <v>#N/A</v>
      </c>
      <c r="C4825" s="4">
        <f>'Raw data'!E4401</f>
        <v>0</v>
      </c>
      <c r="D4825" s="29" t="e">
        <f>VLOOKUP(C4825,'점포코드 '!A:B,2,0)</f>
        <v>#N/A</v>
      </c>
      <c r="E4825" s="30">
        <f>'Raw data'!P4401</f>
        <v>0</v>
      </c>
      <c r="F4825" s="29" t="e">
        <f>VLOOKUP(E4825,'점포코드 '!A:B,2,0)</f>
        <v>#N/A</v>
      </c>
      <c r="G4825" s="46">
        <f>'Raw data'!F4734</f>
        <v>0</v>
      </c>
      <c r="H4825" s="4">
        <f>'Raw data'!G4734</f>
        <v>0</v>
      </c>
      <c r="I4825" s="29" t="e">
        <f>VLOOKUP(G4825,제품명!$C$1:$E$114,2,0)</f>
        <v>#N/A</v>
      </c>
      <c r="J4825" s="29">
        <f>'Raw data'!K4734</f>
        <v>0</v>
      </c>
      <c r="K4825" s="31">
        <f>'Raw data'!H4734</f>
        <v>0</v>
      </c>
      <c r="L4825" s="26">
        <f t="shared" si="154"/>
        <v>0</v>
      </c>
    </row>
    <row r="4826" spans="2:12">
      <c r="B4826" s="4" t="e">
        <f t="shared" si="153"/>
        <v>#N/A</v>
      </c>
      <c r="C4826" s="4">
        <f>'Raw data'!E4402</f>
        <v>0</v>
      </c>
      <c r="D4826" s="29" t="e">
        <f>VLOOKUP(C4826,'점포코드 '!A:B,2,0)</f>
        <v>#N/A</v>
      </c>
      <c r="E4826" s="30">
        <f>'Raw data'!P4402</f>
        <v>0</v>
      </c>
      <c r="F4826" s="29" t="e">
        <f>VLOOKUP(E4826,'점포코드 '!A:B,2,0)</f>
        <v>#N/A</v>
      </c>
      <c r="G4826" s="46">
        <f>'Raw data'!F4735</f>
        <v>0</v>
      </c>
      <c r="H4826" s="4">
        <f>'Raw data'!G4735</f>
        <v>0</v>
      </c>
      <c r="I4826" s="29" t="e">
        <f>VLOOKUP(G4826,제품명!$C$1:$E$114,2,0)</f>
        <v>#N/A</v>
      </c>
      <c r="J4826" s="29">
        <f>'Raw data'!K4735</f>
        <v>0</v>
      </c>
      <c r="K4826" s="31">
        <f>'Raw data'!H4735</f>
        <v>0</v>
      </c>
      <c r="L4826" s="26">
        <f t="shared" si="154"/>
        <v>0</v>
      </c>
    </row>
    <row r="4827" spans="2:12">
      <c r="B4827" s="4" t="e">
        <f t="shared" si="153"/>
        <v>#N/A</v>
      </c>
      <c r="C4827" s="4">
        <f>'Raw data'!E4403</f>
        <v>0</v>
      </c>
      <c r="D4827" s="29" t="e">
        <f>VLOOKUP(C4827,'점포코드 '!A:B,2,0)</f>
        <v>#N/A</v>
      </c>
      <c r="E4827" s="30">
        <f>'Raw data'!P4403</f>
        <v>0</v>
      </c>
      <c r="F4827" s="29" t="e">
        <f>VLOOKUP(E4827,'점포코드 '!A:B,2,0)</f>
        <v>#N/A</v>
      </c>
      <c r="G4827" s="46">
        <f>'Raw data'!F4736</f>
        <v>0</v>
      </c>
      <c r="H4827" s="4">
        <f>'Raw data'!G4736</f>
        <v>0</v>
      </c>
      <c r="I4827" s="29" t="e">
        <f>VLOOKUP(G4827,제품명!$C$1:$E$114,2,0)</f>
        <v>#N/A</v>
      </c>
      <c r="J4827" s="29">
        <f>'Raw data'!K4736</f>
        <v>0</v>
      </c>
      <c r="K4827" s="31">
        <f>'Raw data'!H4736</f>
        <v>0</v>
      </c>
      <c r="L4827" s="26">
        <f t="shared" si="154"/>
        <v>0</v>
      </c>
    </row>
    <row r="4828" spans="2:12">
      <c r="B4828" s="4" t="e">
        <f t="shared" si="153"/>
        <v>#N/A</v>
      </c>
      <c r="C4828" s="4">
        <f>'Raw data'!E4404</f>
        <v>0</v>
      </c>
      <c r="D4828" s="29" t="e">
        <f>VLOOKUP(C4828,'점포코드 '!A:B,2,0)</f>
        <v>#N/A</v>
      </c>
      <c r="E4828" s="30">
        <f>'Raw data'!P4404</f>
        <v>0</v>
      </c>
      <c r="F4828" s="29" t="e">
        <f>VLOOKUP(E4828,'점포코드 '!A:B,2,0)</f>
        <v>#N/A</v>
      </c>
      <c r="G4828" s="46">
        <f>'Raw data'!F4737</f>
        <v>0</v>
      </c>
      <c r="H4828" s="4">
        <f>'Raw data'!G4737</f>
        <v>0</v>
      </c>
      <c r="I4828" s="29" t="e">
        <f>VLOOKUP(G4828,제품명!$C$1:$E$114,2,0)</f>
        <v>#N/A</v>
      </c>
      <c r="J4828" s="29">
        <f>'Raw data'!K4737</f>
        <v>0</v>
      </c>
      <c r="K4828" s="31">
        <f>'Raw data'!H4737</f>
        <v>0</v>
      </c>
      <c r="L4828" s="26">
        <f t="shared" si="154"/>
        <v>0</v>
      </c>
    </row>
    <row r="4829" spans="2:12">
      <c r="B4829" s="4" t="e">
        <f t="shared" si="153"/>
        <v>#N/A</v>
      </c>
      <c r="C4829" s="4">
        <f>'Raw data'!E4405</f>
        <v>0</v>
      </c>
      <c r="D4829" s="29" t="e">
        <f>VLOOKUP(C4829,'점포코드 '!A:B,2,0)</f>
        <v>#N/A</v>
      </c>
      <c r="E4829" s="30">
        <f>'Raw data'!P4405</f>
        <v>0</v>
      </c>
      <c r="F4829" s="29" t="e">
        <f>VLOOKUP(E4829,'점포코드 '!A:B,2,0)</f>
        <v>#N/A</v>
      </c>
      <c r="G4829" s="46">
        <f>'Raw data'!F4738</f>
        <v>0</v>
      </c>
      <c r="H4829" s="4">
        <f>'Raw data'!G4738</f>
        <v>0</v>
      </c>
      <c r="I4829" s="29" t="e">
        <f>VLOOKUP(G4829,제품명!$C$1:$E$114,2,0)</f>
        <v>#N/A</v>
      </c>
      <c r="J4829" s="29">
        <f>'Raw data'!K4738</f>
        <v>0</v>
      </c>
      <c r="K4829" s="31">
        <f>'Raw data'!H4738</f>
        <v>0</v>
      </c>
      <c r="L4829" s="26">
        <f t="shared" si="154"/>
        <v>0</v>
      </c>
    </row>
    <row r="4830" spans="2:12">
      <c r="B4830" s="4" t="e">
        <f t="shared" si="153"/>
        <v>#N/A</v>
      </c>
      <c r="C4830" s="4">
        <f>'Raw data'!E4406</f>
        <v>0</v>
      </c>
      <c r="D4830" s="29" t="e">
        <f>VLOOKUP(C4830,'점포코드 '!A:B,2,0)</f>
        <v>#N/A</v>
      </c>
      <c r="E4830" s="30">
        <f>'Raw data'!P4406</f>
        <v>0</v>
      </c>
      <c r="F4830" s="29" t="e">
        <f>VLOOKUP(E4830,'점포코드 '!A:B,2,0)</f>
        <v>#N/A</v>
      </c>
      <c r="G4830" s="46">
        <f>'Raw data'!F4739</f>
        <v>0</v>
      </c>
      <c r="H4830" s="4">
        <f>'Raw data'!G4739</f>
        <v>0</v>
      </c>
      <c r="I4830" s="29" t="e">
        <f>VLOOKUP(G4830,제품명!$C$1:$E$114,2,0)</f>
        <v>#N/A</v>
      </c>
      <c r="J4830" s="29">
        <f>'Raw data'!K4739</f>
        <v>0</v>
      </c>
      <c r="K4830" s="31">
        <f>'Raw data'!H4739</f>
        <v>0</v>
      </c>
      <c r="L4830" s="26">
        <f t="shared" si="154"/>
        <v>0</v>
      </c>
    </row>
    <row r="4831" spans="2:12">
      <c r="B4831" s="4" t="e">
        <f t="shared" si="153"/>
        <v>#N/A</v>
      </c>
      <c r="C4831" s="4">
        <f>'Raw data'!E4407</f>
        <v>0</v>
      </c>
      <c r="D4831" s="29" t="e">
        <f>VLOOKUP(C4831,'점포코드 '!A:B,2,0)</f>
        <v>#N/A</v>
      </c>
      <c r="E4831" s="30">
        <f>'Raw data'!P4407</f>
        <v>0</v>
      </c>
      <c r="F4831" s="29" t="e">
        <f>VLOOKUP(E4831,'점포코드 '!A:B,2,0)</f>
        <v>#N/A</v>
      </c>
      <c r="G4831" s="46">
        <f>'Raw data'!F4740</f>
        <v>0</v>
      </c>
      <c r="H4831" s="4">
        <f>'Raw data'!G4740</f>
        <v>0</v>
      </c>
      <c r="I4831" s="29" t="e">
        <f>VLOOKUP(G4831,제품명!$C$1:$E$114,2,0)</f>
        <v>#N/A</v>
      </c>
      <c r="J4831" s="29">
        <f>'Raw data'!K4740</f>
        <v>0</v>
      </c>
      <c r="K4831" s="31">
        <f>'Raw data'!H4740</f>
        <v>0</v>
      </c>
      <c r="L4831" s="26">
        <f t="shared" si="154"/>
        <v>0</v>
      </c>
    </row>
    <row r="4832" spans="2:12">
      <c r="B4832" s="4" t="e">
        <f t="shared" si="153"/>
        <v>#N/A</v>
      </c>
      <c r="C4832" s="4">
        <f>'Raw data'!E4408</f>
        <v>0</v>
      </c>
      <c r="D4832" s="29" t="e">
        <f>VLOOKUP(C4832,'점포코드 '!A:B,2,0)</f>
        <v>#N/A</v>
      </c>
      <c r="E4832" s="30">
        <f>'Raw data'!P4408</f>
        <v>0</v>
      </c>
      <c r="F4832" s="29" t="e">
        <f>VLOOKUP(E4832,'점포코드 '!A:B,2,0)</f>
        <v>#N/A</v>
      </c>
      <c r="G4832" s="46">
        <f>'Raw data'!F4741</f>
        <v>0</v>
      </c>
      <c r="H4832" s="4">
        <f>'Raw data'!G4741</f>
        <v>0</v>
      </c>
      <c r="I4832" s="29" t="e">
        <f>VLOOKUP(G4832,제품명!$C$1:$E$114,2,0)</f>
        <v>#N/A</v>
      </c>
      <c r="J4832" s="29">
        <f>'Raw data'!K4741</f>
        <v>0</v>
      </c>
      <c r="K4832" s="31">
        <f>'Raw data'!H4741</f>
        <v>0</v>
      </c>
      <c r="L4832" s="26">
        <f t="shared" si="154"/>
        <v>0</v>
      </c>
    </row>
    <row r="4833" spans="2:12">
      <c r="B4833" s="4" t="e">
        <f t="shared" si="153"/>
        <v>#N/A</v>
      </c>
      <c r="C4833" s="4">
        <f>'Raw data'!E4409</f>
        <v>0</v>
      </c>
      <c r="D4833" s="29" t="e">
        <f>VLOOKUP(C4833,'점포코드 '!A:B,2,0)</f>
        <v>#N/A</v>
      </c>
      <c r="E4833" s="30">
        <f>'Raw data'!P4409</f>
        <v>0</v>
      </c>
      <c r="F4833" s="29" t="e">
        <f>VLOOKUP(E4833,'점포코드 '!A:B,2,0)</f>
        <v>#N/A</v>
      </c>
      <c r="G4833" s="46">
        <f>'Raw data'!F4742</f>
        <v>0</v>
      </c>
      <c r="H4833" s="4">
        <f>'Raw data'!G4742</f>
        <v>0</v>
      </c>
      <c r="I4833" s="29" t="e">
        <f>VLOOKUP(G4833,제품명!$C$1:$E$114,2,0)</f>
        <v>#N/A</v>
      </c>
      <c r="J4833" s="29">
        <f>'Raw data'!K4742</f>
        <v>0</v>
      </c>
      <c r="K4833" s="31">
        <f>'Raw data'!H4742</f>
        <v>0</v>
      </c>
      <c r="L4833" s="26">
        <f t="shared" si="154"/>
        <v>0</v>
      </c>
    </row>
    <row r="4834" spans="2:12">
      <c r="B4834" s="4" t="e">
        <f t="shared" si="153"/>
        <v>#N/A</v>
      </c>
      <c r="C4834" s="4">
        <f>'Raw data'!E4410</f>
        <v>0</v>
      </c>
      <c r="D4834" s="29" t="e">
        <f>VLOOKUP(C4834,'점포코드 '!A:B,2,0)</f>
        <v>#N/A</v>
      </c>
      <c r="E4834" s="30">
        <f>'Raw data'!P4410</f>
        <v>0</v>
      </c>
      <c r="F4834" s="29" t="e">
        <f>VLOOKUP(E4834,'점포코드 '!A:B,2,0)</f>
        <v>#N/A</v>
      </c>
      <c r="G4834" s="46">
        <f>'Raw data'!F4743</f>
        <v>0</v>
      </c>
      <c r="H4834" s="4">
        <f>'Raw data'!G4743</f>
        <v>0</v>
      </c>
      <c r="I4834" s="29" t="e">
        <f>VLOOKUP(G4834,제품명!$C$1:$E$114,2,0)</f>
        <v>#N/A</v>
      </c>
      <c r="J4834" s="29">
        <f>'Raw data'!K4743</f>
        <v>0</v>
      </c>
      <c r="K4834" s="31">
        <f>'Raw data'!H4743</f>
        <v>0</v>
      </c>
      <c r="L4834" s="26">
        <f t="shared" si="154"/>
        <v>0</v>
      </c>
    </row>
    <row r="4835" spans="2:12">
      <c r="B4835" s="4" t="e">
        <f t="shared" si="153"/>
        <v>#N/A</v>
      </c>
      <c r="C4835" s="4">
        <f>'Raw data'!E4411</f>
        <v>0</v>
      </c>
      <c r="D4835" s="29" t="e">
        <f>VLOOKUP(C4835,'점포코드 '!A:B,2,0)</f>
        <v>#N/A</v>
      </c>
      <c r="E4835" s="30">
        <f>'Raw data'!P4411</f>
        <v>0</v>
      </c>
      <c r="F4835" s="29" t="e">
        <f>VLOOKUP(E4835,'점포코드 '!A:B,2,0)</f>
        <v>#N/A</v>
      </c>
      <c r="G4835" s="46">
        <f>'Raw data'!F4744</f>
        <v>0</v>
      </c>
      <c r="H4835" s="4">
        <f>'Raw data'!G4744</f>
        <v>0</v>
      </c>
      <c r="I4835" s="29" t="e">
        <f>VLOOKUP(G4835,제품명!$C$1:$E$114,2,0)</f>
        <v>#N/A</v>
      </c>
      <c r="J4835" s="29">
        <f>'Raw data'!K4744</f>
        <v>0</v>
      </c>
      <c r="K4835" s="31">
        <f>'Raw data'!H4744</f>
        <v>0</v>
      </c>
      <c r="L4835" s="26">
        <f t="shared" si="154"/>
        <v>0</v>
      </c>
    </row>
    <row r="4836" spans="2:12">
      <c r="B4836" s="4" t="e">
        <f t="shared" si="153"/>
        <v>#N/A</v>
      </c>
      <c r="C4836" s="4">
        <f>'Raw data'!E4412</f>
        <v>0</v>
      </c>
      <c r="D4836" s="29" t="e">
        <f>VLOOKUP(C4836,'점포코드 '!A:B,2,0)</f>
        <v>#N/A</v>
      </c>
      <c r="E4836" s="30">
        <f>'Raw data'!P4412</f>
        <v>0</v>
      </c>
      <c r="F4836" s="29" t="e">
        <f>VLOOKUP(E4836,'점포코드 '!A:B,2,0)</f>
        <v>#N/A</v>
      </c>
      <c r="G4836" s="46">
        <f>'Raw data'!F4745</f>
        <v>0</v>
      </c>
      <c r="H4836" s="4">
        <f>'Raw data'!G4745</f>
        <v>0</v>
      </c>
      <c r="I4836" s="29" t="e">
        <f>VLOOKUP(G4836,제품명!$C$1:$E$114,2,0)</f>
        <v>#N/A</v>
      </c>
      <c r="J4836" s="29">
        <f>'Raw data'!K4745</f>
        <v>0</v>
      </c>
      <c r="K4836" s="31">
        <f>'Raw data'!H4745</f>
        <v>0</v>
      </c>
      <c r="L4836" s="26">
        <f t="shared" si="154"/>
        <v>0</v>
      </c>
    </row>
    <row r="4837" spans="2:12">
      <c r="B4837" s="4" t="e">
        <f t="shared" si="153"/>
        <v>#N/A</v>
      </c>
      <c r="C4837" s="4">
        <f>'Raw data'!E4413</f>
        <v>0</v>
      </c>
      <c r="D4837" s="29" t="e">
        <f>VLOOKUP(C4837,'점포코드 '!A:B,2,0)</f>
        <v>#N/A</v>
      </c>
      <c r="E4837" s="30">
        <f>'Raw data'!P4413</f>
        <v>0</v>
      </c>
      <c r="F4837" s="29" t="e">
        <f>VLOOKUP(E4837,'점포코드 '!A:B,2,0)</f>
        <v>#N/A</v>
      </c>
      <c r="G4837" s="46">
        <f>'Raw data'!F4746</f>
        <v>0</v>
      </c>
      <c r="H4837" s="4">
        <f>'Raw data'!G4746</f>
        <v>0</v>
      </c>
      <c r="I4837" s="29" t="e">
        <f>VLOOKUP(G4837,제품명!$C$1:$E$114,2,0)</f>
        <v>#N/A</v>
      </c>
      <c r="J4837" s="29">
        <f>'Raw data'!K4746</f>
        <v>0</v>
      </c>
      <c r="K4837" s="31">
        <f>'Raw data'!H4746</f>
        <v>0</v>
      </c>
      <c r="L4837" s="26">
        <f t="shared" si="154"/>
        <v>0</v>
      </c>
    </row>
    <row r="4838" spans="2:12">
      <c r="B4838" s="4" t="e">
        <f t="shared" si="153"/>
        <v>#N/A</v>
      </c>
      <c r="C4838" s="4">
        <f>'Raw data'!E4414</f>
        <v>0</v>
      </c>
      <c r="D4838" s="29" t="e">
        <f>VLOOKUP(C4838,'점포코드 '!A:B,2,0)</f>
        <v>#N/A</v>
      </c>
      <c r="E4838" s="30">
        <f>'Raw data'!P4414</f>
        <v>0</v>
      </c>
      <c r="F4838" s="29" t="e">
        <f>VLOOKUP(E4838,'점포코드 '!A:B,2,0)</f>
        <v>#N/A</v>
      </c>
      <c r="G4838" s="46">
        <f>'Raw data'!F4747</f>
        <v>0</v>
      </c>
      <c r="H4838" s="4">
        <f>'Raw data'!G4747</f>
        <v>0</v>
      </c>
      <c r="I4838" s="29" t="e">
        <f>VLOOKUP(G4838,제품명!$C$1:$E$114,2,0)</f>
        <v>#N/A</v>
      </c>
      <c r="J4838" s="29">
        <f>'Raw data'!K4747</f>
        <v>0</v>
      </c>
      <c r="K4838" s="31">
        <f>'Raw data'!H4747</f>
        <v>0</v>
      </c>
      <c r="L4838" s="26">
        <f t="shared" si="154"/>
        <v>0</v>
      </c>
    </row>
    <row r="4839" spans="2:12">
      <c r="B4839" s="4" t="e">
        <f t="shared" si="153"/>
        <v>#N/A</v>
      </c>
      <c r="C4839" s="4">
        <f>'Raw data'!E4415</f>
        <v>0</v>
      </c>
      <c r="D4839" s="29" t="e">
        <f>VLOOKUP(C4839,'점포코드 '!A:B,2,0)</f>
        <v>#N/A</v>
      </c>
      <c r="E4839" s="30">
        <f>'Raw data'!P4415</f>
        <v>0</v>
      </c>
      <c r="F4839" s="29" t="e">
        <f>VLOOKUP(E4839,'점포코드 '!A:B,2,0)</f>
        <v>#N/A</v>
      </c>
      <c r="G4839" s="46">
        <f>'Raw data'!F4748</f>
        <v>0</v>
      </c>
      <c r="H4839" s="4">
        <f>'Raw data'!G4748</f>
        <v>0</v>
      </c>
      <c r="I4839" s="29" t="e">
        <f>VLOOKUP(G4839,제품명!$C$1:$E$114,2,0)</f>
        <v>#N/A</v>
      </c>
      <c r="J4839" s="29">
        <f>'Raw data'!K4748</f>
        <v>0</v>
      </c>
      <c r="K4839" s="31">
        <f>'Raw data'!H4748</f>
        <v>0</v>
      </c>
      <c r="L4839" s="26">
        <f t="shared" si="154"/>
        <v>0</v>
      </c>
    </row>
    <row r="4840" spans="2:12">
      <c r="B4840" s="4" t="e">
        <f t="shared" si="153"/>
        <v>#N/A</v>
      </c>
      <c r="C4840" s="4">
        <f>'Raw data'!E4416</f>
        <v>0</v>
      </c>
      <c r="D4840" s="29" t="e">
        <f>VLOOKUP(C4840,'점포코드 '!A:B,2,0)</f>
        <v>#N/A</v>
      </c>
      <c r="E4840" s="30">
        <f>'Raw data'!P4416</f>
        <v>0</v>
      </c>
      <c r="F4840" s="29" t="e">
        <f>VLOOKUP(E4840,'점포코드 '!A:B,2,0)</f>
        <v>#N/A</v>
      </c>
      <c r="G4840" s="46">
        <f>'Raw data'!F4749</f>
        <v>0</v>
      </c>
      <c r="H4840" s="4">
        <f>'Raw data'!G4749</f>
        <v>0</v>
      </c>
      <c r="I4840" s="29" t="e">
        <f>VLOOKUP(G4840,제품명!$C$1:$E$114,2,0)</f>
        <v>#N/A</v>
      </c>
      <c r="J4840" s="29">
        <f>'Raw data'!K4749</f>
        <v>0</v>
      </c>
      <c r="K4840" s="31">
        <f>'Raw data'!H4749</f>
        <v>0</v>
      </c>
      <c r="L4840" s="26">
        <f t="shared" si="154"/>
        <v>0</v>
      </c>
    </row>
    <row r="4841" spans="2:12">
      <c r="B4841" s="4" t="e">
        <f t="shared" si="153"/>
        <v>#N/A</v>
      </c>
      <c r="C4841" s="4">
        <f>'Raw data'!E4417</f>
        <v>0</v>
      </c>
      <c r="D4841" s="29" t="e">
        <f>VLOOKUP(C4841,'점포코드 '!A:B,2,0)</f>
        <v>#N/A</v>
      </c>
      <c r="E4841" s="30">
        <f>'Raw data'!P4417</f>
        <v>0</v>
      </c>
      <c r="F4841" s="29" t="e">
        <f>VLOOKUP(E4841,'점포코드 '!A:B,2,0)</f>
        <v>#N/A</v>
      </c>
      <c r="G4841" s="46">
        <f>'Raw data'!F4750</f>
        <v>0</v>
      </c>
      <c r="H4841" s="4">
        <f>'Raw data'!G4750</f>
        <v>0</v>
      </c>
      <c r="I4841" s="29" t="e">
        <f>VLOOKUP(G4841,제품명!$C$1:$E$114,2,0)</f>
        <v>#N/A</v>
      </c>
      <c r="J4841" s="29">
        <f>'Raw data'!K4750</f>
        <v>0</v>
      </c>
      <c r="K4841" s="31">
        <f>'Raw data'!H4750</f>
        <v>0</v>
      </c>
      <c r="L4841" s="26">
        <f t="shared" si="154"/>
        <v>0</v>
      </c>
    </row>
    <row r="4842" spans="2:12">
      <c r="B4842" s="4" t="e">
        <f t="shared" si="153"/>
        <v>#N/A</v>
      </c>
      <c r="C4842" s="4">
        <f>'Raw data'!E4418</f>
        <v>0</v>
      </c>
      <c r="D4842" s="29" t="e">
        <f>VLOOKUP(C4842,'점포코드 '!A:B,2,0)</f>
        <v>#N/A</v>
      </c>
      <c r="E4842" s="30">
        <f>'Raw data'!P4418</f>
        <v>0</v>
      </c>
      <c r="F4842" s="29" t="e">
        <f>VLOOKUP(E4842,'점포코드 '!A:B,2,0)</f>
        <v>#N/A</v>
      </c>
      <c r="G4842" s="46">
        <f>'Raw data'!F4751</f>
        <v>0</v>
      </c>
      <c r="H4842" s="4">
        <f>'Raw data'!G4751</f>
        <v>0</v>
      </c>
      <c r="I4842" s="29" t="e">
        <f>VLOOKUP(G4842,제품명!$C$1:$E$114,2,0)</f>
        <v>#N/A</v>
      </c>
      <c r="J4842" s="29">
        <f>'Raw data'!K4751</f>
        <v>0</v>
      </c>
      <c r="K4842" s="31">
        <f>'Raw data'!H4751</f>
        <v>0</v>
      </c>
      <c r="L4842" s="26">
        <f t="shared" si="154"/>
        <v>0</v>
      </c>
    </row>
    <row r="4843" spans="2:12">
      <c r="B4843" s="4" t="e">
        <f t="shared" si="153"/>
        <v>#N/A</v>
      </c>
      <c r="C4843" s="4">
        <f>'Raw data'!E4419</f>
        <v>0</v>
      </c>
      <c r="D4843" s="29" t="e">
        <f>VLOOKUP(C4843,'점포코드 '!A:B,2,0)</f>
        <v>#N/A</v>
      </c>
      <c r="E4843" s="30">
        <f>'Raw data'!P4419</f>
        <v>0</v>
      </c>
      <c r="F4843" s="29" t="e">
        <f>VLOOKUP(E4843,'점포코드 '!A:B,2,0)</f>
        <v>#N/A</v>
      </c>
      <c r="G4843" s="46">
        <f>'Raw data'!F4752</f>
        <v>0</v>
      </c>
      <c r="H4843" s="4">
        <f>'Raw data'!G4752</f>
        <v>0</v>
      </c>
      <c r="I4843" s="29" t="e">
        <f>VLOOKUP(G4843,제품명!$C$1:$E$114,2,0)</f>
        <v>#N/A</v>
      </c>
      <c r="J4843" s="29">
        <f>'Raw data'!K4752</f>
        <v>0</v>
      </c>
      <c r="K4843" s="31">
        <f>'Raw data'!H4752</f>
        <v>0</v>
      </c>
      <c r="L4843" s="26">
        <f t="shared" si="154"/>
        <v>0</v>
      </c>
    </row>
    <row r="4844" spans="2:12">
      <c r="B4844" s="4" t="e">
        <f t="shared" si="153"/>
        <v>#N/A</v>
      </c>
      <c r="C4844" s="4">
        <f>'Raw data'!E4420</f>
        <v>0</v>
      </c>
      <c r="D4844" s="29" t="e">
        <f>VLOOKUP(C4844,'점포코드 '!A:B,2,0)</f>
        <v>#N/A</v>
      </c>
      <c r="E4844" s="30">
        <f>'Raw data'!P4420</f>
        <v>0</v>
      </c>
      <c r="F4844" s="29" t="e">
        <f>VLOOKUP(E4844,'점포코드 '!A:B,2,0)</f>
        <v>#N/A</v>
      </c>
      <c r="G4844" s="46">
        <f>'Raw data'!F4753</f>
        <v>0</v>
      </c>
      <c r="H4844" s="4">
        <f>'Raw data'!G4753</f>
        <v>0</v>
      </c>
      <c r="I4844" s="29" t="e">
        <f>VLOOKUP(G4844,제품명!$C$1:$E$114,2,0)</f>
        <v>#N/A</v>
      </c>
      <c r="J4844" s="29">
        <f>'Raw data'!K4753</f>
        <v>0</v>
      </c>
      <c r="K4844" s="31">
        <f>'Raw data'!H4753</f>
        <v>0</v>
      </c>
      <c r="L4844" s="26">
        <f t="shared" si="154"/>
        <v>0</v>
      </c>
    </row>
    <row r="4845" spans="2:12">
      <c r="B4845" s="4" t="e">
        <f t="shared" si="153"/>
        <v>#N/A</v>
      </c>
      <c r="C4845" s="4">
        <f>'Raw data'!E4421</f>
        <v>0</v>
      </c>
      <c r="D4845" s="29" t="e">
        <f>VLOOKUP(C4845,'점포코드 '!A:B,2,0)</f>
        <v>#N/A</v>
      </c>
      <c r="E4845" s="30">
        <f>'Raw data'!P4421</f>
        <v>0</v>
      </c>
      <c r="F4845" s="29" t="e">
        <f>VLOOKUP(E4845,'점포코드 '!A:B,2,0)</f>
        <v>#N/A</v>
      </c>
      <c r="G4845" s="46">
        <f>'Raw data'!F4754</f>
        <v>0</v>
      </c>
      <c r="H4845" s="4">
        <f>'Raw data'!G4754</f>
        <v>0</v>
      </c>
      <c r="I4845" s="29" t="e">
        <f>VLOOKUP(G4845,제품명!$C$1:$E$114,2,0)</f>
        <v>#N/A</v>
      </c>
      <c r="J4845" s="29">
        <f>'Raw data'!K4754</f>
        <v>0</v>
      </c>
      <c r="K4845" s="31">
        <f>'Raw data'!H4754</f>
        <v>0</v>
      </c>
      <c r="L4845" s="26">
        <f t="shared" si="154"/>
        <v>0</v>
      </c>
    </row>
    <row r="4846" spans="2:12">
      <c r="B4846" s="4" t="e">
        <f t="shared" si="153"/>
        <v>#N/A</v>
      </c>
      <c r="C4846" s="4">
        <f>'Raw data'!E4422</f>
        <v>0</v>
      </c>
      <c r="D4846" s="29" t="e">
        <f>VLOOKUP(C4846,'점포코드 '!A:B,2,0)</f>
        <v>#N/A</v>
      </c>
      <c r="E4846" s="30">
        <f>'Raw data'!P4422</f>
        <v>0</v>
      </c>
      <c r="F4846" s="29" t="e">
        <f>VLOOKUP(E4846,'점포코드 '!A:B,2,0)</f>
        <v>#N/A</v>
      </c>
      <c r="G4846" s="46">
        <f>'Raw data'!F4755</f>
        <v>0</v>
      </c>
      <c r="H4846" s="4">
        <f>'Raw data'!G4755</f>
        <v>0</v>
      </c>
      <c r="I4846" s="29" t="e">
        <f>VLOOKUP(G4846,제품명!$C$1:$E$114,2,0)</f>
        <v>#N/A</v>
      </c>
      <c r="J4846" s="29">
        <f>'Raw data'!K4755</f>
        <v>0</v>
      </c>
      <c r="K4846" s="31">
        <f>'Raw data'!H4755</f>
        <v>0</v>
      </c>
      <c r="L4846" s="26">
        <f t="shared" si="154"/>
        <v>0</v>
      </c>
    </row>
    <row r="4847" spans="2:12">
      <c r="B4847" s="4" t="e">
        <f t="shared" si="153"/>
        <v>#N/A</v>
      </c>
      <c r="C4847" s="4">
        <f>'Raw data'!E4423</f>
        <v>0</v>
      </c>
      <c r="D4847" s="29" t="e">
        <f>VLOOKUP(C4847,'점포코드 '!A:B,2,0)</f>
        <v>#N/A</v>
      </c>
      <c r="E4847" s="30">
        <f>'Raw data'!P4423</f>
        <v>0</v>
      </c>
      <c r="F4847" s="29" t="e">
        <f>VLOOKUP(E4847,'점포코드 '!A:B,2,0)</f>
        <v>#N/A</v>
      </c>
      <c r="G4847" s="46">
        <f>'Raw data'!F4756</f>
        <v>0</v>
      </c>
      <c r="H4847" s="4">
        <f>'Raw data'!G4756</f>
        <v>0</v>
      </c>
      <c r="I4847" s="29" t="e">
        <f>VLOOKUP(G4847,제품명!$C$1:$E$114,2,0)</f>
        <v>#N/A</v>
      </c>
      <c r="J4847" s="29">
        <f>'Raw data'!K4756</f>
        <v>0</v>
      </c>
      <c r="K4847" s="31">
        <f>'Raw data'!H4756</f>
        <v>0</v>
      </c>
      <c r="L4847" s="26">
        <f t="shared" si="154"/>
        <v>0</v>
      </c>
    </row>
    <row r="4848" spans="2:12">
      <c r="B4848" s="4" t="e">
        <f t="shared" si="153"/>
        <v>#N/A</v>
      </c>
      <c r="C4848" s="4">
        <f>'Raw data'!E4424</f>
        <v>0</v>
      </c>
      <c r="D4848" s="29" t="e">
        <f>VLOOKUP(C4848,'점포코드 '!A:B,2,0)</f>
        <v>#N/A</v>
      </c>
      <c r="E4848" s="30">
        <f>'Raw data'!P4424</f>
        <v>0</v>
      </c>
      <c r="F4848" s="29" t="e">
        <f>VLOOKUP(E4848,'점포코드 '!A:B,2,0)</f>
        <v>#N/A</v>
      </c>
      <c r="G4848" s="46">
        <f>'Raw data'!F4757</f>
        <v>0</v>
      </c>
      <c r="H4848" s="4">
        <f>'Raw data'!G4757</f>
        <v>0</v>
      </c>
      <c r="I4848" s="29" t="e">
        <f>VLOOKUP(G4848,제품명!$C$1:$E$114,2,0)</f>
        <v>#N/A</v>
      </c>
      <c r="J4848" s="29">
        <f>'Raw data'!K4757</f>
        <v>0</v>
      </c>
      <c r="K4848" s="31">
        <f>'Raw data'!H4757</f>
        <v>0</v>
      </c>
      <c r="L4848" s="26">
        <f t="shared" si="154"/>
        <v>0</v>
      </c>
    </row>
    <row r="4849" spans="2:12">
      <c r="B4849" s="4" t="e">
        <f t="shared" si="153"/>
        <v>#N/A</v>
      </c>
      <c r="C4849" s="4">
        <f>'Raw data'!E4425</f>
        <v>0</v>
      </c>
      <c r="D4849" s="29" t="e">
        <f>VLOOKUP(C4849,'점포코드 '!A:B,2,0)</f>
        <v>#N/A</v>
      </c>
      <c r="E4849" s="30">
        <f>'Raw data'!P4425</f>
        <v>0</v>
      </c>
      <c r="F4849" s="29" t="e">
        <f>VLOOKUP(E4849,'점포코드 '!A:B,2,0)</f>
        <v>#N/A</v>
      </c>
      <c r="G4849" s="46">
        <f>'Raw data'!F4758</f>
        <v>0</v>
      </c>
      <c r="H4849" s="4">
        <f>'Raw data'!G4758</f>
        <v>0</v>
      </c>
      <c r="I4849" s="29" t="e">
        <f>VLOOKUP(G4849,제품명!$C$1:$E$114,2,0)</f>
        <v>#N/A</v>
      </c>
      <c r="J4849" s="29">
        <f>'Raw data'!K4758</f>
        <v>0</v>
      </c>
      <c r="K4849" s="31">
        <f>'Raw data'!H4758</f>
        <v>0</v>
      </c>
      <c r="L4849" s="26">
        <f t="shared" si="154"/>
        <v>0</v>
      </c>
    </row>
    <row r="4850" spans="2:12">
      <c r="B4850" s="4" t="e">
        <f t="shared" si="153"/>
        <v>#N/A</v>
      </c>
      <c r="C4850" s="4">
        <f>'Raw data'!E4426</f>
        <v>0</v>
      </c>
      <c r="D4850" s="29" t="e">
        <f>VLOOKUP(C4850,'점포코드 '!A:B,2,0)</f>
        <v>#N/A</v>
      </c>
      <c r="E4850" s="30">
        <f>'Raw data'!P4426</f>
        <v>0</v>
      </c>
      <c r="F4850" s="29" t="e">
        <f>VLOOKUP(E4850,'점포코드 '!A:B,2,0)</f>
        <v>#N/A</v>
      </c>
      <c r="G4850" s="46">
        <f>'Raw data'!F4759</f>
        <v>0</v>
      </c>
      <c r="H4850" s="4">
        <f>'Raw data'!G4759</f>
        <v>0</v>
      </c>
      <c r="I4850" s="29" t="e">
        <f>VLOOKUP(G4850,제품명!$C$1:$E$114,2,0)</f>
        <v>#N/A</v>
      </c>
      <c r="J4850" s="29">
        <f>'Raw data'!K4759</f>
        <v>0</v>
      </c>
      <c r="K4850" s="31">
        <f>'Raw data'!H4759</f>
        <v>0</v>
      </c>
      <c r="L4850" s="26">
        <f t="shared" si="154"/>
        <v>0</v>
      </c>
    </row>
    <row r="4851" spans="2:12">
      <c r="B4851" s="4" t="e">
        <f t="shared" si="153"/>
        <v>#N/A</v>
      </c>
      <c r="C4851" s="4">
        <f>'Raw data'!E4427</f>
        <v>0</v>
      </c>
      <c r="D4851" s="29" t="e">
        <f>VLOOKUP(C4851,'점포코드 '!A:B,2,0)</f>
        <v>#N/A</v>
      </c>
      <c r="E4851" s="30">
        <f>'Raw data'!P4427</f>
        <v>0</v>
      </c>
      <c r="F4851" s="29" t="e">
        <f>VLOOKUP(E4851,'점포코드 '!A:B,2,0)</f>
        <v>#N/A</v>
      </c>
      <c r="G4851" s="46">
        <f>'Raw data'!F4760</f>
        <v>0</v>
      </c>
      <c r="H4851" s="4">
        <f>'Raw data'!G4760</f>
        <v>0</v>
      </c>
      <c r="I4851" s="29" t="e">
        <f>VLOOKUP(G4851,제품명!$C$1:$E$114,2,0)</f>
        <v>#N/A</v>
      </c>
      <c r="J4851" s="29">
        <f>'Raw data'!K4760</f>
        <v>0</v>
      </c>
      <c r="K4851" s="31">
        <f>'Raw data'!H4760</f>
        <v>0</v>
      </c>
      <c r="L4851" s="26">
        <f t="shared" si="154"/>
        <v>0</v>
      </c>
    </row>
    <row r="4852" spans="2:12">
      <c r="B4852" s="4" t="e">
        <f t="shared" si="153"/>
        <v>#N/A</v>
      </c>
      <c r="C4852" s="4">
        <f>'Raw data'!E4428</f>
        <v>0</v>
      </c>
      <c r="D4852" s="29" t="e">
        <f>VLOOKUP(C4852,'점포코드 '!A:B,2,0)</f>
        <v>#N/A</v>
      </c>
      <c r="E4852" s="30">
        <f>'Raw data'!P4428</f>
        <v>0</v>
      </c>
      <c r="F4852" s="29" t="e">
        <f>VLOOKUP(E4852,'점포코드 '!A:B,2,0)</f>
        <v>#N/A</v>
      </c>
      <c r="G4852" s="46">
        <f>'Raw data'!F4761</f>
        <v>0</v>
      </c>
      <c r="H4852" s="4">
        <f>'Raw data'!G4761</f>
        <v>0</v>
      </c>
      <c r="I4852" s="29" t="e">
        <f>VLOOKUP(G4852,제품명!$C$1:$E$114,2,0)</f>
        <v>#N/A</v>
      </c>
      <c r="J4852" s="29">
        <f>'Raw data'!K4761</f>
        <v>0</v>
      </c>
      <c r="K4852" s="31">
        <f>'Raw data'!H4761</f>
        <v>0</v>
      </c>
      <c r="L4852" s="26">
        <f t="shared" si="154"/>
        <v>0</v>
      </c>
    </row>
    <row r="4853" spans="2:12">
      <c r="B4853" s="4" t="e">
        <f t="shared" si="153"/>
        <v>#N/A</v>
      </c>
      <c r="C4853" s="4">
        <f>'Raw data'!E4429</f>
        <v>0</v>
      </c>
      <c r="D4853" s="29" t="e">
        <f>VLOOKUP(C4853,'점포코드 '!A:B,2,0)</f>
        <v>#N/A</v>
      </c>
      <c r="E4853" s="30">
        <f>'Raw data'!P4429</f>
        <v>0</v>
      </c>
      <c r="F4853" s="29" t="e">
        <f>VLOOKUP(E4853,'점포코드 '!A:B,2,0)</f>
        <v>#N/A</v>
      </c>
      <c r="G4853" s="46">
        <f>'Raw data'!F4762</f>
        <v>0</v>
      </c>
      <c r="H4853" s="4">
        <f>'Raw data'!G4762</f>
        <v>0</v>
      </c>
      <c r="I4853" s="29" t="e">
        <f>VLOOKUP(G4853,제품명!$C$1:$E$114,2,0)</f>
        <v>#N/A</v>
      </c>
      <c r="J4853" s="29">
        <f>'Raw data'!K4762</f>
        <v>0</v>
      </c>
      <c r="K4853" s="31">
        <f>'Raw data'!H4762</f>
        <v>0</v>
      </c>
      <c r="L4853" s="26">
        <f t="shared" si="154"/>
        <v>0</v>
      </c>
    </row>
    <row r="4854" spans="2:12">
      <c r="B4854" s="4" t="e">
        <f t="shared" si="153"/>
        <v>#N/A</v>
      </c>
      <c r="C4854" s="4">
        <f>'Raw data'!E4430</f>
        <v>0</v>
      </c>
      <c r="D4854" s="29" t="e">
        <f>VLOOKUP(C4854,'점포코드 '!A:B,2,0)</f>
        <v>#N/A</v>
      </c>
      <c r="E4854" s="30">
        <f>'Raw data'!P4430</f>
        <v>0</v>
      </c>
      <c r="F4854" s="29" t="e">
        <f>VLOOKUP(E4854,'점포코드 '!A:B,2,0)</f>
        <v>#N/A</v>
      </c>
      <c r="G4854" s="46">
        <f>'Raw data'!F4763</f>
        <v>0</v>
      </c>
      <c r="H4854" s="4">
        <f>'Raw data'!G4763</f>
        <v>0</v>
      </c>
      <c r="I4854" s="29" t="e">
        <f>VLOOKUP(G4854,제품명!$C$1:$E$114,2,0)</f>
        <v>#N/A</v>
      </c>
      <c r="J4854" s="29">
        <f>'Raw data'!K4763</f>
        <v>0</v>
      </c>
      <c r="K4854" s="31">
        <f>'Raw data'!H4763</f>
        <v>0</v>
      </c>
      <c r="L4854" s="26">
        <f t="shared" si="154"/>
        <v>0</v>
      </c>
    </row>
    <row r="4855" spans="2:12">
      <c r="B4855" s="4" t="e">
        <f t="shared" si="153"/>
        <v>#N/A</v>
      </c>
      <c r="C4855" s="4">
        <f>'Raw data'!E4431</f>
        <v>0</v>
      </c>
      <c r="D4855" s="29" t="e">
        <f>VLOOKUP(C4855,'점포코드 '!A:B,2,0)</f>
        <v>#N/A</v>
      </c>
      <c r="E4855" s="30">
        <f>'Raw data'!P4431</f>
        <v>0</v>
      </c>
      <c r="F4855" s="29" t="e">
        <f>VLOOKUP(E4855,'점포코드 '!A:B,2,0)</f>
        <v>#N/A</v>
      </c>
      <c r="G4855" s="46">
        <f>'Raw data'!F4764</f>
        <v>0</v>
      </c>
      <c r="H4855" s="4">
        <f>'Raw data'!G4764</f>
        <v>0</v>
      </c>
      <c r="I4855" s="29" t="e">
        <f>VLOOKUP(G4855,제품명!$C$1:$E$114,2,0)</f>
        <v>#N/A</v>
      </c>
      <c r="J4855" s="29">
        <f>'Raw data'!K4764</f>
        <v>0</v>
      </c>
      <c r="K4855" s="31">
        <f>'Raw data'!H4764</f>
        <v>0</v>
      </c>
      <c r="L4855" s="26">
        <f t="shared" si="154"/>
        <v>0</v>
      </c>
    </row>
    <row r="4856" spans="2:12">
      <c r="B4856" s="4" t="e">
        <f t="shared" si="153"/>
        <v>#N/A</v>
      </c>
      <c r="C4856" s="4">
        <f>'Raw data'!E4432</f>
        <v>0</v>
      </c>
      <c r="D4856" s="29" t="e">
        <f>VLOOKUP(C4856,'점포코드 '!A:B,2,0)</f>
        <v>#N/A</v>
      </c>
      <c r="E4856" s="30">
        <f>'Raw data'!P4432</f>
        <v>0</v>
      </c>
      <c r="F4856" s="29" t="e">
        <f>VLOOKUP(E4856,'점포코드 '!A:B,2,0)</f>
        <v>#N/A</v>
      </c>
      <c r="G4856" s="46">
        <f>'Raw data'!F4765</f>
        <v>0</v>
      </c>
      <c r="H4856" s="4">
        <f>'Raw data'!G4765</f>
        <v>0</v>
      </c>
      <c r="I4856" s="29" t="e">
        <f>VLOOKUP(G4856,제품명!$C$1:$E$114,2,0)</f>
        <v>#N/A</v>
      </c>
      <c r="J4856" s="29">
        <f>'Raw data'!K4765</f>
        <v>0</v>
      </c>
      <c r="K4856" s="31">
        <f>'Raw data'!H4765</f>
        <v>0</v>
      </c>
      <c r="L4856" s="26">
        <f t="shared" si="154"/>
        <v>0</v>
      </c>
    </row>
    <row r="4857" spans="2:12">
      <c r="B4857" s="4" t="e">
        <f t="shared" si="153"/>
        <v>#N/A</v>
      </c>
      <c r="C4857" s="4">
        <f>'Raw data'!E4433</f>
        <v>0</v>
      </c>
      <c r="D4857" s="29" t="e">
        <f>VLOOKUP(C4857,'점포코드 '!A:B,2,0)</f>
        <v>#N/A</v>
      </c>
      <c r="E4857" s="30">
        <f>'Raw data'!P4433</f>
        <v>0</v>
      </c>
      <c r="F4857" s="29" t="e">
        <f>VLOOKUP(E4857,'점포코드 '!A:B,2,0)</f>
        <v>#N/A</v>
      </c>
      <c r="G4857" s="46">
        <f>'Raw data'!F4766</f>
        <v>0</v>
      </c>
      <c r="H4857" s="4">
        <f>'Raw data'!G4766</f>
        <v>0</v>
      </c>
      <c r="I4857" s="29" t="e">
        <f>VLOOKUP(G4857,제품명!$C$1:$E$114,2,0)</f>
        <v>#N/A</v>
      </c>
      <c r="J4857" s="29">
        <f>'Raw data'!K4766</f>
        <v>0</v>
      </c>
      <c r="K4857" s="31">
        <f>'Raw data'!H4766</f>
        <v>0</v>
      </c>
      <c r="L4857" s="26">
        <f t="shared" si="154"/>
        <v>0</v>
      </c>
    </row>
    <row r="4858" spans="2:12">
      <c r="B4858" s="4" t="e">
        <f t="shared" si="153"/>
        <v>#N/A</v>
      </c>
      <c r="C4858" s="4">
        <f>'Raw data'!E4434</f>
        <v>0</v>
      </c>
      <c r="D4858" s="29" t="e">
        <f>VLOOKUP(C4858,'점포코드 '!A:B,2,0)</f>
        <v>#N/A</v>
      </c>
      <c r="E4858" s="30">
        <f>'Raw data'!P4434</f>
        <v>0</v>
      </c>
      <c r="F4858" s="29" t="e">
        <f>VLOOKUP(E4858,'점포코드 '!A:B,2,0)</f>
        <v>#N/A</v>
      </c>
      <c r="G4858" s="46">
        <f>'Raw data'!F4767</f>
        <v>0</v>
      </c>
      <c r="H4858" s="4">
        <f>'Raw data'!G4767</f>
        <v>0</v>
      </c>
      <c r="I4858" s="29" t="e">
        <f>VLOOKUP(G4858,제품명!$C$1:$E$114,2,0)</f>
        <v>#N/A</v>
      </c>
      <c r="J4858" s="29">
        <f>'Raw data'!K4767</f>
        <v>0</v>
      </c>
      <c r="K4858" s="31">
        <f>'Raw data'!H4767</f>
        <v>0</v>
      </c>
      <c r="L4858" s="26">
        <f t="shared" si="154"/>
        <v>0</v>
      </c>
    </row>
    <row r="4859" spans="2:12">
      <c r="B4859" s="4" t="e">
        <f t="shared" si="153"/>
        <v>#N/A</v>
      </c>
      <c r="C4859" s="4">
        <f>'Raw data'!E4435</f>
        <v>0</v>
      </c>
      <c r="D4859" s="29" t="e">
        <f>VLOOKUP(C4859,'점포코드 '!A:B,2,0)</f>
        <v>#N/A</v>
      </c>
      <c r="E4859" s="30">
        <f>'Raw data'!P4435</f>
        <v>0</v>
      </c>
      <c r="F4859" s="29" t="e">
        <f>VLOOKUP(E4859,'점포코드 '!A:B,2,0)</f>
        <v>#N/A</v>
      </c>
      <c r="G4859" s="46">
        <f>'Raw data'!F4768</f>
        <v>0</v>
      </c>
      <c r="H4859" s="4">
        <f>'Raw data'!G4768</f>
        <v>0</v>
      </c>
      <c r="I4859" s="29" t="e">
        <f>VLOOKUP(G4859,제품명!$C$1:$E$114,2,0)</f>
        <v>#N/A</v>
      </c>
      <c r="J4859" s="29">
        <f>'Raw data'!K4768</f>
        <v>0</v>
      </c>
      <c r="K4859" s="31">
        <f>'Raw data'!H4768</f>
        <v>0</v>
      </c>
      <c r="L4859" s="26">
        <f t="shared" si="154"/>
        <v>0</v>
      </c>
    </row>
    <row r="4860" spans="2:12">
      <c r="B4860" s="4" t="e">
        <f t="shared" si="153"/>
        <v>#N/A</v>
      </c>
      <c r="C4860" s="4">
        <f>'Raw data'!E4436</f>
        <v>0</v>
      </c>
      <c r="D4860" s="29" t="e">
        <f>VLOOKUP(C4860,'점포코드 '!A:B,2,0)</f>
        <v>#N/A</v>
      </c>
      <c r="E4860" s="30">
        <f>'Raw data'!P4436</f>
        <v>0</v>
      </c>
      <c r="F4860" s="29" t="e">
        <f>VLOOKUP(E4860,'점포코드 '!A:B,2,0)</f>
        <v>#N/A</v>
      </c>
      <c r="G4860" s="46">
        <f>'Raw data'!F4769</f>
        <v>0</v>
      </c>
      <c r="H4860" s="4">
        <f>'Raw data'!G4769</f>
        <v>0</v>
      </c>
      <c r="I4860" s="29" t="e">
        <f>VLOOKUP(G4860,제품명!$C$1:$E$114,2,0)</f>
        <v>#N/A</v>
      </c>
      <c r="J4860" s="29">
        <f>'Raw data'!K4769</f>
        <v>0</v>
      </c>
      <c r="K4860" s="31">
        <f>'Raw data'!H4769</f>
        <v>0</v>
      </c>
      <c r="L4860" s="26">
        <f t="shared" si="154"/>
        <v>0</v>
      </c>
    </row>
    <row r="4861" spans="2:12">
      <c r="B4861" s="4" t="e">
        <f t="shared" si="153"/>
        <v>#N/A</v>
      </c>
      <c r="C4861" s="4">
        <f>'Raw data'!E4437</f>
        <v>0</v>
      </c>
      <c r="D4861" s="29" t="e">
        <f>VLOOKUP(C4861,'점포코드 '!A:B,2,0)</f>
        <v>#N/A</v>
      </c>
      <c r="E4861" s="30">
        <f>'Raw data'!P4437</f>
        <v>0</v>
      </c>
      <c r="F4861" s="29" t="e">
        <f>VLOOKUP(E4861,'점포코드 '!A:B,2,0)</f>
        <v>#N/A</v>
      </c>
      <c r="G4861" s="46">
        <f>'Raw data'!F4770</f>
        <v>0</v>
      </c>
      <c r="H4861" s="4">
        <f>'Raw data'!G4770</f>
        <v>0</v>
      </c>
      <c r="I4861" s="29" t="e">
        <f>VLOOKUP(G4861,제품명!$C$1:$E$114,2,0)</f>
        <v>#N/A</v>
      </c>
      <c r="J4861" s="29">
        <f>'Raw data'!K4770</f>
        <v>0</v>
      </c>
      <c r="K4861" s="31">
        <f>'Raw data'!H4770</f>
        <v>0</v>
      </c>
      <c r="L4861" s="26">
        <f t="shared" si="154"/>
        <v>0</v>
      </c>
    </row>
    <row r="4862" spans="2:12">
      <c r="B4862" s="4" t="e">
        <f t="shared" si="153"/>
        <v>#N/A</v>
      </c>
      <c r="C4862" s="4">
        <f>'Raw data'!E4438</f>
        <v>0</v>
      </c>
      <c r="D4862" s="29" t="e">
        <f>VLOOKUP(C4862,'점포코드 '!A:B,2,0)</f>
        <v>#N/A</v>
      </c>
      <c r="E4862" s="30">
        <f>'Raw data'!P4438</f>
        <v>0</v>
      </c>
      <c r="F4862" s="29" t="e">
        <f>VLOOKUP(E4862,'점포코드 '!A:B,2,0)</f>
        <v>#N/A</v>
      </c>
      <c r="G4862" s="46">
        <f>'Raw data'!F4771</f>
        <v>0</v>
      </c>
      <c r="H4862" s="4">
        <f>'Raw data'!G4771</f>
        <v>0</v>
      </c>
      <c r="I4862" s="29" t="e">
        <f>VLOOKUP(G4862,제품명!$C$1:$E$114,2,0)</f>
        <v>#N/A</v>
      </c>
      <c r="J4862" s="29">
        <f>'Raw data'!K4771</f>
        <v>0</v>
      </c>
      <c r="K4862" s="31">
        <f>'Raw data'!H4771</f>
        <v>0</v>
      </c>
      <c r="L4862" s="26">
        <f t="shared" si="154"/>
        <v>0</v>
      </c>
    </row>
    <row r="4863" spans="2:12">
      <c r="B4863" s="4" t="e">
        <f t="shared" si="153"/>
        <v>#N/A</v>
      </c>
      <c r="C4863" s="4">
        <f>'Raw data'!E4439</f>
        <v>0</v>
      </c>
      <c r="D4863" s="29" t="e">
        <f>VLOOKUP(C4863,'점포코드 '!A:B,2,0)</f>
        <v>#N/A</v>
      </c>
      <c r="E4863" s="30">
        <f>'Raw data'!P4439</f>
        <v>0</v>
      </c>
      <c r="F4863" s="29" t="e">
        <f>VLOOKUP(E4863,'점포코드 '!A:B,2,0)</f>
        <v>#N/A</v>
      </c>
      <c r="G4863" s="46">
        <f>'Raw data'!F4772</f>
        <v>0</v>
      </c>
      <c r="H4863" s="4">
        <f>'Raw data'!G4772</f>
        <v>0</v>
      </c>
      <c r="I4863" s="29" t="e">
        <f>VLOOKUP(G4863,제품명!$C$1:$E$114,2,0)</f>
        <v>#N/A</v>
      </c>
      <c r="J4863" s="29">
        <f>'Raw data'!K4772</f>
        <v>0</v>
      </c>
      <c r="K4863" s="31">
        <f>'Raw data'!H4772</f>
        <v>0</v>
      </c>
      <c r="L4863" s="26">
        <f t="shared" si="154"/>
        <v>0</v>
      </c>
    </row>
    <row r="4864" spans="2:12">
      <c r="B4864" s="4" t="e">
        <f t="shared" si="153"/>
        <v>#N/A</v>
      </c>
      <c r="C4864" s="4">
        <f>'Raw data'!E4440</f>
        <v>0</v>
      </c>
      <c r="D4864" s="29" t="e">
        <f>VLOOKUP(C4864,'점포코드 '!A:B,2,0)</f>
        <v>#N/A</v>
      </c>
      <c r="E4864" s="30">
        <f>'Raw data'!P4440</f>
        <v>0</v>
      </c>
      <c r="F4864" s="29" t="e">
        <f>VLOOKUP(E4864,'점포코드 '!A:B,2,0)</f>
        <v>#N/A</v>
      </c>
      <c r="G4864" s="46">
        <f>'Raw data'!F4773</f>
        <v>0</v>
      </c>
      <c r="H4864" s="4">
        <f>'Raw data'!G4773</f>
        <v>0</v>
      </c>
      <c r="I4864" s="29" t="e">
        <f>VLOOKUP(G4864,제품명!$C$1:$E$114,2,0)</f>
        <v>#N/A</v>
      </c>
      <c r="J4864" s="29">
        <f>'Raw data'!K4773</f>
        <v>0</v>
      </c>
      <c r="K4864" s="31">
        <f>'Raw data'!H4773</f>
        <v>0</v>
      </c>
      <c r="L4864" s="26">
        <f t="shared" si="154"/>
        <v>0</v>
      </c>
    </row>
    <row r="4865" spans="2:12">
      <c r="B4865" s="4" t="e">
        <f t="shared" si="153"/>
        <v>#N/A</v>
      </c>
      <c r="C4865" s="4">
        <f>'Raw data'!E4441</f>
        <v>0</v>
      </c>
      <c r="D4865" s="29" t="e">
        <f>VLOOKUP(C4865,'점포코드 '!A:B,2,0)</f>
        <v>#N/A</v>
      </c>
      <c r="E4865" s="30">
        <f>'Raw data'!P4441</f>
        <v>0</v>
      </c>
      <c r="F4865" s="29" t="e">
        <f>VLOOKUP(E4865,'점포코드 '!A:B,2,0)</f>
        <v>#N/A</v>
      </c>
      <c r="G4865" s="46">
        <f>'Raw data'!F4774</f>
        <v>0</v>
      </c>
      <c r="H4865" s="4">
        <f>'Raw data'!G4774</f>
        <v>0</v>
      </c>
      <c r="I4865" s="29" t="e">
        <f>VLOOKUP(G4865,제품명!$C$1:$E$114,2,0)</f>
        <v>#N/A</v>
      </c>
      <c r="J4865" s="29">
        <f>'Raw data'!K4774</f>
        <v>0</v>
      </c>
      <c r="K4865" s="31">
        <f>'Raw data'!H4774</f>
        <v>0</v>
      </c>
      <c r="L4865" s="26">
        <f t="shared" si="154"/>
        <v>0</v>
      </c>
    </row>
    <row r="4866" spans="2:12">
      <c r="B4866" s="4" t="e">
        <f t="shared" ref="B4866:B4929" si="155">F4866&amp;I4866</f>
        <v>#N/A</v>
      </c>
      <c r="C4866" s="4">
        <f>'Raw data'!E4442</f>
        <v>0</v>
      </c>
      <c r="D4866" s="29" t="e">
        <f>VLOOKUP(C4866,'점포코드 '!A:B,2,0)</f>
        <v>#N/A</v>
      </c>
      <c r="E4866" s="30">
        <f>'Raw data'!P4442</f>
        <v>0</v>
      </c>
      <c r="F4866" s="29" t="e">
        <f>VLOOKUP(E4866,'점포코드 '!A:B,2,0)</f>
        <v>#N/A</v>
      </c>
      <c r="G4866" s="46">
        <f>'Raw data'!F4775</f>
        <v>0</v>
      </c>
      <c r="H4866" s="4">
        <f>'Raw data'!G4775</f>
        <v>0</v>
      </c>
      <c r="I4866" s="29" t="e">
        <f>VLOOKUP(G4866,제품명!$C$1:$E$114,2,0)</f>
        <v>#N/A</v>
      </c>
      <c r="J4866" s="29">
        <f>'Raw data'!K4775</f>
        <v>0</v>
      </c>
      <c r="K4866" s="31">
        <f>'Raw data'!H4775</f>
        <v>0</v>
      </c>
      <c r="L4866" s="26">
        <f t="shared" si="154"/>
        <v>0</v>
      </c>
    </row>
    <row r="4867" spans="2:12">
      <c r="B4867" s="4" t="e">
        <f t="shared" si="155"/>
        <v>#N/A</v>
      </c>
      <c r="C4867" s="4">
        <f>'Raw data'!E4443</f>
        <v>0</v>
      </c>
      <c r="D4867" s="29" t="e">
        <f>VLOOKUP(C4867,'점포코드 '!A:B,2,0)</f>
        <v>#N/A</v>
      </c>
      <c r="E4867" s="30">
        <f>'Raw data'!P4443</f>
        <v>0</v>
      </c>
      <c r="F4867" s="29" t="e">
        <f>VLOOKUP(E4867,'점포코드 '!A:B,2,0)</f>
        <v>#N/A</v>
      </c>
      <c r="G4867" s="46">
        <f>'Raw data'!F4776</f>
        <v>0</v>
      </c>
      <c r="H4867" s="4">
        <f>'Raw data'!G4776</f>
        <v>0</v>
      </c>
      <c r="I4867" s="29" t="e">
        <f>VLOOKUP(G4867,제품명!$C$1:$E$114,2,0)</f>
        <v>#N/A</v>
      </c>
      <c r="J4867" s="29">
        <f>'Raw data'!K4776</f>
        <v>0</v>
      </c>
      <c r="K4867" s="31">
        <f>'Raw data'!H4776</f>
        <v>0</v>
      </c>
      <c r="L4867" s="26">
        <f t="shared" ref="L4867:L4930" si="156">J4867*K4867</f>
        <v>0</v>
      </c>
    </row>
    <row r="4868" spans="2:12">
      <c r="B4868" s="4" t="e">
        <f t="shared" si="155"/>
        <v>#N/A</v>
      </c>
      <c r="C4868" s="4">
        <f>'Raw data'!E4444</f>
        <v>0</v>
      </c>
      <c r="D4868" s="29" t="e">
        <f>VLOOKUP(C4868,'점포코드 '!A:B,2,0)</f>
        <v>#N/A</v>
      </c>
      <c r="E4868" s="30">
        <f>'Raw data'!P4444</f>
        <v>0</v>
      </c>
      <c r="F4868" s="29" t="e">
        <f>VLOOKUP(E4868,'점포코드 '!A:B,2,0)</f>
        <v>#N/A</v>
      </c>
      <c r="G4868" s="46">
        <f>'Raw data'!F4777</f>
        <v>0</v>
      </c>
      <c r="H4868" s="4">
        <f>'Raw data'!G4777</f>
        <v>0</v>
      </c>
      <c r="I4868" s="29" t="e">
        <f>VLOOKUP(G4868,제품명!$C$1:$E$114,2,0)</f>
        <v>#N/A</v>
      </c>
      <c r="J4868" s="29">
        <f>'Raw data'!K4777</f>
        <v>0</v>
      </c>
      <c r="K4868" s="31">
        <f>'Raw data'!H4777</f>
        <v>0</v>
      </c>
      <c r="L4868" s="26">
        <f t="shared" si="156"/>
        <v>0</v>
      </c>
    </row>
    <row r="4869" spans="2:12">
      <c r="B4869" s="4" t="e">
        <f t="shared" si="155"/>
        <v>#N/A</v>
      </c>
      <c r="C4869" s="4">
        <f>'Raw data'!E4445</f>
        <v>0</v>
      </c>
      <c r="D4869" s="29" t="e">
        <f>VLOOKUP(C4869,'점포코드 '!A:B,2,0)</f>
        <v>#N/A</v>
      </c>
      <c r="E4869" s="30">
        <f>'Raw data'!P4445</f>
        <v>0</v>
      </c>
      <c r="F4869" s="29" t="e">
        <f>VLOOKUP(E4869,'점포코드 '!A:B,2,0)</f>
        <v>#N/A</v>
      </c>
      <c r="G4869" s="46">
        <f>'Raw data'!F4778</f>
        <v>0</v>
      </c>
      <c r="H4869" s="4">
        <f>'Raw data'!G4778</f>
        <v>0</v>
      </c>
      <c r="I4869" s="29" t="e">
        <f>VLOOKUP(G4869,제품명!$C$1:$E$114,2,0)</f>
        <v>#N/A</v>
      </c>
      <c r="J4869" s="29">
        <f>'Raw data'!K4778</f>
        <v>0</v>
      </c>
      <c r="K4869" s="31">
        <f>'Raw data'!H4778</f>
        <v>0</v>
      </c>
      <c r="L4869" s="26">
        <f t="shared" si="156"/>
        <v>0</v>
      </c>
    </row>
    <row r="4870" spans="2:12">
      <c r="B4870" s="4" t="e">
        <f t="shared" si="155"/>
        <v>#N/A</v>
      </c>
      <c r="C4870" s="4">
        <f>'Raw data'!E4446</f>
        <v>0</v>
      </c>
      <c r="D4870" s="29" t="e">
        <f>VLOOKUP(C4870,'점포코드 '!A:B,2,0)</f>
        <v>#N/A</v>
      </c>
      <c r="E4870" s="30">
        <f>'Raw data'!P4446</f>
        <v>0</v>
      </c>
      <c r="F4870" s="29" t="e">
        <f>VLOOKUP(E4870,'점포코드 '!A:B,2,0)</f>
        <v>#N/A</v>
      </c>
      <c r="G4870" s="46">
        <f>'Raw data'!F4779</f>
        <v>0</v>
      </c>
      <c r="H4870" s="4">
        <f>'Raw data'!G4779</f>
        <v>0</v>
      </c>
      <c r="I4870" s="29" t="e">
        <f>VLOOKUP(G4870,제품명!$C$1:$E$114,2,0)</f>
        <v>#N/A</v>
      </c>
      <c r="J4870" s="29">
        <f>'Raw data'!K4779</f>
        <v>0</v>
      </c>
      <c r="K4870" s="31">
        <f>'Raw data'!H4779</f>
        <v>0</v>
      </c>
      <c r="L4870" s="26">
        <f t="shared" si="156"/>
        <v>0</v>
      </c>
    </row>
    <row r="4871" spans="2:12">
      <c r="B4871" s="4" t="e">
        <f t="shared" si="155"/>
        <v>#N/A</v>
      </c>
      <c r="C4871" s="4">
        <f>'Raw data'!E4447</f>
        <v>0</v>
      </c>
      <c r="D4871" s="29" t="e">
        <f>VLOOKUP(C4871,'점포코드 '!A:B,2,0)</f>
        <v>#N/A</v>
      </c>
      <c r="E4871" s="30">
        <f>'Raw data'!P4447</f>
        <v>0</v>
      </c>
      <c r="F4871" s="29" t="e">
        <f>VLOOKUP(E4871,'점포코드 '!A:B,2,0)</f>
        <v>#N/A</v>
      </c>
      <c r="G4871" s="46">
        <f>'Raw data'!F4780</f>
        <v>0</v>
      </c>
      <c r="H4871" s="4">
        <f>'Raw data'!G4780</f>
        <v>0</v>
      </c>
      <c r="I4871" s="29" t="e">
        <f>VLOOKUP(G4871,제품명!$C$1:$E$114,2,0)</f>
        <v>#N/A</v>
      </c>
      <c r="J4871" s="29">
        <f>'Raw data'!K4780</f>
        <v>0</v>
      </c>
      <c r="K4871" s="31">
        <f>'Raw data'!H4780</f>
        <v>0</v>
      </c>
      <c r="L4871" s="26">
        <f t="shared" si="156"/>
        <v>0</v>
      </c>
    </row>
    <row r="4872" spans="2:12">
      <c r="B4872" s="4" t="e">
        <f t="shared" si="155"/>
        <v>#N/A</v>
      </c>
      <c r="C4872" s="4">
        <f>'Raw data'!E4448</f>
        <v>0</v>
      </c>
      <c r="D4872" s="29" t="e">
        <f>VLOOKUP(C4872,'점포코드 '!A:B,2,0)</f>
        <v>#N/A</v>
      </c>
      <c r="E4872" s="30">
        <f>'Raw data'!P4448</f>
        <v>0</v>
      </c>
      <c r="F4872" s="29" t="e">
        <f>VLOOKUP(E4872,'점포코드 '!A:B,2,0)</f>
        <v>#N/A</v>
      </c>
      <c r="G4872" s="46">
        <f>'Raw data'!F4781</f>
        <v>0</v>
      </c>
      <c r="H4872" s="4">
        <f>'Raw data'!G4781</f>
        <v>0</v>
      </c>
      <c r="I4872" s="29" t="e">
        <f>VLOOKUP(G4872,제품명!$C$1:$E$114,2,0)</f>
        <v>#N/A</v>
      </c>
      <c r="J4872" s="29">
        <f>'Raw data'!K4781</f>
        <v>0</v>
      </c>
      <c r="K4872" s="31">
        <f>'Raw data'!H4781</f>
        <v>0</v>
      </c>
      <c r="L4872" s="26">
        <f t="shared" si="156"/>
        <v>0</v>
      </c>
    </row>
    <row r="4873" spans="2:12">
      <c r="B4873" s="4" t="e">
        <f t="shared" si="155"/>
        <v>#N/A</v>
      </c>
      <c r="C4873" s="4">
        <f>'Raw data'!E4449</f>
        <v>0</v>
      </c>
      <c r="D4873" s="29" t="e">
        <f>VLOOKUP(C4873,'점포코드 '!A:B,2,0)</f>
        <v>#N/A</v>
      </c>
      <c r="E4873" s="30">
        <f>'Raw data'!P4449</f>
        <v>0</v>
      </c>
      <c r="F4873" s="29" t="e">
        <f>VLOOKUP(E4873,'점포코드 '!A:B,2,0)</f>
        <v>#N/A</v>
      </c>
      <c r="G4873" s="46">
        <f>'Raw data'!F4782</f>
        <v>0</v>
      </c>
      <c r="H4873" s="4">
        <f>'Raw data'!G4782</f>
        <v>0</v>
      </c>
      <c r="I4873" s="29" t="e">
        <f>VLOOKUP(G4873,제품명!$C$1:$E$114,2,0)</f>
        <v>#N/A</v>
      </c>
      <c r="J4873" s="29">
        <f>'Raw data'!K4782</f>
        <v>0</v>
      </c>
      <c r="K4873" s="31">
        <f>'Raw data'!H4782</f>
        <v>0</v>
      </c>
      <c r="L4873" s="26">
        <f t="shared" si="156"/>
        <v>0</v>
      </c>
    </row>
    <row r="4874" spans="2:12">
      <c r="B4874" s="4" t="e">
        <f t="shared" si="155"/>
        <v>#N/A</v>
      </c>
      <c r="C4874" s="4">
        <f>'Raw data'!E4450</f>
        <v>0</v>
      </c>
      <c r="D4874" s="29" t="e">
        <f>VLOOKUP(C4874,'점포코드 '!A:B,2,0)</f>
        <v>#N/A</v>
      </c>
      <c r="E4874" s="30">
        <f>'Raw data'!P4450</f>
        <v>0</v>
      </c>
      <c r="F4874" s="29" t="e">
        <f>VLOOKUP(E4874,'점포코드 '!A:B,2,0)</f>
        <v>#N/A</v>
      </c>
      <c r="G4874" s="46">
        <f>'Raw data'!F4783</f>
        <v>0</v>
      </c>
      <c r="H4874" s="4">
        <f>'Raw data'!G4783</f>
        <v>0</v>
      </c>
      <c r="I4874" s="29" t="e">
        <f>VLOOKUP(G4874,제품명!$C$1:$E$114,2,0)</f>
        <v>#N/A</v>
      </c>
      <c r="J4874" s="29">
        <f>'Raw data'!K4783</f>
        <v>0</v>
      </c>
      <c r="K4874" s="31">
        <f>'Raw data'!H4783</f>
        <v>0</v>
      </c>
      <c r="L4874" s="26">
        <f t="shared" si="156"/>
        <v>0</v>
      </c>
    </row>
    <row r="4875" spans="2:12">
      <c r="B4875" s="4" t="e">
        <f t="shared" si="155"/>
        <v>#N/A</v>
      </c>
      <c r="C4875" s="4">
        <f>'Raw data'!E4451</f>
        <v>0</v>
      </c>
      <c r="D4875" s="29" t="e">
        <f>VLOOKUP(C4875,'점포코드 '!A:B,2,0)</f>
        <v>#N/A</v>
      </c>
      <c r="E4875" s="30">
        <f>'Raw data'!P4451</f>
        <v>0</v>
      </c>
      <c r="F4875" s="29" t="e">
        <f>VLOOKUP(E4875,'점포코드 '!A:B,2,0)</f>
        <v>#N/A</v>
      </c>
      <c r="G4875" s="46">
        <f>'Raw data'!F4784</f>
        <v>0</v>
      </c>
      <c r="H4875" s="4">
        <f>'Raw data'!G4784</f>
        <v>0</v>
      </c>
      <c r="I4875" s="29" t="e">
        <f>VLOOKUP(G4875,제품명!$C$1:$E$114,2,0)</f>
        <v>#N/A</v>
      </c>
      <c r="J4875" s="29">
        <f>'Raw data'!K4784</f>
        <v>0</v>
      </c>
      <c r="K4875" s="31">
        <f>'Raw data'!H4784</f>
        <v>0</v>
      </c>
      <c r="L4875" s="26">
        <f t="shared" si="156"/>
        <v>0</v>
      </c>
    </row>
    <row r="4876" spans="2:12">
      <c r="B4876" s="4" t="e">
        <f t="shared" si="155"/>
        <v>#N/A</v>
      </c>
      <c r="C4876" s="4">
        <f>'Raw data'!E4452</f>
        <v>0</v>
      </c>
      <c r="D4876" s="29" t="e">
        <f>VLOOKUP(C4876,'점포코드 '!A:B,2,0)</f>
        <v>#N/A</v>
      </c>
      <c r="E4876" s="30">
        <f>'Raw data'!P4452</f>
        <v>0</v>
      </c>
      <c r="F4876" s="29" t="e">
        <f>VLOOKUP(E4876,'점포코드 '!A:B,2,0)</f>
        <v>#N/A</v>
      </c>
      <c r="G4876" s="46">
        <f>'Raw data'!F4785</f>
        <v>0</v>
      </c>
      <c r="H4876" s="4">
        <f>'Raw data'!G4785</f>
        <v>0</v>
      </c>
      <c r="I4876" s="29" t="e">
        <f>VLOOKUP(G4876,제품명!$C$1:$E$114,2,0)</f>
        <v>#N/A</v>
      </c>
      <c r="J4876" s="29">
        <f>'Raw data'!K4785</f>
        <v>0</v>
      </c>
      <c r="K4876" s="31">
        <f>'Raw data'!H4785</f>
        <v>0</v>
      </c>
      <c r="L4876" s="26">
        <f t="shared" si="156"/>
        <v>0</v>
      </c>
    </row>
    <row r="4877" spans="2:12">
      <c r="B4877" s="4" t="e">
        <f t="shared" si="155"/>
        <v>#N/A</v>
      </c>
      <c r="C4877" s="4">
        <f>'Raw data'!E4453</f>
        <v>0</v>
      </c>
      <c r="D4877" s="29" t="e">
        <f>VLOOKUP(C4877,'점포코드 '!A:B,2,0)</f>
        <v>#N/A</v>
      </c>
      <c r="E4877" s="30">
        <f>'Raw data'!P4453</f>
        <v>0</v>
      </c>
      <c r="F4877" s="29" t="e">
        <f>VLOOKUP(E4877,'점포코드 '!A:B,2,0)</f>
        <v>#N/A</v>
      </c>
      <c r="G4877" s="46">
        <f>'Raw data'!F4786</f>
        <v>0</v>
      </c>
      <c r="H4877" s="4">
        <f>'Raw data'!G4786</f>
        <v>0</v>
      </c>
      <c r="I4877" s="29" t="e">
        <f>VLOOKUP(G4877,제품명!$C$1:$E$114,2,0)</f>
        <v>#N/A</v>
      </c>
      <c r="J4877" s="29">
        <f>'Raw data'!K4786</f>
        <v>0</v>
      </c>
      <c r="K4877" s="31">
        <f>'Raw data'!H4786</f>
        <v>0</v>
      </c>
      <c r="L4877" s="26">
        <f t="shared" si="156"/>
        <v>0</v>
      </c>
    </row>
    <row r="4878" spans="2:12">
      <c r="B4878" s="4" t="e">
        <f t="shared" si="155"/>
        <v>#N/A</v>
      </c>
      <c r="C4878" s="4">
        <f>'Raw data'!E4454</f>
        <v>0</v>
      </c>
      <c r="D4878" s="29" t="e">
        <f>VLOOKUP(C4878,'점포코드 '!A:B,2,0)</f>
        <v>#N/A</v>
      </c>
      <c r="E4878" s="30">
        <f>'Raw data'!P4454</f>
        <v>0</v>
      </c>
      <c r="F4878" s="29" t="e">
        <f>VLOOKUP(E4878,'점포코드 '!A:B,2,0)</f>
        <v>#N/A</v>
      </c>
      <c r="G4878" s="46">
        <f>'Raw data'!F4787</f>
        <v>0</v>
      </c>
      <c r="H4878" s="4">
        <f>'Raw data'!G4787</f>
        <v>0</v>
      </c>
      <c r="I4878" s="29" t="e">
        <f>VLOOKUP(G4878,제품명!$C$1:$E$114,2,0)</f>
        <v>#N/A</v>
      </c>
      <c r="J4878" s="29">
        <f>'Raw data'!K4787</f>
        <v>0</v>
      </c>
      <c r="K4878" s="31">
        <f>'Raw data'!H4787</f>
        <v>0</v>
      </c>
      <c r="L4878" s="26">
        <f t="shared" si="156"/>
        <v>0</v>
      </c>
    </row>
    <row r="4879" spans="2:12">
      <c r="B4879" s="4" t="e">
        <f t="shared" si="155"/>
        <v>#N/A</v>
      </c>
      <c r="C4879" s="4">
        <f>'Raw data'!E4455</f>
        <v>0</v>
      </c>
      <c r="D4879" s="29" t="e">
        <f>VLOOKUP(C4879,'점포코드 '!A:B,2,0)</f>
        <v>#N/A</v>
      </c>
      <c r="E4879" s="30">
        <f>'Raw data'!P4455</f>
        <v>0</v>
      </c>
      <c r="F4879" s="29" t="e">
        <f>VLOOKUP(E4879,'점포코드 '!A:B,2,0)</f>
        <v>#N/A</v>
      </c>
      <c r="G4879" s="46">
        <f>'Raw data'!F4788</f>
        <v>0</v>
      </c>
      <c r="H4879" s="4">
        <f>'Raw data'!G4788</f>
        <v>0</v>
      </c>
      <c r="I4879" s="29" t="e">
        <f>VLOOKUP(G4879,제품명!$C$1:$E$114,2,0)</f>
        <v>#N/A</v>
      </c>
      <c r="J4879" s="29">
        <f>'Raw data'!K4788</f>
        <v>0</v>
      </c>
      <c r="K4879" s="31">
        <f>'Raw data'!H4788</f>
        <v>0</v>
      </c>
      <c r="L4879" s="26">
        <f t="shared" si="156"/>
        <v>0</v>
      </c>
    </row>
    <row r="4880" spans="2:12">
      <c r="B4880" s="4" t="e">
        <f t="shared" si="155"/>
        <v>#N/A</v>
      </c>
      <c r="C4880" s="4">
        <f>'Raw data'!E4456</f>
        <v>0</v>
      </c>
      <c r="D4880" s="29" t="e">
        <f>VLOOKUP(C4880,'점포코드 '!A:B,2,0)</f>
        <v>#N/A</v>
      </c>
      <c r="E4880" s="30">
        <f>'Raw data'!P4456</f>
        <v>0</v>
      </c>
      <c r="F4880" s="29" t="e">
        <f>VLOOKUP(E4880,'점포코드 '!A:B,2,0)</f>
        <v>#N/A</v>
      </c>
      <c r="G4880" s="46">
        <f>'Raw data'!F4789</f>
        <v>0</v>
      </c>
      <c r="H4880" s="4">
        <f>'Raw data'!G4789</f>
        <v>0</v>
      </c>
      <c r="I4880" s="29" t="e">
        <f>VLOOKUP(G4880,제품명!$C$1:$E$114,2,0)</f>
        <v>#N/A</v>
      </c>
      <c r="J4880" s="29">
        <f>'Raw data'!K4789</f>
        <v>0</v>
      </c>
      <c r="K4880" s="31">
        <f>'Raw data'!H4789</f>
        <v>0</v>
      </c>
      <c r="L4880" s="26">
        <f t="shared" si="156"/>
        <v>0</v>
      </c>
    </row>
    <row r="4881" spans="2:12">
      <c r="B4881" s="4" t="e">
        <f t="shared" si="155"/>
        <v>#N/A</v>
      </c>
      <c r="C4881" s="4">
        <f>'Raw data'!E4457</f>
        <v>0</v>
      </c>
      <c r="D4881" s="29" t="e">
        <f>VLOOKUP(C4881,'점포코드 '!A:B,2,0)</f>
        <v>#N/A</v>
      </c>
      <c r="E4881" s="30">
        <f>'Raw data'!P4457</f>
        <v>0</v>
      </c>
      <c r="F4881" s="29" t="e">
        <f>VLOOKUP(E4881,'점포코드 '!A:B,2,0)</f>
        <v>#N/A</v>
      </c>
      <c r="G4881" s="46">
        <f>'Raw data'!F4790</f>
        <v>0</v>
      </c>
      <c r="H4881" s="4">
        <f>'Raw data'!G4790</f>
        <v>0</v>
      </c>
      <c r="I4881" s="29" t="e">
        <f>VLOOKUP(G4881,제품명!$C$1:$E$114,2,0)</f>
        <v>#N/A</v>
      </c>
      <c r="J4881" s="29">
        <f>'Raw data'!K4790</f>
        <v>0</v>
      </c>
      <c r="K4881" s="31">
        <f>'Raw data'!H4790</f>
        <v>0</v>
      </c>
      <c r="L4881" s="26">
        <f t="shared" si="156"/>
        <v>0</v>
      </c>
    </row>
    <row r="4882" spans="2:12">
      <c r="B4882" s="4" t="e">
        <f t="shared" si="155"/>
        <v>#N/A</v>
      </c>
      <c r="C4882" s="4">
        <f>'Raw data'!E4458</f>
        <v>0</v>
      </c>
      <c r="D4882" s="29" t="e">
        <f>VLOOKUP(C4882,'점포코드 '!A:B,2,0)</f>
        <v>#N/A</v>
      </c>
      <c r="E4882" s="30">
        <f>'Raw data'!P4458</f>
        <v>0</v>
      </c>
      <c r="F4882" s="29" t="e">
        <f>VLOOKUP(E4882,'점포코드 '!A:B,2,0)</f>
        <v>#N/A</v>
      </c>
      <c r="G4882" s="46">
        <f>'Raw data'!F4791</f>
        <v>0</v>
      </c>
      <c r="H4882" s="4">
        <f>'Raw data'!G4791</f>
        <v>0</v>
      </c>
      <c r="I4882" s="29" t="e">
        <f>VLOOKUP(G4882,제품명!$C$1:$E$114,2,0)</f>
        <v>#N/A</v>
      </c>
      <c r="J4882" s="29">
        <f>'Raw data'!K4791</f>
        <v>0</v>
      </c>
      <c r="K4882" s="31">
        <f>'Raw data'!H4791</f>
        <v>0</v>
      </c>
      <c r="L4882" s="26">
        <f t="shared" si="156"/>
        <v>0</v>
      </c>
    </row>
    <row r="4883" spans="2:12">
      <c r="B4883" s="4" t="e">
        <f t="shared" si="155"/>
        <v>#N/A</v>
      </c>
      <c r="C4883" s="4">
        <f>'Raw data'!E4459</f>
        <v>0</v>
      </c>
      <c r="D4883" s="29" t="e">
        <f>VLOOKUP(C4883,'점포코드 '!A:B,2,0)</f>
        <v>#N/A</v>
      </c>
      <c r="E4883" s="30">
        <f>'Raw data'!P4459</f>
        <v>0</v>
      </c>
      <c r="F4883" s="29" t="e">
        <f>VLOOKUP(E4883,'점포코드 '!A:B,2,0)</f>
        <v>#N/A</v>
      </c>
      <c r="G4883" s="46">
        <f>'Raw data'!F4792</f>
        <v>0</v>
      </c>
      <c r="H4883" s="4">
        <f>'Raw data'!G4792</f>
        <v>0</v>
      </c>
      <c r="I4883" s="29" t="e">
        <f>VLOOKUP(G4883,제품명!$C$1:$E$114,2,0)</f>
        <v>#N/A</v>
      </c>
      <c r="J4883" s="29">
        <f>'Raw data'!K4792</f>
        <v>0</v>
      </c>
      <c r="K4883" s="31">
        <f>'Raw data'!H4792</f>
        <v>0</v>
      </c>
      <c r="L4883" s="26">
        <f t="shared" si="156"/>
        <v>0</v>
      </c>
    </row>
    <row r="4884" spans="2:12">
      <c r="B4884" s="4" t="e">
        <f t="shared" si="155"/>
        <v>#N/A</v>
      </c>
      <c r="C4884" s="4">
        <f>'Raw data'!E4460</f>
        <v>0</v>
      </c>
      <c r="D4884" s="29" t="e">
        <f>VLOOKUP(C4884,'점포코드 '!A:B,2,0)</f>
        <v>#N/A</v>
      </c>
      <c r="E4884" s="30">
        <f>'Raw data'!P4460</f>
        <v>0</v>
      </c>
      <c r="F4884" s="29" t="e">
        <f>VLOOKUP(E4884,'점포코드 '!A:B,2,0)</f>
        <v>#N/A</v>
      </c>
      <c r="G4884" s="46">
        <f>'Raw data'!F4793</f>
        <v>0</v>
      </c>
      <c r="H4884" s="4">
        <f>'Raw data'!G4793</f>
        <v>0</v>
      </c>
      <c r="I4884" s="29" t="e">
        <f>VLOOKUP(G4884,제품명!$C$1:$E$114,2,0)</f>
        <v>#N/A</v>
      </c>
      <c r="J4884" s="29">
        <f>'Raw data'!K4793</f>
        <v>0</v>
      </c>
      <c r="K4884" s="31">
        <f>'Raw data'!H4793</f>
        <v>0</v>
      </c>
      <c r="L4884" s="26">
        <f t="shared" si="156"/>
        <v>0</v>
      </c>
    </row>
    <row r="4885" spans="2:12">
      <c r="B4885" s="4" t="e">
        <f t="shared" si="155"/>
        <v>#N/A</v>
      </c>
      <c r="C4885" s="4">
        <f>'Raw data'!E4461</f>
        <v>0</v>
      </c>
      <c r="D4885" s="29" t="e">
        <f>VLOOKUP(C4885,'점포코드 '!A:B,2,0)</f>
        <v>#N/A</v>
      </c>
      <c r="E4885" s="30">
        <f>'Raw data'!P4461</f>
        <v>0</v>
      </c>
      <c r="F4885" s="29" t="e">
        <f>VLOOKUP(E4885,'점포코드 '!A:B,2,0)</f>
        <v>#N/A</v>
      </c>
      <c r="G4885" s="46">
        <f>'Raw data'!F4794</f>
        <v>0</v>
      </c>
      <c r="H4885" s="4">
        <f>'Raw data'!G4794</f>
        <v>0</v>
      </c>
      <c r="I4885" s="29" t="e">
        <f>VLOOKUP(G4885,제품명!$C$1:$E$114,2,0)</f>
        <v>#N/A</v>
      </c>
      <c r="J4885" s="29">
        <f>'Raw data'!K4794</f>
        <v>0</v>
      </c>
      <c r="K4885" s="31">
        <f>'Raw data'!H4794</f>
        <v>0</v>
      </c>
      <c r="L4885" s="26">
        <f t="shared" si="156"/>
        <v>0</v>
      </c>
    </row>
    <row r="4886" spans="2:12">
      <c r="B4886" s="4" t="e">
        <f t="shared" si="155"/>
        <v>#N/A</v>
      </c>
      <c r="C4886" s="4">
        <f>'Raw data'!E4462</f>
        <v>0</v>
      </c>
      <c r="D4886" s="29" t="e">
        <f>VLOOKUP(C4886,'점포코드 '!A:B,2,0)</f>
        <v>#N/A</v>
      </c>
      <c r="E4886" s="30">
        <f>'Raw data'!P4462</f>
        <v>0</v>
      </c>
      <c r="F4886" s="29" t="e">
        <f>VLOOKUP(E4886,'점포코드 '!A:B,2,0)</f>
        <v>#N/A</v>
      </c>
      <c r="G4886" s="46">
        <f>'Raw data'!F4795</f>
        <v>0</v>
      </c>
      <c r="H4886" s="4">
        <f>'Raw data'!G4795</f>
        <v>0</v>
      </c>
      <c r="I4886" s="29" t="e">
        <f>VLOOKUP(G4886,제품명!$C$1:$E$114,2,0)</f>
        <v>#N/A</v>
      </c>
      <c r="J4886" s="29">
        <f>'Raw data'!K4795</f>
        <v>0</v>
      </c>
      <c r="K4886" s="31">
        <f>'Raw data'!H4795</f>
        <v>0</v>
      </c>
      <c r="L4886" s="26">
        <f t="shared" si="156"/>
        <v>0</v>
      </c>
    </row>
    <row r="4887" spans="2:12">
      <c r="B4887" s="4" t="e">
        <f t="shared" si="155"/>
        <v>#N/A</v>
      </c>
      <c r="C4887" s="4">
        <f>'Raw data'!E4463</f>
        <v>0</v>
      </c>
      <c r="D4887" s="29" t="e">
        <f>VLOOKUP(C4887,'점포코드 '!A:B,2,0)</f>
        <v>#N/A</v>
      </c>
      <c r="E4887" s="30">
        <f>'Raw data'!P4463</f>
        <v>0</v>
      </c>
      <c r="F4887" s="29" t="e">
        <f>VLOOKUP(E4887,'점포코드 '!A:B,2,0)</f>
        <v>#N/A</v>
      </c>
      <c r="G4887" s="46">
        <f>'Raw data'!F4796</f>
        <v>0</v>
      </c>
      <c r="H4887" s="4">
        <f>'Raw data'!G4796</f>
        <v>0</v>
      </c>
      <c r="I4887" s="29" t="e">
        <f>VLOOKUP(G4887,제품명!$C$1:$E$114,2,0)</f>
        <v>#N/A</v>
      </c>
      <c r="J4887" s="29">
        <f>'Raw data'!K4796</f>
        <v>0</v>
      </c>
      <c r="K4887" s="31">
        <f>'Raw data'!H4796</f>
        <v>0</v>
      </c>
      <c r="L4887" s="26">
        <f t="shared" si="156"/>
        <v>0</v>
      </c>
    </row>
    <row r="4888" spans="2:12">
      <c r="B4888" s="4" t="e">
        <f t="shared" si="155"/>
        <v>#N/A</v>
      </c>
      <c r="C4888" s="4">
        <f>'Raw data'!E4464</f>
        <v>0</v>
      </c>
      <c r="D4888" s="29" t="e">
        <f>VLOOKUP(C4888,'점포코드 '!A:B,2,0)</f>
        <v>#N/A</v>
      </c>
      <c r="E4888" s="30">
        <f>'Raw data'!P4464</f>
        <v>0</v>
      </c>
      <c r="F4888" s="29" t="e">
        <f>VLOOKUP(E4888,'점포코드 '!A:B,2,0)</f>
        <v>#N/A</v>
      </c>
      <c r="G4888" s="46">
        <f>'Raw data'!F4797</f>
        <v>0</v>
      </c>
      <c r="H4888" s="4">
        <f>'Raw data'!G4797</f>
        <v>0</v>
      </c>
      <c r="I4888" s="29" t="e">
        <f>VLOOKUP(G4888,제품명!$C$1:$E$114,2,0)</f>
        <v>#N/A</v>
      </c>
      <c r="J4888" s="29">
        <f>'Raw data'!K4797</f>
        <v>0</v>
      </c>
      <c r="K4888" s="31">
        <f>'Raw data'!H4797</f>
        <v>0</v>
      </c>
      <c r="L4888" s="26">
        <f t="shared" si="156"/>
        <v>0</v>
      </c>
    </row>
    <row r="4889" spans="2:12">
      <c r="B4889" s="4" t="e">
        <f t="shared" si="155"/>
        <v>#N/A</v>
      </c>
      <c r="C4889" s="4">
        <f>'Raw data'!E4465</f>
        <v>0</v>
      </c>
      <c r="D4889" s="29" t="e">
        <f>VLOOKUP(C4889,'점포코드 '!A:B,2,0)</f>
        <v>#N/A</v>
      </c>
      <c r="E4889" s="30">
        <f>'Raw data'!P4465</f>
        <v>0</v>
      </c>
      <c r="F4889" s="29" t="e">
        <f>VLOOKUP(E4889,'점포코드 '!A:B,2,0)</f>
        <v>#N/A</v>
      </c>
      <c r="G4889" s="46">
        <f>'Raw data'!F4798</f>
        <v>0</v>
      </c>
      <c r="H4889" s="4">
        <f>'Raw data'!G4798</f>
        <v>0</v>
      </c>
      <c r="I4889" s="29" t="e">
        <f>VLOOKUP(G4889,제품명!$C$1:$E$114,2,0)</f>
        <v>#N/A</v>
      </c>
      <c r="J4889" s="29">
        <f>'Raw data'!K4798</f>
        <v>0</v>
      </c>
      <c r="K4889" s="31">
        <f>'Raw data'!H4798</f>
        <v>0</v>
      </c>
      <c r="L4889" s="26">
        <f t="shared" si="156"/>
        <v>0</v>
      </c>
    </row>
    <row r="4890" spans="2:12">
      <c r="B4890" s="4" t="e">
        <f t="shared" si="155"/>
        <v>#N/A</v>
      </c>
      <c r="C4890" s="4">
        <f>'Raw data'!E4466</f>
        <v>0</v>
      </c>
      <c r="D4890" s="29" t="e">
        <f>VLOOKUP(C4890,'점포코드 '!A:B,2,0)</f>
        <v>#N/A</v>
      </c>
      <c r="E4890" s="30">
        <f>'Raw data'!P4466</f>
        <v>0</v>
      </c>
      <c r="F4890" s="29" t="e">
        <f>VLOOKUP(E4890,'점포코드 '!A:B,2,0)</f>
        <v>#N/A</v>
      </c>
      <c r="G4890" s="46">
        <f>'Raw data'!F4799</f>
        <v>0</v>
      </c>
      <c r="H4890" s="4">
        <f>'Raw data'!G4799</f>
        <v>0</v>
      </c>
      <c r="I4890" s="29" t="e">
        <f>VLOOKUP(G4890,제품명!$C$1:$E$114,2,0)</f>
        <v>#N/A</v>
      </c>
      <c r="J4890" s="29">
        <f>'Raw data'!K4799</f>
        <v>0</v>
      </c>
      <c r="K4890" s="31">
        <f>'Raw data'!H4799</f>
        <v>0</v>
      </c>
      <c r="L4890" s="26">
        <f t="shared" si="156"/>
        <v>0</v>
      </c>
    </row>
    <row r="4891" spans="2:12">
      <c r="B4891" s="4" t="e">
        <f t="shared" si="155"/>
        <v>#N/A</v>
      </c>
      <c r="C4891" s="4">
        <f>'Raw data'!E4467</f>
        <v>0</v>
      </c>
      <c r="D4891" s="29" t="e">
        <f>VLOOKUP(C4891,'점포코드 '!A:B,2,0)</f>
        <v>#N/A</v>
      </c>
      <c r="E4891" s="30">
        <f>'Raw data'!P4467</f>
        <v>0</v>
      </c>
      <c r="F4891" s="29" t="e">
        <f>VLOOKUP(E4891,'점포코드 '!A:B,2,0)</f>
        <v>#N/A</v>
      </c>
      <c r="G4891" s="46">
        <f>'Raw data'!F4800</f>
        <v>0</v>
      </c>
      <c r="H4891" s="4">
        <f>'Raw data'!G4800</f>
        <v>0</v>
      </c>
      <c r="I4891" s="29" t="e">
        <f>VLOOKUP(G4891,제품명!$C$1:$E$114,2,0)</f>
        <v>#N/A</v>
      </c>
      <c r="J4891" s="29">
        <f>'Raw data'!K4800</f>
        <v>0</v>
      </c>
      <c r="K4891" s="31">
        <f>'Raw data'!H4800</f>
        <v>0</v>
      </c>
      <c r="L4891" s="26">
        <f t="shared" si="156"/>
        <v>0</v>
      </c>
    </row>
    <row r="4892" spans="2:12">
      <c r="B4892" s="4" t="e">
        <f t="shared" si="155"/>
        <v>#N/A</v>
      </c>
      <c r="C4892" s="4">
        <f>'Raw data'!E4468</f>
        <v>0</v>
      </c>
      <c r="D4892" s="29" t="e">
        <f>VLOOKUP(C4892,'점포코드 '!A:B,2,0)</f>
        <v>#N/A</v>
      </c>
      <c r="E4892" s="30">
        <f>'Raw data'!P4468</f>
        <v>0</v>
      </c>
      <c r="F4892" s="29" t="e">
        <f>VLOOKUP(E4892,'점포코드 '!A:B,2,0)</f>
        <v>#N/A</v>
      </c>
      <c r="G4892" s="46">
        <f>'Raw data'!F4801</f>
        <v>0</v>
      </c>
      <c r="H4892" s="4">
        <f>'Raw data'!G4801</f>
        <v>0</v>
      </c>
      <c r="I4892" s="29" t="e">
        <f>VLOOKUP(G4892,제품명!$C$1:$E$114,2,0)</f>
        <v>#N/A</v>
      </c>
      <c r="J4892" s="29">
        <f>'Raw data'!K4801</f>
        <v>0</v>
      </c>
      <c r="K4892" s="31">
        <f>'Raw data'!H4801</f>
        <v>0</v>
      </c>
      <c r="L4892" s="26">
        <f t="shared" si="156"/>
        <v>0</v>
      </c>
    </row>
    <row r="4893" spans="2:12">
      <c r="B4893" s="4" t="e">
        <f t="shared" si="155"/>
        <v>#N/A</v>
      </c>
      <c r="C4893" s="4">
        <f>'Raw data'!E4469</f>
        <v>0</v>
      </c>
      <c r="D4893" s="29" t="e">
        <f>VLOOKUP(C4893,'점포코드 '!A:B,2,0)</f>
        <v>#N/A</v>
      </c>
      <c r="E4893" s="30">
        <f>'Raw data'!P4469</f>
        <v>0</v>
      </c>
      <c r="F4893" s="29" t="e">
        <f>VLOOKUP(E4893,'점포코드 '!A:B,2,0)</f>
        <v>#N/A</v>
      </c>
      <c r="G4893" s="46">
        <f>'Raw data'!F4802</f>
        <v>0</v>
      </c>
      <c r="H4893" s="4">
        <f>'Raw data'!G4802</f>
        <v>0</v>
      </c>
      <c r="I4893" s="29" t="e">
        <f>VLOOKUP(G4893,제품명!$C$1:$E$114,2,0)</f>
        <v>#N/A</v>
      </c>
      <c r="J4893" s="29">
        <f>'Raw data'!K4802</f>
        <v>0</v>
      </c>
      <c r="K4893" s="31">
        <f>'Raw data'!H4802</f>
        <v>0</v>
      </c>
      <c r="L4893" s="26">
        <f t="shared" si="156"/>
        <v>0</v>
      </c>
    </row>
    <row r="4894" spans="2:12">
      <c r="B4894" s="4" t="e">
        <f t="shared" si="155"/>
        <v>#N/A</v>
      </c>
      <c r="C4894" s="4">
        <f>'Raw data'!E4470</f>
        <v>0</v>
      </c>
      <c r="D4894" s="29" t="e">
        <f>VLOOKUP(C4894,'점포코드 '!A:B,2,0)</f>
        <v>#N/A</v>
      </c>
      <c r="E4894" s="30">
        <f>'Raw data'!P4470</f>
        <v>0</v>
      </c>
      <c r="F4894" s="29" t="e">
        <f>VLOOKUP(E4894,'점포코드 '!A:B,2,0)</f>
        <v>#N/A</v>
      </c>
      <c r="G4894" s="46">
        <f>'Raw data'!F4803</f>
        <v>0</v>
      </c>
      <c r="H4894" s="4">
        <f>'Raw data'!G4803</f>
        <v>0</v>
      </c>
      <c r="I4894" s="29" t="e">
        <f>VLOOKUP(G4894,제품명!$C$1:$E$114,2,0)</f>
        <v>#N/A</v>
      </c>
      <c r="J4894" s="29">
        <f>'Raw data'!K4803</f>
        <v>0</v>
      </c>
      <c r="K4894" s="31">
        <f>'Raw data'!H4803</f>
        <v>0</v>
      </c>
      <c r="L4894" s="26">
        <f t="shared" si="156"/>
        <v>0</v>
      </c>
    </row>
    <row r="4895" spans="2:12">
      <c r="B4895" s="4" t="e">
        <f t="shared" si="155"/>
        <v>#N/A</v>
      </c>
      <c r="C4895" s="4">
        <f>'Raw data'!E4471</f>
        <v>0</v>
      </c>
      <c r="D4895" s="29" t="e">
        <f>VLOOKUP(C4895,'점포코드 '!A:B,2,0)</f>
        <v>#N/A</v>
      </c>
      <c r="E4895" s="30">
        <f>'Raw data'!P4471</f>
        <v>0</v>
      </c>
      <c r="F4895" s="29" t="e">
        <f>VLOOKUP(E4895,'점포코드 '!A:B,2,0)</f>
        <v>#N/A</v>
      </c>
      <c r="G4895" s="46">
        <f>'Raw data'!F4804</f>
        <v>0</v>
      </c>
      <c r="H4895" s="4">
        <f>'Raw data'!G4804</f>
        <v>0</v>
      </c>
      <c r="I4895" s="29" t="e">
        <f>VLOOKUP(G4895,제품명!$C$1:$E$114,2,0)</f>
        <v>#N/A</v>
      </c>
      <c r="J4895" s="29">
        <f>'Raw data'!K4804</f>
        <v>0</v>
      </c>
      <c r="K4895" s="31">
        <f>'Raw data'!H4804</f>
        <v>0</v>
      </c>
      <c r="L4895" s="26">
        <f t="shared" si="156"/>
        <v>0</v>
      </c>
    </row>
    <row r="4896" spans="2:12">
      <c r="B4896" s="4" t="e">
        <f t="shared" si="155"/>
        <v>#N/A</v>
      </c>
      <c r="C4896" s="4">
        <f>'Raw data'!E4472</f>
        <v>0</v>
      </c>
      <c r="D4896" s="29" t="e">
        <f>VLOOKUP(C4896,'점포코드 '!A:B,2,0)</f>
        <v>#N/A</v>
      </c>
      <c r="E4896" s="30">
        <f>'Raw data'!P4472</f>
        <v>0</v>
      </c>
      <c r="F4896" s="29" t="e">
        <f>VLOOKUP(E4896,'점포코드 '!A:B,2,0)</f>
        <v>#N/A</v>
      </c>
      <c r="G4896" s="46">
        <f>'Raw data'!F4805</f>
        <v>0</v>
      </c>
      <c r="H4896" s="4">
        <f>'Raw data'!G4805</f>
        <v>0</v>
      </c>
      <c r="I4896" s="29" t="e">
        <f>VLOOKUP(G4896,제품명!$C$1:$E$114,2,0)</f>
        <v>#N/A</v>
      </c>
      <c r="J4896" s="29">
        <f>'Raw data'!K4805</f>
        <v>0</v>
      </c>
      <c r="K4896" s="31">
        <f>'Raw data'!H4805</f>
        <v>0</v>
      </c>
      <c r="L4896" s="26">
        <f t="shared" si="156"/>
        <v>0</v>
      </c>
    </row>
    <row r="4897" spans="2:12">
      <c r="B4897" s="4" t="e">
        <f t="shared" si="155"/>
        <v>#N/A</v>
      </c>
      <c r="C4897" s="4">
        <f>'Raw data'!E4473</f>
        <v>0</v>
      </c>
      <c r="D4897" s="29" t="e">
        <f>VLOOKUP(C4897,'점포코드 '!A:B,2,0)</f>
        <v>#N/A</v>
      </c>
      <c r="E4897" s="30">
        <f>'Raw data'!P4473</f>
        <v>0</v>
      </c>
      <c r="F4897" s="29" t="e">
        <f>VLOOKUP(E4897,'점포코드 '!A:B,2,0)</f>
        <v>#N/A</v>
      </c>
      <c r="G4897" s="46">
        <f>'Raw data'!F4806</f>
        <v>0</v>
      </c>
      <c r="H4897" s="4">
        <f>'Raw data'!G4806</f>
        <v>0</v>
      </c>
      <c r="I4897" s="29" t="e">
        <f>VLOOKUP(G4897,제품명!$C$1:$E$114,2,0)</f>
        <v>#N/A</v>
      </c>
      <c r="J4897" s="29">
        <f>'Raw data'!K4806</f>
        <v>0</v>
      </c>
      <c r="K4897" s="31">
        <f>'Raw data'!H4806</f>
        <v>0</v>
      </c>
      <c r="L4897" s="26">
        <f t="shared" si="156"/>
        <v>0</v>
      </c>
    </row>
    <row r="4898" spans="2:12">
      <c r="B4898" s="4" t="e">
        <f t="shared" si="155"/>
        <v>#N/A</v>
      </c>
      <c r="C4898" s="4">
        <f>'Raw data'!E4474</f>
        <v>0</v>
      </c>
      <c r="D4898" s="29" t="e">
        <f>VLOOKUP(C4898,'점포코드 '!A:B,2,0)</f>
        <v>#N/A</v>
      </c>
      <c r="E4898" s="30">
        <f>'Raw data'!P4474</f>
        <v>0</v>
      </c>
      <c r="F4898" s="29" t="e">
        <f>VLOOKUP(E4898,'점포코드 '!A:B,2,0)</f>
        <v>#N/A</v>
      </c>
      <c r="G4898" s="46">
        <f>'Raw data'!F4807</f>
        <v>0</v>
      </c>
      <c r="H4898" s="4">
        <f>'Raw data'!G4807</f>
        <v>0</v>
      </c>
      <c r="I4898" s="29" t="e">
        <f>VLOOKUP(G4898,제품명!$C$1:$E$114,2,0)</f>
        <v>#N/A</v>
      </c>
      <c r="J4898" s="29">
        <f>'Raw data'!K4807</f>
        <v>0</v>
      </c>
      <c r="K4898" s="31">
        <f>'Raw data'!H4807</f>
        <v>0</v>
      </c>
      <c r="L4898" s="26">
        <f t="shared" si="156"/>
        <v>0</v>
      </c>
    </row>
    <row r="4899" spans="2:12">
      <c r="B4899" s="4" t="e">
        <f t="shared" si="155"/>
        <v>#N/A</v>
      </c>
      <c r="C4899" s="4">
        <f>'Raw data'!E4475</f>
        <v>0</v>
      </c>
      <c r="D4899" s="29" t="e">
        <f>VLOOKUP(C4899,'점포코드 '!A:B,2,0)</f>
        <v>#N/A</v>
      </c>
      <c r="E4899" s="30">
        <f>'Raw data'!P4475</f>
        <v>0</v>
      </c>
      <c r="F4899" s="29" t="e">
        <f>VLOOKUP(E4899,'점포코드 '!A:B,2,0)</f>
        <v>#N/A</v>
      </c>
      <c r="G4899" s="46">
        <f>'Raw data'!F4808</f>
        <v>0</v>
      </c>
      <c r="H4899" s="4">
        <f>'Raw data'!G4808</f>
        <v>0</v>
      </c>
      <c r="I4899" s="29" t="e">
        <f>VLOOKUP(G4899,제품명!$C$1:$E$114,2,0)</f>
        <v>#N/A</v>
      </c>
      <c r="J4899" s="29">
        <f>'Raw data'!K4808</f>
        <v>0</v>
      </c>
      <c r="K4899" s="31">
        <f>'Raw data'!H4808</f>
        <v>0</v>
      </c>
      <c r="L4899" s="26">
        <f t="shared" si="156"/>
        <v>0</v>
      </c>
    </row>
    <row r="4900" spans="2:12">
      <c r="B4900" s="4" t="e">
        <f t="shared" si="155"/>
        <v>#N/A</v>
      </c>
      <c r="C4900" s="4">
        <f>'Raw data'!E4476</f>
        <v>0</v>
      </c>
      <c r="D4900" s="29" t="e">
        <f>VLOOKUP(C4900,'점포코드 '!A:B,2,0)</f>
        <v>#N/A</v>
      </c>
      <c r="E4900" s="30">
        <f>'Raw data'!P4476</f>
        <v>0</v>
      </c>
      <c r="F4900" s="29" t="e">
        <f>VLOOKUP(E4900,'점포코드 '!A:B,2,0)</f>
        <v>#N/A</v>
      </c>
      <c r="G4900" s="46">
        <f>'Raw data'!F4809</f>
        <v>0</v>
      </c>
      <c r="H4900" s="4">
        <f>'Raw data'!G4809</f>
        <v>0</v>
      </c>
      <c r="I4900" s="29" t="e">
        <f>VLOOKUP(G4900,제품명!$C$1:$E$114,2,0)</f>
        <v>#N/A</v>
      </c>
      <c r="J4900" s="29">
        <f>'Raw data'!K4809</f>
        <v>0</v>
      </c>
      <c r="K4900" s="31">
        <f>'Raw data'!H4809</f>
        <v>0</v>
      </c>
      <c r="L4900" s="26">
        <f t="shared" si="156"/>
        <v>0</v>
      </c>
    </row>
    <row r="4901" spans="2:12">
      <c r="B4901" s="4" t="e">
        <f t="shared" si="155"/>
        <v>#N/A</v>
      </c>
      <c r="C4901" s="4">
        <f>'Raw data'!E4477</f>
        <v>0</v>
      </c>
      <c r="D4901" s="29" t="e">
        <f>VLOOKUP(C4901,'점포코드 '!A:B,2,0)</f>
        <v>#N/A</v>
      </c>
      <c r="E4901" s="30">
        <f>'Raw data'!P4477</f>
        <v>0</v>
      </c>
      <c r="F4901" s="29" t="e">
        <f>VLOOKUP(E4901,'점포코드 '!A:B,2,0)</f>
        <v>#N/A</v>
      </c>
      <c r="G4901" s="46">
        <f>'Raw data'!F4810</f>
        <v>0</v>
      </c>
      <c r="H4901" s="4">
        <f>'Raw data'!G4810</f>
        <v>0</v>
      </c>
      <c r="I4901" s="29" t="e">
        <f>VLOOKUP(G4901,제품명!$C$1:$E$114,2,0)</f>
        <v>#N/A</v>
      </c>
      <c r="J4901" s="29">
        <f>'Raw data'!K4810</f>
        <v>0</v>
      </c>
      <c r="K4901" s="31">
        <f>'Raw data'!H4810</f>
        <v>0</v>
      </c>
      <c r="L4901" s="26">
        <f t="shared" si="156"/>
        <v>0</v>
      </c>
    </row>
    <row r="4902" spans="2:12">
      <c r="B4902" s="4" t="e">
        <f t="shared" si="155"/>
        <v>#N/A</v>
      </c>
      <c r="C4902" s="4">
        <f>'Raw data'!E4478</f>
        <v>0</v>
      </c>
      <c r="D4902" s="29" t="e">
        <f>VLOOKUP(C4902,'점포코드 '!A:B,2,0)</f>
        <v>#N/A</v>
      </c>
      <c r="E4902" s="30">
        <f>'Raw data'!P4478</f>
        <v>0</v>
      </c>
      <c r="F4902" s="29" t="e">
        <f>VLOOKUP(E4902,'점포코드 '!A:B,2,0)</f>
        <v>#N/A</v>
      </c>
      <c r="G4902" s="46">
        <f>'Raw data'!F4811</f>
        <v>0</v>
      </c>
      <c r="H4902" s="4">
        <f>'Raw data'!G4811</f>
        <v>0</v>
      </c>
      <c r="I4902" s="29" t="e">
        <f>VLOOKUP(G4902,제품명!$C$1:$E$114,2,0)</f>
        <v>#N/A</v>
      </c>
      <c r="J4902" s="29">
        <f>'Raw data'!K4811</f>
        <v>0</v>
      </c>
      <c r="K4902" s="31">
        <f>'Raw data'!H4811</f>
        <v>0</v>
      </c>
      <c r="L4902" s="26">
        <f t="shared" si="156"/>
        <v>0</v>
      </c>
    </row>
    <row r="4903" spans="2:12">
      <c r="B4903" s="4" t="e">
        <f t="shared" si="155"/>
        <v>#N/A</v>
      </c>
      <c r="C4903" s="4">
        <f>'Raw data'!E4479</f>
        <v>0</v>
      </c>
      <c r="D4903" s="29" t="e">
        <f>VLOOKUP(C4903,'점포코드 '!A:B,2,0)</f>
        <v>#N/A</v>
      </c>
      <c r="E4903" s="30">
        <f>'Raw data'!P4479</f>
        <v>0</v>
      </c>
      <c r="F4903" s="29" t="e">
        <f>VLOOKUP(E4903,'점포코드 '!A:B,2,0)</f>
        <v>#N/A</v>
      </c>
      <c r="G4903" s="46">
        <f>'Raw data'!F4812</f>
        <v>0</v>
      </c>
      <c r="H4903" s="4">
        <f>'Raw data'!G4812</f>
        <v>0</v>
      </c>
      <c r="I4903" s="29" t="e">
        <f>VLOOKUP(G4903,제품명!$C$1:$E$114,2,0)</f>
        <v>#N/A</v>
      </c>
      <c r="J4903" s="29">
        <f>'Raw data'!K4812</f>
        <v>0</v>
      </c>
      <c r="K4903" s="31">
        <f>'Raw data'!H4812</f>
        <v>0</v>
      </c>
      <c r="L4903" s="26">
        <f t="shared" si="156"/>
        <v>0</v>
      </c>
    </row>
    <row r="4904" spans="2:12">
      <c r="B4904" s="4" t="e">
        <f t="shared" si="155"/>
        <v>#N/A</v>
      </c>
      <c r="C4904" s="4">
        <f>'Raw data'!E4480</f>
        <v>0</v>
      </c>
      <c r="D4904" s="29" t="e">
        <f>VLOOKUP(C4904,'점포코드 '!A:B,2,0)</f>
        <v>#N/A</v>
      </c>
      <c r="E4904" s="30">
        <f>'Raw data'!P4480</f>
        <v>0</v>
      </c>
      <c r="F4904" s="29" t="e">
        <f>VLOOKUP(E4904,'점포코드 '!A:B,2,0)</f>
        <v>#N/A</v>
      </c>
      <c r="G4904" s="46">
        <f>'Raw data'!F4813</f>
        <v>0</v>
      </c>
      <c r="H4904" s="4">
        <f>'Raw data'!G4813</f>
        <v>0</v>
      </c>
      <c r="I4904" s="29" t="e">
        <f>VLOOKUP(G4904,제품명!$C$1:$E$114,2,0)</f>
        <v>#N/A</v>
      </c>
      <c r="J4904" s="29">
        <f>'Raw data'!K4813</f>
        <v>0</v>
      </c>
      <c r="K4904" s="31">
        <f>'Raw data'!H4813</f>
        <v>0</v>
      </c>
      <c r="L4904" s="26">
        <f t="shared" si="156"/>
        <v>0</v>
      </c>
    </row>
    <row r="4905" spans="2:12">
      <c r="B4905" s="4" t="e">
        <f t="shared" si="155"/>
        <v>#N/A</v>
      </c>
      <c r="C4905" s="4">
        <f>'Raw data'!E4481</f>
        <v>0</v>
      </c>
      <c r="D4905" s="29" t="e">
        <f>VLOOKUP(C4905,'점포코드 '!A:B,2,0)</f>
        <v>#N/A</v>
      </c>
      <c r="E4905" s="30">
        <f>'Raw data'!P4481</f>
        <v>0</v>
      </c>
      <c r="F4905" s="29" t="e">
        <f>VLOOKUP(E4905,'점포코드 '!A:B,2,0)</f>
        <v>#N/A</v>
      </c>
      <c r="G4905" s="46">
        <f>'Raw data'!F4814</f>
        <v>0</v>
      </c>
      <c r="H4905" s="4">
        <f>'Raw data'!G4814</f>
        <v>0</v>
      </c>
      <c r="I4905" s="29" t="e">
        <f>VLOOKUP(G4905,제품명!$C$1:$E$114,2,0)</f>
        <v>#N/A</v>
      </c>
      <c r="J4905" s="29">
        <f>'Raw data'!K4814</f>
        <v>0</v>
      </c>
      <c r="K4905" s="31">
        <f>'Raw data'!H4814</f>
        <v>0</v>
      </c>
      <c r="L4905" s="26">
        <f t="shared" si="156"/>
        <v>0</v>
      </c>
    </row>
    <row r="4906" spans="2:12">
      <c r="B4906" s="4" t="e">
        <f t="shared" si="155"/>
        <v>#N/A</v>
      </c>
      <c r="C4906" s="4">
        <f>'Raw data'!E4482</f>
        <v>0</v>
      </c>
      <c r="D4906" s="29" t="e">
        <f>VLOOKUP(C4906,'점포코드 '!A:B,2,0)</f>
        <v>#N/A</v>
      </c>
      <c r="E4906" s="30">
        <f>'Raw data'!P4482</f>
        <v>0</v>
      </c>
      <c r="F4906" s="29" t="e">
        <f>VLOOKUP(E4906,'점포코드 '!A:B,2,0)</f>
        <v>#N/A</v>
      </c>
      <c r="G4906" s="46">
        <f>'Raw data'!F4815</f>
        <v>0</v>
      </c>
      <c r="H4906" s="4">
        <f>'Raw data'!G4815</f>
        <v>0</v>
      </c>
      <c r="I4906" s="29" t="e">
        <f>VLOOKUP(G4906,제품명!$C$1:$E$114,2,0)</f>
        <v>#N/A</v>
      </c>
      <c r="J4906" s="29">
        <f>'Raw data'!K4815</f>
        <v>0</v>
      </c>
      <c r="K4906" s="31">
        <f>'Raw data'!H4815</f>
        <v>0</v>
      </c>
      <c r="L4906" s="26">
        <f t="shared" si="156"/>
        <v>0</v>
      </c>
    </row>
    <row r="4907" spans="2:12">
      <c r="B4907" s="4" t="e">
        <f t="shared" si="155"/>
        <v>#N/A</v>
      </c>
      <c r="C4907" s="4">
        <f>'Raw data'!E4483</f>
        <v>0</v>
      </c>
      <c r="D4907" s="29" t="e">
        <f>VLOOKUP(C4907,'점포코드 '!A:B,2,0)</f>
        <v>#N/A</v>
      </c>
      <c r="E4907" s="30">
        <f>'Raw data'!P4483</f>
        <v>0</v>
      </c>
      <c r="F4907" s="29" t="e">
        <f>VLOOKUP(E4907,'점포코드 '!A:B,2,0)</f>
        <v>#N/A</v>
      </c>
      <c r="G4907" s="46">
        <f>'Raw data'!F4816</f>
        <v>0</v>
      </c>
      <c r="H4907" s="4">
        <f>'Raw data'!G4816</f>
        <v>0</v>
      </c>
      <c r="I4907" s="29" t="e">
        <f>VLOOKUP(G4907,제품명!$C$1:$E$114,2,0)</f>
        <v>#N/A</v>
      </c>
      <c r="J4907" s="29">
        <f>'Raw data'!K4816</f>
        <v>0</v>
      </c>
      <c r="K4907" s="31">
        <f>'Raw data'!H4816</f>
        <v>0</v>
      </c>
      <c r="L4907" s="26">
        <f t="shared" si="156"/>
        <v>0</v>
      </c>
    </row>
    <row r="4908" spans="2:12">
      <c r="B4908" s="4" t="e">
        <f t="shared" si="155"/>
        <v>#N/A</v>
      </c>
      <c r="C4908" s="4">
        <f>'Raw data'!E4484</f>
        <v>0</v>
      </c>
      <c r="D4908" s="29" t="e">
        <f>VLOOKUP(C4908,'점포코드 '!A:B,2,0)</f>
        <v>#N/A</v>
      </c>
      <c r="E4908" s="30">
        <f>'Raw data'!P4484</f>
        <v>0</v>
      </c>
      <c r="F4908" s="29" t="e">
        <f>VLOOKUP(E4908,'점포코드 '!A:B,2,0)</f>
        <v>#N/A</v>
      </c>
      <c r="G4908" s="46">
        <f>'Raw data'!F4817</f>
        <v>0</v>
      </c>
      <c r="H4908" s="4">
        <f>'Raw data'!G4817</f>
        <v>0</v>
      </c>
      <c r="I4908" s="29" t="e">
        <f>VLOOKUP(G4908,제품명!$C$1:$E$114,2,0)</f>
        <v>#N/A</v>
      </c>
      <c r="J4908" s="29">
        <f>'Raw data'!K4817</f>
        <v>0</v>
      </c>
      <c r="K4908" s="31">
        <f>'Raw data'!H4817</f>
        <v>0</v>
      </c>
      <c r="L4908" s="26">
        <f t="shared" si="156"/>
        <v>0</v>
      </c>
    </row>
    <row r="4909" spans="2:12">
      <c r="B4909" s="4" t="e">
        <f t="shared" si="155"/>
        <v>#N/A</v>
      </c>
      <c r="C4909" s="4">
        <f>'Raw data'!E4485</f>
        <v>0</v>
      </c>
      <c r="D4909" s="29" t="e">
        <f>VLOOKUP(C4909,'점포코드 '!A:B,2,0)</f>
        <v>#N/A</v>
      </c>
      <c r="E4909" s="30">
        <f>'Raw data'!P4485</f>
        <v>0</v>
      </c>
      <c r="F4909" s="29" t="e">
        <f>VLOOKUP(E4909,'점포코드 '!A:B,2,0)</f>
        <v>#N/A</v>
      </c>
      <c r="G4909" s="46">
        <f>'Raw data'!F4818</f>
        <v>0</v>
      </c>
      <c r="H4909" s="4">
        <f>'Raw data'!G4818</f>
        <v>0</v>
      </c>
      <c r="I4909" s="29" t="e">
        <f>VLOOKUP(G4909,제품명!$C$1:$E$114,2,0)</f>
        <v>#N/A</v>
      </c>
      <c r="J4909" s="29">
        <f>'Raw data'!K4818</f>
        <v>0</v>
      </c>
      <c r="K4909" s="31">
        <f>'Raw data'!H4818</f>
        <v>0</v>
      </c>
      <c r="L4909" s="26">
        <f t="shared" si="156"/>
        <v>0</v>
      </c>
    </row>
    <row r="4910" spans="2:12">
      <c r="B4910" s="4" t="e">
        <f t="shared" si="155"/>
        <v>#N/A</v>
      </c>
      <c r="C4910" s="4">
        <f>'Raw data'!E4486</f>
        <v>0</v>
      </c>
      <c r="D4910" s="29" t="e">
        <f>VLOOKUP(C4910,'점포코드 '!A:B,2,0)</f>
        <v>#N/A</v>
      </c>
      <c r="E4910" s="30">
        <f>'Raw data'!P4486</f>
        <v>0</v>
      </c>
      <c r="F4910" s="29" t="e">
        <f>VLOOKUP(E4910,'점포코드 '!A:B,2,0)</f>
        <v>#N/A</v>
      </c>
      <c r="G4910" s="46">
        <f>'Raw data'!F4819</f>
        <v>0</v>
      </c>
      <c r="H4910" s="4">
        <f>'Raw data'!G4819</f>
        <v>0</v>
      </c>
      <c r="I4910" s="29" t="e">
        <f>VLOOKUP(G4910,제품명!$C$1:$E$114,2,0)</f>
        <v>#N/A</v>
      </c>
      <c r="J4910" s="29">
        <f>'Raw data'!K4819</f>
        <v>0</v>
      </c>
      <c r="K4910" s="31">
        <f>'Raw data'!H4819</f>
        <v>0</v>
      </c>
      <c r="L4910" s="26">
        <f t="shared" si="156"/>
        <v>0</v>
      </c>
    </row>
    <row r="4911" spans="2:12">
      <c r="B4911" s="4" t="e">
        <f t="shared" si="155"/>
        <v>#N/A</v>
      </c>
      <c r="C4911" s="4">
        <f>'Raw data'!E4487</f>
        <v>0</v>
      </c>
      <c r="D4911" s="29" t="e">
        <f>VLOOKUP(C4911,'점포코드 '!A:B,2,0)</f>
        <v>#N/A</v>
      </c>
      <c r="E4911" s="30">
        <f>'Raw data'!P4487</f>
        <v>0</v>
      </c>
      <c r="F4911" s="29" t="e">
        <f>VLOOKUP(E4911,'점포코드 '!A:B,2,0)</f>
        <v>#N/A</v>
      </c>
      <c r="G4911" s="46">
        <f>'Raw data'!F4820</f>
        <v>0</v>
      </c>
      <c r="H4911" s="4">
        <f>'Raw data'!G4820</f>
        <v>0</v>
      </c>
      <c r="I4911" s="29" t="e">
        <f>VLOOKUP(G4911,제품명!$C$1:$E$114,2,0)</f>
        <v>#N/A</v>
      </c>
      <c r="J4911" s="29">
        <f>'Raw data'!K4820</f>
        <v>0</v>
      </c>
      <c r="K4911" s="31">
        <f>'Raw data'!H4820</f>
        <v>0</v>
      </c>
      <c r="L4911" s="26">
        <f t="shared" si="156"/>
        <v>0</v>
      </c>
    </row>
    <row r="4912" spans="2:12">
      <c r="B4912" s="4" t="e">
        <f t="shared" si="155"/>
        <v>#N/A</v>
      </c>
      <c r="C4912" s="4">
        <f>'Raw data'!E4488</f>
        <v>0</v>
      </c>
      <c r="D4912" s="29" t="e">
        <f>VLOOKUP(C4912,'점포코드 '!A:B,2,0)</f>
        <v>#N/A</v>
      </c>
      <c r="E4912" s="30">
        <f>'Raw data'!P4488</f>
        <v>0</v>
      </c>
      <c r="F4912" s="29" t="e">
        <f>VLOOKUP(E4912,'점포코드 '!A:B,2,0)</f>
        <v>#N/A</v>
      </c>
      <c r="G4912" s="46">
        <f>'Raw data'!F4821</f>
        <v>0</v>
      </c>
      <c r="H4912" s="4">
        <f>'Raw data'!G4821</f>
        <v>0</v>
      </c>
      <c r="I4912" s="29" t="e">
        <f>VLOOKUP(G4912,제품명!$C$1:$E$114,2,0)</f>
        <v>#N/A</v>
      </c>
      <c r="J4912" s="29">
        <f>'Raw data'!K4821</f>
        <v>0</v>
      </c>
      <c r="K4912" s="31">
        <f>'Raw data'!H4821</f>
        <v>0</v>
      </c>
      <c r="L4912" s="26">
        <f t="shared" si="156"/>
        <v>0</v>
      </c>
    </row>
    <row r="4913" spans="2:12">
      <c r="B4913" s="4" t="e">
        <f t="shared" si="155"/>
        <v>#N/A</v>
      </c>
      <c r="C4913" s="4">
        <f>'Raw data'!E4489</f>
        <v>0</v>
      </c>
      <c r="D4913" s="29" t="e">
        <f>VLOOKUP(C4913,'점포코드 '!A:B,2,0)</f>
        <v>#N/A</v>
      </c>
      <c r="E4913" s="30">
        <f>'Raw data'!P4489</f>
        <v>0</v>
      </c>
      <c r="F4913" s="29" t="e">
        <f>VLOOKUP(E4913,'점포코드 '!A:B,2,0)</f>
        <v>#N/A</v>
      </c>
      <c r="G4913" s="46">
        <f>'Raw data'!F4822</f>
        <v>0</v>
      </c>
      <c r="H4913" s="4">
        <f>'Raw data'!G4822</f>
        <v>0</v>
      </c>
      <c r="I4913" s="29" t="e">
        <f>VLOOKUP(G4913,제품명!$C$1:$E$114,2,0)</f>
        <v>#N/A</v>
      </c>
      <c r="J4913" s="29">
        <f>'Raw data'!K4822</f>
        <v>0</v>
      </c>
      <c r="K4913" s="31">
        <f>'Raw data'!H4822</f>
        <v>0</v>
      </c>
      <c r="L4913" s="26">
        <f t="shared" si="156"/>
        <v>0</v>
      </c>
    </row>
    <row r="4914" spans="2:12">
      <c r="B4914" s="4" t="e">
        <f t="shared" si="155"/>
        <v>#N/A</v>
      </c>
      <c r="C4914" s="4">
        <f>'Raw data'!E4490</f>
        <v>0</v>
      </c>
      <c r="D4914" s="29" t="e">
        <f>VLOOKUP(C4914,'점포코드 '!A:B,2,0)</f>
        <v>#N/A</v>
      </c>
      <c r="E4914" s="30">
        <f>'Raw data'!P4490</f>
        <v>0</v>
      </c>
      <c r="F4914" s="29" t="e">
        <f>VLOOKUP(E4914,'점포코드 '!A:B,2,0)</f>
        <v>#N/A</v>
      </c>
      <c r="G4914" s="46">
        <f>'Raw data'!F4823</f>
        <v>0</v>
      </c>
      <c r="H4914" s="4">
        <f>'Raw data'!G4823</f>
        <v>0</v>
      </c>
      <c r="I4914" s="29" t="e">
        <f>VLOOKUP(G4914,제품명!$C$1:$E$114,2,0)</f>
        <v>#N/A</v>
      </c>
      <c r="J4914" s="29">
        <f>'Raw data'!K4823</f>
        <v>0</v>
      </c>
      <c r="K4914" s="31">
        <f>'Raw data'!H4823</f>
        <v>0</v>
      </c>
      <c r="L4914" s="26">
        <f t="shared" si="156"/>
        <v>0</v>
      </c>
    </row>
    <row r="4915" spans="2:12">
      <c r="B4915" s="4" t="e">
        <f t="shared" si="155"/>
        <v>#N/A</v>
      </c>
      <c r="C4915" s="4">
        <f>'Raw data'!E4491</f>
        <v>0</v>
      </c>
      <c r="D4915" s="29" t="e">
        <f>VLOOKUP(C4915,'점포코드 '!A:B,2,0)</f>
        <v>#N/A</v>
      </c>
      <c r="E4915" s="30">
        <f>'Raw data'!P4491</f>
        <v>0</v>
      </c>
      <c r="F4915" s="29" t="e">
        <f>VLOOKUP(E4915,'점포코드 '!A:B,2,0)</f>
        <v>#N/A</v>
      </c>
      <c r="G4915" s="46">
        <f>'Raw data'!F4824</f>
        <v>0</v>
      </c>
      <c r="H4915" s="4">
        <f>'Raw data'!G4824</f>
        <v>0</v>
      </c>
      <c r="I4915" s="29" t="e">
        <f>VLOOKUP(G4915,제품명!$C$1:$E$114,2,0)</f>
        <v>#N/A</v>
      </c>
      <c r="J4915" s="29">
        <f>'Raw data'!K4824</f>
        <v>0</v>
      </c>
      <c r="K4915" s="31">
        <f>'Raw data'!H4824</f>
        <v>0</v>
      </c>
      <c r="L4915" s="26">
        <f t="shared" si="156"/>
        <v>0</v>
      </c>
    </row>
    <row r="4916" spans="2:12">
      <c r="B4916" s="4" t="e">
        <f t="shared" si="155"/>
        <v>#N/A</v>
      </c>
      <c r="C4916" s="4">
        <f>'Raw data'!E4492</f>
        <v>0</v>
      </c>
      <c r="D4916" s="29" t="e">
        <f>VLOOKUP(C4916,'점포코드 '!A:B,2,0)</f>
        <v>#N/A</v>
      </c>
      <c r="E4916" s="30">
        <f>'Raw data'!P4492</f>
        <v>0</v>
      </c>
      <c r="F4916" s="29" t="e">
        <f>VLOOKUP(E4916,'점포코드 '!A:B,2,0)</f>
        <v>#N/A</v>
      </c>
      <c r="G4916" s="46">
        <f>'Raw data'!F4825</f>
        <v>0</v>
      </c>
      <c r="H4916" s="4">
        <f>'Raw data'!G4825</f>
        <v>0</v>
      </c>
      <c r="I4916" s="29" t="e">
        <f>VLOOKUP(G4916,제품명!$C$1:$E$114,2,0)</f>
        <v>#N/A</v>
      </c>
      <c r="J4916" s="29">
        <f>'Raw data'!K4825</f>
        <v>0</v>
      </c>
      <c r="K4916" s="31">
        <f>'Raw data'!H4825</f>
        <v>0</v>
      </c>
      <c r="L4916" s="26">
        <f t="shared" si="156"/>
        <v>0</v>
      </c>
    </row>
    <row r="4917" spans="2:12">
      <c r="B4917" s="4" t="e">
        <f t="shared" si="155"/>
        <v>#N/A</v>
      </c>
      <c r="C4917" s="4">
        <f>'Raw data'!E4493</f>
        <v>0</v>
      </c>
      <c r="D4917" s="29" t="e">
        <f>VLOOKUP(C4917,'점포코드 '!A:B,2,0)</f>
        <v>#N/A</v>
      </c>
      <c r="E4917" s="30">
        <f>'Raw data'!P4493</f>
        <v>0</v>
      </c>
      <c r="F4917" s="29" t="e">
        <f>VLOOKUP(E4917,'점포코드 '!A:B,2,0)</f>
        <v>#N/A</v>
      </c>
      <c r="G4917" s="46">
        <f>'Raw data'!F4826</f>
        <v>0</v>
      </c>
      <c r="H4917" s="4">
        <f>'Raw data'!G4826</f>
        <v>0</v>
      </c>
      <c r="I4917" s="29" t="e">
        <f>VLOOKUP(G4917,제품명!$C$1:$E$114,2,0)</f>
        <v>#N/A</v>
      </c>
      <c r="J4917" s="29">
        <f>'Raw data'!K4826</f>
        <v>0</v>
      </c>
      <c r="K4917" s="31">
        <f>'Raw data'!H4826</f>
        <v>0</v>
      </c>
      <c r="L4917" s="26">
        <f t="shared" si="156"/>
        <v>0</v>
      </c>
    </row>
    <row r="4918" spans="2:12">
      <c r="B4918" s="4" t="e">
        <f t="shared" si="155"/>
        <v>#N/A</v>
      </c>
      <c r="C4918" s="4">
        <f>'Raw data'!E4494</f>
        <v>0</v>
      </c>
      <c r="D4918" s="29" t="e">
        <f>VLOOKUP(C4918,'점포코드 '!A:B,2,0)</f>
        <v>#N/A</v>
      </c>
      <c r="E4918" s="30">
        <f>'Raw data'!P4494</f>
        <v>0</v>
      </c>
      <c r="F4918" s="29" t="e">
        <f>VLOOKUP(E4918,'점포코드 '!A:B,2,0)</f>
        <v>#N/A</v>
      </c>
      <c r="G4918" s="46">
        <f>'Raw data'!F4827</f>
        <v>0</v>
      </c>
      <c r="H4918" s="4">
        <f>'Raw data'!G4827</f>
        <v>0</v>
      </c>
      <c r="I4918" s="29" t="e">
        <f>VLOOKUP(G4918,제품명!$C$1:$E$114,2,0)</f>
        <v>#N/A</v>
      </c>
      <c r="J4918" s="29">
        <f>'Raw data'!K4827</f>
        <v>0</v>
      </c>
      <c r="K4918" s="31">
        <f>'Raw data'!H4827</f>
        <v>0</v>
      </c>
      <c r="L4918" s="26">
        <f t="shared" si="156"/>
        <v>0</v>
      </c>
    </row>
    <row r="4919" spans="2:12">
      <c r="B4919" s="4" t="e">
        <f t="shared" si="155"/>
        <v>#N/A</v>
      </c>
      <c r="C4919" s="4">
        <f>'Raw data'!E4495</f>
        <v>0</v>
      </c>
      <c r="D4919" s="29" t="e">
        <f>VLOOKUP(C4919,'점포코드 '!A:B,2,0)</f>
        <v>#N/A</v>
      </c>
      <c r="E4919" s="30">
        <f>'Raw data'!P4495</f>
        <v>0</v>
      </c>
      <c r="F4919" s="29" t="e">
        <f>VLOOKUP(E4919,'점포코드 '!A:B,2,0)</f>
        <v>#N/A</v>
      </c>
      <c r="G4919" s="46">
        <f>'Raw data'!F4828</f>
        <v>0</v>
      </c>
      <c r="H4919" s="4">
        <f>'Raw data'!G4828</f>
        <v>0</v>
      </c>
      <c r="I4919" s="29" t="e">
        <f>VLOOKUP(G4919,제품명!$C$1:$E$114,2,0)</f>
        <v>#N/A</v>
      </c>
      <c r="J4919" s="29">
        <f>'Raw data'!K4828</f>
        <v>0</v>
      </c>
      <c r="K4919" s="31">
        <f>'Raw data'!H4828</f>
        <v>0</v>
      </c>
      <c r="L4919" s="26">
        <f t="shared" si="156"/>
        <v>0</v>
      </c>
    </row>
    <row r="4920" spans="2:12">
      <c r="B4920" s="4" t="e">
        <f t="shared" si="155"/>
        <v>#N/A</v>
      </c>
      <c r="C4920" s="4">
        <f>'Raw data'!E4496</f>
        <v>0</v>
      </c>
      <c r="D4920" s="29" t="e">
        <f>VLOOKUP(C4920,'점포코드 '!A:B,2,0)</f>
        <v>#N/A</v>
      </c>
      <c r="E4920" s="30">
        <f>'Raw data'!P4496</f>
        <v>0</v>
      </c>
      <c r="F4920" s="29" t="e">
        <f>VLOOKUP(E4920,'점포코드 '!A:B,2,0)</f>
        <v>#N/A</v>
      </c>
      <c r="G4920" s="46">
        <f>'Raw data'!F4829</f>
        <v>0</v>
      </c>
      <c r="H4920" s="4">
        <f>'Raw data'!G4829</f>
        <v>0</v>
      </c>
      <c r="I4920" s="29" t="e">
        <f>VLOOKUP(G4920,제품명!$C$1:$E$114,2,0)</f>
        <v>#N/A</v>
      </c>
      <c r="J4920" s="29">
        <f>'Raw data'!K4829</f>
        <v>0</v>
      </c>
      <c r="K4920" s="31">
        <f>'Raw data'!H4829</f>
        <v>0</v>
      </c>
      <c r="L4920" s="26">
        <f t="shared" si="156"/>
        <v>0</v>
      </c>
    </row>
    <row r="4921" spans="2:12">
      <c r="B4921" s="4" t="e">
        <f t="shared" si="155"/>
        <v>#N/A</v>
      </c>
      <c r="C4921" s="4">
        <f>'Raw data'!E4497</f>
        <v>0</v>
      </c>
      <c r="D4921" s="29" t="e">
        <f>VLOOKUP(C4921,'점포코드 '!A:B,2,0)</f>
        <v>#N/A</v>
      </c>
      <c r="E4921" s="30">
        <f>'Raw data'!P4497</f>
        <v>0</v>
      </c>
      <c r="F4921" s="29" t="e">
        <f>VLOOKUP(E4921,'점포코드 '!A:B,2,0)</f>
        <v>#N/A</v>
      </c>
      <c r="G4921" s="46">
        <f>'Raw data'!F4830</f>
        <v>0</v>
      </c>
      <c r="H4921" s="4">
        <f>'Raw data'!G4830</f>
        <v>0</v>
      </c>
      <c r="I4921" s="29" t="e">
        <f>VLOOKUP(G4921,제품명!$C$1:$E$114,2,0)</f>
        <v>#N/A</v>
      </c>
      <c r="J4921" s="29">
        <f>'Raw data'!K4830</f>
        <v>0</v>
      </c>
      <c r="K4921" s="31">
        <f>'Raw data'!H4830</f>
        <v>0</v>
      </c>
      <c r="L4921" s="26">
        <f t="shared" si="156"/>
        <v>0</v>
      </c>
    </row>
    <row r="4922" spans="2:12">
      <c r="B4922" s="4" t="e">
        <f t="shared" si="155"/>
        <v>#N/A</v>
      </c>
      <c r="C4922" s="4">
        <f>'Raw data'!E4498</f>
        <v>0</v>
      </c>
      <c r="D4922" s="29" t="e">
        <f>VLOOKUP(C4922,'점포코드 '!A:B,2,0)</f>
        <v>#N/A</v>
      </c>
      <c r="E4922" s="30">
        <f>'Raw data'!P4498</f>
        <v>0</v>
      </c>
      <c r="F4922" s="29" t="e">
        <f>VLOOKUP(E4922,'점포코드 '!A:B,2,0)</f>
        <v>#N/A</v>
      </c>
      <c r="G4922" s="46">
        <f>'Raw data'!F4831</f>
        <v>0</v>
      </c>
      <c r="H4922" s="4">
        <f>'Raw data'!G4831</f>
        <v>0</v>
      </c>
      <c r="I4922" s="29" t="e">
        <f>VLOOKUP(G4922,제품명!$C$1:$E$114,2,0)</f>
        <v>#N/A</v>
      </c>
      <c r="J4922" s="29">
        <f>'Raw data'!K4831</f>
        <v>0</v>
      </c>
      <c r="K4922" s="31">
        <f>'Raw data'!H4831</f>
        <v>0</v>
      </c>
      <c r="L4922" s="26">
        <f t="shared" si="156"/>
        <v>0</v>
      </c>
    </row>
    <row r="4923" spans="2:12">
      <c r="B4923" s="4" t="e">
        <f t="shared" si="155"/>
        <v>#N/A</v>
      </c>
      <c r="C4923" s="4">
        <f>'Raw data'!E4499</f>
        <v>0</v>
      </c>
      <c r="D4923" s="29" t="e">
        <f>VLOOKUP(C4923,'점포코드 '!A:B,2,0)</f>
        <v>#N/A</v>
      </c>
      <c r="E4923" s="30">
        <f>'Raw data'!P4499</f>
        <v>0</v>
      </c>
      <c r="F4923" s="29" t="e">
        <f>VLOOKUP(E4923,'점포코드 '!A:B,2,0)</f>
        <v>#N/A</v>
      </c>
      <c r="G4923" s="46">
        <f>'Raw data'!F4832</f>
        <v>0</v>
      </c>
      <c r="H4923" s="4">
        <f>'Raw data'!G4832</f>
        <v>0</v>
      </c>
      <c r="I4923" s="29" t="e">
        <f>VLOOKUP(G4923,제품명!$C$1:$E$114,2,0)</f>
        <v>#N/A</v>
      </c>
      <c r="J4923" s="29">
        <f>'Raw data'!K4832</f>
        <v>0</v>
      </c>
      <c r="K4923" s="31">
        <f>'Raw data'!H4832</f>
        <v>0</v>
      </c>
      <c r="L4923" s="26">
        <f t="shared" si="156"/>
        <v>0</v>
      </c>
    </row>
    <row r="4924" spans="2:12">
      <c r="B4924" s="4" t="e">
        <f t="shared" si="155"/>
        <v>#N/A</v>
      </c>
      <c r="C4924" s="4">
        <f>'Raw data'!E4500</f>
        <v>0</v>
      </c>
      <c r="D4924" s="29" t="e">
        <f>VLOOKUP(C4924,'점포코드 '!A:B,2,0)</f>
        <v>#N/A</v>
      </c>
      <c r="E4924" s="30">
        <f>'Raw data'!P4500</f>
        <v>0</v>
      </c>
      <c r="F4924" s="29" t="e">
        <f>VLOOKUP(E4924,'점포코드 '!A:B,2,0)</f>
        <v>#N/A</v>
      </c>
      <c r="G4924" s="46">
        <f>'Raw data'!F4833</f>
        <v>0</v>
      </c>
      <c r="H4924" s="4">
        <f>'Raw data'!G4833</f>
        <v>0</v>
      </c>
      <c r="I4924" s="29" t="e">
        <f>VLOOKUP(G4924,제품명!$C$1:$E$114,2,0)</f>
        <v>#N/A</v>
      </c>
      <c r="J4924" s="29">
        <f>'Raw data'!K4833</f>
        <v>0</v>
      </c>
      <c r="K4924" s="31">
        <f>'Raw data'!H4833</f>
        <v>0</v>
      </c>
      <c r="L4924" s="26">
        <f t="shared" si="156"/>
        <v>0</v>
      </c>
    </row>
    <row r="4925" spans="2:12">
      <c r="B4925" s="4" t="e">
        <f t="shared" si="155"/>
        <v>#N/A</v>
      </c>
      <c r="C4925" s="4">
        <f>'Raw data'!E4501</f>
        <v>0</v>
      </c>
      <c r="D4925" s="29" t="e">
        <f>VLOOKUP(C4925,'점포코드 '!A:B,2,0)</f>
        <v>#N/A</v>
      </c>
      <c r="E4925" s="30">
        <f>'Raw data'!P4501</f>
        <v>0</v>
      </c>
      <c r="F4925" s="29" t="e">
        <f>VLOOKUP(E4925,'점포코드 '!A:B,2,0)</f>
        <v>#N/A</v>
      </c>
      <c r="G4925" s="46">
        <f>'Raw data'!F4834</f>
        <v>0</v>
      </c>
      <c r="H4925" s="4">
        <f>'Raw data'!G4834</f>
        <v>0</v>
      </c>
      <c r="I4925" s="29" t="e">
        <f>VLOOKUP(G4925,제품명!$C$1:$E$114,2,0)</f>
        <v>#N/A</v>
      </c>
      <c r="J4925" s="29">
        <f>'Raw data'!K4834</f>
        <v>0</v>
      </c>
      <c r="K4925" s="31">
        <f>'Raw data'!H4834</f>
        <v>0</v>
      </c>
      <c r="L4925" s="26">
        <f t="shared" si="156"/>
        <v>0</v>
      </c>
    </row>
    <row r="4926" spans="2:12">
      <c r="B4926" s="4" t="e">
        <f t="shared" si="155"/>
        <v>#N/A</v>
      </c>
      <c r="C4926" s="4">
        <f>'Raw data'!E4502</f>
        <v>0</v>
      </c>
      <c r="D4926" s="29" t="e">
        <f>VLOOKUP(C4926,'점포코드 '!A:B,2,0)</f>
        <v>#N/A</v>
      </c>
      <c r="E4926" s="30">
        <f>'Raw data'!P4502</f>
        <v>0</v>
      </c>
      <c r="F4926" s="29" t="e">
        <f>VLOOKUP(E4926,'점포코드 '!A:B,2,0)</f>
        <v>#N/A</v>
      </c>
      <c r="G4926" s="46">
        <f>'Raw data'!F4835</f>
        <v>0</v>
      </c>
      <c r="H4926" s="4">
        <f>'Raw data'!G4835</f>
        <v>0</v>
      </c>
      <c r="I4926" s="29" t="e">
        <f>VLOOKUP(G4926,제품명!$C$1:$E$114,2,0)</f>
        <v>#N/A</v>
      </c>
      <c r="J4926" s="29">
        <f>'Raw data'!K4835</f>
        <v>0</v>
      </c>
      <c r="K4926" s="31">
        <f>'Raw data'!H4835</f>
        <v>0</v>
      </c>
      <c r="L4926" s="26">
        <f t="shared" si="156"/>
        <v>0</v>
      </c>
    </row>
    <row r="4927" spans="2:12">
      <c r="B4927" s="4" t="e">
        <f t="shared" si="155"/>
        <v>#N/A</v>
      </c>
      <c r="C4927" s="4">
        <f>'Raw data'!E4503</f>
        <v>0</v>
      </c>
      <c r="D4927" s="29" t="e">
        <f>VLOOKUP(C4927,'점포코드 '!A:B,2,0)</f>
        <v>#N/A</v>
      </c>
      <c r="E4927" s="30">
        <f>'Raw data'!P4503</f>
        <v>0</v>
      </c>
      <c r="F4927" s="29" t="e">
        <f>VLOOKUP(E4927,'점포코드 '!A:B,2,0)</f>
        <v>#N/A</v>
      </c>
      <c r="G4927" s="46">
        <f>'Raw data'!F4836</f>
        <v>0</v>
      </c>
      <c r="H4927" s="4">
        <f>'Raw data'!G4836</f>
        <v>0</v>
      </c>
      <c r="I4927" s="29" t="e">
        <f>VLOOKUP(G4927,제품명!$C$1:$E$114,2,0)</f>
        <v>#N/A</v>
      </c>
      <c r="J4927" s="29">
        <f>'Raw data'!K4836</f>
        <v>0</v>
      </c>
      <c r="K4927" s="31">
        <f>'Raw data'!H4836</f>
        <v>0</v>
      </c>
      <c r="L4927" s="26">
        <f t="shared" si="156"/>
        <v>0</v>
      </c>
    </row>
    <row r="4928" spans="2:12">
      <c r="B4928" s="4" t="e">
        <f t="shared" si="155"/>
        <v>#N/A</v>
      </c>
      <c r="C4928" s="4">
        <f>'Raw data'!E4504</f>
        <v>0</v>
      </c>
      <c r="D4928" s="29" t="e">
        <f>VLOOKUP(C4928,'점포코드 '!A:B,2,0)</f>
        <v>#N/A</v>
      </c>
      <c r="E4928" s="30">
        <f>'Raw data'!P4504</f>
        <v>0</v>
      </c>
      <c r="F4928" s="29" t="e">
        <f>VLOOKUP(E4928,'점포코드 '!A:B,2,0)</f>
        <v>#N/A</v>
      </c>
      <c r="G4928" s="46">
        <f>'Raw data'!F4837</f>
        <v>0</v>
      </c>
      <c r="H4928" s="4">
        <f>'Raw data'!G4837</f>
        <v>0</v>
      </c>
      <c r="I4928" s="29" t="e">
        <f>VLOOKUP(G4928,제품명!$C$1:$E$114,2,0)</f>
        <v>#N/A</v>
      </c>
      <c r="J4928" s="29">
        <f>'Raw data'!K4837</f>
        <v>0</v>
      </c>
      <c r="K4928" s="31">
        <f>'Raw data'!H4837</f>
        <v>0</v>
      </c>
      <c r="L4928" s="26">
        <f t="shared" si="156"/>
        <v>0</v>
      </c>
    </row>
    <row r="4929" spans="2:12">
      <c r="B4929" s="4" t="e">
        <f t="shared" si="155"/>
        <v>#N/A</v>
      </c>
      <c r="C4929" s="4">
        <f>'Raw data'!E4505</f>
        <v>0</v>
      </c>
      <c r="D4929" s="29" t="e">
        <f>VLOOKUP(C4929,'점포코드 '!A:B,2,0)</f>
        <v>#N/A</v>
      </c>
      <c r="E4929" s="30">
        <f>'Raw data'!P4505</f>
        <v>0</v>
      </c>
      <c r="F4929" s="29" t="e">
        <f>VLOOKUP(E4929,'점포코드 '!A:B,2,0)</f>
        <v>#N/A</v>
      </c>
      <c r="G4929" s="46">
        <f>'Raw data'!F4838</f>
        <v>0</v>
      </c>
      <c r="H4929" s="4">
        <f>'Raw data'!G4838</f>
        <v>0</v>
      </c>
      <c r="I4929" s="29" t="e">
        <f>VLOOKUP(G4929,제품명!$C$1:$E$114,2,0)</f>
        <v>#N/A</v>
      </c>
      <c r="J4929" s="29">
        <f>'Raw data'!K4838</f>
        <v>0</v>
      </c>
      <c r="K4929" s="31">
        <f>'Raw data'!H4838</f>
        <v>0</v>
      </c>
      <c r="L4929" s="26">
        <f t="shared" si="156"/>
        <v>0</v>
      </c>
    </row>
    <row r="4930" spans="2:12">
      <c r="B4930" s="4" t="e">
        <f t="shared" ref="B4930:B4993" si="157">F4930&amp;I4930</f>
        <v>#N/A</v>
      </c>
      <c r="C4930" s="4">
        <f>'Raw data'!E4506</f>
        <v>0</v>
      </c>
      <c r="D4930" s="29" t="e">
        <f>VLOOKUP(C4930,'점포코드 '!A:B,2,0)</f>
        <v>#N/A</v>
      </c>
      <c r="E4930" s="30">
        <f>'Raw data'!P4506</f>
        <v>0</v>
      </c>
      <c r="F4930" s="29" t="e">
        <f>VLOOKUP(E4930,'점포코드 '!A:B,2,0)</f>
        <v>#N/A</v>
      </c>
      <c r="G4930" s="46">
        <f>'Raw data'!F4839</f>
        <v>0</v>
      </c>
      <c r="H4930" s="4">
        <f>'Raw data'!G4839</f>
        <v>0</v>
      </c>
      <c r="I4930" s="29" t="e">
        <f>VLOOKUP(G4930,제품명!$C$1:$E$114,2,0)</f>
        <v>#N/A</v>
      </c>
      <c r="J4930" s="29">
        <f>'Raw data'!K4839</f>
        <v>0</v>
      </c>
      <c r="K4930" s="31">
        <f>'Raw data'!H4839</f>
        <v>0</v>
      </c>
      <c r="L4930" s="26">
        <f t="shared" si="156"/>
        <v>0</v>
      </c>
    </row>
    <row r="4931" spans="2:12">
      <c r="B4931" s="4" t="e">
        <f t="shared" si="157"/>
        <v>#N/A</v>
      </c>
      <c r="C4931" s="4">
        <f>'Raw data'!E4507</f>
        <v>0</v>
      </c>
      <c r="D4931" s="29" t="e">
        <f>VLOOKUP(C4931,'점포코드 '!A:B,2,0)</f>
        <v>#N/A</v>
      </c>
      <c r="E4931" s="30">
        <f>'Raw data'!P4507</f>
        <v>0</v>
      </c>
      <c r="F4931" s="29" t="e">
        <f>VLOOKUP(E4931,'점포코드 '!A:B,2,0)</f>
        <v>#N/A</v>
      </c>
      <c r="G4931" s="46">
        <f>'Raw data'!F4840</f>
        <v>0</v>
      </c>
      <c r="H4931" s="4">
        <f>'Raw data'!G4840</f>
        <v>0</v>
      </c>
      <c r="I4931" s="29" t="e">
        <f>VLOOKUP(G4931,제품명!$C$1:$E$114,2,0)</f>
        <v>#N/A</v>
      </c>
      <c r="J4931" s="29">
        <f>'Raw data'!K4840</f>
        <v>0</v>
      </c>
      <c r="K4931" s="31">
        <f>'Raw data'!H4840</f>
        <v>0</v>
      </c>
      <c r="L4931" s="26">
        <f t="shared" ref="L4931:L4994" si="158">J4931*K4931</f>
        <v>0</v>
      </c>
    </row>
    <row r="4932" spans="2:12">
      <c r="B4932" s="4" t="e">
        <f t="shared" si="157"/>
        <v>#N/A</v>
      </c>
      <c r="C4932" s="4">
        <f>'Raw data'!E4508</f>
        <v>0</v>
      </c>
      <c r="D4932" s="29" t="e">
        <f>VLOOKUP(C4932,'점포코드 '!A:B,2,0)</f>
        <v>#N/A</v>
      </c>
      <c r="E4932" s="30">
        <f>'Raw data'!P4508</f>
        <v>0</v>
      </c>
      <c r="F4932" s="29" t="e">
        <f>VLOOKUP(E4932,'점포코드 '!A:B,2,0)</f>
        <v>#N/A</v>
      </c>
      <c r="G4932" s="46">
        <f>'Raw data'!F4841</f>
        <v>0</v>
      </c>
      <c r="H4932" s="4">
        <f>'Raw data'!G4841</f>
        <v>0</v>
      </c>
      <c r="I4932" s="29" t="e">
        <f>VLOOKUP(G4932,제품명!$C$1:$E$114,2,0)</f>
        <v>#N/A</v>
      </c>
      <c r="J4932" s="29">
        <f>'Raw data'!K4841</f>
        <v>0</v>
      </c>
      <c r="K4932" s="31">
        <f>'Raw data'!H4841</f>
        <v>0</v>
      </c>
      <c r="L4932" s="26">
        <f t="shared" si="158"/>
        <v>0</v>
      </c>
    </row>
    <row r="4933" spans="2:12">
      <c r="B4933" s="4" t="e">
        <f t="shared" si="157"/>
        <v>#N/A</v>
      </c>
      <c r="C4933" s="4">
        <f>'Raw data'!E4509</f>
        <v>0</v>
      </c>
      <c r="D4933" s="29" t="e">
        <f>VLOOKUP(C4933,'점포코드 '!A:B,2,0)</f>
        <v>#N/A</v>
      </c>
      <c r="E4933" s="30">
        <f>'Raw data'!P4509</f>
        <v>0</v>
      </c>
      <c r="F4933" s="29" t="e">
        <f>VLOOKUP(E4933,'점포코드 '!A:B,2,0)</f>
        <v>#N/A</v>
      </c>
      <c r="G4933" s="46">
        <f>'Raw data'!F4842</f>
        <v>0</v>
      </c>
      <c r="H4933" s="4">
        <f>'Raw data'!G4842</f>
        <v>0</v>
      </c>
      <c r="I4933" s="29" t="e">
        <f>VLOOKUP(G4933,제품명!$C$1:$E$114,2,0)</f>
        <v>#N/A</v>
      </c>
      <c r="J4933" s="29">
        <f>'Raw data'!K4842</f>
        <v>0</v>
      </c>
      <c r="K4933" s="31">
        <f>'Raw data'!H4842</f>
        <v>0</v>
      </c>
      <c r="L4933" s="26">
        <f t="shared" si="158"/>
        <v>0</v>
      </c>
    </row>
    <row r="4934" spans="2:12">
      <c r="B4934" s="4" t="e">
        <f t="shared" si="157"/>
        <v>#N/A</v>
      </c>
      <c r="C4934" s="4">
        <f>'Raw data'!E4510</f>
        <v>0</v>
      </c>
      <c r="D4934" s="29" t="e">
        <f>VLOOKUP(C4934,'점포코드 '!A:B,2,0)</f>
        <v>#N/A</v>
      </c>
      <c r="E4934" s="30">
        <f>'Raw data'!P4510</f>
        <v>0</v>
      </c>
      <c r="F4934" s="29" t="e">
        <f>VLOOKUP(E4934,'점포코드 '!A:B,2,0)</f>
        <v>#N/A</v>
      </c>
      <c r="G4934" s="46">
        <f>'Raw data'!F4843</f>
        <v>0</v>
      </c>
      <c r="H4934" s="4">
        <f>'Raw data'!G4843</f>
        <v>0</v>
      </c>
      <c r="I4934" s="29" t="e">
        <f>VLOOKUP(G4934,제품명!$C$1:$E$114,2,0)</f>
        <v>#N/A</v>
      </c>
      <c r="J4934" s="29">
        <f>'Raw data'!K4843</f>
        <v>0</v>
      </c>
      <c r="K4934" s="31">
        <f>'Raw data'!H4843</f>
        <v>0</v>
      </c>
      <c r="L4934" s="26">
        <f t="shared" si="158"/>
        <v>0</v>
      </c>
    </row>
    <row r="4935" spans="2:12">
      <c r="B4935" s="4" t="e">
        <f t="shared" si="157"/>
        <v>#N/A</v>
      </c>
      <c r="C4935" s="4">
        <f>'Raw data'!E4511</f>
        <v>0</v>
      </c>
      <c r="D4935" s="29" t="e">
        <f>VLOOKUP(C4935,'점포코드 '!A:B,2,0)</f>
        <v>#N/A</v>
      </c>
      <c r="E4935" s="30">
        <f>'Raw data'!P4511</f>
        <v>0</v>
      </c>
      <c r="F4935" s="29" t="e">
        <f>VLOOKUP(E4935,'점포코드 '!A:B,2,0)</f>
        <v>#N/A</v>
      </c>
      <c r="G4935" s="46">
        <f>'Raw data'!F4844</f>
        <v>0</v>
      </c>
      <c r="H4935" s="4">
        <f>'Raw data'!G4844</f>
        <v>0</v>
      </c>
      <c r="I4935" s="29" t="e">
        <f>VLOOKUP(G4935,제품명!$C$1:$E$114,2,0)</f>
        <v>#N/A</v>
      </c>
      <c r="J4935" s="29">
        <f>'Raw data'!K4844</f>
        <v>0</v>
      </c>
      <c r="K4935" s="31">
        <f>'Raw data'!H4844</f>
        <v>0</v>
      </c>
      <c r="L4935" s="26">
        <f t="shared" si="158"/>
        <v>0</v>
      </c>
    </row>
    <row r="4936" spans="2:12">
      <c r="B4936" s="4" t="e">
        <f t="shared" si="157"/>
        <v>#N/A</v>
      </c>
      <c r="C4936" s="4">
        <f>'Raw data'!E4512</f>
        <v>0</v>
      </c>
      <c r="D4936" s="29" t="e">
        <f>VLOOKUP(C4936,'점포코드 '!A:B,2,0)</f>
        <v>#N/A</v>
      </c>
      <c r="E4936" s="30">
        <f>'Raw data'!P4512</f>
        <v>0</v>
      </c>
      <c r="F4936" s="29" t="e">
        <f>VLOOKUP(E4936,'점포코드 '!A:B,2,0)</f>
        <v>#N/A</v>
      </c>
      <c r="G4936" s="46">
        <f>'Raw data'!F4845</f>
        <v>0</v>
      </c>
      <c r="H4936" s="4">
        <f>'Raw data'!G4845</f>
        <v>0</v>
      </c>
      <c r="I4936" s="29" t="e">
        <f>VLOOKUP(G4936,제품명!$C$1:$E$114,2,0)</f>
        <v>#N/A</v>
      </c>
      <c r="J4936" s="29">
        <f>'Raw data'!K4845</f>
        <v>0</v>
      </c>
      <c r="K4936" s="31">
        <f>'Raw data'!H4845</f>
        <v>0</v>
      </c>
      <c r="L4936" s="26">
        <f t="shared" si="158"/>
        <v>0</v>
      </c>
    </row>
    <row r="4937" spans="2:12">
      <c r="B4937" s="4" t="e">
        <f t="shared" si="157"/>
        <v>#N/A</v>
      </c>
      <c r="C4937" s="4">
        <f>'Raw data'!E4513</f>
        <v>0</v>
      </c>
      <c r="D4937" s="29" t="e">
        <f>VLOOKUP(C4937,'점포코드 '!A:B,2,0)</f>
        <v>#N/A</v>
      </c>
      <c r="E4937" s="30">
        <f>'Raw data'!P4513</f>
        <v>0</v>
      </c>
      <c r="F4937" s="29" t="e">
        <f>VLOOKUP(E4937,'점포코드 '!A:B,2,0)</f>
        <v>#N/A</v>
      </c>
      <c r="G4937" s="46">
        <f>'Raw data'!F4846</f>
        <v>0</v>
      </c>
      <c r="H4937" s="4">
        <f>'Raw data'!G4846</f>
        <v>0</v>
      </c>
      <c r="I4937" s="29" t="e">
        <f>VLOOKUP(G4937,제품명!$C$1:$E$114,2,0)</f>
        <v>#N/A</v>
      </c>
      <c r="J4937" s="29">
        <f>'Raw data'!K4846</f>
        <v>0</v>
      </c>
      <c r="K4937" s="31">
        <f>'Raw data'!H4846</f>
        <v>0</v>
      </c>
      <c r="L4937" s="26">
        <f t="shared" si="158"/>
        <v>0</v>
      </c>
    </row>
    <row r="4938" spans="2:12">
      <c r="B4938" s="4" t="e">
        <f t="shared" si="157"/>
        <v>#N/A</v>
      </c>
      <c r="C4938" s="4">
        <f>'Raw data'!E4514</f>
        <v>0</v>
      </c>
      <c r="D4938" s="29" t="e">
        <f>VLOOKUP(C4938,'점포코드 '!A:B,2,0)</f>
        <v>#N/A</v>
      </c>
      <c r="E4938" s="30">
        <f>'Raw data'!P4514</f>
        <v>0</v>
      </c>
      <c r="F4938" s="29" t="e">
        <f>VLOOKUP(E4938,'점포코드 '!A:B,2,0)</f>
        <v>#N/A</v>
      </c>
      <c r="G4938" s="46">
        <f>'Raw data'!F4847</f>
        <v>0</v>
      </c>
      <c r="H4938" s="4">
        <f>'Raw data'!G4847</f>
        <v>0</v>
      </c>
      <c r="I4938" s="29" t="e">
        <f>VLOOKUP(G4938,제품명!$C$1:$E$114,2,0)</f>
        <v>#N/A</v>
      </c>
      <c r="J4938" s="29">
        <f>'Raw data'!K4847</f>
        <v>0</v>
      </c>
      <c r="K4938" s="31">
        <f>'Raw data'!H4847</f>
        <v>0</v>
      </c>
      <c r="L4938" s="26">
        <f t="shared" si="158"/>
        <v>0</v>
      </c>
    </row>
    <row r="4939" spans="2:12">
      <c r="B4939" s="4" t="e">
        <f t="shared" si="157"/>
        <v>#N/A</v>
      </c>
      <c r="C4939" s="4">
        <f>'Raw data'!E4515</f>
        <v>0</v>
      </c>
      <c r="D4939" s="29" t="e">
        <f>VLOOKUP(C4939,'점포코드 '!A:B,2,0)</f>
        <v>#N/A</v>
      </c>
      <c r="E4939" s="30">
        <f>'Raw data'!P4515</f>
        <v>0</v>
      </c>
      <c r="F4939" s="29" t="e">
        <f>VLOOKUP(E4939,'점포코드 '!A:B,2,0)</f>
        <v>#N/A</v>
      </c>
      <c r="G4939" s="46">
        <f>'Raw data'!F4848</f>
        <v>0</v>
      </c>
      <c r="H4939" s="4">
        <f>'Raw data'!G4848</f>
        <v>0</v>
      </c>
      <c r="I4939" s="29" t="e">
        <f>VLOOKUP(G4939,제품명!$C$1:$E$114,2,0)</f>
        <v>#N/A</v>
      </c>
      <c r="J4939" s="29">
        <f>'Raw data'!K4848</f>
        <v>0</v>
      </c>
      <c r="K4939" s="31">
        <f>'Raw data'!H4848</f>
        <v>0</v>
      </c>
      <c r="L4939" s="26">
        <f t="shared" si="158"/>
        <v>0</v>
      </c>
    </row>
    <row r="4940" spans="2:12">
      <c r="B4940" s="4" t="e">
        <f t="shared" si="157"/>
        <v>#N/A</v>
      </c>
      <c r="C4940" s="4">
        <f>'Raw data'!E4516</f>
        <v>0</v>
      </c>
      <c r="D4940" s="29" t="e">
        <f>VLOOKUP(C4940,'점포코드 '!A:B,2,0)</f>
        <v>#N/A</v>
      </c>
      <c r="E4940" s="30">
        <f>'Raw data'!P4516</f>
        <v>0</v>
      </c>
      <c r="F4940" s="29" t="e">
        <f>VLOOKUP(E4940,'점포코드 '!A:B,2,0)</f>
        <v>#N/A</v>
      </c>
      <c r="G4940" s="46">
        <f>'Raw data'!F4849</f>
        <v>0</v>
      </c>
      <c r="H4940" s="4">
        <f>'Raw data'!G4849</f>
        <v>0</v>
      </c>
      <c r="I4940" s="29" t="e">
        <f>VLOOKUP(G4940,제품명!$C$1:$E$114,2,0)</f>
        <v>#N/A</v>
      </c>
      <c r="J4940" s="29">
        <f>'Raw data'!K4849</f>
        <v>0</v>
      </c>
      <c r="K4940" s="31">
        <f>'Raw data'!H4849</f>
        <v>0</v>
      </c>
      <c r="L4940" s="26">
        <f t="shared" si="158"/>
        <v>0</v>
      </c>
    </row>
    <row r="4941" spans="2:12">
      <c r="B4941" s="4" t="e">
        <f t="shared" si="157"/>
        <v>#N/A</v>
      </c>
      <c r="C4941" s="4">
        <f>'Raw data'!E4517</f>
        <v>0</v>
      </c>
      <c r="D4941" s="29" t="e">
        <f>VLOOKUP(C4941,'점포코드 '!A:B,2,0)</f>
        <v>#N/A</v>
      </c>
      <c r="E4941" s="30">
        <f>'Raw data'!P4517</f>
        <v>0</v>
      </c>
      <c r="F4941" s="29" t="e">
        <f>VLOOKUP(E4941,'점포코드 '!A:B,2,0)</f>
        <v>#N/A</v>
      </c>
      <c r="G4941" s="46">
        <f>'Raw data'!F4850</f>
        <v>0</v>
      </c>
      <c r="H4941" s="4">
        <f>'Raw data'!G4850</f>
        <v>0</v>
      </c>
      <c r="I4941" s="29" t="e">
        <f>VLOOKUP(G4941,제품명!$C$1:$E$114,2,0)</f>
        <v>#N/A</v>
      </c>
      <c r="J4941" s="29">
        <f>'Raw data'!K4850</f>
        <v>0</v>
      </c>
      <c r="K4941" s="31">
        <f>'Raw data'!H4850</f>
        <v>0</v>
      </c>
      <c r="L4941" s="26">
        <f t="shared" si="158"/>
        <v>0</v>
      </c>
    </row>
    <row r="4942" spans="2:12">
      <c r="B4942" s="4" t="e">
        <f t="shared" si="157"/>
        <v>#N/A</v>
      </c>
      <c r="C4942" s="4">
        <f>'Raw data'!E4518</f>
        <v>0</v>
      </c>
      <c r="D4942" s="29" t="e">
        <f>VLOOKUP(C4942,'점포코드 '!A:B,2,0)</f>
        <v>#N/A</v>
      </c>
      <c r="E4942" s="30">
        <f>'Raw data'!P4518</f>
        <v>0</v>
      </c>
      <c r="F4942" s="29" t="e">
        <f>VLOOKUP(E4942,'점포코드 '!A:B,2,0)</f>
        <v>#N/A</v>
      </c>
      <c r="G4942" s="46">
        <f>'Raw data'!F4851</f>
        <v>0</v>
      </c>
      <c r="H4942" s="4">
        <f>'Raw data'!G4851</f>
        <v>0</v>
      </c>
      <c r="I4942" s="29" t="e">
        <f>VLOOKUP(G4942,제품명!$C$1:$E$114,2,0)</f>
        <v>#N/A</v>
      </c>
      <c r="J4942" s="29">
        <f>'Raw data'!K4851</f>
        <v>0</v>
      </c>
      <c r="K4942" s="31">
        <f>'Raw data'!H4851</f>
        <v>0</v>
      </c>
      <c r="L4942" s="26">
        <f t="shared" si="158"/>
        <v>0</v>
      </c>
    </row>
    <row r="4943" spans="2:12">
      <c r="B4943" s="4" t="e">
        <f t="shared" si="157"/>
        <v>#N/A</v>
      </c>
      <c r="C4943" s="4">
        <f>'Raw data'!E4519</f>
        <v>0</v>
      </c>
      <c r="D4943" s="29" t="e">
        <f>VLOOKUP(C4943,'점포코드 '!A:B,2,0)</f>
        <v>#N/A</v>
      </c>
      <c r="E4943" s="30">
        <f>'Raw data'!P4519</f>
        <v>0</v>
      </c>
      <c r="F4943" s="29" t="e">
        <f>VLOOKUP(E4943,'점포코드 '!A:B,2,0)</f>
        <v>#N/A</v>
      </c>
      <c r="G4943" s="46">
        <f>'Raw data'!F4852</f>
        <v>0</v>
      </c>
      <c r="H4943" s="4">
        <f>'Raw data'!G4852</f>
        <v>0</v>
      </c>
      <c r="I4943" s="29" t="e">
        <f>VLOOKUP(G4943,제품명!$C$1:$E$114,2,0)</f>
        <v>#N/A</v>
      </c>
      <c r="J4943" s="29">
        <f>'Raw data'!K4852</f>
        <v>0</v>
      </c>
      <c r="K4943" s="31">
        <f>'Raw data'!H4852</f>
        <v>0</v>
      </c>
      <c r="L4943" s="26">
        <f t="shared" si="158"/>
        <v>0</v>
      </c>
    </row>
    <row r="4944" spans="2:12">
      <c r="B4944" s="4" t="e">
        <f t="shared" si="157"/>
        <v>#N/A</v>
      </c>
      <c r="C4944" s="4">
        <f>'Raw data'!E4520</f>
        <v>0</v>
      </c>
      <c r="D4944" s="29" t="e">
        <f>VLOOKUP(C4944,'점포코드 '!A:B,2,0)</f>
        <v>#N/A</v>
      </c>
      <c r="E4944" s="30">
        <f>'Raw data'!P4520</f>
        <v>0</v>
      </c>
      <c r="F4944" s="29" t="e">
        <f>VLOOKUP(E4944,'점포코드 '!A:B,2,0)</f>
        <v>#N/A</v>
      </c>
      <c r="G4944" s="46">
        <f>'Raw data'!F4853</f>
        <v>0</v>
      </c>
      <c r="H4944" s="4">
        <f>'Raw data'!G4853</f>
        <v>0</v>
      </c>
      <c r="I4944" s="29" t="e">
        <f>VLOOKUP(G4944,제품명!$C$1:$E$114,2,0)</f>
        <v>#N/A</v>
      </c>
      <c r="J4944" s="29">
        <f>'Raw data'!K4853</f>
        <v>0</v>
      </c>
      <c r="K4944" s="31">
        <f>'Raw data'!H4853</f>
        <v>0</v>
      </c>
      <c r="L4944" s="26">
        <f t="shared" si="158"/>
        <v>0</v>
      </c>
    </row>
    <row r="4945" spans="2:12">
      <c r="B4945" s="4" t="e">
        <f t="shared" si="157"/>
        <v>#N/A</v>
      </c>
      <c r="C4945" s="4">
        <f>'Raw data'!E4521</f>
        <v>0</v>
      </c>
      <c r="D4945" s="29" t="e">
        <f>VLOOKUP(C4945,'점포코드 '!A:B,2,0)</f>
        <v>#N/A</v>
      </c>
      <c r="E4945" s="30">
        <f>'Raw data'!P4521</f>
        <v>0</v>
      </c>
      <c r="F4945" s="29" t="e">
        <f>VLOOKUP(E4945,'점포코드 '!A:B,2,0)</f>
        <v>#N/A</v>
      </c>
      <c r="G4945" s="46">
        <f>'Raw data'!F4854</f>
        <v>0</v>
      </c>
      <c r="H4945" s="4">
        <f>'Raw data'!G4854</f>
        <v>0</v>
      </c>
      <c r="I4945" s="29" t="e">
        <f>VLOOKUP(G4945,제품명!$C$1:$E$114,2,0)</f>
        <v>#N/A</v>
      </c>
      <c r="J4945" s="29">
        <f>'Raw data'!K4854</f>
        <v>0</v>
      </c>
      <c r="K4945" s="31">
        <f>'Raw data'!H4854</f>
        <v>0</v>
      </c>
      <c r="L4945" s="26">
        <f t="shared" si="158"/>
        <v>0</v>
      </c>
    </row>
    <row r="4946" spans="2:12">
      <c r="B4946" s="4" t="e">
        <f t="shared" si="157"/>
        <v>#N/A</v>
      </c>
      <c r="C4946" s="4">
        <f>'Raw data'!E4522</f>
        <v>0</v>
      </c>
      <c r="D4946" s="29" t="e">
        <f>VLOOKUP(C4946,'점포코드 '!A:B,2,0)</f>
        <v>#N/A</v>
      </c>
      <c r="E4946" s="30">
        <f>'Raw data'!P4522</f>
        <v>0</v>
      </c>
      <c r="F4946" s="29" t="e">
        <f>VLOOKUP(E4946,'점포코드 '!A:B,2,0)</f>
        <v>#N/A</v>
      </c>
      <c r="G4946" s="46">
        <f>'Raw data'!F4855</f>
        <v>0</v>
      </c>
      <c r="H4946" s="4">
        <f>'Raw data'!G4855</f>
        <v>0</v>
      </c>
      <c r="I4946" s="29" t="e">
        <f>VLOOKUP(G4946,제품명!$C$1:$E$114,2,0)</f>
        <v>#N/A</v>
      </c>
      <c r="J4946" s="29">
        <f>'Raw data'!K4855</f>
        <v>0</v>
      </c>
      <c r="K4946" s="31">
        <f>'Raw data'!H4855</f>
        <v>0</v>
      </c>
      <c r="L4946" s="26">
        <f t="shared" si="158"/>
        <v>0</v>
      </c>
    </row>
    <row r="4947" spans="2:12">
      <c r="B4947" s="4" t="e">
        <f t="shared" si="157"/>
        <v>#N/A</v>
      </c>
      <c r="C4947" s="4">
        <f>'Raw data'!E4523</f>
        <v>0</v>
      </c>
      <c r="D4947" s="29" t="e">
        <f>VLOOKUP(C4947,'점포코드 '!A:B,2,0)</f>
        <v>#N/A</v>
      </c>
      <c r="E4947" s="30">
        <f>'Raw data'!P4523</f>
        <v>0</v>
      </c>
      <c r="F4947" s="29" t="e">
        <f>VLOOKUP(E4947,'점포코드 '!A:B,2,0)</f>
        <v>#N/A</v>
      </c>
      <c r="G4947" s="46">
        <f>'Raw data'!F4856</f>
        <v>0</v>
      </c>
      <c r="H4947" s="4">
        <f>'Raw data'!G4856</f>
        <v>0</v>
      </c>
      <c r="I4947" s="29" t="e">
        <f>VLOOKUP(G4947,제품명!$C$1:$E$114,2,0)</f>
        <v>#N/A</v>
      </c>
      <c r="J4947" s="29">
        <f>'Raw data'!K4856</f>
        <v>0</v>
      </c>
      <c r="K4947" s="31">
        <f>'Raw data'!H4856</f>
        <v>0</v>
      </c>
      <c r="L4947" s="26">
        <f t="shared" si="158"/>
        <v>0</v>
      </c>
    </row>
    <row r="4948" spans="2:12">
      <c r="B4948" s="4" t="e">
        <f t="shared" si="157"/>
        <v>#N/A</v>
      </c>
      <c r="C4948" s="4">
        <f>'Raw data'!E4524</f>
        <v>0</v>
      </c>
      <c r="D4948" s="29" t="e">
        <f>VLOOKUP(C4948,'점포코드 '!A:B,2,0)</f>
        <v>#N/A</v>
      </c>
      <c r="E4948" s="30">
        <f>'Raw data'!P4524</f>
        <v>0</v>
      </c>
      <c r="F4948" s="29" t="e">
        <f>VLOOKUP(E4948,'점포코드 '!A:B,2,0)</f>
        <v>#N/A</v>
      </c>
      <c r="G4948" s="46">
        <f>'Raw data'!F4857</f>
        <v>0</v>
      </c>
      <c r="H4948" s="4">
        <f>'Raw data'!G4857</f>
        <v>0</v>
      </c>
      <c r="I4948" s="29" t="e">
        <f>VLOOKUP(G4948,제품명!$C$1:$E$114,2,0)</f>
        <v>#N/A</v>
      </c>
      <c r="J4948" s="29">
        <f>'Raw data'!K4857</f>
        <v>0</v>
      </c>
      <c r="K4948" s="31">
        <f>'Raw data'!H4857</f>
        <v>0</v>
      </c>
      <c r="L4948" s="26">
        <f t="shared" si="158"/>
        <v>0</v>
      </c>
    </row>
    <row r="4949" spans="2:12">
      <c r="B4949" s="4" t="e">
        <f t="shared" si="157"/>
        <v>#N/A</v>
      </c>
      <c r="C4949" s="4">
        <f>'Raw data'!E4525</f>
        <v>0</v>
      </c>
      <c r="D4949" s="29" t="e">
        <f>VLOOKUP(C4949,'점포코드 '!A:B,2,0)</f>
        <v>#N/A</v>
      </c>
      <c r="E4949" s="30">
        <f>'Raw data'!P4525</f>
        <v>0</v>
      </c>
      <c r="F4949" s="29" t="e">
        <f>VLOOKUP(E4949,'점포코드 '!A:B,2,0)</f>
        <v>#N/A</v>
      </c>
      <c r="G4949" s="46">
        <f>'Raw data'!F4858</f>
        <v>0</v>
      </c>
      <c r="H4949" s="4">
        <f>'Raw data'!G4858</f>
        <v>0</v>
      </c>
      <c r="I4949" s="29" t="e">
        <f>VLOOKUP(G4949,제품명!$C$1:$E$114,2,0)</f>
        <v>#N/A</v>
      </c>
      <c r="J4949" s="29">
        <f>'Raw data'!K4858</f>
        <v>0</v>
      </c>
      <c r="K4949" s="31">
        <f>'Raw data'!H4858</f>
        <v>0</v>
      </c>
      <c r="L4949" s="26">
        <f t="shared" si="158"/>
        <v>0</v>
      </c>
    </row>
    <row r="4950" spans="2:12">
      <c r="B4950" s="4" t="e">
        <f t="shared" si="157"/>
        <v>#N/A</v>
      </c>
      <c r="C4950" s="4">
        <f>'Raw data'!E4526</f>
        <v>0</v>
      </c>
      <c r="D4950" s="29" t="e">
        <f>VLOOKUP(C4950,'점포코드 '!A:B,2,0)</f>
        <v>#N/A</v>
      </c>
      <c r="E4950" s="30">
        <f>'Raw data'!P4526</f>
        <v>0</v>
      </c>
      <c r="F4950" s="29" t="e">
        <f>VLOOKUP(E4950,'점포코드 '!A:B,2,0)</f>
        <v>#N/A</v>
      </c>
      <c r="G4950" s="46">
        <f>'Raw data'!F4859</f>
        <v>0</v>
      </c>
      <c r="H4950" s="4">
        <f>'Raw data'!G4859</f>
        <v>0</v>
      </c>
      <c r="I4950" s="29" t="e">
        <f>VLOOKUP(G4950,제품명!$C$1:$E$114,2,0)</f>
        <v>#N/A</v>
      </c>
      <c r="J4950" s="29">
        <f>'Raw data'!K4859</f>
        <v>0</v>
      </c>
      <c r="K4950" s="31">
        <f>'Raw data'!H4859</f>
        <v>0</v>
      </c>
      <c r="L4950" s="26">
        <f t="shared" si="158"/>
        <v>0</v>
      </c>
    </row>
    <row r="4951" spans="2:12">
      <c r="B4951" s="4" t="e">
        <f t="shared" si="157"/>
        <v>#N/A</v>
      </c>
      <c r="C4951" s="4">
        <f>'Raw data'!E4527</f>
        <v>0</v>
      </c>
      <c r="D4951" s="29" t="e">
        <f>VLOOKUP(C4951,'점포코드 '!A:B,2,0)</f>
        <v>#N/A</v>
      </c>
      <c r="E4951" s="30">
        <f>'Raw data'!P4527</f>
        <v>0</v>
      </c>
      <c r="F4951" s="29" t="e">
        <f>VLOOKUP(E4951,'점포코드 '!A:B,2,0)</f>
        <v>#N/A</v>
      </c>
      <c r="G4951" s="46">
        <f>'Raw data'!F4860</f>
        <v>0</v>
      </c>
      <c r="H4951" s="4">
        <f>'Raw data'!G4860</f>
        <v>0</v>
      </c>
      <c r="I4951" s="29" t="e">
        <f>VLOOKUP(G4951,제품명!$C$1:$E$114,2,0)</f>
        <v>#N/A</v>
      </c>
      <c r="J4951" s="29">
        <f>'Raw data'!K4860</f>
        <v>0</v>
      </c>
      <c r="K4951" s="31">
        <f>'Raw data'!H4860</f>
        <v>0</v>
      </c>
      <c r="L4951" s="26">
        <f t="shared" si="158"/>
        <v>0</v>
      </c>
    </row>
    <row r="4952" spans="2:12">
      <c r="B4952" s="4" t="e">
        <f t="shared" si="157"/>
        <v>#N/A</v>
      </c>
      <c r="C4952" s="4">
        <f>'Raw data'!E4528</f>
        <v>0</v>
      </c>
      <c r="D4952" s="29" t="e">
        <f>VLOOKUP(C4952,'점포코드 '!A:B,2,0)</f>
        <v>#N/A</v>
      </c>
      <c r="E4952" s="30">
        <f>'Raw data'!P4528</f>
        <v>0</v>
      </c>
      <c r="F4952" s="29" t="e">
        <f>VLOOKUP(E4952,'점포코드 '!A:B,2,0)</f>
        <v>#N/A</v>
      </c>
      <c r="G4952" s="46">
        <f>'Raw data'!F4861</f>
        <v>0</v>
      </c>
      <c r="H4952" s="4">
        <f>'Raw data'!G4861</f>
        <v>0</v>
      </c>
      <c r="I4952" s="29" t="e">
        <f>VLOOKUP(G4952,제품명!$C$1:$E$114,2,0)</f>
        <v>#N/A</v>
      </c>
      <c r="J4952" s="29">
        <f>'Raw data'!K4861</f>
        <v>0</v>
      </c>
      <c r="K4952" s="31">
        <f>'Raw data'!H4861</f>
        <v>0</v>
      </c>
      <c r="L4952" s="26">
        <f t="shared" si="158"/>
        <v>0</v>
      </c>
    </row>
    <row r="4953" spans="2:12">
      <c r="B4953" s="4" t="e">
        <f t="shared" si="157"/>
        <v>#N/A</v>
      </c>
      <c r="C4953" s="4">
        <f>'Raw data'!E4529</f>
        <v>0</v>
      </c>
      <c r="D4953" s="29" t="e">
        <f>VLOOKUP(C4953,'점포코드 '!A:B,2,0)</f>
        <v>#N/A</v>
      </c>
      <c r="E4953" s="30">
        <f>'Raw data'!P4529</f>
        <v>0</v>
      </c>
      <c r="F4953" s="29" t="e">
        <f>VLOOKUP(E4953,'점포코드 '!A:B,2,0)</f>
        <v>#N/A</v>
      </c>
      <c r="G4953" s="46">
        <f>'Raw data'!F4862</f>
        <v>0</v>
      </c>
      <c r="H4953" s="4">
        <f>'Raw data'!G4862</f>
        <v>0</v>
      </c>
      <c r="I4953" s="29" t="e">
        <f>VLOOKUP(G4953,제품명!$C$1:$E$114,2,0)</f>
        <v>#N/A</v>
      </c>
      <c r="J4953" s="29">
        <f>'Raw data'!K4862</f>
        <v>0</v>
      </c>
      <c r="K4953" s="31">
        <f>'Raw data'!H4862</f>
        <v>0</v>
      </c>
      <c r="L4953" s="26">
        <f t="shared" si="158"/>
        <v>0</v>
      </c>
    </row>
    <row r="4954" spans="2:12">
      <c r="B4954" s="4" t="e">
        <f t="shared" si="157"/>
        <v>#N/A</v>
      </c>
      <c r="C4954" s="4">
        <f>'Raw data'!E4530</f>
        <v>0</v>
      </c>
      <c r="D4954" s="29" t="e">
        <f>VLOOKUP(C4954,'점포코드 '!A:B,2,0)</f>
        <v>#N/A</v>
      </c>
      <c r="E4954" s="30">
        <f>'Raw data'!P4530</f>
        <v>0</v>
      </c>
      <c r="F4954" s="29" t="e">
        <f>VLOOKUP(E4954,'점포코드 '!A:B,2,0)</f>
        <v>#N/A</v>
      </c>
      <c r="G4954" s="46">
        <f>'Raw data'!F4863</f>
        <v>0</v>
      </c>
      <c r="H4954" s="4">
        <f>'Raw data'!G4863</f>
        <v>0</v>
      </c>
      <c r="I4954" s="29" t="e">
        <f>VLOOKUP(G4954,제품명!$C$1:$E$114,2,0)</f>
        <v>#N/A</v>
      </c>
      <c r="J4954" s="29">
        <f>'Raw data'!K4863</f>
        <v>0</v>
      </c>
      <c r="K4954" s="31">
        <f>'Raw data'!H4863</f>
        <v>0</v>
      </c>
      <c r="L4954" s="26">
        <f t="shared" si="158"/>
        <v>0</v>
      </c>
    </row>
    <row r="4955" spans="2:12">
      <c r="B4955" s="4" t="e">
        <f t="shared" si="157"/>
        <v>#N/A</v>
      </c>
      <c r="C4955" s="4">
        <f>'Raw data'!E4531</f>
        <v>0</v>
      </c>
      <c r="D4955" s="29" t="e">
        <f>VLOOKUP(C4955,'점포코드 '!A:B,2,0)</f>
        <v>#N/A</v>
      </c>
      <c r="E4955" s="30">
        <f>'Raw data'!P4531</f>
        <v>0</v>
      </c>
      <c r="F4955" s="29" t="e">
        <f>VLOOKUP(E4955,'점포코드 '!A:B,2,0)</f>
        <v>#N/A</v>
      </c>
      <c r="G4955" s="46">
        <f>'Raw data'!F4864</f>
        <v>0</v>
      </c>
      <c r="H4955" s="4">
        <f>'Raw data'!G4864</f>
        <v>0</v>
      </c>
      <c r="I4955" s="29" t="e">
        <f>VLOOKUP(G4955,제품명!$C$1:$E$114,2,0)</f>
        <v>#N/A</v>
      </c>
      <c r="J4955" s="29">
        <f>'Raw data'!K4864</f>
        <v>0</v>
      </c>
      <c r="K4955" s="31">
        <f>'Raw data'!H4864</f>
        <v>0</v>
      </c>
      <c r="L4955" s="26">
        <f t="shared" si="158"/>
        <v>0</v>
      </c>
    </row>
    <row r="4956" spans="2:12">
      <c r="B4956" s="4" t="e">
        <f t="shared" si="157"/>
        <v>#N/A</v>
      </c>
      <c r="C4956" s="4">
        <f>'Raw data'!E4532</f>
        <v>0</v>
      </c>
      <c r="D4956" s="29" t="e">
        <f>VLOOKUP(C4956,'점포코드 '!A:B,2,0)</f>
        <v>#N/A</v>
      </c>
      <c r="E4956" s="30">
        <f>'Raw data'!P4532</f>
        <v>0</v>
      </c>
      <c r="F4956" s="29" t="e">
        <f>VLOOKUP(E4956,'점포코드 '!A:B,2,0)</f>
        <v>#N/A</v>
      </c>
      <c r="G4956" s="46">
        <f>'Raw data'!F4865</f>
        <v>0</v>
      </c>
      <c r="H4956" s="4">
        <f>'Raw data'!G4865</f>
        <v>0</v>
      </c>
      <c r="I4956" s="29" t="e">
        <f>VLOOKUP(G4956,제품명!$C$1:$E$114,2,0)</f>
        <v>#N/A</v>
      </c>
      <c r="J4956" s="29">
        <f>'Raw data'!K4865</f>
        <v>0</v>
      </c>
      <c r="K4956" s="31">
        <f>'Raw data'!H4865</f>
        <v>0</v>
      </c>
      <c r="L4956" s="26">
        <f t="shared" si="158"/>
        <v>0</v>
      </c>
    </row>
    <row r="4957" spans="2:12">
      <c r="B4957" s="4" t="e">
        <f t="shared" si="157"/>
        <v>#N/A</v>
      </c>
      <c r="C4957" s="4">
        <f>'Raw data'!E4533</f>
        <v>0</v>
      </c>
      <c r="D4957" s="29" t="e">
        <f>VLOOKUP(C4957,'점포코드 '!A:B,2,0)</f>
        <v>#N/A</v>
      </c>
      <c r="E4957" s="30">
        <f>'Raw data'!P4533</f>
        <v>0</v>
      </c>
      <c r="F4957" s="29" t="e">
        <f>VLOOKUP(E4957,'점포코드 '!A:B,2,0)</f>
        <v>#N/A</v>
      </c>
      <c r="G4957" s="46">
        <f>'Raw data'!F4866</f>
        <v>0</v>
      </c>
      <c r="H4957" s="4">
        <f>'Raw data'!G4866</f>
        <v>0</v>
      </c>
      <c r="I4957" s="29" t="e">
        <f>VLOOKUP(G4957,제품명!$C$1:$E$114,2,0)</f>
        <v>#N/A</v>
      </c>
      <c r="J4957" s="29">
        <f>'Raw data'!K4866</f>
        <v>0</v>
      </c>
      <c r="K4957" s="31">
        <f>'Raw data'!H4866</f>
        <v>0</v>
      </c>
      <c r="L4957" s="26">
        <f t="shared" si="158"/>
        <v>0</v>
      </c>
    </row>
    <row r="4958" spans="2:12">
      <c r="B4958" s="4" t="e">
        <f t="shared" si="157"/>
        <v>#N/A</v>
      </c>
      <c r="C4958" s="4">
        <f>'Raw data'!E4534</f>
        <v>0</v>
      </c>
      <c r="D4958" s="29" t="e">
        <f>VLOOKUP(C4958,'점포코드 '!A:B,2,0)</f>
        <v>#N/A</v>
      </c>
      <c r="E4958" s="30">
        <f>'Raw data'!P4534</f>
        <v>0</v>
      </c>
      <c r="F4958" s="29" t="e">
        <f>VLOOKUP(E4958,'점포코드 '!A:B,2,0)</f>
        <v>#N/A</v>
      </c>
      <c r="G4958" s="46">
        <f>'Raw data'!F4867</f>
        <v>0</v>
      </c>
      <c r="H4958" s="4">
        <f>'Raw data'!G4867</f>
        <v>0</v>
      </c>
      <c r="I4958" s="29" t="e">
        <f>VLOOKUP(G4958,제품명!$C$1:$E$114,2,0)</f>
        <v>#N/A</v>
      </c>
      <c r="J4958" s="29">
        <f>'Raw data'!K4867</f>
        <v>0</v>
      </c>
      <c r="K4958" s="31">
        <f>'Raw data'!H4867</f>
        <v>0</v>
      </c>
      <c r="L4958" s="26">
        <f t="shared" si="158"/>
        <v>0</v>
      </c>
    </row>
    <row r="4959" spans="2:12">
      <c r="B4959" s="4" t="e">
        <f t="shared" si="157"/>
        <v>#N/A</v>
      </c>
      <c r="C4959" s="4">
        <f>'Raw data'!E4535</f>
        <v>0</v>
      </c>
      <c r="D4959" s="29" t="e">
        <f>VLOOKUP(C4959,'점포코드 '!A:B,2,0)</f>
        <v>#N/A</v>
      </c>
      <c r="E4959" s="30">
        <f>'Raw data'!P4535</f>
        <v>0</v>
      </c>
      <c r="F4959" s="29" t="e">
        <f>VLOOKUP(E4959,'점포코드 '!A:B,2,0)</f>
        <v>#N/A</v>
      </c>
      <c r="G4959" s="46">
        <f>'Raw data'!F4868</f>
        <v>0</v>
      </c>
      <c r="H4959" s="4">
        <f>'Raw data'!G4868</f>
        <v>0</v>
      </c>
      <c r="I4959" s="29" t="e">
        <f>VLOOKUP(G4959,제품명!$C$1:$E$114,2,0)</f>
        <v>#N/A</v>
      </c>
      <c r="J4959" s="29">
        <f>'Raw data'!K4868</f>
        <v>0</v>
      </c>
      <c r="K4959" s="31">
        <f>'Raw data'!H4868</f>
        <v>0</v>
      </c>
      <c r="L4959" s="26">
        <f t="shared" si="158"/>
        <v>0</v>
      </c>
    </row>
    <row r="4960" spans="2:12">
      <c r="B4960" s="4" t="e">
        <f t="shared" si="157"/>
        <v>#N/A</v>
      </c>
      <c r="C4960" s="4">
        <f>'Raw data'!E4536</f>
        <v>0</v>
      </c>
      <c r="D4960" s="29" t="e">
        <f>VLOOKUP(C4960,'점포코드 '!A:B,2,0)</f>
        <v>#N/A</v>
      </c>
      <c r="E4960" s="30">
        <f>'Raw data'!P4536</f>
        <v>0</v>
      </c>
      <c r="F4960" s="29" t="e">
        <f>VLOOKUP(E4960,'점포코드 '!A:B,2,0)</f>
        <v>#N/A</v>
      </c>
      <c r="G4960" s="46">
        <f>'Raw data'!F4869</f>
        <v>0</v>
      </c>
      <c r="H4960" s="4">
        <f>'Raw data'!G4869</f>
        <v>0</v>
      </c>
      <c r="I4960" s="29" t="e">
        <f>VLOOKUP(G4960,제품명!$C$1:$E$114,2,0)</f>
        <v>#N/A</v>
      </c>
      <c r="J4960" s="29">
        <f>'Raw data'!K4869</f>
        <v>0</v>
      </c>
      <c r="K4960" s="31">
        <f>'Raw data'!H4869</f>
        <v>0</v>
      </c>
      <c r="L4960" s="26">
        <f t="shared" si="158"/>
        <v>0</v>
      </c>
    </row>
    <row r="4961" spans="2:12">
      <c r="B4961" s="4" t="e">
        <f t="shared" si="157"/>
        <v>#N/A</v>
      </c>
      <c r="C4961" s="4">
        <f>'Raw data'!E4537</f>
        <v>0</v>
      </c>
      <c r="D4961" s="29" t="e">
        <f>VLOOKUP(C4961,'점포코드 '!A:B,2,0)</f>
        <v>#N/A</v>
      </c>
      <c r="E4961" s="30">
        <f>'Raw data'!P4537</f>
        <v>0</v>
      </c>
      <c r="F4961" s="29" t="e">
        <f>VLOOKUP(E4961,'점포코드 '!A:B,2,0)</f>
        <v>#N/A</v>
      </c>
      <c r="G4961" s="46">
        <f>'Raw data'!F4870</f>
        <v>0</v>
      </c>
      <c r="H4961" s="4">
        <f>'Raw data'!G4870</f>
        <v>0</v>
      </c>
      <c r="I4961" s="29" t="e">
        <f>VLOOKUP(G4961,제품명!$C$1:$E$114,2,0)</f>
        <v>#N/A</v>
      </c>
      <c r="J4961" s="29">
        <f>'Raw data'!K4870</f>
        <v>0</v>
      </c>
      <c r="K4961" s="31">
        <f>'Raw data'!H4870</f>
        <v>0</v>
      </c>
      <c r="L4961" s="26">
        <f t="shared" si="158"/>
        <v>0</v>
      </c>
    </row>
    <row r="4962" spans="2:12">
      <c r="B4962" s="4" t="e">
        <f t="shared" si="157"/>
        <v>#N/A</v>
      </c>
      <c r="C4962" s="4">
        <f>'Raw data'!E4538</f>
        <v>0</v>
      </c>
      <c r="D4962" s="29" t="e">
        <f>VLOOKUP(C4962,'점포코드 '!A:B,2,0)</f>
        <v>#N/A</v>
      </c>
      <c r="E4962" s="30">
        <f>'Raw data'!P4538</f>
        <v>0</v>
      </c>
      <c r="F4962" s="29" t="e">
        <f>VLOOKUP(E4962,'점포코드 '!A:B,2,0)</f>
        <v>#N/A</v>
      </c>
      <c r="G4962" s="46">
        <f>'Raw data'!F4871</f>
        <v>0</v>
      </c>
      <c r="H4962" s="4">
        <f>'Raw data'!G4871</f>
        <v>0</v>
      </c>
      <c r="I4962" s="29" t="e">
        <f>VLOOKUP(G4962,제품명!$C$1:$E$114,2,0)</f>
        <v>#N/A</v>
      </c>
      <c r="J4962" s="29">
        <f>'Raw data'!K4871</f>
        <v>0</v>
      </c>
      <c r="K4962" s="31">
        <f>'Raw data'!H4871</f>
        <v>0</v>
      </c>
      <c r="L4962" s="26">
        <f t="shared" si="158"/>
        <v>0</v>
      </c>
    </row>
    <row r="4963" spans="2:12">
      <c r="B4963" s="4" t="e">
        <f t="shared" si="157"/>
        <v>#N/A</v>
      </c>
      <c r="C4963" s="4">
        <f>'Raw data'!E4539</f>
        <v>0</v>
      </c>
      <c r="D4963" s="29" t="e">
        <f>VLOOKUP(C4963,'점포코드 '!A:B,2,0)</f>
        <v>#N/A</v>
      </c>
      <c r="E4963" s="30">
        <f>'Raw data'!P4539</f>
        <v>0</v>
      </c>
      <c r="F4963" s="29" t="e">
        <f>VLOOKUP(E4963,'점포코드 '!A:B,2,0)</f>
        <v>#N/A</v>
      </c>
      <c r="G4963" s="46">
        <f>'Raw data'!F4872</f>
        <v>0</v>
      </c>
      <c r="H4963" s="4">
        <f>'Raw data'!G4872</f>
        <v>0</v>
      </c>
      <c r="I4963" s="29" t="e">
        <f>VLOOKUP(G4963,제품명!$C$1:$E$114,2,0)</f>
        <v>#N/A</v>
      </c>
      <c r="J4963" s="29">
        <f>'Raw data'!K4872</f>
        <v>0</v>
      </c>
      <c r="K4963" s="31">
        <f>'Raw data'!H4872</f>
        <v>0</v>
      </c>
      <c r="L4963" s="26">
        <f t="shared" si="158"/>
        <v>0</v>
      </c>
    </row>
    <row r="4964" spans="2:12">
      <c r="B4964" s="4" t="e">
        <f t="shared" si="157"/>
        <v>#N/A</v>
      </c>
      <c r="C4964" s="4">
        <f>'Raw data'!E4540</f>
        <v>0</v>
      </c>
      <c r="D4964" s="29" t="e">
        <f>VLOOKUP(C4964,'점포코드 '!A:B,2,0)</f>
        <v>#N/A</v>
      </c>
      <c r="E4964" s="30">
        <f>'Raw data'!P4540</f>
        <v>0</v>
      </c>
      <c r="F4964" s="29" t="e">
        <f>VLOOKUP(E4964,'점포코드 '!A:B,2,0)</f>
        <v>#N/A</v>
      </c>
      <c r="G4964" s="46">
        <f>'Raw data'!F4873</f>
        <v>0</v>
      </c>
      <c r="H4964" s="4">
        <f>'Raw data'!G4873</f>
        <v>0</v>
      </c>
      <c r="I4964" s="29" t="e">
        <f>VLOOKUP(G4964,제품명!$C$1:$E$114,2,0)</f>
        <v>#N/A</v>
      </c>
      <c r="J4964" s="29">
        <f>'Raw data'!K4873</f>
        <v>0</v>
      </c>
      <c r="K4964" s="31">
        <f>'Raw data'!H4873</f>
        <v>0</v>
      </c>
      <c r="L4964" s="26">
        <f t="shared" si="158"/>
        <v>0</v>
      </c>
    </row>
    <row r="4965" spans="2:12">
      <c r="B4965" s="4" t="e">
        <f t="shared" si="157"/>
        <v>#N/A</v>
      </c>
      <c r="C4965" s="4">
        <f>'Raw data'!E4541</f>
        <v>0</v>
      </c>
      <c r="D4965" s="29" t="e">
        <f>VLOOKUP(C4965,'점포코드 '!A:B,2,0)</f>
        <v>#N/A</v>
      </c>
      <c r="E4965" s="30">
        <f>'Raw data'!P4541</f>
        <v>0</v>
      </c>
      <c r="F4965" s="29" t="e">
        <f>VLOOKUP(E4965,'점포코드 '!A:B,2,0)</f>
        <v>#N/A</v>
      </c>
      <c r="G4965" s="46">
        <f>'Raw data'!F4874</f>
        <v>0</v>
      </c>
      <c r="H4965" s="4">
        <f>'Raw data'!G4874</f>
        <v>0</v>
      </c>
      <c r="I4965" s="29" t="e">
        <f>VLOOKUP(G4965,제품명!$C$1:$E$114,2,0)</f>
        <v>#N/A</v>
      </c>
      <c r="J4965" s="29">
        <f>'Raw data'!K4874</f>
        <v>0</v>
      </c>
      <c r="K4965" s="31">
        <f>'Raw data'!H4874</f>
        <v>0</v>
      </c>
      <c r="L4965" s="26">
        <f t="shared" si="158"/>
        <v>0</v>
      </c>
    </row>
    <row r="4966" spans="2:12">
      <c r="B4966" s="4" t="e">
        <f t="shared" si="157"/>
        <v>#N/A</v>
      </c>
      <c r="C4966" s="4">
        <f>'Raw data'!E4542</f>
        <v>0</v>
      </c>
      <c r="D4966" s="29" t="e">
        <f>VLOOKUP(C4966,'점포코드 '!A:B,2,0)</f>
        <v>#N/A</v>
      </c>
      <c r="E4966" s="30">
        <f>'Raw data'!P4542</f>
        <v>0</v>
      </c>
      <c r="F4966" s="29" t="e">
        <f>VLOOKUP(E4966,'점포코드 '!A:B,2,0)</f>
        <v>#N/A</v>
      </c>
      <c r="G4966" s="46">
        <f>'Raw data'!F4875</f>
        <v>0</v>
      </c>
      <c r="H4966" s="4">
        <f>'Raw data'!G4875</f>
        <v>0</v>
      </c>
      <c r="I4966" s="29" t="e">
        <f>VLOOKUP(G4966,제품명!$C$1:$E$114,2,0)</f>
        <v>#N/A</v>
      </c>
      <c r="J4966" s="29">
        <f>'Raw data'!K4875</f>
        <v>0</v>
      </c>
      <c r="K4966" s="31">
        <f>'Raw data'!H4875</f>
        <v>0</v>
      </c>
      <c r="L4966" s="26">
        <f t="shared" si="158"/>
        <v>0</v>
      </c>
    </row>
    <row r="4967" spans="2:12">
      <c r="B4967" s="4" t="e">
        <f t="shared" si="157"/>
        <v>#N/A</v>
      </c>
      <c r="C4967" s="4">
        <f>'Raw data'!E4543</f>
        <v>0</v>
      </c>
      <c r="D4967" s="29" t="e">
        <f>VLOOKUP(C4967,'점포코드 '!A:B,2,0)</f>
        <v>#N/A</v>
      </c>
      <c r="E4967" s="30">
        <f>'Raw data'!P4543</f>
        <v>0</v>
      </c>
      <c r="F4967" s="29" t="e">
        <f>VLOOKUP(E4967,'점포코드 '!A:B,2,0)</f>
        <v>#N/A</v>
      </c>
      <c r="G4967" s="46">
        <f>'Raw data'!F4876</f>
        <v>0</v>
      </c>
      <c r="H4967" s="4">
        <f>'Raw data'!G4876</f>
        <v>0</v>
      </c>
      <c r="I4967" s="29" t="e">
        <f>VLOOKUP(G4967,제품명!$C$1:$E$114,2,0)</f>
        <v>#N/A</v>
      </c>
      <c r="J4967" s="29">
        <f>'Raw data'!K4876</f>
        <v>0</v>
      </c>
      <c r="K4967" s="31">
        <f>'Raw data'!H4876</f>
        <v>0</v>
      </c>
      <c r="L4967" s="26">
        <f t="shared" si="158"/>
        <v>0</v>
      </c>
    </row>
    <row r="4968" spans="2:12">
      <c r="B4968" s="4" t="e">
        <f t="shared" si="157"/>
        <v>#N/A</v>
      </c>
      <c r="C4968" s="4">
        <f>'Raw data'!E4544</f>
        <v>0</v>
      </c>
      <c r="D4968" s="29" t="e">
        <f>VLOOKUP(C4968,'점포코드 '!A:B,2,0)</f>
        <v>#N/A</v>
      </c>
      <c r="E4968" s="30">
        <f>'Raw data'!P4544</f>
        <v>0</v>
      </c>
      <c r="F4968" s="29" t="e">
        <f>VLOOKUP(E4968,'점포코드 '!A:B,2,0)</f>
        <v>#N/A</v>
      </c>
      <c r="G4968" s="46">
        <f>'Raw data'!F4877</f>
        <v>0</v>
      </c>
      <c r="H4968" s="4">
        <f>'Raw data'!G4877</f>
        <v>0</v>
      </c>
      <c r="I4968" s="29" t="e">
        <f>VLOOKUP(G4968,제품명!$C$1:$E$114,2,0)</f>
        <v>#N/A</v>
      </c>
      <c r="J4968" s="29">
        <f>'Raw data'!K4877</f>
        <v>0</v>
      </c>
      <c r="K4968" s="31">
        <f>'Raw data'!H4877</f>
        <v>0</v>
      </c>
      <c r="L4968" s="26">
        <f t="shared" si="158"/>
        <v>0</v>
      </c>
    </row>
    <row r="4969" spans="2:12">
      <c r="B4969" s="4" t="e">
        <f t="shared" si="157"/>
        <v>#N/A</v>
      </c>
      <c r="C4969" s="4">
        <f>'Raw data'!E4545</f>
        <v>0</v>
      </c>
      <c r="D4969" s="29" t="e">
        <f>VLOOKUP(C4969,'점포코드 '!A:B,2,0)</f>
        <v>#N/A</v>
      </c>
      <c r="E4969" s="30">
        <f>'Raw data'!P4545</f>
        <v>0</v>
      </c>
      <c r="F4969" s="29" t="e">
        <f>VLOOKUP(E4969,'점포코드 '!A:B,2,0)</f>
        <v>#N/A</v>
      </c>
      <c r="G4969" s="46">
        <f>'Raw data'!F4878</f>
        <v>0</v>
      </c>
      <c r="H4969" s="4">
        <f>'Raw data'!G4878</f>
        <v>0</v>
      </c>
      <c r="I4969" s="29" t="e">
        <f>VLOOKUP(G4969,제품명!$C$1:$E$114,2,0)</f>
        <v>#N/A</v>
      </c>
      <c r="J4969" s="29">
        <f>'Raw data'!K4878</f>
        <v>0</v>
      </c>
      <c r="K4969" s="31">
        <f>'Raw data'!H4878</f>
        <v>0</v>
      </c>
      <c r="L4969" s="26">
        <f t="shared" si="158"/>
        <v>0</v>
      </c>
    </row>
    <row r="4970" spans="2:12">
      <c r="B4970" s="4" t="e">
        <f t="shared" si="157"/>
        <v>#N/A</v>
      </c>
      <c r="C4970" s="4">
        <f>'Raw data'!E4546</f>
        <v>0</v>
      </c>
      <c r="D4970" s="29" t="e">
        <f>VLOOKUP(C4970,'점포코드 '!A:B,2,0)</f>
        <v>#N/A</v>
      </c>
      <c r="E4970" s="30">
        <f>'Raw data'!P4546</f>
        <v>0</v>
      </c>
      <c r="F4970" s="29" t="e">
        <f>VLOOKUP(E4970,'점포코드 '!A:B,2,0)</f>
        <v>#N/A</v>
      </c>
      <c r="G4970" s="46">
        <f>'Raw data'!F4879</f>
        <v>0</v>
      </c>
      <c r="H4970" s="4">
        <f>'Raw data'!G4879</f>
        <v>0</v>
      </c>
      <c r="I4970" s="29" t="e">
        <f>VLOOKUP(G4970,제품명!$C$1:$E$114,2,0)</f>
        <v>#N/A</v>
      </c>
      <c r="J4970" s="29">
        <f>'Raw data'!K4879</f>
        <v>0</v>
      </c>
      <c r="K4970" s="31">
        <f>'Raw data'!H4879</f>
        <v>0</v>
      </c>
      <c r="L4970" s="26">
        <f t="shared" si="158"/>
        <v>0</v>
      </c>
    </row>
    <row r="4971" spans="2:12">
      <c r="B4971" s="4" t="e">
        <f t="shared" si="157"/>
        <v>#N/A</v>
      </c>
      <c r="C4971" s="4">
        <f>'Raw data'!E4547</f>
        <v>0</v>
      </c>
      <c r="D4971" s="29" t="e">
        <f>VLOOKUP(C4971,'점포코드 '!A:B,2,0)</f>
        <v>#N/A</v>
      </c>
      <c r="E4971" s="30">
        <f>'Raw data'!P4547</f>
        <v>0</v>
      </c>
      <c r="F4971" s="29" t="e">
        <f>VLOOKUP(E4971,'점포코드 '!A:B,2,0)</f>
        <v>#N/A</v>
      </c>
      <c r="G4971" s="46">
        <f>'Raw data'!F4880</f>
        <v>0</v>
      </c>
      <c r="H4971" s="4">
        <f>'Raw data'!G4880</f>
        <v>0</v>
      </c>
      <c r="I4971" s="29" t="e">
        <f>VLOOKUP(G4971,제품명!$C$1:$E$114,2,0)</f>
        <v>#N/A</v>
      </c>
      <c r="J4971" s="29">
        <f>'Raw data'!K4880</f>
        <v>0</v>
      </c>
      <c r="K4971" s="31">
        <f>'Raw data'!H4880</f>
        <v>0</v>
      </c>
      <c r="L4971" s="26">
        <f t="shared" si="158"/>
        <v>0</v>
      </c>
    </row>
    <row r="4972" spans="2:12">
      <c r="B4972" s="4" t="e">
        <f t="shared" si="157"/>
        <v>#N/A</v>
      </c>
      <c r="C4972" s="4">
        <f>'Raw data'!E4548</f>
        <v>0</v>
      </c>
      <c r="D4972" s="29" t="e">
        <f>VLOOKUP(C4972,'점포코드 '!A:B,2,0)</f>
        <v>#N/A</v>
      </c>
      <c r="E4972" s="30">
        <f>'Raw data'!P4548</f>
        <v>0</v>
      </c>
      <c r="F4972" s="29" t="e">
        <f>VLOOKUP(E4972,'점포코드 '!A:B,2,0)</f>
        <v>#N/A</v>
      </c>
      <c r="G4972" s="46">
        <f>'Raw data'!F4881</f>
        <v>0</v>
      </c>
      <c r="H4972" s="4">
        <f>'Raw data'!G4881</f>
        <v>0</v>
      </c>
      <c r="I4972" s="29" t="e">
        <f>VLOOKUP(G4972,제품명!$C$1:$E$114,2,0)</f>
        <v>#N/A</v>
      </c>
      <c r="J4972" s="29">
        <f>'Raw data'!K4881</f>
        <v>0</v>
      </c>
      <c r="K4972" s="31">
        <f>'Raw data'!H4881</f>
        <v>0</v>
      </c>
      <c r="L4972" s="26">
        <f t="shared" si="158"/>
        <v>0</v>
      </c>
    </row>
    <row r="4973" spans="2:12">
      <c r="B4973" s="4" t="e">
        <f t="shared" si="157"/>
        <v>#N/A</v>
      </c>
      <c r="C4973" s="4">
        <f>'Raw data'!E4549</f>
        <v>0</v>
      </c>
      <c r="D4973" s="29" t="e">
        <f>VLOOKUP(C4973,'점포코드 '!A:B,2,0)</f>
        <v>#N/A</v>
      </c>
      <c r="E4973" s="30">
        <f>'Raw data'!P4549</f>
        <v>0</v>
      </c>
      <c r="F4973" s="29" t="e">
        <f>VLOOKUP(E4973,'점포코드 '!A:B,2,0)</f>
        <v>#N/A</v>
      </c>
      <c r="G4973" s="46">
        <f>'Raw data'!F4882</f>
        <v>0</v>
      </c>
      <c r="H4973" s="4">
        <f>'Raw data'!G4882</f>
        <v>0</v>
      </c>
      <c r="I4973" s="29" t="e">
        <f>VLOOKUP(G4973,제품명!$C$1:$E$114,2,0)</f>
        <v>#N/A</v>
      </c>
      <c r="J4973" s="29">
        <f>'Raw data'!K4882</f>
        <v>0</v>
      </c>
      <c r="K4973" s="31">
        <f>'Raw data'!H4882</f>
        <v>0</v>
      </c>
      <c r="L4973" s="26">
        <f t="shared" si="158"/>
        <v>0</v>
      </c>
    </row>
    <row r="4974" spans="2:12">
      <c r="B4974" s="4" t="e">
        <f t="shared" si="157"/>
        <v>#N/A</v>
      </c>
      <c r="C4974" s="4">
        <f>'Raw data'!E4550</f>
        <v>0</v>
      </c>
      <c r="D4974" s="29" t="e">
        <f>VLOOKUP(C4974,'점포코드 '!A:B,2,0)</f>
        <v>#N/A</v>
      </c>
      <c r="E4974" s="30">
        <f>'Raw data'!P4550</f>
        <v>0</v>
      </c>
      <c r="F4974" s="29" t="e">
        <f>VLOOKUP(E4974,'점포코드 '!A:B,2,0)</f>
        <v>#N/A</v>
      </c>
      <c r="G4974" s="46">
        <f>'Raw data'!F4883</f>
        <v>0</v>
      </c>
      <c r="H4974" s="4">
        <f>'Raw data'!G4883</f>
        <v>0</v>
      </c>
      <c r="I4974" s="29" t="e">
        <f>VLOOKUP(G4974,제품명!$C$1:$E$114,2,0)</f>
        <v>#N/A</v>
      </c>
      <c r="J4974" s="29">
        <f>'Raw data'!K4883</f>
        <v>0</v>
      </c>
      <c r="K4974" s="31">
        <f>'Raw data'!H4883</f>
        <v>0</v>
      </c>
      <c r="L4974" s="26">
        <f t="shared" si="158"/>
        <v>0</v>
      </c>
    </row>
    <row r="4975" spans="2:12">
      <c r="B4975" s="4" t="e">
        <f t="shared" si="157"/>
        <v>#N/A</v>
      </c>
      <c r="C4975" s="4">
        <f>'Raw data'!E4551</f>
        <v>0</v>
      </c>
      <c r="D4975" s="29" t="e">
        <f>VLOOKUP(C4975,'점포코드 '!A:B,2,0)</f>
        <v>#N/A</v>
      </c>
      <c r="E4975" s="30">
        <f>'Raw data'!P4551</f>
        <v>0</v>
      </c>
      <c r="F4975" s="29" t="e">
        <f>VLOOKUP(E4975,'점포코드 '!A:B,2,0)</f>
        <v>#N/A</v>
      </c>
      <c r="G4975" s="46">
        <f>'Raw data'!F4884</f>
        <v>0</v>
      </c>
      <c r="H4975" s="4">
        <f>'Raw data'!G4884</f>
        <v>0</v>
      </c>
      <c r="I4975" s="29" t="e">
        <f>VLOOKUP(G4975,제품명!$C$1:$E$114,2,0)</f>
        <v>#N/A</v>
      </c>
      <c r="J4975" s="29">
        <f>'Raw data'!K4884</f>
        <v>0</v>
      </c>
      <c r="K4975" s="31">
        <f>'Raw data'!H4884</f>
        <v>0</v>
      </c>
      <c r="L4975" s="26">
        <f t="shared" si="158"/>
        <v>0</v>
      </c>
    </row>
    <row r="4976" spans="2:12">
      <c r="B4976" s="4" t="e">
        <f t="shared" si="157"/>
        <v>#N/A</v>
      </c>
      <c r="C4976" s="4">
        <f>'Raw data'!E4552</f>
        <v>0</v>
      </c>
      <c r="D4976" s="29" t="e">
        <f>VLOOKUP(C4976,'점포코드 '!A:B,2,0)</f>
        <v>#N/A</v>
      </c>
      <c r="E4976" s="30">
        <f>'Raw data'!P4552</f>
        <v>0</v>
      </c>
      <c r="F4976" s="29" t="e">
        <f>VLOOKUP(E4976,'점포코드 '!A:B,2,0)</f>
        <v>#N/A</v>
      </c>
      <c r="G4976" s="46">
        <f>'Raw data'!F4885</f>
        <v>0</v>
      </c>
      <c r="H4976" s="4">
        <f>'Raw data'!G4885</f>
        <v>0</v>
      </c>
      <c r="I4976" s="29" t="e">
        <f>VLOOKUP(G4976,제품명!$C$1:$E$114,2,0)</f>
        <v>#N/A</v>
      </c>
      <c r="J4976" s="29">
        <f>'Raw data'!K4885</f>
        <v>0</v>
      </c>
      <c r="K4976" s="31">
        <f>'Raw data'!H4885</f>
        <v>0</v>
      </c>
      <c r="L4976" s="26">
        <f t="shared" si="158"/>
        <v>0</v>
      </c>
    </row>
    <row r="4977" spans="2:12">
      <c r="B4977" s="4" t="e">
        <f t="shared" si="157"/>
        <v>#N/A</v>
      </c>
      <c r="C4977" s="4">
        <f>'Raw data'!E4553</f>
        <v>0</v>
      </c>
      <c r="D4977" s="29" t="e">
        <f>VLOOKUP(C4977,'점포코드 '!A:B,2,0)</f>
        <v>#N/A</v>
      </c>
      <c r="E4977" s="30">
        <f>'Raw data'!P4553</f>
        <v>0</v>
      </c>
      <c r="F4977" s="29" t="e">
        <f>VLOOKUP(E4977,'점포코드 '!A:B,2,0)</f>
        <v>#N/A</v>
      </c>
      <c r="G4977" s="46">
        <f>'Raw data'!F4886</f>
        <v>0</v>
      </c>
      <c r="H4977" s="4">
        <f>'Raw data'!G4886</f>
        <v>0</v>
      </c>
      <c r="I4977" s="29" t="e">
        <f>VLOOKUP(G4977,제품명!$C$1:$E$114,2,0)</f>
        <v>#N/A</v>
      </c>
      <c r="J4977" s="29">
        <f>'Raw data'!K4886</f>
        <v>0</v>
      </c>
      <c r="K4977" s="31">
        <f>'Raw data'!H4886</f>
        <v>0</v>
      </c>
      <c r="L4977" s="26">
        <f t="shared" si="158"/>
        <v>0</v>
      </c>
    </row>
    <row r="4978" spans="2:12">
      <c r="B4978" s="4" t="e">
        <f t="shared" si="157"/>
        <v>#N/A</v>
      </c>
      <c r="C4978" s="4">
        <f>'Raw data'!E4554</f>
        <v>0</v>
      </c>
      <c r="D4978" s="29" t="e">
        <f>VLOOKUP(C4978,'점포코드 '!A:B,2,0)</f>
        <v>#N/A</v>
      </c>
      <c r="E4978" s="30">
        <f>'Raw data'!P4554</f>
        <v>0</v>
      </c>
      <c r="F4978" s="29" t="e">
        <f>VLOOKUP(E4978,'점포코드 '!A:B,2,0)</f>
        <v>#N/A</v>
      </c>
      <c r="G4978" s="46">
        <f>'Raw data'!F4887</f>
        <v>0</v>
      </c>
      <c r="H4978" s="4">
        <f>'Raw data'!G4887</f>
        <v>0</v>
      </c>
      <c r="I4978" s="29" t="e">
        <f>VLOOKUP(G4978,제품명!$C$1:$E$114,2,0)</f>
        <v>#N/A</v>
      </c>
      <c r="J4978" s="29">
        <f>'Raw data'!K4887</f>
        <v>0</v>
      </c>
      <c r="K4978" s="31">
        <f>'Raw data'!H4887</f>
        <v>0</v>
      </c>
      <c r="L4978" s="26">
        <f t="shared" si="158"/>
        <v>0</v>
      </c>
    </row>
    <row r="4979" spans="2:12">
      <c r="B4979" s="4" t="e">
        <f t="shared" si="157"/>
        <v>#N/A</v>
      </c>
      <c r="C4979" s="4">
        <f>'Raw data'!E4555</f>
        <v>0</v>
      </c>
      <c r="D4979" s="29" t="e">
        <f>VLOOKUP(C4979,'점포코드 '!A:B,2,0)</f>
        <v>#N/A</v>
      </c>
      <c r="E4979" s="30">
        <f>'Raw data'!P4555</f>
        <v>0</v>
      </c>
      <c r="F4979" s="29" t="e">
        <f>VLOOKUP(E4979,'점포코드 '!A:B,2,0)</f>
        <v>#N/A</v>
      </c>
      <c r="G4979" s="46">
        <f>'Raw data'!F4888</f>
        <v>0</v>
      </c>
      <c r="H4979" s="4">
        <f>'Raw data'!G4888</f>
        <v>0</v>
      </c>
      <c r="I4979" s="29" t="e">
        <f>VLOOKUP(G4979,제품명!$C$1:$E$114,2,0)</f>
        <v>#N/A</v>
      </c>
      <c r="J4979" s="29">
        <f>'Raw data'!K4888</f>
        <v>0</v>
      </c>
      <c r="K4979" s="31">
        <f>'Raw data'!H4888</f>
        <v>0</v>
      </c>
      <c r="L4979" s="26">
        <f t="shared" si="158"/>
        <v>0</v>
      </c>
    </row>
    <row r="4980" spans="2:12">
      <c r="B4980" s="4" t="e">
        <f t="shared" si="157"/>
        <v>#N/A</v>
      </c>
      <c r="C4980" s="4">
        <f>'Raw data'!E4556</f>
        <v>0</v>
      </c>
      <c r="D4980" s="29" t="e">
        <f>VLOOKUP(C4980,'점포코드 '!A:B,2,0)</f>
        <v>#N/A</v>
      </c>
      <c r="E4980" s="30">
        <f>'Raw data'!P4556</f>
        <v>0</v>
      </c>
      <c r="F4980" s="29" t="e">
        <f>VLOOKUP(E4980,'점포코드 '!A:B,2,0)</f>
        <v>#N/A</v>
      </c>
      <c r="G4980" s="46">
        <f>'Raw data'!F4889</f>
        <v>0</v>
      </c>
      <c r="H4980" s="4">
        <f>'Raw data'!G4889</f>
        <v>0</v>
      </c>
      <c r="I4980" s="29" t="e">
        <f>VLOOKUP(G4980,제품명!$C$1:$E$114,2,0)</f>
        <v>#N/A</v>
      </c>
      <c r="J4980" s="29">
        <f>'Raw data'!K4889</f>
        <v>0</v>
      </c>
      <c r="K4980" s="31">
        <f>'Raw data'!H4889</f>
        <v>0</v>
      </c>
      <c r="L4980" s="26">
        <f t="shared" si="158"/>
        <v>0</v>
      </c>
    </row>
    <row r="4981" spans="2:12">
      <c r="B4981" s="4" t="e">
        <f t="shared" si="157"/>
        <v>#N/A</v>
      </c>
      <c r="C4981" s="4">
        <f>'Raw data'!E4557</f>
        <v>0</v>
      </c>
      <c r="D4981" s="29" t="e">
        <f>VLOOKUP(C4981,'점포코드 '!A:B,2,0)</f>
        <v>#N/A</v>
      </c>
      <c r="E4981" s="30">
        <f>'Raw data'!P4557</f>
        <v>0</v>
      </c>
      <c r="F4981" s="29" t="e">
        <f>VLOOKUP(E4981,'점포코드 '!A:B,2,0)</f>
        <v>#N/A</v>
      </c>
      <c r="G4981" s="46">
        <f>'Raw data'!F4890</f>
        <v>0</v>
      </c>
      <c r="H4981" s="4">
        <f>'Raw data'!G4890</f>
        <v>0</v>
      </c>
      <c r="I4981" s="29" t="e">
        <f>VLOOKUP(G4981,제품명!$C$1:$E$114,2,0)</f>
        <v>#N/A</v>
      </c>
      <c r="J4981" s="29">
        <f>'Raw data'!K4890</f>
        <v>0</v>
      </c>
      <c r="K4981" s="31">
        <f>'Raw data'!H4890</f>
        <v>0</v>
      </c>
      <c r="L4981" s="26">
        <f t="shared" si="158"/>
        <v>0</v>
      </c>
    </row>
    <row r="4982" spans="2:12">
      <c r="B4982" s="4" t="e">
        <f t="shared" si="157"/>
        <v>#N/A</v>
      </c>
      <c r="C4982" s="4">
        <f>'Raw data'!E4558</f>
        <v>0</v>
      </c>
      <c r="D4982" s="29" t="e">
        <f>VLOOKUP(C4982,'점포코드 '!A:B,2,0)</f>
        <v>#N/A</v>
      </c>
      <c r="E4982" s="30">
        <f>'Raw data'!P4558</f>
        <v>0</v>
      </c>
      <c r="F4982" s="29" t="e">
        <f>VLOOKUP(E4982,'점포코드 '!A:B,2,0)</f>
        <v>#N/A</v>
      </c>
      <c r="G4982" s="46">
        <f>'Raw data'!F4891</f>
        <v>0</v>
      </c>
      <c r="H4982" s="4">
        <f>'Raw data'!G4891</f>
        <v>0</v>
      </c>
      <c r="I4982" s="29" t="e">
        <f>VLOOKUP(G4982,제품명!$C$1:$E$114,2,0)</f>
        <v>#N/A</v>
      </c>
      <c r="J4982" s="29">
        <f>'Raw data'!K4891</f>
        <v>0</v>
      </c>
      <c r="K4982" s="31">
        <f>'Raw data'!H4891</f>
        <v>0</v>
      </c>
      <c r="L4982" s="26">
        <f t="shared" si="158"/>
        <v>0</v>
      </c>
    </row>
    <row r="4983" spans="2:12">
      <c r="B4983" s="4" t="e">
        <f t="shared" si="157"/>
        <v>#N/A</v>
      </c>
      <c r="C4983" s="4">
        <f>'Raw data'!E4559</f>
        <v>0</v>
      </c>
      <c r="D4983" s="29" t="e">
        <f>VLOOKUP(C4983,'점포코드 '!A:B,2,0)</f>
        <v>#N/A</v>
      </c>
      <c r="E4983" s="30">
        <f>'Raw data'!P4559</f>
        <v>0</v>
      </c>
      <c r="F4983" s="29" t="e">
        <f>VLOOKUP(E4983,'점포코드 '!A:B,2,0)</f>
        <v>#N/A</v>
      </c>
      <c r="G4983" s="46">
        <f>'Raw data'!F4892</f>
        <v>0</v>
      </c>
      <c r="H4983" s="4">
        <f>'Raw data'!G4892</f>
        <v>0</v>
      </c>
      <c r="I4983" s="29" t="e">
        <f>VLOOKUP(G4983,제품명!$C$1:$E$114,2,0)</f>
        <v>#N/A</v>
      </c>
      <c r="J4983" s="29">
        <f>'Raw data'!K4892</f>
        <v>0</v>
      </c>
      <c r="K4983" s="31">
        <f>'Raw data'!H4892</f>
        <v>0</v>
      </c>
      <c r="L4983" s="26">
        <f t="shared" si="158"/>
        <v>0</v>
      </c>
    </row>
    <row r="4984" spans="2:12">
      <c r="B4984" s="4" t="e">
        <f t="shared" si="157"/>
        <v>#N/A</v>
      </c>
      <c r="C4984" s="4">
        <f>'Raw data'!E4560</f>
        <v>0</v>
      </c>
      <c r="D4984" s="29" t="e">
        <f>VLOOKUP(C4984,'점포코드 '!A:B,2,0)</f>
        <v>#N/A</v>
      </c>
      <c r="E4984" s="30">
        <f>'Raw data'!P4560</f>
        <v>0</v>
      </c>
      <c r="F4984" s="29" t="e">
        <f>VLOOKUP(E4984,'점포코드 '!A:B,2,0)</f>
        <v>#N/A</v>
      </c>
      <c r="G4984" s="46">
        <f>'Raw data'!F4893</f>
        <v>0</v>
      </c>
      <c r="H4984" s="4">
        <f>'Raw data'!G4893</f>
        <v>0</v>
      </c>
      <c r="I4984" s="29" t="e">
        <f>VLOOKUP(G4984,제품명!$C$1:$E$114,2,0)</f>
        <v>#N/A</v>
      </c>
      <c r="J4984" s="29">
        <f>'Raw data'!K4893</f>
        <v>0</v>
      </c>
      <c r="K4984" s="31">
        <f>'Raw data'!H4893</f>
        <v>0</v>
      </c>
      <c r="L4984" s="26">
        <f t="shared" si="158"/>
        <v>0</v>
      </c>
    </row>
    <row r="4985" spans="2:12">
      <c r="B4985" s="4" t="e">
        <f t="shared" si="157"/>
        <v>#N/A</v>
      </c>
      <c r="C4985" s="4">
        <f>'Raw data'!E4561</f>
        <v>0</v>
      </c>
      <c r="D4985" s="29" t="e">
        <f>VLOOKUP(C4985,'점포코드 '!A:B,2,0)</f>
        <v>#N/A</v>
      </c>
      <c r="E4985" s="30">
        <f>'Raw data'!P4561</f>
        <v>0</v>
      </c>
      <c r="F4985" s="29" t="e">
        <f>VLOOKUP(E4985,'점포코드 '!A:B,2,0)</f>
        <v>#N/A</v>
      </c>
      <c r="G4985" s="46">
        <f>'Raw data'!F4894</f>
        <v>0</v>
      </c>
      <c r="H4985" s="4">
        <f>'Raw data'!G4894</f>
        <v>0</v>
      </c>
      <c r="I4985" s="29" t="e">
        <f>VLOOKUP(G4985,제품명!$C$1:$E$114,2,0)</f>
        <v>#N/A</v>
      </c>
      <c r="J4985" s="29">
        <f>'Raw data'!K4894</f>
        <v>0</v>
      </c>
      <c r="K4985" s="31">
        <f>'Raw data'!H4894</f>
        <v>0</v>
      </c>
      <c r="L4985" s="26">
        <f t="shared" si="158"/>
        <v>0</v>
      </c>
    </row>
    <row r="4986" spans="2:12">
      <c r="B4986" s="4" t="e">
        <f t="shared" si="157"/>
        <v>#N/A</v>
      </c>
      <c r="C4986" s="4">
        <f>'Raw data'!E4562</f>
        <v>0</v>
      </c>
      <c r="D4986" s="29" t="e">
        <f>VLOOKUP(C4986,'점포코드 '!A:B,2,0)</f>
        <v>#N/A</v>
      </c>
      <c r="E4986" s="30">
        <f>'Raw data'!P4562</f>
        <v>0</v>
      </c>
      <c r="F4986" s="29" t="e">
        <f>VLOOKUP(E4986,'점포코드 '!A:B,2,0)</f>
        <v>#N/A</v>
      </c>
      <c r="G4986" s="46">
        <f>'Raw data'!F4895</f>
        <v>0</v>
      </c>
      <c r="H4986" s="4">
        <f>'Raw data'!G4895</f>
        <v>0</v>
      </c>
      <c r="I4986" s="29" t="e">
        <f>VLOOKUP(G4986,제품명!$C$1:$E$114,2,0)</f>
        <v>#N/A</v>
      </c>
      <c r="J4986" s="29">
        <f>'Raw data'!K4895</f>
        <v>0</v>
      </c>
      <c r="K4986" s="31">
        <f>'Raw data'!H4895</f>
        <v>0</v>
      </c>
      <c r="L4986" s="26">
        <f t="shared" si="158"/>
        <v>0</v>
      </c>
    </row>
    <row r="4987" spans="2:12">
      <c r="B4987" s="4" t="e">
        <f t="shared" si="157"/>
        <v>#N/A</v>
      </c>
      <c r="C4987" s="4">
        <f>'Raw data'!E4563</f>
        <v>0</v>
      </c>
      <c r="D4987" s="29" t="e">
        <f>VLOOKUP(C4987,'점포코드 '!A:B,2,0)</f>
        <v>#N/A</v>
      </c>
      <c r="E4987" s="30">
        <f>'Raw data'!P4563</f>
        <v>0</v>
      </c>
      <c r="F4987" s="29" t="e">
        <f>VLOOKUP(E4987,'점포코드 '!A:B,2,0)</f>
        <v>#N/A</v>
      </c>
      <c r="G4987" s="46">
        <f>'Raw data'!F4896</f>
        <v>0</v>
      </c>
      <c r="H4987" s="4">
        <f>'Raw data'!G4896</f>
        <v>0</v>
      </c>
      <c r="I4987" s="29" t="e">
        <f>VLOOKUP(G4987,제품명!$C$1:$E$114,2,0)</f>
        <v>#N/A</v>
      </c>
      <c r="J4987" s="29">
        <f>'Raw data'!K4896</f>
        <v>0</v>
      </c>
      <c r="K4987" s="31">
        <f>'Raw data'!H4896</f>
        <v>0</v>
      </c>
      <c r="L4987" s="26">
        <f t="shared" si="158"/>
        <v>0</v>
      </c>
    </row>
    <row r="4988" spans="2:12">
      <c r="B4988" s="4" t="e">
        <f t="shared" si="157"/>
        <v>#N/A</v>
      </c>
      <c r="C4988" s="4">
        <f>'Raw data'!E4564</f>
        <v>0</v>
      </c>
      <c r="D4988" s="29" t="e">
        <f>VLOOKUP(C4988,'점포코드 '!A:B,2,0)</f>
        <v>#N/A</v>
      </c>
      <c r="E4988" s="30">
        <f>'Raw data'!P4564</f>
        <v>0</v>
      </c>
      <c r="F4988" s="29" t="e">
        <f>VLOOKUP(E4988,'점포코드 '!A:B,2,0)</f>
        <v>#N/A</v>
      </c>
      <c r="G4988" s="46">
        <f>'Raw data'!F4897</f>
        <v>0</v>
      </c>
      <c r="H4988" s="4">
        <f>'Raw data'!G4897</f>
        <v>0</v>
      </c>
      <c r="I4988" s="29" t="e">
        <f>VLOOKUP(G4988,제품명!$C$1:$E$114,2,0)</f>
        <v>#N/A</v>
      </c>
      <c r="J4988" s="29">
        <f>'Raw data'!K4897</f>
        <v>0</v>
      </c>
      <c r="K4988" s="31">
        <f>'Raw data'!H4897</f>
        <v>0</v>
      </c>
      <c r="L4988" s="26">
        <f t="shared" si="158"/>
        <v>0</v>
      </c>
    </row>
    <row r="4989" spans="2:12">
      <c r="B4989" s="4" t="e">
        <f t="shared" si="157"/>
        <v>#N/A</v>
      </c>
      <c r="C4989" s="4">
        <f>'Raw data'!E4565</f>
        <v>0</v>
      </c>
      <c r="D4989" s="29" t="e">
        <f>VLOOKUP(C4989,'점포코드 '!A:B,2,0)</f>
        <v>#N/A</v>
      </c>
      <c r="E4989" s="30">
        <f>'Raw data'!P4565</f>
        <v>0</v>
      </c>
      <c r="F4989" s="29" t="e">
        <f>VLOOKUP(E4989,'점포코드 '!A:B,2,0)</f>
        <v>#N/A</v>
      </c>
      <c r="G4989" s="46">
        <f>'Raw data'!F4898</f>
        <v>0</v>
      </c>
      <c r="H4989" s="4">
        <f>'Raw data'!G4898</f>
        <v>0</v>
      </c>
      <c r="I4989" s="29" t="e">
        <f>VLOOKUP(G4989,제품명!$C$1:$E$114,2,0)</f>
        <v>#N/A</v>
      </c>
      <c r="J4989" s="29">
        <f>'Raw data'!K4898</f>
        <v>0</v>
      </c>
      <c r="K4989" s="31">
        <f>'Raw data'!H4898</f>
        <v>0</v>
      </c>
      <c r="L4989" s="26">
        <f t="shared" si="158"/>
        <v>0</v>
      </c>
    </row>
    <row r="4990" spans="2:12">
      <c r="B4990" s="4" t="e">
        <f t="shared" si="157"/>
        <v>#N/A</v>
      </c>
      <c r="C4990" s="4">
        <f>'Raw data'!E4566</f>
        <v>0</v>
      </c>
      <c r="D4990" s="29" t="e">
        <f>VLOOKUP(C4990,'점포코드 '!A:B,2,0)</f>
        <v>#N/A</v>
      </c>
      <c r="E4990" s="30">
        <f>'Raw data'!P4566</f>
        <v>0</v>
      </c>
      <c r="F4990" s="29" t="e">
        <f>VLOOKUP(E4990,'점포코드 '!A:B,2,0)</f>
        <v>#N/A</v>
      </c>
      <c r="G4990" s="46">
        <f>'Raw data'!F4899</f>
        <v>0</v>
      </c>
      <c r="H4990" s="4">
        <f>'Raw data'!G4899</f>
        <v>0</v>
      </c>
      <c r="I4990" s="29" t="e">
        <f>VLOOKUP(G4990,제품명!$C$1:$E$114,2,0)</f>
        <v>#N/A</v>
      </c>
      <c r="J4990" s="29">
        <f>'Raw data'!K4899</f>
        <v>0</v>
      </c>
      <c r="K4990" s="31">
        <f>'Raw data'!H4899</f>
        <v>0</v>
      </c>
      <c r="L4990" s="26">
        <f t="shared" si="158"/>
        <v>0</v>
      </c>
    </row>
    <row r="4991" spans="2:12">
      <c r="B4991" s="4" t="e">
        <f t="shared" si="157"/>
        <v>#N/A</v>
      </c>
      <c r="C4991" s="4">
        <f>'Raw data'!E4567</f>
        <v>0</v>
      </c>
      <c r="D4991" s="29" t="e">
        <f>VLOOKUP(C4991,'점포코드 '!A:B,2,0)</f>
        <v>#N/A</v>
      </c>
      <c r="E4991" s="30">
        <f>'Raw data'!P4567</f>
        <v>0</v>
      </c>
      <c r="F4991" s="29" t="e">
        <f>VLOOKUP(E4991,'점포코드 '!A:B,2,0)</f>
        <v>#N/A</v>
      </c>
      <c r="G4991" s="46">
        <f>'Raw data'!F4900</f>
        <v>0</v>
      </c>
      <c r="H4991" s="4">
        <f>'Raw data'!G4900</f>
        <v>0</v>
      </c>
      <c r="I4991" s="29" t="e">
        <f>VLOOKUP(G4991,제품명!$C$1:$E$114,2,0)</f>
        <v>#N/A</v>
      </c>
      <c r="J4991" s="29">
        <f>'Raw data'!K4900</f>
        <v>0</v>
      </c>
      <c r="K4991" s="31">
        <f>'Raw data'!H4900</f>
        <v>0</v>
      </c>
      <c r="L4991" s="26">
        <f t="shared" si="158"/>
        <v>0</v>
      </c>
    </row>
    <row r="4992" spans="2:12">
      <c r="B4992" s="4" t="e">
        <f t="shared" si="157"/>
        <v>#N/A</v>
      </c>
      <c r="C4992" s="4">
        <f>'Raw data'!E4568</f>
        <v>0</v>
      </c>
      <c r="D4992" s="29" t="e">
        <f>VLOOKUP(C4992,'점포코드 '!A:B,2,0)</f>
        <v>#N/A</v>
      </c>
      <c r="E4992" s="30">
        <f>'Raw data'!P4568</f>
        <v>0</v>
      </c>
      <c r="F4992" s="29" t="e">
        <f>VLOOKUP(E4992,'점포코드 '!A:B,2,0)</f>
        <v>#N/A</v>
      </c>
      <c r="G4992" s="46">
        <f>'Raw data'!F4901</f>
        <v>0</v>
      </c>
      <c r="H4992" s="4">
        <f>'Raw data'!G4901</f>
        <v>0</v>
      </c>
      <c r="I4992" s="29" t="e">
        <f>VLOOKUP(G4992,제품명!$C$1:$E$114,2,0)</f>
        <v>#N/A</v>
      </c>
      <c r="J4992" s="29">
        <f>'Raw data'!K4901</f>
        <v>0</v>
      </c>
      <c r="K4992" s="31">
        <f>'Raw data'!H4901</f>
        <v>0</v>
      </c>
      <c r="L4992" s="26">
        <f t="shared" si="158"/>
        <v>0</v>
      </c>
    </row>
    <row r="4993" spans="2:12">
      <c r="B4993" s="4" t="e">
        <f t="shared" si="157"/>
        <v>#N/A</v>
      </c>
      <c r="C4993" s="4">
        <f>'Raw data'!E4569</f>
        <v>0</v>
      </c>
      <c r="D4993" s="29" t="e">
        <f>VLOOKUP(C4993,'점포코드 '!A:B,2,0)</f>
        <v>#N/A</v>
      </c>
      <c r="E4993" s="30">
        <f>'Raw data'!P4569</f>
        <v>0</v>
      </c>
      <c r="F4993" s="29" t="e">
        <f>VLOOKUP(E4993,'점포코드 '!A:B,2,0)</f>
        <v>#N/A</v>
      </c>
      <c r="G4993" s="46">
        <f>'Raw data'!F4902</f>
        <v>0</v>
      </c>
      <c r="H4993" s="4">
        <f>'Raw data'!G4902</f>
        <v>0</v>
      </c>
      <c r="I4993" s="29" t="e">
        <f>VLOOKUP(G4993,제품명!$C$1:$E$114,2,0)</f>
        <v>#N/A</v>
      </c>
      <c r="J4993" s="29">
        <f>'Raw data'!K4902</f>
        <v>0</v>
      </c>
      <c r="K4993" s="31">
        <f>'Raw data'!H4902</f>
        <v>0</v>
      </c>
      <c r="L4993" s="26">
        <f t="shared" si="158"/>
        <v>0</v>
      </c>
    </row>
    <row r="4994" spans="2:12">
      <c r="B4994" s="4" t="e">
        <f t="shared" ref="B4994:B5057" si="159">F4994&amp;I4994</f>
        <v>#N/A</v>
      </c>
      <c r="C4994" s="4">
        <f>'Raw data'!E4570</f>
        <v>0</v>
      </c>
      <c r="D4994" s="29" t="e">
        <f>VLOOKUP(C4994,'점포코드 '!A:B,2,0)</f>
        <v>#N/A</v>
      </c>
      <c r="E4994" s="30">
        <f>'Raw data'!P4570</f>
        <v>0</v>
      </c>
      <c r="F4994" s="29" t="e">
        <f>VLOOKUP(E4994,'점포코드 '!A:B,2,0)</f>
        <v>#N/A</v>
      </c>
      <c r="G4994" s="46">
        <f>'Raw data'!F4903</f>
        <v>0</v>
      </c>
      <c r="H4994" s="4">
        <f>'Raw data'!G4903</f>
        <v>0</v>
      </c>
      <c r="I4994" s="29" t="e">
        <f>VLOOKUP(G4994,제품명!$C$1:$E$114,2,0)</f>
        <v>#N/A</v>
      </c>
      <c r="J4994" s="29">
        <f>'Raw data'!K4903</f>
        <v>0</v>
      </c>
      <c r="K4994" s="31">
        <f>'Raw data'!H4903</f>
        <v>0</v>
      </c>
      <c r="L4994" s="26">
        <f t="shared" si="158"/>
        <v>0</v>
      </c>
    </row>
    <row r="4995" spans="2:12">
      <c r="B4995" s="4" t="e">
        <f t="shared" si="159"/>
        <v>#N/A</v>
      </c>
      <c r="C4995" s="4">
        <f>'Raw data'!E4571</f>
        <v>0</v>
      </c>
      <c r="D4995" s="29" t="e">
        <f>VLOOKUP(C4995,'점포코드 '!A:B,2,0)</f>
        <v>#N/A</v>
      </c>
      <c r="E4995" s="30">
        <f>'Raw data'!P4571</f>
        <v>0</v>
      </c>
      <c r="F4995" s="29" t="e">
        <f>VLOOKUP(E4995,'점포코드 '!A:B,2,0)</f>
        <v>#N/A</v>
      </c>
      <c r="G4995" s="46">
        <f>'Raw data'!F4904</f>
        <v>0</v>
      </c>
      <c r="H4995" s="4">
        <f>'Raw data'!G4904</f>
        <v>0</v>
      </c>
      <c r="I4995" s="29" t="e">
        <f>VLOOKUP(G4995,제품명!$C$1:$E$114,2,0)</f>
        <v>#N/A</v>
      </c>
      <c r="J4995" s="29">
        <f>'Raw data'!K4904</f>
        <v>0</v>
      </c>
      <c r="K4995" s="31">
        <f>'Raw data'!H4904</f>
        <v>0</v>
      </c>
      <c r="L4995" s="26">
        <f t="shared" ref="L4995:L5058" si="160">J4995*K4995</f>
        <v>0</v>
      </c>
    </row>
    <row r="4996" spans="2:12">
      <c r="B4996" s="4" t="e">
        <f t="shared" si="159"/>
        <v>#N/A</v>
      </c>
      <c r="C4996" s="4">
        <f>'Raw data'!E4572</f>
        <v>0</v>
      </c>
      <c r="D4996" s="29" t="e">
        <f>VLOOKUP(C4996,'점포코드 '!A:B,2,0)</f>
        <v>#N/A</v>
      </c>
      <c r="E4996" s="30">
        <f>'Raw data'!P4572</f>
        <v>0</v>
      </c>
      <c r="F4996" s="29" t="e">
        <f>VLOOKUP(E4996,'점포코드 '!A:B,2,0)</f>
        <v>#N/A</v>
      </c>
      <c r="G4996" s="46">
        <f>'Raw data'!F4905</f>
        <v>0</v>
      </c>
      <c r="H4996" s="4">
        <f>'Raw data'!G4905</f>
        <v>0</v>
      </c>
      <c r="I4996" s="29" t="e">
        <f>VLOOKUP(G4996,제품명!$C$1:$E$114,2,0)</f>
        <v>#N/A</v>
      </c>
      <c r="J4996" s="29">
        <f>'Raw data'!K4905</f>
        <v>0</v>
      </c>
      <c r="K4996" s="31">
        <f>'Raw data'!H4905</f>
        <v>0</v>
      </c>
      <c r="L4996" s="26">
        <f t="shared" si="160"/>
        <v>0</v>
      </c>
    </row>
    <row r="4997" spans="2:12">
      <c r="B4997" s="4" t="e">
        <f t="shared" si="159"/>
        <v>#N/A</v>
      </c>
      <c r="C4997" s="4">
        <f>'Raw data'!E4573</f>
        <v>0</v>
      </c>
      <c r="D4997" s="29" t="e">
        <f>VLOOKUP(C4997,'점포코드 '!A:B,2,0)</f>
        <v>#N/A</v>
      </c>
      <c r="E4997" s="30">
        <f>'Raw data'!P4573</f>
        <v>0</v>
      </c>
      <c r="F4997" s="29" t="e">
        <f>VLOOKUP(E4997,'점포코드 '!A:B,2,0)</f>
        <v>#N/A</v>
      </c>
      <c r="G4997" s="46">
        <f>'Raw data'!F4906</f>
        <v>0</v>
      </c>
      <c r="H4997" s="4">
        <f>'Raw data'!G4906</f>
        <v>0</v>
      </c>
      <c r="I4997" s="29" t="e">
        <f>VLOOKUP(G4997,제품명!$C$1:$E$114,2,0)</f>
        <v>#N/A</v>
      </c>
      <c r="J4997" s="29">
        <f>'Raw data'!K4906</f>
        <v>0</v>
      </c>
      <c r="K4997" s="31">
        <f>'Raw data'!H4906</f>
        <v>0</v>
      </c>
      <c r="L4997" s="26">
        <f t="shared" si="160"/>
        <v>0</v>
      </c>
    </row>
    <row r="4998" spans="2:12">
      <c r="B4998" s="4" t="e">
        <f t="shared" si="159"/>
        <v>#N/A</v>
      </c>
      <c r="C4998" s="4">
        <f>'Raw data'!E4574</f>
        <v>0</v>
      </c>
      <c r="D4998" s="29" t="e">
        <f>VLOOKUP(C4998,'점포코드 '!A:B,2,0)</f>
        <v>#N/A</v>
      </c>
      <c r="E4998" s="30">
        <f>'Raw data'!P4574</f>
        <v>0</v>
      </c>
      <c r="F4998" s="29" t="e">
        <f>VLOOKUP(E4998,'점포코드 '!A:B,2,0)</f>
        <v>#N/A</v>
      </c>
      <c r="G4998" s="46">
        <f>'Raw data'!F4907</f>
        <v>0</v>
      </c>
      <c r="H4998" s="4">
        <f>'Raw data'!G4907</f>
        <v>0</v>
      </c>
      <c r="I4998" s="29" t="e">
        <f>VLOOKUP(G4998,제품명!$C$1:$E$114,2,0)</f>
        <v>#N/A</v>
      </c>
      <c r="J4998" s="29">
        <f>'Raw data'!K4907</f>
        <v>0</v>
      </c>
      <c r="K4998" s="31">
        <f>'Raw data'!H4907</f>
        <v>0</v>
      </c>
      <c r="L4998" s="26">
        <f t="shared" si="160"/>
        <v>0</v>
      </c>
    </row>
    <row r="4999" spans="2:12">
      <c r="B4999" s="4" t="e">
        <f t="shared" si="159"/>
        <v>#N/A</v>
      </c>
      <c r="C4999" s="4">
        <f>'Raw data'!E4575</f>
        <v>0</v>
      </c>
      <c r="D4999" s="29" t="e">
        <f>VLOOKUP(C4999,'점포코드 '!A:B,2,0)</f>
        <v>#N/A</v>
      </c>
      <c r="E4999" s="30">
        <f>'Raw data'!P4575</f>
        <v>0</v>
      </c>
      <c r="F4999" s="29" t="e">
        <f>VLOOKUP(E4999,'점포코드 '!A:B,2,0)</f>
        <v>#N/A</v>
      </c>
      <c r="G4999" s="46">
        <f>'Raw data'!F4908</f>
        <v>0</v>
      </c>
      <c r="H4999" s="4">
        <f>'Raw data'!G4908</f>
        <v>0</v>
      </c>
      <c r="I4999" s="29" t="e">
        <f>VLOOKUP(G4999,제품명!$C$1:$E$114,2,0)</f>
        <v>#N/A</v>
      </c>
      <c r="J4999" s="29">
        <f>'Raw data'!K4908</f>
        <v>0</v>
      </c>
      <c r="K4999" s="31">
        <f>'Raw data'!H4908</f>
        <v>0</v>
      </c>
      <c r="L4999" s="26">
        <f t="shared" si="160"/>
        <v>0</v>
      </c>
    </row>
    <row r="5000" spans="2:12">
      <c r="B5000" s="4" t="e">
        <f t="shared" si="159"/>
        <v>#N/A</v>
      </c>
      <c r="C5000" s="4">
        <f>'Raw data'!E4576</f>
        <v>0</v>
      </c>
      <c r="D5000" s="29" t="e">
        <f>VLOOKUP(C5000,'점포코드 '!A:B,2,0)</f>
        <v>#N/A</v>
      </c>
      <c r="E5000" s="30">
        <f>'Raw data'!P4576</f>
        <v>0</v>
      </c>
      <c r="F5000" s="29" t="e">
        <f>VLOOKUP(E5000,'점포코드 '!A:B,2,0)</f>
        <v>#N/A</v>
      </c>
      <c r="G5000" s="46">
        <f>'Raw data'!F4909</f>
        <v>0</v>
      </c>
      <c r="H5000" s="4">
        <f>'Raw data'!G4909</f>
        <v>0</v>
      </c>
      <c r="I5000" s="29" t="e">
        <f>VLOOKUP(G5000,제품명!$C$1:$E$114,2,0)</f>
        <v>#N/A</v>
      </c>
      <c r="J5000" s="29">
        <f>'Raw data'!K4909</f>
        <v>0</v>
      </c>
      <c r="K5000" s="31">
        <f>'Raw data'!H4909</f>
        <v>0</v>
      </c>
      <c r="L5000" s="26">
        <f t="shared" si="160"/>
        <v>0</v>
      </c>
    </row>
    <row r="5001" spans="2:12">
      <c r="B5001" s="4" t="e">
        <f t="shared" si="159"/>
        <v>#N/A</v>
      </c>
      <c r="C5001" s="4">
        <f>'Raw data'!E4577</f>
        <v>0</v>
      </c>
      <c r="D5001" s="29" t="e">
        <f>VLOOKUP(C5001,'점포코드 '!A:B,2,0)</f>
        <v>#N/A</v>
      </c>
      <c r="E5001" s="30">
        <f>'Raw data'!P4577</f>
        <v>0</v>
      </c>
      <c r="F5001" s="29" t="e">
        <f>VLOOKUP(E5001,'점포코드 '!A:B,2,0)</f>
        <v>#N/A</v>
      </c>
      <c r="G5001" s="46">
        <f>'Raw data'!F4910</f>
        <v>0</v>
      </c>
      <c r="H5001" s="4">
        <f>'Raw data'!G4910</f>
        <v>0</v>
      </c>
      <c r="I5001" s="29" t="e">
        <f>VLOOKUP(G5001,제품명!$C$1:$E$114,2,0)</f>
        <v>#N/A</v>
      </c>
      <c r="J5001" s="29">
        <f>'Raw data'!K4910</f>
        <v>0</v>
      </c>
      <c r="K5001" s="31">
        <f>'Raw data'!H4910</f>
        <v>0</v>
      </c>
      <c r="L5001" s="26">
        <f t="shared" si="160"/>
        <v>0</v>
      </c>
    </row>
    <row r="5002" spans="2:12">
      <c r="B5002" s="4" t="e">
        <f t="shared" si="159"/>
        <v>#N/A</v>
      </c>
      <c r="C5002" s="4">
        <f>'Raw data'!E4578</f>
        <v>0</v>
      </c>
      <c r="D5002" s="29" t="e">
        <f>VLOOKUP(C5002,'점포코드 '!A:B,2,0)</f>
        <v>#N/A</v>
      </c>
      <c r="E5002" s="30">
        <f>'Raw data'!P4578</f>
        <v>0</v>
      </c>
      <c r="F5002" s="29" t="e">
        <f>VLOOKUP(E5002,'점포코드 '!A:B,2,0)</f>
        <v>#N/A</v>
      </c>
      <c r="G5002" s="46">
        <f>'Raw data'!F4911</f>
        <v>0</v>
      </c>
      <c r="H5002" s="4">
        <f>'Raw data'!G4911</f>
        <v>0</v>
      </c>
      <c r="I5002" s="29" t="e">
        <f>VLOOKUP(G5002,제품명!$C$1:$E$114,2,0)</f>
        <v>#N/A</v>
      </c>
      <c r="J5002" s="29">
        <f>'Raw data'!K4911</f>
        <v>0</v>
      </c>
      <c r="K5002" s="31">
        <f>'Raw data'!H4911</f>
        <v>0</v>
      </c>
      <c r="L5002" s="26">
        <f t="shared" si="160"/>
        <v>0</v>
      </c>
    </row>
    <row r="5003" spans="2:12">
      <c r="B5003" s="4" t="e">
        <f t="shared" si="159"/>
        <v>#N/A</v>
      </c>
      <c r="C5003" s="4">
        <f>'Raw data'!E4579</f>
        <v>0</v>
      </c>
      <c r="D5003" s="29" t="e">
        <f>VLOOKUP(C5003,'점포코드 '!A:B,2,0)</f>
        <v>#N/A</v>
      </c>
      <c r="E5003" s="30">
        <f>'Raw data'!P4579</f>
        <v>0</v>
      </c>
      <c r="F5003" s="29" t="e">
        <f>VLOOKUP(E5003,'점포코드 '!A:B,2,0)</f>
        <v>#N/A</v>
      </c>
      <c r="G5003" s="46">
        <f>'Raw data'!F4912</f>
        <v>0</v>
      </c>
      <c r="H5003" s="4">
        <f>'Raw data'!G4912</f>
        <v>0</v>
      </c>
      <c r="I5003" s="29" t="e">
        <f>VLOOKUP(G5003,제품명!$C$1:$E$114,2,0)</f>
        <v>#N/A</v>
      </c>
      <c r="J5003" s="29">
        <f>'Raw data'!K4912</f>
        <v>0</v>
      </c>
      <c r="K5003" s="31">
        <f>'Raw data'!H4912</f>
        <v>0</v>
      </c>
      <c r="L5003" s="26">
        <f t="shared" si="160"/>
        <v>0</v>
      </c>
    </row>
    <row r="5004" spans="2:12">
      <c r="B5004" s="4" t="e">
        <f t="shared" si="159"/>
        <v>#N/A</v>
      </c>
      <c r="C5004" s="4">
        <f>'Raw data'!E4580</f>
        <v>0</v>
      </c>
      <c r="D5004" s="29" t="e">
        <f>VLOOKUP(C5004,'점포코드 '!A:B,2,0)</f>
        <v>#N/A</v>
      </c>
      <c r="E5004" s="30">
        <f>'Raw data'!P4580</f>
        <v>0</v>
      </c>
      <c r="F5004" s="29" t="e">
        <f>VLOOKUP(E5004,'점포코드 '!A:B,2,0)</f>
        <v>#N/A</v>
      </c>
      <c r="G5004" s="46">
        <f>'Raw data'!F4913</f>
        <v>0</v>
      </c>
      <c r="H5004" s="4">
        <f>'Raw data'!G4913</f>
        <v>0</v>
      </c>
      <c r="I5004" s="29" t="e">
        <f>VLOOKUP(G5004,제품명!$C$1:$E$114,2,0)</f>
        <v>#N/A</v>
      </c>
      <c r="J5004" s="29">
        <f>'Raw data'!K4913</f>
        <v>0</v>
      </c>
      <c r="K5004" s="31">
        <f>'Raw data'!H4913</f>
        <v>0</v>
      </c>
      <c r="L5004" s="26">
        <f t="shared" si="160"/>
        <v>0</v>
      </c>
    </row>
    <row r="5005" spans="2:12">
      <c r="B5005" s="4" t="e">
        <f t="shared" si="159"/>
        <v>#N/A</v>
      </c>
      <c r="C5005" s="4">
        <f>'Raw data'!E4581</f>
        <v>0</v>
      </c>
      <c r="D5005" s="29" t="e">
        <f>VLOOKUP(C5005,'점포코드 '!A:B,2,0)</f>
        <v>#N/A</v>
      </c>
      <c r="E5005" s="30">
        <f>'Raw data'!P4581</f>
        <v>0</v>
      </c>
      <c r="F5005" s="29" t="e">
        <f>VLOOKUP(E5005,'점포코드 '!A:B,2,0)</f>
        <v>#N/A</v>
      </c>
      <c r="G5005" s="46">
        <f>'Raw data'!F4914</f>
        <v>0</v>
      </c>
      <c r="H5005" s="4">
        <f>'Raw data'!G4914</f>
        <v>0</v>
      </c>
      <c r="I5005" s="29" t="e">
        <f>VLOOKUP(G5005,제품명!$C$1:$E$114,2,0)</f>
        <v>#N/A</v>
      </c>
      <c r="J5005" s="29">
        <f>'Raw data'!K4914</f>
        <v>0</v>
      </c>
      <c r="K5005" s="31">
        <f>'Raw data'!H4914</f>
        <v>0</v>
      </c>
      <c r="L5005" s="26">
        <f t="shared" si="160"/>
        <v>0</v>
      </c>
    </row>
    <row r="5006" spans="2:12">
      <c r="B5006" s="4" t="e">
        <f t="shared" si="159"/>
        <v>#N/A</v>
      </c>
      <c r="C5006" s="4">
        <f>'Raw data'!E4582</f>
        <v>0</v>
      </c>
      <c r="D5006" s="29" t="e">
        <f>VLOOKUP(C5006,'점포코드 '!A:B,2,0)</f>
        <v>#N/A</v>
      </c>
      <c r="E5006" s="30">
        <f>'Raw data'!P4582</f>
        <v>0</v>
      </c>
      <c r="F5006" s="29" t="e">
        <f>VLOOKUP(E5006,'점포코드 '!A:B,2,0)</f>
        <v>#N/A</v>
      </c>
      <c r="G5006" s="46">
        <f>'Raw data'!F4915</f>
        <v>0</v>
      </c>
      <c r="H5006" s="4">
        <f>'Raw data'!G4915</f>
        <v>0</v>
      </c>
      <c r="I5006" s="29" t="e">
        <f>VLOOKUP(G5006,제품명!$C$1:$E$114,2,0)</f>
        <v>#N/A</v>
      </c>
      <c r="J5006" s="29">
        <f>'Raw data'!K4915</f>
        <v>0</v>
      </c>
      <c r="K5006" s="31">
        <f>'Raw data'!H4915</f>
        <v>0</v>
      </c>
      <c r="L5006" s="26">
        <f t="shared" si="160"/>
        <v>0</v>
      </c>
    </row>
    <row r="5007" spans="2:12">
      <c r="B5007" s="4" t="e">
        <f t="shared" si="159"/>
        <v>#N/A</v>
      </c>
      <c r="C5007" s="4">
        <f>'Raw data'!E4583</f>
        <v>0</v>
      </c>
      <c r="D5007" s="29" t="e">
        <f>VLOOKUP(C5007,'점포코드 '!A:B,2,0)</f>
        <v>#N/A</v>
      </c>
      <c r="E5007" s="30">
        <f>'Raw data'!P4583</f>
        <v>0</v>
      </c>
      <c r="F5007" s="29" t="e">
        <f>VLOOKUP(E5007,'점포코드 '!A:B,2,0)</f>
        <v>#N/A</v>
      </c>
      <c r="G5007" s="46">
        <f>'Raw data'!F4916</f>
        <v>0</v>
      </c>
      <c r="H5007" s="4">
        <f>'Raw data'!G4916</f>
        <v>0</v>
      </c>
      <c r="I5007" s="29" t="e">
        <f>VLOOKUP(G5007,제품명!$C$1:$E$114,2,0)</f>
        <v>#N/A</v>
      </c>
      <c r="J5007" s="29">
        <f>'Raw data'!K4916</f>
        <v>0</v>
      </c>
      <c r="K5007" s="31">
        <f>'Raw data'!H4916</f>
        <v>0</v>
      </c>
      <c r="L5007" s="26">
        <f t="shared" si="160"/>
        <v>0</v>
      </c>
    </row>
    <row r="5008" spans="2:12">
      <c r="B5008" s="4" t="e">
        <f t="shared" si="159"/>
        <v>#N/A</v>
      </c>
      <c r="C5008" s="4">
        <f>'Raw data'!E4584</f>
        <v>0</v>
      </c>
      <c r="D5008" s="29" t="e">
        <f>VLOOKUP(C5008,'점포코드 '!A:B,2,0)</f>
        <v>#N/A</v>
      </c>
      <c r="E5008" s="30">
        <f>'Raw data'!P4584</f>
        <v>0</v>
      </c>
      <c r="F5008" s="29" t="e">
        <f>VLOOKUP(E5008,'점포코드 '!A:B,2,0)</f>
        <v>#N/A</v>
      </c>
      <c r="G5008" s="46">
        <f>'Raw data'!F4917</f>
        <v>0</v>
      </c>
      <c r="H5008" s="4">
        <f>'Raw data'!G4917</f>
        <v>0</v>
      </c>
      <c r="I5008" s="29" t="e">
        <f>VLOOKUP(G5008,제품명!$C$1:$E$114,2,0)</f>
        <v>#N/A</v>
      </c>
      <c r="J5008" s="29">
        <f>'Raw data'!K4917</f>
        <v>0</v>
      </c>
      <c r="K5008" s="31">
        <f>'Raw data'!H4917</f>
        <v>0</v>
      </c>
      <c r="L5008" s="26">
        <f t="shared" si="160"/>
        <v>0</v>
      </c>
    </row>
    <row r="5009" spans="2:12">
      <c r="B5009" s="4" t="e">
        <f t="shared" si="159"/>
        <v>#N/A</v>
      </c>
      <c r="C5009" s="4">
        <f>'Raw data'!E4585</f>
        <v>0</v>
      </c>
      <c r="D5009" s="29" t="e">
        <f>VLOOKUP(C5009,'점포코드 '!A:B,2,0)</f>
        <v>#N/A</v>
      </c>
      <c r="E5009" s="30">
        <f>'Raw data'!P4585</f>
        <v>0</v>
      </c>
      <c r="F5009" s="29" t="e">
        <f>VLOOKUP(E5009,'점포코드 '!A:B,2,0)</f>
        <v>#N/A</v>
      </c>
      <c r="G5009" s="46">
        <f>'Raw data'!F4918</f>
        <v>0</v>
      </c>
      <c r="H5009" s="4">
        <f>'Raw data'!G4918</f>
        <v>0</v>
      </c>
      <c r="I5009" s="29" t="e">
        <f>VLOOKUP(G5009,제품명!$C$1:$E$114,2,0)</f>
        <v>#N/A</v>
      </c>
      <c r="J5009" s="29">
        <f>'Raw data'!K4918</f>
        <v>0</v>
      </c>
      <c r="K5009" s="31">
        <f>'Raw data'!H4918</f>
        <v>0</v>
      </c>
      <c r="L5009" s="26">
        <f t="shared" si="160"/>
        <v>0</v>
      </c>
    </row>
    <row r="5010" spans="2:12">
      <c r="B5010" s="4" t="e">
        <f t="shared" si="159"/>
        <v>#N/A</v>
      </c>
      <c r="C5010" s="4">
        <f>'Raw data'!E4586</f>
        <v>0</v>
      </c>
      <c r="D5010" s="29" t="e">
        <f>VLOOKUP(C5010,'점포코드 '!A:B,2,0)</f>
        <v>#N/A</v>
      </c>
      <c r="E5010" s="30">
        <f>'Raw data'!P4586</f>
        <v>0</v>
      </c>
      <c r="F5010" s="29" t="e">
        <f>VLOOKUP(E5010,'점포코드 '!A:B,2,0)</f>
        <v>#N/A</v>
      </c>
      <c r="G5010" s="46">
        <f>'Raw data'!F4919</f>
        <v>0</v>
      </c>
      <c r="H5010" s="4">
        <f>'Raw data'!G4919</f>
        <v>0</v>
      </c>
      <c r="I5010" s="29" t="e">
        <f>VLOOKUP(G5010,제품명!$C$1:$E$114,2,0)</f>
        <v>#N/A</v>
      </c>
      <c r="J5010" s="29">
        <f>'Raw data'!K4919</f>
        <v>0</v>
      </c>
      <c r="K5010" s="31">
        <f>'Raw data'!H4919</f>
        <v>0</v>
      </c>
      <c r="L5010" s="26">
        <f t="shared" si="160"/>
        <v>0</v>
      </c>
    </row>
    <row r="5011" spans="2:12">
      <c r="B5011" s="4" t="e">
        <f t="shared" si="159"/>
        <v>#N/A</v>
      </c>
      <c r="C5011" s="4">
        <f>'Raw data'!E4587</f>
        <v>0</v>
      </c>
      <c r="D5011" s="29" t="e">
        <f>VLOOKUP(C5011,'점포코드 '!A:B,2,0)</f>
        <v>#N/A</v>
      </c>
      <c r="E5011" s="30">
        <f>'Raw data'!P4587</f>
        <v>0</v>
      </c>
      <c r="F5011" s="29" t="e">
        <f>VLOOKUP(E5011,'점포코드 '!A:B,2,0)</f>
        <v>#N/A</v>
      </c>
      <c r="G5011" s="46">
        <f>'Raw data'!F4920</f>
        <v>0</v>
      </c>
      <c r="H5011" s="4">
        <f>'Raw data'!G4920</f>
        <v>0</v>
      </c>
      <c r="I5011" s="29" t="e">
        <f>VLOOKUP(G5011,제품명!$C$1:$E$114,2,0)</f>
        <v>#N/A</v>
      </c>
      <c r="J5011" s="29">
        <f>'Raw data'!K4920</f>
        <v>0</v>
      </c>
      <c r="K5011" s="31">
        <f>'Raw data'!H4920</f>
        <v>0</v>
      </c>
      <c r="L5011" s="26">
        <f t="shared" si="160"/>
        <v>0</v>
      </c>
    </row>
    <row r="5012" spans="2:12">
      <c r="B5012" s="4" t="e">
        <f t="shared" si="159"/>
        <v>#N/A</v>
      </c>
      <c r="C5012" s="4">
        <f>'Raw data'!E4588</f>
        <v>0</v>
      </c>
      <c r="D5012" s="29" t="e">
        <f>VLOOKUP(C5012,'점포코드 '!A:B,2,0)</f>
        <v>#N/A</v>
      </c>
      <c r="E5012" s="30">
        <f>'Raw data'!P4588</f>
        <v>0</v>
      </c>
      <c r="F5012" s="29" t="e">
        <f>VLOOKUP(E5012,'점포코드 '!A:B,2,0)</f>
        <v>#N/A</v>
      </c>
      <c r="G5012" s="46">
        <f>'Raw data'!F4921</f>
        <v>0</v>
      </c>
      <c r="H5012" s="4">
        <f>'Raw data'!G4921</f>
        <v>0</v>
      </c>
      <c r="I5012" s="29" t="e">
        <f>VLOOKUP(G5012,제품명!$C$1:$E$114,2,0)</f>
        <v>#N/A</v>
      </c>
      <c r="J5012" s="29">
        <f>'Raw data'!K4921</f>
        <v>0</v>
      </c>
      <c r="K5012" s="31">
        <f>'Raw data'!H4921</f>
        <v>0</v>
      </c>
      <c r="L5012" s="26">
        <f t="shared" si="160"/>
        <v>0</v>
      </c>
    </row>
    <row r="5013" spans="2:12">
      <c r="B5013" s="4" t="e">
        <f t="shared" si="159"/>
        <v>#N/A</v>
      </c>
      <c r="C5013" s="4">
        <f>'Raw data'!E4589</f>
        <v>0</v>
      </c>
      <c r="D5013" s="29" t="e">
        <f>VLOOKUP(C5013,'점포코드 '!A:B,2,0)</f>
        <v>#N/A</v>
      </c>
      <c r="E5013" s="30">
        <f>'Raw data'!P4589</f>
        <v>0</v>
      </c>
      <c r="F5013" s="29" t="e">
        <f>VLOOKUP(E5013,'점포코드 '!A:B,2,0)</f>
        <v>#N/A</v>
      </c>
      <c r="G5013" s="46">
        <f>'Raw data'!F4922</f>
        <v>0</v>
      </c>
      <c r="H5013" s="4">
        <f>'Raw data'!G4922</f>
        <v>0</v>
      </c>
      <c r="I5013" s="29" t="e">
        <f>VLOOKUP(G5013,제품명!$C$1:$E$114,2,0)</f>
        <v>#N/A</v>
      </c>
      <c r="J5013" s="29">
        <f>'Raw data'!K4922</f>
        <v>0</v>
      </c>
      <c r="K5013" s="31">
        <f>'Raw data'!H4922</f>
        <v>0</v>
      </c>
      <c r="L5013" s="26">
        <f t="shared" si="160"/>
        <v>0</v>
      </c>
    </row>
    <row r="5014" spans="2:12">
      <c r="B5014" s="4" t="e">
        <f t="shared" si="159"/>
        <v>#N/A</v>
      </c>
      <c r="C5014" s="4">
        <f>'Raw data'!E4590</f>
        <v>0</v>
      </c>
      <c r="D5014" s="29" t="e">
        <f>VLOOKUP(C5014,'점포코드 '!A:B,2,0)</f>
        <v>#N/A</v>
      </c>
      <c r="E5014" s="30">
        <f>'Raw data'!P4590</f>
        <v>0</v>
      </c>
      <c r="F5014" s="29" t="e">
        <f>VLOOKUP(E5014,'점포코드 '!A:B,2,0)</f>
        <v>#N/A</v>
      </c>
      <c r="G5014" s="46">
        <f>'Raw data'!F4923</f>
        <v>0</v>
      </c>
      <c r="H5014" s="4">
        <f>'Raw data'!G4923</f>
        <v>0</v>
      </c>
      <c r="I5014" s="29" t="e">
        <f>VLOOKUP(G5014,제품명!$C$1:$E$114,2,0)</f>
        <v>#N/A</v>
      </c>
      <c r="J5014" s="29">
        <f>'Raw data'!K4923</f>
        <v>0</v>
      </c>
      <c r="K5014" s="31">
        <f>'Raw data'!H4923</f>
        <v>0</v>
      </c>
      <c r="L5014" s="26">
        <f t="shared" si="160"/>
        <v>0</v>
      </c>
    </row>
    <row r="5015" spans="2:12">
      <c r="B5015" s="4" t="e">
        <f t="shared" si="159"/>
        <v>#N/A</v>
      </c>
      <c r="C5015" s="4">
        <f>'Raw data'!E4591</f>
        <v>0</v>
      </c>
      <c r="D5015" s="29" t="e">
        <f>VLOOKUP(C5015,'점포코드 '!A:B,2,0)</f>
        <v>#N/A</v>
      </c>
      <c r="E5015" s="30">
        <f>'Raw data'!P4591</f>
        <v>0</v>
      </c>
      <c r="F5015" s="29" t="e">
        <f>VLOOKUP(E5015,'점포코드 '!A:B,2,0)</f>
        <v>#N/A</v>
      </c>
      <c r="G5015" s="46">
        <f>'Raw data'!F4924</f>
        <v>0</v>
      </c>
      <c r="H5015" s="4">
        <f>'Raw data'!G4924</f>
        <v>0</v>
      </c>
      <c r="I5015" s="29" t="e">
        <f>VLOOKUP(G5015,제품명!$C$1:$E$114,2,0)</f>
        <v>#N/A</v>
      </c>
      <c r="J5015" s="29">
        <f>'Raw data'!K4924</f>
        <v>0</v>
      </c>
      <c r="K5015" s="31">
        <f>'Raw data'!H4924</f>
        <v>0</v>
      </c>
      <c r="L5015" s="26">
        <f t="shared" si="160"/>
        <v>0</v>
      </c>
    </row>
    <row r="5016" spans="2:12">
      <c r="B5016" s="4" t="e">
        <f t="shared" si="159"/>
        <v>#N/A</v>
      </c>
      <c r="C5016" s="4">
        <f>'Raw data'!E4592</f>
        <v>0</v>
      </c>
      <c r="D5016" s="29" t="e">
        <f>VLOOKUP(C5016,'점포코드 '!A:B,2,0)</f>
        <v>#N/A</v>
      </c>
      <c r="E5016" s="30">
        <f>'Raw data'!P4592</f>
        <v>0</v>
      </c>
      <c r="F5016" s="29" t="e">
        <f>VLOOKUP(E5016,'점포코드 '!A:B,2,0)</f>
        <v>#N/A</v>
      </c>
      <c r="G5016" s="46">
        <f>'Raw data'!F4925</f>
        <v>0</v>
      </c>
      <c r="H5016" s="4">
        <f>'Raw data'!G4925</f>
        <v>0</v>
      </c>
      <c r="I5016" s="29" t="e">
        <f>VLOOKUP(G5016,제품명!$C$1:$E$114,2,0)</f>
        <v>#N/A</v>
      </c>
      <c r="J5016" s="29">
        <f>'Raw data'!K4925</f>
        <v>0</v>
      </c>
      <c r="K5016" s="31">
        <f>'Raw data'!H4925</f>
        <v>0</v>
      </c>
      <c r="L5016" s="26">
        <f t="shared" si="160"/>
        <v>0</v>
      </c>
    </row>
    <row r="5017" spans="2:12">
      <c r="B5017" s="4" t="e">
        <f t="shared" si="159"/>
        <v>#N/A</v>
      </c>
      <c r="C5017" s="4">
        <f>'Raw data'!E4593</f>
        <v>0</v>
      </c>
      <c r="D5017" s="29" t="e">
        <f>VLOOKUP(C5017,'점포코드 '!A:B,2,0)</f>
        <v>#N/A</v>
      </c>
      <c r="E5017" s="30">
        <f>'Raw data'!P4593</f>
        <v>0</v>
      </c>
      <c r="F5017" s="29" t="e">
        <f>VLOOKUP(E5017,'점포코드 '!A:B,2,0)</f>
        <v>#N/A</v>
      </c>
      <c r="G5017" s="46">
        <f>'Raw data'!F4926</f>
        <v>0</v>
      </c>
      <c r="H5017" s="4">
        <f>'Raw data'!G4926</f>
        <v>0</v>
      </c>
      <c r="I5017" s="29" t="e">
        <f>VLOOKUP(G5017,제품명!$C$1:$E$114,2,0)</f>
        <v>#N/A</v>
      </c>
      <c r="J5017" s="29">
        <f>'Raw data'!K4926</f>
        <v>0</v>
      </c>
      <c r="K5017" s="31">
        <f>'Raw data'!H4926</f>
        <v>0</v>
      </c>
      <c r="L5017" s="26">
        <f t="shared" si="160"/>
        <v>0</v>
      </c>
    </row>
    <row r="5018" spans="2:12">
      <c r="B5018" s="4" t="e">
        <f t="shared" si="159"/>
        <v>#N/A</v>
      </c>
      <c r="C5018" s="4">
        <f>'Raw data'!E4594</f>
        <v>0</v>
      </c>
      <c r="D5018" s="29" t="e">
        <f>VLOOKUP(C5018,'점포코드 '!A:B,2,0)</f>
        <v>#N/A</v>
      </c>
      <c r="E5018" s="30">
        <f>'Raw data'!P4594</f>
        <v>0</v>
      </c>
      <c r="F5018" s="29" t="e">
        <f>VLOOKUP(E5018,'점포코드 '!A:B,2,0)</f>
        <v>#N/A</v>
      </c>
      <c r="G5018" s="46">
        <f>'Raw data'!F4927</f>
        <v>0</v>
      </c>
      <c r="H5018" s="4">
        <f>'Raw data'!G4927</f>
        <v>0</v>
      </c>
      <c r="I5018" s="29" t="e">
        <f>VLOOKUP(G5018,제품명!$C$1:$E$114,2,0)</f>
        <v>#N/A</v>
      </c>
      <c r="J5018" s="29">
        <f>'Raw data'!K4927</f>
        <v>0</v>
      </c>
      <c r="K5018" s="31">
        <f>'Raw data'!H4927</f>
        <v>0</v>
      </c>
      <c r="L5018" s="26">
        <f t="shared" si="160"/>
        <v>0</v>
      </c>
    </row>
    <row r="5019" spans="2:12">
      <c r="B5019" s="4" t="e">
        <f t="shared" si="159"/>
        <v>#N/A</v>
      </c>
      <c r="C5019" s="4">
        <f>'Raw data'!E4595</f>
        <v>0</v>
      </c>
      <c r="D5019" s="29" t="e">
        <f>VLOOKUP(C5019,'점포코드 '!A:B,2,0)</f>
        <v>#N/A</v>
      </c>
      <c r="E5019" s="30">
        <f>'Raw data'!P4595</f>
        <v>0</v>
      </c>
      <c r="F5019" s="29" t="e">
        <f>VLOOKUP(E5019,'점포코드 '!A:B,2,0)</f>
        <v>#N/A</v>
      </c>
      <c r="G5019" s="46">
        <f>'Raw data'!F4928</f>
        <v>0</v>
      </c>
      <c r="H5019" s="4">
        <f>'Raw data'!G4928</f>
        <v>0</v>
      </c>
      <c r="I5019" s="29" t="e">
        <f>VLOOKUP(G5019,제품명!$C$1:$E$114,2,0)</f>
        <v>#N/A</v>
      </c>
      <c r="J5019" s="29">
        <f>'Raw data'!K4928</f>
        <v>0</v>
      </c>
      <c r="K5019" s="31">
        <f>'Raw data'!H4928</f>
        <v>0</v>
      </c>
      <c r="L5019" s="26">
        <f t="shared" si="160"/>
        <v>0</v>
      </c>
    </row>
    <row r="5020" spans="2:12">
      <c r="B5020" s="4" t="e">
        <f t="shared" si="159"/>
        <v>#N/A</v>
      </c>
      <c r="C5020" s="4">
        <f>'Raw data'!E4596</f>
        <v>0</v>
      </c>
      <c r="D5020" s="29" t="e">
        <f>VLOOKUP(C5020,'점포코드 '!A:B,2,0)</f>
        <v>#N/A</v>
      </c>
      <c r="E5020" s="30">
        <f>'Raw data'!P4596</f>
        <v>0</v>
      </c>
      <c r="F5020" s="29" t="e">
        <f>VLOOKUP(E5020,'점포코드 '!A:B,2,0)</f>
        <v>#N/A</v>
      </c>
      <c r="G5020" s="46">
        <f>'Raw data'!F4929</f>
        <v>0</v>
      </c>
      <c r="H5020" s="4">
        <f>'Raw data'!G4929</f>
        <v>0</v>
      </c>
      <c r="I5020" s="29" t="e">
        <f>VLOOKUP(G5020,제품명!$C$1:$E$114,2,0)</f>
        <v>#N/A</v>
      </c>
      <c r="J5020" s="29">
        <f>'Raw data'!K4929</f>
        <v>0</v>
      </c>
      <c r="K5020" s="31">
        <f>'Raw data'!H4929</f>
        <v>0</v>
      </c>
      <c r="L5020" s="26">
        <f t="shared" si="160"/>
        <v>0</v>
      </c>
    </row>
    <row r="5021" spans="2:12">
      <c r="B5021" s="4" t="e">
        <f t="shared" si="159"/>
        <v>#N/A</v>
      </c>
      <c r="C5021" s="4">
        <f>'Raw data'!E4597</f>
        <v>0</v>
      </c>
      <c r="D5021" s="29" t="e">
        <f>VLOOKUP(C5021,'점포코드 '!A:B,2,0)</f>
        <v>#N/A</v>
      </c>
      <c r="E5021" s="30">
        <f>'Raw data'!P4597</f>
        <v>0</v>
      </c>
      <c r="F5021" s="29" t="e">
        <f>VLOOKUP(E5021,'점포코드 '!A:B,2,0)</f>
        <v>#N/A</v>
      </c>
      <c r="G5021" s="46">
        <f>'Raw data'!F4930</f>
        <v>0</v>
      </c>
      <c r="H5021" s="4">
        <f>'Raw data'!G4930</f>
        <v>0</v>
      </c>
      <c r="I5021" s="29" t="e">
        <f>VLOOKUP(G5021,제품명!$C$1:$E$114,2,0)</f>
        <v>#N/A</v>
      </c>
      <c r="J5021" s="29">
        <f>'Raw data'!K4930</f>
        <v>0</v>
      </c>
      <c r="K5021" s="31">
        <f>'Raw data'!H4930</f>
        <v>0</v>
      </c>
      <c r="L5021" s="26">
        <f t="shared" si="160"/>
        <v>0</v>
      </c>
    </row>
    <row r="5022" spans="2:12">
      <c r="B5022" s="4" t="e">
        <f t="shared" si="159"/>
        <v>#N/A</v>
      </c>
      <c r="C5022" s="4">
        <f>'Raw data'!E4598</f>
        <v>0</v>
      </c>
      <c r="D5022" s="29" t="e">
        <f>VLOOKUP(C5022,'점포코드 '!A:B,2,0)</f>
        <v>#N/A</v>
      </c>
      <c r="E5022" s="30">
        <f>'Raw data'!P4598</f>
        <v>0</v>
      </c>
      <c r="F5022" s="29" t="e">
        <f>VLOOKUP(E5022,'점포코드 '!A:B,2,0)</f>
        <v>#N/A</v>
      </c>
      <c r="G5022" s="46">
        <f>'Raw data'!F4931</f>
        <v>0</v>
      </c>
      <c r="H5022" s="4">
        <f>'Raw data'!G4931</f>
        <v>0</v>
      </c>
      <c r="I5022" s="29" t="e">
        <f>VLOOKUP(G5022,제품명!$C$1:$E$114,2,0)</f>
        <v>#N/A</v>
      </c>
      <c r="J5022" s="29">
        <f>'Raw data'!K4931</f>
        <v>0</v>
      </c>
      <c r="K5022" s="31">
        <f>'Raw data'!H4931</f>
        <v>0</v>
      </c>
      <c r="L5022" s="26">
        <f t="shared" si="160"/>
        <v>0</v>
      </c>
    </row>
    <row r="5023" spans="2:12">
      <c r="B5023" s="4" t="e">
        <f t="shared" si="159"/>
        <v>#N/A</v>
      </c>
      <c r="C5023" s="4">
        <f>'Raw data'!E4599</f>
        <v>0</v>
      </c>
      <c r="D5023" s="29" t="e">
        <f>VLOOKUP(C5023,'점포코드 '!A:B,2,0)</f>
        <v>#N/A</v>
      </c>
      <c r="E5023" s="30">
        <f>'Raw data'!P4599</f>
        <v>0</v>
      </c>
      <c r="F5023" s="29" t="e">
        <f>VLOOKUP(E5023,'점포코드 '!A:B,2,0)</f>
        <v>#N/A</v>
      </c>
      <c r="G5023" s="46">
        <f>'Raw data'!F4932</f>
        <v>0</v>
      </c>
      <c r="H5023" s="4">
        <f>'Raw data'!G4932</f>
        <v>0</v>
      </c>
      <c r="I5023" s="29" t="e">
        <f>VLOOKUP(G5023,제품명!$C$1:$E$114,2,0)</f>
        <v>#N/A</v>
      </c>
      <c r="J5023" s="29">
        <f>'Raw data'!K4932</f>
        <v>0</v>
      </c>
      <c r="K5023" s="31">
        <f>'Raw data'!H4932</f>
        <v>0</v>
      </c>
      <c r="L5023" s="26">
        <f t="shared" si="160"/>
        <v>0</v>
      </c>
    </row>
    <row r="5024" spans="2:12">
      <c r="B5024" s="4" t="e">
        <f t="shared" si="159"/>
        <v>#N/A</v>
      </c>
      <c r="C5024" s="4">
        <f>'Raw data'!E4600</f>
        <v>0</v>
      </c>
      <c r="D5024" s="29" t="e">
        <f>VLOOKUP(C5024,'점포코드 '!A:B,2,0)</f>
        <v>#N/A</v>
      </c>
      <c r="E5024" s="30">
        <f>'Raw data'!P4600</f>
        <v>0</v>
      </c>
      <c r="F5024" s="29" t="e">
        <f>VLOOKUP(E5024,'점포코드 '!A:B,2,0)</f>
        <v>#N/A</v>
      </c>
      <c r="G5024" s="46">
        <f>'Raw data'!F4933</f>
        <v>0</v>
      </c>
      <c r="H5024" s="4">
        <f>'Raw data'!G4933</f>
        <v>0</v>
      </c>
      <c r="I5024" s="29" t="e">
        <f>VLOOKUP(G5024,제품명!$C$1:$E$114,2,0)</f>
        <v>#N/A</v>
      </c>
      <c r="J5024" s="29">
        <f>'Raw data'!K4933</f>
        <v>0</v>
      </c>
      <c r="K5024" s="31">
        <f>'Raw data'!H4933</f>
        <v>0</v>
      </c>
      <c r="L5024" s="26">
        <f t="shared" si="160"/>
        <v>0</v>
      </c>
    </row>
    <row r="5025" spans="2:12">
      <c r="B5025" s="4" t="e">
        <f t="shared" si="159"/>
        <v>#N/A</v>
      </c>
      <c r="C5025" s="4">
        <f>'Raw data'!E4601</f>
        <v>0</v>
      </c>
      <c r="D5025" s="29" t="e">
        <f>VLOOKUP(C5025,'점포코드 '!A:B,2,0)</f>
        <v>#N/A</v>
      </c>
      <c r="E5025" s="30">
        <f>'Raw data'!P4601</f>
        <v>0</v>
      </c>
      <c r="F5025" s="29" t="e">
        <f>VLOOKUP(E5025,'점포코드 '!A:B,2,0)</f>
        <v>#N/A</v>
      </c>
      <c r="G5025" s="46">
        <f>'Raw data'!F4934</f>
        <v>0</v>
      </c>
      <c r="H5025" s="4">
        <f>'Raw data'!G4934</f>
        <v>0</v>
      </c>
      <c r="I5025" s="29" t="e">
        <f>VLOOKUP(G5025,제품명!$C$1:$E$114,2,0)</f>
        <v>#N/A</v>
      </c>
      <c r="J5025" s="29">
        <f>'Raw data'!K4934</f>
        <v>0</v>
      </c>
      <c r="K5025" s="31">
        <f>'Raw data'!H4934</f>
        <v>0</v>
      </c>
      <c r="L5025" s="26">
        <f t="shared" si="160"/>
        <v>0</v>
      </c>
    </row>
    <row r="5026" spans="2:12">
      <c r="B5026" s="4" t="e">
        <f t="shared" si="159"/>
        <v>#N/A</v>
      </c>
      <c r="C5026" s="4">
        <f>'Raw data'!E4602</f>
        <v>0</v>
      </c>
      <c r="D5026" s="29" t="e">
        <f>VLOOKUP(C5026,'점포코드 '!A:B,2,0)</f>
        <v>#N/A</v>
      </c>
      <c r="E5026" s="30">
        <f>'Raw data'!P4602</f>
        <v>0</v>
      </c>
      <c r="F5026" s="29" t="e">
        <f>VLOOKUP(E5026,'점포코드 '!A:B,2,0)</f>
        <v>#N/A</v>
      </c>
      <c r="G5026" s="46">
        <f>'Raw data'!F4935</f>
        <v>0</v>
      </c>
      <c r="H5026" s="4">
        <f>'Raw data'!G4935</f>
        <v>0</v>
      </c>
      <c r="I5026" s="29" t="e">
        <f>VLOOKUP(G5026,제품명!$C$1:$E$114,2,0)</f>
        <v>#N/A</v>
      </c>
      <c r="J5026" s="29">
        <f>'Raw data'!K4935</f>
        <v>0</v>
      </c>
      <c r="K5026" s="31">
        <f>'Raw data'!H4935</f>
        <v>0</v>
      </c>
      <c r="L5026" s="26">
        <f t="shared" si="160"/>
        <v>0</v>
      </c>
    </row>
    <row r="5027" spans="2:12">
      <c r="B5027" s="4" t="e">
        <f t="shared" si="159"/>
        <v>#N/A</v>
      </c>
      <c r="C5027" s="4">
        <f>'Raw data'!E4603</f>
        <v>0</v>
      </c>
      <c r="D5027" s="29" t="e">
        <f>VLOOKUP(C5027,'점포코드 '!A:B,2,0)</f>
        <v>#N/A</v>
      </c>
      <c r="E5027" s="30">
        <f>'Raw data'!P4603</f>
        <v>0</v>
      </c>
      <c r="F5027" s="29" t="e">
        <f>VLOOKUP(E5027,'점포코드 '!A:B,2,0)</f>
        <v>#N/A</v>
      </c>
      <c r="G5027" s="46">
        <f>'Raw data'!F4936</f>
        <v>0</v>
      </c>
      <c r="H5027" s="4">
        <f>'Raw data'!G4936</f>
        <v>0</v>
      </c>
      <c r="I5027" s="29" t="e">
        <f>VLOOKUP(G5027,제품명!$C$1:$E$114,2,0)</f>
        <v>#N/A</v>
      </c>
      <c r="J5027" s="29">
        <f>'Raw data'!K4936</f>
        <v>0</v>
      </c>
      <c r="K5027" s="31">
        <f>'Raw data'!H4936</f>
        <v>0</v>
      </c>
      <c r="L5027" s="26">
        <f t="shared" si="160"/>
        <v>0</v>
      </c>
    </row>
    <row r="5028" spans="2:12">
      <c r="B5028" s="4" t="e">
        <f t="shared" si="159"/>
        <v>#N/A</v>
      </c>
      <c r="C5028" s="4">
        <f>'Raw data'!E4604</f>
        <v>0</v>
      </c>
      <c r="D5028" s="29" t="e">
        <f>VLOOKUP(C5028,'점포코드 '!A:B,2,0)</f>
        <v>#N/A</v>
      </c>
      <c r="E5028" s="30">
        <f>'Raw data'!P4604</f>
        <v>0</v>
      </c>
      <c r="F5028" s="29" t="e">
        <f>VLOOKUP(E5028,'점포코드 '!A:B,2,0)</f>
        <v>#N/A</v>
      </c>
      <c r="G5028" s="46">
        <f>'Raw data'!F4937</f>
        <v>0</v>
      </c>
      <c r="H5028" s="4">
        <f>'Raw data'!G4937</f>
        <v>0</v>
      </c>
      <c r="I5028" s="29" t="e">
        <f>VLOOKUP(G5028,제품명!$C$1:$E$114,2,0)</f>
        <v>#N/A</v>
      </c>
      <c r="J5028" s="29">
        <f>'Raw data'!K4937</f>
        <v>0</v>
      </c>
      <c r="K5028" s="31">
        <f>'Raw data'!H4937</f>
        <v>0</v>
      </c>
      <c r="L5028" s="26">
        <f t="shared" si="160"/>
        <v>0</v>
      </c>
    </row>
    <row r="5029" spans="2:12">
      <c r="B5029" s="4" t="e">
        <f t="shared" si="159"/>
        <v>#N/A</v>
      </c>
      <c r="C5029" s="4">
        <f>'Raw data'!E4605</f>
        <v>0</v>
      </c>
      <c r="D5029" s="29" t="e">
        <f>VLOOKUP(C5029,'점포코드 '!A:B,2,0)</f>
        <v>#N/A</v>
      </c>
      <c r="E5029" s="30">
        <f>'Raw data'!P4605</f>
        <v>0</v>
      </c>
      <c r="F5029" s="29" t="e">
        <f>VLOOKUP(E5029,'점포코드 '!A:B,2,0)</f>
        <v>#N/A</v>
      </c>
      <c r="G5029" s="46">
        <f>'Raw data'!F4938</f>
        <v>0</v>
      </c>
      <c r="H5029" s="4">
        <f>'Raw data'!G4938</f>
        <v>0</v>
      </c>
      <c r="I5029" s="29" t="e">
        <f>VLOOKUP(G5029,제품명!$C$1:$E$114,2,0)</f>
        <v>#N/A</v>
      </c>
      <c r="J5029" s="29">
        <f>'Raw data'!K4938</f>
        <v>0</v>
      </c>
      <c r="K5029" s="31">
        <f>'Raw data'!H4938</f>
        <v>0</v>
      </c>
      <c r="L5029" s="26">
        <f t="shared" si="160"/>
        <v>0</v>
      </c>
    </row>
    <row r="5030" spans="2:12">
      <c r="B5030" s="4" t="e">
        <f t="shared" si="159"/>
        <v>#N/A</v>
      </c>
      <c r="C5030" s="4">
        <f>'Raw data'!E4606</f>
        <v>0</v>
      </c>
      <c r="D5030" s="29" t="e">
        <f>VLOOKUP(C5030,'점포코드 '!A:B,2,0)</f>
        <v>#N/A</v>
      </c>
      <c r="E5030" s="30">
        <f>'Raw data'!P4606</f>
        <v>0</v>
      </c>
      <c r="F5030" s="29" t="e">
        <f>VLOOKUP(E5030,'점포코드 '!A:B,2,0)</f>
        <v>#N/A</v>
      </c>
      <c r="G5030" s="46">
        <f>'Raw data'!F4939</f>
        <v>0</v>
      </c>
      <c r="H5030" s="4">
        <f>'Raw data'!G4939</f>
        <v>0</v>
      </c>
      <c r="I5030" s="29" t="e">
        <f>VLOOKUP(G5030,제품명!$C$1:$E$114,2,0)</f>
        <v>#N/A</v>
      </c>
      <c r="J5030" s="29">
        <f>'Raw data'!K4939</f>
        <v>0</v>
      </c>
      <c r="K5030" s="31">
        <f>'Raw data'!H4939</f>
        <v>0</v>
      </c>
      <c r="L5030" s="26">
        <f t="shared" si="160"/>
        <v>0</v>
      </c>
    </row>
    <row r="5031" spans="2:12">
      <c r="B5031" s="4" t="e">
        <f t="shared" si="159"/>
        <v>#N/A</v>
      </c>
      <c r="C5031" s="4">
        <f>'Raw data'!E4607</f>
        <v>0</v>
      </c>
      <c r="D5031" s="29" t="e">
        <f>VLOOKUP(C5031,'점포코드 '!A:B,2,0)</f>
        <v>#N/A</v>
      </c>
      <c r="E5031" s="30">
        <f>'Raw data'!P4607</f>
        <v>0</v>
      </c>
      <c r="F5031" s="29" t="e">
        <f>VLOOKUP(E5031,'점포코드 '!A:B,2,0)</f>
        <v>#N/A</v>
      </c>
      <c r="G5031" s="46">
        <f>'Raw data'!F4940</f>
        <v>0</v>
      </c>
      <c r="H5031" s="4">
        <f>'Raw data'!G4940</f>
        <v>0</v>
      </c>
      <c r="I5031" s="29" t="e">
        <f>VLOOKUP(G5031,제품명!$C$1:$E$114,2,0)</f>
        <v>#N/A</v>
      </c>
      <c r="J5031" s="29">
        <f>'Raw data'!K4940</f>
        <v>0</v>
      </c>
      <c r="K5031" s="31">
        <f>'Raw data'!H4940</f>
        <v>0</v>
      </c>
      <c r="L5031" s="26">
        <f t="shared" si="160"/>
        <v>0</v>
      </c>
    </row>
    <row r="5032" spans="2:12">
      <c r="B5032" s="4" t="e">
        <f t="shared" si="159"/>
        <v>#N/A</v>
      </c>
      <c r="C5032" s="4">
        <f>'Raw data'!E4608</f>
        <v>0</v>
      </c>
      <c r="D5032" s="29" t="e">
        <f>VLOOKUP(C5032,'점포코드 '!A:B,2,0)</f>
        <v>#N/A</v>
      </c>
      <c r="E5032" s="30">
        <f>'Raw data'!P4608</f>
        <v>0</v>
      </c>
      <c r="F5032" s="29" t="e">
        <f>VLOOKUP(E5032,'점포코드 '!A:B,2,0)</f>
        <v>#N/A</v>
      </c>
      <c r="G5032" s="46">
        <f>'Raw data'!F4941</f>
        <v>0</v>
      </c>
      <c r="H5032" s="4">
        <f>'Raw data'!G4941</f>
        <v>0</v>
      </c>
      <c r="I5032" s="29" t="e">
        <f>VLOOKUP(G5032,제품명!$C$1:$E$114,2,0)</f>
        <v>#N/A</v>
      </c>
      <c r="J5032" s="29">
        <f>'Raw data'!K4941</f>
        <v>0</v>
      </c>
      <c r="K5032" s="31">
        <f>'Raw data'!H4941</f>
        <v>0</v>
      </c>
      <c r="L5032" s="26">
        <f t="shared" si="160"/>
        <v>0</v>
      </c>
    </row>
    <row r="5033" spans="2:12">
      <c r="B5033" s="4" t="e">
        <f t="shared" si="159"/>
        <v>#N/A</v>
      </c>
      <c r="C5033" s="4">
        <f>'Raw data'!E4609</f>
        <v>0</v>
      </c>
      <c r="D5033" s="29" t="e">
        <f>VLOOKUP(C5033,'점포코드 '!A:B,2,0)</f>
        <v>#N/A</v>
      </c>
      <c r="E5033" s="30">
        <f>'Raw data'!P4609</f>
        <v>0</v>
      </c>
      <c r="F5033" s="29" t="e">
        <f>VLOOKUP(E5033,'점포코드 '!A:B,2,0)</f>
        <v>#N/A</v>
      </c>
      <c r="G5033" s="46">
        <f>'Raw data'!F4942</f>
        <v>0</v>
      </c>
      <c r="H5033" s="4">
        <f>'Raw data'!G4942</f>
        <v>0</v>
      </c>
      <c r="I5033" s="29" t="e">
        <f>VLOOKUP(G5033,제품명!$C$1:$E$114,2,0)</f>
        <v>#N/A</v>
      </c>
      <c r="J5033" s="29">
        <f>'Raw data'!K4942</f>
        <v>0</v>
      </c>
      <c r="K5033" s="31">
        <f>'Raw data'!H4942</f>
        <v>0</v>
      </c>
      <c r="L5033" s="26">
        <f t="shared" si="160"/>
        <v>0</v>
      </c>
    </row>
    <row r="5034" spans="2:12">
      <c r="B5034" s="4" t="e">
        <f t="shared" si="159"/>
        <v>#N/A</v>
      </c>
      <c r="C5034" s="4">
        <f>'Raw data'!E4610</f>
        <v>0</v>
      </c>
      <c r="D5034" s="29" t="e">
        <f>VLOOKUP(C5034,'점포코드 '!A:B,2,0)</f>
        <v>#N/A</v>
      </c>
      <c r="E5034" s="30">
        <f>'Raw data'!P4610</f>
        <v>0</v>
      </c>
      <c r="F5034" s="29" t="e">
        <f>VLOOKUP(E5034,'점포코드 '!A:B,2,0)</f>
        <v>#N/A</v>
      </c>
      <c r="G5034" s="46">
        <f>'Raw data'!F4943</f>
        <v>0</v>
      </c>
      <c r="H5034" s="4">
        <f>'Raw data'!G4943</f>
        <v>0</v>
      </c>
      <c r="I5034" s="29" t="e">
        <f>VLOOKUP(G5034,제품명!$C$1:$E$114,2,0)</f>
        <v>#N/A</v>
      </c>
      <c r="J5034" s="29">
        <f>'Raw data'!K4943</f>
        <v>0</v>
      </c>
      <c r="K5034" s="31">
        <f>'Raw data'!H4943</f>
        <v>0</v>
      </c>
      <c r="L5034" s="26">
        <f t="shared" si="160"/>
        <v>0</v>
      </c>
    </row>
    <row r="5035" spans="2:12">
      <c r="B5035" s="4" t="e">
        <f t="shared" si="159"/>
        <v>#N/A</v>
      </c>
      <c r="C5035" s="4">
        <f>'Raw data'!E4611</f>
        <v>0</v>
      </c>
      <c r="D5035" s="29" t="e">
        <f>VLOOKUP(C5035,'점포코드 '!A:B,2,0)</f>
        <v>#N/A</v>
      </c>
      <c r="E5035" s="30">
        <f>'Raw data'!P4611</f>
        <v>0</v>
      </c>
      <c r="F5035" s="29" t="e">
        <f>VLOOKUP(E5035,'점포코드 '!A:B,2,0)</f>
        <v>#N/A</v>
      </c>
      <c r="G5035" s="46">
        <f>'Raw data'!F4944</f>
        <v>0</v>
      </c>
      <c r="H5035" s="4">
        <f>'Raw data'!G4944</f>
        <v>0</v>
      </c>
      <c r="I5035" s="29" t="e">
        <f>VLOOKUP(G5035,제품명!$C$1:$E$114,2,0)</f>
        <v>#N/A</v>
      </c>
      <c r="J5035" s="29">
        <f>'Raw data'!K4944</f>
        <v>0</v>
      </c>
      <c r="K5035" s="31">
        <f>'Raw data'!H4944</f>
        <v>0</v>
      </c>
      <c r="L5035" s="26">
        <f t="shared" si="160"/>
        <v>0</v>
      </c>
    </row>
    <row r="5036" spans="2:12">
      <c r="B5036" s="4" t="e">
        <f t="shared" si="159"/>
        <v>#N/A</v>
      </c>
      <c r="C5036" s="4">
        <f>'Raw data'!E4612</f>
        <v>0</v>
      </c>
      <c r="D5036" s="29" t="e">
        <f>VLOOKUP(C5036,'점포코드 '!A:B,2,0)</f>
        <v>#N/A</v>
      </c>
      <c r="E5036" s="30">
        <f>'Raw data'!P4612</f>
        <v>0</v>
      </c>
      <c r="F5036" s="29" t="e">
        <f>VLOOKUP(E5036,'점포코드 '!A:B,2,0)</f>
        <v>#N/A</v>
      </c>
      <c r="G5036" s="46">
        <f>'Raw data'!F4945</f>
        <v>0</v>
      </c>
      <c r="H5036" s="4">
        <f>'Raw data'!G4945</f>
        <v>0</v>
      </c>
      <c r="I5036" s="29" t="e">
        <f>VLOOKUP(G5036,제품명!$C$1:$E$114,2,0)</f>
        <v>#N/A</v>
      </c>
      <c r="J5036" s="29">
        <f>'Raw data'!K4945</f>
        <v>0</v>
      </c>
      <c r="K5036" s="31">
        <f>'Raw data'!H4945</f>
        <v>0</v>
      </c>
      <c r="L5036" s="26">
        <f t="shared" si="160"/>
        <v>0</v>
      </c>
    </row>
    <row r="5037" spans="2:12">
      <c r="B5037" s="4" t="e">
        <f t="shared" si="159"/>
        <v>#N/A</v>
      </c>
      <c r="C5037" s="4">
        <f>'Raw data'!E4613</f>
        <v>0</v>
      </c>
      <c r="D5037" s="29" t="e">
        <f>VLOOKUP(C5037,'점포코드 '!A:B,2,0)</f>
        <v>#N/A</v>
      </c>
      <c r="E5037" s="30">
        <f>'Raw data'!P4613</f>
        <v>0</v>
      </c>
      <c r="F5037" s="29" t="e">
        <f>VLOOKUP(E5037,'점포코드 '!A:B,2,0)</f>
        <v>#N/A</v>
      </c>
      <c r="G5037" s="46">
        <f>'Raw data'!F4946</f>
        <v>0</v>
      </c>
      <c r="H5037" s="4">
        <f>'Raw data'!G4946</f>
        <v>0</v>
      </c>
      <c r="I5037" s="29" t="e">
        <f>VLOOKUP(G5037,제품명!$C$1:$E$114,2,0)</f>
        <v>#N/A</v>
      </c>
      <c r="J5037" s="29">
        <f>'Raw data'!K4946</f>
        <v>0</v>
      </c>
      <c r="K5037" s="31">
        <f>'Raw data'!H4946</f>
        <v>0</v>
      </c>
      <c r="L5037" s="26">
        <f t="shared" si="160"/>
        <v>0</v>
      </c>
    </row>
    <row r="5038" spans="2:12">
      <c r="B5038" s="4" t="e">
        <f t="shared" si="159"/>
        <v>#N/A</v>
      </c>
      <c r="C5038" s="4">
        <f>'Raw data'!E4614</f>
        <v>0</v>
      </c>
      <c r="D5038" s="29" t="e">
        <f>VLOOKUP(C5038,'점포코드 '!A:B,2,0)</f>
        <v>#N/A</v>
      </c>
      <c r="E5038" s="30">
        <f>'Raw data'!P4614</f>
        <v>0</v>
      </c>
      <c r="F5038" s="29" t="e">
        <f>VLOOKUP(E5038,'점포코드 '!A:B,2,0)</f>
        <v>#N/A</v>
      </c>
      <c r="G5038" s="46">
        <f>'Raw data'!F4947</f>
        <v>0</v>
      </c>
      <c r="H5038" s="4">
        <f>'Raw data'!G4947</f>
        <v>0</v>
      </c>
      <c r="I5038" s="29" t="e">
        <f>VLOOKUP(G5038,제품명!$C$1:$E$114,2,0)</f>
        <v>#N/A</v>
      </c>
      <c r="J5038" s="29">
        <f>'Raw data'!K4947</f>
        <v>0</v>
      </c>
      <c r="K5038" s="31">
        <f>'Raw data'!H4947</f>
        <v>0</v>
      </c>
      <c r="L5038" s="26">
        <f t="shared" si="160"/>
        <v>0</v>
      </c>
    </row>
    <row r="5039" spans="2:12">
      <c r="B5039" s="4" t="e">
        <f t="shared" si="159"/>
        <v>#N/A</v>
      </c>
      <c r="C5039" s="4">
        <f>'Raw data'!E4615</f>
        <v>0</v>
      </c>
      <c r="D5039" s="29" t="e">
        <f>VLOOKUP(C5039,'점포코드 '!A:B,2,0)</f>
        <v>#N/A</v>
      </c>
      <c r="E5039" s="30">
        <f>'Raw data'!P4615</f>
        <v>0</v>
      </c>
      <c r="F5039" s="29" t="e">
        <f>VLOOKUP(E5039,'점포코드 '!A:B,2,0)</f>
        <v>#N/A</v>
      </c>
      <c r="G5039" s="46">
        <f>'Raw data'!F4948</f>
        <v>0</v>
      </c>
      <c r="H5039" s="4">
        <f>'Raw data'!G4948</f>
        <v>0</v>
      </c>
      <c r="I5039" s="29" t="e">
        <f>VLOOKUP(G5039,제품명!$C$1:$E$114,2,0)</f>
        <v>#N/A</v>
      </c>
      <c r="J5039" s="29">
        <f>'Raw data'!K4948</f>
        <v>0</v>
      </c>
      <c r="K5039" s="31">
        <f>'Raw data'!H4948</f>
        <v>0</v>
      </c>
      <c r="L5039" s="26">
        <f t="shared" si="160"/>
        <v>0</v>
      </c>
    </row>
    <row r="5040" spans="2:12">
      <c r="B5040" s="4" t="e">
        <f t="shared" si="159"/>
        <v>#N/A</v>
      </c>
      <c r="C5040" s="4">
        <f>'Raw data'!E4616</f>
        <v>0</v>
      </c>
      <c r="D5040" s="29" t="e">
        <f>VLOOKUP(C5040,'점포코드 '!A:B,2,0)</f>
        <v>#N/A</v>
      </c>
      <c r="E5040" s="30">
        <f>'Raw data'!P4616</f>
        <v>0</v>
      </c>
      <c r="F5040" s="29" t="e">
        <f>VLOOKUP(E5040,'점포코드 '!A:B,2,0)</f>
        <v>#N/A</v>
      </c>
      <c r="G5040" s="46">
        <f>'Raw data'!F4949</f>
        <v>0</v>
      </c>
      <c r="H5040" s="4">
        <f>'Raw data'!G4949</f>
        <v>0</v>
      </c>
      <c r="I5040" s="29" t="e">
        <f>VLOOKUP(G5040,제품명!$C$1:$E$114,2,0)</f>
        <v>#N/A</v>
      </c>
      <c r="J5040" s="29">
        <f>'Raw data'!K4949</f>
        <v>0</v>
      </c>
      <c r="K5040" s="31">
        <f>'Raw data'!H4949</f>
        <v>0</v>
      </c>
      <c r="L5040" s="26">
        <f t="shared" si="160"/>
        <v>0</v>
      </c>
    </row>
    <row r="5041" spans="2:12">
      <c r="B5041" s="4" t="e">
        <f t="shared" si="159"/>
        <v>#N/A</v>
      </c>
      <c r="C5041" s="4">
        <f>'Raw data'!E4617</f>
        <v>0</v>
      </c>
      <c r="D5041" s="29" t="e">
        <f>VLOOKUP(C5041,'점포코드 '!A:B,2,0)</f>
        <v>#N/A</v>
      </c>
      <c r="E5041" s="30">
        <f>'Raw data'!P4617</f>
        <v>0</v>
      </c>
      <c r="F5041" s="29" t="e">
        <f>VLOOKUP(E5041,'점포코드 '!A:B,2,0)</f>
        <v>#N/A</v>
      </c>
      <c r="G5041" s="46">
        <f>'Raw data'!F4950</f>
        <v>0</v>
      </c>
      <c r="H5041" s="4">
        <f>'Raw data'!G4950</f>
        <v>0</v>
      </c>
      <c r="I5041" s="29" t="e">
        <f>VLOOKUP(G5041,제품명!$C$1:$E$114,2,0)</f>
        <v>#N/A</v>
      </c>
      <c r="J5041" s="29">
        <f>'Raw data'!K4950</f>
        <v>0</v>
      </c>
      <c r="K5041" s="31">
        <f>'Raw data'!H4950</f>
        <v>0</v>
      </c>
      <c r="L5041" s="26">
        <f t="shared" si="160"/>
        <v>0</v>
      </c>
    </row>
    <row r="5042" spans="2:12">
      <c r="B5042" s="4" t="e">
        <f t="shared" si="159"/>
        <v>#N/A</v>
      </c>
      <c r="C5042" s="4">
        <f>'Raw data'!E4618</f>
        <v>0</v>
      </c>
      <c r="D5042" s="29" t="e">
        <f>VLOOKUP(C5042,'점포코드 '!A:B,2,0)</f>
        <v>#N/A</v>
      </c>
      <c r="E5042" s="30">
        <f>'Raw data'!P4618</f>
        <v>0</v>
      </c>
      <c r="F5042" s="29" t="e">
        <f>VLOOKUP(E5042,'점포코드 '!A:B,2,0)</f>
        <v>#N/A</v>
      </c>
      <c r="G5042" s="46">
        <f>'Raw data'!F4951</f>
        <v>0</v>
      </c>
      <c r="H5042" s="4">
        <f>'Raw data'!G4951</f>
        <v>0</v>
      </c>
      <c r="I5042" s="29" t="e">
        <f>VLOOKUP(G5042,제품명!$C$1:$E$114,2,0)</f>
        <v>#N/A</v>
      </c>
      <c r="J5042" s="29">
        <f>'Raw data'!K4951</f>
        <v>0</v>
      </c>
      <c r="K5042" s="31">
        <f>'Raw data'!H4951</f>
        <v>0</v>
      </c>
      <c r="L5042" s="26">
        <f t="shared" si="160"/>
        <v>0</v>
      </c>
    </row>
    <row r="5043" spans="2:12">
      <c r="B5043" s="4" t="e">
        <f t="shared" si="159"/>
        <v>#N/A</v>
      </c>
      <c r="C5043" s="4">
        <f>'Raw data'!E4619</f>
        <v>0</v>
      </c>
      <c r="D5043" s="29" t="e">
        <f>VLOOKUP(C5043,'점포코드 '!A:B,2,0)</f>
        <v>#N/A</v>
      </c>
      <c r="E5043" s="30">
        <f>'Raw data'!P4619</f>
        <v>0</v>
      </c>
      <c r="F5043" s="29" t="e">
        <f>VLOOKUP(E5043,'점포코드 '!A:B,2,0)</f>
        <v>#N/A</v>
      </c>
      <c r="G5043" s="46">
        <f>'Raw data'!F4952</f>
        <v>0</v>
      </c>
      <c r="H5043" s="4">
        <f>'Raw data'!G4952</f>
        <v>0</v>
      </c>
      <c r="I5043" s="29" t="e">
        <f>VLOOKUP(G5043,제품명!$C$1:$E$114,2,0)</f>
        <v>#N/A</v>
      </c>
      <c r="J5043" s="29">
        <f>'Raw data'!K4952</f>
        <v>0</v>
      </c>
      <c r="K5043" s="31">
        <f>'Raw data'!H4952</f>
        <v>0</v>
      </c>
      <c r="L5043" s="26">
        <f t="shared" si="160"/>
        <v>0</v>
      </c>
    </row>
    <row r="5044" spans="2:12">
      <c r="B5044" s="4" t="e">
        <f t="shared" si="159"/>
        <v>#N/A</v>
      </c>
      <c r="C5044" s="4">
        <f>'Raw data'!E4620</f>
        <v>0</v>
      </c>
      <c r="D5044" s="29" t="e">
        <f>VLOOKUP(C5044,'점포코드 '!A:B,2,0)</f>
        <v>#N/A</v>
      </c>
      <c r="E5044" s="30">
        <f>'Raw data'!P4620</f>
        <v>0</v>
      </c>
      <c r="F5044" s="29" t="e">
        <f>VLOOKUP(E5044,'점포코드 '!A:B,2,0)</f>
        <v>#N/A</v>
      </c>
      <c r="G5044" s="46">
        <f>'Raw data'!F4953</f>
        <v>0</v>
      </c>
      <c r="H5044" s="4">
        <f>'Raw data'!G4953</f>
        <v>0</v>
      </c>
      <c r="I5044" s="29" t="e">
        <f>VLOOKUP(G5044,제품명!$C$1:$E$114,2,0)</f>
        <v>#N/A</v>
      </c>
      <c r="J5044" s="29">
        <f>'Raw data'!K4953</f>
        <v>0</v>
      </c>
      <c r="K5044" s="31">
        <f>'Raw data'!H4953</f>
        <v>0</v>
      </c>
      <c r="L5044" s="26">
        <f t="shared" si="160"/>
        <v>0</v>
      </c>
    </row>
    <row r="5045" spans="2:12">
      <c r="B5045" s="4" t="e">
        <f t="shared" si="159"/>
        <v>#N/A</v>
      </c>
      <c r="C5045" s="4">
        <f>'Raw data'!E4621</f>
        <v>0</v>
      </c>
      <c r="D5045" s="29" t="e">
        <f>VLOOKUP(C5045,'점포코드 '!A:B,2,0)</f>
        <v>#N/A</v>
      </c>
      <c r="E5045" s="30">
        <f>'Raw data'!P4621</f>
        <v>0</v>
      </c>
      <c r="F5045" s="29" t="e">
        <f>VLOOKUP(E5045,'점포코드 '!A:B,2,0)</f>
        <v>#N/A</v>
      </c>
      <c r="G5045" s="46">
        <f>'Raw data'!F4954</f>
        <v>0</v>
      </c>
      <c r="H5045" s="4">
        <f>'Raw data'!G4954</f>
        <v>0</v>
      </c>
      <c r="I5045" s="29" t="e">
        <f>VLOOKUP(G5045,제품명!$C$1:$E$114,2,0)</f>
        <v>#N/A</v>
      </c>
      <c r="J5045" s="29">
        <f>'Raw data'!K4954</f>
        <v>0</v>
      </c>
      <c r="K5045" s="31">
        <f>'Raw data'!H4954</f>
        <v>0</v>
      </c>
      <c r="L5045" s="26">
        <f t="shared" si="160"/>
        <v>0</v>
      </c>
    </row>
    <row r="5046" spans="2:12">
      <c r="B5046" s="4" t="e">
        <f t="shared" si="159"/>
        <v>#N/A</v>
      </c>
      <c r="C5046" s="4">
        <f>'Raw data'!E4622</f>
        <v>0</v>
      </c>
      <c r="D5046" s="29" t="e">
        <f>VLOOKUP(C5046,'점포코드 '!A:B,2,0)</f>
        <v>#N/A</v>
      </c>
      <c r="E5046" s="30">
        <f>'Raw data'!P4622</f>
        <v>0</v>
      </c>
      <c r="F5046" s="29" t="e">
        <f>VLOOKUP(E5046,'점포코드 '!A:B,2,0)</f>
        <v>#N/A</v>
      </c>
      <c r="G5046" s="46">
        <f>'Raw data'!F4955</f>
        <v>0</v>
      </c>
      <c r="H5046" s="4">
        <f>'Raw data'!G4955</f>
        <v>0</v>
      </c>
      <c r="I5046" s="29" t="e">
        <f>VLOOKUP(G5046,제품명!$C$1:$E$114,2,0)</f>
        <v>#N/A</v>
      </c>
      <c r="J5046" s="29">
        <f>'Raw data'!K4955</f>
        <v>0</v>
      </c>
      <c r="K5046" s="31">
        <f>'Raw data'!H4955</f>
        <v>0</v>
      </c>
      <c r="L5046" s="26">
        <f t="shared" si="160"/>
        <v>0</v>
      </c>
    </row>
    <row r="5047" spans="2:12">
      <c r="B5047" s="4" t="e">
        <f t="shared" si="159"/>
        <v>#N/A</v>
      </c>
      <c r="C5047" s="4">
        <f>'Raw data'!E4623</f>
        <v>0</v>
      </c>
      <c r="D5047" s="29" t="e">
        <f>VLOOKUP(C5047,'점포코드 '!A:B,2,0)</f>
        <v>#N/A</v>
      </c>
      <c r="E5047" s="30">
        <f>'Raw data'!P4623</f>
        <v>0</v>
      </c>
      <c r="F5047" s="29" t="e">
        <f>VLOOKUP(E5047,'점포코드 '!A:B,2,0)</f>
        <v>#N/A</v>
      </c>
      <c r="G5047" s="46">
        <f>'Raw data'!F4956</f>
        <v>0</v>
      </c>
      <c r="H5047" s="4">
        <f>'Raw data'!G4956</f>
        <v>0</v>
      </c>
      <c r="I5047" s="29" t="e">
        <f>VLOOKUP(G5047,제품명!$C$1:$E$114,2,0)</f>
        <v>#N/A</v>
      </c>
      <c r="J5047" s="29">
        <f>'Raw data'!K4956</f>
        <v>0</v>
      </c>
      <c r="K5047" s="31">
        <f>'Raw data'!H4956</f>
        <v>0</v>
      </c>
      <c r="L5047" s="26">
        <f t="shared" si="160"/>
        <v>0</v>
      </c>
    </row>
    <row r="5048" spans="2:12">
      <c r="B5048" s="4" t="e">
        <f t="shared" si="159"/>
        <v>#N/A</v>
      </c>
      <c r="C5048" s="4">
        <f>'Raw data'!E4624</f>
        <v>0</v>
      </c>
      <c r="D5048" s="29" t="e">
        <f>VLOOKUP(C5048,'점포코드 '!A:B,2,0)</f>
        <v>#N/A</v>
      </c>
      <c r="E5048" s="30">
        <f>'Raw data'!P4624</f>
        <v>0</v>
      </c>
      <c r="F5048" s="29" t="e">
        <f>VLOOKUP(E5048,'점포코드 '!A:B,2,0)</f>
        <v>#N/A</v>
      </c>
      <c r="G5048" s="46">
        <f>'Raw data'!F4957</f>
        <v>0</v>
      </c>
      <c r="H5048" s="4">
        <f>'Raw data'!G4957</f>
        <v>0</v>
      </c>
      <c r="I5048" s="29" t="e">
        <f>VLOOKUP(G5048,제품명!$C$1:$E$114,2,0)</f>
        <v>#N/A</v>
      </c>
      <c r="J5048" s="29">
        <f>'Raw data'!K4957</f>
        <v>0</v>
      </c>
      <c r="K5048" s="31">
        <f>'Raw data'!H4957</f>
        <v>0</v>
      </c>
      <c r="L5048" s="26">
        <f t="shared" si="160"/>
        <v>0</v>
      </c>
    </row>
    <row r="5049" spans="2:12">
      <c r="B5049" s="4" t="e">
        <f t="shared" si="159"/>
        <v>#N/A</v>
      </c>
      <c r="C5049" s="4">
        <f>'Raw data'!E4625</f>
        <v>0</v>
      </c>
      <c r="D5049" s="29" t="e">
        <f>VLOOKUP(C5049,'점포코드 '!A:B,2,0)</f>
        <v>#N/A</v>
      </c>
      <c r="E5049" s="30">
        <f>'Raw data'!P4625</f>
        <v>0</v>
      </c>
      <c r="F5049" s="29" t="e">
        <f>VLOOKUP(E5049,'점포코드 '!A:B,2,0)</f>
        <v>#N/A</v>
      </c>
      <c r="G5049" s="46">
        <f>'Raw data'!F4958</f>
        <v>0</v>
      </c>
      <c r="H5049" s="4">
        <f>'Raw data'!G4958</f>
        <v>0</v>
      </c>
      <c r="I5049" s="29" t="e">
        <f>VLOOKUP(G5049,제품명!$C$1:$E$114,2,0)</f>
        <v>#N/A</v>
      </c>
      <c r="J5049" s="29">
        <f>'Raw data'!K4958</f>
        <v>0</v>
      </c>
      <c r="K5049" s="31">
        <f>'Raw data'!H4958</f>
        <v>0</v>
      </c>
      <c r="L5049" s="26">
        <f t="shared" si="160"/>
        <v>0</v>
      </c>
    </row>
    <row r="5050" spans="2:12">
      <c r="B5050" s="4" t="e">
        <f t="shared" si="159"/>
        <v>#N/A</v>
      </c>
      <c r="C5050" s="4">
        <f>'Raw data'!E4626</f>
        <v>0</v>
      </c>
      <c r="D5050" s="29" t="e">
        <f>VLOOKUP(C5050,'점포코드 '!A:B,2,0)</f>
        <v>#N/A</v>
      </c>
      <c r="E5050" s="30">
        <f>'Raw data'!P4626</f>
        <v>0</v>
      </c>
      <c r="F5050" s="29" t="e">
        <f>VLOOKUP(E5050,'점포코드 '!A:B,2,0)</f>
        <v>#N/A</v>
      </c>
      <c r="G5050" s="46">
        <f>'Raw data'!F4959</f>
        <v>0</v>
      </c>
      <c r="H5050" s="4">
        <f>'Raw data'!G4959</f>
        <v>0</v>
      </c>
      <c r="I5050" s="29" t="e">
        <f>VLOOKUP(G5050,제품명!$C$1:$E$114,2,0)</f>
        <v>#N/A</v>
      </c>
      <c r="J5050" s="29">
        <f>'Raw data'!K4959</f>
        <v>0</v>
      </c>
      <c r="K5050" s="31">
        <f>'Raw data'!H4959</f>
        <v>0</v>
      </c>
      <c r="L5050" s="26">
        <f t="shared" si="160"/>
        <v>0</v>
      </c>
    </row>
    <row r="5051" spans="2:12">
      <c r="B5051" s="4" t="e">
        <f t="shared" si="159"/>
        <v>#N/A</v>
      </c>
      <c r="C5051" s="4">
        <f>'Raw data'!E4627</f>
        <v>0</v>
      </c>
      <c r="D5051" s="29" t="e">
        <f>VLOOKUP(C5051,'점포코드 '!A:B,2,0)</f>
        <v>#N/A</v>
      </c>
      <c r="E5051" s="30">
        <f>'Raw data'!P4627</f>
        <v>0</v>
      </c>
      <c r="F5051" s="29" t="e">
        <f>VLOOKUP(E5051,'점포코드 '!A:B,2,0)</f>
        <v>#N/A</v>
      </c>
      <c r="G5051" s="46">
        <f>'Raw data'!F4960</f>
        <v>0</v>
      </c>
      <c r="H5051" s="4">
        <f>'Raw data'!G4960</f>
        <v>0</v>
      </c>
      <c r="I5051" s="29" t="e">
        <f>VLOOKUP(G5051,제품명!$C$1:$E$114,2,0)</f>
        <v>#N/A</v>
      </c>
      <c r="J5051" s="29">
        <f>'Raw data'!K4960</f>
        <v>0</v>
      </c>
      <c r="K5051" s="31">
        <f>'Raw data'!H4960</f>
        <v>0</v>
      </c>
      <c r="L5051" s="26">
        <f t="shared" si="160"/>
        <v>0</v>
      </c>
    </row>
    <row r="5052" spans="2:12">
      <c r="B5052" s="4" t="e">
        <f t="shared" si="159"/>
        <v>#N/A</v>
      </c>
      <c r="C5052" s="4">
        <f>'Raw data'!E4628</f>
        <v>0</v>
      </c>
      <c r="D5052" s="29" t="e">
        <f>VLOOKUP(C5052,'점포코드 '!A:B,2,0)</f>
        <v>#N/A</v>
      </c>
      <c r="E5052" s="30">
        <f>'Raw data'!P4628</f>
        <v>0</v>
      </c>
      <c r="F5052" s="29" t="e">
        <f>VLOOKUP(E5052,'점포코드 '!A:B,2,0)</f>
        <v>#N/A</v>
      </c>
      <c r="G5052" s="46">
        <f>'Raw data'!F4961</f>
        <v>0</v>
      </c>
      <c r="H5052" s="4">
        <f>'Raw data'!G4961</f>
        <v>0</v>
      </c>
      <c r="I5052" s="29" t="e">
        <f>VLOOKUP(G5052,제품명!$C$1:$E$114,2,0)</f>
        <v>#N/A</v>
      </c>
      <c r="J5052" s="29">
        <f>'Raw data'!K4961</f>
        <v>0</v>
      </c>
      <c r="K5052" s="31">
        <f>'Raw data'!H4961</f>
        <v>0</v>
      </c>
      <c r="L5052" s="26">
        <f t="shared" si="160"/>
        <v>0</v>
      </c>
    </row>
    <row r="5053" spans="2:12">
      <c r="B5053" s="4" t="e">
        <f t="shared" si="159"/>
        <v>#N/A</v>
      </c>
      <c r="C5053" s="4">
        <f>'Raw data'!E4629</f>
        <v>0</v>
      </c>
      <c r="D5053" s="29" t="e">
        <f>VLOOKUP(C5053,'점포코드 '!A:B,2,0)</f>
        <v>#N/A</v>
      </c>
      <c r="E5053" s="30">
        <f>'Raw data'!P4629</f>
        <v>0</v>
      </c>
      <c r="F5053" s="29" t="e">
        <f>VLOOKUP(E5053,'점포코드 '!A:B,2,0)</f>
        <v>#N/A</v>
      </c>
      <c r="G5053" s="46">
        <f>'Raw data'!F4962</f>
        <v>0</v>
      </c>
      <c r="H5053" s="4">
        <f>'Raw data'!G4962</f>
        <v>0</v>
      </c>
      <c r="I5053" s="29" t="e">
        <f>VLOOKUP(G5053,제품명!$C$1:$E$114,2,0)</f>
        <v>#N/A</v>
      </c>
      <c r="J5053" s="29">
        <f>'Raw data'!K4962</f>
        <v>0</v>
      </c>
      <c r="K5053" s="31">
        <f>'Raw data'!H4962</f>
        <v>0</v>
      </c>
      <c r="L5053" s="26">
        <f t="shared" si="160"/>
        <v>0</v>
      </c>
    </row>
    <row r="5054" spans="2:12">
      <c r="B5054" s="4" t="e">
        <f t="shared" si="159"/>
        <v>#N/A</v>
      </c>
      <c r="C5054" s="4">
        <f>'Raw data'!E4630</f>
        <v>0</v>
      </c>
      <c r="D5054" s="29" t="e">
        <f>VLOOKUP(C5054,'점포코드 '!A:B,2,0)</f>
        <v>#N/A</v>
      </c>
      <c r="E5054" s="30">
        <f>'Raw data'!P4630</f>
        <v>0</v>
      </c>
      <c r="F5054" s="29" t="e">
        <f>VLOOKUP(E5054,'점포코드 '!A:B,2,0)</f>
        <v>#N/A</v>
      </c>
      <c r="G5054" s="46">
        <f>'Raw data'!F4963</f>
        <v>0</v>
      </c>
      <c r="H5054" s="4">
        <f>'Raw data'!G4963</f>
        <v>0</v>
      </c>
      <c r="I5054" s="29" t="e">
        <f>VLOOKUP(G5054,제품명!$C$1:$E$114,2,0)</f>
        <v>#N/A</v>
      </c>
      <c r="J5054" s="29">
        <f>'Raw data'!K4963</f>
        <v>0</v>
      </c>
      <c r="K5054" s="31">
        <f>'Raw data'!H4963</f>
        <v>0</v>
      </c>
      <c r="L5054" s="26">
        <f t="shared" si="160"/>
        <v>0</v>
      </c>
    </row>
    <row r="5055" spans="2:12">
      <c r="B5055" s="4" t="e">
        <f t="shared" si="159"/>
        <v>#N/A</v>
      </c>
      <c r="C5055" s="4">
        <f>'Raw data'!E4631</f>
        <v>0</v>
      </c>
      <c r="D5055" s="29" t="e">
        <f>VLOOKUP(C5055,'점포코드 '!A:B,2,0)</f>
        <v>#N/A</v>
      </c>
      <c r="E5055" s="30">
        <f>'Raw data'!P4631</f>
        <v>0</v>
      </c>
      <c r="F5055" s="29" t="e">
        <f>VLOOKUP(E5055,'점포코드 '!A:B,2,0)</f>
        <v>#N/A</v>
      </c>
      <c r="G5055" s="46">
        <f>'Raw data'!F4964</f>
        <v>0</v>
      </c>
      <c r="H5055" s="4">
        <f>'Raw data'!G4964</f>
        <v>0</v>
      </c>
      <c r="I5055" s="29" t="e">
        <f>VLOOKUP(G5055,제품명!$C$1:$E$114,2,0)</f>
        <v>#N/A</v>
      </c>
      <c r="J5055" s="29">
        <f>'Raw data'!K4964</f>
        <v>0</v>
      </c>
      <c r="K5055" s="31">
        <f>'Raw data'!H4964</f>
        <v>0</v>
      </c>
      <c r="L5055" s="26">
        <f t="shared" si="160"/>
        <v>0</v>
      </c>
    </row>
    <row r="5056" spans="2:12">
      <c r="B5056" s="4" t="e">
        <f t="shared" si="159"/>
        <v>#N/A</v>
      </c>
      <c r="C5056" s="4">
        <f>'Raw data'!E4632</f>
        <v>0</v>
      </c>
      <c r="D5056" s="29" t="e">
        <f>VLOOKUP(C5056,'점포코드 '!A:B,2,0)</f>
        <v>#N/A</v>
      </c>
      <c r="E5056" s="30">
        <f>'Raw data'!P4632</f>
        <v>0</v>
      </c>
      <c r="F5056" s="29" t="e">
        <f>VLOOKUP(E5056,'점포코드 '!A:B,2,0)</f>
        <v>#N/A</v>
      </c>
      <c r="G5056" s="46">
        <f>'Raw data'!F4965</f>
        <v>0</v>
      </c>
      <c r="H5056" s="4">
        <f>'Raw data'!G4965</f>
        <v>0</v>
      </c>
      <c r="I5056" s="29" t="e">
        <f>VLOOKUP(G5056,제품명!$C$1:$E$114,2,0)</f>
        <v>#N/A</v>
      </c>
      <c r="J5056" s="29">
        <f>'Raw data'!K4965</f>
        <v>0</v>
      </c>
      <c r="K5056" s="31">
        <f>'Raw data'!H4965</f>
        <v>0</v>
      </c>
      <c r="L5056" s="26">
        <f t="shared" si="160"/>
        <v>0</v>
      </c>
    </row>
    <row r="5057" spans="2:12">
      <c r="B5057" s="4" t="e">
        <f t="shared" si="159"/>
        <v>#N/A</v>
      </c>
      <c r="C5057" s="4">
        <f>'Raw data'!E4633</f>
        <v>0</v>
      </c>
      <c r="D5057" s="29" t="e">
        <f>VLOOKUP(C5057,'점포코드 '!A:B,2,0)</f>
        <v>#N/A</v>
      </c>
      <c r="E5057" s="30">
        <f>'Raw data'!P4633</f>
        <v>0</v>
      </c>
      <c r="F5057" s="29" t="e">
        <f>VLOOKUP(E5057,'점포코드 '!A:B,2,0)</f>
        <v>#N/A</v>
      </c>
      <c r="G5057" s="46">
        <f>'Raw data'!F4966</f>
        <v>0</v>
      </c>
      <c r="H5057" s="4">
        <f>'Raw data'!G4966</f>
        <v>0</v>
      </c>
      <c r="I5057" s="29" t="e">
        <f>VLOOKUP(G5057,제품명!$C$1:$E$114,2,0)</f>
        <v>#N/A</v>
      </c>
      <c r="J5057" s="29">
        <f>'Raw data'!K4966</f>
        <v>0</v>
      </c>
      <c r="K5057" s="31">
        <f>'Raw data'!H4966</f>
        <v>0</v>
      </c>
      <c r="L5057" s="26">
        <f t="shared" si="160"/>
        <v>0</v>
      </c>
    </row>
    <row r="5058" spans="2:12">
      <c r="B5058" s="4" t="e">
        <f t="shared" ref="B5058:B5121" si="161">F5058&amp;I5058</f>
        <v>#N/A</v>
      </c>
      <c r="C5058" s="4">
        <f>'Raw data'!E4634</f>
        <v>0</v>
      </c>
      <c r="D5058" s="29" t="e">
        <f>VLOOKUP(C5058,'점포코드 '!A:B,2,0)</f>
        <v>#N/A</v>
      </c>
      <c r="E5058" s="30">
        <f>'Raw data'!P4634</f>
        <v>0</v>
      </c>
      <c r="F5058" s="29" t="e">
        <f>VLOOKUP(E5058,'점포코드 '!A:B,2,0)</f>
        <v>#N/A</v>
      </c>
      <c r="G5058" s="46">
        <f>'Raw data'!F4967</f>
        <v>0</v>
      </c>
      <c r="H5058" s="4">
        <f>'Raw data'!G4967</f>
        <v>0</v>
      </c>
      <c r="I5058" s="29" t="e">
        <f>VLOOKUP(G5058,제품명!$C$1:$E$114,2,0)</f>
        <v>#N/A</v>
      </c>
      <c r="J5058" s="29">
        <f>'Raw data'!K4967</f>
        <v>0</v>
      </c>
      <c r="K5058" s="31">
        <f>'Raw data'!H4967</f>
        <v>0</v>
      </c>
      <c r="L5058" s="26">
        <f t="shared" si="160"/>
        <v>0</v>
      </c>
    </row>
    <row r="5059" spans="2:12">
      <c r="B5059" s="4" t="e">
        <f t="shared" si="161"/>
        <v>#N/A</v>
      </c>
      <c r="C5059" s="4">
        <f>'Raw data'!E4635</f>
        <v>0</v>
      </c>
      <c r="D5059" s="29" t="e">
        <f>VLOOKUP(C5059,'점포코드 '!A:B,2,0)</f>
        <v>#N/A</v>
      </c>
      <c r="E5059" s="30">
        <f>'Raw data'!P4635</f>
        <v>0</v>
      </c>
      <c r="F5059" s="29" t="e">
        <f>VLOOKUP(E5059,'점포코드 '!A:B,2,0)</f>
        <v>#N/A</v>
      </c>
      <c r="G5059" s="46">
        <f>'Raw data'!F4968</f>
        <v>0</v>
      </c>
      <c r="H5059" s="4">
        <f>'Raw data'!G4968</f>
        <v>0</v>
      </c>
      <c r="I5059" s="29" t="e">
        <f>VLOOKUP(G5059,제품명!$C$1:$E$114,2,0)</f>
        <v>#N/A</v>
      </c>
      <c r="J5059" s="29">
        <f>'Raw data'!K4968</f>
        <v>0</v>
      </c>
      <c r="K5059" s="31">
        <f>'Raw data'!H4968</f>
        <v>0</v>
      </c>
      <c r="L5059" s="26">
        <f t="shared" ref="L5059:L5122" si="162">J5059*K5059</f>
        <v>0</v>
      </c>
    </row>
    <row r="5060" spans="2:12">
      <c r="B5060" s="4" t="e">
        <f t="shared" si="161"/>
        <v>#N/A</v>
      </c>
      <c r="C5060" s="4">
        <f>'Raw data'!E4636</f>
        <v>0</v>
      </c>
      <c r="D5060" s="29" t="e">
        <f>VLOOKUP(C5060,'점포코드 '!A:B,2,0)</f>
        <v>#N/A</v>
      </c>
      <c r="E5060" s="30">
        <f>'Raw data'!P4636</f>
        <v>0</v>
      </c>
      <c r="F5060" s="29" t="e">
        <f>VLOOKUP(E5060,'점포코드 '!A:B,2,0)</f>
        <v>#N/A</v>
      </c>
      <c r="G5060" s="46">
        <f>'Raw data'!F4969</f>
        <v>0</v>
      </c>
      <c r="H5060" s="4">
        <f>'Raw data'!G4969</f>
        <v>0</v>
      </c>
      <c r="I5060" s="29" t="e">
        <f>VLOOKUP(G5060,제품명!$C$1:$E$114,2,0)</f>
        <v>#N/A</v>
      </c>
      <c r="J5060" s="29">
        <f>'Raw data'!K4969</f>
        <v>0</v>
      </c>
      <c r="K5060" s="31">
        <f>'Raw data'!H4969</f>
        <v>0</v>
      </c>
      <c r="L5060" s="26">
        <f t="shared" si="162"/>
        <v>0</v>
      </c>
    </row>
    <row r="5061" spans="2:12">
      <c r="B5061" s="4" t="e">
        <f t="shared" si="161"/>
        <v>#N/A</v>
      </c>
      <c r="C5061" s="4">
        <f>'Raw data'!E4637</f>
        <v>0</v>
      </c>
      <c r="D5061" s="29" t="e">
        <f>VLOOKUP(C5061,'점포코드 '!A:B,2,0)</f>
        <v>#N/A</v>
      </c>
      <c r="E5061" s="30">
        <f>'Raw data'!P4637</f>
        <v>0</v>
      </c>
      <c r="F5061" s="29" t="e">
        <f>VLOOKUP(E5061,'점포코드 '!A:B,2,0)</f>
        <v>#N/A</v>
      </c>
      <c r="G5061" s="46">
        <f>'Raw data'!F4970</f>
        <v>0</v>
      </c>
      <c r="H5061" s="4">
        <f>'Raw data'!G4970</f>
        <v>0</v>
      </c>
      <c r="I5061" s="29" t="e">
        <f>VLOOKUP(G5061,제품명!$C$1:$E$114,2,0)</f>
        <v>#N/A</v>
      </c>
      <c r="J5061" s="29">
        <f>'Raw data'!K4970</f>
        <v>0</v>
      </c>
      <c r="K5061" s="31">
        <f>'Raw data'!H4970</f>
        <v>0</v>
      </c>
      <c r="L5061" s="26">
        <f t="shared" si="162"/>
        <v>0</v>
      </c>
    </row>
    <row r="5062" spans="2:12">
      <c r="B5062" s="4" t="e">
        <f t="shared" si="161"/>
        <v>#N/A</v>
      </c>
      <c r="C5062" s="4">
        <f>'Raw data'!E4638</f>
        <v>0</v>
      </c>
      <c r="D5062" s="29" t="e">
        <f>VLOOKUP(C5062,'점포코드 '!A:B,2,0)</f>
        <v>#N/A</v>
      </c>
      <c r="E5062" s="30">
        <f>'Raw data'!P4638</f>
        <v>0</v>
      </c>
      <c r="F5062" s="29" t="e">
        <f>VLOOKUP(E5062,'점포코드 '!A:B,2,0)</f>
        <v>#N/A</v>
      </c>
      <c r="G5062" s="46">
        <f>'Raw data'!F4971</f>
        <v>0</v>
      </c>
      <c r="H5062" s="4">
        <f>'Raw data'!G4971</f>
        <v>0</v>
      </c>
      <c r="I5062" s="29" t="e">
        <f>VLOOKUP(G5062,제품명!$C$1:$E$114,2,0)</f>
        <v>#N/A</v>
      </c>
      <c r="J5062" s="29">
        <f>'Raw data'!K4971</f>
        <v>0</v>
      </c>
      <c r="K5062" s="31">
        <f>'Raw data'!H4971</f>
        <v>0</v>
      </c>
      <c r="L5062" s="26">
        <f t="shared" si="162"/>
        <v>0</v>
      </c>
    </row>
    <row r="5063" spans="2:12">
      <c r="B5063" s="4" t="e">
        <f t="shared" si="161"/>
        <v>#N/A</v>
      </c>
      <c r="C5063" s="4">
        <f>'Raw data'!E4639</f>
        <v>0</v>
      </c>
      <c r="D5063" s="29" t="e">
        <f>VLOOKUP(C5063,'점포코드 '!A:B,2,0)</f>
        <v>#N/A</v>
      </c>
      <c r="E5063" s="30">
        <f>'Raw data'!P4639</f>
        <v>0</v>
      </c>
      <c r="F5063" s="29" t="e">
        <f>VLOOKUP(E5063,'점포코드 '!A:B,2,0)</f>
        <v>#N/A</v>
      </c>
      <c r="G5063" s="46">
        <f>'Raw data'!F4972</f>
        <v>0</v>
      </c>
      <c r="H5063" s="4">
        <f>'Raw data'!G4972</f>
        <v>0</v>
      </c>
      <c r="I5063" s="29" t="e">
        <f>VLOOKUP(G5063,제품명!$C$1:$E$114,2,0)</f>
        <v>#N/A</v>
      </c>
      <c r="J5063" s="29">
        <f>'Raw data'!K4972</f>
        <v>0</v>
      </c>
      <c r="K5063" s="31">
        <f>'Raw data'!H4972</f>
        <v>0</v>
      </c>
      <c r="L5063" s="26">
        <f t="shared" si="162"/>
        <v>0</v>
      </c>
    </row>
    <row r="5064" spans="2:12">
      <c r="B5064" s="4" t="e">
        <f t="shared" si="161"/>
        <v>#N/A</v>
      </c>
      <c r="C5064" s="4">
        <f>'Raw data'!E4640</f>
        <v>0</v>
      </c>
      <c r="D5064" s="29" t="e">
        <f>VLOOKUP(C5064,'점포코드 '!A:B,2,0)</f>
        <v>#N/A</v>
      </c>
      <c r="E5064" s="30">
        <f>'Raw data'!P4640</f>
        <v>0</v>
      </c>
      <c r="F5064" s="29" t="e">
        <f>VLOOKUP(E5064,'점포코드 '!A:B,2,0)</f>
        <v>#N/A</v>
      </c>
      <c r="G5064" s="46">
        <f>'Raw data'!F4973</f>
        <v>0</v>
      </c>
      <c r="H5064" s="4">
        <f>'Raw data'!G4973</f>
        <v>0</v>
      </c>
      <c r="I5064" s="29" t="e">
        <f>VLOOKUP(G5064,제품명!$C$1:$E$114,2,0)</f>
        <v>#N/A</v>
      </c>
      <c r="J5064" s="29">
        <f>'Raw data'!K4973</f>
        <v>0</v>
      </c>
      <c r="K5064" s="31">
        <f>'Raw data'!H4973</f>
        <v>0</v>
      </c>
      <c r="L5064" s="26">
        <f t="shared" si="162"/>
        <v>0</v>
      </c>
    </row>
    <row r="5065" spans="2:12">
      <c r="B5065" s="4" t="e">
        <f t="shared" si="161"/>
        <v>#N/A</v>
      </c>
      <c r="C5065" s="4">
        <f>'Raw data'!E4641</f>
        <v>0</v>
      </c>
      <c r="D5065" s="29" t="e">
        <f>VLOOKUP(C5065,'점포코드 '!A:B,2,0)</f>
        <v>#N/A</v>
      </c>
      <c r="E5065" s="30">
        <f>'Raw data'!P4641</f>
        <v>0</v>
      </c>
      <c r="F5065" s="29" t="e">
        <f>VLOOKUP(E5065,'점포코드 '!A:B,2,0)</f>
        <v>#N/A</v>
      </c>
      <c r="G5065" s="46">
        <f>'Raw data'!F4974</f>
        <v>0</v>
      </c>
      <c r="H5065" s="4">
        <f>'Raw data'!G4974</f>
        <v>0</v>
      </c>
      <c r="I5065" s="29" t="e">
        <f>VLOOKUP(G5065,제품명!$C$1:$E$114,2,0)</f>
        <v>#N/A</v>
      </c>
      <c r="J5065" s="29">
        <f>'Raw data'!K4974</f>
        <v>0</v>
      </c>
      <c r="K5065" s="31">
        <f>'Raw data'!H4974</f>
        <v>0</v>
      </c>
      <c r="L5065" s="26">
        <f t="shared" si="162"/>
        <v>0</v>
      </c>
    </row>
    <row r="5066" spans="2:12">
      <c r="B5066" s="4" t="e">
        <f t="shared" si="161"/>
        <v>#N/A</v>
      </c>
      <c r="C5066" s="4">
        <f>'Raw data'!E4642</f>
        <v>0</v>
      </c>
      <c r="D5066" s="29" t="e">
        <f>VLOOKUP(C5066,'점포코드 '!A:B,2,0)</f>
        <v>#N/A</v>
      </c>
      <c r="E5066" s="30">
        <f>'Raw data'!P4642</f>
        <v>0</v>
      </c>
      <c r="F5066" s="29" t="e">
        <f>VLOOKUP(E5066,'점포코드 '!A:B,2,0)</f>
        <v>#N/A</v>
      </c>
      <c r="G5066" s="46">
        <f>'Raw data'!F4975</f>
        <v>0</v>
      </c>
      <c r="H5066" s="4">
        <f>'Raw data'!G4975</f>
        <v>0</v>
      </c>
      <c r="I5066" s="29" t="e">
        <f>VLOOKUP(G5066,제품명!$C$1:$E$114,2,0)</f>
        <v>#N/A</v>
      </c>
      <c r="J5066" s="29">
        <f>'Raw data'!K4975</f>
        <v>0</v>
      </c>
      <c r="K5066" s="31">
        <f>'Raw data'!H4975</f>
        <v>0</v>
      </c>
      <c r="L5066" s="26">
        <f t="shared" si="162"/>
        <v>0</v>
      </c>
    </row>
    <row r="5067" spans="2:12">
      <c r="B5067" s="4" t="e">
        <f t="shared" si="161"/>
        <v>#N/A</v>
      </c>
      <c r="C5067" s="4">
        <f>'Raw data'!E4643</f>
        <v>0</v>
      </c>
      <c r="D5067" s="29" t="e">
        <f>VLOOKUP(C5067,'점포코드 '!A:B,2,0)</f>
        <v>#N/A</v>
      </c>
      <c r="E5067" s="30">
        <f>'Raw data'!P4643</f>
        <v>0</v>
      </c>
      <c r="F5067" s="29" t="e">
        <f>VLOOKUP(E5067,'점포코드 '!A:B,2,0)</f>
        <v>#N/A</v>
      </c>
      <c r="G5067" s="46">
        <f>'Raw data'!F4976</f>
        <v>0</v>
      </c>
      <c r="H5067" s="4">
        <f>'Raw data'!G4976</f>
        <v>0</v>
      </c>
      <c r="I5067" s="29" t="e">
        <f>VLOOKUP(G5067,제품명!$C$1:$E$114,2,0)</f>
        <v>#N/A</v>
      </c>
      <c r="J5067" s="29">
        <f>'Raw data'!K4976</f>
        <v>0</v>
      </c>
      <c r="K5067" s="31">
        <f>'Raw data'!H4976</f>
        <v>0</v>
      </c>
      <c r="L5067" s="26">
        <f t="shared" si="162"/>
        <v>0</v>
      </c>
    </row>
    <row r="5068" spans="2:12">
      <c r="B5068" s="4" t="e">
        <f t="shared" si="161"/>
        <v>#N/A</v>
      </c>
      <c r="C5068" s="4">
        <f>'Raw data'!E4644</f>
        <v>0</v>
      </c>
      <c r="D5068" s="29" t="e">
        <f>VLOOKUP(C5068,'점포코드 '!A:B,2,0)</f>
        <v>#N/A</v>
      </c>
      <c r="E5068" s="30">
        <f>'Raw data'!P4644</f>
        <v>0</v>
      </c>
      <c r="F5068" s="29" t="e">
        <f>VLOOKUP(E5068,'점포코드 '!A:B,2,0)</f>
        <v>#N/A</v>
      </c>
      <c r="G5068" s="46">
        <f>'Raw data'!F4977</f>
        <v>0</v>
      </c>
      <c r="H5068" s="4">
        <f>'Raw data'!G4977</f>
        <v>0</v>
      </c>
      <c r="I5068" s="29" t="e">
        <f>VLOOKUP(G5068,제품명!$C$1:$E$114,2,0)</f>
        <v>#N/A</v>
      </c>
      <c r="J5068" s="29">
        <f>'Raw data'!K4977</f>
        <v>0</v>
      </c>
      <c r="K5068" s="31">
        <f>'Raw data'!H4977</f>
        <v>0</v>
      </c>
      <c r="L5068" s="26">
        <f t="shared" si="162"/>
        <v>0</v>
      </c>
    </row>
    <row r="5069" spans="2:12">
      <c r="B5069" s="4" t="e">
        <f t="shared" si="161"/>
        <v>#N/A</v>
      </c>
      <c r="C5069" s="4">
        <f>'Raw data'!E4645</f>
        <v>0</v>
      </c>
      <c r="D5069" s="29" t="e">
        <f>VLOOKUP(C5069,'점포코드 '!A:B,2,0)</f>
        <v>#N/A</v>
      </c>
      <c r="E5069" s="30">
        <f>'Raw data'!P4645</f>
        <v>0</v>
      </c>
      <c r="F5069" s="29" t="e">
        <f>VLOOKUP(E5069,'점포코드 '!A:B,2,0)</f>
        <v>#N/A</v>
      </c>
      <c r="G5069" s="46">
        <f>'Raw data'!F4978</f>
        <v>0</v>
      </c>
      <c r="H5069" s="4">
        <f>'Raw data'!G4978</f>
        <v>0</v>
      </c>
      <c r="I5069" s="29" t="e">
        <f>VLOOKUP(G5069,제품명!$C$1:$E$114,2,0)</f>
        <v>#N/A</v>
      </c>
      <c r="J5069" s="29">
        <f>'Raw data'!K4978</f>
        <v>0</v>
      </c>
      <c r="K5069" s="31">
        <f>'Raw data'!H4978</f>
        <v>0</v>
      </c>
      <c r="L5069" s="26">
        <f t="shared" si="162"/>
        <v>0</v>
      </c>
    </row>
    <row r="5070" spans="2:12">
      <c r="B5070" s="4" t="e">
        <f t="shared" si="161"/>
        <v>#N/A</v>
      </c>
      <c r="C5070" s="4">
        <f>'Raw data'!E4646</f>
        <v>0</v>
      </c>
      <c r="D5070" s="29" t="e">
        <f>VLOOKUP(C5070,'점포코드 '!A:B,2,0)</f>
        <v>#N/A</v>
      </c>
      <c r="E5070" s="30">
        <f>'Raw data'!P4646</f>
        <v>0</v>
      </c>
      <c r="F5070" s="29" t="e">
        <f>VLOOKUP(E5070,'점포코드 '!A:B,2,0)</f>
        <v>#N/A</v>
      </c>
      <c r="G5070" s="46">
        <f>'Raw data'!F4979</f>
        <v>0</v>
      </c>
      <c r="H5070" s="4">
        <f>'Raw data'!G4979</f>
        <v>0</v>
      </c>
      <c r="I5070" s="29" t="e">
        <f>VLOOKUP(G5070,제품명!$C$1:$E$114,2,0)</f>
        <v>#N/A</v>
      </c>
      <c r="J5070" s="29">
        <f>'Raw data'!K4979</f>
        <v>0</v>
      </c>
      <c r="K5070" s="31">
        <f>'Raw data'!H4979</f>
        <v>0</v>
      </c>
      <c r="L5070" s="26">
        <f t="shared" si="162"/>
        <v>0</v>
      </c>
    </row>
    <row r="5071" spans="2:12">
      <c r="B5071" s="4" t="e">
        <f t="shared" si="161"/>
        <v>#N/A</v>
      </c>
      <c r="C5071" s="4">
        <f>'Raw data'!E4647</f>
        <v>0</v>
      </c>
      <c r="D5071" s="29" t="e">
        <f>VLOOKUP(C5071,'점포코드 '!A:B,2,0)</f>
        <v>#N/A</v>
      </c>
      <c r="E5071" s="30">
        <f>'Raw data'!P4647</f>
        <v>0</v>
      </c>
      <c r="F5071" s="29" t="e">
        <f>VLOOKUP(E5071,'점포코드 '!A:B,2,0)</f>
        <v>#N/A</v>
      </c>
      <c r="G5071" s="46">
        <f>'Raw data'!F4980</f>
        <v>0</v>
      </c>
      <c r="H5071" s="4">
        <f>'Raw data'!G4980</f>
        <v>0</v>
      </c>
      <c r="I5071" s="29" t="e">
        <f>VLOOKUP(G5071,제품명!$C$1:$E$114,2,0)</f>
        <v>#N/A</v>
      </c>
      <c r="J5071" s="29">
        <f>'Raw data'!K4980</f>
        <v>0</v>
      </c>
      <c r="K5071" s="31">
        <f>'Raw data'!H4980</f>
        <v>0</v>
      </c>
      <c r="L5071" s="26">
        <f t="shared" si="162"/>
        <v>0</v>
      </c>
    </row>
    <row r="5072" spans="2:12">
      <c r="B5072" s="4" t="e">
        <f t="shared" si="161"/>
        <v>#N/A</v>
      </c>
      <c r="C5072" s="4">
        <f>'Raw data'!E4648</f>
        <v>0</v>
      </c>
      <c r="D5072" s="29" t="e">
        <f>VLOOKUP(C5072,'점포코드 '!A:B,2,0)</f>
        <v>#N/A</v>
      </c>
      <c r="E5072" s="30">
        <f>'Raw data'!P4648</f>
        <v>0</v>
      </c>
      <c r="F5072" s="29" t="e">
        <f>VLOOKUP(E5072,'점포코드 '!A:B,2,0)</f>
        <v>#N/A</v>
      </c>
      <c r="G5072" s="46">
        <f>'Raw data'!F4981</f>
        <v>0</v>
      </c>
      <c r="H5072" s="4">
        <f>'Raw data'!G4981</f>
        <v>0</v>
      </c>
      <c r="I5072" s="29" t="e">
        <f>VLOOKUP(G5072,제품명!$C$1:$E$114,2,0)</f>
        <v>#N/A</v>
      </c>
      <c r="J5072" s="29">
        <f>'Raw data'!K4981</f>
        <v>0</v>
      </c>
      <c r="K5072" s="31">
        <f>'Raw data'!H4981</f>
        <v>0</v>
      </c>
      <c r="L5072" s="26">
        <f t="shared" si="162"/>
        <v>0</v>
      </c>
    </row>
    <row r="5073" spans="2:12">
      <c r="B5073" s="4" t="e">
        <f t="shared" si="161"/>
        <v>#N/A</v>
      </c>
      <c r="C5073" s="4">
        <f>'Raw data'!E4649</f>
        <v>0</v>
      </c>
      <c r="D5073" s="29" t="e">
        <f>VLOOKUP(C5073,'점포코드 '!A:B,2,0)</f>
        <v>#N/A</v>
      </c>
      <c r="E5073" s="30">
        <f>'Raw data'!P4649</f>
        <v>0</v>
      </c>
      <c r="F5073" s="29" t="e">
        <f>VLOOKUP(E5073,'점포코드 '!A:B,2,0)</f>
        <v>#N/A</v>
      </c>
      <c r="G5073" s="46">
        <f>'Raw data'!F4982</f>
        <v>0</v>
      </c>
      <c r="H5073" s="4">
        <f>'Raw data'!G4982</f>
        <v>0</v>
      </c>
      <c r="I5073" s="29" t="e">
        <f>VLOOKUP(G5073,제품명!$C$1:$E$114,2,0)</f>
        <v>#N/A</v>
      </c>
      <c r="J5073" s="29">
        <f>'Raw data'!K4982</f>
        <v>0</v>
      </c>
      <c r="K5073" s="31">
        <f>'Raw data'!H4982</f>
        <v>0</v>
      </c>
      <c r="L5073" s="26">
        <f t="shared" si="162"/>
        <v>0</v>
      </c>
    </row>
    <row r="5074" spans="2:12">
      <c r="B5074" s="4" t="e">
        <f t="shared" si="161"/>
        <v>#N/A</v>
      </c>
      <c r="C5074" s="4">
        <f>'Raw data'!E4650</f>
        <v>0</v>
      </c>
      <c r="D5074" s="29" t="e">
        <f>VLOOKUP(C5074,'점포코드 '!A:B,2,0)</f>
        <v>#N/A</v>
      </c>
      <c r="E5074" s="30">
        <f>'Raw data'!P4650</f>
        <v>0</v>
      </c>
      <c r="F5074" s="29" t="e">
        <f>VLOOKUP(E5074,'점포코드 '!A:B,2,0)</f>
        <v>#N/A</v>
      </c>
      <c r="G5074" s="46">
        <f>'Raw data'!F4983</f>
        <v>0</v>
      </c>
      <c r="H5074" s="4">
        <f>'Raw data'!G4983</f>
        <v>0</v>
      </c>
      <c r="I5074" s="29" t="e">
        <f>VLOOKUP(G5074,제품명!$C$1:$E$114,2,0)</f>
        <v>#N/A</v>
      </c>
      <c r="J5074" s="29">
        <f>'Raw data'!K4983</f>
        <v>0</v>
      </c>
      <c r="K5074" s="31">
        <f>'Raw data'!H4983</f>
        <v>0</v>
      </c>
      <c r="L5074" s="26">
        <f t="shared" si="162"/>
        <v>0</v>
      </c>
    </row>
    <row r="5075" spans="2:12">
      <c r="B5075" s="4" t="e">
        <f t="shared" si="161"/>
        <v>#N/A</v>
      </c>
      <c r="C5075" s="4">
        <f>'Raw data'!E4651</f>
        <v>0</v>
      </c>
      <c r="D5075" s="29" t="e">
        <f>VLOOKUP(C5075,'점포코드 '!A:B,2,0)</f>
        <v>#N/A</v>
      </c>
      <c r="E5075" s="30">
        <f>'Raw data'!P4651</f>
        <v>0</v>
      </c>
      <c r="F5075" s="29" t="e">
        <f>VLOOKUP(E5075,'점포코드 '!A:B,2,0)</f>
        <v>#N/A</v>
      </c>
      <c r="G5075" s="46">
        <f>'Raw data'!F4984</f>
        <v>0</v>
      </c>
      <c r="H5075" s="4">
        <f>'Raw data'!G4984</f>
        <v>0</v>
      </c>
      <c r="I5075" s="29" t="e">
        <f>VLOOKUP(G5075,제품명!$C$1:$E$114,2,0)</f>
        <v>#N/A</v>
      </c>
      <c r="J5075" s="29">
        <f>'Raw data'!K4984</f>
        <v>0</v>
      </c>
      <c r="K5075" s="31">
        <f>'Raw data'!H4984</f>
        <v>0</v>
      </c>
      <c r="L5075" s="26">
        <f t="shared" si="162"/>
        <v>0</v>
      </c>
    </row>
    <row r="5076" spans="2:12">
      <c r="B5076" s="4" t="e">
        <f t="shared" si="161"/>
        <v>#N/A</v>
      </c>
      <c r="C5076" s="4">
        <f>'Raw data'!E4652</f>
        <v>0</v>
      </c>
      <c r="D5076" s="29" t="e">
        <f>VLOOKUP(C5076,'점포코드 '!A:B,2,0)</f>
        <v>#N/A</v>
      </c>
      <c r="E5076" s="30">
        <f>'Raw data'!P4652</f>
        <v>0</v>
      </c>
      <c r="F5076" s="29" t="e">
        <f>VLOOKUP(E5076,'점포코드 '!A:B,2,0)</f>
        <v>#N/A</v>
      </c>
      <c r="G5076" s="46">
        <f>'Raw data'!F4985</f>
        <v>0</v>
      </c>
      <c r="H5076" s="4">
        <f>'Raw data'!G4985</f>
        <v>0</v>
      </c>
      <c r="I5076" s="29" t="e">
        <f>VLOOKUP(G5076,제품명!$C$1:$E$114,2,0)</f>
        <v>#N/A</v>
      </c>
      <c r="J5076" s="29">
        <f>'Raw data'!K4985</f>
        <v>0</v>
      </c>
      <c r="K5076" s="31">
        <f>'Raw data'!H4985</f>
        <v>0</v>
      </c>
      <c r="L5076" s="26">
        <f t="shared" si="162"/>
        <v>0</v>
      </c>
    </row>
    <row r="5077" spans="2:12">
      <c r="B5077" s="4" t="e">
        <f t="shared" si="161"/>
        <v>#N/A</v>
      </c>
      <c r="C5077" s="4">
        <f>'Raw data'!E4653</f>
        <v>0</v>
      </c>
      <c r="D5077" s="29" t="e">
        <f>VLOOKUP(C5077,'점포코드 '!A:B,2,0)</f>
        <v>#N/A</v>
      </c>
      <c r="E5077" s="30">
        <f>'Raw data'!P4653</f>
        <v>0</v>
      </c>
      <c r="F5077" s="29" t="e">
        <f>VLOOKUP(E5077,'점포코드 '!A:B,2,0)</f>
        <v>#N/A</v>
      </c>
      <c r="G5077" s="46">
        <f>'Raw data'!F4986</f>
        <v>0</v>
      </c>
      <c r="H5077" s="4">
        <f>'Raw data'!G4986</f>
        <v>0</v>
      </c>
      <c r="I5077" s="29" t="e">
        <f>VLOOKUP(G5077,제품명!$C$1:$E$114,2,0)</f>
        <v>#N/A</v>
      </c>
      <c r="J5077" s="29">
        <f>'Raw data'!K4986</f>
        <v>0</v>
      </c>
      <c r="K5077" s="31">
        <f>'Raw data'!H4986</f>
        <v>0</v>
      </c>
      <c r="L5077" s="26">
        <f t="shared" si="162"/>
        <v>0</v>
      </c>
    </row>
    <row r="5078" spans="2:12">
      <c r="B5078" s="4" t="e">
        <f t="shared" si="161"/>
        <v>#N/A</v>
      </c>
      <c r="C5078" s="4">
        <f>'Raw data'!E4654</f>
        <v>0</v>
      </c>
      <c r="D5078" s="29" t="e">
        <f>VLOOKUP(C5078,'점포코드 '!A:B,2,0)</f>
        <v>#N/A</v>
      </c>
      <c r="E5078" s="30">
        <f>'Raw data'!P4654</f>
        <v>0</v>
      </c>
      <c r="F5078" s="29" t="e">
        <f>VLOOKUP(E5078,'점포코드 '!A:B,2,0)</f>
        <v>#N/A</v>
      </c>
      <c r="G5078" s="46">
        <f>'Raw data'!F4987</f>
        <v>0</v>
      </c>
      <c r="H5078" s="4">
        <f>'Raw data'!G4987</f>
        <v>0</v>
      </c>
      <c r="I5078" s="29" t="e">
        <f>VLOOKUP(G5078,제품명!$C$1:$E$114,2,0)</f>
        <v>#N/A</v>
      </c>
      <c r="J5078" s="29">
        <f>'Raw data'!K4987</f>
        <v>0</v>
      </c>
      <c r="K5078" s="31">
        <f>'Raw data'!H4987</f>
        <v>0</v>
      </c>
      <c r="L5078" s="26">
        <f t="shared" si="162"/>
        <v>0</v>
      </c>
    </row>
    <row r="5079" spans="2:12">
      <c r="B5079" s="4" t="e">
        <f t="shared" si="161"/>
        <v>#N/A</v>
      </c>
      <c r="C5079" s="4">
        <f>'Raw data'!E4655</f>
        <v>0</v>
      </c>
      <c r="D5079" s="29" t="e">
        <f>VLOOKUP(C5079,'점포코드 '!A:B,2,0)</f>
        <v>#N/A</v>
      </c>
      <c r="E5079" s="30">
        <f>'Raw data'!P4655</f>
        <v>0</v>
      </c>
      <c r="F5079" s="29" t="e">
        <f>VLOOKUP(E5079,'점포코드 '!A:B,2,0)</f>
        <v>#N/A</v>
      </c>
      <c r="G5079" s="46">
        <f>'Raw data'!F4988</f>
        <v>0</v>
      </c>
      <c r="H5079" s="4">
        <f>'Raw data'!G4988</f>
        <v>0</v>
      </c>
      <c r="I5079" s="29" t="e">
        <f>VLOOKUP(G5079,제품명!$C$1:$E$114,2,0)</f>
        <v>#N/A</v>
      </c>
      <c r="J5079" s="29">
        <f>'Raw data'!K4988</f>
        <v>0</v>
      </c>
      <c r="K5079" s="31">
        <f>'Raw data'!H4988</f>
        <v>0</v>
      </c>
      <c r="L5079" s="26">
        <f t="shared" si="162"/>
        <v>0</v>
      </c>
    </row>
    <row r="5080" spans="2:12">
      <c r="B5080" s="4" t="e">
        <f t="shared" si="161"/>
        <v>#N/A</v>
      </c>
      <c r="C5080" s="4">
        <f>'Raw data'!E4656</f>
        <v>0</v>
      </c>
      <c r="D5080" s="29" t="e">
        <f>VLOOKUP(C5080,'점포코드 '!A:B,2,0)</f>
        <v>#N/A</v>
      </c>
      <c r="E5080" s="30">
        <f>'Raw data'!P4656</f>
        <v>0</v>
      </c>
      <c r="F5080" s="29" t="e">
        <f>VLOOKUP(E5080,'점포코드 '!A:B,2,0)</f>
        <v>#N/A</v>
      </c>
      <c r="G5080" s="46">
        <f>'Raw data'!F4989</f>
        <v>0</v>
      </c>
      <c r="H5080" s="4">
        <f>'Raw data'!G4989</f>
        <v>0</v>
      </c>
      <c r="I5080" s="29" t="e">
        <f>VLOOKUP(G5080,제품명!$C$1:$E$114,2,0)</f>
        <v>#N/A</v>
      </c>
      <c r="J5080" s="29">
        <f>'Raw data'!K4989</f>
        <v>0</v>
      </c>
      <c r="K5080" s="31">
        <f>'Raw data'!H4989</f>
        <v>0</v>
      </c>
      <c r="L5080" s="26">
        <f t="shared" si="162"/>
        <v>0</v>
      </c>
    </row>
    <row r="5081" spans="2:12">
      <c r="B5081" s="4" t="e">
        <f t="shared" si="161"/>
        <v>#N/A</v>
      </c>
      <c r="C5081" s="4">
        <f>'Raw data'!E4657</f>
        <v>0</v>
      </c>
      <c r="D5081" s="29" t="e">
        <f>VLOOKUP(C5081,'점포코드 '!A:B,2,0)</f>
        <v>#N/A</v>
      </c>
      <c r="E5081" s="30">
        <f>'Raw data'!P4657</f>
        <v>0</v>
      </c>
      <c r="F5081" s="29" t="e">
        <f>VLOOKUP(E5081,'점포코드 '!A:B,2,0)</f>
        <v>#N/A</v>
      </c>
      <c r="G5081" s="46">
        <f>'Raw data'!F4990</f>
        <v>0</v>
      </c>
      <c r="H5081" s="4">
        <f>'Raw data'!G4990</f>
        <v>0</v>
      </c>
      <c r="I5081" s="29" t="e">
        <f>VLOOKUP(G5081,제품명!$C$1:$E$114,2,0)</f>
        <v>#N/A</v>
      </c>
      <c r="J5081" s="29">
        <f>'Raw data'!K4990</f>
        <v>0</v>
      </c>
      <c r="K5081" s="31">
        <f>'Raw data'!H4990</f>
        <v>0</v>
      </c>
      <c r="L5081" s="26">
        <f t="shared" si="162"/>
        <v>0</v>
      </c>
    </row>
    <row r="5082" spans="2:12">
      <c r="B5082" s="4" t="e">
        <f t="shared" si="161"/>
        <v>#N/A</v>
      </c>
      <c r="C5082" s="4">
        <f>'Raw data'!E4658</f>
        <v>0</v>
      </c>
      <c r="D5082" s="29" t="e">
        <f>VLOOKUP(C5082,'점포코드 '!A:B,2,0)</f>
        <v>#N/A</v>
      </c>
      <c r="E5082" s="30">
        <f>'Raw data'!P4658</f>
        <v>0</v>
      </c>
      <c r="F5082" s="29" t="e">
        <f>VLOOKUP(E5082,'점포코드 '!A:B,2,0)</f>
        <v>#N/A</v>
      </c>
      <c r="G5082" s="46">
        <f>'Raw data'!F4991</f>
        <v>0</v>
      </c>
      <c r="H5082" s="4">
        <f>'Raw data'!G4991</f>
        <v>0</v>
      </c>
      <c r="I5082" s="29" t="e">
        <f>VLOOKUP(G5082,제품명!$C$1:$E$114,2,0)</f>
        <v>#N/A</v>
      </c>
      <c r="J5082" s="29">
        <f>'Raw data'!K4991</f>
        <v>0</v>
      </c>
      <c r="K5082" s="31">
        <f>'Raw data'!H4991</f>
        <v>0</v>
      </c>
      <c r="L5082" s="26">
        <f t="shared" si="162"/>
        <v>0</v>
      </c>
    </row>
    <row r="5083" spans="2:12">
      <c r="B5083" s="4" t="e">
        <f t="shared" si="161"/>
        <v>#N/A</v>
      </c>
      <c r="C5083" s="4">
        <f>'Raw data'!E4659</f>
        <v>0</v>
      </c>
      <c r="D5083" s="29" t="e">
        <f>VLOOKUP(C5083,'점포코드 '!A:B,2,0)</f>
        <v>#N/A</v>
      </c>
      <c r="E5083" s="30">
        <f>'Raw data'!P4659</f>
        <v>0</v>
      </c>
      <c r="F5083" s="29" t="e">
        <f>VLOOKUP(E5083,'점포코드 '!A:B,2,0)</f>
        <v>#N/A</v>
      </c>
      <c r="G5083" s="46">
        <f>'Raw data'!F4992</f>
        <v>0</v>
      </c>
      <c r="H5083" s="4">
        <f>'Raw data'!G4992</f>
        <v>0</v>
      </c>
      <c r="I5083" s="29" t="e">
        <f>VLOOKUP(G5083,제품명!$C$1:$E$114,2,0)</f>
        <v>#N/A</v>
      </c>
      <c r="J5083" s="29">
        <f>'Raw data'!K4992</f>
        <v>0</v>
      </c>
      <c r="K5083" s="31">
        <f>'Raw data'!H4992</f>
        <v>0</v>
      </c>
      <c r="L5083" s="26">
        <f t="shared" si="162"/>
        <v>0</v>
      </c>
    </row>
    <row r="5084" spans="2:12">
      <c r="B5084" s="4" t="e">
        <f t="shared" si="161"/>
        <v>#N/A</v>
      </c>
      <c r="C5084" s="4">
        <f>'Raw data'!E4660</f>
        <v>0</v>
      </c>
      <c r="D5084" s="29" t="e">
        <f>VLOOKUP(C5084,'점포코드 '!A:B,2,0)</f>
        <v>#N/A</v>
      </c>
      <c r="E5084" s="30">
        <f>'Raw data'!P4660</f>
        <v>0</v>
      </c>
      <c r="F5084" s="29" t="e">
        <f>VLOOKUP(E5084,'점포코드 '!A:B,2,0)</f>
        <v>#N/A</v>
      </c>
      <c r="G5084" s="46">
        <f>'Raw data'!F4993</f>
        <v>0</v>
      </c>
      <c r="H5084" s="4">
        <f>'Raw data'!G4993</f>
        <v>0</v>
      </c>
      <c r="I5084" s="29" t="e">
        <f>VLOOKUP(G5084,제품명!$C$1:$E$114,2,0)</f>
        <v>#N/A</v>
      </c>
      <c r="J5084" s="29">
        <f>'Raw data'!K4993</f>
        <v>0</v>
      </c>
      <c r="K5084" s="31">
        <f>'Raw data'!H4993</f>
        <v>0</v>
      </c>
      <c r="L5084" s="26">
        <f t="shared" si="162"/>
        <v>0</v>
      </c>
    </row>
    <row r="5085" spans="2:12">
      <c r="B5085" s="4" t="e">
        <f t="shared" si="161"/>
        <v>#N/A</v>
      </c>
      <c r="C5085" s="4">
        <f>'Raw data'!E4661</f>
        <v>0</v>
      </c>
      <c r="D5085" s="29" t="e">
        <f>VLOOKUP(C5085,'점포코드 '!A:B,2,0)</f>
        <v>#N/A</v>
      </c>
      <c r="E5085" s="30">
        <f>'Raw data'!P4661</f>
        <v>0</v>
      </c>
      <c r="F5085" s="29" t="e">
        <f>VLOOKUP(E5085,'점포코드 '!A:B,2,0)</f>
        <v>#N/A</v>
      </c>
      <c r="G5085" s="46">
        <f>'Raw data'!F4994</f>
        <v>0</v>
      </c>
      <c r="H5085" s="4">
        <f>'Raw data'!G4994</f>
        <v>0</v>
      </c>
      <c r="I5085" s="29" t="e">
        <f>VLOOKUP(G5085,제품명!$C$1:$E$114,2,0)</f>
        <v>#N/A</v>
      </c>
      <c r="J5085" s="29">
        <f>'Raw data'!K4994</f>
        <v>0</v>
      </c>
      <c r="K5085" s="31">
        <f>'Raw data'!H4994</f>
        <v>0</v>
      </c>
      <c r="L5085" s="26">
        <f t="shared" si="162"/>
        <v>0</v>
      </c>
    </row>
    <row r="5086" spans="2:12">
      <c r="B5086" s="4" t="e">
        <f t="shared" si="161"/>
        <v>#N/A</v>
      </c>
      <c r="C5086" s="4">
        <f>'Raw data'!E4662</f>
        <v>0</v>
      </c>
      <c r="D5086" s="29" t="e">
        <f>VLOOKUP(C5086,'점포코드 '!A:B,2,0)</f>
        <v>#N/A</v>
      </c>
      <c r="E5086" s="30">
        <f>'Raw data'!P4662</f>
        <v>0</v>
      </c>
      <c r="F5086" s="29" t="e">
        <f>VLOOKUP(E5086,'점포코드 '!A:B,2,0)</f>
        <v>#N/A</v>
      </c>
      <c r="G5086" s="46">
        <f>'Raw data'!F4995</f>
        <v>0</v>
      </c>
      <c r="H5086" s="4">
        <f>'Raw data'!G4995</f>
        <v>0</v>
      </c>
      <c r="I5086" s="29" t="e">
        <f>VLOOKUP(G5086,제품명!$C$1:$E$114,2,0)</f>
        <v>#N/A</v>
      </c>
      <c r="J5086" s="29">
        <f>'Raw data'!K4995</f>
        <v>0</v>
      </c>
      <c r="K5086" s="31">
        <f>'Raw data'!H4995</f>
        <v>0</v>
      </c>
      <c r="L5086" s="26">
        <f t="shared" si="162"/>
        <v>0</v>
      </c>
    </row>
    <row r="5087" spans="2:12">
      <c r="B5087" s="4" t="e">
        <f t="shared" si="161"/>
        <v>#N/A</v>
      </c>
      <c r="C5087" s="4">
        <f>'Raw data'!E4663</f>
        <v>0</v>
      </c>
      <c r="D5087" s="29" t="e">
        <f>VLOOKUP(C5087,'점포코드 '!A:B,2,0)</f>
        <v>#N/A</v>
      </c>
      <c r="E5087" s="30">
        <f>'Raw data'!P4663</f>
        <v>0</v>
      </c>
      <c r="F5087" s="29" t="e">
        <f>VLOOKUP(E5087,'점포코드 '!A:B,2,0)</f>
        <v>#N/A</v>
      </c>
      <c r="G5087" s="46">
        <f>'Raw data'!F4996</f>
        <v>0</v>
      </c>
      <c r="H5087" s="4">
        <f>'Raw data'!G4996</f>
        <v>0</v>
      </c>
      <c r="I5087" s="29" t="e">
        <f>VLOOKUP(G5087,제품명!$C$1:$E$114,2,0)</f>
        <v>#N/A</v>
      </c>
      <c r="J5087" s="29">
        <f>'Raw data'!K4996</f>
        <v>0</v>
      </c>
      <c r="K5087" s="31">
        <f>'Raw data'!H4996</f>
        <v>0</v>
      </c>
      <c r="L5087" s="26">
        <f t="shared" si="162"/>
        <v>0</v>
      </c>
    </row>
    <row r="5088" spans="2:12">
      <c r="B5088" s="4" t="e">
        <f t="shared" si="161"/>
        <v>#N/A</v>
      </c>
      <c r="C5088" s="4">
        <f>'Raw data'!E4664</f>
        <v>0</v>
      </c>
      <c r="D5088" s="29" t="e">
        <f>VLOOKUP(C5088,'점포코드 '!A:B,2,0)</f>
        <v>#N/A</v>
      </c>
      <c r="E5088" s="30">
        <f>'Raw data'!P4664</f>
        <v>0</v>
      </c>
      <c r="F5088" s="29" t="e">
        <f>VLOOKUP(E5088,'점포코드 '!A:B,2,0)</f>
        <v>#N/A</v>
      </c>
      <c r="G5088" s="46">
        <f>'Raw data'!F4997</f>
        <v>0</v>
      </c>
      <c r="H5088" s="4">
        <f>'Raw data'!G4997</f>
        <v>0</v>
      </c>
      <c r="I5088" s="29" t="e">
        <f>VLOOKUP(G5088,제품명!$C$1:$E$114,2,0)</f>
        <v>#N/A</v>
      </c>
      <c r="J5088" s="29">
        <f>'Raw data'!K4997</f>
        <v>0</v>
      </c>
      <c r="K5088" s="31">
        <f>'Raw data'!H4997</f>
        <v>0</v>
      </c>
      <c r="L5088" s="26">
        <f t="shared" si="162"/>
        <v>0</v>
      </c>
    </row>
    <row r="5089" spans="2:12">
      <c r="B5089" s="4" t="e">
        <f t="shared" si="161"/>
        <v>#N/A</v>
      </c>
      <c r="C5089" s="4">
        <f>'Raw data'!E4665</f>
        <v>0</v>
      </c>
      <c r="D5089" s="29" t="e">
        <f>VLOOKUP(C5089,'점포코드 '!A:B,2,0)</f>
        <v>#N/A</v>
      </c>
      <c r="E5089" s="30">
        <f>'Raw data'!P4665</f>
        <v>0</v>
      </c>
      <c r="F5089" s="29" t="e">
        <f>VLOOKUP(E5089,'점포코드 '!A:B,2,0)</f>
        <v>#N/A</v>
      </c>
      <c r="G5089" s="46">
        <f>'Raw data'!F4998</f>
        <v>0</v>
      </c>
      <c r="H5089" s="4">
        <f>'Raw data'!G4998</f>
        <v>0</v>
      </c>
      <c r="I5089" s="29" t="e">
        <f>VLOOKUP(G5089,제품명!$C$1:$E$114,2,0)</f>
        <v>#N/A</v>
      </c>
      <c r="J5089" s="29">
        <f>'Raw data'!K4998</f>
        <v>0</v>
      </c>
      <c r="K5089" s="31">
        <f>'Raw data'!H4998</f>
        <v>0</v>
      </c>
      <c r="L5089" s="26">
        <f t="shared" si="162"/>
        <v>0</v>
      </c>
    </row>
    <row r="5090" spans="2:12">
      <c r="B5090" s="4" t="e">
        <f t="shared" si="161"/>
        <v>#N/A</v>
      </c>
      <c r="C5090" s="4">
        <f>'Raw data'!E4666</f>
        <v>0</v>
      </c>
      <c r="D5090" s="29" t="e">
        <f>VLOOKUP(C5090,'점포코드 '!A:B,2,0)</f>
        <v>#N/A</v>
      </c>
      <c r="E5090" s="30">
        <f>'Raw data'!P4666</f>
        <v>0</v>
      </c>
      <c r="F5090" s="29" t="e">
        <f>VLOOKUP(E5090,'점포코드 '!A:B,2,0)</f>
        <v>#N/A</v>
      </c>
      <c r="G5090" s="46">
        <f>'Raw data'!F4999</f>
        <v>0</v>
      </c>
      <c r="H5090" s="4">
        <f>'Raw data'!G4999</f>
        <v>0</v>
      </c>
      <c r="I5090" s="29" t="e">
        <f>VLOOKUP(G5090,제품명!$C$1:$E$114,2,0)</f>
        <v>#N/A</v>
      </c>
      <c r="J5090" s="29">
        <f>'Raw data'!K4999</f>
        <v>0</v>
      </c>
      <c r="K5090" s="31">
        <f>'Raw data'!H4999</f>
        <v>0</v>
      </c>
      <c r="L5090" s="26">
        <f t="shared" si="162"/>
        <v>0</v>
      </c>
    </row>
    <row r="5091" spans="2:12">
      <c r="B5091" s="4" t="e">
        <f t="shared" si="161"/>
        <v>#N/A</v>
      </c>
      <c r="C5091" s="4">
        <f>'Raw data'!E4667</f>
        <v>0</v>
      </c>
      <c r="D5091" s="29" t="e">
        <f>VLOOKUP(C5091,'점포코드 '!A:B,2,0)</f>
        <v>#N/A</v>
      </c>
      <c r="E5091" s="30">
        <f>'Raw data'!P4667</f>
        <v>0</v>
      </c>
      <c r="F5091" s="29" t="e">
        <f>VLOOKUP(E5091,'점포코드 '!A:B,2,0)</f>
        <v>#N/A</v>
      </c>
      <c r="G5091" s="46">
        <f>'Raw data'!F5000</f>
        <v>0</v>
      </c>
      <c r="H5091" s="4">
        <f>'Raw data'!G5000</f>
        <v>0</v>
      </c>
      <c r="I5091" s="29" t="e">
        <f>VLOOKUP(G5091,제품명!$C$1:$E$114,2,0)</f>
        <v>#N/A</v>
      </c>
      <c r="J5091" s="29">
        <f>'Raw data'!K5000</f>
        <v>0</v>
      </c>
      <c r="K5091" s="31">
        <f>'Raw data'!H5000</f>
        <v>0</v>
      </c>
      <c r="L5091" s="26">
        <f t="shared" si="162"/>
        <v>0</v>
      </c>
    </row>
    <row r="5092" spans="2:12">
      <c r="B5092" s="4" t="e">
        <f t="shared" si="161"/>
        <v>#N/A</v>
      </c>
      <c r="C5092" s="4">
        <f>'Raw data'!E4668</f>
        <v>0</v>
      </c>
      <c r="D5092" s="29" t="e">
        <f>VLOOKUP(C5092,'점포코드 '!A:B,2,0)</f>
        <v>#N/A</v>
      </c>
      <c r="E5092" s="30">
        <f>'Raw data'!P4668</f>
        <v>0</v>
      </c>
      <c r="F5092" s="29" t="e">
        <f>VLOOKUP(E5092,'점포코드 '!A:B,2,0)</f>
        <v>#N/A</v>
      </c>
      <c r="G5092" s="46">
        <f>'Raw data'!F5001</f>
        <v>0</v>
      </c>
      <c r="H5092" s="4">
        <f>'Raw data'!G5001</f>
        <v>0</v>
      </c>
      <c r="I5092" s="29" t="e">
        <f>VLOOKUP(G5092,제품명!$C$1:$E$114,2,0)</f>
        <v>#N/A</v>
      </c>
      <c r="J5092" s="29">
        <f>'Raw data'!K5001</f>
        <v>0</v>
      </c>
      <c r="K5092" s="31">
        <f>'Raw data'!H5001</f>
        <v>0</v>
      </c>
      <c r="L5092" s="26">
        <f t="shared" si="162"/>
        <v>0</v>
      </c>
    </row>
    <row r="5093" spans="2:12">
      <c r="B5093" s="4" t="e">
        <f t="shared" si="161"/>
        <v>#N/A</v>
      </c>
      <c r="C5093" s="4">
        <f>'Raw data'!E4669</f>
        <v>0</v>
      </c>
      <c r="D5093" s="29" t="e">
        <f>VLOOKUP(C5093,'점포코드 '!A:B,2,0)</f>
        <v>#N/A</v>
      </c>
      <c r="E5093" s="30">
        <f>'Raw data'!P4669</f>
        <v>0</v>
      </c>
      <c r="F5093" s="29" t="e">
        <f>VLOOKUP(E5093,'점포코드 '!A:B,2,0)</f>
        <v>#N/A</v>
      </c>
      <c r="G5093" s="46">
        <f>'Raw data'!F5002</f>
        <v>0</v>
      </c>
      <c r="H5093" s="4">
        <f>'Raw data'!G5002</f>
        <v>0</v>
      </c>
      <c r="I5093" s="29" t="e">
        <f>VLOOKUP(G5093,제품명!$C$1:$E$114,2,0)</f>
        <v>#N/A</v>
      </c>
      <c r="J5093" s="29">
        <f>'Raw data'!K5002</f>
        <v>0</v>
      </c>
      <c r="K5093" s="31">
        <f>'Raw data'!H5002</f>
        <v>0</v>
      </c>
      <c r="L5093" s="26">
        <f t="shared" si="162"/>
        <v>0</v>
      </c>
    </row>
    <row r="5094" spans="2:12">
      <c r="B5094" s="4" t="e">
        <f t="shared" si="161"/>
        <v>#N/A</v>
      </c>
      <c r="C5094" s="4">
        <f>'Raw data'!E4670</f>
        <v>0</v>
      </c>
      <c r="D5094" s="29" t="e">
        <f>VLOOKUP(C5094,'점포코드 '!A:B,2,0)</f>
        <v>#N/A</v>
      </c>
      <c r="E5094" s="30">
        <f>'Raw data'!P4670</f>
        <v>0</v>
      </c>
      <c r="F5094" s="29" t="e">
        <f>VLOOKUP(E5094,'점포코드 '!A:B,2,0)</f>
        <v>#N/A</v>
      </c>
      <c r="G5094" s="46">
        <f>'Raw data'!F5003</f>
        <v>0</v>
      </c>
      <c r="H5094" s="4">
        <f>'Raw data'!G5003</f>
        <v>0</v>
      </c>
      <c r="I5094" s="29" t="e">
        <f>VLOOKUP(G5094,제품명!$C$1:$E$114,2,0)</f>
        <v>#N/A</v>
      </c>
      <c r="J5094" s="29">
        <f>'Raw data'!K5003</f>
        <v>0</v>
      </c>
      <c r="K5094" s="31">
        <f>'Raw data'!H5003</f>
        <v>0</v>
      </c>
      <c r="L5094" s="26">
        <f t="shared" si="162"/>
        <v>0</v>
      </c>
    </row>
    <row r="5095" spans="2:12">
      <c r="B5095" s="4" t="e">
        <f t="shared" si="161"/>
        <v>#N/A</v>
      </c>
      <c r="C5095" s="4">
        <f>'Raw data'!E4671</f>
        <v>0</v>
      </c>
      <c r="D5095" s="29" t="e">
        <f>VLOOKUP(C5095,'점포코드 '!A:B,2,0)</f>
        <v>#N/A</v>
      </c>
      <c r="E5095" s="30">
        <f>'Raw data'!P4671</f>
        <v>0</v>
      </c>
      <c r="F5095" s="29" t="e">
        <f>VLOOKUP(E5095,'점포코드 '!A:B,2,0)</f>
        <v>#N/A</v>
      </c>
      <c r="G5095" s="46">
        <f>'Raw data'!F5004</f>
        <v>0</v>
      </c>
      <c r="H5095" s="4">
        <f>'Raw data'!G5004</f>
        <v>0</v>
      </c>
      <c r="I5095" s="29" t="e">
        <f>VLOOKUP(G5095,제품명!$C$1:$E$114,2,0)</f>
        <v>#N/A</v>
      </c>
      <c r="J5095" s="29">
        <f>'Raw data'!K5004</f>
        <v>0</v>
      </c>
      <c r="K5095" s="31">
        <f>'Raw data'!H5004</f>
        <v>0</v>
      </c>
      <c r="L5095" s="26">
        <f t="shared" si="162"/>
        <v>0</v>
      </c>
    </row>
    <row r="5096" spans="2:12">
      <c r="B5096" s="4" t="e">
        <f t="shared" si="161"/>
        <v>#N/A</v>
      </c>
      <c r="C5096" s="4">
        <f>'Raw data'!E4672</f>
        <v>0</v>
      </c>
      <c r="D5096" s="29" t="e">
        <f>VLOOKUP(C5096,'점포코드 '!A:B,2,0)</f>
        <v>#N/A</v>
      </c>
      <c r="E5096" s="30">
        <f>'Raw data'!P4672</f>
        <v>0</v>
      </c>
      <c r="F5096" s="29" t="e">
        <f>VLOOKUP(E5096,'점포코드 '!A:B,2,0)</f>
        <v>#N/A</v>
      </c>
      <c r="G5096" s="46">
        <f>'Raw data'!F5005</f>
        <v>0</v>
      </c>
      <c r="H5096" s="4">
        <f>'Raw data'!G5005</f>
        <v>0</v>
      </c>
      <c r="I5096" s="29" t="e">
        <f>VLOOKUP(G5096,제품명!$C$1:$E$114,2,0)</f>
        <v>#N/A</v>
      </c>
      <c r="J5096" s="29">
        <f>'Raw data'!K5005</f>
        <v>0</v>
      </c>
      <c r="K5096" s="31">
        <f>'Raw data'!H5005</f>
        <v>0</v>
      </c>
      <c r="L5096" s="26">
        <f t="shared" si="162"/>
        <v>0</v>
      </c>
    </row>
    <row r="5097" spans="2:12">
      <c r="B5097" s="4" t="e">
        <f t="shared" si="161"/>
        <v>#N/A</v>
      </c>
      <c r="C5097" s="4">
        <f>'Raw data'!E4673</f>
        <v>0</v>
      </c>
      <c r="D5097" s="29" t="e">
        <f>VLOOKUP(C5097,'점포코드 '!A:B,2,0)</f>
        <v>#N/A</v>
      </c>
      <c r="E5097" s="30">
        <f>'Raw data'!P4673</f>
        <v>0</v>
      </c>
      <c r="F5097" s="29" t="e">
        <f>VLOOKUP(E5097,'점포코드 '!A:B,2,0)</f>
        <v>#N/A</v>
      </c>
      <c r="G5097" s="46">
        <f>'Raw data'!F5006</f>
        <v>0</v>
      </c>
      <c r="H5097" s="4">
        <f>'Raw data'!G5006</f>
        <v>0</v>
      </c>
      <c r="I5097" s="29" t="e">
        <f>VLOOKUP(G5097,제품명!$C$1:$E$114,2,0)</f>
        <v>#N/A</v>
      </c>
      <c r="J5097" s="29">
        <f>'Raw data'!K5006</f>
        <v>0</v>
      </c>
      <c r="K5097" s="31">
        <f>'Raw data'!H5006</f>
        <v>0</v>
      </c>
      <c r="L5097" s="26">
        <f t="shared" si="162"/>
        <v>0</v>
      </c>
    </row>
    <row r="5098" spans="2:12">
      <c r="B5098" s="4" t="e">
        <f t="shared" si="161"/>
        <v>#N/A</v>
      </c>
      <c r="C5098" s="4">
        <f>'Raw data'!E4674</f>
        <v>0</v>
      </c>
      <c r="D5098" s="29" t="e">
        <f>VLOOKUP(C5098,'점포코드 '!A:B,2,0)</f>
        <v>#N/A</v>
      </c>
      <c r="E5098" s="30">
        <f>'Raw data'!P4674</f>
        <v>0</v>
      </c>
      <c r="F5098" s="29" t="e">
        <f>VLOOKUP(E5098,'점포코드 '!A:B,2,0)</f>
        <v>#N/A</v>
      </c>
      <c r="G5098" s="46">
        <f>'Raw data'!F5007</f>
        <v>0</v>
      </c>
      <c r="H5098" s="4">
        <f>'Raw data'!G5007</f>
        <v>0</v>
      </c>
      <c r="I5098" s="29" t="e">
        <f>VLOOKUP(G5098,제품명!$C$1:$E$114,2,0)</f>
        <v>#N/A</v>
      </c>
      <c r="J5098" s="29">
        <f>'Raw data'!K5007</f>
        <v>0</v>
      </c>
      <c r="K5098" s="31">
        <f>'Raw data'!H5007</f>
        <v>0</v>
      </c>
      <c r="L5098" s="26">
        <f t="shared" si="162"/>
        <v>0</v>
      </c>
    </row>
    <row r="5099" spans="2:12">
      <c r="B5099" s="4" t="e">
        <f t="shared" si="161"/>
        <v>#N/A</v>
      </c>
      <c r="C5099" s="4">
        <f>'Raw data'!E4675</f>
        <v>0</v>
      </c>
      <c r="D5099" s="29" t="e">
        <f>VLOOKUP(C5099,'점포코드 '!A:B,2,0)</f>
        <v>#N/A</v>
      </c>
      <c r="E5099" s="30">
        <f>'Raw data'!P4675</f>
        <v>0</v>
      </c>
      <c r="F5099" s="29" t="e">
        <f>VLOOKUP(E5099,'점포코드 '!A:B,2,0)</f>
        <v>#N/A</v>
      </c>
      <c r="G5099" s="46">
        <f>'Raw data'!F5008</f>
        <v>0</v>
      </c>
      <c r="H5099" s="4">
        <f>'Raw data'!G5008</f>
        <v>0</v>
      </c>
      <c r="I5099" s="29" t="e">
        <f>VLOOKUP(G5099,제품명!$C$1:$E$114,2,0)</f>
        <v>#N/A</v>
      </c>
      <c r="J5099" s="29">
        <f>'Raw data'!K5008</f>
        <v>0</v>
      </c>
      <c r="K5099" s="31">
        <f>'Raw data'!H5008</f>
        <v>0</v>
      </c>
      <c r="L5099" s="26">
        <f t="shared" si="162"/>
        <v>0</v>
      </c>
    </row>
    <row r="5100" spans="2:12">
      <c r="B5100" s="4" t="e">
        <f t="shared" si="161"/>
        <v>#N/A</v>
      </c>
      <c r="C5100" s="4">
        <f>'Raw data'!E4676</f>
        <v>0</v>
      </c>
      <c r="D5100" s="29" t="e">
        <f>VLOOKUP(C5100,'점포코드 '!A:B,2,0)</f>
        <v>#N/A</v>
      </c>
      <c r="E5100" s="30">
        <f>'Raw data'!P4676</f>
        <v>0</v>
      </c>
      <c r="F5100" s="29" t="e">
        <f>VLOOKUP(E5100,'점포코드 '!A:B,2,0)</f>
        <v>#N/A</v>
      </c>
      <c r="G5100" s="46">
        <f>'Raw data'!F5009</f>
        <v>0</v>
      </c>
      <c r="H5100" s="4">
        <f>'Raw data'!G5009</f>
        <v>0</v>
      </c>
      <c r="I5100" s="29" t="e">
        <f>VLOOKUP(G5100,제품명!$C$1:$E$114,2,0)</f>
        <v>#N/A</v>
      </c>
      <c r="J5100" s="29">
        <f>'Raw data'!K5009</f>
        <v>0</v>
      </c>
      <c r="K5100" s="31">
        <f>'Raw data'!H5009</f>
        <v>0</v>
      </c>
      <c r="L5100" s="26">
        <f t="shared" si="162"/>
        <v>0</v>
      </c>
    </row>
    <row r="5101" spans="2:12">
      <c r="B5101" s="4" t="e">
        <f t="shared" si="161"/>
        <v>#N/A</v>
      </c>
      <c r="C5101" s="4">
        <f>'Raw data'!E4677</f>
        <v>0</v>
      </c>
      <c r="D5101" s="29" t="e">
        <f>VLOOKUP(C5101,'점포코드 '!A:B,2,0)</f>
        <v>#N/A</v>
      </c>
      <c r="E5101" s="30">
        <f>'Raw data'!P4677</f>
        <v>0</v>
      </c>
      <c r="F5101" s="29" t="e">
        <f>VLOOKUP(E5101,'점포코드 '!A:B,2,0)</f>
        <v>#N/A</v>
      </c>
      <c r="G5101" s="46">
        <f>'Raw data'!F5010</f>
        <v>0</v>
      </c>
      <c r="H5101" s="4">
        <f>'Raw data'!G5010</f>
        <v>0</v>
      </c>
      <c r="I5101" s="29" t="e">
        <f>VLOOKUP(G5101,제품명!$C$1:$E$114,2,0)</f>
        <v>#N/A</v>
      </c>
      <c r="J5101" s="29">
        <f>'Raw data'!K5010</f>
        <v>0</v>
      </c>
      <c r="K5101" s="31">
        <f>'Raw data'!H5010</f>
        <v>0</v>
      </c>
      <c r="L5101" s="26">
        <f t="shared" si="162"/>
        <v>0</v>
      </c>
    </row>
    <row r="5102" spans="2:12">
      <c r="B5102" s="4" t="e">
        <f t="shared" si="161"/>
        <v>#N/A</v>
      </c>
      <c r="C5102" s="4">
        <f>'Raw data'!E4678</f>
        <v>0</v>
      </c>
      <c r="D5102" s="29" t="e">
        <f>VLOOKUP(C5102,'점포코드 '!A:B,2,0)</f>
        <v>#N/A</v>
      </c>
      <c r="E5102" s="30">
        <f>'Raw data'!P4678</f>
        <v>0</v>
      </c>
      <c r="F5102" s="29" t="e">
        <f>VLOOKUP(E5102,'점포코드 '!A:B,2,0)</f>
        <v>#N/A</v>
      </c>
      <c r="G5102" s="46">
        <f>'Raw data'!F5011</f>
        <v>0</v>
      </c>
      <c r="H5102" s="4">
        <f>'Raw data'!G5011</f>
        <v>0</v>
      </c>
      <c r="I5102" s="29" t="e">
        <f>VLOOKUP(G5102,제품명!$C$1:$E$114,2,0)</f>
        <v>#N/A</v>
      </c>
      <c r="J5102" s="29">
        <f>'Raw data'!K5011</f>
        <v>0</v>
      </c>
      <c r="K5102" s="31">
        <f>'Raw data'!H5011</f>
        <v>0</v>
      </c>
      <c r="L5102" s="26">
        <f t="shared" si="162"/>
        <v>0</v>
      </c>
    </row>
    <row r="5103" spans="2:12">
      <c r="B5103" s="4" t="e">
        <f t="shared" si="161"/>
        <v>#N/A</v>
      </c>
      <c r="C5103" s="4">
        <f>'Raw data'!E4679</f>
        <v>0</v>
      </c>
      <c r="D5103" s="29" t="e">
        <f>VLOOKUP(C5103,'점포코드 '!A:B,2,0)</f>
        <v>#N/A</v>
      </c>
      <c r="E5103" s="30">
        <f>'Raw data'!P4679</f>
        <v>0</v>
      </c>
      <c r="F5103" s="29" t="e">
        <f>VLOOKUP(E5103,'점포코드 '!A:B,2,0)</f>
        <v>#N/A</v>
      </c>
      <c r="G5103" s="46">
        <f>'Raw data'!F5012</f>
        <v>0</v>
      </c>
      <c r="H5103" s="4">
        <f>'Raw data'!G5012</f>
        <v>0</v>
      </c>
      <c r="I5103" s="29" t="e">
        <f>VLOOKUP(G5103,제품명!$C$1:$E$114,2,0)</f>
        <v>#N/A</v>
      </c>
      <c r="J5103" s="29">
        <f>'Raw data'!K5012</f>
        <v>0</v>
      </c>
      <c r="K5103" s="31">
        <f>'Raw data'!H5012</f>
        <v>0</v>
      </c>
      <c r="L5103" s="26">
        <f t="shared" si="162"/>
        <v>0</v>
      </c>
    </row>
    <row r="5104" spans="2:12">
      <c r="B5104" s="4" t="e">
        <f t="shared" si="161"/>
        <v>#N/A</v>
      </c>
      <c r="C5104" s="4">
        <f>'Raw data'!E4680</f>
        <v>0</v>
      </c>
      <c r="D5104" s="29" t="e">
        <f>VLOOKUP(C5104,'점포코드 '!A:B,2,0)</f>
        <v>#N/A</v>
      </c>
      <c r="E5104" s="30">
        <f>'Raw data'!P4680</f>
        <v>0</v>
      </c>
      <c r="F5104" s="29" t="e">
        <f>VLOOKUP(E5104,'점포코드 '!A:B,2,0)</f>
        <v>#N/A</v>
      </c>
      <c r="G5104" s="46">
        <f>'Raw data'!F5013</f>
        <v>0</v>
      </c>
      <c r="H5104" s="4">
        <f>'Raw data'!G5013</f>
        <v>0</v>
      </c>
      <c r="I5104" s="29" t="e">
        <f>VLOOKUP(G5104,제품명!$C$1:$E$114,2,0)</f>
        <v>#N/A</v>
      </c>
      <c r="J5104" s="29">
        <f>'Raw data'!K5013</f>
        <v>0</v>
      </c>
      <c r="K5104" s="31">
        <f>'Raw data'!H5013</f>
        <v>0</v>
      </c>
      <c r="L5104" s="26">
        <f t="shared" si="162"/>
        <v>0</v>
      </c>
    </row>
    <row r="5105" spans="2:12">
      <c r="B5105" s="4" t="e">
        <f t="shared" si="161"/>
        <v>#N/A</v>
      </c>
      <c r="C5105" s="4">
        <f>'Raw data'!E4681</f>
        <v>0</v>
      </c>
      <c r="D5105" s="29" t="e">
        <f>VLOOKUP(C5105,'점포코드 '!A:B,2,0)</f>
        <v>#N/A</v>
      </c>
      <c r="E5105" s="30">
        <f>'Raw data'!P4681</f>
        <v>0</v>
      </c>
      <c r="F5105" s="29" t="e">
        <f>VLOOKUP(E5105,'점포코드 '!A:B,2,0)</f>
        <v>#N/A</v>
      </c>
      <c r="G5105" s="46">
        <f>'Raw data'!F5014</f>
        <v>0</v>
      </c>
      <c r="H5105" s="4">
        <f>'Raw data'!G5014</f>
        <v>0</v>
      </c>
      <c r="I5105" s="29" t="e">
        <f>VLOOKUP(G5105,제품명!$C$1:$E$114,2,0)</f>
        <v>#N/A</v>
      </c>
      <c r="J5105" s="29">
        <f>'Raw data'!K5014</f>
        <v>0</v>
      </c>
      <c r="K5105" s="31">
        <f>'Raw data'!H5014</f>
        <v>0</v>
      </c>
      <c r="L5105" s="26">
        <f t="shared" si="162"/>
        <v>0</v>
      </c>
    </row>
    <row r="5106" spans="2:12">
      <c r="B5106" s="4" t="e">
        <f t="shared" si="161"/>
        <v>#N/A</v>
      </c>
      <c r="C5106" s="4">
        <f>'Raw data'!E4682</f>
        <v>0</v>
      </c>
      <c r="D5106" s="29" t="e">
        <f>VLOOKUP(C5106,'점포코드 '!A:B,2,0)</f>
        <v>#N/A</v>
      </c>
      <c r="E5106" s="30">
        <f>'Raw data'!P4682</f>
        <v>0</v>
      </c>
      <c r="F5106" s="29" t="e">
        <f>VLOOKUP(E5106,'점포코드 '!A:B,2,0)</f>
        <v>#N/A</v>
      </c>
      <c r="G5106" s="46">
        <f>'Raw data'!F5015</f>
        <v>0</v>
      </c>
      <c r="H5106" s="4">
        <f>'Raw data'!G5015</f>
        <v>0</v>
      </c>
      <c r="I5106" s="29" t="e">
        <f>VLOOKUP(G5106,제품명!$C$1:$E$114,2,0)</f>
        <v>#N/A</v>
      </c>
      <c r="J5106" s="29">
        <f>'Raw data'!K5015</f>
        <v>0</v>
      </c>
      <c r="K5106" s="31">
        <f>'Raw data'!H5015</f>
        <v>0</v>
      </c>
      <c r="L5106" s="26">
        <f t="shared" si="162"/>
        <v>0</v>
      </c>
    </row>
    <row r="5107" spans="2:12">
      <c r="B5107" s="4" t="e">
        <f t="shared" si="161"/>
        <v>#N/A</v>
      </c>
      <c r="C5107" s="4">
        <f>'Raw data'!E4683</f>
        <v>0</v>
      </c>
      <c r="D5107" s="29" t="e">
        <f>VLOOKUP(C5107,'점포코드 '!A:B,2,0)</f>
        <v>#N/A</v>
      </c>
      <c r="E5107" s="30">
        <f>'Raw data'!P4683</f>
        <v>0</v>
      </c>
      <c r="F5107" s="29" t="e">
        <f>VLOOKUP(E5107,'점포코드 '!A:B,2,0)</f>
        <v>#N/A</v>
      </c>
      <c r="G5107" s="46">
        <f>'Raw data'!F5016</f>
        <v>0</v>
      </c>
      <c r="H5107" s="4">
        <f>'Raw data'!G5016</f>
        <v>0</v>
      </c>
      <c r="I5107" s="29" t="e">
        <f>VLOOKUP(G5107,제품명!$C$1:$E$114,2,0)</f>
        <v>#N/A</v>
      </c>
      <c r="J5107" s="29">
        <f>'Raw data'!K5016</f>
        <v>0</v>
      </c>
      <c r="K5107" s="31">
        <f>'Raw data'!H5016</f>
        <v>0</v>
      </c>
      <c r="L5107" s="26">
        <f t="shared" si="162"/>
        <v>0</v>
      </c>
    </row>
    <row r="5108" spans="2:12">
      <c r="B5108" s="4" t="e">
        <f t="shared" si="161"/>
        <v>#N/A</v>
      </c>
      <c r="C5108" s="4">
        <f>'Raw data'!E4684</f>
        <v>0</v>
      </c>
      <c r="D5108" s="29" t="e">
        <f>VLOOKUP(C5108,'점포코드 '!A:B,2,0)</f>
        <v>#N/A</v>
      </c>
      <c r="E5108" s="30">
        <f>'Raw data'!P4684</f>
        <v>0</v>
      </c>
      <c r="F5108" s="29" t="e">
        <f>VLOOKUP(E5108,'점포코드 '!A:B,2,0)</f>
        <v>#N/A</v>
      </c>
      <c r="G5108" s="46">
        <f>'Raw data'!F5017</f>
        <v>0</v>
      </c>
      <c r="H5108" s="4">
        <f>'Raw data'!G5017</f>
        <v>0</v>
      </c>
      <c r="I5108" s="29" t="e">
        <f>VLOOKUP(G5108,제품명!$C$1:$E$114,2,0)</f>
        <v>#N/A</v>
      </c>
      <c r="J5108" s="29">
        <f>'Raw data'!K5017</f>
        <v>0</v>
      </c>
      <c r="K5108" s="31">
        <f>'Raw data'!H5017</f>
        <v>0</v>
      </c>
      <c r="L5108" s="26">
        <f t="shared" si="162"/>
        <v>0</v>
      </c>
    </row>
    <row r="5109" spans="2:12">
      <c r="B5109" s="4" t="e">
        <f t="shared" si="161"/>
        <v>#N/A</v>
      </c>
      <c r="C5109" s="4">
        <f>'Raw data'!E4685</f>
        <v>0</v>
      </c>
      <c r="D5109" s="29" t="e">
        <f>VLOOKUP(C5109,'점포코드 '!A:B,2,0)</f>
        <v>#N/A</v>
      </c>
      <c r="E5109" s="30">
        <f>'Raw data'!P4685</f>
        <v>0</v>
      </c>
      <c r="F5109" s="29" t="e">
        <f>VLOOKUP(E5109,'점포코드 '!A:B,2,0)</f>
        <v>#N/A</v>
      </c>
      <c r="G5109" s="46">
        <f>'Raw data'!F5018</f>
        <v>0</v>
      </c>
      <c r="H5109" s="4">
        <f>'Raw data'!G5018</f>
        <v>0</v>
      </c>
      <c r="I5109" s="29" t="e">
        <f>VLOOKUP(G5109,제품명!$C$1:$E$114,2,0)</f>
        <v>#N/A</v>
      </c>
      <c r="J5109" s="29">
        <f>'Raw data'!K5018</f>
        <v>0</v>
      </c>
      <c r="K5109" s="31">
        <f>'Raw data'!H5018</f>
        <v>0</v>
      </c>
      <c r="L5109" s="26">
        <f t="shared" si="162"/>
        <v>0</v>
      </c>
    </row>
    <row r="5110" spans="2:12">
      <c r="B5110" s="4" t="e">
        <f t="shared" si="161"/>
        <v>#N/A</v>
      </c>
      <c r="C5110" s="4">
        <f>'Raw data'!E4686</f>
        <v>0</v>
      </c>
      <c r="D5110" s="29" t="e">
        <f>VLOOKUP(C5110,'점포코드 '!A:B,2,0)</f>
        <v>#N/A</v>
      </c>
      <c r="E5110" s="30">
        <f>'Raw data'!P4686</f>
        <v>0</v>
      </c>
      <c r="F5110" s="29" t="e">
        <f>VLOOKUP(E5110,'점포코드 '!A:B,2,0)</f>
        <v>#N/A</v>
      </c>
      <c r="G5110" s="46">
        <f>'Raw data'!F5019</f>
        <v>0</v>
      </c>
      <c r="H5110" s="4">
        <f>'Raw data'!G5019</f>
        <v>0</v>
      </c>
      <c r="I5110" s="29" t="e">
        <f>VLOOKUP(G5110,제품명!$C$1:$E$114,2,0)</f>
        <v>#N/A</v>
      </c>
      <c r="J5110" s="29">
        <f>'Raw data'!K5019</f>
        <v>0</v>
      </c>
      <c r="K5110" s="31">
        <f>'Raw data'!H5019</f>
        <v>0</v>
      </c>
      <c r="L5110" s="26">
        <f t="shared" si="162"/>
        <v>0</v>
      </c>
    </row>
    <row r="5111" spans="2:12">
      <c r="B5111" s="4" t="e">
        <f t="shared" si="161"/>
        <v>#N/A</v>
      </c>
      <c r="C5111" s="4">
        <f>'Raw data'!E4687</f>
        <v>0</v>
      </c>
      <c r="D5111" s="29" t="e">
        <f>VLOOKUP(C5111,'점포코드 '!A:B,2,0)</f>
        <v>#N/A</v>
      </c>
      <c r="E5111" s="30">
        <f>'Raw data'!P4687</f>
        <v>0</v>
      </c>
      <c r="F5111" s="29" t="e">
        <f>VLOOKUP(E5111,'점포코드 '!A:B,2,0)</f>
        <v>#N/A</v>
      </c>
      <c r="G5111" s="46">
        <f>'Raw data'!F5020</f>
        <v>0</v>
      </c>
      <c r="H5111" s="4">
        <f>'Raw data'!G5020</f>
        <v>0</v>
      </c>
      <c r="I5111" s="29" t="e">
        <f>VLOOKUP(G5111,제품명!$C$1:$E$114,2,0)</f>
        <v>#N/A</v>
      </c>
      <c r="J5111" s="29">
        <f>'Raw data'!K5020</f>
        <v>0</v>
      </c>
      <c r="K5111" s="31">
        <f>'Raw data'!H5020</f>
        <v>0</v>
      </c>
      <c r="L5111" s="26">
        <f t="shared" si="162"/>
        <v>0</v>
      </c>
    </row>
    <row r="5112" spans="2:12">
      <c r="B5112" s="4" t="e">
        <f t="shared" si="161"/>
        <v>#N/A</v>
      </c>
      <c r="C5112" s="4">
        <f>'Raw data'!E4688</f>
        <v>0</v>
      </c>
      <c r="D5112" s="29" t="e">
        <f>VLOOKUP(C5112,'점포코드 '!A:B,2,0)</f>
        <v>#N/A</v>
      </c>
      <c r="E5112" s="30">
        <f>'Raw data'!P4688</f>
        <v>0</v>
      </c>
      <c r="F5112" s="29" t="e">
        <f>VLOOKUP(E5112,'점포코드 '!A:B,2,0)</f>
        <v>#N/A</v>
      </c>
      <c r="G5112" s="46">
        <f>'Raw data'!F5021</f>
        <v>0</v>
      </c>
      <c r="H5112" s="4">
        <f>'Raw data'!G5021</f>
        <v>0</v>
      </c>
      <c r="I5112" s="29" t="e">
        <f>VLOOKUP(G5112,제품명!$C$1:$E$114,2,0)</f>
        <v>#N/A</v>
      </c>
      <c r="J5112" s="29">
        <f>'Raw data'!K5021</f>
        <v>0</v>
      </c>
      <c r="K5112" s="31">
        <f>'Raw data'!H5021</f>
        <v>0</v>
      </c>
      <c r="L5112" s="26">
        <f t="shared" si="162"/>
        <v>0</v>
      </c>
    </row>
    <row r="5113" spans="2:12">
      <c r="B5113" s="4" t="e">
        <f t="shared" si="161"/>
        <v>#N/A</v>
      </c>
      <c r="C5113" s="4">
        <f>'Raw data'!E4689</f>
        <v>0</v>
      </c>
      <c r="D5113" s="29" t="e">
        <f>VLOOKUP(C5113,'점포코드 '!A:B,2,0)</f>
        <v>#N/A</v>
      </c>
      <c r="E5113" s="30">
        <f>'Raw data'!P4689</f>
        <v>0</v>
      </c>
      <c r="F5113" s="29" t="e">
        <f>VLOOKUP(E5113,'점포코드 '!A:B,2,0)</f>
        <v>#N/A</v>
      </c>
      <c r="G5113" s="46">
        <f>'Raw data'!F5022</f>
        <v>0</v>
      </c>
      <c r="H5113" s="4">
        <f>'Raw data'!G5022</f>
        <v>0</v>
      </c>
      <c r="I5113" s="29" t="e">
        <f>VLOOKUP(G5113,제품명!$C$1:$E$114,2,0)</f>
        <v>#N/A</v>
      </c>
      <c r="J5113" s="29">
        <f>'Raw data'!K5022</f>
        <v>0</v>
      </c>
      <c r="K5113" s="31">
        <f>'Raw data'!H5022</f>
        <v>0</v>
      </c>
      <c r="L5113" s="26">
        <f t="shared" si="162"/>
        <v>0</v>
      </c>
    </row>
    <row r="5114" spans="2:12">
      <c r="B5114" s="4" t="e">
        <f t="shared" si="161"/>
        <v>#N/A</v>
      </c>
      <c r="C5114" s="4">
        <f>'Raw data'!E4690</f>
        <v>0</v>
      </c>
      <c r="D5114" s="29" t="e">
        <f>VLOOKUP(C5114,'점포코드 '!A:B,2,0)</f>
        <v>#N/A</v>
      </c>
      <c r="E5114" s="30">
        <f>'Raw data'!P4690</f>
        <v>0</v>
      </c>
      <c r="F5114" s="29" t="e">
        <f>VLOOKUP(E5114,'점포코드 '!A:B,2,0)</f>
        <v>#N/A</v>
      </c>
      <c r="G5114" s="46">
        <f>'Raw data'!F5023</f>
        <v>0</v>
      </c>
      <c r="H5114" s="4">
        <f>'Raw data'!G5023</f>
        <v>0</v>
      </c>
      <c r="I5114" s="29" t="e">
        <f>VLOOKUP(G5114,제품명!$C$1:$E$114,2,0)</f>
        <v>#N/A</v>
      </c>
      <c r="J5114" s="29">
        <f>'Raw data'!K5023</f>
        <v>0</v>
      </c>
      <c r="K5114" s="31">
        <f>'Raw data'!H5023</f>
        <v>0</v>
      </c>
      <c r="L5114" s="26">
        <f t="shared" si="162"/>
        <v>0</v>
      </c>
    </row>
    <row r="5115" spans="2:12">
      <c r="B5115" s="4" t="e">
        <f t="shared" si="161"/>
        <v>#N/A</v>
      </c>
      <c r="C5115" s="4">
        <f>'Raw data'!E4691</f>
        <v>0</v>
      </c>
      <c r="D5115" s="29" t="e">
        <f>VLOOKUP(C5115,'점포코드 '!A:B,2,0)</f>
        <v>#N/A</v>
      </c>
      <c r="E5115" s="30">
        <f>'Raw data'!P4691</f>
        <v>0</v>
      </c>
      <c r="F5115" s="29" t="e">
        <f>VLOOKUP(E5115,'점포코드 '!A:B,2,0)</f>
        <v>#N/A</v>
      </c>
      <c r="G5115" s="46">
        <f>'Raw data'!F5024</f>
        <v>0</v>
      </c>
      <c r="H5115" s="4">
        <f>'Raw data'!G5024</f>
        <v>0</v>
      </c>
      <c r="I5115" s="29" t="e">
        <f>VLOOKUP(G5115,제품명!$C$1:$E$114,2,0)</f>
        <v>#N/A</v>
      </c>
      <c r="J5115" s="29">
        <f>'Raw data'!K5024</f>
        <v>0</v>
      </c>
      <c r="K5115" s="31">
        <f>'Raw data'!H5024</f>
        <v>0</v>
      </c>
      <c r="L5115" s="26">
        <f t="shared" si="162"/>
        <v>0</v>
      </c>
    </row>
    <row r="5116" spans="2:12">
      <c r="B5116" s="4" t="e">
        <f t="shared" si="161"/>
        <v>#N/A</v>
      </c>
      <c r="C5116" s="4">
        <f>'Raw data'!E4692</f>
        <v>0</v>
      </c>
      <c r="D5116" s="29" t="e">
        <f>VLOOKUP(C5116,'점포코드 '!A:B,2,0)</f>
        <v>#N/A</v>
      </c>
      <c r="E5116" s="30">
        <f>'Raw data'!P4692</f>
        <v>0</v>
      </c>
      <c r="F5116" s="29" t="e">
        <f>VLOOKUP(E5116,'점포코드 '!A:B,2,0)</f>
        <v>#N/A</v>
      </c>
      <c r="G5116" s="46">
        <f>'Raw data'!F5025</f>
        <v>0</v>
      </c>
      <c r="H5116" s="4">
        <f>'Raw data'!G5025</f>
        <v>0</v>
      </c>
      <c r="I5116" s="29" t="e">
        <f>VLOOKUP(G5116,제품명!$C$1:$E$114,2,0)</f>
        <v>#N/A</v>
      </c>
      <c r="J5116" s="29">
        <f>'Raw data'!K5025</f>
        <v>0</v>
      </c>
      <c r="K5116" s="31">
        <f>'Raw data'!H5025</f>
        <v>0</v>
      </c>
      <c r="L5116" s="26">
        <f t="shared" si="162"/>
        <v>0</v>
      </c>
    </row>
    <row r="5117" spans="2:12">
      <c r="B5117" s="4" t="e">
        <f t="shared" si="161"/>
        <v>#N/A</v>
      </c>
      <c r="C5117" s="4">
        <f>'Raw data'!E4693</f>
        <v>0</v>
      </c>
      <c r="D5117" s="29" t="e">
        <f>VLOOKUP(C5117,'점포코드 '!A:B,2,0)</f>
        <v>#N/A</v>
      </c>
      <c r="E5117" s="30">
        <f>'Raw data'!P4693</f>
        <v>0</v>
      </c>
      <c r="F5117" s="29" t="e">
        <f>VLOOKUP(E5117,'점포코드 '!A:B,2,0)</f>
        <v>#N/A</v>
      </c>
      <c r="G5117" s="46">
        <f>'Raw data'!F5026</f>
        <v>0</v>
      </c>
      <c r="H5117" s="4">
        <f>'Raw data'!G5026</f>
        <v>0</v>
      </c>
      <c r="I5117" s="29" t="e">
        <f>VLOOKUP(G5117,제품명!$C$1:$E$114,2,0)</f>
        <v>#N/A</v>
      </c>
      <c r="J5117" s="29">
        <f>'Raw data'!K5026</f>
        <v>0</v>
      </c>
      <c r="K5117" s="31">
        <f>'Raw data'!H5026</f>
        <v>0</v>
      </c>
      <c r="L5117" s="26">
        <f t="shared" si="162"/>
        <v>0</v>
      </c>
    </row>
    <row r="5118" spans="2:12">
      <c r="B5118" s="4" t="e">
        <f t="shared" si="161"/>
        <v>#N/A</v>
      </c>
      <c r="C5118" s="4">
        <f>'Raw data'!E4694</f>
        <v>0</v>
      </c>
      <c r="D5118" s="29" t="e">
        <f>VLOOKUP(C5118,'점포코드 '!A:B,2,0)</f>
        <v>#N/A</v>
      </c>
      <c r="E5118" s="30">
        <f>'Raw data'!P4694</f>
        <v>0</v>
      </c>
      <c r="F5118" s="29" t="e">
        <f>VLOOKUP(E5118,'점포코드 '!A:B,2,0)</f>
        <v>#N/A</v>
      </c>
      <c r="G5118" s="46">
        <f>'Raw data'!F5027</f>
        <v>0</v>
      </c>
      <c r="H5118" s="4">
        <f>'Raw data'!G5027</f>
        <v>0</v>
      </c>
      <c r="I5118" s="29" t="e">
        <f>VLOOKUP(G5118,제품명!$C$1:$E$114,2,0)</f>
        <v>#N/A</v>
      </c>
      <c r="J5118" s="29">
        <f>'Raw data'!K5027</f>
        <v>0</v>
      </c>
      <c r="K5118" s="31">
        <f>'Raw data'!H5027</f>
        <v>0</v>
      </c>
      <c r="L5118" s="26">
        <f t="shared" si="162"/>
        <v>0</v>
      </c>
    </row>
    <row r="5119" spans="2:12">
      <c r="B5119" s="4" t="e">
        <f t="shared" si="161"/>
        <v>#N/A</v>
      </c>
      <c r="C5119" s="4">
        <f>'Raw data'!E4695</f>
        <v>0</v>
      </c>
      <c r="D5119" s="29" t="e">
        <f>VLOOKUP(C5119,'점포코드 '!A:B,2,0)</f>
        <v>#N/A</v>
      </c>
      <c r="E5119" s="30">
        <f>'Raw data'!P4695</f>
        <v>0</v>
      </c>
      <c r="F5119" s="29" t="e">
        <f>VLOOKUP(E5119,'점포코드 '!A:B,2,0)</f>
        <v>#N/A</v>
      </c>
      <c r="G5119" s="46">
        <f>'Raw data'!F5028</f>
        <v>0</v>
      </c>
      <c r="H5119" s="4">
        <f>'Raw data'!G5028</f>
        <v>0</v>
      </c>
      <c r="I5119" s="29" t="e">
        <f>VLOOKUP(G5119,제품명!$C$1:$E$114,2,0)</f>
        <v>#N/A</v>
      </c>
      <c r="J5119" s="29">
        <f>'Raw data'!K5028</f>
        <v>0</v>
      </c>
      <c r="K5119" s="31">
        <f>'Raw data'!H5028</f>
        <v>0</v>
      </c>
      <c r="L5119" s="26">
        <f t="shared" si="162"/>
        <v>0</v>
      </c>
    </row>
    <row r="5120" spans="2:12">
      <c r="B5120" s="4" t="e">
        <f t="shared" si="161"/>
        <v>#N/A</v>
      </c>
      <c r="C5120" s="4">
        <f>'Raw data'!E4696</f>
        <v>0</v>
      </c>
      <c r="D5120" s="29" t="e">
        <f>VLOOKUP(C5120,'점포코드 '!A:B,2,0)</f>
        <v>#N/A</v>
      </c>
      <c r="E5120" s="30">
        <f>'Raw data'!P4696</f>
        <v>0</v>
      </c>
      <c r="F5120" s="29" t="e">
        <f>VLOOKUP(E5120,'점포코드 '!A:B,2,0)</f>
        <v>#N/A</v>
      </c>
      <c r="G5120" s="46">
        <f>'Raw data'!F5029</f>
        <v>0</v>
      </c>
      <c r="H5120" s="4">
        <f>'Raw data'!G5029</f>
        <v>0</v>
      </c>
      <c r="I5120" s="29" t="e">
        <f>VLOOKUP(G5120,제품명!$C$1:$E$114,2,0)</f>
        <v>#N/A</v>
      </c>
      <c r="J5120" s="29">
        <f>'Raw data'!K5029</f>
        <v>0</v>
      </c>
      <c r="K5120" s="31">
        <f>'Raw data'!H5029</f>
        <v>0</v>
      </c>
      <c r="L5120" s="26">
        <f t="shared" si="162"/>
        <v>0</v>
      </c>
    </row>
    <row r="5121" spans="2:12">
      <c r="B5121" s="4" t="e">
        <f t="shared" si="161"/>
        <v>#N/A</v>
      </c>
      <c r="C5121" s="4">
        <f>'Raw data'!E4697</f>
        <v>0</v>
      </c>
      <c r="D5121" s="29" t="e">
        <f>VLOOKUP(C5121,'점포코드 '!A:B,2,0)</f>
        <v>#N/A</v>
      </c>
      <c r="E5121" s="30">
        <f>'Raw data'!P4697</f>
        <v>0</v>
      </c>
      <c r="F5121" s="29" t="e">
        <f>VLOOKUP(E5121,'점포코드 '!A:B,2,0)</f>
        <v>#N/A</v>
      </c>
      <c r="G5121" s="46">
        <f>'Raw data'!F5030</f>
        <v>0</v>
      </c>
      <c r="H5121" s="4">
        <f>'Raw data'!G5030</f>
        <v>0</v>
      </c>
      <c r="I5121" s="29" t="e">
        <f>VLOOKUP(G5121,제품명!$C$1:$E$114,2,0)</f>
        <v>#N/A</v>
      </c>
      <c r="J5121" s="29">
        <f>'Raw data'!K5030</f>
        <v>0</v>
      </c>
      <c r="K5121" s="31">
        <f>'Raw data'!H5030</f>
        <v>0</v>
      </c>
      <c r="L5121" s="26">
        <f t="shared" si="162"/>
        <v>0</v>
      </c>
    </row>
    <row r="5122" spans="2:12">
      <c r="B5122" s="4" t="e">
        <f t="shared" ref="B5122:B5185" si="163">F5122&amp;I5122</f>
        <v>#N/A</v>
      </c>
      <c r="C5122" s="4">
        <f>'Raw data'!E4698</f>
        <v>0</v>
      </c>
      <c r="D5122" s="29" t="e">
        <f>VLOOKUP(C5122,'점포코드 '!A:B,2,0)</f>
        <v>#N/A</v>
      </c>
      <c r="E5122" s="30">
        <f>'Raw data'!P4698</f>
        <v>0</v>
      </c>
      <c r="F5122" s="29" t="e">
        <f>VLOOKUP(E5122,'점포코드 '!A:B,2,0)</f>
        <v>#N/A</v>
      </c>
      <c r="G5122" s="46">
        <f>'Raw data'!F5031</f>
        <v>0</v>
      </c>
      <c r="H5122" s="4">
        <f>'Raw data'!G5031</f>
        <v>0</v>
      </c>
      <c r="I5122" s="29" t="e">
        <f>VLOOKUP(G5122,제품명!$C$1:$E$114,2,0)</f>
        <v>#N/A</v>
      </c>
      <c r="J5122" s="29">
        <f>'Raw data'!K5031</f>
        <v>0</v>
      </c>
      <c r="K5122" s="31">
        <f>'Raw data'!H5031</f>
        <v>0</v>
      </c>
      <c r="L5122" s="26">
        <f t="shared" si="162"/>
        <v>0</v>
      </c>
    </row>
    <row r="5123" spans="2:12">
      <c r="B5123" s="4" t="e">
        <f t="shared" si="163"/>
        <v>#N/A</v>
      </c>
      <c r="C5123" s="4">
        <f>'Raw data'!E4699</f>
        <v>0</v>
      </c>
      <c r="D5123" s="29" t="e">
        <f>VLOOKUP(C5123,'점포코드 '!A:B,2,0)</f>
        <v>#N/A</v>
      </c>
      <c r="E5123" s="30">
        <f>'Raw data'!P4699</f>
        <v>0</v>
      </c>
      <c r="F5123" s="29" t="e">
        <f>VLOOKUP(E5123,'점포코드 '!A:B,2,0)</f>
        <v>#N/A</v>
      </c>
      <c r="G5123" s="46">
        <f>'Raw data'!F5032</f>
        <v>0</v>
      </c>
      <c r="H5123" s="4">
        <f>'Raw data'!G5032</f>
        <v>0</v>
      </c>
      <c r="I5123" s="29" t="e">
        <f>VLOOKUP(G5123,제품명!$C$1:$E$114,2,0)</f>
        <v>#N/A</v>
      </c>
      <c r="J5123" s="29">
        <f>'Raw data'!K5032</f>
        <v>0</v>
      </c>
      <c r="K5123" s="31">
        <f>'Raw data'!H5032</f>
        <v>0</v>
      </c>
      <c r="L5123" s="26">
        <f t="shared" ref="L5123:L5186" si="164">J5123*K5123</f>
        <v>0</v>
      </c>
    </row>
    <row r="5124" spans="2:12">
      <c r="B5124" s="4" t="e">
        <f t="shared" si="163"/>
        <v>#N/A</v>
      </c>
      <c r="C5124" s="4">
        <f>'Raw data'!E4700</f>
        <v>0</v>
      </c>
      <c r="D5124" s="29" t="e">
        <f>VLOOKUP(C5124,'점포코드 '!A:B,2,0)</f>
        <v>#N/A</v>
      </c>
      <c r="E5124" s="30">
        <f>'Raw data'!P4700</f>
        <v>0</v>
      </c>
      <c r="F5124" s="29" t="e">
        <f>VLOOKUP(E5124,'점포코드 '!A:B,2,0)</f>
        <v>#N/A</v>
      </c>
      <c r="G5124" s="46">
        <f>'Raw data'!F5033</f>
        <v>0</v>
      </c>
      <c r="H5124" s="4">
        <f>'Raw data'!G5033</f>
        <v>0</v>
      </c>
      <c r="I5124" s="29" t="e">
        <f>VLOOKUP(G5124,제품명!$C$1:$E$114,2,0)</f>
        <v>#N/A</v>
      </c>
      <c r="J5124" s="29">
        <f>'Raw data'!K5033</f>
        <v>0</v>
      </c>
      <c r="K5124" s="31">
        <f>'Raw data'!H5033</f>
        <v>0</v>
      </c>
      <c r="L5124" s="26">
        <f t="shared" si="164"/>
        <v>0</v>
      </c>
    </row>
    <row r="5125" spans="2:12">
      <c r="B5125" s="4" t="e">
        <f t="shared" si="163"/>
        <v>#N/A</v>
      </c>
      <c r="C5125" s="4">
        <f>'Raw data'!E4701</f>
        <v>0</v>
      </c>
      <c r="D5125" s="29" t="e">
        <f>VLOOKUP(C5125,'점포코드 '!A:B,2,0)</f>
        <v>#N/A</v>
      </c>
      <c r="E5125" s="30">
        <f>'Raw data'!P4701</f>
        <v>0</v>
      </c>
      <c r="F5125" s="29" t="e">
        <f>VLOOKUP(E5125,'점포코드 '!A:B,2,0)</f>
        <v>#N/A</v>
      </c>
      <c r="G5125" s="46">
        <f>'Raw data'!F5034</f>
        <v>0</v>
      </c>
      <c r="H5125" s="4">
        <f>'Raw data'!G5034</f>
        <v>0</v>
      </c>
      <c r="I5125" s="29" t="e">
        <f>VLOOKUP(G5125,제품명!$C$1:$E$114,2,0)</f>
        <v>#N/A</v>
      </c>
      <c r="J5125" s="29">
        <f>'Raw data'!K5034</f>
        <v>0</v>
      </c>
      <c r="K5125" s="31">
        <f>'Raw data'!H5034</f>
        <v>0</v>
      </c>
      <c r="L5125" s="26">
        <f t="shared" si="164"/>
        <v>0</v>
      </c>
    </row>
    <row r="5126" spans="2:12">
      <c r="B5126" s="4" t="e">
        <f t="shared" si="163"/>
        <v>#N/A</v>
      </c>
      <c r="C5126" s="4">
        <f>'Raw data'!E4702</f>
        <v>0</v>
      </c>
      <c r="D5126" s="29" t="e">
        <f>VLOOKUP(C5126,'점포코드 '!A:B,2,0)</f>
        <v>#N/A</v>
      </c>
      <c r="E5126" s="30">
        <f>'Raw data'!P4702</f>
        <v>0</v>
      </c>
      <c r="F5126" s="29" t="e">
        <f>VLOOKUP(E5126,'점포코드 '!A:B,2,0)</f>
        <v>#N/A</v>
      </c>
      <c r="G5126" s="46">
        <f>'Raw data'!F5035</f>
        <v>0</v>
      </c>
      <c r="H5126" s="4">
        <f>'Raw data'!G5035</f>
        <v>0</v>
      </c>
      <c r="I5126" s="29" t="e">
        <f>VLOOKUP(G5126,제품명!$C$1:$E$114,2,0)</f>
        <v>#N/A</v>
      </c>
      <c r="J5126" s="29">
        <f>'Raw data'!K5035</f>
        <v>0</v>
      </c>
      <c r="K5126" s="31">
        <f>'Raw data'!H5035</f>
        <v>0</v>
      </c>
      <c r="L5126" s="26">
        <f t="shared" si="164"/>
        <v>0</v>
      </c>
    </row>
    <row r="5127" spans="2:12">
      <c r="B5127" s="4" t="e">
        <f t="shared" si="163"/>
        <v>#N/A</v>
      </c>
      <c r="C5127" s="4">
        <f>'Raw data'!E4703</f>
        <v>0</v>
      </c>
      <c r="D5127" s="29" t="e">
        <f>VLOOKUP(C5127,'점포코드 '!A:B,2,0)</f>
        <v>#N/A</v>
      </c>
      <c r="E5127" s="30">
        <f>'Raw data'!P4703</f>
        <v>0</v>
      </c>
      <c r="F5127" s="29" t="e">
        <f>VLOOKUP(E5127,'점포코드 '!A:B,2,0)</f>
        <v>#N/A</v>
      </c>
      <c r="G5127" s="46">
        <f>'Raw data'!F5036</f>
        <v>0</v>
      </c>
      <c r="H5127" s="4">
        <f>'Raw data'!G5036</f>
        <v>0</v>
      </c>
      <c r="I5127" s="29" t="e">
        <f>VLOOKUP(G5127,제품명!$C$1:$E$114,2,0)</f>
        <v>#N/A</v>
      </c>
      <c r="J5127" s="29">
        <f>'Raw data'!K5036</f>
        <v>0</v>
      </c>
      <c r="K5127" s="31">
        <f>'Raw data'!H5036</f>
        <v>0</v>
      </c>
      <c r="L5127" s="26">
        <f t="shared" si="164"/>
        <v>0</v>
      </c>
    </row>
    <row r="5128" spans="2:12">
      <c r="B5128" s="4" t="e">
        <f t="shared" si="163"/>
        <v>#N/A</v>
      </c>
      <c r="C5128" s="4">
        <f>'Raw data'!E4704</f>
        <v>0</v>
      </c>
      <c r="D5128" s="29" t="e">
        <f>VLOOKUP(C5128,'점포코드 '!A:B,2,0)</f>
        <v>#N/A</v>
      </c>
      <c r="E5128" s="30">
        <f>'Raw data'!P4704</f>
        <v>0</v>
      </c>
      <c r="F5128" s="29" t="e">
        <f>VLOOKUP(E5128,'점포코드 '!A:B,2,0)</f>
        <v>#N/A</v>
      </c>
      <c r="G5128" s="46">
        <f>'Raw data'!F5037</f>
        <v>0</v>
      </c>
      <c r="H5128" s="4">
        <f>'Raw data'!G5037</f>
        <v>0</v>
      </c>
      <c r="I5128" s="29" t="e">
        <f>VLOOKUP(G5128,제품명!$C$1:$E$114,2,0)</f>
        <v>#N/A</v>
      </c>
      <c r="J5128" s="29">
        <f>'Raw data'!K5037</f>
        <v>0</v>
      </c>
      <c r="K5128" s="31">
        <f>'Raw data'!H5037</f>
        <v>0</v>
      </c>
      <c r="L5128" s="26">
        <f t="shared" si="164"/>
        <v>0</v>
      </c>
    </row>
    <row r="5129" spans="2:12">
      <c r="B5129" s="4" t="e">
        <f t="shared" si="163"/>
        <v>#N/A</v>
      </c>
      <c r="C5129" s="4">
        <f>'Raw data'!E4705</f>
        <v>0</v>
      </c>
      <c r="D5129" s="29" t="e">
        <f>VLOOKUP(C5129,'점포코드 '!A:B,2,0)</f>
        <v>#N/A</v>
      </c>
      <c r="E5129" s="30">
        <f>'Raw data'!P4705</f>
        <v>0</v>
      </c>
      <c r="F5129" s="29" t="e">
        <f>VLOOKUP(E5129,'점포코드 '!A:B,2,0)</f>
        <v>#N/A</v>
      </c>
      <c r="G5129" s="46">
        <f>'Raw data'!F5038</f>
        <v>0</v>
      </c>
      <c r="H5129" s="4">
        <f>'Raw data'!G5038</f>
        <v>0</v>
      </c>
      <c r="I5129" s="29" t="e">
        <f>VLOOKUP(G5129,제품명!$C$1:$E$114,2,0)</f>
        <v>#N/A</v>
      </c>
      <c r="J5129" s="29">
        <f>'Raw data'!K5038</f>
        <v>0</v>
      </c>
      <c r="K5129" s="31">
        <f>'Raw data'!H5038</f>
        <v>0</v>
      </c>
      <c r="L5129" s="26">
        <f t="shared" si="164"/>
        <v>0</v>
      </c>
    </row>
    <row r="5130" spans="2:12">
      <c r="B5130" s="4" t="e">
        <f t="shared" si="163"/>
        <v>#N/A</v>
      </c>
      <c r="C5130" s="4">
        <f>'Raw data'!E4706</f>
        <v>0</v>
      </c>
      <c r="D5130" s="29" t="e">
        <f>VLOOKUP(C5130,'점포코드 '!A:B,2,0)</f>
        <v>#N/A</v>
      </c>
      <c r="E5130" s="30">
        <f>'Raw data'!P4706</f>
        <v>0</v>
      </c>
      <c r="F5130" s="29" t="e">
        <f>VLOOKUP(E5130,'점포코드 '!A:B,2,0)</f>
        <v>#N/A</v>
      </c>
      <c r="G5130" s="46">
        <f>'Raw data'!F5039</f>
        <v>0</v>
      </c>
      <c r="H5130" s="4">
        <f>'Raw data'!G5039</f>
        <v>0</v>
      </c>
      <c r="I5130" s="29" t="e">
        <f>VLOOKUP(G5130,제품명!$C$1:$E$114,2,0)</f>
        <v>#N/A</v>
      </c>
      <c r="J5130" s="29">
        <f>'Raw data'!K5039</f>
        <v>0</v>
      </c>
      <c r="K5130" s="31">
        <f>'Raw data'!H5039</f>
        <v>0</v>
      </c>
      <c r="L5130" s="26">
        <f t="shared" si="164"/>
        <v>0</v>
      </c>
    </row>
    <row r="5131" spans="2:12">
      <c r="B5131" s="4" t="e">
        <f t="shared" si="163"/>
        <v>#N/A</v>
      </c>
      <c r="C5131" s="4">
        <f>'Raw data'!E4707</f>
        <v>0</v>
      </c>
      <c r="D5131" s="29" t="e">
        <f>VLOOKUP(C5131,'점포코드 '!A:B,2,0)</f>
        <v>#N/A</v>
      </c>
      <c r="E5131" s="30">
        <f>'Raw data'!P4707</f>
        <v>0</v>
      </c>
      <c r="F5131" s="29" t="e">
        <f>VLOOKUP(E5131,'점포코드 '!A:B,2,0)</f>
        <v>#N/A</v>
      </c>
      <c r="G5131" s="46">
        <f>'Raw data'!F5040</f>
        <v>0</v>
      </c>
      <c r="H5131" s="4">
        <f>'Raw data'!G5040</f>
        <v>0</v>
      </c>
      <c r="I5131" s="29" t="e">
        <f>VLOOKUP(G5131,제품명!$C$1:$E$114,2,0)</f>
        <v>#N/A</v>
      </c>
      <c r="J5131" s="29">
        <f>'Raw data'!K5040</f>
        <v>0</v>
      </c>
      <c r="K5131" s="31">
        <f>'Raw data'!H5040</f>
        <v>0</v>
      </c>
      <c r="L5131" s="26">
        <f t="shared" si="164"/>
        <v>0</v>
      </c>
    </row>
    <row r="5132" spans="2:12">
      <c r="B5132" s="4" t="e">
        <f t="shared" si="163"/>
        <v>#N/A</v>
      </c>
      <c r="C5132" s="4">
        <f>'Raw data'!E4708</f>
        <v>0</v>
      </c>
      <c r="D5132" s="29" t="e">
        <f>VLOOKUP(C5132,'점포코드 '!A:B,2,0)</f>
        <v>#N/A</v>
      </c>
      <c r="E5132" s="30">
        <f>'Raw data'!P4708</f>
        <v>0</v>
      </c>
      <c r="F5132" s="29" t="e">
        <f>VLOOKUP(E5132,'점포코드 '!A:B,2,0)</f>
        <v>#N/A</v>
      </c>
      <c r="G5132" s="46">
        <f>'Raw data'!F5041</f>
        <v>0</v>
      </c>
      <c r="H5132" s="4">
        <f>'Raw data'!G5041</f>
        <v>0</v>
      </c>
      <c r="I5132" s="29" t="e">
        <f>VLOOKUP(G5132,제품명!$C$1:$E$114,2,0)</f>
        <v>#N/A</v>
      </c>
      <c r="J5132" s="29">
        <f>'Raw data'!K5041</f>
        <v>0</v>
      </c>
      <c r="K5132" s="31">
        <f>'Raw data'!H5041</f>
        <v>0</v>
      </c>
      <c r="L5132" s="26">
        <f t="shared" si="164"/>
        <v>0</v>
      </c>
    </row>
    <row r="5133" spans="2:12">
      <c r="B5133" s="4" t="e">
        <f t="shared" si="163"/>
        <v>#N/A</v>
      </c>
      <c r="C5133" s="4">
        <f>'Raw data'!E4709</f>
        <v>0</v>
      </c>
      <c r="D5133" s="29" t="e">
        <f>VLOOKUP(C5133,'점포코드 '!A:B,2,0)</f>
        <v>#N/A</v>
      </c>
      <c r="E5133" s="30">
        <f>'Raw data'!P4709</f>
        <v>0</v>
      </c>
      <c r="F5133" s="29" t="e">
        <f>VLOOKUP(E5133,'점포코드 '!A:B,2,0)</f>
        <v>#N/A</v>
      </c>
      <c r="G5133" s="46">
        <f>'Raw data'!F5042</f>
        <v>0</v>
      </c>
      <c r="H5133" s="4">
        <f>'Raw data'!G5042</f>
        <v>0</v>
      </c>
      <c r="I5133" s="29" t="e">
        <f>VLOOKUP(G5133,제품명!$C$1:$E$114,2,0)</f>
        <v>#N/A</v>
      </c>
      <c r="J5133" s="29">
        <f>'Raw data'!K5042</f>
        <v>0</v>
      </c>
      <c r="K5133" s="31">
        <f>'Raw data'!H5042</f>
        <v>0</v>
      </c>
      <c r="L5133" s="26">
        <f t="shared" si="164"/>
        <v>0</v>
      </c>
    </row>
    <row r="5134" spans="2:12">
      <c r="B5134" s="4" t="e">
        <f t="shared" si="163"/>
        <v>#N/A</v>
      </c>
      <c r="C5134" s="4">
        <f>'Raw data'!E4710</f>
        <v>0</v>
      </c>
      <c r="D5134" s="29" t="e">
        <f>VLOOKUP(C5134,'점포코드 '!A:B,2,0)</f>
        <v>#N/A</v>
      </c>
      <c r="E5134" s="30">
        <f>'Raw data'!P4710</f>
        <v>0</v>
      </c>
      <c r="F5134" s="29" t="e">
        <f>VLOOKUP(E5134,'점포코드 '!A:B,2,0)</f>
        <v>#N/A</v>
      </c>
      <c r="G5134" s="46">
        <f>'Raw data'!F5043</f>
        <v>0</v>
      </c>
      <c r="H5134" s="4">
        <f>'Raw data'!G5043</f>
        <v>0</v>
      </c>
      <c r="I5134" s="29" t="e">
        <f>VLOOKUP(G5134,제품명!$C$1:$E$114,2,0)</f>
        <v>#N/A</v>
      </c>
      <c r="J5134" s="29">
        <f>'Raw data'!K5043</f>
        <v>0</v>
      </c>
      <c r="K5134" s="31">
        <f>'Raw data'!H5043</f>
        <v>0</v>
      </c>
      <c r="L5134" s="26">
        <f t="shared" si="164"/>
        <v>0</v>
      </c>
    </row>
    <row r="5135" spans="2:12">
      <c r="B5135" s="4" t="e">
        <f t="shared" si="163"/>
        <v>#N/A</v>
      </c>
      <c r="C5135" s="4">
        <f>'Raw data'!E4711</f>
        <v>0</v>
      </c>
      <c r="D5135" s="29" t="e">
        <f>VLOOKUP(C5135,'점포코드 '!A:B,2,0)</f>
        <v>#N/A</v>
      </c>
      <c r="E5135" s="30">
        <f>'Raw data'!P4711</f>
        <v>0</v>
      </c>
      <c r="F5135" s="29" t="e">
        <f>VLOOKUP(E5135,'점포코드 '!A:B,2,0)</f>
        <v>#N/A</v>
      </c>
      <c r="G5135" s="46">
        <f>'Raw data'!F5044</f>
        <v>0</v>
      </c>
      <c r="H5135" s="4">
        <f>'Raw data'!G5044</f>
        <v>0</v>
      </c>
      <c r="I5135" s="29" t="e">
        <f>VLOOKUP(G5135,제품명!$C$1:$E$114,2,0)</f>
        <v>#N/A</v>
      </c>
      <c r="J5135" s="29">
        <f>'Raw data'!K5044</f>
        <v>0</v>
      </c>
      <c r="K5135" s="31">
        <f>'Raw data'!H5044</f>
        <v>0</v>
      </c>
      <c r="L5135" s="26">
        <f t="shared" si="164"/>
        <v>0</v>
      </c>
    </row>
    <row r="5136" spans="2:12">
      <c r="B5136" s="4" t="e">
        <f t="shared" si="163"/>
        <v>#N/A</v>
      </c>
      <c r="C5136" s="4">
        <f>'Raw data'!E4712</f>
        <v>0</v>
      </c>
      <c r="D5136" s="29" t="e">
        <f>VLOOKUP(C5136,'점포코드 '!A:B,2,0)</f>
        <v>#N/A</v>
      </c>
      <c r="E5136" s="30">
        <f>'Raw data'!P4712</f>
        <v>0</v>
      </c>
      <c r="F5136" s="29" t="e">
        <f>VLOOKUP(E5136,'점포코드 '!A:B,2,0)</f>
        <v>#N/A</v>
      </c>
      <c r="G5136" s="46">
        <f>'Raw data'!F5045</f>
        <v>0</v>
      </c>
      <c r="H5136" s="4">
        <f>'Raw data'!G5045</f>
        <v>0</v>
      </c>
      <c r="I5136" s="29" t="e">
        <f>VLOOKUP(G5136,제품명!$C$1:$E$114,2,0)</f>
        <v>#N/A</v>
      </c>
      <c r="J5136" s="29">
        <f>'Raw data'!K5045</f>
        <v>0</v>
      </c>
      <c r="K5136" s="31">
        <f>'Raw data'!H5045</f>
        <v>0</v>
      </c>
      <c r="L5136" s="26">
        <f t="shared" si="164"/>
        <v>0</v>
      </c>
    </row>
    <row r="5137" spans="2:12">
      <c r="B5137" s="4" t="e">
        <f t="shared" si="163"/>
        <v>#N/A</v>
      </c>
      <c r="C5137" s="4">
        <f>'Raw data'!E4713</f>
        <v>0</v>
      </c>
      <c r="D5137" s="29" t="e">
        <f>VLOOKUP(C5137,'점포코드 '!A:B,2,0)</f>
        <v>#N/A</v>
      </c>
      <c r="E5137" s="30">
        <f>'Raw data'!P4713</f>
        <v>0</v>
      </c>
      <c r="F5137" s="29" t="e">
        <f>VLOOKUP(E5137,'점포코드 '!A:B,2,0)</f>
        <v>#N/A</v>
      </c>
      <c r="G5137" s="46">
        <f>'Raw data'!F5046</f>
        <v>0</v>
      </c>
      <c r="H5137" s="4">
        <f>'Raw data'!G5046</f>
        <v>0</v>
      </c>
      <c r="I5137" s="29" t="e">
        <f>VLOOKUP(G5137,제품명!$C$1:$E$114,2,0)</f>
        <v>#N/A</v>
      </c>
      <c r="J5137" s="29">
        <f>'Raw data'!K5046</f>
        <v>0</v>
      </c>
      <c r="K5137" s="31">
        <f>'Raw data'!H5046</f>
        <v>0</v>
      </c>
      <c r="L5137" s="26">
        <f t="shared" si="164"/>
        <v>0</v>
      </c>
    </row>
    <row r="5138" spans="2:12">
      <c r="B5138" s="4" t="e">
        <f t="shared" si="163"/>
        <v>#N/A</v>
      </c>
      <c r="C5138" s="4">
        <f>'Raw data'!E4714</f>
        <v>0</v>
      </c>
      <c r="D5138" s="29" t="e">
        <f>VLOOKUP(C5138,'점포코드 '!A:B,2,0)</f>
        <v>#N/A</v>
      </c>
      <c r="E5138" s="30">
        <f>'Raw data'!P4714</f>
        <v>0</v>
      </c>
      <c r="F5138" s="29" t="e">
        <f>VLOOKUP(E5138,'점포코드 '!A:B,2,0)</f>
        <v>#N/A</v>
      </c>
      <c r="G5138" s="46">
        <f>'Raw data'!F5047</f>
        <v>0</v>
      </c>
      <c r="H5138" s="4">
        <f>'Raw data'!G5047</f>
        <v>0</v>
      </c>
      <c r="I5138" s="29" t="e">
        <f>VLOOKUP(G5138,제품명!$C$1:$E$114,2,0)</f>
        <v>#N/A</v>
      </c>
      <c r="J5138" s="29">
        <f>'Raw data'!K5047</f>
        <v>0</v>
      </c>
      <c r="K5138" s="31">
        <f>'Raw data'!H5047</f>
        <v>0</v>
      </c>
      <c r="L5138" s="26">
        <f t="shared" si="164"/>
        <v>0</v>
      </c>
    </row>
    <row r="5139" spans="2:12">
      <c r="B5139" s="4" t="e">
        <f t="shared" si="163"/>
        <v>#N/A</v>
      </c>
      <c r="C5139" s="4">
        <f>'Raw data'!E4715</f>
        <v>0</v>
      </c>
      <c r="D5139" s="29" t="e">
        <f>VLOOKUP(C5139,'점포코드 '!A:B,2,0)</f>
        <v>#N/A</v>
      </c>
      <c r="E5139" s="30">
        <f>'Raw data'!P4715</f>
        <v>0</v>
      </c>
      <c r="F5139" s="29" t="e">
        <f>VLOOKUP(E5139,'점포코드 '!A:B,2,0)</f>
        <v>#N/A</v>
      </c>
      <c r="G5139" s="46">
        <f>'Raw data'!F5048</f>
        <v>0</v>
      </c>
      <c r="H5139" s="4">
        <f>'Raw data'!G5048</f>
        <v>0</v>
      </c>
      <c r="I5139" s="29" t="e">
        <f>VLOOKUP(G5139,제품명!$C$1:$E$114,2,0)</f>
        <v>#N/A</v>
      </c>
      <c r="J5139" s="29">
        <f>'Raw data'!K5048</f>
        <v>0</v>
      </c>
      <c r="K5139" s="31">
        <f>'Raw data'!H5048</f>
        <v>0</v>
      </c>
      <c r="L5139" s="26">
        <f t="shared" si="164"/>
        <v>0</v>
      </c>
    </row>
    <row r="5140" spans="2:12">
      <c r="B5140" s="4" t="e">
        <f t="shared" si="163"/>
        <v>#N/A</v>
      </c>
      <c r="C5140" s="4">
        <f>'Raw data'!E4716</f>
        <v>0</v>
      </c>
      <c r="D5140" s="29" t="e">
        <f>VLOOKUP(C5140,'점포코드 '!A:B,2,0)</f>
        <v>#N/A</v>
      </c>
      <c r="E5140" s="30">
        <f>'Raw data'!P4716</f>
        <v>0</v>
      </c>
      <c r="F5140" s="29" t="e">
        <f>VLOOKUP(E5140,'점포코드 '!A:B,2,0)</f>
        <v>#N/A</v>
      </c>
      <c r="G5140" s="46">
        <f>'Raw data'!F5049</f>
        <v>0</v>
      </c>
      <c r="H5140" s="4">
        <f>'Raw data'!G5049</f>
        <v>0</v>
      </c>
      <c r="I5140" s="29" t="e">
        <f>VLOOKUP(G5140,제품명!$C$1:$E$114,2,0)</f>
        <v>#N/A</v>
      </c>
      <c r="J5140" s="29">
        <f>'Raw data'!K5049</f>
        <v>0</v>
      </c>
      <c r="K5140" s="31">
        <f>'Raw data'!H5049</f>
        <v>0</v>
      </c>
      <c r="L5140" s="26">
        <f t="shared" si="164"/>
        <v>0</v>
      </c>
    </row>
    <row r="5141" spans="2:12">
      <c r="B5141" s="4" t="e">
        <f t="shared" si="163"/>
        <v>#N/A</v>
      </c>
      <c r="C5141" s="4">
        <f>'Raw data'!E4717</f>
        <v>0</v>
      </c>
      <c r="D5141" s="29" t="e">
        <f>VLOOKUP(C5141,'점포코드 '!A:B,2,0)</f>
        <v>#N/A</v>
      </c>
      <c r="E5141" s="30">
        <f>'Raw data'!P4717</f>
        <v>0</v>
      </c>
      <c r="F5141" s="29" t="e">
        <f>VLOOKUP(E5141,'점포코드 '!A:B,2,0)</f>
        <v>#N/A</v>
      </c>
      <c r="G5141" s="46">
        <f>'Raw data'!F5050</f>
        <v>0</v>
      </c>
      <c r="H5141" s="4">
        <f>'Raw data'!G5050</f>
        <v>0</v>
      </c>
      <c r="I5141" s="29" t="e">
        <f>VLOOKUP(G5141,제품명!$C$1:$E$114,2,0)</f>
        <v>#N/A</v>
      </c>
      <c r="J5141" s="29">
        <f>'Raw data'!K5050</f>
        <v>0</v>
      </c>
      <c r="K5141" s="31">
        <f>'Raw data'!H5050</f>
        <v>0</v>
      </c>
      <c r="L5141" s="26">
        <f t="shared" si="164"/>
        <v>0</v>
      </c>
    </row>
    <row r="5142" spans="2:12">
      <c r="B5142" s="4" t="e">
        <f t="shared" si="163"/>
        <v>#N/A</v>
      </c>
      <c r="C5142" s="4">
        <f>'Raw data'!E4718</f>
        <v>0</v>
      </c>
      <c r="D5142" s="29" t="e">
        <f>VLOOKUP(C5142,'점포코드 '!A:B,2,0)</f>
        <v>#N/A</v>
      </c>
      <c r="E5142" s="30">
        <f>'Raw data'!P4718</f>
        <v>0</v>
      </c>
      <c r="F5142" s="29" t="e">
        <f>VLOOKUP(E5142,'점포코드 '!A:B,2,0)</f>
        <v>#N/A</v>
      </c>
      <c r="G5142" s="46">
        <f>'Raw data'!F5051</f>
        <v>0</v>
      </c>
      <c r="H5142" s="4">
        <f>'Raw data'!G5051</f>
        <v>0</v>
      </c>
      <c r="I5142" s="29" t="e">
        <f>VLOOKUP(G5142,제품명!$C$1:$E$114,2,0)</f>
        <v>#N/A</v>
      </c>
      <c r="J5142" s="29">
        <f>'Raw data'!K5051</f>
        <v>0</v>
      </c>
      <c r="K5142" s="31">
        <f>'Raw data'!H5051</f>
        <v>0</v>
      </c>
      <c r="L5142" s="26">
        <f t="shared" si="164"/>
        <v>0</v>
      </c>
    </row>
    <row r="5143" spans="2:12">
      <c r="B5143" s="4" t="e">
        <f t="shared" si="163"/>
        <v>#N/A</v>
      </c>
      <c r="C5143" s="4">
        <f>'Raw data'!E4719</f>
        <v>0</v>
      </c>
      <c r="D5143" s="29" t="e">
        <f>VLOOKUP(C5143,'점포코드 '!A:B,2,0)</f>
        <v>#N/A</v>
      </c>
      <c r="E5143" s="30">
        <f>'Raw data'!P4719</f>
        <v>0</v>
      </c>
      <c r="F5143" s="29" t="e">
        <f>VLOOKUP(E5143,'점포코드 '!A:B,2,0)</f>
        <v>#N/A</v>
      </c>
      <c r="G5143" s="46">
        <f>'Raw data'!F5052</f>
        <v>0</v>
      </c>
      <c r="H5143" s="4">
        <f>'Raw data'!G5052</f>
        <v>0</v>
      </c>
      <c r="I5143" s="29" t="e">
        <f>VLOOKUP(G5143,제품명!$C$1:$E$114,2,0)</f>
        <v>#N/A</v>
      </c>
      <c r="J5143" s="29">
        <f>'Raw data'!K5052</f>
        <v>0</v>
      </c>
      <c r="K5143" s="31">
        <f>'Raw data'!H5052</f>
        <v>0</v>
      </c>
      <c r="L5143" s="26">
        <f t="shared" si="164"/>
        <v>0</v>
      </c>
    </row>
    <row r="5144" spans="2:12">
      <c r="B5144" s="4" t="e">
        <f t="shared" si="163"/>
        <v>#N/A</v>
      </c>
      <c r="C5144" s="4">
        <f>'Raw data'!E4720</f>
        <v>0</v>
      </c>
      <c r="D5144" s="29" t="e">
        <f>VLOOKUP(C5144,'점포코드 '!A:B,2,0)</f>
        <v>#N/A</v>
      </c>
      <c r="E5144" s="30">
        <f>'Raw data'!P4720</f>
        <v>0</v>
      </c>
      <c r="F5144" s="29" t="e">
        <f>VLOOKUP(E5144,'점포코드 '!A:B,2,0)</f>
        <v>#N/A</v>
      </c>
      <c r="G5144" s="46">
        <f>'Raw data'!F5053</f>
        <v>0</v>
      </c>
      <c r="H5144" s="4">
        <f>'Raw data'!G5053</f>
        <v>0</v>
      </c>
      <c r="I5144" s="29" t="e">
        <f>VLOOKUP(G5144,제품명!$C$1:$E$114,2,0)</f>
        <v>#N/A</v>
      </c>
      <c r="J5144" s="29">
        <f>'Raw data'!K5053</f>
        <v>0</v>
      </c>
      <c r="K5144" s="31">
        <f>'Raw data'!H5053</f>
        <v>0</v>
      </c>
      <c r="L5144" s="26">
        <f t="shared" si="164"/>
        <v>0</v>
      </c>
    </row>
    <row r="5145" spans="2:12">
      <c r="B5145" s="4" t="e">
        <f t="shared" si="163"/>
        <v>#N/A</v>
      </c>
      <c r="C5145" s="4">
        <f>'Raw data'!E4721</f>
        <v>0</v>
      </c>
      <c r="D5145" s="29" t="e">
        <f>VLOOKUP(C5145,'점포코드 '!A:B,2,0)</f>
        <v>#N/A</v>
      </c>
      <c r="E5145" s="30">
        <f>'Raw data'!P4721</f>
        <v>0</v>
      </c>
      <c r="F5145" s="29" t="e">
        <f>VLOOKUP(E5145,'점포코드 '!A:B,2,0)</f>
        <v>#N/A</v>
      </c>
      <c r="G5145" s="46">
        <f>'Raw data'!F5054</f>
        <v>0</v>
      </c>
      <c r="H5145" s="4">
        <f>'Raw data'!G5054</f>
        <v>0</v>
      </c>
      <c r="I5145" s="29" t="e">
        <f>VLOOKUP(G5145,제품명!$C$1:$E$114,2,0)</f>
        <v>#N/A</v>
      </c>
      <c r="J5145" s="29">
        <f>'Raw data'!K5054</f>
        <v>0</v>
      </c>
      <c r="K5145" s="31">
        <f>'Raw data'!H5054</f>
        <v>0</v>
      </c>
      <c r="L5145" s="26">
        <f t="shared" si="164"/>
        <v>0</v>
      </c>
    </row>
    <row r="5146" spans="2:12">
      <c r="B5146" s="4" t="e">
        <f t="shared" si="163"/>
        <v>#N/A</v>
      </c>
      <c r="C5146" s="4">
        <f>'Raw data'!E4722</f>
        <v>0</v>
      </c>
      <c r="D5146" s="29" t="e">
        <f>VLOOKUP(C5146,'점포코드 '!A:B,2,0)</f>
        <v>#N/A</v>
      </c>
      <c r="E5146" s="30">
        <f>'Raw data'!P4722</f>
        <v>0</v>
      </c>
      <c r="F5146" s="29" t="e">
        <f>VLOOKUP(E5146,'점포코드 '!A:B,2,0)</f>
        <v>#N/A</v>
      </c>
      <c r="G5146" s="46">
        <f>'Raw data'!F5055</f>
        <v>0</v>
      </c>
      <c r="H5146" s="4">
        <f>'Raw data'!G5055</f>
        <v>0</v>
      </c>
      <c r="I5146" s="29" t="e">
        <f>VLOOKUP(G5146,제품명!$C$1:$E$114,2,0)</f>
        <v>#N/A</v>
      </c>
      <c r="J5146" s="29">
        <f>'Raw data'!K5055</f>
        <v>0</v>
      </c>
      <c r="K5146" s="31">
        <f>'Raw data'!H5055</f>
        <v>0</v>
      </c>
      <c r="L5146" s="26">
        <f t="shared" si="164"/>
        <v>0</v>
      </c>
    </row>
    <row r="5147" spans="2:12">
      <c r="B5147" s="4" t="e">
        <f t="shared" si="163"/>
        <v>#N/A</v>
      </c>
      <c r="C5147" s="4">
        <f>'Raw data'!E4723</f>
        <v>0</v>
      </c>
      <c r="D5147" s="29" t="e">
        <f>VLOOKUP(C5147,'점포코드 '!A:B,2,0)</f>
        <v>#N/A</v>
      </c>
      <c r="E5147" s="30">
        <f>'Raw data'!P4723</f>
        <v>0</v>
      </c>
      <c r="F5147" s="29" t="e">
        <f>VLOOKUP(E5147,'점포코드 '!A:B,2,0)</f>
        <v>#N/A</v>
      </c>
      <c r="G5147" s="46">
        <f>'Raw data'!F5056</f>
        <v>0</v>
      </c>
      <c r="H5147" s="4">
        <f>'Raw data'!G5056</f>
        <v>0</v>
      </c>
      <c r="I5147" s="29" t="e">
        <f>VLOOKUP(G5147,제품명!$C$1:$E$114,2,0)</f>
        <v>#N/A</v>
      </c>
      <c r="J5147" s="29">
        <f>'Raw data'!K5056</f>
        <v>0</v>
      </c>
      <c r="K5147" s="31">
        <f>'Raw data'!H5056</f>
        <v>0</v>
      </c>
      <c r="L5147" s="26">
        <f t="shared" si="164"/>
        <v>0</v>
      </c>
    </row>
    <row r="5148" spans="2:12">
      <c r="B5148" s="4" t="e">
        <f t="shared" si="163"/>
        <v>#N/A</v>
      </c>
      <c r="C5148" s="4">
        <f>'Raw data'!E4724</f>
        <v>0</v>
      </c>
      <c r="D5148" s="29" t="e">
        <f>VLOOKUP(C5148,'점포코드 '!A:B,2,0)</f>
        <v>#N/A</v>
      </c>
      <c r="E5148" s="30">
        <f>'Raw data'!P4724</f>
        <v>0</v>
      </c>
      <c r="F5148" s="29" t="e">
        <f>VLOOKUP(E5148,'점포코드 '!A:B,2,0)</f>
        <v>#N/A</v>
      </c>
      <c r="G5148" s="46">
        <f>'Raw data'!F5057</f>
        <v>0</v>
      </c>
      <c r="H5148" s="4">
        <f>'Raw data'!G5057</f>
        <v>0</v>
      </c>
      <c r="I5148" s="29" t="e">
        <f>VLOOKUP(G5148,제품명!$C$1:$E$114,2,0)</f>
        <v>#N/A</v>
      </c>
      <c r="J5148" s="29">
        <f>'Raw data'!K5057</f>
        <v>0</v>
      </c>
      <c r="K5148" s="31">
        <f>'Raw data'!H5057</f>
        <v>0</v>
      </c>
      <c r="L5148" s="26">
        <f t="shared" si="164"/>
        <v>0</v>
      </c>
    </row>
    <row r="5149" spans="2:12">
      <c r="B5149" s="4" t="e">
        <f t="shared" si="163"/>
        <v>#N/A</v>
      </c>
      <c r="C5149" s="4">
        <f>'Raw data'!E4725</f>
        <v>0</v>
      </c>
      <c r="D5149" s="29" t="e">
        <f>VLOOKUP(C5149,'점포코드 '!A:B,2,0)</f>
        <v>#N/A</v>
      </c>
      <c r="E5149" s="30">
        <f>'Raw data'!P4725</f>
        <v>0</v>
      </c>
      <c r="F5149" s="29" t="e">
        <f>VLOOKUP(E5149,'점포코드 '!A:B,2,0)</f>
        <v>#N/A</v>
      </c>
      <c r="G5149" s="46">
        <f>'Raw data'!F5058</f>
        <v>0</v>
      </c>
      <c r="H5149" s="4">
        <f>'Raw data'!G5058</f>
        <v>0</v>
      </c>
      <c r="I5149" s="29" t="e">
        <f>VLOOKUP(G5149,제품명!$C$1:$E$114,2,0)</f>
        <v>#N/A</v>
      </c>
      <c r="J5149" s="29">
        <f>'Raw data'!K5058</f>
        <v>0</v>
      </c>
      <c r="K5149" s="31">
        <f>'Raw data'!H5058</f>
        <v>0</v>
      </c>
      <c r="L5149" s="26">
        <f t="shared" si="164"/>
        <v>0</v>
      </c>
    </row>
    <row r="5150" spans="2:12">
      <c r="B5150" s="4" t="e">
        <f t="shared" si="163"/>
        <v>#N/A</v>
      </c>
      <c r="C5150" s="4">
        <f>'Raw data'!E4726</f>
        <v>0</v>
      </c>
      <c r="D5150" s="29" t="e">
        <f>VLOOKUP(C5150,'점포코드 '!A:B,2,0)</f>
        <v>#N/A</v>
      </c>
      <c r="E5150" s="30">
        <f>'Raw data'!P4726</f>
        <v>0</v>
      </c>
      <c r="F5150" s="29" t="e">
        <f>VLOOKUP(E5150,'점포코드 '!A:B,2,0)</f>
        <v>#N/A</v>
      </c>
      <c r="G5150" s="46">
        <f>'Raw data'!F5059</f>
        <v>0</v>
      </c>
      <c r="H5150" s="4">
        <f>'Raw data'!G5059</f>
        <v>0</v>
      </c>
      <c r="I5150" s="29" t="e">
        <f>VLOOKUP(G5150,제품명!$C$1:$E$114,2,0)</f>
        <v>#N/A</v>
      </c>
      <c r="J5150" s="29">
        <f>'Raw data'!K5059</f>
        <v>0</v>
      </c>
      <c r="K5150" s="31">
        <f>'Raw data'!H5059</f>
        <v>0</v>
      </c>
      <c r="L5150" s="26">
        <f t="shared" si="164"/>
        <v>0</v>
      </c>
    </row>
    <row r="5151" spans="2:12">
      <c r="B5151" s="4" t="e">
        <f t="shared" si="163"/>
        <v>#N/A</v>
      </c>
      <c r="C5151" s="4">
        <f>'Raw data'!E4727</f>
        <v>0</v>
      </c>
      <c r="D5151" s="29" t="e">
        <f>VLOOKUP(C5151,'점포코드 '!A:B,2,0)</f>
        <v>#N/A</v>
      </c>
      <c r="E5151" s="30">
        <f>'Raw data'!P4727</f>
        <v>0</v>
      </c>
      <c r="F5151" s="29" t="e">
        <f>VLOOKUP(E5151,'점포코드 '!A:B,2,0)</f>
        <v>#N/A</v>
      </c>
      <c r="G5151" s="46">
        <f>'Raw data'!F5060</f>
        <v>0</v>
      </c>
      <c r="H5151" s="4">
        <f>'Raw data'!G5060</f>
        <v>0</v>
      </c>
      <c r="I5151" s="29" t="e">
        <f>VLOOKUP(G5151,제품명!$C$1:$E$114,2,0)</f>
        <v>#N/A</v>
      </c>
      <c r="J5151" s="29">
        <f>'Raw data'!K5060</f>
        <v>0</v>
      </c>
      <c r="K5151" s="31">
        <f>'Raw data'!H5060</f>
        <v>0</v>
      </c>
      <c r="L5151" s="26">
        <f t="shared" si="164"/>
        <v>0</v>
      </c>
    </row>
    <row r="5152" spans="2:12">
      <c r="B5152" s="4" t="e">
        <f t="shared" si="163"/>
        <v>#N/A</v>
      </c>
      <c r="C5152" s="4">
        <f>'Raw data'!E4728</f>
        <v>0</v>
      </c>
      <c r="D5152" s="29" t="e">
        <f>VLOOKUP(C5152,'점포코드 '!A:B,2,0)</f>
        <v>#N/A</v>
      </c>
      <c r="E5152" s="30">
        <f>'Raw data'!P4728</f>
        <v>0</v>
      </c>
      <c r="F5152" s="29" t="e">
        <f>VLOOKUP(E5152,'점포코드 '!A:B,2,0)</f>
        <v>#N/A</v>
      </c>
      <c r="G5152" s="46">
        <f>'Raw data'!F5061</f>
        <v>0</v>
      </c>
      <c r="H5152" s="4">
        <f>'Raw data'!G5061</f>
        <v>0</v>
      </c>
      <c r="I5152" s="29" t="e">
        <f>VLOOKUP(G5152,제품명!$C$1:$E$114,2,0)</f>
        <v>#N/A</v>
      </c>
      <c r="J5152" s="29">
        <f>'Raw data'!K5061</f>
        <v>0</v>
      </c>
      <c r="K5152" s="31">
        <f>'Raw data'!H5061</f>
        <v>0</v>
      </c>
      <c r="L5152" s="26">
        <f t="shared" si="164"/>
        <v>0</v>
      </c>
    </row>
    <row r="5153" spans="2:12">
      <c r="B5153" s="4" t="e">
        <f t="shared" si="163"/>
        <v>#N/A</v>
      </c>
      <c r="C5153" s="4">
        <f>'Raw data'!E4729</f>
        <v>0</v>
      </c>
      <c r="D5153" s="29" t="e">
        <f>VLOOKUP(C5153,'점포코드 '!A:B,2,0)</f>
        <v>#N/A</v>
      </c>
      <c r="E5153" s="30">
        <f>'Raw data'!P4729</f>
        <v>0</v>
      </c>
      <c r="F5153" s="29" t="e">
        <f>VLOOKUP(E5153,'점포코드 '!A:B,2,0)</f>
        <v>#N/A</v>
      </c>
      <c r="G5153" s="46">
        <f>'Raw data'!F5062</f>
        <v>0</v>
      </c>
      <c r="H5153" s="4">
        <f>'Raw data'!G5062</f>
        <v>0</v>
      </c>
      <c r="I5153" s="29" t="e">
        <f>VLOOKUP(G5153,제품명!$C$1:$E$114,2,0)</f>
        <v>#N/A</v>
      </c>
      <c r="J5153" s="29">
        <f>'Raw data'!K5062</f>
        <v>0</v>
      </c>
      <c r="K5153" s="31">
        <f>'Raw data'!H5062</f>
        <v>0</v>
      </c>
      <c r="L5153" s="26">
        <f t="shared" si="164"/>
        <v>0</v>
      </c>
    </row>
    <row r="5154" spans="2:12">
      <c r="B5154" s="4" t="e">
        <f t="shared" si="163"/>
        <v>#N/A</v>
      </c>
      <c r="C5154" s="4">
        <f>'Raw data'!E4730</f>
        <v>0</v>
      </c>
      <c r="D5154" s="29" t="e">
        <f>VLOOKUP(C5154,'점포코드 '!A:B,2,0)</f>
        <v>#N/A</v>
      </c>
      <c r="E5154" s="30">
        <f>'Raw data'!P4730</f>
        <v>0</v>
      </c>
      <c r="F5154" s="29" t="e">
        <f>VLOOKUP(E5154,'점포코드 '!A:B,2,0)</f>
        <v>#N/A</v>
      </c>
      <c r="G5154" s="46">
        <f>'Raw data'!F5063</f>
        <v>0</v>
      </c>
      <c r="H5154" s="4">
        <f>'Raw data'!G5063</f>
        <v>0</v>
      </c>
      <c r="I5154" s="29" t="e">
        <f>VLOOKUP(G5154,제품명!$C$1:$E$114,2,0)</f>
        <v>#N/A</v>
      </c>
      <c r="J5154" s="29">
        <f>'Raw data'!K5063</f>
        <v>0</v>
      </c>
      <c r="K5154" s="31">
        <f>'Raw data'!H5063</f>
        <v>0</v>
      </c>
      <c r="L5154" s="26">
        <f t="shared" si="164"/>
        <v>0</v>
      </c>
    </row>
    <row r="5155" spans="2:12">
      <c r="B5155" s="4" t="e">
        <f t="shared" si="163"/>
        <v>#N/A</v>
      </c>
      <c r="C5155" s="4">
        <f>'Raw data'!E4731</f>
        <v>0</v>
      </c>
      <c r="D5155" s="29" t="e">
        <f>VLOOKUP(C5155,'점포코드 '!A:B,2,0)</f>
        <v>#N/A</v>
      </c>
      <c r="E5155" s="30">
        <f>'Raw data'!P4731</f>
        <v>0</v>
      </c>
      <c r="F5155" s="29" t="e">
        <f>VLOOKUP(E5155,'점포코드 '!A:B,2,0)</f>
        <v>#N/A</v>
      </c>
      <c r="G5155" s="46">
        <f>'Raw data'!F5064</f>
        <v>0</v>
      </c>
      <c r="H5155" s="4">
        <f>'Raw data'!G5064</f>
        <v>0</v>
      </c>
      <c r="I5155" s="29" t="e">
        <f>VLOOKUP(G5155,제품명!$C$1:$E$114,2,0)</f>
        <v>#N/A</v>
      </c>
      <c r="J5155" s="29">
        <f>'Raw data'!K5064</f>
        <v>0</v>
      </c>
      <c r="K5155" s="31">
        <f>'Raw data'!H5064</f>
        <v>0</v>
      </c>
      <c r="L5155" s="26">
        <f t="shared" si="164"/>
        <v>0</v>
      </c>
    </row>
    <row r="5156" spans="2:12">
      <c r="B5156" s="4" t="e">
        <f t="shared" si="163"/>
        <v>#N/A</v>
      </c>
      <c r="C5156" s="4">
        <f>'Raw data'!E4732</f>
        <v>0</v>
      </c>
      <c r="D5156" s="29" t="e">
        <f>VLOOKUP(C5156,'점포코드 '!A:B,2,0)</f>
        <v>#N/A</v>
      </c>
      <c r="E5156" s="30">
        <f>'Raw data'!P4732</f>
        <v>0</v>
      </c>
      <c r="F5156" s="29" t="e">
        <f>VLOOKUP(E5156,'점포코드 '!A:B,2,0)</f>
        <v>#N/A</v>
      </c>
      <c r="G5156" s="46">
        <f>'Raw data'!F5065</f>
        <v>0</v>
      </c>
      <c r="H5156" s="4">
        <f>'Raw data'!G5065</f>
        <v>0</v>
      </c>
      <c r="I5156" s="29" t="e">
        <f>VLOOKUP(G5156,제품명!$C$1:$E$114,2,0)</f>
        <v>#N/A</v>
      </c>
      <c r="J5156" s="29">
        <f>'Raw data'!K5065</f>
        <v>0</v>
      </c>
      <c r="K5156" s="31">
        <f>'Raw data'!H5065</f>
        <v>0</v>
      </c>
      <c r="L5156" s="26">
        <f t="shared" si="164"/>
        <v>0</v>
      </c>
    </row>
    <row r="5157" spans="2:12">
      <c r="B5157" s="4" t="e">
        <f t="shared" si="163"/>
        <v>#N/A</v>
      </c>
      <c r="C5157" s="4">
        <f>'Raw data'!E4733</f>
        <v>0</v>
      </c>
      <c r="D5157" s="29" t="e">
        <f>VLOOKUP(C5157,'점포코드 '!A:B,2,0)</f>
        <v>#N/A</v>
      </c>
      <c r="E5157" s="30">
        <f>'Raw data'!P4733</f>
        <v>0</v>
      </c>
      <c r="F5157" s="29" t="e">
        <f>VLOOKUP(E5157,'점포코드 '!A:B,2,0)</f>
        <v>#N/A</v>
      </c>
      <c r="G5157" s="46">
        <f>'Raw data'!F5066</f>
        <v>0</v>
      </c>
      <c r="H5157" s="4">
        <f>'Raw data'!G5066</f>
        <v>0</v>
      </c>
      <c r="I5157" s="29" t="e">
        <f>VLOOKUP(G5157,제품명!$C$1:$E$114,2,0)</f>
        <v>#N/A</v>
      </c>
      <c r="J5157" s="29">
        <f>'Raw data'!K5066</f>
        <v>0</v>
      </c>
      <c r="K5157" s="31">
        <f>'Raw data'!H5066</f>
        <v>0</v>
      </c>
      <c r="L5157" s="26">
        <f t="shared" si="164"/>
        <v>0</v>
      </c>
    </row>
    <row r="5158" spans="2:12">
      <c r="B5158" s="4" t="e">
        <f t="shared" si="163"/>
        <v>#N/A</v>
      </c>
      <c r="C5158" s="4">
        <f>'Raw data'!E4734</f>
        <v>0</v>
      </c>
      <c r="D5158" s="29" t="e">
        <f>VLOOKUP(C5158,'점포코드 '!A:B,2,0)</f>
        <v>#N/A</v>
      </c>
      <c r="E5158" s="30">
        <f>'Raw data'!P4734</f>
        <v>0</v>
      </c>
      <c r="F5158" s="29" t="e">
        <f>VLOOKUP(E5158,'점포코드 '!A:B,2,0)</f>
        <v>#N/A</v>
      </c>
      <c r="G5158" s="46">
        <f>'Raw data'!F5067</f>
        <v>0</v>
      </c>
      <c r="H5158" s="4">
        <f>'Raw data'!G5067</f>
        <v>0</v>
      </c>
      <c r="I5158" s="29" t="e">
        <f>VLOOKUP(G5158,제품명!$C$1:$E$114,2,0)</f>
        <v>#N/A</v>
      </c>
      <c r="J5158" s="29">
        <f>'Raw data'!K5067</f>
        <v>0</v>
      </c>
      <c r="K5158" s="31">
        <f>'Raw data'!H5067</f>
        <v>0</v>
      </c>
      <c r="L5158" s="26">
        <f t="shared" si="164"/>
        <v>0</v>
      </c>
    </row>
    <row r="5159" spans="2:12">
      <c r="B5159" s="4" t="e">
        <f t="shared" si="163"/>
        <v>#N/A</v>
      </c>
      <c r="C5159" s="4">
        <f>'Raw data'!E4735</f>
        <v>0</v>
      </c>
      <c r="D5159" s="29" t="e">
        <f>VLOOKUP(C5159,'점포코드 '!A:B,2,0)</f>
        <v>#N/A</v>
      </c>
      <c r="E5159" s="30">
        <f>'Raw data'!P4735</f>
        <v>0</v>
      </c>
      <c r="F5159" s="29" t="e">
        <f>VLOOKUP(E5159,'점포코드 '!A:B,2,0)</f>
        <v>#N/A</v>
      </c>
      <c r="G5159" s="46">
        <f>'Raw data'!F5068</f>
        <v>0</v>
      </c>
      <c r="H5159" s="4">
        <f>'Raw data'!G5068</f>
        <v>0</v>
      </c>
      <c r="I5159" s="29" t="e">
        <f>VLOOKUP(G5159,제품명!$C$1:$E$114,2,0)</f>
        <v>#N/A</v>
      </c>
      <c r="J5159" s="29">
        <f>'Raw data'!K5068</f>
        <v>0</v>
      </c>
      <c r="K5159" s="31">
        <f>'Raw data'!H5068</f>
        <v>0</v>
      </c>
      <c r="L5159" s="26">
        <f t="shared" si="164"/>
        <v>0</v>
      </c>
    </row>
    <row r="5160" spans="2:12">
      <c r="B5160" s="4" t="e">
        <f t="shared" si="163"/>
        <v>#N/A</v>
      </c>
      <c r="C5160" s="4">
        <f>'Raw data'!E4736</f>
        <v>0</v>
      </c>
      <c r="D5160" s="29" t="e">
        <f>VLOOKUP(C5160,'점포코드 '!A:B,2,0)</f>
        <v>#N/A</v>
      </c>
      <c r="E5160" s="30">
        <f>'Raw data'!P4736</f>
        <v>0</v>
      </c>
      <c r="F5160" s="29" t="e">
        <f>VLOOKUP(E5160,'점포코드 '!A:B,2,0)</f>
        <v>#N/A</v>
      </c>
      <c r="G5160" s="46">
        <f>'Raw data'!F5069</f>
        <v>0</v>
      </c>
      <c r="H5160" s="4">
        <f>'Raw data'!G5069</f>
        <v>0</v>
      </c>
      <c r="I5160" s="29" t="e">
        <f>VLOOKUP(G5160,제품명!$C$1:$E$114,2,0)</f>
        <v>#N/A</v>
      </c>
      <c r="J5160" s="29">
        <f>'Raw data'!K5069</f>
        <v>0</v>
      </c>
      <c r="K5160" s="31">
        <f>'Raw data'!H5069</f>
        <v>0</v>
      </c>
      <c r="L5160" s="26">
        <f t="shared" si="164"/>
        <v>0</v>
      </c>
    </row>
    <row r="5161" spans="2:12">
      <c r="B5161" s="4" t="e">
        <f t="shared" si="163"/>
        <v>#N/A</v>
      </c>
      <c r="C5161" s="4">
        <f>'Raw data'!E4737</f>
        <v>0</v>
      </c>
      <c r="D5161" s="29" t="e">
        <f>VLOOKUP(C5161,'점포코드 '!A:B,2,0)</f>
        <v>#N/A</v>
      </c>
      <c r="E5161" s="30">
        <f>'Raw data'!P4737</f>
        <v>0</v>
      </c>
      <c r="F5161" s="29" t="e">
        <f>VLOOKUP(E5161,'점포코드 '!A:B,2,0)</f>
        <v>#N/A</v>
      </c>
      <c r="G5161" s="46">
        <f>'Raw data'!F5070</f>
        <v>0</v>
      </c>
      <c r="H5161" s="4">
        <f>'Raw data'!G5070</f>
        <v>0</v>
      </c>
      <c r="I5161" s="29" t="e">
        <f>VLOOKUP(G5161,제품명!$C$1:$E$114,2,0)</f>
        <v>#N/A</v>
      </c>
      <c r="J5161" s="29">
        <f>'Raw data'!K5070</f>
        <v>0</v>
      </c>
      <c r="K5161" s="31">
        <f>'Raw data'!H5070</f>
        <v>0</v>
      </c>
      <c r="L5161" s="26">
        <f t="shared" si="164"/>
        <v>0</v>
      </c>
    </row>
    <row r="5162" spans="2:12">
      <c r="B5162" s="4" t="e">
        <f t="shared" si="163"/>
        <v>#N/A</v>
      </c>
      <c r="C5162" s="4">
        <f>'Raw data'!E4738</f>
        <v>0</v>
      </c>
      <c r="D5162" s="29" t="e">
        <f>VLOOKUP(C5162,'점포코드 '!A:B,2,0)</f>
        <v>#N/A</v>
      </c>
      <c r="E5162" s="30">
        <f>'Raw data'!P4738</f>
        <v>0</v>
      </c>
      <c r="F5162" s="29" t="e">
        <f>VLOOKUP(E5162,'점포코드 '!A:B,2,0)</f>
        <v>#N/A</v>
      </c>
      <c r="G5162" s="46">
        <f>'Raw data'!F5071</f>
        <v>0</v>
      </c>
      <c r="H5162" s="4">
        <f>'Raw data'!G5071</f>
        <v>0</v>
      </c>
      <c r="I5162" s="29" t="e">
        <f>VLOOKUP(G5162,제품명!$C$1:$E$114,2,0)</f>
        <v>#N/A</v>
      </c>
      <c r="J5162" s="29">
        <f>'Raw data'!K5071</f>
        <v>0</v>
      </c>
      <c r="K5162" s="31">
        <f>'Raw data'!H5071</f>
        <v>0</v>
      </c>
      <c r="L5162" s="26">
        <f t="shared" si="164"/>
        <v>0</v>
      </c>
    </row>
    <row r="5163" spans="2:12">
      <c r="B5163" s="4" t="e">
        <f t="shared" si="163"/>
        <v>#N/A</v>
      </c>
      <c r="C5163" s="4">
        <f>'Raw data'!E4739</f>
        <v>0</v>
      </c>
      <c r="D5163" s="29" t="e">
        <f>VLOOKUP(C5163,'점포코드 '!A:B,2,0)</f>
        <v>#N/A</v>
      </c>
      <c r="E5163" s="30">
        <f>'Raw data'!P4739</f>
        <v>0</v>
      </c>
      <c r="F5163" s="29" t="e">
        <f>VLOOKUP(E5163,'점포코드 '!A:B,2,0)</f>
        <v>#N/A</v>
      </c>
      <c r="G5163" s="46">
        <f>'Raw data'!F5072</f>
        <v>0</v>
      </c>
      <c r="H5163" s="4">
        <f>'Raw data'!G5072</f>
        <v>0</v>
      </c>
      <c r="I5163" s="29" t="e">
        <f>VLOOKUP(G5163,제품명!$C$1:$E$114,2,0)</f>
        <v>#N/A</v>
      </c>
      <c r="J5163" s="29">
        <f>'Raw data'!K5072</f>
        <v>0</v>
      </c>
      <c r="K5163" s="31">
        <f>'Raw data'!H5072</f>
        <v>0</v>
      </c>
      <c r="L5163" s="26">
        <f t="shared" si="164"/>
        <v>0</v>
      </c>
    </row>
    <row r="5164" spans="2:12">
      <c r="B5164" s="4" t="e">
        <f t="shared" si="163"/>
        <v>#N/A</v>
      </c>
      <c r="C5164" s="4">
        <f>'Raw data'!E4740</f>
        <v>0</v>
      </c>
      <c r="D5164" s="29" t="e">
        <f>VLOOKUP(C5164,'점포코드 '!A:B,2,0)</f>
        <v>#N/A</v>
      </c>
      <c r="E5164" s="30">
        <f>'Raw data'!P4740</f>
        <v>0</v>
      </c>
      <c r="F5164" s="29" t="e">
        <f>VLOOKUP(E5164,'점포코드 '!A:B,2,0)</f>
        <v>#N/A</v>
      </c>
      <c r="G5164" s="46">
        <f>'Raw data'!F5073</f>
        <v>0</v>
      </c>
      <c r="H5164" s="4">
        <f>'Raw data'!G5073</f>
        <v>0</v>
      </c>
      <c r="I5164" s="29" t="e">
        <f>VLOOKUP(G5164,제품명!$C$1:$E$114,2,0)</f>
        <v>#N/A</v>
      </c>
      <c r="J5164" s="29">
        <f>'Raw data'!K5073</f>
        <v>0</v>
      </c>
      <c r="K5164" s="31">
        <f>'Raw data'!H5073</f>
        <v>0</v>
      </c>
      <c r="L5164" s="26">
        <f t="shared" si="164"/>
        <v>0</v>
      </c>
    </row>
    <row r="5165" spans="2:12">
      <c r="B5165" s="4" t="e">
        <f t="shared" si="163"/>
        <v>#N/A</v>
      </c>
      <c r="C5165" s="4">
        <f>'Raw data'!E4741</f>
        <v>0</v>
      </c>
      <c r="D5165" s="29" t="e">
        <f>VLOOKUP(C5165,'점포코드 '!A:B,2,0)</f>
        <v>#N/A</v>
      </c>
      <c r="E5165" s="30">
        <f>'Raw data'!P4741</f>
        <v>0</v>
      </c>
      <c r="F5165" s="29" t="e">
        <f>VLOOKUP(E5165,'점포코드 '!A:B,2,0)</f>
        <v>#N/A</v>
      </c>
      <c r="G5165" s="46">
        <f>'Raw data'!F5074</f>
        <v>0</v>
      </c>
      <c r="H5165" s="4">
        <f>'Raw data'!G5074</f>
        <v>0</v>
      </c>
      <c r="I5165" s="29" t="e">
        <f>VLOOKUP(G5165,제품명!$C$1:$E$114,2,0)</f>
        <v>#N/A</v>
      </c>
      <c r="J5165" s="29">
        <f>'Raw data'!K5074</f>
        <v>0</v>
      </c>
      <c r="K5165" s="31">
        <f>'Raw data'!H5074</f>
        <v>0</v>
      </c>
      <c r="L5165" s="26">
        <f t="shared" si="164"/>
        <v>0</v>
      </c>
    </row>
    <row r="5166" spans="2:12">
      <c r="B5166" s="4" t="e">
        <f t="shared" si="163"/>
        <v>#N/A</v>
      </c>
      <c r="C5166" s="4">
        <f>'Raw data'!E4742</f>
        <v>0</v>
      </c>
      <c r="D5166" s="29" t="e">
        <f>VLOOKUP(C5166,'점포코드 '!A:B,2,0)</f>
        <v>#N/A</v>
      </c>
      <c r="E5166" s="30">
        <f>'Raw data'!P4742</f>
        <v>0</v>
      </c>
      <c r="F5166" s="29" t="e">
        <f>VLOOKUP(E5166,'점포코드 '!A:B,2,0)</f>
        <v>#N/A</v>
      </c>
      <c r="G5166" s="46">
        <f>'Raw data'!F5075</f>
        <v>0</v>
      </c>
      <c r="H5166" s="4">
        <f>'Raw data'!G5075</f>
        <v>0</v>
      </c>
      <c r="I5166" s="29" t="e">
        <f>VLOOKUP(G5166,제품명!$C$1:$E$114,2,0)</f>
        <v>#N/A</v>
      </c>
      <c r="J5166" s="29">
        <f>'Raw data'!K5075</f>
        <v>0</v>
      </c>
      <c r="K5166" s="31">
        <f>'Raw data'!H5075</f>
        <v>0</v>
      </c>
      <c r="L5166" s="26">
        <f t="shared" si="164"/>
        <v>0</v>
      </c>
    </row>
    <row r="5167" spans="2:12">
      <c r="B5167" s="4" t="e">
        <f t="shared" si="163"/>
        <v>#N/A</v>
      </c>
      <c r="C5167" s="4">
        <f>'Raw data'!E4743</f>
        <v>0</v>
      </c>
      <c r="D5167" s="29" t="e">
        <f>VLOOKUP(C5167,'점포코드 '!A:B,2,0)</f>
        <v>#N/A</v>
      </c>
      <c r="E5167" s="30">
        <f>'Raw data'!P4743</f>
        <v>0</v>
      </c>
      <c r="F5167" s="29" t="e">
        <f>VLOOKUP(E5167,'점포코드 '!A:B,2,0)</f>
        <v>#N/A</v>
      </c>
      <c r="G5167" s="46">
        <f>'Raw data'!F5076</f>
        <v>0</v>
      </c>
      <c r="H5167" s="4">
        <f>'Raw data'!G5076</f>
        <v>0</v>
      </c>
      <c r="I5167" s="29" t="e">
        <f>VLOOKUP(G5167,제품명!$C$1:$E$114,2,0)</f>
        <v>#N/A</v>
      </c>
      <c r="J5167" s="29">
        <f>'Raw data'!K5076</f>
        <v>0</v>
      </c>
      <c r="K5167" s="31">
        <f>'Raw data'!H5076</f>
        <v>0</v>
      </c>
      <c r="L5167" s="26">
        <f t="shared" si="164"/>
        <v>0</v>
      </c>
    </row>
    <row r="5168" spans="2:12">
      <c r="B5168" s="4" t="e">
        <f t="shared" si="163"/>
        <v>#N/A</v>
      </c>
      <c r="C5168" s="4">
        <f>'Raw data'!E4744</f>
        <v>0</v>
      </c>
      <c r="D5168" s="29" t="e">
        <f>VLOOKUP(C5168,'점포코드 '!A:B,2,0)</f>
        <v>#N/A</v>
      </c>
      <c r="E5168" s="30">
        <f>'Raw data'!P4744</f>
        <v>0</v>
      </c>
      <c r="F5168" s="29" t="e">
        <f>VLOOKUP(E5168,'점포코드 '!A:B,2,0)</f>
        <v>#N/A</v>
      </c>
      <c r="G5168" s="46">
        <f>'Raw data'!F5077</f>
        <v>0</v>
      </c>
      <c r="H5168" s="4">
        <f>'Raw data'!G5077</f>
        <v>0</v>
      </c>
      <c r="I5168" s="29" t="e">
        <f>VLOOKUP(G5168,제품명!$C$1:$E$114,2,0)</f>
        <v>#N/A</v>
      </c>
      <c r="J5168" s="29">
        <f>'Raw data'!K5077</f>
        <v>0</v>
      </c>
      <c r="K5168" s="31">
        <f>'Raw data'!H5077</f>
        <v>0</v>
      </c>
      <c r="L5168" s="26">
        <f t="shared" si="164"/>
        <v>0</v>
      </c>
    </row>
    <row r="5169" spans="2:12">
      <c r="B5169" s="4" t="e">
        <f t="shared" si="163"/>
        <v>#N/A</v>
      </c>
      <c r="C5169" s="4">
        <f>'Raw data'!E4745</f>
        <v>0</v>
      </c>
      <c r="D5169" s="29" t="e">
        <f>VLOOKUP(C5169,'점포코드 '!A:B,2,0)</f>
        <v>#N/A</v>
      </c>
      <c r="E5169" s="30">
        <f>'Raw data'!P4745</f>
        <v>0</v>
      </c>
      <c r="F5169" s="29" t="e">
        <f>VLOOKUP(E5169,'점포코드 '!A:B,2,0)</f>
        <v>#N/A</v>
      </c>
      <c r="G5169" s="46">
        <f>'Raw data'!F5078</f>
        <v>0</v>
      </c>
      <c r="H5169" s="4">
        <f>'Raw data'!G5078</f>
        <v>0</v>
      </c>
      <c r="I5169" s="29" t="e">
        <f>VLOOKUP(G5169,제품명!$C$1:$E$114,2,0)</f>
        <v>#N/A</v>
      </c>
      <c r="J5169" s="29">
        <f>'Raw data'!K5078</f>
        <v>0</v>
      </c>
      <c r="K5169" s="31">
        <f>'Raw data'!H5078</f>
        <v>0</v>
      </c>
      <c r="L5169" s="26">
        <f t="shared" si="164"/>
        <v>0</v>
      </c>
    </row>
    <row r="5170" spans="2:12">
      <c r="B5170" s="4" t="e">
        <f t="shared" si="163"/>
        <v>#N/A</v>
      </c>
      <c r="C5170" s="4">
        <f>'Raw data'!E4746</f>
        <v>0</v>
      </c>
      <c r="D5170" s="29" t="e">
        <f>VLOOKUP(C5170,'점포코드 '!A:B,2,0)</f>
        <v>#N/A</v>
      </c>
      <c r="E5170" s="30">
        <f>'Raw data'!P4746</f>
        <v>0</v>
      </c>
      <c r="F5170" s="29" t="e">
        <f>VLOOKUP(E5170,'점포코드 '!A:B,2,0)</f>
        <v>#N/A</v>
      </c>
      <c r="G5170" s="46">
        <f>'Raw data'!F5079</f>
        <v>0</v>
      </c>
      <c r="H5170" s="4">
        <f>'Raw data'!G5079</f>
        <v>0</v>
      </c>
      <c r="I5170" s="29" t="e">
        <f>VLOOKUP(G5170,제품명!$C$1:$E$114,2,0)</f>
        <v>#N/A</v>
      </c>
      <c r="J5170" s="29">
        <f>'Raw data'!K5079</f>
        <v>0</v>
      </c>
      <c r="K5170" s="31">
        <f>'Raw data'!H5079</f>
        <v>0</v>
      </c>
      <c r="L5170" s="26">
        <f t="shared" si="164"/>
        <v>0</v>
      </c>
    </row>
    <row r="5171" spans="2:12">
      <c r="B5171" s="4" t="e">
        <f t="shared" si="163"/>
        <v>#N/A</v>
      </c>
      <c r="C5171" s="4">
        <f>'Raw data'!E4747</f>
        <v>0</v>
      </c>
      <c r="D5171" s="29" t="e">
        <f>VLOOKUP(C5171,'점포코드 '!A:B,2,0)</f>
        <v>#N/A</v>
      </c>
      <c r="E5171" s="30">
        <f>'Raw data'!P4747</f>
        <v>0</v>
      </c>
      <c r="F5171" s="29" t="e">
        <f>VLOOKUP(E5171,'점포코드 '!A:B,2,0)</f>
        <v>#N/A</v>
      </c>
      <c r="G5171" s="46">
        <f>'Raw data'!F5080</f>
        <v>0</v>
      </c>
      <c r="H5171" s="4">
        <f>'Raw data'!G5080</f>
        <v>0</v>
      </c>
      <c r="I5171" s="29" t="e">
        <f>VLOOKUP(G5171,제품명!$C$1:$E$114,2,0)</f>
        <v>#N/A</v>
      </c>
      <c r="J5171" s="29">
        <f>'Raw data'!K5080</f>
        <v>0</v>
      </c>
      <c r="K5171" s="31">
        <f>'Raw data'!H5080</f>
        <v>0</v>
      </c>
      <c r="L5171" s="26">
        <f t="shared" si="164"/>
        <v>0</v>
      </c>
    </row>
    <row r="5172" spans="2:12">
      <c r="B5172" s="4" t="e">
        <f t="shared" si="163"/>
        <v>#N/A</v>
      </c>
      <c r="C5172" s="4">
        <f>'Raw data'!E4748</f>
        <v>0</v>
      </c>
      <c r="D5172" s="29" t="e">
        <f>VLOOKUP(C5172,'점포코드 '!A:B,2,0)</f>
        <v>#N/A</v>
      </c>
      <c r="E5172" s="30">
        <f>'Raw data'!P4748</f>
        <v>0</v>
      </c>
      <c r="F5172" s="29" t="e">
        <f>VLOOKUP(E5172,'점포코드 '!A:B,2,0)</f>
        <v>#N/A</v>
      </c>
      <c r="G5172" s="46">
        <f>'Raw data'!F5081</f>
        <v>0</v>
      </c>
      <c r="H5172" s="4">
        <f>'Raw data'!G5081</f>
        <v>0</v>
      </c>
      <c r="I5172" s="29" t="e">
        <f>VLOOKUP(G5172,제품명!$C$1:$E$114,2,0)</f>
        <v>#N/A</v>
      </c>
      <c r="J5172" s="29">
        <f>'Raw data'!K5081</f>
        <v>0</v>
      </c>
      <c r="K5172" s="31">
        <f>'Raw data'!H5081</f>
        <v>0</v>
      </c>
      <c r="L5172" s="26">
        <f t="shared" si="164"/>
        <v>0</v>
      </c>
    </row>
    <row r="5173" spans="2:12">
      <c r="B5173" s="4" t="e">
        <f t="shared" si="163"/>
        <v>#N/A</v>
      </c>
      <c r="C5173" s="4">
        <f>'Raw data'!E4749</f>
        <v>0</v>
      </c>
      <c r="D5173" s="29" t="e">
        <f>VLOOKUP(C5173,'점포코드 '!A:B,2,0)</f>
        <v>#N/A</v>
      </c>
      <c r="E5173" s="30">
        <f>'Raw data'!P4749</f>
        <v>0</v>
      </c>
      <c r="F5173" s="29" t="e">
        <f>VLOOKUP(E5173,'점포코드 '!A:B,2,0)</f>
        <v>#N/A</v>
      </c>
      <c r="G5173" s="46">
        <f>'Raw data'!F5082</f>
        <v>0</v>
      </c>
      <c r="H5173" s="4">
        <f>'Raw data'!G5082</f>
        <v>0</v>
      </c>
      <c r="I5173" s="29" t="e">
        <f>VLOOKUP(G5173,제품명!$C$1:$E$114,2,0)</f>
        <v>#N/A</v>
      </c>
      <c r="J5173" s="29">
        <f>'Raw data'!K5082</f>
        <v>0</v>
      </c>
      <c r="K5173" s="31">
        <f>'Raw data'!H5082</f>
        <v>0</v>
      </c>
      <c r="L5173" s="26">
        <f t="shared" si="164"/>
        <v>0</v>
      </c>
    </row>
    <row r="5174" spans="2:12">
      <c r="B5174" s="4" t="e">
        <f t="shared" si="163"/>
        <v>#N/A</v>
      </c>
      <c r="C5174" s="4">
        <f>'Raw data'!E4750</f>
        <v>0</v>
      </c>
      <c r="D5174" s="29" t="e">
        <f>VLOOKUP(C5174,'점포코드 '!A:B,2,0)</f>
        <v>#N/A</v>
      </c>
      <c r="E5174" s="30">
        <f>'Raw data'!P4750</f>
        <v>0</v>
      </c>
      <c r="F5174" s="29" t="e">
        <f>VLOOKUP(E5174,'점포코드 '!A:B,2,0)</f>
        <v>#N/A</v>
      </c>
      <c r="G5174" s="46">
        <f>'Raw data'!F5083</f>
        <v>0</v>
      </c>
      <c r="H5174" s="4">
        <f>'Raw data'!G5083</f>
        <v>0</v>
      </c>
      <c r="I5174" s="29" t="e">
        <f>VLOOKUP(G5174,제품명!$C$1:$E$114,2,0)</f>
        <v>#N/A</v>
      </c>
      <c r="J5174" s="29">
        <f>'Raw data'!K5083</f>
        <v>0</v>
      </c>
      <c r="K5174" s="31">
        <f>'Raw data'!H5083</f>
        <v>0</v>
      </c>
      <c r="L5174" s="26">
        <f t="shared" si="164"/>
        <v>0</v>
      </c>
    </row>
    <row r="5175" spans="2:12">
      <c r="B5175" s="4" t="e">
        <f t="shared" si="163"/>
        <v>#N/A</v>
      </c>
      <c r="C5175" s="4">
        <f>'Raw data'!E4751</f>
        <v>0</v>
      </c>
      <c r="D5175" s="29" t="e">
        <f>VLOOKUP(C5175,'점포코드 '!A:B,2,0)</f>
        <v>#N/A</v>
      </c>
      <c r="E5175" s="30">
        <f>'Raw data'!P4751</f>
        <v>0</v>
      </c>
      <c r="F5175" s="29" t="e">
        <f>VLOOKUP(E5175,'점포코드 '!A:B,2,0)</f>
        <v>#N/A</v>
      </c>
      <c r="G5175" s="46">
        <f>'Raw data'!F5084</f>
        <v>0</v>
      </c>
      <c r="H5175" s="4">
        <f>'Raw data'!G5084</f>
        <v>0</v>
      </c>
      <c r="I5175" s="29" t="e">
        <f>VLOOKUP(G5175,제품명!$C$1:$E$114,2,0)</f>
        <v>#N/A</v>
      </c>
      <c r="J5175" s="29">
        <f>'Raw data'!K5084</f>
        <v>0</v>
      </c>
      <c r="K5175" s="31">
        <f>'Raw data'!H5084</f>
        <v>0</v>
      </c>
      <c r="L5175" s="26">
        <f t="shared" si="164"/>
        <v>0</v>
      </c>
    </row>
    <row r="5176" spans="2:12">
      <c r="B5176" s="4" t="e">
        <f t="shared" si="163"/>
        <v>#N/A</v>
      </c>
      <c r="C5176" s="4">
        <f>'Raw data'!E4752</f>
        <v>0</v>
      </c>
      <c r="D5176" s="29" t="e">
        <f>VLOOKUP(C5176,'점포코드 '!A:B,2,0)</f>
        <v>#N/A</v>
      </c>
      <c r="E5176" s="30">
        <f>'Raw data'!P4752</f>
        <v>0</v>
      </c>
      <c r="F5176" s="29" t="e">
        <f>VLOOKUP(E5176,'점포코드 '!A:B,2,0)</f>
        <v>#N/A</v>
      </c>
      <c r="G5176" s="46">
        <f>'Raw data'!F5085</f>
        <v>0</v>
      </c>
      <c r="H5176" s="4">
        <f>'Raw data'!G5085</f>
        <v>0</v>
      </c>
      <c r="I5176" s="29" t="e">
        <f>VLOOKUP(G5176,제품명!$C$1:$E$114,2,0)</f>
        <v>#N/A</v>
      </c>
      <c r="J5176" s="29">
        <f>'Raw data'!K5085</f>
        <v>0</v>
      </c>
      <c r="K5176" s="31">
        <f>'Raw data'!H5085</f>
        <v>0</v>
      </c>
      <c r="L5176" s="26">
        <f t="shared" si="164"/>
        <v>0</v>
      </c>
    </row>
    <row r="5177" spans="2:12">
      <c r="B5177" s="4" t="e">
        <f t="shared" si="163"/>
        <v>#N/A</v>
      </c>
      <c r="C5177" s="4">
        <f>'Raw data'!E4753</f>
        <v>0</v>
      </c>
      <c r="D5177" s="29" t="e">
        <f>VLOOKUP(C5177,'점포코드 '!A:B,2,0)</f>
        <v>#N/A</v>
      </c>
      <c r="E5177" s="30">
        <f>'Raw data'!P4753</f>
        <v>0</v>
      </c>
      <c r="F5177" s="29" t="e">
        <f>VLOOKUP(E5177,'점포코드 '!A:B,2,0)</f>
        <v>#N/A</v>
      </c>
      <c r="G5177" s="46">
        <f>'Raw data'!F5086</f>
        <v>0</v>
      </c>
      <c r="H5177" s="4">
        <f>'Raw data'!G5086</f>
        <v>0</v>
      </c>
      <c r="I5177" s="29" t="e">
        <f>VLOOKUP(G5177,제품명!$C$1:$E$114,2,0)</f>
        <v>#N/A</v>
      </c>
      <c r="J5177" s="29">
        <f>'Raw data'!K5086</f>
        <v>0</v>
      </c>
      <c r="K5177" s="31">
        <f>'Raw data'!H5086</f>
        <v>0</v>
      </c>
      <c r="L5177" s="26">
        <f t="shared" si="164"/>
        <v>0</v>
      </c>
    </row>
    <row r="5178" spans="2:12">
      <c r="B5178" s="4" t="e">
        <f t="shared" si="163"/>
        <v>#N/A</v>
      </c>
      <c r="C5178" s="4">
        <f>'Raw data'!E4754</f>
        <v>0</v>
      </c>
      <c r="D5178" s="29" t="e">
        <f>VLOOKUP(C5178,'점포코드 '!A:B,2,0)</f>
        <v>#N/A</v>
      </c>
      <c r="E5178" s="30">
        <f>'Raw data'!P4754</f>
        <v>0</v>
      </c>
      <c r="F5178" s="29" t="e">
        <f>VLOOKUP(E5178,'점포코드 '!A:B,2,0)</f>
        <v>#N/A</v>
      </c>
      <c r="G5178" s="46">
        <f>'Raw data'!F5087</f>
        <v>0</v>
      </c>
      <c r="H5178" s="4">
        <f>'Raw data'!G5087</f>
        <v>0</v>
      </c>
      <c r="I5178" s="29" t="e">
        <f>VLOOKUP(G5178,제품명!$C$1:$E$114,2,0)</f>
        <v>#N/A</v>
      </c>
      <c r="J5178" s="29">
        <f>'Raw data'!K5087</f>
        <v>0</v>
      </c>
      <c r="K5178" s="31">
        <f>'Raw data'!H5087</f>
        <v>0</v>
      </c>
      <c r="L5178" s="26">
        <f t="shared" si="164"/>
        <v>0</v>
      </c>
    </row>
    <row r="5179" spans="2:12">
      <c r="B5179" s="4" t="e">
        <f t="shared" si="163"/>
        <v>#N/A</v>
      </c>
      <c r="C5179" s="4">
        <f>'Raw data'!E4755</f>
        <v>0</v>
      </c>
      <c r="D5179" s="29" t="e">
        <f>VLOOKUP(C5179,'점포코드 '!A:B,2,0)</f>
        <v>#N/A</v>
      </c>
      <c r="E5179" s="30">
        <f>'Raw data'!P4755</f>
        <v>0</v>
      </c>
      <c r="F5179" s="29" t="e">
        <f>VLOOKUP(E5179,'점포코드 '!A:B,2,0)</f>
        <v>#N/A</v>
      </c>
      <c r="G5179" s="46">
        <f>'Raw data'!F5088</f>
        <v>0</v>
      </c>
      <c r="H5179" s="4">
        <f>'Raw data'!G5088</f>
        <v>0</v>
      </c>
      <c r="I5179" s="29" t="e">
        <f>VLOOKUP(G5179,제품명!$C$1:$E$114,2,0)</f>
        <v>#N/A</v>
      </c>
      <c r="J5179" s="29">
        <f>'Raw data'!K5088</f>
        <v>0</v>
      </c>
      <c r="K5179" s="31">
        <f>'Raw data'!H5088</f>
        <v>0</v>
      </c>
      <c r="L5179" s="26">
        <f t="shared" si="164"/>
        <v>0</v>
      </c>
    </row>
    <row r="5180" spans="2:12">
      <c r="B5180" s="4" t="e">
        <f t="shared" si="163"/>
        <v>#N/A</v>
      </c>
      <c r="C5180" s="4">
        <f>'Raw data'!E4756</f>
        <v>0</v>
      </c>
      <c r="D5180" s="29" t="e">
        <f>VLOOKUP(C5180,'점포코드 '!A:B,2,0)</f>
        <v>#N/A</v>
      </c>
      <c r="E5180" s="30">
        <f>'Raw data'!P4756</f>
        <v>0</v>
      </c>
      <c r="F5180" s="29" t="e">
        <f>VLOOKUP(E5180,'점포코드 '!A:B,2,0)</f>
        <v>#N/A</v>
      </c>
      <c r="G5180" s="46">
        <f>'Raw data'!F5089</f>
        <v>0</v>
      </c>
      <c r="H5180" s="4">
        <f>'Raw data'!G5089</f>
        <v>0</v>
      </c>
      <c r="I5180" s="29" t="e">
        <f>VLOOKUP(G5180,제품명!$C$1:$E$114,2,0)</f>
        <v>#N/A</v>
      </c>
      <c r="J5180" s="29">
        <f>'Raw data'!K5089</f>
        <v>0</v>
      </c>
      <c r="K5180" s="31">
        <f>'Raw data'!H5089</f>
        <v>0</v>
      </c>
      <c r="L5180" s="26">
        <f t="shared" si="164"/>
        <v>0</v>
      </c>
    </row>
    <row r="5181" spans="2:12">
      <c r="B5181" s="4" t="e">
        <f t="shared" si="163"/>
        <v>#N/A</v>
      </c>
      <c r="C5181" s="4">
        <f>'Raw data'!E4757</f>
        <v>0</v>
      </c>
      <c r="D5181" s="29" t="e">
        <f>VLOOKUP(C5181,'점포코드 '!A:B,2,0)</f>
        <v>#N/A</v>
      </c>
      <c r="E5181" s="30">
        <f>'Raw data'!P4757</f>
        <v>0</v>
      </c>
      <c r="F5181" s="29" t="e">
        <f>VLOOKUP(E5181,'점포코드 '!A:B,2,0)</f>
        <v>#N/A</v>
      </c>
      <c r="G5181" s="46">
        <f>'Raw data'!F5090</f>
        <v>0</v>
      </c>
      <c r="H5181" s="4">
        <f>'Raw data'!G5090</f>
        <v>0</v>
      </c>
      <c r="I5181" s="29" t="e">
        <f>VLOOKUP(G5181,제품명!$C$1:$E$114,2,0)</f>
        <v>#N/A</v>
      </c>
      <c r="J5181" s="29">
        <f>'Raw data'!K5090</f>
        <v>0</v>
      </c>
      <c r="K5181" s="31">
        <f>'Raw data'!H5090</f>
        <v>0</v>
      </c>
      <c r="L5181" s="26">
        <f t="shared" si="164"/>
        <v>0</v>
      </c>
    </row>
    <row r="5182" spans="2:12">
      <c r="B5182" s="4" t="e">
        <f t="shared" si="163"/>
        <v>#N/A</v>
      </c>
      <c r="C5182" s="4">
        <f>'Raw data'!E4758</f>
        <v>0</v>
      </c>
      <c r="D5182" s="29" t="e">
        <f>VLOOKUP(C5182,'점포코드 '!A:B,2,0)</f>
        <v>#N/A</v>
      </c>
      <c r="E5182" s="30">
        <f>'Raw data'!P4758</f>
        <v>0</v>
      </c>
      <c r="F5182" s="29" t="e">
        <f>VLOOKUP(E5182,'점포코드 '!A:B,2,0)</f>
        <v>#N/A</v>
      </c>
      <c r="G5182" s="46">
        <f>'Raw data'!F5091</f>
        <v>0</v>
      </c>
      <c r="H5182" s="4">
        <f>'Raw data'!G5091</f>
        <v>0</v>
      </c>
      <c r="I5182" s="29" t="e">
        <f>VLOOKUP(G5182,제품명!$C$1:$E$114,2,0)</f>
        <v>#N/A</v>
      </c>
      <c r="J5182" s="29">
        <f>'Raw data'!K5091</f>
        <v>0</v>
      </c>
      <c r="K5182" s="31">
        <f>'Raw data'!H5091</f>
        <v>0</v>
      </c>
      <c r="L5182" s="26">
        <f t="shared" si="164"/>
        <v>0</v>
      </c>
    </row>
    <row r="5183" spans="2:12">
      <c r="B5183" s="4" t="e">
        <f t="shared" si="163"/>
        <v>#N/A</v>
      </c>
      <c r="C5183" s="4">
        <f>'Raw data'!E4759</f>
        <v>0</v>
      </c>
      <c r="D5183" s="29" t="e">
        <f>VLOOKUP(C5183,'점포코드 '!A:B,2,0)</f>
        <v>#N/A</v>
      </c>
      <c r="E5183" s="30">
        <f>'Raw data'!P4759</f>
        <v>0</v>
      </c>
      <c r="F5183" s="29" t="e">
        <f>VLOOKUP(E5183,'점포코드 '!A:B,2,0)</f>
        <v>#N/A</v>
      </c>
      <c r="G5183" s="46">
        <f>'Raw data'!F5092</f>
        <v>0</v>
      </c>
      <c r="H5183" s="4">
        <f>'Raw data'!G5092</f>
        <v>0</v>
      </c>
      <c r="I5183" s="29" t="e">
        <f>VLOOKUP(G5183,제품명!$C$1:$E$114,2,0)</f>
        <v>#N/A</v>
      </c>
      <c r="J5183" s="29">
        <f>'Raw data'!K5092</f>
        <v>0</v>
      </c>
      <c r="K5183" s="31">
        <f>'Raw data'!H5092</f>
        <v>0</v>
      </c>
      <c r="L5183" s="26">
        <f t="shared" si="164"/>
        <v>0</v>
      </c>
    </row>
    <row r="5184" spans="2:12">
      <c r="B5184" s="4" t="e">
        <f t="shared" si="163"/>
        <v>#N/A</v>
      </c>
      <c r="C5184" s="4">
        <f>'Raw data'!E4760</f>
        <v>0</v>
      </c>
      <c r="D5184" s="29" t="e">
        <f>VLOOKUP(C5184,'점포코드 '!A:B,2,0)</f>
        <v>#N/A</v>
      </c>
      <c r="E5184" s="30">
        <f>'Raw data'!P4760</f>
        <v>0</v>
      </c>
      <c r="F5184" s="29" t="e">
        <f>VLOOKUP(E5184,'점포코드 '!A:B,2,0)</f>
        <v>#N/A</v>
      </c>
      <c r="G5184" s="46">
        <f>'Raw data'!F5093</f>
        <v>0</v>
      </c>
      <c r="H5184" s="4">
        <f>'Raw data'!G5093</f>
        <v>0</v>
      </c>
      <c r="I5184" s="29" t="e">
        <f>VLOOKUP(G5184,제품명!$C$1:$E$114,2,0)</f>
        <v>#N/A</v>
      </c>
      <c r="J5184" s="29">
        <f>'Raw data'!K5093</f>
        <v>0</v>
      </c>
      <c r="K5184" s="31">
        <f>'Raw data'!H5093</f>
        <v>0</v>
      </c>
      <c r="L5184" s="26">
        <f t="shared" si="164"/>
        <v>0</v>
      </c>
    </row>
    <row r="5185" spans="2:12">
      <c r="B5185" s="4" t="e">
        <f t="shared" si="163"/>
        <v>#N/A</v>
      </c>
      <c r="C5185" s="4">
        <f>'Raw data'!E4761</f>
        <v>0</v>
      </c>
      <c r="D5185" s="29" t="e">
        <f>VLOOKUP(C5185,'점포코드 '!A:B,2,0)</f>
        <v>#N/A</v>
      </c>
      <c r="E5185" s="30">
        <f>'Raw data'!P4761</f>
        <v>0</v>
      </c>
      <c r="F5185" s="29" t="e">
        <f>VLOOKUP(E5185,'점포코드 '!A:B,2,0)</f>
        <v>#N/A</v>
      </c>
      <c r="G5185" s="46">
        <f>'Raw data'!F5094</f>
        <v>0</v>
      </c>
      <c r="H5185" s="4">
        <f>'Raw data'!G5094</f>
        <v>0</v>
      </c>
      <c r="I5185" s="29" t="e">
        <f>VLOOKUP(G5185,제품명!$C$1:$E$114,2,0)</f>
        <v>#N/A</v>
      </c>
      <c r="J5185" s="29">
        <f>'Raw data'!K5094</f>
        <v>0</v>
      </c>
      <c r="K5185" s="31">
        <f>'Raw data'!H5094</f>
        <v>0</v>
      </c>
      <c r="L5185" s="26">
        <f t="shared" si="164"/>
        <v>0</v>
      </c>
    </row>
    <row r="5186" spans="2:12">
      <c r="B5186" s="4" t="e">
        <f t="shared" ref="B5186:B5249" si="165">F5186&amp;I5186</f>
        <v>#N/A</v>
      </c>
      <c r="C5186" s="4">
        <f>'Raw data'!E4762</f>
        <v>0</v>
      </c>
      <c r="D5186" s="29" t="e">
        <f>VLOOKUP(C5186,'점포코드 '!A:B,2,0)</f>
        <v>#N/A</v>
      </c>
      <c r="E5186" s="30">
        <f>'Raw data'!P4762</f>
        <v>0</v>
      </c>
      <c r="F5186" s="29" t="e">
        <f>VLOOKUP(E5186,'점포코드 '!A:B,2,0)</f>
        <v>#N/A</v>
      </c>
      <c r="G5186" s="46">
        <f>'Raw data'!F5095</f>
        <v>0</v>
      </c>
      <c r="H5186" s="4">
        <f>'Raw data'!G5095</f>
        <v>0</v>
      </c>
      <c r="I5186" s="29" t="e">
        <f>VLOOKUP(G5186,제품명!$C$1:$E$114,2,0)</f>
        <v>#N/A</v>
      </c>
      <c r="J5186" s="29">
        <f>'Raw data'!K5095</f>
        <v>0</v>
      </c>
      <c r="K5186" s="31">
        <f>'Raw data'!H5095</f>
        <v>0</v>
      </c>
      <c r="L5186" s="26">
        <f t="shared" si="164"/>
        <v>0</v>
      </c>
    </row>
    <row r="5187" spans="2:12">
      <c r="B5187" s="4" t="e">
        <f t="shared" si="165"/>
        <v>#N/A</v>
      </c>
      <c r="C5187" s="4">
        <f>'Raw data'!E4763</f>
        <v>0</v>
      </c>
      <c r="D5187" s="29" t="e">
        <f>VLOOKUP(C5187,'점포코드 '!A:B,2,0)</f>
        <v>#N/A</v>
      </c>
      <c r="E5187" s="30">
        <f>'Raw data'!P4763</f>
        <v>0</v>
      </c>
      <c r="F5187" s="29" t="e">
        <f>VLOOKUP(E5187,'점포코드 '!A:B,2,0)</f>
        <v>#N/A</v>
      </c>
      <c r="G5187" s="46">
        <f>'Raw data'!F5096</f>
        <v>0</v>
      </c>
      <c r="H5187" s="4">
        <f>'Raw data'!G5096</f>
        <v>0</v>
      </c>
      <c r="I5187" s="29" t="e">
        <f>VLOOKUP(G5187,제품명!$C$1:$E$114,2,0)</f>
        <v>#N/A</v>
      </c>
      <c r="J5187" s="29">
        <f>'Raw data'!K5096</f>
        <v>0</v>
      </c>
      <c r="K5187" s="31">
        <f>'Raw data'!H5096</f>
        <v>0</v>
      </c>
      <c r="L5187" s="26">
        <f t="shared" ref="L5187:L5250" si="166">J5187*K5187</f>
        <v>0</v>
      </c>
    </row>
    <row r="5188" spans="2:12">
      <c r="B5188" s="4" t="e">
        <f t="shared" si="165"/>
        <v>#N/A</v>
      </c>
      <c r="C5188" s="4">
        <f>'Raw data'!E4764</f>
        <v>0</v>
      </c>
      <c r="D5188" s="29" t="e">
        <f>VLOOKUP(C5188,'점포코드 '!A:B,2,0)</f>
        <v>#N/A</v>
      </c>
      <c r="E5188" s="30">
        <f>'Raw data'!P4764</f>
        <v>0</v>
      </c>
      <c r="F5188" s="29" t="e">
        <f>VLOOKUP(E5188,'점포코드 '!A:B,2,0)</f>
        <v>#N/A</v>
      </c>
      <c r="G5188" s="46">
        <f>'Raw data'!F5097</f>
        <v>0</v>
      </c>
      <c r="H5188" s="4">
        <f>'Raw data'!G5097</f>
        <v>0</v>
      </c>
      <c r="I5188" s="29" t="e">
        <f>VLOOKUP(G5188,제품명!$C$1:$E$114,2,0)</f>
        <v>#N/A</v>
      </c>
      <c r="J5188" s="29">
        <f>'Raw data'!K5097</f>
        <v>0</v>
      </c>
      <c r="K5188" s="31">
        <f>'Raw data'!H5097</f>
        <v>0</v>
      </c>
      <c r="L5188" s="26">
        <f t="shared" si="166"/>
        <v>0</v>
      </c>
    </row>
    <row r="5189" spans="2:12">
      <c r="B5189" s="4" t="e">
        <f t="shared" si="165"/>
        <v>#N/A</v>
      </c>
      <c r="C5189" s="4">
        <f>'Raw data'!E4765</f>
        <v>0</v>
      </c>
      <c r="D5189" s="29" t="e">
        <f>VLOOKUP(C5189,'점포코드 '!A:B,2,0)</f>
        <v>#N/A</v>
      </c>
      <c r="E5189" s="30">
        <f>'Raw data'!P4765</f>
        <v>0</v>
      </c>
      <c r="F5189" s="29" t="e">
        <f>VLOOKUP(E5189,'점포코드 '!A:B,2,0)</f>
        <v>#N/A</v>
      </c>
      <c r="G5189" s="46">
        <f>'Raw data'!F5098</f>
        <v>0</v>
      </c>
      <c r="H5189" s="4">
        <f>'Raw data'!G5098</f>
        <v>0</v>
      </c>
      <c r="I5189" s="29" t="e">
        <f>VLOOKUP(G5189,제품명!$C$1:$E$114,2,0)</f>
        <v>#N/A</v>
      </c>
      <c r="J5189" s="29">
        <f>'Raw data'!K5098</f>
        <v>0</v>
      </c>
      <c r="K5189" s="31">
        <f>'Raw data'!H5098</f>
        <v>0</v>
      </c>
      <c r="L5189" s="26">
        <f t="shared" si="166"/>
        <v>0</v>
      </c>
    </row>
    <row r="5190" spans="2:12">
      <c r="B5190" s="4" t="e">
        <f t="shared" si="165"/>
        <v>#N/A</v>
      </c>
      <c r="C5190" s="4">
        <f>'Raw data'!E4766</f>
        <v>0</v>
      </c>
      <c r="D5190" s="29" t="e">
        <f>VLOOKUP(C5190,'점포코드 '!A:B,2,0)</f>
        <v>#N/A</v>
      </c>
      <c r="E5190" s="30">
        <f>'Raw data'!P4766</f>
        <v>0</v>
      </c>
      <c r="F5190" s="29" t="e">
        <f>VLOOKUP(E5190,'점포코드 '!A:B,2,0)</f>
        <v>#N/A</v>
      </c>
      <c r="G5190" s="46">
        <f>'Raw data'!F5099</f>
        <v>0</v>
      </c>
      <c r="H5190" s="4">
        <f>'Raw data'!G5099</f>
        <v>0</v>
      </c>
      <c r="I5190" s="29" t="e">
        <f>VLOOKUP(G5190,제품명!$C$1:$E$114,2,0)</f>
        <v>#N/A</v>
      </c>
      <c r="J5190" s="29">
        <f>'Raw data'!K5099</f>
        <v>0</v>
      </c>
      <c r="K5190" s="31">
        <f>'Raw data'!H5099</f>
        <v>0</v>
      </c>
      <c r="L5190" s="26">
        <f t="shared" si="166"/>
        <v>0</v>
      </c>
    </row>
    <row r="5191" spans="2:12">
      <c r="B5191" s="4" t="e">
        <f t="shared" si="165"/>
        <v>#N/A</v>
      </c>
      <c r="C5191" s="4">
        <f>'Raw data'!E4767</f>
        <v>0</v>
      </c>
      <c r="D5191" s="29" t="e">
        <f>VLOOKUP(C5191,'점포코드 '!A:B,2,0)</f>
        <v>#N/A</v>
      </c>
      <c r="E5191" s="30">
        <f>'Raw data'!P4767</f>
        <v>0</v>
      </c>
      <c r="F5191" s="29" t="e">
        <f>VLOOKUP(E5191,'점포코드 '!A:B,2,0)</f>
        <v>#N/A</v>
      </c>
      <c r="G5191" s="46">
        <f>'Raw data'!F5100</f>
        <v>0</v>
      </c>
      <c r="H5191" s="4">
        <f>'Raw data'!G5100</f>
        <v>0</v>
      </c>
      <c r="I5191" s="29" t="e">
        <f>VLOOKUP(G5191,제품명!$C$1:$E$114,2,0)</f>
        <v>#N/A</v>
      </c>
      <c r="J5191" s="29">
        <f>'Raw data'!K5100</f>
        <v>0</v>
      </c>
      <c r="K5191" s="31">
        <f>'Raw data'!H5100</f>
        <v>0</v>
      </c>
      <c r="L5191" s="26">
        <f t="shared" si="166"/>
        <v>0</v>
      </c>
    </row>
    <row r="5192" spans="2:12">
      <c r="B5192" s="4" t="e">
        <f t="shared" si="165"/>
        <v>#N/A</v>
      </c>
      <c r="C5192" s="4">
        <f>'Raw data'!E4768</f>
        <v>0</v>
      </c>
      <c r="D5192" s="29" t="e">
        <f>VLOOKUP(C5192,'점포코드 '!A:B,2,0)</f>
        <v>#N/A</v>
      </c>
      <c r="E5192" s="30">
        <f>'Raw data'!P4768</f>
        <v>0</v>
      </c>
      <c r="F5192" s="29" t="e">
        <f>VLOOKUP(E5192,'점포코드 '!A:B,2,0)</f>
        <v>#N/A</v>
      </c>
      <c r="G5192" s="46">
        <f>'Raw data'!F5101</f>
        <v>0</v>
      </c>
      <c r="H5192" s="4">
        <f>'Raw data'!G5101</f>
        <v>0</v>
      </c>
      <c r="I5192" s="29" t="e">
        <f>VLOOKUP(G5192,제품명!$C$1:$E$114,2,0)</f>
        <v>#N/A</v>
      </c>
      <c r="J5192" s="29">
        <f>'Raw data'!K5101</f>
        <v>0</v>
      </c>
      <c r="K5192" s="31">
        <f>'Raw data'!H5101</f>
        <v>0</v>
      </c>
      <c r="L5192" s="26">
        <f t="shared" si="166"/>
        <v>0</v>
      </c>
    </row>
    <row r="5193" spans="2:12">
      <c r="B5193" s="4" t="e">
        <f t="shared" si="165"/>
        <v>#N/A</v>
      </c>
      <c r="C5193" s="4">
        <f>'Raw data'!E4769</f>
        <v>0</v>
      </c>
      <c r="D5193" s="29" t="e">
        <f>VLOOKUP(C5193,'점포코드 '!A:B,2,0)</f>
        <v>#N/A</v>
      </c>
      <c r="E5193" s="30">
        <f>'Raw data'!P4769</f>
        <v>0</v>
      </c>
      <c r="F5193" s="29" t="e">
        <f>VLOOKUP(E5193,'점포코드 '!A:B,2,0)</f>
        <v>#N/A</v>
      </c>
      <c r="G5193" s="46">
        <f>'Raw data'!F5102</f>
        <v>0</v>
      </c>
      <c r="H5193" s="4">
        <f>'Raw data'!G5102</f>
        <v>0</v>
      </c>
      <c r="I5193" s="29" t="e">
        <f>VLOOKUP(G5193,제품명!$C$1:$E$114,2,0)</f>
        <v>#N/A</v>
      </c>
      <c r="J5193" s="29">
        <f>'Raw data'!K5102</f>
        <v>0</v>
      </c>
      <c r="K5193" s="31">
        <f>'Raw data'!H5102</f>
        <v>0</v>
      </c>
      <c r="L5193" s="26">
        <f t="shared" si="166"/>
        <v>0</v>
      </c>
    </row>
    <row r="5194" spans="2:12">
      <c r="B5194" s="4" t="e">
        <f t="shared" si="165"/>
        <v>#N/A</v>
      </c>
      <c r="C5194" s="4">
        <f>'Raw data'!E4770</f>
        <v>0</v>
      </c>
      <c r="D5194" s="29" t="e">
        <f>VLOOKUP(C5194,'점포코드 '!A:B,2,0)</f>
        <v>#N/A</v>
      </c>
      <c r="E5194" s="30">
        <f>'Raw data'!P4770</f>
        <v>0</v>
      </c>
      <c r="F5194" s="29" t="e">
        <f>VLOOKUP(E5194,'점포코드 '!A:B,2,0)</f>
        <v>#N/A</v>
      </c>
      <c r="G5194" s="46">
        <f>'Raw data'!F5103</f>
        <v>0</v>
      </c>
      <c r="H5194" s="4">
        <f>'Raw data'!G5103</f>
        <v>0</v>
      </c>
      <c r="I5194" s="29" t="e">
        <f>VLOOKUP(G5194,제품명!$C$1:$E$114,2,0)</f>
        <v>#N/A</v>
      </c>
      <c r="J5194" s="29">
        <f>'Raw data'!K5103</f>
        <v>0</v>
      </c>
      <c r="K5194" s="31">
        <f>'Raw data'!H5103</f>
        <v>0</v>
      </c>
      <c r="L5194" s="26">
        <f t="shared" si="166"/>
        <v>0</v>
      </c>
    </row>
    <row r="5195" spans="2:12">
      <c r="B5195" s="4" t="e">
        <f t="shared" si="165"/>
        <v>#N/A</v>
      </c>
      <c r="C5195" s="4">
        <f>'Raw data'!E4771</f>
        <v>0</v>
      </c>
      <c r="D5195" s="29" t="e">
        <f>VLOOKUP(C5195,'점포코드 '!A:B,2,0)</f>
        <v>#N/A</v>
      </c>
      <c r="E5195" s="30">
        <f>'Raw data'!P4771</f>
        <v>0</v>
      </c>
      <c r="F5195" s="29" t="e">
        <f>VLOOKUP(E5195,'점포코드 '!A:B,2,0)</f>
        <v>#N/A</v>
      </c>
      <c r="G5195" s="46">
        <f>'Raw data'!F5104</f>
        <v>0</v>
      </c>
      <c r="H5195" s="4">
        <f>'Raw data'!G5104</f>
        <v>0</v>
      </c>
      <c r="I5195" s="29" t="e">
        <f>VLOOKUP(G5195,제품명!$C$1:$E$114,2,0)</f>
        <v>#N/A</v>
      </c>
      <c r="J5195" s="29">
        <f>'Raw data'!K5104</f>
        <v>0</v>
      </c>
      <c r="K5195" s="31">
        <f>'Raw data'!H5104</f>
        <v>0</v>
      </c>
      <c r="L5195" s="26">
        <f t="shared" si="166"/>
        <v>0</v>
      </c>
    </row>
    <row r="5196" spans="2:12">
      <c r="B5196" s="4" t="e">
        <f t="shared" si="165"/>
        <v>#N/A</v>
      </c>
      <c r="C5196" s="4">
        <f>'Raw data'!E4772</f>
        <v>0</v>
      </c>
      <c r="D5196" s="29" t="e">
        <f>VLOOKUP(C5196,'점포코드 '!A:B,2,0)</f>
        <v>#N/A</v>
      </c>
      <c r="E5196" s="30">
        <f>'Raw data'!P4772</f>
        <v>0</v>
      </c>
      <c r="F5196" s="29" t="e">
        <f>VLOOKUP(E5196,'점포코드 '!A:B,2,0)</f>
        <v>#N/A</v>
      </c>
      <c r="G5196" s="46">
        <f>'Raw data'!F5105</f>
        <v>0</v>
      </c>
      <c r="H5196" s="4">
        <f>'Raw data'!G5105</f>
        <v>0</v>
      </c>
      <c r="I5196" s="29" t="e">
        <f>VLOOKUP(G5196,제품명!$C$1:$E$114,2,0)</f>
        <v>#N/A</v>
      </c>
      <c r="J5196" s="29">
        <f>'Raw data'!K5105</f>
        <v>0</v>
      </c>
      <c r="K5196" s="31">
        <f>'Raw data'!H5105</f>
        <v>0</v>
      </c>
      <c r="L5196" s="26">
        <f t="shared" si="166"/>
        <v>0</v>
      </c>
    </row>
    <row r="5197" spans="2:12">
      <c r="B5197" s="4" t="e">
        <f t="shared" si="165"/>
        <v>#N/A</v>
      </c>
      <c r="C5197" s="4">
        <f>'Raw data'!E4773</f>
        <v>0</v>
      </c>
      <c r="D5197" s="29" t="e">
        <f>VLOOKUP(C5197,'점포코드 '!A:B,2,0)</f>
        <v>#N/A</v>
      </c>
      <c r="E5197" s="30">
        <f>'Raw data'!P4773</f>
        <v>0</v>
      </c>
      <c r="F5197" s="29" t="e">
        <f>VLOOKUP(E5197,'점포코드 '!A:B,2,0)</f>
        <v>#N/A</v>
      </c>
      <c r="G5197" s="46">
        <f>'Raw data'!F5106</f>
        <v>0</v>
      </c>
      <c r="H5197" s="4">
        <f>'Raw data'!G5106</f>
        <v>0</v>
      </c>
      <c r="I5197" s="29" t="e">
        <f>VLOOKUP(G5197,제품명!$C$1:$E$114,2,0)</f>
        <v>#N/A</v>
      </c>
      <c r="J5197" s="29">
        <f>'Raw data'!K5106</f>
        <v>0</v>
      </c>
      <c r="K5197" s="31">
        <f>'Raw data'!H5106</f>
        <v>0</v>
      </c>
      <c r="L5197" s="26">
        <f t="shared" si="166"/>
        <v>0</v>
      </c>
    </row>
    <row r="5198" spans="2:12">
      <c r="B5198" s="4" t="e">
        <f t="shared" si="165"/>
        <v>#N/A</v>
      </c>
      <c r="C5198" s="4">
        <f>'Raw data'!E4774</f>
        <v>0</v>
      </c>
      <c r="D5198" s="29" t="e">
        <f>VLOOKUP(C5198,'점포코드 '!A:B,2,0)</f>
        <v>#N/A</v>
      </c>
      <c r="E5198" s="30">
        <f>'Raw data'!P4774</f>
        <v>0</v>
      </c>
      <c r="F5198" s="29" t="e">
        <f>VLOOKUP(E5198,'점포코드 '!A:B,2,0)</f>
        <v>#N/A</v>
      </c>
      <c r="G5198" s="46">
        <f>'Raw data'!F5107</f>
        <v>0</v>
      </c>
      <c r="H5198" s="4">
        <f>'Raw data'!G5107</f>
        <v>0</v>
      </c>
      <c r="I5198" s="29" t="e">
        <f>VLOOKUP(G5198,제품명!$C$1:$E$114,2,0)</f>
        <v>#N/A</v>
      </c>
      <c r="J5198" s="29">
        <f>'Raw data'!K5107</f>
        <v>0</v>
      </c>
      <c r="K5198" s="31">
        <f>'Raw data'!H5107</f>
        <v>0</v>
      </c>
      <c r="L5198" s="26">
        <f t="shared" si="166"/>
        <v>0</v>
      </c>
    </row>
    <row r="5199" spans="2:12">
      <c r="B5199" s="4" t="e">
        <f t="shared" si="165"/>
        <v>#N/A</v>
      </c>
      <c r="C5199" s="4">
        <f>'Raw data'!E4775</f>
        <v>0</v>
      </c>
      <c r="D5199" s="29" t="e">
        <f>VLOOKUP(C5199,'점포코드 '!A:B,2,0)</f>
        <v>#N/A</v>
      </c>
      <c r="E5199" s="30">
        <f>'Raw data'!P4775</f>
        <v>0</v>
      </c>
      <c r="F5199" s="29" t="e">
        <f>VLOOKUP(E5199,'점포코드 '!A:B,2,0)</f>
        <v>#N/A</v>
      </c>
      <c r="G5199" s="46">
        <f>'Raw data'!F5108</f>
        <v>0</v>
      </c>
      <c r="H5199" s="4">
        <f>'Raw data'!G5108</f>
        <v>0</v>
      </c>
      <c r="I5199" s="29" t="e">
        <f>VLOOKUP(G5199,제품명!$C$1:$E$114,2,0)</f>
        <v>#N/A</v>
      </c>
      <c r="J5199" s="29">
        <f>'Raw data'!K5108</f>
        <v>0</v>
      </c>
      <c r="K5199" s="31">
        <f>'Raw data'!H5108</f>
        <v>0</v>
      </c>
      <c r="L5199" s="26">
        <f t="shared" si="166"/>
        <v>0</v>
      </c>
    </row>
    <row r="5200" spans="2:12">
      <c r="B5200" s="4" t="e">
        <f t="shared" si="165"/>
        <v>#N/A</v>
      </c>
      <c r="C5200" s="4">
        <f>'Raw data'!E4776</f>
        <v>0</v>
      </c>
      <c r="D5200" s="29" t="e">
        <f>VLOOKUP(C5200,'점포코드 '!A:B,2,0)</f>
        <v>#N/A</v>
      </c>
      <c r="E5200" s="30">
        <f>'Raw data'!P4776</f>
        <v>0</v>
      </c>
      <c r="F5200" s="29" t="e">
        <f>VLOOKUP(E5200,'점포코드 '!A:B,2,0)</f>
        <v>#N/A</v>
      </c>
      <c r="G5200" s="46">
        <f>'Raw data'!F5109</f>
        <v>0</v>
      </c>
      <c r="H5200" s="4">
        <f>'Raw data'!G5109</f>
        <v>0</v>
      </c>
      <c r="I5200" s="29" t="e">
        <f>VLOOKUP(G5200,제품명!$C$1:$E$114,2,0)</f>
        <v>#N/A</v>
      </c>
      <c r="J5200" s="29">
        <f>'Raw data'!K5109</f>
        <v>0</v>
      </c>
      <c r="K5200" s="31">
        <f>'Raw data'!H5109</f>
        <v>0</v>
      </c>
      <c r="L5200" s="26">
        <f t="shared" si="166"/>
        <v>0</v>
      </c>
    </row>
    <row r="5201" spans="2:12">
      <c r="B5201" s="4" t="e">
        <f t="shared" si="165"/>
        <v>#N/A</v>
      </c>
      <c r="C5201" s="4">
        <f>'Raw data'!E4777</f>
        <v>0</v>
      </c>
      <c r="D5201" s="29" t="e">
        <f>VLOOKUP(C5201,'점포코드 '!A:B,2,0)</f>
        <v>#N/A</v>
      </c>
      <c r="E5201" s="30">
        <f>'Raw data'!P4777</f>
        <v>0</v>
      </c>
      <c r="F5201" s="29" t="e">
        <f>VLOOKUP(E5201,'점포코드 '!A:B,2,0)</f>
        <v>#N/A</v>
      </c>
      <c r="G5201" s="46">
        <f>'Raw data'!F5110</f>
        <v>0</v>
      </c>
      <c r="H5201" s="4">
        <f>'Raw data'!G5110</f>
        <v>0</v>
      </c>
      <c r="I5201" s="29" t="e">
        <f>VLOOKUP(G5201,제품명!$C$1:$E$114,2,0)</f>
        <v>#N/A</v>
      </c>
      <c r="J5201" s="29">
        <f>'Raw data'!K5110</f>
        <v>0</v>
      </c>
      <c r="K5201" s="31">
        <f>'Raw data'!H5110</f>
        <v>0</v>
      </c>
      <c r="L5201" s="26">
        <f t="shared" si="166"/>
        <v>0</v>
      </c>
    </row>
    <row r="5202" spans="2:12">
      <c r="B5202" s="4" t="e">
        <f t="shared" si="165"/>
        <v>#N/A</v>
      </c>
      <c r="C5202" s="4">
        <f>'Raw data'!E4778</f>
        <v>0</v>
      </c>
      <c r="D5202" s="29" t="e">
        <f>VLOOKUP(C5202,'점포코드 '!A:B,2,0)</f>
        <v>#N/A</v>
      </c>
      <c r="E5202" s="30">
        <f>'Raw data'!P4778</f>
        <v>0</v>
      </c>
      <c r="F5202" s="29" t="e">
        <f>VLOOKUP(E5202,'점포코드 '!A:B,2,0)</f>
        <v>#N/A</v>
      </c>
      <c r="G5202" s="46">
        <f>'Raw data'!F5111</f>
        <v>0</v>
      </c>
      <c r="H5202" s="4">
        <f>'Raw data'!G5111</f>
        <v>0</v>
      </c>
      <c r="I5202" s="29" t="e">
        <f>VLOOKUP(G5202,제품명!$C$1:$E$114,2,0)</f>
        <v>#N/A</v>
      </c>
      <c r="J5202" s="29">
        <f>'Raw data'!K5111</f>
        <v>0</v>
      </c>
      <c r="K5202" s="31">
        <f>'Raw data'!H5111</f>
        <v>0</v>
      </c>
      <c r="L5202" s="26">
        <f t="shared" si="166"/>
        <v>0</v>
      </c>
    </row>
    <row r="5203" spans="2:12">
      <c r="B5203" s="4" t="e">
        <f t="shared" si="165"/>
        <v>#N/A</v>
      </c>
      <c r="C5203" s="4">
        <f>'Raw data'!E4779</f>
        <v>0</v>
      </c>
      <c r="D5203" s="29" t="e">
        <f>VLOOKUP(C5203,'점포코드 '!A:B,2,0)</f>
        <v>#N/A</v>
      </c>
      <c r="E5203" s="30">
        <f>'Raw data'!P4779</f>
        <v>0</v>
      </c>
      <c r="F5203" s="29" t="e">
        <f>VLOOKUP(E5203,'점포코드 '!A:B,2,0)</f>
        <v>#N/A</v>
      </c>
      <c r="G5203" s="46">
        <f>'Raw data'!F5112</f>
        <v>0</v>
      </c>
      <c r="H5203" s="4">
        <f>'Raw data'!G5112</f>
        <v>0</v>
      </c>
      <c r="I5203" s="29" t="e">
        <f>VLOOKUP(G5203,제품명!$C$1:$E$114,2,0)</f>
        <v>#N/A</v>
      </c>
      <c r="J5203" s="29">
        <f>'Raw data'!K5112</f>
        <v>0</v>
      </c>
      <c r="K5203" s="31">
        <f>'Raw data'!H5112</f>
        <v>0</v>
      </c>
      <c r="L5203" s="26">
        <f t="shared" si="166"/>
        <v>0</v>
      </c>
    </row>
    <row r="5204" spans="2:12">
      <c r="B5204" s="4" t="e">
        <f t="shared" si="165"/>
        <v>#N/A</v>
      </c>
      <c r="C5204" s="4">
        <f>'Raw data'!E4780</f>
        <v>0</v>
      </c>
      <c r="D5204" s="29" t="e">
        <f>VLOOKUP(C5204,'점포코드 '!A:B,2,0)</f>
        <v>#N/A</v>
      </c>
      <c r="E5204" s="30">
        <f>'Raw data'!P4780</f>
        <v>0</v>
      </c>
      <c r="F5204" s="29" t="e">
        <f>VLOOKUP(E5204,'점포코드 '!A:B,2,0)</f>
        <v>#N/A</v>
      </c>
      <c r="G5204" s="46">
        <f>'Raw data'!F5113</f>
        <v>0</v>
      </c>
      <c r="H5204" s="4">
        <f>'Raw data'!G5113</f>
        <v>0</v>
      </c>
      <c r="I5204" s="29" t="e">
        <f>VLOOKUP(G5204,제품명!$C$1:$E$114,2,0)</f>
        <v>#N/A</v>
      </c>
      <c r="J5204" s="29">
        <f>'Raw data'!K5113</f>
        <v>0</v>
      </c>
      <c r="K5204" s="31">
        <f>'Raw data'!H5113</f>
        <v>0</v>
      </c>
      <c r="L5204" s="26">
        <f t="shared" si="166"/>
        <v>0</v>
      </c>
    </row>
    <row r="5205" spans="2:12">
      <c r="B5205" s="4" t="e">
        <f t="shared" si="165"/>
        <v>#N/A</v>
      </c>
      <c r="C5205" s="4">
        <f>'Raw data'!E4781</f>
        <v>0</v>
      </c>
      <c r="D5205" s="29" t="e">
        <f>VLOOKUP(C5205,'점포코드 '!A:B,2,0)</f>
        <v>#N/A</v>
      </c>
      <c r="E5205" s="30">
        <f>'Raw data'!P4781</f>
        <v>0</v>
      </c>
      <c r="F5205" s="29" t="e">
        <f>VLOOKUP(E5205,'점포코드 '!A:B,2,0)</f>
        <v>#N/A</v>
      </c>
      <c r="G5205" s="46">
        <f>'Raw data'!F5114</f>
        <v>0</v>
      </c>
      <c r="H5205" s="4">
        <f>'Raw data'!G5114</f>
        <v>0</v>
      </c>
      <c r="I5205" s="29" t="e">
        <f>VLOOKUP(G5205,제품명!$C$1:$E$114,2,0)</f>
        <v>#N/A</v>
      </c>
      <c r="J5205" s="29">
        <f>'Raw data'!K5114</f>
        <v>0</v>
      </c>
      <c r="K5205" s="31">
        <f>'Raw data'!H5114</f>
        <v>0</v>
      </c>
      <c r="L5205" s="26">
        <f t="shared" si="166"/>
        <v>0</v>
      </c>
    </row>
    <row r="5206" spans="2:12">
      <c r="B5206" s="4" t="e">
        <f t="shared" si="165"/>
        <v>#N/A</v>
      </c>
      <c r="C5206" s="4">
        <f>'Raw data'!E4782</f>
        <v>0</v>
      </c>
      <c r="D5206" s="29" t="e">
        <f>VLOOKUP(C5206,'점포코드 '!A:B,2,0)</f>
        <v>#N/A</v>
      </c>
      <c r="E5206" s="30">
        <f>'Raw data'!P4782</f>
        <v>0</v>
      </c>
      <c r="F5206" s="29" t="e">
        <f>VLOOKUP(E5206,'점포코드 '!A:B,2,0)</f>
        <v>#N/A</v>
      </c>
      <c r="G5206" s="46">
        <f>'Raw data'!F5115</f>
        <v>0</v>
      </c>
      <c r="H5206" s="4">
        <f>'Raw data'!G5115</f>
        <v>0</v>
      </c>
      <c r="I5206" s="29" t="e">
        <f>VLOOKUP(G5206,제품명!$C$1:$E$114,2,0)</f>
        <v>#N/A</v>
      </c>
      <c r="J5206" s="29">
        <f>'Raw data'!K5115</f>
        <v>0</v>
      </c>
      <c r="K5206" s="31">
        <f>'Raw data'!H5115</f>
        <v>0</v>
      </c>
      <c r="L5206" s="26">
        <f t="shared" si="166"/>
        <v>0</v>
      </c>
    </row>
    <row r="5207" spans="2:12">
      <c r="B5207" s="4" t="e">
        <f t="shared" si="165"/>
        <v>#N/A</v>
      </c>
      <c r="C5207" s="4">
        <f>'Raw data'!E4783</f>
        <v>0</v>
      </c>
      <c r="D5207" s="29" t="e">
        <f>VLOOKUP(C5207,'점포코드 '!A:B,2,0)</f>
        <v>#N/A</v>
      </c>
      <c r="E5207" s="30">
        <f>'Raw data'!P4783</f>
        <v>0</v>
      </c>
      <c r="F5207" s="29" t="e">
        <f>VLOOKUP(E5207,'점포코드 '!A:B,2,0)</f>
        <v>#N/A</v>
      </c>
      <c r="G5207" s="46">
        <f>'Raw data'!F5116</f>
        <v>0</v>
      </c>
      <c r="H5207" s="4">
        <f>'Raw data'!G5116</f>
        <v>0</v>
      </c>
      <c r="I5207" s="29" t="e">
        <f>VLOOKUP(G5207,제품명!$C$1:$E$114,2,0)</f>
        <v>#N/A</v>
      </c>
      <c r="J5207" s="29">
        <f>'Raw data'!K5116</f>
        <v>0</v>
      </c>
      <c r="K5207" s="31">
        <f>'Raw data'!H5116</f>
        <v>0</v>
      </c>
      <c r="L5207" s="26">
        <f t="shared" si="166"/>
        <v>0</v>
      </c>
    </row>
    <row r="5208" spans="2:12">
      <c r="B5208" s="4" t="e">
        <f t="shared" si="165"/>
        <v>#N/A</v>
      </c>
      <c r="C5208" s="4">
        <f>'Raw data'!E4784</f>
        <v>0</v>
      </c>
      <c r="D5208" s="29" t="e">
        <f>VLOOKUP(C5208,'점포코드 '!A:B,2,0)</f>
        <v>#N/A</v>
      </c>
      <c r="E5208" s="30">
        <f>'Raw data'!P4784</f>
        <v>0</v>
      </c>
      <c r="F5208" s="29" t="e">
        <f>VLOOKUP(E5208,'점포코드 '!A:B,2,0)</f>
        <v>#N/A</v>
      </c>
      <c r="G5208" s="46">
        <f>'Raw data'!F5117</f>
        <v>0</v>
      </c>
      <c r="H5208" s="4">
        <f>'Raw data'!G5117</f>
        <v>0</v>
      </c>
      <c r="I5208" s="29" t="e">
        <f>VLOOKUP(G5208,제품명!$C$1:$E$114,2,0)</f>
        <v>#N/A</v>
      </c>
      <c r="J5208" s="29">
        <f>'Raw data'!K5117</f>
        <v>0</v>
      </c>
      <c r="K5208" s="31">
        <f>'Raw data'!H5117</f>
        <v>0</v>
      </c>
      <c r="L5208" s="26">
        <f t="shared" si="166"/>
        <v>0</v>
      </c>
    </row>
    <row r="5209" spans="2:12">
      <c r="B5209" s="4" t="e">
        <f t="shared" si="165"/>
        <v>#N/A</v>
      </c>
      <c r="C5209" s="4">
        <f>'Raw data'!E4785</f>
        <v>0</v>
      </c>
      <c r="D5209" s="29" t="e">
        <f>VLOOKUP(C5209,'점포코드 '!A:B,2,0)</f>
        <v>#N/A</v>
      </c>
      <c r="E5209" s="30">
        <f>'Raw data'!P4785</f>
        <v>0</v>
      </c>
      <c r="F5209" s="29" t="e">
        <f>VLOOKUP(E5209,'점포코드 '!A:B,2,0)</f>
        <v>#N/A</v>
      </c>
      <c r="G5209" s="46">
        <f>'Raw data'!F5118</f>
        <v>0</v>
      </c>
      <c r="H5209" s="4">
        <f>'Raw data'!G5118</f>
        <v>0</v>
      </c>
      <c r="I5209" s="29" t="e">
        <f>VLOOKUP(G5209,제품명!$C$1:$E$114,2,0)</f>
        <v>#N/A</v>
      </c>
      <c r="J5209" s="29">
        <f>'Raw data'!K5118</f>
        <v>0</v>
      </c>
      <c r="K5209" s="31">
        <f>'Raw data'!H5118</f>
        <v>0</v>
      </c>
      <c r="L5209" s="26">
        <f t="shared" si="166"/>
        <v>0</v>
      </c>
    </row>
    <row r="5210" spans="2:12">
      <c r="B5210" s="4" t="e">
        <f t="shared" si="165"/>
        <v>#N/A</v>
      </c>
      <c r="C5210" s="4">
        <f>'Raw data'!E4786</f>
        <v>0</v>
      </c>
      <c r="D5210" s="29" t="e">
        <f>VLOOKUP(C5210,'점포코드 '!A:B,2,0)</f>
        <v>#N/A</v>
      </c>
      <c r="E5210" s="30">
        <f>'Raw data'!P4786</f>
        <v>0</v>
      </c>
      <c r="F5210" s="29" t="e">
        <f>VLOOKUP(E5210,'점포코드 '!A:B,2,0)</f>
        <v>#N/A</v>
      </c>
      <c r="G5210" s="46">
        <f>'Raw data'!F5119</f>
        <v>0</v>
      </c>
      <c r="H5210" s="4">
        <f>'Raw data'!G5119</f>
        <v>0</v>
      </c>
      <c r="I5210" s="29" t="e">
        <f>VLOOKUP(G5210,제품명!$C$1:$E$114,2,0)</f>
        <v>#N/A</v>
      </c>
      <c r="J5210" s="29">
        <f>'Raw data'!K5119</f>
        <v>0</v>
      </c>
      <c r="K5210" s="31">
        <f>'Raw data'!H5119</f>
        <v>0</v>
      </c>
      <c r="L5210" s="26">
        <f t="shared" si="166"/>
        <v>0</v>
      </c>
    </row>
    <row r="5211" spans="2:12">
      <c r="B5211" s="4" t="e">
        <f t="shared" si="165"/>
        <v>#N/A</v>
      </c>
      <c r="C5211" s="4">
        <f>'Raw data'!E4787</f>
        <v>0</v>
      </c>
      <c r="D5211" s="29" t="e">
        <f>VLOOKUP(C5211,'점포코드 '!A:B,2,0)</f>
        <v>#N/A</v>
      </c>
      <c r="E5211" s="30">
        <f>'Raw data'!P4787</f>
        <v>0</v>
      </c>
      <c r="F5211" s="29" t="e">
        <f>VLOOKUP(E5211,'점포코드 '!A:B,2,0)</f>
        <v>#N/A</v>
      </c>
      <c r="G5211" s="46">
        <f>'Raw data'!F5120</f>
        <v>0</v>
      </c>
      <c r="H5211" s="4">
        <f>'Raw data'!G5120</f>
        <v>0</v>
      </c>
      <c r="I5211" s="29" t="e">
        <f>VLOOKUP(G5211,제품명!$C$1:$E$114,2,0)</f>
        <v>#N/A</v>
      </c>
      <c r="J5211" s="29">
        <f>'Raw data'!K5120</f>
        <v>0</v>
      </c>
      <c r="K5211" s="31">
        <f>'Raw data'!H5120</f>
        <v>0</v>
      </c>
      <c r="L5211" s="26">
        <f t="shared" si="166"/>
        <v>0</v>
      </c>
    </row>
    <row r="5212" spans="2:12">
      <c r="B5212" s="4" t="e">
        <f t="shared" si="165"/>
        <v>#N/A</v>
      </c>
      <c r="C5212" s="4">
        <f>'Raw data'!E4788</f>
        <v>0</v>
      </c>
      <c r="D5212" s="29" t="e">
        <f>VLOOKUP(C5212,'점포코드 '!A:B,2,0)</f>
        <v>#N/A</v>
      </c>
      <c r="E5212" s="30">
        <f>'Raw data'!P4788</f>
        <v>0</v>
      </c>
      <c r="F5212" s="29" t="e">
        <f>VLOOKUP(E5212,'점포코드 '!A:B,2,0)</f>
        <v>#N/A</v>
      </c>
      <c r="G5212" s="46">
        <f>'Raw data'!F5121</f>
        <v>0</v>
      </c>
      <c r="H5212" s="4">
        <f>'Raw data'!G5121</f>
        <v>0</v>
      </c>
      <c r="I5212" s="29" t="e">
        <f>VLOOKUP(G5212,제품명!$C$1:$E$114,2,0)</f>
        <v>#N/A</v>
      </c>
      <c r="J5212" s="29">
        <f>'Raw data'!K5121</f>
        <v>0</v>
      </c>
      <c r="K5212" s="31">
        <f>'Raw data'!H5121</f>
        <v>0</v>
      </c>
      <c r="L5212" s="26">
        <f t="shared" si="166"/>
        <v>0</v>
      </c>
    </row>
    <row r="5213" spans="2:12">
      <c r="B5213" s="4" t="e">
        <f t="shared" si="165"/>
        <v>#N/A</v>
      </c>
      <c r="C5213" s="4">
        <f>'Raw data'!E4789</f>
        <v>0</v>
      </c>
      <c r="D5213" s="29" t="e">
        <f>VLOOKUP(C5213,'점포코드 '!A:B,2,0)</f>
        <v>#N/A</v>
      </c>
      <c r="E5213" s="30">
        <f>'Raw data'!P4789</f>
        <v>0</v>
      </c>
      <c r="F5213" s="29" t="e">
        <f>VLOOKUP(E5213,'점포코드 '!A:B,2,0)</f>
        <v>#N/A</v>
      </c>
      <c r="G5213" s="46">
        <f>'Raw data'!F5122</f>
        <v>0</v>
      </c>
      <c r="H5213" s="4">
        <f>'Raw data'!G5122</f>
        <v>0</v>
      </c>
      <c r="I5213" s="29" t="e">
        <f>VLOOKUP(G5213,제품명!$C$1:$E$114,2,0)</f>
        <v>#N/A</v>
      </c>
      <c r="J5213" s="29">
        <f>'Raw data'!K5122</f>
        <v>0</v>
      </c>
      <c r="K5213" s="31">
        <f>'Raw data'!H5122</f>
        <v>0</v>
      </c>
      <c r="L5213" s="26">
        <f t="shared" si="166"/>
        <v>0</v>
      </c>
    </row>
    <row r="5214" spans="2:12">
      <c r="B5214" s="4" t="e">
        <f t="shared" si="165"/>
        <v>#N/A</v>
      </c>
      <c r="C5214" s="4">
        <f>'Raw data'!E4790</f>
        <v>0</v>
      </c>
      <c r="D5214" s="29" t="e">
        <f>VLOOKUP(C5214,'점포코드 '!A:B,2,0)</f>
        <v>#N/A</v>
      </c>
      <c r="E5214" s="30">
        <f>'Raw data'!P4790</f>
        <v>0</v>
      </c>
      <c r="F5214" s="29" t="e">
        <f>VLOOKUP(E5214,'점포코드 '!A:B,2,0)</f>
        <v>#N/A</v>
      </c>
      <c r="G5214" s="46">
        <f>'Raw data'!F5123</f>
        <v>0</v>
      </c>
      <c r="H5214" s="4">
        <f>'Raw data'!G5123</f>
        <v>0</v>
      </c>
      <c r="I5214" s="29" t="e">
        <f>VLOOKUP(G5214,제품명!$C$1:$E$114,2,0)</f>
        <v>#N/A</v>
      </c>
      <c r="J5214" s="29">
        <f>'Raw data'!K5123</f>
        <v>0</v>
      </c>
      <c r="K5214" s="31">
        <f>'Raw data'!H5123</f>
        <v>0</v>
      </c>
      <c r="L5214" s="26">
        <f t="shared" si="166"/>
        <v>0</v>
      </c>
    </row>
    <row r="5215" spans="2:12">
      <c r="B5215" s="4" t="e">
        <f t="shared" si="165"/>
        <v>#N/A</v>
      </c>
      <c r="C5215" s="4">
        <f>'Raw data'!E4791</f>
        <v>0</v>
      </c>
      <c r="D5215" s="29" t="e">
        <f>VLOOKUP(C5215,'점포코드 '!A:B,2,0)</f>
        <v>#N/A</v>
      </c>
      <c r="E5215" s="30">
        <f>'Raw data'!P4791</f>
        <v>0</v>
      </c>
      <c r="F5215" s="29" t="e">
        <f>VLOOKUP(E5215,'점포코드 '!A:B,2,0)</f>
        <v>#N/A</v>
      </c>
      <c r="G5215" s="46">
        <f>'Raw data'!F5124</f>
        <v>0</v>
      </c>
      <c r="H5215" s="4">
        <f>'Raw data'!G5124</f>
        <v>0</v>
      </c>
      <c r="I5215" s="29" t="e">
        <f>VLOOKUP(G5215,제품명!$C$1:$E$114,2,0)</f>
        <v>#N/A</v>
      </c>
      <c r="J5215" s="29">
        <f>'Raw data'!K5124</f>
        <v>0</v>
      </c>
      <c r="K5215" s="31">
        <f>'Raw data'!H5124</f>
        <v>0</v>
      </c>
      <c r="L5215" s="26">
        <f t="shared" si="166"/>
        <v>0</v>
      </c>
    </row>
    <row r="5216" spans="2:12">
      <c r="B5216" s="4" t="e">
        <f t="shared" si="165"/>
        <v>#N/A</v>
      </c>
      <c r="C5216" s="4">
        <f>'Raw data'!E4792</f>
        <v>0</v>
      </c>
      <c r="D5216" s="29" t="e">
        <f>VLOOKUP(C5216,'점포코드 '!A:B,2,0)</f>
        <v>#N/A</v>
      </c>
      <c r="E5216" s="30">
        <f>'Raw data'!P4792</f>
        <v>0</v>
      </c>
      <c r="F5216" s="29" t="e">
        <f>VLOOKUP(E5216,'점포코드 '!A:B,2,0)</f>
        <v>#N/A</v>
      </c>
      <c r="G5216" s="46">
        <f>'Raw data'!F5125</f>
        <v>0</v>
      </c>
      <c r="H5216" s="4">
        <f>'Raw data'!G5125</f>
        <v>0</v>
      </c>
      <c r="I5216" s="29" t="e">
        <f>VLOOKUP(G5216,제품명!$C$1:$E$114,2,0)</f>
        <v>#N/A</v>
      </c>
      <c r="J5216" s="29">
        <f>'Raw data'!K5125</f>
        <v>0</v>
      </c>
      <c r="K5216" s="31">
        <f>'Raw data'!H5125</f>
        <v>0</v>
      </c>
      <c r="L5216" s="26">
        <f t="shared" si="166"/>
        <v>0</v>
      </c>
    </row>
    <row r="5217" spans="2:12">
      <c r="B5217" s="4" t="e">
        <f t="shared" si="165"/>
        <v>#N/A</v>
      </c>
      <c r="C5217" s="4">
        <f>'Raw data'!E4793</f>
        <v>0</v>
      </c>
      <c r="D5217" s="29" t="e">
        <f>VLOOKUP(C5217,'점포코드 '!A:B,2,0)</f>
        <v>#N/A</v>
      </c>
      <c r="E5217" s="30">
        <f>'Raw data'!P4793</f>
        <v>0</v>
      </c>
      <c r="F5217" s="29" t="e">
        <f>VLOOKUP(E5217,'점포코드 '!A:B,2,0)</f>
        <v>#N/A</v>
      </c>
      <c r="G5217" s="46">
        <f>'Raw data'!F5126</f>
        <v>0</v>
      </c>
      <c r="H5217" s="4">
        <f>'Raw data'!G5126</f>
        <v>0</v>
      </c>
      <c r="I5217" s="29" t="e">
        <f>VLOOKUP(G5217,제품명!$C$1:$E$114,2,0)</f>
        <v>#N/A</v>
      </c>
      <c r="J5217" s="29">
        <f>'Raw data'!K5126</f>
        <v>0</v>
      </c>
      <c r="K5217" s="31">
        <f>'Raw data'!H5126</f>
        <v>0</v>
      </c>
      <c r="L5217" s="26">
        <f t="shared" si="166"/>
        <v>0</v>
      </c>
    </row>
    <row r="5218" spans="2:12">
      <c r="B5218" s="4" t="e">
        <f t="shared" si="165"/>
        <v>#N/A</v>
      </c>
      <c r="C5218" s="4">
        <f>'Raw data'!E4794</f>
        <v>0</v>
      </c>
      <c r="D5218" s="29" t="e">
        <f>VLOOKUP(C5218,'점포코드 '!A:B,2,0)</f>
        <v>#N/A</v>
      </c>
      <c r="E5218" s="30">
        <f>'Raw data'!P4794</f>
        <v>0</v>
      </c>
      <c r="F5218" s="29" t="e">
        <f>VLOOKUP(E5218,'점포코드 '!A:B,2,0)</f>
        <v>#N/A</v>
      </c>
      <c r="G5218" s="46">
        <f>'Raw data'!F5127</f>
        <v>0</v>
      </c>
      <c r="H5218" s="4">
        <f>'Raw data'!G5127</f>
        <v>0</v>
      </c>
      <c r="I5218" s="29" t="e">
        <f>VLOOKUP(G5218,제품명!$C$1:$E$114,2,0)</f>
        <v>#N/A</v>
      </c>
      <c r="J5218" s="29">
        <f>'Raw data'!K5127</f>
        <v>0</v>
      </c>
      <c r="K5218" s="31">
        <f>'Raw data'!H5127</f>
        <v>0</v>
      </c>
      <c r="L5218" s="26">
        <f t="shared" si="166"/>
        <v>0</v>
      </c>
    </row>
    <row r="5219" spans="2:12">
      <c r="B5219" s="4" t="e">
        <f t="shared" si="165"/>
        <v>#N/A</v>
      </c>
      <c r="C5219" s="4">
        <f>'Raw data'!E4795</f>
        <v>0</v>
      </c>
      <c r="D5219" s="29" t="e">
        <f>VLOOKUP(C5219,'점포코드 '!A:B,2,0)</f>
        <v>#N/A</v>
      </c>
      <c r="E5219" s="30">
        <f>'Raw data'!P4795</f>
        <v>0</v>
      </c>
      <c r="F5219" s="29" t="e">
        <f>VLOOKUP(E5219,'점포코드 '!A:B,2,0)</f>
        <v>#N/A</v>
      </c>
      <c r="G5219" s="46">
        <f>'Raw data'!F5128</f>
        <v>0</v>
      </c>
      <c r="H5219" s="4">
        <f>'Raw data'!G5128</f>
        <v>0</v>
      </c>
      <c r="I5219" s="29" t="e">
        <f>VLOOKUP(G5219,제품명!$C$1:$E$114,2,0)</f>
        <v>#N/A</v>
      </c>
      <c r="J5219" s="29">
        <f>'Raw data'!K5128</f>
        <v>0</v>
      </c>
      <c r="K5219" s="31">
        <f>'Raw data'!H5128</f>
        <v>0</v>
      </c>
      <c r="L5219" s="26">
        <f t="shared" si="166"/>
        <v>0</v>
      </c>
    </row>
    <row r="5220" spans="2:12">
      <c r="B5220" s="4" t="e">
        <f t="shared" si="165"/>
        <v>#N/A</v>
      </c>
      <c r="C5220" s="4">
        <f>'Raw data'!E4796</f>
        <v>0</v>
      </c>
      <c r="D5220" s="29" t="e">
        <f>VLOOKUP(C5220,'점포코드 '!A:B,2,0)</f>
        <v>#N/A</v>
      </c>
      <c r="E5220" s="30">
        <f>'Raw data'!P4796</f>
        <v>0</v>
      </c>
      <c r="F5220" s="29" t="e">
        <f>VLOOKUP(E5220,'점포코드 '!A:B,2,0)</f>
        <v>#N/A</v>
      </c>
      <c r="G5220" s="46">
        <f>'Raw data'!F5129</f>
        <v>0</v>
      </c>
      <c r="H5220" s="4">
        <f>'Raw data'!G5129</f>
        <v>0</v>
      </c>
      <c r="I5220" s="29" t="e">
        <f>VLOOKUP(G5220,제품명!$C$1:$E$114,2,0)</f>
        <v>#N/A</v>
      </c>
      <c r="J5220" s="29">
        <f>'Raw data'!K5129</f>
        <v>0</v>
      </c>
      <c r="K5220" s="31">
        <f>'Raw data'!H5129</f>
        <v>0</v>
      </c>
      <c r="L5220" s="26">
        <f t="shared" si="166"/>
        <v>0</v>
      </c>
    </row>
    <row r="5221" spans="2:12">
      <c r="B5221" s="4" t="e">
        <f t="shared" si="165"/>
        <v>#N/A</v>
      </c>
      <c r="C5221" s="4">
        <f>'Raw data'!E4797</f>
        <v>0</v>
      </c>
      <c r="D5221" s="29" t="e">
        <f>VLOOKUP(C5221,'점포코드 '!A:B,2,0)</f>
        <v>#N/A</v>
      </c>
      <c r="E5221" s="30">
        <f>'Raw data'!P4797</f>
        <v>0</v>
      </c>
      <c r="F5221" s="29" t="e">
        <f>VLOOKUP(E5221,'점포코드 '!A:B,2,0)</f>
        <v>#N/A</v>
      </c>
      <c r="G5221" s="46">
        <f>'Raw data'!F5130</f>
        <v>0</v>
      </c>
      <c r="H5221" s="4">
        <f>'Raw data'!G5130</f>
        <v>0</v>
      </c>
      <c r="I5221" s="29" t="e">
        <f>VLOOKUP(G5221,제품명!$C$1:$E$114,2,0)</f>
        <v>#N/A</v>
      </c>
      <c r="J5221" s="29">
        <f>'Raw data'!K5130</f>
        <v>0</v>
      </c>
      <c r="K5221" s="31">
        <f>'Raw data'!H5130</f>
        <v>0</v>
      </c>
      <c r="L5221" s="26">
        <f t="shared" si="166"/>
        <v>0</v>
      </c>
    </row>
    <row r="5222" spans="2:12">
      <c r="B5222" s="4" t="e">
        <f t="shared" si="165"/>
        <v>#N/A</v>
      </c>
      <c r="C5222" s="4">
        <f>'Raw data'!E4798</f>
        <v>0</v>
      </c>
      <c r="D5222" s="29" t="e">
        <f>VLOOKUP(C5222,'점포코드 '!A:B,2,0)</f>
        <v>#N/A</v>
      </c>
      <c r="E5222" s="30">
        <f>'Raw data'!P4798</f>
        <v>0</v>
      </c>
      <c r="F5222" s="29" t="e">
        <f>VLOOKUP(E5222,'점포코드 '!A:B,2,0)</f>
        <v>#N/A</v>
      </c>
      <c r="G5222" s="46">
        <f>'Raw data'!F5131</f>
        <v>0</v>
      </c>
      <c r="H5222" s="4">
        <f>'Raw data'!G5131</f>
        <v>0</v>
      </c>
      <c r="I5222" s="29" t="e">
        <f>VLOOKUP(G5222,제품명!$C$1:$E$114,2,0)</f>
        <v>#N/A</v>
      </c>
      <c r="J5222" s="29">
        <f>'Raw data'!K5131</f>
        <v>0</v>
      </c>
      <c r="K5222" s="31">
        <f>'Raw data'!H5131</f>
        <v>0</v>
      </c>
      <c r="L5222" s="26">
        <f t="shared" si="166"/>
        <v>0</v>
      </c>
    </row>
    <row r="5223" spans="2:12">
      <c r="B5223" s="4" t="e">
        <f t="shared" si="165"/>
        <v>#N/A</v>
      </c>
      <c r="C5223" s="4">
        <f>'Raw data'!E4799</f>
        <v>0</v>
      </c>
      <c r="D5223" s="29" t="e">
        <f>VLOOKUP(C5223,'점포코드 '!A:B,2,0)</f>
        <v>#N/A</v>
      </c>
      <c r="E5223" s="30">
        <f>'Raw data'!P4799</f>
        <v>0</v>
      </c>
      <c r="F5223" s="29" t="e">
        <f>VLOOKUP(E5223,'점포코드 '!A:B,2,0)</f>
        <v>#N/A</v>
      </c>
      <c r="G5223" s="46">
        <f>'Raw data'!F5132</f>
        <v>0</v>
      </c>
      <c r="H5223" s="4">
        <f>'Raw data'!G5132</f>
        <v>0</v>
      </c>
      <c r="I5223" s="29" t="e">
        <f>VLOOKUP(G5223,제품명!$C$1:$E$114,2,0)</f>
        <v>#N/A</v>
      </c>
      <c r="J5223" s="29">
        <f>'Raw data'!K5132</f>
        <v>0</v>
      </c>
      <c r="K5223" s="31">
        <f>'Raw data'!H5132</f>
        <v>0</v>
      </c>
      <c r="L5223" s="26">
        <f t="shared" si="166"/>
        <v>0</v>
      </c>
    </row>
    <row r="5224" spans="2:12">
      <c r="B5224" s="4" t="e">
        <f t="shared" si="165"/>
        <v>#N/A</v>
      </c>
      <c r="C5224" s="4">
        <f>'Raw data'!E4800</f>
        <v>0</v>
      </c>
      <c r="D5224" s="29" t="e">
        <f>VLOOKUP(C5224,'점포코드 '!A:B,2,0)</f>
        <v>#N/A</v>
      </c>
      <c r="E5224" s="30">
        <f>'Raw data'!P4800</f>
        <v>0</v>
      </c>
      <c r="F5224" s="29" t="e">
        <f>VLOOKUP(E5224,'점포코드 '!A:B,2,0)</f>
        <v>#N/A</v>
      </c>
      <c r="G5224" s="46">
        <f>'Raw data'!F5133</f>
        <v>0</v>
      </c>
      <c r="H5224" s="4">
        <f>'Raw data'!G5133</f>
        <v>0</v>
      </c>
      <c r="I5224" s="29" t="e">
        <f>VLOOKUP(G5224,제품명!$C$1:$E$114,2,0)</f>
        <v>#N/A</v>
      </c>
      <c r="J5224" s="29">
        <f>'Raw data'!K5133</f>
        <v>0</v>
      </c>
      <c r="K5224" s="31">
        <f>'Raw data'!H5133</f>
        <v>0</v>
      </c>
      <c r="L5224" s="26">
        <f t="shared" si="166"/>
        <v>0</v>
      </c>
    </row>
    <row r="5225" spans="2:12">
      <c r="B5225" s="4" t="e">
        <f t="shared" si="165"/>
        <v>#N/A</v>
      </c>
      <c r="C5225" s="4">
        <f>'Raw data'!E4801</f>
        <v>0</v>
      </c>
      <c r="D5225" s="29" t="e">
        <f>VLOOKUP(C5225,'점포코드 '!A:B,2,0)</f>
        <v>#N/A</v>
      </c>
      <c r="E5225" s="30">
        <f>'Raw data'!P4801</f>
        <v>0</v>
      </c>
      <c r="F5225" s="29" t="e">
        <f>VLOOKUP(E5225,'점포코드 '!A:B,2,0)</f>
        <v>#N/A</v>
      </c>
      <c r="G5225" s="46">
        <f>'Raw data'!F5134</f>
        <v>0</v>
      </c>
      <c r="H5225" s="4">
        <f>'Raw data'!G5134</f>
        <v>0</v>
      </c>
      <c r="I5225" s="29" t="e">
        <f>VLOOKUP(G5225,제품명!$C$1:$E$114,2,0)</f>
        <v>#N/A</v>
      </c>
      <c r="J5225" s="29">
        <f>'Raw data'!K5134</f>
        <v>0</v>
      </c>
      <c r="K5225" s="31">
        <f>'Raw data'!H5134</f>
        <v>0</v>
      </c>
      <c r="L5225" s="26">
        <f t="shared" si="166"/>
        <v>0</v>
      </c>
    </row>
    <row r="5226" spans="2:12">
      <c r="B5226" s="4" t="e">
        <f t="shared" si="165"/>
        <v>#N/A</v>
      </c>
      <c r="C5226" s="4">
        <f>'Raw data'!E4802</f>
        <v>0</v>
      </c>
      <c r="D5226" s="29" t="e">
        <f>VLOOKUP(C5226,'점포코드 '!A:B,2,0)</f>
        <v>#N/A</v>
      </c>
      <c r="E5226" s="30">
        <f>'Raw data'!P4802</f>
        <v>0</v>
      </c>
      <c r="F5226" s="29" t="e">
        <f>VLOOKUP(E5226,'점포코드 '!A:B,2,0)</f>
        <v>#N/A</v>
      </c>
      <c r="G5226" s="46">
        <f>'Raw data'!F5135</f>
        <v>0</v>
      </c>
      <c r="H5226" s="4">
        <f>'Raw data'!G5135</f>
        <v>0</v>
      </c>
      <c r="I5226" s="29" t="e">
        <f>VLOOKUP(G5226,제품명!$C$1:$E$114,2,0)</f>
        <v>#N/A</v>
      </c>
      <c r="J5226" s="29">
        <f>'Raw data'!K5135</f>
        <v>0</v>
      </c>
      <c r="K5226" s="31">
        <f>'Raw data'!H5135</f>
        <v>0</v>
      </c>
      <c r="L5226" s="26">
        <f t="shared" si="166"/>
        <v>0</v>
      </c>
    </row>
    <row r="5227" spans="2:12">
      <c r="B5227" s="4" t="e">
        <f t="shared" si="165"/>
        <v>#N/A</v>
      </c>
      <c r="C5227" s="4">
        <f>'Raw data'!E4803</f>
        <v>0</v>
      </c>
      <c r="D5227" s="29" t="e">
        <f>VLOOKUP(C5227,'점포코드 '!A:B,2,0)</f>
        <v>#N/A</v>
      </c>
      <c r="E5227" s="30">
        <f>'Raw data'!P4803</f>
        <v>0</v>
      </c>
      <c r="F5227" s="29" t="e">
        <f>VLOOKUP(E5227,'점포코드 '!A:B,2,0)</f>
        <v>#N/A</v>
      </c>
      <c r="G5227" s="46">
        <f>'Raw data'!F5136</f>
        <v>0</v>
      </c>
      <c r="H5227" s="4">
        <f>'Raw data'!G5136</f>
        <v>0</v>
      </c>
      <c r="I5227" s="29" t="e">
        <f>VLOOKUP(G5227,제품명!$C$1:$E$114,2,0)</f>
        <v>#N/A</v>
      </c>
      <c r="J5227" s="29">
        <f>'Raw data'!K5136</f>
        <v>0</v>
      </c>
      <c r="K5227" s="31">
        <f>'Raw data'!H5136</f>
        <v>0</v>
      </c>
      <c r="L5227" s="26">
        <f t="shared" si="166"/>
        <v>0</v>
      </c>
    </row>
    <row r="5228" spans="2:12">
      <c r="B5228" s="4" t="e">
        <f t="shared" si="165"/>
        <v>#N/A</v>
      </c>
      <c r="C5228" s="4">
        <f>'Raw data'!E4804</f>
        <v>0</v>
      </c>
      <c r="D5228" s="29" t="e">
        <f>VLOOKUP(C5228,'점포코드 '!A:B,2,0)</f>
        <v>#N/A</v>
      </c>
      <c r="E5228" s="30">
        <f>'Raw data'!P4804</f>
        <v>0</v>
      </c>
      <c r="F5228" s="29" t="e">
        <f>VLOOKUP(E5228,'점포코드 '!A:B,2,0)</f>
        <v>#N/A</v>
      </c>
      <c r="G5228" s="46">
        <f>'Raw data'!F5137</f>
        <v>0</v>
      </c>
      <c r="H5228" s="4">
        <f>'Raw data'!G5137</f>
        <v>0</v>
      </c>
      <c r="I5228" s="29" t="e">
        <f>VLOOKUP(G5228,제품명!$C$1:$E$114,2,0)</f>
        <v>#N/A</v>
      </c>
      <c r="J5228" s="29">
        <f>'Raw data'!K5137</f>
        <v>0</v>
      </c>
      <c r="K5228" s="31">
        <f>'Raw data'!H5137</f>
        <v>0</v>
      </c>
      <c r="L5228" s="26">
        <f t="shared" si="166"/>
        <v>0</v>
      </c>
    </row>
    <row r="5229" spans="2:12">
      <c r="B5229" s="4" t="e">
        <f t="shared" si="165"/>
        <v>#N/A</v>
      </c>
      <c r="C5229" s="4">
        <f>'Raw data'!E4805</f>
        <v>0</v>
      </c>
      <c r="D5229" s="29" t="e">
        <f>VLOOKUP(C5229,'점포코드 '!A:B,2,0)</f>
        <v>#N/A</v>
      </c>
      <c r="E5229" s="30">
        <f>'Raw data'!P4805</f>
        <v>0</v>
      </c>
      <c r="F5229" s="29" t="e">
        <f>VLOOKUP(E5229,'점포코드 '!A:B,2,0)</f>
        <v>#N/A</v>
      </c>
      <c r="G5229" s="46">
        <f>'Raw data'!F5138</f>
        <v>0</v>
      </c>
      <c r="H5229" s="4">
        <f>'Raw data'!G5138</f>
        <v>0</v>
      </c>
      <c r="I5229" s="29" t="e">
        <f>VLOOKUP(G5229,제품명!$C$1:$E$114,2,0)</f>
        <v>#N/A</v>
      </c>
      <c r="J5229" s="29">
        <f>'Raw data'!K5138</f>
        <v>0</v>
      </c>
      <c r="K5229" s="31">
        <f>'Raw data'!H5138</f>
        <v>0</v>
      </c>
      <c r="L5229" s="26">
        <f t="shared" si="166"/>
        <v>0</v>
      </c>
    </row>
    <row r="5230" spans="2:12">
      <c r="B5230" s="4" t="e">
        <f t="shared" si="165"/>
        <v>#N/A</v>
      </c>
      <c r="C5230" s="4">
        <f>'Raw data'!E4806</f>
        <v>0</v>
      </c>
      <c r="D5230" s="29" t="e">
        <f>VLOOKUP(C5230,'점포코드 '!A:B,2,0)</f>
        <v>#N/A</v>
      </c>
      <c r="E5230" s="30">
        <f>'Raw data'!P4806</f>
        <v>0</v>
      </c>
      <c r="F5230" s="29" t="e">
        <f>VLOOKUP(E5230,'점포코드 '!A:B,2,0)</f>
        <v>#N/A</v>
      </c>
      <c r="G5230" s="46">
        <f>'Raw data'!F5139</f>
        <v>0</v>
      </c>
      <c r="H5230" s="4">
        <f>'Raw data'!G5139</f>
        <v>0</v>
      </c>
      <c r="I5230" s="29" t="e">
        <f>VLOOKUP(G5230,제품명!$C$1:$E$114,2,0)</f>
        <v>#N/A</v>
      </c>
      <c r="J5230" s="29">
        <f>'Raw data'!K5139</f>
        <v>0</v>
      </c>
      <c r="K5230" s="31">
        <f>'Raw data'!H5139</f>
        <v>0</v>
      </c>
      <c r="L5230" s="26">
        <f t="shared" si="166"/>
        <v>0</v>
      </c>
    </row>
    <row r="5231" spans="2:12">
      <c r="B5231" s="4" t="e">
        <f t="shared" si="165"/>
        <v>#N/A</v>
      </c>
      <c r="C5231" s="4">
        <f>'Raw data'!E4807</f>
        <v>0</v>
      </c>
      <c r="D5231" s="29" t="e">
        <f>VLOOKUP(C5231,'점포코드 '!A:B,2,0)</f>
        <v>#N/A</v>
      </c>
      <c r="E5231" s="30">
        <f>'Raw data'!P4807</f>
        <v>0</v>
      </c>
      <c r="F5231" s="29" t="e">
        <f>VLOOKUP(E5231,'점포코드 '!A:B,2,0)</f>
        <v>#N/A</v>
      </c>
      <c r="G5231" s="46">
        <f>'Raw data'!F5140</f>
        <v>0</v>
      </c>
      <c r="H5231" s="4">
        <f>'Raw data'!G5140</f>
        <v>0</v>
      </c>
      <c r="I5231" s="29" t="e">
        <f>VLOOKUP(G5231,제품명!$C$1:$E$114,2,0)</f>
        <v>#N/A</v>
      </c>
      <c r="J5231" s="29">
        <f>'Raw data'!K5140</f>
        <v>0</v>
      </c>
      <c r="K5231" s="31">
        <f>'Raw data'!H5140</f>
        <v>0</v>
      </c>
      <c r="L5231" s="26">
        <f t="shared" si="166"/>
        <v>0</v>
      </c>
    </row>
    <row r="5232" spans="2:12">
      <c r="B5232" s="4" t="e">
        <f t="shared" si="165"/>
        <v>#N/A</v>
      </c>
      <c r="C5232" s="4">
        <f>'Raw data'!E4808</f>
        <v>0</v>
      </c>
      <c r="D5232" s="29" t="e">
        <f>VLOOKUP(C5232,'점포코드 '!A:B,2,0)</f>
        <v>#N/A</v>
      </c>
      <c r="E5232" s="30">
        <f>'Raw data'!P4808</f>
        <v>0</v>
      </c>
      <c r="F5232" s="29" t="e">
        <f>VLOOKUP(E5232,'점포코드 '!A:B,2,0)</f>
        <v>#N/A</v>
      </c>
      <c r="G5232" s="46">
        <f>'Raw data'!F5141</f>
        <v>0</v>
      </c>
      <c r="H5232" s="4">
        <f>'Raw data'!G5141</f>
        <v>0</v>
      </c>
      <c r="I5232" s="29" t="e">
        <f>VLOOKUP(G5232,제품명!$C$1:$E$114,2,0)</f>
        <v>#N/A</v>
      </c>
      <c r="J5232" s="29">
        <f>'Raw data'!K5141</f>
        <v>0</v>
      </c>
      <c r="K5232" s="31">
        <f>'Raw data'!H5141</f>
        <v>0</v>
      </c>
      <c r="L5232" s="26">
        <f t="shared" si="166"/>
        <v>0</v>
      </c>
    </row>
    <row r="5233" spans="2:12">
      <c r="B5233" s="4" t="e">
        <f t="shared" si="165"/>
        <v>#N/A</v>
      </c>
      <c r="C5233" s="4">
        <f>'Raw data'!E4809</f>
        <v>0</v>
      </c>
      <c r="D5233" s="29" t="e">
        <f>VLOOKUP(C5233,'점포코드 '!A:B,2,0)</f>
        <v>#N/A</v>
      </c>
      <c r="E5233" s="30">
        <f>'Raw data'!P4809</f>
        <v>0</v>
      </c>
      <c r="F5233" s="29" t="e">
        <f>VLOOKUP(E5233,'점포코드 '!A:B,2,0)</f>
        <v>#N/A</v>
      </c>
      <c r="G5233" s="46">
        <f>'Raw data'!F5142</f>
        <v>0</v>
      </c>
      <c r="H5233" s="4">
        <f>'Raw data'!G5142</f>
        <v>0</v>
      </c>
      <c r="I5233" s="29" t="e">
        <f>VLOOKUP(G5233,제품명!$C$1:$E$114,2,0)</f>
        <v>#N/A</v>
      </c>
      <c r="J5233" s="29">
        <f>'Raw data'!K5142</f>
        <v>0</v>
      </c>
      <c r="K5233" s="31">
        <f>'Raw data'!H5142</f>
        <v>0</v>
      </c>
      <c r="L5233" s="26">
        <f t="shared" si="166"/>
        <v>0</v>
      </c>
    </row>
    <row r="5234" spans="2:12">
      <c r="B5234" s="4" t="e">
        <f t="shared" si="165"/>
        <v>#N/A</v>
      </c>
      <c r="C5234" s="4">
        <f>'Raw data'!E4810</f>
        <v>0</v>
      </c>
      <c r="D5234" s="29" t="e">
        <f>VLOOKUP(C5234,'점포코드 '!A:B,2,0)</f>
        <v>#N/A</v>
      </c>
      <c r="E5234" s="30">
        <f>'Raw data'!P4810</f>
        <v>0</v>
      </c>
      <c r="F5234" s="29" t="e">
        <f>VLOOKUP(E5234,'점포코드 '!A:B,2,0)</f>
        <v>#N/A</v>
      </c>
      <c r="G5234" s="46">
        <f>'Raw data'!F5143</f>
        <v>0</v>
      </c>
      <c r="H5234" s="4">
        <f>'Raw data'!G5143</f>
        <v>0</v>
      </c>
      <c r="I5234" s="29" t="e">
        <f>VLOOKUP(G5234,제품명!$C$1:$E$114,2,0)</f>
        <v>#N/A</v>
      </c>
      <c r="J5234" s="29">
        <f>'Raw data'!K5143</f>
        <v>0</v>
      </c>
      <c r="K5234" s="31">
        <f>'Raw data'!H5143</f>
        <v>0</v>
      </c>
      <c r="L5234" s="26">
        <f t="shared" si="166"/>
        <v>0</v>
      </c>
    </row>
    <row r="5235" spans="2:12">
      <c r="B5235" s="4" t="e">
        <f t="shared" si="165"/>
        <v>#N/A</v>
      </c>
      <c r="C5235" s="4">
        <f>'Raw data'!E4811</f>
        <v>0</v>
      </c>
      <c r="D5235" s="29" t="e">
        <f>VLOOKUP(C5235,'점포코드 '!A:B,2,0)</f>
        <v>#N/A</v>
      </c>
      <c r="E5235" s="30">
        <f>'Raw data'!P4811</f>
        <v>0</v>
      </c>
      <c r="F5235" s="29" t="e">
        <f>VLOOKUP(E5235,'점포코드 '!A:B,2,0)</f>
        <v>#N/A</v>
      </c>
      <c r="G5235" s="46">
        <f>'Raw data'!F5144</f>
        <v>0</v>
      </c>
      <c r="H5235" s="4">
        <f>'Raw data'!G5144</f>
        <v>0</v>
      </c>
      <c r="I5235" s="29" t="e">
        <f>VLOOKUP(G5235,제품명!$C$1:$E$114,2,0)</f>
        <v>#N/A</v>
      </c>
      <c r="J5235" s="29">
        <f>'Raw data'!K5144</f>
        <v>0</v>
      </c>
      <c r="K5235" s="31">
        <f>'Raw data'!H5144</f>
        <v>0</v>
      </c>
      <c r="L5235" s="26">
        <f t="shared" si="166"/>
        <v>0</v>
      </c>
    </row>
    <row r="5236" spans="2:12">
      <c r="B5236" s="4" t="e">
        <f t="shared" si="165"/>
        <v>#N/A</v>
      </c>
      <c r="C5236" s="4">
        <f>'Raw data'!E4812</f>
        <v>0</v>
      </c>
      <c r="D5236" s="29" t="e">
        <f>VLOOKUP(C5236,'점포코드 '!A:B,2,0)</f>
        <v>#N/A</v>
      </c>
      <c r="E5236" s="30">
        <f>'Raw data'!P4812</f>
        <v>0</v>
      </c>
      <c r="F5236" s="29" t="e">
        <f>VLOOKUP(E5236,'점포코드 '!A:B,2,0)</f>
        <v>#N/A</v>
      </c>
      <c r="G5236" s="46">
        <f>'Raw data'!F5145</f>
        <v>0</v>
      </c>
      <c r="H5236" s="4">
        <f>'Raw data'!G5145</f>
        <v>0</v>
      </c>
      <c r="I5236" s="29" t="e">
        <f>VLOOKUP(G5236,제품명!$C$1:$E$114,2,0)</f>
        <v>#N/A</v>
      </c>
      <c r="J5236" s="29">
        <f>'Raw data'!K5145</f>
        <v>0</v>
      </c>
      <c r="K5236" s="31">
        <f>'Raw data'!H5145</f>
        <v>0</v>
      </c>
      <c r="L5236" s="26">
        <f t="shared" si="166"/>
        <v>0</v>
      </c>
    </row>
    <row r="5237" spans="2:12">
      <c r="B5237" s="4" t="e">
        <f t="shared" si="165"/>
        <v>#N/A</v>
      </c>
      <c r="C5237" s="4">
        <f>'Raw data'!E4813</f>
        <v>0</v>
      </c>
      <c r="D5237" s="29" t="e">
        <f>VLOOKUP(C5237,'점포코드 '!A:B,2,0)</f>
        <v>#N/A</v>
      </c>
      <c r="E5237" s="30">
        <f>'Raw data'!P4813</f>
        <v>0</v>
      </c>
      <c r="F5237" s="29" t="e">
        <f>VLOOKUP(E5237,'점포코드 '!A:B,2,0)</f>
        <v>#N/A</v>
      </c>
      <c r="G5237" s="46">
        <f>'Raw data'!F5146</f>
        <v>0</v>
      </c>
      <c r="H5237" s="4">
        <f>'Raw data'!G5146</f>
        <v>0</v>
      </c>
      <c r="I5237" s="29" t="e">
        <f>VLOOKUP(G5237,제품명!$C$1:$E$114,2,0)</f>
        <v>#N/A</v>
      </c>
      <c r="J5237" s="29">
        <f>'Raw data'!K5146</f>
        <v>0</v>
      </c>
      <c r="K5237" s="31">
        <f>'Raw data'!H5146</f>
        <v>0</v>
      </c>
      <c r="L5237" s="26">
        <f t="shared" si="166"/>
        <v>0</v>
      </c>
    </row>
    <row r="5238" spans="2:12">
      <c r="B5238" s="4" t="e">
        <f t="shared" si="165"/>
        <v>#N/A</v>
      </c>
      <c r="C5238" s="4">
        <f>'Raw data'!E4814</f>
        <v>0</v>
      </c>
      <c r="D5238" s="29" t="e">
        <f>VLOOKUP(C5238,'점포코드 '!A:B,2,0)</f>
        <v>#N/A</v>
      </c>
      <c r="E5238" s="30">
        <f>'Raw data'!P4814</f>
        <v>0</v>
      </c>
      <c r="F5238" s="29" t="e">
        <f>VLOOKUP(E5238,'점포코드 '!A:B,2,0)</f>
        <v>#N/A</v>
      </c>
      <c r="G5238" s="46">
        <f>'Raw data'!F5147</f>
        <v>0</v>
      </c>
      <c r="H5238" s="4">
        <f>'Raw data'!G5147</f>
        <v>0</v>
      </c>
      <c r="I5238" s="29" t="e">
        <f>VLOOKUP(G5238,제품명!$C$1:$E$114,2,0)</f>
        <v>#N/A</v>
      </c>
      <c r="J5238" s="29">
        <f>'Raw data'!K5147</f>
        <v>0</v>
      </c>
      <c r="K5238" s="31">
        <f>'Raw data'!H5147</f>
        <v>0</v>
      </c>
      <c r="L5238" s="26">
        <f t="shared" si="166"/>
        <v>0</v>
      </c>
    </row>
    <row r="5239" spans="2:12">
      <c r="B5239" s="4" t="e">
        <f t="shared" si="165"/>
        <v>#N/A</v>
      </c>
      <c r="C5239" s="4">
        <f>'Raw data'!E4815</f>
        <v>0</v>
      </c>
      <c r="D5239" s="29" t="e">
        <f>VLOOKUP(C5239,'점포코드 '!A:B,2,0)</f>
        <v>#N/A</v>
      </c>
      <c r="E5239" s="30">
        <f>'Raw data'!P4815</f>
        <v>0</v>
      </c>
      <c r="F5239" s="29" t="e">
        <f>VLOOKUP(E5239,'점포코드 '!A:B,2,0)</f>
        <v>#N/A</v>
      </c>
      <c r="G5239" s="46">
        <f>'Raw data'!F5148</f>
        <v>0</v>
      </c>
      <c r="H5239" s="4">
        <f>'Raw data'!G5148</f>
        <v>0</v>
      </c>
      <c r="I5239" s="29" t="e">
        <f>VLOOKUP(G5239,제품명!$C$1:$E$114,2,0)</f>
        <v>#N/A</v>
      </c>
      <c r="J5239" s="29">
        <f>'Raw data'!K5148</f>
        <v>0</v>
      </c>
      <c r="K5239" s="31">
        <f>'Raw data'!H5148</f>
        <v>0</v>
      </c>
      <c r="L5239" s="26">
        <f t="shared" si="166"/>
        <v>0</v>
      </c>
    </row>
    <row r="5240" spans="2:12">
      <c r="B5240" s="4" t="e">
        <f t="shared" si="165"/>
        <v>#N/A</v>
      </c>
      <c r="C5240" s="4">
        <f>'Raw data'!E4816</f>
        <v>0</v>
      </c>
      <c r="D5240" s="29" t="e">
        <f>VLOOKUP(C5240,'점포코드 '!A:B,2,0)</f>
        <v>#N/A</v>
      </c>
      <c r="E5240" s="30">
        <f>'Raw data'!P4816</f>
        <v>0</v>
      </c>
      <c r="F5240" s="29" t="e">
        <f>VLOOKUP(E5240,'점포코드 '!A:B,2,0)</f>
        <v>#N/A</v>
      </c>
      <c r="G5240" s="46">
        <f>'Raw data'!F5149</f>
        <v>0</v>
      </c>
      <c r="H5240" s="4">
        <f>'Raw data'!G5149</f>
        <v>0</v>
      </c>
      <c r="I5240" s="29" t="e">
        <f>VLOOKUP(G5240,제품명!$C$1:$E$114,2,0)</f>
        <v>#N/A</v>
      </c>
      <c r="J5240" s="29">
        <f>'Raw data'!K5149</f>
        <v>0</v>
      </c>
      <c r="K5240" s="31">
        <f>'Raw data'!H5149</f>
        <v>0</v>
      </c>
      <c r="L5240" s="26">
        <f t="shared" si="166"/>
        <v>0</v>
      </c>
    </row>
    <row r="5241" spans="2:12">
      <c r="B5241" s="4" t="e">
        <f t="shared" si="165"/>
        <v>#N/A</v>
      </c>
      <c r="C5241" s="4">
        <f>'Raw data'!E4817</f>
        <v>0</v>
      </c>
      <c r="D5241" s="29" t="e">
        <f>VLOOKUP(C5241,'점포코드 '!A:B,2,0)</f>
        <v>#N/A</v>
      </c>
      <c r="E5241" s="30">
        <f>'Raw data'!P4817</f>
        <v>0</v>
      </c>
      <c r="F5241" s="29" t="e">
        <f>VLOOKUP(E5241,'점포코드 '!A:B,2,0)</f>
        <v>#N/A</v>
      </c>
      <c r="G5241" s="46">
        <f>'Raw data'!F5150</f>
        <v>0</v>
      </c>
      <c r="H5241" s="4">
        <f>'Raw data'!G5150</f>
        <v>0</v>
      </c>
      <c r="I5241" s="29" t="e">
        <f>VLOOKUP(G5241,제품명!$C$1:$E$114,2,0)</f>
        <v>#N/A</v>
      </c>
      <c r="J5241" s="29">
        <f>'Raw data'!K5150</f>
        <v>0</v>
      </c>
      <c r="K5241" s="31">
        <f>'Raw data'!H5150</f>
        <v>0</v>
      </c>
      <c r="L5241" s="26">
        <f t="shared" si="166"/>
        <v>0</v>
      </c>
    </row>
    <row r="5242" spans="2:12">
      <c r="B5242" s="4" t="e">
        <f t="shared" si="165"/>
        <v>#N/A</v>
      </c>
      <c r="C5242" s="4">
        <f>'Raw data'!E4818</f>
        <v>0</v>
      </c>
      <c r="D5242" s="29" t="e">
        <f>VLOOKUP(C5242,'점포코드 '!A:B,2,0)</f>
        <v>#N/A</v>
      </c>
      <c r="E5242" s="30">
        <f>'Raw data'!P4818</f>
        <v>0</v>
      </c>
      <c r="F5242" s="29" t="e">
        <f>VLOOKUP(E5242,'점포코드 '!A:B,2,0)</f>
        <v>#N/A</v>
      </c>
      <c r="G5242" s="46">
        <f>'Raw data'!F5151</f>
        <v>0</v>
      </c>
      <c r="H5242" s="4">
        <f>'Raw data'!G5151</f>
        <v>0</v>
      </c>
      <c r="I5242" s="29" t="e">
        <f>VLOOKUP(G5242,제품명!$C$1:$E$114,2,0)</f>
        <v>#N/A</v>
      </c>
      <c r="J5242" s="29">
        <f>'Raw data'!K5151</f>
        <v>0</v>
      </c>
      <c r="K5242" s="31">
        <f>'Raw data'!H5151</f>
        <v>0</v>
      </c>
      <c r="L5242" s="26">
        <f t="shared" si="166"/>
        <v>0</v>
      </c>
    </row>
    <row r="5243" spans="2:12">
      <c r="B5243" s="4" t="e">
        <f t="shared" si="165"/>
        <v>#N/A</v>
      </c>
      <c r="C5243" s="4">
        <f>'Raw data'!E4819</f>
        <v>0</v>
      </c>
      <c r="D5243" s="29" t="e">
        <f>VLOOKUP(C5243,'점포코드 '!A:B,2,0)</f>
        <v>#N/A</v>
      </c>
      <c r="E5243" s="30">
        <f>'Raw data'!P4819</f>
        <v>0</v>
      </c>
      <c r="F5243" s="29" t="e">
        <f>VLOOKUP(E5243,'점포코드 '!A:B,2,0)</f>
        <v>#N/A</v>
      </c>
      <c r="G5243" s="46">
        <f>'Raw data'!F5152</f>
        <v>0</v>
      </c>
      <c r="H5243" s="4">
        <f>'Raw data'!G5152</f>
        <v>0</v>
      </c>
      <c r="I5243" s="29" t="e">
        <f>VLOOKUP(G5243,제품명!$C$1:$E$114,2,0)</f>
        <v>#N/A</v>
      </c>
      <c r="J5243" s="29">
        <f>'Raw data'!K5152</f>
        <v>0</v>
      </c>
      <c r="K5243" s="31">
        <f>'Raw data'!H5152</f>
        <v>0</v>
      </c>
      <c r="L5243" s="26">
        <f t="shared" si="166"/>
        <v>0</v>
      </c>
    </row>
    <row r="5244" spans="2:12">
      <c r="B5244" s="4" t="e">
        <f t="shared" si="165"/>
        <v>#N/A</v>
      </c>
      <c r="C5244" s="4">
        <f>'Raw data'!E4820</f>
        <v>0</v>
      </c>
      <c r="D5244" s="29" t="e">
        <f>VLOOKUP(C5244,'점포코드 '!A:B,2,0)</f>
        <v>#N/A</v>
      </c>
      <c r="E5244" s="30">
        <f>'Raw data'!P4820</f>
        <v>0</v>
      </c>
      <c r="F5244" s="29" t="e">
        <f>VLOOKUP(E5244,'점포코드 '!A:B,2,0)</f>
        <v>#N/A</v>
      </c>
      <c r="G5244" s="46">
        <f>'Raw data'!F5153</f>
        <v>0</v>
      </c>
      <c r="H5244" s="4">
        <f>'Raw data'!G5153</f>
        <v>0</v>
      </c>
      <c r="I5244" s="29" t="e">
        <f>VLOOKUP(G5244,제품명!$C$1:$E$114,2,0)</f>
        <v>#N/A</v>
      </c>
      <c r="J5244" s="29">
        <f>'Raw data'!K5153</f>
        <v>0</v>
      </c>
      <c r="K5244" s="31">
        <f>'Raw data'!H5153</f>
        <v>0</v>
      </c>
      <c r="L5244" s="26">
        <f t="shared" si="166"/>
        <v>0</v>
      </c>
    </row>
    <row r="5245" spans="2:12">
      <c r="B5245" s="4" t="e">
        <f t="shared" si="165"/>
        <v>#N/A</v>
      </c>
      <c r="C5245" s="4">
        <f>'Raw data'!E4821</f>
        <v>0</v>
      </c>
      <c r="D5245" s="29" t="e">
        <f>VLOOKUP(C5245,'점포코드 '!A:B,2,0)</f>
        <v>#N/A</v>
      </c>
      <c r="E5245" s="30">
        <f>'Raw data'!P4821</f>
        <v>0</v>
      </c>
      <c r="F5245" s="29" t="e">
        <f>VLOOKUP(E5245,'점포코드 '!A:B,2,0)</f>
        <v>#N/A</v>
      </c>
      <c r="G5245" s="46">
        <f>'Raw data'!F5154</f>
        <v>0</v>
      </c>
      <c r="H5245" s="4">
        <f>'Raw data'!G5154</f>
        <v>0</v>
      </c>
      <c r="I5245" s="29" t="e">
        <f>VLOOKUP(G5245,제품명!$C$1:$E$114,2,0)</f>
        <v>#N/A</v>
      </c>
      <c r="J5245" s="29">
        <f>'Raw data'!K5154</f>
        <v>0</v>
      </c>
      <c r="K5245" s="31">
        <f>'Raw data'!H5154</f>
        <v>0</v>
      </c>
      <c r="L5245" s="26">
        <f t="shared" si="166"/>
        <v>0</v>
      </c>
    </row>
    <row r="5246" spans="2:12">
      <c r="B5246" s="4" t="e">
        <f t="shared" si="165"/>
        <v>#N/A</v>
      </c>
      <c r="C5246" s="4">
        <f>'Raw data'!E4822</f>
        <v>0</v>
      </c>
      <c r="D5246" s="29" t="e">
        <f>VLOOKUP(C5246,'점포코드 '!A:B,2,0)</f>
        <v>#N/A</v>
      </c>
      <c r="E5246" s="30">
        <f>'Raw data'!P4822</f>
        <v>0</v>
      </c>
      <c r="F5246" s="29" t="e">
        <f>VLOOKUP(E5246,'점포코드 '!A:B,2,0)</f>
        <v>#N/A</v>
      </c>
      <c r="G5246" s="46">
        <f>'Raw data'!F5155</f>
        <v>0</v>
      </c>
      <c r="H5246" s="4">
        <f>'Raw data'!G5155</f>
        <v>0</v>
      </c>
      <c r="I5246" s="29" t="e">
        <f>VLOOKUP(G5246,제품명!$C$1:$E$114,2,0)</f>
        <v>#N/A</v>
      </c>
      <c r="J5246" s="29">
        <f>'Raw data'!K5155</f>
        <v>0</v>
      </c>
      <c r="K5246" s="31">
        <f>'Raw data'!H5155</f>
        <v>0</v>
      </c>
      <c r="L5246" s="26">
        <f t="shared" si="166"/>
        <v>0</v>
      </c>
    </row>
    <row r="5247" spans="2:12">
      <c r="B5247" s="4" t="e">
        <f t="shared" si="165"/>
        <v>#N/A</v>
      </c>
      <c r="C5247" s="4">
        <f>'Raw data'!E4823</f>
        <v>0</v>
      </c>
      <c r="D5247" s="29" t="e">
        <f>VLOOKUP(C5247,'점포코드 '!A:B,2,0)</f>
        <v>#N/A</v>
      </c>
      <c r="E5247" s="30">
        <f>'Raw data'!P4823</f>
        <v>0</v>
      </c>
      <c r="F5247" s="29" t="e">
        <f>VLOOKUP(E5247,'점포코드 '!A:B,2,0)</f>
        <v>#N/A</v>
      </c>
      <c r="G5247" s="46">
        <f>'Raw data'!F5156</f>
        <v>0</v>
      </c>
      <c r="H5247" s="4">
        <f>'Raw data'!G5156</f>
        <v>0</v>
      </c>
      <c r="I5247" s="29" t="e">
        <f>VLOOKUP(G5247,제품명!$C$1:$E$114,2,0)</f>
        <v>#N/A</v>
      </c>
      <c r="J5247" s="29">
        <f>'Raw data'!K5156</f>
        <v>0</v>
      </c>
      <c r="K5247" s="31">
        <f>'Raw data'!H5156</f>
        <v>0</v>
      </c>
      <c r="L5247" s="26">
        <f t="shared" si="166"/>
        <v>0</v>
      </c>
    </row>
    <row r="5248" spans="2:12">
      <c r="B5248" s="4" t="e">
        <f t="shared" si="165"/>
        <v>#N/A</v>
      </c>
      <c r="C5248" s="4">
        <f>'Raw data'!E4824</f>
        <v>0</v>
      </c>
      <c r="D5248" s="29" t="e">
        <f>VLOOKUP(C5248,'점포코드 '!A:B,2,0)</f>
        <v>#N/A</v>
      </c>
      <c r="E5248" s="30">
        <f>'Raw data'!P4824</f>
        <v>0</v>
      </c>
      <c r="F5248" s="29" t="e">
        <f>VLOOKUP(E5248,'점포코드 '!A:B,2,0)</f>
        <v>#N/A</v>
      </c>
      <c r="G5248" s="46">
        <f>'Raw data'!F5157</f>
        <v>0</v>
      </c>
      <c r="H5248" s="4">
        <f>'Raw data'!G5157</f>
        <v>0</v>
      </c>
      <c r="I5248" s="29" t="e">
        <f>VLOOKUP(G5248,제품명!$C$1:$E$114,2,0)</f>
        <v>#N/A</v>
      </c>
      <c r="J5248" s="29">
        <f>'Raw data'!K5157</f>
        <v>0</v>
      </c>
      <c r="K5248" s="31">
        <f>'Raw data'!H5157</f>
        <v>0</v>
      </c>
      <c r="L5248" s="26">
        <f t="shared" si="166"/>
        <v>0</v>
      </c>
    </row>
    <row r="5249" spans="2:12">
      <c r="B5249" s="4" t="e">
        <f t="shared" si="165"/>
        <v>#N/A</v>
      </c>
      <c r="C5249" s="4">
        <f>'Raw data'!E4825</f>
        <v>0</v>
      </c>
      <c r="D5249" s="29" t="e">
        <f>VLOOKUP(C5249,'점포코드 '!A:B,2,0)</f>
        <v>#N/A</v>
      </c>
      <c r="E5249" s="30">
        <f>'Raw data'!P4825</f>
        <v>0</v>
      </c>
      <c r="F5249" s="29" t="e">
        <f>VLOOKUP(E5249,'점포코드 '!A:B,2,0)</f>
        <v>#N/A</v>
      </c>
      <c r="G5249" s="46">
        <f>'Raw data'!F5158</f>
        <v>0</v>
      </c>
      <c r="H5249" s="4">
        <f>'Raw data'!G5158</f>
        <v>0</v>
      </c>
      <c r="I5249" s="29" t="e">
        <f>VLOOKUP(G5249,제품명!$C$1:$E$114,2,0)</f>
        <v>#N/A</v>
      </c>
      <c r="J5249" s="29">
        <f>'Raw data'!K5158</f>
        <v>0</v>
      </c>
      <c r="K5249" s="31">
        <f>'Raw data'!H5158</f>
        <v>0</v>
      </c>
      <c r="L5249" s="26">
        <f t="shared" si="166"/>
        <v>0</v>
      </c>
    </row>
    <row r="5250" spans="2:12">
      <c r="B5250" s="4" t="e">
        <f t="shared" ref="B5250:B5313" si="167">F5250&amp;I5250</f>
        <v>#N/A</v>
      </c>
      <c r="C5250" s="4">
        <f>'Raw data'!E4826</f>
        <v>0</v>
      </c>
      <c r="D5250" s="29" t="e">
        <f>VLOOKUP(C5250,'점포코드 '!A:B,2,0)</f>
        <v>#N/A</v>
      </c>
      <c r="E5250" s="30">
        <f>'Raw data'!P4826</f>
        <v>0</v>
      </c>
      <c r="F5250" s="29" t="e">
        <f>VLOOKUP(E5250,'점포코드 '!A:B,2,0)</f>
        <v>#N/A</v>
      </c>
      <c r="G5250" s="46">
        <f>'Raw data'!F5159</f>
        <v>0</v>
      </c>
      <c r="H5250" s="4">
        <f>'Raw data'!G5159</f>
        <v>0</v>
      </c>
      <c r="I5250" s="29" t="e">
        <f>VLOOKUP(G5250,제품명!$C$1:$E$114,2,0)</f>
        <v>#N/A</v>
      </c>
      <c r="J5250" s="29">
        <f>'Raw data'!K5159</f>
        <v>0</v>
      </c>
      <c r="K5250" s="31">
        <f>'Raw data'!H5159</f>
        <v>0</v>
      </c>
      <c r="L5250" s="26">
        <f t="shared" si="166"/>
        <v>0</v>
      </c>
    </row>
    <row r="5251" spans="2:12">
      <c r="B5251" s="4" t="e">
        <f t="shared" si="167"/>
        <v>#N/A</v>
      </c>
      <c r="C5251" s="4">
        <f>'Raw data'!E4827</f>
        <v>0</v>
      </c>
      <c r="D5251" s="29" t="e">
        <f>VLOOKUP(C5251,'점포코드 '!A:B,2,0)</f>
        <v>#N/A</v>
      </c>
      <c r="E5251" s="30">
        <f>'Raw data'!P4827</f>
        <v>0</v>
      </c>
      <c r="F5251" s="29" t="e">
        <f>VLOOKUP(E5251,'점포코드 '!A:B,2,0)</f>
        <v>#N/A</v>
      </c>
      <c r="G5251" s="46">
        <f>'Raw data'!F5160</f>
        <v>0</v>
      </c>
      <c r="H5251" s="4">
        <f>'Raw data'!G5160</f>
        <v>0</v>
      </c>
      <c r="I5251" s="29" t="e">
        <f>VLOOKUP(G5251,제품명!$C$1:$E$114,2,0)</f>
        <v>#N/A</v>
      </c>
      <c r="J5251" s="29">
        <f>'Raw data'!K5160</f>
        <v>0</v>
      </c>
      <c r="K5251" s="31">
        <f>'Raw data'!H5160</f>
        <v>0</v>
      </c>
      <c r="L5251" s="26">
        <f t="shared" ref="L5251:L5314" si="168">J5251*K5251</f>
        <v>0</v>
      </c>
    </row>
    <row r="5252" spans="2:12">
      <c r="B5252" s="4" t="e">
        <f t="shared" si="167"/>
        <v>#N/A</v>
      </c>
      <c r="C5252" s="4">
        <f>'Raw data'!E4828</f>
        <v>0</v>
      </c>
      <c r="D5252" s="29" t="e">
        <f>VLOOKUP(C5252,'점포코드 '!A:B,2,0)</f>
        <v>#N/A</v>
      </c>
      <c r="E5252" s="30">
        <f>'Raw data'!P4828</f>
        <v>0</v>
      </c>
      <c r="F5252" s="29" t="e">
        <f>VLOOKUP(E5252,'점포코드 '!A:B,2,0)</f>
        <v>#N/A</v>
      </c>
      <c r="G5252" s="46">
        <f>'Raw data'!F5161</f>
        <v>0</v>
      </c>
      <c r="H5252" s="4">
        <f>'Raw data'!G5161</f>
        <v>0</v>
      </c>
      <c r="I5252" s="29" t="e">
        <f>VLOOKUP(G5252,제품명!$C$1:$E$114,2,0)</f>
        <v>#N/A</v>
      </c>
      <c r="J5252" s="29">
        <f>'Raw data'!K5161</f>
        <v>0</v>
      </c>
      <c r="K5252" s="31">
        <f>'Raw data'!H5161</f>
        <v>0</v>
      </c>
      <c r="L5252" s="26">
        <f t="shared" si="168"/>
        <v>0</v>
      </c>
    </row>
    <row r="5253" spans="2:12">
      <c r="B5253" s="4" t="e">
        <f t="shared" si="167"/>
        <v>#N/A</v>
      </c>
      <c r="C5253" s="4">
        <f>'Raw data'!E4829</f>
        <v>0</v>
      </c>
      <c r="D5253" s="29" t="e">
        <f>VLOOKUP(C5253,'점포코드 '!A:B,2,0)</f>
        <v>#N/A</v>
      </c>
      <c r="E5253" s="30">
        <f>'Raw data'!P4829</f>
        <v>0</v>
      </c>
      <c r="F5253" s="29" t="e">
        <f>VLOOKUP(E5253,'점포코드 '!A:B,2,0)</f>
        <v>#N/A</v>
      </c>
      <c r="G5253" s="46">
        <f>'Raw data'!F5162</f>
        <v>0</v>
      </c>
      <c r="H5253" s="4">
        <f>'Raw data'!G5162</f>
        <v>0</v>
      </c>
      <c r="I5253" s="29" t="e">
        <f>VLOOKUP(G5253,제품명!$C$1:$E$114,2,0)</f>
        <v>#N/A</v>
      </c>
      <c r="J5253" s="29">
        <f>'Raw data'!K5162</f>
        <v>0</v>
      </c>
      <c r="K5253" s="31">
        <f>'Raw data'!H5162</f>
        <v>0</v>
      </c>
      <c r="L5253" s="26">
        <f t="shared" si="168"/>
        <v>0</v>
      </c>
    </row>
    <row r="5254" spans="2:12">
      <c r="B5254" s="4" t="e">
        <f t="shared" si="167"/>
        <v>#N/A</v>
      </c>
      <c r="C5254" s="4">
        <f>'Raw data'!E4830</f>
        <v>0</v>
      </c>
      <c r="D5254" s="29" t="e">
        <f>VLOOKUP(C5254,'점포코드 '!A:B,2,0)</f>
        <v>#N/A</v>
      </c>
      <c r="E5254" s="30">
        <f>'Raw data'!P4830</f>
        <v>0</v>
      </c>
      <c r="F5254" s="29" t="e">
        <f>VLOOKUP(E5254,'점포코드 '!A:B,2,0)</f>
        <v>#N/A</v>
      </c>
      <c r="G5254" s="46">
        <f>'Raw data'!F5163</f>
        <v>0</v>
      </c>
      <c r="H5254" s="4">
        <f>'Raw data'!G5163</f>
        <v>0</v>
      </c>
      <c r="I5254" s="29" t="e">
        <f>VLOOKUP(G5254,제품명!$C$1:$E$114,2,0)</f>
        <v>#N/A</v>
      </c>
      <c r="J5254" s="29">
        <f>'Raw data'!K5163</f>
        <v>0</v>
      </c>
      <c r="K5254" s="31">
        <f>'Raw data'!H5163</f>
        <v>0</v>
      </c>
      <c r="L5254" s="26">
        <f t="shared" si="168"/>
        <v>0</v>
      </c>
    </row>
    <row r="5255" spans="2:12">
      <c r="B5255" s="4" t="e">
        <f t="shared" si="167"/>
        <v>#N/A</v>
      </c>
      <c r="C5255" s="4">
        <f>'Raw data'!E4831</f>
        <v>0</v>
      </c>
      <c r="D5255" s="29" t="e">
        <f>VLOOKUP(C5255,'점포코드 '!A:B,2,0)</f>
        <v>#N/A</v>
      </c>
      <c r="E5255" s="30">
        <f>'Raw data'!P4831</f>
        <v>0</v>
      </c>
      <c r="F5255" s="29" t="e">
        <f>VLOOKUP(E5255,'점포코드 '!A:B,2,0)</f>
        <v>#N/A</v>
      </c>
      <c r="G5255" s="46">
        <f>'Raw data'!F5164</f>
        <v>0</v>
      </c>
      <c r="H5255" s="4">
        <f>'Raw data'!G5164</f>
        <v>0</v>
      </c>
      <c r="I5255" s="29" t="e">
        <f>VLOOKUP(G5255,제품명!$C$1:$E$114,2,0)</f>
        <v>#N/A</v>
      </c>
      <c r="J5255" s="29">
        <f>'Raw data'!K5164</f>
        <v>0</v>
      </c>
      <c r="K5255" s="31">
        <f>'Raw data'!H5164</f>
        <v>0</v>
      </c>
      <c r="L5255" s="26">
        <f t="shared" si="168"/>
        <v>0</v>
      </c>
    </row>
    <row r="5256" spans="2:12">
      <c r="B5256" s="4" t="e">
        <f t="shared" si="167"/>
        <v>#N/A</v>
      </c>
      <c r="C5256" s="4">
        <f>'Raw data'!E4832</f>
        <v>0</v>
      </c>
      <c r="D5256" s="29" t="e">
        <f>VLOOKUP(C5256,'점포코드 '!A:B,2,0)</f>
        <v>#N/A</v>
      </c>
      <c r="E5256" s="30">
        <f>'Raw data'!P4832</f>
        <v>0</v>
      </c>
      <c r="F5256" s="29" t="e">
        <f>VLOOKUP(E5256,'점포코드 '!A:B,2,0)</f>
        <v>#N/A</v>
      </c>
      <c r="G5256" s="46">
        <f>'Raw data'!F5165</f>
        <v>0</v>
      </c>
      <c r="H5256" s="4">
        <f>'Raw data'!G5165</f>
        <v>0</v>
      </c>
      <c r="I5256" s="29" t="e">
        <f>VLOOKUP(G5256,제품명!$C$1:$E$114,2,0)</f>
        <v>#N/A</v>
      </c>
      <c r="J5256" s="29">
        <f>'Raw data'!K5165</f>
        <v>0</v>
      </c>
      <c r="K5256" s="31">
        <f>'Raw data'!H5165</f>
        <v>0</v>
      </c>
      <c r="L5256" s="26">
        <f t="shared" si="168"/>
        <v>0</v>
      </c>
    </row>
    <row r="5257" spans="2:12">
      <c r="B5257" s="4" t="e">
        <f t="shared" si="167"/>
        <v>#N/A</v>
      </c>
      <c r="C5257" s="4">
        <f>'Raw data'!E4833</f>
        <v>0</v>
      </c>
      <c r="D5257" s="29" t="e">
        <f>VLOOKUP(C5257,'점포코드 '!A:B,2,0)</f>
        <v>#N/A</v>
      </c>
      <c r="E5257" s="30">
        <f>'Raw data'!P4833</f>
        <v>0</v>
      </c>
      <c r="F5257" s="29" t="e">
        <f>VLOOKUP(E5257,'점포코드 '!A:B,2,0)</f>
        <v>#N/A</v>
      </c>
      <c r="G5257" s="46">
        <f>'Raw data'!F5166</f>
        <v>0</v>
      </c>
      <c r="H5257" s="4">
        <f>'Raw data'!G5166</f>
        <v>0</v>
      </c>
      <c r="I5257" s="29" t="e">
        <f>VLOOKUP(G5257,제품명!$C$1:$E$114,2,0)</f>
        <v>#N/A</v>
      </c>
      <c r="J5257" s="29">
        <f>'Raw data'!K5166</f>
        <v>0</v>
      </c>
      <c r="K5257" s="31">
        <f>'Raw data'!H5166</f>
        <v>0</v>
      </c>
      <c r="L5257" s="26">
        <f t="shared" si="168"/>
        <v>0</v>
      </c>
    </row>
    <row r="5258" spans="2:12">
      <c r="B5258" s="4" t="e">
        <f t="shared" si="167"/>
        <v>#N/A</v>
      </c>
      <c r="C5258" s="4">
        <f>'Raw data'!E4834</f>
        <v>0</v>
      </c>
      <c r="D5258" s="29" t="e">
        <f>VLOOKUP(C5258,'점포코드 '!A:B,2,0)</f>
        <v>#N/A</v>
      </c>
      <c r="E5258" s="30">
        <f>'Raw data'!P4834</f>
        <v>0</v>
      </c>
      <c r="F5258" s="29" t="e">
        <f>VLOOKUP(E5258,'점포코드 '!A:B,2,0)</f>
        <v>#N/A</v>
      </c>
      <c r="G5258" s="46">
        <f>'Raw data'!F5167</f>
        <v>0</v>
      </c>
      <c r="H5258" s="4">
        <f>'Raw data'!G5167</f>
        <v>0</v>
      </c>
      <c r="I5258" s="29" t="e">
        <f>VLOOKUP(G5258,제품명!$C$1:$E$114,2,0)</f>
        <v>#N/A</v>
      </c>
      <c r="J5258" s="29">
        <f>'Raw data'!K5167</f>
        <v>0</v>
      </c>
      <c r="K5258" s="31">
        <f>'Raw data'!H5167</f>
        <v>0</v>
      </c>
      <c r="L5258" s="26">
        <f t="shared" si="168"/>
        <v>0</v>
      </c>
    </row>
    <row r="5259" spans="2:12">
      <c r="B5259" s="4" t="e">
        <f t="shared" si="167"/>
        <v>#N/A</v>
      </c>
      <c r="C5259" s="4">
        <f>'Raw data'!E4835</f>
        <v>0</v>
      </c>
      <c r="D5259" s="29" t="e">
        <f>VLOOKUP(C5259,'점포코드 '!A:B,2,0)</f>
        <v>#N/A</v>
      </c>
      <c r="E5259" s="30">
        <f>'Raw data'!P4835</f>
        <v>0</v>
      </c>
      <c r="F5259" s="29" t="e">
        <f>VLOOKUP(E5259,'점포코드 '!A:B,2,0)</f>
        <v>#N/A</v>
      </c>
      <c r="G5259" s="46">
        <f>'Raw data'!F5168</f>
        <v>0</v>
      </c>
      <c r="H5259" s="4">
        <f>'Raw data'!G5168</f>
        <v>0</v>
      </c>
      <c r="I5259" s="29" t="e">
        <f>VLOOKUP(G5259,제품명!$C$1:$E$114,2,0)</f>
        <v>#N/A</v>
      </c>
      <c r="J5259" s="29">
        <f>'Raw data'!K5168</f>
        <v>0</v>
      </c>
      <c r="K5259" s="31">
        <f>'Raw data'!H5168</f>
        <v>0</v>
      </c>
      <c r="L5259" s="26">
        <f t="shared" si="168"/>
        <v>0</v>
      </c>
    </row>
    <row r="5260" spans="2:12">
      <c r="B5260" s="4" t="e">
        <f t="shared" si="167"/>
        <v>#N/A</v>
      </c>
      <c r="C5260" s="4">
        <f>'Raw data'!E4836</f>
        <v>0</v>
      </c>
      <c r="D5260" s="29" t="e">
        <f>VLOOKUP(C5260,'점포코드 '!A:B,2,0)</f>
        <v>#N/A</v>
      </c>
      <c r="E5260" s="30">
        <f>'Raw data'!P4836</f>
        <v>0</v>
      </c>
      <c r="F5260" s="29" t="e">
        <f>VLOOKUP(E5260,'점포코드 '!A:B,2,0)</f>
        <v>#N/A</v>
      </c>
      <c r="G5260" s="46">
        <f>'Raw data'!F5169</f>
        <v>0</v>
      </c>
      <c r="H5260" s="4">
        <f>'Raw data'!G5169</f>
        <v>0</v>
      </c>
      <c r="I5260" s="29" t="e">
        <f>VLOOKUP(G5260,제품명!$C$1:$E$114,2,0)</f>
        <v>#N/A</v>
      </c>
      <c r="J5260" s="29">
        <f>'Raw data'!K5169</f>
        <v>0</v>
      </c>
      <c r="K5260" s="31">
        <f>'Raw data'!H5169</f>
        <v>0</v>
      </c>
      <c r="L5260" s="26">
        <f t="shared" si="168"/>
        <v>0</v>
      </c>
    </row>
    <row r="5261" spans="2:12">
      <c r="B5261" s="4" t="e">
        <f t="shared" si="167"/>
        <v>#N/A</v>
      </c>
      <c r="C5261" s="4">
        <f>'Raw data'!E4837</f>
        <v>0</v>
      </c>
      <c r="D5261" s="29" t="e">
        <f>VLOOKUP(C5261,'점포코드 '!A:B,2,0)</f>
        <v>#N/A</v>
      </c>
      <c r="E5261" s="30">
        <f>'Raw data'!P4837</f>
        <v>0</v>
      </c>
      <c r="F5261" s="29" t="e">
        <f>VLOOKUP(E5261,'점포코드 '!A:B,2,0)</f>
        <v>#N/A</v>
      </c>
      <c r="G5261" s="46">
        <f>'Raw data'!F5170</f>
        <v>0</v>
      </c>
      <c r="H5261" s="4">
        <f>'Raw data'!G5170</f>
        <v>0</v>
      </c>
      <c r="I5261" s="29" t="e">
        <f>VLOOKUP(G5261,제품명!$C$1:$E$114,2,0)</f>
        <v>#N/A</v>
      </c>
      <c r="J5261" s="29">
        <f>'Raw data'!K5170</f>
        <v>0</v>
      </c>
      <c r="K5261" s="31">
        <f>'Raw data'!H5170</f>
        <v>0</v>
      </c>
      <c r="L5261" s="26">
        <f t="shared" si="168"/>
        <v>0</v>
      </c>
    </row>
    <row r="5262" spans="2:12">
      <c r="B5262" s="4" t="e">
        <f t="shared" si="167"/>
        <v>#N/A</v>
      </c>
      <c r="C5262" s="4">
        <f>'Raw data'!E4838</f>
        <v>0</v>
      </c>
      <c r="D5262" s="29" t="e">
        <f>VLOOKUP(C5262,'점포코드 '!A:B,2,0)</f>
        <v>#N/A</v>
      </c>
      <c r="E5262" s="30">
        <f>'Raw data'!P4838</f>
        <v>0</v>
      </c>
      <c r="F5262" s="29" t="e">
        <f>VLOOKUP(E5262,'점포코드 '!A:B,2,0)</f>
        <v>#N/A</v>
      </c>
      <c r="G5262" s="46">
        <f>'Raw data'!F5171</f>
        <v>0</v>
      </c>
      <c r="H5262" s="4">
        <f>'Raw data'!G5171</f>
        <v>0</v>
      </c>
      <c r="I5262" s="29" t="e">
        <f>VLOOKUP(G5262,제품명!$C$1:$E$114,2,0)</f>
        <v>#N/A</v>
      </c>
      <c r="J5262" s="29">
        <f>'Raw data'!K5171</f>
        <v>0</v>
      </c>
      <c r="K5262" s="31">
        <f>'Raw data'!H5171</f>
        <v>0</v>
      </c>
      <c r="L5262" s="26">
        <f t="shared" si="168"/>
        <v>0</v>
      </c>
    </row>
    <row r="5263" spans="2:12">
      <c r="B5263" s="4" t="e">
        <f t="shared" si="167"/>
        <v>#N/A</v>
      </c>
      <c r="C5263" s="4">
        <f>'Raw data'!E4839</f>
        <v>0</v>
      </c>
      <c r="D5263" s="29" t="e">
        <f>VLOOKUP(C5263,'점포코드 '!A:B,2,0)</f>
        <v>#N/A</v>
      </c>
      <c r="E5263" s="30">
        <f>'Raw data'!P4839</f>
        <v>0</v>
      </c>
      <c r="F5263" s="29" t="e">
        <f>VLOOKUP(E5263,'점포코드 '!A:B,2,0)</f>
        <v>#N/A</v>
      </c>
      <c r="G5263" s="46">
        <f>'Raw data'!F5172</f>
        <v>0</v>
      </c>
      <c r="H5263" s="4">
        <f>'Raw data'!G5172</f>
        <v>0</v>
      </c>
      <c r="I5263" s="29" t="e">
        <f>VLOOKUP(G5263,제품명!$C$1:$E$114,2,0)</f>
        <v>#N/A</v>
      </c>
      <c r="J5263" s="29">
        <f>'Raw data'!K5172</f>
        <v>0</v>
      </c>
      <c r="K5263" s="31">
        <f>'Raw data'!H5172</f>
        <v>0</v>
      </c>
      <c r="L5263" s="26">
        <f t="shared" si="168"/>
        <v>0</v>
      </c>
    </row>
    <row r="5264" spans="2:12">
      <c r="B5264" s="4" t="e">
        <f t="shared" si="167"/>
        <v>#N/A</v>
      </c>
      <c r="C5264" s="4">
        <f>'Raw data'!E4840</f>
        <v>0</v>
      </c>
      <c r="D5264" s="29" t="e">
        <f>VLOOKUP(C5264,'점포코드 '!A:B,2,0)</f>
        <v>#N/A</v>
      </c>
      <c r="E5264" s="30">
        <f>'Raw data'!P4840</f>
        <v>0</v>
      </c>
      <c r="F5264" s="29" t="e">
        <f>VLOOKUP(E5264,'점포코드 '!A:B,2,0)</f>
        <v>#N/A</v>
      </c>
      <c r="G5264" s="46">
        <f>'Raw data'!F5173</f>
        <v>0</v>
      </c>
      <c r="H5264" s="4">
        <f>'Raw data'!G5173</f>
        <v>0</v>
      </c>
      <c r="I5264" s="29" t="e">
        <f>VLOOKUP(G5264,제품명!$C$1:$E$114,2,0)</f>
        <v>#N/A</v>
      </c>
      <c r="J5264" s="29">
        <f>'Raw data'!K5173</f>
        <v>0</v>
      </c>
      <c r="K5264" s="31">
        <f>'Raw data'!H5173</f>
        <v>0</v>
      </c>
      <c r="L5264" s="26">
        <f t="shared" si="168"/>
        <v>0</v>
      </c>
    </row>
    <row r="5265" spans="2:12">
      <c r="B5265" s="4" t="e">
        <f t="shared" si="167"/>
        <v>#N/A</v>
      </c>
      <c r="C5265" s="4">
        <f>'Raw data'!E4841</f>
        <v>0</v>
      </c>
      <c r="D5265" s="29" t="e">
        <f>VLOOKUP(C5265,'점포코드 '!A:B,2,0)</f>
        <v>#N/A</v>
      </c>
      <c r="E5265" s="30">
        <f>'Raw data'!P4841</f>
        <v>0</v>
      </c>
      <c r="F5265" s="29" t="e">
        <f>VLOOKUP(E5265,'점포코드 '!A:B,2,0)</f>
        <v>#N/A</v>
      </c>
      <c r="G5265" s="46">
        <f>'Raw data'!F5174</f>
        <v>0</v>
      </c>
      <c r="H5265" s="4">
        <f>'Raw data'!G5174</f>
        <v>0</v>
      </c>
      <c r="I5265" s="29" t="e">
        <f>VLOOKUP(G5265,제품명!$C$1:$E$114,2,0)</f>
        <v>#N/A</v>
      </c>
      <c r="J5265" s="29">
        <f>'Raw data'!K5174</f>
        <v>0</v>
      </c>
      <c r="K5265" s="31">
        <f>'Raw data'!H5174</f>
        <v>0</v>
      </c>
      <c r="L5265" s="26">
        <f t="shared" si="168"/>
        <v>0</v>
      </c>
    </row>
    <row r="5266" spans="2:12">
      <c r="B5266" s="4" t="e">
        <f t="shared" si="167"/>
        <v>#N/A</v>
      </c>
      <c r="C5266" s="4">
        <f>'Raw data'!E4842</f>
        <v>0</v>
      </c>
      <c r="D5266" s="29" t="e">
        <f>VLOOKUP(C5266,'점포코드 '!A:B,2,0)</f>
        <v>#N/A</v>
      </c>
      <c r="E5266" s="30">
        <f>'Raw data'!P4842</f>
        <v>0</v>
      </c>
      <c r="F5266" s="29" t="e">
        <f>VLOOKUP(E5266,'점포코드 '!A:B,2,0)</f>
        <v>#N/A</v>
      </c>
      <c r="G5266" s="46">
        <f>'Raw data'!F5175</f>
        <v>0</v>
      </c>
      <c r="H5266" s="4">
        <f>'Raw data'!G5175</f>
        <v>0</v>
      </c>
      <c r="I5266" s="29" t="e">
        <f>VLOOKUP(G5266,제품명!$C$1:$E$114,2,0)</f>
        <v>#N/A</v>
      </c>
      <c r="J5266" s="29">
        <f>'Raw data'!K5175</f>
        <v>0</v>
      </c>
      <c r="K5266" s="31">
        <f>'Raw data'!H5175</f>
        <v>0</v>
      </c>
      <c r="L5266" s="26">
        <f t="shared" si="168"/>
        <v>0</v>
      </c>
    </row>
    <row r="5267" spans="2:12">
      <c r="B5267" s="4" t="e">
        <f t="shared" si="167"/>
        <v>#N/A</v>
      </c>
      <c r="C5267" s="4">
        <f>'Raw data'!E4843</f>
        <v>0</v>
      </c>
      <c r="D5267" s="29" t="e">
        <f>VLOOKUP(C5267,'점포코드 '!A:B,2,0)</f>
        <v>#N/A</v>
      </c>
      <c r="E5267" s="30">
        <f>'Raw data'!P4843</f>
        <v>0</v>
      </c>
      <c r="F5267" s="29" t="e">
        <f>VLOOKUP(E5267,'점포코드 '!A:B,2,0)</f>
        <v>#N/A</v>
      </c>
      <c r="G5267" s="46">
        <f>'Raw data'!F5176</f>
        <v>0</v>
      </c>
      <c r="H5267" s="4">
        <f>'Raw data'!G5176</f>
        <v>0</v>
      </c>
      <c r="I5267" s="29" t="e">
        <f>VLOOKUP(G5267,제품명!$C$1:$E$114,2,0)</f>
        <v>#N/A</v>
      </c>
      <c r="J5267" s="29">
        <f>'Raw data'!K5176</f>
        <v>0</v>
      </c>
      <c r="K5267" s="31">
        <f>'Raw data'!H5176</f>
        <v>0</v>
      </c>
      <c r="L5267" s="26">
        <f t="shared" si="168"/>
        <v>0</v>
      </c>
    </row>
    <row r="5268" spans="2:12">
      <c r="B5268" s="4" t="e">
        <f t="shared" si="167"/>
        <v>#N/A</v>
      </c>
      <c r="C5268" s="4">
        <f>'Raw data'!E4844</f>
        <v>0</v>
      </c>
      <c r="D5268" s="29" t="e">
        <f>VLOOKUP(C5268,'점포코드 '!A:B,2,0)</f>
        <v>#N/A</v>
      </c>
      <c r="E5268" s="30">
        <f>'Raw data'!P4844</f>
        <v>0</v>
      </c>
      <c r="F5268" s="29" t="e">
        <f>VLOOKUP(E5268,'점포코드 '!A:B,2,0)</f>
        <v>#N/A</v>
      </c>
      <c r="G5268" s="46">
        <f>'Raw data'!F5177</f>
        <v>0</v>
      </c>
      <c r="H5268" s="4">
        <f>'Raw data'!G5177</f>
        <v>0</v>
      </c>
      <c r="I5268" s="29" t="e">
        <f>VLOOKUP(G5268,제품명!$C$1:$E$114,2,0)</f>
        <v>#N/A</v>
      </c>
      <c r="J5268" s="29">
        <f>'Raw data'!K5177</f>
        <v>0</v>
      </c>
      <c r="K5268" s="31">
        <f>'Raw data'!H5177</f>
        <v>0</v>
      </c>
      <c r="L5268" s="26">
        <f t="shared" si="168"/>
        <v>0</v>
      </c>
    </row>
    <row r="5269" spans="2:12">
      <c r="B5269" s="4" t="e">
        <f t="shared" si="167"/>
        <v>#N/A</v>
      </c>
      <c r="C5269" s="4">
        <f>'Raw data'!E4845</f>
        <v>0</v>
      </c>
      <c r="D5269" s="29" t="e">
        <f>VLOOKUP(C5269,'점포코드 '!A:B,2,0)</f>
        <v>#N/A</v>
      </c>
      <c r="E5269" s="30">
        <f>'Raw data'!P4845</f>
        <v>0</v>
      </c>
      <c r="F5269" s="29" t="e">
        <f>VLOOKUP(E5269,'점포코드 '!A:B,2,0)</f>
        <v>#N/A</v>
      </c>
      <c r="G5269" s="46">
        <f>'Raw data'!F5178</f>
        <v>0</v>
      </c>
      <c r="H5269" s="4">
        <f>'Raw data'!G5178</f>
        <v>0</v>
      </c>
      <c r="I5269" s="29" t="e">
        <f>VLOOKUP(G5269,제품명!$C$1:$E$114,2,0)</f>
        <v>#N/A</v>
      </c>
      <c r="J5269" s="29">
        <f>'Raw data'!K5178</f>
        <v>0</v>
      </c>
      <c r="K5269" s="31">
        <f>'Raw data'!H5178</f>
        <v>0</v>
      </c>
      <c r="L5269" s="26">
        <f t="shared" si="168"/>
        <v>0</v>
      </c>
    </row>
    <row r="5270" spans="2:12">
      <c r="B5270" s="4" t="e">
        <f t="shared" si="167"/>
        <v>#N/A</v>
      </c>
      <c r="C5270" s="4">
        <f>'Raw data'!E4846</f>
        <v>0</v>
      </c>
      <c r="D5270" s="29" t="e">
        <f>VLOOKUP(C5270,'점포코드 '!A:B,2,0)</f>
        <v>#N/A</v>
      </c>
      <c r="E5270" s="30">
        <f>'Raw data'!P4846</f>
        <v>0</v>
      </c>
      <c r="F5270" s="29" t="e">
        <f>VLOOKUP(E5270,'점포코드 '!A:B,2,0)</f>
        <v>#N/A</v>
      </c>
      <c r="G5270" s="46">
        <f>'Raw data'!F5179</f>
        <v>0</v>
      </c>
      <c r="H5270" s="4">
        <f>'Raw data'!G5179</f>
        <v>0</v>
      </c>
      <c r="I5270" s="29" t="e">
        <f>VLOOKUP(G5270,제품명!$C$1:$E$114,2,0)</f>
        <v>#N/A</v>
      </c>
      <c r="J5270" s="29">
        <f>'Raw data'!K5179</f>
        <v>0</v>
      </c>
      <c r="K5270" s="31">
        <f>'Raw data'!H5179</f>
        <v>0</v>
      </c>
      <c r="L5270" s="26">
        <f t="shared" si="168"/>
        <v>0</v>
      </c>
    </row>
    <row r="5271" spans="2:12">
      <c r="B5271" s="4" t="e">
        <f t="shared" si="167"/>
        <v>#N/A</v>
      </c>
      <c r="C5271" s="4">
        <f>'Raw data'!E4847</f>
        <v>0</v>
      </c>
      <c r="D5271" s="29" t="e">
        <f>VLOOKUP(C5271,'점포코드 '!A:B,2,0)</f>
        <v>#N/A</v>
      </c>
      <c r="E5271" s="30">
        <f>'Raw data'!P4847</f>
        <v>0</v>
      </c>
      <c r="F5271" s="29" t="e">
        <f>VLOOKUP(E5271,'점포코드 '!A:B,2,0)</f>
        <v>#N/A</v>
      </c>
      <c r="G5271" s="46">
        <f>'Raw data'!F5180</f>
        <v>0</v>
      </c>
      <c r="H5271" s="4">
        <f>'Raw data'!G5180</f>
        <v>0</v>
      </c>
      <c r="I5271" s="29" t="e">
        <f>VLOOKUP(G5271,제품명!$C$1:$E$114,2,0)</f>
        <v>#N/A</v>
      </c>
      <c r="J5271" s="29">
        <f>'Raw data'!K5180</f>
        <v>0</v>
      </c>
      <c r="K5271" s="31">
        <f>'Raw data'!H5180</f>
        <v>0</v>
      </c>
      <c r="L5271" s="26">
        <f t="shared" si="168"/>
        <v>0</v>
      </c>
    </row>
    <row r="5272" spans="2:12">
      <c r="B5272" s="4" t="e">
        <f t="shared" si="167"/>
        <v>#N/A</v>
      </c>
      <c r="C5272" s="4">
        <f>'Raw data'!E4848</f>
        <v>0</v>
      </c>
      <c r="D5272" s="29" t="e">
        <f>VLOOKUP(C5272,'점포코드 '!A:B,2,0)</f>
        <v>#N/A</v>
      </c>
      <c r="E5272" s="30">
        <f>'Raw data'!P4848</f>
        <v>0</v>
      </c>
      <c r="F5272" s="29" t="e">
        <f>VLOOKUP(E5272,'점포코드 '!A:B,2,0)</f>
        <v>#N/A</v>
      </c>
      <c r="G5272" s="46">
        <f>'Raw data'!F5181</f>
        <v>0</v>
      </c>
      <c r="H5272" s="4">
        <f>'Raw data'!G5181</f>
        <v>0</v>
      </c>
      <c r="I5272" s="29" t="e">
        <f>VLOOKUP(G5272,제품명!$C$1:$E$114,2,0)</f>
        <v>#N/A</v>
      </c>
      <c r="J5272" s="29">
        <f>'Raw data'!K5181</f>
        <v>0</v>
      </c>
      <c r="K5272" s="31">
        <f>'Raw data'!H5181</f>
        <v>0</v>
      </c>
      <c r="L5272" s="26">
        <f t="shared" si="168"/>
        <v>0</v>
      </c>
    </row>
    <row r="5273" spans="2:12">
      <c r="B5273" s="4" t="e">
        <f t="shared" si="167"/>
        <v>#N/A</v>
      </c>
      <c r="C5273" s="4">
        <f>'Raw data'!E4849</f>
        <v>0</v>
      </c>
      <c r="D5273" s="29" t="e">
        <f>VLOOKUP(C5273,'점포코드 '!A:B,2,0)</f>
        <v>#N/A</v>
      </c>
      <c r="E5273" s="30">
        <f>'Raw data'!P4849</f>
        <v>0</v>
      </c>
      <c r="F5273" s="29" t="e">
        <f>VLOOKUP(E5273,'점포코드 '!A:B,2,0)</f>
        <v>#N/A</v>
      </c>
      <c r="G5273" s="46">
        <f>'Raw data'!F5182</f>
        <v>0</v>
      </c>
      <c r="H5273" s="4">
        <f>'Raw data'!G5182</f>
        <v>0</v>
      </c>
      <c r="I5273" s="29" t="e">
        <f>VLOOKUP(G5273,제품명!$C$1:$E$114,2,0)</f>
        <v>#N/A</v>
      </c>
      <c r="J5273" s="29">
        <f>'Raw data'!K5182</f>
        <v>0</v>
      </c>
      <c r="K5273" s="31">
        <f>'Raw data'!H5182</f>
        <v>0</v>
      </c>
      <c r="L5273" s="26">
        <f t="shared" si="168"/>
        <v>0</v>
      </c>
    </row>
    <row r="5274" spans="2:12">
      <c r="B5274" s="4" t="e">
        <f t="shared" si="167"/>
        <v>#N/A</v>
      </c>
      <c r="C5274" s="4">
        <f>'Raw data'!E4850</f>
        <v>0</v>
      </c>
      <c r="D5274" s="29" t="e">
        <f>VLOOKUP(C5274,'점포코드 '!A:B,2,0)</f>
        <v>#N/A</v>
      </c>
      <c r="E5274" s="30">
        <f>'Raw data'!P4850</f>
        <v>0</v>
      </c>
      <c r="F5274" s="29" t="e">
        <f>VLOOKUP(E5274,'점포코드 '!A:B,2,0)</f>
        <v>#N/A</v>
      </c>
      <c r="G5274" s="46">
        <f>'Raw data'!F5183</f>
        <v>0</v>
      </c>
      <c r="H5274" s="4">
        <f>'Raw data'!G5183</f>
        <v>0</v>
      </c>
      <c r="I5274" s="29" t="e">
        <f>VLOOKUP(G5274,제품명!$C$1:$E$114,2,0)</f>
        <v>#N/A</v>
      </c>
      <c r="J5274" s="29">
        <f>'Raw data'!K5183</f>
        <v>0</v>
      </c>
      <c r="K5274" s="31">
        <f>'Raw data'!H5183</f>
        <v>0</v>
      </c>
      <c r="L5274" s="26">
        <f t="shared" si="168"/>
        <v>0</v>
      </c>
    </row>
    <row r="5275" spans="2:12">
      <c r="B5275" s="4" t="e">
        <f t="shared" si="167"/>
        <v>#N/A</v>
      </c>
      <c r="C5275" s="4">
        <f>'Raw data'!E4851</f>
        <v>0</v>
      </c>
      <c r="D5275" s="29" t="e">
        <f>VLOOKUP(C5275,'점포코드 '!A:B,2,0)</f>
        <v>#N/A</v>
      </c>
      <c r="E5275" s="30">
        <f>'Raw data'!P4851</f>
        <v>0</v>
      </c>
      <c r="F5275" s="29" t="e">
        <f>VLOOKUP(E5275,'점포코드 '!A:B,2,0)</f>
        <v>#N/A</v>
      </c>
      <c r="G5275" s="46">
        <f>'Raw data'!F5184</f>
        <v>0</v>
      </c>
      <c r="H5275" s="4">
        <f>'Raw data'!G5184</f>
        <v>0</v>
      </c>
      <c r="I5275" s="29" t="e">
        <f>VLOOKUP(G5275,제품명!$C$1:$E$114,2,0)</f>
        <v>#N/A</v>
      </c>
      <c r="J5275" s="29">
        <f>'Raw data'!K5184</f>
        <v>0</v>
      </c>
      <c r="K5275" s="31">
        <f>'Raw data'!H5184</f>
        <v>0</v>
      </c>
      <c r="L5275" s="26">
        <f t="shared" si="168"/>
        <v>0</v>
      </c>
    </row>
    <row r="5276" spans="2:12">
      <c r="B5276" s="4" t="e">
        <f t="shared" si="167"/>
        <v>#N/A</v>
      </c>
      <c r="C5276" s="4">
        <f>'Raw data'!E4852</f>
        <v>0</v>
      </c>
      <c r="D5276" s="29" t="e">
        <f>VLOOKUP(C5276,'점포코드 '!A:B,2,0)</f>
        <v>#N/A</v>
      </c>
      <c r="E5276" s="30">
        <f>'Raw data'!P4852</f>
        <v>0</v>
      </c>
      <c r="F5276" s="29" t="e">
        <f>VLOOKUP(E5276,'점포코드 '!A:B,2,0)</f>
        <v>#N/A</v>
      </c>
      <c r="G5276" s="46">
        <f>'Raw data'!F5185</f>
        <v>0</v>
      </c>
      <c r="H5276" s="4">
        <f>'Raw data'!G5185</f>
        <v>0</v>
      </c>
      <c r="I5276" s="29" t="e">
        <f>VLOOKUP(G5276,제품명!$C$1:$E$114,2,0)</f>
        <v>#N/A</v>
      </c>
      <c r="J5276" s="29">
        <f>'Raw data'!K5185</f>
        <v>0</v>
      </c>
      <c r="K5276" s="31">
        <f>'Raw data'!H5185</f>
        <v>0</v>
      </c>
      <c r="L5276" s="26">
        <f t="shared" si="168"/>
        <v>0</v>
      </c>
    </row>
    <row r="5277" spans="2:12">
      <c r="B5277" s="4" t="e">
        <f t="shared" si="167"/>
        <v>#N/A</v>
      </c>
      <c r="C5277" s="4">
        <f>'Raw data'!E4853</f>
        <v>0</v>
      </c>
      <c r="D5277" s="29" t="e">
        <f>VLOOKUP(C5277,'점포코드 '!A:B,2,0)</f>
        <v>#N/A</v>
      </c>
      <c r="E5277" s="30">
        <f>'Raw data'!P4853</f>
        <v>0</v>
      </c>
      <c r="F5277" s="29" t="e">
        <f>VLOOKUP(E5277,'점포코드 '!A:B,2,0)</f>
        <v>#N/A</v>
      </c>
      <c r="G5277" s="46">
        <f>'Raw data'!F5186</f>
        <v>0</v>
      </c>
      <c r="H5277" s="4">
        <f>'Raw data'!G5186</f>
        <v>0</v>
      </c>
      <c r="I5277" s="29" t="e">
        <f>VLOOKUP(G5277,제품명!$C$1:$E$114,2,0)</f>
        <v>#N/A</v>
      </c>
      <c r="J5277" s="29">
        <f>'Raw data'!K5186</f>
        <v>0</v>
      </c>
      <c r="K5277" s="31">
        <f>'Raw data'!H5186</f>
        <v>0</v>
      </c>
      <c r="L5277" s="26">
        <f t="shared" si="168"/>
        <v>0</v>
      </c>
    </row>
    <row r="5278" spans="2:12">
      <c r="B5278" s="4" t="e">
        <f t="shared" si="167"/>
        <v>#N/A</v>
      </c>
      <c r="C5278" s="4">
        <f>'Raw data'!E4854</f>
        <v>0</v>
      </c>
      <c r="D5278" s="29" t="e">
        <f>VLOOKUP(C5278,'점포코드 '!A:B,2,0)</f>
        <v>#N/A</v>
      </c>
      <c r="E5278" s="30">
        <f>'Raw data'!P4854</f>
        <v>0</v>
      </c>
      <c r="F5278" s="29" t="e">
        <f>VLOOKUP(E5278,'점포코드 '!A:B,2,0)</f>
        <v>#N/A</v>
      </c>
      <c r="G5278" s="46">
        <f>'Raw data'!F5187</f>
        <v>0</v>
      </c>
      <c r="H5278" s="4">
        <f>'Raw data'!G5187</f>
        <v>0</v>
      </c>
      <c r="I5278" s="29" t="e">
        <f>VLOOKUP(G5278,제품명!$C$1:$E$114,2,0)</f>
        <v>#N/A</v>
      </c>
      <c r="J5278" s="29">
        <f>'Raw data'!K5187</f>
        <v>0</v>
      </c>
      <c r="K5278" s="31">
        <f>'Raw data'!H5187</f>
        <v>0</v>
      </c>
      <c r="L5278" s="26">
        <f t="shared" si="168"/>
        <v>0</v>
      </c>
    </row>
    <row r="5279" spans="2:12">
      <c r="B5279" s="4" t="e">
        <f t="shared" si="167"/>
        <v>#N/A</v>
      </c>
      <c r="C5279" s="4">
        <f>'Raw data'!E4855</f>
        <v>0</v>
      </c>
      <c r="D5279" s="29" t="e">
        <f>VLOOKUP(C5279,'점포코드 '!A:B,2,0)</f>
        <v>#N/A</v>
      </c>
      <c r="E5279" s="30">
        <f>'Raw data'!P4855</f>
        <v>0</v>
      </c>
      <c r="F5279" s="29" t="e">
        <f>VLOOKUP(E5279,'점포코드 '!A:B,2,0)</f>
        <v>#N/A</v>
      </c>
      <c r="G5279" s="46">
        <f>'Raw data'!F5188</f>
        <v>0</v>
      </c>
      <c r="H5279" s="4">
        <f>'Raw data'!G5188</f>
        <v>0</v>
      </c>
      <c r="I5279" s="29" t="e">
        <f>VLOOKUP(G5279,제품명!$C$1:$E$114,2,0)</f>
        <v>#N/A</v>
      </c>
      <c r="J5279" s="29">
        <f>'Raw data'!K5188</f>
        <v>0</v>
      </c>
      <c r="K5279" s="31">
        <f>'Raw data'!H5188</f>
        <v>0</v>
      </c>
      <c r="L5279" s="26">
        <f t="shared" si="168"/>
        <v>0</v>
      </c>
    </row>
    <row r="5280" spans="2:12">
      <c r="B5280" s="4" t="e">
        <f t="shared" si="167"/>
        <v>#N/A</v>
      </c>
      <c r="C5280" s="4">
        <f>'Raw data'!E4856</f>
        <v>0</v>
      </c>
      <c r="D5280" s="29" t="e">
        <f>VLOOKUP(C5280,'점포코드 '!A:B,2,0)</f>
        <v>#N/A</v>
      </c>
      <c r="E5280" s="30">
        <f>'Raw data'!P4856</f>
        <v>0</v>
      </c>
      <c r="F5280" s="29" t="e">
        <f>VLOOKUP(E5280,'점포코드 '!A:B,2,0)</f>
        <v>#N/A</v>
      </c>
      <c r="G5280" s="46">
        <f>'Raw data'!F5189</f>
        <v>0</v>
      </c>
      <c r="H5280" s="4">
        <f>'Raw data'!G5189</f>
        <v>0</v>
      </c>
      <c r="I5280" s="29" t="e">
        <f>VLOOKUP(G5280,제품명!$C$1:$E$114,2,0)</f>
        <v>#N/A</v>
      </c>
      <c r="J5280" s="29">
        <f>'Raw data'!K5189</f>
        <v>0</v>
      </c>
      <c r="K5280" s="31">
        <f>'Raw data'!H5189</f>
        <v>0</v>
      </c>
      <c r="L5280" s="26">
        <f t="shared" si="168"/>
        <v>0</v>
      </c>
    </row>
    <row r="5281" spans="2:12">
      <c r="B5281" s="4" t="e">
        <f t="shared" si="167"/>
        <v>#N/A</v>
      </c>
      <c r="C5281" s="4">
        <f>'Raw data'!E4857</f>
        <v>0</v>
      </c>
      <c r="D5281" s="29" t="e">
        <f>VLOOKUP(C5281,'점포코드 '!A:B,2,0)</f>
        <v>#N/A</v>
      </c>
      <c r="E5281" s="30">
        <f>'Raw data'!P4857</f>
        <v>0</v>
      </c>
      <c r="F5281" s="29" t="e">
        <f>VLOOKUP(E5281,'점포코드 '!A:B,2,0)</f>
        <v>#N/A</v>
      </c>
      <c r="G5281" s="46">
        <f>'Raw data'!F5190</f>
        <v>0</v>
      </c>
      <c r="H5281" s="4">
        <f>'Raw data'!G5190</f>
        <v>0</v>
      </c>
      <c r="I5281" s="29" t="e">
        <f>VLOOKUP(G5281,제품명!$C$1:$E$114,2,0)</f>
        <v>#N/A</v>
      </c>
      <c r="J5281" s="29">
        <f>'Raw data'!K5190</f>
        <v>0</v>
      </c>
      <c r="K5281" s="31">
        <f>'Raw data'!H5190</f>
        <v>0</v>
      </c>
      <c r="L5281" s="26">
        <f t="shared" si="168"/>
        <v>0</v>
      </c>
    </row>
    <row r="5282" spans="2:12">
      <c r="B5282" s="4" t="e">
        <f t="shared" si="167"/>
        <v>#N/A</v>
      </c>
      <c r="C5282" s="4">
        <f>'Raw data'!E4858</f>
        <v>0</v>
      </c>
      <c r="D5282" s="29" t="e">
        <f>VLOOKUP(C5282,'점포코드 '!A:B,2,0)</f>
        <v>#N/A</v>
      </c>
      <c r="E5282" s="30">
        <f>'Raw data'!P4858</f>
        <v>0</v>
      </c>
      <c r="F5282" s="29" t="e">
        <f>VLOOKUP(E5282,'점포코드 '!A:B,2,0)</f>
        <v>#N/A</v>
      </c>
      <c r="G5282" s="46">
        <f>'Raw data'!F5191</f>
        <v>0</v>
      </c>
      <c r="H5282" s="4">
        <f>'Raw data'!G5191</f>
        <v>0</v>
      </c>
      <c r="I5282" s="29" t="e">
        <f>VLOOKUP(G5282,제품명!$C$1:$E$114,2,0)</f>
        <v>#N/A</v>
      </c>
      <c r="J5282" s="29">
        <f>'Raw data'!K5191</f>
        <v>0</v>
      </c>
      <c r="K5282" s="31">
        <f>'Raw data'!H5191</f>
        <v>0</v>
      </c>
      <c r="L5282" s="26">
        <f t="shared" si="168"/>
        <v>0</v>
      </c>
    </row>
    <row r="5283" spans="2:12">
      <c r="B5283" s="4" t="e">
        <f t="shared" si="167"/>
        <v>#N/A</v>
      </c>
      <c r="C5283" s="4">
        <f>'Raw data'!E4859</f>
        <v>0</v>
      </c>
      <c r="D5283" s="29" t="e">
        <f>VLOOKUP(C5283,'점포코드 '!A:B,2,0)</f>
        <v>#N/A</v>
      </c>
      <c r="E5283" s="30">
        <f>'Raw data'!P4859</f>
        <v>0</v>
      </c>
      <c r="F5283" s="29" t="e">
        <f>VLOOKUP(E5283,'점포코드 '!A:B,2,0)</f>
        <v>#N/A</v>
      </c>
      <c r="G5283" s="46">
        <f>'Raw data'!F5192</f>
        <v>0</v>
      </c>
      <c r="H5283" s="4">
        <f>'Raw data'!G5192</f>
        <v>0</v>
      </c>
      <c r="I5283" s="29" t="e">
        <f>VLOOKUP(G5283,제품명!$C$1:$E$114,2,0)</f>
        <v>#N/A</v>
      </c>
      <c r="J5283" s="29">
        <f>'Raw data'!K5192</f>
        <v>0</v>
      </c>
      <c r="K5283" s="31">
        <f>'Raw data'!H5192</f>
        <v>0</v>
      </c>
      <c r="L5283" s="26">
        <f t="shared" si="168"/>
        <v>0</v>
      </c>
    </row>
    <row r="5284" spans="2:12">
      <c r="B5284" s="4" t="e">
        <f t="shared" si="167"/>
        <v>#N/A</v>
      </c>
      <c r="C5284" s="4">
        <f>'Raw data'!E4860</f>
        <v>0</v>
      </c>
      <c r="D5284" s="29" t="e">
        <f>VLOOKUP(C5284,'점포코드 '!A:B,2,0)</f>
        <v>#N/A</v>
      </c>
      <c r="E5284" s="30">
        <f>'Raw data'!P4860</f>
        <v>0</v>
      </c>
      <c r="F5284" s="29" t="e">
        <f>VLOOKUP(E5284,'점포코드 '!A:B,2,0)</f>
        <v>#N/A</v>
      </c>
      <c r="G5284" s="46">
        <f>'Raw data'!F5193</f>
        <v>0</v>
      </c>
      <c r="H5284" s="4">
        <f>'Raw data'!G5193</f>
        <v>0</v>
      </c>
      <c r="I5284" s="29" t="e">
        <f>VLOOKUP(G5284,제품명!$C$1:$E$114,2,0)</f>
        <v>#N/A</v>
      </c>
      <c r="J5284" s="29">
        <f>'Raw data'!K5193</f>
        <v>0</v>
      </c>
      <c r="K5284" s="31">
        <f>'Raw data'!H5193</f>
        <v>0</v>
      </c>
      <c r="L5284" s="26">
        <f t="shared" si="168"/>
        <v>0</v>
      </c>
    </row>
    <row r="5285" spans="2:12">
      <c r="B5285" s="4" t="e">
        <f t="shared" si="167"/>
        <v>#N/A</v>
      </c>
      <c r="C5285" s="4">
        <f>'Raw data'!E4861</f>
        <v>0</v>
      </c>
      <c r="D5285" s="29" t="e">
        <f>VLOOKUP(C5285,'점포코드 '!A:B,2,0)</f>
        <v>#N/A</v>
      </c>
      <c r="E5285" s="30">
        <f>'Raw data'!P4861</f>
        <v>0</v>
      </c>
      <c r="F5285" s="29" t="e">
        <f>VLOOKUP(E5285,'점포코드 '!A:B,2,0)</f>
        <v>#N/A</v>
      </c>
      <c r="G5285" s="46">
        <f>'Raw data'!F5194</f>
        <v>0</v>
      </c>
      <c r="H5285" s="4">
        <f>'Raw data'!G5194</f>
        <v>0</v>
      </c>
      <c r="I5285" s="29" t="e">
        <f>VLOOKUP(G5285,제품명!$C$1:$E$114,2,0)</f>
        <v>#N/A</v>
      </c>
      <c r="J5285" s="29">
        <f>'Raw data'!K5194</f>
        <v>0</v>
      </c>
      <c r="K5285" s="31">
        <f>'Raw data'!H5194</f>
        <v>0</v>
      </c>
      <c r="L5285" s="26">
        <f t="shared" si="168"/>
        <v>0</v>
      </c>
    </row>
    <row r="5286" spans="2:12">
      <c r="B5286" s="4" t="e">
        <f t="shared" si="167"/>
        <v>#N/A</v>
      </c>
      <c r="C5286" s="4">
        <f>'Raw data'!E4862</f>
        <v>0</v>
      </c>
      <c r="D5286" s="29" t="e">
        <f>VLOOKUP(C5286,'점포코드 '!A:B,2,0)</f>
        <v>#N/A</v>
      </c>
      <c r="E5286" s="30">
        <f>'Raw data'!P4862</f>
        <v>0</v>
      </c>
      <c r="F5286" s="29" t="e">
        <f>VLOOKUP(E5286,'점포코드 '!A:B,2,0)</f>
        <v>#N/A</v>
      </c>
      <c r="G5286" s="46">
        <f>'Raw data'!F5195</f>
        <v>0</v>
      </c>
      <c r="H5286" s="4">
        <f>'Raw data'!G5195</f>
        <v>0</v>
      </c>
      <c r="I5286" s="29" t="e">
        <f>VLOOKUP(G5286,제품명!$C$1:$E$114,2,0)</f>
        <v>#N/A</v>
      </c>
      <c r="J5286" s="29">
        <f>'Raw data'!K5195</f>
        <v>0</v>
      </c>
      <c r="K5286" s="31">
        <f>'Raw data'!H5195</f>
        <v>0</v>
      </c>
      <c r="L5286" s="26">
        <f t="shared" si="168"/>
        <v>0</v>
      </c>
    </row>
    <row r="5287" spans="2:12">
      <c r="B5287" s="4" t="e">
        <f t="shared" si="167"/>
        <v>#N/A</v>
      </c>
      <c r="C5287" s="4">
        <f>'Raw data'!E4863</f>
        <v>0</v>
      </c>
      <c r="D5287" s="29" t="e">
        <f>VLOOKUP(C5287,'점포코드 '!A:B,2,0)</f>
        <v>#N/A</v>
      </c>
      <c r="E5287" s="30">
        <f>'Raw data'!P4863</f>
        <v>0</v>
      </c>
      <c r="F5287" s="29" t="e">
        <f>VLOOKUP(E5287,'점포코드 '!A:B,2,0)</f>
        <v>#N/A</v>
      </c>
      <c r="G5287" s="46">
        <f>'Raw data'!F5196</f>
        <v>0</v>
      </c>
      <c r="H5287" s="4">
        <f>'Raw data'!G5196</f>
        <v>0</v>
      </c>
      <c r="I5287" s="29" t="e">
        <f>VLOOKUP(G5287,제품명!$C$1:$E$114,2,0)</f>
        <v>#N/A</v>
      </c>
      <c r="J5287" s="29">
        <f>'Raw data'!K5196</f>
        <v>0</v>
      </c>
      <c r="K5287" s="31">
        <f>'Raw data'!H5196</f>
        <v>0</v>
      </c>
      <c r="L5287" s="26">
        <f t="shared" si="168"/>
        <v>0</v>
      </c>
    </row>
    <row r="5288" spans="2:12">
      <c r="B5288" s="4" t="e">
        <f t="shared" si="167"/>
        <v>#N/A</v>
      </c>
      <c r="C5288" s="4">
        <f>'Raw data'!E4864</f>
        <v>0</v>
      </c>
      <c r="D5288" s="29" t="e">
        <f>VLOOKUP(C5288,'점포코드 '!A:B,2,0)</f>
        <v>#N/A</v>
      </c>
      <c r="E5288" s="30">
        <f>'Raw data'!P4864</f>
        <v>0</v>
      </c>
      <c r="F5288" s="29" t="e">
        <f>VLOOKUP(E5288,'점포코드 '!A:B,2,0)</f>
        <v>#N/A</v>
      </c>
      <c r="G5288" s="46">
        <f>'Raw data'!F5197</f>
        <v>0</v>
      </c>
      <c r="H5288" s="4">
        <f>'Raw data'!G5197</f>
        <v>0</v>
      </c>
      <c r="I5288" s="29" t="e">
        <f>VLOOKUP(G5288,제품명!$C$1:$E$114,2,0)</f>
        <v>#N/A</v>
      </c>
      <c r="J5288" s="29">
        <f>'Raw data'!K5197</f>
        <v>0</v>
      </c>
      <c r="K5288" s="31">
        <f>'Raw data'!H5197</f>
        <v>0</v>
      </c>
      <c r="L5288" s="26">
        <f t="shared" si="168"/>
        <v>0</v>
      </c>
    </row>
    <row r="5289" spans="2:12">
      <c r="B5289" s="4" t="e">
        <f t="shared" si="167"/>
        <v>#N/A</v>
      </c>
      <c r="C5289" s="4">
        <f>'Raw data'!E4865</f>
        <v>0</v>
      </c>
      <c r="D5289" s="29" t="e">
        <f>VLOOKUP(C5289,'점포코드 '!A:B,2,0)</f>
        <v>#N/A</v>
      </c>
      <c r="E5289" s="30">
        <f>'Raw data'!P4865</f>
        <v>0</v>
      </c>
      <c r="F5289" s="29" t="e">
        <f>VLOOKUP(E5289,'점포코드 '!A:B,2,0)</f>
        <v>#N/A</v>
      </c>
      <c r="G5289" s="46">
        <f>'Raw data'!F5198</f>
        <v>0</v>
      </c>
      <c r="H5289" s="4">
        <f>'Raw data'!G5198</f>
        <v>0</v>
      </c>
      <c r="I5289" s="29" t="e">
        <f>VLOOKUP(G5289,제품명!$C$1:$E$114,2,0)</f>
        <v>#N/A</v>
      </c>
      <c r="J5289" s="29">
        <f>'Raw data'!K5198</f>
        <v>0</v>
      </c>
      <c r="K5289" s="31">
        <f>'Raw data'!H5198</f>
        <v>0</v>
      </c>
      <c r="L5289" s="26">
        <f t="shared" si="168"/>
        <v>0</v>
      </c>
    </row>
    <row r="5290" spans="2:12">
      <c r="B5290" s="4" t="e">
        <f t="shared" si="167"/>
        <v>#N/A</v>
      </c>
      <c r="C5290" s="4">
        <f>'Raw data'!E4866</f>
        <v>0</v>
      </c>
      <c r="D5290" s="29" t="e">
        <f>VLOOKUP(C5290,'점포코드 '!A:B,2,0)</f>
        <v>#N/A</v>
      </c>
      <c r="E5290" s="30">
        <f>'Raw data'!P4866</f>
        <v>0</v>
      </c>
      <c r="F5290" s="29" t="e">
        <f>VLOOKUP(E5290,'점포코드 '!A:B,2,0)</f>
        <v>#N/A</v>
      </c>
      <c r="G5290" s="46">
        <f>'Raw data'!F5199</f>
        <v>0</v>
      </c>
      <c r="H5290" s="4">
        <f>'Raw data'!G5199</f>
        <v>0</v>
      </c>
      <c r="I5290" s="29" t="e">
        <f>VLOOKUP(G5290,제품명!$C$1:$E$114,2,0)</f>
        <v>#N/A</v>
      </c>
      <c r="J5290" s="29">
        <f>'Raw data'!K5199</f>
        <v>0</v>
      </c>
      <c r="K5290" s="31">
        <f>'Raw data'!H5199</f>
        <v>0</v>
      </c>
      <c r="L5290" s="26">
        <f t="shared" si="168"/>
        <v>0</v>
      </c>
    </row>
    <row r="5291" spans="2:12">
      <c r="B5291" s="4" t="e">
        <f t="shared" si="167"/>
        <v>#N/A</v>
      </c>
      <c r="C5291" s="4">
        <f>'Raw data'!E4867</f>
        <v>0</v>
      </c>
      <c r="D5291" s="29" t="e">
        <f>VLOOKUP(C5291,'점포코드 '!A:B,2,0)</f>
        <v>#N/A</v>
      </c>
      <c r="E5291" s="30">
        <f>'Raw data'!P4867</f>
        <v>0</v>
      </c>
      <c r="F5291" s="29" t="e">
        <f>VLOOKUP(E5291,'점포코드 '!A:B,2,0)</f>
        <v>#N/A</v>
      </c>
      <c r="G5291" s="46">
        <f>'Raw data'!F5200</f>
        <v>0</v>
      </c>
      <c r="H5291" s="4">
        <f>'Raw data'!G5200</f>
        <v>0</v>
      </c>
      <c r="I5291" s="29" t="e">
        <f>VLOOKUP(G5291,제품명!$C$1:$E$114,2,0)</f>
        <v>#N/A</v>
      </c>
      <c r="J5291" s="29">
        <f>'Raw data'!K5200</f>
        <v>0</v>
      </c>
      <c r="K5291" s="31">
        <f>'Raw data'!H5200</f>
        <v>0</v>
      </c>
      <c r="L5291" s="26">
        <f t="shared" si="168"/>
        <v>0</v>
      </c>
    </row>
    <row r="5292" spans="2:12">
      <c r="B5292" s="4" t="e">
        <f t="shared" si="167"/>
        <v>#N/A</v>
      </c>
      <c r="C5292" s="4">
        <f>'Raw data'!E4868</f>
        <v>0</v>
      </c>
      <c r="D5292" s="29" t="e">
        <f>VLOOKUP(C5292,'점포코드 '!A:B,2,0)</f>
        <v>#N/A</v>
      </c>
      <c r="E5292" s="30">
        <f>'Raw data'!P4868</f>
        <v>0</v>
      </c>
      <c r="F5292" s="29" t="e">
        <f>VLOOKUP(E5292,'점포코드 '!A:B,2,0)</f>
        <v>#N/A</v>
      </c>
      <c r="G5292" s="46">
        <f>'Raw data'!F5201</f>
        <v>0</v>
      </c>
      <c r="H5292" s="4">
        <f>'Raw data'!G5201</f>
        <v>0</v>
      </c>
      <c r="I5292" s="29" t="e">
        <f>VLOOKUP(G5292,제품명!$C$1:$E$114,2,0)</f>
        <v>#N/A</v>
      </c>
      <c r="J5292" s="29">
        <f>'Raw data'!K5201</f>
        <v>0</v>
      </c>
      <c r="K5292" s="31">
        <f>'Raw data'!H5201</f>
        <v>0</v>
      </c>
      <c r="L5292" s="26">
        <f t="shared" si="168"/>
        <v>0</v>
      </c>
    </row>
    <row r="5293" spans="2:12">
      <c r="B5293" s="4" t="e">
        <f t="shared" si="167"/>
        <v>#N/A</v>
      </c>
      <c r="C5293" s="4">
        <f>'Raw data'!E4869</f>
        <v>0</v>
      </c>
      <c r="D5293" s="29" t="e">
        <f>VLOOKUP(C5293,'점포코드 '!A:B,2,0)</f>
        <v>#N/A</v>
      </c>
      <c r="E5293" s="30">
        <f>'Raw data'!P4869</f>
        <v>0</v>
      </c>
      <c r="F5293" s="29" t="e">
        <f>VLOOKUP(E5293,'점포코드 '!A:B,2,0)</f>
        <v>#N/A</v>
      </c>
      <c r="G5293" s="46">
        <f>'Raw data'!F5202</f>
        <v>0</v>
      </c>
      <c r="H5293" s="4">
        <f>'Raw data'!G5202</f>
        <v>0</v>
      </c>
      <c r="I5293" s="29" t="e">
        <f>VLOOKUP(G5293,제품명!$C$1:$E$114,2,0)</f>
        <v>#N/A</v>
      </c>
      <c r="J5293" s="29">
        <f>'Raw data'!K5202</f>
        <v>0</v>
      </c>
      <c r="K5293" s="31">
        <f>'Raw data'!H5202</f>
        <v>0</v>
      </c>
      <c r="L5293" s="26">
        <f t="shared" si="168"/>
        <v>0</v>
      </c>
    </row>
    <row r="5294" spans="2:12">
      <c r="B5294" s="4" t="e">
        <f t="shared" si="167"/>
        <v>#N/A</v>
      </c>
      <c r="C5294" s="4">
        <f>'Raw data'!E4870</f>
        <v>0</v>
      </c>
      <c r="D5294" s="29" t="e">
        <f>VLOOKUP(C5294,'점포코드 '!A:B,2,0)</f>
        <v>#N/A</v>
      </c>
      <c r="E5294" s="30">
        <f>'Raw data'!P4870</f>
        <v>0</v>
      </c>
      <c r="F5294" s="29" t="e">
        <f>VLOOKUP(E5294,'점포코드 '!A:B,2,0)</f>
        <v>#N/A</v>
      </c>
      <c r="G5294" s="46">
        <f>'Raw data'!F5203</f>
        <v>0</v>
      </c>
      <c r="H5294" s="4">
        <f>'Raw data'!G5203</f>
        <v>0</v>
      </c>
      <c r="I5294" s="29" t="e">
        <f>VLOOKUP(G5294,제품명!$C$1:$E$114,2,0)</f>
        <v>#N/A</v>
      </c>
      <c r="J5294" s="29">
        <f>'Raw data'!K5203</f>
        <v>0</v>
      </c>
      <c r="K5294" s="31">
        <f>'Raw data'!H5203</f>
        <v>0</v>
      </c>
      <c r="L5294" s="26">
        <f t="shared" si="168"/>
        <v>0</v>
      </c>
    </row>
    <row r="5295" spans="2:12">
      <c r="B5295" s="4" t="e">
        <f t="shared" si="167"/>
        <v>#N/A</v>
      </c>
      <c r="C5295" s="4">
        <f>'Raw data'!E4871</f>
        <v>0</v>
      </c>
      <c r="D5295" s="29" t="e">
        <f>VLOOKUP(C5295,'점포코드 '!A:B,2,0)</f>
        <v>#N/A</v>
      </c>
      <c r="E5295" s="30">
        <f>'Raw data'!P4871</f>
        <v>0</v>
      </c>
      <c r="F5295" s="29" t="e">
        <f>VLOOKUP(E5295,'점포코드 '!A:B,2,0)</f>
        <v>#N/A</v>
      </c>
      <c r="G5295" s="46">
        <f>'Raw data'!F5204</f>
        <v>0</v>
      </c>
      <c r="H5295" s="4">
        <f>'Raw data'!G5204</f>
        <v>0</v>
      </c>
      <c r="I5295" s="29" t="e">
        <f>VLOOKUP(G5295,제품명!$C$1:$E$114,2,0)</f>
        <v>#N/A</v>
      </c>
      <c r="J5295" s="29">
        <f>'Raw data'!K5204</f>
        <v>0</v>
      </c>
      <c r="K5295" s="31">
        <f>'Raw data'!H5204</f>
        <v>0</v>
      </c>
      <c r="L5295" s="26">
        <f t="shared" si="168"/>
        <v>0</v>
      </c>
    </row>
    <row r="5296" spans="2:12">
      <c r="B5296" s="4" t="e">
        <f t="shared" si="167"/>
        <v>#N/A</v>
      </c>
      <c r="C5296" s="4">
        <f>'Raw data'!E4872</f>
        <v>0</v>
      </c>
      <c r="D5296" s="29" t="e">
        <f>VLOOKUP(C5296,'점포코드 '!A:B,2,0)</f>
        <v>#N/A</v>
      </c>
      <c r="E5296" s="30">
        <f>'Raw data'!P4872</f>
        <v>0</v>
      </c>
      <c r="F5296" s="29" t="e">
        <f>VLOOKUP(E5296,'점포코드 '!A:B,2,0)</f>
        <v>#N/A</v>
      </c>
      <c r="G5296" s="46">
        <f>'Raw data'!F5205</f>
        <v>0</v>
      </c>
      <c r="H5296" s="4">
        <f>'Raw data'!G5205</f>
        <v>0</v>
      </c>
      <c r="I5296" s="29" t="e">
        <f>VLOOKUP(G5296,제품명!$C$1:$E$114,2,0)</f>
        <v>#N/A</v>
      </c>
      <c r="J5296" s="29">
        <f>'Raw data'!K5205</f>
        <v>0</v>
      </c>
      <c r="K5296" s="31">
        <f>'Raw data'!H5205</f>
        <v>0</v>
      </c>
      <c r="L5296" s="26">
        <f t="shared" si="168"/>
        <v>0</v>
      </c>
    </row>
    <row r="5297" spans="2:12">
      <c r="B5297" s="4" t="e">
        <f t="shared" si="167"/>
        <v>#N/A</v>
      </c>
      <c r="C5297" s="4">
        <f>'Raw data'!E4873</f>
        <v>0</v>
      </c>
      <c r="D5297" s="29" t="e">
        <f>VLOOKUP(C5297,'점포코드 '!A:B,2,0)</f>
        <v>#N/A</v>
      </c>
      <c r="E5297" s="30">
        <f>'Raw data'!P4873</f>
        <v>0</v>
      </c>
      <c r="F5297" s="29" t="e">
        <f>VLOOKUP(E5297,'점포코드 '!A:B,2,0)</f>
        <v>#N/A</v>
      </c>
      <c r="G5297" s="46">
        <f>'Raw data'!F5206</f>
        <v>0</v>
      </c>
      <c r="H5297" s="4">
        <f>'Raw data'!G5206</f>
        <v>0</v>
      </c>
      <c r="I5297" s="29" t="e">
        <f>VLOOKUP(G5297,제품명!$C$1:$E$114,2,0)</f>
        <v>#N/A</v>
      </c>
      <c r="J5297" s="29">
        <f>'Raw data'!K5206</f>
        <v>0</v>
      </c>
      <c r="K5297" s="31">
        <f>'Raw data'!H5206</f>
        <v>0</v>
      </c>
      <c r="L5297" s="26">
        <f t="shared" si="168"/>
        <v>0</v>
      </c>
    </row>
    <row r="5298" spans="2:12">
      <c r="B5298" s="4" t="e">
        <f t="shared" si="167"/>
        <v>#N/A</v>
      </c>
      <c r="C5298" s="4">
        <f>'Raw data'!E4874</f>
        <v>0</v>
      </c>
      <c r="D5298" s="29" t="e">
        <f>VLOOKUP(C5298,'점포코드 '!A:B,2,0)</f>
        <v>#N/A</v>
      </c>
      <c r="E5298" s="30">
        <f>'Raw data'!P4874</f>
        <v>0</v>
      </c>
      <c r="F5298" s="29" t="e">
        <f>VLOOKUP(E5298,'점포코드 '!A:B,2,0)</f>
        <v>#N/A</v>
      </c>
      <c r="G5298" s="46">
        <f>'Raw data'!F5207</f>
        <v>0</v>
      </c>
      <c r="H5298" s="4">
        <f>'Raw data'!G5207</f>
        <v>0</v>
      </c>
      <c r="I5298" s="29" t="e">
        <f>VLOOKUP(G5298,제품명!$C$1:$E$114,2,0)</f>
        <v>#N/A</v>
      </c>
      <c r="J5298" s="29">
        <f>'Raw data'!K5207</f>
        <v>0</v>
      </c>
      <c r="K5298" s="31">
        <f>'Raw data'!H5207</f>
        <v>0</v>
      </c>
      <c r="L5298" s="26">
        <f t="shared" si="168"/>
        <v>0</v>
      </c>
    </row>
    <row r="5299" spans="2:12">
      <c r="B5299" s="4" t="e">
        <f t="shared" si="167"/>
        <v>#N/A</v>
      </c>
      <c r="C5299" s="4">
        <f>'Raw data'!E4875</f>
        <v>0</v>
      </c>
      <c r="D5299" s="29" t="e">
        <f>VLOOKUP(C5299,'점포코드 '!A:B,2,0)</f>
        <v>#N/A</v>
      </c>
      <c r="E5299" s="30">
        <f>'Raw data'!P4875</f>
        <v>0</v>
      </c>
      <c r="F5299" s="29" t="e">
        <f>VLOOKUP(E5299,'점포코드 '!A:B,2,0)</f>
        <v>#N/A</v>
      </c>
      <c r="G5299" s="46">
        <f>'Raw data'!F5208</f>
        <v>0</v>
      </c>
      <c r="H5299" s="4">
        <f>'Raw data'!G5208</f>
        <v>0</v>
      </c>
      <c r="I5299" s="29" t="e">
        <f>VLOOKUP(G5299,제품명!$C$1:$E$114,2,0)</f>
        <v>#N/A</v>
      </c>
      <c r="J5299" s="29">
        <f>'Raw data'!K5208</f>
        <v>0</v>
      </c>
      <c r="K5299" s="31">
        <f>'Raw data'!H5208</f>
        <v>0</v>
      </c>
      <c r="L5299" s="26">
        <f t="shared" si="168"/>
        <v>0</v>
      </c>
    </row>
    <row r="5300" spans="2:12">
      <c r="B5300" s="4" t="e">
        <f t="shared" si="167"/>
        <v>#N/A</v>
      </c>
      <c r="C5300" s="4">
        <f>'Raw data'!E4876</f>
        <v>0</v>
      </c>
      <c r="D5300" s="29" t="e">
        <f>VLOOKUP(C5300,'점포코드 '!A:B,2,0)</f>
        <v>#N/A</v>
      </c>
      <c r="E5300" s="30">
        <f>'Raw data'!P4876</f>
        <v>0</v>
      </c>
      <c r="F5300" s="29" t="e">
        <f>VLOOKUP(E5300,'점포코드 '!A:B,2,0)</f>
        <v>#N/A</v>
      </c>
      <c r="G5300" s="46">
        <f>'Raw data'!F5209</f>
        <v>0</v>
      </c>
      <c r="H5300" s="4">
        <f>'Raw data'!G5209</f>
        <v>0</v>
      </c>
      <c r="I5300" s="29" t="e">
        <f>VLOOKUP(G5300,제품명!$C$1:$E$114,2,0)</f>
        <v>#N/A</v>
      </c>
      <c r="J5300" s="29">
        <f>'Raw data'!K5209</f>
        <v>0</v>
      </c>
      <c r="K5300" s="31">
        <f>'Raw data'!H5209</f>
        <v>0</v>
      </c>
      <c r="L5300" s="26">
        <f t="shared" si="168"/>
        <v>0</v>
      </c>
    </row>
    <row r="5301" spans="2:12">
      <c r="B5301" s="4" t="e">
        <f t="shared" si="167"/>
        <v>#N/A</v>
      </c>
      <c r="C5301" s="4">
        <f>'Raw data'!E4877</f>
        <v>0</v>
      </c>
      <c r="D5301" s="29" t="e">
        <f>VLOOKUP(C5301,'점포코드 '!A:B,2,0)</f>
        <v>#N/A</v>
      </c>
      <c r="E5301" s="30">
        <f>'Raw data'!P4877</f>
        <v>0</v>
      </c>
      <c r="F5301" s="29" t="e">
        <f>VLOOKUP(E5301,'점포코드 '!A:B,2,0)</f>
        <v>#N/A</v>
      </c>
      <c r="G5301" s="46">
        <f>'Raw data'!F5210</f>
        <v>0</v>
      </c>
      <c r="H5301" s="4">
        <f>'Raw data'!G5210</f>
        <v>0</v>
      </c>
      <c r="I5301" s="29" t="e">
        <f>VLOOKUP(G5301,제품명!$C$1:$E$114,2,0)</f>
        <v>#N/A</v>
      </c>
      <c r="J5301" s="29">
        <f>'Raw data'!K5210</f>
        <v>0</v>
      </c>
      <c r="K5301" s="31">
        <f>'Raw data'!H5210</f>
        <v>0</v>
      </c>
      <c r="L5301" s="26">
        <f t="shared" si="168"/>
        <v>0</v>
      </c>
    </row>
    <row r="5302" spans="2:12">
      <c r="B5302" s="4" t="e">
        <f t="shared" si="167"/>
        <v>#N/A</v>
      </c>
      <c r="C5302" s="4">
        <f>'Raw data'!E4878</f>
        <v>0</v>
      </c>
      <c r="D5302" s="29" t="e">
        <f>VLOOKUP(C5302,'점포코드 '!A:B,2,0)</f>
        <v>#N/A</v>
      </c>
      <c r="E5302" s="30">
        <f>'Raw data'!P4878</f>
        <v>0</v>
      </c>
      <c r="F5302" s="29" t="e">
        <f>VLOOKUP(E5302,'점포코드 '!A:B,2,0)</f>
        <v>#N/A</v>
      </c>
      <c r="G5302" s="46">
        <f>'Raw data'!F5211</f>
        <v>0</v>
      </c>
      <c r="H5302" s="4">
        <f>'Raw data'!G5211</f>
        <v>0</v>
      </c>
      <c r="I5302" s="29" t="e">
        <f>VLOOKUP(G5302,제품명!$C$1:$E$114,2,0)</f>
        <v>#N/A</v>
      </c>
      <c r="J5302" s="29">
        <f>'Raw data'!K5211</f>
        <v>0</v>
      </c>
      <c r="K5302" s="31">
        <f>'Raw data'!H5211</f>
        <v>0</v>
      </c>
      <c r="L5302" s="26">
        <f t="shared" si="168"/>
        <v>0</v>
      </c>
    </row>
    <row r="5303" spans="2:12">
      <c r="B5303" s="4" t="e">
        <f t="shared" si="167"/>
        <v>#N/A</v>
      </c>
      <c r="C5303" s="4">
        <f>'Raw data'!E4879</f>
        <v>0</v>
      </c>
      <c r="D5303" s="29" t="e">
        <f>VLOOKUP(C5303,'점포코드 '!A:B,2,0)</f>
        <v>#N/A</v>
      </c>
      <c r="E5303" s="30">
        <f>'Raw data'!P4879</f>
        <v>0</v>
      </c>
      <c r="F5303" s="29" t="e">
        <f>VLOOKUP(E5303,'점포코드 '!A:B,2,0)</f>
        <v>#N/A</v>
      </c>
      <c r="G5303" s="46">
        <f>'Raw data'!F5212</f>
        <v>0</v>
      </c>
      <c r="H5303" s="4">
        <f>'Raw data'!G5212</f>
        <v>0</v>
      </c>
      <c r="I5303" s="29" t="e">
        <f>VLOOKUP(G5303,제품명!$C$1:$E$114,2,0)</f>
        <v>#N/A</v>
      </c>
      <c r="J5303" s="29">
        <f>'Raw data'!K5212</f>
        <v>0</v>
      </c>
      <c r="K5303" s="31">
        <f>'Raw data'!H5212</f>
        <v>0</v>
      </c>
      <c r="L5303" s="26">
        <f t="shared" si="168"/>
        <v>0</v>
      </c>
    </row>
    <row r="5304" spans="2:12">
      <c r="B5304" s="4" t="e">
        <f t="shared" si="167"/>
        <v>#N/A</v>
      </c>
      <c r="C5304" s="4">
        <f>'Raw data'!E4880</f>
        <v>0</v>
      </c>
      <c r="D5304" s="29" t="e">
        <f>VLOOKUP(C5304,'점포코드 '!A:B,2,0)</f>
        <v>#N/A</v>
      </c>
      <c r="E5304" s="30">
        <f>'Raw data'!P4880</f>
        <v>0</v>
      </c>
      <c r="F5304" s="29" t="e">
        <f>VLOOKUP(E5304,'점포코드 '!A:B,2,0)</f>
        <v>#N/A</v>
      </c>
      <c r="G5304" s="46">
        <f>'Raw data'!F5213</f>
        <v>0</v>
      </c>
      <c r="H5304" s="4">
        <f>'Raw data'!G5213</f>
        <v>0</v>
      </c>
      <c r="I5304" s="29" t="e">
        <f>VLOOKUP(G5304,제품명!$C$1:$E$114,2,0)</f>
        <v>#N/A</v>
      </c>
      <c r="J5304" s="29">
        <f>'Raw data'!K5213</f>
        <v>0</v>
      </c>
      <c r="K5304" s="31">
        <f>'Raw data'!H5213</f>
        <v>0</v>
      </c>
      <c r="L5304" s="26">
        <f t="shared" si="168"/>
        <v>0</v>
      </c>
    </row>
    <row r="5305" spans="2:12">
      <c r="B5305" s="4" t="e">
        <f t="shared" si="167"/>
        <v>#N/A</v>
      </c>
      <c r="C5305" s="4">
        <f>'Raw data'!E4881</f>
        <v>0</v>
      </c>
      <c r="D5305" s="29" t="e">
        <f>VLOOKUP(C5305,'점포코드 '!A:B,2,0)</f>
        <v>#N/A</v>
      </c>
      <c r="E5305" s="30">
        <f>'Raw data'!P4881</f>
        <v>0</v>
      </c>
      <c r="F5305" s="29" t="e">
        <f>VLOOKUP(E5305,'점포코드 '!A:B,2,0)</f>
        <v>#N/A</v>
      </c>
      <c r="G5305" s="46">
        <f>'Raw data'!F5214</f>
        <v>0</v>
      </c>
      <c r="H5305" s="4">
        <f>'Raw data'!G5214</f>
        <v>0</v>
      </c>
      <c r="I5305" s="29" t="e">
        <f>VLOOKUP(G5305,제품명!$C$1:$E$114,2,0)</f>
        <v>#N/A</v>
      </c>
      <c r="J5305" s="29">
        <f>'Raw data'!K5214</f>
        <v>0</v>
      </c>
      <c r="K5305" s="31">
        <f>'Raw data'!H5214</f>
        <v>0</v>
      </c>
      <c r="L5305" s="26">
        <f t="shared" si="168"/>
        <v>0</v>
      </c>
    </row>
    <row r="5306" spans="2:12">
      <c r="B5306" s="4" t="e">
        <f t="shared" si="167"/>
        <v>#N/A</v>
      </c>
      <c r="C5306" s="4">
        <f>'Raw data'!E4882</f>
        <v>0</v>
      </c>
      <c r="D5306" s="29" t="e">
        <f>VLOOKUP(C5306,'점포코드 '!A:B,2,0)</f>
        <v>#N/A</v>
      </c>
      <c r="E5306" s="30">
        <f>'Raw data'!P4882</f>
        <v>0</v>
      </c>
      <c r="F5306" s="29" t="e">
        <f>VLOOKUP(E5306,'점포코드 '!A:B,2,0)</f>
        <v>#N/A</v>
      </c>
      <c r="G5306" s="46">
        <f>'Raw data'!F5215</f>
        <v>0</v>
      </c>
      <c r="H5306" s="4">
        <f>'Raw data'!G5215</f>
        <v>0</v>
      </c>
      <c r="I5306" s="29" t="e">
        <f>VLOOKUP(G5306,제품명!$C$1:$E$114,2,0)</f>
        <v>#N/A</v>
      </c>
      <c r="J5306" s="29">
        <f>'Raw data'!K5215</f>
        <v>0</v>
      </c>
      <c r="K5306" s="31">
        <f>'Raw data'!H5215</f>
        <v>0</v>
      </c>
      <c r="L5306" s="26">
        <f t="shared" si="168"/>
        <v>0</v>
      </c>
    </row>
    <row r="5307" spans="2:12">
      <c r="B5307" s="4" t="e">
        <f t="shared" si="167"/>
        <v>#N/A</v>
      </c>
      <c r="C5307" s="4">
        <f>'Raw data'!E4883</f>
        <v>0</v>
      </c>
      <c r="D5307" s="29" t="e">
        <f>VLOOKUP(C5307,'점포코드 '!A:B,2,0)</f>
        <v>#N/A</v>
      </c>
      <c r="E5307" s="30">
        <f>'Raw data'!P4883</f>
        <v>0</v>
      </c>
      <c r="F5307" s="29" t="e">
        <f>VLOOKUP(E5307,'점포코드 '!A:B,2,0)</f>
        <v>#N/A</v>
      </c>
      <c r="G5307" s="46">
        <f>'Raw data'!F5216</f>
        <v>0</v>
      </c>
      <c r="H5307" s="4">
        <f>'Raw data'!G5216</f>
        <v>0</v>
      </c>
      <c r="I5307" s="29" t="e">
        <f>VLOOKUP(G5307,제품명!$C$1:$E$114,2,0)</f>
        <v>#N/A</v>
      </c>
      <c r="J5307" s="29">
        <f>'Raw data'!K5216</f>
        <v>0</v>
      </c>
      <c r="K5307" s="31">
        <f>'Raw data'!H5216</f>
        <v>0</v>
      </c>
      <c r="L5307" s="26">
        <f t="shared" si="168"/>
        <v>0</v>
      </c>
    </row>
    <row r="5308" spans="2:12">
      <c r="B5308" s="4" t="e">
        <f t="shared" si="167"/>
        <v>#N/A</v>
      </c>
      <c r="C5308" s="4">
        <f>'Raw data'!E4884</f>
        <v>0</v>
      </c>
      <c r="D5308" s="29" t="e">
        <f>VLOOKUP(C5308,'점포코드 '!A:B,2,0)</f>
        <v>#N/A</v>
      </c>
      <c r="E5308" s="30">
        <f>'Raw data'!P4884</f>
        <v>0</v>
      </c>
      <c r="F5308" s="29" t="e">
        <f>VLOOKUP(E5308,'점포코드 '!A:B,2,0)</f>
        <v>#N/A</v>
      </c>
      <c r="G5308" s="46">
        <f>'Raw data'!F5217</f>
        <v>0</v>
      </c>
      <c r="H5308" s="4">
        <f>'Raw data'!G5217</f>
        <v>0</v>
      </c>
      <c r="I5308" s="29" t="e">
        <f>VLOOKUP(G5308,제품명!$C$1:$E$114,2,0)</f>
        <v>#N/A</v>
      </c>
      <c r="J5308" s="29">
        <f>'Raw data'!K5217</f>
        <v>0</v>
      </c>
      <c r="K5308" s="31">
        <f>'Raw data'!H5217</f>
        <v>0</v>
      </c>
      <c r="L5308" s="26">
        <f t="shared" si="168"/>
        <v>0</v>
      </c>
    </row>
    <row r="5309" spans="2:12">
      <c r="B5309" s="4" t="e">
        <f t="shared" si="167"/>
        <v>#N/A</v>
      </c>
      <c r="C5309" s="4">
        <f>'Raw data'!E4885</f>
        <v>0</v>
      </c>
      <c r="D5309" s="29" t="e">
        <f>VLOOKUP(C5309,'점포코드 '!A:B,2,0)</f>
        <v>#N/A</v>
      </c>
      <c r="E5309" s="30">
        <f>'Raw data'!P4885</f>
        <v>0</v>
      </c>
      <c r="F5309" s="29" t="e">
        <f>VLOOKUP(E5309,'점포코드 '!A:B,2,0)</f>
        <v>#N/A</v>
      </c>
      <c r="G5309" s="46">
        <f>'Raw data'!F5218</f>
        <v>0</v>
      </c>
      <c r="H5309" s="4">
        <f>'Raw data'!G5218</f>
        <v>0</v>
      </c>
      <c r="I5309" s="29" t="e">
        <f>VLOOKUP(G5309,제품명!$C$1:$E$114,2,0)</f>
        <v>#N/A</v>
      </c>
      <c r="J5309" s="29">
        <f>'Raw data'!K5218</f>
        <v>0</v>
      </c>
      <c r="K5309" s="31">
        <f>'Raw data'!H5218</f>
        <v>0</v>
      </c>
      <c r="L5309" s="26">
        <f t="shared" si="168"/>
        <v>0</v>
      </c>
    </row>
    <row r="5310" spans="2:12">
      <c r="B5310" s="4" t="e">
        <f t="shared" si="167"/>
        <v>#N/A</v>
      </c>
      <c r="C5310" s="4">
        <f>'Raw data'!E4886</f>
        <v>0</v>
      </c>
      <c r="D5310" s="29" t="e">
        <f>VLOOKUP(C5310,'점포코드 '!A:B,2,0)</f>
        <v>#N/A</v>
      </c>
      <c r="E5310" s="30">
        <f>'Raw data'!P4886</f>
        <v>0</v>
      </c>
      <c r="F5310" s="29" t="e">
        <f>VLOOKUP(E5310,'점포코드 '!A:B,2,0)</f>
        <v>#N/A</v>
      </c>
      <c r="G5310" s="46">
        <f>'Raw data'!F5219</f>
        <v>0</v>
      </c>
      <c r="H5310" s="4">
        <f>'Raw data'!G5219</f>
        <v>0</v>
      </c>
      <c r="I5310" s="29" t="e">
        <f>VLOOKUP(G5310,제품명!$C$1:$E$114,2,0)</f>
        <v>#N/A</v>
      </c>
      <c r="J5310" s="29">
        <f>'Raw data'!K5219</f>
        <v>0</v>
      </c>
      <c r="K5310" s="31">
        <f>'Raw data'!H5219</f>
        <v>0</v>
      </c>
      <c r="L5310" s="26">
        <f t="shared" si="168"/>
        <v>0</v>
      </c>
    </row>
    <row r="5311" spans="2:12">
      <c r="B5311" s="4" t="e">
        <f t="shared" si="167"/>
        <v>#N/A</v>
      </c>
      <c r="C5311" s="4">
        <f>'Raw data'!E4887</f>
        <v>0</v>
      </c>
      <c r="D5311" s="29" t="e">
        <f>VLOOKUP(C5311,'점포코드 '!A:B,2,0)</f>
        <v>#N/A</v>
      </c>
      <c r="E5311" s="30">
        <f>'Raw data'!P4887</f>
        <v>0</v>
      </c>
      <c r="F5311" s="29" t="e">
        <f>VLOOKUP(E5311,'점포코드 '!A:B,2,0)</f>
        <v>#N/A</v>
      </c>
      <c r="G5311" s="46">
        <f>'Raw data'!F5220</f>
        <v>0</v>
      </c>
      <c r="H5311" s="4">
        <f>'Raw data'!G5220</f>
        <v>0</v>
      </c>
      <c r="I5311" s="29" t="e">
        <f>VLOOKUP(G5311,제품명!$C$1:$E$114,2,0)</f>
        <v>#N/A</v>
      </c>
      <c r="J5311" s="29">
        <f>'Raw data'!K5220</f>
        <v>0</v>
      </c>
      <c r="K5311" s="31">
        <f>'Raw data'!H5220</f>
        <v>0</v>
      </c>
      <c r="L5311" s="26">
        <f t="shared" si="168"/>
        <v>0</v>
      </c>
    </row>
    <row r="5312" spans="2:12">
      <c r="B5312" s="4" t="e">
        <f t="shared" si="167"/>
        <v>#N/A</v>
      </c>
      <c r="C5312" s="4">
        <f>'Raw data'!E4888</f>
        <v>0</v>
      </c>
      <c r="D5312" s="29" t="e">
        <f>VLOOKUP(C5312,'점포코드 '!A:B,2,0)</f>
        <v>#N/A</v>
      </c>
      <c r="E5312" s="30">
        <f>'Raw data'!P4888</f>
        <v>0</v>
      </c>
      <c r="F5312" s="29" t="e">
        <f>VLOOKUP(E5312,'점포코드 '!A:B,2,0)</f>
        <v>#N/A</v>
      </c>
      <c r="G5312" s="46">
        <f>'Raw data'!F5221</f>
        <v>0</v>
      </c>
      <c r="H5312" s="4">
        <f>'Raw data'!G5221</f>
        <v>0</v>
      </c>
      <c r="I5312" s="29" t="e">
        <f>VLOOKUP(G5312,제품명!$C$1:$E$114,2,0)</f>
        <v>#N/A</v>
      </c>
      <c r="J5312" s="29">
        <f>'Raw data'!K5221</f>
        <v>0</v>
      </c>
      <c r="K5312" s="31">
        <f>'Raw data'!H5221</f>
        <v>0</v>
      </c>
      <c r="L5312" s="26">
        <f t="shared" si="168"/>
        <v>0</v>
      </c>
    </row>
    <row r="5313" spans="2:12">
      <c r="B5313" s="4" t="e">
        <f t="shared" si="167"/>
        <v>#N/A</v>
      </c>
      <c r="C5313" s="4">
        <f>'Raw data'!E4889</f>
        <v>0</v>
      </c>
      <c r="D5313" s="29" t="e">
        <f>VLOOKUP(C5313,'점포코드 '!A:B,2,0)</f>
        <v>#N/A</v>
      </c>
      <c r="E5313" s="30">
        <f>'Raw data'!P4889</f>
        <v>0</v>
      </c>
      <c r="F5313" s="29" t="e">
        <f>VLOOKUP(E5313,'점포코드 '!A:B,2,0)</f>
        <v>#N/A</v>
      </c>
      <c r="G5313" s="46">
        <f>'Raw data'!F5222</f>
        <v>0</v>
      </c>
      <c r="H5313" s="4">
        <f>'Raw data'!G5222</f>
        <v>0</v>
      </c>
      <c r="I5313" s="29" t="e">
        <f>VLOOKUP(G5313,제품명!$C$1:$E$114,2,0)</f>
        <v>#N/A</v>
      </c>
      <c r="J5313" s="29">
        <f>'Raw data'!K5222</f>
        <v>0</v>
      </c>
      <c r="K5313" s="31">
        <f>'Raw data'!H5222</f>
        <v>0</v>
      </c>
      <c r="L5313" s="26">
        <f t="shared" si="168"/>
        <v>0</v>
      </c>
    </row>
    <row r="5314" spans="2:12">
      <c r="B5314" s="4" t="e">
        <f t="shared" ref="B5314:B5377" si="169">F5314&amp;I5314</f>
        <v>#N/A</v>
      </c>
      <c r="C5314" s="4">
        <f>'Raw data'!E4890</f>
        <v>0</v>
      </c>
      <c r="D5314" s="29" t="e">
        <f>VLOOKUP(C5314,'점포코드 '!A:B,2,0)</f>
        <v>#N/A</v>
      </c>
      <c r="E5314" s="30">
        <f>'Raw data'!P4890</f>
        <v>0</v>
      </c>
      <c r="F5314" s="29" t="e">
        <f>VLOOKUP(E5314,'점포코드 '!A:B,2,0)</f>
        <v>#N/A</v>
      </c>
      <c r="G5314" s="46">
        <f>'Raw data'!F5223</f>
        <v>0</v>
      </c>
      <c r="H5314" s="4">
        <f>'Raw data'!G5223</f>
        <v>0</v>
      </c>
      <c r="I5314" s="29" t="e">
        <f>VLOOKUP(G5314,제품명!$C$1:$E$114,2,0)</f>
        <v>#N/A</v>
      </c>
      <c r="J5314" s="29">
        <f>'Raw data'!K5223</f>
        <v>0</v>
      </c>
      <c r="K5314" s="31">
        <f>'Raw data'!H5223</f>
        <v>0</v>
      </c>
      <c r="L5314" s="26">
        <f t="shared" si="168"/>
        <v>0</v>
      </c>
    </row>
    <row r="5315" spans="2:12">
      <c r="B5315" s="4" t="e">
        <f t="shared" si="169"/>
        <v>#N/A</v>
      </c>
      <c r="C5315" s="4">
        <f>'Raw data'!E4891</f>
        <v>0</v>
      </c>
      <c r="D5315" s="29" t="e">
        <f>VLOOKUP(C5315,'점포코드 '!A:B,2,0)</f>
        <v>#N/A</v>
      </c>
      <c r="E5315" s="30">
        <f>'Raw data'!P4891</f>
        <v>0</v>
      </c>
      <c r="F5315" s="29" t="e">
        <f>VLOOKUP(E5315,'점포코드 '!A:B,2,0)</f>
        <v>#N/A</v>
      </c>
      <c r="G5315" s="46">
        <f>'Raw data'!F5224</f>
        <v>0</v>
      </c>
      <c r="H5315" s="4">
        <f>'Raw data'!G5224</f>
        <v>0</v>
      </c>
      <c r="I5315" s="29" t="e">
        <f>VLOOKUP(G5315,제품명!$C$1:$E$114,2,0)</f>
        <v>#N/A</v>
      </c>
      <c r="J5315" s="29">
        <f>'Raw data'!K5224</f>
        <v>0</v>
      </c>
      <c r="K5315" s="31">
        <f>'Raw data'!H5224</f>
        <v>0</v>
      </c>
      <c r="L5315" s="26">
        <f t="shared" ref="L5315:L5378" si="170">J5315*K5315</f>
        <v>0</v>
      </c>
    </row>
    <row r="5316" spans="2:12">
      <c r="B5316" s="4" t="e">
        <f t="shared" si="169"/>
        <v>#N/A</v>
      </c>
      <c r="C5316" s="4">
        <f>'Raw data'!E4892</f>
        <v>0</v>
      </c>
      <c r="D5316" s="29" t="e">
        <f>VLOOKUP(C5316,'점포코드 '!A:B,2,0)</f>
        <v>#N/A</v>
      </c>
      <c r="E5316" s="30">
        <f>'Raw data'!P4892</f>
        <v>0</v>
      </c>
      <c r="F5316" s="29" t="e">
        <f>VLOOKUP(E5316,'점포코드 '!A:B,2,0)</f>
        <v>#N/A</v>
      </c>
      <c r="G5316" s="46">
        <f>'Raw data'!F5225</f>
        <v>0</v>
      </c>
      <c r="H5316" s="4">
        <f>'Raw data'!G5225</f>
        <v>0</v>
      </c>
      <c r="I5316" s="29" t="e">
        <f>VLOOKUP(G5316,제품명!$C$1:$E$114,2,0)</f>
        <v>#N/A</v>
      </c>
      <c r="J5316" s="29">
        <f>'Raw data'!K5225</f>
        <v>0</v>
      </c>
      <c r="K5316" s="31">
        <f>'Raw data'!H5225</f>
        <v>0</v>
      </c>
      <c r="L5316" s="26">
        <f t="shared" si="170"/>
        <v>0</v>
      </c>
    </row>
    <row r="5317" spans="2:12">
      <c r="B5317" s="4" t="e">
        <f t="shared" si="169"/>
        <v>#N/A</v>
      </c>
      <c r="C5317" s="4">
        <f>'Raw data'!E4893</f>
        <v>0</v>
      </c>
      <c r="D5317" s="29" t="e">
        <f>VLOOKUP(C5317,'점포코드 '!A:B,2,0)</f>
        <v>#N/A</v>
      </c>
      <c r="E5317" s="30">
        <f>'Raw data'!P4893</f>
        <v>0</v>
      </c>
      <c r="F5317" s="29" t="e">
        <f>VLOOKUP(E5317,'점포코드 '!A:B,2,0)</f>
        <v>#N/A</v>
      </c>
      <c r="G5317" s="46">
        <f>'Raw data'!F5226</f>
        <v>0</v>
      </c>
      <c r="H5317" s="4">
        <f>'Raw data'!G5226</f>
        <v>0</v>
      </c>
      <c r="I5317" s="29" t="e">
        <f>VLOOKUP(G5317,제품명!$C$1:$E$114,2,0)</f>
        <v>#N/A</v>
      </c>
      <c r="J5317" s="29">
        <f>'Raw data'!K5226</f>
        <v>0</v>
      </c>
      <c r="K5317" s="31">
        <f>'Raw data'!H5226</f>
        <v>0</v>
      </c>
      <c r="L5317" s="26">
        <f t="shared" si="170"/>
        <v>0</v>
      </c>
    </row>
    <row r="5318" spans="2:12">
      <c r="B5318" s="4" t="e">
        <f t="shared" si="169"/>
        <v>#N/A</v>
      </c>
      <c r="C5318" s="4">
        <f>'Raw data'!E4894</f>
        <v>0</v>
      </c>
      <c r="D5318" s="29" t="e">
        <f>VLOOKUP(C5318,'점포코드 '!A:B,2,0)</f>
        <v>#N/A</v>
      </c>
      <c r="E5318" s="30">
        <f>'Raw data'!P4894</f>
        <v>0</v>
      </c>
      <c r="F5318" s="29" t="e">
        <f>VLOOKUP(E5318,'점포코드 '!A:B,2,0)</f>
        <v>#N/A</v>
      </c>
      <c r="G5318" s="46">
        <f>'Raw data'!F5227</f>
        <v>0</v>
      </c>
      <c r="H5318" s="4">
        <f>'Raw data'!G5227</f>
        <v>0</v>
      </c>
      <c r="I5318" s="29" t="e">
        <f>VLOOKUP(G5318,제품명!$C$1:$E$114,2,0)</f>
        <v>#N/A</v>
      </c>
      <c r="J5318" s="29">
        <f>'Raw data'!K5227</f>
        <v>0</v>
      </c>
      <c r="K5318" s="31">
        <f>'Raw data'!H5227</f>
        <v>0</v>
      </c>
      <c r="L5318" s="26">
        <f t="shared" si="170"/>
        <v>0</v>
      </c>
    </row>
    <row r="5319" spans="2:12">
      <c r="B5319" s="4" t="e">
        <f t="shared" si="169"/>
        <v>#N/A</v>
      </c>
      <c r="C5319" s="4">
        <f>'Raw data'!E4895</f>
        <v>0</v>
      </c>
      <c r="D5319" s="29" t="e">
        <f>VLOOKUP(C5319,'점포코드 '!A:B,2,0)</f>
        <v>#N/A</v>
      </c>
      <c r="E5319" s="30">
        <f>'Raw data'!P4895</f>
        <v>0</v>
      </c>
      <c r="F5319" s="29" t="e">
        <f>VLOOKUP(E5319,'점포코드 '!A:B,2,0)</f>
        <v>#N/A</v>
      </c>
      <c r="G5319" s="46">
        <f>'Raw data'!F5228</f>
        <v>0</v>
      </c>
      <c r="H5319" s="4">
        <f>'Raw data'!G5228</f>
        <v>0</v>
      </c>
      <c r="I5319" s="29" t="e">
        <f>VLOOKUP(G5319,제품명!$C$1:$E$114,2,0)</f>
        <v>#N/A</v>
      </c>
      <c r="J5319" s="29">
        <f>'Raw data'!K5228</f>
        <v>0</v>
      </c>
      <c r="K5319" s="31">
        <f>'Raw data'!H5228</f>
        <v>0</v>
      </c>
      <c r="L5319" s="26">
        <f t="shared" si="170"/>
        <v>0</v>
      </c>
    </row>
    <row r="5320" spans="2:12">
      <c r="B5320" s="4" t="e">
        <f t="shared" si="169"/>
        <v>#N/A</v>
      </c>
      <c r="C5320" s="4">
        <f>'Raw data'!E4896</f>
        <v>0</v>
      </c>
      <c r="D5320" s="29" t="e">
        <f>VLOOKUP(C5320,'점포코드 '!A:B,2,0)</f>
        <v>#N/A</v>
      </c>
      <c r="E5320" s="30">
        <f>'Raw data'!P4896</f>
        <v>0</v>
      </c>
      <c r="F5320" s="29" t="e">
        <f>VLOOKUP(E5320,'점포코드 '!A:B,2,0)</f>
        <v>#N/A</v>
      </c>
      <c r="G5320" s="46">
        <f>'Raw data'!F5229</f>
        <v>0</v>
      </c>
      <c r="H5320" s="4">
        <f>'Raw data'!G5229</f>
        <v>0</v>
      </c>
      <c r="I5320" s="29" t="e">
        <f>VLOOKUP(G5320,제품명!$C$1:$E$114,2,0)</f>
        <v>#N/A</v>
      </c>
      <c r="J5320" s="29">
        <f>'Raw data'!K5229</f>
        <v>0</v>
      </c>
      <c r="K5320" s="31">
        <f>'Raw data'!H5229</f>
        <v>0</v>
      </c>
      <c r="L5320" s="26">
        <f t="shared" si="170"/>
        <v>0</v>
      </c>
    </row>
    <row r="5321" spans="2:12">
      <c r="B5321" s="4" t="e">
        <f t="shared" si="169"/>
        <v>#N/A</v>
      </c>
      <c r="C5321" s="4">
        <f>'Raw data'!E4897</f>
        <v>0</v>
      </c>
      <c r="D5321" s="29" t="e">
        <f>VLOOKUP(C5321,'점포코드 '!A:B,2,0)</f>
        <v>#N/A</v>
      </c>
      <c r="E5321" s="30">
        <f>'Raw data'!P4897</f>
        <v>0</v>
      </c>
      <c r="F5321" s="29" t="e">
        <f>VLOOKUP(E5321,'점포코드 '!A:B,2,0)</f>
        <v>#N/A</v>
      </c>
      <c r="G5321" s="46">
        <f>'Raw data'!F5230</f>
        <v>0</v>
      </c>
      <c r="H5321" s="4">
        <f>'Raw data'!G5230</f>
        <v>0</v>
      </c>
      <c r="I5321" s="29" t="e">
        <f>VLOOKUP(G5321,제품명!$C$1:$E$114,2,0)</f>
        <v>#N/A</v>
      </c>
      <c r="J5321" s="29">
        <f>'Raw data'!K5230</f>
        <v>0</v>
      </c>
      <c r="K5321" s="31">
        <f>'Raw data'!H5230</f>
        <v>0</v>
      </c>
      <c r="L5321" s="26">
        <f t="shared" si="170"/>
        <v>0</v>
      </c>
    </row>
    <row r="5322" spans="2:12">
      <c r="B5322" s="4" t="e">
        <f t="shared" si="169"/>
        <v>#N/A</v>
      </c>
      <c r="C5322" s="4">
        <f>'Raw data'!E4898</f>
        <v>0</v>
      </c>
      <c r="D5322" s="29" t="e">
        <f>VLOOKUP(C5322,'점포코드 '!A:B,2,0)</f>
        <v>#N/A</v>
      </c>
      <c r="E5322" s="30">
        <f>'Raw data'!P4898</f>
        <v>0</v>
      </c>
      <c r="F5322" s="29" t="e">
        <f>VLOOKUP(E5322,'점포코드 '!A:B,2,0)</f>
        <v>#N/A</v>
      </c>
      <c r="G5322" s="46">
        <f>'Raw data'!F5231</f>
        <v>0</v>
      </c>
      <c r="H5322" s="4">
        <f>'Raw data'!G5231</f>
        <v>0</v>
      </c>
      <c r="I5322" s="29" t="e">
        <f>VLOOKUP(G5322,제품명!$C$1:$E$114,2,0)</f>
        <v>#N/A</v>
      </c>
      <c r="J5322" s="29">
        <f>'Raw data'!K5231</f>
        <v>0</v>
      </c>
      <c r="K5322" s="31">
        <f>'Raw data'!H5231</f>
        <v>0</v>
      </c>
      <c r="L5322" s="26">
        <f t="shared" si="170"/>
        <v>0</v>
      </c>
    </row>
    <row r="5323" spans="2:12">
      <c r="B5323" s="4" t="e">
        <f t="shared" si="169"/>
        <v>#N/A</v>
      </c>
      <c r="C5323" s="4">
        <f>'Raw data'!E4899</f>
        <v>0</v>
      </c>
      <c r="D5323" s="29" t="e">
        <f>VLOOKUP(C5323,'점포코드 '!A:B,2,0)</f>
        <v>#N/A</v>
      </c>
      <c r="E5323" s="30">
        <f>'Raw data'!P4899</f>
        <v>0</v>
      </c>
      <c r="F5323" s="29" t="e">
        <f>VLOOKUP(E5323,'점포코드 '!A:B,2,0)</f>
        <v>#N/A</v>
      </c>
      <c r="G5323" s="46">
        <f>'Raw data'!F5232</f>
        <v>0</v>
      </c>
      <c r="H5323" s="4">
        <f>'Raw data'!G5232</f>
        <v>0</v>
      </c>
      <c r="I5323" s="29" t="e">
        <f>VLOOKUP(G5323,제품명!$C$1:$E$114,2,0)</f>
        <v>#N/A</v>
      </c>
      <c r="J5323" s="29">
        <f>'Raw data'!K5232</f>
        <v>0</v>
      </c>
      <c r="K5323" s="31">
        <f>'Raw data'!H5232</f>
        <v>0</v>
      </c>
      <c r="L5323" s="26">
        <f t="shared" si="170"/>
        <v>0</v>
      </c>
    </row>
    <row r="5324" spans="2:12">
      <c r="B5324" s="4" t="e">
        <f t="shared" si="169"/>
        <v>#N/A</v>
      </c>
      <c r="C5324" s="4">
        <f>'Raw data'!E4900</f>
        <v>0</v>
      </c>
      <c r="D5324" s="29" t="e">
        <f>VLOOKUP(C5324,'점포코드 '!A:B,2,0)</f>
        <v>#N/A</v>
      </c>
      <c r="E5324" s="30">
        <f>'Raw data'!P4900</f>
        <v>0</v>
      </c>
      <c r="F5324" s="29" t="e">
        <f>VLOOKUP(E5324,'점포코드 '!A:B,2,0)</f>
        <v>#N/A</v>
      </c>
      <c r="G5324" s="46">
        <f>'Raw data'!F5233</f>
        <v>0</v>
      </c>
      <c r="H5324" s="4">
        <f>'Raw data'!G5233</f>
        <v>0</v>
      </c>
      <c r="I5324" s="29" t="e">
        <f>VLOOKUP(G5324,제품명!$C$1:$E$114,2,0)</f>
        <v>#N/A</v>
      </c>
      <c r="J5324" s="29">
        <f>'Raw data'!K5233</f>
        <v>0</v>
      </c>
      <c r="K5324" s="31">
        <f>'Raw data'!H5233</f>
        <v>0</v>
      </c>
      <c r="L5324" s="26">
        <f t="shared" si="170"/>
        <v>0</v>
      </c>
    </row>
    <row r="5325" spans="2:12">
      <c r="B5325" s="4" t="e">
        <f t="shared" si="169"/>
        <v>#N/A</v>
      </c>
      <c r="C5325" s="4">
        <f>'Raw data'!E4901</f>
        <v>0</v>
      </c>
      <c r="D5325" s="29" t="e">
        <f>VLOOKUP(C5325,'점포코드 '!A:B,2,0)</f>
        <v>#N/A</v>
      </c>
      <c r="E5325" s="30">
        <f>'Raw data'!P4901</f>
        <v>0</v>
      </c>
      <c r="F5325" s="29" t="e">
        <f>VLOOKUP(E5325,'점포코드 '!A:B,2,0)</f>
        <v>#N/A</v>
      </c>
      <c r="G5325" s="46">
        <f>'Raw data'!F5234</f>
        <v>0</v>
      </c>
      <c r="H5325" s="4">
        <f>'Raw data'!G5234</f>
        <v>0</v>
      </c>
      <c r="I5325" s="29" t="e">
        <f>VLOOKUP(G5325,제품명!$C$1:$E$114,2,0)</f>
        <v>#N/A</v>
      </c>
      <c r="J5325" s="29">
        <f>'Raw data'!K5234</f>
        <v>0</v>
      </c>
      <c r="K5325" s="31">
        <f>'Raw data'!H5234</f>
        <v>0</v>
      </c>
      <c r="L5325" s="26">
        <f t="shared" si="170"/>
        <v>0</v>
      </c>
    </row>
    <row r="5326" spans="2:12">
      <c r="B5326" s="4" t="e">
        <f t="shared" si="169"/>
        <v>#N/A</v>
      </c>
      <c r="C5326" s="4">
        <f>'Raw data'!E4902</f>
        <v>0</v>
      </c>
      <c r="D5326" s="29" t="e">
        <f>VLOOKUP(C5326,'점포코드 '!A:B,2,0)</f>
        <v>#N/A</v>
      </c>
      <c r="E5326" s="30">
        <f>'Raw data'!P4902</f>
        <v>0</v>
      </c>
      <c r="F5326" s="29" t="e">
        <f>VLOOKUP(E5326,'점포코드 '!A:B,2,0)</f>
        <v>#N/A</v>
      </c>
      <c r="G5326" s="46">
        <f>'Raw data'!F5235</f>
        <v>0</v>
      </c>
      <c r="H5326" s="4">
        <f>'Raw data'!G5235</f>
        <v>0</v>
      </c>
      <c r="I5326" s="29" t="e">
        <f>VLOOKUP(G5326,제품명!$C$1:$E$114,2,0)</f>
        <v>#N/A</v>
      </c>
      <c r="J5326" s="29">
        <f>'Raw data'!K5235</f>
        <v>0</v>
      </c>
      <c r="K5326" s="31">
        <f>'Raw data'!H5235</f>
        <v>0</v>
      </c>
      <c r="L5326" s="26">
        <f t="shared" si="170"/>
        <v>0</v>
      </c>
    </row>
    <row r="5327" spans="2:12">
      <c r="B5327" s="4" t="e">
        <f t="shared" si="169"/>
        <v>#N/A</v>
      </c>
      <c r="C5327" s="4">
        <f>'Raw data'!E4903</f>
        <v>0</v>
      </c>
      <c r="D5327" s="29" t="e">
        <f>VLOOKUP(C5327,'점포코드 '!A:B,2,0)</f>
        <v>#N/A</v>
      </c>
      <c r="E5327" s="30">
        <f>'Raw data'!P4903</f>
        <v>0</v>
      </c>
      <c r="F5327" s="29" t="e">
        <f>VLOOKUP(E5327,'점포코드 '!A:B,2,0)</f>
        <v>#N/A</v>
      </c>
      <c r="G5327" s="46">
        <f>'Raw data'!F5236</f>
        <v>0</v>
      </c>
      <c r="H5327" s="4">
        <f>'Raw data'!G5236</f>
        <v>0</v>
      </c>
      <c r="I5327" s="29" t="e">
        <f>VLOOKUP(G5327,제품명!$C$1:$E$114,2,0)</f>
        <v>#N/A</v>
      </c>
      <c r="J5327" s="29">
        <f>'Raw data'!K5236</f>
        <v>0</v>
      </c>
      <c r="K5327" s="31">
        <f>'Raw data'!H5236</f>
        <v>0</v>
      </c>
      <c r="L5327" s="26">
        <f t="shared" si="170"/>
        <v>0</v>
      </c>
    </row>
    <row r="5328" spans="2:12">
      <c r="B5328" s="4" t="e">
        <f t="shared" si="169"/>
        <v>#N/A</v>
      </c>
      <c r="C5328" s="4">
        <f>'Raw data'!E4904</f>
        <v>0</v>
      </c>
      <c r="D5328" s="29" t="e">
        <f>VLOOKUP(C5328,'점포코드 '!A:B,2,0)</f>
        <v>#N/A</v>
      </c>
      <c r="E5328" s="30">
        <f>'Raw data'!P4904</f>
        <v>0</v>
      </c>
      <c r="F5328" s="29" t="e">
        <f>VLOOKUP(E5328,'점포코드 '!A:B,2,0)</f>
        <v>#N/A</v>
      </c>
      <c r="G5328" s="46">
        <f>'Raw data'!F5237</f>
        <v>0</v>
      </c>
      <c r="H5328" s="4">
        <f>'Raw data'!G5237</f>
        <v>0</v>
      </c>
      <c r="I5328" s="29" t="e">
        <f>VLOOKUP(G5328,제품명!$C$1:$E$114,2,0)</f>
        <v>#N/A</v>
      </c>
      <c r="J5328" s="29">
        <f>'Raw data'!K5237</f>
        <v>0</v>
      </c>
      <c r="K5328" s="31">
        <f>'Raw data'!H5237</f>
        <v>0</v>
      </c>
      <c r="L5328" s="26">
        <f t="shared" si="170"/>
        <v>0</v>
      </c>
    </row>
    <row r="5329" spans="2:12">
      <c r="B5329" s="4" t="e">
        <f t="shared" si="169"/>
        <v>#N/A</v>
      </c>
      <c r="C5329" s="4">
        <f>'Raw data'!E4905</f>
        <v>0</v>
      </c>
      <c r="D5329" s="29" t="e">
        <f>VLOOKUP(C5329,'점포코드 '!A:B,2,0)</f>
        <v>#N/A</v>
      </c>
      <c r="E5329" s="30">
        <f>'Raw data'!P4905</f>
        <v>0</v>
      </c>
      <c r="F5329" s="29" t="e">
        <f>VLOOKUP(E5329,'점포코드 '!A:B,2,0)</f>
        <v>#N/A</v>
      </c>
      <c r="G5329" s="46">
        <f>'Raw data'!F5238</f>
        <v>0</v>
      </c>
      <c r="H5329" s="4">
        <f>'Raw data'!G5238</f>
        <v>0</v>
      </c>
      <c r="I5329" s="29" t="e">
        <f>VLOOKUP(G5329,제품명!$C$1:$E$114,2,0)</f>
        <v>#N/A</v>
      </c>
      <c r="J5329" s="29">
        <f>'Raw data'!K5238</f>
        <v>0</v>
      </c>
      <c r="K5329" s="31">
        <f>'Raw data'!H5238</f>
        <v>0</v>
      </c>
      <c r="L5329" s="26">
        <f t="shared" si="170"/>
        <v>0</v>
      </c>
    </row>
    <row r="5330" spans="2:12">
      <c r="B5330" s="4" t="e">
        <f t="shared" si="169"/>
        <v>#N/A</v>
      </c>
      <c r="C5330" s="4">
        <f>'Raw data'!E4906</f>
        <v>0</v>
      </c>
      <c r="D5330" s="29" t="e">
        <f>VLOOKUP(C5330,'점포코드 '!A:B,2,0)</f>
        <v>#N/A</v>
      </c>
      <c r="E5330" s="30">
        <f>'Raw data'!P4906</f>
        <v>0</v>
      </c>
      <c r="F5330" s="29" t="e">
        <f>VLOOKUP(E5330,'점포코드 '!A:B,2,0)</f>
        <v>#N/A</v>
      </c>
      <c r="G5330" s="46">
        <f>'Raw data'!F5239</f>
        <v>0</v>
      </c>
      <c r="H5330" s="4">
        <f>'Raw data'!G5239</f>
        <v>0</v>
      </c>
      <c r="I5330" s="29" t="e">
        <f>VLOOKUP(G5330,제품명!$C$1:$E$114,2,0)</f>
        <v>#N/A</v>
      </c>
      <c r="J5330" s="29">
        <f>'Raw data'!K5239</f>
        <v>0</v>
      </c>
      <c r="K5330" s="31">
        <f>'Raw data'!H5239</f>
        <v>0</v>
      </c>
      <c r="L5330" s="26">
        <f t="shared" si="170"/>
        <v>0</v>
      </c>
    </row>
    <row r="5331" spans="2:12">
      <c r="B5331" s="4" t="e">
        <f t="shared" si="169"/>
        <v>#N/A</v>
      </c>
      <c r="C5331" s="4">
        <f>'Raw data'!E4907</f>
        <v>0</v>
      </c>
      <c r="D5331" s="29" t="e">
        <f>VLOOKUP(C5331,'점포코드 '!A:B,2,0)</f>
        <v>#N/A</v>
      </c>
      <c r="E5331" s="30">
        <f>'Raw data'!P4907</f>
        <v>0</v>
      </c>
      <c r="F5331" s="29" t="e">
        <f>VLOOKUP(E5331,'점포코드 '!A:B,2,0)</f>
        <v>#N/A</v>
      </c>
      <c r="G5331" s="46">
        <f>'Raw data'!F5240</f>
        <v>0</v>
      </c>
      <c r="H5331" s="4">
        <f>'Raw data'!G5240</f>
        <v>0</v>
      </c>
      <c r="I5331" s="29" t="e">
        <f>VLOOKUP(G5331,제품명!$C$1:$E$114,2,0)</f>
        <v>#N/A</v>
      </c>
      <c r="J5331" s="29">
        <f>'Raw data'!K5240</f>
        <v>0</v>
      </c>
      <c r="K5331" s="31">
        <f>'Raw data'!H5240</f>
        <v>0</v>
      </c>
      <c r="L5331" s="26">
        <f t="shared" si="170"/>
        <v>0</v>
      </c>
    </row>
    <row r="5332" spans="2:12">
      <c r="B5332" s="4" t="e">
        <f t="shared" si="169"/>
        <v>#N/A</v>
      </c>
      <c r="C5332" s="4">
        <f>'Raw data'!E4908</f>
        <v>0</v>
      </c>
      <c r="D5332" s="29" t="e">
        <f>VLOOKUP(C5332,'점포코드 '!A:B,2,0)</f>
        <v>#N/A</v>
      </c>
      <c r="E5332" s="30">
        <f>'Raw data'!P4908</f>
        <v>0</v>
      </c>
      <c r="F5332" s="29" t="e">
        <f>VLOOKUP(E5332,'점포코드 '!A:B,2,0)</f>
        <v>#N/A</v>
      </c>
      <c r="G5332" s="46">
        <f>'Raw data'!F5241</f>
        <v>0</v>
      </c>
      <c r="H5332" s="4">
        <f>'Raw data'!G5241</f>
        <v>0</v>
      </c>
      <c r="I5332" s="29" t="e">
        <f>VLOOKUP(G5332,제품명!$C$1:$E$114,2,0)</f>
        <v>#N/A</v>
      </c>
      <c r="J5332" s="29">
        <f>'Raw data'!K5241</f>
        <v>0</v>
      </c>
      <c r="K5332" s="31">
        <f>'Raw data'!H5241</f>
        <v>0</v>
      </c>
      <c r="L5332" s="26">
        <f t="shared" si="170"/>
        <v>0</v>
      </c>
    </row>
    <row r="5333" spans="2:12">
      <c r="B5333" s="4" t="e">
        <f t="shared" si="169"/>
        <v>#N/A</v>
      </c>
      <c r="C5333" s="4">
        <f>'Raw data'!E4909</f>
        <v>0</v>
      </c>
      <c r="D5333" s="29" t="e">
        <f>VLOOKUP(C5333,'점포코드 '!A:B,2,0)</f>
        <v>#N/A</v>
      </c>
      <c r="E5333" s="30">
        <f>'Raw data'!P4909</f>
        <v>0</v>
      </c>
      <c r="F5333" s="29" t="e">
        <f>VLOOKUP(E5333,'점포코드 '!A:B,2,0)</f>
        <v>#N/A</v>
      </c>
      <c r="G5333" s="46">
        <f>'Raw data'!F5242</f>
        <v>0</v>
      </c>
      <c r="H5333" s="4">
        <f>'Raw data'!G5242</f>
        <v>0</v>
      </c>
      <c r="I5333" s="29" t="e">
        <f>VLOOKUP(G5333,제품명!$C$1:$E$114,2,0)</f>
        <v>#N/A</v>
      </c>
      <c r="J5333" s="29">
        <f>'Raw data'!K5242</f>
        <v>0</v>
      </c>
      <c r="K5333" s="31">
        <f>'Raw data'!H5242</f>
        <v>0</v>
      </c>
      <c r="L5333" s="26">
        <f t="shared" si="170"/>
        <v>0</v>
      </c>
    </row>
    <row r="5334" spans="2:12">
      <c r="B5334" s="4" t="e">
        <f t="shared" si="169"/>
        <v>#N/A</v>
      </c>
      <c r="C5334" s="4">
        <f>'Raw data'!E4910</f>
        <v>0</v>
      </c>
      <c r="D5334" s="29" t="e">
        <f>VLOOKUP(C5334,'점포코드 '!A:B,2,0)</f>
        <v>#N/A</v>
      </c>
      <c r="E5334" s="30">
        <f>'Raw data'!P4910</f>
        <v>0</v>
      </c>
      <c r="F5334" s="29" t="e">
        <f>VLOOKUP(E5334,'점포코드 '!A:B,2,0)</f>
        <v>#N/A</v>
      </c>
      <c r="G5334" s="46">
        <f>'Raw data'!F5243</f>
        <v>0</v>
      </c>
      <c r="H5334" s="4">
        <f>'Raw data'!G5243</f>
        <v>0</v>
      </c>
      <c r="I5334" s="29" t="e">
        <f>VLOOKUP(G5334,제품명!$C$1:$E$114,2,0)</f>
        <v>#N/A</v>
      </c>
      <c r="J5334" s="29">
        <f>'Raw data'!K5243</f>
        <v>0</v>
      </c>
      <c r="K5334" s="31">
        <f>'Raw data'!H5243</f>
        <v>0</v>
      </c>
      <c r="L5334" s="26">
        <f t="shared" si="170"/>
        <v>0</v>
      </c>
    </row>
    <row r="5335" spans="2:12">
      <c r="B5335" s="4" t="e">
        <f t="shared" si="169"/>
        <v>#N/A</v>
      </c>
      <c r="C5335" s="4">
        <f>'Raw data'!E4911</f>
        <v>0</v>
      </c>
      <c r="D5335" s="29" t="e">
        <f>VLOOKUP(C5335,'점포코드 '!A:B,2,0)</f>
        <v>#N/A</v>
      </c>
      <c r="E5335" s="30">
        <f>'Raw data'!P4911</f>
        <v>0</v>
      </c>
      <c r="F5335" s="29" t="e">
        <f>VLOOKUP(E5335,'점포코드 '!A:B,2,0)</f>
        <v>#N/A</v>
      </c>
      <c r="G5335" s="46">
        <f>'Raw data'!F5244</f>
        <v>0</v>
      </c>
      <c r="H5335" s="4">
        <f>'Raw data'!G5244</f>
        <v>0</v>
      </c>
      <c r="I5335" s="29" t="e">
        <f>VLOOKUP(G5335,제품명!$C$1:$E$114,2,0)</f>
        <v>#N/A</v>
      </c>
      <c r="J5335" s="29">
        <f>'Raw data'!K5244</f>
        <v>0</v>
      </c>
      <c r="K5335" s="31">
        <f>'Raw data'!H5244</f>
        <v>0</v>
      </c>
      <c r="L5335" s="26">
        <f t="shared" si="170"/>
        <v>0</v>
      </c>
    </row>
    <row r="5336" spans="2:12">
      <c r="B5336" s="4" t="e">
        <f t="shared" si="169"/>
        <v>#N/A</v>
      </c>
      <c r="C5336" s="4">
        <f>'Raw data'!E4912</f>
        <v>0</v>
      </c>
      <c r="D5336" s="29" t="e">
        <f>VLOOKUP(C5336,'점포코드 '!A:B,2,0)</f>
        <v>#N/A</v>
      </c>
      <c r="E5336" s="30">
        <f>'Raw data'!P4912</f>
        <v>0</v>
      </c>
      <c r="F5336" s="29" t="e">
        <f>VLOOKUP(E5336,'점포코드 '!A:B,2,0)</f>
        <v>#N/A</v>
      </c>
      <c r="G5336" s="46">
        <f>'Raw data'!F5245</f>
        <v>0</v>
      </c>
      <c r="H5336" s="4">
        <f>'Raw data'!G5245</f>
        <v>0</v>
      </c>
      <c r="I5336" s="29" t="e">
        <f>VLOOKUP(G5336,제품명!$C$1:$E$114,2,0)</f>
        <v>#N/A</v>
      </c>
      <c r="J5336" s="29">
        <f>'Raw data'!K5245</f>
        <v>0</v>
      </c>
      <c r="K5336" s="31">
        <f>'Raw data'!H5245</f>
        <v>0</v>
      </c>
      <c r="L5336" s="26">
        <f t="shared" si="170"/>
        <v>0</v>
      </c>
    </row>
    <row r="5337" spans="2:12">
      <c r="B5337" s="4" t="e">
        <f t="shared" si="169"/>
        <v>#N/A</v>
      </c>
      <c r="C5337" s="4">
        <f>'Raw data'!E4913</f>
        <v>0</v>
      </c>
      <c r="D5337" s="29" t="e">
        <f>VLOOKUP(C5337,'점포코드 '!A:B,2,0)</f>
        <v>#N/A</v>
      </c>
      <c r="E5337" s="30">
        <f>'Raw data'!P4913</f>
        <v>0</v>
      </c>
      <c r="F5337" s="29" t="e">
        <f>VLOOKUP(E5337,'점포코드 '!A:B,2,0)</f>
        <v>#N/A</v>
      </c>
      <c r="G5337" s="46">
        <f>'Raw data'!F5246</f>
        <v>0</v>
      </c>
      <c r="H5337" s="4">
        <f>'Raw data'!G5246</f>
        <v>0</v>
      </c>
      <c r="I5337" s="29" t="e">
        <f>VLOOKUP(G5337,제품명!$C$1:$E$114,2,0)</f>
        <v>#N/A</v>
      </c>
      <c r="J5337" s="29">
        <f>'Raw data'!K5246</f>
        <v>0</v>
      </c>
      <c r="K5337" s="31">
        <f>'Raw data'!H5246</f>
        <v>0</v>
      </c>
      <c r="L5337" s="26">
        <f t="shared" si="170"/>
        <v>0</v>
      </c>
    </row>
    <row r="5338" spans="2:12">
      <c r="B5338" s="4" t="e">
        <f t="shared" si="169"/>
        <v>#N/A</v>
      </c>
      <c r="C5338" s="4">
        <f>'Raw data'!E4914</f>
        <v>0</v>
      </c>
      <c r="D5338" s="29" t="e">
        <f>VLOOKUP(C5338,'점포코드 '!A:B,2,0)</f>
        <v>#N/A</v>
      </c>
      <c r="E5338" s="30">
        <f>'Raw data'!P4914</f>
        <v>0</v>
      </c>
      <c r="F5338" s="29" t="e">
        <f>VLOOKUP(E5338,'점포코드 '!A:B,2,0)</f>
        <v>#N/A</v>
      </c>
      <c r="G5338" s="46">
        <f>'Raw data'!F5247</f>
        <v>0</v>
      </c>
      <c r="H5338" s="4">
        <f>'Raw data'!G5247</f>
        <v>0</v>
      </c>
      <c r="I5338" s="29" t="e">
        <f>VLOOKUP(G5338,제품명!$C$1:$E$114,2,0)</f>
        <v>#N/A</v>
      </c>
      <c r="J5338" s="29">
        <f>'Raw data'!K5247</f>
        <v>0</v>
      </c>
      <c r="K5338" s="31">
        <f>'Raw data'!H5247</f>
        <v>0</v>
      </c>
      <c r="L5338" s="26">
        <f t="shared" si="170"/>
        <v>0</v>
      </c>
    </row>
    <row r="5339" spans="2:12">
      <c r="B5339" s="4" t="e">
        <f t="shared" si="169"/>
        <v>#N/A</v>
      </c>
      <c r="C5339" s="4">
        <f>'Raw data'!E4915</f>
        <v>0</v>
      </c>
      <c r="D5339" s="29" t="e">
        <f>VLOOKUP(C5339,'점포코드 '!A:B,2,0)</f>
        <v>#N/A</v>
      </c>
      <c r="E5339" s="30">
        <f>'Raw data'!P4915</f>
        <v>0</v>
      </c>
      <c r="F5339" s="29" t="e">
        <f>VLOOKUP(E5339,'점포코드 '!A:B,2,0)</f>
        <v>#N/A</v>
      </c>
      <c r="G5339" s="46">
        <f>'Raw data'!F5248</f>
        <v>0</v>
      </c>
      <c r="H5339" s="4">
        <f>'Raw data'!G5248</f>
        <v>0</v>
      </c>
      <c r="I5339" s="29" t="e">
        <f>VLOOKUP(G5339,제품명!$C$1:$E$114,2,0)</f>
        <v>#N/A</v>
      </c>
      <c r="J5339" s="29">
        <f>'Raw data'!K5248</f>
        <v>0</v>
      </c>
      <c r="K5339" s="31">
        <f>'Raw data'!H5248</f>
        <v>0</v>
      </c>
      <c r="L5339" s="26">
        <f t="shared" si="170"/>
        <v>0</v>
      </c>
    </row>
    <row r="5340" spans="2:12">
      <c r="B5340" s="4" t="e">
        <f t="shared" si="169"/>
        <v>#N/A</v>
      </c>
      <c r="C5340" s="4">
        <f>'Raw data'!E4916</f>
        <v>0</v>
      </c>
      <c r="D5340" s="29" t="e">
        <f>VLOOKUP(C5340,'점포코드 '!A:B,2,0)</f>
        <v>#N/A</v>
      </c>
      <c r="E5340" s="30">
        <f>'Raw data'!P4916</f>
        <v>0</v>
      </c>
      <c r="F5340" s="29" t="e">
        <f>VLOOKUP(E5340,'점포코드 '!A:B,2,0)</f>
        <v>#N/A</v>
      </c>
      <c r="G5340" s="46">
        <f>'Raw data'!F5249</f>
        <v>0</v>
      </c>
      <c r="H5340" s="4">
        <f>'Raw data'!G5249</f>
        <v>0</v>
      </c>
      <c r="I5340" s="29" t="e">
        <f>VLOOKUP(G5340,제품명!$C$1:$E$114,2,0)</f>
        <v>#N/A</v>
      </c>
      <c r="J5340" s="29">
        <f>'Raw data'!K5249</f>
        <v>0</v>
      </c>
      <c r="K5340" s="31">
        <f>'Raw data'!H5249</f>
        <v>0</v>
      </c>
      <c r="L5340" s="26">
        <f t="shared" si="170"/>
        <v>0</v>
      </c>
    </row>
    <row r="5341" spans="2:12">
      <c r="B5341" s="4" t="e">
        <f t="shared" si="169"/>
        <v>#N/A</v>
      </c>
      <c r="C5341" s="4">
        <f>'Raw data'!E4917</f>
        <v>0</v>
      </c>
      <c r="D5341" s="29" t="e">
        <f>VLOOKUP(C5341,'점포코드 '!A:B,2,0)</f>
        <v>#N/A</v>
      </c>
      <c r="E5341" s="30">
        <f>'Raw data'!P4917</f>
        <v>0</v>
      </c>
      <c r="F5341" s="29" t="e">
        <f>VLOOKUP(E5341,'점포코드 '!A:B,2,0)</f>
        <v>#N/A</v>
      </c>
      <c r="G5341" s="46">
        <f>'Raw data'!F5250</f>
        <v>0</v>
      </c>
      <c r="H5341" s="4">
        <f>'Raw data'!G5250</f>
        <v>0</v>
      </c>
      <c r="I5341" s="29" t="e">
        <f>VLOOKUP(G5341,제품명!$C$1:$E$114,2,0)</f>
        <v>#N/A</v>
      </c>
      <c r="J5341" s="29">
        <f>'Raw data'!K5250</f>
        <v>0</v>
      </c>
      <c r="K5341" s="31">
        <f>'Raw data'!H5250</f>
        <v>0</v>
      </c>
      <c r="L5341" s="26">
        <f t="shared" si="170"/>
        <v>0</v>
      </c>
    </row>
    <row r="5342" spans="2:12">
      <c r="B5342" s="4" t="e">
        <f t="shared" si="169"/>
        <v>#N/A</v>
      </c>
      <c r="C5342" s="4">
        <f>'Raw data'!E4918</f>
        <v>0</v>
      </c>
      <c r="D5342" s="29" t="e">
        <f>VLOOKUP(C5342,'점포코드 '!A:B,2,0)</f>
        <v>#N/A</v>
      </c>
      <c r="E5342" s="30">
        <f>'Raw data'!P4918</f>
        <v>0</v>
      </c>
      <c r="F5342" s="29" t="e">
        <f>VLOOKUP(E5342,'점포코드 '!A:B,2,0)</f>
        <v>#N/A</v>
      </c>
      <c r="G5342" s="46">
        <f>'Raw data'!F5251</f>
        <v>0</v>
      </c>
      <c r="H5342" s="4">
        <f>'Raw data'!G5251</f>
        <v>0</v>
      </c>
      <c r="I5342" s="29" t="e">
        <f>VLOOKUP(G5342,제품명!$C$1:$E$114,2,0)</f>
        <v>#N/A</v>
      </c>
      <c r="J5342" s="29">
        <f>'Raw data'!K5251</f>
        <v>0</v>
      </c>
      <c r="K5342" s="31">
        <f>'Raw data'!H5251</f>
        <v>0</v>
      </c>
      <c r="L5342" s="26">
        <f t="shared" si="170"/>
        <v>0</v>
      </c>
    </row>
    <row r="5343" spans="2:12">
      <c r="B5343" s="4" t="e">
        <f t="shared" si="169"/>
        <v>#N/A</v>
      </c>
      <c r="C5343" s="4">
        <f>'Raw data'!E4919</f>
        <v>0</v>
      </c>
      <c r="D5343" s="29" t="e">
        <f>VLOOKUP(C5343,'점포코드 '!A:B,2,0)</f>
        <v>#N/A</v>
      </c>
      <c r="E5343" s="30">
        <f>'Raw data'!P4919</f>
        <v>0</v>
      </c>
      <c r="F5343" s="29" t="e">
        <f>VLOOKUP(E5343,'점포코드 '!A:B,2,0)</f>
        <v>#N/A</v>
      </c>
      <c r="G5343" s="46">
        <f>'Raw data'!F5252</f>
        <v>0</v>
      </c>
      <c r="H5343" s="4">
        <f>'Raw data'!G5252</f>
        <v>0</v>
      </c>
      <c r="I5343" s="29" t="e">
        <f>VLOOKUP(G5343,제품명!$C$1:$E$114,2,0)</f>
        <v>#N/A</v>
      </c>
      <c r="J5343" s="29">
        <f>'Raw data'!K5252</f>
        <v>0</v>
      </c>
      <c r="K5343" s="31">
        <f>'Raw data'!H5252</f>
        <v>0</v>
      </c>
      <c r="L5343" s="26">
        <f t="shared" si="170"/>
        <v>0</v>
      </c>
    </row>
    <row r="5344" spans="2:12">
      <c r="B5344" s="4" t="e">
        <f t="shared" si="169"/>
        <v>#N/A</v>
      </c>
      <c r="C5344" s="4">
        <f>'Raw data'!E4920</f>
        <v>0</v>
      </c>
      <c r="D5344" s="29" t="e">
        <f>VLOOKUP(C5344,'점포코드 '!A:B,2,0)</f>
        <v>#N/A</v>
      </c>
      <c r="E5344" s="30">
        <f>'Raw data'!P4920</f>
        <v>0</v>
      </c>
      <c r="F5344" s="29" t="e">
        <f>VLOOKUP(E5344,'점포코드 '!A:B,2,0)</f>
        <v>#N/A</v>
      </c>
      <c r="G5344" s="46">
        <f>'Raw data'!F5253</f>
        <v>0</v>
      </c>
      <c r="H5344" s="4">
        <f>'Raw data'!G5253</f>
        <v>0</v>
      </c>
      <c r="I5344" s="29" t="e">
        <f>VLOOKUP(G5344,제품명!$C$1:$E$114,2,0)</f>
        <v>#N/A</v>
      </c>
      <c r="J5344" s="29">
        <f>'Raw data'!K5253</f>
        <v>0</v>
      </c>
      <c r="K5344" s="31">
        <f>'Raw data'!H5253</f>
        <v>0</v>
      </c>
      <c r="L5344" s="26">
        <f t="shared" si="170"/>
        <v>0</v>
      </c>
    </row>
    <row r="5345" spans="2:12">
      <c r="B5345" s="4" t="e">
        <f t="shared" si="169"/>
        <v>#N/A</v>
      </c>
      <c r="C5345" s="4">
        <f>'Raw data'!E4921</f>
        <v>0</v>
      </c>
      <c r="D5345" s="29" t="e">
        <f>VLOOKUP(C5345,'점포코드 '!A:B,2,0)</f>
        <v>#N/A</v>
      </c>
      <c r="E5345" s="30">
        <f>'Raw data'!P4921</f>
        <v>0</v>
      </c>
      <c r="F5345" s="29" t="e">
        <f>VLOOKUP(E5345,'점포코드 '!A:B,2,0)</f>
        <v>#N/A</v>
      </c>
      <c r="G5345" s="46">
        <f>'Raw data'!F5254</f>
        <v>0</v>
      </c>
      <c r="H5345" s="4">
        <f>'Raw data'!G5254</f>
        <v>0</v>
      </c>
      <c r="I5345" s="29" t="e">
        <f>VLOOKUP(G5345,제품명!$C$1:$E$114,2,0)</f>
        <v>#N/A</v>
      </c>
      <c r="J5345" s="29">
        <f>'Raw data'!K5254</f>
        <v>0</v>
      </c>
      <c r="K5345" s="31">
        <f>'Raw data'!H5254</f>
        <v>0</v>
      </c>
      <c r="L5345" s="26">
        <f t="shared" si="170"/>
        <v>0</v>
      </c>
    </row>
    <row r="5346" spans="2:12">
      <c r="B5346" s="4" t="e">
        <f t="shared" si="169"/>
        <v>#N/A</v>
      </c>
      <c r="C5346" s="4">
        <f>'Raw data'!E4922</f>
        <v>0</v>
      </c>
      <c r="D5346" s="29" t="e">
        <f>VLOOKUP(C5346,'점포코드 '!A:B,2,0)</f>
        <v>#N/A</v>
      </c>
      <c r="E5346" s="30">
        <f>'Raw data'!P4922</f>
        <v>0</v>
      </c>
      <c r="F5346" s="29" t="e">
        <f>VLOOKUP(E5346,'점포코드 '!A:B,2,0)</f>
        <v>#N/A</v>
      </c>
      <c r="G5346" s="46">
        <f>'Raw data'!F5255</f>
        <v>0</v>
      </c>
      <c r="H5346" s="4">
        <f>'Raw data'!G5255</f>
        <v>0</v>
      </c>
      <c r="I5346" s="29" t="e">
        <f>VLOOKUP(G5346,제품명!$C$1:$E$114,2,0)</f>
        <v>#N/A</v>
      </c>
      <c r="J5346" s="29">
        <f>'Raw data'!K5255</f>
        <v>0</v>
      </c>
      <c r="K5346" s="31">
        <f>'Raw data'!H5255</f>
        <v>0</v>
      </c>
      <c r="L5346" s="26">
        <f t="shared" si="170"/>
        <v>0</v>
      </c>
    </row>
    <row r="5347" spans="2:12">
      <c r="B5347" s="4" t="e">
        <f t="shared" si="169"/>
        <v>#N/A</v>
      </c>
      <c r="C5347" s="4">
        <f>'Raw data'!E4923</f>
        <v>0</v>
      </c>
      <c r="D5347" s="29" t="e">
        <f>VLOOKUP(C5347,'점포코드 '!A:B,2,0)</f>
        <v>#N/A</v>
      </c>
      <c r="E5347" s="30">
        <f>'Raw data'!P4923</f>
        <v>0</v>
      </c>
      <c r="F5347" s="29" t="e">
        <f>VLOOKUP(E5347,'점포코드 '!A:B,2,0)</f>
        <v>#N/A</v>
      </c>
      <c r="G5347" s="46">
        <f>'Raw data'!F5256</f>
        <v>0</v>
      </c>
      <c r="H5347" s="4">
        <f>'Raw data'!G5256</f>
        <v>0</v>
      </c>
      <c r="I5347" s="29" t="e">
        <f>VLOOKUP(G5347,제품명!$C$1:$E$114,2,0)</f>
        <v>#N/A</v>
      </c>
      <c r="J5347" s="29">
        <f>'Raw data'!K5256</f>
        <v>0</v>
      </c>
      <c r="K5347" s="31">
        <f>'Raw data'!H5256</f>
        <v>0</v>
      </c>
      <c r="L5347" s="26">
        <f t="shared" si="170"/>
        <v>0</v>
      </c>
    </row>
    <row r="5348" spans="2:12">
      <c r="B5348" s="4" t="e">
        <f t="shared" si="169"/>
        <v>#N/A</v>
      </c>
      <c r="C5348" s="4">
        <f>'Raw data'!E4924</f>
        <v>0</v>
      </c>
      <c r="D5348" s="29" t="e">
        <f>VLOOKUP(C5348,'점포코드 '!A:B,2,0)</f>
        <v>#N/A</v>
      </c>
      <c r="E5348" s="30">
        <f>'Raw data'!P4924</f>
        <v>0</v>
      </c>
      <c r="F5348" s="29" t="e">
        <f>VLOOKUP(E5348,'점포코드 '!A:B,2,0)</f>
        <v>#N/A</v>
      </c>
      <c r="G5348" s="46">
        <f>'Raw data'!F5257</f>
        <v>0</v>
      </c>
      <c r="H5348" s="4">
        <f>'Raw data'!G5257</f>
        <v>0</v>
      </c>
      <c r="I5348" s="29" t="e">
        <f>VLOOKUP(G5348,제품명!$C$1:$E$114,2,0)</f>
        <v>#N/A</v>
      </c>
      <c r="J5348" s="29">
        <f>'Raw data'!K5257</f>
        <v>0</v>
      </c>
      <c r="K5348" s="31">
        <f>'Raw data'!H5257</f>
        <v>0</v>
      </c>
      <c r="L5348" s="26">
        <f t="shared" si="170"/>
        <v>0</v>
      </c>
    </row>
    <row r="5349" spans="2:12">
      <c r="B5349" s="4" t="e">
        <f t="shared" si="169"/>
        <v>#N/A</v>
      </c>
      <c r="C5349" s="4">
        <f>'Raw data'!E4925</f>
        <v>0</v>
      </c>
      <c r="D5349" s="29" t="e">
        <f>VLOOKUP(C5349,'점포코드 '!A:B,2,0)</f>
        <v>#N/A</v>
      </c>
      <c r="E5349" s="30">
        <f>'Raw data'!P4925</f>
        <v>0</v>
      </c>
      <c r="F5349" s="29" t="e">
        <f>VLOOKUP(E5349,'점포코드 '!A:B,2,0)</f>
        <v>#N/A</v>
      </c>
      <c r="G5349" s="46">
        <f>'Raw data'!F5258</f>
        <v>0</v>
      </c>
      <c r="H5349" s="4">
        <f>'Raw data'!G5258</f>
        <v>0</v>
      </c>
      <c r="I5349" s="29" t="e">
        <f>VLOOKUP(G5349,제품명!$C$1:$E$114,2,0)</f>
        <v>#N/A</v>
      </c>
      <c r="J5349" s="29">
        <f>'Raw data'!K5258</f>
        <v>0</v>
      </c>
      <c r="K5349" s="31">
        <f>'Raw data'!H5258</f>
        <v>0</v>
      </c>
      <c r="L5349" s="26">
        <f t="shared" si="170"/>
        <v>0</v>
      </c>
    </row>
    <row r="5350" spans="2:12">
      <c r="B5350" s="4" t="e">
        <f t="shared" si="169"/>
        <v>#N/A</v>
      </c>
      <c r="C5350" s="4">
        <f>'Raw data'!E4926</f>
        <v>0</v>
      </c>
      <c r="D5350" s="29" t="e">
        <f>VLOOKUP(C5350,'점포코드 '!A:B,2,0)</f>
        <v>#N/A</v>
      </c>
      <c r="E5350" s="30">
        <f>'Raw data'!P4926</f>
        <v>0</v>
      </c>
      <c r="F5350" s="29" t="e">
        <f>VLOOKUP(E5350,'점포코드 '!A:B,2,0)</f>
        <v>#N/A</v>
      </c>
      <c r="G5350" s="46">
        <f>'Raw data'!F5259</f>
        <v>0</v>
      </c>
      <c r="H5350" s="4">
        <f>'Raw data'!G5259</f>
        <v>0</v>
      </c>
      <c r="I5350" s="29" t="e">
        <f>VLOOKUP(G5350,제품명!$C$1:$E$114,2,0)</f>
        <v>#N/A</v>
      </c>
      <c r="J5350" s="29">
        <f>'Raw data'!K5259</f>
        <v>0</v>
      </c>
      <c r="K5350" s="31">
        <f>'Raw data'!H5259</f>
        <v>0</v>
      </c>
      <c r="L5350" s="26">
        <f t="shared" si="170"/>
        <v>0</v>
      </c>
    </row>
    <row r="5351" spans="2:12">
      <c r="B5351" s="4" t="e">
        <f t="shared" si="169"/>
        <v>#N/A</v>
      </c>
      <c r="C5351" s="4">
        <f>'Raw data'!E4927</f>
        <v>0</v>
      </c>
      <c r="D5351" s="29" t="e">
        <f>VLOOKUP(C5351,'점포코드 '!A:B,2,0)</f>
        <v>#N/A</v>
      </c>
      <c r="E5351" s="30">
        <f>'Raw data'!P4927</f>
        <v>0</v>
      </c>
      <c r="F5351" s="29" t="e">
        <f>VLOOKUP(E5351,'점포코드 '!A:B,2,0)</f>
        <v>#N/A</v>
      </c>
      <c r="G5351" s="46">
        <f>'Raw data'!F5260</f>
        <v>0</v>
      </c>
      <c r="H5351" s="4">
        <f>'Raw data'!G5260</f>
        <v>0</v>
      </c>
      <c r="I5351" s="29" t="e">
        <f>VLOOKUP(G5351,제품명!$C$1:$E$114,2,0)</f>
        <v>#N/A</v>
      </c>
      <c r="J5351" s="29">
        <f>'Raw data'!K5260</f>
        <v>0</v>
      </c>
      <c r="K5351" s="31">
        <f>'Raw data'!H5260</f>
        <v>0</v>
      </c>
      <c r="L5351" s="26">
        <f t="shared" si="170"/>
        <v>0</v>
      </c>
    </row>
    <row r="5352" spans="2:12">
      <c r="B5352" s="4" t="e">
        <f t="shared" si="169"/>
        <v>#N/A</v>
      </c>
      <c r="C5352" s="4">
        <f>'Raw data'!E4928</f>
        <v>0</v>
      </c>
      <c r="D5352" s="29" t="e">
        <f>VLOOKUP(C5352,'점포코드 '!A:B,2,0)</f>
        <v>#N/A</v>
      </c>
      <c r="E5352" s="30">
        <f>'Raw data'!P4928</f>
        <v>0</v>
      </c>
      <c r="F5352" s="29" t="e">
        <f>VLOOKUP(E5352,'점포코드 '!A:B,2,0)</f>
        <v>#N/A</v>
      </c>
      <c r="G5352" s="46">
        <f>'Raw data'!F5261</f>
        <v>0</v>
      </c>
      <c r="H5352" s="4">
        <f>'Raw data'!G5261</f>
        <v>0</v>
      </c>
      <c r="I5352" s="29" t="e">
        <f>VLOOKUP(G5352,제품명!$C$1:$E$114,2,0)</f>
        <v>#N/A</v>
      </c>
      <c r="J5352" s="29">
        <f>'Raw data'!K5261</f>
        <v>0</v>
      </c>
      <c r="K5352" s="31">
        <f>'Raw data'!H5261</f>
        <v>0</v>
      </c>
      <c r="L5352" s="26">
        <f t="shared" si="170"/>
        <v>0</v>
      </c>
    </row>
    <row r="5353" spans="2:12">
      <c r="B5353" s="4" t="e">
        <f t="shared" si="169"/>
        <v>#N/A</v>
      </c>
      <c r="C5353" s="4">
        <f>'Raw data'!E4929</f>
        <v>0</v>
      </c>
      <c r="D5353" s="29" t="e">
        <f>VLOOKUP(C5353,'점포코드 '!A:B,2,0)</f>
        <v>#N/A</v>
      </c>
      <c r="E5353" s="30">
        <f>'Raw data'!P4929</f>
        <v>0</v>
      </c>
      <c r="F5353" s="29" t="e">
        <f>VLOOKUP(E5353,'점포코드 '!A:B,2,0)</f>
        <v>#N/A</v>
      </c>
      <c r="G5353" s="46">
        <f>'Raw data'!F5262</f>
        <v>0</v>
      </c>
      <c r="H5353" s="4">
        <f>'Raw data'!G5262</f>
        <v>0</v>
      </c>
      <c r="I5353" s="29" t="e">
        <f>VLOOKUP(G5353,제품명!$C$1:$E$114,2,0)</f>
        <v>#N/A</v>
      </c>
      <c r="J5353" s="29">
        <f>'Raw data'!K5262</f>
        <v>0</v>
      </c>
      <c r="K5353" s="31">
        <f>'Raw data'!H5262</f>
        <v>0</v>
      </c>
      <c r="L5353" s="26">
        <f t="shared" si="170"/>
        <v>0</v>
      </c>
    </row>
    <row r="5354" spans="2:12">
      <c r="B5354" s="4" t="e">
        <f t="shared" si="169"/>
        <v>#N/A</v>
      </c>
      <c r="C5354" s="4">
        <f>'Raw data'!E4930</f>
        <v>0</v>
      </c>
      <c r="D5354" s="29" t="e">
        <f>VLOOKUP(C5354,'점포코드 '!A:B,2,0)</f>
        <v>#N/A</v>
      </c>
      <c r="E5354" s="30">
        <f>'Raw data'!P4930</f>
        <v>0</v>
      </c>
      <c r="F5354" s="29" t="e">
        <f>VLOOKUP(E5354,'점포코드 '!A:B,2,0)</f>
        <v>#N/A</v>
      </c>
      <c r="G5354" s="46">
        <f>'Raw data'!F5263</f>
        <v>0</v>
      </c>
      <c r="H5354" s="4">
        <f>'Raw data'!G5263</f>
        <v>0</v>
      </c>
      <c r="I5354" s="29" t="e">
        <f>VLOOKUP(G5354,제품명!$C$1:$E$114,2,0)</f>
        <v>#N/A</v>
      </c>
      <c r="J5354" s="29">
        <f>'Raw data'!K5263</f>
        <v>0</v>
      </c>
      <c r="K5354" s="31">
        <f>'Raw data'!H5263</f>
        <v>0</v>
      </c>
      <c r="L5354" s="26">
        <f t="shared" si="170"/>
        <v>0</v>
      </c>
    </row>
    <row r="5355" spans="2:12">
      <c r="B5355" s="4" t="e">
        <f t="shared" si="169"/>
        <v>#N/A</v>
      </c>
      <c r="C5355" s="4">
        <f>'Raw data'!E4931</f>
        <v>0</v>
      </c>
      <c r="D5355" s="29" t="e">
        <f>VLOOKUP(C5355,'점포코드 '!A:B,2,0)</f>
        <v>#N/A</v>
      </c>
      <c r="E5355" s="30">
        <f>'Raw data'!P4931</f>
        <v>0</v>
      </c>
      <c r="F5355" s="29" t="e">
        <f>VLOOKUP(E5355,'점포코드 '!A:B,2,0)</f>
        <v>#N/A</v>
      </c>
      <c r="G5355" s="46">
        <f>'Raw data'!F5264</f>
        <v>0</v>
      </c>
      <c r="H5355" s="4">
        <f>'Raw data'!G5264</f>
        <v>0</v>
      </c>
      <c r="I5355" s="29" t="e">
        <f>VLOOKUP(G5355,제품명!$C$1:$E$114,2,0)</f>
        <v>#N/A</v>
      </c>
      <c r="J5355" s="29">
        <f>'Raw data'!K5264</f>
        <v>0</v>
      </c>
      <c r="K5355" s="31">
        <f>'Raw data'!H5264</f>
        <v>0</v>
      </c>
      <c r="L5355" s="26">
        <f t="shared" si="170"/>
        <v>0</v>
      </c>
    </row>
    <row r="5356" spans="2:12">
      <c r="B5356" s="4" t="e">
        <f t="shared" si="169"/>
        <v>#N/A</v>
      </c>
      <c r="C5356" s="4">
        <f>'Raw data'!E4932</f>
        <v>0</v>
      </c>
      <c r="D5356" s="29" t="e">
        <f>VLOOKUP(C5356,'점포코드 '!A:B,2,0)</f>
        <v>#N/A</v>
      </c>
      <c r="E5356" s="30">
        <f>'Raw data'!P4932</f>
        <v>0</v>
      </c>
      <c r="F5356" s="29" t="e">
        <f>VLOOKUP(E5356,'점포코드 '!A:B,2,0)</f>
        <v>#N/A</v>
      </c>
      <c r="G5356" s="46">
        <f>'Raw data'!F5265</f>
        <v>0</v>
      </c>
      <c r="H5356" s="4">
        <f>'Raw data'!G5265</f>
        <v>0</v>
      </c>
      <c r="I5356" s="29" t="e">
        <f>VLOOKUP(G5356,제품명!$C$1:$E$114,2,0)</f>
        <v>#N/A</v>
      </c>
      <c r="J5356" s="29">
        <f>'Raw data'!K5265</f>
        <v>0</v>
      </c>
      <c r="K5356" s="31">
        <f>'Raw data'!H5265</f>
        <v>0</v>
      </c>
      <c r="L5356" s="26">
        <f t="shared" si="170"/>
        <v>0</v>
      </c>
    </row>
    <row r="5357" spans="2:12">
      <c r="B5357" s="4" t="e">
        <f t="shared" si="169"/>
        <v>#N/A</v>
      </c>
      <c r="C5357" s="4">
        <f>'Raw data'!E4933</f>
        <v>0</v>
      </c>
      <c r="D5357" s="29" t="e">
        <f>VLOOKUP(C5357,'점포코드 '!A:B,2,0)</f>
        <v>#N/A</v>
      </c>
      <c r="E5357" s="30">
        <f>'Raw data'!P4933</f>
        <v>0</v>
      </c>
      <c r="F5357" s="29" t="e">
        <f>VLOOKUP(E5357,'점포코드 '!A:B,2,0)</f>
        <v>#N/A</v>
      </c>
      <c r="G5357" s="46">
        <f>'Raw data'!F5266</f>
        <v>0</v>
      </c>
      <c r="H5357" s="4">
        <f>'Raw data'!G5266</f>
        <v>0</v>
      </c>
      <c r="I5357" s="29" t="e">
        <f>VLOOKUP(G5357,제품명!$C$1:$E$114,2,0)</f>
        <v>#N/A</v>
      </c>
      <c r="J5357" s="29">
        <f>'Raw data'!K5266</f>
        <v>0</v>
      </c>
      <c r="K5357" s="31">
        <f>'Raw data'!H5266</f>
        <v>0</v>
      </c>
      <c r="L5357" s="26">
        <f t="shared" si="170"/>
        <v>0</v>
      </c>
    </row>
    <row r="5358" spans="2:12">
      <c r="B5358" s="4" t="e">
        <f t="shared" si="169"/>
        <v>#N/A</v>
      </c>
      <c r="C5358" s="4">
        <f>'Raw data'!E4934</f>
        <v>0</v>
      </c>
      <c r="D5358" s="29" t="e">
        <f>VLOOKUP(C5358,'점포코드 '!A:B,2,0)</f>
        <v>#N/A</v>
      </c>
      <c r="E5358" s="30">
        <f>'Raw data'!P4934</f>
        <v>0</v>
      </c>
      <c r="F5358" s="29" t="e">
        <f>VLOOKUP(E5358,'점포코드 '!A:B,2,0)</f>
        <v>#N/A</v>
      </c>
      <c r="G5358" s="46">
        <f>'Raw data'!F5267</f>
        <v>0</v>
      </c>
      <c r="H5358" s="4">
        <f>'Raw data'!G5267</f>
        <v>0</v>
      </c>
      <c r="I5358" s="29" t="e">
        <f>VLOOKUP(G5358,제품명!$C$1:$E$114,2,0)</f>
        <v>#N/A</v>
      </c>
      <c r="J5358" s="29">
        <f>'Raw data'!K5267</f>
        <v>0</v>
      </c>
      <c r="K5358" s="31">
        <f>'Raw data'!H5267</f>
        <v>0</v>
      </c>
      <c r="L5358" s="26">
        <f t="shared" si="170"/>
        <v>0</v>
      </c>
    </row>
    <row r="5359" spans="2:12">
      <c r="B5359" s="4" t="e">
        <f t="shared" si="169"/>
        <v>#N/A</v>
      </c>
      <c r="C5359" s="4">
        <f>'Raw data'!E4935</f>
        <v>0</v>
      </c>
      <c r="D5359" s="29" t="e">
        <f>VLOOKUP(C5359,'점포코드 '!A:B,2,0)</f>
        <v>#N/A</v>
      </c>
      <c r="E5359" s="30">
        <f>'Raw data'!P4935</f>
        <v>0</v>
      </c>
      <c r="F5359" s="29" t="e">
        <f>VLOOKUP(E5359,'점포코드 '!A:B,2,0)</f>
        <v>#N/A</v>
      </c>
      <c r="G5359" s="46">
        <f>'Raw data'!F5268</f>
        <v>0</v>
      </c>
      <c r="H5359" s="4">
        <f>'Raw data'!G5268</f>
        <v>0</v>
      </c>
      <c r="I5359" s="29" t="e">
        <f>VLOOKUP(G5359,제품명!$C$1:$E$114,2,0)</f>
        <v>#N/A</v>
      </c>
      <c r="J5359" s="29">
        <f>'Raw data'!K5268</f>
        <v>0</v>
      </c>
      <c r="K5359" s="31">
        <f>'Raw data'!H5268</f>
        <v>0</v>
      </c>
      <c r="L5359" s="26">
        <f t="shared" si="170"/>
        <v>0</v>
      </c>
    </row>
    <row r="5360" spans="2:12">
      <c r="B5360" s="4" t="e">
        <f t="shared" si="169"/>
        <v>#N/A</v>
      </c>
      <c r="C5360" s="4">
        <f>'Raw data'!E4936</f>
        <v>0</v>
      </c>
      <c r="D5360" s="29" t="e">
        <f>VLOOKUP(C5360,'점포코드 '!A:B,2,0)</f>
        <v>#N/A</v>
      </c>
      <c r="E5360" s="30">
        <f>'Raw data'!P4936</f>
        <v>0</v>
      </c>
      <c r="F5360" s="29" t="e">
        <f>VLOOKUP(E5360,'점포코드 '!A:B,2,0)</f>
        <v>#N/A</v>
      </c>
      <c r="G5360" s="46">
        <f>'Raw data'!F5269</f>
        <v>0</v>
      </c>
      <c r="H5360" s="4">
        <f>'Raw data'!G5269</f>
        <v>0</v>
      </c>
      <c r="I5360" s="29" t="e">
        <f>VLOOKUP(G5360,제품명!$C$1:$E$114,2,0)</f>
        <v>#N/A</v>
      </c>
      <c r="J5360" s="29">
        <f>'Raw data'!K5269</f>
        <v>0</v>
      </c>
      <c r="K5360" s="31">
        <f>'Raw data'!H5269</f>
        <v>0</v>
      </c>
      <c r="L5360" s="26">
        <f t="shared" si="170"/>
        <v>0</v>
      </c>
    </row>
    <row r="5361" spans="2:12">
      <c r="B5361" s="4" t="e">
        <f t="shared" si="169"/>
        <v>#N/A</v>
      </c>
      <c r="C5361" s="4">
        <f>'Raw data'!E4937</f>
        <v>0</v>
      </c>
      <c r="D5361" s="29" t="e">
        <f>VLOOKUP(C5361,'점포코드 '!A:B,2,0)</f>
        <v>#N/A</v>
      </c>
      <c r="E5361" s="30">
        <f>'Raw data'!P4937</f>
        <v>0</v>
      </c>
      <c r="F5361" s="29" t="e">
        <f>VLOOKUP(E5361,'점포코드 '!A:B,2,0)</f>
        <v>#N/A</v>
      </c>
      <c r="G5361" s="46">
        <f>'Raw data'!F5270</f>
        <v>0</v>
      </c>
      <c r="H5361" s="4">
        <f>'Raw data'!G5270</f>
        <v>0</v>
      </c>
      <c r="I5361" s="29" t="e">
        <f>VLOOKUP(G5361,제품명!$C$1:$E$114,2,0)</f>
        <v>#N/A</v>
      </c>
      <c r="J5361" s="29">
        <f>'Raw data'!K5270</f>
        <v>0</v>
      </c>
      <c r="K5361" s="31">
        <f>'Raw data'!H5270</f>
        <v>0</v>
      </c>
      <c r="L5361" s="26">
        <f t="shared" si="170"/>
        <v>0</v>
      </c>
    </row>
    <row r="5362" spans="2:12">
      <c r="B5362" s="4" t="e">
        <f t="shared" si="169"/>
        <v>#N/A</v>
      </c>
      <c r="C5362" s="4">
        <f>'Raw data'!E4938</f>
        <v>0</v>
      </c>
      <c r="D5362" s="29" t="e">
        <f>VLOOKUP(C5362,'점포코드 '!A:B,2,0)</f>
        <v>#N/A</v>
      </c>
      <c r="E5362" s="30">
        <f>'Raw data'!P4938</f>
        <v>0</v>
      </c>
      <c r="F5362" s="29" t="e">
        <f>VLOOKUP(E5362,'점포코드 '!A:B,2,0)</f>
        <v>#N/A</v>
      </c>
      <c r="G5362" s="46">
        <f>'Raw data'!F5271</f>
        <v>0</v>
      </c>
      <c r="H5362" s="4">
        <f>'Raw data'!G5271</f>
        <v>0</v>
      </c>
      <c r="I5362" s="29" t="e">
        <f>VLOOKUP(G5362,제품명!$C$1:$E$114,2,0)</f>
        <v>#N/A</v>
      </c>
      <c r="J5362" s="29">
        <f>'Raw data'!K5271</f>
        <v>0</v>
      </c>
      <c r="K5362" s="31">
        <f>'Raw data'!H5271</f>
        <v>0</v>
      </c>
      <c r="L5362" s="26">
        <f t="shared" si="170"/>
        <v>0</v>
      </c>
    </row>
    <row r="5363" spans="2:12">
      <c r="B5363" s="4" t="e">
        <f t="shared" si="169"/>
        <v>#N/A</v>
      </c>
      <c r="C5363" s="4">
        <f>'Raw data'!E4939</f>
        <v>0</v>
      </c>
      <c r="D5363" s="29" t="e">
        <f>VLOOKUP(C5363,'점포코드 '!A:B,2,0)</f>
        <v>#N/A</v>
      </c>
      <c r="E5363" s="30">
        <f>'Raw data'!P4939</f>
        <v>0</v>
      </c>
      <c r="F5363" s="29" t="e">
        <f>VLOOKUP(E5363,'점포코드 '!A:B,2,0)</f>
        <v>#N/A</v>
      </c>
      <c r="G5363" s="46">
        <f>'Raw data'!F5272</f>
        <v>0</v>
      </c>
      <c r="H5363" s="4">
        <f>'Raw data'!G5272</f>
        <v>0</v>
      </c>
      <c r="I5363" s="29" t="e">
        <f>VLOOKUP(G5363,제품명!$C$1:$E$114,2,0)</f>
        <v>#N/A</v>
      </c>
      <c r="J5363" s="29">
        <f>'Raw data'!K5272</f>
        <v>0</v>
      </c>
      <c r="K5363" s="31">
        <f>'Raw data'!H5272</f>
        <v>0</v>
      </c>
      <c r="L5363" s="26">
        <f t="shared" si="170"/>
        <v>0</v>
      </c>
    </row>
    <row r="5364" spans="2:12">
      <c r="B5364" s="4" t="e">
        <f t="shared" si="169"/>
        <v>#N/A</v>
      </c>
      <c r="C5364" s="4">
        <f>'Raw data'!E4940</f>
        <v>0</v>
      </c>
      <c r="D5364" s="29" t="e">
        <f>VLOOKUP(C5364,'점포코드 '!A:B,2,0)</f>
        <v>#N/A</v>
      </c>
      <c r="E5364" s="30">
        <f>'Raw data'!P4940</f>
        <v>0</v>
      </c>
      <c r="F5364" s="29" t="e">
        <f>VLOOKUP(E5364,'점포코드 '!A:B,2,0)</f>
        <v>#N/A</v>
      </c>
      <c r="G5364" s="46">
        <f>'Raw data'!F5273</f>
        <v>0</v>
      </c>
      <c r="H5364" s="4">
        <f>'Raw data'!G5273</f>
        <v>0</v>
      </c>
      <c r="I5364" s="29" t="e">
        <f>VLOOKUP(G5364,제품명!$C$1:$E$114,2,0)</f>
        <v>#N/A</v>
      </c>
      <c r="J5364" s="29">
        <f>'Raw data'!K5273</f>
        <v>0</v>
      </c>
      <c r="K5364" s="31">
        <f>'Raw data'!H5273</f>
        <v>0</v>
      </c>
      <c r="L5364" s="26">
        <f t="shared" si="170"/>
        <v>0</v>
      </c>
    </row>
    <row r="5365" spans="2:12">
      <c r="B5365" s="4" t="e">
        <f t="shared" si="169"/>
        <v>#N/A</v>
      </c>
      <c r="C5365" s="4">
        <f>'Raw data'!E4941</f>
        <v>0</v>
      </c>
      <c r="D5365" s="29" t="e">
        <f>VLOOKUP(C5365,'점포코드 '!A:B,2,0)</f>
        <v>#N/A</v>
      </c>
      <c r="E5365" s="30">
        <f>'Raw data'!P4941</f>
        <v>0</v>
      </c>
      <c r="F5365" s="29" t="e">
        <f>VLOOKUP(E5365,'점포코드 '!A:B,2,0)</f>
        <v>#N/A</v>
      </c>
      <c r="G5365" s="46">
        <f>'Raw data'!F5274</f>
        <v>0</v>
      </c>
      <c r="H5365" s="4">
        <f>'Raw data'!G5274</f>
        <v>0</v>
      </c>
      <c r="I5365" s="29" t="e">
        <f>VLOOKUP(G5365,제품명!$C$1:$E$114,2,0)</f>
        <v>#N/A</v>
      </c>
      <c r="J5365" s="29">
        <f>'Raw data'!K5274</f>
        <v>0</v>
      </c>
      <c r="K5365" s="31">
        <f>'Raw data'!H5274</f>
        <v>0</v>
      </c>
      <c r="L5365" s="26">
        <f t="shared" si="170"/>
        <v>0</v>
      </c>
    </row>
    <row r="5366" spans="2:12">
      <c r="B5366" s="4" t="e">
        <f t="shared" si="169"/>
        <v>#N/A</v>
      </c>
      <c r="C5366" s="4">
        <f>'Raw data'!E4942</f>
        <v>0</v>
      </c>
      <c r="D5366" s="29" t="e">
        <f>VLOOKUP(C5366,'점포코드 '!A:B,2,0)</f>
        <v>#N/A</v>
      </c>
      <c r="E5366" s="30">
        <f>'Raw data'!P4942</f>
        <v>0</v>
      </c>
      <c r="F5366" s="29" t="e">
        <f>VLOOKUP(E5366,'점포코드 '!A:B,2,0)</f>
        <v>#N/A</v>
      </c>
      <c r="G5366" s="46">
        <f>'Raw data'!F5275</f>
        <v>0</v>
      </c>
      <c r="H5366" s="4">
        <f>'Raw data'!G5275</f>
        <v>0</v>
      </c>
      <c r="I5366" s="29" t="e">
        <f>VLOOKUP(G5366,제품명!$C$1:$E$114,2,0)</f>
        <v>#N/A</v>
      </c>
      <c r="J5366" s="29">
        <f>'Raw data'!K5275</f>
        <v>0</v>
      </c>
      <c r="K5366" s="31">
        <f>'Raw data'!H5275</f>
        <v>0</v>
      </c>
      <c r="L5366" s="26">
        <f t="shared" si="170"/>
        <v>0</v>
      </c>
    </row>
    <row r="5367" spans="2:12">
      <c r="B5367" s="4" t="e">
        <f t="shared" si="169"/>
        <v>#N/A</v>
      </c>
      <c r="C5367" s="4">
        <f>'Raw data'!E4943</f>
        <v>0</v>
      </c>
      <c r="D5367" s="29" t="e">
        <f>VLOOKUP(C5367,'점포코드 '!A:B,2,0)</f>
        <v>#N/A</v>
      </c>
      <c r="E5367" s="30">
        <f>'Raw data'!P4943</f>
        <v>0</v>
      </c>
      <c r="F5367" s="29" t="e">
        <f>VLOOKUP(E5367,'점포코드 '!A:B,2,0)</f>
        <v>#N/A</v>
      </c>
      <c r="G5367" s="46">
        <f>'Raw data'!F5276</f>
        <v>0</v>
      </c>
      <c r="H5367" s="4">
        <f>'Raw data'!G5276</f>
        <v>0</v>
      </c>
      <c r="I5367" s="29" t="e">
        <f>VLOOKUP(G5367,제품명!$C$1:$E$114,2,0)</f>
        <v>#N/A</v>
      </c>
      <c r="J5367" s="29">
        <f>'Raw data'!K5276</f>
        <v>0</v>
      </c>
      <c r="K5367" s="31">
        <f>'Raw data'!H5276</f>
        <v>0</v>
      </c>
      <c r="L5367" s="26">
        <f t="shared" si="170"/>
        <v>0</v>
      </c>
    </row>
    <row r="5368" spans="2:12">
      <c r="B5368" s="4" t="e">
        <f t="shared" si="169"/>
        <v>#N/A</v>
      </c>
      <c r="C5368" s="4">
        <f>'Raw data'!E4944</f>
        <v>0</v>
      </c>
      <c r="D5368" s="29" t="e">
        <f>VLOOKUP(C5368,'점포코드 '!A:B,2,0)</f>
        <v>#N/A</v>
      </c>
      <c r="E5368" s="30">
        <f>'Raw data'!P4944</f>
        <v>0</v>
      </c>
      <c r="F5368" s="29" t="e">
        <f>VLOOKUP(E5368,'점포코드 '!A:B,2,0)</f>
        <v>#N/A</v>
      </c>
      <c r="G5368" s="46">
        <f>'Raw data'!F5277</f>
        <v>0</v>
      </c>
      <c r="H5368" s="4">
        <f>'Raw data'!G5277</f>
        <v>0</v>
      </c>
      <c r="I5368" s="29" t="e">
        <f>VLOOKUP(G5368,제품명!$C$1:$E$114,2,0)</f>
        <v>#N/A</v>
      </c>
      <c r="J5368" s="29">
        <f>'Raw data'!K5277</f>
        <v>0</v>
      </c>
      <c r="K5368" s="31">
        <f>'Raw data'!H5277</f>
        <v>0</v>
      </c>
      <c r="L5368" s="26">
        <f t="shared" si="170"/>
        <v>0</v>
      </c>
    </row>
    <row r="5369" spans="2:12">
      <c r="B5369" s="4" t="e">
        <f t="shared" si="169"/>
        <v>#N/A</v>
      </c>
      <c r="C5369" s="4">
        <f>'Raw data'!E4945</f>
        <v>0</v>
      </c>
      <c r="D5369" s="29" t="e">
        <f>VLOOKUP(C5369,'점포코드 '!A:B,2,0)</f>
        <v>#N/A</v>
      </c>
      <c r="E5369" s="30">
        <f>'Raw data'!P4945</f>
        <v>0</v>
      </c>
      <c r="F5369" s="29" t="e">
        <f>VLOOKUP(E5369,'점포코드 '!A:B,2,0)</f>
        <v>#N/A</v>
      </c>
      <c r="G5369" s="46">
        <f>'Raw data'!F5278</f>
        <v>0</v>
      </c>
      <c r="H5369" s="4">
        <f>'Raw data'!G5278</f>
        <v>0</v>
      </c>
      <c r="I5369" s="29" t="e">
        <f>VLOOKUP(G5369,제품명!$C$1:$E$114,2,0)</f>
        <v>#N/A</v>
      </c>
      <c r="J5369" s="29">
        <f>'Raw data'!K5278</f>
        <v>0</v>
      </c>
      <c r="K5369" s="31">
        <f>'Raw data'!H5278</f>
        <v>0</v>
      </c>
      <c r="L5369" s="26">
        <f t="shared" si="170"/>
        <v>0</v>
      </c>
    </row>
    <row r="5370" spans="2:12">
      <c r="B5370" s="4" t="e">
        <f t="shared" si="169"/>
        <v>#N/A</v>
      </c>
      <c r="C5370" s="4">
        <f>'Raw data'!E4946</f>
        <v>0</v>
      </c>
      <c r="D5370" s="29" t="e">
        <f>VLOOKUP(C5370,'점포코드 '!A:B,2,0)</f>
        <v>#N/A</v>
      </c>
      <c r="E5370" s="30">
        <f>'Raw data'!P4946</f>
        <v>0</v>
      </c>
      <c r="F5370" s="29" t="e">
        <f>VLOOKUP(E5370,'점포코드 '!A:B,2,0)</f>
        <v>#N/A</v>
      </c>
      <c r="G5370" s="46">
        <f>'Raw data'!F5279</f>
        <v>0</v>
      </c>
      <c r="H5370" s="4">
        <f>'Raw data'!G5279</f>
        <v>0</v>
      </c>
      <c r="I5370" s="29" t="e">
        <f>VLOOKUP(G5370,제품명!$C$1:$E$114,2,0)</f>
        <v>#N/A</v>
      </c>
      <c r="J5370" s="29">
        <f>'Raw data'!K5279</f>
        <v>0</v>
      </c>
      <c r="K5370" s="31">
        <f>'Raw data'!H5279</f>
        <v>0</v>
      </c>
      <c r="L5370" s="26">
        <f t="shared" si="170"/>
        <v>0</v>
      </c>
    </row>
    <row r="5371" spans="2:12">
      <c r="B5371" s="4" t="e">
        <f t="shared" si="169"/>
        <v>#N/A</v>
      </c>
      <c r="C5371" s="4">
        <f>'Raw data'!E4947</f>
        <v>0</v>
      </c>
      <c r="D5371" s="29" t="e">
        <f>VLOOKUP(C5371,'점포코드 '!A:B,2,0)</f>
        <v>#N/A</v>
      </c>
      <c r="E5371" s="30">
        <f>'Raw data'!P4947</f>
        <v>0</v>
      </c>
      <c r="F5371" s="29" t="e">
        <f>VLOOKUP(E5371,'점포코드 '!A:B,2,0)</f>
        <v>#N/A</v>
      </c>
      <c r="G5371" s="46">
        <f>'Raw data'!F5280</f>
        <v>0</v>
      </c>
      <c r="H5371" s="4">
        <f>'Raw data'!G5280</f>
        <v>0</v>
      </c>
      <c r="I5371" s="29" t="e">
        <f>VLOOKUP(G5371,제품명!$C$1:$E$114,2,0)</f>
        <v>#N/A</v>
      </c>
      <c r="J5371" s="29">
        <f>'Raw data'!K5280</f>
        <v>0</v>
      </c>
      <c r="K5371" s="31">
        <f>'Raw data'!H5280</f>
        <v>0</v>
      </c>
      <c r="L5371" s="26">
        <f t="shared" si="170"/>
        <v>0</v>
      </c>
    </row>
    <row r="5372" spans="2:12">
      <c r="B5372" s="4" t="e">
        <f t="shared" si="169"/>
        <v>#N/A</v>
      </c>
      <c r="C5372" s="4">
        <f>'Raw data'!E4948</f>
        <v>0</v>
      </c>
      <c r="D5372" s="29" t="e">
        <f>VLOOKUP(C5372,'점포코드 '!A:B,2,0)</f>
        <v>#N/A</v>
      </c>
      <c r="E5372" s="30">
        <f>'Raw data'!P4948</f>
        <v>0</v>
      </c>
      <c r="F5372" s="29" t="e">
        <f>VLOOKUP(E5372,'점포코드 '!A:B,2,0)</f>
        <v>#N/A</v>
      </c>
      <c r="G5372" s="46">
        <f>'Raw data'!F5281</f>
        <v>0</v>
      </c>
      <c r="H5372" s="4">
        <f>'Raw data'!G5281</f>
        <v>0</v>
      </c>
      <c r="I5372" s="29" t="e">
        <f>VLOOKUP(G5372,제품명!$C$1:$E$114,2,0)</f>
        <v>#N/A</v>
      </c>
      <c r="J5372" s="29">
        <f>'Raw data'!K5281</f>
        <v>0</v>
      </c>
      <c r="K5372" s="31">
        <f>'Raw data'!H5281</f>
        <v>0</v>
      </c>
      <c r="L5372" s="26">
        <f t="shared" si="170"/>
        <v>0</v>
      </c>
    </row>
    <row r="5373" spans="2:12">
      <c r="B5373" s="4" t="e">
        <f t="shared" si="169"/>
        <v>#N/A</v>
      </c>
      <c r="C5373" s="4">
        <f>'Raw data'!E4949</f>
        <v>0</v>
      </c>
      <c r="D5373" s="29" t="e">
        <f>VLOOKUP(C5373,'점포코드 '!A:B,2,0)</f>
        <v>#N/A</v>
      </c>
      <c r="E5373" s="30">
        <f>'Raw data'!P4949</f>
        <v>0</v>
      </c>
      <c r="F5373" s="29" t="e">
        <f>VLOOKUP(E5373,'점포코드 '!A:B,2,0)</f>
        <v>#N/A</v>
      </c>
      <c r="G5373" s="46">
        <f>'Raw data'!F5282</f>
        <v>0</v>
      </c>
      <c r="H5373" s="4">
        <f>'Raw data'!G5282</f>
        <v>0</v>
      </c>
      <c r="I5373" s="29" t="e">
        <f>VLOOKUP(G5373,제품명!$C$1:$E$114,2,0)</f>
        <v>#N/A</v>
      </c>
      <c r="J5373" s="29">
        <f>'Raw data'!K5282</f>
        <v>0</v>
      </c>
      <c r="K5373" s="31">
        <f>'Raw data'!H5282</f>
        <v>0</v>
      </c>
      <c r="L5373" s="26">
        <f t="shared" si="170"/>
        <v>0</v>
      </c>
    </row>
    <row r="5374" spans="2:12">
      <c r="B5374" s="4" t="e">
        <f t="shared" si="169"/>
        <v>#N/A</v>
      </c>
      <c r="C5374" s="4">
        <f>'Raw data'!E4950</f>
        <v>0</v>
      </c>
      <c r="D5374" s="29" t="e">
        <f>VLOOKUP(C5374,'점포코드 '!A:B,2,0)</f>
        <v>#N/A</v>
      </c>
      <c r="E5374" s="30">
        <f>'Raw data'!P4950</f>
        <v>0</v>
      </c>
      <c r="F5374" s="29" t="e">
        <f>VLOOKUP(E5374,'점포코드 '!A:B,2,0)</f>
        <v>#N/A</v>
      </c>
      <c r="G5374" s="46">
        <f>'Raw data'!F5283</f>
        <v>0</v>
      </c>
      <c r="H5374" s="4">
        <f>'Raw data'!G5283</f>
        <v>0</v>
      </c>
      <c r="I5374" s="29" t="e">
        <f>VLOOKUP(G5374,제품명!$C$1:$E$114,2,0)</f>
        <v>#N/A</v>
      </c>
      <c r="J5374" s="29">
        <f>'Raw data'!K5283</f>
        <v>0</v>
      </c>
      <c r="K5374" s="31">
        <f>'Raw data'!H5283</f>
        <v>0</v>
      </c>
      <c r="L5374" s="26">
        <f t="shared" si="170"/>
        <v>0</v>
      </c>
    </row>
    <row r="5375" spans="2:12">
      <c r="B5375" s="4" t="e">
        <f t="shared" si="169"/>
        <v>#N/A</v>
      </c>
      <c r="C5375" s="4">
        <f>'Raw data'!E4951</f>
        <v>0</v>
      </c>
      <c r="D5375" s="29" t="e">
        <f>VLOOKUP(C5375,'점포코드 '!A:B,2,0)</f>
        <v>#N/A</v>
      </c>
      <c r="E5375" s="30">
        <f>'Raw data'!P4951</f>
        <v>0</v>
      </c>
      <c r="F5375" s="29" t="e">
        <f>VLOOKUP(E5375,'점포코드 '!A:B,2,0)</f>
        <v>#N/A</v>
      </c>
      <c r="G5375" s="46">
        <f>'Raw data'!F5284</f>
        <v>0</v>
      </c>
      <c r="H5375" s="4">
        <f>'Raw data'!G5284</f>
        <v>0</v>
      </c>
      <c r="I5375" s="29" t="e">
        <f>VLOOKUP(G5375,제품명!$C$1:$E$114,2,0)</f>
        <v>#N/A</v>
      </c>
      <c r="J5375" s="29">
        <f>'Raw data'!K5284</f>
        <v>0</v>
      </c>
      <c r="K5375" s="31">
        <f>'Raw data'!H5284</f>
        <v>0</v>
      </c>
      <c r="L5375" s="26">
        <f t="shared" si="170"/>
        <v>0</v>
      </c>
    </row>
    <row r="5376" spans="2:12">
      <c r="B5376" s="4" t="e">
        <f t="shared" si="169"/>
        <v>#N/A</v>
      </c>
      <c r="C5376" s="4">
        <f>'Raw data'!E4952</f>
        <v>0</v>
      </c>
      <c r="D5376" s="29" t="e">
        <f>VLOOKUP(C5376,'점포코드 '!A:B,2,0)</f>
        <v>#N/A</v>
      </c>
      <c r="E5376" s="30">
        <f>'Raw data'!P4952</f>
        <v>0</v>
      </c>
      <c r="F5376" s="29" t="e">
        <f>VLOOKUP(E5376,'점포코드 '!A:B,2,0)</f>
        <v>#N/A</v>
      </c>
      <c r="G5376" s="46">
        <f>'Raw data'!F5285</f>
        <v>0</v>
      </c>
      <c r="H5376" s="4">
        <f>'Raw data'!G5285</f>
        <v>0</v>
      </c>
      <c r="I5376" s="29" t="e">
        <f>VLOOKUP(G5376,제품명!$C$1:$E$114,2,0)</f>
        <v>#N/A</v>
      </c>
      <c r="J5376" s="29">
        <f>'Raw data'!K5285</f>
        <v>0</v>
      </c>
      <c r="K5376" s="31">
        <f>'Raw data'!H5285</f>
        <v>0</v>
      </c>
      <c r="L5376" s="26">
        <f t="shared" si="170"/>
        <v>0</v>
      </c>
    </row>
    <row r="5377" spans="2:12">
      <c r="B5377" s="4" t="e">
        <f t="shared" si="169"/>
        <v>#N/A</v>
      </c>
      <c r="C5377" s="4">
        <f>'Raw data'!E4953</f>
        <v>0</v>
      </c>
      <c r="D5377" s="29" t="e">
        <f>VLOOKUP(C5377,'점포코드 '!A:B,2,0)</f>
        <v>#N/A</v>
      </c>
      <c r="E5377" s="30">
        <f>'Raw data'!P4953</f>
        <v>0</v>
      </c>
      <c r="F5377" s="29" t="e">
        <f>VLOOKUP(E5377,'점포코드 '!A:B,2,0)</f>
        <v>#N/A</v>
      </c>
      <c r="G5377" s="46">
        <f>'Raw data'!F5286</f>
        <v>0</v>
      </c>
      <c r="H5377" s="4">
        <f>'Raw data'!G5286</f>
        <v>0</v>
      </c>
      <c r="I5377" s="29" t="e">
        <f>VLOOKUP(G5377,제품명!$C$1:$E$114,2,0)</f>
        <v>#N/A</v>
      </c>
      <c r="J5377" s="29">
        <f>'Raw data'!K5286</f>
        <v>0</v>
      </c>
      <c r="K5377" s="31">
        <f>'Raw data'!H5286</f>
        <v>0</v>
      </c>
      <c r="L5377" s="26">
        <f t="shared" si="170"/>
        <v>0</v>
      </c>
    </row>
    <row r="5378" spans="2:12">
      <c r="B5378" s="4" t="e">
        <f t="shared" ref="B5378:B5441" si="171">F5378&amp;I5378</f>
        <v>#N/A</v>
      </c>
      <c r="C5378" s="4">
        <f>'Raw data'!E4954</f>
        <v>0</v>
      </c>
      <c r="D5378" s="29" t="e">
        <f>VLOOKUP(C5378,'점포코드 '!A:B,2,0)</f>
        <v>#N/A</v>
      </c>
      <c r="E5378" s="30">
        <f>'Raw data'!P4954</f>
        <v>0</v>
      </c>
      <c r="F5378" s="29" t="e">
        <f>VLOOKUP(E5378,'점포코드 '!A:B,2,0)</f>
        <v>#N/A</v>
      </c>
      <c r="G5378" s="46">
        <f>'Raw data'!F5287</f>
        <v>0</v>
      </c>
      <c r="H5378" s="4">
        <f>'Raw data'!G5287</f>
        <v>0</v>
      </c>
      <c r="I5378" s="29" t="e">
        <f>VLOOKUP(G5378,제품명!$C$1:$E$114,2,0)</f>
        <v>#N/A</v>
      </c>
      <c r="J5378" s="29">
        <f>'Raw data'!K5287</f>
        <v>0</v>
      </c>
      <c r="K5378" s="31">
        <f>'Raw data'!H5287</f>
        <v>0</v>
      </c>
      <c r="L5378" s="26">
        <f t="shared" si="170"/>
        <v>0</v>
      </c>
    </row>
    <row r="5379" spans="2:12">
      <c r="B5379" s="4" t="e">
        <f t="shared" si="171"/>
        <v>#N/A</v>
      </c>
      <c r="C5379" s="4">
        <f>'Raw data'!E4955</f>
        <v>0</v>
      </c>
      <c r="D5379" s="29" t="e">
        <f>VLOOKUP(C5379,'점포코드 '!A:B,2,0)</f>
        <v>#N/A</v>
      </c>
      <c r="E5379" s="30">
        <f>'Raw data'!P4955</f>
        <v>0</v>
      </c>
      <c r="F5379" s="29" t="e">
        <f>VLOOKUP(E5379,'점포코드 '!A:B,2,0)</f>
        <v>#N/A</v>
      </c>
      <c r="G5379" s="46">
        <f>'Raw data'!F5288</f>
        <v>0</v>
      </c>
      <c r="H5379" s="4">
        <f>'Raw data'!G5288</f>
        <v>0</v>
      </c>
      <c r="I5379" s="29" t="e">
        <f>VLOOKUP(G5379,제품명!$C$1:$E$114,2,0)</f>
        <v>#N/A</v>
      </c>
      <c r="J5379" s="29">
        <f>'Raw data'!K5288</f>
        <v>0</v>
      </c>
      <c r="K5379" s="31">
        <f>'Raw data'!H5288</f>
        <v>0</v>
      </c>
      <c r="L5379" s="26">
        <f t="shared" ref="L5379:L5442" si="172">J5379*K5379</f>
        <v>0</v>
      </c>
    </row>
    <row r="5380" spans="2:12">
      <c r="B5380" s="4" t="e">
        <f t="shared" si="171"/>
        <v>#N/A</v>
      </c>
      <c r="C5380" s="4">
        <f>'Raw data'!E4956</f>
        <v>0</v>
      </c>
      <c r="D5380" s="29" t="e">
        <f>VLOOKUP(C5380,'점포코드 '!A:B,2,0)</f>
        <v>#N/A</v>
      </c>
      <c r="E5380" s="30">
        <f>'Raw data'!P4956</f>
        <v>0</v>
      </c>
      <c r="F5380" s="29" t="e">
        <f>VLOOKUP(E5380,'점포코드 '!A:B,2,0)</f>
        <v>#N/A</v>
      </c>
      <c r="G5380" s="46">
        <f>'Raw data'!F5289</f>
        <v>0</v>
      </c>
      <c r="H5380" s="4">
        <f>'Raw data'!G5289</f>
        <v>0</v>
      </c>
      <c r="I5380" s="29" t="e">
        <f>VLOOKUP(G5380,제품명!$C$1:$E$114,2,0)</f>
        <v>#N/A</v>
      </c>
      <c r="J5380" s="29">
        <f>'Raw data'!K5289</f>
        <v>0</v>
      </c>
      <c r="K5380" s="31">
        <f>'Raw data'!H5289</f>
        <v>0</v>
      </c>
      <c r="L5380" s="26">
        <f t="shared" si="172"/>
        <v>0</v>
      </c>
    </row>
    <row r="5381" spans="2:12">
      <c r="B5381" s="4" t="e">
        <f t="shared" si="171"/>
        <v>#N/A</v>
      </c>
      <c r="C5381" s="4">
        <f>'Raw data'!E4957</f>
        <v>0</v>
      </c>
      <c r="D5381" s="29" t="e">
        <f>VLOOKUP(C5381,'점포코드 '!A:B,2,0)</f>
        <v>#N/A</v>
      </c>
      <c r="E5381" s="30">
        <f>'Raw data'!P4957</f>
        <v>0</v>
      </c>
      <c r="F5381" s="29" t="e">
        <f>VLOOKUP(E5381,'점포코드 '!A:B,2,0)</f>
        <v>#N/A</v>
      </c>
      <c r="G5381" s="46">
        <f>'Raw data'!F5290</f>
        <v>0</v>
      </c>
      <c r="H5381" s="4">
        <f>'Raw data'!G5290</f>
        <v>0</v>
      </c>
      <c r="I5381" s="29" t="e">
        <f>VLOOKUP(G5381,제품명!$C$1:$E$114,2,0)</f>
        <v>#N/A</v>
      </c>
      <c r="J5381" s="29">
        <f>'Raw data'!K5290</f>
        <v>0</v>
      </c>
      <c r="K5381" s="31">
        <f>'Raw data'!H5290</f>
        <v>0</v>
      </c>
      <c r="L5381" s="26">
        <f t="shared" si="172"/>
        <v>0</v>
      </c>
    </row>
    <row r="5382" spans="2:12">
      <c r="B5382" s="4" t="e">
        <f t="shared" si="171"/>
        <v>#N/A</v>
      </c>
      <c r="C5382" s="4">
        <f>'Raw data'!E4958</f>
        <v>0</v>
      </c>
      <c r="D5382" s="29" t="e">
        <f>VLOOKUP(C5382,'점포코드 '!A:B,2,0)</f>
        <v>#N/A</v>
      </c>
      <c r="E5382" s="30">
        <f>'Raw data'!P4958</f>
        <v>0</v>
      </c>
      <c r="F5382" s="29" t="e">
        <f>VLOOKUP(E5382,'점포코드 '!A:B,2,0)</f>
        <v>#N/A</v>
      </c>
      <c r="G5382" s="46">
        <f>'Raw data'!F5291</f>
        <v>0</v>
      </c>
      <c r="H5382" s="4">
        <f>'Raw data'!G5291</f>
        <v>0</v>
      </c>
      <c r="I5382" s="29" t="e">
        <f>VLOOKUP(G5382,제품명!$C$1:$E$114,2,0)</f>
        <v>#N/A</v>
      </c>
      <c r="J5382" s="29">
        <f>'Raw data'!K5291</f>
        <v>0</v>
      </c>
      <c r="K5382" s="31">
        <f>'Raw data'!H5291</f>
        <v>0</v>
      </c>
      <c r="L5382" s="26">
        <f t="shared" si="172"/>
        <v>0</v>
      </c>
    </row>
    <row r="5383" spans="2:12">
      <c r="B5383" s="4" t="e">
        <f t="shared" si="171"/>
        <v>#N/A</v>
      </c>
      <c r="C5383" s="4">
        <f>'Raw data'!E4959</f>
        <v>0</v>
      </c>
      <c r="D5383" s="29" t="e">
        <f>VLOOKUP(C5383,'점포코드 '!A:B,2,0)</f>
        <v>#N/A</v>
      </c>
      <c r="E5383" s="30">
        <f>'Raw data'!P4959</f>
        <v>0</v>
      </c>
      <c r="F5383" s="29" t="e">
        <f>VLOOKUP(E5383,'점포코드 '!A:B,2,0)</f>
        <v>#N/A</v>
      </c>
      <c r="G5383" s="46">
        <f>'Raw data'!F5292</f>
        <v>0</v>
      </c>
      <c r="H5383" s="4">
        <f>'Raw data'!G5292</f>
        <v>0</v>
      </c>
      <c r="I5383" s="29" t="e">
        <f>VLOOKUP(G5383,제품명!$C$1:$E$114,2,0)</f>
        <v>#N/A</v>
      </c>
      <c r="J5383" s="29">
        <f>'Raw data'!K5292</f>
        <v>0</v>
      </c>
      <c r="K5383" s="31">
        <f>'Raw data'!H5292</f>
        <v>0</v>
      </c>
      <c r="L5383" s="26">
        <f t="shared" si="172"/>
        <v>0</v>
      </c>
    </row>
    <row r="5384" spans="2:12">
      <c r="B5384" s="4" t="e">
        <f t="shared" si="171"/>
        <v>#N/A</v>
      </c>
      <c r="C5384" s="4">
        <f>'Raw data'!E4960</f>
        <v>0</v>
      </c>
      <c r="D5384" s="29" t="e">
        <f>VLOOKUP(C5384,'점포코드 '!A:B,2,0)</f>
        <v>#N/A</v>
      </c>
      <c r="E5384" s="30">
        <f>'Raw data'!P4960</f>
        <v>0</v>
      </c>
      <c r="F5384" s="29" t="e">
        <f>VLOOKUP(E5384,'점포코드 '!A:B,2,0)</f>
        <v>#N/A</v>
      </c>
      <c r="G5384" s="46">
        <f>'Raw data'!F5293</f>
        <v>0</v>
      </c>
      <c r="H5384" s="4">
        <f>'Raw data'!G5293</f>
        <v>0</v>
      </c>
      <c r="I5384" s="29" t="e">
        <f>VLOOKUP(G5384,제품명!$C$1:$E$114,2,0)</f>
        <v>#N/A</v>
      </c>
      <c r="J5384" s="29">
        <f>'Raw data'!K5293</f>
        <v>0</v>
      </c>
      <c r="K5384" s="31">
        <f>'Raw data'!H5293</f>
        <v>0</v>
      </c>
      <c r="L5384" s="26">
        <f t="shared" si="172"/>
        <v>0</v>
      </c>
    </row>
    <row r="5385" spans="2:12">
      <c r="B5385" s="4" t="e">
        <f t="shared" si="171"/>
        <v>#N/A</v>
      </c>
      <c r="C5385" s="4">
        <f>'Raw data'!E4961</f>
        <v>0</v>
      </c>
      <c r="D5385" s="29" t="e">
        <f>VLOOKUP(C5385,'점포코드 '!A:B,2,0)</f>
        <v>#N/A</v>
      </c>
      <c r="E5385" s="30">
        <f>'Raw data'!P4961</f>
        <v>0</v>
      </c>
      <c r="F5385" s="29" t="e">
        <f>VLOOKUP(E5385,'점포코드 '!A:B,2,0)</f>
        <v>#N/A</v>
      </c>
      <c r="G5385" s="46">
        <f>'Raw data'!F5294</f>
        <v>0</v>
      </c>
      <c r="H5385" s="4">
        <f>'Raw data'!G5294</f>
        <v>0</v>
      </c>
      <c r="I5385" s="29" t="e">
        <f>VLOOKUP(G5385,제품명!$C$1:$E$114,2,0)</f>
        <v>#N/A</v>
      </c>
      <c r="J5385" s="29">
        <f>'Raw data'!K5294</f>
        <v>0</v>
      </c>
      <c r="K5385" s="31">
        <f>'Raw data'!H5294</f>
        <v>0</v>
      </c>
      <c r="L5385" s="26">
        <f t="shared" si="172"/>
        <v>0</v>
      </c>
    </row>
    <row r="5386" spans="2:12">
      <c r="B5386" s="4" t="e">
        <f t="shared" si="171"/>
        <v>#N/A</v>
      </c>
      <c r="C5386" s="4">
        <f>'Raw data'!E4962</f>
        <v>0</v>
      </c>
      <c r="D5386" s="29" t="e">
        <f>VLOOKUP(C5386,'점포코드 '!A:B,2,0)</f>
        <v>#N/A</v>
      </c>
      <c r="E5386" s="30">
        <f>'Raw data'!P4962</f>
        <v>0</v>
      </c>
      <c r="F5386" s="29" t="e">
        <f>VLOOKUP(E5386,'점포코드 '!A:B,2,0)</f>
        <v>#N/A</v>
      </c>
      <c r="G5386" s="46">
        <f>'Raw data'!F5295</f>
        <v>0</v>
      </c>
      <c r="H5386" s="4">
        <f>'Raw data'!G5295</f>
        <v>0</v>
      </c>
      <c r="I5386" s="29" t="e">
        <f>VLOOKUP(G5386,제품명!$C$1:$E$114,2,0)</f>
        <v>#N/A</v>
      </c>
      <c r="J5386" s="29">
        <f>'Raw data'!K5295</f>
        <v>0</v>
      </c>
      <c r="K5386" s="31">
        <f>'Raw data'!H5295</f>
        <v>0</v>
      </c>
      <c r="L5386" s="26">
        <f t="shared" si="172"/>
        <v>0</v>
      </c>
    </row>
    <row r="5387" spans="2:12">
      <c r="B5387" s="4" t="e">
        <f t="shared" si="171"/>
        <v>#N/A</v>
      </c>
      <c r="C5387" s="4">
        <f>'Raw data'!E4963</f>
        <v>0</v>
      </c>
      <c r="D5387" s="29" t="e">
        <f>VLOOKUP(C5387,'점포코드 '!A:B,2,0)</f>
        <v>#N/A</v>
      </c>
      <c r="E5387" s="30">
        <f>'Raw data'!P4963</f>
        <v>0</v>
      </c>
      <c r="F5387" s="29" t="e">
        <f>VLOOKUP(E5387,'점포코드 '!A:B,2,0)</f>
        <v>#N/A</v>
      </c>
      <c r="G5387" s="46">
        <f>'Raw data'!F5296</f>
        <v>0</v>
      </c>
      <c r="H5387" s="4">
        <f>'Raw data'!G5296</f>
        <v>0</v>
      </c>
      <c r="I5387" s="29" t="e">
        <f>VLOOKUP(G5387,제품명!$C$1:$E$114,2,0)</f>
        <v>#N/A</v>
      </c>
      <c r="J5387" s="29">
        <f>'Raw data'!K5296</f>
        <v>0</v>
      </c>
      <c r="K5387" s="31">
        <f>'Raw data'!H5296</f>
        <v>0</v>
      </c>
      <c r="L5387" s="26">
        <f t="shared" si="172"/>
        <v>0</v>
      </c>
    </row>
    <row r="5388" spans="2:12">
      <c r="B5388" s="4" t="e">
        <f t="shared" si="171"/>
        <v>#N/A</v>
      </c>
      <c r="C5388" s="4">
        <f>'Raw data'!E4964</f>
        <v>0</v>
      </c>
      <c r="D5388" s="29" t="e">
        <f>VLOOKUP(C5388,'점포코드 '!A:B,2,0)</f>
        <v>#N/A</v>
      </c>
      <c r="E5388" s="30">
        <f>'Raw data'!P4964</f>
        <v>0</v>
      </c>
      <c r="F5388" s="29" t="e">
        <f>VLOOKUP(E5388,'점포코드 '!A:B,2,0)</f>
        <v>#N/A</v>
      </c>
      <c r="G5388" s="46">
        <f>'Raw data'!F5297</f>
        <v>0</v>
      </c>
      <c r="H5388" s="4">
        <f>'Raw data'!G5297</f>
        <v>0</v>
      </c>
      <c r="I5388" s="29" t="e">
        <f>VLOOKUP(G5388,제품명!$C$1:$E$114,2,0)</f>
        <v>#N/A</v>
      </c>
      <c r="J5388" s="29">
        <f>'Raw data'!K5297</f>
        <v>0</v>
      </c>
      <c r="K5388" s="31">
        <f>'Raw data'!H5297</f>
        <v>0</v>
      </c>
      <c r="L5388" s="26">
        <f t="shared" si="172"/>
        <v>0</v>
      </c>
    </row>
    <row r="5389" spans="2:12">
      <c r="B5389" s="4" t="e">
        <f t="shared" si="171"/>
        <v>#N/A</v>
      </c>
      <c r="C5389" s="4">
        <f>'Raw data'!E4965</f>
        <v>0</v>
      </c>
      <c r="D5389" s="29" t="e">
        <f>VLOOKUP(C5389,'점포코드 '!A:B,2,0)</f>
        <v>#N/A</v>
      </c>
      <c r="E5389" s="30">
        <f>'Raw data'!P4965</f>
        <v>0</v>
      </c>
      <c r="F5389" s="29" t="e">
        <f>VLOOKUP(E5389,'점포코드 '!A:B,2,0)</f>
        <v>#N/A</v>
      </c>
      <c r="G5389" s="46">
        <f>'Raw data'!F5298</f>
        <v>0</v>
      </c>
      <c r="H5389" s="4">
        <f>'Raw data'!G5298</f>
        <v>0</v>
      </c>
      <c r="I5389" s="29" t="e">
        <f>VLOOKUP(G5389,제품명!$C$1:$E$114,2,0)</f>
        <v>#N/A</v>
      </c>
      <c r="J5389" s="29">
        <f>'Raw data'!K5298</f>
        <v>0</v>
      </c>
      <c r="K5389" s="31">
        <f>'Raw data'!H5298</f>
        <v>0</v>
      </c>
      <c r="L5389" s="26">
        <f t="shared" si="172"/>
        <v>0</v>
      </c>
    </row>
    <row r="5390" spans="2:12">
      <c r="B5390" s="4" t="e">
        <f t="shared" si="171"/>
        <v>#N/A</v>
      </c>
      <c r="C5390" s="4">
        <f>'Raw data'!E4966</f>
        <v>0</v>
      </c>
      <c r="D5390" s="29" t="e">
        <f>VLOOKUP(C5390,'점포코드 '!A:B,2,0)</f>
        <v>#N/A</v>
      </c>
      <c r="E5390" s="30">
        <f>'Raw data'!P4966</f>
        <v>0</v>
      </c>
      <c r="F5390" s="29" t="e">
        <f>VLOOKUP(E5390,'점포코드 '!A:B,2,0)</f>
        <v>#N/A</v>
      </c>
      <c r="G5390" s="46">
        <f>'Raw data'!F5299</f>
        <v>0</v>
      </c>
      <c r="H5390" s="4">
        <f>'Raw data'!G5299</f>
        <v>0</v>
      </c>
      <c r="I5390" s="29" t="e">
        <f>VLOOKUP(G5390,제품명!$C$1:$E$114,2,0)</f>
        <v>#N/A</v>
      </c>
      <c r="J5390" s="29">
        <f>'Raw data'!K5299</f>
        <v>0</v>
      </c>
      <c r="K5390" s="31">
        <f>'Raw data'!H5299</f>
        <v>0</v>
      </c>
      <c r="L5390" s="26">
        <f t="shared" si="172"/>
        <v>0</v>
      </c>
    </row>
    <row r="5391" spans="2:12">
      <c r="B5391" s="4" t="e">
        <f t="shared" si="171"/>
        <v>#N/A</v>
      </c>
      <c r="C5391" s="4">
        <f>'Raw data'!E4967</f>
        <v>0</v>
      </c>
      <c r="D5391" s="29" t="e">
        <f>VLOOKUP(C5391,'점포코드 '!A:B,2,0)</f>
        <v>#N/A</v>
      </c>
      <c r="E5391" s="30">
        <f>'Raw data'!P4967</f>
        <v>0</v>
      </c>
      <c r="F5391" s="29" t="e">
        <f>VLOOKUP(E5391,'점포코드 '!A:B,2,0)</f>
        <v>#N/A</v>
      </c>
      <c r="G5391" s="46">
        <f>'Raw data'!F5300</f>
        <v>0</v>
      </c>
      <c r="H5391" s="4">
        <f>'Raw data'!G5300</f>
        <v>0</v>
      </c>
      <c r="I5391" s="29" t="e">
        <f>VLOOKUP(G5391,제품명!$C$1:$E$114,2,0)</f>
        <v>#N/A</v>
      </c>
      <c r="J5391" s="29">
        <f>'Raw data'!K5300</f>
        <v>0</v>
      </c>
      <c r="K5391" s="31">
        <f>'Raw data'!H5300</f>
        <v>0</v>
      </c>
      <c r="L5391" s="26">
        <f t="shared" si="172"/>
        <v>0</v>
      </c>
    </row>
    <row r="5392" spans="2:12">
      <c r="B5392" s="4" t="e">
        <f t="shared" si="171"/>
        <v>#N/A</v>
      </c>
      <c r="C5392" s="4">
        <f>'Raw data'!E4968</f>
        <v>0</v>
      </c>
      <c r="D5392" s="29" t="e">
        <f>VLOOKUP(C5392,'점포코드 '!A:B,2,0)</f>
        <v>#N/A</v>
      </c>
      <c r="E5392" s="30">
        <f>'Raw data'!P4968</f>
        <v>0</v>
      </c>
      <c r="F5392" s="29" t="e">
        <f>VLOOKUP(E5392,'점포코드 '!A:B,2,0)</f>
        <v>#N/A</v>
      </c>
      <c r="G5392" s="46">
        <f>'Raw data'!F5301</f>
        <v>0</v>
      </c>
      <c r="H5392" s="4">
        <f>'Raw data'!G5301</f>
        <v>0</v>
      </c>
      <c r="I5392" s="29" t="e">
        <f>VLOOKUP(G5392,제품명!$C$1:$E$114,2,0)</f>
        <v>#N/A</v>
      </c>
      <c r="J5392" s="29">
        <f>'Raw data'!K5301</f>
        <v>0</v>
      </c>
      <c r="K5392" s="31">
        <f>'Raw data'!H5301</f>
        <v>0</v>
      </c>
      <c r="L5392" s="26">
        <f t="shared" si="172"/>
        <v>0</v>
      </c>
    </row>
    <row r="5393" spans="2:12">
      <c r="B5393" s="4" t="e">
        <f t="shared" si="171"/>
        <v>#N/A</v>
      </c>
      <c r="C5393" s="4">
        <f>'Raw data'!E4969</f>
        <v>0</v>
      </c>
      <c r="D5393" s="29" t="e">
        <f>VLOOKUP(C5393,'점포코드 '!A:B,2,0)</f>
        <v>#N/A</v>
      </c>
      <c r="E5393" s="30">
        <f>'Raw data'!P4969</f>
        <v>0</v>
      </c>
      <c r="F5393" s="29" t="e">
        <f>VLOOKUP(E5393,'점포코드 '!A:B,2,0)</f>
        <v>#N/A</v>
      </c>
      <c r="G5393" s="46">
        <f>'Raw data'!F5302</f>
        <v>0</v>
      </c>
      <c r="H5393" s="4">
        <f>'Raw data'!G5302</f>
        <v>0</v>
      </c>
      <c r="I5393" s="29" t="e">
        <f>VLOOKUP(G5393,제품명!$C$1:$E$114,2,0)</f>
        <v>#N/A</v>
      </c>
      <c r="J5393" s="29">
        <f>'Raw data'!K5302</f>
        <v>0</v>
      </c>
      <c r="K5393" s="31">
        <f>'Raw data'!H5302</f>
        <v>0</v>
      </c>
      <c r="L5393" s="26">
        <f t="shared" si="172"/>
        <v>0</v>
      </c>
    </row>
    <row r="5394" spans="2:12">
      <c r="B5394" s="4" t="e">
        <f t="shared" si="171"/>
        <v>#N/A</v>
      </c>
      <c r="C5394" s="4">
        <f>'Raw data'!E4970</f>
        <v>0</v>
      </c>
      <c r="D5394" s="29" t="e">
        <f>VLOOKUP(C5394,'점포코드 '!A:B,2,0)</f>
        <v>#N/A</v>
      </c>
      <c r="E5394" s="30">
        <f>'Raw data'!P4970</f>
        <v>0</v>
      </c>
      <c r="F5394" s="29" t="e">
        <f>VLOOKUP(E5394,'점포코드 '!A:B,2,0)</f>
        <v>#N/A</v>
      </c>
      <c r="G5394" s="46">
        <f>'Raw data'!F5303</f>
        <v>0</v>
      </c>
      <c r="H5394" s="4">
        <f>'Raw data'!G5303</f>
        <v>0</v>
      </c>
      <c r="I5394" s="29" t="e">
        <f>VLOOKUP(G5394,제품명!$C$1:$E$114,2,0)</f>
        <v>#N/A</v>
      </c>
      <c r="J5394" s="29">
        <f>'Raw data'!K5303</f>
        <v>0</v>
      </c>
      <c r="K5394" s="31">
        <f>'Raw data'!H5303</f>
        <v>0</v>
      </c>
      <c r="L5394" s="26">
        <f t="shared" si="172"/>
        <v>0</v>
      </c>
    </row>
    <row r="5395" spans="2:12">
      <c r="B5395" s="4" t="e">
        <f t="shared" si="171"/>
        <v>#N/A</v>
      </c>
      <c r="C5395" s="4">
        <f>'Raw data'!E4971</f>
        <v>0</v>
      </c>
      <c r="D5395" s="29" t="e">
        <f>VLOOKUP(C5395,'점포코드 '!A:B,2,0)</f>
        <v>#N/A</v>
      </c>
      <c r="E5395" s="30">
        <f>'Raw data'!P4971</f>
        <v>0</v>
      </c>
      <c r="F5395" s="29" t="e">
        <f>VLOOKUP(E5395,'점포코드 '!A:B,2,0)</f>
        <v>#N/A</v>
      </c>
      <c r="G5395" s="46">
        <f>'Raw data'!F5304</f>
        <v>0</v>
      </c>
      <c r="H5395" s="4">
        <f>'Raw data'!G5304</f>
        <v>0</v>
      </c>
      <c r="I5395" s="29" t="e">
        <f>VLOOKUP(G5395,제품명!$C$1:$E$114,2,0)</f>
        <v>#N/A</v>
      </c>
      <c r="J5395" s="29">
        <f>'Raw data'!K5304</f>
        <v>0</v>
      </c>
      <c r="K5395" s="31">
        <f>'Raw data'!H5304</f>
        <v>0</v>
      </c>
      <c r="L5395" s="26">
        <f t="shared" si="172"/>
        <v>0</v>
      </c>
    </row>
    <row r="5396" spans="2:12">
      <c r="B5396" s="4" t="e">
        <f t="shared" si="171"/>
        <v>#N/A</v>
      </c>
      <c r="C5396" s="4">
        <f>'Raw data'!E4972</f>
        <v>0</v>
      </c>
      <c r="D5396" s="29" t="e">
        <f>VLOOKUP(C5396,'점포코드 '!A:B,2,0)</f>
        <v>#N/A</v>
      </c>
      <c r="E5396" s="30">
        <f>'Raw data'!P4972</f>
        <v>0</v>
      </c>
      <c r="F5396" s="29" t="e">
        <f>VLOOKUP(E5396,'점포코드 '!A:B,2,0)</f>
        <v>#N/A</v>
      </c>
      <c r="G5396" s="46">
        <f>'Raw data'!F5305</f>
        <v>0</v>
      </c>
      <c r="H5396" s="4">
        <f>'Raw data'!G5305</f>
        <v>0</v>
      </c>
      <c r="I5396" s="29" t="e">
        <f>VLOOKUP(G5396,제품명!$C$1:$E$114,2,0)</f>
        <v>#N/A</v>
      </c>
      <c r="J5396" s="29">
        <f>'Raw data'!K5305</f>
        <v>0</v>
      </c>
      <c r="K5396" s="31">
        <f>'Raw data'!H5305</f>
        <v>0</v>
      </c>
      <c r="L5396" s="26">
        <f t="shared" si="172"/>
        <v>0</v>
      </c>
    </row>
    <row r="5397" spans="2:12">
      <c r="B5397" s="4" t="e">
        <f t="shared" si="171"/>
        <v>#N/A</v>
      </c>
      <c r="C5397" s="4">
        <f>'Raw data'!E4973</f>
        <v>0</v>
      </c>
      <c r="D5397" s="29" t="e">
        <f>VLOOKUP(C5397,'점포코드 '!A:B,2,0)</f>
        <v>#N/A</v>
      </c>
      <c r="E5397" s="30">
        <f>'Raw data'!P4973</f>
        <v>0</v>
      </c>
      <c r="F5397" s="29" t="e">
        <f>VLOOKUP(E5397,'점포코드 '!A:B,2,0)</f>
        <v>#N/A</v>
      </c>
      <c r="G5397" s="46">
        <f>'Raw data'!F5306</f>
        <v>0</v>
      </c>
      <c r="H5397" s="4">
        <f>'Raw data'!G5306</f>
        <v>0</v>
      </c>
      <c r="I5397" s="29" t="e">
        <f>VLOOKUP(G5397,제품명!$C$1:$E$114,2,0)</f>
        <v>#N/A</v>
      </c>
      <c r="J5397" s="29">
        <f>'Raw data'!K5306</f>
        <v>0</v>
      </c>
      <c r="K5397" s="31">
        <f>'Raw data'!H5306</f>
        <v>0</v>
      </c>
      <c r="L5397" s="26">
        <f t="shared" si="172"/>
        <v>0</v>
      </c>
    </row>
    <row r="5398" spans="2:12">
      <c r="B5398" s="4" t="e">
        <f t="shared" si="171"/>
        <v>#N/A</v>
      </c>
      <c r="C5398" s="4">
        <f>'Raw data'!E4974</f>
        <v>0</v>
      </c>
      <c r="D5398" s="29" t="e">
        <f>VLOOKUP(C5398,'점포코드 '!A:B,2,0)</f>
        <v>#N/A</v>
      </c>
      <c r="E5398" s="30">
        <f>'Raw data'!P4974</f>
        <v>0</v>
      </c>
      <c r="F5398" s="29" t="e">
        <f>VLOOKUP(E5398,'점포코드 '!A:B,2,0)</f>
        <v>#N/A</v>
      </c>
      <c r="G5398" s="46">
        <f>'Raw data'!F5307</f>
        <v>0</v>
      </c>
      <c r="H5398" s="4">
        <f>'Raw data'!G5307</f>
        <v>0</v>
      </c>
      <c r="I5398" s="29" t="e">
        <f>VLOOKUP(G5398,제품명!$C$1:$E$114,2,0)</f>
        <v>#N/A</v>
      </c>
      <c r="J5398" s="29">
        <f>'Raw data'!K5307</f>
        <v>0</v>
      </c>
      <c r="K5398" s="31">
        <f>'Raw data'!H5307</f>
        <v>0</v>
      </c>
      <c r="L5398" s="26">
        <f t="shared" si="172"/>
        <v>0</v>
      </c>
    </row>
    <row r="5399" spans="2:12">
      <c r="B5399" s="4" t="e">
        <f t="shared" si="171"/>
        <v>#N/A</v>
      </c>
      <c r="C5399" s="4">
        <f>'Raw data'!E4975</f>
        <v>0</v>
      </c>
      <c r="D5399" s="29" t="e">
        <f>VLOOKUP(C5399,'점포코드 '!A:B,2,0)</f>
        <v>#N/A</v>
      </c>
      <c r="E5399" s="30">
        <f>'Raw data'!P4975</f>
        <v>0</v>
      </c>
      <c r="F5399" s="29" t="e">
        <f>VLOOKUP(E5399,'점포코드 '!A:B,2,0)</f>
        <v>#N/A</v>
      </c>
      <c r="G5399" s="46">
        <f>'Raw data'!F5308</f>
        <v>0</v>
      </c>
      <c r="H5399" s="4">
        <f>'Raw data'!G5308</f>
        <v>0</v>
      </c>
      <c r="I5399" s="29" t="e">
        <f>VLOOKUP(G5399,제품명!$C$1:$E$114,2,0)</f>
        <v>#N/A</v>
      </c>
      <c r="J5399" s="29">
        <f>'Raw data'!K5308</f>
        <v>0</v>
      </c>
      <c r="K5399" s="31">
        <f>'Raw data'!H5308</f>
        <v>0</v>
      </c>
      <c r="L5399" s="26">
        <f t="shared" si="172"/>
        <v>0</v>
      </c>
    </row>
    <row r="5400" spans="2:12">
      <c r="B5400" s="4" t="e">
        <f t="shared" si="171"/>
        <v>#N/A</v>
      </c>
      <c r="C5400" s="4">
        <f>'Raw data'!E4976</f>
        <v>0</v>
      </c>
      <c r="D5400" s="29" t="e">
        <f>VLOOKUP(C5400,'점포코드 '!A:B,2,0)</f>
        <v>#N/A</v>
      </c>
      <c r="E5400" s="30">
        <f>'Raw data'!P4976</f>
        <v>0</v>
      </c>
      <c r="F5400" s="29" t="e">
        <f>VLOOKUP(E5400,'점포코드 '!A:B,2,0)</f>
        <v>#N/A</v>
      </c>
      <c r="G5400" s="46">
        <f>'Raw data'!F5309</f>
        <v>0</v>
      </c>
      <c r="H5400" s="4">
        <f>'Raw data'!G5309</f>
        <v>0</v>
      </c>
      <c r="I5400" s="29" t="e">
        <f>VLOOKUP(G5400,제품명!$C$1:$E$114,2,0)</f>
        <v>#N/A</v>
      </c>
      <c r="J5400" s="29">
        <f>'Raw data'!K5309</f>
        <v>0</v>
      </c>
      <c r="K5400" s="31">
        <f>'Raw data'!H5309</f>
        <v>0</v>
      </c>
      <c r="L5400" s="26">
        <f t="shared" si="172"/>
        <v>0</v>
      </c>
    </row>
    <row r="5401" spans="2:12">
      <c r="B5401" s="4" t="e">
        <f t="shared" si="171"/>
        <v>#N/A</v>
      </c>
      <c r="C5401" s="4">
        <f>'Raw data'!E4977</f>
        <v>0</v>
      </c>
      <c r="D5401" s="29" t="e">
        <f>VLOOKUP(C5401,'점포코드 '!A:B,2,0)</f>
        <v>#N/A</v>
      </c>
      <c r="E5401" s="30">
        <f>'Raw data'!P4977</f>
        <v>0</v>
      </c>
      <c r="F5401" s="29" t="e">
        <f>VLOOKUP(E5401,'점포코드 '!A:B,2,0)</f>
        <v>#N/A</v>
      </c>
      <c r="G5401" s="46">
        <f>'Raw data'!F5310</f>
        <v>0</v>
      </c>
      <c r="H5401" s="4">
        <f>'Raw data'!G5310</f>
        <v>0</v>
      </c>
      <c r="I5401" s="29" t="e">
        <f>VLOOKUP(G5401,제품명!$C$1:$E$114,2,0)</f>
        <v>#N/A</v>
      </c>
      <c r="J5401" s="29">
        <f>'Raw data'!K5310</f>
        <v>0</v>
      </c>
      <c r="K5401" s="31">
        <f>'Raw data'!H5310</f>
        <v>0</v>
      </c>
      <c r="L5401" s="26">
        <f t="shared" si="172"/>
        <v>0</v>
      </c>
    </row>
    <row r="5402" spans="2:12">
      <c r="B5402" s="4" t="e">
        <f t="shared" si="171"/>
        <v>#N/A</v>
      </c>
      <c r="C5402" s="4">
        <f>'Raw data'!E4978</f>
        <v>0</v>
      </c>
      <c r="D5402" s="29" t="e">
        <f>VLOOKUP(C5402,'점포코드 '!A:B,2,0)</f>
        <v>#N/A</v>
      </c>
      <c r="E5402" s="30">
        <f>'Raw data'!P4978</f>
        <v>0</v>
      </c>
      <c r="F5402" s="29" t="e">
        <f>VLOOKUP(E5402,'점포코드 '!A:B,2,0)</f>
        <v>#N/A</v>
      </c>
      <c r="G5402" s="46">
        <f>'Raw data'!F5311</f>
        <v>0</v>
      </c>
      <c r="H5402" s="4">
        <f>'Raw data'!G5311</f>
        <v>0</v>
      </c>
      <c r="I5402" s="29" t="e">
        <f>VLOOKUP(G5402,제품명!$C$1:$E$114,2,0)</f>
        <v>#N/A</v>
      </c>
      <c r="J5402" s="29">
        <f>'Raw data'!K5311</f>
        <v>0</v>
      </c>
      <c r="K5402" s="31">
        <f>'Raw data'!H5311</f>
        <v>0</v>
      </c>
      <c r="L5402" s="26">
        <f t="shared" si="172"/>
        <v>0</v>
      </c>
    </row>
    <row r="5403" spans="2:12">
      <c r="B5403" s="4" t="e">
        <f t="shared" si="171"/>
        <v>#N/A</v>
      </c>
      <c r="C5403" s="4">
        <f>'Raw data'!E4979</f>
        <v>0</v>
      </c>
      <c r="D5403" s="29" t="e">
        <f>VLOOKUP(C5403,'점포코드 '!A:B,2,0)</f>
        <v>#N/A</v>
      </c>
      <c r="E5403" s="30">
        <f>'Raw data'!P4979</f>
        <v>0</v>
      </c>
      <c r="F5403" s="29" t="e">
        <f>VLOOKUP(E5403,'점포코드 '!A:B,2,0)</f>
        <v>#N/A</v>
      </c>
      <c r="G5403" s="46">
        <f>'Raw data'!F5312</f>
        <v>0</v>
      </c>
      <c r="H5403" s="4">
        <f>'Raw data'!G5312</f>
        <v>0</v>
      </c>
      <c r="I5403" s="29" t="e">
        <f>VLOOKUP(G5403,제품명!$C$1:$E$114,2,0)</f>
        <v>#N/A</v>
      </c>
      <c r="J5403" s="29">
        <f>'Raw data'!K5312</f>
        <v>0</v>
      </c>
      <c r="K5403" s="31">
        <f>'Raw data'!H5312</f>
        <v>0</v>
      </c>
      <c r="L5403" s="26">
        <f t="shared" si="172"/>
        <v>0</v>
      </c>
    </row>
    <row r="5404" spans="2:12">
      <c r="B5404" s="4" t="e">
        <f t="shared" si="171"/>
        <v>#N/A</v>
      </c>
      <c r="C5404" s="4">
        <f>'Raw data'!E4980</f>
        <v>0</v>
      </c>
      <c r="D5404" s="29" t="e">
        <f>VLOOKUP(C5404,'점포코드 '!A:B,2,0)</f>
        <v>#N/A</v>
      </c>
      <c r="E5404" s="30">
        <f>'Raw data'!P4980</f>
        <v>0</v>
      </c>
      <c r="F5404" s="29" t="e">
        <f>VLOOKUP(E5404,'점포코드 '!A:B,2,0)</f>
        <v>#N/A</v>
      </c>
      <c r="G5404" s="46">
        <f>'Raw data'!F5313</f>
        <v>0</v>
      </c>
      <c r="H5404" s="4">
        <f>'Raw data'!G5313</f>
        <v>0</v>
      </c>
      <c r="I5404" s="29" t="e">
        <f>VLOOKUP(G5404,제품명!$C$1:$E$114,2,0)</f>
        <v>#N/A</v>
      </c>
      <c r="J5404" s="29">
        <f>'Raw data'!K5313</f>
        <v>0</v>
      </c>
      <c r="K5404" s="31">
        <f>'Raw data'!H5313</f>
        <v>0</v>
      </c>
      <c r="L5404" s="26">
        <f t="shared" si="172"/>
        <v>0</v>
      </c>
    </row>
    <row r="5405" spans="2:12">
      <c r="B5405" s="4" t="e">
        <f t="shared" si="171"/>
        <v>#N/A</v>
      </c>
      <c r="C5405" s="4">
        <f>'Raw data'!E4981</f>
        <v>0</v>
      </c>
      <c r="D5405" s="29" t="e">
        <f>VLOOKUP(C5405,'점포코드 '!A:B,2,0)</f>
        <v>#N/A</v>
      </c>
      <c r="E5405" s="30">
        <f>'Raw data'!P4981</f>
        <v>0</v>
      </c>
      <c r="F5405" s="29" t="e">
        <f>VLOOKUP(E5405,'점포코드 '!A:B,2,0)</f>
        <v>#N/A</v>
      </c>
      <c r="G5405" s="46">
        <f>'Raw data'!F5314</f>
        <v>0</v>
      </c>
      <c r="H5405" s="4">
        <f>'Raw data'!G5314</f>
        <v>0</v>
      </c>
      <c r="I5405" s="29" t="e">
        <f>VLOOKUP(G5405,제품명!$C$1:$E$114,2,0)</f>
        <v>#N/A</v>
      </c>
      <c r="J5405" s="29">
        <f>'Raw data'!K5314</f>
        <v>0</v>
      </c>
      <c r="K5405" s="31">
        <f>'Raw data'!H5314</f>
        <v>0</v>
      </c>
      <c r="L5405" s="26">
        <f t="shared" si="172"/>
        <v>0</v>
      </c>
    </row>
    <row r="5406" spans="2:12">
      <c r="B5406" s="4" t="e">
        <f t="shared" si="171"/>
        <v>#N/A</v>
      </c>
      <c r="C5406" s="4">
        <f>'Raw data'!E4982</f>
        <v>0</v>
      </c>
      <c r="D5406" s="29" t="e">
        <f>VLOOKUP(C5406,'점포코드 '!A:B,2,0)</f>
        <v>#N/A</v>
      </c>
      <c r="E5406" s="30">
        <f>'Raw data'!P4982</f>
        <v>0</v>
      </c>
      <c r="F5406" s="29" t="e">
        <f>VLOOKUP(E5406,'점포코드 '!A:B,2,0)</f>
        <v>#N/A</v>
      </c>
      <c r="G5406" s="46">
        <f>'Raw data'!F5315</f>
        <v>0</v>
      </c>
      <c r="H5406" s="4">
        <f>'Raw data'!G5315</f>
        <v>0</v>
      </c>
      <c r="I5406" s="29" t="e">
        <f>VLOOKUP(G5406,제품명!$C$1:$E$114,2,0)</f>
        <v>#N/A</v>
      </c>
      <c r="J5406" s="29">
        <f>'Raw data'!K5315</f>
        <v>0</v>
      </c>
      <c r="K5406" s="31">
        <f>'Raw data'!H5315</f>
        <v>0</v>
      </c>
      <c r="L5406" s="26">
        <f t="shared" si="172"/>
        <v>0</v>
      </c>
    </row>
    <row r="5407" spans="2:12">
      <c r="B5407" s="4" t="e">
        <f t="shared" si="171"/>
        <v>#N/A</v>
      </c>
      <c r="C5407" s="4">
        <f>'Raw data'!E4983</f>
        <v>0</v>
      </c>
      <c r="D5407" s="29" t="e">
        <f>VLOOKUP(C5407,'점포코드 '!A:B,2,0)</f>
        <v>#N/A</v>
      </c>
      <c r="E5407" s="30">
        <f>'Raw data'!P4983</f>
        <v>0</v>
      </c>
      <c r="F5407" s="29" t="e">
        <f>VLOOKUP(E5407,'점포코드 '!A:B,2,0)</f>
        <v>#N/A</v>
      </c>
      <c r="G5407" s="46">
        <f>'Raw data'!F5316</f>
        <v>0</v>
      </c>
      <c r="H5407" s="4">
        <f>'Raw data'!G5316</f>
        <v>0</v>
      </c>
      <c r="I5407" s="29" t="e">
        <f>VLOOKUP(G5407,제품명!$C$1:$E$114,2,0)</f>
        <v>#N/A</v>
      </c>
      <c r="J5407" s="29">
        <f>'Raw data'!K5316</f>
        <v>0</v>
      </c>
      <c r="K5407" s="31">
        <f>'Raw data'!H5316</f>
        <v>0</v>
      </c>
      <c r="L5407" s="26">
        <f t="shared" si="172"/>
        <v>0</v>
      </c>
    </row>
    <row r="5408" spans="2:12">
      <c r="B5408" s="4" t="e">
        <f t="shared" si="171"/>
        <v>#N/A</v>
      </c>
      <c r="C5408" s="4">
        <f>'Raw data'!E4984</f>
        <v>0</v>
      </c>
      <c r="D5408" s="29" t="e">
        <f>VLOOKUP(C5408,'점포코드 '!A:B,2,0)</f>
        <v>#N/A</v>
      </c>
      <c r="E5408" s="30">
        <f>'Raw data'!P4984</f>
        <v>0</v>
      </c>
      <c r="F5408" s="29" t="e">
        <f>VLOOKUP(E5408,'점포코드 '!A:B,2,0)</f>
        <v>#N/A</v>
      </c>
      <c r="G5408" s="46">
        <f>'Raw data'!F5317</f>
        <v>0</v>
      </c>
      <c r="H5408" s="4">
        <f>'Raw data'!G5317</f>
        <v>0</v>
      </c>
      <c r="I5408" s="29" t="e">
        <f>VLOOKUP(G5408,제품명!$C$1:$E$114,2,0)</f>
        <v>#N/A</v>
      </c>
      <c r="J5408" s="29">
        <f>'Raw data'!K5317</f>
        <v>0</v>
      </c>
      <c r="K5408" s="31">
        <f>'Raw data'!H5317</f>
        <v>0</v>
      </c>
      <c r="L5408" s="26">
        <f t="shared" si="172"/>
        <v>0</v>
      </c>
    </row>
    <row r="5409" spans="2:12">
      <c r="B5409" s="4" t="e">
        <f t="shared" si="171"/>
        <v>#N/A</v>
      </c>
      <c r="C5409" s="4">
        <f>'Raw data'!E4985</f>
        <v>0</v>
      </c>
      <c r="D5409" s="29" t="e">
        <f>VLOOKUP(C5409,'점포코드 '!A:B,2,0)</f>
        <v>#N/A</v>
      </c>
      <c r="E5409" s="30">
        <f>'Raw data'!P4985</f>
        <v>0</v>
      </c>
      <c r="F5409" s="29" t="e">
        <f>VLOOKUP(E5409,'점포코드 '!A:B,2,0)</f>
        <v>#N/A</v>
      </c>
      <c r="G5409" s="46">
        <f>'Raw data'!F5318</f>
        <v>0</v>
      </c>
      <c r="H5409" s="4">
        <f>'Raw data'!G5318</f>
        <v>0</v>
      </c>
      <c r="I5409" s="29" t="e">
        <f>VLOOKUP(G5409,제품명!$C$1:$E$114,2,0)</f>
        <v>#N/A</v>
      </c>
      <c r="J5409" s="29">
        <f>'Raw data'!K5318</f>
        <v>0</v>
      </c>
      <c r="K5409" s="31">
        <f>'Raw data'!H5318</f>
        <v>0</v>
      </c>
      <c r="L5409" s="26">
        <f t="shared" si="172"/>
        <v>0</v>
      </c>
    </row>
    <row r="5410" spans="2:12">
      <c r="B5410" s="4" t="e">
        <f t="shared" si="171"/>
        <v>#N/A</v>
      </c>
      <c r="C5410" s="4">
        <f>'Raw data'!E4986</f>
        <v>0</v>
      </c>
      <c r="D5410" s="29" t="e">
        <f>VLOOKUP(C5410,'점포코드 '!A:B,2,0)</f>
        <v>#N/A</v>
      </c>
      <c r="E5410" s="30">
        <f>'Raw data'!P4986</f>
        <v>0</v>
      </c>
      <c r="F5410" s="29" t="e">
        <f>VLOOKUP(E5410,'점포코드 '!A:B,2,0)</f>
        <v>#N/A</v>
      </c>
      <c r="G5410" s="46">
        <f>'Raw data'!F5319</f>
        <v>0</v>
      </c>
      <c r="H5410" s="4">
        <f>'Raw data'!G5319</f>
        <v>0</v>
      </c>
      <c r="I5410" s="29" t="e">
        <f>VLOOKUP(G5410,제품명!$C$1:$E$114,2,0)</f>
        <v>#N/A</v>
      </c>
      <c r="J5410" s="29">
        <f>'Raw data'!K5319</f>
        <v>0</v>
      </c>
      <c r="K5410" s="31">
        <f>'Raw data'!H5319</f>
        <v>0</v>
      </c>
      <c r="L5410" s="26">
        <f t="shared" si="172"/>
        <v>0</v>
      </c>
    </row>
    <row r="5411" spans="2:12">
      <c r="B5411" s="4" t="e">
        <f t="shared" si="171"/>
        <v>#N/A</v>
      </c>
      <c r="C5411" s="4">
        <f>'Raw data'!E4987</f>
        <v>0</v>
      </c>
      <c r="D5411" s="29" t="e">
        <f>VLOOKUP(C5411,'점포코드 '!A:B,2,0)</f>
        <v>#N/A</v>
      </c>
      <c r="E5411" s="30">
        <f>'Raw data'!P4987</f>
        <v>0</v>
      </c>
      <c r="F5411" s="29" t="e">
        <f>VLOOKUP(E5411,'점포코드 '!A:B,2,0)</f>
        <v>#N/A</v>
      </c>
      <c r="G5411" s="46">
        <f>'Raw data'!F5320</f>
        <v>0</v>
      </c>
      <c r="H5411" s="4">
        <f>'Raw data'!G5320</f>
        <v>0</v>
      </c>
      <c r="I5411" s="29" t="e">
        <f>VLOOKUP(G5411,제품명!$C$1:$E$114,2,0)</f>
        <v>#N/A</v>
      </c>
      <c r="J5411" s="29">
        <f>'Raw data'!K5320</f>
        <v>0</v>
      </c>
      <c r="K5411" s="31">
        <f>'Raw data'!H5320</f>
        <v>0</v>
      </c>
      <c r="L5411" s="26">
        <f t="shared" si="172"/>
        <v>0</v>
      </c>
    </row>
    <row r="5412" spans="2:12">
      <c r="B5412" s="4" t="e">
        <f t="shared" si="171"/>
        <v>#N/A</v>
      </c>
      <c r="C5412" s="4">
        <f>'Raw data'!E4988</f>
        <v>0</v>
      </c>
      <c r="D5412" s="29" t="e">
        <f>VLOOKUP(C5412,'점포코드 '!A:B,2,0)</f>
        <v>#N/A</v>
      </c>
      <c r="E5412" s="30">
        <f>'Raw data'!P4988</f>
        <v>0</v>
      </c>
      <c r="F5412" s="29" t="e">
        <f>VLOOKUP(E5412,'점포코드 '!A:B,2,0)</f>
        <v>#N/A</v>
      </c>
      <c r="G5412" s="46">
        <f>'Raw data'!F5321</f>
        <v>0</v>
      </c>
      <c r="H5412" s="4">
        <f>'Raw data'!G5321</f>
        <v>0</v>
      </c>
      <c r="I5412" s="29" t="e">
        <f>VLOOKUP(G5412,제품명!$C$1:$E$114,2,0)</f>
        <v>#N/A</v>
      </c>
      <c r="J5412" s="29">
        <f>'Raw data'!K5321</f>
        <v>0</v>
      </c>
      <c r="K5412" s="31">
        <f>'Raw data'!H5321</f>
        <v>0</v>
      </c>
      <c r="L5412" s="26">
        <f t="shared" si="172"/>
        <v>0</v>
      </c>
    </row>
    <row r="5413" spans="2:12">
      <c r="B5413" s="4" t="e">
        <f t="shared" si="171"/>
        <v>#N/A</v>
      </c>
      <c r="C5413" s="4">
        <f>'Raw data'!E4989</f>
        <v>0</v>
      </c>
      <c r="D5413" s="29" t="e">
        <f>VLOOKUP(C5413,'점포코드 '!A:B,2,0)</f>
        <v>#N/A</v>
      </c>
      <c r="E5413" s="30">
        <f>'Raw data'!P4989</f>
        <v>0</v>
      </c>
      <c r="F5413" s="29" t="e">
        <f>VLOOKUP(E5413,'점포코드 '!A:B,2,0)</f>
        <v>#N/A</v>
      </c>
      <c r="G5413" s="46">
        <f>'Raw data'!F5322</f>
        <v>0</v>
      </c>
      <c r="H5413" s="4">
        <f>'Raw data'!G5322</f>
        <v>0</v>
      </c>
      <c r="I5413" s="29" t="e">
        <f>VLOOKUP(G5413,제품명!$C$1:$E$114,2,0)</f>
        <v>#N/A</v>
      </c>
      <c r="J5413" s="29">
        <f>'Raw data'!K5322</f>
        <v>0</v>
      </c>
      <c r="K5413" s="31">
        <f>'Raw data'!H5322</f>
        <v>0</v>
      </c>
      <c r="L5413" s="26">
        <f t="shared" si="172"/>
        <v>0</v>
      </c>
    </row>
    <row r="5414" spans="2:12">
      <c r="B5414" s="4" t="e">
        <f t="shared" si="171"/>
        <v>#N/A</v>
      </c>
      <c r="C5414" s="4">
        <f>'Raw data'!E4990</f>
        <v>0</v>
      </c>
      <c r="D5414" s="29" t="e">
        <f>VLOOKUP(C5414,'점포코드 '!A:B,2,0)</f>
        <v>#N/A</v>
      </c>
      <c r="E5414" s="30">
        <f>'Raw data'!P4990</f>
        <v>0</v>
      </c>
      <c r="F5414" s="29" t="e">
        <f>VLOOKUP(E5414,'점포코드 '!A:B,2,0)</f>
        <v>#N/A</v>
      </c>
      <c r="G5414" s="46">
        <f>'Raw data'!F5323</f>
        <v>0</v>
      </c>
      <c r="H5414" s="4">
        <f>'Raw data'!G5323</f>
        <v>0</v>
      </c>
      <c r="I5414" s="29" t="e">
        <f>VLOOKUP(G5414,제품명!$C$1:$E$114,2,0)</f>
        <v>#N/A</v>
      </c>
      <c r="J5414" s="29">
        <f>'Raw data'!K5323</f>
        <v>0</v>
      </c>
      <c r="K5414" s="31">
        <f>'Raw data'!H5323</f>
        <v>0</v>
      </c>
      <c r="L5414" s="26">
        <f t="shared" si="172"/>
        <v>0</v>
      </c>
    </row>
    <row r="5415" spans="2:12">
      <c r="B5415" s="4" t="e">
        <f t="shared" si="171"/>
        <v>#N/A</v>
      </c>
      <c r="C5415" s="4">
        <f>'Raw data'!E4991</f>
        <v>0</v>
      </c>
      <c r="D5415" s="29" t="e">
        <f>VLOOKUP(C5415,'점포코드 '!A:B,2,0)</f>
        <v>#N/A</v>
      </c>
      <c r="E5415" s="30">
        <f>'Raw data'!P4991</f>
        <v>0</v>
      </c>
      <c r="F5415" s="29" t="e">
        <f>VLOOKUP(E5415,'점포코드 '!A:B,2,0)</f>
        <v>#N/A</v>
      </c>
      <c r="G5415" s="46">
        <f>'Raw data'!F5324</f>
        <v>0</v>
      </c>
      <c r="H5415" s="4">
        <f>'Raw data'!G5324</f>
        <v>0</v>
      </c>
      <c r="I5415" s="29" t="e">
        <f>VLOOKUP(G5415,제품명!$C$1:$E$114,2,0)</f>
        <v>#N/A</v>
      </c>
      <c r="J5415" s="29">
        <f>'Raw data'!K5324</f>
        <v>0</v>
      </c>
      <c r="K5415" s="31">
        <f>'Raw data'!H5324</f>
        <v>0</v>
      </c>
      <c r="L5415" s="26">
        <f t="shared" si="172"/>
        <v>0</v>
      </c>
    </row>
    <row r="5416" spans="2:12">
      <c r="B5416" s="4" t="e">
        <f t="shared" si="171"/>
        <v>#N/A</v>
      </c>
      <c r="C5416" s="4">
        <f>'Raw data'!E4992</f>
        <v>0</v>
      </c>
      <c r="D5416" s="29" t="e">
        <f>VLOOKUP(C5416,'점포코드 '!A:B,2,0)</f>
        <v>#N/A</v>
      </c>
      <c r="E5416" s="30">
        <f>'Raw data'!P4992</f>
        <v>0</v>
      </c>
      <c r="F5416" s="29" t="e">
        <f>VLOOKUP(E5416,'점포코드 '!A:B,2,0)</f>
        <v>#N/A</v>
      </c>
      <c r="G5416" s="46">
        <f>'Raw data'!F5325</f>
        <v>0</v>
      </c>
      <c r="H5416" s="4">
        <f>'Raw data'!G5325</f>
        <v>0</v>
      </c>
      <c r="I5416" s="29" t="e">
        <f>VLOOKUP(G5416,제품명!$C$1:$E$114,2,0)</f>
        <v>#N/A</v>
      </c>
      <c r="J5416" s="29">
        <f>'Raw data'!K5325</f>
        <v>0</v>
      </c>
      <c r="K5416" s="31">
        <f>'Raw data'!H5325</f>
        <v>0</v>
      </c>
      <c r="L5416" s="26">
        <f t="shared" si="172"/>
        <v>0</v>
      </c>
    </row>
    <row r="5417" spans="2:12">
      <c r="B5417" s="4" t="e">
        <f t="shared" si="171"/>
        <v>#N/A</v>
      </c>
      <c r="C5417" s="4">
        <f>'Raw data'!E4993</f>
        <v>0</v>
      </c>
      <c r="D5417" s="29" t="e">
        <f>VLOOKUP(C5417,'점포코드 '!A:B,2,0)</f>
        <v>#N/A</v>
      </c>
      <c r="E5417" s="30">
        <f>'Raw data'!P4993</f>
        <v>0</v>
      </c>
      <c r="F5417" s="29" t="e">
        <f>VLOOKUP(E5417,'점포코드 '!A:B,2,0)</f>
        <v>#N/A</v>
      </c>
      <c r="G5417" s="46">
        <f>'Raw data'!F5326</f>
        <v>0</v>
      </c>
      <c r="H5417" s="4">
        <f>'Raw data'!G5326</f>
        <v>0</v>
      </c>
      <c r="I5417" s="29" t="e">
        <f>VLOOKUP(G5417,제품명!$C$1:$E$114,2,0)</f>
        <v>#N/A</v>
      </c>
      <c r="J5417" s="29">
        <f>'Raw data'!K5326</f>
        <v>0</v>
      </c>
      <c r="K5417" s="31">
        <f>'Raw data'!H5326</f>
        <v>0</v>
      </c>
      <c r="L5417" s="26">
        <f t="shared" si="172"/>
        <v>0</v>
      </c>
    </row>
    <row r="5418" spans="2:12">
      <c r="B5418" s="4" t="e">
        <f t="shared" si="171"/>
        <v>#N/A</v>
      </c>
      <c r="C5418" s="4">
        <f>'Raw data'!E4994</f>
        <v>0</v>
      </c>
      <c r="D5418" s="29" t="e">
        <f>VLOOKUP(C5418,'점포코드 '!A:B,2,0)</f>
        <v>#N/A</v>
      </c>
      <c r="E5418" s="30">
        <f>'Raw data'!P4994</f>
        <v>0</v>
      </c>
      <c r="F5418" s="29" t="e">
        <f>VLOOKUP(E5418,'점포코드 '!A:B,2,0)</f>
        <v>#N/A</v>
      </c>
      <c r="G5418" s="46">
        <f>'Raw data'!F5327</f>
        <v>0</v>
      </c>
      <c r="H5418" s="4">
        <f>'Raw data'!G5327</f>
        <v>0</v>
      </c>
      <c r="I5418" s="29" t="e">
        <f>VLOOKUP(G5418,제품명!$C$1:$E$114,2,0)</f>
        <v>#N/A</v>
      </c>
      <c r="J5418" s="29">
        <f>'Raw data'!K5327</f>
        <v>0</v>
      </c>
      <c r="K5418" s="31">
        <f>'Raw data'!H5327</f>
        <v>0</v>
      </c>
      <c r="L5418" s="26">
        <f t="shared" si="172"/>
        <v>0</v>
      </c>
    </row>
    <row r="5419" spans="2:12">
      <c r="B5419" s="4" t="e">
        <f t="shared" si="171"/>
        <v>#N/A</v>
      </c>
      <c r="C5419" s="4">
        <f>'Raw data'!E4995</f>
        <v>0</v>
      </c>
      <c r="D5419" s="29" t="e">
        <f>VLOOKUP(C5419,'점포코드 '!A:B,2,0)</f>
        <v>#N/A</v>
      </c>
      <c r="E5419" s="30">
        <f>'Raw data'!P4995</f>
        <v>0</v>
      </c>
      <c r="F5419" s="29" t="e">
        <f>VLOOKUP(E5419,'점포코드 '!A:B,2,0)</f>
        <v>#N/A</v>
      </c>
      <c r="G5419" s="46">
        <f>'Raw data'!F5328</f>
        <v>0</v>
      </c>
      <c r="H5419" s="4">
        <f>'Raw data'!G5328</f>
        <v>0</v>
      </c>
      <c r="I5419" s="29" t="e">
        <f>VLOOKUP(G5419,제품명!$C$1:$E$114,2,0)</f>
        <v>#N/A</v>
      </c>
      <c r="J5419" s="29">
        <f>'Raw data'!K5328</f>
        <v>0</v>
      </c>
      <c r="K5419" s="31">
        <f>'Raw data'!H5328</f>
        <v>0</v>
      </c>
      <c r="L5419" s="26">
        <f t="shared" si="172"/>
        <v>0</v>
      </c>
    </row>
    <row r="5420" spans="2:12">
      <c r="B5420" s="4" t="e">
        <f t="shared" si="171"/>
        <v>#N/A</v>
      </c>
      <c r="C5420" s="4">
        <f>'Raw data'!E4996</f>
        <v>0</v>
      </c>
      <c r="D5420" s="29" t="e">
        <f>VLOOKUP(C5420,'점포코드 '!A:B,2,0)</f>
        <v>#N/A</v>
      </c>
      <c r="E5420" s="30">
        <f>'Raw data'!P4996</f>
        <v>0</v>
      </c>
      <c r="F5420" s="29" t="e">
        <f>VLOOKUP(E5420,'점포코드 '!A:B,2,0)</f>
        <v>#N/A</v>
      </c>
      <c r="G5420" s="46">
        <f>'Raw data'!F5329</f>
        <v>0</v>
      </c>
      <c r="H5420" s="4">
        <f>'Raw data'!G5329</f>
        <v>0</v>
      </c>
      <c r="I5420" s="29" t="e">
        <f>VLOOKUP(G5420,제품명!$C$1:$E$114,2,0)</f>
        <v>#N/A</v>
      </c>
      <c r="J5420" s="29">
        <f>'Raw data'!K5329</f>
        <v>0</v>
      </c>
      <c r="K5420" s="31">
        <f>'Raw data'!H5329</f>
        <v>0</v>
      </c>
      <c r="L5420" s="26">
        <f t="shared" si="172"/>
        <v>0</v>
      </c>
    </row>
    <row r="5421" spans="2:12">
      <c r="B5421" s="4" t="e">
        <f t="shared" si="171"/>
        <v>#N/A</v>
      </c>
      <c r="C5421" s="4">
        <f>'Raw data'!E4997</f>
        <v>0</v>
      </c>
      <c r="D5421" s="29" t="e">
        <f>VLOOKUP(C5421,'점포코드 '!A:B,2,0)</f>
        <v>#N/A</v>
      </c>
      <c r="E5421" s="30">
        <f>'Raw data'!P4997</f>
        <v>0</v>
      </c>
      <c r="F5421" s="29" t="e">
        <f>VLOOKUP(E5421,'점포코드 '!A:B,2,0)</f>
        <v>#N/A</v>
      </c>
      <c r="G5421" s="46">
        <f>'Raw data'!F5330</f>
        <v>0</v>
      </c>
      <c r="H5421" s="4">
        <f>'Raw data'!G5330</f>
        <v>0</v>
      </c>
      <c r="I5421" s="29" t="e">
        <f>VLOOKUP(G5421,제품명!$C$1:$E$114,2,0)</f>
        <v>#N/A</v>
      </c>
      <c r="J5421" s="29">
        <f>'Raw data'!K5330</f>
        <v>0</v>
      </c>
      <c r="K5421" s="31">
        <f>'Raw data'!H5330</f>
        <v>0</v>
      </c>
      <c r="L5421" s="26">
        <f t="shared" si="172"/>
        <v>0</v>
      </c>
    </row>
    <row r="5422" spans="2:12">
      <c r="B5422" s="4" t="e">
        <f t="shared" si="171"/>
        <v>#N/A</v>
      </c>
      <c r="C5422" s="4">
        <f>'Raw data'!E4998</f>
        <v>0</v>
      </c>
      <c r="D5422" s="29" t="e">
        <f>VLOOKUP(C5422,'점포코드 '!A:B,2,0)</f>
        <v>#N/A</v>
      </c>
      <c r="E5422" s="30">
        <f>'Raw data'!P4998</f>
        <v>0</v>
      </c>
      <c r="F5422" s="29" t="e">
        <f>VLOOKUP(E5422,'점포코드 '!A:B,2,0)</f>
        <v>#N/A</v>
      </c>
      <c r="G5422" s="46">
        <f>'Raw data'!F5331</f>
        <v>0</v>
      </c>
      <c r="H5422" s="4">
        <f>'Raw data'!G5331</f>
        <v>0</v>
      </c>
      <c r="I5422" s="29" t="e">
        <f>VLOOKUP(G5422,제품명!$C$1:$E$114,2,0)</f>
        <v>#N/A</v>
      </c>
      <c r="J5422" s="29">
        <f>'Raw data'!K5331</f>
        <v>0</v>
      </c>
      <c r="K5422" s="31">
        <f>'Raw data'!H5331</f>
        <v>0</v>
      </c>
      <c r="L5422" s="26">
        <f t="shared" si="172"/>
        <v>0</v>
      </c>
    </row>
    <row r="5423" spans="2:12">
      <c r="B5423" s="4" t="e">
        <f t="shared" si="171"/>
        <v>#N/A</v>
      </c>
      <c r="C5423" s="4">
        <f>'Raw data'!E4999</f>
        <v>0</v>
      </c>
      <c r="D5423" s="29" t="e">
        <f>VLOOKUP(C5423,'점포코드 '!A:B,2,0)</f>
        <v>#N/A</v>
      </c>
      <c r="E5423" s="30">
        <f>'Raw data'!P4999</f>
        <v>0</v>
      </c>
      <c r="F5423" s="29" t="e">
        <f>VLOOKUP(E5423,'점포코드 '!A:B,2,0)</f>
        <v>#N/A</v>
      </c>
      <c r="G5423" s="46">
        <f>'Raw data'!F5332</f>
        <v>0</v>
      </c>
      <c r="H5423" s="4">
        <f>'Raw data'!G5332</f>
        <v>0</v>
      </c>
      <c r="I5423" s="29" t="e">
        <f>VLOOKUP(G5423,제품명!$C$1:$E$114,2,0)</f>
        <v>#N/A</v>
      </c>
      <c r="J5423" s="29">
        <f>'Raw data'!K5332</f>
        <v>0</v>
      </c>
      <c r="K5423" s="31">
        <f>'Raw data'!H5332</f>
        <v>0</v>
      </c>
      <c r="L5423" s="26">
        <f t="shared" si="172"/>
        <v>0</v>
      </c>
    </row>
    <row r="5424" spans="2:12">
      <c r="B5424" s="4" t="e">
        <f t="shared" si="171"/>
        <v>#N/A</v>
      </c>
      <c r="C5424" s="4">
        <f>'Raw data'!E5000</f>
        <v>0</v>
      </c>
      <c r="D5424" s="29" t="e">
        <f>VLOOKUP(C5424,'점포코드 '!A:B,2,0)</f>
        <v>#N/A</v>
      </c>
      <c r="E5424" s="30">
        <f>'Raw data'!P5000</f>
        <v>0</v>
      </c>
      <c r="F5424" s="29" t="e">
        <f>VLOOKUP(E5424,'점포코드 '!A:B,2,0)</f>
        <v>#N/A</v>
      </c>
      <c r="G5424" s="46">
        <f>'Raw data'!F5333</f>
        <v>0</v>
      </c>
      <c r="H5424" s="4">
        <f>'Raw data'!G5333</f>
        <v>0</v>
      </c>
      <c r="I5424" s="29" t="e">
        <f>VLOOKUP(G5424,제품명!$C$1:$E$114,2,0)</f>
        <v>#N/A</v>
      </c>
      <c r="J5424" s="29">
        <f>'Raw data'!K5333</f>
        <v>0</v>
      </c>
      <c r="K5424" s="31">
        <f>'Raw data'!H5333</f>
        <v>0</v>
      </c>
      <c r="L5424" s="26">
        <f t="shared" si="172"/>
        <v>0</v>
      </c>
    </row>
    <row r="5425" spans="2:12">
      <c r="B5425" s="4" t="e">
        <f t="shared" si="171"/>
        <v>#N/A</v>
      </c>
      <c r="C5425" s="4">
        <f>'Raw data'!E5001</f>
        <v>0</v>
      </c>
      <c r="D5425" s="29" t="e">
        <f>VLOOKUP(C5425,'점포코드 '!A:B,2,0)</f>
        <v>#N/A</v>
      </c>
      <c r="E5425" s="30">
        <f>'Raw data'!P5001</f>
        <v>0</v>
      </c>
      <c r="F5425" s="29" t="e">
        <f>VLOOKUP(E5425,'점포코드 '!A:B,2,0)</f>
        <v>#N/A</v>
      </c>
      <c r="G5425" s="46">
        <f>'Raw data'!F5334</f>
        <v>0</v>
      </c>
      <c r="H5425" s="4">
        <f>'Raw data'!G5334</f>
        <v>0</v>
      </c>
      <c r="I5425" s="29" t="e">
        <f>VLOOKUP(G5425,제품명!$C$1:$E$114,2,0)</f>
        <v>#N/A</v>
      </c>
      <c r="J5425" s="29">
        <f>'Raw data'!K5334</f>
        <v>0</v>
      </c>
      <c r="K5425" s="31">
        <f>'Raw data'!H5334</f>
        <v>0</v>
      </c>
      <c r="L5425" s="26">
        <f t="shared" si="172"/>
        <v>0</v>
      </c>
    </row>
    <row r="5426" spans="2:12">
      <c r="B5426" s="4" t="e">
        <f t="shared" si="171"/>
        <v>#N/A</v>
      </c>
      <c r="C5426" s="4">
        <f>'Raw data'!E5002</f>
        <v>0</v>
      </c>
      <c r="D5426" s="29" t="e">
        <f>VLOOKUP(C5426,'점포코드 '!A:B,2,0)</f>
        <v>#N/A</v>
      </c>
      <c r="E5426" s="30">
        <f>'Raw data'!P5002</f>
        <v>0</v>
      </c>
      <c r="F5426" s="29" t="e">
        <f>VLOOKUP(E5426,'점포코드 '!A:B,2,0)</f>
        <v>#N/A</v>
      </c>
      <c r="G5426" s="46">
        <f>'Raw data'!F5335</f>
        <v>0</v>
      </c>
      <c r="H5426" s="4">
        <f>'Raw data'!G5335</f>
        <v>0</v>
      </c>
      <c r="I5426" s="29" t="e">
        <f>VLOOKUP(G5426,제품명!$C$1:$E$114,2,0)</f>
        <v>#N/A</v>
      </c>
      <c r="J5426" s="29">
        <f>'Raw data'!K5335</f>
        <v>0</v>
      </c>
      <c r="K5426" s="31">
        <f>'Raw data'!H5335</f>
        <v>0</v>
      </c>
      <c r="L5426" s="26">
        <f t="shared" si="172"/>
        <v>0</v>
      </c>
    </row>
    <row r="5427" spans="2:12">
      <c r="B5427" s="4" t="e">
        <f t="shared" si="171"/>
        <v>#N/A</v>
      </c>
      <c r="C5427" s="4">
        <f>'Raw data'!E5003</f>
        <v>0</v>
      </c>
      <c r="D5427" s="29" t="e">
        <f>VLOOKUP(C5427,'점포코드 '!A:B,2,0)</f>
        <v>#N/A</v>
      </c>
      <c r="E5427" s="30">
        <f>'Raw data'!P5003</f>
        <v>0</v>
      </c>
      <c r="F5427" s="29" t="e">
        <f>VLOOKUP(E5427,'점포코드 '!A:B,2,0)</f>
        <v>#N/A</v>
      </c>
      <c r="G5427" s="46">
        <f>'Raw data'!F5336</f>
        <v>0</v>
      </c>
      <c r="H5427" s="4">
        <f>'Raw data'!G5336</f>
        <v>0</v>
      </c>
      <c r="I5427" s="29" t="e">
        <f>VLOOKUP(G5427,제품명!$C$1:$E$114,2,0)</f>
        <v>#N/A</v>
      </c>
      <c r="J5427" s="29">
        <f>'Raw data'!K5336</f>
        <v>0</v>
      </c>
      <c r="K5427" s="31">
        <f>'Raw data'!H5336</f>
        <v>0</v>
      </c>
      <c r="L5427" s="26">
        <f t="shared" si="172"/>
        <v>0</v>
      </c>
    </row>
    <row r="5428" spans="2:12">
      <c r="B5428" s="4" t="e">
        <f t="shared" si="171"/>
        <v>#N/A</v>
      </c>
      <c r="C5428" s="4">
        <f>'Raw data'!E5004</f>
        <v>0</v>
      </c>
      <c r="D5428" s="29" t="e">
        <f>VLOOKUP(C5428,'점포코드 '!A:B,2,0)</f>
        <v>#N/A</v>
      </c>
      <c r="E5428" s="30">
        <f>'Raw data'!P5004</f>
        <v>0</v>
      </c>
      <c r="F5428" s="29" t="e">
        <f>VLOOKUP(E5428,'점포코드 '!A:B,2,0)</f>
        <v>#N/A</v>
      </c>
      <c r="G5428" s="46">
        <f>'Raw data'!F5337</f>
        <v>0</v>
      </c>
      <c r="H5428" s="4">
        <f>'Raw data'!G5337</f>
        <v>0</v>
      </c>
      <c r="I5428" s="29" t="e">
        <f>VLOOKUP(G5428,제품명!$C$1:$E$114,2,0)</f>
        <v>#N/A</v>
      </c>
      <c r="J5428" s="29">
        <f>'Raw data'!K5337</f>
        <v>0</v>
      </c>
      <c r="K5428" s="31">
        <f>'Raw data'!H5337</f>
        <v>0</v>
      </c>
      <c r="L5428" s="26">
        <f t="shared" si="172"/>
        <v>0</v>
      </c>
    </row>
    <row r="5429" spans="2:12">
      <c r="B5429" s="4" t="e">
        <f t="shared" si="171"/>
        <v>#N/A</v>
      </c>
      <c r="C5429" s="4">
        <f>'Raw data'!E5005</f>
        <v>0</v>
      </c>
      <c r="D5429" s="29" t="e">
        <f>VLOOKUP(C5429,'점포코드 '!A:B,2,0)</f>
        <v>#N/A</v>
      </c>
      <c r="E5429" s="30">
        <f>'Raw data'!P5005</f>
        <v>0</v>
      </c>
      <c r="F5429" s="29" t="e">
        <f>VLOOKUP(E5429,'점포코드 '!A:B,2,0)</f>
        <v>#N/A</v>
      </c>
      <c r="G5429" s="46">
        <f>'Raw data'!F5338</f>
        <v>0</v>
      </c>
      <c r="H5429" s="4">
        <f>'Raw data'!G5338</f>
        <v>0</v>
      </c>
      <c r="I5429" s="29" t="e">
        <f>VLOOKUP(G5429,제품명!$C$1:$E$114,2,0)</f>
        <v>#N/A</v>
      </c>
      <c r="J5429" s="29">
        <f>'Raw data'!K5338</f>
        <v>0</v>
      </c>
      <c r="K5429" s="31">
        <f>'Raw data'!H5338</f>
        <v>0</v>
      </c>
      <c r="L5429" s="26">
        <f t="shared" si="172"/>
        <v>0</v>
      </c>
    </row>
    <row r="5430" spans="2:12">
      <c r="B5430" s="4" t="e">
        <f t="shared" si="171"/>
        <v>#N/A</v>
      </c>
      <c r="C5430" s="4">
        <f>'Raw data'!E5006</f>
        <v>0</v>
      </c>
      <c r="D5430" s="29" t="e">
        <f>VLOOKUP(C5430,'점포코드 '!A:B,2,0)</f>
        <v>#N/A</v>
      </c>
      <c r="E5430" s="30">
        <f>'Raw data'!P5006</f>
        <v>0</v>
      </c>
      <c r="F5430" s="29" t="e">
        <f>VLOOKUP(E5430,'점포코드 '!A:B,2,0)</f>
        <v>#N/A</v>
      </c>
      <c r="G5430" s="46">
        <f>'Raw data'!F5339</f>
        <v>0</v>
      </c>
      <c r="H5430" s="4">
        <f>'Raw data'!G5339</f>
        <v>0</v>
      </c>
      <c r="I5430" s="29" t="e">
        <f>VLOOKUP(G5430,제품명!$C$1:$E$114,2,0)</f>
        <v>#N/A</v>
      </c>
      <c r="J5430" s="29">
        <f>'Raw data'!K5339</f>
        <v>0</v>
      </c>
      <c r="K5430" s="31">
        <f>'Raw data'!H5339</f>
        <v>0</v>
      </c>
      <c r="L5430" s="26">
        <f t="shared" si="172"/>
        <v>0</v>
      </c>
    </row>
    <row r="5431" spans="2:12">
      <c r="B5431" s="4" t="e">
        <f t="shared" si="171"/>
        <v>#N/A</v>
      </c>
      <c r="C5431" s="4">
        <f>'Raw data'!E5007</f>
        <v>0</v>
      </c>
      <c r="D5431" s="29" t="e">
        <f>VLOOKUP(C5431,'점포코드 '!A:B,2,0)</f>
        <v>#N/A</v>
      </c>
      <c r="E5431" s="30">
        <f>'Raw data'!P5007</f>
        <v>0</v>
      </c>
      <c r="F5431" s="29" t="e">
        <f>VLOOKUP(E5431,'점포코드 '!A:B,2,0)</f>
        <v>#N/A</v>
      </c>
      <c r="G5431" s="46">
        <f>'Raw data'!F5340</f>
        <v>0</v>
      </c>
      <c r="H5431" s="4">
        <f>'Raw data'!G5340</f>
        <v>0</v>
      </c>
      <c r="I5431" s="29" t="e">
        <f>VLOOKUP(G5431,제품명!$C$1:$E$114,2,0)</f>
        <v>#N/A</v>
      </c>
      <c r="J5431" s="29">
        <f>'Raw data'!K5340</f>
        <v>0</v>
      </c>
      <c r="K5431" s="31">
        <f>'Raw data'!H5340</f>
        <v>0</v>
      </c>
      <c r="L5431" s="26">
        <f t="shared" si="172"/>
        <v>0</v>
      </c>
    </row>
    <row r="5432" spans="2:12">
      <c r="B5432" s="4" t="e">
        <f t="shared" si="171"/>
        <v>#N/A</v>
      </c>
      <c r="C5432" s="4">
        <f>'Raw data'!E5008</f>
        <v>0</v>
      </c>
      <c r="D5432" s="29" t="e">
        <f>VLOOKUP(C5432,'점포코드 '!A:B,2,0)</f>
        <v>#N/A</v>
      </c>
      <c r="E5432" s="30">
        <f>'Raw data'!P5008</f>
        <v>0</v>
      </c>
      <c r="F5432" s="29" t="e">
        <f>VLOOKUP(E5432,'점포코드 '!A:B,2,0)</f>
        <v>#N/A</v>
      </c>
      <c r="G5432" s="46">
        <f>'Raw data'!F5341</f>
        <v>0</v>
      </c>
      <c r="H5432" s="4">
        <f>'Raw data'!G5341</f>
        <v>0</v>
      </c>
      <c r="I5432" s="29" t="e">
        <f>VLOOKUP(G5432,제품명!$C$1:$E$114,2,0)</f>
        <v>#N/A</v>
      </c>
      <c r="J5432" s="29">
        <f>'Raw data'!K5341</f>
        <v>0</v>
      </c>
      <c r="K5432" s="31">
        <f>'Raw data'!H5341</f>
        <v>0</v>
      </c>
      <c r="L5432" s="26">
        <f t="shared" si="172"/>
        <v>0</v>
      </c>
    </row>
    <row r="5433" spans="2:12">
      <c r="B5433" s="4" t="e">
        <f t="shared" si="171"/>
        <v>#N/A</v>
      </c>
      <c r="C5433" s="4">
        <f>'Raw data'!E5009</f>
        <v>0</v>
      </c>
      <c r="D5433" s="29" t="e">
        <f>VLOOKUP(C5433,'점포코드 '!A:B,2,0)</f>
        <v>#N/A</v>
      </c>
      <c r="E5433" s="30">
        <f>'Raw data'!P5009</f>
        <v>0</v>
      </c>
      <c r="F5433" s="29" t="e">
        <f>VLOOKUP(E5433,'점포코드 '!A:B,2,0)</f>
        <v>#N/A</v>
      </c>
      <c r="G5433" s="46">
        <f>'Raw data'!F5342</f>
        <v>0</v>
      </c>
      <c r="H5433" s="4">
        <f>'Raw data'!G5342</f>
        <v>0</v>
      </c>
      <c r="I5433" s="29" t="e">
        <f>VLOOKUP(G5433,제품명!$C$1:$E$114,2,0)</f>
        <v>#N/A</v>
      </c>
      <c r="J5433" s="29">
        <f>'Raw data'!K5342</f>
        <v>0</v>
      </c>
      <c r="K5433" s="31">
        <f>'Raw data'!H5342</f>
        <v>0</v>
      </c>
      <c r="L5433" s="26">
        <f t="shared" si="172"/>
        <v>0</v>
      </c>
    </row>
    <row r="5434" spans="2:12">
      <c r="B5434" s="4" t="e">
        <f t="shared" si="171"/>
        <v>#N/A</v>
      </c>
      <c r="C5434" s="4">
        <f>'Raw data'!E5010</f>
        <v>0</v>
      </c>
      <c r="D5434" s="29" t="e">
        <f>VLOOKUP(C5434,'점포코드 '!A:B,2,0)</f>
        <v>#N/A</v>
      </c>
      <c r="E5434" s="30">
        <f>'Raw data'!P5010</f>
        <v>0</v>
      </c>
      <c r="F5434" s="29" t="e">
        <f>VLOOKUP(E5434,'점포코드 '!A:B,2,0)</f>
        <v>#N/A</v>
      </c>
      <c r="G5434" s="46">
        <f>'Raw data'!F5343</f>
        <v>0</v>
      </c>
      <c r="H5434" s="4">
        <f>'Raw data'!G5343</f>
        <v>0</v>
      </c>
      <c r="I5434" s="29" t="e">
        <f>VLOOKUP(G5434,제품명!$C$1:$E$114,2,0)</f>
        <v>#N/A</v>
      </c>
      <c r="J5434" s="29">
        <f>'Raw data'!K5343</f>
        <v>0</v>
      </c>
      <c r="K5434" s="31">
        <f>'Raw data'!H5343</f>
        <v>0</v>
      </c>
      <c r="L5434" s="26">
        <f t="shared" si="172"/>
        <v>0</v>
      </c>
    </row>
    <row r="5435" spans="2:12">
      <c r="B5435" s="4" t="e">
        <f t="shared" si="171"/>
        <v>#N/A</v>
      </c>
      <c r="C5435" s="4">
        <f>'Raw data'!E5011</f>
        <v>0</v>
      </c>
      <c r="D5435" s="29" t="e">
        <f>VLOOKUP(C5435,'점포코드 '!A:B,2,0)</f>
        <v>#N/A</v>
      </c>
      <c r="E5435" s="30">
        <f>'Raw data'!P5011</f>
        <v>0</v>
      </c>
      <c r="F5435" s="29" t="e">
        <f>VLOOKUP(E5435,'점포코드 '!A:B,2,0)</f>
        <v>#N/A</v>
      </c>
      <c r="G5435" s="46">
        <f>'Raw data'!F5344</f>
        <v>0</v>
      </c>
      <c r="H5435" s="4">
        <f>'Raw data'!G5344</f>
        <v>0</v>
      </c>
      <c r="I5435" s="29" t="e">
        <f>VLOOKUP(G5435,제품명!$C$1:$E$114,2,0)</f>
        <v>#N/A</v>
      </c>
      <c r="J5435" s="29">
        <f>'Raw data'!K5344</f>
        <v>0</v>
      </c>
      <c r="K5435" s="31">
        <f>'Raw data'!H5344</f>
        <v>0</v>
      </c>
      <c r="L5435" s="26">
        <f t="shared" si="172"/>
        <v>0</v>
      </c>
    </row>
    <row r="5436" spans="2:12">
      <c r="B5436" s="4" t="e">
        <f t="shared" si="171"/>
        <v>#N/A</v>
      </c>
      <c r="C5436" s="4">
        <f>'Raw data'!E5012</f>
        <v>0</v>
      </c>
      <c r="D5436" s="29" t="e">
        <f>VLOOKUP(C5436,'점포코드 '!A:B,2,0)</f>
        <v>#N/A</v>
      </c>
      <c r="E5436" s="30">
        <f>'Raw data'!P5012</f>
        <v>0</v>
      </c>
      <c r="F5436" s="29" t="e">
        <f>VLOOKUP(E5436,'점포코드 '!A:B,2,0)</f>
        <v>#N/A</v>
      </c>
      <c r="G5436" s="46">
        <f>'Raw data'!F5345</f>
        <v>0</v>
      </c>
      <c r="H5436" s="4">
        <f>'Raw data'!G5345</f>
        <v>0</v>
      </c>
      <c r="I5436" s="29" t="e">
        <f>VLOOKUP(G5436,제품명!$C$1:$E$114,2,0)</f>
        <v>#N/A</v>
      </c>
      <c r="J5436" s="29">
        <f>'Raw data'!K5345</f>
        <v>0</v>
      </c>
      <c r="K5436" s="31">
        <f>'Raw data'!H5345</f>
        <v>0</v>
      </c>
      <c r="L5436" s="26">
        <f t="shared" si="172"/>
        <v>0</v>
      </c>
    </row>
    <row r="5437" spans="2:12">
      <c r="B5437" s="4" t="e">
        <f t="shared" si="171"/>
        <v>#N/A</v>
      </c>
      <c r="C5437" s="4">
        <f>'Raw data'!E5013</f>
        <v>0</v>
      </c>
      <c r="D5437" s="29" t="e">
        <f>VLOOKUP(C5437,'점포코드 '!A:B,2,0)</f>
        <v>#N/A</v>
      </c>
      <c r="E5437" s="30">
        <f>'Raw data'!P5013</f>
        <v>0</v>
      </c>
      <c r="F5437" s="29" t="e">
        <f>VLOOKUP(E5437,'점포코드 '!A:B,2,0)</f>
        <v>#N/A</v>
      </c>
      <c r="G5437" s="46">
        <f>'Raw data'!F5346</f>
        <v>0</v>
      </c>
      <c r="H5437" s="4">
        <f>'Raw data'!G5346</f>
        <v>0</v>
      </c>
      <c r="I5437" s="29" t="e">
        <f>VLOOKUP(G5437,제품명!$C$1:$E$114,2,0)</f>
        <v>#N/A</v>
      </c>
      <c r="J5437" s="29">
        <f>'Raw data'!K5346</f>
        <v>0</v>
      </c>
      <c r="K5437" s="31">
        <f>'Raw data'!H5346</f>
        <v>0</v>
      </c>
      <c r="L5437" s="26">
        <f t="shared" si="172"/>
        <v>0</v>
      </c>
    </row>
    <row r="5438" spans="2:12">
      <c r="B5438" s="4" t="e">
        <f t="shared" si="171"/>
        <v>#N/A</v>
      </c>
      <c r="C5438" s="4">
        <f>'Raw data'!E5014</f>
        <v>0</v>
      </c>
      <c r="D5438" s="29" t="e">
        <f>VLOOKUP(C5438,'점포코드 '!A:B,2,0)</f>
        <v>#N/A</v>
      </c>
      <c r="E5438" s="30">
        <f>'Raw data'!P5014</f>
        <v>0</v>
      </c>
      <c r="F5438" s="29" t="e">
        <f>VLOOKUP(E5438,'점포코드 '!A:B,2,0)</f>
        <v>#N/A</v>
      </c>
      <c r="G5438" s="46">
        <f>'Raw data'!F5347</f>
        <v>0</v>
      </c>
      <c r="H5438" s="4">
        <f>'Raw data'!G5347</f>
        <v>0</v>
      </c>
      <c r="I5438" s="29" t="e">
        <f>VLOOKUP(G5438,제품명!$C$1:$E$114,2,0)</f>
        <v>#N/A</v>
      </c>
      <c r="J5438" s="29">
        <f>'Raw data'!K5347</f>
        <v>0</v>
      </c>
      <c r="K5438" s="31">
        <f>'Raw data'!H5347</f>
        <v>0</v>
      </c>
      <c r="L5438" s="26">
        <f t="shared" si="172"/>
        <v>0</v>
      </c>
    </row>
    <row r="5439" spans="2:12">
      <c r="B5439" s="4" t="e">
        <f t="shared" si="171"/>
        <v>#N/A</v>
      </c>
      <c r="C5439" s="4">
        <f>'Raw data'!E5015</f>
        <v>0</v>
      </c>
      <c r="D5439" s="29" t="e">
        <f>VLOOKUP(C5439,'점포코드 '!A:B,2,0)</f>
        <v>#N/A</v>
      </c>
      <c r="E5439" s="30">
        <f>'Raw data'!P5015</f>
        <v>0</v>
      </c>
      <c r="F5439" s="29" t="e">
        <f>VLOOKUP(E5439,'점포코드 '!A:B,2,0)</f>
        <v>#N/A</v>
      </c>
      <c r="G5439" s="46">
        <f>'Raw data'!F5348</f>
        <v>0</v>
      </c>
      <c r="H5439" s="4">
        <f>'Raw data'!G5348</f>
        <v>0</v>
      </c>
      <c r="I5439" s="29" t="e">
        <f>VLOOKUP(G5439,제품명!$C$1:$E$114,2,0)</f>
        <v>#N/A</v>
      </c>
      <c r="J5439" s="29">
        <f>'Raw data'!K5348</f>
        <v>0</v>
      </c>
      <c r="K5439" s="31">
        <f>'Raw data'!H5348</f>
        <v>0</v>
      </c>
      <c r="L5439" s="26">
        <f t="shared" si="172"/>
        <v>0</v>
      </c>
    </row>
    <row r="5440" spans="2:12">
      <c r="B5440" s="4" t="e">
        <f t="shared" si="171"/>
        <v>#N/A</v>
      </c>
      <c r="C5440" s="4">
        <f>'Raw data'!E5016</f>
        <v>0</v>
      </c>
      <c r="D5440" s="29" t="e">
        <f>VLOOKUP(C5440,'점포코드 '!A:B,2,0)</f>
        <v>#N/A</v>
      </c>
      <c r="E5440" s="30">
        <f>'Raw data'!P5016</f>
        <v>0</v>
      </c>
      <c r="F5440" s="29" t="e">
        <f>VLOOKUP(E5440,'점포코드 '!A:B,2,0)</f>
        <v>#N/A</v>
      </c>
      <c r="G5440" s="46">
        <f>'Raw data'!F5349</f>
        <v>0</v>
      </c>
      <c r="H5440" s="4">
        <f>'Raw data'!G5349</f>
        <v>0</v>
      </c>
      <c r="I5440" s="29" t="e">
        <f>VLOOKUP(G5440,제품명!$C$1:$E$114,2,0)</f>
        <v>#N/A</v>
      </c>
      <c r="J5440" s="29">
        <f>'Raw data'!K5349</f>
        <v>0</v>
      </c>
      <c r="K5440" s="31">
        <f>'Raw data'!H5349</f>
        <v>0</v>
      </c>
      <c r="L5440" s="26">
        <f t="shared" si="172"/>
        <v>0</v>
      </c>
    </row>
    <row r="5441" spans="2:12">
      <c r="B5441" s="4" t="e">
        <f t="shared" si="171"/>
        <v>#N/A</v>
      </c>
      <c r="C5441" s="4">
        <f>'Raw data'!E5017</f>
        <v>0</v>
      </c>
      <c r="D5441" s="29" t="e">
        <f>VLOOKUP(C5441,'점포코드 '!A:B,2,0)</f>
        <v>#N/A</v>
      </c>
      <c r="E5441" s="30">
        <f>'Raw data'!P5017</f>
        <v>0</v>
      </c>
      <c r="F5441" s="29" t="e">
        <f>VLOOKUP(E5441,'점포코드 '!A:B,2,0)</f>
        <v>#N/A</v>
      </c>
      <c r="G5441" s="46">
        <f>'Raw data'!F5350</f>
        <v>0</v>
      </c>
      <c r="H5441" s="4">
        <f>'Raw data'!G5350</f>
        <v>0</v>
      </c>
      <c r="I5441" s="29" t="e">
        <f>VLOOKUP(G5441,제품명!$C$1:$E$114,2,0)</f>
        <v>#N/A</v>
      </c>
      <c r="J5441" s="29">
        <f>'Raw data'!K5350</f>
        <v>0</v>
      </c>
      <c r="K5441" s="31">
        <f>'Raw data'!H5350</f>
        <v>0</v>
      </c>
      <c r="L5441" s="26">
        <f t="shared" si="172"/>
        <v>0</v>
      </c>
    </row>
    <row r="5442" spans="2:12">
      <c r="B5442" s="4" t="e">
        <f t="shared" ref="B5442:B5505" si="173">F5442&amp;I5442</f>
        <v>#N/A</v>
      </c>
      <c r="C5442" s="4">
        <f>'Raw data'!E5018</f>
        <v>0</v>
      </c>
      <c r="D5442" s="29" t="e">
        <f>VLOOKUP(C5442,'점포코드 '!A:B,2,0)</f>
        <v>#N/A</v>
      </c>
      <c r="E5442" s="30">
        <f>'Raw data'!P5018</f>
        <v>0</v>
      </c>
      <c r="F5442" s="29" t="e">
        <f>VLOOKUP(E5442,'점포코드 '!A:B,2,0)</f>
        <v>#N/A</v>
      </c>
      <c r="G5442" s="46">
        <f>'Raw data'!F5351</f>
        <v>0</v>
      </c>
      <c r="H5442" s="4">
        <f>'Raw data'!G5351</f>
        <v>0</v>
      </c>
      <c r="I5442" s="29" t="e">
        <f>VLOOKUP(G5442,제품명!$C$1:$E$114,2,0)</f>
        <v>#N/A</v>
      </c>
      <c r="J5442" s="29">
        <f>'Raw data'!K5351</f>
        <v>0</v>
      </c>
      <c r="K5442" s="31">
        <f>'Raw data'!H5351</f>
        <v>0</v>
      </c>
      <c r="L5442" s="26">
        <f t="shared" si="172"/>
        <v>0</v>
      </c>
    </row>
    <row r="5443" spans="2:12">
      <c r="B5443" s="4" t="e">
        <f t="shared" si="173"/>
        <v>#N/A</v>
      </c>
      <c r="C5443" s="4">
        <f>'Raw data'!E5019</f>
        <v>0</v>
      </c>
      <c r="D5443" s="29" t="e">
        <f>VLOOKUP(C5443,'점포코드 '!A:B,2,0)</f>
        <v>#N/A</v>
      </c>
      <c r="E5443" s="30">
        <f>'Raw data'!P5019</f>
        <v>0</v>
      </c>
      <c r="F5443" s="29" t="e">
        <f>VLOOKUP(E5443,'점포코드 '!A:B,2,0)</f>
        <v>#N/A</v>
      </c>
      <c r="G5443" s="46">
        <f>'Raw data'!F5352</f>
        <v>0</v>
      </c>
      <c r="H5443" s="4">
        <f>'Raw data'!G5352</f>
        <v>0</v>
      </c>
      <c r="I5443" s="29" t="e">
        <f>VLOOKUP(G5443,제품명!$C$1:$E$114,2,0)</f>
        <v>#N/A</v>
      </c>
      <c r="J5443" s="29">
        <f>'Raw data'!K5352</f>
        <v>0</v>
      </c>
      <c r="K5443" s="31">
        <f>'Raw data'!H5352</f>
        <v>0</v>
      </c>
      <c r="L5443" s="26">
        <f t="shared" ref="L5443:L5506" si="174">J5443*K5443</f>
        <v>0</v>
      </c>
    </row>
    <row r="5444" spans="2:12">
      <c r="B5444" s="4" t="e">
        <f t="shared" si="173"/>
        <v>#N/A</v>
      </c>
      <c r="C5444" s="4">
        <f>'Raw data'!E5020</f>
        <v>0</v>
      </c>
      <c r="D5444" s="29" t="e">
        <f>VLOOKUP(C5444,'점포코드 '!A:B,2,0)</f>
        <v>#N/A</v>
      </c>
      <c r="E5444" s="30">
        <f>'Raw data'!P5020</f>
        <v>0</v>
      </c>
      <c r="F5444" s="29" t="e">
        <f>VLOOKUP(E5444,'점포코드 '!A:B,2,0)</f>
        <v>#N/A</v>
      </c>
      <c r="G5444" s="46">
        <f>'Raw data'!F5353</f>
        <v>0</v>
      </c>
      <c r="H5444" s="4">
        <f>'Raw data'!G5353</f>
        <v>0</v>
      </c>
      <c r="I5444" s="29" t="e">
        <f>VLOOKUP(G5444,제품명!$C$1:$E$114,2,0)</f>
        <v>#N/A</v>
      </c>
      <c r="J5444" s="29">
        <f>'Raw data'!K5353</f>
        <v>0</v>
      </c>
      <c r="K5444" s="31">
        <f>'Raw data'!H5353</f>
        <v>0</v>
      </c>
      <c r="L5444" s="26">
        <f t="shared" si="174"/>
        <v>0</v>
      </c>
    </row>
    <row r="5445" spans="2:12">
      <c r="B5445" s="4" t="e">
        <f t="shared" si="173"/>
        <v>#N/A</v>
      </c>
      <c r="C5445" s="4">
        <f>'Raw data'!E5021</f>
        <v>0</v>
      </c>
      <c r="D5445" s="29" t="e">
        <f>VLOOKUP(C5445,'점포코드 '!A:B,2,0)</f>
        <v>#N/A</v>
      </c>
      <c r="E5445" s="30">
        <f>'Raw data'!P5021</f>
        <v>0</v>
      </c>
      <c r="F5445" s="29" t="e">
        <f>VLOOKUP(E5445,'점포코드 '!A:B,2,0)</f>
        <v>#N/A</v>
      </c>
      <c r="G5445" s="46">
        <f>'Raw data'!F5354</f>
        <v>0</v>
      </c>
      <c r="H5445" s="4">
        <f>'Raw data'!G5354</f>
        <v>0</v>
      </c>
      <c r="I5445" s="29" t="e">
        <f>VLOOKUP(G5445,제품명!$C$1:$E$114,2,0)</f>
        <v>#N/A</v>
      </c>
      <c r="J5445" s="29">
        <f>'Raw data'!K5354</f>
        <v>0</v>
      </c>
      <c r="K5445" s="31">
        <f>'Raw data'!H5354</f>
        <v>0</v>
      </c>
      <c r="L5445" s="26">
        <f t="shared" si="174"/>
        <v>0</v>
      </c>
    </row>
    <row r="5446" spans="2:12">
      <c r="B5446" s="4" t="e">
        <f t="shared" si="173"/>
        <v>#N/A</v>
      </c>
      <c r="C5446" s="4">
        <f>'Raw data'!E5022</f>
        <v>0</v>
      </c>
      <c r="D5446" s="29" t="e">
        <f>VLOOKUP(C5446,'점포코드 '!A:B,2,0)</f>
        <v>#N/A</v>
      </c>
      <c r="E5446" s="30">
        <f>'Raw data'!P5022</f>
        <v>0</v>
      </c>
      <c r="F5446" s="29" t="e">
        <f>VLOOKUP(E5446,'점포코드 '!A:B,2,0)</f>
        <v>#N/A</v>
      </c>
      <c r="G5446" s="46">
        <f>'Raw data'!F5355</f>
        <v>0</v>
      </c>
      <c r="H5446" s="4">
        <f>'Raw data'!G5355</f>
        <v>0</v>
      </c>
      <c r="I5446" s="29" t="e">
        <f>VLOOKUP(G5446,제품명!$C$1:$E$114,2,0)</f>
        <v>#N/A</v>
      </c>
      <c r="J5446" s="29">
        <f>'Raw data'!K5355</f>
        <v>0</v>
      </c>
      <c r="K5446" s="31">
        <f>'Raw data'!H5355</f>
        <v>0</v>
      </c>
      <c r="L5446" s="26">
        <f t="shared" si="174"/>
        <v>0</v>
      </c>
    </row>
    <row r="5447" spans="2:12">
      <c r="B5447" s="4" t="e">
        <f t="shared" si="173"/>
        <v>#N/A</v>
      </c>
      <c r="C5447" s="4">
        <f>'Raw data'!E5023</f>
        <v>0</v>
      </c>
      <c r="D5447" s="29" t="e">
        <f>VLOOKUP(C5447,'점포코드 '!A:B,2,0)</f>
        <v>#N/A</v>
      </c>
      <c r="E5447" s="30">
        <f>'Raw data'!P5023</f>
        <v>0</v>
      </c>
      <c r="F5447" s="29" t="e">
        <f>VLOOKUP(E5447,'점포코드 '!A:B,2,0)</f>
        <v>#N/A</v>
      </c>
      <c r="G5447" s="46">
        <f>'Raw data'!F5356</f>
        <v>0</v>
      </c>
      <c r="H5447" s="4">
        <f>'Raw data'!G5356</f>
        <v>0</v>
      </c>
      <c r="I5447" s="29" t="e">
        <f>VLOOKUP(G5447,제품명!$C$1:$E$114,2,0)</f>
        <v>#N/A</v>
      </c>
      <c r="J5447" s="29">
        <f>'Raw data'!K5356</f>
        <v>0</v>
      </c>
      <c r="K5447" s="31">
        <f>'Raw data'!H5356</f>
        <v>0</v>
      </c>
      <c r="L5447" s="26">
        <f t="shared" si="174"/>
        <v>0</v>
      </c>
    </row>
    <row r="5448" spans="2:12">
      <c r="B5448" s="4" t="e">
        <f t="shared" si="173"/>
        <v>#N/A</v>
      </c>
      <c r="C5448" s="4">
        <f>'Raw data'!E5024</f>
        <v>0</v>
      </c>
      <c r="D5448" s="29" t="e">
        <f>VLOOKUP(C5448,'점포코드 '!A:B,2,0)</f>
        <v>#N/A</v>
      </c>
      <c r="E5448" s="30">
        <f>'Raw data'!P5024</f>
        <v>0</v>
      </c>
      <c r="F5448" s="29" t="e">
        <f>VLOOKUP(E5448,'점포코드 '!A:B,2,0)</f>
        <v>#N/A</v>
      </c>
      <c r="G5448" s="46">
        <f>'Raw data'!F5357</f>
        <v>0</v>
      </c>
      <c r="H5448" s="4">
        <f>'Raw data'!G5357</f>
        <v>0</v>
      </c>
      <c r="I5448" s="29" t="e">
        <f>VLOOKUP(G5448,제품명!$C$1:$E$114,2,0)</f>
        <v>#N/A</v>
      </c>
      <c r="J5448" s="29">
        <f>'Raw data'!K5357</f>
        <v>0</v>
      </c>
      <c r="K5448" s="31">
        <f>'Raw data'!H5357</f>
        <v>0</v>
      </c>
      <c r="L5448" s="26">
        <f t="shared" si="174"/>
        <v>0</v>
      </c>
    </row>
    <row r="5449" spans="2:12">
      <c r="B5449" s="4" t="e">
        <f t="shared" si="173"/>
        <v>#N/A</v>
      </c>
      <c r="C5449" s="4">
        <f>'Raw data'!E5025</f>
        <v>0</v>
      </c>
      <c r="D5449" s="29" t="e">
        <f>VLOOKUP(C5449,'점포코드 '!A:B,2,0)</f>
        <v>#N/A</v>
      </c>
      <c r="E5449" s="30">
        <f>'Raw data'!P5025</f>
        <v>0</v>
      </c>
      <c r="F5449" s="29" t="e">
        <f>VLOOKUP(E5449,'점포코드 '!A:B,2,0)</f>
        <v>#N/A</v>
      </c>
      <c r="G5449" s="46">
        <f>'Raw data'!F5358</f>
        <v>0</v>
      </c>
      <c r="H5449" s="4">
        <f>'Raw data'!G5358</f>
        <v>0</v>
      </c>
      <c r="I5449" s="29" t="e">
        <f>VLOOKUP(G5449,제품명!$C$1:$E$114,2,0)</f>
        <v>#N/A</v>
      </c>
      <c r="J5449" s="29">
        <f>'Raw data'!K5358</f>
        <v>0</v>
      </c>
      <c r="K5449" s="31">
        <f>'Raw data'!H5358</f>
        <v>0</v>
      </c>
      <c r="L5449" s="26">
        <f t="shared" si="174"/>
        <v>0</v>
      </c>
    </row>
    <row r="5450" spans="2:12">
      <c r="B5450" s="4" t="e">
        <f t="shared" si="173"/>
        <v>#N/A</v>
      </c>
      <c r="C5450" s="4">
        <f>'Raw data'!E5026</f>
        <v>0</v>
      </c>
      <c r="D5450" s="29" t="e">
        <f>VLOOKUP(C5450,'점포코드 '!A:B,2,0)</f>
        <v>#N/A</v>
      </c>
      <c r="E5450" s="30">
        <f>'Raw data'!P5026</f>
        <v>0</v>
      </c>
      <c r="F5450" s="29" t="e">
        <f>VLOOKUP(E5450,'점포코드 '!A:B,2,0)</f>
        <v>#N/A</v>
      </c>
      <c r="G5450" s="46">
        <f>'Raw data'!F5359</f>
        <v>0</v>
      </c>
      <c r="H5450" s="4">
        <f>'Raw data'!G5359</f>
        <v>0</v>
      </c>
      <c r="I5450" s="29" t="e">
        <f>VLOOKUP(G5450,제품명!$C$1:$E$114,2,0)</f>
        <v>#N/A</v>
      </c>
      <c r="J5450" s="29">
        <f>'Raw data'!K5359</f>
        <v>0</v>
      </c>
      <c r="K5450" s="31">
        <f>'Raw data'!H5359</f>
        <v>0</v>
      </c>
      <c r="L5450" s="26">
        <f t="shared" si="174"/>
        <v>0</v>
      </c>
    </row>
    <row r="5451" spans="2:12">
      <c r="B5451" s="4" t="e">
        <f t="shared" si="173"/>
        <v>#N/A</v>
      </c>
      <c r="C5451" s="4">
        <f>'Raw data'!E5027</f>
        <v>0</v>
      </c>
      <c r="D5451" s="29" t="e">
        <f>VLOOKUP(C5451,'점포코드 '!A:B,2,0)</f>
        <v>#N/A</v>
      </c>
      <c r="E5451" s="30">
        <f>'Raw data'!P5027</f>
        <v>0</v>
      </c>
      <c r="F5451" s="29" t="e">
        <f>VLOOKUP(E5451,'점포코드 '!A:B,2,0)</f>
        <v>#N/A</v>
      </c>
      <c r="G5451" s="46">
        <f>'Raw data'!F5360</f>
        <v>0</v>
      </c>
      <c r="H5451" s="4">
        <f>'Raw data'!G5360</f>
        <v>0</v>
      </c>
      <c r="I5451" s="29" t="e">
        <f>VLOOKUP(G5451,제품명!$C$1:$E$114,2,0)</f>
        <v>#N/A</v>
      </c>
      <c r="J5451" s="29">
        <f>'Raw data'!K5360</f>
        <v>0</v>
      </c>
      <c r="K5451" s="31">
        <f>'Raw data'!H5360</f>
        <v>0</v>
      </c>
      <c r="L5451" s="26">
        <f t="shared" si="174"/>
        <v>0</v>
      </c>
    </row>
    <row r="5452" spans="2:12">
      <c r="B5452" s="4" t="e">
        <f t="shared" si="173"/>
        <v>#N/A</v>
      </c>
      <c r="C5452" s="4">
        <f>'Raw data'!E5028</f>
        <v>0</v>
      </c>
      <c r="D5452" s="29" t="e">
        <f>VLOOKUP(C5452,'점포코드 '!A:B,2,0)</f>
        <v>#N/A</v>
      </c>
      <c r="E5452" s="30">
        <f>'Raw data'!P5028</f>
        <v>0</v>
      </c>
      <c r="F5452" s="29" t="e">
        <f>VLOOKUP(E5452,'점포코드 '!A:B,2,0)</f>
        <v>#N/A</v>
      </c>
      <c r="G5452" s="46">
        <f>'Raw data'!F5361</f>
        <v>0</v>
      </c>
      <c r="H5452" s="4">
        <f>'Raw data'!G5361</f>
        <v>0</v>
      </c>
      <c r="I5452" s="29" t="e">
        <f>VLOOKUP(G5452,제품명!$C$1:$E$114,2,0)</f>
        <v>#N/A</v>
      </c>
      <c r="J5452" s="29">
        <f>'Raw data'!K5361</f>
        <v>0</v>
      </c>
      <c r="K5452" s="31">
        <f>'Raw data'!H5361</f>
        <v>0</v>
      </c>
      <c r="L5452" s="26">
        <f t="shared" si="174"/>
        <v>0</v>
      </c>
    </row>
    <row r="5453" spans="2:12">
      <c r="B5453" s="4" t="e">
        <f t="shared" si="173"/>
        <v>#N/A</v>
      </c>
      <c r="C5453" s="4">
        <f>'Raw data'!E5029</f>
        <v>0</v>
      </c>
      <c r="D5453" s="29" t="e">
        <f>VLOOKUP(C5453,'점포코드 '!A:B,2,0)</f>
        <v>#N/A</v>
      </c>
      <c r="E5453" s="30">
        <f>'Raw data'!P5029</f>
        <v>0</v>
      </c>
      <c r="F5453" s="29" t="e">
        <f>VLOOKUP(E5453,'점포코드 '!A:B,2,0)</f>
        <v>#N/A</v>
      </c>
      <c r="G5453" s="46">
        <f>'Raw data'!F5362</f>
        <v>0</v>
      </c>
      <c r="H5453" s="4">
        <f>'Raw data'!G5362</f>
        <v>0</v>
      </c>
      <c r="I5453" s="29" t="e">
        <f>VLOOKUP(G5453,제품명!$C$1:$E$114,2,0)</f>
        <v>#N/A</v>
      </c>
      <c r="J5453" s="29">
        <f>'Raw data'!K5362</f>
        <v>0</v>
      </c>
      <c r="K5453" s="31">
        <f>'Raw data'!H5362</f>
        <v>0</v>
      </c>
      <c r="L5453" s="26">
        <f t="shared" si="174"/>
        <v>0</v>
      </c>
    </row>
    <row r="5454" spans="2:12">
      <c r="B5454" s="4" t="e">
        <f t="shared" si="173"/>
        <v>#N/A</v>
      </c>
      <c r="C5454" s="4">
        <f>'Raw data'!E5030</f>
        <v>0</v>
      </c>
      <c r="D5454" s="29" t="e">
        <f>VLOOKUP(C5454,'점포코드 '!A:B,2,0)</f>
        <v>#N/A</v>
      </c>
      <c r="E5454" s="30">
        <f>'Raw data'!P5030</f>
        <v>0</v>
      </c>
      <c r="F5454" s="29" t="e">
        <f>VLOOKUP(E5454,'점포코드 '!A:B,2,0)</f>
        <v>#N/A</v>
      </c>
      <c r="G5454" s="46">
        <f>'Raw data'!F5363</f>
        <v>0</v>
      </c>
      <c r="H5454" s="4">
        <f>'Raw data'!G5363</f>
        <v>0</v>
      </c>
      <c r="I5454" s="29" t="e">
        <f>VLOOKUP(G5454,제품명!$C$1:$E$114,2,0)</f>
        <v>#N/A</v>
      </c>
      <c r="J5454" s="29">
        <f>'Raw data'!K5363</f>
        <v>0</v>
      </c>
      <c r="K5454" s="31">
        <f>'Raw data'!H5363</f>
        <v>0</v>
      </c>
      <c r="L5454" s="26">
        <f t="shared" si="174"/>
        <v>0</v>
      </c>
    </row>
    <row r="5455" spans="2:12">
      <c r="B5455" s="4" t="e">
        <f t="shared" si="173"/>
        <v>#N/A</v>
      </c>
      <c r="C5455" s="4">
        <f>'Raw data'!E5031</f>
        <v>0</v>
      </c>
      <c r="D5455" s="29" t="e">
        <f>VLOOKUP(C5455,'점포코드 '!A:B,2,0)</f>
        <v>#N/A</v>
      </c>
      <c r="E5455" s="30">
        <f>'Raw data'!P5031</f>
        <v>0</v>
      </c>
      <c r="F5455" s="29" t="e">
        <f>VLOOKUP(E5455,'점포코드 '!A:B,2,0)</f>
        <v>#N/A</v>
      </c>
      <c r="G5455" s="46">
        <f>'Raw data'!F5364</f>
        <v>0</v>
      </c>
      <c r="H5455" s="4">
        <f>'Raw data'!G5364</f>
        <v>0</v>
      </c>
      <c r="I5455" s="29" t="e">
        <f>VLOOKUP(G5455,제품명!$C$1:$E$114,2,0)</f>
        <v>#N/A</v>
      </c>
      <c r="J5455" s="29">
        <f>'Raw data'!K5364</f>
        <v>0</v>
      </c>
      <c r="K5455" s="31">
        <f>'Raw data'!H5364</f>
        <v>0</v>
      </c>
      <c r="L5455" s="26">
        <f t="shared" si="174"/>
        <v>0</v>
      </c>
    </row>
    <row r="5456" spans="2:12">
      <c r="B5456" s="4" t="e">
        <f t="shared" si="173"/>
        <v>#N/A</v>
      </c>
      <c r="C5456" s="4">
        <f>'Raw data'!E5032</f>
        <v>0</v>
      </c>
      <c r="D5456" s="29" t="e">
        <f>VLOOKUP(C5456,'점포코드 '!A:B,2,0)</f>
        <v>#N/A</v>
      </c>
      <c r="E5456" s="30">
        <f>'Raw data'!P5032</f>
        <v>0</v>
      </c>
      <c r="F5456" s="29" t="e">
        <f>VLOOKUP(E5456,'점포코드 '!A:B,2,0)</f>
        <v>#N/A</v>
      </c>
      <c r="G5456" s="46">
        <f>'Raw data'!F5365</f>
        <v>0</v>
      </c>
      <c r="H5456" s="4">
        <f>'Raw data'!G5365</f>
        <v>0</v>
      </c>
      <c r="I5456" s="29" t="e">
        <f>VLOOKUP(G5456,제품명!$C$1:$E$114,2,0)</f>
        <v>#N/A</v>
      </c>
      <c r="J5456" s="29">
        <f>'Raw data'!K5365</f>
        <v>0</v>
      </c>
      <c r="K5456" s="31">
        <f>'Raw data'!H5365</f>
        <v>0</v>
      </c>
      <c r="L5456" s="26">
        <f t="shared" si="174"/>
        <v>0</v>
      </c>
    </row>
    <row r="5457" spans="2:12">
      <c r="B5457" s="4" t="e">
        <f t="shared" si="173"/>
        <v>#N/A</v>
      </c>
      <c r="C5457" s="4">
        <f>'Raw data'!E5033</f>
        <v>0</v>
      </c>
      <c r="D5457" s="29" t="e">
        <f>VLOOKUP(C5457,'점포코드 '!A:B,2,0)</f>
        <v>#N/A</v>
      </c>
      <c r="E5457" s="30">
        <f>'Raw data'!P5033</f>
        <v>0</v>
      </c>
      <c r="F5457" s="29" t="e">
        <f>VLOOKUP(E5457,'점포코드 '!A:B,2,0)</f>
        <v>#N/A</v>
      </c>
      <c r="G5457" s="46">
        <f>'Raw data'!F5366</f>
        <v>0</v>
      </c>
      <c r="H5457" s="4">
        <f>'Raw data'!G5366</f>
        <v>0</v>
      </c>
      <c r="I5457" s="29" t="e">
        <f>VLOOKUP(G5457,제품명!$C$1:$E$114,2,0)</f>
        <v>#N/A</v>
      </c>
      <c r="J5457" s="29">
        <f>'Raw data'!K5366</f>
        <v>0</v>
      </c>
      <c r="K5457" s="31">
        <f>'Raw data'!H5366</f>
        <v>0</v>
      </c>
      <c r="L5457" s="26">
        <f t="shared" si="174"/>
        <v>0</v>
      </c>
    </row>
    <row r="5458" spans="2:12">
      <c r="B5458" s="4" t="e">
        <f t="shared" si="173"/>
        <v>#N/A</v>
      </c>
      <c r="C5458" s="4">
        <f>'Raw data'!E5034</f>
        <v>0</v>
      </c>
      <c r="D5458" s="29" t="e">
        <f>VLOOKUP(C5458,'점포코드 '!A:B,2,0)</f>
        <v>#N/A</v>
      </c>
      <c r="E5458" s="30">
        <f>'Raw data'!P5034</f>
        <v>0</v>
      </c>
      <c r="F5458" s="29" t="e">
        <f>VLOOKUP(E5458,'점포코드 '!A:B,2,0)</f>
        <v>#N/A</v>
      </c>
      <c r="G5458" s="46">
        <f>'Raw data'!F5367</f>
        <v>0</v>
      </c>
      <c r="H5458" s="4">
        <f>'Raw data'!G5367</f>
        <v>0</v>
      </c>
      <c r="I5458" s="29" t="e">
        <f>VLOOKUP(G5458,제품명!$C$1:$E$114,2,0)</f>
        <v>#N/A</v>
      </c>
      <c r="J5458" s="29">
        <f>'Raw data'!K5367</f>
        <v>0</v>
      </c>
      <c r="K5458" s="31">
        <f>'Raw data'!H5367</f>
        <v>0</v>
      </c>
      <c r="L5458" s="26">
        <f t="shared" si="174"/>
        <v>0</v>
      </c>
    </row>
    <row r="5459" spans="2:12">
      <c r="B5459" s="4" t="e">
        <f t="shared" si="173"/>
        <v>#N/A</v>
      </c>
      <c r="C5459" s="4">
        <f>'Raw data'!E5035</f>
        <v>0</v>
      </c>
      <c r="D5459" s="29" t="e">
        <f>VLOOKUP(C5459,'점포코드 '!A:B,2,0)</f>
        <v>#N/A</v>
      </c>
      <c r="E5459" s="30">
        <f>'Raw data'!P5035</f>
        <v>0</v>
      </c>
      <c r="F5459" s="29" t="e">
        <f>VLOOKUP(E5459,'점포코드 '!A:B,2,0)</f>
        <v>#N/A</v>
      </c>
      <c r="G5459" s="46">
        <f>'Raw data'!F5368</f>
        <v>0</v>
      </c>
      <c r="H5459" s="4">
        <f>'Raw data'!G5368</f>
        <v>0</v>
      </c>
      <c r="I5459" s="29" t="e">
        <f>VLOOKUP(G5459,제품명!$C$1:$E$114,2,0)</f>
        <v>#N/A</v>
      </c>
      <c r="J5459" s="29">
        <f>'Raw data'!K5368</f>
        <v>0</v>
      </c>
      <c r="K5459" s="31">
        <f>'Raw data'!H5368</f>
        <v>0</v>
      </c>
      <c r="L5459" s="26">
        <f t="shared" si="174"/>
        <v>0</v>
      </c>
    </row>
    <row r="5460" spans="2:12">
      <c r="B5460" s="4" t="e">
        <f t="shared" si="173"/>
        <v>#N/A</v>
      </c>
      <c r="C5460" s="4">
        <f>'Raw data'!E5036</f>
        <v>0</v>
      </c>
      <c r="D5460" s="29" t="e">
        <f>VLOOKUP(C5460,'점포코드 '!A:B,2,0)</f>
        <v>#N/A</v>
      </c>
      <c r="E5460" s="30">
        <f>'Raw data'!P5036</f>
        <v>0</v>
      </c>
      <c r="F5460" s="29" t="e">
        <f>VLOOKUP(E5460,'점포코드 '!A:B,2,0)</f>
        <v>#N/A</v>
      </c>
      <c r="G5460" s="46">
        <f>'Raw data'!F5369</f>
        <v>0</v>
      </c>
      <c r="H5460" s="4">
        <f>'Raw data'!G5369</f>
        <v>0</v>
      </c>
      <c r="I5460" s="29" t="e">
        <f>VLOOKUP(G5460,제품명!$C$1:$E$114,2,0)</f>
        <v>#N/A</v>
      </c>
      <c r="J5460" s="29">
        <f>'Raw data'!K5369</f>
        <v>0</v>
      </c>
      <c r="K5460" s="31">
        <f>'Raw data'!H5369</f>
        <v>0</v>
      </c>
      <c r="L5460" s="26">
        <f t="shared" si="174"/>
        <v>0</v>
      </c>
    </row>
    <row r="5461" spans="2:12">
      <c r="B5461" s="4" t="e">
        <f t="shared" si="173"/>
        <v>#N/A</v>
      </c>
      <c r="C5461" s="4">
        <f>'Raw data'!E5037</f>
        <v>0</v>
      </c>
      <c r="D5461" s="29" t="e">
        <f>VLOOKUP(C5461,'점포코드 '!A:B,2,0)</f>
        <v>#N/A</v>
      </c>
      <c r="E5461" s="30">
        <f>'Raw data'!P5037</f>
        <v>0</v>
      </c>
      <c r="F5461" s="29" t="e">
        <f>VLOOKUP(E5461,'점포코드 '!A:B,2,0)</f>
        <v>#N/A</v>
      </c>
      <c r="G5461" s="46">
        <f>'Raw data'!F5370</f>
        <v>0</v>
      </c>
      <c r="H5461" s="4">
        <f>'Raw data'!G5370</f>
        <v>0</v>
      </c>
      <c r="I5461" s="29" t="e">
        <f>VLOOKUP(G5461,제품명!$C$1:$E$114,2,0)</f>
        <v>#N/A</v>
      </c>
      <c r="J5461" s="29">
        <f>'Raw data'!K5370</f>
        <v>0</v>
      </c>
      <c r="K5461" s="31">
        <f>'Raw data'!H5370</f>
        <v>0</v>
      </c>
      <c r="L5461" s="26">
        <f t="shared" si="174"/>
        <v>0</v>
      </c>
    </row>
    <row r="5462" spans="2:12">
      <c r="B5462" s="4" t="e">
        <f t="shared" si="173"/>
        <v>#N/A</v>
      </c>
      <c r="C5462" s="4">
        <f>'Raw data'!E5038</f>
        <v>0</v>
      </c>
      <c r="D5462" s="29" t="e">
        <f>VLOOKUP(C5462,'점포코드 '!A:B,2,0)</f>
        <v>#N/A</v>
      </c>
      <c r="E5462" s="30">
        <f>'Raw data'!P5038</f>
        <v>0</v>
      </c>
      <c r="F5462" s="29" t="e">
        <f>VLOOKUP(E5462,'점포코드 '!A:B,2,0)</f>
        <v>#N/A</v>
      </c>
      <c r="G5462" s="46">
        <f>'Raw data'!F5371</f>
        <v>0</v>
      </c>
      <c r="H5462" s="4">
        <f>'Raw data'!G5371</f>
        <v>0</v>
      </c>
      <c r="I5462" s="29" t="e">
        <f>VLOOKUP(G5462,제품명!$C$1:$E$114,2,0)</f>
        <v>#N/A</v>
      </c>
      <c r="J5462" s="29">
        <f>'Raw data'!K5371</f>
        <v>0</v>
      </c>
      <c r="K5462" s="31">
        <f>'Raw data'!H5371</f>
        <v>0</v>
      </c>
      <c r="L5462" s="26">
        <f t="shared" si="174"/>
        <v>0</v>
      </c>
    </row>
    <row r="5463" spans="2:12">
      <c r="B5463" s="4" t="e">
        <f t="shared" si="173"/>
        <v>#N/A</v>
      </c>
      <c r="C5463" s="4">
        <f>'Raw data'!E5039</f>
        <v>0</v>
      </c>
      <c r="D5463" s="29" t="e">
        <f>VLOOKUP(C5463,'점포코드 '!A:B,2,0)</f>
        <v>#N/A</v>
      </c>
      <c r="E5463" s="30">
        <f>'Raw data'!P5039</f>
        <v>0</v>
      </c>
      <c r="F5463" s="29" t="e">
        <f>VLOOKUP(E5463,'점포코드 '!A:B,2,0)</f>
        <v>#N/A</v>
      </c>
      <c r="G5463" s="46">
        <f>'Raw data'!F5372</f>
        <v>0</v>
      </c>
      <c r="H5463" s="4">
        <f>'Raw data'!G5372</f>
        <v>0</v>
      </c>
      <c r="I5463" s="29" t="e">
        <f>VLOOKUP(G5463,제품명!$C$1:$E$114,2,0)</f>
        <v>#N/A</v>
      </c>
      <c r="J5463" s="29">
        <f>'Raw data'!K5372</f>
        <v>0</v>
      </c>
      <c r="K5463" s="31">
        <f>'Raw data'!H5372</f>
        <v>0</v>
      </c>
      <c r="L5463" s="26">
        <f t="shared" si="174"/>
        <v>0</v>
      </c>
    </row>
    <row r="5464" spans="2:12">
      <c r="B5464" s="4" t="e">
        <f t="shared" si="173"/>
        <v>#N/A</v>
      </c>
      <c r="C5464" s="4">
        <f>'Raw data'!E5040</f>
        <v>0</v>
      </c>
      <c r="D5464" s="29" t="e">
        <f>VLOOKUP(C5464,'점포코드 '!A:B,2,0)</f>
        <v>#N/A</v>
      </c>
      <c r="E5464" s="30">
        <f>'Raw data'!P5040</f>
        <v>0</v>
      </c>
      <c r="F5464" s="29" t="e">
        <f>VLOOKUP(E5464,'점포코드 '!A:B,2,0)</f>
        <v>#N/A</v>
      </c>
      <c r="G5464" s="46">
        <f>'Raw data'!F5373</f>
        <v>0</v>
      </c>
      <c r="H5464" s="4">
        <f>'Raw data'!G5373</f>
        <v>0</v>
      </c>
      <c r="I5464" s="29" t="e">
        <f>VLOOKUP(G5464,제품명!$C$1:$E$114,2,0)</f>
        <v>#N/A</v>
      </c>
      <c r="J5464" s="29">
        <f>'Raw data'!K5373</f>
        <v>0</v>
      </c>
      <c r="K5464" s="31">
        <f>'Raw data'!H5373</f>
        <v>0</v>
      </c>
      <c r="L5464" s="26">
        <f t="shared" si="174"/>
        <v>0</v>
      </c>
    </row>
    <row r="5465" spans="2:12">
      <c r="B5465" s="4" t="e">
        <f t="shared" si="173"/>
        <v>#N/A</v>
      </c>
      <c r="C5465" s="4">
        <f>'Raw data'!E5041</f>
        <v>0</v>
      </c>
      <c r="D5465" s="29" t="e">
        <f>VLOOKUP(C5465,'점포코드 '!A:B,2,0)</f>
        <v>#N/A</v>
      </c>
      <c r="E5465" s="30">
        <f>'Raw data'!P5041</f>
        <v>0</v>
      </c>
      <c r="F5465" s="29" t="e">
        <f>VLOOKUP(E5465,'점포코드 '!A:B,2,0)</f>
        <v>#N/A</v>
      </c>
      <c r="G5465" s="46">
        <f>'Raw data'!F5374</f>
        <v>0</v>
      </c>
      <c r="H5465" s="4">
        <f>'Raw data'!G5374</f>
        <v>0</v>
      </c>
      <c r="I5465" s="29" t="e">
        <f>VLOOKUP(G5465,제품명!$C$1:$E$114,2,0)</f>
        <v>#N/A</v>
      </c>
      <c r="J5465" s="29">
        <f>'Raw data'!K5374</f>
        <v>0</v>
      </c>
      <c r="K5465" s="31">
        <f>'Raw data'!H5374</f>
        <v>0</v>
      </c>
      <c r="L5465" s="26">
        <f t="shared" si="174"/>
        <v>0</v>
      </c>
    </row>
    <row r="5466" spans="2:12">
      <c r="B5466" s="4" t="e">
        <f t="shared" si="173"/>
        <v>#N/A</v>
      </c>
      <c r="C5466" s="4">
        <f>'Raw data'!E5042</f>
        <v>0</v>
      </c>
      <c r="D5466" s="29" t="e">
        <f>VLOOKUP(C5466,'점포코드 '!A:B,2,0)</f>
        <v>#N/A</v>
      </c>
      <c r="E5466" s="30">
        <f>'Raw data'!P5042</f>
        <v>0</v>
      </c>
      <c r="F5466" s="29" t="e">
        <f>VLOOKUP(E5466,'점포코드 '!A:B,2,0)</f>
        <v>#N/A</v>
      </c>
      <c r="G5466" s="46">
        <f>'Raw data'!F5375</f>
        <v>0</v>
      </c>
      <c r="H5466" s="4">
        <f>'Raw data'!G5375</f>
        <v>0</v>
      </c>
      <c r="I5466" s="29" t="e">
        <f>VLOOKUP(G5466,제품명!$C$1:$E$114,2,0)</f>
        <v>#N/A</v>
      </c>
      <c r="J5466" s="29">
        <f>'Raw data'!K5375</f>
        <v>0</v>
      </c>
      <c r="K5466" s="31">
        <f>'Raw data'!H5375</f>
        <v>0</v>
      </c>
      <c r="L5466" s="26">
        <f t="shared" si="174"/>
        <v>0</v>
      </c>
    </row>
    <row r="5467" spans="2:12">
      <c r="B5467" s="4" t="e">
        <f t="shared" si="173"/>
        <v>#N/A</v>
      </c>
      <c r="C5467" s="4">
        <f>'Raw data'!E5043</f>
        <v>0</v>
      </c>
      <c r="D5467" s="29" t="e">
        <f>VLOOKUP(C5467,'점포코드 '!A:B,2,0)</f>
        <v>#N/A</v>
      </c>
      <c r="E5467" s="30">
        <f>'Raw data'!P5043</f>
        <v>0</v>
      </c>
      <c r="F5467" s="29" t="e">
        <f>VLOOKUP(E5467,'점포코드 '!A:B,2,0)</f>
        <v>#N/A</v>
      </c>
      <c r="G5467" s="46">
        <f>'Raw data'!F5376</f>
        <v>0</v>
      </c>
      <c r="H5467" s="4">
        <f>'Raw data'!G5376</f>
        <v>0</v>
      </c>
      <c r="I5467" s="29" t="e">
        <f>VLOOKUP(G5467,제품명!$C$1:$E$114,2,0)</f>
        <v>#N/A</v>
      </c>
      <c r="J5467" s="29">
        <f>'Raw data'!K5376</f>
        <v>0</v>
      </c>
      <c r="K5467" s="31">
        <f>'Raw data'!H5376</f>
        <v>0</v>
      </c>
      <c r="L5467" s="26">
        <f t="shared" si="174"/>
        <v>0</v>
      </c>
    </row>
    <row r="5468" spans="2:12">
      <c r="B5468" s="4" t="e">
        <f t="shared" si="173"/>
        <v>#N/A</v>
      </c>
      <c r="C5468" s="4">
        <f>'Raw data'!E5044</f>
        <v>0</v>
      </c>
      <c r="D5468" s="29" t="e">
        <f>VLOOKUP(C5468,'점포코드 '!A:B,2,0)</f>
        <v>#N/A</v>
      </c>
      <c r="E5468" s="30">
        <f>'Raw data'!P5044</f>
        <v>0</v>
      </c>
      <c r="F5468" s="29" t="e">
        <f>VLOOKUP(E5468,'점포코드 '!A:B,2,0)</f>
        <v>#N/A</v>
      </c>
      <c r="G5468" s="46">
        <f>'Raw data'!F5377</f>
        <v>0</v>
      </c>
      <c r="H5468" s="4">
        <f>'Raw data'!G5377</f>
        <v>0</v>
      </c>
      <c r="I5468" s="29" t="e">
        <f>VLOOKUP(G5468,제품명!$C$1:$E$114,2,0)</f>
        <v>#N/A</v>
      </c>
      <c r="J5468" s="29">
        <f>'Raw data'!K5377</f>
        <v>0</v>
      </c>
      <c r="K5468" s="31">
        <f>'Raw data'!H5377</f>
        <v>0</v>
      </c>
      <c r="L5468" s="26">
        <f t="shared" si="174"/>
        <v>0</v>
      </c>
    </row>
    <row r="5469" spans="2:12">
      <c r="B5469" s="4" t="e">
        <f t="shared" si="173"/>
        <v>#N/A</v>
      </c>
      <c r="C5469" s="4">
        <f>'Raw data'!E5045</f>
        <v>0</v>
      </c>
      <c r="D5469" s="29" t="e">
        <f>VLOOKUP(C5469,'점포코드 '!A:B,2,0)</f>
        <v>#N/A</v>
      </c>
      <c r="E5469" s="30">
        <f>'Raw data'!P5045</f>
        <v>0</v>
      </c>
      <c r="F5469" s="29" t="e">
        <f>VLOOKUP(E5469,'점포코드 '!A:B,2,0)</f>
        <v>#N/A</v>
      </c>
      <c r="G5469" s="46">
        <f>'Raw data'!F5378</f>
        <v>0</v>
      </c>
      <c r="H5469" s="4">
        <f>'Raw data'!G5378</f>
        <v>0</v>
      </c>
      <c r="I5469" s="29" t="e">
        <f>VLOOKUP(G5469,제품명!$C$1:$E$114,2,0)</f>
        <v>#N/A</v>
      </c>
      <c r="J5469" s="29">
        <f>'Raw data'!K5378</f>
        <v>0</v>
      </c>
      <c r="K5469" s="31">
        <f>'Raw data'!H5378</f>
        <v>0</v>
      </c>
      <c r="L5469" s="26">
        <f t="shared" si="174"/>
        <v>0</v>
      </c>
    </row>
    <row r="5470" spans="2:12">
      <c r="B5470" s="4" t="e">
        <f t="shared" si="173"/>
        <v>#N/A</v>
      </c>
      <c r="C5470" s="4">
        <f>'Raw data'!E5046</f>
        <v>0</v>
      </c>
      <c r="D5470" s="29" t="e">
        <f>VLOOKUP(C5470,'점포코드 '!A:B,2,0)</f>
        <v>#N/A</v>
      </c>
      <c r="E5470" s="30">
        <f>'Raw data'!P5046</f>
        <v>0</v>
      </c>
      <c r="F5470" s="29" t="e">
        <f>VLOOKUP(E5470,'점포코드 '!A:B,2,0)</f>
        <v>#N/A</v>
      </c>
      <c r="G5470" s="46">
        <f>'Raw data'!F5379</f>
        <v>0</v>
      </c>
      <c r="H5470" s="4">
        <f>'Raw data'!G5379</f>
        <v>0</v>
      </c>
      <c r="I5470" s="29" t="e">
        <f>VLOOKUP(G5470,제품명!$C$1:$E$114,2,0)</f>
        <v>#N/A</v>
      </c>
      <c r="J5470" s="29">
        <f>'Raw data'!K5379</f>
        <v>0</v>
      </c>
      <c r="K5470" s="31">
        <f>'Raw data'!H5379</f>
        <v>0</v>
      </c>
      <c r="L5470" s="26">
        <f t="shared" si="174"/>
        <v>0</v>
      </c>
    </row>
    <row r="5471" spans="2:12">
      <c r="B5471" s="4" t="e">
        <f t="shared" si="173"/>
        <v>#N/A</v>
      </c>
      <c r="C5471" s="4">
        <f>'Raw data'!E5047</f>
        <v>0</v>
      </c>
      <c r="D5471" s="29" t="e">
        <f>VLOOKUP(C5471,'점포코드 '!A:B,2,0)</f>
        <v>#N/A</v>
      </c>
      <c r="E5471" s="30">
        <f>'Raw data'!P5047</f>
        <v>0</v>
      </c>
      <c r="F5471" s="29" t="e">
        <f>VLOOKUP(E5471,'점포코드 '!A:B,2,0)</f>
        <v>#N/A</v>
      </c>
      <c r="G5471" s="46">
        <f>'Raw data'!F5380</f>
        <v>0</v>
      </c>
      <c r="H5471" s="4">
        <f>'Raw data'!G5380</f>
        <v>0</v>
      </c>
      <c r="I5471" s="29" t="e">
        <f>VLOOKUP(G5471,제품명!$C$1:$E$114,2,0)</f>
        <v>#N/A</v>
      </c>
      <c r="J5471" s="29">
        <f>'Raw data'!K5380</f>
        <v>0</v>
      </c>
      <c r="K5471" s="31">
        <f>'Raw data'!H5380</f>
        <v>0</v>
      </c>
      <c r="L5471" s="26">
        <f t="shared" si="174"/>
        <v>0</v>
      </c>
    </row>
    <row r="5472" spans="2:12">
      <c r="B5472" s="4" t="e">
        <f t="shared" si="173"/>
        <v>#N/A</v>
      </c>
      <c r="C5472" s="4">
        <f>'Raw data'!E5048</f>
        <v>0</v>
      </c>
      <c r="D5472" s="29" t="e">
        <f>VLOOKUP(C5472,'점포코드 '!A:B,2,0)</f>
        <v>#N/A</v>
      </c>
      <c r="E5472" s="30">
        <f>'Raw data'!P5048</f>
        <v>0</v>
      </c>
      <c r="F5472" s="29" t="e">
        <f>VLOOKUP(E5472,'점포코드 '!A:B,2,0)</f>
        <v>#N/A</v>
      </c>
      <c r="G5472" s="46">
        <f>'Raw data'!F5381</f>
        <v>0</v>
      </c>
      <c r="H5472" s="4">
        <f>'Raw data'!G5381</f>
        <v>0</v>
      </c>
      <c r="I5472" s="29" t="e">
        <f>VLOOKUP(G5472,제품명!$C$1:$E$114,2,0)</f>
        <v>#N/A</v>
      </c>
      <c r="J5472" s="29">
        <f>'Raw data'!K5381</f>
        <v>0</v>
      </c>
      <c r="K5472" s="31">
        <f>'Raw data'!H5381</f>
        <v>0</v>
      </c>
      <c r="L5472" s="26">
        <f t="shared" si="174"/>
        <v>0</v>
      </c>
    </row>
    <row r="5473" spans="2:12">
      <c r="B5473" s="4" t="e">
        <f t="shared" si="173"/>
        <v>#N/A</v>
      </c>
      <c r="C5473" s="4">
        <f>'Raw data'!E5049</f>
        <v>0</v>
      </c>
      <c r="D5473" s="29" t="e">
        <f>VLOOKUP(C5473,'점포코드 '!A:B,2,0)</f>
        <v>#N/A</v>
      </c>
      <c r="E5473" s="30">
        <f>'Raw data'!P5049</f>
        <v>0</v>
      </c>
      <c r="F5473" s="29" t="e">
        <f>VLOOKUP(E5473,'점포코드 '!A:B,2,0)</f>
        <v>#N/A</v>
      </c>
      <c r="G5473" s="46">
        <f>'Raw data'!F5382</f>
        <v>0</v>
      </c>
      <c r="H5473" s="4">
        <f>'Raw data'!G5382</f>
        <v>0</v>
      </c>
      <c r="I5473" s="29" t="e">
        <f>VLOOKUP(G5473,제품명!$C$1:$E$114,2,0)</f>
        <v>#N/A</v>
      </c>
      <c r="J5473" s="29">
        <f>'Raw data'!K5382</f>
        <v>0</v>
      </c>
      <c r="K5473" s="31">
        <f>'Raw data'!H5382</f>
        <v>0</v>
      </c>
      <c r="L5473" s="26">
        <f t="shared" si="174"/>
        <v>0</v>
      </c>
    </row>
    <row r="5474" spans="2:12">
      <c r="B5474" s="4" t="e">
        <f t="shared" si="173"/>
        <v>#N/A</v>
      </c>
      <c r="C5474" s="4">
        <f>'Raw data'!E5050</f>
        <v>0</v>
      </c>
      <c r="D5474" s="29" t="e">
        <f>VLOOKUP(C5474,'점포코드 '!A:B,2,0)</f>
        <v>#N/A</v>
      </c>
      <c r="E5474" s="30">
        <f>'Raw data'!P5050</f>
        <v>0</v>
      </c>
      <c r="F5474" s="29" t="e">
        <f>VLOOKUP(E5474,'점포코드 '!A:B,2,0)</f>
        <v>#N/A</v>
      </c>
      <c r="G5474" s="46">
        <f>'Raw data'!F5383</f>
        <v>0</v>
      </c>
      <c r="H5474" s="4">
        <f>'Raw data'!G5383</f>
        <v>0</v>
      </c>
      <c r="I5474" s="29" t="e">
        <f>VLOOKUP(G5474,제품명!$C$1:$E$114,2,0)</f>
        <v>#N/A</v>
      </c>
      <c r="J5474" s="29">
        <f>'Raw data'!K5383</f>
        <v>0</v>
      </c>
      <c r="K5474" s="31">
        <f>'Raw data'!H5383</f>
        <v>0</v>
      </c>
      <c r="L5474" s="26">
        <f t="shared" si="174"/>
        <v>0</v>
      </c>
    </row>
    <row r="5475" spans="2:12">
      <c r="B5475" s="4" t="e">
        <f t="shared" si="173"/>
        <v>#N/A</v>
      </c>
      <c r="C5475" s="4">
        <f>'Raw data'!E5051</f>
        <v>0</v>
      </c>
      <c r="D5475" s="29" t="e">
        <f>VLOOKUP(C5475,'점포코드 '!A:B,2,0)</f>
        <v>#N/A</v>
      </c>
      <c r="E5475" s="30">
        <f>'Raw data'!P5051</f>
        <v>0</v>
      </c>
      <c r="F5475" s="29" t="e">
        <f>VLOOKUP(E5475,'점포코드 '!A:B,2,0)</f>
        <v>#N/A</v>
      </c>
      <c r="G5475" s="46">
        <f>'Raw data'!F5384</f>
        <v>0</v>
      </c>
      <c r="H5475" s="4">
        <f>'Raw data'!G5384</f>
        <v>0</v>
      </c>
      <c r="I5475" s="29" t="e">
        <f>VLOOKUP(G5475,제품명!$C$1:$E$114,2,0)</f>
        <v>#N/A</v>
      </c>
      <c r="J5475" s="29">
        <f>'Raw data'!K5384</f>
        <v>0</v>
      </c>
      <c r="K5475" s="31">
        <f>'Raw data'!H5384</f>
        <v>0</v>
      </c>
      <c r="L5475" s="26">
        <f t="shared" si="174"/>
        <v>0</v>
      </c>
    </row>
    <row r="5476" spans="2:12">
      <c r="B5476" s="4" t="e">
        <f t="shared" si="173"/>
        <v>#N/A</v>
      </c>
      <c r="C5476" s="4">
        <f>'Raw data'!E5052</f>
        <v>0</v>
      </c>
      <c r="D5476" s="29" t="e">
        <f>VLOOKUP(C5476,'점포코드 '!A:B,2,0)</f>
        <v>#N/A</v>
      </c>
      <c r="E5476" s="30">
        <f>'Raw data'!P5052</f>
        <v>0</v>
      </c>
      <c r="F5476" s="29" t="e">
        <f>VLOOKUP(E5476,'점포코드 '!A:B,2,0)</f>
        <v>#N/A</v>
      </c>
      <c r="G5476" s="46">
        <f>'Raw data'!F5385</f>
        <v>0</v>
      </c>
      <c r="H5476" s="4">
        <f>'Raw data'!G5385</f>
        <v>0</v>
      </c>
      <c r="I5476" s="29" t="e">
        <f>VLOOKUP(G5476,제품명!$C$1:$E$114,2,0)</f>
        <v>#N/A</v>
      </c>
      <c r="J5476" s="29">
        <f>'Raw data'!K5385</f>
        <v>0</v>
      </c>
      <c r="K5476" s="31">
        <f>'Raw data'!H5385</f>
        <v>0</v>
      </c>
      <c r="L5476" s="26">
        <f t="shared" si="174"/>
        <v>0</v>
      </c>
    </row>
    <row r="5477" spans="2:12">
      <c r="B5477" s="4" t="e">
        <f t="shared" si="173"/>
        <v>#N/A</v>
      </c>
      <c r="C5477" s="4">
        <f>'Raw data'!E5053</f>
        <v>0</v>
      </c>
      <c r="D5477" s="29" t="e">
        <f>VLOOKUP(C5477,'점포코드 '!A:B,2,0)</f>
        <v>#N/A</v>
      </c>
      <c r="E5477" s="30">
        <f>'Raw data'!P5053</f>
        <v>0</v>
      </c>
      <c r="F5477" s="29" t="e">
        <f>VLOOKUP(E5477,'점포코드 '!A:B,2,0)</f>
        <v>#N/A</v>
      </c>
      <c r="G5477" s="46">
        <f>'Raw data'!F5386</f>
        <v>0</v>
      </c>
      <c r="H5477" s="4">
        <f>'Raw data'!G5386</f>
        <v>0</v>
      </c>
      <c r="I5477" s="29" t="e">
        <f>VLOOKUP(G5477,제품명!$C$1:$E$114,2,0)</f>
        <v>#N/A</v>
      </c>
      <c r="J5477" s="29">
        <f>'Raw data'!K5386</f>
        <v>0</v>
      </c>
      <c r="K5477" s="31">
        <f>'Raw data'!H5386</f>
        <v>0</v>
      </c>
      <c r="L5477" s="26">
        <f t="shared" si="174"/>
        <v>0</v>
      </c>
    </row>
    <row r="5478" spans="2:12">
      <c r="B5478" s="4" t="e">
        <f t="shared" si="173"/>
        <v>#N/A</v>
      </c>
      <c r="C5478" s="4">
        <f>'Raw data'!E5054</f>
        <v>0</v>
      </c>
      <c r="D5478" s="29" t="e">
        <f>VLOOKUP(C5478,'점포코드 '!A:B,2,0)</f>
        <v>#N/A</v>
      </c>
      <c r="E5478" s="30">
        <f>'Raw data'!P5054</f>
        <v>0</v>
      </c>
      <c r="F5478" s="29" t="e">
        <f>VLOOKUP(E5478,'점포코드 '!A:B,2,0)</f>
        <v>#N/A</v>
      </c>
      <c r="G5478" s="46">
        <f>'Raw data'!F5387</f>
        <v>0</v>
      </c>
      <c r="H5478" s="4">
        <f>'Raw data'!G5387</f>
        <v>0</v>
      </c>
      <c r="I5478" s="29" t="e">
        <f>VLOOKUP(G5478,제품명!$C$1:$E$114,2,0)</f>
        <v>#N/A</v>
      </c>
      <c r="J5478" s="29">
        <f>'Raw data'!K5387</f>
        <v>0</v>
      </c>
      <c r="K5478" s="31">
        <f>'Raw data'!H5387</f>
        <v>0</v>
      </c>
      <c r="L5478" s="26">
        <f t="shared" si="174"/>
        <v>0</v>
      </c>
    </row>
    <row r="5479" spans="2:12">
      <c r="B5479" s="4" t="e">
        <f t="shared" si="173"/>
        <v>#N/A</v>
      </c>
      <c r="C5479" s="4">
        <f>'Raw data'!E5055</f>
        <v>0</v>
      </c>
      <c r="D5479" s="29" t="e">
        <f>VLOOKUP(C5479,'점포코드 '!A:B,2,0)</f>
        <v>#N/A</v>
      </c>
      <c r="E5479" s="30">
        <f>'Raw data'!P5055</f>
        <v>0</v>
      </c>
      <c r="F5479" s="29" t="e">
        <f>VLOOKUP(E5479,'점포코드 '!A:B,2,0)</f>
        <v>#N/A</v>
      </c>
      <c r="G5479" s="46">
        <f>'Raw data'!F5388</f>
        <v>0</v>
      </c>
      <c r="H5479" s="4">
        <f>'Raw data'!G5388</f>
        <v>0</v>
      </c>
      <c r="I5479" s="29" t="e">
        <f>VLOOKUP(G5479,제품명!$C$1:$E$114,2,0)</f>
        <v>#N/A</v>
      </c>
      <c r="J5479" s="29">
        <f>'Raw data'!K5388</f>
        <v>0</v>
      </c>
      <c r="K5479" s="31">
        <f>'Raw data'!H5388</f>
        <v>0</v>
      </c>
      <c r="L5479" s="26">
        <f t="shared" si="174"/>
        <v>0</v>
      </c>
    </row>
    <row r="5480" spans="2:12">
      <c r="B5480" s="4" t="e">
        <f t="shared" si="173"/>
        <v>#N/A</v>
      </c>
      <c r="C5480" s="4">
        <f>'Raw data'!E5056</f>
        <v>0</v>
      </c>
      <c r="D5480" s="29" t="e">
        <f>VLOOKUP(C5480,'점포코드 '!A:B,2,0)</f>
        <v>#N/A</v>
      </c>
      <c r="E5480" s="30">
        <f>'Raw data'!P5056</f>
        <v>0</v>
      </c>
      <c r="F5480" s="29" t="e">
        <f>VLOOKUP(E5480,'점포코드 '!A:B,2,0)</f>
        <v>#N/A</v>
      </c>
      <c r="G5480" s="46">
        <f>'Raw data'!F5389</f>
        <v>0</v>
      </c>
      <c r="H5480" s="4">
        <f>'Raw data'!G5389</f>
        <v>0</v>
      </c>
      <c r="I5480" s="29" t="e">
        <f>VLOOKUP(G5480,제품명!$C$1:$E$114,2,0)</f>
        <v>#N/A</v>
      </c>
      <c r="J5480" s="29">
        <f>'Raw data'!K5389</f>
        <v>0</v>
      </c>
      <c r="K5480" s="31">
        <f>'Raw data'!H5389</f>
        <v>0</v>
      </c>
      <c r="L5480" s="26">
        <f t="shared" si="174"/>
        <v>0</v>
      </c>
    </row>
    <row r="5481" spans="2:12">
      <c r="B5481" s="4" t="e">
        <f t="shared" si="173"/>
        <v>#N/A</v>
      </c>
      <c r="C5481" s="4">
        <f>'Raw data'!E5057</f>
        <v>0</v>
      </c>
      <c r="D5481" s="29" t="e">
        <f>VLOOKUP(C5481,'점포코드 '!A:B,2,0)</f>
        <v>#N/A</v>
      </c>
      <c r="E5481" s="30">
        <f>'Raw data'!P5057</f>
        <v>0</v>
      </c>
      <c r="F5481" s="29" t="e">
        <f>VLOOKUP(E5481,'점포코드 '!A:B,2,0)</f>
        <v>#N/A</v>
      </c>
      <c r="G5481" s="46">
        <f>'Raw data'!F5390</f>
        <v>0</v>
      </c>
      <c r="H5481" s="4">
        <f>'Raw data'!G5390</f>
        <v>0</v>
      </c>
      <c r="I5481" s="29" t="e">
        <f>VLOOKUP(G5481,제품명!$C$1:$E$114,2,0)</f>
        <v>#N/A</v>
      </c>
      <c r="J5481" s="29">
        <f>'Raw data'!K5390</f>
        <v>0</v>
      </c>
      <c r="K5481" s="31">
        <f>'Raw data'!H5390</f>
        <v>0</v>
      </c>
      <c r="L5481" s="26">
        <f t="shared" si="174"/>
        <v>0</v>
      </c>
    </row>
    <row r="5482" spans="2:12">
      <c r="B5482" s="4" t="e">
        <f t="shared" si="173"/>
        <v>#N/A</v>
      </c>
      <c r="C5482" s="4">
        <f>'Raw data'!E5058</f>
        <v>0</v>
      </c>
      <c r="D5482" s="29" t="e">
        <f>VLOOKUP(C5482,'점포코드 '!A:B,2,0)</f>
        <v>#N/A</v>
      </c>
      <c r="E5482" s="30">
        <f>'Raw data'!P5058</f>
        <v>0</v>
      </c>
      <c r="F5482" s="29" t="e">
        <f>VLOOKUP(E5482,'점포코드 '!A:B,2,0)</f>
        <v>#N/A</v>
      </c>
      <c r="G5482" s="46">
        <f>'Raw data'!F5391</f>
        <v>0</v>
      </c>
      <c r="H5482" s="4">
        <f>'Raw data'!G5391</f>
        <v>0</v>
      </c>
      <c r="I5482" s="29" t="e">
        <f>VLOOKUP(G5482,제품명!$C$1:$E$114,2,0)</f>
        <v>#N/A</v>
      </c>
      <c r="J5482" s="29">
        <f>'Raw data'!K5391</f>
        <v>0</v>
      </c>
      <c r="K5482" s="31">
        <f>'Raw data'!H5391</f>
        <v>0</v>
      </c>
      <c r="L5482" s="26">
        <f t="shared" si="174"/>
        <v>0</v>
      </c>
    </row>
    <row r="5483" spans="2:12">
      <c r="B5483" s="4" t="e">
        <f t="shared" si="173"/>
        <v>#N/A</v>
      </c>
      <c r="C5483" s="4">
        <f>'Raw data'!E5059</f>
        <v>0</v>
      </c>
      <c r="D5483" s="29" t="e">
        <f>VLOOKUP(C5483,'점포코드 '!A:B,2,0)</f>
        <v>#N/A</v>
      </c>
      <c r="E5483" s="30">
        <f>'Raw data'!P5059</f>
        <v>0</v>
      </c>
      <c r="F5483" s="29" t="e">
        <f>VLOOKUP(E5483,'점포코드 '!A:B,2,0)</f>
        <v>#N/A</v>
      </c>
      <c r="G5483" s="46">
        <f>'Raw data'!F5392</f>
        <v>0</v>
      </c>
      <c r="H5483" s="4">
        <f>'Raw data'!G5392</f>
        <v>0</v>
      </c>
      <c r="I5483" s="29" t="e">
        <f>VLOOKUP(G5483,제품명!$C$1:$E$114,2,0)</f>
        <v>#N/A</v>
      </c>
      <c r="J5483" s="29">
        <f>'Raw data'!K5392</f>
        <v>0</v>
      </c>
      <c r="K5483" s="31">
        <f>'Raw data'!H5392</f>
        <v>0</v>
      </c>
      <c r="L5483" s="26">
        <f t="shared" si="174"/>
        <v>0</v>
      </c>
    </row>
    <row r="5484" spans="2:12">
      <c r="B5484" s="4" t="e">
        <f t="shared" si="173"/>
        <v>#N/A</v>
      </c>
      <c r="C5484" s="4">
        <f>'Raw data'!E5060</f>
        <v>0</v>
      </c>
      <c r="D5484" s="29" t="e">
        <f>VLOOKUP(C5484,'점포코드 '!A:B,2,0)</f>
        <v>#N/A</v>
      </c>
      <c r="E5484" s="30">
        <f>'Raw data'!P5060</f>
        <v>0</v>
      </c>
      <c r="F5484" s="29" t="e">
        <f>VLOOKUP(E5484,'점포코드 '!A:B,2,0)</f>
        <v>#N/A</v>
      </c>
      <c r="G5484" s="46">
        <f>'Raw data'!F5393</f>
        <v>0</v>
      </c>
      <c r="H5484" s="4">
        <f>'Raw data'!G5393</f>
        <v>0</v>
      </c>
      <c r="I5484" s="29" t="e">
        <f>VLOOKUP(G5484,제품명!$C$1:$E$114,2,0)</f>
        <v>#N/A</v>
      </c>
      <c r="J5484" s="29">
        <f>'Raw data'!K5393</f>
        <v>0</v>
      </c>
      <c r="K5484" s="31">
        <f>'Raw data'!H5393</f>
        <v>0</v>
      </c>
      <c r="L5484" s="26">
        <f t="shared" si="174"/>
        <v>0</v>
      </c>
    </row>
    <row r="5485" spans="2:12">
      <c r="B5485" s="4" t="e">
        <f t="shared" si="173"/>
        <v>#N/A</v>
      </c>
      <c r="C5485" s="4">
        <f>'Raw data'!E5061</f>
        <v>0</v>
      </c>
      <c r="D5485" s="29" t="e">
        <f>VLOOKUP(C5485,'점포코드 '!A:B,2,0)</f>
        <v>#N/A</v>
      </c>
      <c r="E5485" s="30">
        <f>'Raw data'!P5061</f>
        <v>0</v>
      </c>
      <c r="F5485" s="29" t="e">
        <f>VLOOKUP(E5485,'점포코드 '!A:B,2,0)</f>
        <v>#N/A</v>
      </c>
      <c r="G5485" s="46">
        <f>'Raw data'!F5394</f>
        <v>0</v>
      </c>
      <c r="H5485" s="4">
        <f>'Raw data'!G5394</f>
        <v>0</v>
      </c>
      <c r="I5485" s="29" t="e">
        <f>VLOOKUP(G5485,제품명!$C$1:$E$114,2,0)</f>
        <v>#N/A</v>
      </c>
      <c r="J5485" s="29">
        <f>'Raw data'!K5394</f>
        <v>0</v>
      </c>
      <c r="K5485" s="31">
        <f>'Raw data'!H5394</f>
        <v>0</v>
      </c>
      <c r="L5485" s="26">
        <f t="shared" si="174"/>
        <v>0</v>
      </c>
    </row>
    <row r="5486" spans="2:12">
      <c r="B5486" s="4" t="e">
        <f t="shared" si="173"/>
        <v>#N/A</v>
      </c>
      <c r="C5486" s="4">
        <f>'Raw data'!E5062</f>
        <v>0</v>
      </c>
      <c r="D5486" s="29" t="e">
        <f>VLOOKUP(C5486,'점포코드 '!A:B,2,0)</f>
        <v>#N/A</v>
      </c>
      <c r="E5486" s="30">
        <f>'Raw data'!P5062</f>
        <v>0</v>
      </c>
      <c r="F5486" s="29" t="e">
        <f>VLOOKUP(E5486,'점포코드 '!A:B,2,0)</f>
        <v>#N/A</v>
      </c>
      <c r="G5486" s="46">
        <f>'Raw data'!F5395</f>
        <v>0</v>
      </c>
      <c r="H5486" s="4">
        <f>'Raw data'!G5395</f>
        <v>0</v>
      </c>
      <c r="I5486" s="29" t="e">
        <f>VLOOKUP(G5486,제품명!$C$1:$E$114,2,0)</f>
        <v>#N/A</v>
      </c>
      <c r="J5486" s="29">
        <f>'Raw data'!K5395</f>
        <v>0</v>
      </c>
      <c r="K5486" s="31">
        <f>'Raw data'!H5395</f>
        <v>0</v>
      </c>
      <c r="L5486" s="26">
        <f t="shared" si="174"/>
        <v>0</v>
      </c>
    </row>
    <row r="5487" spans="2:12">
      <c r="B5487" s="4" t="e">
        <f t="shared" si="173"/>
        <v>#N/A</v>
      </c>
      <c r="C5487" s="4">
        <f>'Raw data'!E5063</f>
        <v>0</v>
      </c>
      <c r="D5487" s="29" t="e">
        <f>VLOOKUP(C5487,'점포코드 '!A:B,2,0)</f>
        <v>#N/A</v>
      </c>
      <c r="E5487" s="30">
        <f>'Raw data'!P5063</f>
        <v>0</v>
      </c>
      <c r="F5487" s="29" t="e">
        <f>VLOOKUP(E5487,'점포코드 '!A:B,2,0)</f>
        <v>#N/A</v>
      </c>
      <c r="G5487" s="46">
        <f>'Raw data'!F5396</f>
        <v>0</v>
      </c>
      <c r="H5487" s="4">
        <f>'Raw data'!G5396</f>
        <v>0</v>
      </c>
      <c r="I5487" s="29" t="e">
        <f>VLOOKUP(G5487,제품명!$C$1:$E$114,2,0)</f>
        <v>#N/A</v>
      </c>
      <c r="J5487" s="29">
        <f>'Raw data'!K5396</f>
        <v>0</v>
      </c>
      <c r="K5487" s="31">
        <f>'Raw data'!H5396</f>
        <v>0</v>
      </c>
      <c r="L5487" s="26">
        <f t="shared" si="174"/>
        <v>0</v>
      </c>
    </row>
    <row r="5488" spans="2:12">
      <c r="B5488" s="4" t="e">
        <f t="shared" si="173"/>
        <v>#N/A</v>
      </c>
      <c r="C5488" s="4">
        <f>'Raw data'!E5064</f>
        <v>0</v>
      </c>
      <c r="D5488" s="29" t="e">
        <f>VLOOKUP(C5488,'점포코드 '!A:B,2,0)</f>
        <v>#N/A</v>
      </c>
      <c r="E5488" s="30">
        <f>'Raw data'!P5064</f>
        <v>0</v>
      </c>
      <c r="F5488" s="29" t="e">
        <f>VLOOKUP(E5488,'점포코드 '!A:B,2,0)</f>
        <v>#N/A</v>
      </c>
      <c r="G5488" s="46">
        <f>'Raw data'!F5397</f>
        <v>0</v>
      </c>
      <c r="H5488" s="4">
        <f>'Raw data'!G5397</f>
        <v>0</v>
      </c>
      <c r="I5488" s="29" t="e">
        <f>VLOOKUP(G5488,제품명!$C$1:$E$114,2,0)</f>
        <v>#N/A</v>
      </c>
      <c r="J5488" s="29">
        <f>'Raw data'!K5397</f>
        <v>0</v>
      </c>
      <c r="K5488" s="31">
        <f>'Raw data'!H5397</f>
        <v>0</v>
      </c>
      <c r="L5488" s="26">
        <f t="shared" si="174"/>
        <v>0</v>
      </c>
    </row>
    <row r="5489" spans="2:12">
      <c r="B5489" s="4" t="e">
        <f t="shared" si="173"/>
        <v>#N/A</v>
      </c>
      <c r="C5489" s="4">
        <f>'Raw data'!E5065</f>
        <v>0</v>
      </c>
      <c r="D5489" s="29" t="e">
        <f>VLOOKUP(C5489,'점포코드 '!A:B,2,0)</f>
        <v>#N/A</v>
      </c>
      <c r="E5489" s="30">
        <f>'Raw data'!P5065</f>
        <v>0</v>
      </c>
      <c r="F5489" s="29" t="e">
        <f>VLOOKUP(E5489,'점포코드 '!A:B,2,0)</f>
        <v>#N/A</v>
      </c>
      <c r="G5489" s="46">
        <f>'Raw data'!F5398</f>
        <v>0</v>
      </c>
      <c r="H5489" s="4">
        <f>'Raw data'!G5398</f>
        <v>0</v>
      </c>
      <c r="I5489" s="29" t="e">
        <f>VLOOKUP(G5489,제품명!$C$1:$E$114,2,0)</f>
        <v>#N/A</v>
      </c>
      <c r="J5489" s="29">
        <f>'Raw data'!K5398</f>
        <v>0</v>
      </c>
      <c r="K5489" s="31">
        <f>'Raw data'!H5398</f>
        <v>0</v>
      </c>
      <c r="L5489" s="26">
        <f t="shared" si="174"/>
        <v>0</v>
      </c>
    </row>
    <row r="5490" spans="2:12">
      <c r="B5490" s="4" t="e">
        <f t="shared" si="173"/>
        <v>#N/A</v>
      </c>
      <c r="C5490" s="4">
        <f>'Raw data'!E5066</f>
        <v>0</v>
      </c>
      <c r="D5490" s="29" t="e">
        <f>VLOOKUP(C5490,'점포코드 '!A:B,2,0)</f>
        <v>#N/A</v>
      </c>
      <c r="E5490" s="30">
        <f>'Raw data'!P5066</f>
        <v>0</v>
      </c>
      <c r="F5490" s="29" t="e">
        <f>VLOOKUP(E5490,'점포코드 '!A:B,2,0)</f>
        <v>#N/A</v>
      </c>
      <c r="G5490" s="46">
        <f>'Raw data'!F5399</f>
        <v>0</v>
      </c>
      <c r="H5490" s="4">
        <f>'Raw data'!G5399</f>
        <v>0</v>
      </c>
      <c r="I5490" s="29" t="e">
        <f>VLOOKUP(G5490,제품명!$C$1:$E$114,2,0)</f>
        <v>#N/A</v>
      </c>
      <c r="J5490" s="29">
        <f>'Raw data'!K5399</f>
        <v>0</v>
      </c>
      <c r="K5490" s="31">
        <f>'Raw data'!H5399</f>
        <v>0</v>
      </c>
      <c r="L5490" s="26">
        <f t="shared" si="174"/>
        <v>0</v>
      </c>
    </row>
    <row r="5491" spans="2:12">
      <c r="B5491" s="4" t="e">
        <f t="shared" si="173"/>
        <v>#N/A</v>
      </c>
      <c r="C5491" s="4">
        <f>'Raw data'!E5067</f>
        <v>0</v>
      </c>
      <c r="D5491" s="29" t="e">
        <f>VLOOKUP(C5491,'점포코드 '!A:B,2,0)</f>
        <v>#N/A</v>
      </c>
      <c r="E5491" s="30">
        <f>'Raw data'!P5067</f>
        <v>0</v>
      </c>
      <c r="F5491" s="29" t="e">
        <f>VLOOKUP(E5491,'점포코드 '!A:B,2,0)</f>
        <v>#N/A</v>
      </c>
      <c r="G5491" s="46">
        <f>'Raw data'!F5400</f>
        <v>0</v>
      </c>
      <c r="H5491" s="4">
        <f>'Raw data'!G5400</f>
        <v>0</v>
      </c>
      <c r="I5491" s="29" t="e">
        <f>VLOOKUP(G5491,제품명!$C$1:$E$114,2,0)</f>
        <v>#N/A</v>
      </c>
      <c r="J5491" s="29">
        <f>'Raw data'!K5400</f>
        <v>0</v>
      </c>
      <c r="K5491" s="31">
        <f>'Raw data'!H5400</f>
        <v>0</v>
      </c>
      <c r="L5491" s="26">
        <f t="shared" si="174"/>
        <v>0</v>
      </c>
    </row>
    <row r="5492" spans="2:12">
      <c r="B5492" s="4" t="e">
        <f t="shared" si="173"/>
        <v>#N/A</v>
      </c>
      <c r="C5492" s="4">
        <f>'Raw data'!E5068</f>
        <v>0</v>
      </c>
      <c r="D5492" s="29" t="e">
        <f>VLOOKUP(C5492,'점포코드 '!A:B,2,0)</f>
        <v>#N/A</v>
      </c>
      <c r="E5492" s="30">
        <f>'Raw data'!P5068</f>
        <v>0</v>
      </c>
      <c r="F5492" s="29" t="e">
        <f>VLOOKUP(E5492,'점포코드 '!A:B,2,0)</f>
        <v>#N/A</v>
      </c>
      <c r="G5492" s="46">
        <f>'Raw data'!F5401</f>
        <v>0</v>
      </c>
      <c r="H5492" s="4">
        <f>'Raw data'!G5401</f>
        <v>0</v>
      </c>
      <c r="I5492" s="29" t="e">
        <f>VLOOKUP(G5492,제품명!$C$1:$E$114,2,0)</f>
        <v>#N/A</v>
      </c>
      <c r="J5492" s="29">
        <f>'Raw data'!K5401</f>
        <v>0</v>
      </c>
      <c r="K5492" s="31">
        <f>'Raw data'!H5401</f>
        <v>0</v>
      </c>
      <c r="L5492" s="26">
        <f t="shared" si="174"/>
        <v>0</v>
      </c>
    </row>
    <row r="5493" spans="2:12">
      <c r="B5493" s="4" t="e">
        <f t="shared" si="173"/>
        <v>#N/A</v>
      </c>
      <c r="C5493" s="4">
        <f>'Raw data'!E5069</f>
        <v>0</v>
      </c>
      <c r="D5493" s="29" t="e">
        <f>VLOOKUP(C5493,'점포코드 '!A:B,2,0)</f>
        <v>#N/A</v>
      </c>
      <c r="E5493" s="30">
        <f>'Raw data'!P5069</f>
        <v>0</v>
      </c>
      <c r="F5493" s="29" t="e">
        <f>VLOOKUP(E5493,'점포코드 '!A:B,2,0)</f>
        <v>#N/A</v>
      </c>
      <c r="G5493" s="46">
        <f>'Raw data'!F5402</f>
        <v>0</v>
      </c>
      <c r="H5493" s="4">
        <f>'Raw data'!G5402</f>
        <v>0</v>
      </c>
      <c r="I5493" s="29" t="e">
        <f>VLOOKUP(G5493,제품명!$C$1:$E$114,2,0)</f>
        <v>#N/A</v>
      </c>
      <c r="J5493" s="29">
        <f>'Raw data'!K5402</f>
        <v>0</v>
      </c>
      <c r="K5493" s="31">
        <f>'Raw data'!H5402</f>
        <v>0</v>
      </c>
      <c r="L5493" s="26">
        <f t="shared" si="174"/>
        <v>0</v>
      </c>
    </row>
    <row r="5494" spans="2:12">
      <c r="B5494" s="4" t="e">
        <f t="shared" si="173"/>
        <v>#N/A</v>
      </c>
      <c r="C5494" s="4">
        <f>'Raw data'!E5070</f>
        <v>0</v>
      </c>
      <c r="D5494" s="29" t="e">
        <f>VLOOKUP(C5494,'점포코드 '!A:B,2,0)</f>
        <v>#N/A</v>
      </c>
      <c r="E5494" s="30">
        <f>'Raw data'!P5070</f>
        <v>0</v>
      </c>
      <c r="F5494" s="29" t="e">
        <f>VLOOKUP(E5494,'점포코드 '!A:B,2,0)</f>
        <v>#N/A</v>
      </c>
      <c r="G5494" s="46">
        <f>'Raw data'!F5403</f>
        <v>0</v>
      </c>
      <c r="H5494" s="4">
        <f>'Raw data'!G5403</f>
        <v>0</v>
      </c>
      <c r="I5494" s="29" t="e">
        <f>VLOOKUP(G5494,제품명!$C$1:$E$114,2,0)</f>
        <v>#N/A</v>
      </c>
      <c r="J5494" s="29">
        <f>'Raw data'!K5403</f>
        <v>0</v>
      </c>
      <c r="K5494" s="31">
        <f>'Raw data'!H5403</f>
        <v>0</v>
      </c>
      <c r="L5494" s="26">
        <f t="shared" si="174"/>
        <v>0</v>
      </c>
    </row>
    <row r="5495" spans="2:12">
      <c r="B5495" s="4" t="e">
        <f t="shared" si="173"/>
        <v>#N/A</v>
      </c>
      <c r="C5495" s="4">
        <f>'Raw data'!E5071</f>
        <v>0</v>
      </c>
      <c r="D5495" s="29" t="e">
        <f>VLOOKUP(C5495,'점포코드 '!A:B,2,0)</f>
        <v>#N/A</v>
      </c>
      <c r="E5495" s="30">
        <f>'Raw data'!P5071</f>
        <v>0</v>
      </c>
      <c r="F5495" s="29" t="e">
        <f>VLOOKUP(E5495,'점포코드 '!A:B,2,0)</f>
        <v>#N/A</v>
      </c>
      <c r="G5495" s="46">
        <f>'Raw data'!F5404</f>
        <v>0</v>
      </c>
      <c r="H5495" s="4">
        <f>'Raw data'!G5404</f>
        <v>0</v>
      </c>
      <c r="I5495" s="29" t="e">
        <f>VLOOKUP(G5495,제품명!$C$1:$E$114,2,0)</f>
        <v>#N/A</v>
      </c>
      <c r="J5495" s="29">
        <f>'Raw data'!K5404</f>
        <v>0</v>
      </c>
      <c r="K5495" s="31">
        <f>'Raw data'!H5404</f>
        <v>0</v>
      </c>
      <c r="L5495" s="26">
        <f t="shared" si="174"/>
        <v>0</v>
      </c>
    </row>
    <row r="5496" spans="2:12">
      <c r="B5496" s="4" t="e">
        <f t="shared" si="173"/>
        <v>#N/A</v>
      </c>
      <c r="C5496" s="4">
        <f>'Raw data'!E5072</f>
        <v>0</v>
      </c>
      <c r="D5496" s="29" t="e">
        <f>VLOOKUP(C5496,'점포코드 '!A:B,2,0)</f>
        <v>#N/A</v>
      </c>
      <c r="E5496" s="30">
        <f>'Raw data'!P5072</f>
        <v>0</v>
      </c>
      <c r="F5496" s="29" t="e">
        <f>VLOOKUP(E5496,'점포코드 '!A:B,2,0)</f>
        <v>#N/A</v>
      </c>
      <c r="G5496" s="46">
        <f>'Raw data'!F5405</f>
        <v>0</v>
      </c>
      <c r="H5496" s="4">
        <f>'Raw data'!G5405</f>
        <v>0</v>
      </c>
      <c r="I5496" s="29" t="e">
        <f>VLOOKUP(G5496,제품명!$C$1:$E$114,2,0)</f>
        <v>#N/A</v>
      </c>
      <c r="J5496" s="29">
        <f>'Raw data'!K5405</f>
        <v>0</v>
      </c>
      <c r="K5496" s="31">
        <f>'Raw data'!H5405</f>
        <v>0</v>
      </c>
      <c r="L5496" s="26">
        <f t="shared" si="174"/>
        <v>0</v>
      </c>
    </row>
    <row r="5497" spans="2:12">
      <c r="B5497" s="4" t="e">
        <f t="shared" si="173"/>
        <v>#N/A</v>
      </c>
      <c r="C5497" s="4">
        <f>'Raw data'!E5073</f>
        <v>0</v>
      </c>
      <c r="D5497" s="29" t="e">
        <f>VLOOKUP(C5497,'점포코드 '!A:B,2,0)</f>
        <v>#N/A</v>
      </c>
      <c r="E5497" s="30">
        <f>'Raw data'!P5073</f>
        <v>0</v>
      </c>
      <c r="F5497" s="29" t="e">
        <f>VLOOKUP(E5497,'점포코드 '!A:B,2,0)</f>
        <v>#N/A</v>
      </c>
      <c r="G5497" s="46">
        <f>'Raw data'!F5406</f>
        <v>0</v>
      </c>
      <c r="H5497" s="4">
        <f>'Raw data'!G5406</f>
        <v>0</v>
      </c>
      <c r="I5497" s="29" t="e">
        <f>VLOOKUP(G5497,제품명!$C$1:$E$114,2,0)</f>
        <v>#N/A</v>
      </c>
      <c r="J5497" s="29">
        <f>'Raw data'!K5406</f>
        <v>0</v>
      </c>
      <c r="K5497" s="31">
        <f>'Raw data'!H5406</f>
        <v>0</v>
      </c>
      <c r="L5497" s="26">
        <f t="shared" si="174"/>
        <v>0</v>
      </c>
    </row>
    <row r="5498" spans="2:12">
      <c r="B5498" s="4" t="e">
        <f t="shared" si="173"/>
        <v>#N/A</v>
      </c>
      <c r="C5498" s="4">
        <f>'Raw data'!E5074</f>
        <v>0</v>
      </c>
      <c r="D5498" s="29" t="e">
        <f>VLOOKUP(C5498,'점포코드 '!A:B,2,0)</f>
        <v>#N/A</v>
      </c>
      <c r="E5498" s="30">
        <f>'Raw data'!P5074</f>
        <v>0</v>
      </c>
      <c r="F5498" s="29" t="e">
        <f>VLOOKUP(E5498,'점포코드 '!A:B,2,0)</f>
        <v>#N/A</v>
      </c>
      <c r="G5498" s="46">
        <f>'Raw data'!F5407</f>
        <v>0</v>
      </c>
      <c r="H5498" s="4">
        <f>'Raw data'!G5407</f>
        <v>0</v>
      </c>
      <c r="I5498" s="29" t="e">
        <f>VLOOKUP(G5498,제품명!$C$1:$E$114,2,0)</f>
        <v>#N/A</v>
      </c>
      <c r="J5498" s="29">
        <f>'Raw data'!K5407</f>
        <v>0</v>
      </c>
      <c r="K5498" s="31">
        <f>'Raw data'!H5407</f>
        <v>0</v>
      </c>
      <c r="L5498" s="26">
        <f t="shared" si="174"/>
        <v>0</v>
      </c>
    </row>
    <row r="5499" spans="2:12">
      <c r="B5499" s="4" t="e">
        <f t="shared" si="173"/>
        <v>#N/A</v>
      </c>
      <c r="C5499" s="4">
        <f>'Raw data'!E5075</f>
        <v>0</v>
      </c>
      <c r="D5499" s="29" t="e">
        <f>VLOOKUP(C5499,'점포코드 '!A:B,2,0)</f>
        <v>#N/A</v>
      </c>
      <c r="E5499" s="30">
        <f>'Raw data'!P5075</f>
        <v>0</v>
      </c>
      <c r="F5499" s="29" t="e">
        <f>VLOOKUP(E5499,'점포코드 '!A:B,2,0)</f>
        <v>#N/A</v>
      </c>
      <c r="G5499" s="46">
        <f>'Raw data'!F5408</f>
        <v>0</v>
      </c>
      <c r="H5499" s="4">
        <f>'Raw data'!G5408</f>
        <v>0</v>
      </c>
      <c r="I5499" s="29" t="e">
        <f>VLOOKUP(G5499,제품명!$C$1:$E$114,2,0)</f>
        <v>#N/A</v>
      </c>
      <c r="J5499" s="29">
        <f>'Raw data'!K5408</f>
        <v>0</v>
      </c>
      <c r="K5499" s="31">
        <f>'Raw data'!H5408</f>
        <v>0</v>
      </c>
      <c r="L5499" s="26">
        <f t="shared" si="174"/>
        <v>0</v>
      </c>
    </row>
    <row r="5500" spans="2:12">
      <c r="B5500" s="4" t="e">
        <f t="shared" si="173"/>
        <v>#N/A</v>
      </c>
      <c r="C5500" s="4">
        <f>'Raw data'!E5076</f>
        <v>0</v>
      </c>
      <c r="D5500" s="29" t="e">
        <f>VLOOKUP(C5500,'점포코드 '!A:B,2,0)</f>
        <v>#N/A</v>
      </c>
      <c r="E5500" s="30">
        <f>'Raw data'!P5076</f>
        <v>0</v>
      </c>
      <c r="F5500" s="29" t="e">
        <f>VLOOKUP(E5500,'점포코드 '!A:B,2,0)</f>
        <v>#N/A</v>
      </c>
      <c r="G5500" s="46">
        <f>'Raw data'!F5409</f>
        <v>0</v>
      </c>
      <c r="H5500" s="4">
        <f>'Raw data'!G5409</f>
        <v>0</v>
      </c>
      <c r="I5500" s="29" t="e">
        <f>VLOOKUP(G5500,제품명!$C$1:$E$114,2,0)</f>
        <v>#N/A</v>
      </c>
      <c r="J5500" s="29">
        <f>'Raw data'!K5409</f>
        <v>0</v>
      </c>
      <c r="K5500" s="31">
        <f>'Raw data'!H5409</f>
        <v>0</v>
      </c>
      <c r="L5500" s="26">
        <f t="shared" si="174"/>
        <v>0</v>
      </c>
    </row>
    <row r="5501" spans="2:12">
      <c r="B5501" s="4" t="e">
        <f t="shared" si="173"/>
        <v>#N/A</v>
      </c>
      <c r="C5501" s="4">
        <f>'Raw data'!E5077</f>
        <v>0</v>
      </c>
      <c r="D5501" s="29" t="e">
        <f>VLOOKUP(C5501,'점포코드 '!A:B,2,0)</f>
        <v>#N/A</v>
      </c>
      <c r="E5501" s="30">
        <f>'Raw data'!P5077</f>
        <v>0</v>
      </c>
      <c r="F5501" s="29" t="e">
        <f>VLOOKUP(E5501,'점포코드 '!A:B,2,0)</f>
        <v>#N/A</v>
      </c>
      <c r="G5501" s="46">
        <f>'Raw data'!F5410</f>
        <v>0</v>
      </c>
      <c r="H5501" s="4">
        <f>'Raw data'!G5410</f>
        <v>0</v>
      </c>
      <c r="I5501" s="29" t="e">
        <f>VLOOKUP(G5501,제품명!$C$1:$E$114,2,0)</f>
        <v>#N/A</v>
      </c>
      <c r="J5501" s="29">
        <f>'Raw data'!K5410</f>
        <v>0</v>
      </c>
      <c r="K5501" s="31">
        <f>'Raw data'!H5410</f>
        <v>0</v>
      </c>
      <c r="L5501" s="26">
        <f t="shared" si="174"/>
        <v>0</v>
      </c>
    </row>
    <row r="5502" spans="2:12">
      <c r="B5502" s="4" t="e">
        <f t="shared" si="173"/>
        <v>#N/A</v>
      </c>
      <c r="C5502" s="4">
        <f>'Raw data'!E5078</f>
        <v>0</v>
      </c>
      <c r="D5502" s="29" t="e">
        <f>VLOOKUP(C5502,'점포코드 '!A:B,2,0)</f>
        <v>#N/A</v>
      </c>
      <c r="E5502" s="30">
        <f>'Raw data'!P5078</f>
        <v>0</v>
      </c>
      <c r="F5502" s="29" t="e">
        <f>VLOOKUP(E5502,'점포코드 '!A:B,2,0)</f>
        <v>#N/A</v>
      </c>
      <c r="G5502" s="46">
        <f>'Raw data'!F5411</f>
        <v>0</v>
      </c>
      <c r="H5502" s="4">
        <f>'Raw data'!G5411</f>
        <v>0</v>
      </c>
      <c r="I5502" s="29" t="e">
        <f>VLOOKUP(G5502,제품명!$C$1:$E$114,2,0)</f>
        <v>#N/A</v>
      </c>
      <c r="J5502" s="29">
        <f>'Raw data'!K5411</f>
        <v>0</v>
      </c>
      <c r="K5502" s="31">
        <f>'Raw data'!H5411</f>
        <v>0</v>
      </c>
      <c r="L5502" s="26">
        <f t="shared" si="174"/>
        <v>0</v>
      </c>
    </row>
    <row r="5503" spans="2:12">
      <c r="B5503" s="4" t="e">
        <f t="shared" si="173"/>
        <v>#N/A</v>
      </c>
      <c r="C5503" s="4">
        <f>'Raw data'!E5079</f>
        <v>0</v>
      </c>
      <c r="D5503" s="29" t="e">
        <f>VLOOKUP(C5503,'점포코드 '!A:B,2,0)</f>
        <v>#N/A</v>
      </c>
      <c r="E5503" s="30">
        <f>'Raw data'!P5079</f>
        <v>0</v>
      </c>
      <c r="F5503" s="29" t="e">
        <f>VLOOKUP(E5503,'점포코드 '!A:B,2,0)</f>
        <v>#N/A</v>
      </c>
      <c r="G5503" s="46">
        <f>'Raw data'!F5412</f>
        <v>0</v>
      </c>
      <c r="H5503" s="4">
        <f>'Raw data'!G5412</f>
        <v>0</v>
      </c>
      <c r="I5503" s="29" t="e">
        <f>VLOOKUP(G5503,제품명!$C$1:$E$114,2,0)</f>
        <v>#N/A</v>
      </c>
      <c r="J5503" s="29">
        <f>'Raw data'!K5412</f>
        <v>0</v>
      </c>
      <c r="K5503" s="31">
        <f>'Raw data'!H5412</f>
        <v>0</v>
      </c>
      <c r="L5503" s="26">
        <f t="shared" si="174"/>
        <v>0</v>
      </c>
    </row>
    <row r="5504" spans="2:12">
      <c r="B5504" s="4" t="e">
        <f t="shared" si="173"/>
        <v>#N/A</v>
      </c>
      <c r="C5504" s="4">
        <f>'Raw data'!E5080</f>
        <v>0</v>
      </c>
      <c r="D5504" s="29" t="e">
        <f>VLOOKUP(C5504,'점포코드 '!A:B,2,0)</f>
        <v>#N/A</v>
      </c>
      <c r="E5504" s="30">
        <f>'Raw data'!P5080</f>
        <v>0</v>
      </c>
      <c r="F5504" s="29" t="e">
        <f>VLOOKUP(E5504,'점포코드 '!A:B,2,0)</f>
        <v>#N/A</v>
      </c>
      <c r="G5504" s="46">
        <f>'Raw data'!F5413</f>
        <v>0</v>
      </c>
      <c r="H5504" s="4">
        <f>'Raw data'!G5413</f>
        <v>0</v>
      </c>
      <c r="I5504" s="29" t="e">
        <f>VLOOKUP(G5504,제품명!$C$1:$E$114,2,0)</f>
        <v>#N/A</v>
      </c>
      <c r="J5504" s="29">
        <f>'Raw data'!K5413</f>
        <v>0</v>
      </c>
      <c r="K5504" s="31">
        <f>'Raw data'!H5413</f>
        <v>0</v>
      </c>
      <c r="L5504" s="26">
        <f t="shared" si="174"/>
        <v>0</v>
      </c>
    </row>
    <row r="5505" spans="2:12">
      <c r="B5505" s="4" t="e">
        <f t="shared" si="173"/>
        <v>#N/A</v>
      </c>
      <c r="C5505" s="4">
        <f>'Raw data'!E5081</f>
        <v>0</v>
      </c>
      <c r="D5505" s="29" t="e">
        <f>VLOOKUP(C5505,'점포코드 '!A:B,2,0)</f>
        <v>#N/A</v>
      </c>
      <c r="E5505" s="30">
        <f>'Raw data'!P5081</f>
        <v>0</v>
      </c>
      <c r="F5505" s="29" t="e">
        <f>VLOOKUP(E5505,'점포코드 '!A:B,2,0)</f>
        <v>#N/A</v>
      </c>
      <c r="G5505" s="46">
        <f>'Raw data'!F5414</f>
        <v>0</v>
      </c>
      <c r="H5505" s="4">
        <f>'Raw data'!G5414</f>
        <v>0</v>
      </c>
      <c r="I5505" s="29" t="e">
        <f>VLOOKUP(G5505,제품명!$C$1:$E$114,2,0)</f>
        <v>#N/A</v>
      </c>
      <c r="J5505" s="29">
        <f>'Raw data'!K5414</f>
        <v>0</v>
      </c>
      <c r="K5505" s="31">
        <f>'Raw data'!H5414</f>
        <v>0</v>
      </c>
      <c r="L5505" s="26">
        <f t="shared" si="174"/>
        <v>0</v>
      </c>
    </row>
    <row r="5506" spans="2:12">
      <c r="B5506" s="4" t="e">
        <f t="shared" ref="B5506:B5569" si="175">F5506&amp;I5506</f>
        <v>#N/A</v>
      </c>
      <c r="C5506" s="4">
        <f>'Raw data'!E5082</f>
        <v>0</v>
      </c>
      <c r="D5506" s="29" t="e">
        <f>VLOOKUP(C5506,'점포코드 '!A:B,2,0)</f>
        <v>#N/A</v>
      </c>
      <c r="E5506" s="30">
        <f>'Raw data'!P5082</f>
        <v>0</v>
      </c>
      <c r="F5506" s="29" t="e">
        <f>VLOOKUP(E5506,'점포코드 '!A:B,2,0)</f>
        <v>#N/A</v>
      </c>
      <c r="G5506" s="46">
        <f>'Raw data'!F5415</f>
        <v>0</v>
      </c>
      <c r="H5506" s="4">
        <f>'Raw data'!G5415</f>
        <v>0</v>
      </c>
      <c r="I5506" s="29" t="e">
        <f>VLOOKUP(G5506,제품명!$C$1:$E$114,2,0)</f>
        <v>#N/A</v>
      </c>
      <c r="J5506" s="29">
        <f>'Raw data'!K5415</f>
        <v>0</v>
      </c>
      <c r="K5506" s="31">
        <f>'Raw data'!H5415</f>
        <v>0</v>
      </c>
      <c r="L5506" s="26">
        <f t="shared" si="174"/>
        <v>0</v>
      </c>
    </row>
    <row r="5507" spans="2:12">
      <c r="B5507" s="4" t="e">
        <f t="shared" si="175"/>
        <v>#N/A</v>
      </c>
      <c r="C5507" s="4">
        <f>'Raw data'!E5083</f>
        <v>0</v>
      </c>
      <c r="D5507" s="29" t="e">
        <f>VLOOKUP(C5507,'점포코드 '!A:B,2,0)</f>
        <v>#N/A</v>
      </c>
      <c r="E5507" s="30">
        <f>'Raw data'!P5083</f>
        <v>0</v>
      </c>
      <c r="F5507" s="29" t="e">
        <f>VLOOKUP(E5507,'점포코드 '!A:B,2,0)</f>
        <v>#N/A</v>
      </c>
      <c r="G5507" s="46">
        <f>'Raw data'!F5416</f>
        <v>0</v>
      </c>
      <c r="H5507" s="4">
        <f>'Raw data'!G5416</f>
        <v>0</v>
      </c>
      <c r="I5507" s="29" t="e">
        <f>VLOOKUP(G5507,제품명!$C$1:$E$114,2,0)</f>
        <v>#N/A</v>
      </c>
      <c r="J5507" s="29">
        <f>'Raw data'!K5416</f>
        <v>0</v>
      </c>
      <c r="K5507" s="31">
        <f>'Raw data'!H5416</f>
        <v>0</v>
      </c>
      <c r="L5507" s="26">
        <f t="shared" ref="L5507:L5570" si="176">J5507*K5507</f>
        <v>0</v>
      </c>
    </row>
    <row r="5508" spans="2:12">
      <c r="B5508" s="4" t="e">
        <f t="shared" si="175"/>
        <v>#N/A</v>
      </c>
      <c r="C5508" s="4">
        <f>'Raw data'!E5084</f>
        <v>0</v>
      </c>
      <c r="D5508" s="29" t="e">
        <f>VLOOKUP(C5508,'점포코드 '!A:B,2,0)</f>
        <v>#N/A</v>
      </c>
      <c r="E5508" s="30">
        <f>'Raw data'!P5084</f>
        <v>0</v>
      </c>
      <c r="F5508" s="29" t="e">
        <f>VLOOKUP(E5508,'점포코드 '!A:B,2,0)</f>
        <v>#N/A</v>
      </c>
      <c r="G5508" s="46">
        <f>'Raw data'!F5417</f>
        <v>0</v>
      </c>
      <c r="H5508" s="4">
        <f>'Raw data'!G5417</f>
        <v>0</v>
      </c>
      <c r="I5508" s="29" t="e">
        <f>VLOOKUP(G5508,제품명!$C$1:$E$114,2,0)</f>
        <v>#N/A</v>
      </c>
      <c r="J5508" s="29">
        <f>'Raw data'!K5417</f>
        <v>0</v>
      </c>
      <c r="K5508" s="31">
        <f>'Raw data'!H5417</f>
        <v>0</v>
      </c>
      <c r="L5508" s="26">
        <f t="shared" si="176"/>
        <v>0</v>
      </c>
    </row>
    <row r="5509" spans="2:12">
      <c r="B5509" s="4" t="e">
        <f t="shared" si="175"/>
        <v>#N/A</v>
      </c>
      <c r="C5509" s="4">
        <f>'Raw data'!E5085</f>
        <v>0</v>
      </c>
      <c r="D5509" s="29" t="e">
        <f>VLOOKUP(C5509,'점포코드 '!A:B,2,0)</f>
        <v>#N/A</v>
      </c>
      <c r="E5509" s="30">
        <f>'Raw data'!P5085</f>
        <v>0</v>
      </c>
      <c r="F5509" s="29" t="e">
        <f>VLOOKUP(E5509,'점포코드 '!A:B,2,0)</f>
        <v>#N/A</v>
      </c>
      <c r="G5509" s="46">
        <f>'Raw data'!F5418</f>
        <v>0</v>
      </c>
      <c r="H5509" s="4">
        <f>'Raw data'!G5418</f>
        <v>0</v>
      </c>
      <c r="I5509" s="29" t="e">
        <f>VLOOKUP(G5509,제품명!$C$1:$E$114,2,0)</f>
        <v>#N/A</v>
      </c>
      <c r="J5509" s="29">
        <f>'Raw data'!K5418</f>
        <v>0</v>
      </c>
      <c r="K5509" s="31">
        <f>'Raw data'!H5418</f>
        <v>0</v>
      </c>
      <c r="L5509" s="26">
        <f t="shared" si="176"/>
        <v>0</v>
      </c>
    </row>
    <row r="5510" spans="2:12">
      <c r="B5510" s="4" t="e">
        <f t="shared" si="175"/>
        <v>#N/A</v>
      </c>
      <c r="C5510" s="4">
        <f>'Raw data'!E5086</f>
        <v>0</v>
      </c>
      <c r="D5510" s="29" t="e">
        <f>VLOOKUP(C5510,'점포코드 '!A:B,2,0)</f>
        <v>#N/A</v>
      </c>
      <c r="E5510" s="30">
        <f>'Raw data'!P5086</f>
        <v>0</v>
      </c>
      <c r="F5510" s="29" t="e">
        <f>VLOOKUP(E5510,'점포코드 '!A:B,2,0)</f>
        <v>#N/A</v>
      </c>
      <c r="G5510" s="46">
        <f>'Raw data'!F5419</f>
        <v>0</v>
      </c>
      <c r="H5510" s="4">
        <f>'Raw data'!G5419</f>
        <v>0</v>
      </c>
      <c r="I5510" s="29" t="e">
        <f>VLOOKUP(G5510,제품명!$C$1:$E$114,2,0)</f>
        <v>#N/A</v>
      </c>
      <c r="J5510" s="29">
        <f>'Raw data'!K5419</f>
        <v>0</v>
      </c>
      <c r="K5510" s="31">
        <f>'Raw data'!H5419</f>
        <v>0</v>
      </c>
      <c r="L5510" s="26">
        <f t="shared" si="176"/>
        <v>0</v>
      </c>
    </row>
    <row r="5511" spans="2:12">
      <c r="B5511" s="4" t="e">
        <f t="shared" si="175"/>
        <v>#N/A</v>
      </c>
      <c r="C5511" s="4">
        <f>'Raw data'!E5087</f>
        <v>0</v>
      </c>
      <c r="D5511" s="29" t="e">
        <f>VLOOKUP(C5511,'점포코드 '!A:B,2,0)</f>
        <v>#N/A</v>
      </c>
      <c r="E5511" s="30">
        <f>'Raw data'!P5087</f>
        <v>0</v>
      </c>
      <c r="F5511" s="29" t="e">
        <f>VLOOKUP(E5511,'점포코드 '!A:B,2,0)</f>
        <v>#N/A</v>
      </c>
      <c r="G5511" s="46">
        <f>'Raw data'!F5420</f>
        <v>0</v>
      </c>
      <c r="H5511" s="4">
        <f>'Raw data'!G5420</f>
        <v>0</v>
      </c>
      <c r="I5511" s="29" t="e">
        <f>VLOOKUP(G5511,제품명!$C$1:$E$114,2,0)</f>
        <v>#N/A</v>
      </c>
      <c r="J5511" s="29">
        <f>'Raw data'!K5420</f>
        <v>0</v>
      </c>
      <c r="K5511" s="31">
        <f>'Raw data'!H5420</f>
        <v>0</v>
      </c>
      <c r="L5511" s="26">
        <f t="shared" si="176"/>
        <v>0</v>
      </c>
    </row>
    <row r="5512" spans="2:12">
      <c r="B5512" s="4" t="e">
        <f t="shared" si="175"/>
        <v>#N/A</v>
      </c>
      <c r="C5512" s="4">
        <f>'Raw data'!E5088</f>
        <v>0</v>
      </c>
      <c r="D5512" s="29" t="e">
        <f>VLOOKUP(C5512,'점포코드 '!A:B,2,0)</f>
        <v>#N/A</v>
      </c>
      <c r="E5512" s="30">
        <f>'Raw data'!P5088</f>
        <v>0</v>
      </c>
      <c r="F5512" s="29" t="e">
        <f>VLOOKUP(E5512,'점포코드 '!A:B,2,0)</f>
        <v>#N/A</v>
      </c>
      <c r="G5512" s="46">
        <f>'Raw data'!F5421</f>
        <v>0</v>
      </c>
      <c r="H5512" s="4">
        <f>'Raw data'!G5421</f>
        <v>0</v>
      </c>
      <c r="I5512" s="29" t="e">
        <f>VLOOKUP(G5512,제품명!$C$1:$E$114,2,0)</f>
        <v>#N/A</v>
      </c>
      <c r="J5512" s="29">
        <f>'Raw data'!K5421</f>
        <v>0</v>
      </c>
      <c r="K5512" s="31">
        <f>'Raw data'!H5421</f>
        <v>0</v>
      </c>
      <c r="L5512" s="26">
        <f t="shared" si="176"/>
        <v>0</v>
      </c>
    </row>
    <row r="5513" spans="2:12">
      <c r="B5513" s="4" t="e">
        <f t="shared" si="175"/>
        <v>#N/A</v>
      </c>
      <c r="C5513" s="4">
        <f>'Raw data'!E5089</f>
        <v>0</v>
      </c>
      <c r="D5513" s="29" t="e">
        <f>VLOOKUP(C5513,'점포코드 '!A:B,2,0)</f>
        <v>#N/A</v>
      </c>
      <c r="E5513" s="30">
        <f>'Raw data'!P5089</f>
        <v>0</v>
      </c>
      <c r="F5513" s="29" t="e">
        <f>VLOOKUP(E5513,'점포코드 '!A:B,2,0)</f>
        <v>#N/A</v>
      </c>
      <c r="G5513" s="46">
        <f>'Raw data'!F5422</f>
        <v>0</v>
      </c>
      <c r="H5513" s="4">
        <f>'Raw data'!G5422</f>
        <v>0</v>
      </c>
      <c r="I5513" s="29" t="e">
        <f>VLOOKUP(G5513,제품명!$C$1:$E$114,2,0)</f>
        <v>#N/A</v>
      </c>
      <c r="J5513" s="29">
        <f>'Raw data'!K5422</f>
        <v>0</v>
      </c>
      <c r="K5513" s="31">
        <f>'Raw data'!H5422</f>
        <v>0</v>
      </c>
      <c r="L5513" s="26">
        <f t="shared" si="176"/>
        <v>0</v>
      </c>
    </row>
    <row r="5514" spans="2:12">
      <c r="B5514" s="4" t="e">
        <f t="shared" si="175"/>
        <v>#N/A</v>
      </c>
      <c r="C5514" s="4">
        <f>'Raw data'!E5090</f>
        <v>0</v>
      </c>
      <c r="D5514" s="29" t="e">
        <f>VLOOKUP(C5514,'점포코드 '!A:B,2,0)</f>
        <v>#N/A</v>
      </c>
      <c r="E5514" s="30">
        <f>'Raw data'!P5090</f>
        <v>0</v>
      </c>
      <c r="F5514" s="29" t="e">
        <f>VLOOKUP(E5514,'점포코드 '!A:B,2,0)</f>
        <v>#N/A</v>
      </c>
      <c r="G5514" s="46">
        <f>'Raw data'!F5423</f>
        <v>0</v>
      </c>
      <c r="H5514" s="4">
        <f>'Raw data'!G5423</f>
        <v>0</v>
      </c>
      <c r="I5514" s="29" t="e">
        <f>VLOOKUP(G5514,제품명!$C$1:$E$114,2,0)</f>
        <v>#N/A</v>
      </c>
      <c r="J5514" s="29">
        <f>'Raw data'!K5423</f>
        <v>0</v>
      </c>
      <c r="K5514" s="31">
        <f>'Raw data'!H5423</f>
        <v>0</v>
      </c>
      <c r="L5514" s="26">
        <f t="shared" si="176"/>
        <v>0</v>
      </c>
    </row>
    <row r="5515" spans="2:12">
      <c r="B5515" s="4" t="e">
        <f t="shared" si="175"/>
        <v>#N/A</v>
      </c>
      <c r="C5515" s="4">
        <f>'Raw data'!E5091</f>
        <v>0</v>
      </c>
      <c r="D5515" s="29" t="e">
        <f>VLOOKUP(C5515,'점포코드 '!A:B,2,0)</f>
        <v>#N/A</v>
      </c>
      <c r="E5515" s="30">
        <f>'Raw data'!P5091</f>
        <v>0</v>
      </c>
      <c r="F5515" s="29" t="e">
        <f>VLOOKUP(E5515,'점포코드 '!A:B,2,0)</f>
        <v>#N/A</v>
      </c>
      <c r="G5515" s="46">
        <f>'Raw data'!F5424</f>
        <v>0</v>
      </c>
      <c r="H5515" s="4">
        <f>'Raw data'!G5424</f>
        <v>0</v>
      </c>
      <c r="I5515" s="29" t="e">
        <f>VLOOKUP(G5515,제품명!$C$1:$E$114,2,0)</f>
        <v>#N/A</v>
      </c>
      <c r="J5515" s="29">
        <f>'Raw data'!K5424</f>
        <v>0</v>
      </c>
      <c r="K5515" s="31">
        <f>'Raw data'!H5424</f>
        <v>0</v>
      </c>
      <c r="L5515" s="26">
        <f t="shared" si="176"/>
        <v>0</v>
      </c>
    </row>
    <row r="5516" spans="2:12">
      <c r="B5516" s="4" t="e">
        <f t="shared" si="175"/>
        <v>#N/A</v>
      </c>
      <c r="C5516" s="4">
        <f>'Raw data'!E5092</f>
        <v>0</v>
      </c>
      <c r="D5516" s="29" t="e">
        <f>VLOOKUP(C5516,'점포코드 '!A:B,2,0)</f>
        <v>#N/A</v>
      </c>
      <c r="E5516" s="30">
        <f>'Raw data'!P5092</f>
        <v>0</v>
      </c>
      <c r="F5516" s="29" t="e">
        <f>VLOOKUP(E5516,'점포코드 '!A:B,2,0)</f>
        <v>#N/A</v>
      </c>
      <c r="G5516" s="46">
        <f>'Raw data'!F5425</f>
        <v>0</v>
      </c>
      <c r="H5516" s="4">
        <f>'Raw data'!G5425</f>
        <v>0</v>
      </c>
      <c r="I5516" s="29" t="e">
        <f>VLOOKUP(G5516,제품명!$C$1:$E$114,2,0)</f>
        <v>#N/A</v>
      </c>
      <c r="J5516" s="29">
        <f>'Raw data'!K5425</f>
        <v>0</v>
      </c>
      <c r="K5516" s="31">
        <f>'Raw data'!H5425</f>
        <v>0</v>
      </c>
      <c r="L5516" s="26">
        <f t="shared" si="176"/>
        <v>0</v>
      </c>
    </row>
    <row r="5517" spans="2:12">
      <c r="B5517" s="4" t="e">
        <f t="shared" si="175"/>
        <v>#N/A</v>
      </c>
      <c r="C5517" s="4">
        <f>'Raw data'!E5093</f>
        <v>0</v>
      </c>
      <c r="D5517" s="29" t="e">
        <f>VLOOKUP(C5517,'점포코드 '!A:B,2,0)</f>
        <v>#N/A</v>
      </c>
      <c r="E5517" s="30">
        <f>'Raw data'!P5093</f>
        <v>0</v>
      </c>
      <c r="F5517" s="29" t="e">
        <f>VLOOKUP(E5517,'점포코드 '!A:B,2,0)</f>
        <v>#N/A</v>
      </c>
      <c r="G5517" s="46">
        <f>'Raw data'!F5426</f>
        <v>0</v>
      </c>
      <c r="H5517" s="4">
        <f>'Raw data'!G5426</f>
        <v>0</v>
      </c>
      <c r="I5517" s="29" t="e">
        <f>VLOOKUP(G5517,제품명!$C$1:$E$114,2,0)</f>
        <v>#N/A</v>
      </c>
      <c r="J5517" s="29">
        <f>'Raw data'!K5426</f>
        <v>0</v>
      </c>
      <c r="K5517" s="31">
        <f>'Raw data'!H5426</f>
        <v>0</v>
      </c>
      <c r="L5517" s="26">
        <f t="shared" si="176"/>
        <v>0</v>
      </c>
    </row>
    <row r="5518" spans="2:12">
      <c r="B5518" s="4" t="e">
        <f t="shared" si="175"/>
        <v>#N/A</v>
      </c>
      <c r="C5518" s="4">
        <f>'Raw data'!E5094</f>
        <v>0</v>
      </c>
      <c r="D5518" s="29" t="e">
        <f>VLOOKUP(C5518,'점포코드 '!A:B,2,0)</f>
        <v>#N/A</v>
      </c>
      <c r="E5518" s="30">
        <f>'Raw data'!P5094</f>
        <v>0</v>
      </c>
      <c r="F5518" s="29" t="e">
        <f>VLOOKUP(E5518,'점포코드 '!A:B,2,0)</f>
        <v>#N/A</v>
      </c>
      <c r="G5518" s="46">
        <f>'Raw data'!F5427</f>
        <v>0</v>
      </c>
      <c r="H5518" s="4">
        <f>'Raw data'!G5427</f>
        <v>0</v>
      </c>
      <c r="I5518" s="29" t="e">
        <f>VLOOKUP(G5518,제품명!$C$1:$E$114,2,0)</f>
        <v>#N/A</v>
      </c>
      <c r="J5518" s="29">
        <f>'Raw data'!K5427</f>
        <v>0</v>
      </c>
      <c r="K5518" s="31">
        <f>'Raw data'!H5427</f>
        <v>0</v>
      </c>
      <c r="L5518" s="26">
        <f t="shared" si="176"/>
        <v>0</v>
      </c>
    </row>
    <row r="5519" spans="2:12">
      <c r="B5519" s="4" t="e">
        <f t="shared" si="175"/>
        <v>#N/A</v>
      </c>
      <c r="C5519" s="4">
        <f>'Raw data'!E5095</f>
        <v>0</v>
      </c>
      <c r="D5519" s="29" t="e">
        <f>VLOOKUP(C5519,'점포코드 '!A:B,2,0)</f>
        <v>#N/A</v>
      </c>
      <c r="E5519" s="30">
        <f>'Raw data'!P5095</f>
        <v>0</v>
      </c>
      <c r="F5519" s="29" t="e">
        <f>VLOOKUP(E5519,'점포코드 '!A:B,2,0)</f>
        <v>#N/A</v>
      </c>
      <c r="G5519" s="46">
        <f>'Raw data'!F5428</f>
        <v>0</v>
      </c>
      <c r="H5519" s="4">
        <f>'Raw data'!G5428</f>
        <v>0</v>
      </c>
      <c r="I5519" s="29" t="e">
        <f>VLOOKUP(G5519,제품명!$C$1:$E$114,2,0)</f>
        <v>#N/A</v>
      </c>
      <c r="J5519" s="29">
        <f>'Raw data'!K5428</f>
        <v>0</v>
      </c>
      <c r="K5519" s="31">
        <f>'Raw data'!H5428</f>
        <v>0</v>
      </c>
      <c r="L5519" s="26">
        <f t="shared" si="176"/>
        <v>0</v>
      </c>
    </row>
    <row r="5520" spans="2:12">
      <c r="B5520" s="4" t="e">
        <f t="shared" si="175"/>
        <v>#N/A</v>
      </c>
      <c r="C5520" s="4">
        <f>'Raw data'!E5096</f>
        <v>0</v>
      </c>
      <c r="D5520" s="29" t="e">
        <f>VLOOKUP(C5520,'점포코드 '!A:B,2,0)</f>
        <v>#N/A</v>
      </c>
      <c r="E5520" s="30">
        <f>'Raw data'!P5096</f>
        <v>0</v>
      </c>
      <c r="F5520" s="29" t="e">
        <f>VLOOKUP(E5520,'점포코드 '!A:B,2,0)</f>
        <v>#N/A</v>
      </c>
      <c r="G5520" s="46">
        <f>'Raw data'!F5429</f>
        <v>0</v>
      </c>
      <c r="H5520" s="4">
        <f>'Raw data'!G5429</f>
        <v>0</v>
      </c>
      <c r="I5520" s="29" t="e">
        <f>VLOOKUP(G5520,제품명!$C$1:$E$114,2,0)</f>
        <v>#N/A</v>
      </c>
      <c r="J5520" s="29">
        <f>'Raw data'!K5429</f>
        <v>0</v>
      </c>
      <c r="K5520" s="31">
        <f>'Raw data'!H5429</f>
        <v>0</v>
      </c>
      <c r="L5520" s="26">
        <f t="shared" si="176"/>
        <v>0</v>
      </c>
    </row>
    <row r="5521" spans="2:12">
      <c r="B5521" s="4" t="e">
        <f t="shared" si="175"/>
        <v>#N/A</v>
      </c>
      <c r="C5521" s="4">
        <f>'Raw data'!E5097</f>
        <v>0</v>
      </c>
      <c r="D5521" s="29" t="e">
        <f>VLOOKUP(C5521,'점포코드 '!A:B,2,0)</f>
        <v>#N/A</v>
      </c>
      <c r="E5521" s="30">
        <f>'Raw data'!P5097</f>
        <v>0</v>
      </c>
      <c r="F5521" s="29" t="e">
        <f>VLOOKUP(E5521,'점포코드 '!A:B,2,0)</f>
        <v>#N/A</v>
      </c>
      <c r="G5521" s="46">
        <f>'Raw data'!F5430</f>
        <v>0</v>
      </c>
      <c r="H5521" s="4">
        <f>'Raw data'!G5430</f>
        <v>0</v>
      </c>
      <c r="I5521" s="29" t="e">
        <f>VLOOKUP(G5521,제품명!$C$1:$E$114,2,0)</f>
        <v>#N/A</v>
      </c>
      <c r="J5521" s="29">
        <f>'Raw data'!K5430</f>
        <v>0</v>
      </c>
      <c r="K5521" s="31">
        <f>'Raw data'!H5430</f>
        <v>0</v>
      </c>
      <c r="L5521" s="26">
        <f t="shared" si="176"/>
        <v>0</v>
      </c>
    </row>
    <row r="5522" spans="2:12">
      <c r="B5522" s="4" t="e">
        <f t="shared" si="175"/>
        <v>#N/A</v>
      </c>
      <c r="C5522" s="4">
        <f>'Raw data'!E5098</f>
        <v>0</v>
      </c>
      <c r="D5522" s="29" t="e">
        <f>VLOOKUP(C5522,'점포코드 '!A:B,2,0)</f>
        <v>#N/A</v>
      </c>
      <c r="E5522" s="30">
        <f>'Raw data'!P5098</f>
        <v>0</v>
      </c>
      <c r="F5522" s="29" t="e">
        <f>VLOOKUP(E5522,'점포코드 '!A:B,2,0)</f>
        <v>#N/A</v>
      </c>
      <c r="G5522" s="46">
        <f>'Raw data'!F5431</f>
        <v>0</v>
      </c>
      <c r="H5522" s="4">
        <f>'Raw data'!G5431</f>
        <v>0</v>
      </c>
      <c r="I5522" s="29" t="e">
        <f>VLOOKUP(G5522,제품명!$C$1:$E$114,2,0)</f>
        <v>#N/A</v>
      </c>
      <c r="J5522" s="29">
        <f>'Raw data'!K5431</f>
        <v>0</v>
      </c>
      <c r="K5522" s="31">
        <f>'Raw data'!H5431</f>
        <v>0</v>
      </c>
      <c r="L5522" s="26">
        <f t="shared" si="176"/>
        <v>0</v>
      </c>
    </row>
    <row r="5523" spans="2:12">
      <c r="B5523" s="4" t="e">
        <f t="shared" si="175"/>
        <v>#N/A</v>
      </c>
      <c r="C5523" s="4">
        <f>'Raw data'!E5099</f>
        <v>0</v>
      </c>
      <c r="D5523" s="29" t="e">
        <f>VLOOKUP(C5523,'점포코드 '!A:B,2,0)</f>
        <v>#N/A</v>
      </c>
      <c r="E5523" s="30">
        <f>'Raw data'!P5099</f>
        <v>0</v>
      </c>
      <c r="F5523" s="29" t="e">
        <f>VLOOKUP(E5523,'점포코드 '!A:B,2,0)</f>
        <v>#N/A</v>
      </c>
      <c r="G5523" s="46">
        <f>'Raw data'!F5432</f>
        <v>0</v>
      </c>
      <c r="H5523" s="4">
        <f>'Raw data'!G5432</f>
        <v>0</v>
      </c>
      <c r="I5523" s="29" t="e">
        <f>VLOOKUP(G5523,제품명!$C$1:$E$114,2,0)</f>
        <v>#N/A</v>
      </c>
      <c r="J5523" s="29">
        <f>'Raw data'!K5432</f>
        <v>0</v>
      </c>
      <c r="K5523" s="31">
        <f>'Raw data'!H5432</f>
        <v>0</v>
      </c>
      <c r="L5523" s="26">
        <f t="shared" si="176"/>
        <v>0</v>
      </c>
    </row>
    <row r="5524" spans="2:12">
      <c r="B5524" s="4" t="e">
        <f t="shared" si="175"/>
        <v>#N/A</v>
      </c>
      <c r="C5524" s="4">
        <f>'Raw data'!E5100</f>
        <v>0</v>
      </c>
      <c r="D5524" s="29" t="e">
        <f>VLOOKUP(C5524,'점포코드 '!A:B,2,0)</f>
        <v>#N/A</v>
      </c>
      <c r="E5524" s="30">
        <f>'Raw data'!P5100</f>
        <v>0</v>
      </c>
      <c r="F5524" s="29" t="e">
        <f>VLOOKUP(E5524,'점포코드 '!A:B,2,0)</f>
        <v>#N/A</v>
      </c>
      <c r="G5524" s="46">
        <f>'Raw data'!F5433</f>
        <v>0</v>
      </c>
      <c r="H5524" s="4">
        <f>'Raw data'!G5433</f>
        <v>0</v>
      </c>
      <c r="I5524" s="29" t="e">
        <f>VLOOKUP(G5524,제품명!$C$1:$E$114,2,0)</f>
        <v>#N/A</v>
      </c>
      <c r="J5524" s="29">
        <f>'Raw data'!K5433</f>
        <v>0</v>
      </c>
      <c r="K5524" s="31">
        <f>'Raw data'!H5433</f>
        <v>0</v>
      </c>
      <c r="L5524" s="26">
        <f t="shared" si="176"/>
        <v>0</v>
      </c>
    </row>
    <row r="5525" spans="2:12">
      <c r="B5525" s="4" t="e">
        <f t="shared" si="175"/>
        <v>#N/A</v>
      </c>
      <c r="C5525" s="4">
        <f>'Raw data'!E5101</f>
        <v>0</v>
      </c>
      <c r="D5525" s="29" t="e">
        <f>VLOOKUP(C5525,'점포코드 '!A:B,2,0)</f>
        <v>#N/A</v>
      </c>
      <c r="E5525" s="30">
        <f>'Raw data'!P5101</f>
        <v>0</v>
      </c>
      <c r="F5525" s="29" t="e">
        <f>VLOOKUP(E5525,'점포코드 '!A:B,2,0)</f>
        <v>#N/A</v>
      </c>
      <c r="G5525" s="46">
        <f>'Raw data'!F5434</f>
        <v>0</v>
      </c>
      <c r="H5525" s="4">
        <f>'Raw data'!G5434</f>
        <v>0</v>
      </c>
      <c r="I5525" s="29" t="e">
        <f>VLOOKUP(G5525,제품명!$C$1:$E$114,2,0)</f>
        <v>#N/A</v>
      </c>
      <c r="J5525" s="29">
        <f>'Raw data'!K5434</f>
        <v>0</v>
      </c>
      <c r="K5525" s="31">
        <f>'Raw data'!H5434</f>
        <v>0</v>
      </c>
      <c r="L5525" s="26">
        <f t="shared" si="176"/>
        <v>0</v>
      </c>
    </row>
    <row r="5526" spans="2:12">
      <c r="B5526" s="4" t="e">
        <f t="shared" si="175"/>
        <v>#N/A</v>
      </c>
      <c r="C5526" s="4">
        <f>'Raw data'!E5102</f>
        <v>0</v>
      </c>
      <c r="D5526" s="29" t="e">
        <f>VLOOKUP(C5526,'점포코드 '!A:B,2,0)</f>
        <v>#N/A</v>
      </c>
      <c r="E5526" s="30">
        <f>'Raw data'!P5102</f>
        <v>0</v>
      </c>
      <c r="F5526" s="29" t="e">
        <f>VLOOKUP(E5526,'점포코드 '!A:B,2,0)</f>
        <v>#N/A</v>
      </c>
      <c r="G5526" s="46">
        <f>'Raw data'!F5435</f>
        <v>0</v>
      </c>
      <c r="H5526" s="4">
        <f>'Raw data'!G5435</f>
        <v>0</v>
      </c>
      <c r="I5526" s="29" t="e">
        <f>VLOOKUP(G5526,제품명!$C$1:$E$114,2,0)</f>
        <v>#N/A</v>
      </c>
      <c r="J5526" s="29">
        <f>'Raw data'!K5435</f>
        <v>0</v>
      </c>
      <c r="K5526" s="31">
        <f>'Raw data'!H5435</f>
        <v>0</v>
      </c>
      <c r="L5526" s="26">
        <f t="shared" si="176"/>
        <v>0</v>
      </c>
    </row>
    <row r="5527" spans="2:12">
      <c r="B5527" s="4" t="e">
        <f t="shared" si="175"/>
        <v>#N/A</v>
      </c>
      <c r="C5527" s="4">
        <f>'Raw data'!E5103</f>
        <v>0</v>
      </c>
      <c r="D5527" s="29" t="e">
        <f>VLOOKUP(C5527,'점포코드 '!A:B,2,0)</f>
        <v>#N/A</v>
      </c>
      <c r="E5527" s="30">
        <f>'Raw data'!P5103</f>
        <v>0</v>
      </c>
      <c r="F5527" s="29" t="e">
        <f>VLOOKUP(E5527,'점포코드 '!A:B,2,0)</f>
        <v>#N/A</v>
      </c>
      <c r="G5527" s="46">
        <f>'Raw data'!F5436</f>
        <v>0</v>
      </c>
      <c r="H5527" s="4">
        <f>'Raw data'!G5436</f>
        <v>0</v>
      </c>
      <c r="I5527" s="29" t="e">
        <f>VLOOKUP(G5527,제품명!$C$1:$E$114,2,0)</f>
        <v>#N/A</v>
      </c>
      <c r="J5527" s="29">
        <f>'Raw data'!K5436</f>
        <v>0</v>
      </c>
      <c r="K5527" s="31">
        <f>'Raw data'!H5436</f>
        <v>0</v>
      </c>
      <c r="L5527" s="26">
        <f t="shared" si="176"/>
        <v>0</v>
      </c>
    </row>
    <row r="5528" spans="2:12">
      <c r="B5528" s="4" t="e">
        <f t="shared" si="175"/>
        <v>#N/A</v>
      </c>
      <c r="C5528" s="4">
        <f>'Raw data'!E5104</f>
        <v>0</v>
      </c>
      <c r="D5528" s="29" t="e">
        <f>VLOOKUP(C5528,'점포코드 '!A:B,2,0)</f>
        <v>#N/A</v>
      </c>
      <c r="E5528" s="30">
        <f>'Raw data'!P5104</f>
        <v>0</v>
      </c>
      <c r="F5528" s="29" t="e">
        <f>VLOOKUP(E5528,'점포코드 '!A:B,2,0)</f>
        <v>#N/A</v>
      </c>
      <c r="G5528" s="46">
        <f>'Raw data'!F5437</f>
        <v>0</v>
      </c>
      <c r="H5528" s="4">
        <f>'Raw data'!G5437</f>
        <v>0</v>
      </c>
      <c r="I5528" s="29" t="e">
        <f>VLOOKUP(G5528,제품명!$C$1:$E$114,2,0)</f>
        <v>#N/A</v>
      </c>
      <c r="J5528" s="29">
        <f>'Raw data'!K5437</f>
        <v>0</v>
      </c>
      <c r="K5528" s="31">
        <f>'Raw data'!H5437</f>
        <v>0</v>
      </c>
      <c r="L5528" s="26">
        <f t="shared" si="176"/>
        <v>0</v>
      </c>
    </row>
    <row r="5529" spans="2:12">
      <c r="B5529" s="4" t="e">
        <f t="shared" si="175"/>
        <v>#N/A</v>
      </c>
      <c r="C5529" s="4">
        <f>'Raw data'!E5105</f>
        <v>0</v>
      </c>
      <c r="D5529" s="29" t="e">
        <f>VLOOKUP(C5529,'점포코드 '!A:B,2,0)</f>
        <v>#N/A</v>
      </c>
      <c r="E5529" s="30">
        <f>'Raw data'!P5105</f>
        <v>0</v>
      </c>
      <c r="F5529" s="29" t="e">
        <f>VLOOKUP(E5529,'점포코드 '!A:B,2,0)</f>
        <v>#N/A</v>
      </c>
      <c r="G5529" s="46">
        <f>'Raw data'!F5438</f>
        <v>0</v>
      </c>
      <c r="H5529" s="4">
        <f>'Raw data'!G5438</f>
        <v>0</v>
      </c>
      <c r="I5529" s="29" t="e">
        <f>VLOOKUP(G5529,제품명!$C$1:$E$114,2,0)</f>
        <v>#N/A</v>
      </c>
      <c r="J5529" s="29">
        <f>'Raw data'!K5438</f>
        <v>0</v>
      </c>
      <c r="K5529" s="31">
        <f>'Raw data'!H5438</f>
        <v>0</v>
      </c>
      <c r="L5529" s="26">
        <f t="shared" si="176"/>
        <v>0</v>
      </c>
    </row>
    <row r="5530" spans="2:12">
      <c r="B5530" s="4" t="e">
        <f t="shared" si="175"/>
        <v>#N/A</v>
      </c>
      <c r="C5530" s="4">
        <f>'Raw data'!E5106</f>
        <v>0</v>
      </c>
      <c r="D5530" s="29" t="e">
        <f>VLOOKUP(C5530,'점포코드 '!A:B,2,0)</f>
        <v>#N/A</v>
      </c>
      <c r="E5530" s="30">
        <f>'Raw data'!P5106</f>
        <v>0</v>
      </c>
      <c r="F5530" s="29" t="e">
        <f>VLOOKUP(E5530,'점포코드 '!A:B,2,0)</f>
        <v>#N/A</v>
      </c>
      <c r="G5530" s="46">
        <f>'Raw data'!F5439</f>
        <v>0</v>
      </c>
      <c r="H5530" s="4">
        <f>'Raw data'!G5439</f>
        <v>0</v>
      </c>
      <c r="I5530" s="29" t="e">
        <f>VLOOKUP(G5530,제품명!$C$1:$E$114,2,0)</f>
        <v>#N/A</v>
      </c>
      <c r="J5530" s="29">
        <f>'Raw data'!K5439</f>
        <v>0</v>
      </c>
      <c r="K5530" s="31">
        <f>'Raw data'!H5439</f>
        <v>0</v>
      </c>
      <c r="L5530" s="26">
        <f t="shared" si="176"/>
        <v>0</v>
      </c>
    </row>
    <row r="5531" spans="2:12">
      <c r="B5531" s="4" t="e">
        <f t="shared" si="175"/>
        <v>#N/A</v>
      </c>
      <c r="C5531" s="4">
        <f>'Raw data'!E5107</f>
        <v>0</v>
      </c>
      <c r="D5531" s="29" t="e">
        <f>VLOOKUP(C5531,'점포코드 '!A:B,2,0)</f>
        <v>#N/A</v>
      </c>
      <c r="E5531" s="30">
        <f>'Raw data'!P5107</f>
        <v>0</v>
      </c>
      <c r="F5531" s="29" t="e">
        <f>VLOOKUP(E5531,'점포코드 '!A:B,2,0)</f>
        <v>#N/A</v>
      </c>
      <c r="G5531" s="46">
        <f>'Raw data'!F5440</f>
        <v>0</v>
      </c>
      <c r="H5531" s="4">
        <f>'Raw data'!G5440</f>
        <v>0</v>
      </c>
      <c r="I5531" s="29" t="e">
        <f>VLOOKUP(G5531,제품명!$C$1:$E$114,2,0)</f>
        <v>#N/A</v>
      </c>
      <c r="J5531" s="29">
        <f>'Raw data'!K5440</f>
        <v>0</v>
      </c>
      <c r="K5531" s="31">
        <f>'Raw data'!H5440</f>
        <v>0</v>
      </c>
      <c r="L5531" s="26">
        <f t="shared" si="176"/>
        <v>0</v>
      </c>
    </row>
    <row r="5532" spans="2:12">
      <c r="B5532" s="4" t="e">
        <f t="shared" si="175"/>
        <v>#N/A</v>
      </c>
      <c r="C5532" s="4">
        <f>'Raw data'!E5108</f>
        <v>0</v>
      </c>
      <c r="D5532" s="29" t="e">
        <f>VLOOKUP(C5532,'점포코드 '!A:B,2,0)</f>
        <v>#N/A</v>
      </c>
      <c r="E5532" s="30">
        <f>'Raw data'!P5108</f>
        <v>0</v>
      </c>
      <c r="F5532" s="29" t="e">
        <f>VLOOKUP(E5532,'점포코드 '!A:B,2,0)</f>
        <v>#N/A</v>
      </c>
      <c r="G5532" s="46">
        <f>'Raw data'!F5441</f>
        <v>0</v>
      </c>
      <c r="H5532" s="4">
        <f>'Raw data'!G5441</f>
        <v>0</v>
      </c>
      <c r="I5532" s="29" t="e">
        <f>VLOOKUP(G5532,제품명!$C$1:$E$114,2,0)</f>
        <v>#N/A</v>
      </c>
      <c r="J5532" s="29">
        <f>'Raw data'!K5441</f>
        <v>0</v>
      </c>
      <c r="K5532" s="31">
        <f>'Raw data'!H5441</f>
        <v>0</v>
      </c>
      <c r="L5532" s="26">
        <f t="shared" si="176"/>
        <v>0</v>
      </c>
    </row>
    <row r="5533" spans="2:12">
      <c r="B5533" s="4" t="e">
        <f t="shared" si="175"/>
        <v>#N/A</v>
      </c>
      <c r="C5533" s="4">
        <f>'Raw data'!E5109</f>
        <v>0</v>
      </c>
      <c r="D5533" s="29" t="e">
        <f>VLOOKUP(C5533,'점포코드 '!A:B,2,0)</f>
        <v>#N/A</v>
      </c>
      <c r="E5533" s="30">
        <f>'Raw data'!P5109</f>
        <v>0</v>
      </c>
      <c r="F5533" s="29" t="e">
        <f>VLOOKUP(E5533,'점포코드 '!A:B,2,0)</f>
        <v>#N/A</v>
      </c>
      <c r="G5533" s="46">
        <f>'Raw data'!F5442</f>
        <v>0</v>
      </c>
      <c r="H5533" s="4">
        <f>'Raw data'!G5442</f>
        <v>0</v>
      </c>
      <c r="I5533" s="29" t="e">
        <f>VLOOKUP(G5533,제품명!$C$1:$E$114,2,0)</f>
        <v>#N/A</v>
      </c>
      <c r="J5533" s="29">
        <f>'Raw data'!K5442</f>
        <v>0</v>
      </c>
      <c r="K5533" s="31">
        <f>'Raw data'!H5442</f>
        <v>0</v>
      </c>
      <c r="L5533" s="26">
        <f t="shared" si="176"/>
        <v>0</v>
      </c>
    </row>
    <row r="5534" spans="2:12">
      <c r="B5534" s="4" t="e">
        <f t="shared" si="175"/>
        <v>#N/A</v>
      </c>
      <c r="C5534" s="4">
        <f>'Raw data'!E5110</f>
        <v>0</v>
      </c>
      <c r="D5534" s="29" t="e">
        <f>VLOOKUP(C5534,'점포코드 '!A:B,2,0)</f>
        <v>#N/A</v>
      </c>
      <c r="E5534" s="30">
        <f>'Raw data'!P5110</f>
        <v>0</v>
      </c>
      <c r="F5534" s="29" t="e">
        <f>VLOOKUP(E5534,'점포코드 '!A:B,2,0)</f>
        <v>#N/A</v>
      </c>
      <c r="G5534" s="46">
        <f>'Raw data'!F5443</f>
        <v>0</v>
      </c>
      <c r="H5534" s="4">
        <f>'Raw data'!G5443</f>
        <v>0</v>
      </c>
      <c r="I5534" s="29" t="e">
        <f>VLOOKUP(G5534,제품명!$C$1:$E$114,2,0)</f>
        <v>#N/A</v>
      </c>
      <c r="J5534" s="29">
        <f>'Raw data'!K5443</f>
        <v>0</v>
      </c>
      <c r="K5534" s="31">
        <f>'Raw data'!H5443</f>
        <v>0</v>
      </c>
      <c r="L5534" s="26">
        <f t="shared" si="176"/>
        <v>0</v>
      </c>
    </row>
    <row r="5535" spans="2:12">
      <c r="B5535" s="4" t="e">
        <f t="shared" si="175"/>
        <v>#N/A</v>
      </c>
      <c r="C5535" s="4">
        <f>'Raw data'!E5111</f>
        <v>0</v>
      </c>
      <c r="D5535" s="29" t="e">
        <f>VLOOKUP(C5535,'점포코드 '!A:B,2,0)</f>
        <v>#N/A</v>
      </c>
      <c r="E5535" s="30">
        <f>'Raw data'!P5111</f>
        <v>0</v>
      </c>
      <c r="F5535" s="29" t="e">
        <f>VLOOKUP(E5535,'점포코드 '!A:B,2,0)</f>
        <v>#N/A</v>
      </c>
      <c r="G5535" s="46">
        <f>'Raw data'!F5444</f>
        <v>0</v>
      </c>
      <c r="H5535" s="4">
        <f>'Raw data'!G5444</f>
        <v>0</v>
      </c>
      <c r="I5535" s="29" t="e">
        <f>VLOOKUP(G5535,제품명!$C$1:$E$114,2,0)</f>
        <v>#N/A</v>
      </c>
      <c r="J5535" s="29">
        <f>'Raw data'!K5444</f>
        <v>0</v>
      </c>
      <c r="K5535" s="31">
        <f>'Raw data'!H5444</f>
        <v>0</v>
      </c>
      <c r="L5535" s="26">
        <f t="shared" si="176"/>
        <v>0</v>
      </c>
    </row>
    <row r="5536" spans="2:12">
      <c r="B5536" s="4" t="e">
        <f t="shared" si="175"/>
        <v>#N/A</v>
      </c>
      <c r="C5536" s="4">
        <f>'Raw data'!E5112</f>
        <v>0</v>
      </c>
      <c r="D5536" s="29" t="e">
        <f>VLOOKUP(C5536,'점포코드 '!A:B,2,0)</f>
        <v>#N/A</v>
      </c>
      <c r="E5536" s="30">
        <f>'Raw data'!P5112</f>
        <v>0</v>
      </c>
      <c r="F5536" s="29" t="e">
        <f>VLOOKUP(E5536,'점포코드 '!A:B,2,0)</f>
        <v>#N/A</v>
      </c>
      <c r="G5536" s="46">
        <f>'Raw data'!F5445</f>
        <v>0</v>
      </c>
      <c r="H5536" s="4">
        <f>'Raw data'!G5445</f>
        <v>0</v>
      </c>
      <c r="I5536" s="29" t="e">
        <f>VLOOKUP(G5536,제품명!$C$1:$E$114,2,0)</f>
        <v>#N/A</v>
      </c>
      <c r="J5536" s="29">
        <f>'Raw data'!K5445</f>
        <v>0</v>
      </c>
      <c r="K5536" s="31">
        <f>'Raw data'!H5445</f>
        <v>0</v>
      </c>
      <c r="L5536" s="26">
        <f t="shared" si="176"/>
        <v>0</v>
      </c>
    </row>
    <row r="5537" spans="2:12">
      <c r="B5537" s="4" t="e">
        <f t="shared" si="175"/>
        <v>#N/A</v>
      </c>
      <c r="C5537" s="4">
        <f>'Raw data'!E5113</f>
        <v>0</v>
      </c>
      <c r="D5537" s="29" t="e">
        <f>VLOOKUP(C5537,'점포코드 '!A:B,2,0)</f>
        <v>#N/A</v>
      </c>
      <c r="E5537" s="30">
        <f>'Raw data'!P5113</f>
        <v>0</v>
      </c>
      <c r="F5537" s="29" t="e">
        <f>VLOOKUP(E5537,'점포코드 '!A:B,2,0)</f>
        <v>#N/A</v>
      </c>
      <c r="G5537" s="46">
        <f>'Raw data'!F5446</f>
        <v>0</v>
      </c>
      <c r="H5537" s="4">
        <f>'Raw data'!G5446</f>
        <v>0</v>
      </c>
      <c r="I5537" s="29" t="e">
        <f>VLOOKUP(G5537,제품명!$C$1:$E$114,2,0)</f>
        <v>#N/A</v>
      </c>
      <c r="J5537" s="29">
        <f>'Raw data'!K5446</f>
        <v>0</v>
      </c>
      <c r="K5537" s="31">
        <f>'Raw data'!H5446</f>
        <v>0</v>
      </c>
      <c r="L5537" s="26">
        <f t="shared" si="176"/>
        <v>0</v>
      </c>
    </row>
    <row r="5538" spans="2:12">
      <c r="B5538" s="4" t="e">
        <f t="shared" si="175"/>
        <v>#N/A</v>
      </c>
      <c r="C5538" s="4">
        <f>'Raw data'!E5114</f>
        <v>0</v>
      </c>
      <c r="D5538" s="29" t="e">
        <f>VLOOKUP(C5538,'점포코드 '!A:B,2,0)</f>
        <v>#N/A</v>
      </c>
      <c r="E5538" s="30">
        <f>'Raw data'!P5114</f>
        <v>0</v>
      </c>
      <c r="F5538" s="29" t="e">
        <f>VLOOKUP(E5538,'점포코드 '!A:B,2,0)</f>
        <v>#N/A</v>
      </c>
      <c r="G5538" s="46">
        <f>'Raw data'!F5447</f>
        <v>0</v>
      </c>
      <c r="H5538" s="4">
        <f>'Raw data'!G5447</f>
        <v>0</v>
      </c>
      <c r="I5538" s="29" t="e">
        <f>VLOOKUP(G5538,제품명!$C$1:$E$114,2,0)</f>
        <v>#N/A</v>
      </c>
      <c r="J5538" s="29">
        <f>'Raw data'!K5447</f>
        <v>0</v>
      </c>
      <c r="K5538" s="31">
        <f>'Raw data'!H5447</f>
        <v>0</v>
      </c>
      <c r="L5538" s="26">
        <f t="shared" si="176"/>
        <v>0</v>
      </c>
    </row>
    <row r="5539" spans="2:12">
      <c r="B5539" s="4" t="e">
        <f t="shared" si="175"/>
        <v>#N/A</v>
      </c>
      <c r="C5539" s="4">
        <f>'Raw data'!E5115</f>
        <v>0</v>
      </c>
      <c r="D5539" s="29" t="e">
        <f>VLOOKUP(C5539,'점포코드 '!A:B,2,0)</f>
        <v>#N/A</v>
      </c>
      <c r="E5539" s="30">
        <f>'Raw data'!P5115</f>
        <v>0</v>
      </c>
      <c r="F5539" s="29" t="e">
        <f>VLOOKUP(E5539,'점포코드 '!A:B,2,0)</f>
        <v>#N/A</v>
      </c>
      <c r="G5539" s="46">
        <f>'Raw data'!F5448</f>
        <v>0</v>
      </c>
      <c r="H5539" s="4">
        <f>'Raw data'!G5448</f>
        <v>0</v>
      </c>
      <c r="I5539" s="29" t="e">
        <f>VLOOKUP(G5539,제품명!$C$1:$E$114,2,0)</f>
        <v>#N/A</v>
      </c>
      <c r="J5539" s="29">
        <f>'Raw data'!K5448</f>
        <v>0</v>
      </c>
      <c r="K5539" s="31">
        <f>'Raw data'!H5448</f>
        <v>0</v>
      </c>
      <c r="L5539" s="26">
        <f t="shared" si="176"/>
        <v>0</v>
      </c>
    </row>
    <row r="5540" spans="2:12">
      <c r="B5540" s="4" t="e">
        <f t="shared" si="175"/>
        <v>#N/A</v>
      </c>
      <c r="C5540" s="4">
        <f>'Raw data'!E5116</f>
        <v>0</v>
      </c>
      <c r="D5540" s="29" t="e">
        <f>VLOOKUP(C5540,'점포코드 '!A:B,2,0)</f>
        <v>#N/A</v>
      </c>
      <c r="E5540" s="30">
        <f>'Raw data'!P5116</f>
        <v>0</v>
      </c>
      <c r="F5540" s="29" t="e">
        <f>VLOOKUP(E5540,'점포코드 '!A:B,2,0)</f>
        <v>#N/A</v>
      </c>
      <c r="G5540" s="46">
        <f>'Raw data'!F5449</f>
        <v>0</v>
      </c>
      <c r="H5540" s="4">
        <f>'Raw data'!G5449</f>
        <v>0</v>
      </c>
      <c r="I5540" s="29" t="e">
        <f>VLOOKUP(G5540,제품명!$C$1:$E$114,2,0)</f>
        <v>#N/A</v>
      </c>
      <c r="J5540" s="29">
        <f>'Raw data'!K5449</f>
        <v>0</v>
      </c>
      <c r="K5540" s="31">
        <f>'Raw data'!H5449</f>
        <v>0</v>
      </c>
      <c r="L5540" s="26">
        <f t="shared" si="176"/>
        <v>0</v>
      </c>
    </row>
    <row r="5541" spans="2:12">
      <c r="B5541" s="4" t="e">
        <f t="shared" si="175"/>
        <v>#N/A</v>
      </c>
      <c r="C5541" s="4">
        <f>'Raw data'!E5117</f>
        <v>0</v>
      </c>
      <c r="D5541" s="29" t="e">
        <f>VLOOKUP(C5541,'점포코드 '!A:B,2,0)</f>
        <v>#N/A</v>
      </c>
      <c r="E5541" s="30">
        <f>'Raw data'!P5117</f>
        <v>0</v>
      </c>
      <c r="F5541" s="29" t="e">
        <f>VLOOKUP(E5541,'점포코드 '!A:B,2,0)</f>
        <v>#N/A</v>
      </c>
      <c r="G5541" s="46">
        <f>'Raw data'!F5450</f>
        <v>0</v>
      </c>
      <c r="H5541" s="4">
        <f>'Raw data'!G5450</f>
        <v>0</v>
      </c>
      <c r="I5541" s="29" t="e">
        <f>VLOOKUP(G5541,제품명!$C$1:$E$114,2,0)</f>
        <v>#N/A</v>
      </c>
      <c r="J5541" s="29">
        <f>'Raw data'!K5450</f>
        <v>0</v>
      </c>
      <c r="K5541" s="31">
        <f>'Raw data'!H5450</f>
        <v>0</v>
      </c>
      <c r="L5541" s="26">
        <f t="shared" si="176"/>
        <v>0</v>
      </c>
    </row>
    <row r="5542" spans="2:12">
      <c r="B5542" s="4" t="e">
        <f t="shared" si="175"/>
        <v>#N/A</v>
      </c>
      <c r="C5542" s="4">
        <f>'Raw data'!E5118</f>
        <v>0</v>
      </c>
      <c r="D5542" s="29" t="e">
        <f>VLOOKUP(C5542,'점포코드 '!A:B,2,0)</f>
        <v>#N/A</v>
      </c>
      <c r="E5542" s="30">
        <f>'Raw data'!P5118</f>
        <v>0</v>
      </c>
      <c r="F5542" s="29" t="e">
        <f>VLOOKUP(E5542,'점포코드 '!A:B,2,0)</f>
        <v>#N/A</v>
      </c>
      <c r="G5542" s="46">
        <f>'Raw data'!F5451</f>
        <v>0</v>
      </c>
      <c r="H5542" s="4">
        <f>'Raw data'!G5451</f>
        <v>0</v>
      </c>
      <c r="I5542" s="29" t="e">
        <f>VLOOKUP(G5542,제품명!$C$1:$E$114,2,0)</f>
        <v>#N/A</v>
      </c>
      <c r="J5542" s="29">
        <f>'Raw data'!K5451</f>
        <v>0</v>
      </c>
      <c r="K5542" s="31">
        <f>'Raw data'!H5451</f>
        <v>0</v>
      </c>
      <c r="L5542" s="26">
        <f t="shared" si="176"/>
        <v>0</v>
      </c>
    </row>
    <row r="5543" spans="2:12">
      <c r="B5543" s="4" t="e">
        <f t="shared" si="175"/>
        <v>#N/A</v>
      </c>
      <c r="C5543" s="4">
        <f>'Raw data'!E5119</f>
        <v>0</v>
      </c>
      <c r="D5543" s="29" t="e">
        <f>VLOOKUP(C5543,'점포코드 '!A:B,2,0)</f>
        <v>#N/A</v>
      </c>
      <c r="E5543" s="30">
        <f>'Raw data'!P5119</f>
        <v>0</v>
      </c>
      <c r="F5543" s="29" t="e">
        <f>VLOOKUP(E5543,'점포코드 '!A:B,2,0)</f>
        <v>#N/A</v>
      </c>
      <c r="G5543" s="46">
        <f>'Raw data'!F5452</f>
        <v>0</v>
      </c>
      <c r="H5543" s="4">
        <f>'Raw data'!G5452</f>
        <v>0</v>
      </c>
      <c r="I5543" s="29" t="e">
        <f>VLOOKUP(G5543,제품명!$C$1:$E$114,2,0)</f>
        <v>#N/A</v>
      </c>
      <c r="J5543" s="29">
        <f>'Raw data'!K5452</f>
        <v>0</v>
      </c>
      <c r="K5543" s="31">
        <f>'Raw data'!H5452</f>
        <v>0</v>
      </c>
      <c r="L5543" s="26">
        <f t="shared" si="176"/>
        <v>0</v>
      </c>
    </row>
    <row r="5544" spans="2:12">
      <c r="B5544" s="4" t="e">
        <f t="shared" si="175"/>
        <v>#N/A</v>
      </c>
      <c r="C5544" s="4">
        <f>'Raw data'!E5120</f>
        <v>0</v>
      </c>
      <c r="D5544" s="29" t="e">
        <f>VLOOKUP(C5544,'점포코드 '!A:B,2,0)</f>
        <v>#N/A</v>
      </c>
      <c r="E5544" s="30">
        <f>'Raw data'!P5120</f>
        <v>0</v>
      </c>
      <c r="F5544" s="29" t="e">
        <f>VLOOKUP(E5544,'점포코드 '!A:B,2,0)</f>
        <v>#N/A</v>
      </c>
      <c r="G5544" s="46">
        <f>'Raw data'!F5453</f>
        <v>0</v>
      </c>
      <c r="H5544" s="4">
        <f>'Raw data'!G5453</f>
        <v>0</v>
      </c>
      <c r="I5544" s="29" t="e">
        <f>VLOOKUP(G5544,제품명!$C$1:$E$114,2,0)</f>
        <v>#N/A</v>
      </c>
      <c r="J5544" s="29">
        <f>'Raw data'!K5453</f>
        <v>0</v>
      </c>
      <c r="K5544" s="31">
        <f>'Raw data'!H5453</f>
        <v>0</v>
      </c>
      <c r="L5544" s="26">
        <f t="shared" si="176"/>
        <v>0</v>
      </c>
    </row>
    <row r="5545" spans="2:12">
      <c r="B5545" s="4" t="e">
        <f t="shared" si="175"/>
        <v>#N/A</v>
      </c>
      <c r="C5545" s="4">
        <f>'Raw data'!E5121</f>
        <v>0</v>
      </c>
      <c r="D5545" s="29" t="e">
        <f>VLOOKUP(C5545,'점포코드 '!A:B,2,0)</f>
        <v>#N/A</v>
      </c>
      <c r="E5545" s="30">
        <f>'Raw data'!P5121</f>
        <v>0</v>
      </c>
      <c r="F5545" s="29" t="e">
        <f>VLOOKUP(E5545,'점포코드 '!A:B,2,0)</f>
        <v>#N/A</v>
      </c>
      <c r="G5545" s="46">
        <f>'Raw data'!F5454</f>
        <v>0</v>
      </c>
      <c r="H5545" s="4">
        <f>'Raw data'!G5454</f>
        <v>0</v>
      </c>
      <c r="I5545" s="29" t="e">
        <f>VLOOKUP(G5545,제품명!$C$1:$E$114,2,0)</f>
        <v>#N/A</v>
      </c>
      <c r="J5545" s="29">
        <f>'Raw data'!K5454</f>
        <v>0</v>
      </c>
      <c r="K5545" s="31">
        <f>'Raw data'!H5454</f>
        <v>0</v>
      </c>
      <c r="L5545" s="26">
        <f t="shared" si="176"/>
        <v>0</v>
      </c>
    </row>
    <row r="5546" spans="2:12">
      <c r="B5546" s="4" t="e">
        <f t="shared" si="175"/>
        <v>#N/A</v>
      </c>
      <c r="C5546" s="4">
        <f>'Raw data'!E5122</f>
        <v>0</v>
      </c>
      <c r="D5546" s="29" t="e">
        <f>VLOOKUP(C5546,'점포코드 '!A:B,2,0)</f>
        <v>#N/A</v>
      </c>
      <c r="E5546" s="30">
        <f>'Raw data'!P5122</f>
        <v>0</v>
      </c>
      <c r="F5546" s="29" t="e">
        <f>VLOOKUP(E5546,'점포코드 '!A:B,2,0)</f>
        <v>#N/A</v>
      </c>
      <c r="G5546" s="46">
        <f>'Raw data'!F5455</f>
        <v>0</v>
      </c>
      <c r="H5546" s="4">
        <f>'Raw data'!G5455</f>
        <v>0</v>
      </c>
      <c r="I5546" s="29" t="e">
        <f>VLOOKUP(G5546,제품명!$C$1:$E$114,2,0)</f>
        <v>#N/A</v>
      </c>
      <c r="J5546" s="29">
        <f>'Raw data'!K5455</f>
        <v>0</v>
      </c>
      <c r="K5546" s="31">
        <f>'Raw data'!H5455</f>
        <v>0</v>
      </c>
      <c r="L5546" s="26">
        <f t="shared" si="176"/>
        <v>0</v>
      </c>
    </row>
    <row r="5547" spans="2:12">
      <c r="B5547" s="4" t="e">
        <f t="shared" si="175"/>
        <v>#N/A</v>
      </c>
      <c r="C5547" s="4">
        <f>'Raw data'!E5123</f>
        <v>0</v>
      </c>
      <c r="D5547" s="29" t="e">
        <f>VLOOKUP(C5547,'점포코드 '!A:B,2,0)</f>
        <v>#N/A</v>
      </c>
      <c r="E5547" s="30">
        <f>'Raw data'!P5123</f>
        <v>0</v>
      </c>
      <c r="F5547" s="29" t="e">
        <f>VLOOKUP(E5547,'점포코드 '!A:B,2,0)</f>
        <v>#N/A</v>
      </c>
      <c r="G5547" s="46">
        <f>'Raw data'!F5456</f>
        <v>0</v>
      </c>
      <c r="H5547" s="4">
        <f>'Raw data'!G5456</f>
        <v>0</v>
      </c>
      <c r="I5547" s="29" t="e">
        <f>VLOOKUP(G5547,제품명!$C$1:$E$114,2,0)</f>
        <v>#N/A</v>
      </c>
      <c r="J5547" s="29">
        <f>'Raw data'!K5456</f>
        <v>0</v>
      </c>
      <c r="K5547" s="31">
        <f>'Raw data'!H5456</f>
        <v>0</v>
      </c>
      <c r="L5547" s="26">
        <f t="shared" si="176"/>
        <v>0</v>
      </c>
    </row>
    <row r="5548" spans="2:12">
      <c r="B5548" s="4" t="e">
        <f t="shared" si="175"/>
        <v>#N/A</v>
      </c>
      <c r="C5548" s="4">
        <f>'Raw data'!E5124</f>
        <v>0</v>
      </c>
      <c r="D5548" s="29" t="e">
        <f>VLOOKUP(C5548,'점포코드 '!A:B,2,0)</f>
        <v>#N/A</v>
      </c>
      <c r="E5548" s="30">
        <f>'Raw data'!P5124</f>
        <v>0</v>
      </c>
      <c r="F5548" s="29" t="e">
        <f>VLOOKUP(E5548,'점포코드 '!A:B,2,0)</f>
        <v>#N/A</v>
      </c>
      <c r="G5548" s="46">
        <f>'Raw data'!F5457</f>
        <v>0</v>
      </c>
      <c r="H5548" s="4">
        <f>'Raw data'!G5457</f>
        <v>0</v>
      </c>
      <c r="I5548" s="29" t="e">
        <f>VLOOKUP(G5548,제품명!$C$1:$E$114,2,0)</f>
        <v>#N/A</v>
      </c>
      <c r="J5548" s="29">
        <f>'Raw data'!K5457</f>
        <v>0</v>
      </c>
      <c r="K5548" s="31">
        <f>'Raw data'!H5457</f>
        <v>0</v>
      </c>
      <c r="L5548" s="26">
        <f t="shared" si="176"/>
        <v>0</v>
      </c>
    </row>
    <row r="5549" spans="2:12">
      <c r="B5549" s="4" t="e">
        <f t="shared" si="175"/>
        <v>#N/A</v>
      </c>
      <c r="C5549" s="4">
        <f>'Raw data'!E5125</f>
        <v>0</v>
      </c>
      <c r="D5549" s="29" t="e">
        <f>VLOOKUP(C5549,'점포코드 '!A:B,2,0)</f>
        <v>#N/A</v>
      </c>
      <c r="E5549" s="30">
        <f>'Raw data'!P5125</f>
        <v>0</v>
      </c>
      <c r="F5549" s="29" t="e">
        <f>VLOOKUP(E5549,'점포코드 '!A:B,2,0)</f>
        <v>#N/A</v>
      </c>
      <c r="G5549" s="46">
        <f>'Raw data'!F5458</f>
        <v>0</v>
      </c>
      <c r="H5549" s="4">
        <f>'Raw data'!G5458</f>
        <v>0</v>
      </c>
      <c r="I5549" s="29" t="e">
        <f>VLOOKUP(G5549,제품명!$C$1:$E$114,2,0)</f>
        <v>#N/A</v>
      </c>
      <c r="J5549" s="29">
        <f>'Raw data'!K5458</f>
        <v>0</v>
      </c>
      <c r="K5549" s="31">
        <f>'Raw data'!H5458</f>
        <v>0</v>
      </c>
      <c r="L5549" s="26">
        <f t="shared" si="176"/>
        <v>0</v>
      </c>
    </row>
    <row r="5550" spans="2:12">
      <c r="B5550" s="4" t="e">
        <f t="shared" si="175"/>
        <v>#N/A</v>
      </c>
      <c r="C5550" s="4">
        <f>'Raw data'!E5126</f>
        <v>0</v>
      </c>
      <c r="D5550" s="29" t="e">
        <f>VLOOKUP(C5550,'점포코드 '!A:B,2,0)</f>
        <v>#N/A</v>
      </c>
      <c r="E5550" s="30">
        <f>'Raw data'!P5126</f>
        <v>0</v>
      </c>
      <c r="F5550" s="29" t="e">
        <f>VLOOKUP(E5550,'점포코드 '!A:B,2,0)</f>
        <v>#N/A</v>
      </c>
      <c r="G5550" s="46">
        <f>'Raw data'!F5459</f>
        <v>0</v>
      </c>
      <c r="H5550" s="4">
        <f>'Raw data'!G5459</f>
        <v>0</v>
      </c>
      <c r="I5550" s="29" t="e">
        <f>VLOOKUP(G5550,제품명!$C$1:$E$114,2,0)</f>
        <v>#N/A</v>
      </c>
      <c r="J5550" s="29">
        <f>'Raw data'!K5459</f>
        <v>0</v>
      </c>
      <c r="K5550" s="31">
        <f>'Raw data'!H5459</f>
        <v>0</v>
      </c>
      <c r="L5550" s="26">
        <f t="shared" si="176"/>
        <v>0</v>
      </c>
    </row>
    <row r="5551" spans="2:12">
      <c r="B5551" s="4" t="e">
        <f t="shared" si="175"/>
        <v>#N/A</v>
      </c>
      <c r="C5551" s="4">
        <f>'Raw data'!E5127</f>
        <v>0</v>
      </c>
      <c r="D5551" s="29" t="e">
        <f>VLOOKUP(C5551,'점포코드 '!A:B,2,0)</f>
        <v>#N/A</v>
      </c>
      <c r="E5551" s="30">
        <f>'Raw data'!P5127</f>
        <v>0</v>
      </c>
      <c r="F5551" s="29" t="e">
        <f>VLOOKUP(E5551,'점포코드 '!A:B,2,0)</f>
        <v>#N/A</v>
      </c>
      <c r="G5551" s="46">
        <f>'Raw data'!F5460</f>
        <v>0</v>
      </c>
      <c r="H5551" s="4">
        <f>'Raw data'!G5460</f>
        <v>0</v>
      </c>
      <c r="I5551" s="29" t="e">
        <f>VLOOKUP(G5551,제품명!$C$1:$E$114,2,0)</f>
        <v>#N/A</v>
      </c>
      <c r="J5551" s="29">
        <f>'Raw data'!K5460</f>
        <v>0</v>
      </c>
      <c r="K5551" s="31">
        <f>'Raw data'!H5460</f>
        <v>0</v>
      </c>
      <c r="L5551" s="26">
        <f t="shared" si="176"/>
        <v>0</v>
      </c>
    </row>
    <row r="5552" spans="2:12">
      <c r="B5552" s="4" t="e">
        <f t="shared" si="175"/>
        <v>#N/A</v>
      </c>
      <c r="C5552" s="4">
        <f>'Raw data'!E5128</f>
        <v>0</v>
      </c>
      <c r="D5552" s="29" t="e">
        <f>VLOOKUP(C5552,'점포코드 '!A:B,2,0)</f>
        <v>#N/A</v>
      </c>
      <c r="E5552" s="30">
        <f>'Raw data'!P5128</f>
        <v>0</v>
      </c>
      <c r="F5552" s="29" t="e">
        <f>VLOOKUP(E5552,'점포코드 '!A:B,2,0)</f>
        <v>#N/A</v>
      </c>
      <c r="G5552" s="46">
        <f>'Raw data'!F5461</f>
        <v>0</v>
      </c>
      <c r="H5552" s="4">
        <f>'Raw data'!G5461</f>
        <v>0</v>
      </c>
      <c r="I5552" s="29" t="e">
        <f>VLOOKUP(G5552,제품명!$C$1:$E$114,2,0)</f>
        <v>#N/A</v>
      </c>
      <c r="J5552" s="29">
        <f>'Raw data'!K5461</f>
        <v>0</v>
      </c>
      <c r="K5552" s="31">
        <f>'Raw data'!H5461</f>
        <v>0</v>
      </c>
      <c r="L5552" s="26">
        <f t="shared" si="176"/>
        <v>0</v>
      </c>
    </row>
    <row r="5553" spans="2:12">
      <c r="B5553" s="4" t="e">
        <f t="shared" si="175"/>
        <v>#N/A</v>
      </c>
      <c r="C5553" s="4">
        <f>'Raw data'!E5129</f>
        <v>0</v>
      </c>
      <c r="D5553" s="29" t="e">
        <f>VLOOKUP(C5553,'점포코드 '!A:B,2,0)</f>
        <v>#N/A</v>
      </c>
      <c r="E5553" s="30">
        <f>'Raw data'!P5129</f>
        <v>0</v>
      </c>
      <c r="F5553" s="29" t="e">
        <f>VLOOKUP(E5553,'점포코드 '!A:B,2,0)</f>
        <v>#N/A</v>
      </c>
      <c r="G5553" s="46">
        <f>'Raw data'!F5462</f>
        <v>0</v>
      </c>
      <c r="H5553" s="4">
        <f>'Raw data'!G5462</f>
        <v>0</v>
      </c>
      <c r="I5553" s="29" t="e">
        <f>VLOOKUP(G5553,제품명!$C$1:$E$114,2,0)</f>
        <v>#N/A</v>
      </c>
      <c r="J5553" s="29">
        <f>'Raw data'!K5462</f>
        <v>0</v>
      </c>
      <c r="K5553" s="31">
        <f>'Raw data'!H5462</f>
        <v>0</v>
      </c>
      <c r="L5553" s="26">
        <f t="shared" si="176"/>
        <v>0</v>
      </c>
    </row>
    <row r="5554" spans="2:12">
      <c r="B5554" s="4" t="e">
        <f t="shared" si="175"/>
        <v>#N/A</v>
      </c>
      <c r="C5554" s="4">
        <f>'Raw data'!E5130</f>
        <v>0</v>
      </c>
      <c r="D5554" s="29" t="e">
        <f>VLOOKUP(C5554,'점포코드 '!A:B,2,0)</f>
        <v>#N/A</v>
      </c>
      <c r="E5554" s="30">
        <f>'Raw data'!P5130</f>
        <v>0</v>
      </c>
      <c r="F5554" s="29" t="e">
        <f>VLOOKUP(E5554,'점포코드 '!A:B,2,0)</f>
        <v>#N/A</v>
      </c>
      <c r="G5554" s="46">
        <f>'Raw data'!F5463</f>
        <v>0</v>
      </c>
      <c r="H5554" s="4">
        <f>'Raw data'!G5463</f>
        <v>0</v>
      </c>
      <c r="I5554" s="29" t="e">
        <f>VLOOKUP(G5554,제품명!$C$1:$E$114,2,0)</f>
        <v>#N/A</v>
      </c>
      <c r="J5554" s="29">
        <f>'Raw data'!K5463</f>
        <v>0</v>
      </c>
      <c r="K5554" s="31">
        <f>'Raw data'!H5463</f>
        <v>0</v>
      </c>
      <c r="L5554" s="26">
        <f t="shared" si="176"/>
        <v>0</v>
      </c>
    </row>
    <row r="5555" spans="2:12">
      <c r="B5555" s="4" t="e">
        <f t="shared" si="175"/>
        <v>#N/A</v>
      </c>
      <c r="C5555" s="4">
        <f>'Raw data'!E5131</f>
        <v>0</v>
      </c>
      <c r="D5555" s="29" t="e">
        <f>VLOOKUP(C5555,'점포코드 '!A:B,2,0)</f>
        <v>#N/A</v>
      </c>
      <c r="E5555" s="30">
        <f>'Raw data'!P5131</f>
        <v>0</v>
      </c>
      <c r="F5555" s="29" t="e">
        <f>VLOOKUP(E5555,'점포코드 '!A:B,2,0)</f>
        <v>#N/A</v>
      </c>
      <c r="G5555" s="46">
        <f>'Raw data'!F5464</f>
        <v>0</v>
      </c>
      <c r="H5555" s="4">
        <f>'Raw data'!G5464</f>
        <v>0</v>
      </c>
      <c r="I5555" s="29" t="e">
        <f>VLOOKUP(G5555,제품명!$C$1:$E$114,2,0)</f>
        <v>#N/A</v>
      </c>
      <c r="J5555" s="29">
        <f>'Raw data'!K5464</f>
        <v>0</v>
      </c>
      <c r="K5555" s="31">
        <f>'Raw data'!H5464</f>
        <v>0</v>
      </c>
      <c r="L5555" s="26">
        <f t="shared" si="176"/>
        <v>0</v>
      </c>
    </row>
    <row r="5556" spans="2:12">
      <c r="B5556" s="4" t="e">
        <f t="shared" si="175"/>
        <v>#N/A</v>
      </c>
      <c r="C5556" s="4">
        <f>'Raw data'!E5132</f>
        <v>0</v>
      </c>
      <c r="D5556" s="29" t="e">
        <f>VLOOKUP(C5556,'점포코드 '!A:B,2,0)</f>
        <v>#N/A</v>
      </c>
      <c r="E5556" s="30">
        <f>'Raw data'!P5132</f>
        <v>0</v>
      </c>
      <c r="F5556" s="29" t="e">
        <f>VLOOKUP(E5556,'점포코드 '!A:B,2,0)</f>
        <v>#N/A</v>
      </c>
      <c r="G5556" s="46">
        <f>'Raw data'!F5465</f>
        <v>0</v>
      </c>
      <c r="H5556" s="4">
        <f>'Raw data'!G5465</f>
        <v>0</v>
      </c>
      <c r="I5556" s="29" t="e">
        <f>VLOOKUP(G5556,제품명!$C$1:$E$114,2,0)</f>
        <v>#N/A</v>
      </c>
      <c r="J5556" s="29">
        <f>'Raw data'!K5465</f>
        <v>0</v>
      </c>
      <c r="K5556" s="31">
        <f>'Raw data'!H5465</f>
        <v>0</v>
      </c>
      <c r="L5556" s="26">
        <f t="shared" si="176"/>
        <v>0</v>
      </c>
    </row>
    <row r="5557" spans="2:12">
      <c r="B5557" s="4" t="e">
        <f t="shared" si="175"/>
        <v>#N/A</v>
      </c>
      <c r="C5557" s="4">
        <f>'Raw data'!E5133</f>
        <v>0</v>
      </c>
      <c r="D5557" s="29" t="e">
        <f>VLOOKUP(C5557,'점포코드 '!A:B,2,0)</f>
        <v>#N/A</v>
      </c>
      <c r="E5557" s="30">
        <f>'Raw data'!P5133</f>
        <v>0</v>
      </c>
      <c r="F5557" s="29" t="e">
        <f>VLOOKUP(E5557,'점포코드 '!A:B,2,0)</f>
        <v>#N/A</v>
      </c>
      <c r="G5557" s="46">
        <f>'Raw data'!F5466</f>
        <v>0</v>
      </c>
      <c r="H5557" s="4">
        <f>'Raw data'!G5466</f>
        <v>0</v>
      </c>
      <c r="I5557" s="29" t="e">
        <f>VLOOKUP(G5557,제품명!$C$1:$E$114,2,0)</f>
        <v>#N/A</v>
      </c>
      <c r="J5557" s="29">
        <f>'Raw data'!K5466</f>
        <v>0</v>
      </c>
      <c r="K5557" s="31">
        <f>'Raw data'!H5466</f>
        <v>0</v>
      </c>
      <c r="L5557" s="26">
        <f t="shared" si="176"/>
        <v>0</v>
      </c>
    </row>
    <row r="5558" spans="2:12">
      <c r="B5558" s="4" t="e">
        <f t="shared" si="175"/>
        <v>#N/A</v>
      </c>
      <c r="C5558" s="4">
        <f>'Raw data'!E5134</f>
        <v>0</v>
      </c>
      <c r="D5558" s="29" t="e">
        <f>VLOOKUP(C5558,'점포코드 '!A:B,2,0)</f>
        <v>#N/A</v>
      </c>
      <c r="E5558" s="30">
        <f>'Raw data'!P5134</f>
        <v>0</v>
      </c>
      <c r="F5558" s="29" t="e">
        <f>VLOOKUP(E5558,'점포코드 '!A:B,2,0)</f>
        <v>#N/A</v>
      </c>
      <c r="G5558" s="46">
        <f>'Raw data'!F5467</f>
        <v>0</v>
      </c>
      <c r="H5558" s="4">
        <f>'Raw data'!G5467</f>
        <v>0</v>
      </c>
      <c r="I5558" s="29" t="e">
        <f>VLOOKUP(G5558,제품명!$C$1:$E$114,2,0)</f>
        <v>#N/A</v>
      </c>
      <c r="J5558" s="29">
        <f>'Raw data'!K5467</f>
        <v>0</v>
      </c>
      <c r="K5558" s="31">
        <f>'Raw data'!H5467</f>
        <v>0</v>
      </c>
      <c r="L5558" s="26">
        <f t="shared" si="176"/>
        <v>0</v>
      </c>
    </row>
    <row r="5559" spans="2:12">
      <c r="B5559" s="4" t="e">
        <f t="shared" si="175"/>
        <v>#N/A</v>
      </c>
      <c r="C5559" s="4">
        <f>'Raw data'!E5135</f>
        <v>0</v>
      </c>
      <c r="D5559" s="29" t="e">
        <f>VLOOKUP(C5559,'점포코드 '!A:B,2,0)</f>
        <v>#N/A</v>
      </c>
      <c r="E5559" s="30">
        <f>'Raw data'!P5135</f>
        <v>0</v>
      </c>
      <c r="F5559" s="29" t="e">
        <f>VLOOKUP(E5559,'점포코드 '!A:B,2,0)</f>
        <v>#N/A</v>
      </c>
      <c r="G5559" s="46">
        <f>'Raw data'!F5468</f>
        <v>0</v>
      </c>
      <c r="H5559" s="4">
        <f>'Raw data'!G5468</f>
        <v>0</v>
      </c>
      <c r="I5559" s="29" t="e">
        <f>VLOOKUP(G5559,제품명!$C$1:$E$114,2,0)</f>
        <v>#N/A</v>
      </c>
      <c r="J5559" s="29">
        <f>'Raw data'!K5468</f>
        <v>0</v>
      </c>
      <c r="K5559" s="31">
        <f>'Raw data'!H5468</f>
        <v>0</v>
      </c>
      <c r="L5559" s="26">
        <f t="shared" si="176"/>
        <v>0</v>
      </c>
    </row>
    <row r="5560" spans="2:12">
      <c r="B5560" s="4" t="e">
        <f t="shared" si="175"/>
        <v>#N/A</v>
      </c>
      <c r="C5560" s="4">
        <f>'Raw data'!E5136</f>
        <v>0</v>
      </c>
      <c r="D5560" s="29" t="e">
        <f>VLOOKUP(C5560,'점포코드 '!A:B,2,0)</f>
        <v>#N/A</v>
      </c>
      <c r="E5560" s="30">
        <f>'Raw data'!P5136</f>
        <v>0</v>
      </c>
      <c r="F5560" s="29" t="e">
        <f>VLOOKUP(E5560,'점포코드 '!A:B,2,0)</f>
        <v>#N/A</v>
      </c>
      <c r="G5560" s="46">
        <f>'Raw data'!F5469</f>
        <v>0</v>
      </c>
      <c r="H5560" s="4">
        <f>'Raw data'!G5469</f>
        <v>0</v>
      </c>
      <c r="I5560" s="29" t="e">
        <f>VLOOKUP(G5560,제품명!$C$1:$E$114,2,0)</f>
        <v>#N/A</v>
      </c>
      <c r="J5560" s="29">
        <f>'Raw data'!K5469</f>
        <v>0</v>
      </c>
      <c r="K5560" s="31">
        <f>'Raw data'!H5469</f>
        <v>0</v>
      </c>
      <c r="L5560" s="26">
        <f t="shared" si="176"/>
        <v>0</v>
      </c>
    </row>
    <row r="5561" spans="2:12">
      <c r="B5561" s="4" t="e">
        <f t="shared" si="175"/>
        <v>#N/A</v>
      </c>
      <c r="C5561" s="4">
        <f>'Raw data'!E5137</f>
        <v>0</v>
      </c>
      <c r="D5561" s="29" t="e">
        <f>VLOOKUP(C5561,'점포코드 '!A:B,2,0)</f>
        <v>#N/A</v>
      </c>
      <c r="E5561" s="30">
        <f>'Raw data'!P5137</f>
        <v>0</v>
      </c>
      <c r="F5561" s="29" t="e">
        <f>VLOOKUP(E5561,'점포코드 '!A:B,2,0)</f>
        <v>#N/A</v>
      </c>
      <c r="G5561" s="46">
        <f>'Raw data'!F5470</f>
        <v>0</v>
      </c>
      <c r="H5561" s="4">
        <f>'Raw data'!G5470</f>
        <v>0</v>
      </c>
      <c r="I5561" s="29" t="e">
        <f>VLOOKUP(G5561,제품명!$C$1:$E$114,2,0)</f>
        <v>#N/A</v>
      </c>
      <c r="J5561" s="29">
        <f>'Raw data'!K5470</f>
        <v>0</v>
      </c>
      <c r="K5561" s="31">
        <f>'Raw data'!H5470</f>
        <v>0</v>
      </c>
      <c r="L5561" s="26">
        <f t="shared" si="176"/>
        <v>0</v>
      </c>
    </row>
    <row r="5562" spans="2:12">
      <c r="B5562" s="4" t="e">
        <f t="shared" si="175"/>
        <v>#N/A</v>
      </c>
      <c r="C5562" s="4">
        <f>'Raw data'!E5138</f>
        <v>0</v>
      </c>
      <c r="D5562" s="29" t="e">
        <f>VLOOKUP(C5562,'점포코드 '!A:B,2,0)</f>
        <v>#N/A</v>
      </c>
      <c r="E5562" s="30">
        <f>'Raw data'!P5138</f>
        <v>0</v>
      </c>
      <c r="F5562" s="29" t="e">
        <f>VLOOKUP(E5562,'점포코드 '!A:B,2,0)</f>
        <v>#N/A</v>
      </c>
      <c r="G5562" s="46">
        <f>'Raw data'!F5471</f>
        <v>0</v>
      </c>
      <c r="H5562" s="4">
        <f>'Raw data'!G5471</f>
        <v>0</v>
      </c>
      <c r="I5562" s="29" t="e">
        <f>VLOOKUP(G5562,제품명!$C$1:$E$114,2,0)</f>
        <v>#N/A</v>
      </c>
      <c r="J5562" s="29">
        <f>'Raw data'!K5471</f>
        <v>0</v>
      </c>
      <c r="K5562" s="31">
        <f>'Raw data'!H5471</f>
        <v>0</v>
      </c>
      <c r="L5562" s="26">
        <f t="shared" si="176"/>
        <v>0</v>
      </c>
    </row>
    <row r="5563" spans="2:12">
      <c r="B5563" s="4" t="e">
        <f t="shared" si="175"/>
        <v>#N/A</v>
      </c>
      <c r="C5563" s="4">
        <f>'Raw data'!E5139</f>
        <v>0</v>
      </c>
      <c r="D5563" s="29" t="e">
        <f>VLOOKUP(C5563,'점포코드 '!A:B,2,0)</f>
        <v>#N/A</v>
      </c>
      <c r="E5563" s="30">
        <f>'Raw data'!P5139</f>
        <v>0</v>
      </c>
      <c r="F5563" s="29" t="e">
        <f>VLOOKUP(E5563,'점포코드 '!A:B,2,0)</f>
        <v>#N/A</v>
      </c>
      <c r="G5563" s="46">
        <f>'Raw data'!F5472</f>
        <v>0</v>
      </c>
      <c r="H5563" s="4">
        <f>'Raw data'!G5472</f>
        <v>0</v>
      </c>
      <c r="I5563" s="29" t="e">
        <f>VLOOKUP(G5563,제품명!$C$1:$E$114,2,0)</f>
        <v>#N/A</v>
      </c>
      <c r="J5563" s="29">
        <f>'Raw data'!K5472</f>
        <v>0</v>
      </c>
      <c r="K5563" s="31">
        <f>'Raw data'!H5472</f>
        <v>0</v>
      </c>
      <c r="L5563" s="26">
        <f t="shared" si="176"/>
        <v>0</v>
      </c>
    </row>
    <row r="5564" spans="2:12">
      <c r="B5564" s="4" t="e">
        <f t="shared" si="175"/>
        <v>#N/A</v>
      </c>
      <c r="C5564" s="4">
        <f>'Raw data'!E5140</f>
        <v>0</v>
      </c>
      <c r="D5564" s="29" t="e">
        <f>VLOOKUP(C5564,'점포코드 '!A:B,2,0)</f>
        <v>#N/A</v>
      </c>
      <c r="E5564" s="30">
        <f>'Raw data'!P5140</f>
        <v>0</v>
      </c>
      <c r="F5564" s="29" t="e">
        <f>VLOOKUP(E5564,'점포코드 '!A:B,2,0)</f>
        <v>#N/A</v>
      </c>
      <c r="G5564" s="46">
        <f>'Raw data'!F5473</f>
        <v>0</v>
      </c>
      <c r="H5564" s="4">
        <f>'Raw data'!G5473</f>
        <v>0</v>
      </c>
      <c r="I5564" s="29" t="e">
        <f>VLOOKUP(G5564,제품명!$C$1:$E$114,2,0)</f>
        <v>#N/A</v>
      </c>
      <c r="J5564" s="29">
        <f>'Raw data'!K5473</f>
        <v>0</v>
      </c>
      <c r="K5564" s="31">
        <f>'Raw data'!H5473</f>
        <v>0</v>
      </c>
      <c r="L5564" s="26">
        <f t="shared" si="176"/>
        <v>0</v>
      </c>
    </row>
    <row r="5565" spans="2:12">
      <c r="B5565" s="4" t="e">
        <f t="shared" si="175"/>
        <v>#N/A</v>
      </c>
      <c r="C5565" s="4">
        <f>'Raw data'!E5141</f>
        <v>0</v>
      </c>
      <c r="D5565" s="29" t="e">
        <f>VLOOKUP(C5565,'점포코드 '!A:B,2,0)</f>
        <v>#N/A</v>
      </c>
      <c r="E5565" s="30">
        <f>'Raw data'!P5141</f>
        <v>0</v>
      </c>
      <c r="F5565" s="29" t="e">
        <f>VLOOKUP(E5565,'점포코드 '!A:B,2,0)</f>
        <v>#N/A</v>
      </c>
      <c r="G5565" s="46">
        <f>'Raw data'!F5474</f>
        <v>0</v>
      </c>
      <c r="H5565" s="4">
        <f>'Raw data'!G5474</f>
        <v>0</v>
      </c>
      <c r="I5565" s="29" t="e">
        <f>VLOOKUP(G5565,제품명!$C$1:$E$114,2,0)</f>
        <v>#N/A</v>
      </c>
      <c r="J5565" s="29">
        <f>'Raw data'!K5474</f>
        <v>0</v>
      </c>
      <c r="K5565" s="31">
        <f>'Raw data'!H5474</f>
        <v>0</v>
      </c>
      <c r="L5565" s="26">
        <f t="shared" si="176"/>
        <v>0</v>
      </c>
    </row>
    <row r="5566" spans="2:12">
      <c r="B5566" s="4" t="e">
        <f t="shared" si="175"/>
        <v>#N/A</v>
      </c>
      <c r="C5566" s="4">
        <f>'Raw data'!E5142</f>
        <v>0</v>
      </c>
      <c r="D5566" s="29" t="e">
        <f>VLOOKUP(C5566,'점포코드 '!A:B,2,0)</f>
        <v>#N/A</v>
      </c>
      <c r="E5566" s="30">
        <f>'Raw data'!P5142</f>
        <v>0</v>
      </c>
      <c r="F5566" s="29" t="e">
        <f>VLOOKUP(E5566,'점포코드 '!A:B,2,0)</f>
        <v>#N/A</v>
      </c>
      <c r="G5566" s="46">
        <f>'Raw data'!F5475</f>
        <v>0</v>
      </c>
      <c r="H5566" s="4">
        <f>'Raw data'!G5475</f>
        <v>0</v>
      </c>
      <c r="I5566" s="29" t="e">
        <f>VLOOKUP(G5566,제품명!$C$1:$E$114,2,0)</f>
        <v>#N/A</v>
      </c>
      <c r="J5566" s="29">
        <f>'Raw data'!K5475</f>
        <v>0</v>
      </c>
      <c r="K5566" s="31">
        <f>'Raw data'!H5475</f>
        <v>0</v>
      </c>
      <c r="L5566" s="26">
        <f t="shared" si="176"/>
        <v>0</v>
      </c>
    </row>
    <row r="5567" spans="2:12">
      <c r="B5567" s="4" t="e">
        <f t="shared" si="175"/>
        <v>#N/A</v>
      </c>
      <c r="C5567" s="4">
        <f>'Raw data'!E5143</f>
        <v>0</v>
      </c>
      <c r="D5567" s="29" t="e">
        <f>VLOOKUP(C5567,'점포코드 '!A:B,2,0)</f>
        <v>#N/A</v>
      </c>
      <c r="E5567" s="30">
        <f>'Raw data'!P5143</f>
        <v>0</v>
      </c>
      <c r="F5567" s="29" t="e">
        <f>VLOOKUP(E5567,'점포코드 '!A:B,2,0)</f>
        <v>#N/A</v>
      </c>
      <c r="G5567" s="46">
        <f>'Raw data'!F5476</f>
        <v>0</v>
      </c>
      <c r="H5567" s="4">
        <f>'Raw data'!G5476</f>
        <v>0</v>
      </c>
      <c r="I5567" s="29" t="e">
        <f>VLOOKUP(G5567,제품명!$C$1:$E$114,2,0)</f>
        <v>#N/A</v>
      </c>
      <c r="J5567" s="29">
        <f>'Raw data'!K5476</f>
        <v>0</v>
      </c>
      <c r="K5567" s="31">
        <f>'Raw data'!H5476</f>
        <v>0</v>
      </c>
      <c r="L5567" s="26">
        <f t="shared" si="176"/>
        <v>0</v>
      </c>
    </row>
    <row r="5568" spans="2:12">
      <c r="B5568" s="4" t="e">
        <f t="shared" si="175"/>
        <v>#N/A</v>
      </c>
      <c r="C5568" s="4">
        <f>'Raw data'!E5144</f>
        <v>0</v>
      </c>
      <c r="D5568" s="29" t="e">
        <f>VLOOKUP(C5568,'점포코드 '!A:B,2,0)</f>
        <v>#N/A</v>
      </c>
      <c r="E5568" s="30">
        <f>'Raw data'!P5144</f>
        <v>0</v>
      </c>
      <c r="F5568" s="29" t="e">
        <f>VLOOKUP(E5568,'점포코드 '!A:B,2,0)</f>
        <v>#N/A</v>
      </c>
      <c r="G5568" s="46">
        <f>'Raw data'!F5477</f>
        <v>0</v>
      </c>
      <c r="H5568" s="4">
        <f>'Raw data'!G5477</f>
        <v>0</v>
      </c>
      <c r="I5568" s="29" t="e">
        <f>VLOOKUP(G5568,제품명!$C$1:$E$114,2,0)</f>
        <v>#N/A</v>
      </c>
      <c r="J5568" s="29">
        <f>'Raw data'!K5477</f>
        <v>0</v>
      </c>
      <c r="K5568" s="31">
        <f>'Raw data'!H5477</f>
        <v>0</v>
      </c>
      <c r="L5568" s="26">
        <f t="shared" si="176"/>
        <v>0</v>
      </c>
    </row>
    <row r="5569" spans="2:12">
      <c r="B5569" s="4" t="e">
        <f t="shared" si="175"/>
        <v>#N/A</v>
      </c>
      <c r="C5569" s="4">
        <f>'Raw data'!E5145</f>
        <v>0</v>
      </c>
      <c r="D5569" s="29" t="e">
        <f>VLOOKUP(C5569,'점포코드 '!A:B,2,0)</f>
        <v>#N/A</v>
      </c>
      <c r="E5569" s="30">
        <f>'Raw data'!P5145</f>
        <v>0</v>
      </c>
      <c r="F5569" s="29" t="e">
        <f>VLOOKUP(E5569,'점포코드 '!A:B,2,0)</f>
        <v>#N/A</v>
      </c>
      <c r="G5569" s="46">
        <f>'Raw data'!F5478</f>
        <v>0</v>
      </c>
      <c r="H5569" s="4">
        <f>'Raw data'!G5478</f>
        <v>0</v>
      </c>
      <c r="I5569" s="29" t="e">
        <f>VLOOKUP(G5569,제품명!$C$1:$E$114,2,0)</f>
        <v>#N/A</v>
      </c>
      <c r="J5569" s="29">
        <f>'Raw data'!K5478</f>
        <v>0</v>
      </c>
      <c r="K5569" s="31">
        <f>'Raw data'!H5478</f>
        <v>0</v>
      </c>
      <c r="L5569" s="26">
        <f t="shared" si="176"/>
        <v>0</v>
      </c>
    </row>
    <row r="5570" spans="2:12">
      <c r="B5570" s="4" t="e">
        <f t="shared" ref="B5570:B5633" si="177">F5570&amp;I5570</f>
        <v>#N/A</v>
      </c>
      <c r="C5570" s="4">
        <f>'Raw data'!E5146</f>
        <v>0</v>
      </c>
      <c r="D5570" s="29" t="e">
        <f>VLOOKUP(C5570,'점포코드 '!A:B,2,0)</f>
        <v>#N/A</v>
      </c>
      <c r="E5570" s="30">
        <f>'Raw data'!P5146</f>
        <v>0</v>
      </c>
      <c r="F5570" s="29" t="e">
        <f>VLOOKUP(E5570,'점포코드 '!A:B,2,0)</f>
        <v>#N/A</v>
      </c>
      <c r="G5570" s="46">
        <f>'Raw data'!F5479</f>
        <v>0</v>
      </c>
      <c r="H5570" s="4">
        <f>'Raw data'!G5479</f>
        <v>0</v>
      </c>
      <c r="I5570" s="29" t="e">
        <f>VLOOKUP(G5570,제품명!$C$1:$E$114,2,0)</f>
        <v>#N/A</v>
      </c>
      <c r="J5570" s="29">
        <f>'Raw data'!K5479</f>
        <v>0</v>
      </c>
      <c r="K5570" s="31">
        <f>'Raw data'!H5479</f>
        <v>0</v>
      </c>
      <c r="L5570" s="26">
        <f t="shared" si="176"/>
        <v>0</v>
      </c>
    </row>
    <row r="5571" spans="2:12">
      <c r="B5571" s="4" t="e">
        <f t="shared" si="177"/>
        <v>#N/A</v>
      </c>
      <c r="C5571" s="4">
        <f>'Raw data'!E5147</f>
        <v>0</v>
      </c>
      <c r="D5571" s="29" t="e">
        <f>VLOOKUP(C5571,'점포코드 '!A:B,2,0)</f>
        <v>#N/A</v>
      </c>
      <c r="E5571" s="30">
        <f>'Raw data'!P5147</f>
        <v>0</v>
      </c>
      <c r="F5571" s="29" t="e">
        <f>VLOOKUP(E5571,'점포코드 '!A:B,2,0)</f>
        <v>#N/A</v>
      </c>
      <c r="G5571" s="46">
        <f>'Raw data'!F5480</f>
        <v>0</v>
      </c>
      <c r="H5571" s="4">
        <f>'Raw data'!G5480</f>
        <v>0</v>
      </c>
      <c r="I5571" s="29" t="e">
        <f>VLOOKUP(G5571,제품명!$C$1:$E$114,2,0)</f>
        <v>#N/A</v>
      </c>
      <c r="J5571" s="29">
        <f>'Raw data'!K5480</f>
        <v>0</v>
      </c>
      <c r="K5571" s="31">
        <f>'Raw data'!H5480</f>
        <v>0</v>
      </c>
      <c r="L5571" s="26">
        <f t="shared" ref="L5571:L5634" si="178">J5571*K5571</f>
        <v>0</v>
      </c>
    </row>
    <row r="5572" spans="2:12">
      <c r="B5572" s="4" t="e">
        <f t="shared" si="177"/>
        <v>#N/A</v>
      </c>
      <c r="C5572" s="4">
        <f>'Raw data'!E5148</f>
        <v>0</v>
      </c>
      <c r="D5572" s="29" t="e">
        <f>VLOOKUP(C5572,'점포코드 '!A:B,2,0)</f>
        <v>#N/A</v>
      </c>
      <c r="E5572" s="30">
        <f>'Raw data'!P5148</f>
        <v>0</v>
      </c>
      <c r="F5572" s="29" t="e">
        <f>VLOOKUP(E5572,'점포코드 '!A:B,2,0)</f>
        <v>#N/A</v>
      </c>
      <c r="G5572" s="46">
        <f>'Raw data'!F5481</f>
        <v>0</v>
      </c>
      <c r="H5572" s="4">
        <f>'Raw data'!G5481</f>
        <v>0</v>
      </c>
      <c r="I5572" s="29" t="e">
        <f>VLOOKUP(G5572,제품명!$C$1:$E$114,2,0)</f>
        <v>#N/A</v>
      </c>
      <c r="J5572" s="29">
        <f>'Raw data'!K5481</f>
        <v>0</v>
      </c>
      <c r="K5572" s="31">
        <f>'Raw data'!H5481</f>
        <v>0</v>
      </c>
      <c r="L5572" s="26">
        <f t="shared" si="178"/>
        <v>0</v>
      </c>
    </row>
    <row r="5573" spans="2:12">
      <c r="B5573" s="4" t="e">
        <f t="shared" si="177"/>
        <v>#N/A</v>
      </c>
      <c r="C5573" s="4">
        <f>'Raw data'!E5149</f>
        <v>0</v>
      </c>
      <c r="D5573" s="29" t="e">
        <f>VLOOKUP(C5573,'점포코드 '!A:B,2,0)</f>
        <v>#N/A</v>
      </c>
      <c r="E5573" s="30">
        <f>'Raw data'!P5149</f>
        <v>0</v>
      </c>
      <c r="F5573" s="29" t="e">
        <f>VLOOKUP(E5573,'점포코드 '!A:B,2,0)</f>
        <v>#N/A</v>
      </c>
      <c r="G5573" s="46">
        <f>'Raw data'!F5482</f>
        <v>0</v>
      </c>
      <c r="H5573" s="4">
        <f>'Raw data'!G5482</f>
        <v>0</v>
      </c>
      <c r="I5573" s="29" t="e">
        <f>VLOOKUP(G5573,제품명!$C$1:$E$114,2,0)</f>
        <v>#N/A</v>
      </c>
      <c r="J5573" s="29">
        <f>'Raw data'!K5482</f>
        <v>0</v>
      </c>
      <c r="K5573" s="31">
        <f>'Raw data'!H5482</f>
        <v>0</v>
      </c>
      <c r="L5573" s="26">
        <f t="shared" si="178"/>
        <v>0</v>
      </c>
    </row>
    <row r="5574" spans="2:12">
      <c r="B5574" s="4" t="e">
        <f t="shared" si="177"/>
        <v>#N/A</v>
      </c>
      <c r="C5574" s="4">
        <f>'Raw data'!E5150</f>
        <v>0</v>
      </c>
      <c r="D5574" s="29" t="e">
        <f>VLOOKUP(C5574,'점포코드 '!A:B,2,0)</f>
        <v>#N/A</v>
      </c>
      <c r="E5574" s="30">
        <f>'Raw data'!P5150</f>
        <v>0</v>
      </c>
      <c r="F5574" s="29" t="e">
        <f>VLOOKUP(E5574,'점포코드 '!A:B,2,0)</f>
        <v>#N/A</v>
      </c>
      <c r="G5574" s="46">
        <f>'Raw data'!F5483</f>
        <v>0</v>
      </c>
      <c r="H5574" s="4">
        <f>'Raw data'!G5483</f>
        <v>0</v>
      </c>
      <c r="I5574" s="29" t="e">
        <f>VLOOKUP(G5574,제품명!$C$1:$E$114,2,0)</f>
        <v>#N/A</v>
      </c>
      <c r="J5574" s="29">
        <f>'Raw data'!K5483</f>
        <v>0</v>
      </c>
      <c r="K5574" s="31">
        <f>'Raw data'!H5483</f>
        <v>0</v>
      </c>
      <c r="L5574" s="26">
        <f t="shared" si="178"/>
        <v>0</v>
      </c>
    </row>
    <row r="5575" spans="2:12">
      <c r="B5575" s="4" t="e">
        <f t="shared" si="177"/>
        <v>#N/A</v>
      </c>
      <c r="C5575" s="4">
        <f>'Raw data'!E5151</f>
        <v>0</v>
      </c>
      <c r="D5575" s="29" t="e">
        <f>VLOOKUP(C5575,'점포코드 '!A:B,2,0)</f>
        <v>#N/A</v>
      </c>
      <c r="E5575" s="30">
        <f>'Raw data'!P5151</f>
        <v>0</v>
      </c>
      <c r="F5575" s="29" t="e">
        <f>VLOOKUP(E5575,'점포코드 '!A:B,2,0)</f>
        <v>#N/A</v>
      </c>
      <c r="G5575" s="46">
        <f>'Raw data'!F5484</f>
        <v>0</v>
      </c>
      <c r="H5575" s="4">
        <f>'Raw data'!G5484</f>
        <v>0</v>
      </c>
      <c r="I5575" s="29" t="e">
        <f>VLOOKUP(G5575,제품명!$C$1:$E$114,2,0)</f>
        <v>#N/A</v>
      </c>
      <c r="J5575" s="29">
        <f>'Raw data'!K5484</f>
        <v>0</v>
      </c>
      <c r="K5575" s="31">
        <f>'Raw data'!H5484</f>
        <v>0</v>
      </c>
      <c r="L5575" s="26">
        <f t="shared" si="178"/>
        <v>0</v>
      </c>
    </row>
    <row r="5576" spans="2:12">
      <c r="B5576" s="4" t="e">
        <f t="shared" si="177"/>
        <v>#N/A</v>
      </c>
      <c r="C5576" s="4">
        <f>'Raw data'!E5152</f>
        <v>0</v>
      </c>
      <c r="D5576" s="29" t="e">
        <f>VLOOKUP(C5576,'점포코드 '!A:B,2,0)</f>
        <v>#N/A</v>
      </c>
      <c r="E5576" s="30">
        <f>'Raw data'!P5152</f>
        <v>0</v>
      </c>
      <c r="F5576" s="29" t="e">
        <f>VLOOKUP(E5576,'점포코드 '!A:B,2,0)</f>
        <v>#N/A</v>
      </c>
      <c r="G5576" s="46">
        <f>'Raw data'!F5485</f>
        <v>0</v>
      </c>
      <c r="H5576" s="4">
        <f>'Raw data'!G5485</f>
        <v>0</v>
      </c>
      <c r="I5576" s="29" t="e">
        <f>VLOOKUP(G5576,제품명!$C$1:$E$114,2,0)</f>
        <v>#N/A</v>
      </c>
      <c r="J5576" s="29">
        <f>'Raw data'!K5485</f>
        <v>0</v>
      </c>
      <c r="K5576" s="31">
        <f>'Raw data'!H5485</f>
        <v>0</v>
      </c>
      <c r="L5576" s="26">
        <f t="shared" si="178"/>
        <v>0</v>
      </c>
    </row>
    <row r="5577" spans="2:12">
      <c r="B5577" s="4" t="e">
        <f t="shared" si="177"/>
        <v>#N/A</v>
      </c>
      <c r="C5577" s="4">
        <f>'Raw data'!E5153</f>
        <v>0</v>
      </c>
      <c r="D5577" s="29" t="e">
        <f>VLOOKUP(C5577,'점포코드 '!A:B,2,0)</f>
        <v>#N/A</v>
      </c>
      <c r="E5577" s="30">
        <f>'Raw data'!P5153</f>
        <v>0</v>
      </c>
      <c r="F5577" s="29" t="e">
        <f>VLOOKUP(E5577,'점포코드 '!A:B,2,0)</f>
        <v>#N/A</v>
      </c>
      <c r="G5577" s="46">
        <f>'Raw data'!F5486</f>
        <v>0</v>
      </c>
      <c r="H5577" s="4">
        <f>'Raw data'!G5486</f>
        <v>0</v>
      </c>
      <c r="I5577" s="29" t="e">
        <f>VLOOKUP(G5577,제품명!$C$1:$E$114,2,0)</f>
        <v>#N/A</v>
      </c>
      <c r="J5577" s="29">
        <f>'Raw data'!K5486</f>
        <v>0</v>
      </c>
      <c r="K5577" s="31">
        <f>'Raw data'!H5486</f>
        <v>0</v>
      </c>
      <c r="L5577" s="26">
        <f t="shared" si="178"/>
        <v>0</v>
      </c>
    </row>
    <row r="5578" spans="2:12">
      <c r="B5578" s="4" t="e">
        <f t="shared" si="177"/>
        <v>#N/A</v>
      </c>
      <c r="C5578" s="4">
        <f>'Raw data'!E5154</f>
        <v>0</v>
      </c>
      <c r="D5578" s="29" t="e">
        <f>VLOOKUP(C5578,'점포코드 '!A:B,2,0)</f>
        <v>#N/A</v>
      </c>
      <c r="E5578" s="30">
        <f>'Raw data'!P5154</f>
        <v>0</v>
      </c>
      <c r="F5578" s="29" t="e">
        <f>VLOOKUP(E5578,'점포코드 '!A:B,2,0)</f>
        <v>#N/A</v>
      </c>
      <c r="G5578" s="46">
        <f>'Raw data'!F5487</f>
        <v>0</v>
      </c>
      <c r="H5578" s="4">
        <f>'Raw data'!G5487</f>
        <v>0</v>
      </c>
      <c r="I5578" s="29" t="e">
        <f>VLOOKUP(G5578,제품명!$C$1:$E$114,2,0)</f>
        <v>#N/A</v>
      </c>
      <c r="J5578" s="29">
        <f>'Raw data'!K5487</f>
        <v>0</v>
      </c>
      <c r="K5578" s="31">
        <f>'Raw data'!H5487</f>
        <v>0</v>
      </c>
      <c r="L5578" s="26">
        <f t="shared" si="178"/>
        <v>0</v>
      </c>
    </row>
    <row r="5579" spans="2:12">
      <c r="B5579" s="4" t="e">
        <f t="shared" si="177"/>
        <v>#N/A</v>
      </c>
      <c r="C5579" s="4">
        <f>'Raw data'!E5155</f>
        <v>0</v>
      </c>
      <c r="D5579" s="29" t="e">
        <f>VLOOKUP(C5579,'점포코드 '!A:B,2,0)</f>
        <v>#N/A</v>
      </c>
      <c r="E5579" s="30">
        <f>'Raw data'!P5155</f>
        <v>0</v>
      </c>
      <c r="F5579" s="29" t="e">
        <f>VLOOKUP(E5579,'점포코드 '!A:B,2,0)</f>
        <v>#N/A</v>
      </c>
      <c r="G5579" s="46">
        <f>'Raw data'!F5488</f>
        <v>0</v>
      </c>
      <c r="H5579" s="4">
        <f>'Raw data'!G5488</f>
        <v>0</v>
      </c>
      <c r="I5579" s="29" t="e">
        <f>VLOOKUP(G5579,제품명!$C$1:$E$114,2,0)</f>
        <v>#N/A</v>
      </c>
      <c r="J5579" s="29">
        <f>'Raw data'!K5488</f>
        <v>0</v>
      </c>
      <c r="K5579" s="31">
        <f>'Raw data'!H5488</f>
        <v>0</v>
      </c>
      <c r="L5579" s="26">
        <f t="shared" si="178"/>
        <v>0</v>
      </c>
    </row>
    <row r="5580" spans="2:12">
      <c r="B5580" s="4" t="e">
        <f t="shared" si="177"/>
        <v>#N/A</v>
      </c>
      <c r="C5580" s="4">
        <f>'Raw data'!E5156</f>
        <v>0</v>
      </c>
      <c r="D5580" s="29" t="e">
        <f>VLOOKUP(C5580,'점포코드 '!A:B,2,0)</f>
        <v>#N/A</v>
      </c>
      <c r="E5580" s="30">
        <f>'Raw data'!P5156</f>
        <v>0</v>
      </c>
      <c r="F5580" s="29" t="e">
        <f>VLOOKUP(E5580,'점포코드 '!A:B,2,0)</f>
        <v>#N/A</v>
      </c>
      <c r="G5580" s="46">
        <f>'Raw data'!F5489</f>
        <v>0</v>
      </c>
      <c r="H5580" s="4">
        <f>'Raw data'!G5489</f>
        <v>0</v>
      </c>
      <c r="I5580" s="29" t="e">
        <f>VLOOKUP(G5580,제품명!$C$1:$E$114,2,0)</f>
        <v>#N/A</v>
      </c>
      <c r="J5580" s="29">
        <f>'Raw data'!K5489</f>
        <v>0</v>
      </c>
      <c r="K5580" s="31">
        <f>'Raw data'!H5489</f>
        <v>0</v>
      </c>
      <c r="L5580" s="26">
        <f t="shared" si="178"/>
        <v>0</v>
      </c>
    </row>
    <row r="5581" spans="2:12">
      <c r="B5581" s="4" t="e">
        <f t="shared" si="177"/>
        <v>#N/A</v>
      </c>
      <c r="C5581" s="4">
        <f>'Raw data'!E5157</f>
        <v>0</v>
      </c>
      <c r="D5581" s="29" t="e">
        <f>VLOOKUP(C5581,'점포코드 '!A:B,2,0)</f>
        <v>#N/A</v>
      </c>
      <c r="E5581" s="30">
        <f>'Raw data'!P5157</f>
        <v>0</v>
      </c>
      <c r="F5581" s="29" t="e">
        <f>VLOOKUP(E5581,'점포코드 '!A:B,2,0)</f>
        <v>#N/A</v>
      </c>
      <c r="G5581" s="46">
        <f>'Raw data'!F5490</f>
        <v>0</v>
      </c>
      <c r="H5581" s="4">
        <f>'Raw data'!G5490</f>
        <v>0</v>
      </c>
      <c r="I5581" s="29" t="e">
        <f>VLOOKUP(G5581,제품명!$C$1:$E$114,2,0)</f>
        <v>#N/A</v>
      </c>
      <c r="J5581" s="29">
        <f>'Raw data'!K5490</f>
        <v>0</v>
      </c>
      <c r="K5581" s="31">
        <f>'Raw data'!H5490</f>
        <v>0</v>
      </c>
      <c r="L5581" s="26">
        <f t="shared" si="178"/>
        <v>0</v>
      </c>
    </row>
    <row r="5582" spans="2:12">
      <c r="B5582" s="4" t="e">
        <f t="shared" si="177"/>
        <v>#N/A</v>
      </c>
      <c r="C5582" s="4">
        <f>'Raw data'!E5158</f>
        <v>0</v>
      </c>
      <c r="D5582" s="29" t="e">
        <f>VLOOKUP(C5582,'점포코드 '!A:B,2,0)</f>
        <v>#N/A</v>
      </c>
      <c r="E5582" s="30">
        <f>'Raw data'!P5158</f>
        <v>0</v>
      </c>
      <c r="F5582" s="29" t="e">
        <f>VLOOKUP(E5582,'점포코드 '!A:B,2,0)</f>
        <v>#N/A</v>
      </c>
      <c r="G5582" s="46">
        <f>'Raw data'!F5491</f>
        <v>0</v>
      </c>
      <c r="H5582" s="4">
        <f>'Raw data'!G5491</f>
        <v>0</v>
      </c>
      <c r="I5582" s="29" t="e">
        <f>VLOOKUP(G5582,제품명!$C$1:$E$114,2,0)</f>
        <v>#N/A</v>
      </c>
      <c r="J5582" s="29">
        <f>'Raw data'!K5491</f>
        <v>0</v>
      </c>
      <c r="K5582" s="31">
        <f>'Raw data'!H5491</f>
        <v>0</v>
      </c>
      <c r="L5582" s="26">
        <f t="shared" si="178"/>
        <v>0</v>
      </c>
    </row>
    <row r="5583" spans="2:12">
      <c r="B5583" s="4" t="e">
        <f t="shared" si="177"/>
        <v>#N/A</v>
      </c>
      <c r="C5583" s="4">
        <f>'Raw data'!E5159</f>
        <v>0</v>
      </c>
      <c r="D5583" s="29" t="e">
        <f>VLOOKUP(C5583,'점포코드 '!A:B,2,0)</f>
        <v>#N/A</v>
      </c>
      <c r="E5583" s="30">
        <f>'Raw data'!P5159</f>
        <v>0</v>
      </c>
      <c r="F5583" s="29" t="e">
        <f>VLOOKUP(E5583,'점포코드 '!A:B,2,0)</f>
        <v>#N/A</v>
      </c>
      <c r="G5583" s="46">
        <f>'Raw data'!F5492</f>
        <v>0</v>
      </c>
      <c r="H5583" s="4">
        <f>'Raw data'!G5492</f>
        <v>0</v>
      </c>
      <c r="I5583" s="29" t="e">
        <f>VLOOKUP(G5583,제품명!$C$1:$E$114,2,0)</f>
        <v>#N/A</v>
      </c>
      <c r="J5583" s="29">
        <f>'Raw data'!K5492</f>
        <v>0</v>
      </c>
      <c r="K5583" s="31">
        <f>'Raw data'!H5492</f>
        <v>0</v>
      </c>
      <c r="L5583" s="26">
        <f t="shared" si="178"/>
        <v>0</v>
      </c>
    </row>
    <row r="5584" spans="2:12">
      <c r="B5584" s="4" t="e">
        <f t="shared" si="177"/>
        <v>#N/A</v>
      </c>
      <c r="C5584" s="4">
        <f>'Raw data'!E5160</f>
        <v>0</v>
      </c>
      <c r="D5584" s="29" t="e">
        <f>VLOOKUP(C5584,'점포코드 '!A:B,2,0)</f>
        <v>#N/A</v>
      </c>
      <c r="E5584" s="30">
        <f>'Raw data'!P5160</f>
        <v>0</v>
      </c>
      <c r="F5584" s="29" t="e">
        <f>VLOOKUP(E5584,'점포코드 '!A:B,2,0)</f>
        <v>#N/A</v>
      </c>
      <c r="G5584" s="46">
        <f>'Raw data'!F5493</f>
        <v>0</v>
      </c>
      <c r="H5584" s="4">
        <f>'Raw data'!G5493</f>
        <v>0</v>
      </c>
      <c r="I5584" s="29" t="e">
        <f>VLOOKUP(G5584,제품명!$C$1:$E$114,2,0)</f>
        <v>#N/A</v>
      </c>
      <c r="J5584" s="29">
        <f>'Raw data'!K5493</f>
        <v>0</v>
      </c>
      <c r="K5584" s="31">
        <f>'Raw data'!H5493</f>
        <v>0</v>
      </c>
      <c r="L5584" s="26">
        <f t="shared" si="178"/>
        <v>0</v>
      </c>
    </row>
    <row r="5585" spans="2:12">
      <c r="B5585" s="4" t="e">
        <f t="shared" si="177"/>
        <v>#N/A</v>
      </c>
      <c r="C5585" s="4">
        <f>'Raw data'!E5161</f>
        <v>0</v>
      </c>
      <c r="D5585" s="29" t="e">
        <f>VLOOKUP(C5585,'점포코드 '!A:B,2,0)</f>
        <v>#N/A</v>
      </c>
      <c r="E5585" s="30">
        <f>'Raw data'!P5161</f>
        <v>0</v>
      </c>
      <c r="F5585" s="29" t="e">
        <f>VLOOKUP(E5585,'점포코드 '!A:B,2,0)</f>
        <v>#N/A</v>
      </c>
      <c r="G5585" s="46">
        <f>'Raw data'!F5494</f>
        <v>0</v>
      </c>
      <c r="H5585" s="4">
        <f>'Raw data'!G5494</f>
        <v>0</v>
      </c>
      <c r="I5585" s="29" t="e">
        <f>VLOOKUP(G5585,제품명!$C$1:$E$114,2,0)</f>
        <v>#N/A</v>
      </c>
      <c r="J5585" s="29">
        <f>'Raw data'!K5494</f>
        <v>0</v>
      </c>
      <c r="K5585" s="31">
        <f>'Raw data'!H5494</f>
        <v>0</v>
      </c>
      <c r="L5585" s="26">
        <f t="shared" si="178"/>
        <v>0</v>
      </c>
    </row>
    <row r="5586" spans="2:12">
      <c r="B5586" s="4" t="e">
        <f t="shared" si="177"/>
        <v>#N/A</v>
      </c>
      <c r="C5586" s="4">
        <f>'Raw data'!E5162</f>
        <v>0</v>
      </c>
      <c r="D5586" s="29" t="e">
        <f>VLOOKUP(C5586,'점포코드 '!A:B,2,0)</f>
        <v>#N/A</v>
      </c>
      <c r="E5586" s="30">
        <f>'Raw data'!P5162</f>
        <v>0</v>
      </c>
      <c r="F5586" s="29" t="e">
        <f>VLOOKUP(E5586,'점포코드 '!A:B,2,0)</f>
        <v>#N/A</v>
      </c>
      <c r="G5586" s="46">
        <f>'Raw data'!F5495</f>
        <v>0</v>
      </c>
      <c r="H5586" s="4">
        <f>'Raw data'!G5495</f>
        <v>0</v>
      </c>
      <c r="I5586" s="29" t="e">
        <f>VLOOKUP(G5586,제품명!$C$1:$E$114,2,0)</f>
        <v>#N/A</v>
      </c>
      <c r="J5586" s="29">
        <f>'Raw data'!K5495</f>
        <v>0</v>
      </c>
      <c r="K5586" s="31">
        <f>'Raw data'!H5495</f>
        <v>0</v>
      </c>
      <c r="L5586" s="26">
        <f t="shared" si="178"/>
        <v>0</v>
      </c>
    </row>
    <row r="5587" spans="2:12">
      <c r="B5587" s="4" t="e">
        <f t="shared" si="177"/>
        <v>#N/A</v>
      </c>
      <c r="C5587" s="4">
        <f>'Raw data'!E5163</f>
        <v>0</v>
      </c>
      <c r="D5587" s="29" t="e">
        <f>VLOOKUP(C5587,'점포코드 '!A:B,2,0)</f>
        <v>#N/A</v>
      </c>
      <c r="E5587" s="30">
        <f>'Raw data'!P5163</f>
        <v>0</v>
      </c>
      <c r="F5587" s="29" t="e">
        <f>VLOOKUP(E5587,'점포코드 '!A:B,2,0)</f>
        <v>#N/A</v>
      </c>
      <c r="G5587" s="46">
        <f>'Raw data'!F5496</f>
        <v>0</v>
      </c>
      <c r="H5587" s="4">
        <f>'Raw data'!G5496</f>
        <v>0</v>
      </c>
      <c r="I5587" s="29" t="e">
        <f>VLOOKUP(G5587,제품명!$C$1:$E$114,2,0)</f>
        <v>#N/A</v>
      </c>
      <c r="J5587" s="29">
        <f>'Raw data'!K5496</f>
        <v>0</v>
      </c>
      <c r="K5587" s="31">
        <f>'Raw data'!H5496</f>
        <v>0</v>
      </c>
      <c r="L5587" s="26">
        <f t="shared" si="178"/>
        <v>0</v>
      </c>
    </row>
    <row r="5588" spans="2:12">
      <c r="B5588" s="4" t="e">
        <f t="shared" si="177"/>
        <v>#N/A</v>
      </c>
      <c r="C5588" s="4">
        <f>'Raw data'!E5164</f>
        <v>0</v>
      </c>
      <c r="D5588" s="29" t="e">
        <f>VLOOKUP(C5588,'점포코드 '!A:B,2,0)</f>
        <v>#N/A</v>
      </c>
      <c r="E5588" s="30">
        <f>'Raw data'!P5164</f>
        <v>0</v>
      </c>
      <c r="F5588" s="29" t="e">
        <f>VLOOKUP(E5588,'점포코드 '!A:B,2,0)</f>
        <v>#N/A</v>
      </c>
      <c r="G5588" s="46">
        <f>'Raw data'!F5497</f>
        <v>0</v>
      </c>
      <c r="H5588" s="4">
        <f>'Raw data'!G5497</f>
        <v>0</v>
      </c>
      <c r="I5588" s="29" t="e">
        <f>VLOOKUP(G5588,제품명!$C$1:$E$114,2,0)</f>
        <v>#N/A</v>
      </c>
      <c r="J5588" s="29">
        <f>'Raw data'!K5497</f>
        <v>0</v>
      </c>
      <c r="K5588" s="31">
        <f>'Raw data'!H5497</f>
        <v>0</v>
      </c>
      <c r="L5588" s="26">
        <f t="shared" si="178"/>
        <v>0</v>
      </c>
    </row>
    <row r="5589" spans="2:12">
      <c r="B5589" s="4" t="e">
        <f t="shared" si="177"/>
        <v>#N/A</v>
      </c>
      <c r="C5589" s="4">
        <f>'Raw data'!E5165</f>
        <v>0</v>
      </c>
      <c r="D5589" s="29" t="e">
        <f>VLOOKUP(C5589,'점포코드 '!A:B,2,0)</f>
        <v>#N/A</v>
      </c>
      <c r="E5589" s="30">
        <f>'Raw data'!P5165</f>
        <v>0</v>
      </c>
      <c r="F5589" s="29" t="e">
        <f>VLOOKUP(E5589,'점포코드 '!A:B,2,0)</f>
        <v>#N/A</v>
      </c>
      <c r="G5589" s="46">
        <f>'Raw data'!F5498</f>
        <v>0</v>
      </c>
      <c r="H5589" s="4">
        <f>'Raw data'!G5498</f>
        <v>0</v>
      </c>
      <c r="I5589" s="29" t="e">
        <f>VLOOKUP(G5589,제품명!$C$1:$E$114,2,0)</f>
        <v>#N/A</v>
      </c>
      <c r="J5589" s="29">
        <f>'Raw data'!K5498</f>
        <v>0</v>
      </c>
      <c r="K5589" s="31">
        <f>'Raw data'!H5498</f>
        <v>0</v>
      </c>
      <c r="L5589" s="26">
        <f t="shared" si="178"/>
        <v>0</v>
      </c>
    </row>
    <row r="5590" spans="2:12">
      <c r="B5590" s="4" t="e">
        <f t="shared" si="177"/>
        <v>#N/A</v>
      </c>
      <c r="C5590" s="4">
        <f>'Raw data'!E5166</f>
        <v>0</v>
      </c>
      <c r="D5590" s="29" t="e">
        <f>VLOOKUP(C5590,'점포코드 '!A:B,2,0)</f>
        <v>#N/A</v>
      </c>
      <c r="E5590" s="30">
        <f>'Raw data'!P5166</f>
        <v>0</v>
      </c>
      <c r="F5590" s="29" t="e">
        <f>VLOOKUP(E5590,'점포코드 '!A:B,2,0)</f>
        <v>#N/A</v>
      </c>
      <c r="G5590" s="46">
        <f>'Raw data'!F5499</f>
        <v>0</v>
      </c>
      <c r="H5590" s="4">
        <f>'Raw data'!G5499</f>
        <v>0</v>
      </c>
      <c r="I5590" s="29" t="e">
        <f>VLOOKUP(G5590,제품명!$C$1:$E$114,2,0)</f>
        <v>#N/A</v>
      </c>
      <c r="J5590" s="29">
        <f>'Raw data'!K5499</f>
        <v>0</v>
      </c>
      <c r="K5590" s="31">
        <f>'Raw data'!H5499</f>
        <v>0</v>
      </c>
      <c r="L5590" s="26">
        <f t="shared" si="178"/>
        <v>0</v>
      </c>
    </row>
    <row r="5591" spans="2:12">
      <c r="B5591" s="4" t="e">
        <f t="shared" si="177"/>
        <v>#N/A</v>
      </c>
      <c r="C5591" s="4">
        <f>'Raw data'!E5167</f>
        <v>0</v>
      </c>
      <c r="D5591" s="29" t="e">
        <f>VLOOKUP(C5591,'점포코드 '!A:B,2,0)</f>
        <v>#N/A</v>
      </c>
      <c r="E5591" s="30">
        <f>'Raw data'!P5167</f>
        <v>0</v>
      </c>
      <c r="F5591" s="29" t="e">
        <f>VLOOKUP(E5591,'점포코드 '!A:B,2,0)</f>
        <v>#N/A</v>
      </c>
      <c r="G5591" s="46">
        <f>'Raw data'!F5500</f>
        <v>0</v>
      </c>
      <c r="H5591" s="4">
        <f>'Raw data'!G5500</f>
        <v>0</v>
      </c>
      <c r="I5591" s="29" t="e">
        <f>VLOOKUP(G5591,제품명!$C$1:$E$114,2,0)</f>
        <v>#N/A</v>
      </c>
      <c r="J5591" s="29">
        <f>'Raw data'!K5500</f>
        <v>0</v>
      </c>
      <c r="K5591" s="31">
        <f>'Raw data'!H5500</f>
        <v>0</v>
      </c>
      <c r="L5591" s="26">
        <f t="shared" si="178"/>
        <v>0</v>
      </c>
    </row>
    <row r="5592" spans="2:12">
      <c r="B5592" s="4" t="e">
        <f t="shared" si="177"/>
        <v>#N/A</v>
      </c>
      <c r="C5592" s="4">
        <f>'Raw data'!E5168</f>
        <v>0</v>
      </c>
      <c r="D5592" s="29" t="e">
        <f>VLOOKUP(C5592,'점포코드 '!A:B,2,0)</f>
        <v>#N/A</v>
      </c>
      <c r="E5592" s="30">
        <f>'Raw data'!P5168</f>
        <v>0</v>
      </c>
      <c r="F5592" s="29" t="e">
        <f>VLOOKUP(E5592,'점포코드 '!A:B,2,0)</f>
        <v>#N/A</v>
      </c>
      <c r="G5592" s="46">
        <f>'Raw data'!F5501</f>
        <v>0</v>
      </c>
      <c r="H5592" s="4">
        <f>'Raw data'!G5501</f>
        <v>0</v>
      </c>
      <c r="I5592" s="29" t="e">
        <f>VLOOKUP(G5592,제품명!$C$1:$E$114,2,0)</f>
        <v>#N/A</v>
      </c>
      <c r="J5592" s="29">
        <f>'Raw data'!K5501</f>
        <v>0</v>
      </c>
      <c r="K5592" s="31">
        <f>'Raw data'!H5501</f>
        <v>0</v>
      </c>
      <c r="L5592" s="26">
        <f t="shared" si="178"/>
        <v>0</v>
      </c>
    </row>
    <row r="5593" spans="2:12">
      <c r="B5593" s="4" t="e">
        <f t="shared" si="177"/>
        <v>#N/A</v>
      </c>
      <c r="C5593" s="4">
        <f>'Raw data'!E5169</f>
        <v>0</v>
      </c>
      <c r="D5593" s="29" t="e">
        <f>VLOOKUP(C5593,'점포코드 '!A:B,2,0)</f>
        <v>#N/A</v>
      </c>
      <c r="E5593" s="30">
        <f>'Raw data'!P5169</f>
        <v>0</v>
      </c>
      <c r="F5593" s="29" t="e">
        <f>VLOOKUP(E5593,'점포코드 '!A:B,2,0)</f>
        <v>#N/A</v>
      </c>
      <c r="G5593" s="46">
        <f>'Raw data'!F5502</f>
        <v>0</v>
      </c>
      <c r="H5593" s="4">
        <f>'Raw data'!G5502</f>
        <v>0</v>
      </c>
      <c r="I5593" s="29" t="e">
        <f>VLOOKUP(G5593,제품명!$C$1:$E$114,2,0)</f>
        <v>#N/A</v>
      </c>
      <c r="J5593" s="29">
        <f>'Raw data'!K5502</f>
        <v>0</v>
      </c>
      <c r="K5593" s="31">
        <f>'Raw data'!H5502</f>
        <v>0</v>
      </c>
      <c r="L5593" s="26">
        <f t="shared" si="178"/>
        <v>0</v>
      </c>
    </row>
    <row r="5594" spans="2:12">
      <c r="B5594" s="4" t="e">
        <f t="shared" si="177"/>
        <v>#N/A</v>
      </c>
      <c r="C5594" s="4">
        <f>'Raw data'!E5170</f>
        <v>0</v>
      </c>
      <c r="D5594" s="29" t="e">
        <f>VLOOKUP(C5594,'점포코드 '!A:B,2,0)</f>
        <v>#N/A</v>
      </c>
      <c r="E5594" s="30">
        <f>'Raw data'!P5170</f>
        <v>0</v>
      </c>
      <c r="F5594" s="29" t="e">
        <f>VLOOKUP(E5594,'점포코드 '!A:B,2,0)</f>
        <v>#N/A</v>
      </c>
      <c r="G5594" s="46">
        <f>'Raw data'!F5503</f>
        <v>0</v>
      </c>
      <c r="H5594" s="4">
        <f>'Raw data'!G5503</f>
        <v>0</v>
      </c>
      <c r="I5594" s="29" t="e">
        <f>VLOOKUP(G5594,제품명!$C$1:$E$114,2,0)</f>
        <v>#N/A</v>
      </c>
      <c r="J5594" s="29">
        <f>'Raw data'!K5503</f>
        <v>0</v>
      </c>
      <c r="K5594" s="31">
        <f>'Raw data'!H5503</f>
        <v>0</v>
      </c>
      <c r="L5594" s="26">
        <f t="shared" si="178"/>
        <v>0</v>
      </c>
    </row>
    <row r="5595" spans="2:12">
      <c r="B5595" s="4" t="e">
        <f t="shared" si="177"/>
        <v>#N/A</v>
      </c>
      <c r="C5595" s="4">
        <f>'Raw data'!E5171</f>
        <v>0</v>
      </c>
      <c r="D5595" s="29" t="e">
        <f>VLOOKUP(C5595,'점포코드 '!A:B,2,0)</f>
        <v>#N/A</v>
      </c>
      <c r="E5595" s="30">
        <f>'Raw data'!P5171</f>
        <v>0</v>
      </c>
      <c r="F5595" s="29" t="e">
        <f>VLOOKUP(E5595,'점포코드 '!A:B,2,0)</f>
        <v>#N/A</v>
      </c>
      <c r="G5595" s="46">
        <f>'Raw data'!F5504</f>
        <v>0</v>
      </c>
      <c r="H5595" s="4">
        <f>'Raw data'!G5504</f>
        <v>0</v>
      </c>
      <c r="I5595" s="29" t="e">
        <f>VLOOKUP(G5595,제품명!$C$1:$E$114,2,0)</f>
        <v>#N/A</v>
      </c>
      <c r="J5595" s="29">
        <f>'Raw data'!K5504</f>
        <v>0</v>
      </c>
      <c r="K5595" s="31">
        <f>'Raw data'!H5504</f>
        <v>0</v>
      </c>
      <c r="L5595" s="26">
        <f t="shared" si="178"/>
        <v>0</v>
      </c>
    </row>
    <row r="5596" spans="2:12">
      <c r="B5596" s="4" t="e">
        <f t="shared" si="177"/>
        <v>#N/A</v>
      </c>
      <c r="C5596" s="4">
        <f>'Raw data'!E5172</f>
        <v>0</v>
      </c>
      <c r="D5596" s="29" t="e">
        <f>VLOOKUP(C5596,'점포코드 '!A:B,2,0)</f>
        <v>#N/A</v>
      </c>
      <c r="E5596" s="30">
        <f>'Raw data'!P5172</f>
        <v>0</v>
      </c>
      <c r="F5596" s="29" t="e">
        <f>VLOOKUP(E5596,'점포코드 '!A:B,2,0)</f>
        <v>#N/A</v>
      </c>
      <c r="G5596" s="46">
        <f>'Raw data'!F5505</f>
        <v>0</v>
      </c>
      <c r="H5596" s="4">
        <f>'Raw data'!G5505</f>
        <v>0</v>
      </c>
      <c r="I5596" s="29" t="e">
        <f>VLOOKUP(G5596,제품명!$C$1:$E$114,2,0)</f>
        <v>#N/A</v>
      </c>
      <c r="J5596" s="29">
        <f>'Raw data'!K5505</f>
        <v>0</v>
      </c>
      <c r="K5596" s="31">
        <f>'Raw data'!H5505</f>
        <v>0</v>
      </c>
      <c r="L5596" s="26">
        <f t="shared" si="178"/>
        <v>0</v>
      </c>
    </row>
    <row r="5597" spans="2:12">
      <c r="B5597" s="4" t="e">
        <f t="shared" si="177"/>
        <v>#N/A</v>
      </c>
      <c r="C5597" s="4">
        <f>'Raw data'!E5173</f>
        <v>0</v>
      </c>
      <c r="D5597" s="29" t="e">
        <f>VLOOKUP(C5597,'점포코드 '!A:B,2,0)</f>
        <v>#N/A</v>
      </c>
      <c r="E5597" s="30">
        <f>'Raw data'!P5173</f>
        <v>0</v>
      </c>
      <c r="F5597" s="29" t="e">
        <f>VLOOKUP(E5597,'점포코드 '!A:B,2,0)</f>
        <v>#N/A</v>
      </c>
      <c r="G5597" s="46">
        <f>'Raw data'!F5506</f>
        <v>0</v>
      </c>
      <c r="H5597" s="4">
        <f>'Raw data'!G5506</f>
        <v>0</v>
      </c>
      <c r="I5597" s="29" t="e">
        <f>VLOOKUP(G5597,제품명!$C$1:$E$114,2,0)</f>
        <v>#N/A</v>
      </c>
      <c r="J5597" s="29">
        <f>'Raw data'!K5506</f>
        <v>0</v>
      </c>
      <c r="K5597" s="31">
        <f>'Raw data'!H5506</f>
        <v>0</v>
      </c>
      <c r="L5597" s="26">
        <f t="shared" si="178"/>
        <v>0</v>
      </c>
    </row>
    <row r="5598" spans="2:12">
      <c r="B5598" s="4" t="e">
        <f t="shared" si="177"/>
        <v>#N/A</v>
      </c>
      <c r="C5598" s="4">
        <f>'Raw data'!E5174</f>
        <v>0</v>
      </c>
      <c r="D5598" s="29" t="e">
        <f>VLOOKUP(C5598,'점포코드 '!A:B,2,0)</f>
        <v>#N/A</v>
      </c>
      <c r="E5598" s="30">
        <f>'Raw data'!P5174</f>
        <v>0</v>
      </c>
      <c r="F5598" s="29" t="e">
        <f>VLOOKUP(E5598,'점포코드 '!A:B,2,0)</f>
        <v>#N/A</v>
      </c>
      <c r="G5598" s="46">
        <f>'Raw data'!F5507</f>
        <v>0</v>
      </c>
      <c r="H5598" s="4">
        <f>'Raw data'!G5507</f>
        <v>0</v>
      </c>
      <c r="I5598" s="29" t="e">
        <f>VLOOKUP(G5598,제품명!$C$1:$E$114,2,0)</f>
        <v>#N/A</v>
      </c>
      <c r="J5598" s="29">
        <f>'Raw data'!K5507</f>
        <v>0</v>
      </c>
      <c r="K5598" s="31">
        <f>'Raw data'!H5507</f>
        <v>0</v>
      </c>
      <c r="L5598" s="26">
        <f t="shared" si="178"/>
        <v>0</v>
      </c>
    </row>
    <row r="5599" spans="2:12">
      <c r="B5599" s="4" t="e">
        <f t="shared" si="177"/>
        <v>#N/A</v>
      </c>
      <c r="C5599" s="4">
        <f>'Raw data'!E5175</f>
        <v>0</v>
      </c>
      <c r="D5599" s="29" t="e">
        <f>VLOOKUP(C5599,'점포코드 '!A:B,2,0)</f>
        <v>#N/A</v>
      </c>
      <c r="E5599" s="30">
        <f>'Raw data'!P5175</f>
        <v>0</v>
      </c>
      <c r="F5599" s="29" t="e">
        <f>VLOOKUP(E5599,'점포코드 '!A:B,2,0)</f>
        <v>#N/A</v>
      </c>
      <c r="G5599" s="46">
        <f>'Raw data'!F5508</f>
        <v>0</v>
      </c>
      <c r="H5599" s="4">
        <f>'Raw data'!G5508</f>
        <v>0</v>
      </c>
      <c r="I5599" s="29" t="e">
        <f>VLOOKUP(G5599,제품명!$C$1:$E$114,2,0)</f>
        <v>#N/A</v>
      </c>
      <c r="J5599" s="29">
        <f>'Raw data'!K5508</f>
        <v>0</v>
      </c>
      <c r="K5599" s="31">
        <f>'Raw data'!H5508</f>
        <v>0</v>
      </c>
      <c r="L5599" s="26">
        <f t="shared" si="178"/>
        <v>0</v>
      </c>
    </row>
    <row r="5600" spans="2:12">
      <c r="B5600" s="4" t="e">
        <f t="shared" si="177"/>
        <v>#N/A</v>
      </c>
      <c r="C5600" s="4">
        <f>'Raw data'!E5176</f>
        <v>0</v>
      </c>
      <c r="D5600" s="29" t="e">
        <f>VLOOKUP(C5600,'점포코드 '!A:B,2,0)</f>
        <v>#N/A</v>
      </c>
      <c r="E5600" s="30">
        <f>'Raw data'!P5176</f>
        <v>0</v>
      </c>
      <c r="F5600" s="29" t="e">
        <f>VLOOKUP(E5600,'점포코드 '!A:B,2,0)</f>
        <v>#N/A</v>
      </c>
      <c r="G5600" s="46">
        <f>'Raw data'!F5509</f>
        <v>0</v>
      </c>
      <c r="H5600" s="4">
        <f>'Raw data'!G5509</f>
        <v>0</v>
      </c>
      <c r="I5600" s="29" t="e">
        <f>VLOOKUP(G5600,제품명!$C$1:$E$114,2,0)</f>
        <v>#N/A</v>
      </c>
      <c r="J5600" s="29">
        <f>'Raw data'!K5509</f>
        <v>0</v>
      </c>
      <c r="K5600" s="31">
        <f>'Raw data'!H5509</f>
        <v>0</v>
      </c>
      <c r="L5600" s="26">
        <f t="shared" si="178"/>
        <v>0</v>
      </c>
    </row>
    <row r="5601" spans="2:12">
      <c r="B5601" s="4" t="e">
        <f t="shared" si="177"/>
        <v>#N/A</v>
      </c>
      <c r="C5601" s="4">
        <f>'Raw data'!E5177</f>
        <v>0</v>
      </c>
      <c r="D5601" s="29" t="e">
        <f>VLOOKUP(C5601,'점포코드 '!A:B,2,0)</f>
        <v>#N/A</v>
      </c>
      <c r="E5601" s="30">
        <f>'Raw data'!P5177</f>
        <v>0</v>
      </c>
      <c r="F5601" s="29" t="e">
        <f>VLOOKUP(E5601,'점포코드 '!A:B,2,0)</f>
        <v>#N/A</v>
      </c>
      <c r="G5601" s="46">
        <f>'Raw data'!F5510</f>
        <v>0</v>
      </c>
      <c r="H5601" s="4">
        <f>'Raw data'!G5510</f>
        <v>0</v>
      </c>
      <c r="I5601" s="29" t="e">
        <f>VLOOKUP(G5601,제품명!$C$1:$E$114,2,0)</f>
        <v>#N/A</v>
      </c>
      <c r="J5601" s="29">
        <f>'Raw data'!K5510</f>
        <v>0</v>
      </c>
      <c r="K5601" s="31">
        <f>'Raw data'!H5510</f>
        <v>0</v>
      </c>
      <c r="L5601" s="26">
        <f t="shared" si="178"/>
        <v>0</v>
      </c>
    </row>
    <row r="5602" spans="2:12">
      <c r="B5602" s="4" t="e">
        <f t="shared" si="177"/>
        <v>#N/A</v>
      </c>
      <c r="C5602" s="4">
        <f>'Raw data'!E5178</f>
        <v>0</v>
      </c>
      <c r="D5602" s="29" t="e">
        <f>VLOOKUP(C5602,'점포코드 '!A:B,2,0)</f>
        <v>#N/A</v>
      </c>
      <c r="E5602" s="30">
        <f>'Raw data'!P5178</f>
        <v>0</v>
      </c>
      <c r="F5602" s="29" t="e">
        <f>VLOOKUP(E5602,'점포코드 '!A:B,2,0)</f>
        <v>#N/A</v>
      </c>
      <c r="G5602" s="46">
        <f>'Raw data'!F5511</f>
        <v>0</v>
      </c>
      <c r="H5602" s="4">
        <f>'Raw data'!G5511</f>
        <v>0</v>
      </c>
      <c r="I5602" s="29" t="e">
        <f>VLOOKUP(G5602,제품명!$C$1:$E$114,2,0)</f>
        <v>#N/A</v>
      </c>
      <c r="J5602" s="29">
        <f>'Raw data'!K5511</f>
        <v>0</v>
      </c>
      <c r="K5602" s="31">
        <f>'Raw data'!H5511</f>
        <v>0</v>
      </c>
      <c r="L5602" s="26">
        <f t="shared" si="178"/>
        <v>0</v>
      </c>
    </row>
    <row r="5603" spans="2:12">
      <c r="B5603" s="4" t="e">
        <f t="shared" si="177"/>
        <v>#N/A</v>
      </c>
      <c r="C5603" s="4">
        <f>'Raw data'!E5179</f>
        <v>0</v>
      </c>
      <c r="D5603" s="29" t="e">
        <f>VLOOKUP(C5603,'점포코드 '!A:B,2,0)</f>
        <v>#N/A</v>
      </c>
      <c r="E5603" s="30">
        <f>'Raw data'!P5179</f>
        <v>0</v>
      </c>
      <c r="F5603" s="29" t="e">
        <f>VLOOKUP(E5603,'점포코드 '!A:B,2,0)</f>
        <v>#N/A</v>
      </c>
      <c r="G5603" s="46">
        <f>'Raw data'!F5512</f>
        <v>0</v>
      </c>
      <c r="H5603" s="4">
        <f>'Raw data'!G5512</f>
        <v>0</v>
      </c>
      <c r="I5603" s="29" t="e">
        <f>VLOOKUP(G5603,제품명!$C$1:$E$114,2,0)</f>
        <v>#N/A</v>
      </c>
      <c r="J5603" s="29">
        <f>'Raw data'!K5512</f>
        <v>0</v>
      </c>
      <c r="K5603" s="31">
        <f>'Raw data'!H5512</f>
        <v>0</v>
      </c>
      <c r="L5603" s="26">
        <f t="shared" si="178"/>
        <v>0</v>
      </c>
    </row>
    <row r="5604" spans="2:12">
      <c r="B5604" s="4" t="e">
        <f t="shared" si="177"/>
        <v>#N/A</v>
      </c>
      <c r="C5604" s="4">
        <f>'Raw data'!E5180</f>
        <v>0</v>
      </c>
      <c r="D5604" s="29" t="e">
        <f>VLOOKUP(C5604,'점포코드 '!A:B,2,0)</f>
        <v>#N/A</v>
      </c>
      <c r="E5604" s="30">
        <f>'Raw data'!P5180</f>
        <v>0</v>
      </c>
      <c r="F5604" s="29" t="e">
        <f>VLOOKUP(E5604,'점포코드 '!A:B,2,0)</f>
        <v>#N/A</v>
      </c>
      <c r="G5604" s="46">
        <f>'Raw data'!F5513</f>
        <v>0</v>
      </c>
      <c r="H5604" s="4">
        <f>'Raw data'!G5513</f>
        <v>0</v>
      </c>
      <c r="I5604" s="29" t="e">
        <f>VLOOKUP(G5604,제품명!$C$1:$E$114,2,0)</f>
        <v>#N/A</v>
      </c>
      <c r="J5604" s="29">
        <f>'Raw data'!K5513</f>
        <v>0</v>
      </c>
      <c r="K5604" s="31">
        <f>'Raw data'!H5513</f>
        <v>0</v>
      </c>
      <c r="L5604" s="26">
        <f t="shared" si="178"/>
        <v>0</v>
      </c>
    </row>
    <row r="5605" spans="2:12">
      <c r="B5605" s="4" t="e">
        <f t="shared" si="177"/>
        <v>#N/A</v>
      </c>
      <c r="C5605" s="4">
        <f>'Raw data'!E5181</f>
        <v>0</v>
      </c>
      <c r="D5605" s="29" t="e">
        <f>VLOOKUP(C5605,'점포코드 '!A:B,2,0)</f>
        <v>#N/A</v>
      </c>
      <c r="E5605" s="30">
        <f>'Raw data'!P5181</f>
        <v>0</v>
      </c>
      <c r="F5605" s="29" t="e">
        <f>VLOOKUP(E5605,'점포코드 '!A:B,2,0)</f>
        <v>#N/A</v>
      </c>
      <c r="G5605" s="46">
        <f>'Raw data'!F5514</f>
        <v>0</v>
      </c>
      <c r="H5605" s="4">
        <f>'Raw data'!G5514</f>
        <v>0</v>
      </c>
      <c r="I5605" s="29" t="e">
        <f>VLOOKUP(G5605,제품명!$C$1:$E$114,2,0)</f>
        <v>#N/A</v>
      </c>
      <c r="J5605" s="29">
        <f>'Raw data'!K5514</f>
        <v>0</v>
      </c>
      <c r="K5605" s="31">
        <f>'Raw data'!H5514</f>
        <v>0</v>
      </c>
      <c r="L5605" s="26">
        <f t="shared" si="178"/>
        <v>0</v>
      </c>
    </row>
    <row r="5606" spans="2:12">
      <c r="B5606" s="4" t="e">
        <f t="shared" si="177"/>
        <v>#N/A</v>
      </c>
      <c r="C5606" s="4">
        <f>'Raw data'!E5182</f>
        <v>0</v>
      </c>
      <c r="D5606" s="29" t="e">
        <f>VLOOKUP(C5606,'점포코드 '!A:B,2,0)</f>
        <v>#N/A</v>
      </c>
      <c r="E5606" s="30">
        <f>'Raw data'!P5182</f>
        <v>0</v>
      </c>
      <c r="F5606" s="29" t="e">
        <f>VLOOKUP(E5606,'점포코드 '!A:B,2,0)</f>
        <v>#N/A</v>
      </c>
      <c r="G5606" s="46">
        <f>'Raw data'!F5515</f>
        <v>0</v>
      </c>
      <c r="H5606" s="4">
        <f>'Raw data'!G5515</f>
        <v>0</v>
      </c>
      <c r="I5606" s="29" t="e">
        <f>VLOOKUP(G5606,제품명!$C$1:$E$114,2,0)</f>
        <v>#N/A</v>
      </c>
      <c r="J5606" s="29">
        <f>'Raw data'!K5515</f>
        <v>0</v>
      </c>
      <c r="K5606" s="31">
        <f>'Raw data'!H5515</f>
        <v>0</v>
      </c>
      <c r="L5606" s="26">
        <f t="shared" si="178"/>
        <v>0</v>
      </c>
    </row>
    <row r="5607" spans="2:12">
      <c r="B5607" s="4" t="e">
        <f t="shared" si="177"/>
        <v>#N/A</v>
      </c>
      <c r="C5607" s="4">
        <f>'Raw data'!E5183</f>
        <v>0</v>
      </c>
      <c r="D5607" s="29" t="e">
        <f>VLOOKUP(C5607,'점포코드 '!A:B,2,0)</f>
        <v>#N/A</v>
      </c>
      <c r="E5607" s="30">
        <f>'Raw data'!P5183</f>
        <v>0</v>
      </c>
      <c r="F5607" s="29" t="e">
        <f>VLOOKUP(E5607,'점포코드 '!A:B,2,0)</f>
        <v>#N/A</v>
      </c>
      <c r="G5607" s="46">
        <f>'Raw data'!F5516</f>
        <v>0</v>
      </c>
      <c r="H5607" s="4">
        <f>'Raw data'!G5516</f>
        <v>0</v>
      </c>
      <c r="I5607" s="29" t="e">
        <f>VLOOKUP(G5607,제품명!$C$1:$E$114,2,0)</f>
        <v>#N/A</v>
      </c>
      <c r="J5607" s="29">
        <f>'Raw data'!K5516</f>
        <v>0</v>
      </c>
      <c r="K5607" s="31">
        <f>'Raw data'!H5516</f>
        <v>0</v>
      </c>
      <c r="L5607" s="26">
        <f t="shared" si="178"/>
        <v>0</v>
      </c>
    </row>
    <row r="5608" spans="2:12">
      <c r="B5608" s="4" t="e">
        <f t="shared" si="177"/>
        <v>#N/A</v>
      </c>
      <c r="C5608" s="4">
        <f>'Raw data'!E5184</f>
        <v>0</v>
      </c>
      <c r="D5608" s="29" t="e">
        <f>VLOOKUP(C5608,'점포코드 '!A:B,2,0)</f>
        <v>#N/A</v>
      </c>
      <c r="E5608" s="30">
        <f>'Raw data'!P5184</f>
        <v>0</v>
      </c>
      <c r="F5608" s="29" t="e">
        <f>VLOOKUP(E5608,'점포코드 '!A:B,2,0)</f>
        <v>#N/A</v>
      </c>
      <c r="G5608" s="46">
        <f>'Raw data'!F5517</f>
        <v>0</v>
      </c>
      <c r="H5608" s="4">
        <f>'Raw data'!G5517</f>
        <v>0</v>
      </c>
      <c r="I5608" s="29" t="e">
        <f>VLOOKUP(G5608,제품명!$C$1:$E$114,2,0)</f>
        <v>#N/A</v>
      </c>
      <c r="J5608" s="29">
        <f>'Raw data'!K5517</f>
        <v>0</v>
      </c>
      <c r="K5608" s="31">
        <f>'Raw data'!H5517</f>
        <v>0</v>
      </c>
      <c r="L5608" s="26">
        <f t="shared" si="178"/>
        <v>0</v>
      </c>
    </row>
    <row r="5609" spans="2:12">
      <c r="B5609" s="4" t="e">
        <f t="shared" si="177"/>
        <v>#N/A</v>
      </c>
      <c r="C5609" s="4">
        <f>'Raw data'!E5185</f>
        <v>0</v>
      </c>
      <c r="D5609" s="29" t="e">
        <f>VLOOKUP(C5609,'점포코드 '!A:B,2,0)</f>
        <v>#N/A</v>
      </c>
      <c r="E5609" s="30">
        <f>'Raw data'!P5185</f>
        <v>0</v>
      </c>
      <c r="F5609" s="29" t="e">
        <f>VLOOKUP(E5609,'점포코드 '!A:B,2,0)</f>
        <v>#N/A</v>
      </c>
      <c r="G5609" s="46">
        <f>'Raw data'!F5518</f>
        <v>0</v>
      </c>
      <c r="H5609" s="4">
        <f>'Raw data'!G5518</f>
        <v>0</v>
      </c>
      <c r="I5609" s="29" t="e">
        <f>VLOOKUP(G5609,제품명!$C$1:$E$114,2,0)</f>
        <v>#N/A</v>
      </c>
      <c r="J5609" s="29">
        <f>'Raw data'!K5518</f>
        <v>0</v>
      </c>
      <c r="K5609" s="31">
        <f>'Raw data'!H5518</f>
        <v>0</v>
      </c>
      <c r="L5609" s="26">
        <f t="shared" si="178"/>
        <v>0</v>
      </c>
    </row>
    <row r="5610" spans="2:12">
      <c r="B5610" s="4" t="e">
        <f t="shared" si="177"/>
        <v>#N/A</v>
      </c>
      <c r="C5610" s="4">
        <f>'Raw data'!E5186</f>
        <v>0</v>
      </c>
      <c r="D5610" s="29" t="e">
        <f>VLOOKUP(C5610,'점포코드 '!A:B,2,0)</f>
        <v>#N/A</v>
      </c>
      <c r="E5610" s="30">
        <f>'Raw data'!P5186</f>
        <v>0</v>
      </c>
      <c r="F5610" s="29" t="e">
        <f>VLOOKUP(E5610,'점포코드 '!A:B,2,0)</f>
        <v>#N/A</v>
      </c>
      <c r="G5610" s="46">
        <f>'Raw data'!F5519</f>
        <v>0</v>
      </c>
      <c r="H5610" s="4">
        <f>'Raw data'!G5519</f>
        <v>0</v>
      </c>
      <c r="I5610" s="29" t="e">
        <f>VLOOKUP(G5610,제품명!$C$1:$E$114,2,0)</f>
        <v>#N/A</v>
      </c>
      <c r="J5610" s="29">
        <f>'Raw data'!K5519</f>
        <v>0</v>
      </c>
      <c r="K5610" s="31">
        <f>'Raw data'!H5519</f>
        <v>0</v>
      </c>
      <c r="L5610" s="26">
        <f t="shared" si="178"/>
        <v>0</v>
      </c>
    </row>
    <row r="5611" spans="2:12">
      <c r="B5611" s="4" t="e">
        <f t="shared" si="177"/>
        <v>#N/A</v>
      </c>
      <c r="C5611" s="4">
        <f>'Raw data'!E5187</f>
        <v>0</v>
      </c>
      <c r="D5611" s="29" t="e">
        <f>VLOOKUP(C5611,'점포코드 '!A:B,2,0)</f>
        <v>#N/A</v>
      </c>
      <c r="E5611" s="30">
        <f>'Raw data'!P5187</f>
        <v>0</v>
      </c>
      <c r="F5611" s="29" t="e">
        <f>VLOOKUP(E5611,'점포코드 '!A:B,2,0)</f>
        <v>#N/A</v>
      </c>
      <c r="G5611" s="46">
        <f>'Raw data'!F5520</f>
        <v>0</v>
      </c>
      <c r="H5611" s="4">
        <f>'Raw data'!G5520</f>
        <v>0</v>
      </c>
      <c r="I5611" s="29" t="e">
        <f>VLOOKUP(G5611,제품명!$C$1:$E$114,2,0)</f>
        <v>#N/A</v>
      </c>
      <c r="J5611" s="29">
        <f>'Raw data'!K5520</f>
        <v>0</v>
      </c>
      <c r="K5611" s="31">
        <f>'Raw data'!H5520</f>
        <v>0</v>
      </c>
      <c r="L5611" s="26">
        <f t="shared" si="178"/>
        <v>0</v>
      </c>
    </row>
    <row r="5612" spans="2:12">
      <c r="B5612" s="4" t="e">
        <f t="shared" si="177"/>
        <v>#N/A</v>
      </c>
      <c r="C5612" s="4">
        <f>'Raw data'!E5188</f>
        <v>0</v>
      </c>
      <c r="D5612" s="29" t="e">
        <f>VLOOKUP(C5612,'점포코드 '!A:B,2,0)</f>
        <v>#N/A</v>
      </c>
      <c r="E5612" s="30">
        <f>'Raw data'!P5188</f>
        <v>0</v>
      </c>
      <c r="F5612" s="29" t="e">
        <f>VLOOKUP(E5612,'점포코드 '!A:B,2,0)</f>
        <v>#N/A</v>
      </c>
      <c r="G5612" s="46">
        <f>'Raw data'!F5521</f>
        <v>0</v>
      </c>
      <c r="H5612" s="4">
        <f>'Raw data'!G5521</f>
        <v>0</v>
      </c>
      <c r="I5612" s="29" t="e">
        <f>VLOOKUP(G5612,제품명!$C$1:$E$114,2,0)</f>
        <v>#N/A</v>
      </c>
      <c r="J5612" s="29">
        <f>'Raw data'!K5521</f>
        <v>0</v>
      </c>
      <c r="K5612" s="31">
        <f>'Raw data'!H5521</f>
        <v>0</v>
      </c>
      <c r="L5612" s="26">
        <f t="shared" si="178"/>
        <v>0</v>
      </c>
    </row>
    <row r="5613" spans="2:12">
      <c r="B5613" s="4" t="e">
        <f t="shared" si="177"/>
        <v>#N/A</v>
      </c>
      <c r="C5613" s="4">
        <f>'Raw data'!E5189</f>
        <v>0</v>
      </c>
      <c r="D5613" s="29" t="e">
        <f>VLOOKUP(C5613,'점포코드 '!A:B,2,0)</f>
        <v>#N/A</v>
      </c>
      <c r="E5613" s="30">
        <f>'Raw data'!P5189</f>
        <v>0</v>
      </c>
      <c r="F5613" s="29" t="e">
        <f>VLOOKUP(E5613,'점포코드 '!A:B,2,0)</f>
        <v>#N/A</v>
      </c>
      <c r="G5613" s="46">
        <f>'Raw data'!F5522</f>
        <v>0</v>
      </c>
      <c r="H5613" s="4">
        <f>'Raw data'!G5522</f>
        <v>0</v>
      </c>
      <c r="I5613" s="29" t="e">
        <f>VLOOKUP(G5613,제품명!$C$1:$E$114,2,0)</f>
        <v>#N/A</v>
      </c>
      <c r="J5613" s="29">
        <f>'Raw data'!K5522</f>
        <v>0</v>
      </c>
      <c r="K5613" s="31">
        <f>'Raw data'!H5522</f>
        <v>0</v>
      </c>
      <c r="L5613" s="26">
        <f t="shared" si="178"/>
        <v>0</v>
      </c>
    </row>
    <row r="5614" spans="2:12">
      <c r="B5614" s="4" t="e">
        <f t="shared" si="177"/>
        <v>#N/A</v>
      </c>
      <c r="C5614" s="4">
        <f>'Raw data'!E5190</f>
        <v>0</v>
      </c>
      <c r="D5614" s="29" t="e">
        <f>VLOOKUP(C5614,'점포코드 '!A:B,2,0)</f>
        <v>#N/A</v>
      </c>
      <c r="E5614" s="30">
        <f>'Raw data'!P5190</f>
        <v>0</v>
      </c>
      <c r="F5614" s="29" t="e">
        <f>VLOOKUP(E5614,'점포코드 '!A:B,2,0)</f>
        <v>#N/A</v>
      </c>
      <c r="G5614" s="46">
        <f>'Raw data'!F5523</f>
        <v>0</v>
      </c>
      <c r="H5614" s="4">
        <f>'Raw data'!G5523</f>
        <v>0</v>
      </c>
      <c r="I5614" s="29" t="e">
        <f>VLOOKUP(G5614,제품명!$C$1:$E$114,2,0)</f>
        <v>#N/A</v>
      </c>
      <c r="J5614" s="29">
        <f>'Raw data'!K5523</f>
        <v>0</v>
      </c>
      <c r="K5614" s="31">
        <f>'Raw data'!H5523</f>
        <v>0</v>
      </c>
      <c r="L5614" s="26">
        <f t="shared" si="178"/>
        <v>0</v>
      </c>
    </row>
    <row r="5615" spans="2:12">
      <c r="B5615" s="4" t="e">
        <f t="shared" si="177"/>
        <v>#N/A</v>
      </c>
      <c r="C5615" s="4">
        <f>'Raw data'!E5191</f>
        <v>0</v>
      </c>
      <c r="D5615" s="29" t="e">
        <f>VLOOKUP(C5615,'점포코드 '!A:B,2,0)</f>
        <v>#N/A</v>
      </c>
      <c r="E5615" s="30">
        <f>'Raw data'!P5191</f>
        <v>0</v>
      </c>
      <c r="F5615" s="29" t="e">
        <f>VLOOKUP(E5615,'점포코드 '!A:B,2,0)</f>
        <v>#N/A</v>
      </c>
      <c r="G5615" s="46">
        <f>'Raw data'!F5524</f>
        <v>0</v>
      </c>
      <c r="H5615" s="4">
        <f>'Raw data'!G5524</f>
        <v>0</v>
      </c>
      <c r="I5615" s="29" t="e">
        <f>VLOOKUP(G5615,제품명!$C$1:$E$114,2,0)</f>
        <v>#N/A</v>
      </c>
      <c r="J5615" s="29">
        <f>'Raw data'!K5524</f>
        <v>0</v>
      </c>
      <c r="K5615" s="31">
        <f>'Raw data'!H5524</f>
        <v>0</v>
      </c>
      <c r="L5615" s="26">
        <f t="shared" si="178"/>
        <v>0</v>
      </c>
    </row>
    <row r="5616" spans="2:12">
      <c r="B5616" s="4" t="e">
        <f t="shared" si="177"/>
        <v>#N/A</v>
      </c>
      <c r="C5616" s="4">
        <f>'Raw data'!E5192</f>
        <v>0</v>
      </c>
      <c r="D5616" s="29" t="e">
        <f>VLOOKUP(C5616,'점포코드 '!A:B,2,0)</f>
        <v>#N/A</v>
      </c>
      <c r="E5616" s="30">
        <f>'Raw data'!P5192</f>
        <v>0</v>
      </c>
      <c r="F5616" s="29" t="e">
        <f>VLOOKUP(E5616,'점포코드 '!A:B,2,0)</f>
        <v>#N/A</v>
      </c>
      <c r="G5616" s="46">
        <f>'Raw data'!F5525</f>
        <v>0</v>
      </c>
      <c r="H5616" s="4">
        <f>'Raw data'!G5525</f>
        <v>0</v>
      </c>
      <c r="I5616" s="29" t="e">
        <f>VLOOKUP(G5616,제품명!$C$1:$E$114,2,0)</f>
        <v>#N/A</v>
      </c>
      <c r="J5616" s="29">
        <f>'Raw data'!K5525</f>
        <v>0</v>
      </c>
      <c r="K5616" s="31">
        <f>'Raw data'!H5525</f>
        <v>0</v>
      </c>
      <c r="L5616" s="26">
        <f t="shared" si="178"/>
        <v>0</v>
      </c>
    </row>
    <row r="5617" spans="2:12">
      <c r="B5617" s="4" t="e">
        <f t="shared" si="177"/>
        <v>#N/A</v>
      </c>
      <c r="C5617" s="4">
        <f>'Raw data'!E5193</f>
        <v>0</v>
      </c>
      <c r="D5617" s="29" t="e">
        <f>VLOOKUP(C5617,'점포코드 '!A:B,2,0)</f>
        <v>#N/A</v>
      </c>
      <c r="E5617" s="30">
        <f>'Raw data'!P5193</f>
        <v>0</v>
      </c>
      <c r="F5617" s="29" t="e">
        <f>VLOOKUP(E5617,'점포코드 '!A:B,2,0)</f>
        <v>#N/A</v>
      </c>
      <c r="G5617" s="46">
        <f>'Raw data'!F5526</f>
        <v>0</v>
      </c>
      <c r="H5617" s="4">
        <f>'Raw data'!G5526</f>
        <v>0</v>
      </c>
      <c r="I5617" s="29" t="e">
        <f>VLOOKUP(G5617,제품명!$C$1:$E$114,2,0)</f>
        <v>#N/A</v>
      </c>
      <c r="J5617" s="29">
        <f>'Raw data'!K5526</f>
        <v>0</v>
      </c>
      <c r="K5617" s="31">
        <f>'Raw data'!H5526</f>
        <v>0</v>
      </c>
      <c r="L5617" s="26">
        <f t="shared" si="178"/>
        <v>0</v>
      </c>
    </row>
    <row r="5618" spans="2:12">
      <c r="B5618" s="4" t="e">
        <f t="shared" si="177"/>
        <v>#N/A</v>
      </c>
      <c r="C5618" s="4">
        <f>'Raw data'!E5194</f>
        <v>0</v>
      </c>
      <c r="D5618" s="29" t="e">
        <f>VLOOKUP(C5618,'점포코드 '!A:B,2,0)</f>
        <v>#N/A</v>
      </c>
      <c r="E5618" s="30">
        <f>'Raw data'!P5194</f>
        <v>0</v>
      </c>
      <c r="F5618" s="29" t="e">
        <f>VLOOKUP(E5618,'점포코드 '!A:B,2,0)</f>
        <v>#N/A</v>
      </c>
      <c r="G5618" s="46">
        <f>'Raw data'!F5527</f>
        <v>0</v>
      </c>
      <c r="H5618" s="4">
        <f>'Raw data'!G5527</f>
        <v>0</v>
      </c>
      <c r="I5618" s="29" t="e">
        <f>VLOOKUP(G5618,제품명!$C$1:$E$114,2,0)</f>
        <v>#N/A</v>
      </c>
      <c r="J5618" s="29">
        <f>'Raw data'!K5527</f>
        <v>0</v>
      </c>
      <c r="K5618" s="31">
        <f>'Raw data'!H5527</f>
        <v>0</v>
      </c>
      <c r="L5618" s="26">
        <f t="shared" si="178"/>
        <v>0</v>
      </c>
    </row>
    <row r="5619" spans="2:12">
      <c r="B5619" s="4" t="e">
        <f t="shared" si="177"/>
        <v>#N/A</v>
      </c>
      <c r="C5619" s="4">
        <f>'Raw data'!E5195</f>
        <v>0</v>
      </c>
      <c r="D5619" s="29" t="e">
        <f>VLOOKUP(C5619,'점포코드 '!A:B,2,0)</f>
        <v>#N/A</v>
      </c>
      <c r="E5619" s="30">
        <f>'Raw data'!P5195</f>
        <v>0</v>
      </c>
      <c r="F5619" s="29" t="e">
        <f>VLOOKUP(E5619,'점포코드 '!A:B,2,0)</f>
        <v>#N/A</v>
      </c>
      <c r="G5619" s="46">
        <f>'Raw data'!F5528</f>
        <v>0</v>
      </c>
      <c r="H5619" s="4">
        <f>'Raw data'!G5528</f>
        <v>0</v>
      </c>
      <c r="I5619" s="29" t="e">
        <f>VLOOKUP(G5619,제품명!$C$1:$E$114,2,0)</f>
        <v>#N/A</v>
      </c>
      <c r="J5619" s="29">
        <f>'Raw data'!K5528</f>
        <v>0</v>
      </c>
      <c r="K5619" s="31">
        <f>'Raw data'!H5528</f>
        <v>0</v>
      </c>
      <c r="L5619" s="26">
        <f t="shared" si="178"/>
        <v>0</v>
      </c>
    </row>
    <row r="5620" spans="2:12">
      <c r="B5620" s="4" t="e">
        <f t="shared" si="177"/>
        <v>#N/A</v>
      </c>
      <c r="C5620" s="4">
        <f>'Raw data'!E5196</f>
        <v>0</v>
      </c>
      <c r="D5620" s="29" t="e">
        <f>VLOOKUP(C5620,'점포코드 '!A:B,2,0)</f>
        <v>#N/A</v>
      </c>
      <c r="E5620" s="30">
        <f>'Raw data'!P5196</f>
        <v>0</v>
      </c>
      <c r="F5620" s="29" t="e">
        <f>VLOOKUP(E5620,'점포코드 '!A:B,2,0)</f>
        <v>#N/A</v>
      </c>
      <c r="G5620" s="46">
        <f>'Raw data'!F5529</f>
        <v>0</v>
      </c>
      <c r="H5620" s="4">
        <f>'Raw data'!G5529</f>
        <v>0</v>
      </c>
      <c r="I5620" s="29" t="e">
        <f>VLOOKUP(G5620,제품명!$C$1:$E$114,2,0)</f>
        <v>#N/A</v>
      </c>
      <c r="J5620" s="29">
        <f>'Raw data'!K5529</f>
        <v>0</v>
      </c>
      <c r="K5620" s="31">
        <f>'Raw data'!H5529</f>
        <v>0</v>
      </c>
      <c r="L5620" s="26">
        <f t="shared" si="178"/>
        <v>0</v>
      </c>
    </row>
    <row r="5621" spans="2:12">
      <c r="B5621" s="4" t="e">
        <f t="shared" si="177"/>
        <v>#N/A</v>
      </c>
      <c r="C5621" s="4">
        <f>'Raw data'!E5197</f>
        <v>0</v>
      </c>
      <c r="D5621" s="29" t="e">
        <f>VLOOKUP(C5621,'점포코드 '!A:B,2,0)</f>
        <v>#N/A</v>
      </c>
      <c r="E5621" s="30">
        <f>'Raw data'!P5197</f>
        <v>0</v>
      </c>
      <c r="F5621" s="29" t="e">
        <f>VLOOKUP(E5621,'점포코드 '!A:B,2,0)</f>
        <v>#N/A</v>
      </c>
      <c r="G5621" s="46">
        <f>'Raw data'!F5530</f>
        <v>0</v>
      </c>
      <c r="H5621" s="4">
        <f>'Raw data'!G5530</f>
        <v>0</v>
      </c>
      <c r="I5621" s="29" t="e">
        <f>VLOOKUP(G5621,제품명!$C$1:$E$114,2,0)</f>
        <v>#N/A</v>
      </c>
      <c r="J5621" s="29">
        <f>'Raw data'!K5530</f>
        <v>0</v>
      </c>
      <c r="K5621" s="31">
        <f>'Raw data'!H5530</f>
        <v>0</v>
      </c>
      <c r="L5621" s="26">
        <f t="shared" si="178"/>
        <v>0</v>
      </c>
    </row>
    <row r="5622" spans="2:12">
      <c r="B5622" s="4" t="e">
        <f t="shared" si="177"/>
        <v>#N/A</v>
      </c>
      <c r="C5622" s="4">
        <f>'Raw data'!E5198</f>
        <v>0</v>
      </c>
      <c r="D5622" s="29" t="e">
        <f>VLOOKUP(C5622,'점포코드 '!A:B,2,0)</f>
        <v>#N/A</v>
      </c>
      <c r="E5622" s="30">
        <f>'Raw data'!P5198</f>
        <v>0</v>
      </c>
      <c r="F5622" s="29" t="e">
        <f>VLOOKUP(E5622,'점포코드 '!A:B,2,0)</f>
        <v>#N/A</v>
      </c>
      <c r="G5622" s="46">
        <f>'Raw data'!F5531</f>
        <v>0</v>
      </c>
      <c r="H5622" s="4">
        <f>'Raw data'!G5531</f>
        <v>0</v>
      </c>
      <c r="I5622" s="29" t="e">
        <f>VLOOKUP(G5622,제품명!$C$1:$E$114,2,0)</f>
        <v>#N/A</v>
      </c>
      <c r="J5622" s="29">
        <f>'Raw data'!K5531</f>
        <v>0</v>
      </c>
      <c r="K5622" s="31">
        <f>'Raw data'!H5531</f>
        <v>0</v>
      </c>
      <c r="L5622" s="26">
        <f t="shared" si="178"/>
        <v>0</v>
      </c>
    </row>
    <row r="5623" spans="2:12">
      <c r="B5623" s="4" t="e">
        <f t="shared" si="177"/>
        <v>#N/A</v>
      </c>
      <c r="C5623" s="4">
        <f>'Raw data'!E5199</f>
        <v>0</v>
      </c>
      <c r="D5623" s="29" t="e">
        <f>VLOOKUP(C5623,'점포코드 '!A:B,2,0)</f>
        <v>#N/A</v>
      </c>
      <c r="E5623" s="30">
        <f>'Raw data'!P5199</f>
        <v>0</v>
      </c>
      <c r="F5623" s="29" t="e">
        <f>VLOOKUP(E5623,'점포코드 '!A:B,2,0)</f>
        <v>#N/A</v>
      </c>
      <c r="G5623" s="46">
        <f>'Raw data'!F5532</f>
        <v>0</v>
      </c>
      <c r="H5623" s="4">
        <f>'Raw data'!G5532</f>
        <v>0</v>
      </c>
      <c r="I5623" s="29" t="e">
        <f>VLOOKUP(G5623,제품명!$C$1:$E$114,2,0)</f>
        <v>#N/A</v>
      </c>
      <c r="J5623" s="29">
        <f>'Raw data'!K5532</f>
        <v>0</v>
      </c>
      <c r="K5623" s="31">
        <f>'Raw data'!H5532</f>
        <v>0</v>
      </c>
      <c r="L5623" s="26">
        <f t="shared" si="178"/>
        <v>0</v>
      </c>
    </row>
    <row r="5624" spans="2:12">
      <c r="B5624" s="4" t="e">
        <f t="shared" si="177"/>
        <v>#N/A</v>
      </c>
      <c r="C5624" s="4">
        <f>'Raw data'!E5200</f>
        <v>0</v>
      </c>
      <c r="D5624" s="29" t="e">
        <f>VLOOKUP(C5624,'점포코드 '!A:B,2,0)</f>
        <v>#N/A</v>
      </c>
      <c r="E5624" s="30">
        <f>'Raw data'!P5200</f>
        <v>0</v>
      </c>
      <c r="F5624" s="29" t="e">
        <f>VLOOKUP(E5624,'점포코드 '!A:B,2,0)</f>
        <v>#N/A</v>
      </c>
      <c r="G5624" s="46">
        <f>'Raw data'!F5533</f>
        <v>0</v>
      </c>
      <c r="H5624" s="4">
        <f>'Raw data'!G5533</f>
        <v>0</v>
      </c>
      <c r="I5624" s="29" t="e">
        <f>VLOOKUP(G5624,제품명!$C$1:$E$114,2,0)</f>
        <v>#N/A</v>
      </c>
      <c r="J5624" s="29">
        <f>'Raw data'!K5533</f>
        <v>0</v>
      </c>
      <c r="K5624" s="31">
        <f>'Raw data'!H5533</f>
        <v>0</v>
      </c>
      <c r="L5624" s="26">
        <f t="shared" si="178"/>
        <v>0</v>
      </c>
    </row>
    <row r="5625" spans="2:12">
      <c r="B5625" s="4" t="e">
        <f t="shared" si="177"/>
        <v>#N/A</v>
      </c>
      <c r="C5625" s="4">
        <f>'Raw data'!E5201</f>
        <v>0</v>
      </c>
      <c r="D5625" s="29" t="e">
        <f>VLOOKUP(C5625,'점포코드 '!A:B,2,0)</f>
        <v>#N/A</v>
      </c>
      <c r="E5625" s="30">
        <f>'Raw data'!P5201</f>
        <v>0</v>
      </c>
      <c r="F5625" s="29" t="e">
        <f>VLOOKUP(E5625,'점포코드 '!A:B,2,0)</f>
        <v>#N/A</v>
      </c>
      <c r="G5625" s="46">
        <f>'Raw data'!F5534</f>
        <v>0</v>
      </c>
      <c r="H5625" s="4">
        <f>'Raw data'!G5534</f>
        <v>0</v>
      </c>
      <c r="I5625" s="29" t="e">
        <f>VLOOKUP(G5625,제품명!$C$1:$E$114,2,0)</f>
        <v>#N/A</v>
      </c>
      <c r="J5625" s="29">
        <f>'Raw data'!K5534</f>
        <v>0</v>
      </c>
      <c r="K5625" s="31">
        <f>'Raw data'!H5534</f>
        <v>0</v>
      </c>
      <c r="L5625" s="26">
        <f t="shared" si="178"/>
        <v>0</v>
      </c>
    </row>
    <row r="5626" spans="2:12">
      <c r="B5626" s="4" t="e">
        <f t="shared" si="177"/>
        <v>#N/A</v>
      </c>
      <c r="C5626" s="4">
        <f>'Raw data'!E5202</f>
        <v>0</v>
      </c>
      <c r="D5626" s="29" t="e">
        <f>VLOOKUP(C5626,'점포코드 '!A:B,2,0)</f>
        <v>#N/A</v>
      </c>
      <c r="E5626" s="30">
        <f>'Raw data'!P5202</f>
        <v>0</v>
      </c>
      <c r="F5626" s="29" t="e">
        <f>VLOOKUP(E5626,'점포코드 '!A:B,2,0)</f>
        <v>#N/A</v>
      </c>
      <c r="G5626" s="46">
        <f>'Raw data'!F5535</f>
        <v>0</v>
      </c>
      <c r="H5626" s="4">
        <f>'Raw data'!G5535</f>
        <v>0</v>
      </c>
      <c r="I5626" s="29" t="e">
        <f>VLOOKUP(G5626,제품명!$C$1:$E$114,2,0)</f>
        <v>#N/A</v>
      </c>
      <c r="J5626" s="29">
        <f>'Raw data'!K5535</f>
        <v>0</v>
      </c>
      <c r="K5626" s="31">
        <f>'Raw data'!H5535</f>
        <v>0</v>
      </c>
      <c r="L5626" s="26">
        <f t="shared" si="178"/>
        <v>0</v>
      </c>
    </row>
    <row r="5627" spans="2:12">
      <c r="B5627" s="4" t="e">
        <f t="shared" si="177"/>
        <v>#N/A</v>
      </c>
      <c r="C5627" s="4">
        <f>'Raw data'!E5203</f>
        <v>0</v>
      </c>
      <c r="D5627" s="29" t="e">
        <f>VLOOKUP(C5627,'점포코드 '!A:B,2,0)</f>
        <v>#N/A</v>
      </c>
      <c r="E5627" s="30">
        <f>'Raw data'!P5203</f>
        <v>0</v>
      </c>
      <c r="F5627" s="29" t="e">
        <f>VLOOKUP(E5627,'점포코드 '!A:B,2,0)</f>
        <v>#N/A</v>
      </c>
      <c r="G5627" s="46">
        <f>'Raw data'!F5536</f>
        <v>0</v>
      </c>
      <c r="H5627" s="4">
        <f>'Raw data'!G5536</f>
        <v>0</v>
      </c>
      <c r="I5627" s="29" t="e">
        <f>VLOOKUP(G5627,제품명!$C$1:$E$114,2,0)</f>
        <v>#N/A</v>
      </c>
      <c r="J5627" s="29">
        <f>'Raw data'!K5536</f>
        <v>0</v>
      </c>
      <c r="K5627" s="31">
        <f>'Raw data'!H5536</f>
        <v>0</v>
      </c>
      <c r="L5627" s="26">
        <f t="shared" si="178"/>
        <v>0</v>
      </c>
    </row>
    <row r="5628" spans="2:12">
      <c r="B5628" s="4" t="e">
        <f t="shared" si="177"/>
        <v>#N/A</v>
      </c>
      <c r="C5628" s="4">
        <f>'Raw data'!E5204</f>
        <v>0</v>
      </c>
      <c r="D5628" s="29" t="e">
        <f>VLOOKUP(C5628,'점포코드 '!A:B,2,0)</f>
        <v>#N/A</v>
      </c>
      <c r="E5628" s="30">
        <f>'Raw data'!P5204</f>
        <v>0</v>
      </c>
      <c r="F5628" s="29" t="e">
        <f>VLOOKUP(E5628,'점포코드 '!A:B,2,0)</f>
        <v>#N/A</v>
      </c>
      <c r="G5628" s="46">
        <f>'Raw data'!F5537</f>
        <v>0</v>
      </c>
      <c r="H5628" s="4">
        <f>'Raw data'!G5537</f>
        <v>0</v>
      </c>
      <c r="I5628" s="29" t="e">
        <f>VLOOKUP(G5628,제품명!$C$1:$E$114,2,0)</f>
        <v>#N/A</v>
      </c>
      <c r="J5628" s="29">
        <f>'Raw data'!K5537</f>
        <v>0</v>
      </c>
      <c r="K5628" s="31">
        <f>'Raw data'!H5537</f>
        <v>0</v>
      </c>
      <c r="L5628" s="26">
        <f t="shared" si="178"/>
        <v>0</v>
      </c>
    </row>
    <row r="5629" spans="2:12">
      <c r="B5629" s="4" t="e">
        <f t="shared" si="177"/>
        <v>#N/A</v>
      </c>
      <c r="C5629" s="4">
        <f>'Raw data'!E5205</f>
        <v>0</v>
      </c>
      <c r="D5629" s="29" t="e">
        <f>VLOOKUP(C5629,'점포코드 '!A:B,2,0)</f>
        <v>#N/A</v>
      </c>
      <c r="E5629" s="30">
        <f>'Raw data'!P5205</f>
        <v>0</v>
      </c>
      <c r="F5629" s="29" t="e">
        <f>VLOOKUP(E5629,'점포코드 '!A:B,2,0)</f>
        <v>#N/A</v>
      </c>
      <c r="G5629" s="46">
        <f>'Raw data'!F5538</f>
        <v>0</v>
      </c>
      <c r="H5629" s="4">
        <f>'Raw data'!G5538</f>
        <v>0</v>
      </c>
      <c r="I5629" s="29" t="e">
        <f>VLOOKUP(G5629,제품명!$C$1:$E$114,2,0)</f>
        <v>#N/A</v>
      </c>
      <c r="J5629" s="29">
        <f>'Raw data'!K5538</f>
        <v>0</v>
      </c>
      <c r="K5629" s="31">
        <f>'Raw data'!H5538</f>
        <v>0</v>
      </c>
      <c r="L5629" s="26">
        <f t="shared" si="178"/>
        <v>0</v>
      </c>
    </row>
    <row r="5630" spans="2:12">
      <c r="B5630" s="4" t="e">
        <f t="shared" si="177"/>
        <v>#N/A</v>
      </c>
      <c r="C5630" s="4">
        <f>'Raw data'!E5206</f>
        <v>0</v>
      </c>
      <c r="D5630" s="29" t="e">
        <f>VLOOKUP(C5630,'점포코드 '!A:B,2,0)</f>
        <v>#N/A</v>
      </c>
      <c r="E5630" s="30">
        <f>'Raw data'!P5206</f>
        <v>0</v>
      </c>
      <c r="F5630" s="29" t="e">
        <f>VLOOKUP(E5630,'점포코드 '!A:B,2,0)</f>
        <v>#N/A</v>
      </c>
      <c r="G5630" s="46">
        <f>'Raw data'!F5539</f>
        <v>0</v>
      </c>
      <c r="H5630" s="4">
        <f>'Raw data'!G5539</f>
        <v>0</v>
      </c>
      <c r="I5630" s="29" t="e">
        <f>VLOOKUP(G5630,제품명!$C$1:$E$114,2,0)</f>
        <v>#N/A</v>
      </c>
      <c r="J5630" s="29">
        <f>'Raw data'!K5539</f>
        <v>0</v>
      </c>
      <c r="K5630" s="31">
        <f>'Raw data'!H5539</f>
        <v>0</v>
      </c>
      <c r="L5630" s="26">
        <f t="shared" si="178"/>
        <v>0</v>
      </c>
    </row>
    <row r="5631" spans="2:12">
      <c r="B5631" s="4" t="e">
        <f t="shared" si="177"/>
        <v>#N/A</v>
      </c>
      <c r="C5631" s="4">
        <f>'Raw data'!E5207</f>
        <v>0</v>
      </c>
      <c r="D5631" s="29" t="e">
        <f>VLOOKUP(C5631,'점포코드 '!A:B,2,0)</f>
        <v>#N/A</v>
      </c>
      <c r="E5631" s="30">
        <f>'Raw data'!P5207</f>
        <v>0</v>
      </c>
      <c r="F5631" s="29" t="e">
        <f>VLOOKUP(E5631,'점포코드 '!A:B,2,0)</f>
        <v>#N/A</v>
      </c>
      <c r="G5631" s="46">
        <f>'Raw data'!F5540</f>
        <v>0</v>
      </c>
      <c r="H5631" s="4">
        <f>'Raw data'!G5540</f>
        <v>0</v>
      </c>
      <c r="I5631" s="29" t="e">
        <f>VLOOKUP(G5631,제품명!$C$1:$E$114,2,0)</f>
        <v>#N/A</v>
      </c>
      <c r="J5631" s="29">
        <f>'Raw data'!K5540</f>
        <v>0</v>
      </c>
      <c r="K5631" s="31">
        <f>'Raw data'!H5540</f>
        <v>0</v>
      </c>
      <c r="L5631" s="26">
        <f t="shared" si="178"/>
        <v>0</v>
      </c>
    </row>
    <row r="5632" spans="2:12">
      <c r="B5632" s="4" t="e">
        <f t="shared" si="177"/>
        <v>#N/A</v>
      </c>
      <c r="C5632" s="4">
        <f>'Raw data'!E5208</f>
        <v>0</v>
      </c>
      <c r="D5632" s="29" t="e">
        <f>VLOOKUP(C5632,'점포코드 '!A:B,2,0)</f>
        <v>#N/A</v>
      </c>
      <c r="E5632" s="30">
        <f>'Raw data'!P5208</f>
        <v>0</v>
      </c>
      <c r="F5632" s="29" t="e">
        <f>VLOOKUP(E5632,'점포코드 '!A:B,2,0)</f>
        <v>#N/A</v>
      </c>
      <c r="G5632" s="46">
        <f>'Raw data'!F5541</f>
        <v>0</v>
      </c>
      <c r="H5632" s="4">
        <f>'Raw data'!G5541</f>
        <v>0</v>
      </c>
      <c r="I5632" s="29" t="e">
        <f>VLOOKUP(G5632,제품명!$C$1:$E$114,2,0)</f>
        <v>#N/A</v>
      </c>
      <c r="J5632" s="29">
        <f>'Raw data'!K5541</f>
        <v>0</v>
      </c>
      <c r="K5632" s="31">
        <f>'Raw data'!H5541</f>
        <v>0</v>
      </c>
      <c r="L5632" s="26">
        <f t="shared" si="178"/>
        <v>0</v>
      </c>
    </row>
    <row r="5633" spans="2:12">
      <c r="B5633" s="4" t="e">
        <f t="shared" si="177"/>
        <v>#N/A</v>
      </c>
      <c r="C5633" s="4">
        <f>'Raw data'!E5209</f>
        <v>0</v>
      </c>
      <c r="D5633" s="29" t="e">
        <f>VLOOKUP(C5633,'점포코드 '!A:B,2,0)</f>
        <v>#N/A</v>
      </c>
      <c r="E5633" s="30">
        <f>'Raw data'!P5209</f>
        <v>0</v>
      </c>
      <c r="F5633" s="29" t="e">
        <f>VLOOKUP(E5633,'점포코드 '!A:B,2,0)</f>
        <v>#N/A</v>
      </c>
      <c r="G5633" s="46">
        <f>'Raw data'!F5542</f>
        <v>0</v>
      </c>
      <c r="H5633" s="4">
        <f>'Raw data'!G5542</f>
        <v>0</v>
      </c>
      <c r="I5633" s="29" t="e">
        <f>VLOOKUP(G5633,제품명!$C$1:$E$114,2,0)</f>
        <v>#N/A</v>
      </c>
      <c r="J5633" s="29">
        <f>'Raw data'!K5542</f>
        <v>0</v>
      </c>
      <c r="K5633" s="31">
        <f>'Raw data'!H5542</f>
        <v>0</v>
      </c>
      <c r="L5633" s="26">
        <f t="shared" si="178"/>
        <v>0</v>
      </c>
    </row>
    <row r="5634" spans="2:12">
      <c r="B5634" s="4" t="e">
        <f t="shared" ref="B5634:B5697" si="179">F5634&amp;I5634</f>
        <v>#N/A</v>
      </c>
      <c r="C5634" s="4">
        <f>'Raw data'!E5210</f>
        <v>0</v>
      </c>
      <c r="D5634" s="29" t="e">
        <f>VLOOKUP(C5634,'점포코드 '!A:B,2,0)</f>
        <v>#N/A</v>
      </c>
      <c r="E5634" s="30">
        <f>'Raw data'!P5210</f>
        <v>0</v>
      </c>
      <c r="F5634" s="29" t="e">
        <f>VLOOKUP(E5634,'점포코드 '!A:B,2,0)</f>
        <v>#N/A</v>
      </c>
      <c r="G5634" s="46">
        <f>'Raw data'!F5543</f>
        <v>0</v>
      </c>
      <c r="H5634" s="4">
        <f>'Raw data'!G5543</f>
        <v>0</v>
      </c>
      <c r="I5634" s="29" t="e">
        <f>VLOOKUP(G5634,제품명!$C$1:$E$114,2,0)</f>
        <v>#N/A</v>
      </c>
      <c r="J5634" s="29">
        <f>'Raw data'!K5543</f>
        <v>0</v>
      </c>
      <c r="K5634" s="31">
        <f>'Raw data'!H5543</f>
        <v>0</v>
      </c>
      <c r="L5634" s="26">
        <f t="shared" si="178"/>
        <v>0</v>
      </c>
    </row>
    <row r="5635" spans="2:12">
      <c r="B5635" s="4" t="e">
        <f t="shared" si="179"/>
        <v>#N/A</v>
      </c>
      <c r="C5635" s="4">
        <f>'Raw data'!E5211</f>
        <v>0</v>
      </c>
      <c r="D5635" s="29" t="e">
        <f>VLOOKUP(C5635,'점포코드 '!A:B,2,0)</f>
        <v>#N/A</v>
      </c>
      <c r="E5635" s="30">
        <f>'Raw data'!P5211</f>
        <v>0</v>
      </c>
      <c r="F5635" s="29" t="e">
        <f>VLOOKUP(E5635,'점포코드 '!A:B,2,0)</f>
        <v>#N/A</v>
      </c>
      <c r="G5635" s="46">
        <f>'Raw data'!F5544</f>
        <v>0</v>
      </c>
      <c r="H5635" s="4">
        <f>'Raw data'!G5544</f>
        <v>0</v>
      </c>
      <c r="I5635" s="29" t="e">
        <f>VLOOKUP(G5635,제품명!$C$1:$E$114,2,0)</f>
        <v>#N/A</v>
      </c>
      <c r="J5635" s="29">
        <f>'Raw data'!K5544</f>
        <v>0</v>
      </c>
      <c r="K5635" s="31">
        <f>'Raw data'!H5544</f>
        <v>0</v>
      </c>
      <c r="L5635" s="26">
        <f t="shared" ref="L5635:L5698" si="180">J5635*K5635</f>
        <v>0</v>
      </c>
    </row>
    <row r="5636" spans="2:12">
      <c r="B5636" s="4" t="e">
        <f t="shared" si="179"/>
        <v>#N/A</v>
      </c>
      <c r="C5636" s="4">
        <f>'Raw data'!E5212</f>
        <v>0</v>
      </c>
      <c r="D5636" s="29" t="e">
        <f>VLOOKUP(C5636,'점포코드 '!A:B,2,0)</f>
        <v>#N/A</v>
      </c>
      <c r="E5636" s="30">
        <f>'Raw data'!P5212</f>
        <v>0</v>
      </c>
      <c r="F5636" s="29" t="e">
        <f>VLOOKUP(E5636,'점포코드 '!A:B,2,0)</f>
        <v>#N/A</v>
      </c>
      <c r="G5636" s="46">
        <f>'Raw data'!F5545</f>
        <v>0</v>
      </c>
      <c r="H5636" s="4">
        <f>'Raw data'!G5545</f>
        <v>0</v>
      </c>
      <c r="I5636" s="29" t="e">
        <f>VLOOKUP(G5636,제품명!$C$1:$E$114,2,0)</f>
        <v>#N/A</v>
      </c>
      <c r="J5636" s="29">
        <f>'Raw data'!K5545</f>
        <v>0</v>
      </c>
      <c r="K5636" s="31">
        <f>'Raw data'!H5545</f>
        <v>0</v>
      </c>
      <c r="L5636" s="26">
        <f t="shared" si="180"/>
        <v>0</v>
      </c>
    </row>
    <row r="5637" spans="2:12">
      <c r="B5637" s="4" t="e">
        <f t="shared" si="179"/>
        <v>#N/A</v>
      </c>
      <c r="C5637" s="4">
        <f>'Raw data'!E5213</f>
        <v>0</v>
      </c>
      <c r="D5637" s="29" t="e">
        <f>VLOOKUP(C5637,'점포코드 '!A:B,2,0)</f>
        <v>#N/A</v>
      </c>
      <c r="E5637" s="30">
        <f>'Raw data'!P5213</f>
        <v>0</v>
      </c>
      <c r="F5637" s="29" t="e">
        <f>VLOOKUP(E5637,'점포코드 '!A:B,2,0)</f>
        <v>#N/A</v>
      </c>
      <c r="G5637" s="46">
        <f>'Raw data'!F5546</f>
        <v>0</v>
      </c>
      <c r="H5637" s="4">
        <f>'Raw data'!G5546</f>
        <v>0</v>
      </c>
      <c r="I5637" s="29" t="e">
        <f>VLOOKUP(G5637,제품명!$C$1:$E$114,2,0)</f>
        <v>#N/A</v>
      </c>
      <c r="J5637" s="29">
        <f>'Raw data'!K5546</f>
        <v>0</v>
      </c>
      <c r="K5637" s="31">
        <f>'Raw data'!H5546</f>
        <v>0</v>
      </c>
      <c r="L5637" s="26">
        <f t="shared" si="180"/>
        <v>0</v>
      </c>
    </row>
    <row r="5638" spans="2:12">
      <c r="B5638" s="4" t="e">
        <f t="shared" si="179"/>
        <v>#N/A</v>
      </c>
      <c r="C5638" s="4">
        <f>'Raw data'!E5214</f>
        <v>0</v>
      </c>
      <c r="D5638" s="29" t="e">
        <f>VLOOKUP(C5638,'점포코드 '!A:B,2,0)</f>
        <v>#N/A</v>
      </c>
      <c r="E5638" s="30">
        <f>'Raw data'!P5214</f>
        <v>0</v>
      </c>
      <c r="F5638" s="29" t="e">
        <f>VLOOKUP(E5638,'점포코드 '!A:B,2,0)</f>
        <v>#N/A</v>
      </c>
      <c r="G5638" s="46">
        <f>'Raw data'!F5547</f>
        <v>0</v>
      </c>
      <c r="H5638" s="4">
        <f>'Raw data'!G5547</f>
        <v>0</v>
      </c>
      <c r="I5638" s="29" t="e">
        <f>VLOOKUP(G5638,제품명!$C$1:$E$114,2,0)</f>
        <v>#N/A</v>
      </c>
      <c r="J5638" s="29">
        <f>'Raw data'!K5547</f>
        <v>0</v>
      </c>
      <c r="K5638" s="31">
        <f>'Raw data'!H5547</f>
        <v>0</v>
      </c>
      <c r="L5638" s="26">
        <f t="shared" si="180"/>
        <v>0</v>
      </c>
    </row>
    <row r="5639" spans="2:12">
      <c r="B5639" s="4" t="e">
        <f t="shared" si="179"/>
        <v>#N/A</v>
      </c>
      <c r="C5639" s="4">
        <f>'Raw data'!E5215</f>
        <v>0</v>
      </c>
      <c r="D5639" s="29" t="e">
        <f>VLOOKUP(C5639,'점포코드 '!A:B,2,0)</f>
        <v>#N/A</v>
      </c>
      <c r="E5639" s="30">
        <f>'Raw data'!P5215</f>
        <v>0</v>
      </c>
      <c r="F5639" s="29" t="e">
        <f>VLOOKUP(E5639,'점포코드 '!A:B,2,0)</f>
        <v>#N/A</v>
      </c>
      <c r="G5639" s="46">
        <f>'Raw data'!F5548</f>
        <v>0</v>
      </c>
      <c r="H5639" s="4">
        <f>'Raw data'!G5548</f>
        <v>0</v>
      </c>
      <c r="I5639" s="29" t="e">
        <f>VLOOKUP(G5639,제품명!$C$1:$E$114,2,0)</f>
        <v>#N/A</v>
      </c>
      <c r="J5639" s="29">
        <f>'Raw data'!K5548</f>
        <v>0</v>
      </c>
      <c r="K5639" s="31">
        <f>'Raw data'!H5548</f>
        <v>0</v>
      </c>
      <c r="L5639" s="26">
        <f t="shared" si="180"/>
        <v>0</v>
      </c>
    </row>
    <row r="5640" spans="2:12">
      <c r="B5640" s="4" t="e">
        <f t="shared" si="179"/>
        <v>#N/A</v>
      </c>
      <c r="C5640" s="4">
        <f>'Raw data'!E5216</f>
        <v>0</v>
      </c>
      <c r="D5640" s="29" t="e">
        <f>VLOOKUP(C5640,'점포코드 '!A:B,2,0)</f>
        <v>#N/A</v>
      </c>
      <c r="E5640" s="30">
        <f>'Raw data'!P5216</f>
        <v>0</v>
      </c>
      <c r="F5640" s="29" t="e">
        <f>VLOOKUP(E5640,'점포코드 '!A:B,2,0)</f>
        <v>#N/A</v>
      </c>
      <c r="G5640" s="46">
        <f>'Raw data'!F5549</f>
        <v>0</v>
      </c>
      <c r="H5640" s="4">
        <f>'Raw data'!G5549</f>
        <v>0</v>
      </c>
      <c r="I5640" s="29" t="e">
        <f>VLOOKUP(G5640,제품명!$C$1:$E$114,2,0)</f>
        <v>#N/A</v>
      </c>
      <c r="J5640" s="29">
        <f>'Raw data'!K5549</f>
        <v>0</v>
      </c>
      <c r="K5640" s="31">
        <f>'Raw data'!H5549</f>
        <v>0</v>
      </c>
      <c r="L5640" s="26">
        <f t="shared" si="180"/>
        <v>0</v>
      </c>
    </row>
    <row r="5641" spans="2:12">
      <c r="B5641" s="4" t="e">
        <f t="shared" si="179"/>
        <v>#N/A</v>
      </c>
      <c r="C5641" s="4">
        <f>'Raw data'!E5217</f>
        <v>0</v>
      </c>
      <c r="D5641" s="29" t="e">
        <f>VLOOKUP(C5641,'점포코드 '!A:B,2,0)</f>
        <v>#N/A</v>
      </c>
      <c r="E5641" s="30">
        <f>'Raw data'!P5217</f>
        <v>0</v>
      </c>
      <c r="F5641" s="29" t="e">
        <f>VLOOKUP(E5641,'점포코드 '!A:B,2,0)</f>
        <v>#N/A</v>
      </c>
      <c r="G5641" s="46">
        <f>'Raw data'!F5550</f>
        <v>0</v>
      </c>
      <c r="H5641" s="4">
        <f>'Raw data'!G5550</f>
        <v>0</v>
      </c>
      <c r="I5641" s="29" t="e">
        <f>VLOOKUP(G5641,제품명!$C$1:$E$114,2,0)</f>
        <v>#N/A</v>
      </c>
      <c r="J5641" s="29">
        <f>'Raw data'!K5550</f>
        <v>0</v>
      </c>
      <c r="K5641" s="31">
        <f>'Raw data'!H5550</f>
        <v>0</v>
      </c>
      <c r="L5641" s="26">
        <f t="shared" si="180"/>
        <v>0</v>
      </c>
    </row>
    <row r="5642" spans="2:12">
      <c r="B5642" s="4" t="e">
        <f t="shared" si="179"/>
        <v>#N/A</v>
      </c>
      <c r="C5642" s="4">
        <f>'Raw data'!E5218</f>
        <v>0</v>
      </c>
      <c r="D5642" s="29" t="e">
        <f>VLOOKUP(C5642,'점포코드 '!A:B,2,0)</f>
        <v>#N/A</v>
      </c>
      <c r="E5642" s="30">
        <f>'Raw data'!P5218</f>
        <v>0</v>
      </c>
      <c r="F5642" s="29" t="e">
        <f>VLOOKUP(E5642,'점포코드 '!A:B,2,0)</f>
        <v>#N/A</v>
      </c>
      <c r="G5642" s="46">
        <f>'Raw data'!F5551</f>
        <v>0</v>
      </c>
      <c r="H5642" s="4">
        <f>'Raw data'!G5551</f>
        <v>0</v>
      </c>
      <c r="I5642" s="29" t="e">
        <f>VLOOKUP(G5642,제품명!$C$1:$E$114,2,0)</f>
        <v>#N/A</v>
      </c>
      <c r="J5642" s="29">
        <f>'Raw data'!K5551</f>
        <v>0</v>
      </c>
      <c r="K5642" s="31">
        <f>'Raw data'!H5551</f>
        <v>0</v>
      </c>
      <c r="L5642" s="26">
        <f t="shared" si="180"/>
        <v>0</v>
      </c>
    </row>
    <row r="5643" spans="2:12">
      <c r="B5643" s="4" t="e">
        <f t="shared" si="179"/>
        <v>#N/A</v>
      </c>
      <c r="C5643" s="4">
        <f>'Raw data'!E5219</f>
        <v>0</v>
      </c>
      <c r="D5643" s="29" t="e">
        <f>VLOOKUP(C5643,'점포코드 '!A:B,2,0)</f>
        <v>#N/A</v>
      </c>
      <c r="E5643" s="30">
        <f>'Raw data'!P5219</f>
        <v>0</v>
      </c>
      <c r="F5643" s="29" t="e">
        <f>VLOOKUP(E5643,'점포코드 '!A:B,2,0)</f>
        <v>#N/A</v>
      </c>
      <c r="G5643" s="46">
        <f>'Raw data'!F5552</f>
        <v>0</v>
      </c>
      <c r="H5643" s="4">
        <f>'Raw data'!G5552</f>
        <v>0</v>
      </c>
      <c r="I5643" s="29" t="e">
        <f>VLOOKUP(G5643,제품명!$C$1:$E$114,2,0)</f>
        <v>#N/A</v>
      </c>
      <c r="J5643" s="29">
        <f>'Raw data'!K5552</f>
        <v>0</v>
      </c>
      <c r="K5643" s="31">
        <f>'Raw data'!H5552</f>
        <v>0</v>
      </c>
      <c r="L5643" s="26">
        <f t="shared" si="180"/>
        <v>0</v>
      </c>
    </row>
    <row r="5644" spans="2:12">
      <c r="B5644" s="4" t="e">
        <f t="shared" si="179"/>
        <v>#N/A</v>
      </c>
      <c r="C5644" s="4">
        <f>'Raw data'!E5220</f>
        <v>0</v>
      </c>
      <c r="D5644" s="29" t="e">
        <f>VLOOKUP(C5644,'점포코드 '!A:B,2,0)</f>
        <v>#N/A</v>
      </c>
      <c r="E5644" s="30">
        <f>'Raw data'!P5220</f>
        <v>0</v>
      </c>
      <c r="F5644" s="29" t="e">
        <f>VLOOKUP(E5644,'점포코드 '!A:B,2,0)</f>
        <v>#N/A</v>
      </c>
      <c r="G5644" s="46">
        <f>'Raw data'!F5553</f>
        <v>0</v>
      </c>
      <c r="H5644" s="4">
        <f>'Raw data'!G5553</f>
        <v>0</v>
      </c>
      <c r="I5644" s="29" t="e">
        <f>VLOOKUP(G5644,제품명!$C$1:$E$114,2,0)</f>
        <v>#N/A</v>
      </c>
      <c r="J5644" s="29">
        <f>'Raw data'!K5553</f>
        <v>0</v>
      </c>
      <c r="K5644" s="31">
        <f>'Raw data'!H5553</f>
        <v>0</v>
      </c>
      <c r="L5644" s="26">
        <f t="shared" si="180"/>
        <v>0</v>
      </c>
    </row>
    <row r="5645" spans="2:12">
      <c r="B5645" s="4" t="e">
        <f t="shared" si="179"/>
        <v>#N/A</v>
      </c>
      <c r="C5645" s="4">
        <f>'Raw data'!E5221</f>
        <v>0</v>
      </c>
      <c r="D5645" s="29" t="e">
        <f>VLOOKUP(C5645,'점포코드 '!A:B,2,0)</f>
        <v>#N/A</v>
      </c>
      <c r="E5645" s="30">
        <f>'Raw data'!P5221</f>
        <v>0</v>
      </c>
      <c r="F5645" s="29" t="e">
        <f>VLOOKUP(E5645,'점포코드 '!A:B,2,0)</f>
        <v>#N/A</v>
      </c>
      <c r="G5645" s="46">
        <f>'Raw data'!F5554</f>
        <v>0</v>
      </c>
      <c r="H5645" s="4">
        <f>'Raw data'!G5554</f>
        <v>0</v>
      </c>
      <c r="I5645" s="29" t="e">
        <f>VLOOKUP(G5645,제품명!$C$1:$E$114,2,0)</f>
        <v>#N/A</v>
      </c>
      <c r="J5645" s="29">
        <f>'Raw data'!K5554</f>
        <v>0</v>
      </c>
      <c r="K5645" s="31">
        <f>'Raw data'!H5554</f>
        <v>0</v>
      </c>
      <c r="L5645" s="26">
        <f t="shared" si="180"/>
        <v>0</v>
      </c>
    </row>
    <row r="5646" spans="2:12">
      <c r="B5646" s="4" t="e">
        <f t="shared" si="179"/>
        <v>#N/A</v>
      </c>
      <c r="C5646" s="4">
        <f>'Raw data'!E5222</f>
        <v>0</v>
      </c>
      <c r="D5646" s="29" t="e">
        <f>VLOOKUP(C5646,'점포코드 '!A:B,2,0)</f>
        <v>#N/A</v>
      </c>
      <c r="E5646" s="30">
        <f>'Raw data'!P5222</f>
        <v>0</v>
      </c>
      <c r="F5646" s="29" t="e">
        <f>VLOOKUP(E5646,'점포코드 '!A:B,2,0)</f>
        <v>#N/A</v>
      </c>
      <c r="G5646" s="46">
        <f>'Raw data'!F5555</f>
        <v>0</v>
      </c>
      <c r="H5646" s="4">
        <f>'Raw data'!G5555</f>
        <v>0</v>
      </c>
      <c r="I5646" s="29" t="e">
        <f>VLOOKUP(G5646,제품명!$C$1:$E$114,2,0)</f>
        <v>#N/A</v>
      </c>
      <c r="J5646" s="29">
        <f>'Raw data'!K5555</f>
        <v>0</v>
      </c>
      <c r="K5646" s="31">
        <f>'Raw data'!H5555</f>
        <v>0</v>
      </c>
      <c r="L5646" s="26">
        <f t="shared" si="180"/>
        <v>0</v>
      </c>
    </row>
    <row r="5647" spans="2:12">
      <c r="B5647" s="4" t="e">
        <f t="shared" si="179"/>
        <v>#N/A</v>
      </c>
      <c r="C5647" s="4">
        <f>'Raw data'!E5223</f>
        <v>0</v>
      </c>
      <c r="D5647" s="29" t="e">
        <f>VLOOKUP(C5647,'점포코드 '!A:B,2,0)</f>
        <v>#N/A</v>
      </c>
      <c r="E5647" s="30">
        <f>'Raw data'!P5223</f>
        <v>0</v>
      </c>
      <c r="F5647" s="29" t="e">
        <f>VLOOKUP(E5647,'점포코드 '!A:B,2,0)</f>
        <v>#N/A</v>
      </c>
      <c r="G5647" s="46">
        <f>'Raw data'!F5556</f>
        <v>0</v>
      </c>
      <c r="H5647" s="4">
        <f>'Raw data'!G5556</f>
        <v>0</v>
      </c>
      <c r="I5647" s="29" t="e">
        <f>VLOOKUP(G5647,제품명!$C$1:$E$114,2,0)</f>
        <v>#N/A</v>
      </c>
      <c r="J5647" s="29">
        <f>'Raw data'!K5556</f>
        <v>0</v>
      </c>
      <c r="K5647" s="31">
        <f>'Raw data'!H5556</f>
        <v>0</v>
      </c>
      <c r="L5647" s="26">
        <f t="shared" si="180"/>
        <v>0</v>
      </c>
    </row>
    <row r="5648" spans="2:12">
      <c r="B5648" s="4" t="e">
        <f t="shared" si="179"/>
        <v>#N/A</v>
      </c>
      <c r="C5648" s="4">
        <f>'Raw data'!E5224</f>
        <v>0</v>
      </c>
      <c r="D5648" s="29" t="e">
        <f>VLOOKUP(C5648,'점포코드 '!A:B,2,0)</f>
        <v>#N/A</v>
      </c>
      <c r="E5648" s="30">
        <f>'Raw data'!P5224</f>
        <v>0</v>
      </c>
      <c r="F5648" s="29" t="e">
        <f>VLOOKUP(E5648,'점포코드 '!A:B,2,0)</f>
        <v>#N/A</v>
      </c>
      <c r="G5648" s="46">
        <f>'Raw data'!F5557</f>
        <v>0</v>
      </c>
      <c r="H5648" s="4">
        <f>'Raw data'!G5557</f>
        <v>0</v>
      </c>
      <c r="I5648" s="29" t="e">
        <f>VLOOKUP(G5648,제품명!$C$1:$E$114,2,0)</f>
        <v>#N/A</v>
      </c>
      <c r="J5648" s="29">
        <f>'Raw data'!K5557</f>
        <v>0</v>
      </c>
      <c r="K5648" s="31">
        <f>'Raw data'!H5557</f>
        <v>0</v>
      </c>
      <c r="L5648" s="26">
        <f t="shared" si="180"/>
        <v>0</v>
      </c>
    </row>
    <row r="5649" spans="2:12">
      <c r="B5649" s="4" t="e">
        <f t="shared" si="179"/>
        <v>#N/A</v>
      </c>
      <c r="C5649" s="4">
        <f>'Raw data'!E5225</f>
        <v>0</v>
      </c>
      <c r="D5649" s="29" t="e">
        <f>VLOOKUP(C5649,'점포코드 '!A:B,2,0)</f>
        <v>#N/A</v>
      </c>
      <c r="E5649" s="30">
        <f>'Raw data'!P5225</f>
        <v>0</v>
      </c>
      <c r="F5649" s="29" t="e">
        <f>VLOOKUP(E5649,'점포코드 '!A:B,2,0)</f>
        <v>#N/A</v>
      </c>
      <c r="G5649" s="46">
        <f>'Raw data'!F5558</f>
        <v>0</v>
      </c>
      <c r="H5649" s="4">
        <f>'Raw data'!G5558</f>
        <v>0</v>
      </c>
      <c r="I5649" s="29" t="e">
        <f>VLOOKUP(G5649,제품명!$C$1:$E$114,2,0)</f>
        <v>#N/A</v>
      </c>
      <c r="J5649" s="29">
        <f>'Raw data'!K5558</f>
        <v>0</v>
      </c>
      <c r="K5649" s="31">
        <f>'Raw data'!H5558</f>
        <v>0</v>
      </c>
      <c r="L5649" s="26">
        <f t="shared" si="180"/>
        <v>0</v>
      </c>
    </row>
    <row r="5650" spans="2:12">
      <c r="B5650" s="4" t="e">
        <f t="shared" si="179"/>
        <v>#N/A</v>
      </c>
      <c r="C5650" s="4">
        <f>'Raw data'!E5226</f>
        <v>0</v>
      </c>
      <c r="D5650" s="29" t="e">
        <f>VLOOKUP(C5650,'점포코드 '!A:B,2,0)</f>
        <v>#N/A</v>
      </c>
      <c r="E5650" s="30">
        <f>'Raw data'!P5226</f>
        <v>0</v>
      </c>
      <c r="F5650" s="29" t="e">
        <f>VLOOKUP(E5650,'점포코드 '!A:B,2,0)</f>
        <v>#N/A</v>
      </c>
      <c r="G5650" s="46">
        <f>'Raw data'!F5559</f>
        <v>0</v>
      </c>
      <c r="H5650" s="4">
        <f>'Raw data'!G5559</f>
        <v>0</v>
      </c>
      <c r="I5650" s="29" t="e">
        <f>VLOOKUP(G5650,제품명!$C$1:$E$114,2,0)</f>
        <v>#N/A</v>
      </c>
      <c r="J5650" s="29">
        <f>'Raw data'!K5559</f>
        <v>0</v>
      </c>
      <c r="K5650" s="31">
        <f>'Raw data'!H5559</f>
        <v>0</v>
      </c>
      <c r="L5650" s="26">
        <f t="shared" si="180"/>
        <v>0</v>
      </c>
    </row>
    <row r="5651" spans="2:12">
      <c r="B5651" s="4" t="e">
        <f t="shared" si="179"/>
        <v>#N/A</v>
      </c>
      <c r="C5651" s="4">
        <f>'Raw data'!E5227</f>
        <v>0</v>
      </c>
      <c r="D5651" s="29" t="e">
        <f>VLOOKUP(C5651,'점포코드 '!A:B,2,0)</f>
        <v>#N/A</v>
      </c>
      <c r="E5651" s="30">
        <f>'Raw data'!P5227</f>
        <v>0</v>
      </c>
      <c r="F5651" s="29" t="e">
        <f>VLOOKUP(E5651,'점포코드 '!A:B,2,0)</f>
        <v>#N/A</v>
      </c>
      <c r="G5651" s="46">
        <f>'Raw data'!F5560</f>
        <v>0</v>
      </c>
      <c r="H5651" s="4">
        <f>'Raw data'!G5560</f>
        <v>0</v>
      </c>
      <c r="I5651" s="29" t="e">
        <f>VLOOKUP(G5651,제품명!$C$1:$E$114,2,0)</f>
        <v>#N/A</v>
      </c>
      <c r="J5651" s="29">
        <f>'Raw data'!K5560</f>
        <v>0</v>
      </c>
      <c r="K5651" s="31">
        <f>'Raw data'!H5560</f>
        <v>0</v>
      </c>
      <c r="L5651" s="26">
        <f t="shared" si="180"/>
        <v>0</v>
      </c>
    </row>
    <row r="5652" spans="2:12">
      <c r="B5652" s="4" t="e">
        <f t="shared" si="179"/>
        <v>#N/A</v>
      </c>
      <c r="C5652" s="4">
        <f>'Raw data'!E5228</f>
        <v>0</v>
      </c>
      <c r="D5652" s="29" t="e">
        <f>VLOOKUP(C5652,'점포코드 '!A:B,2,0)</f>
        <v>#N/A</v>
      </c>
      <c r="E5652" s="30">
        <f>'Raw data'!P5228</f>
        <v>0</v>
      </c>
      <c r="F5652" s="29" t="e">
        <f>VLOOKUP(E5652,'점포코드 '!A:B,2,0)</f>
        <v>#N/A</v>
      </c>
      <c r="G5652" s="46">
        <f>'Raw data'!F5561</f>
        <v>0</v>
      </c>
      <c r="H5652" s="4">
        <f>'Raw data'!G5561</f>
        <v>0</v>
      </c>
      <c r="I5652" s="29" t="e">
        <f>VLOOKUP(G5652,제품명!$C$1:$E$114,2,0)</f>
        <v>#N/A</v>
      </c>
      <c r="J5652" s="29">
        <f>'Raw data'!K5561</f>
        <v>0</v>
      </c>
      <c r="K5652" s="31">
        <f>'Raw data'!H5561</f>
        <v>0</v>
      </c>
      <c r="L5652" s="26">
        <f t="shared" si="180"/>
        <v>0</v>
      </c>
    </row>
    <row r="5653" spans="2:12">
      <c r="B5653" s="4" t="e">
        <f t="shared" si="179"/>
        <v>#N/A</v>
      </c>
      <c r="C5653" s="4">
        <f>'Raw data'!E5229</f>
        <v>0</v>
      </c>
      <c r="D5653" s="29" t="e">
        <f>VLOOKUP(C5653,'점포코드 '!A:B,2,0)</f>
        <v>#N/A</v>
      </c>
      <c r="E5653" s="30">
        <f>'Raw data'!P5229</f>
        <v>0</v>
      </c>
      <c r="F5653" s="29" t="e">
        <f>VLOOKUP(E5653,'점포코드 '!A:B,2,0)</f>
        <v>#N/A</v>
      </c>
      <c r="G5653" s="46">
        <f>'Raw data'!F5562</f>
        <v>0</v>
      </c>
      <c r="H5653" s="4">
        <f>'Raw data'!G5562</f>
        <v>0</v>
      </c>
      <c r="I5653" s="29" t="e">
        <f>VLOOKUP(G5653,제품명!$C$1:$E$114,2,0)</f>
        <v>#N/A</v>
      </c>
      <c r="J5653" s="29">
        <f>'Raw data'!K5562</f>
        <v>0</v>
      </c>
      <c r="K5653" s="31">
        <f>'Raw data'!H5562</f>
        <v>0</v>
      </c>
      <c r="L5653" s="26">
        <f t="shared" si="180"/>
        <v>0</v>
      </c>
    </row>
    <row r="5654" spans="2:12">
      <c r="B5654" s="4" t="e">
        <f t="shared" si="179"/>
        <v>#N/A</v>
      </c>
      <c r="C5654" s="4">
        <f>'Raw data'!E5230</f>
        <v>0</v>
      </c>
      <c r="D5654" s="29" t="e">
        <f>VLOOKUP(C5654,'점포코드 '!A:B,2,0)</f>
        <v>#N/A</v>
      </c>
      <c r="E5654" s="30">
        <f>'Raw data'!P5230</f>
        <v>0</v>
      </c>
      <c r="F5654" s="29" t="e">
        <f>VLOOKUP(E5654,'점포코드 '!A:B,2,0)</f>
        <v>#N/A</v>
      </c>
      <c r="G5654" s="46">
        <f>'Raw data'!F5563</f>
        <v>0</v>
      </c>
      <c r="H5654" s="4">
        <f>'Raw data'!G5563</f>
        <v>0</v>
      </c>
      <c r="I5654" s="29" t="e">
        <f>VLOOKUP(G5654,제품명!$C$1:$E$114,2,0)</f>
        <v>#N/A</v>
      </c>
      <c r="J5654" s="29">
        <f>'Raw data'!K5563</f>
        <v>0</v>
      </c>
      <c r="K5654" s="31">
        <f>'Raw data'!H5563</f>
        <v>0</v>
      </c>
      <c r="L5654" s="26">
        <f t="shared" si="180"/>
        <v>0</v>
      </c>
    </row>
    <row r="5655" spans="2:12">
      <c r="B5655" s="4" t="e">
        <f t="shared" si="179"/>
        <v>#N/A</v>
      </c>
      <c r="C5655" s="4">
        <f>'Raw data'!E5231</f>
        <v>0</v>
      </c>
      <c r="D5655" s="29" t="e">
        <f>VLOOKUP(C5655,'점포코드 '!A:B,2,0)</f>
        <v>#N/A</v>
      </c>
      <c r="E5655" s="30">
        <f>'Raw data'!P5231</f>
        <v>0</v>
      </c>
      <c r="F5655" s="29" t="e">
        <f>VLOOKUP(E5655,'점포코드 '!A:B,2,0)</f>
        <v>#N/A</v>
      </c>
      <c r="G5655" s="46">
        <f>'Raw data'!F5564</f>
        <v>0</v>
      </c>
      <c r="H5655" s="4">
        <f>'Raw data'!G5564</f>
        <v>0</v>
      </c>
      <c r="I5655" s="29" t="e">
        <f>VLOOKUP(G5655,제품명!$C$1:$E$114,2,0)</f>
        <v>#N/A</v>
      </c>
      <c r="J5655" s="29">
        <f>'Raw data'!K5564</f>
        <v>0</v>
      </c>
      <c r="K5655" s="31">
        <f>'Raw data'!H5564</f>
        <v>0</v>
      </c>
      <c r="L5655" s="26">
        <f t="shared" si="180"/>
        <v>0</v>
      </c>
    </row>
    <row r="5656" spans="2:12">
      <c r="B5656" s="4" t="e">
        <f t="shared" si="179"/>
        <v>#N/A</v>
      </c>
      <c r="C5656" s="4">
        <f>'Raw data'!E5232</f>
        <v>0</v>
      </c>
      <c r="D5656" s="29" t="e">
        <f>VLOOKUP(C5656,'점포코드 '!A:B,2,0)</f>
        <v>#N/A</v>
      </c>
      <c r="E5656" s="30">
        <f>'Raw data'!P5232</f>
        <v>0</v>
      </c>
      <c r="F5656" s="29" t="e">
        <f>VLOOKUP(E5656,'점포코드 '!A:B,2,0)</f>
        <v>#N/A</v>
      </c>
      <c r="G5656" s="46">
        <f>'Raw data'!F5565</f>
        <v>0</v>
      </c>
      <c r="H5656" s="4">
        <f>'Raw data'!G5565</f>
        <v>0</v>
      </c>
      <c r="I5656" s="29" t="e">
        <f>VLOOKUP(G5656,제품명!$C$1:$E$114,2,0)</f>
        <v>#N/A</v>
      </c>
      <c r="J5656" s="29">
        <f>'Raw data'!K5565</f>
        <v>0</v>
      </c>
      <c r="K5656" s="31">
        <f>'Raw data'!H5565</f>
        <v>0</v>
      </c>
      <c r="L5656" s="26">
        <f t="shared" si="180"/>
        <v>0</v>
      </c>
    </row>
    <row r="5657" spans="2:12">
      <c r="B5657" s="4" t="e">
        <f t="shared" si="179"/>
        <v>#N/A</v>
      </c>
      <c r="C5657" s="4">
        <f>'Raw data'!E5233</f>
        <v>0</v>
      </c>
      <c r="D5657" s="29" t="e">
        <f>VLOOKUP(C5657,'점포코드 '!A:B,2,0)</f>
        <v>#N/A</v>
      </c>
      <c r="E5657" s="30">
        <f>'Raw data'!P5233</f>
        <v>0</v>
      </c>
      <c r="F5657" s="29" t="e">
        <f>VLOOKUP(E5657,'점포코드 '!A:B,2,0)</f>
        <v>#N/A</v>
      </c>
      <c r="G5657" s="46">
        <f>'Raw data'!F5566</f>
        <v>0</v>
      </c>
      <c r="H5657" s="4">
        <f>'Raw data'!G5566</f>
        <v>0</v>
      </c>
      <c r="I5657" s="29" t="e">
        <f>VLOOKUP(G5657,제품명!$C$1:$E$114,2,0)</f>
        <v>#N/A</v>
      </c>
      <c r="J5657" s="29">
        <f>'Raw data'!K5566</f>
        <v>0</v>
      </c>
      <c r="K5657" s="31">
        <f>'Raw data'!H5566</f>
        <v>0</v>
      </c>
      <c r="L5657" s="26">
        <f t="shared" si="180"/>
        <v>0</v>
      </c>
    </row>
    <row r="5658" spans="2:12">
      <c r="B5658" s="4" t="e">
        <f t="shared" si="179"/>
        <v>#N/A</v>
      </c>
      <c r="C5658" s="4">
        <f>'Raw data'!E5234</f>
        <v>0</v>
      </c>
      <c r="D5658" s="29" t="e">
        <f>VLOOKUP(C5658,'점포코드 '!A:B,2,0)</f>
        <v>#N/A</v>
      </c>
      <c r="E5658" s="30">
        <f>'Raw data'!P5234</f>
        <v>0</v>
      </c>
      <c r="F5658" s="29" t="e">
        <f>VLOOKUP(E5658,'점포코드 '!A:B,2,0)</f>
        <v>#N/A</v>
      </c>
      <c r="G5658" s="46">
        <f>'Raw data'!F5567</f>
        <v>0</v>
      </c>
      <c r="H5658" s="4">
        <f>'Raw data'!G5567</f>
        <v>0</v>
      </c>
      <c r="I5658" s="29" t="e">
        <f>VLOOKUP(G5658,제품명!$C$1:$E$114,2,0)</f>
        <v>#N/A</v>
      </c>
      <c r="J5658" s="29">
        <f>'Raw data'!K5567</f>
        <v>0</v>
      </c>
      <c r="K5658" s="31">
        <f>'Raw data'!H5567</f>
        <v>0</v>
      </c>
      <c r="L5658" s="26">
        <f t="shared" si="180"/>
        <v>0</v>
      </c>
    </row>
    <row r="5659" spans="2:12">
      <c r="B5659" s="4" t="e">
        <f t="shared" si="179"/>
        <v>#N/A</v>
      </c>
      <c r="C5659" s="4">
        <f>'Raw data'!E5235</f>
        <v>0</v>
      </c>
      <c r="D5659" s="29" t="e">
        <f>VLOOKUP(C5659,'점포코드 '!A:B,2,0)</f>
        <v>#N/A</v>
      </c>
      <c r="E5659" s="30">
        <f>'Raw data'!P5235</f>
        <v>0</v>
      </c>
      <c r="F5659" s="29" t="e">
        <f>VLOOKUP(E5659,'점포코드 '!A:B,2,0)</f>
        <v>#N/A</v>
      </c>
      <c r="G5659" s="46">
        <f>'Raw data'!F5568</f>
        <v>0</v>
      </c>
      <c r="H5659" s="4">
        <f>'Raw data'!G5568</f>
        <v>0</v>
      </c>
      <c r="I5659" s="29" t="e">
        <f>VLOOKUP(G5659,제품명!$C$1:$E$114,2,0)</f>
        <v>#N/A</v>
      </c>
      <c r="J5659" s="29">
        <f>'Raw data'!K5568</f>
        <v>0</v>
      </c>
      <c r="K5659" s="31">
        <f>'Raw data'!H5568</f>
        <v>0</v>
      </c>
      <c r="L5659" s="26">
        <f t="shared" si="180"/>
        <v>0</v>
      </c>
    </row>
    <row r="5660" spans="2:12">
      <c r="B5660" s="4" t="e">
        <f t="shared" si="179"/>
        <v>#N/A</v>
      </c>
      <c r="C5660" s="4">
        <f>'Raw data'!E5236</f>
        <v>0</v>
      </c>
      <c r="D5660" s="29" t="e">
        <f>VLOOKUP(C5660,'점포코드 '!A:B,2,0)</f>
        <v>#N/A</v>
      </c>
      <c r="E5660" s="30">
        <f>'Raw data'!P5236</f>
        <v>0</v>
      </c>
      <c r="F5660" s="29" t="e">
        <f>VLOOKUP(E5660,'점포코드 '!A:B,2,0)</f>
        <v>#N/A</v>
      </c>
      <c r="G5660" s="46">
        <f>'Raw data'!F5569</f>
        <v>0</v>
      </c>
      <c r="H5660" s="4">
        <f>'Raw data'!G5569</f>
        <v>0</v>
      </c>
      <c r="I5660" s="29" t="e">
        <f>VLOOKUP(G5660,제품명!$C$1:$E$114,2,0)</f>
        <v>#N/A</v>
      </c>
      <c r="J5660" s="29">
        <f>'Raw data'!K5569</f>
        <v>0</v>
      </c>
      <c r="K5660" s="31">
        <f>'Raw data'!H5569</f>
        <v>0</v>
      </c>
      <c r="L5660" s="26">
        <f t="shared" si="180"/>
        <v>0</v>
      </c>
    </row>
    <row r="5661" spans="2:12">
      <c r="B5661" s="4" t="e">
        <f t="shared" si="179"/>
        <v>#N/A</v>
      </c>
      <c r="C5661" s="4">
        <f>'Raw data'!E5237</f>
        <v>0</v>
      </c>
      <c r="D5661" s="29" t="e">
        <f>VLOOKUP(C5661,'점포코드 '!A:B,2,0)</f>
        <v>#N/A</v>
      </c>
      <c r="E5661" s="30">
        <f>'Raw data'!P5237</f>
        <v>0</v>
      </c>
      <c r="F5661" s="29" t="e">
        <f>VLOOKUP(E5661,'점포코드 '!A:B,2,0)</f>
        <v>#N/A</v>
      </c>
      <c r="G5661" s="46">
        <f>'Raw data'!F5570</f>
        <v>0</v>
      </c>
      <c r="H5661" s="4">
        <f>'Raw data'!G5570</f>
        <v>0</v>
      </c>
      <c r="I5661" s="29" t="e">
        <f>VLOOKUP(G5661,제품명!$C$1:$E$114,2,0)</f>
        <v>#N/A</v>
      </c>
      <c r="J5661" s="29">
        <f>'Raw data'!K5570</f>
        <v>0</v>
      </c>
      <c r="K5661" s="31">
        <f>'Raw data'!H5570</f>
        <v>0</v>
      </c>
      <c r="L5661" s="26">
        <f t="shared" si="180"/>
        <v>0</v>
      </c>
    </row>
    <row r="5662" spans="2:12">
      <c r="B5662" s="4" t="e">
        <f t="shared" si="179"/>
        <v>#N/A</v>
      </c>
      <c r="C5662" s="4">
        <f>'Raw data'!E5238</f>
        <v>0</v>
      </c>
      <c r="D5662" s="29" t="e">
        <f>VLOOKUP(C5662,'점포코드 '!A:B,2,0)</f>
        <v>#N/A</v>
      </c>
      <c r="E5662" s="30">
        <f>'Raw data'!P5238</f>
        <v>0</v>
      </c>
      <c r="F5662" s="29" t="e">
        <f>VLOOKUP(E5662,'점포코드 '!A:B,2,0)</f>
        <v>#N/A</v>
      </c>
      <c r="G5662" s="46">
        <f>'Raw data'!F5571</f>
        <v>0</v>
      </c>
      <c r="H5662" s="4">
        <f>'Raw data'!G5571</f>
        <v>0</v>
      </c>
      <c r="I5662" s="29" t="e">
        <f>VLOOKUP(G5662,제품명!$C$1:$E$114,2,0)</f>
        <v>#N/A</v>
      </c>
      <c r="J5662" s="29">
        <f>'Raw data'!K5571</f>
        <v>0</v>
      </c>
      <c r="K5662" s="31">
        <f>'Raw data'!H5571</f>
        <v>0</v>
      </c>
      <c r="L5662" s="26">
        <f t="shared" si="180"/>
        <v>0</v>
      </c>
    </row>
    <row r="5663" spans="2:12">
      <c r="B5663" s="4" t="e">
        <f t="shared" si="179"/>
        <v>#N/A</v>
      </c>
      <c r="C5663" s="4">
        <f>'Raw data'!E5239</f>
        <v>0</v>
      </c>
      <c r="D5663" s="29" t="e">
        <f>VLOOKUP(C5663,'점포코드 '!A:B,2,0)</f>
        <v>#N/A</v>
      </c>
      <c r="E5663" s="30">
        <f>'Raw data'!P5239</f>
        <v>0</v>
      </c>
      <c r="F5663" s="29" t="e">
        <f>VLOOKUP(E5663,'점포코드 '!A:B,2,0)</f>
        <v>#N/A</v>
      </c>
      <c r="G5663" s="46">
        <f>'Raw data'!F5572</f>
        <v>0</v>
      </c>
      <c r="H5663" s="4">
        <f>'Raw data'!G5572</f>
        <v>0</v>
      </c>
      <c r="I5663" s="29" t="e">
        <f>VLOOKUP(G5663,제품명!$C$1:$E$114,2,0)</f>
        <v>#N/A</v>
      </c>
      <c r="J5663" s="29">
        <f>'Raw data'!K5572</f>
        <v>0</v>
      </c>
      <c r="K5663" s="31">
        <f>'Raw data'!H5572</f>
        <v>0</v>
      </c>
      <c r="L5663" s="26">
        <f t="shared" si="180"/>
        <v>0</v>
      </c>
    </row>
    <row r="5664" spans="2:12">
      <c r="B5664" s="4" t="e">
        <f t="shared" si="179"/>
        <v>#N/A</v>
      </c>
      <c r="C5664" s="4">
        <f>'Raw data'!E5240</f>
        <v>0</v>
      </c>
      <c r="D5664" s="29" t="e">
        <f>VLOOKUP(C5664,'점포코드 '!A:B,2,0)</f>
        <v>#N/A</v>
      </c>
      <c r="E5664" s="30">
        <f>'Raw data'!P5240</f>
        <v>0</v>
      </c>
      <c r="F5664" s="29" t="e">
        <f>VLOOKUP(E5664,'점포코드 '!A:B,2,0)</f>
        <v>#N/A</v>
      </c>
      <c r="G5664" s="46">
        <f>'Raw data'!F5573</f>
        <v>0</v>
      </c>
      <c r="H5664" s="4">
        <f>'Raw data'!G5573</f>
        <v>0</v>
      </c>
      <c r="I5664" s="29" t="e">
        <f>VLOOKUP(G5664,제품명!$C$1:$E$114,2,0)</f>
        <v>#N/A</v>
      </c>
      <c r="J5664" s="29">
        <f>'Raw data'!K5573</f>
        <v>0</v>
      </c>
      <c r="K5664" s="31">
        <f>'Raw data'!H5573</f>
        <v>0</v>
      </c>
      <c r="L5664" s="26">
        <f t="shared" si="180"/>
        <v>0</v>
      </c>
    </row>
    <row r="5665" spans="2:12">
      <c r="B5665" s="4" t="e">
        <f t="shared" si="179"/>
        <v>#N/A</v>
      </c>
      <c r="C5665" s="4">
        <f>'Raw data'!E5241</f>
        <v>0</v>
      </c>
      <c r="D5665" s="29" t="e">
        <f>VLOOKUP(C5665,'점포코드 '!A:B,2,0)</f>
        <v>#N/A</v>
      </c>
      <c r="E5665" s="30">
        <f>'Raw data'!P5241</f>
        <v>0</v>
      </c>
      <c r="F5665" s="29" t="e">
        <f>VLOOKUP(E5665,'점포코드 '!A:B,2,0)</f>
        <v>#N/A</v>
      </c>
      <c r="G5665" s="46">
        <f>'Raw data'!F5574</f>
        <v>0</v>
      </c>
      <c r="H5665" s="4">
        <f>'Raw data'!G5574</f>
        <v>0</v>
      </c>
      <c r="I5665" s="29" t="e">
        <f>VLOOKUP(G5665,제품명!$C$1:$E$114,2,0)</f>
        <v>#N/A</v>
      </c>
      <c r="J5665" s="29">
        <f>'Raw data'!K5574</f>
        <v>0</v>
      </c>
      <c r="K5665" s="31">
        <f>'Raw data'!H5574</f>
        <v>0</v>
      </c>
      <c r="L5665" s="26">
        <f t="shared" si="180"/>
        <v>0</v>
      </c>
    </row>
    <row r="5666" spans="2:12">
      <c r="B5666" s="4" t="e">
        <f t="shared" si="179"/>
        <v>#N/A</v>
      </c>
      <c r="C5666" s="4">
        <f>'Raw data'!E5242</f>
        <v>0</v>
      </c>
      <c r="D5666" s="29" t="e">
        <f>VLOOKUP(C5666,'점포코드 '!A:B,2,0)</f>
        <v>#N/A</v>
      </c>
      <c r="E5666" s="30">
        <f>'Raw data'!P5242</f>
        <v>0</v>
      </c>
      <c r="F5666" s="29" t="e">
        <f>VLOOKUP(E5666,'점포코드 '!A:B,2,0)</f>
        <v>#N/A</v>
      </c>
      <c r="G5666" s="46">
        <f>'Raw data'!F5575</f>
        <v>0</v>
      </c>
      <c r="H5666" s="4">
        <f>'Raw data'!G5575</f>
        <v>0</v>
      </c>
      <c r="I5666" s="29" t="e">
        <f>VLOOKUP(G5666,제품명!$C$1:$E$114,2,0)</f>
        <v>#N/A</v>
      </c>
      <c r="J5666" s="29">
        <f>'Raw data'!K5575</f>
        <v>0</v>
      </c>
      <c r="K5666" s="31">
        <f>'Raw data'!H5575</f>
        <v>0</v>
      </c>
      <c r="L5666" s="26">
        <f t="shared" si="180"/>
        <v>0</v>
      </c>
    </row>
    <row r="5667" spans="2:12">
      <c r="B5667" s="4" t="e">
        <f t="shared" si="179"/>
        <v>#N/A</v>
      </c>
      <c r="C5667" s="4">
        <f>'Raw data'!E5243</f>
        <v>0</v>
      </c>
      <c r="D5667" s="29" t="e">
        <f>VLOOKUP(C5667,'점포코드 '!A:B,2,0)</f>
        <v>#N/A</v>
      </c>
      <c r="E5667" s="30">
        <f>'Raw data'!P5243</f>
        <v>0</v>
      </c>
      <c r="F5667" s="29" t="e">
        <f>VLOOKUP(E5667,'점포코드 '!A:B,2,0)</f>
        <v>#N/A</v>
      </c>
      <c r="G5667" s="46">
        <f>'Raw data'!F5576</f>
        <v>0</v>
      </c>
      <c r="H5667" s="4">
        <f>'Raw data'!G5576</f>
        <v>0</v>
      </c>
      <c r="I5667" s="29" t="e">
        <f>VLOOKUP(G5667,제품명!$C$1:$E$114,2,0)</f>
        <v>#N/A</v>
      </c>
      <c r="J5667" s="29">
        <f>'Raw data'!K5576</f>
        <v>0</v>
      </c>
      <c r="K5667" s="31">
        <f>'Raw data'!H5576</f>
        <v>0</v>
      </c>
      <c r="L5667" s="26">
        <f t="shared" si="180"/>
        <v>0</v>
      </c>
    </row>
    <row r="5668" spans="2:12">
      <c r="B5668" s="4" t="e">
        <f t="shared" si="179"/>
        <v>#N/A</v>
      </c>
      <c r="C5668" s="4">
        <f>'Raw data'!E5244</f>
        <v>0</v>
      </c>
      <c r="D5668" s="29" t="e">
        <f>VLOOKUP(C5668,'점포코드 '!A:B,2,0)</f>
        <v>#N/A</v>
      </c>
      <c r="E5668" s="30">
        <f>'Raw data'!P5244</f>
        <v>0</v>
      </c>
      <c r="F5668" s="29" t="e">
        <f>VLOOKUP(E5668,'점포코드 '!A:B,2,0)</f>
        <v>#N/A</v>
      </c>
      <c r="G5668" s="46">
        <f>'Raw data'!F5577</f>
        <v>0</v>
      </c>
      <c r="H5668" s="4">
        <f>'Raw data'!G5577</f>
        <v>0</v>
      </c>
      <c r="I5668" s="29" t="e">
        <f>VLOOKUP(G5668,제품명!$C$1:$E$114,2,0)</f>
        <v>#N/A</v>
      </c>
      <c r="J5668" s="29">
        <f>'Raw data'!K5577</f>
        <v>0</v>
      </c>
      <c r="K5668" s="31">
        <f>'Raw data'!H5577</f>
        <v>0</v>
      </c>
      <c r="L5668" s="26">
        <f t="shared" si="180"/>
        <v>0</v>
      </c>
    </row>
    <row r="5669" spans="2:12">
      <c r="B5669" s="4" t="e">
        <f t="shared" si="179"/>
        <v>#N/A</v>
      </c>
      <c r="C5669" s="4">
        <f>'Raw data'!E5245</f>
        <v>0</v>
      </c>
      <c r="D5669" s="29" t="e">
        <f>VLOOKUP(C5669,'점포코드 '!A:B,2,0)</f>
        <v>#N/A</v>
      </c>
      <c r="E5669" s="30">
        <f>'Raw data'!P5245</f>
        <v>0</v>
      </c>
      <c r="F5669" s="29" t="e">
        <f>VLOOKUP(E5669,'점포코드 '!A:B,2,0)</f>
        <v>#N/A</v>
      </c>
      <c r="G5669" s="46">
        <f>'Raw data'!F5578</f>
        <v>0</v>
      </c>
      <c r="H5669" s="4">
        <f>'Raw data'!G5578</f>
        <v>0</v>
      </c>
      <c r="I5669" s="29" t="e">
        <f>VLOOKUP(G5669,제품명!$C$1:$E$114,2,0)</f>
        <v>#N/A</v>
      </c>
      <c r="J5669" s="29">
        <f>'Raw data'!K5578</f>
        <v>0</v>
      </c>
      <c r="K5669" s="31">
        <f>'Raw data'!H5578</f>
        <v>0</v>
      </c>
      <c r="L5669" s="26">
        <f t="shared" si="180"/>
        <v>0</v>
      </c>
    </row>
    <row r="5670" spans="2:12">
      <c r="B5670" s="4" t="e">
        <f t="shared" si="179"/>
        <v>#N/A</v>
      </c>
      <c r="C5670" s="4">
        <f>'Raw data'!E5246</f>
        <v>0</v>
      </c>
      <c r="D5670" s="29" t="e">
        <f>VLOOKUP(C5670,'점포코드 '!A:B,2,0)</f>
        <v>#N/A</v>
      </c>
      <c r="E5670" s="30">
        <f>'Raw data'!P5246</f>
        <v>0</v>
      </c>
      <c r="F5670" s="29" t="e">
        <f>VLOOKUP(E5670,'점포코드 '!A:B,2,0)</f>
        <v>#N/A</v>
      </c>
      <c r="G5670" s="46">
        <f>'Raw data'!F5579</f>
        <v>0</v>
      </c>
      <c r="H5670" s="4">
        <f>'Raw data'!G5579</f>
        <v>0</v>
      </c>
      <c r="I5670" s="29" t="e">
        <f>VLOOKUP(G5670,제품명!$C$1:$E$114,2,0)</f>
        <v>#N/A</v>
      </c>
      <c r="J5670" s="29">
        <f>'Raw data'!K5579</f>
        <v>0</v>
      </c>
      <c r="K5670" s="31">
        <f>'Raw data'!H5579</f>
        <v>0</v>
      </c>
      <c r="L5670" s="26">
        <f t="shared" si="180"/>
        <v>0</v>
      </c>
    </row>
    <row r="5671" spans="2:12">
      <c r="B5671" s="4" t="e">
        <f t="shared" si="179"/>
        <v>#N/A</v>
      </c>
      <c r="C5671" s="4">
        <f>'Raw data'!E5247</f>
        <v>0</v>
      </c>
      <c r="D5671" s="29" t="e">
        <f>VLOOKUP(C5671,'점포코드 '!A:B,2,0)</f>
        <v>#N/A</v>
      </c>
      <c r="E5671" s="30">
        <f>'Raw data'!P5247</f>
        <v>0</v>
      </c>
      <c r="F5671" s="29" t="e">
        <f>VLOOKUP(E5671,'점포코드 '!A:B,2,0)</f>
        <v>#N/A</v>
      </c>
      <c r="G5671" s="46">
        <f>'Raw data'!F5580</f>
        <v>0</v>
      </c>
      <c r="H5671" s="4">
        <f>'Raw data'!G5580</f>
        <v>0</v>
      </c>
      <c r="I5671" s="29" t="e">
        <f>VLOOKUP(G5671,제품명!$C$1:$E$114,2,0)</f>
        <v>#N/A</v>
      </c>
      <c r="J5671" s="29">
        <f>'Raw data'!K5580</f>
        <v>0</v>
      </c>
      <c r="K5671" s="31">
        <f>'Raw data'!H5580</f>
        <v>0</v>
      </c>
      <c r="L5671" s="26">
        <f t="shared" si="180"/>
        <v>0</v>
      </c>
    </row>
    <row r="5672" spans="2:12">
      <c r="B5672" s="4" t="e">
        <f t="shared" si="179"/>
        <v>#N/A</v>
      </c>
      <c r="C5672" s="4">
        <f>'Raw data'!E5248</f>
        <v>0</v>
      </c>
      <c r="D5672" s="29" t="e">
        <f>VLOOKUP(C5672,'점포코드 '!A:B,2,0)</f>
        <v>#N/A</v>
      </c>
      <c r="E5672" s="30">
        <f>'Raw data'!P5248</f>
        <v>0</v>
      </c>
      <c r="F5672" s="29" t="e">
        <f>VLOOKUP(E5672,'점포코드 '!A:B,2,0)</f>
        <v>#N/A</v>
      </c>
      <c r="G5672" s="46">
        <f>'Raw data'!F5581</f>
        <v>0</v>
      </c>
      <c r="H5672" s="4">
        <f>'Raw data'!G5581</f>
        <v>0</v>
      </c>
      <c r="I5672" s="29" t="e">
        <f>VLOOKUP(G5672,제품명!$C$1:$E$114,2,0)</f>
        <v>#N/A</v>
      </c>
      <c r="J5672" s="29">
        <f>'Raw data'!K5581</f>
        <v>0</v>
      </c>
      <c r="K5672" s="31">
        <f>'Raw data'!H5581</f>
        <v>0</v>
      </c>
      <c r="L5672" s="26">
        <f t="shared" si="180"/>
        <v>0</v>
      </c>
    </row>
    <row r="5673" spans="2:12">
      <c r="B5673" s="4" t="e">
        <f t="shared" si="179"/>
        <v>#N/A</v>
      </c>
      <c r="C5673" s="4">
        <f>'Raw data'!E5249</f>
        <v>0</v>
      </c>
      <c r="D5673" s="29" t="e">
        <f>VLOOKUP(C5673,'점포코드 '!A:B,2,0)</f>
        <v>#N/A</v>
      </c>
      <c r="E5673" s="30">
        <f>'Raw data'!P5249</f>
        <v>0</v>
      </c>
      <c r="F5673" s="29" t="e">
        <f>VLOOKUP(E5673,'점포코드 '!A:B,2,0)</f>
        <v>#N/A</v>
      </c>
      <c r="G5673" s="46">
        <f>'Raw data'!F5582</f>
        <v>0</v>
      </c>
      <c r="H5673" s="4">
        <f>'Raw data'!G5582</f>
        <v>0</v>
      </c>
      <c r="I5673" s="29" t="e">
        <f>VLOOKUP(G5673,제품명!$C$1:$E$114,2,0)</f>
        <v>#N/A</v>
      </c>
      <c r="J5673" s="29">
        <f>'Raw data'!K5582</f>
        <v>0</v>
      </c>
      <c r="K5673" s="31">
        <f>'Raw data'!H5582</f>
        <v>0</v>
      </c>
      <c r="L5673" s="26">
        <f t="shared" si="180"/>
        <v>0</v>
      </c>
    </row>
    <row r="5674" spans="2:12">
      <c r="B5674" s="4" t="e">
        <f t="shared" si="179"/>
        <v>#N/A</v>
      </c>
      <c r="C5674" s="4">
        <f>'Raw data'!E5250</f>
        <v>0</v>
      </c>
      <c r="D5674" s="29" t="e">
        <f>VLOOKUP(C5674,'점포코드 '!A:B,2,0)</f>
        <v>#N/A</v>
      </c>
      <c r="E5674" s="30">
        <f>'Raw data'!P5250</f>
        <v>0</v>
      </c>
      <c r="F5674" s="29" t="e">
        <f>VLOOKUP(E5674,'점포코드 '!A:B,2,0)</f>
        <v>#N/A</v>
      </c>
      <c r="G5674" s="46">
        <f>'Raw data'!F5583</f>
        <v>0</v>
      </c>
      <c r="H5674" s="4">
        <f>'Raw data'!G5583</f>
        <v>0</v>
      </c>
      <c r="I5674" s="29" t="e">
        <f>VLOOKUP(G5674,제품명!$C$1:$E$114,2,0)</f>
        <v>#N/A</v>
      </c>
      <c r="J5674" s="29">
        <f>'Raw data'!K5583</f>
        <v>0</v>
      </c>
      <c r="K5674" s="31">
        <f>'Raw data'!H5583</f>
        <v>0</v>
      </c>
      <c r="L5674" s="26">
        <f t="shared" si="180"/>
        <v>0</v>
      </c>
    </row>
    <row r="5675" spans="2:12">
      <c r="B5675" s="4" t="e">
        <f t="shared" si="179"/>
        <v>#N/A</v>
      </c>
      <c r="C5675" s="4">
        <f>'Raw data'!E5251</f>
        <v>0</v>
      </c>
      <c r="D5675" s="29" t="e">
        <f>VLOOKUP(C5675,'점포코드 '!A:B,2,0)</f>
        <v>#N/A</v>
      </c>
      <c r="E5675" s="30">
        <f>'Raw data'!P5251</f>
        <v>0</v>
      </c>
      <c r="F5675" s="29" t="e">
        <f>VLOOKUP(E5675,'점포코드 '!A:B,2,0)</f>
        <v>#N/A</v>
      </c>
      <c r="G5675" s="46">
        <f>'Raw data'!F5584</f>
        <v>0</v>
      </c>
      <c r="H5675" s="4">
        <f>'Raw data'!G5584</f>
        <v>0</v>
      </c>
      <c r="I5675" s="29" t="e">
        <f>VLOOKUP(G5675,제품명!$C$1:$E$114,2,0)</f>
        <v>#N/A</v>
      </c>
      <c r="J5675" s="29">
        <f>'Raw data'!K5584</f>
        <v>0</v>
      </c>
      <c r="K5675" s="31">
        <f>'Raw data'!H5584</f>
        <v>0</v>
      </c>
      <c r="L5675" s="26">
        <f t="shared" si="180"/>
        <v>0</v>
      </c>
    </row>
    <row r="5676" spans="2:12">
      <c r="B5676" s="4" t="e">
        <f t="shared" si="179"/>
        <v>#N/A</v>
      </c>
      <c r="C5676" s="4">
        <f>'Raw data'!E5252</f>
        <v>0</v>
      </c>
      <c r="D5676" s="29" t="e">
        <f>VLOOKUP(C5676,'점포코드 '!A:B,2,0)</f>
        <v>#N/A</v>
      </c>
      <c r="E5676" s="30">
        <f>'Raw data'!P5252</f>
        <v>0</v>
      </c>
      <c r="F5676" s="29" t="e">
        <f>VLOOKUP(E5676,'점포코드 '!A:B,2,0)</f>
        <v>#N/A</v>
      </c>
      <c r="G5676" s="46">
        <f>'Raw data'!F5585</f>
        <v>0</v>
      </c>
      <c r="H5676" s="4">
        <f>'Raw data'!G5585</f>
        <v>0</v>
      </c>
      <c r="I5676" s="29" t="e">
        <f>VLOOKUP(G5676,제품명!$C$1:$E$114,2,0)</f>
        <v>#N/A</v>
      </c>
      <c r="J5676" s="29">
        <f>'Raw data'!K5585</f>
        <v>0</v>
      </c>
      <c r="K5676" s="31">
        <f>'Raw data'!H5585</f>
        <v>0</v>
      </c>
      <c r="L5676" s="26">
        <f t="shared" si="180"/>
        <v>0</v>
      </c>
    </row>
    <row r="5677" spans="2:12">
      <c r="B5677" s="4" t="e">
        <f t="shared" si="179"/>
        <v>#N/A</v>
      </c>
      <c r="C5677" s="4">
        <f>'Raw data'!E5253</f>
        <v>0</v>
      </c>
      <c r="D5677" s="29" t="e">
        <f>VLOOKUP(C5677,'점포코드 '!A:B,2,0)</f>
        <v>#N/A</v>
      </c>
      <c r="E5677" s="30">
        <f>'Raw data'!P5253</f>
        <v>0</v>
      </c>
      <c r="F5677" s="29" t="e">
        <f>VLOOKUP(E5677,'점포코드 '!A:B,2,0)</f>
        <v>#N/A</v>
      </c>
      <c r="G5677" s="46">
        <f>'Raw data'!F5586</f>
        <v>0</v>
      </c>
      <c r="H5677" s="4">
        <f>'Raw data'!G5586</f>
        <v>0</v>
      </c>
      <c r="I5677" s="29" t="e">
        <f>VLOOKUP(G5677,제품명!$C$1:$E$114,2,0)</f>
        <v>#N/A</v>
      </c>
      <c r="J5677" s="29">
        <f>'Raw data'!K5586</f>
        <v>0</v>
      </c>
      <c r="K5677" s="31">
        <f>'Raw data'!H5586</f>
        <v>0</v>
      </c>
      <c r="L5677" s="26">
        <f t="shared" si="180"/>
        <v>0</v>
      </c>
    </row>
    <row r="5678" spans="2:12">
      <c r="B5678" s="4" t="e">
        <f t="shared" si="179"/>
        <v>#N/A</v>
      </c>
      <c r="C5678" s="4">
        <f>'Raw data'!E5254</f>
        <v>0</v>
      </c>
      <c r="D5678" s="29" t="e">
        <f>VLOOKUP(C5678,'점포코드 '!A:B,2,0)</f>
        <v>#N/A</v>
      </c>
      <c r="E5678" s="30">
        <f>'Raw data'!P5254</f>
        <v>0</v>
      </c>
      <c r="F5678" s="29" t="e">
        <f>VLOOKUP(E5678,'점포코드 '!A:B,2,0)</f>
        <v>#N/A</v>
      </c>
      <c r="G5678" s="46">
        <f>'Raw data'!F5587</f>
        <v>0</v>
      </c>
      <c r="H5678" s="4">
        <f>'Raw data'!G5587</f>
        <v>0</v>
      </c>
      <c r="I5678" s="29" t="e">
        <f>VLOOKUP(G5678,제품명!$C$1:$E$114,2,0)</f>
        <v>#N/A</v>
      </c>
      <c r="J5678" s="29">
        <f>'Raw data'!K5587</f>
        <v>0</v>
      </c>
      <c r="K5678" s="31">
        <f>'Raw data'!H5587</f>
        <v>0</v>
      </c>
      <c r="L5678" s="26">
        <f t="shared" si="180"/>
        <v>0</v>
      </c>
    </row>
    <row r="5679" spans="2:12">
      <c r="B5679" s="4" t="e">
        <f t="shared" si="179"/>
        <v>#N/A</v>
      </c>
      <c r="C5679" s="4">
        <f>'Raw data'!E5255</f>
        <v>0</v>
      </c>
      <c r="D5679" s="29" t="e">
        <f>VLOOKUP(C5679,'점포코드 '!A:B,2,0)</f>
        <v>#N/A</v>
      </c>
      <c r="E5679" s="30">
        <f>'Raw data'!P5255</f>
        <v>0</v>
      </c>
      <c r="F5679" s="29" t="e">
        <f>VLOOKUP(E5679,'점포코드 '!A:B,2,0)</f>
        <v>#N/A</v>
      </c>
      <c r="G5679" s="46">
        <f>'Raw data'!F5588</f>
        <v>0</v>
      </c>
      <c r="H5679" s="4">
        <f>'Raw data'!G5588</f>
        <v>0</v>
      </c>
      <c r="I5679" s="29" t="e">
        <f>VLOOKUP(G5679,제품명!$C$1:$E$114,2,0)</f>
        <v>#N/A</v>
      </c>
      <c r="J5679" s="29">
        <f>'Raw data'!K5588</f>
        <v>0</v>
      </c>
      <c r="K5679" s="31">
        <f>'Raw data'!H5588</f>
        <v>0</v>
      </c>
      <c r="L5679" s="26">
        <f t="shared" si="180"/>
        <v>0</v>
      </c>
    </row>
    <row r="5680" spans="2:12">
      <c r="B5680" s="4" t="e">
        <f t="shared" si="179"/>
        <v>#N/A</v>
      </c>
      <c r="C5680" s="4">
        <f>'Raw data'!E5256</f>
        <v>0</v>
      </c>
      <c r="D5680" s="29" t="e">
        <f>VLOOKUP(C5680,'점포코드 '!A:B,2,0)</f>
        <v>#N/A</v>
      </c>
      <c r="E5680" s="30">
        <f>'Raw data'!P5256</f>
        <v>0</v>
      </c>
      <c r="F5680" s="29" t="e">
        <f>VLOOKUP(E5680,'점포코드 '!A:B,2,0)</f>
        <v>#N/A</v>
      </c>
      <c r="G5680" s="46">
        <f>'Raw data'!F5589</f>
        <v>0</v>
      </c>
      <c r="H5680" s="4">
        <f>'Raw data'!G5589</f>
        <v>0</v>
      </c>
      <c r="I5680" s="29" t="e">
        <f>VLOOKUP(G5680,제품명!$C$1:$E$114,2,0)</f>
        <v>#N/A</v>
      </c>
      <c r="J5680" s="29">
        <f>'Raw data'!K5589</f>
        <v>0</v>
      </c>
      <c r="K5680" s="31">
        <f>'Raw data'!H5589</f>
        <v>0</v>
      </c>
      <c r="L5680" s="26">
        <f t="shared" si="180"/>
        <v>0</v>
      </c>
    </row>
    <row r="5681" spans="2:12">
      <c r="B5681" s="4" t="e">
        <f t="shared" si="179"/>
        <v>#N/A</v>
      </c>
      <c r="C5681" s="4">
        <f>'Raw data'!E5257</f>
        <v>0</v>
      </c>
      <c r="D5681" s="29" t="e">
        <f>VLOOKUP(C5681,'점포코드 '!A:B,2,0)</f>
        <v>#N/A</v>
      </c>
      <c r="E5681" s="30">
        <f>'Raw data'!P5257</f>
        <v>0</v>
      </c>
      <c r="F5681" s="29" t="e">
        <f>VLOOKUP(E5681,'점포코드 '!A:B,2,0)</f>
        <v>#N/A</v>
      </c>
      <c r="G5681" s="46">
        <f>'Raw data'!F5590</f>
        <v>0</v>
      </c>
      <c r="H5681" s="4">
        <f>'Raw data'!G5590</f>
        <v>0</v>
      </c>
      <c r="I5681" s="29" t="e">
        <f>VLOOKUP(G5681,제품명!$C$1:$E$114,2,0)</f>
        <v>#N/A</v>
      </c>
      <c r="J5681" s="29">
        <f>'Raw data'!K5590</f>
        <v>0</v>
      </c>
      <c r="K5681" s="31">
        <f>'Raw data'!H5590</f>
        <v>0</v>
      </c>
      <c r="L5681" s="26">
        <f t="shared" si="180"/>
        <v>0</v>
      </c>
    </row>
    <row r="5682" spans="2:12">
      <c r="B5682" s="4" t="e">
        <f t="shared" si="179"/>
        <v>#N/A</v>
      </c>
      <c r="C5682" s="4">
        <f>'Raw data'!E5258</f>
        <v>0</v>
      </c>
      <c r="D5682" s="29" t="e">
        <f>VLOOKUP(C5682,'점포코드 '!A:B,2,0)</f>
        <v>#N/A</v>
      </c>
      <c r="E5682" s="30">
        <f>'Raw data'!P5258</f>
        <v>0</v>
      </c>
      <c r="F5682" s="29" t="e">
        <f>VLOOKUP(E5682,'점포코드 '!A:B,2,0)</f>
        <v>#N/A</v>
      </c>
      <c r="G5682" s="46">
        <f>'Raw data'!F5591</f>
        <v>0</v>
      </c>
      <c r="H5682" s="4">
        <f>'Raw data'!G5591</f>
        <v>0</v>
      </c>
      <c r="I5682" s="29" t="e">
        <f>VLOOKUP(G5682,제품명!$C$1:$E$114,2,0)</f>
        <v>#N/A</v>
      </c>
      <c r="J5682" s="29">
        <f>'Raw data'!K5591</f>
        <v>0</v>
      </c>
      <c r="K5682" s="31">
        <f>'Raw data'!H5591</f>
        <v>0</v>
      </c>
      <c r="L5682" s="26">
        <f t="shared" si="180"/>
        <v>0</v>
      </c>
    </row>
    <row r="5683" spans="2:12">
      <c r="B5683" s="4" t="e">
        <f t="shared" si="179"/>
        <v>#N/A</v>
      </c>
      <c r="C5683" s="4">
        <f>'Raw data'!E5259</f>
        <v>0</v>
      </c>
      <c r="D5683" s="29" t="e">
        <f>VLOOKUP(C5683,'점포코드 '!A:B,2,0)</f>
        <v>#N/A</v>
      </c>
      <c r="E5683" s="30">
        <f>'Raw data'!P5259</f>
        <v>0</v>
      </c>
      <c r="F5683" s="29" t="e">
        <f>VLOOKUP(E5683,'점포코드 '!A:B,2,0)</f>
        <v>#N/A</v>
      </c>
      <c r="G5683" s="46">
        <f>'Raw data'!F5592</f>
        <v>0</v>
      </c>
      <c r="H5683" s="4">
        <f>'Raw data'!G5592</f>
        <v>0</v>
      </c>
      <c r="I5683" s="29" t="e">
        <f>VLOOKUP(G5683,제품명!$C$1:$E$114,2,0)</f>
        <v>#N/A</v>
      </c>
      <c r="J5683" s="29">
        <f>'Raw data'!K5592</f>
        <v>0</v>
      </c>
      <c r="K5683" s="31">
        <f>'Raw data'!H5592</f>
        <v>0</v>
      </c>
      <c r="L5683" s="26">
        <f t="shared" si="180"/>
        <v>0</v>
      </c>
    </row>
    <row r="5684" spans="2:12">
      <c r="B5684" s="4" t="e">
        <f t="shared" si="179"/>
        <v>#N/A</v>
      </c>
      <c r="C5684" s="4">
        <f>'Raw data'!E5260</f>
        <v>0</v>
      </c>
      <c r="D5684" s="29" t="e">
        <f>VLOOKUP(C5684,'점포코드 '!A:B,2,0)</f>
        <v>#N/A</v>
      </c>
      <c r="E5684" s="30">
        <f>'Raw data'!P5260</f>
        <v>0</v>
      </c>
      <c r="F5684" s="29" t="e">
        <f>VLOOKUP(E5684,'점포코드 '!A:B,2,0)</f>
        <v>#N/A</v>
      </c>
      <c r="G5684" s="46">
        <f>'Raw data'!F5593</f>
        <v>0</v>
      </c>
      <c r="H5684" s="4">
        <f>'Raw data'!G5593</f>
        <v>0</v>
      </c>
      <c r="I5684" s="29" t="e">
        <f>VLOOKUP(G5684,제품명!$C$1:$E$114,2,0)</f>
        <v>#N/A</v>
      </c>
      <c r="J5684" s="29">
        <f>'Raw data'!K5593</f>
        <v>0</v>
      </c>
      <c r="K5684" s="31">
        <f>'Raw data'!H5593</f>
        <v>0</v>
      </c>
      <c r="L5684" s="26">
        <f t="shared" si="180"/>
        <v>0</v>
      </c>
    </row>
    <row r="5685" spans="2:12">
      <c r="B5685" s="4" t="e">
        <f t="shared" si="179"/>
        <v>#N/A</v>
      </c>
      <c r="C5685" s="4">
        <f>'Raw data'!E5261</f>
        <v>0</v>
      </c>
      <c r="D5685" s="29" t="e">
        <f>VLOOKUP(C5685,'점포코드 '!A:B,2,0)</f>
        <v>#N/A</v>
      </c>
      <c r="E5685" s="30">
        <f>'Raw data'!P5261</f>
        <v>0</v>
      </c>
      <c r="F5685" s="29" t="e">
        <f>VLOOKUP(E5685,'점포코드 '!A:B,2,0)</f>
        <v>#N/A</v>
      </c>
      <c r="G5685" s="46">
        <f>'Raw data'!F5594</f>
        <v>0</v>
      </c>
      <c r="H5685" s="4">
        <f>'Raw data'!G5594</f>
        <v>0</v>
      </c>
      <c r="I5685" s="29" t="e">
        <f>VLOOKUP(G5685,제품명!$C$1:$E$114,2,0)</f>
        <v>#N/A</v>
      </c>
      <c r="J5685" s="29">
        <f>'Raw data'!K5594</f>
        <v>0</v>
      </c>
      <c r="K5685" s="31">
        <f>'Raw data'!H5594</f>
        <v>0</v>
      </c>
      <c r="L5685" s="26">
        <f t="shared" si="180"/>
        <v>0</v>
      </c>
    </row>
    <row r="5686" spans="2:12">
      <c r="B5686" s="4" t="e">
        <f t="shared" si="179"/>
        <v>#N/A</v>
      </c>
      <c r="C5686" s="4">
        <f>'Raw data'!E5262</f>
        <v>0</v>
      </c>
      <c r="D5686" s="29" t="e">
        <f>VLOOKUP(C5686,'점포코드 '!A:B,2,0)</f>
        <v>#N/A</v>
      </c>
      <c r="E5686" s="30">
        <f>'Raw data'!P5262</f>
        <v>0</v>
      </c>
      <c r="F5686" s="29" t="e">
        <f>VLOOKUP(E5686,'점포코드 '!A:B,2,0)</f>
        <v>#N/A</v>
      </c>
      <c r="G5686" s="46">
        <f>'Raw data'!F5595</f>
        <v>0</v>
      </c>
      <c r="H5686" s="4">
        <f>'Raw data'!G5595</f>
        <v>0</v>
      </c>
      <c r="I5686" s="29" t="e">
        <f>VLOOKUP(G5686,제품명!$C$1:$E$114,2,0)</f>
        <v>#N/A</v>
      </c>
      <c r="J5686" s="29">
        <f>'Raw data'!K5595</f>
        <v>0</v>
      </c>
      <c r="K5686" s="31">
        <f>'Raw data'!H5595</f>
        <v>0</v>
      </c>
      <c r="L5686" s="26">
        <f t="shared" si="180"/>
        <v>0</v>
      </c>
    </row>
    <row r="5687" spans="2:12">
      <c r="B5687" s="4" t="e">
        <f t="shared" si="179"/>
        <v>#N/A</v>
      </c>
      <c r="C5687" s="4">
        <f>'Raw data'!E5263</f>
        <v>0</v>
      </c>
      <c r="D5687" s="29" t="e">
        <f>VLOOKUP(C5687,'점포코드 '!A:B,2,0)</f>
        <v>#N/A</v>
      </c>
      <c r="E5687" s="30">
        <f>'Raw data'!P5263</f>
        <v>0</v>
      </c>
      <c r="F5687" s="29" t="e">
        <f>VLOOKUP(E5687,'점포코드 '!A:B,2,0)</f>
        <v>#N/A</v>
      </c>
      <c r="G5687" s="46">
        <f>'Raw data'!F5596</f>
        <v>0</v>
      </c>
      <c r="H5687" s="4">
        <f>'Raw data'!G5596</f>
        <v>0</v>
      </c>
      <c r="I5687" s="29" t="e">
        <f>VLOOKUP(G5687,제품명!$C$1:$E$114,2,0)</f>
        <v>#N/A</v>
      </c>
      <c r="J5687" s="29">
        <f>'Raw data'!K5596</f>
        <v>0</v>
      </c>
      <c r="K5687" s="31">
        <f>'Raw data'!H5596</f>
        <v>0</v>
      </c>
      <c r="L5687" s="26">
        <f t="shared" si="180"/>
        <v>0</v>
      </c>
    </row>
    <row r="5688" spans="2:12">
      <c r="B5688" s="4" t="e">
        <f t="shared" si="179"/>
        <v>#N/A</v>
      </c>
      <c r="C5688" s="4">
        <f>'Raw data'!E5264</f>
        <v>0</v>
      </c>
      <c r="D5688" s="29" t="e">
        <f>VLOOKUP(C5688,'점포코드 '!A:B,2,0)</f>
        <v>#N/A</v>
      </c>
      <c r="E5688" s="30">
        <f>'Raw data'!P5264</f>
        <v>0</v>
      </c>
      <c r="F5688" s="29" t="e">
        <f>VLOOKUP(E5688,'점포코드 '!A:B,2,0)</f>
        <v>#N/A</v>
      </c>
      <c r="G5688" s="46">
        <f>'Raw data'!F5597</f>
        <v>0</v>
      </c>
      <c r="H5688" s="4">
        <f>'Raw data'!G5597</f>
        <v>0</v>
      </c>
      <c r="I5688" s="29" t="e">
        <f>VLOOKUP(G5688,제품명!$C$1:$E$114,2,0)</f>
        <v>#N/A</v>
      </c>
      <c r="J5688" s="29">
        <f>'Raw data'!K5597</f>
        <v>0</v>
      </c>
      <c r="K5688" s="31">
        <f>'Raw data'!H5597</f>
        <v>0</v>
      </c>
      <c r="L5688" s="26">
        <f t="shared" si="180"/>
        <v>0</v>
      </c>
    </row>
    <row r="5689" spans="2:12">
      <c r="B5689" s="4" t="e">
        <f t="shared" si="179"/>
        <v>#N/A</v>
      </c>
      <c r="C5689" s="4">
        <f>'Raw data'!E5265</f>
        <v>0</v>
      </c>
      <c r="D5689" s="29" t="e">
        <f>VLOOKUP(C5689,'점포코드 '!A:B,2,0)</f>
        <v>#N/A</v>
      </c>
      <c r="E5689" s="30">
        <f>'Raw data'!P5265</f>
        <v>0</v>
      </c>
      <c r="F5689" s="29" t="e">
        <f>VLOOKUP(E5689,'점포코드 '!A:B,2,0)</f>
        <v>#N/A</v>
      </c>
      <c r="G5689" s="46">
        <f>'Raw data'!F5598</f>
        <v>0</v>
      </c>
      <c r="H5689" s="4">
        <f>'Raw data'!G5598</f>
        <v>0</v>
      </c>
      <c r="I5689" s="29" t="e">
        <f>VLOOKUP(G5689,제품명!$C$1:$E$114,2,0)</f>
        <v>#N/A</v>
      </c>
      <c r="J5689" s="29">
        <f>'Raw data'!K5598</f>
        <v>0</v>
      </c>
      <c r="K5689" s="31">
        <f>'Raw data'!H5598</f>
        <v>0</v>
      </c>
      <c r="L5689" s="26">
        <f t="shared" si="180"/>
        <v>0</v>
      </c>
    </row>
    <row r="5690" spans="2:12">
      <c r="B5690" s="4" t="e">
        <f t="shared" si="179"/>
        <v>#N/A</v>
      </c>
      <c r="C5690" s="4">
        <f>'Raw data'!E5266</f>
        <v>0</v>
      </c>
      <c r="D5690" s="29" t="e">
        <f>VLOOKUP(C5690,'점포코드 '!A:B,2,0)</f>
        <v>#N/A</v>
      </c>
      <c r="E5690" s="30">
        <f>'Raw data'!P5266</f>
        <v>0</v>
      </c>
      <c r="F5690" s="29" t="e">
        <f>VLOOKUP(E5690,'점포코드 '!A:B,2,0)</f>
        <v>#N/A</v>
      </c>
      <c r="G5690" s="46">
        <f>'Raw data'!F5599</f>
        <v>0</v>
      </c>
      <c r="H5690" s="4">
        <f>'Raw data'!G5599</f>
        <v>0</v>
      </c>
      <c r="I5690" s="29" t="e">
        <f>VLOOKUP(G5690,제품명!$C$1:$E$114,2,0)</f>
        <v>#N/A</v>
      </c>
      <c r="J5690" s="29">
        <f>'Raw data'!K5599</f>
        <v>0</v>
      </c>
      <c r="K5690" s="31">
        <f>'Raw data'!H5599</f>
        <v>0</v>
      </c>
      <c r="L5690" s="26">
        <f t="shared" si="180"/>
        <v>0</v>
      </c>
    </row>
    <row r="5691" spans="2:12">
      <c r="B5691" s="4" t="e">
        <f t="shared" si="179"/>
        <v>#N/A</v>
      </c>
      <c r="C5691" s="4">
        <f>'Raw data'!E5267</f>
        <v>0</v>
      </c>
      <c r="D5691" s="29" t="e">
        <f>VLOOKUP(C5691,'점포코드 '!A:B,2,0)</f>
        <v>#N/A</v>
      </c>
      <c r="E5691" s="30">
        <f>'Raw data'!P5267</f>
        <v>0</v>
      </c>
      <c r="F5691" s="29" t="e">
        <f>VLOOKUP(E5691,'점포코드 '!A:B,2,0)</f>
        <v>#N/A</v>
      </c>
      <c r="G5691" s="46">
        <f>'Raw data'!F5600</f>
        <v>0</v>
      </c>
      <c r="H5691" s="4">
        <f>'Raw data'!G5600</f>
        <v>0</v>
      </c>
      <c r="I5691" s="29" t="e">
        <f>VLOOKUP(G5691,제품명!$C$1:$E$114,2,0)</f>
        <v>#N/A</v>
      </c>
      <c r="J5691" s="29">
        <f>'Raw data'!K5600</f>
        <v>0</v>
      </c>
      <c r="K5691" s="31">
        <f>'Raw data'!H5600</f>
        <v>0</v>
      </c>
      <c r="L5691" s="26">
        <f t="shared" si="180"/>
        <v>0</v>
      </c>
    </row>
    <row r="5692" spans="2:12">
      <c r="B5692" s="4" t="e">
        <f t="shared" si="179"/>
        <v>#N/A</v>
      </c>
      <c r="C5692" s="4">
        <f>'Raw data'!E5268</f>
        <v>0</v>
      </c>
      <c r="D5692" s="29" t="e">
        <f>VLOOKUP(C5692,'점포코드 '!A:B,2,0)</f>
        <v>#N/A</v>
      </c>
      <c r="E5692" s="30">
        <f>'Raw data'!P5268</f>
        <v>0</v>
      </c>
      <c r="F5692" s="29" t="e">
        <f>VLOOKUP(E5692,'점포코드 '!A:B,2,0)</f>
        <v>#N/A</v>
      </c>
      <c r="G5692" s="46">
        <f>'Raw data'!F5601</f>
        <v>0</v>
      </c>
      <c r="H5692" s="4">
        <f>'Raw data'!G5601</f>
        <v>0</v>
      </c>
      <c r="I5692" s="29" t="e">
        <f>VLOOKUP(G5692,제품명!$C$1:$E$114,2,0)</f>
        <v>#N/A</v>
      </c>
      <c r="J5692" s="29">
        <f>'Raw data'!K5601</f>
        <v>0</v>
      </c>
      <c r="K5692" s="31">
        <f>'Raw data'!H5601</f>
        <v>0</v>
      </c>
      <c r="L5692" s="26">
        <f t="shared" si="180"/>
        <v>0</v>
      </c>
    </row>
    <row r="5693" spans="2:12">
      <c r="B5693" s="4" t="e">
        <f t="shared" si="179"/>
        <v>#N/A</v>
      </c>
      <c r="C5693" s="4">
        <f>'Raw data'!E5269</f>
        <v>0</v>
      </c>
      <c r="D5693" s="29" t="e">
        <f>VLOOKUP(C5693,'점포코드 '!A:B,2,0)</f>
        <v>#N/A</v>
      </c>
      <c r="E5693" s="30">
        <f>'Raw data'!P5269</f>
        <v>0</v>
      </c>
      <c r="F5693" s="29" t="e">
        <f>VLOOKUP(E5693,'점포코드 '!A:B,2,0)</f>
        <v>#N/A</v>
      </c>
      <c r="G5693" s="46">
        <f>'Raw data'!F5602</f>
        <v>0</v>
      </c>
      <c r="H5693" s="4">
        <f>'Raw data'!G5602</f>
        <v>0</v>
      </c>
      <c r="I5693" s="29" t="e">
        <f>VLOOKUP(G5693,제품명!$C$1:$E$114,2,0)</f>
        <v>#N/A</v>
      </c>
      <c r="J5693" s="29">
        <f>'Raw data'!K5602</f>
        <v>0</v>
      </c>
      <c r="K5693" s="31">
        <f>'Raw data'!H5602</f>
        <v>0</v>
      </c>
      <c r="L5693" s="26">
        <f t="shared" si="180"/>
        <v>0</v>
      </c>
    </row>
    <row r="5694" spans="2:12">
      <c r="B5694" s="4" t="e">
        <f t="shared" si="179"/>
        <v>#N/A</v>
      </c>
      <c r="C5694" s="4">
        <f>'Raw data'!E5270</f>
        <v>0</v>
      </c>
      <c r="D5694" s="29" t="e">
        <f>VLOOKUP(C5694,'점포코드 '!A:B,2,0)</f>
        <v>#N/A</v>
      </c>
      <c r="E5694" s="30">
        <f>'Raw data'!P5270</f>
        <v>0</v>
      </c>
      <c r="F5694" s="29" t="e">
        <f>VLOOKUP(E5694,'점포코드 '!A:B,2,0)</f>
        <v>#N/A</v>
      </c>
      <c r="G5694" s="46">
        <f>'Raw data'!F5603</f>
        <v>0</v>
      </c>
      <c r="H5694" s="4">
        <f>'Raw data'!G5603</f>
        <v>0</v>
      </c>
      <c r="I5694" s="29" t="e">
        <f>VLOOKUP(G5694,제품명!$C$1:$E$114,2,0)</f>
        <v>#N/A</v>
      </c>
      <c r="J5694" s="29">
        <f>'Raw data'!K5603</f>
        <v>0</v>
      </c>
      <c r="K5694" s="31">
        <f>'Raw data'!H5603</f>
        <v>0</v>
      </c>
      <c r="L5694" s="26">
        <f t="shared" si="180"/>
        <v>0</v>
      </c>
    </row>
    <row r="5695" spans="2:12">
      <c r="B5695" s="4" t="e">
        <f t="shared" si="179"/>
        <v>#N/A</v>
      </c>
      <c r="C5695" s="4">
        <f>'Raw data'!E5271</f>
        <v>0</v>
      </c>
      <c r="D5695" s="29" t="e">
        <f>VLOOKUP(C5695,'점포코드 '!A:B,2,0)</f>
        <v>#N/A</v>
      </c>
      <c r="E5695" s="30">
        <f>'Raw data'!P5271</f>
        <v>0</v>
      </c>
      <c r="F5695" s="29" t="e">
        <f>VLOOKUP(E5695,'점포코드 '!A:B,2,0)</f>
        <v>#N/A</v>
      </c>
      <c r="G5695" s="46">
        <f>'Raw data'!F5604</f>
        <v>0</v>
      </c>
      <c r="H5695" s="4">
        <f>'Raw data'!G5604</f>
        <v>0</v>
      </c>
      <c r="I5695" s="29" t="e">
        <f>VLOOKUP(G5695,제품명!$C$1:$E$114,2,0)</f>
        <v>#N/A</v>
      </c>
      <c r="J5695" s="29">
        <f>'Raw data'!K5604</f>
        <v>0</v>
      </c>
      <c r="K5695" s="31">
        <f>'Raw data'!H5604</f>
        <v>0</v>
      </c>
      <c r="L5695" s="26">
        <f t="shared" si="180"/>
        <v>0</v>
      </c>
    </row>
    <row r="5696" spans="2:12">
      <c r="B5696" s="4" t="e">
        <f t="shared" si="179"/>
        <v>#N/A</v>
      </c>
      <c r="C5696" s="4">
        <f>'Raw data'!E5272</f>
        <v>0</v>
      </c>
      <c r="D5696" s="29" t="e">
        <f>VLOOKUP(C5696,'점포코드 '!A:B,2,0)</f>
        <v>#N/A</v>
      </c>
      <c r="E5696" s="30">
        <f>'Raw data'!P5272</f>
        <v>0</v>
      </c>
      <c r="F5696" s="29" t="e">
        <f>VLOOKUP(E5696,'점포코드 '!A:B,2,0)</f>
        <v>#N/A</v>
      </c>
      <c r="G5696" s="46">
        <f>'Raw data'!F5605</f>
        <v>0</v>
      </c>
      <c r="H5696" s="4">
        <f>'Raw data'!G5605</f>
        <v>0</v>
      </c>
      <c r="I5696" s="29" t="e">
        <f>VLOOKUP(G5696,제품명!$C$1:$E$114,2,0)</f>
        <v>#N/A</v>
      </c>
      <c r="J5696" s="29">
        <f>'Raw data'!K5605</f>
        <v>0</v>
      </c>
      <c r="K5696" s="31">
        <f>'Raw data'!H5605</f>
        <v>0</v>
      </c>
      <c r="L5696" s="26">
        <f t="shared" si="180"/>
        <v>0</v>
      </c>
    </row>
    <row r="5697" spans="2:12">
      <c r="B5697" s="4" t="e">
        <f t="shared" si="179"/>
        <v>#N/A</v>
      </c>
      <c r="C5697" s="4">
        <f>'Raw data'!E5273</f>
        <v>0</v>
      </c>
      <c r="D5697" s="29" t="e">
        <f>VLOOKUP(C5697,'점포코드 '!A:B,2,0)</f>
        <v>#N/A</v>
      </c>
      <c r="E5697" s="30">
        <f>'Raw data'!P5273</f>
        <v>0</v>
      </c>
      <c r="F5697" s="29" t="e">
        <f>VLOOKUP(E5697,'점포코드 '!A:B,2,0)</f>
        <v>#N/A</v>
      </c>
      <c r="G5697" s="46">
        <f>'Raw data'!F5606</f>
        <v>0</v>
      </c>
      <c r="H5697" s="4">
        <f>'Raw data'!G5606</f>
        <v>0</v>
      </c>
      <c r="I5697" s="29" t="e">
        <f>VLOOKUP(G5697,제품명!$C$1:$E$114,2,0)</f>
        <v>#N/A</v>
      </c>
      <c r="J5697" s="29">
        <f>'Raw data'!K5606</f>
        <v>0</v>
      </c>
      <c r="K5697" s="31">
        <f>'Raw data'!H5606</f>
        <v>0</v>
      </c>
      <c r="L5697" s="26">
        <f t="shared" si="180"/>
        <v>0</v>
      </c>
    </row>
    <row r="5698" spans="2:12">
      <c r="B5698" s="4" t="e">
        <f t="shared" ref="B5698:B5761" si="181">F5698&amp;I5698</f>
        <v>#N/A</v>
      </c>
      <c r="C5698" s="4">
        <f>'Raw data'!E5274</f>
        <v>0</v>
      </c>
      <c r="D5698" s="29" t="e">
        <f>VLOOKUP(C5698,'점포코드 '!A:B,2,0)</f>
        <v>#N/A</v>
      </c>
      <c r="E5698" s="30">
        <f>'Raw data'!P5274</f>
        <v>0</v>
      </c>
      <c r="F5698" s="29" t="e">
        <f>VLOOKUP(E5698,'점포코드 '!A:B,2,0)</f>
        <v>#N/A</v>
      </c>
      <c r="G5698" s="46">
        <f>'Raw data'!F5607</f>
        <v>0</v>
      </c>
      <c r="H5698" s="4">
        <f>'Raw data'!G5607</f>
        <v>0</v>
      </c>
      <c r="I5698" s="29" t="e">
        <f>VLOOKUP(G5698,제품명!$C$1:$E$114,2,0)</f>
        <v>#N/A</v>
      </c>
      <c r="J5698" s="29">
        <f>'Raw data'!K5607</f>
        <v>0</v>
      </c>
      <c r="K5698" s="31">
        <f>'Raw data'!H5607</f>
        <v>0</v>
      </c>
      <c r="L5698" s="26">
        <f t="shared" si="180"/>
        <v>0</v>
      </c>
    </row>
    <row r="5699" spans="2:12">
      <c r="B5699" s="4" t="e">
        <f t="shared" si="181"/>
        <v>#N/A</v>
      </c>
      <c r="C5699" s="4">
        <f>'Raw data'!E5275</f>
        <v>0</v>
      </c>
      <c r="D5699" s="29" t="e">
        <f>VLOOKUP(C5699,'점포코드 '!A:B,2,0)</f>
        <v>#N/A</v>
      </c>
      <c r="E5699" s="30">
        <f>'Raw data'!P5275</f>
        <v>0</v>
      </c>
      <c r="F5699" s="29" t="e">
        <f>VLOOKUP(E5699,'점포코드 '!A:B,2,0)</f>
        <v>#N/A</v>
      </c>
      <c r="G5699" s="46">
        <f>'Raw data'!F5608</f>
        <v>0</v>
      </c>
      <c r="H5699" s="4">
        <f>'Raw data'!G5608</f>
        <v>0</v>
      </c>
      <c r="I5699" s="29" t="e">
        <f>VLOOKUP(G5699,제품명!$C$1:$E$114,2,0)</f>
        <v>#N/A</v>
      </c>
      <c r="J5699" s="29">
        <f>'Raw data'!K5608</f>
        <v>0</v>
      </c>
      <c r="K5699" s="31">
        <f>'Raw data'!H5608</f>
        <v>0</v>
      </c>
      <c r="L5699" s="26">
        <f t="shared" ref="L5699:L5762" si="182">J5699*K5699</f>
        <v>0</v>
      </c>
    </row>
    <row r="5700" spans="2:12">
      <c r="B5700" s="4" t="e">
        <f t="shared" si="181"/>
        <v>#N/A</v>
      </c>
      <c r="C5700" s="4">
        <f>'Raw data'!E5276</f>
        <v>0</v>
      </c>
      <c r="D5700" s="29" t="e">
        <f>VLOOKUP(C5700,'점포코드 '!A:B,2,0)</f>
        <v>#N/A</v>
      </c>
      <c r="E5700" s="30">
        <f>'Raw data'!P5276</f>
        <v>0</v>
      </c>
      <c r="F5700" s="29" t="e">
        <f>VLOOKUP(E5700,'점포코드 '!A:B,2,0)</f>
        <v>#N/A</v>
      </c>
      <c r="G5700" s="46">
        <f>'Raw data'!F5609</f>
        <v>0</v>
      </c>
      <c r="H5700" s="4">
        <f>'Raw data'!G5609</f>
        <v>0</v>
      </c>
      <c r="I5700" s="29" t="e">
        <f>VLOOKUP(G5700,제품명!$C$1:$E$114,2,0)</f>
        <v>#N/A</v>
      </c>
      <c r="J5700" s="29">
        <f>'Raw data'!K5609</f>
        <v>0</v>
      </c>
      <c r="K5700" s="31">
        <f>'Raw data'!H5609</f>
        <v>0</v>
      </c>
      <c r="L5700" s="26">
        <f t="shared" si="182"/>
        <v>0</v>
      </c>
    </row>
    <row r="5701" spans="2:12">
      <c r="B5701" s="4" t="e">
        <f t="shared" si="181"/>
        <v>#N/A</v>
      </c>
      <c r="C5701" s="4">
        <f>'Raw data'!E5277</f>
        <v>0</v>
      </c>
      <c r="D5701" s="29" t="e">
        <f>VLOOKUP(C5701,'점포코드 '!A:B,2,0)</f>
        <v>#N/A</v>
      </c>
      <c r="E5701" s="30">
        <f>'Raw data'!P5277</f>
        <v>0</v>
      </c>
      <c r="F5701" s="29" t="e">
        <f>VLOOKUP(E5701,'점포코드 '!A:B,2,0)</f>
        <v>#N/A</v>
      </c>
      <c r="G5701" s="46">
        <f>'Raw data'!F5610</f>
        <v>0</v>
      </c>
      <c r="H5701" s="4">
        <f>'Raw data'!G5610</f>
        <v>0</v>
      </c>
      <c r="I5701" s="29" t="e">
        <f>VLOOKUP(G5701,제품명!$C$1:$E$114,2,0)</f>
        <v>#N/A</v>
      </c>
      <c r="J5701" s="29">
        <f>'Raw data'!K5610</f>
        <v>0</v>
      </c>
      <c r="K5701" s="31">
        <f>'Raw data'!H5610</f>
        <v>0</v>
      </c>
      <c r="L5701" s="26">
        <f t="shared" si="182"/>
        <v>0</v>
      </c>
    </row>
    <row r="5702" spans="2:12">
      <c r="B5702" s="4" t="e">
        <f t="shared" si="181"/>
        <v>#N/A</v>
      </c>
      <c r="C5702" s="4">
        <f>'Raw data'!E5278</f>
        <v>0</v>
      </c>
      <c r="D5702" s="29" t="e">
        <f>VLOOKUP(C5702,'점포코드 '!A:B,2,0)</f>
        <v>#N/A</v>
      </c>
      <c r="E5702" s="30">
        <f>'Raw data'!P5278</f>
        <v>0</v>
      </c>
      <c r="F5702" s="29" t="e">
        <f>VLOOKUP(E5702,'점포코드 '!A:B,2,0)</f>
        <v>#N/A</v>
      </c>
      <c r="G5702" s="46">
        <f>'Raw data'!F5611</f>
        <v>0</v>
      </c>
      <c r="H5702" s="4">
        <f>'Raw data'!G5611</f>
        <v>0</v>
      </c>
      <c r="I5702" s="29" t="e">
        <f>VLOOKUP(G5702,제품명!$C$1:$E$114,2,0)</f>
        <v>#N/A</v>
      </c>
      <c r="J5702" s="29">
        <f>'Raw data'!K5611</f>
        <v>0</v>
      </c>
      <c r="K5702" s="31">
        <f>'Raw data'!H5611</f>
        <v>0</v>
      </c>
      <c r="L5702" s="26">
        <f t="shared" si="182"/>
        <v>0</v>
      </c>
    </row>
    <row r="5703" spans="2:12">
      <c r="B5703" s="4" t="e">
        <f t="shared" si="181"/>
        <v>#N/A</v>
      </c>
      <c r="C5703" s="4">
        <f>'Raw data'!E5279</f>
        <v>0</v>
      </c>
      <c r="D5703" s="29" t="e">
        <f>VLOOKUP(C5703,'점포코드 '!A:B,2,0)</f>
        <v>#N/A</v>
      </c>
      <c r="E5703" s="30">
        <f>'Raw data'!P5279</f>
        <v>0</v>
      </c>
      <c r="F5703" s="29" t="e">
        <f>VLOOKUP(E5703,'점포코드 '!A:B,2,0)</f>
        <v>#N/A</v>
      </c>
      <c r="G5703" s="46">
        <f>'Raw data'!F5612</f>
        <v>0</v>
      </c>
      <c r="H5703" s="4">
        <f>'Raw data'!G5612</f>
        <v>0</v>
      </c>
      <c r="I5703" s="29" t="e">
        <f>VLOOKUP(G5703,제품명!$C$1:$E$114,2,0)</f>
        <v>#N/A</v>
      </c>
      <c r="J5703" s="29">
        <f>'Raw data'!K5612</f>
        <v>0</v>
      </c>
      <c r="K5703" s="31">
        <f>'Raw data'!H5612</f>
        <v>0</v>
      </c>
      <c r="L5703" s="26">
        <f t="shared" si="182"/>
        <v>0</v>
      </c>
    </row>
    <row r="5704" spans="2:12">
      <c r="B5704" s="4" t="e">
        <f t="shared" si="181"/>
        <v>#N/A</v>
      </c>
      <c r="C5704" s="4">
        <f>'Raw data'!E5280</f>
        <v>0</v>
      </c>
      <c r="D5704" s="29" t="e">
        <f>VLOOKUP(C5704,'점포코드 '!A:B,2,0)</f>
        <v>#N/A</v>
      </c>
      <c r="E5704" s="30">
        <f>'Raw data'!P5280</f>
        <v>0</v>
      </c>
      <c r="F5704" s="29" t="e">
        <f>VLOOKUP(E5704,'점포코드 '!A:B,2,0)</f>
        <v>#N/A</v>
      </c>
      <c r="G5704" s="46">
        <f>'Raw data'!F5613</f>
        <v>0</v>
      </c>
      <c r="H5704" s="4">
        <f>'Raw data'!G5613</f>
        <v>0</v>
      </c>
      <c r="I5704" s="29" t="e">
        <f>VLOOKUP(G5704,제품명!$C$1:$E$114,2,0)</f>
        <v>#N/A</v>
      </c>
      <c r="J5704" s="29">
        <f>'Raw data'!K5613</f>
        <v>0</v>
      </c>
      <c r="K5704" s="31">
        <f>'Raw data'!H5613</f>
        <v>0</v>
      </c>
      <c r="L5704" s="26">
        <f t="shared" si="182"/>
        <v>0</v>
      </c>
    </row>
    <row r="5705" spans="2:12">
      <c r="B5705" s="4" t="e">
        <f t="shared" si="181"/>
        <v>#N/A</v>
      </c>
      <c r="C5705" s="4">
        <f>'Raw data'!E5281</f>
        <v>0</v>
      </c>
      <c r="D5705" s="29" t="e">
        <f>VLOOKUP(C5705,'점포코드 '!A:B,2,0)</f>
        <v>#N/A</v>
      </c>
      <c r="E5705" s="30">
        <f>'Raw data'!P5281</f>
        <v>0</v>
      </c>
      <c r="F5705" s="29" t="e">
        <f>VLOOKUP(E5705,'점포코드 '!A:B,2,0)</f>
        <v>#N/A</v>
      </c>
      <c r="G5705" s="46">
        <f>'Raw data'!F5614</f>
        <v>0</v>
      </c>
      <c r="H5705" s="4">
        <f>'Raw data'!G5614</f>
        <v>0</v>
      </c>
      <c r="I5705" s="29" t="e">
        <f>VLOOKUP(G5705,제품명!$C$1:$E$114,2,0)</f>
        <v>#N/A</v>
      </c>
      <c r="J5705" s="29">
        <f>'Raw data'!K5614</f>
        <v>0</v>
      </c>
      <c r="K5705" s="31">
        <f>'Raw data'!H5614</f>
        <v>0</v>
      </c>
      <c r="L5705" s="26">
        <f t="shared" si="182"/>
        <v>0</v>
      </c>
    </row>
    <row r="5706" spans="2:12">
      <c r="B5706" s="4" t="e">
        <f t="shared" si="181"/>
        <v>#N/A</v>
      </c>
      <c r="C5706" s="4">
        <f>'Raw data'!E5282</f>
        <v>0</v>
      </c>
      <c r="D5706" s="29" t="e">
        <f>VLOOKUP(C5706,'점포코드 '!A:B,2,0)</f>
        <v>#N/A</v>
      </c>
      <c r="E5706" s="30">
        <f>'Raw data'!P5282</f>
        <v>0</v>
      </c>
      <c r="F5706" s="29" t="e">
        <f>VLOOKUP(E5706,'점포코드 '!A:B,2,0)</f>
        <v>#N/A</v>
      </c>
      <c r="G5706" s="46">
        <f>'Raw data'!F5615</f>
        <v>0</v>
      </c>
      <c r="H5706" s="4">
        <f>'Raw data'!G5615</f>
        <v>0</v>
      </c>
      <c r="I5706" s="29" t="e">
        <f>VLOOKUP(G5706,제품명!$C$1:$E$114,2,0)</f>
        <v>#N/A</v>
      </c>
      <c r="J5706" s="29">
        <f>'Raw data'!K5615</f>
        <v>0</v>
      </c>
      <c r="K5706" s="31">
        <f>'Raw data'!H5615</f>
        <v>0</v>
      </c>
      <c r="L5706" s="26">
        <f t="shared" si="182"/>
        <v>0</v>
      </c>
    </row>
    <row r="5707" spans="2:12">
      <c r="B5707" s="4" t="e">
        <f t="shared" si="181"/>
        <v>#N/A</v>
      </c>
      <c r="C5707" s="4">
        <f>'Raw data'!E5283</f>
        <v>0</v>
      </c>
      <c r="D5707" s="29" t="e">
        <f>VLOOKUP(C5707,'점포코드 '!A:B,2,0)</f>
        <v>#N/A</v>
      </c>
      <c r="E5707" s="30">
        <f>'Raw data'!P5283</f>
        <v>0</v>
      </c>
      <c r="F5707" s="29" t="e">
        <f>VLOOKUP(E5707,'점포코드 '!A:B,2,0)</f>
        <v>#N/A</v>
      </c>
      <c r="G5707" s="46">
        <f>'Raw data'!F5616</f>
        <v>0</v>
      </c>
      <c r="H5707" s="4">
        <f>'Raw data'!G5616</f>
        <v>0</v>
      </c>
      <c r="I5707" s="29" t="e">
        <f>VLOOKUP(G5707,제품명!$C$1:$E$114,2,0)</f>
        <v>#N/A</v>
      </c>
      <c r="J5707" s="29">
        <f>'Raw data'!K5616</f>
        <v>0</v>
      </c>
      <c r="K5707" s="31">
        <f>'Raw data'!H5616</f>
        <v>0</v>
      </c>
      <c r="L5707" s="26">
        <f t="shared" si="182"/>
        <v>0</v>
      </c>
    </row>
    <row r="5708" spans="2:12">
      <c r="B5708" s="4" t="e">
        <f t="shared" si="181"/>
        <v>#N/A</v>
      </c>
      <c r="C5708" s="4">
        <f>'Raw data'!E5284</f>
        <v>0</v>
      </c>
      <c r="D5708" s="29" t="e">
        <f>VLOOKUP(C5708,'점포코드 '!A:B,2,0)</f>
        <v>#N/A</v>
      </c>
      <c r="E5708" s="30">
        <f>'Raw data'!P5284</f>
        <v>0</v>
      </c>
      <c r="F5708" s="29" t="e">
        <f>VLOOKUP(E5708,'점포코드 '!A:B,2,0)</f>
        <v>#N/A</v>
      </c>
      <c r="G5708" s="46">
        <f>'Raw data'!F5617</f>
        <v>0</v>
      </c>
      <c r="H5708" s="4">
        <f>'Raw data'!G5617</f>
        <v>0</v>
      </c>
      <c r="I5708" s="29" t="e">
        <f>VLOOKUP(G5708,제품명!$C$1:$E$114,2,0)</f>
        <v>#N/A</v>
      </c>
      <c r="J5708" s="29">
        <f>'Raw data'!K5617</f>
        <v>0</v>
      </c>
      <c r="K5708" s="31">
        <f>'Raw data'!H5617</f>
        <v>0</v>
      </c>
      <c r="L5708" s="26">
        <f t="shared" si="182"/>
        <v>0</v>
      </c>
    </row>
    <row r="5709" spans="2:12">
      <c r="B5709" s="4" t="e">
        <f t="shared" si="181"/>
        <v>#N/A</v>
      </c>
      <c r="C5709" s="4">
        <f>'Raw data'!E5285</f>
        <v>0</v>
      </c>
      <c r="D5709" s="29" t="e">
        <f>VLOOKUP(C5709,'점포코드 '!A:B,2,0)</f>
        <v>#N/A</v>
      </c>
      <c r="E5709" s="30">
        <f>'Raw data'!P5285</f>
        <v>0</v>
      </c>
      <c r="F5709" s="29" t="e">
        <f>VLOOKUP(E5709,'점포코드 '!A:B,2,0)</f>
        <v>#N/A</v>
      </c>
      <c r="G5709" s="46">
        <f>'Raw data'!F5618</f>
        <v>0</v>
      </c>
      <c r="H5709" s="4">
        <f>'Raw data'!G5618</f>
        <v>0</v>
      </c>
      <c r="I5709" s="29" t="e">
        <f>VLOOKUP(G5709,제품명!$C$1:$E$114,2,0)</f>
        <v>#N/A</v>
      </c>
      <c r="J5709" s="29">
        <f>'Raw data'!K5618</f>
        <v>0</v>
      </c>
      <c r="K5709" s="31">
        <f>'Raw data'!H5618</f>
        <v>0</v>
      </c>
      <c r="L5709" s="26">
        <f t="shared" si="182"/>
        <v>0</v>
      </c>
    </row>
    <row r="5710" spans="2:12">
      <c r="B5710" s="4" t="e">
        <f t="shared" si="181"/>
        <v>#N/A</v>
      </c>
      <c r="C5710" s="4">
        <f>'Raw data'!E5286</f>
        <v>0</v>
      </c>
      <c r="D5710" s="29" t="e">
        <f>VLOOKUP(C5710,'점포코드 '!A:B,2,0)</f>
        <v>#N/A</v>
      </c>
      <c r="E5710" s="30">
        <f>'Raw data'!P5286</f>
        <v>0</v>
      </c>
      <c r="F5710" s="29" t="e">
        <f>VLOOKUP(E5710,'점포코드 '!A:B,2,0)</f>
        <v>#N/A</v>
      </c>
      <c r="G5710" s="46">
        <f>'Raw data'!F5619</f>
        <v>0</v>
      </c>
      <c r="H5710" s="4">
        <f>'Raw data'!G5619</f>
        <v>0</v>
      </c>
      <c r="I5710" s="29" t="e">
        <f>VLOOKUP(G5710,제품명!$C$1:$E$114,2,0)</f>
        <v>#N/A</v>
      </c>
      <c r="J5710" s="29">
        <f>'Raw data'!K5619</f>
        <v>0</v>
      </c>
      <c r="K5710" s="31">
        <f>'Raw data'!H5619</f>
        <v>0</v>
      </c>
      <c r="L5710" s="26">
        <f t="shared" si="182"/>
        <v>0</v>
      </c>
    </row>
    <row r="5711" spans="2:12">
      <c r="B5711" s="4" t="e">
        <f t="shared" si="181"/>
        <v>#N/A</v>
      </c>
      <c r="C5711" s="4">
        <f>'Raw data'!E5287</f>
        <v>0</v>
      </c>
      <c r="D5711" s="29" t="e">
        <f>VLOOKUP(C5711,'점포코드 '!A:B,2,0)</f>
        <v>#N/A</v>
      </c>
      <c r="E5711" s="30">
        <f>'Raw data'!P5287</f>
        <v>0</v>
      </c>
      <c r="F5711" s="29" t="e">
        <f>VLOOKUP(E5711,'점포코드 '!A:B,2,0)</f>
        <v>#N/A</v>
      </c>
      <c r="G5711" s="46">
        <f>'Raw data'!F5620</f>
        <v>0</v>
      </c>
      <c r="H5711" s="4">
        <f>'Raw data'!G5620</f>
        <v>0</v>
      </c>
      <c r="I5711" s="29" t="e">
        <f>VLOOKUP(G5711,제품명!$C$1:$E$114,2,0)</f>
        <v>#N/A</v>
      </c>
      <c r="J5711" s="29">
        <f>'Raw data'!K5620</f>
        <v>0</v>
      </c>
      <c r="K5711" s="31">
        <f>'Raw data'!H5620</f>
        <v>0</v>
      </c>
      <c r="L5711" s="26">
        <f t="shared" si="182"/>
        <v>0</v>
      </c>
    </row>
    <row r="5712" spans="2:12">
      <c r="B5712" s="4" t="e">
        <f t="shared" si="181"/>
        <v>#N/A</v>
      </c>
      <c r="C5712" s="4">
        <f>'Raw data'!E5288</f>
        <v>0</v>
      </c>
      <c r="D5712" s="29" t="e">
        <f>VLOOKUP(C5712,'점포코드 '!A:B,2,0)</f>
        <v>#N/A</v>
      </c>
      <c r="E5712" s="30">
        <f>'Raw data'!P5288</f>
        <v>0</v>
      </c>
      <c r="F5712" s="29" t="e">
        <f>VLOOKUP(E5712,'점포코드 '!A:B,2,0)</f>
        <v>#N/A</v>
      </c>
      <c r="G5712" s="46">
        <f>'Raw data'!F5621</f>
        <v>0</v>
      </c>
      <c r="H5712" s="4">
        <f>'Raw data'!G5621</f>
        <v>0</v>
      </c>
      <c r="I5712" s="29" t="e">
        <f>VLOOKUP(G5712,제품명!$C$1:$E$114,2,0)</f>
        <v>#N/A</v>
      </c>
      <c r="J5712" s="29">
        <f>'Raw data'!K5621</f>
        <v>0</v>
      </c>
      <c r="K5712" s="31">
        <f>'Raw data'!H5621</f>
        <v>0</v>
      </c>
      <c r="L5712" s="26">
        <f t="shared" si="182"/>
        <v>0</v>
      </c>
    </row>
    <row r="5713" spans="2:12">
      <c r="B5713" s="4" t="e">
        <f t="shared" si="181"/>
        <v>#N/A</v>
      </c>
      <c r="C5713" s="4">
        <f>'Raw data'!E5289</f>
        <v>0</v>
      </c>
      <c r="D5713" s="29" t="e">
        <f>VLOOKUP(C5713,'점포코드 '!A:B,2,0)</f>
        <v>#N/A</v>
      </c>
      <c r="E5713" s="30">
        <f>'Raw data'!P5289</f>
        <v>0</v>
      </c>
      <c r="F5713" s="29" t="e">
        <f>VLOOKUP(E5713,'점포코드 '!A:B,2,0)</f>
        <v>#N/A</v>
      </c>
      <c r="G5713" s="46">
        <f>'Raw data'!F5622</f>
        <v>0</v>
      </c>
      <c r="H5713" s="4">
        <f>'Raw data'!G5622</f>
        <v>0</v>
      </c>
      <c r="I5713" s="29" t="e">
        <f>VLOOKUP(G5713,제품명!$C$1:$E$114,2,0)</f>
        <v>#N/A</v>
      </c>
      <c r="J5713" s="29">
        <f>'Raw data'!K5622</f>
        <v>0</v>
      </c>
      <c r="K5713" s="31">
        <f>'Raw data'!H5622</f>
        <v>0</v>
      </c>
      <c r="L5713" s="26">
        <f t="shared" si="182"/>
        <v>0</v>
      </c>
    </row>
    <row r="5714" spans="2:12">
      <c r="B5714" s="4" t="e">
        <f t="shared" si="181"/>
        <v>#N/A</v>
      </c>
      <c r="C5714" s="4">
        <f>'Raw data'!E5290</f>
        <v>0</v>
      </c>
      <c r="D5714" s="29" t="e">
        <f>VLOOKUP(C5714,'점포코드 '!A:B,2,0)</f>
        <v>#N/A</v>
      </c>
      <c r="E5714" s="30">
        <f>'Raw data'!P5290</f>
        <v>0</v>
      </c>
      <c r="F5714" s="29" t="e">
        <f>VLOOKUP(E5714,'점포코드 '!A:B,2,0)</f>
        <v>#N/A</v>
      </c>
      <c r="G5714" s="46">
        <f>'Raw data'!F5623</f>
        <v>0</v>
      </c>
      <c r="H5714" s="4">
        <f>'Raw data'!G5623</f>
        <v>0</v>
      </c>
      <c r="I5714" s="29" t="e">
        <f>VLOOKUP(G5714,제품명!$C$1:$E$114,2,0)</f>
        <v>#N/A</v>
      </c>
      <c r="J5714" s="29">
        <f>'Raw data'!K5623</f>
        <v>0</v>
      </c>
      <c r="K5714" s="31">
        <f>'Raw data'!H5623</f>
        <v>0</v>
      </c>
      <c r="L5714" s="26">
        <f t="shared" si="182"/>
        <v>0</v>
      </c>
    </row>
    <row r="5715" spans="2:12">
      <c r="B5715" s="4" t="e">
        <f t="shared" si="181"/>
        <v>#N/A</v>
      </c>
      <c r="C5715" s="4">
        <f>'Raw data'!E5291</f>
        <v>0</v>
      </c>
      <c r="D5715" s="29" t="e">
        <f>VLOOKUP(C5715,'점포코드 '!A:B,2,0)</f>
        <v>#N/A</v>
      </c>
      <c r="E5715" s="30">
        <f>'Raw data'!P5291</f>
        <v>0</v>
      </c>
      <c r="F5715" s="29" t="e">
        <f>VLOOKUP(E5715,'점포코드 '!A:B,2,0)</f>
        <v>#N/A</v>
      </c>
      <c r="G5715" s="46">
        <f>'Raw data'!F5624</f>
        <v>0</v>
      </c>
      <c r="H5715" s="4">
        <f>'Raw data'!G5624</f>
        <v>0</v>
      </c>
      <c r="I5715" s="29" t="e">
        <f>VLOOKUP(G5715,제품명!$C$1:$E$114,2,0)</f>
        <v>#N/A</v>
      </c>
      <c r="J5715" s="29">
        <f>'Raw data'!K5624</f>
        <v>0</v>
      </c>
      <c r="K5715" s="31">
        <f>'Raw data'!H5624</f>
        <v>0</v>
      </c>
      <c r="L5715" s="26">
        <f t="shared" si="182"/>
        <v>0</v>
      </c>
    </row>
    <row r="5716" spans="2:12">
      <c r="B5716" s="4" t="e">
        <f t="shared" si="181"/>
        <v>#N/A</v>
      </c>
      <c r="C5716" s="4">
        <f>'Raw data'!E5292</f>
        <v>0</v>
      </c>
      <c r="D5716" s="29" t="e">
        <f>VLOOKUP(C5716,'점포코드 '!A:B,2,0)</f>
        <v>#N/A</v>
      </c>
      <c r="E5716" s="30">
        <f>'Raw data'!P5292</f>
        <v>0</v>
      </c>
      <c r="F5716" s="29" t="e">
        <f>VLOOKUP(E5716,'점포코드 '!A:B,2,0)</f>
        <v>#N/A</v>
      </c>
      <c r="G5716" s="46">
        <f>'Raw data'!F5625</f>
        <v>0</v>
      </c>
      <c r="H5716" s="4">
        <f>'Raw data'!G5625</f>
        <v>0</v>
      </c>
      <c r="I5716" s="29" t="e">
        <f>VLOOKUP(G5716,제품명!$C$1:$E$114,2,0)</f>
        <v>#N/A</v>
      </c>
      <c r="J5716" s="29">
        <f>'Raw data'!K5625</f>
        <v>0</v>
      </c>
      <c r="K5716" s="31">
        <f>'Raw data'!H5625</f>
        <v>0</v>
      </c>
      <c r="L5716" s="26">
        <f t="shared" si="182"/>
        <v>0</v>
      </c>
    </row>
    <row r="5717" spans="2:12">
      <c r="B5717" s="4" t="e">
        <f t="shared" si="181"/>
        <v>#N/A</v>
      </c>
      <c r="C5717" s="4">
        <f>'Raw data'!E5293</f>
        <v>0</v>
      </c>
      <c r="D5717" s="29" t="e">
        <f>VLOOKUP(C5717,'점포코드 '!A:B,2,0)</f>
        <v>#N/A</v>
      </c>
      <c r="E5717" s="30">
        <f>'Raw data'!P5293</f>
        <v>0</v>
      </c>
      <c r="F5717" s="29" t="e">
        <f>VLOOKUP(E5717,'점포코드 '!A:B,2,0)</f>
        <v>#N/A</v>
      </c>
      <c r="G5717" s="46">
        <f>'Raw data'!F5626</f>
        <v>0</v>
      </c>
      <c r="H5717" s="4">
        <f>'Raw data'!G5626</f>
        <v>0</v>
      </c>
      <c r="I5717" s="29" t="e">
        <f>VLOOKUP(G5717,제품명!$C$1:$E$114,2,0)</f>
        <v>#N/A</v>
      </c>
      <c r="J5717" s="29">
        <f>'Raw data'!K5626</f>
        <v>0</v>
      </c>
      <c r="K5717" s="31">
        <f>'Raw data'!H5626</f>
        <v>0</v>
      </c>
      <c r="L5717" s="26">
        <f t="shared" si="182"/>
        <v>0</v>
      </c>
    </row>
    <row r="5718" spans="2:12">
      <c r="B5718" s="4" t="e">
        <f t="shared" si="181"/>
        <v>#N/A</v>
      </c>
      <c r="C5718" s="4">
        <f>'Raw data'!E5294</f>
        <v>0</v>
      </c>
      <c r="D5718" s="29" t="e">
        <f>VLOOKUP(C5718,'점포코드 '!A:B,2,0)</f>
        <v>#N/A</v>
      </c>
      <c r="E5718" s="30">
        <f>'Raw data'!P5294</f>
        <v>0</v>
      </c>
      <c r="F5718" s="29" t="e">
        <f>VLOOKUP(E5718,'점포코드 '!A:B,2,0)</f>
        <v>#N/A</v>
      </c>
      <c r="G5718" s="46">
        <f>'Raw data'!F5627</f>
        <v>0</v>
      </c>
      <c r="H5718" s="4">
        <f>'Raw data'!G5627</f>
        <v>0</v>
      </c>
      <c r="I5718" s="29" t="e">
        <f>VLOOKUP(G5718,제품명!$C$1:$E$114,2,0)</f>
        <v>#N/A</v>
      </c>
      <c r="J5718" s="29">
        <f>'Raw data'!K5627</f>
        <v>0</v>
      </c>
      <c r="K5718" s="31">
        <f>'Raw data'!H5627</f>
        <v>0</v>
      </c>
      <c r="L5718" s="26">
        <f t="shared" si="182"/>
        <v>0</v>
      </c>
    </row>
    <row r="5719" spans="2:12">
      <c r="B5719" s="4" t="e">
        <f t="shared" si="181"/>
        <v>#N/A</v>
      </c>
      <c r="C5719" s="4">
        <f>'Raw data'!E5295</f>
        <v>0</v>
      </c>
      <c r="D5719" s="29" t="e">
        <f>VLOOKUP(C5719,'점포코드 '!A:B,2,0)</f>
        <v>#N/A</v>
      </c>
      <c r="E5719" s="30">
        <f>'Raw data'!P5295</f>
        <v>0</v>
      </c>
      <c r="F5719" s="29" t="e">
        <f>VLOOKUP(E5719,'점포코드 '!A:B,2,0)</f>
        <v>#N/A</v>
      </c>
      <c r="G5719" s="46">
        <f>'Raw data'!F5628</f>
        <v>0</v>
      </c>
      <c r="H5719" s="4">
        <f>'Raw data'!G5628</f>
        <v>0</v>
      </c>
      <c r="I5719" s="29" t="e">
        <f>VLOOKUP(G5719,제품명!$C$1:$E$114,2,0)</f>
        <v>#N/A</v>
      </c>
      <c r="J5719" s="29">
        <f>'Raw data'!K5628</f>
        <v>0</v>
      </c>
      <c r="K5719" s="31">
        <f>'Raw data'!H5628</f>
        <v>0</v>
      </c>
      <c r="L5719" s="26">
        <f t="shared" si="182"/>
        <v>0</v>
      </c>
    </row>
    <row r="5720" spans="2:12">
      <c r="B5720" s="4" t="e">
        <f t="shared" si="181"/>
        <v>#N/A</v>
      </c>
      <c r="C5720" s="4">
        <f>'Raw data'!E5296</f>
        <v>0</v>
      </c>
      <c r="D5720" s="29" t="e">
        <f>VLOOKUP(C5720,'점포코드 '!A:B,2,0)</f>
        <v>#N/A</v>
      </c>
      <c r="E5720" s="30">
        <f>'Raw data'!P5296</f>
        <v>0</v>
      </c>
      <c r="F5720" s="29" t="e">
        <f>VLOOKUP(E5720,'점포코드 '!A:B,2,0)</f>
        <v>#N/A</v>
      </c>
      <c r="G5720" s="46">
        <f>'Raw data'!F5629</f>
        <v>0</v>
      </c>
      <c r="H5720" s="4">
        <f>'Raw data'!G5629</f>
        <v>0</v>
      </c>
      <c r="I5720" s="29" t="e">
        <f>VLOOKUP(G5720,제품명!$C$1:$E$114,2,0)</f>
        <v>#N/A</v>
      </c>
      <c r="J5720" s="29">
        <f>'Raw data'!K5629</f>
        <v>0</v>
      </c>
      <c r="K5720" s="31">
        <f>'Raw data'!H5629</f>
        <v>0</v>
      </c>
      <c r="L5720" s="26">
        <f t="shared" si="182"/>
        <v>0</v>
      </c>
    </row>
    <row r="5721" spans="2:12">
      <c r="B5721" s="4" t="e">
        <f t="shared" si="181"/>
        <v>#N/A</v>
      </c>
      <c r="C5721" s="4">
        <f>'Raw data'!E5297</f>
        <v>0</v>
      </c>
      <c r="D5721" s="29" t="e">
        <f>VLOOKUP(C5721,'점포코드 '!A:B,2,0)</f>
        <v>#N/A</v>
      </c>
      <c r="E5721" s="30">
        <f>'Raw data'!P5297</f>
        <v>0</v>
      </c>
      <c r="F5721" s="29" t="e">
        <f>VLOOKUP(E5721,'점포코드 '!A:B,2,0)</f>
        <v>#N/A</v>
      </c>
      <c r="G5721" s="46">
        <f>'Raw data'!F5630</f>
        <v>0</v>
      </c>
      <c r="H5721" s="4">
        <f>'Raw data'!G5630</f>
        <v>0</v>
      </c>
      <c r="I5721" s="29" t="e">
        <f>VLOOKUP(G5721,제품명!$C$1:$E$114,2,0)</f>
        <v>#N/A</v>
      </c>
      <c r="J5721" s="29">
        <f>'Raw data'!K5630</f>
        <v>0</v>
      </c>
      <c r="K5721" s="31">
        <f>'Raw data'!H5630</f>
        <v>0</v>
      </c>
      <c r="L5721" s="26">
        <f t="shared" si="182"/>
        <v>0</v>
      </c>
    </row>
    <row r="5722" spans="2:12">
      <c r="B5722" s="4" t="e">
        <f t="shared" si="181"/>
        <v>#N/A</v>
      </c>
      <c r="C5722" s="4">
        <f>'Raw data'!E5298</f>
        <v>0</v>
      </c>
      <c r="D5722" s="29" t="e">
        <f>VLOOKUP(C5722,'점포코드 '!A:B,2,0)</f>
        <v>#N/A</v>
      </c>
      <c r="E5722" s="30">
        <f>'Raw data'!P5298</f>
        <v>0</v>
      </c>
      <c r="F5722" s="29" t="e">
        <f>VLOOKUP(E5722,'점포코드 '!A:B,2,0)</f>
        <v>#N/A</v>
      </c>
      <c r="G5722" s="46">
        <f>'Raw data'!F5631</f>
        <v>0</v>
      </c>
      <c r="H5722" s="4">
        <f>'Raw data'!G5631</f>
        <v>0</v>
      </c>
      <c r="I5722" s="29" t="e">
        <f>VLOOKUP(G5722,제품명!$C$1:$E$114,2,0)</f>
        <v>#N/A</v>
      </c>
      <c r="J5722" s="29">
        <f>'Raw data'!K5631</f>
        <v>0</v>
      </c>
      <c r="K5722" s="31">
        <f>'Raw data'!H5631</f>
        <v>0</v>
      </c>
      <c r="L5722" s="26">
        <f t="shared" si="182"/>
        <v>0</v>
      </c>
    </row>
    <row r="5723" spans="2:12">
      <c r="B5723" s="4" t="e">
        <f t="shared" si="181"/>
        <v>#N/A</v>
      </c>
      <c r="C5723" s="4">
        <f>'Raw data'!E5299</f>
        <v>0</v>
      </c>
      <c r="D5723" s="29" t="e">
        <f>VLOOKUP(C5723,'점포코드 '!A:B,2,0)</f>
        <v>#N/A</v>
      </c>
      <c r="E5723" s="30">
        <f>'Raw data'!P5299</f>
        <v>0</v>
      </c>
      <c r="F5723" s="29" t="e">
        <f>VLOOKUP(E5723,'점포코드 '!A:B,2,0)</f>
        <v>#N/A</v>
      </c>
      <c r="G5723" s="46">
        <f>'Raw data'!F5632</f>
        <v>0</v>
      </c>
      <c r="H5723" s="4">
        <f>'Raw data'!G5632</f>
        <v>0</v>
      </c>
      <c r="I5723" s="29" t="e">
        <f>VLOOKUP(G5723,제품명!$C$1:$E$114,2,0)</f>
        <v>#N/A</v>
      </c>
      <c r="J5723" s="29">
        <f>'Raw data'!K5632</f>
        <v>0</v>
      </c>
      <c r="K5723" s="31">
        <f>'Raw data'!H5632</f>
        <v>0</v>
      </c>
      <c r="L5723" s="26">
        <f t="shared" si="182"/>
        <v>0</v>
      </c>
    </row>
    <row r="5724" spans="2:12">
      <c r="B5724" s="4" t="e">
        <f t="shared" si="181"/>
        <v>#N/A</v>
      </c>
      <c r="C5724" s="4">
        <f>'Raw data'!E5300</f>
        <v>0</v>
      </c>
      <c r="D5724" s="29" t="e">
        <f>VLOOKUP(C5724,'점포코드 '!A:B,2,0)</f>
        <v>#N/A</v>
      </c>
      <c r="E5724" s="30">
        <f>'Raw data'!P5300</f>
        <v>0</v>
      </c>
      <c r="F5724" s="29" t="e">
        <f>VLOOKUP(E5724,'점포코드 '!A:B,2,0)</f>
        <v>#N/A</v>
      </c>
      <c r="G5724" s="46">
        <f>'Raw data'!F5633</f>
        <v>0</v>
      </c>
      <c r="H5724" s="4">
        <f>'Raw data'!G5633</f>
        <v>0</v>
      </c>
      <c r="I5724" s="29" t="e">
        <f>VLOOKUP(G5724,제품명!$C$1:$E$114,2,0)</f>
        <v>#N/A</v>
      </c>
      <c r="J5724" s="29">
        <f>'Raw data'!K5633</f>
        <v>0</v>
      </c>
      <c r="K5724" s="31">
        <f>'Raw data'!H5633</f>
        <v>0</v>
      </c>
      <c r="L5724" s="26">
        <f t="shared" si="182"/>
        <v>0</v>
      </c>
    </row>
    <row r="5725" spans="2:12">
      <c r="B5725" s="4" t="e">
        <f t="shared" si="181"/>
        <v>#N/A</v>
      </c>
      <c r="C5725" s="4">
        <f>'Raw data'!E5301</f>
        <v>0</v>
      </c>
      <c r="D5725" s="29" t="e">
        <f>VLOOKUP(C5725,'점포코드 '!A:B,2,0)</f>
        <v>#N/A</v>
      </c>
      <c r="E5725" s="30">
        <f>'Raw data'!P5301</f>
        <v>0</v>
      </c>
      <c r="F5725" s="29" t="e">
        <f>VLOOKUP(E5725,'점포코드 '!A:B,2,0)</f>
        <v>#N/A</v>
      </c>
      <c r="G5725" s="46">
        <f>'Raw data'!F5634</f>
        <v>0</v>
      </c>
      <c r="H5725" s="4">
        <f>'Raw data'!G5634</f>
        <v>0</v>
      </c>
      <c r="I5725" s="29" t="e">
        <f>VLOOKUP(G5725,제품명!$C$1:$E$114,2,0)</f>
        <v>#N/A</v>
      </c>
      <c r="J5725" s="29">
        <f>'Raw data'!K5634</f>
        <v>0</v>
      </c>
      <c r="K5725" s="31">
        <f>'Raw data'!H5634</f>
        <v>0</v>
      </c>
      <c r="L5725" s="26">
        <f t="shared" si="182"/>
        <v>0</v>
      </c>
    </row>
    <row r="5726" spans="2:12">
      <c r="B5726" s="4" t="e">
        <f t="shared" si="181"/>
        <v>#N/A</v>
      </c>
      <c r="C5726" s="4">
        <f>'Raw data'!E5302</f>
        <v>0</v>
      </c>
      <c r="D5726" s="29" t="e">
        <f>VLOOKUP(C5726,'점포코드 '!A:B,2,0)</f>
        <v>#N/A</v>
      </c>
      <c r="E5726" s="30">
        <f>'Raw data'!P5302</f>
        <v>0</v>
      </c>
      <c r="F5726" s="29" t="e">
        <f>VLOOKUP(E5726,'점포코드 '!A:B,2,0)</f>
        <v>#N/A</v>
      </c>
      <c r="G5726" s="46">
        <f>'Raw data'!F5635</f>
        <v>0</v>
      </c>
      <c r="H5726" s="4">
        <f>'Raw data'!G5635</f>
        <v>0</v>
      </c>
      <c r="I5726" s="29" t="e">
        <f>VLOOKUP(G5726,제품명!$C$1:$E$114,2,0)</f>
        <v>#N/A</v>
      </c>
      <c r="J5726" s="29">
        <f>'Raw data'!K5635</f>
        <v>0</v>
      </c>
      <c r="K5726" s="31">
        <f>'Raw data'!H5635</f>
        <v>0</v>
      </c>
      <c r="L5726" s="26">
        <f t="shared" si="182"/>
        <v>0</v>
      </c>
    </row>
    <row r="5727" spans="2:12">
      <c r="B5727" s="4" t="e">
        <f t="shared" si="181"/>
        <v>#N/A</v>
      </c>
      <c r="C5727" s="4">
        <f>'Raw data'!E5303</f>
        <v>0</v>
      </c>
      <c r="D5727" s="29" t="e">
        <f>VLOOKUP(C5727,'점포코드 '!A:B,2,0)</f>
        <v>#N/A</v>
      </c>
      <c r="E5727" s="30">
        <f>'Raw data'!P5303</f>
        <v>0</v>
      </c>
      <c r="F5727" s="29" t="e">
        <f>VLOOKUP(E5727,'점포코드 '!A:B,2,0)</f>
        <v>#N/A</v>
      </c>
      <c r="G5727" s="46">
        <f>'Raw data'!F5636</f>
        <v>0</v>
      </c>
      <c r="H5727" s="4">
        <f>'Raw data'!G5636</f>
        <v>0</v>
      </c>
      <c r="I5727" s="29" t="e">
        <f>VLOOKUP(G5727,제품명!$C$1:$E$114,2,0)</f>
        <v>#N/A</v>
      </c>
      <c r="J5727" s="29">
        <f>'Raw data'!K5636</f>
        <v>0</v>
      </c>
      <c r="K5727" s="31">
        <f>'Raw data'!H5636</f>
        <v>0</v>
      </c>
      <c r="L5727" s="26">
        <f t="shared" si="182"/>
        <v>0</v>
      </c>
    </row>
    <row r="5728" spans="2:12">
      <c r="B5728" s="4" t="e">
        <f t="shared" si="181"/>
        <v>#N/A</v>
      </c>
      <c r="C5728" s="4">
        <f>'Raw data'!E5304</f>
        <v>0</v>
      </c>
      <c r="D5728" s="29" t="e">
        <f>VLOOKUP(C5728,'점포코드 '!A:B,2,0)</f>
        <v>#N/A</v>
      </c>
      <c r="E5728" s="30">
        <f>'Raw data'!P5304</f>
        <v>0</v>
      </c>
      <c r="F5728" s="29" t="e">
        <f>VLOOKUP(E5728,'점포코드 '!A:B,2,0)</f>
        <v>#N/A</v>
      </c>
      <c r="G5728" s="46">
        <f>'Raw data'!F5637</f>
        <v>0</v>
      </c>
      <c r="H5728" s="4">
        <f>'Raw data'!G5637</f>
        <v>0</v>
      </c>
      <c r="I5728" s="29" t="e">
        <f>VLOOKUP(G5728,제품명!$C$1:$E$114,2,0)</f>
        <v>#N/A</v>
      </c>
      <c r="J5728" s="29">
        <f>'Raw data'!K5637</f>
        <v>0</v>
      </c>
      <c r="K5728" s="31">
        <f>'Raw data'!H5637</f>
        <v>0</v>
      </c>
      <c r="L5728" s="26">
        <f t="shared" si="182"/>
        <v>0</v>
      </c>
    </row>
    <row r="5729" spans="2:12">
      <c r="B5729" s="4" t="e">
        <f t="shared" si="181"/>
        <v>#N/A</v>
      </c>
      <c r="C5729" s="4">
        <f>'Raw data'!E5305</f>
        <v>0</v>
      </c>
      <c r="D5729" s="29" t="e">
        <f>VLOOKUP(C5729,'점포코드 '!A:B,2,0)</f>
        <v>#N/A</v>
      </c>
      <c r="E5729" s="30">
        <f>'Raw data'!P5305</f>
        <v>0</v>
      </c>
      <c r="F5729" s="29" t="e">
        <f>VLOOKUP(E5729,'점포코드 '!A:B,2,0)</f>
        <v>#N/A</v>
      </c>
      <c r="G5729" s="46">
        <f>'Raw data'!F5638</f>
        <v>0</v>
      </c>
      <c r="H5729" s="4">
        <f>'Raw data'!G5638</f>
        <v>0</v>
      </c>
      <c r="I5729" s="29" t="e">
        <f>VLOOKUP(G5729,제품명!$C$1:$E$114,2,0)</f>
        <v>#N/A</v>
      </c>
      <c r="J5729" s="29">
        <f>'Raw data'!K5638</f>
        <v>0</v>
      </c>
      <c r="K5729" s="31">
        <f>'Raw data'!H5638</f>
        <v>0</v>
      </c>
      <c r="L5729" s="26">
        <f t="shared" si="182"/>
        <v>0</v>
      </c>
    </row>
    <row r="5730" spans="2:12">
      <c r="B5730" s="4" t="e">
        <f t="shared" si="181"/>
        <v>#N/A</v>
      </c>
      <c r="C5730" s="4">
        <f>'Raw data'!E5306</f>
        <v>0</v>
      </c>
      <c r="D5730" s="29" t="e">
        <f>VLOOKUP(C5730,'점포코드 '!A:B,2,0)</f>
        <v>#N/A</v>
      </c>
      <c r="E5730" s="30">
        <f>'Raw data'!P5306</f>
        <v>0</v>
      </c>
      <c r="F5730" s="29" t="e">
        <f>VLOOKUP(E5730,'점포코드 '!A:B,2,0)</f>
        <v>#N/A</v>
      </c>
      <c r="G5730" s="46">
        <f>'Raw data'!F5639</f>
        <v>0</v>
      </c>
      <c r="H5730" s="4">
        <f>'Raw data'!G5639</f>
        <v>0</v>
      </c>
      <c r="I5730" s="29" t="e">
        <f>VLOOKUP(G5730,제품명!$C$1:$E$114,2,0)</f>
        <v>#N/A</v>
      </c>
      <c r="J5730" s="29">
        <f>'Raw data'!K5639</f>
        <v>0</v>
      </c>
      <c r="K5730" s="31">
        <f>'Raw data'!H5639</f>
        <v>0</v>
      </c>
      <c r="L5730" s="26">
        <f t="shared" si="182"/>
        <v>0</v>
      </c>
    </row>
    <row r="5731" spans="2:12">
      <c r="B5731" s="4" t="e">
        <f t="shared" si="181"/>
        <v>#N/A</v>
      </c>
      <c r="C5731" s="4">
        <f>'Raw data'!E5307</f>
        <v>0</v>
      </c>
      <c r="D5731" s="29" t="e">
        <f>VLOOKUP(C5731,'점포코드 '!A:B,2,0)</f>
        <v>#N/A</v>
      </c>
      <c r="E5731" s="30">
        <f>'Raw data'!P5307</f>
        <v>0</v>
      </c>
      <c r="F5731" s="29" t="e">
        <f>VLOOKUP(E5731,'점포코드 '!A:B,2,0)</f>
        <v>#N/A</v>
      </c>
      <c r="G5731" s="46">
        <f>'Raw data'!F5640</f>
        <v>0</v>
      </c>
      <c r="H5731" s="4">
        <f>'Raw data'!G5640</f>
        <v>0</v>
      </c>
      <c r="I5731" s="29" t="e">
        <f>VLOOKUP(G5731,제품명!$C$1:$E$114,2,0)</f>
        <v>#N/A</v>
      </c>
      <c r="J5731" s="29">
        <f>'Raw data'!K5640</f>
        <v>0</v>
      </c>
      <c r="K5731" s="31">
        <f>'Raw data'!H5640</f>
        <v>0</v>
      </c>
      <c r="L5731" s="26">
        <f t="shared" si="182"/>
        <v>0</v>
      </c>
    </row>
    <row r="5732" spans="2:12">
      <c r="B5732" s="4" t="e">
        <f t="shared" si="181"/>
        <v>#N/A</v>
      </c>
      <c r="C5732" s="4">
        <f>'Raw data'!E5308</f>
        <v>0</v>
      </c>
      <c r="D5732" s="29" t="e">
        <f>VLOOKUP(C5732,'점포코드 '!A:B,2,0)</f>
        <v>#N/A</v>
      </c>
      <c r="E5732" s="30">
        <f>'Raw data'!P5308</f>
        <v>0</v>
      </c>
      <c r="F5732" s="29" t="e">
        <f>VLOOKUP(E5732,'점포코드 '!A:B,2,0)</f>
        <v>#N/A</v>
      </c>
      <c r="G5732" s="46">
        <f>'Raw data'!F5641</f>
        <v>0</v>
      </c>
      <c r="H5732" s="4">
        <f>'Raw data'!G5641</f>
        <v>0</v>
      </c>
      <c r="I5732" s="29" t="e">
        <f>VLOOKUP(G5732,제품명!$C$1:$E$114,2,0)</f>
        <v>#N/A</v>
      </c>
      <c r="J5732" s="29">
        <f>'Raw data'!K5641</f>
        <v>0</v>
      </c>
      <c r="K5732" s="31">
        <f>'Raw data'!H5641</f>
        <v>0</v>
      </c>
      <c r="L5732" s="26">
        <f t="shared" si="182"/>
        <v>0</v>
      </c>
    </row>
    <row r="5733" spans="2:12">
      <c r="B5733" s="4" t="e">
        <f t="shared" si="181"/>
        <v>#N/A</v>
      </c>
      <c r="C5733" s="4">
        <f>'Raw data'!E5309</f>
        <v>0</v>
      </c>
      <c r="D5733" s="29" t="e">
        <f>VLOOKUP(C5733,'점포코드 '!A:B,2,0)</f>
        <v>#N/A</v>
      </c>
      <c r="E5733" s="30">
        <f>'Raw data'!P5309</f>
        <v>0</v>
      </c>
      <c r="F5733" s="29" t="e">
        <f>VLOOKUP(E5733,'점포코드 '!A:B,2,0)</f>
        <v>#N/A</v>
      </c>
      <c r="G5733" s="46">
        <f>'Raw data'!F5642</f>
        <v>0</v>
      </c>
      <c r="H5733" s="4">
        <f>'Raw data'!G5642</f>
        <v>0</v>
      </c>
      <c r="I5733" s="29" t="e">
        <f>VLOOKUP(G5733,제품명!$C$1:$E$114,2,0)</f>
        <v>#N/A</v>
      </c>
      <c r="J5733" s="29">
        <f>'Raw data'!K5642</f>
        <v>0</v>
      </c>
      <c r="K5733" s="31">
        <f>'Raw data'!H5642</f>
        <v>0</v>
      </c>
      <c r="L5733" s="26">
        <f t="shared" si="182"/>
        <v>0</v>
      </c>
    </row>
    <row r="5734" spans="2:12">
      <c r="B5734" s="4" t="e">
        <f t="shared" si="181"/>
        <v>#N/A</v>
      </c>
      <c r="C5734" s="4">
        <f>'Raw data'!E5310</f>
        <v>0</v>
      </c>
      <c r="D5734" s="29" t="e">
        <f>VLOOKUP(C5734,'점포코드 '!A:B,2,0)</f>
        <v>#N/A</v>
      </c>
      <c r="E5734" s="30">
        <f>'Raw data'!P5310</f>
        <v>0</v>
      </c>
      <c r="F5734" s="29" t="e">
        <f>VLOOKUP(E5734,'점포코드 '!A:B,2,0)</f>
        <v>#N/A</v>
      </c>
      <c r="G5734" s="46">
        <f>'Raw data'!F5643</f>
        <v>0</v>
      </c>
      <c r="H5734" s="4">
        <f>'Raw data'!G5643</f>
        <v>0</v>
      </c>
      <c r="I5734" s="29" t="e">
        <f>VLOOKUP(G5734,제품명!$C$1:$E$114,2,0)</f>
        <v>#N/A</v>
      </c>
      <c r="J5734" s="29">
        <f>'Raw data'!K5643</f>
        <v>0</v>
      </c>
      <c r="K5734" s="31">
        <f>'Raw data'!H5643</f>
        <v>0</v>
      </c>
      <c r="L5734" s="26">
        <f t="shared" si="182"/>
        <v>0</v>
      </c>
    </row>
    <row r="5735" spans="2:12">
      <c r="B5735" s="4" t="e">
        <f t="shared" si="181"/>
        <v>#N/A</v>
      </c>
      <c r="C5735" s="4">
        <f>'Raw data'!E5311</f>
        <v>0</v>
      </c>
      <c r="D5735" s="29" t="e">
        <f>VLOOKUP(C5735,'점포코드 '!A:B,2,0)</f>
        <v>#N/A</v>
      </c>
      <c r="E5735" s="30">
        <f>'Raw data'!P5311</f>
        <v>0</v>
      </c>
      <c r="F5735" s="29" t="e">
        <f>VLOOKUP(E5735,'점포코드 '!A:B,2,0)</f>
        <v>#N/A</v>
      </c>
      <c r="G5735" s="46">
        <f>'Raw data'!F5644</f>
        <v>0</v>
      </c>
      <c r="H5735" s="4">
        <f>'Raw data'!G5644</f>
        <v>0</v>
      </c>
      <c r="I5735" s="29" t="e">
        <f>VLOOKUP(G5735,제품명!$C$1:$E$114,2,0)</f>
        <v>#N/A</v>
      </c>
      <c r="J5735" s="29">
        <f>'Raw data'!K5644</f>
        <v>0</v>
      </c>
      <c r="K5735" s="31">
        <f>'Raw data'!H5644</f>
        <v>0</v>
      </c>
      <c r="L5735" s="26">
        <f t="shared" si="182"/>
        <v>0</v>
      </c>
    </row>
    <row r="5736" spans="2:12">
      <c r="B5736" s="4" t="e">
        <f t="shared" si="181"/>
        <v>#N/A</v>
      </c>
      <c r="C5736" s="4">
        <f>'Raw data'!E5312</f>
        <v>0</v>
      </c>
      <c r="D5736" s="29" t="e">
        <f>VLOOKUP(C5736,'점포코드 '!A:B,2,0)</f>
        <v>#N/A</v>
      </c>
      <c r="E5736" s="30">
        <f>'Raw data'!P5312</f>
        <v>0</v>
      </c>
      <c r="F5736" s="29" t="e">
        <f>VLOOKUP(E5736,'점포코드 '!A:B,2,0)</f>
        <v>#N/A</v>
      </c>
      <c r="G5736" s="46">
        <f>'Raw data'!F5645</f>
        <v>0</v>
      </c>
      <c r="H5736" s="4">
        <f>'Raw data'!G5645</f>
        <v>0</v>
      </c>
      <c r="I5736" s="29" t="e">
        <f>VLOOKUP(G5736,제품명!$C$1:$E$114,2,0)</f>
        <v>#N/A</v>
      </c>
      <c r="J5736" s="29">
        <f>'Raw data'!K5645</f>
        <v>0</v>
      </c>
      <c r="K5736" s="31">
        <f>'Raw data'!H5645</f>
        <v>0</v>
      </c>
      <c r="L5736" s="26">
        <f t="shared" si="182"/>
        <v>0</v>
      </c>
    </row>
    <row r="5737" spans="2:12">
      <c r="B5737" s="4" t="e">
        <f t="shared" si="181"/>
        <v>#N/A</v>
      </c>
      <c r="C5737" s="4">
        <f>'Raw data'!E5313</f>
        <v>0</v>
      </c>
      <c r="D5737" s="29" t="e">
        <f>VLOOKUP(C5737,'점포코드 '!A:B,2,0)</f>
        <v>#N/A</v>
      </c>
      <c r="E5737" s="30">
        <f>'Raw data'!P5313</f>
        <v>0</v>
      </c>
      <c r="F5737" s="29" t="e">
        <f>VLOOKUP(E5737,'점포코드 '!A:B,2,0)</f>
        <v>#N/A</v>
      </c>
      <c r="G5737" s="46">
        <f>'Raw data'!F5646</f>
        <v>0</v>
      </c>
      <c r="H5737" s="4">
        <f>'Raw data'!G5646</f>
        <v>0</v>
      </c>
      <c r="I5737" s="29" t="e">
        <f>VLOOKUP(G5737,제품명!$C$1:$E$114,2,0)</f>
        <v>#N/A</v>
      </c>
      <c r="J5737" s="29">
        <f>'Raw data'!K5646</f>
        <v>0</v>
      </c>
      <c r="K5737" s="31">
        <f>'Raw data'!H5646</f>
        <v>0</v>
      </c>
      <c r="L5737" s="26">
        <f t="shared" si="182"/>
        <v>0</v>
      </c>
    </row>
    <row r="5738" spans="2:12">
      <c r="B5738" s="4" t="e">
        <f t="shared" si="181"/>
        <v>#N/A</v>
      </c>
      <c r="C5738" s="4">
        <f>'Raw data'!E5314</f>
        <v>0</v>
      </c>
      <c r="D5738" s="29" t="e">
        <f>VLOOKUP(C5738,'점포코드 '!A:B,2,0)</f>
        <v>#N/A</v>
      </c>
      <c r="E5738" s="30">
        <f>'Raw data'!P5314</f>
        <v>0</v>
      </c>
      <c r="F5738" s="29" t="e">
        <f>VLOOKUP(E5738,'점포코드 '!A:B,2,0)</f>
        <v>#N/A</v>
      </c>
      <c r="G5738" s="46">
        <f>'Raw data'!F5647</f>
        <v>0</v>
      </c>
      <c r="H5738" s="4">
        <f>'Raw data'!G5647</f>
        <v>0</v>
      </c>
      <c r="I5738" s="29" t="e">
        <f>VLOOKUP(G5738,제품명!$C$1:$E$114,2,0)</f>
        <v>#N/A</v>
      </c>
      <c r="J5738" s="29">
        <f>'Raw data'!K5647</f>
        <v>0</v>
      </c>
      <c r="K5738" s="31">
        <f>'Raw data'!H5647</f>
        <v>0</v>
      </c>
      <c r="L5738" s="26">
        <f t="shared" si="182"/>
        <v>0</v>
      </c>
    </row>
    <row r="5739" spans="2:12">
      <c r="B5739" s="4" t="e">
        <f t="shared" si="181"/>
        <v>#N/A</v>
      </c>
      <c r="C5739" s="4">
        <f>'Raw data'!E5315</f>
        <v>0</v>
      </c>
      <c r="D5739" s="29" t="e">
        <f>VLOOKUP(C5739,'점포코드 '!A:B,2,0)</f>
        <v>#N/A</v>
      </c>
      <c r="E5739" s="30">
        <f>'Raw data'!P5315</f>
        <v>0</v>
      </c>
      <c r="F5739" s="29" t="e">
        <f>VLOOKUP(E5739,'점포코드 '!A:B,2,0)</f>
        <v>#N/A</v>
      </c>
      <c r="G5739" s="46">
        <f>'Raw data'!F5648</f>
        <v>0</v>
      </c>
      <c r="H5739" s="4">
        <f>'Raw data'!G5648</f>
        <v>0</v>
      </c>
      <c r="I5739" s="29" t="e">
        <f>VLOOKUP(G5739,제품명!$C$1:$E$114,2,0)</f>
        <v>#N/A</v>
      </c>
      <c r="J5739" s="29">
        <f>'Raw data'!K5648</f>
        <v>0</v>
      </c>
      <c r="K5739" s="31">
        <f>'Raw data'!H5648</f>
        <v>0</v>
      </c>
      <c r="L5739" s="26">
        <f t="shared" si="182"/>
        <v>0</v>
      </c>
    </row>
    <row r="5740" spans="2:12">
      <c r="B5740" s="4" t="e">
        <f t="shared" si="181"/>
        <v>#N/A</v>
      </c>
      <c r="C5740" s="4">
        <f>'Raw data'!E5316</f>
        <v>0</v>
      </c>
      <c r="D5740" s="29" t="e">
        <f>VLOOKUP(C5740,'점포코드 '!A:B,2,0)</f>
        <v>#N/A</v>
      </c>
      <c r="E5740" s="30">
        <f>'Raw data'!P5316</f>
        <v>0</v>
      </c>
      <c r="F5740" s="29" t="e">
        <f>VLOOKUP(E5740,'점포코드 '!A:B,2,0)</f>
        <v>#N/A</v>
      </c>
      <c r="G5740" s="46">
        <f>'Raw data'!F5649</f>
        <v>0</v>
      </c>
      <c r="H5740" s="4">
        <f>'Raw data'!G5649</f>
        <v>0</v>
      </c>
      <c r="I5740" s="29" t="e">
        <f>VLOOKUP(G5740,제품명!$C$1:$E$114,2,0)</f>
        <v>#N/A</v>
      </c>
      <c r="J5740" s="29">
        <f>'Raw data'!K5649</f>
        <v>0</v>
      </c>
      <c r="K5740" s="31">
        <f>'Raw data'!H5649</f>
        <v>0</v>
      </c>
      <c r="L5740" s="26">
        <f t="shared" si="182"/>
        <v>0</v>
      </c>
    </row>
    <row r="5741" spans="2:12">
      <c r="B5741" s="4" t="e">
        <f t="shared" si="181"/>
        <v>#N/A</v>
      </c>
      <c r="C5741" s="4">
        <f>'Raw data'!E5317</f>
        <v>0</v>
      </c>
      <c r="D5741" s="29" t="e">
        <f>VLOOKUP(C5741,'점포코드 '!A:B,2,0)</f>
        <v>#N/A</v>
      </c>
      <c r="E5741" s="30">
        <f>'Raw data'!P5317</f>
        <v>0</v>
      </c>
      <c r="F5741" s="29" t="e">
        <f>VLOOKUP(E5741,'점포코드 '!A:B,2,0)</f>
        <v>#N/A</v>
      </c>
      <c r="G5741" s="46">
        <f>'Raw data'!F5650</f>
        <v>0</v>
      </c>
      <c r="H5741" s="4">
        <f>'Raw data'!G5650</f>
        <v>0</v>
      </c>
      <c r="I5741" s="29" t="e">
        <f>VLOOKUP(G5741,제품명!$C$1:$E$114,2,0)</f>
        <v>#N/A</v>
      </c>
      <c r="J5741" s="29">
        <f>'Raw data'!K5650</f>
        <v>0</v>
      </c>
      <c r="K5741" s="31">
        <f>'Raw data'!H5650</f>
        <v>0</v>
      </c>
      <c r="L5741" s="26">
        <f t="shared" si="182"/>
        <v>0</v>
      </c>
    </row>
    <row r="5742" spans="2:12">
      <c r="B5742" s="4" t="e">
        <f t="shared" si="181"/>
        <v>#N/A</v>
      </c>
      <c r="C5742" s="4">
        <f>'Raw data'!E5318</f>
        <v>0</v>
      </c>
      <c r="D5742" s="29" t="e">
        <f>VLOOKUP(C5742,'점포코드 '!A:B,2,0)</f>
        <v>#N/A</v>
      </c>
      <c r="E5742" s="30">
        <f>'Raw data'!P5318</f>
        <v>0</v>
      </c>
      <c r="F5742" s="29" t="e">
        <f>VLOOKUP(E5742,'점포코드 '!A:B,2,0)</f>
        <v>#N/A</v>
      </c>
      <c r="G5742" s="46">
        <f>'Raw data'!F5651</f>
        <v>0</v>
      </c>
      <c r="H5742" s="4">
        <f>'Raw data'!G5651</f>
        <v>0</v>
      </c>
      <c r="I5742" s="29" t="e">
        <f>VLOOKUP(G5742,제품명!$C$1:$E$114,2,0)</f>
        <v>#N/A</v>
      </c>
      <c r="J5742" s="29">
        <f>'Raw data'!K5651</f>
        <v>0</v>
      </c>
      <c r="K5742" s="31">
        <f>'Raw data'!H5651</f>
        <v>0</v>
      </c>
      <c r="L5742" s="26">
        <f t="shared" si="182"/>
        <v>0</v>
      </c>
    </row>
    <row r="5743" spans="2:12">
      <c r="B5743" s="4" t="e">
        <f t="shared" si="181"/>
        <v>#N/A</v>
      </c>
      <c r="C5743" s="4">
        <f>'Raw data'!E5319</f>
        <v>0</v>
      </c>
      <c r="D5743" s="29" t="e">
        <f>VLOOKUP(C5743,'점포코드 '!A:B,2,0)</f>
        <v>#N/A</v>
      </c>
      <c r="E5743" s="30">
        <f>'Raw data'!P5319</f>
        <v>0</v>
      </c>
      <c r="F5743" s="29" t="e">
        <f>VLOOKUP(E5743,'점포코드 '!A:B,2,0)</f>
        <v>#N/A</v>
      </c>
      <c r="G5743" s="46">
        <f>'Raw data'!F5652</f>
        <v>0</v>
      </c>
      <c r="H5743" s="4">
        <f>'Raw data'!G5652</f>
        <v>0</v>
      </c>
      <c r="I5743" s="29" t="e">
        <f>VLOOKUP(G5743,제품명!$C$1:$E$114,2,0)</f>
        <v>#N/A</v>
      </c>
      <c r="J5743" s="29">
        <f>'Raw data'!K5652</f>
        <v>0</v>
      </c>
      <c r="K5743" s="31">
        <f>'Raw data'!H5652</f>
        <v>0</v>
      </c>
      <c r="L5743" s="26">
        <f t="shared" si="182"/>
        <v>0</v>
      </c>
    </row>
    <row r="5744" spans="2:12">
      <c r="B5744" s="4" t="e">
        <f t="shared" si="181"/>
        <v>#N/A</v>
      </c>
      <c r="C5744" s="4">
        <f>'Raw data'!E5320</f>
        <v>0</v>
      </c>
      <c r="D5744" s="29" t="e">
        <f>VLOOKUP(C5744,'점포코드 '!A:B,2,0)</f>
        <v>#N/A</v>
      </c>
      <c r="E5744" s="30">
        <f>'Raw data'!P5320</f>
        <v>0</v>
      </c>
      <c r="F5744" s="29" t="e">
        <f>VLOOKUP(E5744,'점포코드 '!A:B,2,0)</f>
        <v>#N/A</v>
      </c>
      <c r="G5744" s="46">
        <f>'Raw data'!F5653</f>
        <v>0</v>
      </c>
      <c r="H5744" s="4">
        <f>'Raw data'!G5653</f>
        <v>0</v>
      </c>
      <c r="I5744" s="29" t="e">
        <f>VLOOKUP(G5744,제품명!$C$1:$E$114,2,0)</f>
        <v>#N/A</v>
      </c>
      <c r="J5744" s="29">
        <f>'Raw data'!K5653</f>
        <v>0</v>
      </c>
      <c r="K5744" s="31">
        <f>'Raw data'!H5653</f>
        <v>0</v>
      </c>
      <c r="L5744" s="26">
        <f t="shared" si="182"/>
        <v>0</v>
      </c>
    </row>
    <row r="5745" spans="2:12">
      <c r="B5745" s="4" t="e">
        <f t="shared" si="181"/>
        <v>#N/A</v>
      </c>
      <c r="C5745" s="4">
        <f>'Raw data'!E5321</f>
        <v>0</v>
      </c>
      <c r="D5745" s="29" t="e">
        <f>VLOOKUP(C5745,'점포코드 '!A:B,2,0)</f>
        <v>#N/A</v>
      </c>
      <c r="E5745" s="30">
        <f>'Raw data'!P5321</f>
        <v>0</v>
      </c>
      <c r="F5745" s="29" t="e">
        <f>VLOOKUP(E5745,'점포코드 '!A:B,2,0)</f>
        <v>#N/A</v>
      </c>
      <c r="G5745" s="46">
        <f>'Raw data'!F5654</f>
        <v>0</v>
      </c>
      <c r="H5745" s="4">
        <f>'Raw data'!G5654</f>
        <v>0</v>
      </c>
      <c r="I5745" s="29" t="e">
        <f>VLOOKUP(G5745,제품명!$C$1:$E$114,2,0)</f>
        <v>#N/A</v>
      </c>
      <c r="J5745" s="29">
        <f>'Raw data'!K5654</f>
        <v>0</v>
      </c>
      <c r="K5745" s="31">
        <f>'Raw data'!H5654</f>
        <v>0</v>
      </c>
      <c r="L5745" s="26">
        <f t="shared" si="182"/>
        <v>0</v>
      </c>
    </row>
    <row r="5746" spans="2:12">
      <c r="B5746" s="4" t="e">
        <f t="shared" si="181"/>
        <v>#N/A</v>
      </c>
      <c r="C5746" s="4">
        <f>'Raw data'!E5322</f>
        <v>0</v>
      </c>
      <c r="D5746" s="29" t="e">
        <f>VLOOKUP(C5746,'점포코드 '!A:B,2,0)</f>
        <v>#N/A</v>
      </c>
      <c r="E5746" s="30">
        <f>'Raw data'!P5322</f>
        <v>0</v>
      </c>
      <c r="F5746" s="29" t="e">
        <f>VLOOKUP(E5746,'점포코드 '!A:B,2,0)</f>
        <v>#N/A</v>
      </c>
      <c r="G5746" s="46">
        <f>'Raw data'!F5655</f>
        <v>0</v>
      </c>
      <c r="H5746" s="4">
        <f>'Raw data'!G5655</f>
        <v>0</v>
      </c>
      <c r="I5746" s="29" t="e">
        <f>VLOOKUP(G5746,제품명!$C$1:$E$114,2,0)</f>
        <v>#N/A</v>
      </c>
      <c r="J5746" s="29">
        <f>'Raw data'!K5655</f>
        <v>0</v>
      </c>
      <c r="K5746" s="31">
        <f>'Raw data'!H5655</f>
        <v>0</v>
      </c>
      <c r="L5746" s="26">
        <f t="shared" si="182"/>
        <v>0</v>
      </c>
    </row>
    <row r="5747" spans="2:12">
      <c r="B5747" s="4" t="e">
        <f t="shared" si="181"/>
        <v>#N/A</v>
      </c>
      <c r="C5747" s="4">
        <f>'Raw data'!E5323</f>
        <v>0</v>
      </c>
      <c r="D5747" s="29" t="e">
        <f>VLOOKUP(C5747,'점포코드 '!A:B,2,0)</f>
        <v>#N/A</v>
      </c>
      <c r="E5747" s="30">
        <f>'Raw data'!P5323</f>
        <v>0</v>
      </c>
      <c r="F5747" s="29" t="e">
        <f>VLOOKUP(E5747,'점포코드 '!A:B,2,0)</f>
        <v>#N/A</v>
      </c>
      <c r="G5747" s="46">
        <f>'Raw data'!F5656</f>
        <v>0</v>
      </c>
      <c r="H5747" s="4">
        <f>'Raw data'!G5656</f>
        <v>0</v>
      </c>
      <c r="I5747" s="29" t="e">
        <f>VLOOKUP(G5747,제품명!$C$1:$E$114,2,0)</f>
        <v>#N/A</v>
      </c>
      <c r="J5747" s="29">
        <f>'Raw data'!K5656</f>
        <v>0</v>
      </c>
      <c r="K5747" s="31">
        <f>'Raw data'!H5656</f>
        <v>0</v>
      </c>
      <c r="L5747" s="26">
        <f t="shared" si="182"/>
        <v>0</v>
      </c>
    </row>
    <row r="5748" spans="2:12">
      <c r="B5748" s="4" t="e">
        <f t="shared" si="181"/>
        <v>#N/A</v>
      </c>
      <c r="C5748" s="4">
        <f>'Raw data'!E5324</f>
        <v>0</v>
      </c>
      <c r="D5748" s="29" t="e">
        <f>VLOOKUP(C5748,'점포코드 '!A:B,2,0)</f>
        <v>#N/A</v>
      </c>
      <c r="E5748" s="30">
        <f>'Raw data'!P5324</f>
        <v>0</v>
      </c>
      <c r="F5748" s="29" t="e">
        <f>VLOOKUP(E5748,'점포코드 '!A:B,2,0)</f>
        <v>#N/A</v>
      </c>
      <c r="G5748" s="46">
        <f>'Raw data'!F5657</f>
        <v>0</v>
      </c>
      <c r="H5748" s="4">
        <f>'Raw data'!G5657</f>
        <v>0</v>
      </c>
      <c r="I5748" s="29" t="e">
        <f>VLOOKUP(G5748,제품명!$C$1:$E$114,2,0)</f>
        <v>#N/A</v>
      </c>
      <c r="J5748" s="29">
        <f>'Raw data'!K5657</f>
        <v>0</v>
      </c>
      <c r="K5748" s="31">
        <f>'Raw data'!H5657</f>
        <v>0</v>
      </c>
      <c r="L5748" s="26">
        <f t="shared" si="182"/>
        <v>0</v>
      </c>
    </row>
    <row r="5749" spans="2:12">
      <c r="B5749" s="4" t="e">
        <f t="shared" si="181"/>
        <v>#N/A</v>
      </c>
      <c r="C5749" s="4">
        <f>'Raw data'!E5325</f>
        <v>0</v>
      </c>
      <c r="D5749" s="29" t="e">
        <f>VLOOKUP(C5749,'점포코드 '!A:B,2,0)</f>
        <v>#N/A</v>
      </c>
      <c r="E5749" s="30">
        <f>'Raw data'!P5325</f>
        <v>0</v>
      </c>
      <c r="F5749" s="29" t="e">
        <f>VLOOKUP(E5749,'점포코드 '!A:B,2,0)</f>
        <v>#N/A</v>
      </c>
      <c r="G5749" s="46">
        <f>'Raw data'!F5658</f>
        <v>0</v>
      </c>
      <c r="H5749" s="4">
        <f>'Raw data'!G5658</f>
        <v>0</v>
      </c>
      <c r="I5749" s="29" t="e">
        <f>VLOOKUP(G5749,제품명!$C$1:$E$114,2,0)</f>
        <v>#N/A</v>
      </c>
      <c r="J5749" s="29">
        <f>'Raw data'!K5658</f>
        <v>0</v>
      </c>
      <c r="K5749" s="31">
        <f>'Raw data'!H5658</f>
        <v>0</v>
      </c>
      <c r="L5749" s="26">
        <f t="shared" si="182"/>
        <v>0</v>
      </c>
    </row>
    <row r="5750" spans="2:12">
      <c r="B5750" s="4" t="e">
        <f t="shared" si="181"/>
        <v>#N/A</v>
      </c>
      <c r="C5750" s="4">
        <f>'Raw data'!E5326</f>
        <v>0</v>
      </c>
      <c r="D5750" s="29" t="e">
        <f>VLOOKUP(C5750,'점포코드 '!A:B,2,0)</f>
        <v>#N/A</v>
      </c>
      <c r="E5750" s="30">
        <f>'Raw data'!P5326</f>
        <v>0</v>
      </c>
      <c r="F5750" s="29" t="e">
        <f>VLOOKUP(E5750,'점포코드 '!A:B,2,0)</f>
        <v>#N/A</v>
      </c>
      <c r="G5750" s="46">
        <f>'Raw data'!F5659</f>
        <v>0</v>
      </c>
      <c r="H5750" s="4">
        <f>'Raw data'!G5659</f>
        <v>0</v>
      </c>
      <c r="I5750" s="29" t="e">
        <f>VLOOKUP(G5750,제품명!$C$1:$E$114,2,0)</f>
        <v>#N/A</v>
      </c>
      <c r="J5750" s="29">
        <f>'Raw data'!K5659</f>
        <v>0</v>
      </c>
      <c r="K5750" s="31">
        <f>'Raw data'!H5659</f>
        <v>0</v>
      </c>
      <c r="L5750" s="26">
        <f t="shared" si="182"/>
        <v>0</v>
      </c>
    </row>
    <row r="5751" spans="2:12">
      <c r="B5751" s="4" t="e">
        <f t="shared" si="181"/>
        <v>#N/A</v>
      </c>
      <c r="C5751" s="4">
        <f>'Raw data'!E5327</f>
        <v>0</v>
      </c>
      <c r="D5751" s="29" t="e">
        <f>VLOOKUP(C5751,'점포코드 '!A:B,2,0)</f>
        <v>#N/A</v>
      </c>
      <c r="E5751" s="30">
        <f>'Raw data'!P5327</f>
        <v>0</v>
      </c>
      <c r="F5751" s="29" t="e">
        <f>VLOOKUP(E5751,'점포코드 '!A:B,2,0)</f>
        <v>#N/A</v>
      </c>
      <c r="G5751" s="46">
        <f>'Raw data'!F5660</f>
        <v>0</v>
      </c>
      <c r="H5751" s="4">
        <f>'Raw data'!G5660</f>
        <v>0</v>
      </c>
      <c r="I5751" s="29" t="e">
        <f>VLOOKUP(G5751,제품명!$C$1:$E$114,2,0)</f>
        <v>#N/A</v>
      </c>
      <c r="J5751" s="29">
        <f>'Raw data'!K5660</f>
        <v>0</v>
      </c>
      <c r="K5751" s="31">
        <f>'Raw data'!H5660</f>
        <v>0</v>
      </c>
      <c r="L5751" s="26">
        <f t="shared" si="182"/>
        <v>0</v>
      </c>
    </row>
    <row r="5752" spans="2:12">
      <c r="B5752" s="4" t="e">
        <f t="shared" si="181"/>
        <v>#N/A</v>
      </c>
      <c r="C5752" s="4">
        <f>'Raw data'!E5328</f>
        <v>0</v>
      </c>
      <c r="D5752" s="29" t="e">
        <f>VLOOKUP(C5752,'점포코드 '!A:B,2,0)</f>
        <v>#N/A</v>
      </c>
      <c r="E5752" s="30">
        <f>'Raw data'!P5328</f>
        <v>0</v>
      </c>
      <c r="F5752" s="29" t="e">
        <f>VLOOKUP(E5752,'점포코드 '!A:B,2,0)</f>
        <v>#N/A</v>
      </c>
      <c r="G5752" s="46">
        <f>'Raw data'!F5661</f>
        <v>0</v>
      </c>
      <c r="H5752" s="4">
        <f>'Raw data'!G5661</f>
        <v>0</v>
      </c>
      <c r="I5752" s="29" t="e">
        <f>VLOOKUP(G5752,제품명!$C$1:$E$114,2,0)</f>
        <v>#N/A</v>
      </c>
      <c r="J5752" s="29">
        <f>'Raw data'!K5661</f>
        <v>0</v>
      </c>
      <c r="K5752" s="31">
        <f>'Raw data'!H5661</f>
        <v>0</v>
      </c>
      <c r="L5752" s="26">
        <f t="shared" si="182"/>
        <v>0</v>
      </c>
    </row>
    <row r="5753" spans="2:12">
      <c r="B5753" s="4" t="e">
        <f t="shared" si="181"/>
        <v>#N/A</v>
      </c>
      <c r="C5753" s="4">
        <f>'Raw data'!E5329</f>
        <v>0</v>
      </c>
      <c r="D5753" s="29" t="e">
        <f>VLOOKUP(C5753,'점포코드 '!A:B,2,0)</f>
        <v>#N/A</v>
      </c>
      <c r="E5753" s="30">
        <f>'Raw data'!P5329</f>
        <v>0</v>
      </c>
      <c r="F5753" s="29" t="e">
        <f>VLOOKUP(E5753,'점포코드 '!A:B,2,0)</f>
        <v>#N/A</v>
      </c>
      <c r="G5753" s="46">
        <f>'Raw data'!F5662</f>
        <v>0</v>
      </c>
      <c r="H5753" s="4">
        <f>'Raw data'!G5662</f>
        <v>0</v>
      </c>
      <c r="I5753" s="29" t="e">
        <f>VLOOKUP(G5753,제품명!$C$1:$E$114,2,0)</f>
        <v>#N/A</v>
      </c>
      <c r="J5753" s="29">
        <f>'Raw data'!K5662</f>
        <v>0</v>
      </c>
      <c r="K5753" s="31">
        <f>'Raw data'!H5662</f>
        <v>0</v>
      </c>
      <c r="L5753" s="26">
        <f t="shared" si="182"/>
        <v>0</v>
      </c>
    </row>
    <row r="5754" spans="2:12">
      <c r="B5754" s="4" t="e">
        <f t="shared" si="181"/>
        <v>#N/A</v>
      </c>
      <c r="C5754" s="4">
        <f>'Raw data'!E5330</f>
        <v>0</v>
      </c>
      <c r="D5754" s="29" t="e">
        <f>VLOOKUP(C5754,'점포코드 '!A:B,2,0)</f>
        <v>#N/A</v>
      </c>
      <c r="E5754" s="30">
        <f>'Raw data'!P5330</f>
        <v>0</v>
      </c>
      <c r="F5754" s="29" t="e">
        <f>VLOOKUP(E5754,'점포코드 '!A:B,2,0)</f>
        <v>#N/A</v>
      </c>
      <c r="G5754" s="46">
        <f>'Raw data'!F5663</f>
        <v>0</v>
      </c>
      <c r="H5754" s="4">
        <f>'Raw data'!G5663</f>
        <v>0</v>
      </c>
      <c r="I5754" s="29" t="e">
        <f>VLOOKUP(G5754,제품명!$C$1:$E$114,2,0)</f>
        <v>#N/A</v>
      </c>
      <c r="J5754" s="29">
        <f>'Raw data'!K5663</f>
        <v>0</v>
      </c>
      <c r="K5754" s="31">
        <f>'Raw data'!H5663</f>
        <v>0</v>
      </c>
      <c r="L5754" s="26">
        <f t="shared" si="182"/>
        <v>0</v>
      </c>
    </row>
    <row r="5755" spans="2:12">
      <c r="B5755" s="4" t="e">
        <f t="shared" si="181"/>
        <v>#N/A</v>
      </c>
      <c r="C5755" s="4">
        <f>'Raw data'!E5331</f>
        <v>0</v>
      </c>
      <c r="D5755" s="29" t="e">
        <f>VLOOKUP(C5755,'점포코드 '!A:B,2,0)</f>
        <v>#N/A</v>
      </c>
      <c r="E5755" s="30">
        <f>'Raw data'!P5331</f>
        <v>0</v>
      </c>
      <c r="F5755" s="29" t="e">
        <f>VLOOKUP(E5755,'점포코드 '!A:B,2,0)</f>
        <v>#N/A</v>
      </c>
      <c r="G5755" s="46">
        <f>'Raw data'!F5664</f>
        <v>0</v>
      </c>
      <c r="H5755" s="4">
        <f>'Raw data'!G5664</f>
        <v>0</v>
      </c>
      <c r="I5755" s="29" t="e">
        <f>VLOOKUP(G5755,제품명!$C$1:$E$114,2,0)</f>
        <v>#N/A</v>
      </c>
      <c r="J5755" s="29">
        <f>'Raw data'!K5664</f>
        <v>0</v>
      </c>
      <c r="K5755" s="31">
        <f>'Raw data'!H5664</f>
        <v>0</v>
      </c>
      <c r="L5755" s="26">
        <f t="shared" si="182"/>
        <v>0</v>
      </c>
    </row>
    <row r="5756" spans="2:12">
      <c r="B5756" s="4" t="e">
        <f t="shared" si="181"/>
        <v>#N/A</v>
      </c>
      <c r="C5756" s="4">
        <f>'Raw data'!E5332</f>
        <v>0</v>
      </c>
      <c r="D5756" s="29" t="e">
        <f>VLOOKUP(C5756,'점포코드 '!A:B,2,0)</f>
        <v>#N/A</v>
      </c>
      <c r="E5756" s="30">
        <f>'Raw data'!P5332</f>
        <v>0</v>
      </c>
      <c r="F5756" s="29" t="e">
        <f>VLOOKUP(E5756,'점포코드 '!A:B,2,0)</f>
        <v>#N/A</v>
      </c>
      <c r="G5756" s="46">
        <f>'Raw data'!F5665</f>
        <v>0</v>
      </c>
      <c r="H5756" s="4">
        <f>'Raw data'!G5665</f>
        <v>0</v>
      </c>
      <c r="I5756" s="29" t="e">
        <f>VLOOKUP(G5756,제품명!$C$1:$E$114,2,0)</f>
        <v>#N/A</v>
      </c>
      <c r="J5756" s="29">
        <f>'Raw data'!K5665</f>
        <v>0</v>
      </c>
      <c r="K5756" s="31">
        <f>'Raw data'!H5665</f>
        <v>0</v>
      </c>
      <c r="L5756" s="26">
        <f t="shared" si="182"/>
        <v>0</v>
      </c>
    </row>
    <row r="5757" spans="2:12">
      <c r="B5757" s="4" t="e">
        <f t="shared" si="181"/>
        <v>#N/A</v>
      </c>
      <c r="C5757" s="4">
        <f>'Raw data'!E5333</f>
        <v>0</v>
      </c>
      <c r="D5757" s="29" t="e">
        <f>VLOOKUP(C5757,'점포코드 '!A:B,2,0)</f>
        <v>#N/A</v>
      </c>
      <c r="E5757" s="30">
        <f>'Raw data'!P5333</f>
        <v>0</v>
      </c>
      <c r="F5757" s="29" t="e">
        <f>VLOOKUP(E5757,'점포코드 '!A:B,2,0)</f>
        <v>#N/A</v>
      </c>
      <c r="G5757" s="46">
        <f>'Raw data'!F5666</f>
        <v>0</v>
      </c>
      <c r="H5757" s="4">
        <f>'Raw data'!G5666</f>
        <v>0</v>
      </c>
      <c r="I5757" s="29" t="e">
        <f>VLOOKUP(G5757,제품명!$C$1:$E$114,2,0)</f>
        <v>#N/A</v>
      </c>
      <c r="J5757" s="29">
        <f>'Raw data'!K5666</f>
        <v>0</v>
      </c>
      <c r="K5757" s="31">
        <f>'Raw data'!H5666</f>
        <v>0</v>
      </c>
      <c r="L5757" s="26">
        <f t="shared" si="182"/>
        <v>0</v>
      </c>
    </row>
    <row r="5758" spans="2:12">
      <c r="B5758" s="4" t="e">
        <f t="shared" si="181"/>
        <v>#N/A</v>
      </c>
      <c r="C5758" s="4">
        <f>'Raw data'!E5334</f>
        <v>0</v>
      </c>
      <c r="D5758" s="29" t="e">
        <f>VLOOKUP(C5758,'점포코드 '!A:B,2,0)</f>
        <v>#N/A</v>
      </c>
      <c r="E5758" s="30">
        <f>'Raw data'!P5334</f>
        <v>0</v>
      </c>
      <c r="F5758" s="29" t="e">
        <f>VLOOKUP(E5758,'점포코드 '!A:B,2,0)</f>
        <v>#N/A</v>
      </c>
      <c r="G5758" s="46">
        <f>'Raw data'!F5667</f>
        <v>0</v>
      </c>
      <c r="H5758" s="4">
        <f>'Raw data'!G5667</f>
        <v>0</v>
      </c>
      <c r="I5758" s="29" t="e">
        <f>VLOOKUP(G5758,제품명!$C$1:$E$114,2,0)</f>
        <v>#N/A</v>
      </c>
      <c r="J5758" s="29">
        <f>'Raw data'!K5667</f>
        <v>0</v>
      </c>
      <c r="K5758" s="31">
        <f>'Raw data'!H5667</f>
        <v>0</v>
      </c>
      <c r="L5758" s="26">
        <f t="shared" si="182"/>
        <v>0</v>
      </c>
    </row>
    <row r="5759" spans="2:12">
      <c r="B5759" s="4" t="e">
        <f t="shared" si="181"/>
        <v>#N/A</v>
      </c>
      <c r="C5759" s="4">
        <f>'Raw data'!E5335</f>
        <v>0</v>
      </c>
      <c r="D5759" s="29" t="e">
        <f>VLOOKUP(C5759,'점포코드 '!A:B,2,0)</f>
        <v>#N/A</v>
      </c>
      <c r="E5759" s="30">
        <f>'Raw data'!P5335</f>
        <v>0</v>
      </c>
      <c r="F5759" s="29" t="e">
        <f>VLOOKUP(E5759,'점포코드 '!A:B,2,0)</f>
        <v>#N/A</v>
      </c>
      <c r="G5759" s="46">
        <f>'Raw data'!F5668</f>
        <v>0</v>
      </c>
      <c r="H5759" s="4">
        <f>'Raw data'!G5668</f>
        <v>0</v>
      </c>
      <c r="I5759" s="29" t="e">
        <f>VLOOKUP(G5759,제품명!$C$1:$E$114,2,0)</f>
        <v>#N/A</v>
      </c>
      <c r="J5759" s="29">
        <f>'Raw data'!K5668</f>
        <v>0</v>
      </c>
      <c r="K5759" s="31">
        <f>'Raw data'!H5668</f>
        <v>0</v>
      </c>
      <c r="L5759" s="26">
        <f t="shared" si="182"/>
        <v>0</v>
      </c>
    </row>
    <row r="5760" spans="2:12">
      <c r="B5760" s="4" t="e">
        <f t="shared" si="181"/>
        <v>#N/A</v>
      </c>
      <c r="C5760" s="4">
        <f>'Raw data'!E5336</f>
        <v>0</v>
      </c>
      <c r="D5760" s="29" t="e">
        <f>VLOOKUP(C5760,'점포코드 '!A:B,2,0)</f>
        <v>#N/A</v>
      </c>
      <c r="E5760" s="30">
        <f>'Raw data'!P5336</f>
        <v>0</v>
      </c>
      <c r="F5760" s="29" t="e">
        <f>VLOOKUP(E5760,'점포코드 '!A:B,2,0)</f>
        <v>#N/A</v>
      </c>
      <c r="G5760" s="46">
        <f>'Raw data'!F5669</f>
        <v>0</v>
      </c>
      <c r="H5760" s="4">
        <f>'Raw data'!G5669</f>
        <v>0</v>
      </c>
      <c r="I5760" s="29" t="e">
        <f>VLOOKUP(G5760,제품명!$C$1:$E$114,2,0)</f>
        <v>#N/A</v>
      </c>
      <c r="J5760" s="29">
        <f>'Raw data'!K5669</f>
        <v>0</v>
      </c>
      <c r="K5760" s="31">
        <f>'Raw data'!H5669</f>
        <v>0</v>
      </c>
      <c r="L5760" s="26">
        <f t="shared" si="182"/>
        <v>0</v>
      </c>
    </row>
    <row r="5761" spans="2:12">
      <c r="B5761" s="4" t="e">
        <f t="shared" si="181"/>
        <v>#N/A</v>
      </c>
      <c r="C5761" s="4">
        <f>'Raw data'!E5337</f>
        <v>0</v>
      </c>
      <c r="D5761" s="29" t="e">
        <f>VLOOKUP(C5761,'점포코드 '!A:B,2,0)</f>
        <v>#N/A</v>
      </c>
      <c r="E5761" s="30">
        <f>'Raw data'!P5337</f>
        <v>0</v>
      </c>
      <c r="F5761" s="29" t="e">
        <f>VLOOKUP(E5761,'점포코드 '!A:B,2,0)</f>
        <v>#N/A</v>
      </c>
      <c r="G5761" s="46">
        <f>'Raw data'!F5670</f>
        <v>0</v>
      </c>
      <c r="H5761" s="4">
        <f>'Raw data'!G5670</f>
        <v>0</v>
      </c>
      <c r="I5761" s="29" t="e">
        <f>VLOOKUP(G5761,제품명!$C$1:$E$114,2,0)</f>
        <v>#N/A</v>
      </c>
      <c r="J5761" s="29">
        <f>'Raw data'!K5670</f>
        <v>0</v>
      </c>
      <c r="K5761" s="31">
        <f>'Raw data'!H5670</f>
        <v>0</v>
      </c>
      <c r="L5761" s="26">
        <f t="shared" si="182"/>
        <v>0</v>
      </c>
    </row>
    <row r="5762" spans="2:12">
      <c r="B5762" s="4" t="e">
        <f t="shared" ref="B5762:B5825" si="183">F5762&amp;I5762</f>
        <v>#N/A</v>
      </c>
      <c r="C5762" s="4">
        <f>'Raw data'!E5338</f>
        <v>0</v>
      </c>
      <c r="D5762" s="29" t="e">
        <f>VLOOKUP(C5762,'점포코드 '!A:B,2,0)</f>
        <v>#N/A</v>
      </c>
      <c r="E5762" s="30">
        <f>'Raw data'!P5338</f>
        <v>0</v>
      </c>
      <c r="F5762" s="29" t="e">
        <f>VLOOKUP(E5762,'점포코드 '!A:B,2,0)</f>
        <v>#N/A</v>
      </c>
      <c r="G5762" s="46">
        <f>'Raw data'!F5671</f>
        <v>0</v>
      </c>
      <c r="H5762" s="4">
        <f>'Raw data'!G5671</f>
        <v>0</v>
      </c>
      <c r="I5762" s="29" t="e">
        <f>VLOOKUP(G5762,제품명!$C$1:$E$114,2,0)</f>
        <v>#N/A</v>
      </c>
      <c r="J5762" s="29">
        <f>'Raw data'!K5671</f>
        <v>0</v>
      </c>
      <c r="K5762" s="31">
        <f>'Raw data'!H5671</f>
        <v>0</v>
      </c>
      <c r="L5762" s="26">
        <f t="shared" si="182"/>
        <v>0</v>
      </c>
    </row>
    <row r="5763" spans="2:12">
      <c r="B5763" s="4" t="e">
        <f t="shared" si="183"/>
        <v>#N/A</v>
      </c>
      <c r="C5763" s="4">
        <f>'Raw data'!E5339</f>
        <v>0</v>
      </c>
      <c r="D5763" s="29" t="e">
        <f>VLOOKUP(C5763,'점포코드 '!A:B,2,0)</f>
        <v>#N/A</v>
      </c>
      <c r="E5763" s="30">
        <f>'Raw data'!P5339</f>
        <v>0</v>
      </c>
      <c r="F5763" s="29" t="e">
        <f>VLOOKUP(E5763,'점포코드 '!A:B,2,0)</f>
        <v>#N/A</v>
      </c>
      <c r="G5763" s="46">
        <f>'Raw data'!F5672</f>
        <v>0</v>
      </c>
      <c r="H5763" s="4">
        <f>'Raw data'!G5672</f>
        <v>0</v>
      </c>
      <c r="I5763" s="29" t="e">
        <f>VLOOKUP(G5763,제품명!$C$1:$E$114,2,0)</f>
        <v>#N/A</v>
      </c>
      <c r="J5763" s="29">
        <f>'Raw data'!K5672</f>
        <v>0</v>
      </c>
      <c r="K5763" s="31">
        <f>'Raw data'!H5672</f>
        <v>0</v>
      </c>
      <c r="L5763" s="26">
        <f t="shared" ref="L5763:L5826" si="184">J5763*K5763</f>
        <v>0</v>
      </c>
    </row>
    <row r="5764" spans="2:12">
      <c r="B5764" s="4" t="e">
        <f t="shared" si="183"/>
        <v>#N/A</v>
      </c>
      <c r="C5764" s="4">
        <f>'Raw data'!E5340</f>
        <v>0</v>
      </c>
      <c r="D5764" s="29" t="e">
        <f>VLOOKUP(C5764,'점포코드 '!A:B,2,0)</f>
        <v>#N/A</v>
      </c>
      <c r="E5764" s="30">
        <f>'Raw data'!P5340</f>
        <v>0</v>
      </c>
      <c r="F5764" s="29" t="e">
        <f>VLOOKUP(E5764,'점포코드 '!A:B,2,0)</f>
        <v>#N/A</v>
      </c>
      <c r="G5764" s="46">
        <f>'Raw data'!F5673</f>
        <v>0</v>
      </c>
      <c r="H5764" s="4">
        <f>'Raw data'!G5673</f>
        <v>0</v>
      </c>
      <c r="I5764" s="29" t="e">
        <f>VLOOKUP(G5764,제품명!$C$1:$E$114,2,0)</f>
        <v>#N/A</v>
      </c>
      <c r="J5764" s="29">
        <f>'Raw data'!K5673</f>
        <v>0</v>
      </c>
      <c r="K5764" s="31">
        <f>'Raw data'!H5673</f>
        <v>0</v>
      </c>
      <c r="L5764" s="26">
        <f t="shared" si="184"/>
        <v>0</v>
      </c>
    </row>
    <row r="5765" spans="2:12">
      <c r="B5765" s="4" t="e">
        <f t="shared" si="183"/>
        <v>#N/A</v>
      </c>
      <c r="C5765" s="4">
        <f>'Raw data'!E5341</f>
        <v>0</v>
      </c>
      <c r="D5765" s="29" t="e">
        <f>VLOOKUP(C5765,'점포코드 '!A:B,2,0)</f>
        <v>#N/A</v>
      </c>
      <c r="E5765" s="30">
        <f>'Raw data'!P5341</f>
        <v>0</v>
      </c>
      <c r="F5765" s="29" t="e">
        <f>VLOOKUP(E5765,'점포코드 '!A:B,2,0)</f>
        <v>#N/A</v>
      </c>
      <c r="G5765" s="46">
        <f>'Raw data'!F5674</f>
        <v>0</v>
      </c>
      <c r="H5765" s="4">
        <f>'Raw data'!G5674</f>
        <v>0</v>
      </c>
      <c r="I5765" s="29" t="e">
        <f>VLOOKUP(G5765,제품명!$C$1:$E$114,2,0)</f>
        <v>#N/A</v>
      </c>
      <c r="J5765" s="29">
        <f>'Raw data'!K5674</f>
        <v>0</v>
      </c>
      <c r="K5765" s="31">
        <f>'Raw data'!H5674</f>
        <v>0</v>
      </c>
      <c r="L5765" s="26">
        <f t="shared" si="184"/>
        <v>0</v>
      </c>
    </row>
    <row r="5766" spans="2:12">
      <c r="B5766" s="4" t="e">
        <f t="shared" si="183"/>
        <v>#N/A</v>
      </c>
      <c r="C5766" s="4">
        <f>'Raw data'!E5342</f>
        <v>0</v>
      </c>
      <c r="D5766" s="29" t="e">
        <f>VLOOKUP(C5766,'점포코드 '!A:B,2,0)</f>
        <v>#N/A</v>
      </c>
      <c r="E5766" s="30">
        <f>'Raw data'!P5342</f>
        <v>0</v>
      </c>
      <c r="F5766" s="29" t="e">
        <f>VLOOKUP(E5766,'점포코드 '!A:B,2,0)</f>
        <v>#N/A</v>
      </c>
      <c r="G5766" s="46">
        <f>'Raw data'!F5675</f>
        <v>0</v>
      </c>
      <c r="H5766" s="4">
        <f>'Raw data'!G5675</f>
        <v>0</v>
      </c>
      <c r="I5766" s="29" t="e">
        <f>VLOOKUP(G5766,제품명!$C$1:$E$114,2,0)</f>
        <v>#N/A</v>
      </c>
      <c r="J5766" s="29">
        <f>'Raw data'!K5675</f>
        <v>0</v>
      </c>
      <c r="K5766" s="31">
        <f>'Raw data'!H5675</f>
        <v>0</v>
      </c>
      <c r="L5766" s="26">
        <f t="shared" si="184"/>
        <v>0</v>
      </c>
    </row>
    <row r="5767" spans="2:12">
      <c r="B5767" s="4" t="e">
        <f t="shared" si="183"/>
        <v>#N/A</v>
      </c>
      <c r="C5767" s="4">
        <f>'Raw data'!E5343</f>
        <v>0</v>
      </c>
      <c r="D5767" s="29" t="e">
        <f>VLOOKUP(C5767,'점포코드 '!A:B,2,0)</f>
        <v>#N/A</v>
      </c>
      <c r="E5767" s="30">
        <f>'Raw data'!P5343</f>
        <v>0</v>
      </c>
      <c r="F5767" s="29" t="e">
        <f>VLOOKUP(E5767,'점포코드 '!A:B,2,0)</f>
        <v>#N/A</v>
      </c>
      <c r="G5767" s="46">
        <f>'Raw data'!F5676</f>
        <v>0</v>
      </c>
      <c r="H5767" s="4">
        <f>'Raw data'!G5676</f>
        <v>0</v>
      </c>
      <c r="I5767" s="29" t="e">
        <f>VLOOKUP(G5767,제품명!$C$1:$E$114,2,0)</f>
        <v>#N/A</v>
      </c>
      <c r="J5767" s="29">
        <f>'Raw data'!K5676</f>
        <v>0</v>
      </c>
      <c r="K5767" s="31">
        <f>'Raw data'!H5676</f>
        <v>0</v>
      </c>
      <c r="L5767" s="26">
        <f t="shared" si="184"/>
        <v>0</v>
      </c>
    </row>
    <row r="5768" spans="2:12">
      <c r="B5768" s="4" t="e">
        <f t="shared" si="183"/>
        <v>#N/A</v>
      </c>
      <c r="C5768" s="4">
        <f>'Raw data'!E5344</f>
        <v>0</v>
      </c>
      <c r="D5768" s="29" t="e">
        <f>VLOOKUP(C5768,'점포코드 '!A:B,2,0)</f>
        <v>#N/A</v>
      </c>
      <c r="E5768" s="30">
        <f>'Raw data'!P5344</f>
        <v>0</v>
      </c>
      <c r="F5768" s="29" t="e">
        <f>VLOOKUP(E5768,'점포코드 '!A:B,2,0)</f>
        <v>#N/A</v>
      </c>
      <c r="G5768" s="46">
        <f>'Raw data'!F5677</f>
        <v>0</v>
      </c>
      <c r="H5768" s="4">
        <f>'Raw data'!G5677</f>
        <v>0</v>
      </c>
      <c r="I5768" s="29" t="e">
        <f>VLOOKUP(G5768,제품명!$C$1:$E$114,2,0)</f>
        <v>#N/A</v>
      </c>
      <c r="J5768" s="29">
        <f>'Raw data'!K5677</f>
        <v>0</v>
      </c>
      <c r="K5768" s="31">
        <f>'Raw data'!H5677</f>
        <v>0</v>
      </c>
      <c r="L5768" s="26">
        <f t="shared" si="184"/>
        <v>0</v>
      </c>
    </row>
    <row r="5769" spans="2:12">
      <c r="B5769" s="4" t="e">
        <f t="shared" si="183"/>
        <v>#N/A</v>
      </c>
      <c r="C5769" s="4">
        <f>'Raw data'!E5345</f>
        <v>0</v>
      </c>
      <c r="D5769" s="29" t="e">
        <f>VLOOKUP(C5769,'점포코드 '!A:B,2,0)</f>
        <v>#N/A</v>
      </c>
      <c r="E5769" s="30">
        <f>'Raw data'!P5345</f>
        <v>0</v>
      </c>
      <c r="F5769" s="29" t="e">
        <f>VLOOKUP(E5769,'점포코드 '!A:B,2,0)</f>
        <v>#N/A</v>
      </c>
      <c r="G5769" s="46">
        <f>'Raw data'!F5678</f>
        <v>0</v>
      </c>
      <c r="H5769" s="4">
        <f>'Raw data'!G5678</f>
        <v>0</v>
      </c>
      <c r="I5769" s="29" t="e">
        <f>VLOOKUP(G5769,제품명!$C$1:$E$114,2,0)</f>
        <v>#N/A</v>
      </c>
      <c r="J5769" s="29">
        <f>'Raw data'!K5678</f>
        <v>0</v>
      </c>
      <c r="K5769" s="31">
        <f>'Raw data'!H5678</f>
        <v>0</v>
      </c>
      <c r="L5769" s="26">
        <f t="shared" si="184"/>
        <v>0</v>
      </c>
    </row>
    <row r="5770" spans="2:12">
      <c r="B5770" s="4" t="e">
        <f t="shared" si="183"/>
        <v>#N/A</v>
      </c>
      <c r="C5770" s="4">
        <f>'Raw data'!E5346</f>
        <v>0</v>
      </c>
      <c r="D5770" s="29" t="e">
        <f>VLOOKUP(C5770,'점포코드 '!A:B,2,0)</f>
        <v>#N/A</v>
      </c>
      <c r="E5770" s="30">
        <f>'Raw data'!P5346</f>
        <v>0</v>
      </c>
      <c r="F5770" s="29" t="e">
        <f>VLOOKUP(E5770,'점포코드 '!A:B,2,0)</f>
        <v>#N/A</v>
      </c>
      <c r="G5770" s="46">
        <f>'Raw data'!F5679</f>
        <v>0</v>
      </c>
      <c r="H5770" s="4">
        <f>'Raw data'!G5679</f>
        <v>0</v>
      </c>
      <c r="I5770" s="29" t="e">
        <f>VLOOKUP(G5770,제품명!$C$1:$E$114,2,0)</f>
        <v>#N/A</v>
      </c>
      <c r="J5770" s="29">
        <f>'Raw data'!K5679</f>
        <v>0</v>
      </c>
      <c r="K5770" s="31">
        <f>'Raw data'!H5679</f>
        <v>0</v>
      </c>
      <c r="L5770" s="26">
        <f t="shared" si="184"/>
        <v>0</v>
      </c>
    </row>
    <row r="5771" spans="2:12">
      <c r="B5771" s="4" t="e">
        <f t="shared" si="183"/>
        <v>#N/A</v>
      </c>
      <c r="C5771" s="4">
        <f>'Raw data'!E5347</f>
        <v>0</v>
      </c>
      <c r="D5771" s="29" t="e">
        <f>VLOOKUP(C5771,'점포코드 '!A:B,2,0)</f>
        <v>#N/A</v>
      </c>
      <c r="E5771" s="30">
        <f>'Raw data'!P5347</f>
        <v>0</v>
      </c>
      <c r="F5771" s="29" t="e">
        <f>VLOOKUP(E5771,'점포코드 '!A:B,2,0)</f>
        <v>#N/A</v>
      </c>
      <c r="G5771" s="46">
        <f>'Raw data'!F5680</f>
        <v>0</v>
      </c>
      <c r="H5771" s="4">
        <f>'Raw data'!G5680</f>
        <v>0</v>
      </c>
      <c r="I5771" s="29" t="e">
        <f>VLOOKUP(G5771,제품명!$C$1:$E$114,2,0)</f>
        <v>#N/A</v>
      </c>
      <c r="J5771" s="29">
        <f>'Raw data'!K5680</f>
        <v>0</v>
      </c>
      <c r="K5771" s="31">
        <f>'Raw data'!H5680</f>
        <v>0</v>
      </c>
      <c r="L5771" s="26">
        <f t="shared" si="184"/>
        <v>0</v>
      </c>
    </row>
    <row r="5772" spans="2:12">
      <c r="B5772" s="4" t="e">
        <f t="shared" si="183"/>
        <v>#N/A</v>
      </c>
      <c r="C5772" s="4">
        <f>'Raw data'!E5348</f>
        <v>0</v>
      </c>
      <c r="D5772" s="29" t="e">
        <f>VLOOKUP(C5772,'점포코드 '!A:B,2,0)</f>
        <v>#N/A</v>
      </c>
      <c r="E5772" s="30">
        <f>'Raw data'!P5348</f>
        <v>0</v>
      </c>
      <c r="F5772" s="29" t="e">
        <f>VLOOKUP(E5772,'점포코드 '!A:B,2,0)</f>
        <v>#N/A</v>
      </c>
      <c r="G5772" s="46">
        <f>'Raw data'!F5681</f>
        <v>0</v>
      </c>
      <c r="H5772" s="4">
        <f>'Raw data'!G5681</f>
        <v>0</v>
      </c>
      <c r="I5772" s="29" t="e">
        <f>VLOOKUP(G5772,제품명!$C$1:$E$114,2,0)</f>
        <v>#N/A</v>
      </c>
      <c r="J5772" s="29">
        <f>'Raw data'!K5681</f>
        <v>0</v>
      </c>
      <c r="K5772" s="31">
        <f>'Raw data'!H5681</f>
        <v>0</v>
      </c>
      <c r="L5772" s="26">
        <f t="shared" si="184"/>
        <v>0</v>
      </c>
    </row>
    <row r="5773" spans="2:12">
      <c r="B5773" s="4" t="e">
        <f t="shared" si="183"/>
        <v>#N/A</v>
      </c>
      <c r="C5773" s="4">
        <f>'Raw data'!E5349</f>
        <v>0</v>
      </c>
      <c r="D5773" s="29" t="e">
        <f>VLOOKUP(C5773,'점포코드 '!A:B,2,0)</f>
        <v>#N/A</v>
      </c>
      <c r="E5773" s="30">
        <f>'Raw data'!P5349</f>
        <v>0</v>
      </c>
      <c r="F5773" s="29" t="e">
        <f>VLOOKUP(E5773,'점포코드 '!A:B,2,0)</f>
        <v>#N/A</v>
      </c>
      <c r="G5773" s="46">
        <f>'Raw data'!F5682</f>
        <v>0</v>
      </c>
      <c r="H5773" s="4">
        <f>'Raw data'!G5682</f>
        <v>0</v>
      </c>
      <c r="I5773" s="29" t="e">
        <f>VLOOKUP(G5773,제품명!$C$1:$E$114,2,0)</f>
        <v>#N/A</v>
      </c>
      <c r="J5773" s="29">
        <f>'Raw data'!K5682</f>
        <v>0</v>
      </c>
      <c r="K5773" s="31">
        <f>'Raw data'!H5682</f>
        <v>0</v>
      </c>
      <c r="L5773" s="26">
        <f t="shared" si="184"/>
        <v>0</v>
      </c>
    </row>
    <row r="5774" spans="2:12">
      <c r="B5774" s="4" t="e">
        <f t="shared" si="183"/>
        <v>#N/A</v>
      </c>
      <c r="C5774" s="4">
        <f>'Raw data'!E5350</f>
        <v>0</v>
      </c>
      <c r="D5774" s="29" t="e">
        <f>VLOOKUP(C5774,'점포코드 '!A:B,2,0)</f>
        <v>#N/A</v>
      </c>
      <c r="E5774" s="30">
        <f>'Raw data'!P5350</f>
        <v>0</v>
      </c>
      <c r="F5774" s="29" t="e">
        <f>VLOOKUP(E5774,'점포코드 '!A:B,2,0)</f>
        <v>#N/A</v>
      </c>
      <c r="G5774" s="46">
        <f>'Raw data'!F5683</f>
        <v>0</v>
      </c>
      <c r="H5774" s="4">
        <f>'Raw data'!G5683</f>
        <v>0</v>
      </c>
      <c r="I5774" s="29" t="e">
        <f>VLOOKUP(G5774,제품명!$C$1:$E$114,2,0)</f>
        <v>#N/A</v>
      </c>
      <c r="J5774" s="29">
        <f>'Raw data'!K5683</f>
        <v>0</v>
      </c>
      <c r="K5774" s="31">
        <f>'Raw data'!H5683</f>
        <v>0</v>
      </c>
      <c r="L5774" s="26">
        <f t="shared" si="184"/>
        <v>0</v>
      </c>
    </row>
    <row r="5775" spans="2:12">
      <c r="B5775" s="4" t="e">
        <f t="shared" si="183"/>
        <v>#N/A</v>
      </c>
      <c r="C5775" s="4">
        <f>'Raw data'!E5351</f>
        <v>0</v>
      </c>
      <c r="D5775" s="29" t="e">
        <f>VLOOKUP(C5775,'점포코드 '!A:B,2,0)</f>
        <v>#N/A</v>
      </c>
      <c r="E5775" s="30">
        <f>'Raw data'!P5351</f>
        <v>0</v>
      </c>
      <c r="F5775" s="29" t="e">
        <f>VLOOKUP(E5775,'점포코드 '!A:B,2,0)</f>
        <v>#N/A</v>
      </c>
      <c r="G5775" s="46">
        <f>'Raw data'!F5684</f>
        <v>0</v>
      </c>
      <c r="H5775" s="4">
        <f>'Raw data'!G5684</f>
        <v>0</v>
      </c>
      <c r="I5775" s="29" t="e">
        <f>VLOOKUP(G5775,제품명!$C$1:$E$114,2,0)</f>
        <v>#N/A</v>
      </c>
      <c r="J5775" s="29">
        <f>'Raw data'!K5684</f>
        <v>0</v>
      </c>
      <c r="K5775" s="31">
        <f>'Raw data'!H5684</f>
        <v>0</v>
      </c>
      <c r="L5775" s="26">
        <f t="shared" si="184"/>
        <v>0</v>
      </c>
    </row>
    <row r="5776" spans="2:12">
      <c r="B5776" s="4" t="e">
        <f t="shared" si="183"/>
        <v>#N/A</v>
      </c>
      <c r="C5776" s="4">
        <f>'Raw data'!E5352</f>
        <v>0</v>
      </c>
      <c r="D5776" s="29" t="e">
        <f>VLOOKUP(C5776,'점포코드 '!A:B,2,0)</f>
        <v>#N/A</v>
      </c>
      <c r="E5776" s="30">
        <f>'Raw data'!P5352</f>
        <v>0</v>
      </c>
      <c r="F5776" s="29" t="e">
        <f>VLOOKUP(E5776,'점포코드 '!A:B,2,0)</f>
        <v>#N/A</v>
      </c>
      <c r="G5776" s="46">
        <f>'Raw data'!F5685</f>
        <v>0</v>
      </c>
      <c r="H5776" s="4">
        <f>'Raw data'!G5685</f>
        <v>0</v>
      </c>
      <c r="I5776" s="29" t="e">
        <f>VLOOKUP(G5776,제품명!$C$1:$E$114,2,0)</f>
        <v>#N/A</v>
      </c>
      <c r="J5776" s="29">
        <f>'Raw data'!K5685</f>
        <v>0</v>
      </c>
      <c r="K5776" s="31">
        <f>'Raw data'!H5685</f>
        <v>0</v>
      </c>
      <c r="L5776" s="26">
        <f t="shared" si="184"/>
        <v>0</v>
      </c>
    </row>
    <row r="5777" spans="2:12">
      <c r="B5777" s="4" t="e">
        <f t="shared" si="183"/>
        <v>#N/A</v>
      </c>
      <c r="C5777" s="4">
        <f>'Raw data'!E5353</f>
        <v>0</v>
      </c>
      <c r="D5777" s="29" t="e">
        <f>VLOOKUP(C5777,'점포코드 '!A:B,2,0)</f>
        <v>#N/A</v>
      </c>
      <c r="E5777" s="30">
        <f>'Raw data'!P5353</f>
        <v>0</v>
      </c>
      <c r="F5777" s="29" t="e">
        <f>VLOOKUP(E5777,'점포코드 '!A:B,2,0)</f>
        <v>#N/A</v>
      </c>
      <c r="G5777" s="46">
        <f>'Raw data'!F5686</f>
        <v>0</v>
      </c>
      <c r="H5777" s="4">
        <f>'Raw data'!G5686</f>
        <v>0</v>
      </c>
      <c r="I5777" s="29" t="e">
        <f>VLOOKUP(G5777,제품명!$C$1:$E$114,2,0)</f>
        <v>#N/A</v>
      </c>
      <c r="J5777" s="29">
        <f>'Raw data'!K5686</f>
        <v>0</v>
      </c>
      <c r="K5777" s="31">
        <f>'Raw data'!H5686</f>
        <v>0</v>
      </c>
      <c r="L5777" s="26">
        <f t="shared" si="184"/>
        <v>0</v>
      </c>
    </row>
    <row r="5778" spans="2:12">
      <c r="B5778" s="4" t="e">
        <f t="shared" si="183"/>
        <v>#N/A</v>
      </c>
      <c r="C5778" s="4">
        <f>'Raw data'!E5354</f>
        <v>0</v>
      </c>
      <c r="D5778" s="29" t="e">
        <f>VLOOKUP(C5778,'점포코드 '!A:B,2,0)</f>
        <v>#N/A</v>
      </c>
      <c r="E5778" s="30">
        <f>'Raw data'!P5354</f>
        <v>0</v>
      </c>
      <c r="F5778" s="29" t="e">
        <f>VLOOKUP(E5778,'점포코드 '!A:B,2,0)</f>
        <v>#N/A</v>
      </c>
      <c r="G5778" s="46">
        <f>'Raw data'!F5687</f>
        <v>0</v>
      </c>
      <c r="H5778" s="4">
        <f>'Raw data'!G5687</f>
        <v>0</v>
      </c>
      <c r="I5778" s="29" t="e">
        <f>VLOOKUP(G5778,제품명!$C$1:$E$114,2,0)</f>
        <v>#N/A</v>
      </c>
      <c r="J5778" s="29">
        <f>'Raw data'!K5687</f>
        <v>0</v>
      </c>
      <c r="K5778" s="31">
        <f>'Raw data'!H5687</f>
        <v>0</v>
      </c>
      <c r="L5778" s="26">
        <f t="shared" si="184"/>
        <v>0</v>
      </c>
    </row>
    <row r="5779" spans="2:12">
      <c r="B5779" s="4" t="e">
        <f t="shared" si="183"/>
        <v>#N/A</v>
      </c>
      <c r="C5779" s="4">
        <f>'Raw data'!E5355</f>
        <v>0</v>
      </c>
      <c r="D5779" s="29" t="e">
        <f>VLOOKUP(C5779,'점포코드 '!A:B,2,0)</f>
        <v>#N/A</v>
      </c>
      <c r="E5779" s="30">
        <f>'Raw data'!P5355</f>
        <v>0</v>
      </c>
      <c r="F5779" s="29" t="e">
        <f>VLOOKUP(E5779,'점포코드 '!A:B,2,0)</f>
        <v>#N/A</v>
      </c>
      <c r="G5779" s="46">
        <f>'Raw data'!F5688</f>
        <v>0</v>
      </c>
      <c r="H5779" s="4">
        <f>'Raw data'!G5688</f>
        <v>0</v>
      </c>
      <c r="I5779" s="29" t="e">
        <f>VLOOKUP(G5779,제품명!$C$1:$E$114,2,0)</f>
        <v>#N/A</v>
      </c>
      <c r="J5779" s="29">
        <f>'Raw data'!K5688</f>
        <v>0</v>
      </c>
      <c r="K5779" s="31">
        <f>'Raw data'!H5688</f>
        <v>0</v>
      </c>
      <c r="L5779" s="26">
        <f t="shared" si="184"/>
        <v>0</v>
      </c>
    </row>
    <row r="5780" spans="2:12">
      <c r="B5780" s="4" t="e">
        <f t="shared" si="183"/>
        <v>#N/A</v>
      </c>
      <c r="C5780" s="4">
        <f>'Raw data'!E5356</f>
        <v>0</v>
      </c>
      <c r="D5780" s="29" t="e">
        <f>VLOOKUP(C5780,'점포코드 '!A:B,2,0)</f>
        <v>#N/A</v>
      </c>
      <c r="E5780" s="30">
        <f>'Raw data'!P5356</f>
        <v>0</v>
      </c>
      <c r="F5780" s="29" t="e">
        <f>VLOOKUP(E5780,'점포코드 '!A:B,2,0)</f>
        <v>#N/A</v>
      </c>
      <c r="G5780" s="46">
        <f>'Raw data'!F5689</f>
        <v>0</v>
      </c>
      <c r="H5780" s="4">
        <f>'Raw data'!G5689</f>
        <v>0</v>
      </c>
      <c r="I5780" s="29" t="e">
        <f>VLOOKUP(G5780,제품명!$C$1:$E$114,2,0)</f>
        <v>#N/A</v>
      </c>
      <c r="J5780" s="29">
        <f>'Raw data'!K5689</f>
        <v>0</v>
      </c>
      <c r="K5780" s="31">
        <f>'Raw data'!H5689</f>
        <v>0</v>
      </c>
      <c r="L5780" s="26">
        <f t="shared" si="184"/>
        <v>0</v>
      </c>
    </row>
    <row r="5781" spans="2:12">
      <c r="B5781" s="4" t="e">
        <f t="shared" si="183"/>
        <v>#N/A</v>
      </c>
      <c r="C5781" s="4">
        <f>'Raw data'!E5357</f>
        <v>0</v>
      </c>
      <c r="D5781" s="29" t="e">
        <f>VLOOKUP(C5781,'점포코드 '!A:B,2,0)</f>
        <v>#N/A</v>
      </c>
      <c r="E5781" s="30">
        <f>'Raw data'!P5357</f>
        <v>0</v>
      </c>
      <c r="F5781" s="29" t="e">
        <f>VLOOKUP(E5781,'점포코드 '!A:B,2,0)</f>
        <v>#N/A</v>
      </c>
      <c r="G5781" s="46">
        <f>'Raw data'!F5690</f>
        <v>0</v>
      </c>
      <c r="H5781" s="4">
        <f>'Raw data'!G5690</f>
        <v>0</v>
      </c>
      <c r="I5781" s="29" t="e">
        <f>VLOOKUP(G5781,제품명!$C$1:$E$114,2,0)</f>
        <v>#N/A</v>
      </c>
      <c r="J5781" s="29">
        <f>'Raw data'!K5690</f>
        <v>0</v>
      </c>
      <c r="K5781" s="31">
        <f>'Raw data'!H5690</f>
        <v>0</v>
      </c>
      <c r="L5781" s="26">
        <f t="shared" si="184"/>
        <v>0</v>
      </c>
    </row>
    <row r="5782" spans="2:12">
      <c r="B5782" s="4" t="e">
        <f t="shared" si="183"/>
        <v>#N/A</v>
      </c>
      <c r="C5782" s="4">
        <f>'Raw data'!E5358</f>
        <v>0</v>
      </c>
      <c r="D5782" s="29" t="e">
        <f>VLOOKUP(C5782,'점포코드 '!A:B,2,0)</f>
        <v>#N/A</v>
      </c>
      <c r="E5782" s="30">
        <f>'Raw data'!P5358</f>
        <v>0</v>
      </c>
      <c r="F5782" s="29" t="e">
        <f>VLOOKUP(E5782,'점포코드 '!A:B,2,0)</f>
        <v>#N/A</v>
      </c>
      <c r="G5782" s="46">
        <f>'Raw data'!F5691</f>
        <v>0</v>
      </c>
      <c r="H5782" s="4">
        <f>'Raw data'!G5691</f>
        <v>0</v>
      </c>
      <c r="I5782" s="29" t="e">
        <f>VLOOKUP(G5782,제품명!$C$1:$E$114,2,0)</f>
        <v>#N/A</v>
      </c>
      <c r="J5782" s="29">
        <f>'Raw data'!K5691</f>
        <v>0</v>
      </c>
      <c r="K5782" s="31">
        <f>'Raw data'!H5691</f>
        <v>0</v>
      </c>
      <c r="L5782" s="26">
        <f t="shared" si="184"/>
        <v>0</v>
      </c>
    </row>
    <row r="5783" spans="2:12">
      <c r="B5783" s="4" t="e">
        <f t="shared" si="183"/>
        <v>#N/A</v>
      </c>
      <c r="C5783" s="4">
        <f>'Raw data'!E5359</f>
        <v>0</v>
      </c>
      <c r="D5783" s="29" t="e">
        <f>VLOOKUP(C5783,'점포코드 '!A:B,2,0)</f>
        <v>#N/A</v>
      </c>
      <c r="E5783" s="30">
        <f>'Raw data'!P5359</f>
        <v>0</v>
      </c>
      <c r="F5783" s="29" t="e">
        <f>VLOOKUP(E5783,'점포코드 '!A:B,2,0)</f>
        <v>#N/A</v>
      </c>
      <c r="G5783" s="46">
        <f>'Raw data'!F5692</f>
        <v>0</v>
      </c>
      <c r="H5783" s="4">
        <f>'Raw data'!G5692</f>
        <v>0</v>
      </c>
      <c r="I5783" s="29" t="e">
        <f>VLOOKUP(G5783,제품명!$C$1:$E$114,2,0)</f>
        <v>#N/A</v>
      </c>
      <c r="J5783" s="29">
        <f>'Raw data'!K5692</f>
        <v>0</v>
      </c>
      <c r="K5783" s="31">
        <f>'Raw data'!H5692</f>
        <v>0</v>
      </c>
      <c r="L5783" s="26">
        <f t="shared" si="184"/>
        <v>0</v>
      </c>
    </row>
    <row r="5784" spans="2:12">
      <c r="B5784" s="4" t="e">
        <f t="shared" si="183"/>
        <v>#N/A</v>
      </c>
      <c r="C5784" s="4">
        <f>'Raw data'!E5360</f>
        <v>0</v>
      </c>
      <c r="D5784" s="29" t="e">
        <f>VLOOKUP(C5784,'점포코드 '!A:B,2,0)</f>
        <v>#N/A</v>
      </c>
      <c r="E5784" s="30">
        <f>'Raw data'!P5360</f>
        <v>0</v>
      </c>
      <c r="F5784" s="29" t="e">
        <f>VLOOKUP(E5784,'점포코드 '!A:B,2,0)</f>
        <v>#N/A</v>
      </c>
      <c r="G5784" s="46">
        <f>'Raw data'!F5693</f>
        <v>0</v>
      </c>
      <c r="H5784" s="4">
        <f>'Raw data'!G5693</f>
        <v>0</v>
      </c>
      <c r="I5784" s="29" t="e">
        <f>VLOOKUP(G5784,제품명!$C$1:$E$114,2,0)</f>
        <v>#N/A</v>
      </c>
      <c r="J5784" s="29">
        <f>'Raw data'!K5693</f>
        <v>0</v>
      </c>
      <c r="K5784" s="31">
        <f>'Raw data'!H5693</f>
        <v>0</v>
      </c>
      <c r="L5784" s="26">
        <f t="shared" si="184"/>
        <v>0</v>
      </c>
    </row>
    <row r="5785" spans="2:12">
      <c r="B5785" s="4" t="e">
        <f t="shared" si="183"/>
        <v>#N/A</v>
      </c>
      <c r="C5785" s="4">
        <f>'Raw data'!E5361</f>
        <v>0</v>
      </c>
      <c r="D5785" s="29" t="e">
        <f>VLOOKUP(C5785,'점포코드 '!A:B,2,0)</f>
        <v>#N/A</v>
      </c>
      <c r="E5785" s="30">
        <f>'Raw data'!P5361</f>
        <v>0</v>
      </c>
      <c r="F5785" s="29" t="e">
        <f>VLOOKUP(E5785,'점포코드 '!A:B,2,0)</f>
        <v>#N/A</v>
      </c>
      <c r="G5785" s="46">
        <f>'Raw data'!F5694</f>
        <v>0</v>
      </c>
      <c r="H5785" s="4">
        <f>'Raw data'!G5694</f>
        <v>0</v>
      </c>
      <c r="I5785" s="29" t="e">
        <f>VLOOKUP(G5785,제품명!$C$1:$E$114,2,0)</f>
        <v>#N/A</v>
      </c>
      <c r="J5785" s="29">
        <f>'Raw data'!K5694</f>
        <v>0</v>
      </c>
      <c r="K5785" s="31">
        <f>'Raw data'!H5694</f>
        <v>0</v>
      </c>
      <c r="L5785" s="26">
        <f t="shared" si="184"/>
        <v>0</v>
      </c>
    </row>
    <row r="5786" spans="2:12">
      <c r="B5786" s="4" t="e">
        <f t="shared" si="183"/>
        <v>#N/A</v>
      </c>
      <c r="C5786" s="4">
        <f>'Raw data'!E5362</f>
        <v>0</v>
      </c>
      <c r="D5786" s="29" t="e">
        <f>VLOOKUP(C5786,'점포코드 '!A:B,2,0)</f>
        <v>#N/A</v>
      </c>
      <c r="E5786" s="30">
        <f>'Raw data'!P5362</f>
        <v>0</v>
      </c>
      <c r="F5786" s="29" t="e">
        <f>VLOOKUP(E5786,'점포코드 '!A:B,2,0)</f>
        <v>#N/A</v>
      </c>
      <c r="G5786" s="46">
        <f>'Raw data'!F5695</f>
        <v>0</v>
      </c>
      <c r="H5786" s="4">
        <f>'Raw data'!G5695</f>
        <v>0</v>
      </c>
      <c r="I5786" s="29" t="e">
        <f>VLOOKUP(G5786,제품명!$C$1:$E$114,2,0)</f>
        <v>#N/A</v>
      </c>
      <c r="J5786" s="29">
        <f>'Raw data'!K5695</f>
        <v>0</v>
      </c>
      <c r="K5786" s="31">
        <f>'Raw data'!H5695</f>
        <v>0</v>
      </c>
      <c r="L5786" s="26">
        <f t="shared" si="184"/>
        <v>0</v>
      </c>
    </row>
    <row r="5787" spans="2:12">
      <c r="B5787" s="4" t="e">
        <f t="shared" si="183"/>
        <v>#N/A</v>
      </c>
      <c r="C5787" s="4">
        <f>'Raw data'!E5363</f>
        <v>0</v>
      </c>
      <c r="D5787" s="29" t="e">
        <f>VLOOKUP(C5787,'점포코드 '!A:B,2,0)</f>
        <v>#N/A</v>
      </c>
      <c r="E5787" s="30">
        <f>'Raw data'!P5363</f>
        <v>0</v>
      </c>
      <c r="F5787" s="29" t="e">
        <f>VLOOKUP(E5787,'점포코드 '!A:B,2,0)</f>
        <v>#N/A</v>
      </c>
      <c r="G5787" s="46">
        <f>'Raw data'!F5696</f>
        <v>0</v>
      </c>
      <c r="H5787" s="4">
        <f>'Raw data'!G5696</f>
        <v>0</v>
      </c>
      <c r="I5787" s="29" t="e">
        <f>VLOOKUP(G5787,제품명!$C$1:$E$114,2,0)</f>
        <v>#N/A</v>
      </c>
      <c r="J5787" s="29">
        <f>'Raw data'!K5696</f>
        <v>0</v>
      </c>
      <c r="K5787" s="31">
        <f>'Raw data'!H5696</f>
        <v>0</v>
      </c>
      <c r="L5787" s="26">
        <f t="shared" si="184"/>
        <v>0</v>
      </c>
    </row>
    <row r="5788" spans="2:12">
      <c r="B5788" s="4" t="e">
        <f t="shared" si="183"/>
        <v>#N/A</v>
      </c>
      <c r="C5788" s="4">
        <f>'Raw data'!E5364</f>
        <v>0</v>
      </c>
      <c r="D5788" s="29" t="e">
        <f>VLOOKUP(C5788,'점포코드 '!A:B,2,0)</f>
        <v>#N/A</v>
      </c>
      <c r="E5788" s="30">
        <f>'Raw data'!P5364</f>
        <v>0</v>
      </c>
      <c r="F5788" s="29" t="e">
        <f>VLOOKUP(E5788,'점포코드 '!A:B,2,0)</f>
        <v>#N/A</v>
      </c>
      <c r="G5788" s="46">
        <f>'Raw data'!F5697</f>
        <v>0</v>
      </c>
      <c r="H5788" s="4">
        <f>'Raw data'!G5697</f>
        <v>0</v>
      </c>
      <c r="I5788" s="29" t="e">
        <f>VLOOKUP(G5788,제품명!$C$1:$E$114,2,0)</f>
        <v>#N/A</v>
      </c>
      <c r="J5788" s="29">
        <f>'Raw data'!K5697</f>
        <v>0</v>
      </c>
      <c r="K5788" s="31">
        <f>'Raw data'!H5697</f>
        <v>0</v>
      </c>
      <c r="L5788" s="26">
        <f t="shared" si="184"/>
        <v>0</v>
      </c>
    </row>
    <row r="5789" spans="2:12">
      <c r="B5789" s="4" t="e">
        <f t="shared" si="183"/>
        <v>#N/A</v>
      </c>
      <c r="C5789" s="4">
        <f>'Raw data'!E5365</f>
        <v>0</v>
      </c>
      <c r="D5789" s="29" t="e">
        <f>VLOOKUP(C5789,'점포코드 '!A:B,2,0)</f>
        <v>#N/A</v>
      </c>
      <c r="E5789" s="30">
        <f>'Raw data'!P5365</f>
        <v>0</v>
      </c>
      <c r="F5789" s="29" t="e">
        <f>VLOOKUP(E5789,'점포코드 '!A:B,2,0)</f>
        <v>#N/A</v>
      </c>
      <c r="G5789" s="46">
        <f>'Raw data'!F5698</f>
        <v>0</v>
      </c>
      <c r="H5789" s="4">
        <f>'Raw data'!G5698</f>
        <v>0</v>
      </c>
      <c r="I5789" s="29" t="e">
        <f>VLOOKUP(G5789,제품명!$C$1:$E$114,2,0)</f>
        <v>#N/A</v>
      </c>
      <c r="J5789" s="29">
        <f>'Raw data'!K5698</f>
        <v>0</v>
      </c>
      <c r="K5789" s="31">
        <f>'Raw data'!H5698</f>
        <v>0</v>
      </c>
      <c r="L5789" s="26">
        <f t="shared" si="184"/>
        <v>0</v>
      </c>
    </row>
    <row r="5790" spans="2:12">
      <c r="B5790" s="4" t="e">
        <f t="shared" si="183"/>
        <v>#N/A</v>
      </c>
      <c r="C5790" s="4">
        <f>'Raw data'!E5366</f>
        <v>0</v>
      </c>
      <c r="D5790" s="29" t="e">
        <f>VLOOKUP(C5790,'점포코드 '!A:B,2,0)</f>
        <v>#N/A</v>
      </c>
      <c r="E5790" s="30">
        <f>'Raw data'!P5366</f>
        <v>0</v>
      </c>
      <c r="F5790" s="29" t="e">
        <f>VLOOKUP(E5790,'점포코드 '!A:B,2,0)</f>
        <v>#N/A</v>
      </c>
      <c r="G5790" s="46">
        <f>'Raw data'!F5699</f>
        <v>0</v>
      </c>
      <c r="H5790" s="4">
        <f>'Raw data'!G5699</f>
        <v>0</v>
      </c>
      <c r="I5790" s="29" t="e">
        <f>VLOOKUP(G5790,제품명!$C$1:$E$114,2,0)</f>
        <v>#N/A</v>
      </c>
      <c r="J5790" s="29">
        <f>'Raw data'!K5699</f>
        <v>0</v>
      </c>
      <c r="K5790" s="31">
        <f>'Raw data'!H5699</f>
        <v>0</v>
      </c>
      <c r="L5790" s="26">
        <f t="shared" si="184"/>
        <v>0</v>
      </c>
    </row>
    <row r="5791" spans="2:12">
      <c r="B5791" s="4" t="e">
        <f t="shared" si="183"/>
        <v>#N/A</v>
      </c>
      <c r="C5791" s="4">
        <f>'Raw data'!E5367</f>
        <v>0</v>
      </c>
      <c r="D5791" s="29" t="e">
        <f>VLOOKUP(C5791,'점포코드 '!A:B,2,0)</f>
        <v>#N/A</v>
      </c>
      <c r="E5791" s="30">
        <f>'Raw data'!P5367</f>
        <v>0</v>
      </c>
      <c r="F5791" s="29" t="e">
        <f>VLOOKUP(E5791,'점포코드 '!A:B,2,0)</f>
        <v>#N/A</v>
      </c>
      <c r="G5791" s="46">
        <f>'Raw data'!F5700</f>
        <v>0</v>
      </c>
      <c r="H5791" s="4">
        <f>'Raw data'!G5700</f>
        <v>0</v>
      </c>
      <c r="I5791" s="29" t="e">
        <f>VLOOKUP(G5791,제품명!$C$1:$E$114,2,0)</f>
        <v>#N/A</v>
      </c>
      <c r="J5791" s="29">
        <f>'Raw data'!K5700</f>
        <v>0</v>
      </c>
      <c r="K5791" s="31">
        <f>'Raw data'!H5700</f>
        <v>0</v>
      </c>
      <c r="L5791" s="26">
        <f t="shared" si="184"/>
        <v>0</v>
      </c>
    </row>
    <row r="5792" spans="2:12">
      <c r="B5792" s="4" t="e">
        <f t="shared" si="183"/>
        <v>#N/A</v>
      </c>
      <c r="C5792" s="4">
        <f>'Raw data'!E5368</f>
        <v>0</v>
      </c>
      <c r="D5792" s="29" t="e">
        <f>VLOOKUP(C5792,'점포코드 '!A:B,2,0)</f>
        <v>#N/A</v>
      </c>
      <c r="E5792" s="30">
        <f>'Raw data'!P5368</f>
        <v>0</v>
      </c>
      <c r="F5792" s="29" t="e">
        <f>VLOOKUP(E5792,'점포코드 '!A:B,2,0)</f>
        <v>#N/A</v>
      </c>
      <c r="G5792" s="46">
        <f>'Raw data'!F5701</f>
        <v>0</v>
      </c>
      <c r="H5792" s="4">
        <f>'Raw data'!G5701</f>
        <v>0</v>
      </c>
      <c r="I5792" s="29" t="e">
        <f>VLOOKUP(G5792,제품명!$C$1:$E$114,2,0)</f>
        <v>#N/A</v>
      </c>
      <c r="J5792" s="29">
        <f>'Raw data'!K5701</f>
        <v>0</v>
      </c>
      <c r="K5792" s="31">
        <f>'Raw data'!H5701</f>
        <v>0</v>
      </c>
      <c r="L5792" s="26">
        <f t="shared" si="184"/>
        <v>0</v>
      </c>
    </row>
    <row r="5793" spans="2:12">
      <c r="B5793" s="4" t="e">
        <f t="shared" si="183"/>
        <v>#N/A</v>
      </c>
      <c r="C5793" s="4">
        <f>'Raw data'!E5369</f>
        <v>0</v>
      </c>
      <c r="D5793" s="29" t="e">
        <f>VLOOKUP(C5793,'점포코드 '!A:B,2,0)</f>
        <v>#N/A</v>
      </c>
      <c r="E5793" s="30">
        <f>'Raw data'!P5369</f>
        <v>0</v>
      </c>
      <c r="F5793" s="29" t="e">
        <f>VLOOKUP(E5793,'점포코드 '!A:B,2,0)</f>
        <v>#N/A</v>
      </c>
      <c r="G5793" s="46">
        <f>'Raw data'!F5702</f>
        <v>0</v>
      </c>
      <c r="H5793" s="4">
        <f>'Raw data'!G5702</f>
        <v>0</v>
      </c>
      <c r="I5793" s="29" t="e">
        <f>VLOOKUP(G5793,제품명!$C$1:$E$114,2,0)</f>
        <v>#N/A</v>
      </c>
      <c r="J5793" s="29">
        <f>'Raw data'!K5702</f>
        <v>0</v>
      </c>
      <c r="K5793" s="31">
        <f>'Raw data'!H5702</f>
        <v>0</v>
      </c>
      <c r="L5793" s="26">
        <f t="shared" si="184"/>
        <v>0</v>
      </c>
    </row>
    <row r="5794" spans="2:12">
      <c r="B5794" s="4" t="e">
        <f t="shared" si="183"/>
        <v>#N/A</v>
      </c>
      <c r="C5794" s="4">
        <f>'Raw data'!E5370</f>
        <v>0</v>
      </c>
      <c r="D5794" s="29" t="e">
        <f>VLOOKUP(C5794,'점포코드 '!A:B,2,0)</f>
        <v>#N/A</v>
      </c>
      <c r="E5794" s="30">
        <f>'Raw data'!P5370</f>
        <v>0</v>
      </c>
      <c r="F5794" s="29" t="e">
        <f>VLOOKUP(E5794,'점포코드 '!A:B,2,0)</f>
        <v>#N/A</v>
      </c>
      <c r="G5794" s="46">
        <f>'Raw data'!F5703</f>
        <v>0</v>
      </c>
      <c r="H5794" s="4">
        <f>'Raw data'!G5703</f>
        <v>0</v>
      </c>
      <c r="I5794" s="29" t="e">
        <f>VLOOKUP(G5794,제품명!$C$1:$E$114,2,0)</f>
        <v>#N/A</v>
      </c>
      <c r="J5794" s="29">
        <f>'Raw data'!K5703</f>
        <v>0</v>
      </c>
      <c r="K5794" s="31">
        <f>'Raw data'!H5703</f>
        <v>0</v>
      </c>
      <c r="L5794" s="26">
        <f t="shared" si="184"/>
        <v>0</v>
      </c>
    </row>
    <row r="5795" spans="2:12">
      <c r="B5795" s="4" t="e">
        <f t="shared" si="183"/>
        <v>#N/A</v>
      </c>
      <c r="C5795" s="4">
        <f>'Raw data'!E5371</f>
        <v>0</v>
      </c>
      <c r="D5795" s="29" t="e">
        <f>VLOOKUP(C5795,'점포코드 '!A:B,2,0)</f>
        <v>#N/A</v>
      </c>
      <c r="E5795" s="30">
        <f>'Raw data'!P5371</f>
        <v>0</v>
      </c>
      <c r="F5795" s="29" t="e">
        <f>VLOOKUP(E5795,'점포코드 '!A:B,2,0)</f>
        <v>#N/A</v>
      </c>
      <c r="G5795" s="46">
        <f>'Raw data'!F5704</f>
        <v>0</v>
      </c>
      <c r="H5795" s="4">
        <f>'Raw data'!G5704</f>
        <v>0</v>
      </c>
      <c r="I5795" s="29" t="e">
        <f>VLOOKUP(G5795,제품명!$C$1:$E$114,2,0)</f>
        <v>#N/A</v>
      </c>
      <c r="J5795" s="29">
        <f>'Raw data'!K5704</f>
        <v>0</v>
      </c>
      <c r="K5795" s="31">
        <f>'Raw data'!H5704</f>
        <v>0</v>
      </c>
      <c r="L5795" s="26">
        <f t="shared" si="184"/>
        <v>0</v>
      </c>
    </row>
    <row r="5796" spans="2:12">
      <c r="B5796" s="4" t="e">
        <f t="shared" si="183"/>
        <v>#N/A</v>
      </c>
      <c r="C5796" s="4">
        <f>'Raw data'!E5372</f>
        <v>0</v>
      </c>
      <c r="D5796" s="29" t="e">
        <f>VLOOKUP(C5796,'점포코드 '!A:B,2,0)</f>
        <v>#N/A</v>
      </c>
      <c r="E5796" s="30">
        <f>'Raw data'!P5372</f>
        <v>0</v>
      </c>
      <c r="F5796" s="29" t="e">
        <f>VLOOKUP(E5796,'점포코드 '!A:B,2,0)</f>
        <v>#N/A</v>
      </c>
      <c r="G5796" s="46">
        <f>'Raw data'!F5705</f>
        <v>0</v>
      </c>
      <c r="H5796" s="4">
        <f>'Raw data'!G5705</f>
        <v>0</v>
      </c>
      <c r="I5796" s="29" t="e">
        <f>VLOOKUP(G5796,제품명!$C$1:$E$114,2,0)</f>
        <v>#N/A</v>
      </c>
      <c r="J5796" s="29">
        <f>'Raw data'!K5705</f>
        <v>0</v>
      </c>
      <c r="K5796" s="31">
        <f>'Raw data'!H5705</f>
        <v>0</v>
      </c>
      <c r="L5796" s="26">
        <f t="shared" si="184"/>
        <v>0</v>
      </c>
    </row>
    <row r="5797" spans="2:12">
      <c r="B5797" s="4" t="e">
        <f t="shared" si="183"/>
        <v>#N/A</v>
      </c>
      <c r="C5797" s="4">
        <f>'Raw data'!E5373</f>
        <v>0</v>
      </c>
      <c r="D5797" s="29" t="e">
        <f>VLOOKUP(C5797,'점포코드 '!A:B,2,0)</f>
        <v>#N/A</v>
      </c>
      <c r="E5797" s="30">
        <f>'Raw data'!P5373</f>
        <v>0</v>
      </c>
      <c r="F5797" s="29" t="e">
        <f>VLOOKUP(E5797,'점포코드 '!A:B,2,0)</f>
        <v>#N/A</v>
      </c>
      <c r="G5797" s="46">
        <f>'Raw data'!F5706</f>
        <v>0</v>
      </c>
      <c r="H5797" s="4">
        <f>'Raw data'!G5706</f>
        <v>0</v>
      </c>
      <c r="I5797" s="29" t="e">
        <f>VLOOKUP(G5797,제품명!$C$1:$E$114,2,0)</f>
        <v>#N/A</v>
      </c>
      <c r="J5797" s="29">
        <f>'Raw data'!K5706</f>
        <v>0</v>
      </c>
      <c r="K5797" s="31">
        <f>'Raw data'!H5706</f>
        <v>0</v>
      </c>
      <c r="L5797" s="26">
        <f t="shared" si="184"/>
        <v>0</v>
      </c>
    </row>
    <row r="5798" spans="2:12">
      <c r="B5798" s="4" t="e">
        <f t="shared" si="183"/>
        <v>#N/A</v>
      </c>
      <c r="C5798" s="4">
        <f>'Raw data'!E5374</f>
        <v>0</v>
      </c>
      <c r="D5798" s="29" t="e">
        <f>VLOOKUP(C5798,'점포코드 '!A:B,2,0)</f>
        <v>#N/A</v>
      </c>
      <c r="E5798" s="30">
        <f>'Raw data'!P5374</f>
        <v>0</v>
      </c>
      <c r="F5798" s="29" t="e">
        <f>VLOOKUP(E5798,'점포코드 '!A:B,2,0)</f>
        <v>#N/A</v>
      </c>
      <c r="G5798" s="46">
        <f>'Raw data'!F5707</f>
        <v>0</v>
      </c>
      <c r="H5798" s="4">
        <f>'Raw data'!G5707</f>
        <v>0</v>
      </c>
      <c r="I5798" s="29" t="e">
        <f>VLOOKUP(G5798,제품명!$C$1:$E$114,2,0)</f>
        <v>#N/A</v>
      </c>
      <c r="J5798" s="29">
        <f>'Raw data'!K5707</f>
        <v>0</v>
      </c>
      <c r="K5798" s="31">
        <f>'Raw data'!H5707</f>
        <v>0</v>
      </c>
      <c r="L5798" s="26">
        <f t="shared" si="184"/>
        <v>0</v>
      </c>
    </row>
    <row r="5799" spans="2:12">
      <c r="B5799" s="4" t="e">
        <f t="shared" si="183"/>
        <v>#N/A</v>
      </c>
      <c r="C5799" s="4">
        <f>'Raw data'!E5375</f>
        <v>0</v>
      </c>
      <c r="D5799" s="29" t="e">
        <f>VLOOKUP(C5799,'점포코드 '!A:B,2,0)</f>
        <v>#N/A</v>
      </c>
      <c r="E5799" s="30">
        <f>'Raw data'!P5375</f>
        <v>0</v>
      </c>
      <c r="F5799" s="29" t="e">
        <f>VLOOKUP(E5799,'점포코드 '!A:B,2,0)</f>
        <v>#N/A</v>
      </c>
      <c r="G5799" s="46">
        <f>'Raw data'!F5708</f>
        <v>0</v>
      </c>
      <c r="H5799" s="4">
        <f>'Raw data'!G5708</f>
        <v>0</v>
      </c>
      <c r="I5799" s="29" t="e">
        <f>VLOOKUP(G5799,제품명!$C$1:$E$114,2,0)</f>
        <v>#N/A</v>
      </c>
      <c r="J5799" s="29">
        <f>'Raw data'!K5708</f>
        <v>0</v>
      </c>
      <c r="K5799" s="31">
        <f>'Raw data'!H5708</f>
        <v>0</v>
      </c>
      <c r="L5799" s="26">
        <f t="shared" si="184"/>
        <v>0</v>
      </c>
    </row>
    <row r="5800" spans="2:12">
      <c r="B5800" s="4" t="e">
        <f t="shared" si="183"/>
        <v>#N/A</v>
      </c>
      <c r="C5800" s="4">
        <f>'Raw data'!E5376</f>
        <v>0</v>
      </c>
      <c r="D5800" s="29" t="e">
        <f>VLOOKUP(C5800,'점포코드 '!A:B,2,0)</f>
        <v>#N/A</v>
      </c>
      <c r="E5800" s="30">
        <f>'Raw data'!P5376</f>
        <v>0</v>
      </c>
      <c r="F5800" s="29" t="e">
        <f>VLOOKUP(E5800,'점포코드 '!A:B,2,0)</f>
        <v>#N/A</v>
      </c>
      <c r="G5800" s="46">
        <f>'Raw data'!F5709</f>
        <v>0</v>
      </c>
      <c r="H5800" s="4">
        <f>'Raw data'!G5709</f>
        <v>0</v>
      </c>
      <c r="I5800" s="29" t="e">
        <f>VLOOKUP(G5800,제품명!$C$1:$E$114,2,0)</f>
        <v>#N/A</v>
      </c>
      <c r="J5800" s="29">
        <f>'Raw data'!K5709</f>
        <v>0</v>
      </c>
      <c r="K5800" s="31">
        <f>'Raw data'!H5709</f>
        <v>0</v>
      </c>
      <c r="L5800" s="26">
        <f t="shared" si="184"/>
        <v>0</v>
      </c>
    </row>
    <row r="5801" spans="2:12">
      <c r="B5801" s="4" t="e">
        <f t="shared" si="183"/>
        <v>#N/A</v>
      </c>
      <c r="C5801" s="4">
        <f>'Raw data'!E5377</f>
        <v>0</v>
      </c>
      <c r="D5801" s="29" t="e">
        <f>VLOOKUP(C5801,'점포코드 '!A:B,2,0)</f>
        <v>#N/A</v>
      </c>
      <c r="E5801" s="30">
        <f>'Raw data'!P5377</f>
        <v>0</v>
      </c>
      <c r="F5801" s="29" t="e">
        <f>VLOOKUP(E5801,'점포코드 '!A:B,2,0)</f>
        <v>#N/A</v>
      </c>
      <c r="G5801" s="46">
        <f>'Raw data'!F5710</f>
        <v>0</v>
      </c>
      <c r="H5801" s="4">
        <f>'Raw data'!G5710</f>
        <v>0</v>
      </c>
      <c r="I5801" s="29" t="e">
        <f>VLOOKUP(G5801,제품명!$C$1:$E$114,2,0)</f>
        <v>#N/A</v>
      </c>
      <c r="J5801" s="29">
        <f>'Raw data'!K5710</f>
        <v>0</v>
      </c>
      <c r="K5801" s="31">
        <f>'Raw data'!H5710</f>
        <v>0</v>
      </c>
      <c r="L5801" s="26">
        <f t="shared" si="184"/>
        <v>0</v>
      </c>
    </row>
    <row r="5802" spans="2:12">
      <c r="B5802" s="4" t="e">
        <f t="shared" si="183"/>
        <v>#N/A</v>
      </c>
      <c r="C5802" s="4">
        <f>'Raw data'!E5378</f>
        <v>0</v>
      </c>
      <c r="D5802" s="29" t="e">
        <f>VLOOKUP(C5802,'점포코드 '!A:B,2,0)</f>
        <v>#N/A</v>
      </c>
      <c r="E5802" s="30">
        <f>'Raw data'!P5378</f>
        <v>0</v>
      </c>
      <c r="F5802" s="29" t="e">
        <f>VLOOKUP(E5802,'점포코드 '!A:B,2,0)</f>
        <v>#N/A</v>
      </c>
      <c r="G5802" s="46">
        <f>'Raw data'!F5711</f>
        <v>0</v>
      </c>
      <c r="H5802" s="4">
        <f>'Raw data'!G5711</f>
        <v>0</v>
      </c>
      <c r="I5802" s="29" t="e">
        <f>VLOOKUP(G5802,제품명!$C$1:$E$114,2,0)</f>
        <v>#N/A</v>
      </c>
      <c r="J5802" s="29">
        <f>'Raw data'!K5711</f>
        <v>0</v>
      </c>
      <c r="K5802" s="31">
        <f>'Raw data'!H5711</f>
        <v>0</v>
      </c>
      <c r="L5802" s="26">
        <f t="shared" si="184"/>
        <v>0</v>
      </c>
    </row>
    <row r="5803" spans="2:12">
      <c r="B5803" s="4" t="e">
        <f t="shared" si="183"/>
        <v>#N/A</v>
      </c>
      <c r="C5803" s="4">
        <f>'Raw data'!E5379</f>
        <v>0</v>
      </c>
      <c r="D5803" s="29" t="e">
        <f>VLOOKUP(C5803,'점포코드 '!A:B,2,0)</f>
        <v>#N/A</v>
      </c>
      <c r="E5803" s="30">
        <f>'Raw data'!P5379</f>
        <v>0</v>
      </c>
      <c r="F5803" s="29" t="e">
        <f>VLOOKUP(E5803,'점포코드 '!A:B,2,0)</f>
        <v>#N/A</v>
      </c>
      <c r="G5803" s="46">
        <f>'Raw data'!F5712</f>
        <v>0</v>
      </c>
      <c r="H5803" s="4">
        <f>'Raw data'!G5712</f>
        <v>0</v>
      </c>
      <c r="I5803" s="29" t="e">
        <f>VLOOKUP(G5803,제품명!$C$1:$E$114,2,0)</f>
        <v>#N/A</v>
      </c>
      <c r="J5803" s="29">
        <f>'Raw data'!K5712</f>
        <v>0</v>
      </c>
      <c r="K5803" s="31">
        <f>'Raw data'!H5712</f>
        <v>0</v>
      </c>
      <c r="L5803" s="26">
        <f t="shared" si="184"/>
        <v>0</v>
      </c>
    </row>
    <row r="5804" spans="2:12">
      <c r="B5804" s="4" t="e">
        <f t="shared" si="183"/>
        <v>#N/A</v>
      </c>
      <c r="C5804" s="4">
        <f>'Raw data'!E5380</f>
        <v>0</v>
      </c>
      <c r="D5804" s="29" t="e">
        <f>VLOOKUP(C5804,'점포코드 '!A:B,2,0)</f>
        <v>#N/A</v>
      </c>
      <c r="E5804" s="30">
        <f>'Raw data'!P5380</f>
        <v>0</v>
      </c>
      <c r="F5804" s="29" t="e">
        <f>VLOOKUP(E5804,'점포코드 '!A:B,2,0)</f>
        <v>#N/A</v>
      </c>
      <c r="G5804" s="46">
        <f>'Raw data'!F5713</f>
        <v>0</v>
      </c>
      <c r="H5804" s="4">
        <f>'Raw data'!G5713</f>
        <v>0</v>
      </c>
      <c r="I5804" s="29" t="e">
        <f>VLOOKUP(G5804,제품명!$C$1:$E$114,2,0)</f>
        <v>#N/A</v>
      </c>
      <c r="J5804" s="29">
        <f>'Raw data'!K5713</f>
        <v>0</v>
      </c>
      <c r="K5804" s="31">
        <f>'Raw data'!H5713</f>
        <v>0</v>
      </c>
      <c r="L5804" s="26">
        <f t="shared" si="184"/>
        <v>0</v>
      </c>
    </row>
    <row r="5805" spans="2:12">
      <c r="B5805" s="4" t="e">
        <f t="shared" si="183"/>
        <v>#N/A</v>
      </c>
      <c r="C5805" s="4">
        <f>'Raw data'!E5381</f>
        <v>0</v>
      </c>
      <c r="D5805" s="29" t="e">
        <f>VLOOKUP(C5805,'점포코드 '!A:B,2,0)</f>
        <v>#N/A</v>
      </c>
      <c r="E5805" s="30">
        <f>'Raw data'!P5381</f>
        <v>0</v>
      </c>
      <c r="F5805" s="29" t="e">
        <f>VLOOKUP(E5805,'점포코드 '!A:B,2,0)</f>
        <v>#N/A</v>
      </c>
      <c r="G5805" s="46">
        <f>'Raw data'!F5714</f>
        <v>0</v>
      </c>
      <c r="H5805" s="4">
        <f>'Raw data'!G5714</f>
        <v>0</v>
      </c>
      <c r="I5805" s="29" t="e">
        <f>VLOOKUP(G5805,제품명!$C$1:$E$114,2,0)</f>
        <v>#N/A</v>
      </c>
      <c r="J5805" s="29">
        <f>'Raw data'!K5714</f>
        <v>0</v>
      </c>
      <c r="K5805" s="31">
        <f>'Raw data'!H5714</f>
        <v>0</v>
      </c>
      <c r="L5805" s="26">
        <f t="shared" si="184"/>
        <v>0</v>
      </c>
    </row>
    <row r="5806" spans="2:12">
      <c r="B5806" s="4" t="e">
        <f t="shared" si="183"/>
        <v>#N/A</v>
      </c>
      <c r="C5806" s="4">
        <f>'Raw data'!E5382</f>
        <v>0</v>
      </c>
      <c r="D5806" s="29" t="e">
        <f>VLOOKUP(C5806,'점포코드 '!A:B,2,0)</f>
        <v>#N/A</v>
      </c>
      <c r="E5806" s="30">
        <f>'Raw data'!P5382</f>
        <v>0</v>
      </c>
      <c r="F5806" s="29" t="e">
        <f>VLOOKUP(E5806,'점포코드 '!A:B,2,0)</f>
        <v>#N/A</v>
      </c>
      <c r="G5806" s="46">
        <f>'Raw data'!F5715</f>
        <v>0</v>
      </c>
      <c r="H5806" s="4">
        <f>'Raw data'!G5715</f>
        <v>0</v>
      </c>
      <c r="I5806" s="29" t="e">
        <f>VLOOKUP(G5806,제품명!$C$1:$E$114,2,0)</f>
        <v>#N/A</v>
      </c>
      <c r="J5806" s="29">
        <f>'Raw data'!K5715</f>
        <v>0</v>
      </c>
      <c r="K5806" s="31">
        <f>'Raw data'!H5715</f>
        <v>0</v>
      </c>
      <c r="L5806" s="26">
        <f t="shared" si="184"/>
        <v>0</v>
      </c>
    </row>
    <row r="5807" spans="2:12">
      <c r="B5807" s="4" t="e">
        <f t="shared" si="183"/>
        <v>#N/A</v>
      </c>
      <c r="C5807" s="4">
        <f>'Raw data'!E5383</f>
        <v>0</v>
      </c>
      <c r="D5807" s="29" t="e">
        <f>VLOOKUP(C5807,'점포코드 '!A:B,2,0)</f>
        <v>#N/A</v>
      </c>
      <c r="E5807" s="30">
        <f>'Raw data'!P5383</f>
        <v>0</v>
      </c>
      <c r="F5807" s="29" t="e">
        <f>VLOOKUP(E5807,'점포코드 '!A:B,2,0)</f>
        <v>#N/A</v>
      </c>
      <c r="G5807" s="46">
        <f>'Raw data'!F5716</f>
        <v>0</v>
      </c>
      <c r="H5807" s="4">
        <f>'Raw data'!G5716</f>
        <v>0</v>
      </c>
      <c r="I5807" s="29" t="e">
        <f>VLOOKUP(G5807,제품명!$C$1:$E$114,2,0)</f>
        <v>#N/A</v>
      </c>
      <c r="J5807" s="29">
        <f>'Raw data'!K5716</f>
        <v>0</v>
      </c>
      <c r="K5807" s="31">
        <f>'Raw data'!H5716</f>
        <v>0</v>
      </c>
      <c r="L5807" s="26">
        <f t="shared" si="184"/>
        <v>0</v>
      </c>
    </row>
    <row r="5808" spans="2:12">
      <c r="B5808" s="4" t="e">
        <f t="shared" si="183"/>
        <v>#N/A</v>
      </c>
      <c r="C5808" s="4">
        <f>'Raw data'!E5384</f>
        <v>0</v>
      </c>
      <c r="D5808" s="29" t="e">
        <f>VLOOKUP(C5808,'점포코드 '!A:B,2,0)</f>
        <v>#N/A</v>
      </c>
      <c r="E5808" s="30">
        <f>'Raw data'!P5384</f>
        <v>0</v>
      </c>
      <c r="F5808" s="29" t="e">
        <f>VLOOKUP(E5808,'점포코드 '!A:B,2,0)</f>
        <v>#N/A</v>
      </c>
      <c r="G5808" s="46">
        <f>'Raw data'!F5717</f>
        <v>0</v>
      </c>
      <c r="H5808" s="4">
        <f>'Raw data'!G5717</f>
        <v>0</v>
      </c>
      <c r="I5808" s="29" t="e">
        <f>VLOOKUP(G5808,제품명!$C$1:$E$114,2,0)</f>
        <v>#N/A</v>
      </c>
      <c r="J5808" s="29">
        <f>'Raw data'!K5717</f>
        <v>0</v>
      </c>
      <c r="K5808" s="31">
        <f>'Raw data'!H5717</f>
        <v>0</v>
      </c>
      <c r="L5808" s="26">
        <f t="shared" si="184"/>
        <v>0</v>
      </c>
    </row>
    <row r="5809" spans="2:12">
      <c r="B5809" s="4" t="e">
        <f t="shared" si="183"/>
        <v>#N/A</v>
      </c>
      <c r="C5809" s="4">
        <f>'Raw data'!E5385</f>
        <v>0</v>
      </c>
      <c r="D5809" s="29" t="e">
        <f>VLOOKUP(C5809,'점포코드 '!A:B,2,0)</f>
        <v>#N/A</v>
      </c>
      <c r="E5809" s="30">
        <f>'Raw data'!P5385</f>
        <v>0</v>
      </c>
      <c r="F5809" s="29" t="e">
        <f>VLOOKUP(E5809,'점포코드 '!A:B,2,0)</f>
        <v>#N/A</v>
      </c>
      <c r="G5809" s="46">
        <f>'Raw data'!F5718</f>
        <v>0</v>
      </c>
      <c r="H5809" s="4">
        <f>'Raw data'!G5718</f>
        <v>0</v>
      </c>
      <c r="I5809" s="29" t="e">
        <f>VLOOKUP(G5809,제품명!$C$1:$E$114,2,0)</f>
        <v>#N/A</v>
      </c>
      <c r="J5809" s="29">
        <f>'Raw data'!K5718</f>
        <v>0</v>
      </c>
      <c r="K5809" s="31">
        <f>'Raw data'!H5718</f>
        <v>0</v>
      </c>
      <c r="L5809" s="26">
        <f t="shared" si="184"/>
        <v>0</v>
      </c>
    </row>
    <row r="5810" spans="2:12">
      <c r="B5810" s="4" t="e">
        <f t="shared" si="183"/>
        <v>#N/A</v>
      </c>
      <c r="C5810" s="4">
        <f>'Raw data'!E5386</f>
        <v>0</v>
      </c>
      <c r="D5810" s="29" t="e">
        <f>VLOOKUP(C5810,'점포코드 '!A:B,2,0)</f>
        <v>#N/A</v>
      </c>
      <c r="E5810" s="30">
        <f>'Raw data'!P5386</f>
        <v>0</v>
      </c>
      <c r="F5810" s="29" t="e">
        <f>VLOOKUP(E5810,'점포코드 '!A:B,2,0)</f>
        <v>#N/A</v>
      </c>
      <c r="G5810" s="46">
        <f>'Raw data'!F5719</f>
        <v>0</v>
      </c>
      <c r="H5810" s="4">
        <f>'Raw data'!G5719</f>
        <v>0</v>
      </c>
      <c r="I5810" s="29" t="e">
        <f>VLOOKUP(G5810,제품명!$C$1:$E$114,2,0)</f>
        <v>#N/A</v>
      </c>
      <c r="J5810" s="29">
        <f>'Raw data'!K5719</f>
        <v>0</v>
      </c>
      <c r="K5810" s="31">
        <f>'Raw data'!H5719</f>
        <v>0</v>
      </c>
      <c r="L5810" s="26">
        <f t="shared" si="184"/>
        <v>0</v>
      </c>
    </row>
    <row r="5811" spans="2:12">
      <c r="B5811" s="4" t="e">
        <f t="shared" si="183"/>
        <v>#N/A</v>
      </c>
      <c r="C5811" s="4">
        <f>'Raw data'!E5387</f>
        <v>0</v>
      </c>
      <c r="D5811" s="29" t="e">
        <f>VLOOKUP(C5811,'점포코드 '!A:B,2,0)</f>
        <v>#N/A</v>
      </c>
      <c r="E5811" s="30">
        <f>'Raw data'!P5387</f>
        <v>0</v>
      </c>
      <c r="F5811" s="29" t="e">
        <f>VLOOKUP(E5811,'점포코드 '!A:B,2,0)</f>
        <v>#N/A</v>
      </c>
      <c r="G5811" s="46">
        <f>'Raw data'!F5720</f>
        <v>0</v>
      </c>
      <c r="H5811" s="4">
        <f>'Raw data'!G5720</f>
        <v>0</v>
      </c>
      <c r="I5811" s="29" t="e">
        <f>VLOOKUP(G5811,제품명!$C$1:$E$114,2,0)</f>
        <v>#N/A</v>
      </c>
      <c r="J5811" s="29">
        <f>'Raw data'!K5720</f>
        <v>0</v>
      </c>
      <c r="K5811" s="31">
        <f>'Raw data'!H5720</f>
        <v>0</v>
      </c>
      <c r="L5811" s="26">
        <f t="shared" si="184"/>
        <v>0</v>
      </c>
    </row>
    <row r="5812" spans="2:12">
      <c r="B5812" s="4" t="e">
        <f t="shared" si="183"/>
        <v>#N/A</v>
      </c>
      <c r="C5812" s="4">
        <f>'Raw data'!E5388</f>
        <v>0</v>
      </c>
      <c r="D5812" s="29" t="e">
        <f>VLOOKUP(C5812,'점포코드 '!A:B,2,0)</f>
        <v>#N/A</v>
      </c>
      <c r="E5812" s="30">
        <f>'Raw data'!P5388</f>
        <v>0</v>
      </c>
      <c r="F5812" s="29" t="e">
        <f>VLOOKUP(E5812,'점포코드 '!A:B,2,0)</f>
        <v>#N/A</v>
      </c>
      <c r="G5812" s="46">
        <f>'Raw data'!F5721</f>
        <v>0</v>
      </c>
      <c r="H5812" s="4">
        <f>'Raw data'!G5721</f>
        <v>0</v>
      </c>
      <c r="I5812" s="29" t="e">
        <f>VLOOKUP(G5812,제품명!$C$1:$E$114,2,0)</f>
        <v>#N/A</v>
      </c>
      <c r="J5812" s="29">
        <f>'Raw data'!K5721</f>
        <v>0</v>
      </c>
      <c r="K5812" s="31">
        <f>'Raw data'!H5721</f>
        <v>0</v>
      </c>
      <c r="L5812" s="26">
        <f t="shared" si="184"/>
        <v>0</v>
      </c>
    </row>
    <row r="5813" spans="2:12">
      <c r="B5813" s="4" t="e">
        <f t="shared" si="183"/>
        <v>#N/A</v>
      </c>
      <c r="C5813" s="4">
        <f>'Raw data'!E5389</f>
        <v>0</v>
      </c>
      <c r="D5813" s="29" t="e">
        <f>VLOOKUP(C5813,'점포코드 '!A:B,2,0)</f>
        <v>#N/A</v>
      </c>
      <c r="E5813" s="30">
        <f>'Raw data'!P5389</f>
        <v>0</v>
      </c>
      <c r="F5813" s="29" t="e">
        <f>VLOOKUP(E5813,'점포코드 '!A:B,2,0)</f>
        <v>#N/A</v>
      </c>
      <c r="G5813" s="46">
        <f>'Raw data'!F5722</f>
        <v>0</v>
      </c>
      <c r="H5813" s="4">
        <f>'Raw data'!G5722</f>
        <v>0</v>
      </c>
      <c r="I5813" s="29" t="e">
        <f>VLOOKUP(G5813,제품명!$C$1:$E$114,2,0)</f>
        <v>#N/A</v>
      </c>
      <c r="J5813" s="29">
        <f>'Raw data'!K5722</f>
        <v>0</v>
      </c>
      <c r="K5813" s="31">
        <f>'Raw data'!H5722</f>
        <v>0</v>
      </c>
      <c r="L5813" s="26">
        <f t="shared" si="184"/>
        <v>0</v>
      </c>
    </row>
    <row r="5814" spans="2:12">
      <c r="B5814" s="4" t="e">
        <f t="shared" si="183"/>
        <v>#N/A</v>
      </c>
      <c r="C5814" s="4">
        <f>'Raw data'!E5390</f>
        <v>0</v>
      </c>
      <c r="D5814" s="29" t="e">
        <f>VLOOKUP(C5814,'점포코드 '!A:B,2,0)</f>
        <v>#N/A</v>
      </c>
      <c r="E5814" s="30">
        <f>'Raw data'!P5390</f>
        <v>0</v>
      </c>
      <c r="F5814" s="29" t="e">
        <f>VLOOKUP(E5814,'점포코드 '!A:B,2,0)</f>
        <v>#N/A</v>
      </c>
      <c r="G5814" s="46">
        <f>'Raw data'!F5723</f>
        <v>0</v>
      </c>
      <c r="H5814" s="4">
        <f>'Raw data'!G5723</f>
        <v>0</v>
      </c>
      <c r="I5814" s="29" t="e">
        <f>VLOOKUP(G5814,제품명!$C$1:$E$114,2,0)</f>
        <v>#N/A</v>
      </c>
      <c r="J5814" s="29">
        <f>'Raw data'!K5723</f>
        <v>0</v>
      </c>
      <c r="K5814" s="31">
        <f>'Raw data'!H5723</f>
        <v>0</v>
      </c>
      <c r="L5814" s="26">
        <f t="shared" si="184"/>
        <v>0</v>
      </c>
    </row>
    <row r="5815" spans="2:12">
      <c r="B5815" s="4" t="e">
        <f t="shared" si="183"/>
        <v>#N/A</v>
      </c>
      <c r="C5815" s="4">
        <f>'Raw data'!E5391</f>
        <v>0</v>
      </c>
      <c r="D5815" s="29" t="e">
        <f>VLOOKUP(C5815,'점포코드 '!A:B,2,0)</f>
        <v>#N/A</v>
      </c>
      <c r="E5815" s="30">
        <f>'Raw data'!P5391</f>
        <v>0</v>
      </c>
      <c r="F5815" s="29" t="e">
        <f>VLOOKUP(E5815,'점포코드 '!A:B,2,0)</f>
        <v>#N/A</v>
      </c>
      <c r="G5815" s="46">
        <f>'Raw data'!F5724</f>
        <v>0</v>
      </c>
      <c r="H5815" s="4">
        <f>'Raw data'!G5724</f>
        <v>0</v>
      </c>
      <c r="I5815" s="29" t="e">
        <f>VLOOKUP(G5815,제품명!$C$1:$E$114,2,0)</f>
        <v>#N/A</v>
      </c>
      <c r="J5815" s="29">
        <f>'Raw data'!K5724</f>
        <v>0</v>
      </c>
      <c r="K5815" s="31">
        <f>'Raw data'!H5724</f>
        <v>0</v>
      </c>
      <c r="L5815" s="26">
        <f t="shared" si="184"/>
        <v>0</v>
      </c>
    </row>
    <row r="5816" spans="2:12">
      <c r="B5816" s="4" t="e">
        <f t="shared" si="183"/>
        <v>#N/A</v>
      </c>
      <c r="C5816" s="4">
        <f>'Raw data'!E5392</f>
        <v>0</v>
      </c>
      <c r="D5816" s="29" t="e">
        <f>VLOOKUP(C5816,'점포코드 '!A:B,2,0)</f>
        <v>#N/A</v>
      </c>
      <c r="E5816" s="30">
        <f>'Raw data'!P5392</f>
        <v>0</v>
      </c>
      <c r="F5816" s="29" t="e">
        <f>VLOOKUP(E5816,'점포코드 '!A:B,2,0)</f>
        <v>#N/A</v>
      </c>
      <c r="G5816" s="46">
        <f>'Raw data'!F5725</f>
        <v>0</v>
      </c>
      <c r="H5816" s="4">
        <f>'Raw data'!G5725</f>
        <v>0</v>
      </c>
      <c r="I5816" s="29" t="e">
        <f>VLOOKUP(G5816,제품명!$C$1:$E$114,2,0)</f>
        <v>#N/A</v>
      </c>
      <c r="J5816" s="29">
        <f>'Raw data'!K5725</f>
        <v>0</v>
      </c>
      <c r="K5816" s="31">
        <f>'Raw data'!H5725</f>
        <v>0</v>
      </c>
      <c r="L5816" s="26">
        <f t="shared" si="184"/>
        <v>0</v>
      </c>
    </row>
    <row r="5817" spans="2:12">
      <c r="B5817" s="4" t="e">
        <f t="shared" si="183"/>
        <v>#N/A</v>
      </c>
      <c r="C5817" s="4">
        <f>'Raw data'!E5393</f>
        <v>0</v>
      </c>
      <c r="D5817" s="29" t="e">
        <f>VLOOKUP(C5817,'점포코드 '!A:B,2,0)</f>
        <v>#N/A</v>
      </c>
      <c r="E5817" s="30">
        <f>'Raw data'!P5393</f>
        <v>0</v>
      </c>
      <c r="F5817" s="29" t="e">
        <f>VLOOKUP(E5817,'점포코드 '!A:B,2,0)</f>
        <v>#N/A</v>
      </c>
      <c r="G5817" s="46">
        <f>'Raw data'!F5726</f>
        <v>0</v>
      </c>
      <c r="H5817" s="4">
        <f>'Raw data'!G5726</f>
        <v>0</v>
      </c>
      <c r="I5817" s="29" t="e">
        <f>VLOOKUP(G5817,제품명!$C$1:$E$114,2,0)</f>
        <v>#N/A</v>
      </c>
      <c r="J5817" s="29">
        <f>'Raw data'!K5726</f>
        <v>0</v>
      </c>
      <c r="K5817" s="31">
        <f>'Raw data'!H5726</f>
        <v>0</v>
      </c>
      <c r="L5817" s="26">
        <f t="shared" si="184"/>
        <v>0</v>
      </c>
    </row>
    <row r="5818" spans="2:12">
      <c r="B5818" s="4" t="e">
        <f t="shared" si="183"/>
        <v>#N/A</v>
      </c>
      <c r="C5818" s="4">
        <f>'Raw data'!E5394</f>
        <v>0</v>
      </c>
      <c r="D5818" s="29" t="e">
        <f>VLOOKUP(C5818,'점포코드 '!A:B,2,0)</f>
        <v>#N/A</v>
      </c>
      <c r="E5818" s="30">
        <f>'Raw data'!P5394</f>
        <v>0</v>
      </c>
      <c r="F5818" s="29" t="e">
        <f>VLOOKUP(E5818,'점포코드 '!A:B,2,0)</f>
        <v>#N/A</v>
      </c>
      <c r="G5818" s="46">
        <f>'Raw data'!F5727</f>
        <v>0</v>
      </c>
      <c r="H5818" s="4">
        <f>'Raw data'!G5727</f>
        <v>0</v>
      </c>
      <c r="I5818" s="29" t="e">
        <f>VLOOKUP(G5818,제품명!$C$1:$E$114,2,0)</f>
        <v>#N/A</v>
      </c>
      <c r="J5818" s="29">
        <f>'Raw data'!K5727</f>
        <v>0</v>
      </c>
      <c r="K5818" s="31">
        <f>'Raw data'!H5727</f>
        <v>0</v>
      </c>
      <c r="L5818" s="26">
        <f t="shared" si="184"/>
        <v>0</v>
      </c>
    </row>
    <row r="5819" spans="2:12">
      <c r="B5819" s="4" t="e">
        <f t="shared" si="183"/>
        <v>#N/A</v>
      </c>
      <c r="C5819" s="4">
        <f>'Raw data'!E5395</f>
        <v>0</v>
      </c>
      <c r="D5819" s="29" t="e">
        <f>VLOOKUP(C5819,'점포코드 '!A:B,2,0)</f>
        <v>#N/A</v>
      </c>
      <c r="E5819" s="30">
        <f>'Raw data'!P5395</f>
        <v>0</v>
      </c>
      <c r="F5819" s="29" t="e">
        <f>VLOOKUP(E5819,'점포코드 '!A:B,2,0)</f>
        <v>#N/A</v>
      </c>
      <c r="G5819" s="46">
        <f>'Raw data'!F5728</f>
        <v>0</v>
      </c>
      <c r="H5819" s="4">
        <f>'Raw data'!G5728</f>
        <v>0</v>
      </c>
      <c r="I5819" s="29" t="e">
        <f>VLOOKUP(G5819,제품명!$C$1:$E$114,2,0)</f>
        <v>#N/A</v>
      </c>
      <c r="J5819" s="29">
        <f>'Raw data'!K5728</f>
        <v>0</v>
      </c>
      <c r="K5819" s="31">
        <f>'Raw data'!H5728</f>
        <v>0</v>
      </c>
      <c r="L5819" s="26">
        <f t="shared" si="184"/>
        <v>0</v>
      </c>
    </row>
    <row r="5820" spans="2:12">
      <c r="B5820" s="4" t="e">
        <f t="shared" si="183"/>
        <v>#N/A</v>
      </c>
      <c r="C5820" s="4">
        <f>'Raw data'!E5396</f>
        <v>0</v>
      </c>
      <c r="D5820" s="29" t="e">
        <f>VLOOKUP(C5820,'점포코드 '!A:B,2,0)</f>
        <v>#N/A</v>
      </c>
      <c r="E5820" s="30">
        <f>'Raw data'!P5396</f>
        <v>0</v>
      </c>
      <c r="F5820" s="29" t="e">
        <f>VLOOKUP(E5820,'점포코드 '!A:B,2,0)</f>
        <v>#N/A</v>
      </c>
      <c r="G5820" s="46">
        <f>'Raw data'!F5729</f>
        <v>0</v>
      </c>
      <c r="H5820" s="4">
        <f>'Raw data'!G5729</f>
        <v>0</v>
      </c>
      <c r="I5820" s="29" t="e">
        <f>VLOOKUP(G5820,제품명!$C$1:$E$114,2,0)</f>
        <v>#N/A</v>
      </c>
      <c r="J5820" s="29">
        <f>'Raw data'!K5729</f>
        <v>0</v>
      </c>
      <c r="K5820" s="31">
        <f>'Raw data'!H5729</f>
        <v>0</v>
      </c>
      <c r="L5820" s="26">
        <f t="shared" si="184"/>
        <v>0</v>
      </c>
    </row>
    <row r="5821" spans="2:12">
      <c r="B5821" s="4" t="e">
        <f t="shared" si="183"/>
        <v>#N/A</v>
      </c>
      <c r="C5821" s="4">
        <f>'Raw data'!E5397</f>
        <v>0</v>
      </c>
      <c r="D5821" s="29" t="e">
        <f>VLOOKUP(C5821,'점포코드 '!A:B,2,0)</f>
        <v>#N/A</v>
      </c>
      <c r="E5821" s="30">
        <f>'Raw data'!P5397</f>
        <v>0</v>
      </c>
      <c r="F5821" s="29" t="e">
        <f>VLOOKUP(E5821,'점포코드 '!A:B,2,0)</f>
        <v>#N/A</v>
      </c>
      <c r="G5821" s="46">
        <f>'Raw data'!F5730</f>
        <v>0</v>
      </c>
      <c r="H5821" s="4">
        <f>'Raw data'!G5730</f>
        <v>0</v>
      </c>
      <c r="I5821" s="29" t="e">
        <f>VLOOKUP(G5821,제품명!$C$1:$E$114,2,0)</f>
        <v>#N/A</v>
      </c>
      <c r="J5821" s="29">
        <f>'Raw data'!K5730</f>
        <v>0</v>
      </c>
      <c r="K5821" s="31">
        <f>'Raw data'!H5730</f>
        <v>0</v>
      </c>
      <c r="L5821" s="26">
        <f t="shared" si="184"/>
        <v>0</v>
      </c>
    </row>
    <row r="5822" spans="2:12">
      <c r="B5822" s="4" t="e">
        <f t="shared" si="183"/>
        <v>#N/A</v>
      </c>
      <c r="C5822" s="4">
        <f>'Raw data'!E5398</f>
        <v>0</v>
      </c>
      <c r="D5822" s="29" t="e">
        <f>VLOOKUP(C5822,'점포코드 '!A:B,2,0)</f>
        <v>#N/A</v>
      </c>
      <c r="E5822" s="30">
        <f>'Raw data'!P5398</f>
        <v>0</v>
      </c>
      <c r="F5822" s="29" t="e">
        <f>VLOOKUP(E5822,'점포코드 '!A:B,2,0)</f>
        <v>#N/A</v>
      </c>
      <c r="G5822" s="46">
        <f>'Raw data'!F5731</f>
        <v>0</v>
      </c>
      <c r="H5822" s="4">
        <f>'Raw data'!G5731</f>
        <v>0</v>
      </c>
      <c r="I5822" s="29" t="e">
        <f>VLOOKUP(G5822,제품명!$C$1:$E$114,2,0)</f>
        <v>#N/A</v>
      </c>
      <c r="J5822" s="29">
        <f>'Raw data'!K5731</f>
        <v>0</v>
      </c>
      <c r="K5822" s="31">
        <f>'Raw data'!H5731</f>
        <v>0</v>
      </c>
      <c r="L5822" s="26">
        <f t="shared" si="184"/>
        <v>0</v>
      </c>
    </row>
    <row r="5823" spans="2:12">
      <c r="B5823" s="4" t="e">
        <f t="shared" si="183"/>
        <v>#N/A</v>
      </c>
      <c r="C5823" s="4">
        <f>'Raw data'!E5399</f>
        <v>0</v>
      </c>
      <c r="D5823" s="29" t="e">
        <f>VLOOKUP(C5823,'점포코드 '!A:B,2,0)</f>
        <v>#N/A</v>
      </c>
      <c r="E5823" s="30">
        <f>'Raw data'!P5399</f>
        <v>0</v>
      </c>
      <c r="F5823" s="29" t="e">
        <f>VLOOKUP(E5823,'점포코드 '!A:B,2,0)</f>
        <v>#N/A</v>
      </c>
      <c r="G5823" s="46">
        <f>'Raw data'!F5732</f>
        <v>0</v>
      </c>
      <c r="H5823" s="4">
        <f>'Raw data'!G5732</f>
        <v>0</v>
      </c>
      <c r="I5823" s="29" t="e">
        <f>VLOOKUP(G5823,제품명!$C$1:$E$114,2,0)</f>
        <v>#N/A</v>
      </c>
      <c r="J5823" s="29">
        <f>'Raw data'!K5732</f>
        <v>0</v>
      </c>
      <c r="K5823" s="31">
        <f>'Raw data'!H5732</f>
        <v>0</v>
      </c>
      <c r="L5823" s="26">
        <f t="shared" si="184"/>
        <v>0</v>
      </c>
    </row>
    <row r="5824" spans="2:12">
      <c r="B5824" s="4" t="e">
        <f t="shared" si="183"/>
        <v>#N/A</v>
      </c>
      <c r="C5824" s="4">
        <f>'Raw data'!E5400</f>
        <v>0</v>
      </c>
      <c r="D5824" s="29" t="e">
        <f>VLOOKUP(C5824,'점포코드 '!A:B,2,0)</f>
        <v>#N/A</v>
      </c>
      <c r="E5824" s="30">
        <f>'Raw data'!P5400</f>
        <v>0</v>
      </c>
      <c r="F5824" s="29" t="e">
        <f>VLOOKUP(E5824,'점포코드 '!A:B,2,0)</f>
        <v>#N/A</v>
      </c>
      <c r="G5824" s="46">
        <f>'Raw data'!F5733</f>
        <v>0</v>
      </c>
      <c r="H5824" s="4">
        <f>'Raw data'!G5733</f>
        <v>0</v>
      </c>
      <c r="I5824" s="29" t="e">
        <f>VLOOKUP(G5824,제품명!$C$1:$E$114,2,0)</f>
        <v>#N/A</v>
      </c>
      <c r="J5824" s="29">
        <f>'Raw data'!K5733</f>
        <v>0</v>
      </c>
      <c r="K5824" s="31">
        <f>'Raw data'!H5733</f>
        <v>0</v>
      </c>
      <c r="L5824" s="26">
        <f t="shared" si="184"/>
        <v>0</v>
      </c>
    </row>
    <row r="5825" spans="2:12">
      <c r="B5825" s="4" t="e">
        <f t="shared" si="183"/>
        <v>#N/A</v>
      </c>
      <c r="C5825" s="4">
        <f>'Raw data'!E5401</f>
        <v>0</v>
      </c>
      <c r="D5825" s="29" t="e">
        <f>VLOOKUP(C5825,'점포코드 '!A:B,2,0)</f>
        <v>#N/A</v>
      </c>
      <c r="E5825" s="30">
        <f>'Raw data'!P5401</f>
        <v>0</v>
      </c>
      <c r="F5825" s="29" t="e">
        <f>VLOOKUP(E5825,'점포코드 '!A:B,2,0)</f>
        <v>#N/A</v>
      </c>
      <c r="G5825" s="46">
        <f>'Raw data'!F5734</f>
        <v>0</v>
      </c>
      <c r="H5825" s="4">
        <f>'Raw data'!G5734</f>
        <v>0</v>
      </c>
      <c r="I5825" s="29" t="e">
        <f>VLOOKUP(G5825,제품명!$C$1:$E$114,2,0)</f>
        <v>#N/A</v>
      </c>
      <c r="J5825" s="29">
        <f>'Raw data'!K5734</f>
        <v>0</v>
      </c>
      <c r="K5825" s="31">
        <f>'Raw data'!H5734</f>
        <v>0</v>
      </c>
      <c r="L5825" s="26">
        <f t="shared" si="184"/>
        <v>0</v>
      </c>
    </row>
    <row r="5826" spans="2:12">
      <c r="B5826" s="4" t="e">
        <f t="shared" ref="B5826:B5889" si="185">F5826&amp;I5826</f>
        <v>#N/A</v>
      </c>
      <c r="C5826" s="4">
        <f>'Raw data'!E5402</f>
        <v>0</v>
      </c>
      <c r="D5826" s="29" t="e">
        <f>VLOOKUP(C5826,'점포코드 '!A:B,2,0)</f>
        <v>#N/A</v>
      </c>
      <c r="E5826" s="30">
        <f>'Raw data'!P5402</f>
        <v>0</v>
      </c>
      <c r="F5826" s="29" t="e">
        <f>VLOOKUP(E5826,'점포코드 '!A:B,2,0)</f>
        <v>#N/A</v>
      </c>
      <c r="G5826" s="46">
        <f>'Raw data'!F5735</f>
        <v>0</v>
      </c>
      <c r="H5826" s="4">
        <f>'Raw data'!G5735</f>
        <v>0</v>
      </c>
      <c r="I5826" s="29" t="e">
        <f>VLOOKUP(G5826,제품명!$C$1:$E$114,2,0)</f>
        <v>#N/A</v>
      </c>
      <c r="J5826" s="29">
        <f>'Raw data'!K5735</f>
        <v>0</v>
      </c>
      <c r="K5826" s="31">
        <f>'Raw data'!H5735</f>
        <v>0</v>
      </c>
      <c r="L5826" s="26">
        <f t="shared" si="184"/>
        <v>0</v>
      </c>
    </row>
    <row r="5827" spans="2:12">
      <c r="B5827" s="4" t="e">
        <f t="shared" si="185"/>
        <v>#N/A</v>
      </c>
      <c r="C5827" s="4">
        <f>'Raw data'!E5403</f>
        <v>0</v>
      </c>
      <c r="D5827" s="29" t="e">
        <f>VLOOKUP(C5827,'점포코드 '!A:B,2,0)</f>
        <v>#N/A</v>
      </c>
      <c r="E5827" s="30">
        <f>'Raw data'!P5403</f>
        <v>0</v>
      </c>
      <c r="F5827" s="29" t="e">
        <f>VLOOKUP(E5827,'점포코드 '!A:B,2,0)</f>
        <v>#N/A</v>
      </c>
      <c r="G5827" s="46">
        <f>'Raw data'!F5736</f>
        <v>0</v>
      </c>
      <c r="H5827" s="4">
        <f>'Raw data'!G5736</f>
        <v>0</v>
      </c>
      <c r="I5827" s="29" t="e">
        <f>VLOOKUP(G5827,제품명!$C$1:$E$114,2,0)</f>
        <v>#N/A</v>
      </c>
      <c r="J5827" s="29">
        <f>'Raw data'!K5736</f>
        <v>0</v>
      </c>
      <c r="K5827" s="31">
        <f>'Raw data'!H5736</f>
        <v>0</v>
      </c>
      <c r="L5827" s="26">
        <f t="shared" ref="L5827:L5890" si="186">J5827*K5827</f>
        <v>0</v>
      </c>
    </row>
    <row r="5828" spans="2:12">
      <c r="B5828" s="4" t="e">
        <f t="shared" si="185"/>
        <v>#N/A</v>
      </c>
      <c r="C5828" s="4">
        <f>'Raw data'!E5404</f>
        <v>0</v>
      </c>
      <c r="D5828" s="29" t="e">
        <f>VLOOKUP(C5828,'점포코드 '!A:B,2,0)</f>
        <v>#N/A</v>
      </c>
      <c r="E5828" s="30">
        <f>'Raw data'!P5404</f>
        <v>0</v>
      </c>
      <c r="F5828" s="29" t="e">
        <f>VLOOKUP(E5828,'점포코드 '!A:B,2,0)</f>
        <v>#N/A</v>
      </c>
      <c r="G5828" s="46">
        <f>'Raw data'!F5737</f>
        <v>0</v>
      </c>
      <c r="H5828" s="4">
        <f>'Raw data'!G5737</f>
        <v>0</v>
      </c>
      <c r="I5828" s="29" t="e">
        <f>VLOOKUP(G5828,제품명!$C$1:$E$114,2,0)</f>
        <v>#N/A</v>
      </c>
      <c r="J5828" s="29">
        <f>'Raw data'!K5737</f>
        <v>0</v>
      </c>
      <c r="K5828" s="31">
        <f>'Raw data'!H5737</f>
        <v>0</v>
      </c>
      <c r="L5828" s="26">
        <f t="shared" si="186"/>
        <v>0</v>
      </c>
    </row>
    <row r="5829" spans="2:12">
      <c r="B5829" s="4" t="e">
        <f t="shared" si="185"/>
        <v>#N/A</v>
      </c>
      <c r="C5829" s="4">
        <f>'Raw data'!E5405</f>
        <v>0</v>
      </c>
      <c r="D5829" s="29" t="e">
        <f>VLOOKUP(C5829,'점포코드 '!A:B,2,0)</f>
        <v>#N/A</v>
      </c>
      <c r="E5829" s="30">
        <f>'Raw data'!P5405</f>
        <v>0</v>
      </c>
      <c r="F5829" s="29" t="e">
        <f>VLOOKUP(E5829,'점포코드 '!A:B,2,0)</f>
        <v>#N/A</v>
      </c>
      <c r="G5829" s="46">
        <f>'Raw data'!F5738</f>
        <v>0</v>
      </c>
      <c r="H5829" s="4">
        <f>'Raw data'!G5738</f>
        <v>0</v>
      </c>
      <c r="I5829" s="29" t="e">
        <f>VLOOKUP(G5829,제품명!$C$1:$E$114,2,0)</f>
        <v>#N/A</v>
      </c>
      <c r="J5829" s="29">
        <f>'Raw data'!K5738</f>
        <v>0</v>
      </c>
      <c r="K5829" s="31">
        <f>'Raw data'!H5738</f>
        <v>0</v>
      </c>
      <c r="L5829" s="26">
        <f t="shared" si="186"/>
        <v>0</v>
      </c>
    </row>
    <row r="5830" spans="2:12">
      <c r="B5830" s="4" t="e">
        <f t="shared" si="185"/>
        <v>#N/A</v>
      </c>
      <c r="C5830" s="4">
        <f>'Raw data'!E5406</f>
        <v>0</v>
      </c>
      <c r="D5830" s="29" t="e">
        <f>VLOOKUP(C5830,'점포코드 '!A:B,2,0)</f>
        <v>#N/A</v>
      </c>
      <c r="E5830" s="30">
        <f>'Raw data'!P5406</f>
        <v>0</v>
      </c>
      <c r="F5830" s="29" t="e">
        <f>VLOOKUP(E5830,'점포코드 '!A:B,2,0)</f>
        <v>#N/A</v>
      </c>
      <c r="G5830" s="46">
        <f>'Raw data'!F5739</f>
        <v>0</v>
      </c>
      <c r="H5830" s="4">
        <f>'Raw data'!G5739</f>
        <v>0</v>
      </c>
      <c r="I5830" s="29" t="e">
        <f>VLOOKUP(G5830,제품명!$C$1:$E$114,2,0)</f>
        <v>#N/A</v>
      </c>
      <c r="J5830" s="29">
        <f>'Raw data'!K5739</f>
        <v>0</v>
      </c>
      <c r="K5830" s="31">
        <f>'Raw data'!H5739</f>
        <v>0</v>
      </c>
      <c r="L5830" s="26">
        <f t="shared" si="186"/>
        <v>0</v>
      </c>
    </row>
    <row r="5831" spans="2:12">
      <c r="B5831" s="4" t="e">
        <f t="shared" si="185"/>
        <v>#N/A</v>
      </c>
      <c r="C5831" s="4">
        <f>'Raw data'!E5407</f>
        <v>0</v>
      </c>
      <c r="D5831" s="29" t="e">
        <f>VLOOKUP(C5831,'점포코드 '!A:B,2,0)</f>
        <v>#N/A</v>
      </c>
      <c r="E5831" s="30">
        <f>'Raw data'!P5407</f>
        <v>0</v>
      </c>
      <c r="F5831" s="29" t="e">
        <f>VLOOKUP(E5831,'점포코드 '!A:B,2,0)</f>
        <v>#N/A</v>
      </c>
      <c r="G5831" s="46">
        <f>'Raw data'!F5740</f>
        <v>0</v>
      </c>
      <c r="H5831" s="4">
        <f>'Raw data'!G5740</f>
        <v>0</v>
      </c>
      <c r="I5831" s="29" t="e">
        <f>VLOOKUP(G5831,제품명!$C$1:$E$114,2,0)</f>
        <v>#N/A</v>
      </c>
      <c r="J5831" s="29">
        <f>'Raw data'!K5740</f>
        <v>0</v>
      </c>
      <c r="K5831" s="31">
        <f>'Raw data'!H5740</f>
        <v>0</v>
      </c>
      <c r="L5831" s="26">
        <f t="shared" si="186"/>
        <v>0</v>
      </c>
    </row>
    <row r="5832" spans="2:12">
      <c r="B5832" s="4" t="e">
        <f t="shared" si="185"/>
        <v>#N/A</v>
      </c>
      <c r="C5832" s="4">
        <f>'Raw data'!E5408</f>
        <v>0</v>
      </c>
      <c r="D5832" s="29" t="e">
        <f>VLOOKUP(C5832,'점포코드 '!A:B,2,0)</f>
        <v>#N/A</v>
      </c>
      <c r="E5832" s="30">
        <f>'Raw data'!P5408</f>
        <v>0</v>
      </c>
      <c r="F5832" s="29" t="e">
        <f>VLOOKUP(E5832,'점포코드 '!A:B,2,0)</f>
        <v>#N/A</v>
      </c>
      <c r="G5832" s="46">
        <f>'Raw data'!F5741</f>
        <v>0</v>
      </c>
      <c r="H5832" s="4">
        <f>'Raw data'!G5741</f>
        <v>0</v>
      </c>
      <c r="I5832" s="29" t="e">
        <f>VLOOKUP(G5832,제품명!$C$1:$E$114,2,0)</f>
        <v>#N/A</v>
      </c>
      <c r="J5832" s="29">
        <f>'Raw data'!K5741</f>
        <v>0</v>
      </c>
      <c r="K5832" s="31">
        <f>'Raw data'!H5741</f>
        <v>0</v>
      </c>
      <c r="L5832" s="26">
        <f t="shared" si="186"/>
        <v>0</v>
      </c>
    </row>
    <row r="5833" spans="2:12">
      <c r="B5833" s="4" t="e">
        <f t="shared" si="185"/>
        <v>#N/A</v>
      </c>
      <c r="C5833" s="4">
        <f>'Raw data'!E5409</f>
        <v>0</v>
      </c>
      <c r="D5833" s="29" t="e">
        <f>VLOOKUP(C5833,'점포코드 '!A:B,2,0)</f>
        <v>#N/A</v>
      </c>
      <c r="E5833" s="30">
        <f>'Raw data'!P5409</f>
        <v>0</v>
      </c>
      <c r="F5833" s="29" t="e">
        <f>VLOOKUP(E5833,'점포코드 '!A:B,2,0)</f>
        <v>#N/A</v>
      </c>
      <c r="G5833" s="46">
        <f>'Raw data'!F5742</f>
        <v>0</v>
      </c>
      <c r="H5833" s="4">
        <f>'Raw data'!G5742</f>
        <v>0</v>
      </c>
      <c r="I5833" s="29" t="e">
        <f>VLOOKUP(G5833,제품명!$C$1:$E$114,2,0)</f>
        <v>#N/A</v>
      </c>
      <c r="J5833" s="29">
        <f>'Raw data'!K5742</f>
        <v>0</v>
      </c>
      <c r="K5833" s="31">
        <f>'Raw data'!H5742</f>
        <v>0</v>
      </c>
      <c r="L5833" s="26">
        <f t="shared" si="186"/>
        <v>0</v>
      </c>
    </row>
    <row r="5834" spans="2:12">
      <c r="B5834" s="4" t="e">
        <f t="shared" si="185"/>
        <v>#N/A</v>
      </c>
      <c r="C5834" s="4">
        <f>'Raw data'!E5410</f>
        <v>0</v>
      </c>
      <c r="D5834" s="29" t="e">
        <f>VLOOKUP(C5834,'점포코드 '!A:B,2,0)</f>
        <v>#N/A</v>
      </c>
      <c r="E5834" s="30">
        <f>'Raw data'!P5410</f>
        <v>0</v>
      </c>
      <c r="F5834" s="29" t="e">
        <f>VLOOKUP(E5834,'점포코드 '!A:B,2,0)</f>
        <v>#N/A</v>
      </c>
      <c r="G5834" s="46">
        <f>'Raw data'!F5743</f>
        <v>0</v>
      </c>
      <c r="H5834" s="4">
        <f>'Raw data'!G5743</f>
        <v>0</v>
      </c>
      <c r="I5834" s="29" t="e">
        <f>VLOOKUP(G5834,제품명!$C$1:$E$114,2,0)</f>
        <v>#N/A</v>
      </c>
      <c r="J5834" s="29">
        <f>'Raw data'!K5743</f>
        <v>0</v>
      </c>
      <c r="K5834" s="31">
        <f>'Raw data'!H5743</f>
        <v>0</v>
      </c>
      <c r="L5834" s="26">
        <f t="shared" si="186"/>
        <v>0</v>
      </c>
    </row>
    <row r="5835" spans="2:12">
      <c r="B5835" s="4" t="e">
        <f t="shared" si="185"/>
        <v>#N/A</v>
      </c>
      <c r="C5835" s="4">
        <f>'Raw data'!E5411</f>
        <v>0</v>
      </c>
      <c r="D5835" s="29" t="e">
        <f>VLOOKUP(C5835,'점포코드 '!A:B,2,0)</f>
        <v>#N/A</v>
      </c>
      <c r="E5835" s="30">
        <f>'Raw data'!P5411</f>
        <v>0</v>
      </c>
      <c r="F5835" s="29" t="e">
        <f>VLOOKUP(E5835,'점포코드 '!A:B,2,0)</f>
        <v>#N/A</v>
      </c>
      <c r="G5835" s="46">
        <f>'Raw data'!F5744</f>
        <v>0</v>
      </c>
      <c r="H5835" s="4">
        <f>'Raw data'!G5744</f>
        <v>0</v>
      </c>
      <c r="I5835" s="29" t="e">
        <f>VLOOKUP(G5835,제품명!$C$1:$E$114,2,0)</f>
        <v>#N/A</v>
      </c>
      <c r="J5835" s="29">
        <f>'Raw data'!K5744</f>
        <v>0</v>
      </c>
      <c r="K5835" s="31">
        <f>'Raw data'!H5744</f>
        <v>0</v>
      </c>
      <c r="L5835" s="26">
        <f t="shared" si="186"/>
        <v>0</v>
      </c>
    </row>
    <row r="5836" spans="2:12">
      <c r="B5836" s="4" t="e">
        <f t="shared" si="185"/>
        <v>#N/A</v>
      </c>
      <c r="C5836" s="4">
        <f>'Raw data'!E5412</f>
        <v>0</v>
      </c>
      <c r="D5836" s="29" t="e">
        <f>VLOOKUP(C5836,'점포코드 '!A:B,2,0)</f>
        <v>#N/A</v>
      </c>
      <c r="E5836" s="30">
        <f>'Raw data'!P5412</f>
        <v>0</v>
      </c>
      <c r="F5836" s="29" t="e">
        <f>VLOOKUP(E5836,'점포코드 '!A:B,2,0)</f>
        <v>#N/A</v>
      </c>
      <c r="G5836" s="46">
        <f>'Raw data'!F5745</f>
        <v>0</v>
      </c>
      <c r="H5836" s="4">
        <f>'Raw data'!G5745</f>
        <v>0</v>
      </c>
      <c r="I5836" s="29" t="e">
        <f>VLOOKUP(G5836,제품명!$C$1:$E$114,2,0)</f>
        <v>#N/A</v>
      </c>
      <c r="J5836" s="29">
        <f>'Raw data'!K5745</f>
        <v>0</v>
      </c>
      <c r="K5836" s="31">
        <f>'Raw data'!H5745</f>
        <v>0</v>
      </c>
      <c r="L5836" s="26">
        <f t="shared" si="186"/>
        <v>0</v>
      </c>
    </row>
    <row r="5837" spans="2:12">
      <c r="B5837" s="4" t="e">
        <f t="shared" si="185"/>
        <v>#N/A</v>
      </c>
      <c r="C5837" s="4">
        <f>'Raw data'!E5413</f>
        <v>0</v>
      </c>
      <c r="D5837" s="29" t="e">
        <f>VLOOKUP(C5837,'점포코드 '!A:B,2,0)</f>
        <v>#N/A</v>
      </c>
      <c r="E5837" s="30">
        <f>'Raw data'!P5413</f>
        <v>0</v>
      </c>
      <c r="F5837" s="29" t="e">
        <f>VLOOKUP(E5837,'점포코드 '!A:B,2,0)</f>
        <v>#N/A</v>
      </c>
      <c r="G5837" s="46">
        <f>'Raw data'!F5746</f>
        <v>0</v>
      </c>
      <c r="H5837" s="4">
        <f>'Raw data'!G5746</f>
        <v>0</v>
      </c>
      <c r="I5837" s="29" t="e">
        <f>VLOOKUP(G5837,제품명!$C$1:$E$114,2,0)</f>
        <v>#N/A</v>
      </c>
      <c r="J5837" s="29">
        <f>'Raw data'!K5746</f>
        <v>0</v>
      </c>
      <c r="K5837" s="31">
        <f>'Raw data'!H5746</f>
        <v>0</v>
      </c>
      <c r="L5837" s="26">
        <f t="shared" si="186"/>
        <v>0</v>
      </c>
    </row>
    <row r="5838" spans="2:12">
      <c r="B5838" s="4" t="e">
        <f t="shared" si="185"/>
        <v>#N/A</v>
      </c>
      <c r="C5838" s="4">
        <f>'Raw data'!E5414</f>
        <v>0</v>
      </c>
      <c r="D5838" s="29" t="e">
        <f>VLOOKUP(C5838,'점포코드 '!A:B,2,0)</f>
        <v>#N/A</v>
      </c>
      <c r="E5838" s="30">
        <f>'Raw data'!P5414</f>
        <v>0</v>
      </c>
      <c r="F5838" s="29" t="e">
        <f>VLOOKUP(E5838,'점포코드 '!A:B,2,0)</f>
        <v>#N/A</v>
      </c>
      <c r="G5838" s="46">
        <f>'Raw data'!F5747</f>
        <v>0</v>
      </c>
      <c r="H5838" s="4">
        <f>'Raw data'!G5747</f>
        <v>0</v>
      </c>
      <c r="I5838" s="29" t="e">
        <f>VLOOKUP(G5838,제품명!$C$1:$E$114,2,0)</f>
        <v>#N/A</v>
      </c>
      <c r="J5838" s="29">
        <f>'Raw data'!K5747</f>
        <v>0</v>
      </c>
      <c r="K5838" s="31">
        <f>'Raw data'!H5747</f>
        <v>0</v>
      </c>
      <c r="L5838" s="26">
        <f t="shared" si="186"/>
        <v>0</v>
      </c>
    </row>
    <row r="5839" spans="2:12">
      <c r="B5839" s="4" t="e">
        <f t="shared" si="185"/>
        <v>#N/A</v>
      </c>
      <c r="C5839" s="4">
        <f>'Raw data'!E5415</f>
        <v>0</v>
      </c>
      <c r="D5839" s="29" t="e">
        <f>VLOOKUP(C5839,'점포코드 '!A:B,2,0)</f>
        <v>#N/A</v>
      </c>
      <c r="E5839" s="30">
        <f>'Raw data'!P5415</f>
        <v>0</v>
      </c>
      <c r="F5839" s="29" t="e">
        <f>VLOOKUP(E5839,'점포코드 '!A:B,2,0)</f>
        <v>#N/A</v>
      </c>
      <c r="G5839" s="46">
        <f>'Raw data'!F5748</f>
        <v>0</v>
      </c>
      <c r="H5839" s="4">
        <f>'Raw data'!G5748</f>
        <v>0</v>
      </c>
      <c r="I5839" s="29" t="e">
        <f>VLOOKUP(G5839,제품명!$C$1:$E$114,2,0)</f>
        <v>#N/A</v>
      </c>
      <c r="J5839" s="29">
        <f>'Raw data'!K5748</f>
        <v>0</v>
      </c>
      <c r="K5839" s="31">
        <f>'Raw data'!H5748</f>
        <v>0</v>
      </c>
      <c r="L5839" s="26">
        <f t="shared" si="186"/>
        <v>0</v>
      </c>
    </row>
    <row r="5840" spans="2:12">
      <c r="B5840" s="4" t="e">
        <f t="shared" si="185"/>
        <v>#N/A</v>
      </c>
      <c r="C5840" s="4">
        <f>'Raw data'!E5416</f>
        <v>0</v>
      </c>
      <c r="D5840" s="29" t="e">
        <f>VLOOKUP(C5840,'점포코드 '!A:B,2,0)</f>
        <v>#N/A</v>
      </c>
      <c r="E5840" s="30">
        <f>'Raw data'!P5416</f>
        <v>0</v>
      </c>
      <c r="F5840" s="29" t="e">
        <f>VLOOKUP(E5840,'점포코드 '!A:B,2,0)</f>
        <v>#N/A</v>
      </c>
      <c r="G5840" s="46">
        <f>'Raw data'!F5749</f>
        <v>0</v>
      </c>
      <c r="H5840" s="4">
        <f>'Raw data'!G5749</f>
        <v>0</v>
      </c>
      <c r="I5840" s="29" t="e">
        <f>VLOOKUP(G5840,제품명!$C$1:$E$114,2,0)</f>
        <v>#N/A</v>
      </c>
      <c r="J5840" s="29">
        <f>'Raw data'!K5749</f>
        <v>0</v>
      </c>
      <c r="K5840" s="31">
        <f>'Raw data'!H5749</f>
        <v>0</v>
      </c>
      <c r="L5840" s="26">
        <f t="shared" si="186"/>
        <v>0</v>
      </c>
    </row>
    <row r="5841" spans="2:12">
      <c r="B5841" s="4" t="e">
        <f t="shared" si="185"/>
        <v>#N/A</v>
      </c>
      <c r="C5841" s="4">
        <f>'Raw data'!E5417</f>
        <v>0</v>
      </c>
      <c r="D5841" s="29" t="e">
        <f>VLOOKUP(C5841,'점포코드 '!A:B,2,0)</f>
        <v>#N/A</v>
      </c>
      <c r="E5841" s="30">
        <f>'Raw data'!P5417</f>
        <v>0</v>
      </c>
      <c r="F5841" s="29" t="e">
        <f>VLOOKUP(E5841,'점포코드 '!A:B,2,0)</f>
        <v>#N/A</v>
      </c>
      <c r="G5841" s="46">
        <f>'Raw data'!F5750</f>
        <v>0</v>
      </c>
      <c r="H5841" s="4">
        <f>'Raw data'!G5750</f>
        <v>0</v>
      </c>
      <c r="I5841" s="29" t="e">
        <f>VLOOKUP(G5841,제품명!$C$1:$E$114,2,0)</f>
        <v>#N/A</v>
      </c>
      <c r="J5841" s="29">
        <f>'Raw data'!K5750</f>
        <v>0</v>
      </c>
      <c r="K5841" s="31">
        <f>'Raw data'!H5750</f>
        <v>0</v>
      </c>
      <c r="L5841" s="26">
        <f t="shared" si="186"/>
        <v>0</v>
      </c>
    </row>
    <row r="5842" spans="2:12">
      <c r="B5842" s="4" t="e">
        <f t="shared" si="185"/>
        <v>#N/A</v>
      </c>
      <c r="C5842" s="4">
        <f>'Raw data'!E5418</f>
        <v>0</v>
      </c>
      <c r="D5842" s="29" t="e">
        <f>VLOOKUP(C5842,'점포코드 '!A:B,2,0)</f>
        <v>#N/A</v>
      </c>
      <c r="E5842" s="30">
        <f>'Raw data'!P5418</f>
        <v>0</v>
      </c>
      <c r="F5842" s="29" t="e">
        <f>VLOOKUP(E5842,'점포코드 '!A:B,2,0)</f>
        <v>#N/A</v>
      </c>
      <c r="G5842" s="46">
        <f>'Raw data'!F5751</f>
        <v>0</v>
      </c>
      <c r="H5842" s="4">
        <f>'Raw data'!G5751</f>
        <v>0</v>
      </c>
      <c r="I5842" s="29" t="e">
        <f>VLOOKUP(G5842,제품명!$C$1:$E$114,2,0)</f>
        <v>#N/A</v>
      </c>
      <c r="J5842" s="29">
        <f>'Raw data'!K5751</f>
        <v>0</v>
      </c>
      <c r="K5842" s="31">
        <f>'Raw data'!H5751</f>
        <v>0</v>
      </c>
      <c r="L5842" s="26">
        <f t="shared" si="186"/>
        <v>0</v>
      </c>
    </row>
    <row r="5843" spans="2:12">
      <c r="B5843" s="4" t="e">
        <f t="shared" si="185"/>
        <v>#N/A</v>
      </c>
      <c r="C5843" s="4">
        <f>'Raw data'!E5419</f>
        <v>0</v>
      </c>
      <c r="D5843" s="29" t="e">
        <f>VLOOKUP(C5843,'점포코드 '!A:B,2,0)</f>
        <v>#N/A</v>
      </c>
      <c r="E5843" s="30">
        <f>'Raw data'!P5419</f>
        <v>0</v>
      </c>
      <c r="F5843" s="29" t="e">
        <f>VLOOKUP(E5843,'점포코드 '!A:B,2,0)</f>
        <v>#N/A</v>
      </c>
      <c r="G5843" s="46">
        <f>'Raw data'!F5752</f>
        <v>0</v>
      </c>
      <c r="H5843" s="4">
        <f>'Raw data'!G5752</f>
        <v>0</v>
      </c>
      <c r="I5843" s="29" t="e">
        <f>VLOOKUP(G5843,제품명!$C$1:$E$114,2,0)</f>
        <v>#N/A</v>
      </c>
      <c r="J5843" s="29">
        <f>'Raw data'!K5752</f>
        <v>0</v>
      </c>
      <c r="K5843" s="31">
        <f>'Raw data'!H5752</f>
        <v>0</v>
      </c>
      <c r="L5843" s="26">
        <f t="shared" si="186"/>
        <v>0</v>
      </c>
    </row>
    <row r="5844" spans="2:12">
      <c r="B5844" s="4" t="e">
        <f t="shared" si="185"/>
        <v>#N/A</v>
      </c>
      <c r="C5844" s="4">
        <f>'Raw data'!E5420</f>
        <v>0</v>
      </c>
      <c r="D5844" s="29" t="e">
        <f>VLOOKUP(C5844,'점포코드 '!A:B,2,0)</f>
        <v>#N/A</v>
      </c>
      <c r="E5844" s="30">
        <f>'Raw data'!P5420</f>
        <v>0</v>
      </c>
      <c r="F5844" s="29" t="e">
        <f>VLOOKUP(E5844,'점포코드 '!A:B,2,0)</f>
        <v>#N/A</v>
      </c>
      <c r="G5844" s="46">
        <f>'Raw data'!F5753</f>
        <v>0</v>
      </c>
      <c r="H5844" s="4">
        <f>'Raw data'!G5753</f>
        <v>0</v>
      </c>
      <c r="I5844" s="29" t="e">
        <f>VLOOKUP(G5844,제품명!$C$1:$E$114,2,0)</f>
        <v>#N/A</v>
      </c>
      <c r="J5844" s="29">
        <f>'Raw data'!K5753</f>
        <v>0</v>
      </c>
      <c r="K5844" s="31">
        <f>'Raw data'!H5753</f>
        <v>0</v>
      </c>
      <c r="L5844" s="26">
        <f t="shared" si="186"/>
        <v>0</v>
      </c>
    </row>
    <row r="5845" spans="2:12">
      <c r="B5845" s="4" t="e">
        <f t="shared" si="185"/>
        <v>#N/A</v>
      </c>
      <c r="C5845" s="4">
        <f>'Raw data'!E5421</f>
        <v>0</v>
      </c>
      <c r="D5845" s="29" t="e">
        <f>VLOOKUP(C5845,'점포코드 '!A:B,2,0)</f>
        <v>#N/A</v>
      </c>
      <c r="E5845" s="30">
        <f>'Raw data'!P5421</f>
        <v>0</v>
      </c>
      <c r="F5845" s="29" t="e">
        <f>VLOOKUP(E5845,'점포코드 '!A:B,2,0)</f>
        <v>#N/A</v>
      </c>
      <c r="G5845" s="46">
        <f>'Raw data'!F5754</f>
        <v>0</v>
      </c>
      <c r="H5845" s="4">
        <f>'Raw data'!G5754</f>
        <v>0</v>
      </c>
      <c r="I5845" s="29" t="e">
        <f>VLOOKUP(G5845,제품명!$C$1:$E$114,2,0)</f>
        <v>#N/A</v>
      </c>
      <c r="J5845" s="29">
        <f>'Raw data'!K5754</f>
        <v>0</v>
      </c>
      <c r="K5845" s="31">
        <f>'Raw data'!H5754</f>
        <v>0</v>
      </c>
      <c r="L5845" s="26">
        <f t="shared" si="186"/>
        <v>0</v>
      </c>
    </row>
    <row r="5846" spans="2:12">
      <c r="B5846" s="4" t="e">
        <f t="shared" si="185"/>
        <v>#N/A</v>
      </c>
      <c r="C5846" s="4">
        <f>'Raw data'!E5422</f>
        <v>0</v>
      </c>
      <c r="D5846" s="29" t="e">
        <f>VLOOKUP(C5846,'점포코드 '!A:B,2,0)</f>
        <v>#N/A</v>
      </c>
      <c r="E5846" s="30">
        <f>'Raw data'!P5422</f>
        <v>0</v>
      </c>
      <c r="F5846" s="29" t="e">
        <f>VLOOKUP(E5846,'점포코드 '!A:B,2,0)</f>
        <v>#N/A</v>
      </c>
      <c r="G5846" s="46">
        <f>'Raw data'!F5755</f>
        <v>0</v>
      </c>
      <c r="H5846" s="4">
        <f>'Raw data'!G5755</f>
        <v>0</v>
      </c>
      <c r="I5846" s="29" t="e">
        <f>VLOOKUP(G5846,제품명!$C$1:$E$114,2,0)</f>
        <v>#N/A</v>
      </c>
      <c r="J5846" s="29">
        <f>'Raw data'!K5755</f>
        <v>0</v>
      </c>
      <c r="K5846" s="31">
        <f>'Raw data'!H5755</f>
        <v>0</v>
      </c>
      <c r="L5846" s="26">
        <f t="shared" si="186"/>
        <v>0</v>
      </c>
    </row>
    <row r="5847" spans="2:12">
      <c r="B5847" s="4" t="e">
        <f t="shared" si="185"/>
        <v>#N/A</v>
      </c>
      <c r="C5847" s="4">
        <f>'Raw data'!E5423</f>
        <v>0</v>
      </c>
      <c r="D5847" s="29" t="e">
        <f>VLOOKUP(C5847,'점포코드 '!A:B,2,0)</f>
        <v>#N/A</v>
      </c>
      <c r="E5847" s="30">
        <f>'Raw data'!P5423</f>
        <v>0</v>
      </c>
      <c r="F5847" s="29" t="e">
        <f>VLOOKUP(E5847,'점포코드 '!A:B,2,0)</f>
        <v>#N/A</v>
      </c>
      <c r="G5847" s="46">
        <f>'Raw data'!F5756</f>
        <v>0</v>
      </c>
      <c r="H5847" s="4">
        <f>'Raw data'!G5756</f>
        <v>0</v>
      </c>
      <c r="I5847" s="29" t="e">
        <f>VLOOKUP(G5847,제품명!$C$1:$E$114,2,0)</f>
        <v>#N/A</v>
      </c>
      <c r="J5847" s="29">
        <f>'Raw data'!K5756</f>
        <v>0</v>
      </c>
      <c r="K5847" s="31">
        <f>'Raw data'!H5756</f>
        <v>0</v>
      </c>
      <c r="L5847" s="26">
        <f t="shared" si="186"/>
        <v>0</v>
      </c>
    </row>
    <row r="5848" spans="2:12">
      <c r="B5848" s="4" t="e">
        <f t="shared" si="185"/>
        <v>#N/A</v>
      </c>
      <c r="C5848" s="4">
        <f>'Raw data'!E5424</f>
        <v>0</v>
      </c>
      <c r="D5848" s="29" t="e">
        <f>VLOOKUP(C5848,'점포코드 '!A:B,2,0)</f>
        <v>#N/A</v>
      </c>
      <c r="E5848" s="30">
        <f>'Raw data'!P5424</f>
        <v>0</v>
      </c>
      <c r="F5848" s="29" t="e">
        <f>VLOOKUP(E5848,'점포코드 '!A:B,2,0)</f>
        <v>#N/A</v>
      </c>
      <c r="G5848" s="46">
        <f>'Raw data'!F5757</f>
        <v>0</v>
      </c>
      <c r="H5848" s="4">
        <f>'Raw data'!G5757</f>
        <v>0</v>
      </c>
      <c r="I5848" s="29" t="e">
        <f>VLOOKUP(G5848,제품명!$C$1:$E$114,2,0)</f>
        <v>#N/A</v>
      </c>
      <c r="J5848" s="29">
        <f>'Raw data'!K5757</f>
        <v>0</v>
      </c>
      <c r="K5848" s="31">
        <f>'Raw data'!H5757</f>
        <v>0</v>
      </c>
      <c r="L5848" s="26">
        <f t="shared" si="186"/>
        <v>0</v>
      </c>
    </row>
    <row r="5849" spans="2:12">
      <c r="B5849" s="4" t="e">
        <f t="shared" si="185"/>
        <v>#N/A</v>
      </c>
      <c r="C5849" s="4">
        <f>'Raw data'!E5425</f>
        <v>0</v>
      </c>
      <c r="D5849" s="29" t="e">
        <f>VLOOKUP(C5849,'점포코드 '!A:B,2,0)</f>
        <v>#N/A</v>
      </c>
      <c r="E5849" s="30">
        <f>'Raw data'!P5425</f>
        <v>0</v>
      </c>
      <c r="F5849" s="29" t="e">
        <f>VLOOKUP(E5849,'점포코드 '!A:B,2,0)</f>
        <v>#N/A</v>
      </c>
      <c r="G5849" s="46">
        <f>'Raw data'!F5758</f>
        <v>0</v>
      </c>
      <c r="H5849" s="4">
        <f>'Raw data'!G5758</f>
        <v>0</v>
      </c>
      <c r="I5849" s="29" t="e">
        <f>VLOOKUP(G5849,제품명!$C$1:$E$114,2,0)</f>
        <v>#N/A</v>
      </c>
      <c r="J5849" s="29">
        <f>'Raw data'!K5758</f>
        <v>0</v>
      </c>
      <c r="K5849" s="31">
        <f>'Raw data'!H5758</f>
        <v>0</v>
      </c>
      <c r="L5849" s="26">
        <f t="shared" si="186"/>
        <v>0</v>
      </c>
    </row>
    <row r="5850" spans="2:12">
      <c r="B5850" s="4" t="e">
        <f t="shared" si="185"/>
        <v>#N/A</v>
      </c>
      <c r="C5850" s="4">
        <f>'Raw data'!E5426</f>
        <v>0</v>
      </c>
      <c r="D5850" s="29" t="e">
        <f>VLOOKUP(C5850,'점포코드 '!A:B,2,0)</f>
        <v>#N/A</v>
      </c>
      <c r="E5850" s="30">
        <f>'Raw data'!P5426</f>
        <v>0</v>
      </c>
      <c r="F5850" s="29" t="e">
        <f>VLOOKUP(E5850,'점포코드 '!A:B,2,0)</f>
        <v>#N/A</v>
      </c>
      <c r="G5850" s="46">
        <f>'Raw data'!F5759</f>
        <v>0</v>
      </c>
      <c r="H5850" s="4">
        <f>'Raw data'!G5759</f>
        <v>0</v>
      </c>
      <c r="I5850" s="29" t="e">
        <f>VLOOKUP(G5850,제품명!$C$1:$E$114,2,0)</f>
        <v>#N/A</v>
      </c>
      <c r="J5850" s="29">
        <f>'Raw data'!K5759</f>
        <v>0</v>
      </c>
      <c r="K5850" s="31">
        <f>'Raw data'!H5759</f>
        <v>0</v>
      </c>
      <c r="L5850" s="26">
        <f t="shared" si="186"/>
        <v>0</v>
      </c>
    </row>
    <row r="5851" spans="2:12">
      <c r="B5851" s="4" t="e">
        <f t="shared" si="185"/>
        <v>#N/A</v>
      </c>
      <c r="C5851" s="4">
        <f>'Raw data'!E5427</f>
        <v>0</v>
      </c>
      <c r="D5851" s="29" t="e">
        <f>VLOOKUP(C5851,'점포코드 '!A:B,2,0)</f>
        <v>#N/A</v>
      </c>
      <c r="E5851" s="30">
        <f>'Raw data'!P5427</f>
        <v>0</v>
      </c>
      <c r="F5851" s="29" t="e">
        <f>VLOOKUP(E5851,'점포코드 '!A:B,2,0)</f>
        <v>#N/A</v>
      </c>
      <c r="G5851" s="46">
        <f>'Raw data'!F5760</f>
        <v>0</v>
      </c>
      <c r="H5851" s="4">
        <f>'Raw data'!G5760</f>
        <v>0</v>
      </c>
      <c r="I5851" s="29" t="e">
        <f>VLOOKUP(G5851,제품명!$C$1:$E$114,2,0)</f>
        <v>#N/A</v>
      </c>
      <c r="J5851" s="29">
        <f>'Raw data'!K5760</f>
        <v>0</v>
      </c>
      <c r="K5851" s="31">
        <f>'Raw data'!H5760</f>
        <v>0</v>
      </c>
      <c r="L5851" s="26">
        <f t="shared" si="186"/>
        <v>0</v>
      </c>
    </row>
    <row r="5852" spans="2:12">
      <c r="B5852" s="4" t="e">
        <f t="shared" si="185"/>
        <v>#N/A</v>
      </c>
      <c r="C5852" s="4">
        <f>'Raw data'!E5428</f>
        <v>0</v>
      </c>
      <c r="D5852" s="29" t="e">
        <f>VLOOKUP(C5852,'점포코드 '!A:B,2,0)</f>
        <v>#N/A</v>
      </c>
      <c r="E5852" s="30">
        <f>'Raw data'!P5428</f>
        <v>0</v>
      </c>
      <c r="F5852" s="29" t="e">
        <f>VLOOKUP(E5852,'점포코드 '!A:B,2,0)</f>
        <v>#N/A</v>
      </c>
      <c r="G5852" s="46">
        <f>'Raw data'!F5761</f>
        <v>0</v>
      </c>
      <c r="H5852" s="4">
        <f>'Raw data'!G5761</f>
        <v>0</v>
      </c>
      <c r="I5852" s="29" t="e">
        <f>VLOOKUP(G5852,제품명!$C$1:$E$114,2,0)</f>
        <v>#N/A</v>
      </c>
      <c r="J5852" s="29">
        <f>'Raw data'!K5761</f>
        <v>0</v>
      </c>
      <c r="K5852" s="31">
        <f>'Raw data'!H5761</f>
        <v>0</v>
      </c>
      <c r="L5852" s="26">
        <f t="shared" si="186"/>
        <v>0</v>
      </c>
    </row>
    <row r="5853" spans="2:12">
      <c r="B5853" s="4" t="e">
        <f t="shared" si="185"/>
        <v>#N/A</v>
      </c>
      <c r="C5853" s="4">
        <f>'Raw data'!E5429</f>
        <v>0</v>
      </c>
      <c r="D5853" s="29" t="e">
        <f>VLOOKUP(C5853,'점포코드 '!A:B,2,0)</f>
        <v>#N/A</v>
      </c>
      <c r="E5853" s="30">
        <f>'Raw data'!P5429</f>
        <v>0</v>
      </c>
      <c r="F5853" s="29" t="e">
        <f>VLOOKUP(E5853,'점포코드 '!A:B,2,0)</f>
        <v>#N/A</v>
      </c>
      <c r="G5853" s="46">
        <f>'Raw data'!F5762</f>
        <v>0</v>
      </c>
      <c r="H5853" s="4">
        <f>'Raw data'!G5762</f>
        <v>0</v>
      </c>
      <c r="I5853" s="29" t="e">
        <f>VLOOKUP(G5853,제품명!$C$1:$E$114,2,0)</f>
        <v>#N/A</v>
      </c>
      <c r="J5853" s="29">
        <f>'Raw data'!K5762</f>
        <v>0</v>
      </c>
      <c r="K5853" s="31">
        <f>'Raw data'!H5762</f>
        <v>0</v>
      </c>
      <c r="L5853" s="26">
        <f t="shared" si="186"/>
        <v>0</v>
      </c>
    </row>
    <row r="5854" spans="2:12">
      <c r="B5854" s="4" t="e">
        <f t="shared" si="185"/>
        <v>#N/A</v>
      </c>
      <c r="C5854" s="4">
        <f>'Raw data'!E5430</f>
        <v>0</v>
      </c>
      <c r="D5854" s="29" t="e">
        <f>VLOOKUP(C5854,'점포코드 '!A:B,2,0)</f>
        <v>#N/A</v>
      </c>
      <c r="E5854" s="30">
        <f>'Raw data'!P5430</f>
        <v>0</v>
      </c>
      <c r="F5854" s="29" t="e">
        <f>VLOOKUP(E5854,'점포코드 '!A:B,2,0)</f>
        <v>#N/A</v>
      </c>
      <c r="G5854" s="46">
        <f>'Raw data'!F5763</f>
        <v>0</v>
      </c>
      <c r="H5854" s="4">
        <f>'Raw data'!G5763</f>
        <v>0</v>
      </c>
      <c r="I5854" s="29" t="e">
        <f>VLOOKUP(G5854,제품명!$C$1:$E$114,2,0)</f>
        <v>#N/A</v>
      </c>
      <c r="J5854" s="29">
        <f>'Raw data'!K5763</f>
        <v>0</v>
      </c>
      <c r="K5854" s="31">
        <f>'Raw data'!H5763</f>
        <v>0</v>
      </c>
      <c r="L5854" s="26">
        <f t="shared" si="186"/>
        <v>0</v>
      </c>
    </row>
    <row r="5855" spans="2:12">
      <c r="B5855" s="4" t="e">
        <f t="shared" si="185"/>
        <v>#N/A</v>
      </c>
      <c r="C5855" s="4">
        <f>'Raw data'!E5431</f>
        <v>0</v>
      </c>
      <c r="D5855" s="29" t="e">
        <f>VLOOKUP(C5855,'점포코드 '!A:B,2,0)</f>
        <v>#N/A</v>
      </c>
      <c r="E5855" s="30">
        <f>'Raw data'!P5431</f>
        <v>0</v>
      </c>
      <c r="F5855" s="29" t="e">
        <f>VLOOKUP(E5855,'점포코드 '!A:B,2,0)</f>
        <v>#N/A</v>
      </c>
      <c r="G5855" s="46">
        <f>'Raw data'!F5764</f>
        <v>0</v>
      </c>
      <c r="H5855" s="4">
        <f>'Raw data'!G5764</f>
        <v>0</v>
      </c>
      <c r="I5855" s="29" t="e">
        <f>VLOOKUP(G5855,제품명!$C$1:$E$114,2,0)</f>
        <v>#N/A</v>
      </c>
      <c r="J5855" s="29">
        <f>'Raw data'!K5764</f>
        <v>0</v>
      </c>
      <c r="K5855" s="31">
        <f>'Raw data'!H5764</f>
        <v>0</v>
      </c>
      <c r="L5855" s="26">
        <f t="shared" si="186"/>
        <v>0</v>
      </c>
    </row>
    <row r="5856" spans="2:12">
      <c r="B5856" s="4" t="e">
        <f t="shared" si="185"/>
        <v>#N/A</v>
      </c>
      <c r="C5856" s="4">
        <f>'Raw data'!E5432</f>
        <v>0</v>
      </c>
      <c r="D5856" s="29" t="e">
        <f>VLOOKUP(C5856,'점포코드 '!A:B,2,0)</f>
        <v>#N/A</v>
      </c>
      <c r="E5856" s="30">
        <f>'Raw data'!P5432</f>
        <v>0</v>
      </c>
      <c r="F5856" s="29" t="e">
        <f>VLOOKUP(E5856,'점포코드 '!A:B,2,0)</f>
        <v>#N/A</v>
      </c>
      <c r="G5856" s="46">
        <f>'Raw data'!F5765</f>
        <v>0</v>
      </c>
      <c r="H5856" s="4">
        <f>'Raw data'!G5765</f>
        <v>0</v>
      </c>
      <c r="I5856" s="29" t="e">
        <f>VLOOKUP(G5856,제품명!$C$1:$E$114,2,0)</f>
        <v>#N/A</v>
      </c>
      <c r="J5856" s="29">
        <f>'Raw data'!K5765</f>
        <v>0</v>
      </c>
      <c r="K5856" s="31">
        <f>'Raw data'!H5765</f>
        <v>0</v>
      </c>
      <c r="L5856" s="26">
        <f t="shared" si="186"/>
        <v>0</v>
      </c>
    </row>
    <row r="5857" spans="2:12">
      <c r="B5857" s="4" t="e">
        <f t="shared" si="185"/>
        <v>#N/A</v>
      </c>
      <c r="C5857" s="4">
        <f>'Raw data'!E5433</f>
        <v>0</v>
      </c>
      <c r="D5857" s="29" t="e">
        <f>VLOOKUP(C5857,'점포코드 '!A:B,2,0)</f>
        <v>#N/A</v>
      </c>
      <c r="E5857" s="30">
        <f>'Raw data'!P5433</f>
        <v>0</v>
      </c>
      <c r="F5857" s="29" t="e">
        <f>VLOOKUP(E5857,'점포코드 '!A:B,2,0)</f>
        <v>#N/A</v>
      </c>
      <c r="G5857" s="46">
        <f>'Raw data'!F5766</f>
        <v>0</v>
      </c>
      <c r="H5857" s="4">
        <f>'Raw data'!G5766</f>
        <v>0</v>
      </c>
      <c r="I5857" s="29" t="e">
        <f>VLOOKUP(G5857,제품명!$C$1:$E$114,2,0)</f>
        <v>#N/A</v>
      </c>
      <c r="J5857" s="29">
        <f>'Raw data'!K5766</f>
        <v>0</v>
      </c>
      <c r="K5857" s="31">
        <f>'Raw data'!H5766</f>
        <v>0</v>
      </c>
      <c r="L5857" s="26">
        <f t="shared" si="186"/>
        <v>0</v>
      </c>
    </row>
    <row r="5858" spans="2:12">
      <c r="B5858" s="4" t="e">
        <f t="shared" si="185"/>
        <v>#N/A</v>
      </c>
      <c r="C5858" s="4">
        <f>'Raw data'!E5434</f>
        <v>0</v>
      </c>
      <c r="D5858" s="29" t="e">
        <f>VLOOKUP(C5858,'점포코드 '!A:B,2,0)</f>
        <v>#N/A</v>
      </c>
      <c r="E5858" s="30">
        <f>'Raw data'!P5434</f>
        <v>0</v>
      </c>
      <c r="F5858" s="29" t="e">
        <f>VLOOKUP(E5858,'점포코드 '!A:B,2,0)</f>
        <v>#N/A</v>
      </c>
      <c r="G5858" s="46">
        <f>'Raw data'!F5767</f>
        <v>0</v>
      </c>
      <c r="H5858" s="4">
        <f>'Raw data'!G5767</f>
        <v>0</v>
      </c>
      <c r="I5858" s="29" t="e">
        <f>VLOOKUP(G5858,제품명!$C$1:$E$114,2,0)</f>
        <v>#N/A</v>
      </c>
      <c r="J5858" s="29">
        <f>'Raw data'!K5767</f>
        <v>0</v>
      </c>
      <c r="K5858" s="31">
        <f>'Raw data'!H5767</f>
        <v>0</v>
      </c>
      <c r="L5858" s="26">
        <f t="shared" si="186"/>
        <v>0</v>
      </c>
    </row>
    <row r="5859" spans="2:12">
      <c r="B5859" s="4" t="e">
        <f t="shared" si="185"/>
        <v>#N/A</v>
      </c>
      <c r="C5859" s="4">
        <f>'Raw data'!E5435</f>
        <v>0</v>
      </c>
      <c r="D5859" s="29" t="e">
        <f>VLOOKUP(C5859,'점포코드 '!A:B,2,0)</f>
        <v>#N/A</v>
      </c>
      <c r="E5859" s="30">
        <f>'Raw data'!P5435</f>
        <v>0</v>
      </c>
      <c r="F5859" s="29" t="e">
        <f>VLOOKUP(E5859,'점포코드 '!A:B,2,0)</f>
        <v>#N/A</v>
      </c>
      <c r="G5859" s="46">
        <f>'Raw data'!F5768</f>
        <v>0</v>
      </c>
      <c r="H5859" s="4">
        <f>'Raw data'!G5768</f>
        <v>0</v>
      </c>
      <c r="I5859" s="29" t="e">
        <f>VLOOKUP(G5859,제품명!$C$1:$E$114,2,0)</f>
        <v>#N/A</v>
      </c>
      <c r="J5859" s="29">
        <f>'Raw data'!K5768</f>
        <v>0</v>
      </c>
      <c r="K5859" s="31">
        <f>'Raw data'!H5768</f>
        <v>0</v>
      </c>
      <c r="L5859" s="26">
        <f t="shared" si="186"/>
        <v>0</v>
      </c>
    </row>
    <row r="5860" spans="2:12">
      <c r="B5860" s="4" t="e">
        <f t="shared" si="185"/>
        <v>#N/A</v>
      </c>
      <c r="C5860" s="4">
        <f>'Raw data'!E5436</f>
        <v>0</v>
      </c>
      <c r="D5860" s="29" t="e">
        <f>VLOOKUP(C5860,'점포코드 '!A:B,2,0)</f>
        <v>#N/A</v>
      </c>
      <c r="E5860" s="30">
        <f>'Raw data'!P5436</f>
        <v>0</v>
      </c>
      <c r="F5860" s="29" t="e">
        <f>VLOOKUP(E5860,'점포코드 '!A:B,2,0)</f>
        <v>#N/A</v>
      </c>
      <c r="G5860" s="46">
        <f>'Raw data'!F5769</f>
        <v>0</v>
      </c>
      <c r="H5860" s="4">
        <f>'Raw data'!G5769</f>
        <v>0</v>
      </c>
      <c r="I5860" s="29" t="e">
        <f>VLOOKUP(G5860,제품명!$C$1:$E$114,2,0)</f>
        <v>#N/A</v>
      </c>
      <c r="J5860" s="29">
        <f>'Raw data'!K5769</f>
        <v>0</v>
      </c>
      <c r="K5860" s="31">
        <f>'Raw data'!H5769</f>
        <v>0</v>
      </c>
      <c r="L5860" s="26">
        <f t="shared" si="186"/>
        <v>0</v>
      </c>
    </row>
    <row r="5861" spans="2:12">
      <c r="B5861" s="4" t="e">
        <f t="shared" si="185"/>
        <v>#N/A</v>
      </c>
      <c r="C5861" s="4">
        <f>'Raw data'!E5437</f>
        <v>0</v>
      </c>
      <c r="D5861" s="29" t="e">
        <f>VLOOKUP(C5861,'점포코드 '!A:B,2,0)</f>
        <v>#N/A</v>
      </c>
      <c r="E5861" s="30">
        <f>'Raw data'!P5437</f>
        <v>0</v>
      </c>
      <c r="F5861" s="29" t="e">
        <f>VLOOKUP(E5861,'점포코드 '!A:B,2,0)</f>
        <v>#N/A</v>
      </c>
      <c r="G5861" s="46">
        <f>'Raw data'!F5770</f>
        <v>0</v>
      </c>
      <c r="H5861" s="4">
        <f>'Raw data'!G5770</f>
        <v>0</v>
      </c>
      <c r="I5861" s="29" t="e">
        <f>VLOOKUP(G5861,제품명!$C$1:$E$114,2,0)</f>
        <v>#N/A</v>
      </c>
      <c r="J5861" s="29">
        <f>'Raw data'!K5770</f>
        <v>0</v>
      </c>
      <c r="K5861" s="31">
        <f>'Raw data'!H5770</f>
        <v>0</v>
      </c>
      <c r="L5861" s="26">
        <f t="shared" si="186"/>
        <v>0</v>
      </c>
    </row>
    <row r="5862" spans="2:12">
      <c r="B5862" s="4" t="e">
        <f t="shared" si="185"/>
        <v>#N/A</v>
      </c>
      <c r="C5862" s="4">
        <f>'Raw data'!E5438</f>
        <v>0</v>
      </c>
      <c r="D5862" s="29" t="e">
        <f>VLOOKUP(C5862,'점포코드 '!A:B,2,0)</f>
        <v>#N/A</v>
      </c>
      <c r="E5862" s="30">
        <f>'Raw data'!P5438</f>
        <v>0</v>
      </c>
      <c r="F5862" s="29" t="e">
        <f>VLOOKUP(E5862,'점포코드 '!A:B,2,0)</f>
        <v>#N/A</v>
      </c>
      <c r="G5862" s="46">
        <f>'Raw data'!F5771</f>
        <v>0</v>
      </c>
      <c r="H5862" s="4">
        <f>'Raw data'!G5771</f>
        <v>0</v>
      </c>
      <c r="I5862" s="29" t="e">
        <f>VLOOKUP(G5862,제품명!$C$1:$E$114,2,0)</f>
        <v>#N/A</v>
      </c>
      <c r="J5862" s="29">
        <f>'Raw data'!K5771</f>
        <v>0</v>
      </c>
      <c r="K5862" s="31">
        <f>'Raw data'!H5771</f>
        <v>0</v>
      </c>
      <c r="L5862" s="26">
        <f t="shared" si="186"/>
        <v>0</v>
      </c>
    </row>
    <row r="5863" spans="2:12">
      <c r="B5863" s="4" t="e">
        <f t="shared" si="185"/>
        <v>#N/A</v>
      </c>
      <c r="C5863" s="4">
        <f>'Raw data'!E5439</f>
        <v>0</v>
      </c>
      <c r="D5863" s="29" t="e">
        <f>VLOOKUP(C5863,'점포코드 '!A:B,2,0)</f>
        <v>#N/A</v>
      </c>
      <c r="E5863" s="30">
        <f>'Raw data'!P5439</f>
        <v>0</v>
      </c>
      <c r="F5863" s="29" t="e">
        <f>VLOOKUP(E5863,'점포코드 '!A:B,2,0)</f>
        <v>#N/A</v>
      </c>
      <c r="G5863" s="46">
        <f>'Raw data'!F5772</f>
        <v>0</v>
      </c>
      <c r="H5863" s="4">
        <f>'Raw data'!G5772</f>
        <v>0</v>
      </c>
      <c r="I5863" s="29" t="e">
        <f>VLOOKUP(G5863,제품명!$C$1:$E$114,2,0)</f>
        <v>#N/A</v>
      </c>
      <c r="J5863" s="29">
        <f>'Raw data'!K5772</f>
        <v>0</v>
      </c>
      <c r="K5863" s="31">
        <f>'Raw data'!H5772</f>
        <v>0</v>
      </c>
      <c r="L5863" s="26">
        <f t="shared" si="186"/>
        <v>0</v>
      </c>
    </row>
    <row r="5864" spans="2:12">
      <c r="B5864" s="4" t="e">
        <f t="shared" si="185"/>
        <v>#N/A</v>
      </c>
      <c r="C5864" s="4">
        <f>'Raw data'!E5440</f>
        <v>0</v>
      </c>
      <c r="D5864" s="29" t="e">
        <f>VLOOKUP(C5864,'점포코드 '!A:B,2,0)</f>
        <v>#N/A</v>
      </c>
      <c r="E5864" s="30">
        <f>'Raw data'!P5440</f>
        <v>0</v>
      </c>
      <c r="F5864" s="29" t="e">
        <f>VLOOKUP(E5864,'점포코드 '!A:B,2,0)</f>
        <v>#N/A</v>
      </c>
      <c r="G5864" s="46">
        <f>'Raw data'!F5773</f>
        <v>0</v>
      </c>
      <c r="H5864" s="4">
        <f>'Raw data'!G5773</f>
        <v>0</v>
      </c>
      <c r="I5864" s="29" t="e">
        <f>VLOOKUP(G5864,제품명!$C$1:$E$114,2,0)</f>
        <v>#N/A</v>
      </c>
      <c r="J5864" s="29">
        <f>'Raw data'!K5773</f>
        <v>0</v>
      </c>
      <c r="K5864" s="31">
        <f>'Raw data'!H5773</f>
        <v>0</v>
      </c>
      <c r="L5864" s="26">
        <f t="shared" si="186"/>
        <v>0</v>
      </c>
    </row>
    <row r="5865" spans="2:12">
      <c r="B5865" s="4" t="e">
        <f t="shared" si="185"/>
        <v>#N/A</v>
      </c>
      <c r="C5865" s="4">
        <f>'Raw data'!E5441</f>
        <v>0</v>
      </c>
      <c r="D5865" s="29" t="e">
        <f>VLOOKUP(C5865,'점포코드 '!A:B,2,0)</f>
        <v>#N/A</v>
      </c>
      <c r="E5865" s="30">
        <f>'Raw data'!P5441</f>
        <v>0</v>
      </c>
      <c r="F5865" s="29" t="e">
        <f>VLOOKUP(E5865,'점포코드 '!A:B,2,0)</f>
        <v>#N/A</v>
      </c>
      <c r="G5865" s="46">
        <f>'Raw data'!F5774</f>
        <v>0</v>
      </c>
      <c r="H5865" s="4">
        <f>'Raw data'!G5774</f>
        <v>0</v>
      </c>
      <c r="I5865" s="29" t="e">
        <f>VLOOKUP(G5865,제품명!$C$1:$E$114,2,0)</f>
        <v>#N/A</v>
      </c>
      <c r="J5865" s="29">
        <f>'Raw data'!K5774</f>
        <v>0</v>
      </c>
      <c r="K5865" s="31">
        <f>'Raw data'!H5774</f>
        <v>0</v>
      </c>
      <c r="L5865" s="26">
        <f t="shared" si="186"/>
        <v>0</v>
      </c>
    </row>
    <row r="5866" spans="2:12">
      <c r="B5866" s="4" t="e">
        <f t="shared" si="185"/>
        <v>#N/A</v>
      </c>
      <c r="C5866" s="4">
        <f>'Raw data'!E5442</f>
        <v>0</v>
      </c>
      <c r="D5866" s="29" t="e">
        <f>VLOOKUP(C5866,'점포코드 '!A:B,2,0)</f>
        <v>#N/A</v>
      </c>
      <c r="E5866" s="30">
        <f>'Raw data'!P5442</f>
        <v>0</v>
      </c>
      <c r="F5866" s="29" t="e">
        <f>VLOOKUP(E5866,'점포코드 '!A:B,2,0)</f>
        <v>#N/A</v>
      </c>
      <c r="G5866" s="46">
        <f>'Raw data'!F5775</f>
        <v>0</v>
      </c>
      <c r="H5866" s="4">
        <f>'Raw data'!G5775</f>
        <v>0</v>
      </c>
      <c r="I5866" s="29" t="e">
        <f>VLOOKUP(G5866,제품명!$C$1:$E$114,2,0)</f>
        <v>#N/A</v>
      </c>
      <c r="J5866" s="29">
        <f>'Raw data'!K5775</f>
        <v>0</v>
      </c>
      <c r="K5866" s="31">
        <f>'Raw data'!H5775</f>
        <v>0</v>
      </c>
      <c r="L5866" s="26">
        <f t="shared" si="186"/>
        <v>0</v>
      </c>
    </row>
    <row r="5867" spans="2:12">
      <c r="B5867" s="4" t="e">
        <f t="shared" si="185"/>
        <v>#N/A</v>
      </c>
      <c r="C5867" s="4">
        <f>'Raw data'!E5443</f>
        <v>0</v>
      </c>
      <c r="D5867" s="29" t="e">
        <f>VLOOKUP(C5867,'점포코드 '!A:B,2,0)</f>
        <v>#N/A</v>
      </c>
      <c r="E5867" s="30">
        <f>'Raw data'!P5443</f>
        <v>0</v>
      </c>
      <c r="F5867" s="29" t="e">
        <f>VLOOKUP(E5867,'점포코드 '!A:B,2,0)</f>
        <v>#N/A</v>
      </c>
      <c r="G5867" s="46">
        <f>'Raw data'!F5776</f>
        <v>0</v>
      </c>
      <c r="H5867" s="4">
        <f>'Raw data'!G5776</f>
        <v>0</v>
      </c>
      <c r="I5867" s="29" t="e">
        <f>VLOOKUP(G5867,제품명!$C$1:$E$114,2,0)</f>
        <v>#N/A</v>
      </c>
      <c r="J5867" s="29">
        <f>'Raw data'!K5776</f>
        <v>0</v>
      </c>
      <c r="K5867" s="31">
        <f>'Raw data'!H5776</f>
        <v>0</v>
      </c>
      <c r="L5867" s="26">
        <f t="shared" si="186"/>
        <v>0</v>
      </c>
    </row>
    <row r="5868" spans="2:12">
      <c r="B5868" s="4" t="e">
        <f t="shared" si="185"/>
        <v>#N/A</v>
      </c>
      <c r="C5868" s="4">
        <f>'Raw data'!E5444</f>
        <v>0</v>
      </c>
      <c r="D5868" s="29" t="e">
        <f>VLOOKUP(C5868,'점포코드 '!A:B,2,0)</f>
        <v>#N/A</v>
      </c>
      <c r="E5868" s="30">
        <f>'Raw data'!P5444</f>
        <v>0</v>
      </c>
      <c r="F5868" s="29" t="e">
        <f>VLOOKUP(E5868,'점포코드 '!A:B,2,0)</f>
        <v>#N/A</v>
      </c>
      <c r="G5868" s="46">
        <f>'Raw data'!F5777</f>
        <v>0</v>
      </c>
      <c r="H5868" s="4">
        <f>'Raw data'!G5777</f>
        <v>0</v>
      </c>
      <c r="I5868" s="29" t="e">
        <f>VLOOKUP(G5868,제품명!$C$1:$E$114,2,0)</f>
        <v>#N/A</v>
      </c>
      <c r="J5868" s="29">
        <f>'Raw data'!K5777</f>
        <v>0</v>
      </c>
      <c r="K5868" s="31">
        <f>'Raw data'!H5777</f>
        <v>0</v>
      </c>
      <c r="L5868" s="26">
        <f t="shared" si="186"/>
        <v>0</v>
      </c>
    </row>
    <row r="5869" spans="2:12">
      <c r="B5869" s="4" t="e">
        <f t="shared" si="185"/>
        <v>#N/A</v>
      </c>
      <c r="C5869" s="4">
        <f>'Raw data'!E5445</f>
        <v>0</v>
      </c>
      <c r="D5869" s="29" t="e">
        <f>VLOOKUP(C5869,'점포코드 '!A:B,2,0)</f>
        <v>#N/A</v>
      </c>
      <c r="E5869" s="30">
        <f>'Raw data'!P5445</f>
        <v>0</v>
      </c>
      <c r="F5869" s="29" t="e">
        <f>VLOOKUP(E5869,'점포코드 '!A:B,2,0)</f>
        <v>#N/A</v>
      </c>
      <c r="G5869" s="46">
        <f>'Raw data'!F5778</f>
        <v>0</v>
      </c>
      <c r="H5869" s="4">
        <f>'Raw data'!G5778</f>
        <v>0</v>
      </c>
      <c r="I5869" s="29" t="e">
        <f>VLOOKUP(G5869,제품명!$C$1:$E$114,2,0)</f>
        <v>#N/A</v>
      </c>
      <c r="J5869" s="29">
        <f>'Raw data'!K5778</f>
        <v>0</v>
      </c>
      <c r="K5869" s="31">
        <f>'Raw data'!H5778</f>
        <v>0</v>
      </c>
      <c r="L5869" s="26">
        <f t="shared" si="186"/>
        <v>0</v>
      </c>
    </row>
    <row r="5870" spans="2:12">
      <c r="B5870" s="4" t="e">
        <f t="shared" si="185"/>
        <v>#N/A</v>
      </c>
      <c r="C5870" s="4">
        <f>'Raw data'!E5446</f>
        <v>0</v>
      </c>
      <c r="D5870" s="29" t="e">
        <f>VLOOKUP(C5870,'점포코드 '!A:B,2,0)</f>
        <v>#N/A</v>
      </c>
      <c r="E5870" s="30">
        <f>'Raw data'!P5446</f>
        <v>0</v>
      </c>
      <c r="F5870" s="29" t="e">
        <f>VLOOKUP(E5870,'점포코드 '!A:B,2,0)</f>
        <v>#N/A</v>
      </c>
      <c r="G5870" s="46">
        <f>'Raw data'!F5779</f>
        <v>0</v>
      </c>
      <c r="H5870" s="4">
        <f>'Raw data'!G5779</f>
        <v>0</v>
      </c>
      <c r="I5870" s="29" t="e">
        <f>VLOOKUP(G5870,제품명!$C$1:$E$114,2,0)</f>
        <v>#N/A</v>
      </c>
      <c r="J5870" s="29">
        <f>'Raw data'!K5779</f>
        <v>0</v>
      </c>
      <c r="K5870" s="31">
        <f>'Raw data'!H5779</f>
        <v>0</v>
      </c>
      <c r="L5870" s="26">
        <f t="shared" si="186"/>
        <v>0</v>
      </c>
    </row>
    <row r="5871" spans="2:12">
      <c r="B5871" s="4" t="e">
        <f t="shared" si="185"/>
        <v>#N/A</v>
      </c>
      <c r="C5871" s="4">
        <f>'Raw data'!E5447</f>
        <v>0</v>
      </c>
      <c r="D5871" s="29" t="e">
        <f>VLOOKUP(C5871,'점포코드 '!A:B,2,0)</f>
        <v>#N/A</v>
      </c>
      <c r="E5871" s="30">
        <f>'Raw data'!P5447</f>
        <v>0</v>
      </c>
      <c r="F5871" s="29" t="e">
        <f>VLOOKUP(E5871,'점포코드 '!A:B,2,0)</f>
        <v>#N/A</v>
      </c>
      <c r="G5871" s="46">
        <f>'Raw data'!F5780</f>
        <v>0</v>
      </c>
      <c r="H5871" s="4">
        <f>'Raw data'!G5780</f>
        <v>0</v>
      </c>
      <c r="I5871" s="29" t="e">
        <f>VLOOKUP(G5871,제품명!$C$1:$E$114,2,0)</f>
        <v>#N/A</v>
      </c>
      <c r="J5871" s="29">
        <f>'Raw data'!K5780</f>
        <v>0</v>
      </c>
      <c r="K5871" s="31">
        <f>'Raw data'!H5780</f>
        <v>0</v>
      </c>
      <c r="L5871" s="26">
        <f t="shared" si="186"/>
        <v>0</v>
      </c>
    </row>
    <row r="5872" spans="2:12">
      <c r="B5872" s="4" t="e">
        <f t="shared" si="185"/>
        <v>#N/A</v>
      </c>
      <c r="C5872" s="4">
        <f>'Raw data'!E5448</f>
        <v>0</v>
      </c>
      <c r="D5872" s="29" t="e">
        <f>VLOOKUP(C5872,'점포코드 '!A:B,2,0)</f>
        <v>#N/A</v>
      </c>
      <c r="E5872" s="30">
        <f>'Raw data'!P5448</f>
        <v>0</v>
      </c>
      <c r="F5872" s="29" t="e">
        <f>VLOOKUP(E5872,'점포코드 '!A:B,2,0)</f>
        <v>#N/A</v>
      </c>
      <c r="G5872" s="46">
        <f>'Raw data'!F5781</f>
        <v>0</v>
      </c>
      <c r="H5872" s="4">
        <f>'Raw data'!G5781</f>
        <v>0</v>
      </c>
      <c r="I5872" s="29" t="e">
        <f>VLOOKUP(G5872,제품명!$C$1:$E$114,2,0)</f>
        <v>#N/A</v>
      </c>
      <c r="J5872" s="29">
        <f>'Raw data'!K5781</f>
        <v>0</v>
      </c>
      <c r="K5872" s="31">
        <f>'Raw data'!H5781</f>
        <v>0</v>
      </c>
      <c r="L5872" s="26">
        <f t="shared" si="186"/>
        <v>0</v>
      </c>
    </row>
    <row r="5873" spans="2:12">
      <c r="B5873" s="4" t="e">
        <f t="shared" si="185"/>
        <v>#N/A</v>
      </c>
      <c r="C5873" s="4">
        <f>'Raw data'!E5449</f>
        <v>0</v>
      </c>
      <c r="D5873" s="29" t="e">
        <f>VLOOKUP(C5873,'점포코드 '!A:B,2,0)</f>
        <v>#N/A</v>
      </c>
      <c r="E5873" s="30">
        <f>'Raw data'!P5449</f>
        <v>0</v>
      </c>
      <c r="F5873" s="29" t="e">
        <f>VLOOKUP(E5873,'점포코드 '!A:B,2,0)</f>
        <v>#N/A</v>
      </c>
      <c r="G5873" s="46">
        <f>'Raw data'!F5782</f>
        <v>0</v>
      </c>
      <c r="H5873" s="4">
        <f>'Raw data'!G5782</f>
        <v>0</v>
      </c>
      <c r="I5873" s="29" t="e">
        <f>VLOOKUP(G5873,제품명!$C$1:$E$114,2,0)</f>
        <v>#N/A</v>
      </c>
      <c r="J5873" s="29">
        <f>'Raw data'!K5782</f>
        <v>0</v>
      </c>
      <c r="K5873" s="31">
        <f>'Raw data'!H5782</f>
        <v>0</v>
      </c>
      <c r="L5873" s="26">
        <f t="shared" si="186"/>
        <v>0</v>
      </c>
    </row>
    <row r="5874" spans="2:12">
      <c r="B5874" s="4" t="e">
        <f t="shared" si="185"/>
        <v>#N/A</v>
      </c>
      <c r="C5874" s="4">
        <f>'Raw data'!E5450</f>
        <v>0</v>
      </c>
      <c r="D5874" s="29" t="e">
        <f>VLOOKUP(C5874,'점포코드 '!A:B,2,0)</f>
        <v>#N/A</v>
      </c>
      <c r="E5874" s="30">
        <f>'Raw data'!P5450</f>
        <v>0</v>
      </c>
      <c r="F5874" s="29" t="e">
        <f>VLOOKUP(E5874,'점포코드 '!A:B,2,0)</f>
        <v>#N/A</v>
      </c>
      <c r="G5874" s="46">
        <f>'Raw data'!F5783</f>
        <v>0</v>
      </c>
      <c r="H5874" s="4">
        <f>'Raw data'!G5783</f>
        <v>0</v>
      </c>
      <c r="I5874" s="29" t="e">
        <f>VLOOKUP(G5874,제품명!$C$1:$E$114,2,0)</f>
        <v>#N/A</v>
      </c>
      <c r="J5874" s="29">
        <f>'Raw data'!K5783</f>
        <v>0</v>
      </c>
      <c r="K5874" s="31">
        <f>'Raw data'!H5783</f>
        <v>0</v>
      </c>
      <c r="L5874" s="26">
        <f t="shared" si="186"/>
        <v>0</v>
      </c>
    </row>
    <row r="5875" spans="2:12">
      <c r="B5875" s="4" t="e">
        <f t="shared" si="185"/>
        <v>#N/A</v>
      </c>
      <c r="C5875" s="4">
        <f>'Raw data'!E5451</f>
        <v>0</v>
      </c>
      <c r="D5875" s="29" t="e">
        <f>VLOOKUP(C5875,'점포코드 '!A:B,2,0)</f>
        <v>#N/A</v>
      </c>
      <c r="E5875" s="30">
        <f>'Raw data'!P5451</f>
        <v>0</v>
      </c>
      <c r="F5875" s="29" t="e">
        <f>VLOOKUP(E5875,'점포코드 '!A:B,2,0)</f>
        <v>#N/A</v>
      </c>
      <c r="G5875" s="46">
        <f>'Raw data'!F5784</f>
        <v>0</v>
      </c>
      <c r="H5875" s="4">
        <f>'Raw data'!G5784</f>
        <v>0</v>
      </c>
      <c r="I5875" s="29" t="e">
        <f>VLOOKUP(G5875,제품명!$C$1:$E$114,2,0)</f>
        <v>#N/A</v>
      </c>
      <c r="J5875" s="29">
        <f>'Raw data'!K5784</f>
        <v>0</v>
      </c>
      <c r="K5875" s="31">
        <f>'Raw data'!H5784</f>
        <v>0</v>
      </c>
      <c r="L5875" s="26">
        <f t="shared" si="186"/>
        <v>0</v>
      </c>
    </row>
    <row r="5876" spans="2:12">
      <c r="B5876" s="4" t="e">
        <f t="shared" si="185"/>
        <v>#N/A</v>
      </c>
      <c r="C5876" s="4">
        <f>'Raw data'!E5452</f>
        <v>0</v>
      </c>
      <c r="D5876" s="29" t="e">
        <f>VLOOKUP(C5876,'점포코드 '!A:B,2,0)</f>
        <v>#N/A</v>
      </c>
      <c r="E5876" s="30">
        <f>'Raw data'!P5452</f>
        <v>0</v>
      </c>
      <c r="F5876" s="29" t="e">
        <f>VLOOKUP(E5876,'점포코드 '!A:B,2,0)</f>
        <v>#N/A</v>
      </c>
      <c r="G5876" s="46">
        <f>'Raw data'!F5785</f>
        <v>0</v>
      </c>
      <c r="H5876" s="4">
        <f>'Raw data'!G5785</f>
        <v>0</v>
      </c>
      <c r="I5876" s="29" t="e">
        <f>VLOOKUP(G5876,제품명!$C$1:$E$114,2,0)</f>
        <v>#N/A</v>
      </c>
      <c r="J5876" s="29">
        <f>'Raw data'!K5785</f>
        <v>0</v>
      </c>
      <c r="K5876" s="31">
        <f>'Raw data'!H5785</f>
        <v>0</v>
      </c>
      <c r="L5876" s="26">
        <f t="shared" si="186"/>
        <v>0</v>
      </c>
    </row>
    <row r="5877" spans="2:12">
      <c r="B5877" s="4" t="e">
        <f t="shared" si="185"/>
        <v>#N/A</v>
      </c>
      <c r="C5877" s="4">
        <f>'Raw data'!E5453</f>
        <v>0</v>
      </c>
      <c r="D5877" s="29" t="e">
        <f>VLOOKUP(C5877,'점포코드 '!A:B,2,0)</f>
        <v>#N/A</v>
      </c>
      <c r="E5877" s="30">
        <f>'Raw data'!P5453</f>
        <v>0</v>
      </c>
      <c r="F5877" s="29" t="e">
        <f>VLOOKUP(E5877,'점포코드 '!A:B,2,0)</f>
        <v>#N/A</v>
      </c>
      <c r="G5877" s="46">
        <f>'Raw data'!F5786</f>
        <v>0</v>
      </c>
      <c r="H5877" s="4">
        <f>'Raw data'!G5786</f>
        <v>0</v>
      </c>
      <c r="I5877" s="29" t="e">
        <f>VLOOKUP(G5877,제품명!$C$1:$E$114,2,0)</f>
        <v>#N/A</v>
      </c>
      <c r="J5877" s="29">
        <f>'Raw data'!K5786</f>
        <v>0</v>
      </c>
      <c r="K5877" s="31">
        <f>'Raw data'!H5786</f>
        <v>0</v>
      </c>
      <c r="L5877" s="26">
        <f t="shared" si="186"/>
        <v>0</v>
      </c>
    </row>
    <row r="5878" spans="2:12">
      <c r="B5878" s="4" t="e">
        <f t="shared" si="185"/>
        <v>#N/A</v>
      </c>
      <c r="C5878" s="4">
        <f>'Raw data'!E5454</f>
        <v>0</v>
      </c>
      <c r="D5878" s="29" t="e">
        <f>VLOOKUP(C5878,'점포코드 '!A:B,2,0)</f>
        <v>#N/A</v>
      </c>
      <c r="E5878" s="30">
        <f>'Raw data'!P5454</f>
        <v>0</v>
      </c>
      <c r="F5878" s="29" t="e">
        <f>VLOOKUP(E5878,'점포코드 '!A:B,2,0)</f>
        <v>#N/A</v>
      </c>
      <c r="G5878" s="46">
        <f>'Raw data'!F5787</f>
        <v>0</v>
      </c>
      <c r="H5878" s="4">
        <f>'Raw data'!G5787</f>
        <v>0</v>
      </c>
      <c r="I5878" s="29" t="e">
        <f>VLOOKUP(G5878,제품명!$C$1:$E$114,2,0)</f>
        <v>#N/A</v>
      </c>
      <c r="J5878" s="29">
        <f>'Raw data'!K5787</f>
        <v>0</v>
      </c>
      <c r="K5878" s="31">
        <f>'Raw data'!H5787</f>
        <v>0</v>
      </c>
      <c r="L5878" s="26">
        <f t="shared" si="186"/>
        <v>0</v>
      </c>
    </row>
    <row r="5879" spans="2:12">
      <c r="B5879" s="4" t="e">
        <f t="shared" si="185"/>
        <v>#N/A</v>
      </c>
      <c r="C5879" s="4">
        <f>'Raw data'!E5455</f>
        <v>0</v>
      </c>
      <c r="D5879" s="29" t="e">
        <f>VLOOKUP(C5879,'점포코드 '!A:B,2,0)</f>
        <v>#N/A</v>
      </c>
      <c r="E5879" s="30">
        <f>'Raw data'!P5455</f>
        <v>0</v>
      </c>
      <c r="F5879" s="29" t="e">
        <f>VLOOKUP(E5879,'점포코드 '!A:B,2,0)</f>
        <v>#N/A</v>
      </c>
      <c r="G5879" s="46">
        <f>'Raw data'!F5788</f>
        <v>0</v>
      </c>
      <c r="H5879" s="4">
        <f>'Raw data'!G5788</f>
        <v>0</v>
      </c>
      <c r="I5879" s="29" t="e">
        <f>VLOOKUP(G5879,제품명!$C$1:$E$114,2,0)</f>
        <v>#N/A</v>
      </c>
      <c r="J5879" s="29">
        <f>'Raw data'!K5788</f>
        <v>0</v>
      </c>
      <c r="K5879" s="31">
        <f>'Raw data'!H5788</f>
        <v>0</v>
      </c>
      <c r="L5879" s="26">
        <f t="shared" si="186"/>
        <v>0</v>
      </c>
    </row>
    <row r="5880" spans="2:12">
      <c r="B5880" s="4" t="e">
        <f t="shared" si="185"/>
        <v>#N/A</v>
      </c>
      <c r="C5880" s="4">
        <f>'Raw data'!E5456</f>
        <v>0</v>
      </c>
      <c r="D5880" s="29" t="e">
        <f>VLOOKUP(C5880,'점포코드 '!A:B,2,0)</f>
        <v>#N/A</v>
      </c>
      <c r="E5880" s="30">
        <f>'Raw data'!P5456</f>
        <v>0</v>
      </c>
      <c r="F5880" s="29" t="e">
        <f>VLOOKUP(E5880,'점포코드 '!A:B,2,0)</f>
        <v>#N/A</v>
      </c>
      <c r="G5880" s="46">
        <f>'Raw data'!F5789</f>
        <v>0</v>
      </c>
      <c r="H5880" s="4">
        <f>'Raw data'!G5789</f>
        <v>0</v>
      </c>
      <c r="I5880" s="29" t="e">
        <f>VLOOKUP(G5880,제품명!$C$1:$E$114,2,0)</f>
        <v>#N/A</v>
      </c>
      <c r="J5880" s="29">
        <f>'Raw data'!K5789</f>
        <v>0</v>
      </c>
      <c r="K5880" s="31">
        <f>'Raw data'!H5789</f>
        <v>0</v>
      </c>
      <c r="L5880" s="26">
        <f t="shared" si="186"/>
        <v>0</v>
      </c>
    </row>
    <row r="5881" spans="2:12">
      <c r="B5881" s="4" t="e">
        <f t="shared" si="185"/>
        <v>#N/A</v>
      </c>
      <c r="C5881" s="4">
        <f>'Raw data'!E5457</f>
        <v>0</v>
      </c>
      <c r="D5881" s="29" t="e">
        <f>VLOOKUP(C5881,'점포코드 '!A:B,2,0)</f>
        <v>#N/A</v>
      </c>
      <c r="E5881" s="30">
        <f>'Raw data'!P5457</f>
        <v>0</v>
      </c>
      <c r="F5881" s="29" t="e">
        <f>VLOOKUP(E5881,'점포코드 '!A:B,2,0)</f>
        <v>#N/A</v>
      </c>
      <c r="G5881" s="46">
        <f>'Raw data'!F5790</f>
        <v>0</v>
      </c>
      <c r="H5881" s="4">
        <f>'Raw data'!G5790</f>
        <v>0</v>
      </c>
      <c r="I5881" s="29" t="e">
        <f>VLOOKUP(G5881,제품명!$C$1:$E$114,2,0)</f>
        <v>#N/A</v>
      </c>
      <c r="J5881" s="29">
        <f>'Raw data'!K5790</f>
        <v>0</v>
      </c>
      <c r="K5881" s="31">
        <f>'Raw data'!H5790</f>
        <v>0</v>
      </c>
      <c r="L5881" s="26">
        <f t="shared" si="186"/>
        <v>0</v>
      </c>
    </row>
    <row r="5882" spans="2:12">
      <c r="B5882" s="4" t="e">
        <f t="shared" si="185"/>
        <v>#N/A</v>
      </c>
      <c r="C5882" s="4">
        <f>'Raw data'!E5458</f>
        <v>0</v>
      </c>
      <c r="D5882" s="29" t="e">
        <f>VLOOKUP(C5882,'점포코드 '!A:B,2,0)</f>
        <v>#N/A</v>
      </c>
      <c r="E5882" s="30">
        <f>'Raw data'!P5458</f>
        <v>0</v>
      </c>
      <c r="F5882" s="29" t="e">
        <f>VLOOKUP(E5882,'점포코드 '!A:B,2,0)</f>
        <v>#N/A</v>
      </c>
      <c r="G5882" s="46">
        <f>'Raw data'!F5791</f>
        <v>0</v>
      </c>
      <c r="H5882" s="4">
        <f>'Raw data'!G5791</f>
        <v>0</v>
      </c>
      <c r="I5882" s="29" t="e">
        <f>VLOOKUP(G5882,제품명!$C$1:$E$114,2,0)</f>
        <v>#N/A</v>
      </c>
      <c r="J5882" s="29">
        <f>'Raw data'!K5791</f>
        <v>0</v>
      </c>
      <c r="K5882" s="31">
        <f>'Raw data'!H5791</f>
        <v>0</v>
      </c>
      <c r="L5882" s="26">
        <f t="shared" si="186"/>
        <v>0</v>
      </c>
    </row>
    <row r="5883" spans="2:12">
      <c r="B5883" s="4" t="e">
        <f t="shared" si="185"/>
        <v>#N/A</v>
      </c>
      <c r="C5883" s="4">
        <f>'Raw data'!E5459</f>
        <v>0</v>
      </c>
      <c r="D5883" s="29" t="e">
        <f>VLOOKUP(C5883,'점포코드 '!A:B,2,0)</f>
        <v>#N/A</v>
      </c>
      <c r="E5883" s="30">
        <f>'Raw data'!P5459</f>
        <v>0</v>
      </c>
      <c r="F5883" s="29" t="e">
        <f>VLOOKUP(E5883,'점포코드 '!A:B,2,0)</f>
        <v>#N/A</v>
      </c>
      <c r="G5883" s="46">
        <f>'Raw data'!F5792</f>
        <v>0</v>
      </c>
      <c r="H5883" s="4">
        <f>'Raw data'!G5792</f>
        <v>0</v>
      </c>
      <c r="I5883" s="29" t="e">
        <f>VLOOKUP(G5883,제품명!$C$1:$E$114,2,0)</f>
        <v>#N/A</v>
      </c>
      <c r="J5883" s="29">
        <f>'Raw data'!K5792</f>
        <v>0</v>
      </c>
      <c r="K5883" s="31">
        <f>'Raw data'!H5792</f>
        <v>0</v>
      </c>
      <c r="L5883" s="26">
        <f t="shared" si="186"/>
        <v>0</v>
      </c>
    </row>
    <row r="5884" spans="2:12">
      <c r="B5884" s="4" t="e">
        <f t="shared" si="185"/>
        <v>#N/A</v>
      </c>
      <c r="C5884" s="4">
        <f>'Raw data'!E5460</f>
        <v>0</v>
      </c>
      <c r="D5884" s="29" t="e">
        <f>VLOOKUP(C5884,'점포코드 '!A:B,2,0)</f>
        <v>#N/A</v>
      </c>
      <c r="E5884" s="30">
        <f>'Raw data'!P5460</f>
        <v>0</v>
      </c>
      <c r="F5884" s="29" t="e">
        <f>VLOOKUP(E5884,'점포코드 '!A:B,2,0)</f>
        <v>#N/A</v>
      </c>
      <c r="G5884" s="46">
        <f>'Raw data'!F5793</f>
        <v>0</v>
      </c>
      <c r="H5884" s="4">
        <f>'Raw data'!G5793</f>
        <v>0</v>
      </c>
      <c r="I5884" s="29" t="e">
        <f>VLOOKUP(G5884,제품명!$C$1:$E$114,2,0)</f>
        <v>#N/A</v>
      </c>
      <c r="J5884" s="29">
        <f>'Raw data'!K5793</f>
        <v>0</v>
      </c>
      <c r="K5884" s="31">
        <f>'Raw data'!H5793</f>
        <v>0</v>
      </c>
      <c r="L5884" s="26">
        <f t="shared" si="186"/>
        <v>0</v>
      </c>
    </row>
    <row r="5885" spans="2:12">
      <c r="B5885" s="4" t="e">
        <f t="shared" si="185"/>
        <v>#N/A</v>
      </c>
      <c r="C5885" s="4">
        <f>'Raw data'!E5461</f>
        <v>0</v>
      </c>
      <c r="D5885" s="29" t="e">
        <f>VLOOKUP(C5885,'점포코드 '!A:B,2,0)</f>
        <v>#N/A</v>
      </c>
      <c r="E5885" s="30">
        <f>'Raw data'!P5461</f>
        <v>0</v>
      </c>
      <c r="F5885" s="29" t="e">
        <f>VLOOKUP(E5885,'점포코드 '!A:B,2,0)</f>
        <v>#N/A</v>
      </c>
      <c r="G5885" s="46">
        <f>'Raw data'!F5794</f>
        <v>0</v>
      </c>
      <c r="H5885" s="4">
        <f>'Raw data'!G5794</f>
        <v>0</v>
      </c>
      <c r="I5885" s="29" t="e">
        <f>VLOOKUP(G5885,제품명!$C$1:$E$114,2,0)</f>
        <v>#N/A</v>
      </c>
      <c r="J5885" s="29">
        <f>'Raw data'!K5794</f>
        <v>0</v>
      </c>
      <c r="K5885" s="31">
        <f>'Raw data'!H5794</f>
        <v>0</v>
      </c>
      <c r="L5885" s="26">
        <f t="shared" si="186"/>
        <v>0</v>
      </c>
    </row>
    <row r="5886" spans="2:12">
      <c r="B5886" s="4" t="e">
        <f t="shared" si="185"/>
        <v>#N/A</v>
      </c>
      <c r="C5886" s="4">
        <f>'Raw data'!E5462</f>
        <v>0</v>
      </c>
      <c r="D5886" s="29" t="e">
        <f>VLOOKUP(C5886,'점포코드 '!A:B,2,0)</f>
        <v>#N/A</v>
      </c>
      <c r="E5886" s="30">
        <f>'Raw data'!P5462</f>
        <v>0</v>
      </c>
      <c r="F5886" s="29" t="e">
        <f>VLOOKUP(E5886,'점포코드 '!A:B,2,0)</f>
        <v>#N/A</v>
      </c>
      <c r="G5886" s="46">
        <f>'Raw data'!F5795</f>
        <v>0</v>
      </c>
      <c r="H5886" s="4">
        <f>'Raw data'!G5795</f>
        <v>0</v>
      </c>
      <c r="I5886" s="29" t="e">
        <f>VLOOKUP(G5886,제품명!$C$1:$E$114,2,0)</f>
        <v>#N/A</v>
      </c>
      <c r="J5886" s="29">
        <f>'Raw data'!K5795</f>
        <v>0</v>
      </c>
      <c r="K5886" s="31">
        <f>'Raw data'!H5795</f>
        <v>0</v>
      </c>
      <c r="L5886" s="26">
        <f t="shared" si="186"/>
        <v>0</v>
      </c>
    </row>
    <row r="5887" spans="2:12">
      <c r="B5887" s="4" t="e">
        <f t="shared" si="185"/>
        <v>#N/A</v>
      </c>
      <c r="C5887" s="4">
        <f>'Raw data'!E5463</f>
        <v>0</v>
      </c>
      <c r="D5887" s="29" t="e">
        <f>VLOOKUP(C5887,'점포코드 '!A:B,2,0)</f>
        <v>#N/A</v>
      </c>
      <c r="E5887" s="30">
        <f>'Raw data'!P5463</f>
        <v>0</v>
      </c>
      <c r="F5887" s="29" t="e">
        <f>VLOOKUP(E5887,'점포코드 '!A:B,2,0)</f>
        <v>#N/A</v>
      </c>
      <c r="G5887" s="46">
        <f>'Raw data'!F5796</f>
        <v>0</v>
      </c>
      <c r="H5887" s="4">
        <f>'Raw data'!G5796</f>
        <v>0</v>
      </c>
      <c r="I5887" s="29" t="e">
        <f>VLOOKUP(G5887,제품명!$C$1:$E$114,2,0)</f>
        <v>#N/A</v>
      </c>
      <c r="J5887" s="29">
        <f>'Raw data'!K5796</f>
        <v>0</v>
      </c>
      <c r="K5887" s="31">
        <f>'Raw data'!H5796</f>
        <v>0</v>
      </c>
      <c r="L5887" s="26">
        <f t="shared" si="186"/>
        <v>0</v>
      </c>
    </row>
    <row r="5888" spans="2:12">
      <c r="B5888" s="4" t="e">
        <f t="shared" si="185"/>
        <v>#N/A</v>
      </c>
      <c r="C5888" s="4">
        <f>'Raw data'!E5464</f>
        <v>0</v>
      </c>
      <c r="D5888" s="29" t="e">
        <f>VLOOKUP(C5888,'점포코드 '!A:B,2,0)</f>
        <v>#N/A</v>
      </c>
      <c r="E5888" s="30">
        <f>'Raw data'!P5464</f>
        <v>0</v>
      </c>
      <c r="F5888" s="29" t="e">
        <f>VLOOKUP(E5888,'점포코드 '!A:B,2,0)</f>
        <v>#N/A</v>
      </c>
      <c r="G5888" s="46">
        <f>'Raw data'!F5797</f>
        <v>0</v>
      </c>
      <c r="H5888" s="4">
        <f>'Raw data'!G5797</f>
        <v>0</v>
      </c>
      <c r="I5888" s="29" t="e">
        <f>VLOOKUP(G5888,제품명!$C$1:$E$114,2,0)</f>
        <v>#N/A</v>
      </c>
      <c r="J5888" s="29">
        <f>'Raw data'!K5797</f>
        <v>0</v>
      </c>
      <c r="K5888" s="31">
        <f>'Raw data'!H5797</f>
        <v>0</v>
      </c>
      <c r="L5888" s="26">
        <f t="shared" si="186"/>
        <v>0</v>
      </c>
    </row>
    <row r="5889" spans="2:12">
      <c r="B5889" s="4" t="e">
        <f t="shared" si="185"/>
        <v>#N/A</v>
      </c>
      <c r="C5889" s="4">
        <f>'Raw data'!E5465</f>
        <v>0</v>
      </c>
      <c r="D5889" s="29" t="e">
        <f>VLOOKUP(C5889,'점포코드 '!A:B,2,0)</f>
        <v>#N/A</v>
      </c>
      <c r="E5889" s="30">
        <f>'Raw data'!P5465</f>
        <v>0</v>
      </c>
      <c r="F5889" s="29" t="e">
        <f>VLOOKUP(E5889,'점포코드 '!A:B,2,0)</f>
        <v>#N/A</v>
      </c>
      <c r="G5889" s="46">
        <f>'Raw data'!F5798</f>
        <v>0</v>
      </c>
      <c r="H5889" s="4">
        <f>'Raw data'!G5798</f>
        <v>0</v>
      </c>
      <c r="I5889" s="29" t="e">
        <f>VLOOKUP(G5889,제품명!$C$1:$E$114,2,0)</f>
        <v>#N/A</v>
      </c>
      <c r="J5889" s="29">
        <f>'Raw data'!K5798</f>
        <v>0</v>
      </c>
      <c r="K5889" s="31">
        <f>'Raw data'!H5798</f>
        <v>0</v>
      </c>
      <c r="L5889" s="26">
        <f t="shared" si="186"/>
        <v>0</v>
      </c>
    </row>
    <row r="5890" spans="2:12">
      <c r="B5890" s="4" t="e">
        <f t="shared" ref="B5890:B5953" si="187">F5890&amp;I5890</f>
        <v>#N/A</v>
      </c>
      <c r="C5890" s="4">
        <f>'Raw data'!E5466</f>
        <v>0</v>
      </c>
      <c r="D5890" s="29" t="e">
        <f>VLOOKUP(C5890,'점포코드 '!A:B,2,0)</f>
        <v>#N/A</v>
      </c>
      <c r="E5890" s="30">
        <f>'Raw data'!P5466</f>
        <v>0</v>
      </c>
      <c r="F5890" s="29" t="e">
        <f>VLOOKUP(E5890,'점포코드 '!A:B,2,0)</f>
        <v>#N/A</v>
      </c>
      <c r="G5890" s="46">
        <f>'Raw data'!F5799</f>
        <v>0</v>
      </c>
      <c r="H5890" s="4">
        <f>'Raw data'!G5799</f>
        <v>0</v>
      </c>
      <c r="I5890" s="29" t="e">
        <f>VLOOKUP(G5890,제품명!$C$1:$E$114,2,0)</f>
        <v>#N/A</v>
      </c>
      <c r="J5890" s="29">
        <f>'Raw data'!K5799</f>
        <v>0</v>
      </c>
      <c r="K5890" s="31">
        <f>'Raw data'!H5799</f>
        <v>0</v>
      </c>
      <c r="L5890" s="26">
        <f t="shared" si="186"/>
        <v>0</v>
      </c>
    </row>
    <row r="5891" spans="2:12">
      <c r="B5891" s="4" t="e">
        <f t="shared" si="187"/>
        <v>#N/A</v>
      </c>
      <c r="C5891" s="4">
        <f>'Raw data'!E5467</f>
        <v>0</v>
      </c>
      <c r="D5891" s="29" t="e">
        <f>VLOOKUP(C5891,'점포코드 '!A:B,2,0)</f>
        <v>#N/A</v>
      </c>
      <c r="E5891" s="30">
        <f>'Raw data'!P5467</f>
        <v>0</v>
      </c>
      <c r="F5891" s="29" t="e">
        <f>VLOOKUP(E5891,'점포코드 '!A:B,2,0)</f>
        <v>#N/A</v>
      </c>
      <c r="G5891" s="46">
        <f>'Raw data'!F5800</f>
        <v>0</v>
      </c>
      <c r="H5891" s="4">
        <f>'Raw data'!G5800</f>
        <v>0</v>
      </c>
      <c r="I5891" s="29" t="e">
        <f>VLOOKUP(G5891,제품명!$C$1:$E$114,2,0)</f>
        <v>#N/A</v>
      </c>
      <c r="J5891" s="29">
        <f>'Raw data'!K5800</f>
        <v>0</v>
      </c>
      <c r="K5891" s="31">
        <f>'Raw data'!H5800</f>
        <v>0</v>
      </c>
      <c r="L5891" s="26">
        <f t="shared" ref="L5891:L5954" si="188">J5891*K5891</f>
        <v>0</v>
      </c>
    </row>
    <row r="5892" spans="2:12">
      <c r="B5892" s="4" t="e">
        <f t="shared" si="187"/>
        <v>#N/A</v>
      </c>
      <c r="C5892" s="4">
        <f>'Raw data'!E5468</f>
        <v>0</v>
      </c>
      <c r="D5892" s="29" t="e">
        <f>VLOOKUP(C5892,'점포코드 '!A:B,2,0)</f>
        <v>#N/A</v>
      </c>
      <c r="E5892" s="30">
        <f>'Raw data'!P5468</f>
        <v>0</v>
      </c>
      <c r="F5892" s="29" t="e">
        <f>VLOOKUP(E5892,'점포코드 '!A:B,2,0)</f>
        <v>#N/A</v>
      </c>
      <c r="G5892" s="46">
        <f>'Raw data'!F5801</f>
        <v>0</v>
      </c>
      <c r="H5892" s="4">
        <f>'Raw data'!G5801</f>
        <v>0</v>
      </c>
      <c r="I5892" s="29" t="e">
        <f>VLOOKUP(G5892,제품명!$C$1:$E$114,2,0)</f>
        <v>#N/A</v>
      </c>
      <c r="J5892" s="29">
        <f>'Raw data'!K5801</f>
        <v>0</v>
      </c>
      <c r="K5892" s="31">
        <f>'Raw data'!H5801</f>
        <v>0</v>
      </c>
      <c r="L5892" s="26">
        <f t="shared" si="188"/>
        <v>0</v>
      </c>
    </row>
    <row r="5893" spans="2:12">
      <c r="B5893" s="4" t="e">
        <f t="shared" si="187"/>
        <v>#N/A</v>
      </c>
      <c r="C5893" s="4">
        <f>'Raw data'!E5469</f>
        <v>0</v>
      </c>
      <c r="D5893" s="29" t="e">
        <f>VLOOKUP(C5893,'점포코드 '!A:B,2,0)</f>
        <v>#N/A</v>
      </c>
      <c r="E5893" s="30">
        <f>'Raw data'!P5469</f>
        <v>0</v>
      </c>
      <c r="F5893" s="29" t="e">
        <f>VLOOKUP(E5893,'점포코드 '!A:B,2,0)</f>
        <v>#N/A</v>
      </c>
      <c r="G5893" s="46">
        <f>'Raw data'!F5802</f>
        <v>0</v>
      </c>
      <c r="H5893" s="4">
        <f>'Raw data'!G5802</f>
        <v>0</v>
      </c>
      <c r="I5893" s="29" t="e">
        <f>VLOOKUP(G5893,제품명!$C$1:$E$114,2,0)</f>
        <v>#N/A</v>
      </c>
      <c r="J5893" s="29">
        <f>'Raw data'!K5802</f>
        <v>0</v>
      </c>
      <c r="K5893" s="31">
        <f>'Raw data'!H5802</f>
        <v>0</v>
      </c>
      <c r="L5893" s="26">
        <f t="shared" si="188"/>
        <v>0</v>
      </c>
    </row>
    <row r="5894" spans="2:12">
      <c r="B5894" s="4" t="e">
        <f t="shared" si="187"/>
        <v>#N/A</v>
      </c>
      <c r="C5894" s="4">
        <f>'Raw data'!E5470</f>
        <v>0</v>
      </c>
      <c r="D5894" s="29" t="e">
        <f>VLOOKUP(C5894,'점포코드 '!A:B,2,0)</f>
        <v>#N/A</v>
      </c>
      <c r="E5894" s="30">
        <f>'Raw data'!P5470</f>
        <v>0</v>
      </c>
      <c r="F5894" s="29" t="e">
        <f>VLOOKUP(E5894,'점포코드 '!A:B,2,0)</f>
        <v>#N/A</v>
      </c>
      <c r="G5894" s="46">
        <f>'Raw data'!F5803</f>
        <v>0</v>
      </c>
      <c r="H5894" s="4">
        <f>'Raw data'!G5803</f>
        <v>0</v>
      </c>
      <c r="I5894" s="29" t="e">
        <f>VLOOKUP(G5894,제품명!$C$1:$E$114,2,0)</f>
        <v>#N/A</v>
      </c>
      <c r="J5894" s="29">
        <f>'Raw data'!K5803</f>
        <v>0</v>
      </c>
      <c r="K5894" s="31">
        <f>'Raw data'!H5803</f>
        <v>0</v>
      </c>
      <c r="L5894" s="26">
        <f t="shared" si="188"/>
        <v>0</v>
      </c>
    </row>
    <row r="5895" spans="2:12">
      <c r="B5895" s="4" t="e">
        <f t="shared" si="187"/>
        <v>#N/A</v>
      </c>
      <c r="C5895" s="4">
        <f>'Raw data'!E5471</f>
        <v>0</v>
      </c>
      <c r="D5895" s="29" t="e">
        <f>VLOOKUP(C5895,'점포코드 '!A:B,2,0)</f>
        <v>#N/A</v>
      </c>
      <c r="E5895" s="30">
        <f>'Raw data'!P5471</f>
        <v>0</v>
      </c>
      <c r="F5895" s="29" t="e">
        <f>VLOOKUP(E5895,'점포코드 '!A:B,2,0)</f>
        <v>#N/A</v>
      </c>
      <c r="G5895" s="46">
        <f>'Raw data'!F5804</f>
        <v>0</v>
      </c>
      <c r="H5895" s="4">
        <f>'Raw data'!G5804</f>
        <v>0</v>
      </c>
      <c r="I5895" s="29" t="e">
        <f>VLOOKUP(G5895,제품명!$C$1:$E$114,2,0)</f>
        <v>#N/A</v>
      </c>
      <c r="J5895" s="29">
        <f>'Raw data'!K5804</f>
        <v>0</v>
      </c>
      <c r="K5895" s="31">
        <f>'Raw data'!H5804</f>
        <v>0</v>
      </c>
      <c r="L5895" s="26">
        <f t="shared" si="188"/>
        <v>0</v>
      </c>
    </row>
    <row r="5896" spans="2:12">
      <c r="B5896" s="4" t="e">
        <f t="shared" si="187"/>
        <v>#N/A</v>
      </c>
      <c r="C5896" s="4">
        <f>'Raw data'!E5472</f>
        <v>0</v>
      </c>
      <c r="D5896" s="29" t="e">
        <f>VLOOKUP(C5896,'점포코드 '!A:B,2,0)</f>
        <v>#N/A</v>
      </c>
      <c r="E5896" s="30">
        <f>'Raw data'!P5472</f>
        <v>0</v>
      </c>
      <c r="F5896" s="29" t="e">
        <f>VLOOKUP(E5896,'점포코드 '!A:B,2,0)</f>
        <v>#N/A</v>
      </c>
      <c r="G5896" s="46">
        <f>'Raw data'!F5805</f>
        <v>0</v>
      </c>
      <c r="H5896" s="4">
        <f>'Raw data'!G5805</f>
        <v>0</v>
      </c>
      <c r="I5896" s="29" t="e">
        <f>VLOOKUP(G5896,제품명!$C$1:$E$114,2,0)</f>
        <v>#N/A</v>
      </c>
      <c r="J5896" s="29">
        <f>'Raw data'!K5805</f>
        <v>0</v>
      </c>
      <c r="K5896" s="31">
        <f>'Raw data'!H5805</f>
        <v>0</v>
      </c>
      <c r="L5896" s="26">
        <f t="shared" si="188"/>
        <v>0</v>
      </c>
    </row>
    <row r="5897" spans="2:12">
      <c r="B5897" s="4" t="e">
        <f t="shared" si="187"/>
        <v>#N/A</v>
      </c>
      <c r="C5897" s="4">
        <f>'Raw data'!E5473</f>
        <v>0</v>
      </c>
      <c r="D5897" s="29" t="e">
        <f>VLOOKUP(C5897,'점포코드 '!A:B,2,0)</f>
        <v>#N/A</v>
      </c>
      <c r="E5897" s="30">
        <f>'Raw data'!P5473</f>
        <v>0</v>
      </c>
      <c r="F5897" s="29" t="e">
        <f>VLOOKUP(E5897,'점포코드 '!A:B,2,0)</f>
        <v>#N/A</v>
      </c>
      <c r="G5897" s="46">
        <f>'Raw data'!F5806</f>
        <v>0</v>
      </c>
      <c r="H5897" s="4">
        <f>'Raw data'!G5806</f>
        <v>0</v>
      </c>
      <c r="I5897" s="29" t="e">
        <f>VLOOKUP(G5897,제품명!$C$1:$E$114,2,0)</f>
        <v>#N/A</v>
      </c>
      <c r="J5897" s="29">
        <f>'Raw data'!K5806</f>
        <v>0</v>
      </c>
      <c r="K5897" s="31">
        <f>'Raw data'!H5806</f>
        <v>0</v>
      </c>
      <c r="L5897" s="26">
        <f t="shared" si="188"/>
        <v>0</v>
      </c>
    </row>
    <row r="5898" spans="2:12">
      <c r="B5898" s="4" t="e">
        <f t="shared" si="187"/>
        <v>#N/A</v>
      </c>
      <c r="C5898" s="4">
        <f>'Raw data'!E5474</f>
        <v>0</v>
      </c>
      <c r="D5898" s="29" t="e">
        <f>VLOOKUP(C5898,'점포코드 '!A:B,2,0)</f>
        <v>#N/A</v>
      </c>
      <c r="E5898" s="30">
        <f>'Raw data'!P5474</f>
        <v>0</v>
      </c>
      <c r="F5898" s="29" t="e">
        <f>VLOOKUP(E5898,'점포코드 '!A:B,2,0)</f>
        <v>#N/A</v>
      </c>
      <c r="G5898" s="46">
        <f>'Raw data'!F5807</f>
        <v>0</v>
      </c>
      <c r="H5898" s="4">
        <f>'Raw data'!G5807</f>
        <v>0</v>
      </c>
      <c r="I5898" s="29" t="e">
        <f>VLOOKUP(G5898,제품명!$C$1:$E$114,2,0)</f>
        <v>#N/A</v>
      </c>
      <c r="J5898" s="29">
        <f>'Raw data'!K5807</f>
        <v>0</v>
      </c>
      <c r="K5898" s="31">
        <f>'Raw data'!H5807</f>
        <v>0</v>
      </c>
      <c r="L5898" s="26">
        <f t="shared" si="188"/>
        <v>0</v>
      </c>
    </row>
    <row r="5899" spans="2:12">
      <c r="B5899" s="4" t="e">
        <f t="shared" si="187"/>
        <v>#N/A</v>
      </c>
      <c r="C5899" s="4">
        <f>'Raw data'!E5475</f>
        <v>0</v>
      </c>
      <c r="D5899" s="29" t="e">
        <f>VLOOKUP(C5899,'점포코드 '!A:B,2,0)</f>
        <v>#N/A</v>
      </c>
      <c r="E5899" s="30">
        <f>'Raw data'!P5475</f>
        <v>0</v>
      </c>
      <c r="F5899" s="29" t="e">
        <f>VLOOKUP(E5899,'점포코드 '!A:B,2,0)</f>
        <v>#N/A</v>
      </c>
      <c r="G5899" s="46">
        <f>'Raw data'!F5808</f>
        <v>0</v>
      </c>
      <c r="H5899" s="4">
        <f>'Raw data'!G5808</f>
        <v>0</v>
      </c>
      <c r="I5899" s="29" t="e">
        <f>VLOOKUP(G5899,제품명!$C$1:$E$114,2,0)</f>
        <v>#N/A</v>
      </c>
      <c r="J5899" s="29">
        <f>'Raw data'!K5808</f>
        <v>0</v>
      </c>
      <c r="K5899" s="31">
        <f>'Raw data'!H5808</f>
        <v>0</v>
      </c>
      <c r="L5899" s="26">
        <f t="shared" si="188"/>
        <v>0</v>
      </c>
    </row>
    <row r="5900" spans="2:12">
      <c r="B5900" s="4" t="e">
        <f t="shared" si="187"/>
        <v>#N/A</v>
      </c>
      <c r="C5900" s="4">
        <f>'Raw data'!E5476</f>
        <v>0</v>
      </c>
      <c r="D5900" s="29" t="e">
        <f>VLOOKUP(C5900,'점포코드 '!A:B,2,0)</f>
        <v>#N/A</v>
      </c>
      <c r="E5900" s="30">
        <f>'Raw data'!P5476</f>
        <v>0</v>
      </c>
      <c r="F5900" s="29" t="e">
        <f>VLOOKUP(E5900,'점포코드 '!A:B,2,0)</f>
        <v>#N/A</v>
      </c>
      <c r="G5900" s="46">
        <f>'Raw data'!F5809</f>
        <v>0</v>
      </c>
      <c r="H5900" s="4">
        <f>'Raw data'!G5809</f>
        <v>0</v>
      </c>
      <c r="I5900" s="29" t="e">
        <f>VLOOKUP(G5900,제품명!$C$1:$E$114,2,0)</f>
        <v>#N/A</v>
      </c>
      <c r="J5900" s="29">
        <f>'Raw data'!K5809</f>
        <v>0</v>
      </c>
      <c r="K5900" s="31">
        <f>'Raw data'!H5809</f>
        <v>0</v>
      </c>
      <c r="L5900" s="26">
        <f t="shared" si="188"/>
        <v>0</v>
      </c>
    </row>
    <row r="5901" spans="2:12">
      <c r="B5901" s="4" t="e">
        <f t="shared" si="187"/>
        <v>#N/A</v>
      </c>
      <c r="C5901" s="4">
        <f>'Raw data'!E5477</f>
        <v>0</v>
      </c>
      <c r="D5901" s="29" t="e">
        <f>VLOOKUP(C5901,'점포코드 '!A:B,2,0)</f>
        <v>#N/A</v>
      </c>
      <c r="E5901" s="30">
        <f>'Raw data'!P5477</f>
        <v>0</v>
      </c>
      <c r="F5901" s="29" t="e">
        <f>VLOOKUP(E5901,'점포코드 '!A:B,2,0)</f>
        <v>#N/A</v>
      </c>
      <c r="G5901" s="46">
        <f>'Raw data'!F5810</f>
        <v>0</v>
      </c>
      <c r="H5901" s="4">
        <f>'Raw data'!G5810</f>
        <v>0</v>
      </c>
      <c r="I5901" s="29" t="e">
        <f>VLOOKUP(G5901,제품명!$C$1:$E$114,2,0)</f>
        <v>#N/A</v>
      </c>
      <c r="J5901" s="29">
        <f>'Raw data'!K5810</f>
        <v>0</v>
      </c>
      <c r="K5901" s="31">
        <f>'Raw data'!H5810</f>
        <v>0</v>
      </c>
      <c r="L5901" s="26">
        <f t="shared" si="188"/>
        <v>0</v>
      </c>
    </row>
    <row r="5902" spans="2:12">
      <c r="B5902" s="4" t="e">
        <f t="shared" si="187"/>
        <v>#N/A</v>
      </c>
      <c r="C5902" s="4">
        <f>'Raw data'!E5478</f>
        <v>0</v>
      </c>
      <c r="D5902" s="29" t="e">
        <f>VLOOKUP(C5902,'점포코드 '!A:B,2,0)</f>
        <v>#N/A</v>
      </c>
      <c r="E5902" s="30">
        <f>'Raw data'!P5478</f>
        <v>0</v>
      </c>
      <c r="F5902" s="29" t="e">
        <f>VLOOKUP(E5902,'점포코드 '!A:B,2,0)</f>
        <v>#N/A</v>
      </c>
      <c r="G5902" s="46">
        <f>'Raw data'!F5811</f>
        <v>0</v>
      </c>
      <c r="H5902" s="4">
        <f>'Raw data'!G5811</f>
        <v>0</v>
      </c>
      <c r="I5902" s="29" t="e">
        <f>VLOOKUP(G5902,제품명!$C$1:$E$114,2,0)</f>
        <v>#N/A</v>
      </c>
      <c r="J5902" s="29">
        <f>'Raw data'!K5811</f>
        <v>0</v>
      </c>
      <c r="K5902" s="31">
        <f>'Raw data'!H5811</f>
        <v>0</v>
      </c>
      <c r="L5902" s="26">
        <f t="shared" si="188"/>
        <v>0</v>
      </c>
    </row>
    <row r="5903" spans="2:12">
      <c r="B5903" s="4" t="e">
        <f t="shared" si="187"/>
        <v>#N/A</v>
      </c>
      <c r="C5903" s="4">
        <f>'Raw data'!E5479</f>
        <v>0</v>
      </c>
      <c r="D5903" s="29" t="e">
        <f>VLOOKUP(C5903,'점포코드 '!A:B,2,0)</f>
        <v>#N/A</v>
      </c>
      <c r="E5903" s="30">
        <f>'Raw data'!P5479</f>
        <v>0</v>
      </c>
      <c r="F5903" s="29" t="e">
        <f>VLOOKUP(E5903,'점포코드 '!A:B,2,0)</f>
        <v>#N/A</v>
      </c>
      <c r="G5903" s="46">
        <f>'Raw data'!F5812</f>
        <v>0</v>
      </c>
      <c r="H5903" s="4">
        <f>'Raw data'!G5812</f>
        <v>0</v>
      </c>
      <c r="I5903" s="29" t="e">
        <f>VLOOKUP(G5903,제품명!$C$1:$E$114,2,0)</f>
        <v>#N/A</v>
      </c>
      <c r="J5903" s="29">
        <f>'Raw data'!K5812</f>
        <v>0</v>
      </c>
      <c r="K5903" s="31">
        <f>'Raw data'!H5812</f>
        <v>0</v>
      </c>
      <c r="L5903" s="26">
        <f t="shared" si="188"/>
        <v>0</v>
      </c>
    </row>
    <row r="5904" spans="2:12">
      <c r="B5904" s="4" t="e">
        <f t="shared" si="187"/>
        <v>#N/A</v>
      </c>
      <c r="C5904" s="4">
        <f>'Raw data'!E5480</f>
        <v>0</v>
      </c>
      <c r="D5904" s="29" t="e">
        <f>VLOOKUP(C5904,'점포코드 '!A:B,2,0)</f>
        <v>#N/A</v>
      </c>
      <c r="E5904" s="30">
        <f>'Raw data'!P5480</f>
        <v>0</v>
      </c>
      <c r="F5904" s="29" t="e">
        <f>VLOOKUP(E5904,'점포코드 '!A:B,2,0)</f>
        <v>#N/A</v>
      </c>
      <c r="G5904" s="46">
        <f>'Raw data'!F5813</f>
        <v>0</v>
      </c>
      <c r="H5904" s="4">
        <f>'Raw data'!G5813</f>
        <v>0</v>
      </c>
      <c r="I5904" s="29" t="e">
        <f>VLOOKUP(G5904,제품명!$C$1:$E$114,2,0)</f>
        <v>#N/A</v>
      </c>
      <c r="J5904" s="29">
        <f>'Raw data'!K5813</f>
        <v>0</v>
      </c>
      <c r="K5904" s="31">
        <f>'Raw data'!H5813</f>
        <v>0</v>
      </c>
      <c r="L5904" s="26">
        <f t="shared" si="188"/>
        <v>0</v>
      </c>
    </row>
    <row r="5905" spans="2:12">
      <c r="B5905" s="4" t="e">
        <f t="shared" si="187"/>
        <v>#N/A</v>
      </c>
      <c r="C5905" s="4">
        <f>'Raw data'!E5481</f>
        <v>0</v>
      </c>
      <c r="D5905" s="29" t="e">
        <f>VLOOKUP(C5905,'점포코드 '!A:B,2,0)</f>
        <v>#N/A</v>
      </c>
      <c r="E5905" s="30">
        <f>'Raw data'!P5481</f>
        <v>0</v>
      </c>
      <c r="F5905" s="29" t="e">
        <f>VLOOKUP(E5905,'점포코드 '!A:B,2,0)</f>
        <v>#N/A</v>
      </c>
      <c r="G5905" s="46">
        <f>'Raw data'!F5814</f>
        <v>0</v>
      </c>
      <c r="H5905" s="4">
        <f>'Raw data'!G5814</f>
        <v>0</v>
      </c>
      <c r="I5905" s="29" t="e">
        <f>VLOOKUP(G5905,제품명!$C$1:$E$114,2,0)</f>
        <v>#N/A</v>
      </c>
      <c r="J5905" s="29">
        <f>'Raw data'!K5814</f>
        <v>0</v>
      </c>
      <c r="K5905" s="31">
        <f>'Raw data'!H5814</f>
        <v>0</v>
      </c>
      <c r="L5905" s="26">
        <f t="shared" si="188"/>
        <v>0</v>
      </c>
    </row>
    <row r="5906" spans="2:12">
      <c r="B5906" s="4" t="e">
        <f t="shared" si="187"/>
        <v>#N/A</v>
      </c>
      <c r="C5906" s="4">
        <f>'Raw data'!E5482</f>
        <v>0</v>
      </c>
      <c r="D5906" s="29" t="e">
        <f>VLOOKUP(C5906,'점포코드 '!A:B,2,0)</f>
        <v>#N/A</v>
      </c>
      <c r="E5906" s="30">
        <f>'Raw data'!P5482</f>
        <v>0</v>
      </c>
      <c r="F5906" s="29" t="e">
        <f>VLOOKUP(E5906,'점포코드 '!A:B,2,0)</f>
        <v>#N/A</v>
      </c>
      <c r="G5906" s="46">
        <f>'Raw data'!F5815</f>
        <v>0</v>
      </c>
      <c r="H5906" s="4">
        <f>'Raw data'!G5815</f>
        <v>0</v>
      </c>
      <c r="I5906" s="29" t="e">
        <f>VLOOKUP(G5906,제품명!$C$1:$E$114,2,0)</f>
        <v>#N/A</v>
      </c>
      <c r="J5906" s="29">
        <f>'Raw data'!K5815</f>
        <v>0</v>
      </c>
      <c r="K5906" s="31">
        <f>'Raw data'!H5815</f>
        <v>0</v>
      </c>
      <c r="L5906" s="26">
        <f t="shared" si="188"/>
        <v>0</v>
      </c>
    </row>
    <row r="5907" spans="2:12">
      <c r="B5907" s="4" t="e">
        <f t="shared" si="187"/>
        <v>#N/A</v>
      </c>
      <c r="C5907" s="4">
        <f>'Raw data'!E5483</f>
        <v>0</v>
      </c>
      <c r="D5907" s="29" t="e">
        <f>VLOOKUP(C5907,'점포코드 '!A:B,2,0)</f>
        <v>#N/A</v>
      </c>
      <c r="E5907" s="30">
        <f>'Raw data'!P5483</f>
        <v>0</v>
      </c>
      <c r="F5907" s="29" t="e">
        <f>VLOOKUP(E5907,'점포코드 '!A:B,2,0)</f>
        <v>#N/A</v>
      </c>
      <c r="G5907" s="46">
        <f>'Raw data'!F5816</f>
        <v>0</v>
      </c>
      <c r="H5907" s="4">
        <f>'Raw data'!G5816</f>
        <v>0</v>
      </c>
      <c r="I5907" s="29" t="e">
        <f>VLOOKUP(G5907,제품명!$C$1:$E$114,2,0)</f>
        <v>#N/A</v>
      </c>
      <c r="J5907" s="29">
        <f>'Raw data'!K5816</f>
        <v>0</v>
      </c>
      <c r="K5907" s="31">
        <f>'Raw data'!H5816</f>
        <v>0</v>
      </c>
      <c r="L5907" s="26">
        <f t="shared" si="188"/>
        <v>0</v>
      </c>
    </row>
    <row r="5908" spans="2:12">
      <c r="B5908" s="4" t="e">
        <f t="shared" si="187"/>
        <v>#N/A</v>
      </c>
      <c r="C5908" s="4">
        <f>'Raw data'!E5484</f>
        <v>0</v>
      </c>
      <c r="D5908" s="29" t="e">
        <f>VLOOKUP(C5908,'점포코드 '!A:B,2,0)</f>
        <v>#N/A</v>
      </c>
      <c r="E5908" s="30">
        <f>'Raw data'!P5484</f>
        <v>0</v>
      </c>
      <c r="F5908" s="29" t="e">
        <f>VLOOKUP(E5908,'점포코드 '!A:B,2,0)</f>
        <v>#N/A</v>
      </c>
      <c r="G5908" s="46">
        <f>'Raw data'!F5817</f>
        <v>0</v>
      </c>
      <c r="H5908" s="4">
        <f>'Raw data'!G5817</f>
        <v>0</v>
      </c>
      <c r="I5908" s="29" t="e">
        <f>VLOOKUP(G5908,제품명!$C$1:$E$114,2,0)</f>
        <v>#N/A</v>
      </c>
      <c r="J5908" s="29">
        <f>'Raw data'!K5817</f>
        <v>0</v>
      </c>
      <c r="K5908" s="31">
        <f>'Raw data'!H5817</f>
        <v>0</v>
      </c>
      <c r="L5908" s="26">
        <f t="shared" si="188"/>
        <v>0</v>
      </c>
    </row>
    <row r="5909" spans="2:12">
      <c r="B5909" s="4" t="e">
        <f t="shared" si="187"/>
        <v>#N/A</v>
      </c>
      <c r="C5909" s="4">
        <f>'Raw data'!E5485</f>
        <v>0</v>
      </c>
      <c r="D5909" s="29" t="e">
        <f>VLOOKUP(C5909,'점포코드 '!A:B,2,0)</f>
        <v>#N/A</v>
      </c>
      <c r="E5909" s="30">
        <f>'Raw data'!P5485</f>
        <v>0</v>
      </c>
      <c r="F5909" s="29" t="e">
        <f>VLOOKUP(E5909,'점포코드 '!A:B,2,0)</f>
        <v>#N/A</v>
      </c>
      <c r="G5909" s="46">
        <f>'Raw data'!F5818</f>
        <v>0</v>
      </c>
      <c r="H5909" s="4">
        <f>'Raw data'!G5818</f>
        <v>0</v>
      </c>
      <c r="I5909" s="29" t="e">
        <f>VLOOKUP(G5909,제품명!$C$1:$E$114,2,0)</f>
        <v>#N/A</v>
      </c>
      <c r="J5909" s="29">
        <f>'Raw data'!K5818</f>
        <v>0</v>
      </c>
      <c r="K5909" s="31">
        <f>'Raw data'!H5818</f>
        <v>0</v>
      </c>
      <c r="L5909" s="26">
        <f t="shared" si="188"/>
        <v>0</v>
      </c>
    </row>
    <row r="5910" spans="2:12">
      <c r="B5910" s="4" t="e">
        <f t="shared" si="187"/>
        <v>#N/A</v>
      </c>
      <c r="C5910" s="4">
        <f>'Raw data'!E5486</f>
        <v>0</v>
      </c>
      <c r="D5910" s="29" t="e">
        <f>VLOOKUP(C5910,'점포코드 '!A:B,2,0)</f>
        <v>#N/A</v>
      </c>
      <c r="E5910" s="30">
        <f>'Raw data'!P5486</f>
        <v>0</v>
      </c>
      <c r="F5910" s="29" t="e">
        <f>VLOOKUP(E5910,'점포코드 '!A:B,2,0)</f>
        <v>#N/A</v>
      </c>
      <c r="G5910" s="46">
        <f>'Raw data'!F5819</f>
        <v>0</v>
      </c>
      <c r="H5910" s="4">
        <f>'Raw data'!G5819</f>
        <v>0</v>
      </c>
      <c r="I5910" s="29" t="e">
        <f>VLOOKUP(G5910,제품명!$C$1:$E$114,2,0)</f>
        <v>#N/A</v>
      </c>
      <c r="J5910" s="29">
        <f>'Raw data'!K5819</f>
        <v>0</v>
      </c>
      <c r="K5910" s="31">
        <f>'Raw data'!H5819</f>
        <v>0</v>
      </c>
      <c r="L5910" s="26">
        <f t="shared" si="188"/>
        <v>0</v>
      </c>
    </row>
    <row r="5911" spans="2:12">
      <c r="B5911" s="4" t="e">
        <f t="shared" si="187"/>
        <v>#N/A</v>
      </c>
      <c r="C5911" s="4">
        <f>'Raw data'!E5487</f>
        <v>0</v>
      </c>
      <c r="D5911" s="29" t="e">
        <f>VLOOKUP(C5911,'점포코드 '!A:B,2,0)</f>
        <v>#N/A</v>
      </c>
      <c r="E5911" s="30">
        <f>'Raw data'!P5487</f>
        <v>0</v>
      </c>
      <c r="F5911" s="29" t="e">
        <f>VLOOKUP(E5911,'점포코드 '!A:B,2,0)</f>
        <v>#N/A</v>
      </c>
      <c r="G5911" s="46">
        <f>'Raw data'!F5820</f>
        <v>0</v>
      </c>
      <c r="H5911" s="4">
        <f>'Raw data'!G5820</f>
        <v>0</v>
      </c>
      <c r="I5911" s="29" t="e">
        <f>VLOOKUP(G5911,제품명!$C$1:$E$114,2,0)</f>
        <v>#N/A</v>
      </c>
      <c r="J5911" s="29">
        <f>'Raw data'!K5820</f>
        <v>0</v>
      </c>
      <c r="K5911" s="31">
        <f>'Raw data'!H5820</f>
        <v>0</v>
      </c>
      <c r="L5911" s="26">
        <f t="shared" si="188"/>
        <v>0</v>
      </c>
    </row>
    <row r="5912" spans="2:12">
      <c r="B5912" s="4" t="e">
        <f t="shared" si="187"/>
        <v>#N/A</v>
      </c>
      <c r="C5912" s="4">
        <f>'Raw data'!E5488</f>
        <v>0</v>
      </c>
      <c r="D5912" s="29" t="e">
        <f>VLOOKUP(C5912,'점포코드 '!A:B,2,0)</f>
        <v>#N/A</v>
      </c>
      <c r="E5912" s="30">
        <f>'Raw data'!P5488</f>
        <v>0</v>
      </c>
      <c r="F5912" s="29" t="e">
        <f>VLOOKUP(E5912,'점포코드 '!A:B,2,0)</f>
        <v>#N/A</v>
      </c>
      <c r="G5912" s="46">
        <f>'Raw data'!F5821</f>
        <v>0</v>
      </c>
      <c r="H5912" s="4">
        <f>'Raw data'!G5821</f>
        <v>0</v>
      </c>
      <c r="I5912" s="29" t="e">
        <f>VLOOKUP(G5912,제품명!$C$1:$E$114,2,0)</f>
        <v>#N/A</v>
      </c>
      <c r="J5912" s="29">
        <f>'Raw data'!K5821</f>
        <v>0</v>
      </c>
      <c r="K5912" s="31">
        <f>'Raw data'!H5821</f>
        <v>0</v>
      </c>
      <c r="L5912" s="26">
        <f t="shared" si="188"/>
        <v>0</v>
      </c>
    </row>
    <row r="5913" spans="2:12">
      <c r="B5913" s="4" t="e">
        <f t="shared" si="187"/>
        <v>#N/A</v>
      </c>
      <c r="C5913" s="4">
        <f>'Raw data'!E5489</f>
        <v>0</v>
      </c>
      <c r="D5913" s="29" t="e">
        <f>VLOOKUP(C5913,'점포코드 '!A:B,2,0)</f>
        <v>#N/A</v>
      </c>
      <c r="E5913" s="30">
        <f>'Raw data'!P5489</f>
        <v>0</v>
      </c>
      <c r="F5913" s="29" t="e">
        <f>VLOOKUP(E5913,'점포코드 '!A:B,2,0)</f>
        <v>#N/A</v>
      </c>
      <c r="G5913" s="46">
        <f>'Raw data'!F5822</f>
        <v>0</v>
      </c>
      <c r="H5913" s="4">
        <f>'Raw data'!G5822</f>
        <v>0</v>
      </c>
      <c r="I5913" s="29" t="e">
        <f>VLOOKUP(G5913,제품명!$C$1:$E$114,2,0)</f>
        <v>#N/A</v>
      </c>
      <c r="J5913" s="29">
        <f>'Raw data'!K5822</f>
        <v>0</v>
      </c>
      <c r="K5913" s="31">
        <f>'Raw data'!H5822</f>
        <v>0</v>
      </c>
      <c r="L5913" s="26">
        <f t="shared" si="188"/>
        <v>0</v>
      </c>
    </row>
    <row r="5914" spans="2:12">
      <c r="B5914" s="4" t="e">
        <f t="shared" si="187"/>
        <v>#N/A</v>
      </c>
      <c r="C5914" s="4">
        <f>'Raw data'!E5490</f>
        <v>0</v>
      </c>
      <c r="D5914" s="29" t="e">
        <f>VLOOKUP(C5914,'점포코드 '!A:B,2,0)</f>
        <v>#N/A</v>
      </c>
      <c r="E5914" s="30">
        <f>'Raw data'!P5490</f>
        <v>0</v>
      </c>
      <c r="F5914" s="29" t="e">
        <f>VLOOKUP(E5914,'점포코드 '!A:B,2,0)</f>
        <v>#N/A</v>
      </c>
      <c r="G5914" s="46">
        <f>'Raw data'!F5823</f>
        <v>0</v>
      </c>
      <c r="H5914" s="4">
        <f>'Raw data'!G5823</f>
        <v>0</v>
      </c>
      <c r="I5914" s="29" t="e">
        <f>VLOOKUP(G5914,제품명!$C$1:$E$114,2,0)</f>
        <v>#N/A</v>
      </c>
      <c r="J5914" s="29">
        <f>'Raw data'!K5823</f>
        <v>0</v>
      </c>
      <c r="K5914" s="31">
        <f>'Raw data'!H5823</f>
        <v>0</v>
      </c>
      <c r="L5914" s="26">
        <f t="shared" si="188"/>
        <v>0</v>
      </c>
    </row>
    <row r="5915" spans="2:12">
      <c r="B5915" s="4" t="e">
        <f t="shared" si="187"/>
        <v>#N/A</v>
      </c>
      <c r="C5915" s="4">
        <f>'Raw data'!E5491</f>
        <v>0</v>
      </c>
      <c r="D5915" s="29" t="e">
        <f>VLOOKUP(C5915,'점포코드 '!A:B,2,0)</f>
        <v>#N/A</v>
      </c>
      <c r="E5915" s="30">
        <f>'Raw data'!P5491</f>
        <v>0</v>
      </c>
      <c r="F5915" s="29" t="e">
        <f>VLOOKUP(E5915,'점포코드 '!A:B,2,0)</f>
        <v>#N/A</v>
      </c>
      <c r="G5915" s="46">
        <f>'Raw data'!F5824</f>
        <v>0</v>
      </c>
      <c r="H5915" s="4">
        <f>'Raw data'!G5824</f>
        <v>0</v>
      </c>
      <c r="I5915" s="29" t="e">
        <f>VLOOKUP(G5915,제품명!$C$1:$E$114,2,0)</f>
        <v>#N/A</v>
      </c>
      <c r="J5915" s="29">
        <f>'Raw data'!K5824</f>
        <v>0</v>
      </c>
      <c r="K5915" s="31">
        <f>'Raw data'!H5824</f>
        <v>0</v>
      </c>
      <c r="L5915" s="26">
        <f t="shared" si="188"/>
        <v>0</v>
      </c>
    </row>
    <row r="5916" spans="2:12">
      <c r="B5916" s="4" t="e">
        <f t="shared" si="187"/>
        <v>#N/A</v>
      </c>
      <c r="C5916" s="4">
        <f>'Raw data'!E5492</f>
        <v>0</v>
      </c>
      <c r="D5916" s="29" t="e">
        <f>VLOOKUP(C5916,'점포코드 '!A:B,2,0)</f>
        <v>#N/A</v>
      </c>
      <c r="E5916" s="30">
        <f>'Raw data'!P5492</f>
        <v>0</v>
      </c>
      <c r="F5916" s="29" t="e">
        <f>VLOOKUP(E5916,'점포코드 '!A:B,2,0)</f>
        <v>#N/A</v>
      </c>
      <c r="G5916" s="46">
        <f>'Raw data'!F5825</f>
        <v>0</v>
      </c>
      <c r="H5916" s="4">
        <f>'Raw data'!G5825</f>
        <v>0</v>
      </c>
      <c r="I5916" s="29" t="e">
        <f>VLOOKUP(G5916,제품명!$C$1:$E$114,2,0)</f>
        <v>#N/A</v>
      </c>
      <c r="J5916" s="29">
        <f>'Raw data'!K5825</f>
        <v>0</v>
      </c>
      <c r="K5916" s="31">
        <f>'Raw data'!H5825</f>
        <v>0</v>
      </c>
      <c r="L5916" s="26">
        <f t="shared" si="188"/>
        <v>0</v>
      </c>
    </row>
    <row r="5917" spans="2:12">
      <c r="B5917" s="4" t="e">
        <f t="shared" si="187"/>
        <v>#N/A</v>
      </c>
      <c r="C5917" s="4">
        <f>'Raw data'!E5493</f>
        <v>0</v>
      </c>
      <c r="D5917" s="29" t="e">
        <f>VLOOKUP(C5917,'점포코드 '!A:B,2,0)</f>
        <v>#N/A</v>
      </c>
      <c r="E5917" s="30">
        <f>'Raw data'!P5493</f>
        <v>0</v>
      </c>
      <c r="F5917" s="29" t="e">
        <f>VLOOKUP(E5917,'점포코드 '!A:B,2,0)</f>
        <v>#N/A</v>
      </c>
      <c r="G5917" s="46">
        <f>'Raw data'!F5826</f>
        <v>0</v>
      </c>
      <c r="H5917" s="4">
        <f>'Raw data'!G5826</f>
        <v>0</v>
      </c>
      <c r="I5917" s="29" t="e">
        <f>VLOOKUP(G5917,제품명!$C$1:$E$114,2,0)</f>
        <v>#N/A</v>
      </c>
      <c r="J5917" s="29">
        <f>'Raw data'!K5826</f>
        <v>0</v>
      </c>
      <c r="K5917" s="31">
        <f>'Raw data'!H5826</f>
        <v>0</v>
      </c>
      <c r="L5917" s="26">
        <f t="shared" si="188"/>
        <v>0</v>
      </c>
    </row>
    <row r="5918" spans="2:12">
      <c r="B5918" s="4" t="e">
        <f t="shared" si="187"/>
        <v>#N/A</v>
      </c>
      <c r="C5918" s="4">
        <f>'Raw data'!E5494</f>
        <v>0</v>
      </c>
      <c r="D5918" s="29" t="e">
        <f>VLOOKUP(C5918,'점포코드 '!A:B,2,0)</f>
        <v>#N/A</v>
      </c>
      <c r="E5918" s="30">
        <f>'Raw data'!P5494</f>
        <v>0</v>
      </c>
      <c r="F5918" s="29" t="e">
        <f>VLOOKUP(E5918,'점포코드 '!A:B,2,0)</f>
        <v>#N/A</v>
      </c>
      <c r="G5918" s="46">
        <f>'Raw data'!F5827</f>
        <v>0</v>
      </c>
      <c r="H5918" s="4">
        <f>'Raw data'!G5827</f>
        <v>0</v>
      </c>
      <c r="I5918" s="29" t="e">
        <f>VLOOKUP(G5918,제품명!$C$1:$E$114,2,0)</f>
        <v>#N/A</v>
      </c>
      <c r="J5918" s="29">
        <f>'Raw data'!K5827</f>
        <v>0</v>
      </c>
      <c r="K5918" s="31">
        <f>'Raw data'!H5827</f>
        <v>0</v>
      </c>
      <c r="L5918" s="26">
        <f t="shared" si="188"/>
        <v>0</v>
      </c>
    </row>
    <row r="5919" spans="2:12">
      <c r="B5919" s="4" t="e">
        <f t="shared" si="187"/>
        <v>#N/A</v>
      </c>
      <c r="C5919" s="4">
        <f>'Raw data'!E5495</f>
        <v>0</v>
      </c>
      <c r="D5919" s="29" t="e">
        <f>VLOOKUP(C5919,'점포코드 '!A:B,2,0)</f>
        <v>#N/A</v>
      </c>
      <c r="E5919" s="30">
        <f>'Raw data'!P5495</f>
        <v>0</v>
      </c>
      <c r="F5919" s="29" t="e">
        <f>VLOOKUP(E5919,'점포코드 '!A:B,2,0)</f>
        <v>#N/A</v>
      </c>
      <c r="G5919" s="46">
        <f>'Raw data'!F5828</f>
        <v>0</v>
      </c>
      <c r="H5919" s="4">
        <f>'Raw data'!G5828</f>
        <v>0</v>
      </c>
      <c r="I5919" s="29" t="e">
        <f>VLOOKUP(G5919,제품명!$C$1:$E$114,2,0)</f>
        <v>#N/A</v>
      </c>
      <c r="J5919" s="29">
        <f>'Raw data'!K5828</f>
        <v>0</v>
      </c>
      <c r="K5919" s="31">
        <f>'Raw data'!H5828</f>
        <v>0</v>
      </c>
      <c r="L5919" s="26">
        <f t="shared" si="188"/>
        <v>0</v>
      </c>
    </row>
    <row r="5920" spans="2:12">
      <c r="B5920" s="4" t="e">
        <f t="shared" si="187"/>
        <v>#N/A</v>
      </c>
      <c r="C5920" s="4">
        <f>'Raw data'!E5496</f>
        <v>0</v>
      </c>
      <c r="D5920" s="29" t="e">
        <f>VLOOKUP(C5920,'점포코드 '!A:B,2,0)</f>
        <v>#N/A</v>
      </c>
      <c r="E5920" s="30">
        <f>'Raw data'!P5496</f>
        <v>0</v>
      </c>
      <c r="F5920" s="29" t="e">
        <f>VLOOKUP(E5920,'점포코드 '!A:B,2,0)</f>
        <v>#N/A</v>
      </c>
      <c r="G5920" s="46">
        <f>'Raw data'!F5829</f>
        <v>0</v>
      </c>
      <c r="H5920" s="4">
        <f>'Raw data'!G5829</f>
        <v>0</v>
      </c>
      <c r="I5920" s="29" t="e">
        <f>VLOOKUP(G5920,제품명!$C$1:$E$114,2,0)</f>
        <v>#N/A</v>
      </c>
      <c r="J5920" s="29">
        <f>'Raw data'!K5829</f>
        <v>0</v>
      </c>
      <c r="K5920" s="31">
        <f>'Raw data'!H5829</f>
        <v>0</v>
      </c>
      <c r="L5920" s="26">
        <f t="shared" si="188"/>
        <v>0</v>
      </c>
    </row>
    <row r="5921" spans="2:12">
      <c r="B5921" s="4" t="e">
        <f t="shared" si="187"/>
        <v>#N/A</v>
      </c>
      <c r="C5921" s="4">
        <f>'Raw data'!E5497</f>
        <v>0</v>
      </c>
      <c r="D5921" s="29" t="e">
        <f>VLOOKUP(C5921,'점포코드 '!A:B,2,0)</f>
        <v>#N/A</v>
      </c>
      <c r="E5921" s="30">
        <f>'Raw data'!P5497</f>
        <v>0</v>
      </c>
      <c r="F5921" s="29" t="e">
        <f>VLOOKUP(E5921,'점포코드 '!A:B,2,0)</f>
        <v>#N/A</v>
      </c>
      <c r="G5921" s="46">
        <f>'Raw data'!F5830</f>
        <v>0</v>
      </c>
      <c r="H5921" s="4">
        <f>'Raw data'!G5830</f>
        <v>0</v>
      </c>
      <c r="I5921" s="29" t="e">
        <f>VLOOKUP(G5921,제품명!$C$1:$E$114,2,0)</f>
        <v>#N/A</v>
      </c>
      <c r="J5921" s="29">
        <f>'Raw data'!K5830</f>
        <v>0</v>
      </c>
      <c r="K5921" s="31">
        <f>'Raw data'!H5830</f>
        <v>0</v>
      </c>
      <c r="L5921" s="26">
        <f t="shared" si="188"/>
        <v>0</v>
      </c>
    </row>
    <row r="5922" spans="2:12">
      <c r="B5922" s="4" t="e">
        <f t="shared" si="187"/>
        <v>#N/A</v>
      </c>
      <c r="C5922" s="4">
        <f>'Raw data'!E5498</f>
        <v>0</v>
      </c>
      <c r="D5922" s="29" t="e">
        <f>VLOOKUP(C5922,'점포코드 '!A:B,2,0)</f>
        <v>#N/A</v>
      </c>
      <c r="E5922" s="30">
        <f>'Raw data'!P5498</f>
        <v>0</v>
      </c>
      <c r="F5922" s="29" t="e">
        <f>VLOOKUP(E5922,'점포코드 '!A:B,2,0)</f>
        <v>#N/A</v>
      </c>
      <c r="G5922" s="46">
        <f>'Raw data'!F5831</f>
        <v>0</v>
      </c>
      <c r="H5922" s="4">
        <f>'Raw data'!G5831</f>
        <v>0</v>
      </c>
      <c r="I5922" s="29" t="e">
        <f>VLOOKUP(G5922,제품명!$C$1:$E$114,2,0)</f>
        <v>#N/A</v>
      </c>
      <c r="J5922" s="29">
        <f>'Raw data'!K5831</f>
        <v>0</v>
      </c>
      <c r="K5922" s="31">
        <f>'Raw data'!H5831</f>
        <v>0</v>
      </c>
      <c r="L5922" s="26">
        <f t="shared" si="188"/>
        <v>0</v>
      </c>
    </row>
    <row r="5923" spans="2:12">
      <c r="B5923" s="4" t="e">
        <f t="shared" si="187"/>
        <v>#N/A</v>
      </c>
      <c r="C5923" s="4">
        <f>'Raw data'!E5499</f>
        <v>0</v>
      </c>
      <c r="D5923" s="29" t="e">
        <f>VLOOKUP(C5923,'점포코드 '!A:B,2,0)</f>
        <v>#N/A</v>
      </c>
      <c r="E5923" s="30">
        <f>'Raw data'!P5499</f>
        <v>0</v>
      </c>
      <c r="F5923" s="29" t="e">
        <f>VLOOKUP(E5923,'점포코드 '!A:B,2,0)</f>
        <v>#N/A</v>
      </c>
      <c r="G5923" s="46">
        <f>'Raw data'!F5832</f>
        <v>0</v>
      </c>
      <c r="H5923" s="4">
        <f>'Raw data'!G5832</f>
        <v>0</v>
      </c>
      <c r="I5923" s="29" t="e">
        <f>VLOOKUP(G5923,제품명!$C$1:$E$114,2,0)</f>
        <v>#N/A</v>
      </c>
      <c r="J5923" s="29">
        <f>'Raw data'!K5832</f>
        <v>0</v>
      </c>
      <c r="K5923" s="31">
        <f>'Raw data'!H5832</f>
        <v>0</v>
      </c>
      <c r="L5923" s="26">
        <f t="shared" si="188"/>
        <v>0</v>
      </c>
    </row>
    <row r="5924" spans="2:12">
      <c r="B5924" s="4" t="e">
        <f t="shared" si="187"/>
        <v>#N/A</v>
      </c>
      <c r="C5924" s="4">
        <f>'Raw data'!E5500</f>
        <v>0</v>
      </c>
      <c r="D5924" s="29" t="e">
        <f>VLOOKUP(C5924,'점포코드 '!A:B,2,0)</f>
        <v>#N/A</v>
      </c>
      <c r="E5924" s="30">
        <f>'Raw data'!P5500</f>
        <v>0</v>
      </c>
      <c r="F5924" s="29" t="e">
        <f>VLOOKUP(E5924,'점포코드 '!A:B,2,0)</f>
        <v>#N/A</v>
      </c>
      <c r="G5924" s="46">
        <f>'Raw data'!F5833</f>
        <v>0</v>
      </c>
      <c r="H5924" s="4">
        <f>'Raw data'!G5833</f>
        <v>0</v>
      </c>
      <c r="I5924" s="29" t="e">
        <f>VLOOKUP(G5924,제품명!$C$1:$E$114,2,0)</f>
        <v>#N/A</v>
      </c>
      <c r="J5924" s="29">
        <f>'Raw data'!K5833</f>
        <v>0</v>
      </c>
      <c r="K5924" s="31">
        <f>'Raw data'!H5833</f>
        <v>0</v>
      </c>
      <c r="L5924" s="26">
        <f t="shared" si="188"/>
        <v>0</v>
      </c>
    </row>
    <row r="5925" spans="2:12">
      <c r="B5925" s="4" t="e">
        <f t="shared" si="187"/>
        <v>#N/A</v>
      </c>
      <c r="C5925" s="4">
        <f>'Raw data'!E5501</f>
        <v>0</v>
      </c>
      <c r="D5925" s="29" t="e">
        <f>VLOOKUP(C5925,'점포코드 '!A:B,2,0)</f>
        <v>#N/A</v>
      </c>
      <c r="E5925" s="30">
        <f>'Raw data'!P5501</f>
        <v>0</v>
      </c>
      <c r="F5925" s="29" t="e">
        <f>VLOOKUP(E5925,'점포코드 '!A:B,2,0)</f>
        <v>#N/A</v>
      </c>
      <c r="G5925" s="46">
        <f>'Raw data'!F5834</f>
        <v>0</v>
      </c>
      <c r="H5925" s="4">
        <f>'Raw data'!G5834</f>
        <v>0</v>
      </c>
      <c r="I5925" s="29" t="e">
        <f>VLOOKUP(G5925,제품명!$C$1:$E$114,2,0)</f>
        <v>#N/A</v>
      </c>
      <c r="J5925" s="29">
        <f>'Raw data'!K5834</f>
        <v>0</v>
      </c>
      <c r="K5925" s="31">
        <f>'Raw data'!H5834</f>
        <v>0</v>
      </c>
      <c r="L5925" s="26">
        <f t="shared" si="188"/>
        <v>0</v>
      </c>
    </row>
    <row r="5926" spans="2:12">
      <c r="B5926" s="4" t="e">
        <f t="shared" si="187"/>
        <v>#N/A</v>
      </c>
      <c r="C5926" s="4">
        <f>'Raw data'!E5502</f>
        <v>0</v>
      </c>
      <c r="D5926" s="29" t="e">
        <f>VLOOKUP(C5926,'점포코드 '!A:B,2,0)</f>
        <v>#N/A</v>
      </c>
      <c r="E5926" s="30">
        <f>'Raw data'!P5502</f>
        <v>0</v>
      </c>
      <c r="F5926" s="29" t="e">
        <f>VLOOKUP(E5926,'점포코드 '!A:B,2,0)</f>
        <v>#N/A</v>
      </c>
      <c r="G5926" s="46">
        <f>'Raw data'!F5835</f>
        <v>0</v>
      </c>
      <c r="H5926" s="4">
        <f>'Raw data'!G5835</f>
        <v>0</v>
      </c>
      <c r="I5926" s="29" t="e">
        <f>VLOOKUP(G5926,제품명!$C$1:$E$114,2,0)</f>
        <v>#N/A</v>
      </c>
      <c r="J5926" s="29">
        <f>'Raw data'!K5835</f>
        <v>0</v>
      </c>
      <c r="K5926" s="31">
        <f>'Raw data'!H5835</f>
        <v>0</v>
      </c>
      <c r="L5926" s="26">
        <f t="shared" si="188"/>
        <v>0</v>
      </c>
    </row>
    <row r="5927" spans="2:12">
      <c r="B5927" s="4" t="e">
        <f t="shared" si="187"/>
        <v>#N/A</v>
      </c>
      <c r="C5927" s="4">
        <f>'Raw data'!E5503</f>
        <v>0</v>
      </c>
      <c r="D5927" s="29" t="e">
        <f>VLOOKUP(C5927,'점포코드 '!A:B,2,0)</f>
        <v>#N/A</v>
      </c>
      <c r="E5927" s="30">
        <f>'Raw data'!P5503</f>
        <v>0</v>
      </c>
      <c r="F5927" s="29" t="e">
        <f>VLOOKUP(E5927,'점포코드 '!A:B,2,0)</f>
        <v>#N/A</v>
      </c>
      <c r="G5927" s="46">
        <f>'Raw data'!F5836</f>
        <v>0</v>
      </c>
      <c r="H5927" s="4">
        <f>'Raw data'!G5836</f>
        <v>0</v>
      </c>
      <c r="I5927" s="29" t="e">
        <f>VLOOKUP(G5927,제품명!$C$1:$E$114,2,0)</f>
        <v>#N/A</v>
      </c>
      <c r="J5927" s="29">
        <f>'Raw data'!K5836</f>
        <v>0</v>
      </c>
      <c r="K5927" s="31">
        <f>'Raw data'!H5836</f>
        <v>0</v>
      </c>
      <c r="L5927" s="26">
        <f t="shared" si="188"/>
        <v>0</v>
      </c>
    </row>
    <row r="5928" spans="2:12">
      <c r="B5928" s="4" t="e">
        <f t="shared" si="187"/>
        <v>#N/A</v>
      </c>
      <c r="C5928" s="4">
        <f>'Raw data'!E5504</f>
        <v>0</v>
      </c>
      <c r="D5928" s="29" t="e">
        <f>VLOOKUP(C5928,'점포코드 '!A:B,2,0)</f>
        <v>#N/A</v>
      </c>
      <c r="E5928" s="30">
        <f>'Raw data'!P5504</f>
        <v>0</v>
      </c>
      <c r="F5928" s="29" t="e">
        <f>VLOOKUP(E5928,'점포코드 '!A:B,2,0)</f>
        <v>#N/A</v>
      </c>
      <c r="G5928" s="46">
        <f>'Raw data'!F5837</f>
        <v>0</v>
      </c>
      <c r="H5928" s="4">
        <f>'Raw data'!G5837</f>
        <v>0</v>
      </c>
      <c r="I5928" s="29" t="e">
        <f>VLOOKUP(G5928,제품명!$C$1:$E$114,2,0)</f>
        <v>#N/A</v>
      </c>
      <c r="J5928" s="29">
        <f>'Raw data'!K5837</f>
        <v>0</v>
      </c>
      <c r="K5928" s="31">
        <f>'Raw data'!H5837</f>
        <v>0</v>
      </c>
      <c r="L5928" s="26">
        <f t="shared" si="188"/>
        <v>0</v>
      </c>
    </row>
    <row r="5929" spans="2:12">
      <c r="B5929" s="4" t="e">
        <f t="shared" si="187"/>
        <v>#N/A</v>
      </c>
      <c r="C5929" s="4">
        <f>'Raw data'!E5505</f>
        <v>0</v>
      </c>
      <c r="D5929" s="29" t="e">
        <f>VLOOKUP(C5929,'점포코드 '!A:B,2,0)</f>
        <v>#N/A</v>
      </c>
      <c r="E5929" s="30">
        <f>'Raw data'!P5505</f>
        <v>0</v>
      </c>
      <c r="F5929" s="29" t="e">
        <f>VLOOKUP(E5929,'점포코드 '!A:B,2,0)</f>
        <v>#N/A</v>
      </c>
      <c r="G5929" s="46">
        <f>'Raw data'!F5838</f>
        <v>0</v>
      </c>
      <c r="H5929" s="4">
        <f>'Raw data'!G5838</f>
        <v>0</v>
      </c>
      <c r="I5929" s="29" t="e">
        <f>VLOOKUP(G5929,제품명!$C$1:$E$114,2,0)</f>
        <v>#N/A</v>
      </c>
      <c r="J5929" s="29">
        <f>'Raw data'!K5838</f>
        <v>0</v>
      </c>
      <c r="K5929" s="31">
        <f>'Raw data'!H5838</f>
        <v>0</v>
      </c>
      <c r="L5929" s="26">
        <f t="shared" si="188"/>
        <v>0</v>
      </c>
    </row>
    <row r="5930" spans="2:12">
      <c r="B5930" s="4" t="e">
        <f t="shared" si="187"/>
        <v>#N/A</v>
      </c>
      <c r="C5930" s="4">
        <f>'Raw data'!E5506</f>
        <v>0</v>
      </c>
      <c r="D5930" s="29" t="e">
        <f>VLOOKUP(C5930,'점포코드 '!A:B,2,0)</f>
        <v>#N/A</v>
      </c>
      <c r="E5930" s="30">
        <f>'Raw data'!P5506</f>
        <v>0</v>
      </c>
      <c r="F5930" s="29" t="e">
        <f>VLOOKUP(E5930,'점포코드 '!A:B,2,0)</f>
        <v>#N/A</v>
      </c>
      <c r="G5930" s="46">
        <f>'Raw data'!F5839</f>
        <v>0</v>
      </c>
      <c r="H5930" s="4">
        <f>'Raw data'!G5839</f>
        <v>0</v>
      </c>
      <c r="I5930" s="29" t="e">
        <f>VLOOKUP(G5930,제품명!$C$1:$E$114,2,0)</f>
        <v>#N/A</v>
      </c>
      <c r="J5930" s="29">
        <f>'Raw data'!K5839</f>
        <v>0</v>
      </c>
      <c r="K5930" s="31">
        <f>'Raw data'!H5839</f>
        <v>0</v>
      </c>
      <c r="L5930" s="26">
        <f t="shared" si="188"/>
        <v>0</v>
      </c>
    </row>
    <row r="5931" spans="2:12">
      <c r="B5931" s="4" t="e">
        <f t="shared" si="187"/>
        <v>#N/A</v>
      </c>
      <c r="C5931" s="4">
        <f>'Raw data'!E5507</f>
        <v>0</v>
      </c>
      <c r="D5931" s="29" t="e">
        <f>VLOOKUP(C5931,'점포코드 '!A:B,2,0)</f>
        <v>#N/A</v>
      </c>
      <c r="E5931" s="30">
        <f>'Raw data'!P5507</f>
        <v>0</v>
      </c>
      <c r="F5931" s="29" t="e">
        <f>VLOOKUP(E5931,'점포코드 '!A:B,2,0)</f>
        <v>#N/A</v>
      </c>
      <c r="G5931" s="46">
        <f>'Raw data'!F5840</f>
        <v>0</v>
      </c>
      <c r="H5931" s="4">
        <f>'Raw data'!G5840</f>
        <v>0</v>
      </c>
      <c r="I5931" s="29" t="e">
        <f>VLOOKUP(G5931,제품명!$C$1:$E$114,2,0)</f>
        <v>#N/A</v>
      </c>
      <c r="J5931" s="29">
        <f>'Raw data'!K5840</f>
        <v>0</v>
      </c>
      <c r="K5931" s="31">
        <f>'Raw data'!H5840</f>
        <v>0</v>
      </c>
      <c r="L5931" s="26">
        <f t="shared" si="188"/>
        <v>0</v>
      </c>
    </row>
    <row r="5932" spans="2:12">
      <c r="B5932" s="4" t="e">
        <f t="shared" si="187"/>
        <v>#N/A</v>
      </c>
      <c r="C5932" s="4">
        <f>'Raw data'!E5508</f>
        <v>0</v>
      </c>
      <c r="D5932" s="29" t="e">
        <f>VLOOKUP(C5932,'점포코드 '!A:B,2,0)</f>
        <v>#N/A</v>
      </c>
      <c r="E5932" s="30">
        <f>'Raw data'!P5508</f>
        <v>0</v>
      </c>
      <c r="F5932" s="29" t="e">
        <f>VLOOKUP(E5932,'점포코드 '!A:B,2,0)</f>
        <v>#N/A</v>
      </c>
      <c r="G5932" s="46">
        <f>'Raw data'!F5841</f>
        <v>0</v>
      </c>
      <c r="H5932" s="4">
        <f>'Raw data'!G5841</f>
        <v>0</v>
      </c>
      <c r="I5932" s="29" t="e">
        <f>VLOOKUP(G5932,제품명!$C$1:$E$114,2,0)</f>
        <v>#N/A</v>
      </c>
      <c r="J5932" s="29">
        <f>'Raw data'!K5841</f>
        <v>0</v>
      </c>
      <c r="K5932" s="31">
        <f>'Raw data'!H5841</f>
        <v>0</v>
      </c>
      <c r="L5932" s="26">
        <f t="shared" si="188"/>
        <v>0</v>
      </c>
    </row>
    <row r="5933" spans="2:12">
      <c r="B5933" s="4" t="e">
        <f t="shared" si="187"/>
        <v>#N/A</v>
      </c>
      <c r="C5933" s="4">
        <f>'Raw data'!E5509</f>
        <v>0</v>
      </c>
      <c r="D5933" s="29" t="e">
        <f>VLOOKUP(C5933,'점포코드 '!A:B,2,0)</f>
        <v>#N/A</v>
      </c>
      <c r="E5933" s="30">
        <f>'Raw data'!P5509</f>
        <v>0</v>
      </c>
      <c r="F5933" s="29" t="e">
        <f>VLOOKUP(E5933,'점포코드 '!A:B,2,0)</f>
        <v>#N/A</v>
      </c>
      <c r="G5933" s="46">
        <f>'Raw data'!F5842</f>
        <v>0</v>
      </c>
      <c r="H5933" s="4">
        <f>'Raw data'!G5842</f>
        <v>0</v>
      </c>
      <c r="I5933" s="29" t="e">
        <f>VLOOKUP(G5933,제품명!$C$1:$E$114,2,0)</f>
        <v>#N/A</v>
      </c>
      <c r="J5933" s="29">
        <f>'Raw data'!K5842</f>
        <v>0</v>
      </c>
      <c r="K5933" s="31">
        <f>'Raw data'!H5842</f>
        <v>0</v>
      </c>
      <c r="L5933" s="26">
        <f t="shared" si="188"/>
        <v>0</v>
      </c>
    </row>
    <row r="5934" spans="2:12">
      <c r="B5934" s="4" t="e">
        <f t="shared" si="187"/>
        <v>#N/A</v>
      </c>
      <c r="C5934" s="4">
        <f>'Raw data'!E5510</f>
        <v>0</v>
      </c>
      <c r="D5934" s="29" t="e">
        <f>VLOOKUP(C5934,'점포코드 '!A:B,2,0)</f>
        <v>#N/A</v>
      </c>
      <c r="E5934" s="30">
        <f>'Raw data'!P5510</f>
        <v>0</v>
      </c>
      <c r="F5934" s="29" t="e">
        <f>VLOOKUP(E5934,'점포코드 '!A:B,2,0)</f>
        <v>#N/A</v>
      </c>
      <c r="G5934" s="46">
        <f>'Raw data'!F5843</f>
        <v>0</v>
      </c>
      <c r="H5934" s="4">
        <f>'Raw data'!G5843</f>
        <v>0</v>
      </c>
      <c r="I5934" s="29" t="e">
        <f>VLOOKUP(G5934,제품명!$C$1:$E$114,2,0)</f>
        <v>#N/A</v>
      </c>
      <c r="J5934" s="29">
        <f>'Raw data'!K5843</f>
        <v>0</v>
      </c>
      <c r="K5934" s="31">
        <f>'Raw data'!H5843</f>
        <v>0</v>
      </c>
      <c r="L5934" s="26">
        <f t="shared" si="188"/>
        <v>0</v>
      </c>
    </row>
    <row r="5935" spans="2:12">
      <c r="B5935" s="4" t="e">
        <f t="shared" si="187"/>
        <v>#N/A</v>
      </c>
      <c r="C5935" s="4">
        <f>'Raw data'!E5511</f>
        <v>0</v>
      </c>
      <c r="D5935" s="29" t="e">
        <f>VLOOKUP(C5935,'점포코드 '!A:B,2,0)</f>
        <v>#N/A</v>
      </c>
      <c r="E5935" s="30">
        <f>'Raw data'!P5511</f>
        <v>0</v>
      </c>
      <c r="F5935" s="29" t="e">
        <f>VLOOKUP(E5935,'점포코드 '!A:B,2,0)</f>
        <v>#N/A</v>
      </c>
      <c r="G5935" s="46">
        <f>'Raw data'!F5844</f>
        <v>0</v>
      </c>
      <c r="H5935" s="4">
        <f>'Raw data'!G5844</f>
        <v>0</v>
      </c>
      <c r="I5935" s="29" t="e">
        <f>VLOOKUP(G5935,제품명!$C$1:$E$114,2,0)</f>
        <v>#N/A</v>
      </c>
      <c r="J5935" s="29">
        <f>'Raw data'!K5844</f>
        <v>0</v>
      </c>
      <c r="K5935" s="31">
        <f>'Raw data'!H5844</f>
        <v>0</v>
      </c>
      <c r="L5935" s="26">
        <f t="shared" si="188"/>
        <v>0</v>
      </c>
    </row>
    <row r="5936" spans="2:12">
      <c r="B5936" s="4" t="e">
        <f t="shared" si="187"/>
        <v>#N/A</v>
      </c>
      <c r="C5936" s="4">
        <f>'Raw data'!E5512</f>
        <v>0</v>
      </c>
      <c r="D5936" s="29" t="e">
        <f>VLOOKUP(C5936,'점포코드 '!A:B,2,0)</f>
        <v>#N/A</v>
      </c>
      <c r="E5936" s="30">
        <f>'Raw data'!P5512</f>
        <v>0</v>
      </c>
      <c r="F5936" s="29" t="e">
        <f>VLOOKUP(E5936,'점포코드 '!A:B,2,0)</f>
        <v>#N/A</v>
      </c>
      <c r="G5936" s="46">
        <f>'Raw data'!F5845</f>
        <v>0</v>
      </c>
      <c r="H5936" s="4">
        <f>'Raw data'!G5845</f>
        <v>0</v>
      </c>
      <c r="I5936" s="29" t="e">
        <f>VLOOKUP(G5936,제품명!$C$1:$E$114,2,0)</f>
        <v>#N/A</v>
      </c>
      <c r="J5936" s="29">
        <f>'Raw data'!K5845</f>
        <v>0</v>
      </c>
      <c r="K5936" s="31">
        <f>'Raw data'!H5845</f>
        <v>0</v>
      </c>
      <c r="L5936" s="26">
        <f t="shared" si="188"/>
        <v>0</v>
      </c>
    </row>
    <row r="5937" spans="2:12">
      <c r="B5937" s="4" t="e">
        <f t="shared" si="187"/>
        <v>#N/A</v>
      </c>
      <c r="C5937" s="4">
        <f>'Raw data'!E5513</f>
        <v>0</v>
      </c>
      <c r="D5937" s="29" t="e">
        <f>VLOOKUP(C5937,'점포코드 '!A:B,2,0)</f>
        <v>#N/A</v>
      </c>
      <c r="E5937" s="30">
        <f>'Raw data'!P5513</f>
        <v>0</v>
      </c>
      <c r="F5937" s="29" t="e">
        <f>VLOOKUP(E5937,'점포코드 '!A:B,2,0)</f>
        <v>#N/A</v>
      </c>
      <c r="G5937" s="46">
        <f>'Raw data'!F5846</f>
        <v>0</v>
      </c>
      <c r="H5937" s="4">
        <f>'Raw data'!G5846</f>
        <v>0</v>
      </c>
      <c r="I5937" s="29" t="e">
        <f>VLOOKUP(G5937,제품명!$C$1:$E$114,2,0)</f>
        <v>#N/A</v>
      </c>
      <c r="J5937" s="29">
        <f>'Raw data'!K5846</f>
        <v>0</v>
      </c>
      <c r="K5937" s="31">
        <f>'Raw data'!H5846</f>
        <v>0</v>
      </c>
      <c r="L5937" s="26">
        <f t="shared" si="188"/>
        <v>0</v>
      </c>
    </row>
    <row r="5938" spans="2:12">
      <c r="B5938" s="4" t="e">
        <f t="shared" si="187"/>
        <v>#N/A</v>
      </c>
      <c r="C5938" s="4">
        <f>'Raw data'!E5514</f>
        <v>0</v>
      </c>
      <c r="D5938" s="29" t="e">
        <f>VLOOKUP(C5938,'점포코드 '!A:B,2,0)</f>
        <v>#N/A</v>
      </c>
      <c r="E5938" s="30">
        <f>'Raw data'!P5514</f>
        <v>0</v>
      </c>
      <c r="F5938" s="29" t="e">
        <f>VLOOKUP(E5938,'점포코드 '!A:B,2,0)</f>
        <v>#N/A</v>
      </c>
      <c r="G5938" s="46">
        <f>'Raw data'!F5847</f>
        <v>0</v>
      </c>
      <c r="H5938" s="4">
        <f>'Raw data'!G5847</f>
        <v>0</v>
      </c>
      <c r="I5938" s="29" t="e">
        <f>VLOOKUP(G5938,제품명!$C$1:$E$114,2,0)</f>
        <v>#N/A</v>
      </c>
      <c r="J5938" s="29">
        <f>'Raw data'!K5847</f>
        <v>0</v>
      </c>
      <c r="K5938" s="31">
        <f>'Raw data'!H5847</f>
        <v>0</v>
      </c>
      <c r="L5938" s="26">
        <f t="shared" si="188"/>
        <v>0</v>
      </c>
    </row>
    <row r="5939" spans="2:12">
      <c r="B5939" s="4" t="e">
        <f t="shared" si="187"/>
        <v>#N/A</v>
      </c>
      <c r="C5939" s="4">
        <f>'Raw data'!E5515</f>
        <v>0</v>
      </c>
      <c r="D5939" s="29" t="e">
        <f>VLOOKUP(C5939,'점포코드 '!A:B,2,0)</f>
        <v>#N/A</v>
      </c>
      <c r="E5939" s="30">
        <f>'Raw data'!P5515</f>
        <v>0</v>
      </c>
      <c r="F5939" s="29" t="e">
        <f>VLOOKUP(E5939,'점포코드 '!A:B,2,0)</f>
        <v>#N/A</v>
      </c>
      <c r="G5939" s="46">
        <f>'Raw data'!F5848</f>
        <v>0</v>
      </c>
      <c r="H5939" s="4">
        <f>'Raw data'!G5848</f>
        <v>0</v>
      </c>
      <c r="I5939" s="29" t="e">
        <f>VLOOKUP(G5939,제품명!$C$1:$E$114,2,0)</f>
        <v>#N/A</v>
      </c>
      <c r="J5939" s="29">
        <f>'Raw data'!K5848</f>
        <v>0</v>
      </c>
      <c r="K5939" s="31">
        <f>'Raw data'!H5848</f>
        <v>0</v>
      </c>
      <c r="L5939" s="26">
        <f t="shared" si="188"/>
        <v>0</v>
      </c>
    </row>
    <row r="5940" spans="2:12">
      <c r="B5940" s="4" t="e">
        <f t="shared" si="187"/>
        <v>#N/A</v>
      </c>
      <c r="C5940" s="4">
        <f>'Raw data'!E5516</f>
        <v>0</v>
      </c>
      <c r="D5940" s="29" t="e">
        <f>VLOOKUP(C5940,'점포코드 '!A:B,2,0)</f>
        <v>#N/A</v>
      </c>
      <c r="E5940" s="30">
        <f>'Raw data'!P5516</f>
        <v>0</v>
      </c>
      <c r="F5940" s="29" t="e">
        <f>VLOOKUP(E5940,'점포코드 '!A:B,2,0)</f>
        <v>#N/A</v>
      </c>
      <c r="G5940" s="46">
        <f>'Raw data'!F5849</f>
        <v>0</v>
      </c>
      <c r="H5940" s="4">
        <f>'Raw data'!G5849</f>
        <v>0</v>
      </c>
      <c r="I5940" s="29" t="e">
        <f>VLOOKUP(G5940,제품명!$C$1:$E$114,2,0)</f>
        <v>#N/A</v>
      </c>
      <c r="J5940" s="29">
        <f>'Raw data'!K5849</f>
        <v>0</v>
      </c>
      <c r="K5940" s="31">
        <f>'Raw data'!H5849</f>
        <v>0</v>
      </c>
      <c r="L5940" s="26">
        <f t="shared" si="188"/>
        <v>0</v>
      </c>
    </row>
    <row r="5941" spans="2:12">
      <c r="B5941" s="4" t="e">
        <f t="shared" si="187"/>
        <v>#N/A</v>
      </c>
      <c r="C5941" s="4">
        <f>'Raw data'!E5517</f>
        <v>0</v>
      </c>
      <c r="D5941" s="29" t="e">
        <f>VLOOKUP(C5941,'점포코드 '!A:B,2,0)</f>
        <v>#N/A</v>
      </c>
      <c r="E5941" s="30">
        <f>'Raw data'!P5517</f>
        <v>0</v>
      </c>
      <c r="F5941" s="29" t="e">
        <f>VLOOKUP(E5941,'점포코드 '!A:B,2,0)</f>
        <v>#N/A</v>
      </c>
      <c r="G5941" s="46">
        <f>'Raw data'!F5850</f>
        <v>0</v>
      </c>
      <c r="H5941" s="4">
        <f>'Raw data'!G5850</f>
        <v>0</v>
      </c>
      <c r="I5941" s="29" t="e">
        <f>VLOOKUP(G5941,제품명!$C$1:$E$114,2,0)</f>
        <v>#N/A</v>
      </c>
      <c r="J5941" s="29">
        <f>'Raw data'!K5850</f>
        <v>0</v>
      </c>
      <c r="K5941" s="31">
        <f>'Raw data'!H5850</f>
        <v>0</v>
      </c>
      <c r="L5941" s="26">
        <f t="shared" si="188"/>
        <v>0</v>
      </c>
    </row>
    <row r="5942" spans="2:12">
      <c r="B5942" s="4" t="e">
        <f t="shared" si="187"/>
        <v>#N/A</v>
      </c>
      <c r="C5942" s="4">
        <f>'Raw data'!E5518</f>
        <v>0</v>
      </c>
      <c r="D5942" s="29" t="e">
        <f>VLOOKUP(C5942,'점포코드 '!A:B,2,0)</f>
        <v>#N/A</v>
      </c>
      <c r="E5942" s="30">
        <f>'Raw data'!P5518</f>
        <v>0</v>
      </c>
      <c r="F5942" s="29" t="e">
        <f>VLOOKUP(E5942,'점포코드 '!A:B,2,0)</f>
        <v>#N/A</v>
      </c>
      <c r="G5942" s="46">
        <f>'Raw data'!F5851</f>
        <v>0</v>
      </c>
      <c r="H5942" s="4">
        <f>'Raw data'!G5851</f>
        <v>0</v>
      </c>
      <c r="I5942" s="29" t="e">
        <f>VLOOKUP(G5942,제품명!$C$1:$E$114,2,0)</f>
        <v>#N/A</v>
      </c>
      <c r="J5942" s="29">
        <f>'Raw data'!K5851</f>
        <v>0</v>
      </c>
      <c r="K5942" s="31">
        <f>'Raw data'!H5851</f>
        <v>0</v>
      </c>
      <c r="L5942" s="26">
        <f t="shared" si="188"/>
        <v>0</v>
      </c>
    </row>
    <row r="5943" spans="2:12">
      <c r="B5943" s="4" t="e">
        <f t="shared" si="187"/>
        <v>#N/A</v>
      </c>
      <c r="C5943" s="4">
        <f>'Raw data'!E5519</f>
        <v>0</v>
      </c>
      <c r="D5943" s="29" t="e">
        <f>VLOOKUP(C5943,'점포코드 '!A:B,2,0)</f>
        <v>#N/A</v>
      </c>
      <c r="E5943" s="30">
        <f>'Raw data'!P5519</f>
        <v>0</v>
      </c>
      <c r="F5943" s="29" t="e">
        <f>VLOOKUP(E5943,'점포코드 '!A:B,2,0)</f>
        <v>#N/A</v>
      </c>
      <c r="G5943" s="46">
        <f>'Raw data'!F5852</f>
        <v>0</v>
      </c>
      <c r="H5943" s="4">
        <f>'Raw data'!G5852</f>
        <v>0</v>
      </c>
      <c r="I5943" s="29" t="e">
        <f>VLOOKUP(G5943,제품명!$C$1:$E$114,2,0)</f>
        <v>#N/A</v>
      </c>
      <c r="J5943" s="29">
        <f>'Raw data'!K5852</f>
        <v>0</v>
      </c>
      <c r="K5943" s="31">
        <f>'Raw data'!H5852</f>
        <v>0</v>
      </c>
      <c r="L5943" s="26">
        <f t="shared" si="188"/>
        <v>0</v>
      </c>
    </row>
    <row r="5944" spans="2:12">
      <c r="B5944" s="4" t="e">
        <f t="shared" si="187"/>
        <v>#N/A</v>
      </c>
      <c r="C5944" s="4">
        <f>'Raw data'!E5520</f>
        <v>0</v>
      </c>
      <c r="D5944" s="29" t="e">
        <f>VLOOKUP(C5944,'점포코드 '!A:B,2,0)</f>
        <v>#N/A</v>
      </c>
      <c r="E5944" s="30">
        <f>'Raw data'!P5520</f>
        <v>0</v>
      </c>
      <c r="F5944" s="29" t="e">
        <f>VLOOKUP(E5944,'점포코드 '!A:B,2,0)</f>
        <v>#N/A</v>
      </c>
      <c r="G5944" s="46">
        <f>'Raw data'!F5853</f>
        <v>0</v>
      </c>
      <c r="H5944" s="4">
        <f>'Raw data'!G5853</f>
        <v>0</v>
      </c>
      <c r="I5944" s="29" t="e">
        <f>VLOOKUP(G5944,제품명!$C$1:$E$114,2,0)</f>
        <v>#N/A</v>
      </c>
      <c r="J5944" s="29">
        <f>'Raw data'!K5853</f>
        <v>0</v>
      </c>
      <c r="K5944" s="31">
        <f>'Raw data'!H5853</f>
        <v>0</v>
      </c>
      <c r="L5944" s="26">
        <f t="shared" si="188"/>
        <v>0</v>
      </c>
    </row>
    <row r="5945" spans="2:12">
      <c r="B5945" s="4" t="e">
        <f t="shared" si="187"/>
        <v>#N/A</v>
      </c>
      <c r="C5945" s="4">
        <f>'Raw data'!E5521</f>
        <v>0</v>
      </c>
      <c r="D5945" s="29" t="e">
        <f>VLOOKUP(C5945,'점포코드 '!A:B,2,0)</f>
        <v>#N/A</v>
      </c>
      <c r="E5945" s="30">
        <f>'Raw data'!P5521</f>
        <v>0</v>
      </c>
      <c r="F5945" s="29" t="e">
        <f>VLOOKUP(E5945,'점포코드 '!A:B,2,0)</f>
        <v>#N/A</v>
      </c>
      <c r="G5945" s="46">
        <f>'Raw data'!F5854</f>
        <v>0</v>
      </c>
      <c r="H5945" s="4">
        <f>'Raw data'!G5854</f>
        <v>0</v>
      </c>
      <c r="I5945" s="29" t="e">
        <f>VLOOKUP(G5945,제품명!$C$1:$E$114,2,0)</f>
        <v>#N/A</v>
      </c>
      <c r="J5945" s="29">
        <f>'Raw data'!K5854</f>
        <v>0</v>
      </c>
      <c r="K5945" s="31">
        <f>'Raw data'!H5854</f>
        <v>0</v>
      </c>
      <c r="L5945" s="26">
        <f t="shared" si="188"/>
        <v>0</v>
      </c>
    </row>
    <row r="5946" spans="2:12">
      <c r="B5946" s="4" t="e">
        <f t="shared" si="187"/>
        <v>#N/A</v>
      </c>
      <c r="C5946" s="4">
        <f>'Raw data'!E5522</f>
        <v>0</v>
      </c>
      <c r="D5946" s="29" t="e">
        <f>VLOOKUP(C5946,'점포코드 '!A:B,2,0)</f>
        <v>#N/A</v>
      </c>
      <c r="E5946" s="30">
        <f>'Raw data'!P5522</f>
        <v>0</v>
      </c>
      <c r="F5946" s="29" t="e">
        <f>VLOOKUP(E5946,'점포코드 '!A:B,2,0)</f>
        <v>#N/A</v>
      </c>
      <c r="G5946" s="46">
        <f>'Raw data'!F5855</f>
        <v>0</v>
      </c>
      <c r="H5946" s="4">
        <f>'Raw data'!G5855</f>
        <v>0</v>
      </c>
      <c r="I5946" s="29" t="e">
        <f>VLOOKUP(G5946,제품명!$C$1:$E$114,2,0)</f>
        <v>#N/A</v>
      </c>
      <c r="J5946" s="29">
        <f>'Raw data'!K5855</f>
        <v>0</v>
      </c>
      <c r="K5946" s="31">
        <f>'Raw data'!H5855</f>
        <v>0</v>
      </c>
      <c r="L5946" s="26">
        <f t="shared" si="188"/>
        <v>0</v>
      </c>
    </row>
    <row r="5947" spans="2:12">
      <c r="B5947" s="4" t="e">
        <f t="shared" si="187"/>
        <v>#N/A</v>
      </c>
      <c r="C5947" s="4">
        <f>'Raw data'!E5523</f>
        <v>0</v>
      </c>
      <c r="D5947" s="29" t="e">
        <f>VLOOKUP(C5947,'점포코드 '!A:B,2,0)</f>
        <v>#N/A</v>
      </c>
      <c r="E5947" s="30">
        <f>'Raw data'!P5523</f>
        <v>0</v>
      </c>
      <c r="F5947" s="29" t="e">
        <f>VLOOKUP(E5947,'점포코드 '!A:B,2,0)</f>
        <v>#N/A</v>
      </c>
      <c r="G5947" s="46">
        <f>'Raw data'!F5856</f>
        <v>0</v>
      </c>
      <c r="H5947" s="4">
        <f>'Raw data'!G5856</f>
        <v>0</v>
      </c>
      <c r="I5947" s="29" t="e">
        <f>VLOOKUP(G5947,제품명!$C$1:$E$114,2,0)</f>
        <v>#N/A</v>
      </c>
      <c r="J5947" s="29">
        <f>'Raw data'!K5856</f>
        <v>0</v>
      </c>
      <c r="K5947" s="31">
        <f>'Raw data'!H5856</f>
        <v>0</v>
      </c>
      <c r="L5947" s="26">
        <f t="shared" si="188"/>
        <v>0</v>
      </c>
    </row>
    <row r="5948" spans="2:12">
      <c r="B5948" s="4" t="e">
        <f t="shared" si="187"/>
        <v>#N/A</v>
      </c>
      <c r="C5948" s="4">
        <f>'Raw data'!E5524</f>
        <v>0</v>
      </c>
      <c r="D5948" s="29" t="e">
        <f>VLOOKUP(C5948,'점포코드 '!A:B,2,0)</f>
        <v>#N/A</v>
      </c>
      <c r="E5948" s="30">
        <f>'Raw data'!P5524</f>
        <v>0</v>
      </c>
      <c r="F5948" s="29" t="e">
        <f>VLOOKUP(E5948,'점포코드 '!A:B,2,0)</f>
        <v>#N/A</v>
      </c>
      <c r="G5948" s="46">
        <f>'Raw data'!F5857</f>
        <v>0</v>
      </c>
      <c r="H5948" s="4">
        <f>'Raw data'!G5857</f>
        <v>0</v>
      </c>
      <c r="I5948" s="29" t="e">
        <f>VLOOKUP(G5948,제품명!$C$1:$E$114,2,0)</f>
        <v>#N/A</v>
      </c>
      <c r="J5948" s="29">
        <f>'Raw data'!K5857</f>
        <v>0</v>
      </c>
      <c r="K5948" s="31">
        <f>'Raw data'!H5857</f>
        <v>0</v>
      </c>
      <c r="L5948" s="26">
        <f t="shared" si="188"/>
        <v>0</v>
      </c>
    </row>
    <row r="5949" spans="2:12">
      <c r="B5949" s="4" t="e">
        <f t="shared" si="187"/>
        <v>#N/A</v>
      </c>
      <c r="C5949" s="4">
        <f>'Raw data'!E5525</f>
        <v>0</v>
      </c>
      <c r="D5949" s="29" t="e">
        <f>VLOOKUP(C5949,'점포코드 '!A:B,2,0)</f>
        <v>#N/A</v>
      </c>
      <c r="E5949" s="30">
        <f>'Raw data'!P5525</f>
        <v>0</v>
      </c>
      <c r="F5949" s="29" t="e">
        <f>VLOOKUP(E5949,'점포코드 '!A:B,2,0)</f>
        <v>#N/A</v>
      </c>
      <c r="G5949" s="46">
        <f>'Raw data'!F5858</f>
        <v>0</v>
      </c>
      <c r="H5949" s="4">
        <f>'Raw data'!G5858</f>
        <v>0</v>
      </c>
      <c r="I5949" s="29" t="e">
        <f>VLOOKUP(G5949,제품명!$C$1:$E$114,2,0)</f>
        <v>#N/A</v>
      </c>
      <c r="J5949" s="29">
        <f>'Raw data'!K5858</f>
        <v>0</v>
      </c>
      <c r="K5949" s="31">
        <f>'Raw data'!H5858</f>
        <v>0</v>
      </c>
      <c r="L5949" s="26">
        <f t="shared" si="188"/>
        <v>0</v>
      </c>
    </row>
    <row r="5950" spans="2:12">
      <c r="B5950" s="4" t="e">
        <f t="shared" si="187"/>
        <v>#N/A</v>
      </c>
      <c r="C5950" s="4">
        <f>'Raw data'!E5526</f>
        <v>0</v>
      </c>
      <c r="D5950" s="29" t="e">
        <f>VLOOKUP(C5950,'점포코드 '!A:B,2,0)</f>
        <v>#N/A</v>
      </c>
      <c r="E5950" s="30">
        <f>'Raw data'!P5526</f>
        <v>0</v>
      </c>
      <c r="F5950" s="29" t="e">
        <f>VLOOKUP(E5950,'점포코드 '!A:B,2,0)</f>
        <v>#N/A</v>
      </c>
      <c r="G5950" s="46">
        <f>'Raw data'!F5859</f>
        <v>0</v>
      </c>
      <c r="H5950" s="4">
        <f>'Raw data'!G5859</f>
        <v>0</v>
      </c>
      <c r="I5950" s="29" t="e">
        <f>VLOOKUP(G5950,제품명!$C$1:$E$114,2,0)</f>
        <v>#N/A</v>
      </c>
      <c r="J5950" s="29">
        <f>'Raw data'!K5859</f>
        <v>0</v>
      </c>
      <c r="K5950" s="31">
        <f>'Raw data'!H5859</f>
        <v>0</v>
      </c>
      <c r="L5950" s="26">
        <f t="shared" si="188"/>
        <v>0</v>
      </c>
    </row>
    <row r="5951" spans="2:12">
      <c r="B5951" s="4" t="e">
        <f t="shared" si="187"/>
        <v>#N/A</v>
      </c>
      <c r="C5951" s="4">
        <f>'Raw data'!E5527</f>
        <v>0</v>
      </c>
      <c r="D5951" s="29" t="e">
        <f>VLOOKUP(C5951,'점포코드 '!A:B,2,0)</f>
        <v>#N/A</v>
      </c>
      <c r="E5951" s="30">
        <f>'Raw data'!P5527</f>
        <v>0</v>
      </c>
      <c r="F5951" s="29" t="e">
        <f>VLOOKUP(E5951,'점포코드 '!A:B,2,0)</f>
        <v>#N/A</v>
      </c>
      <c r="G5951" s="46">
        <f>'Raw data'!F5860</f>
        <v>0</v>
      </c>
      <c r="H5951" s="4">
        <f>'Raw data'!G5860</f>
        <v>0</v>
      </c>
      <c r="I5951" s="29" t="e">
        <f>VLOOKUP(G5951,제품명!$C$1:$E$114,2,0)</f>
        <v>#N/A</v>
      </c>
      <c r="J5951" s="29">
        <f>'Raw data'!K5860</f>
        <v>0</v>
      </c>
      <c r="K5951" s="31">
        <f>'Raw data'!H5860</f>
        <v>0</v>
      </c>
      <c r="L5951" s="26">
        <f t="shared" si="188"/>
        <v>0</v>
      </c>
    </row>
    <row r="5952" spans="2:12">
      <c r="B5952" s="4" t="e">
        <f t="shared" si="187"/>
        <v>#N/A</v>
      </c>
      <c r="C5952" s="4">
        <f>'Raw data'!E5528</f>
        <v>0</v>
      </c>
      <c r="D5952" s="29" t="e">
        <f>VLOOKUP(C5952,'점포코드 '!A:B,2,0)</f>
        <v>#N/A</v>
      </c>
      <c r="E5952" s="30">
        <f>'Raw data'!P5528</f>
        <v>0</v>
      </c>
      <c r="F5952" s="29" t="e">
        <f>VLOOKUP(E5952,'점포코드 '!A:B,2,0)</f>
        <v>#N/A</v>
      </c>
      <c r="G5952" s="46">
        <f>'Raw data'!F5861</f>
        <v>0</v>
      </c>
      <c r="H5952" s="4">
        <f>'Raw data'!G5861</f>
        <v>0</v>
      </c>
      <c r="I5952" s="29" t="e">
        <f>VLOOKUP(G5952,제품명!$C$1:$E$114,2,0)</f>
        <v>#N/A</v>
      </c>
      <c r="J5952" s="29">
        <f>'Raw data'!K5861</f>
        <v>0</v>
      </c>
      <c r="K5952" s="31">
        <f>'Raw data'!H5861</f>
        <v>0</v>
      </c>
      <c r="L5952" s="26">
        <f t="shared" si="188"/>
        <v>0</v>
      </c>
    </row>
    <row r="5953" spans="2:12">
      <c r="B5953" s="4" t="e">
        <f t="shared" si="187"/>
        <v>#N/A</v>
      </c>
      <c r="C5953" s="4">
        <f>'Raw data'!E5529</f>
        <v>0</v>
      </c>
      <c r="D5953" s="29" t="e">
        <f>VLOOKUP(C5953,'점포코드 '!A:B,2,0)</f>
        <v>#N/A</v>
      </c>
      <c r="E5953" s="30">
        <f>'Raw data'!P5529</f>
        <v>0</v>
      </c>
      <c r="F5953" s="29" t="e">
        <f>VLOOKUP(E5953,'점포코드 '!A:B,2,0)</f>
        <v>#N/A</v>
      </c>
      <c r="G5953" s="46">
        <f>'Raw data'!F5862</f>
        <v>0</v>
      </c>
      <c r="H5953" s="4">
        <f>'Raw data'!G5862</f>
        <v>0</v>
      </c>
      <c r="I5953" s="29" t="e">
        <f>VLOOKUP(G5953,제품명!$C$1:$E$114,2,0)</f>
        <v>#N/A</v>
      </c>
      <c r="J5953" s="29">
        <f>'Raw data'!K5862</f>
        <v>0</v>
      </c>
      <c r="K5953" s="31">
        <f>'Raw data'!H5862</f>
        <v>0</v>
      </c>
      <c r="L5953" s="26">
        <f t="shared" si="188"/>
        <v>0</v>
      </c>
    </row>
    <row r="5954" spans="2:12">
      <c r="B5954" s="4" t="e">
        <f t="shared" ref="B5954:B6017" si="189">F5954&amp;I5954</f>
        <v>#N/A</v>
      </c>
      <c r="C5954" s="4">
        <f>'Raw data'!E5530</f>
        <v>0</v>
      </c>
      <c r="D5954" s="29" t="e">
        <f>VLOOKUP(C5954,'점포코드 '!A:B,2,0)</f>
        <v>#N/A</v>
      </c>
      <c r="E5954" s="30">
        <f>'Raw data'!P5530</f>
        <v>0</v>
      </c>
      <c r="F5954" s="29" t="e">
        <f>VLOOKUP(E5954,'점포코드 '!A:B,2,0)</f>
        <v>#N/A</v>
      </c>
      <c r="G5954" s="46">
        <f>'Raw data'!F5863</f>
        <v>0</v>
      </c>
      <c r="H5954" s="4">
        <f>'Raw data'!G5863</f>
        <v>0</v>
      </c>
      <c r="I5954" s="29" t="e">
        <f>VLOOKUP(G5954,제품명!$C$1:$E$114,2,0)</f>
        <v>#N/A</v>
      </c>
      <c r="J5954" s="29">
        <f>'Raw data'!K5863</f>
        <v>0</v>
      </c>
      <c r="K5954" s="31">
        <f>'Raw data'!H5863</f>
        <v>0</v>
      </c>
      <c r="L5954" s="26">
        <f t="shared" si="188"/>
        <v>0</v>
      </c>
    </row>
    <row r="5955" spans="2:12">
      <c r="B5955" s="4" t="e">
        <f t="shared" si="189"/>
        <v>#N/A</v>
      </c>
      <c r="C5955" s="4">
        <f>'Raw data'!E5531</f>
        <v>0</v>
      </c>
      <c r="D5955" s="29" t="e">
        <f>VLOOKUP(C5955,'점포코드 '!A:B,2,0)</f>
        <v>#N/A</v>
      </c>
      <c r="E5955" s="30">
        <f>'Raw data'!P5531</f>
        <v>0</v>
      </c>
      <c r="F5955" s="29" t="e">
        <f>VLOOKUP(E5955,'점포코드 '!A:B,2,0)</f>
        <v>#N/A</v>
      </c>
      <c r="G5955" s="46">
        <f>'Raw data'!F5864</f>
        <v>0</v>
      </c>
      <c r="H5955" s="4">
        <f>'Raw data'!G5864</f>
        <v>0</v>
      </c>
      <c r="I5955" s="29" t="e">
        <f>VLOOKUP(G5955,제품명!$C$1:$E$114,2,0)</f>
        <v>#N/A</v>
      </c>
      <c r="J5955" s="29">
        <f>'Raw data'!K5864</f>
        <v>0</v>
      </c>
      <c r="K5955" s="31">
        <f>'Raw data'!H5864</f>
        <v>0</v>
      </c>
      <c r="L5955" s="26">
        <f t="shared" ref="L5955:L6018" si="190">J5955*K5955</f>
        <v>0</v>
      </c>
    </row>
    <row r="5956" spans="2:12">
      <c r="B5956" s="4" t="e">
        <f t="shared" si="189"/>
        <v>#N/A</v>
      </c>
      <c r="C5956" s="4">
        <f>'Raw data'!E5532</f>
        <v>0</v>
      </c>
      <c r="D5956" s="29" t="e">
        <f>VLOOKUP(C5956,'점포코드 '!A:B,2,0)</f>
        <v>#N/A</v>
      </c>
      <c r="E5956" s="30">
        <f>'Raw data'!P5532</f>
        <v>0</v>
      </c>
      <c r="F5956" s="29" t="e">
        <f>VLOOKUP(E5956,'점포코드 '!A:B,2,0)</f>
        <v>#N/A</v>
      </c>
      <c r="G5956" s="46">
        <f>'Raw data'!F5865</f>
        <v>0</v>
      </c>
      <c r="H5956" s="4">
        <f>'Raw data'!G5865</f>
        <v>0</v>
      </c>
      <c r="I5956" s="29" t="e">
        <f>VLOOKUP(G5956,제품명!$C$1:$E$114,2,0)</f>
        <v>#N/A</v>
      </c>
      <c r="J5956" s="29">
        <f>'Raw data'!K5865</f>
        <v>0</v>
      </c>
      <c r="K5956" s="31">
        <f>'Raw data'!H5865</f>
        <v>0</v>
      </c>
      <c r="L5956" s="26">
        <f t="shared" si="190"/>
        <v>0</v>
      </c>
    </row>
    <row r="5957" spans="2:12">
      <c r="B5957" s="4" t="e">
        <f t="shared" si="189"/>
        <v>#N/A</v>
      </c>
      <c r="C5957" s="4">
        <f>'Raw data'!E5533</f>
        <v>0</v>
      </c>
      <c r="D5957" s="29" t="e">
        <f>VLOOKUP(C5957,'점포코드 '!A:B,2,0)</f>
        <v>#N/A</v>
      </c>
      <c r="E5957" s="30">
        <f>'Raw data'!P5533</f>
        <v>0</v>
      </c>
      <c r="F5957" s="29" t="e">
        <f>VLOOKUP(E5957,'점포코드 '!A:B,2,0)</f>
        <v>#N/A</v>
      </c>
      <c r="G5957" s="46">
        <f>'Raw data'!F5866</f>
        <v>0</v>
      </c>
      <c r="H5957" s="4">
        <f>'Raw data'!G5866</f>
        <v>0</v>
      </c>
      <c r="I5957" s="29" t="e">
        <f>VLOOKUP(G5957,제품명!$C$1:$E$114,2,0)</f>
        <v>#N/A</v>
      </c>
      <c r="J5957" s="29">
        <f>'Raw data'!K5866</f>
        <v>0</v>
      </c>
      <c r="K5957" s="31">
        <f>'Raw data'!H5866</f>
        <v>0</v>
      </c>
      <c r="L5957" s="26">
        <f t="shared" si="190"/>
        <v>0</v>
      </c>
    </row>
    <row r="5958" spans="2:12">
      <c r="B5958" s="4" t="e">
        <f t="shared" si="189"/>
        <v>#N/A</v>
      </c>
      <c r="C5958" s="4">
        <f>'Raw data'!E5534</f>
        <v>0</v>
      </c>
      <c r="D5958" s="29" t="e">
        <f>VLOOKUP(C5958,'점포코드 '!A:B,2,0)</f>
        <v>#N/A</v>
      </c>
      <c r="E5958" s="30">
        <f>'Raw data'!P5534</f>
        <v>0</v>
      </c>
      <c r="F5958" s="29" t="e">
        <f>VLOOKUP(E5958,'점포코드 '!A:B,2,0)</f>
        <v>#N/A</v>
      </c>
      <c r="G5958" s="46">
        <f>'Raw data'!F5867</f>
        <v>0</v>
      </c>
      <c r="H5958" s="4">
        <f>'Raw data'!G5867</f>
        <v>0</v>
      </c>
      <c r="I5958" s="29" t="e">
        <f>VLOOKUP(G5958,제품명!$C$1:$E$114,2,0)</f>
        <v>#N/A</v>
      </c>
      <c r="J5958" s="29">
        <f>'Raw data'!K5867</f>
        <v>0</v>
      </c>
      <c r="K5958" s="31">
        <f>'Raw data'!H5867</f>
        <v>0</v>
      </c>
      <c r="L5958" s="26">
        <f t="shared" si="190"/>
        <v>0</v>
      </c>
    </row>
    <row r="5959" spans="2:12">
      <c r="B5959" s="4" t="e">
        <f t="shared" si="189"/>
        <v>#N/A</v>
      </c>
      <c r="C5959" s="4">
        <f>'Raw data'!E5535</f>
        <v>0</v>
      </c>
      <c r="D5959" s="29" t="e">
        <f>VLOOKUP(C5959,'점포코드 '!A:B,2,0)</f>
        <v>#N/A</v>
      </c>
      <c r="E5959" s="30">
        <f>'Raw data'!P5535</f>
        <v>0</v>
      </c>
      <c r="F5959" s="29" t="e">
        <f>VLOOKUP(E5959,'점포코드 '!A:B,2,0)</f>
        <v>#N/A</v>
      </c>
      <c r="G5959" s="46">
        <f>'Raw data'!F5868</f>
        <v>0</v>
      </c>
      <c r="H5959" s="4">
        <f>'Raw data'!G5868</f>
        <v>0</v>
      </c>
      <c r="I5959" s="29" t="e">
        <f>VLOOKUP(G5959,제품명!$C$1:$E$114,2,0)</f>
        <v>#N/A</v>
      </c>
      <c r="J5959" s="29">
        <f>'Raw data'!K5868</f>
        <v>0</v>
      </c>
      <c r="K5959" s="31">
        <f>'Raw data'!H5868</f>
        <v>0</v>
      </c>
      <c r="L5959" s="26">
        <f t="shared" si="190"/>
        <v>0</v>
      </c>
    </row>
    <row r="5960" spans="2:12">
      <c r="B5960" s="4" t="e">
        <f t="shared" si="189"/>
        <v>#N/A</v>
      </c>
      <c r="C5960" s="4">
        <f>'Raw data'!E5536</f>
        <v>0</v>
      </c>
      <c r="D5960" s="29" t="e">
        <f>VLOOKUP(C5960,'점포코드 '!A:B,2,0)</f>
        <v>#N/A</v>
      </c>
      <c r="E5960" s="30">
        <f>'Raw data'!P5536</f>
        <v>0</v>
      </c>
      <c r="F5960" s="29" t="e">
        <f>VLOOKUP(E5960,'점포코드 '!A:B,2,0)</f>
        <v>#N/A</v>
      </c>
      <c r="G5960" s="46">
        <f>'Raw data'!F5869</f>
        <v>0</v>
      </c>
      <c r="H5960" s="4">
        <f>'Raw data'!G5869</f>
        <v>0</v>
      </c>
      <c r="I5960" s="29" t="e">
        <f>VLOOKUP(G5960,제품명!$C$1:$E$114,2,0)</f>
        <v>#N/A</v>
      </c>
      <c r="J5960" s="29">
        <f>'Raw data'!K5869</f>
        <v>0</v>
      </c>
      <c r="K5960" s="31">
        <f>'Raw data'!H5869</f>
        <v>0</v>
      </c>
      <c r="L5960" s="26">
        <f t="shared" si="190"/>
        <v>0</v>
      </c>
    </row>
    <row r="5961" spans="2:12">
      <c r="B5961" s="4" t="e">
        <f t="shared" si="189"/>
        <v>#N/A</v>
      </c>
      <c r="C5961" s="4">
        <f>'Raw data'!E5537</f>
        <v>0</v>
      </c>
      <c r="D5961" s="29" t="e">
        <f>VLOOKUP(C5961,'점포코드 '!A:B,2,0)</f>
        <v>#N/A</v>
      </c>
      <c r="E5961" s="30">
        <f>'Raw data'!P5537</f>
        <v>0</v>
      </c>
      <c r="F5961" s="29" t="e">
        <f>VLOOKUP(E5961,'점포코드 '!A:B,2,0)</f>
        <v>#N/A</v>
      </c>
      <c r="G5961" s="46">
        <f>'Raw data'!F5870</f>
        <v>0</v>
      </c>
      <c r="H5961" s="4">
        <f>'Raw data'!G5870</f>
        <v>0</v>
      </c>
      <c r="I5961" s="29" t="e">
        <f>VLOOKUP(G5961,제품명!$C$1:$E$114,2,0)</f>
        <v>#N/A</v>
      </c>
      <c r="J5961" s="29">
        <f>'Raw data'!K5870</f>
        <v>0</v>
      </c>
      <c r="K5961" s="31">
        <f>'Raw data'!H5870</f>
        <v>0</v>
      </c>
      <c r="L5961" s="26">
        <f t="shared" si="190"/>
        <v>0</v>
      </c>
    </row>
    <row r="5962" spans="2:12">
      <c r="B5962" s="4" t="e">
        <f t="shared" si="189"/>
        <v>#N/A</v>
      </c>
      <c r="C5962" s="4">
        <f>'Raw data'!E5538</f>
        <v>0</v>
      </c>
      <c r="D5962" s="29" t="e">
        <f>VLOOKUP(C5962,'점포코드 '!A:B,2,0)</f>
        <v>#N/A</v>
      </c>
      <c r="E5962" s="30">
        <f>'Raw data'!P5538</f>
        <v>0</v>
      </c>
      <c r="F5962" s="29" t="e">
        <f>VLOOKUP(E5962,'점포코드 '!A:B,2,0)</f>
        <v>#N/A</v>
      </c>
      <c r="G5962" s="46">
        <f>'Raw data'!F5871</f>
        <v>0</v>
      </c>
      <c r="H5962" s="4">
        <f>'Raw data'!G5871</f>
        <v>0</v>
      </c>
      <c r="I5962" s="29" t="e">
        <f>VLOOKUP(G5962,제품명!$C$1:$E$114,2,0)</f>
        <v>#N/A</v>
      </c>
      <c r="J5962" s="29">
        <f>'Raw data'!K5871</f>
        <v>0</v>
      </c>
      <c r="K5962" s="31">
        <f>'Raw data'!H5871</f>
        <v>0</v>
      </c>
      <c r="L5962" s="26">
        <f t="shared" si="190"/>
        <v>0</v>
      </c>
    </row>
    <row r="5963" spans="2:12">
      <c r="B5963" s="4" t="e">
        <f t="shared" si="189"/>
        <v>#N/A</v>
      </c>
      <c r="C5963" s="4">
        <f>'Raw data'!E5539</f>
        <v>0</v>
      </c>
      <c r="D5963" s="29" t="e">
        <f>VLOOKUP(C5963,'점포코드 '!A:B,2,0)</f>
        <v>#N/A</v>
      </c>
      <c r="E5963" s="30">
        <f>'Raw data'!P5539</f>
        <v>0</v>
      </c>
      <c r="F5963" s="29" t="e">
        <f>VLOOKUP(E5963,'점포코드 '!A:B,2,0)</f>
        <v>#N/A</v>
      </c>
      <c r="G5963" s="46">
        <f>'Raw data'!F5872</f>
        <v>0</v>
      </c>
      <c r="H5963" s="4">
        <f>'Raw data'!G5872</f>
        <v>0</v>
      </c>
      <c r="I5963" s="29" t="e">
        <f>VLOOKUP(G5963,제품명!$C$1:$E$114,2,0)</f>
        <v>#N/A</v>
      </c>
      <c r="J5963" s="29">
        <f>'Raw data'!K5872</f>
        <v>0</v>
      </c>
      <c r="K5963" s="31">
        <f>'Raw data'!H5872</f>
        <v>0</v>
      </c>
      <c r="L5963" s="26">
        <f t="shared" si="190"/>
        <v>0</v>
      </c>
    </row>
    <row r="5964" spans="2:12">
      <c r="B5964" s="4" t="e">
        <f t="shared" si="189"/>
        <v>#N/A</v>
      </c>
      <c r="C5964" s="4">
        <f>'Raw data'!E5540</f>
        <v>0</v>
      </c>
      <c r="D5964" s="29" t="e">
        <f>VLOOKUP(C5964,'점포코드 '!A:B,2,0)</f>
        <v>#N/A</v>
      </c>
      <c r="E5964" s="30">
        <f>'Raw data'!P5540</f>
        <v>0</v>
      </c>
      <c r="F5964" s="29" t="e">
        <f>VLOOKUP(E5964,'점포코드 '!A:B,2,0)</f>
        <v>#N/A</v>
      </c>
      <c r="G5964" s="46">
        <f>'Raw data'!F5873</f>
        <v>0</v>
      </c>
      <c r="H5964" s="4">
        <f>'Raw data'!G5873</f>
        <v>0</v>
      </c>
      <c r="I5964" s="29" t="e">
        <f>VLOOKUP(G5964,제품명!$C$1:$E$114,2,0)</f>
        <v>#N/A</v>
      </c>
      <c r="J5964" s="29">
        <f>'Raw data'!K5873</f>
        <v>0</v>
      </c>
      <c r="K5964" s="31">
        <f>'Raw data'!H5873</f>
        <v>0</v>
      </c>
      <c r="L5964" s="26">
        <f t="shared" si="190"/>
        <v>0</v>
      </c>
    </row>
    <row r="5965" spans="2:12">
      <c r="B5965" s="4" t="e">
        <f t="shared" si="189"/>
        <v>#N/A</v>
      </c>
      <c r="C5965" s="4">
        <f>'Raw data'!E5541</f>
        <v>0</v>
      </c>
      <c r="D5965" s="29" t="e">
        <f>VLOOKUP(C5965,'점포코드 '!A:B,2,0)</f>
        <v>#N/A</v>
      </c>
      <c r="E5965" s="30">
        <f>'Raw data'!P5541</f>
        <v>0</v>
      </c>
      <c r="F5965" s="29" t="e">
        <f>VLOOKUP(E5965,'점포코드 '!A:B,2,0)</f>
        <v>#N/A</v>
      </c>
      <c r="G5965" s="46">
        <f>'Raw data'!F5874</f>
        <v>0</v>
      </c>
      <c r="H5965" s="4">
        <f>'Raw data'!G5874</f>
        <v>0</v>
      </c>
      <c r="I5965" s="29" t="e">
        <f>VLOOKUP(G5965,제품명!$C$1:$E$114,2,0)</f>
        <v>#N/A</v>
      </c>
      <c r="J5965" s="29">
        <f>'Raw data'!K5874</f>
        <v>0</v>
      </c>
      <c r="K5965" s="31">
        <f>'Raw data'!H5874</f>
        <v>0</v>
      </c>
      <c r="L5965" s="26">
        <f t="shared" si="190"/>
        <v>0</v>
      </c>
    </row>
    <row r="5966" spans="2:12">
      <c r="B5966" s="4" t="e">
        <f t="shared" si="189"/>
        <v>#N/A</v>
      </c>
      <c r="C5966" s="4">
        <f>'Raw data'!E5542</f>
        <v>0</v>
      </c>
      <c r="D5966" s="29" t="e">
        <f>VLOOKUP(C5966,'점포코드 '!A:B,2,0)</f>
        <v>#N/A</v>
      </c>
      <c r="E5966" s="30">
        <f>'Raw data'!P5542</f>
        <v>0</v>
      </c>
      <c r="F5966" s="29" t="e">
        <f>VLOOKUP(E5966,'점포코드 '!A:B,2,0)</f>
        <v>#N/A</v>
      </c>
      <c r="G5966" s="46">
        <f>'Raw data'!F5875</f>
        <v>0</v>
      </c>
      <c r="H5966" s="4">
        <f>'Raw data'!G5875</f>
        <v>0</v>
      </c>
      <c r="I5966" s="29" t="e">
        <f>VLOOKUP(G5966,제품명!$C$1:$E$114,2,0)</f>
        <v>#N/A</v>
      </c>
      <c r="J5966" s="29">
        <f>'Raw data'!K5875</f>
        <v>0</v>
      </c>
      <c r="K5966" s="31">
        <f>'Raw data'!H5875</f>
        <v>0</v>
      </c>
      <c r="L5966" s="26">
        <f t="shared" si="190"/>
        <v>0</v>
      </c>
    </row>
    <row r="5967" spans="2:12">
      <c r="B5967" s="4" t="e">
        <f t="shared" si="189"/>
        <v>#N/A</v>
      </c>
      <c r="C5967" s="4">
        <f>'Raw data'!E5543</f>
        <v>0</v>
      </c>
      <c r="D5967" s="29" t="e">
        <f>VLOOKUP(C5967,'점포코드 '!A:B,2,0)</f>
        <v>#N/A</v>
      </c>
      <c r="E5967" s="30">
        <f>'Raw data'!P5543</f>
        <v>0</v>
      </c>
      <c r="F5967" s="29" t="e">
        <f>VLOOKUP(E5967,'점포코드 '!A:B,2,0)</f>
        <v>#N/A</v>
      </c>
      <c r="G5967" s="46">
        <f>'Raw data'!F5876</f>
        <v>0</v>
      </c>
      <c r="H5967" s="4">
        <f>'Raw data'!G5876</f>
        <v>0</v>
      </c>
      <c r="I5967" s="29" t="e">
        <f>VLOOKUP(G5967,제품명!$C$1:$E$114,2,0)</f>
        <v>#N/A</v>
      </c>
      <c r="J5967" s="29">
        <f>'Raw data'!K5876</f>
        <v>0</v>
      </c>
      <c r="K5967" s="31">
        <f>'Raw data'!H5876</f>
        <v>0</v>
      </c>
      <c r="L5967" s="26">
        <f t="shared" si="190"/>
        <v>0</v>
      </c>
    </row>
    <row r="5968" spans="2:12">
      <c r="B5968" s="4" t="e">
        <f t="shared" si="189"/>
        <v>#N/A</v>
      </c>
      <c r="C5968" s="4">
        <f>'Raw data'!E5544</f>
        <v>0</v>
      </c>
      <c r="D5968" s="29" t="e">
        <f>VLOOKUP(C5968,'점포코드 '!A:B,2,0)</f>
        <v>#N/A</v>
      </c>
      <c r="E5968" s="30">
        <f>'Raw data'!P5544</f>
        <v>0</v>
      </c>
      <c r="F5968" s="29" t="e">
        <f>VLOOKUP(E5968,'점포코드 '!A:B,2,0)</f>
        <v>#N/A</v>
      </c>
      <c r="G5968" s="46">
        <f>'Raw data'!F5877</f>
        <v>0</v>
      </c>
      <c r="H5968" s="4">
        <f>'Raw data'!G5877</f>
        <v>0</v>
      </c>
      <c r="I5968" s="29" t="e">
        <f>VLOOKUP(G5968,제품명!$C$1:$E$114,2,0)</f>
        <v>#N/A</v>
      </c>
      <c r="J5968" s="29">
        <f>'Raw data'!K5877</f>
        <v>0</v>
      </c>
      <c r="K5968" s="31">
        <f>'Raw data'!H5877</f>
        <v>0</v>
      </c>
      <c r="L5968" s="26">
        <f t="shared" si="190"/>
        <v>0</v>
      </c>
    </row>
    <row r="5969" spans="2:12">
      <c r="B5969" s="4" t="e">
        <f t="shared" si="189"/>
        <v>#N/A</v>
      </c>
      <c r="C5969" s="4">
        <f>'Raw data'!E5545</f>
        <v>0</v>
      </c>
      <c r="D5969" s="29" t="e">
        <f>VLOOKUP(C5969,'점포코드 '!A:B,2,0)</f>
        <v>#N/A</v>
      </c>
      <c r="E5969" s="30">
        <f>'Raw data'!P5545</f>
        <v>0</v>
      </c>
      <c r="F5969" s="29" t="e">
        <f>VLOOKUP(E5969,'점포코드 '!A:B,2,0)</f>
        <v>#N/A</v>
      </c>
      <c r="G5969" s="46">
        <f>'Raw data'!F5878</f>
        <v>0</v>
      </c>
      <c r="H5969" s="4">
        <f>'Raw data'!G5878</f>
        <v>0</v>
      </c>
      <c r="I5969" s="29" t="e">
        <f>VLOOKUP(G5969,제품명!$C$1:$E$114,2,0)</f>
        <v>#N/A</v>
      </c>
      <c r="J5969" s="29">
        <f>'Raw data'!K5878</f>
        <v>0</v>
      </c>
      <c r="K5969" s="31">
        <f>'Raw data'!H5878</f>
        <v>0</v>
      </c>
      <c r="L5969" s="26">
        <f t="shared" si="190"/>
        <v>0</v>
      </c>
    </row>
    <row r="5970" spans="2:12">
      <c r="B5970" s="4" t="e">
        <f t="shared" si="189"/>
        <v>#N/A</v>
      </c>
      <c r="C5970" s="4">
        <f>'Raw data'!E5546</f>
        <v>0</v>
      </c>
      <c r="D5970" s="29" t="e">
        <f>VLOOKUP(C5970,'점포코드 '!A:B,2,0)</f>
        <v>#N/A</v>
      </c>
      <c r="E5970" s="30">
        <f>'Raw data'!P5546</f>
        <v>0</v>
      </c>
      <c r="F5970" s="29" t="e">
        <f>VLOOKUP(E5970,'점포코드 '!A:B,2,0)</f>
        <v>#N/A</v>
      </c>
      <c r="G5970" s="46">
        <f>'Raw data'!F5879</f>
        <v>0</v>
      </c>
      <c r="H5970" s="4">
        <f>'Raw data'!G5879</f>
        <v>0</v>
      </c>
      <c r="I5970" s="29" t="e">
        <f>VLOOKUP(G5970,제품명!$C$1:$E$114,2,0)</f>
        <v>#N/A</v>
      </c>
      <c r="J5970" s="29">
        <f>'Raw data'!K5879</f>
        <v>0</v>
      </c>
      <c r="K5970" s="31">
        <f>'Raw data'!H5879</f>
        <v>0</v>
      </c>
      <c r="L5970" s="26">
        <f t="shared" si="190"/>
        <v>0</v>
      </c>
    </row>
    <row r="5971" spans="2:12">
      <c r="B5971" s="4" t="e">
        <f t="shared" si="189"/>
        <v>#N/A</v>
      </c>
      <c r="C5971" s="4">
        <f>'Raw data'!E5547</f>
        <v>0</v>
      </c>
      <c r="D5971" s="29" t="e">
        <f>VLOOKUP(C5971,'점포코드 '!A:B,2,0)</f>
        <v>#N/A</v>
      </c>
      <c r="E5971" s="30">
        <f>'Raw data'!P5547</f>
        <v>0</v>
      </c>
      <c r="F5971" s="29" t="e">
        <f>VLOOKUP(E5971,'점포코드 '!A:B,2,0)</f>
        <v>#N/A</v>
      </c>
      <c r="G5971" s="46">
        <f>'Raw data'!F5880</f>
        <v>0</v>
      </c>
      <c r="H5971" s="4">
        <f>'Raw data'!G5880</f>
        <v>0</v>
      </c>
      <c r="I5971" s="29" t="e">
        <f>VLOOKUP(G5971,제품명!$C$1:$E$114,2,0)</f>
        <v>#N/A</v>
      </c>
      <c r="J5971" s="29">
        <f>'Raw data'!K5880</f>
        <v>0</v>
      </c>
      <c r="K5971" s="31">
        <f>'Raw data'!H5880</f>
        <v>0</v>
      </c>
      <c r="L5971" s="26">
        <f t="shared" si="190"/>
        <v>0</v>
      </c>
    </row>
    <row r="5972" spans="2:12">
      <c r="B5972" s="4" t="e">
        <f t="shared" si="189"/>
        <v>#N/A</v>
      </c>
      <c r="C5972" s="4">
        <f>'Raw data'!E5548</f>
        <v>0</v>
      </c>
      <c r="D5972" s="29" t="e">
        <f>VLOOKUP(C5972,'점포코드 '!A:B,2,0)</f>
        <v>#N/A</v>
      </c>
      <c r="E5972" s="30">
        <f>'Raw data'!P5548</f>
        <v>0</v>
      </c>
      <c r="F5972" s="29" t="e">
        <f>VLOOKUP(E5972,'점포코드 '!A:B,2,0)</f>
        <v>#N/A</v>
      </c>
      <c r="G5972" s="46">
        <f>'Raw data'!F5881</f>
        <v>0</v>
      </c>
      <c r="H5972" s="4">
        <f>'Raw data'!G5881</f>
        <v>0</v>
      </c>
      <c r="I5972" s="29" t="e">
        <f>VLOOKUP(G5972,제품명!$C$1:$E$114,2,0)</f>
        <v>#N/A</v>
      </c>
      <c r="J5972" s="29">
        <f>'Raw data'!K5881</f>
        <v>0</v>
      </c>
      <c r="K5972" s="31">
        <f>'Raw data'!H5881</f>
        <v>0</v>
      </c>
      <c r="L5972" s="26">
        <f t="shared" si="190"/>
        <v>0</v>
      </c>
    </row>
    <row r="5973" spans="2:12">
      <c r="B5973" s="4" t="e">
        <f t="shared" si="189"/>
        <v>#N/A</v>
      </c>
      <c r="C5973" s="4">
        <f>'Raw data'!E5549</f>
        <v>0</v>
      </c>
      <c r="D5973" s="29" t="e">
        <f>VLOOKUP(C5973,'점포코드 '!A:B,2,0)</f>
        <v>#N/A</v>
      </c>
      <c r="E5973" s="30">
        <f>'Raw data'!P5549</f>
        <v>0</v>
      </c>
      <c r="F5973" s="29" t="e">
        <f>VLOOKUP(E5973,'점포코드 '!A:B,2,0)</f>
        <v>#N/A</v>
      </c>
      <c r="G5973" s="46">
        <f>'Raw data'!F5882</f>
        <v>0</v>
      </c>
      <c r="H5973" s="4">
        <f>'Raw data'!G5882</f>
        <v>0</v>
      </c>
      <c r="I5973" s="29" t="e">
        <f>VLOOKUP(G5973,제품명!$C$1:$E$114,2,0)</f>
        <v>#N/A</v>
      </c>
      <c r="J5973" s="29">
        <f>'Raw data'!K5882</f>
        <v>0</v>
      </c>
      <c r="K5973" s="31">
        <f>'Raw data'!H5882</f>
        <v>0</v>
      </c>
      <c r="L5973" s="26">
        <f t="shared" si="190"/>
        <v>0</v>
      </c>
    </row>
    <row r="5974" spans="2:12">
      <c r="B5974" s="4" t="e">
        <f t="shared" si="189"/>
        <v>#N/A</v>
      </c>
      <c r="C5974" s="4">
        <f>'Raw data'!E5550</f>
        <v>0</v>
      </c>
      <c r="D5974" s="29" t="e">
        <f>VLOOKUP(C5974,'점포코드 '!A:B,2,0)</f>
        <v>#N/A</v>
      </c>
      <c r="E5974" s="30">
        <f>'Raw data'!P5550</f>
        <v>0</v>
      </c>
      <c r="F5974" s="29" t="e">
        <f>VLOOKUP(E5974,'점포코드 '!A:B,2,0)</f>
        <v>#N/A</v>
      </c>
      <c r="G5974" s="46">
        <f>'Raw data'!F5883</f>
        <v>0</v>
      </c>
      <c r="H5974" s="4">
        <f>'Raw data'!G5883</f>
        <v>0</v>
      </c>
      <c r="I5974" s="29" t="e">
        <f>VLOOKUP(G5974,제품명!$C$1:$E$114,2,0)</f>
        <v>#N/A</v>
      </c>
      <c r="J5974" s="29">
        <f>'Raw data'!K5883</f>
        <v>0</v>
      </c>
      <c r="K5974" s="31">
        <f>'Raw data'!H5883</f>
        <v>0</v>
      </c>
      <c r="L5974" s="26">
        <f t="shared" si="190"/>
        <v>0</v>
      </c>
    </row>
    <row r="5975" spans="2:12">
      <c r="B5975" s="4" t="e">
        <f t="shared" si="189"/>
        <v>#N/A</v>
      </c>
      <c r="C5975" s="4">
        <f>'Raw data'!E5551</f>
        <v>0</v>
      </c>
      <c r="D5975" s="29" t="e">
        <f>VLOOKUP(C5975,'점포코드 '!A:B,2,0)</f>
        <v>#N/A</v>
      </c>
      <c r="E5975" s="30">
        <f>'Raw data'!P5551</f>
        <v>0</v>
      </c>
      <c r="F5975" s="29" t="e">
        <f>VLOOKUP(E5975,'점포코드 '!A:B,2,0)</f>
        <v>#N/A</v>
      </c>
      <c r="G5975" s="46">
        <f>'Raw data'!F5884</f>
        <v>0</v>
      </c>
      <c r="H5975" s="4">
        <f>'Raw data'!G5884</f>
        <v>0</v>
      </c>
      <c r="I5975" s="29" t="e">
        <f>VLOOKUP(G5975,제품명!$C$1:$E$114,2,0)</f>
        <v>#N/A</v>
      </c>
      <c r="J5975" s="29">
        <f>'Raw data'!K5884</f>
        <v>0</v>
      </c>
      <c r="K5975" s="31">
        <f>'Raw data'!H5884</f>
        <v>0</v>
      </c>
      <c r="L5975" s="26">
        <f t="shared" si="190"/>
        <v>0</v>
      </c>
    </row>
    <row r="5976" spans="2:12">
      <c r="B5976" s="4" t="e">
        <f t="shared" si="189"/>
        <v>#N/A</v>
      </c>
      <c r="C5976" s="4">
        <f>'Raw data'!E5552</f>
        <v>0</v>
      </c>
      <c r="D5976" s="29" t="e">
        <f>VLOOKUP(C5976,'점포코드 '!A:B,2,0)</f>
        <v>#N/A</v>
      </c>
      <c r="E5976" s="30">
        <f>'Raw data'!P5552</f>
        <v>0</v>
      </c>
      <c r="F5976" s="29" t="e">
        <f>VLOOKUP(E5976,'점포코드 '!A:B,2,0)</f>
        <v>#N/A</v>
      </c>
      <c r="G5976" s="46">
        <f>'Raw data'!F5885</f>
        <v>0</v>
      </c>
      <c r="H5976" s="4">
        <f>'Raw data'!G5885</f>
        <v>0</v>
      </c>
      <c r="I5976" s="29" t="e">
        <f>VLOOKUP(G5976,제품명!$C$1:$E$114,2,0)</f>
        <v>#N/A</v>
      </c>
      <c r="J5976" s="29">
        <f>'Raw data'!K5885</f>
        <v>0</v>
      </c>
      <c r="K5976" s="31">
        <f>'Raw data'!H5885</f>
        <v>0</v>
      </c>
      <c r="L5976" s="26">
        <f t="shared" si="190"/>
        <v>0</v>
      </c>
    </row>
    <row r="5977" spans="2:12">
      <c r="B5977" s="4" t="e">
        <f t="shared" si="189"/>
        <v>#N/A</v>
      </c>
      <c r="C5977" s="4">
        <f>'Raw data'!E5553</f>
        <v>0</v>
      </c>
      <c r="D5977" s="29" t="e">
        <f>VLOOKUP(C5977,'점포코드 '!A:B,2,0)</f>
        <v>#N/A</v>
      </c>
      <c r="E5977" s="30">
        <f>'Raw data'!P5553</f>
        <v>0</v>
      </c>
      <c r="F5977" s="29" t="e">
        <f>VLOOKUP(E5977,'점포코드 '!A:B,2,0)</f>
        <v>#N/A</v>
      </c>
      <c r="G5977" s="46">
        <f>'Raw data'!F5886</f>
        <v>0</v>
      </c>
      <c r="H5977" s="4">
        <f>'Raw data'!G5886</f>
        <v>0</v>
      </c>
      <c r="I5977" s="29" t="e">
        <f>VLOOKUP(G5977,제품명!$C$1:$E$114,2,0)</f>
        <v>#N/A</v>
      </c>
      <c r="J5977" s="29">
        <f>'Raw data'!K5886</f>
        <v>0</v>
      </c>
      <c r="K5977" s="31">
        <f>'Raw data'!H5886</f>
        <v>0</v>
      </c>
      <c r="L5977" s="26">
        <f t="shared" si="190"/>
        <v>0</v>
      </c>
    </row>
    <row r="5978" spans="2:12">
      <c r="B5978" s="4" t="e">
        <f t="shared" si="189"/>
        <v>#N/A</v>
      </c>
      <c r="C5978" s="4">
        <f>'Raw data'!E5554</f>
        <v>0</v>
      </c>
      <c r="D5978" s="29" t="e">
        <f>VLOOKUP(C5978,'점포코드 '!A:B,2,0)</f>
        <v>#N/A</v>
      </c>
      <c r="E5978" s="30">
        <f>'Raw data'!P5554</f>
        <v>0</v>
      </c>
      <c r="F5978" s="29" t="e">
        <f>VLOOKUP(E5978,'점포코드 '!A:B,2,0)</f>
        <v>#N/A</v>
      </c>
      <c r="G5978" s="46">
        <f>'Raw data'!F5887</f>
        <v>0</v>
      </c>
      <c r="H5978" s="4">
        <f>'Raw data'!G5887</f>
        <v>0</v>
      </c>
      <c r="I5978" s="29" t="e">
        <f>VLOOKUP(G5978,제품명!$C$1:$E$114,2,0)</f>
        <v>#N/A</v>
      </c>
      <c r="J5978" s="29">
        <f>'Raw data'!K5887</f>
        <v>0</v>
      </c>
      <c r="K5978" s="31">
        <f>'Raw data'!H5887</f>
        <v>0</v>
      </c>
      <c r="L5978" s="26">
        <f t="shared" si="190"/>
        <v>0</v>
      </c>
    </row>
    <row r="5979" spans="2:12">
      <c r="B5979" s="4" t="e">
        <f t="shared" si="189"/>
        <v>#N/A</v>
      </c>
      <c r="C5979" s="4">
        <f>'Raw data'!E5555</f>
        <v>0</v>
      </c>
      <c r="D5979" s="29" t="e">
        <f>VLOOKUP(C5979,'점포코드 '!A:B,2,0)</f>
        <v>#N/A</v>
      </c>
      <c r="E5979" s="30">
        <f>'Raw data'!P5555</f>
        <v>0</v>
      </c>
      <c r="F5979" s="29" t="e">
        <f>VLOOKUP(E5979,'점포코드 '!A:B,2,0)</f>
        <v>#N/A</v>
      </c>
      <c r="G5979" s="46">
        <f>'Raw data'!F5888</f>
        <v>0</v>
      </c>
      <c r="H5979" s="4">
        <f>'Raw data'!G5888</f>
        <v>0</v>
      </c>
      <c r="I5979" s="29" t="e">
        <f>VLOOKUP(G5979,제품명!$C$1:$E$114,2,0)</f>
        <v>#N/A</v>
      </c>
      <c r="J5979" s="29">
        <f>'Raw data'!K5888</f>
        <v>0</v>
      </c>
      <c r="K5979" s="31">
        <f>'Raw data'!H5888</f>
        <v>0</v>
      </c>
      <c r="L5979" s="26">
        <f t="shared" si="190"/>
        <v>0</v>
      </c>
    </row>
    <row r="5980" spans="2:12">
      <c r="B5980" s="4" t="e">
        <f t="shared" si="189"/>
        <v>#N/A</v>
      </c>
      <c r="C5980" s="4">
        <f>'Raw data'!E5556</f>
        <v>0</v>
      </c>
      <c r="D5980" s="29" t="e">
        <f>VLOOKUP(C5980,'점포코드 '!A:B,2,0)</f>
        <v>#N/A</v>
      </c>
      <c r="E5980" s="30">
        <f>'Raw data'!P5556</f>
        <v>0</v>
      </c>
      <c r="F5980" s="29" t="e">
        <f>VLOOKUP(E5980,'점포코드 '!A:B,2,0)</f>
        <v>#N/A</v>
      </c>
      <c r="G5980" s="46">
        <f>'Raw data'!F5889</f>
        <v>0</v>
      </c>
      <c r="H5980" s="4">
        <f>'Raw data'!G5889</f>
        <v>0</v>
      </c>
      <c r="I5980" s="29" t="e">
        <f>VLOOKUP(G5980,제품명!$C$1:$E$114,2,0)</f>
        <v>#N/A</v>
      </c>
      <c r="J5980" s="29">
        <f>'Raw data'!K5889</f>
        <v>0</v>
      </c>
      <c r="K5980" s="31">
        <f>'Raw data'!H5889</f>
        <v>0</v>
      </c>
      <c r="L5980" s="26">
        <f t="shared" si="190"/>
        <v>0</v>
      </c>
    </row>
    <row r="5981" spans="2:12">
      <c r="B5981" s="4" t="e">
        <f t="shared" si="189"/>
        <v>#N/A</v>
      </c>
      <c r="C5981" s="4">
        <f>'Raw data'!E5557</f>
        <v>0</v>
      </c>
      <c r="D5981" s="29" t="e">
        <f>VLOOKUP(C5981,'점포코드 '!A:B,2,0)</f>
        <v>#N/A</v>
      </c>
      <c r="E5981" s="30">
        <f>'Raw data'!P5557</f>
        <v>0</v>
      </c>
      <c r="F5981" s="29" t="e">
        <f>VLOOKUP(E5981,'점포코드 '!A:B,2,0)</f>
        <v>#N/A</v>
      </c>
      <c r="G5981" s="46">
        <f>'Raw data'!F5890</f>
        <v>0</v>
      </c>
      <c r="H5981" s="4">
        <f>'Raw data'!G5890</f>
        <v>0</v>
      </c>
      <c r="I5981" s="29" t="e">
        <f>VLOOKUP(G5981,제품명!$C$1:$E$114,2,0)</f>
        <v>#N/A</v>
      </c>
      <c r="J5981" s="29">
        <f>'Raw data'!K5890</f>
        <v>0</v>
      </c>
      <c r="K5981" s="31">
        <f>'Raw data'!H5890</f>
        <v>0</v>
      </c>
      <c r="L5981" s="26">
        <f t="shared" si="190"/>
        <v>0</v>
      </c>
    </row>
    <row r="5982" spans="2:12">
      <c r="B5982" s="4" t="e">
        <f t="shared" si="189"/>
        <v>#N/A</v>
      </c>
      <c r="C5982" s="4">
        <f>'Raw data'!E5558</f>
        <v>0</v>
      </c>
      <c r="D5982" s="29" t="e">
        <f>VLOOKUP(C5982,'점포코드 '!A:B,2,0)</f>
        <v>#N/A</v>
      </c>
      <c r="E5982" s="30">
        <f>'Raw data'!P5558</f>
        <v>0</v>
      </c>
      <c r="F5982" s="29" t="e">
        <f>VLOOKUP(E5982,'점포코드 '!A:B,2,0)</f>
        <v>#N/A</v>
      </c>
      <c r="G5982" s="46">
        <f>'Raw data'!F5891</f>
        <v>0</v>
      </c>
      <c r="H5982" s="4">
        <f>'Raw data'!G5891</f>
        <v>0</v>
      </c>
      <c r="I5982" s="29" t="e">
        <f>VLOOKUP(G5982,제품명!$C$1:$E$114,2,0)</f>
        <v>#N/A</v>
      </c>
      <c r="J5982" s="29">
        <f>'Raw data'!K5891</f>
        <v>0</v>
      </c>
      <c r="K5982" s="31">
        <f>'Raw data'!H5891</f>
        <v>0</v>
      </c>
      <c r="L5982" s="26">
        <f t="shared" si="190"/>
        <v>0</v>
      </c>
    </row>
    <row r="5983" spans="2:12">
      <c r="B5983" s="4" t="e">
        <f t="shared" si="189"/>
        <v>#N/A</v>
      </c>
      <c r="C5983" s="4">
        <f>'Raw data'!E5559</f>
        <v>0</v>
      </c>
      <c r="D5983" s="29" t="e">
        <f>VLOOKUP(C5983,'점포코드 '!A:B,2,0)</f>
        <v>#N/A</v>
      </c>
      <c r="E5983" s="30">
        <f>'Raw data'!P5559</f>
        <v>0</v>
      </c>
      <c r="F5983" s="29" t="e">
        <f>VLOOKUP(E5983,'점포코드 '!A:B,2,0)</f>
        <v>#N/A</v>
      </c>
      <c r="G5983" s="46">
        <f>'Raw data'!F5892</f>
        <v>0</v>
      </c>
      <c r="H5983" s="4">
        <f>'Raw data'!G5892</f>
        <v>0</v>
      </c>
      <c r="I5983" s="29" t="e">
        <f>VLOOKUP(G5983,제품명!$C$1:$E$114,2,0)</f>
        <v>#N/A</v>
      </c>
      <c r="J5983" s="29">
        <f>'Raw data'!K5892</f>
        <v>0</v>
      </c>
      <c r="K5983" s="31">
        <f>'Raw data'!H5892</f>
        <v>0</v>
      </c>
      <c r="L5983" s="26">
        <f t="shared" si="190"/>
        <v>0</v>
      </c>
    </row>
    <row r="5984" spans="2:12">
      <c r="B5984" s="4" t="e">
        <f t="shared" si="189"/>
        <v>#N/A</v>
      </c>
      <c r="C5984" s="4">
        <f>'Raw data'!E5560</f>
        <v>0</v>
      </c>
      <c r="D5984" s="29" t="e">
        <f>VLOOKUP(C5984,'점포코드 '!A:B,2,0)</f>
        <v>#N/A</v>
      </c>
      <c r="E5984" s="30">
        <f>'Raw data'!P5560</f>
        <v>0</v>
      </c>
      <c r="F5984" s="29" t="e">
        <f>VLOOKUP(E5984,'점포코드 '!A:B,2,0)</f>
        <v>#N/A</v>
      </c>
      <c r="G5984" s="46">
        <f>'Raw data'!F5893</f>
        <v>0</v>
      </c>
      <c r="H5984" s="4">
        <f>'Raw data'!G5893</f>
        <v>0</v>
      </c>
      <c r="I5984" s="29" t="e">
        <f>VLOOKUP(G5984,제품명!$C$1:$E$114,2,0)</f>
        <v>#N/A</v>
      </c>
      <c r="J5984" s="29">
        <f>'Raw data'!K5893</f>
        <v>0</v>
      </c>
      <c r="K5984" s="31">
        <f>'Raw data'!H5893</f>
        <v>0</v>
      </c>
      <c r="L5984" s="26">
        <f t="shared" si="190"/>
        <v>0</v>
      </c>
    </row>
    <row r="5985" spans="2:12">
      <c r="B5985" s="4" t="e">
        <f t="shared" si="189"/>
        <v>#N/A</v>
      </c>
      <c r="C5985" s="4">
        <f>'Raw data'!E5561</f>
        <v>0</v>
      </c>
      <c r="D5985" s="29" t="e">
        <f>VLOOKUP(C5985,'점포코드 '!A:B,2,0)</f>
        <v>#N/A</v>
      </c>
      <c r="E5985" s="30">
        <f>'Raw data'!P5561</f>
        <v>0</v>
      </c>
      <c r="F5985" s="29" t="e">
        <f>VLOOKUP(E5985,'점포코드 '!A:B,2,0)</f>
        <v>#N/A</v>
      </c>
      <c r="G5985" s="46">
        <f>'Raw data'!F5894</f>
        <v>0</v>
      </c>
      <c r="H5985" s="4">
        <f>'Raw data'!G5894</f>
        <v>0</v>
      </c>
      <c r="I5985" s="29" t="e">
        <f>VLOOKUP(G5985,제품명!$C$1:$E$114,2,0)</f>
        <v>#N/A</v>
      </c>
      <c r="J5985" s="29">
        <f>'Raw data'!K5894</f>
        <v>0</v>
      </c>
      <c r="K5985" s="31">
        <f>'Raw data'!H5894</f>
        <v>0</v>
      </c>
      <c r="L5985" s="26">
        <f t="shared" si="190"/>
        <v>0</v>
      </c>
    </row>
    <row r="5986" spans="2:12">
      <c r="B5986" s="4" t="e">
        <f t="shared" si="189"/>
        <v>#N/A</v>
      </c>
      <c r="C5986" s="4">
        <f>'Raw data'!E5562</f>
        <v>0</v>
      </c>
      <c r="D5986" s="29" t="e">
        <f>VLOOKUP(C5986,'점포코드 '!A:B,2,0)</f>
        <v>#N/A</v>
      </c>
      <c r="E5986" s="30">
        <f>'Raw data'!P5562</f>
        <v>0</v>
      </c>
      <c r="F5986" s="29" t="e">
        <f>VLOOKUP(E5986,'점포코드 '!A:B,2,0)</f>
        <v>#N/A</v>
      </c>
      <c r="G5986" s="46">
        <f>'Raw data'!F5895</f>
        <v>0</v>
      </c>
      <c r="H5986" s="4">
        <f>'Raw data'!G5895</f>
        <v>0</v>
      </c>
      <c r="I5986" s="29" t="e">
        <f>VLOOKUP(G5986,제품명!$C$1:$E$114,2,0)</f>
        <v>#N/A</v>
      </c>
      <c r="J5986" s="29">
        <f>'Raw data'!K5895</f>
        <v>0</v>
      </c>
      <c r="K5986" s="31">
        <f>'Raw data'!H5895</f>
        <v>0</v>
      </c>
      <c r="L5986" s="26">
        <f t="shared" si="190"/>
        <v>0</v>
      </c>
    </row>
    <row r="5987" spans="2:12">
      <c r="B5987" s="4" t="e">
        <f t="shared" si="189"/>
        <v>#N/A</v>
      </c>
      <c r="C5987" s="4">
        <f>'Raw data'!E5563</f>
        <v>0</v>
      </c>
      <c r="D5987" s="29" t="e">
        <f>VLOOKUP(C5987,'점포코드 '!A:B,2,0)</f>
        <v>#N/A</v>
      </c>
      <c r="E5987" s="30">
        <f>'Raw data'!P5563</f>
        <v>0</v>
      </c>
      <c r="F5987" s="29" t="e">
        <f>VLOOKUP(E5987,'점포코드 '!A:B,2,0)</f>
        <v>#N/A</v>
      </c>
      <c r="G5987" s="46">
        <f>'Raw data'!F5896</f>
        <v>0</v>
      </c>
      <c r="H5987" s="4">
        <f>'Raw data'!G5896</f>
        <v>0</v>
      </c>
      <c r="I5987" s="29" t="e">
        <f>VLOOKUP(G5987,제품명!$C$1:$E$114,2,0)</f>
        <v>#N/A</v>
      </c>
      <c r="J5987" s="29">
        <f>'Raw data'!K5896</f>
        <v>0</v>
      </c>
      <c r="K5987" s="31">
        <f>'Raw data'!H5896</f>
        <v>0</v>
      </c>
      <c r="L5987" s="26">
        <f t="shared" si="190"/>
        <v>0</v>
      </c>
    </row>
    <row r="5988" spans="2:12">
      <c r="B5988" s="4" t="e">
        <f t="shared" si="189"/>
        <v>#N/A</v>
      </c>
      <c r="C5988" s="4">
        <f>'Raw data'!E5564</f>
        <v>0</v>
      </c>
      <c r="D5988" s="29" t="e">
        <f>VLOOKUP(C5988,'점포코드 '!A:B,2,0)</f>
        <v>#N/A</v>
      </c>
      <c r="E5988" s="30">
        <f>'Raw data'!P5564</f>
        <v>0</v>
      </c>
      <c r="F5988" s="29" t="e">
        <f>VLOOKUP(E5988,'점포코드 '!A:B,2,0)</f>
        <v>#N/A</v>
      </c>
      <c r="G5988" s="46">
        <f>'Raw data'!F5897</f>
        <v>0</v>
      </c>
      <c r="H5988" s="4">
        <f>'Raw data'!G5897</f>
        <v>0</v>
      </c>
      <c r="I5988" s="29" t="e">
        <f>VLOOKUP(G5988,제품명!$C$1:$E$114,2,0)</f>
        <v>#N/A</v>
      </c>
      <c r="J5988" s="29">
        <f>'Raw data'!K5897</f>
        <v>0</v>
      </c>
      <c r="K5988" s="31">
        <f>'Raw data'!H5897</f>
        <v>0</v>
      </c>
      <c r="L5988" s="26">
        <f t="shared" si="190"/>
        <v>0</v>
      </c>
    </row>
    <row r="5989" spans="2:12">
      <c r="B5989" s="4" t="e">
        <f t="shared" si="189"/>
        <v>#N/A</v>
      </c>
      <c r="C5989" s="4">
        <f>'Raw data'!E5565</f>
        <v>0</v>
      </c>
      <c r="D5989" s="29" t="e">
        <f>VLOOKUP(C5989,'점포코드 '!A:B,2,0)</f>
        <v>#N/A</v>
      </c>
      <c r="E5989" s="30">
        <f>'Raw data'!P5565</f>
        <v>0</v>
      </c>
      <c r="F5989" s="29" t="e">
        <f>VLOOKUP(E5989,'점포코드 '!A:B,2,0)</f>
        <v>#N/A</v>
      </c>
      <c r="G5989" s="46">
        <f>'Raw data'!F5898</f>
        <v>0</v>
      </c>
      <c r="H5989" s="4">
        <f>'Raw data'!G5898</f>
        <v>0</v>
      </c>
      <c r="I5989" s="29" t="e">
        <f>VLOOKUP(G5989,제품명!$C$1:$E$114,2,0)</f>
        <v>#N/A</v>
      </c>
      <c r="J5989" s="29">
        <f>'Raw data'!K5898</f>
        <v>0</v>
      </c>
      <c r="K5989" s="31">
        <f>'Raw data'!H5898</f>
        <v>0</v>
      </c>
      <c r="L5989" s="26">
        <f t="shared" si="190"/>
        <v>0</v>
      </c>
    </row>
    <row r="5990" spans="2:12">
      <c r="B5990" s="4" t="e">
        <f t="shared" si="189"/>
        <v>#N/A</v>
      </c>
      <c r="C5990" s="4">
        <f>'Raw data'!E5566</f>
        <v>0</v>
      </c>
      <c r="D5990" s="29" t="e">
        <f>VLOOKUP(C5990,'점포코드 '!A:B,2,0)</f>
        <v>#N/A</v>
      </c>
      <c r="E5990" s="30">
        <f>'Raw data'!P5566</f>
        <v>0</v>
      </c>
      <c r="F5990" s="29" t="e">
        <f>VLOOKUP(E5990,'점포코드 '!A:B,2,0)</f>
        <v>#N/A</v>
      </c>
      <c r="G5990" s="46">
        <f>'Raw data'!F5899</f>
        <v>0</v>
      </c>
      <c r="H5990" s="4">
        <f>'Raw data'!G5899</f>
        <v>0</v>
      </c>
      <c r="I5990" s="29" t="e">
        <f>VLOOKUP(G5990,제품명!$C$1:$E$114,2,0)</f>
        <v>#N/A</v>
      </c>
      <c r="J5990" s="29">
        <f>'Raw data'!K5899</f>
        <v>0</v>
      </c>
      <c r="K5990" s="31">
        <f>'Raw data'!H5899</f>
        <v>0</v>
      </c>
      <c r="L5990" s="26">
        <f t="shared" si="190"/>
        <v>0</v>
      </c>
    </row>
    <row r="5991" spans="2:12">
      <c r="B5991" s="4" t="e">
        <f t="shared" si="189"/>
        <v>#N/A</v>
      </c>
      <c r="C5991" s="4">
        <f>'Raw data'!E5567</f>
        <v>0</v>
      </c>
      <c r="D5991" s="29" t="e">
        <f>VLOOKUP(C5991,'점포코드 '!A:B,2,0)</f>
        <v>#N/A</v>
      </c>
      <c r="E5991" s="30">
        <f>'Raw data'!P5567</f>
        <v>0</v>
      </c>
      <c r="F5991" s="29" t="e">
        <f>VLOOKUP(E5991,'점포코드 '!A:B,2,0)</f>
        <v>#N/A</v>
      </c>
      <c r="G5991" s="46">
        <f>'Raw data'!F5900</f>
        <v>0</v>
      </c>
      <c r="H5991" s="4">
        <f>'Raw data'!G5900</f>
        <v>0</v>
      </c>
      <c r="I5991" s="29" t="e">
        <f>VLOOKUP(G5991,제품명!$C$1:$E$114,2,0)</f>
        <v>#N/A</v>
      </c>
      <c r="J5991" s="29">
        <f>'Raw data'!K5900</f>
        <v>0</v>
      </c>
      <c r="K5991" s="31">
        <f>'Raw data'!H5900</f>
        <v>0</v>
      </c>
      <c r="L5991" s="26">
        <f t="shared" si="190"/>
        <v>0</v>
      </c>
    </row>
    <row r="5992" spans="2:12">
      <c r="B5992" s="4" t="e">
        <f t="shared" si="189"/>
        <v>#N/A</v>
      </c>
      <c r="C5992" s="4">
        <f>'Raw data'!E5568</f>
        <v>0</v>
      </c>
      <c r="D5992" s="29" t="e">
        <f>VLOOKUP(C5992,'점포코드 '!A:B,2,0)</f>
        <v>#N/A</v>
      </c>
      <c r="E5992" s="30">
        <f>'Raw data'!P5568</f>
        <v>0</v>
      </c>
      <c r="F5992" s="29" t="e">
        <f>VLOOKUP(E5992,'점포코드 '!A:B,2,0)</f>
        <v>#N/A</v>
      </c>
      <c r="G5992" s="46">
        <f>'Raw data'!F5901</f>
        <v>0</v>
      </c>
      <c r="H5992" s="4">
        <f>'Raw data'!G5901</f>
        <v>0</v>
      </c>
      <c r="I5992" s="29" t="e">
        <f>VLOOKUP(G5992,제품명!$C$1:$E$114,2,0)</f>
        <v>#N/A</v>
      </c>
      <c r="J5992" s="29">
        <f>'Raw data'!K5901</f>
        <v>0</v>
      </c>
      <c r="K5992" s="31">
        <f>'Raw data'!H5901</f>
        <v>0</v>
      </c>
      <c r="L5992" s="26">
        <f t="shared" si="190"/>
        <v>0</v>
      </c>
    </row>
    <row r="5993" spans="2:12">
      <c r="B5993" s="4" t="e">
        <f t="shared" si="189"/>
        <v>#N/A</v>
      </c>
      <c r="C5993" s="4">
        <f>'Raw data'!E5569</f>
        <v>0</v>
      </c>
      <c r="D5993" s="29" t="e">
        <f>VLOOKUP(C5993,'점포코드 '!A:B,2,0)</f>
        <v>#N/A</v>
      </c>
      <c r="E5993" s="30">
        <f>'Raw data'!P5569</f>
        <v>0</v>
      </c>
      <c r="F5993" s="29" t="e">
        <f>VLOOKUP(E5993,'점포코드 '!A:B,2,0)</f>
        <v>#N/A</v>
      </c>
      <c r="G5993" s="46">
        <f>'Raw data'!F5902</f>
        <v>0</v>
      </c>
      <c r="H5993" s="4">
        <f>'Raw data'!G5902</f>
        <v>0</v>
      </c>
      <c r="I5993" s="29" t="e">
        <f>VLOOKUP(G5993,제품명!$C$1:$E$114,2,0)</f>
        <v>#N/A</v>
      </c>
      <c r="J5993" s="29">
        <f>'Raw data'!K5902</f>
        <v>0</v>
      </c>
      <c r="K5993" s="31">
        <f>'Raw data'!H5902</f>
        <v>0</v>
      </c>
      <c r="L5993" s="26">
        <f t="shared" si="190"/>
        <v>0</v>
      </c>
    </row>
    <row r="5994" spans="2:12">
      <c r="B5994" s="4" t="e">
        <f t="shared" si="189"/>
        <v>#N/A</v>
      </c>
      <c r="C5994" s="4">
        <f>'Raw data'!E5570</f>
        <v>0</v>
      </c>
      <c r="D5994" s="29" t="e">
        <f>VLOOKUP(C5994,'점포코드 '!A:B,2,0)</f>
        <v>#N/A</v>
      </c>
      <c r="E5994" s="30">
        <f>'Raw data'!P5570</f>
        <v>0</v>
      </c>
      <c r="F5994" s="29" t="e">
        <f>VLOOKUP(E5994,'점포코드 '!A:B,2,0)</f>
        <v>#N/A</v>
      </c>
      <c r="G5994" s="46">
        <f>'Raw data'!F5903</f>
        <v>0</v>
      </c>
      <c r="H5994" s="4">
        <f>'Raw data'!G5903</f>
        <v>0</v>
      </c>
      <c r="I5994" s="29" t="e">
        <f>VLOOKUP(G5994,제품명!$C$1:$E$114,2,0)</f>
        <v>#N/A</v>
      </c>
      <c r="J5994" s="29">
        <f>'Raw data'!K5903</f>
        <v>0</v>
      </c>
      <c r="K5994" s="31">
        <f>'Raw data'!H5903</f>
        <v>0</v>
      </c>
      <c r="L5994" s="26">
        <f t="shared" si="190"/>
        <v>0</v>
      </c>
    </row>
    <row r="5995" spans="2:12">
      <c r="B5995" s="4" t="e">
        <f t="shared" si="189"/>
        <v>#N/A</v>
      </c>
      <c r="C5995" s="4">
        <f>'Raw data'!E5571</f>
        <v>0</v>
      </c>
      <c r="D5995" s="29" t="e">
        <f>VLOOKUP(C5995,'점포코드 '!A:B,2,0)</f>
        <v>#N/A</v>
      </c>
      <c r="E5995" s="30">
        <f>'Raw data'!P5571</f>
        <v>0</v>
      </c>
      <c r="F5995" s="29" t="e">
        <f>VLOOKUP(E5995,'점포코드 '!A:B,2,0)</f>
        <v>#N/A</v>
      </c>
      <c r="G5995" s="46">
        <f>'Raw data'!F5904</f>
        <v>0</v>
      </c>
      <c r="H5995" s="4">
        <f>'Raw data'!G5904</f>
        <v>0</v>
      </c>
      <c r="I5995" s="29" t="e">
        <f>VLOOKUP(G5995,제품명!$C$1:$E$114,2,0)</f>
        <v>#N/A</v>
      </c>
      <c r="J5995" s="29">
        <f>'Raw data'!K5904</f>
        <v>0</v>
      </c>
      <c r="K5995" s="31">
        <f>'Raw data'!H5904</f>
        <v>0</v>
      </c>
      <c r="L5995" s="26">
        <f t="shared" si="190"/>
        <v>0</v>
      </c>
    </row>
    <row r="5996" spans="2:12">
      <c r="B5996" s="4" t="e">
        <f t="shared" si="189"/>
        <v>#N/A</v>
      </c>
      <c r="C5996" s="4">
        <f>'Raw data'!E5572</f>
        <v>0</v>
      </c>
      <c r="D5996" s="29" t="e">
        <f>VLOOKUP(C5996,'점포코드 '!A:B,2,0)</f>
        <v>#N/A</v>
      </c>
      <c r="E5996" s="30">
        <f>'Raw data'!P5572</f>
        <v>0</v>
      </c>
      <c r="F5996" s="29" t="e">
        <f>VLOOKUP(E5996,'점포코드 '!A:B,2,0)</f>
        <v>#N/A</v>
      </c>
      <c r="G5996" s="46">
        <f>'Raw data'!F5905</f>
        <v>0</v>
      </c>
      <c r="H5996" s="4">
        <f>'Raw data'!G5905</f>
        <v>0</v>
      </c>
      <c r="I5996" s="29" t="e">
        <f>VLOOKUP(G5996,제품명!$C$1:$E$114,2,0)</f>
        <v>#N/A</v>
      </c>
      <c r="J5996" s="29">
        <f>'Raw data'!K5905</f>
        <v>0</v>
      </c>
      <c r="K5996" s="31">
        <f>'Raw data'!H5905</f>
        <v>0</v>
      </c>
      <c r="L5996" s="26">
        <f t="shared" si="190"/>
        <v>0</v>
      </c>
    </row>
    <row r="5997" spans="2:12">
      <c r="B5997" s="4" t="e">
        <f t="shared" si="189"/>
        <v>#N/A</v>
      </c>
      <c r="C5997" s="4">
        <f>'Raw data'!E5573</f>
        <v>0</v>
      </c>
      <c r="D5997" s="29" t="e">
        <f>VLOOKUP(C5997,'점포코드 '!A:B,2,0)</f>
        <v>#N/A</v>
      </c>
      <c r="E5997" s="30">
        <f>'Raw data'!P5573</f>
        <v>0</v>
      </c>
      <c r="F5997" s="29" t="e">
        <f>VLOOKUP(E5997,'점포코드 '!A:B,2,0)</f>
        <v>#N/A</v>
      </c>
      <c r="G5997" s="46">
        <f>'Raw data'!F5906</f>
        <v>0</v>
      </c>
      <c r="H5997" s="4">
        <f>'Raw data'!G5906</f>
        <v>0</v>
      </c>
      <c r="I5997" s="29" t="e">
        <f>VLOOKUP(G5997,제품명!$C$1:$E$114,2,0)</f>
        <v>#N/A</v>
      </c>
      <c r="J5997" s="29">
        <f>'Raw data'!K5906</f>
        <v>0</v>
      </c>
      <c r="K5997" s="31">
        <f>'Raw data'!H5906</f>
        <v>0</v>
      </c>
      <c r="L5997" s="26">
        <f t="shared" si="190"/>
        <v>0</v>
      </c>
    </row>
    <row r="5998" spans="2:12">
      <c r="B5998" s="4" t="e">
        <f t="shared" si="189"/>
        <v>#N/A</v>
      </c>
      <c r="C5998" s="4">
        <f>'Raw data'!E5574</f>
        <v>0</v>
      </c>
      <c r="D5998" s="29" t="e">
        <f>VLOOKUP(C5998,'점포코드 '!A:B,2,0)</f>
        <v>#N/A</v>
      </c>
      <c r="E5998" s="30">
        <f>'Raw data'!P5574</f>
        <v>0</v>
      </c>
      <c r="F5998" s="29" t="e">
        <f>VLOOKUP(E5998,'점포코드 '!A:B,2,0)</f>
        <v>#N/A</v>
      </c>
      <c r="G5998" s="46">
        <f>'Raw data'!F5907</f>
        <v>0</v>
      </c>
      <c r="H5998" s="4">
        <f>'Raw data'!G5907</f>
        <v>0</v>
      </c>
      <c r="I5998" s="29" t="e">
        <f>VLOOKUP(G5998,제품명!$C$1:$E$114,2,0)</f>
        <v>#N/A</v>
      </c>
      <c r="J5998" s="29">
        <f>'Raw data'!K5907</f>
        <v>0</v>
      </c>
      <c r="K5998" s="31">
        <f>'Raw data'!H5907</f>
        <v>0</v>
      </c>
      <c r="L5998" s="26">
        <f t="shared" si="190"/>
        <v>0</v>
      </c>
    </row>
    <row r="5999" spans="2:12">
      <c r="B5999" s="4" t="e">
        <f t="shared" si="189"/>
        <v>#N/A</v>
      </c>
      <c r="C5999" s="4">
        <f>'Raw data'!E5575</f>
        <v>0</v>
      </c>
      <c r="D5999" s="29" t="e">
        <f>VLOOKUP(C5999,'점포코드 '!A:B,2,0)</f>
        <v>#N/A</v>
      </c>
      <c r="E5999" s="30">
        <f>'Raw data'!P5575</f>
        <v>0</v>
      </c>
      <c r="F5999" s="29" t="e">
        <f>VLOOKUP(E5999,'점포코드 '!A:B,2,0)</f>
        <v>#N/A</v>
      </c>
      <c r="G5999" s="46">
        <f>'Raw data'!F5908</f>
        <v>0</v>
      </c>
      <c r="H5999" s="4">
        <f>'Raw data'!G5908</f>
        <v>0</v>
      </c>
      <c r="I5999" s="29" t="e">
        <f>VLOOKUP(G5999,제품명!$C$1:$E$114,2,0)</f>
        <v>#N/A</v>
      </c>
      <c r="J5999" s="29">
        <f>'Raw data'!K5908</f>
        <v>0</v>
      </c>
      <c r="K5999" s="31">
        <f>'Raw data'!H5908</f>
        <v>0</v>
      </c>
      <c r="L5999" s="26">
        <f t="shared" si="190"/>
        <v>0</v>
      </c>
    </row>
    <row r="6000" spans="2:12">
      <c r="B6000" s="4" t="e">
        <f t="shared" si="189"/>
        <v>#N/A</v>
      </c>
      <c r="C6000" s="4">
        <f>'Raw data'!E5576</f>
        <v>0</v>
      </c>
      <c r="D6000" s="29" t="e">
        <f>VLOOKUP(C6000,'점포코드 '!A:B,2,0)</f>
        <v>#N/A</v>
      </c>
      <c r="E6000" s="30">
        <f>'Raw data'!P5576</f>
        <v>0</v>
      </c>
      <c r="F6000" s="29" t="e">
        <f>VLOOKUP(E6000,'점포코드 '!A:B,2,0)</f>
        <v>#N/A</v>
      </c>
      <c r="G6000" s="46">
        <f>'Raw data'!F5909</f>
        <v>0</v>
      </c>
      <c r="H6000" s="4">
        <f>'Raw data'!G5909</f>
        <v>0</v>
      </c>
      <c r="I6000" s="29" t="e">
        <f>VLOOKUP(G6000,제품명!$C$1:$E$114,2,0)</f>
        <v>#N/A</v>
      </c>
      <c r="J6000" s="29">
        <f>'Raw data'!K5909</f>
        <v>0</v>
      </c>
      <c r="K6000" s="31">
        <f>'Raw data'!H5909</f>
        <v>0</v>
      </c>
      <c r="L6000" s="26">
        <f t="shared" si="190"/>
        <v>0</v>
      </c>
    </row>
    <row r="6001" spans="2:12">
      <c r="B6001" s="4" t="e">
        <f t="shared" si="189"/>
        <v>#N/A</v>
      </c>
      <c r="C6001" s="4">
        <f>'Raw data'!E5577</f>
        <v>0</v>
      </c>
      <c r="D6001" s="29" t="e">
        <f>VLOOKUP(C6001,'점포코드 '!A:B,2,0)</f>
        <v>#N/A</v>
      </c>
      <c r="E6001" s="30">
        <f>'Raw data'!P5577</f>
        <v>0</v>
      </c>
      <c r="F6001" s="29" t="e">
        <f>VLOOKUP(E6001,'점포코드 '!A:B,2,0)</f>
        <v>#N/A</v>
      </c>
      <c r="G6001" s="46">
        <f>'Raw data'!F5910</f>
        <v>0</v>
      </c>
      <c r="H6001" s="4">
        <f>'Raw data'!G5910</f>
        <v>0</v>
      </c>
      <c r="I6001" s="29" t="e">
        <f>VLOOKUP(G6001,제품명!$C$1:$E$114,2,0)</f>
        <v>#N/A</v>
      </c>
      <c r="J6001" s="29">
        <f>'Raw data'!K5910</f>
        <v>0</v>
      </c>
      <c r="K6001" s="31">
        <f>'Raw data'!H5910</f>
        <v>0</v>
      </c>
      <c r="L6001" s="26">
        <f t="shared" si="190"/>
        <v>0</v>
      </c>
    </row>
    <row r="6002" spans="2:12">
      <c r="B6002" s="4" t="e">
        <f t="shared" si="189"/>
        <v>#N/A</v>
      </c>
      <c r="C6002" s="4">
        <f>'Raw data'!E5578</f>
        <v>0</v>
      </c>
      <c r="D6002" s="29" t="e">
        <f>VLOOKUP(C6002,'점포코드 '!A:B,2,0)</f>
        <v>#N/A</v>
      </c>
      <c r="E6002" s="30">
        <f>'Raw data'!P5578</f>
        <v>0</v>
      </c>
      <c r="F6002" s="29" t="e">
        <f>VLOOKUP(E6002,'점포코드 '!A:B,2,0)</f>
        <v>#N/A</v>
      </c>
      <c r="G6002" s="46">
        <f>'Raw data'!F5911</f>
        <v>0</v>
      </c>
      <c r="H6002" s="4">
        <f>'Raw data'!G5911</f>
        <v>0</v>
      </c>
      <c r="I6002" s="29" t="e">
        <f>VLOOKUP(G6002,제품명!$C$1:$E$114,2,0)</f>
        <v>#N/A</v>
      </c>
      <c r="J6002" s="29">
        <f>'Raw data'!K5911</f>
        <v>0</v>
      </c>
      <c r="K6002" s="31">
        <f>'Raw data'!H5911</f>
        <v>0</v>
      </c>
      <c r="L6002" s="26">
        <f t="shared" si="190"/>
        <v>0</v>
      </c>
    </row>
    <row r="6003" spans="2:12">
      <c r="B6003" s="4" t="e">
        <f t="shared" si="189"/>
        <v>#N/A</v>
      </c>
      <c r="C6003" s="4">
        <f>'Raw data'!E5579</f>
        <v>0</v>
      </c>
      <c r="D6003" s="29" t="e">
        <f>VLOOKUP(C6003,'점포코드 '!A:B,2,0)</f>
        <v>#N/A</v>
      </c>
      <c r="E6003" s="30">
        <f>'Raw data'!P5579</f>
        <v>0</v>
      </c>
      <c r="F6003" s="29" t="e">
        <f>VLOOKUP(E6003,'점포코드 '!A:B,2,0)</f>
        <v>#N/A</v>
      </c>
      <c r="G6003" s="46">
        <f>'Raw data'!F5912</f>
        <v>0</v>
      </c>
      <c r="H6003" s="4">
        <f>'Raw data'!G5912</f>
        <v>0</v>
      </c>
      <c r="I6003" s="29" t="e">
        <f>VLOOKUP(G6003,제품명!$C$1:$E$114,2,0)</f>
        <v>#N/A</v>
      </c>
      <c r="J6003" s="29">
        <f>'Raw data'!K5912</f>
        <v>0</v>
      </c>
      <c r="K6003" s="31">
        <f>'Raw data'!H5912</f>
        <v>0</v>
      </c>
      <c r="L6003" s="26">
        <f t="shared" si="190"/>
        <v>0</v>
      </c>
    </row>
    <row r="6004" spans="2:12">
      <c r="B6004" s="4" t="e">
        <f t="shared" si="189"/>
        <v>#N/A</v>
      </c>
      <c r="C6004" s="4">
        <f>'Raw data'!E5580</f>
        <v>0</v>
      </c>
      <c r="D6004" s="29" t="e">
        <f>VLOOKUP(C6004,'점포코드 '!A:B,2,0)</f>
        <v>#N/A</v>
      </c>
      <c r="E6004" s="30">
        <f>'Raw data'!P5580</f>
        <v>0</v>
      </c>
      <c r="F6004" s="29" t="e">
        <f>VLOOKUP(E6004,'점포코드 '!A:B,2,0)</f>
        <v>#N/A</v>
      </c>
      <c r="G6004" s="46">
        <f>'Raw data'!F5913</f>
        <v>0</v>
      </c>
      <c r="H6004" s="4">
        <f>'Raw data'!G5913</f>
        <v>0</v>
      </c>
      <c r="I6004" s="29" t="e">
        <f>VLOOKUP(G6004,제품명!$C$1:$E$114,2,0)</f>
        <v>#N/A</v>
      </c>
      <c r="J6004" s="29">
        <f>'Raw data'!K5913</f>
        <v>0</v>
      </c>
      <c r="K6004" s="31">
        <f>'Raw data'!H5913</f>
        <v>0</v>
      </c>
      <c r="L6004" s="26">
        <f t="shared" si="190"/>
        <v>0</v>
      </c>
    </row>
    <row r="6005" spans="2:12">
      <c r="B6005" s="4" t="e">
        <f t="shared" si="189"/>
        <v>#N/A</v>
      </c>
      <c r="C6005" s="4">
        <f>'Raw data'!E5581</f>
        <v>0</v>
      </c>
      <c r="D6005" s="29" t="e">
        <f>VLOOKUP(C6005,'점포코드 '!A:B,2,0)</f>
        <v>#N/A</v>
      </c>
      <c r="E6005" s="30">
        <f>'Raw data'!P5581</f>
        <v>0</v>
      </c>
      <c r="F6005" s="29" t="e">
        <f>VLOOKUP(E6005,'점포코드 '!A:B,2,0)</f>
        <v>#N/A</v>
      </c>
      <c r="G6005" s="46">
        <f>'Raw data'!F5914</f>
        <v>0</v>
      </c>
      <c r="H6005" s="4">
        <f>'Raw data'!G5914</f>
        <v>0</v>
      </c>
      <c r="I6005" s="29" t="e">
        <f>VLOOKUP(G6005,제품명!$C$1:$E$114,2,0)</f>
        <v>#N/A</v>
      </c>
      <c r="J6005" s="29">
        <f>'Raw data'!K5914</f>
        <v>0</v>
      </c>
      <c r="K6005" s="31">
        <f>'Raw data'!H5914</f>
        <v>0</v>
      </c>
      <c r="L6005" s="26">
        <f t="shared" si="190"/>
        <v>0</v>
      </c>
    </row>
    <row r="6006" spans="2:12">
      <c r="B6006" s="4" t="e">
        <f t="shared" si="189"/>
        <v>#N/A</v>
      </c>
      <c r="C6006" s="4">
        <f>'Raw data'!E5582</f>
        <v>0</v>
      </c>
      <c r="D6006" s="29" t="e">
        <f>VLOOKUP(C6006,'점포코드 '!A:B,2,0)</f>
        <v>#N/A</v>
      </c>
      <c r="E6006" s="30">
        <f>'Raw data'!P5582</f>
        <v>0</v>
      </c>
      <c r="F6006" s="29" t="e">
        <f>VLOOKUP(E6006,'점포코드 '!A:B,2,0)</f>
        <v>#N/A</v>
      </c>
      <c r="G6006" s="46">
        <f>'Raw data'!F5915</f>
        <v>0</v>
      </c>
      <c r="H6006" s="4">
        <f>'Raw data'!G5915</f>
        <v>0</v>
      </c>
      <c r="I6006" s="29" t="e">
        <f>VLOOKUP(G6006,제품명!$C$1:$E$114,2,0)</f>
        <v>#N/A</v>
      </c>
      <c r="J6006" s="29">
        <f>'Raw data'!K5915</f>
        <v>0</v>
      </c>
      <c r="K6006" s="31">
        <f>'Raw data'!H5915</f>
        <v>0</v>
      </c>
      <c r="L6006" s="26">
        <f t="shared" si="190"/>
        <v>0</v>
      </c>
    </row>
    <row r="6007" spans="2:12">
      <c r="B6007" s="4" t="e">
        <f t="shared" si="189"/>
        <v>#N/A</v>
      </c>
      <c r="C6007" s="4">
        <f>'Raw data'!E5583</f>
        <v>0</v>
      </c>
      <c r="D6007" s="29" t="e">
        <f>VLOOKUP(C6007,'점포코드 '!A:B,2,0)</f>
        <v>#N/A</v>
      </c>
      <c r="E6007" s="30">
        <f>'Raw data'!P5583</f>
        <v>0</v>
      </c>
      <c r="F6007" s="29" t="e">
        <f>VLOOKUP(E6007,'점포코드 '!A:B,2,0)</f>
        <v>#N/A</v>
      </c>
      <c r="G6007" s="46">
        <f>'Raw data'!F5916</f>
        <v>0</v>
      </c>
      <c r="H6007" s="4">
        <f>'Raw data'!G5916</f>
        <v>0</v>
      </c>
      <c r="I6007" s="29" t="e">
        <f>VLOOKUP(G6007,제품명!$C$1:$E$114,2,0)</f>
        <v>#N/A</v>
      </c>
      <c r="J6007" s="29">
        <f>'Raw data'!K5916</f>
        <v>0</v>
      </c>
      <c r="K6007" s="31">
        <f>'Raw data'!H5916</f>
        <v>0</v>
      </c>
      <c r="L6007" s="26">
        <f t="shared" si="190"/>
        <v>0</v>
      </c>
    </row>
    <row r="6008" spans="2:12">
      <c r="B6008" s="4" t="e">
        <f t="shared" si="189"/>
        <v>#N/A</v>
      </c>
      <c r="C6008" s="4">
        <f>'Raw data'!E5584</f>
        <v>0</v>
      </c>
      <c r="D6008" s="29" t="e">
        <f>VLOOKUP(C6008,'점포코드 '!A:B,2,0)</f>
        <v>#N/A</v>
      </c>
      <c r="E6008" s="30">
        <f>'Raw data'!P5584</f>
        <v>0</v>
      </c>
      <c r="F6008" s="29" t="e">
        <f>VLOOKUP(E6008,'점포코드 '!A:B,2,0)</f>
        <v>#N/A</v>
      </c>
      <c r="G6008" s="46">
        <f>'Raw data'!F5917</f>
        <v>0</v>
      </c>
      <c r="H6008" s="4">
        <f>'Raw data'!G5917</f>
        <v>0</v>
      </c>
      <c r="I6008" s="29" t="e">
        <f>VLOOKUP(G6008,제품명!$C$1:$E$114,2,0)</f>
        <v>#N/A</v>
      </c>
      <c r="J6008" s="29">
        <f>'Raw data'!K5917</f>
        <v>0</v>
      </c>
      <c r="K6008" s="31">
        <f>'Raw data'!H5917</f>
        <v>0</v>
      </c>
      <c r="L6008" s="26">
        <f t="shared" si="190"/>
        <v>0</v>
      </c>
    </row>
    <row r="6009" spans="2:12">
      <c r="B6009" s="4" t="e">
        <f t="shared" si="189"/>
        <v>#N/A</v>
      </c>
      <c r="C6009" s="4">
        <f>'Raw data'!E5585</f>
        <v>0</v>
      </c>
      <c r="D6009" s="29" t="e">
        <f>VLOOKUP(C6009,'점포코드 '!A:B,2,0)</f>
        <v>#N/A</v>
      </c>
      <c r="E6009" s="30">
        <f>'Raw data'!P5585</f>
        <v>0</v>
      </c>
      <c r="F6009" s="29" t="e">
        <f>VLOOKUP(E6009,'점포코드 '!A:B,2,0)</f>
        <v>#N/A</v>
      </c>
      <c r="G6009" s="46">
        <f>'Raw data'!F5918</f>
        <v>0</v>
      </c>
      <c r="H6009" s="4">
        <f>'Raw data'!G5918</f>
        <v>0</v>
      </c>
      <c r="I6009" s="29" t="e">
        <f>VLOOKUP(G6009,제품명!$C$1:$E$114,2,0)</f>
        <v>#N/A</v>
      </c>
      <c r="J6009" s="29">
        <f>'Raw data'!K5918</f>
        <v>0</v>
      </c>
      <c r="K6009" s="31">
        <f>'Raw data'!H5918</f>
        <v>0</v>
      </c>
      <c r="L6009" s="26">
        <f t="shared" si="190"/>
        <v>0</v>
      </c>
    </row>
    <row r="6010" spans="2:12">
      <c r="B6010" s="4" t="e">
        <f t="shared" si="189"/>
        <v>#N/A</v>
      </c>
      <c r="C6010" s="4">
        <f>'Raw data'!E5586</f>
        <v>0</v>
      </c>
      <c r="D6010" s="29" t="e">
        <f>VLOOKUP(C6010,'점포코드 '!A:B,2,0)</f>
        <v>#N/A</v>
      </c>
      <c r="E6010" s="30">
        <f>'Raw data'!P5586</f>
        <v>0</v>
      </c>
      <c r="F6010" s="29" t="e">
        <f>VLOOKUP(E6010,'점포코드 '!A:B,2,0)</f>
        <v>#N/A</v>
      </c>
      <c r="G6010" s="46">
        <f>'Raw data'!F5919</f>
        <v>0</v>
      </c>
      <c r="H6010" s="4">
        <f>'Raw data'!G5919</f>
        <v>0</v>
      </c>
      <c r="I6010" s="29" t="e">
        <f>VLOOKUP(G6010,제품명!$C$1:$E$114,2,0)</f>
        <v>#N/A</v>
      </c>
      <c r="J6010" s="29">
        <f>'Raw data'!K5919</f>
        <v>0</v>
      </c>
      <c r="K6010" s="31">
        <f>'Raw data'!H5919</f>
        <v>0</v>
      </c>
      <c r="L6010" s="26">
        <f t="shared" si="190"/>
        <v>0</v>
      </c>
    </row>
    <row r="6011" spans="2:12">
      <c r="B6011" s="4" t="e">
        <f t="shared" si="189"/>
        <v>#N/A</v>
      </c>
      <c r="C6011" s="4">
        <f>'Raw data'!E5587</f>
        <v>0</v>
      </c>
      <c r="D6011" s="29" t="e">
        <f>VLOOKUP(C6011,'점포코드 '!A:B,2,0)</f>
        <v>#N/A</v>
      </c>
      <c r="E6011" s="30">
        <f>'Raw data'!P5587</f>
        <v>0</v>
      </c>
      <c r="F6011" s="29" t="e">
        <f>VLOOKUP(E6011,'점포코드 '!A:B,2,0)</f>
        <v>#N/A</v>
      </c>
      <c r="G6011" s="46">
        <f>'Raw data'!F5920</f>
        <v>0</v>
      </c>
      <c r="H6011" s="4">
        <f>'Raw data'!G5920</f>
        <v>0</v>
      </c>
      <c r="I6011" s="29" t="e">
        <f>VLOOKUP(G6011,제품명!$C$1:$E$114,2,0)</f>
        <v>#N/A</v>
      </c>
      <c r="J6011" s="29">
        <f>'Raw data'!K5920</f>
        <v>0</v>
      </c>
      <c r="K6011" s="31">
        <f>'Raw data'!H5920</f>
        <v>0</v>
      </c>
      <c r="L6011" s="26">
        <f t="shared" si="190"/>
        <v>0</v>
      </c>
    </row>
    <row r="6012" spans="2:12">
      <c r="B6012" s="4" t="e">
        <f t="shared" si="189"/>
        <v>#N/A</v>
      </c>
      <c r="C6012" s="4">
        <f>'Raw data'!E5588</f>
        <v>0</v>
      </c>
      <c r="D6012" s="29" t="e">
        <f>VLOOKUP(C6012,'점포코드 '!A:B,2,0)</f>
        <v>#N/A</v>
      </c>
      <c r="E6012" s="30">
        <f>'Raw data'!P5588</f>
        <v>0</v>
      </c>
      <c r="F6012" s="29" t="e">
        <f>VLOOKUP(E6012,'점포코드 '!A:B,2,0)</f>
        <v>#N/A</v>
      </c>
      <c r="G6012" s="46">
        <f>'Raw data'!F5921</f>
        <v>0</v>
      </c>
      <c r="H6012" s="4">
        <f>'Raw data'!G5921</f>
        <v>0</v>
      </c>
      <c r="I6012" s="29" t="e">
        <f>VLOOKUP(G6012,제품명!$C$1:$E$114,2,0)</f>
        <v>#N/A</v>
      </c>
      <c r="J6012" s="29">
        <f>'Raw data'!K5921</f>
        <v>0</v>
      </c>
      <c r="K6012" s="31">
        <f>'Raw data'!H5921</f>
        <v>0</v>
      </c>
      <c r="L6012" s="26">
        <f t="shared" si="190"/>
        <v>0</v>
      </c>
    </row>
    <row r="6013" spans="2:12">
      <c r="B6013" s="4" t="e">
        <f t="shared" si="189"/>
        <v>#N/A</v>
      </c>
      <c r="C6013" s="4">
        <f>'Raw data'!E5589</f>
        <v>0</v>
      </c>
      <c r="D6013" s="29" t="e">
        <f>VLOOKUP(C6013,'점포코드 '!A:B,2,0)</f>
        <v>#N/A</v>
      </c>
      <c r="E6013" s="30">
        <f>'Raw data'!P5589</f>
        <v>0</v>
      </c>
      <c r="F6013" s="29" t="e">
        <f>VLOOKUP(E6013,'점포코드 '!A:B,2,0)</f>
        <v>#N/A</v>
      </c>
      <c r="G6013" s="46">
        <f>'Raw data'!F5922</f>
        <v>0</v>
      </c>
      <c r="H6013" s="4">
        <f>'Raw data'!G5922</f>
        <v>0</v>
      </c>
      <c r="I6013" s="29" t="e">
        <f>VLOOKUP(G6013,제품명!$C$1:$E$114,2,0)</f>
        <v>#N/A</v>
      </c>
      <c r="J6013" s="29">
        <f>'Raw data'!K5922</f>
        <v>0</v>
      </c>
      <c r="K6013" s="31">
        <f>'Raw data'!H5922</f>
        <v>0</v>
      </c>
      <c r="L6013" s="26">
        <f t="shared" si="190"/>
        <v>0</v>
      </c>
    </row>
    <row r="6014" spans="2:12">
      <c r="B6014" s="4" t="e">
        <f t="shared" si="189"/>
        <v>#N/A</v>
      </c>
      <c r="C6014" s="4">
        <f>'Raw data'!E5590</f>
        <v>0</v>
      </c>
      <c r="D6014" s="29" t="e">
        <f>VLOOKUP(C6014,'점포코드 '!A:B,2,0)</f>
        <v>#N/A</v>
      </c>
      <c r="E6014" s="30">
        <f>'Raw data'!P5590</f>
        <v>0</v>
      </c>
      <c r="F6014" s="29" t="e">
        <f>VLOOKUP(E6014,'점포코드 '!A:B,2,0)</f>
        <v>#N/A</v>
      </c>
      <c r="G6014" s="46">
        <f>'Raw data'!F5923</f>
        <v>0</v>
      </c>
      <c r="H6014" s="4">
        <f>'Raw data'!G5923</f>
        <v>0</v>
      </c>
      <c r="I6014" s="29" t="e">
        <f>VLOOKUP(G6014,제품명!$C$1:$E$114,2,0)</f>
        <v>#N/A</v>
      </c>
      <c r="J6014" s="29">
        <f>'Raw data'!K5923</f>
        <v>0</v>
      </c>
      <c r="K6014" s="31">
        <f>'Raw data'!H5923</f>
        <v>0</v>
      </c>
      <c r="L6014" s="26">
        <f t="shared" si="190"/>
        <v>0</v>
      </c>
    </row>
    <row r="6015" spans="2:12">
      <c r="B6015" s="4" t="e">
        <f t="shared" si="189"/>
        <v>#N/A</v>
      </c>
      <c r="C6015" s="4">
        <f>'Raw data'!E5591</f>
        <v>0</v>
      </c>
      <c r="D6015" s="29" t="e">
        <f>VLOOKUP(C6015,'점포코드 '!A:B,2,0)</f>
        <v>#N/A</v>
      </c>
      <c r="E6015" s="30">
        <f>'Raw data'!P5591</f>
        <v>0</v>
      </c>
      <c r="F6015" s="29" t="e">
        <f>VLOOKUP(E6015,'점포코드 '!A:B,2,0)</f>
        <v>#N/A</v>
      </c>
      <c r="G6015" s="46">
        <f>'Raw data'!F5924</f>
        <v>0</v>
      </c>
      <c r="H6015" s="4">
        <f>'Raw data'!G5924</f>
        <v>0</v>
      </c>
      <c r="I6015" s="29" t="e">
        <f>VLOOKUP(G6015,제품명!$C$1:$E$114,2,0)</f>
        <v>#N/A</v>
      </c>
      <c r="J6015" s="29">
        <f>'Raw data'!K5924</f>
        <v>0</v>
      </c>
      <c r="K6015" s="31">
        <f>'Raw data'!H5924</f>
        <v>0</v>
      </c>
      <c r="L6015" s="26">
        <f t="shared" si="190"/>
        <v>0</v>
      </c>
    </row>
    <row r="6016" spans="2:12">
      <c r="B6016" s="4" t="e">
        <f t="shared" si="189"/>
        <v>#N/A</v>
      </c>
      <c r="C6016" s="4">
        <f>'Raw data'!E5592</f>
        <v>0</v>
      </c>
      <c r="D6016" s="29" t="e">
        <f>VLOOKUP(C6016,'점포코드 '!A:B,2,0)</f>
        <v>#N/A</v>
      </c>
      <c r="E6016" s="30">
        <f>'Raw data'!P5592</f>
        <v>0</v>
      </c>
      <c r="F6016" s="29" t="e">
        <f>VLOOKUP(E6016,'점포코드 '!A:B,2,0)</f>
        <v>#N/A</v>
      </c>
      <c r="G6016" s="46">
        <f>'Raw data'!F5925</f>
        <v>0</v>
      </c>
      <c r="H6016" s="4">
        <f>'Raw data'!G5925</f>
        <v>0</v>
      </c>
      <c r="I6016" s="29" t="e">
        <f>VLOOKUP(G6016,제품명!$C$1:$E$114,2,0)</f>
        <v>#N/A</v>
      </c>
      <c r="J6016" s="29">
        <f>'Raw data'!K5925</f>
        <v>0</v>
      </c>
      <c r="K6016" s="31">
        <f>'Raw data'!H5925</f>
        <v>0</v>
      </c>
      <c r="L6016" s="26">
        <f t="shared" si="190"/>
        <v>0</v>
      </c>
    </row>
    <row r="6017" spans="2:12">
      <c r="B6017" s="4" t="e">
        <f t="shared" si="189"/>
        <v>#N/A</v>
      </c>
      <c r="C6017" s="4">
        <f>'Raw data'!E5593</f>
        <v>0</v>
      </c>
      <c r="D6017" s="29" t="e">
        <f>VLOOKUP(C6017,'점포코드 '!A:B,2,0)</f>
        <v>#N/A</v>
      </c>
      <c r="E6017" s="30">
        <f>'Raw data'!P5593</f>
        <v>0</v>
      </c>
      <c r="F6017" s="29" t="e">
        <f>VLOOKUP(E6017,'점포코드 '!A:B,2,0)</f>
        <v>#N/A</v>
      </c>
      <c r="G6017" s="46">
        <f>'Raw data'!F5926</f>
        <v>0</v>
      </c>
      <c r="H6017" s="4">
        <f>'Raw data'!G5926</f>
        <v>0</v>
      </c>
      <c r="I6017" s="29" t="e">
        <f>VLOOKUP(G6017,제품명!$C$1:$E$114,2,0)</f>
        <v>#N/A</v>
      </c>
      <c r="J6017" s="29">
        <f>'Raw data'!K5926</f>
        <v>0</v>
      </c>
      <c r="K6017" s="31">
        <f>'Raw data'!H5926</f>
        <v>0</v>
      </c>
      <c r="L6017" s="26">
        <f t="shared" si="190"/>
        <v>0</v>
      </c>
    </row>
    <row r="6018" spans="2:12">
      <c r="B6018" s="4" t="e">
        <f t="shared" ref="B6018:B6069" si="191">F6018&amp;I6018</f>
        <v>#N/A</v>
      </c>
      <c r="C6018" s="4">
        <f>'Raw data'!E5594</f>
        <v>0</v>
      </c>
      <c r="D6018" s="29" t="e">
        <f>VLOOKUP(C6018,'점포코드 '!A:B,2,0)</f>
        <v>#N/A</v>
      </c>
      <c r="E6018" s="30">
        <f>'Raw data'!P5594</f>
        <v>0</v>
      </c>
      <c r="F6018" s="29" t="e">
        <f>VLOOKUP(E6018,'점포코드 '!A:B,2,0)</f>
        <v>#N/A</v>
      </c>
      <c r="G6018" s="46">
        <f>'Raw data'!F5927</f>
        <v>0</v>
      </c>
      <c r="H6018" s="4">
        <f>'Raw data'!G5927</f>
        <v>0</v>
      </c>
      <c r="I6018" s="29" t="e">
        <f>VLOOKUP(G6018,제품명!$C$1:$E$114,2,0)</f>
        <v>#N/A</v>
      </c>
      <c r="J6018" s="29">
        <f>'Raw data'!K5927</f>
        <v>0</v>
      </c>
      <c r="K6018" s="31">
        <f>'Raw data'!H5927</f>
        <v>0</v>
      </c>
      <c r="L6018" s="26">
        <f t="shared" si="190"/>
        <v>0</v>
      </c>
    </row>
    <row r="6019" spans="2:12">
      <c r="B6019" s="4" t="e">
        <f t="shared" si="191"/>
        <v>#N/A</v>
      </c>
      <c r="C6019" s="4">
        <f>'Raw data'!E5595</f>
        <v>0</v>
      </c>
      <c r="D6019" s="29" t="e">
        <f>VLOOKUP(C6019,'점포코드 '!A:B,2,0)</f>
        <v>#N/A</v>
      </c>
      <c r="E6019" s="30">
        <f>'Raw data'!P5595</f>
        <v>0</v>
      </c>
      <c r="F6019" s="29" t="e">
        <f>VLOOKUP(E6019,'점포코드 '!A:B,2,0)</f>
        <v>#N/A</v>
      </c>
      <c r="G6019" s="46">
        <f>'Raw data'!F5928</f>
        <v>0</v>
      </c>
      <c r="H6019" s="4">
        <f>'Raw data'!G5928</f>
        <v>0</v>
      </c>
      <c r="I6019" s="29" t="e">
        <f>VLOOKUP(G6019,제품명!$C$1:$E$114,2,0)</f>
        <v>#N/A</v>
      </c>
      <c r="J6019" s="29">
        <f>'Raw data'!K5928</f>
        <v>0</v>
      </c>
      <c r="K6019" s="31">
        <f>'Raw data'!H5928</f>
        <v>0</v>
      </c>
      <c r="L6019" s="26">
        <f t="shared" ref="L6019:L6069" si="192">J6019*K6019</f>
        <v>0</v>
      </c>
    </row>
    <row r="6020" spans="2:12">
      <c r="B6020" s="4" t="e">
        <f t="shared" si="191"/>
        <v>#N/A</v>
      </c>
      <c r="C6020" s="4">
        <f>'Raw data'!E5596</f>
        <v>0</v>
      </c>
      <c r="D6020" s="29" t="e">
        <f>VLOOKUP(C6020,'점포코드 '!A:B,2,0)</f>
        <v>#N/A</v>
      </c>
      <c r="E6020" s="30">
        <f>'Raw data'!P5596</f>
        <v>0</v>
      </c>
      <c r="F6020" s="29" t="e">
        <f>VLOOKUP(E6020,'점포코드 '!A:B,2,0)</f>
        <v>#N/A</v>
      </c>
      <c r="G6020" s="46">
        <f>'Raw data'!F5929</f>
        <v>0</v>
      </c>
      <c r="H6020" s="4">
        <f>'Raw data'!G5929</f>
        <v>0</v>
      </c>
      <c r="I6020" s="29" t="e">
        <f>VLOOKUP(G6020,제품명!$C$1:$E$114,2,0)</f>
        <v>#N/A</v>
      </c>
      <c r="J6020" s="29">
        <f>'Raw data'!K5929</f>
        <v>0</v>
      </c>
      <c r="K6020" s="31">
        <f>'Raw data'!H5929</f>
        <v>0</v>
      </c>
      <c r="L6020" s="26">
        <f t="shared" si="192"/>
        <v>0</v>
      </c>
    </row>
    <row r="6021" spans="2:12">
      <c r="B6021" s="4" t="e">
        <f t="shared" si="191"/>
        <v>#N/A</v>
      </c>
      <c r="C6021" s="4">
        <f>'Raw data'!E5597</f>
        <v>0</v>
      </c>
      <c r="D6021" s="29" t="e">
        <f>VLOOKUP(C6021,'점포코드 '!A:B,2,0)</f>
        <v>#N/A</v>
      </c>
      <c r="E6021" s="30">
        <f>'Raw data'!P5597</f>
        <v>0</v>
      </c>
      <c r="F6021" s="29" t="e">
        <f>VLOOKUP(E6021,'점포코드 '!A:B,2,0)</f>
        <v>#N/A</v>
      </c>
      <c r="G6021" s="46">
        <f>'Raw data'!F5930</f>
        <v>0</v>
      </c>
      <c r="H6021" s="4">
        <f>'Raw data'!G5930</f>
        <v>0</v>
      </c>
      <c r="I6021" s="29" t="e">
        <f>VLOOKUP(G6021,제품명!$C$1:$E$114,2,0)</f>
        <v>#N/A</v>
      </c>
      <c r="J6021" s="29">
        <f>'Raw data'!K5930</f>
        <v>0</v>
      </c>
      <c r="K6021" s="31">
        <f>'Raw data'!H5930</f>
        <v>0</v>
      </c>
      <c r="L6021" s="26">
        <f t="shared" si="192"/>
        <v>0</v>
      </c>
    </row>
    <row r="6022" spans="2:12">
      <c r="B6022" s="4" t="e">
        <f t="shared" si="191"/>
        <v>#N/A</v>
      </c>
      <c r="C6022" s="4">
        <f>'Raw data'!E5598</f>
        <v>0</v>
      </c>
      <c r="D6022" s="29" t="e">
        <f>VLOOKUP(C6022,'점포코드 '!A:B,2,0)</f>
        <v>#N/A</v>
      </c>
      <c r="E6022" s="30">
        <f>'Raw data'!P5598</f>
        <v>0</v>
      </c>
      <c r="F6022" s="29" t="e">
        <f>VLOOKUP(E6022,'점포코드 '!A:B,2,0)</f>
        <v>#N/A</v>
      </c>
      <c r="G6022" s="46">
        <f>'Raw data'!F5931</f>
        <v>0</v>
      </c>
      <c r="H6022" s="4">
        <f>'Raw data'!G5931</f>
        <v>0</v>
      </c>
      <c r="I6022" s="29" t="e">
        <f>VLOOKUP(G6022,제품명!$C$1:$E$114,2,0)</f>
        <v>#N/A</v>
      </c>
      <c r="J6022" s="29">
        <f>'Raw data'!K5931</f>
        <v>0</v>
      </c>
      <c r="K6022" s="31">
        <f>'Raw data'!H5931</f>
        <v>0</v>
      </c>
      <c r="L6022" s="26">
        <f t="shared" si="192"/>
        <v>0</v>
      </c>
    </row>
    <row r="6023" spans="2:12">
      <c r="B6023" s="4" t="e">
        <f t="shared" si="191"/>
        <v>#N/A</v>
      </c>
      <c r="C6023" s="4">
        <f>'Raw data'!E5599</f>
        <v>0</v>
      </c>
      <c r="D6023" s="29" t="e">
        <f>VLOOKUP(C6023,'점포코드 '!A:B,2,0)</f>
        <v>#N/A</v>
      </c>
      <c r="E6023" s="30">
        <f>'Raw data'!P5599</f>
        <v>0</v>
      </c>
      <c r="F6023" s="29" t="e">
        <f>VLOOKUP(E6023,'점포코드 '!A:B,2,0)</f>
        <v>#N/A</v>
      </c>
      <c r="G6023" s="46">
        <f>'Raw data'!F5932</f>
        <v>0</v>
      </c>
      <c r="H6023" s="4">
        <f>'Raw data'!G5932</f>
        <v>0</v>
      </c>
      <c r="I6023" s="29" t="e">
        <f>VLOOKUP(G6023,제품명!$C$1:$E$114,2,0)</f>
        <v>#N/A</v>
      </c>
      <c r="J6023" s="29">
        <f>'Raw data'!K5932</f>
        <v>0</v>
      </c>
      <c r="K6023" s="31">
        <f>'Raw data'!H5932</f>
        <v>0</v>
      </c>
      <c r="L6023" s="26">
        <f t="shared" si="192"/>
        <v>0</v>
      </c>
    </row>
    <row r="6024" spans="2:12">
      <c r="B6024" s="4" t="e">
        <f t="shared" si="191"/>
        <v>#N/A</v>
      </c>
      <c r="C6024" s="4">
        <f>'Raw data'!E5600</f>
        <v>0</v>
      </c>
      <c r="D6024" s="29" t="e">
        <f>VLOOKUP(C6024,'점포코드 '!A:B,2,0)</f>
        <v>#N/A</v>
      </c>
      <c r="E6024" s="30">
        <f>'Raw data'!P5600</f>
        <v>0</v>
      </c>
      <c r="F6024" s="29" t="e">
        <f>VLOOKUP(E6024,'점포코드 '!A:B,2,0)</f>
        <v>#N/A</v>
      </c>
      <c r="G6024" s="46">
        <f>'Raw data'!F5933</f>
        <v>0</v>
      </c>
      <c r="H6024" s="4">
        <f>'Raw data'!G5933</f>
        <v>0</v>
      </c>
      <c r="I6024" s="29" t="e">
        <f>VLOOKUP(G6024,제품명!$C$1:$E$114,2,0)</f>
        <v>#N/A</v>
      </c>
      <c r="J6024" s="29">
        <f>'Raw data'!K5933</f>
        <v>0</v>
      </c>
      <c r="K6024" s="31">
        <f>'Raw data'!H5933</f>
        <v>0</v>
      </c>
      <c r="L6024" s="26">
        <f t="shared" si="192"/>
        <v>0</v>
      </c>
    </row>
    <row r="6025" spans="2:12">
      <c r="B6025" s="4" t="e">
        <f t="shared" si="191"/>
        <v>#N/A</v>
      </c>
      <c r="C6025" s="4">
        <f>'Raw data'!E5601</f>
        <v>0</v>
      </c>
      <c r="D6025" s="29" t="e">
        <f>VLOOKUP(C6025,'점포코드 '!A:B,2,0)</f>
        <v>#N/A</v>
      </c>
      <c r="E6025" s="30">
        <f>'Raw data'!P5601</f>
        <v>0</v>
      </c>
      <c r="F6025" s="29" t="e">
        <f>VLOOKUP(E6025,'점포코드 '!A:B,2,0)</f>
        <v>#N/A</v>
      </c>
      <c r="G6025" s="46">
        <f>'Raw data'!F5934</f>
        <v>0</v>
      </c>
      <c r="H6025" s="4">
        <f>'Raw data'!G5934</f>
        <v>0</v>
      </c>
      <c r="I6025" s="29" t="e">
        <f>VLOOKUP(G6025,제품명!$C$1:$E$114,2,0)</f>
        <v>#N/A</v>
      </c>
      <c r="J6025" s="29">
        <f>'Raw data'!K5934</f>
        <v>0</v>
      </c>
      <c r="K6025" s="31">
        <f>'Raw data'!H5934</f>
        <v>0</v>
      </c>
      <c r="L6025" s="26">
        <f t="shared" si="192"/>
        <v>0</v>
      </c>
    </row>
    <row r="6026" spans="2:12">
      <c r="B6026" s="4" t="e">
        <f t="shared" si="191"/>
        <v>#N/A</v>
      </c>
      <c r="C6026" s="4">
        <f>'Raw data'!E5602</f>
        <v>0</v>
      </c>
      <c r="D6026" s="29" t="e">
        <f>VLOOKUP(C6026,'점포코드 '!A:B,2,0)</f>
        <v>#N/A</v>
      </c>
      <c r="E6026" s="30">
        <f>'Raw data'!P5602</f>
        <v>0</v>
      </c>
      <c r="F6026" s="29" t="e">
        <f>VLOOKUP(E6026,'점포코드 '!A:B,2,0)</f>
        <v>#N/A</v>
      </c>
      <c r="G6026" s="46">
        <f>'Raw data'!F5935</f>
        <v>0</v>
      </c>
      <c r="H6026" s="4">
        <f>'Raw data'!G5935</f>
        <v>0</v>
      </c>
      <c r="I6026" s="29" t="e">
        <f>VLOOKUP(G6026,제품명!$C$1:$E$114,2,0)</f>
        <v>#N/A</v>
      </c>
      <c r="J6026" s="29">
        <f>'Raw data'!K5935</f>
        <v>0</v>
      </c>
      <c r="K6026" s="31">
        <f>'Raw data'!H5935</f>
        <v>0</v>
      </c>
      <c r="L6026" s="26">
        <f t="shared" si="192"/>
        <v>0</v>
      </c>
    </row>
    <row r="6027" spans="2:12">
      <c r="B6027" s="4" t="e">
        <f t="shared" si="191"/>
        <v>#N/A</v>
      </c>
      <c r="C6027" s="4">
        <f>'Raw data'!E5603</f>
        <v>0</v>
      </c>
      <c r="D6027" s="29" t="e">
        <f>VLOOKUP(C6027,'점포코드 '!A:B,2,0)</f>
        <v>#N/A</v>
      </c>
      <c r="E6027" s="30">
        <f>'Raw data'!P5603</f>
        <v>0</v>
      </c>
      <c r="F6027" s="29" t="e">
        <f>VLOOKUP(E6027,'점포코드 '!A:B,2,0)</f>
        <v>#N/A</v>
      </c>
      <c r="G6027" s="46">
        <f>'Raw data'!F5936</f>
        <v>0</v>
      </c>
      <c r="H6027" s="4">
        <f>'Raw data'!G5936</f>
        <v>0</v>
      </c>
      <c r="I6027" s="29" t="e">
        <f>VLOOKUP(G6027,제품명!$C$1:$E$114,2,0)</f>
        <v>#N/A</v>
      </c>
      <c r="J6027" s="29">
        <f>'Raw data'!K5936</f>
        <v>0</v>
      </c>
      <c r="K6027" s="31">
        <f>'Raw data'!H5936</f>
        <v>0</v>
      </c>
      <c r="L6027" s="26">
        <f t="shared" si="192"/>
        <v>0</v>
      </c>
    </row>
    <row r="6028" spans="2:12">
      <c r="B6028" s="4" t="e">
        <f t="shared" si="191"/>
        <v>#N/A</v>
      </c>
      <c r="C6028" s="4">
        <f>'Raw data'!E5604</f>
        <v>0</v>
      </c>
      <c r="D6028" s="29" t="e">
        <f>VLOOKUP(C6028,'점포코드 '!A:B,2,0)</f>
        <v>#N/A</v>
      </c>
      <c r="E6028" s="30">
        <f>'Raw data'!P5604</f>
        <v>0</v>
      </c>
      <c r="F6028" s="29" t="e">
        <f>VLOOKUP(E6028,'점포코드 '!A:B,2,0)</f>
        <v>#N/A</v>
      </c>
      <c r="G6028" s="46">
        <f>'Raw data'!F5937</f>
        <v>0</v>
      </c>
      <c r="H6028" s="4">
        <f>'Raw data'!G5937</f>
        <v>0</v>
      </c>
      <c r="I6028" s="29" t="e">
        <f>VLOOKUP(G6028,제품명!$C$1:$E$114,2,0)</f>
        <v>#N/A</v>
      </c>
      <c r="J6028" s="29">
        <f>'Raw data'!K5937</f>
        <v>0</v>
      </c>
      <c r="K6028" s="31">
        <f>'Raw data'!H5937</f>
        <v>0</v>
      </c>
      <c r="L6028" s="26">
        <f t="shared" si="192"/>
        <v>0</v>
      </c>
    </row>
    <row r="6029" spans="2:12">
      <c r="B6029" s="4" t="e">
        <f t="shared" si="191"/>
        <v>#N/A</v>
      </c>
      <c r="C6029" s="4">
        <f>'Raw data'!E5605</f>
        <v>0</v>
      </c>
      <c r="D6029" s="29" t="e">
        <f>VLOOKUP(C6029,'점포코드 '!A:B,2,0)</f>
        <v>#N/A</v>
      </c>
      <c r="E6029" s="30">
        <f>'Raw data'!P5605</f>
        <v>0</v>
      </c>
      <c r="F6029" s="29" t="e">
        <f>VLOOKUP(E6029,'점포코드 '!A:B,2,0)</f>
        <v>#N/A</v>
      </c>
      <c r="G6029" s="46">
        <f>'Raw data'!F5938</f>
        <v>0</v>
      </c>
      <c r="H6029" s="4">
        <f>'Raw data'!G5938</f>
        <v>0</v>
      </c>
      <c r="I6029" s="29" t="e">
        <f>VLOOKUP(G6029,제품명!$C$1:$E$114,2,0)</f>
        <v>#N/A</v>
      </c>
      <c r="J6029" s="29">
        <f>'Raw data'!K5938</f>
        <v>0</v>
      </c>
      <c r="K6029" s="31">
        <f>'Raw data'!H5938</f>
        <v>0</v>
      </c>
      <c r="L6029" s="26">
        <f t="shared" si="192"/>
        <v>0</v>
      </c>
    </row>
    <row r="6030" spans="2:12">
      <c r="B6030" s="4" t="e">
        <f t="shared" si="191"/>
        <v>#N/A</v>
      </c>
      <c r="C6030" s="4">
        <f>'Raw data'!E5606</f>
        <v>0</v>
      </c>
      <c r="D6030" s="29" t="e">
        <f>VLOOKUP(C6030,'점포코드 '!A:B,2,0)</f>
        <v>#N/A</v>
      </c>
      <c r="E6030" s="30">
        <f>'Raw data'!P5606</f>
        <v>0</v>
      </c>
      <c r="F6030" s="29" t="e">
        <f>VLOOKUP(E6030,'점포코드 '!A:B,2,0)</f>
        <v>#N/A</v>
      </c>
      <c r="G6030" s="46">
        <f>'Raw data'!F5939</f>
        <v>0</v>
      </c>
      <c r="H6030" s="4">
        <f>'Raw data'!G5939</f>
        <v>0</v>
      </c>
      <c r="I6030" s="29" t="e">
        <f>VLOOKUP(G6030,제품명!$C$1:$E$114,2,0)</f>
        <v>#N/A</v>
      </c>
      <c r="J6030" s="29">
        <f>'Raw data'!K5939</f>
        <v>0</v>
      </c>
      <c r="K6030" s="31">
        <f>'Raw data'!H5939</f>
        <v>0</v>
      </c>
      <c r="L6030" s="26">
        <f t="shared" si="192"/>
        <v>0</v>
      </c>
    </row>
    <row r="6031" spans="2:12">
      <c r="B6031" s="4" t="e">
        <f t="shared" si="191"/>
        <v>#N/A</v>
      </c>
      <c r="C6031" s="4">
        <f>'Raw data'!E5607</f>
        <v>0</v>
      </c>
      <c r="D6031" s="29" t="e">
        <f>VLOOKUP(C6031,'점포코드 '!A:B,2,0)</f>
        <v>#N/A</v>
      </c>
      <c r="E6031" s="30">
        <f>'Raw data'!P5607</f>
        <v>0</v>
      </c>
      <c r="F6031" s="29" t="e">
        <f>VLOOKUP(E6031,'점포코드 '!A:B,2,0)</f>
        <v>#N/A</v>
      </c>
      <c r="G6031" s="46">
        <f>'Raw data'!F5940</f>
        <v>0</v>
      </c>
      <c r="H6031" s="4">
        <f>'Raw data'!G5940</f>
        <v>0</v>
      </c>
      <c r="I6031" s="29" t="e">
        <f>VLOOKUP(G6031,제품명!$C$1:$E$114,2,0)</f>
        <v>#N/A</v>
      </c>
      <c r="J6031" s="29">
        <f>'Raw data'!K5940</f>
        <v>0</v>
      </c>
      <c r="K6031" s="31">
        <f>'Raw data'!H5940</f>
        <v>0</v>
      </c>
      <c r="L6031" s="26">
        <f t="shared" si="192"/>
        <v>0</v>
      </c>
    </row>
    <row r="6032" spans="2:12">
      <c r="B6032" s="4" t="e">
        <f t="shared" si="191"/>
        <v>#N/A</v>
      </c>
      <c r="C6032" s="4">
        <f>'Raw data'!E5608</f>
        <v>0</v>
      </c>
      <c r="D6032" s="29" t="e">
        <f>VLOOKUP(C6032,'점포코드 '!A:B,2,0)</f>
        <v>#N/A</v>
      </c>
      <c r="E6032" s="30">
        <f>'Raw data'!P5608</f>
        <v>0</v>
      </c>
      <c r="F6032" s="29" t="e">
        <f>VLOOKUP(E6032,'점포코드 '!A:B,2,0)</f>
        <v>#N/A</v>
      </c>
      <c r="G6032" s="46">
        <f>'Raw data'!F5941</f>
        <v>0</v>
      </c>
      <c r="H6032" s="4">
        <f>'Raw data'!G5941</f>
        <v>0</v>
      </c>
      <c r="I6032" s="29" t="e">
        <f>VLOOKUP(G6032,제품명!$C$1:$E$114,2,0)</f>
        <v>#N/A</v>
      </c>
      <c r="J6032" s="29">
        <f>'Raw data'!K5941</f>
        <v>0</v>
      </c>
      <c r="K6032" s="31">
        <f>'Raw data'!H5941</f>
        <v>0</v>
      </c>
      <c r="L6032" s="26">
        <f t="shared" si="192"/>
        <v>0</v>
      </c>
    </row>
    <row r="6033" spans="2:12">
      <c r="B6033" s="4" t="e">
        <f t="shared" si="191"/>
        <v>#N/A</v>
      </c>
      <c r="C6033" s="4">
        <f>'Raw data'!E5609</f>
        <v>0</v>
      </c>
      <c r="D6033" s="29" t="e">
        <f>VLOOKUP(C6033,'점포코드 '!A:B,2,0)</f>
        <v>#N/A</v>
      </c>
      <c r="E6033" s="30">
        <f>'Raw data'!P5609</f>
        <v>0</v>
      </c>
      <c r="F6033" s="29" t="e">
        <f>VLOOKUP(E6033,'점포코드 '!A:B,2,0)</f>
        <v>#N/A</v>
      </c>
      <c r="G6033" s="46">
        <f>'Raw data'!F5942</f>
        <v>0</v>
      </c>
      <c r="H6033" s="4">
        <f>'Raw data'!G5942</f>
        <v>0</v>
      </c>
      <c r="I6033" s="29" t="e">
        <f>VLOOKUP(G6033,제품명!$C$1:$E$114,2,0)</f>
        <v>#N/A</v>
      </c>
      <c r="J6033" s="29">
        <f>'Raw data'!K5942</f>
        <v>0</v>
      </c>
      <c r="K6033" s="31">
        <f>'Raw data'!H5942</f>
        <v>0</v>
      </c>
      <c r="L6033" s="26">
        <f t="shared" si="192"/>
        <v>0</v>
      </c>
    </row>
    <row r="6034" spans="2:12">
      <c r="B6034" s="4" t="e">
        <f t="shared" si="191"/>
        <v>#N/A</v>
      </c>
      <c r="C6034" s="4">
        <f>'Raw data'!E5610</f>
        <v>0</v>
      </c>
      <c r="D6034" s="29" t="e">
        <f>VLOOKUP(C6034,'점포코드 '!A:B,2,0)</f>
        <v>#N/A</v>
      </c>
      <c r="E6034" s="30">
        <f>'Raw data'!P5610</f>
        <v>0</v>
      </c>
      <c r="F6034" s="29" t="e">
        <f>VLOOKUP(E6034,'점포코드 '!A:B,2,0)</f>
        <v>#N/A</v>
      </c>
      <c r="G6034" s="46">
        <f>'Raw data'!F5943</f>
        <v>0</v>
      </c>
      <c r="H6034" s="4">
        <f>'Raw data'!G5943</f>
        <v>0</v>
      </c>
      <c r="I6034" s="29" t="e">
        <f>VLOOKUP(G6034,제품명!$C$1:$E$114,2,0)</f>
        <v>#N/A</v>
      </c>
      <c r="J6034" s="29">
        <f>'Raw data'!K5943</f>
        <v>0</v>
      </c>
      <c r="K6034" s="31">
        <f>'Raw data'!H5943</f>
        <v>0</v>
      </c>
      <c r="L6034" s="26">
        <f t="shared" si="192"/>
        <v>0</v>
      </c>
    </row>
    <row r="6035" spans="2:12">
      <c r="B6035" s="4" t="e">
        <f t="shared" si="191"/>
        <v>#N/A</v>
      </c>
      <c r="C6035" s="4">
        <f>'Raw data'!E5611</f>
        <v>0</v>
      </c>
      <c r="D6035" s="29" t="e">
        <f>VLOOKUP(C6035,'점포코드 '!A:B,2,0)</f>
        <v>#N/A</v>
      </c>
      <c r="E6035" s="30">
        <f>'Raw data'!P5611</f>
        <v>0</v>
      </c>
      <c r="F6035" s="29" t="e">
        <f>VLOOKUP(E6035,'점포코드 '!A:B,2,0)</f>
        <v>#N/A</v>
      </c>
      <c r="G6035" s="46">
        <f>'Raw data'!F5944</f>
        <v>0</v>
      </c>
      <c r="H6035" s="4">
        <f>'Raw data'!G5944</f>
        <v>0</v>
      </c>
      <c r="I6035" s="29" t="e">
        <f>VLOOKUP(G6035,제품명!$C$1:$E$114,2,0)</f>
        <v>#N/A</v>
      </c>
      <c r="J6035" s="29">
        <f>'Raw data'!K5944</f>
        <v>0</v>
      </c>
      <c r="K6035" s="31">
        <f>'Raw data'!H5944</f>
        <v>0</v>
      </c>
      <c r="L6035" s="26">
        <f t="shared" si="192"/>
        <v>0</v>
      </c>
    </row>
    <row r="6036" spans="2:12">
      <c r="B6036" s="4" t="e">
        <f t="shared" si="191"/>
        <v>#N/A</v>
      </c>
      <c r="C6036" s="4">
        <f>'Raw data'!E5612</f>
        <v>0</v>
      </c>
      <c r="D6036" s="29" t="e">
        <f>VLOOKUP(C6036,'점포코드 '!A:B,2,0)</f>
        <v>#N/A</v>
      </c>
      <c r="E6036" s="30">
        <f>'Raw data'!P5612</f>
        <v>0</v>
      </c>
      <c r="F6036" s="29" t="e">
        <f>VLOOKUP(E6036,'점포코드 '!A:B,2,0)</f>
        <v>#N/A</v>
      </c>
      <c r="G6036" s="46">
        <f>'Raw data'!F5945</f>
        <v>0</v>
      </c>
      <c r="H6036" s="4">
        <f>'Raw data'!G5945</f>
        <v>0</v>
      </c>
      <c r="I6036" s="29" t="e">
        <f>VLOOKUP(G6036,제품명!$C$1:$E$114,2,0)</f>
        <v>#N/A</v>
      </c>
      <c r="J6036" s="29">
        <f>'Raw data'!K5945</f>
        <v>0</v>
      </c>
      <c r="K6036" s="31">
        <f>'Raw data'!H5945</f>
        <v>0</v>
      </c>
      <c r="L6036" s="26">
        <f t="shared" si="192"/>
        <v>0</v>
      </c>
    </row>
    <row r="6037" spans="2:12">
      <c r="B6037" s="4" t="e">
        <f t="shared" si="191"/>
        <v>#N/A</v>
      </c>
      <c r="C6037" s="4">
        <f>'Raw data'!E5613</f>
        <v>0</v>
      </c>
      <c r="D6037" s="29" t="e">
        <f>VLOOKUP(C6037,'점포코드 '!A:B,2,0)</f>
        <v>#N/A</v>
      </c>
      <c r="E6037" s="30">
        <f>'Raw data'!P5613</f>
        <v>0</v>
      </c>
      <c r="F6037" s="29" t="e">
        <f>VLOOKUP(E6037,'점포코드 '!A:B,2,0)</f>
        <v>#N/A</v>
      </c>
      <c r="G6037" s="46">
        <f>'Raw data'!F5946</f>
        <v>0</v>
      </c>
      <c r="H6037" s="4">
        <f>'Raw data'!G5946</f>
        <v>0</v>
      </c>
      <c r="I6037" s="29" t="e">
        <f>VLOOKUP(G6037,제품명!$C$1:$E$114,2,0)</f>
        <v>#N/A</v>
      </c>
      <c r="J6037" s="29">
        <f>'Raw data'!K5946</f>
        <v>0</v>
      </c>
      <c r="K6037" s="31">
        <f>'Raw data'!H5946</f>
        <v>0</v>
      </c>
      <c r="L6037" s="26">
        <f t="shared" si="192"/>
        <v>0</v>
      </c>
    </row>
    <row r="6038" spans="2:12">
      <c r="B6038" s="4" t="e">
        <f t="shared" si="191"/>
        <v>#N/A</v>
      </c>
      <c r="C6038" s="4">
        <f>'Raw data'!E5614</f>
        <v>0</v>
      </c>
      <c r="D6038" s="29" t="e">
        <f>VLOOKUP(C6038,'점포코드 '!A:B,2,0)</f>
        <v>#N/A</v>
      </c>
      <c r="E6038" s="30">
        <f>'Raw data'!P5614</f>
        <v>0</v>
      </c>
      <c r="F6038" s="29" t="e">
        <f>VLOOKUP(E6038,'점포코드 '!A:B,2,0)</f>
        <v>#N/A</v>
      </c>
      <c r="G6038" s="46">
        <f>'Raw data'!F5947</f>
        <v>0</v>
      </c>
      <c r="H6038" s="4">
        <f>'Raw data'!G5947</f>
        <v>0</v>
      </c>
      <c r="I6038" s="29" t="e">
        <f>VLOOKUP(G6038,제품명!$C$1:$E$114,2,0)</f>
        <v>#N/A</v>
      </c>
      <c r="J6038" s="29">
        <f>'Raw data'!K5947</f>
        <v>0</v>
      </c>
      <c r="K6038" s="31">
        <f>'Raw data'!H5947</f>
        <v>0</v>
      </c>
      <c r="L6038" s="26">
        <f t="shared" si="192"/>
        <v>0</v>
      </c>
    </row>
    <row r="6039" spans="2:12">
      <c r="B6039" s="4" t="e">
        <f t="shared" si="191"/>
        <v>#N/A</v>
      </c>
      <c r="C6039" s="4">
        <f>'Raw data'!E5615</f>
        <v>0</v>
      </c>
      <c r="D6039" s="29" t="e">
        <f>VLOOKUP(C6039,'점포코드 '!A:B,2,0)</f>
        <v>#N/A</v>
      </c>
      <c r="E6039" s="30">
        <f>'Raw data'!P5615</f>
        <v>0</v>
      </c>
      <c r="F6039" s="29" t="e">
        <f>VLOOKUP(E6039,'점포코드 '!A:B,2,0)</f>
        <v>#N/A</v>
      </c>
      <c r="G6039" s="46">
        <f>'Raw data'!F5948</f>
        <v>0</v>
      </c>
      <c r="H6039" s="4">
        <f>'Raw data'!G5948</f>
        <v>0</v>
      </c>
      <c r="I6039" s="29" t="e">
        <f>VLOOKUP(G6039,제품명!$C$1:$E$114,2,0)</f>
        <v>#N/A</v>
      </c>
      <c r="J6039" s="29">
        <f>'Raw data'!K5948</f>
        <v>0</v>
      </c>
      <c r="K6039" s="31">
        <f>'Raw data'!H5948</f>
        <v>0</v>
      </c>
      <c r="L6039" s="26">
        <f t="shared" si="192"/>
        <v>0</v>
      </c>
    </row>
    <row r="6040" spans="2:12">
      <c r="B6040" s="4" t="e">
        <f t="shared" si="191"/>
        <v>#N/A</v>
      </c>
      <c r="C6040" s="4">
        <f>'Raw data'!E5616</f>
        <v>0</v>
      </c>
      <c r="D6040" s="29" t="e">
        <f>VLOOKUP(C6040,'점포코드 '!A:B,2,0)</f>
        <v>#N/A</v>
      </c>
      <c r="E6040" s="30">
        <f>'Raw data'!P5616</f>
        <v>0</v>
      </c>
      <c r="F6040" s="29" t="e">
        <f>VLOOKUP(E6040,'점포코드 '!A:B,2,0)</f>
        <v>#N/A</v>
      </c>
      <c r="G6040" s="46">
        <f>'Raw data'!F5949</f>
        <v>0</v>
      </c>
      <c r="H6040" s="4">
        <f>'Raw data'!G5949</f>
        <v>0</v>
      </c>
      <c r="I6040" s="29" t="e">
        <f>VLOOKUP(G6040,제품명!$C$1:$E$114,2,0)</f>
        <v>#N/A</v>
      </c>
      <c r="J6040" s="29">
        <f>'Raw data'!K5949</f>
        <v>0</v>
      </c>
      <c r="K6040" s="31">
        <f>'Raw data'!H5949</f>
        <v>0</v>
      </c>
      <c r="L6040" s="26">
        <f t="shared" si="192"/>
        <v>0</v>
      </c>
    </row>
    <row r="6041" spans="2:12">
      <c r="B6041" s="4" t="e">
        <f t="shared" si="191"/>
        <v>#N/A</v>
      </c>
      <c r="C6041" s="4">
        <f>'Raw data'!E5617</f>
        <v>0</v>
      </c>
      <c r="D6041" s="29" t="e">
        <f>VLOOKUP(C6041,'점포코드 '!A:B,2,0)</f>
        <v>#N/A</v>
      </c>
      <c r="E6041" s="30">
        <f>'Raw data'!P5617</f>
        <v>0</v>
      </c>
      <c r="F6041" s="29" t="e">
        <f>VLOOKUP(E6041,'점포코드 '!A:B,2,0)</f>
        <v>#N/A</v>
      </c>
      <c r="G6041" s="46">
        <f>'Raw data'!F5950</f>
        <v>0</v>
      </c>
      <c r="H6041" s="4">
        <f>'Raw data'!G5950</f>
        <v>0</v>
      </c>
      <c r="I6041" s="29" t="e">
        <f>VLOOKUP(G6041,제품명!$C$1:$E$114,2,0)</f>
        <v>#N/A</v>
      </c>
      <c r="J6041" s="29">
        <f>'Raw data'!K5950</f>
        <v>0</v>
      </c>
      <c r="K6041" s="31">
        <f>'Raw data'!H5950</f>
        <v>0</v>
      </c>
      <c r="L6041" s="26">
        <f t="shared" si="192"/>
        <v>0</v>
      </c>
    </row>
    <row r="6042" spans="2:12">
      <c r="B6042" s="4" t="e">
        <f t="shared" si="191"/>
        <v>#N/A</v>
      </c>
      <c r="C6042" s="4">
        <f>'Raw data'!E5618</f>
        <v>0</v>
      </c>
      <c r="D6042" s="29" t="e">
        <f>VLOOKUP(C6042,'점포코드 '!A:B,2,0)</f>
        <v>#N/A</v>
      </c>
      <c r="E6042" s="30">
        <f>'Raw data'!P5618</f>
        <v>0</v>
      </c>
      <c r="F6042" s="29" t="e">
        <f>VLOOKUP(E6042,'점포코드 '!A:B,2,0)</f>
        <v>#N/A</v>
      </c>
      <c r="G6042" s="46">
        <f>'Raw data'!F5951</f>
        <v>0</v>
      </c>
      <c r="H6042" s="4">
        <f>'Raw data'!G5951</f>
        <v>0</v>
      </c>
      <c r="I6042" s="29" t="e">
        <f>VLOOKUP(G6042,제품명!$C$1:$E$114,2,0)</f>
        <v>#N/A</v>
      </c>
      <c r="J6042" s="29">
        <f>'Raw data'!K5951</f>
        <v>0</v>
      </c>
      <c r="K6042" s="31">
        <f>'Raw data'!H5951</f>
        <v>0</v>
      </c>
      <c r="L6042" s="26">
        <f t="shared" si="192"/>
        <v>0</v>
      </c>
    </row>
    <row r="6043" spans="2:12">
      <c r="B6043" s="4" t="e">
        <f t="shared" si="191"/>
        <v>#N/A</v>
      </c>
      <c r="C6043" s="4">
        <f>'Raw data'!E5619</f>
        <v>0</v>
      </c>
      <c r="D6043" s="29" t="e">
        <f>VLOOKUP(C6043,'점포코드 '!A:B,2,0)</f>
        <v>#N/A</v>
      </c>
      <c r="E6043" s="30">
        <f>'Raw data'!P5619</f>
        <v>0</v>
      </c>
      <c r="F6043" s="29" t="e">
        <f>VLOOKUP(E6043,'점포코드 '!A:B,2,0)</f>
        <v>#N/A</v>
      </c>
      <c r="G6043" s="46">
        <f>'Raw data'!F5952</f>
        <v>0</v>
      </c>
      <c r="H6043" s="4">
        <f>'Raw data'!G5952</f>
        <v>0</v>
      </c>
      <c r="I6043" s="29" t="e">
        <f>VLOOKUP(G6043,제품명!$C$1:$E$114,2,0)</f>
        <v>#N/A</v>
      </c>
      <c r="J6043" s="29">
        <f>'Raw data'!K5952</f>
        <v>0</v>
      </c>
      <c r="K6043" s="31">
        <f>'Raw data'!H5952</f>
        <v>0</v>
      </c>
      <c r="L6043" s="26">
        <f t="shared" si="192"/>
        <v>0</v>
      </c>
    </row>
    <row r="6044" spans="2:12">
      <c r="B6044" s="4" t="e">
        <f t="shared" si="191"/>
        <v>#N/A</v>
      </c>
      <c r="C6044" s="4">
        <f>'Raw data'!E5620</f>
        <v>0</v>
      </c>
      <c r="D6044" s="29" t="e">
        <f>VLOOKUP(C6044,'점포코드 '!A:B,2,0)</f>
        <v>#N/A</v>
      </c>
      <c r="E6044" s="30">
        <f>'Raw data'!P5620</f>
        <v>0</v>
      </c>
      <c r="F6044" s="29" t="e">
        <f>VLOOKUP(E6044,'점포코드 '!A:B,2,0)</f>
        <v>#N/A</v>
      </c>
      <c r="G6044" s="46">
        <f>'Raw data'!F5953</f>
        <v>0</v>
      </c>
      <c r="H6044" s="4">
        <f>'Raw data'!G5953</f>
        <v>0</v>
      </c>
      <c r="I6044" s="29" t="e">
        <f>VLOOKUP(G6044,제품명!$C$1:$E$114,2,0)</f>
        <v>#N/A</v>
      </c>
      <c r="J6044" s="29">
        <f>'Raw data'!K5953</f>
        <v>0</v>
      </c>
      <c r="K6044" s="31">
        <f>'Raw data'!H5953</f>
        <v>0</v>
      </c>
      <c r="L6044" s="26">
        <f t="shared" si="192"/>
        <v>0</v>
      </c>
    </row>
    <row r="6045" spans="2:12">
      <c r="B6045" s="4" t="e">
        <f t="shared" si="191"/>
        <v>#N/A</v>
      </c>
      <c r="C6045" s="4">
        <f>'Raw data'!E5621</f>
        <v>0</v>
      </c>
      <c r="D6045" s="29" t="e">
        <f>VLOOKUP(C6045,'점포코드 '!A:B,2,0)</f>
        <v>#N/A</v>
      </c>
      <c r="E6045" s="30">
        <f>'Raw data'!P5621</f>
        <v>0</v>
      </c>
      <c r="F6045" s="29" t="e">
        <f>VLOOKUP(E6045,'점포코드 '!A:B,2,0)</f>
        <v>#N/A</v>
      </c>
      <c r="G6045" s="46">
        <f>'Raw data'!F5954</f>
        <v>0</v>
      </c>
      <c r="H6045" s="4">
        <f>'Raw data'!G5954</f>
        <v>0</v>
      </c>
      <c r="I6045" s="29" t="e">
        <f>VLOOKUP(G6045,제품명!$C$1:$E$114,2,0)</f>
        <v>#N/A</v>
      </c>
      <c r="J6045" s="29">
        <f>'Raw data'!K5954</f>
        <v>0</v>
      </c>
      <c r="K6045" s="31">
        <f>'Raw data'!H5954</f>
        <v>0</v>
      </c>
      <c r="L6045" s="26">
        <f t="shared" si="192"/>
        <v>0</v>
      </c>
    </row>
    <row r="6046" spans="2:12">
      <c r="B6046" s="4" t="e">
        <f t="shared" si="191"/>
        <v>#N/A</v>
      </c>
      <c r="C6046" s="4">
        <f>'Raw data'!E5622</f>
        <v>0</v>
      </c>
      <c r="D6046" s="29" t="e">
        <f>VLOOKUP(C6046,'점포코드 '!A:B,2,0)</f>
        <v>#N/A</v>
      </c>
      <c r="E6046" s="30">
        <f>'Raw data'!P5622</f>
        <v>0</v>
      </c>
      <c r="F6046" s="29" t="e">
        <f>VLOOKUP(E6046,'점포코드 '!A:B,2,0)</f>
        <v>#N/A</v>
      </c>
      <c r="G6046" s="46">
        <f>'Raw data'!F5955</f>
        <v>0</v>
      </c>
      <c r="H6046" s="4">
        <f>'Raw data'!G5955</f>
        <v>0</v>
      </c>
      <c r="I6046" s="29" t="e">
        <f>VLOOKUP(G6046,제품명!$C$1:$E$114,2,0)</f>
        <v>#N/A</v>
      </c>
      <c r="J6046" s="29">
        <f>'Raw data'!K5955</f>
        <v>0</v>
      </c>
      <c r="K6046" s="31">
        <f>'Raw data'!H5955</f>
        <v>0</v>
      </c>
      <c r="L6046" s="26">
        <f t="shared" si="192"/>
        <v>0</v>
      </c>
    </row>
    <row r="6047" spans="2:12">
      <c r="B6047" s="4" t="e">
        <f t="shared" si="191"/>
        <v>#N/A</v>
      </c>
      <c r="C6047" s="4">
        <f>'Raw data'!E5623</f>
        <v>0</v>
      </c>
      <c r="D6047" s="29" t="e">
        <f>VLOOKUP(C6047,'점포코드 '!A:B,2,0)</f>
        <v>#N/A</v>
      </c>
      <c r="E6047" s="30">
        <f>'Raw data'!P5623</f>
        <v>0</v>
      </c>
      <c r="F6047" s="29" t="e">
        <f>VLOOKUP(E6047,'점포코드 '!A:B,2,0)</f>
        <v>#N/A</v>
      </c>
      <c r="G6047" s="46">
        <f>'Raw data'!F5956</f>
        <v>0</v>
      </c>
      <c r="H6047" s="4">
        <f>'Raw data'!G5956</f>
        <v>0</v>
      </c>
      <c r="I6047" s="29" t="e">
        <f>VLOOKUP(G6047,제품명!$C$1:$E$114,2,0)</f>
        <v>#N/A</v>
      </c>
      <c r="J6047" s="29">
        <f>'Raw data'!K5956</f>
        <v>0</v>
      </c>
      <c r="K6047" s="31">
        <f>'Raw data'!H5956</f>
        <v>0</v>
      </c>
      <c r="L6047" s="26">
        <f t="shared" si="192"/>
        <v>0</v>
      </c>
    </row>
    <row r="6048" spans="2:12">
      <c r="B6048" s="4" t="e">
        <f t="shared" si="191"/>
        <v>#N/A</v>
      </c>
      <c r="C6048" s="4">
        <f>'Raw data'!E5624</f>
        <v>0</v>
      </c>
      <c r="D6048" s="29" t="e">
        <f>VLOOKUP(C6048,'점포코드 '!A:B,2,0)</f>
        <v>#N/A</v>
      </c>
      <c r="E6048" s="30">
        <f>'Raw data'!P5624</f>
        <v>0</v>
      </c>
      <c r="F6048" s="29" t="e">
        <f>VLOOKUP(E6048,'점포코드 '!A:B,2,0)</f>
        <v>#N/A</v>
      </c>
      <c r="G6048" s="46">
        <f>'Raw data'!F5957</f>
        <v>0</v>
      </c>
      <c r="H6048" s="4">
        <f>'Raw data'!G5957</f>
        <v>0</v>
      </c>
      <c r="I6048" s="29" t="e">
        <f>VLOOKUP(G6048,제품명!$C$1:$E$114,2,0)</f>
        <v>#N/A</v>
      </c>
      <c r="J6048" s="29">
        <f>'Raw data'!K5957</f>
        <v>0</v>
      </c>
      <c r="K6048" s="31">
        <f>'Raw data'!H5957</f>
        <v>0</v>
      </c>
      <c r="L6048" s="26">
        <f t="shared" si="192"/>
        <v>0</v>
      </c>
    </row>
    <row r="6049" spans="2:12">
      <c r="B6049" s="4" t="e">
        <f t="shared" si="191"/>
        <v>#N/A</v>
      </c>
      <c r="C6049" s="4">
        <f>'Raw data'!E5625</f>
        <v>0</v>
      </c>
      <c r="D6049" s="29" t="e">
        <f>VLOOKUP(C6049,'점포코드 '!A:B,2,0)</f>
        <v>#N/A</v>
      </c>
      <c r="E6049" s="30">
        <f>'Raw data'!P5625</f>
        <v>0</v>
      </c>
      <c r="F6049" s="29" t="e">
        <f>VLOOKUP(E6049,'점포코드 '!A:B,2,0)</f>
        <v>#N/A</v>
      </c>
      <c r="G6049" s="46">
        <f>'Raw data'!F5958</f>
        <v>0</v>
      </c>
      <c r="H6049" s="4">
        <f>'Raw data'!G5958</f>
        <v>0</v>
      </c>
      <c r="I6049" s="29" t="e">
        <f>VLOOKUP(G6049,제품명!$C$1:$E$114,2,0)</f>
        <v>#N/A</v>
      </c>
      <c r="J6049" s="29">
        <f>'Raw data'!K5958</f>
        <v>0</v>
      </c>
      <c r="K6049" s="31">
        <f>'Raw data'!H5958</f>
        <v>0</v>
      </c>
      <c r="L6049" s="26">
        <f t="shared" si="192"/>
        <v>0</v>
      </c>
    </row>
    <row r="6050" spans="2:12">
      <c r="B6050" s="4" t="e">
        <f t="shared" si="191"/>
        <v>#N/A</v>
      </c>
      <c r="C6050" s="4">
        <f>'Raw data'!E5626</f>
        <v>0</v>
      </c>
      <c r="D6050" s="29" t="e">
        <f>VLOOKUP(C6050,'점포코드 '!A:B,2,0)</f>
        <v>#N/A</v>
      </c>
      <c r="E6050" s="30">
        <f>'Raw data'!P5626</f>
        <v>0</v>
      </c>
      <c r="F6050" s="29" t="e">
        <f>VLOOKUP(E6050,'점포코드 '!A:B,2,0)</f>
        <v>#N/A</v>
      </c>
      <c r="G6050" s="46">
        <f>'Raw data'!F5959</f>
        <v>0</v>
      </c>
      <c r="H6050" s="4">
        <f>'Raw data'!G5959</f>
        <v>0</v>
      </c>
      <c r="I6050" s="29" t="e">
        <f>VLOOKUP(G6050,제품명!$C$1:$E$114,2,0)</f>
        <v>#N/A</v>
      </c>
      <c r="J6050" s="29">
        <f>'Raw data'!K5959</f>
        <v>0</v>
      </c>
      <c r="K6050" s="31">
        <f>'Raw data'!H5959</f>
        <v>0</v>
      </c>
      <c r="L6050" s="26">
        <f t="shared" si="192"/>
        <v>0</v>
      </c>
    </row>
    <row r="6051" spans="2:12">
      <c r="B6051" s="4" t="e">
        <f t="shared" si="191"/>
        <v>#N/A</v>
      </c>
      <c r="C6051" s="4">
        <f>'Raw data'!E5627</f>
        <v>0</v>
      </c>
      <c r="D6051" s="29" t="e">
        <f>VLOOKUP(C6051,'점포코드 '!A:B,2,0)</f>
        <v>#N/A</v>
      </c>
      <c r="E6051" s="30">
        <f>'Raw data'!P5627</f>
        <v>0</v>
      </c>
      <c r="F6051" s="29" t="e">
        <f>VLOOKUP(E6051,'점포코드 '!A:B,2,0)</f>
        <v>#N/A</v>
      </c>
      <c r="G6051" s="46">
        <f>'Raw data'!F5960</f>
        <v>0</v>
      </c>
      <c r="H6051" s="4">
        <f>'Raw data'!G5960</f>
        <v>0</v>
      </c>
      <c r="I6051" s="29" t="e">
        <f>VLOOKUP(G6051,제품명!$C$1:$E$114,2,0)</f>
        <v>#N/A</v>
      </c>
      <c r="J6051" s="29">
        <f>'Raw data'!K5960</f>
        <v>0</v>
      </c>
      <c r="K6051" s="31">
        <f>'Raw data'!H5960</f>
        <v>0</v>
      </c>
      <c r="L6051" s="26">
        <f t="shared" si="192"/>
        <v>0</v>
      </c>
    </row>
    <row r="6052" spans="2:12">
      <c r="B6052" s="4" t="e">
        <f t="shared" si="191"/>
        <v>#N/A</v>
      </c>
      <c r="C6052" s="4">
        <f>'Raw data'!E5628</f>
        <v>0</v>
      </c>
      <c r="D6052" s="29" t="e">
        <f>VLOOKUP(C6052,'점포코드 '!A:B,2,0)</f>
        <v>#N/A</v>
      </c>
      <c r="E6052" s="30">
        <f>'Raw data'!P5628</f>
        <v>0</v>
      </c>
      <c r="F6052" s="29" t="e">
        <f>VLOOKUP(E6052,'점포코드 '!A:B,2,0)</f>
        <v>#N/A</v>
      </c>
      <c r="G6052" s="46">
        <f>'Raw data'!F5961</f>
        <v>0</v>
      </c>
      <c r="H6052" s="4">
        <f>'Raw data'!G5961</f>
        <v>0</v>
      </c>
      <c r="I6052" s="29" t="e">
        <f>VLOOKUP(G6052,제품명!$C$1:$E$114,2,0)</f>
        <v>#N/A</v>
      </c>
      <c r="J6052" s="29">
        <f>'Raw data'!K5961</f>
        <v>0</v>
      </c>
      <c r="K6052" s="31">
        <f>'Raw data'!H5961</f>
        <v>0</v>
      </c>
      <c r="L6052" s="26">
        <f t="shared" si="192"/>
        <v>0</v>
      </c>
    </row>
    <row r="6053" spans="2:12">
      <c r="B6053" s="4" t="e">
        <f t="shared" si="191"/>
        <v>#N/A</v>
      </c>
      <c r="C6053" s="4">
        <f>'Raw data'!E5629</f>
        <v>0</v>
      </c>
      <c r="D6053" s="29" t="e">
        <f>VLOOKUP(C6053,'점포코드 '!A:B,2,0)</f>
        <v>#N/A</v>
      </c>
      <c r="E6053" s="30">
        <f>'Raw data'!P5629</f>
        <v>0</v>
      </c>
      <c r="F6053" s="29" t="e">
        <f>VLOOKUP(E6053,'점포코드 '!A:B,2,0)</f>
        <v>#N/A</v>
      </c>
      <c r="G6053" s="46">
        <f>'Raw data'!F5962</f>
        <v>0</v>
      </c>
      <c r="H6053" s="4">
        <f>'Raw data'!G5962</f>
        <v>0</v>
      </c>
      <c r="I6053" s="29" t="e">
        <f>VLOOKUP(G6053,제품명!$C$1:$E$114,2,0)</f>
        <v>#N/A</v>
      </c>
      <c r="J6053" s="29">
        <f>'Raw data'!K5962</f>
        <v>0</v>
      </c>
      <c r="K6053" s="31">
        <f>'Raw data'!H5962</f>
        <v>0</v>
      </c>
      <c r="L6053" s="26">
        <f t="shared" si="192"/>
        <v>0</v>
      </c>
    </row>
    <row r="6054" spans="2:12">
      <c r="B6054" s="4" t="e">
        <f t="shared" si="191"/>
        <v>#N/A</v>
      </c>
      <c r="C6054" s="4">
        <f>'Raw data'!E5630</f>
        <v>0</v>
      </c>
      <c r="D6054" s="29" t="e">
        <f>VLOOKUP(C6054,'점포코드 '!A:B,2,0)</f>
        <v>#N/A</v>
      </c>
      <c r="E6054" s="30">
        <f>'Raw data'!P5630</f>
        <v>0</v>
      </c>
      <c r="F6054" s="29" t="e">
        <f>VLOOKUP(E6054,'점포코드 '!A:B,2,0)</f>
        <v>#N/A</v>
      </c>
      <c r="G6054" s="46">
        <f>'Raw data'!F5963</f>
        <v>0</v>
      </c>
      <c r="H6054" s="4">
        <f>'Raw data'!G5963</f>
        <v>0</v>
      </c>
      <c r="I6054" s="29" t="e">
        <f>VLOOKUP(G6054,제품명!$C$1:$E$114,2,0)</f>
        <v>#N/A</v>
      </c>
      <c r="J6054" s="29">
        <f>'Raw data'!K5963</f>
        <v>0</v>
      </c>
      <c r="K6054" s="31">
        <f>'Raw data'!H5963</f>
        <v>0</v>
      </c>
      <c r="L6054" s="26">
        <f t="shared" si="192"/>
        <v>0</v>
      </c>
    </row>
    <row r="6055" spans="2:12">
      <c r="B6055" s="4" t="e">
        <f t="shared" si="191"/>
        <v>#N/A</v>
      </c>
      <c r="C6055" s="4">
        <f>'Raw data'!E5631</f>
        <v>0</v>
      </c>
      <c r="D6055" s="29" t="e">
        <f>VLOOKUP(C6055,'점포코드 '!A:B,2,0)</f>
        <v>#N/A</v>
      </c>
      <c r="E6055" s="30">
        <f>'Raw data'!P5631</f>
        <v>0</v>
      </c>
      <c r="F6055" s="29" t="e">
        <f>VLOOKUP(E6055,'점포코드 '!A:B,2,0)</f>
        <v>#N/A</v>
      </c>
      <c r="G6055" s="46">
        <f>'Raw data'!F5964</f>
        <v>0</v>
      </c>
      <c r="H6055" s="4">
        <f>'Raw data'!G5964</f>
        <v>0</v>
      </c>
      <c r="I6055" s="29" t="e">
        <f>VLOOKUP(G6055,제품명!$C$1:$E$114,2,0)</f>
        <v>#N/A</v>
      </c>
      <c r="J6055" s="29">
        <f>'Raw data'!K5964</f>
        <v>0</v>
      </c>
      <c r="K6055" s="31">
        <f>'Raw data'!H5964</f>
        <v>0</v>
      </c>
      <c r="L6055" s="26">
        <f t="shared" si="192"/>
        <v>0</v>
      </c>
    </row>
    <row r="6056" spans="2:12">
      <c r="B6056" s="4" t="e">
        <f t="shared" si="191"/>
        <v>#N/A</v>
      </c>
      <c r="C6056" s="4">
        <f>'Raw data'!E5632</f>
        <v>0</v>
      </c>
      <c r="D6056" s="29" t="e">
        <f>VLOOKUP(C6056,'점포코드 '!A:B,2,0)</f>
        <v>#N/A</v>
      </c>
      <c r="E6056" s="30">
        <f>'Raw data'!P5632</f>
        <v>0</v>
      </c>
      <c r="F6056" s="29" t="e">
        <f>VLOOKUP(E6056,'점포코드 '!A:B,2,0)</f>
        <v>#N/A</v>
      </c>
      <c r="G6056" s="46">
        <f>'Raw data'!F5965</f>
        <v>0</v>
      </c>
      <c r="H6056" s="4">
        <f>'Raw data'!G5965</f>
        <v>0</v>
      </c>
      <c r="I6056" s="29" t="e">
        <f>VLOOKUP(G6056,제품명!$C$1:$E$114,2,0)</f>
        <v>#N/A</v>
      </c>
      <c r="J6056" s="29">
        <f>'Raw data'!K5965</f>
        <v>0</v>
      </c>
      <c r="K6056" s="31">
        <f>'Raw data'!H5965</f>
        <v>0</v>
      </c>
      <c r="L6056" s="26">
        <f t="shared" si="192"/>
        <v>0</v>
      </c>
    </row>
    <row r="6057" spans="2:12">
      <c r="B6057" s="4" t="e">
        <f t="shared" si="191"/>
        <v>#N/A</v>
      </c>
      <c r="C6057" s="4">
        <f>'Raw data'!E5633</f>
        <v>0</v>
      </c>
      <c r="D6057" s="29" t="e">
        <f>VLOOKUP(C6057,'점포코드 '!A:B,2,0)</f>
        <v>#N/A</v>
      </c>
      <c r="E6057" s="30">
        <f>'Raw data'!P5633</f>
        <v>0</v>
      </c>
      <c r="F6057" s="29" t="e">
        <f>VLOOKUP(E6057,'점포코드 '!A:B,2,0)</f>
        <v>#N/A</v>
      </c>
      <c r="G6057" s="46">
        <f>'Raw data'!F5966</f>
        <v>0</v>
      </c>
      <c r="H6057" s="4">
        <f>'Raw data'!G5966</f>
        <v>0</v>
      </c>
      <c r="I6057" s="29" t="e">
        <f>VLOOKUP(G6057,제품명!$C$1:$E$114,2,0)</f>
        <v>#N/A</v>
      </c>
      <c r="J6057" s="29">
        <f>'Raw data'!K5966</f>
        <v>0</v>
      </c>
      <c r="K6057" s="31">
        <f>'Raw data'!H5966</f>
        <v>0</v>
      </c>
      <c r="L6057" s="26">
        <f t="shared" si="192"/>
        <v>0</v>
      </c>
    </row>
    <row r="6058" spans="2:12">
      <c r="B6058" s="4" t="e">
        <f t="shared" si="191"/>
        <v>#N/A</v>
      </c>
      <c r="C6058" s="4">
        <f>'Raw data'!E5634</f>
        <v>0</v>
      </c>
      <c r="D6058" s="29" t="e">
        <f>VLOOKUP(C6058,'점포코드 '!A:B,2,0)</f>
        <v>#N/A</v>
      </c>
      <c r="E6058" s="30">
        <f>'Raw data'!P5634</f>
        <v>0</v>
      </c>
      <c r="F6058" s="29" t="e">
        <f>VLOOKUP(E6058,'점포코드 '!A:B,2,0)</f>
        <v>#N/A</v>
      </c>
      <c r="G6058" s="46">
        <f>'Raw data'!F5967</f>
        <v>0</v>
      </c>
      <c r="H6058" s="4">
        <f>'Raw data'!G5967</f>
        <v>0</v>
      </c>
      <c r="I6058" s="29" t="e">
        <f>VLOOKUP(G6058,제품명!$C$1:$E$114,2,0)</f>
        <v>#N/A</v>
      </c>
      <c r="J6058" s="29">
        <f>'Raw data'!K5967</f>
        <v>0</v>
      </c>
      <c r="K6058" s="31">
        <f>'Raw data'!H5967</f>
        <v>0</v>
      </c>
      <c r="L6058" s="26">
        <f t="shared" si="192"/>
        <v>0</v>
      </c>
    </row>
    <row r="6059" spans="2:12">
      <c r="B6059" s="4" t="e">
        <f t="shared" si="191"/>
        <v>#N/A</v>
      </c>
      <c r="C6059" s="4">
        <f>'Raw data'!E5635</f>
        <v>0</v>
      </c>
      <c r="D6059" s="29" t="e">
        <f>VLOOKUP(C6059,'점포코드 '!A:B,2,0)</f>
        <v>#N/A</v>
      </c>
      <c r="E6059" s="30">
        <f>'Raw data'!P5635</f>
        <v>0</v>
      </c>
      <c r="F6059" s="29" t="e">
        <f>VLOOKUP(E6059,'점포코드 '!A:B,2,0)</f>
        <v>#N/A</v>
      </c>
      <c r="G6059" s="46">
        <f>'Raw data'!F5968</f>
        <v>0</v>
      </c>
      <c r="H6059" s="4">
        <f>'Raw data'!G5968</f>
        <v>0</v>
      </c>
      <c r="I6059" s="29" t="e">
        <f>VLOOKUP(G6059,제품명!$C$1:$E$114,2,0)</f>
        <v>#N/A</v>
      </c>
      <c r="J6059" s="29">
        <f>'Raw data'!K5968</f>
        <v>0</v>
      </c>
      <c r="K6059" s="31">
        <f>'Raw data'!H5968</f>
        <v>0</v>
      </c>
      <c r="L6059" s="26">
        <f t="shared" si="192"/>
        <v>0</v>
      </c>
    </row>
    <row r="6060" spans="2:12">
      <c r="B6060" s="4" t="e">
        <f t="shared" si="191"/>
        <v>#N/A</v>
      </c>
      <c r="C6060" s="4">
        <f>'Raw data'!E5636</f>
        <v>0</v>
      </c>
      <c r="D6060" s="29" t="e">
        <f>VLOOKUP(C6060,'점포코드 '!A:B,2,0)</f>
        <v>#N/A</v>
      </c>
      <c r="E6060" s="30">
        <f>'Raw data'!P5636</f>
        <v>0</v>
      </c>
      <c r="F6060" s="29" t="e">
        <f>VLOOKUP(E6060,'점포코드 '!A:B,2,0)</f>
        <v>#N/A</v>
      </c>
      <c r="G6060" s="46">
        <f>'Raw data'!F5969</f>
        <v>0</v>
      </c>
      <c r="H6060" s="4">
        <f>'Raw data'!G5969</f>
        <v>0</v>
      </c>
      <c r="I6060" s="29" t="e">
        <f>VLOOKUP(G6060,제품명!$C$1:$E$114,2,0)</f>
        <v>#N/A</v>
      </c>
      <c r="J6060" s="29">
        <f>'Raw data'!K5969</f>
        <v>0</v>
      </c>
      <c r="K6060" s="31">
        <f>'Raw data'!H5969</f>
        <v>0</v>
      </c>
      <c r="L6060" s="26">
        <f t="shared" si="192"/>
        <v>0</v>
      </c>
    </row>
    <row r="6061" spans="2:12">
      <c r="B6061" s="4" t="e">
        <f t="shared" si="191"/>
        <v>#N/A</v>
      </c>
      <c r="C6061" s="4">
        <f>'Raw data'!E5637</f>
        <v>0</v>
      </c>
      <c r="D6061" s="29" t="e">
        <f>VLOOKUP(C6061,'점포코드 '!A:B,2,0)</f>
        <v>#N/A</v>
      </c>
      <c r="E6061" s="30">
        <f>'Raw data'!P5637</f>
        <v>0</v>
      </c>
      <c r="F6061" s="29" t="e">
        <f>VLOOKUP(E6061,'점포코드 '!A:B,2,0)</f>
        <v>#N/A</v>
      </c>
      <c r="G6061" s="46">
        <f>'Raw data'!F5970</f>
        <v>0</v>
      </c>
      <c r="H6061" s="4">
        <f>'Raw data'!G5970</f>
        <v>0</v>
      </c>
      <c r="I6061" s="29" t="e">
        <f>VLOOKUP(G6061,제품명!$C$1:$E$114,2,0)</f>
        <v>#N/A</v>
      </c>
      <c r="J6061" s="29">
        <f>'Raw data'!K5970</f>
        <v>0</v>
      </c>
      <c r="K6061" s="31">
        <f>'Raw data'!H5970</f>
        <v>0</v>
      </c>
      <c r="L6061" s="26">
        <f t="shared" si="192"/>
        <v>0</v>
      </c>
    </row>
    <row r="6062" spans="2:12">
      <c r="B6062" s="4" t="e">
        <f t="shared" si="191"/>
        <v>#N/A</v>
      </c>
      <c r="C6062" s="4">
        <f>'Raw data'!E5638</f>
        <v>0</v>
      </c>
      <c r="D6062" s="29" t="e">
        <f>VLOOKUP(C6062,'점포코드 '!A:B,2,0)</f>
        <v>#N/A</v>
      </c>
      <c r="E6062" s="30">
        <f>'Raw data'!P5638</f>
        <v>0</v>
      </c>
      <c r="F6062" s="29" t="e">
        <f>VLOOKUP(E6062,'점포코드 '!A:B,2,0)</f>
        <v>#N/A</v>
      </c>
      <c r="G6062" s="46">
        <f>'Raw data'!F5971</f>
        <v>0</v>
      </c>
      <c r="H6062" s="4">
        <f>'Raw data'!G5971</f>
        <v>0</v>
      </c>
      <c r="I6062" s="29" t="e">
        <f>VLOOKUP(G6062,제품명!$C$1:$E$114,2,0)</f>
        <v>#N/A</v>
      </c>
      <c r="J6062" s="29">
        <f>'Raw data'!K5971</f>
        <v>0</v>
      </c>
      <c r="K6062" s="31">
        <f>'Raw data'!H5971</f>
        <v>0</v>
      </c>
      <c r="L6062" s="26">
        <f t="shared" si="192"/>
        <v>0</v>
      </c>
    </row>
    <row r="6063" spans="2:12">
      <c r="B6063" s="4" t="e">
        <f t="shared" si="191"/>
        <v>#N/A</v>
      </c>
      <c r="C6063" s="4">
        <f>'Raw data'!E5639</f>
        <v>0</v>
      </c>
      <c r="D6063" s="29" t="e">
        <f>VLOOKUP(C6063,'점포코드 '!A:B,2,0)</f>
        <v>#N/A</v>
      </c>
      <c r="E6063" s="30">
        <f>'Raw data'!P5639</f>
        <v>0</v>
      </c>
      <c r="F6063" s="29" t="e">
        <f>VLOOKUP(E6063,'점포코드 '!A:B,2,0)</f>
        <v>#N/A</v>
      </c>
      <c r="G6063" s="46">
        <f>'Raw data'!F5972</f>
        <v>0</v>
      </c>
      <c r="H6063" s="4">
        <f>'Raw data'!G5972</f>
        <v>0</v>
      </c>
      <c r="I6063" s="29" t="e">
        <f>VLOOKUP(G6063,제품명!$C$1:$E$114,2,0)</f>
        <v>#N/A</v>
      </c>
      <c r="J6063" s="29">
        <f>'Raw data'!K5972</f>
        <v>0</v>
      </c>
      <c r="K6063" s="31">
        <f>'Raw data'!H5972</f>
        <v>0</v>
      </c>
      <c r="L6063" s="26">
        <f t="shared" si="192"/>
        <v>0</v>
      </c>
    </row>
    <row r="6064" spans="2:12">
      <c r="B6064" s="4" t="e">
        <f t="shared" si="191"/>
        <v>#N/A</v>
      </c>
      <c r="C6064" s="4">
        <f>'Raw data'!E5640</f>
        <v>0</v>
      </c>
      <c r="D6064" s="29" t="e">
        <f>VLOOKUP(C6064,'점포코드 '!A:B,2,0)</f>
        <v>#N/A</v>
      </c>
      <c r="E6064" s="30">
        <f>'Raw data'!P5640</f>
        <v>0</v>
      </c>
      <c r="F6064" s="29" t="e">
        <f>VLOOKUP(E6064,'점포코드 '!A:B,2,0)</f>
        <v>#N/A</v>
      </c>
      <c r="G6064" s="46">
        <f>'Raw data'!F5973</f>
        <v>0</v>
      </c>
      <c r="H6064" s="4">
        <f>'Raw data'!G5973</f>
        <v>0</v>
      </c>
      <c r="I6064" s="29" t="e">
        <f>VLOOKUP(G6064,제품명!$C$1:$E$114,2,0)</f>
        <v>#N/A</v>
      </c>
      <c r="J6064" s="29">
        <f>'Raw data'!K5973</f>
        <v>0</v>
      </c>
      <c r="K6064" s="31">
        <f>'Raw data'!H5973</f>
        <v>0</v>
      </c>
      <c r="L6064" s="26">
        <f t="shared" si="192"/>
        <v>0</v>
      </c>
    </row>
    <row r="6065" spans="2:12">
      <c r="B6065" s="4" t="e">
        <f t="shared" si="191"/>
        <v>#N/A</v>
      </c>
      <c r="C6065" s="4">
        <f>'Raw data'!E5641</f>
        <v>0</v>
      </c>
      <c r="D6065" s="29" t="e">
        <f>VLOOKUP(C6065,'점포코드 '!A:B,2,0)</f>
        <v>#N/A</v>
      </c>
      <c r="E6065" s="30">
        <f>'Raw data'!P5641</f>
        <v>0</v>
      </c>
      <c r="F6065" s="29" t="e">
        <f>VLOOKUP(E6065,'점포코드 '!A:B,2,0)</f>
        <v>#N/A</v>
      </c>
      <c r="G6065" s="46">
        <f>'Raw data'!F5974</f>
        <v>0</v>
      </c>
      <c r="H6065" s="4">
        <f>'Raw data'!G5974</f>
        <v>0</v>
      </c>
      <c r="I6065" s="29" t="e">
        <f>VLOOKUP(G6065,제품명!$C$1:$E$114,2,0)</f>
        <v>#N/A</v>
      </c>
      <c r="J6065" s="29">
        <f>'Raw data'!K5974</f>
        <v>0</v>
      </c>
      <c r="K6065" s="31">
        <f>'Raw data'!H5974</f>
        <v>0</v>
      </c>
      <c r="L6065" s="26">
        <f t="shared" si="192"/>
        <v>0</v>
      </c>
    </row>
    <row r="6066" spans="2:12">
      <c r="B6066" s="4" t="e">
        <f t="shared" si="191"/>
        <v>#N/A</v>
      </c>
      <c r="C6066" s="4">
        <f>'Raw data'!E5642</f>
        <v>0</v>
      </c>
      <c r="D6066" s="29" t="e">
        <f>VLOOKUP(C6066,'점포코드 '!A:B,2,0)</f>
        <v>#N/A</v>
      </c>
      <c r="E6066" s="30">
        <f>'Raw data'!P5642</f>
        <v>0</v>
      </c>
      <c r="F6066" s="29" t="e">
        <f>VLOOKUP(E6066,'점포코드 '!A:B,2,0)</f>
        <v>#N/A</v>
      </c>
      <c r="G6066" s="46">
        <f>'Raw data'!F5975</f>
        <v>0</v>
      </c>
      <c r="H6066" s="4">
        <f>'Raw data'!G5975</f>
        <v>0</v>
      </c>
      <c r="I6066" s="29" t="e">
        <f>VLOOKUP(G6066,제품명!$C$1:$E$114,2,0)</f>
        <v>#N/A</v>
      </c>
      <c r="J6066" s="29">
        <f>'Raw data'!K5975</f>
        <v>0</v>
      </c>
      <c r="K6066" s="31">
        <f>'Raw data'!H5975</f>
        <v>0</v>
      </c>
      <c r="L6066" s="26">
        <f t="shared" si="192"/>
        <v>0</v>
      </c>
    </row>
    <row r="6067" spans="2:12">
      <c r="B6067" s="4" t="e">
        <f t="shared" si="191"/>
        <v>#N/A</v>
      </c>
      <c r="C6067" s="4">
        <f>'Raw data'!E5643</f>
        <v>0</v>
      </c>
      <c r="D6067" s="29" t="e">
        <f>VLOOKUP(C6067,'점포코드 '!A:B,2,0)</f>
        <v>#N/A</v>
      </c>
      <c r="E6067" s="30">
        <f>'Raw data'!P5643</f>
        <v>0</v>
      </c>
      <c r="F6067" s="29" t="e">
        <f>VLOOKUP(E6067,'점포코드 '!A:B,2,0)</f>
        <v>#N/A</v>
      </c>
      <c r="G6067" s="46">
        <f>'Raw data'!F5976</f>
        <v>0</v>
      </c>
      <c r="H6067" s="4">
        <f>'Raw data'!G5976</f>
        <v>0</v>
      </c>
      <c r="I6067" s="29" t="e">
        <f>VLOOKUP(G6067,제품명!$C$1:$E$114,2,0)</f>
        <v>#N/A</v>
      </c>
      <c r="J6067" s="29">
        <f>'Raw data'!K5976</f>
        <v>0</v>
      </c>
      <c r="K6067" s="31">
        <f>'Raw data'!H5976</f>
        <v>0</v>
      </c>
      <c r="L6067" s="26">
        <f t="shared" si="192"/>
        <v>0</v>
      </c>
    </row>
    <row r="6068" spans="2:12">
      <c r="B6068" s="4" t="e">
        <f t="shared" si="191"/>
        <v>#N/A</v>
      </c>
      <c r="C6068" s="4">
        <f>'Raw data'!E5644</f>
        <v>0</v>
      </c>
      <c r="D6068" s="29" t="e">
        <f>VLOOKUP(C6068,'점포코드 '!A:B,2,0)</f>
        <v>#N/A</v>
      </c>
      <c r="E6068" s="30">
        <f>'Raw data'!P5644</f>
        <v>0</v>
      </c>
      <c r="F6068" s="29" t="e">
        <f>VLOOKUP(E6068,'점포코드 '!A:B,2,0)</f>
        <v>#N/A</v>
      </c>
      <c r="G6068" s="46">
        <f>'Raw data'!F5977</f>
        <v>0</v>
      </c>
      <c r="H6068" s="4">
        <f>'Raw data'!G5977</f>
        <v>0</v>
      </c>
      <c r="I6068" s="29" t="e">
        <f>VLOOKUP(G6068,제품명!$C$1:$E$114,2,0)</f>
        <v>#N/A</v>
      </c>
      <c r="J6068" s="29">
        <f>'Raw data'!K5977</f>
        <v>0</v>
      </c>
      <c r="K6068" s="31">
        <f>'Raw data'!H5977</f>
        <v>0</v>
      </c>
      <c r="L6068" s="26">
        <f t="shared" si="192"/>
        <v>0</v>
      </c>
    </row>
    <row r="6069" spans="2:12">
      <c r="B6069" s="4" t="e">
        <f t="shared" si="191"/>
        <v>#N/A</v>
      </c>
      <c r="C6069" s="4">
        <f>'Raw data'!E5645</f>
        <v>0</v>
      </c>
      <c r="D6069" s="29" t="e">
        <f>VLOOKUP(C6069,'점포코드 '!A:B,2,0)</f>
        <v>#N/A</v>
      </c>
      <c r="E6069" s="30">
        <f>'Raw data'!P5645</f>
        <v>0</v>
      </c>
      <c r="F6069" s="29" t="e">
        <f>VLOOKUP(E6069,'점포코드 '!A:B,2,0)</f>
        <v>#N/A</v>
      </c>
      <c r="G6069" s="46">
        <f>'Raw data'!F5978</f>
        <v>0</v>
      </c>
      <c r="H6069" s="4">
        <f>'Raw data'!G5978</f>
        <v>0</v>
      </c>
      <c r="I6069" s="29" t="e">
        <f>VLOOKUP(G6069,제품명!$C$1:$E$114,2,0)</f>
        <v>#N/A</v>
      </c>
      <c r="J6069" s="29">
        <f>'Raw data'!K5978</f>
        <v>0</v>
      </c>
      <c r="K6069" s="31">
        <f>'Raw data'!H5978</f>
        <v>0</v>
      </c>
      <c r="L6069" s="26">
        <f t="shared" si="192"/>
        <v>0</v>
      </c>
    </row>
    <row r="6070" spans="2:12">
      <c r="B6070" s="4" t="e">
        <f t="shared" ref="B6070:B6079" si="193">F6070&amp;I6070</f>
        <v>#N/A</v>
      </c>
      <c r="C6070" s="4">
        <f>'Raw data'!E5646</f>
        <v>0</v>
      </c>
      <c r="D6070" s="29" t="e">
        <f>VLOOKUP(C6070,'점포코드 '!A:B,2,0)</f>
        <v>#N/A</v>
      </c>
      <c r="E6070" s="30">
        <f>'Raw data'!P5646</f>
        <v>0</v>
      </c>
      <c r="F6070" s="29" t="e">
        <f>VLOOKUP(E6070,'점포코드 '!A:B,2,0)</f>
        <v>#N/A</v>
      </c>
      <c r="G6070" s="46">
        <f>'Raw data'!F5979</f>
        <v>0</v>
      </c>
      <c r="H6070" s="4">
        <f>'Raw data'!G5979</f>
        <v>0</v>
      </c>
      <c r="I6070" s="29" t="e">
        <f>VLOOKUP(G6070,제품명!$C$1:$E$114,2,0)</f>
        <v>#N/A</v>
      </c>
      <c r="J6070" s="29">
        <f>'Raw data'!K5979</f>
        <v>0</v>
      </c>
      <c r="K6070" s="31">
        <f>'Raw data'!H5979</f>
        <v>0</v>
      </c>
      <c r="L6070" s="26">
        <f t="shared" ref="L6070:L6079" si="194">J6070*K6070</f>
        <v>0</v>
      </c>
    </row>
    <row r="6071" spans="2:12">
      <c r="B6071" s="4" t="e">
        <f t="shared" si="193"/>
        <v>#N/A</v>
      </c>
      <c r="C6071" s="4">
        <f>'Raw data'!E5647</f>
        <v>0</v>
      </c>
      <c r="D6071" s="29" t="e">
        <f>VLOOKUP(C6071,'점포코드 '!A:B,2,0)</f>
        <v>#N/A</v>
      </c>
      <c r="E6071" s="30">
        <f>'Raw data'!P5647</f>
        <v>0</v>
      </c>
      <c r="F6071" s="29" t="e">
        <f>VLOOKUP(E6071,'점포코드 '!A:B,2,0)</f>
        <v>#N/A</v>
      </c>
      <c r="G6071" s="46">
        <f>'Raw data'!F5980</f>
        <v>0</v>
      </c>
      <c r="H6071" s="4">
        <f>'Raw data'!G5980</f>
        <v>0</v>
      </c>
      <c r="I6071" s="29" t="e">
        <f>VLOOKUP(G6071,제품명!$C$1:$E$114,2,0)</f>
        <v>#N/A</v>
      </c>
      <c r="J6071" s="29">
        <f>'Raw data'!K5980</f>
        <v>0</v>
      </c>
      <c r="K6071" s="31">
        <f>'Raw data'!H5980</f>
        <v>0</v>
      </c>
      <c r="L6071" s="26">
        <f t="shared" si="194"/>
        <v>0</v>
      </c>
    </row>
    <row r="6072" spans="2:12">
      <c r="B6072" s="4" t="e">
        <f t="shared" si="193"/>
        <v>#N/A</v>
      </c>
      <c r="C6072" s="4">
        <f>'Raw data'!E5648</f>
        <v>0</v>
      </c>
      <c r="D6072" s="29" t="e">
        <f>VLOOKUP(C6072,'점포코드 '!A:B,2,0)</f>
        <v>#N/A</v>
      </c>
      <c r="E6072" s="30">
        <f>'Raw data'!P5648</f>
        <v>0</v>
      </c>
      <c r="F6072" s="29" t="e">
        <f>VLOOKUP(E6072,'점포코드 '!A:B,2,0)</f>
        <v>#N/A</v>
      </c>
      <c r="G6072" s="46">
        <f>'Raw data'!F5981</f>
        <v>0</v>
      </c>
      <c r="H6072" s="4">
        <f>'Raw data'!G5981</f>
        <v>0</v>
      </c>
      <c r="I6072" s="29" t="e">
        <f>VLOOKUP(G6072,제품명!$C$1:$E$114,2,0)</f>
        <v>#N/A</v>
      </c>
      <c r="J6072" s="29">
        <f>'Raw data'!K5981</f>
        <v>0</v>
      </c>
      <c r="K6072" s="31">
        <f>'Raw data'!H5981</f>
        <v>0</v>
      </c>
      <c r="L6072" s="26">
        <f t="shared" si="194"/>
        <v>0</v>
      </c>
    </row>
    <row r="6073" spans="2:12">
      <c r="B6073" s="4" t="e">
        <f t="shared" si="193"/>
        <v>#N/A</v>
      </c>
      <c r="C6073" s="4">
        <f>'Raw data'!E5649</f>
        <v>0</v>
      </c>
      <c r="D6073" s="29" t="e">
        <f>VLOOKUP(C6073,'점포코드 '!A:B,2,0)</f>
        <v>#N/A</v>
      </c>
      <c r="E6073" s="30">
        <f>'Raw data'!P5649</f>
        <v>0</v>
      </c>
      <c r="F6073" s="29" t="e">
        <f>VLOOKUP(E6073,'점포코드 '!A:B,2,0)</f>
        <v>#N/A</v>
      </c>
      <c r="G6073" s="46">
        <f>'Raw data'!F5982</f>
        <v>0</v>
      </c>
      <c r="H6073" s="4">
        <f>'Raw data'!G5982</f>
        <v>0</v>
      </c>
      <c r="I6073" s="29" t="e">
        <f>VLOOKUP(G6073,제품명!$C$1:$E$114,2,0)</f>
        <v>#N/A</v>
      </c>
      <c r="J6073" s="29">
        <f>'Raw data'!K5982</f>
        <v>0</v>
      </c>
      <c r="K6073" s="31">
        <f>'Raw data'!H5982</f>
        <v>0</v>
      </c>
      <c r="L6073" s="26">
        <f t="shared" si="194"/>
        <v>0</v>
      </c>
    </row>
    <row r="6074" spans="2:12">
      <c r="B6074" s="4" t="e">
        <f t="shared" si="193"/>
        <v>#N/A</v>
      </c>
      <c r="C6074" s="4">
        <f>'Raw data'!E5650</f>
        <v>0</v>
      </c>
      <c r="D6074" s="29" t="e">
        <f>VLOOKUP(C6074,'점포코드 '!A:B,2,0)</f>
        <v>#N/A</v>
      </c>
      <c r="E6074" s="30">
        <f>'Raw data'!P5650</f>
        <v>0</v>
      </c>
      <c r="F6074" s="29" t="e">
        <f>VLOOKUP(E6074,'점포코드 '!A:B,2,0)</f>
        <v>#N/A</v>
      </c>
      <c r="G6074" s="46">
        <f>'Raw data'!F5983</f>
        <v>0</v>
      </c>
      <c r="H6074" s="4">
        <f>'Raw data'!G5983</f>
        <v>0</v>
      </c>
      <c r="I6074" s="29" t="e">
        <f>VLOOKUP(G6074,제품명!$C$1:$E$114,2,0)</f>
        <v>#N/A</v>
      </c>
      <c r="J6074" s="29">
        <f>'Raw data'!K5983</f>
        <v>0</v>
      </c>
      <c r="K6074" s="31">
        <f>'Raw data'!H5983</f>
        <v>0</v>
      </c>
      <c r="L6074" s="26">
        <f t="shared" si="194"/>
        <v>0</v>
      </c>
    </row>
    <row r="6075" spans="2:12">
      <c r="B6075" s="4" t="e">
        <f t="shared" si="193"/>
        <v>#N/A</v>
      </c>
      <c r="C6075" s="4">
        <f>'Raw data'!E5651</f>
        <v>0</v>
      </c>
      <c r="D6075" s="29" t="e">
        <f>VLOOKUP(C6075,'점포코드 '!A:B,2,0)</f>
        <v>#N/A</v>
      </c>
      <c r="E6075" s="30">
        <f>'Raw data'!P5651</f>
        <v>0</v>
      </c>
      <c r="F6075" s="29" t="e">
        <f>VLOOKUP(E6075,'점포코드 '!A:B,2,0)</f>
        <v>#N/A</v>
      </c>
      <c r="G6075" s="46">
        <f>'Raw data'!F5984</f>
        <v>0</v>
      </c>
      <c r="H6075" s="4">
        <f>'Raw data'!G5984</f>
        <v>0</v>
      </c>
      <c r="I6075" s="29" t="e">
        <f>VLOOKUP(G6075,제품명!$C$1:$E$114,2,0)</f>
        <v>#N/A</v>
      </c>
      <c r="J6075" s="29">
        <f>'Raw data'!K5984</f>
        <v>0</v>
      </c>
      <c r="K6075" s="31">
        <f>'Raw data'!H5984</f>
        <v>0</v>
      </c>
      <c r="L6075" s="26">
        <f t="shared" si="194"/>
        <v>0</v>
      </c>
    </row>
    <row r="6076" spans="2:12">
      <c r="B6076" s="4" t="e">
        <f t="shared" si="193"/>
        <v>#N/A</v>
      </c>
      <c r="C6076" s="4">
        <f>'Raw data'!E5652</f>
        <v>0</v>
      </c>
      <c r="D6076" s="29" t="e">
        <f>VLOOKUP(C6076,'점포코드 '!A:B,2,0)</f>
        <v>#N/A</v>
      </c>
      <c r="E6076" s="30">
        <f>'Raw data'!P5652</f>
        <v>0</v>
      </c>
      <c r="F6076" s="29" t="e">
        <f>VLOOKUP(E6076,'점포코드 '!A:B,2,0)</f>
        <v>#N/A</v>
      </c>
      <c r="G6076" s="46">
        <f>'Raw data'!F5985</f>
        <v>0</v>
      </c>
      <c r="H6076" s="4">
        <f>'Raw data'!G5985</f>
        <v>0</v>
      </c>
      <c r="I6076" s="29" t="e">
        <f>VLOOKUP(G6076,제품명!$C$1:$E$114,2,0)</f>
        <v>#N/A</v>
      </c>
      <c r="J6076" s="29">
        <f>'Raw data'!K5985</f>
        <v>0</v>
      </c>
      <c r="K6076" s="31">
        <f>'Raw data'!H5985</f>
        <v>0</v>
      </c>
      <c r="L6076" s="26">
        <f t="shared" si="194"/>
        <v>0</v>
      </c>
    </row>
    <row r="6077" spans="2:12">
      <c r="B6077" s="4" t="e">
        <f t="shared" si="193"/>
        <v>#N/A</v>
      </c>
      <c r="C6077" s="4">
        <f>'Raw data'!E5653</f>
        <v>0</v>
      </c>
      <c r="D6077" s="29" t="e">
        <f>VLOOKUP(C6077,'점포코드 '!A:B,2,0)</f>
        <v>#N/A</v>
      </c>
      <c r="E6077" s="30">
        <f>'Raw data'!P5653</f>
        <v>0</v>
      </c>
      <c r="F6077" s="29" t="e">
        <f>VLOOKUP(E6077,'점포코드 '!A:B,2,0)</f>
        <v>#N/A</v>
      </c>
      <c r="G6077" s="46">
        <f>'Raw data'!F5986</f>
        <v>0</v>
      </c>
      <c r="H6077" s="4">
        <f>'Raw data'!G5986</f>
        <v>0</v>
      </c>
      <c r="I6077" s="29" t="e">
        <f>VLOOKUP(G6077,제품명!$C$1:$E$114,2,0)</f>
        <v>#N/A</v>
      </c>
      <c r="J6077" s="29">
        <f>'Raw data'!K5986</f>
        <v>0</v>
      </c>
      <c r="K6077" s="31">
        <f>'Raw data'!H5986</f>
        <v>0</v>
      </c>
      <c r="L6077" s="26">
        <f t="shared" si="194"/>
        <v>0</v>
      </c>
    </row>
    <row r="6078" spans="2:12">
      <c r="B6078" s="4" t="e">
        <f t="shared" si="193"/>
        <v>#N/A</v>
      </c>
      <c r="C6078" s="4">
        <f>'Raw data'!E5654</f>
        <v>0</v>
      </c>
      <c r="D6078" s="29" t="e">
        <f>VLOOKUP(C6078,'점포코드 '!A:B,2,0)</f>
        <v>#N/A</v>
      </c>
      <c r="E6078" s="30">
        <f>'Raw data'!P5654</f>
        <v>0</v>
      </c>
      <c r="F6078" s="29" t="e">
        <f>VLOOKUP(E6078,'점포코드 '!A:B,2,0)</f>
        <v>#N/A</v>
      </c>
      <c r="G6078" s="46">
        <f>'Raw data'!F5987</f>
        <v>0</v>
      </c>
      <c r="H6078" s="4">
        <f>'Raw data'!G5987</f>
        <v>0</v>
      </c>
      <c r="I6078" s="29" t="e">
        <f>VLOOKUP(G6078,제품명!$C$1:$E$114,2,0)</f>
        <v>#N/A</v>
      </c>
      <c r="J6078" s="29">
        <f>'Raw data'!K5987</f>
        <v>0</v>
      </c>
      <c r="K6078" s="31">
        <f>'Raw data'!H5987</f>
        <v>0</v>
      </c>
      <c r="L6078" s="26">
        <f t="shared" si="194"/>
        <v>0</v>
      </c>
    </row>
    <row r="6079" spans="2:12">
      <c r="B6079" s="4" t="e">
        <f t="shared" si="193"/>
        <v>#N/A</v>
      </c>
      <c r="C6079" s="4">
        <f>'Raw data'!E5655</f>
        <v>0</v>
      </c>
      <c r="D6079" s="29" t="e">
        <f>VLOOKUP(C6079,'점포코드 '!A:B,2,0)</f>
        <v>#N/A</v>
      </c>
      <c r="E6079" s="30">
        <f>'Raw data'!P5655</f>
        <v>0</v>
      </c>
      <c r="F6079" s="29" t="e">
        <f>VLOOKUP(E6079,'점포코드 '!A:B,2,0)</f>
        <v>#N/A</v>
      </c>
      <c r="G6079" s="46">
        <f>'Raw data'!F5988</f>
        <v>0</v>
      </c>
      <c r="H6079" s="4">
        <f>'Raw data'!G5988</f>
        <v>0</v>
      </c>
      <c r="I6079" s="29" t="e">
        <f>VLOOKUP(G6079,제품명!$C$1:$E$114,2,0)</f>
        <v>#N/A</v>
      </c>
      <c r="J6079" s="29">
        <f>'Raw data'!K5988</f>
        <v>0</v>
      </c>
      <c r="K6079" s="31">
        <f>'Raw data'!H5988</f>
        <v>0</v>
      </c>
      <c r="L6079" s="26">
        <f t="shared" si="194"/>
        <v>0</v>
      </c>
    </row>
    <row r="6080" spans="2:12">
      <c r="B6080" s="4" t="e">
        <f t="shared" ref="B6080:B6094" si="195">F6080&amp;I6080</f>
        <v>#N/A</v>
      </c>
      <c r="C6080" s="4">
        <f>'Raw data'!E5656</f>
        <v>0</v>
      </c>
      <c r="D6080" s="29" t="e">
        <f>VLOOKUP(C6080,'점포코드 '!A:B,2,0)</f>
        <v>#N/A</v>
      </c>
      <c r="E6080" s="30">
        <f>'Raw data'!P5656</f>
        <v>0</v>
      </c>
      <c r="F6080" s="29" t="e">
        <f>VLOOKUP(E6080,'점포코드 '!A:B,2,0)</f>
        <v>#N/A</v>
      </c>
      <c r="G6080" s="46">
        <f>'Raw data'!F5989</f>
        <v>0</v>
      </c>
      <c r="H6080" s="4">
        <f>'Raw data'!G5989</f>
        <v>0</v>
      </c>
      <c r="I6080" s="29" t="e">
        <f>VLOOKUP(G6080,제품명!$C$1:$E$114,2,0)</f>
        <v>#N/A</v>
      </c>
      <c r="J6080" s="29">
        <f>'Raw data'!K5989</f>
        <v>0</v>
      </c>
      <c r="K6080" s="31">
        <f>'Raw data'!H5989</f>
        <v>0</v>
      </c>
      <c r="L6080" s="26">
        <f t="shared" ref="L6080:L6094" si="196">J6080*K6080</f>
        <v>0</v>
      </c>
    </row>
    <row r="6081" spans="2:12">
      <c r="B6081" s="4" t="e">
        <f t="shared" si="195"/>
        <v>#N/A</v>
      </c>
      <c r="C6081" s="4">
        <f>'Raw data'!E5657</f>
        <v>0</v>
      </c>
      <c r="D6081" s="29" t="e">
        <f>VLOOKUP(C6081,'점포코드 '!A:B,2,0)</f>
        <v>#N/A</v>
      </c>
      <c r="E6081" s="30">
        <f>'Raw data'!P5657</f>
        <v>0</v>
      </c>
      <c r="F6081" s="29" t="e">
        <f>VLOOKUP(E6081,'점포코드 '!A:B,2,0)</f>
        <v>#N/A</v>
      </c>
      <c r="G6081" s="46">
        <f>'Raw data'!F5990</f>
        <v>0</v>
      </c>
      <c r="H6081" s="4">
        <f>'Raw data'!G5990</f>
        <v>0</v>
      </c>
      <c r="I6081" s="29" t="e">
        <f>VLOOKUP(G6081,제품명!$C$1:$E$114,2,0)</f>
        <v>#N/A</v>
      </c>
      <c r="J6081" s="29">
        <f>'Raw data'!K5990</f>
        <v>0</v>
      </c>
      <c r="K6081" s="31">
        <f>'Raw data'!H5990</f>
        <v>0</v>
      </c>
      <c r="L6081" s="26">
        <f t="shared" si="196"/>
        <v>0</v>
      </c>
    </row>
    <row r="6082" spans="2:12">
      <c r="B6082" s="4" t="e">
        <f t="shared" si="195"/>
        <v>#N/A</v>
      </c>
      <c r="C6082" s="4">
        <f>'Raw data'!E5658</f>
        <v>0</v>
      </c>
      <c r="D6082" s="29" t="e">
        <f>VLOOKUP(C6082,'점포코드 '!A:B,2,0)</f>
        <v>#N/A</v>
      </c>
      <c r="E6082" s="30">
        <f>'Raw data'!P5658</f>
        <v>0</v>
      </c>
      <c r="F6082" s="29" t="e">
        <f>VLOOKUP(E6082,'점포코드 '!A:B,2,0)</f>
        <v>#N/A</v>
      </c>
      <c r="G6082" s="46">
        <f>'Raw data'!F5991</f>
        <v>0</v>
      </c>
      <c r="H6082" s="4">
        <f>'Raw data'!G5991</f>
        <v>0</v>
      </c>
      <c r="I6082" s="29" t="e">
        <f>VLOOKUP(G6082,제품명!$C$1:$E$114,2,0)</f>
        <v>#N/A</v>
      </c>
      <c r="J6082" s="29">
        <f>'Raw data'!K5991</f>
        <v>0</v>
      </c>
      <c r="K6082" s="31">
        <f>'Raw data'!H5991</f>
        <v>0</v>
      </c>
      <c r="L6082" s="26">
        <f t="shared" si="196"/>
        <v>0</v>
      </c>
    </row>
    <row r="6083" spans="2:12">
      <c r="B6083" s="4" t="e">
        <f t="shared" si="195"/>
        <v>#N/A</v>
      </c>
      <c r="C6083" s="4">
        <f>'Raw data'!E5659</f>
        <v>0</v>
      </c>
      <c r="D6083" s="29" t="e">
        <f>VLOOKUP(C6083,'점포코드 '!A:B,2,0)</f>
        <v>#N/A</v>
      </c>
      <c r="E6083" s="30">
        <f>'Raw data'!P5659</f>
        <v>0</v>
      </c>
      <c r="F6083" s="29" t="e">
        <f>VLOOKUP(E6083,'점포코드 '!A:B,2,0)</f>
        <v>#N/A</v>
      </c>
      <c r="G6083" s="46">
        <f>'Raw data'!F5992</f>
        <v>0</v>
      </c>
      <c r="H6083" s="4">
        <f>'Raw data'!G5992</f>
        <v>0</v>
      </c>
      <c r="I6083" s="29" t="e">
        <f>VLOOKUP(G6083,제품명!$C$1:$E$114,2,0)</f>
        <v>#N/A</v>
      </c>
      <c r="J6083" s="29">
        <f>'Raw data'!K5992</f>
        <v>0</v>
      </c>
      <c r="K6083" s="31">
        <f>'Raw data'!H5992</f>
        <v>0</v>
      </c>
      <c r="L6083" s="26">
        <f t="shared" si="196"/>
        <v>0</v>
      </c>
    </row>
    <row r="6084" spans="2:12">
      <c r="B6084" s="4" t="e">
        <f t="shared" si="195"/>
        <v>#N/A</v>
      </c>
      <c r="C6084" s="4">
        <f>'Raw data'!E5660</f>
        <v>0</v>
      </c>
      <c r="D6084" s="29" t="e">
        <f>VLOOKUP(C6084,'점포코드 '!A:B,2,0)</f>
        <v>#N/A</v>
      </c>
      <c r="E6084" s="30">
        <f>'Raw data'!P5660</f>
        <v>0</v>
      </c>
      <c r="F6084" s="29" t="e">
        <f>VLOOKUP(E6084,'점포코드 '!A:B,2,0)</f>
        <v>#N/A</v>
      </c>
      <c r="G6084" s="46">
        <f>'Raw data'!F5993</f>
        <v>0</v>
      </c>
      <c r="H6084" s="4">
        <f>'Raw data'!G5993</f>
        <v>0</v>
      </c>
      <c r="I6084" s="29" t="e">
        <f>VLOOKUP(G6084,제품명!$C$1:$E$114,2,0)</f>
        <v>#N/A</v>
      </c>
      <c r="J6084" s="29">
        <f>'Raw data'!K5993</f>
        <v>0</v>
      </c>
      <c r="K6084" s="31">
        <f>'Raw data'!H5993</f>
        <v>0</v>
      </c>
      <c r="L6084" s="26">
        <f t="shared" si="196"/>
        <v>0</v>
      </c>
    </row>
    <row r="6085" spans="2:12">
      <c r="B6085" s="4" t="e">
        <f t="shared" si="195"/>
        <v>#N/A</v>
      </c>
      <c r="C6085" s="4">
        <f>'Raw data'!E5661</f>
        <v>0</v>
      </c>
      <c r="D6085" s="29" t="e">
        <f>VLOOKUP(C6085,'점포코드 '!A:B,2,0)</f>
        <v>#N/A</v>
      </c>
      <c r="E6085" s="30">
        <f>'Raw data'!P5661</f>
        <v>0</v>
      </c>
      <c r="F6085" s="29" t="e">
        <f>VLOOKUP(E6085,'점포코드 '!A:B,2,0)</f>
        <v>#N/A</v>
      </c>
      <c r="G6085" s="46">
        <f>'Raw data'!F5994</f>
        <v>0</v>
      </c>
      <c r="H6085" s="4">
        <f>'Raw data'!G5994</f>
        <v>0</v>
      </c>
      <c r="I6085" s="29" t="e">
        <f>VLOOKUP(G6085,제품명!$C$1:$E$114,2,0)</f>
        <v>#N/A</v>
      </c>
      <c r="J6085" s="29">
        <f>'Raw data'!K5994</f>
        <v>0</v>
      </c>
      <c r="K6085" s="31">
        <f>'Raw data'!H5994</f>
        <v>0</v>
      </c>
      <c r="L6085" s="26">
        <f t="shared" si="196"/>
        <v>0</v>
      </c>
    </row>
    <row r="6086" spans="2:12">
      <c r="B6086" s="4" t="e">
        <f t="shared" si="195"/>
        <v>#N/A</v>
      </c>
      <c r="C6086" s="4">
        <f>'Raw data'!E5662</f>
        <v>0</v>
      </c>
      <c r="D6086" s="29" t="e">
        <f>VLOOKUP(C6086,'점포코드 '!A:B,2,0)</f>
        <v>#N/A</v>
      </c>
      <c r="E6086" s="30">
        <f>'Raw data'!P5662</f>
        <v>0</v>
      </c>
      <c r="F6086" s="29" t="e">
        <f>VLOOKUP(E6086,'점포코드 '!A:B,2,0)</f>
        <v>#N/A</v>
      </c>
      <c r="G6086" s="46">
        <f>'Raw data'!F5995</f>
        <v>0</v>
      </c>
      <c r="H6086" s="4">
        <f>'Raw data'!G5995</f>
        <v>0</v>
      </c>
      <c r="I6086" s="29" t="e">
        <f>VLOOKUP(G6086,제품명!$C$1:$E$114,2,0)</f>
        <v>#N/A</v>
      </c>
      <c r="J6086" s="29">
        <f>'Raw data'!K5995</f>
        <v>0</v>
      </c>
      <c r="K6086" s="31">
        <f>'Raw data'!H5995</f>
        <v>0</v>
      </c>
      <c r="L6086" s="26">
        <f t="shared" si="196"/>
        <v>0</v>
      </c>
    </row>
    <row r="6087" spans="2:12">
      <c r="B6087" s="4" t="e">
        <f t="shared" si="195"/>
        <v>#N/A</v>
      </c>
      <c r="C6087" s="4">
        <f>'Raw data'!E5663</f>
        <v>0</v>
      </c>
      <c r="D6087" s="29" t="e">
        <f>VLOOKUP(C6087,'점포코드 '!A:B,2,0)</f>
        <v>#N/A</v>
      </c>
      <c r="E6087" s="30">
        <f>'Raw data'!P5663</f>
        <v>0</v>
      </c>
      <c r="F6087" s="29" t="e">
        <f>VLOOKUP(E6087,'점포코드 '!A:B,2,0)</f>
        <v>#N/A</v>
      </c>
      <c r="G6087" s="46">
        <f>'Raw data'!F5996</f>
        <v>0</v>
      </c>
      <c r="H6087" s="4">
        <f>'Raw data'!G5996</f>
        <v>0</v>
      </c>
      <c r="I6087" s="29" t="e">
        <f>VLOOKUP(G6087,제품명!$C$1:$E$114,2,0)</f>
        <v>#N/A</v>
      </c>
      <c r="J6087" s="29">
        <f>'Raw data'!K5996</f>
        <v>0</v>
      </c>
      <c r="K6087" s="31">
        <f>'Raw data'!H5996</f>
        <v>0</v>
      </c>
      <c r="L6087" s="26">
        <f t="shared" si="196"/>
        <v>0</v>
      </c>
    </row>
    <row r="6088" spans="2:12">
      <c r="B6088" s="4" t="e">
        <f t="shared" si="195"/>
        <v>#N/A</v>
      </c>
      <c r="C6088" s="4">
        <f>'Raw data'!E5664</f>
        <v>0</v>
      </c>
      <c r="D6088" s="29" t="e">
        <f>VLOOKUP(C6088,'점포코드 '!A:B,2,0)</f>
        <v>#N/A</v>
      </c>
      <c r="E6088" s="30">
        <f>'Raw data'!P5664</f>
        <v>0</v>
      </c>
      <c r="F6088" s="29" t="e">
        <f>VLOOKUP(E6088,'점포코드 '!A:B,2,0)</f>
        <v>#N/A</v>
      </c>
      <c r="G6088" s="46">
        <f>'Raw data'!F5997</f>
        <v>0</v>
      </c>
      <c r="H6088" s="4">
        <f>'Raw data'!G5997</f>
        <v>0</v>
      </c>
      <c r="I6088" s="29" t="e">
        <f>VLOOKUP(G6088,제품명!$C$1:$E$114,2,0)</f>
        <v>#N/A</v>
      </c>
      <c r="J6088" s="29">
        <f>'Raw data'!K5997</f>
        <v>0</v>
      </c>
      <c r="K6088" s="31">
        <f>'Raw data'!H5997</f>
        <v>0</v>
      </c>
      <c r="L6088" s="26">
        <f t="shared" si="196"/>
        <v>0</v>
      </c>
    </row>
    <row r="6089" spans="2:12">
      <c r="B6089" s="4" t="e">
        <f t="shared" si="195"/>
        <v>#N/A</v>
      </c>
      <c r="C6089" s="4">
        <f>'Raw data'!E5665</f>
        <v>0</v>
      </c>
      <c r="D6089" s="29" t="e">
        <f>VLOOKUP(C6089,'점포코드 '!A:B,2,0)</f>
        <v>#N/A</v>
      </c>
      <c r="E6089" s="30">
        <f>'Raw data'!P5665</f>
        <v>0</v>
      </c>
      <c r="F6089" s="29" t="e">
        <f>VLOOKUP(E6089,'점포코드 '!A:B,2,0)</f>
        <v>#N/A</v>
      </c>
      <c r="G6089" s="46">
        <f>'Raw data'!F5998</f>
        <v>0</v>
      </c>
      <c r="H6089" s="4">
        <f>'Raw data'!G5998</f>
        <v>0</v>
      </c>
      <c r="I6089" s="29" t="e">
        <f>VLOOKUP(G6089,제품명!$C$1:$E$114,2,0)</f>
        <v>#N/A</v>
      </c>
      <c r="J6089" s="29">
        <f>'Raw data'!K5998</f>
        <v>0</v>
      </c>
      <c r="K6089" s="31">
        <f>'Raw data'!H5998</f>
        <v>0</v>
      </c>
      <c r="L6089" s="26">
        <f t="shared" si="196"/>
        <v>0</v>
      </c>
    </row>
    <row r="6090" spans="2:12">
      <c r="B6090" s="4" t="e">
        <f t="shared" si="195"/>
        <v>#N/A</v>
      </c>
      <c r="C6090" s="4">
        <f>'Raw data'!E5666</f>
        <v>0</v>
      </c>
      <c r="D6090" s="29" t="e">
        <f>VLOOKUP(C6090,'점포코드 '!A:B,2,0)</f>
        <v>#N/A</v>
      </c>
      <c r="E6090" s="30">
        <f>'Raw data'!P5666</f>
        <v>0</v>
      </c>
      <c r="F6090" s="29" t="e">
        <f>VLOOKUP(E6090,'점포코드 '!A:B,2,0)</f>
        <v>#N/A</v>
      </c>
      <c r="G6090" s="46">
        <f>'Raw data'!F5999</f>
        <v>0</v>
      </c>
      <c r="H6090" s="4">
        <f>'Raw data'!G5999</f>
        <v>0</v>
      </c>
      <c r="I6090" s="29" t="e">
        <f>VLOOKUP(G6090,제품명!$C$1:$E$114,2,0)</f>
        <v>#N/A</v>
      </c>
      <c r="J6090" s="29">
        <f>'Raw data'!K5999</f>
        <v>0</v>
      </c>
      <c r="K6090" s="31">
        <f>'Raw data'!H5999</f>
        <v>0</v>
      </c>
      <c r="L6090" s="26">
        <f t="shared" si="196"/>
        <v>0</v>
      </c>
    </row>
    <row r="6091" spans="2:12">
      <c r="B6091" s="4" t="e">
        <f t="shared" si="195"/>
        <v>#N/A</v>
      </c>
      <c r="C6091" s="4">
        <f>'Raw data'!E5667</f>
        <v>0</v>
      </c>
      <c r="D6091" s="29" t="e">
        <f>VLOOKUP(C6091,'점포코드 '!A:B,2,0)</f>
        <v>#N/A</v>
      </c>
      <c r="E6091" s="30">
        <f>'Raw data'!P5667</f>
        <v>0</v>
      </c>
      <c r="F6091" s="29" t="e">
        <f>VLOOKUP(E6091,'점포코드 '!A:B,2,0)</f>
        <v>#N/A</v>
      </c>
      <c r="G6091" s="46">
        <f>'Raw data'!F6000</f>
        <v>0</v>
      </c>
      <c r="H6091" s="4">
        <f>'Raw data'!G6000</f>
        <v>0</v>
      </c>
      <c r="I6091" s="29" t="e">
        <f>VLOOKUP(G6091,제품명!$C$1:$E$114,2,0)</f>
        <v>#N/A</v>
      </c>
      <c r="J6091" s="29">
        <f>'Raw data'!K6000</f>
        <v>0</v>
      </c>
      <c r="K6091" s="31">
        <f>'Raw data'!H6000</f>
        <v>0</v>
      </c>
      <c r="L6091" s="26">
        <f t="shared" si="196"/>
        <v>0</v>
      </c>
    </row>
    <row r="6092" spans="2:12">
      <c r="B6092" s="4" t="e">
        <f t="shared" si="195"/>
        <v>#N/A</v>
      </c>
      <c r="C6092" s="4">
        <f>'Raw data'!E5668</f>
        <v>0</v>
      </c>
      <c r="D6092" s="29" t="e">
        <f>VLOOKUP(C6092,'점포코드 '!A:B,2,0)</f>
        <v>#N/A</v>
      </c>
      <c r="E6092" s="30">
        <f>'Raw data'!P5668</f>
        <v>0</v>
      </c>
      <c r="F6092" s="29" t="e">
        <f>VLOOKUP(E6092,'점포코드 '!A:B,2,0)</f>
        <v>#N/A</v>
      </c>
      <c r="G6092" s="46">
        <f>'Raw data'!F6001</f>
        <v>0</v>
      </c>
      <c r="H6092" s="4">
        <f>'Raw data'!G6001</f>
        <v>0</v>
      </c>
      <c r="I6092" s="29" t="e">
        <f>VLOOKUP(G6092,제품명!$C$1:$E$114,2,0)</f>
        <v>#N/A</v>
      </c>
      <c r="J6092" s="29">
        <f>'Raw data'!K6001</f>
        <v>0</v>
      </c>
      <c r="K6092" s="31">
        <f>'Raw data'!H6001</f>
        <v>0</v>
      </c>
      <c r="L6092" s="26">
        <f t="shared" si="196"/>
        <v>0</v>
      </c>
    </row>
    <row r="6093" spans="2:12">
      <c r="B6093" s="4" t="e">
        <f t="shared" si="195"/>
        <v>#N/A</v>
      </c>
      <c r="C6093" s="4">
        <f>'Raw data'!E5669</f>
        <v>0</v>
      </c>
      <c r="D6093" s="29" t="e">
        <f>VLOOKUP(C6093,'점포코드 '!A:B,2,0)</f>
        <v>#N/A</v>
      </c>
      <c r="E6093" s="30">
        <f>'Raw data'!P5669</f>
        <v>0</v>
      </c>
      <c r="F6093" s="29" t="e">
        <f>VLOOKUP(E6093,'점포코드 '!A:B,2,0)</f>
        <v>#N/A</v>
      </c>
      <c r="G6093" s="46">
        <f>'Raw data'!F6002</f>
        <v>0</v>
      </c>
      <c r="H6093" s="4">
        <f>'Raw data'!G6002</f>
        <v>0</v>
      </c>
      <c r="I6093" s="29" t="e">
        <f>VLOOKUP(G6093,제품명!$C$1:$E$114,2,0)</f>
        <v>#N/A</v>
      </c>
      <c r="J6093" s="29">
        <f>'Raw data'!K6002</f>
        <v>0</v>
      </c>
      <c r="K6093" s="31">
        <f>'Raw data'!H6002</f>
        <v>0</v>
      </c>
      <c r="L6093" s="26">
        <f t="shared" si="196"/>
        <v>0</v>
      </c>
    </row>
    <row r="6094" spans="2:12">
      <c r="B6094" s="4" t="e">
        <f t="shared" si="195"/>
        <v>#N/A</v>
      </c>
      <c r="C6094" s="4">
        <f>'Raw data'!E5670</f>
        <v>0</v>
      </c>
      <c r="D6094" s="29" t="e">
        <f>VLOOKUP(C6094,'점포코드 '!A:B,2,0)</f>
        <v>#N/A</v>
      </c>
      <c r="E6094" s="30">
        <f>'Raw data'!P5670</f>
        <v>0</v>
      </c>
      <c r="F6094" s="29" t="e">
        <f>VLOOKUP(E6094,'점포코드 '!A:B,2,0)</f>
        <v>#N/A</v>
      </c>
      <c r="G6094" s="46">
        <f>'Raw data'!F6003</f>
        <v>0</v>
      </c>
      <c r="H6094" s="4">
        <f>'Raw data'!G6003</f>
        <v>0</v>
      </c>
      <c r="I6094" s="29" t="e">
        <f>VLOOKUP(G6094,제품명!$C$1:$E$114,2,0)</f>
        <v>#N/A</v>
      </c>
      <c r="J6094" s="29">
        <f>'Raw data'!K6003</f>
        <v>0</v>
      </c>
      <c r="K6094" s="31">
        <f>'Raw data'!H6003</f>
        <v>0</v>
      </c>
      <c r="L6094" s="26">
        <f t="shared" si="196"/>
        <v>0</v>
      </c>
    </row>
  </sheetData>
  <autoFilter ref="A1:T6094" xr:uid="{00000000-0001-0000-0300-000000000000}"/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P486"/>
  <sheetViews>
    <sheetView tabSelected="1" zoomScaleNormal="100" workbookViewId="0">
      <pane ySplit="2" topLeftCell="A3" activePane="bottomLeft" state="frozen"/>
      <selection pane="bottomLeft" activeCell="H436" sqref="H436"/>
    </sheetView>
  </sheetViews>
  <sheetFormatPr defaultColWidth="8.8984375" defaultRowHeight="12" customHeight="1"/>
  <cols>
    <col min="1" max="1" width="18.09765625" style="4" customWidth="1"/>
    <col min="2" max="3" width="8.8984375" style="9"/>
    <col min="4" max="4" width="10.296875" style="9" customWidth="1"/>
    <col min="5" max="5" width="10.796875" style="70" customWidth="1"/>
    <col min="6" max="6" width="17.5" style="9" customWidth="1"/>
    <col min="7" max="7" width="1.59765625" style="9" customWidth="1"/>
    <col min="8" max="8" width="8.3984375" style="9" customWidth="1"/>
    <col min="9" max="9" width="8.8984375" style="9"/>
    <col min="10" max="10" width="14.796875" style="4" customWidth="1"/>
    <col min="11" max="16384" width="8.8984375" style="4"/>
  </cols>
  <sheetData>
    <row r="1" spans="1:16" ht="12" customHeight="1">
      <c r="H1" s="120">
        <f ca="1">SUBTOTAL(9,H3:H428)</f>
        <v>194</v>
      </c>
      <c r="J1" s="149">
        <f ca="1">SUBTOTAL(9,J3:J414)</f>
        <v>686534</v>
      </c>
      <c r="L1" s="4">
        <v>17128</v>
      </c>
      <c r="P1" s="4" t="s">
        <v>968</v>
      </c>
    </row>
    <row r="2" spans="1:16" ht="12" customHeight="1">
      <c r="A2" s="6" t="s">
        <v>341</v>
      </c>
      <c r="B2" s="13" t="s">
        <v>342</v>
      </c>
      <c r="C2" s="14"/>
      <c r="D2" s="13" t="s">
        <v>343</v>
      </c>
      <c r="F2" s="13" t="s">
        <v>2</v>
      </c>
      <c r="G2" s="13"/>
      <c r="H2" s="15" t="s">
        <v>426</v>
      </c>
      <c r="I2" s="8" t="s">
        <v>347</v>
      </c>
      <c r="J2" s="8" t="s">
        <v>348</v>
      </c>
      <c r="K2" s="4" t="e">
        <f>VLOOKUP(F2,'SUM(히아풀젤,폼 아이캐쳐붙인걸로)'!A:E,5,0)</f>
        <v>#N/A</v>
      </c>
      <c r="L2" s="4" t="s">
        <v>967</v>
      </c>
    </row>
    <row r="3" spans="1:16" ht="12" customHeight="1">
      <c r="A3" s="4" t="str">
        <f t="shared" ref="A3:A66" si="0">D3&amp;F3</f>
        <v>81010902ME90621NA7</v>
      </c>
      <c r="B3" s="9">
        <v>81010000</v>
      </c>
      <c r="C3" s="10"/>
      <c r="D3" s="10">
        <v>81010902</v>
      </c>
      <c r="E3" s="71" t="s">
        <v>427</v>
      </c>
      <c r="F3" s="107" t="s">
        <v>685</v>
      </c>
      <c r="G3" s="107"/>
      <c r="H3" s="9">
        <f ca="1">SUMIF('서식(직납)'!B:L,'Summary(수주업로드용)'!A3,'서식(직납)'!J:J)</f>
        <v>6</v>
      </c>
      <c r="I3" s="28">
        <f ca="1">IF(H3="0","0",VLOOKUP(A3,'서식(직납)'!B:K,10,0))</f>
        <v>4469</v>
      </c>
      <c r="J3" s="7">
        <f t="shared" ref="J3:J66" ca="1" si="1">H3*I3</f>
        <v>26814</v>
      </c>
      <c r="K3" s="4">
        <f>VLOOKUP(F3,'SUM(히아풀젤,폼 아이캐쳐붙인걸로)'!A:E,5,0)</f>
        <v>0</v>
      </c>
      <c r="M3" s="4" t="str">
        <f>VLOOKUP(F3,제품명!$D:$E,2,0)</f>
        <v>(new)아크네스 클리어 앤 화이트 포밍 워시 150ml  1+1</v>
      </c>
    </row>
    <row r="4" spans="1:16" ht="12" hidden="1" customHeight="1">
      <c r="A4" s="4" t="str">
        <f t="shared" si="0"/>
        <v>81010902ME90621AT3</v>
      </c>
      <c r="B4" s="9">
        <v>81010000</v>
      </c>
      <c r="C4" s="10"/>
      <c r="D4" s="10">
        <v>81010902</v>
      </c>
      <c r="E4" s="71" t="s">
        <v>427</v>
      </c>
      <c r="F4" s="107" t="s">
        <v>503</v>
      </c>
      <c r="G4" s="107"/>
      <c r="H4" s="9">
        <f ca="1">SUMIF('서식(직납)'!B:L,'Summary(수주업로드용)'!A4,'서식(직납)'!J:J)</f>
        <v>0</v>
      </c>
      <c r="I4" s="28" t="e">
        <f ca="1">IF(H4="0","0",VLOOKUP(A4,'서식(직납)'!B:K,10,0))</f>
        <v>#N/A</v>
      </c>
      <c r="J4" s="7" t="e">
        <f t="shared" ca="1" si="1"/>
        <v>#N/A</v>
      </c>
      <c r="K4" s="4" t="e">
        <f>VLOOKUP(F4,'SUM(히아풀젤,폼 아이캐쳐붙인걸로)'!A:E,4,0)</f>
        <v>#N/A</v>
      </c>
      <c r="M4" s="147" t="s">
        <v>952</v>
      </c>
    </row>
    <row r="5" spans="1:16" ht="12" hidden="1" customHeight="1">
      <c r="A5" s="4" t="str">
        <f t="shared" si="0"/>
        <v>81010902ME90621A07</v>
      </c>
      <c r="B5" s="9">
        <v>81010000</v>
      </c>
      <c r="C5" s="10"/>
      <c r="D5" s="10">
        <v>81010902</v>
      </c>
      <c r="E5" s="71" t="s">
        <v>427</v>
      </c>
      <c r="F5" s="107" t="s">
        <v>573</v>
      </c>
      <c r="G5" s="107"/>
      <c r="H5" s="9">
        <f ca="1">SUMIF('서식(직납)'!B:L,'Summary(수주업로드용)'!A5,'서식(직납)'!J:J)</f>
        <v>0</v>
      </c>
      <c r="I5" s="28" t="e">
        <f ca="1">IF(H5="0","0",VLOOKUP(A5,'서식(직납)'!B:K,10,0))</f>
        <v>#N/A</v>
      </c>
      <c r="J5" s="7" t="e">
        <f t="shared" ca="1" si="1"/>
        <v>#N/A</v>
      </c>
      <c r="K5" s="4" t="e">
        <f>VLOOKUP(F5,'SUM(히아풀젤,폼 아이캐쳐붙인걸로)'!A:E,4,0)</f>
        <v>#N/A</v>
      </c>
      <c r="M5" s="147" t="s">
        <v>953</v>
      </c>
    </row>
    <row r="6" spans="1:16" ht="12" hidden="1" customHeight="1">
      <c r="A6" s="4" t="str">
        <f t="shared" si="0"/>
        <v>81010902ME90621ADI</v>
      </c>
      <c r="B6" s="9">
        <v>81010000</v>
      </c>
      <c r="C6" s="10"/>
      <c r="D6" s="10">
        <v>81010902</v>
      </c>
      <c r="E6" s="71" t="s">
        <v>427</v>
      </c>
      <c r="F6" s="107" t="s">
        <v>954</v>
      </c>
      <c r="G6" s="107"/>
      <c r="H6" s="9">
        <f ca="1">SUMIF('서식(직납)'!B:L,'Summary(수주업로드용)'!A6,'서식(직납)'!J:J)</f>
        <v>0</v>
      </c>
      <c r="I6" s="28" t="e">
        <f ca="1">IF(H6="0","0",VLOOKUP(A6,'서식(직납)'!B:K,10,0))</f>
        <v>#N/A</v>
      </c>
      <c r="J6" s="7" t="e">
        <f t="shared" ca="1" si="1"/>
        <v>#N/A</v>
      </c>
      <c r="K6" s="4">
        <f>VLOOKUP(F6,'SUM(히아풀젤,폼 아이캐쳐붙인걸로)'!A:E,5,0)</f>
        <v>0</v>
      </c>
      <c r="M6" s="4" t="str">
        <f>VLOOKUP(F6,제품명!$D:$E,2,0)</f>
        <v>(new)아크네스 데일리 딥 클렌저 100g (6입)</v>
      </c>
    </row>
    <row r="7" spans="1:16" ht="12" hidden="1" customHeight="1">
      <c r="A7" s="4" t="str">
        <f t="shared" si="0"/>
        <v>81010902ME90621A04</v>
      </c>
      <c r="B7" s="9">
        <v>81010000</v>
      </c>
      <c r="C7" s="10"/>
      <c r="D7" s="10">
        <v>81010902</v>
      </c>
      <c r="E7" s="71" t="s">
        <v>427</v>
      </c>
      <c r="F7" s="107" t="s">
        <v>338</v>
      </c>
      <c r="G7" s="107"/>
      <c r="H7" s="9">
        <f ca="1">SUMIF('서식(직납)'!B:L,'Summary(수주업로드용)'!A7,'서식(직납)'!J:J)</f>
        <v>0</v>
      </c>
      <c r="I7" s="28" t="e">
        <f ca="1">IF(H7="0","0",VLOOKUP(A7,'서식(직납)'!B:K,10,0))</f>
        <v>#N/A</v>
      </c>
      <c r="J7" s="7" t="e">
        <f t="shared" ca="1" si="1"/>
        <v>#N/A</v>
      </c>
      <c r="K7" s="4" t="e">
        <f>VLOOKUP(F7,'SUM(히아풀젤,폼 아이캐쳐붙인걸로)'!A:E,4,0)</f>
        <v>#N/A</v>
      </c>
    </row>
    <row r="8" spans="1:16" ht="12" hidden="1" customHeight="1">
      <c r="A8" s="4" t="str">
        <f t="shared" si="0"/>
        <v>81010902ME90621A02</v>
      </c>
      <c r="B8" s="9">
        <v>81010000</v>
      </c>
      <c r="C8" s="10"/>
      <c r="D8" s="10">
        <v>81010902</v>
      </c>
      <c r="E8" s="71" t="s">
        <v>427</v>
      </c>
      <c r="F8" s="107" t="s">
        <v>661</v>
      </c>
      <c r="G8" s="107"/>
      <c r="H8" s="9">
        <f ca="1">SUMIF('서식(직납)'!B:L,'Summary(수주업로드용)'!A8,'서식(직납)'!J:J)</f>
        <v>0</v>
      </c>
      <c r="I8" s="28" t="e">
        <f ca="1">IF(H8="0","0",VLOOKUP(A8,'서식(직납)'!B:K,10,0))</f>
        <v>#N/A</v>
      </c>
      <c r="J8" s="7" t="e">
        <f t="shared" ca="1" si="1"/>
        <v>#N/A</v>
      </c>
      <c r="K8" s="4" t="e">
        <f>VLOOKUP(F8,'SUM(히아풀젤,폼 아이캐쳐붙인걸로)'!A:E,5,0)</f>
        <v>#N/A</v>
      </c>
    </row>
    <row r="9" spans="1:16" ht="12" customHeight="1">
      <c r="A9" s="4" t="str">
        <f t="shared" si="0"/>
        <v>81010902ME90621AFE</v>
      </c>
      <c r="B9" s="9">
        <v>81010000</v>
      </c>
      <c r="C9" s="10"/>
      <c r="D9" s="10">
        <v>81010902</v>
      </c>
      <c r="E9" s="71" t="s">
        <v>427</v>
      </c>
      <c r="F9" s="107" t="s">
        <v>958</v>
      </c>
      <c r="G9" s="107"/>
      <c r="H9" s="9">
        <f ca="1">SUMIF('서식(직납)'!B:L,'Summary(수주업로드용)'!A9,'서식(직납)'!J:J)</f>
        <v>18</v>
      </c>
      <c r="I9" s="28">
        <f ca="1">IF(H9="0","0",VLOOKUP(A9,'서식(직납)'!B:K,10,0))</f>
        <v>4469</v>
      </c>
      <c r="J9" s="7">
        <f t="shared" ca="1" si="1"/>
        <v>80442</v>
      </c>
      <c r="M9" s="4" t="str">
        <f>VLOOKUP(F9,제품명!$D:$E,2,0)</f>
        <v>아크네스 포밍워시 200ml (인케이스)-RRP</v>
      </c>
    </row>
    <row r="10" spans="1:16" ht="12" hidden="1" customHeight="1">
      <c r="A10" s="4" t="str">
        <f t="shared" si="0"/>
        <v>81010902ME00621TC3</v>
      </c>
      <c r="B10" s="9">
        <v>81010000</v>
      </c>
      <c r="C10" s="10"/>
      <c r="D10" s="10">
        <v>81010902</v>
      </c>
      <c r="E10" s="71" t="s">
        <v>427</v>
      </c>
      <c r="F10" s="107" t="s">
        <v>639</v>
      </c>
      <c r="G10" s="107"/>
      <c r="H10" s="9">
        <f ca="1">SUMIF('서식(직납)'!B:L,'Summary(수주업로드용)'!A10,'서식(직납)'!J:J)</f>
        <v>0</v>
      </c>
      <c r="I10" s="28" t="e">
        <f ca="1">IF(H10="0","0",VLOOKUP(A10,'서식(직납)'!B:K,10,0))</f>
        <v>#N/A</v>
      </c>
      <c r="J10" s="7" t="e">
        <f t="shared" ca="1" si="1"/>
        <v>#N/A</v>
      </c>
      <c r="K10" s="4" t="e">
        <f>VLOOKUP(F10,'SUM(히아풀젤,폼 아이캐쳐붙인걸로)'!A:E,4,0)</f>
        <v>#N/A</v>
      </c>
    </row>
    <row r="11" spans="1:16" ht="12" hidden="1" customHeight="1">
      <c r="A11" s="4" t="str">
        <f t="shared" si="0"/>
        <v>81010902ME00621AB1</v>
      </c>
      <c r="B11" s="9">
        <v>81010000</v>
      </c>
      <c r="C11" s="10"/>
      <c r="D11" s="10">
        <v>81010902</v>
      </c>
      <c r="E11" s="71" t="s">
        <v>427</v>
      </c>
      <c r="F11" s="107" t="s">
        <v>622</v>
      </c>
      <c r="G11" s="107"/>
      <c r="H11" s="9">
        <f ca="1">SUMIF('서식(직납)'!B:L,'Summary(수주업로드용)'!A11,'서식(직납)'!J:J)</f>
        <v>0</v>
      </c>
      <c r="I11" s="28" t="e">
        <f ca="1">IF(H11="0","0",VLOOKUP(A11,'서식(직납)'!B:K,10,0))</f>
        <v>#N/A</v>
      </c>
      <c r="J11" s="7" t="e">
        <f t="shared" ca="1" si="1"/>
        <v>#N/A</v>
      </c>
      <c r="K11" s="4" t="e">
        <f>VLOOKUP(F11,'SUM(히아풀젤,폼 아이캐쳐붙인걸로)'!A:E,5,0)</f>
        <v>#N/A</v>
      </c>
    </row>
    <row r="12" spans="1:16" ht="12" hidden="1" customHeight="1">
      <c r="A12" s="4" t="str">
        <f t="shared" si="0"/>
        <v>81010902ME00621C17</v>
      </c>
      <c r="B12" s="9">
        <v>81010000</v>
      </c>
      <c r="C12" s="10"/>
      <c r="D12" s="10">
        <v>81010902</v>
      </c>
      <c r="E12" s="71" t="s">
        <v>427</v>
      </c>
      <c r="F12" s="107" t="s">
        <v>621</v>
      </c>
      <c r="G12" s="107"/>
      <c r="H12" s="9">
        <f ca="1">SUMIF('서식(직납)'!B:L,'Summary(수주업로드용)'!A12,'서식(직납)'!J:J)</f>
        <v>0</v>
      </c>
      <c r="I12" s="28" t="e">
        <f ca="1">IF(H12="0","0",VLOOKUP(A12,'서식(직납)'!B:K,10,0))</f>
        <v>#N/A</v>
      </c>
      <c r="J12" s="7" t="e">
        <f t="shared" ca="1" si="1"/>
        <v>#N/A</v>
      </c>
      <c r="K12" s="4" t="e">
        <f>VLOOKUP(F12,'SUM(히아풀젤,폼 아이캐쳐붙인걸로)'!A:E,5,0)</f>
        <v>#N/A</v>
      </c>
    </row>
    <row r="13" spans="1:16" ht="12" hidden="1" customHeight="1">
      <c r="A13" s="4" t="str">
        <f t="shared" si="0"/>
        <v>81010902ME00621AT6</v>
      </c>
      <c r="B13" s="9">
        <v>81010000</v>
      </c>
      <c r="C13" s="10"/>
      <c r="D13" s="10">
        <v>81010902</v>
      </c>
      <c r="E13" s="71" t="s">
        <v>427</v>
      </c>
      <c r="F13" s="107" t="s">
        <v>483</v>
      </c>
      <c r="G13" s="107"/>
      <c r="H13" s="9">
        <f ca="1">SUMIF('서식(직납)'!B:L,'Summary(수주업로드용)'!A13,'서식(직납)'!J:J)</f>
        <v>0</v>
      </c>
      <c r="I13" s="28" t="e">
        <f ca="1">IF(H13="0","0",VLOOKUP(A13,'서식(직납)'!B:K,10,0))</f>
        <v>#N/A</v>
      </c>
      <c r="J13" s="7" t="e">
        <f t="shared" ca="1" si="1"/>
        <v>#N/A</v>
      </c>
    </row>
    <row r="14" spans="1:16" ht="12" hidden="1" customHeight="1">
      <c r="A14" s="4" t="str">
        <f t="shared" si="0"/>
        <v>81010902ME00621AM1</v>
      </c>
      <c r="B14" s="9">
        <v>81010000</v>
      </c>
      <c r="C14" s="10"/>
      <c r="D14" s="10">
        <v>81010902</v>
      </c>
      <c r="E14" s="71" t="s">
        <v>427</v>
      </c>
      <c r="F14" s="107" t="s">
        <v>619</v>
      </c>
      <c r="G14" s="107"/>
      <c r="H14" s="9">
        <f ca="1">SUMIF('서식(직납)'!B:L,'Summary(수주업로드용)'!A14,'서식(직납)'!J:J)</f>
        <v>0</v>
      </c>
      <c r="I14" s="28" t="e">
        <f ca="1">IF(H14="0","0",VLOOKUP(A14,'서식(직납)'!B:K,10,0))</f>
        <v>#N/A</v>
      </c>
      <c r="J14" s="7" t="e">
        <f t="shared" ca="1" si="1"/>
        <v>#N/A</v>
      </c>
    </row>
    <row r="15" spans="1:16" ht="12" hidden="1" customHeight="1">
      <c r="A15" s="4" t="str">
        <f t="shared" si="0"/>
        <v>81010902ME00621AS1</v>
      </c>
      <c r="B15" s="9">
        <v>81010000</v>
      </c>
      <c r="C15" s="10"/>
      <c r="D15" s="10">
        <v>81010902</v>
      </c>
      <c r="E15" s="71" t="s">
        <v>427</v>
      </c>
      <c r="F15" s="107" t="s">
        <v>577</v>
      </c>
      <c r="G15" s="107"/>
      <c r="H15" s="9">
        <f ca="1">SUMIF('서식(직납)'!B:L,'Summary(수주업로드용)'!A15,'서식(직납)'!J:J)</f>
        <v>0</v>
      </c>
      <c r="I15" s="28" t="e">
        <f ca="1">IF(H15="0","0",VLOOKUP(A15,'서식(직납)'!B:K,10,0))</f>
        <v>#N/A</v>
      </c>
      <c r="J15" s="7" t="e">
        <f t="shared" ca="1" si="1"/>
        <v>#N/A</v>
      </c>
      <c r="K15" s="4" t="e">
        <f>VLOOKUP(F15,'SUM(히아풀젤,폼 아이캐쳐붙인걸로)'!A:E,4,0)</f>
        <v>#N/A</v>
      </c>
    </row>
    <row r="16" spans="1:16" ht="12" hidden="1" customHeight="1">
      <c r="A16" s="4" t="str">
        <f t="shared" si="0"/>
        <v>81010902ME00621AR1</v>
      </c>
      <c r="B16" s="9">
        <v>81010000</v>
      </c>
      <c r="C16" s="10"/>
      <c r="D16" s="10">
        <v>81010902</v>
      </c>
      <c r="E16" s="71" t="s">
        <v>427</v>
      </c>
      <c r="F16" s="107" t="s">
        <v>576</v>
      </c>
      <c r="G16" s="107"/>
      <c r="H16" s="9">
        <f ca="1">SUMIF('서식(직납)'!B:L,'Summary(수주업로드용)'!A16,'서식(직납)'!J:J)</f>
        <v>0</v>
      </c>
      <c r="I16" s="28" t="e">
        <f ca="1">IF(H16="0","0",VLOOKUP(A16,'서식(직납)'!B:K,10,0))</f>
        <v>#N/A</v>
      </c>
      <c r="J16" s="7" t="e">
        <f t="shared" ca="1" si="1"/>
        <v>#N/A</v>
      </c>
      <c r="K16" s="4" t="e">
        <f>VLOOKUP(F16,'SUM(히아풀젤,폼 아이캐쳐붙인걸로)'!A:E,4,0)</f>
        <v>#N/A</v>
      </c>
    </row>
    <row r="17" spans="1:13" ht="12" hidden="1" customHeight="1">
      <c r="A17" s="4" t="str">
        <f t="shared" si="0"/>
        <v>81010902ME00621AL1</v>
      </c>
      <c r="B17" s="9">
        <v>81010000</v>
      </c>
      <c r="C17" s="10"/>
      <c r="D17" s="10">
        <v>81010902</v>
      </c>
      <c r="E17" s="71" t="s">
        <v>427</v>
      </c>
      <c r="F17" s="107" t="s">
        <v>575</v>
      </c>
      <c r="G17" s="107"/>
      <c r="H17" s="9">
        <f ca="1">SUMIF('서식(직납)'!B:L,'Summary(수주업로드용)'!A17,'서식(직납)'!J:J)</f>
        <v>0</v>
      </c>
      <c r="I17" s="28" t="e">
        <f ca="1">IF(H17="0","0",VLOOKUP(A17,'서식(직납)'!B:K,10,0))</f>
        <v>#N/A</v>
      </c>
      <c r="J17" s="7" t="e">
        <f t="shared" ca="1" si="1"/>
        <v>#N/A</v>
      </c>
      <c r="K17" s="4" t="e">
        <f>VLOOKUP(F17,'SUM(히아풀젤,폼 아이캐쳐붙인걸로)'!A:E,4,0)</f>
        <v>#N/A</v>
      </c>
    </row>
    <row r="18" spans="1:13" ht="12" hidden="1" customHeight="1">
      <c r="A18" s="4" t="str">
        <f t="shared" si="0"/>
        <v>81010902ME00621AG1</v>
      </c>
      <c r="B18" s="9">
        <v>81010000</v>
      </c>
      <c r="C18" s="10"/>
      <c r="D18" s="10">
        <v>81010902</v>
      </c>
      <c r="E18" s="71" t="s">
        <v>427</v>
      </c>
      <c r="F18" s="107" t="s">
        <v>574</v>
      </c>
      <c r="G18" s="107"/>
      <c r="H18" s="9">
        <f ca="1">SUMIF('서식(직납)'!B:L,'Summary(수주업로드용)'!A18,'서식(직납)'!J:J)</f>
        <v>0</v>
      </c>
      <c r="I18" s="28" t="e">
        <f ca="1">IF(H18="0","0",VLOOKUP(A18,'서식(직납)'!B:K,10,0))</f>
        <v>#N/A</v>
      </c>
      <c r="J18" s="7" t="e">
        <f t="shared" ca="1" si="1"/>
        <v>#N/A</v>
      </c>
      <c r="K18" s="4" t="e">
        <f>VLOOKUP(F18,'SUM(히아풀젤,폼 아이캐쳐붙인걸로)'!A:E,4,0)</f>
        <v>#N/A</v>
      </c>
    </row>
    <row r="19" spans="1:13" ht="12" hidden="1" customHeight="1">
      <c r="A19" s="4" t="str">
        <f t="shared" si="0"/>
        <v>81010902ME00621AF9</v>
      </c>
      <c r="B19" s="9">
        <v>81010000</v>
      </c>
      <c r="C19" s="10"/>
      <c r="D19" s="10">
        <v>81010902</v>
      </c>
      <c r="E19" s="71" t="s">
        <v>427</v>
      </c>
      <c r="F19" s="107" t="s">
        <v>969</v>
      </c>
      <c r="G19" s="107"/>
      <c r="H19" s="9">
        <f ca="1">SUMIF('서식(직납)'!B:L,'Summary(수주업로드용)'!A19,'서식(직납)'!J:J)</f>
        <v>0</v>
      </c>
      <c r="I19" s="28" t="e">
        <f ca="1">IF(H19="0","0",VLOOKUP(A19,'서식(직납)'!B:K,10,0))</f>
        <v>#N/A</v>
      </c>
      <c r="J19" s="7" t="e">
        <f t="shared" ca="1" si="1"/>
        <v>#N/A</v>
      </c>
      <c r="K19" s="4" t="e">
        <f>VLOOKUP(F19,'SUM(히아풀젤,폼 아이캐쳐붙인걸로)'!A:E,5,0)</f>
        <v>#N/A</v>
      </c>
      <c r="M19" s="4" t="str">
        <f>VLOOKUP(F19,제품명!$D:$E,2,0)</f>
        <v xml:space="preserve">아크네스 더마 릴리프 모이스처 폼클렌저 </v>
      </c>
    </row>
    <row r="20" spans="1:13" ht="12" hidden="1" customHeight="1">
      <c r="A20" s="4" t="str">
        <f t="shared" si="0"/>
        <v>81010902ME00621A08</v>
      </c>
      <c r="B20" s="9">
        <v>81010000</v>
      </c>
      <c r="C20" s="10"/>
      <c r="D20" s="10">
        <v>81010902</v>
      </c>
      <c r="E20" s="71" t="s">
        <v>427</v>
      </c>
      <c r="F20" s="107" t="s">
        <v>482</v>
      </c>
      <c r="G20" s="107"/>
      <c r="H20" s="9">
        <f ca="1">SUMIF('서식(직납)'!B:L,'Summary(수주업로드용)'!A20,'서식(직납)'!J:J)</f>
        <v>0</v>
      </c>
      <c r="I20" s="28" t="e">
        <f ca="1">IF(H20="0","0",VLOOKUP(A20,'서식(직납)'!B:K,10,0))</f>
        <v>#N/A</v>
      </c>
      <c r="J20" s="7" t="e">
        <f t="shared" ca="1" si="1"/>
        <v>#N/A</v>
      </c>
      <c r="K20" s="4" t="e">
        <f>VLOOKUP(F20,'SUM(히아풀젤,폼 아이캐쳐붙인걸로)'!A:E,5,0)</f>
        <v>#N/A</v>
      </c>
    </row>
    <row r="21" spans="1:13" ht="12" hidden="1" customHeight="1">
      <c r="A21" s="4" t="str">
        <f t="shared" si="0"/>
        <v>81010902ME90621SM4</v>
      </c>
      <c r="B21" s="9">
        <v>81010000</v>
      </c>
      <c r="C21" s="10"/>
      <c r="D21" s="10">
        <v>81010902</v>
      </c>
      <c r="E21" s="71" t="s">
        <v>427</v>
      </c>
      <c r="F21" s="108" t="s">
        <v>19</v>
      </c>
      <c r="G21" s="108"/>
      <c r="H21" s="9">
        <f ca="1">SUMIF('서식(직납)'!B:L,'Summary(수주업로드용)'!A21,'서식(직납)'!J:J)</f>
        <v>0</v>
      </c>
      <c r="I21" s="28" t="e">
        <f ca="1">IF(H21="0","0",VLOOKUP(A21,'서식(직납)'!B:K,10,0))</f>
        <v>#N/A</v>
      </c>
      <c r="J21" s="7" t="e">
        <f t="shared" ca="1" si="1"/>
        <v>#N/A</v>
      </c>
      <c r="K21" s="4" t="e">
        <f>VLOOKUP(F21,'SUM(히아풀젤,폼 아이캐쳐붙인걸로)'!A:E,4,0)</f>
        <v>#N/A</v>
      </c>
    </row>
    <row r="22" spans="1:13" ht="12" hidden="1" customHeight="1">
      <c r="A22" s="4" t="str">
        <f t="shared" si="0"/>
        <v>81010902ME90621SL2</v>
      </c>
      <c r="B22" s="9">
        <v>81010000</v>
      </c>
      <c r="C22" s="10"/>
      <c r="D22" s="10">
        <v>81010902</v>
      </c>
      <c r="E22" s="71" t="s">
        <v>427</v>
      </c>
      <c r="F22" s="108" t="s">
        <v>628</v>
      </c>
      <c r="G22" s="108"/>
      <c r="H22" s="9">
        <f ca="1">SUMIF('서식(직납)'!B:L,'Summary(수주업로드용)'!A22,'서식(직납)'!J:J)</f>
        <v>0</v>
      </c>
      <c r="I22" s="28" t="e">
        <f ca="1">IF(H22="0","0",VLOOKUP(A22,'서식(직납)'!B:K,10,0))</f>
        <v>#N/A</v>
      </c>
      <c r="J22" s="7" t="e">
        <f t="shared" ca="1" si="1"/>
        <v>#N/A</v>
      </c>
      <c r="K22" s="4" t="e">
        <f>VLOOKUP(F22,'SUM(히아풀젤,폼 아이캐쳐붙인걸로)'!A:E,4,0)</f>
        <v>#N/A</v>
      </c>
    </row>
    <row r="23" spans="1:13" ht="12" hidden="1" customHeight="1">
      <c r="A23" s="4" t="str">
        <f t="shared" si="0"/>
        <v>81010902ME90621SCM</v>
      </c>
      <c r="B23" s="9">
        <v>81010000</v>
      </c>
      <c r="C23" s="10"/>
      <c r="D23" s="10">
        <v>81010902</v>
      </c>
      <c r="E23" s="71" t="s">
        <v>427</v>
      </c>
      <c r="F23" s="108" t="s">
        <v>361</v>
      </c>
      <c r="G23" s="108"/>
      <c r="H23" s="9">
        <f ca="1">SUMIF('서식(직납)'!B:L,'Summary(수주업로드용)'!A23,'서식(직납)'!J:J)</f>
        <v>0</v>
      </c>
      <c r="I23" s="28" t="e">
        <f ca="1">IF(H23="0","0",VLOOKUP(A23,'서식(직납)'!B:K,10,0))</f>
        <v>#N/A</v>
      </c>
      <c r="J23" s="7" t="e">
        <f t="shared" ca="1" si="1"/>
        <v>#N/A</v>
      </c>
      <c r="K23" s="4" t="e">
        <f>VLOOKUP(F23,'SUM(히아풀젤,폼 아이캐쳐붙인걸로)'!A:E,4,0)</f>
        <v>#N/A</v>
      </c>
    </row>
    <row r="24" spans="1:13" ht="12" hidden="1" customHeight="1">
      <c r="A24" s="4" t="str">
        <f t="shared" si="0"/>
        <v>81010902ME90621KW1</v>
      </c>
      <c r="B24" s="9">
        <v>81010000</v>
      </c>
      <c r="C24" s="10"/>
      <c r="D24" s="10">
        <v>81010902</v>
      </c>
      <c r="E24" s="71" t="s">
        <v>427</v>
      </c>
      <c r="F24" s="108" t="s">
        <v>616</v>
      </c>
      <c r="G24" s="108"/>
      <c r="H24" s="9">
        <f ca="1">SUMIF('서식(직납)'!B:L,'Summary(수주업로드용)'!A24,'서식(직납)'!J:J)</f>
        <v>0</v>
      </c>
      <c r="I24" s="28" t="e">
        <f ca="1">IF(H24="0","0",VLOOKUP(A24,'서식(직납)'!B:K,10,0))</f>
        <v>#N/A</v>
      </c>
      <c r="J24" s="7" t="e">
        <f t="shared" ca="1" si="1"/>
        <v>#N/A</v>
      </c>
      <c r="K24" s="4" t="e">
        <f>VLOOKUP(F24,'SUM(히아풀젤,폼 아이캐쳐붙인걸로)'!A:E,4,0)</f>
        <v>#N/A</v>
      </c>
    </row>
    <row r="25" spans="1:13" ht="12" hidden="1" customHeight="1">
      <c r="A25" s="4" t="str">
        <f t="shared" si="0"/>
        <v>81010902ME00621H51</v>
      </c>
      <c r="B25" s="9">
        <v>81010000</v>
      </c>
      <c r="C25" s="10"/>
      <c r="D25" s="10">
        <v>81010902</v>
      </c>
      <c r="E25" s="71" t="s">
        <v>427</v>
      </c>
      <c r="F25" s="108" t="s">
        <v>611</v>
      </c>
      <c r="G25" s="108"/>
      <c r="H25" s="9">
        <f ca="1">SUMIF('서식(직납)'!B:L,'Summary(수주업로드용)'!A25,'서식(직납)'!J:J)</f>
        <v>0</v>
      </c>
      <c r="I25" s="28" t="e">
        <f ca="1">IF(H25="0","0",VLOOKUP(A25,'서식(직납)'!B:K,10,0))</f>
        <v>#N/A</v>
      </c>
      <c r="J25" s="7" t="e">
        <f t="shared" ca="1" si="1"/>
        <v>#N/A</v>
      </c>
      <c r="K25" s="4" t="e">
        <f>VLOOKUP(F25,'SUM(히아풀젤,폼 아이캐쳐붙인걸로)'!A:E,4,0)</f>
        <v>#N/A</v>
      </c>
    </row>
    <row r="26" spans="1:13" ht="12" hidden="1" customHeight="1">
      <c r="A26" s="4" t="str">
        <f t="shared" si="0"/>
        <v>81010902ME90621GPM</v>
      </c>
      <c r="B26" s="9">
        <v>81010000</v>
      </c>
      <c r="C26" s="10"/>
      <c r="D26" s="10">
        <v>81010902</v>
      </c>
      <c r="E26" s="71" t="s">
        <v>427</v>
      </c>
      <c r="F26" s="108" t="s">
        <v>534</v>
      </c>
      <c r="G26" s="108"/>
      <c r="H26" s="9">
        <f ca="1">SUMIF('서식(직납)'!B:L,'Summary(수주업로드용)'!A26,'서식(직납)'!J:J)</f>
        <v>0</v>
      </c>
      <c r="I26" s="28" t="e">
        <f ca="1">IF(H26="0","0",VLOOKUP(A26,'서식(직납)'!B:K,10,0))</f>
        <v>#N/A</v>
      </c>
      <c r="J26" s="7" t="e">
        <f t="shared" ca="1" si="1"/>
        <v>#N/A</v>
      </c>
      <c r="K26" s="4" t="e">
        <f>VLOOKUP(F26,'SUM(히아풀젤,폼 아이캐쳐붙인걸로)'!A:E,4,0)</f>
        <v>#N/A</v>
      </c>
    </row>
    <row r="27" spans="1:13" ht="12" hidden="1" customHeight="1">
      <c r="A27" s="4" t="str">
        <f t="shared" si="0"/>
        <v>81010902ME90621GPL</v>
      </c>
      <c r="B27" s="9">
        <v>81010000</v>
      </c>
      <c r="C27" s="10"/>
      <c r="D27" s="10">
        <v>81010902</v>
      </c>
      <c r="E27" s="71" t="s">
        <v>427</v>
      </c>
      <c r="F27" s="108" t="s">
        <v>533</v>
      </c>
      <c r="G27" s="108"/>
      <c r="H27" s="9">
        <f ca="1">SUMIF('서식(직납)'!B:L,'Summary(수주업로드용)'!A27,'서식(직납)'!J:J)</f>
        <v>0</v>
      </c>
      <c r="I27" s="28" t="e">
        <f ca="1">IF(H27="0","0",VLOOKUP(A27,'서식(직납)'!B:K,10,0))</f>
        <v>#N/A</v>
      </c>
      <c r="J27" s="7" t="e">
        <f t="shared" ca="1" si="1"/>
        <v>#N/A</v>
      </c>
      <c r="K27" s="4" t="e">
        <f>VLOOKUP(F27,'SUM(히아풀젤,폼 아이캐쳐붙인걸로)'!A:E,4,0)</f>
        <v>#N/A</v>
      </c>
    </row>
    <row r="28" spans="1:13" ht="12" hidden="1" customHeight="1">
      <c r="A28" s="4" t="str">
        <f t="shared" si="0"/>
        <v>81010902ME90621GPJ</v>
      </c>
      <c r="B28" s="9">
        <v>81010000</v>
      </c>
      <c r="C28" s="10"/>
      <c r="D28" s="10">
        <v>81010902</v>
      </c>
      <c r="E28" s="71" t="s">
        <v>427</v>
      </c>
      <c r="F28" s="108" t="s">
        <v>532</v>
      </c>
      <c r="G28" s="108"/>
      <c r="H28" s="9">
        <f ca="1">SUMIF('서식(직납)'!B:L,'Summary(수주업로드용)'!A28,'서식(직납)'!J:J)</f>
        <v>0</v>
      </c>
      <c r="I28" s="28" t="e">
        <f ca="1">IF(H28="0","0",VLOOKUP(A28,'서식(직납)'!B:K,10,0))</f>
        <v>#N/A</v>
      </c>
      <c r="J28" s="7" t="e">
        <f t="shared" ca="1" si="1"/>
        <v>#N/A</v>
      </c>
      <c r="K28" s="4" t="e">
        <f>VLOOKUP(F28,'SUM(히아풀젤,폼 아이캐쳐붙인걸로)'!A:E,4,0)</f>
        <v>#N/A</v>
      </c>
    </row>
    <row r="29" spans="1:13" ht="12" hidden="1" customHeight="1">
      <c r="A29" s="4" t="str">
        <f t="shared" si="0"/>
        <v>81010902ME90621GO8</v>
      </c>
      <c r="B29" s="9">
        <v>81010000</v>
      </c>
      <c r="C29" s="10"/>
      <c r="D29" s="10">
        <v>81010902</v>
      </c>
      <c r="E29" s="71" t="s">
        <v>427</v>
      </c>
      <c r="F29" s="108" t="s">
        <v>956</v>
      </c>
      <c r="G29" s="108"/>
      <c r="H29" s="9">
        <f ca="1">SUMIF('서식(직납)'!B:L,'Summary(수주업로드용)'!A29,'서식(직납)'!J:J)</f>
        <v>0</v>
      </c>
      <c r="I29" s="28" t="e">
        <f ca="1">IF(H29="0","0",VLOOKUP(A29,'서식(직납)'!B:K,10,0))</f>
        <v>#N/A</v>
      </c>
      <c r="J29" s="7" t="e">
        <f t="shared" ca="1" si="1"/>
        <v>#N/A</v>
      </c>
      <c r="M29" s="4" t="str">
        <f>VLOOKUP(F29,제품명!$D:$E,2,0)</f>
        <v>하다라보 고쿠쥰 오일 클렌징 200ml</v>
      </c>
    </row>
    <row r="30" spans="1:13" ht="12" hidden="1" customHeight="1">
      <c r="A30" s="4" t="str">
        <f t="shared" si="0"/>
        <v>81010902ME90621GM5</v>
      </c>
      <c r="B30" s="9">
        <v>81010000</v>
      </c>
      <c r="C30" s="10"/>
      <c r="D30" s="10">
        <v>81010902</v>
      </c>
      <c r="E30" s="71" t="s">
        <v>427</v>
      </c>
      <c r="F30" s="108" t="s">
        <v>537</v>
      </c>
      <c r="G30" s="108"/>
      <c r="H30" s="9">
        <f ca="1">SUMIF('서식(직납)'!B:L,'Summary(수주업로드용)'!A30,'서식(직납)'!J:J)</f>
        <v>0</v>
      </c>
      <c r="I30" s="28" t="e">
        <f ca="1">IF(H30="0","0",VLOOKUP(A30,'서식(직납)'!B:K,10,0))</f>
        <v>#N/A</v>
      </c>
      <c r="J30" s="7" t="e">
        <f t="shared" ca="1" si="1"/>
        <v>#N/A</v>
      </c>
      <c r="K30" s="4" t="e">
        <f>VLOOKUP(F30,'SUM(히아풀젤,폼 아이캐쳐붙인걸로)'!A:E,5,0)</f>
        <v>#N/A</v>
      </c>
    </row>
    <row r="31" spans="1:13" ht="12" hidden="1" customHeight="1">
      <c r="A31" s="4" t="str">
        <f t="shared" si="0"/>
        <v>81010902ME90621GLK</v>
      </c>
      <c r="B31" s="9">
        <v>81010000</v>
      </c>
      <c r="C31" s="10"/>
      <c r="D31" s="10">
        <v>81010902</v>
      </c>
      <c r="E31" s="71" t="s">
        <v>427</v>
      </c>
      <c r="F31" s="108" t="s">
        <v>604</v>
      </c>
      <c r="G31" s="108"/>
      <c r="H31" s="9">
        <f ca="1">SUMIF('서식(직납)'!B:L,'Summary(수주업로드용)'!A31,'서식(직납)'!J:J)</f>
        <v>0</v>
      </c>
      <c r="I31" s="28" t="e">
        <f ca="1">IF(H31="0","0",VLOOKUP(A31,'서식(직납)'!B:K,10,0))</f>
        <v>#N/A</v>
      </c>
      <c r="J31" s="7" t="e">
        <f t="shared" ca="1" si="1"/>
        <v>#N/A</v>
      </c>
    </row>
    <row r="32" spans="1:13" ht="12" hidden="1" customHeight="1">
      <c r="A32" s="4" t="str">
        <f t="shared" si="0"/>
        <v>81010902ME90621GL6</v>
      </c>
      <c r="B32" s="9">
        <v>81010000</v>
      </c>
      <c r="C32" s="10"/>
      <c r="D32" s="10">
        <v>81010902</v>
      </c>
      <c r="E32" s="71" t="s">
        <v>427</v>
      </c>
      <c r="F32" s="108" t="s">
        <v>536</v>
      </c>
      <c r="G32" s="108"/>
      <c r="H32" s="9">
        <f ca="1">SUMIF('서식(직납)'!B:L,'Summary(수주업로드용)'!A32,'서식(직납)'!J:J)</f>
        <v>0</v>
      </c>
      <c r="I32" s="28" t="e">
        <f ca="1">IF(H32="0","0",VLOOKUP(A32,'서식(직납)'!B:K,10,0))</f>
        <v>#N/A</v>
      </c>
      <c r="J32" s="7" t="e">
        <f t="shared" ca="1" si="1"/>
        <v>#N/A</v>
      </c>
      <c r="K32" s="4" t="e">
        <f>VLOOKUP(F32,'SUM(히아풀젤,폼 아이캐쳐붙인걸로)'!A:E,4,0)</f>
        <v>#N/A</v>
      </c>
    </row>
    <row r="33" spans="1:13" ht="12" hidden="1" customHeight="1">
      <c r="A33" s="4" t="str">
        <f t="shared" si="0"/>
        <v>81010902ME90621GHV</v>
      </c>
      <c r="B33" s="9">
        <v>81010000</v>
      </c>
      <c r="C33" s="10"/>
      <c r="D33" s="10">
        <v>81010902</v>
      </c>
      <c r="E33" s="71" t="s">
        <v>427</v>
      </c>
      <c r="F33" s="108" t="s">
        <v>623</v>
      </c>
      <c r="G33" s="108"/>
      <c r="H33" s="9">
        <f ca="1">SUMIF('서식(직납)'!B:L,'Summary(수주업로드용)'!A33,'서식(직납)'!J:J)</f>
        <v>0</v>
      </c>
      <c r="I33" s="28" t="e">
        <f ca="1">IF(H33="0","0",VLOOKUP(A33,'서식(직납)'!B:K,10,0))</f>
        <v>#N/A</v>
      </c>
      <c r="J33" s="7" t="e">
        <f t="shared" ca="1" si="1"/>
        <v>#N/A</v>
      </c>
      <c r="K33" s="4" t="e">
        <f>VLOOKUP(F33,'SUM(히아풀젤,폼 아이캐쳐붙인걸로)'!A:E,5,0)</f>
        <v>#N/A</v>
      </c>
    </row>
    <row r="34" spans="1:13" ht="12" hidden="1" customHeight="1">
      <c r="A34" s="4" t="str">
        <f t="shared" si="0"/>
        <v>81010902ME00621H41</v>
      </c>
      <c r="B34" s="9">
        <v>81010000</v>
      </c>
      <c r="C34" s="10"/>
      <c r="D34" s="10">
        <v>81010902</v>
      </c>
      <c r="E34" s="71" t="s">
        <v>427</v>
      </c>
      <c r="F34" s="108" t="s">
        <v>667</v>
      </c>
      <c r="G34" s="108"/>
      <c r="H34" s="9">
        <f ca="1">SUMIF('서식(직납)'!B:L,'Summary(수주업로드용)'!A34,'서식(직납)'!J:J)</f>
        <v>0</v>
      </c>
      <c r="I34" s="28" t="e">
        <f ca="1">IF(H34="0","0",VLOOKUP(A34,'서식(직납)'!B:K,10,0))</f>
        <v>#N/A</v>
      </c>
      <c r="J34" s="7" t="e">
        <f t="shared" ca="1" si="1"/>
        <v>#N/A</v>
      </c>
      <c r="K34" s="4" t="e">
        <f>VLOOKUP(F34,'SUM(히아풀젤,폼 아이캐쳐붙인걸로)'!A:E,5,0)</f>
        <v>#N/A</v>
      </c>
    </row>
    <row r="35" spans="1:13" ht="12" hidden="1" customHeight="1">
      <c r="A35" s="4" t="str">
        <f t="shared" si="0"/>
        <v>81010902ME00621CM5</v>
      </c>
      <c r="B35" s="9">
        <v>81010000</v>
      </c>
      <c r="C35" s="10"/>
      <c r="D35" s="10">
        <v>81010902</v>
      </c>
      <c r="E35" s="71" t="s">
        <v>427</v>
      </c>
      <c r="F35" s="108" t="s">
        <v>620</v>
      </c>
      <c r="G35" s="108"/>
      <c r="H35" s="9">
        <f ca="1">SUMIF('서식(직납)'!B:L,'Summary(수주업로드용)'!A35,'서식(직납)'!J:J)</f>
        <v>0</v>
      </c>
      <c r="I35" s="28" t="e">
        <f ca="1">IF(H35="0","0",VLOOKUP(A35,'서식(직납)'!B:K,10,0))</f>
        <v>#N/A</v>
      </c>
      <c r="J35" s="7" t="e">
        <f t="shared" ca="1" si="1"/>
        <v>#N/A</v>
      </c>
      <c r="K35" s="4">
        <f>VLOOKUP(F35,'SUM(히아풀젤,폼 아이캐쳐붙인걸로)'!A:E,5,0)</f>
        <v>0</v>
      </c>
    </row>
    <row r="36" spans="1:13" ht="12" hidden="1" customHeight="1">
      <c r="A36" s="4" t="str">
        <f t="shared" si="0"/>
        <v>81010902ME90621GE1</v>
      </c>
      <c r="B36" s="9">
        <v>81010000</v>
      </c>
      <c r="C36" s="10"/>
      <c r="D36" s="10">
        <v>81010902</v>
      </c>
      <c r="E36" s="71" t="s">
        <v>427</v>
      </c>
      <c r="F36" s="108" t="s">
        <v>523</v>
      </c>
      <c r="G36" s="108"/>
      <c r="H36" s="9">
        <f ca="1">SUMIF('서식(직납)'!B:L,'Summary(수주업로드용)'!A36,'서식(직납)'!J:J)</f>
        <v>0</v>
      </c>
      <c r="I36" s="28" t="e">
        <f ca="1">IF(H36="0","0",VLOOKUP(A36,'서식(직납)'!B:K,10,0))</f>
        <v>#N/A</v>
      </c>
      <c r="J36" s="7" t="e">
        <f t="shared" ca="1" si="1"/>
        <v>#N/A</v>
      </c>
      <c r="K36" s="4" t="e">
        <f>VLOOKUP(F36,'SUM(히아풀젤,폼 아이캐쳐붙인걸로)'!A:E,4,0)</f>
        <v>#N/A</v>
      </c>
    </row>
    <row r="37" spans="1:13" ht="12" hidden="1" customHeight="1">
      <c r="A37" s="4" t="str">
        <f t="shared" si="0"/>
        <v>81010902ME90621GCK</v>
      </c>
      <c r="B37" s="9">
        <v>81010000</v>
      </c>
      <c r="C37" s="10"/>
      <c r="D37" s="10">
        <v>81010902</v>
      </c>
      <c r="E37" s="71" t="s">
        <v>427</v>
      </c>
      <c r="F37" s="108" t="s">
        <v>636</v>
      </c>
      <c r="G37" s="108"/>
      <c r="H37" s="9">
        <f ca="1">SUMIF('서식(직납)'!B:L,'Summary(수주업로드용)'!A37,'서식(직납)'!J:J)</f>
        <v>0</v>
      </c>
      <c r="I37" s="28" t="e">
        <f ca="1">IF(H37="0","0",VLOOKUP(A37,'서식(직납)'!B:K,10,0))</f>
        <v>#N/A</v>
      </c>
      <c r="J37" s="7" t="e">
        <f t="shared" ca="1" si="1"/>
        <v>#N/A</v>
      </c>
      <c r="K37" s="4" t="e">
        <f>VLOOKUP(F37,'SUM(히아풀젤,폼 아이캐쳐붙인걸로)'!A:E,4,0)</f>
        <v>#N/A</v>
      </c>
    </row>
    <row r="38" spans="1:13" ht="12" hidden="1" customHeight="1">
      <c r="A38" s="4" t="str">
        <f t="shared" si="0"/>
        <v>81010902ME00621SS1</v>
      </c>
      <c r="B38" s="9">
        <v>81010000</v>
      </c>
      <c r="C38" s="10"/>
      <c r="D38" s="10">
        <v>81010902</v>
      </c>
      <c r="E38" s="71" t="s">
        <v>427</v>
      </c>
      <c r="F38" s="108" t="s">
        <v>524</v>
      </c>
      <c r="G38" s="108"/>
      <c r="H38" s="9">
        <f ca="1">SUMIF('서식(직납)'!B:L,'Summary(수주업로드용)'!A38,'서식(직납)'!J:J)</f>
        <v>0</v>
      </c>
      <c r="I38" s="28" t="e">
        <f ca="1">IF(H38="0","0",VLOOKUP(A38,'서식(직납)'!B:K,10,0))</f>
        <v>#N/A</v>
      </c>
      <c r="J38" s="7" t="e">
        <f t="shared" ca="1" si="1"/>
        <v>#N/A</v>
      </c>
      <c r="K38" s="4" t="e">
        <f>VLOOKUP(F38,'SUM(히아풀젤,폼 아이캐쳐붙인걸로)'!A:E,4,0)</f>
        <v>#N/A</v>
      </c>
    </row>
    <row r="39" spans="1:13" ht="12" hidden="1" customHeight="1">
      <c r="A39" s="4" t="str">
        <f t="shared" si="0"/>
        <v>81010902ME00621GP1</v>
      </c>
      <c r="B39" s="9">
        <v>81010000</v>
      </c>
      <c r="C39" s="10"/>
      <c r="D39" s="10">
        <v>81010902</v>
      </c>
      <c r="E39" s="71" t="s">
        <v>427</v>
      </c>
      <c r="F39" s="108" t="s">
        <v>337</v>
      </c>
      <c r="G39" s="108"/>
      <c r="H39" s="9">
        <f ca="1">SUMIF('서식(직납)'!B:L,'Summary(수주업로드용)'!A39,'서식(직납)'!J:J)</f>
        <v>0</v>
      </c>
      <c r="I39" s="28" t="e">
        <f ca="1">IF(H39="0","0",VLOOKUP(A39,'서식(직납)'!B:K,10,0))</f>
        <v>#N/A</v>
      </c>
      <c r="J39" s="7" t="e">
        <f t="shared" ca="1" si="1"/>
        <v>#N/A</v>
      </c>
      <c r="K39" s="4" t="e">
        <f>VLOOKUP(F39,'SUM(히아풀젤,폼 아이캐쳐붙인걸로)'!A:E,4,0)</f>
        <v>#N/A</v>
      </c>
    </row>
    <row r="40" spans="1:13" ht="12" hidden="1" customHeight="1">
      <c r="A40" s="4" t="str">
        <f t="shared" si="0"/>
        <v>81010902ME90521GS2</v>
      </c>
      <c r="B40" s="9">
        <v>81010000</v>
      </c>
      <c r="C40" s="10"/>
      <c r="D40" s="10">
        <v>81010902</v>
      </c>
      <c r="E40" s="71" t="s">
        <v>427</v>
      </c>
      <c r="F40" s="107" t="s">
        <v>916</v>
      </c>
      <c r="G40" s="107"/>
      <c r="H40" s="9">
        <f ca="1">SUMIF('서식(직납)'!B:L,'Summary(수주업로드용)'!A40,'서식(직납)'!J:J)</f>
        <v>0</v>
      </c>
      <c r="I40" s="28" t="e">
        <f ca="1">IF(H40="0","0",VLOOKUP(A40,'서식(직납)'!B:K,10,0))</f>
        <v>#N/A</v>
      </c>
      <c r="J40" s="7" t="e">
        <f t="shared" ca="1" si="1"/>
        <v>#N/A</v>
      </c>
      <c r="K40" s="4">
        <f>VLOOKUP(F40,'SUM(히아풀젤,폼 아이캐쳐붙인걸로)'!A:E,5,0)</f>
        <v>0</v>
      </c>
      <c r="M40" s="4" t="str">
        <f>VLOOKUP(F40,제품명!$D:$E,2,0)</f>
        <v>립아이스 립밤 스트로베리 (2021) (12입)</v>
      </c>
    </row>
    <row r="41" spans="1:13" ht="12" hidden="1" customHeight="1">
      <c r="A41" s="4" t="str">
        <f t="shared" si="0"/>
        <v>81010902ME90521LD9</v>
      </c>
      <c r="B41" s="9">
        <v>81010000</v>
      </c>
      <c r="C41" s="10"/>
      <c r="D41" s="10">
        <v>81010902</v>
      </c>
      <c r="E41" s="71" t="s">
        <v>427</v>
      </c>
      <c r="F41" s="107" t="s">
        <v>918</v>
      </c>
      <c r="G41" s="107"/>
      <c r="H41" s="9">
        <f ca="1">SUMIF('서식(직납)'!B:L,'Summary(수주업로드용)'!A41,'서식(직납)'!J:J)</f>
        <v>0</v>
      </c>
      <c r="I41" s="28" t="e">
        <f ca="1">IF(H41="0","0",VLOOKUP(A41,'서식(직납)'!B:K,10,0))</f>
        <v>#N/A</v>
      </c>
      <c r="J41" s="7" t="e">
        <f t="shared" ca="1" si="1"/>
        <v>#N/A</v>
      </c>
      <c r="K41" s="4">
        <f>VLOOKUP(F41,'SUM(히아풀젤,폼 아이캐쳐붙인걸로)'!A:E,5,0)</f>
        <v>0</v>
      </c>
      <c r="M41" s="4" t="str">
        <f>VLOOKUP(F41,제품명!$D:$E,2,0)</f>
        <v>립아이스 립밤 레몬 (2021) (12입)</v>
      </c>
    </row>
    <row r="42" spans="1:13" ht="12" hidden="1" customHeight="1">
      <c r="A42" s="4" t="str">
        <f t="shared" si="0"/>
        <v>81010902ME90521GT2</v>
      </c>
      <c r="B42" s="9">
        <v>81010000</v>
      </c>
      <c r="C42" s="10"/>
      <c r="D42" s="10">
        <v>81010902</v>
      </c>
      <c r="E42" s="71" t="s">
        <v>427</v>
      </c>
      <c r="F42" s="107" t="s">
        <v>912</v>
      </c>
      <c r="G42" s="107"/>
      <c r="H42" s="9">
        <f ca="1">SUMIF('서식(직납)'!B:L,'Summary(수주업로드용)'!A42,'서식(직납)'!J:J)</f>
        <v>0</v>
      </c>
      <c r="I42" s="28" t="e">
        <f ca="1">IF(H42="0","0",VLOOKUP(A42,'서식(직납)'!B:K,10,0))</f>
        <v>#N/A</v>
      </c>
      <c r="J42" s="7" t="e">
        <f t="shared" ca="1" si="1"/>
        <v>#N/A</v>
      </c>
      <c r="K42" s="4">
        <f>VLOOKUP(F42,'SUM(히아풀젤,폼 아이캐쳐붙인걸로)'!A:E,5,0)</f>
        <v>0</v>
      </c>
      <c r="M42" s="4" t="str">
        <f>VLOOKUP(F42,제품명!$D:$E,2,0)</f>
        <v>립아이스 립밤 그레이프프루트 티 (2021) (12입)</v>
      </c>
    </row>
    <row r="43" spans="1:13" ht="12" hidden="1" customHeight="1">
      <c r="A43" s="4" t="str">
        <f t="shared" si="0"/>
        <v>81010902ME90521OC6</v>
      </c>
      <c r="B43" s="9">
        <v>81010000</v>
      </c>
      <c r="C43" s="10"/>
      <c r="D43" s="10">
        <v>81010902</v>
      </c>
      <c r="E43" s="71" t="s">
        <v>427</v>
      </c>
      <c r="F43" s="107" t="s">
        <v>572</v>
      </c>
      <c r="G43" s="107"/>
      <c r="H43" s="9">
        <f ca="1">SUMIF('서식(직납)'!B:L,'Summary(수주업로드용)'!A43,'서식(직납)'!J:J)</f>
        <v>0</v>
      </c>
      <c r="I43" s="28" t="e">
        <f ca="1">IF(H43="0","0",VLOOKUP(A43,'서식(직납)'!B:K,10,0))</f>
        <v>#N/A</v>
      </c>
      <c r="J43" s="7" t="e">
        <f t="shared" ca="1" si="1"/>
        <v>#N/A</v>
      </c>
      <c r="K43" s="4" t="e">
        <f>VLOOKUP(F43,'SUM(히아풀젤,폼 아이캐쳐붙인걸로)'!A:E,4,0)</f>
        <v>#N/A</v>
      </c>
    </row>
    <row r="44" spans="1:13" ht="12" hidden="1" customHeight="1">
      <c r="A44" s="4" t="str">
        <f t="shared" si="0"/>
        <v>81010902ME90521OC5</v>
      </c>
      <c r="B44" s="9">
        <v>81010000</v>
      </c>
      <c r="C44" s="10"/>
      <c r="D44" s="10">
        <v>81010902</v>
      </c>
      <c r="E44" s="71" t="s">
        <v>427</v>
      </c>
      <c r="F44" s="107" t="s">
        <v>571</v>
      </c>
      <c r="G44" s="107"/>
      <c r="H44" s="9">
        <f ca="1">SUMIF('서식(직납)'!B:L,'Summary(수주업로드용)'!A44,'서식(직납)'!J:J)</f>
        <v>0</v>
      </c>
      <c r="I44" s="28" t="e">
        <f ca="1">IF(H44="0","0",VLOOKUP(A44,'서식(직납)'!B:K,10,0))</f>
        <v>#N/A</v>
      </c>
      <c r="J44" s="7" t="e">
        <f t="shared" ca="1" si="1"/>
        <v>#N/A</v>
      </c>
      <c r="K44" s="4" t="e">
        <f>VLOOKUP(F44,'SUM(히아풀젤,폼 아이캐쳐붙인걸로)'!A:E,4,0)</f>
        <v>#N/A</v>
      </c>
    </row>
    <row r="45" spans="1:13" ht="12" hidden="1" customHeight="1">
      <c r="A45" s="4" t="str">
        <f t="shared" si="0"/>
        <v>81010902ME90521OC4</v>
      </c>
      <c r="B45" s="9">
        <v>81010000</v>
      </c>
      <c r="C45" s="10"/>
      <c r="D45" s="10">
        <v>81010902</v>
      </c>
      <c r="E45" s="71" t="s">
        <v>427</v>
      </c>
      <c r="F45" s="107" t="s">
        <v>570</v>
      </c>
      <c r="G45" s="107"/>
      <c r="H45" s="9">
        <f ca="1">SUMIF('서식(직납)'!B:L,'Summary(수주업로드용)'!A45,'서식(직납)'!J:J)</f>
        <v>0</v>
      </c>
      <c r="I45" s="28" t="e">
        <f ca="1">IF(H45="0","0",VLOOKUP(A45,'서식(직납)'!B:K,10,0))</f>
        <v>#N/A</v>
      </c>
      <c r="J45" s="7" t="e">
        <f t="shared" ca="1" si="1"/>
        <v>#N/A</v>
      </c>
      <c r="K45" s="4" t="e">
        <f>VLOOKUP(F45,'SUM(히아풀젤,폼 아이캐쳐붙인걸로)'!A:E,4,0)</f>
        <v>#N/A</v>
      </c>
    </row>
    <row r="46" spans="1:13" ht="12" hidden="1" customHeight="1">
      <c r="A46" s="4" t="str">
        <f t="shared" si="0"/>
        <v>81010902ME90521LR1</v>
      </c>
      <c r="B46" s="9">
        <v>81010000</v>
      </c>
      <c r="C46" s="10"/>
      <c r="D46" s="10">
        <v>81010902</v>
      </c>
      <c r="E46" s="71" t="s">
        <v>427</v>
      </c>
      <c r="F46" s="107" t="s">
        <v>551</v>
      </c>
      <c r="G46" s="107"/>
      <c r="H46" s="9">
        <f ca="1">SUMIF('서식(직납)'!B:L,'Summary(수주업로드용)'!A46,'서식(직납)'!J:J)</f>
        <v>0</v>
      </c>
      <c r="I46" s="28" t="e">
        <f ca="1">IF(H46="0","0",VLOOKUP(A46,'서식(직납)'!B:K,10,0))</f>
        <v>#N/A</v>
      </c>
      <c r="J46" s="7" t="e">
        <f t="shared" ca="1" si="1"/>
        <v>#N/A</v>
      </c>
      <c r="K46" s="4" t="e">
        <f>VLOOKUP(F46,'SUM(히아풀젤,폼 아이캐쳐붙인걸로)'!A:E,5,0)</f>
        <v>#N/A</v>
      </c>
    </row>
    <row r="47" spans="1:13" ht="12" hidden="1" customHeight="1">
      <c r="A47" s="4" t="str">
        <f t="shared" si="0"/>
        <v>81010902ME90521EL9</v>
      </c>
      <c r="B47" s="9">
        <v>81010000</v>
      </c>
      <c r="C47" s="10"/>
      <c r="D47" s="10">
        <v>81010902</v>
      </c>
      <c r="E47" s="71" t="s">
        <v>427</v>
      </c>
      <c r="F47" s="107" t="s">
        <v>331</v>
      </c>
      <c r="G47" s="107"/>
      <c r="H47" s="9">
        <f ca="1">SUMIF('서식(직납)'!B:L,'Summary(수주업로드용)'!A47,'서식(직납)'!J:J)</f>
        <v>0</v>
      </c>
      <c r="I47" s="28" t="e">
        <f ca="1">IF(H47="0","0",VLOOKUP(A47,'서식(직납)'!B:K,10,0))</f>
        <v>#N/A</v>
      </c>
      <c r="J47" s="7" t="e">
        <f t="shared" ca="1" si="1"/>
        <v>#N/A</v>
      </c>
      <c r="K47" s="4">
        <f>VLOOKUP(F47,'SUM(히아풀젤,폼 아이캐쳐붙인걸로)'!A:E,5,0)</f>
        <v>0</v>
      </c>
      <c r="M47" s="4" t="str">
        <f>VLOOKUP(F47,제품명!$D:$E,2,0)</f>
        <v>딥모이스트 멘솔</v>
      </c>
    </row>
    <row r="48" spans="1:13" ht="12" hidden="1" customHeight="1">
      <c r="A48" s="4" t="str">
        <f t="shared" si="0"/>
        <v>81010902ME90521EL8</v>
      </c>
      <c r="B48" s="9">
        <v>81010000</v>
      </c>
      <c r="C48" s="10"/>
      <c r="D48" s="10">
        <v>81010902</v>
      </c>
      <c r="E48" s="71" t="s">
        <v>427</v>
      </c>
      <c r="F48" s="107" t="s">
        <v>599</v>
      </c>
      <c r="G48" s="107"/>
      <c r="H48" s="9">
        <f ca="1">SUMIF('서식(직납)'!B:L,'Summary(수주업로드용)'!A48,'서식(직납)'!J:J)</f>
        <v>0</v>
      </c>
      <c r="I48" s="28" t="e">
        <f ca="1">IF(H48="0","0",VLOOKUP(A48,'서식(직납)'!B:K,10,0))</f>
        <v>#N/A</v>
      </c>
      <c r="J48" s="7" t="e">
        <f t="shared" ca="1" si="1"/>
        <v>#N/A</v>
      </c>
      <c r="K48" s="4">
        <f>VLOOKUP(F48,'SUM(히아풀젤,폼 아이캐쳐붙인걸로)'!A:E,5,0)</f>
        <v>0</v>
      </c>
      <c r="M48" s="4" t="str">
        <f>VLOOKUP(F48,제품명!$D:$E,2,0)</f>
        <v>딥모이스트 내추럴</v>
      </c>
    </row>
    <row r="49" spans="1:15" ht="12" hidden="1" customHeight="1">
      <c r="A49" s="4" t="str">
        <f t="shared" si="0"/>
        <v>81010902ME90521EL7</v>
      </c>
      <c r="B49" s="9">
        <v>81010000</v>
      </c>
      <c r="C49" s="10"/>
      <c r="D49" s="10">
        <v>81010902</v>
      </c>
      <c r="E49" s="71" t="s">
        <v>427</v>
      </c>
      <c r="F49" s="107" t="s">
        <v>372</v>
      </c>
      <c r="G49" s="107"/>
      <c r="H49" s="9">
        <f ca="1">SUMIF('서식(직납)'!B:L,'Summary(수주업로드용)'!A49,'서식(직납)'!J:J)</f>
        <v>0</v>
      </c>
      <c r="I49" s="28" t="e">
        <f ca="1">IF(H49="0","0",VLOOKUP(A49,'서식(직납)'!B:K,10,0))</f>
        <v>#N/A</v>
      </c>
      <c r="J49" s="7" t="e">
        <f t="shared" ca="1" si="1"/>
        <v>#N/A</v>
      </c>
      <c r="K49" s="4">
        <f>VLOOKUP(F49,'SUM(히아풀젤,폼 아이캐쳐붙인걸로)'!A:E,5,0)</f>
        <v>0</v>
      </c>
      <c r="M49" s="4" t="str">
        <f>VLOOKUP(F49,제품명!$D:$E,2,0)</f>
        <v>립아이스 틴티드 칼라</v>
      </c>
    </row>
    <row r="50" spans="1:15" ht="12" hidden="1" customHeight="1">
      <c r="A50" s="4" t="str">
        <f t="shared" si="0"/>
        <v>81010902ME90521EL6</v>
      </c>
      <c r="B50" s="9">
        <v>81010000</v>
      </c>
      <c r="C50" s="10"/>
      <c r="D50" s="10">
        <v>81010902</v>
      </c>
      <c r="E50" s="71" t="s">
        <v>427</v>
      </c>
      <c r="F50" s="107" t="s">
        <v>371</v>
      </c>
      <c r="G50" s="107"/>
      <c r="H50" s="9">
        <f ca="1">SUMIF('서식(직납)'!B:L,'Summary(수주업로드용)'!A50,'서식(직납)'!J:J)</f>
        <v>0</v>
      </c>
      <c r="I50" s="28" t="e">
        <f ca="1">IF(H50="0","0",VLOOKUP(A50,'서식(직납)'!B:K,10,0))</f>
        <v>#N/A</v>
      </c>
      <c r="J50" s="7" t="e">
        <f t="shared" ca="1" si="1"/>
        <v>#N/A</v>
      </c>
      <c r="K50" s="151" t="e">
        <f ca="1">ROUND(J50*0.1,0)</f>
        <v>#N/A</v>
      </c>
      <c r="M50" s="4" t="str">
        <f>VLOOKUP(F50,제품명!$D:$E,2,0)</f>
        <v>매직칼라 딸기</v>
      </c>
    </row>
    <row r="51" spans="1:15" ht="12" hidden="1" customHeight="1">
      <c r="A51" s="4" t="str">
        <f t="shared" si="0"/>
        <v>81010902ME90521EL4</v>
      </c>
      <c r="B51" s="9">
        <v>81010000</v>
      </c>
      <c r="C51" s="10"/>
      <c r="D51" s="10">
        <v>81010902</v>
      </c>
      <c r="E51" s="71" t="s">
        <v>427</v>
      </c>
      <c r="F51" s="107" t="s">
        <v>398</v>
      </c>
      <c r="G51" s="107"/>
      <c r="H51" s="9">
        <f ca="1">SUMIF('서식(직납)'!B:L,'Summary(수주업로드용)'!A51,'서식(직납)'!J:J)</f>
        <v>0</v>
      </c>
      <c r="I51" s="28" t="e">
        <f ca="1">IF(H51="0","0",VLOOKUP(A51,'서식(직납)'!B:K,10,0))</f>
        <v>#N/A</v>
      </c>
      <c r="J51" s="7" t="e">
        <f t="shared" ca="1" si="1"/>
        <v>#N/A</v>
      </c>
      <c r="M51" s="4" t="str">
        <f>VLOOKUP(F51,제품명!$D:$E,2,0)</f>
        <v>메디케이티드 립밤</v>
      </c>
      <c r="O51" s="155"/>
    </row>
    <row r="52" spans="1:15" ht="12" hidden="1" customHeight="1">
      <c r="A52" s="4" t="str">
        <f t="shared" si="0"/>
        <v>81010902ME90521EL0</v>
      </c>
      <c r="B52" s="9">
        <v>81010000</v>
      </c>
      <c r="C52" s="10"/>
      <c r="D52" s="10">
        <v>81010902</v>
      </c>
      <c r="E52" s="71" t="s">
        <v>427</v>
      </c>
      <c r="F52" s="107" t="s">
        <v>328</v>
      </c>
      <c r="G52" s="107"/>
      <c r="H52" s="9">
        <f ca="1">SUMIF('서식(직납)'!B:L,'Summary(수주업로드용)'!A52,'서식(직납)'!J:J)</f>
        <v>0</v>
      </c>
      <c r="I52" s="28" t="e">
        <f ca="1">IF(H52="0","0",VLOOKUP(A52,'서식(직납)'!B:K,10,0))</f>
        <v>#N/A</v>
      </c>
      <c r="J52" s="7" t="e">
        <f t="shared" ca="1" si="1"/>
        <v>#N/A</v>
      </c>
      <c r="K52" s="4" t="e">
        <f>VLOOKUP(F52,'SUM(히아풀젤,폼 아이캐쳐붙인걸로)'!A:E,5,0)</f>
        <v>#N/A</v>
      </c>
    </row>
    <row r="53" spans="1:15" ht="12" hidden="1" customHeight="1">
      <c r="A53" s="4" t="str">
        <f t="shared" si="0"/>
        <v>81010902ME90521E18</v>
      </c>
      <c r="B53" s="9">
        <v>81010000</v>
      </c>
      <c r="C53" s="10"/>
      <c r="D53" s="10">
        <v>81010902</v>
      </c>
      <c r="E53" s="71" t="s">
        <v>427</v>
      </c>
      <c r="F53" s="107" t="s">
        <v>676</v>
      </c>
      <c r="G53" s="107"/>
      <c r="H53" s="9">
        <f ca="1">SUMIF('서식(직납)'!B:L,'Summary(수주업로드용)'!A53,'서식(직납)'!J:J)</f>
        <v>0</v>
      </c>
      <c r="I53" s="28" t="e">
        <f ca="1">IF(H53="0","0",VLOOKUP(A53,'서식(직납)'!B:K,10,0))</f>
        <v>#N/A</v>
      </c>
      <c r="J53" s="7" t="e">
        <f t="shared" ca="1" si="1"/>
        <v>#N/A</v>
      </c>
      <c r="K53" s="4">
        <f>VLOOKUP(F53,'SUM(히아풀젤,폼 아이캐쳐붙인걸로)'!A:E,5,0)</f>
        <v>0</v>
      </c>
    </row>
    <row r="54" spans="1:15" ht="12" hidden="1" customHeight="1">
      <c r="A54" s="4" t="str">
        <f t="shared" si="0"/>
        <v>81010902ME90521E13</v>
      </c>
      <c r="B54" s="9">
        <v>81010000</v>
      </c>
      <c r="C54" s="10"/>
      <c r="D54" s="10">
        <v>81010902</v>
      </c>
      <c r="E54" s="71" t="s">
        <v>427</v>
      </c>
      <c r="F54" s="107" t="s">
        <v>379</v>
      </c>
      <c r="G54" s="107"/>
      <c r="H54" s="9">
        <f ca="1">SUMIF('서식(직납)'!B:L,'Summary(수주업로드용)'!A54,'서식(직납)'!J:J)</f>
        <v>0</v>
      </c>
      <c r="I54" s="28" t="e">
        <f ca="1">IF(H54="0","0",VLOOKUP(A54,'서식(직납)'!B:K,10,0))</f>
        <v>#N/A</v>
      </c>
      <c r="J54" s="7" t="e">
        <f t="shared" ca="1" si="1"/>
        <v>#N/A</v>
      </c>
      <c r="K54" s="4" t="e">
        <f>VLOOKUP(F54,'SUM(히아풀젤,폼 아이캐쳐붙인걸로)'!A:E,5,0)</f>
        <v>#N/A</v>
      </c>
      <c r="M54" s="4" t="str">
        <f>VLOOKUP(F54,제품명!$D:$E,2,0)</f>
        <v>립아이스 틴티드 칼라 스칼렛</v>
      </c>
    </row>
    <row r="55" spans="1:15" ht="12" hidden="1" customHeight="1">
      <c r="A55" s="4" t="str">
        <f t="shared" si="0"/>
        <v>81010902ME90521CC4</v>
      </c>
      <c r="B55" s="9">
        <v>81010000</v>
      </c>
      <c r="C55" s="10"/>
      <c r="D55" s="10">
        <v>81010902</v>
      </c>
      <c r="E55" s="71" t="s">
        <v>427</v>
      </c>
      <c r="F55" s="107" t="s">
        <v>516</v>
      </c>
      <c r="G55" s="107"/>
      <c r="H55" s="9">
        <f ca="1">SUMIF('서식(직납)'!B:L,'Summary(수주업로드용)'!A55,'서식(직납)'!J:J)</f>
        <v>0</v>
      </c>
      <c r="I55" s="28" t="e">
        <f ca="1">IF(H55="0","0",VLOOKUP(A55,'서식(직납)'!B:K,10,0))</f>
        <v>#N/A</v>
      </c>
      <c r="J55" s="7" t="e">
        <f t="shared" ca="1" si="1"/>
        <v>#N/A</v>
      </c>
      <c r="K55" s="4" t="e">
        <f>VLOOKUP(F55,'SUM(히아풀젤,폼 아이캐쳐붙인걸로)'!A:E,5,0)</f>
        <v>#N/A</v>
      </c>
    </row>
    <row r="56" spans="1:15" ht="12" hidden="1" customHeight="1">
      <c r="A56" s="4" t="str">
        <f t="shared" si="0"/>
        <v>81010902ME90521CC2</v>
      </c>
      <c r="B56" s="9">
        <v>81010000</v>
      </c>
      <c r="C56" s="10"/>
      <c r="D56" s="10">
        <v>81010902</v>
      </c>
      <c r="E56" s="71" t="s">
        <v>427</v>
      </c>
      <c r="F56" s="107" t="s">
        <v>514</v>
      </c>
      <c r="G56" s="107"/>
      <c r="H56" s="9">
        <f ca="1">SUMIF('서식(직납)'!B:L,'Summary(수주업로드용)'!A56,'서식(직납)'!J:J)</f>
        <v>0</v>
      </c>
      <c r="I56" s="28" t="e">
        <f ca="1">IF(H56="0","0",VLOOKUP(A56,'서식(직납)'!B:K,10,0))</f>
        <v>#N/A</v>
      </c>
      <c r="J56" s="7" t="e">
        <f t="shared" ca="1" si="1"/>
        <v>#N/A</v>
      </c>
      <c r="K56" s="4" t="e">
        <f>VLOOKUP(F56,'SUM(히아풀젤,폼 아이캐쳐붙인걸로)'!A:E,5,0)</f>
        <v>#N/A</v>
      </c>
    </row>
    <row r="57" spans="1:15" ht="12" hidden="1" customHeight="1">
      <c r="A57" s="4" t="str">
        <f t="shared" si="0"/>
        <v>81010902ME90521CC1</v>
      </c>
      <c r="B57" s="9">
        <v>81010000</v>
      </c>
      <c r="C57" s="10"/>
      <c r="D57" s="10">
        <v>81010902</v>
      </c>
      <c r="E57" s="71" t="s">
        <v>427</v>
      </c>
      <c r="F57" s="107" t="s">
        <v>512</v>
      </c>
      <c r="G57" s="107"/>
      <c r="H57" s="9">
        <f ca="1">SUMIF('서식(직납)'!B:L,'Summary(수주업로드용)'!A57,'서식(직납)'!J:J)</f>
        <v>0</v>
      </c>
      <c r="I57" s="28" t="e">
        <f ca="1">IF(H57="0","0",VLOOKUP(A57,'서식(직납)'!B:K,10,0))</f>
        <v>#N/A</v>
      </c>
      <c r="J57" s="7" t="e">
        <f t="shared" ca="1" si="1"/>
        <v>#N/A</v>
      </c>
      <c r="K57" s="4" t="e">
        <f>VLOOKUP(F57,'SUM(히아풀젤,폼 아이캐쳐붙인걸로)'!A:E,5,0)</f>
        <v>#N/A</v>
      </c>
    </row>
    <row r="58" spans="1:15" ht="12" hidden="1" customHeight="1">
      <c r="A58" s="4" t="str">
        <f t="shared" si="0"/>
        <v>81010902ME00421301</v>
      </c>
      <c r="B58" s="9">
        <v>81010000</v>
      </c>
      <c r="C58" s="10"/>
      <c r="D58" s="10">
        <v>81010902</v>
      </c>
      <c r="E58" s="71" t="s">
        <v>427</v>
      </c>
      <c r="F58" s="108" t="s">
        <v>1038</v>
      </c>
      <c r="G58" s="108"/>
      <c r="H58" s="9">
        <f ca="1">SUMIF('서식(직납)'!B:L,'Summary(수주업로드용)'!A58,'서식(직납)'!J:J)</f>
        <v>0</v>
      </c>
      <c r="I58" s="28" t="e">
        <f ca="1">IF(H58="0","0",VLOOKUP(A58,'서식(직납)'!B:K,10,0))</f>
        <v>#N/A</v>
      </c>
      <c r="J58" s="7" t="e">
        <f t="shared" ca="1" si="1"/>
        <v>#N/A</v>
      </c>
      <c r="K58" s="4" t="e">
        <f>VLOOKUP(F58,'SUM(히아풀젤,폼 아이캐쳐붙인걸로)'!A:E,5,0)</f>
        <v>#N/A</v>
      </c>
    </row>
    <row r="59" spans="1:15" ht="12" customHeight="1">
      <c r="A59" s="4" t="str">
        <f t="shared" si="0"/>
        <v>81010902ME00421186</v>
      </c>
      <c r="B59" s="9">
        <v>81010000</v>
      </c>
      <c r="C59" s="10"/>
      <c r="D59" s="10">
        <v>81010902</v>
      </c>
      <c r="E59" s="71" t="s">
        <v>427</v>
      </c>
      <c r="F59" s="108" t="s">
        <v>703</v>
      </c>
      <c r="G59" s="108"/>
      <c r="H59" s="9">
        <f ca="1">SUMIF('서식(직납)'!B:L,'Summary(수주업로드용)'!A59,'서식(직납)'!J:J)</f>
        <v>16</v>
      </c>
      <c r="I59" s="28">
        <f ca="1">IF(H59="0","0",VLOOKUP(A59,'서식(직납)'!B:K,10,0))</f>
        <v>2326</v>
      </c>
      <c r="J59" s="7">
        <f t="shared" ca="1" si="1"/>
        <v>37216</v>
      </c>
      <c r="K59" s="4" t="e">
        <f>VLOOKUP(F59,'SUM(히아풀젤,폼 아이캐쳐붙인걸로)'!A:E,5,0)</f>
        <v>#N/A</v>
      </c>
    </row>
    <row r="60" spans="1:15" ht="12" hidden="1" customHeight="1">
      <c r="A60" s="4" t="str">
        <f t="shared" si="0"/>
        <v>81010902ME00421151</v>
      </c>
      <c r="B60" s="9">
        <v>81010000</v>
      </c>
      <c r="C60" s="10"/>
      <c r="D60" s="10">
        <v>81010902</v>
      </c>
      <c r="E60" s="71" t="s">
        <v>427</v>
      </c>
      <c r="F60" s="108" t="s">
        <v>543</v>
      </c>
      <c r="G60" s="108"/>
      <c r="H60" s="9">
        <f ca="1">SUMIF('서식(직납)'!B:L,'Summary(수주업로드용)'!A60,'서식(직납)'!J:J)</f>
        <v>0</v>
      </c>
      <c r="I60" s="28" t="e">
        <f ca="1">IF(H60="0","0",VLOOKUP(A60,'서식(직납)'!B:K,10,0))</f>
        <v>#N/A</v>
      </c>
      <c r="J60" s="7" t="e">
        <f t="shared" ca="1" si="1"/>
        <v>#N/A</v>
      </c>
      <c r="K60" s="4" t="e">
        <f>VLOOKUP(F60,'SUM(히아풀젤,폼 아이캐쳐붙인걸로)'!A:E,5,0)</f>
        <v>#N/A</v>
      </c>
    </row>
    <row r="61" spans="1:15" ht="12" hidden="1" customHeight="1">
      <c r="A61" s="4" t="str">
        <f t="shared" si="0"/>
        <v>81010902ME91221HPN</v>
      </c>
      <c r="B61" s="9">
        <v>81010000</v>
      </c>
      <c r="C61" s="10"/>
      <c r="D61" s="10">
        <v>81010902</v>
      </c>
      <c r="E61" s="71" t="s">
        <v>427</v>
      </c>
      <c r="F61" s="9" t="s">
        <v>540</v>
      </c>
      <c r="H61" s="9">
        <f ca="1">SUMIF('서식(직납)'!B:L,'Summary(수주업로드용)'!A61,'서식(직납)'!J:J)</f>
        <v>0</v>
      </c>
      <c r="I61" s="28" t="e">
        <f ca="1">IF(H61="0","0",VLOOKUP(A61,'서식(직납)'!B:K,10,0))</f>
        <v>#N/A</v>
      </c>
      <c r="J61" s="7" t="e">
        <f t="shared" ca="1" si="1"/>
        <v>#N/A</v>
      </c>
      <c r="K61" s="4" t="e">
        <f>VLOOKUP(F61,'SUM(히아풀젤,폼 아이캐쳐붙인걸로)'!A:E,5,0)</f>
        <v>#N/A</v>
      </c>
    </row>
    <row r="62" spans="1:15" ht="12" hidden="1" customHeight="1">
      <c r="A62" s="4" t="str">
        <f t="shared" si="0"/>
        <v>81010902ME90621CPS</v>
      </c>
      <c r="B62" s="9">
        <v>81010000</v>
      </c>
      <c r="C62" s="10"/>
      <c r="D62" s="10">
        <v>81010902</v>
      </c>
      <c r="E62" s="71" t="s">
        <v>427</v>
      </c>
      <c r="F62" s="9" t="s">
        <v>547</v>
      </c>
      <c r="H62" s="9">
        <f ca="1">SUMIF('서식(직납)'!B:L,'Summary(수주업로드용)'!A62,'서식(직납)'!J:J)</f>
        <v>0</v>
      </c>
      <c r="I62" s="28" t="e">
        <f ca="1">IF(H62="0","0",VLOOKUP(A62,'서식(직납)'!B:K,10,0))</f>
        <v>#N/A</v>
      </c>
      <c r="J62" s="7" t="e">
        <f t="shared" ca="1" si="1"/>
        <v>#N/A</v>
      </c>
      <c r="K62" s="4" t="e">
        <f>VLOOKUP(F62,'SUM(히아풀젤,폼 아이캐쳐붙인걸로)'!A:E,5,0)</f>
        <v>#N/A</v>
      </c>
    </row>
    <row r="63" spans="1:15" ht="12" hidden="1" customHeight="1">
      <c r="A63" s="4" t="str">
        <f t="shared" si="0"/>
        <v>81010902ME90621CPM</v>
      </c>
      <c r="B63" s="9">
        <v>81010000</v>
      </c>
      <c r="C63" s="10"/>
      <c r="D63" s="10">
        <v>81010902</v>
      </c>
      <c r="E63" s="71" t="s">
        <v>427</v>
      </c>
      <c r="F63" s="9" t="s">
        <v>545</v>
      </c>
      <c r="H63" s="9">
        <f ca="1">SUMIF('서식(직납)'!B:L,'Summary(수주업로드용)'!A63,'서식(직납)'!J:J)</f>
        <v>0</v>
      </c>
      <c r="I63" s="28" t="e">
        <f ca="1">IF(H63="0","0",VLOOKUP(A63,'서식(직납)'!B:K,10,0))</f>
        <v>#N/A</v>
      </c>
      <c r="J63" s="7" t="e">
        <f t="shared" ca="1" si="1"/>
        <v>#N/A</v>
      </c>
      <c r="K63" s="4" t="e">
        <f>VLOOKUP(F63,'SUM(히아풀젤,폼 아이캐쳐붙인걸로)'!A:E,5,0)</f>
        <v>#N/A</v>
      </c>
    </row>
    <row r="64" spans="1:15" ht="12.75" hidden="1" customHeight="1">
      <c r="A64" s="4" t="str">
        <f t="shared" si="0"/>
        <v>81010902ME90621GP4</v>
      </c>
      <c r="B64" s="9">
        <v>81010000</v>
      </c>
      <c r="C64" s="10"/>
      <c r="D64" s="10">
        <v>81010902</v>
      </c>
      <c r="E64" s="71" t="s">
        <v>427</v>
      </c>
      <c r="F64" s="9" t="s">
        <v>596</v>
      </c>
      <c r="H64" s="9">
        <f ca="1">SUMIF('서식(직납)'!B:L,'Summary(수주업로드용)'!A64,'서식(직납)'!J:J)</f>
        <v>0</v>
      </c>
      <c r="I64" s="28" t="e">
        <f ca="1">IF(H64="0","0",VLOOKUP(A64,'서식(직납)'!B:K,10,0))</f>
        <v>#N/A</v>
      </c>
      <c r="J64" s="7" t="e">
        <f t="shared" ca="1" si="1"/>
        <v>#N/A</v>
      </c>
      <c r="K64" s="4" t="e">
        <f>VLOOKUP(F64,'SUM(히아풀젤,폼 아이캐쳐붙인걸로)'!A:E,5,0)</f>
        <v>#N/A</v>
      </c>
    </row>
    <row r="65" spans="1:13" ht="12" hidden="1" customHeight="1">
      <c r="A65" s="4" t="str">
        <f t="shared" si="0"/>
        <v>81010902ME90621TF1</v>
      </c>
      <c r="B65" s="9">
        <v>81010000</v>
      </c>
      <c r="C65" s="10"/>
      <c r="D65" s="10">
        <v>81010902</v>
      </c>
      <c r="E65" s="71" t="s">
        <v>427</v>
      </c>
      <c r="F65" s="9" t="s">
        <v>618</v>
      </c>
      <c r="H65" s="9">
        <f ca="1">SUMIF('서식(직납)'!B:L,'Summary(수주업로드용)'!A65,'서식(직납)'!J:J)</f>
        <v>0</v>
      </c>
      <c r="I65" s="28" t="e">
        <f ca="1">IF(H65="0","0",VLOOKUP(A65,'서식(직납)'!B:K,10,0))</f>
        <v>#N/A</v>
      </c>
      <c r="J65" s="7" t="e">
        <f t="shared" ca="1" si="1"/>
        <v>#N/A</v>
      </c>
      <c r="K65" s="4" t="e">
        <f>VLOOKUP(F65,'SUM(히아풀젤,폼 아이캐쳐붙인걸로)'!A:E,5,0)</f>
        <v>#N/A</v>
      </c>
    </row>
    <row r="66" spans="1:13" ht="12" hidden="1" customHeight="1">
      <c r="A66" s="4" t="str">
        <f t="shared" si="0"/>
        <v>81010902ME90621TC1</v>
      </c>
      <c r="B66" s="9">
        <v>81010000</v>
      </c>
      <c r="C66" s="10"/>
      <c r="D66" s="10">
        <v>81010902</v>
      </c>
      <c r="E66" s="71" t="s">
        <v>427</v>
      </c>
      <c r="F66" s="9" t="s">
        <v>627</v>
      </c>
      <c r="H66" s="9">
        <f ca="1">SUMIF('서식(직납)'!B:L,'Summary(수주업로드용)'!A66,'서식(직납)'!J:J)</f>
        <v>0</v>
      </c>
      <c r="I66" s="28" t="e">
        <f ca="1">IF(H66="0","0",VLOOKUP(A66,'서식(직납)'!B:K,10,0))</f>
        <v>#N/A</v>
      </c>
      <c r="J66" s="7" t="e">
        <f t="shared" ca="1" si="1"/>
        <v>#N/A</v>
      </c>
      <c r="K66" s="4" t="e">
        <f>VLOOKUP(F66,'SUM(히아풀젤,폼 아이캐쳐붙인걸로)'!A:E,5,0)</f>
        <v>#N/A</v>
      </c>
    </row>
    <row r="67" spans="1:13" ht="12" hidden="1" customHeight="1">
      <c r="A67" s="4" t="str">
        <f t="shared" ref="A67:A130" si="2">D67&amp;F67</f>
        <v>81010902ME80421DR2</v>
      </c>
      <c r="B67" s="9">
        <v>81010000</v>
      </c>
      <c r="C67" s="10"/>
      <c r="D67" s="10">
        <v>81010902</v>
      </c>
      <c r="E67" s="71" t="s">
        <v>427</v>
      </c>
      <c r="F67" s="9" t="s">
        <v>656</v>
      </c>
      <c r="H67" s="9">
        <f ca="1">SUMIF('서식(직납)'!B:L,'Summary(수주업로드용)'!A67,'서식(직납)'!J:J)</f>
        <v>0</v>
      </c>
      <c r="I67" s="28" t="e">
        <f ca="1">IF(H67="0","0",VLOOKUP(A67,'서식(직납)'!B:K,10,0))</f>
        <v>#N/A</v>
      </c>
      <c r="J67" s="7" t="e">
        <f t="shared" ref="J67:J130" ca="1" si="3">H67*I67</f>
        <v>#N/A</v>
      </c>
      <c r="K67" s="4" t="str">
        <f>VLOOKUP(F67,'SUM(히아풀젤,폼 아이캐쳐붙인걸로)'!A:E,5,0)</f>
        <v>입수전환</v>
      </c>
    </row>
    <row r="68" spans="1:13" ht="12" hidden="1" customHeight="1">
      <c r="A68" s="4" t="str">
        <f t="shared" si="2"/>
        <v>81010902ME80421DCH</v>
      </c>
      <c r="B68" s="9">
        <v>81010000</v>
      </c>
      <c r="C68" s="10"/>
      <c r="D68" s="10">
        <v>81010902</v>
      </c>
      <c r="E68" s="71" t="s">
        <v>427</v>
      </c>
      <c r="F68" s="9" t="s">
        <v>1039</v>
      </c>
      <c r="H68" s="9">
        <f ca="1">SUMIF('서식(직납)'!B:L,'Summary(수주업로드용)'!A68,'서식(직납)'!J:J)</f>
        <v>0</v>
      </c>
      <c r="I68" s="28" t="e">
        <f ca="1">IF(H68="0","0",VLOOKUP(A68,'서식(직납)'!B:K,10,0))</f>
        <v>#N/A</v>
      </c>
      <c r="J68" s="7" t="e">
        <f t="shared" ca="1" si="3"/>
        <v>#N/A</v>
      </c>
    </row>
    <row r="69" spans="1:13" ht="12" hidden="1" customHeight="1">
      <c r="A69" s="4" t="str">
        <f t="shared" si="2"/>
        <v>81010902ME00621FMC</v>
      </c>
      <c r="B69" s="9">
        <v>81010000</v>
      </c>
      <c r="C69" s="10"/>
      <c r="D69" s="10">
        <v>81010902</v>
      </c>
      <c r="E69" s="71" t="s">
        <v>427</v>
      </c>
      <c r="F69" s="9" t="s">
        <v>657</v>
      </c>
      <c r="H69" s="9">
        <f ca="1">SUMIF('서식(직납)'!B:L,'Summary(수주업로드용)'!A69,'서식(직납)'!J:J)</f>
        <v>0</v>
      </c>
      <c r="I69" s="28" t="e">
        <f ca="1">IF(H69="0","0",VLOOKUP(A69,'서식(직납)'!B:K,10,0))</f>
        <v>#N/A</v>
      </c>
      <c r="J69" s="7" t="e">
        <f t="shared" ca="1" si="3"/>
        <v>#N/A</v>
      </c>
      <c r="K69" s="4" t="e">
        <f>VLOOKUP(F69,'SUM(히아풀젤,폼 아이캐쳐붙인걸로)'!A:E,5,0)</f>
        <v>#N/A</v>
      </c>
    </row>
    <row r="70" spans="1:13" ht="12" hidden="1" customHeight="1">
      <c r="A70" s="4" t="str">
        <f t="shared" si="2"/>
        <v>81010902ME00621FML</v>
      </c>
      <c r="B70" s="9">
        <v>81010000</v>
      </c>
      <c r="C70" s="10"/>
      <c r="D70" s="10">
        <v>81010902</v>
      </c>
      <c r="E70" s="71" t="s">
        <v>427</v>
      </c>
      <c r="F70" s="9" t="s">
        <v>658</v>
      </c>
      <c r="H70" s="9">
        <f ca="1">SUMIF('서식(직납)'!B:L,'Summary(수주업로드용)'!A70,'서식(직납)'!J:J)</f>
        <v>0</v>
      </c>
      <c r="I70" s="28" t="e">
        <f ca="1">IF(H70="0","0",VLOOKUP(A70,'서식(직납)'!B:K,10,0))</f>
        <v>#N/A</v>
      </c>
      <c r="J70" s="7" t="e">
        <f t="shared" ca="1" si="3"/>
        <v>#N/A</v>
      </c>
      <c r="K70" s="4" t="e">
        <f>VLOOKUP(F70,'SUM(히아풀젤,폼 아이캐쳐붙인걸로)'!A:E,5,0)</f>
        <v>#N/A</v>
      </c>
    </row>
    <row r="71" spans="1:13" ht="12" hidden="1" customHeight="1">
      <c r="A71" s="4" t="str">
        <f t="shared" si="2"/>
        <v>81010902ME00621FMP</v>
      </c>
      <c r="B71" s="9">
        <v>81010000</v>
      </c>
      <c r="C71" s="10"/>
      <c r="D71" s="10">
        <v>81010902</v>
      </c>
      <c r="E71" s="71" t="s">
        <v>427</v>
      </c>
      <c r="F71" s="9" t="s">
        <v>659</v>
      </c>
      <c r="H71" s="9">
        <f ca="1">SUMIF('서식(직납)'!B:L,'Summary(수주업로드용)'!A71,'서식(직납)'!J:J)</f>
        <v>0</v>
      </c>
      <c r="I71" s="28" t="e">
        <f ca="1">IF(H71="0","0",VLOOKUP(A71,'서식(직납)'!B:K,10,0))</f>
        <v>#N/A</v>
      </c>
      <c r="J71" s="7" t="e">
        <f t="shared" ca="1" si="3"/>
        <v>#N/A</v>
      </c>
      <c r="K71" s="4" t="e">
        <f>VLOOKUP(F71,'SUM(히아풀젤,폼 아이캐쳐붙인걸로)'!A:E,5,0)</f>
        <v>#N/A</v>
      </c>
    </row>
    <row r="72" spans="1:13" ht="12" hidden="1" customHeight="1">
      <c r="A72" s="4" t="str">
        <f t="shared" si="2"/>
        <v>81010902ME81921SVV</v>
      </c>
      <c r="B72" s="9">
        <v>81010000</v>
      </c>
      <c r="C72" s="10"/>
      <c r="D72" s="10">
        <v>81010902</v>
      </c>
      <c r="E72" s="71" t="s">
        <v>427</v>
      </c>
      <c r="F72" s="9" t="s">
        <v>671</v>
      </c>
      <c r="H72" s="9">
        <f ca="1">SUMIF('서식(직납)'!B:L,'Summary(수주업로드용)'!A72,'서식(직납)'!J:J)</f>
        <v>0</v>
      </c>
      <c r="I72" s="28" t="e">
        <f ca="1">IF(H72="0","0",VLOOKUP(A72,'서식(직납)'!B:K,10,0))</f>
        <v>#N/A</v>
      </c>
      <c r="J72" s="7" t="e">
        <f t="shared" ca="1" si="3"/>
        <v>#N/A</v>
      </c>
      <c r="K72" s="4" t="e">
        <f>VLOOKUP(F72,'SUM(히아풀젤,폼 아이캐쳐붙인걸로)'!A:E,5,0)</f>
        <v>#N/A</v>
      </c>
      <c r="M72" s="4" t="str">
        <f>VLOOKUP(F72,제품명!$D:$E,2,0)</f>
        <v>소프트립스 프렌치바닐라 2g</v>
      </c>
    </row>
    <row r="73" spans="1:13" ht="12" hidden="1" customHeight="1">
      <c r="A73" s="4" t="str">
        <f t="shared" si="2"/>
        <v>81010902ME81921SLL</v>
      </c>
      <c r="B73" s="9">
        <v>81010000</v>
      </c>
      <c r="C73" s="10"/>
      <c r="D73" s="10">
        <v>81010902</v>
      </c>
      <c r="E73" s="71" t="s">
        <v>427</v>
      </c>
      <c r="F73" s="9" t="s">
        <v>672</v>
      </c>
      <c r="H73" s="9">
        <f ca="1">SUMIF('서식(직납)'!B:L,'Summary(수주업로드용)'!A73,'서식(직납)'!J:J)</f>
        <v>0</v>
      </c>
      <c r="I73" s="28" t="e">
        <f ca="1">IF(H73="0","0",VLOOKUP(A73,'서식(직납)'!B:K,10,0))</f>
        <v>#N/A</v>
      </c>
      <c r="J73" s="7" t="e">
        <f t="shared" ca="1" si="3"/>
        <v>#N/A</v>
      </c>
      <c r="K73" s="4" t="e">
        <f>VLOOKUP(F73,'SUM(히아풀젤,폼 아이캐쳐붙인걸로)'!A:E,5,0)</f>
        <v>#N/A</v>
      </c>
    </row>
    <row r="74" spans="1:13" ht="12" hidden="1" customHeight="1">
      <c r="A74" s="4" t="str">
        <f t="shared" si="2"/>
        <v>81010902ME90521MCN</v>
      </c>
      <c r="B74" s="9">
        <v>81010000</v>
      </c>
      <c r="C74" s="10"/>
      <c r="D74" s="10">
        <v>81010902</v>
      </c>
      <c r="E74" s="71" t="s">
        <v>427</v>
      </c>
      <c r="F74" s="9" t="s">
        <v>673</v>
      </c>
      <c r="H74" s="9">
        <f ca="1">SUMIF('서식(직납)'!B:L,'Summary(수주업로드용)'!A74,'서식(직납)'!J:J)</f>
        <v>0</v>
      </c>
      <c r="I74" s="28" t="e">
        <f ca="1">IF(H74="0","0",VLOOKUP(A74,'서식(직납)'!B:K,10,0))</f>
        <v>#N/A</v>
      </c>
      <c r="J74" s="7" t="e">
        <f t="shared" ca="1" si="3"/>
        <v>#N/A</v>
      </c>
      <c r="K74" s="4" t="e">
        <f>VLOOKUP(F74,'SUM(히아풀젤,폼 아이캐쳐붙인걸로)'!A:E,5,0)</f>
        <v>#N/A</v>
      </c>
    </row>
    <row r="75" spans="1:13" ht="12" hidden="1" customHeight="1">
      <c r="A75" s="4" t="str">
        <f t="shared" si="2"/>
        <v>81010902ME90521MCA</v>
      </c>
      <c r="B75" s="9">
        <v>81010000</v>
      </c>
      <c r="C75" s="10"/>
      <c r="D75" s="10">
        <v>81010902</v>
      </c>
      <c r="E75" s="71" t="s">
        <v>427</v>
      </c>
      <c r="F75" s="9" t="s">
        <v>677</v>
      </c>
      <c r="H75" s="9">
        <f ca="1">SUMIF('서식(직납)'!B:L,'Summary(수주업로드용)'!A75,'서식(직납)'!J:J)</f>
        <v>0</v>
      </c>
      <c r="I75" s="28" t="e">
        <f ca="1">IF(H75="0","0",VLOOKUP(A75,'서식(직납)'!B:K,10,0))</f>
        <v>#N/A</v>
      </c>
      <c r="J75" s="7" t="e">
        <f t="shared" ca="1" si="3"/>
        <v>#N/A</v>
      </c>
      <c r="K75" s="4" t="e">
        <f>VLOOKUP(F75,'SUM(히아풀젤,폼 아이캐쳐붙인걸로)'!A:E,5,0)</f>
        <v>#N/A</v>
      </c>
    </row>
    <row r="76" spans="1:13" ht="12" hidden="1" customHeight="1">
      <c r="A76" s="4" t="str">
        <f t="shared" si="2"/>
        <v>81010902ME81921SL1</v>
      </c>
      <c r="B76" s="9">
        <v>81010000</v>
      </c>
      <c r="C76" s="10"/>
      <c r="D76" s="10">
        <v>81010902</v>
      </c>
      <c r="E76" s="71" t="s">
        <v>427</v>
      </c>
      <c r="F76" s="9" t="s">
        <v>679</v>
      </c>
      <c r="H76" s="9">
        <f ca="1">SUMIF('서식(직납)'!B:L,'Summary(수주업로드용)'!A76,'서식(직납)'!J:J)</f>
        <v>0</v>
      </c>
      <c r="I76" s="28" t="e">
        <f ca="1">IF(H76="0","0",VLOOKUP(A76,'서식(직납)'!B:K,10,0))</f>
        <v>#N/A</v>
      </c>
      <c r="J76" s="7" t="e">
        <f t="shared" ca="1" si="3"/>
        <v>#N/A</v>
      </c>
      <c r="K76" s="4" t="e">
        <f>VLOOKUP(F76,'SUM(히아풀젤,폼 아이캐쳐붙인걸로)'!A:E,5,0)</f>
        <v>#N/A</v>
      </c>
    </row>
    <row r="77" spans="1:13" ht="12" hidden="1" customHeight="1">
      <c r="A77" s="4" t="str">
        <f t="shared" si="2"/>
        <v>81010902ME00621AN4</v>
      </c>
      <c r="B77" s="9">
        <v>81010000</v>
      </c>
      <c r="C77" s="10"/>
      <c r="D77" s="10">
        <v>81010902</v>
      </c>
      <c r="E77" s="71" t="s">
        <v>427</v>
      </c>
      <c r="F77" s="9" t="s">
        <v>693</v>
      </c>
      <c r="H77" s="9">
        <f ca="1">SUMIF('서식(직납)'!B:L,'Summary(수주업로드용)'!A77,'서식(직납)'!J:J)</f>
        <v>0</v>
      </c>
      <c r="I77" s="28" t="e">
        <f ca="1">IF(H77="0","0",VLOOKUP(A77,'서식(직납)'!B:K,10,0))</f>
        <v>#N/A</v>
      </c>
      <c r="J77" s="7" t="e">
        <f t="shared" ca="1" si="3"/>
        <v>#N/A</v>
      </c>
      <c r="K77" s="4">
        <f>VLOOKUP(F77,'SUM(히아풀젤,폼 아이캐쳐붙인걸로)'!A:E,5,0)</f>
        <v>0</v>
      </c>
      <c r="M77" s="4" t="str">
        <f>VLOOKUP(F77,제품명!$D:$E,2,0)</f>
        <v>아크네스 모이스처크림2.0 60ml</v>
      </c>
    </row>
    <row r="78" spans="1:13" ht="12" hidden="1" customHeight="1">
      <c r="A78" s="4" t="str">
        <f t="shared" si="2"/>
        <v>81010902ME00621AN6</v>
      </c>
      <c r="B78" s="9">
        <v>81010000</v>
      </c>
      <c r="C78" s="10"/>
      <c r="D78" s="10">
        <v>81010902</v>
      </c>
      <c r="E78" s="71" t="s">
        <v>427</v>
      </c>
      <c r="F78" s="9" t="s">
        <v>695</v>
      </c>
      <c r="H78" s="9">
        <f ca="1">SUMIF('서식(직납)'!B:L,'Summary(수주업로드용)'!A78,'서식(직납)'!J:J)</f>
        <v>0</v>
      </c>
      <c r="I78" s="28" t="e">
        <f ca="1">IF(H78="0","0",VLOOKUP(A78,'서식(직납)'!B:K,10,0))</f>
        <v>#N/A</v>
      </c>
      <c r="J78" s="7" t="e">
        <f t="shared" ca="1" si="3"/>
        <v>#N/A</v>
      </c>
      <c r="K78" s="4" t="str">
        <f>VLOOKUP(F78,'SUM(히아풀젤,폼 아이캐쳐붙인걸로)'!A:E,5,0)</f>
        <v>ME90621A05</v>
      </c>
      <c r="M78" s="4" t="str">
        <f>VLOOKUP(F78,제품명!$D:$E,2,0)</f>
        <v>아크네스 모이스처 플루이드 150ml</v>
      </c>
    </row>
    <row r="79" spans="1:13" ht="12" hidden="1" customHeight="1">
      <c r="A79" s="4" t="str">
        <f t="shared" si="2"/>
        <v>81010902ME00621AN5</v>
      </c>
      <c r="B79" s="9">
        <v>81010000</v>
      </c>
      <c r="C79" s="10"/>
      <c r="D79" s="10">
        <v>81010902</v>
      </c>
      <c r="E79" s="71" t="s">
        <v>427</v>
      </c>
      <c r="F79" s="9" t="s">
        <v>697</v>
      </c>
      <c r="H79" s="9">
        <f ca="1">SUMIF('서식(직납)'!B:L,'Summary(수주업로드용)'!A79,'서식(직납)'!J:J)</f>
        <v>0</v>
      </c>
      <c r="I79" s="28" t="e">
        <f ca="1">IF(H79="0","0",VLOOKUP(A79,'서식(직납)'!B:K,10,0))</f>
        <v>#N/A</v>
      </c>
      <c r="J79" s="7" t="e">
        <f t="shared" ca="1" si="3"/>
        <v>#N/A</v>
      </c>
      <c r="K79" s="4">
        <f>VLOOKUP(F79,'SUM(히아풀젤,폼 아이캐쳐붙인걸로)'!A:E,5,0)</f>
        <v>0</v>
      </c>
      <c r="M79" s="4" t="str">
        <f>VLOOKUP(F79,제품명!$D:$E,2,0)</f>
        <v>아크네스 세범 밸런싱 스킨 2.0</v>
      </c>
    </row>
    <row r="80" spans="1:13" ht="12" hidden="1" customHeight="1">
      <c r="A80" s="4" t="str">
        <f t="shared" si="2"/>
        <v>81010902ME00621ASM</v>
      </c>
      <c r="B80" s="9">
        <v>81010000</v>
      </c>
      <c r="C80" s="10"/>
      <c r="D80" s="10">
        <v>81010902</v>
      </c>
      <c r="E80" s="71" t="s">
        <v>427</v>
      </c>
      <c r="F80" s="9" t="s">
        <v>696</v>
      </c>
      <c r="H80" s="9">
        <f ca="1">SUMIF('서식(직납)'!B:L,'Summary(수주업로드용)'!A80,'서식(직납)'!J:J)</f>
        <v>0</v>
      </c>
      <c r="I80" s="28" t="e">
        <f ca="1">IF(H80="0","0",VLOOKUP(A80,'서식(직납)'!B:K,10,0))</f>
        <v>#N/A</v>
      </c>
      <c r="J80" s="7" t="e">
        <f t="shared" ca="1" si="3"/>
        <v>#N/A</v>
      </c>
      <c r="K80" s="151" t="e">
        <f ca="1">ROUND(J80*0.1,0)</f>
        <v>#N/A</v>
      </c>
    </row>
    <row r="81" spans="1:15" ht="12" hidden="1" customHeight="1">
      <c r="A81" s="4" t="str">
        <f t="shared" si="2"/>
        <v>81010902ME90621AC4</v>
      </c>
      <c r="B81" s="9">
        <v>81010000</v>
      </c>
      <c r="C81" s="10"/>
      <c r="D81" s="10">
        <v>81010902</v>
      </c>
      <c r="E81" s="71" t="s">
        <v>427</v>
      </c>
      <c r="F81" s="9" t="s">
        <v>938</v>
      </c>
      <c r="H81" s="9">
        <f ca="1">SUMIF('서식(직납)'!B:L,'Summary(수주업로드용)'!A81,'서식(직납)'!J:J)</f>
        <v>0</v>
      </c>
      <c r="I81" s="28" t="e">
        <f ca="1">IF(H81="0","0",VLOOKUP(A81,'서식(직납)'!B:K,10,0))</f>
        <v>#N/A</v>
      </c>
      <c r="J81" s="7" t="e">
        <f t="shared" ca="1" si="3"/>
        <v>#N/A</v>
      </c>
      <c r="K81" s="4" t="str">
        <f>VLOOKUP(F81,'SUM(히아풀젤,폼 아이캐쳐붙인걸로)'!A:E,5,0)</f>
        <v>9B4</v>
      </c>
      <c r="M81" s="4" t="str">
        <f>VLOOKUP(F81,제품명!$D:$E,2,0)</f>
        <v>아크네스 클리어 앤 화이트 크리미 워시 100G (6입) (New 2021)</v>
      </c>
    </row>
    <row r="82" spans="1:15" ht="12" hidden="1" customHeight="1">
      <c r="A82" s="4" t="str">
        <f t="shared" si="2"/>
        <v>81010902ME00621HFC</v>
      </c>
      <c r="B82" s="9">
        <v>81010000</v>
      </c>
      <c r="C82" s="10"/>
      <c r="D82" s="10">
        <v>81010902</v>
      </c>
      <c r="E82" s="71" t="s">
        <v>427</v>
      </c>
      <c r="F82" s="9" t="s">
        <v>764</v>
      </c>
      <c r="H82" s="9">
        <f ca="1">SUMIF('서식(직납)'!B:L,'Summary(수주업로드용)'!A82,'서식(직납)'!J:J)</f>
        <v>0</v>
      </c>
      <c r="I82" s="28" t="e">
        <f ca="1">IF(H82="0","0",VLOOKUP(A82,'서식(직납)'!B:K,10,0))</f>
        <v>#N/A</v>
      </c>
      <c r="J82" s="7" t="e">
        <f t="shared" ca="1" si="3"/>
        <v>#N/A</v>
      </c>
      <c r="K82" s="4" t="e">
        <f>VLOOKUP(F82,'SUM(히아풀젤,폼 아이캐쳐붙인걸로)'!A:E,5,0)</f>
        <v>#N/A</v>
      </c>
      <c r="M82" s="4" t="str">
        <f>VLOOKUP(F82,제품명!$D:$E,2,0)</f>
        <v>하다라보 히아풀베리어 수딩 클렌징 젤 (12입)</v>
      </c>
      <c r="N82" s="148"/>
    </row>
    <row r="83" spans="1:15" ht="12" hidden="1" customHeight="1">
      <c r="A83" s="4" t="str">
        <f t="shared" si="2"/>
        <v>81010902ME90521WC4</v>
      </c>
      <c r="B83" s="9">
        <v>81010000</v>
      </c>
      <c r="C83" s="10"/>
      <c r="D83" s="10">
        <v>81010902</v>
      </c>
      <c r="E83" s="71" t="s">
        <v>427</v>
      </c>
      <c r="F83" s="9" t="s">
        <v>1030</v>
      </c>
      <c r="H83" s="9">
        <f ca="1">SUMIF('서식(직납)'!B:L,'Summary(수주업로드용)'!A83,'서식(직납)'!J:J)</f>
        <v>0</v>
      </c>
      <c r="I83" s="28" t="e">
        <f ca="1">IF(H83="0","0",VLOOKUP(A83,'서식(직납)'!B:K,10,0))</f>
        <v>#N/A</v>
      </c>
      <c r="J83" s="7" t="e">
        <f t="shared" ca="1" si="3"/>
        <v>#N/A</v>
      </c>
      <c r="K83" s="4" t="e">
        <f>VLOOKUP(F83,'SUM(히아풀젤,폼 아이캐쳐붙인걸로)'!A:E,5,0)</f>
        <v>#N/A</v>
      </c>
      <c r="M83" s="4" t="str">
        <f>VLOOKUP(F86,제품명!$D:$E,2,0)</f>
        <v>하다라보 히아풀베리어 포어 클렌징 폼 (12입)</v>
      </c>
      <c r="N83" s="148"/>
      <c r="O83" s="146"/>
    </row>
    <row r="84" spans="1:15" ht="12" hidden="1" customHeight="1">
      <c r="A84" s="4" t="str">
        <f t="shared" si="2"/>
        <v>81010902ME90521WC5</v>
      </c>
      <c r="B84" s="9">
        <v>81010000</v>
      </c>
      <c r="C84" s="10"/>
      <c r="D84" s="10">
        <v>81010902</v>
      </c>
      <c r="E84" s="71" t="s">
        <v>427</v>
      </c>
      <c r="F84" s="9" t="s">
        <v>1031</v>
      </c>
      <c r="H84" s="9">
        <f ca="1">SUMIF('서식(직납)'!B:L,'Summary(수주업로드용)'!A84,'서식(직납)'!J:J)</f>
        <v>0</v>
      </c>
      <c r="I84" s="28" t="e">
        <f ca="1">IF(H84="0","0",VLOOKUP(A84,'서식(직납)'!B:K,10,0))</f>
        <v>#N/A</v>
      </c>
      <c r="J84" s="7" t="e">
        <f t="shared" ca="1" si="3"/>
        <v>#N/A</v>
      </c>
      <c r="K84" s="4" t="e">
        <f>VLOOKUP(F84,'SUM(히아풀젤,폼 아이캐쳐붙인걸로)'!A:E,5,0)</f>
        <v>#N/A</v>
      </c>
      <c r="M84" s="4" t="str">
        <f>VLOOKUP(F88,제품명!$D:$E,2,0)</f>
        <v>(new)아크네스 클리어 앤 화이트 포밍 워시 150ml  1+1</v>
      </c>
      <c r="O84" s="146"/>
    </row>
    <row r="85" spans="1:15" ht="12" hidden="1" customHeight="1">
      <c r="A85" s="4" t="str">
        <f t="shared" si="2"/>
        <v>81010902ME90521WC6</v>
      </c>
      <c r="B85" s="9">
        <v>81010000</v>
      </c>
      <c r="C85" s="10"/>
      <c r="D85" s="10">
        <v>81010902</v>
      </c>
      <c r="E85" s="71" t="s">
        <v>427</v>
      </c>
      <c r="F85" s="9" t="s">
        <v>1034</v>
      </c>
      <c r="H85" s="9">
        <f ca="1">SUMIF('서식(직납)'!B:L,'Summary(수주업로드용)'!A85,'서식(직납)'!J:J)</f>
        <v>0</v>
      </c>
      <c r="I85" s="28" t="e">
        <f ca="1">IF(H85="0","0",VLOOKUP(A85,'서식(직납)'!B:K,10,0))</f>
        <v>#N/A</v>
      </c>
      <c r="J85" s="7" t="e">
        <f t="shared" ca="1" si="3"/>
        <v>#N/A</v>
      </c>
      <c r="K85" s="4" t="e">
        <f>VLOOKUP(F85,'SUM(히아풀젤,폼 아이캐쳐붙인걸로)'!A:E,5,0)</f>
        <v>#N/A</v>
      </c>
    </row>
    <row r="86" spans="1:15" ht="12" hidden="1" customHeight="1">
      <c r="A86" s="4" t="str">
        <f t="shared" si="2"/>
        <v>81010902ME00621HPC</v>
      </c>
      <c r="B86" s="9">
        <v>81010000</v>
      </c>
      <c r="C86" s="10"/>
      <c r="D86" s="10">
        <v>81010902</v>
      </c>
      <c r="E86" s="71" t="s">
        <v>427</v>
      </c>
      <c r="F86" s="9" t="s">
        <v>767</v>
      </c>
      <c r="H86" s="9">
        <f ca="1">SUMIF('서식(직납)'!B:L,'Summary(수주업로드용)'!A86,'서식(직납)'!J:J)</f>
        <v>0</v>
      </c>
      <c r="I86" s="28" t="e">
        <f ca="1">IF(H86="0","0",VLOOKUP(A86,'서식(직납)'!B:K,10,0))</f>
        <v>#N/A</v>
      </c>
      <c r="J86" s="7" t="e">
        <f t="shared" ca="1" si="3"/>
        <v>#N/A</v>
      </c>
      <c r="K86" s="4">
        <f>VLOOKUP(F86,'SUM(히아풀젤,폼 아이캐쳐붙인걸로)'!A:E,5,0)</f>
        <v>0</v>
      </c>
    </row>
    <row r="87" spans="1:15" ht="12" customHeight="1">
      <c r="A87" s="4" t="str">
        <f t="shared" si="2"/>
        <v>81010902ME90621MAM</v>
      </c>
      <c r="B87" s="9">
        <v>81010000</v>
      </c>
      <c r="C87" s="10"/>
      <c r="D87" s="10">
        <v>81010902</v>
      </c>
      <c r="E87" s="71" t="s">
        <v>427</v>
      </c>
      <c r="F87" s="9" t="s">
        <v>1042</v>
      </c>
      <c r="H87" s="9">
        <f ca="1">SUMIF('서식(직납)'!B:L,'Summary(수주업로드용)'!A87,'서식(직납)'!J:J)</f>
        <v>12</v>
      </c>
      <c r="I87" s="28">
        <f ca="1">IF(H87="0","0",VLOOKUP(A87,'서식(직납)'!B:K,10,0))</f>
        <v>4284</v>
      </c>
      <c r="J87" s="7">
        <f t="shared" ca="1" si="3"/>
        <v>51408</v>
      </c>
      <c r="K87" s="4" t="e">
        <f>VLOOKUP(F87,'SUM(히아풀젤,폼 아이캐쳐붙인걸로)'!A:E,5,0)</f>
        <v>#N/A</v>
      </c>
    </row>
    <row r="88" spans="1:15" ht="12" customHeight="1">
      <c r="A88" s="4" t="str">
        <f t="shared" si="2"/>
        <v>81010903ME90621NA7</v>
      </c>
      <c r="B88" s="9">
        <v>81010000</v>
      </c>
      <c r="C88" s="11"/>
      <c r="D88" s="11">
        <v>81010903</v>
      </c>
      <c r="E88" s="71" t="s">
        <v>511</v>
      </c>
      <c r="F88" s="107" t="s">
        <v>685</v>
      </c>
      <c r="G88" s="107"/>
      <c r="H88" s="9">
        <f ca="1">SUMIF('서식(직납)'!B:L,'Summary(수주업로드용)'!A88,'서식(직납)'!J:J)</f>
        <v>6</v>
      </c>
      <c r="I88" s="28">
        <f ca="1">IF(H88="0","0",VLOOKUP(A88,'서식(직납)'!B:K,10,0))</f>
        <v>4469</v>
      </c>
      <c r="J88" s="7">
        <f t="shared" ca="1" si="3"/>
        <v>26814</v>
      </c>
      <c r="K88" s="4">
        <f>VLOOKUP(F88,'SUM(히아풀젤,폼 아이캐쳐붙인걸로)'!A:E,5,0)</f>
        <v>0</v>
      </c>
      <c r="M88" s="4" t="str">
        <f>VLOOKUP(F91,제품명!$D:$E,2,0)</f>
        <v>(new)아크네스 데일리 딥 클렌저 100g (6입)</v>
      </c>
    </row>
    <row r="89" spans="1:15" ht="12" hidden="1" customHeight="1">
      <c r="A89" s="4" t="str">
        <f t="shared" si="2"/>
        <v>81010903ME90621AT3</v>
      </c>
      <c r="B89" s="9">
        <v>81010000</v>
      </c>
      <c r="C89" s="11"/>
      <c r="D89" s="11">
        <v>81010903</v>
      </c>
      <c r="E89" s="71" t="s">
        <v>511</v>
      </c>
      <c r="F89" s="107" t="s">
        <v>592</v>
      </c>
      <c r="G89" s="107"/>
      <c r="H89" s="9">
        <f ca="1">SUMIF('서식(직납)'!B:L,'Summary(수주업로드용)'!A89,'서식(직납)'!J:J)</f>
        <v>0</v>
      </c>
      <c r="I89" s="28" t="e">
        <f ca="1">IF(H89="0","0",VLOOKUP(A89,'서식(직납)'!B:K,10,0))</f>
        <v>#N/A</v>
      </c>
      <c r="J89" s="7" t="e">
        <f t="shared" ca="1" si="3"/>
        <v>#N/A</v>
      </c>
      <c r="K89" s="4" t="e">
        <f>VLOOKUP(F89,'SUM(히아풀젤,폼 아이캐쳐붙인걸로)'!A:E,5,0)</f>
        <v>#N/A</v>
      </c>
    </row>
    <row r="90" spans="1:15" ht="12" hidden="1" customHeight="1">
      <c r="A90" s="4" t="str">
        <f t="shared" si="2"/>
        <v>81010903ME90621A07</v>
      </c>
      <c r="B90" s="9">
        <v>81010000</v>
      </c>
      <c r="C90" s="11"/>
      <c r="D90" s="11">
        <v>81010903</v>
      </c>
      <c r="E90" s="71" t="s">
        <v>511</v>
      </c>
      <c r="F90" s="107" t="s">
        <v>384</v>
      </c>
      <c r="G90" s="107"/>
      <c r="H90" s="9">
        <f ca="1">SUMIF('서식(직납)'!B:L,'Summary(수주업로드용)'!A90,'서식(직납)'!J:J)</f>
        <v>0</v>
      </c>
      <c r="I90" s="28" t="e">
        <f ca="1">IF(H90="0","0",VLOOKUP(A90,'서식(직납)'!B:K,10,0))</f>
        <v>#N/A</v>
      </c>
      <c r="J90" s="7" t="e">
        <f t="shared" ca="1" si="3"/>
        <v>#N/A</v>
      </c>
      <c r="K90" s="4" t="e">
        <f>VLOOKUP(F90,'SUM(히아풀젤,폼 아이캐쳐붙인걸로)'!A:E,5,0)</f>
        <v>#N/A</v>
      </c>
    </row>
    <row r="91" spans="1:15" ht="12" hidden="1" customHeight="1">
      <c r="A91" s="4" t="str">
        <f t="shared" si="2"/>
        <v>81010903ME90621ADI</v>
      </c>
      <c r="B91" s="9">
        <v>81010000</v>
      </c>
      <c r="C91" s="11"/>
      <c r="D91" s="11">
        <v>81010903</v>
      </c>
      <c r="E91" s="71" t="s">
        <v>511</v>
      </c>
      <c r="F91" s="107" t="s">
        <v>954</v>
      </c>
      <c r="G91" s="107"/>
      <c r="H91" s="9">
        <f ca="1">SUMIF('서식(직납)'!B:L,'Summary(수주업로드용)'!A91,'서식(직납)'!J:J)</f>
        <v>0</v>
      </c>
      <c r="I91" s="28" t="e">
        <f ca="1">IF(H91="0","0",VLOOKUP(A91,'서식(직납)'!B:K,10,0))</f>
        <v>#N/A</v>
      </c>
      <c r="J91" s="7" t="e">
        <f t="shared" ca="1" si="3"/>
        <v>#N/A</v>
      </c>
      <c r="K91" s="4">
        <f>VLOOKUP(F91,'SUM(히아풀젤,폼 아이캐쳐붙인걸로)'!A:E,5,0)</f>
        <v>0</v>
      </c>
      <c r="M91" s="4" t="str">
        <f>VLOOKUP(F94,제품명!$D:$E,2,0)</f>
        <v>아크네스 포밍워시 200ml (인케이스)-RRP</v>
      </c>
    </row>
    <row r="92" spans="1:15" ht="12" hidden="1" customHeight="1">
      <c r="A92" s="4" t="str">
        <f t="shared" si="2"/>
        <v>81010903ME90621A04</v>
      </c>
      <c r="B92" s="9">
        <v>81010000</v>
      </c>
      <c r="C92" s="11"/>
      <c r="D92" s="11">
        <v>81010903</v>
      </c>
      <c r="E92" s="71" t="s">
        <v>511</v>
      </c>
      <c r="F92" s="107" t="s">
        <v>334</v>
      </c>
      <c r="G92" s="107"/>
      <c r="H92" s="9">
        <f ca="1">SUMIF('서식(직납)'!B:L,'Summary(수주업로드용)'!A92,'서식(직납)'!J:J)</f>
        <v>0</v>
      </c>
      <c r="I92" s="28" t="e">
        <f ca="1">IF(H92="0","0",VLOOKUP(A92,'서식(직납)'!B:K,10,0))</f>
        <v>#N/A</v>
      </c>
      <c r="J92" s="7" t="e">
        <f t="shared" ca="1" si="3"/>
        <v>#N/A</v>
      </c>
      <c r="K92" s="4" t="e">
        <f>VLOOKUP(F92,'SUM(히아풀젤,폼 아이캐쳐붙인걸로)'!A:E,5,0)</f>
        <v>#N/A</v>
      </c>
    </row>
    <row r="93" spans="1:15" ht="12" hidden="1" customHeight="1">
      <c r="A93" s="4" t="str">
        <f t="shared" si="2"/>
        <v>81010903ME90621A02</v>
      </c>
      <c r="B93" s="9">
        <v>81010000</v>
      </c>
      <c r="C93" s="11"/>
      <c r="D93" s="11">
        <v>81010903</v>
      </c>
      <c r="E93" s="71" t="s">
        <v>511</v>
      </c>
      <c r="F93" s="107" t="s">
        <v>661</v>
      </c>
      <c r="G93" s="107"/>
      <c r="H93" s="9">
        <f ca="1">SUMIF('서식(직납)'!B:L,'Summary(수주업로드용)'!A93,'서식(직납)'!J:J)</f>
        <v>0</v>
      </c>
      <c r="I93" s="28" t="e">
        <f ca="1">IF(H93="0","0",VLOOKUP(A93,'서식(직납)'!B:K,10,0))</f>
        <v>#N/A</v>
      </c>
      <c r="J93" s="7" t="e">
        <f t="shared" ca="1" si="3"/>
        <v>#N/A</v>
      </c>
      <c r="K93" s="4" t="e">
        <f>VLOOKUP(F93,'SUM(히아풀젤,폼 아이캐쳐붙인걸로)'!A:E,5,0)</f>
        <v>#N/A</v>
      </c>
    </row>
    <row r="94" spans="1:15" ht="12" customHeight="1">
      <c r="A94" s="4" t="str">
        <f t="shared" si="2"/>
        <v>81010903ME90621AFE</v>
      </c>
      <c r="B94" s="9">
        <v>81010000</v>
      </c>
      <c r="C94" s="11"/>
      <c r="D94" s="11">
        <v>81010903</v>
      </c>
      <c r="E94" s="71" t="s">
        <v>511</v>
      </c>
      <c r="F94" s="107" t="s">
        <v>958</v>
      </c>
      <c r="G94" s="107"/>
      <c r="H94" s="9">
        <f ca="1">SUMIF('서식(직납)'!B:L,'Summary(수주업로드용)'!A94,'서식(직납)'!J:J)</f>
        <v>6</v>
      </c>
      <c r="I94" s="28">
        <f ca="1">IF(H94="0","0",VLOOKUP(A94,'서식(직납)'!B:K,10,0))</f>
        <v>4469</v>
      </c>
      <c r="J94" s="7">
        <f t="shared" ca="1" si="3"/>
        <v>26814</v>
      </c>
      <c r="K94" s="4" t="e">
        <f>VLOOKUP(F94,'SUM(히아풀젤,폼 아이캐쳐붙인걸로)'!A:E,5,0)</f>
        <v>#N/A</v>
      </c>
    </row>
    <row r="95" spans="1:15" ht="12" hidden="1" customHeight="1">
      <c r="A95" s="4" t="str">
        <f t="shared" si="2"/>
        <v>81010903ME00621TC3</v>
      </c>
      <c r="B95" s="9">
        <v>81010000</v>
      </c>
      <c r="C95" s="11"/>
      <c r="D95" s="11">
        <v>81010903</v>
      </c>
      <c r="E95" s="71" t="s">
        <v>511</v>
      </c>
      <c r="F95" s="107" t="s">
        <v>639</v>
      </c>
      <c r="G95" s="107"/>
      <c r="H95" s="9">
        <f ca="1">SUMIF('서식(직납)'!B:L,'Summary(수주업로드용)'!A95,'서식(직납)'!J:J)</f>
        <v>0</v>
      </c>
      <c r="I95" s="28" t="e">
        <f ca="1">IF(H95="0","0",VLOOKUP(A95,'서식(직납)'!B:K,10,0))</f>
        <v>#N/A</v>
      </c>
      <c r="J95" s="7" t="e">
        <f t="shared" ca="1" si="3"/>
        <v>#N/A</v>
      </c>
      <c r="K95" s="4" t="e">
        <f>VLOOKUP(F95,'SUM(히아풀젤,폼 아이캐쳐붙인걸로)'!A:E,5,0)</f>
        <v>#N/A</v>
      </c>
    </row>
    <row r="96" spans="1:15" ht="12" hidden="1" customHeight="1">
      <c r="A96" s="4" t="str">
        <f t="shared" si="2"/>
        <v>81010903ME00621AB1</v>
      </c>
      <c r="B96" s="9">
        <v>81010000</v>
      </c>
      <c r="C96" s="11"/>
      <c r="D96" s="11">
        <v>81010903</v>
      </c>
      <c r="E96" s="71" t="s">
        <v>511</v>
      </c>
      <c r="F96" s="107" t="s">
        <v>622</v>
      </c>
      <c r="G96" s="107"/>
      <c r="H96" s="9">
        <f ca="1">SUMIF('서식(직납)'!B:L,'Summary(수주업로드용)'!A96,'서식(직납)'!J:J)</f>
        <v>0</v>
      </c>
      <c r="I96" s="28" t="e">
        <f ca="1">IF(H96="0","0",VLOOKUP(A96,'서식(직납)'!B:K,10,0))</f>
        <v>#N/A</v>
      </c>
      <c r="J96" s="7" t="e">
        <f t="shared" ca="1" si="3"/>
        <v>#N/A</v>
      </c>
      <c r="K96" s="4" t="e">
        <f>VLOOKUP(F96,'SUM(히아풀젤,폼 아이캐쳐붙인걸로)'!A:E,5,0)</f>
        <v>#N/A</v>
      </c>
    </row>
    <row r="97" spans="1:13" ht="12" hidden="1" customHeight="1">
      <c r="A97" s="4" t="str">
        <f t="shared" si="2"/>
        <v>81010903ME00621C17</v>
      </c>
      <c r="B97" s="9">
        <v>81010000</v>
      </c>
      <c r="C97" s="11"/>
      <c r="D97" s="11">
        <v>81010903</v>
      </c>
      <c r="E97" s="71" t="s">
        <v>511</v>
      </c>
      <c r="F97" s="107" t="s">
        <v>621</v>
      </c>
      <c r="G97" s="107"/>
      <c r="H97" s="9">
        <f ca="1">SUMIF('서식(직납)'!B:L,'Summary(수주업로드용)'!A97,'서식(직납)'!J:J)</f>
        <v>0</v>
      </c>
      <c r="I97" s="28" t="e">
        <f ca="1">IF(H97="0","0",VLOOKUP(A97,'서식(직납)'!B:K,10,0))</f>
        <v>#N/A</v>
      </c>
      <c r="J97" s="7" t="e">
        <f t="shared" ca="1" si="3"/>
        <v>#N/A</v>
      </c>
      <c r="K97" s="4" t="e">
        <f>VLOOKUP(F97,'SUM(히아풀젤,폼 아이캐쳐붙인걸로)'!A:E,5,0)</f>
        <v>#N/A</v>
      </c>
    </row>
    <row r="98" spans="1:13" ht="12" hidden="1" customHeight="1">
      <c r="A98" s="4" t="str">
        <f t="shared" si="2"/>
        <v>81010903ME00621AT6</v>
      </c>
      <c r="B98" s="9">
        <v>81010000</v>
      </c>
      <c r="C98" s="11"/>
      <c r="D98" s="11">
        <v>81010903</v>
      </c>
      <c r="E98" s="71" t="s">
        <v>511</v>
      </c>
      <c r="F98" s="107" t="s">
        <v>333</v>
      </c>
      <c r="G98" s="107"/>
      <c r="H98" s="9">
        <f ca="1">SUMIF('서식(직납)'!B:L,'Summary(수주업로드용)'!A98,'서식(직납)'!J:J)</f>
        <v>0</v>
      </c>
      <c r="I98" s="28" t="e">
        <f ca="1">IF(H98="0","0",VLOOKUP(A98,'서식(직납)'!B:K,10,0))</f>
        <v>#N/A</v>
      </c>
      <c r="J98" s="7" t="e">
        <f t="shared" ca="1" si="3"/>
        <v>#N/A</v>
      </c>
      <c r="K98" s="4" t="e">
        <f>VLOOKUP(F98,'SUM(히아풀젤,폼 아이캐쳐붙인걸로)'!A:E,5,0)</f>
        <v>#N/A</v>
      </c>
    </row>
    <row r="99" spans="1:13" ht="12" hidden="1" customHeight="1">
      <c r="A99" s="4" t="str">
        <f t="shared" si="2"/>
        <v>81010903ME00621AM1</v>
      </c>
      <c r="B99" s="9">
        <v>81010000</v>
      </c>
      <c r="C99" s="11"/>
      <c r="D99" s="11">
        <v>81010903</v>
      </c>
      <c r="E99" s="71" t="s">
        <v>511</v>
      </c>
      <c r="F99" s="107" t="s">
        <v>619</v>
      </c>
      <c r="G99" s="107"/>
      <c r="H99" s="9">
        <f ca="1">SUMIF('서식(직납)'!B:L,'Summary(수주업로드용)'!A99,'서식(직납)'!J:J)</f>
        <v>0</v>
      </c>
      <c r="I99" s="28" t="e">
        <f ca="1">IF(H99="0","0",VLOOKUP(A99,'서식(직납)'!B:K,10,0))</f>
        <v>#N/A</v>
      </c>
      <c r="J99" s="7" t="e">
        <f t="shared" ca="1" si="3"/>
        <v>#N/A</v>
      </c>
      <c r="K99" s="4" t="e">
        <f>VLOOKUP(F99,'SUM(히아풀젤,폼 아이캐쳐붙인걸로)'!A:E,5,0)</f>
        <v>#N/A</v>
      </c>
    </row>
    <row r="100" spans="1:13" ht="12" hidden="1" customHeight="1">
      <c r="A100" s="4" t="str">
        <f t="shared" si="2"/>
        <v>81010903ME00621AS1</v>
      </c>
      <c r="B100" s="9">
        <v>81010000</v>
      </c>
      <c r="C100" s="11"/>
      <c r="D100" s="11">
        <v>81010903</v>
      </c>
      <c r="E100" s="71" t="s">
        <v>511</v>
      </c>
      <c r="F100" s="107" t="s">
        <v>498</v>
      </c>
      <c r="G100" s="107"/>
      <c r="H100" s="9">
        <f ca="1">SUMIF('서식(직납)'!B:L,'Summary(수주업로드용)'!A100,'서식(직납)'!J:J)</f>
        <v>0</v>
      </c>
      <c r="I100" s="28" t="e">
        <f ca="1">IF(H100="0","0",VLOOKUP(A100,'서식(직납)'!B:K,10,0))</f>
        <v>#N/A</v>
      </c>
      <c r="J100" s="7" t="e">
        <f t="shared" ca="1" si="3"/>
        <v>#N/A</v>
      </c>
      <c r="K100" s="4" t="e">
        <f>VLOOKUP(F100,'SUM(히아풀젤,폼 아이캐쳐붙인걸로)'!A:E,5,0)</f>
        <v>#N/A</v>
      </c>
    </row>
    <row r="101" spans="1:13" ht="12" hidden="1" customHeight="1">
      <c r="A101" s="4" t="str">
        <f t="shared" si="2"/>
        <v>81010903ME00621AR1</v>
      </c>
      <c r="B101" s="9">
        <v>81010000</v>
      </c>
      <c r="C101" s="11"/>
      <c r="D101" s="11">
        <v>81010903</v>
      </c>
      <c r="E101" s="71" t="s">
        <v>511</v>
      </c>
      <c r="F101" s="107" t="s">
        <v>496</v>
      </c>
      <c r="G101" s="107"/>
      <c r="H101" s="9">
        <f ca="1">SUMIF('서식(직납)'!B:L,'Summary(수주업로드용)'!A101,'서식(직납)'!J:J)</f>
        <v>0</v>
      </c>
      <c r="I101" s="28" t="e">
        <f ca="1">IF(H101="0","0",VLOOKUP(A101,'서식(직납)'!B:K,10,0))</f>
        <v>#N/A</v>
      </c>
      <c r="J101" s="7" t="e">
        <f t="shared" ca="1" si="3"/>
        <v>#N/A</v>
      </c>
      <c r="K101" s="4" t="e">
        <f>VLOOKUP(F101,'SUM(히아풀젤,폼 아이캐쳐붙인걸로)'!A:E,5,0)</f>
        <v>#N/A</v>
      </c>
      <c r="M101" s="4" t="str">
        <f>VLOOKUP(F104,제품명!$D:$E,2,0)</f>
        <v xml:space="preserve">아크네스 더마 릴리프 모이스처 폼클렌저 </v>
      </c>
    </row>
    <row r="102" spans="1:13" ht="12" hidden="1" customHeight="1">
      <c r="A102" s="4" t="str">
        <f t="shared" si="2"/>
        <v>81010903ME00621AL1</v>
      </c>
      <c r="B102" s="9">
        <v>81010000</v>
      </c>
      <c r="C102" s="11"/>
      <c r="D102" s="11">
        <v>81010903</v>
      </c>
      <c r="E102" s="71" t="s">
        <v>511</v>
      </c>
      <c r="F102" s="107" t="s">
        <v>494</v>
      </c>
      <c r="G102" s="107"/>
      <c r="H102" s="9">
        <f ca="1">SUMIF('서식(직납)'!B:L,'Summary(수주업로드용)'!A102,'서식(직납)'!J:J)</f>
        <v>0</v>
      </c>
      <c r="I102" s="28" t="e">
        <f ca="1">IF(H102="0","0",VLOOKUP(A102,'서식(직납)'!B:K,10,0))</f>
        <v>#N/A</v>
      </c>
      <c r="J102" s="7" t="e">
        <f t="shared" ca="1" si="3"/>
        <v>#N/A</v>
      </c>
      <c r="K102" s="4" t="e">
        <f>VLOOKUP(F102,'SUM(히아풀젤,폼 아이캐쳐붙인걸로)'!A:E,5,0)</f>
        <v>#N/A</v>
      </c>
    </row>
    <row r="103" spans="1:13" ht="12" hidden="1" customHeight="1">
      <c r="A103" s="4" t="str">
        <f t="shared" si="2"/>
        <v>81010903ME00621AG1</v>
      </c>
      <c r="B103" s="9">
        <v>81010000</v>
      </c>
      <c r="C103" s="11"/>
      <c r="D103" s="11">
        <v>81010903</v>
      </c>
      <c r="E103" s="71" t="s">
        <v>511</v>
      </c>
      <c r="F103" s="107" t="s">
        <v>492</v>
      </c>
      <c r="G103" s="107"/>
      <c r="H103" s="9">
        <f ca="1">SUMIF('서식(직납)'!B:L,'Summary(수주업로드용)'!A103,'서식(직납)'!J:J)</f>
        <v>0</v>
      </c>
      <c r="I103" s="28" t="e">
        <f ca="1">IF(H103="0","0",VLOOKUP(A103,'서식(직납)'!B:K,10,0))</f>
        <v>#N/A</v>
      </c>
      <c r="J103" s="7" t="e">
        <f t="shared" ca="1" si="3"/>
        <v>#N/A</v>
      </c>
      <c r="K103" s="4" t="e">
        <f>VLOOKUP(F103,'SUM(히아풀젤,폼 아이캐쳐붙인걸로)'!A:E,5,0)</f>
        <v>#N/A</v>
      </c>
    </row>
    <row r="104" spans="1:13" ht="12" hidden="1" customHeight="1">
      <c r="A104" s="4" t="str">
        <f t="shared" si="2"/>
        <v>81010903ME00621AF9</v>
      </c>
      <c r="B104" s="9">
        <v>81010000</v>
      </c>
      <c r="C104" s="11"/>
      <c r="D104" s="11">
        <v>81010903</v>
      </c>
      <c r="E104" s="71" t="s">
        <v>511</v>
      </c>
      <c r="F104" s="107" t="s">
        <v>969</v>
      </c>
      <c r="G104" s="107"/>
      <c r="H104" s="9">
        <f ca="1">SUMIF('서식(직납)'!B:L,'Summary(수주업로드용)'!A104,'서식(직납)'!J:J)</f>
        <v>0</v>
      </c>
      <c r="I104" s="28" t="e">
        <f ca="1">IF(H104="0","0",VLOOKUP(A104,'서식(직납)'!B:K,10,0))</f>
        <v>#N/A</v>
      </c>
      <c r="J104" s="7" t="e">
        <f t="shared" ca="1" si="3"/>
        <v>#N/A</v>
      </c>
      <c r="K104" s="4" t="e">
        <f>VLOOKUP(F104,'SUM(히아풀젤,폼 아이캐쳐붙인걸로)'!A:E,5,0)</f>
        <v>#N/A</v>
      </c>
    </row>
    <row r="105" spans="1:13" ht="12" hidden="1" customHeight="1">
      <c r="A105" s="4" t="str">
        <f t="shared" si="2"/>
        <v>81010903ME00621A08</v>
      </c>
      <c r="B105" s="9">
        <v>81010000</v>
      </c>
      <c r="C105" s="11"/>
      <c r="D105" s="11">
        <v>81010903</v>
      </c>
      <c r="E105" s="71" t="s">
        <v>511</v>
      </c>
      <c r="F105" s="107" t="s">
        <v>480</v>
      </c>
      <c r="G105" s="107"/>
      <c r="H105" s="9">
        <f ca="1">SUMIF('서식(직납)'!B:L,'Summary(수주업로드용)'!A105,'서식(직납)'!J:J)</f>
        <v>0</v>
      </c>
      <c r="I105" s="28" t="e">
        <f ca="1">IF(H105="0","0",VLOOKUP(A105,'서식(직납)'!B:K,10,0))</f>
        <v>#N/A</v>
      </c>
      <c r="J105" s="7" t="e">
        <f t="shared" ca="1" si="3"/>
        <v>#N/A</v>
      </c>
      <c r="K105" s="4" t="e">
        <f>VLOOKUP(F105,'SUM(히아풀젤,폼 아이캐쳐붙인걸로)'!A:E,5,0)</f>
        <v>#N/A</v>
      </c>
    </row>
    <row r="106" spans="1:13" ht="12" hidden="1" customHeight="1">
      <c r="A106" s="4" t="str">
        <f t="shared" si="2"/>
        <v>81010903ME90621SM4</v>
      </c>
      <c r="B106" s="9">
        <v>81010000</v>
      </c>
      <c r="C106" s="11"/>
      <c r="D106" s="11">
        <v>81010903</v>
      </c>
      <c r="E106" s="71" t="s">
        <v>511</v>
      </c>
      <c r="F106" s="108" t="s">
        <v>19</v>
      </c>
      <c r="G106" s="108"/>
      <c r="H106" s="9">
        <f ca="1">SUMIF('서식(직납)'!B:L,'Summary(수주업로드용)'!A106,'서식(직납)'!J:J)</f>
        <v>0</v>
      </c>
      <c r="I106" s="28" t="e">
        <f ca="1">IF(H106="0","0",VLOOKUP(A106,'서식(직납)'!B:K,10,0))</f>
        <v>#N/A</v>
      </c>
      <c r="J106" s="7" t="e">
        <f t="shared" ca="1" si="3"/>
        <v>#N/A</v>
      </c>
      <c r="K106" s="4" t="e">
        <f>VLOOKUP(F106,'SUM(히아풀젤,폼 아이캐쳐붙인걸로)'!A:E,5,0)</f>
        <v>#N/A</v>
      </c>
    </row>
    <row r="107" spans="1:13" ht="12" hidden="1" customHeight="1">
      <c r="A107" s="4" t="str">
        <f t="shared" si="2"/>
        <v>81010903ME90621SL2</v>
      </c>
      <c r="B107" s="9">
        <v>81010000</v>
      </c>
      <c r="C107" s="11"/>
      <c r="D107" s="11">
        <v>81010903</v>
      </c>
      <c r="E107" s="71" t="s">
        <v>511</v>
      </c>
      <c r="F107" s="108" t="s">
        <v>628</v>
      </c>
      <c r="G107" s="108"/>
      <c r="H107" s="9">
        <f ca="1">SUMIF('서식(직납)'!B:L,'Summary(수주업로드용)'!A107,'서식(직납)'!J:J)</f>
        <v>0</v>
      </c>
      <c r="I107" s="28" t="e">
        <f ca="1">IF(H107="0","0",VLOOKUP(A107,'서식(직납)'!B:K,10,0))</f>
        <v>#N/A</v>
      </c>
      <c r="J107" s="7" t="e">
        <f t="shared" ca="1" si="3"/>
        <v>#N/A</v>
      </c>
      <c r="K107" s="4" t="e">
        <f>VLOOKUP(F107,'SUM(히아풀젤,폼 아이캐쳐붙인걸로)'!A:E,5,0)</f>
        <v>#N/A</v>
      </c>
    </row>
    <row r="108" spans="1:13" ht="12" hidden="1" customHeight="1">
      <c r="A108" s="4" t="str">
        <f t="shared" si="2"/>
        <v>81010903ME90621SCM</v>
      </c>
      <c r="B108" s="9">
        <v>81010000</v>
      </c>
      <c r="C108" s="11"/>
      <c r="D108" s="11">
        <v>81010903</v>
      </c>
      <c r="E108" s="71" t="s">
        <v>511</v>
      </c>
      <c r="F108" s="108" t="s">
        <v>593</v>
      </c>
      <c r="G108" s="108"/>
      <c r="H108" s="9">
        <f ca="1">SUMIF('서식(직납)'!B:L,'Summary(수주업로드용)'!A108,'서식(직납)'!J:J)</f>
        <v>0</v>
      </c>
      <c r="I108" s="28" t="e">
        <f ca="1">IF(H108="0","0",VLOOKUP(A108,'서식(직납)'!B:K,10,0))</f>
        <v>#N/A</v>
      </c>
      <c r="J108" s="7" t="e">
        <f t="shared" ca="1" si="3"/>
        <v>#N/A</v>
      </c>
      <c r="K108" s="4" t="e">
        <f>VLOOKUP(F108,'SUM(히아풀젤,폼 아이캐쳐붙인걸로)'!A:E,5,0)</f>
        <v>#N/A</v>
      </c>
    </row>
    <row r="109" spans="1:13" ht="12" hidden="1" customHeight="1">
      <c r="A109" s="4" t="str">
        <f t="shared" si="2"/>
        <v>81010903ME90621KW1</v>
      </c>
      <c r="B109" s="9">
        <v>81010000</v>
      </c>
      <c r="C109" s="11"/>
      <c r="D109" s="11">
        <v>81010903</v>
      </c>
      <c r="E109" s="71" t="s">
        <v>511</v>
      </c>
      <c r="F109" s="108" t="s">
        <v>616</v>
      </c>
      <c r="G109" s="108"/>
      <c r="H109" s="9">
        <f ca="1">SUMIF('서식(직납)'!B:L,'Summary(수주업로드용)'!A109,'서식(직납)'!J:J)</f>
        <v>0</v>
      </c>
      <c r="I109" s="28" t="e">
        <f ca="1">IF(H109="0","0",VLOOKUP(A109,'서식(직납)'!B:K,10,0))</f>
        <v>#N/A</v>
      </c>
      <c r="J109" s="7" t="e">
        <f t="shared" ca="1" si="3"/>
        <v>#N/A</v>
      </c>
      <c r="K109" s="4" t="e">
        <f>VLOOKUP(F109,'SUM(히아풀젤,폼 아이캐쳐붙인걸로)'!A:E,5,0)</f>
        <v>#N/A</v>
      </c>
    </row>
    <row r="110" spans="1:13" ht="12" hidden="1" customHeight="1">
      <c r="A110" s="4" t="str">
        <f t="shared" si="2"/>
        <v>81010903ME00621H51</v>
      </c>
      <c r="B110" s="9">
        <v>81010000</v>
      </c>
      <c r="C110" s="11"/>
      <c r="D110" s="11">
        <v>81010903</v>
      </c>
      <c r="E110" s="71" t="s">
        <v>511</v>
      </c>
      <c r="F110" s="108" t="s">
        <v>611</v>
      </c>
      <c r="G110" s="108"/>
      <c r="H110" s="9">
        <f ca="1">SUMIF('서식(직납)'!B:L,'Summary(수주업로드용)'!A110,'서식(직납)'!J:J)</f>
        <v>0</v>
      </c>
      <c r="I110" s="28" t="e">
        <f ca="1">IF(H110="0","0",VLOOKUP(A110,'서식(직납)'!B:K,10,0))</f>
        <v>#N/A</v>
      </c>
      <c r="J110" s="7" t="e">
        <f t="shared" ca="1" si="3"/>
        <v>#N/A</v>
      </c>
      <c r="K110" s="4" t="e">
        <f>VLOOKUP(F110,'SUM(히아풀젤,폼 아이캐쳐붙인걸로)'!A:E,5,0)</f>
        <v>#N/A</v>
      </c>
    </row>
    <row r="111" spans="1:13" ht="12" hidden="1" customHeight="1">
      <c r="A111" s="4" t="str">
        <f t="shared" si="2"/>
        <v>81010903ME90621GPM</v>
      </c>
      <c r="B111" s="9">
        <v>81010000</v>
      </c>
      <c r="C111" s="11"/>
      <c r="D111" s="11">
        <v>81010903</v>
      </c>
      <c r="E111" s="71" t="s">
        <v>511</v>
      </c>
      <c r="F111" s="108" t="s">
        <v>534</v>
      </c>
      <c r="G111" s="108"/>
      <c r="H111" s="9">
        <f ca="1">SUMIF('서식(직납)'!B:L,'Summary(수주업로드용)'!A111,'서식(직납)'!J:J)</f>
        <v>0</v>
      </c>
      <c r="I111" s="28" t="e">
        <f ca="1">IF(H111="0","0",VLOOKUP(A111,'서식(직납)'!B:K,10,0))</f>
        <v>#N/A</v>
      </c>
      <c r="J111" s="7" t="e">
        <f t="shared" ca="1" si="3"/>
        <v>#N/A</v>
      </c>
      <c r="K111" s="4" t="e">
        <f>VLOOKUP(F111,'SUM(히아풀젤,폼 아이캐쳐붙인걸로)'!A:E,5,0)</f>
        <v>#N/A</v>
      </c>
      <c r="M111" s="4" t="str">
        <f>VLOOKUP(F114,제품명!$D:$E,2,0)</f>
        <v>하다라보 고쿠쥰 오일 클렌징 200ml</v>
      </c>
    </row>
    <row r="112" spans="1:13" ht="12" hidden="1" customHeight="1">
      <c r="A112" s="4" t="str">
        <f t="shared" si="2"/>
        <v>81010903ME90621GPL</v>
      </c>
      <c r="B112" s="9">
        <v>81010000</v>
      </c>
      <c r="C112" s="11"/>
      <c r="D112" s="11">
        <v>81010903</v>
      </c>
      <c r="E112" s="71" t="s">
        <v>511</v>
      </c>
      <c r="F112" s="108" t="s">
        <v>533</v>
      </c>
      <c r="G112" s="108"/>
      <c r="H112" s="9">
        <f ca="1">SUMIF('서식(직납)'!B:L,'Summary(수주업로드용)'!A112,'서식(직납)'!J:J)</f>
        <v>0</v>
      </c>
      <c r="I112" s="28" t="e">
        <f ca="1">IF(H112="0","0",VLOOKUP(A112,'서식(직납)'!B:K,10,0))</f>
        <v>#N/A</v>
      </c>
      <c r="J112" s="7" t="e">
        <f t="shared" ca="1" si="3"/>
        <v>#N/A</v>
      </c>
      <c r="K112" s="4" t="e">
        <f>VLOOKUP(F112,'SUM(히아풀젤,폼 아이캐쳐붙인걸로)'!A:E,5,0)</f>
        <v>#N/A</v>
      </c>
    </row>
    <row r="113" spans="1:13" ht="12" hidden="1" customHeight="1">
      <c r="A113" s="4" t="str">
        <f t="shared" si="2"/>
        <v>81010903ME90621GPJ</v>
      </c>
      <c r="B113" s="9">
        <v>81010000</v>
      </c>
      <c r="C113" s="11"/>
      <c r="D113" s="11">
        <v>81010903</v>
      </c>
      <c r="E113" s="71" t="s">
        <v>511</v>
      </c>
      <c r="F113" s="108" t="s">
        <v>532</v>
      </c>
      <c r="G113" s="108"/>
      <c r="H113" s="9">
        <f ca="1">SUMIF('서식(직납)'!B:L,'Summary(수주업로드용)'!A113,'서식(직납)'!J:J)</f>
        <v>0</v>
      </c>
      <c r="I113" s="28" t="e">
        <f ca="1">IF(H113="0","0",VLOOKUP(A113,'서식(직납)'!B:K,10,0))</f>
        <v>#N/A</v>
      </c>
      <c r="J113" s="7" t="e">
        <f t="shared" ca="1" si="3"/>
        <v>#N/A</v>
      </c>
      <c r="K113" s="4" t="e">
        <f>VLOOKUP(F113,'SUM(히아풀젤,폼 아이캐쳐붙인걸로)'!A:E,5,0)</f>
        <v>#N/A</v>
      </c>
    </row>
    <row r="114" spans="1:13" ht="12" hidden="1" customHeight="1">
      <c r="A114" s="4" t="str">
        <f t="shared" si="2"/>
        <v>81010903ME90621GO8</v>
      </c>
      <c r="B114" s="9">
        <v>81010000</v>
      </c>
      <c r="C114" s="11"/>
      <c r="D114" s="11">
        <v>81010903</v>
      </c>
      <c r="E114" s="71" t="s">
        <v>511</v>
      </c>
      <c r="F114" s="108" t="s">
        <v>956</v>
      </c>
      <c r="G114" s="108"/>
      <c r="H114" s="9">
        <f ca="1">SUMIF('서식(직납)'!B:L,'Summary(수주업로드용)'!A114,'서식(직납)'!J:J)</f>
        <v>0</v>
      </c>
      <c r="I114" s="28" t="e">
        <f ca="1">IF(H114="0","0",VLOOKUP(A114,'서식(직납)'!B:K,10,0))</f>
        <v>#N/A</v>
      </c>
      <c r="J114" s="7" t="e">
        <f t="shared" ca="1" si="3"/>
        <v>#N/A</v>
      </c>
      <c r="K114" s="4">
        <f>VLOOKUP(F114,'SUM(히아풀젤,폼 아이캐쳐붙인걸로)'!A:E,5,0)</f>
        <v>0</v>
      </c>
    </row>
    <row r="115" spans="1:13" ht="12" hidden="1" customHeight="1">
      <c r="A115" s="4" t="str">
        <f t="shared" si="2"/>
        <v>81010903ME90621GM5</v>
      </c>
      <c r="B115" s="9">
        <v>81010000</v>
      </c>
      <c r="C115" s="11"/>
      <c r="D115" s="11">
        <v>81010903</v>
      </c>
      <c r="E115" s="71" t="s">
        <v>511</v>
      </c>
      <c r="F115" s="108" t="s">
        <v>537</v>
      </c>
      <c r="G115" s="108"/>
      <c r="H115" s="9">
        <f ca="1">SUMIF('서식(직납)'!B:L,'Summary(수주업로드용)'!A115,'서식(직납)'!J:J)</f>
        <v>0</v>
      </c>
      <c r="I115" s="28" t="e">
        <f ca="1">IF(H115="0","0",VLOOKUP(A115,'서식(직납)'!B:K,10,0))</f>
        <v>#N/A</v>
      </c>
      <c r="J115" s="7" t="e">
        <f t="shared" ca="1" si="3"/>
        <v>#N/A</v>
      </c>
      <c r="K115" s="4" t="e">
        <f>VLOOKUP(F115,'SUM(히아풀젤,폼 아이캐쳐붙인걸로)'!A:E,5,0)</f>
        <v>#N/A</v>
      </c>
    </row>
    <row r="116" spans="1:13" ht="12" hidden="1" customHeight="1">
      <c r="A116" s="4" t="str">
        <f t="shared" si="2"/>
        <v>81010903ME90621GLK</v>
      </c>
      <c r="B116" s="9">
        <v>81010000</v>
      </c>
      <c r="C116" s="11"/>
      <c r="D116" s="11">
        <v>81010903</v>
      </c>
      <c r="E116" s="71" t="s">
        <v>511</v>
      </c>
      <c r="F116" s="108" t="s">
        <v>604</v>
      </c>
      <c r="G116" s="108"/>
      <c r="H116" s="9">
        <f ca="1">SUMIF('서식(직납)'!B:L,'Summary(수주업로드용)'!A116,'서식(직납)'!J:J)</f>
        <v>0</v>
      </c>
      <c r="I116" s="28" t="e">
        <f ca="1">IF(H116="0","0",VLOOKUP(A116,'서식(직납)'!B:K,10,0))</f>
        <v>#N/A</v>
      </c>
      <c r="J116" s="7" t="e">
        <f t="shared" ca="1" si="3"/>
        <v>#N/A</v>
      </c>
      <c r="K116" s="4" t="e">
        <f>VLOOKUP(F116,'SUM(히아풀젤,폼 아이캐쳐붙인걸로)'!A:E,5,0)</f>
        <v>#N/A</v>
      </c>
    </row>
    <row r="117" spans="1:13" ht="12" hidden="1" customHeight="1">
      <c r="A117" s="4" t="str">
        <f t="shared" si="2"/>
        <v>81010903ME90621GL6</v>
      </c>
      <c r="B117" s="9">
        <v>81010000</v>
      </c>
      <c r="C117" s="11"/>
      <c r="D117" s="11">
        <v>81010903</v>
      </c>
      <c r="E117" s="71" t="s">
        <v>511</v>
      </c>
      <c r="F117" s="108" t="s">
        <v>536</v>
      </c>
      <c r="G117" s="108"/>
      <c r="H117" s="9">
        <f ca="1">SUMIF('서식(직납)'!B:L,'Summary(수주업로드용)'!A117,'서식(직납)'!J:J)</f>
        <v>0</v>
      </c>
      <c r="I117" s="28" t="e">
        <f ca="1">IF(H117="0","0",VLOOKUP(A117,'서식(직납)'!B:K,10,0))</f>
        <v>#N/A</v>
      </c>
      <c r="J117" s="7" t="e">
        <f t="shared" ca="1" si="3"/>
        <v>#N/A</v>
      </c>
      <c r="K117" s="4" t="e">
        <f>VLOOKUP(F117,'SUM(히아풀젤,폼 아이캐쳐붙인걸로)'!A:E,5,0)</f>
        <v>#N/A</v>
      </c>
    </row>
    <row r="118" spans="1:13" ht="12" hidden="1" customHeight="1">
      <c r="A118" s="4" t="str">
        <f t="shared" si="2"/>
        <v>81010903ME90621GHV</v>
      </c>
      <c r="B118" s="9">
        <v>81010000</v>
      </c>
      <c r="C118" s="11"/>
      <c r="D118" s="11">
        <v>81010903</v>
      </c>
      <c r="E118" s="71" t="s">
        <v>511</v>
      </c>
      <c r="F118" s="108" t="s">
        <v>623</v>
      </c>
      <c r="G118" s="108"/>
      <c r="H118" s="9">
        <f ca="1">SUMIF('서식(직납)'!B:L,'Summary(수주업로드용)'!A118,'서식(직납)'!J:J)</f>
        <v>0</v>
      </c>
      <c r="I118" s="28" t="e">
        <f ca="1">IF(H118="0","0",VLOOKUP(A118,'서식(직납)'!B:K,10,0))</f>
        <v>#N/A</v>
      </c>
      <c r="J118" s="7" t="e">
        <f t="shared" ca="1" si="3"/>
        <v>#N/A</v>
      </c>
      <c r="K118" s="4" t="e">
        <f>VLOOKUP(F118,'SUM(히아풀젤,폼 아이캐쳐붙인걸로)'!A:E,5,0)</f>
        <v>#N/A</v>
      </c>
    </row>
    <row r="119" spans="1:13" ht="12" hidden="1" customHeight="1">
      <c r="A119" s="4" t="str">
        <f t="shared" si="2"/>
        <v>81010903ME00621H41</v>
      </c>
      <c r="B119" s="9">
        <v>81010000</v>
      </c>
      <c r="C119" s="11"/>
      <c r="D119" s="11">
        <v>81010903</v>
      </c>
      <c r="E119" s="71" t="s">
        <v>511</v>
      </c>
      <c r="F119" s="108" t="s">
        <v>667</v>
      </c>
      <c r="G119" s="108"/>
      <c r="H119" s="9">
        <f ca="1">SUMIF('서식(직납)'!B:L,'Summary(수주업로드용)'!A119,'서식(직납)'!J:J)</f>
        <v>0</v>
      </c>
      <c r="I119" s="28" t="e">
        <f ca="1">IF(H119="0","0",VLOOKUP(A119,'서식(직납)'!B:K,10,0))</f>
        <v>#N/A</v>
      </c>
      <c r="J119" s="7" t="e">
        <f t="shared" ca="1" si="3"/>
        <v>#N/A</v>
      </c>
      <c r="K119" s="4" t="e">
        <f>VLOOKUP(F119,'SUM(히아풀젤,폼 아이캐쳐붙인걸로)'!A:E,5,0)</f>
        <v>#N/A</v>
      </c>
    </row>
    <row r="120" spans="1:13" ht="12" hidden="1" customHeight="1">
      <c r="A120" s="4" t="str">
        <f t="shared" si="2"/>
        <v>81010903ME00621CM5</v>
      </c>
      <c r="B120" s="9">
        <v>81010000</v>
      </c>
      <c r="C120" s="11"/>
      <c r="D120" s="11">
        <v>81010903</v>
      </c>
      <c r="E120" s="71" t="s">
        <v>511</v>
      </c>
      <c r="F120" s="108" t="s">
        <v>620</v>
      </c>
      <c r="G120" s="108"/>
      <c r="H120" s="9">
        <f ca="1">SUMIF('서식(직납)'!B:L,'Summary(수주업로드용)'!A120,'서식(직납)'!J:J)</f>
        <v>0</v>
      </c>
      <c r="I120" s="28" t="e">
        <f ca="1">IF(H120="0","0",VLOOKUP(A120,'서식(직납)'!B:K,10,0))</f>
        <v>#N/A</v>
      </c>
      <c r="J120" s="7" t="e">
        <f t="shared" ca="1" si="3"/>
        <v>#N/A</v>
      </c>
      <c r="K120" s="4">
        <f>VLOOKUP(F120,'SUM(히아풀젤,폼 아이캐쳐붙인걸로)'!A:E,5,0)</f>
        <v>0</v>
      </c>
    </row>
    <row r="121" spans="1:13" ht="12" hidden="1" customHeight="1">
      <c r="A121" s="4" t="str">
        <f t="shared" si="2"/>
        <v>81010903ME90621GE1</v>
      </c>
      <c r="B121" s="9">
        <v>81010000</v>
      </c>
      <c r="C121" s="11"/>
      <c r="D121" s="11">
        <v>81010903</v>
      </c>
      <c r="E121" s="71" t="s">
        <v>511</v>
      </c>
      <c r="F121" s="108" t="s">
        <v>523</v>
      </c>
      <c r="G121" s="108"/>
      <c r="H121" s="9">
        <f ca="1">SUMIF('서식(직납)'!B:L,'Summary(수주업로드용)'!A121,'서식(직납)'!J:J)</f>
        <v>0</v>
      </c>
      <c r="I121" s="28" t="e">
        <f ca="1">IF(H121="0","0",VLOOKUP(A121,'서식(직납)'!B:K,10,0))</f>
        <v>#N/A</v>
      </c>
      <c r="J121" s="7" t="e">
        <f t="shared" ca="1" si="3"/>
        <v>#N/A</v>
      </c>
      <c r="K121" s="4" t="e">
        <f>VLOOKUP(F121,'SUM(히아풀젤,폼 아이캐쳐붙인걸로)'!A:E,5,0)</f>
        <v>#N/A</v>
      </c>
    </row>
    <row r="122" spans="1:13" ht="12" hidden="1" customHeight="1">
      <c r="A122" s="4" t="str">
        <f t="shared" si="2"/>
        <v>81010903ME90621GCK</v>
      </c>
      <c r="B122" s="9">
        <v>81010000</v>
      </c>
      <c r="C122" s="11"/>
      <c r="D122" s="11">
        <v>81010903</v>
      </c>
      <c r="E122" s="71" t="s">
        <v>511</v>
      </c>
      <c r="F122" s="108" t="s">
        <v>636</v>
      </c>
      <c r="G122" s="108"/>
      <c r="H122" s="9">
        <f ca="1">SUMIF('서식(직납)'!B:L,'Summary(수주업로드용)'!A122,'서식(직납)'!J:J)</f>
        <v>0</v>
      </c>
      <c r="I122" s="28" t="e">
        <f ca="1">IF(H122="0","0",VLOOKUP(A122,'서식(직납)'!B:K,10,0))</f>
        <v>#N/A</v>
      </c>
      <c r="J122" s="7" t="e">
        <f t="shared" ca="1" si="3"/>
        <v>#N/A</v>
      </c>
      <c r="K122" s="4" t="e">
        <f>VLOOKUP(F122,'SUM(히아풀젤,폼 아이캐쳐붙인걸로)'!A:E,5,0)</f>
        <v>#N/A</v>
      </c>
      <c r="M122" s="4" t="str">
        <f>VLOOKUP(F125,제품명!$D:$E,2,0)</f>
        <v>립아이스 립밤 스트로베리 (2021) (12입)</v>
      </c>
    </row>
    <row r="123" spans="1:13" ht="12" hidden="1" customHeight="1">
      <c r="A123" s="4" t="str">
        <f t="shared" si="2"/>
        <v>81010903ME00621SS1</v>
      </c>
      <c r="B123" s="9">
        <v>81010000</v>
      </c>
      <c r="C123" s="11"/>
      <c r="D123" s="11">
        <v>81010903</v>
      </c>
      <c r="E123" s="71" t="s">
        <v>511</v>
      </c>
      <c r="F123" s="108" t="s">
        <v>524</v>
      </c>
      <c r="G123" s="108"/>
      <c r="H123" s="9">
        <f ca="1">SUMIF('서식(직납)'!B:L,'Summary(수주업로드용)'!A123,'서식(직납)'!J:J)</f>
        <v>0</v>
      </c>
      <c r="I123" s="28" t="e">
        <f ca="1">IF(H123="0","0",VLOOKUP(A123,'서식(직납)'!B:K,10,0))</f>
        <v>#N/A</v>
      </c>
      <c r="J123" s="7" t="e">
        <f t="shared" ca="1" si="3"/>
        <v>#N/A</v>
      </c>
      <c r="K123" s="4" t="e">
        <f>VLOOKUP(F123,'SUM(히아풀젤,폼 아이캐쳐붙인걸로)'!A:E,5,0)</f>
        <v>#N/A</v>
      </c>
      <c r="M123" s="4" t="str">
        <f>VLOOKUP(F126,제품명!$D:$E,2,0)</f>
        <v>립아이스 립밤 레몬 (2021) (12입)</v>
      </c>
    </row>
    <row r="124" spans="1:13" ht="12" hidden="1" customHeight="1">
      <c r="A124" s="4" t="str">
        <f t="shared" si="2"/>
        <v>81010903ME00621GP1</v>
      </c>
      <c r="B124" s="9">
        <v>81010000</v>
      </c>
      <c r="C124" s="11"/>
      <c r="D124" s="11">
        <v>81010903</v>
      </c>
      <c r="E124" s="71" t="s">
        <v>511</v>
      </c>
      <c r="F124" s="108" t="s">
        <v>594</v>
      </c>
      <c r="G124" s="108"/>
      <c r="H124" s="9">
        <f ca="1">SUMIF('서식(직납)'!B:L,'Summary(수주업로드용)'!A124,'서식(직납)'!J:J)</f>
        <v>0</v>
      </c>
      <c r="I124" s="28" t="e">
        <f ca="1">IF(H124="0","0",VLOOKUP(A124,'서식(직납)'!B:K,10,0))</f>
        <v>#N/A</v>
      </c>
      <c r="J124" s="7" t="e">
        <f t="shared" ca="1" si="3"/>
        <v>#N/A</v>
      </c>
      <c r="K124" s="4" t="e">
        <f>VLOOKUP(F124,'SUM(히아풀젤,폼 아이캐쳐붙인걸로)'!A:E,5,0)</f>
        <v>#N/A</v>
      </c>
      <c r="M124" s="4" t="str">
        <f>VLOOKUP(F127,제품명!$D:$E,2,0)</f>
        <v>립아이스 립밤 그레이프프루트 티 (2021) (12입)</v>
      </c>
    </row>
    <row r="125" spans="1:13" ht="12" hidden="1" customHeight="1">
      <c r="A125" s="4" t="str">
        <f t="shared" si="2"/>
        <v>81010903ME90521GS2</v>
      </c>
      <c r="B125" s="9">
        <v>81010000</v>
      </c>
      <c r="C125" s="11"/>
      <c r="D125" s="11">
        <v>81010903</v>
      </c>
      <c r="E125" s="71" t="s">
        <v>511</v>
      </c>
      <c r="F125" s="107" t="s">
        <v>916</v>
      </c>
      <c r="G125" s="107"/>
      <c r="H125" s="9">
        <f ca="1">SUMIF('서식(직납)'!B:L,'Summary(수주업로드용)'!A125,'서식(직납)'!J:J)</f>
        <v>0</v>
      </c>
      <c r="I125" s="28" t="e">
        <f ca="1">IF(H125="0","0",VLOOKUP(A125,'서식(직납)'!B:K,10,0))</f>
        <v>#N/A</v>
      </c>
      <c r="J125" s="7" t="e">
        <f t="shared" ca="1" si="3"/>
        <v>#N/A</v>
      </c>
      <c r="K125" s="4">
        <f>VLOOKUP(F125,'SUM(히아풀젤,폼 아이캐쳐붙인걸로)'!A:E,5,0)</f>
        <v>0</v>
      </c>
    </row>
    <row r="126" spans="1:13" ht="12" hidden="1" customHeight="1">
      <c r="A126" s="4" t="str">
        <f t="shared" si="2"/>
        <v>81010903ME90521LD9</v>
      </c>
      <c r="B126" s="9">
        <v>81010000</v>
      </c>
      <c r="C126" s="11"/>
      <c r="D126" s="11">
        <v>81010903</v>
      </c>
      <c r="E126" s="71" t="s">
        <v>511</v>
      </c>
      <c r="F126" s="107" t="s">
        <v>918</v>
      </c>
      <c r="G126" s="107"/>
      <c r="H126" s="9">
        <f ca="1">SUMIF('서식(직납)'!B:L,'Summary(수주업로드용)'!A126,'서식(직납)'!J:J)</f>
        <v>0</v>
      </c>
      <c r="I126" s="28" t="e">
        <f ca="1">IF(H126="0","0",VLOOKUP(A126,'서식(직납)'!B:K,10,0))</f>
        <v>#N/A</v>
      </c>
      <c r="J126" s="7" t="e">
        <f t="shared" ca="1" si="3"/>
        <v>#N/A</v>
      </c>
      <c r="K126" s="4">
        <f>VLOOKUP(F126,'SUM(히아풀젤,폼 아이캐쳐붙인걸로)'!A:E,5,0)</f>
        <v>0</v>
      </c>
    </row>
    <row r="127" spans="1:13" ht="12" hidden="1" customHeight="1">
      <c r="A127" s="4" t="str">
        <f t="shared" si="2"/>
        <v>81010903ME90521GT2</v>
      </c>
      <c r="B127" s="9">
        <v>81010000</v>
      </c>
      <c r="C127" s="11"/>
      <c r="D127" s="11">
        <v>81010903</v>
      </c>
      <c r="E127" s="71" t="s">
        <v>511</v>
      </c>
      <c r="F127" s="107" t="s">
        <v>912</v>
      </c>
      <c r="G127" s="107"/>
      <c r="H127" s="9">
        <f ca="1">SUMIF('서식(직납)'!B:L,'Summary(수주업로드용)'!A127,'서식(직납)'!J:J)</f>
        <v>0</v>
      </c>
      <c r="I127" s="28" t="e">
        <f ca="1">IF(H127="0","0",VLOOKUP(A127,'서식(직납)'!B:K,10,0))</f>
        <v>#N/A</v>
      </c>
      <c r="J127" s="7" t="e">
        <f t="shared" ca="1" si="3"/>
        <v>#N/A</v>
      </c>
      <c r="K127" s="4">
        <f>VLOOKUP(F127,'SUM(히아풀젤,폼 아이캐쳐붙인걸로)'!A:E,5,0)</f>
        <v>0</v>
      </c>
    </row>
    <row r="128" spans="1:13" ht="12" hidden="1" customHeight="1">
      <c r="A128" s="4" t="str">
        <f t="shared" si="2"/>
        <v>81010903ME90521OC6</v>
      </c>
      <c r="B128" s="9">
        <v>81010000</v>
      </c>
      <c r="C128" s="11"/>
      <c r="D128" s="11">
        <v>81010903</v>
      </c>
      <c r="E128" s="71" t="s">
        <v>511</v>
      </c>
      <c r="F128" s="107" t="s">
        <v>572</v>
      </c>
      <c r="G128" s="107"/>
      <c r="H128" s="9">
        <f ca="1">SUMIF('서식(직납)'!B:L,'Summary(수주업로드용)'!A128,'서식(직납)'!J:J)</f>
        <v>0</v>
      </c>
      <c r="I128" s="28" t="e">
        <f ca="1">IF(H128="0","0",VLOOKUP(A128,'서식(직납)'!B:K,10,0))</f>
        <v>#N/A</v>
      </c>
      <c r="J128" s="7" t="e">
        <f t="shared" ca="1" si="3"/>
        <v>#N/A</v>
      </c>
      <c r="K128" s="4" t="e">
        <f>VLOOKUP(F128,'SUM(히아풀젤,폼 아이캐쳐붙인걸로)'!A:E,5,0)</f>
        <v>#N/A</v>
      </c>
    </row>
    <row r="129" spans="1:13" ht="12" hidden="1" customHeight="1">
      <c r="A129" s="4" t="str">
        <f t="shared" si="2"/>
        <v>81010903ME90521OC5</v>
      </c>
      <c r="B129" s="9">
        <v>81010000</v>
      </c>
      <c r="C129" s="11"/>
      <c r="D129" s="11">
        <v>81010903</v>
      </c>
      <c r="E129" s="71" t="s">
        <v>511</v>
      </c>
      <c r="F129" s="107" t="s">
        <v>571</v>
      </c>
      <c r="G129" s="107"/>
      <c r="H129" s="9">
        <f ca="1">SUMIF('서식(직납)'!B:L,'Summary(수주업로드용)'!A129,'서식(직납)'!J:J)</f>
        <v>0</v>
      </c>
      <c r="I129" s="28" t="e">
        <f ca="1">IF(H129="0","0",VLOOKUP(A129,'서식(직납)'!B:K,10,0))</f>
        <v>#N/A</v>
      </c>
      <c r="J129" s="7" t="e">
        <f t="shared" ca="1" si="3"/>
        <v>#N/A</v>
      </c>
      <c r="K129" s="4" t="e">
        <f>VLOOKUP(F129,'SUM(히아풀젤,폼 아이캐쳐붙인걸로)'!A:E,5,0)</f>
        <v>#N/A</v>
      </c>
      <c r="M129" s="4" t="str">
        <f>VLOOKUP(F132,제품명!$D:$E,2,0)</f>
        <v>딥모이스트 멘솔</v>
      </c>
    </row>
    <row r="130" spans="1:13" ht="12" hidden="1" customHeight="1">
      <c r="A130" s="4" t="str">
        <f t="shared" si="2"/>
        <v>81010903ME90521OC4</v>
      </c>
      <c r="B130" s="9">
        <v>81010000</v>
      </c>
      <c r="C130" s="11"/>
      <c r="D130" s="11">
        <v>81010903</v>
      </c>
      <c r="E130" s="71" t="s">
        <v>511</v>
      </c>
      <c r="F130" s="107" t="s">
        <v>570</v>
      </c>
      <c r="G130" s="107"/>
      <c r="H130" s="9">
        <f ca="1">SUMIF('서식(직납)'!B:L,'Summary(수주업로드용)'!A130,'서식(직납)'!J:J)</f>
        <v>0</v>
      </c>
      <c r="I130" s="28" t="e">
        <f ca="1">IF(H130="0","0",VLOOKUP(A130,'서식(직납)'!B:K,10,0))</f>
        <v>#N/A</v>
      </c>
      <c r="J130" s="7" t="e">
        <f t="shared" ca="1" si="3"/>
        <v>#N/A</v>
      </c>
      <c r="K130" s="4" t="e">
        <f>VLOOKUP(F130,'SUM(히아풀젤,폼 아이캐쳐붙인걸로)'!A:E,5,0)</f>
        <v>#N/A</v>
      </c>
      <c r="M130" s="4" t="str">
        <f>VLOOKUP(F133,제품명!$D:$E,2,0)</f>
        <v>딥모이스트 내추럴</v>
      </c>
    </row>
    <row r="131" spans="1:13" ht="12" hidden="1" customHeight="1">
      <c r="A131" s="4" t="str">
        <f t="shared" ref="A131:A194" si="4">D131&amp;F131</f>
        <v>81010903ME90521LR1</v>
      </c>
      <c r="B131" s="9">
        <v>81010000</v>
      </c>
      <c r="C131" s="11"/>
      <c r="D131" s="11">
        <v>81010903</v>
      </c>
      <c r="E131" s="71" t="s">
        <v>511</v>
      </c>
      <c r="F131" s="107" t="s">
        <v>551</v>
      </c>
      <c r="G131" s="107"/>
      <c r="H131" s="9">
        <f ca="1">SUMIF('서식(직납)'!B:L,'Summary(수주업로드용)'!A131,'서식(직납)'!J:J)</f>
        <v>0</v>
      </c>
      <c r="I131" s="28" t="e">
        <f ca="1">IF(H131="0","0",VLOOKUP(A131,'서식(직납)'!B:K,10,0))</f>
        <v>#N/A</v>
      </c>
      <c r="J131" s="7" t="e">
        <f t="shared" ref="J131:J194" ca="1" si="5">H131*I131</f>
        <v>#N/A</v>
      </c>
      <c r="K131" s="4" t="e">
        <f>VLOOKUP(F131,'SUM(히아풀젤,폼 아이캐쳐붙인걸로)'!A:E,5,0)</f>
        <v>#N/A</v>
      </c>
      <c r="M131" s="4" t="str">
        <f>VLOOKUP(F134,제품명!$D:$E,2,0)</f>
        <v>립아이스 틴티드 칼라</v>
      </c>
    </row>
    <row r="132" spans="1:13" ht="12" hidden="1" customHeight="1">
      <c r="A132" s="4" t="str">
        <f t="shared" si="4"/>
        <v>81010903ME90521EL9</v>
      </c>
      <c r="B132" s="9">
        <v>81010000</v>
      </c>
      <c r="C132" s="11"/>
      <c r="D132" s="11">
        <v>81010903</v>
      </c>
      <c r="E132" s="71" t="s">
        <v>511</v>
      </c>
      <c r="F132" s="107" t="s">
        <v>331</v>
      </c>
      <c r="G132" s="107"/>
      <c r="H132" s="9">
        <f ca="1">SUMIF('서식(직납)'!B:L,'Summary(수주업로드용)'!A132,'서식(직납)'!J:J)</f>
        <v>0</v>
      </c>
      <c r="I132" s="28" t="e">
        <f ca="1">IF(H132="0","0",VLOOKUP(A132,'서식(직납)'!B:K,10,0))</f>
        <v>#N/A</v>
      </c>
      <c r="J132" s="7" t="e">
        <f t="shared" ca="1" si="5"/>
        <v>#N/A</v>
      </c>
      <c r="K132" s="4">
        <f>VLOOKUP(F132,'SUM(히아풀젤,폼 아이캐쳐붙인걸로)'!A:E,5,0)</f>
        <v>0</v>
      </c>
      <c r="M132" s="4" t="str">
        <f>VLOOKUP(F135,제품명!$D:$E,2,0)</f>
        <v>매직칼라 딸기</v>
      </c>
    </row>
    <row r="133" spans="1:13" ht="12" hidden="1" customHeight="1">
      <c r="A133" s="4" t="str">
        <f t="shared" si="4"/>
        <v>81010903ME90521EL8</v>
      </c>
      <c r="B133" s="9">
        <v>81010000</v>
      </c>
      <c r="C133" s="11"/>
      <c r="D133" s="11">
        <v>81010903</v>
      </c>
      <c r="E133" s="71" t="s">
        <v>511</v>
      </c>
      <c r="F133" s="107" t="s">
        <v>340</v>
      </c>
      <c r="G133" s="107"/>
      <c r="H133" s="9">
        <f ca="1">SUMIF('서식(직납)'!B:L,'Summary(수주업로드용)'!A133,'서식(직납)'!J:J)</f>
        <v>0</v>
      </c>
      <c r="I133" s="28" t="e">
        <f ca="1">IF(H133="0","0",VLOOKUP(A133,'서식(직납)'!B:K,10,0))</f>
        <v>#N/A</v>
      </c>
      <c r="J133" s="7" t="e">
        <f t="shared" ca="1" si="5"/>
        <v>#N/A</v>
      </c>
      <c r="K133" s="4">
        <f>VLOOKUP(F133,'SUM(히아풀젤,폼 아이캐쳐붙인걸로)'!A:E,5,0)</f>
        <v>0</v>
      </c>
      <c r="M133" s="4" t="str">
        <f>VLOOKUP(F136,제품명!$D:$E,2,0)</f>
        <v>메디케이티드 립밤</v>
      </c>
    </row>
    <row r="134" spans="1:13" ht="12" hidden="1" customHeight="1">
      <c r="A134" s="4" t="str">
        <f t="shared" si="4"/>
        <v>81010903ME90521EL7</v>
      </c>
      <c r="B134" s="9">
        <v>81010000</v>
      </c>
      <c r="C134" s="11"/>
      <c r="D134" s="11">
        <v>81010903</v>
      </c>
      <c r="E134" s="71" t="s">
        <v>511</v>
      </c>
      <c r="F134" s="107" t="s">
        <v>372</v>
      </c>
      <c r="G134" s="107"/>
      <c r="H134" s="9">
        <f ca="1">SUMIF('서식(직납)'!B:L,'Summary(수주업로드용)'!A134,'서식(직납)'!J:J)</f>
        <v>0</v>
      </c>
      <c r="I134" s="28" t="e">
        <f ca="1">IF(H134="0","0",VLOOKUP(A134,'서식(직납)'!B:K,10,0))</f>
        <v>#N/A</v>
      </c>
      <c r="J134" s="7" t="e">
        <f t="shared" ca="1" si="5"/>
        <v>#N/A</v>
      </c>
      <c r="K134" s="4">
        <f>VLOOKUP(F134,'SUM(히아풀젤,폼 아이캐쳐붙인걸로)'!A:E,5,0)</f>
        <v>0</v>
      </c>
    </row>
    <row r="135" spans="1:13" ht="12" hidden="1" customHeight="1">
      <c r="A135" s="4" t="str">
        <f t="shared" si="4"/>
        <v>81010903ME90521EL6</v>
      </c>
      <c r="B135" s="9">
        <v>81010000</v>
      </c>
      <c r="C135" s="11"/>
      <c r="D135" s="11">
        <v>81010903</v>
      </c>
      <c r="E135" s="71" t="s">
        <v>511</v>
      </c>
      <c r="F135" s="107" t="s">
        <v>371</v>
      </c>
      <c r="G135" s="107"/>
      <c r="H135" s="9">
        <f ca="1">SUMIF('서식(직납)'!B:L,'Summary(수주업로드용)'!A135,'서식(직납)'!J:J)</f>
        <v>0</v>
      </c>
      <c r="I135" s="28" t="e">
        <f ca="1">IF(H135="0","0",VLOOKUP(A135,'서식(직납)'!B:K,10,0))</f>
        <v>#N/A</v>
      </c>
      <c r="J135" s="7" t="e">
        <f t="shared" ca="1" si="5"/>
        <v>#N/A</v>
      </c>
      <c r="K135" s="151" t="e">
        <f ca="1">ROUND(J135*0.1,0)</f>
        <v>#N/A</v>
      </c>
      <c r="M135" s="4" t="str">
        <f>VLOOKUP(F138,제품명!$D:$E,2,0)</f>
        <v>메디케이티드립젤트윈팩3.5g*2</v>
      </c>
    </row>
    <row r="136" spans="1:13" ht="12" hidden="1" customHeight="1">
      <c r="A136" s="4" t="str">
        <f t="shared" si="4"/>
        <v>81010903ME90521EL4</v>
      </c>
      <c r="B136" s="9">
        <v>81010000</v>
      </c>
      <c r="C136" s="11"/>
      <c r="D136" s="11">
        <v>81010903</v>
      </c>
      <c r="E136" s="71" t="s">
        <v>511</v>
      </c>
      <c r="F136" s="107" t="s">
        <v>398</v>
      </c>
      <c r="G136" s="107"/>
      <c r="H136" s="9">
        <f ca="1">SUMIF('서식(직납)'!B:L,'Summary(수주업로드용)'!A136,'서식(직납)'!J:J)</f>
        <v>0</v>
      </c>
      <c r="I136" s="28" t="e">
        <f ca="1">IF(H136="0","0",VLOOKUP(A136,'서식(직납)'!B:K,10,0))</f>
        <v>#N/A</v>
      </c>
      <c r="J136" s="7" t="e">
        <f t="shared" ca="1" si="5"/>
        <v>#N/A</v>
      </c>
    </row>
    <row r="137" spans="1:13" ht="12" hidden="1" customHeight="1">
      <c r="A137" s="4" t="str">
        <f t="shared" si="4"/>
        <v>81010903ME90521EL0</v>
      </c>
      <c r="B137" s="9">
        <v>81010000</v>
      </c>
      <c r="C137" s="11"/>
      <c r="D137" s="11">
        <v>81010903</v>
      </c>
      <c r="E137" s="71" t="s">
        <v>511</v>
      </c>
      <c r="F137" s="107" t="s">
        <v>328</v>
      </c>
      <c r="G137" s="107"/>
      <c r="H137" s="9">
        <f ca="1">SUMIF('서식(직납)'!B:L,'Summary(수주업로드용)'!A137,'서식(직납)'!J:J)</f>
        <v>0</v>
      </c>
      <c r="I137" s="28" t="e">
        <f ca="1">IF(H137="0","0",VLOOKUP(A137,'서식(직납)'!B:K,10,0))</f>
        <v>#N/A</v>
      </c>
      <c r="J137" s="7" t="e">
        <f t="shared" ca="1" si="5"/>
        <v>#N/A</v>
      </c>
      <c r="K137" s="4" t="e">
        <f>VLOOKUP(F137,'SUM(히아풀젤,폼 아이캐쳐붙인걸로)'!A:E,5,0)</f>
        <v>#N/A</v>
      </c>
    </row>
    <row r="138" spans="1:13" ht="12" hidden="1" customHeight="1">
      <c r="A138" s="4" t="str">
        <f t="shared" si="4"/>
        <v>81010903ME90521E18</v>
      </c>
      <c r="B138" s="9">
        <v>81010000</v>
      </c>
      <c r="C138" s="11"/>
      <c r="D138" s="11">
        <v>81010903</v>
      </c>
      <c r="E138" s="71" t="s">
        <v>511</v>
      </c>
      <c r="F138" s="107" t="s">
        <v>676</v>
      </c>
      <c r="G138" s="107"/>
      <c r="H138" s="9">
        <f ca="1">SUMIF('서식(직납)'!B:L,'Summary(수주업로드용)'!A138,'서식(직납)'!J:J)</f>
        <v>0</v>
      </c>
      <c r="I138" s="28" t="e">
        <f ca="1">IF(H138="0","0",VLOOKUP(A138,'서식(직납)'!B:K,10,0))</f>
        <v>#N/A</v>
      </c>
      <c r="J138" s="7" t="e">
        <f t="shared" ca="1" si="5"/>
        <v>#N/A</v>
      </c>
      <c r="K138" s="151" t="e">
        <f ca="1">ROUND(J138*0.1,0)</f>
        <v>#N/A</v>
      </c>
    </row>
    <row r="139" spans="1:13" ht="12" hidden="1" customHeight="1">
      <c r="A139" s="4" t="str">
        <f t="shared" si="4"/>
        <v>81010903ME90521E13</v>
      </c>
      <c r="B139" s="9">
        <v>81010000</v>
      </c>
      <c r="C139" s="11"/>
      <c r="D139" s="11">
        <v>81010903</v>
      </c>
      <c r="E139" s="71" t="s">
        <v>511</v>
      </c>
      <c r="F139" s="107" t="s">
        <v>379</v>
      </c>
      <c r="G139" s="107"/>
      <c r="H139" s="9">
        <f ca="1">SUMIF('서식(직납)'!B:L,'Summary(수주업로드용)'!A139,'서식(직납)'!J:J)</f>
        <v>0</v>
      </c>
      <c r="I139" s="28" t="e">
        <f ca="1">IF(H139="0","0",VLOOKUP(A139,'서식(직납)'!B:K,10,0))</f>
        <v>#N/A</v>
      </c>
      <c r="J139" s="7" t="e">
        <f t="shared" ca="1" si="5"/>
        <v>#N/A</v>
      </c>
      <c r="K139" s="4" t="e">
        <f>VLOOKUP(F139,'SUM(히아풀젤,폼 아이캐쳐붙인걸로)'!A:E,5,0)</f>
        <v>#N/A</v>
      </c>
    </row>
    <row r="140" spans="1:13" ht="12" hidden="1" customHeight="1">
      <c r="A140" s="4" t="str">
        <f t="shared" si="4"/>
        <v>81010903ME90521CC4</v>
      </c>
      <c r="B140" s="9">
        <v>81010000</v>
      </c>
      <c r="C140" s="11"/>
      <c r="D140" s="11">
        <v>81010903</v>
      </c>
      <c r="E140" s="71" t="s">
        <v>511</v>
      </c>
      <c r="F140" s="107" t="s">
        <v>516</v>
      </c>
      <c r="G140" s="107"/>
      <c r="H140" s="9">
        <f ca="1">SUMIF('서식(직납)'!B:L,'Summary(수주업로드용)'!A140,'서식(직납)'!J:J)</f>
        <v>0</v>
      </c>
      <c r="I140" s="28" t="e">
        <f ca="1">IF(H140="0","0",VLOOKUP(A140,'서식(직납)'!B:K,10,0))</f>
        <v>#N/A</v>
      </c>
      <c r="J140" s="7" t="e">
        <f t="shared" ca="1" si="5"/>
        <v>#N/A</v>
      </c>
      <c r="K140" s="4" t="e">
        <f>VLOOKUP(F140,'SUM(히아풀젤,폼 아이캐쳐붙인걸로)'!A:E,5,0)</f>
        <v>#N/A</v>
      </c>
    </row>
    <row r="141" spans="1:13" ht="12" hidden="1" customHeight="1">
      <c r="A141" s="4" t="str">
        <f t="shared" si="4"/>
        <v>81010903ME90521CC2</v>
      </c>
      <c r="B141" s="9">
        <v>81010000</v>
      </c>
      <c r="C141" s="11"/>
      <c r="D141" s="11">
        <v>81010903</v>
      </c>
      <c r="E141" s="71" t="s">
        <v>511</v>
      </c>
      <c r="F141" s="107" t="s">
        <v>514</v>
      </c>
      <c r="G141" s="107"/>
      <c r="H141" s="9">
        <f ca="1">SUMIF('서식(직납)'!B:L,'Summary(수주업로드용)'!A141,'서식(직납)'!J:J)</f>
        <v>0</v>
      </c>
      <c r="I141" s="28" t="e">
        <f ca="1">IF(H141="0","0",VLOOKUP(A141,'서식(직납)'!B:K,10,0))</f>
        <v>#N/A</v>
      </c>
      <c r="J141" s="7" t="e">
        <f t="shared" ca="1" si="5"/>
        <v>#N/A</v>
      </c>
      <c r="K141" s="4" t="e">
        <f>VLOOKUP(F141,'SUM(히아풀젤,폼 아이캐쳐붙인걸로)'!A:E,5,0)</f>
        <v>#N/A</v>
      </c>
    </row>
    <row r="142" spans="1:13" ht="12" hidden="1" customHeight="1">
      <c r="A142" s="4" t="str">
        <f t="shared" si="4"/>
        <v>81010903ME90521CC1</v>
      </c>
      <c r="B142" s="9">
        <v>81010000</v>
      </c>
      <c r="C142" s="11"/>
      <c r="D142" s="11">
        <v>81010903</v>
      </c>
      <c r="E142" s="71" t="s">
        <v>511</v>
      </c>
      <c r="F142" s="107" t="s">
        <v>512</v>
      </c>
      <c r="G142" s="107"/>
      <c r="H142" s="9">
        <f ca="1">SUMIF('서식(직납)'!B:L,'Summary(수주업로드용)'!A142,'서식(직납)'!J:J)</f>
        <v>0</v>
      </c>
      <c r="I142" s="28" t="e">
        <f ca="1">IF(H142="0","0",VLOOKUP(A142,'서식(직납)'!B:K,10,0))</f>
        <v>#N/A</v>
      </c>
      <c r="J142" s="7" t="e">
        <f t="shared" ca="1" si="5"/>
        <v>#N/A</v>
      </c>
      <c r="K142" s="4" t="e">
        <f>VLOOKUP(F142,'SUM(히아풀젤,폼 아이캐쳐붙인걸로)'!A:E,5,0)</f>
        <v>#N/A</v>
      </c>
    </row>
    <row r="143" spans="1:13" ht="12" hidden="1" customHeight="1">
      <c r="A143" s="4" t="str">
        <f t="shared" si="4"/>
        <v>81010903ME00421301</v>
      </c>
      <c r="B143" s="9">
        <v>81010000</v>
      </c>
      <c r="C143" s="11"/>
      <c r="D143" s="11">
        <v>81010903</v>
      </c>
      <c r="E143" s="71" t="s">
        <v>511</v>
      </c>
      <c r="F143" s="108" t="s">
        <v>1038</v>
      </c>
      <c r="G143" s="108"/>
      <c r="H143" s="9">
        <f ca="1">SUMIF('서식(직납)'!B:L,'Summary(수주업로드용)'!A143,'서식(직납)'!J:J)</f>
        <v>0</v>
      </c>
      <c r="I143" s="28" t="e">
        <f ca="1">IF(H143="0","0",VLOOKUP(A143,'서식(직납)'!B:K,10,0))</f>
        <v>#N/A</v>
      </c>
      <c r="J143" s="7" t="e">
        <f t="shared" ca="1" si="5"/>
        <v>#N/A</v>
      </c>
      <c r="K143" s="4" t="e">
        <f>VLOOKUP(F143,'SUM(히아풀젤,폼 아이캐쳐붙인걸로)'!A:E,5,0)</f>
        <v>#N/A</v>
      </c>
    </row>
    <row r="144" spans="1:13" ht="12" customHeight="1">
      <c r="A144" s="4" t="str">
        <f t="shared" si="4"/>
        <v>81010903ME00421186</v>
      </c>
      <c r="B144" s="9">
        <v>81010000</v>
      </c>
      <c r="C144" s="11"/>
      <c r="D144" s="11">
        <v>81010903</v>
      </c>
      <c r="E144" s="71" t="s">
        <v>511</v>
      </c>
      <c r="F144" s="108" t="s">
        <v>703</v>
      </c>
      <c r="G144" s="108"/>
      <c r="H144" s="9">
        <f ca="1">SUMIF('서식(직납)'!B:L,'Summary(수주업로드용)'!A144,'서식(직납)'!J:J)</f>
        <v>24</v>
      </c>
      <c r="I144" s="28">
        <f ca="1">IF(H144="0","0",VLOOKUP(A144,'서식(직납)'!B:K,10,0))</f>
        <v>2326</v>
      </c>
      <c r="J144" s="7">
        <f t="shared" ca="1" si="5"/>
        <v>55824</v>
      </c>
      <c r="K144" s="4" t="e">
        <f>VLOOKUP(F144,'SUM(히아풀젤,폼 아이캐쳐붙인걸로)'!A:E,5,0)</f>
        <v>#N/A</v>
      </c>
    </row>
    <row r="145" spans="1:13" ht="12" hidden="1" customHeight="1">
      <c r="A145" s="4" t="str">
        <f t="shared" si="4"/>
        <v>81010903ME00421151</v>
      </c>
      <c r="B145" s="9">
        <v>81010000</v>
      </c>
      <c r="C145" s="11"/>
      <c r="D145" s="11">
        <v>81010903</v>
      </c>
      <c r="E145" s="71" t="s">
        <v>511</v>
      </c>
      <c r="F145" s="108" t="s">
        <v>543</v>
      </c>
      <c r="G145" s="108"/>
      <c r="H145" s="9">
        <f ca="1">SUMIF('서식(직납)'!B:L,'Summary(수주업로드용)'!A145,'서식(직납)'!J:J)</f>
        <v>0</v>
      </c>
      <c r="I145" s="28" t="e">
        <f ca="1">IF(H145="0","0",VLOOKUP(A145,'서식(직납)'!B:K,10,0))</f>
        <v>#N/A</v>
      </c>
      <c r="J145" s="7" t="e">
        <f t="shared" ca="1" si="5"/>
        <v>#N/A</v>
      </c>
      <c r="K145" s="4" t="e">
        <f>VLOOKUP(F145,'SUM(히아풀젤,폼 아이캐쳐붙인걸로)'!A:E,5,0)</f>
        <v>#N/A</v>
      </c>
    </row>
    <row r="146" spans="1:13" ht="12" hidden="1" customHeight="1">
      <c r="A146" s="4" t="str">
        <f t="shared" si="4"/>
        <v>81010903ME91221HPN</v>
      </c>
      <c r="B146" s="9">
        <v>81010000</v>
      </c>
      <c r="C146" s="11"/>
      <c r="D146" s="11">
        <v>81010903</v>
      </c>
      <c r="E146" s="71" t="s">
        <v>511</v>
      </c>
      <c r="F146" s="9" t="s">
        <v>540</v>
      </c>
      <c r="H146" s="9">
        <f ca="1">SUMIF('서식(직납)'!B:L,'Summary(수주업로드용)'!A146,'서식(직납)'!J:J)</f>
        <v>0</v>
      </c>
      <c r="I146" s="28" t="e">
        <f ca="1">IF(H146="0","0",VLOOKUP(A146,'서식(직납)'!B:K,10,0))</f>
        <v>#N/A</v>
      </c>
      <c r="J146" s="7" t="e">
        <f t="shared" ca="1" si="5"/>
        <v>#N/A</v>
      </c>
      <c r="K146" s="4" t="e">
        <f>VLOOKUP(F146,'SUM(히아풀젤,폼 아이캐쳐붙인걸로)'!A:E,5,0)</f>
        <v>#N/A</v>
      </c>
    </row>
    <row r="147" spans="1:13" ht="12" hidden="1" customHeight="1">
      <c r="A147" s="4" t="str">
        <f t="shared" si="4"/>
        <v>81010903ME90621CPS</v>
      </c>
      <c r="B147" s="9">
        <v>81010000</v>
      </c>
      <c r="C147" s="11"/>
      <c r="D147" s="11">
        <v>81010903</v>
      </c>
      <c r="E147" s="71" t="s">
        <v>511</v>
      </c>
      <c r="F147" s="9" t="s">
        <v>547</v>
      </c>
      <c r="H147" s="9">
        <f ca="1">SUMIF('서식(직납)'!B:L,'Summary(수주업로드용)'!A147,'서식(직납)'!J:J)</f>
        <v>0</v>
      </c>
      <c r="I147" s="28" t="e">
        <f ca="1">IF(H147="0","0",VLOOKUP(A147,'서식(직납)'!B:K,10,0))</f>
        <v>#N/A</v>
      </c>
      <c r="J147" s="7" t="e">
        <f t="shared" ca="1" si="5"/>
        <v>#N/A</v>
      </c>
      <c r="K147" s="4" t="e">
        <f>VLOOKUP(F147,'SUM(히아풀젤,폼 아이캐쳐붙인걸로)'!A:E,5,0)</f>
        <v>#N/A</v>
      </c>
    </row>
    <row r="148" spans="1:13" ht="12" hidden="1" customHeight="1">
      <c r="A148" s="4" t="str">
        <f t="shared" si="4"/>
        <v>81010903ME90621CPM</v>
      </c>
      <c r="B148" s="9">
        <v>81010000</v>
      </c>
      <c r="C148" s="11"/>
      <c r="D148" s="11">
        <v>81010903</v>
      </c>
      <c r="E148" s="71" t="s">
        <v>511</v>
      </c>
      <c r="F148" s="9" t="s">
        <v>545</v>
      </c>
      <c r="H148" s="9">
        <f ca="1">SUMIF('서식(직납)'!B:L,'Summary(수주업로드용)'!A148,'서식(직납)'!J:J)</f>
        <v>0</v>
      </c>
      <c r="I148" s="28" t="e">
        <f ca="1">IF(H148="0","0",VLOOKUP(A148,'서식(직납)'!B:K,10,0))</f>
        <v>#N/A</v>
      </c>
      <c r="J148" s="7" t="e">
        <f t="shared" ca="1" si="5"/>
        <v>#N/A</v>
      </c>
      <c r="K148" s="4" t="e">
        <f>VLOOKUP(F148,'SUM(히아풀젤,폼 아이캐쳐붙인걸로)'!A:E,5,0)</f>
        <v>#N/A</v>
      </c>
    </row>
    <row r="149" spans="1:13" ht="12" hidden="1" customHeight="1">
      <c r="A149" s="4" t="str">
        <f t="shared" si="4"/>
        <v>81010903ME90621GP4</v>
      </c>
      <c r="B149" s="9">
        <v>81010000</v>
      </c>
      <c r="C149" s="11"/>
      <c r="D149" s="11">
        <v>81010903</v>
      </c>
      <c r="E149" s="71" t="s">
        <v>511</v>
      </c>
      <c r="F149" s="9" t="s">
        <v>596</v>
      </c>
      <c r="H149" s="9">
        <f ca="1">SUMIF('서식(직납)'!B:L,'Summary(수주업로드용)'!A149,'서식(직납)'!J:J)</f>
        <v>0</v>
      </c>
      <c r="I149" s="28" t="e">
        <f ca="1">IF(H149="0","0",VLOOKUP(A149,'서식(직납)'!B:K,10,0))</f>
        <v>#N/A</v>
      </c>
      <c r="J149" s="7" t="e">
        <f t="shared" ca="1" si="5"/>
        <v>#N/A</v>
      </c>
      <c r="K149" s="4" t="e">
        <f>VLOOKUP(F149,'SUM(히아풀젤,폼 아이캐쳐붙인걸로)'!A:E,5,0)</f>
        <v>#N/A</v>
      </c>
    </row>
    <row r="150" spans="1:13" ht="12" hidden="1" customHeight="1">
      <c r="A150" s="4" t="str">
        <f t="shared" si="4"/>
        <v>81010903ME90621TF1</v>
      </c>
      <c r="B150" s="9">
        <v>81010000</v>
      </c>
      <c r="C150" s="11"/>
      <c r="D150" s="11">
        <v>81010903</v>
      </c>
      <c r="E150" s="71" t="s">
        <v>511</v>
      </c>
      <c r="F150" s="9" t="s">
        <v>618</v>
      </c>
      <c r="H150" s="9">
        <f ca="1">SUMIF('서식(직납)'!B:L,'Summary(수주업로드용)'!A150,'서식(직납)'!J:J)</f>
        <v>0</v>
      </c>
      <c r="I150" s="28" t="e">
        <f ca="1">IF(H150="0","0",VLOOKUP(A150,'서식(직납)'!B:K,10,0))</f>
        <v>#N/A</v>
      </c>
      <c r="J150" s="7" t="e">
        <f t="shared" ca="1" si="5"/>
        <v>#N/A</v>
      </c>
      <c r="K150" s="4" t="e">
        <f>VLOOKUP(F150,'SUM(히아풀젤,폼 아이캐쳐붙인걸로)'!A:E,5,0)</f>
        <v>#N/A</v>
      </c>
    </row>
    <row r="151" spans="1:13" ht="12" hidden="1" customHeight="1">
      <c r="A151" s="4" t="str">
        <f t="shared" si="4"/>
        <v>81010903ME90621TC1</v>
      </c>
      <c r="B151" s="9">
        <v>81010000</v>
      </c>
      <c r="C151" s="11"/>
      <c r="D151" s="11">
        <v>81010903</v>
      </c>
      <c r="E151" s="71" t="s">
        <v>511</v>
      </c>
      <c r="F151" s="9" t="s">
        <v>627</v>
      </c>
      <c r="H151" s="9">
        <f ca="1">SUMIF('서식(직납)'!B:L,'Summary(수주업로드용)'!A151,'서식(직납)'!J:J)</f>
        <v>0</v>
      </c>
      <c r="I151" s="28" t="e">
        <f ca="1">IF(H151="0","0",VLOOKUP(A151,'서식(직납)'!B:K,10,0))</f>
        <v>#N/A</v>
      </c>
      <c r="J151" s="7" t="e">
        <f t="shared" ca="1" si="5"/>
        <v>#N/A</v>
      </c>
      <c r="K151" s="4" t="e">
        <f>VLOOKUP(F151,'SUM(히아풀젤,폼 아이캐쳐붙인걸로)'!A:E,5,0)</f>
        <v>#N/A</v>
      </c>
    </row>
    <row r="152" spans="1:13" ht="12" hidden="1" customHeight="1">
      <c r="A152" s="4" t="str">
        <f t="shared" si="4"/>
        <v>81010903ME80421DR2</v>
      </c>
      <c r="B152" s="9">
        <v>81010000</v>
      </c>
      <c r="C152" s="11"/>
      <c r="D152" s="11">
        <v>81010903</v>
      </c>
      <c r="E152" s="71" t="s">
        <v>511</v>
      </c>
      <c r="F152" s="9" t="s">
        <v>656</v>
      </c>
      <c r="H152" s="9">
        <f ca="1">SUMIF('서식(직납)'!B:L,'Summary(수주업로드용)'!A152,'서식(직납)'!J:J)</f>
        <v>0</v>
      </c>
      <c r="I152" s="28" t="e">
        <f ca="1">IF(H152="0","0",VLOOKUP(A152,'서식(직납)'!B:K,10,0))</f>
        <v>#N/A</v>
      </c>
      <c r="J152" s="7" t="e">
        <f t="shared" ca="1" si="5"/>
        <v>#N/A</v>
      </c>
      <c r="K152" s="4" t="str">
        <f>VLOOKUP(F152,'SUM(히아풀젤,폼 아이캐쳐붙인걸로)'!A:E,5,0)</f>
        <v>입수전환</v>
      </c>
    </row>
    <row r="153" spans="1:13" ht="12" hidden="1" customHeight="1">
      <c r="A153" s="4" t="str">
        <f t="shared" si="4"/>
        <v>81010903ME80421DCH</v>
      </c>
      <c r="B153" s="9">
        <v>81010000</v>
      </c>
      <c r="C153" s="11"/>
      <c r="D153" s="11">
        <v>81010903</v>
      </c>
      <c r="E153" s="71" t="s">
        <v>511</v>
      </c>
      <c r="F153" s="9" t="s">
        <v>1039</v>
      </c>
      <c r="H153" s="9">
        <f ca="1">SUMIF('서식(직납)'!B:L,'Summary(수주업로드용)'!A153,'서식(직납)'!J:J)</f>
        <v>0</v>
      </c>
      <c r="I153" s="28" t="e">
        <f ca="1">IF(H153="0","0",VLOOKUP(A153,'서식(직납)'!B:K,10,0))</f>
        <v>#N/A</v>
      </c>
      <c r="J153" s="7" t="e">
        <f t="shared" ca="1" si="5"/>
        <v>#N/A</v>
      </c>
    </row>
    <row r="154" spans="1:13" ht="12" hidden="1" customHeight="1">
      <c r="A154" s="4" t="str">
        <f t="shared" si="4"/>
        <v>81010903ME00621FMC</v>
      </c>
      <c r="B154" s="9">
        <v>81010000</v>
      </c>
      <c r="C154" s="11"/>
      <c r="D154" s="11">
        <v>81010903</v>
      </c>
      <c r="E154" s="71" t="s">
        <v>511</v>
      </c>
      <c r="F154" s="9" t="s">
        <v>657</v>
      </c>
      <c r="H154" s="9">
        <f ca="1">SUMIF('서식(직납)'!B:L,'Summary(수주업로드용)'!A154,'서식(직납)'!J:J)</f>
        <v>0</v>
      </c>
      <c r="I154" s="28" t="e">
        <f ca="1">IF(H154="0","0",VLOOKUP(A154,'서식(직납)'!B:K,10,0))</f>
        <v>#N/A</v>
      </c>
      <c r="J154" s="7" t="e">
        <f t="shared" ca="1" si="5"/>
        <v>#N/A</v>
      </c>
      <c r="K154" s="4" t="e">
        <f>VLOOKUP(F154,'SUM(히아풀젤,폼 아이캐쳐붙인걸로)'!A:E,5,0)</f>
        <v>#N/A</v>
      </c>
      <c r="M154" s="4" t="str">
        <f>VLOOKUP(F157,제품명!$D:$E,2,0)</f>
        <v>소프트립스 프렌치바닐라 2g</v>
      </c>
    </row>
    <row r="155" spans="1:13" ht="12" hidden="1" customHeight="1">
      <c r="A155" s="4" t="str">
        <f t="shared" si="4"/>
        <v>81010903ME00621FML</v>
      </c>
      <c r="B155" s="9">
        <v>81010000</v>
      </c>
      <c r="C155" s="11"/>
      <c r="D155" s="11">
        <v>81010903</v>
      </c>
      <c r="E155" s="71" t="s">
        <v>511</v>
      </c>
      <c r="F155" s="9" t="s">
        <v>658</v>
      </c>
      <c r="H155" s="9">
        <f ca="1">SUMIF('서식(직납)'!B:L,'Summary(수주업로드용)'!A155,'서식(직납)'!J:J)</f>
        <v>0</v>
      </c>
      <c r="I155" s="28" t="e">
        <f ca="1">IF(H155="0","0",VLOOKUP(A155,'서식(직납)'!B:K,10,0))</f>
        <v>#N/A</v>
      </c>
      <c r="J155" s="7" t="e">
        <f t="shared" ca="1" si="5"/>
        <v>#N/A</v>
      </c>
      <c r="K155" s="4" t="e">
        <f>VLOOKUP(F155,'SUM(히아풀젤,폼 아이캐쳐붙인걸로)'!A:E,5,0)</f>
        <v>#N/A</v>
      </c>
      <c r="M155" s="4" t="str">
        <f>VLOOKUP(F158,제품명!$D:$E,2,0)</f>
        <v>소프트립스 라즈베리 립밤 2g</v>
      </c>
    </row>
    <row r="156" spans="1:13" ht="12" hidden="1" customHeight="1">
      <c r="A156" s="4" t="str">
        <f t="shared" si="4"/>
        <v>81010903ME00621FMP</v>
      </c>
      <c r="B156" s="9">
        <v>81010000</v>
      </c>
      <c r="C156" s="11"/>
      <c r="D156" s="11">
        <v>81010903</v>
      </c>
      <c r="E156" s="71" t="s">
        <v>511</v>
      </c>
      <c r="F156" s="9" t="s">
        <v>659</v>
      </c>
      <c r="H156" s="9">
        <f ca="1">SUMIF('서식(직납)'!B:L,'Summary(수주업로드용)'!A156,'서식(직납)'!J:J)</f>
        <v>0</v>
      </c>
      <c r="I156" s="28" t="e">
        <f ca="1">IF(H156="0","0",VLOOKUP(A156,'서식(직납)'!B:K,10,0))</f>
        <v>#N/A</v>
      </c>
      <c r="J156" s="7" t="e">
        <f t="shared" ca="1" si="5"/>
        <v>#N/A</v>
      </c>
      <c r="K156" s="4" t="e">
        <f>VLOOKUP(F156,'SUM(히아풀젤,폼 아이캐쳐붙인걸로)'!A:E,5,0)</f>
        <v>#N/A</v>
      </c>
    </row>
    <row r="157" spans="1:13" ht="12" hidden="1" customHeight="1">
      <c r="A157" s="4" t="str">
        <f t="shared" si="4"/>
        <v>81010903ME81921SVV</v>
      </c>
      <c r="B157" s="9">
        <v>81010000</v>
      </c>
      <c r="C157" s="11"/>
      <c r="D157" s="11">
        <v>81010903</v>
      </c>
      <c r="E157" s="71" t="s">
        <v>511</v>
      </c>
      <c r="F157" s="9" t="s">
        <v>671</v>
      </c>
      <c r="H157" s="9">
        <f ca="1">SUMIF('서식(직납)'!B:L,'Summary(수주업로드용)'!A157,'서식(직납)'!J:J)</f>
        <v>0</v>
      </c>
      <c r="I157" s="28" t="e">
        <f ca="1">IF(H157="0","0",VLOOKUP(A157,'서식(직납)'!B:K,10,0))</f>
        <v>#N/A</v>
      </c>
      <c r="J157" s="7" t="e">
        <f t="shared" ca="1" si="5"/>
        <v>#N/A</v>
      </c>
      <c r="K157" s="4" t="e">
        <f>VLOOKUP(F157,'SUM(히아풀젤,폼 아이캐쳐붙인걸로)'!A:E,5,0)</f>
        <v>#N/A</v>
      </c>
    </row>
    <row r="158" spans="1:13" ht="12" hidden="1" customHeight="1">
      <c r="A158" s="4" t="str">
        <f t="shared" si="4"/>
        <v>81010903ME81921SLL</v>
      </c>
      <c r="B158" s="9">
        <v>81010000</v>
      </c>
      <c r="C158" s="11"/>
      <c r="D158" s="11">
        <v>81010903</v>
      </c>
      <c r="E158" s="71" t="s">
        <v>511</v>
      </c>
      <c r="F158" s="9" t="s">
        <v>672</v>
      </c>
      <c r="H158" s="9">
        <f ca="1">SUMIF('서식(직납)'!B:L,'Summary(수주업로드용)'!A158,'서식(직납)'!J:J)</f>
        <v>0</v>
      </c>
      <c r="I158" s="28" t="e">
        <f ca="1">IF(H158="0","0",VLOOKUP(A158,'서식(직납)'!B:K,10,0))</f>
        <v>#N/A</v>
      </c>
      <c r="J158" s="7" t="e">
        <f t="shared" ca="1" si="5"/>
        <v>#N/A</v>
      </c>
      <c r="K158" s="4" t="e">
        <f>VLOOKUP(F158,'SUM(히아풀젤,폼 아이캐쳐붙인걸로)'!A:E,5,0)</f>
        <v>#N/A</v>
      </c>
    </row>
    <row r="159" spans="1:13" ht="12" hidden="1" customHeight="1">
      <c r="A159" s="4" t="str">
        <f t="shared" si="4"/>
        <v>81010903ME90521MCN</v>
      </c>
      <c r="B159" s="9">
        <v>81010000</v>
      </c>
      <c r="C159" s="11"/>
      <c r="D159" s="11">
        <v>81010903</v>
      </c>
      <c r="E159" s="71" t="s">
        <v>511</v>
      </c>
      <c r="F159" s="9" t="s">
        <v>673</v>
      </c>
      <c r="H159" s="9">
        <f ca="1">SUMIF('서식(직납)'!B:L,'Summary(수주업로드용)'!A159,'서식(직납)'!J:J)</f>
        <v>0</v>
      </c>
      <c r="I159" s="28" t="e">
        <f ca="1">IF(H159="0","0",VLOOKUP(A159,'서식(직납)'!B:K,10,0))</f>
        <v>#N/A</v>
      </c>
      <c r="J159" s="7" t="e">
        <f t="shared" ca="1" si="5"/>
        <v>#N/A</v>
      </c>
      <c r="K159" s="4" t="e">
        <f>VLOOKUP(F159,'SUM(히아풀젤,폼 아이캐쳐붙인걸로)'!A:E,5,0)</f>
        <v>#N/A</v>
      </c>
    </row>
    <row r="160" spans="1:13" ht="12" hidden="1" customHeight="1">
      <c r="A160" s="4" t="str">
        <f t="shared" si="4"/>
        <v>81010903ME90521MCA</v>
      </c>
      <c r="B160" s="9">
        <v>81010000</v>
      </c>
      <c r="C160" s="11"/>
      <c r="D160" s="11">
        <v>81010903</v>
      </c>
      <c r="E160" s="71" t="s">
        <v>511</v>
      </c>
      <c r="F160" s="9" t="s">
        <v>677</v>
      </c>
      <c r="H160" s="9">
        <f ca="1">SUMIF('서식(직납)'!B:L,'Summary(수주업로드용)'!A160,'서식(직납)'!J:J)</f>
        <v>0</v>
      </c>
      <c r="I160" s="28" t="e">
        <f ca="1">IF(H160="0","0",VLOOKUP(A160,'서식(직납)'!B:K,10,0))</f>
        <v>#N/A</v>
      </c>
      <c r="J160" s="7" t="e">
        <f t="shared" ca="1" si="5"/>
        <v>#N/A</v>
      </c>
      <c r="K160" s="4" t="e">
        <f>VLOOKUP(F160,'SUM(히아풀젤,폼 아이캐쳐붙인걸로)'!A:E,5,0)</f>
        <v>#N/A</v>
      </c>
      <c r="M160" s="4" t="str">
        <f>VLOOKUP(F163,제품명!$D:$E,2,0)</f>
        <v>아크네스 모이스처 플루이드 150ml</v>
      </c>
    </row>
    <row r="161" spans="1:13" ht="12" hidden="1" customHeight="1">
      <c r="A161" s="4" t="str">
        <f t="shared" si="4"/>
        <v>81010903ME81921SL1</v>
      </c>
      <c r="B161" s="9">
        <v>81010000</v>
      </c>
      <c r="C161" s="11"/>
      <c r="D161" s="11">
        <v>81010903</v>
      </c>
      <c r="E161" s="71" t="s">
        <v>511</v>
      </c>
      <c r="F161" s="9" t="s">
        <v>679</v>
      </c>
      <c r="H161" s="9">
        <f ca="1">SUMIF('서식(직납)'!B:L,'Summary(수주업로드용)'!A161,'서식(직납)'!J:J)</f>
        <v>0</v>
      </c>
      <c r="I161" s="28" t="e">
        <f ca="1">IF(H161="0","0",VLOOKUP(A161,'서식(직납)'!B:K,10,0))</f>
        <v>#N/A</v>
      </c>
      <c r="J161" s="7" t="e">
        <f t="shared" ca="1" si="5"/>
        <v>#N/A</v>
      </c>
      <c r="K161" s="4" t="e">
        <f>VLOOKUP(F161,'SUM(히아풀젤,폼 아이캐쳐붙인걸로)'!A:E,5,0)</f>
        <v>#N/A</v>
      </c>
      <c r="M161" s="4" t="str">
        <f>VLOOKUP(F164,제품명!$D:$E,2,0)</f>
        <v>아크네스 세범 밸런싱 스킨 2.0</v>
      </c>
    </row>
    <row r="162" spans="1:13" ht="12" hidden="1" customHeight="1">
      <c r="A162" s="4" t="str">
        <f t="shared" si="4"/>
        <v>81010903ME00621AN4</v>
      </c>
      <c r="B162" s="9">
        <v>81010000</v>
      </c>
      <c r="C162" s="11"/>
      <c r="D162" s="11">
        <v>81010903</v>
      </c>
      <c r="E162" s="71" t="s">
        <v>511</v>
      </c>
      <c r="F162" s="9" t="s">
        <v>693</v>
      </c>
      <c r="H162" s="9">
        <f ca="1">SUMIF('서식(직납)'!B:L,'Summary(수주업로드용)'!A162,'서식(직납)'!J:J)</f>
        <v>0</v>
      </c>
      <c r="I162" s="28" t="e">
        <f ca="1">IF(H162="0","0",VLOOKUP(A162,'서식(직납)'!B:K,10,0))</f>
        <v>#N/A</v>
      </c>
      <c r="J162" s="7" t="e">
        <f t="shared" ca="1" si="5"/>
        <v>#N/A</v>
      </c>
      <c r="K162" s="4">
        <f>VLOOKUP(F162,'SUM(히아풀젤,폼 아이캐쳐붙인걸로)'!A:E,5,0)</f>
        <v>0</v>
      </c>
      <c r="M162" s="4" t="str">
        <f>VLOOKUP(F165,제품명!$D:$E,2,0)</f>
        <v>아크네스 스팟클리어크림패치 18g</v>
      </c>
    </row>
    <row r="163" spans="1:13" ht="12" hidden="1" customHeight="1">
      <c r="A163" s="4" t="str">
        <f t="shared" si="4"/>
        <v>81010903ME00621AN6</v>
      </c>
      <c r="B163" s="9">
        <v>81010000</v>
      </c>
      <c r="C163" s="11"/>
      <c r="D163" s="11">
        <v>81010903</v>
      </c>
      <c r="E163" s="71" t="s">
        <v>511</v>
      </c>
      <c r="F163" s="9" t="s">
        <v>695</v>
      </c>
      <c r="H163" s="9">
        <f ca="1">SUMIF('서식(직납)'!B:L,'Summary(수주업로드용)'!A163,'서식(직납)'!J:J)</f>
        <v>0</v>
      </c>
      <c r="I163" s="28" t="e">
        <f ca="1">IF(H163="0","0",VLOOKUP(A163,'서식(직납)'!B:K,10,0))</f>
        <v>#N/A</v>
      </c>
      <c r="J163" s="7" t="e">
        <f t="shared" ca="1" si="5"/>
        <v>#N/A</v>
      </c>
      <c r="K163" s="4" t="str">
        <f>VLOOKUP(F163,'SUM(히아풀젤,폼 아이캐쳐붙인걸로)'!A:E,5,0)</f>
        <v>ME90621A05</v>
      </c>
      <c r="M163" s="4" t="str">
        <f>VLOOKUP(F166,제품명!$D:$E,2,0)</f>
        <v>아크네스 클리어 앤 화이트 크리미 워시 100G (6입) (New 2021)</v>
      </c>
    </row>
    <row r="164" spans="1:13" ht="12" hidden="1" customHeight="1">
      <c r="A164" s="4" t="str">
        <f t="shared" si="4"/>
        <v>81010903ME00621AN5</v>
      </c>
      <c r="B164" s="9">
        <v>81010000</v>
      </c>
      <c r="C164" s="11"/>
      <c r="D164" s="11">
        <v>81010903</v>
      </c>
      <c r="E164" s="71" t="s">
        <v>511</v>
      </c>
      <c r="F164" s="9" t="s">
        <v>697</v>
      </c>
      <c r="H164" s="9">
        <f ca="1">SUMIF('서식(직납)'!B:L,'Summary(수주업로드용)'!A164,'서식(직납)'!J:J)</f>
        <v>0</v>
      </c>
      <c r="I164" s="28" t="e">
        <f ca="1">IF(H164="0","0",VLOOKUP(A164,'서식(직납)'!B:K,10,0))</f>
        <v>#N/A</v>
      </c>
      <c r="J164" s="7" t="e">
        <f t="shared" ca="1" si="5"/>
        <v>#N/A</v>
      </c>
      <c r="K164" s="151" t="e">
        <f ca="1">ROUND(J164*0.1,0)</f>
        <v>#N/A</v>
      </c>
      <c r="M164" s="4" t="str">
        <f>VLOOKUP(F167,제품명!$D:$E,2,0)</f>
        <v>하다라보 히아풀베리어 수딩 클렌징 젤 (12입)</v>
      </c>
    </row>
    <row r="165" spans="1:13" ht="12" hidden="1" customHeight="1">
      <c r="A165" s="4" t="str">
        <f t="shared" si="4"/>
        <v>81010903ME00621ASM</v>
      </c>
      <c r="B165" s="9">
        <v>81010000</v>
      </c>
      <c r="C165" s="11"/>
      <c r="D165" s="11">
        <v>81010903</v>
      </c>
      <c r="E165" s="71" t="s">
        <v>511</v>
      </c>
      <c r="F165" s="9" t="s">
        <v>696</v>
      </c>
      <c r="H165" s="9">
        <f ca="1">SUMIF('서식(직납)'!B:L,'Summary(수주업로드용)'!A165,'서식(직납)'!J:J)</f>
        <v>0</v>
      </c>
      <c r="I165" s="28" t="e">
        <f ca="1">IF(H165="0","0",VLOOKUP(A165,'서식(직납)'!B:K,10,0))</f>
        <v>#N/A</v>
      </c>
      <c r="J165" s="7" t="e">
        <f t="shared" ca="1" si="5"/>
        <v>#N/A</v>
      </c>
      <c r="K165" s="151" t="e">
        <f ca="1">ROUND(J165*0.1,0)</f>
        <v>#N/A</v>
      </c>
      <c r="M165" s="4" t="str">
        <f>VLOOKUP(F171,제품명!$D:$E,2,0)</f>
        <v xml:space="preserve"> 멘소래담 워터컬러 03스위트 핑크 (12입)</v>
      </c>
    </row>
    <row r="166" spans="1:13" ht="12" hidden="1" customHeight="1">
      <c r="A166" s="4" t="str">
        <f t="shared" si="4"/>
        <v>81010903ME90621AC4</v>
      </c>
      <c r="B166" s="9">
        <v>81010000</v>
      </c>
      <c r="C166" s="11"/>
      <c r="D166" s="11">
        <v>81010903</v>
      </c>
      <c r="E166" s="71" t="s">
        <v>511</v>
      </c>
      <c r="F166" s="9" t="s">
        <v>938</v>
      </c>
      <c r="H166" s="9">
        <f ca="1">SUMIF('서식(직납)'!B:L,'Summary(수주업로드용)'!A166,'서식(직납)'!J:J)</f>
        <v>0</v>
      </c>
      <c r="I166" s="28" t="e">
        <f ca="1">IF(H166="0","0",VLOOKUP(A166,'서식(직납)'!B:K,10,0))</f>
        <v>#N/A</v>
      </c>
      <c r="J166" s="7" t="e">
        <f t="shared" ca="1" si="5"/>
        <v>#N/A</v>
      </c>
      <c r="K166" s="4" t="str">
        <f>VLOOKUP(F166,'SUM(히아풀젤,폼 아이캐쳐붙인걸로)'!A:E,5,0)</f>
        <v>9B4</v>
      </c>
    </row>
    <row r="167" spans="1:13" ht="12" hidden="1" customHeight="1">
      <c r="A167" s="4" t="str">
        <f t="shared" si="4"/>
        <v>81010903ME00621HFC</v>
      </c>
      <c r="B167" s="9">
        <v>81010000</v>
      </c>
      <c r="C167" s="11"/>
      <c r="D167" s="11">
        <v>81010903</v>
      </c>
      <c r="E167" s="71" t="s">
        <v>511</v>
      </c>
      <c r="F167" s="9" t="s">
        <v>764</v>
      </c>
      <c r="H167" s="9">
        <f ca="1">SUMIF('서식(직납)'!B:L,'Summary(수주업로드용)'!A167,'서식(직납)'!J:J)</f>
        <v>0</v>
      </c>
      <c r="I167" s="28" t="e">
        <f ca="1">IF(H167="0","0",VLOOKUP(A167,'서식(직납)'!B:K,10,0))</f>
        <v>#N/A</v>
      </c>
      <c r="J167" s="7" t="e">
        <f t="shared" ca="1" si="5"/>
        <v>#N/A</v>
      </c>
      <c r="K167" s="4" t="e">
        <f>VLOOKUP(F167,'SUM(히아풀젤,폼 아이캐쳐붙인걸로)'!A:E,5,0)</f>
        <v>#N/A</v>
      </c>
    </row>
    <row r="168" spans="1:13" ht="12" hidden="1" customHeight="1">
      <c r="A168" s="4" t="str">
        <f t="shared" si="4"/>
        <v>81010903ME00621HPC</v>
      </c>
      <c r="B168" s="9">
        <v>81010000</v>
      </c>
      <c r="C168" s="11"/>
      <c r="D168" s="11">
        <v>81010903</v>
      </c>
      <c r="E168" s="71" t="s">
        <v>511</v>
      </c>
      <c r="F168" s="9" t="s">
        <v>767</v>
      </c>
      <c r="H168" s="9">
        <f ca="1">SUMIF('서식(직납)'!B:L,'Summary(수주업로드용)'!A168,'서식(직납)'!J:J)</f>
        <v>0</v>
      </c>
      <c r="I168" s="28" t="e">
        <f ca="1">IF(H168="0","0",VLOOKUP(A168,'서식(직납)'!B:K,10,0))</f>
        <v>#N/A</v>
      </c>
      <c r="J168" s="7" t="e">
        <f t="shared" ca="1" si="5"/>
        <v>#N/A</v>
      </c>
      <c r="K168" s="4">
        <f>VLOOKUP(F168,'SUM(히아풀젤,폼 아이캐쳐붙인걸로)'!A:E,5,0)</f>
        <v>0</v>
      </c>
      <c r="M168" s="4" t="str">
        <f>VLOOKUP(F173,제품명!$D:$E,2,0)</f>
        <v>(new)아크네스 클리어 앤 화이트 포밍 워시 150ml  1+1</v>
      </c>
    </row>
    <row r="169" spans="1:13" ht="12" hidden="1" customHeight="1">
      <c r="A169" s="4" t="str">
        <f t="shared" si="4"/>
        <v>81010903ME90521WC4</v>
      </c>
      <c r="B169" s="9">
        <v>81010000</v>
      </c>
      <c r="C169" s="11"/>
      <c r="D169" s="11">
        <v>81010903</v>
      </c>
      <c r="E169" s="71" t="s">
        <v>511</v>
      </c>
      <c r="F169" s="9" t="s">
        <v>1030</v>
      </c>
      <c r="H169" s="9">
        <f ca="1">SUMIF('서식(직납)'!B:L,'Summary(수주업로드용)'!A169,'서식(직납)'!J:J)</f>
        <v>0</v>
      </c>
      <c r="I169" s="28" t="e">
        <f ca="1">IF(H169="0","0",VLOOKUP(A169,'서식(직납)'!B:K,10,0))</f>
        <v>#N/A</v>
      </c>
      <c r="J169" s="7" t="e">
        <f t="shared" ca="1" si="5"/>
        <v>#N/A</v>
      </c>
      <c r="K169" s="4" t="e">
        <f>VLOOKUP(F169,'SUM(히아풀젤,폼 아이캐쳐붙인걸로)'!A:E,5,0)</f>
        <v>#N/A</v>
      </c>
    </row>
    <row r="170" spans="1:13" ht="12" hidden="1" customHeight="1">
      <c r="A170" s="4" t="str">
        <f t="shared" si="4"/>
        <v>81010903ME90521WC5</v>
      </c>
      <c r="B170" s="9">
        <v>81010000</v>
      </c>
      <c r="C170" s="11"/>
      <c r="D170" s="11">
        <v>81010903</v>
      </c>
      <c r="E170" s="71" t="s">
        <v>511</v>
      </c>
      <c r="F170" s="9" t="s">
        <v>1031</v>
      </c>
      <c r="H170" s="9">
        <f ca="1">SUMIF('서식(직납)'!B:L,'Summary(수주업로드용)'!A170,'서식(직납)'!J:J)</f>
        <v>0</v>
      </c>
      <c r="I170" s="28" t="e">
        <f ca="1">IF(H170="0","0",VLOOKUP(A170,'서식(직납)'!B:K,10,0))</f>
        <v>#N/A</v>
      </c>
      <c r="J170" s="7" t="e">
        <f t="shared" ca="1" si="5"/>
        <v>#N/A</v>
      </c>
      <c r="K170" s="4" t="e">
        <f>VLOOKUP(F170,'SUM(히아풀젤,폼 아이캐쳐붙인걸로)'!A:E,5,0)</f>
        <v>#N/A</v>
      </c>
    </row>
    <row r="171" spans="1:13" ht="12" hidden="1" customHeight="1">
      <c r="A171" s="4" t="str">
        <f t="shared" si="4"/>
        <v>81010903ME90521WC6</v>
      </c>
      <c r="B171" s="9">
        <v>81010000</v>
      </c>
      <c r="C171" s="11"/>
      <c r="D171" s="11">
        <v>81010903</v>
      </c>
      <c r="E171" s="71" t="s">
        <v>511</v>
      </c>
      <c r="F171" s="9" t="s">
        <v>1034</v>
      </c>
      <c r="H171" s="9">
        <f ca="1">SUMIF('서식(직납)'!B:L,'Summary(수주업로드용)'!A171,'서식(직납)'!J:J)</f>
        <v>0</v>
      </c>
      <c r="I171" s="28" t="e">
        <f ca="1">IF(H171="0","0",VLOOKUP(A171,'서식(직납)'!B:K,10,0))</f>
        <v>#N/A</v>
      </c>
      <c r="J171" s="7" t="e">
        <f t="shared" ca="1" si="5"/>
        <v>#N/A</v>
      </c>
      <c r="K171" s="4" t="e">
        <f>VLOOKUP(F171,'SUM(히아풀젤,폼 아이캐쳐붙인걸로)'!A:E,5,0)</f>
        <v>#N/A</v>
      </c>
      <c r="M171" s="4" t="str">
        <f>VLOOKUP(F176,제품명!$D:$E,2,0)</f>
        <v>(new)아크네스 데일리 딥 클렌저 100g (6입)</v>
      </c>
    </row>
    <row r="172" spans="1:13" ht="12" customHeight="1">
      <c r="A172" s="4" t="str">
        <f t="shared" si="4"/>
        <v>81010903ME90621MAM</v>
      </c>
      <c r="B172" s="9">
        <v>81010000</v>
      </c>
      <c r="C172" s="11"/>
      <c r="D172" s="11">
        <v>81010903</v>
      </c>
      <c r="E172" s="71" t="s">
        <v>511</v>
      </c>
      <c r="F172" s="9" t="s">
        <v>1042</v>
      </c>
      <c r="H172" s="9">
        <f ca="1">SUMIF('서식(직납)'!B:L,'Summary(수주업로드용)'!A172,'서식(직납)'!J:J)</f>
        <v>12</v>
      </c>
      <c r="I172" s="28">
        <f ca="1">IF(H172="0","0",VLOOKUP(A172,'서식(직납)'!B:K,10,0))</f>
        <v>4284</v>
      </c>
      <c r="J172" s="7">
        <f t="shared" ca="1" si="5"/>
        <v>51408</v>
      </c>
      <c r="K172" s="4" t="e">
        <f>VLOOKUP(F172,'SUM(히아풀젤,폼 아이캐쳐붙인걸로)'!A:E,5,0)</f>
        <v>#N/A</v>
      </c>
    </row>
    <row r="173" spans="1:13" ht="12" hidden="1" customHeight="1">
      <c r="A173" s="4" t="str">
        <f t="shared" si="4"/>
        <v>81010905ME90621NA7</v>
      </c>
      <c r="B173" s="9">
        <v>81010000</v>
      </c>
      <c r="C173" s="12"/>
      <c r="D173" s="12">
        <v>81010905</v>
      </c>
      <c r="E173" s="71" t="s">
        <v>428</v>
      </c>
      <c r="F173" s="107" t="s">
        <v>685</v>
      </c>
      <c r="G173" s="107"/>
      <c r="H173" s="9">
        <f ca="1">SUMIF('서식(직납)'!B:L,'Summary(수주업로드용)'!A173,'서식(직납)'!J:J)</f>
        <v>0</v>
      </c>
      <c r="I173" s="158" t="e">
        <f ca="1">IF(H173="0","0",VLOOKUP(A173,'서식(직납)'!B:K,10,0))</f>
        <v>#N/A</v>
      </c>
      <c r="J173" s="7" t="e">
        <f t="shared" ca="1" si="5"/>
        <v>#N/A</v>
      </c>
      <c r="K173" s="4">
        <f>VLOOKUP(F173,'SUM(히아풀젤,폼 아이캐쳐붙인걸로)'!A:E,5,0)</f>
        <v>0</v>
      </c>
    </row>
    <row r="174" spans="1:13" ht="12" hidden="1" customHeight="1">
      <c r="A174" s="4" t="str">
        <f t="shared" si="4"/>
        <v>81010905ME90621AT3</v>
      </c>
      <c r="B174" s="9">
        <v>81010005</v>
      </c>
      <c r="C174" s="12"/>
      <c r="D174" s="12">
        <v>81010905</v>
      </c>
      <c r="E174" s="71" t="s">
        <v>428</v>
      </c>
      <c r="F174" s="107" t="s">
        <v>592</v>
      </c>
      <c r="G174" s="107"/>
      <c r="H174" s="9">
        <f ca="1">SUMIF('서식(직납)'!B:L,'Summary(수주업로드용)'!A174,'서식(직납)'!J:J)</f>
        <v>0</v>
      </c>
      <c r="I174" s="28" t="e">
        <f ca="1">IF(H174="0","0",VLOOKUP(A174,'서식(직납)'!B:K,10,0))</f>
        <v>#N/A</v>
      </c>
      <c r="J174" s="7" t="e">
        <f t="shared" ca="1" si="5"/>
        <v>#N/A</v>
      </c>
      <c r="K174" s="4" t="e">
        <f>VLOOKUP(F174,'SUM(히아풀젤,폼 아이캐쳐붙인걸로)'!A:E,5,0)</f>
        <v>#N/A</v>
      </c>
    </row>
    <row r="175" spans="1:13" ht="12" hidden="1" customHeight="1">
      <c r="A175" s="4" t="str">
        <f t="shared" si="4"/>
        <v>81010905ME90621A07</v>
      </c>
      <c r="B175" s="9">
        <v>81010006</v>
      </c>
      <c r="C175" s="12"/>
      <c r="D175" s="12">
        <v>81010905</v>
      </c>
      <c r="E175" s="71" t="s">
        <v>428</v>
      </c>
      <c r="F175" s="107" t="s">
        <v>384</v>
      </c>
      <c r="G175" s="107"/>
      <c r="H175" s="9">
        <f ca="1">SUMIF('서식(직납)'!B:L,'Summary(수주업로드용)'!A175,'서식(직납)'!J:J)</f>
        <v>0</v>
      </c>
      <c r="I175" s="28" t="e">
        <f ca="1">IF(H175="0","0",VLOOKUP(A175,'서식(직납)'!B:K,10,0))</f>
        <v>#N/A</v>
      </c>
      <c r="J175" s="7" t="e">
        <f t="shared" ca="1" si="5"/>
        <v>#N/A</v>
      </c>
      <c r="K175" s="4" t="e">
        <f>VLOOKUP(F175,'SUM(히아풀젤,폼 아이캐쳐붙인걸로)'!A:E,5,0)</f>
        <v>#N/A</v>
      </c>
      <c r="M175" s="4" t="str">
        <f>VLOOKUP(F179,제품명!$D:$E,2,0)</f>
        <v>아크네스 포밍워시 200ml (인케이스)-RRP</v>
      </c>
    </row>
    <row r="176" spans="1:13" ht="12" customHeight="1">
      <c r="A176" s="4" t="str">
        <f t="shared" si="4"/>
        <v>81010905ME90621ADI</v>
      </c>
      <c r="B176" s="9">
        <v>81010000</v>
      </c>
      <c r="C176" s="12"/>
      <c r="D176" s="12">
        <v>81010905</v>
      </c>
      <c r="E176" s="71" t="s">
        <v>428</v>
      </c>
      <c r="F176" s="107" t="s">
        <v>954</v>
      </c>
      <c r="G176" s="107"/>
      <c r="H176" s="9">
        <f ca="1">SUMIF('서식(직납)'!B:L,'Summary(수주업로드용)'!A176,'서식(직납)'!J:J)</f>
        <v>12</v>
      </c>
      <c r="I176" s="28">
        <f ca="1">IF(H176="0","0",VLOOKUP(A176,'서식(직납)'!B:K,10,0))</f>
        <v>3656</v>
      </c>
      <c r="J176" s="7">
        <f t="shared" ca="1" si="5"/>
        <v>43872</v>
      </c>
      <c r="K176" s="4">
        <f>VLOOKUP(F176,'SUM(히아풀젤,폼 아이캐쳐붙인걸로)'!A:E,5,0)</f>
        <v>0</v>
      </c>
    </row>
    <row r="177" spans="1:13" ht="12" hidden="1" customHeight="1">
      <c r="A177" s="4" t="str">
        <f t="shared" si="4"/>
        <v>81010905ME90621A04</v>
      </c>
      <c r="B177" s="9">
        <v>81010008</v>
      </c>
      <c r="C177" s="12"/>
      <c r="D177" s="12">
        <v>81010905</v>
      </c>
      <c r="E177" s="71" t="s">
        <v>428</v>
      </c>
      <c r="F177" s="107" t="s">
        <v>334</v>
      </c>
      <c r="G177" s="107"/>
      <c r="H177" s="9">
        <f ca="1">SUMIF('서식(직납)'!B:L,'Summary(수주업로드용)'!A177,'서식(직납)'!J:J)</f>
        <v>0</v>
      </c>
      <c r="I177" s="28" t="e">
        <f ca="1">IF(H177="0","0",VLOOKUP(A177,'서식(직납)'!B:K,10,0))</f>
        <v>#N/A</v>
      </c>
      <c r="J177" s="7" t="e">
        <f t="shared" ca="1" si="5"/>
        <v>#N/A</v>
      </c>
      <c r="K177" s="4" t="e">
        <f>VLOOKUP(F177,'SUM(히아풀젤,폼 아이캐쳐붙인걸로)'!A:E,5,0)</f>
        <v>#N/A</v>
      </c>
    </row>
    <row r="178" spans="1:13" ht="12" hidden="1" customHeight="1">
      <c r="A178" s="4" t="str">
        <f t="shared" si="4"/>
        <v>81010905ME90621A02</v>
      </c>
      <c r="B178" s="9">
        <v>81010009</v>
      </c>
      <c r="C178" s="12"/>
      <c r="D178" s="12">
        <v>81010905</v>
      </c>
      <c r="E178" s="71" t="s">
        <v>428</v>
      </c>
      <c r="F178" s="107" t="s">
        <v>661</v>
      </c>
      <c r="G178" s="107"/>
      <c r="H178" s="9">
        <f ca="1">SUMIF('서식(직납)'!B:L,'Summary(수주업로드용)'!A178,'서식(직납)'!J:J)</f>
        <v>0</v>
      </c>
      <c r="I178" s="28" t="e">
        <f ca="1">IF(H178="0","0",VLOOKUP(A178,'서식(직납)'!B:K,10,0))</f>
        <v>#N/A</v>
      </c>
      <c r="J178" s="7" t="e">
        <f t="shared" ca="1" si="5"/>
        <v>#N/A</v>
      </c>
      <c r="K178" s="4" t="e">
        <f>VLOOKUP(F178,'SUM(히아풀젤,폼 아이캐쳐붙인걸로)'!A:E,5,0)</f>
        <v>#N/A</v>
      </c>
    </row>
    <row r="179" spans="1:13" ht="12" customHeight="1">
      <c r="A179" s="4" t="str">
        <f t="shared" si="4"/>
        <v>81010905ME90621AFE</v>
      </c>
      <c r="B179" s="9">
        <v>81010000</v>
      </c>
      <c r="C179" s="12"/>
      <c r="D179" s="12">
        <v>81010905</v>
      </c>
      <c r="E179" s="71" t="s">
        <v>428</v>
      </c>
      <c r="F179" s="107" t="s">
        <v>958</v>
      </c>
      <c r="G179" s="107"/>
      <c r="H179" s="9">
        <f ca="1">SUMIF('서식(직납)'!B:L,'Summary(수주업로드용)'!A179,'서식(직납)'!J:J)</f>
        <v>6</v>
      </c>
      <c r="I179" s="28">
        <f ca="1">IF(H179="0","0",VLOOKUP(A179,'서식(직납)'!B:K,10,0))</f>
        <v>4469</v>
      </c>
      <c r="J179" s="7">
        <f t="shared" ca="1" si="5"/>
        <v>26814</v>
      </c>
      <c r="K179" s="4" t="e">
        <f>VLOOKUP(F179,'SUM(히아풀젤,폼 아이캐쳐붙인걸로)'!A:E,5,0)</f>
        <v>#N/A</v>
      </c>
    </row>
    <row r="180" spans="1:13" ht="12" hidden="1" customHeight="1">
      <c r="A180" s="4" t="str">
        <f t="shared" si="4"/>
        <v>81010905ME00621TC3</v>
      </c>
      <c r="B180" s="9">
        <v>81010011</v>
      </c>
      <c r="C180" s="12"/>
      <c r="D180" s="12">
        <v>81010905</v>
      </c>
      <c r="E180" s="71" t="s">
        <v>428</v>
      </c>
      <c r="F180" s="107" t="s">
        <v>639</v>
      </c>
      <c r="G180" s="107"/>
      <c r="H180" s="9">
        <f ca="1">SUMIF('서식(직납)'!B:L,'Summary(수주업로드용)'!A180,'서식(직납)'!J:J)</f>
        <v>0</v>
      </c>
      <c r="I180" s="28" t="e">
        <f ca="1">IF(H180="0","0",VLOOKUP(A180,'서식(직납)'!B:K,10,0))</f>
        <v>#N/A</v>
      </c>
      <c r="J180" s="7" t="e">
        <f t="shared" ca="1" si="5"/>
        <v>#N/A</v>
      </c>
      <c r="K180" s="4" t="e">
        <f>VLOOKUP(F180,'SUM(히아풀젤,폼 아이캐쳐붙인걸로)'!A:E,5,0)</f>
        <v>#N/A</v>
      </c>
    </row>
    <row r="181" spans="1:13" ht="12" hidden="1" customHeight="1">
      <c r="A181" s="4" t="str">
        <f t="shared" si="4"/>
        <v>81010905ME00621AB1</v>
      </c>
      <c r="B181" s="9">
        <v>81010012</v>
      </c>
      <c r="C181" s="12"/>
      <c r="D181" s="12">
        <v>81010905</v>
      </c>
      <c r="E181" s="71" t="s">
        <v>428</v>
      </c>
      <c r="F181" s="107" t="s">
        <v>622</v>
      </c>
      <c r="G181" s="107"/>
      <c r="H181" s="9">
        <f ca="1">SUMIF('서식(직납)'!B:L,'Summary(수주업로드용)'!A181,'서식(직납)'!J:J)</f>
        <v>0</v>
      </c>
      <c r="I181" s="28" t="e">
        <f ca="1">IF(H181="0","0",VLOOKUP(A181,'서식(직납)'!B:K,10,0))</f>
        <v>#N/A</v>
      </c>
      <c r="J181" s="7" t="e">
        <f t="shared" ca="1" si="5"/>
        <v>#N/A</v>
      </c>
      <c r="K181" s="4" t="e">
        <f>VLOOKUP(F181,'SUM(히아풀젤,폼 아이캐쳐붙인걸로)'!A:E,5,0)</f>
        <v>#N/A</v>
      </c>
    </row>
    <row r="182" spans="1:13" ht="12" hidden="1" customHeight="1">
      <c r="A182" s="4" t="str">
        <f t="shared" si="4"/>
        <v>81010905ME00621C17</v>
      </c>
      <c r="B182" s="9">
        <v>81010013</v>
      </c>
      <c r="C182" s="12"/>
      <c r="D182" s="12">
        <v>81010905</v>
      </c>
      <c r="E182" s="71" t="s">
        <v>428</v>
      </c>
      <c r="F182" s="107" t="s">
        <v>621</v>
      </c>
      <c r="G182" s="107"/>
      <c r="H182" s="9">
        <f ca="1">SUMIF('서식(직납)'!B:L,'Summary(수주업로드용)'!A182,'서식(직납)'!J:J)</f>
        <v>0</v>
      </c>
      <c r="I182" s="28" t="e">
        <f ca="1">IF(H182="0","0",VLOOKUP(A182,'서식(직납)'!B:K,10,0))</f>
        <v>#N/A</v>
      </c>
      <c r="J182" s="7" t="e">
        <f t="shared" ca="1" si="5"/>
        <v>#N/A</v>
      </c>
      <c r="K182" s="4" t="e">
        <f>VLOOKUP(F182,'SUM(히아풀젤,폼 아이캐쳐붙인걸로)'!A:E,5,0)</f>
        <v>#N/A</v>
      </c>
    </row>
    <row r="183" spans="1:13" ht="12" hidden="1" customHeight="1">
      <c r="A183" s="4" t="str">
        <f t="shared" si="4"/>
        <v>81010905ME00621AT6</v>
      </c>
      <c r="B183" s="9">
        <v>81010014</v>
      </c>
      <c r="C183" s="12"/>
      <c r="D183" s="12">
        <v>81010905</v>
      </c>
      <c r="E183" s="71" t="s">
        <v>428</v>
      </c>
      <c r="F183" s="107" t="s">
        <v>333</v>
      </c>
      <c r="G183" s="107"/>
      <c r="H183" s="9">
        <f ca="1">SUMIF('서식(직납)'!B:L,'Summary(수주업로드용)'!A183,'서식(직납)'!J:J)</f>
        <v>0</v>
      </c>
      <c r="I183" s="28" t="e">
        <f ca="1">IF(H183="0","0",VLOOKUP(A183,'서식(직납)'!B:K,10,0))</f>
        <v>#N/A</v>
      </c>
      <c r="J183" s="7" t="e">
        <f t="shared" ca="1" si="5"/>
        <v>#N/A</v>
      </c>
      <c r="K183" s="4" t="e">
        <f>VLOOKUP(F183,'SUM(히아풀젤,폼 아이캐쳐붙인걸로)'!A:E,5,0)</f>
        <v>#N/A</v>
      </c>
    </row>
    <row r="184" spans="1:13" ht="12" hidden="1" customHeight="1">
      <c r="A184" s="4" t="str">
        <f t="shared" si="4"/>
        <v>81010905ME00621AM1</v>
      </c>
      <c r="B184" s="9">
        <v>81010015</v>
      </c>
      <c r="C184" s="12"/>
      <c r="D184" s="12">
        <v>81010905</v>
      </c>
      <c r="E184" s="71" t="s">
        <v>428</v>
      </c>
      <c r="F184" s="107" t="s">
        <v>619</v>
      </c>
      <c r="G184" s="107"/>
      <c r="H184" s="9">
        <f ca="1">SUMIF('서식(직납)'!B:L,'Summary(수주업로드용)'!A184,'서식(직납)'!J:J)</f>
        <v>0</v>
      </c>
      <c r="I184" s="28" t="e">
        <f ca="1">IF(H184="0","0",VLOOKUP(A184,'서식(직납)'!B:K,10,0))</f>
        <v>#N/A</v>
      </c>
      <c r="J184" s="7" t="e">
        <f t="shared" ca="1" si="5"/>
        <v>#N/A</v>
      </c>
      <c r="K184" s="4" t="e">
        <f>VLOOKUP(F184,'SUM(히아풀젤,폼 아이캐쳐붙인걸로)'!A:E,5,0)</f>
        <v>#N/A</v>
      </c>
    </row>
    <row r="185" spans="1:13" ht="12" hidden="1" customHeight="1">
      <c r="A185" s="4" t="str">
        <f t="shared" si="4"/>
        <v>81010905ME00621AS1</v>
      </c>
      <c r="B185" s="9">
        <v>81010016</v>
      </c>
      <c r="C185" s="12"/>
      <c r="D185" s="12">
        <v>81010905</v>
      </c>
      <c r="E185" s="71" t="s">
        <v>428</v>
      </c>
      <c r="F185" s="107" t="s">
        <v>498</v>
      </c>
      <c r="G185" s="107"/>
      <c r="H185" s="9">
        <f ca="1">SUMIF('서식(직납)'!B:L,'Summary(수주업로드용)'!A185,'서식(직납)'!J:J)</f>
        <v>0</v>
      </c>
      <c r="I185" s="28" t="e">
        <f ca="1">IF(H185="0","0",VLOOKUP(A185,'서식(직납)'!B:K,10,0))</f>
        <v>#N/A</v>
      </c>
      <c r="J185" s="7" t="e">
        <f t="shared" ca="1" si="5"/>
        <v>#N/A</v>
      </c>
      <c r="K185" s="4" t="e">
        <f>VLOOKUP(F185,'SUM(히아풀젤,폼 아이캐쳐붙인걸로)'!A:E,5,0)</f>
        <v>#N/A</v>
      </c>
      <c r="M185" s="4" t="str">
        <f>VLOOKUP(F189,제품명!$D:$E,2,0)</f>
        <v xml:space="preserve">아크네스 더마 릴리프 모이스처 폼클렌저 </v>
      </c>
    </row>
    <row r="186" spans="1:13" ht="12" hidden="1" customHeight="1">
      <c r="A186" s="4" t="str">
        <f t="shared" si="4"/>
        <v>81010905ME00621AR1</v>
      </c>
      <c r="B186" s="9">
        <v>81010000</v>
      </c>
      <c r="C186" s="12"/>
      <c r="D186" s="12">
        <v>81010905</v>
      </c>
      <c r="E186" s="71" t="s">
        <v>428</v>
      </c>
      <c r="F186" s="107" t="s">
        <v>496</v>
      </c>
      <c r="G186" s="107"/>
      <c r="H186" s="9">
        <f ca="1">SUMIF('서식(직납)'!B:L,'Summary(수주업로드용)'!A186,'서식(직납)'!J:J)</f>
        <v>0</v>
      </c>
      <c r="I186" s="28" t="e">
        <f ca="1">IF(H186="0","0",VLOOKUP(A186,'서식(직납)'!B:K,10,0))</f>
        <v>#N/A</v>
      </c>
      <c r="J186" s="7" t="e">
        <f t="shared" ca="1" si="5"/>
        <v>#N/A</v>
      </c>
      <c r="K186" s="4" t="e">
        <f>VLOOKUP(F186,'SUM(히아풀젤,폼 아이캐쳐붙인걸로)'!A:E,5,0)</f>
        <v>#N/A</v>
      </c>
    </row>
    <row r="187" spans="1:13" ht="12" hidden="1" customHeight="1">
      <c r="A187" s="4" t="str">
        <f t="shared" si="4"/>
        <v>81010905ME00621AL1</v>
      </c>
      <c r="B187" s="9">
        <v>81010000</v>
      </c>
      <c r="C187" s="12"/>
      <c r="D187" s="12">
        <v>81010905</v>
      </c>
      <c r="E187" s="71" t="s">
        <v>428</v>
      </c>
      <c r="F187" s="107" t="s">
        <v>494</v>
      </c>
      <c r="G187" s="107"/>
      <c r="H187" s="9">
        <f ca="1">SUMIF('서식(직납)'!B:L,'Summary(수주업로드용)'!A187,'서식(직납)'!J:J)</f>
        <v>0</v>
      </c>
      <c r="I187" s="28" t="e">
        <f ca="1">IF(H187="0","0",VLOOKUP(A187,'서식(직납)'!B:K,10,0))</f>
        <v>#N/A</v>
      </c>
      <c r="J187" s="7" t="e">
        <f t="shared" ca="1" si="5"/>
        <v>#N/A</v>
      </c>
      <c r="K187" s="4" t="e">
        <f>VLOOKUP(F187,'SUM(히아풀젤,폼 아이캐쳐붙인걸로)'!A:E,5,0)</f>
        <v>#N/A</v>
      </c>
    </row>
    <row r="188" spans="1:13" ht="12" hidden="1" customHeight="1">
      <c r="A188" s="4" t="str">
        <f t="shared" si="4"/>
        <v>81010905ME00621AG1</v>
      </c>
      <c r="B188" s="9">
        <v>81010000</v>
      </c>
      <c r="C188" s="12"/>
      <c r="D188" s="12">
        <v>81010905</v>
      </c>
      <c r="E188" s="71" t="s">
        <v>428</v>
      </c>
      <c r="F188" s="107" t="s">
        <v>492</v>
      </c>
      <c r="G188" s="107"/>
      <c r="H188" s="9">
        <f ca="1">SUMIF('서식(직납)'!B:L,'Summary(수주업로드용)'!A188,'서식(직납)'!J:J)</f>
        <v>0</v>
      </c>
      <c r="I188" s="28" t="e">
        <f ca="1">IF(H188="0","0",VLOOKUP(A188,'서식(직납)'!B:K,10,0))</f>
        <v>#N/A</v>
      </c>
      <c r="J188" s="7" t="e">
        <f t="shared" ca="1" si="5"/>
        <v>#N/A</v>
      </c>
      <c r="K188" s="4" t="e">
        <f>VLOOKUP(F188,'SUM(히아풀젤,폼 아이캐쳐붙인걸로)'!A:E,5,0)</f>
        <v>#N/A</v>
      </c>
    </row>
    <row r="189" spans="1:13" ht="12" hidden="1" customHeight="1">
      <c r="A189" s="4" t="str">
        <f t="shared" si="4"/>
        <v>81010905ME00621AF9</v>
      </c>
      <c r="B189" s="9">
        <v>81010000</v>
      </c>
      <c r="C189" s="12"/>
      <c r="D189" s="12">
        <v>81010905</v>
      </c>
      <c r="E189" s="71" t="s">
        <v>428</v>
      </c>
      <c r="F189" s="107" t="s">
        <v>969</v>
      </c>
      <c r="G189" s="107"/>
      <c r="H189" s="9">
        <f ca="1">SUMIF('서식(직납)'!B:L,'Summary(수주업로드용)'!A189,'서식(직납)'!J:J)</f>
        <v>0</v>
      </c>
      <c r="I189" s="28" t="e">
        <f ca="1">IF(H189="0","0",VLOOKUP(A189,'서식(직납)'!B:K,10,0))</f>
        <v>#N/A</v>
      </c>
      <c r="J189" s="7" t="e">
        <f t="shared" ca="1" si="5"/>
        <v>#N/A</v>
      </c>
      <c r="K189" s="4" t="e">
        <f>VLOOKUP(F189,'SUM(히아풀젤,폼 아이캐쳐붙인걸로)'!A:E,5,0)</f>
        <v>#N/A</v>
      </c>
    </row>
    <row r="190" spans="1:13" ht="12" hidden="1" customHeight="1">
      <c r="A190" s="4" t="str">
        <f t="shared" si="4"/>
        <v>81010905ME00621A08</v>
      </c>
      <c r="B190" s="9">
        <v>81010000</v>
      </c>
      <c r="C190" s="12"/>
      <c r="D190" s="12">
        <v>81010905</v>
      </c>
      <c r="E190" s="71" t="s">
        <v>428</v>
      </c>
      <c r="F190" s="107" t="s">
        <v>480</v>
      </c>
      <c r="G190" s="107"/>
      <c r="H190" s="9">
        <f ca="1">SUMIF('서식(직납)'!B:L,'Summary(수주업로드용)'!A190,'서식(직납)'!J:J)</f>
        <v>0</v>
      </c>
      <c r="I190" s="28" t="e">
        <f ca="1">IF(H190="0","0",VLOOKUP(A190,'서식(직납)'!B:K,10,0))</f>
        <v>#N/A</v>
      </c>
      <c r="J190" s="7" t="e">
        <f t="shared" ca="1" si="5"/>
        <v>#N/A</v>
      </c>
      <c r="K190" s="4" t="e">
        <f>VLOOKUP(F190,'SUM(히아풀젤,폼 아이캐쳐붙인걸로)'!A:E,5,0)</f>
        <v>#N/A</v>
      </c>
    </row>
    <row r="191" spans="1:13" ht="12" hidden="1" customHeight="1">
      <c r="A191" s="4" t="str">
        <f t="shared" si="4"/>
        <v>81010905ME90621SM4</v>
      </c>
      <c r="B191" s="9">
        <v>81010000</v>
      </c>
      <c r="C191" s="12"/>
      <c r="D191" s="12">
        <v>81010905</v>
      </c>
      <c r="E191" s="71" t="s">
        <v>428</v>
      </c>
      <c r="F191" s="108" t="s">
        <v>19</v>
      </c>
      <c r="G191" s="108"/>
      <c r="H191" s="9">
        <f ca="1">SUMIF('서식(직납)'!B:L,'Summary(수주업로드용)'!A191,'서식(직납)'!J:J)</f>
        <v>0</v>
      </c>
      <c r="I191" s="28" t="e">
        <f ca="1">IF(H191="0","0",VLOOKUP(A191,'서식(직납)'!B:K,10,0))</f>
        <v>#N/A</v>
      </c>
      <c r="J191" s="7" t="e">
        <f t="shared" ca="1" si="5"/>
        <v>#N/A</v>
      </c>
      <c r="K191" s="4" t="e">
        <f>VLOOKUP(F191,'SUM(히아풀젤,폼 아이캐쳐붙인걸로)'!A:E,5,0)</f>
        <v>#N/A</v>
      </c>
    </row>
    <row r="192" spans="1:13" ht="12" hidden="1" customHeight="1">
      <c r="A192" s="4" t="str">
        <f t="shared" si="4"/>
        <v>81010905ME90621SL2</v>
      </c>
      <c r="B192" s="9">
        <v>81010000</v>
      </c>
      <c r="C192" s="12"/>
      <c r="D192" s="12">
        <v>81010905</v>
      </c>
      <c r="E192" s="71" t="s">
        <v>428</v>
      </c>
      <c r="F192" s="108" t="s">
        <v>628</v>
      </c>
      <c r="G192" s="108"/>
      <c r="H192" s="9">
        <f ca="1">SUMIF('서식(직납)'!B:L,'Summary(수주업로드용)'!A192,'서식(직납)'!J:J)</f>
        <v>0</v>
      </c>
      <c r="I192" s="28" t="e">
        <f ca="1">IF(H192="0","0",VLOOKUP(A192,'서식(직납)'!B:K,10,0))</f>
        <v>#N/A</v>
      </c>
      <c r="J192" s="7" t="e">
        <f t="shared" ca="1" si="5"/>
        <v>#N/A</v>
      </c>
      <c r="K192" s="4" t="e">
        <f>VLOOKUP(F192,'SUM(히아풀젤,폼 아이캐쳐붙인걸로)'!A:E,5,0)</f>
        <v>#N/A</v>
      </c>
    </row>
    <row r="193" spans="1:13" ht="12" hidden="1" customHeight="1">
      <c r="A193" s="4" t="str">
        <f t="shared" si="4"/>
        <v>81010905ME90621SCM</v>
      </c>
      <c r="B193" s="9">
        <v>81010000</v>
      </c>
      <c r="C193" s="12"/>
      <c r="D193" s="12">
        <v>81010905</v>
      </c>
      <c r="E193" s="71" t="s">
        <v>428</v>
      </c>
      <c r="F193" s="108" t="s">
        <v>593</v>
      </c>
      <c r="G193" s="108"/>
      <c r="H193" s="9">
        <f ca="1">SUMIF('서식(직납)'!B:L,'Summary(수주업로드용)'!A193,'서식(직납)'!J:J)</f>
        <v>0</v>
      </c>
      <c r="I193" s="28" t="e">
        <f ca="1">IF(H193="0","0",VLOOKUP(A193,'서식(직납)'!B:K,10,0))</f>
        <v>#N/A</v>
      </c>
      <c r="J193" s="7" t="e">
        <f t="shared" ca="1" si="5"/>
        <v>#N/A</v>
      </c>
      <c r="K193" s="4" t="e">
        <f>VLOOKUP(F193,'SUM(히아풀젤,폼 아이캐쳐붙인걸로)'!A:E,5,0)</f>
        <v>#N/A</v>
      </c>
    </row>
    <row r="194" spans="1:13" ht="12" hidden="1" customHeight="1">
      <c r="A194" s="4" t="str">
        <f t="shared" si="4"/>
        <v>81010905ME90621KW1</v>
      </c>
      <c r="B194" s="9">
        <v>81010000</v>
      </c>
      <c r="C194" s="12"/>
      <c r="D194" s="12">
        <v>81010905</v>
      </c>
      <c r="E194" s="71" t="s">
        <v>428</v>
      </c>
      <c r="F194" s="108" t="s">
        <v>616</v>
      </c>
      <c r="G194" s="108"/>
      <c r="H194" s="9">
        <f ca="1">SUMIF('서식(직납)'!B:L,'Summary(수주업로드용)'!A194,'서식(직납)'!J:J)</f>
        <v>0</v>
      </c>
      <c r="I194" s="28" t="e">
        <f ca="1">IF(H194="0","0",VLOOKUP(A194,'서식(직납)'!B:K,10,0))</f>
        <v>#N/A</v>
      </c>
      <c r="J194" s="7" t="e">
        <f t="shared" ca="1" si="5"/>
        <v>#N/A</v>
      </c>
      <c r="K194" s="4" t="e">
        <f>VLOOKUP(F194,'SUM(히아풀젤,폼 아이캐쳐붙인걸로)'!A:E,5,0)</f>
        <v>#N/A</v>
      </c>
    </row>
    <row r="195" spans="1:13" ht="12" hidden="1" customHeight="1">
      <c r="A195" s="4" t="str">
        <f t="shared" ref="A195:A258" si="6">D195&amp;F195</f>
        <v>81010905ME00621H51</v>
      </c>
      <c r="B195" s="9">
        <v>81010000</v>
      </c>
      <c r="C195" s="12"/>
      <c r="D195" s="12">
        <v>81010905</v>
      </c>
      <c r="E195" s="71" t="s">
        <v>428</v>
      </c>
      <c r="F195" s="108" t="s">
        <v>611</v>
      </c>
      <c r="G195" s="108"/>
      <c r="H195" s="9">
        <f ca="1">SUMIF('서식(직납)'!B:L,'Summary(수주업로드용)'!A195,'서식(직납)'!J:J)</f>
        <v>0</v>
      </c>
      <c r="I195" s="28" t="e">
        <f ca="1">IF(H195="0","0",VLOOKUP(A195,'서식(직납)'!B:K,10,0))</f>
        <v>#N/A</v>
      </c>
      <c r="J195" s="7" t="e">
        <f t="shared" ref="J195:J258" ca="1" si="7">H195*I195</f>
        <v>#N/A</v>
      </c>
      <c r="K195" s="4" t="e">
        <f>VLOOKUP(F195,'SUM(히아풀젤,폼 아이캐쳐붙인걸로)'!A:E,5,0)</f>
        <v>#N/A</v>
      </c>
      <c r="M195" s="4" t="str">
        <f>VLOOKUP(F199,제품명!$D:$E,2,0)</f>
        <v>하다라보 고쿠쥰 오일 클렌징 200ml</v>
      </c>
    </row>
    <row r="196" spans="1:13" ht="12" hidden="1" customHeight="1">
      <c r="A196" s="4" t="str">
        <f t="shared" si="6"/>
        <v>81010905ME90621GPM</v>
      </c>
      <c r="B196" s="9">
        <v>81010000</v>
      </c>
      <c r="C196" s="12"/>
      <c r="D196" s="12">
        <v>81010905</v>
      </c>
      <c r="E196" s="71" t="s">
        <v>428</v>
      </c>
      <c r="F196" s="108" t="s">
        <v>534</v>
      </c>
      <c r="G196" s="108"/>
      <c r="H196" s="9">
        <f ca="1">SUMIF('서식(직납)'!B:L,'Summary(수주업로드용)'!A196,'서식(직납)'!J:J)</f>
        <v>0</v>
      </c>
      <c r="I196" s="28" t="e">
        <f ca="1">IF(H196="0","0",VLOOKUP(A196,'서식(직납)'!B:K,10,0))</f>
        <v>#N/A</v>
      </c>
      <c r="J196" s="7" t="e">
        <f t="shared" ca="1" si="7"/>
        <v>#N/A</v>
      </c>
      <c r="K196" s="4" t="e">
        <f>VLOOKUP(F196,'SUM(히아풀젤,폼 아이캐쳐붙인걸로)'!A:E,5,0)</f>
        <v>#N/A</v>
      </c>
    </row>
    <row r="197" spans="1:13" ht="12" hidden="1" customHeight="1">
      <c r="A197" s="4" t="str">
        <f t="shared" si="6"/>
        <v>81010905ME90621GPL</v>
      </c>
      <c r="B197" s="9">
        <v>81010000</v>
      </c>
      <c r="C197" s="12"/>
      <c r="D197" s="12">
        <v>81010905</v>
      </c>
      <c r="E197" s="71" t="s">
        <v>428</v>
      </c>
      <c r="F197" s="108" t="s">
        <v>533</v>
      </c>
      <c r="G197" s="108"/>
      <c r="H197" s="9">
        <f ca="1">SUMIF('서식(직납)'!B:L,'Summary(수주업로드용)'!A197,'서식(직납)'!J:J)</f>
        <v>0</v>
      </c>
      <c r="I197" s="28" t="e">
        <f ca="1">IF(H197="0","0",VLOOKUP(A197,'서식(직납)'!B:K,10,0))</f>
        <v>#N/A</v>
      </c>
      <c r="J197" s="7" t="e">
        <f t="shared" ca="1" si="7"/>
        <v>#N/A</v>
      </c>
      <c r="K197" s="4" t="e">
        <f>VLOOKUP(F197,'SUM(히아풀젤,폼 아이캐쳐붙인걸로)'!A:E,5,0)</f>
        <v>#N/A</v>
      </c>
    </row>
    <row r="198" spans="1:13" ht="12" hidden="1" customHeight="1">
      <c r="A198" s="4" t="str">
        <f t="shared" si="6"/>
        <v>81010905ME90621GPJ</v>
      </c>
      <c r="B198" s="9">
        <v>81010000</v>
      </c>
      <c r="C198" s="12"/>
      <c r="D198" s="12">
        <v>81010905</v>
      </c>
      <c r="E198" s="71" t="s">
        <v>428</v>
      </c>
      <c r="F198" s="108" t="s">
        <v>532</v>
      </c>
      <c r="G198" s="108"/>
      <c r="H198" s="9">
        <f ca="1">SUMIF('서식(직납)'!B:L,'Summary(수주업로드용)'!A198,'서식(직납)'!J:J)</f>
        <v>0</v>
      </c>
      <c r="I198" s="28" t="e">
        <f ca="1">IF(H198="0","0",VLOOKUP(A198,'서식(직납)'!B:K,10,0))</f>
        <v>#N/A</v>
      </c>
      <c r="J198" s="7" t="e">
        <f t="shared" ca="1" si="7"/>
        <v>#N/A</v>
      </c>
      <c r="K198" s="4" t="e">
        <f>VLOOKUP(F198,'SUM(히아풀젤,폼 아이캐쳐붙인걸로)'!A:E,5,0)</f>
        <v>#N/A</v>
      </c>
    </row>
    <row r="199" spans="1:13" ht="12" customHeight="1">
      <c r="A199" s="4" t="str">
        <f t="shared" si="6"/>
        <v>81010905ME90621GO8</v>
      </c>
      <c r="B199" s="9">
        <v>81010000</v>
      </c>
      <c r="C199" s="12"/>
      <c r="D199" s="12">
        <v>81010905</v>
      </c>
      <c r="E199" s="71" t="s">
        <v>428</v>
      </c>
      <c r="F199" s="108" t="s">
        <v>956</v>
      </c>
      <c r="G199" s="108"/>
      <c r="H199" s="9">
        <f ca="1">SUMIF('서식(직납)'!B:L,'Summary(수주업로드용)'!A199,'서식(직납)'!J:J)</f>
        <v>12</v>
      </c>
      <c r="I199" s="28">
        <f ca="1">IF(H199="0","0",VLOOKUP(A199,'서식(직납)'!B:K,10,0))</f>
        <v>5271</v>
      </c>
      <c r="J199" s="7">
        <f t="shared" ca="1" si="7"/>
        <v>63252</v>
      </c>
      <c r="K199" s="4">
        <f>VLOOKUP(F199,'SUM(히아풀젤,폼 아이캐쳐붙인걸로)'!A:E,5,0)</f>
        <v>0</v>
      </c>
    </row>
    <row r="200" spans="1:13" ht="12" hidden="1" customHeight="1">
      <c r="A200" s="4" t="str">
        <f t="shared" si="6"/>
        <v>81010905ME90621GM5</v>
      </c>
      <c r="B200" s="9">
        <v>81010000</v>
      </c>
      <c r="C200" s="12"/>
      <c r="D200" s="12">
        <v>81010905</v>
      </c>
      <c r="E200" s="71" t="s">
        <v>428</v>
      </c>
      <c r="F200" s="108" t="s">
        <v>537</v>
      </c>
      <c r="G200" s="108"/>
      <c r="H200" s="9">
        <f ca="1">SUMIF('서식(직납)'!B:L,'Summary(수주업로드용)'!A200,'서식(직납)'!J:J)</f>
        <v>0</v>
      </c>
      <c r="I200" s="28" t="e">
        <f ca="1">IF(H200="0","0",VLOOKUP(A200,'서식(직납)'!B:K,10,0))</f>
        <v>#N/A</v>
      </c>
      <c r="J200" s="7" t="e">
        <f t="shared" ca="1" si="7"/>
        <v>#N/A</v>
      </c>
      <c r="K200" s="4" t="e">
        <f>VLOOKUP(F200,'SUM(히아풀젤,폼 아이캐쳐붙인걸로)'!A:E,5,0)</f>
        <v>#N/A</v>
      </c>
    </row>
    <row r="201" spans="1:13" ht="12" hidden="1" customHeight="1">
      <c r="A201" s="4" t="str">
        <f t="shared" si="6"/>
        <v>81010905ME90621GLK</v>
      </c>
      <c r="B201" s="9">
        <v>81010000</v>
      </c>
      <c r="C201" s="12"/>
      <c r="D201" s="12">
        <v>81010905</v>
      </c>
      <c r="E201" s="71" t="s">
        <v>428</v>
      </c>
      <c r="F201" s="108" t="s">
        <v>604</v>
      </c>
      <c r="G201" s="108"/>
      <c r="H201" s="9">
        <f ca="1">SUMIF('서식(직납)'!B:L,'Summary(수주업로드용)'!A201,'서식(직납)'!J:J)</f>
        <v>0</v>
      </c>
      <c r="I201" s="28" t="e">
        <f ca="1">IF(H201="0","0",VLOOKUP(A201,'서식(직납)'!B:K,10,0))</f>
        <v>#N/A</v>
      </c>
      <c r="J201" s="7" t="e">
        <f t="shared" ca="1" si="7"/>
        <v>#N/A</v>
      </c>
      <c r="K201" s="4" t="e">
        <f>VLOOKUP(F201,'SUM(히아풀젤,폼 아이캐쳐붙인걸로)'!A:E,5,0)</f>
        <v>#N/A</v>
      </c>
    </row>
    <row r="202" spans="1:13" ht="12" hidden="1" customHeight="1">
      <c r="A202" s="4" t="str">
        <f t="shared" si="6"/>
        <v>81010905ME90621GL6</v>
      </c>
      <c r="B202" s="9">
        <v>81010000</v>
      </c>
      <c r="C202" s="12"/>
      <c r="D202" s="12">
        <v>81010905</v>
      </c>
      <c r="E202" s="71" t="s">
        <v>428</v>
      </c>
      <c r="F202" s="108" t="s">
        <v>536</v>
      </c>
      <c r="G202" s="108"/>
      <c r="H202" s="9">
        <f ca="1">SUMIF('서식(직납)'!B:L,'Summary(수주업로드용)'!A202,'서식(직납)'!J:J)</f>
        <v>0</v>
      </c>
      <c r="I202" s="28" t="e">
        <f ca="1">IF(H202="0","0",VLOOKUP(A202,'서식(직납)'!B:K,10,0))</f>
        <v>#N/A</v>
      </c>
      <c r="J202" s="7" t="e">
        <f t="shared" ca="1" si="7"/>
        <v>#N/A</v>
      </c>
      <c r="K202" s="4" t="e">
        <f>VLOOKUP(F202,'SUM(히아풀젤,폼 아이캐쳐붙인걸로)'!A:E,5,0)</f>
        <v>#N/A</v>
      </c>
    </row>
    <row r="203" spans="1:13" ht="12" hidden="1" customHeight="1">
      <c r="A203" s="4" t="str">
        <f t="shared" si="6"/>
        <v>81010905ME90621GHV</v>
      </c>
      <c r="B203" s="9">
        <v>81010000</v>
      </c>
      <c r="C203" s="12"/>
      <c r="D203" s="12">
        <v>81010905</v>
      </c>
      <c r="E203" s="71" t="s">
        <v>428</v>
      </c>
      <c r="F203" s="108" t="s">
        <v>623</v>
      </c>
      <c r="G203" s="108"/>
      <c r="H203" s="9">
        <f ca="1">SUMIF('서식(직납)'!B:L,'Summary(수주업로드용)'!A203,'서식(직납)'!J:J)</f>
        <v>0</v>
      </c>
      <c r="I203" s="28" t="e">
        <f ca="1">IF(H203="0","0",VLOOKUP(A203,'서식(직납)'!B:K,10,0))</f>
        <v>#N/A</v>
      </c>
      <c r="J203" s="7" t="e">
        <f t="shared" ca="1" si="7"/>
        <v>#N/A</v>
      </c>
      <c r="K203" s="4" t="e">
        <f>VLOOKUP(F203,'SUM(히아풀젤,폼 아이캐쳐붙인걸로)'!A:E,5,0)</f>
        <v>#N/A</v>
      </c>
    </row>
    <row r="204" spans="1:13" ht="12" hidden="1" customHeight="1">
      <c r="A204" s="4" t="str">
        <f t="shared" si="6"/>
        <v>81010905ME00621H41</v>
      </c>
      <c r="B204" s="9">
        <v>81010000</v>
      </c>
      <c r="C204" s="12"/>
      <c r="D204" s="12">
        <v>81010905</v>
      </c>
      <c r="E204" s="71" t="s">
        <v>428</v>
      </c>
      <c r="F204" s="108" t="s">
        <v>667</v>
      </c>
      <c r="G204" s="108"/>
      <c r="H204" s="9">
        <f ca="1">SUMIF('서식(직납)'!B:L,'Summary(수주업로드용)'!A204,'서식(직납)'!J:J)</f>
        <v>0</v>
      </c>
      <c r="I204" s="28" t="e">
        <f ca="1">IF(H204="0","0",VLOOKUP(A204,'서식(직납)'!B:K,10,0))</f>
        <v>#N/A</v>
      </c>
      <c r="J204" s="7" t="e">
        <f t="shared" ca="1" si="7"/>
        <v>#N/A</v>
      </c>
      <c r="K204" s="4" t="e">
        <f>VLOOKUP(F204,'SUM(히아풀젤,폼 아이캐쳐붙인걸로)'!A:E,5,0)</f>
        <v>#N/A</v>
      </c>
    </row>
    <row r="205" spans="1:13" ht="12" hidden="1" customHeight="1">
      <c r="A205" s="4" t="str">
        <f t="shared" si="6"/>
        <v>81010905ME00621CM5</v>
      </c>
      <c r="B205" s="9">
        <v>81010000</v>
      </c>
      <c r="C205" s="12"/>
      <c r="D205" s="12">
        <v>81010905</v>
      </c>
      <c r="E205" s="71" t="s">
        <v>428</v>
      </c>
      <c r="F205" s="108" t="s">
        <v>620</v>
      </c>
      <c r="G205" s="108"/>
      <c r="H205" s="9">
        <f ca="1">SUMIF('서식(직납)'!B:L,'Summary(수주업로드용)'!A205,'서식(직납)'!J:J)</f>
        <v>0</v>
      </c>
      <c r="I205" s="28" t="e">
        <f ca="1">IF(H205="0","0",VLOOKUP(A205,'서식(직납)'!B:K,10,0))</f>
        <v>#N/A</v>
      </c>
      <c r="J205" s="7" t="e">
        <f t="shared" ca="1" si="7"/>
        <v>#N/A</v>
      </c>
      <c r="K205" s="4">
        <f>VLOOKUP(F205,'SUM(히아풀젤,폼 아이캐쳐붙인걸로)'!A:E,5,0)</f>
        <v>0</v>
      </c>
    </row>
    <row r="206" spans="1:13" ht="12" hidden="1" customHeight="1">
      <c r="A206" s="4" t="str">
        <f t="shared" si="6"/>
        <v>81010905ME90621GE1</v>
      </c>
      <c r="B206" s="9">
        <v>81010000</v>
      </c>
      <c r="C206" s="12"/>
      <c r="D206" s="12">
        <v>81010905</v>
      </c>
      <c r="E206" s="71" t="s">
        <v>428</v>
      </c>
      <c r="F206" s="108" t="s">
        <v>523</v>
      </c>
      <c r="G206" s="108"/>
      <c r="H206" s="9">
        <f ca="1">SUMIF('서식(직납)'!B:L,'Summary(수주업로드용)'!A206,'서식(직납)'!J:J)</f>
        <v>0</v>
      </c>
      <c r="I206" s="28" t="e">
        <f ca="1">IF(H206="0","0",VLOOKUP(A206,'서식(직납)'!B:K,10,0))</f>
        <v>#N/A</v>
      </c>
      <c r="J206" s="7" t="e">
        <f t="shared" ca="1" si="7"/>
        <v>#N/A</v>
      </c>
      <c r="K206" s="4" t="e">
        <f>VLOOKUP(F206,'SUM(히아풀젤,폼 아이캐쳐붙인걸로)'!A:E,5,0)</f>
        <v>#N/A</v>
      </c>
      <c r="M206" s="4" t="str">
        <f>VLOOKUP(F210,제품명!$D:$E,2,0)</f>
        <v>립아이스 립밤 스트로베리 (2021) (12입)</v>
      </c>
    </row>
    <row r="207" spans="1:13" ht="12" hidden="1" customHeight="1">
      <c r="A207" s="4" t="str">
        <f t="shared" si="6"/>
        <v>81010905ME90621GCK</v>
      </c>
      <c r="B207" s="9">
        <v>81010000</v>
      </c>
      <c r="C207" s="12"/>
      <c r="D207" s="12">
        <v>81010905</v>
      </c>
      <c r="E207" s="71" t="s">
        <v>428</v>
      </c>
      <c r="F207" s="108" t="s">
        <v>636</v>
      </c>
      <c r="G207" s="108"/>
      <c r="H207" s="9">
        <f ca="1">SUMIF('서식(직납)'!B:L,'Summary(수주업로드용)'!A207,'서식(직납)'!J:J)</f>
        <v>0</v>
      </c>
      <c r="I207" s="28" t="e">
        <f ca="1">IF(H207="0","0",VLOOKUP(A207,'서식(직납)'!B:K,10,0))</f>
        <v>#N/A</v>
      </c>
      <c r="J207" s="7" t="e">
        <f t="shared" ca="1" si="7"/>
        <v>#N/A</v>
      </c>
      <c r="K207" s="4" t="e">
        <f>VLOOKUP(F207,'SUM(히아풀젤,폼 아이캐쳐붙인걸로)'!A:E,5,0)</f>
        <v>#N/A</v>
      </c>
      <c r="M207" s="4" t="str">
        <f>VLOOKUP(F211,제품명!$D:$E,2,0)</f>
        <v>립아이스 립밤 레몬 (2021) (12입)</v>
      </c>
    </row>
    <row r="208" spans="1:13" ht="12" hidden="1" customHeight="1">
      <c r="A208" s="4" t="str">
        <f t="shared" si="6"/>
        <v>81010905ME00621SS1</v>
      </c>
      <c r="B208" s="9">
        <v>81010000</v>
      </c>
      <c r="C208" s="12"/>
      <c r="D208" s="12">
        <v>81010905</v>
      </c>
      <c r="E208" s="71" t="s">
        <v>428</v>
      </c>
      <c r="F208" s="108" t="s">
        <v>524</v>
      </c>
      <c r="G208" s="108"/>
      <c r="H208" s="9">
        <f ca="1">SUMIF('서식(직납)'!B:L,'Summary(수주업로드용)'!A208,'서식(직납)'!J:J)</f>
        <v>0</v>
      </c>
      <c r="I208" s="28" t="e">
        <f ca="1">IF(H208="0","0",VLOOKUP(A208,'서식(직납)'!B:K,10,0))</f>
        <v>#N/A</v>
      </c>
      <c r="J208" s="7" t="e">
        <f t="shared" ca="1" si="7"/>
        <v>#N/A</v>
      </c>
      <c r="K208" s="4" t="e">
        <f>VLOOKUP(F208,'SUM(히아풀젤,폼 아이캐쳐붙인걸로)'!A:E,5,0)</f>
        <v>#N/A</v>
      </c>
      <c r="M208" s="4" t="str">
        <f>VLOOKUP(F212,제품명!$D:$E,2,0)</f>
        <v>립아이스 립밤 그레이프프루트 티 (2021) (12입)</v>
      </c>
    </row>
    <row r="209" spans="1:15" ht="12" hidden="1" customHeight="1">
      <c r="A209" s="4" t="str">
        <f t="shared" si="6"/>
        <v>81010905ME00621GP1</v>
      </c>
      <c r="B209" s="9">
        <v>81010000</v>
      </c>
      <c r="C209" s="12"/>
      <c r="D209" s="12">
        <v>81010905</v>
      </c>
      <c r="E209" s="71" t="s">
        <v>428</v>
      </c>
      <c r="F209" s="108" t="s">
        <v>594</v>
      </c>
      <c r="G209" s="108"/>
      <c r="H209" s="9">
        <f ca="1">SUMIF('서식(직납)'!B:L,'Summary(수주업로드용)'!A209,'서식(직납)'!J:J)</f>
        <v>0</v>
      </c>
      <c r="I209" s="28" t="e">
        <f ca="1">IF(H209="0","0",VLOOKUP(A209,'서식(직납)'!B:K,10,0))</f>
        <v>#N/A</v>
      </c>
      <c r="J209" s="7" t="e">
        <f t="shared" ca="1" si="7"/>
        <v>#N/A</v>
      </c>
      <c r="K209" s="4" t="e">
        <f>VLOOKUP(F209,'SUM(히아풀젤,폼 아이캐쳐붙인걸로)'!A:E,5,0)</f>
        <v>#N/A</v>
      </c>
    </row>
    <row r="210" spans="1:15" ht="12" hidden="1" customHeight="1">
      <c r="A210" s="4" t="str">
        <f t="shared" si="6"/>
        <v>81010905ME90521GS2</v>
      </c>
      <c r="B210" s="9">
        <v>81010000</v>
      </c>
      <c r="C210" s="12"/>
      <c r="D210" s="12">
        <v>81010905</v>
      </c>
      <c r="E210" s="71" t="s">
        <v>428</v>
      </c>
      <c r="F210" s="107" t="s">
        <v>916</v>
      </c>
      <c r="G210" s="107"/>
      <c r="H210" s="9">
        <f ca="1">SUMIF('서식(직납)'!B:L,'Summary(수주업로드용)'!A210,'서식(직납)'!J:J)</f>
        <v>0</v>
      </c>
      <c r="I210" s="28" t="e">
        <f ca="1">IF(H210="0","0",VLOOKUP(A210,'서식(직납)'!B:K,10,0))</f>
        <v>#N/A</v>
      </c>
      <c r="J210" s="7" t="e">
        <f t="shared" ca="1" si="7"/>
        <v>#N/A</v>
      </c>
      <c r="K210" s="151" t="e">
        <f ca="1">ROUND(J210*0.1,0)</f>
        <v>#N/A</v>
      </c>
    </row>
    <row r="211" spans="1:15" ht="12" hidden="1" customHeight="1">
      <c r="A211" s="4" t="str">
        <f t="shared" si="6"/>
        <v>81010905ME90521LD9</v>
      </c>
      <c r="B211" s="9">
        <v>81010000</v>
      </c>
      <c r="C211" s="12"/>
      <c r="D211" s="12">
        <v>81010905</v>
      </c>
      <c r="E211" s="71" t="s">
        <v>428</v>
      </c>
      <c r="F211" s="107" t="s">
        <v>918</v>
      </c>
      <c r="G211" s="107"/>
      <c r="H211" s="9">
        <f ca="1">SUMIF('서식(직납)'!B:L,'Summary(수주업로드용)'!A211,'서식(직납)'!J:J)</f>
        <v>0</v>
      </c>
      <c r="I211" s="28" t="e">
        <f ca="1">IF(H211="0","0",VLOOKUP(A211,'서식(직납)'!B:K,10,0))</f>
        <v>#N/A</v>
      </c>
      <c r="J211" s="7" t="e">
        <f t="shared" ca="1" si="7"/>
        <v>#N/A</v>
      </c>
      <c r="K211" s="4">
        <f>VLOOKUP(F211,'SUM(히아풀젤,폼 아이캐쳐붙인걸로)'!A:E,5,0)</f>
        <v>0</v>
      </c>
    </row>
    <row r="212" spans="1:15" ht="12" hidden="1" customHeight="1">
      <c r="A212" s="4" t="str">
        <f t="shared" si="6"/>
        <v>81010905ME90521GT2</v>
      </c>
      <c r="B212" s="9">
        <v>81010000</v>
      </c>
      <c r="C212" s="12"/>
      <c r="D212" s="12">
        <v>81010905</v>
      </c>
      <c r="E212" s="71" t="s">
        <v>428</v>
      </c>
      <c r="F212" s="107" t="s">
        <v>912</v>
      </c>
      <c r="G212" s="107"/>
      <c r="H212" s="9">
        <f ca="1">SUMIF('서식(직납)'!B:L,'Summary(수주업로드용)'!A212,'서식(직납)'!J:J)</f>
        <v>0</v>
      </c>
      <c r="I212" s="28" t="e">
        <f ca="1">IF(H212="0","0",VLOOKUP(A212,'서식(직납)'!B:K,10,0))</f>
        <v>#N/A</v>
      </c>
      <c r="J212" s="7" t="e">
        <f t="shared" ca="1" si="7"/>
        <v>#N/A</v>
      </c>
      <c r="K212" s="151" t="e">
        <f ca="1">ROUND(J212*0.1,0)</f>
        <v>#N/A</v>
      </c>
    </row>
    <row r="213" spans="1:15" ht="12" hidden="1" customHeight="1">
      <c r="A213" s="4" t="str">
        <f t="shared" si="6"/>
        <v>81010905ME90521OC6</v>
      </c>
      <c r="B213" s="9">
        <v>81010000</v>
      </c>
      <c r="C213" s="12"/>
      <c r="D213" s="12">
        <v>81010905</v>
      </c>
      <c r="E213" s="71" t="s">
        <v>428</v>
      </c>
      <c r="F213" s="107" t="s">
        <v>572</v>
      </c>
      <c r="G213" s="107"/>
      <c r="H213" s="9">
        <f ca="1">SUMIF('서식(직납)'!B:L,'Summary(수주업로드용)'!A213,'서식(직납)'!J:J)</f>
        <v>0</v>
      </c>
      <c r="I213" s="28" t="e">
        <f ca="1">IF(H213="0","0",VLOOKUP(A213,'서식(직납)'!B:K,10,0))</f>
        <v>#N/A</v>
      </c>
      <c r="J213" s="7" t="e">
        <f t="shared" ca="1" si="7"/>
        <v>#N/A</v>
      </c>
      <c r="K213" s="4" t="e">
        <f>VLOOKUP(F213,'SUM(히아풀젤,폼 아이캐쳐붙인걸로)'!A:E,5,0)</f>
        <v>#N/A</v>
      </c>
      <c r="M213" s="4" t="str">
        <f>VLOOKUP(F217,제품명!$D:$E,2,0)</f>
        <v>딥모이스트 멘솔</v>
      </c>
    </row>
    <row r="214" spans="1:15" ht="12" hidden="1" customHeight="1">
      <c r="A214" s="4" t="str">
        <f t="shared" si="6"/>
        <v>81010905ME90521OC5</v>
      </c>
      <c r="B214" s="9">
        <v>81010000</v>
      </c>
      <c r="C214" s="12"/>
      <c r="D214" s="12">
        <v>81010905</v>
      </c>
      <c r="E214" s="71" t="s">
        <v>428</v>
      </c>
      <c r="F214" s="107" t="s">
        <v>571</v>
      </c>
      <c r="G214" s="107"/>
      <c r="H214" s="9">
        <f ca="1">SUMIF('서식(직납)'!B:L,'Summary(수주업로드용)'!A214,'서식(직납)'!J:J)</f>
        <v>0</v>
      </c>
      <c r="I214" s="28" t="e">
        <f ca="1">IF(H214="0","0",VLOOKUP(A214,'서식(직납)'!B:K,10,0))</f>
        <v>#N/A</v>
      </c>
      <c r="J214" s="7" t="e">
        <f t="shared" ca="1" si="7"/>
        <v>#N/A</v>
      </c>
      <c r="K214" s="4" t="e">
        <f>VLOOKUP(F214,'SUM(히아풀젤,폼 아이캐쳐붙인걸로)'!A:E,5,0)</f>
        <v>#N/A</v>
      </c>
      <c r="M214" s="4" t="str">
        <f>VLOOKUP(F218,제품명!$D:$E,2,0)</f>
        <v>딥모이스트 내추럴</v>
      </c>
    </row>
    <row r="215" spans="1:15" ht="12" hidden="1" customHeight="1">
      <c r="A215" s="4" t="str">
        <f t="shared" si="6"/>
        <v>81010905ME90521OC4</v>
      </c>
      <c r="B215" s="9">
        <v>81010000</v>
      </c>
      <c r="C215" s="12"/>
      <c r="D215" s="12">
        <v>81010905</v>
      </c>
      <c r="E215" s="71" t="s">
        <v>428</v>
      </c>
      <c r="F215" s="107" t="s">
        <v>570</v>
      </c>
      <c r="G215" s="107"/>
      <c r="H215" s="9">
        <f ca="1">SUMIF('서식(직납)'!B:L,'Summary(수주업로드용)'!A215,'서식(직납)'!J:J)</f>
        <v>0</v>
      </c>
      <c r="I215" s="28" t="e">
        <f ca="1">IF(H215="0","0",VLOOKUP(A215,'서식(직납)'!B:K,10,0))</f>
        <v>#N/A</v>
      </c>
      <c r="J215" s="7" t="e">
        <f t="shared" ca="1" si="7"/>
        <v>#N/A</v>
      </c>
      <c r="K215" s="4" t="e">
        <f>VLOOKUP(F215,'SUM(히아풀젤,폼 아이캐쳐붙인걸로)'!A:E,5,0)</f>
        <v>#N/A</v>
      </c>
      <c r="M215" s="4" t="str">
        <f>VLOOKUP(F219,제품명!$D:$E,2,0)</f>
        <v>립아이스 틴티드 칼라</v>
      </c>
    </row>
    <row r="216" spans="1:15" ht="12" hidden="1" customHeight="1">
      <c r="A216" s="4" t="str">
        <f t="shared" si="6"/>
        <v>81010905ME90521LR1</v>
      </c>
      <c r="B216" s="9">
        <v>81010000</v>
      </c>
      <c r="C216" s="12"/>
      <c r="D216" s="12">
        <v>81010905</v>
      </c>
      <c r="E216" s="71" t="s">
        <v>428</v>
      </c>
      <c r="F216" s="107" t="s">
        <v>551</v>
      </c>
      <c r="G216" s="107"/>
      <c r="H216" s="9">
        <f ca="1">SUMIF('서식(직납)'!B:L,'Summary(수주업로드용)'!A216,'서식(직납)'!J:J)</f>
        <v>0</v>
      </c>
      <c r="I216" s="28" t="e">
        <f ca="1">IF(H216="0","0",VLOOKUP(A216,'서식(직납)'!B:K,10,0))</f>
        <v>#N/A</v>
      </c>
      <c r="J216" s="7" t="e">
        <f t="shared" ca="1" si="7"/>
        <v>#N/A</v>
      </c>
      <c r="K216" s="4" t="e">
        <f>VLOOKUP(F216,'SUM(히아풀젤,폼 아이캐쳐붙인걸로)'!A:E,5,0)</f>
        <v>#N/A</v>
      </c>
      <c r="M216" s="4" t="str">
        <f>VLOOKUP(F220,제품명!$D:$E,2,0)</f>
        <v>매직칼라 딸기</v>
      </c>
    </row>
    <row r="217" spans="1:15" ht="13.5" hidden="1" customHeight="1">
      <c r="A217" s="4" t="str">
        <f t="shared" si="6"/>
        <v>81010905ME90521EL9</v>
      </c>
      <c r="B217" s="9">
        <v>81010000</v>
      </c>
      <c r="C217" s="12"/>
      <c r="D217" s="12">
        <v>81010905</v>
      </c>
      <c r="E217" s="71" t="s">
        <v>428</v>
      </c>
      <c r="F217" s="107" t="s">
        <v>331</v>
      </c>
      <c r="G217" s="107"/>
      <c r="H217" s="9">
        <f ca="1">SUMIF('서식(직납)'!B:L,'Summary(수주업로드용)'!A217,'서식(직납)'!J:J)</f>
        <v>0</v>
      </c>
      <c r="I217" s="28" t="e">
        <f ca="1">IF(H217="0","0",VLOOKUP(A217,'서식(직납)'!B:K,10,0))</f>
        <v>#N/A</v>
      </c>
      <c r="J217" s="7" t="e">
        <f t="shared" ca="1" si="7"/>
        <v>#N/A</v>
      </c>
      <c r="K217" s="4">
        <f>VLOOKUP(F217,'SUM(히아풀젤,폼 아이캐쳐붙인걸로)'!A:E,5,0)</f>
        <v>0</v>
      </c>
      <c r="M217" s="6" t="str">
        <f>VLOOKUP(F221,제품명!$D:$E,2,0)</f>
        <v>메디케이티드 립밤</v>
      </c>
      <c r="O217" s="155"/>
    </row>
    <row r="218" spans="1:15" ht="13.5" hidden="1" customHeight="1">
      <c r="A218" s="4" t="str">
        <f t="shared" si="6"/>
        <v>81010905ME90521EL8</v>
      </c>
      <c r="B218" s="9">
        <v>81010000</v>
      </c>
      <c r="C218" s="12"/>
      <c r="D218" s="12">
        <v>81010905</v>
      </c>
      <c r="E218" s="71" t="s">
        <v>428</v>
      </c>
      <c r="F218" s="107" t="s">
        <v>340</v>
      </c>
      <c r="G218" s="107"/>
      <c r="H218" s="9">
        <f ca="1">SUMIF('서식(직납)'!B:L,'Summary(수주업로드용)'!A218,'서식(직납)'!J:J)</f>
        <v>0</v>
      </c>
      <c r="I218" s="28" t="e">
        <f ca="1">IF(H218="0","0",VLOOKUP(A218,'서식(직납)'!B:K,10,0))</f>
        <v>#N/A</v>
      </c>
      <c r="J218" s="7" t="e">
        <f t="shared" ca="1" si="7"/>
        <v>#N/A</v>
      </c>
      <c r="K218" s="4">
        <f>VLOOKUP(F218,'SUM(히아풀젤,폼 아이캐쳐붙인걸로)'!A:E,5,0)</f>
        <v>0</v>
      </c>
    </row>
    <row r="219" spans="1:15" ht="12" hidden="1" customHeight="1">
      <c r="A219" s="4" t="str">
        <f t="shared" si="6"/>
        <v>81010905ME90521EL7</v>
      </c>
      <c r="B219" s="9">
        <v>81010000</v>
      </c>
      <c r="C219" s="12"/>
      <c r="D219" s="12">
        <v>81010905</v>
      </c>
      <c r="E219" s="71" t="s">
        <v>428</v>
      </c>
      <c r="F219" s="107" t="s">
        <v>372</v>
      </c>
      <c r="G219" s="107"/>
      <c r="H219" s="9">
        <f ca="1">SUMIF('서식(직납)'!B:L,'Summary(수주업로드용)'!A219,'서식(직납)'!J:J)</f>
        <v>0</v>
      </c>
      <c r="I219" s="28" t="e">
        <f ca="1">IF(H219="0","0",VLOOKUP(A219,'서식(직납)'!B:K,10,0))</f>
        <v>#N/A</v>
      </c>
      <c r="J219" s="7" t="e">
        <f t="shared" ca="1" si="7"/>
        <v>#N/A</v>
      </c>
      <c r="K219" s="4">
        <f>VLOOKUP(F219,'SUM(히아풀젤,폼 아이캐쳐붙인걸로)'!A:E,5,0)</f>
        <v>0</v>
      </c>
      <c r="M219" s="4" t="str">
        <f>VLOOKUP(F223,제품명!$D:$E,2,0)</f>
        <v>메디케이티드립젤트윈팩3.5g*2</v>
      </c>
    </row>
    <row r="220" spans="1:15" ht="12" hidden="1" customHeight="1">
      <c r="A220" s="4" t="str">
        <f t="shared" si="6"/>
        <v>81010905ME90521EL6</v>
      </c>
      <c r="B220" s="9">
        <v>81010000</v>
      </c>
      <c r="C220" s="12"/>
      <c r="D220" s="12">
        <v>81010905</v>
      </c>
      <c r="E220" s="71" t="s">
        <v>428</v>
      </c>
      <c r="F220" s="107" t="s">
        <v>371</v>
      </c>
      <c r="G220" s="107"/>
      <c r="H220" s="9">
        <f ca="1">SUMIF('서식(직납)'!B:L,'Summary(수주업로드용)'!A220,'서식(직납)'!J:J)</f>
        <v>0</v>
      </c>
      <c r="I220" s="28" t="e">
        <f ca="1">IF(H220="0","0",VLOOKUP(A220,'서식(직납)'!B:K,10,0))</f>
        <v>#N/A</v>
      </c>
      <c r="J220" s="7" t="e">
        <f t="shared" ca="1" si="7"/>
        <v>#N/A</v>
      </c>
      <c r="K220" s="151" t="e">
        <f ca="1">ROUND(J220*0.1,0)</f>
        <v>#N/A</v>
      </c>
      <c r="M220" s="4" t="str">
        <f>VLOOKUP(F224,제품명!$D:$E,2,0)</f>
        <v>립아이스 틴티드 칼라 스칼렛</v>
      </c>
    </row>
    <row r="221" spans="1:15" ht="12" hidden="1" customHeight="1">
      <c r="A221" s="4" t="str">
        <f t="shared" si="6"/>
        <v>81010905ME90521EL4</v>
      </c>
      <c r="B221" s="9">
        <v>81010000</v>
      </c>
      <c r="C221" s="12"/>
      <c r="D221" s="12">
        <v>81010905</v>
      </c>
      <c r="E221" s="71" t="s">
        <v>428</v>
      </c>
      <c r="F221" s="107" t="s">
        <v>398</v>
      </c>
      <c r="G221" s="107"/>
      <c r="H221" s="9">
        <f ca="1">SUMIF('서식(직납)'!B:L,'Summary(수주업로드용)'!A221,'서식(직납)'!J:J)</f>
        <v>0</v>
      </c>
      <c r="I221" s="28" t="e">
        <f ca="1">IF(H221="0","0",VLOOKUP(A221,'서식(직납)'!B:K,10,0))</f>
        <v>#N/A</v>
      </c>
      <c r="J221" s="7" t="e">
        <f t="shared" ca="1" si="7"/>
        <v>#N/A</v>
      </c>
      <c r="K221" s="155"/>
    </row>
    <row r="222" spans="1:15" ht="12" hidden="1" customHeight="1">
      <c r="A222" s="4" t="str">
        <f t="shared" si="6"/>
        <v>81010905ME90521EL0</v>
      </c>
      <c r="B222" s="9">
        <v>81010000</v>
      </c>
      <c r="C222" s="12"/>
      <c r="D222" s="12">
        <v>81010905</v>
      </c>
      <c r="E222" s="71" t="s">
        <v>428</v>
      </c>
      <c r="F222" s="107" t="s">
        <v>328</v>
      </c>
      <c r="G222" s="107"/>
      <c r="H222" s="9">
        <f ca="1">SUMIF('서식(직납)'!B:L,'Summary(수주업로드용)'!A222,'서식(직납)'!J:J)</f>
        <v>0</v>
      </c>
      <c r="I222" s="28" t="e">
        <f ca="1">IF(H222="0","0",VLOOKUP(A222,'서식(직납)'!B:K,10,0))</f>
        <v>#N/A</v>
      </c>
      <c r="J222" s="7" t="e">
        <f t="shared" ca="1" si="7"/>
        <v>#N/A</v>
      </c>
      <c r="K222" s="4" t="e">
        <f>VLOOKUP(F222,'SUM(히아풀젤,폼 아이캐쳐붙인걸로)'!A:E,5,0)</f>
        <v>#N/A</v>
      </c>
    </row>
    <row r="223" spans="1:15" ht="12" hidden="1" customHeight="1">
      <c r="A223" s="4" t="str">
        <f t="shared" si="6"/>
        <v>81010905ME90521E18</v>
      </c>
      <c r="B223" s="9">
        <v>81010000</v>
      </c>
      <c r="C223" s="12"/>
      <c r="D223" s="12">
        <v>81010905</v>
      </c>
      <c r="E223" s="71" t="s">
        <v>428</v>
      </c>
      <c r="F223" s="107" t="s">
        <v>676</v>
      </c>
      <c r="G223" s="107"/>
      <c r="H223" s="9">
        <f ca="1">SUMIF('서식(직납)'!B:L,'Summary(수주업로드용)'!A223,'서식(직납)'!J:J)</f>
        <v>0</v>
      </c>
      <c r="I223" s="28" t="e">
        <f ca="1">IF(H223="0","0",VLOOKUP(A223,'서식(직납)'!B:K,10,0))</f>
        <v>#N/A</v>
      </c>
      <c r="J223" s="7" t="e">
        <f t="shared" ca="1" si="7"/>
        <v>#N/A</v>
      </c>
      <c r="K223" s="151" t="e">
        <f ca="1">ROUND(J223*0.1,0)</f>
        <v>#N/A</v>
      </c>
    </row>
    <row r="224" spans="1:15" ht="12" hidden="1" customHeight="1">
      <c r="A224" s="4" t="str">
        <f t="shared" si="6"/>
        <v>81010905ME90521E13</v>
      </c>
      <c r="B224" s="9">
        <v>81010000</v>
      </c>
      <c r="C224" s="12"/>
      <c r="D224" s="12">
        <v>81010905</v>
      </c>
      <c r="E224" s="71" t="s">
        <v>428</v>
      </c>
      <c r="F224" s="107" t="s">
        <v>379</v>
      </c>
      <c r="G224" s="107"/>
      <c r="H224" s="9">
        <f ca="1">SUMIF('서식(직납)'!B:L,'Summary(수주업로드용)'!A224,'서식(직납)'!J:J)</f>
        <v>0</v>
      </c>
      <c r="I224" s="28" t="e">
        <f ca="1">IF(H224="0","0",VLOOKUP(A224,'서식(직납)'!B:K,10,0))</f>
        <v>#N/A</v>
      </c>
      <c r="J224" s="7" t="e">
        <f t="shared" ca="1" si="7"/>
        <v>#N/A</v>
      </c>
      <c r="K224" s="4" t="e">
        <f>VLOOKUP(F224,'SUM(히아풀젤,폼 아이캐쳐붙인걸로)'!A:E,5,0)</f>
        <v>#N/A</v>
      </c>
    </row>
    <row r="225" spans="1:13" ht="12" hidden="1" customHeight="1">
      <c r="A225" s="4" t="str">
        <f t="shared" si="6"/>
        <v>81010905ME90521CC4</v>
      </c>
      <c r="B225" s="9">
        <v>81010000</v>
      </c>
      <c r="C225" s="12"/>
      <c r="D225" s="12">
        <v>81010905</v>
      </c>
      <c r="E225" s="71" t="s">
        <v>428</v>
      </c>
      <c r="F225" s="107" t="s">
        <v>516</v>
      </c>
      <c r="G225" s="107"/>
      <c r="H225" s="9">
        <f ca="1">SUMIF('서식(직납)'!B:L,'Summary(수주업로드용)'!A225,'서식(직납)'!J:J)</f>
        <v>0</v>
      </c>
      <c r="I225" s="28" t="e">
        <f ca="1">IF(H225="0","0",VLOOKUP(A225,'서식(직납)'!B:K,10,0))</f>
        <v>#N/A</v>
      </c>
      <c r="J225" s="7" t="e">
        <f t="shared" ca="1" si="7"/>
        <v>#N/A</v>
      </c>
      <c r="K225" s="4" t="e">
        <f>VLOOKUP(F225,'SUM(히아풀젤,폼 아이캐쳐붙인걸로)'!A:E,5,0)</f>
        <v>#N/A</v>
      </c>
    </row>
    <row r="226" spans="1:13" ht="12" hidden="1" customHeight="1">
      <c r="A226" s="4" t="str">
        <f t="shared" si="6"/>
        <v>81010905ME90521CC2</v>
      </c>
      <c r="B226" s="9">
        <v>81010000</v>
      </c>
      <c r="C226" s="12"/>
      <c r="D226" s="12">
        <v>81010905</v>
      </c>
      <c r="E226" s="71" t="s">
        <v>428</v>
      </c>
      <c r="F226" s="107" t="s">
        <v>514</v>
      </c>
      <c r="G226" s="107"/>
      <c r="H226" s="9">
        <f ca="1">SUMIF('서식(직납)'!B:L,'Summary(수주업로드용)'!A226,'서식(직납)'!J:J)</f>
        <v>0</v>
      </c>
      <c r="I226" s="28" t="e">
        <f ca="1">IF(H226="0","0",VLOOKUP(A226,'서식(직납)'!B:K,10,0))</f>
        <v>#N/A</v>
      </c>
      <c r="J226" s="7" t="e">
        <f t="shared" ca="1" si="7"/>
        <v>#N/A</v>
      </c>
      <c r="K226" s="4" t="e">
        <f>VLOOKUP(F226,'SUM(히아풀젤,폼 아이캐쳐붙인걸로)'!A:E,5,0)</f>
        <v>#N/A</v>
      </c>
    </row>
    <row r="227" spans="1:13" ht="12" hidden="1" customHeight="1">
      <c r="A227" s="4" t="str">
        <f t="shared" si="6"/>
        <v>81010905ME90521CC1</v>
      </c>
      <c r="B227" s="9">
        <v>81010000</v>
      </c>
      <c r="C227" s="12"/>
      <c r="D227" s="12">
        <v>81010905</v>
      </c>
      <c r="E227" s="71" t="s">
        <v>428</v>
      </c>
      <c r="F227" s="107" t="s">
        <v>512</v>
      </c>
      <c r="G227" s="107"/>
      <c r="H227" s="9">
        <f ca="1">SUMIF('서식(직납)'!B:L,'Summary(수주업로드용)'!A227,'서식(직납)'!J:J)</f>
        <v>0</v>
      </c>
      <c r="I227" s="28" t="e">
        <f ca="1">IF(H227="0","0",VLOOKUP(A227,'서식(직납)'!B:K,10,0))</f>
        <v>#N/A</v>
      </c>
      <c r="J227" s="7" t="e">
        <f t="shared" ca="1" si="7"/>
        <v>#N/A</v>
      </c>
      <c r="K227" s="4" t="e">
        <f>VLOOKUP(F227,'SUM(히아풀젤,폼 아이캐쳐붙인걸로)'!A:E,5,0)</f>
        <v>#N/A</v>
      </c>
    </row>
    <row r="228" spans="1:13" ht="12" hidden="1" customHeight="1">
      <c r="A228" s="4" t="str">
        <f t="shared" si="6"/>
        <v>81010905ME00421301</v>
      </c>
      <c r="B228" s="9">
        <v>81010000</v>
      </c>
      <c r="C228" s="12"/>
      <c r="D228" s="12">
        <v>81010905</v>
      </c>
      <c r="E228" s="71" t="s">
        <v>428</v>
      </c>
      <c r="F228" s="108" t="s">
        <v>1038</v>
      </c>
      <c r="G228" s="108"/>
      <c r="H228" s="9">
        <f ca="1">SUMIF('서식(직납)'!B:L,'Summary(수주업로드용)'!A228,'서식(직납)'!J:J)</f>
        <v>0</v>
      </c>
      <c r="I228" s="28" t="e">
        <f ca="1">IF(H228="0","0",VLOOKUP(A228,'서식(직납)'!B:K,10,0))</f>
        <v>#N/A</v>
      </c>
      <c r="J228" s="7" t="e">
        <f t="shared" ca="1" si="7"/>
        <v>#N/A</v>
      </c>
      <c r="K228" s="4" t="e">
        <f>VLOOKUP(F228,'SUM(히아풀젤,폼 아이캐쳐붙인걸로)'!A:E,5,0)</f>
        <v>#N/A</v>
      </c>
    </row>
    <row r="229" spans="1:13" ht="12" customHeight="1">
      <c r="A229" s="4" t="str">
        <f t="shared" si="6"/>
        <v>81010905ME00421186</v>
      </c>
      <c r="B229" s="9">
        <v>81010000</v>
      </c>
      <c r="C229" s="12"/>
      <c r="D229" s="12">
        <v>81010905</v>
      </c>
      <c r="E229" s="71" t="s">
        <v>428</v>
      </c>
      <c r="F229" s="108" t="s">
        <v>703</v>
      </c>
      <c r="G229" s="108"/>
      <c r="H229" s="9">
        <f ca="1">SUMIF('서식(직납)'!B:L,'Summary(수주업로드용)'!A229,'서식(직납)'!J:J)</f>
        <v>40</v>
      </c>
      <c r="I229" s="28">
        <f ca="1">IF(H229="0","0",VLOOKUP(A229,'서식(직납)'!B:K,10,0))</f>
        <v>2326</v>
      </c>
      <c r="J229" s="7">
        <f t="shared" ca="1" si="7"/>
        <v>93040</v>
      </c>
      <c r="K229" s="4" t="e">
        <f>VLOOKUP(F229,'SUM(히아풀젤,폼 아이캐쳐붙인걸로)'!A:E,5,0)</f>
        <v>#N/A</v>
      </c>
    </row>
    <row r="230" spans="1:13" ht="12" hidden="1" customHeight="1">
      <c r="A230" s="4" t="str">
        <f t="shared" si="6"/>
        <v>81010905ME00421151</v>
      </c>
      <c r="B230" s="9">
        <v>81010000</v>
      </c>
      <c r="C230" s="12"/>
      <c r="D230" s="12">
        <v>81010905</v>
      </c>
      <c r="E230" s="71" t="s">
        <v>428</v>
      </c>
      <c r="F230" s="108" t="s">
        <v>543</v>
      </c>
      <c r="G230" s="108"/>
      <c r="H230" s="9">
        <f ca="1">SUMIF('서식(직납)'!B:L,'Summary(수주업로드용)'!A230,'서식(직납)'!J:J)</f>
        <v>0</v>
      </c>
      <c r="I230" s="28" t="e">
        <f ca="1">IF(H230="0","0",VLOOKUP(A230,'서식(직납)'!B:K,10,0))</f>
        <v>#N/A</v>
      </c>
      <c r="J230" s="7" t="e">
        <f t="shared" ca="1" si="7"/>
        <v>#N/A</v>
      </c>
      <c r="K230" s="4" t="e">
        <f>VLOOKUP(F230,'SUM(히아풀젤,폼 아이캐쳐붙인걸로)'!A:E,5,0)</f>
        <v>#N/A</v>
      </c>
    </row>
    <row r="231" spans="1:13" ht="12" hidden="1" customHeight="1">
      <c r="A231" s="4" t="str">
        <f t="shared" si="6"/>
        <v>81010905ME91221HPN</v>
      </c>
      <c r="B231" s="9">
        <v>81010000</v>
      </c>
      <c r="C231" s="12"/>
      <c r="D231" s="12">
        <v>81010905</v>
      </c>
      <c r="E231" s="71" t="s">
        <v>428</v>
      </c>
      <c r="F231" s="9" t="s">
        <v>540</v>
      </c>
      <c r="H231" s="9">
        <f ca="1">SUMIF('서식(직납)'!B:L,'Summary(수주업로드용)'!A231,'서식(직납)'!J:J)</f>
        <v>0</v>
      </c>
      <c r="I231" s="28" t="e">
        <f ca="1">IF(H231="0","0",VLOOKUP(A231,'서식(직납)'!B:K,10,0))</f>
        <v>#N/A</v>
      </c>
      <c r="J231" s="7" t="e">
        <f t="shared" ca="1" si="7"/>
        <v>#N/A</v>
      </c>
      <c r="K231" s="4" t="e">
        <f>VLOOKUP(F231,'SUM(히아풀젤,폼 아이캐쳐붙인걸로)'!A:E,5,0)</f>
        <v>#N/A</v>
      </c>
    </row>
    <row r="232" spans="1:13" ht="12" hidden="1" customHeight="1">
      <c r="A232" s="4" t="str">
        <f t="shared" si="6"/>
        <v>81010905ME90621CPS</v>
      </c>
      <c r="B232" s="9">
        <v>81010000</v>
      </c>
      <c r="C232" s="12"/>
      <c r="D232" s="12">
        <v>81010905</v>
      </c>
      <c r="E232" s="71" t="s">
        <v>428</v>
      </c>
      <c r="F232" s="9" t="s">
        <v>547</v>
      </c>
      <c r="H232" s="9">
        <f ca="1">SUMIF('서식(직납)'!B:L,'Summary(수주업로드용)'!A232,'서식(직납)'!J:J)</f>
        <v>0</v>
      </c>
      <c r="I232" s="28" t="e">
        <f ca="1">IF(H232="0","0",VLOOKUP(A232,'서식(직납)'!B:K,10,0))</f>
        <v>#N/A</v>
      </c>
      <c r="J232" s="7" t="e">
        <f t="shared" ca="1" si="7"/>
        <v>#N/A</v>
      </c>
      <c r="K232" s="4" t="e">
        <f>VLOOKUP(F232,'SUM(히아풀젤,폼 아이캐쳐붙인걸로)'!A:E,5,0)</f>
        <v>#N/A</v>
      </c>
    </row>
    <row r="233" spans="1:13" ht="12" hidden="1" customHeight="1">
      <c r="A233" s="4" t="str">
        <f t="shared" si="6"/>
        <v>81010905ME90621CPM</v>
      </c>
      <c r="B233" s="9">
        <v>81010000</v>
      </c>
      <c r="C233" s="12"/>
      <c r="D233" s="12">
        <v>81010905</v>
      </c>
      <c r="E233" s="71" t="s">
        <v>428</v>
      </c>
      <c r="F233" s="9" t="s">
        <v>545</v>
      </c>
      <c r="H233" s="9">
        <f ca="1">SUMIF('서식(직납)'!B:L,'Summary(수주업로드용)'!A233,'서식(직납)'!J:J)</f>
        <v>0</v>
      </c>
      <c r="I233" s="28" t="e">
        <f ca="1">IF(H233="0","0",VLOOKUP(A233,'서식(직납)'!B:K,10,0))</f>
        <v>#N/A</v>
      </c>
      <c r="J233" s="7" t="e">
        <f t="shared" ca="1" si="7"/>
        <v>#N/A</v>
      </c>
      <c r="K233" s="4" t="e">
        <f>VLOOKUP(F233,'SUM(히아풀젤,폼 아이캐쳐붙인걸로)'!A:E,5,0)</f>
        <v>#N/A</v>
      </c>
    </row>
    <row r="234" spans="1:13" ht="12" hidden="1" customHeight="1">
      <c r="A234" s="4" t="str">
        <f t="shared" si="6"/>
        <v>81010905ME90621GP4</v>
      </c>
      <c r="B234" s="9">
        <v>81010000</v>
      </c>
      <c r="C234" s="12"/>
      <c r="D234" s="12">
        <v>81010905</v>
      </c>
      <c r="E234" s="71" t="s">
        <v>428</v>
      </c>
      <c r="F234" s="9" t="s">
        <v>596</v>
      </c>
      <c r="H234" s="9">
        <f ca="1">SUMIF('서식(직납)'!B:L,'Summary(수주업로드용)'!A234,'서식(직납)'!J:J)</f>
        <v>0</v>
      </c>
      <c r="I234" s="28" t="e">
        <f ca="1">IF(H234="0","0",VLOOKUP(A234,'서식(직납)'!B:K,10,0))</f>
        <v>#N/A</v>
      </c>
      <c r="J234" s="7" t="e">
        <f t="shared" ca="1" si="7"/>
        <v>#N/A</v>
      </c>
      <c r="K234" s="4" t="e">
        <f>VLOOKUP(F234,'SUM(히아풀젤,폼 아이캐쳐붙인걸로)'!A:E,5,0)</f>
        <v>#N/A</v>
      </c>
    </row>
    <row r="235" spans="1:13" ht="12" hidden="1" customHeight="1">
      <c r="A235" s="4" t="str">
        <f t="shared" si="6"/>
        <v>81010905ME90621FG1</v>
      </c>
      <c r="B235" s="9">
        <v>81010000</v>
      </c>
      <c r="C235" s="12"/>
      <c r="D235" s="12">
        <v>81010905</v>
      </c>
      <c r="E235" s="71" t="s">
        <v>428</v>
      </c>
      <c r="F235" s="9" t="s">
        <v>601</v>
      </c>
      <c r="H235" s="9">
        <f ca="1">SUMIF('서식(직납)'!B:L,'Summary(수주업로드용)'!A235,'서식(직납)'!J:J)</f>
        <v>0</v>
      </c>
      <c r="I235" s="28" t="e">
        <f ca="1">IF(H235="0","0",VLOOKUP(A235,'서식(직납)'!B:K,10,0))</f>
        <v>#N/A</v>
      </c>
      <c r="J235" s="7" t="e">
        <f t="shared" ca="1" si="7"/>
        <v>#N/A</v>
      </c>
      <c r="K235" s="4" t="e">
        <f>VLOOKUP(F235,'SUM(히아풀젤,폼 아이캐쳐붙인걸로)'!A:E,5,0)</f>
        <v>#N/A</v>
      </c>
    </row>
    <row r="236" spans="1:13" ht="12" hidden="1" customHeight="1">
      <c r="A236" s="4" t="str">
        <f t="shared" si="6"/>
        <v>81010905ME90621TF1</v>
      </c>
      <c r="B236" s="9">
        <v>81010000</v>
      </c>
      <c r="C236" s="12"/>
      <c r="D236" s="12">
        <v>81010905</v>
      </c>
      <c r="E236" s="71" t="s">
        <v>428</v>
      </c>
      <c r="F236" s="9" t="s">
        <v>618</v>
      </c>
      <c r="H236" s="9">
        <f ca="1">SUMIF('서식(직납)'!B:L,'Summary(수주업로드용)'!A236,'서식(직납)'!J:J)</f>
        <v>0</v>
      </c>
      <c r="I236" s="28" t="e">
        <f ca="1">IF(H236="0","0",VLOOKUP(A236,'서식(직납)'!B:K,10,0))</f>
        <v>#N/A</v>
      </c>
      <c r="J236" s="7" t="e">
        <f t="shared" ca="1" si="7"/>
        <v>#N/A</v>
      </c>
      <c r="K236" s="4" t="e">
        <f>VLOOKUP(F236,'SUM(히아풀젤,폼 아이캐쳐붙인걸로)'!A:E,5,0)</f>
        <v>#N/A</v>
      </c>
    </row>
    <row r="237" spans="1:13" ht="12" hidden="1" customHeight="1">
      <c r="A237" s="4" t="str">
        <f t="shared" si="6"/>
        <v>81010905ME90621TC1</v>
      </c>
      <c r="B237" s="9">
        <v>81010000</v>
      </c>
      <c r="C237" s="12"/>
      <c r="D237" s="12">
        <v>81010905</v>
      </c>
      <c r="E237" s="71" t="s">
        <v>428</v>
      </c>
      <c r="F237" s="9" t="s">
        <v>627</v>
      </c>
      <c r="H237" s="9">
        <f ca="1">SUMIF('서식(직납)'!B:L,'Summary(수주업로드용)'!A237,'서식(직납)'!J:J)</f>
        <v>0</v>
      </c>
      <c r="I237" s="28" t="e">
        <f ca="1">IF(H237="0","0",VLOOKUP(A237,'서식(직납)'!B:K,10,0))</f>
        <v>#N/A</v>
      </c>
      <c r="J237" s="7" t="e">
        <f t="shared" ca="1" si="7"/>
        <v>#N/A</v>
      </c>
      <c r="K237" s="4" t="e">
        <f>VLOOKUP(F237,'SUM(히아풀젤,폼 아이캐쳐붙인걸로)'!A:E,5,0)</f>
        <v>#N/A</v>
      </c>
    </row>
    <row r="238" spans="1:13" ht="12" hidden="1" customHeight="1">
      <c r="A238" s="4" t="str">
        <f t="shared" si="6"/>
        <v>81010905ME80421DR2</v>
      </c>
      <c r="B238" s="9">
        <v>81010000</v>
      </c>
      <c r="C238" s="12"/>
      <c r="D238" s="12">
        <v>81010905</v>
      </c>
      <c r="E238" s="71" t="s">
        <v>428</v>
      </c>
      <c r="F238" s="9" t="s">
        <v>656</v>
      </c>
      <c r="H238" s="9">
        <f ca="1">SUMIF('서식(직납)'!B:L,'Summary(수주업로드용)'!A238,'서식(직납)'!J:J)</f>
        <v>0</v>
      </c>
      <c r="I238" s="28" t="e">
        <f ca="1">IF(H238="0","0",VLOOKUP(A238,'서식(직납)'!B:K,10,0))</f>
        <v>#N/A</v>
      </c>
      <c r="J238" s="7" t="e">
        <f t="shared" ca="1" si="7"/>
        <v>#N/A</v>
      </c>
      <c r="K238" s="4" t="str">
        <f>VLOOKUP(F238,'SUM(히아풀젤,폼 아이캐쳐붙인걸로)'!A:E,5,0)</f>
        <v>입수전환</v>
      </c>
      <c r="M238" s="4" t="str">
        <f>VLOOKUP(F243,제품명!$D:$E,2,0)</f>
        <v>소프트립스 프렌치바닐라 2g</v>
      </c>
    </row>
    <row r="239" spans="1:13" ht="12" hidden="1" customHeight="1">
      <c r="A239" s="4" t="str">
        <f t="shared" si="6"/>
        <v>81010905ME80421DCH</v>
      </c>
      <c r="B239" s="9">
        <v>81010000</v>
      </c>
      <c r="C239" s="12"/>
      <c r="D239" s="12">
        <v>81010905</v>
      </c>
      <c r="E239" s="71" t="s">
        <v>428</v>
      </c>
      <c r="F239" s="9" t="s">
        <v>1039</v>
      </c>
      <c r="H239" s="9">
        <f ca="1">SUMIF('서식(직납)'!B:L,'Summary(수주업로드용)'!A239,'서식(직납)'!J:J)</f>
        <v>0</v>
      </c>
      <c r="I239" s="28" t="e">
        <f ca="1">IF(H239="0","0",VLOOKUP(A239,'서식(직납)'!B:K,10,0))</f>
        <v>#N/A</v>
      </c>
      <c r="J239" s="7" t="e">
        <f t="shared" ca="1" si="7"/>
        <v>#N/A</v>
      </c>
    </row>
    <row r="240" spans="1:13" ht="12" hidden="1" customHeight="1">
      <c r="A240" s="4" t="str">
        <f t="shared" si="6"/>
        <v>81010905ME00621FMC</v>
      </c>
      <c r="B240" s="9">
        <v>81010000</v>
      </c>
      <c r="C240" s="12"/>
      <c r="D240" s="12">
        <v>81010905</v>
      </c>
      <c r="E240" s="71" t="s">
        <v>428</v>
      </c>
      <c r="F240" s="9" t="s">
        <v>657</v>
      </c>
      <c r="H240" s="9">
        <f ca="1">SUMIF('서식(직납)'!B:L,'Summary(수주업로드용)'!A240,'서식(직납)'!J:J)</f>
        <v>0</v>
      </c>
      <c r="I240" s="28" t="e">
        <f ca="1">IF(H240="0","0",VLOOKUP(A240,'서식(직납)'!B:K,10,0))</f>
        <v>#N/A</v>
      </c>
      <c r="J240" s="7" t="e">
        <f t="shared" ca="1" si="7"/>
        <v>#N/A</v>
      </c>
      <c r="K240" s="4" t="e">
        <f>VLOOKUP(F240,'SUM(히아풀젤,폼 아이캐쳐붙인걸로)'!A:E,5,0)</f>
        <v>#N/A</v>
      </c>
      <c r="M240" s="4" t="str">
        <f>VLOOKUP(F244,제품명!$D:$E,2,0)</f>
        <v>소프트립스 라즈베리 립밤 2g</v>
      </c>
    </row>
    <row r="241" spans="1:13" ht="12" hidden="1" customHeight="1">
      <c r="A241" s="4" t="str">
        <f t="shared" si="6"/>
        <v>81010905ME00621FML</v>
      </c>
      <c r="B241" s="9">
        <v>81010000</v>
      </c>
      <c r="C241" s="12"/>
      <c r="D241" s="12">
        <v>81010905</v>
      </c>
      <c r="E241" s="71" t="s">
        <v>428</v>
      </c>
      <c r="F241" s="9" t="s">
        <v>658</v>
      </c>
      <c r="H241" s="9">
        <f ca="1">SUMIF('서식(직납)'!B:L,'Summary(수주업로드용)'!A241,'서식(직납)'!J:J)</f>
        <v>0</v>
      </c>
      <c r="I241" s="28" t="e">
        <f ca="1">IF(H241="0","0",VLOOKUP(A241,'서식(직납)'!B:K,10,0))</f>
        <v>#N/A</v>
      </c>
      <c r="J241" s="7" t="e">
        <f t="shared" ca="1" si="7"/>
        <v>#N/A</v>
      </c>
      <c r="K241" s="4" t="e">
        <f>VLOOKUP(F241,'SUM(히아풀젤,폼 아이캐쳐붙인걸로)'!A:E,5,0)</f>
        <v>#N/A</v>
      </c>
    </row>
    <row r="242" spans="1:13" ht="12" hidden="1" customHeight="1">
      <c r="A242" s="4" t="str">
        <f t="shared" si="6"/>
        <v>81010905ME00621FMP</v>
      </c>
      <c r="B242" s="9">
        <v>81010000</v>
      </c>
      <c r="C242" s="12"/>
      <c r="D242" s="12">
        <v>81010905</v>
      </c>
      <c r="E242" s="71" t="s">
        <v>428</v>
      </c>
      <c r="F242" s="9" t="s">
        <v>659</v>
      </c>
      <c r="H242" s="9">
        <f ca="1">SUMIF('서식(직납)'!B:L,'Summary(수주업로드용)'!A242,'서식(직납)'!J:J)</f>
        <v>0</v>
      </c>
      <c r="I242" s="28" t="e">
        <f ca="1">IF(H242="0","0",VLOOKUP(A242,'서식(직납)'!B:K,10,0))</f>
        <v>#N/A</v>
      </c>
      <c r="J242" s="7" t="e">
        <f t="shared" ca="1" si="7"/>
        <v>#N/A</v>
      </c>
      <c r="K242" s="4" t="e">
        <f>VLOOKUP(F242,'SUM(히아풀젤,폼 아이캐쳐붙인걸로)'!A:E,5,0)</f>
        <v>#N/A</v>
      </c>
    </row>
    <row r="243" spans="1:13" ht="12" hidden="1" customHeight="1">
      <c r="A243" s="4" t="str">
        <f t="shared" si="6"/>
        <v>81010905ME81921SVV</v>
      </c>
      <c r="B243" s="9">
        <v>81010000</v>
      </c>
      <c r="C243" s="12"/>
      <c r="D243" s="12">
        <v>81010905</v>
      </c>
      <c r="E243" s="71" t="s">
        <v>428</v>
      </c>
      <c r="F243" s="9" t="s">
        <v>671</v>
      </c>
      <c r="H243" s="9">
        <f ca="1">SUMIF('서식(직납)'!B:L,'Summary(수주업로드용)'!A243,'서식(직납)'!J:J)</f>
        <v>0</v>
      </c>
      <c r="I243" s="28" t="e">
        <f ca="1">IF(H243="0","0",VLOOKUP(A243,'서식(직납)'!B:K,10,0))</f>
        <v>#N/A</v>
      </c>
      <c r="J243" s="7" t="e">
        <f t="shared" ca="1" si="7"/>
        <v>#N/A</v>
      </c>
      <c r="K243" s="4" t="e">
        <f>VLOOKUP(F243,'SUM(히아풀젤,폼 아이캐쳐붙인걸로)'!A:E,5,0)</f>
        <v>#N/A</v>
      </c>
    </row>
    <row r="244" spans="1:13" ht="12" hidden="1" customHeight="1">
      <c r="A244" s="4" t="str">
        <f t="shared" si="6"/>
        <v>81010905ME81921SLL</v>
      </c>
      <c r="B244" s="9">
        <v>81010000</v>
      </c>
      <c r="C244" s="12"/>
      <c r="D244" s="12">
        <v>81010905</v>
      </c>
      <c r="E244" s="71" t="s">
        <v>428</v>
      </c>
      <c r="F244" s="9" t="s">
        <v>672</v>
      </c>
      <c r="H244" s="9">
        <f ca="1">SUMIF('서식(직납)'!B:L,'Summary(수주업로드용)'!A244,'서식(직납)'!J:J)</f>
        <v>0</v>
      </c>
      <c r="I244" s="28" t="e">
        <f ca="1">IF(H244="0","0",VLOOKUP(A244,'서식(직납)'!B:K,10,0))</f>
        <v>#N/A</v>
      </c>
      <c r="J244" s="7" t="e">
        <f t="shared" ca="1" si="7"/>
        <v>#N/A</v>
      </c>
      <c r="K244" s="4" t="e">
        <f>VLOOKUP(F244,'SUM(히아풀젤,폼 아이캐쳐붙인걸로)'!A:E,5,0)</f>
        <v>#N/A</v>
      </c>
      <c r="M244" s="4" t="str">
        <f>VLOOKUP(F248,제품명!$D:$E,2,0)</f>
        <v>아크네스 모이스처크림2.0 60ml</v>
      </c>
    </row>
    <row r="245" spans="1:13" ht="12" hidden="1" customHeight="1">
      <c r="A245" s="4" t="str">
        <f t="shared" si="6"/>
        <v>81010905ME90521MCN</v>
      </c>
      <c r="B245" s="9">
        <v>81010000</v>
      </c>
      <c r="C245" s="12"/>
      <c r="D245" s="12">
        <v>81010905</v>
      </c>
      <c r="E245" s="71" t="s">
        <v>428</v>
      </c>
      <c r="F245" s="9" t="s">
        <v>673</v>
      </c>
      <c r="H245" s="9">
        <f ca="1">SUMIF('서식(직납)'!B:L,'Summary(수주업로드용)'!A245,'서식(직납)'!J:J)</f>
        <v>0</v>
      </c>
      <c r="I245" s="28" t="e">
        <f ca="1">IF(H245="0","0",VLOOKUP(A245,'서식(직납)'!B:K,10,0))</f>
        <v>#N/A</v>
      </c>
      <c r="J245" s="7" t="e">
        <f t="shared" ca="1" si="7"/>
        <v>#N/A</v>
      </c>
      <c r="K245" s="4" t="e">
        <f>VLOOKUP(F245,'SUM(히아풀젤,폼 아이캐쳐붙인걸로)'!A:E,5,0)</f>
        <v>#N/A</v>
      </c>
      <c r="M245" s="4" t="str">
        <f>VLOOKUP(F249,제품명!$D:$E,2,0)</f>
        <v>아크네스 모이스처 플루이드 150ml</v>
      </c>
    </row>
    <row r="246" spans="1:13" ht="12" hidden="1" customHeight="1">
      <c r="A246" s="4" t="str">
        <f t="shared" si="6"/>
        <v>81010905ME90521MCA</v>
      </c>
      <c r="B246" s="9">
        <v>81010000</v>
      </c>
      <c r="C246" s="12"/>
      <c r="D246" s="12">
        <v>81010905</v>
      </c>
      <c r="E246" s="71" t="s">
        <v>428</v>
      </c>
      <c r="F246" s="9" t="s">
        <v>677</v>
      </c>
      <c r="H246" s="9">
        <f ca="1">SUMIF('서식(직납)'!B:L,'Summary(수주업로드용)'!A246,'서식(직납)'!J:J)</f>
        <v>0</v>
      </c>
      <c r="I246" s="28" t="e">
        <f ca="1">IF(H246="0","0",VLOOKUP(A246,'서식(직납)'!B:K,10,0))</f>
        <v>#N/A</v>
      </c>
      <c r="J246" s="7" t="e">
        <f t="shared" ca="1" si="7"/>
        <v>#N/A</v>
      </c>
      <c r="K246" s="4" t="e">
        <f>VLOOKUP(F246,'SUM(히아풀젤,폼 아이캐쳐붙인걸로)'!A:E,5,0)</f>
        <v>#N/A</v>
      </c>
      <c r="M246" s="4" t="str">
        <f>VLOOKUP(F250,제품명!$D:$E,2,0)</f>
        <v>아크네스 세범 밸런싱 스킨 2.0</v>
      </c>
    </row>
    <row r="247" spans="1:13" ht="12" hidden="1" customHeight="1">
      <c r="A247" s="4" t="str">
        <f t="shared" si="6"/>
        <v>81010905ME81921SL1</v>
      </c>
      <c r="B247" s="9">
        <v>81010000</v>
      </c>
      <c r="C247" s="12"/>
      <c r="D247" s="12">
        <v>81010905</v>
      </c>
      <c r="E247" s="71" t="s">
        <v>428</v>
      </c>
      <c r="F247" s="9" t="s">
        <v>679</v>
      </c>
      <c r="H247" s="9">
        <f ca="1">SUMIF('서식(직납)'!B:L,'Summary(수주업로드용)'!A247,'서식(직납)'!J:J)</f>
        <v>0</v>
      </c>
      <c r="I247" s="28" t="e">
        <f ca="1">IF(H247="0","0",VLOOKUP(A247,'서식(직납)'!B:K,10,0))</f>
        <v>#N/A</v>
      </c>
      <c r="J247" s="7" t="e">
        <f t="shared" ca="1" si="7"/>
        <v>#N/A</v>
      </c>
      <c r="K247" s="4" t="e">
        <f>VLOOKUP(F247,'SUM(히아풀젤,폼 아이캐쳐붙인걸로)'!A:E,5,0)</f>
        <v>#N/A</v>
      </c>
      <c r="M247" s="4" t="str">
        <f>VLOOKUP(F251,제품명!$D:$E,2,0)</f>
        <v>아크네스 스팟클리어크림패치 18g</v>
      </c>
    </row>
    <row r="248" spans="1:13" ht="12" hidden="1" customHeight="1">
      <c r="A248" s="4" t="str">
        <f t="shared" si="6"/>
        <v>81010905ME00621AN4</v>
      </c>
      <c r="B248" s="9">
        <v>81010000</v>
      </c>
      <c r="C248" s="12"/>
      <c r="D248" s="12">
        <v>81010905</v>
      </c>
      <c r="E248" s="71" t="s">
        <v>428</v>
      </c>
      <c r="F248" s="9" t="s">
        <v>693</v>
      </c>
      <c r="H248" s="9">
        <f ca="1">SUMIF('서식(직납)'!B:L,'Summary(수주업로드용)'!A248,'서식(직납)'!J:J)</f>
        <v>0</v>
      </c>
      <c r="I248" s="28" t="e">
        <f ca="1">IF(H248="0","0",VLOOKUP(A248,'서식(직납)'!B:K,10,0))</f>
        <v>#N/A</v>
      </c>
      <c r="J248" s="7" t="e">
        <f t="shared" ca="1" si="7"/>
        <v>#N/A</v>
      </c>
      <c r="K248" s="151" t="e">
        <f ca="1">ROUND(J248*0.1,0)</f>
        <v>#N/A</v>
      </c>
      <c r="M248" s="4" t="s">
        <v>948</v>
      </c>
    </row>
    <row r="249" spans="1:13" ht="12" hidden="1" customHeight="1">
      <c r="A249" s="4" t="str">
        <f t="shared" si="6"/>
        <v>81010905ME00621AN6</v>
      </c>
      <c r="B249" s="9">
        <v>81010000</v>
      </c>
      <c r="C249" s="12"/>
      <c r="D249" s="12">
        <v>81010905</v>
      </c>
      <c r="E249" s="71" t="s">
        <v>428</v>
      </c>
      <c r="F249" s="9" t="s">
        <v>695</v>
      </c>
      <c r="H249" s="9">
        <f ca="1">SUMIF('서식(직납)'!B:L,'Summary(수주업로드용)'!A249,'서식(직납)'!J:J)</f>
        <v>0</v>
      </c>
      <c r="I249" s="28" t="e">
        <f ca="1">IF(H249="0","0",VLOOKUP(A249,'서식(직납)'!B:K,10,0))</f>
        <v>#N/A</v>
      </c>
      <c r="J249" s="7" t="e">
        <f t="shared" ca="1" si="7"/>
        <v>#N/A</v>
      </c>
      <c r="K249" s="4" t="str">
        <f>VLOOKUP(F249,'SUM(히아풀젤,폼 아이캐쳐붙인걸로)'!A:E,5,0)</f>
        <v>ME90621A05</v>
      </c>
      <c r="M249" s="4" t="str">
        <f>VLOOKUP(F253,제품명!$D:$E,2,0)</f>
        <v>하다라보 히아풀베리어 수딩 클렌징 젤 (12입)</v>
      </c>
    </row>
    <row r="250" spans="1:13" ht="12" hidden="1" customHeight="1">
      <c r="A250" s="4" t="str">
        <f t="shared" si="6"/>
        <v>81010905ME00621AN5</v>
      </c>
      <c r="B250" s="9">
        <v>81010000</v>
      </c>
      <c r="C250" s="12"/>
      <c r="D250" s="12">
        <v>81010905</v>
      </c>
      <c r="E250" s="71" t="s">
        <v>428</v>
      </c>
      <c r="F250" s="9" t="s">
        <v>697</v>
      </c>
      <c r="H250" s="9">
        <f ca="1">SUMIF('서식(직납)'!B:L,'Summary(수주업로드용)'!A250,'서식(직납)'!J:J)</f>
        <v>0</v>
      </c>
      <c r="I250" s="28" t="e">
        <f ca="1">IF(H250="0","0",VLOOKUP(A250,'서식(직납)'!B:K,10,0))</f>
        <v>#N/A</v>
      </c>
      <c r="J250" s="7" t="e">
        <f t="shared" ca="1" si="7"/>
        <v>#N/A</v>
      </c>
      <c r="K250" s="151" t="e">
        <f ca="1">ROUND(J250*0.1,0)</f>
        <v>#N/A</v>
      </c>
      <c r="M250" s="4" t="str">
        <f>VLOOKUP(F254,제품명!$D:$E,2,0)</f>
        <v>하다라보 히아풀베리어 포어 클렌징 폼 (12입)</v>
      </c>
    </row>
    <row r="251" spans="1:13" ht="12" hidden="1" customHeight="1">
      <c r="A251" s="4" t="str">
        <f t="shared" si="6"/>
        <v>81010905ME00621ASM</v>
      </c>
      <c r="B251" s="9">
        <v>81010000</v>
      </c>
      <c r="C251" s="12"/>
      <c r="D251" s="12">
        <v>81010905</v>
      </c>
      <c r="E251" s="71" t="s">
        <v>428</v>
      </c>
      <c r="F251" s="9" t="s">
        <v>696</v>
      </c>
      <c r="H251" s="9">
        <f ca="1">SUMIF('서식(직납)'!B:L,'Summary(수주업로드용)'!A251,'서식(직납)'!J:J)</f>
        <v>0</v>
      </c>
      <c r="I251" s="28" t="e">
        <f ca="1">IF(H251="0","0",VLOOKUP(A251,'서식(직납)'!B:K,10,0))</f>
        <v>#N/A</v>
      </c>
      <c r="J251" s="7" t="e">
        <f t="shared" ca="1" si="7"/>
        <v>#N/A</v>
      </c>
      <c r="K251" s="4">
        <f>VLOOKUP(F251,'SUM(히아풀젤,폼 아이캐쳐붙인걸로)'!A:E,5,0)</f>
        <v>0</v>
      </c>
      <c r="M251" s="4" t="str">
        <f>VLOOKUP(F259,제품명!$D:$E,2,0)</f>
        <v xml:space="preserve">아크네스 더마 릴리프 모이스처 폼클렌저 </v>
      </c>
    </row>
    <row r="252" spans="1:13" ht="12" hidden="1" customHeight="1">
      <c r="A252" s="4" t="str">
        <f t="shared" si="6"/>
        <v>81010905ME90621AC4</v>
      </c>
      <c r="B252" s="9">
        <v>81010000</v>
      </c>
      <c r="C252" s="12"/>
      <c r="D252" s="12">
        <v>81010905</v>
      </c>
      <c r="E252" s="71" t="s">
        <v>428</v>
      </c>
      <c r="F252" s="9" t="s">
        <v>938</v>
      </c>
      <c r="H252" s="9">
        <f ca="1">SUMIF('서식(직납)'!B:L,'Summary(수주업로드용)'!A252,'서식(직납)'!J:J)</f>
        <v>0</v>
      </c>
      <c r="I252" s="28" t="e">
        <f ca="1">IF(H252="0","0",VLOOKUP(A252,'서식(직납)'!B:K,10,0))</f>
        <v>#N/A</v>
      </c>
      <c r="J252" s="7" t="e">
        <f t="shared" ca="1" si="7"/>
        <v>#N/A</v>
      </c>
      <c r="K252" s="4" t="str">
        <f>VLOOKUP(F252,'SUM(히아풀젤,폼 아이캐쳐붙인걸로)'!A:E,5,0)</f>
        <v>9B4</v>
      </c>
    </row>
    <row r="253" spans="1:13" ht="12" hidden="1" customHeight="1">
      <c r="A253" s="4" t="str">
        <f t="shared" si="6"/>
        <v>81010905ME00621HFC</v>
      </c>
      <c r="B253" s="9">
        <v>81010000</v>
      </c>
      <c r="C253" s="12"/>
      <c r="D253" s="12">
        <v>81010905</v>
      </c>
      <c r="E253" s="71" t="s">
        <v>428</v>
      </c>
      <c r="F253" s="9" t="s">
        <v>764</v>
      </c>
      <c r="H253" s="9">
        <f ca="1">SUMIF('서식(직납)'!B:L,'Summary(수주업로드용)'!A253,'서식(직납)'!J:J)</f>
        <v>0</v>
      </c>
      <c r="I253" s="28" t="e">
        <f ca="1">IF(H253="0","0",VLOOKUP(A253,'서식(직납)'!B:K,10,0))</f>
        <v>#N/A</v>
      </c>
      <c r="J253" s="7" t="e">
        <f t="shared" ca="1" si="7"/>
        <v>#N/A</v>
      </c>
      <c r="K253" s="4" t="e">
        <f>VLOOKUP(F253,'SUM(히아풀젤,폼 아이캐쳐붙인걸로)'!A:E,5,0)</f>
        <v>#N/A</v>
      </c>
    </row>
    <row r="254" spans="1:13" ht="12" hidden="1" customHeight="1">
      <c r="A254" s="4" t="str">
        <f t="shared" si="6"/>
        <v>81010905ME00621HPC</v>
      </c>
      <c r="B254" s="9">
        <v>81010000</v>
      </c>
      <c r="C254" s="12"/>
      <c r="D254" s="12">
        <v>81010905</v>
      </c>
      <c r="E254" s="71" t="s">
        <v>428</v>
      </c>
      <c r="F254" s="9" t="s">
        <v>767</v>
      </c>
      <c r="H254" s="9">
        <f ca="1">SUMIF('서식(직납)'!B:L,'Summary(수주업로드용)'!A254,'서식(직납)'!J:J)</f>
        <v>0</v>
      </c>
      <c r="I254" s="28" t="e">
        <f ca="1">IF(H254="0","0",VLOOKUP(A254,'서식(직납)'!B:K,10,0))</f>
        <v>#N/A</v>
      </c>
      <c r="J254" s="7" t="e">
        <f t="shared" ca="1" si="7"/>
        <v>#N/A</v>
      </c>
      <c r="K254" s="151" t="e">
        <f ca="1">ROUND(J254*0.1,0)</f>
        <v>#N/A</v>
      </c>
    </row>
    <row r="255" spans="1:13" ht="12" hidden="1" customHeight="1">
      <c r="A255" s="4" t="str">
        <f t="shared" si="6"/>
        <v>81010905ME90521WC4</v>
      </c>
      <c r="B255" s="9">
        <v>81010000</v>
      </c>
      <c r="C255" s="12"/>
      <c r="D255" s="12">
        <v>81010905</v>
      </c>
      <c r="E255" s="71" t="s">
        <v>428</v>
      </c>
      <c r="F255" s="9" t="s">
        <v>1030</v>
      </c>
      <c r="H255" s="9">
        <f ca="1">SUMIF('서식(직납)'!B:L,'Summary(수주업로드용)'!A255,'서식(직납)'!J:J)</f>
        <v>0</v>
      </c>
      <c r="I255" s="28" t="e">
        <f ca="1">IF(H255="0","0",VLOOKUP(A255,'서식(직납)'!B:K,10,0))</f>
        <v>#N/A</v>
      </c>
      <c r="J255" s="7" t="e">
        <f t="shared" ca="1" si="7"/>
        <v>#N/A</v>
      </c>
      <c r="K255" s="151" t="e">
        <f ca="1">ROUND(J255*0.1,0)</f>
        <v>#N/A</v>
      </c>
    </row>
    <row r="256" spans="1:13" ht="12" hidden="1" customHeight="1">
      <c r="A256" s="4" t="str">
        <f t="shared" si="6"/>
        <v>81010905ME90521WC5</v>
      </c>
      <c r="B256" s="9">
        <v>81010000</v>
      </c>
      <c r="C256" s="12"/>
      <c r="D256" s="12">
        <v>81010905</v>
      </c>
      <c r="E256" s="71" t="s">
        <v>428</v>
      </c>
      <c r="F256" s="9" t="s">
        <v>1031</v>
      </c>
      <c r="H256" s="9">
        <f ca="1">SUMIF('서식(직납)'!B:L,'Summary(수주업로드용)'!A256,'서식(직납)'!J:J)</f>
        <v>0</v>
      </c>
      <c r="I256" s="28" t="e">
        <f ca="1">IF(H256="0","0",VLOOKUP(A256,'서식(직납)'!B:K,10,0))</f>
        <v>#N/A</v>
      </c>
      <c r="J256" s="7" t="e">
        <f t="shared" ca="1" si="7"/>
        <v>#N/A</v>
      </c>
      <c r="K256" s="151" t="e">
        <f ca="1">ROUND(J256*0.1,0)</f>
        <v>#N/A</v>
      </c>
    </row>
    <row r="257" spans="1:11" ht="12" hidden="1" customHeight="1">
      <c r="A257" s="4" t="str">
        <f t="shared" si="6"/>
        <v>81010905ME90521WC6</v>
      </c>
      <c r="B257" s="9">
        <v>81010000</v>
      </c>
      <c r="C257" s="12"/>
      <c r="D257" s="12">
        <v>81010905</v>
      </c>
      <c r="E257" s="71" t="s">
        <v>428</v>
      </c>
      <c r="F257" s="9" t="s">
        <v>1034</v>
      </c>
      <c r="H257" s="9">
        <f ca="1">SUMIF('서식(직납)'!B:L,'Summary(수주업로드용)'!A257,'서식(직납)'!J:J)</f>
        <v>0</v>
      </c>
      <c r="I257" s="28" t="e">
        <f ca="1">IF(H257="0","0",VLOOKUP(A257,'서식(직납)'!B:K,10,0))</f>
        <v>#N/A</v>
      </c>
      <c r="J257" s="7" t="e">
        <f t="shared" ca="1" si="7"/>
        <v>#N/A</v>
      </c>
      <c r="K257" s="151" t="e">
        <f ca="1">ROUND(J257*0.1,0)</f>
        <v>#N/A</v>
      </c>
    </row>
    <row r="258" spans="1:11" ht="12" customHeight="1">
      <c r="A258" s="4" t="str">
        <f t="shared" si="6"/>
        <v>81010905ME90621MAM</v>
      </c>
      <c r="B258" s="9">
        <v>81010000</v>
      </c>
      <c r="C258" s="12"/>
      <c r="D258" s="12">
        <v>81010905</v>
      </c>
      <c r="E258" s="71" t="s">
        <v>428</v>
      </c>
      <c r="F258" s="9" t="s">
        <v>1042</v>
      </c>
      <c r="H258" s="9">
        <f ca="1">SUMIF('서식(직납)'!B:L,'Summary(수주업로드용)'!A258,'서식(직납)'!J:J)</f>
        <v>24</v>
      </c>
      <c r="I258" s="28">
        <f ca="1">IF(H258="0","0",VLOOKUP(A258,'서식(직납)'!B:K,10,0))</f>
        <v>4284</v>
      </c>
      <c r="J258" s="7">
        <f t="shared" ca="1" si="7"/>
        <v>102816</v>
      </c>
      <c r="K258" s="151">
        <f ca="1">ROUND(J258*0.1,0)</f>
        <v>10282</v>
      </c>
    </row>
    <row r="259" spans="1:11" ht="12" hidden="1" customHeight="1">
      <c r="A259" s="4" t="str">
        <f t="shared" ref="A259:A322" si="8">D259&amp;F259</f>
        <v>81010925ME00621AF9</v>
      </c>
      <c r="B259" s="9">
        <v>81010000</v>
      </c>
      <c r="C259" s="35"/>
      <c r="D259" s="27">
        <v>81010925</v>
      </c>
      <c r="E259" s="71" t="s">
        <v>414</v>
      </c>
      <c r="F259" s="107" t="s">
        <v>969</v>
      </c>
      <c r="G259" s="107"/>
      <c r="H259" s="9">
        <f ca="1">SUMIF('서식(직납)'!B:L,'Summary(수주업로드용)'!A259,'서식(직납)'!J:J)</f>
        <v>0</v>
      </c>
      <c r="I259" s="28" t="e">
        <f ca="1">IF(H259="0","0",VLOOKUP(A259,'서식(직납)'!B:K,10,0))</f>
        <v>#N/A</v>
      </c>
      <c r="J259" s="7" t="e">
        <f t="shared" ref="J259:J322" ca="1" si="9">H259*I259</f>
        <v>#N/A</v>
      </c>
      <c r="K259" s="4" t="e">
        <f>VLOOKUP(F259,'SUM(히아풀젤,폼 아이캐쳐붙인걸로)'!A:E,5,0)</f>
        <v>#N/A</v>
      </c>
    </row>
    <row r="260" spans="1:11" ht="12" hidden="1" customHeight="1">
      <c r="A260" s="4" t="str">
        <f t="shared" si="8"/>
        <v>81010925ME90621NA7</v>
      </c>
      <c r="B260" s="9">
        <v>81010000</v>
      </c>
      <c r="C260" s="35"/>
      <c r="D260" s="27">
        <v>81010925</v>
      </c>
      <c r="E260" s="71" t="s">
        <v>414</v>
      </c>
      <c r="F260" s="107" t="s">
        <v>685</v>
      </c>
      <c r="G260" s="107"/>
      <c r="H260" s="9">
        <f ca="1">SUMIF('서식(직납)'!B:L,'Summary(수주업로드용)'!A260,'서식(직납)'!J:J)</f>
        <v>0</v>
      </c>
      <c r="I260" s="28" t="e">
        <f ca="1">IF(H260="0","0",VLOOKUP(A260,'서식(직납)'!B:K,10,0))</f>
        <v>#N/A</v>
      </c>
      <c r="J260" s="7" t="e">
        <f t="shared" ca="1" si="9"/>
        <v>#N/A</v>
      </c>
      <c r="K260" s="4">
        <f>VLOOKUP(F260,'SUM(히아풀젤,폼 아이캐쳐붙인걸로)'!A:E,5,0)</f>
        <v>0</v>
      </c>
    </row>
    <row r="261" spans="1:11" ht="12" hidden="1" customHeight="1">
      <c r="A261" s="4" t="str">
        <f t="shared" si="8"/>
        <v>81010925ME90621AT3</v>
      </c>
      <c r="B261" s="9">
        <v>81010000</v>
      </c>
      <c r="C261" s="35"/>
      <c r="D261" s="27">
        <v>81010925</v>
      </c>
      <c r="E261" s="71" t="s">
        <v>429</v>
      </c>
      <c r="F261" s="107" t="s">
        <v>592</v>
      </c>
      <c r="G261" s="107"/>
      <c r="H261" s="9">
        <f ca="1">SUMIF('서식(직납)'!B:L,'Summary(수주업로드용)'!A261,'서식(직납)'!J:J)</f>
        <v>0</v>
      </c>
      <c r="I261" s="28" t="e">
        <f ca="1">IF(H261="0","0",VLOOKUP(A261,'서식(직납)'!B:K,10,0))</f>
        <v>#N/A</v>
      </c>
      <c r="J261" s="7" t="e">
        <f t="shared" ca="1" si="9"/>
        <v>#N/A</v>
      </c>
      <c r="K261" s="4" t="e">
        <f>VLOOKUP(F261,'SUM(히아풀젤,폼 아이캐쳐붙인걸로)'!A:E,5,0)</f>
        <v>#N/A</v>
      </c>
    </row>
    <row r="262" spans="1:11" ht="12" hidden="1" customHeight="1">
      <c r="A262" s="4" t="str">
        <f t="shared" si="8"/>
        <v>81010925ME90621A07</v>
      </c>
      <c r="B262" s="9">
        <v>81010000</v>
      </c>
      <c r="C262" s="35"/>
      <c r="D262" s="27">
        <v>81010925</v>
      </c>
      <c r="E262" s="71" t="s">
        <v>429</v>
      </c>
      <c r="F262" s="107" t="s">
        <v>384</v>
      </c>
      <c r="G262" s="107"/>
      <c r="H262" s="9">
        <f ca="1">SUMIF('서식(직납)'!B:L,'Summary(수주업로드용)'!A262,'서식(직납)'!J:J)</f>
        <v>0</v>
      </c>
      <c r="I262" s="28" t="e">
        <f ca="1">IF(H262="0","0",VLOOKUP(A262,'서식(직납)'!B:K,10,0))</f>
        <v>#N/A</v>
      </c>
      <c r="J262" s="7" t="e">
        <f t="shared" ca="1" si="9"/>
        <v>#N/A</v>
      </c>
      <c r="K262" s="4" t="e">
        <f>VLOOKUP(F262,'SUM(히아풀젤,폼 아이캐쳐붙인걸로)'!A:E,5,0)</f>
        <v>#N/A</v>
      </c>
    </row>
    <row r="263" spans="1:11" ht="12" hidden="1" customHeight="1">
      <c r="A263" s="4" t="str">
        <f t="shared" si="8"/>
        <v>81010925ME90621ADI</v>
      </c>
      <c r="B263" s="9">
        <v>81010000</v>
      </c>
      <c r="C263" s="35"/>
      <c r="D263" s="27">
        <v>81010925</v>
      </c>
      <c r="E263" s="71" t="s">
        <v>429</v>
      </c>
      <c r="F263" s="107" t="s">
        <v>954</v>
      </c>
      <c r="G263" s="107"/>
      <c r="H263" s="9">
        <f ca="1">SUMIF('서식(직납)'!B:L,'Summary(수주업로드용)'!A263,'서식(직납)'!J:J)</f>
        <v>0</v>
      </c>
      <c r="I263" s="28" t="e">
        <f ca="1">IF(H263="0","0",VLOOKUP(A263,'서식(직납)'!B:K,10,0))</f>
        <v>#N/A</v>
      </c>
      <c r="J263" s="7" t="e">
        <f t="shared" ca="1" si="9"/>
        <v>#N/A</v>
      </c>
      <c r="K263" s="4">
        <f>VLOOKUP(F263,'SUM(히아풀젤,폼 아이캐쳐붙인걸로)'!A:E,5,0)</f>
        <v>0</v>
      </c>
    </row>
    <row r="264" spans="1:11" ht="12" hidden="1" customHeight="1">
      <c r="A264" s="4" t="str">
        <f t="shared" si="8"/>
        <v>81010925ME90621A04</v>
      </c>
      <c r="B264" s="9">
        <v>81010000</v>
      </c>
      <c r="C264" s="35"/>
      <c r="D264" s="27">
        <v>81010925</v>
      </c>
      <c r="E264" s="71" t="s">
        <v>429</v>
      </c>
      <c r="F264" s="107" t="s">
        <v>334</v>
      </c>
      <c r="G264" s="107"/>
      <c r="H264" s="9">
        <f ca="1">SUMIF('서식(직납)'!B:L,'Summary(수주업로드용)'!A264,'서식(직납)'!J:J)</f>
        <v>0</v>
      </c>
      <c r="I264" s="28" t="e">
        <f ca="1">IF(H264="0","0",VLOOKUP(A264,'서식(직납)'!B:K,10,0))</f>
        <v>#N/A</v>
      </c>
      <c r="J264" s="7" t="e">
        <f t="shared" ca="1" si="9"/>
        <v>#N/A</v>
      </c>
      <c r="K264" s="4" t="e">
        <f>VLOOKUP(F264,'SUM(히아풀젤,폼 아이캐쳐붙인걸로)'!A:E,5,0)</f>
        <v>#N/A</v>
      </c>
    </row>
    <row r="265" spans="1:11" ht="12" hidden="1" customHeight="1">
      <c r="A265" s="4" t="str">
        <f t="shared" si="8"/>
        <v>81010925ME90621A02</v>
      </c>
      <c r="B265" s="9">
        <v>81010000</v>
      </c>
      <c r="C265" s="35"/>
      <c r="D265" s="27">
        <v>81010925</v>
      </c>
      <c r="E265" s="71" t="s">
        <v>429</v>
      </c>
      <c r="F265" s="107" t="s">
        <v>661</v>
      </c>
      <c r="G265" s="107"/>
      <c r="H265" s="9">
        <f ca="1">SUMIF('서식(직납)'!B:L,'Summary(수주업로드용)'!A265,'서식(직납)'!J:J)</f>
        <v>0</v>
      </c>
      <c r="I265" s="28" t="e">
        <f ca="1">IF(H265="0","0",VLOOKUP(A265,'서식(직납)'!B:K,10,0))</f>
        <v>#N/A</v>
      </c>
      <c r="J265" s="7" t="e">
        <f t="shared" ca="1" si="9"/>
        <v>#N/A</v>
      </c>
      <c r="K265" s="4" t="e">
        <f>VLOOKUP(F265,'SUM(히아풀젤,폼 아이캐쳐붙인걸로)'!A:E,5,0)</f>
        <v>#N/A</v>
      </c>
    </row>
    <row r="266" spans="1:11" ht="12" hidden="1" customHeight="1">
      <c r="A266" s="4" t="str">
        <f t="shared" si="8"/>
        <v>81010925ME90621AFE</v>
      </c>
      <c r="B266" s="9">
        <v>81010000</v>
      </c>
      <c r="C266" s="35"/>
      <c r="D266" s="27">
        <v>81010925</v>
      </c>
      <c r="E266" s="71" t="s">
        <v>429</v>
      </c>
      <c r="F266" s="107" t="s">
        <v>958</v>
      </c>
      <c r="G266" s="107"/>
      <c r="H266" s="9">
        <f ca="1">SUMIF('서식(직납)'!B:L,'Summary(수주업로드용)'!A266,'서식(직납)'!J:J)</f>
        <v>0</v>
      </c>
      <c r="I266" s="28" t="e">
        <f ca="1">IF(H266="0","0",VLOOKUP(A266,'서식(직납)'!B:K,10,0))</f>
        <v>#N/A</v>
      </c>
      <c r="J266" s="7" t="e">
        <f t="shared" ca="1" si="9"/>
        <v>#N/A</v>
      </c>
      <c r="K266" s="4" t="e">
        <f>VLOOKUP(F266,'SUM(히아풀젤,폼 아이캐쳐붙인걸로)'!A:E,5,0)</f>
        <v>#N/A</v>
      </c>
    </row>
    <row r="267" spans="1:11" ht="12" hidden="1" customHeight="1">
      <c r="A267" s="4" t="str">
        <f t="shared" si="8"/>
        <v>81010925ME00621TC3</v>
      </c>
      <c r="B267" s="9">
        <v>81010000</v>
      </c>
      <c r="C267" s="35"/>
      <c r="D267" s="27">
        <v>81010925</v>
      </c>
      <c r="E267" s="71" t="s">
        <v>429</v>
      </c>
      <c r="F267" s="107" t="s">
        <v>639</v>
      </c>
      <c r="G267" s="107"/>
      <c r="H267" s="9">
        <f ca="1">SUMIF('서식(직납)'!B:L,'Summary(수주업로드용)'!A267,'서식(직납)'!J:J)</f>
        <v>0</v>
      </c>
      <c r="I267" s="28" t="e">
        <f ca="1">IF(H267="0","0",VLOOKUP(A267,'서식(직납)'!B:K,10,0))</f>
        <v>#N/A</v>
      </c>
      <c r="J267" s="7" t="e">
        <f t="shared" ca="1" si="9"/>
        <v>#N/A</v>
      </c>
      <c r="K267" s="4" t="e">
        <f>VLOOKUP(F267,'SUM(히아풀젤,폼 아이캐쳐붙인걸로)'!A:E,5,0)</f>
        <v>#N/A</v>
      </c>
    </row>
    <row r="268" spans="1:11" ht="12" hidden="1" customHeight="1">
      <c r="A268" s="4" t="str">
        <f t="shared" si="8"/>
        <v>81010925ME00621AB1</v>
      </c>
      <c r="B268" s="9">
        <v>81010000</v>
      </c>
      <c r="C268" s="35"/>
      <c r="D268" s="27">
        <v>81010925</v>
      </c>
      <c r="E268" s="71" t="s">
        <v>429</v>
      </c>
      <c r="F268" s="107" t="s">
        <v>622</v>
      </c>
      <c r="G268" s="107"/>
      <c r="H268" s="9">
        <f ca="1">SUMIF('서식(직납)'!B:L,'Summary(수주업로드용)'!A268,'서식(직납)'!J:J)</f>
        <v>0</v>
      </c>
      <c r="I268" s="28" t="e">
        <f ca="1">IF(H268="0","0",VLOOKUP(A268,'서식(직납)'!B:K,10,0))</f>
        <v>#N/A</v>
      </c>
      <c r="J268" s="7" t="e">
        <f t="shared" ca="1" si="9"/>
        <v>#N/A</v>
      </c>
      <c r="K268" s="4" t="e">
        <f>VLOOKUP(F268,'SUM(히아풀젤,폼 아이캐쳐붙인걸로)'!A:E,5,0)</f>
        <v>#N/A</v>
      </c>
    </row>
    <row r="269" spans="1:11" ht="12" hidden="1" customHeight="1">
      <c r="A269" s="4" t="str">
        <f t="shared" si="8"/>
        <v>81010925ME00621C17</v>
      </c>
      <c r="B269" s="9">
        <v>81010000</v>
      </c>
      <c r="C269" s="35"/>
      <c r="D269" s="27">
        <v>81010925</v>
      </c>
      <c r="E269" s="71" t="s">
        <v>429</v>
      </c>
      <c r="F269" s="107" t="s">
        <v>621</v>
      </c>
      <c r="G269" s="107"/>
      <c r="H269" s="9">
        <f ca="1">SUMIF('서식(직납)'!B:L,'Summary(수주업로드용)'!A269,'서식(직납)'!J:J)</f>
        <v>0</v>
      </c>
      <c r="I269" s="28" t="e">
        <f ca="1">IF(H269="0","0",VLOOKUP(A269,'서식(직납)'!B:K,10,0))</f>
        <v>#N/A</v>
      </c>
      <c r="J269" s="7" t="e">
        <f t="shared" ca="1" si="9"/>
        <v>#N/A</v>
      </c>
      <c r="K269" s="4" t="e">
        <f>VLOOKUP(F269,'SUM(히아풀젤,폼 아이캐쳐붙인걸로)'!A:E,5,0)</f>
        <v>#N/A</v>
      </c>
    </row>
    <row r="270" spans="1:11" ht="12" hidden="1" customHeight="1">
      <c r="A270" s="4" t="str">
        <f t="shared" si="8"/>
        <v>81010925ME00621AT6</v>
      </c>
      <c r="B270" s="9">
        <v>81010000</v>
      </c>
      <c r="C270" s="35"/>
      <c r="D270" s="27">
        <v>81010925</v>
      </c>
      <c r="E270" s="71" t="s">
        <v>429</v>
      </c>
      <c r="F270" s="107" t="s">
        <v>333</v>
      </c>
      <c r="G270" s="107"/>
      <c r="H270" s="9">
        <f ca="1">SUMIF('서식(직납)'!B:L,'Summary(수주업로드용)'!A270,'서식(직납)'!J:J)</f>
        <v>0</v>
      </c>
      <c r="I270" s="28" t="e">
        <f ca="1">IF(H270="0","0",VLOOKUP(A270,'서식(직납)'!B:K,10,0))</f>
        <v>#N/A</v>
      </c>
      <c r="J270" s="7" t="e">
        <f t="shared" ca="1" si="9"/>
        <v>#N/A</v>
      </c>
      <c r="K270" s="4" t="e">
        <f>VLOOKUP(F270,'SUM(히아풀젤,폼 아이캐쳐붙인걸로)'!A:E,5,0)</f>
        <v>#N/A</v>
      </c>
    </row>
    <row r="271" spans="1:11" ht="12" hidden="1" customHeight="1">
      <c r="A271" s="4" t="str">
        <f t="shared" si="8"/>
        <v>81010925ME00621AM1</v>
      </c>
      <c r="B271" s="9">
        <v>81010000</v>
      </c>
      <c r="C271" s="35"/>
      <c r="D271" s="27">
        <v>81010925</v>
      </c>
      <c r="E271" s="71" t="s">
        <v>429</v>
      </c>
      <c r="F271" s="107" t="s">
        <v>619</v>
      </c>
      <c r="G271" s="107"/>
      <c r="H271" s="9">
        <f ca="1">SUMIF('서식(직납)'!B:L,'Summary(수주업로드용)'!A271,'서식(직납)'!J:J)</f>
        <v>0</v>
      </c>
      <c r="I271" s="28" t="e">
        <f ca="1">IF(H271="0","0",VLOOKUP(A271,'서식(직납)'!B:K,10,0))</f>
        <v>#N/A</v>
      </c>
      <c r="J271" s="7" t="e">
        <f t="shared" ca="1" si="9"/>
        <v>#N/A</v>
      </c>
      <c r="K271" s="4" t="e">
        <f>VLOOKUP(F271,'SUM(히아풀젤,폼 아이캐쳐붙인걸로)'!A:E,5,0)</f>
        <v>#N/A</v>
      </c>
    </row>
    <row r="272" spans="1:11" ht="12" hidden="1" customHeight="1">
      <c r="A272" s="4" t="str">
        <f t="shared" si="8"/>
        <v>81010925ME00621AS1</v>
      </c>
      <c r="B272" s="9">
        <v>81010000</v>
      </c>
      <c r="C272" s="35"/>
      <c r="D272" s="27">
        <v>81010925</v>
      </c>
      <c r="E272" s="71" t="s">
        <v>429</v>
      </c>
      <c r="F272" s="107" t="s">
        <v>498</v>
      </c>
      <c r="G272" s="107"/>
      <c r="H272" s="9">
        <f ca="1">SUMIF('서식(직납)'!B:L,'Summary(수주업로드용)'!A272,'서식(직납)'!J:J)</f>
        <v>0</v>
      </c>
      <c r="I272" s="28" t="e">
        <f ca="1">IF(H272="0","0",VLOOKUP(A272,'서식(직납)'!B:K,10,0))</f>
        <v>#N/A</v>
      </c>
      <c r="J272" s="7" t="e">
        <f t="shared" ca="1" si="9"/>
        <v>#N/A</v>
      </c>
      <c r="K272" s="4" t="e">
        <f>VLOOKUP(F272,'SUM(히아풀젤,폼 아이캐쳐붙인걸로)'!A:E,5,0)</f>
        <v>#N/A</v>
      </c>
    </row>
    <row r="273" spans="1:11" ht="12" hidden="1" customHeight="1">
      <c r="A273" s="4" t="str">
        <f t="shared" si="8"/>
        <v>81010925ME00621AR1</v>
      </c>
      <c r="B273" s="9">
        <v>81010000</v>
      </c>
      <c r="C273" s="35"/>
      <c r="D273" s="27">
        <v>81010925</v>
      </c>
      <c r="E273" s="71" t="s">
        <v>429</v>
      </c>
      <c r="F273" s="107" t="s">
        <v>496</v>
      </c>
      <c r="G273" s="107"/>
      <c r="H273" s="9">
        <f ca="1">SUMIF('서식(직납)'!B:L,'Summary(수주업로드용)'!A273,'서식(직납)'!J:J)</f>
        <v>0</v>
      </c>
      <c r="I273" s="28" t="e">
        <f ca="1">IF(H273="0","0",VLOOKUP(A273,'서식(직납)'!B:K,10,0))</f>
        <v>#N/A</v>
      </c>
      <c r="J273" s="7" t="e">
        <f t="shared" ca="1" si="9"/>
        <v>#N/A</v>
      </c>
      <c r="K273" s="4" t="e">
        <f>VLOOKUP(F273,'SUM(히아풀젤,폼 아이캐쳐붙인걸로)'!A:E,5,0)</f>
        <v>#N/A</v>
      </c>
    </row>
    <row r="274" spans="1:11" ht="12" hidden="1" customHeight="1">
      <c r="A274" s="4" t="str">
        <f t="shared" si="8"/>
        <v>81010925ME00621AL1</v>
      </c>
      <c r="B274" s="9">
        <v>81010000</v>
      </c>
      <c r="C274" s="35"/>
      <c r="D274" s="27">
        <v>81010925</v>
      </c>
      <c r="E274" s="71" t="s">
        <v>429</v>
      </c>
      <c r="F274" s="107" t="s">
        <v>494</v>
      </c>
      <c r="G274" s="107"/>
      <c r="H274" s="9">
        <f ca="1">SUMIF('서식(직납)'!B:L,'Summary(수주업로드용)'!A274,'서식(직납)'!J:J)</f>
        <v>0</v>
      </c>
      <c r="I274" s="28" t="e">
        <f ca="1">IF(H274="0","0",VLOOKUP(A274,'서식(직납)'!B:K,10,0))</f>
        <v>#N/A</v>
      </c>
      <c r="J274" s="7" t="e">
        <f t="shared" ca="1" si="9"/>
        <v>#N/A</v>
      </c>
      <c r="K274" s="4" t="e">
        <f>VLOOKUP(F274,'SUM(히아풀젤,폼 아이캐쳐붙인걸로)'!A:E,5,0)</f>
        <v>#N/A</v>
      </c>
    </row>
    <row r="275" spans="1:11" ht="12" hidden="1" customHeight="1">
      <c r="A275" s="4" t="str">
        <f t="shared" si="8"/>
        <v>81010925ME00621AG1</v>
      </c>
      <c r="B275" s="9">
        <v>81010000</v>
      </c>
      <c r="C275" s="35"/>
      <c r="D275" s="27">
        <v>81010925</v>
      </c>
      <c r="E275" s="71" t="s">
        <v>429</v>
      </c>
      <c r="F275" s="107" t="s">
        <v>492</v>
      </c>
      <c r="G275" s="107"/>
      <c r="H275" s="9">
        <f ca="1">SUMIF('서식(직납)'!B:L,'Summary(수주업로드용)'!A275,'서식(직납)'!J:J)</f>
        <v>0</v>
      </c>
      <c r="I275" s="28" t="e">
        <f ca="1">IF(H275="0","0",VLOOKUP(A275,'서식(직납)'!B:K,10,0))</f>
        <v>#N/A</v>
      </c>
      <c r="J275" s="7" t="e">
        <f t="shared" ca="1" si="9"/>
        <v>#N/A</v>
      </c>
      <c r="K275" s="4" t="e">
        <f>VLOOKUP(F275,'SUM(히아풀젤,폼 아이캐쳐붙인걸로)'!A:E,5,0)</f>
        <v>#N/A</v>
      </c>
    </row>
    <row r="276" spans="1:11" ht="12" hidden="1" customHeight="1">
      <c r="A276" s="4" t="str">
        <f t="shared" si="8"/>
        <v>81010925ME90621C39</v>
      </c>
      <c r="B276" s="9">
        <v>81010000</v>
      </c>
      <c r="C276" s="35"/>
      <c r="D276" s="27">
        <v>81010925</v>
      </c>
      <c r="E276" s="71" t="s">
        <v>429</v>
      </c>
      <c r="F276" s="107" t="s">
        <v>683</v>
      </c>
      <c r="G276" s="107"/>
      <c r="H276" s="9">
        <f ca="1">SUMIF('서식(직납)'!B:L,'Summary(수주업로드용)'!A276,'서식(직납)'!J:J)</f>
        <v>0</v>
      </c>
      <c r="I276" s="28" t="e">
        <f ca="1">IF(H276="0","0",VLOOKUP(A276,'서식(직납)'!B:K,10,0))</f>
        <v>#N/A</v>
      </c>
      <c r="J276" s="7" t="e">
        <f t="shared" ca="1" si="9"/>
        <v>#N/A</v>
      </c>
      <c r="K276" s="4" t="e">
        <f>VLOOKUP(F276,'SUM(히아풀젤,폼 아이캐쳐붙인걸로)'!A:E,5,0)</f>
        <v>#N/A</v>
      </c>
    </row>
    <row r="277" spans="1:11" ht="12" hidden="1" customHeight="1">
      <c r="A277" s="4" t="str">
        <f t="shared" si="8"/>
        <v>81010925ME00621A08</v>
      </c>
      <c r="B277" s="9">
        <v>81010000</v>
      </c>
      <c r="C277" s="35"/>
      <c r="D277" s="27">
        <v>81010925</v>
      </c>
      <c r="E277" s="71" t="s">
        <v>429</v>
      </c>
      <c r="F277" s="107" t="s">
        <v>480</v>
      </c>
      <c r="G277" s="107"/>
      <c r="H277" s="9">
        <f ca="1">SUMIF('서식(직납)'!B:L,'Summary(수주업로드용)'!A277,'서식(직납)'!J:J)</f>
        <v>0</v>
      </c>
      <c r="I277" s="28" t="e">
        <f ca="1">IF(H277="0","0",VLOOKUP(A277,'서식(직납)'!B:K,10,0))</f>
        <v>#N/A</v>
      </c>
      <c r="J277" s="7" t="e">
        <f t="shared" ca="1" si="9"/>
        <v>#N/A</v>
      </c>
      <c r="K277" s="4" t="e">
        <f>VLOOKUP(F277,'SUM(히아풀젤,폼 아이캐쳐붙인걸로)'!A:E,5,0)</f>
        <v>#N/A</v>
      </c>
    </row>
    <row r="278" spans="1:11" ht="12" hidden="1" customHeight="1">
      <c r="A278" s="4" t="str">
        <f t="shared" si="8"/>
        <v>81010925ME90621SM4</v>
      </c>
      <c r="B278" s="9">
        <v>81010000</v>
      </c>
      <c r="C278" s="35"/>
      <c r="D278" s="27">
        <v>81010925</v>
      </c>
      <c r="E278" s="71" t="s">
        <v>429</v>
      </c>
      <c r="F278" s="108" t="s">
        <v>19</v>
      </c>
      <c r="G278" s="108"/>
      <c r="H278" s="9">
        <f ca="1">SUMIF('서식(직납)'!B:L,'Summary(수주업로드용)'!A278,'서식(직납)'!J:J)</f>
        <v>0</v>
      </c>
      <c r="I278" s="28" t="e">
        <f ca="1">IF(H278="0","0",VLOOKUP(A278,'서식(직납)'!B:K,10,0))</f>
        <v>#N/A</v>
      </c>
      <c r="J278" s="7" t="e">
        <f t="shared" ca="1" si="9"/>
        <v>#N/A</v>
      </c>
      <c r="K278" s="4" t="e">
        <f>VLOOKUP(F278,'SUM(히아풀젤,폼 아이캐쳐붙인걸로)'!A:E,5,0)</f>
        <v>#N/A</v>
      </c>
    </row>
    <row r="279" spans="1:11" ht="12" hidden="1" customHeight="1">
      <c r="A279" s="4" t="str">
        <f t="shared" si="8"/>
        <v>81010925ME90621SL2</v>
      </c>
      <c r="B279" s="9">
        <v>81010000</v>
      </c>
      <c r="C279" s="35"/>
      <c r="D279" s="27">
        <v>81010925</v>
      </c>
      <c r="E279" s="71" t="s">
        <v>429</v>
      </c>
      <c r="F279" s="108" t="s">
        <v>628</v>
      </c>
      <c r="G279" s="108"/>
      <c r="H279" s="9">
        <f ca="1">SUMIF('서식(직납)'!B:L,'Summary(수주업로드용)'!A279,'서식(직납)'!J:J)</f>
        <v>0</v>
      </c>
      <c r="I279" s="28" t="e">
        <f ca="1">IF(H279="0","0",VLOOKUP(A279,'서식(직납)'!B:K,10,0))</f>
        <v>#N/A</v>
      </c>
      <c r="J279" s="7" t="e">
        <f t="shared" ca="1" si="9"/>
        <v>#N/A</v>
      </c>
      <c r="K279" s="4" t="e">
        <f>VLOOKUP(F279,'SUM(히아풀젤,폼 아이캐쳐붙인걸로)'!A:E,5,0)</f>
        <v>#N/A</v>
      </c>
    </row>
    <row r="280" spans="1:11" ht="12" hidden="1" customHeight="1">
      <c r="A280" s="4" t="str">
        <f t="shared" si="8"/>
        <v>81010925ME90621SCM</v>
      </c>
      <c r="B280" s="9">
        <v>81010000</v>
      </c>
      <c r="C280" s="35"/>
      <c r="D280" s="27">
        <v>81010925</v>
      </c>
      <c r="E280" s="71" t="s">
        <v>429</v>
      </c>
      <c r="F280" s="108" t="s">
        <v>593</v>
      </c>
      <c r="G280" s="108"/>
      <c r="H280" s="9">
        <f ca="1">SUMIF('서식(직납)'!B:L,'Summary(수주업로드용)'!A280,'서식(직납)'!J:J)</f>
        <v>0</v>
      </c>
      <c r="I280" s="28" t="e">
        <f ca="1">IF(H280="0","0",VLOOKUP(A280,'서식(직납)'!B:K,10,0))</f>
        <v>#N/A</v>
      </c>
      <c r="J280" s="7" t="e">
        <f t="shared" ca="1" si="9"/>
        <v>#N/A</v>
      </c>
      <c r="K280" s="4" t="e">
        <f>VLOOKUP(F280,'SUM(히아풀젤,폼 아이캐쳐붙인걸로)'!A:E,5,0)</f>
        <v>#N/A</v>
      </c>
    </row>
    <row r="281" spans="1:11" ht="12" hidden="1" customHeight="1">
      <c r="A281" s="4" t="str">
        <f t="shared" si="8"/>
        <v>81010925ME90621KW1</v>
      </c>
      <c r="B281" s="9">
        <v>81010000</v>
      </c>
      <c r="C281" s="35"/>
      <c r="D281" s="27">
        <v>81010925</v>
      </c>
      <c r="E281" s="71" t="s">
        <v>429</v>
      </c>
      <c r="F281" s="108" t="s">
        <v>616</v>
      </c>
      <c r="G281" s="108"/>
      <c r="H281" s="9">
        <f ca="1">SUMIF('서식(직납)'!B:L,'Summary(수주업로드용)'!A281,'서식(직납)'!J:J)</f>
        <v>0</v>
      </c>
      <c r="I281" s="28" t="e">
        <f ca="1">IF(H281="0","0",VLOOKUP(A281,'서식(직납)'!B:K,10,0))</f>
        <v>#N/A</v>
      </c>
      <c r="J281" s="7" t="e">
        <f t="shared" ca="1" si="9"/>
        <v>#N/A</v>
      </c>
      <c r="K281" s="4" t="e">
        <f>VLOOKUP(F281,'SUM(히아풀젤,폼 아이캐쳐붙인걸로)'!A:E,5,0)</f>
        <v>#N/A</v>
      </c>
    </row>
    <row r="282" spans="1:11" ht="12" hidden="1" customHeight="1">
      <c r="A282" s="4" t="str">
        <f t="shared" si="8"/>
        <v>81010925ME00621H51</v>
      </c>
      <c r="B282" s="9">
        <v>81010000</v>
      </c>
      <c r="C282" s="35"/>
      <c r="D282" s="27">
        <v>81010925</v>
      </c>
      <c r="E282" s="71" t="s">
        <v>429</v>
      </c>
      <c r="F282" s="108" t="s">
        <v>611</v>
      </c>
      <c r="G282" s="108"/>
      <c r="H282" s="9">
        <f ca="1">SUMIF('서식(직납)'!B:L,'Summary(수주업로드용)'!A282,'서식(직납)'!J:J)</f>
        <v>0</v>
      </c>
      <c r="I282" s="28" t="e">
        <f ca="1">IF(H282="0","0",VLOOKUP(A282,'서식(직납)'!B:K,10,0))</f>
        <v>#N/A</v>
      </c>
      <c r="J282" s="7" t="e">
        <f t="shared" ca="1" si="9"/>
        <v>#N/A</v>
      </c>
      <c r="K282" s="4" t="e">
        <f>VLOOKUP(F282,'SUM(히아풀젤,폼 아이캐쳐붙인걸로)'!A:E,5,0)</f>
        <v>#N/A</v>
      </c>
    </row>
    <row r="283" spans="1:11" ht="12" hidden="1" customHeight="1">
      <c r="A283" s="4" t="str">
        <f t="shared" si="8"/>
        <v>81010925ME90621GPM</v>
      </c>
      <c r="B283" s="9">
        <v>81010000</v>
      </c>
      <c r="C283" s="35"/>
      <c r="D283" s="27">
        <v>81010925</v>
      </c>
      <c r="E283" s="71" t="s">
        <v>429</v>
      </c>
      <c r="F283" s="108" t="s">
        <v>534</v>
      </c>
      <c r="G283" s="108"/>
      <c r="H283" s="9">
        <f ca="1">SUMIF('서식(직납)'!B:L,'Summary(수주업로드용)'!A283,'서식(직납)'!J:J)</f>
        <v>0</v>
      </c>
      <c r="I283" s="28" t="e">
        <f ca="1">IF(H283="0","0",VLOOKUP(A283,'서식(직납)'!B:K,10,0))</f>
        <v>#N/A</v>
      </c>
      <c r="J283" s="7" t="e">
        <f t="shared" ca="1" si="9"/>
        <v>#N/A</v>
      </c>
      <c r="K283" s="4" t="e">
        <f>VLOOKUP(F283,'SUM(히아풀젤,폼 아이캐쳐붙인걸로)'!A:E,5,0)</f>
        <v>#N/A</v>
      </c>
    </row>
    <row r="284" spans="1:11" ht="12" hidden="1" customHeight="1">
      <c r="A284" s="4" t="str">
        <f t="shared" si="8"/>
        <v>81010925ME90621GPL</v>
      </c>
      <c r="B284" s="9">
        <v>81010000</v>
      </c>
      <c r="C284" s="35"/>
      <c r="D284" s="27">
        <v>81010925</v>
      </c>
      <c r="E284" s="71" t="s">
        <v>429</v>
      </c>
      <c r="F284" s="108" t="s">
        <v>533</v>
      </c>
      <c r="G284" s="108"/>
      <c r="H284" s="9">
        <f ca="1">SUMIF('서식(직납)'!B:L,'Summary(수주업로드용)'!A284,'서식(직납)'!J:J)</f>
        <v>0</v>
      </c>
      <c r="I284" s="28" t="e">
        <f ca="1">IF(H284="0","0",VLOOKUP(A284,'서식(직납)'!B:K,10,0))</f>
        <v>#N/A</v>
      </c>
      <c r="J284" s="7" t="e">
        <f t="shared" ca="1" si="9"/>
        <v>#N/A</v>
      </c>
      <c r="K284" s="4" t="e">
        <f>VLOOKUP(F284,'SUM(히아풀젤,폼 아이캐쳐붙인걸로)'!A:E,5,0)</f>
        <v>#N/A</v>
      </c>
    </row>
    <row r="285" spans="1:11" ht="12" hidden="1" customHeight="1">
      <c r="A285" s="4" t="str">
        <f t="shared" si="8"/>
        <v>81010925ME90621GPJ</v>
      </c>
      <c r="B285" s="9">
        <v>81010000</v>
      </c>
      <c r="C285" s="35"/>
      <c r="D285" s="27">
        <v>81010925</v>
      </c>
      <c r="E285" s="71" t="s">
        <v>429</v>
      </c>
      <c r="F285" s="108" t="s">
        <v>532</v>
      </c>
      <c r="G285" s="108"/>
      <c r="H285" s="9">
        <f ca="1">SUMIF('서식(직납)'!B:L,'Summary(수주업로드용)'!A285,'서식(직납)'!J:J)</f>
        <v>0</v>
      </c>
      <c r="I285" s="28" t="e">
        <f ca="1">IF(H285="0","0",VLOOKUP(A285,'서식(직납)'!B:K,10,0))</f>
        <v>#N/A</v>
      </c>
      <c r="J285" s="7" t="e">
        <f t="shared" ca="1" si="9"/>
        <v>#N/A</v>
      </c>
      <c r="K285" s="4" t="e">
        <f>VLOOKUP(F285,'SUM(히아풀젤,폼 아이캐쳐붙인걸로)'!A:E,5,0)</f>
        <v>#N/A</v>
      </c>
    </row>
    <row r="286" spans="1:11" ht="12" hidden="1" customHeight="1">
      <c r="A286" s="4" t="str">
        <f t="shared" si="8"/>
        <v>81010925ME90621GO8</v>
      </c>
      <c r="B286" s="9">
        <v>81010000</v>
      </c>
      <c r="C286" s="35"/>
      <c r="D286" s="27">
        <v>81010925</v>
      </c>
      <c r="E286" s="71" t="s">
        <v>429</v>
      </c>
      <c r="F286" s="108" t="s">
        <v>956</v>
      </c>
      <c r="G286" s="108"/>
      <c r="H286" s="9">
        <f ca="1">SUMIF('서식(직납)'!B:L,'Summary(수주업로드용)'!A286,'서식(직납)'!J:J)</f>
        <v>0</v>
      </c>
      <c r="I286" s="28" t="e">
        <f ca="1">IF(H286="0","0",VLOOKUP(A286,'서식(직납)'!B:K,10,0))</f>
        <v>#N/A</v>
      </c>
      <c r="J286" s="7" t="e">
        <f t="shared" ca="1" si="9"/>
        <v>#N/A</v>
      </c>
      <c r="K286" s="4">
        <f>VLOOKUP(F286,'SUM(히아풀젤,폼 아이캐쳐붙인걸로)'!A:E,5,0)</f>
        <v>0</v>
      </c>
    </row>
    <row r="287" spans="1:11" ht="12" hidden="1" customHeight="1">
      <c r="A287" s="4" t="str">
        <f t="shared" si="8"/>
        <v>81010925ME90621GM5</v>
      </c>
      <c r="B287" s="9">
        <v>81010000</v>
      </c>
      <c r="C287" s="35"/>
      <c r="D287" s="27">
        <v>81010925</v>
      </c>
      <c r="E287" s="71" t="s">
        <v>429</v>
      </c>
      <c r="F287" s="108" t="s">
        <v>537</v>
      </c>
      <c r="G287" s="108"/>
      <c r="H287" s="9">
        <f ca="1">SUMIF('서식(직납)'!B:L,'Summary(수주업로드용)'!A287,'서식(직납)'!J:J)</f>
        <v>0</v>
      </c>
      <c r="I287" s="28" t="e">
        <f ca="1">IF(H287="0","0",VLOOKUP(A287,'서식(직납)'!B:K,10,0))</f>
        <v>#N/A</v>
      </c>
      <c r="J287" s="7" t="e">
        <f t="shared" ca="1" si="9"/>
        <v>#N/A</v>
      </c>
      <c r="K287" s="4" t="e">
        <f>VLOOKUP(F287,'SUM(히아풀젤,폼 아이캐쳐붙인걸로)'!A:E,5,0)</f>
        <v>#N/A</v>
      </c>
    </row>
    <row r="288" spans="1:11" ht="12" hidden="1" customHeight="1">
      <c r="A288" s="4" t="str">
        <f t="shared" si="8"/>
        <v>81010925ME90621GLK</v>
      </c>
      <c r="B288" s="9">
        <v>81010000</v>
      </c>
      <c r="C288" s="35"/>
      <c r="D288" s="27">
        <v>81010925</v>
      </c>
      <c r="E288" s="71" t="s">
        <v>429</v>
      </c>
      <c r="F288" s="108" t="s">
        <v>604</v>
      </c>
      <c r="G288" s="108"/>
      <c r="H288" s="9">
        <f ca="1">SUMIF('서식(직납)'!B:L,'Summary(수주업로드용)'!A288,'서식(직납)'!J:J)</f>
        <v>0</v>
      </c>
      <c r="I288" s="28" t="e">
        <f ca="1">IF(H288="0","0",VLOOKUP(A288,'서식(직납)'!B:K,10,0))</f>
        <v>#N/A</v>
      </c>
      <c r="J288" s="7" t="e">
        <f t="shared" ca="1" si="9"/>
        <v>#N/A</v>
      </c>
      <c r="K288" s="4" t="e">
        <f>VLOOKUP(F288,'SUM(히아풀젤,폼 아이캐쳐붙인걸로)'!A:E,5,0)</f>
        <v>#N/A</v>
      </c>
    </row>
    <row r="289" spans="1:11" ht="12" hidden="1" customHeight="1">
      <c r="A289" s="4" t="str">
        <f t="shared" si="8"/>
        <v>81010925ME90621GL6</v>
      </c>
      <c r="B289" s="9">
        <v>81010000</v>
      </c>
      <c r="C289" s="35"/>
      <c r="D289" s="27">
        <v>81010925</v>
      </c>
      <c r="E289" s="71" t="s">
        <v>429</v>
      </c>
      <c r="F289" s="108" t="s">
        <v>536</v>
      </c>
      <c r="G289" s="108"/>
      <c r="H289" s="9">
        <f ca="1">SUMIF('서식(직납)'!B:L,'Summary(수주업로드용)'!A289,'서식(직납)'!J:J)</f>
        <v>0</v>
      </c>
      <c r="I289" s="28" t="e">
        <f ca="1">IF(H289="0","0",VLOOKUP(A289,'서식(직납)'!B:K,10,0))</f>
        <v>#N/A</v>
      </c>
      <c r="J289" s="7" t="e">
        <f t="shared" ca="1" si="9"/>
        <v>#N/A</v>
      </c>
      <c r="K289" s="4" t="e">
        <f>VLOOKUP(F289,'SUM(히아풀젤,폼 아이캐쳐붙인걸로)'!A:E,5,0)</f>
        <v>#N/A</v>
      </c>
    </row>
    <row r="290" spans="1:11" ht="12" hidden="1" customHeight="1">
      <c r="A290" s="4" t="str">
        <f t="shared" si="8"/>
        <v>81010925ME90621GHV</v>
      </c>
      <c r="B290" s="9">
        <v>81010000</v>
      </c>
      <c r="C290" s="35"/>
      <c r="D290" s="27">
        <v>81010925</v>
      </c>
      <c r="E290" s="71" t="s">
        <v>429</v>
      </c>
      <c r="F290" s="108" t="s">
        <v>623</v>
      </c>
      <c r="G290" s="108"/>
      <c r="H290" s="9">
        <f ca="1">SUMIF('서식(직납)'!B:L,'Summary(수주업로드용)'!A290,'서식(직납)'!J:J)</f>
        <v>0</v>
      </c>
      <c r="I290" s="28" t="e">
        <f ca="1">IF(H290="0","0",VLOOKUP(A290,'서식(직납)'!B:K,10,0))</f>
        <v>#N/A</v>
      </c>
      <c r="J290" s="7" t="e">
        <f t="shared" ca="1" si="9"/>
        <v>#N/A</v>
      </c>
      <c r="K290" s="4" t="e">
        <f>VLOOKUP(F290,'SUM(히아풀젤,폼 아이캐쳐붙인걸로)'!A:E,5,0)</f>
        <v>#N/A</v>
      </c>
    </row>
    <row r="291" spans="1:11" ht="12" hidden="1" customHeight="1">
      <c r="A291" s="4" t="str">
        <f t="shared" si="8"/>
        <v>81010925ME00621H41</v>
      </c>
      <c r="B291" s="9">
        <v>81010000</v>
      </c>
      <c r="C291" s="35"/>
      <c r="D291" s="27">
        <v>81010925</v>
      </c>
      <c r="E291" s="71" t="s">
        <v>429</v>
      </c>
      <c r="F291" s="108" t="s">
        <v>667</v>
      </c>
      <c r="G291" s="108"/>
      <c r="H291" s="9">
        <f ca="1">SUMIF('서식(직납)'!B:L,'Summary(수주업로드용)'!A291,'서식(직납)'!J:J)</f>
        <v>0</v>
      </c>
      <c r="I291" s="28" t="e">
        <f ca="1">IF(H291="0","0",VLOOKUP(A291,'서식(직납)'!B:K,10,0))</f>
        <v>#N/A</v>
      </c>
      <c r="J291" s="7" t="e">
        <f t="shared" ca="1" si="9"/>
        <v>#N/A</v>
      </c>
      <c r="K291" s="4" t="e">
        <f>VLOOKUP(F291,'SUM(히아풀젤,폼 아이캐쳐붙인걸로)'!A:E,5,0)</f>
        <v>#N/A</v>
      </c>
    </row>
    <row r="292" spans="1:11" ht="12" hidden="1" customHeight="1">
      <c r="A292" s="4" t="str">
        <f t="shared" si="8"/>
        <v>81010925ME00621CM5</v>
      </c>
      <c r="B292" s="9">
        <v>81010000</v>
      </c>
      <c r="C292" s="35"/>
      <c r="D292" s="27">
        <v>81010925</v>
      </c>
      <c r="E292" s="71" t="s">
        <v>429</v>
      </c>
      <c r="F292" s="108" t="s">
        <v>620</v>
      </c>
      <c r="G292" s="108"/>
      <c r="H292" s="9">
        <f ca="1">SUMIF('서식(직납)'!B:L,'Summary(수주업로드용)'!A292,'서식(직납)'!J:J)</f>
        <v>0</v>
      </c>
      <c r="I292" s="28" t="e">
        <f ca="1">IF(H292="0","0",VLOOKUP(A292,'서식(직납)'!B:K,10,0))</f>
        <v>#N/A</v>
      </c>
      <c r="J292" s="7" t="e">
        <f t="shared" ca="1" si="9"/>
        <v>#N/A</v>
      </c>
      <c r="K292" s="4">
        <f>VLOOKUP(F292,'SUM(히아풀젤,폼 아이캐쳐붙인걸로)'!A:E,5,0)</f>
        <v>0</v>
      </c>
    </row>
    <row r="293" spans="1:11" ht="12" hidden="1" customHeight="1">
      <c r="A293" s="4" t="str">
        <f t="shared" si="8"/>
        <v>81010925ME90621GE1</v>
      </c>
      <c r="B293" s="9">
        <v>81010000</v>
      </c>
      <c r="C293" s="35"/>
      <c r="D293" s="27">
        <v>81010925</v>
      </c>
      <c r="E293" s="71" t="s">
        <v>429</v>
      </c>
      <c r="F293" s="108" t="s">
        <v>523</v>
      </c>
      <c r="G293" s="108"/>
      <c r="H293" s="9">
        <f ca="1">SUMIF('서식(직납)'!B:L,'Summary(수주업로드용)'!A293,'서식(직납)'!J:J)</f>
        <v>0</v>
      </c>
      <c r="I293" s="28" t="e">
        <f ca="1">IF(H293="0","0",VLOOKUP(A293,'서식(직납)'!B:K,10,0))</f>
        <v>#N/A</v>
      </c>
      <c r="J293" s="7" t="e">
        <f t="shared" ca="1" si="9"/>
        <v>#N/A</v>
      </c>
      <c r="K293" s="4" t="e">
        <f>VLOOKUP(F293,'SUM(히아풀젤,폼 아이캐쳐붙인걸로)'!A:E,5,0)</f>
        <v>#N/A</v>
      </c>
    </row>
    <row r="294" spans="1:11" ht="12" hidden="1" customHeight="1">
      <c r="A294" s="4" t="str">
        <f t="shared" si="8"/>
        <v>81010925ME90621GCK</v>
      </c>
      <c r="B294" s="9">
        <v>81010000</v>
      </c>
      <c r="C294" s="35"/>
      <c r="D294" s="27">
        <v>81010925</v>
      </c>
      <c r="E294" s="71" t="s">
        <v>429</v>
      </c>
      <c r="F294" s="108" t="s">
        <v>636</v>
      </c>
      <c r="G294" s="108"/>
      <c r="H294" s="9">
        <f ca="1">SUMIF('서식(직납)'!B:L,'Summary(수주업로드용)'!A294,'서식(직납)'!J:J)</f>
        <v>0</v>
      </c>
      <c r="I294" s="28" t="e">
        <f ca="1">IF(H294="0","0",VLOOKUP(A294,'서식(직납)'!B:K,10,0))</f>
        <v>#N/A</v>
      </c>
      <c r="J294" s="7" t="e">
        <f t="shared" ca="1" si="9"/>
        <v>#N/A</v>
      </c>
      <c r="K294" s="4" t="e">
        <f>VLOOKUP(F294,'SUM(히아풀젤,폼 아이캐쳐붙인걸로)'!A:E,5,0)</f>
        <v>#N/A</v>
      </c>
    </row>
    <row r="295" spans="1:11" ht="12" hidden="1" customHeight="1">
      <c r="A295" s="4" t="str">
        <f t="shared" si="8"/>
        <v>81010925ME00621SS1</v>
      </c>
      <c r="B295" s="9">
        <v>81010000</v>
      </c>
      <c r="C295" s="35"/>
      <c r="D295" s="27">
        <v>81010925</v>
      </c>
      <c r="E295" s="71" t="s">
        <v>429</v>
      </c>
      <c r="F295" s="108" t="s">
        <v>524</v>
      </c>
      <c r="G295" s="108"/>
      <c r="H295" s="9">
        <f ca="1">SUMIF('서식(직납)'!B:L,'Summary(수주업로드용)'!A295,'서식(직납)'!J:J)</f>
        <v>0</v>
      </c>
      <c r="I295" s="28" t="e">
        <f ca="1">IF(H295="0","0",VLOOKUP(A295,'서식(직납)'!B:K,10,0))</f>
        <v>#N/A</v>
      </c>
      <c r="J295" s="7" t="e">
        <f t="shared" ca="1" si="9"/>
        <v>#N/A</v>
      </c>
      <c r="K295" s="4" t="e">
        <f>VLOOKUP(F295,'SUM(히아풀젤,폼 아이캐쳐붙인걸로)'!A:E,5,0)</f>
        <v>#N/A</v>
      </c>
    </row>
    <row r="296" spans="1:11" ht="12" hidden="1" customHeight="1">
      <c r="A296" s="4" t="str">
        <f t="shared" si="8"/>
        <v>81010925ME00621GP1</v>
      </c>
      <c r="B296" s="9">
        <v>81010000</v>
      </c>
      <c r="C296" s="35"/>
      <c r="D296" s="27">
        <v>81010925</v>
      </c>
      <c r="E296" s="71" t="s">
        <v>429</v>
      </c>
      <c r="F296" s="108" t="s">
        <v>594</v>
      </c>
      <c r="G296" s="108"/>
      <c r="H296" s="9">
        <f ca="1">SUMIF('서식(직납)'!B:L,'Summary(수주업로드용)'!A296,'서식(직납)'!J:J)</f>
        <v>0</v>
      </c>
      <c r="I296" s="28" t="e">
        <f ca="1">IF(H296="0","0",VLOOKUP(A296,'서식(직납)'!B:K,10,0))</f>
        <v>#N/A</v>
      </c>
      <c r="J296" s="7" t="e">
        <f t="shared" ca="1" si="9"/>
        <v>#N/A</v>
      </c>
      <c r="K296" s="4" t="e">
        <f>VLOOKUP(F296,'SUM(히아풀젤,폼 아이캐쳐붙인걸로)'!A:E,5,0)</f>
        <v>#N/A</v>
      </c>
    </row>
    <row r="297" spans="1:11" ht="12" hidden="1" customHeight="1">
      <c r="A297" s="4" t="str">
        <f t="shared" si="8"/>
        <v>81010925ME90521GS2</v>
      </c>
      <c r="B297" s="9">
        <v>81010000</v>
      </c>
      <c r="C297" s="35"/>
      <c r="D297" s="27">
        <v>81010925</v>
      </c>
      <c r="E297" s="71" t="s">
        <v>429</v>
      </c>
      <c r="F297" s="107" t="s">
        <v>916</v>
      </c>
      <c r="G297" s="107"/>
      <c r="H297" s="9">
        <f ca="1">SUMIF('서식(직납)'!B:L,'Summary(수주업로드용)'!A297,'서식(직납)'!J:J)</f>
        <v>0</v>
      </c>
      <c r="I297" s="28" t="e">
        <f ca="1">IF(H297="0","0",VLOOKUP(A297,'서식(직납)'!B:K,10,0))</f>
        <v>#N/A</v>
      </c>
      <c r="J297" s="7" t="e">
        <f t="shared" ca="1" si="9"/>
        <v>#N/A</v>
      </c>
      <c r="K297" s="4">
        <f>VLOOKUP(F297,'SUM(히아풀젤,폼 아이캐쳐붙인걸로)'!A:E,5,0)</f>
        <v>0</v>
      </c>
    </row>
    <row r="298" spans="1:11" ht="12" hidden="1" customHeight="1">
      <c r="A298" s="4" t="str">
        <f t="shared" si="8"/>
        <v>81010925ME90521LD9</v>
      </c>
      <c r="B298" s="9">
        <v>81010000</v>
      </c>
      <c r="C298" s="35"/>
      <c r="D298" s="27">
        <v>81010925</v>
      </c>
      <c r="E298" s="71" t="s">
        <v>429</v>
      </c>
      <c r="F298" s="107" t="s">
        <v>918</v>
      </c>
      <c r="G298" s="107"/>
      <c r="H298" s="9">
        <f ca="1">SUMIF('서식(직납)'!B:L,'Summary(수주업로드용)'!A298,'서식(직납)'!J:J)</f>
        <v>0</v>
      </c>
      <c r="I298" s="28" t="e">
        <f ca="1">IF(H298="0","0",VLOOKUP(A298,'서식(직납)'!B:K,10,0))</f>
        <v>#N/A</v>
      </c>
      <c r="J298" s="7" t="e">
        <f t="shared" ca="1" si="9"/>
        <v>#N/A</v>
      </c>
      <c r="K298" s="4">
        <f>VLOOKUP(F298,'SUM(히아풀젤,폼 아이캐쳐붙인걸로)'!A:E,5,0)</f>
        <v>0</v>
      </c>
    </row>
    <row r="299" spans="1:11" ht="12" hidden="1" customHeight="1">
      <c r="A299" s="4" t="str">
        <f t="shared" si="8"/>
        <v>81010925ME90521GT2</v>
      </c>
      <c r="B299" s="9">
        <v>81010000</v>
      </c>
      <c r="C299" s="35"/>
      <c r="D299" s="27">
        <v>81010925</v>
      </c>
      <c r="E299" s="71" t="s">
        <v>429</v>
      </c>
      <c r="F299" s="107" t="s">
        <v>912</v>
      </c>
      <c r="G299" s="107"/>
      <c r="H299" s="9">
        <f ca="1">SUMIF('서식(직납)'!B:L,'Summary(수주업로드용)'!A299,'서식(직납)'!J:J)</f>
        <v>0</v>
      </c>
      <c r="I299" s="28" t="e">
        <f ca="1">IF(H299="0","0",VLOOKUP(A299,'서식(직납)'!B:K,10,0))</f>
        <v>#N/A</v>
      </c>
      <c r="J299" s="7" t="e">
        <f t="shared" ca="1" si="9"/>
        <v>#N/A</v>
      </c>
      <c r="K299" s="4">
        <f>VLOOKUP(F299,'SUM(히아풀젤,폼 아이캐쳐붙인걸로)'!A:E,5,0)</f>
        <v>0</v>
      </c>
    </row>
    <row r="300" spans="1:11" ht="12" hidden="1" customHeight="1">
      <c r="A300" s="4" t="str">
        <f t="shared" si="8"/>
        <v>81010925ME90521OC6</v>
      </c>
      <c r="B300" s="9">
        <v>81010000</v>
      </c>
      <c r="C300" s="35"/>
      <c r="D300" s="27">
        <v>81010925</v>
      </c>
      <c r="E300" s="71" t="s">
        <v>429</v>
      </c>
      <c r="F300" s="107" t="s">
        <v>572</v>
      </c>
      <c r="G300" s="107"/>
      <c r="H300" s="9">
        <f ca="1">SUMIF('서식(직납)'!B:L,'Summary(수주업로드용)'!A300,'서식(직납)'!J:J)</f>
        <v>0</v>
      </c>
      <c r="I300" s="28" t="e">
        <f ca="1">IF(H300="0","0",VLOOKUP(A300,'서식(직납)'!B:K,10,0))</f>
        <v>#N/A</v>
      </c>
      <c r="J300" s="7" t="e">
        <f t="shared" ca="1" si="9"/>
        <v>#N/A</v>
      </c>
      <c r="K300" s="4" t="e">
        <f>VLOOKUP(F300,'SUM(히아풀젤,폼 아이캐쳐붙인걸로)'!A:E,5,0)</f>
        <v>#N/A</v>
      </c>
    </row>
    <row r="301" spans="1:11" ht="12" hidden="1" customHeight="1">
      <c r="A301" s="4" t="str">
        <f t="shared" si="8"/>
        <v>81010925ME90521OC5</v>
      </c>
      <c r="B301" s="9">
        <v>81010000</v>
      </c>
      <c r="C301" s="35"/>
      <c r="D301" s="27">
        <v>81010925</v>
      </c>
      <c r="E301" s="71" t="s">
        <v>429</v>
      </c>
      <c r="F301" s="107" t="s">
        <v>571</v>
      </c>
      <c r="G301" s="107"/>
      <c r="H301" s="9">
        <f ca="1">SUMIF('서식(직납)'!B:L,'Summary(수주업로드용)'!A301,'서식(직납)'!J:J)</f>
        <v>0</v>
      </c>
      <c r="I301" s="28" t="e">
        <f ca="1">IF(H301="0","0",VLOOKUP(A301,'서식(직납)'!B:K,10,0))</f>
        <v>#N/A</v>
      </c>
      <c r="J301" s="7" t="e">
        <f t="shared" ca="1" si="9"/>
        <v>#N/A</v>
      </c>
      <c r="K301" s="4" t="e">
        <f>VLOOKUP(F301,'SUM(히아풀젤,폼 아이캐쳐붙인걸로)'!A:E,5,0)</f>
        <v>#N/A</v>
      </c>
    </row>
    <row r="302" spans="1:11" ht="12" hidden="1" customHeight="1">
      <c r="A302" s="4" t="str">
        <f t="shared" si="8"/>
        <v>81010925ME90521OC4</v>
      </c>
      <c r="B302" s="9">
        <v>81010000</v>
      </c>
      <c r="C302" s="35"/>
      <c r="D302" s="27">
        <v>81010925</v>
      </c>
      <c r="E302" s="71" t="s">
        <v>429</v>
      </c>
      <c r="F302" s="107" t="s">
        <v>570</v>
      </c>
      <c r="G302" s="107"/>
      <c r="H302" s="9">
        <f ca="1">SUMIF('서식(직납)'!B:L,'Summary(수주업로드용)'!A302,'서식(직납)'!J:J)</f>
        <v>0</v>
      </c>
      <c r="I302" s="28" t="e">
        <f ca="1">IF(H302="0","0",VLOOKUP(A302,'서식(직납)'!B:K,10,0))</f>
        <v>#N/A</v>
      </c>
      <c r="J302" s="7" t="e">
        <f t="shared" ca="1" si="9"/>
        <v>#N/A</v>
      </c>
      <c r="K302" s="4" t="e">
        <f>VLOOKUP(F302,'SUM(히아풀젤,폼 아이캐쳐붙인걸로)'!A:E,5,0)</f>
        <v>#N/A</v>
      </c>
    </row>
    <row r="303" spans="1:11" ht="12" hidden="1" customHeight="1">
      <c r="A303" s="4" t="str">
        <f t="shared" si="8"/>
        <v>81010925ME90521LR1</v>
      </c>
      <c r="B303" s="9">
        <v>81010000</v>
      </c>
      <c r="C303" s="35"/>
      <c r="D303" s="27">
        <v>81010925</v>
      </c>
      <c r="E303" s="71" t="s">
        <v>429</v>
      </c>
      <c r="F303" s="107" t="s">
        <v>551</v>
      </c>
      <c r="G303" s="107"/>
      <c r="H303" s="9">
        <f ca="1">SUMIF('서식(직납)'!B:L,'Summary(수주업로드용)'!A303,'서식(직납)'!J:J)</f>
        <v>0</v>
      </c>
      <c r="I303" s="28" t="e">
        <f ca="1">IF(H303="0","0",VLOOKUP(A303,'서식(직납)'!B:K,10,0))</f>
        <v>#N/A</v>
      </c>
      <c r="J303" s="7" t="e">
        <f t="shared" ca="1" si="9"/>
        <v>#N/A</v>
      </c>
      <c r="K303" s="4" t="e">
        <f>VLOOKUP(F303,'SUM(히아풀젤,폼 아이캐쳐붙인걸로)'!A:E,5,0)</f>
        <v>#N/A</v>
      </c>
    </row>
    <row r="304" spans="1:11" ht="12" hidden="1" customHeight="1">
      <c r="A304" s="4" t="str">
        <f t="shared" si="8"/>
        <v>81010925ME90521EL9</v>
      </c>
      <c r="B304" s="9">
        <v>81010000</v>
      </c>
      <c r="C304" s="35"/>
      <c r="D304" s="27">
        <v>81010925</v>
      </c>
      <c r="E304" s="71" t="s">
        <v>429</v>
      </c>
      <c r="F304" s="107" t="s">
        <v>331</v>
      </c>
      <c r="G304" s="107"/>
      <c r="H304" s="9">
        <f ca="1">SUMIF('서식(직납)'!B:L,'Summary(수주업로드용)'!A304,'서식(직납)'!J:J)</f>
        <v>0</v>
      </c>
      <c r="I304" s="28" t="e">
        <f ca="1">IF(H304="0","0",VLOOKUP(A304,'서식(직납)'!B:K,10,0))</f>
        <v>#N/A</v>
      </c>
      <c r="J304" s="7" t="e">
        <f t="shared" ca="1" si="9"/>
        <v>#N/A</v>
      </c>
      <c r="K304" s="4">
        <f>VLOOKUP(F304,'SUM(히아풀젤,폼 아이캐쳐붙인걸로)'!A:E,5,0)</f>
        <v>0</v>
      </c>
    </row>
    <row r="305" spans="1:11" ht="12" hidden="1" customHeight="1">
      <c r="A305" s="4" t="str">
        <f t="shared" si="8"/>
        <v>81010925ME90521EL8</v>
      </c>
      <c r="B305" s="9">
        <v>81010000</v>
      </c>
      <c r="C305" s="35"/>
      <c r="D305" s="27">
        <v>81010925</v>
      </c>
      <c r="E305" s="71" t="s">
        <v>429</v>
      </c>
      <c r="F305" s="107" t="s">
        <v>340</v>
      </c>
      <c r="G305" s="107"/>
      <c r="H305" s="9">
        <f ca="1">SUMIF('서식(직납)'!B:L,'Summary(수주업로드용)'!A305,'서식(직납)'!J:J)</f>
        <v>0</v>
      </c>
      <c r="I305" s="28" t="e">
        <f ca="1">IF(H305="0","0",VLOOKUP(A305,'서식(직납)'!B:K,10,0))</f>
        <v>#N/A</v>
      </c>
      <c r="J305" s="7" t="e">
        <f t="shared" ca="1" si="9"/>
        <v>#N/A</v>
      </c>
      <c r="K305" s="4">
        <f>VLOOKUP(F305,'SUM(히아풀젤,폼 아이캐쳐붙인걸로)'!A:E,5,0)</f>
        <v>0</v>
      </c>
    </row>
    <row r="306" spans="1:11" ht="12" hidden="1" customHeight="1">
      <c r="A306" s="4" t="str">
        <f t="shared" si="8"/>
        <v>81010925ME90521EL7</v>
      </c>
      <c r="B306" s="9">
        <v>81010000</v>
      </c>
      <c r="C306" s="35"/>
      <c r="D306" s="27">
        <v>81010925</v>
      </c>
      <c r="E306" s="71" t="s">
        <v>429</v>
      </c>
      <c r="F306" s="107" t="s">
        <v>372</v>
      </c>
      <c r="G306" s="107"/>
      <c r="H306" s="9">
        <f ca="1">SUMIF('서식(직납)'!B:L,'Summary(수주업로드용)'!A306,'서식(직납)'!J:J)</f>
        <v>0</v>
      </c>
      <c r="I306" s="28" t="e">
        <f ca="1">IF(H306="0","0",VLOOKUP(A306,'서식(직납)'!B:K,10,0))</f>
        <v>#N/A</v>
      </c>
      <c r="J306" s="7" t="e">
        <f t="shared" ca="1" si="9"/>
        <v>#N/A</v>
      </c>
      <c r="K306" s="4">
        <f>VLOOKUP(F306,'SUM(히아풀젤,폼 아이캐쳐붙인걸로)'!A:E,5,0)</f>
        <v>0</v>
      </c>
    </row>
    <row r="307" spans="1:11" ht="12" hidden="1" customHeight="1">
      <c r="A307" s="4" t="str">
        <f t="shared" si="8"/>
        <v>81010925ME90521EL6</v>
      </c>
      <c r="B307" s="9">
        <v>81010000</v>
      </c>
      <c r="C307" s="35"/>
      <c r="D307" s="27">
        <v>81010925</v>
      </c>
      <c r="E307" s="71" t="s">
        <v>429</v>
      </c>
      <c r="F307" s="107" t="s">
        <v>371</v>
      </c>
      <c r="G307" s="107"/>
      <c r="H307" s="9">
        <f ca="1">SUMIF('서식(직납)'!B:L,'Summary(수주업로드용)'!A307,'서식(직납)'!J:J)</f>
        <v>0</v>
      </c>
      <c r="I307" s="28" t="e">
        <f ca="1">IF(H307="0","0",VLOOKUP(A307,'서식(직납)'!B:K,10,0))</f>
        <v>#N/A</v>
      </c>
      <c r="J307" s="7" t="e">
        <f t="shared" ca="1" si="9"/>
        <v>#N/A</v>
      </c>
      <c r="K307" s="4">
        <f>VLOOKUP(F307,'SUM(히아풀젤,폼 아이캐쳐붙인걸로)'!A:E,5,0)</f>
        <v>0</v>
      </c>
    </row>
    <row r="308" spans="1:11" ht="12" hidden="1" customHeight="1">
      <c r="A308" s="4" t="str">
        <f t="shared" si="8"/>
        <v>81010925ME90521EL4</v>
      </c>
      <c r="B308" s="9">
        <v>81010000</v>
      </c>
      <c r="C308" s="35"/>
      <c r="D308" s="27">
        <v>81010925</v>
      </c>
      <c r="E308" s="71" t="s">
        <v>429</v>
      </c>
      <c r="F308" s="107" t="s">
        <v>398</v>
      </c>
      <c r="G308" s="107"/>
      <c r="H308" s="9">
        <f ca="1">SUMIF('서식(직납)'!B:L,'Summary(수주업로드용)'!A308,'서식(직납)'!J:J)</f>
        <v>0</v>
      </c>
      <c r="I308" s="28" t="e">
        <f ca="1">IF(H308="0","0",VLOOKUP(A308,'서식(직납)'!B:K,10,0))</f>
        <v>#N/A</v>
      </c>
      <c r="J308" s="7" t="e">
        <f t="shared" ca="1" si="9"/>
        <v>#N/A</v>
      </c>
      <c r="K308" s="4">
        <f>VLOOKUP(F308,'SUM(히아풀젤,폼 아이캐쳐붙인걸로)'!A:E,5,0)</f>
        <v>0</v>
      </c>
    </row>
    <row r="309" spans="1:11" ht="12" hidden="1" customHeight="1">
      <c r="A309" s="4" t="str">
        <f t="shared" si="8"/>
        <v>81010925ME90521EL0</v>
      </c>
      <c r="B309" s="9">
        <v>81010000</v>
      </c>
      <c r="C309" s="35"/>
      <c r="D309" s="27">
        <v>81010925</v>
      </c>
      <c r="E309" s="71" t="s">
        <v>429</v>
      </c>
      <c r="F309" s="107" t="s">
        <v>328</v>
      </c>
      <c r="G309" s="107"/>
      <c r="H309" s="9">
        <f ca="1">SUMIF('서식(직납)'!B:L,'Summary(수주업로드용)'!A309,'서식(직납)'!J:J)</f>
        <v>0</v>
      </c>
      <c r="I309" s="28" t="e">
        <f ca="1">IF(H309="0","0",VLOOKUP(A309,'서식(직납)'!B:K,10,0))</f>
        <v>#N/A</v>
      </c>
      <c r="J309" s="7" t="e">
        <f t="shared" ca="1" si="9"/>
        <v>#N/A</v>
      </c>
      <c r="K309" s="4" t="e">
        <f>VLOOKUP(F309,'SUM(히아풀젤,폼 아이캐쳐붙인걸로)'!A:E,5,0)</f>
        <v>#N/A</v>
      </c>
    </row>
    <row r="310" spans="1:11" ht="12" hidden="1" customHeight="1">
      <c r="A310" s="4" t="str">
        <f t="shared" si="8"/>
        <v>81010925ME90521E18</v>
      </c>
      <c r="B310" s="9">
        <v>81010000</v>
      </c>
      <c r="C310" s="35"/>
      <c r="D310" s="27">
        <v>81010925</v>
      </c>
      <c r="E310" s="71" t="s">
        <v>429</v>
      </c>
      <c r="F310" s="107" t="s">
        <v>676</v>
      </c>
      <c r="G310" s="107"/>
      <c r="H310" s="9">
        <f ca="1">SUMIF('서식(직납)'!B:L,'Summary(수주업로드용)'!A310,'서식(직납)'!J:J)</f>
        <v>0</v>
      </c>
      <c r="I310" s="28" t="e">
        <f ca="1">IF(H310="0","0",VLOOKUP(A310,'서식(직납)'!B:K,10,0))</f>
        <v>#N/A</v>
      </c>
      <c r="J310" s="7" t="e">
        <f t="shared" ca="1" si="9"/>
        <v>#N/A</v>
      </c>
      <c r="K310" s="4">
        <f>VLOOKUP(F310,'SUM(히아풀젤,폼 아이캐쳐붙인걸로)'!A:E,5,0)</f>
        <v>0</v>
      </c>
    </row>
    <row r="311" spans="1:11" ht="12" hidden="1" customHeight="1">
      <c r="A311" s="4" t="str">
        <f t="shared" si="8"/>
        <v>81010925ME90521E13</v>
      </c>
      <c r="B311" s="9">
        <v>81010000</v>
      </c>
      <c r="C311" s="35"/>
      <c r="D311" s="27">
        <v>81010925</v>
      </c>
      <c r="E311" s="71" t="s">
        <v>429</v>
      </c>
      <c r="F311" s="107" t="s">
        <v>379</v>
      </c>
      <c r="G311" s="107"/>
      <c r="H311" s="9">
        <f ca="1">SUMIF('서식(직납)'!B:L,'Summary(수주업로드용)'!A311,'서식(직납)'!J:J)</f>
        <v>0</v>
      </c>
      <c r="I311" s="28" t="e">
        <f ca="1">IF(H311="0","0",VLOOKUP(A311,'서식(직납)'!B:K,10,0))</f>
        <v>#N/A</v>
      </c>
      <c r="J311" s="7" t="e">
        <f t="shared" ca="1" si="9"/>
        <v>#N/A</v>
      </c>
      <c r="K311" s="4" t="e">
        <f>VLOOKUP(F311,'SUM(히아풀젤,폼 아이캐쳐붙인걸로)'!A:E,5,0)</f>
        <v>#N/A</v>
      </c>
    </row>
    <row r="312" spans="1:11" ht="12" hidden="1" customHeight="1">
      <c r="A312" s="4" t="str">
        <f t="shared" si="8"/>
        <v>81010925ME90521CC4</v>
      </c>
      <c r="B312" s="9">
        <v>81010000</v>
      </c>
      <c r="C312" s="35"/>
      <c r="D312" s="27">
        <v>81010925</v>
      </c>
      <c r="E312" s="71" t="s">
        <v>429</v>
      </c>
      <c r="F312" s="107" t="s">
        <v>516</v>
      </c>
      <c r="G312" s="107"/>
      <c r="H312" s="9">
        <f ca="1">SUMIF('서식(직납)'!B:L,'Summary(수주업로드용)'!A312,'서식(직납)'!J:J)</f>
        <v>0</v>
      </c>
      <c r="I312" s="28" t="e">
        <f ca="1">IF(H312="0","0",VLOOKUP(A312,'서식(직납)'!B:K,10,0))</f>
        <v>#N/A</v>
      </c>
      <c r="J312" s="7" t="e">
        <f t="shared" ca="1" si="9"/>
        <v>#N/A</v>
      </c>
      <c r="K312" s="4" t="e">
        <f>VLOOKUP(F312,'SUM(히아풀젤,폼 아이캐쳐붙인걸로)'!A:E,5,0)</f>
        <v>#N/A</v>
      </c>
    </row>
    <row r="313" spans="1:11" ht="12" hidden="1" customHeight="1">
      <c r="A313" s="4" t="str">
        <f t="shared" si="8"/>
        <v>81010925ME90521CC2</v>
      </c>
      <c r="B313" s="9">
        <v>81010000</v>
      </c>
      <c r="C313" s="35"/>
      <c r="D313" s="27">
        <v>81010925</v>
      </c>
      <c r="E313" s="71" t="s">
        <v>429</v>
      </c>
      <c r="F313" s="107" t="s">
        <v>514</v>
      </c>
      <c r="G313" s="107"/>
      <c r="H313" s="9">
        <f ca="1">SUMIF('서식(직납)'!B:L,'Summary(수주업로드용)'!A313,'서식(직납)'!J:J)</f>
        <v>0</v>
      </c>
      <c r="I313" s="28" t="e">
        <f ca="1">IF(H313="0","0",VLOOKUP(A313,'서식(직납)'!B:K,10,0))</f>
        <v>#N/A</v>
      </c>
      <c r="J313" s="7" t="e">
        <f t="shared" ca="1" si="9"/>
        <v>#N/A</v>
      </c>
      <c r="K313" s="4" t="e">
        <f>VLOOKUP(F313,'SUM(히아풀젤,폼 아이캐쳐붙인걸로)'!A:E,5,0)</f>
        <v>#N/A</v>
      </c>
    </row>
    <row r="314" spans="1:11" ht="12" hidden="1" customHeight="1">
      <c r="A314" s="4" t="str">
        <f t="shared" si="8"/>
        <v>81010925ME90521CC1</v>
      </c>
      <c r="B314" s="9">
        <v>81010000</v>
      </c>
      <c r="C314" s="35"/>
      <c r="D314" s="27">
        <v>81010925</v>
      </c>
      <c r="E314" s="71" t="s">
        <v>429</v>
      </c>
      <c r="F314" s="107" t="s">
        <v>512</v>
      </c>
      <c r="G314" s="107"/>
      <c r="H314" s="9">
        <f ca="1">SUMIF('서식(직납)'!B:L,'Summary(수주업로드용)'!A314,'서식(직납)'!J:J)</f>
        <v>0</v>
      </c>
      <c r="I314" s="28" t="e">
        <f ca="1">IF(H314="0","0",VLOOKUP(A314,'서식(직납)'!B:K,10,0))</f>
        <v>#N/A</v>
      </c>
      <c r="J314" s="7" t="e">
        <f t="shared" ca="1" si="9"/>
        <v>#N/A</v>
      </c>
      <c r="K314" s="4" t="e">
        <f>VLOOKUP(F314,'SUM(히아풀젤,폼 아이캐쳐붙인걸로)'!A:E,5,0)</f>
        <v>#N/A</v>
      </c>
    </row>
    <row r="315" spans="1:11" ht="12" hidden="1" customHeight="1">
      <c r="A315" s="4" t="str">
        <f t="shared" si="8"/>
        <v>81010925ME00421301</v>
      </c>
      <c r="B315" s="9">
        <v>81010000</v>
      </c>
      <c r="C315" s="35"/>
      <c r="D315" s="27">
        <v>81010925</v>
      </c>
      <c r="E315" s="71" t="s">
        <v>429</v>
      </c>
      <c r="F315" s="108" t="s">
        <v>1038</v>
      </c>
      <c r="G315" s="108"/>
      <c r="H315" s="9">
        <f ca="1">SUMIF('서식(직납)'!B:L,'Summary(수주업로드용)'!A315,'서식(직납)'!J:J)</f>
        <v>0</v>
      </c>
      <c r="I315" s="28" t="e">
        <f ca="1">IF(H315="0","0",VLOOKUP(A315,'서식(직납)'!B:K,10,0))</f>
        <v>#N/A</v>
      </c>
      <c r="J315" s="7" t="e">
        <f t="shared" ca="1" si="9"/>
        <v>#N/A</v>
      </c>
      <c r="K315" s="4" t="e">
        <f>VLOOKUP(F315,'SUM(히아풀젤,폼 아이캐쳐붙인걸로)'!A:E,5,0)</f>
        <v>#N/A</v>
      </c>
    </row>
    <row r="316" spans="1:11" ht="12" hidden="1" customHeight="1">
      <c r="A316" s="4" t="str">
        <f t="shared" si="8"/>
        <v>81010925ME00421186</v>
      </c>
      <c r="B316" s="9">
        <v>81010000</v>
      </c>
      <c r="C316" s="35"/>
      <c r="D316" s="27">
        <v>81010925</v>
      </c>
      <c r="E316" s="71" t="s">
        <v>429</v>
      </c>
      <c r="F316" s="108" t="s">
        <v>703</v>
      </c>
      <c r="G316" s="108"/>
      <c r="H316" s="9">
        <f ca="1">SUMIF('서식(직납)'!B:L,'Summary(수주업로드용)'!A316,'서식(직납)'!J:J)</f>
        <v>0</v>
      </c>
      <c r="I316" s="28" t="e">
        <f ca="1">IF(H316="0","0",VLOOKUP(A316,'서식(직납)'!B:K,10,0))</f>
        <v>#N/A</v>
      </c>
      <c r="J316" s="7" t="e">
        <f t="shared" ca="1" si="9"/>
        <v>#N/A</v>
      </c>
      <c r="K316" s="4" t="e">
        <f>VLOOKUP(F316,'SUM(히아풀젤,폼 아이캐쳐붙인걸로)'!A:E,5,0)</f>
        <v>#N/A</v>
      </c>
    </row>
    <row r="317" spans="1:11" ht="12" hidden="1" customHeight="1">
      <c r="A317" s="4" t="str">
        <f t="shared" si="8"/>
        <v>81010925ME00421151</v>
      </c>
      <c r="B317" s="9">
        <v>81010000</v>
      </c>
      <c r="C317" s="35"/>
      <c r="D317" s="27">
        <v>81010925</v>
      </c>
      <c r="E317" s="71" t="s">
        <v>429</v>
      </c>
      <c r="F317" s="108" t="s">
        <v>543</v>
      </c>
      <c r="G317" s="108"/>
      <c r="H317" s="9">
        <f ca="1">SUMIF('서식(직납)'!B:L,'Summary(수주업로드용)'!A317,'서식(직납)'!J:J)</f>
        <v>0</v>
      </c>
      <c r="I317" s="28" t="e">
        <f ca="1">IF(H317="0","0",VLOOKUP(A317,'서식(직납)'!B:K,10,0))</f>
        <v>#N/A</v>
      </c>
      <c r="J317" s="7" t="e">
        <f t="shared" ca="1" si="9"/>
        <v>#N/A</v>
      </c>
      <c r="K317" s="4" t="e">
        <f>VLOOKUP(F317,'SUM(히아풀젤,폼 아이캐쳐붙인걸로)'!A:E,5,0)</f>
        <v>#N/A</v>
      </c>
    </row>
    <row r="318" spans="1:11" ht="12" hidden="1" customHeight="1">
      <c r="A318" s="4" t="str">
        <f t="shared" si="8"/>
        <v>81010925ME91221HPN</v>
      </c>
      <c r="B318" s="9">
        <v>81010000</v>
      </c>
      <c r="C318" s="35"/>
      <c r="D318" s="27">
        <v>81010925</v>
      </c>
      <c r="E318" s="71" t="s">
        <v>414</v>
      </c>
      <c r="F318" s="9" t="s">
        <v>540</v>
      </c>
      <c r="H318" s="9">
        <f ca="1">SUMIF('서식(직납)'!B:L,'Summary(수주업로드용)'!A318,'서식(직납)'!J:J)</f>
        <v>0</v>
      </c>
      <c r="I318" s="28" t="e">
        <f ca="1">IF(H318="0","0",VLOOKUP(A318,'서식(직납)'!B:K,10,0))</f>
        <v>#N/A</v>
      </c>
      <c r="J318" s="7" t="e">
        <f t="shared" ca="1" si="9"/>
        <v>#N/A</v>
      </c>
      <c r="K318" s="4" t="e">
        <f>VLOOKUP(F318,'SUM(히아풀젤,폼 아이캐쳐붙인걸로)'!A:E,5,0)</f>
        <v>#N/A</v>
      </c>
    </row>
    <row r="319" spans="1:11" ht="12" hidden="1" customHeight="1">
      <c r="A319" s="4" t="str">
        <f t="shared" si="8"/>
        <v>81010925ME90621CPS</v>
      </c>
      <c r="B319" s="9">
        <v>81010000</v>
      </c>
      <c r="C319" s="35"/>
      <c r="D319" s="27">
        <v>81010925</v>
      </c>
      <c r="E319" s="71" t="s">
        <v>414</v>
      </c>
      <c r="F319" s="9" t="s">
        <v>547</v>
      </c>
      <c r="H319" s="9">
        <f ca="1">SUMIF('서식(직납)'!B:L,'Summary(수주업로드용)'!A319,'서식(직납)'!J:J)</f>
        <v>0</v>
      </c>
      <c r="I319" s="28" t="e">
        <f ca="1">IF(H319="0","0",VLOOKUP(A319,'서식(직납)'!B:K,10,0))</f>
        <v>#N/A</v>
      </c>
      <c r="J319" s="7" t="e">
        <f t="shared" ca="1" si="9"/>
        <v>#N/A</v>
      </c>
      <c r="K319" s="4" t="e">
        <f>VLOOKUP(F319,'SUM(히아풀젤,폼 아이캐쳐붙인걸로)'!A:E,5,0)</f>
        <v>#N/A</v>
      </c>
    </row>
    <row r="320" spans="1:11" ht="12" hidden="1" customHeight="1">
      <c r="A320" s="4" t="str">
        <f t="shared" si="8"/>
        <v>81010925ME90621CPM</v>
      </c>
      <c r="B320" s="9">
        <v>81010000</v>
      </c>
      <c r="C320" s="35"/>
      <c r="D320" s="27">
        <v>81010925</v>
      </c>
      <c r="E320" s="71" t="s">
        <v>414</v>
      </c>
      <c r="F320" s="9" t="s">
        <v>545</v>
      </c>
      <c r="H320" s="9">
        <f ca="1">SUMIF('서식(직납)'!B:L,'Summary(수주업로드용)'!A320,'서식(직납)'!J:J)</f>
        <v>0</v>
      </c>
      <c r="I320" s="28" t="e">
        <f ca="1">IF(H320="0","0",VLOOKUP(A320,'서식(직납)'!B:K,10,0))</f>
        <v>#N/A</v>
      </c>
      <c r="J320" s="7" t="e">
        <f t="shared" ca="1" si="9"/>
        <v>#N/A</v>
      </c>
      <c r="K320" s="4" t="e">
        <f>VLOOKUP(F320,'SUM(히아풀젤,폼 아이캐쳐붙인걸로)'!A:E,5,0)</f>
        <v>#N/A</v>
      </c>
    </row>
    <row r="321" spans="1:13" ht="12" hidden="1" customHeight="1">
      <c r="A321" s="4" t="str">
        <f t="shared" si="8"/>
        <v>81010925ME90621GP4</v>
      </c>
      <c r="B321" s="9">
        <v>81010000</v>
      </c>
      <c r="C321" s="35"/>
      <c r="D321" s="27">
        <v>81010925</v>
      </c>
      <c r="E321" s="71" t="s">
        <v>414</v>
      </c>
      <c r="F321" s="9" t="s">
        <v>596</v>
      </c>
      <c r="H321" s="9">
        <f ca="1">SUMIF('서식(직납)'!B:L,'Summary(수주업로드용)'!A321,'서식(직납)'!J:J)</f>
        <v>0</v>
      </c>
      <c r="I321" s="28" t="e">
        <f ca="1">IF(H321="0","0",VLOOKUP(A321,'서식(직납)'!B:K,10,0))</f>
        <v>#N/A</v>
      </c>
      <c r="J321" s="7" t="e">
        <f t="shared" ca="1" si="9"/>
        <v>#N/A</v>
      </c>
      <c r="K321" s="4" t="e">
        <f>VLOOKUP(F321,'SUM(히아풀젤,폼 아이캐쳐붙인걸로)'!A:E,5,0)</f>
        <v>#N/A</v>
      </c>
    </row>
    <row r="322" spans="1:13" ht="12" hidden="1" customHeight="1">
      <c r="A322" s="4" t="str">
        <f t="shared" si="8"/>
        <v>81010925ME90621FG1</v>
      </c>
      <c r="B322" s="9">
        <v>81010000</v>
      </c>
      <c r="C322" s="35"/>
      <c r="D322" s="27">
        <v>81010925</v>
      </c>
      <c r="E322" s="71" t="s">
        <v>414</v>
      </c>
      <c r="F322" s="9" t="s">
        <v>601</v>
      </c>
      <c r="H322" s="9">
        <f ca="1">SUMIF('서식(직납)'!B:L,'Summary(수주업로드용)'!A322,'서식(직납)'!J:J)</f>
        <v>0</v>
      </c>
      <c r="I322" s="28" t="e">
        <f ca="1">IF(H322="0","0",VLOOKUP(A322,'서식(직납)'!B:K,10,0))</f>
        <v>#N/A</v>
      </c>
      <c r="J322" s="7" t="e">
        <f t="shared" ca="1" si="9"/>
        <v>#N/A</v>
      </c>
      <c r="K322" s="4" t="e">
        <f>VLOOKUP(F322,'SUM(히아풀젤,폼 아이캐쳐붙인걸로)'!A:E,5,0)</f>
        <v>#N/A</v>
      </c>
    </row>
    <row r="323" spans="1:13" ht="12" hidden="1" customHeight="1">
      <c r="A323" s="4" t="str">
        <f t="shared" ref="A323:A386" si="10">D323&amp;F323</f>
        <v>81010925ME90621TF1</v>
      </c>
      <c r="B323" s="9">
        <v>81010000</v>
      </c>
      <c r="C323" s="35"/>
      <c r="D323" s="27">
        <v>81010925</v>
      </c>
      <c r="E323" s="71" t="s">
        <v>414</v>
      </c>
      <c r="F323" s="9" t="s">
        <v>618</v>
      </c>
      <c r="H323" s="9">
        <f ca="1">SUMIF('서식(직납)'!B:L,'Summary(수주업로드용)'!A323,'서식(직납)'!J:J)</f>
        <v>0</v>
      </c>
      <c r="I323" s="28" t="e">
        <f ca="1">IF(H323="0","0",VLOOKUP(A323,'서식(직납)'!B:K,10,0))</f>
        <v>#N/A</v>
      </c>
      <c r="J323" s="7" t="e">
        <f t="shared" ref="J323:J386" ca="1" si="11">H323*I323</f>
        <v>#N/A</v>
      </c>
      <c r="K323" s="4" t="e">
        <f>VLOOKUP(F323,'SUM(히아풀젤,폼 아이캐쳐붙인걸로)'!A:E,5,0)</f>
        <v>#N/A</v>
      </c>
    </row>
    <row r="324" spans="1:13" ht="12" hidden="1" customHeight="1">
      <c r="A324" s="4" t="str">
        <f t="shared" si="10"/>
        <v>81010925ME90621TC1</v>
      </c>
      <c r="B324" s="9">
        <v>81010000</v>
      </c>
      <c r="C324" s="35"/>
      <c r="D324" s="27">
        <v>81010925</v>
      </c>
      <c r="E324" s="71" t="s">
        <v>414</v>
      </c>
      <c r="F324" s="9" t="s">
        <v>627</v>
      </c>
      <c r="H324" s="9">
        <f ca="1">SUMIF('서식(직납)'!B:L,'Summary(수주업로드용)'!A324,'서식(직납)'!J:J)</f>
        <v>0</v>
      </c>
      <c r="I324" s="28" t="e">
        <f ca="1">IF(H324="0","0",VLOOKUP(A324,'서식(직납)'!B:K,10,0))</f>
        <v>#N/A</v>
      </c>
      <c r="J324" s="7" t="e">
        <f t="shared" ca="1" si="11"/>
        <v>#N/A</v>
      </c>
      <c r="K324" s="4" t="e">
        <f>VLOOKUP(F324,'SUM(히아풀젤,폼 아이캐쳐붙인걸로)'!A:E,5,0)</f>
        <v>#N/A</v>
      </c>
    </row>
    <row r="325" spans="1:13" ht="12" hidden="1" customHeight="1">
      <c r="A325" s="4" t="str">
        <f t="shared" si="10"/>
        <v>81010925ME80421DR2</v>
      </c>
      <c r="B325" s="9">
        <v>81010000</v>
      </c>
      <c r="C325" s="35"/>
      <c r="D325" s="27">
        <v>81010925</v>
      </c>
      <c r="E325" s="71" t="s">
        <v>414</v>
      </c>
      <c r="F325" s="9" t="s">
        <v>656</v>
      </c>
      <c r="H325" s="9">
        <f ca="1">SUMIF('서식(직납)'!B:L,'Summary(수주업로드용)'!A325,'서식(직납)'!J:J)</f>
        <v>0</v>
      </c>
      <c r="I325" s="28" t="e">
        <f ca="1">IF(H325="0","0",VLOOKUP(A325,'서식(직납)'!B:K,10,0))</f>
        <v>#N/A</v>
      </c>
      <c r="J325" s="7" t="e">
        <f t="shared" ca="1" si="11"/>
        <v>#N/A</v>
      </c>
      <c r="K325" s="4" t="str">
        <f>VLOOKUP(F325,'SUM(히아풀젤,폼 아이캐쳐붙인걸로)'!A:E,5,0)</f>
        <v>입수전환</v>
      </c>
    </row>
    <row r="326" spans="1:13" ht="12" hidden="1" customHeight="1">
      <c r="A326" s="4" t="str">
        <f t="shared" si="10"/>
        <v>81010925ME00621FMC</v>
      </c>
      <c r="B326" s="9">
        <v>81010000</v>
      </c>
      <c r="C326" s="35"/>
      <c r="D326" s="27">
        <v>81010925</v>
      </c>
      <c r="E326" s="71" t="s">
        <v>414</v>
      </c>
      <c r="F326" s="9" t="s">
        <v>657</v>
      </c>
      <c r="H326" s="9">
        <f ca="1">SUMIF('서식(직납)'!B:L,'Summary(수주업로드용)'!A326,'서식(직납)'!J:J)</f>
        <v>0</v>
      </c>
      <c r="I326" s="28" t="e">
        <f ca="1">IF(H326="0","0",VLOOKUP(A326,'서식(직납)'!B:K,10,0))</f>
        <v>#N/A</v>
      </c>
      <c r="J326" s="7" t="e">
        <f t="shared" ca="1" si="11"/>
        <v>#N/A</v>
      </c>
      <c r="K326" s="4" t="e">
        <f>VLOOKUP(F326,'SUM(히아풀젤,폼 아이캐쳐붙인걸로)'!A:E,5,0)</f>
        <v>#N/A</v>
      </c>
    </row>
    <row r="327" spans="1:13" ht="12" hidden="1" customHeight="1">
      <c r="A327" s="4" t="str">
        <f t="shared" si="10"/>
        <v>81010925ME00621FML</v>
      </c>
      <c r="B327" s="9">
        <v>81010000</v>
      </c>
      <c r="C327" s="35"/>
      <c r="D327" s="27">
        <v>81010925</v>
      </c>
      <c r="E327" s="71" t="s">
        <v>414</v>
      </c>
      <c r="F327" s="9" t="s">
        <v>658</v>
      </c>
      <c r="H327" s="9">
        <f ca="1">SUMIF('서식(직납)'!B:L,'Summary(수주업로드용)'!A327,'서식(직납)'!J:J)</f>
        <v>0</v>
      </c>
      <c r="I327" s="28" t="e">
        <f ca="1">IF(H327="0","0",VLOOKUP(A327,'서식(직납)'!B:K,10,0))</f>
        <v>#N/A</v>
      </c>
      <c r="J327" s="7" t="e">
        <f t="shared" ca="1" si="11"/>
        <v>#N/A</v>
      </c>
      <c r="K327" s="4" t="e">
        <f>VLOOKUP(F327,'SUM(히아풀젤,폼 아이캐쳐붙인걸로)'!A:E,5,0)</f>
        <v>#N/A</v>
      </c>
    </row>
    <row r="328" spans="1:13" ht="12" hidden="1" customHeight="1">
      <c r="A328" s="4" t="str">
        <f t="shared" si="10"/>
        <v>81010925ME00621FMP</v>
      </c>
      <c r="B328" s="9">
        <v>81010000</v>
      </c>
      <c r="C328" s="35"/>
      <c r="D328" s="27">
        <v>81010925</v>
      </c>
      <c r="E328" s="71" t="s">
        <v>414</v>
      </c>
      <c r="F328" s="9" t="s">
        <v>659</v>
      </c>
      <c r="H328" s="9">
        <f ca="1">SUMIF('서식(직납)'!B:L,'Summary(수주업로드용)'!A328,'서식(직납)'!J:J)</f>
        <v>0</v>
      </c>
      <c r="I328" s="28" t="e">
        <f ca="1">IF(H328="0","0",VLOOKUP(A328,'서식(직납)'!B:K,10,0))</f>
        <v>#N/A</v>
      </c>
      <c r="J328" s="7" t="e">
        <f t="shared" ca="1" si="11"/>
        <v>#N/A</v>
      </c>
      <c r="K328" s="4" t="e">
        <f>VLOOKUP(F328,'SUM(히아풀젤,폼 아이캐쳐붙인걸로)'!A:E,5,0)</f>
        <v>#N/A</v>
      </c>
    </row>
    <row r="329" spans="1:13" ht="12" hidden="1" customHeight="1">
      <c r="A329" s="4" t="str">
        <f t="shared" si="10"/>
        <v>81010925ME81921SVV</v>
      </c>
      <c r="B329" s="9">
        <v>81010000</v>
      </c>
      <c r="C329" s="35"/>
      <c r="D329" s="27">
        <v>81010925</v>
      </c>
      <c r="E329" s="71" t="s">
        <v>414</v>
      </c>
      <c r="F329" s="9" t="s">
        <v>671</v>
      </c>
      <c r="H329" s="9">
        <f ca="1">SUMIF('서식(직납)'!B:L,'Summary(수주업로드용)'!A329,'서식(직납)'!J:J)</f>
        <v>0</v>
      </c>
      <c r="I329" s="28" t="e">
        <f ca="1">IF(H329="0","0",VLOOKUP(A329,'서식(직납)'!B:K,10,0))</f>
        <v>#N/A</v>
      </c>
      <c r="J329" s="7" t="e">
        <f t="shared" ca="1" si="11"/>
        <v>#N/A</v>
      </c>
      <c r="K329" s="4" t="e">
        <f>VLOOKUP(F329,'SUM(히아풀젤,폼 아이캐쳐붙인걸로)'!A:E,5,0)</f>
        <v>#N/A</v>
      </c>
    </row>
    <row r="330" spans="1:13" ht="12" hidden="1" customHeight="1">
      <c r="A330" s="4" t="str">
        <f t="shared" si="10"/>
        <v>81010925ME81921SLL</v>
      </c>
      <c r="B330" s="9">
        <v>81010000</v>
      </c>
      <c r="C330" s="35"/>
      <c r="D330" s="27">
        <v>81010925</v>
      </c>
      <c r="E330" s="71" t="s">
        <v>414</v>
      </c>
      <c r="F330" s="9" t="s">
        <v>672</v>
      </c>
      <c r="H330" s="9">
        <f ca="1">SUMIF('서식(직납)'!B:L,'Summary(수주업로드용)'!A330,'서식(직납)'!J:J)</f>
        <v>0</v>
      </c>
      <c r="I330" s="28" t="e">
        <f ca="1">IF(H330="0","0",VLOOKUP(A330,'서식(직납)'!B:K,10,0))</f>
        <v>#N/A</v>
      </c>
      <c r="J330" s="7" t="e">
        <f t="shared" ca="1" si="11"/>
        <v>#N/A</v>
      </c>
      <c r="K330" s="4" t="e">
        <f>VLOOKUP(F330,'SUM(히아풀젤,폼 아이캐쳐붙인걸로)'!A:E,5,0)</f>
        <v>#N/A</v>
      </c>
    </row>
    <row r="331" spans="1:13" ht="12" hidden="1" customHeight="1">
      <c r="A331" s="4" t="str">
        <f t="shared" si="10"/>
        <v>81010925ME90521MCN</v>
      </c>
      <c r="B331" s="9">
        <v>81010000</v>
      </c>
      <c r="C331" s="35"/>
      <c r="D331" s="27">
        <v>81010925</v>
      </c>
      <c r="E331" s="71" t="s">
        <v>414</v>
      </c>
      <c r="F331" s="9" t="s">
        <v>673</v>
      </c>
      <c r="H331" s="9">
        <f ca="1">SUMIF('서식(직납)'!B:L,'Summary(수주업로드용)'!A331,'서식(직납)'!J:J)</f>
        <v>0</v>
      </c>
      <c r="I331" s="28" t="e">
        <f ca="1">IF(H331="0","0",VLOOKUP(A331,'서식(직납)'!B:K,10,0))</f>
        <v>#N/A</v>
      </c>
      <c r="J331" s="7" t="e">
        <f t="shared" ca="1" si="11"/>
        <v>#N/A</v>
      </c>
      <c r="K331" s="4" t="e">
        <f>VLOOKUP(F331,'SUM(히아풀젤,폼 아이캐쳐붙인걸로)'!A:E,5,0)</f>
        <v>#N/A</v>
      </c>
      <c r="M331" s="4" t="str">
        <f>VLOOKUP(F338,제품명!$D:$E,2,0)</f>
        <v>아크네스 클리어 앤 화이트 크리미 워시 100G (6입) (New 2021)</v>
      </c>
    </row>
    <row r="332" spans="1:13" ht="12" hidden="1" customHeight="1">
      <c r="A332" s="4" t="str">
        <f t="shared" si="10"/>
        <v>81010925ME90521MCA</v>
      </c>
      <c r="B332" s="9">
        <v>81010000</v>
      </c>
      <c r="C332" s="35"/>
      <c r="D332" s="27">
        <v>81010925</v>
      </c>
      <c r="E332" s="71" t="s">
        <v>414</v>
      </c>
      <c r="F332" s="9" t="s">
        <v>677</v>
      </c>
      <c r="H332" s="9">
        <f ca="1">SUMIF('서식(직납)'!B:L,'Summary(수주업로드용)'!A332,'서식(직납)'!J:J)</f>
        <v>0</v>
      </c>
      <c r="I332" s="28" t="e">
        <f ca="1">IF(H332="0","0",VLOOKUP(A332,'서식(직납)'!B:K,10,0))</f>
        <v>#N/A</v>
      </c>
      <c r="J332" s="7" t="e">
        <f t="shared" ca="1" si="11"/>
        <v>#N/A</v>
      </c>
      <c r="K332" s="4" t="e">
        <f>VLOOKUP(F332,'SUM(히아풀젤,폼 아이캐쳐붙인걸로)'!A:E,5,0)</f>
        <v>#N/A</v>
      </c>
    </row>
    <row r="333" spans="1:13" ht="12" hidden="1" customHeight="1">
      <c r="A333" s="4" t="str">
        <f t="shared" si="10"/>
        <v>81010925ME81921SL1</v>
      </c>
      <c r="B333" s="9">
        <v>81010000</v>
      </c>
      <c r="C333" s="35"/>
      <c r="D333" s="27">
        <v>81010925</v>
      </c>
      <c r="E333" s="71" t="s">
        <v>414</v>
      </c>
      <c r="F333" s="9" t="s">
        <v>679</v>
      </c>
      <c r="H333" s="9">
        <f ca="1">SUMIF('서식(직납)'!B:L,'Summary(수주업로드용)'!A333,'서식(직납)'!J:J)</f>
        <v>0</v>
      </c>
      <c r="I333" s="28" t="e">
        <f ca="1">IF(H333="0","0",VLOOKUP(A333,'서식(직납)'!B:K,10,0))</f>
        <v>#N/A</v>
      </c>
      <c r="J333" s="7" t="e">
        <f t="shared" ca="1" si="11"/>
        <v>#N/A</v>
      </c>
      <c r="K333" s="4" t="e">
        <f>VLOOKUP(F333,'SUM(히아풀젤,폼 아이캐쳐붙인걸로)'!A:E,5,0)</f>
        <v>#N/A</v>
      </c>
    </row>
    <row r="334" spans="1:13" ht="12" hidden="1" customHeight="1">
      <c r="A334" s="4" t="str">
        <f t="shared" si="10"/>
        <v>81010925ME00621AN4</v>
      </c>
      <c r="B334" s="9">
        <v>81010001</v>
      </c>
      <c r="C334" s="35"/>
      <c r="D334" s="27">
        <v>81010925</v>
      </c>
      <c r="E334" s="71" t="s">
        <v>414</v>
      </c>
      <c r="F334" s="9" t="s">
        <v>693</v>
      </c>
      <c r="H334" s="9">
        <f ca="1">SUMIF('서식(직납)'!B:L,'Summary(수주업로드용)'!A334,'서식(직납)'!J:J)</f>
        <v>0</v>
      </c>
      <c r="I334" s="28" t="e">
        <f ca="1">IF(H334="0","0",VLOOKUP(A334,'서식(직납)'!B:K,10,0))</f>
        <v>#N/A</v>
      </c>
      <c r="J334" s="7" t="e">
        <f t="shared" ca="1" si="11"/>
        <v>#N/A</v>
      </c>
      <c r="K334" s="4">
        <f>VLOOKUP(F334,'SUM(히아풀젤,폼 아이캐쳐붙인걸로)'!A:E,5,0)</f>
        <v>0</v>
      </c>
    </row>
    <row r="335" spans="1:13" ht="12" hidden="1" customHeight="1">
      <c r="A335" s="4" t="str">
        <f t="shared" si="10"/>
        <v>81010925ME00621AN6</v>
      </c>
      <c r="B335" s="9">
        <v>81010002</v>
      </c>
      <c r="C335" s="35"/>
      <c r="D335" s="27">
        <v>81010925</v>
      </c>
      <c r="E335" s="71" t="s">
        <v>414</v>
      </c>
      <c r="F335" s="9" t="s">
        <v>695</v>
      </c>
      <c r="H335" s="9">
        <f ca="1">SUMIF('서식(직납)'!B:L,'Summary(수주업로드용)'!A335,'서식(직납)'!J:J)</f>
        <v>0</v>
      </c>
      <c r="I335" s="28" t="e">
        <f ca="1">IF(H335="0","0",VLOOKUP(A335,'서식(직납)'!B:K,10,0))</f>
        <v>#N/A</v>
      </c>
      <c r="J335" s="7" t="e">
        <f t="shared" ca="1" si="11"/>
        <v>#N/A</v>
      </c>
      <c r="K335" s="4" t="str">
        <f>VLOOKUP(F335,'SUM(히아풀젤,폼 아이캐쳐붙인걸로)'!A:E,5,0)</f>
        <v>ME90621A05</v>
      </c>
    </row>
    <row r="336" spans="1:13" ht="12" hidden="1" customHeight="1">
      <c r="A336" s="4" t="str">
        <f t="shared" si="10"/>
        <v>81010925ME00621AN5</v>
      </c>
      <c r="B336" s="9">
        <v>81010003</v>
      </c>
      <c r="C336" s="35"/>
      <c r="D336" s="27">
        <v>81010925</v>
      </c>
      <c r="E336" s="71" t="s">
        <v>414</v>
      </c>
      <c r="F336" s="9" t="s">
        <v>697</v>
      </c>
      <c r="H336" s="9">
        <f ca="1">SUMIF('서식(직납)'!B:L,'Summary(수주업로드용)'!A336,'서식(직납)'!J:J)</f>
        <v>0</v>
      </c>
      <c r="I336" s="28" t="e">
        <f ca="1">IF(H336="0","0",VLOOKUP(A336,'서식(직납)'!B:K,10,0))</f>
        <v>#N/A</v>
      </c>
      <c r="J336" s="7" t="e">
        <f t="shared" ca="1" si="11"/>
        <v>#N/A</v>
      </c>
      <c r="K336" s="4">
        <f>VLOOKUP(F336,'SUM(히아풀젤,폼 아이캐쳐붙인걸로)'!A:E,5,0)</f>
        <v>0</v>
      </c>
    </row>
    <row r="337" spans="1:11" ht="12" hidden="1" customHeight="1">
      <c r="A337" s="4" t="str">
        <f t="shared" si="10"/>
        <v>81010925ME00621ASM</v>
      </c>
      <c r="B337" s="9">
        <v>81010000</v>
      </c>
      <c r="C337" s="35"/>
      <c r="D337" s="27">
        <v>81010925</v>
      </c>
      <c r="E337" s="71" t="s">
        <v>414</v>
      </c>
      <c r="F337" s="9" t="s">
        <v>696</v>
      </c>
      <c r="H337" s="9">
        <f ca="1">SUMIF('서식(직납)'!B:L,'Summary(수주업로드용)'!A337,'서식(직납)'!J:J)</f>
        <v>0</v>
      </c>
      <c r="I337" s="28" t="e">
        <f ca="1">IF(H337="0","0",VLOOKUP(A337,'서식(직납)'!B:K,10,0))</f>
        <v>#N/A</v>
      </c>
      <c r="J337" s="7" t="e">
        <f t="shared" ca="1" si="11"/>
        <v>#N/A</v>
      </c>
      <c r="K337" s="4">
        <f>VLOOKUP(F337,'SUM(히아풀젤,폼 아이캐쳐붙인걸로)'!A:E,5,0)</f>
        <v>0</v>
      </c>
    </row>
    <row r="338" spans="1:11" ht="12" hidden="1" customHeight="1">
      <c r="A338" s="4" t="str">
        <f t="shared" si="10"/>
        <v>81010925ME90621AC4</v>
      </c>
      <c r="B338" s="9">
        <v>81010000</v>
      </c>
      <c r="C338" s="35"/>
      <c r="D338" s="27">
        <v>81010925</v>
      </c>
      <c r="E338" s="71" t="s">
        <v>414</v>
      </c>
      <c r="F338" s="9" t="s">
        <v>938</v>
      </c>
      <c r="H338" s="9">
        <f ca="1">SUMIF('서식(직납)'!B:L,'Summary(수주업로드용)'!A338,'서식(직납)'!J:J)</f>
        <v>0</v>
      </c>
      <c r="I338" s="28" t="e">
        <f ca="1">IF(H338="0","0",VLOOKUP(A338,'서식(직납)'!B:K,10,0))</f>
        <v>#N/A</v>
      </c>
      <c r="J338" s="7" t="e">
        <f t="shared" ca="1" si="11"/>
        <v>#N/A</v>
      </c>
      <c r="K338" s="4" t="str">
        <f>VLOOKUP(F338,'SUM(히아풀젤,폼 아이캐쳐붙인걸로)'!A:E,5,0)</f>
        <v>9B4</v>
      </c>
    </row>
    <row r="339" spans="1:11" ht="12" hidden="1" customHeight="1">
      <c r="A339" s="4" t="str">
        <f t="shared" si="10"/>
        <v>81010925ME00621HFC</v>
      </c>
      <c r="B339" s="9">
        <v>81010000</v>
      </c>
      <c r="C339" s="35"/>
      <c r="D339" s="27">
        <v>81010925</v>
      </c>
      <c r="E339" s="71" t="s">
        <v>414</v>
      </c>
      <c r="F339" s="9" t="s">
        <v>764</v>
      </c>
      <c r="H339" s="9">
        <f ca="1">SUMIF('서식(직납)'!B:L,'Summary(수주업로드용)'!A339,'서식(직납)'!J:J)</f>
        <v>0</v>
      </c>
      <c r="I339" s="28" t="e">
        <f ca="1">IF(H339="0","0",VLOOKUP(A339,'서식(직납)'!B:K,10,0))</f>
        <v>#N/A</v>
      </c>
      <c r="J339" s="7" t="e">
        <f t="shared" ca="1" si="11"/>
        <v>#N/A</v>
      </c>
      <c r="K339" s="4" t="e">
        <f>VLOOKUP(F339,'SUM(히아풀젤,폼 아이캐쳐붙인걸로)'!A:E,5,0)</f>
        <v>#N/A</v>
      </c>
    </row>
    <row r="340" spans="1:11" ht="12" hidden="1" customHeight="1">
      <c r="A340" s="4" t="str">
        <f t="shared" si="10"/>
        <v>81010925ME00621HPC</v>
      </c>
      <c r="B340" s="9">
        <v>81010000</v>
      </c>
      <c r="C340" s="35"/>
      <c r="D340" s="27">
        <v>81010925</v>
      </c>
      <c r="E340" s="71" t="s">
        <v>414</v>
      </c>
      <c r="F340" s="9" t="s">
        <v>767</v>
      </c>
      <c r="H340" s="9">
        <f ca="1">SUMIF('서식(직납)'!B:L,'Summary(수주업로드용)'!A340,'서식(직납)'!J:J)</f>
        <v>0</v>
      </c>
      <c r="I340" s="28" t="e">
        <f ca="1">IF(H340="0","0",VLOOKUP(A340,'서식(직납)'!B:K,10,0))</f>
        <v>#N/A</v>
      </c>
      <c r="J340" s="7" t="e">
        <f t="shared" ca="1" si="11"/>
        <v>#N/A</v>
      </c>
      <c r="K340" s="4">
        <f>VLOOKUP(F340,'SUM(히아풀젤,폼 아이캐쳐붙인걸로)'!A:E,5,0)</f>
        <v>0</v>
      </c>
    </row>
    <row r="341" spans="1:11" ht="12" hidden="1" customHeight="1">
      <c r="A341" s="4" t="str">
        <f t="shared" si="10"/>
        <v>81010925ME90521WC4</v>
      </c>
      <c r="B341" s="9">
        <v>81010000</v>
      </c>
      <c r="C341" s="35"/>
      <c r="D341" s="27">
        <v>81010925</v>
      </c>
      <c r="E341" s="71" t="s">
        <v>414</v>
      </c>
      <c r="F341" s="9" t="s">
        <v>1030</v>
      </c>
      <c r="H341" s="9">
        <f ca="1">SUMIF('서식(직납)'!B:L,'Summary(수주업로드용)'!A341,'서식(직납)'!J:J)</f>
        <v>0</v>
      </c>
      <c r="I341" s="28" t="e">
        <f ca="1">IF(H341="0","0",VLOOKUP(A341,'서식(직납)'!B:K,10,0))</f>
        <v>#N/A</v>
      </c>
      <c r="J341" s="7" t="e">
        <f t="shared" ca="1" si="11"/>
        <v>#N/A</v>
      </c>
      <c r="K341" s="4" t="e">
        <f>VLOOKUP(F341,'SUM(히아풀젤,폼 아이캐쳐붙인걸로)'!A:E,5,0)</f>
        <v>#N/A</v>
      </c>
    </row>
    <row r="342" spans="1:11" ht="12" hidden="1" customHeight="1">
      <c r="A342" s="4" t="str">
        <f t="shared" si="10"/>
        <v>81010925ME90521WC5</v>
      </c>
      <c r="B342" s="9">
        <v>81010000</v>
      </c>
      <c r="C342" s="35"/>
      <c r="D342" s="27">
        <v>81010925</v>
      </c>
      <c r="E342" s="71" t="s">
        <v>414</v>
      </c>
      <c r="F342" s="9" t="s">
        <v>1031</v>
      </c>
      <c r="H342" s="9">
        <f ca="1">SUMIF('서식(직납)'!B:L,'Summary(수주업로드용)'!A342,'서식(직납)'!J:J)</f>
        <v>0</v>
      </c>
      <c r="I342" s="28" t="e">
        <f ca="1">IF(H342="0","0",VLOOKUP(A342,'서식(직납)'!B:K,10,0))</f>
        <v>#N/A</v>
      </c>
      <c r="J342" s="7" t="e">
        <f t="shared" ca="1" si="11"/>
        <v>#N/A</v>
      </c>
      <c r="K342" s="4" t="e">
        <f>VLOOKUP(F342,'SUM(히아풀젤,폼 아이캐쳐붙인걸로)'!A:E,5,0)</f>
        <v>#N/A</v>
      </c>
    </row>
    <row r="343" spans="1:11" ht="12" hidden="1" customHeight="1">
      <c r="A343" s="4" t="str">
        <f t="shared" si="10"/>
        <v>81010925ME90521WC6</v>
      </c>
      <c r="B343" s="9">
        <v>81010000</v>
      </c>
      <c r="C343" s="35"/>
      <c r="D343" s="27">
        <v>81010925</v>
      </c>
      <c r="E343" s="71" t="s">
        <v>414</v>
      </c>
      <c r="F343" s="9" t="s">
        <v>1034</v>
      </c>
      <c r="H343" s="9">
        <f ca="1">SUMIF('서식(직납)'!B:L,'Summary(수주업로드용)'!A343,'서식(직납)'!J:J)</f>
        <v>0</v>
      </c>
      <c r="I343" s="28" t="e">
        <f ca="1">IF(H343="0","0",VLOOKUP(A343,'서식(직납)'!B:K,10,0))</f>
        <v>#N/A</v>
      </c>
      <c r="J343" s="7" t="e">
        <f t="shared" ca="1" si="11"/>
        <v>#N/A</v>
      </c>
      <c r="K343" s="4" t="e">
        <f>VLOOKUP(F343,'SUM(히아풀젤,폼 아이캐쳐붙인걸로)'!A:E,5,0)</f>
        <v>#N/A</v>
      </c>
    </row>
    <row r="344" spans="1:11" ht="12" hidden="1" customHeight="1">
      <c r="A344" s="4" t="str">
        <f t="shared" si="10"/>
        <v>81010925ME90521E18</v>
      </c>
      <c r="B344" s="9">
        <v>81010000</v>
      </c>
      <c r="C344" s="35"/>
      <c r="D344" s="27">
        <v>81010925</v>
      </c>
      <c r="E344" s="71" t="s">
        <v>414</v>
      </c>
      <c r="F344" s="9" t="s">
        <v>676</v>
      </c>
      <c r="H344" s="9">
        <f ca="1">SUMIF('서식(직납)'!B:L,'Summary(수주업로드용)'!A344,'서식(직납)'!J:J)</f>
        <v>0</v>
      </c>
      <c r="I344" s="28" t="e">
        <f ca="1">IF(H344="0","0",VLOOKUP(A344,'서식(직납)'!B:K,10,0))</f>
        <v>#N/A</v>
      </c>
      <c r="J344" s="7" t="e">
        <f t="shared" ca="1" si="11"/>
        <v>#N/A</v>
      </c>
      <c r="K344" s="4">
        <f>VLOOKUP(F344,'SUM(히아풀젤,폼 아이캐쳐붙인걸로)'!A:E,5,0)</f>
        <v>0</v>
      </c>
    </row>
    <row r="345" spans="1:11" ht="12" hidden="1" customHeight="1">
      <c r="A345" s="4" t="str">
        <f t="shared" si="10"/>
        <v>81011006ME00621AF9</v>
      </c>
      <c r="B345" s="9">
        <v>81010000</v>
      </c>
      <c r="C345" s="127"/>
      <c r="D345" s="128">
        <v>81011006</v>
      </c>
      <c r="E345" s="71" t="s">
        <v>414</v>
      </c>
      <c r="F345" s="107" t="s">
        <v>969</v>
      </c>
      <c r="G345" s="107"/>
      <c r="H345" s="9">
        <f ca="1">SUMIF('서식(직납)'!B:L,'Summary(수주업로드용)'!A345,'서식(직납)'!J:J)</f>
        <v>0</v>
      </c>
      <c r="I345" s="28" t="e">
        <f ca="1">IF(H345="0","0",VLOOKUP(A345,'서식(직납)'!B:K,10,0))</f>
        <v>#N/A</v>
      </c>
      <c r="J345" s="7" t="e">
        <f t="shared" ca="1" si="11"/>
        <v>#N/A</v>
      </c>
      <c r="K345" s="4" t="e">
        <f>VLOOKUP(F345,'SUM(히아풀젤,폼 아이캐쳐붙인걸로)'!A:E,5,0)</f>
        <v>#N/A</v>
      </c>
    </row>
    <row r="346" spans="1:11" ht="12" hidden="1" customHeight="1">
      <c r="A346" s="4" t="str">
        <f t="shared" si="10"/>
        <v>81011006ME90621NA7</v>
      </c>
      <c r="B346" s="9">
        <v>81010000</v>
      </c>
      <c r="C346" s="127"/>
      <c r="D346" s="128">
        <v>81011006</v>
      </c>
      <c r="E346" s="71" t="s">
        <v>414</v>
      </c>
      <c r="F346" s="107" t="s">
        <v>685</v>
      </c>
      <c r="G346" s="107"/>
      <c r="H346" s="9">
        <f ca="1">SUMIF('서식(직납)'!B:L,'Summary(수주업로드용)'!A346,'서식(직납)'!J:J)</f>
        <v>0</v>
      </c>
      <c r="I346" s="28" t="e">
        <f ca="1">IF(H346="0","0",VLOOKUP(A346,'서식(직납)'!B:K,10,0))</f>
        <v>#N/A</v>
      </c>
      <c r="J346" s="7" t="e">
        <f t="shared" ca="1" si="11"/>
        <v>#N/A</v>
      </c>
      <c r="K346" s="4">
        <f>VLOOKUP(F346,'SUM(히아풀젤,폼 아이캐쳐붙인걸로)'!A:E,5,0)</f>
        <v>0</v>
      </c>
    </row>
    <row r="347" spans="1:11" ht="12" hidden="1" customHeight="1">
      <c r="A347" s="4" t="str">
        <f t="shared" si="10"/>
        <v>81011006ME90621AT3</v>
      </c>
      <c r="B347" s="9">
        <v>81010000</v>
      </c>
      <c r="C347" s="127"/>
      <c r="D347" s="128">
        <v>81011006</v>
      </c>
      <c r="E347" s="71" t="s">
        <v>414</v>
      </c>
      <c r="F347" s="107" t="s">
        <v>592</v>
      </c>
      <c r="G347" s="107"/>
      <c r="H347" s="9">
        <f ca="1">SUMIF('서식(직납)'!B:L,'Summary(수주업로드용)'!A347,'서식(직납)'!J:J)</f>
        <v>0</v>
      </c>
      <c r="I347" s="28" t="e">
        <f ca="1">IF(H347="0","0",VLOOKUP(A347,'서식(직납)'!B:K,10,0))</f>
        <v>#N/A</v>
      </c>
      <c r="J347" s="7" t="e">
        <f t="shared" ca="1" si="11"/>
        <v>#N/A</v>
      </c>
      <c r="K347" s="4" t="e">
        <f>VLOOKUP(F347,'SUM(히아풀젤,폼 아이캐쳐붙인걸로)'!A:E,5,0)</f>
        <v>#N/A</v>
      </c>
    </row>
    <row r="348" spans="1:11" ht="12" hidden="1" customHeight="1">
      <c r="A348" s="4" t="str">
        <f t="shared" si="10"/>
        <v>81011006ME90621A07</v>
      </c>
      <c r="B348" s="9">
        <v>81010000</v>
      </c>
      <c r="C348" s="127"/>
      <c r="D348" s="128">
        <v>81011006</v>
      </c>
      <c r="E348" s="71" t="s">
        <v>414</v>
      </c>
      <c r="F348" s="107" t="s">
        <v>384</v>
      </c>
      <c r="G348" s="107"/>
      <c r="H348" s="9">
        <f ca="1">SUMIF('서식(직납)'!B:L,'Summary(수주업로드용)'!A348,'서식(직납)'!J:J)</f>
        <v>0</v>
      </c>
      <c r="I348" s="28" t="e">
        <f ca="1">IF(H348="0","0",VLOOKUP(A348,'서식(직납)'!B:K,10,0))</f>
        <v>#N/A</v>
      </c>
      <c r="J348" s="7" t="e">
        <f t="shared" ca="1" si="11"/>
        <v>#N/A</v>
      </c>
      <c r="K348" s="4" t="e">
        <f>VLOOKUP(F348,'SUM(히아풀젤,폼 아이캐쳐붙인걸로)'!A:E,5,0)</f>
        <v>#N/A</v>
      </c>
    </row>
    <row r="349" spans="1:11" ht="12" hidden="1" customHeight="1">
      <c r="A349" s="4" t="str">
        <f t="shared" si="10"/>
        <v>81011006ME90621ADI</v>
      </c>
      <c r="B349" s="9">
        <v>81010000</v>
      </c>
      <c r="C349" s="127"/>
      <c r="D349" s="128">
        <v>81011006</v>
      </c>
      <c r="E349" s="71" t="s">
        <v>414</v>
      </c>
      <c r="F349" s="107" t="s">
        <v>954</v>
      </c>
      <c r="G349" s="107"/>
      <c r="H349" s="9">
        <f ca="1">SUMIF('서식(직납)'!B:L,'Summary(수주업로드용)'!A349,'서식(직납)'!J:J)</f>
        <v>0</v>
      </c>
      <c r="I349" s="28" t="e">
        <f ca="1">IF(H349="0","0",VLOOKUP(A349,'서식(직납)'!B:K,10,0))</f>
        <v>#N/A</v>
      </c>
      <c r="J349" s="7" t="e">
        <f t="shared" ca="1" si="11"/>
        <v>#N/A</v>
      </c>
      <c r="K349" s="4">
        <f>VLOOKUP(F349,'SUM(히아풀젤,폼 아이캐쳐붙인걸로)'!A:E,5,0)</f>
        <v>0</v>
      </c>
    </row>
    <row r="350" spans="1:11" ht="12" hidden="1" customHeight="1">
      <c r="A350" s="4" t="str">
        <f t="shared" si="10"/>
        <v>81011006ME90621A04</v>
      </c>
      <c r="B350" s="9">
        <v>81010000</v>
      </c>
      <c r="C350" s="127"/>
      <c r="D350" s="128">
        <v>81011006</v>
      </c>
      <c r="E350" s="71" t="s">
        <v>414</v>
      </c>
      <c r="F350" s="107" t="s">
        <v>334</v>
      </c>
      <c r="G350" s="107"/>
      <c r="H350" s="9">
        <f ca="1">SUMIF('서식(직납)'!B:L,'Summary(수주업로드용)'!A350,'서식(직납)'!J:J)</f>
        <v>0</v>
      </c>
      <c r="I350" s="28" t="e">
        <f ca="1">IF(H350="0","0",VLOOKUP(A350,'서식(직납)'!B:K,10,0))</f>
        <v>#N/A</v>
      </c>
      <c r="J350" s="7" t="e">
        <f t="shared" ca="1" si="11"/>
        <v>#N/A</v>
      </c>
      <c r="K350" s="4" t="e">
        <f>VLOOKUP(F350,'SUM(히아풀젤,폼 아이캐쳐붙인걸로)'!A:E,5,0)</f>
        <v>#N/A</v>
      </c>
    </row>
    <row r="351" spans="1:11" ht="12" hidden="1" customHeight="1">
      <c r="A351" s="4" t="str">
        <f t="shared" si="10"/>
        <v>81011006ME90621A02</v>
      </c>
      <c r="B351" s="9">
        <v>81010000</v>
      </c>
      <c r="C351" s="127"/>
      <c r="D351" s="128">
        <v>81011006</v>
      </c>
      <c r="E351" s="71" t="s">
        <v>414</v>
      </c>
      <c r="F351" s="107" t="s">
        <v>661</v>
      </c>
      <c r="G351" s="107"/>
      <c r="H351" s="9">
        <f ca="1">SUMIF('서식(직납)'!B:L,'Summary(수주업로드용)'!A351,'서식(직납)'!J:J)</f>
        <v>0</v>
      </c>
      <c r="I351" s="28" t="e">
        <f ca="1">IF(H351="0","0",VLOOKUP(A351,'서식(직납)'!B:K,10,0))</f>
        <v>#N/A</v>
      </c>
      <c r="J351" s="7" t="e">
        <f t="shared" ca="1" si="11"/>
        <v>#N/A</v>
      </c>
      <c r="K351" s="4" t="e">
        <f>VLOOKUP(F351,'SUM(히아풀젤,폼 아이캐쳐붙인걸로)'!A:E,5,0)</f>
        <v>#N/A</v>
      </c>
    </row>
    <row r="352" spans="1:11" ht="12" hidden="1" customHeight="1">
      <c r="A352" s="4" t="str">
        <f t="shared" si="10"/>
        <v>81011006ME90621AFE</v>
      </c>
      <c r="B352" s="9">
        <v>81010000</v>
      </c>
      <c r="C352" s="127"/>
      <c r="D352" s="128">
        <v>81011006</v>
      </c>
      <c r="E352" s="71" t="s">
        <v>414</v>
      </c>
      <c r="F352" s="107" t="s">
        <v>958</v>
      </c>
      <c r="G352" s="107"/>
      <c r="H352" s="9">
        <f ca="1">SUMIF('서식(직납)'!B:L,'Summary(수주업로드용)'!A352,'서식(직납)'!J:J)</f>
        <v>0</v>
      </c>
      <c r="I352" s="28" t="e">
        <f ca="1">IF(H352="0","0",VLOOKUP(A352,'서식(직납)'!B:K,10,0))</f>
        <v>#N/A</v>
      </c>
      <c r="J352" s="7" t="e">
        <f t="shared" ca="1" si="11"/>
        <v>#N/A</v>
      </c>
      <c r="K352" s="4" t="e">
        <f>VLOOKUP(F352,'SUM(히아풀젤,폼 아이캐쳐붙인걸로)'!A:E,5,0)</f>
        <v>#N/A</v>
      </c>
    </row>
    <row r="353" spans="1:11" ht="12" hidden="1" customHeight="1">
      <c r="A353" s="4" t="str">
        <f t="shared" si="10"/>
        <v>81011006ME00621TC3</v>
      </c>
      <c r="B353" s="9">
        <v>81010000</v>
      </c>
      <c r="C353" s="127"/>
      <c r="D353" s="128">
        <v>81011006</v>
      </c>
      <c r="E353" s="71" t="s">
        <v>414</v>
      </c>
      <c r="F353" s="107" t="s">
        <v>639</v>
      </c>
      <c r="G353" s="107"/>
      <c r="H353" s="9">
        <f ca="1">SUMIF('서식(직납)'!B:L,'Summary(수주업로드용)'!A353,'서식(직납)'!J:J)</f>
        <v>0</v>
      </c>
      <c r="I353" s="28" t="e">
        <f ca="1">IF(H353="0","0",VLOOKUP(A353,'서식(직납)'!B:K,10,0))</f>
        <v>#N/A</v>
      </c>
      <c r="J353" s="7" t="e">
        <f t="shared" ca="1" si="11"/>
        <v>#N/A</v>
      </c>
      <c r="K353" s="4" t="e">
        <f>VLOOKUP(F353,'SUM(히아풀젤,폼 아이캐쳐붙인걸로)'!A:E,5,0)</f>
        <v>#N/A</v>
      </c>
    </row>
    <row r="354" spans="1:11" ht="12" hidden="1" customHeight="1">
      <c r="A354" s="4" t="str">
        <f t="shared" si="10"/>
        <v>81011006ME00621AB1</v>
      </c>
      <c r="B354" s="9">
        <v>81010000</v>
      </c>
      <c r="C354" s="127"/>
      <c r="D354" s="128">
        <v>81011006</v>
      </c>
      <c r="E354" s="71" t="s">
        <v>414</v>
      </c>
      <c r="F354" s="107" t="s">
        <v>622</v>
      </c>
      <c r="G354" s="107"/>
      <c r="H354" s="9">
        <f ca="1">SUMIF('서식(직납)'!B:L,'Summary(수주업로드용)'!A354,'서식(직납)'!J:J)</f>
        <v>0</v>
      </c>
      <c r="I354" s="28" t="e">
        <f ca="1">IF(H354="0","0",VLOOKUP(A354,'서식(직납)'!B:K,10,0))</f>
        <v>#N/A</v>
      </c>
      <c r="J354" s="7" t="e">
        <f t="shared" ca="1" si="11"/>
        <v>#N/A</v>
      </c>
      <c r="K354" s="4" t="e">
        <f>VLOOKUP(F354,'SUM(히아풀젤,폼 아이캐쳐붙인걸로)'!A:E,5,0)</f>
        <v>#N/A</v>
      </c>
    </row>
    <row r="355" spans="1:11" ht="12" hidden="1" customHeight="1">
      <c r="A355" s="4" t="str">
        <f t="shared" si="10"/>
        <v>81011006ME00621C17</v>
      </c>
      <c r="B355" s="9">
        <v>81010000</v>
      </c>
      <c r="C355" s="127"/>
      <c r="D355" s="128">
        <v>81011006</v>
      </c>
      <c r="E355" s="71" t="s">
        <v>414</v>
      </c>
      <c r="F355" s="107" t="s">
        <v>621</v>
      </c>
      <c r="G355" s="107"/>
      <c r="H355" s="9">
        <f ca="1">SUMIF('서식(직납)'!B:L,'Summary(수주업로드용)'!A355,'서식(직납)'!J:J)</f>
        <v>0</v>
      </c>
      <c r="I355" s="28" t="e">
        <f ca="1">IF(H355="0","0",VLOOKUP(A355,'서식(직납)'!B:K,10,0))</f>
        <v>#N/A</v>
      </c>
      <c r="J355" s="7" t="e">
        <f t="shared" ca="1" si="11"/>
        <v>#N/A</v>
      </c>
      <c r="K355" s="4" t="e">
        <f>VLOOKUP(F355,'SUM(히아풀젤,폼 아이캐쳐붙인걸로)'!A:E,5,0)</f>
        <v>#N/A</v>
      </c>
    </row>
    <row r="356" spans="1:11" ht="12" hidden="1" customHeight="1">
      <c r="A356" s="4" t="str">
        <f t="shared" si="10"/>
        <v>81011006ME00621AT6</v>
      </c>
      <c r="B356" s="9">
        <v>81010000</v>
      </c>
      <c r="C356" s="127"/>
      <c r="D356" s="128">
        <v>81011006</v>
      </c>
      <c r="E356" s="71" t="s">
        <v>414</v>
      </c>
      <c r="F356" s="107" t="s">
        <v>333</v>
      </c>
      <c r="G356" s="107"/>
      <c r="H356" s="9">
        <f ca="1">SUMIF('서식(직납)'!B:L,'Summary(수주업로드용)'!A356,'서식(직납)'!J:J)</f>
        <v>0</v>
      </c>
      <c r="I356" s="28" t="e">
        <f ca="1">IF(H356="0","0",VLOOKUP(A356,'서식(직납)'!B:K,10,0))</f>
        <v>#N/A</v>
      </c>
      <c r="J356" s="7" t="e">
        <f t="shared" ca="1" si="11"/>
        <v>#N/A</v>
      </c>
      <c r="K356" s="4" t="e">
        <f>VLOOKUP(F356,'SUM(히아풀젤,폼 아이캐쳐붙인걸로)'!A:E,5,0)</f>
        <v>#N/A</v>
      </c>
    </row>
    <row r="357" spans="1:11" ht="12" hidden="1" customHeight="1">
      <c r="A357" s="4" t="str">
        <f t="shared" si="10"/>
        <v>81011006ME00621AM1</v>
      </c>
      <c r="B357" s="9">
        <v>81010000</v>
      </c>
      <c r="C357" s="127"/>
      <c r="D357" s="128">
        <v>81011006</v>
      </c>
      <c r="E357" s="71" t="s">
        <v>414</v>
      </c>
      <c r="F357" s="107" t="s">
        <v>619</v>
      </c>
      <c r="G357" s="107"/>
      <c r="H357" s="9">
        <f ca="1">SUMIF('서식(직납)'!B:L,'Summary(수주업로드용)'!A357,'서식(직납)'!J:J)</f>
        <v>0</v>
      </c>
      <c r="I357" s="28" t="e">
        <f ca="1">IF(H357="0","0",VLOOKUP(A357,'서식(직납)'!B:K,10,0))</f>
        <v>#N/A</v>
      </c>
      <c r="J357" s="7" t="e">
        <f t="shared" ca="1" si="11"/>
        <v>#N/A</v>
      </c>
      <c r="K357" s="4" t="e">
        <f>VLOOKUP(F357,'SUM(히아풀젤,폼 아이캐쳐붙인걸로)'!A:E,5,0)</f>
        <v>#N/A</v>
      </c>
    </row>
    <row r="358" spans="1:11" ht="12" hidden="1" customHeight="1">
      <c r="A358" s="4" t="str">
        <f t="shared" si="10"/>
        <v>81011006ME00621AS1</v>
      </c>
      <c r="B358" s="9">
        <v>81010000</v>
      </c>
      <c r="C358" s="127"/>
      <c r="D358" s="128">
        <v>81011006</v>
      </c>
      <c r="E358" s="71" t="s">
        <v>414</v>
      </c>
      <c r="F358" s="107" t="s">
        <v>498</v>
      </c>
      <c r="G358" s="107"/>
      <c r="H358" s="9">
        <f ca="1">SUMIF('서식(직납)'!B:L,'Summary(수주업로드용)'!A358,'서식(직납)'!J:J)</f>
        <v>0</v>
      </c>
      <c r="I358" s="28" t="e">
        <f ca="1">IF(H358="0","0",VLOOKUP(A358,'서식(직납)'!B:K,10,0))</f>
        <v>#N/A</v>
      </c>
      <c r="J358" s="7" t="e">
        <f t="shared" ca="1" si="11"/>
        <v>#N/A</v>
      </c>
      <c r="K358" s="4" t="e">
        <f>VLOOKUP(F358,'SUM(히아풀젤,폼 아이캐쳐붙인걸로)'!A:E,5,0)</f>
        <v>#N/A</v>
      </c>
    </row>
    <row r="359" spans="1:11" ht="12" hidden="1" customHeight="1">
      <c r="A359" s="4" t="str">
        <f t="shared" si="10"/>
        <v>81011006ME00621AR1</v>
      </c>
      <c r="B359" s="9">
        <v>81010000</v>
      </c>
      <c r="C359" s="127"/>
      <c r="D359" s="128">
        <v>81011006</v>
      </c>
      <c r="E359" s="71" t="s">
        <v>414</v>
      </c>
      <c r="F359" s="107" t="s">
        <v>496</v>
      </c>
      <c r="G359" s="107"/>
      <c r="H359" s="9">
        <f ca="1">SUMIF('서식(직납)'!B:L,'Summary(수주업로드용)'!A359,'서식(직납)'!J:J)</f>
        <v>0</v>
      </c>
      <c r="I359" s="28" t="e">
        <f ca="1">IF(H359="0","0",VLOOKUP(A359,'서식(직납)'!B:K,10,0))</f>
        <v>#N/A</v>
      </c>
      <c r="J359" s="7" t="e">
        <f t="shared" ca="1" si="11"/>
        <v>#N/A</v>
      </c>
      <c r="K359" s="4" t="e">
        <f>VLOOKUP(F359,'SUM(히아풀젤,폼 아이캐쳐붙인걸로)'!A:E,5,0)</f>
        <v>#N/A</v>
      </c>
    </row>
    <row r="360" spans="1:11" ht="12" hidden="1" customHeight="1">
      <c r="A360" s="4" t="str">
        <f t="shared" si="10"/>
        <v>81011006ME00621AL1</v>
      </c>
      <c r="B360" s="9">
        <v>81010000</v>
      </c>
      <c r="C360" s="127"/>
      <c r="D360" s="128">
        <v>81011006</v>
      </c>
      <c r="E360" s="71" t="s">
        <v>414</v>
      </c>
      <c r="F360" s="107" t="s">
        <v>494</v>
      </c>
      <c r="G360" s="107"/>
      <c r="H360" s="9">
        <f ca="1">SUMIF('서식(직납)'!B:L,'Summary(수주업로드용)'!A360,'서식(직납)'!J:J)</f>
        <v>0</v>
      </c>
      <c r="I360" s="28" t="e">
        <f ca="1">IF(H360="0","0",VLOOKUP(A360,'서식(직납)'!B:K,10,0))</f>
        <v>#N/A</v>
      </c>
      <c r="J360" s="7" t="e">
        <f t="shared" ca="1" si="11"/>
        <v>#N/A</v>
      </c>
      <c r="K360" s="4" t="e">
        <f>VLOOKUP(F360,'SUM(히아풀젤,폼 아이캐쳐붙인걸로)'!A:E,5,0)</f>
        <v>#N/A</v>
      </c>
    </row>
    <row r="361" spans="1:11" ht="12" hidden="1" customHeight="1">
      <c r="A361" s="4" t="str">
        <f t="shared" si="10"/>
        <v>81011006ME00621AG1</v>
      </c>
      <c r="B361" s="9">
        <v>81010000</v>
      </c>
      <c r="C361" s="127"/>
      <c r="D361" s="128">
        <v>81011006</v>
      </c>
      <c r="E361" s="71" t="s">
        <v>414</v>
      </c>
      <c r="F361" s="107" t="s">
        <v>492</v>
      </c>
      <c r="G361" s="107"/>
      <c r="H361" s="9">
        <f ca="1">SUMIF('서식(직납)'!B:L,'Summary(수주업로드용)'!A361,'서식(직납)'!J:J)</f>
        <v>0</v>
      </c>
      <c r="I361" s="28" t="e">
        <f ca="1">IF(H361="0","0",VLOOKUP(A361,'서식(직납)'!B:K,10,0))</f>
        <v>#N/A</v>
      </c>
      <c r="J361" s="7" t="e">
        <f t="shared" ca="1" si="11"/>
        <v>#N/A</v>
      </c>
      <c r="K361" s="4" t="e">
        <f>VLOOKUP(F361,'SUM(히아풀젤,폼 아이캐쳐붙인걸로)'!A:E,5,0)</f>
        <v>#N/A</v>
      </c>
    </row>
    <row r="362" spans="1:11" ht="12" hidden="1" customHeight="1">
      <c r="A362" s="4" t="str">
        <f t="shared" si="10"/>
        <v>81011006ME00621AF9</v>
      </c>
      <c r="B362" s="9">
        <v>81010000</v>
      </c>
      <c r="C362" s="127"/>
      <c r="D362" s="128">
        <v>81011006</v>
      </c>
      <c r="E362" s="71" t="s">
        <v>414</v>
      </c>
      <c r="F362" s="107" t="s">
        <v>969</v>
      </c>
      <c r="G362" s="107"/>
      <c r="H362" s="9">
        <f ca="1">SUMIF('서식(직납)'!B:L,'Summary(수주업로드용)'!A362,'서식(직납)'!J:J)</f>
        <v>0</v>
      </c>
      <c r="I362" s="28" t="e">
        <f ca="1">IF(H362="0","0",VLOOKUP(A362,'서식(직납)'!B:K,10,0))</f>
        <v>#N/A</v>
      </c>
      <c r="J362" s="7" t="e">
        <f t="shared" ca="1" si="11"/>
        <v>#N/A</v>
      </c>
      <c r="K362" s="4" t="e">
        <f>VLOOKUP(F362,'SUM(히아풀젤,폼 아이캐쳐붙인걸로)'!A:E,5,0)</f>
        <v>#N/A</v>
      </c>
    </row>
    <row r="363" spans="1:11" ht="12" hidden="1" customHeight="1">
      <c r="A363" s="4" t="str">
        <f t="shared" si="10"/>
        <v>81011006ME00621A08</v>
      </c>
      <c r="B363" s="9">
        <v>81010000</v>
      </c>
      <c r="C363" s="127"/>
      <c r="D363" s="128">
        <v>81011006</v>
      </c>
      <c r="E363" s="71" t="s">
        <v>414</v>
      </c>
      <c r="F363" s="107" t="s">
        <v>480</v>
      </c>
      <c r="G363" s="107"/>
      <c r="H363" s="9">
        <f ca="1">SUMIF('서식(직납)'!B:L,'Summary(수주업로드용)'!A363,'서식(직납)'!J:J)</f>
        <v>0</v>
      </c>
      <c r="I363" s="28" t="e">
        <f ca="1">IF(H363="0","0",VLOOKUP(A363,'서식(직납)'!B:K,10,0))</f>
        <v>#N/A</v>
      </c>
      <c r="J363" s="7" t="e">
        <f t="shared" ca="1" si="11"/>
        <v>#N/A</v>
      </c>
      <c r="K363" s="4" t="e">
        <f>VLOOKUP(F363,'SUM(히아풀젤,폼 아이캐쳐붙인걸로)'!A:E,5,0)</f>
        <v>#N/A</v>
      </c>
    </row>
    <row r="364" spans="1:11" ht="12" hidden="1" customHeight="1">
      <c r="A364" s="4" t="str">
        <f t="shared" si="10"/>
        <v>81011006ME90621SM4</v>
      </c>
      <c r="B364" s="9">
        <v>81010000</v>
      </c>
      <c r="C364" s="127"/>
      <c r="D364" s="128">
        <v>81011006</v>
      </c>
      <c r="E364" s="71" t="s">
        <v>414</v>
      </c>
      <c r="F364" s="108" t="s">
        <v>19</v>
      </c>
      <c r="G364" s="108"/>
      <c r="H364" s="9">
        <f ca="1">SUMIF('서식(직납)'!B:L,'Summary(수주업로드용)'!A364,'서식(직납)'!J:J)</f>
        <v>0</v>
      </c>
      <c r="I364" s="28" t="e">
        <f ca="1">IF(H364="0","0",VLOOKUP(A364,'서식(직납)'!B:K,10,0))</f>
        <v>#N/A</v>
      </c>
      <c r="J364" s="7" t="e">
        <f t="shared" ca="1" si="11"/>
        <v>#N/A</v>
      </c>
      <c r="K364" s="4" t="e">
        <f>VLOOKUP(F364,'SUM(히아풀젤,폼 아이캐쳐붙인걸로)'!A:E,5,0)</f>
        <v>#N/A</v>
      </c>
    </row>
    <row r="365" spans="1:11" ht="12" hidden="1" customHeight="1">
      <c r="A365" s="4" t="str">
        <f t="shared" si="10"/>
        <v>81011006ME90621SL2</v>
      </c>
      <c r="B365" s="9">
        <v>81010000</v>
      </c>
      <c r="C365" s="127"/>
      <c r="D365" s="128">
        <v>81011006</v>
      </c>
      <c r="E365" s="71" t="s">
        <v>414</v>
      </c>
      <c r="F365" s="108" t="s">
        <v>628</v>
      </c>
      <c r="G365" s="108"/>
      <c r="H365" s="9">
        <f ca="1">SUMIF('서식(직납)'!B:L,'Summary(수주업로드용)'!A365,'서식(직납)'!J:J)</f>
        <v>0</v>
      </c>
      <c r="I365" s="28" t="e">
        <f ca="1">IF(H365="0","0",VLOOKUP(A365,'서식(직납)'!B:K,10,0))</f>
        <v>#N/A</v>
      </c>
      <c r="J365" s="7" t="e">
        <f t="shared" ca="1" si="11"/>
        <v>#N/A</v>
      </c>
      <c r="K365" s="4" t="e">
        <f>VLOOKUP(F365,'SUM(히아풀젤,폼 아이캐쳐붙인걸로)'!A:E,5,0)</f>
        <v>#N/A</v>
      </c>
    </row>
    <row r="366" spans="1:11" ht="12" hidden="1" customHeight="1">
      <c r="A366" s="4" t="str">
        <f t="shared" si="10"/>
        <v>81011006ME90621SCM</v>
      </c>
      <c r="B366" s="9">
        <v>81010000</v>
      </c>
      <c r="C366" s="127"/>
      <c r="D366" s="128">
        <v>81011006</v>
      </c>
      <c r="E366" s="71" t="s">
        <v>414</v>
      </c>
      <c r="F366" s="108" t="s">
        <v>593</v>
      </c>
      <c r="G366" s="108"/>
      <c r="H366" s="9">
        <f ca="1">SUMIF('서식(직납)'!B:L,'Summary(수주업로드용)'!A366,'서식(직납)'!J:J)</f>
        <v>0</v>
      </c>
      <c r="I366" s="28" t="e">
        <f ca="1">IF(H366="0","0",VLOOKUP(A366,'서식(직납)'!B:K,10,0))</f>
        <v>#N/A</v>
      </c>
      <c r="J366" s="7" t="e">
        <f t="shared" ca="1" si="11"/>
        <v>#N/A</v>
      </c>
      <c r="K366" s="4" t="e">
        <f>VLOOKUP(F366,'SUM(히아풀젤,폼 아이캐쳐붙인걸로)'!A:E,5,0)</f>
        <v>#N/A</v>
      </c>
    </row>
    <row r="367" spans="1:11" ht="12" hidden="1" customHeight="1">
      <c r="A367" s="4" t="str">
        <f t="shared" si="10"/>
        <v>81011006ME90621KW1</v>
      </c>
      <c r="B367" s="9">
        <v>81010000</v>
      </c>
      <c r="C367" s="127"/>
      <c r="D367" s="128">
        <v>81011006</v>
      </c>
      <c r="E367" s="71" t="s">
        <v>414</v>
      </c>
      <c r="F367" s="108" t="s">
        <v>616</v>
      </c>
      <c r="G367" s="108"/>
      <c r="H367" s="9">
        <f ca="1">SUMIF('서식(직납)'!B:L,'Summary(수주업로드용)'!A367,'서식(직납)'!J:J)</f>
        <v>0</v>
      </c>
      <c r="I367" s="28" t="e">
        <f ca="1">IF(H367="0","0",VLOOKUP(A367,'서식(직납)'!B:K,10,0))</f>
        <v>#N/A</v>
      </c>
      <c r="J367" s="7" t="e">
        <f t="shared" ca="1" si="11"/>
        <v>#N/A</v>
      </c>
      <c r="K367" s="4" t="e">
        <f>VLOOKUP(F367,'SUM(히아풀젤,폼 아이캐쳐붙인걸로)'!A:E,5,0)</f>
        <v>#N/A</v>
      </c>
    </row>
    <row r="368" spans="1:11" ht="12" hidden="1" customHeight="1">
      <c r="A368" s="4" t="str">
        <f t="shared" si="10"/>
        <v>81011006ME00621H51</v>
      </c>
      <c r="B368" s="9">
        <v>81010000</v>
      </c>
      <c r="C368" s="127"/>
      <c r="D368" s="128">
        <v>81011006</v>
      </c>
      <c r="E368" s="71" t="s">
        <v>414</v>
      </c>
      <c r="F368" s="108" t="s">
        <v>611</v>
      </c>
      <c r="G368" s="108"/>
      <c r="H368" s="9">
        <f ca="1">SUMIF('서식(직납)'!B:L,'Summary(수주업로드용)'!A368,'서식(직납)'!J:J)</f>
        <v>0</v>
      </c>
      <c r="I368" s="28" t="e">
        <f ca="1">IF(H368="0","0",VLOOKUP(A368,'서식(직납)'!B:K,10,0))</f>
        <v>#N/A</v>
      </c>
      <c r="J368" s="7" t="e">
        <f t="shared" ca="1" si="11"/>
        <v>#N/A</v>
      </c>
      <c r="K368" s="4" t="e">
        <f>VLOOKUP(F368,'SUM(히아풀젤,폼 아이캐쳐붙인걸로)'!A:E,5,0)</f>
        <v>#N/A</v>
      </c>
    </row>
    <row r="369" spans="1:11" ht="12" hidden="1" customHeight="1">
      <c r="A369" s="4" t="str">
        <f t="shared" si="10"/>
        <v>81011006ME90621GPM</v>
      </c>
      <c r="B369" s="9">
        <v>81010000</v>
      </c>
      <c r="C369" s="127"/>
      <c r="D369" s="128">
        <v>81011006</v>
      </c>
      <c r="E369" s="71" t="s">
        <v>414</v>
      </c>
      <c r="F369" s="108" t="s">
        <v>534</v>
      </c>
      <c r="G369" s="108"/>
      <c r="H369" s="9">
        <f ca="1">SUMIF('서식(직납)'!B:L,'Summary(수주업로드용)'!A369,'서식(직납)'!J:J)</f>
        <v>0</v>
      </c>
      <c r="I369" s="28" t="e">
        <f ca="1">IF(H369="0","0",VLOOKUP(A369,'서식(직납)'!B:K,10,0))</f>
        <v>#N/A</v>
      </c>
      <c r="J369" s="7" t="e">
        <f t="shared" ca="1" si="11"/>
        <v>#N/A</v>
      </c>
      <c r="K369" s="4" t="e">
        <f>VLOOKUP(F369,'SUM(히아풀젤,폼 아이캐쳐붙인걸로)'!A:E,5,0)</f>
        <v>#N/A</v>
      </c>
    </row>
    <row r="370" spans="1:11" ht="12" hidden="1" customHeight="1">
      <c r="A370" s="4" t="str">
        <f t="shared" si="10"/>
        <v>81011006ME90621GPL</v>
      </c>
      <c r="B370" s="9">
        <v>81010000</v>
      </c>
      <c r="C370" s="127"/>
      <c r="D370" s="128">
        <v>81011006</v>
      </c>
      <c r="E370" s="71" t="s">
        <v>414</v>
      </c>
      <c r="F370" s="108" t="s">
        <v>533</v>
      </c>
      <c r="G370" s="108"/>
      <c r="H370" s="9">
        <f ca="1">SUMIF('서식(직납)'!B:L,'Summary(수주업로드용)'!A370,'서식(직납)'!J:J)</f>
        <v>0</v>
      </c>
      <c r="I370" s="28" t="e">
        <f ca="1">IF(H370="0","0",VLOOKUP(A370,'서식(직납)'!B:K,10,0))</f>
        <v>#N/A</v>
      </c>
      <c r="J370" s="7" t="e">
        <f t="shared" ca="1" si="11"/>
        <v>#N/A</v>
      </c>
      <c r="K370" s="4" t="e">
        <f>VLOOKUP(F370,'SUM(히아풀젤,폼 아이캐쳐붙인걸로)'!A:E,5,0)</f>
        <v>#N/A</v>
      </c>
    </row>
    <row r="371" spans="1:11" ht="12" hidden="1" customHeight="1">
      <c r="A371" s="4" t="str">
        <f t="shared" si="10"/>
        <v>81011006ME90621GPJ</v>
      </c>
      <c r="B371" s="9">
        <v>81010000</v>
      </c>
      <c r="C371" s="127"/>
      <c r="D371" s="128">
        <v>81011006</v>
      </c>
      <c r="E371" s="71" t="s">
        <v>414</v>
      </c>
      <c r="F371" s="108" t="s">
        <v>532</v>
      </c>
      <c r="G371" s="108"/>
      <c r="H371" s="9">
        <f ca="1">SUMIF('서식(직납)'!B:L,'Summary(수주업로드용)'!A371,'서식(직납)'!J:J)</f>
        <v>0</v>
      </c>
      <c r="I371" s="28" t="e">
        <f ca="1">IF(H371="0","0",VLOOKUP(A371,'서식(직납)'!B:K,10,0))</f>
        <v>#N/A</v>
      </c>
      <c r="J371" s="7" t="e">
        <f t="shared" ca="1" si="11"/>
        <v>#N/A</v>
      </c>
      <c r="K371" s="4" t="e">
        <f>VLOOKUP(F371,'SUM(히아풀젤,폼 아이캐쳐붙인걸로)'!A:E,5,0)</f>
        <v>#N/A</v>
      </c>
    </row>
    <row r="372" spans="1:11" ht="12" hidden="1" customHeight="1">
      <c r="A372" s="4" t="str">
        <f t="shared" si="10"/>
        <v>81011006ME90621GO8</v>
      </c>
      <c r="B372" s="9">
        <v>81010000</v>
      </c>
      <c r="C372" s="127"/>
      <c r="D372" s="128">
        <v>81011006</v>
      </c>
      <c r="E372" s="71" t="s">
        <v>414</v>
      </c>
      <c r="F372" s="108" t="s">
        <v>956</v>
      </c>
      <c r="G372" s="108"/>
      <c r="H372" s="9">
        <f ca="1">SUMIF('서식(직납)'!B:L,'Summary(수주업로드용)'!A372,'서식(직납)'!J:J)</f>
        <v>0</v>
      </c>
      <c r="I372" s="28" t="e">
        <f ca="1">IF(H372="0","0",VLOOKUP(A372,'서식(직납)'!B:K,10,0))</f>
        <v>#N/A</v>
      </c>
      <c r="J372" s="7" t="e">
        <f t="shared" ca="1" si="11"/>
        <v>#N/A</v>
      </c>
      <c r="K372" s="4">
        <f>VLOOKUP(F372,'SUM(히아풀젤,폼 아이캐쳐붙인걸로)'!A:E,5,0)</f>
        <v>0</v>
      </c>
    </row>
    <row r="373" spans="1:11" ht="12" hidden="1" customHeight="1">
      <c r="A373" s="4" t="str">
        <f t="shared" si="10"/>
        <v>81011006ME90621GM5</v>
      </c>
      <c r="B373" s="9">
        <v>81010000</v>
      </c>
      <c r="C373" s="127"/>
      <c r="D373" s="128">
        <v>81011006</v>
      </c>
      <c r="E373" s="71" t="s">
        <v>414</v>
      </c>
      <c r="F373" s="108" t="s">
        <v>537</v>
      </c>
      <c r="G373" s="108"/>
      <c r="H373" s="9">
        <f ca="1">SUMIF('서식(직납)'!B:L,'Summary(수주업로드용)'!A373,'서식(직납)'!J:J)</f>
        <v>0</v>
      </c>
      <c r="I373" s="28" t="e">
        <f ca="1">IF(H373="0","0",VLOOKUP(A373,'서식(직납)'!B:K,10,0))</f>
        <v>#N/A</v>
      </c>
      <c r="J373" s="7" t="e">
        <f t="shared" ca="1" si="11"/>
        <v>#N/A</v>
      </c>
      <c r="K373" s="4" t="e">
        <f>VLOOKUP(F373,'SUM(히아풀젤,폼 아이캐쳐붙인걸로)'!A:E,5,0)</f>
        <v>#N/A</v>
      </c>
    </row>
    <row r="374" spans="1:11" ht="12" hidden="1" customHeight="1">
      <c r="A374" s="4" t="str">
        <f t="shared" si="10"/>
        <v>81011006ME90621GLK</v>
      </c>
      <c r="B374" s="9">
        <v>81010000</v>
      </c>
      <c r="C374" s="127"/>
      <c r="D374" s="128">
        <v>81011006</v>
      </c>
      <c r="E374" s="71" t="s">
        <v>414</v>
      </c>
      <c r="F374" s="108" t="s">
        <v>604</v>
      </c>
      <c r="G374" s="108"/>
      <c r="H374" s="9">
        <f ca="1">SUMIF('서식(직납)'!B:L,'Summary(수주업로드용)'!A374,'서식(직납)'!J:J)</f>
        <v>0</v>
      </c>
      <c r="I374" s="28" t="e">
        <f ca="1">IF(H374="0","0",VLOOKUP(A374,'서식(직납)'!B:K,10,0))</f>
        <v>#N/A</v>
      </c>
      <c r="J374" s="7" t="e">
        <f t="shared" ca="1" si="11"/>
        <v>#N/A</v>
      </c>
      <c r="K374" s="4" t="e">
        <f>VLOOKUP(F374,'SUM(히아풀젤,폼 아이캐쳐붙인걸로)'!A:E,5,0)</f>
        <v>#N/A</v>
      </c>
    </row>
    <row r="375" spans="1:11" ht="12" hidden="1" customHeight="1">
      <c r="A375" s="4" t="str">
        <f t="shared" si="10"/>
        <v>81011006ME90621GL6</v>
      </c>
      <c r="B375" s="9">
        <v>81010000</v>
      </c>
      <c r="C375" s="127"/>
      <c r="D375" s="128">
        <v>81011006</v>
      </c>
      <c r="E375" s="71" t="s">
        <v>414</v>
      </c>
      <c r="F375" s="108" t="s">
        <v>536</v>
      </c>
      <c r="G375" s="108"/>
      <c r="H375" s="9">
        <f ca="1">SUMIF('서식(직납)'!B:L,'Summary(수주업로드용)'!A375,'서식(직납)'!J:J)</f>
        <v>0</v>
      </c>
      <c r="I375" s="28" t="e">
        <f ca="1">IF(H375="0","0",VLOOKUP(A375,'서식(직납)'!B:K,10,0))</f>
        <v>#N/A</v>
      </c>
      <c r="J375" s="7" t="e">
        <f t="shared" ca="1" si="11"/>
        <v>#N/A</v>
      </c>
      <c r="K375" s="4" t="e">
        <f>VLOOKUP(F375,'SUM(히아풀젤,폼 아이캐쳐붙인걸로)'!A:E,5,0)</f>
        <v>#N/A</v>
      </c>
    </row>
    <row r="376" spans="1:11" ht="12" hidden="1" customHeight="1">
      <c r="A376" s="4" t="str">
        <f t="shared" si="10"/>
        <v>81011006ME90621GHV</v>
      </c>
      <c r="B376" s="9">
        <v>81010000</v>
      </c>
      <c r="C376" s="127"/>
      <c r="D376" s="128">
        <v>81011006</v>
      </c>
      <c r="E376" s="71" t="s">
        <v>414</v>
      </c>
      <c r="F376" s="108" t="s">
        <v>623</v>
      </c>
      <c r="G376" s="108"/>
      <c r="H376" s="9">
        <f ca="1">SUMIF('서식(직납)'!B:L,'Summary(수주업로드용)'!A376,'서식(직납)'!J:J)</f>
        <v>0</v>
      </c>
      <c r="I376" s="28" t="e">
        <f ca="1">IF(H376="0","0",VLOOKUP(A376,'서식(직납)'!B:K,10,0))</f>
        <v>#N/A</v>
      </c>
      <c r="J376" s="7" t="e">
        <f t="shared" ca="1" si="11"/>
        <v>#N/A</v>
      </c>
      <c r="K376" s="4" t="e">
        <f>VLOOKUP(F376,'SUM(히아풀젤,폼 아이캐쳐붙인걸로)'!A:E,5,0)</f>
        <v>#N/A</v>
      </c>
    </row>
    <row r="377" spans="1:11" ht="12" hidden="1" customHeight="1">
      <c r="A377" s="4" t="str">
        <f t="shared" si="10"/>
        <v>81011006ME00621H41</v>
      </c>
      <c r="B377" s="9">
        <v>81010000</v>
      </c>
      <c r="C377" s="127"/>
      <c r="D377" s="128">
        <v>81011006</v>
      </c>
      <c r="E377" s="71" t="s">
        <v>414</v>
      </c>
      <c r="F377" s="108" t="s">
        <v>667</v>
      </c>
      <c r="G377" s="108"/>
      <c r="H377" s="9">
        <f ca="1">SUMIF('서식(직납)'!B:L,'Summary(수주업로드용)'!A377,'서식(직납)'!J:J)</f>
        <v>0</v>
      </c>
      <c r="I377" s="28" t="e">
        <f ca="1">IF(H377="0","0",VLOOKUP(A377,'서식(직납)'!B:K,10,0))</f>
        <v>#N/A</v>
      </c>
      <c r="J377" s="7" t="e">
        <f t="shared" ca="1" si="11"/>
        <v>#N/A</v>
      </c>
      <c r="K377" s="4" t="e">
        <f>VLOOKUP(F377,'SUM(히아풀젤,폼 아이캐쳐붙인걸로)'!A:E,5,0)</f>
        <v>#N/A</v>
      </c>
    </row>
    <row r="378" spans="1:11" ht="12" hidden="1" customHeight="1">
      <c r="A378" s="4" t="str">
        <f t="shared" si="10"/>
        <v>81011006ME00621CM5</v>
      </c>
      <c r="B378" s="9">
        <v>81010000</v>
      </c>
      <c r="C378" s="127"/>
      <c r="D378" s="128">
        <v>81011006</v>
      </c>
      <c r="E378" s="71" t="s">
        <v>414</v>
      </c>
      <c r="F378" s="108" t="s">
        <v>620</v>
      </c>
      <c r="G378" s="108"/>
      <c r="H378" s="9">
        <f ca="1">SUMIF('서식(직납)'!B:L,'Summary(수주업로드용)'!A378,'서식(직납)'!J:J)</f>
        <v>0</v>
      </c>
      <c r="I378" s="28" t="e">
        <f ca="1">IF(H378="0","0",VLOOKUP(A378,'서식(직납)'!B:K,10,0))</f>
        <v>#N/A</v>
      </c>
      <c r="J378" s="7" t="e">
        <f t="shared" ca="1" si="11"/>
        <v>#N/A</v>
      </c>
      <c r="K378" s="4">
        <f>VLOOKUP(F378,'SUM(히아풀젤,폼 아이캐쳐붙인걸로)'!A:E,5,0)</f>
        <v>0</v>
      </c>
    </row>
    <row r="379" spans="1:11" ht="12" hidden="1" customHeight="1">
      <c r="A379" s="4" t="str">
        <f t="shared" si="10"/>
        <v>81011006ME90621GE1</v>
      </c>
      <c r="B379" s="9">
        <v>81010000</v>
      </c>
      <c r="C379" s="127"/>
      <c r="D379" s="128">
        <v>81011006</v>
      </c>
      <c r="E379" s="71" t="s">
        <v>414</v>
      </c>
      <c r="F379" s="108" t="s">
        <v>523</v>
      </c>
      <c r="G379" s="108"/>
      <c r="H379" s="9">
        <f ca="1">SUMIF('서식(직납)'!B:L,'Summary(수주업로드용)'!A379,'서식(직납)'!J:J)</f>
        <v>0</v>
      </c>
      <c r="I379" s="28" t="e">
        <f ca="1">IF(H379="0","0",VLOOKUP(A379,'서식(직납)'!B:K,10,0))</f>
        <v>#N/A</v>
      </c>
      <c r="J379" s="7" t="e">
        <f t="shared" ca="1" si="11"/>
        <v>#N/A</v>
      </c>
      <c r="K379" s="4" t="e">
        <f>VLOOKUP(F379,'SUM(히아풀젤,폼 아이캐쳐붙인걸로)'!A:E,5,0)</f>
        <v>#N/A</v>
      </c>
    </row>
    <row r="380" spans="1:11" ht="12" hidden="1" customHeight="1">
      <c r="A380" s="4" t="str">
        <f t="shared" si="10"/>
        <v>81011006ME90621GCK</v>
      </c>
      <c r="B380" s="9">
        <v>81010000</v>
      </c>
      <c r="C380" s="127"/>
      <c r="D380" s="128">
        <v>81011006</v>
      </c>
      <c r="E380" s="71" t="s">
        <v>414</v>
      </c>
      <c r="F380" s="108" t="s">
        <v>636</v>
      </c>
      <c r="G380" s="108"/>
      <c r="H380" s="9">
        <f ca="1">SUMIF('서식(직납)'!B:L,'Summary(수주업로드용)'!A380,'서식(직납)'!J:J)</f>
        <v>0</v>
      </c>
      <c r="I380" s="28" t="e">
        <f ca="1">IF(H380="0","0",VLOOKUP(A380,'서식(직납)'!B:K,10,0))</f>
        <v>#N/A</v>
      </c>
      <c r="J380" s="7" t="e">
        <f t="shared" ca="1" si="11"/>
        <v>#N/A</v>
      </c>
      <c r="K380" s="4" t="e">
        <f>VLOOKUP(F380,'SUM(히아풀젤,폼 아이캐쳐붙인걸로)'!A:E,5,0)</f>
        <v>#N/A</v>
      </c>
    </row>
    <row r="381" spans="1:11" ht="12" hidden="1" customHeight="1">
      <c r="A381" s="4" t="str">
        <f t="shared" si="10"/>
        <v>81011006ME00621SS1</v>
      </c>
      <c r="B381" s="9">
        <v>81010000</v>
      </c>
      <c r="C381" s="127"/>
      <c r="D381" s="128">
        <v>81011006</v>
      </c>
      <c r="E381" s="71" t="s">
        <v>414</v>
      </c>
      <c r="F381" s="108" t="s">
        <v>524</v>
      </c>
      <c r="G381" s="108"/>
      <c r="H381" s="9">
        <f ca="1">SUMIF('서식(직납)'!B:L,'Summary(수주업로드용)'!A381,'서식(직납)'!J:J)</f>
        <v>0</v>
      </c>
      <c r="I381" s="28" t="e">
        <f ca="1">IF(H381="0","0",VLOOKUP(A381,'서식(직납)'!B:K,10,0))</f>
        <v>#N/A</v>
      </c>
      <c r="J381" s="7" t="e">
        <f t="shared" ca="1" si="11"/>
        <v>#N/A</v>
      </c>
      <c r="K381" s="4" t="e">
        <f>VLOOKUP(F381,'SUM(히아풀젤,폼 아이캐쳐붙인걸로)'!A:E,5,0)</f>
        <v>#N/A</v>
      </c>
    </row>
    <row r="382" spans="1:11" ht="12" hidden="1" customHeight="1">
      <c r="A382" s="4" t="str">
        <f t="shared" si="10"/>
        <v>81011006ME00621GP1</v>
      </c>
      <c r="B382" s="9">
        <v>81010000</v>
      </c>
      <c r="C382" s="127"/>
      <c r="D382" s="128">
        <v>81011006</v>
      </c>
      <c r="E382" s="71" t="s">
        <v>414</v>
      </c>
      <c r="F382" s="108" t="s">
        <v>594</v>
      </c>
      <c r="G382" s="108"/>
      <c r="H382" s="9">
        <f ca="1">SUMIF('서식(직납)'!B:L,'Summary(수주업로드용)'!A382,'서식(직납)'!J:J)</f>
        <v>0</v>
      </c>
      <c r="I382" s="28" t="e">
        <f ca="1">IF(H382="0","0",VLOOKUP(A382,'서식(직납)'!B:K,10,0))</f>
        <v>#N/A</v>
      </c>
      <c r="J382" s="7" t="e">
        <f t="shared" ca="1" si="11"/>
        <v>#N/A</v>
      </c>
      <c r="K382" s="4" t="e">
        <f>VLOOKUP(F382,'SUM(히아풀젤,폼 아이캐쳐붙인걸로)'!A:E,5,0)</f>
        <v>#N/A</v>
      </c>
    </row>
    <row r="383" spans="1:11" ht="12" hidden="1" customHeight="1">
      <c r="A383" s="4" t="str">
        <f t="shared" si="10"/>
        <v>81011006ME90521GS2</v>
      </c>
      <c r="B383" s="9">
        <v>81010000</v>
      </c>
      <c r="C383" s="127"/>
      <c r="D383" s="128">
        <v>81011006</v>
      </c>
      <c r="E383" s="71" t="s">
        <v>414</v>
      </c>
      <c r="F383" s="107" t="s">
        <v>916</v>
      </c>
      <c r="G383" s="107"/>
      <c r="H383" s="9">
        <f ca="1">SUMIF('서식(직납)'!B:L,'Summary(수주업로드용)'!A383,'서식(직납)'!J:J)</f>
        <v>0</v>
      </c>
      <c r="I383" s="28" t="e">
        <f ca="1">IF(H383="0","0",VLOOKUP(A383,'서식(직납)'!B:K,10,0))</f>
        <v>#N/A</v>
      </c>
      <c r="J383" s="7" t="e">
        <f t="shared" ca="1" si="11"/>
        <v>#N/A</v>
      </c>
      <c r="K383" s="4">
        <f>VLOOKUP(F383,'SUM(히아풀젤,폼 아이캐쳐붙인걸로)'!A:E,5,0)</f>
        <v>0</v>
      </c>
    </row>
    <row r="384" spans="1:11" ht="12" hidden="1" customHeight="1">
      <c r="A384" s="4" t="str">
        <f t="shared" si="10"/>
        <v>81011006ME90521LD9</v>
      </c>
      <c r="B384" s="9">
        <v>81010000</v>
      </c>
      <c r="C384" s="127"/>
      <c r="D384" s="128">
        <v>81011006</v>
      </c>
      <c r="E384" s="71" t="s">
        <v>414</v>
      </c>
      <c r="F384" s="107" t="s">
        <v>918</v>
      </c>
      <c r="G384" s="107"/>
      <c r="H384" s="9">
        <f ca="1">SUMIF('서식(직납)'!B:L,'Summary(수주업로드용)'!A384,'서식(직납)'!J:J)</f>
        <v>0</v>
      </c>
      <c r="I384" s="28" t="e">
        <f ca="1">IF(H384="0","0",VLOOKUP(A384,'서식(직납)'!B:K,10,0))</f>
        <v>#N/A</v>
      </c>
      <c r="J384" s="7" t="e">
        <f t="shared" ca="1" si="11"/>
        <v>#N/A</v>
      </c>
      <c r="K384" s="4">
        <f>VLOOKUP(F384,'SUM(히아풀젤,폼 아이캐쳐붙인걸로)'!A:E,5,0)</f>
        <v>0</v>
      </c>
    </row>
    <row r="385" spans="1:11" ht="12" hidden="1" customHeight="1">
      <c r="A385" s="4" t="str">
        <f t="shared" si="10"/>
        <v>81011006ME90521GT2</v>
      </c>
      <c r="B385" s="9">
        <v>81010000</v>
      </c>
      <c r="C385" s="127"/>
      <c r="D385" s="128">
        <v>81011006</v>
      </c>
      <c r="E385" s="71" t="s">
        <v>414</v>
      </c>
      <c r="F385" s="107" t="s">
        <v>912</v>
      </c>
      <c r="G385" s="107"/>
      <c r="H385" s="9">
        <f ca="1">SUMIF('서식(직납)'!B:L,'Summary(수주업로드용)'!A385,'서식(직납)'!J:J)</f>
        <v>0</v>
      </c>
      <c r="I385" s="28" t="e">
        <f ca="1">IF(H385="0","0",VLOOKUP(A385,'서식(직납)'!B:K,10,0))</f>
        <v>#N/A</v>
      </c>
      <c r="J385" s="7" t="e">
        <f t="shared" ca="1" si="11"/>
        <v>#N/A</v>
      </c>
      <c r="K385" s="4">
        <f>VLOOKUP(F385,'SUM(히아풀젤,폼 아이캐쳐붙인걸로)'!A:E,5,0)</f>
        <v>0</v>
      </c>
    </row>
    <row r="386" spans="1:11" ht="12" hidden="1" customHeight="1">
      <c r="A386" s="4" t="str">
        <f t="shared" si="10"/>
        <v>81011006ME90521OC6</v>
      </c>
      <c r="B386" s="9">
        <v>81010000</v>
      </c>
      <c r="C386" s="127"/>
      <c r="D386" s="128">
        <v>81011006</v>
      </c>
      <c r="E386" s="71" t="s">
        <v>414</v>
      </c>
      <c r="F386" s="107" t="s">
        <v>572</v>
      </c>
      <c r="G386" s="107"/>
      <c r="H386" s="9">
        <f ca="1">SUMIF('서식(직납)'!B:L,'Summary(수주업로드용)'!A386,'서식(직납)'!J:J)</f>
        <v>0</v>
      </c>
      <c r="I386" s="28" t="e">
        <f ca="1">IF(H386="0","0",VLOOKUP(A386,'서식(직납)'!B:K,10,0))</f>
        <v>#N/A</v>
      </c>
      <c r="J386" s="7" t="e">
        <f t="shared" ca="1" si="11"/>
        <v>#N/A</v>
      </c>
      <c r="K386" s="4" t="e">
        <f>VLOOKUP(F386,'SUM(히아풀젤,폼 아이캐쳐붙인걸로)'!A:E,5,0)</f>
        <v>#N/A</v>
      </c>
    </row>
    <row r="387" spans="1:11" ht="12" hidden="1" customHeight="1">
      <c r="A387" s="4" t="str">
        <f t="shared" ref="A387:A430" si="12">D387&amp;F387</f>
        <v>81011006ME90521OC5</v>
      </c>
      <c r="B387" s="9">
        <v>81010000</v>
      </c>
      <c r="C387" s="127"/>
      <c r="D387" s="128">
        <v>81011006</v>
      </c>
      <c r="E387" s="71" t="s">
        <v>414</v>
      </c>
      <c r="F387" s="107" t="s">
        <v>571</v>
      </c>
      <c r="G387" s="107"/>
      <c r="H387" s="9">
        <f ca="1">SUMIF('서식(직납)'!B:L,'Summary(수주업로드용)'!A387,'서식(직납)'!J:J)</f>
        <v>0</v>
      </c>
      <c r="I387" s="28" t="e">
        <f ca="1">IF(H387="0","0",VLOOKUP(A387,'서식(직납)'!B:K,10,0))</f>
        <v>#N/A</v>
      </c>
      <c r="J387" s="7" t="e">
        <f t="shared" ref="J387:J429" ca="1" si="13">H387*I387</f>
        <v>#N/A</v>
      </c>
      <c r="K387" s="4" t="e">
        <f>VLOOKUP(F387,'SUM(히아풀젤,폼 아이캐쳐붙인걸로)'!A:E,5,0)</f>
        <v>#N/A</v>
      </c>
    </row>
    <row r="388" spans="1:11" ht="12" hidden="1" customHeight="1">
      <c r="A388" s="4" t="str">
        <f t="shared" si="12"/>
        <v>81011006ME90521OC4</v>
      </c>
      <c r="B388" s="9">
        <v>81010000</v>
      </c>
      <c r="C388" s="127"/>
      <c r="D388" s="128">
        <v>81011006</v>
      </c>
      <c r="E388" s="71" t="s">
        <v>414</v>
      </c>
      <c r="F388" s="107" t="s">
        <v>570</v>
      </c>
      <c r="G388" s="107"/>
      <c r="H388" s="9">
        <f ca="1">SUMIF('서식(직납)'!B:L,'Summary(수주업로드용)'!A388,'서식(직납)'!J:J)</f>
        <v>0</v>
      </c>
      <c r="I388" s="28" t="e">
        <f ca="1">IF(H388="0","0",VLOOKUP(A388,'서식(직납)'!B:K,10,0))</f>
        <v>#N/A</v>
      </c>
      <c r="J388" s="7" t="e">
        <f t="shared" ca="1" si="13"/>
        <v>#N/A</v>
      </c>
      <c r="K388" s="4" t="e">
        <f>VLOOKUP(F388,'SUM(히아풀젤,폼 아이캐쳐붙인걸로)'!A:E,5,0)</f>
        <v>#N/A</v>
      </c>
    </row>
    <row r="389" spans="1:11" ht="12" hidden="1" customHeight="1">
      <c r="A389" s="4" t="str">
        <f t="shared" si="12"/>
        <v>81011006ME90521LR1</v>
      </c>
      <c r="B389" s="9">
        <v>81010000</v>
      </c>
      <c r="C389" s="127"/>
      <c r="D389" s="128">
        <v>81011006</v>
      </c>
      <c r="E389" s="71" t="s">
        <v>414</v>
      </c>
      <c r="F389" s="107" t="s">
        <v>551</v>
      </c>
      <c r="G389" s="107"/>
      <c r="H389" s="9">
        <f ca="1">SUMIF('서식(직납)'!B:L,'Summary(수주업로드용)'!A389,'서식(직납)'!J:J)</f>
        <v>0</v>
      </c>
      <c r="I389" s="28" t="e">
        <f ca="1">IF(H389="0","0",VLOOKUP(A389,'서식(직납)'!B:K,10,0))</f>
        <v>#N/A</v>
      </c>
      <c r="J389" s="7" t="e">
        <f t="shared" ca="1" si="13"/>
        <v>#N/A</v>
      </c>
      <c r="K389" s="4" t="e">
        <f>VLOOKUP(F389,'SUM(히아풀젤,폼 아이캐쳐붙인걸로)'!A:E,5,0)</f>
        <v>#N/A</v>
      </c>
    </row>
    <row r="390" spans="1:11" ht="12" hidden="1" customHeight="1">
      <c r="A390" s="4" t="str">
        <f t="shared" si="12"/>
        <v>81011006ME90521EL9</v>
      </c>
      <c r="B390" s="9">
        <v>81010000</v>
      </c>
      <c r="C390" s="127"/>
      <c r="D390" s="128">
        <v>81011006</v>
      </c>
      <c r="E390" s="71" t="s">
        <v>414</v>
      </c>
      <c r="F390" s="107" t="s">
        <v>331</v>
      </c>
      <c r="G390" s="107"/>
      <c r="H390" s="9">
        <f ca="1">SUMIF('서식(직납)'!B:L,'Summary(수주업로드용)'!A390,'서식(직납)'!J:J)</f>
        <v>0</v>
      </c>
      <c r="I390" s="28" t="e">
        <f ca="1">IF(H390="0","0",VLOOKUP(A390,'서식(직납)'!B:K,10,0))</f>
        <v>#N/A</v>
      </c>
      <c r="J390" s="7" t="e">
        <f t="shared" ca="1" si="13"/>
        <v>#N/A</v>
      </c>
      <c r="K390" s="4">
        <f>VLOOKUP(F390,'SUM(히아풀젤,폼 아이캐쳐붙인걸로)'!A:E,5,0)</f>
        <v>0</v>
      </c>
    </row>
    <row r="391" spans="1:11" ht="12" hidden="1" customHeight="1">
      <c r="A391" s="4" t="str">
        <f t="shared" si="12"/>
        <v>81011006ME90521EL8</v>
      </c>
      <c r="B391" s="9">
        <v>81010000</v>
      </c>
      <c r="C391" s="127"/>
      <c r="D391" s="128">
        <v>81011006</v>
      </c>
      <c r="E391" s="71" t="s">
        <v>414</v>
      </c>
      <c r="F391" s="107" t="s">
        <v>340</v>
      </c>
      <c r="G391" s="107"/>
      <c r="H391" s="9">
        <f ca="1">SUMIF('서식(직납)'!B:L,'Summary(수주업로드용)'!A391,'서식(직납)'!J:J)</f>
        <v>0</v>
      </c>
      <c r="I391" s="28" t="e">
        <f ca="1">IF(H391="0","0",VLOOKUP(A391,'서식(직납)'!B:K,10,0))</f>
        <v>#N/A</v>
      </c>
      <c r="J391" s="7" t="e">
        <f t="shared" ca="1" si="13"/>
        <v>#N/A</v>
      </c>
      <c r="K391" s="4">
        <f>VLOOKUP(F391,'SUM(히아풀젤,폼 아이캐쳐붙인걸로)'!A:E,5,0)</f>
        <v>0</v>
      </c>
    </row>
    <row r="392" spans="1:11" ht="12" hidden="1" customHeight="1">
      <c r="A392" s="4" t="str">
        <f t="shared" si="12"/>
        <v>81011006ME90521EL7</v>
      </c>
      <c r="B392" s="9">
        <v>81010000</v>
      </c>
      <c r="C392" s="127"/>
      <c r="D392" s="128">
        <v>81011006</v>
      </c>
      <c r="E392" s="71" t="s">
        <v>414</v>
      </c>
      <c r="F392" s="107" t="s">
        <v>372</v>
      </c>
      <c r="G392" s="107"/>
      <c r="H392" s="9">
        <f ca="1">SUMIF('서식(직납)'!B:L,'Summary(수주업로드용)'!A392,'서식(직납)'!J:J)</f>
        <v>0</v>
      </c>
      <c r="I392" s="28" t="e">
        <f ca="1">IF(H392="0","0",VLOOKUP(A392,'서식(직납)'!B:K,10,0))</f>
        <v>#N/A</v>
      </c>
      <c r="J392" s="7" t="e">
        <f t="shared" ca="1" si="13"/>
        <v>#N/A</v>
      </c>
      <c r="K392" s="4">
        <f>VLOOKUP(F392,'SUM(히아풀젤,폼 아이캐쳐붙인걸로)'!A:E,5,0)</f>
        <v>0</v>
      </c>
    </row>
    <row r="393" spans="1:11" ht="12" hidden="1" customHeight="1">
      <c r="A393" s="4" t="str">
        <f t="shared" si="12"/>
        <v>81011006ME90521EL6</v>
      </c>
      <c r="B393" s="9">
        <v>81010000</v>
      </c>
      <c r="C393" s="127"/>
      <c r="D393" s="128">
        <v>81011006</v>
      </c>
      <c r="E393" s="71" t="s">
        <v>414</v>
      </c>
      <c r="F393" s="107" t="s">
        <v>371</v>
      </c>
      <c r="G393" s="107"/>
      <c r="H393" s="9">
        <f ca="1">SUMIF('서식(직납)'!B:L,'Summary(수주업로드용)'!A393,'서식(직납)'!J:J)</f>
        <v>0</v>
      </c>
      <c r="I393" s="28" t="e">
        <f ca="1">IF(H393="0","0",VLOOKUP(A393,'서식(직납)'!B:K,10,0))</f>
        <v>#N/A</v>
      </c>
      <c r="J393" s="7" t="e">
        <f t="shared" ca="1" si="13"/>
        <v>#N/A</v>
      </c>
      <c r="K393" s="4">
        <f>VLOOKUP(F393,'SUM(히아풀젤,폼 아이캐쳐붙인걸로)'!A:E,5,0)</f>
        <v>0</v>
      </c>
    </row>
    <row r="394" spans="1:11" ht="12" hidden="1" customHeight="1">
      <c r="A394" s="4" t="str">
        <f t="shared" si="12"/>
        <v>81011006ME90521EL4</v>
      </c>
      <c r="B394" s="9">
        <v>81010000</v>
      </c>
      <c r="C394" s="127"/>
      <c r="D394" s="128">
        <v>81011006</v>
      </c>
      <c r="E394" s="71" t="s">
        <v>414</v>
      </c>
      <c r="F394" s="107" t="s">
        <v>398</v>
      </c>
      <c r="G394" s="107"/>
      <c r="H394" s="9">
        <f ca="1">SUMIF('서식(직납)'!B:L,'Summary(수주업로드용)'!A394,'서식(직납)'!J:J)</f>
        <v>0</v>
      </c>
      <c r="I394" s="28" t="e">
        <f ca="1">IF(H394="0","0",VLOOKUP(A394,'서식(직납)'!B:K,10,0))</f>
        <v>#N/A</v>
      </c>
      <c r="J394" s="7" t="e">
        <f t="shared" ca="1" si="13"/>
        <v>#N/A</v>
      </c>
      <c r="K394" s="4">
        <f>VLOOKUP(F394,'SUM(히아풀젤,폼 아이캐쳐붙인걸로)'!A:E,5,0)</f>
        <v>0</v>
      </c>
    </row>
    <row r="395" spans="1:11" ht="12" hidden="1" customHeight="1">
      <c r="A395" s="4" t="str">
        <f t="shared" si="12"/>
        <v>81011006ME90521EL0</v>
      </c>
      <c r="B395" s="9">
        <v>81010000</v>
      </c>
      <c r="C395" s="127"/>
      <c r="D395" s="128">
        <v>81011006</v>
      </c>
      <c r="E395" s="71" t="s">
        <v>414</v>
      </c>
      <c r="F395" s="107" t="s">
        <v>328</v>
      </c>
      <c r="G395" s="107"/>
      <c r="H395" s="9">
        <f ca="1">SUMIF('서식(직납)'!B:L,'Summary(수주업로드용)'!A395,'서식(직납)'!J:J)</f>
        <v>0</v>
      </c>
      <c r="I395" s="28" t="e">
        <f ca="1">IF(H395="0","0",VLOOKUP(A395,'서식(직납)'!B:K,10,0))</f>
        <v>#N/A</v>
      </c>
      <c r="J395" s="7" t="e">
        <f t="shared" ca="1" si="13"/>
        <v>#N/A</v>
      </c>
      <c r="K395" s="4" t="e">
        <f>VLOOKUP(F395,'SUM(히아풀젤,폼 아이캐쳐붙인걸로)'!A:E,5,0)</f>
        <v>#N/A</v>
      </c>
    </row>
    <row r="396" spans="1:11" ht="12" hidden="1" customHeight="1">
      <c r="A396" s="4" t="str">
        <f t="shared" si="12"/>
        <v>81011006ME90521E18</v>
      </c>
      <c r="B396" s="9">
        <v>81010000</v>
      </c>
      <c r="C396" s="127"/>
      <c r="D396" s="128">
        <v>81011006</v>
      </c>
      <c r="E396" s="71" t="s">
        <v>414</v>
      </c>
      <c r="F396" s="107" t="s">
        <v>676</v>
      </c>
      <c r="G396" s="107"/>
      <c r="H396" s="9">
        <f ca="1">SUMIF('서식(직납)'!B:L,'Summary(수주업로드용)'!A396,'서식(직납)'!J:J)</f>
        <v>0</v>
      </c>
      <c r="I396" s="28" t="e">
        <f ca="1">IF(H396="0","0",VLOOKUP(A396,'서식(직납)'!B:K,10,0))</f>
        <v>#N/A</v>
      </c>
      <c r="J396" s="7" t="e">
        <f t="shared" ca="1" si="13"/>
        <v>#N/A</v>
      </c>
      <c r="K396" s="4">
        <f>VLOOKUP(F396,'SUM(히아풀젤,폼 아이캐쳐붙인걸로)'!A:E,5,0)</f>
        <v>0</v>
      </c>
    </row>
    <row r="397" spans="1:11" ht="12" hidden="1" customHeight="1">
      <c r="A397" s="4" t="str">
        <f t="shared" si="12"/>
        <v>81011006ME90521E13</v>
      </c>
      <c r="B397" s="9">
        <v>81010000</v>
      </c>
      <c r="C397" s="127"/>
      <c r="D397" s="128">
        <v>81011006</v>
      </c>
      <c r="E397" s="71" t="s">
        <v>414</v>
      </c>
      <c r="F397" s="107" t="s">
        <v>379</v>
      </c>
      <c r="G397" s="107"/>
      <c r="H397" s="9">
        <f ca="1">SUMIF('서식(직납)'!B:L,'Summary(수주업로드용)'!A397,'서식(직납)'!J:J)</f>
        <v>0</v>
      </c>
      <c r="I397" s="28" t="e">
        <f ca="1">IF(H397="0","0",VLOOKUP(A397,'서식(직납)'!B:K,10,0))</f>
        <v>#N/A</v>
      </c>
      <c r="J397" s="7" t="e">
        <f t="shared" ca="1" si="13"/>
        <v>#N/A</v>
      </c>
      <c r="K397" s="4" t="e">
        <f>VLOOKUP(F397,'SUM(히아풀젤,폼 아이캐쳐붙인걸로)'!A:E,5,0)</f>
        <v>#N/A</v>
      </c>
    </row>
    <row r="398" spans="1:11" ht="12" hidden="1" customHeight="1">
      <c r="A398" s="4" t="str">
        <f t="shared" si="12"/>
        <v>81011006ME90521CC4</v>
      </c>
      <c r="B398" s="9">
        <v>81010000</v>
      </c>
      <c r="C398" s="127"/>
      <c r="D398" s="128">
        <v>81011006</v>
      </c>
      <c r="E398" s="71" t="s">
        <v>414</v>
      </c>
      <c r="F398" s="107" t="s">
        <v>516</v>
      </c>
      <c r="G398" s="107"/>
      <c r="H398" s="9">
        <f ca="1">SUMIF('서식(직납)'!B:L,'Summary(수주업로드용)'!A398,'서식(직납)'!J:J)</f>
        <v>0</v>
      </c>
      <c r="I398" s="28" t="e">
        <f ca="1">IF(H398="0","0",VLOOKUP(A398,'서식(직납)'!B:K,10,0))</f>
        <v>#N/A</v>
      </c>
      <c r="J398" s="7" t="e">
        <f t="shared" ca="1" si="13"/>
        <v>#N/A</v>
      </c>
      <c r="K398" s="4" t="e">
        <f>VLOOKUP(F398,'SUM(히아풀젤,폼 아이캐쳐붙인걸로)'!A:E,5,0)</f>
        <v>#N/A</v>
      </c>
    </row>
    <row r="399" spans="1:11" ht="12" hidden="1" customHeight="1">
      <c r="A399" s="4" t="str">
        <f t="shared" si="12"/>
        <v>81011006ME90521CC2</v>
      </c>
      <c r="B399" s="9">
        <v>81010000</v>
      </c>
      <c r="C399" s="127"/>
      <c r="D399" s="128">
        <v>81011006</v>
      </c>
      <c r="E399" s="71" t="s">
        <v>414</v>
      </c>
      <c r="F399" s="107" t="s">
        <v>514</v>
      </c>
      <c r="G399" s="107"/>
      <c r="H399" s="9">
        <f ca="1">SUMIF('서식(직납)'!B:L,'Summary(수주업로드용)'!A399,'서식(직납)'!J:J)</f>
        <v>0</v>
      </c>
      <c r="I399" s="28" t="e">
        <f ca="1">IF(H399="0","0",VLOOKUP(A399,'서식(직납)'!B:K,10,0))</f>
        <v>#N/A</v>
      </c>
      <c r="J399" s="7" t="e">
        <f t="shared" ca="1" si="13"/>
        <v>#N/A</v>
      </c>
      <c r="K399" s="4" t="e">
        <f>VLOOKUP(F399,'SUM(히아풀젤,폼 아이캐쳐붙인걸로)'!A:E,5,0)</f>
        <v>#N/A</v>
      </c>
    </row>
    <row r="400" spans="1:11" ht="12" hidden="1" customHeight="1">
      <c r="A400" s="4" t="str">
        <f t="shared" si="12"/>
        <v>81011006ME90521CC1</v>
      </c>
      <c r="B400" s="9">
        <v>81010000</v>
      </c>
      <c r="C400" s="127"/>
      <c r="D400" s="128">
        <v>81011006</v>
      </c>
      <c r="E400" s="71" t="s">
        <v>414</v>
      </c>
      <c r="F400" s="107" t="s">
        <v>512</v>
      </c>
      <c r="G400" s="107"/>
      <c r="H400" s="9">
        <f ca="1">SUMIF('서식(직납)'!B:L,'Summary(수주업로드용)'!A400,'서식(직납)'!J:J)</f>
        <v>0</v>
      </c>
      <c r="I400" s="28" t="e">
        <f ca="1">IF(H400="0","0",VLOOKUP(A400,'서식(직납)'!B:K,10,0))</f>
        <v>#N/A</v>
      </c>
      <c r="J400" s="7" t="e">
        <f t="shared" ca="1" si="13"/>
        <v>#N/A</v>
      </c>
      <c r="K400" s="4" t="e">
        <f>VLOOKUP(F400,'SUM(히아풀젤,폼 아이캐쳐붙인걸로)'!A:E,5,0)</f>
        <v>#N/A</v>
      </c>
    </row>
    <row r="401" spans="1:11" ht="12" hidden="1" customHeight="1">
      <c r="A401" s="4" t="str">
        <f t="shared" si="12"/>
        <v>81011006ME00421301</v>
      </c>
      <c r="B401" s="9">
        <v>81010000</v>
      </c>
      <c r="C401" s="127"/>
      <c r="D401" s="128">
        <v>81011006</v>
      </c>
      <c r="E401" s="71" t="s">
        <v>414</v>
      </c>
      <c r="F401" s="108" t="s">
        <v>1038</v>
      </c>
      <c r="G401" s="108"/>
      <c r="H401" s="9">
        <f ca="1">SUMIF('서식(직납)'!B:L,'Summary(수주업로드용)'!A401,'서식(직납)'!J:J)</f>
        <v>0</v>
      </c>
      <c r="I401" s="28" t="e">
        <f ca="1">IF(H401="0","0",VLOOKUP(A401,'서식(직납)'!B:K,10,0))</f>
        <v>#N/A</v>
      </c>
      <c r="J401" s="7" t="e">
        <f t="shared" ca="1" si="13"/>
        <v>#N/A</v>
      </c>
      <c r="K401" s="4" t="e">
        <f>VLOOKUP(F401,'SUM(히아풀젤,폼 아이캐쳐붙인걸로)'!A:E,5,0)</f>
        <v>#N/A</v>
      </c>
    </row>
    <row r="402" spans="1:11" ht="12" hidden="1" customHeight="1">
      <c r="A402" s="4" t="str">
        <f t="shared" si="12"/>
        <v>81011006ME00421186</v>
      </c>
      <c r="B402" s="9">
        <v>81010000</v>
      </c>
      <c r="C402" s="127"/>
      <c r="D402" s="128">
        <v>81011006</v>
      </c>
      <c r="E402" s="71" t="s">
        <v>414</v>
      </c>
      <c r="F402" s="108" t="s">
        <v>703</v>
      </c>
      <c r="G402" s="108"/>
      <c r="H402" s="9">
        <f ca="1">SUMIF('서식(직납)'!B:L,'Summary(수주업로드용)'!A402,'서식(직납)'!J:J)</f>
        <v>0</v>
      </c>
      <c r="I402" s="28" t="e">
        <f ca="1">IF(H402="0","0",VLOOKUP(A402,'서식(직납)'!B:K,10,0))</f>
        <v>#N/A</v>
      </c>
      <c r="J402" s="7" t="e">
        <f t="shared" ca="1" si="13"/>
        <v>#N/A</v>
      </c>
      <c r="K402" s="4" t="e">
        <f>VLOOKUP(F402,'SUM(히아풀젤,폼 아이캐쳐붙인걸로)'!A:E,5,0)</f>
        <v>#N/A</v>
      </c>
    </row>
    <row r="403" spans="1:11" ht="12" hidden="1" customHeight="1">
      <c r="A403" s="4" t="str">
        <f t="shared" si="12"/>
        <v>81011006ME00421151</v>
      </c>
      <c r="B403" s="9">
        <v>81010000</v>
      </c>
      <c r="C403" s="127"/>
      <c r="D403" s="128">
        <v>81011006</v>
      </c>
      <c r="E403" s="71" t="s">
        <v>414</v>
      </c>
      <c r="F403" s="108" t="s">
        <v>543</v>
      </c>
      <c r="G403" s="108"/>
      <c r="H403" s="9">
        <f ca="1">SUMIF('서식(직납)'!B:L,'Summary(수주업로드용)'!A403,'서식(직납)'!J:J)</f>
        <v>0</v>
      </c>
      <c r="I403" s="28" t="e">
        <f ca="1">IF(H403="0","0",VLOOKUP(A403,'서식(직납)'!B:K,10,0))</f>
        <v>#N/A</v>
      </c>
      <c r="J403" s="7" t="e">
        <f t="shared" ca="1" si="13"/>
        <v>#N/A</v>
      </c>
      <c r="K403" s="4" t="e">
        <f>VLOOKUP(F403,'SUM(히아풀젤,폼 아이캐쳐붙인걸로)'!A:E,5,0)</f>
        <v>#N/A</v>
      </c>
    </row>
    <row r="404" spans="1:11" ht="12" hidden="1" customHeight="1">
      <c r="A404" s="4" t="str">
        <f t="shared" si="12"/>
        <v>81011006ME91221HPN</v>
      </c>
      <c r="B404" s="9">
        <v>81010000</v>
      </c>
      <c r="C404" s="127"/>
      <c r="D404" s="128">
        <v>81011006</v>
      </c>
      <c r="E404" s="71" t="s">
        <v>414</v>
      </c>
      <c r="F404" s="9" t="s">
        <v>540</v>
      </c>
      <c r="H404" s="9">
        <f ca="1">SUMIF('서식(직납)'!B:L,'Summary(수주업로드용)'!A404,'서식(직납)'!J:J)</f>
        <v>0</v>
      </c>
      <c r="I404" s="28" t="e">
        <f ca="1">IF(H404="0","0",VLOOKUP(A404,'서식(직납)'!B:K,10,0))</f>
        <v>#N/A</v>
      </c>
      <c r="J404" s="7" t="e">
        <f t="shared" ca="1" si="13"/>
        <v>#N/A</v>
      </c>
      <c r="K404" s="4" t="e">
        <f>VLOOKUP(F404,'SUM(히아풀젤,폼 아이캐쳐붙인걸로)'!A:E,5,0)</f>
        <v>#N/A</v>
      </c>
    </row>
    <row r="405" spans="1:11" ht="12" hidden="1" customHeight="1">
      <c r="A405" s="4" t="str">
        <f t="shared" si="12"/>
        <v>81011006ME90621CPS</v>
      </c>
      <c r="B405" s="9">
        <v>81010000</v>
      </c>
      <c r="C405" s="127"/>
      <c r="D405" s="128">
        <v>81011006</v>
      </c>
      <c r="E405" s="71" t="s">
        <v>414</v>
      </c>
      <c r="F405" s="9" t="s">
        <v>547</v>
      </c>
      <c r="H405" s="9">
        <f ca="1">SUMIF('서식(직납)'!B:L,'Summary(수주업로드용)'!A405,'서식(직납)'!J:J)</f>
        <v>0</v>
      </c>
      <c r="I405" s="28" t="e">
        <f ca="1">IF(H405="0","0",VLOOKUP(A405,'서식(직납)'!B:K,10,0))</f>
        <v>#N/A</v>
      </c>
      <c r="J405" s="7" t="e">
        <f t="shared" ca="1" si="13"/>
        <v>#N/A</v>
      </c>
      <c r="K405" s="4" t="e">
        <f>VLOOKUP(F405,'SUM(히아풀젤,폼 아이캐쳐붙인걸로)'!A:E,5,0)</f>
        <v>#N/A</v>
      </c>
    </row>
    <row r="406" spans="1:11" ht="12" hidden="1" customHeight="1">
      <c r="A406" s="4" t="str">
        <f t="shared" si="12"/>
        <v>81011006ME90621CPM</v>
      </c>
      <c r="B406" s="9">
        <v>81010000</v>
      </c>
      <c r="C406" s="127"/>
      <c r="D406" s="128">
        <v>81011006</v>
      </c>
      <c r="E406" s="71" t="s">
        <v>414</v>
      </c>
      <c r="F406" s="9" t="s">
        <v>545</v>
      </c>
      <c r="H406" s="9">
        <f ca="1">SUMIF('서식(직납)'!B:L,'Summary(수주업로드용)'!A406,'서식(직납)'!J:J)</f>
        <v>0</v>
      </c>
      <c r="I406" s="28" t="e">
        <f ca="1">IF(H406="0","0",VLOOKUP(A406,'서식(직납)'!B:K,10,0))</f>
        <v>#N/A</v>
      </c>
      <c r="J406" s="7" t="e">
        <f t="shared" ca="1" si="13"/>
        <v>#N/A</v>
      </c>
      <c r="K406" s="4" t="e">
        <f>VLOOKUP(F406,'SUM(히아풀젤,폼 아이캐쳐붙인걸로)'!A:E,5,0)</f>
        <v>#N/A</v>
      </c>
    </row>
    <row r="407" spans="1:11" ht="12" hidden="1" customHeight="1">
      <c r="A407" s="4" t="str">
        <f t="shared" si="12"/>
        <v>81011006ME90621GP4</v>
      </c>
      <c r="B407" s="9">
        <v>81010000</v>
      </c>
      <c r="C407" s="127"/>
      <c r="D407" s="128">
        <v>81011006</v>
      </c>
      <c r="E407" s="71" t="s">
        <v>414</v>
      </c>
      <c r="F407" s="9" t="s">
        <v>596</v>
      </c>
      <c r="H407" s="9">
        <f ca="1">SUMIF('서식(직납)'!B:L,'Summary(수주업로드용)'!A407,'서식(직납)'!J:J)</f>
        <v>0</v>
      </c>
      <c r="I407" s="28" t="e">
        <f ca="1">IF(H407="0","0",VLOOKUP(A407,'서식(직납)'!B:K,10,0))</f>
        <v>#N/A</v>
      </c>
      <c r="J407" s="7" t="e">
        <f t="shared" ca="1" si="13"/>
        <v>#N/A</v>
      </c>
      <c r="K407" s="4" t="e">
        <f>VLOOKUP(F407,'SUM(히아풀젤,폼 아이캐쳐붙인걸로)'!A:E,5,0)</f>
        <v>#N/A</v>
      </c>
    </row>
    <row r="408" spans="1:11" ht="12" hidden="1" customHeight="1">
      <c r="A408" s="4" t="str">
        <f t="shared" si="12"/>
        <v>81011006ME90621FG1</v>
      </c>
      <c r="B408" s="9">
        <v>81010000</v>
      </c>
      <c r="C408" s="127"/>
      <c r="D408" s="128">
        <v>81011006</v>
      </c>
      <c r="E408" s="71" t="s">
        <v>414</v>
      </c>
      <c r="F408" s="9" t="s">
        <v>601</v>
      </c>
      <c r="H408" s="9">
        <f ca="1">SUMIF('서식(직납)'!B:L,'Summary(수주업로드용)'!A408,'서식(직납)'!J:J)</f>
        <v>0</v>
      </c>
      <c r="I408" s="28" t="e">
        <f ca="1">IF(H408="0","0",VLOOKUP(A408,'서식(직납)'!B:K,10,0))</f>
        <v>#N/A</v>
      </c>
      <c r="J408" s="7" t="e">
        <f t="shared" ca="1" si="13"/>
        <v>#N/A</v>
      </c>
      <c r="K408" s="4" t="e">
        <f>VLOOKUP(F408,'SUM(히아풀젤,폼 아이캐쳐붙인걸로)'!A:E,5,0)</f>
        <v>#N/A</v>
      </c>
    </row>
    <row r="409" spans="1:11" ht="12" hidden="1" customHeight="1">
      <c r="A409" s="4" t="str">
        <f t="shared" si="12"/>
        <v>81011006ME90621TF1</v>
      </c>
      <c r="B409" s="9">
        <v>81010000</v>
      </c>
      <c r="C409" s="127"/>
      <c r="D409" s="128">
        <v>81011006</v>
      </c>
      <c r="E409" s="71" t="s">
        <v>414</v>
      </c>
      <c r="F409" s="9" t="s">
        <v>618</v>
      </c>
      <c r="H409" s="9">
        <f ca="1">SUMIF('서식(직납)'!B:L,'Summary(수주업로드용)'!A409,'서식(직납)'!J:J)</f>
        <v>0</v>
      </c>
      <c r="I409" s="28" t="e">
        <f ca="1">IF(H409="0","0",VLOOKUP(A409,'서식(직납)'!B:K,10,0))</f>
        <v>#N/A</v>
      </c>
      <c r="J409" s="7" t="e">
        <f t="shared" ca="1" si="13"/>
        <v>#N/A</v>
      </c>
      <c r="K409" s="4" t="e">
        <f>VLOOKUP(F409,'SUM(히아풀젤,폼 아이캐쳐붙인걸로)'!A:E,5,0)</f>
        <v>#N/A</v>
      </c>
    </row>
    <row r="410" spans="1:11" ht="12" hidden="1" customHeight="1">
      <c r="A410" s="4" t="str">
        <f t="shared" si="12"/>
        <v>81011006ME90621TC1</v>
      </c>
      <c r="B410" s="9">
        <v>81010000</v>
      </c>
      <c r="C410" s="127"/>
      <c r="D410" s="128">
        <v>81011006</v>
      </c>
      <c r="E410" s="71" t="s">
        <v>414</v>
      </c>
      <c r="F410" s="9" t="s">
        <v>627</v>
      </c>
      <c r="H410" s="9">
        <f ca="1">SUMIF('서식(직납)'!B:L,'Summary(수주업로드용)'!A410,'서식(직납)'!J:J)</f>
        <v>0</v>
      </c>
      <c r="I410" s="28" t="e">
        <f ca="1">IF(H410="0","0",VLOOKUP(A410,'서식(직납)'!B:K,10,0))</f>
        <v>#N/A</v>
      </c>
      <c r="J410" s="7" t="e">
        <f t="shared" ca="1" si="13"/>
        <v>#N/A</v>
      </c>
      <c r="K410" s="4" t="e">
        <f>VLOOKUP(F410,'SUM(히아풀젤,폼 아이캐쳐붙인걸로)'!A:E,5,0)</f>
        <v>#N/A</v>
      </c>
    </row>
    <row r="411" spans="1:11" ht="12" hidden="1" customHeight="1">
      <c r="A411" s="4" t="str">
        <f t="shared" si="12"/>
        <v>81011006ME80421DR2</v>
      </c>
      <c r="B411" s="9">
        <v>81010000</v>
      </c>
      <c r="C411" s="127"/>
      <c r="D411" s="128">
        <v>81011006</v>
      </c>
      <c r="E411" s="71" t="s">
        <v>414</v>
      </c>
      <c r="F411" s="107" t="s">
        <v>656</v>
      </c>
      <c r="G411" s="107"/>
      <c r="H411" s="9">
        <f ca="1">SUMIF('서식(직납)'!B:L,'Summary(수주업로드용)'!A411,'서식(직납)'!J:J)</f>
        <v>0</v>
      </c>
      <c r="I411" s="28" t="e">
        <f ca="1">IF(H411="0","0",VLOOKUP(A411,'서식(직납)'!B:K,10,0))</f>
        <v>#N/A</v>
      </c>
      <c r="J411" s="7" t="e">
        <f t="shared" ca="1" si="13"/>
        <v>#N/A</v>
      </c>
      <c r="K411" s="4" t="str">
        <f>VLOOKUP(F411,'SUM(히아풀젤,폼 아이캐쳐붙인걸로)'!A:E,5,0)</f>
        <v>입수전환</v>
      </c>
    </row>
    <row r="412" spans="1:11" ht="12" hidden="1" customHeight="1">
      <c r="A412" s="4" t="str">
        <f t="shared" si="12"/>
        <v>81011006ME00621FMC</v>
      </c>
      <c r="B412" s="9">
        <v>81010000</v>
      </c>
      <c r="C412" s="127"/>
      <c r="D412" s="128">
        <v>81011006</v>
      </c>
      <c r="E412" s="71" t="s">
        <v>414</v>
      </c>
      <c r="F412" s="107" t="s">
        <v>657</v>
      </c>
      <c r="G412" s="107"/>
      <c r="H412" s="9">
        <f ca="1">SUMIF('서식(직납)'!B:L,'Summary(수주업로드용)'!A412,'서식(직납)'!J:J)</f>
        <v>0</v>
      </c>
      <c r="I412" s="28" t="e">
        <f ca="1">IF(H412="0","0",VLOOKUP(A412,'서식(직납)'!B:K,10,0))</f>
        <v>#N/A</v>
      </c>
      <c r="J412" s="7" t="e">
        <f t="shared" ca="1" si="13"/>
        <v>#N/A</v>
      </c>
      <c r="K412" s="4" t="e">
        <f>VLOOKUP(F412,'SUM(히아풀젤,폼 아이캐쳐붙인걸로)'!A:E,5,0)</f>
        <v>#N/A</v>
      </c>
    </row>
    <row r="413" spans="1:11" ht="12" hidden="1" customHeight="1">
      <c r="A413" s="4" t="str">
        <f t="shared" si="12"/>
        <v>81011006ME00621FML</v>
      </c>
      <c r="B413" s="9">
        <v>81010000</v>
      </c>
      <c r="C413" s="127"/>
      <c r="D413" s="128">
        <v>81011006</v>
      </c>
      <c r="E413" s="71" t="s">
        <v>414</v>
      </c>
      <c r="F413" s="107" t="s">
        <v>658</v>
      </c>
      <c r="G413" s="107"/>
      <c r="H413" s="9">
        <f ca="1">SUMIF('서식(직납)'!B:L,'Summary(수주업로드용)'!A413,'서식(직납)'!J:J)</f>
        <v>0</v>
      </c>
      <c r="I413" s="28" t="e">
        <f ca="1">IF(H413="0","0",VLOOKUP(A413,'서식(직납)'!B:K,10,0))</f>
        <v>#N/A</v>
      </c>
      <c r="J413" s="7" t="e">
        <f t="shared" ca="1" si="13"/>
        <v>#N/A</v>
      </c>
      <c r="K413" s="4" t="e">
        <f>VLOOKUP(F413,'SUM(히아풀젤,폼 아이캐쳐붙인걸로)'!A:E,5,0)</f>
        <v>#N/A</v>
      </c>
    </row>
    <row r="414" spans="1:11" ht="12" hidden="1" customHeight="1">
      <c r="A414" s="4" t="str">
        <f t="shared" si="12"/>
        <v>81011006ME00621FMP</v>
      </c>
      <c r="B414" s="9">
        <v>81010000</v>
      </c>
      <c r="C414" s="127"/>
      <c r="D414" s="128">
        <v>81011006</v>
      </c>
      <c r="E414" s="71" t="s">
        <v>414</v>
      </c>
      <c r="F414" s="107" t="s">
        <v>659</v>
      </c>
      <c r="G414" s="107"/>
      <c r="H414" s="9">
        <f ca="1">SUMIF('서식(직납)'!B:L,'Summary(수주업로드용)'!A414,'서식(직납)'!J:J)</f>
        <v>0</v>
      </c>
      <c r="I414" s="28" t="e">
        <f ca="1">IF(H414="0","0",VLOOKUP(A414,'서식(직납)'!B:K,10,0))</f>
        <v>#N/A</v>
      </c>
      <c r="J414" s="7" t="e">
        <f t="shared" ca="1" si="13"/>
        <v>#N/A</v>
      </c>
      <c r="K414" s="4" t="e">
        <f>VLOOKUP(F414,'SUM(히아풀젤,폼 아이캐쳐붙인걸로)'!A:E,5,0)</f>
        <v>#N/A</v>
      </c>
    </row>
    <row r="415" spans="1:11" ht="12" hidden="1" customHeight="1">
      <c r="A415" s="4" t="str">
        <f t="shared" si="12"/>
        <v>81011006ME81921SVV</v>
      </c>
      <c r="B415" s="9">
        <v>81010000</v>
      </c>
      <c r="C415" s="127"/>
      <c r="D415" s="128">
        <v>81011006</v>
      </c>
      <c r="E415" s="71" t="s">
        <v>414</v>
      </c>
      <c r="F415" s="107" t="s">
        <v>671</v>
      </c>
      <c r="G415" s="107"/>
      <c r="H415" s="9">
        <f ca="1">SUMIF('서식(직납)'!B:L,'Summary(수주업로드용)'!A415,'서식(직납)'!J:J)</f>
        <v>0</v>
      </c>
      <c r="I415" s="28" t="e">
        <f ca="1">IF(H415="0","0",VLOOKUP(A415,'서식(직납)'!B:K,10,0))</f>
        <v>#N/A</v>
      </c>
      <c r="J415" s="7" t="e">
        <f t="shared" ca="1" si="13"/>
        <v>#N/A</v>
      </c>
      <c r="K415" s="4" t="e">
        <f>VLOOKUP(F415,'SUM(히아풀젤,폼 아이캐쳐붙인걸로)'!A:E,5,0)</f>
        <v>#N/A</v>
      </c>
    </row>
    <row r="416" spans="1:11" ht="12" hidden="1" customHeight="1">
      <c r="A416" s="4" t="str">
        <f t="shared" si="12"/>
        <v>81011006ME81921SLL</v>
      </c>
      <c r="B416" s="9">
        <v>81010000</v>
      </c>
      <c r="C416" s="127"/>
      <c r="D416" s="128">
        <v>81011006</v>
      </c>
      <c r="E416" s="71" t="s">
        <v>414</v>
      </c>
      <c r="F416" s="107" t="s">
        <v>672</v>
      </c>
      <c r="G416" s="107"/>
      <c r="H416" s="9">
        <f ca="1">SUMIF('서식(직납)'!B:L,'Summary(수주업로드용)'!A416,'서식(직납)'!J:J)</f>
        <v>0</v>
      </c>
      <c r="I416" s="28" t="e">
        <f ca="1">IF(H416="0","0",VLOOKUP(A416,'서식(직납)'!B:K,10,0))</f>
        <v>#N/A</v>
      </c>
      <c r="J416" s="7" t="e">
        <f t="shared" ca="1" si="13"/>
        <v>#N/A</v>
      </c>
      <c r="K416" s="4" t="e">
        <f>VLOOKUP(F416,'SUM(히아풀젤,폼 아이캐쳐붙인걸로)'!A:E,5,0)</f>
        <v>#N/A</v>
      </c>
    </row>
    <row r="417" spans="1:11" ht="12" hidden="1" customHeight="1">
      <c r="A417" s="4" t="str">
        <f t="shared" si="12"/>
        <v>81011006ME90521MCN</v>
      </c>
      <c r="B417" s="9">
        <v>81010000</v>
      </c>
      <c r="C417" s="127"/>
      <c r="D417" s="128">
        <v>81011006</v>
      </c>
      <c r="E417" s="71" t="s">
        <v>414</v>
      </c>
      <c r="F417" s="107" t="s">
        <v>673</v>
      </c>
      <c r="G417" s="107"/>
      <c r="H417" s="9">
        <f ca="1">SUMIF('서식(직납)'!B:L,'Summary(수주업로드용)'!A417,'서식(직납)'!J:J)</f>
        <v>0</v>
      </c>
      <c r="I417" s="28" t="e">
        <f ca="1">IF(H417="0","0",VLOOKUP(A417,'서식(직납)'!B:K,10,0))</f>
        <v>#N/A</v>
      </c>
      <c r="J417" s="7" t="e">
        <f t="shared" ca="1" si="13"/>
        <v>#N/A</v>
      </c>
      <c r="K417" s="4" t="e">
        <f>VLOOKUP(F417,'SUM(히아풀젤,폼 아이캐쳐붙인걸로)'!A:E,5,0)</f>
        <v>#N/A</v>
      </c>
    </row>
    <row r="418" spans="1:11" ht="12" hidden="1" customHeight="1">
      <c r="A418" s="4" t="str">
        <f t="shared" si="12"/>
        <v>81011006ME81921SL1</v>
      </c>
      <c r="B418" s="9">
        <v>81010000</v>
      </c>
      <c r="C418" s="127"/>
      <c r="D418" s="128">
        <v>81011006</v>
      </c>
      <c r="E418" s="71" t="s">
        <v>414</v>
      </c>
      <c r="F418" s="107" t="s">
        <v>679</v>
      </c>
      <c r="G418" s="107"/>
      <c r="H418" s="9">
        <f ca="1">SUMIF('서식(직납)'!B:L,'Summary(수주업로드용)'!A418,'서식(직납)'!J:J)</f>
        <v>0</v>
      </c>
      <c r="I418" s="28" t="e">
        <f ca="1">IF(H418="0","0",VLOOKUP(A418,'서식(직납)'!B:K,10,0))</f>
        <v>#N/A</v>
      </c>
      <c r="J418" s="7" t="e">
        <f t="shared" ca="1" si="13"/>
        <v>#N/A</v>
      </c>
      <c r="K418" s="4" t="e">
        <f>VLOOKUP(F418,'SUM(히아풀젤,폼 아이캐쳐붙인걸로)'!A:E,5,0)</f>
        <v>#N/A</v>
      </c>
    </row>
    <row r="419" spans="1:11" ht="12" hidden="1" customHeight="1">
      <c r="A419" s="4" t="str">
        <f t="shared" si="12"/>
        <v>81011006ME00621AN4</v>
      </c>
      <c r="B419" s="9">
        <v>81010000</v>
      </c>
      <c r="C419" s="127"/>
      <c r="D419" s="128">
        <v>81011006</v>
      </c>
      <c r="E419" s="71" t="s">
        <v>414</v>
      </c>
      <c r="F419" s="107" t="s">
        <v>693</v>
      </c>
      <c r="G419" s="107"/>
      <c r="H419" s="9">
        <f ca="1">SUMIF('서식(직납)'!B:L,'Summary(수주업로드용)'!A419,'서식(직납)'!J:J)</f>
        <v>0</v>
      </c>
      <c r="I419" s="28" t="e">
        <f ca="1">IF(H419="0","0",VLOOKUP(A419,'서식(직납)'!B:K,10,0))</f>
        <v>#N/A</v>
      </c>
      <c r="J419" s="7" t="e">
        <f t="shared" ca="1" si="13"/>
        <v>#N/A</v>
      </c>
      <c r="K419" s="4">
        <f>VLOOKUP(F419,'SUM(히아풀젤,폼 아이캐쳐붙인걸로)'!A:E,5,0)</f>
        <v>0</v>
      </c>
    </row>
    <row r="420" spans="1:11" ht="12" hidden="1" customHeight="1">
      <c r="A420" s="4" t="str">
        <f t="shared" si="12"/>
        <v>81011006ME00621AN6</v>
      </c>
      <c r="B420" s="9">
        <v>81010000</v>
      </c>
      <c r="C420" s="127"/>
      <c r="D420" s="128">
        <v>81011006</v>
      </c>
      <c r="E420" s="71" t="s">
        <v>414</v>
      </c>
      <c r="F420" s="107" t="s">
        <v>695</v>
      </c>
      <c r="G420" s="107"/>
      <c r="H420" s="9">
        <f ca="1">SUMIF('서식(직납)'!B:L,'Summary(수주업로드용)'!A420,'서식(직납)'!J:J)</f>
        <v>0</v>
      </c>
      <c r="I420" s="28" t="e">
        <f ca="1">IF(H420="0","0",VLOOKUP(A420,'서식(직납)'!B:K,10,0))</f>
        <v>#N/A</v>
      </c>
      <c r="J420" s="7" t="e">
        <f t="shared" ca="1" si="13"/>
        <v>#N/A</v>
      </c>
      <c r="K420" s="4" t="str">
        <f>VLOOKUP(F420,'SUM(히아풀젤,폼 아이캐쳐붙인걸로)'!A:E,5,0)</f>
        <v>ME90621A05</v>
      </c>
    </row>
    <row r="421" spans="1:11" ht="12" hidden="1" customHeight="1">
      <c r="A421" s="4" t="str">
        <f t="shared" si="12"/>
        <v>81011006ME00621AN5</v>
      </c>
      <c r="B421" s="9">
        <v>81010000</v>
      </c>
      <c r="C421" s="127"/>
      <c r="D421" s="128">
        <v>81011006</v>
      </c>
      <c r="E421" s="71" t="s">
        <v>414</v>
      </c>
      <c r="F421" s="107" t="s">
        <v>697</v>
      </c>
      <c r="G421" s="107"/>
      <c r="H421" s="9">
        <f ca="1">SUMIF('서식(직납)'!B:L,'Summary(수주업로드용)'!A421,'서식(직납)'!J:J)</f>
        <v>0</v>
      </c>
      <c r="I421" s="28" t="e">
        <f ca="1">IF(H421="0","0",VLOOKUP(A421,'서식(직납)'!B:K,10,0))</f>
        <v>#N/A</v>
      </c>
      <c r="J421" s="7" t="e">
        <f t="shared" ca="1" si="13"/>
        <v>#N/A</v>
      </c>
      <c r="K421" s="4">
        <f>VLOOKUP(F421,'SUM(히아풀젤,폼 아이캐쳐붙인걸로)'!A:E,5,0)</f>
        <v>0</v>
      </c>
    </row>
    <row r="422" spans="1:11" ht="12" hidden="1" customHeight="1">
      <c r="A422" s="4" t="str">
        <f t="shared" si="12"/>
        <v>81011006ME00621ASM</v>
      </c>
      <c r="B422" s="9">
        <v>81010000</v>
      </c>
      <c r="C422" s="127"/>
      <c r="D422" s="128">
        <v>81011006</v>
      </c>
      <c r="E422" s="71" t="s">
        <v>414</v>
      </c>
      <c r="F422" s="107" t="s">
        <v>696</v>
      </c>
      <c r="G422" s="107"/>
      <c r="H422" s="9">
        <f ca="1">SUMIF('서식(직납)'!B:L,'Summary(수주업로드용)'!A422,'서식(직납)'!J:J)</f>
        <v>0</v>
      </c>
      <c r="I422" s="28" t="e">
        <f ca="1">IF(H422="0","0",VLOOKUP(A422,'서식(직납)'!B:K,10,0))</f>
        <v>#N/A</v>
      </c>
      <c r="J422" s="7" t="e">
        <f t="shared" ca="1" si="13"/>
        <v>#N/A</v>
      </c>
      <c r="K422" s="4">
        <f>VLOOKUP(F422,'SUM(히아풀젤,폼 아이캐쳐붙인걸로)'!A:E,5,0)</f>
        <v>0</v>
      </c>
    </row>
    <row r="423" spans="1:11" ht="12" hidden="1" customHeight="1">
      <c r="A423" s="4" t="str">
        <f t="shared" si="12"/>
        <v>81011006ME90621AC4</v>
      </c>
      <c r="B423" s="9">
        <v>81010000</v>
      </c>
      <c r="C423" s="127"/>
      <c r="D423" s="128">
        <v>81011006</v>
      </c>
      <c r="E423" s="71" t="s">
        <v>414</v>
      </c>
      <c r="F423" s="107" t="s">
        <v>938</v>
      </c>
      <c r="G423" s="107"/>
      <c r="H423" s="9">
        <f ca="1">SUMIF('서식(직납)'!B:L,'Summary(수주업로드용)'!A423,'서식(직납)'!J:J)</f>
        <v>0</v>
      </c>
      <c r="I423" s="28" t="e">
        <f ca="1">IF(H423="0","0",VLOOKUP(A423,'서식(직납)'!B:K,10,0))</f>
        <v>#N/A</v>
      </c>
      <c r="J423" s="7" t="e">
        <f t="shared" ca="1" si="13"/>
        <v>#N/A</v>
      </c>
      <c r="K423" s="4" t="str">
        <f>VLOOKUP(F423,'SUM(히아풀젤,폼 아이캐쳐붙인걸로)'!A:E,5,0)</f>
        <v>9B4</v>
      </c>
    </row>
    <row r="424" spans="1:11" ht="12" hidden="1" customHeight="1">
      <c r="A424" s="4" t="str">
        <f t="shared" si="12"/>
        <v>81011006ME00621HFC</v>
      </c>
      <c r="B424" s="9">
        <v>81010000</v>
      </c>
      <c r="C424" s="127"/>
      <c r="D424" s="128">
        <v>81011006</v>
      </c>
      <c r="E424" s="71" t="s">
        <v>414</v>
      </c>
      <c r="F424" s="107" t="s">
        <v>764</v>
      </c>
      <c r="G424" s="107"/>
      <c r="H424" s="9">
        <f ca="1">SUMIF('서식(직납)'!B:L,'Summary(수주업로드용)'!A424,'서식(직납)'!J:J)</f>
        <v>0</v>
      </c>
      <c r="I424" s="28" t="e">
        <f ca="1">IF(H424="0","0",VLOOKUP(A424,'서식(직납)'!B:K,10,0))</f>
        <v>#N/A</v>
      </c>
      <c r="J424" s="7" t="e">
        <f t="shared" ca="1" si="13"/>
        <v>#N/A</v>
      </c>
      <c r="K424" s="4" t="e">
        <f>VLOOKUP(F424,'SUM(히아풀젤,폼 아이캐쳐붙인걸로)'!A:E,5,0)</f>
        <v>#N/A</v>
      </c>
    </row>
    <row r="425" spans="1:11" ht="12" hidden="1" customHeight="1">
      <c r="A425" s="4" t="str">
        <f t="shared" si="12"/>
        <v>81011006ME00621HPC</v>
      </c>
      <c r="B425" s="9">
        <v>81010000</v>
      </c>
      <c r="C425" s="127"/>
      <c r="D425" s="128">
        <v>81011006</v>
      </c>
      <c r="E425" s="71" t="s">
        <v>414</v>
      </c>
      <c r="F425" s="107" t="s">
        <v>767</v>
      </c>
      <c r="G425" s="107"/>
      <c r="H425" s="9">
        <f ca="1">SUMIF('서식(직납)'!B:L,'Summary(수주업로드용)'!A425,'서식(직납)'!J:J)</f>
        <v>0</v>
      </c>
      <c r="I425" s="28" t="e">
        <f ca="1">IF(H425="0","0",VLOOKUP(A425,'서식(직납)'!B:K,10,0))</f>
        <v>#N/A</v>
      </c>
      <c r="J425" s="7" t="e">
        <f t="shared" ca="1" si="13"/>
        <v>#N/A</v>
      </c>
      <c r="K425" s="4" t="e">
        <f>VLOOKUP(F426,'SUM(히아풀젤,폼 아이캐쳐붙인걸로)'!A:E,5,0)</f>
        <v>#N/A</v>
      </c>
    </row>
    <row r="426" spans="1:11" ht="12" hidden="1" customHeight="1">
      <c r="A426" s="4" t="str">
        <f t="shared" si="12"/>
        <v>81011006ME90521WC4</v>
      </c>
      <c r="B426" s="9">
        <v>81010000</v>
      </c>
      <c r="C426" s="127"/>
      <c r="D426" s="128">
        <v>81011006</v>
      </c>
      <c r="E426" s="71" t="s">
        <v>414</v>
      </c>
      <c r="F426" s="9" t="s">
        <v>1030</v>
      </c>
      <c r="G426" s="107"/>
      <c r="H426" s="9">
        <f ca="1">SUMIF('서식(직납)'!B:L,'Summary(수주업로드용)'!A426,'서식(직납)'!J:J)</f>
        <v>0</v>
      </c>
      <c r="I426" s="28" t="e">
        <f ca="1">IF(H426="0","0",VLOOKUP(A426,'서식(직납)'!B:K,10,0))</f>
        <v>#N/A</v>
      </c>
      <c r="J426" s="7" t="e">
        <f t="shared" ca="1" si="13"/>
        <v>#N/A</v>
      </c>
    </row>
    <row r="427" spans="1:11" ht="12" hidden="1" customHeight="1">
      <c r="A427" s="4" t="str">
        <f t="shared" si="12"/>
        <v>81011006ME90521WC5</v>
      </c>
      <c r="B427" s="9">
        <v>81010000</v>
      </c>
      <c r="C427" s="127"/>
      <c r="D427" s="128">
        <v>81011006</v>
      </c>
      <c r="E427" s="71" t="s">
        <v>414</v>
      </c>
      <c r="F427" s="9" t="s">
        <v>1031</v>
      </c>
      <c r="G427" s="107"/>
      <c r="H427" s="9">
        <f ca="1">SUMIF('서식(직납)'!B:L,'Summary(수주업로드용)'!A427,'서식(직납)'!J:J)</f>
        <v>0</v>
      </c>
      <c r="I427" s="28" t="e">
        <f ca="1">IF(H427="0","0",VLOOKUP(A427,'서식(직납)'!B:K,10,0))</f>
        <v>#N/A</v>
      </c>
      <c r="J427" s="7" t="e">
        <f t="shared" ca="1" si="13"/>
        <v>#N/A</v>
      </c>
      <c r="K427" s="4" t="e">
        <f>VLOOKUP(F428,'SUM(히아풀젤,폼 아이캐쳐붙인걸로)'!A:E,5,0)</f>
        <v>#N/A</v>
      </c>
    </row>
    <row r="428" spans="1:11" ht="12" hidden="1" customHeight="1">
      <c r="A428" s="4" t="str">
        <f t="shared" si="12"/>
        <v>81011006ME90521WC6</v>
      </c>
      <c r="B428" s="9">
        <v>81010000</v>
      </c>
      <c r="C428" s="127"/>
      <c r="D428" s="128">
        <v>81011006</v>
      </c>
      <c r="E428" s="71" t="s">
        <v>414</v>
      </c>
      <c r="F428" s="9" t="s">
        <v>1034</v>
      </c>
      <c r="G428" s="107"/>
      <c r="H428" s="9">
        <f ca="1">SUMIF('서식(직납)'!B:L,'Summary(수주업로드용)'!A428,'서식(직납)'!J:J)</f>
        <v>0</v>
      </c>
      <c r="I428" s="28" t="e">
        <f ca="1">IF(H428="0","0",VLOOKUP(A428,'서식(직납)'!B:K,10,0))</f>
        <v>#N/A</v>
      </c>
      <c r="J428" s="7" t="e">
        <f t="shared" ca="1" si="13"/>
        <v>#N/A</v>
      </c>
      <c r="K428" s="4">
        <f>VLOOKUP(F429,'SUM(히아풀젤,폼 아이캐쳐붙인걸로)'!A:E,5,0)</f>
        <v>0</v>
      </c>
    </row>
    <row r="429" spans="1:11" ht="12" hidden="1" customHeight="1">
      <c r="A429" s="4" t="str">
        <f t="shared" si="12"/>
        <v>81011006ME90521E18</v>
      </c>
      <c r="B429" s="9">
        <v>81010000</v>
      </c>
      <c r="C429" s="127"/>
      <c r="D429" s="128">
        <v>81011006</v>
      </c>
      <c r="E429" s="71" t="s">
        <v>414</v>
      </c>
      <c r="F429" s="9" t="s">
        <v>676</v>
      </c>
      <c r="G429" s="107"/>
      <c r="H429" s="9">
        <f ca="1">SUMIF('서식(직납)'!B:L,'Summary(수주업로드용)'!A429,'서식(직납)'!J:J)</f>
        <v>0</v>
      </c>
      <c r="I429" s="28" t="e">
        <f ca="1">IF(H429="0","0",VLOOKUP(A429,'서식(직납)'!B:K,10,0))</f>
        <v>#N/A</v>
      </c>
      <c r="J429" s="7" t="e">
        <f t="shared" ca="1" si="13"/>
        <v>#N/A</v>
      </c>
      <c r="K429" s="4" t="e">
        <f>VLOOKUP(F430,'SUM(히아풀젤,폼 아이캐쳐붙인걸로)'!A:E,5,0)</f>
        <v>#N/A</v>
      </c>
    </row>
    <row r="430" spans="1:11" ht="12" customHeight="1">
      <c r="A430" s="4" t="str">
        <f t="shared" si="12"/>
        <v/>
      </c>
      <c r="E430" s="70" t="s">
        <v>665</v>
      </c>
      <c r="F430" s="107"/>
      <c r="G430" s="107"/>
      <c r="I430" s="28"/>
      <c r="J430" s="7"/>
      <c r="K430" s="4" t="e">
        <f>VLOOKUP(F431,'SUM(히아풀젤,폼 아이캐쳐붙인걸로)'!A:E,5,0)</f>
        <v>#N/A</v>
      </c>
    </row>
    <row r="431" spans="1:11" ht="12" customHeight="1">
      <c r="A431" s="4" t="s">
        <v>681</v>
      </c>
      <c r="F431" s="107"/>
      <c r="G431" s="107"/>
      <c r="I431" s="28"/>
      <c r="J431" s="7"/>
    </row>
    <row r="432" spans="1:11" ht="12" customHeight="1">
      <c r="A432" s="4" t="s">
        <v>682</v>
      </c>
      <c r="F432" s="107"/>
      <c r="G432" s="107"/>
      <c r="I432" s="28"/>
      <c r="J432" s="7"/>
    </row>
    <row r="433" spans="1:11" ht="12" customHeight="1">
      <c r="F433" s="107"/>
      <c r="G433" s="107"/>
      <c r="I433" s="28"/>
      <c r="J433" s="7"/>
    </row>
    <row r="434" spans="1:11" ht="12" customHeight="1">
      <c r="F434" s="107"/>
      <c r="G434" s="107"/>
      <c r="I434" s="28"/>
      <c r="J434" s="7"/>
    </row>
    <row r="435" spans="1:11" ht="12" customHeight="1">
      <c r="A435" s="4" t="s">
        <v>663</v>
      </c>
      <c r="F435" s="108"/>
      <c r="G435" s="108"/>
      <c r="I435" s="28"/>
      <c r="J435" s="7"/>
    </row>
    <row r="436" spans="1:11" ht="12" customHeight="1">
      <c r="F436" s="108"/>
      <c r="G436" s="108"/>
      <c r="I436" s="28"/>
      <c r="J436" s="7"/>
    </row>
    <row r="437" spans="1:11" ht="12" customHeight="1">
      <c r="F437" s="108"/>
      <c r="G437" s="108"/>
      <c r="I437" s="28"/>
      <c r="J437" s="7"/>
    </row>
    <row r="438" spans="1:11" ht="12" customHeight="1">
      <c r="F438" s="108"/>
      <c r="G438" s="108"/>
      <c r="I438" s="28"/>
      <c r="J438" s="7"/>
    </row>
    <row r="439" spans="1:11" ht="12" customHeight="1">
      <c r="F439" s="108"/>
      <c r="G439" s="108"/>
      <c r="H439" s="40"/>
      <c r="I439" s="28"/>
      <c r="J439" s="7"/>
    </row>
    <row r="440" spans="1:11" ht="12" customHeight="1">
      <c r="F440" s="108"/>
      <c r="G440" s="108"/>
      <c r="I440" s="28"/>
      <c r="J440" s="7"/>
    </row>
    <row r="441" spans="1:11" ht="12" customHeight="1">
      <c r="F441" s="108"/>
      <c r="G441" s="108"/>
      <c r="I441" s="28"/>
      <c r="J441" s="7"/>
      <c r="K441" s="4" t="s">
        <v>698</v>
      </c>
    </row>
    <row r="442" spans="1:11" ht="12" customHeight="1">
      <c r="F442" s="108"/>
      <c r="G442" s="108"/>
      <c r="I442" s="28"/>
      <c r="J442" s="7"/>
    </row>
    <row r="443" spans="1:11" ht="12" customHeight="1">
      <c r="F443" s="108"/>
      <c r="G443" s="108"/>
      <c r="I443" s="28"/>
      <c r="J443" s="7"/>
    </row>
    <row r="444" spans="1:11" ht="12" customHeight="1">
      <c r="F444" s="108"/>
      <c r="G444" s="108"/>
      <c r="I444" s="28"/>
      <c r="J444" s="7"/>
    </row>
    <row r="445" spans="1:11" ht="12" customHeight="1">
      <c r="F445" s="108"/>
      <c r="G445" s="108"/>
      <c r="I445" s="28"/>
      <c r="J445" s="7"/>
    </row>
    <row r="446" spans="1:11" ht="12" customHeight="1">
      <c r="F446" s="108"/>
      <c r="G446" s="108"/>
      <c r="I446" s="28"/>
      <c r="J446" s="7"/>
    </row>
    <row r="447" spans="1:11" ht="12" customHeight="1">
      <c r="F447" s="108"/>
      <c r="G447" s="108"/>
      <c r="I447" s="28"/>
      <c r="J447" s="7"/>
    </row>
    <row r="448" spans="1:11" ht="12" customHeight="1">
      <c r="F448" s="108"/>
      <c r="G448" s="108"/>
      <c r="I448" s="28"/>
      <c r="J448" s="7"/>
    </row>
    <row r="449" spans="6:10" ht="12" customHeight="1">
      <c r="F449" s="108"/>
      <c r="G449" s="108"/>
      <c r="I449" s="28"/>
      <c r="J449" s="7"/>
    </row>
    <row r="450" spans="6:10" ht="12" customHeight="1">
      <c r="F450" s="108"/>
      <c r="G450" s="108"/>
      <c r="I450" s="28"/>
      <c r="J450" s="7"/>
    </row>
    <row r="451" spans="6:10" ht="12" customHeight="1">
      <c r="F451" s="108"/>
      <c r="G451" s="108"/>
      <c r="I451" s="28"/>
      <c r="J451" s="7"/>
    </row>
    <row r="452" spans="6:10" ht="12" customHeight="1">
      <c r="F452" s="108"/>
      <c r="G452" s="108"/>
      <c r="I452" s="28"/>
      <c r="J452" s="7"/>
    </row>
    <row r="453" spans="6:10" ht="12" customHeight="1">
      <c r="F453" s="108"/>
      <c r="G453" s="108"/>
      <c r="I453" s="28"/>
      <c r="J453" s="7"/>
    </row>
    <row r="454" spans="6:10" ht="12" customHeight="1">
      <c r="F454" s="107"/>
      <c r="G454" s="107"/>
      <c r="I454" s="28"/>
      <c r="J454" s="7"/>
    </row>
    <row r="455" spans="6:10" ht="12" customHeight="1">
      <c r="F455" s="107"/>
      <c r="G455" s="107"/>
      <c r="I455" s="28"/>
      <c r="J455" s="7"/>
    </row>
    <row r="456" spans="6:10" ht="12" customHeight="1">
      <c r="F456" s="107"/>
      <c r="G456" s="107"/>
      <c r="I456" s="28"/>
      <c r="J456" s="7"/>
    </row>
    <row r="457" spans="6:10" ht="12" customHeight="1">
      <c r="F457" s="107"/>
      <c r="G457" s="107"/>
      <c r="I457" s="28"/>
      <c r="J457" s="7"/>
    </row>
    <row r="458" spans="6:10" ht="12" customHeight="1">
      <c r="F458" s="107"/>
      <c r="G458" s="107"/>
      <c r="I458" s="28"/>
      <c r="J458" s="7"/>
    </row>
    <row r="459" spans="6:10" ht="12" customHeight="1">
      <c r="F459" s="107"/>
      <c r="G459" s="107"/>
      <c r="I459" s="28"/>
      <c r="J459" s="7"/>
    </row>
    <row r="460" spans="6:10" ht="12" customHeight="1">
      <c r="F460" s="107"/>
      <c r="G460" s="107"/>
      <c r="I460" s="28"/>
      <c r="J460" s="7"/>
    </row>
    <row r="461" spans="6:10" ht="12" customHeight="1">
      <c r="F461" s="107"/>
      <c r="G461" s="107"/>
      <c r="I461" s="28"/>
      <c r="J461" s="7"/>
    </row>
    <row r="462" spans="6:10" ht="12" customHeight="1">
      <c r="F462" s="107"/>
      <c r="G462" s="107"/>
      <c r="I462" s="28"/>
      <c r="J462" s="7"/>
    </row>
    <row r="463" spans="6:10" ht="12" customHeight="1">
      <c r="F463" s="107"/>
      <c r="G463" s="107"/>
      <c r="I463" s="28"/>
      <c r="J463" s="7"/>
    </row>
    <row r="464" spans="6:10" ht="12" customHeight="1">
      <c r="F464" s="107"/>
      <c r="G464" s="107"/>
      <c r="I464" s="28"/>
      <c r="J464" s="7"/>
    </row>
    <row r="465" spans="1:11" ht="12" customHeight="1">
      <c r="F465" s="107"/>
      <c r="G465" s="107"/>
      <c r="I465" s="28"/>
      <c r="J465" s="7"/>
    </row>
    <row r="466" spans="1:11" ht="12" customHeight="1">
      <c r="F466" s="107"/>
      <c r="G466" s="107"/>
      <c r="I466" s="28"/>
      <c r="J466" s="7"/>
    </row>
    <row r="467" spans="1:11" ht="12" customHeight="1">
      <c r="F467" s="107"/>
      <c r="G467" s="107"/>
      <c r="I467" s="28"/>
      <c r="J467" s="7"/>
    </row>
    <row r="468" spans="1:11" ht="12" customHeight="1">
      <c r="F468" s="107"/>
      <c r="G468" s="107"/>
      <c r="I468" s="28"/>
      <c r="J468" s="7"/>
    </row>
    <row r="469" spans="1:11" ht="12" customHeight="1">
      <c r="F469" s="107"/>
      <c r="G469" s="107"/>
      <c r="I469" s="28"/>
      <c r="J469" s="7"/>
    </row>
    <row r="470" spans="1:11" ht="12" customHeight="1">
      <c r="F470" s="107"/>
      <c r="G470" s="107"/>
      <c r="I470" s="28"/>
      <c r="J470" s="7"/>
    </row>
    <row r="471" spans="1:11" ht="12" customHeight="1">
      <c r="F471" s="107"/>
      <c r="G471" s="107"/>
      <c r="I471" s="28"/>
      <c r="J471" s="7"/>
    </row>
    <row r="472" spans="1:11" ht="12" customHeight="1">
      <c r="F472" s="108"/>
      <c r="G472" s="108"/>
      <c r="I472" s="28"/>
      <c r="J472" s="7"/>
    </row>
    <row r="473" spans="1:11" ht="12" customHeight="1">
      <c r="F473" s="108"/>
      <c r="G473" s="108"/>
      <c r="I473" s="28"/>
      <c r="J473" s="7"/>
    </row>
    <row r="474" spans="1:11" ht="12" customHeight="1">
      <c r="F474" s="108"/>
      <c r="G474" s="108"/>
      <c r="I474" s="28"/>
      <c r="J474" s="7"/>
    </row>
    <row r="475" spans="1:11" ht="12" customHeight="1">
      <c r="I475" s="28"/>
      <c r="J475" s="7"/>
    </row>
    <row r="476" spans="1:11" ht="12" customHeight="1">
      <c r="I476" s="28"/>
      <c r="J476" s="7"/>
    </row>
    <row r="477" spans="1:11" ht="12" customHeight="1">
      <c r="I477" s="28"/>
      <c r="J477" s="7"/>
      <c r="K477" s="4" t="e">
        <f>VLOOKUP(F478,'SUM(히아풀젤,폼 아이캐쳐붙인걸로)'!A:E,5,0)</f>
        <v>#N/A</v>
      </c>
    </row>
    <row r="478" spans="1:11" ht="12" customHeight="1">
      <c r="A478" s="4" t="str">
        <f t="shared" ref="A478:A481" si="14">D478&amp;F478</f>
        <v/>
      </c>
      <c r="H478" s="9">
        <f ca="1">SUMIF('서식(직납)'!B:L,'Summary(수주업로드용)'!A478,'서식(직납)'!J:J)</f>
        <v>0</v>
      </c>
      <c r="I478" s="28" t="e">
        <f ca="1">IF(H478="0","0",VLOOKUP(A478,'서식(직납)'!B:K,10,0))</f>
        <v>#N/A</v>
      </c>
      <c r="J478" s="7" t="e">
        <f t="shared" ref="J478" ca="1" si="15">H478*I478</f>
        <v>#N/A</v>
      </c>
    </row>
    <row r="479" spans="1:11" ht="12" customHeight="1">
      <c r="A479" s="4" t="str">
        <f t="shared" si="14"/>
        <v/>
      </c>
      <c r="H479" s="9">
        <f ca="1">SUMIF('서식(직납)'!B:L,'Summary(수주업로드용)'!A479,'서식(직납)'!J:J)</f>
        <v>0</v>
      </c>
      <c r="I479" s="28"/>
      <c r="J479" s="7"/>
    </row>
    <row r="480" spans="1:11" ht="12" customHeight="1">
      <c r="A480" s="4" t="str">
        <f t="shared" si="14"/>
        <v/>
      </c>
      <c r="I480" s="28"/>
      <c r="J480" s="7"/>
    </row>
    <row r="481" spans="1:10" ht="12" customHeight="1">
      <c r="A481" s="4" t="str">
        <f t="shared" si="14"/>
        <v/>
      </c>
      <c r="I481" s="28"/>
      <c r="J481" s="7"/>
    </row>
    <row r="482" spans="1:10" ht="12" customHeight="1">
      <c r="I482" s="28"/>
      <c r="J482" s="7"/>
    </row>
    <row r="483" spans="1:10" ht="12" customHeight="1">
      <c r="I483" s="28"/>
      <c r="J483" s="7"/>
    </row>
    <row r="484" spans="1:10" ht="12" customHeight="1">
      <c r="I484" s="28"/>
      <c r="J484" s="7"/>
    </row>
    <row r="485" spans="1:10" ht="12" customHeight="1">
      <c r="I485" s="28"/>
      <c r="J485" s="7"/>
    </row>
    <row r="486" spans="1:10" ht="12" customHeight="1">
      <c r="I486" s="28"/>
      <c r="J486" s="7"/>
    </row>
  </sheetData>
  <autoFilter ref="A2:P432" xr:uid="{00000000-0001-0000-0200-000000000000}">
    <filterColumn colId="7">
      <filters blank="1">
        <filter val="12"/>
        <filter val="16"/>
        <filter val="18"/>
        <filter val="24"/>
        <filter val="40"/>
        <filter val="6"/>
      </filters>
    </filterColumn>
  </autoFilter>
  <phoneticPr fontId="91" type="noConversion"/>
  <printOptions heading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 filterMode="1"/>
  <dimension ref="A1:FV210"/>
  <sheetViews>
    <sheetView zoomScale="115" zoomScaleNormal="115" workbookViewId="0">
      <pane ySplit="1" topLeftCell="A57" activePane="bottomLeft" state="frozen"/>
      <selection pane="bottomLeft" activeCell="C93" sqref="C93"/>
    </sheetView>
  </sheetViews>
  <sheetFormatPr defaultRowHeight="12" customHeight="1"/>
  <cols>
    <col min="1" max="1" width="6.69921875" customWidth="1"/>
    <col min="2" max="2" width="36" style="5" bestFit="1" customWidth="1"/>
    <col min="3" max="3" width="15.69921875" style="119" customWidth="1"/>
    <col min="4" max="4" width="15.69921875" style="5" bestFit="1" customWidth="1"/>
    <col min="5" max="5" width="39.09765625" style="5" bestFit="1" customWidth="1"/>
    <col min="6" max="6" width="9.296875" style="48" customWidth="1"/>
    <col min="7" max="7" width="6.59765625" customWidth="1"/>
    <col min="8" max="8" width="26.296875" style="85" bestFit="1" customWidth="1"/>
    <col min="9" max="9" width="10.8984375" style="85" customWidth="1"/>
    <col min="10" max="10" width="12.09765625" style="86" customWidth="1"/>
    <col min="11" max="11" width="12.19921875" style="86" customWidth="1"/>
    <col min="12" max="12" width="12.09765625" style="86" customWidth="1"/>
  </cols>
  <sheetData>
    <row r="1" spans="1:178" s="49" customFormat="1" ht="12" customHeight="1">
      <c r="A1" s="72" t="s">
        <v>373</v>
      </c>
      <c r="B1" s="72" t="s">
        <v>335</v>
      </c>
      <c r="C1" s="118" t="s">
        <v>598</v>
      </c>
      <c r="D1" s="72" t="s">
        <v>425</v>
      </c>
      <c r="E1" s="72" t="s">
        <v>431</v>
      </c>
      <c r="F1" s="73" t="s">
        <v>424</v>
      </c>
      <c r="G1" s="73" t="s">
        <v>380</v>
      </c>
      <c r="H1" s="83" t="s">
        <v>501</v>
      </c>
      <c r="I1" s="83" t="s">
        <v>502</v>
      </c>
      <c r="J1" s="84"/>
      <c r="K1" s="84"/>
      <c r="L1" s="84"/>
    </row>
    <row r="2" spans="1:178" s="76" customFormat="1" ht="12.6" hidden="1" customHeight="1">
      <c r="A2" s="78" t="s">
        <v>375</v>
      </c>
      <c r="B2" s="78" t="s">
        <v>485</v>
      </c>
      <c r="C2" s="106">
        <v>8809020346585</v>
      </c>
      <c r="D2" s="121" t="s">
        <v>685</v>
      </c>
      <c r="E2" s="78" t="s">
        <v>649</v>
      </c>
      <c r="F2" s="78" t="s">
        <v>399</v>
      </c>
      <c r="G2" s="131" t="s">
        <v>664</v>
      </c>
      <c r="H2" s="85">
        <v>6975</v>
      </c>
      <c r="I2" s="87"/>
      <c r="J2" s="88"/>
      <c r="K2" s="88"/>
      <c r="L2" s="88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/>
      <c r="FV2" s="81"/>
    </row>
    <row r="3" spans="1:178" s="74" customFormat="1" ht="12.6" hidden="1" customHeight="1">
      <c r="A3" s="78" t="s">
        <v>375</v>
      </c>
      <c r="B3" s="78" t="s">
        <v>410</v>
      </c>
      <c r="C3" s="106">
        <v>8809020346523</v>
      </c>
      <c r="D3" s="78" t="s">
        <v>503</v>
      </c>
      <c r="E3" s="78" t="s">
        <v>504</v>
      </c>
      <c r="F3" s="78" t="s">
        <v>503</v>
      </c>
      <c r="G3" s="81" t="s">
        <v>434</v>
      </c>
      <c r="H3" s="85">
        <v>6510</v>
      </c>
      <c r="I3" s="87"/>
      <c r="J3" s="88"/>
      <c r="K3" s="88"/>
      <c r="L3" s="88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  <c r="FU3" s="81"/>
      <c r="FV3" s="81"/>
    </row>
    <row r="4" spans="1:178" s="74" customFormat="1" ht="12.6" hidden="1" customHeight="1">
      <c r="A4" s="78" t="s">
        <v>375</v>
      </c>
      <c r="B4" s="78" t="s">
        <v>582</v>
      </c>
      <c r="C4" s="106">
        <v>8809020346660</v>
      </c>
      <c r="D4" s="78" t="s">
        <v>573</v>
      </c>
      <c r="E4" s="78" t="s">
        <v>582</v>
      </c>
      <c r="F4" s="78" t="s">
        <v>384</v>
      </c>
      <c r="G4" s="81"/>
      <c r="H4" s="85"/>
      <c r="I4" s="87"/>
      <c r="J4" s="88"/>
      <c r="K4" s="88"/>
      <c r="L4" s="88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</row>
    <row r="5" spans="1:178" s="74" customFormat="1" ht="12.6" hidden="1" customHeight="1">
      <c r="A5" s="78" t="s">
        <v>375</v>
      </c>
      <c r="B5" s="78" t="s">
        <v>486</v>
      </c>
      <c r="C5" s="106">
        <v>8809020346592</v>
      </c>
      <c r="D5" s="78" t="s">
        <v>954</v>
      </c>
      <c r="E5" s="78" t="s">
        <v>370</v>
      </c>
      <c r="F5" s="78" t="s">
        <v>369</v>
      </c>
      <c r="G5" s="131" t="s">
        <v>666</v>
      </c>
      <c r="H5" s="85" t="s">
        <v>955</v>
      </c>
      <c r="I5" s="87"/>
      <c r="J5" s="88"/>
      <c r="K5" s="88"/>
      <c r="L5" s="88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</row>
    <row r="6" spans="1:178" s="76" customFormat="1" ht="12.6" hidden="1" customHeight="1" thickBot="1">
      <c r="A6" s="78" t="s">
        <v>375</v>
      </c>
      <c r="B6" s="78" t="s">
        <v>411</v>
      </c>
      <c r="C6" s="106">
        <v>8809020346516</v>
      </c>
      <c r="D6" s="121" t="s">
        <v>661</v>
      </c>
      <c r="E6" s="78" t="s">
        <v>174</v>
      </c>
      <c r="F6" s="78" t="s">
        <v>642</v>
      </c>
      <c r="G6" s="101" t="s">
        <v>474</v>
      </c>
      <c r="H6" s="85">
        <v>6510</v>
      </c>
      <c r="I6" s="87"/>
      <c r="J6" s="88"/>
      <c r="K6" s="88"/>
      <c r="L6" s="88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</row>
    <row r="7" spans="1:178" s="76" customFormat="1" ht="12.6" hidden="1" customHeight="1" thickBot="1">
      <c r="A7" s="78" t="s">
        <v>375</v>
      </c>
      <c r="B7" s="78" t="s">
        <v>484</v>
      </c>
      <c r="C7" s="106">
        <v>8809020346509</v>
      </c>
      <c r="D7" s="78" t="s">
        <v>958</v>
      </c>
      <c r="E7" s="78" t="s">
        <v>173</v>
      </c>
      <c r="F7" s="78" t="s">
        <v>397</v>
      </c>
      <c r="G7" s="101"/>
      <c r="H7" s="85">
        <v>6975</v>
      </c>
      <c r="I7" s="87"/>
      <c r="J7" s="88"/>
      <c r="K7" s="88"/>
      <c r="L7" s="88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</row>
    <row r="8" spans="1:178" s="76" customFormat="1" ht="12.6" hidden="1" customHeight="1" thickBot="1">
      <c r="A8" s="78" t="s">
        <v>375</v>
      </c>
      <c r="B8" s="78" t="s">
        <v>527</v>
      </c>
      <c r="C8" s="106">
        <v>8809020340255</v>
      </c>
      <c r="D8" s="78" t="s">
        <v>640</v>
      </c>
      <c r="E8" s="78" t="s">
        <v>527</v>
      </c>
      <c r="F8" s="97"/>
      <c r="G8" s="103"/>
      <c r="H8" s="87"/>
      <c r="I8" s="87"/>
      <c r="J8" s="88"/>
      <c r="K8" s="88"/>
      <c r="L8" s="88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</row>
    <row r="9" spans="1:178" s="76" customFormat="1" ht="12.6" hidden="1" customHeight="1">
      <c r="A9" s="78" t="s">
        <v>375</v>
      </c>
      <c r="B9" s="78" t="s">
        <v>538</v>
      </c>
      <c r="C9" s="106">
        <v>8809020340286</v>
      </c>
      <c r="D9" s="122" t="s">
        <v>622</v>
      </c>
      <c r="E9" s="78" t="s">
        <v>597</v>
      </c>
      <c r="F9" s="122" t="s">
        <v>622</v>
      </c>
      <c r="G9" s="131"/>
      <c r="H9" s="87" t="s">
        <v>643</v>
      </c>
      <c r="I9" s="87"/>
      <c r="J9" s="88"/>
      <c r="K9" s="88"/>
      <c r="L9" s="88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</row>
    <row r="10" spans="1:178" s="76" customFormat="1" ht="12.6" hidden="1" customHeight="1" thickBot="1">
      <c r="A10" s="78" t="s">
        <v>375</v>
      </c>
      <c r="B10" s="78" t="s">
        <v>526</v>
      </c>
      <c r="C10" s="106">
        <v>8809020340262</v>
      </c>
      <c r="D10" s="78" t="s">
        <v>621</v>
      </c>
      <c r="E10" s="78" t="s">
        <v>526</v>
      </c>
      <c r="F10" s="95" t="s">
        <v>535</v>
      </c>
      <c r="G10" s="103"/>
      <c r="H10" s="87"/>
      <c r="I10" s="87"/>
      <c r="J10" s="88"/>
      <c r="K10" s="88"/>
      <c r="L10" s="88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</row>
    <row r="11" spans="1:178" s="76" customFormat="1" ht="12.6" hidden="1" customHeight="1" thickBot="1">
      <c r="A11" s="78" t="s">
        <v>375</v>
      </c>
      <c r="B11" s="78" t="s">
        <v>481</v>
      </c>
      <c r="C11" s="106">
        <v>8809020346561</v>
      </c>
      <c r="D11" s="78" t="s">
        <v>483</v>
      </c>
      <c r="E11" s="78" t="s">
        <v>175</v>
      </c>
      <c r="F11" s="78" t="s">
        <v>483</v>
      </c>
      <c r="G11" s="101" t="s">
        <v>433</v>
      </c>
      <c r="H11" s="85">
        <v>6975</v>
      </c>
      <c r="I11" s="87"/>
      <c r="J11" s="88"/>
      <c r="K11" s="88"/>
      <c r="L11" s="88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</row>
    <row r="12" spans="1:178" s="76" customFormat="1" ht="12.6" hidden="1" customHeight="1" thickBot="1">
      <c r="A12" s="78" t="s">
        <v>375</v>
      </c>
      <c r="B12" s="78" t="s">
        <v>583</v>
      </c>
      <c r="C12" s="106">
        <v>8809020340293</v>
      </c>
      <c r="D12" s="78" t="s">
        <v>619</v>
      </c>
      <c r="E12" s="78" t="s">
        <v>583</v>
      </c>
      <c r="F12" s="78" t="s">
        <v>619</v>
      </c>
      <c r="G12" s="101" t="s">
        <v>432</v>
      </c>
      <c r="H12" s="87" t="s">
        <v>643</v>
      </c>
      <c r="I12" s="87"/>
      <c r="J12" s="88"/>
      <c r="K12" s="88"/>
      <c r="L12" s="88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</row>
    <row r="13" spans="1:178" s="76" customFormat="1" ht="12.6" hidden="1" customHeight="1" thickBot="1">
      <c r="A13" s="78" t="s">
        <v>375</v>
      </c>
      <c r="B13" s="78" t="s">
        <v>490</v>
      </c>
      <c r="C13" s="106" t="e">
        <v>#N/A</v>
      </c>
      <c r="D13" s="78" t="s">
        <v>577</v>
      </c>
      <c r="E13" s="78" t="s">
        <v>499</v>
      </c>
      <c r="F13" s="78" t="s">
        <v>498</v>
      </c>
      <c r="G13" s="105"/>
      <c r="H13" s="85">
        <v>8237</v>
      </c>
      <c r="I13" s="87"/>
      <c r="J13" s="88"/>
      <c r="K13" s="88"/>
      <c r="L13" s="88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</row>
    <row r="14" spans="1:178" s="76" customFormat="1" ht="12.6" hidden="1" customHeight="1" thickBot="1">
      <c r="A14" s="78" t="s">
        <v>375</v>
      </c>
      <c r="B14" s="78" t="s">
        <v>488</v>
      </c>
      <c r="C14" s="106" t="e">
        <v>#N/A</v>
      </c>
      <c r="D14" s="78" t="s">
        <v>576</v>
      </c>
      <c r="E14" s="78" t="s">
        <v>497</v>
      </c>
      <c r="F14" s="78" t="s">
        <v>496</v>
      </c>
      <c r="G14" s="105"/>
      <c r="H14" s="85">
        <v>11326</v>
      </c>
      <c r="I14" s="87"/>
      <c r="J14" s="88"/>
      <c r="K14" s="88"/>
      <c r="L14" s="88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</row>
    <row r="15" spans="1:178" s="76" customFormat="1" ht="12.6" hidden="1" customHeight="1" thickBot="1">
      <c r="A15" s="78" t="s">
        <v>375</v>
      </c>
      <c r="B15" s="78" t="s">
        <v>491</v>
      </c>
      <c r="C15" s="106" t="e">
        <v>#N/A</v>
      </c>
      <c r="D15" s="78" t="s">
        <v>575</v>
      </c>
      <c r="E15" s="78" t="s">
        <v>495</v>
      </c>
      <c r="F15" s="78" t="s">
        <v>494</v>
      </c>
      <c r="G15" s="105"/>
      <c r="H15" s="85">
        <v>9267</v>
      </c>
      <c r="I15" s="87"/>
      <c r="J15" s="88"/>
      <c r="K15" s="88"/>
      <c r="L15" s="88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</row>
    <row r="16" spans="1:178" s="76" customFormat="1" ht="12.6" hidden="1" customHeight="1" thickBot="1">
      <c r="A16" s="78" t="s">
        <v>375</v>
      </c>
      <c r="B16" s="78" t="s">
        <v>487</v>
      </c>
      <c r="C16" s="106" t="e">
        <v>#N/A</v>
      </c>
      <c r="D16" s="78" t="s">
        <v>574</v>
      </c>
      <c r="E16" s="78" t="s">
        <v>493</v>
      </c>
      <c r="F16" s="78" t="s">
        <v>492</v>
      </c>
      <c r="G16" s="105"/>
      <c r="H16" s="85">
        <v>7722</v>
      </c>
      <c r="I16" s="85"/>
      <c r="J16" s="86"/>
      <c r="K16" s="86"/>
      <c r="L16" s="86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</row>
    <row r="17" spans="1:178" s="76" customFormat="1" ht="12.6" hidden="1" customHeight="1">
      <c r="A17" s="78" t="s">
        <v>375</v>
      </c>
      <c r="B17" s="78" t="s">
        <v>489</v>
      </c>
      <c r="C17" s="106">
        <v>8809020349722</v>
      </c>
      <c r="D17" s="129" t="s">
        <v>969</v>
      </c>
      <c r="E17" s="78" t="s">
        <v>605</v>
      </c>
      <c r="F17" s="129" t="s">
        <v>969</v>
      </c>
      <c r="G17" s="131" t="s">
        <v>664</v>
      </c>
      <c r="H17" s="85">
        <v>7722</v>
      </c>
      <c r="I17" s="85"/>
      <c r="J17" s="86"/>
      <c r="K17" s="86"/>
      <c r="L17" s="86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</row>
    <row r="18" spans="1:178" s="76" customFormat="1" ht="12.6" hidden="1" customHeight="1" thickBot="1">
      <c r="A18" s="78" t="s">
        <v>375</v>
      </c>
      <c r="B18" s="78" t="s">
        <v>478</v>
      </c>
      <c r="C18" s="106">
        <v>8809020349425</v>
      </c>
      <c r="D18" s="78" t="s">
        <v>482</v>
      </c>
      <c r="E18" s="78" t="s">
        <v>479</v>
      </c>
      <c r="F18" s="78" t="s">
        <v>480</v>
      </c>
      <c r="G18" s="105"/>
      <c r="H18" s="85">
        <v>9299</v>
      </c>
      <c r="I18" s="85"/>
      <c r="J18" s="86"/>
      <c r="K18" s="86"/>
      <c r="L18" s="86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</row>
    <row r="19" spans="1:178" s="76" customFormat="1" ht="12.6" hidden="1" customHeight="1" thickBot="1">
      <c r="A19" s="76" t="s">
        <v>376</v>
      </c>
      <c r="B19" s="76" t="s">
        <v>388</v>
      </c>
      <c r="C19" s="106">
        <v>8809020349104</v>
      </c>
      <c r="D19" s="77" t="s">
        <v>610</v>
      </c>
      <c r="E19" s="76" t="s">
        <v>420</v>
      </c>
      <c r="F19" s="81" t="s">
        <v>19</v>
      </c>
      <c r="G19" s="101"/>
      <c r="H19" s="87"/>
      <c r="I19" s="85"/>
      <c r="J19" s="86"/>
      <c r="K19" s="86"/>
      <c r="L19" s="86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</row>
    <row r="20" spans="1:178" ht="12" hidden="1" customHeight="1">
      <c r="A20" s="76" t="s">
        <v>376</v>
      </c>
      <c r="B20" s="76" t="s">
        <v>387</v>
      </c>
      <c r="C20" s="106">
        <v>8809020349098</v>
      </c>
      <c r="D20" s="77" t="s">
        <v>644</v>
      </c>
      <c r="E20" s="76" t="s">
        <v>419</v>
      </c>
      <c r="F20" s="96" t="s">
        <v>18</v>
      </c>
      <c r="G20" s="99"/>
    </row>
    <row r="21" spans="1:178" ht="12" hidden="1" customHeight="1">
      <c r="A21" s="76" t="s">
        <v>376</v>
      </c>
      <c r="B21" s="76" t="s">
        <v>386</v>
      </c>
      <c r="C21" s="106">
        <v>8809020349210</v>
      </c>
      <c r="D21" s="77" t="s">
        <v>361</v>
      </c>
      <c r="E21" s="76" t="s">
        <v>363</v>
      </c>
      <c r="F21" s="99" t="s">
        <v>361</v>
      </c>
      <c r="G21" s="99"/>
    </row>
    <row r="22" spans="1:178" ht="12" hidden="1" customHeight="1">
      <c r="A22" s="76" t="s">
        <v>376</v>
      </c>
      <c r="B22" s="76" t="s">
        <v>629</v>
      </c>
      <c r="C22" s="106">
        <v>8809020349371</v>
      </c>
      <c r="D22" s="77" t="s">
        <v>630</v>
      </c>
      <c r="E22" s="76" t="s">
        <v>612</v>
      </c>
      <c r="F22" s="98"/>
      <c r="G22" s="99">
        <v>8809020349418</v>
      </c>
      <c r="H22" s="85">
        <v>11862</v>
      </c>
    </row>
    <row r="23" spans="1:178" s="76" customFormat="1" ht="12.6" hidden="1" customHeight="1">
      <c r="A23" s="76" t="s">
        <v>376</v>
      </c>
      <c r="B23" s="76" t="s">
        <v>613</v>
      </c>
      <c r="C23" s="106">
        <v>8809020349388</v>
      </c>
      <c r="D23" s="77" t="s">
        <v>631</v>
      </c>
      <c r="E23" s="76" t="s">
        <v>613</v>
      </c>
      <c r="G23" s="81"/>
      <c r="H23" s="85"/>
      <c r="I23" s="87"/>
      <c r="J23" s="88"/>
      <c r="K23" s="88"/>
      <c r="L23" s="88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</row>
    <row r="24" spans="1:178" s="76" customFormat="1" ht="12.6" hidden="1" customHeight="1">
      <c r="A24" s="76" t="s">
        <v>376</v>
      </c>
      <c r="B24" s="76" t="s">
        <v>614</v>
      </c>
      <c r="C24" s="106">
        <v>8809020349418</v>
      </c>
      <c r="D24" s="77" t="s">
        <v>632</v>
      </c>
      <c r="E24" s="76" t="s">
        <v>617</v>
      </c>
      <c r="G24" s="81">
        <v>8809020349388</v>
      </c>
      <c r="H24" s="85">
        <v>11862</v>
      </c>
      <c r="I24" s="85"/>
      <c r="J24" s="86"/>
      <c r="K24" s="86"/>
      <c r="L24" s="86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</row>
    <row r="25" spans="1:178" s="76" customFormat="1" ht="12.6" hidden="1" customHeight="1">
      <c r="A25" s="76" t="s">
        <v>376</v>
      </c>
      <c r="B25" s="76" t="s">
        <v>531</v>
      </c>
      <c r="C25" s="106">
        <v>8809020349784</v>
      </c>
      <c r="D25" s="77" t="s">
        <v>645</v>
      </c>
      <c r="E25" s="76" t="s">
        <v>531</v>
      </c>
      <c r="F25" s="97"/>
      <c r="G25" s="104"/>
      <c r="H25" s="85"/>
      <c r="I25" s="87"/>
      <c r="J25" s="88"/>
      <c r="K25" s="88"/>
      <c r="L25" s="88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</row>
    <row r="26" spans="1:178" ht="12" hidden="1" customHeight="1">
      <c r="A26" s="76" t="s">
        <v>376</v>
      </c>
      <c r="B26" s="76" t="s">
        <v>530</v>
      </c>
      <c r="C26" s="106">
        <v>8809020349777</v>
      </c>
      <c r="D26" s="77" t="s">
        <v>596</v>
      </c>
      <c r="E26" s="76" t="s">
        <v>584</v>
      </c>
    </row>
    <row r="27" spans="1:178" s="76" customFormat="1" ht="12.6" hidden="1" customHeight="1">
      <c r="A27" s="76" t="s">
        <v>376</v>
      </c>
      <c r="B27" s="76" t="s">
        <v>529</v>
      </c>
      <c r="C27" s="106">
        <v>8809020349791</v>
      </c>
      <c r="D27" s="77" t="s">
        <v>609</v>
      </c>
      <c r="E27" s="76" t="s">
        <v>529</v>
      </c>
      <c r="F27" s="97"/>
      <c r="G27" s="104"/>
      <c r="H27" s="85"/>
      <c r="I27" s="87"/>
      <c r="J27" s="88"/>
      <c r="K27" s="88"/>
      <c r="L27" s="88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</row>
    <row r="28" spans="1:178" s="76" customFormat="1" ht="12.6" hidden="1" customHeight="1">
      <c r="A28" s="76" t="s">
        <v>376</v>
      </c>
      <c r="B28" s="76" t="s">
        <v>14</v>
      </c>
      <c r="C28" s="106">
        <v>8809020349166</v>
      </c>
      <c r="D28" s="77" t="s">
        <v>956</v>
      </c>
      <c r="E28" s="76" t="s">
        <v>360</v>
      </c>
      <c r="F28" s="81" t="s">
        <v>421</v>
      </c>
      <c r="G28" s="81"/>
      <c r="H28" s="87">
        <v>10057</v>
      </c>
      <c r="I28" s="140" t="s">
        <v>687</v>
      </c>
      <c r="J28" s="88"/>
      <c r="K28" s="88"/>
      <c r="L28" s="88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</row>
    <row r="29" spans="1:178" s="76" customFormat="1" ht="12.6" hidden="1" customHeight="1">
      <c r="A29" s="76" t="s">
        <v>376</v>
      </c>
      <c r="B29" s="76" t="s">
        <v>24</v>
      </c>
      <c r="C29" s="106">
        <v>8809020349067</v>
      </c>
      <c r="D29" s="77" t="s">
        <v>633</v>
      </c>
      <c r="E29" s="76" t="s">
        <v>417</v>
      </c>
      <c r="F29" s="80" t="s">
        <v>537</v>
      </c>
      <c r="G29" s="81"/>
      <c r="H29" s="85">
        <v>11346</v>
      </c>
      <c r="I29" s="85"/>
      <c r="J29" s="86"/>
      <c r="K29" s="86"/>
      <c r="L29" s="86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</row>
    <row r="30" spans="1:178" s="76" customFormat="1" ht="12.6" hidden="1" customHeight="1">
      <c r="A30" s="76" t="s">
        <v>376</v>
      </c>
      <c r="B30" s="76" t="s">
        <v>20</v>
      </c>
      <c r="C30" s="106">
        <v>8809020349050</v>
      </c>
      <c r="D30" s="77" t="s">
        <v>521</v>
      </c>
      <c r="E30" s="76" t="s">
        <v>382</v>
      </c>
      <c r="F30" s="77" t="s">
        <v>521</v>
      </c>
      <c r="G30" s="81"/>
      <c r="H30" s="87">
        <v>11346</v>
      </c>
      <c r="I30" s="85"/>
      <c r="J30" s="86"/>
      <c r="K30" s="86"/>
      <c r="L30" s="86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</row>
    <row r="31" spans="1:178" s="76" customFormat="1" ht="12.6" hidden="1" customHeight="1">
      <c r="A31" s="76" t="s">
        <v>376</v>
      </c>
      <c r="B31" s="76" t="s">
        <v>528</v>
      </c>
      <c r="C31" s="106">
        <v>8809020349906</v>
      </c>
      <c r="D31" s="77" t="s">
        <v>634</v>
      </c>
      <c r="E31" s="76" t="s">
        <v>528</v>
      </c>
      <c r="F31" s="77"/>
      <c r="G31" s="104"/>
      <c r="H31" s="85"/>
      <c r="I31" s="85"/>
      <c r="J31" s="86"/>
      <c r="K31" s="86"/>
      <c r="L31" s="86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</row>
    <row r="32" spans="1:178" s="76" customFormat="1" ht="12.6" hidden="1" customHeight="1">
      <c r="A32" s="76" t="s">
        <v>376</v>
      </c>
      <c r="B32" s="76" t="s">
        <v>525</v>
      </c>
      <c r="C32" s="106">
        <v>8809020349968</v>
      </c>
      <c r="D32" s="77" t="s">
        <v>667</v>
      </c>
      <c r="E32" s="76" t="s">
        <v>525</v>
      </c>
      <c r="F32" s="77" t="s">
        <v>603</v>
      </c>
      <c r="G32" s="77" t="s">
        <v>660</v>
      </c>
      <c r="H32" s="85"/>
      <c r="I32" s="87"/>
      <c r="J32" s="88"/>
      <c r="K32" s="88"/>
      <c r="L32" s="88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</row>
    <row r="33" spans="1:178" s="76" customFormat="1" ht="12.6" hidden="1" customHeight="1">
      <c r="A33" s="76" t="s">
        <v>376</v>
      </c>
      <c r="B33" s="76" t="s">
        <v>23</v>
      </c>
      <c r="C33" s="106">
        <v>8809020349036</v>
      </c>
      <c r="D33" s="130" t="s">
        <v>620</v>
      </c>
      <c r="E33" s="76" t="s">
        <v>416</v>
      </c>
      <c r="F33" s="80" t="s">
        <v>620</v>
      </c>
      <c r="G33" s="81"/>
      <c r="H33" s="87">
        <v>7220</v>
      </c>
      <c r="I33" s="87"/>
      <c r="J33" s="88"/>
      <c r="K33" s="88"/>
      <c r="L33" s="88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</row>
    <row r="34" spans="1:178" s="76" customFormat="1" ht="12.6" hidden="1" customHeight="1">
      <c r="A34" s="76" t="s">
        <v>376</v>
      </c>
      <c r="B34" s="76" t="s">
        <v>21</v>
      </c>
      <c r="C34" s="106">
        <v>8809020349074</v>
      </c>
      <c r="D34" s="77" t="s">
        <v>635</v>
      </c>
      <c r="E34" s="76" t="s">
        <v>418</v>
      </c>
      <c r="F34" s="80" t="s">
        <v>17</v>
      </c>
      <c r="G34" s="81"/>
      <c r="H34" s="85"/>
      <c r="I34" s="85"/>
      <c r="J34" s="86"/>
      <c r="K34" s="86"/>
      <c r="L34" s="86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</row>
    <row r="35" spans="1:178" ht="12" hidden="1" customHeight="1">
      <c r="A35" s="76" t="s">
        <v>376</v>
      </c>
      <c r="B35" s="76" t="s">
        <v>385</v>
      </c>
      <c r="C35" s="106">
        <v>8809020349203</v>
      </c>
      <c r="D35" s="77" t="s">
        <v>646</v>
      </c>
      <c r="E35" s="76" t="s">
        <v>362</v>
      </c>
      <c r="F35" s="99" t="s">
        <v>383</v>
      </c>
      <c r="G35" s="99"/>
      <c r="H35" s="87"/>
    </row>
    <row r="36" spans="1:178" ht="12" hidden="1" customHeight="1">
      <c r="A36" s="76" t="s">
        <v>376</v>
      </c>
      <c r="B36" s="76" t="s">
        <v>26</v>
      </c>
      <c r="C36" s="106">
        <v>8809020349142</v>
      </c>
      <c r="D36" s="77" t="s">
        <v>608</v>
      </c>
      <c r="E36" s="76" t="s">
        <v>28</v>
      </c>
      <c r="F36" s="96" t="s">
        <v>378</v>
      </c>
      <c r="G36" s="99"/>
    </row>
    <row r="37" spans="1:178" ht="12" hidden="1" customHeight="1">
      <c r="A37" s="76" t="s">
        <v>376</v>
      </c>
      <c r="B37" s="76" t="s">
        <v>25</v>
      </c>
      <c r="C37" s="106">
        <v>8809020349135</v>
      </c>
      <c r="D37" s="77" t="s">
        <v>337</v>
      </c>
      <c r="E37" s="76" t="s">
        <v>27</v>
      </c>
      <c r="F37" s="96" t="s">
        <v>337</v>
      </c>
      <c r="G37" s="99"/>
      <c r="H37" s="87"/>
      <c r="I37" s="87"/>
      <c r="J37" s="88"/>
      <c r="K37" s="88"/>
      <c r="L37" s="88"/>
    </row>
    <row r="38" spans="1:178" s="116" customFormat="1" ht="12" hidden="1" customHeight="1">
      <c r="B38" s="76"/>
      <c r="C38" s="106">
        <v>8809020349944</v>
      </c>
      <c r="D38" s="77" t="s">
        <v>637</v>
      </c>
      <c r="E38" s="76" t="s">
        <v>602</v>
      </c>
      <c r="F38" s="117"/>
      <c r="H38" s="114"/>
      <c r="I38" s="114"/>
      <c r="J38" s="115"/>
      <c r="K38" s="115"/>
      <c r="L38" s="115"/>
    </row>
    <row r="39" spans="1:178" ht="12" hidden="1" customHeight="1">
      <c r="A39" s="93" t="s">
        <v>569</v>
      </c>
      <c r="B39" s="93" t="s">
        <v>559</v>
      </c>
      <c r="C39" s="106">
        <v>8809020342419</v>
      </c>
      <c r="D39" s="93" t="s">
        <v>638</v>
      </c>
      <c r="E39" s="93" t="s">
        <v>550</v>
      </c>
      <c r="F39" s="96" t="s">
        <v>915</v>
      </c>
      <c r="G39" s="100" t="s">
        <v>556</v>
      </c>
      <c r="H39" s="87"/>
    </row>
    <row r="40" spans="1:178" s="76" customFormat="1" ht="12" hidden="1" customHeight="1">
      <c r="A40" s="93" t="s">
        <v>569</v>
      </c>
      <c r="B40" s="93" t="s">
        <v>413</v>
      </c>
      <c r="C40" s="106">
        <v>8809020342211</v>
      </c>
      <c r="D40" s="93" t="s">
        <v>625</v>
      </c>
      <c r="E40" s="93" t="s">
        <v>555</v>
      </c>
      <c r="F40" s="96" t="s">
        <v>915</v>
      </c>
      <c r="G40" s="102" t="s">
        <v>557</v>
      </c>
      <c r="H40" s="87"/>
      <c r="I40" s="85"/>
      <c r="J40" s="86"/>
      <c r="K40" s="86"/>
      <c r="L40" s="86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</row>
    <row r="41" spans="1:178" s="76" customFormat="1" ht="12" hidden="1" customHeight="1">
      <c r="A41" s="93" t="s">
        <v>569</v>
      </c>
      <c r="B41" s="93" t="s">
        <v>561</v>
      </c>
      <c r="C41" s="106">
        <v>8809020342310</v>
      </c>
      <c r="D41" s="93" t="s">
        <v>626</v>
      </c>
      <c r="E41" s="93" t="s">
        <v>505</v>
      </c>
      <c r="F41" s="96" t="s">
        <v>915</v>
      </c>
      <c r="G41" s="102" t="s">
        <v>556</v>
      </c>
      <c r="H41" s="87"/>
      <c r="I41" s="85"/>
      <c r="J41" s="86"/>
      <c r="K41" s="86"/>
      <c r="L41" s="86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</row>
    <row r="42" spans="1:178" s="76" customFormat="1" ht="12" hidden="1" customHeight="1">
      <c r="A42" s="93" t="s">
        <v>569</v>
      </c>
      <c r="B42" s="93" t="s">
        <v>566</v>
      </c>
      <c r="C42" s="106">
        <v>8809020340415</v>
      </c>
      <c r="D42" s="93" t="s">
        <v>572</v>
      </c>
      <c r="E42" s="93" t="s">
        <v>566</v>
      </c>
      <c r="F42" s="80"/>
      <c r="G42" s="102"/>
      <c r="H42" s="87"/>
      <c r="I42" s="85"/>
      <c r="J42" s="86"/>
      <c r="K42" s="86"/>
      <c r="L42" s="86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</row>
    <row r="43" spans="1:178" s="78" customFormat="1" ht="12.6" hidden="1" customHeight="1">
      <c r="A43" s="93" t="s">
        <v>569</v>
      </c>
      <c r="B43" s="93" t="s">
        <v>565</v>
      </c>
      <c r="C43" s="106">
        <v>8809020340408</v>
      </c>
      <c r="D43" s="93" t="s">
        <v>571</v>
      </c>
      <c r="E43" s="93" t="s">
        <v>565</v>
      </c>
      <c r="F43" s="80"/>
      <c r="G43" s="102"/>
      <c r="H43" s="87"/>
      <c r="I43" s="85"/>
      <c r="J43" s="86"/>
      <c r="K43" s="86"/>
      <c r="L43" s="86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  <c r="FU43" s="81"/>
      <c r="FV43" s="81"/>
    </row>
    <row r="44" spans="1:178" s="78" customFormat="1" ht="12.6" hidden="1" customHeight="1">
      <c r="A44" s="93" t="s">
        <v>569</v>
      </c>
      <c r="B44" s="93" t="s">
        <v>567</v>
      </c>
      <c r="C44" s="106">
        <v>8809020340392</v>
      </c>
      <c r="D44" s="93" t="s">
        <v>570</v>
      </c>
      <c r="E44" s="93" t="s">
        <v>567</v>
      </c>
      <c r="F44" s="80"/>
      <c r="G44" s="102"/>
      <c r="H44" s="87"/>
      <c r="I44" s="85"/>
      <c r="J44" s="86"/>
      <c r="K44" s="86"/>
      <c r="L44" s="86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  <c r="FU44" s="81"/>
      <c r="FV44" s="81"/>
    </row>
    <row r="45" spans="1:178" s="78" customFormat="1" ht="12.6" hidden="1" customHeight="1">
      <c r="A45" s="93" t="s">
        <v>569</v>
      </c>
      <c r="B45" s="93" t="s">
        <v>549</v>
      </c>
      <c r="C45" s="106">
        <v>8809020340279</v>
      </c>
      <c r="D45" s="93" t="s">
        <v>551</v>
      </c>
      <c r="E45" s="93" t="s">
        <v>552</v>
      </c>
      <c r="F45" s="80"/>
      <c r="G45" s="102" t="s">
        <v>556</v>
      </c>
      <c r="H45" s="87"/>
      <c r="I45" s="85"/>
      <c r="J45" s="86"/>
      <c r="K45" s="86"/>
      <c r="L45" s="86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  <c r="FU45" s="81"/>
      <c r="FV45" s="81"/>
    </row>
    <row r="46" spans="1:178" s="78" customFormat="1" ht="12.6" hidden="1" customHeight="1">
      <c r="A46" s="93" t="s">
        <v>569</v>
      </c>
      <c r="B46" s="93" t="s">
        <v>579</v>
      </c>
      <c r="C46" s="106">
        <v>8809020344444</v>
      </c>
      <c r="D46" s="93" t="s">
        <v>331</v>
      </c>
      <c r="E46" s="93" t="s">
        <v>509</v>
      </c>
      <c r="F46" s="80"/>
      <c r="G46" s="102" t="s">
        <v>558</v>
      </c>
      <c r="H46" s="87"/>
      <c r="I46" s="85"/>
      <c r="J46" s="86"/>
      <c r="K46" s="86"/>
      <c r="L46" s="86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  <c r="FU46" s="81"/>
      <c r="FV46" s="81"/>
    </row>
    <row r="47" spans="1:178" s="78" customFormat="1" ht="12.6" hidden="1" customHeight="1">
      <c r="A47" s="93" t="s">
        <v>569</v>
      </c>
      <c r="B47" s="93" t="s">
        <v>564</v>
      </c>
      <c r="C47" s="106">
        <v>8809020344451</v>
      </c>
      <c r="D47" s="93" t="s">
        <v>340</v>
      </c>
      <c r="E47" s="93" t="s">
        <v>510</v>
      </c>
      <c r="F47" s="80"/>
      <c r="G47" s="102" t="s">
        <v>558</v>
      </c>
      <c r="H47" s="87"/>
      <c r="I47" s="85"/>
      <c r="J47" s="86"/>
      <c r="K47" s="86"/>
      <c r="L47" s="86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</row>
    <row r="48" spans="1:178" s="78" customFormat="1" ht="12.6" hidden="1" customHeight="1">
      <c r="A48" s="93" t="s">
        <v>569</v>
      </c>
      <c r="B48" s="93" t="s">
        <v>578</v>
      </c>
      <c r="C48" s="106">
        <v>8809020344468</v>
      </c>
      <c r="D48" s="93" t="s">
        <v>372</v>
      </c>
      <c r="E48" s="93" t="s">
        <v>508</v>
      </c>
      <c r="F48" s="80"/>
      <c r="G48" s="102" t="s">
        <v>556</v>
      </c>
      <c r="H48" t="s">
        <v>413</v>
      </c>
      <c r="I48" s="85"/>
      <c r="J48" s="86"/>
      <c r="K48" s="86"/>
      <c r="L48" s="86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  <c r="FU48" s="81"/>
      <c r="FV48" s="81"/>
    </row>
    <row r="49" spans="1:178" s="78" customFormat="1" ht="12.6" hidden="1" customHeight="1">
      <c r="A49" s="93" t="s">
        <v>569</v>
      </c>
      <c r="B49" s="93" t="s">
        <v>580</v>
      </c>
      <c r="C49" s="106">
        <v>8809020344192</v>
      </c>
      <c r="D49" s="93" t="s">
        <v>371</v>
      </c>
      <c r="E49" s="93" t="s">
        <v>507</v>
      </c>
      <c r="F49" s="80"/>
      <c r="G49" s="102" t="s">
        <v>556</v>
      </c>
      <c r="H49" t="s">
        <v>549</v>
      </c>
      <c r="I49" s="85"/>
      <c r="J49" s="86"/>
      <c r="K49" s="86"/>
      <c r="L49" s="86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  <c r="FU49" s="81"/>
      <c r="FV49" s="81"/>
    </row>
    <row r="50" spans="1:178" s="78" customFormat="1" ht="12.6" hidden="1" customHeight="1">
      <c r="A50" s="93" t="s">
        <v>569</v>
      </c>
      <c r="B50" s="93" t="s">
        <v>560</v>
      </c>
      <c r="C50" s="106">
        <v>8809020344048</v>
      </c>
      <c r="D50" s="93" t="s">
        <v>398</v>
      </c>
      <c r="E50" s="93" t="s">
        <v>506</v>
      </c>
      <c r="F50" s="80"/>
      <c r="G50" s="102" t="s">
        <v>556</v>
      </c>
      <c r="H50" t="s">
        <v>559</v>
      </c>
      <c r="I50" s="85"/>
      <c r="J50" s="86"/>
      <c r="K50" s="86"/>
      <c r="L50" s="86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  <c r="FU50" s="81"/>
      <c r="FV50" s="81"/>
    </row>
    <row r="51" spans="1:178" s="78" customFormat="1" ht="12" hidden="1" customHeight="1">
      <c r="A51" s="93" t="s">
        <v>569</v>
      </c>
      <c r="B51" s="93" t="s">
        <v>568</v>
      </c>
      <c r="C51" s="106">
        <v>8809020344123</v>
      </c>
      <c r="D51" s="93" t="s">
        <v>328</v>
      </c>
      <c r="E51" s="93" t="s">
        <v>554</v>
      </c>
      <c r="F51" s="80"/>
      <c r="G51" s="102" t="s">
        <v>556</v>
      </c>
      <c r="H51" s="87"/>
      <c r="I51" s="85"/>
      <c r="J51" s="86"/>
      <c r="K51" s="86"/>
      <c r="L51" s="86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  <c r="FU51" s="81"/>
      <c r="FV51" s="81"/>
    </row>
    <row r="52" spans="1:178" s="79" customFormat="1" ht="12" hidden="1" customHeight="1">
      <c r="A52" s="93" t="s">
        <v>569</v>
      </c>
      <c r="B52" s="93" t="s">
        <v>562</v>
      </c>
      <c r="C52" s="106">
        <v>8809020348992</v>
      </c>
      <c r="D52" s="93" t="s">
        <v>676</v>
      </c>
      <c r="E52" s="93" t="s">
        <v>562</v>
      </c>
      <c r="F52" s="80"/>
      <c r="G52" s="100" t="s">
        <v>558</v>
      </c>
      <c r="H52" s="87"/>
      <c r="I52" s="85"/>
      <c r="J52" s="86"/>
      <c r="K52" s="86"/>
      <c r="L52" s="86"/>
    </row>
    <row r="53" spans="1:178" s="79" customFormat="1" ht="12" hidden="1" customHeight="1">
      <c r="A53" s="93" t="s">
        <v>569</v>
      </c>
      <c r="B53" s="93" t="s">
        <v>563</v>
      </c>
      <c r="C53" s="106">
        <v>8809020344239</v>
      </c>
      <c r="D53" s="93" t="s">
        <v>379</v>
      </c>
      <c r="E53" s="93" t="s">
        <v>553</v>
      </c>
      <c r="F53" s="80"/>
      <c r="G53" s="100" t="s">
        <v>556</v>
      </c>
      <c r="H53" s="87"/>
      <c r="I53" s="85"/>
      <c r="J53" s="86"/>
      <c r="K53" s="86"/>
      <c r="L53" s="86"/>
    </row>
    <row r="54" spans="1:178" s="79" customFormat="1" ht="12" hidden="1" customHeight="1">
      <c r="A54" s="93" t="s">
        <v>569</v>
      </c>
      <c r="B54" s="93" t="s">
        <v>518</v>
      </c>
      <c r="C54" s="106">
        <v>8809020349821</v>
      </c>
      <c r="D54" s="93" t="s">
        <v>516</v>
      </c>
      <c r="E54" s="93" t="s">
        <v>517</v>
      </c>
      <c r="F54" s="97"/>
      <c r="G54"/>
      <c r="H54" s="85"/>
      <c r="I54" s="85"/>
      <c r="J54" s="86"/>
      <c r="K54" s="86"/>
      <c r="L54" s="86"/>
    </row>
    <row r="55" spans="1:178" s="79" customFormat="1" ht="12" hidden="1" customHeight="1">
      <c r="A55" s="93" t="s">
        <v>569</v>
      </c>
      <c r="B55" s="93" t="s">
        <v>519</v>
      </c>
      <c r="C55" s="106">
        <v>8809020349814</v>
      </c>
      <c r="D55" s="93" t="s">
        <v>514</v>
      </c>
      <c r="E55" s="93" t="s">
        <v>515</v>
      </c>
      <c r="F55" s="97"/>
      <c r="G55"/>
      <c r="H55" s="85"/>
      <c r="I55" s="85"/>
      <c r="J55" s="86"/>
      <c r="K55" s="86"/>
      <c r="L55" s="86"/>
    </row>
    <row r="56" spans="1:178" s="79" customFormat="1" ht="12" hidden="1" customHeight="1">
      <c r="A56" s="93" t="s">
        <v>569</v>
      </c>
      <c r="B56" s="93" t="s">
        <v>520</v>
      </c>
      <c r="C56" s="106">
        <v>8809020349807</v>
      </c>
      <c r="D56" s="93" t="s">
        <v>512</v>
      </c>
      <c r="E56" s="93" t="s">
        <v>513</v>
      </c>
      <c r="F56" s="97"/>
      <c r="G56"/>
      <c r="H56" s="85"/>
      <c r="I56" s="85"/>
      <c r="J56" s="86"/>
      <c r="K56" s="86"/>
      <c r="L56" s="86"/>
    </row>
    <row r="57" spans="1:178" s="79" customFormat="1" ht="12" customHeight="1">
      <c r="A57" s="74" t="s">
        <v>374</v>
      </c>
      <c r="B57" s="74" t="s">
        <v>22</v>
      </c>
      <c r="C57" s="106">
        <v>8809020345229</v>
      </c>
      <c r="D57" s="75" t="s">
        <v>708</v>
      </c>
      <c r="E57" s="74" t="s">
        <v>16</v>
      </c>
      <c r="F57" s="80" t="s">
        <v>708</v>
      </c>
      <c r="G57" s="99"/>
      <c r="H57" s="85"/>
      <c r="I57" s="87"/>
      <c r="J57" s="88"/>
      <c r="K57" s="88"/>
      <c r="L57" s="88"/>
    </row>
    <row r="58" spans="1:178" ht="12" hidden="1" customHeight="1">
      <c r="A58" s="74" t="s">
        <v>374</v>
      </c>
      <c r="B58" s="74" t="s">
        <v>336</v>
      </c>
      <c r="C58" s="106">
        <v>8809020345212</v>
      </c>
      <c r="D58" s="75" t="s">
        <v>703</v>
      </c>
      <c r="E58" s="74" t="s">
        <v>430</v>
      </c>
      <c r="F58" s="96" t="s">
        <v>344</v>
      </c>
      <c r="G58" s="99"/>
      <c r="H58" s="85" t="s">
        <v>908</v>
      </c>
      <c r="I58" s="87"/>
      <c r="J58" s="88"/>
      <c r="K58" s="88"/>
      <c r="L58" s="88"/>
    </row>
    <row r="59" spans="1:178" ht="12" hidden="1" customHeight="1">
      <c r="A59" s="74" t="s">
        <v>374</v>
      </c>
      <c r="B59" s="74" t="s">
        <v>541</v>
      </c>
      <c r="C59" s="106">
        <v>8809020348978</v>
      </c>
      <c r="D59" s="75" t="s">
        <v>543</v>
      </c>
      <c r="E59" s="74" t="s">
        <v>544</v>
      </c>
      <c r="F59" s="96" t="s">
        <v>345</v>
      </c>
      <c r="G59" s="99"/>
    </row>
    <row r="60" spans="1:178" s="109" customFormat="1" ht="12" hidden="1" customHeight="1">
      <c r="B60" s="110" t="s">
        <v>539</v>
      </c>
      <c r="C60" s="111">
        <v>8809020340132</v>
      </c>
      <c r="D60" s="110" t="s">
        <v>540</v>
      </c>
      <c r="E60" s="110" t="s">
        <v>539</v>
      </c>
      <c r="F60" s="112"/>
      <c r="H60" s="113">
        <v>8809020349661</v>
      </c>
      <c r="I60" s="114" t="s">
        <v>542</v>
      </c>
      <c r="J60" s="115"/>
      <c r="K60" s="115"/>
      <c r="L60" s="115"/>
    </row>
    <row r="61" spans="1:178" s="109" customFormat="1" ht="12" hidden="1" customHeight="1">
      <c r="B61" s="110" t="s">
        <v>542</v>
      </c>
      <c r="C61" s="111">
        <v>8809020349661</v>
      </c>
      <c r="D61" s="110" t="s">
        <v>547</v>
      </c>
      <c r="E61" s="110" t="s">
        <v>548</v>
      </c>
      <c r="F61" s="112"/>
      <c r="H61" s="113">
        <v>8809020349777</v>
      </c>
      <c r="I61" s="114" t="s">
        <v>530</v>
      </c>
      <c r="J61" s="115"/>
      <c r="K61" s="115"/>
      <c r="L61" s="115"/>
    </row>
    <row r="62" spans="1:178" s="109" customFormat="1" ht="12" hidden="1" customHeight="1">
      <c r="B62" s="110" t="s">
        <v>542</v>
      </c>
      <c r="C62" s="111">
        <v>8809020349654</v>
      </c>
      <c r="D62" s="110" t="s">
        <v>545</v>
      </c>
      <c r="E62" s="110" t="s">
        <v>546</v>
      </c>
      <c r="F62" s="112"/>
      <c r="H62" s="113">
        <v>8809020348978</v>
      </c>
      <c r="I62" s="114" t="s">
        <v>541</v>
      </c>
      <c r="J62" s="115"/>
      <c r="K62" s="115"/>
      <c r="L62" s="115"/>
    </row>
    <row r="63" spans="1:178" ht="12" hidden="1" customHeight="1">
      <c r="C63" s="119">
        <v>8809020340712</v>
      </c>
      <c r="D63" s="5" t="s">
        <v>627</v>
      </c>
      <c r="E63" s="5" t="s">
        <v>606</v>
      </c>
    </row>
    <row r="64" spans="1:178" ht="12" hidden="1" customHeight="1">
      <c r="C64" s="119">
        <v>8809020340705</v>
      </c>
      <c r="D64" s="5" t="s">
        <v>618</v>
      </c>
      <c r="E64" s="5" t="s">
        <v>607</v>
      </c>
    </row>
    <row r="65" spans="3:7" ht="12" customHeight="1">
      <c r="D65" s="5" t="s">
        <v>641</v>
      </c>
    </row>
    <row r="66" spans="3:7" ht="12" customHeight="1">
      <c r="D66" s="5" t="s">
        <v>661</v>
      </c>
      <c r="E66" s="5" t="s">
        <v>662</v>
      </c>
    </row>
    <row r="67" spans="3:7" ht="12" customHeight="1">
      <c r="C67" s="119">
        <v>8809020341207</v>
      </c>
      <c r="D67" s="5" t="s">
        <v>656</v>
      </c>
      <c r="E67" s="5" t="s">
        <v>652</v>
      </c>
      <c r="G67">
        <v>5</v>
      </c>
    </row>
    <row r="68" spans="3:7" ht="12" customHeight="1">
      <c r="C68" s="119">
        <v>8809020341627</v>
      </c>
      <c r="D68" s="5" t="s">
        <v>657</v>
      </c>
      <c r="E68" s="5" t="s">
        <v>653</v>
      </c>
      <c r="G68">
        <v>12</v>
      </c>
    </row>
    <row r="69" spans="3:7" ht="12" customHeight="1">
      <c r="C69" s="119">
        <v>8809020341634</v>
      </c>
      <c r="D69" s="5" t="s">
        <v>658</v>
      </c>
      <c r="E69" s="5" t="s">
        <v>654</v>
      </c>
      <c r="G69">
        <v>12</v>
      </c>
    </row>
    <row r="70" spans="3:7" ht="12" customHeight="1">
      <c r="C70" s="119">
        <v>8809020341641</v>
      </c>
      <c r="D70" s="5" t="s">
        <v>749</v>
      </c>
      <c r="E70" s="5" t="s">
        <v>655</v>
      </c>
      <c r="G70">
        <v>12</v>
      </c>
    </row>
    <row r="71" spans="3:7" ht="12" customHeight="1">
      <c r="C71" s="119">
        <v>8809020341054</v>
      </c>
      <c r="D71" s="5" t="s">
        <v>671</v>
      </c>
      <c r="E71" s="5" t="s">
        <v>668</v>
      </c>
      <c r="F71" s="48" t="s">
        <v>674</v>
      </c>
      <c r="G71">
        <v>12</v>
      </c>
    </row>
    <row r="72" spans="3:7" ht="12" customHeight="1">
      <c r="C72" s="119">
        <v>8809020341061</v>
      </c>
      <c r="D72" s="5" t="s">
        <v>672</v>
      </c>
      <c r="E72" s="5" t="s">
        <v>669</v>
      </c>
      <c r="F72" s="48" t="s">
        <v>674</v>
      </c>
      <c r="G72">
        <v>12</v>
      </c>
    </row>
    <row r="73" spans="3:7" ht="12" customHeight="1">
      <c r="C73" s="119">
        <v>8809020341771</v>
      </c>
      <c r="D73" s="5" t="s">
        <v>673</v>
      </c>
      <c r="E73" s="5" t="s">
        <v>670</v>
      </c>
      <c r="F73" s="48" t="s">
        <v>674</v>
      </c>
      <c r="G73">
        <v>12</v>
      </c>
    </row>
    <row r="74" spans="3:7" ht="12" customHeight="1">
      <c r="C74" s="119">
        <v>8809020341788</v>
      </c>
      <c r="D74" s="5" t="s">
        <v>677</v>
      </c>
      <c r="E74" s="5" t="s">
        <v>675</v>
      </c>
      <c r="F74" s="48" t="s">
        <v>674</v>
      </c>
      <c r="G74">
        <v>12</v>
      </c>
    </row>
    <row r="75" spans="3:7" ht="12" customHeight="1">
      <c r="C75" s="119">
        <v>8809020341801</v>
      </c>
      <c r="D75" s="5" t="s">
        <v>679</v>
      </c>
      <c r="E75" s="5" t="s">
        <v>678</v>
      </c>
      <c r="F75" s="134">
        <v>0.5625</v>
      </c>
      <c r="G75">
        <v>12</v>
      </c>
    </row>
    <row r="76" spans="3:7" ht="12" customHeight="1">
      <c r="C76" s="69">
        <v>8809020342488</v>
      </c>
      <c r="D76" s="5" t="s">
        <v>693</v>
      </c>
      <c r="E76" s="5" t="s">
        <v>689</v>
      </c>
      <c r="F76" s="48" t="s">
        <v>694</v>
      </c>
      <c r="G76">
        <v>6</v>
      </c>
    </row>
    <row r="77" spans="3:7" ht="12" customHeight="1">
      <c r="C77" s="69">
        <v>8809020342471</v>
      </c>
      <c r="D77" s="5" t="s">
        <v>695</v>
      </c>
      <c r="E77" s="5" t="s">
        <v>690</v>
      </c>
      <c r="F77" s="48" t="s">
        <v>694</v>
      </c>
      <c r="G77">
        <v>6</v>
      </c>
    </row>
    <row r="78" spans="3:7" ht="12" customHeight="1">
      <c r="C78" s="69">
        <v>8809020342457</v>
      </c>
      <c r="D78" s="5" t="s">
        <v>696</v>
      </c>
      <c r="E78" s="5" t="s">
        <v>692</v>
      </c>
      <c r="F78" s="48" t="s">
        <v>694</v>
      </c>
      <c r="G78">
        <v>6</v>
      </c>
    </row>
    <row r="79" spans="3:7" ht="12" customHeight="1">
      <c r="C79" s="69">
        <v>8809020342464</v>
      </c>
      <c r="D79" s="5" t="s">
        <v>697</v>
      </c>
      <c r="E79" s="5" t="s">
        <v>691</v>
      </c>
      <c r="F79" s="48" t="s">
        <v>694</v>
      </c>
      <c r="G79">
        <v>6</v>
      </c>
    </row>
    <row r="80" spans="3:7" ht="12" customHeight="1">
      <c r="C80" s="144">
        <v>8809020342518</v>
      </c>
      <c r="D80" s="5" t="s">
        <v>912</v>
      </c>
      <c r="E80" s="5" t="s">
        <v>913</v>
      </c>
      <c r="F80" s="48" t="s">
        <v>914</v>
      </c>
    </row>
    <row r="81" spans="3:8" ht="12" customHeight="1">
      <c r="C81" s="144">
        <v>8809020342501</v>
      </c>
      <c r="D81" s="5" t="s">
        <v>918</v>
      </c>
      <c r="E81" s="5" t="s">
        <v>919</v>
      </c>
      <c r="F81" s="48" t="s">
        <v>914</v>
      </c>
    </row>
    <row r="82" spans="3:8" ht="12" customHeight="1">
      <c r="C82" s="144">
        <v>8809020342495</v>
      </c>
      <c r="D82" s="5" t="s">
        <v>916</v>
      </c>
      <c r="E82" s="5" t="s">
        <v>917</v>
      </c>
    </row>
    <row r="83" spans="3:8" ht="12" customHeight="1">
      <c r="C83" s="145">
        <v>8809020342433</v>
      </c>
      <c r="D83" s="5" t="s">
        <v>938</v>
      </c>
      <c r="E83" s="5" t="s">
        <v>948</v>
      </c>
      <c r="F83" s="48" t="s">
        <v>949</v>
      </c>
    </row>
    <row r="84" spans="3:8" ht="12" customHeight="1">
      <c r="C84" s="145">
        <v>8809020342730</v>
      </c>
      <c r="D84" s="5" t="s">
        <v>764</v>
      </c>
      <c r="E84" s="5" t="s">
        <v>950</v>
      </c>
      <c r="F84" s="48" t="s">
        <v>949</v>
      </c>
      <c r="H84" s="89"/>
    </row>
    <row r="85" spans="3:8" ht="12" customHeight="1">
      <c r="C85" s="145">
        <v>8809020342723</v>
      </c>
      <c r="D85" s="5" t="s">
        <v>767</v>
      </c>
      <c r="E85" s="5" t="s">
        <v>951</v>
      </c>
      <c r="F85" s="48" t="s">
        <v>949</v>
      </c>
      <c r="H85" s="89"/>
    </row>
    <row r="86" spans="3:8" ht="12" customHeight="1">
      <c r="C86" s="145">
        <v>8809020343683</v>
      </c>
      <c r="D86" s="5" t="s">
        <v>1030</v>
      </c>
      <c r="E86" s="5" t="s">
        <v>1032</v>
      </c>
      <c r="F86" s="48" t="s">
        <v>1036</v>
      </c>
      <c r="G86">
        <v>12</v>
      </c>
      <c r="H86" s="89"/>
    </row>
    <row r="87" spans="3:8" ht="12" customHeight="1">
      <c r="C87" s="145">
        <v>8809020343690</v>
      </c>
      <c r="D87" s="5" t="s">
        <v>1031</v>
      </c>
      <c r="E87" s="5" t="s">
        <v>1033</v>
      </c>
      <c r="F87" s="48" t="s">
        <v>1036</v>
      </c>
      <c r="G87">
        <v>12</v>
      </c>
      <c r="H87" s="89"/>
    </row>
    <row r="88" spans="3:8" ht="12" customHeight="1">
      <c r="C88" s="145">
        <v>8809020343706</v>
      </c>
      <c r="D88" s="5" t="s">
        <v>1034</v>
      </c>
      <c r="E88" s="5" t="s">
        <v>1035</v>
      </c>
      <c r="F88" s="48" t="s">
        <v>1036</v>
      </c>
      <c r="G88">
        <v>12</v>
      </c>
      <c r="H88" s="89"/>
    </row>
    <row r="89" spans="3:8" ht="12" customHeight="1">
      <c r="C89" s="145">
        <v>8809020348992</v>
      </c>
      <c r="D89" s="5" t="s">
        <v>676</v>
      </c>
      <c r="E89" s="5" t="s">
        <v>1037</v>
      </c>
      <c r="F89" s="48" t="s">
        <v>1036</v>
      </c>
      <c r="G89">
        <v>12</v>
      </c>
      <c r="H89" s="89"/>
    </row>
    <row r="90" spans="3:8" ht="12" customHeight="1">
      <c r="C90" s="145">
        <v>8809020342525</v>
      </c>
      <c r="D90" s="5" t="s">
        <v>1039</v>
      </c>
      <c r="E90" s="5" t="s">
        <v>1040</v>
      </c>
      <c r="F90" s="48" t="s">
        <v>1041</v>
      </c>
      <c r="H90" s="89"/>
    </row>
    <row r="91" spans="3:8" ht="12" customHeight="1">
      <c r="C91" s="145">
        <v>8809020344321</v>
      </c>
      <c r="D91" s="5" t="s">
        <v>1042</v>
      </c>
      <c r="E91" s="5" t="s">
        <v>1043</v>
      </c>
      <c r="F91" s="48" t="s">
        <v>1044</v>
      </c>
      <c r="G91">
        <v>12</v>
      </c>
      <c r="H91" s="89"/>
    </row>
    <row r="92" spans="3:8" ht="12" customHeight="1">
      <c r="H92" s="89"/>
    </row>
    <row r="93" spans="3:8" ht="12" customHeight="1">
      <c r="H93" s="89"/>
    </row>
    <row r="94" spans="3:8" ht="12" customHeight="1">
      <c r="H94" s="89"/>
    </row>
    <row r="95" spans="3:8" ht="12" customHeight="1">
      <c r="H95" s="89"/>
    </row>
    <row r="96" spans="3:8" ht="12" customHeight="1">
      <c r="H96" s="89"/>
    </row>
    <row r="97" spans="8:8" ht="12" customHeight="1">
      <c r="H97" s="89"/>
    </row>
    <row r="98" spans="8:8" ht="12" customHeight="1">
      <c r="H98" s="89"/>
    </row>
    <row r="99" spans="8:8" ht="12" customHeight="1">
      <c r="H99" s="89"/>
    </row>
    <row r="100" spans="8:8" ht="12" customHeight="1">
      <c r="H100" s="89"/>
    </row>
    <row r="204" spans="8:12" ht="12" customHeight="1">
      <c r="H204" s="90"/>
      <c r="I204" s="91"/>
      <c r="J204" s="92"/>
      <c r="K204" s="92"/>
      <c r="L204" s="92"/>
    </row>
    <row r="205" spans="8:12" ht="12" customHeight="1">
      <c r="H205" s="90"/>
      <c r="I205" s="91"/>
      <c r="J205" s="92"/>
      <c r="K205" s="92"/>
      <c r="L205" s="92"/>
    </row>
    <row r="206" spans="8:12" ht="12" customHeight="1">
      <c r="I206" s="91"/>
    </row>
    <row r="207" spans="8:12" ht="12" customHeight="1">
      <c r="I207" s="91"/>
    </row>
    <row r="208" spans="8:12" ht="12" customHeight="1">
      <c r="I208" s="91"/>
    </row>
    <row r="209" spans="9:9" ht="12" customHeight="1">
      <c r="I209" s="91"/>
    </row>
    <row r="210" spans="9:9" ht="12" customHeight="1">
      <c r="I210" s="91"/>
    </row>
  </sheetData>
  <autoFilter ref="A1:G64" xr:uid="{00000000-0009-0000-0000-000005000000}">
    <filterColumn colId="3">
      <filters>
        <filter val="ME00421300"/>
      </filters>
    </filterColumn>
  </autoFilter>
  <sortState xmlns:xlrd2="http://schemas.microsoft.com/office/spreadsheetml/2017/richdata2" ref="A3:L62">
    <sortCondition ref="A3:A62"/>
  </sortState>
  <phoneticPr fontId="91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/>
  <dimension ref="A2:G295"/>
  <sheetViews>
    <sheetView zoomScale="115" zoomScaleNormal="115" workbookViewId="0">
      <pane ySplit="2" topLeftCell="A291" activePane="bottomLeft" state="frozen"/>
      <selection pane="bottomLeft" activeCell="A295" sqref="A295"/>
    </sheetView>
  </sheetViews>
  <sheetFormatPr defaultColWidth="8.8984375" defaultRowHeight="13.2"/>
  <cols>
    <col min="1" max="1" width="11.69921875" style="1" customWidth="1"/>
    <col min="2" max="2" width="8.8984375" style="64"/>
    <col min="3" max="4" width="10.69921875" style="1" customWidth="1"/>
    <col min="5" max="5" width="8.8984375" style="1"/>
    <col min="6" max="6" width="11.296875" style="1" customWidth="1"/>
    <col min="7" max="16384" width="8.8984375" style="1"/>
  </cols>
  <sheetData>
    <row r="2" spans="1:7" ht="15.6">
      <c r="A2" s="20" t="s">
        <v>36</v>
      </c>
      <c r="B2" s="20" t="s">
        <v>35</v>
      </c>
      <c r="E2" s="2">
        <v>81010000</v>
      </c>
      <c r="F2" s="3" t="s">
        <v>177</v>
      </c>
    </row>
    <row r="3" spans="1:7" ht="15.6">
      <c r="A3" s="82" t="s">
        <v>435</v>
      </c>
      <c r="B3" s="82">
        <v>81010928</v>
      </c>
      <c r="E3" s="2"/>
      <c r="F3" s="3"/>
    </row>
    <row r="4" spans="1:7" ht="15.6">
      <c r="A4" s="82" t="s">
        <v>473</v>
      </c>
      <c r="B4" s="82">
        <v>81010928</v>
      </c>
      <c r="E4" s="2"/>
      <c r="F4" s="3"/>
    </row>
    <row r="5" spans="1:7" ht="15.6">
      <c r="A5" s="16" t="s">
        <v>38</v>
      </c>
      <c r="B5" s="55">
        <v>81010001</v>
      </c>
      <c r="C5" s="1">
        <v>81010001</v>
      </c>
      <c r="E5" s="2">
        <v>81010001</v>
      </c>
      <c r="F5" s="3" t="s">
        <v>178</v>
      </c>
    </row>
    <row r="6" spans="1:7" ht="15.6">
      <c r="A6" s="17" t="s">
        <v>422</v>
      </c>
      <c r="B6" s="18">
        <v>81010902</v>
      </c>
      <c r="E6" s="2"/>
      <c r="F6" s="3"/>
    </row>
    <row r="7" spans="1:7" ht="15.6">
      <c r="A7" s="16" t="s">
        <v>39</v>
      </c>
      <c r="B7" s="55">
        <v>81010002</v>
      </c>
      <c r="C7" s="1">
        <v>81010002</v>
      </c>
      <c r="D7" s="1" t="s">
        <v>423</v>
      </c>
      <c r="E7" s="2">
        <v>81010002</v>
      </c>
      <c r="F7" s="3" t="s">
        <v>179</v>
      </c>
      <c r="G7" s="1" t="s">
        <v>472</v>
      </c>
    </row>
    <row r="8" spans="1:7" ht="15.6">
      <c r="A8" s="16" t="s">
        <v>40</v>
      </c>
      <c r="B8" s="55">
        <v>81010003</v>
      </c>
      <c r="E8" s="2">
        <v>81010003</v>
      </c>
      <c r="F8" s="3" t="s">
        <v>180</v>
      </c>
    </row>
    <row r="9" spans="1:7" ht="15.6">
      <c r="A9" s="16" t="s">
        <v>41</v>
      </c>
      <c r="B9" s="55">
        <v>81010004</v>
      </c>
      <c r="E9" s="2">
        <v>81010004</v>
      </c>
      <c r="F9" s="3" t="s">
        <v>181</v>
      </c>
    </row>
    <row r="10" spans="1:7" ht="15.6">
      <c r="A10" s="16" t="s">
        <v>42</v>
      </c>
      <c r="B10" s="55">
        <v>81010005</v>
      </c>
      <c r="C10" s="1">
        <v>81010005</v>
      </c>
      <c r="E10" s="2">
        <v>81010005</v>
      </c>
      <c r="F10" s="3" t="s">
        <v>182</v>
      </c>
    </row>
    <row r="11" spans="1:7" ht="15.6">
      <c r="A11" s="16" t="s">
        <v>43</v>
      </c>
      <c r="B11" s="55">
        <v>81010006</v>
      </c>
      <c r="C11" s="1">
        <v>81010006</v>
      </c>
      <c r="E11" s="2">
        <v>81010006</v>
      </c>
      <c r="F11" s="3" t="s">
        <v>183</v>
      </c>
    </row>
    <row r="12" spans="1:7" ht="15.6">
      <c r="A12" s="16" t="s">
        <v>44</v>
      </c>
      <c r="B12" s="55">
        <v>81010007</v>
      </c>
      <c r="E12" s="2">
        <v>81010007</v>
      </c>
      <c r="F12" s="3" t="s">
        <v>184</v>
      </c>
    </row>
    <row r="13" spans="1:7" ht="15.6">
      <c r="A13" s="16" t="s">
        <v>45</v>
      </c>
      <c r="B13" s="55">
        <v>81010008</v>
      </c>
      <c r="C13" s="1">
        <v>81010008</v>
      </c>
      <c r="E13" s="2">
        <v>81010008</v>
      </c>
      <c r="F13" s="3" t="s">
        <v>185</v>
      </c>
    </row>
    <row r="14" spans="1:7" ht="15.6">
      <c r="A14" s="16" t="s">
        <v>46</v>
      </c>
      <c r="B14" s="55">
        <v>81010009</v>
      </c>
      <c r="E14" s="2">
        <v>81010009</v>
      </c>
      <c r="F14" s="3" t="s">
        <v>186</v>
      </c>
    </row>
    <row r="15" spans="1:7" ht="15.6">
      <c r="A15" s="16" t="s">
        <v>47</v>
      </c>
      <c r="B15" s="55">
        <v>81010010</v>
      </c>
      <c r="C15" s="1">
        <v>81010010</v>
      </c>
      <c r="E15" s="2">
        <v>81010010</v>
      </c>
      <c r="F15" s="3" t="s">
        <v>187</v>
      </c>
    </row>
    <row r="16" spans="1:7" ht="15.6">
      <c r="A16" s="16" t="s">
        <v>48</v>
      </c>
      <c r="B16" s="55">
        <v>81010011</v>
      </c>
      <c r="E16" s="2">
        <v>81010011</v>
      </c>
      <c r="F16" s="3" t="s">
        <v>188</v>
      </c>
    </row>
    <row r="17" spans="1:6" ht="15.6">
      <c r="A17" s="16" t="s">
        <v>49</v>
      </c>
      <c r="B17" s="55">
        <v>81010012</v>
      </c>
      <c r="C17" s="1">
        <v>81010012</v>
      </c>
      <c r="E17" s="2">
        <v>81010012</v>
      </c>
      <c r="F17" s="3" t="s">
        <v>189</v>
      </c>
    </row>
    <row r="18" spans="1:6" ht="15.6">
      <c r="A18" s="16" t="s">
        <v>50</v>
      </c>
      <c r="B18" s="55">
        <v>81010138</v>
      </c>
      <c r="C18" s="1">
        <v>81010138</v>
      </c>
      <c r="E18" s="2">
        <v>81010013</v>
      </c>
      <c r="F18" s="3" t="s">
        <v>190</v>
      </c>
    </row>
    <row r="19" spans="1:6" ht="15.6">
      <c r="A19" s="16" t="s">
        <v>51</v>
      </c>
      <c r="B19" s="55">
        <v>81010014</v>
      </c>
      <c r="C19" s="1">
        <v>81010014</v>
      </c>
      <c r="E19" s="2">
        <v>81010014</v>
      </c>
      <c r="F19" s="3" t="s">
        <v>191</v>
      </c>
    </row>
    <row r="20" spans="1:6" ht="15.6">
      <c r="A20" s="16" t="s">
        <v>52</v>
      </c>
      <c r="B20" s="55">
        <v>81010015</v>
      </c>
      <c r="C20" s="1">
        <v>81010015</v>
      </c>
      <c r="E20" s="2">
        <v>81010015</v>
      </c>
      <c r="F20" s="3" t="s">
        <v>192</v>
      </c>
    </row>
    <row r="21" spans="1:6" ht="15.6">
      <c r="A21" s="16" t="s">
        <v>53</v>
      </c>
      <c r="B21" s="55">
        <v>81010016</v>
      </c>
      <c r="C21" s="1">
        <v>81010016</v>
      </c>
      <c r="E21" s="2">
        <v>81010016</v>
      </c>
      <c r="F21" s="3" t="s">
        <v>193</v>
      </c>
    </row>
    <row r="22" spans="1:6" ht="15.6">
      <c r="A22" s="16" t="s">
        <v>54</v>
      </c>
      <c r="B22" s="55">
        <v>81010017</v>
      </c>
      <c r="E22" s="2">
        <v>81010017</v>
      </c>
      <c r="F22" s="3" t="s">
        <v>194</v>
      </c>
    </row>
    <row r="23" spans="1:6" ht="15.6">
      <c r="A23" s="16" t="s">
        <v>55</v>
      </c>
      <c r="B23" s="55">
        <v>81010018</v>
      </c>
      <c r="C23" s="1">
        <v>81010018</v>
      </c>
      <c r="E23" s="2">
        <v>81010018</v>
      </c>
      <c r="F23" s="3" t="s">
        <v>195</v>
      </c>
    </row>
    <row r="24" spans="1:6" ht="15.6">
      <c r="A24" s="16" t="s">
        <v>56</v>
      </c>
      <c r="B24" s="55">
        <v>81010019</v>
      </c>
      <c r="C24" s="1">
        <v>81010019</v>
      </c>
      <c r="E24" s="2">
        <v>81010019</v>
      </c>
      <c r="F24" s="3" t="s">
        <v>196</v>
      </c>
    </row>
    <row r="25" spans="1:6" ht="15.6">
      <c r="A25" s="16" t="s">
        <v>57</v>
      </c>
      <c r="B25" s="55">
        <v>81010020</v>
      </c>
      <c r="C25" s="1">
        <v>81010020</v>
      </c>
      <c r="E25" s="2">
        <v>81010020</v>
      </c>
      <c r="F25" s="3" t="s">
        <v>197</v>
      </c>
    </row>
    <row r="26" spans="1:6" ht="15.6">
      <c r="A26" s="16" t="s">
        <v>58</v>
      </c>
      <c r="B26" s="55">
        <v>81010021</v>
      </c>
      <c r="C26" s="1">
        <v>81010021</v>
      </c>
      <c r="E26" s="2">
        <v>81010021</v>
      </c>
      <c r="F26" s="3" t="s">
        <v>198</v>
      </c>
    </row>
    <row r="27" spans="1:6" ht="15.6">
      <c r="A27" s="16" t="s">
        <v>34</v>
      </c>
      <c r="B27" s="55">
        <v>81010022</v>
      </c>
      <c r="C27" s="1">
        <v>81010022</v>
      </c>
      <c r="E27" s="2">
        <v>81010022</v>
      </c>
      <c r="F27" s="3" t="s">
        <v>199</v>
      </c>
    </row>
    <row r="28" spans="1:6" ht="15.6">
      <c r="A28" s="16" t="s">
        <v>59</v>
      </c>
      <c r="B28" s="55">
        <v>81010023</v>
      </c>
      <c r="C28" s="1">
        <v>81010023</v>
      </c>
      <c r="E28" s="2">
        <v>81010023</v>
      </c>
      <c r="F28" s="3" t="s">
        <v>200</v>
      </c>
    </row>
    <row r="29" spans="1:6" ht="15.6">
      <c r="A29" s="16" t="s">
        <v>60</v>
      </c>
      <c r="B29" s="55">
        <v>81010024</v>
      </c>
      <c r="C29" s="1">
        <v>81010024</v>
      </c>
      <c r="E29" s="2">
        <v>81010024</v>
      </c>
      <c r="F29" s="3" t="s">
        <v>201</v>
      </c>
    </row>
    <row r="30" spans="1:6" ht="15.6">
      <c r="A30" s="16" t="s">
        <v>61</v>
      </c>
      <c r="B30" s="55">
        <v>81010025</v>
      </c>
      <c r="C30" s="1">
        <v>81010025</v>
      </c>
      <c r="E30" s="2">
        <v>81010025</v>
      </c>
      <c r="F30" s="3" t="s">
        <v>202</v>
      </c>
    </row>
    <row r="31" spans="1:6" ht="15.6">
      <c r="A31" s="16" t="s">
        <v>62</v>
      </c>
      <c r="B31" s="55">
        <v>81010026</v>
      </c>
      <c r="C31" s="1">
        <v>81010026</v>
      </c>
      <c r="E31" s="2">
        <v>81010026</v>
      </c>
      <c r="F31" s="3" t="s">
        <v>203</v>
      </c>
    </row>
    <row r="32" spans="1:6" ht="15.6">
      <c r="A32" s="16" t="s">
        <v>63</v>
      </c>
      <c r="B32" s="55">
        <v>81010027</v>
      </c>
      <c r="C32" s="1">
        <v>81010027</v>
      </c>
      <c r="E32" s="2">
        <v>81010027</v>
      </c>
      <c r="F32" s="3" t="s">
        <v>204</v>
      </c>
    </row>
    <row r="33" spans="1:6" ht="15.6">
      <c r="A33" s="16" t="s">
        <v>64</v>
      </c>
      <c r="B33" s="55">
        <v>81010028</v>
      </c>
      <c r="C33" s="1">
        <v>81010028</v>
      </c>
      <c r="E33" s="2">
        <v>81010028</v>
      </c>
      <c r="F33" s="3" t="s">
        <v>205</v>
      </c>
    </row>
    <row r="34" spans="1:6" ht="15.6">
      <c r="A34" s="16" t="s">
        <v>65</v>
      </c>
      <c r="B34" s="55">
        <v>81010029</v>
      </c>
      <c r="C34" s="1">
        <v>81010029</v>
      </c>
      <c r="E34" s="2">
        <v>81010029</v>
      </c>
      <c r="F34" s="3" t="s">
        <v>206</v>
      </c>
    </row>
    <row r="35" spans="1:6" ht="15.6">
      <c r="A35" s="16" t="s">
        <v>66</v>
      </c>
      <c r="B35" s="55">
        <v>81010030</v>
      </c>
      <c r="C35" s="1">
        <v>81010030</v>
      </c>
      <c r="E35" s="2">
        <v>81010030</v>
      </c>
      <c r="F35" s="3" t="s">
        <v>207</v>
      </c>
    </row>
    <row r="36" spans="1:6" ht="15.6">
      <c r="A36" s="16" t="s">
        <v>67</v>
      </c>
      <c r="B36" s="55">
        <v>81010031</v>
      </c>
      <c r="C36" s="1">
        <v>81010031</v>
      </c>
      <c r="E36" s="2">
        <v>81010031</v>
      </c>
      <c r="F36" s="3" t="s">
        <v>208</v>
      </c>
    </row>
    <row r="37" spans="1:6" ht="15.6">
      <c r="A37" s="16" t="s">
        <v>68</v>
      </c>
      <c r="B37" s="55">
        <v>81010032</v>
      </c>
      <c r="C37" s="1">
        <v>81010032</v>
      </c>
      <c r="E37" s="2">
        <v>81010032</v>
      </c>
      <c r="F37" s="3" t="s">
        <v>209</v>
      </c>
    </row>
    <row r="38" spans="1:6" ht="15.6">
      <c r="A38" s="16" t="s">
        <v>69</v>
      </c>
      <c r="B38" s="55">
        <v>81010034</v>
      </c>
      <c r="E38" s="2">
        <v>81010034</v>
      </c>
      <c r="F38" s="3" t="s">
        <v>211</v>
      </c>
    </row>
    <row r="39" spans="1:6" ht="15.6">
      <c r="A39" s="16" t="s">
        <v>171</v>
      </c>
      <c r="B39" s="55">
        <v>81010035</v>
      </c>
      <c r="E39" s="2">
        <v>81010035</v>
      </c>
      <c r="F39" s="3" t="s">
        <v>212</v>
      </c>
    </row>
    <row r="40" spans="1:6" ht="15.6">
      <c r="A40" s="16" t="s">
        <v>70</v>
      </c>
      <c r="B40" s="55">
        <v>81010036</v>
      </c>
      <c r="C40" s="1">
        <v>81010036</v>
      </c>
      <c r="E40" s="2">
        <v>81010036</v>
      </c>
      <c r="F40" s="3" t="s">
        <v>213</v>
      </c>
    </row>
    <row r="41" spans="1:6" ht="15.6">
      <c r="A41" s="16" t="s">
        <v>71</v>
      </c>
      <c r="B41" s="55">
        <v>81010037</v>
      </c>
      <c r="C41" s="1">
        <v>81010037</v>
      </c>
      <c r="E41" s="2">
        <v>81010037</v>
      </c>
      <c r="F41" s="3" t="s">
        <v>214</v>
      </c>
    </row>
    <row r="42" spans="1:6" ht="15.6">
      <c r="A42" s="16" t="s">
        <v>72</v>
      </c>
      <c r="B42" s="55">
        <v>81010038</v>
      </c>
      <c r="C42" s="1">
        <v>81010038</v>
      </c>
      <c r="E42" s="2">
        <v>81010038</v>
      </c>
      <c r="F42" s="3" t="s">
        <v>215</v>
      </c>
    </row>
    <row r="43" spans="1:6" ht="15.6">
      <c r="A43" s="16" t="s">
        <v>73</v>
      </c>
      <c r="B43" s="55">
        <v>81010039</v>
      </c>
      <c r="C43" s="1">
        <v>81010039</v>
      </c>
      <c r="E43" s="2">
        <v>81010039</v>
      </c>
      <c r="F43" s="3" t="s">
        <v>216</v>
      </c>
    </row>
    <row r="44" spans="1:6" ht="15.6">
      <c r="A44" s="16" t="s">
        <v>74</v>
      </c>
      <c r="B44" s="55">
        <v>81010040</v>
      </c>
      <c r="C44" s="1">
        <v>81010040</v>
      </c>
      <c r="E44" s="2">
        <v>81010040</v>
      </c>
      <c r="F44" s="3" t="s">
        <v>217</v>
      </c>
    </row>
    <row r="45" spans="1:6" ht="15.6">
      <c r="A45" s="16" t="s">
        <v>75</v>
      </c>
      <c r="B45" s="55">
        <v>81010041</v>
      </c>
      <c r="C45" s="1">
        <v>81010041</v>
      </c>
      <c r="E45" s="2">
        <v>81010041</v>
      </c>
      <c r="F45" s="3" t="s">
        <v>218</v>
      </c>
    </row>
    <row r="46" spans="1:6" ht="15.6">
      <c r="A46" s="16" t="s">
        <v>76</v>
      </c>
      <c r="B46" s="55">
        <v>81010042</v>
      </c>
      <c r="C46" s="1">
        <v>81010042</v>
      </c>
      <c r="E46" s="2">
        <v>81010042</v>
      </c>
      <c r="F46" s="3" t="s">
        <v>219</v>
      </c>
    </row>
    <row r="47" spans="1:6" ht="15.6">
      <c r="A47" s="16" t="s">
        <v>77</v>
      </c>
      <c r="B47" s="55">
        <v>81010043</v>
      </c>
      <c r="C47" s="1">
        <v>81010043</v>
      </c>
      <c r="E47" s="2">
        <v>81010043</v>
      </c>
      <c r="F47" s="3" t="s">
        <v>220</v>
      </c>
    </row>
    <row r="48" spans="1:6" ht="15.6">
      <c r="A48" s="16" t="s">
        <v>78</v>
      </c>
      <c r="B48" s="55">
        <v>81010044</v>
      </c>
      <c r="C48" s="1">
        <v>81010044</v>
      </c>
      <c r="E48" s="2">
        <v>81010044</v>
      </c>
      <c r="F48" s="3" t="s">
        <v>221</v>
      </c>
    </row>
    <row r="49" spans="1:6" ht="15.6">
      <c r="A49" s="16" t="s">
        <v>32</v>
      </c>
      <c r="B49" s="55">
        <v>81010045</v>
      </c>
      <c r="C49" s="1">
        <v>81010045</v>
      </c>
      <c r="E49" s="2">
        <v>81010045</v>
      </c>
      <c r="F49" s="3" t="s">
        <v>222</v>
      </c>
    </row>
    <row r="50" spans="1:6" ht="15.6">
      <c r="A50" s="16" t="s">
        <v>31</v>
      </c>
      <c r="B50" s="55">
        <v>81010046</v>
      </c>
      <c r="C50" s="1">
        <v>81010046</v>
      </c>
      <c r="E50" s="2">
        <v>81010046</v>
      </c>
      <c r="F50" s="3" t="s">
        <v>223</v>
      </c>
    </row>
    <row r="51" spans="1:6" ht="15.6">
      <c r="A51" s="16" t="s">
        <v>79</v>
      </c>
      <c r="B51" s="55">
        <v>81010047</v>
      </c>
      <c r="C51" s="1">
        <v>81010047</v>
      </c>
      <c r="E51" s="2">
        <v>81010047</v>
      </c>
      <c r="F51" s="3" t="s">
        <v>224</v>
      </c>
    </row>
    <row r="52" spans="1:6" ht="15.6">
      <c r="A52" s="16" t="s">
        <v>80</v>
      </c>
      <c r="B52" s="55">
        <v>81010048</v>
      </c>
      <c r="C52" s="1">
        <v>81010048</v>
      </c>
      <c r="E52" s="2">
        <v>81010048</v>
      </c>
      <c r="F52" s="3" t="s">
        <v>225</v>
      </c>
    </row>
    <row r="53" spans="1:6" ht="15.6">
      <c r="A53" s="16" t="s">
        <v>81</v>
      </c>
      <c r="B53" s="55">
        <v>81010049</v>
      </c>
      <c r="C53" s="1">
        <v>81010049</v>
      </c>
      <c r="E53" s="2">
        <v>81010049</v>
      </c>
      <c r="F53" s="3" t="s">
        <v>226</v>
      </c>
    </row>
    <row r="54" spans="1:6" ht="15.6">
      <c r="A54" s="16" t="s">
        <v>82</v>
      </c>
      <c r="B54" s="55">
        <v>81010050</v>
      </c>
      <c r="C54" s="1">
        <v>81010050</v>
      </c>
      <c r="E54" s="2">
        <v>81010050</v>
      </c>
      <c r="F54" s="3" t="s">
        <v>227</v>
      </c>
    </row>
    <row r="55" spans="1:6" ht="15.6">
      <c r="A55" s="16" t="s">
        <v>83</v>
      </c>
      <c r="B55" s="55">
        <v>81010051</v>
      </c>
      <c r="E55" s="2">
        <v>81010051</v>
      </c>
      <c r="F55" s="3" t="s">
        <v>228</v>
      </c>
    </row>
    <row r="56" spans="1:6" ht="15.6">
      <c r="A56" s="16" t="s">
        <v>84</v>
      </c>
      <c r="B56" s="55">
        <v>81010052</v>
      </c>
      <c r="C56" s="1">
        <v>81010052</v>
      </c>
      <c r="E56" s="2">
        <v>81010052</v>
      </c>
      <c r="F56" s="3" t="s">
        <v>229</v>
      </c>
    </row>
    <row r="57" spans="1:6" ht="15.6">
      <c r="A57" s="16" t="s">
        <v>85</v>
      </c>
      <c r="B57" s="55">
        <v>81010053</v>
      </c>
      <c r="C57" s="1">
        <v>81010053</v>
      </c>
      <c r="E57" s="2">
        <v>81010053</v>
      </c>
      <c r="F57" s="3" t="s">
        <v>230</v>
      </c>
    </row>
    <row r="58" spans="1:6" ht="15.6">
      <c r="A58" s="16" t="s">
        <v>86</v>
      </c>
      <c r="B58" s="55">
        <v>81010054</v>
      </c>
      <c r="C58" s="1">
        <v>81010054</v>
      </c>
      <c r="E58" s="2">
        <v>81010054</v>
      </c>
      <c r="F58" s="3" t="s">
        <v>231</v>
      </c>
    </row>
    <row r="59" spans="1:6" ht="15.6">
      <c r="A59" s="16" t="s">
        <v>87</v>
      </c>
      <c r="B59" s="55">
        <v>81010055</v>
      </c>
      <c r="C59" s="1">
        <v>81010055</v>
      </c>
      <c r="E59" s="2">
        <v>81010055</v>
      </c>
      <c r="F59" s="3" t="s">
        <v>232</v>
      </c>
    </row>
    <row r="60" spans="1:6" ht="15.6">
      <c r="A60" s="16" t="s">
        <v>88</v>
      </c>
      <c r="B60" s="55">
        <v>81010056</v>
      </c>
      <c r="C60" s="1">
        <v>81010056</v>
      </c>
      <c r="E60" s="2">
        <v>81010056</v>
      </c>
      <c r="F60" s="3" t="s">
        <v>233</v>
      </c>
    </row>
    <row r="61" spans="1:6" ht="15.6">
      <c r="A61" s="16" t="s">
        <v>89</v>
      </c>
      <c r="B61" s="55">
        <v>81010057</v>
      </c>
      <c r="C61" s="1">
        <v>81010057</v>
      </c>
      <c r="E61" s="2">
        <v>81010057</v>
      </c>
      <c r="F61" s="3" t="s">
        <v>234</v>
      </c>
    </row>
    <row r="62" spans="1:6" ht="15.6">
      <c r="A62" s="16" t="s">
        <v>90</v>
      </c>
      <c r="B62" s="55">
        <v>81010058</v>
      </c>
      <c r="C62" s="1">
        <v>81010058</v>
      </c>
      <c r="E62" s="2">
        <v>81010058</v>
      </c>
      <c r="F62" s="3" t="s">
        <v>235</v>
      </c>
    </row>
    <row r="63" spans="1:6" ht="15.6">
      <c r="A63" s="16" t="s">
        <v>91</v>
      </c>
      <c r="B63" s="55">
        <v>81010059</v>
      </c>
      <c r="E63" s="2">
        <v>81010059</v>
      </c>
      <c r="F63" s="3" t="s">
        <v>236</v>
      </c>
    </row>
    <row r="64" spans="1:6" ht="15.6">
      <c r="A64" s="16" t="s">
        <v>92</v>
      </c>
      <c r="B64" s="55">
        <v>81010060</v>
      </c>
      <c r="C64" s="1">
        <v>81010060</v>
      </c>
      <c r="E64" s="2">
        <v>81010060</v>
      </c>
      <c r="F64" s="3" t="s">
        <v>237</v>
      </c>
    </row>
    <row r="65" spans="1:6" ht="15.6">
      <c r="A65" s="16" t="s">
        <v>93</v>
      </c>
      <c r="B65" s="55">
        <v>81010061</v>
      </c>
      <c r="E65" s="2">
        <v>81010061</v>
      </c>
      <c r="F65" s="3" t="s">
        <v>238</v>
      </c>
    </row>
    <row r="66" spans="1:6" ht="15.6">
      <c r="A66" s="16" t="s">
        <v>94</v>
      </c>
      <c r="B66" s="55">
        <v>81010062</v>
      </c>
      <c r="E66" s="2">
        <v>81010062</v>
      </c>
      <c r="F66" s="3" t="s">
        <v>239</v>
      </c>
    </row>
    <row r="67" spans="1:6" ht="15.6">
      <c r="A67" s="16" t="s">
        <v>95</v>
      </c>
      <c r="B67" s="55">
        <v>81010063</v>
      </c>
      <c r="C67" s="1">
        <v>81010063</v>
      </c>
      <c r="E67" s="2">
        <v>81010063</v>
      </c>
      <c r="F67" s="3" t="s">
        <v>240</v>
      </c>
    </row>
    <row r="68" spans="1:6" ht="15.6">
      <c r="A68" s="16" t="s">
        <v>96</v>
      </c>
      <c r="B68" s="55">
        <v>81010064</v>
      </c>
      <c r="C68" s="1">
        <v>81010064</v>
      </c>
      <c r="E68" s="2">
        <v>81010064</v>
      </c>
      <c r="F68" s="3" t="s">
        <v>241</v>
      </c>
    </row>
    <row r="69" spans="1:6" ht="15.6">
      <c r="A69" s="16" t="s">
        <v>97</v>
      </c>
      <c r="B69" s="55">
        <v>81010065</v>
      </c>
      <c r="C69" s="1">
        <v>81010065</v>
      </c>
      <c r="E69" s="2">
        <v>81010065</v>
      </c>
      <c r="F69" s="3" t="s">
        <v>242</v>
      </c>
    </row>
    <row r="70" spans="1:6" ht="15.6">
      <c r="A70" s="16" t="s">
        <v>98</v>
      </c>
      <c r="B70" s="55">
        <v>81010066</v>
      </c>
      <c r="C70" s="1">
        <v>81010066</v>
      </c>
      <c r="E70" s="2">
        <v>81010066</v>
      </c>
      <c r="F70" s="3" t="s">
        <v>243</v>
      </c>
    </row>
    <row r="71" spans="1:6" ht="15.6">
      <c r="A71" s="16" t="s">
        <v>99</v>
      </c>
      <c r="B71" s="55">
        <v>81010067</v>
      </c>
      <c r="E71" s="2">
        <v>81010067</v>
      </c>
      <c r="F71" s="3" t="s">
        <v>244</v>
      </c>
    </row>
    <row r="72" spans="1:6" ht="15.6">
      <c r="A72" s="16" t="s">
        <v>100</v>
      </c>
      <c r="B72" s="55">
        <v>81010068</v>
      </c>
      <c r="C72" s="1">
        <v>81010068</v>
      </c>
      <c r="E72" s="2">
        <v>81010068</v>
      </c>
      <c r="F72" s="3" t="s">
        <v>245</v>
      </c>
    </row>
    <row r="73" spans="1:6" ht="15.6">
      <c r="A73" s="16" t="s">
        <v>101</v>
      </c>
      <c r="B73" s="55">
        <v>81010069</v>
      </c>
      <c r="C73" s="1">
        <v>81010069</v>
      </c>
      <c r="E73" s="2">
        <v>81010069</v>
      </c>
      <c r="F73" s="3" t="s">
        <v>246</v>
      </c>
    </row>
    <row r="74" spans="1:6" ht="15.6">
      <c r="A74" s="16" t="s">
        <v>102</v>
      </c>
      <c r="B74" s="55">
        <v>81010070</v>
      </c>
      <c r="E74" s="2">
        <v>81010070</v>
      </c>
      <c r="F74" s="3" t="s">
        <v>247</v>
      </c>
    </row>
    <row r="75" spans="1:6" ht="15.6">
      <c r="A75" s="16" t="s">
        <v>103</v>
      </c>
      <c r="B75" s="55">
        <v>81010071</v>
      </c>
      <c r="C75" s="1">
        <v>81010071</v>
      </c>
      <c r="E75" s="2">
        <v>81010071</v>
      </c>
      <c r="F75" s="3" t="s">
        <v>248</v>
      </c>
    </row>
    <row r="76" spans="1:6" ht="15.6">
      <c r="A76" s="16" t="s">
        <v>104</v>
      </c>
      <c r="B76" s="55">
        <v>81010072</v>
      </c>
      <c r="C76" s="1">
        <v>81010072</v>
      </c>
      <c r="E76" s="2">
        <v>81010072</v>
      </c>
      <c r="F76" s="3" t="s">
        <v>249</v>
      </c>
    </row>
    <row r="77" spans="1:6" ht="15.6">
      <c r="A77" s="16" t="s">
        <v>105</v>
      </c>
      <c r="B77" s="55">
        <v>81010073</v>
      </c>
      <c r="C77" s="1">
        <v>81010073</v>
      </c>
      <c r="E77" s="2">
        <v>81010073</v>
      </c>
      <c r="F77" s="3" t="s">
        <v>250</v>
      </c>
    </row>
    <row r="78" spans="1:6" ht="15.6">
      <c r="A78" s="16" t="s">
        <v>107</v>
      </c>
      <c r="B78" s="55">
        <v>81010075</v>
      </c>
      <c r="E78" s="2">
        <v>81010075</v>
      </c>
      <c r="F78" s="3" t="s">
        <v>252</v>
      </c>
    </row>
    <row r="79" spans="1:6" ht="15.6">
      <c r="A79" s="16" t="s">
        <v>30</v>
      </c>
      <c r="B79" s="55">
        <v>81010076</v>
      </c>
      <c r="C79" s="1">
        <v>81010076</v>
      </c>
      <c r="E79" s="2">
        <v>81010076</v>
      </c>
      <c r="F79" s="3" t="s">
        <v>253</v>
      </c>
    </row>
    <row r="80" spans="1:6" ht="15.6">
      <c r="A80" s="16" t="s">
        <v>108</v>
      </c>
      <c r="B80" s="55">
        <v>81010077</v>
      </c>
      <c r="C80" s="1">
        <v>81010077</v>
      </c>
      <c r="E80" s="2">
        <v>81010077</v>
      </c>
      <c r="F80" s="3" t="s">
        <v>254</v>
      </c>
    </row>
    <row r="81" spans="1:6" ht="15.6">
      <c r="A81" s="16" t="s">
        <v>109</v>
      </c>
      <c r="B81" s="55">
        <v>81010078</v>
      </c>
      <c r="C81" s="1">
        <v>81010078</v>
      </c>
      <c r="E81" s="2">
        <v>81010078</v>
      </c>
      <c r="F81" s="3" t="s">
        <v>255</v>
      </c>
    </row>
    <row r="82" spans="1:6" ht="15.6">
      <c r="A82" s="16" t="s">
        <v>110</v>
      </c>
      <c r="B82" s="55">
        <v>81010079</v>
      </c>
      <c r="E82" s="2">
        <v>81010079</v>
      </c>
      <c r="F82" s="3" t="s">
        <v>256</v>
      </c>
    </row>
    <row r="83" spans="1:6" ht="15.6">
      <c r="A83" s="16" t="s">
        <v>111</v>
      </c>
      <c r="B83" s="55">
        <v>81010080</v>
      </c>
      <c r="C83" s="1">
        <v>81010080</v>
      </c>
      <c r="E83" s="2">
        <v>81010080</v>
      </c>
      <c r="F83" s="3" t="s">
        <v>257</v>
      </c>
    </row>
    <row r="84" spans="1:6" ht="15.6">
      <c r="A84" s="16" t="s">
        <v>112</v>
      </c>
      <c r="B84" s="55">
        <v>81010081</v>
      </c>
      <c r="C84" s="1">
        <v>81010081</v>
      </c>
      <c r="E84" s="2">
        <v>81010081</v>
      </c>
      <c r="F84" s="3" t="s">
        <v>258</v>
      </c>
    </row>
    <row r="85" spans="1:6" ht="15.6">
      <c r="A85" s="16" t="s">
        <v>113</v>
      </c>
      <c r="B85" s="55">
        <v>81010082</v>
      </c>
      <c r="C85" s="1">
        <v>81010082</v>
      </c>
      <c r="E85" s="2">
        <v>81010082</v>
      </c>
      <c r="F85" s="3" t="s">
        <v>259</v>
      </c>
    </row>
    <row r="86" spans="1:6" ht="15.6">
      <c r="A86" s="16" t="s">
        <v>170</v>
      </c>
      <c r="B86" s="55">
        <v>81010083</v>
      </c>
      <c r="E86" s="2">
        <v>81010083</v>
      </c>
      <c r="F86" s="3" t="s">
        <v>260</v>
      </c>
    </row>
    <row r="87" spans="1:6" ht="15.6">
      <c r="A87" s="16" t="s">
        <v>114</v>
      </c>
      <c r="B87" s="55">
        <v>81010084</v>
      </c>
      <c r="E87" s="2">
        <v>81010084</v>
      </c>
      <c r="F87" s="3" t="s">
        <v>261</v>
      </c>
    </row>
    <row r="88" spans="1:6" ht="15.6">
      <c r="A88" s="36" t="s">
        <v>389</v>
      </c>
      <c r="B88" s="56">
        <v>81010085</v>
      </c>
      <c r="C88" s="1">
        <v>81010085</v>
      </c>
      <c r="E88" s="2">
        <v>81010085</v>
      </c>
      <c r="F88" s="3" t="s">
        <v>262</v>
      </c>
    </row>
    <row r="89" spans="1:6" ht="15.6">
      <c r="A89" s="16" t="s">
        <v>115</v>
      </c>
      <c r="B89" s="55">
        <v>81010086</v>
      </c>
      <c r="E89" s="2">
        <v>81010086</v>
      </c>
      <c r="F89" s="3" t="s">
        <v>263</v>
      </c>
    </row>
    <row r="90" spans="1:6" ht="15.6">
      <c r="A90" s="16" t="s">
        <v>116</v>
      </c>
      <c r="B90" s="55">
        <v>81010087</v>
      </c>
      <c r="E90" s="2">
        <v>81010087</v>
      </c>
      <c r="F90" s="3" t="s">
        <v>264</v>
      </c>
    </row>
    <row r="91" spans="1:6" ht="15.6">
      <c r="A91" s="16" t="s">
        <v>117</v>
      </c>
      <c r="B91" s="55">
        <v>81010088</v>
      </c>
      <c r="C91" s="1">
        <v>81010088</v>
      </c>
      <c r="E91" s="2">
        <v>81010088</v>
      </c>
      <c r="F91" s="3" t="s">
        <v>265</v>
      </c>
    </row>
    <row r="92" spans="1:6" ht="15.6">
      <c r="A92" s="16" t="s">
        <v>118</v>
      </c>
      <c r="B92" s="55">
        <v>81010089</v>
      </c>
      <c r="C92" s="1">
        <v>81010089</v>
      </c>
      <c r="E92" s="2">
        <v>81010089</v>
      </c>
      <c r="F92" s="3" t="s">
        <v>266</v>
      </c>
    </row>
    <row r="93" spans="1:6" ht="15.6">
      <c r="A93" s="16" t="s">
        <v>119</v>
      </c>
      <c r="B93" s="55">
        <v>81010090</v>
      </c>
      <c r="C93" s="1">
        <v>81010090</v>
      </c>
      <c r="E93" s="2">
        <v>81010090</v>
      </c>
      <c r="F93" s="3" t="s">
        <v>267</v>
      </c>
    </row>
    <row r="94" spans="1:6" ht="15.6">
      <c r="A94" s="16" t="s">
        <v>120</v>
      </c>
      <c r="B94" s="55">
        <v>81010091</v>
      </c>
      <c r="E94" s="2">
        <v>81010091</v>
      </c>
      <c r="F94" s="3" t="s">
        <v>268</v>
      </c>
    </row>
    <row r="95" spans="1:6" ht="15.6">
      <c r="A95" s="16" t="s">
        <v>121</v>
      </c>
      <c r="B95" s="55">
        <v>81010092</v>
      </c>
      <c r="E95" s="2">
        <v>81010092</v>
      </c>
      <c r="F95" s="3" t="s">
        <v>269</v>
      </c>
    </row>
    <row r="96" spans="1:6" ht="15.6">
      <c r="A96" s="16" t="s">
        <v>122</v>
      </c>
      <c r="B96" s="55">
        <v>81010093</v>
      </c>
      <c r="E96" s="2">
        <v>81010093</v>
      </c>
      <c r="F96" s="3" t="s">
        <v>270</v>
      </c>
    </row>
    <row r="97" spans="1:6" ht="15.6">
      <c r="A97" s="16" t="s">
        <v>123</v>
      </c>
      <c r="B97" s="55">
        <v>81010094</v>
      </c>
      <c r="C97" s="1">
        <v>81010094</v>
      </c>
      <c r="E97" s="2">
        <v>81010094</v>
      </c>
      <c r="F97" s="3" t="s">
        <v>271</v>
      </c>
    </row>
    <row r="98" spans="1:6" ht="15.6">
      <c r="A98" s="16" t="s">
        <v>124</v>
      </c>
      <c r="B98" s="55">
        <v>81010095</v>
      </c>
      <c r="E98" s="2">
        <v>81010095</v>
      </c>
      <c r="F98" s="3" t="s">
        <v>272</v>
      </c>
    </row>
    <row r="99" spans="1:6" ht="15.6">
      <c r="A99" s="16" t="s">
        <v>125</v>
      </c>
      <c r="B99" s="55">
        <v>81010096</v>
      </c>
      <c r="C99" s="1">
        <v>81010096</v>
      </c>
      <c r="E99" s="2">
        <v>81010096</v>
      </c>
      <c r="F99" s="3" t="s">
        <v>273</v>
      </c>
    </row>
    <row r="100" spans="1:6" ht="15.6">
      <c r="A100" s="16" t="s">
        <v>126</v>
      </c>
      <c r="B100" s="55">
        <v>81010097</v>
      </c>
      <c r="E100" s="2">
        <v>81010097</v>
      </c>
      <c r="F100" s="3" t="s">
        <v>274</v>
      </c>
    </row>
    <row r="101" spans="1:6" ht="15.6">
      <c r="A101" s="16" t="s">
        <v>127</v>
      </c>
      <c r="B101" s="55">
        <v>81010098</v>
      </c>
      <c r="E101" s="2">
        <v>81010098</v>
      </c>
      <c r="F101" s="3" t="s">
        <v>275</v>
      </c>
    </row>
    <row r="102" spans="1:6" ht="15.6">
      <c r="A102" s="16" t="s">
        <v>409</v>
      </c>
      <c r="B102" s="55">
        <v>81010099</v>
      </c>
      <c r="C102" s="1" t="e">
        <v>#N/A</v>
      </c>
      <c r="E102" s="2">
        <v>81010099</v>
      </c>
      <c r="F102" s="3" t="s">
        <v>276</v>
      </c>
    </row>
    <row r="103" spans="1:6" ht="15.6">
      <c r="A103" s="16" t="s">
        <v>128</v>
      </c>
      <c r="B103" s="55">
        <v>81010100</v>
      </c>
      <c r="E103" s="2">
        <v>81010100</v>
      </c>
      <c r="F103" s="3" t="s">
        <v>277</v>
      </c>
    </row>
    <row r="104" spans="1:6" ht="15.6">
      <c r="A104" s="16" t="s">
        <v>129</v>
      </c>
      <c r="B104" s="55">
        <v>81010101</v>
      </c>
      <c r="C104" s="1">
        <v>81010101</v>
      </c>
      <c r="E104" s="2">
        <v>81010101</v>
      </c>
      <c r="F104" s="3" t="s">
        <v>278</v>
      </c>
    </row>
    <row r="105" spans="1:6" ht="15.6">
      <c r="A105" s="16" t="s">
        <v>29</v>
      </c>
      <c r="B105" s="55">
        <v>81010102</v>
      </c>
      <c r="E105" s="2">
        <v>81010102</v>
      </c>
      <c r="F105" s="3" t="s">
        <v>279</v>
      </c>
    </row>
    <row r="106" spans="1:6" ht="15.6">
      <c r="A106" s="16" t="s">
        <v>130</v>
      </c>
      <c r="B106" s="55">
        <v>81010103</v>
      </c>
      <c r="C106" s="1">
        <v>81010103</v>
      </c>
      <c r="E106" s="2">
        <v>81010103</v>
      </c>
      <c r="F106" s="3" t="s">
        <v>280</v>
      </c>
    </row>
    <row r="107" spans="1:6" ht="15.6">
      <c r="A107" s="16" t="s">
        <v>131</v>
      </c>
      <c r="B107" s="55">
        <v>81010104</v>
      </c>
      <c r="E107" s="2">
        <v>81010104</v>
      </c>
      <c r="F107" s="3" t="s">
        <v>281</v>
      </c>
    </row>
    <row r="108" spans="1:6" ht="15.6">
      <c r="A108" s="16" t="s">
        <v>325</v>
      </c>
      <c r="B108" s="55">
        <v>81010105</v>
      </c>
      <c r="E108" s="2">
        <v>81010105</v>
      </c>
      <c r="F108" s="3" t="s">
        <v>324</v>
      </c>
    </row>
    <row r="109" spans="1:6" ht="15.6">
      <c r="A109" s="17" t="s">
        <v>132</v>
      </c>
      <c r="B109" s="55">
        <v>81010106</v>
      </c>
      <c r="E109" s="2">
        <v>81010106</v>
      </c>
      <c r="F109" s="3" t="s">
        <v>282</v>
      </c>
    </row>
    <row r="110" spans="1:6" ht="15.6">
      <c r="A110" s="17" t="s">
        <v>133</v>
      </c>
      <c r="B110" s="55">
        <v>81010107</v>
      </c>
      <c r="E110" s="2">
        <v>81010107</v>
      </c>
      <c r="F110" s="3" t="s">
        <v>283</v>
      </c>
    </row>
    <row r="111" spans="1:6" ht="15.6">
      <c r="A111" s="17" t="s">
        <v>167</v>
      </c>
      <c r="B111" s="55">
        <v>81010108</v>
      </c>
      <c r="C111" s="1">
        <v>81010108</v>
      </c>
      <c r="E111" s="2">
        <v>81010108</v>
      </c>
      <c r="F111" s="3" t="s">
        <v>284</v>
      </c>
    </row>
    <row r="112" spans="1:6" ht="15.6">
      <c r="A112" s="17" t="s">
        <v>165</v>
      </c>
      <c r="B112" s="55">
        <v>81010109</v>
      </c>
      <c r="C112" s="1">
        <v>81010109</v>
      </c>
      <c r="E112" s="2">
        <v>81010109</v>
      </c>
      <c r="F112" s="3" t="s">
        <v>285</v>
      </c>
    </row>
    <row r="113" spans="1:6" ht="15.6">
      <c r="A113" s="17" t="s">
        <v>134</v>
      </c>
      <c r="B113" s="55">
        <v>81010110</v>
      </c>
      <c r="E113" s="2">
        <v>81010110</v>
      </c>
      <c r="F113" s="3" t="s">
        <v>286</v>
      </c>
    </row>
    <row r="114" spans="1:6" ht="15.6">
      <c r="A114" s="17" t="s">
        <v>135</v>
      </c>
      <c r="B114" s="55">
        <v>81010111</v>
      </c>
      <c r="C114" s="1">
        <v>81010111</v>
      </c>
      <c r="E114" s="2">
        <v>81010111</v>
      </c>
      <c r="F114" s="3" t="s">
        <v>287</v>
      </c>
    </row>
    <row r="115" spans="1:6" ht="15.6">
      <c r="A115" s="17" t="s">
        <v>136</v>
      </c>
      <c r="B115" s="55">
        <v>81010112</v>
      </c>
      <c r="C115" s="1">
        <v>81010112</v>
      </c>
      <c r="E115" s="2">
        <v>81010112</v>
      </c>
      <c r="F115" s="3" t="s">
        <v>288</v>
      </c>
    </row>
    <row r="116" spans="1:6" ht="15.6">
      <c r="A116" s="17" t="s">
        <v>368</v>
      </c>
      <c r="B116" s="55">
        <v>81010113</v>
      </c>
      <c r="C116" s="1">
        <v>81010113</v>
      </c>
      <c r="E116" s="2">
        <v>81010113</v>
      </c>
      <c r="F116" s="3" t="s">
        <v>289</v>
      </c>
    </row>
    <row r="117" spans="1:6" ht="15.6">
      <c r="A117" s="17" t="s">
        <v>137</v>
      </c>
      <c r="B117" s="55">
        <v>81010114</v>
      </c>
      <c r="E117" s="2">
        <v>81010114</v>
      </c>
      <c r="F117" s="3" t="s">
        <v>290</v>
      </c>
    </row>
    <row r="118" spans="1:6" ht="15.6">
      <c r="A118" s="17" t="s">
        <v>138</v>
      </c>
      <c r="B118" s="55">
        <v>81010115</v>
      </c>
      <c r="C118" s="1">
        <v>81010115</v>
      </c>
      <c r="E118" s="2">
        <v>81010115</v>
      </c>
      <c r="F118" s="3" t="s">
        <v>291</v>
      </c>
    </row>
    <row r="119" spans="1:6" ht="15.6">
      <c r="A119" s="17" t="s">
        <v>139</v>
      </c>
      <c r="B119" s="55">
        <v>81010116</v>
      </c>
      <c r="E119" s="2">
        <v>81010116</v>
      </c>
      <c r="F119" s="3" t="s">
        <v>292</v>
      </c>
    </row>
    <row r="120" spans="1:6" ht="15.6">
      <c r="A120" s="17" t="s">
        <v>140</v>
      </c>
      <c r="B120" s="55">
        <v>81010117</v>
      </c>
      <c r="E120" s="2">
        <v>81010117</v>
      </c>
      <c r="F120" s="3" t="s">
        <v>293</v>
      </c>
    </row>
    <row r="121" spans="1:6" ht="15.6">
      <c r="A121" s="17" t="s">
        <v>141</v>
      </c>
      <c r="B121" s="55">
        <v>81010118</v>
      </c>
      <c r="E121" s="2">
        <v>81010118</v>
      </c>
      <c r="F121" s="3" t="s">
        <v>294</v>
      </c>
    </row>
    <row r="122" spans="1:6" ht="15.6">
      <c r="A122" s="17" t="s">
        <v>142</v>
      </c>
      <c r="B122" s="55">
        <v>81010119</v>
      </c>
      <c r="C122" s="1">
        <v>81010119</v>
      </c>
      <c r="E122" s="2">
        <v>81010119</v>
      </c>
      <c r="F122" s="3" t="s">
        <v>295</v>
      </c>
    </row>
    <row r="123" spans="1:6" ht="15.6">
      <c r="A123" s="17" t="s">
        <v>143</v>
      </c>
      <c r="B123" s="55">
        <v>81010120</v>
      </c>
      <c r="E123" s="2">
        <v>81010120</v>
      </c>
      <c r="F123" s="3" t="s">
        <v>296</v>
      </c>
    </row>
    <row r="124" spans="1:6" ht="15.6">
      <c r="A124" s="17" t="s">
        <v>144</v>
      </c>
      <c r="B124" s="55">
        <v>81010121</v>
      </c>
      <c r="E124" s="2">
        <v>81010121</v>
      </c>
      <c r="F124" s="3" t="s">
        <v>297</v>
      </c>
    </row>
    <row r="125" spans="1:6" ht="15.6">
      <c r="A125" s="17" t="s">
        <v>164</v>
      </c>
      <c r="B125" s="55">
        <v>81010122</v>
      </c>
      <c r="E125" s="2">
        <v>81010122</v>
      </c>
      <c r="F125" s="3" t="s">
        <v>298</v>
      </c>
    </row>
    <row r="126" spans="1:6" ht="15.6">
      <c r="A126" s="17" t="s">
        <v>145</v>
      </c>
      <c r="B126" s="55">
        <v>81010123</v>
      </c>
      <c r="E126" s="2">
        <v>81010123</v>
      </c>
      <c r="F126" s="3" t="s">
        <v>299</v>
      </c>
    </row>
    <row r="127" spans="1:6" ht="15.6">
      <c r="A127" s="17" t="s">
        <v>146</v>
      </c>
      <c r="B127" s="55">
        <v>81010124</v>
      </c>
      <c r="C127" s="1">
        <v>81010124</v>
      </c>
      <c r="E127" s="2">
        <v>81010124</v>
      </c>
      <c r="F127" s="3" t="s">
        <v>300</v>
      </c>
    </row>
    <row r="128" spans="1:6" ht="15.6">
      <c r="A128" s="17" t="s">
        <v>163</v>
      </c>
      <c r="B128" s="55">
        <v>81010125</v>
      </c>
      <c r="E128" s="2">
        <v>81010125</v>
      </c>
      <c r="F128" s="3" t="s">
        <v>301</v>
      </c>
    </row>
    <row r="129" spans="1:6" ht="15.6">
      <c r="A129" s="17" t="s">
        <v>147</v>
      </c>
      <c r="B129" s="55">
        <v>81010126</v>
      </c>
      <c r="E129" s="2">
        <v>81010126</v>
      </c>
      <c r="F129" s="3" t="s">
        <v>302</v>
      </c>
    </row>
    <row r="130" spans="1:6" ht="15.6">
      <c r="A130" s="17" t="s">
        <v>148</v>
      </c>
      <c r="B130" s="55">
        <v>81010127</v>
      </c>
      <c r="C130" s="1">
        <v>81010127</v>
      </c>
      <c r="E130" s="2">
        <v>81010127</v>
      </c>
      <c r="F130" s="3" t="s">
        <v>303</v>
      </c>
    </row>
    <row r="131" spans="1:6" ht="15.6">
      <c r="A131" s="17" t="s">
        <v>149</v>
      </c>
      <c r="B131" s="55">
        <v>81010128</v>
      </c>
      <c r="E131" s="2">
        <v>81010128</v>
      </c>
      <c r="F131" s="3" t="s">
        <v>304</v>
      </c>
    </row>
    <row r="132" spans="1:6" ht="15.6">
      <c r="A132" s="17" t="s">
        <v>150</v>
      </c>
      <c r="B132" s="55">
        <v>81010129</v>
      </c>
      <c r="C132" s="1">
        <v>81010129</v>
      </c>
      <c r="E132" s="2">
        <v>81010129</v>
      </c>
      <c r="F132" s="3" t="s">
        <v>305</v>
      </c>
    </row>
    <row r="133" spans="1:6" ht="15.6">
      <c r="A133" s="17" t="s">
        <v>151</v>
      </c>
      <c r="B133" s="55">
        <v>81010130</v>
      </c>
      <c r="E133" s="2">
        <v>81010130</v>
      </c>
      <c r="F133" s="3" t="s">
        <v>306</v>
      </c>
    </row>
    <row r="134" spans="1:6" ht="15.6">
      <c r="A134" s="17" t="s">
        <v>152</v>
      </c>
      <c r="B134" s="55">
        <v>81010131</v>
      </c>
      <c r="E134" s="2">
        <v>81010131</v>
      </c>
      <c r="F134" s="3" t="s">
        <v>307</v>
      </c>
    </row>
    <row r="135" spans="1:6" ht="15.6">
      <c r="A135" s="17" t="s">
        <v>153</v>
      </c>
      <c r="B135" s="55">
        <v>81010132</v>
      </c>
      <c r="E135" s="2">
        <v>81010132</v>
      </c>
      <c r="F135" s="3" t="s">
        <v>308</v>
      </c>
    </row>
    <row r="136" spans="1:6" ht="15.6">
      <c r="A136" s="17" t="s">
        <v>154</v>
      </c>
      <c r="B136" s="55">
        <v>81010133</v>
      </c>
      <c r="C136" s="1">
        <v>81010133</v>
      </c>
      <c r="E136" s="2">
        <v>81010133</v>
      </c>
      <c r="F136" s="3" t="s">
        <v>309</v>
      </c>
    </row>
    <row r="137" spans="1:6" ht="15.6">
      <c r="A137" s="17" t="s">
        <v>15</v>
      </c>
      <c r="B137" s="55">
        <v>81010134</v>
      </c>
      <c r="C137" s="1">
        <v>81010134</v>
      </c>
      <c r="E137" s="2">
        <v>81010134</v>
      </c>
      <c r="F137" s="3" t="s">
        <v>310</v>
      </c>
    </row>
    <row r="138" spans="1:6" ht="15.6">
      <c r="A138" s="17" t="s">
        <v>155</v>
      </c>
      <c r="B138" s="55">
        <v>81010135</v>
      </c>
      <c r="C138" s="1">
        <v>81010135</v>
      </c>
      <c r="E138" s="2">
        <v>81010135</v>
      </c>
      <c r="F138" s="3" t="s">
        <v>311</v>
      </c>
    </row>
    <row r="139" spans="1:6" ht="15.6">
      <c r="A139" s="17" t="s">
        <v>156</v>
      </c>
      <c r="B139" s="55">
        <v>81010136</v>
      </c>
      <c r="E139" s="2">
        <v>81010136</v>
      </c>
      <c r="F139" s="3" t="s">
        <v>312</v>
      </c>
    </row>
    <row r="140" spans="1:6" ht="15.6">
      <c r="A140" s="17" t="s">
        <v>128</v>
      </c>
      <c r="B140" s="55">
        <v>81010137</v>
      </c>
      <c r="E140" s="2">
        <v>81010137</v>
      </c>
      <c r="F140" s="3" t="s">
        <v>277</v>
      </c>
    </row>
    <row r="141" spans="1:6" ht="15.6">
      <c r="A141" s="17" t="s">
        <v>50</v>
      </c>
      <c r="B141" s="55">
        <v>81010138</v>
      </c>
      <c r="C141" s="1">
        <v>81010138</v>
      </c>
      <c r="E141" s="2">
        <v>81010138</v>
      </c>
      <c r="F141" s="3" t="s">
        <v>190</v>
      </c>
    </row>
    <row r="142" spans="1:6" ht="15.6">
      <c r="A142" s="17" t="s">
        <v>157</v>
      </c>
      <c r="B142" s="55">
        <v>81010139</v>
      </c>
      <c r="E142" s="2">
        <v>81010139</v>
      </c>
      <c r="F142" s="3" t="s">
        <v>313</v>
      </c>
    </row>
    <row r="143" spans="1:6" ht="15.6">
      <c r="A143" s="17" t="s">
        <v>106</v>
      </c>
      <c r="B143" s="55">
        <v>81010140</v>
      </c>
      <c r="C143" s="1">
        <v>81010140</v>
      </c>
      <c r="E143" s="2">
        <v>81010140</v>
      </c>
      <c r="F143" s="3" t="s">
        <v>251</v>
      </c>
    </row>
    <row r="144" spans="1:6" ht="15.6">
      <c r="A144" s="17" t="s">
        <v>158</v>
      </c>
      <c r="B144" s="55">
        <v>81010141</v>
      </c>
      <c r="E144" s="2">
        <v>81010141</v>
      </c>
      <c r="F144" s="3" t="s">
        <v>314</v>
      </c>
    </row>
    <row r="145" spans="1:6" ht="15.6">
      <c r="A145" s="17" t="s">
        <v>33</v>
      </c>
      <c r="B145" s="55">
        <v>81010142</v>
      </c>
      <c r="C145" s="1">
        <v>81010142</v>
      </c>
      <c r="E145" s="2">
        <v>81010142</v>
      </c>
      <c r="F145" s="3" t="s">
        <v>210</v>
      </c>
    </row>
    <row r="146" spans="1:6" ht="15.6">
      <c r="A146" s="17" t="s">
        <v>407</v>
      </c>
      <c r="B146" s="55">
        <v>81010143</v>
      </c>
      <c r="C146" s="1" t="e">
        <v>#N/A</v>
      </c>
      <c r="E146" s="2">
        <v>81010143</v>
      </c>
      <c r="F146" s="3" t="s">
        <v>315</v>
      </c>
    </row>
    <row r="147" spans="1:6" ht="15.6">
      <c r="A147" s="17" t="s">
        <v>168</v>
      </c>
      <c r="B147" s="55">
        <v>81010144</v>
      </c>
      <c r="C147" s="1">
        <v>81010144</v>
      </c>
      <c r="E147" s="2">
        <v>81010144</v>
      </c>
      <c r="F147" s="3" t="s">
        <v>316</v>
      </c>
    </row>
    <row r="148" spans="1:6" ht="15.6">
      <c r="A148" s="17" t="s">
        <v>159</v>
      </c>
      <c r="B148" s="55">
        <v>81010145</v>
      </c>
      <c r="E148" s="2">
        <v>81010145</v>
      </c>
      <c r="F148" s="3" t="s">
        <v>317</v>
      </c>
    </row>
    <row r="149" spans="1:6" ht="15.6">
      <c r="A149" s="17" t="s">
        <v>160</v>
      </c>
      <c r="B149" s="55">
        <v>81010146</v>
      </c>
      <c r="C149" s="1">
        <v>81010146</v>
      </c>
      <c r="E149" s="2">
        <v>81010146</v>
      </c>
      <c r="F149" s="3" t="s">
        <v>318</v>
      </c>
    </row>
    <row r="150" spans="1:6" ht="15.6">
      <c r="A150" s="17" t="s">
        <v>161</v>
      </c>
      <c r="B150" s="55">
        <v>81010147</v>
      </c>
      <c r="E150" s="2">
        <v>81010147</v>
      </c>
      <c r="F150" s="3" t="s">
        <v>319</v>
      </c>
    </row>
    <row r="151" spans="1:6" ht="15.6">
      <c r="A151" s="16" t="s">
        <v>162</v>
      </c>
      <c r="B151" s="55">
        <v>81010105</v>
      </c>
      <c r="E151" s="2">
        <v>81010148</v>
      </c>
      <c r="F151" s="3" t="s">
        <v>320</v>
      </c>
    </row>
    <row r="152" spans="1:6" ht="15.6">
      <c r="A152" s="17" t="s">
        <v>37</v>
      </c>
      <c r="B152" s="55">
        <v>81010148</v>
      </c>
      <c r="E152" s="2">
        <v>81010149</v>
      </c>
      <c r="F152" s="3" t="s">
        <v>321</v>
      </c>
    </row>
    <row r="153" spans="1:6" ht="15.6">
      <c r="A153" s="17" t="s">
        <v>166</v>
      </c>
      <c r="B153" s="55">
        <v>81010150</v>
      </c>
      <c r="C153" s="1">
        <v>81010150</v>
      </c>
      <c r="E153" s="2">
        <v>81010150</v>
      </c>
      <c r="F153" s="3" t="s">
        <v>322</v>
      </c>
    </row>
    <row r="154" spans="1:6" ht="15.6">
      <c r="A154" s="17" t="s">
        <v>169</v>
      </c>
      <c r="B154" s="55">
        <v>81010152</v>
      </c>
      <c r="E154" s="2">
        <v>81010151</v>
      </c>
      <c r="F154" s="3" t="s">
        <v>323</v>
      </c>
    </row>
    <row r="155" spans="1:6" ht="15.6">
      <c r="A155" s="17" t="s">
        <v>172</v>
      </c>
      <c r="B155" s="55">
        <v>81010151</v>
      </c>
      <c r="C155" s="1">
        <v>81010151</v>
      </c>
      <c r="E155" s="2">
        <v>81010152</v>
      </c>
      <c r="F155" s="3" t="s">
        <v>329</v>
      </c>
    </row>
    <row r="156" spans="1:6" ht="15.6">
      <c r="A156" s="3" t="s">
        <v>352</v>
      </c>
      <c r="B156" s="2">
        <v>81010153</v>
      </c>
      <c r="E156" s="65">
        <v>81010922</v>
      </c>
      <c r="F156" s="3" t="s">
        <v>412</v>
      </c>
    </row>
    <row r="157" spans="1:6" ht="15.6">
      <c r="A157" s="3" t="s">
        <v>408</v>
      </c>
      <c r="B157" s="2">
        <v>81010154</v>
      </c>
      <c r="C157" s="1" t="e">
        <v>#N/A</v>
      </c>
      <c r="E157" s="18">
        <v>81010902</v>
      </c>
      <c r="F157" s="17" t="s">
        <v>422</v>
      </c>
    </row>
    <row r="158" spans="1:6" ht="15.6">
      <c r="A158" s="3" t="s">
        <v>966</v>
      </c>
      <c r="B158" s="2">
        <v>81010155</v>
      </c>
      <c r="C158" s="1">
        <v>81010155</v>
      </c>
      <c r="E158" s="2"/>
      <c r="F158" s="3"/>
    </row>
    <row r="159" spans="1:6" ht="15.6">
      <c r="A159" s="3" t="s">
        <v>353</v>
      </c>
      <c r="B159" s="2">
        <v>81010156</v>
      </c>
      <c r="C159" s="1">
        <v>81010156</v>
      </c>
      <c r="E159" s="2"/>
      <c r="F159" s="3"/>
    </row>
    <row r="160" spans="1:6" ht="15.6">
      <c r="A160" s="3" t="s">
        <v>351</v>
      </c>
      <c r="B160" s="2">
        <v>81010157</v>
      </c>
      <c r="E160" s="2"/>
      <c r="F160" s="3"/>
    </row>
    <row r="161" spans="1:6" ht="15.6">
      <c r="A161" s="3" t="s">
        <v>364</v>
      </c>
      <c r="B161" s="2">
        <v>81010158</v>
      </c>
      <c r="E161" s="2"/>
      <c r="F161" s="3"/>
    </row>
    <row r="162" spans="1:6" ht="15.6">
      <c r="A162" s="3" t="s">
        <v>365</v>
      </c>
      <c r="B162" s="2">
        <v>81010159</v>
      </c>
      <c r="E162" s="2"/>
      <c r="F162" s="3"/>
    </row>
    <row r="163" spans="1:6" ht="15.6">
      <c r="A163" s="3" t="s">
        <v>366</v>
      </c>
      <c r="B163" s="2">
        <v>81010160</v>
      </c>
      <c r="C163" s="1">
        <v>81010160</v>
      </c>
      <c r="E163" s="2"/>
      <c r="F163" s="3"/>
    </row>
    <row r="164" spans="1:6" ht="15.6">
      <c r="A164" s="3" t="s">
        <v>367</v>
      </c>
      <c r="B164" s="2">
        <v>81010161</v>
      </c>
      <c r="E164" s="2"/>
      <c r="F164" s="3"/>
    </row>
    <row r="165" spans="1:6" ht="15.6">
      <c r="A165" s="3" t="s">
        <v>394</v>
      </c>
      <c r="B165" s="2">
        <v>81010162</v>
      </c>
      <c r="E165" s="2"/>
      <c r="F165" s="3"/>
    </row>
    <row r="166" spans="1:6" ht="15.6">
      <c r="A166" s="3" t="s">
        <v>377</v>
      </c>
      <c r="B166" s="2">
        <v>81010163</v>
      </c>
      <c r="E166" s="2"/>
      <c r="F166" s="3"/>
    </row>
    <row r="167" spans="1:6" ht="15.6">
      <c r="A167" s="3" t="s">
        <v>381</v>
      </c>
      <c r="B167" s="2">
        <v>81010164</v>
      </c>
      <c r="E167" s="2"/>
      <c r="F167" s="3"/>
    </row>
    <row r="168" spans="1:6" ht="15.6">
      <c r="A168" s="82" t="s">
        <v>436</v>
      </c>
      <c r="B168" s="2"/>
      <c r="E168" s="2"/>
      <c r="F168" s="3"/>
    </row>
    <row r="169" spans="1:6" ht="15.6">
      <c r="A169" s="3" t="s">
        <v>437</v>
      </c>
      <c r="B169" s="2">
        <v>81010165</v>
      </c>
      <c r="C169" s="1">
        <v>81010165</v>
      </c>
      <c r="E169" s="2"/>
      <c r="F169" s="3"/>
    </row>
    <row r="170" spans="1:6" ht="15.6">
      <c r="A170" s="3" t="s">
        <v>438</v>
      </c>
      <c r="B170" s="2">
        <v>81010166</v>
      </c>
      <c r="E170" s="2"/>
      <c r="F170" s="3"/>
    </row>
    <row r="171" spans="1:6" ht="15.6">
      <c r="A171" s="3" t="s">
        <v>439</v>
      </c>
      <c r="B171" s="2">
        <v>81010168</v>
      </c>
      <c r="E171" s="2"/>
      <c r="F171" s="3"/>
    </row>
    <row r="172" spans="1:6" ht="15.6">
      <c r="A172" s="3" t="s">
        <v>393</v>
      </c>
      <c r="B172" s="2">
        <v>81010169</v>
      </c>
      <c r="C172" s="1">
        <v>81010169</v>
      </c>
      <c r="E172" s="2"/>
      <c r="F172" s="3"/>
    </row>
    <row r="173" spans="1:6" ht="15.6">
      <c r="A173" s="50" t="s">
        <v>440</v>
      </c>
      <c r="B173" s="2">
        <v>81010170</v>
      </c>
      <c r="E173" s="2">
        <v>81010153</v>
      </c>
      <c r="F173" s="3" t="s">
        <v>330</v>
      </c>
    </row>
    <row r="174" spans="1:6" ht="15.6">
      <c r="A174" s="3" t="s">
        <v>441</v>
      </c>
      <c r="B174" s="2">
        <v>81010171</v>
      </c>
    </row>
    <row r="175" spans="1:6" ht="15.6">
      <c r="A175" s="3" t="s">
        <v>442</v>
      </c>
      <c r="B175" s="66">
        <v>81010922</v>
      </c>
    </row>
    <row r="176" spans="1:6" ht="15.6">
      <c r="A176" s="17" t="s">
        <v>443</v>
      </c>
      <c r="B176" s="55">
        <v>81010174</v>
      </c>
    </row>
    <row r="177" spans="1:5" ht="15.6">
      <c r="A177" s="3" t="s">
        <v>444</v>
      </c>
      <c r="B177" s="2">
        <v>81010173</v>
      </c>
      <c r="C177" s="1">
        <v>81010173</v>
      </c>
    </row>
    <row r="178" spans="1:5" ht="15.6">
      <c r="A178" s="3" t="s">
        <v>445</v>
      </c>
      <c r="B178" s="2">
        <v>81010174</v>
      </c>
    </row>
    <row r="179" spans="1:5" ht="15.6">
      <c r="A179" s="3" t="s">
        <v>446</v>
      </c>
      <c r="B179" s="2">
        <v>81010175</v>
      </c>
    </row>
    <row r="180" spans="1:5" ht="15.6">
      <c r="A180" s="54" t="s">
        <v>447</v>
      </c>
      <c r="B180" s="57">
        <v>81010176</v>
      </c>
    </row>
    <row r="181" spans="1:5" ht="15.6">
      <c r="A181" s="54" t="s">
        <v>448</v>
      </c>
      <c r="B181" s="57">
        <v>81010177</v>
      </c>
    </row>
    <row r="182" spans="1:5" ht="15.6">
      <c r="A182" s="54" t="s">
        <v>476</v>
      </c>
      <c r="B182" s="68">
        <v>81010929</v>
      </c>
    </row>
    <row r="183" spans="1:5" ht="15.6">
      <c r="A183" s="17" t="s">
        <v>449</v>
      </c>
      <c r="B183" s="55">
        <v>81010910</v>
      </c>
    </row>
    <row r="184" spans="1:5" ht="15.6">
      <c r="A184" s="17" t="s">
        <v>450</v>
      </c>
      <c r="B184" s="55">
        <v>81010907</v>
      </c>
    </row>
    <row r="185" spans="1:5" ht="15.6">
      <c r="A185" s="17" t="s">
        <v>451</v>
      </c>
      <c r="B185" s="55">
        <v>81010904</v>
      </c>
      <c r="C185" s="1" t="s">
        <v>396</v>
      </c>
    </row>
    <row r="186" spans="1:5" ht="15.6">
      <c r="A186" s="25" t="s">
        <v>452</v>
      </c>
      <c r="B186" s="56">
        <v>81010904</v>
      </c>
      <c r="C186" s="1" t="s">
        <v>396</v>
      </c>
    </row>
    <row r="187" spans="1:5" ht="15.6">
      <c r="A187" s="17" t="s">
        <v>453</v>
      </c>
      <c r="B187" s="55">
        <v>81010911</v>
      </c>
    </row>
    <row r="188" spans="1:5" ht="15.6">
      <c r="A188" s="17" t="s">
        <v>454</v>
      </c>
      <c r="B188" s="55">
        <v>81010911</v>
      </c>
    </row>
    <row r="189" spans="1:5" ht="15.6">
      <c r="A189" s="17" t="s">
        <v>455</v>
      </c>
      <c r="B189" s="18">
        <v>81010912</v>
      </c>
    </row>
    <row r="190" spans="1:5" ht="15.6">
      <c r="A190" s="17" t="s">
        <v>456</v>
      </c>
      <c r="B190" s="18">
        <v>81010902</v>
      </c>
      <c r="E190" s="4" t="e">
        <f>'Raw data'!#REF!</f>
        <v>#REF!</v>
      </c>
    </row>
    <row r="191" spans="1:5" ht="15.6">
      <c r="A191" s="17" t="s">
        <v>475</v>
      </c>
      <c r="B191" s="18">
        <v>81010902</v>
      </c>
    </row>
    <row r="192" spans="1:5" ht="15.6">
      <c r="A192" s="17" t="s">
        <v>477</v>
      </c>
      <c r="B192" s="18">
        <v>81010903</v>
      </c>
    </row>
    <row r="193" spans="1:4" ht="15.6">
      <c r="A193" s="21" t="s">
        <v>522</v>
      </c>
      <c r="B193" s="18">
        <v>81010905</v>
      </c>
    </row>
    <row r="194" spans="1:4" ht="15.6">
      <c r="A194" s="21"/>
      <c r="B194" s="18"/>
    </row>
    <row r="195" spans="1:4" ht="15.6">
      <c r="A195" s="17" t="s">
        <v>457</v>
      </c>
      <c r="B195" s="18">
        <v>81010912</v>
      </c>
    </row>
    <row r="196" spans="1:4" ht="15.6">
      <c r="A196" s="17" t="s">
        <v>458</v>
      </c>
      <c r="B196" s="18">
        <v>81010915</v>
      </c>
    </row>
    <row r="197" spans="1:4" ht="15.6">
      <c r="A197" s="17" t="s">
        <v>459</v>
      </c>
      <c r="B197" s="18">
        <v>81010915</v>
      </c>
    </row>
    <row r="198" spans="1:4" ht="15.6">
      <c r="A198" s="17" t="s">
        <v>460</v>
      </c>
      <c r="B198" s="18">
        <v>81010925</v>
      </c>
      <c r="D198" s="1" t="s">
        <v>415</v>
      </c>
    </row>
    <row r="199" spans="1:4" ht="15.6">
      <c r="A199" s="17" t="s">
        <v>461</v>
      </c>
      <c r="B199" s="18">
        <v>81010925</v>
      </c>
      <c r="D199" s="1" t="s">
        <v>415</v>
      </c>
    </row>
    <row r="200" spans="1:4" ht="15.6">
      <c r="A200" s="67" t="s">
        <v>462</v>
      </c>
      <c r="B200" s="68">
        <v>81010924</v>
      </c>
    </row>
    <row r="201" spans="1:4" ht="15.6">
      <c r="A201" s="16" t="s">
        <v>463</v>
      </c>
      <c r="B201" s="55"/>
    </row>
    <row r="202" spans="1:4" ht="15.6">
      <c r="A202" s="24" t="s">
        <v>464</v>
      </c>
      <c r="B202" s="55">
        <v>81010901</v>
      </c>
    </row>
    <row r="203" spans="1:4" ht="15.6">
      <c r="A203" s="23">
        <v>9111</v>
      </c>
      <c r="B203" s="58">
        <v>81010902</v>
      </c>
      <c r="C203" s="21" t="s">
        <v>326</v>
      </c>
    </row>
    <row r="204" spans="1:4" ht="15.6">
      <c r="A204" s="23">
        <v>9101</v>
      </c>
      <c r="B204" s="58">
        <v>81010903</v>
      </c>
      <c r="C204" s="21" t="s">
        <v>327</v>
      </c>
    </row>
    <row r="205" spans="1:4" ht="15.6">
      <c r="A205" s="22">
        <v>196</v>
      </c>
      <c r="B205" s="55">
        <v>81010904</v>
      </c>
      <c r="C205" s="17" t="s">
        <v>406</v>
      </c>
    </row>
    <row r="206" spans="1:4" ht="15.6">
      <c r="A206" s="23">
        <v>9121</v>
      </c>
      <c r="B206" s="58">
        <v>81010905</v>
      </c>
      <c r="C206" s="21" t="s">
        <v>176</v>
      </c>
    </row>
    <row r="207" spans="1:4" ht="15.6">
      <c r="A207" s="23">
        <v>9125</v>
      </c>
      <c r="B207" s="58">
        <v>81010925</v>
      </c>
      <c r="C207" s="21" t="s">
        <v>414</v>
      </c>
    </row>
    <row r="208" spans="1:4" ht="15.6">
      <c r="A208" s="19" t="s">
        <v>465</v>
      </c>
      <c r="B208" s="55">
        <v>81010907</v>
      </c>
      <c r="C208" s="1" t="s">
        <v>359</v>
      </c>
    </row>
    <row r="209" spans="1:4" ht="15.6">
      <c r="A209" s="19" t="s">
        <v>466</v>
      </c>
      <c r="B209" s="55">
        <v>81010911</v>
      </c>
      <c r="C209" s="32" t="s">
        <v>395</v>
      </c>
    </row>
    <row r="210" spans="1:4" ht="15.6">
      <c r="A210" s="34">
        <v>9133</v>
      </c>
      <c r="B210" s="59">
        <v>81010912</v>
      </c>
    </row>
    <row r="211" spans="1:4" ht="15.6">
      <c r="A211" s="34">
        <v>9135</v>
      </c>
      <c r="B211" s="59">
        <v>81010904</v>
      </c>
    </row>
    <row r="212" spans="1:4" ht="15.6">
      <c r="A212" s="33" t="s">
        <v>467</v>
      </c>
      <c r="B212" s="60">
        <v>81010911</v>
      </c>
      <c r="C212" s="39" t="s">
        <v>390</v>
      </c>
    </row>
    <row r="213" spans="1:4" ht="15.6">
      <c r="A213" s="37" t="s">
        <v>468</v>
      </c>
      <c r="B213" s="61">
        <v>81010911</v>
      </c>
      <c r="C213" s="39" t="s">
        <v>391</v>
      </c>
    </row>
    <row r="214" spans="1:4" ht="15.6">
      <c r="A214" s="38">
        <v>9507</v>
      </c>
      <c r="B214" s="62">
        <v>81010907</v>
      </c>
      <c r="C214" s="1" t="s">
        <v>392</v>
      </c>
    </row>
    <row r="215" spans="1:4" ht="15.6">
      <c r="A215" s="47">
        <v>9517</v>
      </c>
      <c r="B215" s="63">
        <v>81010910</v>
      </c>
      <c r="C215" s="1" t="s">
        <v>392</v>
      </c>
    </row>
    <row r="216" spans="1:4" ht="15.6">
      <c r="A216" s="39" t="s">
        <v>469</v>
      </c>
      <c r="B216" s="62">
        <v>81010904</v>
      </c>
    </row>
    <row r="217" spans="1:4" ht="15.6">
      <c r="A217" s="39" t="s">
        <v>470</v>
      </c>
      <c r="B217" s="62">
        <v>81010904</v>
      </c>
    </row>
    <row r="218" spans="1:4">
      <c r="A218" s="1" t="s">
        <v>471</v>
      </c>
      <c r="B218" s="64">
        <v>81010921</v>
      </c>
    </row>
    <row r="219" spans="1:4" ht="15.6">
      <c r="A219" s="123">
        <v>9126</v>
      </c>
      <c r="B219" s="124">
        <v>81011006</v>
      </c>
      <c r="C219" s="125" t="s">
        <v>500</v>
      </c>
      <c r="D219" s="1" t="s">
        <v>647</v>
      </c>
    </row>
    <row r="220" spans="1:4" ht="15.6">
      <c r="A220" s="126">
        <v>9127</v>
      </c>
      <c r="B220" s="124">
        <v>81011007</v>
      </c>
      <c r="C220" s="125" t="s">
        <v>581</v>
      </c>
      <c r="D220" s="1" t="s">
        <v>647</v>
      </c>
    </row>
    <row r="221" spans="1:4" ht="15.6">
      <c r="A221" s="1">
        <v>9116</v>
      </c>
      <c r="B221" s="58">
        <v>81010902</v>
      </c>
      <c r="C221" s="1" t="s">
        <v>595</v>
      </c>
    </row>
    <row r="223" spans="1:4">
      <c r="A223" s="1" t="s">
        <v>585</v>
      </c>
      <c r="B223" s="64">
        <v>81010937</v>
      </c>
      <c r="C223" s="1" t="s">
        <v>585</v>
      </c>
    </row>
    <row r="224" spans="1:4">
      <c r="A224" s="1" t="s">
        <v>586</v>
      </c>
      <c r="B224" s="64">
        <v>81010938</v>
      </c>
      <c r="C224" s="1" t="s">
        <v>586</v>
      </c>
    </row>
    <row r="225" spans="1:3">
      <c r="A225" s="1" t="s">
        <v>587</v>
      </c>
      <c r="B225" s="64">
        <v>81010961</v>
      </c>
      <c r="C225" s="1" t="s">
        <v>587</v>
      </c>
    </row>
    <row r="226" spans="1:3">
      <c r="A226" s="1" t="s">
        <v>588</v>
      </c>
      <c r="B226" s="64">
        <v>81010962</v>
      </c>
      <c r="C226" s="1" t="s">
        <v>588</v>
      </c>
    </row>
    <row r="227" spans="1:3">
      <c r="A227" s="1" t="s">
        <v>589</v>
      </c>
      <c r="B227" s="64">
        <v>81010964</v>
      </c>
      <c r="C227" s="1" t="s">
        <v>589</v>
      </c>
    </row>
    <row r="228" spans="1:3">
      <c r="A228" s="1" t="s">
        <v>590</v>
      </c>
      <c r="B228" s="64">
        <v>81010963</v>
      </c>
      <c r="C228" s="1" t="s">
        <v>590</v>
      </c>
    </row>
    <row r="229" spans="1:3">
      <c r="A229" s="1" t="s">
        <v>591</v>
      </c>
      <c r="C229" s="1" t="s">
        <v>591</v>
      </c>
    </row>
    <row r="230" spans="1:3" ht="15.6">
      <c r="A230">
        <v>9117</v>
      </c>
      <c r="B230" s="58">
        <v>81010902</v>
      </c>
      <c r="C230" s="1" t="s">
        <v>595</v>
      </c>
    </row>
    <row r="231" spans="1:3" ht="15.6">
      <c r="A231">
        <v>1705</v>
      </c>
      <c r="B231" s="58">
        <v>81010905</v>
      </c>
      <c r="C231" s="21" t="s">
        <v>581</v>
      </c>
    </row>
    <row r="232" spans="1:3">
      <c r="A232" s="1" t="s">
        <v>615</v>
      </c>
      <c r="B232" s="64">
        <v>6408</v>
      </c>
      <c r="C232" s="1" t="s">
        <v>615</v>
      </c>
    </row>
    <row r="233" spans="1:3" ht="17.399999999999999">
      <c r="A233" s="154" t="s">
        <v>1022</v>
      </c>
      <c r="B233">
        <v>1118</v>
      </c>
    </row>
    <row r="234" spans="1:3" ht="17.399999999999999">
      <c r="A234" s="154" t="s">
        <v>1020</v>
      </c>
      <c r="B234">
        <v>1107</v>
      </c>
    </row>
    <row r="235" spans="1:3" ht="17.399999999999999">
      <c r="A235" s="154" t="s">
        <v>1027</v>
      </c>
      <c r="B235">
        <v>1135</v>
      </c>
    </row>
    <row r="236" spans="1:3" ht="17.399999999999999">
      <c r="A236" s="154" t="s">
        <v>1014</v>
      </c>
      <c r="B236">
        <v>1072</v>
      </c>
    </row>
    <row r="237" spans="1:3" ht="17.399999999999999">
      <c r="A237" s="154" t="s">
        <v>1002</v>
      </c>
      <c r="B237">
        <v>1054</v>
      </c>
    </row>
    <row r="238" spans="1:3" ht="17.399999999999999">
      <c r="A238" s="154" t="s">
        <v>1029</v>
      </c>
      <c r="B238">
        <v>1138</v>
      </c>
    </row>
    <row r="239" spans="1:3" ht="17.399999999999999">
      <c r="A239" s="154" t="s">
        <v>993</v>
      </c>
      <c r="B239">
        <v>1039</v>
      </c>
    </row>
    <row r="240" spans="1:3" ht="17.399999999999999">
      <c r="A240" s="154" t="s">
        <v>982</v>
      </c>
      <c r="B240">
        <v>1025</v>
      </c>
    </row>
    <row r="241" spans="1:2" ht="17.399999999999999">
      <c r="A241" s="154" t="s">
        <v>971</v>
      </c>
      <c r="B241">
        <v>8544</v>
      </c>
    </row>
    <row r="242" spans="1:2" ht="17.399999999999999">
      <c r="A242" s="154" t="s">
        <v>970</v>
      </c>
      <c r="B242">
        <v>8502</v>
      </c>
    </row>
    <row r="243" spans="1:2" ht="17.399999999999999">
      <c r="A243" s="154" t="s">
        <v>1017</v>
      </c>
      <c r="B243">
        <v>1086</v>
      </c>
    </row>
    <row r="244" spans="1:2" ht="17.399999999999999">
      <c r="A244" s="154" t="s">
        <v>1023</v>
      </c>
      <c r="B244">
        <v>1121</v>
      </c>
    </row>
    <row r="245" spans="1:2" ht="17.399999999999999">
      <c r="A245" s="154" t="s">
        <v>1011</v>
      </c>
      <c r="B245">
        <v>1075</v>
      </c>
    </row>
    <row r="246" spans="1:2" ht="17.399999999999999">
      <c r="A246" s="154" t="s">
        <v>1001</v>
      </c>
      <c r="B246">
        <v>1052</v>
      </c>
    </row>
    <row r="247" spans="1:2" ht="17.399999999999999">
      <c r="A247" s="154" t="s">
        <v>992</v>
      </c>
      <c r="B247">
        <v>1038</v>
      </c>
    </row>
    <row r="248" spans="1:2" ht="17.399999999999999">
      <c r="A248" s="154" t="s">
        <v>1024</v>
      </c>
      <c r="B248">
        <v>1123</v>
      </c>
    </row>
    <row r="249" spans="1:2" ht="17.399999999999999">
      <c r="A249" s="154" t="s">
        <v>981</v>
      </c>
      <c r="B249">
        <v>1024</v>
      </c>
    </row>
    <row r="250" spans="1:2" ht="17.399999999999999">
      <c r="A250" s="154" t="s">
        <v>980</v>
      </c>
      <c r="B250">
        <v>1022</v>
      </c>
    </row>
    <row r="251" spans="1:2" ht="17.399999999999999">
      <c r="A251" s="154" t="s">
        <v>996</v>
      </c>
      <c r="B251">
        <v>1045</v>
      </c>
    </row>
    <row r="252" spans="1:2" ht="17.399999999999999">
      <c r="A252" s="154" t="s">
        <v>1019</v>
      </c>
      <c r="B252">
        <v>1094</v>
      </c>
    </row>
    <row r="253" spans="1:2" ht="17.399999999999999">
      <c r="A253" s="154" t="s">
        <v>972</v>
      </c>
      <c r="B253">
        <v>1003</v>
      </c>
    </row>
    <row r="254" spans="1:2" ht="17.399999999999999">
      <c r="A254" s="154" t="s">
        <v>999</v>
      </c>
      <c r="B254">
        <v>1050</v>
      </c>
    </row>
    <row r="255" spans="1:2" ht="17.399999999999999">
      <c r="A255" s="154" t="s">
        <v>976</v>
      </c>
      <c r="B255">
        <v>1015</v>
      </c>
    </row>
    <row r="256" spans="1:2" ht="17.399999999999999">
      <c r="A256" s="154" t="s">
        <v>978</v>
      </c>
      <c r="B256">
        <v>1019</v>
      </c>
    </row>
    <row r="257" spans="1:2" ht="17.399999999999999">
      <c r="A257" s="154" t="s">
        <v>1015</v>
      </c>
      <c r="B257">
        <v>1081</v>
      </c>
    </row>
    <row r="258" spans="1:2" ht="17.399999999999999">
      <c r="A258" s="154" t="s">
        <v>1008</v>
      </c>
      <c r="B258">
        <v>1067</v>
      </c>
    </row>
    <row r="259" spans="1:2" ht="17.399999999999999">
      <c r="A259" s="154" t="s">
        <v>1021</v>
      </c>
      <c r="B259">
        <v>1110</v>
      </c>
    </row>
    <row r="260" spans="1:2" ht="17.399999999999999">
      <c r="A260" s="154" t="s">
        <v>975</v>
      </c>
      <c r="B260">
        <v>1014</v>
      </c>
    </row>
    <row r="261" spans="1:2" ht="17.399999999999999">
      <c r="A261" s="154" t="s">
        <v>983</v>
      </c>
      <c r="B261">
        <v>1026</v>
      </c>
    </row>
    <row r="262" spans="1:2" ht="17.399999999999999">
      <c r="A262" s="154" t="s">
        <v>1026</v>
      </c>
      <c r="B262">
        <v>1132</v>
      </c>
    </row>
    <row r="263" spans="1:2" ht="17.399999999999999">
      <c r="A263" s="154" t="s">
        <v>1000</v>
      </c>
      <c r="B263">
        <v>1049</v>
      </c>
    </row>
    <row r="264" spans="1:2" ht="17.399999999999999">
      <c r="A264" s="154" t="s">
        <v>984</v>
      </c>
      <c r="B264">
        <v>1029</v>
      </c>
    </row>
    <row r="265" spans="1:2" ht="17.399999999999999">
      <c r="A265" s="154" t="s">
        <v>986</v>
      </c>
      <c r="B265">
        <v>1030</v>
      </c>
    </row>
    <row r="266" spans="1:2" ht="17.399999999999999">
      <c r="A266" s="154" t="s">
        <v>998</v>
      </c>
      <c r="B266">
        <v>1048</v>
      </c>
    </row>
    <row r="267" spans="1:2" ht="17.399999999999999">
      <c r="A267" s="154" t="s">
        <v>1028</v>
      </c>
      <c r="B267">
        <v>1139</v>
      </c>
    </row>
    <row r="268" spans="1:2" ht="17.399999999999999">
      <c r="A268" s="154" t="s">
        <v>1013</v>
      </c>
      <c r="B268">
        <v>1078</v>
      </c>
    </row>
    <row r="269" spans="1:2" ht="17.399999999999999">
      <c r="A269" s="154" t="s">
        <v>1005</v>
      </c>
      <c r="B269">
        <v>1061</v>
      </c>
    </row>
    <row r="270" spans="1:2" ht="17.399999999999999">
      <c r="A270" s="154" t="s">
        <v>997</v>
      </c>
      <c r="B270">
        <v>1044</v>
      </c>
    </row>
    <row r="271" spans="1:2" ht="17.399999999999999">
      <c r="A271" s="154" t="s">
        <v>1006</v>
      </c>
      <c r="B271">
        <v>1062</v>
      </c>
    </row>
    <row r="272" spans="1:2" ht="17.399999999999999">
      <c r="A272" s="154" t="s">
        <v>989</v>
      </c>
      <c r="B272">
        <v>1034</v>
      </c>
    </row>
    <row r="273" spans="1:2" ht="17.399999999999999">
      <c r="A273" s="154" t="s">
        <v>1016</v>
      </c>
      <c r="B273">
        <v>1084</v>
      </c>
    </row>
    <row r="274" spans="1:2" ht="17.399999999999999">
      <c r="A274" s="154" t="s">
        <v>995</v>
      </c>
      <c r="B274">
        <v>1042</v>
      </c>
    </row>
    <row r="275" spans="1:2" ht="17.399999999999999">
      <c r="A275" s="154" t="s">
        <v>990</v>
      </c>
      <c r="B275">
        <v>1036</v>
      </c>
    </row>
    <row r="276" spans="1:2" ht="17.399999999999999">
      <c r="A276" s="154" t="s">
        <v>1003</v>
      </c>
      <c r="B276">
        <v>1060</v>
      </c>
    </row>
    <row r="277" spans="1:2" ht="17.399999999999999">
      <c r="A277" s="154" t="s">
        <v>979</v>
      </c>
      <c r="B277">
        <v>1020</v>
      </c>
    </row>
    <row r="278" spans="1:2" ht="17.399999999999999">
      <c r="A278" s="154" t="s">
        <v>1012</v>
      </c>
      <c r="B278">
        <v>1076</v>
      </c>
    </row>
    <row r="279" spans="1:2" ht="17.399999999999999">
      <c r="A279" s="154" t="s">
        <v>973</v>
      </c>
      <c r="B279">
        <v>1004</v>
      </c>
    </row>
    <row r="280" spans="1:2" ht="17.399999999999999">
      <c r="A280" s="154" t="s">
        <v>1009</v>
      </c>
      <c r="B280">
        <v>1068</v>
      </c>
    </row>
    <row r="281" spans="1:2" ht="17.399999999999999">
      <c r="A281" s="154" t="s">
        <v>991</v>
      </c>
      <c r="B281">
        <v>1097</v>
      </c>
    </row>
    <row r="282" spans="1:2" ht="17.399999999999999">
      <c r="A282" s="154" t="s">
        <v>994</v>
      </c>
      <c r="B282">
        <v>1040</v>
      </c>
    </row>
    <row r="283" spans="1:2" ht="17.399999999999999">
      <c r="A283" s="154" t="s">
        <v>1025</v>
      </c>
      <c r="B283">
        <v>1127</v>
      </c>
    </row>
    <row r="284" spans="1:2" ht="17.399999999999999">
      <c r="A284" s="154" t="s">
        <v>974</v>
      </c>
      <c r="B284">
        <v>1009</v>
      </c>
    </row>
    <row r="285" spans="1:2" ht="17.399999999999999">
      <c r="A285" s="154" t="s">
        <v>1010</v>
      </c>
      <c r="B285">
        <v>1066</v>
      </c>
    </row>
    <row r="286" spans="1:2" ht="17.399999999999999">
      <c r="A286" s="154" t="s">
        <v>987</v>
      </c>
      <c r="B286">
        <v>1031</v>
      </c>
    </row>
    <row r="287" spans="1:2" ht="17.399999999999999">
      <c r="A287" s="154" t="s">
        <v>1007</v>
      </c>
      <c r="B287">
        <v>1064</v>
      </c>
    </row>
    <row r="288" spans="1:2" ht="17.399999999999999">
      <c r="A288" s="154" t="s">
        <v>1004</v>
      </c>
      <c r="B288">
        <v>1102</v>
      </c>
    </row>
    <row r="289" spans="1:3" ht="17.399999999999999">
      <c r="A289" s="154" t="s">
        <v>988</v>
      </c>
      <c r="B289">
        <v>1035</v>
      </c>
    </row>
    <row r="290" spans="1:3" ht="17.399999999999999">
      <c r="A290" s="154" t="s">
        <v>1018</v>
      </c>
      <c r="B290">
        <v>1088</v>
      </c>
    </row>
    <row r="291" spans="1:3" ht="17.399999999999999">
      <c r="A291" s="154" t="s">
        <v>977</v>
      </c>
      <c r="B291">
        <v>1018</v>
      </c>
    </row>
    <row r="292" spans="1:3" ht="17.399999999999999">
      <c r="A292" s="154" t="s">
        <v>985</v>
      </c>
      <c r="B292">
        <v>1096</v>
      </c>
    </row>
    <row r="293" spans="1:3" ht="17.399999999999999">
      <c r="A293" s="152">
        <v>9110</v>
      </c>
      <c r="B293" s="10">
        <v>81010902</v>
      </c>
      <c r="C293" s="1" t="s">
        <v>595</v>
      </c>
    </row>
    <row r="294" spans="1:3">
      <c r="A294" s="1">
        <v>9120</v>
      </c>
      <c r="B294" s="12">
        <v>81010905</v>
      </c>
      <c r="C294" s="1" t="s">
        <v>581</v>
      </c>
    </row>
    <row r="295" spans="1:3">
      <c r="A295" s="1">
        <v>9100</v>
      </c>
      <c r="B295" s="11">
        <v>81010903</v>
      </c>
      <c r="C295" s="1" t="s">
        <v>327</v>
      </c>
    </row>
  </sheetData>
  <autoFilter ref="A2:C37" xr:uid="{00000000-0009-0000-0000-000004000000}"/>
  <phoneticPr fontId="91" type="noConversion"/>
  <dataValidations count="1">
    <dataValidation allowBlank="1" showInputMessage="1" showErrorMessage="1" errorTitle="오류" error="다시 선택하세요" sqref="E2:E61" xr:uid="{00000000-0002-0000-0400-000000000000}"/>
  </dataValidations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E5A4-2FCC-499A-8184-F6FCAAC5E3B3}">
  <dimension ref="A3:B284"/>
  <sheetViews>
    <sheetView workbookViewId="0">
      <selection activeCell="E18" sqref="E18"/>
    </sheetView>
  </sheetViews>
  <sheetFormatPr defaultRowHeight="14.4"/>
  <sheetData>
    <row r="3" spans="1:2">
      <c r="A3" t="s">
        <v>920</v>
      </c>
      <c r="B3" t="s">
        <v>699</v>
      </c>
    </row>
    <row r="4" spans="1:2">
      <c r="A4" t="s">
        <v>700</v>
      </c>
      <c r="B4">
        <v>25977</v>
      </c>
    </row>
    <row r="5" spans="1:2">
      <c r="A5" t="s">
        <v>543</v>
      </c>
      <c r="B5">
        <v>86</v>
      </c>
    </row>
    <row r="6" spans="1:2">
      <c r="A6" t="s">
        <v>701</v>
      </c>
      <c r="B6">
        <v>6959</v>
      </c>
    </row>
    <row r="7" spans="1:2">
      <c r="A7" t="s">
        <v>921</v>
      </c>
      <c r="B7">
        <v>30</v>
      </c>
    </row>
    <row r="8" spans="1:2">
      <c r="A8" t="s">
        <v>702</v>
      </c>
      <c r="B8">
        <v>16393</v>
      </c>
    </row>
    <row r="9" spans="1:2">
      <c r="A9" t="s">
        <v>703</v>
      </c>
      <c r="B9">
        <v>2560</v>
      </c>
    </row>
    <row r="10" spans="1:2">
      <c r="A10" t="s">
        <v>704</v>
      </c>
      <c r="B10">
        <v>758</v>
      </c>
    </row>
    <row r="11" spans="1:2">
      <c r="A11" t="s">
        <v>705</v>
      </c>
      <c r="B11">
        <v>45904</v>
      </c>
    </row>
    <row r="12" spans="1:2">
      <c r="A12" t="s">
        <v>706</v>
      </c>
      <c r="B12">
        <v>2172</v>
      </c>
    </row>
    <row r="13" spans="1:2">
      <c r="A13" t="s">
        <v>707</v>
      </c>
      <c r="B13">
        <v>28291</v>
      </c>
    </row>
    <row r="14" spans="1:2">
      <c r="A14" t="s">
        <v>339</v>
      </c>
      <c r="B14">
        <v>9962</v>
      </c>
    </row>
    <row r="15" spans="1:2">
      <c r="A15" t="s">
        <v>708</v>
      </c>
      <c r="B15">
        <v>424</v>
      </c>
    </row>
    <row r="16" spans="1:2">
      <c r="A16" t="s">
        <v>709</v>
      </c>
      <c r="B16">
        <v>2700</v>
      </c>
    </row>
    <row r="17" spans="1:2">
      <c r="A17" t="s">
        <v>710</v>
      </c>
      <c r="B17">
        <v>432</v>
      </c>
    </row>
    <row r="18" spans="1:2">
      <c r="A18" t="s">
        <v>711</v>
      </c>
      <c r="B18">
        <v>200</v>
      </c>
    </row>
    <row r="19" spans="1:2">
      <c r="A19" t="s">
        <v>922</v>
      </c>
      <c r="B19">
        <v>1514</v>
      </c>
    </row>
    <row r="20" spans="1:2">
      <c r="A20" t="s">
        <v>712</v>
      </c>
      <c r="B20">
        <v>191</v>
      </c>
    </row>
    <row r="21" spans="1:2">
      <c r="A21" t="s">
        <v>713</v>
      </c>
      <c r="B21">
        <v>1</v>
      </c>
    </row>
    <row r="22" spans="1:2">
      <c r="A22" t="s">
        <v>714</v>
      </c>
      <c r="B22">
        <v>6065</v>
      </c>
    </row>
    <row r="23" spans="1:2">
      <c r="A23" t="s">
        <v>715</v>
      </c>
      <c r="B23">
        <v>4085</v>
      </c>
    </row>
    <row r="24" spans="1:2">
      <c r="A24" t="s">
        <v>680</v>
      </c>
      <c r="B24">
        <v>390</v>
      </c>
    </row>
    <row r="25" spans="1:2">
      <c r="A25" t="s">
        <v>716</v>
      </c>
      <c r="B25">
        <v>51877</v>
      </c>
    </row>
    <row r="26" spans="1:2">
      <c r="A26" t="s">
        <v>717</v>
      </c>
      <c r="B26">
        <v>1800</v>
      </c>
    </row>
    <row r="27" spans="1:2">
      <c r="A27" t="s">
        <v>494</v>
      </c>
      <c r="B27">
        <v>12</v>
      </c>
    </row>
    <row r="28" spans="1:2">
      <c r="A28" t="s">
        <v>718</v>
      </c>
      <c r="B28">
        <v>4319</v>
      </c>
    </row>
    <row r="29" spans="1:2">
      <c r="A29" t="s">
        <v>719</v>
      </c>
      <c r="B29">
        <v>7794</v>
      </c>
    </row>
    <row r="30" spans="1:2">
      <c r="A30" t="s">
        <v>720</v>
      </c>
      <c r="B30">
        <v>36</v>
      </c>
    </row>
    <row r="31" spans="1:2">
      <c r="A31" t="s">
        <v>721</v>
      </c>
      <c r="B31">
        <v>5666</v>
      </c>
    </row>
    <row r="32" spans="1:2">
      <c r="A32" t="s">
        <v>693</v>
      </c>
      <c r="B32">
        <v>192</v>
      </c>
    </row>
    <row r="33" spans="1:2">
      <c r="A33" t="s">
        <v>697</v>
      </c>
      <c r="B33">
        <v>252</v>
      </c>
    </row>
    <row r="34" spans="1:2">
      <c r="A34" t="s">
        <v>695</v>
      </c>
      <c r="B34">
        <v>276</v>
      </c>
    </row>
    <row r="35" spans="1:2">
      <c r="A35" t="s">
        <v>722</v>
      </c>
      <c r="B35">
        <v>2075</v>
      </c>
    </row>
    <row r="36" spans="1:2">
      <c r="A36" t="s">
        <v>496</v>
      </c>
      <c r="B36">
        <v>24</v>
      </c>
    </row>
    <row r="37" spans="1:2">
      <c r="A37" t="s">
        <v>723</v>
      </c>
      <c r="B37">
        <v>5328</v>
      </c>
    </row>
    <row r="38" spans="1:2">
      <c r="A38" t="s">
        <v>498</v>
      </c>
      <c r="B38">
        <v>72</v>
      </c>
    </row>
    <row r="39" spans="1:2">
      <c r="A39" t="s">
        <v>724</v>
      </c>
      <c r="B39">
        <v>2720</v>
      </c>
    </row>
    <row r="40" spans="1:2">
      <c r="A40" t="s">
        <v>725</v>
      </c>
      <c r="B40">
        <v>1401</v>
      </c>
    </row>
    <row r="41" spans="1:2">
      <c r="A41" t="s">
        <v>726</v>
      </c>
      <c r="B41">
        <v>834</v>
      </c>
    </row>
    <row r="42" spans="1:2">
      <c r="A42" t="s">
        <v>727</v>
      </c>
      <c r="B42">
        <v>3142</v>
      </c>
    </row>
    <row r="43" spans="1:2">
      <c r="A43" t="s">
        <v>728</v>
      </c>
      <c r="B43">
        <v>7809</v>
      </c>
    </row>
    <row r="44" spans="1:2">
      <c r="A44" t="s">
        <v>696</v>
      </c>
      <c r="B44">
        <v>240</v>
      </c>
    </row>
    <row r="45" spans="1:2">
      <c r="A45" t="s">
        <v>729</v>
      </c>
      <c r="B45">
        <v>3105</v>
      </c>
    </row>
    <row r="46" spans="1:2">
      <c r="A46" t="s">
        <v>730</v>
      </c>
      <c r="B46">
        <v>3872</v>
      </c>
    </row>
    <row r="47" spans="1:2">
      <c r="A47" t="s">
        <v>731</v>
      </c>
      <c r="B47">
        <v>598</v>
      </c>
    </row>
    <row r="48" spans="1:2">
      <c r="A48" t="s">
        <v>732</v>
      </c>
      <c r="B48">
        <v>1045</v>
      </c>
    </row>
    <row r="49" spans="1:2">
      <c r="A49" t="s">
        <v>733</v>
      </c>
      <c r="B49">
        <v>1972</v>
      </c>
    </row>
    <row r="50" spans="1:2">
      <c r="A50" t="s">
        <v>734</v>
      </c>
      <c r="B50">
        <v>238</v>
      </c>
    </row>
    <row r="51" spans="1:2">
      <c r="A51" t="s">
        <v>735</v>
      </c>
      <c r="B51">
        <v>2792</v>
      </c>
    </row>
    <row r="52" spans="1:2">
      <c r="A52" t="s">
        <v>736</v>
      </c>
      <c r="B52">
        <v>2863</v>
      </c>
    </row>
    <row r="53" spans="1:2">
      <c r="A53" t="s">
        <v>737</v>
      </c>
      <c r="B53">
        <v>1179</v>
      </c>
    </row>
    <row r="54" spans="1:2">
      <c r="A54" t="s">
        <v>738</v>
      </c>
      <c r="B54">
        <v>16056</v>
      </c>
    </row>
    <row r="55" spans="1:2">
      <c r="A55" t="s">
        <v>739</v>
      </c>
      <c r="B55">
        <v>576</v>
      </c>
    </row>
    <row r="56" spans="1:2">
      <c r="A56" t="s">
        <v>740</v>
      </c>
      <c r="B56">
        <v>1793</v>
      </c>
    </row>
    <row r="57" spans="1:2">
      <c r="A57" t="s">
        <v>923</v>
      </c>
      <c r="B57">
        <v>2136</v>
      </c>
    </row>
    <row r="58" spans="1:2">
      <c r="A58" t="s">
        <v>741</v>
      </c>
      <c r="B58">
        <v>14223</v>
      </c>
    </row>
    <row r="59" spans="1:2">
      <c r="A59" t="s">
        <v>742</v>
      </c>
      <c r="B59">
        <v>11418</v>
      </c>
    </row>
    <row r="60" spans="1:2">
      <c r="A60" t="s">
        <v>924</v>
      </c>
      <c r="B60">
        <v>23</v>
      </c>
    </row>
    <row r="61" spans="1:2">
      <c r="A61" t="s">
        <v>620</v>
      </c>
      <c r="B61">
        <v>240</v>
      </c>
    </row>
    <row r="62" spans="1:2">
      <c r="A62" t="s">
        <v>743</v>
      </c>
      <c r="B62">
        <v>439</v>
      </c>
    </row>
    <row r="63" spans="1:2">
      <c r="A63" t="s">
        <v>744</v>
      </c>
      <c r="B63">
        <v>450</v>
      </c>
    </row>
    <row r="64" spans="1:2">
      <c r="A64" t="s">
        <v>745</v>
      </c>
      <c r="B64">
        <v>3903</v>
      </c>
    </row>
    <row r="65" spans="1:2">
      <c r="A65" t="s">
        <v>746</v>
      </c>
      <c r="B65">
        <v>1080</v>
      </c>
    </row>
    <row r="66" spans="1:2">
      <c r="A66" t="s">
        <v>747</v>
      </c>
      <c r="B66">
        <v>1913</v>
      </c>
    </row>
    <row r="67" spans="1:2">
      <c r="A67" t="s">
        <v>748</v>
      </c>
      <c r="B67">
        <v>5523</v>
      </c>
    </row>
    <row r="68" spans="1:2">
      <c r="A68" t="s">
        <v>749</v>
      </c>
      <c r="B68">
        <v>8544</v>
      </c>
    </row>
    <row r="69" spans="1:2">
      <c r="A69" t="s">
        <v>750</v>
      </c>
      <c r="B69">
        <v>3578</v>
      </c>
    </row>
    <row r="70" spans="1:2">
      <c r="A70" t="s">
        <v>751</v>
      </c>
      <c r="B70">
        <v>3118</v>
      </c>
    </row>
    <row r="71" spans="1:2">
      <c r="A71" t="s">
        <v>657</v>
      </c>
      <c r="B71">
        <v>7409</v>
      </c>
    </row>
    <row r="72" spans="1:2">
      <c r="A72" t="s">
        <v>752</v>
      </c>
      <c r="B72">
        <v>561</v>
      </c>
    </row>
    <row r="73" spans="1:2">
      <c r="A73" t="s">
        <v>753</v>
      </c>
      <c r="B73">
        <v>41763</v>
      </c>
    </row>
    <row r="74" spans="1:2">
      <c r="A74" t="s">
        <v>658</v>
      </c>
      <c r="B74">
        <v>13</v>
      </c>
    </row>
    <row r="75" spans="1:2">
      <c r="A75" t="s">
        <v>754</v>
      </c>
      <c r="B75">
        <v>1997</v>
      </c>
    </row>
    <row r="76" spans="1:2">
      <c r="A76" t="s">
        <v>659</v>
      </c>
      <c r="B76">
        <v>1</v>
      </c>
    </row>
    <row r="77" spans="1:2">
      <c r="A77" t="s">
        <v>755</v>
      </c>
      <c r="B77">
        <v>4333</v>
      </c>
    </row>
    <row r="78" spans="1:2">
      <c r="A78" t="s">
        <v>756</v>
      </c>
      <c r="B78">
        <v>6511</v>
      </c>
    </row>
    <row r="79" spans="1:2">
      <c r="A79" t="s">
        <v>757</v>
      </c>
      <c r="B79">
        <v>2636</v>
      </c>
    </row>
    <row r="80" spans="1:2">
      <c r="A80" t="s">
        <v>758</v>
      </c>
      <c r="B80">
        <v>617</v>
      </c>
    </row>
    <row r="81" spans="1:2">
      <c r="A81" t="s">
        <v>759</v>
      </c>
      <c r="B81">
        <v>59</v>
      </c>
    </row>
    <row r="82" spans="1:2">
      <c r="A82" t="s">
        <v>760</v>
      </c>
      <c r="B82">
        <v>221</v>
      </c>
    </row>
    <row r="83" spans="1:2">
      <c r="A83" t="s">
        <v>667</v>
      </c>
      <c r="B83">
        <v>270</v>
      </c>
    </row>
    <row r="84" spans="1:2">
      <c r="A84" t="s">
        <v>925</v>
      </c>
      <c r="B84">
        <v>821</v>
      </c>
    </row>
    <row r="85" spans="1:2">
      <c r="A85" t="s">
        <v>761</v>
      </c>
      <c r="B85">
        <v>60</v>
      </c>
    </row>
    <row r="86" spans="1:2">
      <c r="A86" t="s">
        <v>762</v>
      </c>
      <c r="B86">
        <v>325</v>
      </c>
    </row>
    <row r="87" spans="1:2">
      <c r="A87" t="s">
        <v>763</v>
      </c>
      <c r="B87">
        <v>344</v>
      </c>
    </row>
    <row r="88" spans="1:2">
      <c r="A88" t="s">
        <v>764</v>
      </c>
      <c r="B88">
        <v>3818</v>
      </c>
    </row>
    <row r="89" spans="1:2">
      <c r="A89" t="s">
        <v>765</v>
      </c>
      <c r="B89">
        <v>396</v>
      </c>
    </row>
    <row r="90" spans="1:2">
      <c r="A90" t="s">
        <v>766</v>
      </c>
      <c r="B90">
        <v>2140</v>
      </c>
    </row>
    <row r="91" spans="1:2">
      <c r="A91" t="s">
        <v>909</v>
      </c>
      <c r="B91">
        <v>608</v>
      </c>
    </row>
    <row r="92" spans="1:2">
      <c r="A92" t="s">
        <v>767</v>
      </c>
      <c r="B92">
        <v>3763</v>
      </c>
    </row>
    <row r="93" spans="1:2">
      <c r="A93" t="s">
        <v>768</v>
      </c>
      <c r="B93">
        <v>3450</v>
      </c>
    </row>
    <row r="94" spans="1:2">
      <c r="A94" t="s">
        <v>926</v>
      </c>
      <c r="B94">
        <v>74730</v>
      </c>
    </row>
    <row r="95" spans="1:2">
      <c r="A95" t="s">
        <v>769</v>
      </c>
      <c r="B95">
        <v>502</v>
      </c>
    </row>
    <row r="96" spans="1:2">
      <c r="A96" t="s">
        <v>770</v>
      </c>
      <c r="B96">
        <v>4468</v>
      </c>
    </row>
    <row r="97" spans="1:2">
      <c r="A97" t="s">
        <v>771</v>
      </c>
      <c r="B97">
        <v>821</v>
      </c>
    </row>
    <row r="98" spans="1:2">
      <c r="A98" t="s">
        <v>910</v>
      </c>
      <c r="B98">
        <v>25454</v>
      </c>
    </row>
    <row r="99" spans="1:2">
      <c r="A99" t="s">
        <v>927</v>
      </c>
      <c r="B99">
        <v>132</v>
      </c>
    </row>
    <row r="100" spans="1:2">
      <c r="A100" t="s">
        <v>928</v>
      </c>
      <c r="B100">
        <v>1080</v>
      </c>
    </row>
    <row r="101" spans="1:2">
      <c r="A101" t="s">
        <v>772</v>
      </c>
      <c r="B101">
        <v>6411</v>
      </c>
    </row>
    <row r="102" spans="1:2">
      <c r="A102" t="s">
        <v>929</v>
      </c>
      <c r="B102">
        <v>621</v>
      </c>
    </row>
    <row r="103" spans="1:2">
      <c r="A103" t="s">
        <v>773</v>
      </c>
      <c r="B103">
        <v>3209</v>
      </c>
    </row>
    <row r="104" spans="1:2">
      <c r="A104" t="s">
        <v>930</v>
      </c>
      <c r="B104">
        <v>59</v>
      </c>
    </row>
    <row r="105" spans="1:2">
      <c r="A105" t="s">
        <v>774</v>
      </c>
      <c r="B105">
        <v>538</v>
      </c>
    </row>
    <row r="106" spans="1:2">
      <c r="A106" t="s">
        <v>931</v>
      </c>
      <c r="B106">
        <v>31</v>
      </c>
    </row>
    <row r="107" spans="1:2">
      <c r="A107" t="s">
        <v>775</v>
      </c>
      <c r="B107">
        <v>504</v>
      </c>
    </row>
    <row r="108" spans="1:2">
      <c r="A108" t="s">
        <v>776</v>
      </c>
      <c r="B108">
        <v>29745</v>
      </c>
    </row>
    <row r="109" spans="1:2">
      <c r="A109" t="s">
        <v>932</v>
      </c>
      <c r="B109">
        <v>928</v>
      </c>
    </row>
    <row r="110" spans="1:2">
      <c r="A110" t="s">
        <v>656</v>
      </c>
      <c r="B110">
        <v>635</v>
      </c>
    </row>
    <row r="111" spans="1:2">
      <c r="A111" t="s">
        <v>777</v>
      </c>
      <c r="B111">
        <v>10479</v>
      </c>
    </row>
    <row r="112" spans="1:2">
      <c r="A112" t="s">
        <v>778</v>
      </c>
      <c r="B112">
        <v>7495</v>
      </c>
    </row>
    <row r="113" spans="1:2">
      <c r="A113" t="s">
        <v>933</v>
      </c>
      <c r="B113">
        <v>6606</v>
      </c>
    </row>
    <row r="114" spans="1:2">
      <c r="A114" t="s">
        <v>779</v>
      </c>
      <c r="B114">
        <v>3024</v>
      </c>
    </row>
    <row r="115" spans="1:2">
      <c r="A115" t="s">
        <v>934</v>
      </c>
      <c r="B115">
        <v>771</v>
      </c>
    </row>
    <row r="116" spans="1:2">
      <c r="A116" t="s">
        <v>935</v>
      </c>
      <c r="B116">
        <v>511</v>
      </c>
    </row>
    <row r="117" spans="1:2">
      <c r="A117" t="s">
        <v>780</v>
      </c>
      <c r="B117">
        <v>15387</v>
      </c>
    </row>
    <row r="118" spans="1:2">
      <c r="A118" t="s">
        <v>781</v>
      </c>
      <c r="B118">
        <v>129</v>
      </c>
    </row>
    <row r="119" spans="1:2">
      <c r="A119" t="s">
        <v>782</v>
      </c>
      <c r="B119">
        <v>348</v>
      </c>
    </row>
    <row r="120" spans="1:2">
      <c r="A120" t="s">
        <v>783</v>
      </c>
      <c r="B120">
        <v>29944</v>
      </c>
    </row>
    <row r="121" spans="1:2">
      <c r="A121" t="s">
        <v>784</v>
      </c>
      <c r="B121">
        <v>15534</v>
      </c>
    </row>
    <row r="122" spans="1:2">
      <c r="A122" t="s">
        <v>785</v>
      </c>
      <c r="B122">
        <v>37734</v>
      </c>
    </row>
    <row r="123" spans="1:2">
      <c r="A123" t="s">
        <v>786</v>
      </c>
      <c r="B123">
        <v>6437</v>
      </c>
    </row>
    <row r="124" spans="1:2">
      <c r="A124" t="s">
        <v>787</v>
      </c>
      <c r="B124">
        <v>9861</v>
      </c>
    </row>
    <row r="125" spans="1:2">
      <c r="A125" t="s">
        <v>788</v>
      </c>
      <c r="B125">
        <v>615</v>
      </c>
    </row>
    <row r="126" spans="1:2">
      <c r="A126" t="s">
        <v>789</v>
      </c>
      <c r="B126">
        <v>18697</v>
      </c>
    </row>
    <row r="127" spans="1:2">
      <c r="A127" t="s">
        <v>790</v>
      </c>
      <c r="B127">
        <v>5107</v>
      </c>
    </row>
    <row r="128" spans="1:2">
      <c r="A128" t="s">
        <v>791</v>
      </c>
      <c r="B128">
        <v>7030</v>
      </c>
    </row>
    <row r="129" spans="1:2">
      <c r="A129" t="s">
        <v>792</v>
      </c>
      <c r="B129">
        <v>6785</v>
      </c>
    </row>
    <row r="130" spans="1:2">
      <c r="A130" t="s">
        <v>793</v>
      </c>
      <c r="B130">
        <v>1958</v>
      </c>
    </row>
    <row r="131" spans="1:2">
      <c r="A131" t="s">
        <v>794</v>
      </c>
      <c r="B131">
        <v>12393</v>
      </c>
    </row>
    <row r="132" spans="1:2">
      <c r="A132" t="s">
        <v>795</v>
      </c>
      <c r="B132">
        <v>100613</v>
      </c>
    </row>
    <row r="133" spans="1:2">
      <c r="A133" t="s">
        <v>796</v>
      </c>
      <c r="B133">
        <v>12947</v>
      </c>
    </row>
    <row r="134" spans="1:2">
      <c r="A134" t="s">
        <v>797</v>
      </c>
      <c r="B134">
        <v>28724</v>
      </c>
    </row>
    <row r="135" spans="1:2">
      <c r="A135" t="s">
        <v>798</v>
      </c>
      <c r="B135">
        <v>28345</v>
      </c>
    </row>
    <row r="136" spans="1:2">
      <c r="A136" t="s">
        <v>799</v>
      </c>
      <c r="B136">
        <v>5323</v>
      </c>
    </row>
    <row r="137" spans="1:2">
      <c r="A137" t="s">
        <v>800</v>
      </c>
      <c r="B137">
        <v>5896</v>
      </c>
    </row>
    <row r="138" spans="1:2">
      <c r="A138" t="s">
        <v>801</v>
      </c>
      <c r="B138">
        <v>5842</v>
      </c>
    </row>
    <row r="139" spans="1:2">
      <c r="A139" t="s">
        <v>802</v>
      </c>
      <c r="B139">
        <v>79337</v>
      </c>
    </row>
    <row r="140" spans="1:2">
      <c r="A140" t="s">
        <v>803</v>
      </c>
      <c r="B140">
        <v>17391</v>
      </c>
    </row>
    <row r="141" spans="1:2">
      <c r="A141" t="s">
        <v>804</v>
      </c>
      <c r="B141">
        <v>404</v>
      </c>
    </row>
    <row r="142" spans="1:2">
      <c r="A142" t="s">
        <v>805</v>
      </c>
      <c r="B142">
        <v>2403</v>
      </c>
    </row>
    <row r="143" spans="1:2">
      <c r="A143" t="s">
        <v>806</v>
      </c>
      <c r="B143">
        <v>196</v>
      </c>
    </row>
    <row r="144" spans="1:2">
      <c r="A144" t="s">
        <v>807</v>
      </c>
      <c r="B144">
        <v>708</v>
      </c>
    </row>
    <row r="145" spans="1:2">
      <c r="A145" t="s">
        <v>808</v>
      </c>
      <c r="B145">
        <v>806</v>
      </c>
    </row>
    <row r="146" spans="1:2">
      <c r="A146" t="s">
        <v>679</v>
      </c>
      <c r="B146">
        <v>4019</v>
      </c>
    </row>
    <row r="147" spans="1:2">
      <c r="A147" t="s">
        <v>809</v>
      </c>
      <c r="B147">
        <v>12824</v>
      </c>
    </row>
    <row r="148" spans="1:2">
      <c r="A148" t="s">
        <v>810</v>
      </c>
      <c r="B148">
        <v>850</v>
      </c>
    </row>
    <row r="149" spans="1:2">
      <c r="A149" t="s">
        <v>672</v>
      </c>
      <c r="B149">
        <v>4573</v>
      </c>
    </row>
    <row r="150" spans="1:2">
      <c r="A150" t="s">
        <v>811</v>
      </c>
      <c r="B150">
        <v>45689</v>
      </c>
    </row>
    <row r="151" spans="1:2">
      <c r="A151" t="s">
        <v>812</v>
      </c>
      <c r="B151">
        <v>20993</v>
      </c>
    </row>
    <row r="152" spans="1:2">
      <c r="A152" t="s">
        <v>813</v>
      </c>
      <c r="B152">
        <v>27993</v>
      </c>
    </row>
    <row r="153" spans="1:2">
      <c r="A153" t="s">
        <v>814</v>
      </c>
      <c r="B153">
        <v>7676</v>
      </c>
    </row>
    <row r="154" spans="1:2">
      <c r="A154" t="s">
        <v>815</v>
      </c>
      <c r="B154">
        <v>9633</v>
      </c>
    </row>
    <row r="155" spans="1:2">
      <c r="A155" t="s">
        <v>671</v>
      </c>
      <c r="B155">
        <v>3823</v>
      </c>
    </row>
    <row r="156" spans="1:2">
      <c r="A156" t="s">
        <v>816</v>
      </c>
      <c r="B156">
        <v>247759</v>
      </c>
    </row>
    <row r="157" spans="1:2">
      <c r="A157" t="s">
        <v>817</v>
      </c>
      <c r="B157">
        <v>72804</v>
      </c>
    </row>
    <row r="158" spans="1:2">
      <c r="A158" t="s">
        <v>818</v>
      </c>
      <c r="B158">
        <v>28677</v>
      </c>
    </row>
    <row r="159" spans="1:2">
      <c r="A159" t="s">
        <v>819</v>
      </c>
      <c r="B159">
        <v>480</v>
      </c>
    </row>
    <row r="160" spans="1:2">
      <c r="A160" t="s">
        <v>820</v>
      </c>
      <c r="B160">
        <v>477</v>
      </c>
    </row>
    <row r="161" spans="1:2">
      <c r="A161" t="s">
        <v>821</v>
      </c>
      <c r="B161">
        <v>720</v>
      </c>
    </row>
    <row r="162" spans="1:2">
      <c r="A162" t="s">
        <v>822</v>
      </c>
      <c r="B162">
        <v>401</v>
      </c>
    </row>
    <row r="163" spans="1:2">
      <c r="A163" t="s">
        <v>823</v>
      </c>
      <c r="B163">
        <v>270</v>
      </c>
    </row>
    <row r="164" spans="1:2">
      <c r="A164" t="s">
        <v>824</v>
      </c>
      <c r="B164">
        <v>8352</v>
      </c>
    </row>
    <row r="165" spans="1:2">
      <c r="A165" t="s">
        <v>825</v>
      </c>
      <c r="B165">
        <v>1</v>
      </c>
    </row>
    <row r="166" spans="1:2">
      <c r="A166" t="s">
        <v>626</v>
      </c>
      <c r="B166">
        <v>491</v>
      </c>
    </row>
    <row r="167" spans="1:2">
      <c r="A167" t="s">
        <v>625</v>
      </c>
      <c r="B167">
        <v>378</v>
      </c>
    </row>
    <row r="168" spans="1:2">
      <c r="A168" t="s">
        <v>624</v>
      </c>
      <c r="B168">
        <v>324</v>
      </c>
    </row>
    <row r="169" spans="1:2">
      <c r="A169" t="s">
        <v>826</v>
      </c>
      <c r="B169">
        <v>464</v>
      </c>
    </row>
    <row r="170" spans="1:2">
      <c r="A170" t="s">
        <v>827</v>
      </c>
      <c r="B170">
        <v>464</v>
      </c>
    </row>
    <row r="171" spans="1:2">
      <c r="A171" t="s">
        <v>828</v>
      </c>
      <c r="B171">
        <v>2860</v>
      </c>
    </row>
    <row r="172" spans="1:2">
      <c r="A172" t="s">
        <v>829</v>
      </c>
      <c r="B172">
        <v>1</v>
      </c>
    </row>
    <row r="173" spans="1:2">
      <c r="A173" t="s">
        <v>830</v>
      </c>
      <c r="B173">
        <v>20204</v>
      </c>
    </row>
    <row r="174" spans="1:2">
      <c r="A174" t="s">
        <v>831</v>
      </c>
      <c r="B174">
        <v>24824</v>
      </c>
    </row>
    <row r="175" spans="1:2">
      <c r="A175" t="s">
        <v>379</v>
      </c>
      <c r="B175">
        <v>3069</v>
      </c>
    </row>
    <row r="176" spans="1:2">
      <c r="A176" t="s">
        <v>676</v>
      </c>
      <c r="B176">
        <v>1644</v>
      </c>
    </row>
    <row r="177" spans="1:2">
      <c r="A177" t="s">
        <v>398</v>
      </c>
      <c r="B177">
        <v>3761</v>
      </c>
    </row>
    <row r="178" spans="1:2">
      <c r="A178" t="s">
        <v>371</v>
      </c>
      <c r="B178">
        <v>3841</v>
      </c>
    </row>
    <row r="179" spans="1:2">
      <c r="A179" t="s">
        <v>372</v>
      </c>
      <c r="B179">
        <v>3509</v>
      </c>
    </row>
    <row r="180" spans="1:2">
      <c r="A180" t="s">
        <v>340</v>
      </c>
      <c r="B180">
        <v>3062</v>
      </c>
    </row>
    <row r="181" spans="1:2">
      <c r="A181" t="s">
        <v>331</v>
      </c>
      <c r="B181">
        <v>3528</v>
      </c>
    </row>
    <row r="182" spans="1:2">
      <c r="A182" t="s">
        <v>832</v>
      </c>
      <c r="B182">
        <v>140</v>
      </c>
    </row>
    <row r="183" spans="1:2">
      <c r="A183" t="s">
        <v>833</v>
      </c>
      <c r="B183">
        <v>35</v>
      </c>
    </row>
    <row r="184" spans="1:2">
      <c r="A184" t="s">
        <v>916</v>
      </c>
      <c r="B184">
        <v>2844</v>
      </c>
    </row>
    <row r="185" spans="1:2">
      <c r="A185" t="s">
        <v>936</v>
      </c>
      <c r="B185">
        <v>20141</v>
      </c>
    </row>
    <row r="186" spans="1:2">
      <c r="A186" t="s">
        <v>912</v>
      </c>
      <c r="B186">
        <v>1176</v>
      </c>
    </row>
    <row r="187" spans="1:2">
      <c r="A187" t="s">
        <v>834</v>
      </c>
      <c r="B187">
        <v>18673</v>
      </c>
    </row>
    <row r="188" spans="1:2">
      <c r="A188" t="s">
        <v>835</v>
      </c>
      <c r="B188">
        <v>12330</v>
      </c>
    </row>
    <row r="189" spans="1:2">
      <c r="A189" t="s">
        <v>918</v>
      </c>
      <c r="B189">
        <v>3144</v>
      </c>
    </row>
    <row r="190" spans="1:2">
      <c r="A190" t="s">
        <v>836</v>
      </c>
      <c r="B190">
        <v>16072</v>
      </c>
    </row>
    <row r="191" spans="1:2">
      <c r="A191" t="s">
        <v>937</v>
      </c>
      <c r="B191">
        <v>196</v>
      </c>
    </row>
    <row r="192" spans="1:2">
      <c r="A192" t="s">
        <v>837</v>
      </c>
      <c r="B192">
        <v>314</v>
      </c>
    </row>
    <row r="193" spans="1:2">
      <c r="A193" t="s">
        <v>838</v>
      </c>
      <c r="B193">
        <v>2</v>
      </c>
    </row>
    <row r="194" spans="1:2">
      <c r="A194" t="s">
        <v>839</v>
      </c>
      <c r="B194">
        <v>4519</v>
      </c>
    </row>
    <row r="195" spans="1:2">
      <c r="A195" t="s">
        <v>677</v>
      </c>
      <c r="B195">
        <v>898</v>
      </c>
    </row>
    <row r="196" spans="1:2">
      <c r="A196" t="s">
        <v>840</v>
      </c>
      <c r="B196">
        <v>46992</v>
      </c>
    </row>
    <row r="197" spans="1:2">
      <c r="A197" t="s">
        <v>841</v>
      </c>
      <c r="B197">
        <v>8650</v>
      </c>
    </row>
    <row r="198" spans="1:2">
      <c r="A198" t="s">
        <v>673</v>
      </c>
      <c r="B198">
        <v>954</v>
      </c>
    </row>
    <row r="199" spans="1:2">
      <c r="A199" t="s">
        <v>842</v>
      </c>
      <c r="B199">
        <v>3456</v>
      </c>
    </row>
    <row r="200" spans="1:2">
      <c r="A200" t="s">
        <v>843</v>
      </c>
      <c r="B200">
        <v>2473</v>
      </c>
    </row>
    <row r="201" spans="1:2">
      <c r="A201" t="s">
        <v>844</v>
      </c>
      <c r="B201">
        <v>1651</v>
      </c>
    </row>
    <row r="202" spans="1:2">
      <c r="A202" t="s">
        <v>845</v>
      </c>
      <c r="B202">
        <v>64869</v>
      </c>
    </row>
    <row r="203" spans="1:2">
      <c r="A203" t="s">
        <v>846</v>
      </c>
      <c r="B203">
        <v>9773</v>
      </c>
    </row>
    <row r="204" spans="1:2">
      <c r="A204" t="s">
        <v>847</v>
      </c>
      <c r="B204">
        <v>10936</v>
      </c>
    </row>
    <row r="205" spans="1:2">
      <c r="A205" t="s">
        <v>848</v>
      </c>
      <c r="B205">
        <v>20180</v>
      </c>
    </row>
    <row r="206" spans="1:2">
      <c r="A206" t="s">
        <v>849</v>
      </c>
      <c r="B206">
        <v>5558</v>
      </c>
    </row>
    <row r="207" spans="1:2">
      <c r="A207" t="s">
        <v>850</v>
      </c>
      <c r="B207">
        <v>253</v>
      </c>
    </row>
    <row r="208" spans="1:2">
      <c r="A208" t="s">
        <v>851</v>
      </c>
      <c r="B208">
        <v>200</v>
      </c>
    </row>
    <row r="209" spans="1:2">
      <c r="A209" t="s">
        <v>852</v>
      </c>
      <c r="B209">
        <v>1156</v>
      </c>
    </row>
    <row r="210" spans="1:2">
      <c r="A210" t="s">
        <v>853</v>
      </c>
      <c r="B210">
        <v>2483</v>
      </c>
    </row>
    <row r="211" spans="1:2">
      <c r="A211" t="s">
        <v>854</v>
      </c>
      <c r="B211">
        <v>1100</v>
      </c>
    </row>
    <row r="212" spans="1:2">
      <c r="A212" t="s">
        <v>855</v>
      </c>
      <c r="B212">
        <v>15486</v>
      </c>
    </row>
    <row r="213" spans="1:2">
      <c r="A213" t="s">
        <v>856</v>
      </c>
      <c r="B213">
        <v>496</v>
      </c>
    </row>
    <row r="214" spans="1:2">
      <c r="A214" t="s">
        <v>857</v>
      </c>
      <c r="B214">
        <v>37012</v>
      </c>
    </row>
    <row r="215" spans="1:2">
      <c r="A215" t="s">
        <v>938</v>
      </c>
      <c r="B215">
        <v>1200</v>
      </c>
    </row>
    <row r="216" spans="1:2">
      <c r="A216" t="s">
        <v>858</v>
      </c>
      <c r="B216">
        <v>1718</v>
      </c>
    </row>
    <row r="217" spans="1:2">
      <c r="A217" t="s">
        <v>939</v>
      </c>
      <c r="B217">
        <v>19090</v>
      </c>
    </row>
    <row r="218" spans="1:2">
      <c r="A218" t="s">
        <v>859</v>
      </c>
      <c r="B218">
        <v>790</v>
      </c>
    </row>
    <row r="219" spans="1:2">
      <c r="A219" t="s">
        <v>860</v>
      </c>
      <c r="B219">
        <v>9440</v>
      </c>
    </row>
    <row r="220" spans="1:2">
      <c r="A220" t="s">
        <v>861</v>
      </c>
      <c r="B220">
        <v>29630</v>
      </c>
    </row>
    <row r="221" spans="1:2">
      <c r="A221" t="s">
        <v>862</v>
      </c>
      <c r="B221">
        <v>380</v>
      </c>
    </row>
    <row r="222" spans="1:2">
      <c r="A222" t="s">
        <v>545</v>
      </c>
      <c r="B222">
        <v>5442</v>
      </c>
    </row>
    <row r="223" spans="1:2">
      <c r="A223" t="s">
        <v>547</v>
      </c>
      <c r="B223">
        <v>14</v>
      </c>
    </row>
    <row r="224" spans="1:2">
      <c r="A224" t="s">
        <v>863</v>
      </c>
      <c r="B224">
        <v>811</v>
      </c>
    </row>
    <row r="225" spans="1:2">
      <c r="A225" t="s">
        <v>666</v>
      </c>
      <c r="B225">
        <v>662</v>
      </c>
    </row>
    <row r="226" spans="1:2">
      <c r="A226" t="s">
        <v>601</v>
      </c>
      <c r="B226">
        <v>555</v>
      </c>
    </row>
    <row r="227" spans="1:2">
      <c r="A227" t="s">
        <v>864</v>
      </c>
      <c r="B227">
        <v>8033</v>
      </c>
    </row>
    <row r="228" spans="1:2">
      <c r="A228" t="s">
        <v>911</v>
      </c>
      <c r="B228">
        <v>1095</v>
      </c>
    </row>
    <row r="229" spans="1:2">
      <c r="A229" t="s">
        <v>686</v>
      </c>
      <c r="B229">
        <v>2374</v>
      </c>
    </row>
    <row r="230" spans="1:2">
      <c r="A230" t="s">
        <v>865</v>
      </c>
      <c r="B230">
        <v>1720</v>
      </c>
    </row>
    <row r="231" spans="1:2">
      <c r="A231" t="s">
        <v>866</v>
      </c>
      <c r="B231">
        <v>391</v>
      </c>
    </row>
    <row r="232" spans="1:2">
      <c r="A232" t="s">
        <v>867</v>
      </c>
      <c r="B232">
        <v>360</v>
      </c>
    </row>
    <row r="233" spans="1:2">
      <c r="A233" t="s">
        <v>868</v>
      </c>
      <c r="B233">
        <v>20358</v>
      </c>
    </row>
    <row r="234" spans="1:2">
      <c r="A234" t="s">
        <v>940</v>
      </c>
      <c r="B234">
        <v>18</v>
      </c>
    </row>
    <row r="235" spans="1:2">
      <c r="A235" t="s">
        <v>869</v>
      </c>
      <c r="B235">
        <v>258</v>
      </c>
    </row>
    <row r="236" spans="1:2">
      <c r="A236" t="s">
        <v>870</v>
      </c>
      <c r="B236">
        <v>978</v>
      </c>
    </row>
    <row r="237" spans="1:2">
      <c r="A237" t="s">
        <v>871</v>
      </c>
      <c r="B237">
        <v>2531</v>
      </c>
    </row>
    <row r="238" spans="1:2">
      <c r="A238" t="s">
        <v>872</v>
      </c>
      <c r="B238">
        <v>545</v>
      </c>
    </row>
    <row r="239" spans="1:2">
      <c r="A239" t="s">
        <v>873</v>
      </c>
      <c r="B239">
        <v>43811</v>
      </c>
    </row>
    <row r="240" spans="1:2">
      <c r="A240" t="s">
        <v>941</v>
      </c>
      <c r="B240">
        <v>13146</v>
      </c>
    </row>
    <row r="241" spans="1:2">
      <c r="A241" t="s">
        <v>942</v>
      </c>
      <c r="B241">
        <v>1882</v>
      </c>
    </row>
    <row r="242" spans="1:2">
      <c r="A242" t="s">
        <v>536</v>
      </c>
      <c r="B242">
        <v>45</v>
      </c>
    </row>
    <row r="243" spans="1:2">
      <c r="A243" t="s">
        <v>874</v>
      </c>
      <c r="B243">
        <v>1228</v>
      </c>
    </row>
    <row r="244" spans="1:2">
      <c r="A244" t="s">
        <v>875</v>
      </c>
      <c r="B244">
        <v>796</v>
      </c>
    </row>
    <row r="245" spans="1:2">
      <c r="A245" t="s">
        <v>876</v>
      </c>
      <c r="B245">
        <v>7192</v>
      </c>
    </row>
    <row r="246" spans="1:2">
      <c r="A246" t="s">
        <v>877</v>
      </c>
      <c r="B246">
        <v>4654</v>
      </c>
    </row>
    <row r="247" spans="1:2">
      <c r="A247" t="s">
        <v>878</v>
      </c>
      <c r="B247">
        <v>1638</v>
      </c>
    </row>
    <row r="248" spans="1:2">
      <c r="A248" t="s">
        <v>879</v>
      </c>
      <c r="B248">
        <v>1314</v>
      </c>
    </row>
    <row r="249" spans="1:2">
      <c r="A249" t="s">
        <v>880</v>
      </c>
      <c r="B249">
        <v>4061</v>
      </c>
    </row>
    <row r="250" spans="1:2">
      <c r="A250" t="s">
        <v>881</v>
      </c>
      <c r="B250">
        <v>228</v>
      </c>
    </row>
    <row r="251" spans="1:2">
      <c r="A251" t="s">
        <v>882</v>
      </c>
      <c r="B251">
        <v>24</v>
      </c>
    </row>
    <row r="252" spans="1:2">
      <c r="A252" t="s">
        <v>943</v>
      </c>
      <c r="B252">
        <v>2</v>
      </c>
    </row>
    <row r="253" spans="1:2">
      <c r="A253" t="s">
        <v>534</v>
      </c>
      <c r="B253">
        <v>106</v>
      </c>
    </row>
    <row r="254" spans="1:2">
      <c r="A254" t="s">
        <v>883</v>
      </c>
      <c r="B254">
        <v>5704</v>
      </c>
    </row>
    <row r="255" spans="1:2">
      <c r="A255" t="s">
        <v>884</v>
      </c>
      <c r="B255">
        <v>587</v>
      </c>
    </row>
    <row r="256" spans="1:2">
      <c r="A256" t="s">
        <v>944</v>
      </c>
      <c r="B256">
        <v>1108</v>
      </c>
    </row>
    <row r="257" spans="1:2">
      <c r="A257" t="s">
        <v>885</v>
      </c>
      <c r="B257">
        <v>3993</v>
      </c>
    </row>
    <row r="258" spans="1:2">
      <c r="A258" t="s">
        <v>886</v>
      </c>
      <c r="B258">
        <v>754</v>
      </c>
    </row>
    <row r="259" spans="1:2">
      <c r="A259" t="s">
        <v>887</v>
      </c>
      <c r="B259">
        <v>5752</v>
      </c>
    </row>
    <row r="260" spans="1:2">
      <c r="A260" t="s">
        <v>616</v>
      </c>
      <c r="B260">
        <v>815</v>
      </c>
    </row>
    <row r="261" spans="1:2">
      <c r="A261" t="s">
        <v>888</v>
      </c>
      <c r="B261">
        <v>2612</v>
      </c>
    </row>
    <row r="262" spans="1:2">
      <c r="A262" t="s">
        <v>889</v>
      </c>
      <c r="B262">
        <v>1584</v>
      </c>
    </row>
    <row r="263" spans="1:2">
      <c r="A263" t="s">
        <v>890</v>
      </c>
      <c r="B263">
        <v>1566</v>
      </c>
    </row>
    <row r="264" spans="1:2">
      <c r="A264" t="s">
        <v>891</v>
      </c>
      <c r="B264">
        <v>77890</v>
      </c>
    </row>
    <row r="265" spans="1:2">
      <c r="A265" t="s">
        <v>892</v>
      </c>
      <c r="B265">
        <v>1866</v>
      </c>
    </row>
    <row r="266" spans="1:2">
      <c r="A266" t="s">
        <v>945</v>
      </c>
      <c r="B266">
        <v>12</v>
      </c>
    </row>
    <row r="267" spans="1:2">
      <c r="A267" t="s">
        <v>893</v>
      </c>
      <c r="B267">
        <v>8</v>
      </c>
    </row>
    <row r="268" spans="1:2">
      <c r="A268" t="s">
        <v>894</v>
      </c>
      <c r="B268">
        <v>1152</v>
      </c>
    </row>
    <row r="269" spans="1:2">
      <c r="A269" t="s">
        <v>895</v>
      </c>
      <c r="B269">
        <v>1627</v>
      </c>
    </row>
    <row r="270" spans="1:2">
      <c r="A270" t="s">
        <v>946</v>
      </c>
      <c r="B270">
        <v>883</v>
      </c>
    </row>
    <row r="271" spans="1:2">
      <c r="A271" t="s">
        <v>896</v>
      </c>
      <c r="B271">
        <v>54</v>
      </c>
    </row>
    <row r="272" spans="1:2">
      <c r="A272" t="s">
        <v>897</v>
      </c>
      <c r="B272">
        <v>270</v>
      </c>
    </row>
    <row r="273" spans="1:2">
      <c r="A273" t="s">
        <v>685</v>
      </c>
      <c r="B273">
        <v>668</v>
      </c>
    </row>
    <row r="274" spans="1:2">
      <c r="A274" t="s">
        <v>898</v>
      </c>
      <c r="B274">
        <v>30019</v>
      </c>
    </row>
    <row r="275" spans="1:2">
      <c r="A275" t="s">
        <v>899</v>
      </c>
      <c r="B275">
        <v>973</v>
      </c>
    </row>
    <row r="276" spans="1:2">
      <c r="A276" t="s">
        <v>900</v>
      </c>
      <c r="B276">
        <v>269</v>
      </c>
    </row>
    <row r="277" spans="1:2">
      <c r="A277" t="s">
        <v>19</v>
      </c>
      <c r="B277">
        <v>6</v>
      </c>
    </row>
    <row r="278" spans="1:2">
      <c r="A278" t="s">
        <v>901</v>
      </c>
      <c r="B278">
        <v>7123</v>
      </c>
    </row>
    <row r="279" spans="1:2">
      <c r="A279" t="s">
        <v>902</v>
      </c>
      <c r="B279">
        <v>4</v>
      </c>
    </row>
    <row r="280" spans="1:2">
      <c r="A280" t="s">
        <v>903</v>
      </c>
      <c r="B280">
        <v>165</v>
      </c>
    </row>
    <row r="281" spans="1:2">
      <c r="A281" t="s">
        <v>904</v>
      </c>
      <c r="B281">
        <v>813</v>
      </c>
    </row>
    <row r="282" spans="1:2">
      <c r="A282" t="s">
        <v>905</v>
      </c>
      <c r="B282">
        <v>1736</v>
      </c>
    </row>
    <row r="283" spans="1:2">
      <c r="A283" t="s">
        <v>947</v>
      </c>
      <c r="B283">
        <v>2284537</v>
      </c>
    </row>
    <row r="284" spans="1:2">
      <c r="A284" t="s">
        <v>688</v>
      </c>
      <c r="B284">
        <v>4569074</v>
      </c>
    </row>
  </sheetData>
  <phoneticPr fontId="9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Raw data</vt:lpstr>
      <vt:lpstr>SUM(히아풀젤,폼 아이캐쳐붙인걸로)</vt:lpstr>
      <vt:lpstr>서식(직납)</vt:lpstr>
      <vt:lpstr>Summary(수주업로드용)</vt:lpstr>
      <vt:lpstr>제품명</vt:lpstr>
      <vt:lpstr>점포코드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Shin JY</cp:lastModifiedBy>
  <cp:lastPrinted>2021-05-28T00:52:44Z</cp:lastPrinted>
  <dcterms:created xsi:type="dcterms:W3CDTF">2011-07-07T08:52:53Z</dcterms:created>
  <dcterms:modified xsi:type="dcterms:W3CDTF">2026-04-16T03:51:21Z</dcterms:modified>
</cp:coreProperties>
</file>